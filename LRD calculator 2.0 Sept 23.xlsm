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0" codeName="{3D1A710C-6663-3D7B-7F91-EC182F24A4BC}"/>
  <workbookPr codeName="ThisWorkbook"/>
  <mc:AlternateContent xmlns:mc="http://schemas.openxmlformats.org/markup-compatibility/2006">
    <mc:Choice Requires="x15">
      <x15ac:absPath xmlns:x15ac="http://schemas.microsoft.com/office/spreadsheetml/2010/11/ac" url="https://axisbank-my.sharepoint.com/personal/afl1633_axisfinance_in/Documents/Desktop/Dwin Data/Dwin from 1-09-23/LRD calculator/"/>
    </mc:Choice>
  </mc:AlternateContent>
  <xr:revisionPtr revIDLastSave="0" documentId="14_{4D1E62A5-A672-459B-A385-27E3F339FF50}" xr6:coauthVersionLast="36" xr6:coauthVersionMax="47" xr10:uidLastSave="{00000000-0000-0000-0000-000000000000}"/>
  <workbookProtection workbookAlgorithmName="SHA-512" workbookHashValue="2dt43bs87gTGTXRZbYtXaFrlbrK5VgDMvnRlv3hKqeNKrGZ6Ec71TGTw+pGFUrT6cc8kCN3UYTkwlxrQxw4rqg==" workbookSaltValue="HwUYKJnVPwQlyP1B160Fuw==" workbookSpinCount="100000" lockStructure="1"/>
  <bookViews>
    <workbookView xWindow="75" yWindow="615" windowWidth="20415" windowHeight="10305" tabRatio="715" firstSheet="2" activeTab="2" xr2:uid="{F4C13591-C954-4710-AE82-978C01E02ECF}"/>
  </bookViews>
  <sheets>
    <sheet name="Instructions" sheetId="13" state="hidden" r:id="rId1"/>
    <sheet name="Final" sheetId="9" state="hidden" r:id="rId2"/>
    <sheet name="Input" sheetId="1" r:id="rId3"/>
    <sheet name="Lease details" sheetId="10" r:id="rId4"/>
    <sheet name="Rental break up &amp; reco" sheetId="12" r:id="rId5"/>
    <sheet name="180M" sheetId="14" r:id="rId6"/>
    <sheet name="144M" sheetId="16" r:id="rId7"/>
    <sheet name="120M" sheetId="17" r:id="rId8"/>
    <sheet name="Fixed Tenure" sheetId="18" r:id="rId9"/>
    <sheet name="Unique Tenure" sheetId="19" r:id="rId10"/>
    <sheet name="Manual RTR" sheetId="15" r:id="rId11"/>
  </sheets>
  <definedNames>
    <definedName name="_xlnm.Print_Area" localSheetId="2">Input!$A$1:$AB$113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2" i="1" l="1"/>
  <c r="F42" i="1" s="1"/>
  <c r="G42" i="1" s="1"/>
  <c r="H42" i="1" s="1"/>
  <c r="C66" i="1" l="1"/>
  <c r="E108" i="1"/>
  <c r="F108" i="1" s="1"/>
  <c r="G108" i="1" s="1"/>
  <c r="H108" i="1" s="1"/>
  <c r="D108" i="1"/>
  <c r="E93" i="1"/>
  <c r="F93" i="1" s="1"/>
  <c r="G93" i="1" s="1"/>
  <c r="H93" i="1" s="1"/>
  <c r="D93" i="1"/>
  <c r="E78" i="1"/>
  <c r="F78" i="1" s="1"/>
  <c r="G78" i="1" s="1"/>
  <c r="H78" i="1" s="1"/>
  <c r="D78" i="1"/>
  <c r="E63" i="1"/>
  <c r="F63" i="1" s="1"/>
  <c r="G63" i="1" s="1"/>
  <c r="H63" i="1" s="1"/>
  <c r="D63" i="1"/>
  <c r="H48" i="1"/>
  <c r="G48" i="1"/>
  <c r="F48" i="1"/>
  <c r="E48" i="1"/>
  <c r="D48" i="1"/>
  <c r="E8" i="1"/>
  <c r="C111" i="1" l="1"/>
  <c r="C96" i="1"/>
  <c r="C81" i="1"/>
  <c r="D51" i="1"/>
  <c r="H17" i="1" l="1"/>
  <c r="G17" i="1"/>
  <c r="F17" i="1"/>
  <c r="E17" i="1"/>
  <c r="D111" i="1"/>
  <c r="E111" i="1" s="1"/>
  <c r="F111" i="1" s="1"/>
  <c r="G111" i="1" s="1"/>
  <c r="H111" i="1" s="1"/>
  <c r="D96" i="1"/>
  <c r="D66" i="1"/>
  <c r="E66" i="1" s="1"/>
  <c r="F66" i="1" s="1"/>
  <c r="G66" i="1" s="1"/>
  <c r="H66" i="1" s="1"/>
  <c r="D81" i="1"/>
  <c r="E81" i="1" s="1"/>
  <c r="F81" i="1" s="1"/>
  <c r="G81" i="1" s="1"/>
  <c r="H81" i="1" s="1"/>
  <c r="E72" i="1"/>
  <c r="F72" i="1" s="1"/>
  <c r="E51" i="1"/>
  <c r="F51" i="1" s="1"/>
  <c r="G51" i="1" s="1"/>
  <c r="H51" i="1" s="1"/>
  <c r="G4" i="15"/>
  <c r="G5" i="15" s="1"/>
  <c r="G6" i="15" s="1"/>
  <c r="G7" i="15" s="1"/>
  <c r="G8" i="15" s="1"/>
  <c r="G9" i="15" s="1"/>
  <c r="G10" i="15" s="1"/>
  <c r="G11" i="15" s="1"/>
  <c r="G12" i="15" s="1"/>
  <c r="G13" i="15" s="1"/>
  <c r="G14" i="15" s="1"/>
  <c r="G15" i="15" s="1"/>
  <c r="G16" i="15" s="1"/>
  <c r="G17" i="15" s="1"/>
  <c r="G18" i="15" s="1"/>
  <c r="G19" i="15" s="1"/>
  <c r="G20" i="15" s="1"/>
  <c r="G21" i="15" s="1"/>
  <c r="G22" i="15" s="1"/>
  <c r="G23" i="15" s="1"/>
  <c r="G24" i="15" s="1"/>
  <c r="G25" i="15" s="1"/>
  <c r="G26" i="15" s="1"/>
  <c r="G27" i="15" s="1"/>
  <c r="G28" i="15" s="1"/>
  <c r="G29" i="15" s="1"/>
  <c r="G30" i="15" s="1"/>
  <c r="G31" i="15" s="1"/>
  <c r="G32" i="15" s="1"/>
  <c r="G33" i="15" s="1"/>
  <c r="G34" i="15" s="1"/>
  <c r="G35" i="15" s="1"/>
  <c r="G36" i="15" s="1"/>
  <c r="G37" i="15" s="1"/>
  <c r="G38" i="15" s="1"/>
  <c r="G39" i="15" s="1"/>
  <c r="G40" i="15" s="1"/>
  <c r="G41" i="15" s="1"/>
  <c r="G42" i="15" s="1"/>
  <c r="G43" i="15" s="1"/>
  <c r="G44" i="15" s="1"/>
  <c r="G45" i="15" s="1"/>
  <c r="G46" i="15" s="1"/>
  <c r="G47" i="15" s="1"/>
  <c r="G48" i="15" s="1"/>
  <c r="G49" i="15" s="1"/>
  <c r="G50" i="15" s="1"/>
  <c r="G51" i="15" s="1"/>
  <c r="G52" i="15" s="1"/>
  <c r="G53" i="15" s="1"/>
  <c r="G54" i="15" s="1"/>
  <c r="G55" i="15" s="1"/>
  <c r="G56" i="15" s="1"/>
  <c r="G57" i="15" s="1"/>
  <c r="G58" i="15" s="1"/>
  <c r="G59" i="15" s="1"/>
  <c r="G60" i="15" s="1"/>
  <c r="G61" i="15" s="1"/>
  <c r="G62" i="15" s="1"/>
  <c r="G63" i="15" s="1"/>
  <c r="G64" i="15" s="1"/>
  <c r="G65" i="15" s="1"/>
  <c r="G66" i="15" s="1"/>
  <c r="G67" i="15" s="1"/>
  <c r="G68" i="15" s="1"/>
  <c r="G69" i="15" s="1"/>
  <c r="G70" i="15" s="1"/>
  <c r="G71" i="15" s="1"/>
  <c r="G72" i="15" s="1"/>
  <c r="G73" i="15" s="1"/>
  <c r="G74" i="15" s="1"/>
  <c r="G75" i="15" s="1"/>
  <c r="G76" i="15" s="1"/>
  <c r="G77" i="15" s="1"/>
  <c r="G78" i="15" s="1"/>
  <c r="G79" i="15" s="1"/>
  <c r="G80" i="15" s="1"/>
  <c r="G81" i="15" s="1"/>
  <c r="G82" i="15" s="1"/>
  <c r="G83" i="15" s="1"/>
  <c r="G84" i="15" s="1"/>
  <c r="G85" i="15" s="1"/>
  <c r="G86" i="15" s="1"/>
  <c r="G87" i="15" s="1"/>
  <c r="G88" i="15" s="1"/>
  <c r="G89" i="15" s="1"/>
  <c r="G90" i="15" s="1"/>
  <c r="G91" i="15" s="1"/>
  <c r="G92" i="15" s="1"/>
  <c r="G93" i="15" s="1"/>
  <c r="G94" i="15" s="1"/>
  <c r="G95" i="15" s="1"/>
  <c r="G96" i="15" s="1"/>
  <c r="G97" i="15" s="1"/>
  <c r="G98" i="15" s="1"/>
  <c r="G99" i="15" s="1"/>
  <c r="G100" i="15" s="1"/>
  <c r="G101" i="15" s="1"/>
  <c r="G102" i="15" s="1"/>
  <c r="G103" i="15" s="1"/>
  <c r="G104" i="15" s="1"/>
  <c r="G105" i="15" s="1"/>
  <c r="G106" i="15" s="1"/>
  <c r="G107" i="15" s="1"/>
  <c r="G108" i="15" s="1"/>
  <c r="G109" i="15" s="1"/>
  <c r="G110" i="15" s="1"/>
  <c r="G111" i="15" s="1"/>
  <c r="G112" i="15" s="1"/>
  <c r="G113" i="15" s="1"/>
  <c r="G114" i="15" s="1"/>
  <c r="G115" i="15" s="1"/>
  <c r="G116" i="15" s="1"/>
  <c r="G117" i="15" s="1"/>
  <c r="G118" i="15" s="1"/>
  <c r="G119" i="15" s="1"/>
  <c r="G120" i="15" s="1"/>
  <c r="G121" i="15" s="1"/>
  <c r="G122" i="15" s="1"/>
  <c r="G123" i="15" s="1"/>
  <c r="G124" i="15" s="1"/>
  <c r="G125" i="15" s="1"/>
  <c r="G126" i="15" s="1"/>
  <c r="G127" i="15" s="1"/>
  <c r="G128" i="15" s="1"/>
  <c r="G129" i="15" s="1"/>
  <c r="G130" i="15" s="1"/>
  <c r="G131" i="15" s="1"/>
  <c r="G132" i="15" s="1"/>
  <c r="G133" i="15" s="1"/>
  <c r="G134" i="15" s="1"/>
  <c r="G135" i="15" s="1"/>
  <c r="G136" i="15" s="1"/>
  <c r="G137" i="15" s="1"/>
  <c r="G138" i="15" s="1"/>
  <c r="G139" i="15" s="1"/>
  <c r="G140" i="15" s="1"/>
  <c r="G141" i="15" s="1"/>
  <c r="G142" i="15" s="1"/>
  <c r="G143" i="15" s="1"/>
  <c r="G144" i="15" s="1"/>
  <c r="G145" i="15" s="1"/>
  <c r="G146" i="15" s="1"/>
  <c r="G147" i="15" s="1"/>
  <c r="G148" i="15" s="1"/>
  <c r="G149" i="15" s="1"/>
  <c r="G150" i="15" s="1"/>
  <c r="G151" i="15" s="1"/>
  <c r="G152" i="15" s="1"/>
  <c r="G153" i="15" s="1"/>
  <c r="G154" i="15" s="1"/>
  <c r="G155" i="15" s="1"/>
  <c r="G156" i="15" s="1"/>
  <c r="G157" i="15" s="1"/>
  <c r="G158" i="15" s="1"/>
  <c r="G159" i="15" s="1"/>
  <c r="G160" i="15" s="1"/>
  <c r="G161" i="15" s="1"/>
  <c r="G162" i="15" s="1"/>
  <c r="G163" i="15" s="1"/>
  <c r="G164" i="15" s="1"/>
  <c r="G165" i="15" s="1"/>
  <c r="G166" i="15" s="1"/>
  <c r="G167" i="15" s="1"/>
  <c r="G168" i="15" s="1"/>
  <c r="G169" i="15" s="1"/>
  <c r="G170" i="15" s="1"/>
  <c r="G171" i="15" s="1"/>
  <c r="G172" i="15" s="1"/>
  <c r="G173" i="15" s="1"/>
  <c r="G174" i="15" s="1"/>
  <c r="G175" i="15" s="1"/>
  <c r="G176" i="15" s="1"/>
  <c r="G177" i="15" s="1"/>
  <c r="G178" i="15" s="1"/>
  <c r="G179" i="15" s="1"/>
  <c r="G180" i="15" s="1"/>
  <c r="G181" i="15" s="1"/>
  <c r="G182" i="15" s="1"/>
  <c r="G183" i="15" s="1"/>
  <c r="G184" i="15" s="1"/>
  <c r="H12" i="1" l="1"/>
  <c r="G12" i="1"/>
  <c r="F12" i="1"/>
  <c r="E12" i="1"/>
  <c r="H11" i="1"/>
  <c r="G11" i="1"/>
  <c r="F11" i="1"/>
  <c r="E11" i="1"/>
  <c r="H10" i="1"/>
  <c r="G10" i="1"/>
  <c r="F10" i="1"/>
  <c r="E10" i="1"/>
  <c r="H9" i="1"/>
  <c r="G9" i="1"/>
  <c r="F9" i="1"/>
  <c r="E9" i="1"/>
  <c r="H8" i="1"/>
  <c r="G8" i="1"/>
  <c r="F8" i="1"/>
  <c r="J17" i="1" l="1"/>
  <c r="D17" i="1"/>
  <c r="D5" i="15"/>
  <c r="D6" i="15" s="1"/>
  <c r="D7" i="15" s="1"/>
  <c r="D8" i="15" s="1"/>
  <c r="D9" i="15" s="1"/>
  <c r="D10" i="15" s="1"/>
  <c r="D11" i="15" s="1"/>
  <c r="D12" i="15" s="1"/>
  <c r="D13" i="15" s="1"/>
  <c r="D14" i="15" s="1"/>
  <c r="D15" i="15" s="1"/>
  <c r="D16" i="15" s="1"/>
  <c r="D17" i="15" s="1"/>
  <c r="D18" i="15" s="1"/>
  <c r="D19" i="15" s="1"/>
  <c r="D20" i="15" s="1"/>
  <c r="D21" i="15" s="1"/>
  <c r="D22" i="15" s="1"/>
  <c r="D23" i="15" s="1"/>
  <c r="D24" i="15" s="1"/>
  <c r="D25" i="15" s="1"/>
  <c r="D26" i="15" s="1"/>
  <c r="D27" i="15" s="1"/>
  <c r="D28" i="15" s="1"/>
  <c r="D29" i="15" s="1"/>
  <c r="D30" i="15" s="1"/>
  <c r="D31" i="15" s="1"/>
  <c r="D32" i="15" s="1"/>
  <c r="D33" i="15" s="1"/>
  <c r="D34" i="15" s="1"/>
  <c r="D35" i="15" s="1"/>
  <c r="D36" i="15" s="1"/>
  <c r="D37" i="15" s="1"/>
  <c r="D38" i="15" s="1"/>
  <c r="D39" i="15" s="1"/>
  <c r="D40" i="15" s="1"/>
  <c r="D41" i="15" s="1"/>
  <c r="D42" i="15" s="1"/>
  <c r="D43" i="15" s="1"/>
  <c r="D44" i="15" s="1"/>
  <c r="D45" i="15" s="1"/>
  <c r="D46" i="15" s="1"/>
  <c r="D47" i="15" s="1"/>
  <c r="D48" i="15" s="1"/>
  <c r="D49" i="15" s="1"/>
  <c r="D50" i="15" s="1"/>
  <c r="D51" i="15" s="1"/>
  <c r="D52" i="15" s="1"/>
  <c r="D53" i="15" s="1"/>
  <c r="D54" i="15" s="1"/>
  <c r="D55" i="15" s="1"/>
  <c r="D56" i="15" s="1"/>
  <c r="D57" i="15" s="1"/>
  <c r="D58" i="15" s="1"/>
  <c r="D59" i="15" s="1"/>
  <c r="D60" i="15" s="1"/>
  <c r="D61" i="15" s="1"/>
  <c r="D62" i="15" s="1"/>
  <c r="D63" i="15" s="1"/>
  <c r="D64" i="15" s="1"/>
  <c r="D65" i="15" s="1"/>
  <c r="D66" i="15" s="1"/>
  <c r="D67" i="15" s="1"/>
  <c r="D68" i="15" s="1"/>
  <c r="D69" i="15" s="1"/>
  <c r="D70" i="15" s="1"/>
  <c r="D71" i="15" s="1"/>
  <c r="D72" i="15" s="1"/>
  <c r="D73" i="15" s="1"/>
  <c r="D74" i="15" s="1"/>
  <c r="D75" i="15" s="1"/>
  <c r="D76" i="15" s="1"/>
  <c r="D77" i="15" s="1"/>
  <c r="D78" i="15" s="1"/>
  <c r="D79" i="15" s="1"/>
  <c r="D80" i="15" s="1"/>
  <c r="D81" i="15" s="1"/>
  <c r="D82" i="15" s="1"/>
  <c r="D83" i="15" s="1"/>
  <c r="D84" i="15" s="1"/>
  <c r="D85" i="15" s="1"/>
  <c r="D86" i="15" s="1"/>
  <c r="D87" i="15" s="1"/>
  <c r="D88" i="15" s="1"/>
  <c r="D89" i="15" s="1"/>
  <c r="D90" i="15" s="1"/>
  <c r="D91" i="15" s="1"/>
  <c r="D92" i="15" s="1"/>
  <c r="D93" i="15" s="1"/>
  <c r="D94" i="15" s="1"/>
  <c r="D95" i="15" s="1"/>
  <c r="D96" i="15" s="1"/>
  <c r="D97" i="15" s="1"/>
  <c r="D98" i="15" s="1"/>
  <c r="D99" i="15" s="1"/>
  <c r="D100" i="15" s="1"/>
  <c r="D101" i="15" s="1"/>
  <c r="D102" i="15" s="1"/>
  <c r="D103" i="15" s="1"/>
  <c r="D104" i="15" s="1"/>
  <c r="D105" i="15" s="1"/>
  <c r="D106" i="15" s="1"/>
  <c r="D107" i="15" s="1"/>
  <c r="D108" i="15" s="1"/>
  <c r="D109" i="15" s="1"/>
  <c r="D110" i="15" s="1"/>
  <c r="D111" i="15" s="1"/>
  <c r="D112" i="15" s="1"/>
  <c r="D113" i="15" s="1"/>
  <c r="D114" i="15" s="1"/>
  <c r="D115" i="15" s="1"/>
  <c r="D116" i="15" s="1"/>
  <c r="D117" i="15" s="1"/>
  <c r="D118" i="15" s="1"/>
  <c r="D119" i="15" s="1"/>
  <c r="D120" i="15" s="1"/>
  <c r="D121" i="15" s="1"/>
  <c r="D122" i="15" s="1"/>
  <c r="D123" i="15" s="1"/>
  <c r="D124" i="15" s="1"/>
  <c r="D125" i="15" s="1"/>
  <c r="D126" i="15" s="1"/>
  <c r="D127" i="15" s="1"/>
  <c r="D128" i="15" s="1"/>
  <c r="D129" i="15" s="1"/>
  <c r="D130" i="15" s="1"/>
  <c r="D131" i="15" s="1"/>
  <c r="D132" i="15" s="1"/>
  <c r="D133" i="15" s="1"/>
  <c r="D134" i="15" s="1"/>
  <c r="D135" i="15" s="1"/>
  <c r="D136" i="15" s="1"/>
  <c r="D137" i="15" s="1"/>
  <c r="D138" i="15" s="1"/>
  <c r="D139" i="15" s="1"/>
  <c r="D140" i="15" s="1"/>
  <c r="D141" i="15" s="1"/>
  <c r="D142" i="15" s="1"/>
  <c r="D143" i="15" s="1"/>
  <c r="D144" i="15" s="1"/>
  <c r="D145" i="15" s="1"/>
  <c r="D146" i="15" s="1"/>
  <c r="D147" i="15" s="1"/>
  <c r="D148" i="15" s="1"/>
  <c r="D149" i="15" s="1"/>
  <c r="D150" i="15" s="1"/>
  <c r="D151" i="15" s="1"/>
  <c r="D152" i="15" s="1"/>
  <c r="D153" i="15" s="1"/>
  <c r="D154" i="15" s="1"/>
  <c r="D155" i="15" s="1"/>
  <c r="D156" i="15" s="1"/>
  <c r="D157" i="15" s="1"/>
  <c r="D158" i="15" s="1"/>
  <c r="D159" i="15" s="1"/>
  <c r="D160" i="15" s="1"/>
  <c r="D161" i="15" s="1"/>
  <c r="D162" i="15" s="1"/>
  <c r="D163" i="15" s="1"/>
  <c r="D164" i="15" s="1"/>
  <c r="D165" i="15" s="1"/>
  <c r="D166" i="15" s="1"/>
  <c r="D167" i="15" s="1"/>
  <c r="D168" i="15" s="1"/>
  <c r="D169" i="15" s="1"/>
  <c r="D170" i="15" s="1"/>
  <c r="D171" i="15" s="1"/>
  <c r="D172" i="15" s="1"/>
  <c r="D173" i="15" s="1"/>
  <c r="D174" i="15" s="1"/>
  <c r="D175" i="15" s="1"/>
  <c r="D176" i="15" s="1"/>
  <c r="D177" i="15" s="1"/>
  <c r="D178" i="15" s="1"/>
  <c r="D179" i="15" s="1"/>
  <c r="D180" i="15" s="1"/>
  <c r="D181" i="15" s="1"/>
  <c r="D182" i="15" s="1"/>
  <c r="D183" i="15" s="1"/>
  <c r="D184" i="15" s="1"/>
  <c r="J4" i="15" l="1"/>
  <c r="B4" i="15"/>
  <c r="A3" i="19"/>
  <c r="A1" i="19"/>
  <c r="F4" i="19"/>
  <c r="H5" i="1"/>
  <c r="G5" i="1"/>
  <c r="F5" i="1"/>
  <c r="E5" i="1"/>
  <c r="Z123" i="19"/>
  <c r="Z122" i="19"/>
  <c r="Z121" i="19"/>
  <c r="Z120" i="19"/>
  <c r="Z119" i="19"/>
  <c r="Z118" i="19"/>
  <c r="Z117" i="19"/>
  <c r="Z116" i="19"/>
  <c r="Z115" i="19"/>
  <c r="Z114" i="19"/>
  <c r="AL113" i="19"/>
  <c r="Z113" i="19"/>
  <c r="AL112" i="19"/>
  <c r="Z112" i="19"/>
  <c r="AL111" i="19"/>
  <c r="Z111" i="19"/>
  <c r="AL110" i="19"/>
  <c r="Z110" i="19"/>
  <c r="AL109" i="19"/>
  <c r="Z109" i="19"/>
  <c r="AL108" i="19"/>
  <c r="Z108" i="19"/>
  <c r="AL107" i="19"/>
  <c r="Z107" i="19"/>
  <c r="AL106" i="19"/>
  <c r="Z106" i="19"/>
  <c r="AL105" i="19"/>
  <c r="Z105" i="19"/>
  <c r="AL104" i="19"/>
  <c r="Z104" i="19"/>
  <c r="AL103" i="19"/>
  <c r="Z103" i="19"/>
  <c r="AL102" i="19"/>
  <c r="Z102" i="19"/>
  <c r="AL101" i="19"/>
  <c r="Z101" i="19"/>
  <c r="AL100" i="19"/>
  <c r="Z100" i="19"/>
  <c r="AL99" i="19"/>
  <c r="Z99" i="19"/>
  <c r="AL98" i="19"/>
  <c r="Z98" i="19"/>
  <c r="AL97" i="19"/>
  <c r="Z97" i="19"/>
  <c r="AL96" i="19"/>
  <c r="Z96" i="19"/>
  <c r="AL95" i="19"/>
  <c r="Z95" i="19"/>
  <c r="AL94" i="19"/>
  <c r="Z94" i="19"/>
  <c r="AL93" i="19"/>
  <c r="Z93" i="19"/>
  <c r="AL92" i="19"/>
  <c r="Z92" i="19"/>
  <c r="AL91" i="19"/>
  <c r="Z91" i="19"/>
  <c r="AL90" i="19"/>
  <c r="Z90" i="19"/>
  <c r="AL89" i="19"/>
  <c r="Z89" i="19"/>
  <c r="AL88" i="19"/>
  <c r="Z88" i="19"/>
  <c r="AL87" i="19"/>
  <c r="Z87" i="19"/>
  <c r="AL86" i="19"/>
  <c r="Z86" i="19"/>
  <c r="AL85" i="19"/>
  <c r="Z85" i="19"/>
  <c r="AL84" i="19"/>
  <c r="Z84" i="19"/>
  <c r="AL83" i="19"/>
  <c r="Z83" i="19"/>
  <c r="AL82" i="19"/>
  <c r="Z82" i="19"/>
  <c r="AL81" i="19"/>
  <c r="Z81" i="19"/>
  <c r="AL80" i="19"/>
  <c r="Z80" i="19"/>
  <c r="AL79" i="19"/>
  <c r="Z79" i="19"/>
  <c r="AL78" i="19"/>
  <c r="Z78" i="19"/>
  <c r="AL77" i="19"/>
  <c r="Z77" i="19"/>
  <c r="AL76" i="19"/>
  <c r="Z76" i="19"/>
  <c r="AL75" i="19"/>
  <c r="Z75" i="19"/>
  <c r="AL74" i="19"/>
  <c r="Z74" i="19"/>
  <c r="AL73" i="19"/>
  <c r="Z73" i="19"/>
  <c r="AL72" i="19"/>
  <c r="Z72" i="19"/>
  <c r="AL71" i="19"/>
  <c r="Z71" i="19"/>
  <c r="AL70" i="19"/>
  <c r="Z70" i="19"/>
  <c r="AL69" i="19"/>
  <c r="Z69" i="19"/>
  <c r="AL68" i="19"/>
  <c r="Z68" i="19"/>
  <c r="AL67" i="19"/>
  <c r="Z67" i="19"/>
  <c r="AL66" i="19"/>
  <c r="Z66" i="19"/>
  <c r="AL65" i="19"/>
  <c r="Z65" i="19"/>
  <c r="AL64" i="19"/>
  <c r="Z64" i="19"/>
  <c r="BJ63" i="19"/>
  <c r="AL63" i="19"/>
  <c r="Z63" i="19"/>
  <c r="BJ62" i="19"/>
  <c r="AL62" i="19"/>
  <c r="Z62" i="19"/>
  <c r="BJ61" i="19"/>
  <c r="AL61" i="19"/>
  <c r="Z61" i="19"/>
  <c r="BJ60" i="19"/>
  <c r="AL60" i="19"/>
  <c r="Z60" i="19"/>
  <c r="BJ59" i="19"/>
  <c r="AL59" i="19"/>
  <c r="Z59" i="19"/>
  <c r="BJ58" i="19"/>
  <c r="AL58" i="19"/>
  <c r="Z58" i="19"/>
  <c r="BJ57" i="19"/>
  <c r="AL57" i="19"/>
  <c r="Z57" i="19"/>
  <c r="BJ56" i="19"/>
  <c r="AL56" i="19"/>
  <c r="Z56" i="19"/>
  <c r="BJ55" i="19"/>
  <c r="AL55" i="19"/>
  <c r="Z55" i="19"/>
  <c r="BJ54" i="19"/>
  <c r="AL54" i="19"/>
  <c r="Z54" i="19"/>
  <c r="BJ53" i="19"/>
  <c r="AL53" i="19"/>
  <c r="Z53" i="19"/>
  <c r="BJ52" i="19"/>
  <c r="AL52" i="19"/>
  <c r="Z52" i="19"/>
  <c r="BJ51" i="19"/>
  <c r="AL51" i="19"/>
  <c r="Z51" i="19"/>
  <c r="BJ50" i="19"/>
  <c r="AL50" i="19"/>
  <c r="Z50" i="19"/>
  <c r="BJ49" i="19"/>
  <c r="AL49" i="19"/>
  <c r="Z49" i="19"/>
  <c r="BJ48" i="19"/>
  <c r="AL48" i="19"/>
  <c r="Z48" i="19"/>
  <c r="BJ47" i="19"/>
  <c r="AL47" i="19"/>
  <c r="Z47" i="19"/>
  <c r="BJ46" i="19"/>
  <c r="AL46" i="19"/>
  <c r="Z46" i="19"/>
  <c r="BJ45" i="19"/>
  <c r="AL45" i="19"/>
  <c r="Z45" i="19"/>
  <c r="BJ44" i="19"/>
  <c r="AL44" i="19"/>
  <c r="Z44" i="19"/>
  <c r="BJ43" i="19"/>
  <c r="AL43" i="19"/>
  <c r="Z43" i="19"/>
  <c r="BJ42" i="19"/>
  <c r="AL42" i="19"/>
  <c r="Z42" i="19"/>
  <c r="BJ41" i="19"/>
  <c r="AL41" i="19"/>
  <c r="Z41" i="19"/>
  <c r="BJ40" i="19"/>
  <c r="AL40" i="19"/>
  <c r="Z40" i="19"/>
  <c r="BJ39" i="19"/>
  <c r="AL39" i="19"/>
  <c r="Z39" i="19"/>
  <c r="BJ38" i="19"/>
  <c r="AL38" i="19"/>
  <c r="Z38" i="19"/>
  <c r="BJ37" i="19"/>
  <c r="AL37" i="19"/>
  <c r="Z37" i="19"/>
  <c r="BJ36" i="19"/>
  <c r="AL36" i="19"/>
  <c r="Z36" i="19"/>
  <c r="BJ35" i="19"/>
  <c r="AL35" i="19"/>
  <c r="Z35" i="19"/>
  <c r="BJ34" i="19"/>
  <c r="AL34" i="19"/>
  <c r="Z34" i="19"/>
  <c r="BJ33" i="19"/>
  <c r="AL33" i="19"/>
  <c r="Z33" i="19"/>
  <c r="BJ32" i="19"/>
  <c r="AL32" i="19"/>
  <c r="Z32" i="19"/>
  <c r="BJ31" i="19"/>
  <c r="AL31" i="19"/>
  <c r="Z31" i="19"/>
  <c r="BJ30" i="19"/>
  <c r="AL30" i="19"/>
  <c r="Z30" i="19"/>
  <c r="BJ29" i="19"/>
  <c r="AL29" i="19"/>
  <c r="Z29" i="19"/>
  <c r="BJ28" i="19"/>
  <c r="AL28" i="19"/>
  <c r="Z28" i="19"/>
  <c r="BJ27" i="19"/>
  <c r="AL27" i="19"/>
  <c r="Z27" i="19"/>
  <c r="BJ26" i="19"/>
  <c r="AL26" i="19"/>
  <c r="Z26" i="19"/>
  <c r="BJ25" i="19"/>
  <c r="AL25" i="19"/>
  <c r="Z25" i="19"/>
  <c r="BJ24" i="19"/>
  <c r="AL24" i="19"/>
  <c r="Z24" i="19"/>
  <c r="BJ23" i="19"/>
  <c r="AL23" i="19"/>
  <c r="Z23" i="19"/>
  <c r="BJ22" i="19"/>
  <c r="AL22" i="19"/>
  <c r="Z22" i="19"/>
  <c r="BJ21" i="19"/>
  <c r="AL21" i="19"/>
  <c r="Z21" i="19"/>
  <c r="BJ20" i="19"/>
  <c r="AL20" i="19"/>
  <c r="Z20" i="19"/>
  <c r="BJ19" i="19"/>
  <c r="AL19" i="19"/>
  <c r="Z19" i="19"/>
  <c r="BJ18" i="19"/>
  <c r="AL18" i="19"/>
  <c r="Z18" i="19"/>
  <c r="BJ17" i="19"/>
  <c r="AL17" i="19"/>
  <c r="Z17" i="19"/>
  <c r="BJ16" i="19"/>
  <c r="AL16" i="19"/>
  <c r="Z16" i="19"/>
  <c r="BJ15" i="19"/>
  <c r="AL15" i="19"/>
  <c r="Z15" i="19"/>
  <c r="BJ14" i="19"/>
  <c r="AL14" i="19"/>
  <c r="Z14" i="19"/>
  <c r="BJ13" i="19"/>
  <c r="AL13" i="19"/>
  <c r="Z13" i="19"/>
  <c r="BJ12" i="19"/>
  <c r="AL12" i="19"/>
  <c r="Z12" i="19"/>
  <c r="BJ11" i="19"/>
  <c r="AL11" i="19"/>
  <c r="Z11" i="19"/>
  <c r="BJ10" i="19"/>
  <c r="AL10" i="19"/>
  <c r="Z10" i="19"/>
  <c r="BJ9" i="19"/>
  <c r="AL9" i="19"/>
  <c r="Z9" i="19"/>
  <c r="BJ8" i="19"/>
  <c r="AL8" i="19"/>
  <c r="Z8" i="19"/>
  <c r="BJ7" i="19"/>
  <c r="AL7" i="19"/>
  <c r="Z7" i="19"/>
  <c r="BJ6" i="19"/>
  <c r="AL6" i="19"/>
  <c r="Z6" i="19"/>
  <c r="BJ5" i="19"/>
  <c r="AL5" i="19"/>
  <c r="Z5" i="19"/>
  <c r="BO4" i="19"/>
  <c r="BM4" i="19"/>
  <c r="BJ4" i="19"/>
  <c r="BH4" i="19"/>
  <c r="BH5" i="19" s="1"/>
  <c r="BC4" i="19"/>
  <c r="BE4" i="19" s="1"/>
  <c r="BA4" i="19"/>
  <c r="AV4" i="19"/>
  <c r="AV5" i="19" s="1"/>
  <c r="AQ4" i="19"/>
  <c r="AS4" i="19" s="1"/>
  <c r="AO4" i="19"/>
  <c r="AL4" i="19"/>
  <c r="AJ4" i="19"/>
  <c r="AN4" i="19" s="1"/>
  <c r="AE4" i="19"/>
  <c r="AG4" i="19" s="1"/>
  <c r="AC4" i="19"/>
  <c r="Z4" i="19"/>
  <c r="X4" i="19"/>
  <c r="S4" i="19"/>
  <c r="U4" i="19" s="1"/>
  <c r="Q4" i="19"/>
  <c r="H4" i="19"/>
  <c r="B4" i="19"/>
  <c r="BG3" i="19"/>
  <c r="AU3" i="19"/>
  <c r="AJ3" i="19"/>
  <c r="W3" i="19"/>
  <c r="M3" i="19"/>
  <c r="Z123" i="18"/>
  <c r="Z122" i="18"/>
  <c r="Z121" i="18"/>
  <c r="Z120" i="18"/>
  <c r="Z119" i="18"/>
  <c r="Z118" i="18"/>
  <c r="Z117" i="18"/>
  <c r="Z116" i="18"/>
  <c r="Z115" i="18"/>
  <c r="Z114" i="18"/>
  <c r="AL113" i="18"/>
  <c r="Z113" i="18"/>
  <c r="AL112" i="18"/>
  <c r="Z112" i="18"/>
  <c r="AL111" i="18"/>
  <c r="Z111" i="18"/>
  <c r="AL110" i="18"/>
  <c r="Z110" i="18"/>
  <c r="AL109" i="18"/>
  <c r="Z109" i="18"/>
  <c r="AL108" i="18"/>
  <c r="Z108" i="18"/>
  <c r="AL107" i="18"/>
  <c r="Z107" i="18"/>
  <c r="AL106" i="18"/>
  <c r="Z106" i="18"/>
  <c r="AL105" i="18"/>
  <c r="Z105" i="18"/>
  <c r="AL104" i="18"/>
  <c r="Z104" i="18"/>
  <c r="AL103" i="18"/>
  <c r="Z103" i="18"/>
  <c r="AL102" i="18"/>
  <c r="Z102" i="18"/>
  <c r="AL101" i="18"/>
  <c r="Z101" i="18"/>
  <c r="AL100" i="18"/>
  <c r="Z100" i="18"/>
  <c r="AL99" i="18"/>
  <c r="Z99" i="18"/>
  <c r="AL98" i="18"/>
  <c r="Z98" i="18"/>
  <c r="AL97" i="18"/>
  <c r="Z97" i="18"/>
  <c r="AL96" i="18"/>
  <c r="Z96" i="18"/>
  <c r="AL95" i="18"/>
  <c r="Z95" i="18"/>
  <c r="AL94" i="18"/>
  <c r="Z94" i="18"/>
  <c r="AL93" i="18"/>
  <c r="Z93" i="18"/>
  <c r="AL92" i="18"/>
  <c r="Z92" i="18"/>
  <c r="AL91" i="18"/>
  <c r="Z91" i="18"/>
  <c r="AL90" i="18"/>
  <c r="Z90" i="18"/>
  <c r="AL89" i="18"/>
  <c r="Z89" i="18"/>
  <c r="AL88" i="18"/>
  <c r="Z88" i="18"/>
  <c r="AL87" i="18"/>
  <c r="Z87" i="18"/>
  <c r="AL86" i="18"/>
  <c r="Z86" i="18"/>
  <c r="AL85" i="18"/>
  <c r="Z85" i="18"/>
  <c r="AL84" i="18"/>
  <c r="Z84" i="18"/>
  <c r="AL83" i="18"/>
  <c r="Z83" i="18"/>
  <c r="AL82" i="18"/>
  <c r="Z82" i="18"/>
  <c r="AL81" i="18"/>
  <c r="Z81" i="18"/>
  <c r="AL80" i="18"/>
  <c r="Z80" i="18"/>
  <c r="AL79" i="18"/>
  <c r="Z79" i="18"/>
  <c r="AL78" i="18"/>
  <c r="Z78" i="18"/>
  <c r="AL77" i="18"/>
  <c r="Z77" i="18"/>
  <c r="AL76" i="18"/>
  <c r="Z76" i="18"/>
  <c r="AL75" i="18"/>
  <c r="Z75" i="18"/>
  <c r="AL74" i="18"/>
  <c r="Z74" i="18"/>
  <c r="AL73" i="18"/>
  <c r="Z73" i="18"/>
  <c r="AL72" i="18"/>
  <c r="Z72" i="18"/>
  <c r="AL71" i="18"/>
  <c r="Z71" i="18"/>
  <c r="AL70" i="18"/>
  <c r="Z70" i="18"/>
  <c r="AL69" i="18"/>
  <c r="Z69" i="18"/>
  <c r="AL68" i="18"/>
  <c r="Z68" i="18"/>
  <c r="AL67" i="18"/>
  <c r="Z67" i="18"/>
  <c r="AL66" i="18"/>
  <c r="Z66" i="18"/>
  <c r="AL65" i="18"/>
  <c r="Z65" i="18"/>
  <c r="AL64" i="18"/>
  <c r="Z64" i="18"/>
  <c r="BJ63" i="18"/>
  <c r="AL63" i="18"/>
  <c r="Z63" i="18"/>
  <c r="BJ62" i="18"/>
  <c r="AL62" i="18"/>
  <c r="Z62" i="18"/>
  <c r="BJ61" i="18"/>
  <c r="AL61" i="18"/>
  <c r="Z61" i="18"/>
  <c r="BJ60" i="18"/>
  <c r="AL60" i="18"/>
  <c r="Z60" i="18"/>
  <c r="BJ59" i="18"/>
  <c r="AL59" i="18"/>
  <c r="Z59" i="18"/>
  <c r="BJ58" i="18"/>
  <c r="AL58" i="18"/>
  <c r="Z58" i="18"/>
  <c r="BJ57" i="18"/>
  <c r="AL57" i="18"/>
  <c r="Z57" i="18"/>
  <c r="BJ56" i="18"/>
  <c r="AL56" i="18"/>
  <c r="Z56" i="18"/>
  <c r="BJ55" i="18"/>
  <c r="AL55" i="18"/>
  <c r="Z55" i="18"/>
  <c r="BJ54" i="18"/>
  <c r="AL54" i="18"/>
  <c r="Z54" i="18"/>
  <c r="BJ53" i="18"/>
  <c r="AL53" i="18"/>
  <c r="Z53" i="18"/>
  <c r="BJ52" i="18"/>
  <c r="AL52" i="18"/>
  <c r="Z52" i="18"/>
  <c r="BJ51" i="18"/>
  <c r="AL51" i="18"/>
  <c r="Z51" i="18"/>
  <c r="BJ50" i="18"/>
  <c r="AL50" i="18"/>
  <c r="Z50" i="18"/>
  <c r="BJ49" i="18"/>
  <c r="AL49" i="18"/>
  <c r="Z49" i="18"/>
  <c r="BJ48" i="18"/>
  <c r="AL48" i="18"/>
  <c r="Z48" i="18"/>
  <c r="BJ47" i="18"/>
  <c r="AL47" i="18"/>
  <c r="Z47" i="18"/>
  <c r="BJ46" i="18"/>
  <c r="AL46" i="18"/>
  <c r="Z46" i="18"/>
  <c r="BJ45" i="18"/>
  <c r="AL45" i="18"/>
  <c r="Z45" i="18"/>
  <c r="BJ44" i="18"/>
  <c r="AL44" i="18"/>
  <c r="Z44" i="18"/>
  <c r="BJ43" i="18"/>
  <c r="AL43" i="18"/>
  <c r="Z43" i="18"/>
  <c r="BJ42" i="18"/>
  <c r="AL42" i="18"/>
  <c r="Z42" i="18"/>
  <c r="BJ41" i="18"/>
  <c r="AL41" i="18"/>
  <c r="Z41" i="18"/>
  <c r="BJ40" i="18"/>
  <c r="AL40" i="18"/>
  <c r="Z40" i="18"/>
  <c r="BJ39" i="18"/>
  <c r="AL39" i="18"/>
  <c r="Z39" i="18"/>
  <c r="BJ38" i="18"/>
  <c r="AL38" i="18"/>
  <c r="Z38" i="18"/>
  <c r="BJ37" i="18"/>
  <c r="AL37" i="18"/>
  <c r="Z37" i="18"/>
  <c r="BJ36" i="18"/>
  <c r="AL36" i="18"/>
  <c r="Z36" i="18"/>
  <c r="BJ35" i="18"/>
  <c r="AL35" i="18"/>
  <c r="Z35" i="18"/>
  <c r="BJ34" i="18"/>
  <c r="AL34" i="18"/>
  <c r="Z34" i="18"/>
  <c r="BJ33" i="18"/>
  <c r="AL33" i="18"/>
  <c r="Z33" i="18"/>
  <c r="BJ32" i="18"/>
  <c r="AL32" i="18"/>
  <c r="Z32" i="18"/>
  <c r="BJ31" i="18"/>
  <c r="AL31" i="18"/>
  <c r="Z31" i="18"/>
  <c r="BJ30" i="18"/>
  <c r="AL30" i="18"/>
  <c r="Z30" i="18"/>
  <c r="BJ29" i="18"/>
  <c r="AL29" i="18"/>
  <c r="Z29" i="18"/>
  <c r="BJ28" i="18"/>
  <c r="AL28" i="18"/>
  <c r="Z28" i="18"/>
  <c r="BJ27" i="18"/>
  <c r="AL27" i="18"/>
  <c r="Z27" i="18"/>
  <c r="BJ26" i="18"/>
  <c r="AL26" i="18"/>
  <c r="Z26" i="18"/>
  <c r="BJ25" i="18"/>
  <c r="AL25" i="18"/>
  <c r="Z25" i="18"/>
  <c r="BJ24" i="18"/>
  <c r="AL24" i="18"/>
  <c r="Z24" i="18"/>
  <c r="BJ23" i="18"/>
  <c r="AL23" i="18"/>
  <c r="Z23" i="18"/>
  <c r="BJ22" i="18"/>
  <c r="AL22" i="18"/>
  <c r="Z22" i="18"/>
  <c r="BJ21" i="18"/>
  <c r="AL21" i="18"/>
  <c r="Z21" i="18"/>
  <c r="BJ20" i="18"/>
  <c r="AL20" i="18"/>
  <c r="Z20" i="18"/>
  <c r="BJ19" i="18"/>
  <c r="AL19" i="18"/>
  <c r="Z19" i="18"/>
  <c r="BJ18" i="18"/>
  <c r="AL18" i="18"/>
  <c r="Z18" i="18"/>
  <c r="BJ17" i="18"/>
  <c r="AL17" i="18"/>
  <c r="Z17" i="18"/>
  <c r="BJ16" i="18"/>
  <c r="AL16" i="18"/>
  <c r="Z16" i="18"/>
  <c r="BJ15" i="18"/>
  <c r="AL15" i="18"/>
  <c r="Z15" i="18"/>
  <c r="BJ14" i="18"/>
  <c r="AL14" i="18"/>
  <c r="Z14" i="18"/>
  <c r="BJ13" i="18"/>
  <c r="AL13" i="18"/>
  <c r="Z13" i="18"/>
  <c r="BJ12" i="18"/>
  <c r="AL12" i="18"/>
  <c r="Z12" i="18"/>
  <c r="BJ11" i="18"/>
  <c r="AL11" i="18"/>
  <c r="Z11" i="18"/>
  <c r="BJ10" i="18"/>
  <c r="AL10" i="18"/>
  <c r="Z10" i="18"/>
  <c r="BJ9" i="18"/>
  <c r="AL9" i="18"/>
  <c r="Z9" i="18"/>
  <c r="BJ8" i="18"/>
  <c r="AL8" i="18"/>
  <c r="Z8" i="18"/>
  <c r="BJ7" i="18"/>
  <c r="AL7" i="18"/>
  <c r="Z7" i="18"/>
  <c r="BJ6" i="18"/>
  <c r="AL6" i="18"/>
  <c r="Z6" i="18"/>
  <c r="BJ5" i="18"/>
  <c r="AL5" i="18"/>
  <c r="Z5" i="18"/>
  <c r="BO4" i="18"/>
  <c r="BQ4" i="18" s="1"/>
  <c r="BM4" i="18"/>
  <c r="BJ4" i="18"/>
  <c r="BH4" i="18"/>
  <c r="BL4" i="18" s="1"/>
  <c r="BC4" i="18"/>
  <c r="BE4" i="18" s="1"/>
  <c r="BA4" i="18"/>
  <c r="AV4" i="18"/>
  <c r="AV5" i="18" s="1"/>
  <c r="AQ4" i="18"/>
  <c r="AS4" i="18" s="1"/>
  <c r="AO4" i="18"/>
  <c r="AL4" i="18"/>
  <c r="AJ4" i="18"/>
  <c r="AJ5" i="18" s="1"/>
  <c r="AE4" i="18"/>
  <c r="AG4" i="18" s="1"/>
  <c r="AC4" i="18"/>
  <c r="Z4" i="18"/>
  <c r="X4" i="18"/>
  <c r="S4" i="18"/>
  <c r="U4" i="18" s="1"/>
  <c r="Q4" i="18"/>
  <c r="H4" i="18"/>
  <c r="J4" i="18" s="1"/>
  <c r="F4" i="18"/>
  <c r="B4" i="18"/>
  <c r="BG3" i="18"/>
  <c r="AU3" i="18"/>
  <c r="AJ3" i="18"/>
  <c r="W3" i="18"/>
  <c r="M3" i="18"/>
  <c r="Z123" i="17"/>
  <c r="Z122" i="17"/>
  <c r="Z121" i="17"/>
  <c r="Z120" i="17"/>
  <c r="Z119" i="17"/>
  <c r="Z118" i="17"/>
  <c r="Z117" i="17"/>
  <c r="Z116" i="17"/>
  <c r="Z115" i="17"/>
  <c r="Z114" i="17"/>
  <c r="AL113" i="17"/>
  <c r="Z113" i="17"/>
  <c r="AL112" i="17"/>
  <c r="Z112" i="17"/>
  <c r="AL111" i="17"/>
  <c r="Z111" i="17"/>
  <c r="AL110" i="17"/>
  <c r="Z110" i="17"/>
  <c r="AL109" i="17"/>
  <c r="Z109" i="17"/>
  <c r="AL108" i="17"/>
  <c r="Z108" i="17"/>
  <c r="AL107" i="17"/>
  <c r="Z107" i="17"/>
  <c r="AL106" i="17"/>
  <c r="Z106" i="17"/>
  <c r="AL105" i="17"/>
  <c r="Z105" i="17"/>
  <c r="AL104" i="17"/>
  <c r="Z104" i="17"/>
  <c r="AL103" i="17"/>
  <c r="Z103" i="17"/>
  <c r="AL102" i="17"/>
  <c r="Z102" i="17"/>
  <c r="AL101" i="17"/>
  <c r="Z101" i="17"/>
  <c r="AL100" i="17"/>
  <c r="Z100" i="17"/>
  <c r="AL99" i="17"/>
  <c r="Z99" i="17"/>
  <c r="AL98" i="17"/>
  <c r="Z98" i="17"/>
  <c r="AL97" i="17"/>
  <c r="Z97" i="17"/>
  <c r="AL96" i="17"/>
  <c r="Z96" i="17"/>
  <c r="AL95" i="17"/>
  <c r="Z95" i="17"/>
  <c r="AL94" i="17"/>
  <c r="Z94" i="17"/>
  <c r="AL93" i="17"/>
  <c r="Z93" i="17"/>
  <c r="AL92" i="17"/>
  <c r="Z92" i="17"/>
  <c r="AL91" i="17"/>
  <c r="Z91" i="17"/>
  <c r="AL90" i="17"/>
  <c r="Z90" i="17"/>
  <c r="AL89" i="17"/>
  <c r="Z89" i="17"/>
  <c r="AL88" i="17"/>
  <c r="Z88" i="17"/>
  <c r="AL87" i="17"/>
  <c r="Z87" i="17"/>
  <c r="AL86" i="17"/>
  <c r="Z86" i="17"/>
  <c r="AL85" i="17"/>
  <c r="Z85" i="17"/>
  <c r="AL84" i="17"/>
  <c r="Z84" i="17"/>
  <c r="AL83" i="17"/>
  <c r="Z83" i="17"/>
  <c r="AL82" i="17"/>
  <c r="Z82" i="17"/>
  <c r="AL81" i="17"/>
  <c r="Z81" i="17"/>
  <c r="AL80" i="17"/>
  <c r="Z80" i="17"/>
  <c r="AL79" i="17"/>
  <c r="Z79" i="17"/>
  <c r="AL78" i="17"/>
  <c r="Z78" i="17"/>
  <c r="AL77" i="17"/>
  <c r="Z77" i="17"/>
  <c r="AL76" i="17"/>
  <c r="Z76" i="17"/>
  <c r="AL75" i="17"/>
  <c r="Z75" i="17"/>
  <c r="AL74" i="17"/>
  <c r="Z74" i="17"/>
  <c r="AL73" i="17"/>
  <c r="Z73" i="17"/>
  <c r="AL72" i="17"/>
  <c r="Z72" i="17"/>
  <c r="AL71" i="17"/>
  <c r="Z71" i="17"/>
  <c r="AL70" i="17"/>
  <c r="Z70" i="17"/>
  <c r="AL69" i="17"/>
  <c r="Z69" i="17"/>
  <c r="AL68" i="17"/>
  <c r="Z68" i="17"/>
  <c r="AL67" i="17"/>
  <c r="Z67" i="17"/>
  <c r="AL66" i="17"/>
  <c r="Z66" i="17"/>
  <c r="AL65" i="17"/>
  <c r="Z65" i="17"/>
  <c r="AL64" i="17"/>
  <c r="Z64" i="17"/>
  <c r="BJ63" i="17"/>
  <c r="AL63" i="17"/>
  <c r="Z63" i="17"/>
  <c r="BJ62" i="17"/>
  <c r="AL62" i="17"/>
  <c r="Z62" i="17"/>
  <c r="BJ61" i="17"/>
  <c r="AL61" i="17"/>
  <c r="Z61" i="17"/>
  <c r="BJ60" i="17"/>
  <c r="AL60" i="17"/>
  <c r="Z60" i="17"/>
  <c r="BJ59" i="17"/>
  <c r="AL59" i="17"/>
  <c r="Z59" i="17"/>
  <c r="BJ58" i="17"/>
  <c r="AL58" i="17"/>
  <c r="Z58" i="17"/>
  <c r="BJ57" i="17"/>
  <c r="AL57" i="17"/>
  <c r="Z57" i="17"/>
  <c r="BJ56" i="17"/>
  <c r="AL56" i="17"/>
  <c r="Z56" i="17"/>
  <c r="BJ55" i="17"/>
  <c r="AL55" i="17"/>
  <c r="Z55" i="17"/>
  <c r="BJ54" i="17"/>
  <c r="AL54" i="17"/>
  <c r="Z54" i="17"/>
  <c r="BJ53" i="17"/>
  <c r="AL53" i="17"/>
  <c r="Z53" i="17"/>
  <c r="BJ52" i="17"/>
  <c r="AL52" i="17"/>
  <c r="Z52" i="17"/>
  <c r="BJ51" i="17"/>
  <c r="AL51" i="17"/>
  <c r="Z51" i="17"/>
  <c r="BJ50" i="17"/>
  <c r="AL50" i="17"/>
  <c r="Z50" i="17"/>
  <c r="BJ49" i="17"/>
  <c r="AL49" i="17"/>
  <c r="Z49" i="17"/>
  <c r="BJ48" i="17"/>
  <c r="AL48" i="17"/>
  <c r="Z48" i="17"/>
  <c r="BJ47" i="17"/>
  <c r="AL47" i="17"/>
  <c r="Z47" i="17"/>
  <c r="BJ46" i="17"/>
  <c r="AL46" i="17"/>
  <c r="Z46" i="17"/>
  <c r="BJ45" i="17"/>
  <c r="AL45" i="17"/>
  <c r="Z45" i="17"/>
  <c r="BJ44" i="17"/>
  <c r="AL44" i="17"/>
  <c r="Z44" i="17"/>
  <c r="BJ43" i="17"/>
  <c r="AL43" i="17"/>
  <c r="Z43" i="17"/>
  <c r="BJ42" i="17"/>
  <c r="AL42" i="17"/>
  <c r="Z42" i="17"/>
  <c r="BJ41" i="17"/>
  <c r="AL41" i="17"/>
  <c r="Z41" i="17"/>
  <c r="BJ40" i="17"/>
  <c r="AL40" i="17"/>
  <c r="Z40" i="17"/>
  <c r="BJ39" i="17"/>
  <c r="AL39" i="17"/>
  <c r="Z39" i="17"/>
  <c r="BJ38" i="17"/>
  <c r="AL38" i="17"/>
  <c r="Z38" i="17"/>
  <c r="BJ37" i="17"/>
  <c r="AL37" i="17"/>
  <c r="Z37" i="17"/>
  <c r="BJ36" i="17"/>
  <c r="AL36" i="17"/>
  <c r="Z36" i="17"/>
  <c r="BJ35" i="17"/>
  <c r="AL35" i="17"/>
  <c r="Z35" i="17"/>
  <c r="BJ34" i="17"/>
  <c r="AL34" i="17"/>
  <c r="Z34" i="17"/>
  <c r="BJ33" i="17"/>
  <c r="AL33" i="17"/>
  <c r="Z33" i="17"/>
  <c r="BJ32" i="17"/>
  <c r="AL32" i="17"/>
  <c r="Z32" i="17"/>
  <c r="BJ31" i="17"/>
  <c r="AL31" i="17"/>
  <c r="Z31" i="17"/>
  <c r="BJ30" i="17"/>
  <c r="AL30" i="17"/>
  <c r="Z30" i="17"/>
  <c r="BJ29" i="17"/>
  <c r="AL29" i="17"/>
  <c r="Z29" i="17"/>
  <c r="BJ28" i="17"/>
  <c r="AL28" i="17"/>
  <c r="Z28" i="17"/>
  <c r="BJ27" i="17"/>
  <c r="AL27" i="17"/>
  <c r="Z27" i="17"/>
  <c r="BJ26" i="17"/>
  <c r="AL26" i="17"/>
  <c r="Z26" i="17"/>
  <c r="BJ25" i="17"/>
  <c r="AL25" i="17"/>
  <c r="Z25" i="17"/>
  <c r="BJ24" i="17"/>
  <c r="AL24" i="17"/>
  <c r="Z24" i="17"/>
  <c r="BJ23" i="17"/>
  <c r="AL23" i="17"/>
  <c r="Z23" i="17"/>
  <c r="BJ22" i="17"/>
  <c r="AL22" i="17"/>
  <c r="Z22" i="17"/>
  <c r="BJ21" i="17"/>
  <c r="AL21" i="17"/>
  <c r="Z21" i="17"/>
  <c r="BJ20" i="17"/>
  <c r="AL20" i="17"/>
  <c r="Z20" i="17"/>
  <c r="BJ19" i="17"/>
  <c r="AL19" i="17"/>
  <c r="Z19" i="17"/>
  <c r="BJ18" i="17"/>
  <c r="AL18" i="17"/>
  <c r="Z18" i="17"/>
  <c r="BJ17" i="17"/>
  <c r="AL17" i="17"/>
  <c r="Z17" i="17"/>
  <c r="BJ16" i="17"/>
  <c r="AL16" i="17"/>
  <c r="Z16" i="17"/>
  <c r="BJ15" i="17"/>
  <c r="AL15" i="17"/>
  <c r="Z15" i="17"/>
  <c r="BJ14" i="17"/>
  <c r="AL14" i="17"/>
  <c r="Z14" i="17"/>
  <c r="BJ13" i="17"/>
  <c r="AL13" i="17"/>
  <c r="Z13" i="17"/>
  <c r="BJ12" i="17"/>
  <c r="AL12" i="17"/>
  <c r="Z12" i="17"/>
  <c r="BJ11" i="17"/>
  <c r="AL11" i="17"/>
  <c r="Z11" i="17"/>
  <c r="BJ10" i="17"/>
  <c r="AL10" i="17"/>
  <c r="Z10" i="17"/>
  <c r="BJ9" i="17"/>
  <c r="AL9" i="17"/>
  <c r="Z9" i="17"/>
  <c r="BJ8" i="17"/>
  <c r="AL8" i="17"/>
  <c r="Z8" i="17"/>
  <c r="BJ7" i="17"/>
  <c r="AL7" i="17"/>
  <c r="Z7" i="17"/>
  <c r="BJ6" i="17"/>
  <c r="AL6" i="17"/>
  <c r="Z6" i="17"/>
  <c r="BJ5" i="17"/>
  <c r="AL5" i="17"/>
  <c r="Z5" i="17"/>
  <c r="BO4" i="17"/>
  <c r="BQ4" i="17" s="1"/>
  <c r="BM4" i="17"/>
  <c r="BJ4" i="17"/>
  <c r="BH4" i="17"/>
  <c r="BL4" i="17" s="1"/>
  <c r="BC4" i="17"/>
  <c r="BE4" i="17" s="1"/>
  <c r="BA4" i="17"/>
  <c r="AV4" i="17"/>
  <c r="AV5" i="17" s="1"/>
  <c r="AZ5" i="17" s="1"/>
  <c r="AQ4" i="17"/>
  <c r="AS4" i="17" s="1"/>
  <c r="AO4" i="17"/>
  <c r="AL4" i="17"/>
  <c r="AJ4" i="17"/>
  <c r="AJ5" i="17" s="1"/>
  <c r="AJ6" i="17" s="1"/>
  <c r="AE4" i="17"/>
  <c r="AG4" i="17" s="1"/>
  <c r="AC4" i="17"/>
  <c r="Z4" i="17"/>
  <c r="X4" i="17"/>
  <c r="S4" i="17"/>
  <c r="U4" i="17" s="1"/>
  <c r="Q4" i="17"/>
  <c r="H4" i="17"/>
  <c r="J4" i="17" s="1"/>
  <c r="F4" i="17"/>
  <c r="B4" i="17"/>
  <c r="E4" i="17" s="1"/>
  <c r="BG3" i="17"/>
  <c r="AU3" i="17"/>
  <c r="AJ3" i="17"/>
  <c r="W3" i="17"/>
  <c r="M3" i="17"/>
  <c r="Z123" i="16"/>
  <c r="Z122" i="16"/>
  <c r="Z121" i="16"/>
  <c r="Z120" i="16"/>
  <c r="Z119" i="16"/>
  <c r="Z118" i="16"/>
  <c r="Z117" i="16"/>
  <c r="Z116" i="16"/>
  <c r="Z115" i="16"/>
  <c r="Z114" i="16"/>
  <c r="AL113" i="16"/>
  <c r="Z113" i="16"/>
  <c r="AL112" i="16"/>
  <c r="Z112" i="16"/>
  <c r="AL111" i="16"/>
  <c r="Z111" i="16"/>
  <c r="AL110" i="16"/>
  <c r="Z110" i="16"/>
  <c r="AL109" i="16"/>
  <c r="Z109" i="16"/>
  <c r="AL108" i="16"/>
  <c r="Z108" i="16"/>
  <c r="AL107" i="16"/>
  <c r="Z107" i="16"/>
  <c r="AL106" i="16"/>
  <c r="Z106" i="16"/>
  <c r="AL105" i="16"/>
  <c r="Z105" i="16"/>
  <c r="AL104" i="16"/>
  <c r="Z104" i="16"/>
  <c r="AL103" i="16"/>
  <c r="Z103" i="16"/>
  <c r="AL102" i="16"/>
  <c r="Z102" i="16"/>
  <c r="AL101" i="16"/>
  <c r="Z101" i="16"/>
  <c r="AL100" i="16"/>
  <c r="Z100" i="16"/>
  <c r="AL99" i="16"/>
  <c r="Z99" i="16"/>
  <c r="AL98" i="16"/>
  <c r="Z98" i="16"/>
  <c r="AL97" i="16"/>
  <c r="Z97" i="16"/>
  <c r="AL96" i="16"/>
  <c r="Z96" i="16"/>
  <c r="AL95" i="16"/>
  <c r="Z95" i="16"/>
  <c r="AL94" i="16"/>
  <c r="Z94" i="16"/>
  <c r="AL93" i="16"/>
  <c r="Z93" i="16"/>
  <c r="AL92" i="16"/>
  <c r="Z92" i="16"/>
  <c r="AL91" i="16"/>
  <c r="Z91" i="16"/>
  <c r="AL90" i="16"/>
  <c r="Z90" i="16"/>
  <c r="AL89" i="16"/>
  <c r="Z89" i="16"/>
  <c r="AL88" i="16"/>
  <c r="Z88" i="16"/>
  <c r="AL87" i="16"/>
  <c r="Z87" i="16"/>
  <c r="AL86" i="16"/>
  <c r="Z86" i="16"/>
  <c r="AL85" i="16"/>
  <c r="Z85" i="16"/>
  <c r="AL84" i="16"/>
  <c r="Z84" i="16"/>
  <c r="AL83" i="16"/>
  <c r="Z83" i="16"/>
  <c r="AL82" i="16"/>
  <c r="Z82" i="16"/>
  <c r="AL81" i="16"/>
  <c r="Z81" i="16"/>
  <c r="AL80" i="16"/>
  <c r="Z80" i="16"/>
  <c r="AL79" i="16"/>
  <c r="Z79" i="16"/>
  <c r="AL78" i="16"/>
  <c r="Z78" i="16"/>
  <c r="AL77" i="16"/>
  <c r="Z77" i="16"/>
  <c r="AL76" i="16"/>
  <c r="Z76" i="16"/>
  <c r="AL75" i="16"/>
  <c r="Z75" i="16"/>
  <c r="AL74" i="16"/>
  <c r="Z74" i="16"/>
  <c r="AL73" i="16"/>
  <c r="Z73" i="16"/>
  <c r="AL72" i="16"/>
  <c r="Z72" i="16"/>
  <c r="AL71" i="16"/>
  <c r="Z71" i="16"/>
  <c r="AL70" i="16"/>
  <c r="Z70" i="16"/>
  <c r="AL69" i="16"/>
  <c r="Z69" i="16"/>
  <c r="AL68" i="16"/>
  <c r="Z68" i="16"/>
  <c r="AL67" i="16"/>
  <c r="Z67" i="16"/>
  <c r="AL66" i="16"/>
  <c r="Z66" i="16"/>
  <c r="AL65" i="16"/>
  <c r="Z65" i="16"/>
  <c r="AL64" i="16"/>
  <c r="Z64" i="16"/>
  <c r="BJ63" i="16"/>
  <c r="AL63" i="16"/>
  <c r="Z63" i="16"/>
  <c r="BJ62" i="16"/>
  <c r="AL62" i="16"/>
  <c r="Z62" i="16"/>
  <c r="BJ61" i="16"/>
  <c r="AL61" i="16"/>
  <c r="Z61" i="16"/>
  <c r="BJ60" i="16"/>
  <c r="AL60" i="16"/>
  <c r="Z60" i="16"/>
  <c r="BJ59" i="16"/>
  <c r="AL59" i="16"/>
  <c r="Z59" i="16"/>
  <c r="BJ58" i="16"/>
  <c r="AL58" i="16"/>
  <c r="Z58" i="16"/>
  <c r="BJ57" i="16"/>
  <c r="AL57" i="16"/>
  <c r="Z57" i="16"/>
  <c r="BJ56" i="16"/>
  <c r="AL56" i="16"/>
  <c r="Z56" i="16"/>
  <c r="BJ55" i="16"/>
  <c r="AL55" i="16"/>
  <c r="Z55" i="16"/>
  <c r="BJ54" i="16"/>
  <c r="AL54" i="16"/>
  <c r="Z54" i="16"/>
  <c r="BJ53" i="16"/>
  <c r="AL53" i="16"/>
  <c r="Z53" i="16"/>
  <c r="BJ52" i="16"/>
  <c r="AL52" i="16"/>
  <c r="Z52" i="16"/>
  <c r="BJ51" i="16"/>
  <c r="AL51" i="16"/>
  <c r="Z51" i="16"/>
  <c r="BJ50" i="16"/>
  <c r="AL50" i="16"/>
  <c r="Z50" i="16"/>
  <c r="BJ49" i="16"/>
  <c r="AL49" i="16"/>
  <c r="Z49" i="16"/>
  <c r="BJ48" i="16"/>
  <c r="AL48" i="16"/>
  <c r="Z48" i="16"/>
  <c r="BJ47" i="16"/>
  <c r="AL47" i="16"/>
  <c r="Z47" i="16"/>
  <c r="BJ46" i="16"/>
  <c r="AL46" i="16"/>
  <c r="Z46" i="16"/>
  <c r="BJ45" i="16"/>
  <c r="AL45" i="16"/>
  <c r="Z45" i="16"/>
  <c r="BJ44" i="16"/>
  <c r="AL44" i="16"/>
  <c r="Z44" i="16"/>
  <c r="BJ43" i="16"/>
  <c r="AL43" i="16"/>
  <c r="Z43" i="16"/>
  <c r="BJ42" i="16"/>
  <c r="AL42" i="16"/>
  <c r="Z42" i="16"/>
  <c r="BJ41" i="16"/>
  <c r="AL41" i="16"/>
  <c r="Z41" i="16"/>
  <c r="BJ40" i="16"/>
  <c r="AL40" i="16"/>
  <c r="Z40" i="16"/>
  <c r="BJ39" i="16"/>
  <c r="AL39" i="16"/>
  <c r="Z39" i="16"/>
  <c r="BJ38" i="16"/>
  <c r="AL38" i="16"/>
  <c r="Z38" i="16"/>
  <c r="BJ37" i="16"/>
  <c r="AL37" i="16"/>
  <c r="Z37" i="16"/>
  <c r="BJ36" i="16"/>
  <c r="AL36" i="16"/>
  <c r="Z36" i="16"/>
  <c r="BJ35" i="16"/>
  <c r="AL35" i="16"/>
  <c r="Z35" i="16"/>
  <c r="BJ34" i="16"/>
  <c r="AL34" i="16"/>
  <c r="Z34" i="16"/>
  <c r="BJ33" i="16"/>
  <c r="AL33" i="16"/>
  <c r="Z33" i="16"/>
  <c r="BJ32" i="16"/>
  <c r="AL32" i="16"/>
  <c r="Z32" i="16"/>
  <c r="BJ31" i="16"/>
  <c r="AL31" i="16"/>
  <c r="Z31" i="16"/>
  <c r="BJ30" i="16"/>
  <c r="AL30" i="16"/>
  <c r="Z30" i="16"/>
  <c r="BJ29" i="16"/>
  <c r="AL29" i="16"/>
  <c r="Z29" i="16"/>
  <c r="BJ28" i="16"/>
  <c r="AL28" i="16"/>
  <c r="Z28" i="16"/>
  <c r="BJ27" i="16"/>
  <c r="AL27" i="16"/>
  <c r="Z27" i="16"/>
  <c r="BJ26" i="16"/>
  <c r="AL26" i="16"/>
  <c r="Z26" i="16"/>
  <c r="BJ25" i="16"/>
  <c r="AL25" i="16"/>
  <c r="Z25" i="16"/>
  <c r="BJ24" i="16"/>
  <c r="AL24" i="16"/>
  <c r="Z24" i="16"/>
  <c r="BJ23" i="16"/>
  <c r="AL23" i="16"/>
  <c r="Z23" i="16"/>
  <c r="BJ22" i="16"/>
  <c r="AL22" i="16"/>
  <c r="Z22" i="16"/>
  <c r="BJ21" i="16"/>
  <c r="AL21" i="16"/>
  <c r="Z21" i="16"/>
  <c r="BJ20" i="16"/>
  <c r="AL20" i="16"/>
  <c r="Z20" i="16"/>
  <c r="BJ19" i="16"/>
  <c r="AL19" i="16"/>
  <c r="Z19" i="16"/>
  <c r="BJ18" i="16"/>
  <c r="AL18" i="16"/>
  <c r="Z18" i="16"/>
  <c r="BJ17" i="16"/>
  <c r="AL17" i="16"/>
  <c r="Z17" i="16"/>
  <c r="BJ16" i="16"/>
  <c r="AL16" i="16"/>
  <c r="Z16" i="16"/>
  <c r="BJ15" i="16"/>
  <c r="AL15" i="16"/>
  <c r="Z15" i="16"/>
  <c r="BJ14" i="16"/>
  <c r="AL14" i="16"/>
  <c r="Z14" i="16"/>
  <c r="BJ13" i="16"/>
  <c r="AL13" i="16"/>
  <c r="Z13" i="16"/>
  <c r="BJ12" i="16"/>
  <c r="AL12" i="16"/>
  <c r="Z12" i="16"/>
  <c r="BJ11" i="16"/>
  <c r="AL11" i="16"/>
  <c r="Z11" i="16"/>
  <c r="BJ10" i="16"/>
  <c r="AL10" i="16"/>
  <c r="Z10" i="16"/>
  <c r="BJ9" i="16"/>
  <c r="AL9" i="16"/>
  <c r="Z9" i="16"/>
  <c r="BJ8" i="16"/>
  <c r="AL8" i="16"/>
  <c r="Z8" i="16"/>
  <c r="BJ7" i="16"/>
  <c r="AL7" i="16"/>
  <c r="Z7" i="16"/>
  <c r="BJ6" i="16"/>
  <c r="AL6" i="16"/>
  <c r="Z6" i="16"/>
  <c r="BJ5" i="16"/>
  <c r="AL5" i="16"/>
  <c r="Z5" i="16"/>
  <c r="BO4" i="16"/>
  <c r="BQ4" i="16" s="1"/>
  <c r="BM4" i="16"/>
  <c r="BJ4" i="16"/>
  <c r="BH4" i="16"/>
  <c r="BL4" i="16" s="1"/>
  <c r="BC4" i="16"/>
  <c r="BE4" i="16" s="1"/>
  <c r="BA4" i="16"/>
  <c r="AV4" i="16"/>
  <c r="AV5" i="16" s="1"/>
  <c r="AQ4" i="16"/>
  <c r="AS4" i="16" s="1"/>
  <c r="AO4" i="16"/>
  <c r="AL4" i="16"/>
  <c r="AJ4" i="16"/>
  <c r="AN4" i="16" s="1"/>
  <c r="AE4" i="16"/>
  <c r="AG4" i="16" s="1"/>
  <c r="AC4" i="16"/>
  <c r="Z4" i="16"/>
  <c r="X4" i="16"/>
  <c r="X5" i="16" s="1"/>
  <c r="S4" i="16"/>
  <c r="U4" i="16" s="1"/>
  <c r="Q4" i="16"/>
  <c r="H4" i="16"/>
  <c r="J4" i="16" s="1"/>
  <c r="F4" i="16"/>
  <c r="B4" i="16"/>
  <c r="E4" i="16" s="1"/>
  <c r="BG3" i="16"/>
  <c r="AU3" i="16"/>
  <c r="AJ3" i="16"/>
  <c r="W3" i="16"/>
  <c r="M3" i="16"/>
  <c r="BO4" i="14"/>
  <c r="BQ4" i="14" s="1"/>
  <c r="BM5" i="14" s="1"/>
  <c r="BM4" i="14"/>
  <c r="BJ5" i="14"/>
  <c r="BJ6" i="14"/>
  <c r="BJ7" i="14"/>
  <c r="BJ8" i="14"/>
  <c r="BJ9" i="14"/>
  <c r="BJ10" i="14"/>
  <c r="BJ11" i="14"/>
  <c r="BJ12" i="14"/>
  <c r="BJ13" i="14"/>
  <c r="BJ14" i="14"/>
  <c r="BJ15" i="14"/>
  <c r="BJ16" i="14"/>
  <c r="BJ17" i="14"/>
  <c r="BJ18" i="14"/>
  <c r="BJ19" i="14"/>
  <c r="BJ20" i="14"/>
  <c r="BJ21" i="14"/>
  <c r="BJ22" i="14"/>
  <c r="BJ23" i="14"/>
  <c r="BJ24" i="14"/>
  <c r="BJ25" i="14"/>
  <c r="BJ26" i="14"/>
  <c r="BJ27" i="14"/>
  <c r="BJ28" i="14"/>
  <c r="BJ29" i="14"/>
  <c r="BJ30" i="14"/>
  <c r="BJ31" i="14"/>
  <c r="BJ32" i="14"/>
  <c r="BJ33" i="14"/>
  <c r="BJ34" i="14"/>
  <c r="BJ35" i="14"/>
  <c r="BJ36" i="14"/>
  <c r="BJ37" i="14"/>
  <c r="BJ38" i="14"/>
  <c r="BJ39" i="14"/>
  <c r="BJ40" i="14"/>
  <c r="BJ41" i="14"/>
  <c r="BJ42" i="14"/>
  <c r="BJ43" i="14"/>
  <c r="BJ44" i="14"/>
  <c r="BJ45" i="14"/>
  <c r="BJ46" i="14"/>
  <c r="BJ47" i="14"/>
  <c r="BJ48" i="14"/>
  <c r="BJ49" i="14"/>
  <c r="BJ50" i="14"/>
  <c r="BJ51" i="14"/>
  <c r="BJ52" i="14"/>
  <c r="BJ53" i="14"/>
  <c r="BJ54" i="14"/>
  <c r="BJ55" i="14"/>
  <c r="BJ56" i="14"/>
  <c r="BJ57" i="14"/>
  <c r="BJ58" i="14"/>
  <c r="BJ59" i="14"/>
  <c r="BJ60" i="14"/>
  <c r="BJ61" i="14"/>
  <c r="BJ62" i="14"/>
  <c r="BJ63" i="14"/>
  <c r="BJ4" i="14"/>
  <c r="BH4" i="14"/>
  <c r="BG3" i="14"/>
  <c r="H4" i="14"/>
  <c r="J4" i="14" s="1"/>
  <c r="F4" i="14"/>
  <c r="BC4" i="14"/>
  <c r="BE4" i="14" s="1"/>
  <c r="BA5" i="14" s="1"/>
  <c r="BA4" i="14"/>
  <c r="AV4" i="14"/>
  <c r="AV5" i="14" s="1"/>
  <c r="AV6" i="14" s="1"/>
  <c r="AV7" i="14" s="1"/>
  <c r="AV8" i="14" s="1"/>
  <c r="AV9" i="14" s="1"/>
  <c r="AV10" i="14" s="1"/>
  <c r="AV11" i="14" s="1"/>
  <c r="AV12" i="14" s="1"/>
  <c r="AV13" i="14" s="1"/>
  <c r="AV14" i="14" s="1"/>
  <c r="AV15" i="14" s="1"/>
  <c r="AV16" i="14" s="1"/>
  <c r="AV17" i="14" s="1"/>
  <c r="AV18" i="14" s="1"/>
  <c r="AV19" i="14" s="1"/>
  <c r="AV20" i="14" s="1"/>
  <c r="AV21" i="14" s="1"/>
  <c r="AV22" i="14" s="1"/>
  <c r="AV23" i="14" s="1"/>
  <c r="AV24" i="14" s="1"/>
  <c r="AV25" i="14" s="1"/>
  <c r="AV26" i="14" s="1"/>
  <c r="AV27" i="14" s="1"/>
  <c r="AV28" i="14" s="1"/>
  <c r="AV29" i="14" s="1"/>
  <c r="AV30" i="14" s="1"/>
  <c r="AV31" i="14" s="1"/>
  <c r="AV32" i="14" s="1"/>
  <c r="AV33" i="14" s="1"/>
  <c r="AV34" i="14" s="1"/>
  <c r="AV35" i="14" s="1"/>
  <c r="AV36" i="14" s="1"/>
  <c r="AV37" i="14" s="1"/>
  <c r="AV38" i="14" s="1"/>
  <c r="AV39" i="14" s="1"/>
  <c r="AV40" i="14" s="1"/>
  <c r="AV41" i="14" s="1"/>
  <c r="AV42" i="14" s="1"/>
  <c r="AV43" i="14" s="1"/>
  <c r="AV44" i="14" s="1"/>
  <c r="AV45" i="14" s="1"/>
  <c r="AU3" i="14"/>
  <c r="AQ4" i="14"/>
  <c r="AS4" i="14" s="1"/>
  <c r="AO5" i="14" s="1"/>
  <c r="AO4" i="14"/>
  <c r="AL5" i="14"/>
  <c r="AL6" i="14"/>
  <c r="AL7" i="14"/>
  <c r="AL8" i="14"/>
  <c r="AL9" i="14"/>
  <c r="AL10" i="14"/>
  <c r="AL11" i="14"/>
  <c r="AL12" i="14"/>
  <c r="AL13" i="14"/>
  <c r="AL14" i="14"/>
  <c r="AL15" i="14"/>
  <c r="AL16" i="14"/>
  <c r="AL17" i="14"/>
  <c r="AL18" i="14"/>
  <c r="AL19" i="14"/>
  <c r="AL20" i="14"/>
  <c r="AL21" i="14"/>
  <c r="AL22" i="14"/>
  <c r="AL23" i="14"/>
  <c r="AL24" i="14"/>
  <c r="AL25" i="14"/>
  <c r="AL26" i="14"/>
  <c r="AL27" i="14"/>
  <c r="AL28" i="14"/>
  <c r="AL29" i="14"/>
  <c r="AL30" i="14"/>
  <c r="AL31" i="14"/>
  <c r="AL32" i="14"/>
  <c r="AL33" i="14"/>
  <c r="AL34" i="14"/>
  <c r="AL35" i="14"/>
  <c r="AL36" i="14"/>
  <c r="AL37" i="14"/>
  <c r="AL38" i="14"/>
  <c r="AL39" i="14"/>
  <c r="AL40" i="14"/>
  <c r="AL41" i="14"/>
  <c r="AL42" i="14"/>
  <c r="AL43" i="14"/>
  <c r="AL44" i="14"/>
  <c r="AL45" i="14"/>
  <c r="AL46" i="14"/>
  <c r="AL47" i="14"/>
  <c r="AL48" i="14"/>
  <c r="AL49" i="14"/>
  <c r="AL50" i="14"/>
  <c r="AL51" i="14"/>
  <c r="AL52" i="14"/>
  <c r="AL53" i="14"/>
  <c r="AL54" i="14"/>
  <c r="AL55" i="14"/>
  <c r="AL56" i="14"/>
  <c r="AL57" i="14"/>
  <c r="AL58" i="14"/>
  <c r="AL59" i="14"/>
  <c r="AL60" i="14"/>
  <c r="AL61" i="14"/>
  <c r="AL62" i="14"/>
  <c r="AL63" i="14"/>
  <c r="AL64" i="14"/>
  <c r="AL65" i="14"/>
  <c r="AL66" i="14"/>
  <c r="AL67" i="14"/>
  <c r="AL68" i="14"/>
  <c r="AL69" i="14"/>
  <c r="AL70" i="14"/>
  <c r="AL71" i="14"/>
  <c r="AL72" i="14"/>
  <c r="AL73" i="14"/>
  <c r="AL74" i="14"/>
  <c r="AL75" i="14"/>
  <c r="AL76" i="14"/>
  <c r="AL77" i="14"/>
  <c r="AL78" i="14"/>
  <c r="AL79" i="14"/>
  <c r="AL80" i="14"/>
  <c r="AL81" i="14"/>
  <c r="AL82" i="14"/>
  <c r="AL83" i="14"/>
  <c r="AL84" i="14"/>
  <c r="AL85" i="14"/>
  <c r="AL86" i="14"/>
  <c r="AL87" i="14"/>
  <c r="AL88" i="14"/>
  <c r="AL89" i="14"/>
  <c r="AL90" i="14"/>
  <c r="AL91" i="14"/>
  <c r="AL92" i="14"/>
  <c r="AL93" i="14"/>
  <c r="AL94" i="14"/>
  <c r="AL95" i="14"/>
  <c r="AL96" i="14"/>
  <c r="AL97" i="14"/>
  <c r="AL98" i="14"/>
  <c r="AL99" i="14"/>
  <c r="AL100" i="14"/>
  <c r="AL101" i="14"/>
  <c r="AL102" i="14"/>
  <c r="AL103" i="14"/>
  <c r="AL104" i="14"/>
  <c r="AL105" i="14"/>
  <c r="AL106" i="14"/>
  <c r="AL107" i="14"/>
  <c r="AL108" i="14"/>
  <c r="AL109" i="14"/>
  <c r="AL110" i="14"/>
  <c r="AL111" i="14"/>
  <c r="AL112" i="14"/>
  <c r="AL113" i="14"/>
  <c r="AL4" i="14"/>
  <c r="AJ4" i="14"/>
  <c r="AJ3" i="14"/>
  <c r="AE4" i="14"/>
  <c r="S4" i="14"/>
  <c r="AC4" i="14"/>
  <c r="Z6" i="14"/>
  <c r="Z7" i="14"/>
  <c r="Z8" i="14"/>
  <c r="Z9" i="14"/>
  <c r="Z10" i="14"/>
  <c r="Z11" i="14"/>
  <c r="Z12" i="14"/>
  <c r="Z13" i="14"/>
  <c r="Z14" i="14"/>
  <c r="Z15" i="14"/>
  <c r="Z16" i="14"/>
  <c r="Z17" i="14"/>
  <c r="Z18" i="14"/>
  <c r="Z19" i="14"/>
  <c r="Z20" i="14"/>
  <c r="Z21" i="14"/>
  <c r="Z22" i="14"/>
  <c r="Z23" i="14"/>
  <c r="Z24" i="14"/>
  <c r="Z25" i="14"/>
  <c r="Z26" i="14"/>
  <c r="Z27" i="14"/>
  <c r="Z28" i="14"/>
  <c r="Z29" i="14"/>
  <c r="Z30" i="14"/>
  <c r="Z31" i="14"/>
  <c r="Z32" i="14"/>
  <c r="Z33" i="14"/>
  <c r="Z34" i="14"/>
  <c r="Z35" i="14"/>
  <c r="Z36" i="14"/>
  <c r="Z37" i="14"/>
  <c r="Z38" i="14"/>
  <c r="Z39" i="14"/>
  <c r="Z40" i="14"/>
  <c r="Z41" i="14"/>
  <c r="Z42" i="14"/>
  <c r="Z43" i="14"/>
  <c r="Z44" i="14"/>
  <c r="Z45" i="14"/>
  <c r="Z46" i="14"/>
  <c r="Z47" i="14"/>
  <c r="Z48" i="14"/>
  <c r="Z49" i="14"/>
  <c r="Z50" i="14"/>
  <c r="Z51" i="14"/>
  <c r="Z52" i="14"/>
  <c r="Z53" i="14"/>
  <c r="Z54" i="14"/>
  <c r="Z55" i="14"/>
  <c r="Z56" i="14"/>
  <c r="Z57" i="14"/>
  <c r="Z58" i="14"/>
  <c r="Z59" i="14"/>
  <c r="Z60" i="14"/>
  <c r="Z61" i="14"/>
  <c r="Z62" i="14"/>
  <c r="Z63" i="14"/>
  <c r="Z64" i="14"/>
  <c r="Z65" i="14"/>
  <c r="Z66" i="14"/>
  <c r="Z67" i="14"/>
  <c r="Z68" i="14"/>
  <c r="Z69" i="14"/>
  <c r="Z70" i="14"/>
  <c r="Z71" i="14"/>
  <c r="Z72" i="14"/>
  <c r="Z73" i="14"/>
  <c r="Z74" i="14"/>
  <c r="Z75" i="14"/>
  <c r="Z76" i="14"/>
  <c r="Z77" i="14"/>
  <c r="Z78" i="14"/>
  <c r="Z79" i="14"/>
  <c r="Z80" i="14"/>
  <c r="Z81" i="14"/>
  <c r="Z82" i="14"/>
  <c r="Z83" i="14"/>
  <c r="Z84" i="14"/>
  <c r="Z85" i="14"/>
  <c r="Z86" i="14"/>
  <c r="Z87" i="14"/>
  <c r="Z88" i="14"/>
  <c r="Z89" i="14"/>
  <c r="Z90" i="14"/>
  <c r="Z91" i="14"/>
  <c r="Z92" i="14"/>
  <c r="Z93" i="14"/>
  <c r="Z94" i="14"/>
  <c r="Z95" i="14"/>
  <c r="Z96" i="14"/>
  <c r="Z97" i="14"/>
  <c r="Z98" i="14"/>
  <c r="Z99" i="14"/>
  <c r="Z100" i="14"/>
  <c r="Z101" i="14"/>
  <c r="Z102" i="14"/>
  <c r="Z103" i="14"/>
  <c r="Z104" i="14"/>
  <c r="Z105" i="14"/>
  <c r="Z106" i="14"/>
  <c r="Z107" i="14"/>
  <c r="Z108" i="14"/>
  <c r="Z109" i="14"/>
  <c r="Z110" i="14"/>
  <c r="Z111" i="14"/>
  <c r="Z112" i="14"/>
  <c r="Z113" i="14"/>
  <c r="Z114" i="14"/>
  <c r="Z115" i="14"/>
  <c r="Z116" i="14"/>
  <c r="Z117" i="14"/>
  <c r="Z118" i="14"/>
  <c r="Z119" i="14"/>
  <c r="Z120" i="14"/>
  <c r="Z121" i="14"/>
  <c r="Z122" i="14"/>
  <c r="Z123" i="14"/>
  <c r="Z5" i="14"/>
  <c r="Z4" i="14"/>
  <c r="X4" i="14"/>
  <c r="B4" i="14"/>
  <c r="E4" i="14" s="1"/>
  <c r="E57" i="1"/>
  <c r="W3" i="14"/>
  <c r="M3" i="14"/>
  <c r="AC5" i="18" l="1"/>
  <c r="AC5" i="17"/>
  <c r="Q5" i="17"/>
  <c r="K4" i="17"/>
  <c r="BM5" i="16"/>
  <c r="AC5" i="16"/>
  <c r="Q5" i="16"/>
  <c r="K4" i="16"/>
  <c r="F5" i="14"/>
  <c r="BQ4" i="19"/>
  <c r="F4" i="15"/>
  <c r="B5" i="15"/>
  <c r="K4" i="14"/>
  <c r="F5" i="18"/>
  <c r="K4" i="18"/>
  <c r="E4" i="18"/>
  <c r="G4" i="18" s="1"/>
  <c r="I4" i="18" s="1"/>
  <c r="AB4" i="18"/>
  <c r="AD4" i="18" s="1"/>
  <c r="AF4" i="18" s="1"/>
  <c r="BH5" i="16"/>
  <c r="BH6" i="16" s="1"/>
  <c r="BL6" i="16" s="1"/>
  <c r="BH5" i="17"/>
  <c r="BH6" i="17" s="1"/>
  <c r="BH7" i="17" s="1"/>
  <c r="BH8" i="17" s="1"/>
  <c r="BN4" i="17"/>
  <c r="BP4" i="17" s="1"/>
  <c r="AZ4" i="17"/>
  <c r="BB4" i="17" s="1"/>
  <c r="BD4" i="17" s="1"/>
  <c r="J4" i="19"/>
  <c r="AP4" i="19"/>
  <c r="AR4" i="19" s="1"/>
  <c r="AZ4" i="16"/>
  <c r="BB4" i="16" s="1"/>
  <c r="BD4" i="16" s="1"/>
  <c r="B5" i="16"/>
  <c r="E5" i="16" s="1"/>
  <c r="AN4" i="17"/>
  <c r="AP4" i="17" s="1"/>
  <c r="AR4" i="17" s="1"/>
  <c r="P4" i="16"/>
  <c r="R4" i="16" s="1"/>
  <c r="T4" i="16" s="1"/>
  <c r="G4" i="17"/>
  <c r="I4" i="17" s="1"/>
  <c r="BN4" i="16"/>
  <c r="BP4" i="16" s="1"/>
  <c r="G4" i="16"/>
  <c r="I4" i="16" s="1"/>
  <c r="AN4" i="18"/>
  <c r="AP4" i="18" s="1"/>
  <c r="AR4" i="18" s="1"/>
  <c r="AP4" i="16"/>
  <c r="AR4" i="16" s="1"/>
  <c r="BH6" i="19"/>
  <c r="BL5" i="19"/>
  <c r="Q5" i="19"/>
  <c r="AO5" i="19"/>
  <c r="AV6" i="19"/>
  <c r="AZ5" i="19"/>
  <c r="AZ4" i="19"/>
  <c r="BB4" i="19" s="1"/>
  <c r="BD4" i="19" s="1"/>
  <c r="E4" i="19"/>
  <c r="G4" i="19" s="1"/>
  <c r="I4" i="19" s="1"/>
  <c r="AC5" i="19"/>
  <c r="BL4" i="19"/>
  <c r="BN4" i="19" s="1"/>
  <c r="BP4" i="19" s="1"/>
  <c r="P4" i="19"/>
  <c r="R4" i="19" s="1"/>
  <c r="T4" i="19" s="1"/>
  <c r="AJ5" i="19"/>
  <c r="AB4" i="19"/>
  <c r="AD4" i="19" s="1"/>
  <c r="AF4" i="19" s="1"/>
  <c r="X5" i="19"/>
  <c r="BA5" i="19"/>
  <c r="B5" i="19"/>
  <c r="BN4" i="18"/>
  <c r="BP4" i="18" s="1"/>
  <c r="AO5" i="18"/>
  <c r="BM5" i="18"/>
  <c r="AZ5" i="18"/>
  <c r="AV6" i="18"/>
  <c r="Q5" i="18"/>
  <c r="AJ6" i="18"/>
  <c r="AN5" i="18"/>
  <c r="BA5" i="18"/>
  <c r="AZ4" i="18"/>
  <c r="BB4" i="18" s="1"/>
  <c r="BD4" i="18" s="1"/>
  <c r="B5" i="18"/>
  <c r="BH5" i="18"/>
  <c r="P4" i="18"/>
  <c r="R4" i="18" s="1"/>
  <c r="T4" i="18" s="1"/>
  <c r="X5" i="18"/>
  <c r="F5" i="17"/>
  <c r="AO5" i="17"/>
  <c r="BA5" i="17"/>
  <c r="BB5" i="17" s="1"/>
  <c r="AN6" i="17"/>
  <c r="AJ7" i="17"/>
  <c r="P4" i="17"/>
  <c r="R4" i="17" s="1"/>
  <c r="T4" i="17" s="1"/>
  <c r="B5" i="17"/>
  <c r="AN5" i="17"/>
  <c r="AB4" i="17"/>
  <c r="AD4" i="17" s="1"/>
  <c r="AF4" i="17" s="1"/>
  <c r="BM5" i="17"/>
  <c r="AV6" i="17"/>
  <c r="X5" i="17"/>
  <c r="X6" i="16"/>
  <c r="AB5" i="16"/>
  <c r="F5" i="16"/>
  <c r="AO5" i="16"/>
  <c r="AZ5" i="16"/>
  <c r="AV6" i="16"/>
  <c r="BA5" i="16"/>
  <c r="AB4" i="16"/>
  <c r="AD4" i="16" s="1"/>
  <c r="AF4" i="16" s="1"/>
  <c r="AJ5" i="16"/>
  <c r="AB4" i="14"/>
  <c r="AD4" i="14" s="1"/>
  <c r="AF4" i="14" s="1"/>
  <c r="BH5" i="14"/>
  <c r="BL4" i="14"/>
  <c r="BN4" i="14" s="1"/>
  <c r="BP4" i="14" s="1"/>
  <c r="G4" i="14"/>
  <c r="I4" i="14" s="1"/>
  <c r="AZ7" i="14"/>
  <c r="AZ15" i="14"/>
  <c r="AZ31" i="14"/>
  <c r="AZ35" i="14"/>
  <c r="AZ23" i="14"/>
  <c r="AZ27" i="14"/>
  <c r="AZ19" i="14"/>
  <c r="AZ11" i="14"/>
  <c r="AZ39" i="14"/>
  <c r="AV46" i="14"/>
  <c r="AZ45" i="14"/>
  <c r="AZ44" i="14"/>
  <c r="AZ40" i="14"/>
  <c r="AZ36" i="14"/>
  <c r="AZ32" i="14"/>
  <c r="AZ28" i="14"/>
  <c r="AZ24" i="14"/>
  <c r="AZ20" i="14"/>
  <c r="AZ16" i="14"/>
  <c r="AZ12" i="14"/>
  <c r="AZ8" i="14"/>
  <c r="AZ4" i="14"/>
  <c r="BB4" i="14" s="1"/>
  <c r="BD4" i="14" s="1"/>
  <c r="AZ42" i="14"/>
  <c r="AZ38" i="14"/>
  <c r="AZ34" i="14"/>
  <c r="AZ30" i="14"/>
  <c r="AZ26" i="14"/>
  <c r="AZ22" i="14"/>
  <c r="AZ18" i="14"/>
  <c r="AZ14" i="14"/>
  <c r="AZ10" i="14"/>
  <c r="AZ43" i="14"/>
  <c r="AZ5" i="14"/>
  <c r="BB5" i="14" s="1"/>
  <c r="AZ6" i="14"/>
  <c r="AZ41" i="14"/>
  <c r="AZ37" i="14"/>
  <c r="AZ33" i="14"/>
  <c r="AZ29" i="14"/>
  <c r="AZ25" i="14"/>
  <c r="AZ21" i="14"/>
  <c r="AZ17" i="14"/>
  <c r="AZ13" i="14"/>
  <c r="AZ9" i="14"/>
  <c r="AJ5" i="14"/>
  <c r="AN4" i="14"/>
  <c r="AP4" i="14" s="1"/>
  <c r="AR4" i="14" s="1"/>
  <c r="X5" i="14"/>
  <c r="AG4" i="14"/>
  <c r="AC5" i="14" s="1"/>
  <c r="N125" i="14"/>
  <c r="N126" i="14"/>
  <c r="N130" i="14"/>
  <c r="N131" i="14"/>
  <c r="N132" i="14"/>
  <c r="N133" i="14"/>
  <c r="N134" i="14"/>
  <c r="N135" i="14"/>
  <c r="N138" i="14"/>
  <c r="N139" i="14"/>
  <c r="N140" i="14"/>
  <c r="N141" i="14"/>
  <c r="N142" i="14"/>
  <c r="N143" i="14"/>
  <c r="N146" i="14"/>
  <c r="N147" i="14"/>
  <c r="N148" i="14"/>
  <c r="N149" i="14"/>
  <c r="N150" i="14"/>
  <c r="N151" i="14"/>
  <c r="N152" i="14"/>
  <c r="N153" i="14"/>
  <c r="N154" i="14"/>
  <c r="N155" i="14"/>
  <c r="N156" i="14"/>
  <c r="N157" i="14"/>
  <c r="N158" i="14"/>
  <c r="N159" i="14"/>
  <c r="N160" i="14"/>
  <c r="N161" i="14"/>
  <c r="N162" i="14"/>
  <c r="N163" i="14"/>
  <c r="N164" i="14"/>
  <c r="N165" i="14"/>
  <c r="N166" i="14"/>
  <c r="N167" i="14"/>
  <c r="N168" i="14"/>
  <c r="N169" i="14"/>
  <c r="N170" i="14"/>
  <c r="N171" i="14"/>
  <c r="N172" i="14"/>
  <c r="N173" i="14"/>
  <c r="N174" i="14"/>
  <c r="N175" i="14"/>
  <c r="N176" i="14"/>
  <c r="N177" i="14"/>
  <c r="N178" i="14"/>
  <c r="N179" i="14"/>
  <c r="N180" i="14"/>
  <c r="N181" i="14"/>
  <c r="N182" i="14"/>
  <c r="N183" i="14"/>
  <c r="N184" i="14"/>
  <c r="U4" i="14"/>
  <c r="Q5" i="14" s="1"/>
  <c r="Q4" i="14"/>
  <c r="P4" i="14"/>
  <c r="AD5" i="16" l="1"/>
  <c r="BM5" i="19"/>
  <c r="BN5" i="19" s="1"/>
  <c r="N183" i="19"/>
  <c r="N175" i="19"/>
  <c r="N167" i="19"/>
  <c r="N159" i="19"/>
  <c r="N151" i="19"/>
  <c r="N143" i="19"/>
  <c r="N135" i="19"/>
  <c r="N127" i="19"/>
  <c r="N178" i="18"/>
  <c r="N170" i="18"/>
  <c r="N162" i="18"/>
  <c r="N154" i="18"/>
  <c r="N146" i="18"/>
  <c r="N138" i="18"/>
  <c r="N130" i="18"/>
  <c r="N182" i="17"/>
  <c r="N174" i="17"/>
  <c r="N166" i="17"/>
  <c r="N158" i="17"/>
  <c r="N150" i="17"/>
  <c r="N142" i="17"/>
  <c r="N134" i="17"/>
  <c r="N126" i="17"/>
  <c r="N178" i="16"/>
  <c r="N170" i="16"/>
  <c r="N162" i="16"/>
  <c r="N154" i="16"/>
  <c r="N146" i="16"/>
  <c r="N138" i="16"/>
  <c r="N130" i="16"/>
  <c r="N153" i="19"/>
  <c r="N148" i="18"/>
  <c r="N128" i="17"/>
  <c r="N182" i="19"/>
  <c r="N174" i="19"/>
  <c r="N166" i="19"/>
  <c r="N158" i="19"/>
  <c r="N150" i="19"/>
  <c r="N142" i="19"/>
  <c r="N134" i="19"/>
  <c r="N126" i="19"/>
  <c r="N177" i="18"/>
  <c r="N169" i="18"/>
  <c r="N161" i="18"/>
  <c r="N153" i="18"/>
  <c r="N145" i="18"/>
  <c r="N137" i="18"/>
  <c r="N129" i="18"/>
  <c r="N181" i="17"/>
  <c r="N173" i="17"/>
  <c r="N165" i="17"/>
  <c r="N157" i="17"/>
  <c r="N149" i="17"/>
  <c r="N141" i="17"/>
  <c r="N133" i="17"/>
  <c r="N125" i="17"/>
  <c r="N177" i="16"/>
  <c r="N169" i="16"/>
  <c r="N161" i="16"/>
  <c r="N153" i="16"/>
  <c r="N145" i="16"/>
  <c r="N137" i="16"/>
  <c r="N129" i="16"/>
  <c r="N145" i="19"/>
  <c r="N172" i="18"/>
  <c r="N140" i="18"/>
  <c r="N168" i="17"/>
  <c r="N136" i="17"/>
  <c r="N172" i="16"/>
  <c r="N181" i="19"/>
  <c r="N173" i="19"/>
  <c r="N165" i="19"/>
  <c r="N157" i="19"/>
  <c r="N149" i="19"/>
  <c r="N141" i="19"/>
  <c r="N133" i="19"/>
  <c r="N125" i="19"/>
  <c r="N184" i="18"/>
  <c r="N176" i="18"/>
  <c r="N168" i="18"/>
  <c r="N160" i="18"/>
  <c r="N152" i="18"/>
  <c r="N144" i="18"/>
  <c r="N136" i="18"/>
  <c r="N128" i="18"/>
  <c r="N180" i="17"/>
  <c r="N172" i="17"/>
  <c r="N164" i="17"/>
  <c r="N156" i="17"/>
  <c r="N148" i="17"/>
  <c r="N140" i="17"/>
  <c r="N132" i="17"/>
  <c r="N184" i="16"/>
  <c r="N176" i="16"/>
  <c r="N168" i="16"/>
  <c r="N160" i="16"/>
  <c r="N152" i="16"/>
  <c r="N144" i="16"/>
  <c r="N136" i="16"/>
  <c r="N128" i="16"/>
  <c r="N169" i="19"/>
  <c r="N180" i="18"/>
  <c r="N160" i="17"/>
  <c r="N156" i="16"/>
  <c r="N132" i="16"/>
  <c r="N180" i="19"/>
  <c r="N172" i="19"/>
  <c r="N164" i="19"/>
  <c r="N156" i="19"/>
  <c r="N148" i="19"/>
  <c r="N140" i="19"/>
  <c r="N132" i="19"/>
  <c r="N183" i="18"/>
  <c r="N175" i="18"/>
  <c r="N167" i="18"/>
  <c r="N159" i="18"/>
  <c r="N151" i="18"/>
  <c r="N143" i="18"/>
  <c r="N135" i="18"/>
  <c r="N127" i="18"/>
  <c r="N179" i="17"/>
  <c r="N171" i="17"/>
  <c r="N163" i="17"/>
  <c r="N155" i="17"/>
  <c r="N147" i="17"/>
  <c r="N139" i="17"/>
  <c r="N131" i="17"/>
  <c r="N183" i="16"/>
  <c r="N175" i="16"/>
  <c r="N167" i="16"/>
  <c r="N159" i="16"/>
  <c r="N151" i="16"/>
  <c r="N143" i="16"/>
  <c r="N135" i="16"/>
  <c r="N127" i="16"/>
  <c r="N177" i="19"/>
  <c r="N132" i="18"/>
  <c r="N179" i="19"/>
  <c r="N171" i="19"/>
  <c r="N163" i="19"/>
  <c r="N155" i="19"/>
  <c r="N147" i="19"/>
  <c r="N139" i="19"/>
  <c r="N131" i="19"/>
  <c r="N182" i="18"/>
  <c r="N174" i="18"/>
  <c r="N166" i="18"/>
  <c r="N158" i="18"/>
  <c r="N150" i="18"/>
  <c r="N142" i="18"/>
  <c r="N134" i="18"/>
  <c r="N126" i="18"/>
  <c r="N178" i="17"/>
  <c r="N170" i="17"/>
  <c r="N162" i="17"/>
  <c r="N154" i="17"/>
  <c r="N146" i="17"/>
  <c r="N138" i="17"/>
  <c r="N130" i="17"/>
  <c r="N182" i="16"/>
  <c r="N174" i="16"/>
  <c r="N166" i="16"/>
  <c r="N158" i="16"/>
  <c r="N150" i="16"/>
  <c r="N142" i="16"/>
  <c r="N134" i="16"/>
  <c r="N126" i="16"/>
  <c r="N137" i="19"/>
  <c r="N129" i="19"/>
  <c r="N156" i="18"/>
  <c r="N176" i="17"/>
  <c r="N152" i="17"/>
  <c r="N164" i="16"/>
  <c r="N178" i="19"/>
  <c r="N170" i="19"/>
  <c r="N162" i="19"/>
  <c r="N154" i="19"/>
  <c r="N146" i="19"/>
  <c r="N138" i="19"/>
  <c r="N130" i="19"/>
  <c r="N181" i="18"/>
  <c r="N173" i="18"/>
  <c r="N165" i="18"/>
  <c r="N157" i="18"/>
  <c r="N149" i="18"/>
  <c r="N141" i="18"/>
  <c r="N133" i="18"/>
  <c r="N125" i="18"/>
  <c r="N177" i="17"/>
  <c r="N169" i="17"/>
  <c r="N161" i="17"/>
  <c r="N153" i="17"/>
  <c r="N145" i="17"/>
  <c r="N137" i="17"/>
  <c r="N129" i="17"/>
  <c r="N181" i="16"/>
  <c r="N173" i="16"/>
  <c r="N165" i="16"/>
  <c r="N157" i="16"/>
  <c r="N149" i="16"/>
  <c r="N141" i="16"/>
  <c r="N133" i="16"/>
  <c r="N125" i="16"/>
  <c r="N144" i="17"/>
  <c r="N148" i="16"/>
  <c r="N184" i="19"/>
  <c r="N176" i="19"/>
  <c r="N168" i="19"/>
  <c r="N160" i="19"/>
  <c r="N152" i="19"/>
  <c r="N144" i="19"/>
  <c r="N136" i="19"/>
  <c r="N128" i="19"/>
  <c r="N179" i="18"/>
  <c r="N171" i="18"/>
  <c r="N163" i="18"/>
  <c r="N155" i="18"/>
  <c r="N147" i="18"/>
  <c r="N139" i="18"/>
  <c r="N131" i="18"/>
  <c r="N183" i="17"/>
  <c r="N175" i="17"/>
  <c r="N167" i="17"/>
  <c r="N159" i="17"/>
  <c r="N151" i="17"/>
  <c r="N143" i="17"/>
  <c r="N135" i="17"/>
  <c r="N127" i="17"/>
  <c r="N179" i="16"/>
  <c r="N171" i="16"/>
  <c r="N163" i="16"/>
  <c r="N155" i="16"/>
  <c r="N147" i="16"/>
  <c r="N139" i="16"/>
  <c r="N131" i="16"/>
  <c r="N161" i="19"/>
  <c r="N164" i="18"/>
  <c r="N184" i="17"/>
  <c r="N180" i="16"/>
  <c r="N140" i="16"/>
  <c r="N145" i="14"/>
  <c r="N137" i="14"/>
  <c r="N129" i="14"/>
  <c r="N144" i="14"/>
  <c r="N136" i="14"/>
  <c r="N128" i="14"/>
  <c r="N127" i="14"/>
  <c r="K4" i="19"/>
  <c r="B6" i="15"/>
  <c r="F5" i="15"/>
  <c r="B6" i="16"/>
  <c r="F5" i="19"/>
  <c r="BL5" i="16"/>
  <c r="BN5" i="16" s="1"/>
  <c r="N119" i="19"/>
  <c r="N111" i="19"/>
  <c r="N103" i="19"/>
  <c r="N95" i="19"/>
  <c r="N87" i="19"/>
  <c r="N79" i="19"/>
  <c r="N122" i="19"/>
  <c r="N114" i="19"/>
  <c r="N106" i="19"/>
  <c r="N98" i="19"/>
  <c r="N90" i="19"/>
  <c r="N82" i="19"/>
  <c r="N74" i="19"/>
  <c r="N66" i="19"/>
  <c r="N58" i="19"/>
  <c r="N50" i="19"/>
  <c r="N42" i="19"/>
  <c r="N34" i="19"/>
  <c r="N26" i="19"/>
  <c r="N18" i="19"/>
  <c r="N10" i="19"/>
  <c r="N117" i="19"/>
  <c r="N109" i="19"/>
  <c r="N101" i="19"/>
  <c r="N93" i="19"/>
  <c r="N85" i="19"/>
  <c r="N77" i="19"/>
  <c r="N69" i="19"/>
  <c r="N61" i="19"/>
  <c r="N53" i="19"/>
  <c r="N45" i="19"/>
  <c r="N37" i="19"/>
  <c r="N29" i="19"/>
  <c r="N21" i="19"/>
  <c r="N13" i="19"/>
  <c r="N5" i="19"/>
  <c r="N120" i="19"/>
  <c r="N112" i="19"/>
  <c r="N104" i="19"/>
  <c r="N96" i="19"/>
  <c r="N88" i="19"/>
  <c r="N80" i="19"/>
  <c r="N72" i="19"/>
  <c r="N64" i="19"/>
  <c r="N56" i="19"/>
  <c r="N48" i="19"/>
  <c r="N40" i="19"/>
  <c r="N32" i="19"/>
  <c r="N24" i="19"/>
  <c r="N16" i="19"/>
  <c r="N8" i="19"/>
  <c r="N123" i="19"/>
  <c r="N115" i="19"/>
  <c r="N107" i="19"/>
  <c r="N99" i="19"/>
  <c r="N91" i="19"/>
  <c r="N83" i="19"/>
  <c r="N75" i="19"/>
  <c r="N67" i="19"/>
  <c r="N59" i="19"/>
  <c r="N51" i="19"/>
  <c r="N43" i="19"/>
  <c r="N35" i="19"/>
  <c r="N27" i="19"/>
  <c r="N19" i="19"/>
  <c r="N11" i="19"/>
  <c r="N118" i="19"/>
  <c r="N110" i="19"/>
  <c r="N102" i="19"/>
  <c r="N94" i="19"/>
  <c r="N86" i="19"/>
  <c r="N78" i="19"/>
  <c r="N70" i="19"/>
  <c r="N62" i="19"/>
  <c r="N54" i="19"/>
  <c r="N46" i="19"/>
  <c r="N38" i="19"/>
  <c r="N30" i="19"/>
  <c r="N22" i="19"/>
  <c r="N14" i="19"/>
  <c r="N6" i="19"/>
  <c r="N4" i="19"/>
  <c r="N124" i="19"/>
  <c r="N116" i="19"/>
  <c r="N108" i="19"/>
  <c r="N100" i="19"/>
  <c r="N92" i="19"/>
  <c r="N84" i="19"/>
  <c r="N76" i="19"/>
  <c r="N68" i="19"/>
  <c r="N60" i="19"/>
  <c r="N52" i="19"/>
  <c r="N44" i="19"/>
  <c r="N36" i="19"/>
  <c r="N28" i="19"/>
  <c r="N20" i="19"/>
  <c r="N12" i="19"/>
  <c r="N71" i="19"/>
  <c r="N49" i="19"/>
  <c r="N17" i="19"/>
  <c r="N123" i="18"/>
  <c r="N115" i="18"/>
  <c r="N107" i="18"/>
  <c r="N99" i="18"/>
  <c r="N91" i="18"/>
  <c r="N83" i="18"/>
  <c r="N75" i="18"/>
  <c r="N67" i="18"/>
  <c r="N59" i="18"/>
  <c r="N51" i="18"/>
  <c r="N43" i="18"/>
  <c r="N35" i="18"/>
  <c r="N27" i="18"/>
  <c r="N19" i="18"/>
  <c r="N11" i="18"/>
  <c r="N73" i="19"/>
  <c r="N47" i="19"/>
  <c r="N15" i="19"/>
  <c r="N118" i="18"/>
  <c r="N110" i="18"/>
  <c r="N102" i="18"/>
  <c r="N94" i="18"/>
  <c r="N86" i="18"/>
  <c r="N78" i="18"/>
  <c r="N70" i="18"/>
  <c r="N62" i="18"/>
  <c r="N54" i="18"/>
  <c r="N46" i="18"/>
  <c r="N38" i="18"/>
  <c r="N30" i="18"/>
  <c r="N22" i="18"/>
  <c r="N14" i="18"/>
  <c r="N6" i="18"/>
  <c r="N4" i="18"/>
  <c r="N113" i="19"/>
  <c r="N97" i="19"/>
  <c r="N41" i="19"/>
  <c r="N9" i="19"/>
  <c r="N121" i="18"/>
  <c r="N113" i="18"/>
  <c r="N105" i="18"/>
  <c r="N97" i="18"/>
  <c r="N89" i="18"/>
  <c r="N81" i="18"/>
  <c r="N73" i="18"/>
  <c r="N65" i="18"/>
  <c r="N57" i="18"/>
  <c r="N49" i="18"/>
  <c r="N41" i="18"/>
  <c r="N33" i="18"/>
  <c r="N25" i="18"/>
  <c r="N17" i="18"/>
  <c r="N9" i="18"/>
  <c r="N124" i="17"/>
  <c r="N39" i="19"/>
  <c r="N7" i="19"/>
  <c r="N124" i="18"/>
  <c r="N116" i="18"/>
  <c r="N108" i="18"/>
  <c r="N100" i="18"/>
  <c r="N92" i="18"/>
  <c r="N84" i="18"/>
  <c r="N76" i="18"/>
  <c r="N68" i="18"/>
  <c r="N60" i="18"/>
  <c r="N52" i="18"/>
  <c r="N44" i="18"/>
  <c r="N36" i="18"/>
  <c r="N28" i="18"/>
  <c r="N20" i="18"/>
  <c r="N12" i="18"/>
  <c r="N89" i="19"/>
  <c r="N33" i="19"/>
  <c r="N119" i="18"/>
  <c r="N111" i="18"/>
  <c r="N103" i="18"/>
  <c r="N95" i="18"/>
  <c r="N87" i="18"/>
  <c r="N79" i="18"/>
  <c r="N71" i="18"/>
  <c r="N63" i="18"/>
  <c r="N55" i="18"/>
  <c r="N47" i="18"/>
  <c r="N39" i="18"/>
  <c r="N31" i="18"/>
  <c r="N23" i="18"/>
  <c r="N15" i="18"/>
  <c r="N7" i="18"/>
  <c r="N121" i="19"/>
  <c r="N105" i="19"/>
  <c r="N65" i="19"/>
  <c r="N63" i="19"/>
  <c r="N31" i="19"/>
  <c r="N122" i="18"/>
  <c r="N114" i="18"/>
  <c r="N106" i="18"/>
  <c r="N98" i="18"/>
  <c r="N90" i="18"/>
  <c r="N82" i="18"/>
  <c r="N74" i="18"/>
  <c r="N66" i="18"/>
  <c r="N58" i="18"/>
  <c r="N50" i="18"/>
  <c r="N42" i="18"/>
  <c r="N34" i="18"/>
  <c r="N26" i="18"/>
  <c r="N18" i="18"/>
  <c r="N10" i="18"/>
  <c r="N55" i="19"/>
  <c r="N23" i="19"/>
  <c r="N120" i="18"/>
  <c r="N112" i="18"/>
  <c r="N104" i="18"/>
  <c r="N96" i="18"/>
  <c r="N88" i="18"/>
  <c r="N80" i="18"/>
  <c r="N72" i="18"/>
  <c r="N64" i="18"/>
  <c r="N56" i="18"/>
  <c r="N48" i="18"/>
  <c r="N40" i="18"/>
  <c r="N32" i="18"/>
  <c r="N24" i="18"/>
  <c r="N16" i="18"/>
  <c r="N8" i="18"/>
  <c r="N85" i="18"/>
  <c r="N5" i="18"/>
  <c r="N123" i="17"/>
  <c r="N115" i="17"/>
  <c r="N107" i="17"/>
  <c r="N99" i="17"/>
  <c r="N91" i="17"/>
  <c r="N83" i="17"/>
  <c r="N75" i="17"/>
  <c r="N67" i="17"/>
  <c r="N59" i="17"/>
  <c r="N51" i="17"/>
  <c r="N43" i="17"/>
  <c r="N35" i="17"/>
  <c r="N27" i="17"/>
  <c r="N19" i="17"/>
  <c r="N11" i="17"/>
  <c r="N118" i="16"/>
  <c r="N110" i="16"/>
  <c r="N102" i="16"/>
  <c r="N117" i="18"/>
  <c r="N61" i="18"/>
  <c r="N118" i="17"/>
  <c r="N110" i="17"/>
  <c r="N102" i="17"/>
  <c r="N94" i="17"/>
  <c r="N86" i="17"/>
  <c r="N78" i="17"/>
  <c r="N70" i="17"/>
  <c r="N62" i="17"/>
  <c r="N54" i="17"/>
  <c r="N46" i="17"/>
  <c r="N38" i="17"/>
  <c r="N30" i="17"/>
  <c r="N22" i="17"/>
  <c r="N14" i="17"/>
  <c r="N6" i="17"/>
  <c r="N4" i="17"/>
  <c r="N121" i="16"/>
  <c r="N113" i="16"/>
  <c r="N105" i="16"/>
  <c r="N97" i="16"/>
  <c r="N109" i="18"/>
  <c r="N77" i="18"/>
  <c r="N53" i="18"/>
  <c r="N121" i="17"/>
  <c r="N113" i="17"/>
  <c r="N105" i="17"/>
  <c r="N97" i="17"/>
  <c r="N89" i="17"/>
  <c r="N81" i="17"/>
  <c r="N73" i="17"/>
  <c r="N65" i="17"/>
  <c r="N57" i="17"/>
  <c r="N49" i="17"/>
  <c r="N41" i="17"/>
  <c r="N33" i="17"/>
  <c r="N25" i="17"/>
  <c r="N17" i="17"/>
  <c r="N9" i="17"/>
  <c r="N124" i="16"/>
  <c r="N116" i="16"/>
  <c r="N108" i="16"/>
  <c r="N100" i="16"/>
  <c r="N45" i="18"/>
  <c r="N116" i="17"/>
  <c r="N108" i="17"/>
  <c r="N100" i="17"/>
  <c r="N92" i="17"/>
  <c r="N84" i="17"/>
  <c r="N76" i="17"/>
  <c r="N68" i="17"/>
  <c r="N60" i="17"/>
  <c r="N52" i="17"/>
  <c r="N44" i="17"/>
  <c r="N36" i="17"/>
  <c r="N28" i="17"/>
  <c r="N20" i="17"/>
  <c r="N12" i="17"/>
  <c r="N119" i="16"/>
  <c r="N111" i="16"/>
  <c r="N103" i="16"/>
  <c r="N69" i="18"/>
  <c r="N37" i="18"/>
  <c r="N119" i="17"/>
  <c r="N111" i="17"/>
  <c r="N103" i="17"/>
  <c r="N95" i="17"/>
  <c r="N87" i="17"/>
  <c r="N79" i="17"/>
  <c r="N71" i="17"/>
  <c r="N63" i="17"/>
  <c r="N55" i="17"/>
  <c r="N47" i="17"/>
  <c r="N39" i="17"/>
  <c r="N31" i="17"/>
  <c r="N23" i="17"/>
  <c r="N15" i="17"/>
  <c r="N7" i="17"/>
  <c r="N122" i="16"/>
  <c r="N114" i="16"/>
  <c r="N106" i="16"/>
  <c r="N98" i="16"/>
  <c r="N101" i="18"/>
  <c r="N29" i="18"/>
  <c r="N122" i="17"/>
  <c r="N114" i="17"/>
  <c r="N106" i="17"/>
  <c r="N98" i="17"/>
  <c r="N90" i="17"/>
  <c r="N82" i="17"/>
  <c r="N74" i="17"/>
  <c r="N66" i="17"/>
  <c r="N58" i="17"/>
  <c r="N50" i="17"/>
  <c r="N42" i="17"/>
  <c r="N34" i="17"/>
  <c r="N26" i="17"/>
  <c r="N18" i="17"/>
  <c r="N10" i="17"/>
  <c r="N117" i="16"/>
  <c r="N109" i="16"/>
  <c r="N101" i="16"/>
  <c r="N81" i="19"/>
  <c r="N57" i="19"/>
  <c r="N25" i="19"/>
  <c r="N13" i="18"/>
  <c r="N120" i="17"/>
  <c r="N112" i="17"/>
  <c r="N104" i="17"/>
  <c r="N96" i="17"/>
  <c r="N88" i="17"/>
  <c r="N80" i="17"/>
  <c r="N72" i="17"/>
  <c r="N64" i="17"/>
  <c r="N56" i="17"/>
  <c r="N48" i="17"/>
  <c r="N40" i="17"/>
  <c r="N93" i="17"/>
  <c r="N29" i="17"/>
  <c r="N107" i="16"/>
  <c r="N104" i="16"/>
  <c r="N93" i="16"/>
  <c r="N85" i="16"/>
  <c r="N77" i="16"/>
  <c r="N69" i="16"/>
  <c r="N61" i="16"/>
  <c r="N53" i="16"/>
  <c r="N45" i="16"/>
  <c r="N37" i="16"/>
  <c r="N29" i="16"/>
  <c r="N21" i="16"/>
  <c r="N13" i="16"/>
  <c r="N5" i="16"/>
  <c r="N50" i="16"/>
  <c r="N42" i="16"/>
  <c r="N8" i="17"/>
  <c r="N120" i="16"/>
  <c r="N96" i="16"/>
  <c r="N88" i="16"/>
  <c r="N80" i="16"/>
  <c r="N72" i="16"/>
  <c r="N64" i="16"/>
  <c r="N56" i="16"/>
  <c r="N48" i="16"/>
  <c r="N40" i="16"/>
  <c r="N32" i="16"/>
  <c r="N24" i="16"/>
  <c r="N16" i="16"/>
  <c r="N8" i="16"/>
  <c r="N93" i="18"/>
  <c r="N85" i="17"/>
  <c r="N21" i="17"/>
  <c r="N112" i="16"/>
  <c r="N91" i="16"/>
  <c r="N83" i="16"/>
  <c r="N75" i="16"/>
  <c r="N67" i="16"/>
  <c r="N59" i="16"/>
  <c r="N51" i="16"/>
  <c r="N43" i="16"/>
  <c r="N35" i="16"/>
  <c r="N27" i="16"/>
  <c r="N19" i="16"/>
  <c r="N11" i="16"/>
  <c r="N99" i="16"/>
  <c r="N34" i="16"/>
  <c r="N117" i="17"/>
  <c r="N61" i="17"/>
  <c r="N32" i="17"/>
  <c r="N123" i="16"/>
  <c r="N115" i="16"/>
  <c r="N94" i="16"/>
  <c r="N86" i="16"/>
  <c r="N78" i="16"/>
  <c r="N70" i="16"/>
  <c r="N62" i="16"/>
  <c r="N54" i="16"/>
  <c r="N46" i="16"/>
  <c r="N38" i="16"/>
  <c r="N30" i="16"/>
  <c r="N22" i="16"/>
  <c r="N14" i="16"/>
  <c r="N6" i="16"/>
  <c r="N4" i="16"/>
  <c r="N109" i="17"/>
  <c r="N77" i="17"/>
  <c r="N53" i="17"/>
  <c r="N13" i="17"/>
  <c r="N89" i="16"/>
  <c r="N81" i="16"/>
  <c r="N73" i="16"/>
  <c r="N65" i="16"/>
  <c r="N57" i="16"/>
  <c r="N49" i="16"/>
  <c r="N41" i="16"/>
  <c r="N33" i="16"/>
  <c r="N25" i="16"/>
  <c r="N17" i="16"/>
  <c r="N9" i="16"/>
  <c r="N16" i="17"/>
  <c r="N90" i="16"/>
  <c r="N82" i="16"/>
  <c r="N18" i="16"/>
  <c r="N10" i="16"/>
  <c r="N45" i="17"/>
  <c r="N24" i="17"/>
  <c r="N92" i="16"/>
  <c r="N84" i="16"/>
  <c r="N76" i="16"/>
  <c r="N68" i="16"/>
  <c r="N60" i="16"/>
  <c r="N52" i="16"/>
  <c r="N44" i="16"/>
  <c r="N36" i="16"/>
  <c r="N28" i="16"/>
  <c r="N20" i="16"/>
  <c r="N12" i="16"/>
  <c r="N21" i="18"/>
  <c r="N66" i="16"/>
  <c r="N58" i="16"/>
  <c r="N69" i="17"/>
  <c r="N37" i="17"/>
  <c r="N5" i="17"/>
  <c r="N95" i="16"/>
  <c r="N87" i="16"/>
  <c r="N79" i="16"/>
  <c r="N71" i="16"/>
  <c r="N63" i="16"/>
  <c r="N55" i="16"/>
  <c r="N47" i="16"/>
  <c r="N39" i="16"/>
  <c r="N31" i="16"/>
  <c r="N23" i="16"/>
  <c r="N15" i="16"/>
  <c r="N7" i="16"/>
  <c r="N101" i="17"/>
  <c r="N74" i="16"/>
  <c r="N26" i="16"/>
  <c r="BH7" i="16"/>
  <c r="BL7" i="16" s="1"/>
  <c r="P5" i="16"/>
  <c r="R5" i="16" s="1"/>
  <c r="G5" i="16"/>
  <c r="BL6" i="17"/>
  <c r="BL7" i="17"/>
  <c r="BL5" i="17"/>
  <c r="BN5" i="17" s="1"/>
  <c r="AN5" i="19"/>
  <c r="AP5" i="19" s="1"/>
  <c r="AJ6" i="19"/>
  <c r="AV7" i="19"/>
  <c r="AZ6" i="19"/>
  <c r="E5" i="19"/>
  <c r="G5" i="19" s="1"/>
  <c r="B6" i="19"/>
  <c r="P5" i="19"/>
  <c r="R5" i="19" s="1"/>
  <c r="BB5" i="19"/>
  <c r="AB5" i="19"/>
  <c r="AD5" i="19" s="1"/>
  <c r="X6" i="19"/>
  <c r="BH7" i="19"/>
  <c r="BL6" i="19"/>
  <c r="AB5" i="18"/>
  <c r="AD5" i="18" s="1"/>
  <c r="X6" i="18"/>
  <c r="AZ6" i="18"/>
  <c r="AV7" i="18"/>
  <c r="BL5" i="18"/>
  <c r="BN5" i="18" s="1"/>
  <c r="BH6" i="18"/>
  <c r="AN6" i="18"/>
  <c r="AJ7" i="18"/>
  <c r="P5" i="18"/>
  <c r="R5" i="18" s="1"/>
  <c r="E5" i="18"/>
  <c r="G5" i="18" s="1"/>
  <c r="B6" i="18"/>
  <c r="AP5" i="18"/>
  <c r="BB5" i="18"/>
  <c r="X6" i="17"/>
  <c r="AB5" i="17"/>
  <c r="AD5" i="17" s="1"/>
  <c r="AV7" i="17"/>
  <c r="AZ6" i="17"/>
  <c r="AJ8" i="17"/>
  <c r="AN7" i="17"/>
  <c r="BL8" i="17"/>
  <c r="BH9" i="17"/>
  <c r="B6" i="17"/>
  <c r="P5" i="17"/>
  <c r="R5" i="17" s="1"/>
  <c r="E5" i="17"/>
  <c r="G5" i="17" s="1"/>
  <c r="AP5" i="17"/>
  <c r="AV7" i="16"/>
  <c r="AZ6" i="16"/>
  <c r="BB5" i="16"/>
  <c r="X7" i="16"/>
  <c r="AB6" i="16"/>
  <c r="B7" i="16"/>
  <c r="P6" i="16"/>
  <c r="E6" i="16"/>
  <c r="AN5" i="16"/>
  <c r="AP5" i="16" s="1"/>
  <c r="AJ6" i="16"/>
  <c r="BH6" i="14"/>
  <c r="BL5" i="14"/>
  <c r="BN5" i="14" s="1"/>
  <c r="R4" i="14"/>
  <c r="N11" i="14"/>
  <c r="N10" i="14"/>
  <c r="N22" i="14"/>
  <c r="N36" i="14"/>
  <c r="N49" i="14"/>
  <c r="N61" i="14"/>
  <c r="N74" i="14"/>
  <c r="N86" i="14"/>
  <c r="N97" i="14"/>
  <c r="N108" i="14"/>
  <c r="N118" i="14"/>
  <c r="N5" i="14"/>
  <c r="N69" i="14"/>
  <c r="N33" i="14"/>
  <c r="N94" i="14"/>
  <c r="N12" i="14"/>
  <c r="N25" i="14"/>
  <c r="N37" i="14"/>
  <c r="N50" i="14"/>
  <c r="N62" i="14"/>
  <c r="N76" i="14"/>
  <c r="N87" i="14"/>
  <c r="N98" i="14"/>
  <c r="N109" i="14"/>
  <c r="N119" i="14"/>
  <c r="N4" i="14"/>
  <c r="N30" i="14"/>
  <c r="N103" i="14"/>
  <c r="N20" i="14"/>
  <c r="N84" i="14"/>
  <c r="N13" i="14"/>
  <c r="N26" i="14"/>
  <c r="N38" i="14"/>
  <c r="N52" i="14"/>
  <c r="N65" i="14"/>
  <c r="N77" i="14"/>
  <c r="N89" i="14"/>
  <c r="N100" i="14"/>
  <c r="N110" i="14"/>
  <c r="N121" i="14"/>
  <c r="N44" i="14"/>
  <c r="N93" i="14"/>
  <c r="N70" i="14"/>
  <c r="N14" i="14"/>
  <c r="N28" i="14"/>
  <c r="N41" i="14"/>
  <c r="N53" i="14"/>
  <c r="N66" i="14"/>
  <c r="N78" i="14"/>
  <c r="N90" i="14"/>
  <c r="N101" i="14"/>
  <c r="N111" i="14"/>
  <c r="N122" i="14"/>
  <c r="N17" i="14"/>
  <c r="N29" i="14"/>
  <c r="N42" i="14"/>
  <c r="N54" i="14"/>
  <c r="N68" i="14"/>
  <c r="N81" i="14"/>
  <c r="N92" i="14"/>
  <c r="N102" i="14"/>
  <c r="N113" i="14"/>
  <c r="N124" i="14"/>
  <c r="N57" i="14"/>
  <c r="N114" i="14"/>
  <c r="N6" i="14"/>
  <c r="N58" i="14"/>
  <c r="N105" i="14"/>
  <c r="N9" i="14"/>
  <c r="N21" i="14"/>
  <c r="N34" i="14"/>
  <c r="N46" i="14"/>
  <c r="N60" i="14"/>
  <c r="N73" i="14"/>
  <c r="N85" i="14"/>
  <c r="N95" i="14"/>
  <c r="N106" i="14"/>
  <c r="N117" i="14"/>
  <c r="N18" i="14"/>
  <c r="N82" i="14"/>
  <c r="N45" i="14"/>
  <c r="N116" i="14"/>
  <c r="AV47" i="14"/>
  <c r="AZ46" i="14"/>
  <c r="AJ6" i="14"/>
  <c r="AN5" i="14"/>
  <c r="AP5" i="14" s="1"/>
  <c r="AB5" i="14"/>
  <c r="AD5" i="14" s="1"/>
  <c r="X6" i="14"/>
  <c r="N120" i="14"/>
  <c r="N112" i="14"/>
  <c r="N104" i="14"/>
  <c r="N96" i="14"/>
  <c r="N88" i="14"/>
  <c r="N80" i="14"/>
  <c r="N72" i="14"/>
  <c r="N64" i="14"/>
  <c r="N56" i="14"/>
  <c r="N48" i="14"/>
  <c r="N40" i="14"/>
  <c r="N32" i="14"/>
  <c r="N24" i="14"/>
  <c r="N16" i="14"/>
  <c r="N8" i="14"/>
  <c r="N79" i="14"/>
  <c r="N71" i="14"/>
  <c r="N63" i="14"/>
  <c r="N55" i="14"/>
  <c r="N47" i="14"/>
  <c r="N39" i="14"/>
  <c r="N31" i="14"/>
  <c r="N23" i="14"/>
  <c r="N15" i="14"/>
  <c r="N7" i="14"/>
  <c r="N123" i="14"/>
  <c r="N115" i="14"/>
  <c r="N107" i="14"/>
  <c r="N99" i="14"/>
  <c r="N91" i="14"/>
  <c r="N83" i="14"/>
  <c r="N75" i="14"/>
  <c r="N67" i="14"/>
  <c r="N59" i="14"/>
  <c r="N51" i="14"/>
  <c r="N43" i="14"/>
  <c r="N35" i="14"/>
  <c r="N27" i="14"/>
  <c r="N19" i="14"/>
  <c r="B5" i="14"/>
  <c r="E102" i="1"/>
  <c r="F102" i="1" s="1"/>
  <c r="G102" i="1" s="1"/>
  <c r="H102" i="1" s="1"/>
  <c r="E87" i="1"/>
  <c r="F87" i="1" s="1"/>
  <c r="G87" i="1" s="1"/>
  <c r="H87" i="1" s="1"/>
  <c r="G72" i="1"/>
  <c r="H72" i="1" s="1"/>
  <c r="B7" i="15" l="1"/>
  <c r="F6" i="15"/>
  <c r="BH8" i="16"/>
  <c r="BH9" i="16" s="1"/>
  <c r="BL7" i="19"/>
  <c r="BH8" i="19"/>
  <c r="B7" i="19"/>
  <c r="E6" i="19"/>
  <c r="P6" i="19"/>
  <c r="AB6" i="19"/>
  <c r="X7" i="19"/>
  <c r="AV8" i="19"/>
  <c r="AZ7" i="19"/>
  <c r="AJ7" i="19"/>
  <c r="AN6" i="19"/>
  <c r="AZ7" i="18"/>
  <c r="AV8" i="18"/>
  <c r="AN7" i="18"/>
  <c r="AJ8" i="18"/>
  <c r="X7" i="18"/>
  <c r="AB6" i="18"/>
  <c r="P6" i="18"/>
  <c r="E6" i="18"/>
  <c r="B7" i="18"/>
  <c r="BL6" i="18"/>
  <c r="BH7" i="18"/>
  <c r="BH10" i="17"/>
  <c r="BL9" i="17"/>
  <c r="AJ9" i="17"/>
  <c r="AN8" i="17"/>
  <c r="AB6" i="17"/>
  <c r="X7" i="17"/>
  <c r="P6" i="17"/>
  <c r="B7" i="17"/>
  <c r="E6" i="17"/>
  <c r="AV8" i="17"/>
  <c r="AZ7" i="17"/>
  <c r="P7" i="16"/>
  <c r="E7" i="16"/>
  <c r="B8" i="16"/>
  <c r="AV8" i="16"/>
  <c r="AZ7" i="16"/>
  <c r="X8" i="16"/>
  <c r="AB7" i="16"/>
  <c r="AJ7" i="16"/>
  <c r="AN6" i="16"/>
  <c r="BH7" i="14"/>
  <c r="BL6" i="14"/>
  <c r="P5" i="14"/>
  <c r="R5" i="14" s="1"/>
  <c r="E5" i="14"/>
  <c r="G5" i="14" s="1"/>
  <c r="AV48" i="14"/>
  <c r="AZ47" i="14"/>
  <c r="AJ7" i="14"/>
  <c r="AN6" i="14"/>
  <c r="X7" i="14"/>
  <c r="AB6" i="14"/>
  <c r="B6" i="14"/>
  <c r="G4" i="1"/>
  <c r="F4" i="1"/>
  <c r="E4" i="1"/>
  <c r="B8" i="15" l="1"/>
  <c r="F7" i="15"/>
  <c r="BL8" i="16"/>
  <c r="P7" i="19"/>
  <c r="E7" i="19"/>
  <c r="B8" i="19"/>
  <c r="BH9" i="19"/>
  <c r="BL8" i="19"/>
  <c r="AZ8" i="19"/>
  <c r="AV9" i="19"/>
  <c r="X8" i="19"/>
  <c r="AB7" i="19"/>
  <c r="AJ8" i="19"/>
  <c r="AN7" i="19"/>
  <c r="E7" i="18"/>
  <c r="B8" i="18"/>
  <c r="P7" i="18"/>
  <c r="AB7" i="18"/>
  <c r="X8" i="18"/>
  <c r="BH8" i="18"/>
  <c r="BL7" i="18"/>
  <c r="AV9" i="18"/>
  <c r="AZ8" i="18"/>
  <c r="AN8" i="18"/>
  <c r="AJ9" i="18"/>
  <c r="AZ8" i="17"/>
  <c r="AV9" i="17"/>
  <c r="AB7" i="17"/>
  <c r="X8" i="17"/>
  <c r="BH11" i="17"/>
  <c r="BL10" i="17"/>
  <c r="AJ10" i="17"/>
  <c r="AN9" i="17"/>
  <c r="E7" i="17"/>
  <c r="B8" i="17"/>
  <c r="P7" i="17"/>
  <c r="AJ8" i="16"/>
  <c r="AN7" i="16"/>
  <c r="B9" i="16"/>
  <c r="P8" i="16"/>
  <c r="E8" i="16"/>
  <c r="X9" i="16"/>
  <c r="AB8" i="16"/>
  <c r="BL9" i="16"/>
  <c r="BH10" i="16"/>
  <c r="AZ8" i="16"/>
  <c r="AV9" i="16"/>
  <c r="BH8" i="14"/>
  <c r="BL7" i="14"/>
  <c r="P6" i="14"/>
  <c r="E6" i="14"/>
  <c r="AV49" i="14"/>
  <c r="AZ48" i="14"/>
  <c r="AJ8" i="14"/>
  <c r="AN7" i="14"/>
  <c r="X8" i="14"/>
  <c r="AB7" i="14"/>
  <c r="B7" i="14"/>
  <c r="G7" i="1"/>
  <c r="C23" i="1" s="1"/>
  <c r="F7" i="1"/>
  <c r="C22" i="1" s="1"/>
  <c r="E7" i="1"/>
  <c r="C21" i="1" s="1"/>
  <c r="B9" i="15" l="1"/>
  <c r="F8" i="15"/>
  <c r="AN8" i="19"/>
  <c r="AJ9" i="19"/>
  <c r="BH10" i="19"/>
  <c r="BL9" i="19"/>
  <c r="X9" i="19"/>
  <c r="AB8" i="19"/>
  <c r="B9" i="19"/>
  <c r="P8" i="19"/>
  <c r="E8" i="19"/>
  <c r="AV10" i="19"/>
  <c r="AZ9" i="19"/>
  <c r="BL8" i="18"/>
  <c r="BH9" i="18"/>
  <c r="AB8" i="18"/>
  <c r="X9" i="18"/>
  <c r="P8" i="18"/>
  <c r="B9" i="18"/>
  <c r="E8" i="18"/>
  <c r="AJ10" i="18"/>
  <c r="AN9" i="18"/>
  <c r="AZ9" i="18"/>
  <c r="AV10" i="18"/>
  <c r="AZ9" i="17"/>
  <c r="AV10" i="17"/>
  <c r="AN10" i="17"/>
  <c r="AJ11" i="17"/>
  <c r="P8" i="17"/>
  <c r="B9" i="17"/>
  <c r="E8" i="17"/>
  <c r="BL11" i="17"/>
  <c r="BH12" i="17"/>
  <c r="X9" i="17"/>
  <c r="AB8" i="17"/>
  <c r="B10" i="16"/>
  <c r="E9" i="16"/>
  <c r="P9" i="16"/>
  <c r="AV10" i="16"/>
  <c r="AZ9" i="16"/>
  <c r="BH11" i="16"/>
  <c r="BL10" i="16"/>
  <c r="X10" i="16"/>
  <c r="AB9" i="16"/>
  <c r="AJ9" i="16"/>
  <c r="AN8" i="16"/>
  <c r="BH9" i="14"/>
  <c r="BL8" i="14"/>
  <c r="P7" i="14"/>
  <c r="E7" i="14"/>
  <c r="AV50" i="14"/>
  <c r="AZ49" i="14"/>
  <c r="AJ9" i="14"/>
  <c r="AN8" i="14"/>
  <c r="X9" i="14"/>
  <c r="AB8" i="14"/>
  <c r="B8" i="14"/>
  <c r="K4" i="1"/>
  <c r="H3" i="1"/>
  <c r="D12" i="1"/>
  <c r="H15" i="1" s="1"/>
  <c r="H20" i="1" s="1"/>
  <c r="D11" i="1"/>
  <c r="G15" i="1" s="1"/>
  <c r="G20" i="1" s="1"/>
  <c r="D10" i="1"/>
  <c r="F15" i="1" s="1"/>
  <c r="F20" i="1" s="1"/>
  <c r="D9" i="1"/>
  <c r="E15" i="1" s="1"/>
  <c r="E20" i="1" s="1"/>
  <c r="D8" i="1"/>
  <c r="D15" i="1" s="1"/>
  <c r="D20" i="1" s="1"/>
  <c r="B10" i="15" l="1"/>
  <c r="F9" i="15"/>
  <c r="A3" i="18"/>
  <c r="AV11" i="19"/>
  <c r="AZ10" i="19"/>
  <c r="AB9" i="19"/>
  <c r="X10" i="19"/>
  <c r="BL10" i="19"/>
  <c r="BH11" i="19"/>
  <c r="AN9" i="19"/>
  <c r="AJ10" i="19"/>
  <c r="E9" i="19"/>
  <c r="B10" i="19"/>
  <c r="P9" i="19"/>
  <c r="AN10" i="18"/>
  <c r="AJ11" i="18"/>
  <c r="BL9" i="18"/>
  <c r="BH10" i="18"/>
  <c r="AZ10" i="18"/>
  <c r="AV11" i="18"/>
  <c r="P9" i="18"/>
  <c r="E9" i="18"/>
  <c r="B10" i="18"/>
  <c r="AB9" i="18"/>
  <c r="X10" i="18"/>
  <c r="B10" i="17"/>
  <c r="P9" i="17"/>
  <c r="E9" i="17"/>
  <c r="AJ12" i="17"/>
  <c r="AN11" i="17"/>
  <c r="X10" i="17"/>
  <c r="AB9" i="17"/>
  <c r="BL12" i="17"/>
  <c r="BH13" i="17"/>
  <c r="AV11" i="17"/>
  <c r="AZ10" i="17"/>
  <c r="AN9" i="16"/>
  <c r="AJ10" i="16"/>
  <c r="BL11" i="16"/>
  <c r="BH12" i="16"/>
  <c r="AB10" i="16"/>
  <c r="X11" i="16"/>
  <c r="AV11" i="16"/>
  <c r="AZ10" i="16"/>
  <c r="E10" i="16"/>
  <c r="P10" i="16"/>
  <c r="B11" i="16"/>
  <c r="BH10" i="14"/>
  <c r="BL9" i="14"/>
  <c r="P8" i="14"/>
  <c r="E8" i="14"/>
  <c r="AV51" i="14"/>
  <c r="AZ50" i="14"/>
  <c r="AJ10" i="14"/>
  <c r="AN9" i="14"/>
  <c r="X10" i="14"/>
  <c r="AB9" i="14"/>
  <c r="B9" i="14"/>
  <c r="H7" i="1"/>
  <c r="C24" i="1" s="1"/>
  <c r="H4" i="1"/>
  <c r="H13" i="1"/>
  <c r="F13" i="1"/>
  <c r="G13" i="1"/>
  <c r="E13" i="1"/>
  <c r="F6" i="9"/>
  <c r="E8" i="12"/>
  <c r="F8" i="12" s="1"/>
  <c r="E7" i="12"/>
  <c r="F7" i="12" s="1"/>
  <c r="E6" i="12"/>
  <c r="F6" i="12" s="1"/>
  <c r="E5" i="12"/>
  <c r="F5" i="12" s="1"/>
  <c r="E4" i="12"/>
  <c r="D8" i="12"/>
  <c r="D7" i="12"/>
  <c r="D6" i="12"/>
  <c r="D5" i="12"/>
  <c r="D4" i="12"/>
  <c r="C8" i="12"/>
  <c r="C7" i="12"/>
  <c r="C6" i="12"/>
  <c r="C5" i="12"/>
  <c r="C4" i="12"/>
  <c r="B8" i="12"/>
  <c r="S12" i="12" s="1"/>
  <c r="B7" i="12"/>
  <c r="O12" i="12" s="1"/>
  <c r="B6" i="12"/>
  <c r="K12" i="12" s="1"/>
  <c r="B5" i="12"/>
  <c r="G12" i="12" s="1"/>
  <c r="B4" i="12"/>
  <c r="C12" i="12" s="1"/>
  <c r="AP27" i="12"/>
  <c r="AL27" i="12"/>
  <c r="AH27" i="12"/>
  <c r="AD27" i="12"/>
  <c r="Z27" i="12"/>
  <c r="V27" i="12"/>
  <c r="R27" i="12"/>
  <c r="N27" i="12"/>
  <c r="J27" i="12"/>
  <c r="F27" i="12"/>
  <c r="AP26" i="12"/>
  <c r="AL26" i="12"/>
  <c r="AH26" i="12"/>
  <c r="AD26" i="12"/>
  <c r="Z26" i="12"/>
  <c r="V26" i="12"/>
  <c r="R26" i="12"/>
  <c r="N26" i="12"/>
  <c r="J26" i="12"/>
  <c r="F26" i="12"/>
  <c r="AP25" i="12"/>
  <c r="AL25" i="12"/>
  <c r="AH25" i="12"/>
  <c r="AD25" i="12"/>
  <c r="Z25" i="12"/>
  <c r="V25" i="12"/>
  <c r="R25" i="12"/>
  <c r="N25" i="12"/>
  <c r="J25" i="12"/>
  <c r="F25" i="12"/>
  <c r="AP24" i="12"/>
  <c r="AL24" i="12"/>
  <c r="AH24" i="12"/>
  <c r="AD24" i="12"/>
  <c r="Z24" i="12"/>
  <c r="V24" i="12"/>
  <c r="R24" i="12"/>
  <c r="N24" i="12"/>
  <c r="J24" i="12"/>
  <c r="F24" i="12"/>
  <c r="AP23" i="12"/>
  <c r="AL23" i="12"/>
  <c r="AH23" i="12"/>
  <c r="AD23" i="12"/>
  <c r="Z23" i="12"/>
  <c r="V23" i="12"/>
  <c r="R23" i="12"/>
  <c r="N23" i="12"/>
  <c r="J23" i="12"/>
  <c r="F23" i="12"/>
  <c r="AP22" i="12"/>
  <c r="AL22" i="12"/>
  <c r="AH22" i="12"/>
  <c r="AD22" i="12"/>
  <c r="Z22" i="12"/>
  <c r="V22" i="12"/>
  <c r="R22" i="12"/>
  <c r="N22" i="12"/>
  <c r="J22" i="12"/>
  <c r="F22" i="12"/>
  <c r="AP21" i="12"/>
  <c r="AL21" i="12"/>
  <c r="AH21" i="12"/>
  <c r="AD21" i="12"/>
  <c r="Z21" i="12"/>
  <c r="V21" i="12"/>
  <c r="R21" i="12"/>
  <c r="N21" i="12"/>
  <c r="J21" i="12"/>
  <c r="F21" i="12"/>
  <c r="AP20" i="12"/>
  <c r="AL20" i="12"/>
  <c r="AH20" i="12"/>
  <c r="AD20" i="12"/>
  <c r="Z20" i="12"/>
  <c r="V20" i="12"/>
  <c r="R20" i="12"/>
  <c r="N20" i="12"/>
  <c r="J20" i="12"/>
  <c r="F20" i="12"/>
  <c r="AP19" i="12"/>
  <c r="AL19" i="12"/>
  <c r="AH19" i="12"/>
  <c r="AD19" i="12"/>
  <c r="Z19" i="12"/>
  <c r="V19" i="12"/>
  <c r="R19" i="12"/>
  <c r="N19" i="12"/>
  <c r="J19" i="12"/>
  <c r="F19" i="12"/>
  <c r="AP18" i="12"/>
  <c r="AL18" i="12"/>
  <c r="AH18" i="12"/>
  <c r="AD18" i="12"/>
  <c r="Z18" i="12"/>
  <c r="V18" i="12"/>
  <c r="R18" i="12"/>
  <c r="N18" i="12"/>
  <c r="J18" i="12"/>
  <c r="F18" i="12"/>
  <c r="AP17" i="12"/>
  <c r="AL17" i="12"/>
  <c r="AH17" i="12"/>
  <c r="AD17" i="12"/>
  <c r="Z17" i="12"/>
  <c r="V17" i="12"/>
  <c r="R17" i="12"/>
  <c r="N17" i="12"/>
  <c r="J17" i="12"/>
  <c r="F17" i="12"/>
  <c r="B17" i="12"/>
  <c r="B18" i="12" s="1"/>
  <c r="B19" i="12" s="1"/>
  <c r="B20" i="12" s="1"/>
  <c r="B21" i="12" s="1"/>
  <c r="B22" i="12" s="1"/>
  <c r="B23" i="12" s="1"/>
  <c r="B24" i="12" s="1"/>
  <c r="B25" i="12" s="1"/>
  <c r="B26" i="12" s="1"/>
  <c r="B27" i="12" s="1"/>
  <c r="AP16" i="12"/>
  <c r="AL16" i="12"/>
  <c r="AH16" i="12"/>
  <c r="AD16" i="12"/>
  <c r="Z16" i="12"/>
  <c r="V16" i="12"/>
  <c r="R16" i="12"/>
  <c r="N16" i="12"/>
  <c r="J16" i="12"/>
  <c r="F16" i="12"/>
  <c r="AM12" i="12"/>
  <c r="AI12" i="12"/>
  <c r="AE12" i="12"/>
  <c r="AA12" i="12"/>
  <c r="W12" i="12"/>
  <c r="A5" i="12"/>
  <c r="A6" i="12" s="1"/>
  <c r="A7" i="12" s="1"/>
  <c r="A8" i="12" s="1"/>
  <c r="B11" i="15" l="1"/>
  <c r="F10" i="15"/>
  <c r="AV12" i="19"/>
  <c r="AZ11" i="19"/>
  <c r="AJ11" i="19"/>
  <c r="AN10" i="19"/>
  <c r="AB10" i="19"/>
  <c r="X11" i="19"/>
  <c r="E10" i="19"/>
  <c r="B11" i="19"/>
  <c r="P10" i="19"/>
  <c r="BL11" i="19"/>
  <c r="BH12" i="19"/>
  <c r="AV12" i="18"/>
  <c r="AZ11" i="18"/>
  <c r="BL10" i="18"/>
  <c r="BH11" i="18"/>
  <c r="AN11" i="18"/>
  <c r="AJ12" i="18"/>
  <c r="X11" i="18"/>
  <c r="AB10" i="18"/>
  <c r="P10" i="18"/>
  <c r="E10" i="18"/>
  <c r="B11" i="18"/>
  <c r="BH14" i="17"/>
  <c r="BL13" i="17"/>
  <c r="AB10" i="17"/>
  <c r="X11" i="17"/>
  <c r="B11" i="17"/>
  <c r="E10" i="17"/>
  <c r="P10" i="17"/>
  <c r="AN12" i="17"/>
  <c r="AJ13" i="17"/>
  <c r="AV12" i="17"/>
  <c r="AZ11" i="17"/>
  <c r="P11" i="16"/>
  <c r="E11" i="16"/>
  <c r="B12" i="16"/>
  <c r="BH13" i="16"/>
  <c r="BL12" i="16"/>
  <c r="AV12" i="16"/>
  <c r="AZ11" i="16"/>
  <c r="X12" i="16"/>
  <c r="AB11" i="16"/>
  <c r="AJ11" i="16"/>
  <c r="AN10" i="16"/>
  <c r="BH11" i="14"/>
  <c r="BL10" i="14"/>
  <c r="P9" i="14"/>
  <c r="E9" i="14"/>
  <c r="AV52" i="14"/>
  <c r="AZ51" i="14"/>
  <c r="AJ11" i="14"/>
  <c r="AN10" i="14"/>
  <c r="X11" i="14"/>
  <c r="AB10" i="14"/>
  <c r="B10" i="14"/>
  <c r="E9" i="12"/>
  <c r="F4" i="12" s="1"/>
  <c r="F9" i="12" s="1"/>
  <c r="G4" i="12"/>
  <c r="G5" i="12"/>
  <c r="G6" i="12"/>
  <c r="G7" i="12"/>
  <c r="G8" i="12"/>
  <c r="B12" i="15" l="1"/>
  <c r="F11" i="15"/>
  <c r="BH13" i="19"/>
  <c r="BL12" i="19"/>
  <c r="AJ12" i="19"/>
  <c r="AN11" i="19"/>
  <c r="P11" i="19"/>
  <c r="E11" i="19"/>
  <c r="B12" i="19"/>
  <c r="X12" i="19"/>
  <c r="AB11" i="19"/>
  <c r="AZ12" i="19"/>
  <c r="AV13" i="19"/>
  <c r="BH12" i="18"/>
  <c r="BL11" i="18"/>
  <c r="X12" i="18"/>
  <c r="AB11" i="18"/>
  <c r="AV13" i="18"/>
  <c r="AZ12" i="18"/>
  <c r="E11" i="18"/>
  <c r="B12" i="18"/>
  <c r="P11" i="18"/>
  <c r="AJ13" i="18"/>
  <c r="AN12" i="18"/>
  <c r="AZ12" i="17"/>
  <c r="AV13" i="17"/>
  <c r="E11" i="17"/>
  <c r="P11" i="17"/>
  <c r="B12" i="17"/>
  <c r="AN13" i="17"/>
  <c r="AJ14" i="17"/>
  <c r="AB11" i="17"/>
  <c r="X12" i="17"/>
  <c r="BH15" i="17"/>
  <c r="BL14" i="17"/>
  <c r="AB12" i="16"/>
  <c r="X13" i="16"/>
  <c r="AJ12" i="16"/>
  <c r="AN11" i="16"/>
  <c r="B13" i="16"/>
  <c r="P12" i="16"/>
  <c r="E12" i="16"/>
  <c r="BH14" i="16"/>
  <c r="BL13" i="16"/>
  <c r="AZ12" i="16"/>
  <c r="AV13" i="16"/>
  <c r="BH12" i="14"/>
  <c r="BL11" i="14"/>
  <c r="P10" i="14"/>
  <c r="E10" i="14"/>
  <c r="AV53" i="14"/>
  <c r="AZ52" i="14"/>
  <c r="AJ12" i="14"/>
  <c r="AN11" i="14"/>
  <c r="X12" i="14"/>
  <c r="AB11" i="14"/>
  <c r="B11" i="14"/>
  <c r="H5" i="12"/>
  <c r="H6" i="12"/>
  <c r="H8" i="12"/>
  <c r="H4" i="12"/>
  <c r="H7" i="12"/>
  <c r="G9" i="12"/>
  <c r="B13" i="15" l="1"/>
  <c r="F12" i="15"/>
  <c r="AV14" i="19"/>
  <c r="AZ13" i="19"/>
  <c r="X13" i="19"/>
  <c r="AB12" i="19"/>
  <c r="B13" i="19"/>
  <c r="P12" i="19"/>
  <c r="E12" i="19"/>
  <c r="BH14" i="19"/>
  <c r="BL13" i="19"/>
  <c r="AJ13" i="19"/>
  <c r="AN12" i="19"/>
  <c r="BH13" i="18"/>
  <c r="BL12" i="18"/>
  <c r="AV14" i="18"/>
  <c r="AZ13" i="18"/>
  <c r="AB12" i="18"/>
  <c r="X13" i="18"/>
  <c r="P12" i="18"/>
  <c r="B13" i="18"/>
  <c r="E12" i="18"/>
  <c r="AN13" i="18"/>
  <c r="AJ14" i="18"/>
  <c r="BH16" i="17"/>
  <c r="BL15" i="17"/>
  <c r="AN14" i="17"/>
  <c r="AJ15" i="17"/>
  <c r="AZ13" i="17"/>
  <c r="AV14" i="17"/>
  <c r="P12" i="17"/>
  <c r="E12" i="17"/>
  <c r="B13" i="17"/>
  <c r="X13" i="17"/>
  <c r="AB12" i="17"/>
  <c r="AB13" i="16"/>
  <c r="X14" i="16"/>
  <c r="E13" i="16"/>
  <c r="P13" i="16"/>
  <c r="B14" i="16"/>
  <c r="BL14" i="16"/>
  <c r="BH15" i="16"/>
  <c r="AN12" i="16"/>
  <c r="AJ13" i="16"/>
  <c r="AV14" i="16"/>
  <c r="AZ13" i="16"/>
  <c r="BH13" i="14"/>
  <c r="BL12" i="14"/>
  <c r="P11" i="14"/>
  <c r="E11" i="14"/>
  <c r="AV54" i="14"/>
  <c r="AZ53" i="14"/>
  <c r="AJ13" i="14"/>
  <c r="AN12" i="14"/>
  <c r="X13" i="14"/>
  <c r="AB12" i="14"/>
  <c r="B12" i="14"/>
  <c r="H9" i="12"/>
  <c r="B14" i="15" l="1"/>
  <c r="F13" i="15"/>
  <c r="E13" i="19"/>
  <c r="B14" i="19"/>
  <c r="P13" i="19"/>
  <c r="AV15" i="19"/>
  <c r="AZ14" i="19"/>
  <c r="AB13" i="19"/>
  <c r="X14" i="19"/>
  <c r="BL14" i="19"/>
  <c r="BH15" i="19"/>
  <c r="AN13" i="19"/>
  <c r="AJ14" i="19"/>
  <c r="AJ15" i="18"/>
  <c r="AN14" i="18"/>
  <c r="E13" i="18"/>
  <c r="P13" i="18"/>
  <c r="B14" i="18"/>
  <c r="AZ14" i="18"/>
  <c r="AV15" i="18"/>
  <c r="X14" i="18"/>
  <c r="AB13" i="18"/>
  <c r="BL13" i="18"/>
  <c r="BH14" i="18"/>
  <c r="B14" i="17"/>
  <c r="E13" i="17"/>
  <c r="P13" i="17"/>
  <c r="AJ16" i="17"/>
  <c r="AN15" i="17"/>
  <c r="BL16" i="17"/>
  <c r="BH17" i="17"/>
  <c r="X14" i="17"/>
  <c r="AB13" i="17"/>
  <c r="AV15" i="17"/>
  <c r="AZ14" i="17"/>
  <c r="AB14" i="16"/>
  <c r="X15" i="16"/>
  <c r="AV15" i="16"/>
  <c r="AZ14" i="16"/>
  <c r="B15" i="16"/>
  <c r="P14" i="16"/>
  <c r="E14" i="16"/>
  <c r="AJ14" i="16"/>
  <c r="AN13" i="16"/>
  <c r="BL15" i="16"/>
  <c r="BH16" i="16"/>
  <c r="BH14" i="14"/>
  <c r="BL13" i="14"/>
  <c r="P12" i="14"/>
  <c r="E12" i="14"/>
  <c r="AV55" i="14"/>
  <c r="AZ54" i="14"/>
  <c r="AJ14" i="14"/>
  <c r="AN13" i="14"/>
  <c r="X14" i="14"/>
  <c r="AB13" i="14"/>
  <c r="B13" i="14"/>
  <c r="D101" i="1"/>
  <c r="D86" i="1"/>
  <c r="D71" i="1"/>
  <c r="D56" i="1"/>
  <c r="D41" i="1"/>
  <c r="B15" i="15" l="1"/>
  <c r="F14" i="15"/>
  <c r="AB14" i="19"/>
  <c r="X15" i="19"/>
  <c r="E14" i="19"/>
  <c r="P14" i="19"/>
  <c r="B15" i="19"/>
  <c r="BL15" i="19"/>
  <c r="BH16" i="19"/>
  <c r="AZ15" i="19"/>
  <c r="AV16" i="19"/>
  <c r="AJ15" i="19"/>
  <c r="AN14" i="19"/>
  <c r="E14" i="18"/>
  <c r="B15" i="18"/>
  <c r="P14" i="18"/>
  <c r="AZ15" i="18"/>
  <c r="AV16" i="18"/>
  <c r="AN15" i="18"/>
  <c r="AJ16" i="18"/>
  <c r="BH15" i="18"/>
  <c r="BL14" i="18"/>
  <c r="AB14" i="18"/>
  <c r="X15" i="18"/>
  <c r="AZ15" i="17"/>
  <c r="AV16" i="17"/>
  <c r="BH18" i="17"/>
  <c r="BL17" i="17"/>
  <c r="AB14" i="17"/>
  <c r="X15" i="17"/>
  <c r="AJ17" i="17"/>
  <c r="AN16" i="17"/>
  <c r="E14" i="17"/>
  <c r="B15" i="17"/>
  <c r="P14" i="17"/>
  <c r="AV16" i="16"/>
  <c r="AZ15" i="16"/>
  <c r="AN14" i="16"/>
  <c r="AJ15" i="16"/>
  <c r="X16" i="16"/>
  <c r="AB15" i="16"/>
  <c r="BH17" i="16"/>
  <c r="BL16" i="16"/>
  <c r="P15" i="16"/>
  <c r="E15" i="16"/>
  <c r="B16" i="16"/>
  <c r="BH15" i="14"/>
  <c r="BL14" i="14"/>
  <c r="P13" i="14"/>
  <c r="E13" i="14"/>
  <c r="AV56" i="14"/>
  <c r="AZ55" i="14"/>
  <c r="AJ15" i="14"/>
  <c r="AN14" i="14"/>
  <c r="X15" i="14"/>
  <c r="AB14" i="14"/>
  <c r="B14" i="14"/>
  <c r="Y3" i="1"/>
  <c r="X2" i="1"/>
  <c r="C32" i="1"/>
  <c r="C28" i="1"/>
  <c r="F8" i="9"/>
  <c r="E8" i="9"/>
  <c r="D8" i="9"/>
  <c r="C8" i="9"/>
  <c r="F7" i="9"/>
  <c r="E7" i="9"/>
  <c r="D7" i="9"/>
  <c r="C7" i="9"/>
  <c r="C107" i="1"/>
  <c r="C106" i="1"/>
  <c r="C105" i="1"/>
  <c r="C92" i="1"/>
  <c r="C91" i="1"/>
  <c r="C90" i="1"/>
  <c r="C77" i="1"/>
  <c r="C76" i="1"/>
  <c r="C75" i="1"/>
  <c r="C62" i="1"/>
  <c r="C61" i="1"/>
  <c r="C60" i="1"/>
  <c r="C47" i="1"/>
  <c r="C46" i="1"/>
  <c r="C45" i="1"/>
  <c r="B16" i="15" l="1"/>
  <c r="F15" i="15"/>
  <c r="AZ16" i="19"/>
  <c r="AV17" i="19"/>
  <c r="P15" i="19"/>
  <c r="E15" i="19"/>
  <c r="B16" i="19"/>
  <c r="BH17" i="19"/>
  <c r="BL16" i="19"/>
  <c r="AJ16" i="19"/>
  <c r="AN15" i="19"/>
  <c r="X16" i="19"/>
  <c r="AB15" i="19"/>
  <c r="BL15" i="18"/>
  <c r="BH16" i="18"/>
  <c r="AZ16" i="18"/>
  <c r="AV17" i="18"/>
  <c r="X16" i="18"/>
  <c r="AB15" i="18"/>
  <c r="AN16" i="18"/>
  <c r="AJ17" i="18"/>
  <c r="P15" i="18"/>
  <c r="E15" i="18"/>
  <c r="B16" i="18"/>
  <c r="AZ16" i="17"/>
  <c r="AV17" i="17"/>
  <c r="E15" i="17"/>
  <c r="B16" i="17"/>
  <c r="P15" i="17"/>
  <c r="AB15" i="17"/>
  <c r="X16" i="17"/>
  <c r="AN17" i="17"/>
  <c r="AJ18" i="17"/>
  <c r="BL18" i="17"/>
  <c r="BH19" i="17"/>
  <c r="E16" i="16"/>
  <c r="B17" i="16"/>
  <c r="P16" i="16"/>
  <c r="X17" i="16"/>
  <c r="AB16" i="16"/>
  <c r="BH18" i="16"/>
  <c r="BL17" i="16"/>
  <c r="AZ16" i="16"/>
  <c r="AV17" i="16"/>
  <c r="AJ16" i="16"/>
  <c r="AN15" i="16"/>
  <c r="BH16" i="14"/>
  <c r="BL15" i="14"/>
  <c r="P14" i="14"/>
  <c r="E14" i="14"/>
  <c r="AV57" i="14"/>
  <c r="AZ56" i="14"/>
  <c r="AJ16" i="14"/>
  <c r="AN15" i="14"/>
  <c r="X16" i="14"/>
  <c r="AB15" i="14"/>
  <c r="B15" i="14"/>
  <c r="C29" i="1"/>
  <c r="C30" i="1"/>
  <c r="C31" i="1"/>
  <c r="B17" i="15" l="1"/>
  <c r="F16" i="15"/>
  <c r="BH18" i="19"/>
  <c r="BL17" i="19"/>
  <c r="AV18" i="19"/>
  <c r="AZ17" i="19"/>
  <c r="X17" i="19"/>
  <c r="AB16" i="19"/>
  <c r="AN16" i="19"/>
  <c r="AJ17" i="19"/>
  <c r="B17" i="19"/>
  <c r="P16" i="19"/>
  <c r="E16" i="19"/>
  <c r="BH17" i="18"/>
  <c r="BL16" i="18"/>
  <c r="AB16" i="18"/>
  <c r="X17" i="18"/>
  <c r="AV18" i="18"/>
  <c r="AZ17" i="18"/>
  <c r="B17" i="18"/>
  <c r="E16" i="18"/>
  <c r="P16" i="18"/>
  <c r="AN17" i="18"/>
  <c r="AJ18" i="18"/>
  <c r="P16" i="17"/>
  <c r="E16" i="17"/>
  <c r="B17" i="17"/>
  <c r="BL19" i="17"/>
  <c r="BH20" i="17"/>
  <c r="AZ17" i="17"/>
  <c r="AV18" i="17"/>
  <c r="AN18" i="17"/>
  <c r="AJ19" i="17"/>
  <c r="X17" i="17"/>
  <c r="AB16" i="17"/>
  <c r="X18" i="16"/>
  <c r="AB17" i="16"/>
  <c r="E17" i="16"/>
  <c r="P17" i="16"/>
  <c r="B18" i="16"/>
  <c r="AV18" i="16"/>
  <c r="AZ17" i="16"/>
  <c r="AJ17" i="16"/>
  <c r="AN16" i="16"/>
  <c r="BL18" i="16"/>
  <c r="BH19" i="16"/>
  <c r="BH17" i="14"/>
  <c r="BL16" i="14"/>
  <c r="P15" i="14"/>
  <c r="E15" i="14"/>
  <c r="AV58" i="14"/>
  <c r="AZ57" i="14"/>
  <c r="AJ17" i="14"/>
  <c r="AN16" i="14"/>
  <c r="X17" i="14"/>
  <c r="AB16" i="14"/>
  <c r="B16" i="14"/>
  <c r="C33" i="1"/>
  <c r="B18" i="15" l="1"/>
  <c r="F17" i="15"/>
  <c r="BL18" i="19"/>
  <c r="BH19" i="19"/>
  <c r="AB17" i="19"/>
  <c r="X18" i="19"/>
  <c r="AV19" i="19"/>
  <c r="AZ18" i="19"/>
  <c r="E17" i="19"/>
  <c r="B18" i="19"/>
  <c r="P17" i="19"/>
  <c r="AN17" i="19"/>
  <c r="AJ18" i="19"/>
  <c r="P17" i="18"/>
  <c r="E17" i="18"/>
  <c r="B18" i="18"/>
  <c r="BL17" i="18"/>
  <c r="BH18" i="18"/>
  <c r="AJ19" i="18"/>
  <c r="AN18" i="18"/>
  <c r="AZ18" i="18"/>
  <c r="AV19" i="18"/>
  <c r="AB17" i="18"/>
  <c r="X18" i="18"/>
  <c r="AV19" i="17"/>
  <c r="AZ18" i="17"/>
  <c r="AB17" i="17"/>
  <c r="X18" i="17"/>
  <c r="E17" i="17"/>
  <c r="B18" i="17"/>
  <c r="P17" i="17"/>
  <c r="BL20" i="17"/>
  <c r="BH21" i="17"/>
  <c r="AJ20" i="17"/>
  <c r="AN19" i="17"/>
  <c r="BL19" i="16"/>
  <c r="BH20" i="16"/>
  <c r="AZ18" i="16"/>
  <c r="AV19" i="16"/>
  <c r="E18" i="16"/>
  <c r="P18" i="16"/>
  <c r="B19" i="16"/>
  <c r="X19" i="16"/>
  <c r="AB18" i="16"/>
  <c r="AN17" i="16"/>
  <c r="AJ18" i="16"/>
  <c r="BH18" i="14"/>
  <c r="BL17" i="14"/>
  <c r="P16" i="14"/>
  <c r="E16" i="14"/>
  <c r="AV59" i="14"/>
  <c r="AZ58" i="14"/>
  <c r="AJ18" i="14"/>
  <c r="AN17" i="14"/>
  <c r="X18" i="14"/>
  <c r="AB17" i="14"/>
  <c r="B17" i="14"/>
  <c r="E17" i="14" s="1"/>
  <c r="B19" i="15" l="1"/>
  <c r="F18" i="15"/>
  <c r="P18" i="19"/>
  <c r="E18" i="19"/>
  <c r="B19" i="19"/>
  <c r="AZ19" i="19"/>
  <c r="AV20" i="19"/>
  <c r="AB18" i="19"/>
  <c r="X19" i="19"/>
  <c r="AJ19" i="19"/>
  <c r="AN18" i="19"/>
  <c r="BL19" i="19"/>
  <c r="BH20" i="19"/>
  <c r="AB18" i="18"/>
  <c r="X19" i="18"/>
  <c r="AN19" i="18"/>
  <c r="AJ20" i="18"/>
  <c r="P18" i="18"/>
  <c r="E18" i="18"/>
  <c r="B19" i="18"/>
  <c r="BL18" i="18"/>
  <c r="BH19" i="18"/>
  <c r="AZ19" i="18"/>
  <c r="AV20" i="18"/>
  <c r="AN20" i="17"/>
  <c r="AJ21" i="17"/>
  <c r="E18" i="17"/>
  <c r="P18" i="17"/>
  <c r="B19" i="17"/>
  <c r="AV20" i="17"/>
  <c r="AZ19" i="17"/>
  <c r="BL21" i="17"/>
  <c r="BH22" i="17"/>
  <c r="X19" i="17"/>
  <c r="AB18" i="17"/>
  <c r="AV20" i="16"/>
  <c r="AZ19" i="16"/>
  <c r="X20" i="16"/>
  <c r="AB19" i="16"/>
  <c r="BH21" i="16"/>
  <c r="BL20" i="16"/>
  <c r="B20" i="16"/>
  <c r="E19" i="16"/>
  <c r="P19" i="16"/>
  <c r="AJ19" i="16"/>
  <c r="AN18" i="16"/>
  <c r="BH19" i="14"/>
  <c r="BL18" i="14"/>
  <c r="AV60" i="14"/>
  <c r="AZ59" i="14"/>
  <c r="AJ19" i="14"/>
  <c r="AN18" i="14"/>
  <c r="X19" i="14"/>
  <c r="AB18" i="14"/>
  <c r="P17" i="14"/>
  <c r="B18" i="14"/>
  <c r="E18" i="14" s="1"/>
  <c r="D104" i="1"/>
  <c r="E103" i="1"/>
  <c r="F103" i="1" s="1"/>
  <c r="G103" i="1" s="1"/>
  <c r="H103" i="1" s="1"/>
  <c r="E96" i="1"/>
  <c r="F96" i="1" s="1"/>
  <c r="G96" i="1" s="1"/>
  <c r="H96" i="1" s="1"/>
  <c r="D89" i="1"/>
  <c r="E88" i="1"/>
  <c r="F88" i="1" s="1"/>
  <c r="G88" i="1" s="1"/>
  <c r="H88" i="1" s="1"/>
  <c r="D74" i="1"/>
  <c r="E73" i="1"/>
  <c r="F73" i="1" s="1"/>
  <c r="G73" i="1" s="1"/>
  <c r="H73" i="1" s="1"/>
  <c r="D59" i="1"/>
  <c r="E58" i="1"/>
  <c r="F58" i="1" s="1"/>
  <c r="G58" i="1" s="1"/>
  <c r="H58" i="1" s="1"/>
  <c r="F57" i="1"/>
  <c r="G57" i="1" s="1"/>
  <c r="H57" i="1" s="1"/>
  <c r="AX95" i="19" l="1"/>
  <c r="AX87" i="19"/>
  <c r="AX79" i="19"/>
  <c r="AX71" i="19"/>
  <c r="AX92" i="18"/>
  <c r="AX84" i="18"/>
  <c r="AX76" i="18"/>
  <c r="AX68" i="18"/>
  <c r="AX63" i="18"/>
  <c r="AX61" i="18"/>
  <c r="AX59" i="18"/>
  <c r="AX57" i="18"/>
  <c r="AX55" i="18"/>
  <c r="AX53" i="18"/>
  <c r="AX51" i="18"/>
  <c r="AX49" i="18"/>
  <c r="AX47" i="18"/>
  <c r="AX45" i="18"/>
  <c r="AX43" i="18"/>
  <c r="AX41" i="18"/>
  <c r="AX39" i="18"/>
  <c r="AX37" i="18"/>
  <c r="AX35" i="18"/>
  <c r="AX33" i="18"/>
  <c r="AX31" i="18"/>
  <c r="AX29" i="18"/>
  <c r="AX27" i="18"/>
  <c r="AX25" i="18"/>
  <c r="AX23" i="18"/>
  <c r="AX21" i="18"/>
  <c r="AX19" i="18"/>
  <c r="AX17" i="18"/>
  <c r="AX15" i="18"/>
  <c r="AX13" i="18"/>
  <c r="AX11" i="18"/>
  <c r="AX9" i="18"/>
  <c r="AX7" i="18"/>
  <c r="AX5" i="18"/>
  <c r="AX92" i="17"/>
  <c r="AX84" i="17"/>
  <c r="AX76" i="17"/>
  <c r="AX68" i="17"/>
  <c r="AX63" i="17"/>
  <c r="AX61" i="17"/>
  <c r="AX59" i="17"/>
  <c r="AX57" i="17"/>
  <c r="AX55" i="17"/>
  <c r="AX53" i="17"/>
  <c r="AX51" i="17"/>
  <c r="AX49" i="17"/>
  <c r="AX47" i="17"/>
  <c r="AX45" i="17"/>
  <c r="AX43" i="17"/>
  <c r="AX41" i="17"/>
  <c r="AX39" i="17"/>
  <c r="AX37" i="17"/>
  <c r="AX35" i="17"/>
  <c r="AX33" i="17"/>
  <c r="AX31" i="17"/>
  <c r="AX29" i="17"/>
  <c r="AX27" i="17"/>
  <c r="AX25" i="17"/>
  <c r="AX23" i="17"/>
  <c r="AX21" i="17"/>
  <c r="AX19" i="17"/>
  <c r="AX17" i="17"/>
  <c r="AX15" i="17"/>
  <c r="AX13" i="17"/>
  <c r="AX11" i="17"/>
  <c r="AX9" i="17"/>
  <c r="AX7" i="17"/>
  <c r="AX5" i="17"/>
  <c r="AX92" i="16"/>
  <c r="AX84" i="16"/>
  <c r="AX76" i="16"/>
  <c r="AX68" i="16"/>
  <c r="AX63" i="16"/>
  <c r="AX61" i="16"/>
  <c r="AX59" i="16"/>
  <c r="AX57" i="16"/>
  <c r="AX55" i="16"/>
  <c r="AX53" i="16"/>
  <c r="AX51" i="16"/>
  <c r="AX49" i="16"/>
  <c r="AX47" i="16"/>
  <c r="AX92" i="19"/>
  <c r="AX84" i="19"/>
  <c r="AX76" i="19"/>
  <c r="AX68" i="19"/>
  <c r="AX63" i="19"/>
  <c r="AX61" i="19"/>
  <c r="AX59" i="19"/>
  <c r="AX57" i="19"/>
  <c r="AX55" i="19"/>
  <c r="AX53" i="19"/>
  <c r="AX51" i="19"/>
  <c r="AX49" i="19"/>
  <c r="AX47" i="19"/>
  <c r="AX45" i="19"/>
  <c r="AX43" i="19"/>
  <c r="AX41" i="19"/>
  <c r="AX39" i="19"/>
  <c r="AX37" i="19"/>
  <c r="AX35" i="19"/>
  <c r="AX33" i="19"/>
  <c r="AX31" i="19"/>
  <c r="AX29" i="19"/>
  <c r="AX27" i="19"/>
  <c r="AX25" i="19"/>
  <c r="AX23" i="19"/>
  <c r="AX21" i="19"/>
  <c r="AX19" i="19"/>
  <c r="AX17" i="19"/>
  <c r="AX15" i="19"/>
  <c r="AX13" i="19"/>
  <c r="AX11" i="19"/>
  <c r="AX9" i="19"/>
  <c r="AX7" i="19"/>
  <c r="AX5" i="19"/>
  <c r="AX97" i="18"/>
  <c r="AX89" i="18"/>
  <c r="AX81" i="18"/>
  <c r="AX73" i="18"/>
  <c r="AX65" i="18"/>
  <c r="AX4" i="18"/>
  <c r="AX97" i="17"/>
  <c r="AX89" i="17"/>
  <c r="AX81" i="17"/>
  <c r="AX73" i="17"/>
  <c r="AX65" i="17"/>
  <c r="AX4" i="17"/>
  <c r="AX97" i="16"/>
  <c r="AX89" i="16"/>
  <c r="AX81" i="16"/>
  <c r="AX73" i="16"/>
  <c r="AX65" i="16"/>
  <c r="AX97" i="19"/>
  <c r="AX89" i="19"/>
  <c r="AX81" i="19"/>
  <c r="AX73" i="19"/>
  <c r="AX65" i="19"/>
  <c r="AX4" i="19"/>
  <c r="AX94" i="18"/>
  <c r="AX86" i="18"/>
  <c r="AX78" i="18"/>
  <c r="AX70" i="18"/>
  <c r="AX94" i="17"/>
  <c r="AX86" i="17"/>
  <c r="AX78" i="17"/>
  <c r="AX70" i="17"/>
  <c r="AX94" i="16"/>
  <c r="AX86" i="16"/>
  <c r="AX78" i="16"/>
  <c r="AX70" i="16"/>
  <c r="AX94" i="19"/>
  <c r="AX86" i="19"/>
  <c r="AX78" i="19"/>
  <c r="AX70" i="19"/>
  <c r="AX99" i="18"/>
  <c r="AX91" i="18"/>
  <c r="AX83" i="18"/>
  <c r="AX75" i="18"/>
  <c r="AX67" i="18"/>
  <c r="AX99" i="17"/>
  <c r="AX91" i="17"/>
  <c r="AX83" i="17"/>
  <c r="AX75" i="17"/>
  <c r="AX67" i="17"/>
  <c r="AX99" i="16"/>
  <c r="AX91" i="16"/>
  <c r="AX83" i="16"/>
  <c r="AX75" i="16"/>
  <c r="AX67" i="16"/>
  <c r="AX96" i="19"/>
  <c r="AX88" i="19"/>
  <c r="AX80" i="19"/>
  <c r="AX72" i="19"/>
  <c r="AX64" i="19"/>
  <c r="AX62" i="19"/>
  <c r="AX60" i="19"/>
  <c r="AX58" i="19"/>
  <c r="AX56" i="19"/>
  <c r="AX54" i="19"/>
  <c r="AX52" i="19"/>
  <c r="AX50" i="19"/>
  <c r="AX48" i="19"/>
  <c r="AX46" i="19"/>
  <c r="AX44" i="19"/>
  <c r="AX42" i="19"/>
  <c r="AX40" i="19"/>
  <c r="AX38" i="19"/>
  <c r="AX36" i="19"/>
  <c r="AX34" i="19"/>
  <c r="AX32" i="19"/>
  <c r="AX30" i="19"/>
  <c r="AX28" i="19"/>
  <c r="AX26" i="19"/>
  <c r="AX24" i="19"/>
  <c r="AX22" i="19"/>
  <c r="AX20" i="19"/>
  <c r="AX18" i="19"/>
  <c r="AX16" i="19"/>
  <c r="AX14" i="19"/>
  <c r="AX12" i="19"/>
  <c r="AX10" i="19"/>
  <c r="AX8" i="19"/>
  <c r="AX6" i="19"/>
  <c r="AX93" i="18"/>
  <c r="AX85" i="18"/>
  <c r="AX77" i="18"/>
  <c r="AX69" i="18"/>
  <c r="AX93" i="17"/>
  <c r="AX85" i="17"/>
  <c r="AX77" i="17"/>
  <c r="AX69" i="17"/>
  <c r="AX93" i="16"/>
  <c r="AX85" i="16"/>
  <c r="AX77" i="16"/>
  <c r="AX69" i="16"/>
  <c r="AX77" i="19"/>
  <c r="AX74" i="19"/>
  <c r="AX67" i="19"/>
  <c r="AX96" i="18"/>
  <c r="AX56" i="18"/>
  <c r="AX40" i="18"/>
  <c r="AX24" i="18"/>
  <c r="AX8" i="18"/>
  <c r="AX50" i="17"/>
  <c r="AX34" i="17"/>
  <c r="AX18" i="17"/>
  <c r="AX60" i="16"/>
  <c r="AX7" i="14"/>
  <c r="AX15" i="14"/>
  <c r="AX23" i="14"/>
  <c r="AX31" i="14"/>
  <c r="AX39" i="14"/>
  <c r="AX47" i="14"/>
  <c r="AX55" i="14"/>
  <c r="AX63" i="14"/>
  <c r="AX71" i="14"/>
  <c r="AX79" i="14"/>
  <c r="AX87" i="14"/>
  <c r="AX95" i="14"/>
  <c r="AX82" i="17"/>
  <c r="AX58" i="17"/>
  <c r="AX52" i="16"/>
  <c r="AX35" i="14"/>
  <c r="AX83" i="14"/>
  <c r="AX46" i="14"/>
  <c r="AX82" i="18"/>
  <c r="AX79" i="18"/>
  <c r="AX72" i="18"/>
  <c r="AX58" i="18"/>
  <c r="AX42" i="18"/>
  <c r="AX26" i="18"/>
  <c r="AX10" i="18"/>
  <c r="AX90" i="17"/>
  <c r="AX87" i="17"/>
  <c r="AX80" i="17"/>
  <c r="AX52" i="17"/>
  <c r="AX36" i="17"/>
  <c r="AX20" i="17"/>
  <c r="AX98" i="16"/>
  <c r="AX95" i="16"/>
  <c r="AX88" i="16"/>
  <c r="AX62" i="16"/>
  <c r="AX46" i="16"/>
  <c r="AX44" i="16"/>
  <c r="AX42" i="16"/>
  <c r="AX40" i="16"/>
  <c r="AX38" i="16"/>
  <c r="AX36" i="16"/>
  <c r="AX34" i="16"/>
  <c r="AX32" i="16"/>
  <c r="AX30" i="16"/>
  <c r="AX28" i="16"/>
  <c r="AX26" i="16"/>
  <c r="AX24" i="16"/>
  <c r="AX22" i="16"/>
  <c r="AX20" i="16"/>
  <c r="AX18" i="16"/>
  <c r="AX16" i="16"/>
  <c r="AX14" i="16"/>
  <c r="AX12" i="16"/>
  <c r="AX10" i="16"/>
  <c r="AX8" i="16"/>
  <c r="AX6" i="16"/>
  <c r="AX8" i="14"/>
  <c r="AX16" i="14"/>
  <c r="AX24" i="14"/>
  <c r="AX32" i="14"/>
  <c r="AX40" i="14"/>
  <c r="AX48" i="14"/>
  <c r="AX56" i="14"/>
  <c r="AX64" i="14"/>
  <c r="AX72" i="14"/>
  <c r="AX80" i="14"/>
  <c r="AX88" i="14"/>
  <c r="AX96" i="14"/>
  <c r="AX11" i="14"/>
  <c r="AX59" i="14"/>
  <c r="AX86" i="14"/>
  <c r="AX93" i="19"/>
  <c r="AX90" i="19"/>
  <c r="AX83" i="19"/>
  <c r="AX60" i="18"/>
  <c r="AX44" i="18"/>
  <c r="AX28" i="18"/>
  <c r="AX12" i="18"/>
  <c r="AX66" i="17"/>
  <c r="AX54" i="17"/>
  <c r="AX38" i="17"/>
  <c r="AX22" i="17"/>
  <c r="AX6" i="17"/>
  <c r="AX74" i="16"/>
  <c r="AX71" i="16"/>
  <c r="AX64" i="16"/>
  <c r="AX48" i="16"/>
  <c r="AX9" i="14"/>
  <c r="AX17" i="14"/>
  <c r="AX25" i="14"/>
  <c r="AX33" i="14"/>
  <c r="AX41" i="14"/>
  <c r="AX49" i="14"/>
  <c r="AX57" i="14"/>
  <c r="AX65" i="14"/>
  <c r="AX73" i="14"/>
  <c r="AX81" i="14"/>
  <c r="AX89" i="14"/>
  <c r="AX97" i="14"/>
  <c r="AX71" i="18"/>
  <c r="AX48" i="18"/>
  <c r="AX32" i="18"/>
  <c r="AX72" i="17"/>
  <c r="AX26" i="17"/>
  <c r="AX10" i="17"/>
  <c r="AX90" i="16"/>
  <c r="AX43" i="14"/>
  <c r="AX67" i="14"/>
  <c r="AX91" i="14"/>
  <c r="AX30" i="14"/>
  <c r="AX94" i="14"/>
  <c r="AX69" i="19"/>
  <c r="AX66" i="19"/>
  <c r="AX98" i="18"/>
  <c r="AX95" i="18"/>
  <c r="AX88" i="18"/>
  <c r="AX62" i="18"/>
  <c r="AX46" i="18"/>
  <c r="AX30" i="18"/>
  <c r="AX14" i="18"/>
  <c r="AX96" i="17"/>
  <c r="AX56" i="17"/>
  <c r="AX40" i="17"/>
  <c r="AX24" i="17"/>
  <c r="AX8" i="17"/>
  <c r="AX50" i="16"/>
  <c r="AX10" i="14"/>
  <c r="AX18" i="14"/>
  <c r="AX26" i="14"/>
  <c r="AX34" i="14"/>
  <c r="AX42" i="14"/>
  <c r="AX50" i="14"/>
  <c r="AX58" i="14"/>
  <c r="AX66" i="14"/>
  <c r="AX74" i="14"/>
  <c r="AX82" i="14"/>
  <c r="AX90" i="14"/>
  <c r="AX98" i="14"/>
  <c r="AX99" i="19"/>
  <c r="AX74" i="18"/>
  <c r="AX64" i="18"/>
  <c r="AX16" i="18"/>
  <c r="AX79" i="17"/>
  <c r="AX42" i="17"/>
  <c r="AX87" i="16"/>
  <c r="AX80" i="16"/>
  <c r="AX19" i="14"/>
  <c r="AX27" i="14"/>
  <c r="AX51" i="14"/>
  <c r="AX75" i="14"/>
  <c r="AX99" i="14"/>
  <c r="AX38" i="14"/>
  <c r="AX85" i="19"/>
  <c r="AX82" i="19"/>
  <c r="AX75" i="19"/>
  <c r="AX50" i="18"/>
  <c r="AX34" i="18"/>
  <c r="AX18" i="18"/>
  <c r="AX60" i="17"/>
  <c r="AX44" i="17"/>
  <c r="AX28" i="17"/>
  <c r="AX12" i="17"/>
  <c r="AX66" i="16"/>
  <c r="AX54" i="16"/>
  <c r="AX45" i="16"/>
  <c r="AX43" i="16"/>
  <c r="AX41" i="16"/>
  <c r="AX39" i="16"/>
  <c r="AX37" i="16"/>
  <c r="AX35" i="16"/>
  <c r="AX33" i="16"/>
  <c r="AX31" i="16"/>
  <c r="AX29" i="16"/>
  <c r="AX27" i="16"/>
  <c r="AX25" i="16"/>
  <c r="AX23" i="16"/>
  <c r="AX21" i="16"/>
  <c r="AX19" i="16"/>
  <c r="AX17" i="16"/>
  <c r="AX15" i="16"/>
  <c r="AX13" i="16"/>
  <c r="AX11" i="16"/>
  <c r="AX9" i="16"/>
  <c r="AX7" i="16"/>
  <c r="AX5" i="16"/>
  <c r="AX12" i="14"/>
  <c r="AX20" i="14"/>
  <c r="AX28" i="14"/>
  <c r="AX36" i="14"/>
  <c r="AX44" i="14"/>
  <c r="AX52" i="14"/>
  <c r="AX60" i="14"/>
  <c r="AX68" i="14"/>
  <c r="AX76" i="14"/>
  <c r="AX84" i="14"/>
  <c r="AX92" i="14"/>
  <c r="AX4" i="14"/>
  <c r="AX98" i="19"/>
  <c r="AX91" i="19"/>
  <c r="AX66" i="18"/>
  <c r="AX54" i="18"/>
  <c r="AX6" i="18"/>
  <c r="AX74" i="17"/>
  <c r="AX48" i="17"/>
  <c r="AX82" i="16"/>
  <c r="AX72" i="16"/>
  <c r="AX58" i="16"/>
  <c r="AX14" i="14"/>
  <c r="AX62" i="14"/>
  <c r="AX78" i="14"/>
  <c r="AX90" i="18"/>
  <c r="AX87" i="18"/>
  <c r="AX80" i="18"/>
  <c r="AX52" i="18"/>
  <c r="AX36" i="18"/>
  <c r="AX20" i="18"/>
  <c r="AX98" i="17"/>
  <c r="AX95" i="17"/>
  <c r="AX88" i="17"/>
  <c r="AX62" i="17"/>
  <c r="AX46" i="17"/>
  <c r="AX30" i="17"/>
  <c r="AX14" i="17"/>
  <c r="AX96" i="16"/>
  <c r="AX56" i="16"/>
  <c r="AX4" i="16"/>
  <c r="AX5" i="14"/>
  <c r="AX13" i="14"/>
  <c r="AX21" i="14"/>
  <c r="AX29" i="14"/>
  <c r="AX37" i="14"/>
  <c r="AX45" i="14"/>
  <c r="AX53" i="14"/>
  <c r="AX61" i="14"/>
  <c r="AX69" i="14"/>
  <c r="AX77" i="14"/>
  <c r="AX85" i="14"/>
  <c r="AX93" i="14"/>
  <c r="AX38" i="18"/>
  <c r="AX22" i="18"/>
  <c r="AX71" i="17"/>
  <c r="AX64" i="17"/>
  <c r="AX32" i="17"/>
  <c r="AX16" i="17"/>
  <c r="AX79" i="16"/>
  <c r="AX6" i="14"/>
  <c r="AX22" i="14"/>
  <c r="AX54" i="14"/>
  <c r="AX70" i="14"/>
  <c r="B20" i="15"/>
  <c r="F19" i="15"/>
  <c r="Z162" i="19"/>
  <c r="Z154" i="19"/>
  <c r="Z146" i="19"/>
  <c r="Z138" i="19"/>
  <c r="Z130" i="19"/>
  <c r="Z157" i="19"/>
  <c r="Z149" i="19"/>
  <c r="Z141" i="19"/>
  <c r="Z133" i="19"/>
  <c r="Z125" i="19"/>
  <c r="Z163" i="18"/>
  <c r="Z155" i="18"/>
  <c r="Z147" i="18"/>
  <c r="Z139" i="18"/>
  <c r="Z160" i="19"/>
  <c r="Z152" i="19"/>
  <c r="Z144" i="19"/>
  <c r="Z136" i="19"/>
  <c r="Z128" i="19"/>
  <c r="Z158" i="18"/>
  <c r="Z150" i="18"/>
  <c r="Z163" i="19"/>
  <c r="Z155" i="19"/>
  <c r="Z147" i="19"/>
  <c r="Z139" i="19"/>
  <c r="Z131" i="19"/>
  <c r="Z161" i="18"/>
  <c r="Z153" i="18"/>
  <c r="Z145" i="18"/>
  <c r="Z137" i="18"/>
  <c r="Z158" i="19"/>
  <c r="Z150" i="19"/>
  <c r="Z142" i="19"/>
  <c r="Z134" i="19"/>
  <c r="Z126" i="19"/>
  <c r="Z156" i="18"/>
  <c r="Z148" i="18"/>
  <c r="Z140" i="18"/>
  <c r="Z161" i="19"/>
  <c r="Z153" i="19"/>
  <c r="Z145" i="19"/>
  <c r="Z137" i="19"/>
  <c r="Z129" i="19"/>
  <c r="Z159" i="18"/>
  <c r="Z151" i="18"/>
  <c r="Z143" i="18"/>
  <c r="Z135" i="18"/>
  <c r="Z159" i="19"/>
  <c r="Z151" i="19"/>
  <c r="Z143" i="19"/>
  <c r="Z135" i="19"/>
  <c r="Z127" i="19"/>
  <c r="Z157" i="18"/>
  <c r="Z149" i="18"/>
  <c r="Z141" i="18"/>
  <c r="Z156" i="19"/>
  <c r="Z140" i="19"/>
  <c r="Z124" i="19"/>
  <c r="Z134" i="18"/>
  <c r="Z126" i="18"/>
  <c r="Z161" i="17"/>
  <c r="Z153" i="17"/>
  <c r="Z145" i="17"/>
  <c r="Z137" i="17"/>
  <c r="Z129" i="17"/>
  <c r="Z162" i="18"/>
  <c r="Z154" i="18"/>
  <c r="Z146" i="18"/>
  <c r="Z136" i="18"/>
  <c r="Z129" i="18"/>
  <c r="Z156" i="17"/>
  <c r="Z148" i="17"/>
  <c r="Z140" i="17"/>
  <c r="Z132" i="17"/>
  <c r="Z124" i="17"/>
  <c r="Z142" i="18"/>
  <c r="Z132" i="18"/>
  <c r="Z124" i="18"/>
  <c r="Z159" i="17"/>
  <c r="Z151" i="17"/>
  <c r="Z143" i="17"/>
  <c r="Z135" i="17"/>
  <c r="Z127" i="17"/>
  <c r="Z138" i="18"/>
  <c r="Z127" i="18"/>
  <c r="Z162" i="17"/>
  <c r="Z154" i="17"/>
  <c r="Z146" i="17"/>
  <c r="Z138" i="17"/>
  <c r="Z130" i="17"/>
  <c r="Z148" i="19"/>
  <c r="Z132" i="19"/>
  <c r="Z130" i="18"/>
  <c r="Z157" i="17"/>
  <c r="Z149" i="17"/>
  <c r="Z141" i="17"/>
  <c r="Z133" i="17"/>
  <c r="Z125" i="17"/>
  <c r="Z133" i="18"/>
  <c r="Z125" i="18"/>
  <c r="Z160" i="17"/>
  <c r="Z152" i="17"/>
  <c r="Z144" i="17"/>
  <c r="Z136" i="17"/>
  <c r="Z128" i="17"/>
  <c r="Z131" i="18"/>
  <c r="Z158" i="17"/>
  <c r="Z150" i="17"/>
  <c r="Z142" i="17"/>
  <c r="Z134" i="17"/>
  <c r="Z126" i="17"/>
  <c r="Z161" i="16"/>
  <c r="Z153" i="16"/>
  <c r="Z145" i="16"/>
  <c r="Z137" i="16"/>
  <c r="Z129" i="16"/>
  <c r="Z152" i="18"/>
  <c r="Z128" i="18"/>
  <c r="Z156" i="16"/>
  <c r="Z148" i="16"/>
  <c r="Z140" i="16"/>
  <c r="Z132" i="16"/>
  <c r="Z124" i="16"/>
  <c r="Z163" i="17"/>
  <c r="Z147" i="17"/>
  <c r="Z131" i="17"/>
  <c r="Z159" i="16"/>
  <c r="Z151" i="16"/>
  <c r="Z143" i="16"/>
  <c r="Z135" i="16"/>
  <c r="Z127" i="16"/>
  <c r="Z144" i="18"/>
  <c r="Z162" i="16"/>
  <c r="Z154" i="16"/>
  <c r="Z146" i="16"/>
  <c r="Z138" i="16"/>
  <c r="Z130" i="16"/>
  <c r="Z157" i="16"/>
  <c r="Z149" i="16"/>
  <c r="Z141" i="16"/>
  <c r="Z133" i="16"/>
  <c r="Z125" i="16"/>
  <c r="Z160" i="16"/>
  <c r="Z152" i="16"/>
  <c r="Z144" i="16"/>
  <c r="Z136" i="16"/>
  <c r="Z128" i="16"/>
  <c r="Z160" i="18"/>
  <c r="Z155" i="17"/>
  <c r="Z139" i="17"/>
  <c r="Z163" i="16"/>
  <c r="Z155" i="16"/>
  <c r="Z147" i="16"/>
  <c r="Z139" i="16"/>
  <c r="Z131" i="16"/>
  <c r="Z158" i="16"/>
  <c r="Z150" i="16"/>
  <c r="Z142" i="16"/>
  <c r="Z134" i="16"/>
  <c r="Z126" i="16"/>
  <c r="BJ179" i="19"/>
  <c r="BJ171" i="19"/>
  <c r="BJ163" i="19"/>
  <c r="BJ155" i="19"/>
  <c r="BJ147" i="19"/>
  <c r="BJ139" i="19"/>
  <c r="BJ131" i="19"/>
  <c r="BJ123" i="19"/>
  <c r="BJ115" i="19"/>
  <c r="BJ107" i="19"/>
  <c r="BJ99" i="19"/>
  <c r="BJ91" i="19"/>
  <c r="BJ83" i="19"/>
  <c r="BJ182" i="19"/>
  <c r="BJ174" i="19"/>
  <c r="BJ166" i="19"/>
  <c r="BJ158" i="19"/>
  <c r="BJ150" i="19"/>
  <c r="BJ142" i="19"/>
  <c r="BJ134" i="19"/>
  <c r="BJ126" i="19"/>
  <c r="BJ118" i="19"/>
  <c r="BJ110" i="19"/>
  <c r="BJ102" i="19"/>
  <c r="BJ94" i="19"/>
  <c r="BJ86" i="19"/>
  <c r="BJ78" i="19"/>
  <c r="BJ70" i="19"/>
  <c r="BJ180" i="18"/>
  <c r="BJ172" i="18"/>
  <c r="BJ164" i="18"/>
  <c r="BJ156" i="18"/>
  <c r="BJ148" i="18"/>
  <c r="BJ140" i="18"/>
  <c r="BJ177" i="19"/>
  <c r="BJ169" i="19"/>
  <c r="BJ161" i="19"/>
  <c r="BJ153" i="19"/>
  <c r="BJ145" i="19"/>
  <c r="BJ137" i="19"/>
  <c r="BJ129" i="19"/>
  <c r="BJ121" i="19"/>
  <c r="BJ113" i="19"/>
  <c r="BJ105" i="19"/>
  <c r="BJ97" i="19"/>
  <c r="BJ89" i="19"/>
  <c r="BJ81" i="19"/>
  <c r="BJ73" i="19"/>
  <c r="BJ65" i="19"/>
  <c r="BJ183" i="18"/>
  <c r="BJ175" i="18"/>
  <c r="BJ167" i="18"/>
  <c r="BJ159" i="18"/>
  <c r="BJ151" i="18"/>
  <c r="BJ143" i="18"/>
  <c r="BJ180" i="19"/>
  <c r="BJ172" i="19"/>
  <c r="BJ164" i="19"/>
  <c r="BJ156" i="19"/>
  <c r="BJ148" i="19"/>
  <c r="BJ140" i="19"/>
  <c r="BJ132" i="19"/>
  <c r="BJ124" i="19"/>
  <c r="BJ116" i="19"/>
  <c r="BJ108" i="19"/>
  <c r="BJ100" i="19"/>
  <c r="BJ92" i="19"/>
  <c r="BJ84" i="19"/>
  <c r="BJ76" i="19"/>
  <c r="BJ68" i="19"/>
  <c r="BJ178" i="18"/>
  <c r="BJ170" i="18"/>
  <c r="BJ162" i="18"/>
  <c r="BJ154" i="18"/>
  <c r="BJ146" i="18"/>
  <c r="BJ138" i="18"/>
  <c r="BJ183" i="19"/>
  <c r="BJ175" i="19"/>
  <c r="BJ167" i="19"/>
  <c r="BJ159" i="19"/>
  <c r="BJ151" i="19"/>
  <c r="BJ143" i="19"/>
  <c r="BJ135" i="19"/>
  <c r="BJ127" i="19"/>
  <c r="BJ119" i="19"/>
  <c r="BJ111" i="19"/>
  <c r="BJ103" i="19"/>
  <c r="BJ95" i="19"/>
  <c r="BJ87" i="19"/>
  <c r="BJ79" i="19"/>
  <c r="BJ71" i="19"/>
  <c r="BJ181" i="18"/>
  <c r="BJ173" i="18"/>
  <c r="BJ165" i="18"/>
  <c r="BJ157" i="18"/>
  <c r="BJ149" i="18"/>
  <c r="BJ141" i="18"/>
  <c r="BJ178" i="19"/>
  <c r="BJ170" i="19"/>
  <c r="BJ162" i="19"/>
  <c r="BJ154" i="19"/>
  <c r="BJ146" i="19"/>
  <c r="BJ138" i="19"/>
  <c r="BJ130" i="19"/>
  <c r="BJ122" i="19"/>
  <c r="BJ114" i="19"/>
  <c r="BJ106" i="19"/>
  <c r="BJ98" i="19"/>
  <c r="BJ90" i="19"/>
  <c r="BJ82" i="19"/>
  <c r="BJ74" i="19"/>
  <c r="BJ66" i="19"/>
  <c r="BJ184" i="18"/>
  <c r="BJ176" i="18"/>
  <c r="BJ168" i="18"/>
  <c r="BJ160" i="18"/>
  <c r="BJ152" i="18"/>
  <c r="BJ144" i="18"/>
  <c r="BJ136" i="18"/>
  <c r="BJ184" i="19"/>
  <c r="BJ176" i="19"/>
  <c r="BJ168" i="19"/>
  <c r="BJ160" i="19"/>
  <c r="BJ152" i="19"/>
  <c r="BJ144" i="19"/>
  <c r="BJ136" i="19"/>
  <c r="BJ128" i="19"/>
  <c r="BJ120" i="19"/>
  <c r="BJ112" i="19"/>
  <c r="BJ104" i="19"/>
  <c r="BJ96" i="19"/>
  <c r="BJ88" i="19"/>
  <c r="BJ80" i="19"/>
  <c r="BJ72" i="19"/>
  <c r="BJ64" i="19"/>
  <c r="BJ182" i="18"/>
  <c r="BJ174" i="18"/>
  <c r="BJ166" i="18"/>
  <c r="BJ158" i="18"/>
  <c r="BJ150" i="18"/>
  <c r="BJ142" i="18"/>
  <c r="BJ77" i="19"/>
  <c r="BJ139" i="18"/>
  <c r="BJ127" i="18"/>
  <c r="BJ119" i="18"/>
  <c r="BJ111" i="18"/>
  <c r="BJ103" i="18"/>
  <c r="BJ95" i="18"/>
  <c r="BJ87" i="18"/>
  <c r="BJ79" i="18"/>
  <c r="BJ71" i="18"/>
  <c r="BJ178" i="17"/>
  <c r="BJ170" i="17"/>
  <c r="BJ162" i="17"/>
  <c r="BJ154" i="17"/>
  <c r="BJ146" i="17"/>
  <c r="BJ138" i="17"/>
  <c r="BJ130" i="17"/>
  <c r="BJ109" i="19"/>
  <c r="BJ130" i="18"/>
  <c r="BJ122" i="18"/>
  <c r="BJ114" i="18"/>
  <c r="BJ106" i="18"/>
  <c r="BJ98" i="18"/>
  <c r="BJ90" i="18"/>
  <c r="BJ82" i="18"/>
  <c r="BJ74" i="18"/>
  <c r="BJ66" i="18"/>
  <c r="BJ181" i="17"/>
  <c r="BJ173" i="17"/>
  <c r="BJ165" i="17"/>
  <c r="BJ157" i="17"/>
  <c r="BJ149" i="17"/>
  <c r="BJ141" i="17"/>
  <c r="BJ133" i="17"/>
  <c r="BJ125" i="17"/>
  <c r="BJ181" i="19"/>
  <c r="BJ165" i="19"/>
  <c r="BJ149" i="19"/>
  <c r="BJ133" i="19"/>
  <c r="BJ117" i="19"/>
  <c r="BJ133" i="18"/>
  <c r="BJ125" i="18"/>
  <c r="BJ117" i="18"/>
  <c r="BJ109" i="18"/>
  <c r="BJ101" i="18"/>
  <c r="BJ93" i="18"/>
  <c r="BJ85" i="18"/>
  <c r="BJ77" i="18"/>
  <c r="BJ69" i="18"/>
  <c r="BJ184" i="17"/>
  <c r="BJ176" i="17"/>
  <c r="BJ168" i="17"/>
  <c r="BJ160" i="17"/>
  <c r="BJ152" i="17"/>
  <c r="BJ144" i="17"/>
  <c r="BJ136" i="17"/>
  <c r="BJ128" i="17"/>
  <c r="BJ67" i="19"/>
  <c r="BJ177" i="18"/>
  <c r="BJ169" i="18"/>
  <c r="BJ161" i="18"/>
  <c r="BJ153" i="18"/>
  <c r="BJ145" i="18"/>
  <c r="BJ135" i="18"/>
  <c r="BJ128" i="18"/>
  <c r="BJ120" i="18"/>
  <c r="BJ112" i="18"/>
  <c r="BJ104" i="18"/>
  <c r="BJ96" i="18"/>
  <c r="BJ88" i="18"/>
  <c r="BJ80" i="18"/>
  <c r="BJ72" i="18"/>
  <c r="BJ64" i="18"/>
  <c r="BJ179" i="17"/>
  <c r="BJ171" i="17"/>
  <c r="BJ163" i="17"/>
  <c r="BJ155" i="17"/>
  <c r="BJ147" i="17"/>
  <c r="BJ139" i="17"/>
  <c r="BJ131" i="17"/>
  <c r="BJ101" i="19"/>
  <c r="BJ93" i="19"/>
  <c r="BJ69" i="19"/>
  <c r="BJ131" i="18"/>
  <c r="BJ123" i="18"/>
  <c r="BJ115" i="18"/>
  <c r="BJ107" i="18"/>
  <c r="BJ99" i="18"/>
  <c r="BJ91" i="18"/>
  <c r="BJ83" i="18"/>
  <c r="BJ75" i="18"/>
  <c r="BJ67" i="18"/>
  <c r="BJ182" i="17"/>
  <c r="BJ174" i="17"/>
  <c r="BJ166" i="17"/>
  <c r="BJ158" i="17"/>
  <c r="BJ150" i="17"/>
  <c r="BJ142" i="17"/>
  <c r="BJ134" i="17"/>
  <c r="BJ126" i="17"/>
  <c r="BJ137" i="18"/>
  <c r="BJ134" i="18"/>
  <c r="BJ126" i="18"/>
  <c r="BJ118" i="18"/>
  <c r="BJ110" i="18"/>
  <c r="BJ102" i="18"/>
  <c r="BJ94" i="18"/>
  <c r="BJ86" i="18"/>
  <c r="BJ78" i="18"/>
  <c r="BJ70" i="18"/>
  <c r="BJ177" i="17"/>
  <c r="BJ169" i="17"/>
  <c r="BJ161" i="17"/>
  <c r="BJ153" i="17"/>
  <c r="BJ145" i="17"/>
  <c r="BJ137" i="17"/>
  <c r="BJ129" i="17"/>
  <c r="BJ75" i="19"/>
  <c r="BJ132" i="18"/>
  <c r="BJ124" i="18"/>
  <c r="BJ116" i="18"/>
  <c r="BJ108" i="18"/>
  <c r="BJ100" i="18"/>
  <c r="BJ92" i="18"/>
  <c r="BJ84" i="18"/>
  <c r="BJ76" i="18"/>
  <c r="BJ68" i="18"/>
  <c r="BJ183" i="17"/>
  <c r="BJ175" i="17"/>
  <c r="BJ167" i="17"/>
  <c r="BJ159" i="17"/>
  <c r="BJ151" i="17"/>
  <c r="BJ143" i="17"/>
  <c r="BJ135" i="17"/>
  <c r="BJ127" i="17"/>
  <c r="BJ173" i="19"/>
  <c r="BJ89" i="18"/>
  <c r="BJ180" i="17"/>
  <c r="BJ164" i="17"/>
  <c r="BJ148" i="17"/>
  <c r="BJ132" i="17"/>
  <c r="BJ119" i="17"/>
  <c r="BJ111" i="17"/>
  <c r="BJ103" i="17"/>
  <c r="BJ95" i="17"/>
  <c r="BJ87" i="17"/>
  <c r="BJ79" i="17"/>
  <c r="BJ71" i="17"/>
  <c r="BJ178" i="16"/>
  <c r="BJ170" i="16"/>
  <c r="BJ162" i="16"/>
  <c r="BJ154" i="16"/>
  <c r="BJ146" i="16"/>
  <c r="BJ138" i="16"/>
  <c r="BJ130" i="16"/>
  <c r="BJ122" i="16"/>
  <c r="BJ114" i="16"/>
  <c r="BJ106" i="16"/>
  <c r="BJ98" i="16"/>
  <c r="BJ157" i="19"/>
  <c r="BJ171" i="18"/>
  <c r="BJ105" i="18"/>
  <c r="BJ122" i="17"/>
  <c r="BJ114" i="17"/>
  <c r="BJ106" i="17"/>
  <c r="BJ98" i="17"/>
  <c r="BJ90" i="17"/>
  <c r="BJ82" i="17"/>
  <c r="BJ74" i="17"/>
  <c r="BJ66" i="17"/>
  <c r="BJ181" i="16"/>
  <c r="BJ173" i="16"/>
  <c r="BJ165" i="16"/>
  <c r="BJ157" i="16"/>
  <c r="BJ149" i="16"/>
  <c r="BJ141" i="16"/>
  <c r="BJ133" i="16"/>
  <c r="BJ125" i="16"/>
  <c r="BJ117" i="16"/>
  <c r="BJ109" i="16"/>
  <c r="BJ101" i="16"/>
  <c r="BJ141" i="19"/>
  <c r="BJ121" i="18"/>
  <c r="BJ81" i="18"/>
  <c r="BJ117" i="17"/>
  <c r="BJ109" i="17"/>
  <c r="BJ101" i="17"/>
  <c r="BJ93" i="17"/>
  <c r="BJ85" i="17"/>
  <c r="BJ77" i="17"/>
  <c r="BJ69" i="17"/>
  <c r="BJ184" i="16"/>
  <c r="BJ176" i="16"/>
  <c r="BJ168" i="16"/>
  <c r="BJ160" i="16"/>
  <c r="BJ152" i="16"/>
  <c r="BJ144" i="16"/>
  <c r="BJ136" i="16"/>
  <c r="BJ128" i="16"/>
  <c r="BJ120" i="16"/>
  <c r="BJ112" i="16"/>
  <c r="BJ104" i="16"/>
  <c r="BJ96" i="16"/>
  <c r="BJ125" i="19"/>
  <c r="BJ163" i="18"/>
  <c r="BJ120" i="17"/>
  <c r="BJ112" i="17"/>
  <c r="BJ104" i="17"/>
  <c r="BJ96" i="17"/>
  <c r="BJ88" i="17"/>
  <c r="BJ80" i="17"/>
  <c r="BJ72" i="17"/>
  <c r="BJ64" i="17"/>
  <c r="BJ179" i="16"/>
  <c r="BJ171" i="16"/>
  <c r="BJ163" i="16"/>
  <c r="BJ155" i="16"/>
  <c r="BJ147" i="16"/>
  <c r="BJ139" i="16"/>
  <c r="BJ131" i="16"/>
  <c r="BJ123" i="16"/>
  <c r="BJ115" i="16"/>
  <c r="BJ107" i="16"/>
  <c r="BJ99" i="16"/>
  <c r="BJ73" i="18"/>
  <c r="BJ172" i="17"/>
  <c r="BJ156" i="17"/>
  <c r="BJ140" i="17"/>
  <c r="BJ124" i="17"/>
  <c r="BJ115" i="17"/>
  <c r="BJ107" i="17"/>
  <c r="BJ99" i="17"/>
  <c r="BJ91" i="17"/>
  <c r="BJ83" i="17"/>
  <c r="BJ75" i="17"/>
  <c r="BJ67" i="17"/>
  <c r="BJ182" i="16"/>
  <c r="BJ174" i="16"/>
  <c r="BJ166" i="16"/>
  <c r="BJ158" i="16"/>
  <c r="BJ150" i="16"/>
  <c r="BJ142" i="16"/>
  <c r="BJ134" i="16"/>
  <c r="BJ126" i="16"/>
  <c r="BJ118" i="16"/>
  <c r="BJ110" i="16"/>
  <c r="BJ102" i="16"/>
  <c r="BJ155" i="18"/>
  <c r="BJ123" i="17"/>
  <c r="BJ118" i="17"/>
  <c r="BJ110" i="17"/>
  <c r="BJ102" i="17"/>
  <c r="BJ94" i="17"/>
  <c r="BJ86" i="17"/>
  <c r="BJ78" i="17"/>
  <c r="BJ70" i="17"/>
  <c r="BJ177" i="16"/>
  <c r="BJ169" i="16"/>
  <c r="BJ161" i="16"/>
  <c r="BJ153" i="16"/>
  <c r="BJ145" i="16"/>
  <c r="BJ137" i="16"/>
  <c r="BJ129" i="16"/>
  <c r="BJ121" i="16"/>
  <c r="BJ113" i="16"/>
  <c r="BJ105" i="16"/>
  <c r="BJ97" i="16"/>
  <c r="BJ85" i="19"/>
  <c r="BJ179" i="18"/>
  <c r="BJ147" i="18"/>
  <c r="BJ129" i="18"/>
  <c r="BJ116" i="17"/>
  <c r="BJ108" i="17"/>
  <c r="BJ100" i="17"/>
  <c r="BJ92" i="17"/>
  <c r="BJ84" i="17"/>
  <c r="BJ76" i="17"/>
  <c r="BJ68" i="17"/>
  <c r="BJ113" i="17"/>
  <c r="BJ97" i="17"/>
  <c r="BJ65" i="17"/>
  <c r="BJ180" i="16"/>
  <c r="BJ172" i="16"/>
  <c r="BJ164" i="16"/>
  <c r="BJ156" i="16"/>
  <c r="BJ148" i="16"/>
  <c r="BJ140" i="16"/>
  <c r="BJ132" i="16"/>
  <c r="BJ124" i="16"/>
  <c r="BJ100" i="16"/>
  <c r="BJ89" i="16"/>
  <c r="BJ81" i="16"/>
  <c r="BJ73" i="16"/>
  <c r="BJ65" i="16"/>
  <c r="BJ70" i="14"/>
  <c r="BJ78" i="14"/>
  <c r="BJ86" i="14"/>
  <c r="BJ94" i="14"/>
  <c r="BJ102" i="14"/>
  <c r="BJ110" i="14"/>
  <c r="BJ118" i="14"/>
  <c r="BJ126" i="14"/>
  <c r="BJ134" i="14"/>
  <c r="BJ142" i="14"/>
  <c r="BJ150" i="14"/>
  <c r="BJ158" i="14"/>
  <c r="BJ166" i="14"/>
  <c r="BJ174" i="14"/>
  <c r="BJ182" i="14"/>
  <c r="BJ86" i="16"/>
  <c r="BJ101" i="14"/>
  <c r="BJ157" i="14"/>
  <c r="BJ181" i="14"/>
  <c r="BJ103" i="16"/>
  <c r="BJ92" i="16"/>
  <c r="BJ84" i="16"/>
  <c r="BJ76" i="16"/>
  <c r="BJ68" i="16"/>
  <c r="BJ71" i="14"/>
  <c r="BJ79" i="14"/>
  <c r="BJ87" i="14"/>
  <c r="BJ95" i="14"/>
  <c r="BJ103" i="14"/>
  <c r="BJ111" i="14"/>
  <c r="BJ119" i="14"/>
  <c r="BJ127" i="14"/>
  <c r="BJ135" i="14"/>
  <c r="BJ143" i="14"/>
  <c r="BJ151" i="14"/>
  <c r="BJ159" i="14"/>
  <c r="BJ167" i="14"/>
  <c r="BJ175" i="14"/>
  <c r="BJ183" i="14"/>
  <c r="BJ97" i="18"/>
  <c r="BJ89" i="17"/>
  <c r="BJ183" i="16"/>
  <c r="BJ175" i="16"/>
  <c r="BJ167" i="16"/>
  <c r="BJ159" i="16"/>
  <c r="BJ151" i="16"/>
  <c r="BJ143" i="16"/>
  <c r="BJ135" i="16"/>
  <c r="BJ127" i="16"/>
  <c r="BJ119" i="16"/>
  <c r="BJ108" i="16"/>
  <c r="BJ95" i="16"/>
  <c r="BJ87" i="16"/>
  <c r="BJ79" i="16"/>
  <c r="BJ71" i="16"/>
  <c r="BJ64" i="14"/>
  <c r="BJ72" i="14"/>
  <c r="BJ80" i="14"/>
  <c r="BJ88" i="14"/>
  <c r="BJ96" i="14"/>
  <c r="BJ104" i="14"/>
  <c r="BJ112" i="14"/>
  <c r="BJ120" i="14"/>
  <c r="BJ128" i="14"/>
  <c r="BJ136" i="14"/>
  <c r="BJ144" i="14"/>
  <c r="BJ152" i="14"/>
  <c r="BJ160" i="14"/>
  <c r="BJ168" i="14"/>
  <c r="BJ176" i="14"/>
  <c r="BJ184" i="14"/>
  <c r="BJ125" i="14"/>
  <c r="BJ105" i="17"/>
  <c r="BJ111" i="16"/>
  <c r="BJ90" i="16"/>
  <c r="BJ82" i="16"/>
  <c r="BJ74" i="16"/>
  <c r="BJ66" i="16"/>
  <c r="BJ65" i="14"/>
  <c r="BJ73" i="14"/>
  <c r="BJ81" i="14"/>
  <c r="BJ89" i="14"/>
  <c r="BJ97" i="14"/>
  <c r="BJ105" i="14"/>
  <c r="BJ113" i="14"/>
  <c r="BJ121" i="14"/>
  <c r="BJ129" i="14"/>
  <c r="BJ137" i="14"/>
  <c r="BJ145" i="14"/>
  <c r="BJ153" i="14"/>
  <c r="BJ161" i="14"/>
  <c r="BJ169" i="14"/>
  <c r="BJ177" i="14"/>
  <c r="BJ94" i="16"/>
  <c r="BJ78" i="16"/>
  <c r="BJ70" i="16"/>
  <c r="BJ85" i="14"/>
  <c r="BJ117" i="14"/>
  <c r="BJ141" i="14"/>
  <c r="BJ65" i="18"/>
  <c r="BJ121" i="17"/>
  <c r="BJ81" i="17"/>
  <c r="BJ93" i="16"/>
  <c r="BJ85" i="16"/>
  <c r="BJ77" i="16"/>
  <c r="BJ69" i="16"/>
  <c r="BJ66" i="14"/>
  <c r="BJ74" i="14"/>
  <c r="BJ82" i="14"/>
  <c r="BJ90" i="14"/>
  <c r="BJ98" i="14"/>
  <c r="BJ106" i="14"/>
  <c r="BJ114" i="14"/>
  <c r="BJ122" i="14"/>
  <c r="BJ130" i="14"/>
  <c r="BJ138" i="14"/>
  <c r="BJ146" i="14"/>
  <c r="BJ154" i="14"/>
  <c r="BJ162" i="14"/>
  <c r="BJ170" i="14"/>
  <c r="BJ178" i="14"/>
  <c r="BJ109" i="14"/>
  <c r="BJ149" i="14"/>
  <c r="BJ88" i="16"/>
  <c r="BJ80" i="16"/>
  <c r="BJ72" i="16"/>
  <c r="BJ64" i="16"/>
  <c r="BJ67" i="14"/>
  <c r="BJ75" i="14"/>
  <c r="BJ83" i="14"/>
  <c r="BJ91" i="14"/>
  <c r="BJ99" i="14"/>
  <c r="BJ107" i="14"/>
  <c r="BJ115" i="14"/>
  <c r="BJ123" i="14"/>
  <c r="BJ131" i="14"/>
  <c r="BJ139" i="14"/>
  <c r="BJ147" i="14"/>
  <c r="BJ155" i="14"/>
  <c r="BJ163" i="14"/>
  <c r="BJ171" i="14"/>
  <c r="BJ179" i="14"/>
  <c r="BJ113" i="18"/>
  <c r="BJ77" i="14"/>
  <c r="BJ165" i="14"/>
  <c r="BJ73" i="17"/>
  <c r="BJ91" i="16"/>
  <c r="BJ83" i="16"/>
  <c r="BJ75" i="16"/>
  <c r="BJ67" i="16"/>
  <c r="BJ68" i="14"/>
  <c r="BJ76" i="14"/>
  <c r="BJ84" i="14"/>
  <c r="BJ92" i="14"/>
  <c r="BJ100" i="14"/>
  <c r="BJ108" i="14"/>
  <c r="BJ116" i="14"/>
  <c r="BJ124" i="14"/>
  <c r="BJ132" i="14"/>
  <c r="BJ140" i="14"/>
  <c r="BJ148" i="14"/>
  <c r="BJ156" i="14"/>
  <c r="BJ164" i="14"/>
  <c r="BJ172" i="14"/>
  <c r="BJ180" i="14"/>
  <c r="BJ116" i="16"/>
  <c r="BJ69" i="14"/>
  <c r="BJ93" i="14"/>
  <c r="BJ133" i="14"/>
  <c r="BJ173" i="14"/>
  <c r="AL125" i="19"/>
  <c r="AL117" i="19"/>
  <c r="AL128" i="19"/>
  <c r="AL120" i="19"/>
  <c r="AL123" i="19"/>
  <c r="AL115" i="19"/>
  <c r="AL126" i="19"/>
  <c r="AL118" i="19"/>
  <c r="AL121" i="19"/>
  <c r="AL124" i="19"/>
  <c r="AL116" i="19"/>
  <c r="AL122" i="19"/>
  <c r="AL114" i="19"/>
  <c r="AL121" i="18"/>
  <c r="AL124" i="17"/>
  <c r="AL124" i="18"/>
  <c r="AL116" i="18"/>
  <c r="AL127" i="17"/>
  <c r="AL127" i="18"/>
  <c r="AL119" i="18"/>
  <c r="AL127" i="19"/>
  <c r="AL122" i="18"/>
  <c r="AL114" i="18"/>
  <c r="AL125" i="17"/>
  <c r="AL125" i="18"/>
  <c r="AL117" i="18"/>
  <c r="AL128" i="17"/>
  <c r="AL128" i="18"/>
  <c r="AL120" i="18"/>
  <c r="AL123" i="17"/>
  <c r="AL119" i="19"/>
  <c r="AL126" i="18"/>
  <c r="AL118" i="18"/>
  <c r="AL121" i="17"/>
  <c r="AL124" i="16"/>
  <c r="AL116" i="16"/>
  <c r="AL126" i="17"/>
  <c r="AL116" i="17"/>
  <c r="AL127" i="16"/>
  <c r="AL119" i="16"/>
  <c r="AL119" i="17"/>
  <c r="AL122" i="16"/>
  <c r="AL114" i="16"/>
  <c r="AL115" i="18"/>
  <c r="AL122" i="17"/>
  <c r="AL114" i="17"/>
  <c r="AL125" i="16"/>
  <c r="AL117" i="16"/>
  <c r="AL117" i="17"/>
  <c r="AL128" i="16"/>
  <c r="AL120" i="16"/>
  <c r="AL120" i="17"/>
  <c r="AL123" i="16"/>
  <c r="AL115" i="16"/>
  <c r="AL123" i="18"/>
  <c r="AL118" i="17"/>
  <c r="AL126" i="16"/>
  <c r="AL118" i="16"/>
  <c r="AL115" i="17"/>
  <c r="AL121" i="16"/>
  <c r="AX184" i="19"/>
  <c r="AX176" i="19"/>
  <c r="AX168" i="19"/>
  <c r="AX160" i="19"/>
  <c r="AX152" i="19"/>
  <c r="AX144" i="19"/>
  <c r="AX136" i="19"/>
  <c r="AX128" i="19"/>
  <c r="AX120" i="19"/>
  <c r="AX112" i="19"/>
  <c r="AX104" i="19"/>
  <c r="AX179" i="19"/>
  <c r="AX171" i="19"/>
  <c r="AX163" i="19"/>
  <c r="AX155" i="19"/>
  <c r="AX147" i="19"/>
  <c r="AX139" i="19"/>
  <c r="AX131" i="19"/>
  <c r="AX123" i="19"/>
  <c r="AX115" i="19"/>
  <c r="AX107" i="19"/>
  <c r="AX177" i="18"/>
  <c r="AX169" i="18"/>
  <c r="AX161" i="18"/>
  <c r="AX153" i="18"/>
  <c r="AX145" i="18"/>
  <c r="AX137" i="18"/>
  <c r="AX182" i="19"/>
  <c r="AX174" i="19"/>
  <c r="AX166" i="19"/>
  <c r="AX158" i="19"/>
  <c r="AX150" i="19"/>
  <c r="AX142" i="19"/>
  <c r="AX134" i="19"/>
  <c r="AX126" i="19"/>
  <c r="AX118" i="19"/>
  <c r="AX110" i="19"/>
  <c r="AX102" i="19"/>
  <c r="AX180" i="18"/>
  <c r="AX172" i="18"/>
  <c r="AX164" i="18"/>
  <c r="AX156" i="18"/>
  <c r="AX148" i="18"/>
  <c r="AX177" i="19"/>
  <c r="AX169" i="19"/>
  <c r="AX161" i="19"/>
  <c r="AX153" i="19"/>
  <c r="AX145" i="19"/>
  <c r="AX137" i="19"/>
  <c r="AX129" i="19"/>
  <c r="AX121" i="19"/>
  <c r="AX113" i="19"/>
  <c r="AX105" i="19"/>
  <c r="AX183" i="18"/>
  <c r="AX175" i="18"/>
  <c r="AX167" i="18"/>
  <c r="AX159" i="18"/>
  <c r="AX151" i="18"/>
  <c r="AX143" i="18"/>
  <c r="AX135" i="18"/>
  <c r="AX180" i="19"/>
  <c r="AX172" i="19"/>
  <c r="AX164" i="19"/>
  <c r="AX156" i="19"/>
  <c r="AX148" i="19"/>
  <c r="AX140" i="19"/>
  <c r="AX132" i="19"/>
  <c r="AX124" i="19"/>
  <c r="AX116" i="19"/>
  <c r="AX108" i="19"/>
  <c r="AX100" i="19"/>
  <c r="AX178" i="18"/>
  <c r="AX170" i="18"/>
  <c r="AX162" i="18"/>
  <c r="AX154" i="18"/>
  <c r="AX146" i="18"/>
  <c r="AX138" i="18"/>
  <c r="AX183" i="19"/>
  <c r="AX175" i="19"/>
  <c r="AX167" i="19"/>
  <c r="AX159" i="19"/>
  <c r="AX151" i="19"/>
  <c r="AX143" i="19"/>
  <c r="AX135" i="19"/>
  <c r="AX127" i="19"/>
  <c r="AX119" i="19"/>
  <c r="AX111" i="19"/>
  <c r="AX103" i="19"/>
  <c r="AX181" i="18"/>
  <c r="AX173" i="18"/>
  <c r="AX165" i="18"/>
  <c r="AX157" i="18"/>
  <c r="AX149" i="18"/>
  <c r="AX141" i="18"/>
  <c r="AX181" i="19"/>
  <c r="AX173" i="19"/>
  <c r="AX165" i="19"/>
  <c r="AX157" i="19"/>
  <c r="AX149" i="19"/>
  <c r="AX141" i="19"/>
  <c r="AX133" i="19"/>
  <c r="AX125" i="19"/>
  <c r="AX117" i="19"/>
  <c r="AX109" i="19"/>
  <c r="AX101" i="19"/>
  <c r="AX179" i="18"/>
  <c r="AX171" i="18"/>
  <c r="AX163" i="18"/>
  <c r="AX155" i="18"/>
  <c r="AX147" i="18"/>
  <c r="AX139" i="18"/>
  <c r="AX106" i="19"/>
  <c r="AX136" i="18"/>
  <c r="AX132" i="18"/>
  <c r="AX124" i="18"/>
  <c r="AX116" i="18"/>
  <c r="AX108" i="18"/>
  <c r="AX100" i="18"/>
  <c r="AX183" i="17"/>
  <c r="AX175" i="17"/>
  <c r="AX167" i="17"/>
  <c r="AX159" i="17"/>
  <c r="AX151" i="17"/>
  <c r="AX143" i="17"/>
  <c r="AX135" i="17"/>
  <c r="AX127" i="17"/>
  <c r="AX182" i="18"/>
  <c r="AX174" i="18"/>
  <c r="AX166" i="18"/>
  <c r="AX158" i="18"/>
  <c r="AX150" i="18"/>
  <c r="AX142" i="18"/>
  <c r="AX127" i="18"/>
  <c r="AX119" i="18"/>
  <c r="AX111" i="18"/>
  <c r="AX103" i="18"/>
  <c r="AX178" i="17"/>
  <c r="AX170" i="17"/>
  <c r="AX162" i="17"/>
  <c r="AX154" i="17"/>
  <c r="AX146" i="17"/>
  <c r="AX138" i="17"/>
  <c r="AX130" i="17"/>
  <c r="AX122" i="19"/>
  <c r="AX130" i="18"/>
  <c r="AX122" i="18"/>
  <c r="AX114" i="18"/>
  <c r="AX106" i="18"/>
  <c r="AX181" i="17"/>
  <c r="AX173" i="17"/>
  <c r="AX165" i="17"/>
  <c r="AX157" i="17"/>
  <c r="AX149" i="17"/>
  <c r="AX141" i="17"/>
  <c r="AX133" i="17"/>
  <c r="AX125" i="17"/>
  <c r="AX170" i="19"/>
  <c r="AX154" i="19"/>
  <c r="AX138" i="19"/>
  <c r="AX133" i="18"/>
  <c r="AX125" i="18"/>
  <c r="AX117" i="18"/>
  <c r="AX109" i="18"/>
  <c r="AX101" i="18"/>
  <c r="AX184" i="17"/>
  <c r="AX176" i="17"/>
  <c r="AX168" i="17"/>
  <c r="AX160" i="17"/>
  <c r="AX152" i="17"/>
  <c r="AX144" i="17"/>
  <c r="AX136" i="17"/>
  <c r="AX128" i="17"/>
  <c r="AX128" i="18"/>
  <c r="AX120" i="18"/>
  <c r="AX112" i="18"/>
  <c r="AX104" i="18"/>
  <c r="AX179" i="17"/>
  <c r="AX171" i="17"/>
  <c r="AX163" i="17"/>
  <c r="AX155" i="17"/>
  <c r="AX147" i="17"/>
  <c r="AX139" i="17"/>
  <c r="AX131" i="17"/>
  <c r="AX184" i="18"/>
  <c r="AX176" i="18"/>
  <c r="AX168" i="18"/>
  <c r="AX160" i="18"/>
  <c r="AX152" i="18"/>
  <c r="AX144" i="18"/>
  <c r="AX131" i="18"/>
  <c r="AX123" i="18"/>
  <c r="AX115" i="18"/>
  <c r="AX107" i="18"/>
  <c r="AX182" i="17"/>
  <c r="AX174" i="17"/>
  <c r="AX166" i="17"/>
  <c r="AX158" i="17"/>
  <c r="AX150" i="17"/>
  <c r="AX142" i="17"/>
  <c r="AX134" i="17"/>
  <c r="AX126" i="17"/>
  <c r="AX178" i="19"/>
  <c r="AX162" i="19"/>
  <c r="AX146" i="19"/>
  <c r="AX130" i="19"/>
  <c r="AX129" i="18"/>
  <c r="AX121" i="18"/>
  <c r="AX113" i="18"/>
  <c r="AX105" i="18"/>
  <c r="AX180" i="17"/>
  <c r="AX172" i="17"/>
  <c r="AX164" i="17"/>
  <c r="AX156" i="17"/>
  <c r="AX148" i="17"/>
  <c r="AX140" i="17"/>
  <c r="AX132" i="17"/>
  <c r="AX124" i="17"/>
  <c r="AX140" i="18"/>
  <c r="AX134" i="18"/>
  <c r="AX102" i="18"/>
  <c r="AX116" i="17"/>
  <c r="AX108" i="17"/>
  <c r="AX100" i="17"/>
  <c r="AX183" i="16"/>
  <c r="AX175" i="16"/>
  <c r="AX167" i="16"/>
  <c r="AX159" i="16"/>
  <c r="AX151" i="16"/>
  <c r="AX143" i="16"/>
  <c r="AX135" i="16"/>
  <c r="AX127" i="16"/>
  <c r="AX119" i="16"/>
  <c r="AX111" i="16"/>
  <c r="AX103" i="16"/>
  <c r="AX169" i="17"/>
  <c r="AX153" i="17"/>
  <c r="AX137" i="17"/>
  <c r="AX119" i="17"/>
  <c r="AX111" i="17"/>
  <c r="AX103" i="17"/>
  <c r="AX178" i="16"/>
  <c r="AX170" i="16"/>
  <c r="AX162" i="16"/>
  <c r="AX154" i="16"/>
  <c r="AX146" i="16"/>
  <c r="AX138" i="16"/>
  <c r="AX130" i="16"/>
  <c r="AX122" i="16"/>
  <c r="AX114" i="16"/>
  <c r="AX106" i="16"/>
  <c r="AX122" i="17"/>
  <c r="AX114" i="17"/>
  <c r="AX106" i="17"/>
  <c r="AX181" i="16"/>
  <c r="AX173" i="16"/>
  <c r="AX165" i="16"/>
  <c r="AX157" i="16"/>
  <c r="AX149" i="16"/>
  <c r="AX141" i="16"/>
  <c r="AX133" i="16"/>
  <c r="AX125" i="16"/>
  <c r="AX117" i="16"/>
  <c r="AX109" i="16"/>
  <c r="AX101" i="16"/>
  <c r="AX117" i="17"/>
  <c r="AX109" i="17"/>
  <c r="AX101" i="17"/>
  <c r="AX184" i="16"/>
  <c r="AX176" i="16"/>
  <c r="AX168" i="16"/>
  <c r="AX160" i="16"/>
  <c r="AX152" i="16"/>
  <c r="AX144" i="16"/>
  <c r="AX136" i="16"/>
  <c r="AX128" i="16"/>
  <c r="AX120" i="16"/>
  <c r="AX112" i="16"/>
  <c r="AX104" i="16"/>
  <c r="AX126" i="18"/>
  <c r="AX120" i="17"/>
  <c r="AX112" i="17"/>
  <c r="AX104" i="17"/>
  <c r="AX179" i="16"/>
  <c r="AX171" i="16"/>
  <c r="AX163" i="16"/>
  <c r="AX155" i="16"/>
  <c r="AX147" i="16"/>
  <c r="AX139" i="16"/>
  <c r="AX131" i="16"/>
  <c r="AX123" i="16"/>
  <c r="AX115" i="16"/>
  <c r="AX107" i="16"/>
  <c r="AX110" i="18"/>
  <c r="AX177" i="17"/>
  <c r="AX161" i="17"/>
  <c r="AX145" i="17"/>
  <c r="AX129" i="17"/>
  <c r="AX115" i="17"/>
  <c r="AX107" i="17"/>
  <c r="AX182" i="16"/>
  <c r="AX174" i="16"/>
  <c r="AX166" i="16"/>
  <c r="AX158" i="16"/>
  <c r="AX150" i="16"/>
  <c r="AX142" i="16"/>
  <c r="AX134" i="16"/>
  <c r="AX126" i="16"/>
  <c r="AX118" i="16"/>
  <c r="AX110" i="16"/>
  <c r="AX102" i="16"/>
  <c r="AX114" i="19"/>
  <c r="AX121" i="17"/>
  <c r="AX113" i="17"/>
  <c r="AX105" i="17"/>
  <c r="AX118" i="17"/>
  <c r="AX116" i="16"/>
  <c r="AX118" i="18"/>
  <c r="AX123" i="17"/>
  <c r="AX180" i="16"/>
  <c r="AX172" i="16"/>
  <c r="AX164" i="16"/>
  <c r="AX156" i="16"/>
  <c r="AX148" i="16"/>
  <c r="AX140" i="16"/>
  <c r="AX132" i="16"/>
  <c r="AX124" i="16"/>
  <c r="AX100" i="16"/>
  <c r="AX102" i="17"/>
  <c r="AX108" i="16"/>
  <c r="AX105" i="16"/>
  <c r="AX110" i="17"/>
  <c r="AX121" i="16"/>
  <c r="AX113" i="16"/>
  <c r="AX177" i="16"/>
  <c r="AX169" i="16"/>
  <c r="AX161" i="16"/>
  <c r="AX153" i="16"/>
  <c r="AX145" i="16"/>
  <c r="AX137" i="16"/>
  <c r="AX129" i="16"/>
  <c r="BH21" i="19"/>
  <c r="BL20" i="19"/>
  <c r="P19" i="19"/>
  <c r="E19" i="19"/>
  <c r="B20" i="19"/>
  <c r="X20" i="19"/>
  <c r="AB19" i="19"/>
  <c r="AV21" i="19"/>
  <c r="AZ20" i="19"/>
  <c r="AN19" i="19"/>
  <c r="AJ20" i="19"/>
  <c r="X20" i="18"/>
  <c r="AB19" i="18"/>
  <c r="AZ20" i="18"/>
  <c r="AV21" i="18"/>
  <c r="BL19" i="18"/>
  <c r="BH20" i="18"/>
  <c r="AN20" i="18"/>
  <c r="AJ21" i="18"/>
  <c r="P19" i="18"/>
  <c r="E19" i="18"/>
  <c r="B20" i="18"/>
  <c r="E19" i="17"/>
  <c r="B20" i="17"/>
  <c r="P19" i="17"/>
  <c r="AB19" i="17"/>
  <c r="X20" i="17"/>
  <c r="BH23" i="17"/>
  <c r="BL22" i="17"/>
  <c r="AN21" i="17"/>
  <c r="AJ22" i="17"/>
  <c r="AV21" i="17"/>
  <c r="AZ20" i="17"/>
  <c r="BL21" i="16"/>
  <c r="BH22" i="16"/>
  <c r="E20" i="16"/>
  <c r="B21" i="16"/>
  <c r="P20" i="16"/>
  <c r="X21" i="16"/>
  <c r="AB20" i="16"/>
  <c r="AV21" i="16"/>
  <c r="AZ20" i="16"/>
  <c r="AJ20" i="16"/>
  <c r="AN19" i="16"/>
  <c r="BH20" i="14"/>
  <c r="BL19" i="14"/>
  <c r="Z183" i="14"/>
  <c r="Z127" i="14"/>
  <c r="Z135" i="14"/>
  <c r="Z143" i="14"/>
  <c r="Z151" i="14"/>
  <c r="Z159" i="14"/>
  <c r="Z157" i="14"/>
  <c r="Z142" i="14"/>
  <c r="Z128" i="14"/>
  <c r="Z136" i="14"/>
  <c r="Z144" i="14"/>
  <c r="Z152" i="14"/>
  <c r="Z160" i="14"/>
  <c r="Z133" i="14"/>
  <c r="Z150" i="14"/>
  <c r="Z129" i="14"/>
  <c r="Z137" i="14"/>
  <c r="Z145" i="14"/>
  <c r="Z153" i="14"/>
  <c r="Z161" i="14"/>
  <c r="Z149" i="14"/>
  <c r="Z158" i="14"/>
  <c r="Z130" i="14"/>
  <c r="Z138" i="14"/>
  <c r="Z146" i="14"/>
  <c r="Z154" i="14"/>
  <c r="Z162" i="14"/>
  <c r="Z125" i="14"/>
  <c r="Z134" i="14"/>
  <c r="Z131" i="14"/>
  <c r="Z139" i="14"/>
  <c r="Z147" i="14"/>
  <c r="Z155" i="14"/>
  <c r="Z163" i="14"/>
  <c r="Z126" i="14"/>
  <c r="Z124" i="14"/>
  <c r="Z132" i="14"/>
  <c r="Z140" i="14"/>
  <c r="Z148" i="14"/>
  <c r="Z156" i="14"/>
  <c r="Z141" i="14"/>
  <c r="AX107" i="14"/>
  <c r="AX115" i="14"/>
  <c r="AX123" i="14"/>
  <c r="AX131" i="14"/>
  <c r="AX139" i="14"/>
  <c r="AX147" i="14"/>
  <c r="AX155" i="14"/>
  <c r="AX163" i="14"/>
  <c r="AX171" i="14"/>
  <c r="AX179" i="14"/>
  <c r="AX169" i="14"/>
  <c r="AX122" i="14"/>
  <c r="AX170" i="14"/>
  <c r="AX100" i="14"/>
  <c r="AX108" i="14"/>
  <c r="AX116" i="14"/>
  <c r="AX124" i="14"/>
  <c r="AX132" i="14"/>
  <c r="AX140" i="14"/>
  <c r="AX148" i="14"/>
  <c r="AX156" i="14"/>
  <c r="AX164" i="14"/>
  <c r="AX172" i="14"/>
  <c r="AX180" i="14"/>
  <c r="AX145" i="14"/>
  <c r="AX106" i="14"/>
  <c r="AX130" i="14"/>
  <c r="AX178" i="14"/>
  <c r="AX101" i="14"/>
  <c r="AX109" i="14"/>
  <c r="AX117" i="14"/>
  <c r="AX125" i="14"/>
  <c r="AX133" i="14"/>
  <c r="AX141" i="14"/>
  <c r="AX149" i="14"/>
  <c r="AX157" i="14"/>
  <c r="AX165" i="14"/>
  <c r="AX173" i="14"/>
  <c r="AX181" i="14"/>
  <c r="AX129" i="14"/>
  <c r="AX162" i="14"/>
  <c r="AX102" i="14"/>
  <c r="AX110" i="14"/>
  <c r="AX118" i="14"/>
  <c r="AX126" i="14"/>
  <c r="AX134" i="14"/>
  <c r="AX142" i="14"/>
  <c r="AX150" i="14"/>
  <c r="AX158" i="14"/>
  <c r="AX166" i="14"/>
  <c r="AX174" i="14"/>
  <c r="AX182" i="14"/>
  <c r="AX161" i="14"/>
  <c r="AX114" i="14"/>
  <c r="AX146" i="14"/>
  <c r="AX103" i="14"/>
  <c r="AX111" i="14"/>
  <c r="AX119" i="14"/>
  <c r="AX127" i="14"/>
  <c r="AX135" i="14"/>
  <c r="AX143" i="14"/>
  <c r="AX151" i="14"/>
  <c r="AX159" i="14"/>
  <c r="AX167" i="14"/>
  <c r="AX175" i="14"/>
  <c r="AX183" i="14"/>
  <c r="AX121" i="14"/>
  <c r="AX153" i="14"/>
  <c r="AX154" i="14"/>
  <c r="AX104" i="14"/>
  <c r="AX112" i="14"/>
  <c r="AX120" i="14"/>
  <c r="AX128" i="14"/>
  <c r="AX136" i="14"/>
  <c r="AX144" i="14"/>
  <c r="AX152" i="14"/>
  <c r="AX160" i="14"/>
  <c r="AX168" i="14"/>
  <c r="AX176" i="14"/>
  <c r="AX184" i="14"/>
  <c r="AX105" i="14"/>
  <c r="AX113" i="14"/>
  <c r="AX137" i="14"/>
  <c r="AX177" i="14"/>
  <c r="AX138" i="14"/>
  <c r="AV61" i="14"/>
  <c r="AZ60" i="14"/>
  <c r="AJ20" i="14"/>
  <c r="AN19" i="14"/>
  <c r="AL125" i="14"/>
  <c r="AL118" i="14"/>
  <c r="AL126" i="14"/>
  <c r="AL119" i="14"/>
  <c r="AL127" i="14"/>
  <c r="AL120" i="14"/>
  <c r="AL128" i="14"/>
  <c r="AL121" i="14"/>
  <c r="AL114" i="14"/>
  <c r="AL122" i="14"/>
  <c r="AL115" i="14"/>
  <c r="AL116" i="14"/>
  <c r="AL124" i="14"/>
  <c r="AL117" i="14"/>
  <c r="AL123" i="14"/>
  <c r="X20" i="14"/>
  <c r="AB19" i="14"/>
  <c r="Z172" i="14"/>
  <c r="Z176" i="14"/>
  <c r="Z180" i="14"/>
  <c r="Z178" i="14"/>
  <c r="Z179" i="14"/>
  <c r="Z173" i="14"/>
  <c r="Z167" i="14"/>
  <c r="Z164" i="14"/>
  <c r="P18" i="14"/>
  <c r="B19" i="14"/>
  <c r="D62" i="1"/>
  <c r="D61" i="1"/>
  <c r="D60" i="1"/>
  <c r="E74" i="1"/>
  <c r="D77" i="1"/>
  <c r="D75" i="1"/>
  <c r="D76" i="1"/>
  <c r="D91" i="1"/>
  <c r="D92" i="1"/>
  <c r="D90" i="1"/>
  <c r="E104" i="1"/>
  <c r="F104" i="1" s="1"/>
  <c r="D107" i="1"/>
  <c r="D105" i="1"/>
  <c r="D106" i="1"/>
  <c r="C79" i="1"/>
  <c r="C82" i="1" s="1"/>
  <c r="C94" i="1"/>
  <c r="C109" i="1"/>
  <c r="C112" i="1" s="1"/>
  <c r="C64" i="1"/>
  <c r="C67" i="1" s="1"/>
  <c r="E59" i="1"/>
  <c r="E89" i="1"/>
  <c r="F89" i="1" s="1"/>
  <c r="B21" i="15" l="1"/>
  <c r="F20" i="15"/>
  <c r="Z175" i="14"/>
  <c r="Z171" i="14"/>
  <c r="Z168" i="14"/>
  <c r="Z178" i="19"/>
  <c r="Z170" i="19"/>
  <c r="Z181" i="19"/>
  <c r="Z173" i="19"/>
  <c r="Z165" i="19"/>
  <c r="Z179" i="18"/>
  <c r="Z171" i="18"/>
  <c r="Z184" i="19"/>
  <c r="Z176" i="19"/>
  <c r="Z168" i="19"/>
  <c r="Z182" i="18"/>
  <c r="Z174" i="18"/>
  <c r="Z166" i="18"/>
  <c r="Z179" i="19"/>
  <c r="Z171" i="19"/>
  <c r="Z177" i="18"/>
  <c r="Z169" i="18"/>
  <c r="Z182" i="19"/>
  <c r="Z174" i="19"/>
  <c r="Z166" i="19"/>
  <c r="Z180" i="18"/>
  <c r="Z172" i="18"/>
  <c r="Z164" i="18"/>
  <c r="Z177" i="19"/>
  <c r="Z169" i="19"/>
  <c r="Z183" i="18"/>
  <c r="Z175" i="18"/>
  <c r="Z167" i="18"/>
  <c r="Z183" i="19"/>
  <c r="Z175" i="19"/>
  <c r="Z167" i="19"/>
  <c r="Z181" i="18"/>
  <c r="Z173" i="18"/>
  <c r="Z165" i="18"/>
  <c r="Z172" i="19"/>
  <c r="Z177" i="17"/>
  <c r="Z169" i="17"/>
  <c r="Z178" i="18"/>
  <c r="Z170" i="18"/>
  <c r="Z180" i="17"/>
  <c r="Z172" i="17"/>
  <c r="Z164" i="17"/>
  <c r="Z183" i="17"/>
  <c r="Z175" i="17"/>
  <c r="Z167" i="17"/>
  <c r="Z178" i="17"/>
  <c r="Z170" i="17"/>
  <c r="Z180" i="19"/>
  <c r="Z164" i="19"/>
  <c r="Z181" i="17"/>
  <c r="Z173" i="17"/>
  <c r="Z165" i="17"/>
  <c r="Z184" i="17"/>
  <c r="Z176" i="17"/>
  <c r="Z168" i="17"/>
  <c r="Z182" i="17"/>
  <c r="Z174" i="17"/>
  <c r="Z166" i="17"/>
  <c r="Z177" i="16"/>
  <c r="Z169" i="16"/>
  <c r="Z184" i="18"/>
  <c r="Z180" i="16"/>
  <c r="Z172" i="16"/>
  <c r="Z164" i="16"/>
  <c r="Z179" i="17"/>
  <c r="Z183" i="16"/>
  <c r="Z175" i="16"/>
  <c r="Z167" i="16"/>
  <c r="Z176" i="18"/>
  <c r="Z178" i="16"/>
  <c r="Z170" i="16"/>
  <c r="Z181" i="16"/>
  <c r="Z173" i="16"/>
  <c r="Z165" i="16"/>
  <c r="Z168" i="18"/>
  <c r="Z184" i="16"/>
  <c r="Z176" i="16"/>
  <c r="Z168" i="16"/>
  <c r="Z179" i="16"/>
  <c r="Z171" i="16"/>
  <c r="Z182" i="16"/>
  <c r="Z174" i="16"/>
  <c r="Z166" i="16"/>
  <c r="Z171" i="17"/>
  <c r="Z182" i="14"/>
  <c r="Z170" i="14"/>
  <c r="Z174" i="14"/>
  <c r="Z177" i="14"/>
  <c r="Z166" i="14"/>
  <c r="Z181" i="14"/>
  <c r="Z169" i="14"/>
  <c r="AL181" i="19"/>
  <c r="AL173" i="19"/>
  <c r="AL165" i="19"/>
  <c r="AL157" i="19"/>
  <c r="AL149" i="19"/>
  <c r="AL141" i="19"/>
  <c r="AL133" i="19"/>
  <c r="AL184" i="19"/>
  <c r="AL176" i="19"/>
  <c r="AL168" i="19"/>
  <c r="AL160" i="19"/>
  <c r="AL152" i="19"/>
  <c r="AL144" i="19"/>
  <c r="AL136" i="19"/>
  <c r="AL182" i="18"/>
  <c r="AL174" i="18"/>
  <c r="AL166" i="18"/>
  <c r="AL158" i="18"/>
  <c r="AL150" i="18"/>
  <c r="AL142" i="18"/>
  <c r="AL179" i="19"/>
  <c r="AL171" i="19"/>
  <c r="AL163" i="19"/>
  <c r="AL155" i="19"/>
  <c r="AL147" i="19"/>
  <c r="AL139" i="19"/>
  <c r="AL131" i="19"/>
  <c r="AL177" i="18"/>
  <c r="AL169" i="18"/>
  <c r="AL161" i="18"/>
  <c r="AL153" i="18"/>
  <c r="AL145" i="18"/>
  <c r="AL182" i="19"/>
  <c r="AL174" i="19"/>
  <c r="AL166" i="19"/>
  <c r="AL158" i="19"/>
  <c r="AL150" i="19"/>
  <c r="AL142" i="19"/>
  <c r="AL134" i="19"/>
  <c r="AL180" i="18"/>
  <c r="AL172" i="18"/>
  <c r="AL164" i="18"/>
  <c r="AL156" i="18"/>
  <c r="AL148" i="18"/>
  <c r="AL140" i="18"/>
  <c r="AL177" i="19"/>
  <c r="AL169" i="19"/>
  <c r="AL161" i="19"/>
  <c r="AL153" i="19"/>
  <c r="AL145" i="19"/>
  <c r="AL137" i="19"/>
  <c r="AL129" i="19"/>
  <c r="AL183" i="18"/>
  <c r="AL175" i="18"/>
  <c r="AL167" i="18"/>
  <c r="AL159" i="18"/>
  <c r="AL151" i="18"/>
  <c r="AL143" i="18"/>
  <c r="AL135" i="18"/>
  <c r="AL180" i="19"/>
  <c r="AL172" i="19"/>
  <c r="AL164" i="19"/>
  <c r="AL156" i="19"/>
  <c r="AL148" i="19"/>
  <c r="AL140" i="19"/>
  <c r="AL132" i="19"/>
  <c r="AL178" i="18"/>
  <c r="AL170" i="18"/>
  <c r="AL162" i="18"/>
  <c r="AL154" i="18"/>
  <c r="AL146" i="18"/>
  <c r="AL138" i="18"/>
  <c r="AL178" i="19"/>
  <c r="AL170" i="19"/>
  <c r="AL162" i="19"/>
  <c r="AL154" i="19"/>
  <c r="AL146" i="19"/>
  <c r="AL138" i="19"/>
  <c r="AL130" i="19"/>
  <c r="AL184" i="18"/>
  <c r="AL176" i="18"/>
  <c r="AL168" i="18"/>
  <c r="AL160" i="18"/>
  <c r="AL152" i="18"/>
  <c r="AL144" i="18"/>
  <c r="AL136" i="18"/>
  <c r="AL129" i="18"/>
  <c r="AL180" i="17"/>
  <c r="AL172" i="17"/>
  <c r="AL164" i="17"/>
  <c r="AL156" i="17"/>
  <c r="AL148" i="17"/>
  <c r="AL140" i="17"/>
  <c r="AL132" i="17"/>
  <c r="AL139" i="18"/>
  <c r="AL132" i="18"/>
  <c r="AL183" i="17"/>
  <c r="AL175" i="17"/>
  <c r="AL167" i="17"/>
  <c r="AL159" i="17"/>
  <c r="AL151" i="17"/>
  <c r="AL143" i="17"/>
  <c r="AL135" i="17"/>
  <c r="AL178" i="17"/>
  <c r="AL170" i="17"/>
  <c r="AL162" i="17"/>
  <c r="AL154" i="17"/>
  <c r="AL146" i="17"/>
  <c r="AL138" i="17"/>
  <c r="AL130" i="17"/>
  <c r="AL175" i="19"/>
  <c r="AL159" i="19"/>
  <c r="AL143" i="19"/>
  <c r="AL181" i="18"/>
  <c r="AL173" i="18"/>
  <c r="AL165" i="18"/>
  <c r="AL157" i="18"/>
  <c r="AL149" i="18"/>
  <c r="AL130" i="18"/>
  <c r="AL181" i="17"/>
  <c r="AL173" i="17"/>
  <c r="AL165" i="17"/>
  <c r="AL157" i="17"/>
  <c r="AL149" i="17"/>
  <c r="AL141" i="17"/>
  <c r="AL133" i="17"/>
  <c r="AL141" i="18"/>
  <c r="AL133" i="18"/>
  <c r="AL184" i="17"/>
  <c r="AL176" i="17"/>
  <c r="AL168" i="17"/>
  <c r="AL160" i="17"/>
  <c r="AL152" i="17"/>
  <c r="AL144" i="17"/>
  <c r="AL136" i="17"/>
  <c r="AL179" i="17"/>
  <c r="AL171" i="17"/>
  <c r="AL163" i="17"/>
  <c r="AL155" i="17"/>
  <c r="AL147" i="17"/>
  <c r="AL139" i="17"/>
  <c r="AL131" i="17"/>
  <c r="AL183" i="19"/>
  <c r="AL167" i="19"/>
  <c r="AL151" i="19"/>
  <c r="AL135" i="19"/>
  <c r="AL179" i="18"/>
  <c r="AL171" i="18"/>
  <c r="AL163" i="18"/>
  <c r="AL155" i="18"/>
  <c r="AL147" i="18"/>
  <c r="AL134" i="18"/>
  <c r="AL177" i="17"/>
  <c r="AL169" i="17"/>
  <c r="AL161" i="17"/>
  <c r="AL153" i="17"/>
  <c r="AL145" i="17"/>
  <c r="AL137" i="17"/>
  <c r="AL129" i="17"/>
  <c r="AL180" i="16"/>
  <c r="AL172" i="16"/>
  <c r="AL164" i="16"/>
  <c r="AL156" i="16"/>
  <c r="AL148" i="16"/>
  <c r="AL140" i="16"/>
  <c r="AL132" i="16"/>
  <c r="AL174" i="17"/>
  <c r="AL158" i="17"/>
  <c r="AL142" i="17"/>
  <c r="AL183" i="16"/>
  <c r="AL175" i="16"/>
  <c r="AL167" i="16"/>
  <c r="AL159" i="16"/>
  <c r="AL151" i="16"/>
  <c r="AL143" i="16"/>
  <c r="AL135" i="16"/>
  <c r="AL178" i="16"/>
  <c r="AL170" i="16"/>
  <c r="AL162" i="16"/>
  <c r="AL154" i="16"/>
  <c r="AL146" i="16"/>
  <c r="AL138" i="16"/>
  <c r="AL130" i="16"/>
  <c r="AL181" i="16"/>
  <c r="AL173" i="16"/>
  <c r="AL165" i="16"/>
  <c r="AL157" i="16"/>
  <c r="AL149" i="16"/>
  <c r="AL141" i="16"/>
  <c r="AL133" i="16"/>
  <c r="AL137" i="18"/>
  <c r="AL131" i="18"/>
  <c r="AL184" i="16"/>
  <c r="AL176" i="16"/>
  <c r="AL168" i="16"/>
  <c r="AL160" i="16"/>
  <c r="AL152" i="16"/>
  <c r="AL144" i="16"/>
  <c r="AL136" i="16"/>
  <c r="AL182" i="17"/>
  <c r="AL166" i="17"/>
  <c r="AL150" i="17"/>
  <c r="AL134" i="17"/>
  <c r="AL179" i="16"/>
  <c r="AL171" i="16"/>
  <c r="AL163" i="16"/>
  <c r="AL155" i="16"/>
  <c r="AL147" i="16"/>
  <c r="AL139" i="16"/>
  <c r="AL131" i="16"/>
  <c r="AL161" i="16"/>
  <c r="AL129" i="16"/>
  <c r="AL182" i="16"/>
  <c r="AL174" i="16"/>
  <c r="AL166" i="16"/>
  <c r="AL158" i="16"/>
  <c r="AL150" i="16"/>
  <c r="AL142" i="16"/>
  <c r="AL134" i="16"/>
  <c r="AL177" i="16"/>
  <c r="AL137" i="16"/>
  <c r="AL169" i="16"/>
  <c r="AL153" i="16"/>
  <c r="AL145" i="16"/>
  <c r="Z165" i="14"/>
  <c r="Z184" i="14"/>
  <c r="BH22" i="19"/>
  <c r="BL21" i="19"/>
  <c r="AJ21" i="19"/>
  <c r="AN20" i="19"/>
  <c r="X21" i="19"/>
  <c r="AB20" i="19"/>
  <c r="AV22" i="19"/>
  <c r="AZ21" i="19"/>
  <c r="P20" i="19"/>
  <c r="E20" i="19"/>
  <c r="B21" i="19"/>
  <c r="BH21" i="18"/>
  <c r="BL20" i="18"/>
  <c r="AN21" i="18"/>
  <c r="AJ22" i="18"/>
  <c r="AB20" i="18"/>
  <c r="X21" i="18"/>
  <c r="AV22" i="18"/>
  <c r="AZ21" i="18"/>
  <c r="B21" i="18"/>
  <c r="E20" i="18"/>
  <c r="P20" i="18"/>
  <c r="BL23" i="17"/>
  <c r="BH24" i="17"/>
  <c r="AZ21" i="17"/>
  <c r="AV22" i="17"/>
  <c r="AN22" i="17"/>
  <c r="AJ23" i="17"/>
  <c r="X21" i="17"/>
  <c r="AB20" i="17"/>
  <c r="P20" i="17"/>
  <c r="E20" i="17"/>
  <c r="B21" i="17"/>
  <c r="B22" i="16"/>
  <c r="P21" i="16"/>
  <c r="E21" i="16"/>
  <c r="AN20" i="16"/>
  <c r="AJ21" i="16"/>
  <c r="BH23" i="16"/>
  <c r="BL22" i="16"/>
  <c r="AV22" i="16"/>
  <c r="AZ21" i="16"/>
  <c r="X22" i="16"/>
  <c r="AB21" i="16"/>
  <c r="BH21" i="14"/>
  <c r="BL20" i="14"/>
  <c r="B20" i="14"/>
  <c r="B21" i="14" s="1"/>
  <c r="E19" i="14"/>
  <c r="AL129" i="14"/>
  <c r="AL137" i="14"/>
  <c r="AL145" i="14"/>
  <c r="AL153" i="14"/>
  <c r="AL161" i="14"/>
  <c r="AL169" i="14"/>
  <c r="AL177" i="14"/>
  <c r="AL143" i="14"/>
  <c r="AL183" i="14"/>
  <c r="AL136" i="14"/>
  <c r="AL160" i="14"/>
  <c r="AL130" i="14"/>
  <c r="AL138" i="14"/>
  <c r="AL146" i="14"/>
  <c r="AL154" i="14"/>
  <c r="AL162" i="14"/>
  <c r="AL170" i="14"/>
  <c r="AL178" i="14"/>
  <c r="AL167" i="14"/>
  <c r="AL184" i="14"/>
  <c r="AL131" i="14"/>
  <c r="AL139" i="14"/>
  <c r="AL147" i="14"/>
  <c r="AL155" i="14"/>
  <c r="AL163" i="14"/>
  <c r="AL171" i="14"/>
  <c r="AL179" i="14"/>
  <c r="AL175" i="14"/>
  <c r="AL176" i="14"/>
  <c r="AL132" i="14"/>
  <c r="AL140" i="14"/>
  <c r="AL148" i="14"/>
  <c r="AL156" i="14"/>
  <c r="AL164" i="14"/>
  <c r="AL172" i="14"/>
  <c r="AL180" i="14"/>
  <c r="AL135" i="14"/>
  <c r="AL152" i="14"/>
  <c r="AL133" i="14"/>
  <c r="AL141" i="14"/>
  <c r="AL149" i="14"/>
  <c r="AL157" i="14"/>
  <c r="AL165" i="14"/>
  <c r="AL173" i="14"/>
  <c r="AL181" i="14"/>
  <c r="AL159" i="14"/>
  <c r="AL144" i="14"/>
  <c r="AL168" i="14"/>
  <c r="AL134" i="14"/>
  <c r="AL142" i="14"/>
  <c r="AL150" i="14"/>
  <c r="AL158" i="14"/>
  <c r="AL166" i="14"/>
  <c r="AL174" i="14"/>
  <c r="AL182" i="14"/>
  <c r="AL151" i="14"/>
  <c r="AV62" i="14"/>
  <c r="AZ61" i="14"/>
  <c r="C97" i="1"/>
  <c r="AJ21" i="14"/>
  <c r="AN20" i="14"/>
  <c r="X21" i="14"/>
  <c r="AB20" i="14"/>
  <c r="P19" i="14"/>
  <c r="D64" i="1"/>
  <c r="D32" i="1"/>
  <c r="D109" i="1"/>
  <c r="D112" i="1" s="1"/>
  <c r="E61" i="1"/>
  <c r="E62" i="1"/>
  <c r="E60" i="1"/>
  <c r="E77" i="1"/>
  <c r="E75" i="1"/>
  <c r="E76" i="1"/>
  <c r="F59" i="1"/>
  <c r="G59" i="1" s="1"/>
  <c r="E107" i="1"/>
  <c r="E105" i="1"/>
  <c r="E106" i="1"/>
  <c r="F92" i="1"/>
  <c r="F90" i="1"/>
  <c r="F91" i="1"/>
  <c r="F106" i="1"/>
  <c r="F107" i="1"/>
  <c r="F105" i="1"/>
  <c r="F74" i="1"/>
  <c r="G74" i="1" s="1"/>
  <c r="E91" i="1"/>
  <c r="E92" i="1"/>
  <c r="E90" i="1"/>
  <c r="D79" i="1"/>
  <c r="D94" i="1"/>
  <c r="D97" i="1" s="1"/>
  <c r="G104" i="1"/>
  <c r="G89" i="1"/>
  <c r="B22" i="15" l="1"/>
  <c r="F21" i="15"/>
  <c r="BH23" i="19"/>
  <c r="BL22" i="19"/>
  <c r="AV23" i="19"/>
  <c r="AZ22" i="19"/>
  <c r="X22" i="19"/>
  <c r="AB21" i="19"/>
  <c r="E21" i="19"/>
  <c r="B22" i="19"/>
  <c r="P21" i="19"/>
  <c r="AJ22" i="19"/>
  <c r="AN21" i="19"/>
  <c r="BL21" i="18"/>
  <c r="BH22" i="18"/>
  <c r="AZ22" i="18"/>
  <c r="AV23" i="18"/>
  <c r="AJ23" i="18"/>
  <c r="AN22" i="18"/>
  <c r="AB21" i="18"/>
  <c r="X22" i="18"/>
  <c r="P21" i="18"/>
  <c r="E21" i="18"/>
  <c r="B22" i="18"/>
  <c r="AZ22" i="17"/>
  <c r="AV23" i="17"/>
  <c r="E21" i="17"/>
  <c r="B22" i="17"/>
  <c r="P21" i="17"/>
  <c r="X22" i="17"/>
  <c r="AB21" i="17"/>
  <c r="BL24" i="17"/>
  <c r="BH25" i="17"/>
  <c r="AN23" i="17"/>
  <c r="AJ24" i="17"/>
  <c r="AJ22" i="16"/>
  <c r="AN21" i="16"/>
  <c r="AV23" i="16"/>
  <c r="AZ22" i="16"/>
  <c r="E22" i="16"/>
  <c r="P22" i="16"/>
  <c r="B23" i="16"/>
  <c r="X23" i="16"/>
  <c r="AB22" i="16"/>
  <c r="BL23" i="16"/>
  <c r="BH24" i="16"/>
  <c r="BH22" i="14"/>
  <c r="BL21" i="14"/>
  <c r="P21" i="14"/>
  <c r="E21" i="14"/>
  <c r="P20" i="14"/>
  <c r="E20" i="14"/>
  <c r="D82" i="1"/>
  <c r="AV63" i="14"/>
  <c r="AZ62" i="14"/>
  <c r="AJ22" i="14"/>
  <c r="AN21" i="14"/>
  <c r="X22" i="14"/>
  <c r="AB21" i="14"/>
  <c r="D67" i="1"/>
  <c r="B22" i="14"/>
  <c r="E79" i="1"/>
  <c r="E82" i="1" s="1"/>
  <c r="E109" i="1"/>
  <c r="E112" i="1" s="1"/>
  <c r="E64" i="1"/>
  <c r="E67" i="1" s="1"/>
  <c r="E94" i="1"/>
  <c r="E97" i="1" s="1"/>
  <c r="E32" i="1"/>
  <c r="G92" i="1"/>
  <c r="G90" i="1"/>
  <c r="G91" i="1"/>
  <c r="F62" i="1"/>
  <c r="F60" i="1"/>
  <c r="F61" i="1"/>
  <c r="G76" i="1"/>
  <c r="G77" i="1"/>
  <c r="G75" i="1"/>
  <c r="G106" i="1"/>
  <c r="G107" i="1"/>
  <c r="G105" i="1"/>
  <c r="F76" i="1"/>
  <c r="F77" i="1"/>
  <c r="F75" i="1"/>
  <c r="G62" i="1"/>
  <c r="G60" i="1"/>
  <c r="G61" i="1"/>
  <c r="F109" i="1"/>
  <c r="F112" i="1" s="1"/>
  <c r="F94" i="1"/>
  <c r="F97" i="1" s="1"/>
  <c r="H104" i="1"/>
  <c r="H89" i="1"/>
  <c r="H74" i="1"/>
  <c r="H59" i="1"/>
  <c r="B23" i="15" l="1"/>
  <c r="F22" i="15"/>
  <c r="AV24" i="19"/>
  <c r="AZ23" i="19"/>
  <c r="AJ23" i="19"/>
  <c r="AN22" i="19"/>
  <c r="X23" i="19"/>
  <c r="AB22" i="19"/>
  <c r="BL23" i="19"/>
  <c r="BH24" i="19"/>
  <c r="E22" i="19"/>
  <c r="P22" i="19"/>
  <c r="B23" i="19"/>
  <c r="P22" i="18"/>
  <c r="E22" i="18"/>
  <c r="B23" i="18"/>
  <c r="AN23" i="18"/>
  <c r="AJ24" i="18"/>
  <c r="BL22" i="18"/>
  <c r="BH23" i="18"/>
  <c r="AB22" i="18"/>
  <c r="X23" i="18"/>
  <c r="AZ23" i="18"/>
  <c r="AV24" i="18"/>
  <c r="BL25" i="17"/>
  <c r="BH26" i="17"/>
  <c r="X23" i="17"/>
  <c r="AB22" i="17"/>
  <c r="AV24" i="17"/>
  <c r="AZ23" i="17"/>
  <c r="AJ25" i="17"/>
  <c r="AN24" i="17"/>
  <c r="B23" i="17"/>
  <c r="E22" i="17"/>
  <c r="P22" i="17"/>
  <c r="P23" i="16"/>
  <c r="B24" i="16"/>
  <c r="E23" i="16"/>
  <c r="BL24" i="16"/>
  <c r="BH25" i="16"/>
  <c r="X24" i="16"/>
  <c r="AB23" i="16"/>
  <c r="AV24" i="16"/>
  <c r="AZ23" i="16"/>
  <c r="AJ23" i="16"/>
  <c r="AN22" i="16"/>
  <c r="BH23" i="14"/>
  <c r="BL22" i="14"/>
  <c r="P22" i="14"/>
  <c r="E22" i="14"/>
  <c r="AV64" i="14"/>
  <c r="AZ63" i="14"/>
  <c r="AJ23" i="14"/>
  <c r="AN22" i="14"/>
  <c r="X23" i="14"/>
  <c r="AB22" i="14"/>
  <c r="T4" i="14"/>
  <c r="B23" i="14"/>
  <c r="F79" i="1"/>
  <c r="F82" i="1" s="1"/>
  <c r="G64" i="1"/>
  <c r="G67" i="1" s="1"/>
  <c r="F32" i="1"/>
  <c r="H91" i="1"/>
  <c r="H92" i="1"/>
  <c r="H90" i="1"/>
  <c r="H107" i="1"/>
  <c r="H105" i="1"/>
  <c r="H106" i="1"/>
  <c r="H77" i="1"/>
  <c r="H75" i="1"/>
  <c r="H76" i="1"/>
  <c r="H61" i="1"/>
  <c r="H60" i="1"/>
  <c r="H62" i="1"/>
  <c r="F64" i="1"/>
  <c r="F67" i="1" s="1"/>
  <c r="G109" i="1"/>
  <c r="G112" i="1" s="1"/>
  <c r="G94" i="1"/>
  <c r="G97" i="1" s="1"/>
  <c r="G79" i="1"/>
  <c r="G82" i="1" s="1"/>
  <c r="B24" i="15" l="1"/>
  <c r="F23" i="15"/>
  <c r="AJ24" i="19"/>
  <c r="AN23" i="19"/>
  <c r="B24" i="19"/>
  <c r="P23" i="19"/>
  <c r="E23" i="19"/>
  <c r="AV25" i="19"/>
  <c r="AZ24" i="19"/>
  <c r="BH25" i="19"/>
  <c r="BL24" i="19"/>
  <c r="X24" i="19"/>
  <c r="AB23" i="19"/>
  <c r="X24" i="18"/>
  <c r="AB23" i="18"/>
  <c r="AZ24" i="18"/>
  <c r="AV25" i="18"/>
  <c r="P23" i="18"/>
  <c r="E23" i="18"/>
  <c r="B24" i="18"/>
  <c r="AN24" i="18"/>
  <c r="AJ25" i="18"/>
  <c r="BL23" i="18"/>
  <c r="BH24" i="18"/>
  <c r="P23" i="17"/>
  <c r="E23" i="17"/>
  <c r="B24" i="17"/>
  <c r="AB23" i="17"/>
  <c r="X24" i="17"/>
  <c r="AZ24" i="17"/>
  <c r="AV25" i="17"/>
  <c r="AN25" i="17"/>
  <c r="AJ26" i="17"/>
  <c r="BH27" i="17"/>
  <c r="BL26" i="17"/>
  <c r="AZ24" i="16"/>
  <c r="AV25" i="16"/>
  <c r="AN23" i="16"/>
  <c r="AJ24" i="16"/>
  <c r="BL25" i="16"/>
  <c r="BH26" i="16"/>
  <c r="E24" i="16"/>
  <c r="P24" i="16"/>
  <c r="B25" i="16"/>
  <c r="X25" i="16"/>
  <c r="AB24" i="16"/>
  <c r="BH24" i="14"/>
  <c r="BL23" i="14"/>
  <c r="P23" i="14"/>
  <c r="E23" i="14"/>
  <c r="AV65" i="14"/>
  <c r="AZ64" i="14"/>
  <c r="AJ24" i="14"/>
  <c r="AN23" i="14"/>
  <c r="X24" i="14"/>
  <c r="AB23" i="14"/>
  <c r="B24" i="14"/>
  <c r="H64" i="1"/>
  <c r="Y23" i="14" s="1"/>
  <c r="AA23" i="14" s="1"/>
  <c r="H32" i="1"/>
  <c r="G32" i="1"/>
  <c r="H109" i="1"/>
  <c r="BI23" i="18" s="1"/>
  <c r="BK23" i="18" s="1"/>
  <c r="H94" i="1"/>
  <c r="AW23" i="19" s="1"/>
  <c r="AY23" i="19" s="1"/>
  <c r="H79" i="1"/>
  <c r="AK23" i="18" s="1"/>
  <c r="AM23" i="18" s="1"/>
  <c r="AW23" i="18" l="1"/>
  <c r="AY23" i="18" s="1"/>
  <c r="AW23" i="14"/>
  <c r="AY23" i="14" s="1"/>
  <c r="AW24" i="16"/>
  <c r="AY24" i="16" s="1"/>
  <c r="H67" i="1"/>
  <c r="Y4" i="19"/>
  <c r="Y4" i="16"/>
  <c r="AA4" i="16" s="1"/>
  <c r="Y4" i="14"/>
  <c r="Y4" i="17"/>
  <c r="AA4" i="17" s="1"/>
  <c r="Y4" i="18"/>
  <c r="AA4" i="18" s="1"/>
  <c r="Y11" i="19"/>
  <c r="Y11" i="14"/>
  <c r="AA11" i="14" s="1"/>
  <c r="Y20" i="17"/>
  <c r="AA20" i="17" s="1"/>
  <c r="Y6" i="18"/>
  <c r="AA6" i="18" s="1"/>
  <c r="Y15" i="17"/>
  <c r="AA15" i="17" s="1"/>
  <c r="Y13" i="18"/>
  <c r="AA13" i="18" s="1"/>
  <c r="Y13" i="17"/>
  <c r="AA13" i="17" s="1"/>
  <c r="Y10" i="17"/>
  <c r="AA10" i="17" s="1"/>
  <c r="Y8" i="19"/>
  <c r="Y6" i="19"/>
  <c r="Y9" i="16"/>
  <c r="AA9" i="16" s="1"/>
  <c r="Y8" i="14"/>
  <c r="AA8" i="14" s="1"/>
  <c r="Y20" i="14"/>
  <c r="AA20" i="14" s="1"/>
  <c r="Y6" i="16"/>
  <c r="AA6" i="16" s="1"/>
  <c r="Y9" i="17"/>
  <c r="AA9" i="17" s="1"/>
  <c r="Y13" i="16"/>
  <c r="AA13" i="16" s="1"/>
  <c r="Y13" i="14"/>
  <c r="AA13" i="14" s="1"/>
  <c r="Y17" i="14"/>
  <c r="AA17" i="14" s="1"/>
  <c r="Y8" i="16"/>
  <c r="AA8" i="16" s="1"/>
  <c r="Y18" i="17"/>
  <c r="AA18" i="17" s="1"/>
  <c r="Y14" i="18"/>
  <c r="AA14" i="18" s="1"/>
  <c r="Y11" i="17"/>
  <c r="AA11" i="17" s="1"/>
  <c r="Y18" i="16"/>
  <c r="AA18" i="16" s="1"/>
  <c r="Y15" i="18"/>
  <c r="AA15" i="18" s="1"/>
  <c r="Y16" i="16"/>
  <c r="AA16" i="16" s="1"/>
  <c r="Y12" i="19"/>
  <c r="Y11" i="16"/>
  <c r="AA11" i="16" s="1"/>
  <c r="Y8" i="17"/>
  <c r="AA8" i="17" s="1"/>
  <c r="Y10" i="18"/>
  <c r="AA10" i="18" s="1"/>
  <c r="Y18" i="14"/>
  <c r="AA18" i="14" s="1"/>
  <c r="Y16" i="14"/>
  <c r="AA16" i="14" s="1"/>
  <c r="Y20" i="19"/>
  <c r="Y18" i="19"/>
  <c r="Y16" i="18"/>
  <c r="AA16" i="18" s="1"/>
  <c r="Y15" i="16"/>
  <c r="AA15" i="16" s="1"/>
  <c r="Y5" i="18"/>
  <c r="AA5" i="18" s="1"/>
  <c r="AE5" i="18" s="1"/>
  <c r="Y19" i="17"/>
  <c r="AA19" i="17" s="1"/>
  <c r="Y17" i="16"/>
  <c r="AA17" i="16" s="1"/>
  <c r="Y19" i="14"/>
  <c r="AA19" i="14" s="1"/>
  <c r="Y8" i="18"/>
  <c r="AA8" i="18" s="1"/>
  <c r="Y21" i="19"/>
  <c r="Y18" i="18"/>
  <c r="AA18" i="18" s="1"/>
  <c r="Y15" i="19"/>
  <c r="Y17" i="18"/>
  <c r="AA17" i="18" s="1"/>
  <c r="Y17" i="17"/>
  <c r="AA17" i="17" s="1"/>
  <c r="Y14" i="17"/>
  <c r="AA14" i="17" s="1"/>
  <c r="Y12" i="18"/>
  <c r="AA12" i="18" s="1"/>
  <c r="Y10" i="19"/>
  <c r="Y12" i="17"/>
  <c r="AA12" i="17" s="1"/>
  <c r="Y5" i="14"/>
  <c r="AA5" i="14" s="1"/>
  <c r="AE5" i="14" s="1"/>
  <c r="Y9" i="14"/>
  <c r="AA9" i="14" s="1"/>
  <c r="Y11" i="18"/>
  <c r="AA11" i="18" s="1"/>
  <c r="Y14" i="19"/>
  <c r="Y21" i="18"/>
  <c r="AA21" i="18" s="1"/>
  <c r="Y21" i="14"/>
  <c r="AA21" i="14" s="1"/>
  <c r="Y5" i="17"/>
  <c r="AA5" i="17" s="1"/>
  <c r="AE5" i="17" s="1"/>
  <c r="Y16" i="19"/>
  <c r="Y21" i="16"/>
  <c r="AA21" i="16" s="1"/>
  <c r="Y6" i="14"/>
  <c r="AA6" i="14" s="1"/>
  <c r="Y14" i="16"/>
  <c r="AA14" i="16" s="1"/>
  <c r="Y19" i="16"/>
  <c r="AA19" i="16" s="1"/>
  <c r="Y10" i="16"/>
  <c r="AA10" i="16" s="1"/>
  <c r="Y7" i="19"/>
  <c r="Y7" i="18"/>
  <c r="AA7" i="18" s="1"/>
  <c r="Y5" i="16"/>
  <c r="AA5" i="16" s="1"/>
  <c r="AE5" i="16" s="1"/>
  <c r="Y5" i="19"/>
  <c r="Y7" i="17"/>
  <c r="AA7" i="17" s="1"/>
  <c r="Y16" i="17"/>
  <c r="AA16" i="17" s="1"/>
  <c r="Y19" i="18"/>
  <c r="AA19" i="18" s="1"/>
  <c r="Y20" i="18"/>
  <c r="AA20" i="18" s="1"/>
  <c r="Y21" i="17"/>
  <c r="AA21" i="17" s="1"/>
  <c r="Y22" i="16"/>
  <c r="AA22" i="16" s="1"/>
  <c r="Y14" i="14"/>
  <c r="AA14" i="14" s="1"/>
  <c r="Y12" i="14"/>
  <c r="AA12" i="14" s="1"/>
  <c r="Y12" i="16"/>
  <c r="AA12" i="16" s="1"/>
  <c r="Y9" i="19"/>
  <c r="Y9" i="18"/>
  <c r="AA9" i="18" s="1"/>
  <c r="Y7" i="16"/>
  <c r="AA7" i="16" s="1"/>
  <c r="Y17" i="19"/>
  <c r="Y19" i="19"/>
  <c r="Y13" i="19"/>
  <c r="Y20" i="16"/>
  <c r="AA20" i="16" s="1"/>
  <c r="Y7" i="14"/>
  <c r="AA7" i="14" s="1"/>
  <c r="Y10" i="14"/>
  <c r="AA10" i="14" s="1"/>
  <c r="Y6" i="17"/>
  <c r="AA6" i="17" s="1"/>
  <c r="Y15" i="14"/>
  <c r="AA15" i="14" s="1"/>
  <c r="Y22" i="19"/>
  <c r="Y23" i="16"/>
  <c r="AA23" i="16" s="1"/>
  <c r="Y22" i="18"/>
  <c r="AA22" i="18" s="1"/>
  <c r="Y22" i="17"/>
  <c r="AA22" i="17" s="1"/>
  <c r="Y22" i="14"/>
  <c r="AA22" i="14" s="1"/>
  <c r="Y24" i="16"/>
  <c r="AA24" i="16" s="1"/>
  <c r="Y23" i="17"/>
  <c r="AA23" i="17" s="1"/>
  <c r="Y23" i="19"/>
  <c r="AA23" i="19" s="1"/>
  <c r="AK23" i="19"/>
  <c r="AM23" i="19" s="1"/>
  <c r="AK23" i="14"/>
  <c r="AM23" i="14" s="1"/>
  <c r="AK23" i="17"/>
  <c r="AM23" i="17" s="1"/>
  <c r="H82" i="1"/>
  <c r="AK5" i="16"/>
  <c r="AM5" i="16" s="1"/>
  <c r="AQ5" i="16" s="1"/>
  <c r="AK5" i="17"/>
  <c r="AM5" i="17" s="1"/>
  <c r="AQ5" i="17" s="1"/>
  <c r="AK4" i="18"/>
  <c r="AM4" i="18" s="1"/>
  <c r="AK4" i="14"/>
  <c r="AK4" i="16"/>
  <c r="AM4" i="16" s="1"/>
  <c r="AK5" i="14"/>
  <c r="AM5" i="14" s="1"/>
  <c r="AQ5" i="14" s="1"/>
  <c r="AK5" i="18"/>
  <c r="AM5" i="18" s="1"/>
  <c r="AQ5" i="18" s="1"/>
  <c r="AK4" i="17"/>
  <c r="AM4" i="17" s="1"/>
  <c r="AK4" i="19"/>
  <c r="AM4" i="19" s="1"/>
  <c r="AK5" i="19"/>
  <c r="AM5" i="19" s="1"/>
  <c r="AQ5" i="19" s="1"/>
  <c r="AK15" i="19"/>
  <c r="AM15" i="19" s="1"/>
  <c r="AK20" i="17"/>
  <c r="AM20" i="17" s="1"/>
  <c r="AK21" i="17"/>
  <c r="AM21" i="17" s="1"/>
  <c r="AK10" i="19"/>
  <c r="AM10" i="19" s="1"/>
  <c r="AK10" i="18"/>
  <c r="AM10" i="18" s="1"/>
  <c r="AK9" i="16"/>
  <c r="AM9" i="16" s="1"/>
  <c r="AK18" i="17"/>
  <c r="AM18" i="17" s="1"/>
  <c r="AK9" i="19"/>
  <c r="AM9" i="19" s="1"/>
  <c r="AK10" i="16"/>
  <c r="AM10" i="16" s="1"/>
  <c r="AK9" i="18"/>
  <c r="AM9" i="18" s="1"/>
  <c r="AK22" i="16"/>
  <c r="AM22" i="16" s="1"/>
  <c r="AK12" i="14"/>
  <c r="AM12" i="14" s="1"/>
  <c r="AK8" i="14"/>
  <c r="AM8" i="14" s="1"/>
  <c r="AK16" i="18"/>
  <c r="AM16" i="18" s="1"/>
  <c r="AK17" i="14"/>
  <c r="AM17" i="14" s="1"/>
  <c r="AK20" i="18"/>
  <c r="AM20" i="18" s="1"/>
  <c r="AK17" i="19"/>
  <c r="AM17" i="19" s="1"/>
  <c r="AK7" i="18"/>
  <c r="AM7" i="18" s="1"/>
  <c r="AK18" i="14"/>
  <c r="AM18" i="14" s="1"/>
  <c r="AK12" i="19"/>
  <c r="AM12" i="19" s="1"/>
  <c r="AK12" i="17"/>
  <c r="AM12" i="17" s="1"/>
  <c r="AK11" i="16"/>
  <c r="AM11" i="16" s="1"/>
  <c r="AK7" i="16"/>
  <c r="AM7" i="16" s="1"/>
  <c r="AK11" i="19"/>
  <c r="AM11" i="19" s="1"/>
  <c r="AK12" i="16"/>
  <c r="AM12" i="16" s="1"/>
  <c r="AK11" i="18"/>
  <c r="AM11" i="18" s="1"/>
  <c r="AK21" i="19"/>
  <c r="AM21" i="19" s="1"/>
  <c r="AK21" i="18"/>
  <c r="AM21" i="18" s="1"/>
  <c r="AK10" i="14"/>
  <c r="AM10" i="14" s="1"/>
  <c r="AK16" i="14"/>
  <c r="AM16" i="14" s="1"/>
  <c r="AK10" i="17"/>
  <c r="AM10" i="17" s="1"/>
  <c r="AK15" i="18"/>
  <c r="AM15" i="18" s="1"/>
  <c r="AK6" i="14"/>
  <c r="AM6" i="14" s="1"/>
  <c r="AK18" i="19"/>
  <c r="AM18" i="19" s="1"/>
  <c r="AK16" i="17"/>
  <c r="AM16" i="17" s="1"/>
  <c r="AK17" i="17"/>
  <c r="AM17" i="17" s="1"/>
  <c r="AK21" i="14"/>
  <c r="AM21" i="14" s="1"/>
  <c r="AK8" i="17"/>
  <c r="AM8" i="17" s="1"/>
  <c r="AK7" i="17"/>
  <c r="AM7" i="17" s="1"/>
  <c r="AK15" i="16"/>
  <c r="AM15" i="16" s="1"/>
  <c r="AK14" i="18"/>
  <c r="AM14" i="18" s="1"/>
  <c r="AK12" i="18"/>
  <c r="AM12" i="18" s="1"/>
  <c r="AK8" i="19"/>
  <c r="AM8" i="19" s="1"/>
  <c r="AK13" i="19"/>
  <c r="AM13" i="19" s="1"/>
  <c r="AK13" i="18"/>
  <c r="AM13" i="18" s="1"/>
  <c r="AK13" i="17"/>
  <c r="AM13" i="17" s="1"/>
  <c r="AK13" i="14"/>
  <c r="AM13" i="14" s="1"/>
  <c r="AK9" i="14"/>
  <c r="AM9" i="14" s="1"/>
  <c r="AK16" i="19"/>
  <c r="AM16" i="19" s="1"/>
  <c r="AK14" i="19"/>
  <c r="AM14" i="19" s="1"/>
  <c r="AK16" i="16"/>
  <c r="AM16" i="16" s="1"/>
  <c r="AK15" i="17"/>
  <c r="AM15" i="17" s="1"/>
  <c r="AK20" i="14"/>
  <c r="AM20" i="14" s="1"/>
  <c r="AK19" i="16"/>
  <c r="AM19" i="16" s="1"/>
  <c r="AK13" i="16"/>
  <c r="AM13" i="16" s="1"/>
  <c r="AK17" i="18"/>
  <c r="AM17" i="18" s="1"/>
  <c r="AK14" i="14"/>
  <c r="AM14" i="14" s="1"/>
  <c r="AK8" i="18"/>
  <c r="AM8" i="18" s="1"/>
  <c r="AK19" i="14"/>
  <c r="AM19" i="14" s="1"/>
  <c r="AK11" i="17"/>
  <c r="AM11" i="17" s="1"/>
  <c r="AK9" i="17"/>
  <c r="AM9" i="17" s="1"/>
  <c r="AK19" i="18"/>
  <c r="AM19" i="18" s="1"/>
  <c r="AK14" i="17"/>
  <c r="AM14" i="17" s="1"/>
  <c r="AK19" i="19"/>
  <c r="AM19" i="19" s="1"/>
  <c r="AK6" i="16"/>
  <c r="AM6" i="16" s="1"/>
  <c r="AK8" i="16"/>
  <c r="AM8" i="16" s="1"/>
  <c r="AK7" i="14"/>
  <c r="AM7" i="14" s="1"/>
  <c r="AK20" i="19"/>
  <c r="AM20" i="19" s="1"/>
  <c r="AK21" i="16"/>
  <c r="AM21" i="16" s="1"/>
  <c r="AK6" i="19"/>
  <c r="AM6" i="19" s="1"/>
  <c r="AK6" i="18"/>
  <c r="AM6" i="18" s="1"/>
  <c r="AK18" i="18"/>
  <c r="AM18" i="18" s="1"/>
  <c r="AK20" i="16"/>
  <c r="AM20" i="16" s="1"/>
  <c r="AK17" i="16"/>
  <c r="AM17" i="16" s="1"/>
  <c r="AK19" i="17"/>
  <c r="AM19" i="17" s="1"/>
  <c r="AK14" i="16"/>
  <c r="AM14" i="16" s="1"/>
  <c r="AK18" i="16"/>
  <c r="AM18" i="16" s="1"/>
  <c r="AK11" i="14"/>
  <c r="AM11" i="14" s="1"/>
  <c r="AK15" i="14"/>
  <c r="AM15" i="14" s="1"/>
  <c r="AK6" i="17"/>
  <c r="AM6" i="17" s="1"/>
  <c r="AK7" i="19"/>
  <c r="AM7" i="19" s="1"/>
  <c r="AK22" i="17"/>
  <c r="AM22" i="17" s="1"/>
  <c r="AK23" i="16"/>
  <c r="AM23" i="16" s="1"/>
  <c r="AK22" i="19"/>
  <c r="AM22" i="19" s="1"/>
  <c r="AK22" i="14"/>
  <c r="AM22" i="14" s="1"/>
  <c r="AK22" i="18"/>
  <c r="AM22" i="18" s="1"/>
  <c r="AK24" i="16"/>
  <c r="AM24" i="16" s="1"/>
  <c r="H97" i="1"/>
  <c r="AW9" i="14"/>
  <c r="AY9" i="14" s="1"/>
  <c r="AW7" i="19"/>
  <c r="AY7" i="19" s="1"/>
  <c r="AW7" i="17"/>
  <c r="AY7" i="17" s="1"/>
  <c r="AW12" i="16"/>
  <c r="AY12" i="16" s="1"/>
  <c r="AW16" i="16"/>
  <c r="AY16" i="16" s="1"/>
  <c r="AW16" i="18"/>
  <c r="AY16" i="18" s="1"/>
  <c r="AW12" i="19"/>
  <c r="AY12" i="19" s="1"/>
  <c r="AW12" i="17"/>
  <c r="AY12" i="17" s="1"/>
  <c r="AW4" i="16"/>
  <c r="AY4" i="16" s="1"/>
  <c r="AW21" i="16"/>
  <c r="AY21" i="16" s="1"/>
  <c r="AW7" i="14"/>
  <c r="AY7" i="14" s="1"/>
  <c r="AW11" i="14"/>
  <c r="AY11" i="14" s="1"/>
  <c r="AW13" i="19"/>
  <c r="AY13" i="19" s="1"/>
  <c r="AW5" i="18"/>
  <c r="AY5" i="18" s="1"/>
  <c r="BC5" i="18" s="1"/>
  <c r="AW8" i="14"/>
  <c r="AY8" i="14" s="1"/>
  <c r="AW5" i="19"/>
  <c r="AY5" i="19" s="1"/>
  <c r="BC5" i="19" s="1"/>
  <c r="AW9" i="18"/>
  <c r="AY9" i="18" s="1"/>
  <c r="AW14" i="16"/>
  <c r="AY14" i="16" s="1"/>
  <c r="AW14" i="19"/>
  <c r="AY14" i="19" s="1"/>
  <c r="AW10" i="19"/>
  <c r="AY10" i="19" s="1"/>
  <c r="AW11" i="16"/>
  <c r="AY11" i="16" s="1"/>
  <c r="AW20" i="16"/>
  <c r="AY20" i="16" s="1"/>
  <c r="AW18" i="18"/>
  <c r="AY18" i="18" s="1"/>
  <c r="AW20" i="19"/>
  <c r="AY20" i="19" s="1"/>
  <c r="AW19" i="14"/>
  <c r="AY19" i="14" s="1"/>
  <c r="AW18" i="14"/>
  <c r="AY18" i="14" s="1"/>
  <c r="AW19" i="18"/>
  <c r="AY19" i="18" s="1"/>
  <c r="AW8" i="16"/>
  <c r="AY8" i="16" s="1"/>
  <c r="AW11" i="17"/>
  <c r="AY11" i="17" s="1"/>
  <c r="AW13" i="16"/>
  <c r="AY13" i="16" s="1"/>
  <c r="AW9" i="16"/>
  <c r="AY9" i="16" s="1"/>
  <c r="AW8" i="19"/>
  <c r="AY8" i="19" s="1"/>
  <c r="AW17" i="16"/>
  <c r="AY17" i="16" s="1"/>
  <c r="AW20" i="17"/>
  <c r="AY20" i="17" s="1"/>
  <c r="AW14" i="14"/>
  <c r="AY14" i="14" s="1"/>
  <c r="AW4" i="14"/>
  <c r="AW14" i="17"/>
  <c r="AY14" i="17" s="1"/>
  <c r="AW20" i="18"/>
  <c r="AY20" i="18" s="1"/>
  <c r="AW10" i="14"/>
  <c r="AY10" i="14" s="1"/>
  <c r="AW6" i="17"/>
  <c r="AY6" i="17" s="1"/>
  <c r="AW4" i="17"/>
  <c r="AY4" i="17" s="1"/>
  <c r="AW18" i="16"/>
  <c r="AY18" i="16" s="1"/>
  <c r="AW18" i="19"/>
  <c r="AY18" i="19" s="1"/>
  <c r="AW6" i="16"/>
  <c r="AY6" i="16" s="1"/>
  <c r="AW9" i="19"/>
  <c r="AY9" i="19" s="1"/>
  <c r="AW10" i="18"/>
  <c r="AY10" i="18" s="1"/>
  <c r="AW19" i="17"/>
  <c r="AY19" i="17" s="1"/>
  <c r="AW6" i="18"/>
  <c r="AY6" i="18" s="1"/>
  <c r="AW6" i="19"/>
  <c r="AY6" i="19" s="1"/>
  <c r="AW6" i="14"/>
  <c r="AY6" i="14" s="1"/>
  <c r="AW17" i="19"/>
  <c r="AY17" i="19" s="1"/>
  <c r="AW15" i="17"/>
  <c r="AY15" i="17" s="1"/>
  <c r="AW18" i="17"/>
  <c r="AY18" i="17" s="1"/>
  <c r="AW7" i="18"/>
  <c r="AY7" i="18" s="1"/>
  <c r="AW8" i="18"/>
  <c r="AY8" i="18" s="1"/>
  <c r="AW19" i="19"/>
  <c r="AY19" i="19" s="1"/>
  <c r="AW4" i="19"/>
  <c r="AY4" i="19" s="1"/>
  <c r="AW4" i="18"/>
  <c r="AY4" i="18" s="1"/>
  <c r="AW12" i="18"/>
  <c r="AY12" i="18" s="1"/>
  <c r="AW13" i="14"/>
  <c r="AY13" i="14" s="1"/>
  <c r="AW16" i="14"/>
  <c r="AY16" i="14" s="1"/>
  <c r="AW15" i="19"/>
  <c r="AY15" i="19" s="1"/>
  <c r="AW13" i="17"/>
  <c r="AY13" i="17" s="1"/>
  <c r="AW17" i="17"/>
  <c r="AY17" i="17" s="1"/>
  <c r="AW5" i="17"/>
  <c r="AY5" i="17" s="1"/>
  <c r="BC5" i="17" s="1"/>
  <c r="AW7" i="16"/>
  <c r="AY7" i="16" s="1"/>
  <c r="AW10" i="17"/>
  <c r="AY10" i="17" s="1"/>
  <c r="AW5" i="14"/>
  <c r="AY5" i="14" s="1"/>
  <c r="BC5" i="14" s="1"/>
  <c r="AW17" i="14"/>
  <c r="AY17" i="14" s="1"/>
  <c r="AW15" i="14"/>
  <c r="AY15" i="14" s="1"/>
  <c r="AW11" i="19"/>
  <c r="AY11" i="19" s="1"/>
  <c r="AW11" i="18"/>
  <c r="AY11" i="18" s="1"/>
  <c r="AW15" i="18"/>
  <c r="AY15" i="18" s="1"/>
  <c r="AW5" i="16"/>
  <c r="AY5" i="16" s="1"/>
  <c r="BC5" i="16" s="1"/>
  <c r="AW16" i="19"/>
  <c r="AY16" i="19" s="1"/>
  <c r="AW16" i="17"/>
  <c r="AY16" i="17" s="1"/>
  <c r="AW19" i="16"/>
  <c r="AY19" i="16" s="1"/>
  <c r="AW8" i="17"/>
  <c r="AY8" i="17" s="1"/>
  <c r="AW12" i="14"/>
  <c r="AY12" i="14" s="1"/>
  <c r="AW20" i="14"/>
  <c r="AY20" i="14" s="1"/>
  <c r="AW10" i="16"/>
  <c r="AY10" i="16" s="1"/>
  <c r="AW9" i="17"/>
  <c r="AY9" i="17" s="1"/>
  <c r="AW13" i="18"/>
  <c r="AY13" i="18" s="1"/>
  <c r="AW17" i="18"/>
  <c r="AY17" i="18" s="1"/>
  <c r="AW14" i="18"/>
  <c r="AY14" i="18" s="1"/>
  <c r="AW15" i="16"/>
  <c r="AY15" i="16" s="1"/>
  <c r="AW21" i="19"/>
  <c r="AY21" i="19" s="1"/>
  <c r="AW22" i="16"/>
  <c r="AY22" i="16" s="1"/>
  <c r="AW21" i="14"/>
  <c r="AY21" i="14" s="1"/>
  <c r="AW21" i="17"/>
  <c r="AY21" i="17" s="1"/>
  <c r="AW21" i="18"/>
  <c r="AY21" i="18" s="1"/>
  <c r="AW23" i="16"/>
  <c r="AY23" i="16" s="1"/>
  <c r="AW22" i="18"/>
  <c r="AY22" i="18" s="1"/>
  <c r="AW22" i="14"/>
  <c r="AY22" i="14" s="1"/>
  <c r="AW22" i="17"/>
  <c r="AY22" i="17" s="1"/>
  <c r="AW22" i="19"/>
  <c r="AY22" i="19" s="1"/>
  <c r="BI24" i="14"/>
  <c r="BK24" i="14" s="1"/>
  <c r="BI24" i="16"/>
  <c r="BK24" i="16" s="1"/>
  <c r="AW23" i="17"/>
  <c r="AY23" i="17" s="1"/>
  <c r="Y23" i="18"/>
  <c r="AA23" i="18" s="1"/>
  <c r="H112" i="1"/>
  <c r="BI6" i="17"/>
  <c r="BK6" i="17" s="1"/>
  <c r="BI8" i="17"/>
  <c r="BK8" i="17" s="1"/>
  <c r="BI11" i="19"/>
  <c r="BK11" i="19" s="1"/>
  <c r="BI18" i="16"/>
  <c r="BK18" i="16" s="1"/>
  <c r="BI4" i="16"/>
  <c r="BK4" i="16" s="1"/>
  <c r="BI4" i="14"/>
  <c r="BI16" i="16"/>
  <c r="BK16" i="16" s="1"/>
  <c r="BI12" i="18"/>
  <c r="BK12" i="18" s="1"/>
  <c r="BI19" i="19"/>
  <c r="BK19" i="19" s="1"/>
  <c r="BI5" i="17"/>
  <c r="BK5" i="17" s="1"/>
  <c r="BO5" i="17" s="1"/>
  <c r="BI18" i="14"/>
  <c r="BK18" i="14" s="1"/>
  <c r="BI5" i="19"/>
  <c r="BK5" i="19" s="1"/>
  <c r="BO5" i="19" s="1"/>
  <c r="BI20" i="16"/>
  <c r="BK20" i="16" s="1"/>
  <c r="BI8" i="19"/>
  <c r="BK8" i="19" s="1"/>
  <c r="BI18" i="17"/>
  <c r="BK18" i="17" s="1"/>
  <c r="BI10" i="14"/>
  <c r="BK10" i="14" s="1"/>
  <c r="BI19" i="17"/>
  <c r="BK19" i="17" s="1"/>
  <c r="BI6" i="18"/>
  <c r="BK6" i="18" s="1"/>
  <c r="BI9" i="19"/>
  <c r="BK9" i="19" s="1"/>
  <c r="BI15" i="17"/>
  <c r="BK15" i="17" s="1"/>
  <c r="BI14" i="14"/>
  <c r="BK14" i="14" s="1"/>
  <c r="BI11" i="16"/>
  <c r="BK11" i="16" s="1"/>
  <c r="BI16" i="18"/>
  <c r="BK16" i="18" s="1"/>
  <c r="BI4" i="17"/>
  <c r="BK4" i="17" s="1"/>
  <c r="BI16" i="19"/>
  <c r="BK16" i="19" s="1"/>
  <c r="BI4" i="18"/>
  <c r="BK4" i="18" s="1"/>
  <c r="BI8" i="18"/>
  <c r="BK8" i="18" s="1"/>
  <c r="BI14" i="19"/>
  <c r="BK14" i="19" s="1"/>
  <c r="BI17" i="17"/>
  <c r="BK17" i="17" s="1"/>
  <c r="BI5" i="18"/>
  <c r="BK5" i="18" s="1"/>
  <c r="BO5" i="18" s="1"/>
  <c r="BI7" i="16"/>
  <c r="BK7" i="16" s="1"/>
  <c r="BI14" i="17"/>
  <c r="BK14" i="17" s="1"/>
  <c r="BI19" i="14"/>
  <c r="BK19" i="14" s="1"/>
  <c r="BI13" i="16"/>
  <c r="BK13" i="16" s="1"/>
  <c r="BI9" i="14"/>
  <c r="BK9" i="14" s="1"/>
  <c r="BI15" i="18"/>
  <c r="BK15" i="18" s="1"/>
  <c r="BI15" i="14"/>
  <c r="BK15" i="14" s="1"/>
  <c r="BI20" i="19"/>
  <c r="BK20" i="19" s="1"/>
  <c r="BI7" i="17"/>
  <c r="BK7" i="17" s="1"/>
  <c r="BI9" i="16"/>
  <c r="BK9" i="16" s="1"/>
  <c r="BI17" i="16"/>
  <c r="BK17" i="16" s="1"/>
  <c r="BI18" i="18"/>
  <c r="BK18" i="18" s="1"/>
  <c r="BI12" i="17"/>
  <c r="BK12" i="17" s="1"/>
  <c r="BI10" i="19"/>
  <c r="BK10" i="19" s="1"/>
  <c r="BI8" i="16"/>
  <c r="BK8" i="16" s="1"/>
  <c r="BI13" i="17"/>
  <c r="BK13" i="17" s="1"/>
  <c r="BI20" i="14"/>
  <c r="BK20" i="14" s="1"/>
  <c r="BI13" i="19"/>
  <c r="BK13" i="19" s="1"/>
  <c r="BI21" i="16"/>
  <c r="BK21" i="16" s="1"/>
  <c r="BI6" i="14"/>
  <c r="BK6" i="14" s="1"/>
  <c r="BI13" i="18"/>
  <c r="BK13" i="18" s="1"/>
  <c r="BI14" i="18"/>
  <c r="BK14" i="18" s="1"/>
  <c r="BI18" i="19"/>
  <c r="BK18" i="19" s="1"/>
  <c r="BI11" i="14"/>
  <c r="BK11" i="14" s="1"/>
  <c r="BI9" i="17"/>
  <c r="BK9" i="17" s="1"/>
  <c r="BI5" i="14"/>
  <c r="BK5" i="14" s="1"/>
  <c r="BO5" i="14" s="1"/>
  <c r="BI12" i="14"/>
  <c r="BK12" i="14" s="1"/>
  <c r="BI11" i="17"/>
  <c r="BK11" i="17" s="1"/>
  <c r="BI20" i="18"/>
  <c r="BK20" i="18" s="1"/>
  <c r="BI20" i="17"/>
  <c r="BK20" i="17" s="1"/>
  <c r="BI6" i="16"/>
  <c r="BK6" i="16" s="1"/>
  <c r="BI13" i="14"/>
  <c r="BK13" i="14" s="1"/>
  <c r="BI16" i="14"/>
  <c r="BK16" i="14" s="1"/>
  <c r="BI10" i="16"/>
  <c r="BK10" i="16" s="1"/>
  <c r="BI7" i="18"/>
  <c r="BK7" i="18" s="1"/>
  <c r="BI17" i="14"/>
  <c r="BK17" i="14" s="1"/>
  <c r="BI4" i="19"/>
  <c r="BK4" i="19" s="1"/>
  <c r="BI10" i="17"/>
  <c r="BK10" i="17" s="1"/>
  <c r="BI10" i="18"/>
  <c r="BK10" i="18" s="1"/>
  <c r="BI12" i="19"/>
  <c r="BK12" i="19" s="1"/>
  <c r="BI15" i="19"/>
  <c r="BK15" i="19" s="1"/>
  <c r="BI16" i="17"/>
  <c r="BK16" i="17" s="1"/>
  <c r="BI11" i="18"/>
  <c r="BK11" i="18" s="1"/>
  <c r="BI9" i="18"/>
  <c r="BK9" i="18" s="1"/>
  <c r="BI15" i="16"/>
  <c r="BK15" i="16" s="1"/>
  <c r="BI8" i="14"/>
  <c r="BK8" i="14" s="1"/>
  <c r="BI6" i="19"/>
  <c r="BK6" i="19" s="1"/>
  <c r="BI17" i="18"/>
  <c r="BK17" i="18" s="1"/>
  <c r="BI17" i="19"/>
  <c r="BK17" i="19" s="1"/>
  <c r="BI5" i="16"/>
  <c r="BK5" i="16" s="1"/>
  <c r="BO5" i="16" s="1"/>
  <c r="BI14" i="16"/>
  <c r="BK14" i="16" s="1"/>
  <c r="BI19" i="16"/>
  <c r="BK19" i="16" s="1"/>
  <c r="BI7" i="19"/>
  <c r="BK7" i="19" s="1"/>
  <c r="BI19" i="18"/>
  <c r="BK19" i="18" s="1"/>
  <c r="BI7" i="14"/>
  <c r="BK7" i="14" s="1"/>
  <c r="BI12" i="16"/>
  <c r="BK12" i="16" s="1"/>
  <c r="BI21" i="14"/>
  <c r="BK21" i="14" s="1"/>
  <c r="BI21" i="18"/>
  <c r="BK21" i="18" s="1"/>
  <c r="BI22" i="16"/>
  <c r="BK22" i="16" s="1"/>
  <c r="BI21" i="19"/>
  <c r="BK21" i="19" s="1"/>
  <c r="BI21" i="17"/>
  <c r="BK21" i="17" s="1"/>
  <c r="BI22" i="14"/>
  <c r="BK22" i="14" s="1"/>
  <c r="BI22" i="18"/>
  <c r="BK22" i="18" s="1"/>
  <c r="BI23" i="16"/>
  <c r="BK23" i="16" s="1"/>
  <c r="BI22" i="19"/>
  <c r="BK22" i="19" s="1"/>
  <c r="BI22" i="17"/>
  <c r="BK22" i="17" s="1"/>
  <c r="BI23" i="17"/>
  <c r="BK23" i="17" s="1"/>
  <c r="BI23" i="14"/>
  <c r="BK23" i="14" s="1"/>
  <c r="BI23" i="19"/>
  <c r="BK23" i="19" s="1"/>
  <c r="B25" i="15"/>
  <c r="F24" i="15"/>
  <c r="BL25" i="19"/>
  <c r="BH26" i="19"/>
  <c r="E24" i="19"/>
  <c r="P24" i="19"/>
  <c r="B25" i="19"/>
  <c r="AK24" i="19"/>
  <c r="AM24" i="19" s="1"/>
  <c r="Y24" i="19"/>
  <c r="X25" i="19"/>
  <c r="AB24" i="19"/>
  <c r="BI24" i="19"/>
  <c r="BK24" i="19" s="1"/>
  <c r="AW24" i="19"/>
  <c r="AY24" i="19" s="1"/>
  <c r="AZ25" i="19"/>
  <c r="AV26" i="19"/>
  <c r="AJ25" i="19"/>
  <c r="AN24" i="19"/>
  <c r="AV26" i="18"/>
  <c r="AZ25" i="18"/>
  <c r="B25" i="18"/>
  <c r="E24" i="18"/>
  <c r="P24" i="18"/>
  <c r="BI24" i="18"/>
  <c r="BK24" i="18" s="1"/>
  <c r="AW24" i="18"/>
  <c r="AY24" i="18" s="1"/>
  <c r="AB24" i="18"/>
  <c r="AK24" i="18"/>
  <c r="AM24" i="18" s="1"/>
  <c r="Y24" i="18"/>
  <c r="AA24" i="18" s="1"/>
  <c r="X25" i="18"/>
  <c r="BH25" i="18"/>
  <c r="BL24" i="18"/>
  <c r="AN25" i="18"/>
  <c r="AJ26" i="18"/>
  <c r="BL27" i="17"/>
  <c r="BH28" i="17"/>
  <c r="AN26" i="17"/>
  <c r="AJ27" i="17"/>
  <c r="AB24" i="17"/>
  <c r="AK24" i="17"/>
  <c r="AM24" i="17" s="1"/>
  <c r="X25" i="17"/>
  <c r="Y24" i="17"/>
  <c r="AA24" i="17" s="1"/>
  <c r="BI24" i="17"/>
  <c r="BK24" i="17" s="1"/>
  <c r="AW24" i="17"/>
  <c r="AY24" i="17" s="1"/>
  <c r="AZ25" i="17"/>
  <c r="AV26" i="17"/>
  <c r="P24" i="17"/>
  <c r="E24" i="17"/>
  <c r="B25" i="17"/>
  <c r="B26" i="16"/>
  <c r="E25" i="16"/>
  <c r="P25" i="16"/>
  <c r="AV26" i="16"/>
  <c r="AZ25" i="16"/>
  <c r="AJ25" i="16"/>
  <c r="AN24" i="16"/>
  <c r="BI25" i="16"/>
  <c r="BK25" i="16" s="1"/>
  <c r="AK25" i="16"/>
  <c r="AM25" i="16" s="1"/>
  <c r="Y25" i="16"/>
  <c r="AA25" i="16" s="1"/>
  <c r="AW25" i="16"/>
  <c r="AY25" i="16" s="1"/>
  <c r="AB25" i="16"/>
  <c r="X26" i="16"/>
  <c r="BH27" i="16"/>
  <c r="BL26" i="16"/>
  <c r="BH25" i="14"/>
  <c r="BL24" i="14"/>
  <c r="P24" i="14"/>
  <c r="E24" i="14"/>
  <c r="AV66" i="14"/>
  <c r="AZ65" i="14"/>
  <c r="AK24" i="14"/>
  <c r="AM24" i="14" s="1"/>
  <c r="AW24" i="14"/>
  <c r="AY24" i="14" s="1"/>
  <c r="AJ25" i="14"/>
  <c r="AN24" i="14"/>
  <c r="X25" i="14"/>
  <c r="BI25" i="14" s="1"/>
  <c r="BK25" i="14" s="1"/>
  <c r="Y24" i="14"/>
  <c r="AA24" i="14" s="1"/>
  <c r="AB24" i="14"/>
  <c r="B25" i="14"/>
  <c r="BK4" i="14" l="1"/>
  <c r="AY4" i="14"/>
  <c r="AM4" i="14"/>
  <c r="AA13" i="19"/>
  <c r="AA16" i="19"/>
  <c r="AA21" i="19"/>
  <c r="AA18" i="19"/>
  <c r="AA8" i="19"/>
  <c r="AA11" i="19"/>
  <c r="AA22" i="19"/>
  <c r="AA17" i="19"/>
  <c r="AA7" i="19"/>
  <c r="AA19" i="19"/>
  <c r="AA4" i="14"/>
  <c r="AA20" i="19"/>
  <c r="AA14" i="19"/>
  <c r="AA9" i="19"/>
  <c r="AA4" i="19"/>
  <c r="AA15" i="19"/>
  <c r="AA10" i="19"/>
  <c r="AA5" i="19"/>
  <c r="AA12" i="19"/>
  <c r="AA6" i="19"/>
  <c r="AS5" i="18"/>
  <c r="AR5" i="18"/>
  <c r="AG5" i="16"/>
  <c r="AF5" i="16"/>
  <c r="BE5" i="14"/>
  <c r="BA6" i="14" s="1"/>
  <c r="BB6" i="14" s="1"/>
  <c r="BD5" i="14"/>
  <c r="AR5" i="14"/>
  <c r="AS5" i="14"/>
  <c r="AO6" i="14" s="1"/>
  <c r="AP6" i="14" s="1"/>
  <c r="AF5" i="17"/>
  <c r="AG5" i="17"/>
  <c r="BE5" i="16"/>
  <c r="BD5" i="16"/>
  <c r="BE5" i="17"/>
  <c r="BD5" i="17"/>
  <c r="BE5" i="19"/>
  <c r="BD5" i="19"/>
  <c r="AR5" i="19"/>
  <c r="AS5" i="19"/>
  <c r="AS5" i="17"/>
  <c r="AR5" i="17"/>
  <c r="AF5" i="18"/>
  <c r="AG5" i="18"/>
  <c r="AR5" i="16"/>
  <c r="AS5" i="16"/>
  <c r="BE5" i="18"/>
  <c r="BD5" i="18"/>
  <c r="AF5" i="14"/>
  <c r="AG5" i="14"/>
  <c r="AC6" i="14" s="1"/>
  <c r="BQ5" i="18"/>
  <c r="BP5" i="18"/>
  <c r="BQ5" i="17"/>
  <c r="BP5" i="17"/>
  <c r="BQ5" i="19"/>
  <c r="BP5" i="19"/>
  <c r="BP5" i="16"/>
  <c r="BQ5" i="16"/>
  <c r="BP5" i="14"/>
  <c r="BQ5" i="14"/>
  <c r="BM6" i="14" s="1"/>
  <c r="BN6" i="14" s="1"/>
  <c r="AA24" i="19"/>
  <c r="B26" i="15"/>
  <c r="F25" i="15"/>
  <c r="Y25" i="19"/>
  <c r="BI25" i="19"/>
  <c r="BK25" i="19" s="1"/>
  <c r="AW25" i="19"/>
  <c r="AY25" i="19" s="1"/>
  <c r="AK25" i="19"/>
  <c r="AM25" i="19" s="1"/>
  <c r="AB25" i="19"/>
  <c r="X26" i="19"/>
  <c r="AJ26" i="19"/>
  <c r="AN25" i="19"/>
  <c r="BL26" i="19"/>
  <c r="BH27" i="19"/>
  <c r="AZ26" i="19"/>
  <c r="AV27" i="19"/>
  <c r="E25" i="19"/>
  <c r="P25" i="19"/>
  <c r="B26" i="19"/>
  <c r="P25" i="18"/>
  <c r="E25" i="18"/>
  <c r="B26" i="18"/>
  <c r="AZ26" i="18"/>
  <c r="AV27" i="18"/>
  <c r="AJ27" i="18"/>
  <c r="AN26" i="18"/>
  <c r="AW25" i="18"/>
  <c r="AY25" i="18" s="1"/>
  <c r="AB25" i="18"/>
  <c r="AK25" i="18"/>
  <c r="AM25" i="18" s="1"/>
  <c r="X26" i="18"/>
  <c r="Y25" i="18"/>
  <c r="AA25" i="18" s="1"/>
  <c r="BI25" i="18"/>
  <c r="BK25" i="18" s="1"/>
  <c r="BL25" i="18"/>
  <c r="BH26" i="18"/>
  <c r="P25" i="17"/>
  <c r="E25" i="17"/>
  <c r="B26" i="17"/>
  <c r="BL28" i="17"/>
  <c r="BH29" i="17"/>
  <c r="AZ26" i="17"/>
  <c r="AV27" i="17"/>
  <c r="X26" i="17"/>
  <c r="Y25" i="17"/>
  <c r="AA25" i="17" s="1"/>
  <c r="BI25" i="17"/>
  <c r="BK25" i="17" s="1"/>
  <c r="AW25" i="17"/>
  <c r="AY25" i="17" s="1"/>
  <c r="AK25" i="17"/>
  <c r="AM25" i="17" s="1"/>
  <c r="AB25" i="17"/>
  <c r="AN27" i="17"/>
  <c r="AJ28" i="17"/>
  <c r="AV27" i="16"/>
  <c r="AZ26" i="16"/>
  <c r="BH28" i="16"/>
  <c r="BL27" i="16"/>
  <c r="E26" i="16"/>
  <c r="B27" i="16"/>
  <c r="P26" i="16"/>
  <c r="AW26" i="16"/>
  <c r="AY26" i="16" s="1"/>
  <c r="Y26" i="16"/>
  <c r="AA26" i="16" s="1"/>
  <c r="AK26" i="16"/>
  <c r="AM26" i="16" s="1"/>
  <c r="AB26" i="16"/>
  <c r="X27" i="16"/>
  <c r="BI26" i="16"/>
  <c r="BK26" i="16" s="1"/>
  <c r="AJ26" i="16"/>
  <c r="AN25" i="16"/>
  <c r="BH26" i="14"/>
  <c r="BL25" i="14"/>
  <c r="P25" i="14"/>
  <c r="E25" i="14"/>
  <c r="AK25" i="14"/>
  <c r="AM25" i="14" s="1"/>
  <c r="AW25" i="14"/>
  <c r="AY25" i="14" s="1"/>
  <c r="AV67" i="14"/>
  <c r="AZ66" i="14"/>
  <c r="AJ26" i="14"/>
  <c r="AN25" i="14"/>
  <c r="X26" i="14"/>
  <c r="BI26" i="14" s="1"/>
  <c r="BK26" i="14" s="1"/>
  <c r="AB25" i="14"/>
  <c r="Y25" i="14"/>
  <c r="AA25" i="14" s="1"/>
  <c r="B26" i="14"/>
  <c r="AE5" i="19" l="1"/>
  <c r="BA6" i="19"/>
  <c r="AO6" i="19"/>
  <c r="BM6" i="18"/>
  <c r="BN6" i="18" s="1"/>
  <c r="BO6" i="18" s="1"/>
  <c r="BQ6" i="18" s="1"/>
  <c r="BM7" i="18" s="1"/>
  <c r="BN7" i="18" s="1"/>
  <c r="BA6" i="18"/>
  <c r="BB6" i="18" s="1"/>
  <c r="BC6" i="18" s="1"/>
  <c r="BE6" i="18" s="1"/>
  <c r="BA7" i="18" s="1"/>
  <c r="BB7" i="18" s="1"/>
  <c r="AO6" i="18"/>
  <c r="AC6" i="18"/>
  <c r="AD6" i="18" s="1"/>
  <c r="AE6" i="18" s="1"/>
  <c r="AG6" i="18" s="1"/>
  <c r="AC7" i="18" s="1"/>
  <c r="AD7" i="18" s="1"/>
  <c r="BM6" i="17"/>
  <c r="BN6" i="17" s="1"/>
  <c r="BO6" i="17" s="1"/>
  <c r="BQ6" i="17" s="1"/>
  <c r="BM7" i="17" s="1"/>
  <c r="BN7" i="17" s="1"/>
  <c r="BA6" i="17"/>
  <c r="BB6" i="17" s="1"/>
  <c r="AO6" i="17"/>
  <c r="AP6" i="17" s="1"/>
  <c r="AQ6" i="17" s="1"/>
  <c r="AS6" i="17" s="1"/>
  <c r="AO7" i="17" s="1"/>
  <c r="AP7" i="17" s="1"/>
  <c r="AC6" i="17"/>
  <c r="AD6" i="17" s="1"/>
  <c r="AE6" i="17" s="1"/>
  <c r="AG6" i="17" s="1"/>
  <c r="AC7" i="17" s="1"/>
  <c r="BM6" i="16"/>
  <c r="BN6" i="16" s="1"/>
  <c r="BO6" i="16" s="1"/>
  <c r="BQ6" i="16" s="1"/>
  <c r="BM7" i="16" s="1"/>
  <c r="BA6" i="16"/>
  <c r="BB6" i="16" s="1"/>
  <c r="AO6" i="16"/>
  <c r="AP6" i="16" s="1"/>
  <c r="AC6" i="16"/>
  <c r="BC6" i="14"/>
  <c r="BE6" i="14" s="1"/>
  <c r="BA7" i="14" s="1"/>
  <c r="BB7" i="14" s="1"/>
  <c r="AQ6" i="14"/>
  <c r="AS6" i="14" s="1"/>
  <c r="AO7" i="14" s="1"/>
  <c r="AD6" i="14"/>
  <c r="AE6" i="14" s="1"/>
  <c r="AG6" i="14" s="1"/>
  <c r="AC7" i="14" s="1"/>
  <c r="AD7" i="14" s="1"/>
  <c r="AE7" i="14" s="1"/>
  <c r="BO6" i="14"/>
  <c r="BQ6" i="14" s="1"/>
  <c r="BM7" i="14" s="1"/>
  <c r="BN7" i="14" s="1"/>
  <c r="BM6" i="19"/>
  <c r="BN6" i="19" s="1"/>
  <c r="AA25" i="19"/>
  <c r="B27" i="15"/>
  <c r="F26" i="15"/>
  <c r="BH28" i="19"/>
  <c r="BL27" i="19"/>
  <c r="X27" i="19"/>
  <c r="BI26" i="19"/>
  <c r="BK26" i="19" s="1"/>
  <c r="AW26" i="19"/>
  <c r="AY26" i="19" s="1"/>
  <c r="AB26" i="19"/>
  <c r="Y26" i="19"/>
  <c r="AK26" i="19"/>
  <c r="AM26" i="19" s="1"/>
  <c r="AZ27" i="19"/>
  <c r="AV28" i="19"/>
  <c r="AJ27" i="19"/>
  <c r="AN26" i="19"/>
  <c r="B27" i="19"/>
  <c r="E26" i="19"/>
  <c r="P26" i="19"/>
  <c r="AZ27" i="18"/>
  <c r="AV28" i="18"/>
  <c r="BL26" i="18"/>
  <c r="BH27" i="18"/>
  <c r="AN27" i="18"/>
  <c r="AJ28" i="18"/>
  <c r="P26" i="18"/>
  <c r="E26" i="18"/>
  <c r="B27" i="18"/>
  <c r="AB26" i="18"/>
  <c r="AK26" i="18"/>
  <c r="AM26" i="18" s="1"/>
  <c r="X27" i="18"/>
  <c r="Y26" i="18"/>
  <c r="AA26" i="18" s="1"/>
  <c r="BI26" i="18"/>
  <c r="BK26" i="18" s="1"/>
  <c r="AW26" i="18"/>
  <c r="AY26" i="18" s="1"/>
  <c r="AJ29" i="17"/>
  <c r="AN28" i="17"/>
  <c r="AV28" i="17"/>
  <c r="AZ27" i="17"/>
  <c r="B27" i="17"/>
  <c r="E26" i="17"/>
  <c r="P26" i="17"/>
  <c r="BI26" i="17"/>
  <c r="BK26" i="17" s="1"/>
  <c r="AW26" i="17"/>
  <c r="AY26" i="17" s="1"/>
  <c r="AB26" i="17"/>
  <c r="AK26" i="17"/>
  <c r="AM26" i="17" s="1"/>
  <c r="Y26" i="17"/>
  <c r="AA26" i="17" s="1"/>
  <c r="X27" i="17"/>
  <c r="BL29" i="17"/>
  <c r="BH30" i="17"/>
  <c r="P27" i="16"/>
  <c r="B28" i="16"/>
  <c r="E27" i="16"/>
  <c r="AZ27" i="16"/>
  <c r="AV28" i="16"/>
  <c r="AK27" i="16"/>
  <c r="AM27" i="16" s="1"/>
  <c r="BI27" i="16"/>
  <c r="BK27" i="16" s="1"/>
  <c r="Y27" i="16"/>
  <c r="AA27" i="16" s="1"/>
  <c r="X28" i="16"/>
  <c r="AB27" i="16"/>
  <c r="AW27" i="16"/>
  <c r="AY27" i="16" s="1"/>
  <c r="BL28" i="16"/>
  <c r="BH29" i="16"/>
  <c r="AN26" i="16"/>
  <c r="AJ27" i="16"/>
  <c r="BH27" i="14"/>
  <c r="BL26" i="14"/>
  <c r="P26" i="14"/>
  <c r="E26" i="14"/>
  <c r="AV68" i="14"/>
  <c r="AZ67" i="14"/>
  <c r="AK26" i="14"/>
  <c r="AM26" i="14" s="1"/>
  <c r="AW26" i="14"/>
  <c r="AJ27" i="14"/>
  <c r="AN26" i="14"/>
  <c r="X27" i="14"/>
  <c r="BI27" i="14" s="1"/>
  <c r="BK27" i="14" s="1"/>
  <c r="AB26" i="14"/>
  <c r="Y26" i="14"/>
  <c r="B27" i="14"/>
  <c r="AY26" i="14" l="1"/>
  <c r="AA26" i="14"/>
  <c r="AG5" i="19"/>
  <c r="AC6" i="19" s="1"/>
  <c r="AD6" i="19" s="1"/>
  <c r="AF5" i="19"/>
  <c r="BC6" i="16"/>
  <c r="BE6" i="16" s="1"/>
  <c r="BA7" i="16" s="1"/>
  <c r="BB7" i="16" s="1"/>
  <c r="BC7" i="16" s="1"/>
  <c r="BE7" i="16" s="1"/>
  <c r="BA8" i="16" s="1"/>
  <c r="BB8" i="16" s="1"/>
  <c r="BC6" i="17"/>
  <c r="BE6" i="17" s="1"/>
  <c r="BA7" i="17" s="1"/>
  <c r="BB7" i="17" s="1"/>
  <c r="BC7" i="17" s="1"/>
  <c r="BE7" i="17" s="1"/>
  <c r="BA8" i="17" s="1"/>
  <c r="BB8" i="17" s="1"/>
  <c r="BB6" i="19"/>
  <c r="BC6" i="19" s="1"/>
  <c r="BE6" i="19" s="1"/>
  <c r="AP6" i="19"/>
  <c r="AQ6" i="19" s="1"/>
  <c r="AS6" i="19" s="1"/>
  <c r="AP6" i="18"/>
  <c r="AQ6" i="18" s="1"/>
  <c r="AS6" i="18" s="1"/>
  <c r="AF6" i="18"/>
  <c r="AE7" i="18"/>
  <c r="AG7" i="18" s="1"/>
  <c r="AQ6" i="16"/>
  <c r="AS6" i="16" s="1"/>
  <c r="AO7" i="16" s="1"/>
  <c r="AP7" i="16" s="1"/>
  <c r="AQ7" i="16" s="1"/>
  <c r="AS7" i="16" s="1"/>
  <c r="AD6" i="16"/>
  <c r="AE6" i="16" s="1"/>
  <c r="AG6" i="16" s="1"/>
  <c r="BD6" i="18"/>
  <c r="BC7" i="18"/>
  <c r="BE7" i="18" s="1"/>
  <c r="BA8" i="18" s="1"/>
  <c r="BB8" i="18" s="1"/>
  <c r="BC8" i="18" s="1"/>
  <c r="BE8" i="18" s="1"/>
  <c r="BA9" i="18" s="1"/>
  <c r="BB9" i="18" s="1"/>
  <c r="BC9" i="18" s="1"/>
  <c r="BE9" i="18" s="1"/>
  <c r="BA10" i="18" s="1"/>
  <c r="AQ7" i="17"/>
  <c r="AS7" i="17" s="1"/>
  <c r="AO8" i="17" s="1"/>
  <c r="AP8" i="17" s="1"/>
  <c r="AR6" i="17"/>
  <c r="BD6" i="14"/>
  <c r="AR6" i="14"/>
  <c r="AP7" i="14"/>
  <c r="AQ7" i="14" s="1"/>
  <c r="AS7" i="14" s="1"/>
  <c r="AO8" i="14" s="1"/>
  <c r="AF6" i="14"/>
  <c r="AD7" i="17"/>
  <c r="AE7" i="17" s="1"/>
  <c r="AG7" i="17" s="1"/>
  <c r="AC8" i="17" s="1"/>
  <c r="BC7" i="14"/>
  <c r="BE7" i="14" s="1"/>
  <c r="BA8" i="14" s="1"/>
  <c r="BB8" i="14" s="1"/>
  <c r="AF6" i="17"/>
  <c r="BP6" i="17"/>
  <c r="BO7" i="14"/>
  <c r="BQ7" i="14" s="1"/>
  <c r="BM8" i="14" s="1"/>
  <c r="BN8" i="14" s="1"/>
  <c r="BO8" i="14" s="1"/>
  <c r="BQ8" i="14" s="1"/>
  <c r="BM9" i="14" s="1"/>
  <c r="BO7" i="18"/>
  <c r="BQ7" i="18" s="1"/>
  <c r="BM8" i="18" s="1"/>
  <c r="BN8" i="18" s="1"/>
  <c r="BO8" i="18" s="1"/>
  <c r="BQ8" i="18" s="1"/>
  <c r="BM9" i="18" s="1"/>
  <c r="BP6" i="18"/>
  <c r="BP6" i="14"/>
  <c r="BP6" i="16"/>
  <c r="BN7" i="16"/>
  <c r="BO7" i="16" s="1"/>
  <c r="BQ7" i="16" s="1"/>
  <c r="BO7" i="17"/>
  <c r="BQ7" i="17" s="1"/>
  <c r="BM8" i="17" s="1"/>
  <c r="BN8" i="17" s="1"/>
  <c r="BO6" i="19"/>
  <c r="BQ6" i="19" s="1"/>
  <c r="AA26" i="19"/>
  <c r="B28" i="15"/>
  <c r="F27" i="15"/>
  <c r="B28" i="19"/>
  <c r="P27" i="19"/>
  <c r="E27" i="19"/>
  <c r="AV29" i="19"/>
  <c r="AZ28" i="19"/>
  <c r="BL28" i="19"/>
  <c r="BH29" i="19"/>
  <c r="AW27" i="19"/>
  <c r="AY27" i="19" s="1"/>
  <c r="AK27" i="19"/>
  <c r="AM27" i="19" s="1"/>
  <c r="X28" i="19"/>
  <c r="AB27" i="19"/>
  <c r="Y27" i="19"/>
  <c r="BI27" i="19"/>
  <c r="BK27" i="19" s="1"/>
  <c r="AN27" i="19"/>
  <c r="AJ28" i="19"/>
  <c r="BL27" i="18"/>
  <c r="BH28" i="18"/>
  <c r="P27" i="18"/>
  <c r="E27" i="18"/>
  <c r="B28" i="18"/>
  <c r="AZ28" i="18"/>
  <c r="AV29" i="18"/>
  <c r="AN28" i="18"/>
  <c r="AJ29" i="18"/>
  <c r="X28" i="18"/>
  <c r="Y27" i="18"/>
  <c r="AA27" i="18" s="1"/>
  <c r="BI27" i="18"/>
  <c r="BK27" i="18" s="1"/>
  <c r="AW27" i="18"/>
  <c r="AY27" i="18" s="1"/>
  <c r="AK27" i="18"/>
  <c r="AM27" i="18" s="1"/>
  <c r="AB27" i="18"/>
  <c r="BH31" i="17"/>
  <c r="BL30" i="17"/>
  <c r="AN29" i="17"/>
  <c r="AJ30" i="17"/>
  <c r="P27" i="17"/>
  <c r="E27" i="17"/>
  <c r="B28" i="17"/>
  <c r="AZ28" i="17"/>
  <c r="AV29" i="17"/>
  <c r="AW27" i="17"/>
  <c r="AY27" i="17" s="1"/>
  <c r="AB27" i="17"/>
  <c r="AK27" i="17"/>
  <c r="AM27" i="17" s="1"/>
  <c r="X28" i="17"/>
  <c r="Y27" i="17"/>
  <c r="AA27" i="17" s="1"/>
  <c r="BI27" i="17"/>
  <c r="BK27" i="17" s="1"/>
  <c r="AV29" i="16"/>
  <c r="AZ28" i="16"/>
  <c r="AN27" i="16"/>
  <c r="AJ28" i="16"/>
  <c r="E28" i="16"/>
  <c r="B29" i="16"/>
  <c r="P28" i="16"/>
  <c r="BH30" i="16"/>
  <c r="BL29" i="16"/>
  <c r="Y28" i="16"/>
  <c r="AA28" i="16" s="1"/>
  <c r="AW28" i="16"/>
  <c r="AY28" i="16" s="1"/>
  <c r="BI28" i="16"/>
  <c r="BK28" i="16" s="1"/>
  <c r="X29" i="16"/>
  <c r="AK28" i="16"/>
  <c r="AM28" i="16" s="1"/>
  <c r="AB28" i="16"/>
  <c r="BH28" i="14"/>
  <c r="BL27" i="14"/>
  <c r="P27" i="14"/>
  <c r="E27" i="14"/>
  <c r="AF7" i="14"/>
  <c r="AG7" i="14"/>
  <c r="AC8" i="14" s="1"/>
  <c r="AK27" i="14"/>
  <c r="AM27" i="14" s="1"/>
  <c r="AW27" i="14"/>
  <c r="AY27" i="14" s="1"/>
  <c r="AV69" i="14"/>
  <c r="AZ68" i="14"/>
  <c r="AJ28" i="14"/>
  <c r="AN27" i="14"/>
  <c r="X28" i="14"/>
  <c r="BI28" i="14" s="1"/>
  <c r="BK28" i="14" s="1"/>
  <c r="AB27" i="14"/>
  <c r="Y27" i="14"/>
  <c r="AA27" i="14" s="1"/>
  <c r="B28" i="14"/>
  <c r="AE6" i="19" l="1"/>
  <c r="AG6" i="19" s="1"/>
  <c r="AC7" i="19" s="1"/>
  <c r="AD7" i="19" s="1"/>
  <c r="BD6" i="17"/>
  <c r="BD7" i="16"/>
  <c r="BD6" i="16"/>
  <c r="BC8" i="16"/>
  <c r="BE8" i="16" s="1"/>
  <c r="BA9" i="16" s="1"/>
  <c r="BB9" i="16" s="1"/>
  <c r="AF7" i="18"/>
  <c r="AR6" i="16"/>
  <c r="BA7" i="19"/>
  <c r="BD6" i="19"/>
  <c r="AO7" i="19"/>
  <c r="AP7" i="19" s="1"/>
  <c r="AR6" i="19"/>
  <c r="AO7" i="18"/>
  <c r="AR6" i="18"/>
  <c r="AC8" i="18"/>
  <c r="BM8" i="16"/>
  <c r="BN8" i="16" s="1"/>
  <c r="BO8" i="16" s="1"/>
  <c r="BQ8" i="16" s="1"/>
  <c r="BM9" i="16" s="1"/>
  <c r="AO8" i="16"/>
  <c r="AP8" i="16" s="1"/>
  <c r="AQ8" i="16" s="1"/>
  <c r="AS8" i="16" s="1"/>
  <c r="AO9" i="16" s="1"/>
  <c r="AC7" i="16"/>
  <c r="AF6" i="16"/>
  <c r="BD8" i="18"/>
  <c r="BD7" i="18"/>
  <c r="BD7" i="17"/>
  <c r="AQ8" i="17"/>
  <c r="AS8" i="17" s="1"/>
  <c r="AO9" i="17" s="1"/>
  <c r="AP9" i="17" s="1"/>
  <c r="AR7" i="17"/>
  <c r="BD7" i="14"/>
  <c r="AF7" i="17"/>
  <c r="AD8" i="17"/>
  <c r="AE8" i="17" s="1"/>
  <c r="AG8" i="17" s="1"/>
  <c r="BC8" i="17"/>
  <c r="BE8" i="17" s="1"/>
  <c r="BA9" i="17" s="1"/>
  <c r="BB9" i="17" s="1"/>
  <c r="AP8" i="14"/>
  <c r="AQ8" i="14" s="1"/>
  <c r="AS8" i="14" s="1"/>
  <c r="AO9" i="14" s="1"/>
  <c r="BC8" i="14"/>
  <c r="BE8" i="14" s="1"/>
  <c r="BA9" i="14" s="1"/>
  <c r="BB9" i="14" s="1"/>
  <c r="AR7" i="14"/>
  <c r="AR7" i="16"/>
  <c r="BP7" i="14"/>
  <c r="BP7" i="17"/>
  <c r="BP6" i="19"/>
  <c r="BP7" i="18"/>
  <c r="BN9" i="18"/>
  <c r="BO9" i="18" s="1"/>
  <c r="BQ9" i="18" s="1"/>
  <c r="BO8" i="17"/>
  <c r="BQ8" i="17" s="1"/>
  <c r="BM9" i="17" s="1"/>
  <c r="BN9" i="17" s="1"/>
  <c r="BP7" i="16"/>
  <c r="BP8" i="18"/>
  <c r="BN9" i="14"/>
  <c r="BM7" i="19"/>
  <c r="BN7" i="19" s="1"/>
  <c r="BP8" i="14"/>
  <c r="AA27" i="19"/>
  <c r="B29" i="15"/>
  <c r="F28" i="15"/>
  <c r="BD9" i="18"/>
  <c r="BB10" i="18"/>
  <c r="BC10" i="18" s="1"/>
  <c r="BE10" i="18" s="1"/>
  <c r="BA11" i="18" s="1"/>
  <c r="BL29" i="19"/>
  <c r="BH30" i="19"/>
  <c r="AN28" i="19"/>
  <c r="AJ29" i="19"/>
  <c r="P28" i="19"/>
  <c r="E28" i="19"/>
  <c r="B29" i="19"/>
  <c r="AB28" i="19"/>
  <c r="AK28" i="19"/>
  <c r="AM28" i="19" s="1"/>
  <c r="X29" i="19"/>
  <c r="Y28" i="19"/>
  <c r="AW28" i="19"/>
  <c r="AY28" i="19" s="1"/>
  <c r="BI28" i="19"/>
  <c r="BK28" i="19" s="1"/>
  <c r="AZ29" i="19"/>
  <c r="AV30" i="19"/>
  <c r="AV30" i="18"/>
  <c r="AZ29" i="18"/>
  <c r="BI28" i="18"/>
  <c r="BK28" i="18" s="1"/>
  <c r="AW28" i="18"/>
  <c r="AY28" i="18" s="1"/>
  <c r="AB28" i="18"/>
  <c r="AK28" i="18"/>
  <c r="AM28" i="18" s="1"/>
  <c r="Y28" i="18"/>
  <c r="AA28" i="18" s="1"/>
  <c r="X29" i="18"/>
  <c r="AN29" i="18"/>
  <c r="AJ30" i="18"/>
  <c r="BH29" i="18"/>
  <c r="BL28" i="18"/>
  <c r="B29" i="18"/>
  <c r="E28" i="18"/>
  <c r="P28" i="18"/>
  <c r="P28" i="17"/>
  <c r="E28" i="17"/>
  <c r="B29" i="17"/>
  <c r="AN30" i="17"/>
  <c r="AJ31" i="17"/>
  <c r="AZ29" i="17"/>
  <c r="AV30" i="17"/>
  <c r="AB28" i="17"/>
  <c r="AK28" i="17"/>
  <c r="AM28" i="17" s="1"/>
  <c r="X29" i="17"/>
  <c r="Y28" i="17"/>
  <c r="AA28" i="17" s="1"/>
  <c r="BI28" i="17"/>
  <c r="BK28" i="17" s="1"/>
  <c r="AW28" i="17"/>
  <c r="AY28" i="17" s="1"/>
  <c r="BL31" i="17"/>
  <c r="BH32" i="17"/>
  <c r="BH31" i="16"/>
  <c r="BL30" i="16"/>
  <c r="AV30" i="16"/>
  <c r="AZ29" i="16"/>
  <c r="BI29" i="16"/>
  <c r="BK29" i="16" s="1"/>
  <c r="AK29" i="16"/>
  <c r="AM29" i="16" s="1"/>
  <c r="AB29" i="16"/>
  <c r="X30" i="16"/>
  <c r="Y29" i="16"/>
  <c r="AA29" i="16" s="1"/>
  <c r="AW29" i="16"/>
  <c r="AY29" i="16" s="1"/>
  <c r="E29" i="16"/>
  <c r="B30" i="16"/>
  <c r="P29" i="16"/>
  <c r="AN28" i="16"/>
  <c r="AJ29" i="16"/>
  <c r="BH29" i="14"/>
  <c r="BL28" i="14"/>
  <c r="P28" i="14"/>
  <c r="E28" i="14"/>
  <c r="AD8" i="14"/>
  <c r="AE8" i="14" s="1"/>
  <c r="AG8" i="14" s="1"/>
  <c r="AC9" i="14" s="1"/>
  <c r="AV70" i="14"/>
  <c r="AZ69" i="14"/>
  <c r="AK28" i="14"/>
  <c r="AM28" i="14" s="1"/>
  <c r="AW28" i="14"/>
  <c r="AJ29" i="14"/>
  <c r="AN28" i="14"/>
  <c r="X29" i="14"/>
  <c r="BI29" i="14" s="1"/>
  <c r="AB28" i="14"/>
  <c r="Y28" i="14"/>
  <c r="AA28" i="14" s="1"/>
  <c r="B29" i="14"/>
  <c r="BK29" i="14" l="1"/>
  <c r="AY28" i="14"/>
  <c r="AF6" i="19"/>
  <c r="AE7" i="19"/>
  <c r="AG7" i="19" s="1"/>
  <c r="AC8" i="19" s="1"/>
  <c r="AD8" i="19" s="1"/>
  <c r="BD8" i="16"/>
  <c r="BC9" i="16"/>
  <c r="BE9" i="16" s="1"/>
  <c r="BA10" i="16" s="1"/>
  <c r="BB10" i="16" s="1"/>
  <c r="BC10" i="16" s="1"/>
  <c r="BE10" i="16" s="1"/>
  <c r="BA11" i="16" s="1"/>
  <c r="BB7" i="19"/>
  <c r="BC7" i="19" s="1"/>
  <c r="BE7" i="19" s="1"/>
  <c r="AQ7" i="19"/>
  <c r="AS7" i="19" s="1"/>
  <c r="BM10" i="18"/>
  <c r="BN10" i="18" s="1"/>
  <c r="BO10" i="18" s="1"/>
  <c r="AP7" i="18"/>
  <c r="AQ7" i="18" s="1"/>
  <c r="AS7" i="18" s="1"/>
  <c r="AD8" i="18"/>
  <c r="AC9" i="17"/>
  <c r="AD9" i="17" s="1"/>
  <c r="AE9" i="17" s="1"/>
  <c r="AG9" i="17" s="1"/>
  <c r="AC10" i="17" s="1"/>
  <c r="AD7" i="16"/>
  <c r="AE7" i="16" s="1"/>
  <c r="AG7" i="16" s="1"/>
  <c r="AR8" i="17"/>
  <c r="AQ9" i="17"/>
  <c r="AS9" i="17" s="1"/>
  <c r="AO10" i="17" s="1"/>
  <c r="AP10" i="17" s="1"/>
  <c r="BD8" i="17"/>
  <c r="BD8" i="14"/>
  <c r="AR8" i="14"/>
  <c r="AR8" i="16"/>
  <c r="AP9" i="16"/>
  <c r="AQ9" i="16" s="1"/>
  <c r="AS9" i="16" s="1"/>
  <c r="AO10" i="16" s="1"/>
  <c r="BC9" i="17"/>
  <c r="BE9" i="17" s="1"/>
  <c r="BA10" i="17" s="1"/>
  <c r="BB10" i="17" s="1"/>
  <c r="AF8" i="17"/>
  <c r="BC9" i="14"/>
  <c r="BE9" i="14" s="1"/>
  <c r="BA10" i="14" s="1"/>
  <c r="AP9" i="14"/>
  <c r="AQ9" i="14" s="1"/>
  <c r="AS9" i="14" s="1"/>
  <c r="AO10" i="14" s="1"/>
  <c r="BN9" i="16"/>
  <c r="BP8" i="16"/>
  <c r="BP9" i="18"/>
  <c r="BP8" i="17"/>
  <c r="BO7" i="19"/>
  <c r="BQ7" i="19" s="1"/>
  <c r="BM8" i="19" s="1"/>
  <c r="BN8" i="19" s="1"/>
  <c r="BO9" i="17"/>
  <c r="BQ9" i="17" s="1"/>
  <c r="BM10" i="17" s="1"/>
  <c r="BN10" i="17" s="1"/>
  <c r="BO9" i="14"/>
  <c r="BQ9" i="14" s="1"/>
  <c r="BM10" i="14" s="1"/>
  <c r="AA28" i="19"/>
  <c r="B30" i="15"/>
  <c r="F29" i="15"/>
  <c r="BB11" i="18"/>
  <c r="BC11" i="18" s="1"/>
  <c r="BE11" i="18" s="1"/>
  <c r="BA12" i="18" s="1"/>
  <c r="BD10" i="18"/>
  <c r="AB29" i="19"/>
  <c r="X30" i="19"/>
  <c r="Y29" i="19"/>
  <c r="BI29" i="19"/>
  <c r="BK29" i="19" s="1"/>
  <c r="AK29" i="19"/>
  <c r="AM29" i="19" s="1"/>
  <c r="AW29" i="19"/>
  <c r="AY29" i="19" s="1"/>
  <c r="P29" i="19"/>
  <c r="E29" i="19"/>
  <c r="B30" i="19"/>
  <c r="BL30" i="19"/>
  <c r="BH31" i="19"/>
  <c r="AJ30" i="19"/>
  <c r="AN29" i="19"/>
  <c r="AZ30" i="19"/>
  <c r="AV31" i="19"/>
  <c r="BL29" i="18"/>
  <c r="BH30" i="18"/>
  <c r="AV31" i="18"/>
  <c r="AZ30" i="18"/>
  <c r="AJ31" i="18"/>
  <c r="AN30" i="18"/>
  <c r="P29" i="18"/>
  <c r="E29" i="18"/>
  <c r="B30" i="18"/>
  <c r="AW29" i="18"/>
  <c r="AY29" i="18" s="1"/>
  <c r="AB29" i="18"/>
  <c r="AK29" i="18"/>
  <c r="AM29" i="18" s="1"/>
  <c r="X30" i="18"/>
  <c r="Y29" i="18"/>
  <c r="AA29" i="18" s="1"/>
  <c r="BI29" i="18"/>
  <c r="BK29" i="18" s="1"/>
  <c r="X30" i="17"/>
  <c r="Y29" i="17"/>
  <c r="AA29" i="17" s="1"/>
  <c r="BI29" i="17"/>
  <c r="BK29" i="17" s="1"/>
  <c r="AW29" i="17"/>
  <c r="AY29" i="17" s="1"/>
  <c r="AK29" i="17"/>
  <c r="AM29" i="17" s="1"/>
  <c r="AB29" i="17"/>
  <c r="BL32" i="17"/>
  <c r="BH33" i="17"/>
  <c r="P29" i="17"/>
  <c r="E29" i="17"/>
  <c r="B30" i="17"/>
  <c r="AZ30" i="17"/>
  <c r="AV31" i="17"/>
  <c r="AN31" i="17"/>
  <c r="AJ32" i="17"/>
  <c r="AV31" i="16"/>
  <c r="AZ30" i="16"/>
  <c r="BL31" i="16"/>
  <c r="BH32" i="16"/>
  <c r="AJ30" i="16"/>
  <c r="AN29" i="16"/>
  <c r="E30" i="16"/>
  <c r="B31" i="16"/>
  <c r="P30" i="16"/>
  <c r="AW30" i="16"/>
  <c r="AY30" i="16" s="1"/>
  <c r="Y30" i="16"/>
  <c r="AA30" i="16" s="1"/>
  <c r="X31" i="16"/>
  <c r="AK30" i="16"/>
  <c r="AM30" i="16" s="1"/>
  <c r="BI30" i="16"/>
  <c r="BK30" i="16" s="1"/>
  <c r="AB30" i="16"/>
  <c r="BH30" i="14"/>
  <c r="BL29" i="14"/>
  <c r="P29" i="14"/>
  <c r="E29" i="14"/>
  <c r="AD9" i="14"/>
  <c r="AE9" i="14" s="1"/>
  <c r="AG9" i="14" s="1"/>
  <c r="AC10" i="14" s="1"/>
  <c r="AF8" i="14"/>
  <c r="AK29" i="14"/>
  <c r="AW29" i="14"/>
  <c r="AY29" i="14" s="1"/>
  <c r="AV71" i="14"/>
  <c r="AZ70" i="14"/>
  <c r="AJ30" i="14"/>
  <c r="AN29" i="14"/>
  <c r="X30" i="14"/>
  <c r="BI30" i="14" s="1"/>
  <c r="BK30" i="14" s="1"/>
  <c r="Y29" i="14"/>
  <c r="AA29" i="14" s="1"/>
  <c r="AB29" i="14"/>
  <c r="B30" i="14"/>
  <c r="AF7" i="19" l="1"/>
  <c r="AM29" i="14"/>
  <c r="AE8" i="19"/>
  <c r="AG8" i="19" s="1"/>
  <c r="AC9" i="19" s="1"/>
  <c r="AD9" i="19" s="1"/>
  <c r="BD9" i="16"/>
  <c r="AR7" i="19"/>
  <c r="BA8" i="19"/>
  <c r="BD7" i="19"/>
  <c r="AO8" i="19"/>
  <c r="AO8" i="18"/>
  <c r="AR7" i="18"/>
  <c r="AE8" i="18"/>
  <c r="AG8" i="18" s="1"/>
  <c r="AC8" i="16"/>
  <c r="AF7" i="16"/>
  <c r="AQ10" i="17"/>
  <c r="AS10" i="17" s="1"/>
  <c r="AO11" i="17" s="1"/>
  <c r="AP11" i="17" s="1"/>
  <c r="AQ11" i="17" s="1"/>
  <c r="AS11" i="17" s="1"/>
  <c r="AO12" i="17" s="1"/>
  <c r="AR9" i="17"/>
  <c r="BD9" i="17"/>
  <c r="AR9" i="16"/>
  <c r="BD9" i="14"/>
  <c r="AR9" i="14"/>
  <c r="AD10" i="17"/>
  <c r="AE10" i="17" s="1"/>
  <c r="AG10" i="17" s="1"/>
  <c r="AC11" i="17" s="1"/>
  <c r="BC10" i="17"/>
  <c r="BE10" i="17" s="1"/>
  <c r="BA11" i="17" s="1"/>
  <c r="BB11" i="17" s="1"/>
  <c r="AP10" i="14"/>
  <c r="AQ10" i="14" s="1"/>
  <c r="AS10" i="14" s="1"/>
  <c r="AO11" i="14" s="1"/>
  <c r="AF9" i="17"/>
  <c r="BB10" i="14"/>
  <c r="BC10" i="14" s="1"/>
  <c r="BE10" i="14" s="1"/>
  <c r="BA11" i="14" s="1"/>
  <c r="AP10" i="16"/>
  <c r="AQ10" i="16" s="1"/>
  <c r="AS10" i="16" s="1"/>
  <c r="AO11" i="16" s="1"/>
  <c r="BQ10" i="18"/>
  <c r="BM11" i="18" s="1"/>
  <c r="BN11" i="18" s="1"/>
  <c r="BO11" i="18" s="1"/>
  <c r="BP10" i="18"/>
  <c r="BP9" i="17"/>
  <c r="BP9" i="14"/>
  <c r="BN10" i="14"/>
  <c r="BO10" i="14" s="1"/>
  <c r="BQ10" i="14" s="1"/>
  <c r="BM11" i="14" s="1"/>
  <c r="BO8" i="19"/>
  <c r="BQ8" i="19" s="1"/>
  <c r="BM9" i="19" s="1"/>
  <c r="BN9" i="19" s="1"/>
  <c r="BO10" i="17"/>
  <c r="BQ10" i="17" s="1"/>
  <c r="BM11" i="17" s="1"/>
  <c r="BN11" i="17" s="1"/>
  <c r="BP7" i="19"/>
  <c r="BO9" i="16"/>
  <c r="BQ9" i="16" s="1"/>
  <c r="AA29" i="19"/>
  <c r="B31" i="15"/>
  <c r="F30" i="15"/>
  <c r="BB11" i="16"/>
  <c r="BC11" i="16" s="1"/>
  <c r="BE11" i="16" s="1"/>
  <c r="BA12" i="16" s="1"/>
  <c r="BD10" i="16"/>
  <c r="BB12" i="18"/>
  <c r="BC12" i="18" s="1"/>
  <c r="BE12" i="18" s="1"/>
  <c r="BA13" i="18" s="1"/>
  <c r="BD11" i="18"/>
  <c r="P30" i="19"/>
  <c r="B31" i="19"/>
  <c r="E30" i="19"/>
  <c r="X31" i="19"/>
  <c r="BI30" i="19"/>
  <c r="BK30" i="19" s="1"/>
  <c r="AW30" i="19"/>
  <c r="AY30" i="19" s="1"/>
  <c r="AB30" i="19"/>
  <c r="Y30" i="19"/>
  <c r="AK30" i="19"/>
  <c r="AM30" i="19" s="1"/>
  <c r="AZ31" i="19"/>
  <c r="AV32" i="19"/>
  <c r="AN30" i="19"/>
  <c r="AJ31" i="19"/>
  <c r="BH32" i="19"/>
  <c r="BL31" i="19"/>
  <c r="P30" i="18"/>
  <c r="E30" i="18"/>
  <c r="B31" i="18"/>
  <c r="AJ32" i="18"/>
  <c r="AN31" i="18"/>
  <c r="BL30" i="18"/>
  <c r="BH31" i="18"/>
  <c r="AV32" i="18"/>
  <c r="AZ31" i="18"/>
  <c r="AB30" i="18"/>
  <c r="AK30" i="18"/>
  <c r="AM30" i="18" s="1"/>
  <c r="Y30" i="18"/>
  <c r="AA30" i="18" s="1"/>
  <c r="X31" i="18"/>
  <c r="BI30" i="18"/>
  <c r="BK30" i="18" s="1"/>
  <c r="AW30" i="18"/>
  <c r="AY30" i="18" s="1"/>
  <c r="AJ33" i="17"/>
  <c r="AN32" i="17"/>
  <c r="BL33" i="17"/>
  <c r="BH34" i="17"/>
  <c r="BI30" i="17"/>
  <c r="BK30" i="17" s="1"/>
  <c r="AW30" i="17"/>
  <c r="AY30" i="17" s="1"/>
  <c r="AB30" i="17"/>
  <c r="AK30" i="17"/>
  <c r="AM30" i="17" s="1"/>
  <c r="Y30" i="17"/>
  <c r="AA30" i="17" s="1"/>
  <c r="X31" i="17"/>
  <c r="B31" i="17"/>
  <c r="E30" i="17"/>
  <c r="P30" i="17"/>
  <c r="AV32" i="17"/>
  <c r="AZ31" i="17"/>
  <c r="BH33" i="16"/>
  <c r="BL32" i="16"/>
  <c r="AK31" i="16"/>
  <c r="AM31" i="16" s="1"/>
  <c r="X32" i="16"/>
  <c r="BI31" i="16"/>
  <c r="BK31" i="16" s="1"/>
  <c r="Y31" i="16"/>
  <c r="AA31" i="16" s="1"/>
  <c r="AW31" i="16"/>
  <c r="AY31" i="16" s="1"/>
  <c r="AB31" i="16"/>
  <c r="P31" i="16"/>
  <c r="E31" i="16"/>
  <c r="B32" i="16"/>
  <c r="AZ31" i="16"/>
  <c r="AV32" i="16"/>
  <c r="AJ31" i="16"/>
  <c r="AN30" i="16"/>
  <c r="BH31" i="14"/>
  <c r="BL30" i="14"/>
  <c r="P30" i="14"/>
  <c r="E30" i="14"/>
  <c r="AD10" i="14"/>
  <c r="AE10" i="14" s="1"/>
  <c r="AG10" i="14" s="1"/>
  <c r="AC11" i="14" s="1"/>
  <c r="AD11" i="14" s="1"/>
  <c r="AF9" i="14"/>
  <c r="AV72" i="14"/>
  <c r="AZ71" i="14"/>
  <c r="AK30" i="14"/>
  <c r="AM30" i="14" s="1"/>
  <c r="AW30" i="14"/>
  <c r="AY30" i="14" s="1"/>
  <c r="AJ31" i="14"/>
  <c r="AN30" i="14"/>
  <c r="X31" i="14"/>
  <c r="BI31" i="14" s="1"/>
  <c r="BK31" i="14" s="1"/>
  <c r="AB30" i="14"/>
  <c r="Y30" i="14"/>
  <c r="AA30" i="14" s="1"/>
  <c r="B31" i="14"/>
  <c r="AF8" i="19" l="1"/>
  <c r="AE9" i="19"/>
  <c r="AG9" i="19" s="1"/>
  <c r="AC10" i="19" s="1"/>
  <c r="BB8" i="19"/>
  <c r="BC8" i="19" s="1"/>
  <c r="BE8" i="19" s="1"/>
  <c r="BA9" i="19" s="1"/>
  <c r="AP8" i="19"/>
  <c r="AQ8" i="19" s="1"/>
  <c r="AS8" i="19" s="1"/>
  <c r="AO9" i="19" s="1"/>
  <c r="AP8" i="18"/>
  <c r="AQ8" i="18" s="1"/>
  <c r="AS8" i="18" s="1"/>
  <c r="AO9" i="18" s="1"/>
  <c r="AC9" i="18"/>
  <c r="AF8" i="18"/>
  <c r="BM10" i="16"/>
  <c r="BN10" i="16" s="1"/>
  <c r="BO10" i="16" s="1"/>
  <c r="BQ10" i="16" s="1"/>
  <c r="BM11" i="16" s="1"/>
  <c r="AD8" i="16"/>
  <c r="AE8" i="16" s="1"/>
  <c r="AG8" i="16" s="1"/>
  <c r="AR10" i="17"/>
  <c r="AR11" i="17"/>
  <c r="AR10" i="14"/>
  <c r="AR10" i="16"/>
  <c r="AF10" i="17"/>
  <c r="BD10" i="14"/>
  <c r="BD10" i="17"/>
  <c r="BC11" i="17"/>
  <c r="BE11" i="17" s="1"/>
  <c r="BA12" i="17" s="1"/>
  <c r="BB12" i="17" s="1"/>
  <c r="AP11" i="16"/>
  <c r="AQ11" i="16" s="1"/>
  <c r="AS11" i="16" s="1"/>
  <c r="AO12" i="16" s="1"/>
  <c r="AP12" i="17"/>
  <c r="AQ12" i="17" s="1"/>
  <c r="AS12" i="17" s="1"/>
  <c r="AO13" i="17" s="1"/>
  <c r="AD11" i="17"/>
  <c r="AE11" i="17" s="1"/>
  <c r="AG11" i="17" s="1"/>
  <c r="AC12" i="17" s="1"/>
  <c r="BB11" i="14"/>
  <c r="BC11" i="14" s="1"/>
  <c r="BE11" i="14" s="1"/>
  <c r="BA12" i="14" s="1"/>
  <c r="AP11" i="14"/>
  <c r="AQ11" i="14" s="1"/>
  <c r="AS11" i="14" s="1"/>
  <c r="AO12" i="14" s="1"/>
  <c r="BQ11" i="18"/>
  <c r="BM12" i="18" s="1"/>
  <c r="BP11" i="18"/>
  <c r="BP10" i="17"/>
  <c r="BN11" i="14"/>
  <c r="BO11" i="14" s="1"/>
  <c r="BQ11" i="14" s="1"/>
  <c r="BM12" i="14" s="1"/>
  <c r="BO11" i="17"/>
  <c r="BQ11" i="17" s="1"/>
  <c r="BM12" i="17" s="1"/>
  <c r="BN12" i="17" s="1"/>
  <c r="BP8" i="19"/>
  <c r="BO9" i="19"/>
  <c r="BQ9" i="19" s="1"/>
  <c r="BM10" i="19" s="1"/>
  <c r="BN10" i="19" s="1"/>
  <c r="BP10" i="14"/>
  <c r="BP9" i="16"/>
  <c r="AA30" i="19"/>
  <c r="B32" i="15"/>
  <c r="F31" i="15"/>
  <c r="BB13" i="18"/>
  <c r="BC13" i="18" s="1"/>
  <c r="BE13" i="18" s="1"/>
  <c r="BA14" i="18" s="1"/>
  <c r="BD12" i="18"/>
  <c r="BB12" i="16"/>
  <c r="BC12" i="16" s="1"/>
  <c r="BE12" i="16" s="1"/>
  <c r="BA13" i="16" s="1"/>
  <c r="BD11" i="16"/>
  <c r="AN31" i="19"/>
  <c r="AJ32" i="19"/>
  <c r="AW31" i="19"/>
  <c r="AY31" i="19" s="1"/>
  <c r="AB31" i="19"/>
  <c r="AK31" i="19"/>
  <c r="AM31" i="19" s="1"/>
  <c r="X32" i="19"/>
  <c r="Y31" i="19"/>
  <c r="BI31" i="19"/>
  <c r="BK31" i="19" s="1"/>
  <c r="AV33" i="19"/>
  <c r="AZ32" i="19"/>
  <c r="BL32" i="19"/>
  <c r="BH33" i="19"/>
  <c r="B32" i="19"/>
  <c r="P31" i="19"/>
  <c r="E31" i="19"/>
  <c r="BL31" i="18"/>
  <c r="BH32" i="18"/>
  <c r="P31" i="18"/>
  <c r="E31" i="18"/>
  <c r="B32" i="18"/>
  <c r="AZ32" i="18"/>
  <c r="AV33" i="18"/>
  <c r="AJ33" i="18"/>
  <c r="AN32" i="18"/>
  <c r="BI31" i="18"/>
  <c r="BK31" i="18" s="1"/>
  <c r="AW31" i="18"/>
  <c r="AY31" i="18" s="1"/>
  <c r="AK31" i="18"/>
  <c r="AM31" i="18" s="1"/>
  <c r="AB31" i="18"/>
  <c r="Y31" i="18"/>
  <c r="AA31" i="18" s="1"/>
  <c r="X32" i="18"/>
  <c r="P31" i="17"/>
  <c r="E31" i="17"/>
  <c r="B32" i="17"/>
  <c r="AN33" i="17"/>
  <c r="AJ34" i="17"/>
  <c r="AW31" i="17"/>
  <c r="AY31" i="17" s="1"/>
  <c r="AB31" i="17"/>
  <c r="AK31" i="17"/>
  <c r="AM31" i="17" s="1"/>
  <c r="X32" i="17"/>
  <c r="Y31" i="17"/>
  <c r="AA31" i="17" s="1"/>
  <c r="BI31" i="17"/>
  <c r="BK31" i="17" s="1"/>
  <c r="BH35" i="17"/>
  <c r="BL34" i="17"/>
  <c r="AZ32" i="17"/>
  <c r="AV33" i="17"/>
  <c r="AJ32" i="16"/>
  <c r="AN31" i="16"/>
  <c r="BH34" i="16"/>
  <c r="BL33" i="16"/>
  <c r="E32" i="16"/>
  <c r="B33" i="16"/>
  <c r="P32" i="16"/>
  <c r="Y32" i="16"/>
  <c r="AA32" i="16" s="1"/>
  <c r="AW32" i="16"/>
  <c r="AY32" i="16" s="1"/>
  <c r="AK32" i="16"/>
  <c r="AM32" i="16" s="1"/>
  <c r="AB32" i="16"/>
  <c r="BI32" i="16"/>
  <c r="BK32" i="16" s="1"/>
  <c r="X33" i="16"/>
  <c r="AZ32" i="16"/>
  <c r="AV33" i="16"/>
  <c r="BH32" i="14"/>
  <c r="BL31" i="14"/>
  <c r="P31" i="14"/>
  <c r="E31" i="14"/>
  <c r="AE11" i="14"/>
  <c r="AG11" i="14" s="1"/>
  <c r="AC12" i="14" s="1"/>
  <c r="AD12" i="14" s="1"/>
  <c r="AF10" i="14"/>
  <c r="AK31" i="14"/>
  <c r="AM31" i="14" s="1"/>
  <c r="AW31" i="14"/>
  <c r="AY31" i="14" s="1"/>
  <c r="AV73" i="14"/>
  <c r="AZ72" i="14"/>
  <c r="AJ32" i="14"/>
  <c r="AN31" i="14"/>
  <c r="X32" i="14"/>
  <c r="BI32" i="14" s="1"/>
  <c r="BK32" i="14" s="1"/>
  <c r="Y31" i="14"/>
  <c r="AA31" i="14" s="1"/>
  <c r="AB31" i="14"/>
  <c r="B32" i="14"/>
  <c r="AF9" i="19" l="1"/>
  <c r="AD10" i="19"/>
  <c r="AE10" i="19" s="1"/>
  <c r="AG10" i="19" s="1"/>
  <c r="AC11" i="19" s="1"/>
  <c r="AD11" i="19" s="1"/>
  <c r="BB9" i="19"/>
  <c r="BC9" i="19" s="1"/>
  <c r="BE9" i="19" s="1"/>
  <c r="BA10" i="19" s="1"/>
  <c r="BD8" i="19"/>
  <c r="AP9" i="19"/>
  <c r="AQ9" i="19" s="1"/>
  <c r="AS9" i="19" s="1"/>
  <c r="AO10" i="19" s="1"/>
  <c r="AP10" i="19" s="1"/>
  <c r="AR8" i="19"/>
  <c r="AP9" i="18"/>
  <c r="AQ9" i="18" s="1"/>
  <c r="AS9" i="18" s="1"/>
  <c r="AO10" i="18" s="1"/>
  <c r="AR8" i="18"/>
  <c r="AD9" i="18"/>
  <c r="AE9" i="18" s="1"/>
  <c r="AG9" i="18" s="1"/>
  <c r="AC9" i="16"/>
  <c r="AF8" i="16"/>
  <c r="BD11" i="14"/>
  <c r="BD11" i="17"/>
  <c r="AP12" i="14"/>
  <c r="AQ12" i="14" s="1"/>
  <c r="AS12" i="14" s="1"/>
  <c r="AO13" i="14" s="1"/>
  <c r="AP13" i="17"/>
  <c r="AQ13" i="17" s="1"/>
  <c r="AS13" i="17" s="1"/>
  <c r="AO14" i="17" s="1"/>
  <c r="AP14" i="17" s="1"/>
  <c r="AR11" i="14"/>
  <c r="AR12" i="17"/>
  <c r="BC12" i="17"/>
  <c r="BE12" i="17" s="1"/>
  <c r="BA13" i="17" s="1"/>
  <c r="BB13" i="17" s="1"/>
  <c r="BB12" i="14"/>
  <c r="BC12" i="14" s="1"/>
  <c r="BE12" i="14" s="1"/>
  <c r="BA13" i="14" s="1"/>
  <c r="AD12" i="17"/>
  <c r="AE12" i="17" s="1"/>
  <c r="AG12" i="17" s="1"/>
  <c r="AC13" i="17" s="1"/>
  <c r="AP12" i="16"/>
  <c r="AQ12" i="16" s="1"/>
  <c r="AS12" i="16" s="1"/>
  <c r="AO13" i="16" s="1"/>
  <c r="AF11" i="17"/>
  <c r="AR11" i="16"/>
  <c r="BN12" i="18"/>
  <c r="BO12" i="18" s="1"/>
  <c r="BQ12" i="18" s="1"/>
  <c r="BM13" i="18" s="1"/>
  <c r="BP9" i="19"/>
  <c r="BO10" i="19"/>
  <c r="BQ10" i="19" s="1"/>
  <c r="BM11" i="19" s="1"/>
  <c r="BN11" i="19" s="1"/>
  <c r="BP11" i="17"/>
  <c r="BO12" i="17"/>
  <c r="BQ12" i="17" s="1"/>
  <c r="BM13" i="17" s="1"/>
  <c r="BN13" i="17" s="1"/>
  <c r="BN11" i="16"/>
  <c r="BO11" i="16" s="1"/>
  <c r="BQ11" i="16" s="1"/>
  <c r="BM12" i="16" s="1"/>
  <c r="BN12" i="14"/>
  <c r="BP10" i="16"/>
  <c r="BP11" i="14"/>
  <c r="AA31" i="19"/>
  <c r="B33" i="15"/>
  <c r="F32" i="15"/>
  <c r="BB14" i="18"/>
  <c r="BC14" i="18" s="1"/>
  <c r="BE14" i="18" s="1"/>
  <c r="BA15" i="18" s="1"/>
  <c r="BB13" i="16"/>
  <c r="BC13" i="16" s="1"/>
  <c r="BE13" i="16" s="1"/>
  <c r="BA14" i="16" s="1"/>
  <c r="BD12" i="16"/>
  <c r="BD13" i="18"/>
  <c r="P32" i="19"/>
  <c r="E32" i="19"/>
  <c r="B33" i="19"/>
  <c r="AB32" i="19"/>
  <c r="AK32" i="19"/>
  <c r="AM32" i="19" s="1"/>
  <c r="X33" i="19"/>
  <c r="Y32" i="19"/>
  <c r="BI32" i="19"/>
  <c r="BK32" i="19" s="1"/>
  <c r="AW32" i="19"/>
  <c r="AY32" i="19" s="1"/>
  <c r="AN32" i="19"/>
  <c r="AJ33" i="19"/>
  <c r="AZ33" i="19"/>
  <c r="AV34" i="19"/>
  <c r="BL33" i="19"/>
  <c r="BH34" i="19"/>
  <c r="E32" i="18"/>
  <c r="P32" i="18"/>
  <c r="B33" i="18"/>
  <c r="AN33" i="18"/>
  <c r="AJ34" i="18"/>
  <c r="AV34" i="18"/>
  <c r="AZ33" i="18"/>
  <c r="BH33" i="18"/>
  <c r="BL32" i="18"/>
  <c r="AW32" i="18"/>
  <c r="AY32" i="18" s="1"/>
  <c r="AK32" i="18"/>
  <c r="AM32" i="18" s="1"/>
  <c r="Y32" i="18"/>
  <c r="AA32" i="18" s="1"/>
  <c r="BI32" i="18"/>
  <c r="BK32" i="18" s="1"/>
  <c r="X33" i="18"/>
  <c r="AB32" i="18"/>
  <c r="AB32" i="17"/>
  <c r="AK32" i="17"/>
  <c r="AM32" i="17" s="1"/>
  <c r="X33" i="17"/>
  <c r="Y32" i="17"/>
  <c r="AA32" i="17" s="1"/>
  <c r="BI32" i="17"/>
  <c r="BK32" i="17" s="1"/>
  <c r="AW32" i="17"/>
  <c r="AY32" i="17" s="1"/>
  <c r="P32" i="17"/>
  <c r="E32" i="17"/>
  <c r="B33" i="17"/>
  <c r="BL35" i="17"/>
  <c r="BH36" i="17"/>
  <c r="AN34" i="17"/>
  <c r="AJ35" i="17"/>
  <c r="AZ33" i="17"/>
  <c r="AV34" i="17"/>
  <c r="AV34" i="16"/>
  <c r="AZ33" i="16"/>
  <c r="BI33" i="16"/>
  <c r="BK33" i="16" s="1"/>
  <c r="AK33" i="16"/>
  <c r="AM33" i="16" s="1"/>
  <c r="Y33" i="16"/>
  <c r="AA33" i="16" s="1"/>
  <c r="X34" i="16"/>
  <c r="AW33" i="16"/>
  <c r="AY33" i="16" s="1"/>
  <c r="AB33" i="16"/>
  <c r="B34" i="16"/>
  <c r="P33" i="16"/>
  <c r="E33" i="16"/>
  <c r="AN32" i="16"/>
  <c r="AJ33" i="16"/>
  <c r="BL34" i="16"/>
  <c r="BH35" i="16"/>
  <c r="BH33" i="14"/>
  <c r="BL32" i="14"/>
  <c r="P32" i="14"/>
  <c r="E32" i="14"/>
  <c r="AF11" i="14"/>
  <c r="AE12" i="14"/>
  <c r="AG12" i="14" s="1"/>
  <c r="AC13" i="14" s="1"/>
  <c r="AV74" i="14"/>
  <c r="AZ73" i="14"/>
  <c r="AK32" i="14"/>
  <c r="AM32" i="14" s="1"/>
  <c r="AW32" i="14"/>
  <c r="AY32" i="14" s="1"/>
  <c r="AJ33" i="14"/>
  <c r="AN32" i="14"/>
  <c r="X33" i="14"/>
  <c r="BI33" i="14" s="1"/>
  <c r="BK33" i="14" s="1"/>
  <c r="Y32" i="14"/>
  <c r="AA32" i="14" s="1"/>
  <c r="AB32" i="14"/>
  <c r="B33" i="14"/>
  <c r="AE11" i="19" l="1"/>
  <c r="AG11" i="19" s="1"/>
  <c r="AC12" i="19" s="1"/>
  <c r="AD12" i="19" s="1"/>
  <c r="AF10" i="19"/>
  <c r="BB10" i="19"/>
  <c r="BC10" i="19" s="1"/>
  <c r="BE10" i="19" s="1"/>
  <c r="BA11" i="19" s="1"/>
  <c r="BD9" i="19"/>
  <c r="AQ10" i="19"/>
  <c r="AS10" i="19" s="1"/>
  <c r="AO11" i="19" s="1"/>
  <c r="AP11" i="19" s="1"/>
  <c r="AR9" i="19"/>
  <c r="AP10" i="18"/>
  <c r="AQ10" i="18" s="1"/>
  <c r="AS10" i="18" s="1"/>
  <c r="AO11" i="18" s="1"/>
  <c r="AR9" i="18"/>
  <c r="AC10" i="18"/>
  <c r="AF9" i="18"/>
  <c r="AD9" i="16"/>
  <c r="AR12" i="16"/>
  <c r="AF12" i="17"/>
  <c r="AR12" i="14"/>
  <c r="AP13" i="16"/>
  <c r="AQ13" i="16" s="1"/>
  <c r="AS13" i="16" s="1"/>
  <c r="AO14" i="16" s="1"/>
  <c r="AQ14" i="17"/>
  <c r="AS14" i="17" s="1"/>
  <c r="AO15" i="17" s="1"/>
  <c r="AD13" i="17"/>
  <c r="AE13" i="17" s="1"/>
  <c r="AG13" i="17" s="1"/>
  <c r="AC14" i="17" s="1"/>
  <c r="BD12" i="14"/>
  <c r="AR13" i="17"/>
  <c r="BD12" i="17"/>
  <c r="AP13" i="14"/>
  <c r="AQ13" i="14" s="1"/>
  <c r="AS13" i="14" s="1"/>
  <c r="AO14" i="14" s="1"/>
  <c r="BC13" i="17"/>
  <c r="BE13" i="17" s="1"/>
  <c r="BA14" i="17" s="1"/>
  <c r="BB14" i="17" s="1"/>
  <c r="BB13" i="14"/>
  <c r="BC13" i="14" s="1"/>
  <c r="BE13" i="14" s="1"/>
  <c r="BA14" i="14" s="1"/>
  <c r="BN13" i="18"/>
  <c r="BO13" i="18" s="1"/>
  <c r="BQ13" i="18" s="1"/>
  <c r="BM14" i="18" s="1"/>
  <c r="BP12" i="18"/>
  <c r="BP10" i="19"/>
  <c r="BP12" i="17"/>
  <c r="BN12" i="16"/>
  <c r="BO12" i="16" s="1"/>
  <c r="BQ12" i="16" s="1"/>
  <c r="BM13" i="16" s="1"/>
  <c r="BP11" i="16"/>
  <c r="BO13" i="17"/>
  <c r="BQ13" i="17" s="1"/>
  <c r="BM14" i="17" s="1"/>
  <c r="BO12" i="14"/>
  <c r="BQ12" i="14" s="1"/>
  <c r="BM13" i="14" s="1"/>
  <c r="BO11" i="19"/>
  <c r="BQ11" i="19" s="1"/>
  <c r="BM12" i="19" s="1"/>
  <c r="BN12" i="19" s="1"/>
  <c r="AA32" i="19"/>
  <c r="B34" i="15"/>
  <c r="F33" i="15"/>
  <c r="BB14" i="16"/>
  <c r="BC14" i="16" s="1"/>
  <c r="BE14" i="16" s="1"/>
  <c r="BA15" i="16" s="1"/>
  <c r="BB15" i="18"/>
  <c r="BC15" i="18" s="1"/>
  <c r="BE15" i="18" s="1"/>
  <c r="BA16" i="18" s="1"/>
  <c r="BB16" i="18" s="1"/>
  <c r="BD13" i="16"/>
  <c r="BD14" i="18"/>
  <c r="P33" i="19"/>
  <c r="E33" i="19"/>
  <c r="B34" i="19"/>
  <c r="AZ34" i="19"/>
  <c r="AV35" i="19"/>
  <c r="AB33" i="19"/>
  <c r="X34" i="19"/>
  <c r="Y33" i="19"/>
  <c r="BI33" i="19"/>
  <c r="BK33" i="19" s="1"/>
  <c r="AW33" i="19"/>
  <c r="AY33" i="19" s="1"/>
  <c r="AK33" i="19"/>
  <c r="AM33" i="19" s="1"/>
  <c r="AJ34" i="19"/>
  <c r="AN33" i="19"/>
  <c r="BL34" i="19"/>
  <c r="BH35" i="19"/>
  <c r="BL33" i="18"/>
  <c r="BH34" i="18"/>
  <c r="AK33" i="18"/>
  <c r="AM33" i="18" s="1"/>
  <c r="Y33" i="18"/>
  <c r="AA33" i="18" s="1"/>
  <c r="BI33" i="18"/>
  <c r="BK33" i="18" s="1"/>
  <c r="AW33" i="18"/>
  <c r="AY33" i="18" s="1"/>
  <c r="X34" i="18"/>
  <c r="AB33" i="18"/>
  <c r="AV35" i="18"/>
  <c r="AZ34" i="18"/>
  <c r="AJ35" i="18"/>
  <c r="AN34" i="18"/>
  <c r="E33" i="18"/>
  <c r="P33" i="18"/>
  <c r="B34" i="18"/>
  <c r="AN35" i="17"/>
  <c r="AJ36" i="17"/>
  <c r="P33" i="17"/>
  <c r="E33" i="17"/>
  <c r="B34" i="17"/>
  <c r="X34" i="17"/>
  <c r="Y33" i="17"/>
  <c r="AA33" i="17" s="1"/>
  <c r="BI33" i="17"/>
  <c r="BK33" i="17" s="1"/>
  <c r="AW33" i="17"/>
  <c r="AY33" i="17" s="1"/>
  <c r="AK33" i="17"/>
  <c r="AM33" i="17" s="1"/>
  <c r="AB33" i="17"/>
  <c r="AZ34" i="17"/>
  <c r="AV35" i="17"/>
  <c r="BL36" i="17"/>
  <c r="BH37" i="17"/>
  <c r="AN33" i="16"/>
  <c r="AJ34" i="16"/>
  <c r="E34" i="16"/>
  <c r="P34" i="16"/>
  <c r="B35" i="16"/>
  <c r="BL35" i="16"/>
  <c r="BH36" i="16"/>
  <c r="AW34" i="16"/>
  <c r="AY34" i="16" s="1"/>
  <c r="AB34" i="16"/>
  <c r="Y34" i="16"/>
  <c r="AA34" i="16" s="1"/>
  <c r="BI34" i="16"/>
  <c r="BK34" i="16" s="1"/>
  <c r="AK34" i="16"/>
  <c r="AM34" i="16" s="1"/>
  <c r="X35" i="16"/>
  <c r="AZ34" i="16"/>
  <c r="AV35" i="16"/>
  <c r="BH34" i="14"/>
  <c r="BL33" i="14"/>
  <c r="P33" i="14"/>
  <c r="E33" i="14"/>
  <c r="AF12" i="14"/>
  <c r="AD13" i="14"/>
  <c r="AE13" i="14" s="1"/>
  <c r="AG13" i="14" s="1"/>
  <c r="AC14" i="14" s="1"/>
  <c r="AK33" i="14"/>
  <c r="AM33" i="14" s="1"/>
  <c r="AW33" i="14"/>
  <c r="AY33" i="14" s="1"/>
  <c r="AV75" i="14"/>
  <c r="AZ74" i="14"/>
  <c r="AJ34" i="14"/>
  <c r="AN33" i="14"/>
  <c r="X34" i="14"/>
  <c r="BI34" i="14" s="1"/>
  <c r="BK34" i="14" s="1"/>
  <c r="AB33" i="14"/>
  <c r="Y33" i="14"/>
  <c r="AA33" i="14" s="1"/>
  <c r="B34" i="14"/>
  <c r="AF11" i="19" l="1"/>
  <c r="AE12" i="19"/>
  <c r="AG12" i="19" s="1"/>
  <c r="AC13" i="19" s="1"/>
  <c r="BB11" i="19"/>
  <c r="BC11" i="19" s="1"/>
  <c r="BE11" i="19" s="1"/>
  <c r="BA12" i="19" s="1"/>
  <c r="BD10" i="19"/>
  <c r="AR10" i="19"/>
  <c r="AQ11" i="19"/>
  <c r="AS11" i="19" s="1"/>
  <c r="AO12" i="19" s="1"/>
  <c r="AP11" i="18"/>
  <c r="AQ11" i="18" s="1"/>
  <c r="AS11" i="18" s="1"/>
  <c r="AO12" i="18" s="1"/>
  <c r="AR10" i="18"/>
  <c r="AD10" i="18"/>
  <c r="AE10" i="18" s="1"/>
  <c r="AG10" i="18" s="1"/>
  <c r="AC11" i="18" s="1"/>
  <c r="AE9" i="16"/>
  <c r="AG9" i="16" s="1"/>
  <c r="AC10" i="16" s="1"/>
  <c r="BD13" i="17"/>
  <c r="AR14" i="17"/>
  <c r="BC14" i="17"/>
  <c r="BE14" i="17" s="1"/>
  <c r="BA15" i="17" s="1"/>
  <c r="BB15" i="17" s="1"/>
  <c r="AD14" i="17"/>
  <c r="AE14" i="17" s="1"/>
  <c r="AG14" i="17" s="1"/>
  <c r="AC15" i="17" s="1"/>
  <c r="AD15" i="17" s="1"/>
  <c r="AF13" i="17"/>
  <c r="BB14" i="14"/>
  <c r="BC14" i="14" s="1"/>
  <c r="BE14" i="14" s="1"/>
  <c r="BA15" i="14" s="1"/>
  <c r="BD13" i="14"/>
  <c r="AP14" i="14"/>
  <c r="AQ14" i="14" s="1"/>
  <c r="AS14" i="14" s="1"/>
  <c r="AO15" i="14" s="1"/>
  <c r="AP15" i="17"/>
  <c r="AQ15" i="17" s="1"/>
  <c r="AS15" i="17" s="1"/>
  <c r="AO16" i="17" s="1"/>
  <c r="AR13" i="14"/>
  <c r="AP14" i="16"/>
  <c r="AQ14" i="16" s="1"/>
  <c r="AS14" i="16" s="1"/>
  <c r="AO15" i="16" s="1"/>
  <c r="AR13" i="16"/>
  <c r="BN14" i="18"/>
  <c r="BO14" i="18" s="1"/>
  <c r="BQ14" i="18" s="1"/>
  <c r="BM15" i="18" s="1"/>
  <c r="BP13" i="18"/>
  <c r="BN13" i="16"/>
  <c r="BO13" i="16" s="1"/>
  <c r="BQ13" i="16" s="1"/>
  <c r="BM14" i="16" s="1"/>
  <c r="BO12" i="19"/>
  <c r="BQ12" i="19" s="1"/>
  <c r="BM13" i="19" s="1"/>
  <c r="BN13" i="19" s="1"/>
  <c r="BN13" i="14"/>
  <c r="BO13" i="14" s="1"/>
  <c r="BQ13" i="14" s="1"/>
  <c r="BM14" i="14" s="1"/>
  <c r="BP13" i="17"/>
  <c r="BN14" i="17"/>
  <c r="BP12" i="14"/>
  <c r="BP11" i="19"/>
  <c r="BP12" i="16"/>
  <c r="AA33" i="19"/>
  <c r="B35" i="15"/>
  <c r="F34" i="15"/>
  <c r="BB15" i="16"/>
  <c r="BC15" i="16" s="1"/>
  <c r="BE15" i="16" s="1"/>
  <c r="BA16" i="16" s="1"/>
  <c r="BC16" i="18"/>
  <c r="BE16" i="18" s="1"/>
  <c r="BA17" i="18" s="1"/>
  <c r="BB17" i="18" s="1"/>
  <c r="BD15" i="18"/>
  <c r="BD14" i="16"/>
  <c r="AN34" i="19"/>
  <c r="AJ35" i="19"/>
  <c r="P34" i="19"/>
  <c r="B35" i="19"/>
  <c r="E34" i="19"/>
  <c r="BH36" i="19"/>
  <c r="BL35" i="19"/>
  <c r="X35" i="19"/>
  <c r="BI34" i="19"/>
  <c r="BK34" i="19" s="1"/>
  <c r="AW34" i="19"/>
  <c r="AY34" i="19" s="1"/>
  <c r="AB34" i="19"/>
  <c r="AK34" i="19"/>
  <c r="AM34" i="19" s="1"/>
  <c r="Y34" i="19"/>
  <c r="AZ35" i="19"/>
  <c r="AV36" i="19"/>
  <c r="X35" i="18"/>
  <c r="Y34" i="18"/>
  <c r="AA34" i="18" s="1"/>
  <c r="BI34" i="18"/>
  <c r="BK34" i="18" s="1"/>
  <c r="AW34" i="18"/>
  <c r="AY34" i="18" s="1"/>
  <c r="AK34" i="18"/>
  <c r="AM34" i="18" s="1"/>
  <c r="AB34" i="18"/>
  <c r="BL34" i="18"/>
  <c r="BH35" i="18"/>
  <c r="AJ36" i="18"/>
  <c r="AN35" i="18"/>
  <c r="AZ35" i="18"/>
  <c r="AV36" i="18"/>
  <c r="E34" i="18"/>
  <c r="B35" i="18"/>
  <c r="P34" i="18"/>
  <c r="B35" i="17"/>
  <c r="E34" i="17"/>
  <c r="P34" i="17"/>
  <c r="BI34" i="17"/>
  <c r="BK34" i="17" s="1"/>
  <c r="AW34" i="17"/>
  <c r="AY34" i="17" s="1"/>
  <c r="AB34" i="17"/>
  <c r="AK34" i="17"/>
  <c r="AM34" i="17" s="1"/>
  <c r="Y34" i="17"/>
  <c r="AA34" i="17" s="1"/>
  <c r="X35" i="17"/>
  <c r="AJ37" i="17"/>
  <c r="AN36" i="17"/>
  <c r="BH38" i="17"/>
  <c r="BL37" i="17"/>
  <c r="AV36" i="17"/>
  <c r="AZ35" i="17"/>
  <c r="P35" i="16"/>
  <c r="E35" i="16"/>
  <c r="B36" i="16"/>
  <c r="AK35" i="16"/>
  <c r="AM35" i="16" s="1"/>
  <c r="X36" i="16"/>
  <c r="BI35" i="16"/>
  <c r="BK35" i="16" s="1"/>
  <c r="AW35" i="16"/>
  <c r="AY35" i="16" s="1"/>
  <c r="AB35" i="16"/>
  <c r="Y35" i="16"/>
  <c r="AA35" i="16" s="1"/>
  <c r="AJ35" i="16"/>
  <c r="AN34" i="16"/>
  <c r="BH37" i="16"/>
  <c r="BL36" i="16"/>
  <c r="AV36" i="16"/>
  <c r="AZ35" i="16"/>
  <c r="BH35" i="14"/>
  <c r="BL34" i="14"/>
  <c r="P34" i="14"/>
  <c r="E34" i="14"/>
  <c r="AD14" i="14"/>
  <c r="AE14" i="14" s="1"/>
  <c r="AG14" i="14" s="1"/>
  <c r="AC15" i="14" s="1"/>
  <c r="AF13" i="14"/>
  <c r="AK34" i="14"/>
  <c r="AM34" i="14" s="1"/>
  <c r="AW34" i="14"/>
  <c r="AY34" i="14" s="1"/>
  <c r="AV76" i="14"/>
  <c r="AZ75" i="14"/>
  <c r="AJ35" i="14"/>
  <c r="AN34" i="14"/>
  <c r="X35" i="14"/>
  <c r="BI35" i="14" s="1"/>
  <c r="BK35" i="14" s="1"/>
  <c r="AB34" i="14"/>
  <c r="Y34" i="14"/>
  <c r="AA34" i="14" s="1"/>
  <c r="B35" i="14"/>
  <c r="AF12" i="19" l="1"/>
  <c r="AD13" i="19"/>
  <c r="AE13" i="19" s="1"/>
  <c r="AG13" i="19" s="1"/>
  <c r="AC14" i="19" s="1"/>
  <c r="AR11" i="19"/>
  <c r="BB12" i="19"/>
  <c r="BC12" i="19" s="1"/>
  <c r="BE12" i="19" s="1"/>
  <c r="BA13" i="19" s="1"/>
  <c r="BD11" i="19"/>
  <c r="AP12" i="19"/>
  <c r="AQ12" i="19" s="1"/>
  <c r="AS12" i="19" s="1"/>
  <c r="AO13" i="19" s="1"/>
  <c r="AP12" i="18"/>
  <c r="AQ12" i="18" s="1"/>
  <c r="AS12" i="18" s="1"/>
  <c r="AO13" i="18" s="1"/>
  <c r="AR11" i="18"/>
  <c r="AD11" i="18"/>
  <c r="AE11" i="18" s="1"/>
  <c r="AG11" i="18" s="1"/>
  <c r="AC12" i="18" s="1"/>
  <c r="AF10" i="18"/>
  <c r="AD10" i="16"/>
  <c r="AE10" i="16" s="1"/>
  <c r="AG10" i="16" s="1"/>
  <c r="AC11" i="16" s="1"/>
  <c r="AF9" i="16"/>
  <c r="BD14" i="17"/>
  <c r="AR15" i="17"/>
  <c r="AF14" i="17"/>
  <c r="AR14" i="16"/>
  <c r="AR14" i="14"/>
  <c r="AE15" i="17"/>
  <c r="AG15" i="17" s="1"/>
  <c r="AC16" i="17" s="1"/>
  <c r="AP15" i="16"/>
  <c r="AQ15" i="16" s="1"/>
  <c r="AS15" i="16" s="1"/>
  <c r="AO16" i="16" s="1"/>
  <c r="BB15" i="14"/>
  <c r="BC15" i="14" s="1"/>
  <c r="BE15" i="14" s="1"/>
  <c r="BA16" i="14" s="1"/>
  <c r="AP15" i="14"/>
  <c r="AQ15" i="14" s="1"/>
  <c r="AS15" i="14" s="1"/>
  <c r="AO16" i="14" s="1"/>
  <c r="BD14" i="14"/>
  <c r="BC15" i="17"/>
  <c r="BE15" i="17" s="1"/>
  <c r="BA16" i="17" s="1"/>
  <c r="BB16" i="17" s="1"/>
  <c r="AP16" i="17"/>
  <c r="AQ16" i="17" s="1"/>
  <c r="AS16" i="17" s="1"/>
  <c r="AO17" i="17" s="1"/>
  <c r="BN15" i="18"/>
  <c r="BO15" i="18" s="1"/>
  <c r="BQ15" i="18" s="1"/>
  <c r="BM16" i="18" s="1"/>
  <c r="BP14" i="18"/>
  <c r="BP12" i="19"/>
  <c r="BN14" i="16"/>
  <c r="BO14" i="16" s="1"/>
  <c r="BQ14" i="16" s="1"/>
  <c r="BM15" i="16" s="1"/>
  <c r="BN14" i="14"/>
  <c r="BO14" i="14" s="1"/>
  <c r="BQ14" i="14" s="1"/>
  <c r="BM15" i="14" s="1"/>
  <c r="BP13" i="14"/>
  <c r="BO13" i="19"/>
  <c r="BQ13" i="19" s="1"/>
  <c r="BM14" i="19" s="1"/>
  <c r="BN14" i="19" s="1"/>
  <c r="BO14" i="17"/>
  <c r="BQ14" i="17" s="1"/>
  <c r="BM15" i="17" s="1"/>
  <c r="BP13" i="16"/>
  <c r="AA34" i="19"/>
  <c r="B36" i="15"/>
  <c r="F35" i="15"/>
  <c r="BB16" i="16"/>
  <c r="BC16" i="16" s="1"/>
  <c r="BE16" i="16" s="1"/>
  <c r="BA17" i="16" s="1"/>
  <c r="BB17" i="16" s="1"/>
  <c r="BD16" i="18"/>
  <c r="BC17" i="18"/>
  <c r="BE17" i="18" s="1"/>
  <c r="BA18" i="18" s="1"/>
  <c r="BB18" i="18" s="1"/>
  <c r="BD15" i="16"/>
  <c r="AW35" i="19"/>
  <c r="AY35" i="19" s="1"/>
  <c r="AB35" i="19"/>
  <c r="AK35" i="19"/>
  <c r="AM35" i="19" s="1"/>
  <c r="X36" i="19"/>
  <c r="Y35" i="19"/>
  <c r="BI35" i="19"/>
  <c r="BK35" i="19" s="1"/>
  <c r="AV37" i="19"/>
  <c r="AZ36" i="19"/>
  <c r="B36" i="19"/>
  <c r="P35" i="19"/>
  <c r="E35" i="19"/>
  <c r="BL36" i="19"/>
  <c r="BH37" i="19"/>
  <c r="AN35" i="19"/>
  <c r="AJ36" i="19"/>
  <c r="AV37" i="18"/>
  <c r="AZ36" i="18"/>
  <c r="AN36" i="18"/>
  <c r="AJ37" i="18"/>
  <c r="BI35" i="18"/>
  <c r="BK35" i="18" s="1"/>
  <c r="AW35" i="18"/>
  <c r="AY35" i="18" s="1"/>
  <c r="AK35" i="18"/>
  <c r="AM35" i="18" s="1"/>
  <c r="Y35" i="18"/>
  <c r="AA35" i="18" s="1"/>
  <c r="X36" i="18"/>
  <c r="AB35" i="18"/>
  <c r="B36" i="18"/>
  <c r="E35" i="18"/>
  <c r="P35" i="18"/>
  <c r="BH36" i="18"/>
  <c r="BL35" i="18"/>
  <c r="AN37" i="17"/>
  <c r="AJ38" i="17"/>
  <c r="AW35" i="17"/>
  <c r="AY35" i="17" s="1"/>
  <c r="AB35" i="17"/>
  <c r="AK35" i="17"/>
  <c r="AM35" i="17" s="1"/>
  <c r="X36" i="17"/>
  <c r="Y35" i="17"/>
  <c r="AA35" i="17" s="1"/>
  <c r="BI35" i="17"/>
  <c r="BK35" i="17" s="1"/>
  <c r="AV37" i="17"/>
  <c r="AZ36" i="17"/>
  <c r="P35" i="17"/>
  <c r="E35" i="17"/>
  <c r="B36" i="17"/>
  <c r="BH39" i="17"/>
  <c r="BL38" i="17"/>
  <c r="AN35" i="16"/>
  <c r="AJ36" i="16"/>
  <c r="E36" i="16"/>
  <c r="B37" i="16"/>
  <c r="P36" i="16"/>
  <c r="AZ36" i="16"/>
  <c r="AV37" i="16"/>
  <c r="BL37" i="16"/>
  <c r="BH38" i="16"/>
  <c r="Y36" i="16"/>
  <c r="AA36" i="16" s="1"/>
  <c r="AW36" i="16"/>
  <c r="AY36" i="16" s="1"/>
  <c r="BI36" i="16"/>
  <c r="BK36" i="16" s="1"/>
  <c r="X37" i="16"/>
  <c r="AB36" i="16"/>
  <c r="AK36" i="16"/>
  <c r="AM36" i="16" s="1"/>
  <c r="BH36" i="14"/>
  <c r="BL35" i="14"/>
  <c r="P35" i="14"/>
  <c r="E35" i="14"/>
  <c r="AD15" i="14"/>
  <c r="AE15" i="14" s="1"/>
  <c r="AG15" i="14" s="1"/>
  <c r="AC16" i="14" s="1"/>
  <c r="AF14" i="14"/>
  <c r="AK35" i="14"/>
  <c r="AM35" i="14" s="1"/>
  <c r="AW35" i="14"/>
  <c r="AY35" i="14" s="1"/>
  <c r="AV77" i="14"/>
  <c r="AZ76" i="14"/>
  <c r="AJ36" i="14"/>
  <c r="AN35" i="14"/>
  <c r="X36" i="14"/>
  <c r="BI36" i="14" s="1"/>
  <c r="BK36" i="14" s="1"/>
  <c r="AB35" i="14"/>
  <c r="Y35" i="14"/>
  <c r="AA35" i="14" s="1"/>
  <c r="B36" i="14"/>
  <c r="AD14" i="19" l="1"/>
  <c r="AE14" i="19" s="1"/>
  <c r="AG14" i="19" s="1"/>
  <c r="AC15" i="19" s="1"/>
  <c r="AD15" i="19" s="1"/>
  <c r="AF13" i="19"/>
  <c r="BB13" i="19"/>
  <c r="BC13" i="19" s="1"/>
  <c r="BE13" i="19" s="1"/>
  <c r="BA14" i="19" s="1"/>
  <c r="BD12" i="19"/>
  <c r="AP13" i="19"/>
  <c r="AQ13" i="19" s="1"/>
  <c r="AS13" i="19" s="1"/>
  <c r="AO14" i="19" s="1"/>
  <c r="AR12" i="19"/>
  <c r="AP13" i="18"/>
  <c r="AQ13" i="18" s="1"/>
  <c r="AS13" i="18" s="1"/>
  <c r="AO14" i="18" s="1"/>
  <c r="AR12" i="18"/>
  <c r="AF11" i="18"/>
  <c r="AD12" i="18"/>
  <c r="AE12" i="18" s="1"/>
  <c r="AG12" i="18" s="1"/>
  <c r="AC13" i="18" s="1"/>
  <c r="AD11" i="16"/>
  <c r="AF10" i="16"/>
  <c r="AR15" i="14"/>
  <c r="BD15" i="17"/>
  <c r="BC16" i="17"/>
  <c r="BE16" i="17" s="1"/>
  <c r="BA17" i="17" s="1"/>
  <c r="AR15" i="16"/>
  <c r="AP16" i="16"/>
  <c r="AQ16" i="16" s="1"/>
  <c r="AS16" i="16" s="1"/>
  <c r="AO17" i="16" s="1"/>
  <c r="AP16" i="14"/>
  <c r="AQ16" i="14" s="1"/>
  <c r="AS16" i="14" s="1"/>
  <c r="AO17" i="14" s="1"/>
  <c r="AF15" i="17"/>
  <c r="AD16" i="17"/>
  <c r="AE16" i="17" s="1"/>
  <c r="AG16" i="17" s="1"/>
  <c r="AC17" i="17" s="1"/>
  <c r="BB16" i="14"/>
  <c r="BC16" i="14" s="1"/>
  <c r="BE16" i="14" s="1"/>
  <c r="BA17" i="14" s="1"/>
  <c r="AP17" i="17"/>
  <c r="AQ17" i="17" s="1"/>
  <c r="AS17" i="17" s="1"/>
  <c r="AO18" i="17" s="1"/>
  <c r="AP18" i="17" s="1"/>
  <c r="BD15" i="14"/>
  <c r="AR16" i="17"/>
  <c r="BN16" i="18"/>
  <c r="BO16" i="18" s="1"/>
  <c r="BQ16" i="18" s="1"/>
  <c r="BM17" i="18" s="1"/>
  <c r="BP15" i="18"/>
  <c r="BP14" i="17"/>
  <c r="BP13" i="19"/>
  <c r="BO14" i="19"/>
  <c r="BQ14" i="19" s="1"/>
  <c r="BM15" i="19" s="1"/>
  <c r="BN15" i="19" s="1"/>
  <c r="BN15" i="14"/>
  <c r="BO15" i="14" s="1"/>
  <c r="BQ15" i="14" s="1"/>
  <c r="BM16" i="14" s="1"/>
  <c r="BP14" i="14"/>
  <c r="BN15" i="16"/>
  <c r="BO15" i="16" s="1"/>
  <c r="BQ15" i="16" s="1"/>
  <c r="BM16" i="16" s="1"/>
  <c r="BN15" i="17"/>
  <c r="BO15" i="17" s="1"/>
  <c r="BQ15" i="17" s="1"/>
  <c r="BM16" i="17" s="1"/>
  <c r="BP14" i="16"/>
  <c r="AA35" i="19"/>
  <c r="B37" i="15"/>
  <c r="F36" i="15"/>
  <c r="BD17" i="18"/>
  <c r="BC17" i="16"/>
  <c r="BE17" i="16" s="1"/>
  <c r="BA18" i="16" s="1"/>
  <c r="BB18" i="16" s="1"/>
  <c r="BC18" i="18"/>
  <c r="BE18" i="18" s="1"/>
  <c r="BA19" i="18" s="1"/>
  <c r="BB19" i="18" s="1"/>
  <c r="BC19" i="18" s="1"/>
  <c r="BE19" i="18" s="1"/>
  <c r="BA20" i="18" s="1"/>
  <c r="BD16" i="16"/>
  <c r="P36" i="19"/>
  <c r="E36" i="19"/>
  <c r="B37" i="19"/>
  <c r="AN36" i="19"/>
  <c r="AJ37" i="19"/>
  <c r="AZ37" i="19"/>
  <c r="AV38" i="19"/>
  <c r="AB36" i="19"/>
  <c r="AK36" i="19"/>
  <c r="AM36" i="19" s="1"/>
  <c r="X37" i="19"/>
  <c r="Y36" i="19"/>
  <c r="BI36" i="19"/>
  <c r="BK36" i="19" s="1"/>
  <c r="AW36" i="19"/>
  <c r="AY36" i="19" s="1"/>
  <c r="BL37" i="19"/>
  <c r="BH38" i="19"/>
  <c r="AZ37" i="18"/>
  <c r="AV38" i="18"/>
  <c r="BL36" i="18"/>
  <c r="BH37" i="18"/>
  <c r="AW36" i="18"/>
  <c r="AY36" i="18" s="1"/>
  <c r="AK36" i="18"/>
  <c r="AM36" i="18" s="1"/>
  <c r="X37" i="18"/>
  <c r="Y36" i="18"/>
  <c r="AA36" i="18" s="1"/>
  <c r="BI36" i="18"/>
  <c r="BK36" i="18" s="1"/>
  <c r="AB36" i="18"/>
  <c r="E36" i="18"/>
  <c r="P36" i="18"/>
  <c r="B37" i="18"/>
  <c r="AJ38" i="18"/>
  <c r="AN37" i="18"/>
  <c r="AJ39" i="17"/>
  <c r="AN38" i="17"/>
  <c r="AV38" i="17"/>
  <c r="AZ37" i="17"/>
  <c r="AB36" i="17"/>
  <c r="X37" i="17"/>
  <c r="AK36" i="17"/>
  <c r="AM36" i="17" s="1"/>
  <c r="Y36" i="17"/>
  <c r="AA36" i="17" s="1"/>
  <c r="BI36" i="17"/>
  <c r="BK36" i="17" s="1"/>
  <c r="AW36" i="17"/>
  <c r="AY36" i="17" s="1"/>
  <c r="P36" i="17"/>
  <c r="E36" i="17"/>
  <c r="B37" i="17"/>
  <c r="BH40" i="17"/>
  <c r="BL39" i="17"/>
  <c r="P37" i="16"/>
  <c r="E37" i="16"/>
  <c r="B38" i="16"/>
  <c r="Y37" i="16"/>
  <c r="AA37" i="16" s="1"/>
  <c r="BI37" i="16"/>
  <c r="BK37" i="16" s="1"/>
  <c r="AW37" i="16"/>
  <c r="AY37" i="16" s="1"/>
  <c r="AK37" i="16"/>
  <c r="AM37" i="16" s="1"/>
  <c r="AB37" i="16"/>
  <c r="X38" i="16"/>
  <c r="AN36" i="16"/>
  <c r="AJ37" i="16"/>
  <c r="BL38" i="16"/>
  <c r="BH39" i="16"/>
  <c r="AV38" i="16"/>
  <c r="AZ37" i="16"/>
  <c r="BH37" i="14"/>
  <c r="BL36" i="14"/>
  <c r="P36" i="14"/>
  <c r="E36" i="14"/>
  <c r="AD16" i="14"/>
  <c r="AE16" i="14" s="1"/>
  <c r="AG16" i="14" s="1"/>
  <c r="AC17" i="14" s="1"/>
  <c r="AD17" i="14" s="1"/>
  <c r="AF15" i="14"/>
  <c r="AV78" i="14"/>
  <c r="AZ77" i="14"/>
  <c r="AK36" i="14"/>
  <c r="AM36" i="14" s="1"/>
  <c r="AW36" i="14"/>
  <c r="AY36" i="14" s="1"/>
  <c r="AJ37" i="14"/>
  <c r="AN36" i="14"/>
  <c r="X37" i="14"/>
  <c r="BI37" i="14" s="1"/>
  <c r="BK37" i="14" s="1"/>
  <c r="AB36" i="14"/>
  <c r="Y36" i="14"/>
  <c r="AA36" i="14" s="1"/>
  <c r="B37" i="14"/>
  <c r="AE15" i="19" l="1"/>
  <c r="AG15" i="19" s="1"/>
  <c r="AC16" i="19" s="1"/>
  <c r="AF14" i="19"/>
  <c r="BB14" i="19"/>
  <c r="BC14" i="19" s="1"/>
  <c r="BE14" i="19" s="1"/>
  <c r="BA15" i="19" s="1"/>
  <c r="BD13" i="19"/>
  <c r="AP14" i="19"/>
  <c r="AQ14" i="19" s="1"/>
  <c r="AS14" i="19" s="1"/>
  <c r="AO15" i="19" s="1"/>
  <c r="AR13" i="19"/>
  <c r="AP14" i="18"/>
  <c r="AQ14" i="18" s="1"/>
  <c r="AS14" i="18" s="1"/>
  <c r="AO15" i="18" s="1"/>
  <c r="AR13" i="18"/>
  <c r="AD13" i="18"/>
  <c r="AF12" i="18"/>
  <c r="AE11" i="16"/>
  <c r="AG11" i="16" s="1"/>
  <c r="AC12" i="16" s="1"/>
  <c r="BD16" i="17"/>
  <c r="BD16" i="14"/>
  <c r="BB17" i="14"/>
  <c r="BC17" i="14" s="1"/>
  <c r="BE17" i="14" s="1"/>
  <c r="BA18" i="14" s="1"/>
  <c r="BB18" i="14" s="1"/>
  <c r="AR16" i="14"/>
  <c r="AD17" i="17"/>
  <c r="AE17" i="17" s="1"/>
  <c r="AG17" i="17" s="1"/>
  <c r="AC18" i="17" s="1"/>
  <c r="AR16" i="16"/>
  <c r="AP17" i="16"/>
  <c r="AQ17" i="16" s="1"/>
  <c r="AS17" i="16" s="1"/>
  <c r="AO18" i="16" s="1"/>
  <c r="AP18" i="16" s="1"/>
  <c r="AF16" i="17"/>
  <c r="AQ18" i="17"/>
  <c r="AS18" i="17" s="1"/>
  <c r="AO19" i="17" s="1"/>
  <c r="AP19" i="17" s="1"/>
  <c r="AR17" i="17"/>
  <c r="BB17" i="17"/>
  <c r="BC17" i="17" s="1"/>
  <c r="BE17" i="17" s="1"/>
  <c r="BA18" i="17" s="1"/>
  <c r="AP17" i="14"/>
  <c r="AQ17" i="14" s="1"/>
  <c r="AS17" i="14" s="1"/>
  <c r="AO18" i="14" s="1"/>
  <c r="BN17" i="18"/>
  <c r="BO17" i="18" s="1"/>
  <c r="BQ17" i="18" s="1"/>
  <c r="BM18" i="18" s="1"/>
  <c r="BP16" i="18"/>
  <c r="BP14" i="19"/>
  <c r="BN16" i="16"/>
  <c r="BO16" i="16" s="1"/>
  <c r="BQ16" i="16" s="1"/>
  <c r="BM17" i="16" s="1"/>
  <c r="BP15" i="16"/>
  <c r="BN16" i="14"/>
  <c r="BO16" i="14" s="1"/>
  <c r="BQ16" i="14" s="1"/>
  <c r="BM17" i="14" s="1"/>
  <c r="BP15" i="14"/>
  <c r="BN16" i="17"/>
  <c r="BO16" i="17" s="1"/>
  <c r="BQ16" i="17" s="1"/>
  <c r="BM17" i="17" s="1"/>
  <c r="BO15" i="19"/>
  <c r="BQ15" i="19" s="1"/>
  <c r="BM16" i="19" s="1"/>
  <c r="BN16" i="19" s="1"/>
  <c r="BP15" i="17"/>
  <c r="AA36" i="19"/>
  <c r="B38" i="15"/>
  <c r="F37" i="15"/>
  <c r="BD19" i="18"/>
  <c r="BD18" i="18"/>
  <c r="BD17" i="16"/>
  <c r="BC18" i="16"/>
  <c r="BE18" i="16" s="1"/>
  <c r="BA19" i="16" s="1"/>
  <c r="BB19" i="16" s="1"/>
  <c r="AB37" i="19"/>
  <c r="X38" i="19"/>
  <c r="Y37" i="19"/>
  <c r="BI37" i="19"/>
  <c r="BK37" i="19" s="1"/>
  <c r="AW37" i="19"/>
  <c r="AY37" i="19" s="1"/>
  <c r="AK37" i="19"/>
  <c r="AM37" i="19" s="1"/>
  <c r="AZ38" i="19"/>
  <c r="AV39" i="19"/>
  <c r="P37" i="19"/>
  <c r="E37" i="19"/>
  <c r="B38" i="19"/>
  <c r="AJ38" i="19"/>
  <c r="AN37" i="19"/>
  <c r="BL38" i="19"/>
  <c r="BH39" i="19"/>
  <c r="AB37" i="18"/>
  <c r="AK37" i="18"/>
  <c r="AM37" i="18" s="1"/>
  <c r="Y37" i="18"/>
  <c r="AA37" i="18" s="1"/>
  <c r="BI37" i="18"/>
  <c r="BK37" i="18" s="1"/>
  <c r="AW37" i="18"/>
  <c r="AY37" i="18" s="1"/>
  <c r="X38" i="18"/>
  <c r="AV39" i="18"/>
  <c r="AZ38" i="18"/>
  <c r="E37" i="18"/>
  <c r="B38" i="18"/>
  <c r="P37" i="18"/>
  <c r="BB20" i="18"/>
  <c r="BC20" i="18" s="1"/>
  <c r="BE20" i="18" s="1"/>
  <c r="AN38" i="18"/>
  <c r="AJ39" i="18"/>
  <c r="BH38" i="18"/>
  <c r="BL37" i="18"/>
  <c r="BL40" i="17"/>
  <c r="BH41" i="17"/>
  <c r="B38" i="17"/>
  <c r="E37" i="17"/>
  <c r="P37" i="17"/>
  <c r="AW37" i="17"/>
  <c r="AY37" i="17" s="1"/>
  <c r="AK37" i="17"/>
  <c r="AM37" i="17" s="1"/>
  <c r="BI37" i="17"/>
  <c r="BK37" i="17" s="1"/>
  <c r="Y37" i="17"/>
  <c r="AA37" i="17" s="1"/>
  <c r="X38" i="17"/>
  <c r="AB37" i="17"/>
  <c r="AZ38" i="17"/>
  <c r="AV39" i="17"/>
  <c r="AN39" i="17"/>
  <c r="AJ40" i="17"/>
  <c r="AN37" i="16"/>
  <c r="AJ38" i="16"/>
  <c r="E38" i="16"/>
  <c r="P38" i="16"/>
  <c r="B39" i="16"/>
  <c r="AV39" i="16"/>
  <c r="AZ38" i="16"/>
  <c r="BI38" i="16"/>
  <c r="BK38" i="16" s="1"/>
  <c r="AW38" i="16"/>
  <c r="AY38" i="16" s="1"/>
  <c r="AB38" i="16"/>
  <c r="AK38" i="16"/>
  <c r="AM38" i="16" s="1"/>
  <c r="X39" i="16"/>
  <c r="Y38" i="16"/>
  <c r="AA38" i="16" s="1"/>
  <c r="BL39" i="16"/>
  <c r="BH40" i="16"/>
  <c r="BH38" i="14"/>
  <c r="BL37" i="14"/>
  <c r="P37" i="14"/>
  <c r="E37" i="14"/>
  <c r="AE17" i="14"/>
  <c r="AG17" i="14" s="1"/>
  <c r="AC18" i="14" s="1"/>
  <c r="AF16" i="14"/>
  <c r="AK37" i="14"/>
  <c r="AM37" i="14" s="1"/>
  <c r="AW37" i="14"/>
  <c r="AY37" i="14" s="1"/>
  <c r="AV79" i="14"/>
  <c r="AZ78" i="14"/>
  <c r="AJ38" i="14"/>
  <c r="AN37" i="14"/>
  <c r="X38" i="14"/>
  <c r="BI38" i="14" s="1"/>
  <c r="BK38" i="14" s="1"/>
  <c r="Y37" i="14"/>
  <c r="AA37" i="14" s="1"/>
  <c r="AB37" i="14"/>
  <c r="B38" i="14"/>
  <c r="AF15" i="19" l="1"/>
  <c r="AD16" i="19"/>
  <c r="AE16" i="19" s="1"/>
  <c r="AG16" i="19" s="1"/>
  <c r="AC17" i="19" s="1"/>
  <c r="BB15" i="19"/>
  <c r="BC15" i="19" s="1"/>
  <c r="BE15" i="19" s="1"/>
  <c r="BA16" i="19" s="1"/>
  <c r="BD14" i="19"/>
  <c r="AP15" i="19"/>
  <c r="AQ15" i="19" s="1"/>
  <c r="AS15" i="19" s="1"/>
  <c r="AO16" i="19" s="1"/>
  <c r="AR14" i="19"/>
  <c r="AP15" i="18"/>
  <c r="AQ15" i="18" s="1"/>
  <c r="AS15" i="18" s="1"/>
  <c r="AO16" i="18" s="1"/>
  <c r="AR14" i="18"/>
  <c r="AE13" i="18"/>
  <c r="AG13" i="18" s="1"/>
  <c r="AC14" i="18" s="1"/>
  <c r="AD12" i="16"/>
  <c r="AE12" i="16" s="1"/>
  <c r="AG12" i="16" s="1"/>
  <c r="AC13" i="16" s="1"/>
  <c r="AF11" i="16"/>
  <c r="BD17" i="17"/>
  <c r="AR17" i="14"/>
  <c r="AF17" i="17"/>
  <c r="AD18" i="17"/>
  <c r="AE18" i="17" s="1"/>
  <c r="AG18" i="17" s="1"/>
  <c r="AC19" i="17" s="1"/>
  <c r="BB18" i="17"/>
  <c r="BC18" i="17" s="1"/>
  <c r="BE18" i="17" s="1"/>
  <c r="BA19" i="17" s="1"/>
  <c r="AR18" i="17"/>
  <c r="AP18" i="14"/>
  <c r="AQ18" i="14" s="1"/>
  <c r="AS18" i="14" s="1"/>
  <c r="AO19" i="14" s="1"/>
  <c r="AQ19" i="17"/>
  <c r="AS19" i="17" s="1"/>
  <c r="AO20" i="17" s="1"/>
  <c r="AP20" i="17" s="1"/>
  <c r="AQ20" i="17" s="1"/>
  <c r="AS20" i="17" s="1"/>
  <c r="AO21" i="17" s="1"/>
  <c r="AQ18" i="16"/>
  <c r="AS18" i="16" s="1"/>
  <c r="AO19" i="16" s="1"/>
  <c r="AP19" i="16" s="1"/>
  <c r="BC18" i="14"/>
  <c r="BE18" i="14" s="1"/>
  <c r="BA19" i="14" s="1"/>
  <c r="AR17" i="16"/>
  <c r="BD17" i="14"/>
  <c r="BN18" i="18"/>
  <c r="BO18" i="18" s="1"/>
  <c r="BQ18" i="18" s="1"/>
  <c r="BM19" i="18" s="1"/>
  <c r="BP17" i="18"/>
  <c r="BP15" i="19"/>
  <c r="BN17" i="17"/>
  <c r="BO17" i="17" s="1"/>
  <c r="BQ17" i="17" s="1"/>
  <c r="BM18" i="17" s="1"/>
  <c r="BP16" i="16"/>
  <c r="BP16" i="17"/>
  <c r="BN17" i="16"/>
  <c r="BO17" i="16" s="1"/>
  <c r="BQ17" i="16" s="1"/>
  <c r="BM18" i="16" s="1"/>
  <c r="BN17" i="14"/>
  <c r="BO17" i="14" s="1"/>
  <c r="BQ17" i="14" s="1"/>
  <c r="BM18" i="14" s="1"/>
  <c r="BO16" i="19"/>
  <c r="BQ16" i="19" s="1"/>
  <c r="BM17" i="19" s="1"/>
  <c r="BP16" i="14"/>
  <c r="AA37" i="19"/>
  <c r="B39" i="15"/>
  <c r="F38" i="15"/>
  <c r="BD18" i="16"/>
  <c r="BC19" i="16"/>
  <c r="BE19" i="16" s="1"/>
  <c r="BA20" i="16" s="1"/>
  <c r="BB20" i="16" s="1"/>
  <c r="BH40" i="19"/>
  <c r="BL39" i="19"/>
  <c r="P38" i="19"/>
  <c r="B39" i="19"/>
  <c r="E38" i="19"/>
  <c r="X39" i="19"/>
  <c r="BI38" i="19"/>
  <c r="BK38" i="19" s="1"/>
  <c r="AW38" i="19"/>
  <c r="AY38" i="19" s="1"/>
  <c r="AB38" i="19"/>
  <c r="AK38" i="19"/>
  <c r="AM38" i="19" s="1"/>
  <c r="Y38" i="19"/>
  <c r="AN38" i="19"/>
  <c r="AJ39" i="19"/>
  <c r="AZ39" i="19"/>
  <c r="AV40" i="19"/>
  <c r="BA21" i="18"/>
  <c r="AZ39" i="18"/>
  <c r="AV40" i="18"/>
  <c r="AN39" i="18"/>
  <c r="AJ40" i="18"/>
  <c r="BD20" i="18"/>
  <c r="X39" i="18"/>
  <c r="Y38" i="18"/>
  <c r="AA38" i="18" s="1"/>
  <c r="BI38" i="18"/>
  <c r="BK38" i="18" s="1"/>
  <c r="AW38" i="18"/>
  <c r="AY38" i="18" s="1"/>
  <c r="AK38" i="18"/>
  <c r="AM38" i="18" s="1"/>
  <c r="AB38" i="18"/>
  <c r="BL38" i="18"/>
  <c r="BH39" i="18"/>
  <c r="P38" i="18"/>
  <c r="E38" i="18"/>
  <c r="B39" i="18"/>
  <c r="AK38" i="17"/>
  <c r="AM38" i="17" s="1"/>
  <c r="X39" i="17"/>
  <c r="Y38" i="17"/>
  <c r="AA38" i="17" s="1"/>
  <c r="AW38" i="17"/>
  <c r="AY38" i="17" s="1"/>
  <c r="BI38" i="17"/>
  <c r="BK38" i="17" s="1"/>
  <c r="AB38" i="17"/>
  <c r="BL41" i="17"/>
  <c r="BH42" i="17"/>
  <c r="AN40" i="17"/>
  <c r="AJ41" i="17"/>
  <c r="AZ39" i="17"/>
  <c r="AV40" i="17"/>
  <c r="E38" i="17"/>
  <c r="P38" i="17"/>
  <c r="B39" i="17"/>
  <c r="AZ39" i="16"/>
  <c r="AV40" i="16"/>
  <c r="AW39" i="16"/>
  <c r="AY39" i="16" s="1"/>
  <c r="AB39" i="16"/>
  <c r="AK39" i="16"/>
  <c r="AM39" i="16" s="1"/>
  <c r="X40" i="16"/>
  <c r="Y39" i="16"/>
  <c r="AA39" i="16" s="1"/>
  <c r="BI39" i="16"/>
  <c r="BK39" i="16" s="1"/>
  <c r="AJ39" i="16"/>
  <c r="AN38" i="16"/>
  <c r="P39" i="16"/>
  <c r="E39" i="16"/>
  <c r="B40" i="16"/>
  <c r="BL40" i="16"/>
  <c r="BH41" i="16"/>
  <c r="BH39" i="14"/>
  <c r="BL38" i="14"/>
  <c r="P38" i="14"/>
  <c r="E38" i="14"/>
  <c r="AF17" i="14"/>
  <c r="AK38" i="14"/>
  <c r="AM38" i="14" s="1"/>
  <c r="AW38" i="14"/>
  <c r="AY38" i="14" s="1"/>
  <c r="AV80" i="14"/>
  <c r="AZ79" i="14"/>
  <c r="AJ39" i="14"/>
  <c r="AN38" i="14"/>
  <c r="X39" i="14"/>
  <c r="BI39" i="14" s="1"/>
  <c r="BK39" i="14" s="1"/>
  <c r="AB38" i="14"/>
  <c r="Y38" i="14"/>
  <c r="AA38" i="14" s="1"/>
  <c r="AD18" i="14"/>
  <c r="B39" i="14"/>
  <c r="AD17" i="19" l="1"/>
  <c r="AE17" i="19" s="1"/>
  <c r="AG17" i="19" s="1"/>
  <c r="AC18" i="19" s="1"/>
  <c r="AF16" i="19"/>
  <c r="BB16" i="19"/>
  <c r="BC16" i="19" s="1"/>
  <c r="BE16" i="19" s="1"/>
  <c r="BA17" i="19" s="1"/>
  <c r="BD15" i="19"/>
  <c r="AP16" i="19"/>
  <c r="AQ16" i="19" s="1"/>
  <c r="AS16" i="19" s="1"/>
  <c r="AO17" i="19" s="1"/>
  <c r="AR15" i="19"/>
  <c r="AP16" i="18"/>
  <c r="AQ16" i="18" s="1"/>
  <c r="AS16" i="18" s="1"/>
  <c r="AO17" i="18" s="1"/>
  <c r="AR15" i="18"/>
  <c r="AD14" i="18"/>
  <c r="AF13" i="18"/>
  <c r="AD13" i="16"/>
  <c r="AE13" i="16" s="1"/>
  <c r="AG13" i="16" s="1"/>
  <c r="AC14" i="16" s="1"/>
  <c r="AF12" i="16"/>
  <c r="AR20" i="17"/>
  <c r="AR19" i="17"/>
  <c r="AR18" i="16"/>
  <c r="BD18" i="14"/>
  <c r="BB19" i="14"/>
  <c r="BC19" i="14" s="1"/>
  <c r="BE19" i="14" s="1"/>
  <c r="BA20" i="14" s="1"/>
  <c r="AD19" i="17"/>
  <c r="AE19" i="17" s="1"/>
  <c r="AG19" i="17" s="1"/>
  <c r="AC20" i="17" s="1"/>
  <c r="AD20" i="17" s="1"/>
  <c r="BB19" i="17"/>
  <c r="BC19" i="17" s="1"/>
  <c r="BE19" i="17" s="1"/>
  <c r="BA20" i="17" s="1"/>
  <c r="BB20" i="17" s="1"/>
  <c r="AF18" i="17"/>
  <c r="BD18" i="17"/>
  <c r="AQ19" i="16"/>
  <c r="AS19" i="16" s="1"/>
  <c r="AO20" i="16" s="1"/>
  <c r="AP20" i="16" s="1"/>
  <c r="AP19" i="14"/>
  <c r="AQ19" i="14" s="1"/>
  <c r="AS19" i="14" s="1"/>
  <c r="AO20" i="14" s="1"/>
  <c r="AR18" i="14"/>
  <c r="BN19" i="18"/>
  <c r="BO19" i="18" s="1"/>
  <c r="BQ19" i="18" s="1"/>
  <c r="BM20" i="18" s="1"/>
  <c r="BN20" i="18" s="1"/>
  <c r="BO20" i="18" s="1"/>
  <c r="BQ20" i="18" s="1"/>
  <c r="BM21" i="18" s="1"/>
  <c r="BN21" i="18" s="1"/>
  <c r="BP18" i="18"/>
  <c r="BP16" i="19"/>
  <c r="BN18" i="14"/>
  <c r="BO18" i="14" s="1"/>
  <c r="BQ18" i="14" s="1"/>
  <c r="BM19" i="14" s="1"/>
  <c r="BP17" i="14"/>
  <c r="BN18" i="16"/>
  <c r="BO18" i="16" s="1"/>
  <c r="BQ18" i="16" s="1"/>
  <c r="BM19" i="16" s="1"/>
  <c r="BN19" i="16" s="1"/>
  <c r="BP17" i="16"/>
  <c r="BN18" i="17"/>
  <c r="BO18" i="17" s="1"/>
  <c r="BQ18" i="17" s="1"/>
  <c r="BM19" i="17" s="1"/>
  <c r="BN19" i="17" s="1"/>
  <c r="BN17" i="19"/>
  <c r="BO17" i="19" s="1"/>
  <c r="BQ17" i="19" s="1"/>
  <c r="BM18" i="19" s="1"/>
  <c r="BN18" i="19" s="1"/>
  <c r="BP17" i="17"/>
  <c r="AA38" i="19"/>
  <c r="B40" i="15"/>
  <c r="F39" i="15"/>
  <c r="BD19" i="16"/>
  <c r="BC20" i="16"/>
  <c r="BE20" i="16" s="1"/>
  <c r="BA21" i="16" s="1"/>
  <c r="BB21" i="16" s="1"/>
  <c r="BC21" i="16" s="1"/>
  <c r="BE21" i="16" s="1"/>
  <c r="BA22" i="16" s="1"/>
  <c r="BL40" i="19"/>
  <c r="BH41" i="19"/>
  <c r="AV41" i="19"/>
  <c r="AZ40" i="19"/>
  <c r="AN39" i="19"/>
  <c r="AJ40" i="19"/>
  <c r="B40" i="19"/>
  <c r="P39" i="19"/>
  <c r="E39" i="19"/>
  <c r="AW39" i="19"/>
  <c r="AY39" i="19" s="1"/>
  <c r="AB39" i="19"/>
  <c r="AK39" i="19"/>
  <c r="AM39" i="19" s="1"/>
  <c r="X40" i="19"/>
  <c r="Y39" i="19"/>
  <c r="BI39" i="19"/>
  <c r="BK39" i="19" s="1"/>
  <c r="BH40" i="18"/>
  <c r="BL39" i="18"/>
  <c r="BB21" i="18"/>
  <c r="BC21" i="18" s="1"/>
  <c r="BE21" i="18" s="1"/>
  <c r="B40" i="18"/>
  <c r="E39" i="18"/>
  <c r="P39" i="18"/>
  <c r="AN40" i="18"/>
  <c r="AJ41" i="18"/>
  <c r="BI39" i="18"/>
  <c r="BK39" i="18" s="1"/>
  <c r="AW39" i="18"/>
  <c r="AY39" i="18" s="1"/>
  <c r="AB39" i="18"/>
  <c r="AK39" i="18"/>
  <c r="AM39" i="18" s="1"/>
  <c r="Y39" i="18"/>
  <c r="AA39" i="18" s="1"/>
  <c r="X40" i="18"/>
  <c r="AV41" i="18"/>
  <c r="AZ40" i="18"/>
  <c r="AP21" i="17"/>
  <c r="AQ21" i="17" s="1"/>
  <c r="AS21" i="17" s="1"/>
  <c r="Y39" i="17"/>
  <c r="AA39" i="17" s="1"/>
  <c r="BI39" i="17"/>
  <c r="BK39" i="17" s="1"/>
  <c r="AK39" i="17"/>
  <c r="AM39" i="17" s="1"/>
  <c r="X40" i="17"/>
  <c r="AB39" i="17"/>
  <c r="AW39" i="17"/>
  <c r="AY39" i="17" s="1"/>
  <c r="BL42" i="17"/>
  <c r="BH43" i="17"/>
  <c r="AV41" i="17"/>
  <c r="AZ40" i="17"/>
  <c r="AJ42" i="17"/>
  <c r="AN41" i="17"/>
  <c r="E39" i="17"/>
  <c r="B40" i="17"/>
  <c r="P39" i="17"/>
  <c r="AJ40" i="16"/>
  <c r="AN39" i="16"/>
  <c r="AK40" i="16"/>
  <c r="AM40" i="16" s="1"/>
  <c r="X41" i="16"/>
  <c r="Y40" i="16"/>
  <c r="AA40" i="16" s="1"/>
  <c r="BI40" i="16"/>
  <c r="BK40" i="16" s="1"/>
  <c r="AW40" i="16"/>
  <c r="AY40" i="16" s="1"/>
  <c r="AB40" i="16"/>
  <c r="P40" i="16"/>
  <c r="E40" i="16"/>
  <c r="B41" i="16"/>
  <c r="BH42" i="16"/>
  <c r="BL41" i="16"/>
  <c r="AZ40" i="16"/>
  <c r="AV41" i="16"/>
  <c r="BH40" i="14"/>
  <c r="BL39" i="14"/>
  <c r="P39" i="14"/>
  <c r="E39" i="14"/>
  <c r="AK39" i="14"/>
  <c r="AM39" i="14" s="1"/>
  <c r="AW39" i="14"/>
  <c r="AY39" i="14" s="1"/>
  <c r="AV81" i="14"/>
  <c r="AZ80" i="14"/>
  <c r="AJ40" i="14"/>
  <c r="AN39" i="14"/>
  <c r="X40" i="14"/>
  <c r="BI40" i="14" s="1"/>
  <c r="BK40" i="14" s="1"/>
  <c r="Y39" i="14"/>
  <c r="AA39" i="14" s="1"/>
  <c r="AB39" i="14"/>
  <c r="AE18" i="14"/>
  <c r="AG18" i="14" s="1"/>
  <c r="B40" i="14"/>
  <c r="AD18" i="19" l="1"/>
  <c r="AE18" i="19" s="1"/>
  <c r="AG18" i="19" s="1"/>
  <c r="AC19" i="19" s="1"/>
  <c r="AD19" i="19" s="1"/>
  <c r="AF17" i="19"/>
  <c r="BB17" i="19"/>
  <c r="BC17" i="19" s="1"/>
  <c r="BE17" i="19" s="1"/>
  <c r="BA18" i="19" s="1"/>
  <c r="BD16" i="19"/>
  <c r="AP17" i="19"/>
  <c r="AQ17" i="19" s="1"/>
  <c r="AS17" i="19" s="1"/>
  <c r="AO18" i="19" s="1"/>
  <c r="AP18" i="19" s="1"/>
  <c r="AR16" i="19"/>
  <c r="AP17" i="18"/>
  <c r="AQ17" i="18" s="1"/>
  <c r="AS17" i="18" s="1"/>
  <c r="AO18" i="18" s="1"/>
  <c r="AP18" i="18" s="1"/>
  <c r="AR16" i="18"/>
  <c r="AE14" i="18"/>
  <c r="AG14" i="18" s="1"/>
  <c r="AC15" i="18" s="1"/>
  <c r="AD14" i="16"/>
  <c r="AF13" i="16"/>
  <c r="AF19" i="17"/>
  <c r="BD19" i="14"/>
  <c r="AP20" i="14"/>
  <c r="AQ20" i="14" s="1"/>
  <c r="AS20" i="14" s="1"/>
  <c r="AO21" i="14" s="1"/>
  <c r="BC20" i="17"/>
  <c r="BE20" i="17" s="1"/>
  <c r="BA21" i="17" s="1"/>
  <c r="BB21" i="17" s="1"/>
  <c r="AR19" i="14"/>
  <c r="BD19" i="17"/>
  <c r="AR19" i="16"/>
  <c r="AE20" i="17"/>
  <c r="AG20" i="17" s="1"/>
  <c r="AC21" i="17" s="1"/>
  <c r="AD21" i="17" s="1"/>
  <c r="AE21" i="17" s="1"/>
  <c r="AG21" i="17" s="1"/>
  <c r="AC22" i="17" s="1"/>
  <c r="AQ20" i="16"/>
  <c r="AS20" i="16" s="1"/>
  <c r="AO21" i="16" s="1"/>
  <c r="AP21" i="16" s="1"/>
  <c r="BB20" i="14"/>
  <c r="BC20" i="14" s="1"/>
  <c r="BE20" i="14" s="1"/>
  <c r="BA21" i="14" s="1"/>
  <c r="BP20" i="18"/>
  <c r="BO21" i="18"/>
  <c r="BQ21" i="18" s="1"/>
  <c r="BM22" i="18" s="1"/>
  <c r="BN22" i="18" s="1"/>
  <c r="BO22" i="18" s="1"/>
  <c r="BQ22" i="18" s="1"/>
  <c r="BM23" i="18" s="1"/>
  <c r="BP19" i="18"/>
  <c r="BO19" i="17"/>
  <c r="BQ19" i="17" s="1"/>
  <c r="BM20" i="17" s="1"/>
  <c r="BO19" i="16"/>
  <c r="BQ19" i="16" s="1"/>
  <c r="BM20" i="16" s="1"/>
  <c r="BN20" i="16" s="1"/>
  <c r="BN19" i="14"/>
  <c r="BO19" i="14" s="1"/>
  <c r="BQ19" i="14" s="1"/>
  <c r="BM20" i="14" s="1"/>
  <c r="BP18" i="14"/>
  <c r="BP18" i="17"/>
  <c r="BO18" i="19"/>
  <c r="BQ18" i="19" s="1"/>
  <c r="BM19" i="19" s="1"/>
  <c r="BN19" i="19" s="1"/>
  <c r="BP17" i="19"/>
  <c r="BP18" i="16"/>
  <c r="AA39" i="19"/>
  <c r="BD21" i="16"/>
  <c r="B41" i="15"/>
  <c r="F40" i="15"/>
  <c r="BD20" i="16"/>
  <c r="AB40" i="19"/>
  <c r="AK40" i="19"/>
  <c r="AM40" i="19" s="1"/>
  <c r="X41" i="19"/>
  <c r="Y40" i="19"/>
  <c r="BI40" i="19"/>
  <c r="BK40" i="19" s="1"/>
  <c r="AW40" i="19"/>
  <c r="AY40" i="19" s="1"/>
  <c r="BL41" i="19"/>
  <c r="BH42" i="19"/>
  <c r="P40" i="19"/>
  <c r="E40" i="19"/>
  <c r="B41" i="19"/>
  <c r="AZ41" i="19"/>
  <c r="AV42" i="19"/>
  <c r="AN40" i="19"/>
  <c r="AJ41" i="19"/>
  <c r="AZ41" i="18"/>
  <c r="AV42" i="18"/>
  <c r="AW40" i="18"/>
  <c r="AY40" i="18" s="1"/>
  <c r="AB40" i="18"/>
  <c r="AK40" i="18"/>
  <c r="AM40" i="18" s="1"/>
  <c r="X41" i="18"/>
  <c r="Y40" i="18"/>
  <c r="AA40" i="18" s="1"/>
  <c r="BI40" i="18"/>
  <c r="BK40" i="18" s="1"/>
  <c r="AJ42" i="18"/>
  <c r="AN41" i="18"/>
  <c r="P40" i="18"/>
  <c r="E40" i="18"/>
  <c r="B41" i="18"/>
  <c r="BL40" i="18"/>
  <c r="BH41" i="18"/>
  <c r="BA22" i="18"/>
  <c r="BD21" i="18"/>
  <c r="AJ43" i="17"/>
  <c r="AN42" i="17"/>
  <c r="BH44" i="17"/>
  <c r="BL43" i="17"/>
  <c r="AO22" i="17"/>
  <c r="AZ41" i="17"/>
  <c r="AV42" i="17"/>
  <c r="AR21" i="17"/>
  <c r="E40" i="17"/>
  <c r="B41" i="17"/>
  <c r="P40" i="17"/>
  <c r="BI40" i="17"/>
  <c r="BK40" i="17" s="1"/>
  <c r="AW40" i="17"/>
  <c r="AY40" i="17" s="1"/>
  <c r="Y40" i="17"/>
  <c r="AA40" i="17" s="1"/>
  <c r="AB40" i="17"/>
  <c r="X41" i="17"/>
  <c r="AK40" i="17"/>
  <c r="AM40" i="17" s="1"/>
  <c r="AN40" i="16"/>
  <c r="AJ41" i="16"/>
  <c r="BB22" i="16"/>
  <c r="BC22" i="16" s="1"/>
  <c r="BE22" i="16" s="1"/>
  <c r="AV42" i="16"/>
  <c r="AZ41" i="16"/>
  <c r="E41" i="16"/>
  <c r="B42" i="16"/>
  <c r="P41" i="16"/>
  <c r="BH43" i="16"/>
  <c r="BL42" i="16"/>
  <c r="X42" i="16"/>
  <c r="Y41" i="16"/>
  <c r="AA41" i="16" s="1"/>
  <c r="BI41" i="16"/>
  <c r="BK41" i="16" s="1"/>
  <c r="AW41" i="16"/>
  <c r="AY41" i="16" s="1"/>
  <c r="AB41" i="16"/>
  <c r="AK41" i="16"/>
  <c r="AM41" i="16" s="1"/>
  <c r="BH41" i="14"/>
  <c r="BL40" i="14"/>
  <c r="P40" i="14"/>
  <c r="E40" i="14"/>
  <c r="AV82" i="14"/>
  <c r="AZ81" i="14"/>
  <c r="AK40" i="14"/>
  <c r="AM40" i="14" s="1"/>
  <c r="AW40" i="14"/>
  <c r="AY40" i="14" s="1"/>
  <c r="AJ41" i="14"/>
  <c r="AN40" i="14"/>
  <c r="X41" i="14"/>
  <c r="BI41" i="14" s="1"/>
  <c r="BK41" i="14" s="1"/>
  <c r="Y40" i="14"/>
  <c r="AA40" i="14" s="1"/>
  <c r="AB40" i="14"/>
  <c r="AC19" i="14"/>
  <c r="AF18" i="14"/>
  <c r="B41" i="14"/>
  <c r="AE19" i="19" l="1"/>
  <c r="AG19" i="19" s="1"/>
  <c r="AC20" i="19" s="1"/>
  <c r="AD20" i="19" s="1"/>
  <c r="AF18" i="19"/>
  <c r="BB18" i="19"/>
  <c r="BC18" i="19" s="1"/>
  <c r="BE18" i="19" s="1"/>
  <c r="BA19" i="19" s="1"/>
  <c r="BD17" i="19"/>
  <c r="AQ18" i="19"/>
  <c r="AS18" i="19" s="1"/>
  <c r="AO19" i="19" s="1"/>
  <c r="AR17" i="19"/>
  <c r="AQ18" i="18"/>
  <c r="AS18" i="18" s="1"/>
  <c r="AO19" i="18" s="1"/>
  <c r="AR17" i="18"/>
  <c r="AD15" i="18"/>
  <c r="AE15" i="18" s="1"/>
  <c r="AG15" i="18" s="1"/>
  <c r="AC16" i="18" s="1"/>
  <c r="AF14" i="18"/>
  <c r="AE14" i="16"/>
  <c r="AG14" i="16" s="1"/>
  <c r="AC15" i="16" s="1"/>
  <c r="BD20" i="17"/>
  <c r="AF20" i="17"/>
  <c r="AQ21" i="16"/>
  <c r="AS21" i="16" s="1"/>
  <c r="AO22" i="16" s="1"/>
  <c r="AP22" i="16" s="1"/>
  <c r="AQ22" i="16" s="1"/>
  <c r="AS22" i="16" s="1"/>
  <c r="AO23" i="16" s="1"/>
  <c r="BC21" i="17"/>
  <c r="BE21" i="17" s="1"/>
  <c r="BA22" i="17" s="1"/>
  <c r="BB22" i="17" s="1"/>
  <c r="BB21" i="14"/>
  <c r="BC21" i="14" s="1"/>
  <c r="BE21" i="14" s="1"/>
  <c r="BA22" i="14" s="1"/>
  <c r="AP21" i="14"/>
  <c r="AQ21" i="14" s="1"/>
  <c r="AS21" i="14" s="1"/>
  <c r="AO22" i="14" s="1"/>
  <c r="BD20" i="14"/>
  <c r="AR20" i="14"/>
  <c r="AF21" i="17"/>
  <c r="AR20" i="16"/>
  <c r="BP22" i="18"/>
  <c r="BP21" i="18"/>
  <c r="BP19" i="16"/>
  <c r="BP18" i="19"/>
  <c r="BP19" i="17"/>
  <c r="BN20" i="17"/>
  <c r="BO20" i="17" s="1"/>
  <c r="BQ20" i="17" s="1"/>
  <c r="BM21" i="17" s="1"/>
  <c r="BO19" i="19"/>
  <c r="BQ19" i="19" s="1"/>
  <c r="BM20" i="19" s="1"/>
  <c r="BN20" i="19" s="1"/>
  <c r="BN20" i="14"/>
  <c r="BO20" i="14" s="1"/>
  <c r="BQ20" i="14" s="1"/>
  <c r="BM21" i="14" s="1"/>
  <c r="BP19" i="14"/>
  <c r="BO20" i="16"/>
  <c r="BQ20" i="16" s="1"/>
  <c r="BM21" i="16" s="1"/>
  <c r="BN21" i="16" s="1"/>
  <c r="AA40" i="19"/>
  <c r="B42" i="15"/>
  <c r="F41" i="15"/>
  <c r="P41" i="19"/>
  <c r="E41" i="19"/>
  <c r="B42" i="19"/>
  <c r="AZ42" i="19"/>
  <c r="AV43" i="19"/>
  <c r="AB41" i="19"/>
  <c r="X42" i="19"/>
  <c r="Y41" i="19"/>
  <c r="BI41" i="19"/>
  <c r="BK41" i="19" s="1"/>
  <c r="AW41" i="19"/>
  <c r="AY41" i="19" s="1"/>
  <c r="AK41" i="19"/>
  <c r="AM41" i="19" s="1"/>
  <c r="AJ42" i="19"/>
  <c r="AN41" i="19"/>
  <c r="BL42" i="19"/>
  <c r="BH43" i="19"/>
  <c r="AB41" i="18"/>
  <c r="AK41" i="18"/>
  <c r="AM41" i="18" s="1"/>
  <c r="X42" i="18"/>
  <c r="Y41" i="18"/>
  <c r="AA41" i="18" s="1"/>
  <c r="BI41" i="18"/>
  <c r="BK41" i="18" s="1"/>
  <c r="AW41" i="18"/>
  <c r="AY41" i="18" s="1"/>
  <c r="AZ42" i="18"/>
  <c r="AV43" i="18"/>
  <c r="P41" i="18"/>
  <c r="E41" i="18"/>
  <c r="B42" i="18"/>
  <c r="BB22" i="18"/>
  <c r="BC22" i="18" s="1"/>
  <c r="BE22" i="18" s="1"/>
  <c r="BL41" i="18"/>
  <c r="BH42" i="18"/>
  <c r="AN42" i="18"/>
  <c r="AJ43" i="18"/>
  <c r="BN23" i="18"/>
  <c r="BO23" i="18" s="1"/>
  <c r="BQ23" i="18" s="1"/>
  <c r="AZ42" i="17"/>
  <c r="AV43" i="17"/>
  <c r="AW41" i="17"/>
  <c r="AY41" i="17" s="1"/>
  <c r="AB41" i="17"/>
  <c r="AK41" i="17"/>
  <c r="AM41" i="17" s="1"/>
  <c r="BI41" i="17"/>
  <c r="BK41" i="17" s="1"/>
  <c r="Y41" i="17"/>
  <c r="AA41" i="17" s="1"/>
  <c r="X42" i="17"/>
  <c r="AD22" i="17"/>
  <c r="B42" i="17"/>
  <c r="E41" i="17"/>
  <c r="P41" i="17"/>
  <c r="BL44" i="17"/>
  <c r="BH45" i="17"/>
  <c r="AP22" i="17"/>
  <c r="AQ22" i="17" s="1"/>
  <c r="AS22" i="17" s="1"/>
  <c r="AN43" i="17"/>
  <c r="AJ44" i="17"/>
  <c r="AW42" i="16"/>
  <c r="AY42" i="16" s="1"/>
  <c r="Y42" i="16"/>
  <c r="AA42" i="16" s="1"/>
  <c r="AK42" i="16"/>
  <c r="AM42" i="16" s="1"/>
  <c r="BI42" i="16"/>
  <c r="BK42" i="16" s="1"/>
  <c r="X43" i="16"/>
  <c r="AB42" i="16"/>
  <c r="AV43" i="16"/>
  <c r="AZ42" i="16"/>
  <c r="BH44" i="16"/>
  <c r="BL43" i="16"/>
  <c r="BA23" i="16"/>
  <c r="AJ42" i="16"/>
  <c r="AN41" i="16"/>
  <c r="BD22" i="16"/>
  <c r="B43" i="16"/>
  <c r="P42" i="16"/>
  <c r="E42" i="16"/>
  <c r="BH42" i="14"/>
  <c r="BL41" i="14"/>
  <c r="P41" i="14"/>
  <c r="E41" i="14"/>
  <c r="AK41" i="14"/>
  <c r="AM41" i="14" s="1"/>
  <c r="AW41" i="14"/>
  <c r="AY41" i="14" s="1"/>
  <c r="AV83" i="14"/>
  <c r="AZ82" i="14"/>
  <c r="AJ42" i="14"/>
  <c r="AN41" i="14"/>
  <c r="X42" i="14"/>
  <c r="BI42" i="14" s="1"/>
  <c r="BK42" i="14" s="1"/>
  <c r="AB41" i="14"/>
  <c r="Y41" i="14"/>
  <c r="AA41" i="14" s="1"/>
  <c r="AD19" i="14"/>
  <c r="B42" i="14"/>
  <c r="AF19" i="19" l="1"/>
  <c r="AE20" i="19"/>
  <c r="AG20" i="19" s="1"/>
  <c r="AC21" i="19" s="1"/>
  <c r="AD21" i="19" s="1"/>
  <c r="AE21" i="19" s="1"/>
  <c r="AG21" i="19" s="1"/>
  <c r="AC22" i="19" s="1"/>
  <c r="AR18" i="19"/>
  <c r="AR18" i="18"/>
  <c r="BB19" i="19"/>
  <c r="BC19" i="19" s="1"/>
  <c r="BE19" i="19" s="1"/>
  <c r="BA20" i="19" s="1"/>
  <c r="BD18" i="19"/>
  <c r="AP19" i="19"/>
  <c r="AQ19" i="19" s="1"/>
  <c r="AS19" i="19" s="1"/>
  <c r="AO20" i="19" s="1"/>
  <c r="AP19" i="18"/>
  <c r="AQ19" i="18" s="1"/>
  <c r="AS19" i="18" s="1"/>
  <c r="AO20" i="18" s="1"/>
  <c r="AD16" i="18"/>
  <c r="AE16" i="18" s="1"/>
  <c r="AG16" i="18" s="1"/>
  <c r="AC17" i="18" s="1"/>
  <c r="AF15" i="18"/>
  <c r="AD15" i="16"/>
  <c r="AE15" i="16" s="1"/>
  <c r="AG15" i="16" s="1"/>
  <c r="AC16" i="16" s="1"/>
  <c r="AF14" i="16"/>
  <c r="AR22" i="16"/>
  <c r="AR21" i="14"/>
  <c r="BD21" i="17"/>
  <c r="BD21" i="14"/>
  <c r="BB22" i="14"/>
  <c r="BC22" i="14" s="1"/>
  <c r="BE22" i="14" s="1"/>
  <c r="BA23" i="14" s="1"/>
  <c r="BB23" i="14" s="1"/>
  <c r="BC22" i="17"/>
  <c r="BE22" i="17" s="1"/>
  <c r="BA23" i="17" s="1"/>
  <c r="BB23" i="17" s="1"/>
  <c r="BC23" i="17" s="1"/>
  <c r="BE23" i="17" s="1"/>
  <c r="BA24" i="17" s="1"/>
  <c r="AP22" i="14"/>
  <c r="AQ22" i="14" s="1"/>
  <c r="AS22" i="14" s="1"/>
  <c r="AO23" i="14" s="1"/>
  <c r="AP23" i="14" s="1"/>
  <c r="AR21" i="16"/>
  <c r="BP20" i="16"/>
  <c r="BP19" i="19"/>
  <c r="BO21" i="16"/>
  <c r="BQ21" i="16" s="1"/>
  <c r="BM22" i="16" s="1"/>
  <c r="BN22" i="16" s="1"/>
  <c r="BN21" i="17"/>
  <c r="BO21" i="17" s="1"/>
  <c r="BQ21" i="17" s="1"/>
  <c r="BM22" i="17" s="1"/>
  <c r="BP20" i="17"/>
  <c r="BN21" i="14"/>
  <c r="BO21" i="14" s="1"/>
  <c r="BQ21" i="14" s="1"/>
  <c r="BM22" i="14" s="1"/>
  <c r="BN22" i="14" s="1"/>
  <c r="BP20" i="14"/>
  <c r="BO20" i="19"/>
  <c r="BQ20" i="19" s="1"/>
  <c r="BM21" i="19" s="1"/>
  <c r="BN21" i="19" s="1"/>
  <c r="AA41" i="19"/>
  <c r="B43" i="15"/>
  <c r="F42" i="15"/>
  <c r="AN42" i="19"/>
  <c r="AJ43" i="19"/>
  <c r="BH44" i="19"/>
  <c r="BL43" i="19"/>
  <c r="X43" i="19"/>
  <c r="BI42" i="19"/>
  <c r="BK42" i="19" s="1"/>
  <c r="AW42" i="19"/>
  <c r="AY42" i="19" s="1"/>
  <c r="AB42" i="19"/>
  <c r="AK42" i="19"/>
  <c r="AM42" i="19" s="1"/>
  <c r="Y42" i="19"/>
  <c r="P42" i="19"/>
  <c r="B43" i="19"/>
  <c r="E42" i="19"/>
  <c r="AZ43" i="19"/>
  <c r="AV44" i="19"/>
  <c r="BA23" i="18"/>
  <c r="BM24" i="18"/>
  <c r="BP23" i="18"/>
  <c r="AZ43" i="18"/>
  <c r="AV44" i="18"/>
  <c r="AN43" i="18"/>
  <c r="AJ44" i="18"/>
  <c r="BD22" i="18"/>
  <c r="P42" i="18"/>
  <c r="E42" i="18"/>
  <c r="B43" i="18"/>
  <c r="BL42" i="18"/>
  <c r="BH43" i="18"/>
  <c r="X43" i="18"/>
  <c r="Y42" i="18"/>
  <c r="AA42" i="18" s="1"/>
  <c r="BI42" i="18"/>
  <c r="BK42" i="18" s="1"/>
  <c r="AW42" i="18"/>
  <c r="AY42" i="18" s="1"/>
  <c r="AK42" i="18"/>
  <c r="AM42" i="18" s="1"/>
  <c r="AB42" i="18"/>
  <c r="AZ43" i="17"/>
  <c r="AV44" i="17"/>
  <c r="AN44" i="17"/>
  <c r="AJ45" i="17"/>
  <c r="BL45" i="17"/>
  <c r="BH46" i="17"/>
  <c r="AK42" i="17"/>
  <c r="AM42" i="17" s="1"/>
  <c r="X43" i="17"/>
  <c r="Y42" i="17"/>
  <c r="AA42" i="17" s="1"/>
  <c r="AW42" i="17"/>
  <c r="AY42" i="17" s="1"/>
  <c r="AB42" i="17"/>
  <c r="BI42" i="17"/>
  <c r="BK42" i="17" s="1"/>
  <c r="AO23" i="17"/>
  <c r="P42" i="17"/>
  <c r="E42" i="17"/>
  <c r="B43" i="17"/>
  <c r="AR22" i="17"/>
  <c r="AE22" i="17"/>
  <c r="AG22" i="17" s="1"/>
  <c r="AV44" i="16"/>
  <c r="AZ43" i="16"/>
  <c r="AJ43" i="16"/>
  <c r="AN42" i="16"/>
  <c r="BB23" i="16"/>
  <c r="E43" i="16"/>
  <c r="P43" i="16"/>
  <c r="B44" i="16"/>
  <c r="AP23" i="16"/>
  <c r="AQ23" i="16" s="1"/>
  <c r="AS23" i="16" s="1"/>
  <c r="BL44" i="16"/>
  <c r="BH45" i="16"/>
  <c r="AK43" i="16"/>
  <c r="AM43" i="16" s="1"/>
  <c r="BI43" i="16"/>
  <c r="BK43" i="16" s="1"/>
  <c r="X44" i="16"/>
  <c r="AB43" i="16"/>
  <c r="Y43" i="16"/>
  <c r="AA43" i="16" s="1"/>
  <c r="AW43" i="16"/>
  <c r="AY43" i="16" s="1"/>
  <c r="BH43" i="14"/>
  <c r="BL42" i="14"/>
  <c r="P42" i="14"/>
  <c r="E42" i="14"/>
  <c r="AV84" i="14"/>
  <c r="AZ83" i="14"/>
  <c r="AK42" i="14"/>
  <c r="AM42" i="14" s="1"/>
  <c r="AW42" i="14"/>
  <c r="AY42" i="14" s="1"/>
  <c r="AJ43" i="14"/>
  <c r="AN42" i="14"/>
  <c r="X43" i="14"/>
  <c r="BI43" i="14" s="1"/>
  <c r="BK43" i="14" s="1"/>
  <c r="AB42" i="14"/>
  <c r="Y42" i="14"/>
  <c r="AA42" i="14" s="1"/>
  <c r="AE19" i="14"/>
  <c r="AG19" i="14" s="1"/>
  <c r="B43" i="14"/>
  <c r="AF21" i="19" l="1"/>
  <c r="AF20" i="19"/>
  <c r="BB20" i="19"/>
  <c r="BD19" i="19"/>
  <c r="AP20" i="19"/>
  <c r="AQ20" i="19" s="1"/>
  <c r="AS20" i="19" s="1"/>
  <c r="AO21" i="19" s="1"/>
  <c r="AP21" i="19" s="1"/>
  <c r="AR19" i="19"/>
  <c r="AP20" i="18"/>
  <c r="AQ20" i="18" s="1"/>
  <c r="AS20" i="18" s="1"/>
  <c r="AO21" i="18" s="1"/>
  <c r="AR19" i="18"/>
  <c r="AD17" i="18"/>
  <c r="AE17" i="18" s="1"/>
  <c r="AG17" i="18" s="1"/>
  <c r="AC18" i="18" s="1"/>
  <c r="AF16" i="18"/>
  <c r="AD16" i="16"/>
  <c r="AE16" i="16" s="1"/>
  <c r="AG16" i="16" s="1"/>
  <c r="AC17" i="16" s="1"/>
  <c r="AF15" i="16"/>
  <c r="AR22" i="14"/>
  <c r="BD22" i="17"/>
  <c r="BD23" i="17"/>
  <c r="BC23" i="14"/>
  <c r="BE23" i="14" s="1"/>
  <c r="BA24" i="14" s="1"/>
  <c r="BB24" i="14" s="1"/>
  <c r="AQ23" i="14"/>
  <c r="AS23" i="14" s="1"/>
  <c r="AO24" i="14" s="1"/>
  <c r="AP24" i="14" s="1"/>
  <c r="BD22" i="14"/>
  <c r="BO22" i="14"/>
  <c r="BQ22" i="14" s="1"/>
  <c r="BM23" i="14" s="1"/>
  <c r="BN23" i="14" s="1"/>
  <c r="BN22" i="17"/>
  <c r="BO22" i="17" s="1"/>
  <c r="BQ22" i="17" s="1"/>
  <c r="BM23" i="17" s="1"/>
  <c r="BO22" i="16"/>
  <c r="BQ22" i="16" s="1"/>
  <c r="BM23" i="16" s="1"/>
  <c r="BP21" i="14"/>
  <c r="BO21" i="19"/>
  <c r="BQ21" i="19" s="1"/>
  <c r="BM22" i="19" s="1"/>
  <c r="BN22" i="19" s="1"/>
  <c r="BP21" i="17"/>
  <c r="BP20" i="19"/>
  <c r="BP21" i="16"/>
  <c r="AA42" i="19"/>
  <c r="B44" i="15"/>
  <c r="F43" i="15"/>
  <c r="B44" i="19"/>
  <c r="P43" i="19"/>
  <c r="E43" i="19"/>
  <c r="AV45" i="19"/>
  <c r="AZ44" i="19"/>
  <c r="AD22" i="19"/>
  <c r="AE22" i="19" s="1"/>
  <c r="AG22" i="19" s="1"/>
  <c r="BL44" i="19"/>
  <c r="BH45" i="19"/>
  <c r="AW43" i="19"/>
  <c r="AY43" i="19" s="1"/>
  <c r="AB43" i="19"/>
  <c r="AK43" i="19"/>
  <c r="AM43" i="19" s="1"/>
  <c r="X44" i="19"/>
  <c r="Y43" i="19"/>
  <c r="BI43" i="19"/>
  <c r="BK43" i="19" s="1"/>
  <c r="AN43" i="19"/>
  <c r="AJ44" i="19"/>
  <c r="B44" i="18"/>
  <c r="E43" i="18"/>
  <c r="P43" i="18"/>
  <c r="BH44" i="18"/>
  <c r="BL43" i="18"/>
  <c r="AN44" i="18"/>
  <c r="AJ45" i="18"/>
  <c r="AV45" i="18"/>
  <c r="AZ44" i="18"/>
  <c r="BN24" i="18"/>
  <c r="BI43" i="18"/>
  <c r="BK43" i="18" s="1"/>
  <c r="AW43" i="18"/>
  <c r="AY43" i="18" s="1"/>
  <c r="AB43" i="18"/>
  <c r="AK43" i="18"/>
  <c r="AM43" i="18" s="1"/>
  <c r="Y43" i="18"/>
  <c r="AA43" i="18" s="1"/>
  <c r="X44" i="18"/>
  <c r="BB23" i="18"/>
  <c r="BC23" i="18" s="1"/>
  <c r="BE23" i="18" s="1"/>
  <c r="AC23" i="17"/>
  <c r="AP23" i="17"/>
  <c r="AQ23" i="17" s="1"/>
  <c r="AS23" i="17" s="1"/>
  <c r="Y43" i="17"/>
  <c r="AA43" i="17" s="1"/>
  <c r="BI43" i="17"/>
  <c r="BK43" i="17" s="1"/>
  <c r="AK43" i="17"/>
  <c r="AM43" i="17" s="1"/>
  <c r="X44" i="17"/>
  <c r="AW43" i="17"/>
  <c r="AY43" i="17" s="1"/>
  <c r="AB43" i="17"/>
  <c r="AV45" i="17"/>
  <c r="AZ44" i="17"/>
  <c r="E43" i="17"/>
  <c r="B44" i="17"/>
  <c r="P43" i="17"/>
  <c r="BL46" i="17"/>
  <c r="BH47" i="17"/>
  <c r="BB24" i="17"/>
  <c r="BC24" i="17" s="1"/>
  <c r="BE24" i="17" s="1"/>
  <c r="AF22" i="17"/>
  <c r="AJ46" i="17"/>
  <c r="AN45" i="17"/>
  <c r="BH46" i="16"/>
  <c r="BL45" i="16"/>
  <c r="AV45" i="16"/>
  <c r="AZ44" i="16"/>
  <c r="E44" i="16"/>
  <c r="B45" i="16"/>
  <c r="P44" i="16"/>
  <c r="AO24" i="16"/>
  <c r="AJ44" i="16"/>
  <c r="AN43" i="16"/>
  <c r="AR23" i="16"/>
  <c r="Y44" i="16"/>
  <c r="AA44" i="16" s="1"/>
  <c r="AW44" i="16"/>
  <c r="AY44" i="16" s="1"/>
  <c r="AK44" i="16"/>
  <c r="AM44" i="16" s="1"/>
  <c r="BI44" i="16"/>
  <c r="BK44" i="16" s="1"/>
  <c r="X45" i="16"/>
  <c r="AB44" i="16"/>
  <c r="BC23" i="16"/>
  <c r="BE23" i="16" s="1"/>
  <c r="BH44" i="14"/>
  <c r="BL43" i="14"/>
  <c r="P43" i="14"/>
  <c r="E43" i="14"/>
  <c r="AK43" i="14"/>
  <c r="AM43" i="14" s="1"/>
  <c r="AW43" i="14"/>
  <c r="AY43" i="14" s="1"/>
  <c r="AV85" i="14"/>
  <c r="AZ84" i="14"/>
  <c r="AJ44" i="14"/>
  <c r="AN43" i="14"/>
  <c r="X44" i="14"/>
  <c r="BI44" i="14" s="1"/>
  <c r="BK44" i="14" s="1"/>
  <c r="AB43" i="14"/>
  <c r="Y43" i="14"/>
  <c r="AA43" i="14" s="1"/>
  <c r="AC20" i="14"/>
  <c r="AF19" i="14"/>
  <c r="B44" i="14"/>
  <c r="BC20" i="19" l="1"/>
  <c r="BE20" i="19" s="1"/>
  <c r="BA21" i="19" s="1"/>
  <c r="AQ21" i="19"/>
  <c r="AS21" i="19" s="1"/>
  <c r="AO22" i="19" s="1"/>
  <c r="AP22" i="19" s="1"/>
  <c r="AQ22" i="19" s="1"/>
  <c r="AS22" i="19" s="1"/>
  <c r="AO23" i="19" s="1"/>
  <c r="AR20" i="19"/>
  <c r="AP21" i="18"/>
  <c r="AQ21" i="18" s="1"/>
  <c r="AS21" i="18" s="1"/>
  <c r="AO22" i="18" s="1"/>
  <c r="AR20" i="18"/>
  <c r="AD18" i="18"/>
  <c r="AE18" i="18" s="1"/>
  <c r="AG18" i="18" s="1"/>
  <c r="AC19" i="18" s="1"/>
  <c r="AF17" i="18"/>
  <c r="AD17" i="16"/>
  <c r="AE17" i="16" s="1"/>
  <c r="AG17" i="16" s="1"/>
  <c r="AC18" i="16" s="1"/>
  <c r="AF16" i="16"/>
  <c r="BD23" i="14"/>
  <c r="AR23" i="14"/>
  <c r="AQ24" i="14"/>
  <c r="AS24" i="14" s="1"/>
  <c r="AO25" i="14" s="1"/>
  <c r="BC24" i="14"/>
  <c r="BE24" i="14" s="1"/>
  <c r="BA25" i="14" s="1"/>
  <c r="BB25" i="14" s="1"/>
  <c r="BP22" i="16"/>
  <c r="BP22" i="14"/>
  <c r="BN23" i="17"/>
  <c r="BO23" i="17" s="1"/>
  <c r="BQ23" i="17" s="1"/>
  <c r="BM24" i="17" s="1"/>
  <c r="BN24" i="17" s="1"/>
  <c r="BO22" i="19"/>
  <c r="BQ22" i="19" s="1"/>
  <c r="BM23" i="19" s="1"/>
  <c r="BN23" i="19" s="1"/>
  <c r="BN23" i="16"/>
  <c r="BO23" i="16" s="1"/>
  <c r="BQ23" i="16" s="1"/>
  <c r="BM24" i="16" s="1"/>
  <c r="BN24" i="16" s="1"/>
  <c r="BO24" i="16" s="1"/>
  <c r="BQ24" i="16" s="1"/>
  <c r="BP22" i="17"/>
  <c r="BP21" i="19"/>
  <c r="BO23" i="14"/>
  <c r="BQ23" i="14" s="1"/>
  <c r="BM24" i="14" s="1"/>
  <c r="BN24" i="14" s="1"/>
  <c r="AA43" i="19"/>
  <c r="B45" i="15"/>
  <c r="F44" i="15"/>
  <c r="AZ45" i="19"/>
  <c r="AV46" i="19"/>
  <c r="AN44" i="19"/>
  <c r="AJ45" i="19"/>
  <c r="BL45" i="19"/>
  <c r="BH46" i="19"/>
  <c r="P44" i="19"/>
  <c r="E44" i="19"/>
  <c r="B45" i="19"/>
  <c r="AC23" i="19"/>
  <c r="AB44" i="19"/>
  <c r="AK44" i="19"/>
  <c r="AM44" i="19" s="1"/>
  <c r="X45" i="19"/>
  <c r="Y44" i="19"/>
  <c r="BI44" i="19"/>
  <c r="BK44" i="19" s="1"/>
  <c r="AW44" i="19"/>
  <c r="AY44" i="19" s="1"/>
  <c r="AF22" i="19"/>
  <c r="AJ46" i="18"/>
  <c r="AN45" i="18"/>
  <c r="BD23" i="18"/>
  <c r="P44" i="18"/>
  <c r="E44" i="18"/>
  <c r="B45" i="18"/>
  <c r="AZ45" i="18"/>
  <c r="AV46" i="18"/>
  <c r="BL44" i="18"/>
  <c r="BH45" i="18"/>
  <c r="BA24" i="18"/>
  <c r="AW44" i="18"/>
  <c r="AY44" i="18" s="1"/>
  <c r="AB44" i="18"/>
  <c r="AK44" i="18"/>
  <c r="AM44" i="18" s="1"/>
  <c r="X45" i="18"/>
  <c r="Y44" i="18"/>
  <c r="AA44" i="18" s="1"/>
  <c r="BI44" i="18"/>
  <c r="BK44" i="18" s="1"/>
  <c r="BO24" i="18"/>
  <c r="BQ24" i="18" s="1"/>
  <c r="E44" i="17"/>
  <c r="B45" i="17"/>
  <c r="P44" i="17"/>
  <c r="AD23" i="17"/>
  <c r="AE23" i="17" s="1"/>
  <c r="AG23" i="17" s="1"/>
  <c r="BA25" i="17"/>
  <c r="BD24" i="17"/>
  <c r="AO24" i="17"/>
  <c r="BH48" i="17"/>
  <c r="BL47" i="17"/>
  <c r="AV46" i="17"/>
  <c r="AZ45" i="17"/>
  <c r="AR23" i="17"/>
  <c r="BI44" i="17"/>
  <c r="BK44" i="17" s="1"/>
  <c r="AW44" i="17"/>
  <c r="AY44" i="17" s="1"/>
  <c r="Y44" i="17"/>
  <c r="AA44" i="17" s="1"/>
  <c r="X45" i="17"/>
  <c r="AK44" i="17"/>
  <c r="AM44" i="17" s="1"/>
  <c r="AB44" i="17"/>
  <c r="AJ47" i="17"/>
  <c r="AN46" i="17"/>
  <c r="AP24" i="16"/>
  <c r="AQ24" i="16" s="1"/>
  <c r="AS24" i="16" s="1"/>
  <c r="BA24" i="16"/>
  <c r="AV46" i="16"/>
  <c r="AZ45" i="16"/>
  <c r="BD23" i="16"/>
  <c r="BI45" i="16"/>
  <c r="BK45" i="16" s="1"/>
  <c r="AK45" i="16"/>
  <c r="AM45" i="16" s="1"/>
  <c r="X46" i="16"/>
  <c r="AB45" i="16"/>
  <c r="Y45" i="16"/>
  <c r="AA45" i="16" s="1"/>
  <c r="AW45" i="16"/>
  <c r="AY45" i="16" s="1"/>
  <c r="AJ45" i="16"/>
  <c r="AN44" i="16"/>
  <c r="B46" i="16"/>
  <c r="E45" i="16"/>
  <c r="P45" i="16"/>
  <c r="BH47" i="16"/>
  <c r="BL46" i="16"/>
  <c r="BH45" i="14"/>
  <c r="BL44" i="14"/>
  <c r="P44" i="14"/>
  <c r="E44" i="14"/>
  <c r="AK44" i="14"/>
  <c r="AM44" i="14" s="1"/>
  <c r="AW44" i="14"/>
  <c r="AY44" i="14" s="1"/>
  <c r="AV86" i="14"/>
  <c r="AZ85" i="14"/>
  <c r="AJ45" i="14"/>
  <c r="AN44" i="14"/>
  <c r="X45" i="14"/>
  <c r="BI45" i="14" s="1"/>
  <c r="BK45" i="14" s="1"/>
  <c r="AB44" i="14"/>
  <c r="Y44" i="14"/>
  <c r="AA44" i="14" s="1"/>
  <c r="AD20" i="14"/>
  <c r="B45" i="14"/>
  <c r="BB21" i="19" l="1"/>
  <c r="BC21" i="19" s="1"/>
  <c r="BE21" i="19" s="1"/>
  <c r="BA22" i="19" s="1"/>
  <c r="BD20" i="19"/>
  <c r="AR22" i="19"/>
  <c r="AR21" i="19"/>
  <c r="AP22" i="18"/>
  <c r="AQ22" i="18" s="1"/>
  <c r="AS22" i="18" s="1"/>
  <c r="AO23" i="18" s="1"/>
  <c r="AP23" i="18" s="1"/>
  <c r="AR21" i="18"/>
  <c r="AD19" i="18"/>
  <c r="AE19" i="18" s="1"/>
  <c r="AG19" i="18" s="1"/>
  <c r="AC20" i="18" s="1"/>
  <c r="AF18" i="18"/>
  <c r="AF17" i="16"/>
  <c r="AD18" i="16"/>
  <c r="AE18" i="16" s="1"/>
  <c r="AG18" i="16" s="1"/>
  <c r="AC19" i="16" s="1"/>
  <c r="BD24" i="14"/>
  <c r="BC25" i="14"/>
  <c r="BE25" i="14" s="1"/>
  <c r="BA26" i="14" s="1"/>
  <c r="BB26" i="14" s="1"/>
  <c r="BC26" i="14" s="1"/>
  <c r="BE26" i="14" s="1"/>
  <c r="BA27" i="14" s="1"/>
  <c r="AR24" i="14"/>
  <c r="AP25" i="14"/>
  <c r="AQ25" i="14" s="1"/>
  <c r="AS25" i="14" s="1"/>
  <c r="AO26" i="14" s="1"/>
  <c r="AP26" i="14" s="1"/>
  <c r="BP22" i="19"/>
  <c r="BO24" i="17"/>
  <c r="BQ24" i="17" s="1"/>
  <c r="BM25" i="17" s="1"/>
  <c r="BN25" i="17" s="1"/>
  <c r="BP23" i="16"/>
  <c r="BO23" i="19"/>
  <c r="BQ23" i="19" s="1"/>
  <c r="BM24" i="19" s="1"/>
  <c r="BN24" i="19" s="1"/>
  <c r="BP23" i="14"/>
  <c r="BO24" i="14"/>
  <c r="BQ24" i="14" s="1"/>
  <c r="BM25" i="14" s="1"/>
  <c r="BN25" i="14" s="1"/>
  <c r="BP23" i="17"/>
  <c r="AA44" i="19"/>
  <c r="B46" i="15"/>
  <c r="F45" i="15"/>
  <c r="AB45" i="19"/>
  <c r="X46" i="19"/>
  <c r="Y45" i="19"/>
  <c r="BI45" i="19"/>
  <c r="BK45" i="19" s="1"/>
  <c r="AW45" i="19"/>
  <c r="AY45" i="19" s="1"/>
  <c r="AK45" i="19"/>
  <c r="AM45" i="19" s="1"/>
  <c r="P45" i="19"/>
  <c r="E45" i="19"/>
  <c r="B46" i="19"/>
  <c r="AJ46" i="19"/>
  <c r="AN45" i="19"/>
  <c r="AP23" i="19"/>
  <c r="AQ23" i="19" s="1"/>
  <c r="AS23" i="19" s="1"/>
  <c r="AZ46" i="19"/>
  <c r="AV47" i="19"/>
  <c r="AD23" i="19"/>
  <c r="BL46" i="19"/>
  <c r="BH47" i="19"/>
  <c r="BB24" i="18"/>
  <c r="BC24" i="18" s="1"/>
  <c r="BE24" i="18" s="1"/>
  <c r="BL45" i="18"/>
  <c r="BH46" i="18"/>
  <c r="AZ46" i="18"/>
  <c r="AV47" i="18"/>
  <c r="BM25" i="18"/>
  <c r="P45" i="18"/>
  <c r="E45" i="18"/>
  <c r="B46" i="18"/>
  <c r="AN46" i="18"/>
  <c r="AJ47" i="18"/>
  <c r="BP24" i="18"/>
  <c r="AB45" i="18"/>
  <c r="AK45" i="18"/>
  <c r="AM45" i="18" s="1"/>
  <c r="X46" i="18"/>
  <c r="Y45" i="18"/>
  <c r="AA45" i="18" s="1"/>
  <c r="BI45" i="18"/>
  <c r="BK45" i="18" s="1"/>
  <c r="AW45" i="18"/>
  <c r="AY45" i="18" s="1"/>
  <c r="AZ46" i="17"/>
  <c r="AV47" i="17"/>
  <c r="AF23" i="17"/>
  <c r="AJ48" i="17"/>
  <c r="AN47" i="17"/>
  <c r="AW45" i="17"/>
  <c r="AY45" i="17" s="1"/>
  <c r="AB45" i="17"/>
  <c r="AK45" i="17"/>
  <c r="AM45" i="17" s="1"/>
  <c r="BI45" i="17"/>
  <c r="BK45" i="17" s="1"/>
  <c r="Y45" i="17"/>
  <c r="AA45" i="17" s="1"/>
  <c r="X46" i="17"/>
  <c r="BH49" i="17"/>
  <c r="BL48" i="17"/>
  <c r="BB25" i="17"/>
  <c r="BC25" i="17" s="1"/>
  <c r="BE25" i="17" s="1"/>
  <c r="E45" i="17"/>
  <c r="B46" i="17"/>
  <c r="P45" i="17"/>
  <c r="AP24" i="17"/>
  <c r="AQ24" i="17" s="1"/>
  <c r="AS24" i="17" s="1"/>
  <c r="AC24" i="17"/>
  <c r="BM25" i="16"/>
  <c r="BP24" i="16"/>
  <c r="E46" i="16"/>
  <c r="B47" i="16"/>
  <c r="P46" i="16"/>
  <c r="AW46" i="16"/>
  <c r="AY46" i="16" s="1"/>
  <c r="Y46" i="16"/>
  <c r="AA46" i="16" s="1"/>
  <c r="AK46" i="16"/>
  <c r="AM46" i="16" s="1"/>
  <c r="BI46" i="16"/>
  <c r="BK46" i="16" s="1"/>
  <c r="X47" i="16"/>
  <c r="AB46" i="16"/>
  <c r="AV47" i="16"/>
  <c r="AZ46" i="16"/>
  <c r="BB24" i="16"/>
  <c r="BC24" i="16" s="1"/>
  <c r="BE24" i="16" s="1"/>
  <c r="BH48" i="16"/>
  <c r="BL47" i="16"/>
  <c r="AO25" i="16"/>
  <c r="AR24" i="16"/>
  <c r="AJ46" i="16"/>
  <c r="AN45" i="16"/>
  <c r="BH46" i="14"/>
  <c r="BL45" i="14"/>
  <c r="P45" i="14"/>
  <c r="E45" i="14"/>
  <c r="AV87" i="14"/>
  <c r="AZ86" i="14"/>
  <c r="AK45" i="14"/>
  <c r="AM45" i="14" s="1"/>
  <c r="AW45" i="14"/>
  <c r="AY45" i="14" s="1"/>
  <c r="AJ46" i="14"/>
  <c r="AN45" i="14"/>
  <c r="X46" i="14"/>
  <c r="BI46" i="14" s="1"/>
  <c r="BK46" i="14" s="1"/>
  <c r="Y45" i="14"/>
  <c r="AA45" i="14" s="1"/>
  <c r="AB45" i="14"/>
  <c r="AE20" i="14"/>
  <c r="AG20" i="14" s="1"/>
  <c r="B46" i="14"/>
  <c r="BB22" i="19" l="1"/>
  <c r="BC22" i="19" s="1"/>
  <c r="BE22" i="19" s="1"/>
  <c r="BA23" i="19" s="1"/>
  <c r="BD21" i="19"/>
  <c r="AQ23" i="18"/>
  <c r="AS23" i="18" s="1"/>
  <c r="AO24" i="18" s="1"/>
  <c r="AR22" i="18"/>
  <c r="AD20" i="18"/>
  <c r="AE20" i="18" s="1"/>
  <c r="AG20" i="18" s="1"/>
  <c r="AC21" i="18" s="1"/>
  <c r="AD21" i="18" s="1"/>
  <c r="AF19" i="18"/>
  <c r="AD19" i="16"/>
  <c r="AE19" i="16" s="1"/>
  <c r="AG19" i="16" s="1"/>
  <c r="AC20" i="16" s="1"/>
  <c r="AF18" i="16"/>
  <c r="AQ26" i="14"/>
  <c r="AS26" i="14" s="1"/>
  <c r="AO27" i="14" s="1"/>
  <c r="AP27" i="14" s="1"/>
  <c r="AQ27" i="14" s="1"/>
  <c r="AS27" i="14" s="1"/>
  <c r="AO28" i="14" s="1"/>
  <c r="AR25" i="14"/>
  <c r="BD26" i="14"/>
  <c r="BD25" i="14"/>
  <c r="BP24" i="14"/>
  <c r="BP23" i="19"/>
  <c r="BO25" i="14"/>
  <c r="BQ25" i="14" s="1"/>
  <c r="BM26" i="14" s="1"/>
  <c r="BN26" i="14" s="1"/>
  <c r="BO24" i="19"/>
  <c r="BQ24" i="19" s="1"/>
  <c r="BM25" i="19" s="1"/>
  <c r="BN25" i="19" s="1"/>
  <c r="BP24" i="17"/>
  <c r="BO25" i="17"/>
  <c r="BQ25" i="17" s="1"/>
  <c r="BM26" i="17" s="1"/>
  <c r="AA45" i="19"/>
  <c r="B47" i="15"/>
  <c r="F46" i="15"/>
  <c r="AJ47" i="19"/>
  <c r="AN46" i="19"/>
  <c r="AV48" i="19"/>
  <c r="AZ47" i="19"/>
  <c r="BL47" i="19"/>
  <c r="BH48" i="19"/>
  <c r="P46" i="19"/>
  <c r="B47" i="19"/>
  <c r="E46" i="19"/>
  <c r="AO24" i="19"/>
  <c r="X47" i="19"/>
  <c r="BI46" i="19"/>
  <c r="BK46" i="19" s="1"/>
  <c r="AW46" i="19"/>
  <c r="AY46" i="19" s="1"/>
  <c r="AB46" i="19"/>
  <c r="AK46" i="19"/>
  <c r="AM46" i="19" s="1"/>
  <c r="Y46" i="19"/>
  <c r="AR23" i="19"/>
  <c r="AE23" i="19"/>
  <c r="AG23" i="19" s="1"/>
  <c r="X47" i="18"/>
  <c r="Y46" i="18"/>
  <c r="AA46" i="18" s="1"/>
  <c r="BI46" i="18"/>
  <c r="BK46" i="18" s="1"/>
  <c r="AW46" i="18"/>
  <c r="AY46" i="18" s="1"/>
  <c r="AK46" i="18"/>
  <c r="AM46" i="18" s="1"/>
  <c r="AB46" i="18"/>
  <c r="AN47" i="18"/>
  <c r="AJ48" i="18"/>
  <c r="AZ47" i="18"/>
  <c r="AV48" i="18"/>
  <c r="BA25" i="18"/>
  <c r="BL46" i="18"/>
  <c r="BH47" i="18"/>
  <c r="BD24" i="18"/>
  <c r="P46" i="18"/>
  <c r="E46" i="18"/>
  <c r="B47" i="18"/>
  <c r="BN25" i="18"/>
  <c r="BO25" i="18" s="1"/>
  <c r="BQ25" i="18" s="1"/>
  <c r="P46" i="17"/>
  <c r="E46" i="17"/>
  <c r="B47" i="17"/>
  <c r="AD24" i="17"/>
  <c r="AE24" i="17" s="1"/>
  <c r="AG24" i="17" s="1"/>
  <c r="AO25" i="17"/>
  <c r="AK46" i="17"/>
  <c r="AM46" i="17" s="1"/>
  <c r="X47" i="17"/>
  <c r="Y46" i="17"/>
  <c r="AA46" i="17" s="1"/>
  <c r="AW46" i="17"/>
  <c r="AY46" i="17" s="1"/>
  <c r="AB46" i="17"/>
  <c r="BI46" i="17"/>
  <c r="BK46" i="17" s="1"/>
  <c r="AJ49" i="17"/>
  <c r="AN48" i="17"/>
  <c r="AR24" i="17"/>
  <c r="BA26" i="17"/>
  <c r="AZ47" i="17"/>
  <c r="AV48" i="17"/>
  <c r="BH50" i="17"/>
  <c r="BL49" i="17"/>
  <c r="BD25" i="17"/>
  <c r="BA25" i="16"/>
  <c r="AP25" i="16"/>
  <c r="AQ25" i="16" s="1"/>
  <c r="AS25" i="16" s="1"/>
  <c r="BD24" i="16"/>
  <c r="BN25" i="16"/>
  <c r="BO25" i="16" s="1"/>
  <c r="BQ25" i="16" s="1"/>
  <c r="AN46" i="16"/>
  <c r="AJ47" i="16"/>
  <c r="AV48" i="16"/>
  <c r="AZ47" i="16"/>
  <c r="B48" i="16"/>
  <c r="E47" i="16"/>
  <c r="P47" i="16"/>
  <c r="BH49" i="16"/>
  <c r="BL48" i="16"/>
  <c r="AK47" i="16"/>
  <c r="AM47" i="16" s="1"/>
  <c r="BI47" i="16"/>
  <c r="BK47" i="16" s="1"/>
  <c r="X48" i="16"/>
  <c r="AB47" i="16"/>
  <c r="Y47" i="16"/>
  <c r="AA47" i="16" s="1"/>
  <c r="AW47" i="16"/>
  <c r="AY47" i="16" s="1"/>
  <c r="BH47" i="14"/>
  <c r="BL46" i="14"/>
  <c r="P46" i="14"/>
  <c r="E46" i="14"/>
  <c r="AK46" i="14"/>
  <c r="AM46" i="14" s="1"/>
  <c r="AW46" i="14"/>
  <c r="AY46" i="14" s="1"/>
  <c r="AV88" i="14"/>
  <c r="AZ87" i="14"/>
  <c r="BB27" i="14"/>
  <c r="BC27" i="14" s="1"/>
  <c r="BE27" i="14" s="1"/>
  <c r="AJ47" i="14"/>
  <c r="AN46" i="14"/>
  <c r="X47" i="14"/>
  <c r="BI47" i="14" s="1"/>
  <c r="BK47" i="14" s="1"/>
  <c r="AB46" i="14"/>
  <c r="Y46" i="14"/>
  <c r="AA46" i="14" s="1"/>
  <c r="AC21" i="14"/>
  <c r="AF20" i="14"/>
  <c r="B47" i="14"/>
  <c r="AR23" i="18" l="1"/>
  <c r="AR27" i="14"/>
  <c r="BB23" i="19"/>
  <c r="BC23" i="19" s="1"/>
  <c r="BE23" i="19" s="1"/>
  <c r="BA24" i="19" s="1"/>
  <c r="BD22" i="19"/>
  <c r="AP24" i="18"/>
  <c r="AQ24" i="18" s="1"/>
  <c r="AS24" i="18" s="1"/>
  <c r="AO25" i="18" s="1"/>
  <c r="AE21" i="18"/>
  <c r="AG21" i="18" s="1"/>
  <c r="AC22" i="18" s="1"/>
  <c r="AD22" i="18" s="1"/>
  <c r="AF20" i="18"/>
  <c r="AD20" i="16"/>
  <c r="AE20" i="16" s="1"/>
  <c r="AG20" i="16" s="1"/>
  <c r="AC21" i="16" s="1"/>
  <c r="AD21" i="16" s="1"/>
  <c r="AF19" i="16"/>
  <c r="AR26" i="14"/>
  <c r="BP25" i="14"/>
  <c r="BP25" i="17"/>
  <c r="BN26" i="17"/>
  <c r="BO26" i="17" s="1"/>
  <c r="BQ26" i="17" s="1"/>
  <c r="BM27" i="17" s="1"/>
  <c r="BN27" i="17" s="1"/>
  <c r="BP24" i="19"/>
  <c r="BO25" i="19"/>
  <c r="BQ25" i="19" s="1"/>
  <c r="BM26" i="19" s="1"/>
  <c r="BN26" i="19" s="1"/>
  <c r="BO26" i="14"/>
  <c r="BQ26" i="14" s="1"/>
  <c r="BM27" i="14" s="1"/>
  <c r="BN27" i="14" s="1"/>
  <c r="BO27" i="14" s="1"/>
  <c r="BQ27" i="14" s="1"/>
  <c r="BM28" i="14" s="1"/>
  <c r="AA46" i="19"/>
  <c r="B48" i="15"/>
  <c r="F47" i="15"/>
  <c r="AK47" i="19"/>
  <c r="AM47" i="19" s="1"/>
  <c r="Y47" i="19"/>
  <c r="BI47" i="19"/>
  <c r="BK47" i="19" s="1"/>
  <c r="AW47" i="19"/>
  <c r="AY47" i="19" s="1"/>
  <c r="X48" i="19"/>
  <c r="AB47" i="19"/>
  <c r="E47" i="19"/>
  <c r="P47" i="19"/>
  <c r="B48" i="19"/>
  <c r="AV49" i="19"/>
  <c r="AZ48" i="19"/>
  <c r="AC24" i="19"/>
  <c r="AP24" i="19"/>
  <c r="AQ24" i="19" s="1"/>
  <c r="AS24" i="19" s="1"/>
  <c r="BH49" i="19"/>
  <c r="BL48" i="19"/>
  <c r="AJ48" i="19"/>
  <c r="AN47" i="19"/>
  <c r="AF23" i="19"/>
  <c r="BM26" i="18"/>
  <c r="AN48" i="18"/>
  <c r="AJ49" i="18"/>
  <c r="B48" i="18"/>
  <c r="E47" i="18"/>
  <c r="P47" i="18"/>
  <c r="BB25" i="18"/>
  <c r="BC25" i="18" s="1"/>
  <c r="BE25" i="18" s="1"/>
  <c r="BP25" i="18"/>
  <c r="AV49" i="18"/>
  <c r="AZ48" i="18"/>
  <c r="BH48" i="18"/>
  <c r="BL47" i="18"/>
  <c r="BI47" i="18"/>
  <c r="BK47" i="18" s="1"/>
  <c r="AW47" i="18"/>
  <c r="AY47" i="18" s="1"/>
  <c r="AB47" i="18"/>
  <c r="AK47" i="18"/>
  <c r="AM47" i="18" s="1"/>
  <c r="Y47" i="18"/>
  <c r="AA47" i="18" s="1"/>
  <c r="X48" i="18"/>
  <c r="AF24" i="17"/>
  <c r="BL50" i="17"/>
  <c r="BH51" i="17"/>
  <c r="Y47" i="17"/>
  <c r="AA47" i="17" s="1"/>
  <c r="BI47" i="17"/>
  <c r="BK47" i="17" s="1"/>
  <c r="AK47" i="17"/>
  <c r="AM47" i="17" s="1"/>
  <c r="X48" i="17"/>
  <c r="AW47" i="17"/>
  <c r="AY47" i="17" s="1"/>
  <c r="AB47" i="17"/>
  <c r="AV49" i="17"/>
  <c r="AZ48" i="17"/>
  <c r="E47" i="17"/>
  <c r="B48" i="17"/>
  <c r="P47" i="17"/>
  <c r="AC25" i="17"/>
  <c r="BB26" i="17"/>
  <c r="BC26" i="17" s="1"/>
  <c r="BE26" i="17" s="1"/>
  <c r="AN49" i="17"/>
  <c r="AJ50" i="17"/>
  <c r="AP25" i="17"/>
  <c r="AQ25" i="17" s="1"/>
  <c r="AS25" i="17" s="1"/>
  <c r="AV49" i="16"/>
  <c r="AZ48" i="16"/>
  <c r="AJ48" i="16"/>
  <c r="AN47" i="16"/>
  <c r="Y48" i="16"/>
  <c r="AA48" i="16" s="1"/>
  <c r="AW48" i="16"/>
  <c r="AY48" i="16" s="1"/>
  <c r="X49" i="16"/>
  <c r="AB48" i="16"/>
  <c r="AK48" i="16"/>
  <c r="AM48" i="16" s="1"/>
  <c r="BI48" i="16"/>
  <c r="BK48" i="16" s="1"/>
  <c r="AO26" i="16"/>
  <c r="AR25" i="16"/>
  <c r="E48" i="16"/>
  <c r="P48" i="16"/>
  <c r="B49" i="16"/>
  <c r="BM26" i="16"/>
  <c r="BH50" i="16"/>
  <c r="BL49" i="16"/>
  <c r="BP25" i="16"/>
  <c r="BB25" i="16"/>
  <c r="BC25" i="16" s="1"/>
  <c r="BE25" i="16" s="1"/>
  <c r="BH48" i="14"/>
  <c r="BL47" i="14"/>
  <c r="P47" i="14"/>
  <c r="E47" i="14"/>
  <c r="AK47" i="14"/>
  <c r="AM47" i="14" s="1"/>
  <c r="AW47" i="14"/>
  <c r="AY47" i="14" s="1"/>
  <c r="AV89" i="14"/>
  <c r="AZ88" i="14"/>
  <c r="BA28" i="14"/>
  <c r="BD27" i="14"/>
  <c r="AJ48" i="14"/>
  <c r="AN47" i="14"/>
  <c r="AP28" i="14"/>
  <c r="AQ28" i="14" s="1"/>
  <c r="AS28" i="14" s="1"/>
  <c r="X48" i="14"/>
  <c r="BI48" i="14" s="1"/>
  <c r="BK48" i="14" s="1"/>
  <c r="Y47" i="14"/>
  <c r="AA47" i="14" s="1"/>
  <c r="AB47" i="14"/>
  <c r="AD21" i="14"/>
  <c r="B48" i="14"/>
  <c r="AF21" i="18" l="1"/>
  <c r="BB24" i="19"/>
  <c r="BC24" i="19" s="1"/>
  <c r="BE24" i="19" s="1"/>
  <c r="BA25" i="19" s="1"/>
  <c r="BD23" i="19"/>
  <c r="AP25" i="18"/>
  <c r="AQ25" i="18" s="1"/>
  <c r="AS25" i="18" s="1"/>
  <c r="AO26" i="18" s="1"/>
  <c r="AP26" i="18" s="1"/>
  <c r="AR24" i="18"/>
  <c r="AE22" i="18"/>
  <c r="AG22" i="18" s="1"/>
  <c r="AC23" i="18" s="1"/>
  <c r="AD23" i="18" s="1"/>
  <c r="AE21" i="16"/>
  <c r="AG21" i="16" s="1"/>
  <c r="AC22" i="16" s="1"/>
  <c r="AD22" i="16" s="1"/>
  <c r="AF20" i="16"/>
  <c r="BP25" i="19"/>
  <c r="BO27" i="17"/>
  <c r="BQ27" i="17" s="1"/>
  <c r="BM28" i="17" s="1"/>
  <c r="BN28" i="17" s="1"/>
  <c r="BP26" i="14"/>
  <c r="BO26" i="19"/>
  <c r="BQ26" i="19" s="1"/>
  <c r="BM27" i="19" s="1"/>
  <c r="BN27" i="19" s="1"/>
  <c r="BP26" i="17"/>
  <c r="BP27" i="14"/>
  <c r="AA47" i="19"/>
  <c r="B49" i="15"/>
  <c r="F48" i="15"/>
  <c r="AD24" i="19"/>
  <c r="AE24" i="19" s="1"/>
  <c r="AG24" i="19" s="1"/>
  <c r="BH50" i="19"/>
  <c r="BL49" i="19"/>
  <c r="AN48" i="19"/>
  <c r="AJ49" i="19"/>
  <c r="AV50" i="19"/>
  <c r="AZ49" i="19"/>
  <c r="Y48" i="19"/>
  <c r="BI48" i="19"/>
  <c r="BK48" i="19" s="1"/>
  <c r="AW48" i="19"/>
  <c r="AY48" i="19" s="1"/>
  <c r="X49" i="19"/>
  <c r="AK48" i="19"/>
  <c r="AM48" i="19" s="1"/>
  <c r="AB48" i="19"/>
  <c r="AO25" i="19"/>
  <c r="E48" i="19"/>
  <c r="P48" i="19"/>
  <c r="B49" i="19"/>
  <c r="AR24" i="19"/>
  <c r="AJ50" i="18"/>
  <c r="AN49" i="18"/>
  <c r="AZ49" i="18"/>
  <c r="AV50" i="18"/>
  <c r="P48" i="18"/>
  <c r="E48" i="18"/>
  <c r="B49" i="18"/>
  <c r="BL48" i="18"/>
  <c r="BH49" i="18"/>
  <c r="BA26" i="18"/>
  <c r="AW48" i="18"/>
  <c r="AY48" i="18" s="1"/>
  <c r="AB48" i="18"/>
  <c r="AK48" i="18"/>
  <c r="AM48" i="18" s="1"/>
  <c r="X49" i="18"/>
  <c r="Y48" i="18"/>
  <c r="AA48" i="18" s="1"/>
  <c r="BI48" i="18"/>
  <c r="BK48" i="18" s="1"/>
  <c r="BD25" i="18"/>
  <c r="BN26" i="18"/>
  <c r="BO26" i="18" s="1"/>
  <c r="BQ26" i="18" s="1"/>
  <c r="BA27" i="17"/>
  <c r="AJ51" i="17"/>
  <c r="AN50" i="17"/>
  <c r="BI48" i="17"/>
  <c r="BK48" i="17" s="1"/>
  <c r="X49" i="17"/>
  <c r="Y48" i="17"/>
  <c r="AA48" i="17" s="1"/>
  <c r="AK48" i="17"/>
  <c r="AM48" i="17" s="1"/>
  <c r="AW48" i="17"/>
  <c r="AY48" i="17" s="1"/>
  <c r="AB48" i="17"/>
  <c r="AD25" i="17"/>
  <c r="AE25" i="17" s="1"/>
  <c r="AG25" i="17" s="1"/>
  <c r="AO26" i="17"/>
  <c r="BD26" i="17"/>
  <c r="BL51" i="17"/>
  <c r="BH52" i="17"/>
  <c r="AV50" i="17"/>
  <c r="AZ49" i="17"/>
  <c r="AR25" i="17"/>
  <c r="B49" i="17"/>
  <c r="E48" i="17"/>
  <c r="P48" i="17"/>
  <c r="BH51" i="16"/>
  <c r="BL50" i="16"/>
  <c r="AJ49" i="16"/>
  <c r="AN48" i="16"/>
  <c r="BA26" i="16"/>
  <c r="BD25" i="16"/>
  <c r="BN26" i="16"/>
  <c r="BO26" i="16" s="1"/>
  <c r="BQ26" i="16" s="1"/>
  <c r="AV50" i="16"/>
  <c r="AZ49" i="16"/>
  <c r="BI49" i="16"/>
  <c r="BK49" i="16" s="1"/>
  <c r="AK49" i="16"/>
  <c r="AM49" i="16" s="1"/>
  <c r="AW49" i="16"/>
  <c r="AY49" i="16" s="1"/>
  <c r="X50" i="16"/>
  <c r="AB49" i="16"/>
  <c r="Y49" i="16"/>
  <c r="AA49" i="16" s="1"/>
  <c r="B50" i="16"/>
  <c r="E49" i="16"/>
  <c r="P49" i="16"/>
  <c r="AP26" i="16"/>
  <c r="AQ26" i="16" s="1"/>
  <c r="AS26" i="16" s="1"/>
  <c r="BH49" i="14"/>
  <c r="BL48" i="14"/>
  <c r="BN28" i="14"/>
  <c r="BO28" i="14" s="1"/>
  <c r="BQ28" i="14" s="1"/>
  <c r="P48" i="14"/>
  <c r="E48" i="14"/>
  <c r="AV90" i="14"/>
  <c r="AZ89" i="14"/>
  <c r="AK48" i="14"/>
  <c r="AM48" i="14" s="1"/>
  <c r="AW48" i="14"/>
  <c r="AY48" i="14" s="1"/>
  <c r="BB28" i="14"/>
  <c r="BC28" i="14" s="1"/>
  <c r="BE28" i="14" s="1"/>
  <c r="AJ49" i="14"/>
  <c r="AN48" i="14"/>
  <c r="AO29" i="14"/>
  <c r="AR28" i="14"/>
  <c r="X49" i="14"/>
  <c r="BI49" i="14" s="1"/>
  <c r="BK49" i="14" s="1"/>
  <c r="Y48" i="14"/>
  <c r="AA48" i="14" s="1"/>
  <c r="AB48" i="14"/>
  <c r="AE21" i="14"/>
  <c r="AG21" i="14" s="1"/>
  <c r="B49" i="14"/>
  <c r="AF22" i="18" l="1"/>
  <c r="AF21" i="16"/>
  <c r="BB25" i="19"/>
  <c r="BC25" i="19" s="1"/>
  <c r="BE25" i="19" s="1"/>
  <c r="BA26" i="19" s="1"/>
  <c r="BD24" i="19"/>
  <c r="AQ26" i="18"/>
  <c r="AS26" i="18" s="1"/>
  <c r="AO27" i="18" s="1"/>
  <c r="AR25" i="18"/>
  <c r="AE23" i="18"/>
  <c r="AG23" i="18" s="1"/>
  <c r="AC24" i="18" s="1"/>
  <c r="AD24" i="18" s="1"/>
  <c r="AE22" i="16"/>
  <c r="AG22" i="16" s="1"/>
  <c r="AC23" i="16" s="1"/>
  <c r="AD23" i="16" s="1"/>
  <c r="BP26" i="19"/>
  <c r="BP27" i="17"/>
  <c r="BO28" i="17"/>
  <c r="BQ28" i="17" s="1"/>
  <c r="BM29" i="17" s="1"/>
  <c r="BO27" i="19"/>
  <c r="BQ27" i="19" s="1"/>
  <c r="BM28" i="19" s="1"/>
  <c r="BN28" i="19" s="1"/>
  <c r="AA48" i="19"/>
  <c r="B50" i="15"/>
  <c r="F49" i="15"/>
  <c r="AP25" i="19"/>
  <c r="AQ25" i="19" s="1"/>
  <c r="AS25" i="19" s="1"/>
  <c r="AV51" i="19"/>
  <c r="AZ50" i="19"/>
  <c r="AJ50" i="19"/>
  <c r="AN49" i="19"/>
  <c r="P49" i="19"/>
  <c r="B50" i="19"/>
  <c r="E49" i="19"/>
  <c r="BI49" i="19"/>
  <c r="BK49" i="19" s="1"/>
  <c r="AW49" i="19"/>
  <c r="AY49" i="19" s="1"/>
  <c r="AK49" i="19"/>
  <c r="AM49" i="19" s="1"/>
  <c r="X50" i="19"/>
  <c r="AB49" i="19"/>
  <c r="Y49" i="19"/>
  <c r="AC25" i="19"/>
  <c r="AF24" i="19"/>
  <c r="BH51" i="19"/>
  <c r="BL50" i="19"/>
  <c r="AB49" i="18"/>
  <c r="AK49" i="18"/>
  <c r="AM49" i="18" s="1"/>
  <c r="X50" i="18"/>
  <c r="Y49" i="18"/>
  <c r="AA49" i="18" s="1"/>
  <c r="BI49" i="18"/>
  <c r="BK49" i="18" s="1"/>
  <c r="AW49" i="18"/>
  <c r="AY49" i="18" s="1"/>
  <c r="BL49" i="18"/>
  <c r="BH50" i="18"/>
  <c r="BP26" i="18"/>
  <c r="BM27" i="18"/>
  <c r="AJ51" i="18"/>
  <c r="AN50" i="18"/>
  <c r="BB26" i="18"/>
  <c r="BC26" i="18" s="1"/>
  <c r="BE26" i="18" s="1"/>
  <c r="P49" i="18"/>
  <c r="E49" i="18"/>
  <c r="B50" i="18"/>
  <c r="AV51" i="18"/>
  <c r="AZ50" i="18"/>
  <c r="AC26" i="17"/>
  <c r="AV51" i="17"/>
  <c r="AZ50" i="17"/>
  <c r="BH53" i="17"/>
  <c r="BL52" i="17"/>
  <c r="AW49" i="17"/>
  <c r="AY49" i="17" s="1"/>
  <c r="Y49" i="17"/>
  <c r="AA49" i="17" s="1"/>
  <c r="AK49" i="17"/>
  <c r="AM49" i="17" s="1"/>
  <c r="BI49" i="17"/>
  <c r="BK49" i="17" s="1"/>
  <c r="X50" i="17"/>
  <c r="AB49" i="17"/>
  <c r="E49" i="17"/>
  <c r="B50" i="17"/>
  <c r="P49" i="17"/>
  <c r="AJ52" i="17"/>
  <c r="AN51" i="17"/>
  <c r="AF25" i="17"/>
  <c r="BB27" i="17"/>
  <c r="BC27" i="17" s="1"/>
  <c r="BE27" i="17" s="1"/>
  <c r="AP26" i="17"/>
  <c r="AQ26" i="17" s="1"/>
  <c r="AS26" i="17" s="1"/>
  <c r="AW50" i="16"/>
  <c r="AY50" i="16" s="1"/>
  <c r="Y50" i="16"/>
  <c r="AA50" i="16" s="1"/>
  <c r="X51" i="16"/>
  <c r="AB50" i="16"/>
  <c r="AK50" i="16"/>
  <c r="AM50" i="16" s="1"/>
  <c r="BI50" i="16"/>
  <c r="BK50" i="16" s="1"/>
  <c r="AJ50" i="16"/>
  <c r="AN49" i="16"/>
  <c r="E50" i="16"/>
  <c r="P50" i="16"/>
  <c r="B51" i="16"/>
  <c r="BB26" i="16"/>
  <c r="BC26" i="16" s="1"/>
  <c r="BE26" i="16" s="1"/>
  <c r="BH52" i="16"/>
  <c r="BL51" i="16"/>
  <c r="AV51" i="16"/>
  <c r="AZ50" i="16"/>
  <c r="AO27" i="16"/>
  <c r="BM27" i="16"/>
  <c r="AR26" i="16"/>
  <c r="BP26" i="16"/>
  <c r="BH50" i="14"/>
  <c r="BL49" i="14"/>
  <c r="BM29" i="14"/>
  <c r="BP28" i="14"/>
  <c r="P49" i="14"/>
  <c r="E49" i="14"/>
  <c r="AK49" i="14"/>
  <c r="AM49" i="14" s="1"/>
  <c r="AW49" i="14"/>
  <c r="AY49" i="14" s="1"/>
  <c r="AV91" i="14"/>
  <c r="AZ90" i="14"/>
  <c r="BA29" i="14"/>
  <c r="BD28" i="14"/>
  <c r="AJ50" i="14"/>
  <c r="AN49" i="14"/>
  <c r="AP29" i="14"/>
  <c r="AQ29" i="14" s="1"/>
  <c r="AS29" i="14" s="1"/>
  <c r="AF21" i="14"/>
  <c r="X50" i="14"/>
  <c r="BI50" i="14" s="1"/>
  <c r="BK50" i="14" s="1"/>
  <c r="AB49" i="14"/>
  <c r="Y49" i="14"/>
  <c r="AA49" i="14" s="1"/>
  <c r="AC22" i="14"/>
  <c r="B50" i="14"/>
  <c r="AR26" i="18" l="1"/>
  <c r="AF23" i="18"/>
  <c r="AF22" i="16"/>
  <c r="BB26" i="19"/>
  <c r="BC26" i="19" s="1"/>
  <c r="BE26" i="19" s="1"/>
  <c r="BA27" i="19" s="1"/>
  <c r="BD25" i="19"/>
  <c r="AP27" i="18"/>
  <c r="AQ27" i="18" s="1"/>
  <c r="AS27" i="18" s="1"/>
  <c r="AO28" i="18" s="1"/>
  <c r="AP28" i="18" s="1"/>
  <c r="AE24" i="18"/>
  <c r="AG24" i="18" s="1"/>
  <c r="AC25" i="18" s="1"/>
  <c r="AD25" i="18" s="1"/>
  <c r="AE23" i="16"/>
  <c r="AG23" i="16" s="1"/>
  <c r="AC24" i="16" s="1"/>
  <c r="AD24" i="16" s="1"/>
  <c r="BP28" i="17"/>
  <c r="BP27" i="19"/>
  <c r="BO28" i="19"/>
  <c r="BQ28" i="19" s="1"/>
  <c r="BM29" i="19" s="1"/>
  <c r="BN29" i="19" s="1"/>
  <c r="AA49" i="19"/>
  <c r="B51" i="15"/>
  <c r="F50" i="15"/>
  <c r="AO26" i="19"/>
  <c r="AD25" i="19"/>
  <c r="AE25" i="19" s="1"/>
  <c r="AG25" i="19" s="1"/>
  <c r="BH52" i="19"/>
  <c r="BL51" i="19"/>
  <c r="E50" i="19"/>
  <c r="B51" i="19"/>
  <c r="P50" i="19"/>
  <c r="AN50" i="19"/>
  <c r="AJ51" i="19"/>
  <c r="AV52" i="19"/>
  <c r="AZ51" i="19"/>
  <c r="AW50" i="19"/>
  <c r="AY50" i="19" s="1"/>
  <c r="AK50" i="19"/>
  <c r="AM50" i="19" s="1"/>
  <c r="Y50" i="19"/>
  <c r="X51" i="19"/>
  <c r="BI50" i="19"/>
  <c r="BK50" i="19" s="1"/>
  <c r="AB50" i="19"/>
  <c r="AR25" i="19"/>
  <c r="AJ52" i="18"/>
  <c r="AN51" i="18"/>
  <c r="BN27" i="18"/>
  <c r="BO27" i="18" s="1"/>
  <c r="BQ27" i="18" s="1"/>
  <c r="Y50" i="18"/>
  <c r="AA50" i="18" s="1"/>
  <c r="X51" i="18"/>
  <c r="BI50" i="18"/>
  <c r="BK50" i="18" s="1"/>
  <c r="AW50" i="18"/>
  <c r="AY50" i="18" s="1"/>
  <c r="AK50" i="18"/>
  <c r="AM50" i="18" s="1"/>
  <c r="AB50" i="18"/>
  <c r="AV52" i="18"/>
  <c r="AZ51" i="18"/>
  <c r="BA27" i="18"/>
  <c r="BD26" i="18"/>
  <c r="BL50" i="18"/>
  <c r="BH51" i="18"/>
  <c r="P50" i="18"/>
  <c r="E50" i="18"/>
  <c r="B51" i="18"/>
  <c r="AV52" i="17"/>
  <c r="AZ51" i="17"/>
  <c r="AO27" i="17"/>
  <c r="E50" i="17"/>
  <c r="P50" i="17"/>
  <c r="B51" i="17"/>
  <c r="AR26" i="17"/>
  <c r="BN29" i="17"/>
  <c r="BO29" i="17" s="1"/>
  <c r="BQ29" i="17" s="1"/>
  <c r="BA28" i="17"/>
  <c r="BD27" i="17"/>
  <c r="AK50" i="17"/>
  <c r="AM50" i="17" s="1"/>
  <c r="BI50" i="17"/>
  <c r="BK50" i="17" s="1"/>
  <c r="X51" i="17"/>
  <c r="AB50" i="17"/>
  <c r="Y50" i="17"/>
  <c r="AA50" i="17" s="1"/>
  <c r="AW50" i="17"/>
  <c r="AY50" i="17" s="1"/>
  <c r="BH54" i="17"/>
  <c r="BL53" i="17"/>
  <c r="AN52" i="17"/>
  <c r="AJ53" i="17"/>
  <c r="AD26" i="17"/>
  <c r="BN27" i="16"/>
  <c r="BO27" i="16" s="1"/>
  <c r="BQ27" i="16" s="1"/>
  <c r="B52" i="16"/>
  <c r="E51" i="16"/>
  <c r="P51" i="16"/>
  <c r="AP27" i="16"/>
  <c r="AQ27" i="16" s="1"/>
  <c r="AS27" i="16" s="1"/>
  <c r="BH53" i="16"/>
  <c r="BL52" i="16"/>
  <c r="BA27" i="16"/>
  <c r="AK51" i="16"/>
  <c r="AM51" i="16" s="1"/>
  <c r="BI51" i="16"/>
  <c r="BK51" i="16" s="1"/>
  <c r="Y51" i="16"/>
  <c r="AA51" i="16" s="1"/>
  <c r="AW51" i="16"/>
  <c r="AY51" i="16" s="1"/>
  <c r="X52" i="16"/>
  <c r="AB51" i="16"/>
  <c r="BD26" i="16"/>
  <c r="AV52" i="16"/>
  <c r="AZ51" i="16"/>
  <c r="AJ51" i="16"/>
  <c r="AN50" i="16"/>
  <c r="BH51" i="14"/>
  <c r="BL50" i="14"/>
  <c r="BN29" i="14"/>
  <c r="BO29" i="14" s="1"/>
  <c r="BQ29" i="14" s="1"/>
  <c r="P50" i="14"/>
  <c r="E50" i="14"/>
  <c r="AV92" i="14"/>
  <c r="AZ91" i="14"/>
  <c r="AK50" i="14"/>
  <c r="AM50" i="14" s="1"/>
  <c r="AW50" i="14"/>
  <c r="AY50" i="14" s="1"/>
  <c r="BB29" i="14"/>
  <c r="BC29" i="14" s="1"/>
  <c r="BE29" i="14" s="1"/>
  <c r="AJ51" i="14"/>
  <c r="AN50" i="14"/>
  <c r="AO30" i="14"/>
  <c r="AR29" i="14"/>
  <c r="X51" i="14"/>
  <c r="BI51" i="14" s="1"/>
  <c r="BK51" i="14" s="1"/>
  <c r="AB50" i="14"/>
  <c r="Y50" i="14"/>
  <c r="AA50" i="14" s="1"/>
  <c r="AD22" i="14"/>
  <c r="B51" i="14"/>
  <c r="AF23" i="16" l="1"/>
  <c r="BB27" i="19"/>
  <c r="BD26" i="19"/>
  <c r="AQ28" i="18"/>
  <c r="AS28" i="18" s="1"/>
  <c r="AO29" i="18" s="1"/>
  <c r="AR27" i="18"/>
  <c r="AF24" i="18"/>
  <c r="AE25" i="18"/>
  <c r="AG25" i="18" s="1"/>
  <c r="AC26" i="18" s="1"/>
  <c r="AD26" i="18" s="1"/>
  <c r="AE24" i="16"/>
  <c r="AG24" i="16" s="1"/>
  <c r="AC25" i="16" s="1"/>
  <c r="AD25" i="16" s="1"/>
  <c r="BP28" i="19"/>
  <c r="BO29" i="19"/>
  <c r="BQ29" i="19" s="1"/>
  <c r="BM30" i="19" s="1"/>
  <c r="BN30" i="19" s="1"/>
  <c r="AA50" i="19"/>
  <c r="B52" i="15"/>
  <c r="F51" i="15"/>
  <c r="BL52" i="19"/>
  <c r="BH53" i="19"/>
  <c r="AZ52" i="19"/>
  <c r="AV53" i="19"/>
  <c r="E51" i="19"/>
  <c r="B52" i="19"/>
  <c r="P51" i="19"/>
  <c r="AP26" i="19"/>
  <c r="AQ26" i="19" s="1"/>
  <c r="AS26" i="19" s="1"/>
  <c r="AB51" i="19"/>
  <c r="AK51" i="19"/>
  <c r="AM51" i="19" s="1"/>
  <c r="Y51" i="19"/>
  <c r="BI51" i="19"/>
  <c r="BK51" i="19" s="1"/>
  <c r="AW51" i="19"/>
  <c r="AY51" i="19" s="1"/>
  <c r="X52" i="19"/>
  <c r="AJ52" i="19"/>
  <c r="AN51" i="19"/>
  <c r="AC26" i="19"/>
  <c r="AF25" i="19"/>
  <c r="BM28" i="18"/>
  <c r="B52" i="18"/>
  <c r="E51" i="18"/>
  <c r="P51" i="18"/>
  <c r="AK51" i="18"/>
  <c r="AM51" i="18" s="1"/>
  <c r="X52" i="18"/>
  <c r="Y51" i="18"/>
  <c r="AA51" i="18" s="1"/>
  <c r="BI51" i="18"/>
  <c r="BK51" i="18" s="1"/>
  <c r="AB51" i="18"/>
  <c r="AW51" i="18"/>
  <c r="AY51" i="18" s="1"/>
  <c r="BP27" i="18"/>
  <c r="AZ52" i="18"/>
  <c r="AV53" i="18"/>
  <c r="AJ53" i="18"/>
  <c r="AN52" i="18"/>
  <c r="BL51" i="18"/>
  <c r="BH52" i="18"/>
  <c r="BB27" i="18"/>
  <c r="BC27" i="18" s="1"/>
  <c r="BE27" i="18" s="1"/>
  <c r="E51" i="17"/>
  <c r="P51" i="17"/>
  <c r="B52" i="17"/>
  <c r="AN53" i="17"/>
  <c r="AJ54" i="17"/>
  <c r="Y51" i="17"/>
  <c r="AA51" i="17" s="1"/>
  <c r="AW51" i="17"/>
  <c r="AY51" i="17" s="1"/>
  <c r="AK51" i="17"/>
  <c r="AM51" i="17" s="1"/>
  <c r="BI51" i="17"/>
  <c r="BK51" i="17" s="1"/>
  <c r="X52" i="17"/>
  <c r="AB51" i="17"/>
  <c r="BB28" i="17"/>
  <c r="BC28" i="17" s="1"/>
  <c r="BE28" i="17" s="1"/>
  <c r="AZ52" i="17"/>
  <c r="AV53" i="17"/>
  <c r="BM30" i="17"/>
  <c r="BL54" i="17"/>
  <c r="BH55" i="17"/>
  <c r="BP29" i="17"/>
  <c r="AP27" i="17"/>
  <c r="AQ27" i="17" s="1"/>
  <c r="AS27" i="17" s="1"/>
  <c r="AE26" i="17"/>
  <c r="AG26" i="17" s="1"/>
  <c r="Y52" i="16"/>
  <c r="AA52" i="16" s="1"/>
  <c r="AW52" i="16"/>
  <c r="AY52" i="16" s="1"/>
  <c r="X53" i="16"/>
  <c r="AB52" i="16"/>
  <c r="AK52" i="16"/>
  <c r="AM52" i="16" s="1"/>
  <c r="BI52" i="16"/>
  <c r="BK52" i="16" s="1"/>
  <c r="AV53" i="16"/>
  <c r="AZ52" i="16"/>
  <c r="E52" i="16"/>
  <c r="P52" i="16"/>
  <c r="B53" i="16"/>
  <c r="AJ52" i="16"/>
  <c r="AN51" i="16"/>
  <c r="BH54" i="16"/>
  <c r="BL53" i="16"/>
  <c r="BB27" i="16"/>
  <c r="AO28" i="16"/>
  <c r="BM28" i="16"/>
  <c r="AR27" i="16"/>
  <c r="BP27" i="16"/>
  <c r="BH52" i="14"/>
  <c r="BL51" i="14"/>
  <c r="BM30" i="14"/>
  <c r="BP29" i="14"/>
  <c r="P51" i="14"/>
  <c r="E51" i="14"/>
  <c r="AK51" i="14"/>
  <c r="AM51" i="14" s="1"/>
  <c r="AW51" i="14"/>
  <c r="AY51" i="14" s="1"/>
  <c r="AV93" i="14"/>
  <c r="AZ92" i="14"/>
  <c r="BA30" i="14"/>
  <c r="BD29" i="14"/>
  <c r="AJ52" i="14"/>
  <c r="AN51" i="14"/>
  <c r="AP30" i="14"/>
  <c r="AQ30" i="14" s="1"/>
  <c r="AS30" i="14" s="1"/>
  <c r="X52" i="14"/>
  <c r="BI52" i="14" s="1"/>
  <c r="BK52" i="14" s="1"/>
  <c r="AB51" i="14"/>
  <c r="Y51" i="14"/>
  <c r="AA51" i="14" s="1"/>
  <c r="AE22" i="14"/>
  <c r="AG22" i="14" s="1"/>
  <c r="B52" i="14"/>
  <c r="AR28" i="18" l="1"/>
  <c r="BC27" i="19"/>
  <c r="BE27" i="19" s="1"/>
  <c r="BA28" i="19" s="1"/>
  <c r="BB28" i="19" s="1"/>
  <c r="AP29" i="18"/>
  <c r="AQ29" i="18" s="1"/>
  <c r="AS29" i="18" s="1"/>
  <c r="AO30" i="18" s="1"/>
  <c r="AP30" i="18" s="1"/>
  <c r="AF25" i="18"/>
  <c r="AE26" i="18"/>
  <c r="AG26" i="18" s="1"/>
  <c r="AC27" i="18" s="1"/>
  <c r="AD27" i="18" s="1"/>
  <c r="AF24" i="16"/>
  <c r="AE25" i="16"/>
  <c r="AG25" i="16" s="1"/>
  <c r="AC26" i="16" s="1"/>
  <c r="BP29" i="19"/>
  <c r="BO30" i="19"/>
  <c r="BQ30" i="19" s="1"/>
  <c r="BM31" i="19" s="1"/>
  <c r="AA51" i="19"/>
  <c r="B53" i="15"/>
  <c r="F52" i="15"/>
  <c r="AO27" i="19"/>
  <c r="AJ53" i="19"/>
  <c r="AN52" i="19"/>
  <c r="X53" i="19"/>
  <c r="Y52" i="19"/>
  <c r="BI52" i="19"/>
  <c r="BK52" i="19" s="1"/>
  <c r="AW52" i="19"/>
  <c r="AY52" i="19" s="1"/>
  <c r="AB52" i="19"/>
  <c r="AK52" i="19"/>
  <c r="AM52" i="19" s="1"/>
  <c r="AZ53" i="19"/>
  <c r="AV54" i="19"/>
  <c r="P52" i="19"/>
  <c r="E52" i="19"/>
  <c r="B53" i="19"/>
  <c r="BH54" i="19"/>
  <c r="BL53" i="19"/>
  <c r="AD26" i="19"/>
  <c r="AE26" i="19" s="1"/>
  <c r="AG26" i="19" s="1"/>
  <c r="AR26" i="19"/>
  <c r="BA28" i="18"/>
  <c r="AV54" i="18"/>
  <c r="AZ53" i="18"/>
  <c r="BN28" i="18"/>
  <c r="Y52" i="18"/>
  <c r="AA52" i="18" s="1"/>
  <c r="BI52" i="18"/>
  <c r="BK52" i="18" s="1"/>
  <c r="AW52" i="18"/>
  <c r="AY52" i="18" s="1"/>
  <c r="X53" i="18"/>
  <c r="AB52" i="18"/>
  <c r="AK52" i="18"/>
  <c r="AM52" i="18" s="1"/>
  <c r="BD27" i="18"/>
  <c r="BH53" i="18"/>
  <c r="BL52" i="18"/>
  <c r="E52" i="18"/>
  <c r="B53" i="18"/>
  <c r="P52" i="18"/>
  <c r="AN53" i="18"/>
  <c r="AJ54" i="18"/>
  <c r="AO28" i="17"/>
  <c r="BA29" i="17"/>
  <c r="B53" i="17"/>
  <c r="E52" i="17"/>
  <c r="P52" i="17"/>
  <c r="AC27" i="17"/>
  <c r="BH56" i="17"/>
  <c r="BL55" i="17"/>
  <c r="AR27" i="17"/>
  <c r="BI52" i="17"/>
  <c r="BK52" i="17" s="1"/>
  <c r="AK52" i="17"/>
  <c r="AM52" i="17" s="1"/>
  <c r="X53" i="17"/>
  <c r="AW52" i="17"/>
  <c r="AY52" i="17" s="1"/>
  <c r="Y52" i="17"/>
  <c r="AA52" i="17" s="1"/>
  <c r="AB52" i="17"/>
  <c r="BN30" i="17"/>
  <c r="BO30" i="17" s="1"/>
  <c r="BQ30" i="17" s="1"/>
  <c r="BD28" i="17"/>
  <c r="AN54" i="17"/>
  <c r="AJ55" i="17"/>
  <c r="AV54" i="17"/>
  <c r="AZ53" i="17"/>
  <c r="AF26" i="17"/>
  <c r="BH55" i="16"/>
  <c r="BL54" i="16"/>
  <c r="BN28" i="16"/>
  <c r="BO28" i="16" s="1"/>
  <c r="BQ28" i="16" s="1"/>
  <c r="AJ53" i="16"/>
  <c r="AN52" i="16"/>
  <c r="B54" i="16"/>
  <c r="E53" i="16"/>
  <c r="P53" i="16"/>
  <c r="AP28" i="16"/>
  <c r="AQ28" i="16" s="1"/>
  <c r="AS28" i="16" s="1"/>
  <c r="AZ53" i="16"/>
  <c r="AV54" i="16"/>
  <c r="BI53" i="16"/>
  <c r="BK53" i="16" s="1"/>
  <c r="AK53" i="16"/>
  <c r="AM53" i="16" s="1"/>
  <c r="Y53" i="16"/>
  <c r="AA53" i="16" s="1"/>
  <c r="AW53" i="16"/>
  <c r="AY53" i="16" s="1"/>
  <c r="X54" i="16"/>
  <c r="AB53" i="16"/>
  <c r="BC27" i="16"/>
  <c r="BE27" i="16" s="1"/>
  <c r="BH53" i="14"/>
  <c r="BL52" i="14"/>
  <c r="BN30" i="14"/>
  <c r="BO30" i="14" s="1"/>
  <c r="BQ30" i="14" s="1"/>
  <c r="P52" i="14"/>
  <c r="E52" i="14"/>
  <c r="AV94" i="14"/>
  <c r="AZ93" i="14"/>
  <c r="AK52" i="14"/>
  <c r="AM52" i="14" s="1"/>
  <c r="AW52" i="14"/>
  <c r="AY52" i="14" s="1"/>
  <c r="BB30" i="14"/>
  <c r="BC30" i="14" s="1"/>
  <c r="BE30" i="14" s="1"/>
  <c r="AJ53" i="14"/>
  <c r="AN52" i="14"/>
  <c r="AO31" i="14"/>
  <c r="AR30" i="14"/>
  <c r="X53" i="14"/>
  <c r="BI53" i="14" s="1"/>
  <c r="BK53" i="14" s="1"/>
  <c r="AB52" i="14"/>
  <c r="Y52" i="14"/>
  <c r="AA52" i="14" s="1"/>
  <c r="AC23" i="14"/>
  <c r="AF22" i="14"/>
  <c r="B53" i="14"/>
  <c r="AF26" i="18" l="1"/>
  <c r="BC28" i="19"/>
  <c r="BE28" i="19" s="1"/>
  <c r="BA29" i="19" s="1"/>
  <c r="BB29" i="19" s="1"/>
  <c r="BD27" i="19"/>
  <c r="AQ30" i="18"/>
  <c r="AS30" i="18" s="1"/>
  <c r="AO31" i="18" s="1"/>
  <c r="AR29" i="18"/>
  <c r="AE27" i="18"/>
  <c r="AG27" i="18" s="1"/>
  <c r="AC28" i="18" s="1"/>
  <c r="AD28" i="18" s="1"/>
  <c r="AE28" i="18" s="1"/>
  <c r="AG28" i="18" s="1"/>
  <c r="AC29" i="18" s="1"/>
  <c r="AF25" i="16"/>
  <c r="AD26" i="16"/>
  <c r="AE26" i="16" s="1"/>
  <c r="AG26" i="16" s="1"/>
  <c r="AC27" i="16" s="1"/>
  <c r="AD27" i="16" s="1"/>
  <c r="BP30" i="19"/>
  <c r="BN31" i="19"/>
  <c r="BO31" i="19" s="1"/>
  <c r="BQ31" i="19" s="1"/>
  <c r="BM32" i="19" s="1"/>
  <c r="BN32" i="19" s="1"/>
  <c r="AA52" i="19"/>
  <c r="B54" i="15"/>
  <c r="F53" i="15"/>
  <c r="BH55" i="19"/>
  <c r="BL54" i="19"/>
  <c r="BI53" i="19"/>
  <c r="BK53" i="19" s="1"/>
  <c r="AW53" i="19"/>
  <c r="AY53" i="19" s="1"/>
  <c r="AK53" i="19"/>
  <c r="AM53" i="19" s="1"/>
  <c r="X54" i="19"/>
  <c r="AB53" i="19"/>
  <c r="Y53" i="19"/>
  <c r="B54" i="19"/>
  <c r="P53" i="19"/>
  <c r="E53" i="19"/>
  <c r="AC27" i="19"/>
  <c r="AN53" i="19"/>
  <c r="AJ54" i="19"/>
  <c r="AF26" i="19"/>
  <c r="AV55" i="19"/>
  <c r="AZ54" i="19"/>
  <c r="AP27" i="19"/>
  <c r="AQ27" i="19" s="1"/>
  <c r="AS27" i="19" s="1"/>
  <c r="BI53" i="18"/>
  <c r="BK53" i="18" s="1"/>
  <c r="AW53" i="18"/>
  <c r="AY53" i="18" s="1"/>
  <c r="AB53" i="18"/>
  <c r="AK53" i="18"/>
  <c r="AM53" i="18" s="1"/>
  <c r="X54" i="18"/>
  <c r="Y53" i="18"/>
  <c r="AA53" i="18" s="1"/>
  <c r="AZ54" i="18"/>
  <c r="AV55" i="18"/>
  <c r="BB28" i="18"/>
  <c r="BC28" i="18" s="1"/>
  <c r="BE28" i="18" s="1"/>
  <c r="P53" i="18"/>
  <c r="B54" i="18"/>
  <c r="E53" i="18"/>
  <c r="AJ55" i="18"/>
  <c r="AN54" i="18"/>
  <c r="BL53" i="18"/>
  <c r="BH54" i="18"/>
  <c r="BO28" i="18"/>
  <c r="BQ28" i="18" s="1"/>
  <c r="BM31" i="17"/>
  <c r="E53" i="17"/>
  <c r="P53" i="17"/>
  <c r="B54" i="17"/>
  <c r="AV55" i="17"/>
  <c r="AZ54" i="17"/>
  <c r="AJ56" i="17"/>
  <c r="AN55" i="17"/>
  <c r="BL56" i="17"/>
  <c r="BH57" i="17"/>
  <c r="AW53" i="17"/>
  <c r="AY53" i="17" s="1"/>
  <c r="Y53" i="17"/>
  <c r="AA53" i="17" s="1"/>
  <c r="AK53" i="17"/>
  <c r="AM53" i="17" s="1"/>
  <c r="X54" i="17"/>
  <c r="BI53" i="17"/>
  <c r="BK53" i="17" s="1"/>
  <c r="AB53" i="17"/>
  <c r="AD27" i="17"/>
  <c r="AE27" i="17" s="1"/>
  <c r="AG27" i="17" s="1"/>
  <c r="BB29" i="17"/>
  <c r="BC29" i="17" s="1"/>
  <c r="BE29" i="17" s="1"/>
  <c r="BP30" i="17"/>
  <c r="AP28" i="17"/>
  <c r="AQ28" i="17" s="1"/>
  <c r="AS28" i="17" s="1"/>
  <c r="BA28" i="16"/>
  <c r="AO29" i="16"/>
  <c r="AJ54" i="16"/>
  <c r="AN53" i="16"/>
  <c r="AR28" i="16"/>
  <c r="BM29" i="16"/>
  <c r="BD27" i="16"/>
  <c r="AV55" i="16"/>
  <c r="AZ54" i="16"/>
  <c r="BP28" i="16"/>
  <c r="E54" i="16"/>
  <c r="B55" i="16"/>
  <c r="P54" i="16"/>
  <c r="AW54" i="16"/>
  <c r="AY54" i="16" s="1"/>
  <c r="Y54" i="16"/>
  <c r="AA54" i="16" s="1"/>
  <c r="X55" i="16"/>
  <c r="AB54" i="16"/>
  <c r="AK54" i="16"/>
  <c r="AM54" i="16" s="1"/>
  <c r="BI54" i="16"/>
  <c r="BK54" i="16" s="1"/>
  <c r="BH56" i="16"/>
  <c r="BL55" i="16"/>
  <c r="BH54" i="14"/>
  <c r="BL53" i="14"/>
  <c r="BM31" i="14"/>
  <c r="BP30" i="14"/>
  <c r="P53" i="14"/>
  <c r="E53" i="14"/>
  <c r="AK53" i="14"/>
  <c r="AM53" i="14" s="1"/>
  <c r="AW53" i="14"/>
  <c r="AY53" i="14" s="1"/>
  <c r="AV95" i="14"/>
  <c r="AZ94" i="14"/>
  <c r="BA31" i="14"/>
  <c r="BD30" i="14"/>
  <c r="AJ54" i="14"/>
  <c r="AN53" i="14"/>
  <c r="AP31" i="14"/>
  <c r="AQ31" i="14" s="1"/>
  <c r="AS31" i="14" s="1"/>
  <c r="X54" i="14"/>
  <c r="BI54" i="14" s="1"/>
  <c r="BK54" i="14" s="1"/>
  <c r="Y53" i="14"/>
  <c r="AA53" i="14" s="1"/>
  <c r="AB53" i="14"/>
  <c r="AD23" i="14"/>
  <c r="B54" i="14"/>
  <c r="BD28" i="19" l="1"/>
  <c r="AR30" i="18"/>
  <c r="AF28" i="18"/>
  <c r="BC29" i="19"/>
  <c r="BE29" i="19" s="1"/>
  <c r="BA30" i="19" s="1"/>
  <c r="AP31" i="18"/>
  <c r="AQ31" i="18" s="1"/>
  <c r="AS31" i="18" s="1"/>
  <c r="AO32" i="18" s="1"/>
  <c r="AF27" i="18"/>
  <c r="AE27" i="16"/>
  <c r="AG27" i="16" s="1"/>
  <c r="AC28" i="16" s="1"/>
  <c r="AD28" i="16" s="1"/>
  <c r="AF26" i="16"/>
  <c r="BO32" i="19"/>
  <c r="BQ32" i="19" s="1"/>
  <c r="BM33" i="19" s="1"/>
  <c r="BP31" i="19"/>
  <c r="AA53" i="19"/>
  <c r="B55" i="15"/>
  <c r="F54" i="15"/>
  <c r="AO28" i="19"/>
  <c r="AR27" i="19"/>
  <c r="E54" i="19"/>
  <c r="B55" i="19"/>
  <c r="P54" i="19"/>
  <c r="BL55" i="19"/>
  <c r="BH56" i="19"/>
  <c r="AN54" i="19"/>
  <c r="AJ55" i="19"/>
  <c r="AD27" i="19"/>
  <c r="AE27" i="19" s="1"/>
  <c r="AG27" i="19" s="1"/>
  <c r="AV56" i="19"/>
  <c r="AZ55" i="19"/>
  <c r="AW54" i="19"/>
  <c r="AY54" i="19" s="1"/>
  <c r="AB54" i="19"/>
  <c r="AK54" i="19"/>
  <c r="AM54" i="19" s="1"/>
  <c r="Y54" i="19"/>
  <c r="X55" i="19"/>
  <c r="BI54" i="19"/>
  <c r="BK54" i="19" s="1"/>
  <c r="BA29" i="18"/>
  <c r="BM29" i="18"/>
  <c r="AD29" i="18"/>
  <c r="BP28" i="18"/>
  <c r="AN55" i="18"/>
  <c r="AJ56" i="18"/>
  <c r="AZ55" i="18"/>
  <c r="AV56" i="18"/>
  <c r="BL54" i="18"/>
  <c r="BH55" i="18"/>
  <c r="P54" i="18"/>
  <c r="E54" i="18"/>
  <c r="B55" i="18"/>
  <c r="BD28" i="18"/>
  <c r="AW54" i="18"/>
  <c r="AY54" i="18" s="1"/>
  <c r="AB54" i="18"/>
  <c r="AK54" i="18"/>
  <c r="AM54" i="18" s="1"/>
  <c r="X55" i="18"/>
  <c r="Y54" i="18"/>
  <c r="AA54" i="18" s="1"/>
  <c r="BI54" i="18"/>
  <c r="BK54" i="18" s="1"/>
  <c r="AC28" i="17"/>
  <c r="BL57" i="17"/>
  <c r="BH58" i="17"/>
  <c r="AV56" i="17"/>
  <c r="AZ55" i="17"/>
  <c r="BD29" i="17"/>
  <c r="B55" i="17"/>
  <c r="E54" i="17"/>
  <c r="P54" i="17"/>
  <c r="AO29" i="17"/>
  <c r="AF27" i="17"/>
  <c r="AK54" i="17"/>
  <c r="AM54" i="17" s="1"/>
  <c r="BI54" i="17"/>
  <c r="BK54" i="17" s="1"/>
  <c r="Y54" i="17"/>
  <c r="AA54" i="17" s="1"/>
  <c r="AW54" i="17"/>
  <c r="AY54" i="17" s="1"/>
  <c r="X55" i="17"/>
  <c r="AB54" i="17"/>
  <c r="AR28" i="17"/>
  <c r="BA30" i="17"/>
  <c r="AJ57" i="17"/>
  <c r="AN56" i="17"/>
  <c r="BN31" i="17"/>
  <c r="BO31" i="17" s="1"/>
  <c r="BQ31" i="17" s="1"/>
  <c r="B56" i="16"/>
  <c r="E55" i="16"/>
  <c r="P55" i="16"/>
  <c r="BH57" i="16"/>
  <c r="BL56" i="16"/>
  <c r="AK55" i="16"/>
  <c r="AM55" i="16" s="1"/>
  <c r="BI55" i="16"/>
  <c r="BK55" i="16" s="1"/>
  <c r="AB55" i="16"/>
  <c r="Y55" i="16"/>
  <c r="AA55" i="16" s="1"/>
  <c r="AW55" i="16"/>
  <c r="AY55" i="16" s="1"/>
  <c r="X56" i="16"/>
  <c r="AP29" i="16"/>
  <c r="BN29" i="16"/>
  <c r="BO29" i="16" s="1"/>
  <c r="BQ29" i="16" s="1"/>
  <c r="BB28" i="16"/>
  <c r="BC28" i="16" s="1"/>
  <c r="BE28" i="16" s="1"/>
  <c r="AV56" i="16"/>
  <c r="AZ55" i="16"/>
  <c r="AJ55" i="16"/>
  <c r="AN54" i="16"/>
  <c r="BH55" i="14"/>
  <c r="BL54" i="14"/>
  <c r="BN31" i="14"/>
  <c r="P54" i="14"/>
  <c r="E54" i="14"/>
  <c r="AV96" i="14"/>
  <c r="AZ95" i="14"/>
  <c r="AK54" i="14"/>
  <c r="AM54" i="14" s="1"/>
  <c r="AW54" i="14"/>
  <c r="AY54" i="14" s="1"/>
  <c r="BB31" i="14"/>
  <c r="BC31" i="14" s="1"/>
  <c r="BE31" i="14" s="1"/>
  <c r="AJ55" i="14"/>
  <c r="AN54" i="14"/>
  <c r="AR31" i="14"/>
  <c r="AO32" i="14"/>
  <c r="X55" i="14"/>
  <c r="BI55" i="14" s="1"/>
  <c r="BK55" i="14" s="1"/>
  <c r="AB54" i="14"/>
  <c r="Y54" i="14"/>
  <c r="AA54" i="14" s="1"/>
  <c r="AE23" i="14"/>
  <c r="AG23" i="14" s="1"/>
  <c r="B55" i="14"/>
  <c r="BD29" i="19" l="1"/>
  <c r="AR31" i="18"/>
  <c r="AE28" i="16"/>
  <c r="AG28" i="16" s="1"/>
  <c r="AC29" i="16" s="1"/>
  <c r="BB30" i="19"/>
  <c r="BC30" i="19" s="1"/>
  <c r="BE30" i="19" s="1"/>
  <c r="BA31" i="19" s="1"/>
  <c r="BB31" i="19" s="1"/>
  <c r="AP32" i="18"/>
  <c r="AQ32" i="18" s="1"/>
  <c r="AS32" i="18" s="1"/>
  <c r="AO33" i="18" s="1"/>
  <c r="AF27" i="16"/>
  <c r="BP32" i="19"/>
  <c r="BN33" i="19"/>
  <c r="BO33" i="19" s="1"/>
  <c r="BQ33" i="19" s="1"/>
  <c r="BM34" i="19" s="1"/>
  <c r="BN34" i="19" s="1"/>
  <c r="AA54" i="19"/>
  <c r="B56" i="15"/>
  <c r="F55" i="15"/>
  <c r="AJ56" i="19"/>
  <c r="AN55" i="19"/>
  <c r="AB55" i="19"/>
  <c r="AK55" i="19"/>
  <c r="AM55" i="19" s="1"/>
  <c r="X56" i="19"/>
  <c r="Y55" i="19"/>
  <c r="BI55" i="19"/>
  <c r="BK55" i="19" s="1"/>
  <c r="AW55" i="19"/>
  <c r="AY55" i="19" s="1"/>
  <c r="AZ56" i="19"/>
  <c r="AV57" i="19"/>
  <c r="BL56" i="19"/>
  <c r="BH57" i="19"/>
  <c r="AP28" i="19"/>
  <c r="AQ28" i="19" s="1"/>
  <c r="AS28" i="19" s="1"/>
  <c r="AC28" i="19"/>
  <c r="AF27" i="19"/>
  <c r="P55" i="19"/>
  <c r="E55" i="19"/>
  <c r="B56" i="19"/>
  <c r="AN56" i="18"/>
  <c r="AJ57" i="18"/>
  <c r="AK55" i="18"/>
  <c r="AM55" i="18" s="1"/>
  <c r="X56" i="18"/>
  <c r="Y55" i="18"/>
  <c r="AA55" i="18" s="1"/>
  <c r="BI55" i="18"/>
  <c r="BK55" i="18" s="1"/>
  <c r="AB55" i="18"/>
  <c r="AW55" i="18"/>
  <c r="AY55" i="18" s="1"/>
  <c r="BL55" i="18"/>
  <c r="BH56" i="18"/>
  <c r="BN29" i="18"/>
  <c r="BO29" i="18" s="1"/>
  <c r="BQ29" i="18" s="1"/>
  <c r="P55" i="18"/>
  <c r="E55" i="18"/>
  <c r="B56" i="18"/>
  <c r="BB29" i="18"/>
  <c r="BC29" i="18" s="1"/>
  <c r="BE29" i="18" s="1"/>
  <c r="AZ56" i="18"/>
  <c r="AV57" i="18"/>
  <c r="AE29" i="18"/>
  <c r="AG29" i="18" s="1"/>
  <c r="BH59" i="17"/>
  <c r="BL58" i="17"/>
  <c r="AJ58" i="17"/>
  <c r="AN57" i="17"/>
  <c r="BB30" i="17"/>
  <c r="BC30" i="17" s="1"/>
  <c r="BE30" i="17" s="1"/>
  <c r="AP29" i="17"/>
  <c r="AQ29" i="17" s="1"/>
  <c r="AS29" i="17" s="1"/>
  <c r="Y55" i="17"/>
  <c r="AA55" i="17" s="1"/>
  <c r="AW55" i="17"/>
  <c r="AY55" i="17" s="1"/>
  <c r="X56" i="17"/>
  <c r="AB55" i="17"/>
  <c r="BI55" i="17"/>
  <c r="BK55" i="17" s="1"/>
  <c r="AK55" i="17"/>
  <c r="AM55" i="17" s="1"/>
  <c r="E55" i="17"/>
  <c r="P55" i="17"/>
  <c r="B56" i="17"/>
  <c r="AD28" i="17"/>
  <c r="AE28" i="17" s="1"/>
  <c r="AG28" i="17" s="1"/>
  <c r="BM32" i="17"/>
  <c r="BP31" i="17"/>
  <c r="AV57" i="17"/>
  <c r="AZ56" i="17"/>
  <c r="BM30" i="16"/>
  <c r="BH58" i="16"/>
  <c r="BL57" i="16"/>
  <c r="BP29" i="16"/>
  <c r="Y56" i="16"/>
  <c r="AA56" i="16" s="1"/>
  <c r="AW56" i="16"/>
  <c r="AY56" i="16" s="1"/>
  <c r="BI56" i="16"/>
  <c r="BK56" i="16" s="1"/>
  <c r="X57" i="16"/>
  <c r="AB56" i="16"/>
  <c r="AK56" i="16"/>
  <c r="AM56" i="16" s="1"/>
  <c r="AJ56" i="16"/>
  <c r="AN55" i="16"/>
  <c r="BA29" i="16"/>
  <c r="BD28" i="16"/>
  <c r="E56" i="16"/>
  <c r="B57" i="16"/>
  <c r="P56" i="16"/>
  <c r="AV57" i="16"/>
  <c r="AZ56" i="16"/>
  <c r="AQ29" i="16"/>
  <c r="AS29" i="16" s="1"/>
  <c r="BH56" i="14"/>
  <c r="BL55" i="14"/>
  <c r="BO31" i="14"/>
  <c r="BQ31" i="14" s="1"/>
  <c r="BM32" i="14" s="1"/>
  <c r="P55" i="14"/>
  <c r="E55" i="14"/>
  <c r="AK55" i="14"/>
  <c r="AM55" i="14" s="1"/>
  <c r="AW55" i="14"/>
  <c r="AY55" i="14" s="1"/>
  <c r="AV97" i="14"/>
  <c r="AZ96" i="14"/>
  <c r="BA32" i="14"/>
  <c r="BD31" i="14"/>
  <c r="AJ56" i="14"/>
  <c r="AN55" i="14"/>
  <c r="AP32" i="14"/>
  <c r="AQ32" i="14" s="1"/>
  <c r="AS32" i="14" s="1"/>
  <c r="X56" i="14"/>
  <c r="BI56" i="14" s="1"/>
  <c r="BK56" i="14" s="1"/>
  <c r="Y55" i="14"/>
  <c r="AA55" i="14" s="1"/>
  <c r="AB55" i="14"/>
  <c r="AC24" i="14"/>
  <c r="AF23" i="14"/>
  <c r="B56" i="14"/>
  <c r="AF28" i="16" l="1"/>
  <c r="BC31" i="19"/>
  <c r="BE31" i="19" s="1"/>
  <c r="BA32" i="19" s="1"/>
  <c r="BD30" i="19"/>
  <c r="AP33" i="18"/>
  <c r="AQ33" i="18" s="1"/>
  <c r="AS33" i="18" s="1"/>
  <c r="AO34" i="18" s="1"/>
  <c r="AR32" i="18"/>
  <c r="BO34" i="19"/>
  <c r="BQ34" i="19" s="1"/>
  <c r="BM35" i="19" s="1"/>
  <c r="BP33" i="19"/>
  <c r="AA55" i="19"/>
  <c r="B57" i="15"/>
  <c r="F56" i="15"/>
  <c r="AF29" i="18"/>
  <c r="X57" i="19"/>
  <c r="Y56" i="19"/>
  <c r="BI56" i="19"/>
  <c r="BK56" i="19" s="1"/>
  <c r="AW56" i="19"/>
  <c r="AY56" i="19" s="1"/>
  <c r="AB56" i="19"/>
  <c r="AK56" i="19"/>
  <c r="AM56" i="19" s="1"/>
  <c r="P56" i="19"/>
  <c r="E56" i="19"/>
  <c r="B57" i="19"/>
  <c r="AZ57" i="19"/>
  <c r="AV58" i="19"/>
  <c r="AD28" i="19"/>
  <c r="AO29" i="19"/>
  <c r="AR28" i="19"/>
  <c r="AJ57" i="19"/>
  <c r="AN56" i="19"/>
  <c r="BH58" i="19"/>
  <c r="BL57" i="19"/>
  <c r="BM30" i="18"/>
  <c r="BA30" i="18"/>
  <c r="AC30" i="18"/>
  <c r="AV58" i="18"/>
  <c r="AZ57" i="18"/>
  <c r="E56" i="18"/>
  <c r="B57" i="18"/>
  <c r="P56" i="18"/>
  <c r="Y56" i="18"/>
  <c r="AA56" i="18" s="1"/>
  <c r="BI56" i="18"/>
  <c r="BK56" i="18" s="1"/>
  <c r="AW56" i="18"/>
  <c r="AY56" i="18" s="1"/>
  <c r="AB56" i="18"/>
  <c r="X57" i="18"/>
  <c r="AK56" i="18"/>
  <c r="AM56" i="18" s="1"/>
  <c r="BD29" i="18"/>
  <c r="BH57" i="18"/>
  <c r="BL56" i="18"/>
  <c r="AN57" i="18"/>
  <c r="AJ58" i="18"/>
  <c r="BP29" i="18"/>
  <c r="AO30" i="17"/>
  <c r="AF28" i="17"/>
  <c r="AV58" i="17"/>
  <c r="AZ57" i="17"/>
  <c r="AR29" i="17"/>
  <c r="BA31" i="17"/>
  <c r="BD30" i="17"/>
  <c r="AN58" i="17"/>
  <c r="AJ59" i="17"/>
  <c r="AC29" i="17"/>
  <c r="P56" i="17"/>
  <c r="E56" i="17"/>
  <c r="B57" i="17"/>
  <c r="BN32" i="17"/>
  <c r="BO32" i="17" s="1"/>
  <c r="BQ32" i="17" s="1"/>
  <c r="BI56" i="17"/>
  <c r="BK56" i="17" s="1"/>
  <c r="AK56" i="17"/>
  <c r="AM56" i="17" s="1"/>
  <c r="AW56" i="17"/>
  <c r="AY56" i="17" s="1"/>
  <c r="X57" i="17"/>
  <c r="AB56" i="17"/>
  <c r="Y56" i="17"/>
  <c r="AA56" i="17" s="1"/>
  <c r="BH60" i="17"/>
  <c r="BL59" i="17"/>
  <c r="AJ57" i="16"/>
  <c r="AN56" i="16"/>
  <c r="BB29" i="16"/>
  <c r="BC29" i="16" s="1"/>
  <c r="BE29" i="16" s="1"/>
  <c r="AO30" i="16"/>
  <c r="AD29" i="16"/>
  <c r="AE29" i="16" s="1"/>
  <c r="AG29" i="16" s="1"/>
  <c r="BH59" i="16"/>
  <c r="BL58" i="16"/>
  <c r="AR29" i="16"/>
  <c r="P57" i="16"/>
  <c r="B58" i="16"/>
  <c r="E57" i="16"/>
  <c r="BI57" i="16"/>
  <c r="BK57" i="16" s="1"/>
  <c r="AK57" i="16"/>
  <c r="AM57" i="16" s="1"/>
  <c r="X58" i="16"/>
  <c r="AB57" i="16"/>
  <c r="Y57" i="16"/>
  <c r="AA57" i="16" s="1"/>
  <c r="AW57" i="16"/>
  <c r="AY57" i="16" s="1"/>
  <c r="AV58" i="16"/>
  <c r="AZ57" i="16"/>
  <c r="BN30" i="16"/>
  <c r="BO30" i="16" s="1"/>
  <c r="BQ30" i="16" s="1"/>
  <c r="BH57" i="14"/>
  <c r="BL56" i="14"/>
  <c r="BP31" i="14"/>
  <c r="BN32" i="14"/>
  <c r="BO32" i="14" s="1"/>
  <c r="BQ32" i="14" s="1"/>
  <c r="P56" i="14"/>
  <c r="E56" i="14"/>
  <c r="AV98" i="14"/>
  <c r="AZ97" i="14"/>
  <c r="AK56" i="14"/>
  <c r="AM56" i="14" s="1"/>
  <c r="AW56" i="14"/>
  <c r="AY56" i="14" s="1"/>
  <c r="BB32" i="14"/>
  <c r="BC32" i="14" s="1"/>
  <c r="BE32" i="14" s="1"/>
  <c r="AJ57" i="14"/>
  <c r="AN56" i="14"/>
  <c r="AO33" i="14"/>
  <c r="AR32" i="14"/>
  <c r="X57" i="14"/>
  <c r="BI57" i="14" s="1"/>
  <c r="BK57" i="14" s="1"/>
  <c r="Y56" i="14"/>
  <c r="AA56" i="14" s="1"/>
  <c r="AB56" i="14"/>
  <c r="AD24" i="14"/>
  <c r="B57" i="14"/>
  <c r="BD31" i="19" l="1"/>
  <c r="BB32" i="19"/>
  <c r="BC32" i="19" s="1"/>
  <c r="BE32" i="19" s="1"/>
  <c r="BA33" i="19" s="1"/>
  <c r="AP34" i="18"/>
  <c r="AQ34" i="18" s="1"/>
  <c r="AS34" i="18" s="1"/>
  <c r="AO35" i="18" s="1"/>
  <c r="AR33" i="18"/>
  <c r="BP34" i="19"/>
  <c r="BN35" i="19"/>
  <c r="BO35" i="19" s="1"/>
  <c r="BQ35" i="19" s="1"/>
  <c r="BM36" i="19" s="1"/>
  <c r="BN36" i="19" s="1"/>
  <c r="AA56" i="19"/>
  <c r="B58" i="15"/>
  <c r="F57" i="15"/>
  <c r="AP29" i="19"/>
  <c r="B58" i="19"/>
  <c r="P57" i="19"/>
  <c r="E57" i="19"/>
  <c r="BI57" i="19"/>
  <c r="BK57" i="19" s="1"/>
  <c r="AW57" i="19"/>
  <c r="AY57" i="19" s="1"/>
  <c r="AK57" i="19"/>
  <c r="AM57" i="19" s="1"/>
  <c r="X58" i="19"/>
  <c r="AB57" i="19"/>
  <c r="Y57" i="19"/>
  <c r="BH59" i="19"/>
  <c r="BL58" i="19"/>
  <c r="AN57" i="19"/>
  <c r="AJ58" i="19"/>
  <c r="AV59" i="19"/>
  <c r="AZ58" i="19"/>
  <c r="AE28" i="19"/>
  <c r="AG28" i="19" s="1"/>
  <c r="BI57" i="18"/>
  <c r="BK57" i="18" s="1"/>
  <c r="AW57" i="18"/>
  <c r="AY57" i="18" s="1"/>
  <c r="AB57" i="18"/>
  <c r="AK57" i="18"/>
  <c r="AM57" i="18" s="1"/>
  <c r="X58" i="18"/>
  <c r="Y57" i="18"/>
  <c r="AA57" i="18" s="1"/>
  <c r="P57" i="18"/>
  <c r="B58" i="18"/>
  <c r="E57" i="18"/>
  <c r="AD30" i="18"/>
  <c r="AE30" i="18" s="1"/>
  <c r="AG30" i="18" s="1"/>
  <c r="BL57" i="18"/>
  <c r="BH58" i="18"/>
  <c r="AZ58" i="18"/>
  <c r="AV59" i="18"/>
  <c r="BB30" i="18"/>
  <c r="BC30" i="18" s="1"/>
  <c r="BE30" i="18" s="1"/>
  <c r="AJ59" i="18"/>
  <c r="AN58" i="18"/>
  <c r="BN30" i="18"/>
  <c r="BO30" i="18" s="1"/>
  <c r="BQ30" i="18" s="1"/>
  <c r="BM33" i="17"/>
  <c r="E57" i="17"/>
  <c r="B58" i="17"/>
  <c r="P57" i="17"/>
  <c r="AN59" i="17"/>
  <c r="AJ60" i="17"/>
  <c r="AW57" i="17"/>
  <c r="AY57" i="17" s="1"/>
  <c r="Y57" i="17"/>
  <c r="AA57" i="17" s="1"/>
  <c r="X58" i="17"/>
  <c r="AK57" i="17"/>
  <c r="AM57" i="17" s="1"/>
  <c r="BI57" i="17"/>
  <c r="BK57" i="17" s="1"/>
  <c r="AB57" i="17"/>
  <c r="AV59" i="17"/>
  <c r="AZ58" i="17"/>
  <c r="AP30" i="17"/>
  <c r="BP32" i="17"/>
  <c r="BB31" i="17"/>
  <c r="BC31" i="17" s="1"/>
  <c r="BE31" i="17" s="1"/>
  <c r="BH61" i="17"/>
  <c r="BL60" i="17"/>
  <c r="AD29" i="17"/>
  <c r="AE29" i="17" s="1"/>
  <c r="AG29" i="17" s="1"/>
  <c r="AW58" i="16"/>
  <c r="AY58" i="16" s="1"/>
  <c r="Y58" i="16"/>
  <c r="AA58" i="16" s="1"/>
  <c r="AK58" i="16"/>
  <c r="AM58" i="16" s="1"/>
  <c r="BI58" i="16"/>
  <c r="BK58" i="16" s="1"/>
  <c r="X59" i="16"/>
  <c r="AB58" i="16"/>
  <c r="BH60" i="16"/>
  <c r="BL59" i="16"/>
  <c r="BA30" i="16"/>
  <c r="BP30" i="16"/>
  <c r="BD29" i="16"/>
  <c r="BM31" i="16"/>
  <c r="AV59" i="16"/>
  <c r="AZ58" i="16"/>
  <c r="AC30" i="16"/>
  <c r="E58" i="16"/>
  <c r="B59" i="16"/>
  <c r="P58" i="16"/>
  <c r="AF29" i="16"/>
  <c r="AJ58" i="16"/>
  <c r="AN57" i="16"/>
  <c r="AP30" i="16"/>
  <c r="AQ30" i="16" s="1"/>
  <c r="AS30" i="16" s="1"/>
  <c r="BH58" i="14"/>
  <c r="BL57" i="14"/>
  <c r="BP32" i="14"/>
  <c r="BM33" i="14"/>
  <c r="P57" i="14"/>
  <c r="E57" i="14"/>
  <c r="AK57" i="14"/>
  <c r="AM57" i="14" s="1"/>
  <c r="AW57" i="14"/>
  <c r="AY57" i="14" s="1"/>
  <c r="AV99" i="14"/>
  <c r="AZ98" i="14"/>
  <c r="BA33" i="14"/>
  <c r="BD32" i="14"/>
  <c r="AJ58" i="14"/>
  <c r="AN57" i="14"/>
  <c r="AP33" i="14"/>
  <c r="X58" i="14"/>
  <c r="BI58" i="14" s="1"/>
  <c r="BK58" i="14" s="1"/>
  <c r="AB57" i="14"/>
  <c r="Y57" i="14"/>
  <c r="AA57" i="14" s="1"/>
  <c r="AE24" i="14"/>
  <c r="AG24" i="14" s="1"/>
  <c r="B58" i="14"/>
  <c r="BB33" i="19" l="1"/>
  <c r="BC33" i="19" s="1"/>
  <c r="BE33" i="19" s="1"/>
  <c r="BA34" i="19" s="1"/>
  <c r="BD32" i="19"/>
  <c r="AP35" i="18"/>
  <c r="AQ35" i="18" s="1"/>
  <c r="AS35" i="18" s="1"/>
  <c r="AO36" i="18" s="1"/>
  <c r="AR34" i="18"/>
  <c r="BO36" i="19"/>
  <c r="BQ36" i="19" s="1"/>
  <c r="BM37" i="19" s="1"/>
  <c r="BP35" i="19"/>
  <c r="AA57" i="19"/>
  <c r="B59" i="15"/>
  <c r="F58" i="15"/>
  <c r="AV60" i="19"/>
  <c r="AZ59" i="19"/>
  <c r="BL59" i="19"/>
  <c r="BH60" i="19"/>
  <c r="AF28" i="19"/>
  <c r="AN58" i="19"/>
  <c r="AJ59" i="19"/>
  <c r="AC29" i="19"/>
  <c r="E58" i="19"/>
  <c r="B59" i="19"/>
  <c r="P58" i="19"/>
  <c r="AW58" i="19"/>
  <c r="AY58" i="19" s="1"/>
  <c r="AB58" i="19"/>
  <c r="AK58" i="19"/>
  <c r="AM58" i="19" s="1"/>
  <c r="Y58" i="19"/>
  <c r="X59" i="19"/>
  <c r="BI58" i="19"/>
  <c r="BK58" i="19" s="1"/>
  <c r="AQ29" i="19"/>
  <c r="AS29" i="19" s="1"/>
  <c r="BM31" i="18"/>
  <c r="AN59" i="18"/>
  <c r="AJ60" i="18"/>
  <c r="P58" i="18"/>
  <c r="E58" i="18"/>
  <c r="B59" i="18"/>
  <c r="BP30" i="18"/>
  <c r="BA31" i="18"/>
  <c r="BL58" i="18"/>
  <c r="BH59" i="18"/>
  <c r="BD30" i="18"/>
  <c r="AZ59" i="18"/>
  <c r="AV60" i="18"/>
  <c r="AW58" i="18"/>
  <c r="AY58" i="18" s="1"/>
  <c r="AB58" i="18"/>
  <c r="AK58" i="18"/>
  <c r="AM58" i="18" s="1"/>
  <c r="X59" i="18"/>
  <c r="Y58" i="18"/>
  <c r="AA58" i="18" s="1"/>
  <c r="BI58" i="18"/>
  <c r="BK58" i="18" s="1"/>
  <c r="AC31" i="18"/>
  <c r="AF30" i="18"/>
  <c r="BA32" i="17"/>
  <c r="AQ30" i="17"/>
  <c r="AS30" i="17" s="1"/>
  <c r="AK58" i="17"/>
  <c r="AM58" i="17" s="1"/>
  <c r="BI58" i="17"/>
  <c r="BK58" i="17" s="1"/>
  <c r="AW58" i="17"/>
  <c r="AY58" i="17" s="1"/>
  <c r="Y58" i="17"/>
  <c r="AA58" i="17" s="1"/>
  <c r="X59" i="17"/>
  <c r="AB58" i="17"/>
  <c r="B59" i="17"/>
  <c r="P58" i="17"/>
  <c r="E58" i="17"/>
  <c r="AV60" i="17"/>
  <c r="AZ59" i="17"/>
  <c r="AC30" i="17"/>
  <c r="BD31" i="17"/>
  <c r="AJ61" i="17"/>
  <c r="AN60" i="17"/>
  <c r="AF29" i="17"/>
  <c r="BN33" i="17"/>
  <c r="BO33" i="17" s="1"/>
  <c r="BQ33" i="17" s="1"/>
  <c r="BH62" i="17"/>
  <c r="BL61" i="17"/>
  <c r="E59" i="16"/>
  <c r="P59" i="16"/>
  <c r="B60" i="16"/>
  <c r="AK59" i="16"/>
  <c r="AM59" i="16" s="1"/>
  <c r="BI59" i="16"/>
  <c r="BK59" i="16" s="1"/>
  <c r="X60" i="16"/>
  <c r="AB59" i="16"/>
  <c r="Y59" i="16"/>
  <c r="AA59" i="16" s="1"/>
  <c r="AW59" i="16"/>
  <c r="AY59" i="16" s="1"/>
  <c r="AO31" i="16"/>
  <c r="AJ59" i="16"/>
  <c r="AN58" i="16"/>
  <c r="AR30" i="16"/>
  <c r="AD30" i="16"/>
  <c r="AE30" i="16" s="1"/>
  <c r="AG30" i="16" s="1"/>
  <c r="BB30" i="16"/>
  <c r="BC30" i="16" s="1"/>
  <c r="BE30" i="16" s="1"/>
  <c r="AV60" i="16"/>
  <c r="AZ59" i="16"/>
  <c r="BL60" i="16"/>
  <c r="BH61" i="16"/>
  <c r="BN31" i="16"/>
  <c r="BO31" i="16" s="1"/>
  <c r="BQ31" i="16" s="1"/>
  <c r="BH59" i="14"/>
  <c r="BL58" i="14"/>
  <c r="BN33" i="14"/>
  <c r="P58" i="14"/>
  <c r="E58" i="14"/>
  <c r="AV100" i="14"/>
  <c r="AZ99" i="14"/>
  <c r="AK58" i="14"/>
  <c r="AM58" i="14" s="1"/>
  <c r="AW58" i="14"/>
  <c r="AY58" i="14" s="1"/>
  <c r="BB33" i="14"/>
  <c r="BC33" i="14" s="1"/>
  <c r="BE33" i="14" s="1"/>
  <c r="AJ59" i="14"/>
  <c r="AN58" i="14"/>
  <c r="AQ33" i="14"/>
  <c r="AS33" i="14" s="1"/>
  <c r="AO34" i="14" s="1"/>
  <c r="X59" i="14"/>
  <c r="BI59" i="14" s="1"/>
  <c r="BK59" i="14" s="1"/>
  <c r="AB58" i="14"/>
  <c r="Y58" i="14"/>
  <c r="AA58" i="14" s="1"/>
  <c r="AC25" i="14"/>
  <c r="AF24" i="14"/>
  <c r="B59" i="14"/>
  <c r="BB34" i="19" l="1"/>
  <c r="BC34" i="19" s="1"/>
  <c r="BE34" i="19" s="1"/>
  <c r="BA35" i="19" s="1"/>
  <c r="BD33" i="19"/>
  <c r="AP36" i="18"/>
  <c r="AQ36" i="18" s="1"/>
  <c r="AS36" i="18" s="1"/>
  <c r="AO37" i="18" s="1"/>
  <c r="AR35" i="18"/>
  <c r="BP36" i="19"/>
  <c r="BN37" i="19"/>
  <c r="BO37" i="19" s="1"/>
  <c r="BQ37" i="19" s="1"/>
  <c r="BM38" i="19" s="1"/>
  <c r="AA58" i="19"/>
  <c r="B60" i="15"/>
  <c r="F59" i="15"/>
  <c r="BP33" i="17"/>
  <c r="BL60" i="19"/>
  <c r="BH61" i="19"/>
  <c r="AO30" i="19"/>
  <c r="P59" i="19"/>
  <c r="E59" i="19"/>
  <c r="B60" i="19"/>
  <c r="AB59" i="19"/>
  <c r="AK59" i="19"/>
  <c r="AM59" i="19" s="1"/>
  <c r="X60" i="19"/>
  <c r="Y59" i="19"/>
  <c r="BI59" i="19"/>
  <c r="BK59" i="19" s="1"/>
  <c r="AW59" i="19"/>
  <c r="AY59" i="19" s="1"/>
  <c r="AD29" i="19"/>
  <c r="AE29" i="19" s="1"/>
  <c r="AG29" i="19" s="1"/>
  <c r="AR29" i="19"/>
  <c r="AJ60" i="19"/>
  <c r="AN59" i="19"/>
  <c r="AZ60" i="19"/>
  <c r="AV61" i="19"/>
  <c r="P59" i="18"/>
  <c r="E59" i="18"/>
  <c r="B60" i="18"/>
  <c r="BL59" i="18"/>
  <c r="BH60" i="18"/>
  <c r="AK59" i="18"/>
  <c r="AM59" i="18" s="1"/>
  <c r="X60" i="18"/>
  <c r="Y59" i="18"/>
  <c r="AA59" i="18" s="1"/>
  <c r="BI59" i="18"/>
  <c r="BK59" i="18" s="1"/>
  <c r="AB59" i="18"/>
  <c r="AW59" i="18"/>
  <c r="AY59" i="18" s="1"/>
  <c r="AZ60" i="18"/>
  <c r="AV61" i="18"/>
  <c r="BB31" i="18"/>
  <c r="BC31" i="18" s="1"/>
  <c r="BE31" i="18" s="1"/>
  <c r="AN60" i="18"/>
  <c r="AJ61" i="18"/>
  <c r="BN31" i="18"/>
  <c r="BO31" i="18" s="1"/>
  <c r="BQ31" i="18" s="1"/>
  <c r="AD31" i="18"/>
  <c r="AE31" i="18" s="1"/>
  <c r="AG31" i="18" s="1"/>
  <c r="BL62" i="17"/>
  <c r="BH63" i="17"/>
  <c r="E59" i="17"/>
  <c r="B60" i="17"/>
  <c r="P59" i="17"/>
  <c r="AJ62" i="17"/>
  <c r="AN61" i="17"/>
  <c r="BM34" i="17"/>
  <c r="AD30" i="17"/>
  <c r="AE30" i="17" s="1"/>
  <c r="AG30" i="17" s="1"/>
  <c r="AO31" i="17"/>
  <c r="AR30" i="17"/>
  <c r="AV61" i="17"/>
  <c r="AZ60" i="17"/>
  <c r="Y59" i="17"/>
  <c r="AA59" i="17" s="1"/>
  <c r="AW59" i="17"/>
  <c r="AY59" i="17" s="1"/>
  <c r="BI59" i="17"/>
  <c r="BK59" i="17" s="1"/>
  <c r="AB59" i="17"/>
  <c r="AK59" i="17"/>
  <c r="AM59" i="17" s="1"/>
  <c r="X60" i="17"/>
  <c r="BB32" i="17"/>
  <c r="BC32" i="17" s="1"/>
  <c r="BE32" i="17" s="1"/>
  <c r="BA31" i="16"/>
  <c r="BM32" i="16"/>
  <c r="AJ60" i="16"/>
  <c r="AN59" i="16"/>
  <c r="AP31" i="16"/>
  <c r="AQ31" i="16" s="1"/>
  <c r="AS31" i="16" s="1"/>
  <c r="BP31" i="16"/>
  <c r="BD30" i="16"/>
  <c r="E60" i="16"/>
  <c r="B61" i="16"/>
  <c r="P60" i="16"/>
  <c r="AC31" i="16"/>
  <c r="AF30" i="16"/>
  <c r="BH62" i="16"/>
  <c r="BL61" i="16"/>
  <c r="AV61" i="16"/>
  <c r="AZ60" i="16"/>
  <c r="Y60" i="16"/>
  <c r="AA60" i="16" s="1"/>
  <c r="AW60" i="16"/>
  <c r="AY60" i="16" s="1"/>
  <c r="AK60" i="16"/>
  <c r="AM60" i="16" s="1"/>
  <c r="BI60" i="16"/>
  <c r="BK60" i="16" s="1"/>
  <c r="X61" i="16"/>
  <c r="AB60" i="16"/>
  <c r="BH60" i="14"/>
  <c r="BL59" i="14"/>
  <c r="BO33" i="14"/>
  <c r="BQ33" i="14" s="1"/>
  <c r="BM34" i="14" s="1"/>
  <c r="P59" i="14"/>
  <c r="E59" i="14"/>
  <c r="AK59" i="14"/>
  <c r="AM59" i="14" s="1"/>
  <c r="AW59" i="14"/>
  <c r="AY59" i="14" s="1"/>
  <c r="AV101" i="14"/>
  <c r="AZ100" i="14"/>
  <c r="BA34" i="14"/>
  <c r="BD33" i="14"/>
  <c r="AJ60" i="14"/>
  <c r="AN59" i="14"/>
  <c r="AR33" i="14"/>
  <c r="AP34" i="14"/>
  <c r="AQ34" i="14" s="1"/>
  <c r="AS34" i="14" s="1"/>
  <c r="X60" i="14"/>
  <c r="BI60" i="14" s="1"/>
  <c r="BK60" i="14" s="1"/>
  <c r="AB59" i="14"/>
  <c r="Y59" i="14"/>
  <c r="AA59" i="14" s="1"/>
  <c r="AD25" i="14"/>
  <c r="B60" i="14"/>
  <c r="BB35" i="19" l="1"/>
  <c r="BC35" i="19" s="1"/>
  <c r="BE35" i="19" s="1"/>
  <c r="BA36" i="19" s="1"/>
  <c r="BD34" i="19"/>
  <c r="AP37" i="18"/>
  <c r="AQ37" i="18" s="1"/>
  <c r="AS37" i="18" s="1"/>
  <c r="AO38" i="18" s="1"/>
  <c r="AP38" i="18" s="1"/>
  <c r="AR36" i="18"/>
  <c r="BN38" i="19"/>
  <c r="BO38" i="19" s="1"/>
  <c r="BQ38" i="19" s="1"/>
  <c r="BM39" i="19" s="1"/>
  <c r="BP37" i="19"/>
  <c r="AA59" i="19"/>
  <c r="B61" i="15"/>
  <c r="F60" i="15"/>
  <c r="AC30" i="19"/>
  <c r="AJ61" i="19"/>
  <c r="AN60" i="19"/>
  <c r="AZ61" i="19"/>
  <c r="AV62" i="19"/>
  <c r="P60" i="19"/>
  <c r="E60" i="19"/>
  <c r="B61" i="19"/>
  <c r="AP30" i="19"/>
  <c r="AQ30" i="19" s="1"/>
  <c r="AS30" i="19" s="1"/>
  <c r="BH62" i="19"/>
  <c r="BL61" i="19"/>
  <c r="X61" i="19"/>
  <c r="Y60" i="19"/>
  <c r="BI60" i="19"/>
  <c r="BK60" i="19" s="1"/>
  <c r="AW60" i="19"/>
  <c r="AY60" i="19" s="1"/>
  <c r="AB60" i="19"/>
  <c r="AK60" i="19"/>
  <c r="AM60" i="19" s="1"/>
  <c r="AF29" i="19"/>
  <c r="AC32" i="18"/>
  <c r="BA32" i="18"/>
  <c r="AF31" i="18"/>
  <c r="E60" i="18"/>
  <c r="B61" i="18"/>
  <c r="P60" i="18"/>
  <c r="BM32" i="18"/>
  <c r="BD31" i="18"/>
  <c r="BP31" i="18"/>
  <c r="Y60" i="18"/>
  <c r="AA60" i="18" s="1"/>
  <c r="BI60" i="18"/>
  <c r="BK60" i="18" s="1"/>
  <c r="AW60" i="18"/>
  <c r="AY60" i="18" s="1"/>
  <c r="AB60" i="18"/>
  <c r="X61" i="18"/>
  <c r="AK60" i="18"/>
  <c r="AM60" i="18" s="1"/>
  <c r="AV62" i="18"/>
  <c r="AZ61" i="18"/>
  <c r="BH61" i="18"/>
  <c r="BL60" i="18"/>
  <c r="AN61" i="18"/>
  <c r="AJ62" i="18"/>
  <c r="AC31" i="17"/>
  <c r="BA33" i="17"/>
  <c r="AP31" i="17"/>
  <c r="AQ31" i="17" s="1"/>
  <c r="AS31" i="17" s="1"/>
  <c r="BD32" i="17"/>
  <c r="AZ61" i="17"/>
  <c r="AV62" i="17"/>
  <c r="P60" i="17"/>
  <c r="E60" i="17"/>
  <c r="B61" i="17"/>
  <c r="BI60" i="17"/>
  <c r="BK60" i="17" s="1"/>
  <c r="AK60" i="17"/>
  <c r="AM60" i="17" s="1"/>
  <c r="X61" i="17"/>
  <c r="AB60" i="17"/>
  <c r="AW60" i="17"/>
  <c r="AY60" i="17" s="1"/>
  <c r="Y60" i="17"/>
  <c r="AA60" i="17" s="1"/>
  <c r="BN34" i="17"/>
  <c r="BO34" i="17" s="1"/>
  <c r="BQ34" i="17" s="1"/>
  <c r="AF30" i="17"/>
  <c r="BL63" i="17"/>
  <c r="BH64" i="17"/>
  <c r="AJ63" i="17"/>
  <c r="AN62" i="17"/>
  <c r="AJ61" i="16"/>
  <c r="AN60" i="16"/>
  <c r="AD31" i="16"/>
  <c r="AE31" i="16" s="1"/>
  <c r="AG31" i="16" s="1"/>
  <c r="BI61" i="16"/>
  <c r="BK61" i="16" s="1"/>
  <c r="AK61" i="16"/>
  <c r="AM61" i="16" s="1"/>
  <c r="X62" i="16"/>
  <c r="AB61" i="16"/>
  <c r="Y61" i="16"/>
  <c r="AA61" i="16" s="1"/>
  <c r="AW61" i="16"/>
  <c r="AY61" i="16" s="1"/>
  <c r="AV62" i="16"/>
  <c r="AZ61" i="16"/>
  <c r="AO32" i="16"/>
  <c r="BN32" i="16"/>
  <c r="BO32" i="16" s="1"/>
  <c r="BQ32" i="16" s="1"/>
  <c r="BL62" i="16"/>
  <c r="BH63" i="16"/>
  <c r="AR31" i="16"/>
  <c r="B62" i="16"/>
  <c r="E61" i="16"/>
  <c r="P61" i="16"/>
  <c r="BB31" i="16"/>
  <c r="BC31" i="16" s="1"/>
  <c r="BE31" i="16" s="1"/>
  <c r="BH61" i="14"/>
  <c r="BL60" i="14"/>
  <c r="BP33" i="14"/>
  <c r="BN34" i="14"/>
  <c r="BO34" i="14" s="1"/>
  <c r="BQ34" i="14" s="1"/>
  <c r="P60" i="14"/>
  <c r="E60" i="14"/>
  <c r="AK60" i="14"/>
  <c r="AM60" i="14" s="1"/>
  <c r="AW60" i="14"/>
  <c r="AY60" i="14" s="1"/>
  <c r="AV102" i="14"/>
  <c r="AZ101" i="14"/>
  <c r="BB34" i="14"/>
  <c r="BC34" i="14" s="1"/>
  <c r="BE34" i="14" s="1"/>
  <c r="AJ61" i="14"/>
  <c r="AN60" i="14"/>
  <c r="AO35" i="14"/>
  <c r="AR34" i="14"/>
  <c r="X61" i="14"/>
  <c r="BI61" i="14" s="1"/>
  <c r="BK61" i="14" s="1"/>
  <c r="AB60" i="14"/>
  <c r="Y60" i="14"/>
  <c r="AA60" i="14" s="1"/>
  <c r="AE25" i="14"/>
  <c r="AG25" i="14" s="1"/>
  <c r="B61" i="14"/>
  <c r="BB36" i="19" l="1"/>
  <c r="BC36" i="19" s="1"/>
  <c r="BE36" i="19" s="1"/>
  <c r="BA37" i="19" s="1"/>
  <c r="BD35" i="19"/>
  <c r="AQ38" i="18"/>
  <c r="AS38" i="18" s="1"/>
  <c r="AO39" i="18" s="1"/>
  <c r="AR37" i="18"/>
  <c r="BN39" i="19"/>
  <c r="BO39" i="19" s="1"/>
  <c r="BQ39" i="19" s="1"/>
  <c r="BM40" i="19" s="1"/>
  <c r="BP38" i="19"/>
  <c r="AA60" i="19"/>
  <c r="B62" i="15"/>
  <c r="F61" i="15"/>
  <c r="B62" i="19"/>
  <c r="P61" i="19"/>
  <c r="E61" i="19"/>
  <c r="BH63" i="19"/>
  <c r="BL62" i="19"/>
  <c r="AN61" i="19"/>
  <c r="AJ62" i="19"/>
  <c r="BI61" i="19"/>
  <c r="BK61" i="19" s="1"/>
  <c r="AW61" i="19"/>
  <c r="AY61" i="19" s="1"/>
  <c r="AK61" i="19"/>
  <c r="AM61" i="19" s="1"/>
  <c r="X62" i="19"/>
  <c r="AB61" i="19"/>
  <c r="Y61" i="19"/>
  <c r="AV63" i="19"/>
  <c r="AZ62" i="19"/>
  <c r="AO31" i="19"/>
  <c r="AR30" i="19"/>
  <c r="AD30" i="19"/>
  <c r="AE30" i="19" s="1"/>
  <c r="AG30" i="19" s="1"/>
  <c r="AZ62" i="18"/>
  <c r="AV63" i="18"/>
  <c r="AJ63" i="18"/>
  <c r="AN62" i="18"/>
  <c r="BN32" i="18"/>
  <c r="BO32" i="18" s="1"/>
  <c r="BQ32" i="18" s="1"/>
  <c r="BB32" i="18"/>
  <c r="BC32" i="18" s="1"/>
  <c r="BE32" i="18" s="1"/>
  <c r="P61" i="18"/>
  <c r="B62" i="18"/>
  <c r="E61" i="18"/>
  <c r="BL61" i="18"/>
  <c r="BH62" i="18"/>
  <c r="BI61" i="18"/>
  <c r="BK61" i="18" s="1"/>
  <c r="AW61" i="18"/>
  <c r="AY61" i="18" s="1"/>
  <c r="AB61" i="18"/>
  <c r="AK61" i="18"/>
  <c r="AM61" i="18" s="1"/>
  <c r="X62" i="18"/>
  <c r="Y61" i="18"/>
  <c r="AA61" i="18" s="1"/>
  <c r="AD32" i="18"/>
  <c r="AE32" i="18" s="1"/>
  <c r="AG32" i="18" s="1"/>
  <c r="BP34" i="17"/>
  <c r="AO32" i="17"/>
  <c r="E61" i="17"/>
  <c r="B62" i="17"/>
  <c r="P61" i="17"/>
  <c r="BH65" i="17"/>
  <c r="BL64" i="17"/>
  <c r="AR31" i="17"/>
  <c r="BB33" i="17"/>
  <c r="BC33" i="17" s="1"/>
  <c r="BE33" i="17" s="1"/>
  <c r="BM35" i="17"/>
  <c r="AV63" i="17"/>
  <c r="AZ62" i="17"/>
  <c r="AN63" i="17"/>
  <c r="AJ64" i="17"/>
  <c r="AW61" i="17"/>
  <c r="AY61" i="17" s="1"/>
  <c r="Y61" i="17"/>
  <c r="AA61" i="17" s="1"/>
  <c r="AK61" i="17"/>
  <c r="AM61" i="17" s="1"/>
  <c r="BI61" i="17"/>
  <c r="BK61" i="17" s="1"/>
  <c r="X62" i="17"/>
  <c r="AB61" i="17"/>
  <c r="AD31" i="17"/>
  <c r="AE31" i="17" s="1"/>
  <c r="AG31" i="17" s="1"/>
  <c r="BA32" i="16"/>
  <c r="BL63" i="16"/>
  <c r="BH64" i="16"/>
  <c r="AW62" i="16"/>
  <c r="AY62" i="16" s="1"/>
  <c r="Y62" i="16"/>
  <c r="AA62" i="16" s="1"/>
  <c r="AK62" i="16"/>
  <c r="AM62" i="16" s="1"/>
  <c r="BI62" i="16"/>
  <c r="BK62" i="16" s="1"/>
  <c r="X63" i="16"/>
  <c r="AB62" i="16"/>
  <c r="BD31" i="16"/>
  <c r="BM33" i="16"/>
  <c r="AC32" i="16"/>
  <c r="E62" i="16"/>
  <c r="B63" i="16"/>
  <c r="P62" i="16"/>
  <c r="BP32" i="16"/>
  <c r="AZ62" i="16"/>
  <c r="AV63" i="16"/>
  <c r="AF31" i="16"/>
  <c r="AP32" i="16"/>
  <c r="AQ32" i="16" s="1"/>
  <c r="AS32" i="16" s="1"/>
  <c r="AJ62" i="16"/>
  <c r="AN61" i="16"/>
  <c r="BH62" i="14"/>
  <c r="BL61" i="14"/>
  <c r="BM35" i="14"/>
  <c r="BP34" i="14"/>
  <c r="P61" i="14"/>
  <c r="E61" i="14"/>
  <c r="AK61" i="14"/>
  <c r="AM61" i="14" s="1"/>
  <c r="AW61" i="14"/>
  <c r="AY61" i="14" s="1"/>
  <c r="AV103" i="14"/>
  <c r="AZ102" i="14"/>
  <c r="BA35" i="14"/>
  <c r="BD34" i="14"/>
  <c r="AJ62" i="14"/>
  <c r="AN61" i="14"/>
  <c r="AP35" i="14"/>
  <c r="AQ35" i="14" s="1"/>
  <c r="AS35" i="14" s="1"/>
  <c r="X62" i="14"/>
  <c r="BI62" i="14" s="1"/>
  <c r="BK62" i="14" s="1"/>
  <c r="Y61" i="14"/>
  <c r="AA61" i="14" s="1"/>
  <c r="AB61" i="14"/>
  <c r="AC26" i="14"/>
  <c r="AF25" i="14"/>
  <c r="B62" i="14"/>
  <c r="AR38" i="18" l="1"/>
  <c r="BB37" i="19"/>
  <c r="BC37" i="19" s="1"/>
  <c r="BE37" i="19" s="1"/>
  <c r="BA38" i="19" s="1"/>
  <c r="BB38" i="19" s="1"/>
  <c r="BD36" i="19"/>
  <c r="AP39" i="18"/>
  <c r="AQ39" i="18" s="1"/>
  <c r="AS39" i="18" s="1"/>
  <c r="AO40" i="18" s="1"/>
  <c r="AP40" i="18" s="1"/>
  <c r="BN40" i="19"/>
  <c r="BO40" i="19" s="1"/>
  <c r="BQ40" i="19" s="1"/>
  <c r="BM41" i="19" s="1"/>
  <c r="BP39" i="19"/>
  <c r="AA61" i="19"/>
  <c r="B63" i="15"/>
  <c r="F62" i="15"/>
  <c r="AP31" i="19"/>
  <c r="AQ31" i="19" s="1"/>
  <c r="AS31" i="19" s="1"/>
  <c r="AC31" i="19"/>
  <c r="AN62" i="19"/>
  <c r="AJ63" i="19"/>
  <c r="AF30" i="19"/>
  <c r="E62" i="19"/>
  <c r="B63" i="19"/>
  <c r="P62" i="19"/>
  <c r="AV64" i="19"/>
  <c r="AZ63" i="19"/>
  <c r="BL63" i="19"/>
  <c r="BH64" i="19"/>
  <c r="AW62" i="19"/>
  <c r="AY62" i="19" s="1"/>
  <c r="AB62" i="19"/>
  <c r="AK62" i="19"/>
  <c r="AM62" i="19" s="1"/>
  <c r="Y62" i="19"/>
  <c r="X63" i="19"/>
  <c r="BI62" i="19"/>
  <c r="BK62" i="19" s="1"/>
  <c r="AC33" i="18"/>
  <c r="BD32" i="18"/>
  <c r="AN63" i="18"/>
  <c r="AJ64" i="18"/>
  <c r="P62" i="18"/>
  <c r="E62" i="18"/>
  <c r="B63" i="18"/>
  <c r="AF32" i="18"/>
  <c r="BL62" i="18"/>
  <c r="BH63" i="18"/>
  <c r="BA33" i="18"/>
  <c r="AZ63" i="18"/>
  <c r="AV64" i="18"/>
  <c r="AW62" i="18"/>
  <c r="AY62" i="18" s="1"/>
  <c r="AB62" i="18"/>
  <c r="AK62" i="18"/>
  <c r="AM62" i="18" s="1"/>
  <c r="X63" i="18"/>
  <c r="Y62" i="18"/>
  <c r="AA62" i="18" s="1"/>
  <c r="BI62" i="18"/>
  <c r="BK62" i="18" s="1"/>
  <c r="BM33" i="18"/>
  <c r="BP32" i="18"/>
  <c r="AF31" i="17"/>
  <c r="AJ65" i="17"/>
  <c r="AN64" i="17"/>
  <c r="BD33" i="17"/>
  <c r="E62" i="17"/>
  <c r="P62" i="17"/>
  <c r="B63" i="17"/>
  <c r="BA34" i="17"/>
  <c r="AK62" i="17"/>
  <c r="AM62" i="17" s="1"/>
  <c r="BI62" i="17"/>
  <c r="BK62" i="17" s="1"/>
  <c r="X63" i="17"/>
  <c r="AB62" i="17"/>
  <c r="AW62" i="17"/>
  <c r="AY62" i="17" s="1"/>
  <c r="Y62" i="17"/>
  <c r="AA62" i="17" s="1"/>
  <c r="AC32" i="17"/>
  <c r="AP32" i="17"/>
  <c r="AV64" i="17"/>
  <c r="AZ63" i="17"/>
  <c r="BN35" i="17"/>
  <c r="BO35" i="17" s="1"/>
  <c r="BQ35" i="17" s="1"/>
  <c r="BL65" i="17"/>
  <c r="BH66" i="17"/>
  <c r="B64" i="16"/>
  <c r="E63" i="16"/>
  <c r="P63" i="16"/>
  <c r="AJ63" i="16"/>
  <c r="AN62" i="16"/>
  <c r="AD32" i="16"/>
  <c r="AE32" i="16" s="1"/>
  <c r="AG32" i="16" s="1"/>
  <c r="BH65" i="16"/>
  <c r="BL64" i="16"/>
  <c r="AO33" i="16"/>
  <c r="AZ63" i="16"/>
  <c r="AV64" i="16"/>
  <c r="AR32" i="16"/>
  <c r="BN33" i="16"/>
  <c r="BO33" i="16" s="1"/>
  <c r="BQ33" i="16" s="1"/>
  <c r="AK63" i="16"/>
  <c r="AM63" i="16" s="1"/>
  <c r="X64" i="16"/>
  <c r="BI63" i="16"/>
  <c r="BK63" i="16" s="1"/>
  <c r="AW63" i="16"/>
  <c r="AY63" i="16" s="1"/>
  <c r="AB63" i="16"/>
  <c r="Y63" i="16"/>
  <c r="AA63" i="16" s="1"/>
  <c r="BB32" i="16"/>
  <c r="BC32" i="16" s="1"/>
  <c r="BE32" i="16" s="1"/>
  <c r="BH63" i="14"/>
  <c r="BL62" i="14"/>
  <c r="BN35" i="14"/>
  <c r="BO35" i="14" s="1"/>
  <c r="BQ35" i="14" s="1"/>
  <c r="P62" i="14"/>
  <c r="E62" i="14"/>
  <c r="AV104" i="14"/>
  <c r="AZ103" i="14"/>
  <c r="AK62" i="14"/>
  <c r="AM62" i="14" s="1"/>
  <c r="AW62" i="14"/>
  <c r="AY62" i="14" s="1"/>
  <c r="BB35" i="14"/>
  <c r="BC35" i="14" s="1"/>
  <c r="BE35" i="14" s="1"/>
  <c r="AJ63" i="14"/>
  <c r="AN62" i="14"/>
  <c r="AO36" i="14"/>
  <c r="AR35" i="14"/>
  <c r="X63" i="14"/>
  <c r="BI63" i="14" s="1"/>
  <c r="BK63" i="14" s="1"/>
  <c r="AB62" i="14"/>
  <c r="Y62" i="14"/>
  <c r="AA62" i="14" s="1"/>
  <c r="AD26" i="14"/>
  <c r="B63" i="14"/>
  <c r="BC38" i="19" l="1"/>
  <c r="BE38" i="19" s="1"/>
  <c r="BA39" i="19" s="1"/>
  <c r="BB39" i="19" s="1"/>
  <c r="BD37" i="19"/>
  <c r="AQ40" i="18"/>
  <c r="AS40" i="18" s="1"/>
  <c r="AO41" i="18" s="1"/>
  <c r="AP41" i="18" s="1"/>
  <c r="AR39" i="18"/>
  <c r="BN41" i="19"/>
  <c r="BO41" i="19" s="1"/>
  <c r="BQ41" i="19" s="1"/>
  <c r="BM42" i="19" s="1"/>
  <c r="BP40" i="19"/>
  <c r="AA62" i="19"/>
  <c r="B64" i="15"/>
  <c r="F63" i="15"/>
  <c r="AO32" i="19"/>
  <c r="AJ64" i="19"/>
  <c r="AN63" i="19"/>
  <c r="P63" i="19"/>
  <c r="E63" i="19"/>
  <c r="B64" i="19"/>
  <c r="AB63" i="19"/>
  <c r="AK63" i="19"/>
  <c r="AM63" i="19" s="1"/>
  <c r="X64" i="19"/>
  <c r="Y63" i="19"/>
  <c r="BI63" i="19"/>
  <c r="BK63" i="19" s="1"/>
  <c r="AW63" i="19"/>
  <c r="AY63" i="19" s="1"/>
  <c r="AD31" i="19"/>
  <c r="AE31" i="19" s="1"/>
  <c r="AG31" i="19" s="1"/>
  <c r="BL64" i="19"/>
  <c r="BH65" i="19"/>
  <c r="AZ64" i="19"/>
  <c r="AV65" i="19"/>
  <c r="AR31" i="19"/>
  <c r="BL63" i="18"/>
  <c r="BH64" i="18"/>
  <c r="AZ64" i="18"/>
  <c r="AV65" i="18"/>
  <c r="AK63" i="18"/>
  <c r="AM63" i="18" s="1"/>
  <c r="X64" i="18"/>
  <c r="Y63" i="18"/>
  <c r="AA63" i="18" s="1"/>
  <c r="BI63" i="18"/>
  <c r="BK63" i="18" s="1"/>
  <c r="AB63" i="18"/>
  <c r="AW63" i="18"/>
  <c r="AY63" i="18" s="1"/>
  <c r="AD33" i="18"/>
  <c r="AE33" i="18" s="1"/>
  <c r="AG33" i="18" s="1"/>
  <c r="P63" i="18"/>
  <c r="E63" i="18"/>
  <c r="B64" i="18"/>
  <c r="BB33" i="18"/>
  <c r="BC33" i="18" s="1"/>
  <c r="BE33" i="18" s="1"/>
  <c r="BN33" i="18"/>
  <c r="BO33" i="18" s="1"/>
  <c r="BQ33" i="18" s="1"/>
  <c r="AN64" i="18"/>
  <c r="AJ65" i="18"/>
  <c r="X64" i="17"/>
  <c r="Y63" i="17"/>
  <c r="AA63" i="17" s="1"/>
  <c r="AW63" i="17"/>
  <c r="AY63" i="17" s="1"/>
  <c r="AK63" i="17"/>
  <c r="AM63" i="17" s="1"/>
  <c r="BI63" i="17"/>
  <c r="BK63" i="17" s="1"/>
  <c r="AB63" i="17"/>
  <c r="BH67" i="17"/>
  <c r="BL66" i="17"/>
  <c r="AZ64" i="17"/>
  <c r="AV65" i="17"/>
  <c r="AD32" i="17"/>
  <c r="AE32" i="17" s="1"/>
  <c r="AG32" i="17" s="1"/>
  <c r="BM36" i="17"/>
  <c r="BB34" i="17"/>
  <c r="BC34" i="17" s="1"/>
  <c r="BE34" i="17" s="1"/>
  <c r="AN65" i="17"/>
  <c r="AJ66" i="17"/>
  <c r="BP35" i="17"/>
  <c r="P63" i="17"/>
  <c r="E63" i="17"/>
  <c r="B64" i="17"/>
  <c r="AQ32" i="17"/>
  <c r="AS32" i="17" s="1"/>
  <c r="BM34" i="16"/>
  <c r="BA33" i="16"/>
  <c r="BL65" i="16"/>
  <c r="BH66" i="16"/>
  <c r="E64" i="16"/>
  <c r="B65" i="16"/>
  <c r="P64" i="16"/>
  <c r="BP33" i="16"/>
  <c r="AC33" i="16"/>
  <c r="AF32" i="16"/>
  <c r="AZ64" i="16"/>
  <c r="AV65" i="16"/>
  <c r="AJ64" i="16"/>
  <c r="AN63" i="16"/>
  <c r="BD32" i="16"/>
  <c r="Y64" i="16"/>
  <c r="AA64" i="16" s="1"/>
  <c r="BI64" i="16"/>
  <c r="BK64" i="16" s="1"/>
  <c r="AW64" i="16"/>
  <c r="AY64" i="16" s="1"/>
  <c r="AK64" i="16"/>
  <c r="AM64" i="16" s="1"/>
  <c r="X65" i="16"/>
  <c r="AB64" i="16"/>
  <c r="AP33" i="16"/>
  <c r="AQ33" i="16" s="1"/>
  <c r="AS33" i="16" s="1"/>
  <c r="BH64" i="14"/>
  <c r="BL63" i="14"/>
  <c r="BM36" i="14"/>
  <c r="BP35" i="14"/>
  <c r="P63" i="14"/>
  <c r="E63" i="14"/>
  <c r="AK63" i="14"/>
  <c r="AM63" i="14" s="1"/>
  <c r="AW63" i="14"/>
  <c r="AY63" i="14" s="1"/>
  <c r="AV105" i="14"/>
  <c r="AZ104" i="14"/>
  <c r="BA36" i="14"/>
  <c r="BD35" i="14"/>
  <c r="AJ64" i="14"/>
  <c r="AN63" i="14"/>
  <c r="AP36" i="14"/>
  <c r="AQ36" i="14" s="1"/>
  <c r="AS36" i="14" s="1"/>
  <c r="X64" i="14"/>
  <c r="BI64" i="14" s="1"/>
  <c r="BK64" i="14" s="1"/>
  <c r="Y63" i="14"/>
  <c r="AA63" i="14" s="1"/>
  <c r="AB63" i="14"/>
  <c r="AE26" i="14"/>
  <c r="AG26" i="14" s="1"/>
  <c r="B64" i="14"/>
  <c r="AR40" i="18" l="1"/>
  <c r="BD38" i="19"/>
  <c r="BC39" i="19"/>
  <c r="BE39" i="19" s="1"/>
  <c r="BA40" i="19" s="1"/>
  <c r="BB40" i="19" s="1"/>
  <c r="AQ41" i="18"/>
  <c r="AS41" i="18" s="1"/>
  <c r="AO42" i="18" s="1"/>
  <c r="AP42" i="18" s="1"/>
  <c r="BN42" i="19"/>
  <c r="BO42" i="19" s="1"/>
  <c r="BQ42" i="19" s="1"/>
  <c r="BM43" i="19" s="1"/>
  <c r="BP41" i="19"/>
  <c r="AA63" i="19"/>
  <c r="B65" i="15"/>
  <c r="F64" i="15"/>
  <c r="AC32" i="19"/>
  <c r="BH66" i="19"/>
  <c r="BL65" i="19"/>
  <c r="X65" i="19"/>
  <c r="Y64" i="19"/>
  <c r="BI64" i="19"/>
  <c r="BK64" i="19" s="1"/>
  <c r="AW64" i="19"/>
  <c r="AY64" i="19" s="1"/>
  <c r="AB64" i="19"/>
  <c r="AK64" i="19"/>
  <c r="AM64" i="19" s="1"/>
  <c r="AJ65" i="19"/>
  <c r="AN64" i="19"/>
  <c r="P64" i="19"/>
  <c r="E64" i="19"/>
  <c r="B65" i="19"/>
  <c r="AZ65" i="19"/>
  <c r="AV66" i="19"/>
  <c r="AF31" i="19"/>
  <c r="AP32" i="19"/>
  <c r="AQ32" i="19" s="1"/>
  <c r="AS32" i="19" s="1"/>
  <c r="AC34" i="18"/>
  <c r="E64" i="18"/>
  <c r="B65" i="18"/>
  <c r="P64" i="18"/>
  <c r="BM34" i="18"/>
  <c r="BP33" i="18"/>
  <c r="AN65" i="18"/>
  <c r="AJ66" i="18"/>
  <c r="Y64" i="18"/>
  <c r="AA64" i="18" s="1"/>
  <c r="BI64" i="18"/>
  <c r="BK64" i="18" s="1"/>
  <c r="AW64" i="18"/>
  <c r="AY64" i="18" s="1"/>
  <c r="AB64" i="18"/>
  <c r="X65" i="18"/>
  <c r="AK64" i="18"/>
  <c r="AM64" i="18" s="1"/>
  <c r="BH65" i="18"/>
  <c r="BL64" i="18"/>
  <c r="BA34" i="18"/>
  <c r="AF33" i="18"/>
  <c r="BD33" i="18"/>
  <c r="AV66" i="18"/>
  <c r="AZ65" i="18"/>
  <c r="AR32" i="17"/>
  <c r="AO33" i="17"/>
  <c r="BD34" i="17"/>
  <c r="AC33" i="17"/>
  <c r="AF32" i="17"/>
  <c r="BN36" i="17"/>
  <c r="BO36" i="17" s="1"/>
  <c r="BQ36" i="17" s="1"/>
  <c r="AV66" i="17"/>
  <c r="AZ65" i="17"/>
  <c r="BI64" i="17"/>
  <c r="BK64" i="17" s="1"/>
  <c r="AK64" i="17"/>
  <c r="AM64" i="17" s="1"/>
  <c r="AB64" i="17"/>
  <c r="AW64" i="17"/>
  <c r="AY64" i="17" s="1"/>
  <c r="X65" i="17"/>
  <c r="Y64" i="17"/>
  <c r="AA64" i="17" s="1"/>
  <c r="B65" i="17"/>
  <c r="P64" i="17"/>
  <c r="E64" i="17"/>
  <c r="BA35" i="17"/>
  <c r="AJ67" i="17"/>
  <c r="AN66" i="17"/>
  <c r="BL67" i="17"/>
  <c r="BH68" i="17"/>
  <c r="E65" i="16"/>
  <c r="B66" i="16"/>
  <c r="P65" i="16"/>
  <c r="BH67" i="16"/>
  <c r="BL66" i="16"/>
  <c r="AO34" i="16"/>
  <c r="AV66" i="16"/>
  <c r="AZ65" i="16"/>
  <c r="AD33" i="16"/>
  <c r="AE33" i="16" s="1"/>
  <c r="AG33" i="16" s="1"/>
  <c r="AR33" i="16"/>
  <c r="AJ65" i="16"/>
  <c r="AN64" i="16"/>
  <c r="BB33" i="16"/>
  <c r="BC33" i="16" s="1"/>
  <c r="BE33" i="16" s="1"/>
  <c r="Y65" i="16"/>
  <c r="AA65" i="16" s="1"/>
  <c r="BI65" i="16"/>
  <c r="BK65" i="16" s="1"/>
  <c r="AW65" i="16"/>
  <c r="AY65" i="16" s="1"/>
  <c r="AK65" i="16"/>
  <c r="AM65" i="16" s="1"/>
  <c r="AB65" i="16"/>
  <c r="X66" i="16"/>
  <c r="BN34" i="16"/>
  <c r="BO34" i="16" s="1"/>
  <c r="BQ34" i="16" s="1"/>
  <c r="BH65" i="14"/>
  <c r="BL64" i="14"/>
  <c r="BN36" i="14"/>
  <c r="BO36" i="14" s="1"/>
  <c r="BQ36" i="14" s="1"/>
  <c r="P64" i="14"/>
  <c r="E64" i="14"/>
  <c r="AV106" i="14"/>
  <c r="AZ105" i="14"/>
  <c r="AK64" i="14"/>
  <c r="AM64" i="14" s="1"/>
  <c r="AW64" i="14"/>
  <c r="AY64" i="14" s="1"/>
  <c r="BB36" i="14"/>
  <c r="BC36" i="14" s="1"/>
  <c r="BE36" i="14" s="1"/>
  <c r="AJ65" i="14"/>
  <c r="AN64" i="14"/>
  <c r="AO37" i="14"/>
  <c r="AR36" i="14"/>
  <c r="X65" i="14"/>
  <c r="BI65" i="14" s="1"/>
  <c r="BK65" i="14" s="1"/>
  <c r="Y64" i="14"/>
  <c r="AA64" i="14" s="1"/>
  <c r="AB64" i="14"/>
  <c r="AC27" i="14"/>
  <c r="AF26" i="14"/>
  <c r="B65" i="14"/>
  <c r="BD39" i="19" l="1"/>
  <c r="BC40" i="19"/>
  <c r="BE40" i="19" s="1"/>
  <c r="BA41" i="19" s="1"/>
  <c r="BB41" i="19" s="1"/>
  <c r="AR41" i="18"/>
  <c r="AQ42" i="18"/>
  <c r="AS42" i="18" s="1"/>
  <c r="AO43" i="18" s="1"/>
  <c r="BN43" i="19"/>
  <c r="BO43" i="19" s="1"/>
  <c r="BQ43" i="19" s="1"/>
  <c r="BM44" i="19" s="1"/>
  <c r="BN44" i="19" s="1"/>
  <c r="BP42" i="19"/>
  <c r="AA64" i="19"/>
  <c r="B66" i="15"/>
  <c r="F65" i="15"/>
  <c r="AR32" i="19"/>
  <c r="B66" i="19"/>
  <c r="P65" i="19"/>
  <c r="E65" i="19"/>
  <c r="AN65" i="19"/>
  <c r="AJ66" i="19"/>
  <c r="BI65" i="19"/>
  <c r="BK65" i="19" s="1"/>
  <c r="AW65" i="19"/>
  <c r="AY65" i="19" s="1"/>
  <c r="AK65" i="19"/>
  <c r="AM65" i="19" s="1"/>
  <c r="X66" i="19"/>
  <c r="Y65" i="19"/>
  <c r="AB65" i="19"/>
  <c r="AO33" i="19"/>
  <c r="BH67" i="19"/>
  <c r="BL66" i="19"/>
  <c r="AV67" i="19"/>
  <c r="AZ66" i="19"/>
  <c r="AD32" i="19"/>
  <c r="AE32" i="19" s="1"/>
  <c r="AG32" i="19" s="1"/>
  <c r="BI65" i="18"/>
  <c r="BK65" i="18" s="1"/>
  <c r="AW65" i="18"/>
  <c r="AY65" i="18" s="1"/>
  <c r="AB65" i="18"/>
  <c r="AK65" i="18"/>
  <c r="AM65" i="18" s="1"/>
  <c r="X66" i="18"/>
  <c r="Y65" i="18"/>
  <c r="AA65" i="18" s="1"/>
  <c r="BB34" i="18"/>
  <c r="P65" i="18"/>
  <c r="B66" i="18"/>
  <c r="E65" i="18"/>
  <c r="AZ66" i="18"/>
  <c r="AV67" i="18"/>
  <c r="AJ67" i="18"/>
  <c r="AN66" i="18"/>
  <c r="BN34" i="18"/>
  <c r="BO34" i="18" s="1"/>
  <c r="BQ34" i="18" s="1"/>
  <c r="BL65" i="18"/>
  <c r="BH66" i="18"/>
  <c r="AD34" i="18"/>
  <c r="AE34" i="18" s="1"/>
  <c r="AG34" i="18" s="1"/>
  <c r="BM37" i="17"/>
  <c r="AD33" i="17"/>
  <c r="AE33" i="17" s="1"/>
  <c r="AG33" i="17" s="1"/>
  <c r="BP36" i="17"/>
  <c r="AJ68" i="17"/>
  <c r="AN67" i="17"/>
  <c r="E65" i="17"/>
  <c r="B66" i="17"/>
  <c r="P65" i="17"/>
  <c r="AP33" i="17"/>
  <c r="AQ33" i="17" s="1"/>
  <c r="AS33" i="17" s="1"/>
  <c r="BH69" i="17"/>
  <c r="BL68" i="17"/>
  <c r="BB35" i="17"/>
  <c r="AW65" i="17"/>
  <c r="AY65" i="17" s="1"/>
  <c r="Y65" i="17"/>
  <c r="AA65" i="17" s="1"/>
  <c r="AK65" i="17"/>
  <c r="AM65" i="17" s="1"/>
  <c r="X66" i="17"/>
  <c r="AB65" i="17"/>
  <c r="BI65" i="17"/>
  <c r="BK65" i="17" s="1"/>
  <c r="AZ66" i="17"/>
  <c r="AV67" i="17"/>
  <c r="BM35" i="16"/>
  <c r="BI66" i="16"/>
  <c r="BK66" i="16" s="1"/>
  <c r="AW66" i="16"/>
  <c r="AY66" i="16" s="1"/>
  <c r="AB66" i="16"/>
  <c r="AK66" i="16"/>
  <c r="AM66" i="16" s="1"/>
  <c r="Y66" i="16"/>
  <c r="AA66" i="16" s="1"/>
  <c r="X67" i="16"/>
  <c r="E66" i="16"/>
  <c r="B67" i="16"/>
  <c r="P66" i="16"/>
  <c r="BP34" i="16"/>
  <c r="AN65" i="16"/>
  <c r="AJ66" i="16"/>
  <c r="BL67" i="16"/>
  <c r="BH68" i="16"/>
  <c r="AC34" i="16"/>
  <c r="AF33" i="16"/>
  <c r="BA34" i="16"/>
  <c r="AZ66" i="16"/>
  <c r="AV67" i="16"/>
  <c r="BD33" i="16"/>
  <c r="AP34" i="16"/>
  <c r="AQ34" i="16" s="1"/>
  <c r="AS34" i="16" s="1"/>
  <c r="BH66" i="14"/>
  <c r="BL65" i="14"/>
  <c r="BM37" i="14"/>
  <c r="BP36" i="14"/>
  <c r="P65" i="14"/>
  <c r="E65" i="14"/>
  <c r="AK65" i="14"/>
  <c r="AM65" i="14" s="1"/>
  <c r="AW65" i="14"/>
  <c r="AY65" i="14" s="1"/>
  <c r="AV107" i="14"/>
  <c r="AZ106" i="14"/>
  <c r="BA37" i="14"/>
  <c r="BD36" i="14"/>
  <c r="AJ66" i="14"/>
  <c r="AN65" i="14"/>
  <c r="AP37" i="14"/>
  <c r="AQ37" i="14" s="1"/>
  <c r="AS37" i="14" s="1"/>
  <c r="X66" i="14"/>
  <c r="BI66" i="14" s="1"/>
  <c r="BK66" i="14" s="1"/>
  <c r="AB65" i="14"/>
  <c r="Y65" i="14"/>
  <c r="AA65" i="14" s="1"/>
  <c r="AD27" i="14"/>
  <c r="B66" i="14"/>
  <c r="AR42" i="18" l="1"/>
  <c r="BD40" i="19"/>
  <c r="BC41" i="19"/>
  <c r="BE41" i="19" s="1"/>
  <c r="BA42" i="19" s="1"/>
  <c r="BB42" i="19" s="1"/>
  <c r="AP43" i="18"/>
  <c r="AQ43" i="18" s="1"/>
  <c r="AS43" i="18" s="1"/>
  <c r="AO44" i="18" s="1"/>
  <c r="AP44" i="18" s="1"/>
  <c r="AQ44" i="18" s="1"/>
  <c r="AS44" i="18" s="1"/>
  <c r="AO45" i="18" s="1"/>
  <c r="BO44" i="19"/>
  <c r="BQ44" i="19" s="1"/>
  <c r="BM45" i="19" s="1"/>
  <c r="BN45" i="19" s="1"/>
  <c r="BP43" i="19"/>
  <c r="AA65" i="19"/>
  <c r="B67" i="15"/>
  <c r="F66" i="15"/>
  <c r="AV68" i="19"/>
  <c r="AZ67" i="19"/>
  <c r="BL67" i="19"/>
  <c r="BH68" i="19"/>
  <c r="AP33" i="19"/>
  <c r="AQ33" i="19" s="1"/>
  <c r="AS33" i="19" s="1"/>
  <c r="AC33" i="19"/>
  <c r="AF32" i="19"/>
  <c r="AW66" i="19"/>
  <c r="AY66" i="19" s="1"/>
  <c r="AB66" i="19"/>
  <c r="AK66" i="19"/>
  <c r="AM66" i="19" s="1"/>
  <c r="Y66" i="19"/>
  <c r="X67" i="19"/>
  <c r="BI66" i="19"/>
  <c r="BK66" i="19" s="1"/>
  <c r="AN66" i="19"/>
  <c r="AJ67" i="19"/>
  <c r="E66" i="19"/>
  <c r="B67" i="19"/>
  <c r="P66" i="19"/>
  <c r="BM35" i="18"/>
  <c r="AC35" i="18"/>
  <c r="AZ67" i="18"/>
  <c r="AV68" i="18"/>
  <c r="AF34" i="18"/>
  <c r="BL66" i="18"/>
  <c r="BH67" i="18"/>
  <c r="AW66" i="18"/>
  <c r="AY66" i="18" s="1"/>
  <c r="AB66" i="18"/>
  <c r="AK66" i="18"/>
  <c r="AM66" i="18" s="1"/>
  <c r="X67" i="18"/>
  <c r="Y66" i="18"/>
  <c r="AA66" i="18" s="1"/>
  <c r="BI66" i="18"/>
  <c r="BK66" i="18" s="1"/>
  <c r="P66" i="18"/>
  <c r="E66" i="18"/>
  <c r="B67" i="18"/>
  <c r="BP34" i="18"/>
  <c r="AN67" i="18"/>
  <c r="AJ68" i="18"/>
  <c r="BC34" i="18"/>
  <c r="BE34" i="18" s="1"/>
  <c r="AO34" i="17"/>
  <c r="B67" i="17"/>
  <c r="P66" i="17"/>
  <c r="E66" i="17"/>
  <c r="AB66" i="17"/>
  <c r="AK66" i="17"/>
  <c r="AM66" i="17" s="1"/>
  <c r="BI66" i="17"/>
  <c r="BK66" i="17" s="1"/>
  <c r="Y66" i="17"/>
  <c r="AA66" i="17" s="1"/>
  <c r="X67" i="17"/>
  <c r="AW66" i="17"/>
  <c r="AY66" i="17" s="1"/>
  <c r="BL69" i="17"/>
  <c r="BH70" i="17"/>
  <c r="AC34" i="17"/>
  <c r="AF33" i="17"/>
  <c r="AR33" i="17"/>
  <c r="AJ69" i="17"/>
  <c r="AN68" i="17"/>
  <c r="AV68" i="17"/>
  <c r="AZ67" i="17"/>
  <c r="BC35" i="17"/>
  <c r="BE35" i="17" s="1"/>
  <c r="BN37" i="17"/>
  <c r="BO37" i="17" s="1"/>
  <c r="BQ37" i="17" s="1"/>
  <c r="AO35" i="16"/>
  <c r="AD34" i="16"/>
  <c r="AE34" i="16" s="1"/>
  <c r="AG34" i="16" s="1"/>
  <c r="AW67" i="16"/>
  <c r="AY67" i="16" s="1"/>
  <c r="AK67" i="16"/>
  <c r="AM67" i="16" s="1"/>
  <c r="X68" i="16"/>
  <c r="Y67" i="16"/>
  <c r="AA67" i="16" s="1"/>
  <c r="BI67" i="16"/>
  <c r="BK67" i="16" s="1"/>
  <c r="AB67" i="16"/>
  <c r="AJ67" i="16"/>
  <c r="AN66" i="16"/>
  <c r="AR34" i="16"/>
  <c r="AZ67" i="16"/>
  <c r="AV68" i="16"/>
  <c r="P67" i="16"/>
  <c r="E67" i="16"/>
  <c r="B68" i="16"/>
  <c r="BL68" i="16"/>
  <c r="BH69" i="16"/>
  <c r="BB34" i="16"/>
  <c r="BC34" i="16" s="1"/>
  <c r="BE34" i="16" s="1"/>
  <c r="BN35" i="16"/>
  <c r="BO35" i="16" s="1"/>
  <c r="BQ35" i="16" s="1"/>
  <c r="BH67" i="14"/>
  <c r="BL66" i="14"/>
  <c r="BN37" i="14"/>
  <c r="BO37" i="14" s="1"/>
  <c r="BQ37" i="14" s="1"/>
  <c r="P66" i="14"/>
  <c r="E66" i="14"/>
  <c r="AV108" i="14"/>
  <c r="AZ107" i="14"/>
  <c r="AK66" i="14"/>
  <c r="AM66" i="14" s="1"/>
  <c r="AW66" i="14"/>
  <c r="AY66" i="14" s="1"/>
  <c r="BB37" i="14"/>
  <c r="BC37" i="14" s="1"/>
  <c r="BE37" i="14" s="1"/>
  <c r="AJ67" i="14"/>
  <c r="AN66" i="14"/>
  <c r="AO38" i="14"/>
  <c r="AR37" i="14"/>
  <c r="X67" i="14"/>
  <c r="BI67" i="14" s="1"/>
  <c r="BK67" i="14" s="1"/>
  <c r="AB66" i="14"/>
  <c r="Y66" i="14"/>
  <c r="AA66" i="14" s="1"/>
  <c r="AE27" i="14"/>
  <c r="AG27" i="14" s="1"/>
  <c r="B67" i="14"/>
  <c r="AR44" i="18" l="1"/>
  <c r="BD41" i="19"/>
  <c r="BC42" i="19"/>
  <c r="BE42" i="19" s="1"/>
  <c r="BA43" i="19" s="1"/>
  <c r="BB43" i="19" s="1"/>
  <c r="AR43" i="18"/>
  <c r="BP44" i="19"/>
  <c r="BO45" i="19"/>
  <c r="BQ45" i="19" s="1"/>
  <c r="BM46" i="19" s="1"/>
  <c r="BN46" i="19" s="1"/>
  <c r="AA66" i="19"/>
  <c r="B68" i="15"/>
  <c r="F67" i="15"/>
  <c r="AV69" i="19"/>
  <c r="AZ68" i="19"/>
  <c r="P67" i="19"/>
  <c r="E67" i="19"/>
  <c r="B68" i="19"/>
  <c r="AO34" i="19"/>
  <c r="AB67" i="19"/>
  <c r="AK67" i="19"/>
  <c r="AM67" i="19" s="1"/>
  <c r="X68" i="19"/>
  <c r="Y67" i="19"/>
  <c r="BI67" i="19"/>
  <c r="BK67" i="19" s="1"/>
  <c r="AW67" i="19"/>
  <c r="AY67" i="19" s="1"/>
  <c r="AR33" i="19"/>
  <c r="AJ68" i="19"/>
  <c r="AN67" i="19"/>
  <c r="BL68" i="19"/>
  <c r="BH69" i="19"/>
  <c r="AD33" i="19"/>
  <c r="AE33" i="19" s="1"/>
  <c r="AG33" i="19" s="1"/>
  <c r="AZ68" i="18"/>
  <c r="AV69" i="18"/>
  <c r="BA35" i="18"/>
  <c r="BL67" i="18"/>
  <c r="BH68" i="18"/>
  <c r="AN68" i="18"/>
  <c r="AJ69" i="18"/>
  <c r="AP45" i="18"/>
  <c r="AQ45" i="18" s="1"/>
  <c r="AS45" i="18" s="1"/>
  <c r="AD35" i="18"/>
  <c r="AK67" i="18"/>
  <c r="AM67" i="18" s="1"/>
  <c r="X68" i="18"/>
  <c r="Y67" i="18"/>
  <c r="AA67" i="18" s="1"/>
  <c r="BI67" i="18"/>
  <c r="BK67" i="18" s="1"/>
  <c r="AB67" i="18"/>
  <c r="AW67" i="18"/>
  <c r="AY67" i="18" s="1"/>
  <c r="BN35" i="18"/>
  <c r="BO35" i="18" s="1"/>
  <c r="BQ35" i="18" s="1"/>
  <c r="P67" i="18"/>
  <c r="E67" i="18"/>
  <c r="B68" i="18"/>
  <c r="BD34" i="18"/>
  <c r="BM38" i="17"/>
  <c r="P67" i="17"/>
  <c r="E67" i="17"/>
  <c r="B68" i="17"/>
  <c r="BP37" i="17"/>
  <c r="BA36" i="17"/>
  <c r="AD34" i="17"/>
  <c r="AE34" i="17" s="1"/>
  <c r="AG34" i="17" s="1"/>
  <c r="AN69" i="17"/>
  <c r="AJ70" i="17"/>
  <c r="BH71" i="17"/>
  <c r="BL70" i="17"/>
  <c r="BD35" i="17"/>
  <c r="AZ68" i="17"/>
  <c r="AV69" i="17"/>
  <c r="X68" i="17"/>
  <c r="Y67" i="17"/>
  <c r="AA67" i="17" s="1"/>
  <c r="AW67" i="17"/>
  <c r="AY67" i="17" s="1"/>
  <c r="BI67" i="17"/>
  <c r="BK67" i="17" s="1"/>
  <c r="AB67" i="17"/>
  <c r="AK67" i="17"/>
  <c r="AM67" i="17" s="1"/>
  <c r="AP34" i="17"/>
  <c r="AQ34" i="17" s="1"/>
  <c r="AS34" i="17" s="1"/>
  <c r="BM36" i="16"/>
  <c r="BA35" i="16"/>
  <c r="BP35" i="16"/>
  <c r="E68" i="16"/>
  <c r="B69" i="16"/>
  <c r="P68" i="16"/>
  <c r="AK68" i="16"/>
  <c r="AM68" i="16" s="1"/>
  <c r="X69" i="16"/>
  <c r="Y68" i="16"/>
  <c r="AA68" i="16" s="1"/>
  <c r="BI68" i="16"/>
  <c r="BK68" i="16" s="1"/>
  <c r="AW68" i="16"/>
  <c r="AY68" i="16" s="1"/>
  <c r="AB68" i="16"/>
  <c r="AC35" i="16"/>
  <c r="BD34" i="16"/>
  <c r="AJ68" i="16"/>
  <c r="AN67" i="16"/>
  <c r="AF34" i="16"/>
  <c r="BH70" i="16"/>
  <c r="BL69" i="16"/>
  <c r="AP35" i="16"/>
  <c r="AQ35" i="16" s="1"/>
  <c r="AS35" i="16" s="1"/>
  <c r="AZ68" i="16"/>
  <c r="AV69" i="16"/>
  <c r="BH68" i="14"/>
  <c r="BL67" i="14"/>
  <c r="BM38" i="14"/>
  <c r="BP37" i="14"/>
  <c r="P67" i="14"/>
  <c r="E67" i="14"/>
  <c r="AK67" i="14"/>
  <c r="AM67" i="14" s="1"/>
  <c r="AW67" i="14"/>
  <c r="AY67" i="14" s="1"/>
  <c r="AV109" i="14"/>
  <c r="AZ108" i="14"/>
  <c r="BA38" i="14"/>
  <c r="BD37" i="14"/>
  <c r="AJ68" i="14"/>
  <c r="AN67" i="14"/>
  <c r="AP38" i="14"/>
  <c r="AQ38" i="14" s="1"/>
  <c r="AS38" i="14" s="1"/>
  <c r="X68" i="14"/>
  <c r="BI68" i="14" s="1"/>
  <c r="BK68" i="14" s="1"/>
  <c r="AB67" i="14"/>
  <c r="Y67" i="14"/>
  <c r="AA67" i="14" s="1"/>
  <c r="AC28" i="14"/>
  <c r="AF27" i="14"/>
  <c r="B68" i="14"/>
  <c r="BD42" i="19" l="1"/>
  <c r="BC43" i="19"/>
  <c r="BE43" i="19" s="1"/>
  <c r="BA44" i="19" s="1"/>
  <c r="BP45" i="19"/>
  <c r="BO46" i="19"/>
  <c r="BQ46" i="19" s="1"/>
  <c r="BM47" i="19" s="1"/>
  <c r="BN47" i="19" s="1"/>
  <c r="BO47" i="19" s="1"/>
  <c r="BQ47" i="19" s="1"/>
  <c r="BM48" i="19" s="1"/>
  <c r="AA67" i="19"/>
  <c r="B69" i="15"/>
  <c r="F68" i="15"/>
  <c r="AC34" i="19"/>
  <c r="AJ69" i="19"/>
  <c r="AN68" i="19"/>
  <c r="P68" i="19"/>
  <c r="E68" i="19"/>
  <c r="B69" i="19"/>
  <c r="AF33" i="19"/>
  <c r="AW68" i="19"/>
  <c r="AY68" i="19" s="1"/>
  <c r="AK68" i="19"/>
  <c r="AM68" i="19" s="1"/>
  <c r="Y68" i="19"/>
  <c r="X69" i="19"/>
  <c r="BI68" i="19"/>
  <c r="BK68" i="19" s="1"/>
  <c r="AB68" i="19"/>
  <c r="BL69" i="19"/>
  <c r="BH70" i="19"/>
  <c r="AV70" i="19"/>
  <c r="AZ69" i="19"/>
  <c r="AP34" i="19"/>
  <c r="AQ34" i="19" s="1"/>
  <c r="AS34" i="19" s="1"/>
  <c r="BM36" i="18"/>
  <c r="BB35" i="18"/>
  <c r="BC35" i="18" s="1"/>
  <c r="BE35" i="18" s="1"/>
  <c r="BP35" i="18"/>
  <c r="Y68" i="18"/>
  <c r="AA68" i="18" s="1"/>
  <c r="BI68" i="18"/>
  <c r="BK68" i="18" s="1"/>
  <c r="AW68" i="18"/>
  <c r="AY68" i="18" s="1"/>
  <c r="AB68" i="18"/>
  <c r="X69" i="18"/>
  <c r="AK68" i="18"/>
  <c r="AM68" i="18" s="1"/>
  <c r="AO46" i="18"/>
  <c r="AV70" i="18"/>
  <c r="AZ69" i="18"/>
  <c r="AR45" i="18"/>
  <c r="E68" i="18"/>
  <c r="B69" i="18"/>
  <c r="P68" i="18"/>
  <c r="AN69" i="18"/>
  <c r="AJ70" i="18"/>
  <c r="BH69" i="18"/>
  <c r="BL68" i="18"/>
  <c r="AE35" i="18"/>
  <c r="AG35" i="18" s="1"/>
  <c r="AO35" i="17"/>
  <c r="BI68" i="17"/>
  <c r="BK68" i="17" s="1"/>
  <c r="AK68" i="17"/>
  <c r="AM68" i="17" s="1"/>
  <c r="X69" i="17"/>
  <c r="AW68" i="17"/>
  <c r="AY68" i="17" s="1"/>
  <c r="AB68" i="17"/>
  <c r="Y68" i="17"/>
  <c r="AA68" i="17" s="1"/>
  <c r="BL71" i="17"/>
  <c r="BH72" i="17"/>
  <c r="AJ71" i="17"/>
  <c r="AN70" i="17"/>
  <c r="BB36" i="17"/>
  <c r="BC36" i="17" s="1"/>
  <c r="BE36" i="17" s="1"/>
  <c r="B69" i="17"/>
  <c r="E68" i="17"/>
  <c r="P68" i="17"/>
  <c r="AR34" i="17"/>
  <c r="AV70" i="17"/>
  <c r="AZ69" i="17"/>
  <c r="AC35" i="17"/>
  <c r="AF34" i="17"/>
  <c r="BN38" i="17"/>
  <c r="BL70" i="16"/>
  <c r="BH71" i="16"/>
  <c r="E69" i="16"/>
  <c r="B70" i="16"/>
  <c r="P69" i="16"/>
  <c r="Y69" i="16"/>
  <c r="AA69" i="16" s="1"/>
  <c r="BI69" i="16"/>
  <c r="BK69" i="16" s="1"/>
  <c r="AW69" i="16"/>
  <c r="AY69" i="16" s="1"/>
  <c r="AK69" i="16"/>
  <c r="AM69" i="16" s="1"/>
  <c r="AB69" i="16"/>
  <c r="X70" i="16"/>
  <c r="AZ69" i="16"/>
  <c r="AV70" i="16"/>
  <c r="AJ69" i="16"/>
  <c r="AN68" i="16"/>
  <c r="BB35" i="16"/>
  <c r="BC35" i="16" s="1"/>
  <c r="BE35" i="16" s="1"/>
  <c r="AO36" i="16"/>
  <c r="AR35" i="16"/>
  <c r="AD35" i="16"/>
  <c r="AE35" i="16" s="1"/>
  <c r="AG35" i="16" s="1"/>
  <c r="BN36" i="16"/>
  <c r="BO36" i="16" s="1"/>
  <c r="BQ36" i="16" s="1"/>
  <c r="BH69" i="14"/>
  <c r="BL68" i="14"/>
  <c r="BN38" i="14"/>
  <c r="BO38" i="14" s="1"/>
  <c r="BQ38" i="14" s="1"/>
  <c r="P68" i="14"/>
  <c r="E68" i="14"/>
  <c r="AV110" i="14"/>
  <c r="AZ109" i="14"/>
  <c r="AK68" i="14"/>
  <c r="AM68" i="14" s="1"/>
  <c r="AW68" i="14"/>
  <c r="AY68" i="14" s="1"/>
  <c r="BB38" i="14"/>
  <c r="BC38" i="14" s="1"/>
  <c r="BE38" i="14" s="1"/>
  <c r="AJ69" i="14"/>
  <c r="AN68" i="14"/>
  <c r="AO39" i="14"/>
  <c r="AR38" i="14"/>
  <c r="X69" i="14"/>
  <c r="BI69" i="14" s="1"/>
  <c r="BK69" i="14" s="1"/>
  <c r="AB68" i="14"/>
  <c r="Y68" i="14"/>
  <c r="AA68" i="14" s="1"/>
  <c r="AD28" i="14"/>
  <c r="B69" i="14"/>
  <c r="BD43" i="19" l="1"/>
  <c r="BB44" i="19"/>
  <c r="BC44" i="19" s="1"/>
  <c r="BE44" i="19" s="1"/>
  <c r="BA45" i="19" s="1"/>
  <c r="BB45" i="19" s="1"/>
  <c r="BP47" i="19"/>
  <c r="BP46" i="19"/>
  <c r="AA68" i="19"/>
  <c r="B70" i="15"/>
  <c r="F69" i="15"/>
  <c r="BI69" i="19"/>
  <c r="BK69" i="19" s="1"/>
  <c r="AW69" i="19"/>
  <c r="AY69" i="19" s="1"/>
  <c r="AK69" i="19"/>
  <c r="AM69" i="19" s="1"/>
  <c r="X70" i="19"/>
  <c r="Y69" i="19"/>
  <c r="AB69" i="19"/>
  <c r="E69" i="19"/>
  <c r="B70" i="19"/>
  <c r="P69" i="19"/>
  <c r="AD34" i="19"/>
  <c r="AE34" i="19" s="1"/>
  <c r="AG34" i="19" s="1"/>
  <c r="AO35" i="19"/>
  <c r="AR34" i="19"/>
  <c r="BL70" i="19"/>
  <c r="BH71" i="19"/>
  <c r="BN48" i="19"/>
  <c r="BO48" i="19" s="1"/>
  <c r="BQ48" i="19" s="1"/>
  <c r="AZ70" i="19"/>
  <c r="AV71" i="19"/>
  <c r="AJ70" i="19"/>
  <c r="AN69" i="19"/>
  <c r="AC36" i="18"/>
  <c r="P69" i="18"/>
  <c r="B70" i="18"/>
  <c r="E69" i="18"/>
  <c r="AP46" i="18"/>
  <c r="AQ46" i="18" s="1"/>
  <c r="AS46" i="18" s="1"/>
  <c r="AJ71" i="18"/>
  <c r="AN70" i="18"/>
  <c r="BA36" i="18"/>
  <c r="BI69" i="18"/>
  <c r="BK69" i="18" s="1"/>
  <c r="AW69" i="18"/>
  <c r="AY69" i="18" s="1"/>
  <c r="AB69" i="18"/>
  <c r="AK69" i="18"/>
  <c r="AM69" i="18" s="1"/>
  <c r="X70" i="18"/>
  <c r="Y69" i="18"/>
  <c r="AA69" i="18" s="1"/>
  <c r="BD35" i="18"/>
  <c r="BL69" i="18"/>
  <c r="BH70" i="18"/>
  <c r="AF35" i="18"/>
  <c r="AV71" i="18"/>
  <c r="AZ70" i="18"/>
  <c r="BN36" i="18"/>
  <c r="BO36" i="18" s="1"/>
  <c r="BQ36" i="18" s="1"/>
  <c r="BH73" i="17"/>
  <c r="BL72" i="17"/>
  <c r="AZ70" i="17"/>
  <c r="AV71" i="17"/>
  <c r="AN71" i="17"/>
  <c r="AJ72" i="17"/>
  <c r="AW69" i="17"/>
  <c r="AY69" i="17" s="1"/>
  <c r="X70" i="17"/>
  <c r="Y69" i="17"/>
  <c r="AA69" i="17" s="1"/>
  <c r="BI69" i="17"/>
  <c r="BK69" i="17" s="1"/>
  <c r="AK69" i="17"/>
  <c r="AM69" i="17" s="1"/>
  <c r="AB69" i="17"/>
  <c r="E69" i="17"/>
  <c r="P69" i="17"/>
  <c r="B70" i="17"/>
  <c r="AD35" i="17"/>
  <c r="AE35" i="17" s="1"/>
  <c r="AG35" i="17" s="1"/>
  <c r="BA37" i="17"/>
  <c r="AP35" i="17"/>
  <c r="AQ35" i="17" s="1"/>
  <c r="AS35" i="17" s="1"/>
  <c r="BO38" i="17"/>
  <c r="BQ38" i="17" s="1"/>
  <c r="BD36" i="17"/>
  <c r="AP36" i="16"/>
  <c r="AQ36" i="16" s="1"/>
  <c r="AS36" i="16" s="1"/>
  <c r="BM37" i="16"/>
  <c r="BA36" i="16"/>
  <c r="E70" i="16"/>
  <c r="P70" i="16"/>
  <c r="B71" i="16"/>
  <c r="BP36" i="16"/>
  <c r="BD35" i="16"/>
  <c r="AN69" i="16"/>
  <c r="AJ70" i="16"/>
  <c r="AC36" i="16"/>
  <c r="AV71" i="16"/>
  <c r="AZ70" i="16"/>
  <c r="AF35" i="16"/>
  <c r="BL71" i="16"/>
  <c r="BH72" i="16"/>
  <c r="BI70" i="16"/>
  <c r="BK70" i="16" s="1"/>
  <c r="AW70" i="16"/>
  <c r="AY70" i="16" s="1"/>
  <c r="AB70" i="16"/>
  <c r="AK70" i="16"/>
  <c r="AM70" i="16" s="1"/>
  <c r="Y70" i="16"/>
  <c r="AA70" i="16" s="1"/>
  <c r="X71" i="16"/>
  <c r="BH70" i="14"/>
  <c r="BL69" i="14"/>
  <c r="BM39" i="14"/>
  <c r="BP38" i="14"/>
  <c r="P69" i="14"/>
  <c r="E69" i="14"/>
  <c r="AK69" i="14"/>
  <c r="AM69" i="14" s="1"/>
  <c r="AW69" i="14"/>
  <c r="AY69" i="14" s="1"/>
  <c r="AV111" i="14"/>
  <c r="AZ110" i="14"/>
  <c r="BA39" i="14"/>
  <c r="BD38" i="14"/>
  <c r="AJ70" i="14"/>
  <c r="AN69" i="14"/>
  <c r="AP39" i="14"/>
  <c r="AQ39" i="14" s="1"/>
  <c r="AS39" i="14" s="1"/>
  <c r="X70" i="14"/>
  <c r="BI70" i="14" s="1"/>
  <c r="BK70" i="14" s="1"/>
  <c r="Y69" i="14"/>
  <c r="AA69" i="14" s="1"/>
  <c r="AB69" i="14"/>
  <c r="AE28" i="14"/>
  <c r="AG28" i="14" s="1"/>
  <c r="B70" i="14"/>
  <c r="BC45" i="19" l="1"/>
  <c r="BE45" i="19" s="1"/>
  <c r="BA46" i="19" s="1"/>
  <c r="BB46" i="19" s="1"/>
  <c r="BC46" i="19" s="1"/>
  <c r="BE46" i="19" s="1"/>
  <c r="BD44" i="19"/>
  <c r="AA69" i="19"/>
  <c r="B71" i="15"/>
  <c r="F70" i="15"/>
  <c r="AC35" i="19"/>
  <c r="BM49" i="19"/>
  <c r="AF34" i="19"/>
  <c r="BP48" i="19"/>
  <c r="AW70" i="19"/>
  <c r="AY70" i="19" s="1"/>
  <c r="AB70" i="19"/>
  <c r="AK70" i="19"/>
  <c r="AM70" i="19" s="1"/>
  <c r="X71" i="19"/>
  <c r="Y70" i="19"/>
  <c r="BI70" i="19"/>
  <c r="BK70" i="19" s="1"/>
  <c r="AJ71" i="19"/>
  <c r="AN70" i="19"/>
  <c r="P70" i="19"/>
  <c r="E70" i="19"/>
  <c r="B71" i="19"/>
  <c r="BL71" i="19"/>
  <c r="BH72" i="19"/>
  <c r="AP35" i="19"/>
  <c r="AQ35" i="19" s="1"/>
  <c r="AS35" i="19" s="1"/>
  <c r="AZ71" i="19"/>
  <c r="AV72" i="19"/>
  <c r="BM37" i="18"/>
  <c r="BB36" i="18"/>
  <c r="BC36" i="18" s="1"/>
  <c r="BE36" i="18" s="1"/>
  <c r="BP36" i="18"/>
  <c r="P70" i="18"/>
  <c r="E70" i="18"/>
  <c r="B71" i="18"/>
  <c r="AW70" i="18"/>
  <c r="AY70" i="18" s="1"/>
  <c r="AB70" i="18"/>
  <c r="AK70" i="18"/>
  <c r="AM70" i="18" s="1"/>
  <c r="X71" i="18"/>
  <c r="Y70" i="18"/>
  <c r="AA70" i="18" s="1"/>
  <c r="BI70" i="18"/>
  <c r="BK70" i="18" s="1"/>
  <c r="AN71" i="18"/>
  <c r="AJ72" i="18"/>
  <c r="AV72" i="18"/>
  <c r="AZ71" i="18"/>
  <c r="AO47" i="18"/>
  <c r="AR46" i="18"/>
  <c r="BH71" i="18"/>
  <c r="BL70" i="18"/>
  <c r="AD36" i="18"/>
  <c r="AE36" i="18" s="1"/>
  <c r="AG36" i="18" s="1"/>
  <c r="AC36" i="17"/>
  <c r="BB37" i="17"/>
  <c r="BC37" i="17" s="1"/>
  <c r="BE37" i="17" s="1"/>
  <c r="AV72" i="17"/>
  <c r="AZ71" i="17"/>
  <c r="BM39" i="17"/>
  <c r="AB70" i="17"/>
  <c r="AK70" i="17"/>
  <c r="AM70" i="17" s="1"/>
  <c r="BI70" i="17"/>
  <c r="BK70" i="17" s="1"/>
  <c r="Y70" i="17"/>
  <c r="AA70" i="17" s="1"/>
  <c r="X71" i="17"/>
  <c r="AW70" i="17"/>
  <c r="AY70" i="17" s="1"/>
  <c r="AF35" i="17"/>
  <c r="AJ73" i="17"/>
  <c r="AN72" i="17"/>
  <c r="BP38" i="17"/>
  <c r="AO36" i="17"/>
  <c r="B71" i="17"/>
  <c r="E70" i="17"/>
  <c r="P70" i="17"/>
  <c r="AR35" i="17"/>
  <c r="BH74" i="17"/>
  <c r="BL73" i="17"/>
  <c r="AW71" i="16"/>
  <c r="AY71" i="16" s="1"/>
  <c r="AB71" i="16"/>
  <c r="AK71" i="16"/>
  <c r="AM71" i="16" s="1"/>
  <c r="X72" i="16"/>
  <c r="Y71" i="16"/>
  <c r="AA71" i="16" s="1"/>
  <c r="BI71" i="16"/>
  <c r="BK71" i="16" s="1"/>
  <c r="AN70" i="16"/>
  <c r="AJ71" i="16"/>
  <c r="BB36" i="16"/>
  <c r="BC36" i="16" s="1"/>
  <c r="BE36" i="16" s="1"/>
  <c r="AO37" i="16"/>
  <c r="BN37" i="16"/>
  <c r="BO37" i="16" s="1"/>
  <c r="BQ37" i="16" s="1"/>
  <c r="AR36" i="16"/>
  <c r="AZ71" i="16"/>
  <c r="AV72" i="16"/>
  <c r="P71" i="16"/>
  <c r="E71" i="16"/>
  <c r="B72" i="16"/>
  <c r="AD36" i="16"/>
  <c r="AE36" i="16" s="1"/>
  <c r="AG36" i="16" s="1"/>
  <c r="BL72" i="16"/>
  <c r="BH73" i="16"/>
  <c r="BH71" i="14"/>
  <c r="BL70" i="14"/>
  <c r="BN39" i="14"/>
  <c r="P70" i="14"/>
  <c r="E70" i="14"/>
  <c r="AV112" i="14"/>
  <c r="AZ111" i="14"/>
  <c r="AK70" i="14"/>
  <c r="AM70" i="14" s="1"/>
  <c r="AW70" i="14"/>
  <c r="AY70" i="14" s="1"/>
  <c r="BB39" i="14"/>
  <c r="BC39" i="14" s="1"/>
  <c r="BE39" i="14" s="1"/>
  <c r="AJ71" i="14"/>
  <c r="AN70" i="14"/>
  <c r="AO40" i="14"/>
  <c r="AR39" i="14"/>
  <c r="X71" i="14"/>
  <c r="BI71" i="14" s="1"/>
  <c r="BK71" i="14" s="1"/>
  <c r="AB70" i="14"/>
  <c r="Y70" i="14"/>
  <c r="AA70" i="14" s="1"/>
  <c r="AC29" i="14"/>
  <c r="AF28" i="14"/>
  <c r="B71" i="14"/>
  <c r="BD45" i="19" l="1"/>
  <c r="AA70" i="19"/>
  <c r="B72" i="15"/>
  <c r="F71" i="15"/>
  <c r="BA47" i="19"/>
  <c r="AO36" i="19"/>
  <c r="BH73" i="19"/>
  <c r="BL72" i="19"/>
  <c r="BN49" i="19"/>
  <c r="BO49" i="19" s="1"/>
  <c r="BQ49" i="19" s="1"/>
  <c r="AZ72" i="19"/>
  <c r="AV73" i="19"/>
  <c r="AK71" i="19"/>
  <c r="AM71" i="19" s="1"/>
  <c r="X72" i="19"/>
  <c r="Y71" i="19"/>
  <c r="BI71" i="19"/>
  <c r="BK71" i="19" s="1"/>
  <c r="AW71" i="19"/>
  <c r="AY71" i="19" s="1"/>
  <c r="AB71" i="19"/>
  <c r="P71" i="19"/>
  <c r="E71" i="19"/>
  <c r="B72" i="19"/>
  <c r="BD46" i="19"/>
  <c r="AR35" i="19"/>
  <c r="AN71" i="19"/>
  <c r="AJ72" i="19"/>
  <c r="AD35" i="19"/>
  <c r="AE35" i="19" s="1"/>
  <c r="AG35" i="19" s="1"/>
  <c r="AC37" i="18"/>
  <c r="AF36" i="18"/>
  <c r="AJ73" i="18"/>
  <c r="AN72" i="18"/>
  <c r="BA37" i="18"/>
  <c r="BD36" i="18"/>
  <c r="AP47" i="18"/>
  <c r="AQ47" i="18" s="1"/>
  <c r="AS47" i="18" s="1"/>
  <c r="E71" i="18"/>
  <c r="P71" i="18"/>
  <c r="B72" i="18"/>
  <c r="BL71" i="18"/>
  <c r="BH72" i="18"/>
  <c r="BN37" i="18"/>
  <c r="BO37" i="18" s="1"/>
  <c r="BQ37" i="18" s="1"/>
  <c r="AZ72" i="18"/>
  <c r="AV73" i="18"/>
  <c r="Y71" i="18"/>
  <c r="AA71" i="18" s="1"/>
  <c r="BI71" i="18"/>
  <c r="BK71" i="18" s="1"/>
  <c r="AW71" i="18"/>
  <c r="AY71" i="18" s="1"/>
  <c r="X72" i="18"/>
  <c r="AB71" i="18"/>
  <c r="AK71" i="18"/>
  <c r="AM71" i="18" s="1"/>
  <c r="BH75" i="17"/>
  <c r="BL74" i="17"/>
  <c r="P71" i="17"/>
  <c r="E71" i="17"/>
  <c r="B72" i="17"/>
  <c r="BN39" i="17"/>
  <c r="BO39" i="17" s="1"/>
  <c r="BQ39" i="17" s="1"/>
  <c r="AP36" i="17"/>
  <c r="AQ36" i="17" s="1"/>
  <c r="AS36" i="17" s="1"/>
  <c r="BA38" i="17"/>
  <c r="X72" i="17"/>
  <c r="Y71" i="17"/>
  <c r="AA71" i="17" s="1"/>
  <c r="AW71" i="17"/>
  <c r="AY71" i="17" s="1"/>
  <c r="BI71" i="17"/>
  <c r="BK71" i="17" s="1"/>
  <c r="AK71" i="17"/>
  <c r="AM71" i="17" s="1"/>
  <c r="AB71" i="17"/>
  <c r="AZ72" i="17"/>
  <c r="AV73" i="17"/>
  <c r="BD37" i="17"/>
  <c r="AN73" i="17"/>
  <c r="AJ74" i="17"/>
  <c r="AD36" i="17"/>
  <c r="AE36" i="17" s="1"/>
  <c r="AG36" i="17" s="1"/>
  <c r="AP37" i="16"/>
  <c r="AQ37" i="16" s="1"/>
  <c r="AS37" i="16" s="1"/>
  <c r="AZ72" i="16"/>
  <c r="AV73" i="16"/>
  <c r="BA37" i="16"/>
  <c r="AC37" i="16"/>
  <c r="BD36" i="16"/>
  <c r="AK72" i="16"/>
  <c r="AM72" i="16" s="1"/>
  <c r="X73" i="16"/>
  <c r="Y72" i="16"/>
  <c r="AA72" i="16" s="1"/>
  <c r="BI72" i="16"/>
  <c r="BK72" i="16" s="1"/>
  <c r="AW72" i="16"/>
  <c r="AY72" i="16" s="1"/>
  <c r="AB72" i="16"/>
  <c r="AF36" i="16"/>
  <c r="P72" i="16"/>
  <c r="E72" i="16"/>
  <c r="B73" i="16"/>
  <c r="BM38" i="16"/>
  <c r="BP37" i="16"/>
  <c r="AJ72" i="16"/>
  <c r="AN71" i="16"/>
  <c r="BH74" i="16"/>
  <c r="BL73" i="16"/>
  <c r="BH72" i="14"/>
  <c r="BL71" i="14"/>
  <c r="BO39" i="14"/>
  <c r="BQ39" i="14" s="1"/>
  <c r="BM40" i="14" s="1"/>
  <c r="P71" i="14"/>
  <c r="E71" i="14"/>
  <c r="AK71" i="14"/>
  <c r="AM71" i="14" s="1"/>
  <c r="AW71" i="14"/>
  <c r="AY71" i="14" s="1"/>
  <c r="AV113" i="14"/>
  <c r="AZ112" i="14"/>
  <c r="BA40" i="14"/>
  <c r="BD39" i="14"/>
  <c r="AJ72" i="14"/>
  <c r="AN71" i="14"/>
  <c r="AP40" i="14"/>
  <c r="AQ40" i="14" s="1"/>
  <c r="AS40" i="14" s="1"/>
  <c r="X72" i="14"/>
  <c r="BI72" i="14" s="1"/>
  <c r="BK72" i="14" s="1"/>
  <c r="Y71" i="14"/>
  <c r="AA71" i="14" s="1"/>
  <c r="AB71" i="14"/>
  <c r="AD29" i="14"/>
  <c r="B72" i="14"/>
  <c r="AA71" i="19" l="1"/>
  <c r="B73" i="15"/>
  <c r="F72" i="15"/>
  <c r="BM50" i="19"/>
  <c r="AC36" i="19"/>
  <c r="AF35" i="19"/>
  <c r="AN72" i="19"/>
  <c r="AJ73" i="19"/>
  <c r="E72" i="19"/>
  <c r="B73" i="19"/>
  <c r="P72" i="19"/>
  <c r="BP49" i="19"/>
  <c r="AP36" i="19"/>
  <c r="AQ36" i="19" s="1"/>
  <c r="AS36" i="19" s="1"/>
  <c r="Y72" i="19"/>
  <c r="BI72" i="19"/>
  <c r="BK72" i="19" s="1"/>
  <c r="AW72" i="19"/>
  <c r="AY72" i="19" s="1"/>
  <c r="AB72" i="19"/>
  <c r="AK72" i="19"/>
  <c r="AM72" i="19" s="1"/>
  <c r="X73" i="19"/>
  <c r="AV74" i="19"/>
  <c r="AZ73" i="19"/>
  <c r="BH74" i="19"/>
  <c r="BL73" i="19"/>
  <c r="BB47" i="19"/>
  <c r="BC47" i="19" s="1"/>
  <c r="BE47" i="19" s="1"/>
  <c r="AO48" i="18"/>
  <c r="BI72" i="18"/>
  <c r="BK72" i="18" s="1"/>
  <c r="AW72" i="18"/>
  <c r="AY72" i="18" s="1"/>
  <c r="AK72" i="18"/>
  <c r="AM72" i="18" s="1"/>
  <c r="AB72" i="18"/>
  <c r="X73" i="18"/>
  <c r="Y72" i="18"/>
  <c r="AA72" i="18" s="1"/>
  <c r="BH73" i="18"/>
  <c r="BL72" i="18"/>
  <c r="AR47" i="18"/>
  <c r="B73" i="18"/>
  <c r="E72" i="18"/>
  <c r="P72" i="18"/>
  <c r="AV74" i="18"/>
  <c r="AZ73" i="18"/>
  <c r="AJ74" i="18"/>
  <c r="AN73" i="18"/>
  <c r="BM38" i="18"/>
  <c r="BB37" i="18"/>
  <c r="BC37" i="18" s="1"/>
  <c r="BE37" i="18" s="1"/>
  <c r="AD37" i="18"/>
  <c r="AE37" i="18" s="1"/>
  <c r="AG37" i="18" s="1"/>
  <c r="BP37" i="18"/>
  <c r="AC37" i="17"/>
  <c r="AV74" i="17"/>
  <c r="AZ73" i="17"/>
  <c r="BM40" i="17"/>
  <c r="BB38" i="17"/>
  <c r="BC38" i="17" s="1"/>
  <c r="BE38" i="17" s="1"/>
  <c r="BP39" i="17"/>
  <c r="E72" i="17"/>
  <c r="B73" i="17"/>
  <c r="P72" i="17"/>
  <c r="AF36" i="17"/>
  <c r="AO37" i="17"/>
  <c r="AR36" i="17"/>
  <c r="AJ75" i="17"/>
  <c r="AN74" i="17"/>
  <c r="Y72" i="17"/>
  <c r="AA72" i="17" s="1"/>
  <c r="BI72" i="17"/>
  <c r="BK72" i="17" s="1"/>
  <c r="AB72" i="17"/>
  <c r="AK72" i="17"/>
  <c r="AM72" i="17" s="1"/>
  <c r="X73" i="17"/>
  <c r="AW72" i="17"/>
  <c r="AY72" i="17" s="1"/>
  <c r="BH76" i="17"/>
  <c r="BL75" i="17"/>
  <c r="BB37" i="16"/>
  <c r="BC37" i="16" s="1"/>
  <c r="BE37" i="16" s="1"/>
  <c r="BN38" i="16"/>
  <c r="BO38" i="16" s="1"/>
  <c r="BQ38" i="16" s="1"/>
  <c r="Y73" i="16"/>
  <c r="AA73" i="16" s="1"/>
  <c r="BI73" i="16"/>
  <c r="BK73" i="16" s="1"/>
  <c r="AW73" i="16"/>
  <c r="AY73" i="16" s="1"/>
  <c r="AB73" i="16"/>
  <c r="AK73" i="16"/>
  <c r="AM73" i="16" s="1"/>
  <c r="X74" i="16"/>
  <c r="AZ73" i="16"/>
  <c r="AV74" i="16"/>
  <c r="BL74" i="16"/>
  <c r="BH75" i="16"/>
  <c r="AJ73" i="16"/>
  <c r="AN72" i="16"/>
  <c r="E73" i="16"/>
  <c r="B74" i="16"/>
  <c r="P73" i="16"/>
  <c r="AD37" i="16"/>
  <c r="AE37" i="16" s="1"/>
  <c r="AG37" i="16" s="1"/>
  <c r="AO38" i="16"/>
  <c r="AR37" i="16"/>
  <c r="BH73" i="14"/>
  <c r="BL72" i="14"/>
  <c r="BP39" i="14"/>
  <c r="BN40" i="14"/>
  <c r="BO40" i="14" s="1"/>
  <c r="BQ40" i="14" s="1"/>
  <c r="P72" i="14"/>
  <c r="E72" i="14"/>
  <c r="AV114" i="14"/>
  <c r="AZ113" i="14"/>
  <c r="AK72" i="14"/>
  <c r="AM72" i="14" s="1"/>
  <c r="AW72" i="14"/>
  <c r="AY72" i="14" s="1"/>
  <c r="BB40" i="14"/>
  <c r="BC40" i="14" s="1"/>
  <c r="BE40" i="14" s="1"/>
  <c r="AJ73" i="14"/>
  <c r="AN72" i="14"/>
  <c r="AO41" i="14"/>
  <c r="AR40" i="14"/>
  <c r="X73" i="14"/>
  <c r="BI73" i="14" s="1"/>
  <c r="BK73" i="14" s="1"/>
  <c r="Y72" i="14"/>
  <c r="AA72" i="14" s="1"/>
  <c r="AB72" i="14"/>
  <c r="AE29" i="14"/>
  <c r="AG29" i="14" s="1"/>
  <c r="B73" i="14"/>
  <c r="AA72" i="19" l="1"/>
  <c r="B74" i="15"/>
  <c r="F73" i="15"/>
  <c r="AO37" i="19"/>
  <c r="BA48" i="19"/>
  <c r="BI73" i="19"/>
  <c r="BK73" i="19" s="1"/>
  <c r="AW73" i="19"/>
  <c r="AY73" i="19" s="1"/>
  <c r="AB73" i="19"/>
  <c r="AK73" i="19"/>
  <c r="AM73" i="19" s="1"/>
  <c r="X74" i="19"/>
  <c r="Y73" i="19"/>
  <c r="P73" i="19"/>
  <c r="E73" i="19"/>
  <c r="B74" i="19"/>
  <c r="AN73" i="19"/>
  <c r="AJ74" i="19"/>
  <c r="AD36" i="19"/>
  <c r="AE36" i="19" s="1"/>
  <c r="AG36" i="19" s="1"/>
  <c r="BH75" i="19"/>
  <c r="BL74" i="19"/>
  <c r="AR36" i="19"/>
  <c r="AV75" i="19"/>
  <c r="AZ74" i="19"/>
  <c r="BD47" i="19"/>
  <c r="BN50" i="19"/>
  <c r="BO50" i="19" s="1"/>
  <c r="BQ50" i="19" s="1"/>
  <c r="AW73" i="18"/>
  <c r="AY73" i="18" s="1"/>
  <c r="AK73" i="18"/>
  <c r="AM73" i="18" s="1"/>
  <c r="X74" i="18"/>
  <c r="Y73" i="18"/>
  <c r="AA73" i="18" s="1"/>
  <c r="AB73" i="18"/>
  <c r="BI73" i="18"/>
  <c r="BK73" i="18" s="1"/>
  <c r="AZ74" i="18"/>
  <c r="AV75" i="18"/>
  <c r="AC38" i="18"/>
  <c r="AF37" i="18"/>
  <c r="BA38" i="18"/>
  <c r="BD37" i="18"/>
  <c r="AJ75" i="18"/>
  <c r="AN74" i="18"/>
  <c r="BL73" i="18"/>
  <c r="BH74" i="18"/>
  <c r="AP48" i="18"/>
  <c r="BN38" i="18"/>
  <c r="BO38" i="18" s="1"/>
  <c r="BQ38" i="18" s="1"/>
  <c r="P73" i="18"/>
  <c r="E73" i="18"/>
  <c r="B74" i="18"/>
  <c r="P73" i="17"/>
  <c r="E73" i="17"/>
  <c r="B74" i="17"/>
  <c r="BN40" i="17"/>
  <c r="BO40" i="17" s="1"/>
  <c r="BQ40" i="17" s="1"/>
  <c r="AJ76" i="17"/>
  <c r="AN75" i="17"/>
  <c r="BA39" i="17"/>
  <c r="AZ74" i="17"/>
  <c r="AV75" i="17"/>
  <c r="BL76" i="17"/>
  <c r="BH77" i="17"/>
  <c r="BD38" i="17"/>
  <c r="BI73" i="17"/>
  <c r="BK73" i="17" s="1"/>
  <c r="AW73" i="17"/>
  <c r="AY73" i="17" s="1"/>
  <c r="X74" i="17"/>
  <c r="Y73" i="17"/>
  <c r="AA73" i="17" s="1"/>
  <c r="AB73" i="17"/>
  <c r="AK73" i="17"/>
  <c r="AM73" i="17" s="1"/>
  <c r="AP37" i="17"/>
  <c r="AD37" i="17"/>
  <c r="AE37" i="17" s="1"/>
  <c r="AG37" i="17" s="1"/>
  <c r="B75" i="16"/>
  <c r="P74" i="16"/>
  <c r="E74" i="16"/>
  <c r="BH76" i="16"/>
  <c r="BL75" i="16"/>
  <c r="AP38" i="16"/>
  <c r="AQ38" i="16" s="1"/>
  <c r="AS38" i="16" s="1"/>
  <c r="AC38" i="16"/>
  <c r="AV75" i="16"/>
  <c r="AZ74" i="16"/>
  <c r="BM39" i="16"/>
  <c r="AF37" i="16"/>
  <c r="BP38" i="16"/>
  <c r="X75" i="16"/>
  <c r="BI74" i="16"/>
  <c r="BK74" i="16" s="1"/>
  <c r="AW74" i="16"/>
  <c r="AY74" i="16" s="1"/>
  <c r="AB74" i="16"/>
  <c r="AK74" i="16"/>
  <c r="AM74" i="16" s="1"/>
  <c r="Y74" i="16"/>
  <c r="AA74" i="16" s="1"/>
  <c r="BA38" i="16"/>
  <c r="AN73" i="16"/>
  <c r="AJ74" i="16"/>
  <c r="BD37" i="16"/>
  <c r="BH74" i="14"/>
  <c r="BL73" i="14"/>
  <c r="BM41" i="14"/>
  <c r="BP40" i="14"/>
  <c r="P73" i="14"/>
  <c r="E73" i="14"/>
  <c r="AK73" i="14"/>
  <c r="AM73" i="14" s="1"/>
  <c r="AW73" i="14"/>
  <c r="AY73" i="14" s="1"/>
  <c r="AV115" i="14"/>
  <c r="AZ114" i="14"/>
  <c r="BA41" i="14"/>
  <c r="BD40" i="14"/>
  <c r="AJ74" i="14"/>
  <c r="AN73" i="14"/>
  <c r="AP41" i="14"/>
  <c r="X74" i="14"/>
  <c r="BI74" i="14" s="1"/>
  <c r="BK74" i="14" s="1"/>
  <c r="AB73" i="14"/>
  <c r="Y73" i="14"/>
  <c r="AA73" i="14" s="1"/>
  <c r="AC30" i="14"/>
  <c r="AF29" i="14"/>
  <c r="B74" i="14"/>
  <c r="AA73" i="19" l="1"/>
  <c r="B75" i="15"/>
  <c r="F74" i="15"/>
  <c r="BM51" i="19"/>
  <c r="BP50" i="19"/>
  <c r="P74" i="19"/>
  <c r="E74" i="19"/>
  <c r="B75" i="19"/>
  <c r="AV76" i="19"/>
  <c r="AZ75" i="19"/>
  <c r="BH76" i="19"/>
  <c r="BL75" i="19"/>
  <c r="AC37" i="19"/>
  <c r="BB48" i="19"/>
  <c r="BC48" i="19" s="1"/>
  <c r="BE48" i="19" s="1"/>
  <c r="AF36" i="19"/>
  <c r="AJ75" i="19"/>
  <c r="AN74" i="19"/>
  <c r="X75" i="19"/>
  <c r="AW74" i="19"/>
  <c r="AY74" i="19" s="1"/>
  <c r="AB74" i="19"/>
  <c r="AK74" i="19"/>
  <c r="AM74" i="19" s="1"/>
  <c r="Y74" i="19"/>
  <c r="BI74" i="19"/>
  <c r="BK74" i="19" s="1"/>
  <c r="AP37" i="19"/>
  <c r="AQ37" i="19" s="1"/>
  <c r="AS37" i="19" s="1"/>
  <c r="BM39" i="18"/>
  <c r="BB38" i="18"/>
  <c r="BC38" i="18" s="1"/>
  <c r="BE38" i="18" s="1"/>
  <c r="AD38" i="18"/>
  <c r="P74" i="18"/>
  <c r="E74" i="18"/>
  <c r="B75" i="18"/>
  <c r="BL74" i="18"/>
  <c r="BH75" i="18"/>
  <c r="AZ75" i="18"/>
  <c r="AV76" i="18"/>
  <c r="AN75" i="18"/>
  <c r="AJ76" i="18"/>
  <c r="BP38" i="18"/>
  <c r="AQ48" i="18"/>
  <c r="AS48" i="18" s="1"/>
  <c r="AK74" i="18"/>
  <c r="AM74" i="18" s="1"/>
  <c r="X75" i="18"/>
  <c r="Y74" i="18"/>
  <c r="AA74" i="18" s="1"/>
  <c r="BI74" i="18"/>
  <c r="BK74" i="18" s="1"/>
  <c r="AB74" i="18"/>
  <c r="AW74" i="18"/>
  <c r="AY74" i="18" s="1"/>
  <c r="BH78" i="17"/>
  <c r="BL77" i="17"/>
  <c r="BM41" i="17"/>
  <c r="AF37" i="17"/>
  <c r="BP40" i="17"/>
  <c r="AZ75" i="17"/>
  <c r="AV76" i="17"/>
  <c r="P74" i="17"/>
  <c r="E74" i="17"/>
  <c r="B75" i="17"/>
  <c r="AW74" i="17"/>
  <c r="AY74" i="17" s="1"/>
  <c r="AB74" i="17"/>
  <c r="AK74" i="17"/>
  <c r="AM74" i="17" s="1"/>
  <c r="X75" i="17"/>
  <c r="BI74" i="17"/>
  <c r="BK74" i="17" s="1"/>
  <c r="Y74" i="17"/>
  <c r="AA74" i="17" s="1"/>
  <c r="BB39" i="17"/>
  <c r="BC39" i="17" s="1"/>
  <c r="BE39" i="17" s="1"/>
  <c r="AC38" i="17"/>
  <c r="AQ37" i="17"/>
  <c r="AS37" i="17" s="1"/>
  <c r="AN76" i="17"/>
  <c r="AJ77" i="17"/>
  <c r="AD38" i="16"/>
  <c r="AE38" i="16" s="1"/>
  <c r="AG38" i="16" s="1"/>
  <c r="AN74" i="16"/>
  <c r="AJ75" i="16"/>
  <c r="BL76" i="16"/>
  <c r="BH77" i="16"/>
  <c r="BN39" i="16"/>
  <c r="AO39" i="16"/>
  <c r="AR38" i="16"/>
  <c r="BB38" i="16"/>
  <c r="BC38" i="16" s="1"/>
  <c r="BE38" i="16" s="1"/>
  <c r="AB75" i="16"/>
  <c r="BI75" i="16"/>
  <c r="BK75" i="16" s="1"/>
  <c r="AW75" i="16"/>
  <c r="AY75" i="16" s="1"/>
  <c r="AK75" i="16"/>
  <c r="AM75" i="16" s="1"/>
  <c r="Y75" i="16"/>
  <c r="AA75" i="16" s="1"/>
  <c r="X76" i="16"/>
  <c r="AZ75" i="16"/>
  <c r="AV76" i="16"/>
  <c r="B76" i="16"/>
  <c r="P75" i="16"/>
  <c r="E75" i="16"/>
  <c r="BH75" i="14"/>
  <c r="BL74" i="14"/>
  <c r="BN41" i="14"/>
  <c r="P74" i="14"/>
  <c r="E74" i="14"/>
  <c r="AV116" i="14"/>
  <c r="AZ115" i="14"/>
  <c r="AK74" i="14"/>
  <c r="AM74" i="14" s="1"/>
  <c r="AW74" i="14"/>
  <c r="AY74" i="14" s="1"/>
  <c r="BB41" i="14"/>
  <c r="BC41" i="14" s="1"/>
  <c r="BE41" i="14" s="1"/>
  <c r="AJ75" i="14"/>
  <c r="AN74" i="14"/>
  <c r="AQ41" i="14"/>
  <c r="AS41" i="14" s="1"/>
  <c r="AO42" i="14" s="1"/>
  <c r="X75" i="14"/>
  <c r="BI75" i="14" s="1"/>
  <c r="BK75" i="14" s="1"/>
  <c r="AB74" i="14"/>
  <c r="Y74" i="14"/>
  <c r="AA74" i="14" s="1"/>
  <c r="AD30" i="14"/>
  <c r="B75" i="14"/>
  <c r="AA74" i="19" l="1"/>
  <c r="B76" i="15"/>
  <c r="F75" i="15"/>
  <c r="BA49" i="19"/>
  <c r="AO38" i="19"/>
  <c r="BH77" i="19"/>
  <c r="BL76" i="19"/>
  <c r="AR37" i="19"/>
  <c r="AJ76" i="19"/>
  <c r="AN75" i="19"/>
  <c r="BD48" i="19"/>
  <c r="AV77" i="19"/>
  <c r="AZ76" i="19"/>
  <c r="AD37" i="19"/>
  <c r="AE37" i="19" s="1"/>
  <c r="AG37" i="19" s="1"/>
  <c r="Y75" i="19"/>
  <c r="BI75" i="19"/>
  <c r="BK75" i="19" s="1"/>
  <c r="AW75" i="19"/>
  <c r="AY75" i="19" s="1"/>
  <c r="AK75" i="19"/>
  <c r="AM75" i="19" s="1"/>
  <c r="X76" i="19"/>
  <c r="AB75" i="19"/>
  <c r="B76" i="19"/>
  <c r="P75" i="19"/>
  <c r="E75" i="19"/>
  <c r="BN51" i="19"/>
  <c r="BO51" i="19" s="1"/>
  <c r="BQ51" i="19" s="1"/>
  <c r="BA39" i="18"/>
  <c r="AN76" i="18"/>
  <c r="AJ77" i="18"/>
  <c r="BH76" i="18"/>
  <c r="BL75" i="18"/>
  <c r="AO49" i="18"/>
  <c r="BD38" i="18"/>
  <c r="AV77" i="18"/>
  <c r="AZ76" i="18"/>
  <c r="E75" i="18"/>
  <c r="B76" i="18"/>
  <c r="P75" i="18"/>
  <c r="AR48" i="18"/>
  <c r="BN39" i="18"/>
  <c r="Y75" i="18"/>
  <c r="AA75" i="18" s="1"/>
  <c r="BI75" i="18"/>
  <c r="BK75" i="18" s="1"/>
  <c r="AW75" i="18"/>
  <c r="AY75" i="18" s="1"/>
  <c r="AB75" i="18"/>
  <c r="X76" i="18"/>
  <c r="AK75" i="18"/>
  <c r="AM75" i="18" s="1"/>
  <c r="AE38" i="18"/>
  <c r="AG38" i="18" s="1"/>
  <c r="AJ78" i="17"/>
  <c r="AN77" i="17"/>
  <c r="BN41" i="17"/>
  <c r="BO41" i="17" s="1"/>
  <c r="BQ41" i="17" s="1"/>
  <c r="AD38" i="17"/>
  <c r="AE38" i="17" s="1"/>
  <c r="AG38" i="17" s="1"/>
  <c r="AV77" i="17"/>
  <c r="AZ76" i="17"/>
  <c r="AK75" i="17"/>
  <c r="AM75" i="17" s="1"/>
  <c r="AW75" i="17"/>
  <c r="AY75" i="17" s="1"/>
  <c r="Y75" i="17"/>
  <c r="AA75" i="17" s="1"/>
  <c r="AB75" i="17"/>
  <c r="X76" i="17"/>
  <c r="BI75" i="17"/>
  <c r="BK75" i="17" s="1"/>
  <c r="AO38" i="17"/>
  <c r="BA40" i="17"/>
  <c r="BD39" i="17"/>
  <c r="B76" i="17"/>
  <c r="P75" i="17"/>
  <c r="E75" i="17"/>
  <c r="BL78" i="17"/>
  <c r="BH79" i="17"/>
  <c r="AR37" i="17"/>
  <c r="AV77" i="16"/>
  <c r="AZ76" i="16"/>
  <c r="BA39" i="16"/>
  <c r="BD38" i="16"/>
  <c r="X77" i="16"/>
  <c r="AB76" i="16"/>
  <c r="BI76" i="16"/>
  <c r="BK76" i="16" s="1"/>
  <c r="AW76" i="16"/>
  <c r="AY76" i="16" s="1"/>
  <c r="AK76" i="16"/>
  <c r="AM76" i="16" s="1"/>
  <c r="Y76" i="16"/>
  <c r="AA76" i="16" s="1"/>
  <c r="AJ76" i="16"/>
  <c r="AN75" i="16"/>
  <c r="AP39" i="16"/>
  <c r="AQ39" i="16" s="1"/>
  <c r="AS39" i="16" s="1"/>
  <c r="BH78" i="16"/>
  <c r="BL77" i="16"/>
  <c r="AC39" i="16"/>
  <c r="P76" i="16"/>
  <c r="E76" i="16"/>
  <c r="B77" i="16"/>
  <c r="AF38" i="16"/>
  <c r="BO39" i="16"/>
  <c r="BQ39" i="16" s="1"/>
  <c r="BH76" i="14"/>
  <c r="BL75" i="14"/>
  <c r="BO41" i="14"/>
  <c r="BQ41" i="14" s="1"/>
  <c r="BM42" i="14" s="1"/>
  <c r="P75" i="14"/>
  <c r="E75" i="14"/>
  <c r="AK75" i="14"/>
  <c r="AM75" i="14" s="1"/>
  <c r="AW75" i="14"/>
  <c r="AY75" i="14" s="1"/>
  <c r="AV117" i="14"/>
  <c r="AZ116" i="14"/>
  <c r="BA42" i="14"/>
  <c r="BD41" i="14"/>
  <c r="AJ76" i="14"/>
  <c r="AN75" i="14"/>
  <c r="AR41" i="14"/>
  <c r="AP42" i="14"/>
  <c r="X76" i="14"/>
  <c r="BI76" i="14" s="1"/>
  <c r="BK76" i="14" s="1"/>
  <c r="AB75" i="14"/>
  <c r="Y75" i="14"/>
  <c r="AA75" i="14" s="1"/>
  <c r="AE30" i="14"/>
  <c r="AG30" i="14" s="1"/>
  <c r="B76" i="14"/>
  <c r="AA75" i="19" l="1"/>
  <c r="B77" i="15"/>
  <c r="F76" i="15"/>
  <c r="BM52" i="19"/>
  <c r="AC38" i="19"/>
  <c r="BP51" i="19"/>
  <c r="BI76" i="19"/>
  <c r="BK76" i="19" s="1"/>
  <c r="AW76" i="19"/>
  <c r="AY76" i="19" s="1"/>
  <c r="AB76" i="19"/>
  <c r="X77" i="19"/>
  <c r="AK76" i="19"/>
  <c r="AM76" i="19" s="1"/>
  <c r="Y76" i="19"/>
  <c r="AF37" i="19"/>
  <c r="AV78" i="19"/>
  <c r="AZ77" i="19"/>
  <c r="BL77" i="19"/>
  <c r="BH78" i="19"/>
  <c r="B77" i="19"/>
  <c r="E76" i="19"/>
  <c r="P76" i="19"/>
  <c r="AP38" i="19"/>
  <c r="AQ38" i="19" s="1"/>
  <c r="AS38" i="19" s="1"/>
  <c r="AJ77" i="19"/>
  <c r="AN76" i="19"/>
  <c r="BB49" i="19"/>
  <c r="BC49" i="19" s="1"/>
  <c r="BE49" i="19" s="1"/>
  <c r="AC39" i="18"/>
  <c r="BL76" i="18"/>
  <c r="BH77" i="18"/>
  <c r="AJ78" i="18"/>
  <c r="AN77" i="18"/>
  <c r="BI76" i="18"/>
  <c r="BK76" i="18" s="1"/>
  <c r="AW76" i="18"/>
  <c r="AY76" i="18" s="1"/>
  <c r="AB76" i="18"/>
  <c r="AK76" i="18"/>
  <c r="AM76" i="18" s="1"/>
  <c r="X77" i="18"/>
  <c r="Y76" i="18"/>
  <c r="AA76" i="18" s="1"/>
  <c r="P76" i="18"/>
  <c r="B77" i="18"/>
  <c r="E76" i="18"/>
  <c r="AP49" i="18"/>
  <c r="AQ49" i="18" s="1"/>
  <c r="AS49" i="18" s="1"/>
  <c r="AZ77" i="18"/>
  <c r="AV78" i="18"/>
  <c r="AF38" i="18"/>
  <c r="BB39" i="18"/>
  <c r="BC39" i="18" s="1"/>
  <c r="BE39" i="18" s="1"/>
  <c r="BO39" i="18"/>
  <c r="BQ39" i="18" s="1"/>
  <c r="BM42" i="17"/>
  <c r="AC39" i="17"/>
  <c r="BB40" i="17"/>
  <c r="BC40" i="17" s="1"/>
  <c r="BE40" i="17" s="1"/>
  <c r="BP41" i="17"/>
  <c r="E76" i="17"/>
  <c r="P76" i="17"/>
  <c r="B77" i="17"/>
  <c r="AP38" i="17"/>
  <c r="AQ38" i="17" s="1"/>
  <c r="AS38" i="17" s="1"/>
  <c r="AZ77" i="17"/>
  <c r="AV78" i="17"/>
  <c r="BH80" i="17"/>
  <c r="BL79" i="17"/>
  <c r="X77" i="17"/>
  <c r="Y76" i="17"/>
  <c r="AA76" i="17" s="1"/>
  <c r="AB76" i="17"/>
  <c r="BI76" i="17"/>
  <c r="BK76" i="17" s="1"/>
  <c r="AK76" i="17"/>
  <c r="AM76" i="17" s="1"/>
  <c r="AW76" i="17"/>
  <c r="AY76" i="17" s="1"/>
  <c r="AF38" i="17"/>
  <c r="AN78" i="17"/>
  <c r="AJ79" i="17"/>
  <c r="BL78" i="16"/>
  <c r="BH79" i="16"/>
  <c r="B78" i="16"/>
  <c r="P77" i="16"/>
  <c r="E77" i="16"/>
  <c r="AO40" i="16"/>
  <c r="BB39" i="16"/>
  <c r="BC39" i="16" s="1"/>
  <c r="BE39" i="16" s="1"/>
  <c r="AR39" i="16"/>
  <c r="BM40" i="16"/>
  <c r="AZ77" i="16"/>
  <c r="AV78" i="16"/>
  <c r="AB77" i="16"/>
  <c r="BI77" i="16"/>
  <c r="BK77" i="16" s="1"/>
  <c r="AW77" i="16"/>
  <c r="AY77" i="16" s="1"/>
  <c r="AK77" i="16"/>
  <c r="AM77" i="16" s="1"/>
  <c r="Y77" i="16"/>
  <c r="AA77" i="16" s="1"/>
  <c r="X78" i="16"/>
  <c r="BP39" i="16"/>
  <c r="AD39" i="16"/>
  <c r="AE39" i="16" s="1"/>
  <c r="AG39" i="16" s="1"/>
  <c r="AN76" i="16"/>
  <c r="AJ77" i="16"/>
  <c r="BH77" i="14"/>
  <c r="BL76" i="14"/>
  <c r="BP41" i="14"/>
  <c r="BN42" i="14"/>
  <c r="BO42" i="14" s="1"/>
  <c r="BQ42" i="14" s="1"/>
  <c r="P76" i="14"/>
  <c r="E76" i="14"/>
  <c r="AK76" i="14"/>
  <c r="AM76" i="14" s="1"/>
  <c r="AW76" i="14"/>
  <c r="AY76" i="14" s="1"/>
  <c r="AV118" i="14"/>
  <c r="AZ117" i="14"/>
  <c r="BB42" i="14"/>
  <c r="BC42" i="14" s="1"/>
  <c r="BE42" i="14" s="1"/>
  <c r="AJ77" i="14"/>
  <c r="AN76" i="14"/>
  <c r="AQ42" i="14"/>
  <c r="AS42" i="14" s="1"/>
  <c r="AO43" i="14" s="1"/>
  <c r="X77" i="14"/>
  <c r="BI77" i="14" s="1"/>
  <c r="BK77" i="14" s="1"/>
  <c r="AB76" i="14"/>
  <c r="Y76" i="14"/>
  <c r="AA76" i="14" s="1"/>
  <c r="AC31" i="14"/>
  <c r="AF30" i="14"/>
  <c r="B77" i="14"/>
  <c r="AA76" i="19" l="1"/>
  <c r="B78" i="15"/>
  <c r="F77" i="15"/>
  <c r="AO39" i="19"/>
  <c r="AZ78" i="19"/>
  <c r="AV79" i="19"/>
  <c r="AR38" i="19"/>
  <c r="BA50" i="19"/>
  <c r="B78" i="19"/>
  <c r="E77" i="19"/>
  <c r="P77" i="19"/>
  <c r="BD49" i="19"/>
  <c r="BL78" i="19"/>
  <c r="BH79" i="19"/>
  <c r="AD38" i="19"/>
  <c r="AE38" i="19" s="1"/>
  <c r="AG38" i="19" s="1"/>
  <c r="AN77" i="19"/>
  <c r="AJ78" i="19"/>
  <c r="BN52" i="19"/>
  <c r="AW77" i="19"/>
  <c r="AY77" i="19" s="1"/>
  <c r="AK77" i="19"/>
  <c r="AM77" i="19" s="1"/>
  <c r="X78" i="19"/>
  <c r="AB77" i="19"/>
  <c r="Y77" i="19"/>
  <c r="BI77" i="19"/>
  <c r="BK77" i="19" s="1"/>
  <c r="BM40" i="18"/>
  <c r="AN78" i="18"/>
  <c r="AJ79" i="18"/>
  <c r="BA40" i="18"/>
  <c r="P77" i="18"/>
  <c r="E77" i="18"/>
  <c r="B78" i="18"/>
  <c r="BD39" i="18"/>
  <c r="AW77" i="18"/>
  <c r="AY77" i="18" s="1"/>
  <c r="AB77" i="18"/>
  <c r="AK77" i="18"/>
  <c r="AM77" i="18" s="1"/>
  <c r="X78" i="18"/>
  <c r="Y77" i="18"/>
  <c r="AA77" i="18" s="1"/>
  <c r="BI77" i="18"/>
  <c r="BK77" i="18" s="1"/>
  <c r="BL77" i="18"/>
  <c r="BH78" i="18"/>
  <c r="AO50" i="18"/>
  <c r="AZ78" i="18"/>
  <c r="AV79" i="18"/>
  <c r="AR49" i="18"/>
  <c r="BP39" i="18"/>
  <c r="AD39" i="18"/>
  <c r="AJ80" i="17"/>
  <c r="AN79" i="17"/>
  <c r="AV79" i="17"/>
  <c r="AZ78" i="17"/>
  <c r="B78" i="17"/>
  <c r="E77" i="17"/>
  <c r="P77" i="17"/>
  <c r="AO39" i="17"/>
  <c r="AD39" i="17"/>
  <c r="BI77" i="17"/>
  <c r="BK77" i="17" s="1"/>
  <c r="AB77" i="17"/>
  <c r="X78" i="17"/>
  <c r="AW77" i="17"/>
  <c r="AY77" i="17" s="1"/>
  <c r="Y77" i="17"/>
  <c r="AA77" i="17" s="1"/>
  <c r="AK77" i="17"/>
  <c r="AM77" i="17" s="1"/>
  <c r="AR38" i="17"/>
  <c r="BA41" i="17"/>
  <c r="BL80" i="17"/>
  <c r="BH81" i="17"/>
  <c r="BD40" i="17"/>
  <c r="BN42" i="17"/>
  <c r="BO42" i="17" s="1"/>
  <c r="BQ42" i="17" s="1"/>
  <c r="X79" i="16"/>
  <c r="BI78" i="16"/>
  <c r="BK78" i="16" s="1"/>
  <c r="AW78" i="16"/>
  <c r="AY78" i="16" s="1"/>
  <c r="AK78" i="16"/>
  <c r="AM78" i="16" s="1"/>
  <c r="Y78" i="16"/>
  <c r="AA78" i="16" s="1"/>
  <c r="AB78" i="16"/>
  <c r="AV79" i="16"/>
  <c r="AZ78" i="16"/>
  <c r="AJ78" i="16"/>
  <c r="AN77" i="16"/>
  <c r="BA40" i="16"/>
  <c r="P78" i="16"/>
  <c r="B79" i="16"/>
  <c r="E78" i="16"/>
  <c r="BD39" i="16"/>
  <c r="AC40" i="16"/>
  <c r="AF39" i="16"/>
  <c r="BN40" i="16"/>
  <c r="AP40" i="16"/>
  <c r="AQ40" i="16" s="1"/>
  <c r="AS40" i="16" s="1"/>
  <c r="BH80" i="16"/>
  <c r="BL79" i="16"/>
  <c r="BH78" i="14"/>
  <c r="BL77" i="14"/>
  <c r="BM43" i="14"/>
  <c r="BP42" i="14"/>
  <c r="P77" i="14"/>
  <c r="E77" i="14"/>
  <c r="AV119" i="14"/>
  <c r="AZ118" i="14"/>
  <c r="AK77" i="14"/>
  <c r="AM77" i="14" s="1"/>
  <c r="AW77" i="14"/>
  <c r="AY77" i="14" s="1"/>
  <c r="BA43" i="14"/>
  <c r="BD42" i="14"/>
  <c r="AJ78" i="14"/>
  <c r="AN77" i="14"/>
  <c r="AR42" i="14"/>
  <c r="AP43" i="14"/>
  <c r="AQ43" i="14" s="1"/>
  <c r="AS43" i="14" s="1"/>
  <c r="X78" i="14"/>
  <c r="BI78" i="14" s="1"/>
  <c r="BK78" i="14" s="1"/>
  <c r="Y77" i="14"/>
  <c r="AA77" i="14" s="1"/>
  <c r="AB77" i="14"/>
  <c r="AD31" i="14"/>
  <c r="B78" i="14"/>
  <c r="AA77" i="19" l="1"/>
  <c r="B79" i="15"/>
  <c r="F78" i="15"/>
  <c r="AC39" i="19"/>
  <c r="BB50" i="19"/>
  <c r="BC50" i="19" s="1"/>
  <c r="BE50" i="19" s="1"/>
  <c r="AZ79" i="19"/>
  <c r="AV80" i="19"/>
  <c r="AJ79" i="19"/>
  <c r="AN78" i="19"/>
  <c r="AB78" i="19"/>
  <c r="AK78" i="19"/>
  <c r="AM78" i="19" s="1"/>
  <c r="X79" i="19"/>
  <c r="Y78" i="19"/>
  <c r="AW78" i="19"/>
  <c r="AY78" i="19" s="1"/>
  <c r="BI78" i="19"/>
  <c r="BK78" i="19" s="1"/>
  <c r="AF38" i="19"/>
  <c r="AP39" i="19"/>
  <c r="AQ39" i="19" s="1"/>
  <c r="AS39" i="19" s="1"/>
  <c r="BO52" i="19"/>
  <c r="BQ52" i="19" s="1"/>
  <c r="BL79" i="19"/>
  <c r="BH80" i="19"/>
  <c r="P78" i="19"/>
  <c r="E78" i="19"/>
  <c r="B79" i="19"/>
  <c r="AZ79" i="18"/>
  <c r="AV80" i="18"/>
  <c r="P78" i="18"/>
  <c r="E78" i="18"/>
  <c r="B79" i="18"/>
  <c r="AK78" i="18"/>
  <c r="AM78" i="18" s="1"/>
  <c r="X79" i="18"/>
  <c r="Y78" i="18"/>
  <c r="AA78" i="18" s="1"/>
  <c r="BI78" i="18"/>
  <c r="BK78" i="18" s="1"/>
  <c r="AB78" i="18"/>
  <c r="AW78" i="18"/>
  <c r="AY78" i="18" s="1"/>
  <c r="BN40" i="18"/>
  <c r="BO40" i="18" s="1"/>
  <c r="BQ40" i="18" s="1"/>
  <c r="BB40" i="18"/>
  <c r="BC40" i="18" s="1"/>
  <c r="BE40" i="18" s="1"/>
  <c r="AP50" i="18"/>
  <c r="AQ50" i="18" s="1"/>
  <c r="AS50" i="18" s="1"/>
  <c r="AE39" i="18"/>
  <c r="AG39" i="18" s="1"/>
  <c r="BL78" i="18"/>
  <c r="BH79" i="18"/>
  <c r="AN79" i="18"/>
  <c r="AJ80" i="18"/>
  <c r="BM43" i="17"/>
  <c r="P78" i="17"/>
  <c r="B79" i="17"/>
  <c r="E78" i="17"/>
  <c r="AW78" i="17"/>
  <c r="AY78" i="17" s="1"/>
  <c r="X79" i="17"/>
  <c r="BI78" i="17"/>
  <c r="BK78" i="17" s="1"/>
  <c r="AB78" i="17"/>
  <c r="Y78" i="17"/>
  <c r="AA78" i="17" s="1"/>
  <c r="AK78" i="17"/>
  <c r="AM78" i="17" s="1"/>
  <c r="AP39" i="17"/>
  <c r="AQ39" i="17" s="1"/>
  <c r="AS39" i="17" s="1"/>
  <c r="BH82" i="17"/>
  <c r="BL81" i="17"/>
  <c r="AZ79" i="17"/>
  <c r="AV80" i="17"/>
  <c r="BB41" i="17"/>
  <c r="BC41" i="17" s="1"/>
  <c r="BE41" i="17" s="1"/>
  <c r="BP42" i="17"/>
  <c r="AE39" i="17"/>
  <c r="AG39" i="17" s="1"/>
  <c r="AN80" i="17"/>
  <c r="AJ81" i="17"/>
  <c r="AZ79" i="16"/>
  <c r="AV80" i="16"/>
  <c r="AN78" i="16"/>
  <c r="AJ79" i="16"/>
  <c r="B80" i="16"/>
  <c r="P79" i="16"/>
  <c r="E79" i="16"/>
  <c r="BL80" i="16"/>
  <c r="BH81" i="16"/>
  <c r="AO41" i="16"/>
  <c r="AD40" i="16"/>
  <c r="AE40" i="16" s="1"/>
  <c r="AG40" i="16" s="1"/>
  <c r="AR40" i="16"/>
  <c r="BB40" i="16"/>
  <c r="AB79" i="16"/>
  <c r="BI79" i="16"/>
  <c r="BK79" i="16" s="1"/>
  <c r="AW79" i="16"/>
  <c r="AY79" i="16" s="1"/>
  <c r="AK79" i="16"/>
  <c r="AM79" i="16" s="1"/>
  <c r="Y79" i="16"/>
  <c r="AA79" i="16" s="1"/>
  <c r="X80" i="16"/>
  <c r="BO40" i="16"/>
  <c r="BQ40" i="16" s="1"/>
  <c r="BH79" i="14"/>
  <c r="BL78" i="14"/>
  <c r="BN43" i="14"/>
  <c r="BO43" i="14" s="1"/>
  <c r="BQ43" i="14" s="1"/>
  <c r="P78" i="14"/>
  <c r="E78" i="14"/>
  <c r="AK78" i="14"/>
  <c r="AM78" i="14" s="1"/>
  <c r="AW78" i="14"/>
  <c r="AY78" i="14" s="1"/>
  <c r="AV120" i="14"/>
  <c r="AZ119" i="14"/>
  <c r="BB43" i="14"/>
  <c r="BC43" i="14" s="1"/>
  <c r="BE43" i="14" s="1"/>
  <c r="AJ79" i="14"/>
  <c r="AN78" i="14"/>
  <c r="AO44" i="14"/>
  <c r="AR43" i="14"/>
  <c r="X79" i="14"/>
  <c r="BI79" i="14" s="1"/>
  <c r="BK79" i="14" s="1"/>
  <c r="AB78" i="14"/>
  <c r="Y78" i="14"/>
  <c r="AA78" i="14" s="1"/>
  <c r="AE31" i="14"/>
  <c r="AG31" i="14" s="1"/>
  <c r="B79" i="14"/>
  <c r="AA78" i="19" l="1"/>
  <c r="B80" i="15"/>
  <c r="F79" i="15"/>
  <c r="AO40" i="19"/>
  <c r="AR39" i="19"/>
  <c r="BA51" i="19"/>
  <c r="P79" i="19"/>
  <c r="E79" i="19"/>
  <c r="B80" i="19"/>
  <c r="BD50" i="19"/>
  <c r="AN79" i="19"/>
  <c r="AJ80" i="19"/>
  <c r="BP52" i="19"/>
  <c r="BH81" i="19"/>
  <c r="BL80" i="19"/>
  <c r="AD39" i="19"/>
  <c r="AE39" i="19" s="1"/>
  <c r="AG39" i="19" s="1"/>
  <c r="X80" i="19"/>
  <c r="Y79" i="19"/>
  <c r="BI79" i="19"/>
  <c r="BK79" i="19" s="1"/>
  <c r="AB79" i="19"/>
  <c r="AK79" i="19"/>
  <c r="AM79" i="19" s="1"/>
  <c r="AW79" i="19"/>
  <c r="AY79" i="19" s="1"/>
  <c r="BM53" i="19"/>
  <c r="AZ80" i="19"/>
  <c r="AV81" i="19"/>
  <c r="AO51" i="18"/>
  <c r="Y79" i="18"/>
  <c r="AA79" i="18" s="1"/>
  <c r="BI79" i="18"/>
  <c r="BK79" i="18" s="1"/>
  <c r="AW79" i="18"/>
  <c r="AY79" i="18" s="1"/>
  <c r="AB79" i="18"/>
  <c r="X80" i="18"/>
  <c r="AK79" i="18"/>
  <c r="AM79" i="18" s="1"/>
  <c r="AN80" i="18"/>
  <c r="AJ81" i="18"/>
  <c r="AR50" i="18"/>
  <c r="BM41" i="18"/>
  <c r="BH80" i="18"/>
  <c r="BL79" i="18"/>
  <c r="BP40" i="18"/>
  <c r="BA41" i="18"/>
  <c r="AV81" i="18"/>
  <c r="AZ80" i="18"/>
  <c r="AC40" i="18"/>
  <c r="BD40" i="18"/>
  <c r="E79" i="18"/>
  <c r="B80" i="18"/>
  <c r="P79" i="18"/>
  <c r="AF39" i="18"/>
  <c r="BA42" i="17"/>
  <c r="BD41" i="17"/>
  <c r="BL82" i="17"/>
  <c r="BH83" i="17"/>
  <c r="AB79" i="17"/>
  <c r="AK79" i="17"/>
  <c r="AM79" i="17" s="1"/>
  <c r="AW79" i="17"/>
  <c r="AY79" i="17" s="1"/>
  <c r="BI79" i="17"/>
  <c r="BK79" i="17" s="1"/>
  <c r="Y79" i="17"/>
  <c r="AA79" i="17" s="1"/>
  <c r="X80" i="17"/>
  <c r="B80" i="17"/>
  <c r="E79" i="17"/>
  <c r="P79" i="17"/>
  <c r="AJ82" i="17"/>
  <c r="AN81" i="17"/>
  <c r="AV81" i="17"/>
  <c r="AZ80" i="17"/>
  <c r="AO40" i="17"/>
  <c r="AF39" i="17"/>
  <c r="AC40" i="17"/>
  <c r="AR39" i="17"/>
  <c r="BN43" i="17"/>
  <c r="BO43" i="17" s="1"/>
  <c r="BQ43" i="17" s="1"/>
  <c r="BM41" i="16"/>
  <c r="X81" i="16"/>
  <c r="AB80" i="16"/>
  <c r="BI80" i="16"/>
  <c r="BK80" i="16" s="1"/>
  <c r="AW80" i="16"/>
  <c r="AY80" i="16" s="1"/>
  <c r="AK80" i="16"/>
  <c r="AM80" i="16" s="1"/>
  <c r="Y80" i="16"/>
  <c r="AA80" i="16" s="1"/>
  <c r="BH82" i="16"/>
  <c r="BL81" i="16"/>
  <c r="AJ80" i="16"/>
  <c r="AN79" i="16"/>
  <c r="AC41" i="16"/>
  <c r="AF40" i="16"/>
  <c r="P80" i="16"/>
  <c r="E80" i="16"/>
  <c r="B81" i="16"/>
  <c r="AV81" i="16"/>
  <c r="AZ80" i="16"/>
  <c r="AP41" i="16"/>
  <c r="BC40" i="16"/>
  <c r="BE40" i="16" s="1"/>
  <c r="BP40" i="16"/>
  <c r="BH80" i="14"/>
  <c r="BL79" i="14"/>
  <c r="BM44" i="14"/>
  <c r="BP43" i="14"/>
  <c r="P79" i="14"/>
  <c r="E79" i="14"/>
  <c r="AK79" i="14"/>
  <c r="AM79" i="14" s="1"/>
  <c r="AW79" i="14"/>
  <c r="AY79" i="14" s="1"/>
  <c r="AV121" i="14"/>
  <c r="AZ120" i="14"/>
  <c r="BA44" i="14"/>
  <c r="BD43" i="14"/>
  <c r="AJ80" i="14"/>
  <c r="AN79" i="14"/>
  <c r="AP44" i="14"/>
  <c r="AQ44" i="14" s="1"/>
  <c r="AS44" i="14" s="1"/>
  <c r="X80" i="14"/>
  <c r="BI80" i="14" s="1"/>
  <c r="BK80" i="14" s="1"/>
  <c r="Y79" i="14"/>
  <c r="AA79" i="14" s="1"/>
  <c r="AB79" i="14"/>
  <c r="AC32" i="14"/>
  <c r="AF31" i="14"/>
  <c r="B80" i="14"/>
  <c r="AA79" i="19" l="1"/>
  <c r="B81" i="15"/>
  <c r="F80" i="15"/>
  <c r="AC40" i="19"/>
  <c r="BB51" i="19"/>
  <c r="BC51" i="19" s="1"/>
  <c r="BE51" i="19" s="1"/>
  <c r="AV82" i="19"/>
  <c r="AZ81" i="19"/>
  <c r="BL81" i="19"/>
  <c r="BH82" i="19"/>
  <c r="B81" i="19"/>
  <c r="P80" i="19"/>
  <c r="E80" i="19"/>
  <c r="BI80" i="19"/>
  <c r="BK80" i="19" s="1"/>
  <c r="AW80" i="19"/>
  <c r="AY80" i="19" s="1"/>
  <c r="AB80" i="19"/>
  <c r="X81" i="19"/>
  <c r="Y80" i="19"/>
  <c r="AK80" i="19"/>
  <c r="AM80" i="19" s="1"/>
  <c r="AN80" i="19"/>
  <c r="AJ81" i="19"/>
  <c r="BN53" i="19"/>
  <c r="BO53" i="19" s="1"/>
  <c r="BQ53" i="19" s="1"/>
  <c r="AP40" i="19"/>
  <c r="AQ40" i="19" s="1"/>
  <c r="AS40" i="19" s="1"/>
  <c r="AF39" i="19"/>
  <c r="AD40" i="18"/>
  <c r="AE40" i="18" s="1"/>
  <c r="AG40" i="18" s="1"/>
  <c r="AZ81" i="18"/>
  <c r="AV82" i="18"/>
  <c r="BL80" i="18"/>
  <c r="BH81" i="18"/>
  <c r="P80" i="18"/>
  <c r="B81" i="18"/>
  <c r="E80" i="18"/>
  <c r="AJ82" i="18"/>
  <c r="AN81" i="18"/>
  <c r="AP51" i="18"/>
  <c r="AQ51" i="18" s="1"/>
  <c r="AS51" i="18" s="1"/>
  <c r="BB41" i="18"/>
  <c r="BC41" i="18" s="1"/>
  <c r="BE41" i="18" s="1"/>
  <c r="BN41" i="18"/>
  <c r="BI80" i="18"/>
  <c r="BK80" i="18" s="1"/>
  <c r="AW80" i="18"/>
  <c r="AY80" i="18" s="1"/>
  <c r="AB80" i="18"/>
  <c r="AK80" i="18"/>
  <c r="AM80" i="18" s="1"/>
  <c r="X81" i="18"/>
  <c r="Y80" i="18"/>
  <c r="AA80" i="18" s="1"/>
  <c r="X81" i="17"/>
  <c r="Y80" i="17"/>
  <c r="AA80" i="17" s="1"/>
  <c r="AK80" i="17"/>
  <c r="AM80" i="17" s="1"/>
  <c r="AW80" i="17"/>
  <c r="AY80" i="17" s="1"/>
  <c r="BI80" i="17"/>
  <c r="BK80" i="17" s="1"/>
  <c r="AB80" i="17"/>
  <c r="BH84" i="17"/>
  <c r="BL83" i="17"/>
  <c r="BM44" i="17"/>
  <c r="AP40" i="17"/>
  <c r="AQ40" i="17" s="1"/>
  <c r="AS40" i="17" s="1"/>
  <c r="BP43" i="17"/>
  <c r="AN82" i="17"/>
  <c r="AJ83" i="17"/>
  <c r="AZ81" i="17"/>
  <c r="AV82" i="17"/>
  <c r="AD40" i="17"/>
  <c r="AE40" i="17" s="1"/>
  <c r="AG40" i="17" s="1"/>
  <c r="P80" i="17"/>
  <c r="E80" i="17"/>
  <c r="B81" i="17"/>
  <c r="BB42" i="17"/>
  <c r="BC42" i="17" s="1"/>
  <c r="BE42" i="17" s="1"/>
  <c r="AZ81" i="16"/>
  <c r="AV82" i="16"/>
  <c r="B82" i="16"/>
  <c r="P81" i="16"/>
  <c r="E81" i="16"/>
  <c r="AN80" i="16"/>
  <c r="AJ81" i="16"/>
  <c r="BI81" i="16"/>
  <c r="BK81" i="16" s="1"/>
  <c r="AB81" i="16"/>
  <c r="Y81" i="16"/>
  <c r="AA81" i="16" s="1"/>
  <c r="AK81" i="16"/>
  <c r="AM81" i="16" s="1"/>
  <c r="X82" i="16"/>
  <c r="AW81" i="16"/>
  <c r="AY81" i="16" s="1"/>
  <c r="AD41" i="16"/>
  <c r="AE41" i="16" s="1"/>
  <c r="AG41" i="16" s="1"/>
  <c r="BD40" i="16"/>
  <c r="BA41" i="16"/>
  <c r="BL82" i="16"/>
  <c r="BH83" i="16"/>
  <c r="BN41" i="16"/>
  <c r="BO41" i="16" s="1"/>
  <c r="BQ41" i="16" s="1"/>
  <c r="AQ41" i="16"/>
  <c r="AS41" i="16" s="1"/>
  <c r="BH81" i="14"/>
  <c r="BL80" i="14"/>
  <c r="BN44" i="14"/>
  <c r="BO44" i="14" s="1"/>
  <c r="BQ44" i="14" s="1"/>
  <c r="P80" i="14"/>
  <c r="E80" i="14"/>
  <c r="AV122" i="14"/>
  <c r="AZ121" i="14"/>
  <c r="AK80" i="14"/>
  <c r="AM80" i="14" s="1"/>
  <c r="AW80" i="14"/>
  <c r="AY80" i="14" s="1"/>
  <c r="BB44" i="14"/>
  <c r="AJ81" i="14"/>
  <c r="AN80" i="14"/>
  <c r="AO45" i="14"/>
  <c r="AR44" i="14"/>
  <c r="X81" i="14"/>
  <c r="BI81" i="14" s="1"/>
  <c r="BK81" i="14" s="1"/>
  <c r="Y80" i="14"/>
  <c r="AA80" i="14" s="1"/>
  <c r="AB80" i="14"/>
  <c r="AD32" i="14"/>
  <c r="B81" i="14"/>
  <c r="AA80" i="19" l="1"/>
  <c r="B82" i="15"/>
  <c r="F81" i="15"/>
  <c r="BA52" i="19"/>
  <c r="BM54" i="19"/>
  <c r="AO41" i="19"/>
  <c r="BD51" i="19"/>
  <c r="AR40" i="19"/>
  <c r="AW81" i="19"/>
  <c r="AY81" i="19" s="1"/>
  <c r="AB81" i="19"/>
  <c r="AK81" i="19"/>
  <c r="AM81" i="19" s="1"/>
  <c r="X82" i="19"/>
  <c r="BI81" i="19"/>
  <c r="BK81" i="19" s="1"/>
  <c r="Y81" i="19"/>
  <c r="BL82" i="19"/>
  <c r="BH83" i="19"/>
  <c r="BP53" i="19"/>
  <c r="P81" i="19"/>
  <c r="B82" i="19"/>
  <c r="E81" i="19"/>
  <c r="AZ82" i="19"/>
  <c r="AV83" i="19"/>
  <c r="AN81" i="19"/>
  <c r="AJ82" i="19"/>
  <c r="AD40" i="19"/>
  <c r="AE40" i="19" s="1"/>
  <c r="AG40" i="19" s="1"/>
  <c r="AO52" i="18"/>
  <c r="AN82" i="18"/>
  <c r="AJ83" i="18"/>
  <c r="BA42" i="18"/>
  <c r="AZ82" i="18"/>
  <c r="AV83" i="18"/>
  <c r="AW81" i="18"/>
  <c r="AY81" i="18" s="1"/>
  <c r="AB81" i="18"/>
  <c r="AK81" i="18"/>
  <c r="AM81" i="18" s="1"/>
  <c r="X82" i="18"/>
  <c r="Y81" i="18"/>
  <c r="AA81" i="18" s="1"/>
  <c r="BI81" i="18"/>
  <c r="BK81" i="18" s="1"/>
  <c r="BD41" i="18"/>
  <c r="AR51" i="18"/>
  <c r="P81" i="18"/>
  <c r="E81" i="18"/>
  <c r="B82" i="18"/>
  <c r="AC41" i="18"/>
  <c r="BO41" i="18"/>
  <c r="BQ41" i="18" s="1"/>
  <c r="BL81" i="18"/>
  <c r="BH82" i="18"/>
  <c r="AF40" i="18"/>
  <c r="AC41" i="17"/>
  <c r="AO41" i="17"/>
  <c r="AF40" i="17"/>
  <c r="BA43" i="17"/>
  <c r="AV83" i="17"/>
  <c r="AZ82" i="17"/>
  <c r="AR40" i="17"/>
  <c r="BD42" i="17"/>
  <c r="BN44" i="17"/>
  <c r="BO44" i="17" s="1"/>
  <c r="BQ44" i="17" s="1"/>
  <c r="B82" i="17"/>
  <c r="P81" i="17"/>
  <c r="E81" i="17"/>
  <c r="AJ84" i="17"/>
  <c r="AN83" i="17"/>
  <c r="BL84" i="17"/>
  <c r="BH85" i="17"/>
  <c r="BI81" i="17"/>
  <c r="BK81" i="17" s="1"/>
  <c r="AB81" i="17"/>
  <c r="Y81" i="17"/>
  <c r="AA81" i="17" s="1"/>
  <c r="AK81" i="17"/>
  <c r="AM81" i="17" s="1"/>
  <c r="X82" i="17"/>
  <c r="AW81" i="17"/>
  <c r="AY81" i="17" s="1"/>
  <c r="BM42" i="16"/>
  <c r="AC42" i="16"/>
  <c r="AJ82" i="16"/>
  <c r="AN81" i="16"/>
  <c r="P82" i="16"/>
  <c r="B83" i="16"/>
  <c r="E82" i="16"/>
  <c r="AF41" i="16"/>
  <c r="BP41" i="16"/>
  <c r="BH84" i="16"/>
  <c r="BL83" i="16"/>
  <c r="AW82" i="16"/>
  <c r="AY82" i="16" s="1"/>
  <c r="X83" i="16"/>
  <c r="Y82" i="16"/>
  <c r="AA82" i="16" s="1"/>
  <c r="AK82" i="16"/>
  <c r="AM82" i="16" s="1"/>
  <c r="BI82" i="16"/>
  <c r="BK82" i="16" s="1"/>
  <c r="AB82" i="16"/>
  <c r="AV83" i="16"/>
  <c r="AZ82" i="16"/>
  <c r="AO42" i="16"/>
  <c r="BB41" i="16"/>
  <c r="BC41" i="16" s="1"/>
  <c r="BE41" i="16" s="1"/>
  <c r="AR41" i="16"/>
  <c r="BH82" i="14"/>
  <c r="BL81" i="14"/>
  <c r="BM45" i="14"/>
  <c r="BP44" i="14"/>
  <c r="P81" i="14"/>
  <c r="E81" i="14"/>
  <c r="AK81" i="14"/>
  <c r="AM81" i="14" s="1"/>
  <c r="AW81" i="14"/>
  <c r="AY81" i="14" s="1"/>
  <c r="AV123" i="14"/>
  <c r="AZ122" i="14"/>
  <c r="BC44" i="14"/>
  <c r="BE44" i="14" s="1"/>
  <c r="AJ82" i="14"/>
  <c r="AN81" i="14"/>
  <c r="AP45" i="14"/>
  <c r="AQ45" i="14" s="1"/>
  <c r="AS45" i="14" s="1"/>
  <c r="X82" i="14"/>
  <c r="BI82" i="14" s="1"/>
  <c r="BK82" i="14" s="1"/>
  <c r="AB81" i="14"/>
  <c r="Y81" i="14"/>
  <c r="AA81" i="14" s="1"/>
  <c r="AE32" i="14"/>
  <c r="AG32" i="14" s="1"/>
  <c r="B82" i="14"/>
  <c r="AA81" i="19" l="1"/>
  <c r="B83" i="15"/>
  <c r="F82" i="15"/>
  <c r="AC41" i="19"/>
  <c r="AP41" i="19"/>
  <c r="P82" i="19"/>
  <c r="E82" i="19"/>
  <c r="B83" i="19"/>
  <c r="BL83" i="19"/>
  <c r="BH84" i="19"/>
  <c r="AJ83" i="19"/>
  <c r="AN82" i="19"/>
  <c r="BN54" i="19"/>
  <c r="BO54" i="19" s="1"/>
  <c r="BQ54" i="19" s="1"/>
  <c r="AF40" i="19"/>
  <c r="AZ83" i="19"/>
  <c r="AV84" i="19"/>
  <c r="AB82" i="19"/>
  <c r="AK82" i="19"/>
  <c r="AM82" i="19" s="1"/>
  <c r="X83" i="19"/>
  <c r="Y82" i="19"/>
  <c r="AW82" i="19"/>
  <c r="AY82" i="19" s="1"/>
  <c r="BI82" i="19"/>
  <c r="BK82" i="19" s="1"/>
  <c r="BB52" i="19"/>
  <c r="BC52" i="19" s="1"/>
  <c r="BE52" i="19" s="1"/>
  <c r="BL82" i="18"/>
  <c r="BH83" i="18"/>
  <c r="BB42" i="18"/>
  <c r="BC42" i="18" s="1"/>
  <c r="BE42" i="18" s="1"/>
  <c r="AK82" i="18"/>
  <c r="AM82" i="18" s="1"/>
  <c r="X83" i="18"/>
  <c r="Y82" i="18"/>
  <c r="AA82" i="18" s="1"/>
  <c r="BI82" i="18"/>
  <c r="BK82" i="18" s="1"/>
  <c r="AB82" i="18"/>
  <c r="AW82" i="18"/>
  <c r="AY82" i="18" s="1"/>
  <c r="BM42" i="18"/>
  <c r="AN83" i="18"/>
  <c r="AJ84" i="18"/>
  <c r="AD41" i="18"/>
  <c r="AE41" i="18" s="1"/>
  <c r="AG41" i="18" s="1"/>
  <c r="BP41" i="18"/>
  <c r="AZ83" i="18"/>
  <c r="AV84" i="18"/>
  <c r="P82" i="18"/>
  <c r="E82" i="18"/>
  <c r="B83" i="18"/>
  <c r="AP52" i="18"/>
  <c r="AQ52" i="18" s="1"/>
  <c r="AS52" i="18" s="1"/>
  <c r="AW82" i="17"/>
  <c r="AY82" i="17" s="1"/>
  <c r="X83" i="17"/>
  <c r="Y82" i="17"/>
  <c r="AA82" i="17" s="1"/>
  <c r="AK82" i="17"/>
  <c r="AM82" i="17" s="1"/>
  <c r="BI82" i="17"/>
  <c r="BK82" i="17" s="1"/>
  <c r="AB82" i="17"/>
  <c r="BB43" i="17"/>
  <c r="BC43" i="17" s="1"/>
  <c r="BE43" i="17" s="1"/>
  <c r="AN84" i="17"/>
  <c r="AJ85" i="17"/>
  <c r="BM45" i="17"/>
  <c r="AZ83" i="17"/>
  <c r="AV84" i="17"/>
  <c r="AP41" i="17"/>
  <c r="AQ41" i="17" s="1"/>
  <c r="AS41" i="17" s="1"/>
  <c r="BH86" i="17"/>
  <c r="BL85" i="17"/>
  <c r="BP44" i="17"/>
  <c r="P82" i="17"/>
  <c r="E82" i="17"/>
  <c r="B83" i="17"/>
  <c r="AD41" i="17"/>
  <c r="AE41" i="17" s="1"/>
  <c r="AG41" i="17" s="1"/>
  <c r="AN82" i="16"/>
  <c r="AJ83" i="16"/>
  <c r="AZ83" i="16"/>
  <c r="AV84" i="16"/>
  <c r="AD42" i="16"/>
  <c r="AE42" i="16" s="1"/>
  <c r="AG42" i="16" s="1"/>
  <c r="BA42" i="16"/>
  <c r="AB83" i="16"/>
  <c r="AK83" i="16"/>
  <c r="AM83" i="16" s="1"/>
  <c r="Y83" i="16"/>
  <c r="AA83" i="16" s="1"/>
  <c r="X84" i="16"/>
  <c r="AW83" i="16"/>
  <c r="AY83" i="16" s="1"/>
  <c r="BI83" i="16"/>
  <c r="BK83" i="16" s="1"/>
  <c r="BD41" i="16"/>
  <c r="B84" i="16"/>
  <c r="E83" i="16"/>
  <c r="P83" i="16"/>
  <c r="AP42" i="16"/>
  <c r="AQ42" i="16" s="1"/>
  <c r="AS42" i="16" s="1"/>
  <c r="BL84" i="16"/>
  <c r="BH85" i="16"/>
  <c r="BN42" i="16"/>
  <c r="BO42" i="16" s="1"/>
  <c r="BQ42" i="16" s="1"/>
  <c r="BH83" i="14"/>
  <c r="BL82" i="14"/>
  <c r="BN45" i="14"/>
  <c r="BO45" i="14" s="1"/>
  <c r="BQ45" i="14" s="1"/>
  <c r="P82" i="14"/>
  <c r="E82" i="14"/>
  <c r="AV124" i="14"/>
  <c r="AZ123" i="14"/>
  <c r="AK82" i="14"/>
  <c r="AM82" i="14" s="1"/>
  <c r="AW82" i="14"/>
  <c r="AY82" i="14" s="1"/>
  <c r="BA45" i="14"/>
  <c r="BD44" i="14"/>
  <c r="AJ83" i="14"/>
  <c r="AN82" i="14"/>
  <c r="AO46" i="14"/>
  <c r="AR45" i="14"/>
  <c r="X83" i="14"/>
  <c r="BI83" i="14" s="1"/>
  <c r="BK83" i="14" s="1"/>
  <c r="AB82" i="14"/>
  <c r="Y82" i="14"/>
  <c r="AA82" i="14" s="1"/>
  <c r="AC33" i="14"/>
  <c r="AF32" i="14"/>
  <c r="B83" i="14"/>
  <c r="AA82" i="19" l="1"/>
  <c r="B84" i="15"/>
  <c r="F83" i="15"/>
  <c r="BA53" i="19"/>
  <c r="BP54" i="19"/>
  <c r="BD52" i="19"/>
  <c r="P83" i="19"/>
  <c r="E83" i="19"/>
  <c r="B84" i="19"/>
  <c r="BM55" i="19"/>
  <c r="X84" i="19"/>
  <c r="Y83" i="19"/>
  <c r="BI83" i="19"/>
  <c r="BK83" i="19" s="1"/>
  <c r="AB83" i="19"/>
  <c r="AK83" i="19"/>
  <c r="AM83" i="19" s="1"/>
  <c r="AW83" i="19"/>
  <c r="AY83" i="19" s="1"/>
  <c r="AN83" i="19"/>
  <c r="AJ84" i="19"/>
  <c r="AZ84" i="19"/>
  <c r="AV85" i="19"/>
  <c r="BH85" i="19"/>
  <c r="BL84" i="19"/>
  <c r="AD41" i="19"/>
  <c r="AE41" i="19" s="1"/>
  <c r="AG41" i="19" s="1"/>
  <c r="AQ41" i="19"/>
  <c r="AS41" i="19" s="1"/>
  <c r="AC42" i="18"/>
  <c r="AO53" i="18"/>
  <c r="AR52" i="18"/>
  <c r="BH84" i="18"/>
  <c r="BL83" i="18"/>
  <c r="AF41" i="18"/>
  <c r="E83" i="18"/>
  <c r="B84" i="18"/>
  <c r="P83" i="18"/>
  <c r="AN84" i="18"/>
  <c r="AJ85" i="18"/>
  <c r="Y83" i="18"/>
  <c r="AA83" i="18" s="1"/>
  <c r="BI83" i="18"/>
  <c r="BK83" i="18" s="1"/>
  <c r="AW83" i="18"/>
  <c r="AY83" i="18" s="1"/>
  <c r="AB83" i="18"/>
  <c r="X84" i="18"/>
  <c r="AK83" i="18"/>
  <c r="AM83" i="18" s="1"/>
  <c r="BN42" i="18"/>
  <c r="BA43" i="18"/>
  <c r="AV85" i="18"/>
  <c r="AZ84" i="18"/>
  <c r="BD42" i="18"/>
  <c r="AC42" i="17"/>
  <c r="AO42" i="17"/>
  <c r="BA44" i="17"/>
  <c r="BL86" i="17"/>
  <c r="BH87" i="17"/>
  <c r="BD43" i="17"/>
  <c r="AF41" i="17"/>
  <c r="AR41" i="17"/>
  <c r="AV85" i="17"/>
  <c r="AZ84" i="17"/>
  <c r="AJ86" i="17"/>
  <c r="AN85" i="17"/>
  <c r="AB83" i="17"/>
  <c r="AK83" i="17"/>
  <c r="AM83" i="17" s="1"/>
  <c r="Y83" i="17"/>
  <c r="AA83" i="17" s="1"/>
  <c r="X84" i="17"/>
  <c r="AW83" i="17"/>
  <c r="AY83" i="17" s="1"/>
  <c r="BI83" i="17"/>
  <c r="BK83" i="17" s="1"/>
  <c r="B84" i="17"/>
  <c r="E83" i="17"/>
  <c r="P83" i="17"/>
  <c r="BN45" i="17"/>
  <c r="AC43" i="16"/>
  <c r="BM43" i="16"/>
  <c r="BP42" i="16"/>
  <c r="P84" i="16"/>
  <c r="E84" i="16"/>
  <c r="B85" i="16"/>
  <c r="AV85" i="16"/>
  <c r="AZ84" i="16"/>
  <c r="BH86" i="16"/>
  <c r="BL85" i="16"/>
  <c r="BB42" i="16"/>
  <c r="BC42" i="16" s="1"/>
  <c r="BE42" i="16" s="1"/>
  <c r="AO43" i="16"/>
  <c r="X85" i="16"/>
  <c r="Y84" i="16"/>
  <c r="AA84" i="16" s="1"/>
  <c r="BI84" i="16"/>
  <c r="BK84" i="16" s="1"/>
  <c r="AB84" i="16"/>
  <c r="AK84" i="16"/>
  <c r="AM84" i="16" s="1"/>
  <c r="AW84" i="16"/>
  <c r="AY84" i="16" s="1"/>
  <c r="AR42" i="16"/>
  <c r="AF42" i="16"/>
  <c r="AJ84" i="16"/>
  <c r="AN83" i="16"/>
  <c r="BH84" i="14"/>
  <c r="BL83" i="14"/>
  <c r="BM46" i="14"/>
  <c r="BP45" i="14"/>
  <c r="P83" i="14"/>
  <c r="E83" i="14"/>
  <c r="AK83" i="14"/>
  <c r="AM83" i="14" s="1"/>
  <c r="AW83" i="14"/>
  <c r="AY83" i="14" s="1"/>
  <c r="AV125" i="14"/>
  <c r="AZ124" i="14"/>
  <c r="BB45" i="14"/>
  <c r="BC45" i="14" s="1"/>
  <c r="BE45" i="14" s="1"/>
  <c r="AJ84" i="14"/>
  <c r="AN83" i="14"/>
  <c r="AP46" i="14"/>
  <c r="AQ46" i="14" s="1"/>
  <c r="AS46" i="14" s="1"/>
  <c r="X84" i="14"/>
  <c r="BI84" i="14" s="1"/>
  <c r="BK84" i="14" s="1"/>
  <c r="AB83" i="14"/>
  <c r="Y83" i="14"/>
  <c r="AA83" i="14" s="1"/>
  <c r="AD33" i="14"/>
  <c r="B84" i="14"/>
  <c r="AA83" i="19" l="1"/>
  <c r="B85" i="15"/>
  <c r="F84" i="15"/>
  <c r="BD42" i="16"/>
  <c r="AC42" i="19"/>
  <c r="BI84" i="19"/>
  <c r="BK84" i="19" s="1"/>
  <c r="AW84" i="19"/>
  <c r="AY84" i="19" s="1"/>
  <c r="AB84" i="19"/>
  <c r="X85" i="19"/>
  <c r="Y84" i="19"/>
  <c r="AK84" i="19"/>
  <c r="AM84" i="19" s="1"/>
  <c r="AF41" i="19"/>
  <c r="AN84" i="19"/>
  <c r="AJ85" i="19"/>
  <c r="AO42" i="19"/>
  <c r="BN55" i="19"/>
  <c r="BO55" i="19" s="1"/>
  <c r="BQ55" i="19" s="1"/>
  <c r="BL85" i="19"/>
  <c r="BH86" i="19"/>
  <c r="AR41" i="19"/>
  <c r="AV86" i="19"/>
  <c r="AZ85" i="19"/>
  <c r="B85" i="19"/>
  <c r="P84" i="19"/>
  <c r="E84" i="19"/>
  <c r="BB53" i="19"/>
  <c r="BC53" i="19" s="1"/>
  <c r="BE53" i="19" s="1"/>
  <c r="P84" i="18"/>
  <c r="B85" i="18"/>
  <c r="E84" i="18"/>
  <c r="BL84" i="18"/>
  <c r="BH85" i="18"/>
  <c r="AJ86" i="18"/>
  <c r="AN85" i="18"/>
  <c r="AZ85" i="18"/>
  <c r="AV86" i="18"/>
  <c r="BI84" i="18"/>
  <c r="BK84" i="18" s="1"/>
  <c r="AW84" i="18"/>
  <c r="AY84" i="18" s="1"/>
  <c r="AB84" i="18"/>
  <c r="AK84" i="18"/>
  <c r="AM84" i="18" s="1"/>
  <c r="X85" i="18"/>
  <c r="Y84" i="18"/>
  <c r="AA84" i="18" s="1"/>
  <c r="BB43" i="18"/>
  <c r="BC43" i="18" s="1"/>
  <c r="BE43" i="18" s="1"/>
  <c r="AP53" i="18"/>
  <c r="AQ53" i="18" s="1"/>
  <c r="AS53" i="18" s="1"/>
  <c r="AD42" i="18"/>
  <c r="BO42" i="18"/>
  <c r="BQ42" i="18" s="1"/>
  <c r="BB44" i="17"/>
  <c r="AZ85" i="17"/>
  <c r="AV86" i="17"/>
  <c r="P84" i="17"/>
  <c r="E84" i="17"/>
  <c r="B85" i="17"/>
  <c r="AP42" i="17"/>
  <c r="AQ42" i="17" s="1"/>
  <c r="AS42" i="17" s="1"/>
  <c r="BH88" i="17"/>
  <c r="BL87" i="17"/>
  <c r="AD42" i="17"/>
  <c r="AE42" i="17" s="1"/>
  <c r="AG42" i="17" s="1"/>
  <c r="BO45" i="17"/>
  <c r="BQ45" i="17" s="1"/>
  <c r="X85" i="17"/>
  <c r="Y84" i="17"/>
  <c r="AA84" i="17" s="1"/>
  <c r="AB84" i="17"/>
  <c r="AK84" i="17"/>
  <c r="AM84" i="17" s="1"/>
  <c r="AW84" i="17"/>
  <c r="AY84" i="17" s="1"/>
  <c r="BI84" i="17"/>
  <c r="BK84" i="17" s="1"/>
  <c r="AN86" i="17"/>
  <c r="AJ87" i="17"/>
  <c r="BH87" i="16"/>
  <c r="BL86" i="16"/>
  <c r="AN84" i="16"/>
  <c r="AJ85" i="16"/>
  <c r="AZ85" i="16"/>
  <c r="AV86" i="16"/>
  <c r="BA43" i="16"/>
  <c r="B86" i="16"/>
  <c r="E85" i="16"/>
  <c r="P85" i="16"/>
  <c r="BI85" i="16"/>
  <c r="BK85" i="16" s="1"/>
  <c r="AB85" i="16"/>
  <c r="X86" i="16"/>
  <c r="AW85" i="16"/>
  <c r="AY85" i="16" s="1"/>
  <c r="Y85" i="16"/>
  <c r="AA85" i="16" s="1"/>
  <c r="AK85" i="16"/>
  <c r="AM85" i="16" s="1"/>
  <c r="BN43" i="16"/>
  <c r="BO43" i="16" s="1"/>
  <c r="BQ43" i="16" s="1"/>
  <c r="AP43" i="16"/>
  <c r="AQ43" i="16" s="1"/>
  <c r="AS43" i="16" s="1"/>
  <c r="AD43" i="16"/>
  <c r="AE43" i="16" s="1"/>
  <c r="AG43" i="16" s="1"/>
  <c r="BH85" i="14"/>
  <c r="BL84" i="14"/>
  <c r="BN46" i="14"/>
  <c r="BO46" i="14" s="1"/>
  <c r="BQ46" i="14" s="1"/>
  <c r="P84" i="14"/>
  <c r="E84" i="14"/>
  <c r="AK84" i="14"/>
  <c r="AM84" i="14" s="1"/>
  <c r="AW84" i="14"/>
  <c r="AY84" i="14" s="1"/>
  <c r="AV126" i="14"/>
  <c r="AZ125" i="14"/>
  <c r="BA46" i="14"/>
  <c r="BD45" i="14"/>
  <c r="AJ85" i="14"/>
  <c r="AN84" i="14"/>
  <c r="AO47" i="14"/>
  <c r="AR46" i="14"/>
  <c r="X85" i="14"/>
  <c r="BI85" i="14" s="1"/>
  <c r="BK85" i="14" s="1"/>
  <c r="AB84" i="14"/>
  <c r="Y84" i="14"/>
  <c r="AA84" i="14" s="1"/>
  <c r="AE33" i="14"/>
  <c r="AG33" i="14" s="1"/>
  <c r="B85" i="14"/>
  <c r="AA84" i="19" l="1"/>
  <c r="B86" i="15"/>
  <c r="F85" i="15"/>
  <c r="P85" i="19"/>
  <c r="B86" i="19"/>
  <c r="E85" i="19"/>
  <c r="BL86" i="19"/>
  <c r="BH87" i="19"/>
  <c r="AP42" i="19"/>
  <c r="AQ42" i="19" s="1"/>
  <c r="AS42" i="19" s="1"/>
  <c r="BA54" i="19"/>
  <c r="AZ86" i="19"/>
  <c r="AV87" i="19"/>
  <c r="AN85" i="19"/>
  <c r="AJ86" i="19"/>
  <c r="BD53" i="19"/>
  <c r="BM56" i="19"/>
  <c r="AD42" i="19"/>
  <c r="AE42" i="19" s="1"/>
  <c r="AG42" i="19" s="1"/>
  <c r="BP55" i="19"/>
  <c r="AW85" i="19"/>
  <c r="AY85" i="19" s="1"/>
  <c r="AB85" i="19"/>
  <c r="AK85" i="19"/>
  <c r="AM85" i="19" s="1"/>
  <c r="X86" i="19"/>
  <c r="BI85" i="19"/>
  <c r="BK85" i="19" s="1"/>
  <c r="Y85" i="19"/>
  <c r="BA44" i="18"/>
  <c r="AZ86" i="18"/>
  <c r="AV87" i="18"/>
  <c r="P85" i="18"/>
  <c r="E85" i="18"/>
  <c r="B86" i="18"/>
  <c r="AO54" i="18"/>
  <c r="AR53" i="18"/>
  <c r="AW85" i="18"/>
  <c r="AY85" i="18" s="1"/>
  <c r="AB85" i="18"/>
  <c r="AK85" i="18"/>
  <c r="AM85" i="18" s="1"/>
  <c r="X86" i="18"/>
  <c r="Y85" i="18"/>
  <c r="AA85" i="18" s="1"/>
  <c r="BI85" i="18"/>
  <c r="BK85" i="18" s="1"/>
  <c r="AN86" i="18"/>
  <c r="AJ87" i="18"/>
  <c r="BL85" i="18"/>
  <c r="BH86" i="18"/>
  <c r="BP42" i="18"/>
  <c r="BM43" i="18"/>
  <c r="BD43" i="18"/>
  <c r="AE42" i="18"/>
  <c r="AG42" i="18" s="1"/>
  <c r="B86" i="17"/>
  <c r="E85" i="17"/>
  <c r="P85" i="17"/>
  <c r="BI85" i="17"/>
  <c r="BK85" i="17" s="1"/>
  <c r="AB85" i="17"/>
  <c r="Y85" i="17"/>
  <c r="AA85" i="17" s="1"/>
  <c r="AK85" i="17"/>
  <c r="AM85" i="17" s="1"/>
  <c r="AW85" i="17"/>
  <c r="AY85" i="17" s="1"/>
  <c r="X86" i="17"/>
  <c r="AJ88" i="17"/>
  <c r="AN87" i="17"/>
  <c r="BM46" i="17"/>
  <c r="AV87" i="17"/>
  <c r="AZ86" i="17"/>
  <c r="AC43" i="17"/>
  <c r="AO43" i="17"/>
  <c r="AF42" i="17"/>
  <c r="AR42" i="17"/>
  <c r="BL88" i="17"/>
  <c r="BH89" i="17"/>
  <c r="BC44" i="17"/>
  <c r="BE44" i="17" s="1"/>
  <c r="BP45" i="17"/>
  <c r="AO44" i="16"/>
  <c r="AC44" i="16"/>
  <c r="P86" i="16"/>
  <c r="E86" i="16"/>
  <c r="B87" i="16"/>
  <c r="AF43" i="16"/>
  <c r="AW86" i="16"/>
  <c r="AY86" i="16" s="1"/>
  <c r="X87" i="16"/>
  <c r="AK86" i="16"/>
  <c r="AM86" i="16" s="1"/>
  <c r="BI86" i="16"/>
  <c r="BK86" i="16" s="1"/>
  <c r="AB86" i="16"/>
  <c r="Y86" i="16"/>
  <c r="AA86" i="16" s="1"/>
  <c r="AV87" i="16"/>
  <c r="AZ86" i="16"/>
  <c r="BH88" i="16"/>
  <c r="BL87" i="16"/>
  <c r="BB43" i="16"/>
  <c r="BC43" i="16" s="1"/>
  <c r="BE43" i="16" s="1"/>
  <c r="AR43" i="16"/>
  <c r="BM44" i="16"/>
  <c r="AJ86" i="16"/>
  <c r="AN85" i="16"/>
  <c r="BP43" i="16"/>
  <c r="BH86" i="14"/>
  <c r="BL85" i="14"/>
  <c r="BM47" i="14"/>
  <c r="BP46" i="14"/>
  <c r="P85" i="14"/>
  <c r="E85" i="14"/>
  <c r="AK85" i="14"/>
  <c r="AM85" i="14" s="1"/>
  <c r="AW85" i="14"/>
  <c r="AY85" i="14" s="1"/>
  <c r="AV127" i="14"/>
  <c r="AZ126" i="14"/>
  <c r="BB46" i="14"/>
  <c r="BC46" i="14" s="1"/>
  <c r="BE46" i="14" s="1"/>
  <c r="AJ86" i="14"/>
  <c r="AN85" i="14"/>
  <c r="AP47" i="14"/>
  <c r="AQ47" i="14" s="1"/>
  <c r="AS47" i="14" s="1"/>
  <c r="X86" i="14"/>
  <c r="BI86" i="14" s="1"/>
  <c r="BK86" i="14" s="1"/>
  <c r="Y85" i="14"/>
  <c r="AA85" i="14" s="1"/>
  <c r="AB85" i="14"/>
  <c r="AC34" i="14"/>
  <c r="AF33" i="14"/>
  <c r="B86" i="14"/>
  <c r="AA85" i="19" l="1"/>
  <c r="B87" i="15"/>
  <c r="F86" i="15"/>
  <c r="BD44" i="17"/>
  <c r="AC43" i="19"/>
  <c r="BN56" i="19"/>
  <c r="BO56" i="19" s="1"/>
  <c r="BQ56" i="19" s="1"/>
  <c r="BB54" i="19"/>
  <c r="BC54" i="19" s="1"/>
  <c r="BE54" i="19" s="1"/>
  <c r="BL87" i="19"/>
  <c r="BH88" i="19"/>
  <c r="AB86" i="19"/>
  <c r="AK86" i="19"/>
  <c r="AM86" i="19" s="1"/>
  <c r="X87" i="19"/>
  <c r="Y86" i="19"/>
  <c r="BI86" i="19"/>
  <c r="BK86" i="19" s="1"/>
  <c r="AW86" i="19"/>
  <c r="AY86" i="19" s="1"/>
  <c r="AJ87" i="19"/>
  <c r="AN86" i="19"/>
  <c r="P86" i="19"/>
  <c r="E86" i="19"/>
  <c r="B87" i="19"/>
  <c r="AF42" i="19"/>
  <c r="AZ87" i="19"/>
  <c r="AV88" i="19"/>
  <c r="AO43" i="19"/>
  <c r="AR42" i="19"/>
  <c r="BL86" i="18"/>
  <c r="BH87" i="18"/>
  <c r="AZ87" i="18"/>
  <c r="AV88" i="18"/>
  <c r="AP54" i="18"/>
  <c r="AQ54" i="18" s="1"/>
  <c r="AS54" i="18" s="1"/>
  <c r="AC43" i="18"/>
  <c r="AN87" i="18"/>
  <c r="AJ88" i="18"/>
  <c r="AK86" i="18"/>
  <c r="AM86" i="18" s="1"/>
  <c r="X87" i="18"/>
  <c r="Y86" i="18"/>
  <c r="AA86" i="18" s="1"/>
  <c r="BI86" i="18"/>
  <c r="BK86" i="18" s="1"/>
  <c r="AB86" i="18"/>
  <c r="AW86" i="18"/>
  <c r="AY86" i="18" s="1"/>
  <c r="AF42" i="18"/>
  <c r="BN43" i="18"/>
  <c r="BO43" i="18" s="1"/>
  <c r="BQ43" i="18" s="1"/>
  <c r="P86" i="18"/>
  <c r="E86" i="18"/>
  <c r="B87" i="18"/>
  <c r="BB44" i="18"/>
  <c r="BC44" i="18" s="1"/>
  <c r="BE44" i="18" s="1"/>
  <c r="AZ87" i="17"/>
  <c r="AV88" i="17"/>
  <c r="BH90" i="17"/>
  <c r="BL89" i="17"/>
  <c r="BN46" i="17"/>
  <c r="BO46" i="17" s="1"/>
  <c r="BQ46" i="17" s="1"/>
  <c r="AP43" i="17"/>
  <c r="AQ43" i="17" s="1"/>
  <c r="AS43" i="17" s="1"/>
  <c r="AN88" i="17"/>
  <c r="AJ89" i="17"/>
  <c r="AD43" i="17"/>
  <c r="AE43" i="17" s="1"/>
  <c r="AG43" i="17" s="1"/>
  <c r="AW86" i="17"/>
  <c r="AY86" i="17" s="1"/>
  <c r="X87" i="17"/>
  <c r="BI86" i="17"/>
  <c r="BK86" i="17" s="1"/>
  <c r="AB86" i="17"/>
  <c r="Y86" i="17"/>
  <c r="AA86" i="17" s="1"/>
  <c r="AK86" i="17"/>
  <c r="AM86" i="17" s="1"/>
  <c r="BA45" i="17"/>
  <c r="P86" i="17"/>
  <c r="E86" i="17"/>
  <c r="B87" i="17"/>
  <c r="BH89" i="16"/>
  <c r="BL88" i="16"/>
  <c r="AV88" i="16"/>
  <c r="AZ87" i="16"/>
  <c r="E87" i="16"/>
  <c r="P87" i="16"/>
  <c r="B88" i="16"/>
  <c r="BA44" i="16"/>
  <c r="AN86" i="16"/>
  <c r="AJ87" i="16"/>
  <c r="BD43" i="16"/>
  <c r="AP44" i="16"/>
  <c r="AQ44" i="16" s="1"/>
  <c r="AS44" i="16" s="1"/>
  <c r="BN44" i="16"/>
  <c r="BO44" i="16" s="1"/>
  <c r="BQ44" i="16" s="1"/>
  <c r="AK87" i="16"/>
  <c r="AM87" i="16" s="1"/>
  <c r="BI87" i="16"/>
  <c r="BK87" i="16" s="1"/>
  <c r="AB87" i="16"/>
  <c r="Y87" i="16"/>
  <c r="AA87" i="16" s="1"/>
  <c r="X88" i="16"/>
  <c r="AW87" i="16"/>
  <c r="AY87" i="16" s="1"/>
  <c r="AD44" i="16"/>
  <c r="AE44" i="16" s="1"/>
  <c r="AG44" i="16" s="1"/>
  <c r="BH87" i="14"/>
  <c r="BL86" i="14"/>
  <c r="BN47" i="14"/>
  <c r="P86" i="14"/>
  <c r="E86" i="14"/>
  <c r="AV128" i="14"/>
  <c r="AZ127" i="14"/>
  <c r="AK86" i="14"/>
  <c r="AM86" i="14" s="1"/>
  <c r="AW86" i="14"/>
  <c r="AY86" i="14" s="1"/>
  <c r="BA47" i="14"/>
  <c r="BD46" i="14"/>
  <c r="AJ87" i="14"/>
  <c r="AN86" i="14"/>
  <c r="AO48" i="14"/>
  <c r="AR47" i="14"/>
  <c r="X87" i="14"/>
  <c r="BI87" i="14" s="1"/>
  <c r="BK87" i="14" s="1"/>
  <c r="AB86" i="14"/>
  <c r="Y86" i="14"/>
  <c r="AA86" i="14" s="1"/>
  <c r="AD34" i="14"/>
  <c r="B87" i="14"/>
  <c r="AA86" i="19" l="1"/>
  <c r="B88" i="15"/>
  <c r="F87" i="15"/>
  <c r="BM57" i="19"/>
  <c r="AN87" i="19"/>
  <c r="AJ88" i="19"/>
  <c r="BA55" i="19"/>
  <c r="BD54" i="19"/>
  <c r="AP43" i="19"/>
  <c r="AQ43" i="19" s="1"/>
  <c r="AS43" i="19" s="1"/>
  <c r="X88" i="19"/>
  <c r="Y87" i="19"/>
  <c r="BI87" i="19"/>
  <c r="BK87" i="19" s="1"/>
  <c r="AB87" i="19"/>
  <c r="AW87" i="19"/>
  <c r="AY87" i="19" s="1"/>
  <c r="AK87" i="19"/>
  <c r="AM87" i="19" s="1"/>
  <c r="P87" i="19"/>
  <c r="E87" i="19"/>
  <c r="B88" i="19"/>
  <c r="BP56" i="19"/>
  <c r="AZ88" i="19"/>
  <c r="AV89" i="19"/>
  <c r="BH89" i="19"/>
  <c r="BL88" i="19"/>
  <c r="AD43" i="19"/>
  <c r="AE43" i="19" s="1"/>
  <c r="AG43" i="19" s="1"/>
  <c r="BM44" i="18"/>
  <c r="AN88" i="18"/>
  <c r="AJ89" i="18"/>
  <c r="BP43" i="18"/>
  <c r="BH88" i="18"/>
  <c r="BL87" i="18"/>
  <c r="BA45" i="18"/>
  <c r="BD44" i="18"/>
  <c r="Y87" i="18"/>
  <c r="AA87" i="18" s="1"/>
  <c r="BI87" i="18"/>
  <c r="BK87" i="18" s="1"/>
  <c r="AW87" i="18"/>
  <c r="AY87" i="18" s="1"/>
  <c r="AB87" i="18"/>
  <c r="X88" i="18"/>
  <c r="AK87" i="18"/>
  <c r="AM87" i="18" s="1"/>
  <c r="AD43" i="18"/>
  <c r="AE43" i="18" s="1"/>
  <c r="AG43" i="18" s="1"/>
  <c r="AO55" i="18"/>
  <c r="E87" i="18"/>
  <c r="B88" i="18"/>
  <c r="P87" i="18"/>
  <c r="AR54" i="18"/>
  <c r="AZ88" i="18"/>
  <c r="AV89" i="18"/>
  <c r="AO44" i="17"/>
  <c r="AB87" i="17"/>
  <c r="AK87" i="17"/>
  <c r="AM87" i="17" s="1"/>
  <c r="X88" i="17"/>
  <c r="AW87" i="17"/>
  <c r="AY87" i="17" s="1"/>
  <c r="BI87" i="17"/>
  <c r="BK87" i="17" s="1"/>
  <c r="Y87" i="17"/>
  <c r="AA87" i="17" s="1"/>
  <c r="BL90" i="17"/>
  <c r="BH91" i="17"/>
  <c r="BB45" i="17"/>
  <c r="BC45" i="17" s="1"/>
  <c r="BE45" i="17" s="1"/>
  <c r="AR43" i="17"/>
  <c r="AV89" i="17"/>
  <c r="AZ88" i="17"/>
  <c r="B88" i="17"/>
  <c r="E87" i="17"/>
  <c r="P87" i="17"/>
  <c r="AC44" i="17"/>
  <c r="BM47" i="17"/>
  <c r="AF43" i="17"/>
  <c r="BP46" i="17"/>
  <c r="AJ90" i="17"/>
  <c r="AN89" i="17"/>
  <c r="BM45" i="16"/>
  <c r="AC45" i="16"/>
  <c r="AF44" i="16"/>
  <c r="BP44" i="16"/>
  <c r="AO45" i="16"/>
  <c r="BB44" i="16"/>
  <c r="BC44" i="16" s="1"/>
  <c r="BE44" i="16" s="1"/>
  <c r="Y88" i="16"/>
  <c r="AA88" i="16" s="1"/>
  <c r="AW88" i="16"/>
  <c r="AY88" i="16" s="1"/>
  <c r="BI88" i="16"/>
  <c r="BK88" i="16" s="1"/>
  <c r="X89" i="16"/>
  <c r="AB88" i="16"/>
  <c r="AK88" i="16"/>
  <c r="AM88" i="16" s="1"/>
  <c r="AR44" i="16"/>
  <c r="BL89" i="16"/>
  <c r="BH90" i="16"/>
  <c r="AV89" i="16"/>
  <c r="AZ88" i="16"/>
  <c r="AJ88" i="16"/>
  <c r="AN87" i="16"/>
  <c r="E88" i="16"/>
  <c r="B89" i="16"/>
  <c r="P88" i="16"/>
  <c r="BH88" i="14"/>
  <c r="BL87" i="14"/>
  <c r="BO47" i="14"/>
  <c r="BQ47" i="14" s="1"/>
  <c r="BM48" i="14" s="1"/>
  <c r="P87" i="14"/>
  <c r="E87" i="14"/>
  <c r="AK87" i="14"/>
  <c r="AM87" i="14" s="1"/>
  <c r="AW87" i="14"/>
  <c r="AY87" i="14" s="1"/>
  <c r="AV129" i="14"/>
  <c r="AZ128" i="14"/>
  <c r="BB47" i="14"/>
  <c r="BC47" i="14" s="1"/>
  <c r="BE47" i="14" s="1"/>
  <c r="AJ88" i="14"/>
  <c r="AN87" i="14"/>
  <c r="AP48" i="14"/>
  <c r="AQ48" i="14" s="1"/>
  <c r="AS48" i="14" s="1"/>
  <c r="X88" i="14"/>
  <c r="BI88" i="14" s="1"/>
  <c r="BK88" i="14" s="1"/>
  <c r="Y87" i="14"/>
  <c r="AA87" i="14" s="1"/>
  <c r="AB87" i="14"/>
  <c r="AE34" i="14"/>
  <c r="AG34" i="14" s="1"/>
  <c r="B88" i="14"/>
  <c r="AA87" i="19" l="1"/>
  <c r="B89" i="15"/>
  <c r="F88" i="15"/>
  <c r="AC44" i="19"/>
  <c r="AO44" i="19"/>
  <c r="AF43" i="19"/>
  <c r="AR43" i="19"/>
  <c r="BL89" i="19"/>
  <c r="BH90" i="19"/>
  <c r="BN57" i="19"/>
  <c r="BO57" i="19" s="1"/>
  <c r="BQ57" i="19" s="1"/>
  <c r="E88" i="19"/>
  <c r="B89" i="19"/>
  <c r="P88" i="19"/>
  <c r="Y88" i="19"/>
  <c r="BI88" i="19"/>
  <c r="BK88" i="19" s="1"/>
  <c r="AW88" i="19"/>
  <c r="AY88" i="19" s="1"/>
  <c r="AB88" i="19"/>
  <c r="X89" i="19"/>
  <c r="AK88" i="19"/>
  <c r="AM88" i="19" s="1"/>
  <c r="BB55" i="19"/>
  <c r="BC55" i="19" s="1"/>
  <c r="BE55" i="19" s="1"/>
  <c r="AV90" i="19"/>
  <c r="AZ89" i="19"/>
  <c r="AN88" i="19"/>
  <c r="AJ89" i="19"/>
  <c r="BH89" i="18"/>
  <c r="BL88" i="18"/>
  <c r="P88" i="18"/>
  <c r="B89" i="18"/>
  <c r="E88" i="18"/>
  <c r="AV90" i="18"/>
  <c r="AZ89" i="18"/>
  <c r="AC44" i="18"/>
  <c r="AJ90" i="18"/>
  <c r="AN89" i="18"/>
  <c r="AP55" i="18"/>
  <c r="AQ55" i="18" s="1"/>
  <c r="AS55" i="18" s="1"/>
  <c r="AF43" i="18"/>
  <c r="BI88" i="18"/>
  <c r="BK88" i="18" s="1"/>
  <c r="AW88" i="18"/>
  <c r="AY88" i="18" s="1"/>
  <c r="X89" i="18"/>
  <c r="AB88" i="18"/>
  <c r="AK88" i="18"/>
  <c r="AM88" i="18" s="1"/>
  <c r="Y88" i="18"/>
  <c r="AA88" i="18" s="1"/>
  <c r="BB45" i="18"/>
  <c r="BC45" i="18" s="1"/>
  <c r="BE45" i="18" s="1"/>
  <c r="BN44" i="18"/>
  <c r="BO44" i="18" s="1"/>
  <c r="BQ44" i="18" s="1"/>
  <c r="AN90" i="17"/>
  <c r="AJ91" i="17"/>
  <c r="BN47" i="17"/>
  <c r="BO47" i="17" s="1"/>
  <c r="BQ47" i="17" s="1"/>
  <c r="P88" i="17"/>
  <c r="E88" i="17"/>
  <c r="B89" i="17"/>
  <c r="BA46" i="17"/>
  <c r="X89" i="17"/>
  <c r="Y88" i="17"/>
  <c r="AA88" i="17" s="1"/>
  <c r="AK88" i="17"/>
  <c r="AM88" i="17" s="1"/>
  <c r="AW88" i="17"/>
  <c r="AY88" i="17" s="1"/>
  <c r="BI88" i="17"/>
  <c r="BK88" i="17" s="1"/>
  <c r="AB88" i="17"/>
  <c r="BD45" i="17"/>
  <c r="BH92" i="17"/>
  <c r="BL91" i="17"/>
  <c r="AD44" i="17"/>
  <c r="AE44" i="17" s="1"/>
  <c r="AG44" i="17" s="1"/>
  <c r="AZ89" i="17"/>
  <c r="AV90" i="17"/>
  <c r="AP44" i="17"/>
  <c r="AQ44" i="17" s="1"/>
  <c r="AS44" i="17" s="1"/>
  <c r="BA45" i="16"/>
  <c r="AJ89" i="16"/>
  <c r="AN88" i="16"/>
  <c r="AP45" i="16"/>
  <c r="AQ45" i="16" s="1"/>
  <c r="AS45" i="16" s="1"/>
  <c r="BL90" i="16"/>
  <c r="BH91" i="16"/>
  <c r="AV90" i="16"/>
  <c r="AZ89" i="16"/>
  <c r="P89" i="16"/>
  <c r="E89" i="16"/>
  <c r="B90" i="16"/>
  <c r="AD45" i="16"/>
  <c r="AE45" i="16" s="1"/>
  <c r="AG45" i="16" s="1"/>
  <c r="BD44" i="16"/>
  <c r="BN45" i="16"/>
  <c r="BI89" i="16"/>
  <c r="BK89" i="16" s="1"/>
  <c r="AK89" i="16"/>
  <c r="AM89" i="16" s="1"/>
  <c r="X90" i="16"/>
  <c r="AB89" i="16"/>
  <c r="AW89" i="16"/>
  <c r="AY89" i="16" s="1"/>
  <c r="Y89" i="16"/>
  <c r="AA89" i="16" s="1"/>
  <c r="BH89" i="14"/>
  <c r="BL88" i="14"/>
  <c r="BP47" i="14"/>
  <c r="BN48" i="14"/>
  <c r="BO48" i="14" s="1"/>
  <c r="BQ48" i="14" s="1"/>
  <c r="P88" i="14"/>
  <c r="E88" i="14"/>
  <c r="AK88" i="14"/>
  <c r="AM88" i="14" s="1"/>
  <c r="AW88" i="14"/>
  <c r="AY88" i="14" s="1"/>
  <c r="AV130" i="14"/>
  <c r="AZ129" i="14"/>
  <c r="BA48" i="14"/>
  <c r="BD47" i="14"/>
  <c r="AJ89" i="14"/>
  <c r="AN88" i="14"/>
  <c r="AR48" i="14"/>
  <c r="AO49" i="14"/>
  <c r="X89" i="14"/>
  <c r="BI89" i="14" s="1"/>
  <c r="BK89" i="14" s="1"/>
  <c r="Y88" i="14"/>
  <c r="AA88" i="14" s="1"/>
  <c r="AB88" i="14"/>
  <c r="AC35" i="14"/>
  <c r="AF34" i="14"/>
  <c r="B89" i="14"/>
  <c r="AA88" i="19" l="1"/>
  <c r="B90" i="15"/>
  <c r="F89" i="15"/>
  <c r="BA56" i="19"/>
  <c r="BD55" i="19"/>
  <c r="AN89" i="19"/>
  <c r="AJ90" i="19"/>
  <c r="P89" i="19"/>
  <c r="B90" i="19"/>
  <c r="E89" i="19"/>
  <c r="BI89" i="19"/>
  <c r="BK89" i="19" s="1"/>
  <c r="AW89" i="19"/>
  <c r="AY89" i="19" s="1"/>
  <c r="AB89" i="19"/>
  <c r="AK89" i="19"/>
  <c r="AM89" i="19" s="1"/>
  <c r="X90" i="19"/>
  <c r="Y89" i="19"/>
  <c r="AP44" i="19"/>
  <c r="AQ44" i="19" s="1"/>
  <c r="AS44" i="19" s="1"/>
  <c r="BM58" i="19"/>
  <c r="BH91" i="19"/>
  <c r="BL90" i="19"/>
  <c r="BP57" i="19"/>
  <c r="AD44" i="19"/>
  <c r="AE44" i="19" s="1"/>
  <c r="AG44" i="19" s="1"/>
  <c r="AV91" i="19"/>
  <c r="AZ90" i="19"/>
  <c r="BM45" i="18"/>
  <c r="BP44" i="18"/>
  <c r="AJ91" i="18"/>
  <c r="AN90" i="18"/>
  <c r="BA46" i="18"/>
  <c r="BH90" i="18"/>
  <c r="BL89" i="18"/>
  <c r="BD45" i="18"/>
  <c r="AD44" i="18"/>
  <c r="AE44" i="18" s="1"/>
  <c r="AG44" i="18" s="1"/>
  <c r="AO56" i="18"/>
  <c r="AZ90" i="18"/>
  <c r="AV91" i="18"/>
  <c r="B90" i="18"/>
  <c r="E89" i="18"/>
  <c r="P89" i="18"/>
  <c r="AW89" i="18"/>
  <c r="AY89" i="18" s="1"/>
  <c r="AK89" i="18"/>
  <c r="AM89" i="18" s="1"/>
  <c r="BI89" i="18"/>
  <c r="BK89" i="18" s="1"/>
  <c r="AB89" i="18"/>
  <c r="Y89" i="18"/>
  <c r="AA89" i="18" s="1"/>
  <c r="X90" i="18"/>
  <c r="AR55" i="18"/>
  <c r="AO45" i="17"/>
  <c r="AC45" i="17"/>
  <c r="BM48" i="17"/>
  <c r="AR44" i="17"/>
  <c r="AF44" i="17"/>
  <c r="BI89" i="17"/>
  <c r="BK89" i="17" s="1"/>
  <c r="AB89" i="17"/>
  <c r="Y89" i="17"/>
  <c r="AA89" i="17" s="1"/>
  <c r="AK89" i="17"/>
  <c r="AM89" i="17" s="1"/>
  <c r="X90" i="17"/>
  <c r="AW89" i="17"/>
  <c r="AY89" i="17" s="1"/>
  <c r="BP47" i="17"/>
  <c r="BB46" i="17"/>
  <c r="BC46" i="17" s="1"/>
  <c r="BE46" i="17" s="1"/>
  <c r="AJ92" i="17"/>
  <c r="AN91" i="17"/>
  <c r="AV91" i="17"/>
  <c r="AZ90" i="17"/>
  <c r="BL92" i="17"/>
  <c r="BH93" i="17"/>
  <c r="B90" i="17"/>
  <c r="E89" i="17"/>
  <c r="P89" i="17"/>
  <c r="AO46" i="16"/>
  <c r="AR45" i="16"/>
  <c r="AW90" i="16"/>
  <c r="AY90" i="16" s="1"/>
  <c r="Y90" i="16"/>
  <c r="AA90" i="16" s="1"/>
  <c r="AK90" i="16"/>
  <c r="AM90" i="16" s="1"/>
  <c r="BI90" i="16"/>
  <c r="BK90" i="16" s="1"/>
  <c r="X91" i="16"/>
  <c r="AB90" i="16"/>
  <c r="BH92" i="16"/>
  <c r="BL91" i="16"/>
  <c r="AC46" i="16"/>
  <c r="AF45" i="16"/>
  <c r="AJ90" i="16"/>
  <c r="AN89" i="16"/>
  <c r="BB45" i="16"/>
  <c r="BC45" i="16" s="1"/>
  <c r="BE45" i="16" s="1"/>
  <c r="BO45" i="16"/>
  <c r="BQ45" i="16" s="1"/>
  <c r="E90" i="16"/>
  <c r="B91" i="16"/>
  <c r="P90" i="16"/>
  <c r="AZ90" i="16"/>
  <c r="AV91" i="16"/>
  <c r="BH90" i="14"/>
  <c r="BL89" i="14"/>
  <c r="BM49" i="14"/>
  <c r="BP48" i="14"/>
  <c r="P89" i="14"/>
  <c r="E89" i="14"/>
  <c r="AK89" i="14"/>
  <c r="AM89" i="14" s="1"/>
  <c r="AW89" i="14"/>
  <c r="AY89" i="14" s="1"/>
  <c r="AV131" i="14"/>
  <c r="AZ130" i="14"/>
  <c r="BB48" i="14"/>
  <c r="BC48" i="14" s="1"/>
  <c r="BE48" i="14" s="1"/>
  <c r="AJ90" i="14"/>
  <c r="AN89" i="14"/>
  <c r="AP49" i="14"/>
  <c r="AQ49" i="14" s="1"/>
  <c r="AS49" i="14" s="1"/>
  <c r="X90" i="14"/>
  <c r="BI90" i="14" s="1"/>
  <c r="BK90" i="14" s="1"/>
  <c r="AB89" i="14"/>
  <c r="Y89" i="14"/>
  <c r="AA89" i="14" s="1"/>
  <c r="AD35" i="14"/>
  <c r="B90" i="14"/>
  <c r="AA89" i="19" l="1"/>
  <c r="B91" i="15"/>
  <c r="F90" i="15"/>
  <c r="AO45" i="19"/>
  <c r="BL91" i="19"/>
  <c r="BH92" i="19"/>
  <c r="AW90" i="19"/>
  <c r="AY90" i="19" s="1"/>
  <c r="AB90" i="19"/>
  <c r="AK90" i="19"/>
  <c r="AM90" i="19" s="1"/>
  <c r="X91" i="19"/>
  <c r="Y90" i="19"/>
  <c r="BI90" i="19"/>
  <c r="BK90" i="19" s="1"/>
  <c r="P90" i="19"/>
  <c r="E90" i="19"/>
  <c r="B91" i="19"/>
  <c r="AV92" i="19"/>
  <c r="AZ91" i="19"/>
  <c r="BN58" i="19"/>
  <c r="BO58" i="19" s="1"/>
  <c r="BQ58" i="19" s="1"/>
  <c r="AC45" i="19"/>
  <c r="AF44" i="19"/>
  <c r="AJ91" i="19"/>
  <c r="AN90" i="19"/>
  <c r="BB56" i="19"/>
  <c r="BC56" i="19" s="1"/>
  <c r="BE56" i="19" s="1"/>
  <c r="AR44" i="19"/>
  <c r="AP56" i="18"/>
  <c r="AQ56" i="18" s="1"/>
  <c r="AS56" i="18" s="1"/>
  <c r="AJ92" i="18"/>
  <c r="AN91" i="18"/>
  <c r="BL90" i="18"/>
  <c r="BH91" i="18"/>
  <c r="AK90" i="18"/>
  <c r="AM90" i="18" s="1"/>
  <c r="Y90" i="18"/>
  <c r="AA90" i="18" s="1"/>
  <c r="AW90" i="18"/>
  <c r="AY90" i="18" s="1"/>
  <c r="X91" i="18"/>
  <c r="BI90" i="18"/>
  <c r="BK90" i="18" s="1"/>
  <c r="AB90" i="18"/>
  <c r="E90" i="18"/>
  <c r="P90" i="18"/>
  <c r="B91" i="18"/>
  <c r="AV92" i="18"/>
  <c r="AZ91" i="18"/>
  <c r="AC45" i="18"/>
  <c r="BB46" i="18"/>
  <c r="BC46" i="18" s="1"/>
  <c r="BE46" i="18" s="1"/>
  <c r="AF44" i="18"/>
  <c r="BN45" i="18"/>
  <c r="BO45" i="18" s="1"/>
  <c r="BQ45" i="18" s="1"/>
  <c r="AZ91" i="17"/>
  <c r="AV92" i="17"/>
  <c r="AW90" i="17"/>
  <c r="AY90" i="17" s="1"/>
  <c r="X91" i="17"/>
  <c r="AB90" i="17"/>
  <c r="Y90" i="17"/>
  <c r="AA90" i="17" s="1"/>
  <c r="AK90" i="17"/>
  <c r="AM90" i="17" s="1"/>
  <c r="BI90" i="17"/>
  <c r="BK90" i="17" s="1"/>
  <c r="AN92" i="17"/>
  <c r="AJ93" i="17"/>
  <c r="P90" i="17"/>
  <c r="B91" i="17"/>
  <c r="E90" i="17"/>
  <c r="AD45" i="17"/>
  <c r="BH94" i="17"/>
  <c r="BL93" i="17"/>
  <c r="BA47" i="17"/>
  <c r="AP45" i="17"/>
  <c r="BD46" i="17"/>
  <c r="BN48" i="17"/>
  <c r="BO48" i="17" s="1"/>
  <c r="BQ48" i="17" s="1"/>
  <c r="BA46" i="16"/>
  <c r="AD46" i="16"/>
  <c r="AE46" i="16" s="1"/>
  <c r="AG46" i="16" s="1"/>
  <c r="AZ91" i="16"/>
  <c r="AV92" i="16"/>
  <c r="BD45" i="16"/>
  <c r="AJ91" i="16"/>
  <c r="AN90" i="16"/>
  <c r="BH93" i="16"/>
  <c r="BL92" i="16"/>
  <c r="B92" i="16"/>
  <c r="E91" i="16"/>
  <c r="P91" i="16"/>
  <c r="AK91" i="16"/>
  <c r="AM91" i="16" s="1"/>
  <c r="BI91" i="16"/>
  <c r="BK91" i="16" s="1"/>
  <c r="X92" i="16"/>
  <c r="Y91" i="16"/>
  <c r="AA91" i="16" s="1"/>
  <c r="AW91" i="16"/>
  <c r="AY91" i="16" s="1"/>
  <c r="AB91" i="16"/>
  <c r="BP45" i="16"/>
  <c r="BM46" i="16"/>
  <c r="AP46" i="16"/>
  <c r="BH91" i="14"/>
  <c r="BL90" i="14"/>
  <c r="BN49" i="14"/>
  <c r="P90" i="14"/>
  <c r="E90" i="14"/>
  <c r="AV132" i="14"/>
  <c r="AZ131" i="14"/>
  <c r="AK90" i="14"/>
  <c r="AM90" i="14" s="1"/>
  <c r="AW90" i="14"/>
  <c r="AY90" i="14" s="1"/>
  <c r="BA49" i="14"/>
  <c r="BD48" i="14"/>
  <c r="AJ91" i="14"/>
  <c r="AN90" i="14"/>
  <c r="AO50" i="14"/>
  <c r="AR49" i="14"/>
  <c r="X91" i="14"/>
  <c r="BI91" i="14" s="1"/>
  <c r="BK91" i="14" s="1"/>
  <c r="AB90" i="14"/>
  <c r="Y90" i="14"/>
  <c r="AA90" i="14" s="1"/>
  <c r="AE35" i="14"/>
  <c r="AG35" i="14" s="1"/>
  <c r="B91" i="14"/>
  <c r="AA90" i="19" l="1"/>
  <c r="B92" i="15"/>
  <c r="F91" i="15"/>
  <c r="BI91" i="19"/>
  <c r="BK91" i="19" s="1"/>
  <c r="AW91" i="19"/>
  <c r="AY91" i="19" s="1"/>
  <c r="X92" i="19"/>
  <c r="AK91" i="19"/>
  <c r="AM91" i="19" s="1"/>
  <c r="Y91" i="19"/>
  <c r="AB91" i="19"/>
  <c r="AJ92" i="19"/>
  <c r="AN91" i="19"/>
  <c r="BM59" i="19"/>
  <c r="P91" i="19"/>
  <c r="E91" i="19"/>
  <c r="B92" i="19"/>
  <c r="BP58" i="19"/>
  <c r="BH93" i="19"/>
  <c r="BL92" i="19"/>
  <c r="BA57" i="19"/>
  <c r="AV93" i="19"/>
  <c r="AZ92" i="19"/>
  <c r="BD56" i="19"/>
  <c r="AD45" i="19"/>
  <c r="AE45" i="19" s="1"/>
  <c r="AG45" i="19" s="1"/>
  <c r="AP45" i="19"/>
  <c r="AQ45" i="19" s="1"/>
  <c r="AS45" i="19" s="1"/>
  <c r="BA47" i="18"/>
  <c r="BM46" i="18"/>
  <c r="BP45" i="18"/>
  <c r="E91" i="18"/>
  <c r="B92" i="18"/>
  <c r="P91" i="18"/>
  <c r="AV93" i="18"/>
  <c r="AZ92" i="18"/>
  <c r="AJ93" i="18"/>
  <c r="AN92" i="18"/>
  <c r="AO57" i="18"/>
  <c r="AR56" i="18"/>
  <c r="BD46" i="18"/>
  <c r="BH92" i="18"/>
  <c r="BL91" i="18"/>
  <c r="AD45" i="18"/>
  <c r="AE45" i="18" s="1"/>
  <c r="AG45" i="18" s="1"/>
  <c r="Y91" i="18"/>
  <c r="AA91" i="18" s="1"/>
  <c r="BI91" i="18"/>
  <c r="BK91" i="18" s="1"/>
  <c r="AK91" i="18"/>
  <c r="AM91" i="18" s="1"/>
  <c r="AB91" i="18"/>
  <c r="AW91" i="18"/>
  <c r="AY91" i="18" s="1"/>
  <c r="X92" i="18"/>
  <c r="BM49" i="17"/>
  <c r="AJ94" i="17"/>
  <c r="AN93" i="17"/>
  <c r="BP48" i="17"/>
  <c r="AB91" i="17"/>
  <c r="AK91" i="17"/>
  <c r="AM91" i="17" s="1"/>
  <c r="BI91" i="17"/>
  <c r="BK91" i="17" s="1"/>
  <c r="Y91" i="17"/>
  <c r="AA91" i="17" s="1"/>
  <c r="X92" i="17"/>
  <c r="AW91" i="17"/>
  <c r="AY91" i="17" s="1"/>
  <c r="BB47" i="17"/>
  <c r="BC47" i="17" s="1"/>
  <c r="BE47" i="17" s="1"/>
  <c r="BL94" i="17"/>
  <c r="BH95" i="17"/>
  <c r="AV93" i="17"/>
  <c r="AZ92" i="17"/>
  <c r="AQ45" i="17"/>
  <c r="AS45" i="17" s="1"/>
  <c r="AE45" i="17"/>
  <c r="AG45" i="17" s="1"/>
  <c r="B92" i="17"/>
  <c r="P91" i="17"/>
  <c r="E91" i="17"/>
  <c r="BH94" i="16"/>
  <c r="BL93" i="16"/>
  <c r="AV93" i="16"/>
  <c r="AZ92" i="16"/>
  <c r="E92" i="16"/>
  <c r="B93" i="16"/>
  <c r="P92" i="16"/>
  <c r="BN46" i="16"/>
  <c r="BO46" i="16" s="1"/>
  <c r="BQ46" i="16" s="1"/>
  <c r="AJ92" i="16"/>
  <c r="AN91" i="16"/>
  <c r="AC47" i="16"/>
  <c r="Y92" i="16"/>
  <c r="AA92" i="16" s="1"/>
  <c r="AW92" i="16"/>
  <c r="AY92" i="16" s="1"/>
  <c r="AK92" i="16"/>
  <c r="AM92" i="16" s="1"/>
  <c r="X93" i="16"/>
  <c r="BI92" i="16"/>
  <c r="BK92" i="16" s="1"/>
  <c r="AB92" i="16"/>
  <c r="AF46" i="16"/>
  <c r="BB46" i="16"/>
  <c r="BC46" i="16" s="1"/>
  <c r="BE46" i="16" s="1"/>
  <c r="AQ46" i="16"/>
  <c r="AS46" i="16" s="1"/>
  <c r="BH92" i="14"/>
  <c r="BL91" i="14"/>
  <c r="BO49" i="14"/>
  <c r="BQ49" i="14" s="1"/>
  <c r="BM50" i="14" s="1"/>
  <c r="P91" i="14"/>
  <c r="E91" i="14"/>
  <c r="AK91" i="14"/>
  <c r="AM91" i="14" s="1"/>
  <c r="AW91" i="14"/>
  <c r="AY91" i="14" s="1"/>
  <c r="AV133" i="14"/>
  <c r="AZ132" i="14"/>
  <c r="BB49" i="14"/>
  <c r="BC49" i="14" s="1"/>
  <c r="BE49" i="14" s="1"/>
  <c r="AJ92" i="14"/>
  <c r="AN91" i="14"/>
  <c r="AP50" i="14"/>
  <c r="AQ50" i="14" s="1"/>
  <c r="AS50" i="14" s="1"/>
  <c r="X92" i="14"/>
  <c r="BI92" i="14" s="1"/>
  <c r="BK92" i="14" s="1"/>
  <c r="AB91" i="14"/>
  <c r="Y91" i="14"/>
  <c r="AA91" i="14" s="1"/>
  <c r="AC36" i="14"/>
  <c r="AF35" i="14"/>
  <c r="B92" i="14"/>
  <c r="AA91" i="19" l="1"/>
  <c r="B93" i="15"/>
  <c r="F92" i="15"/>
  <c r="AO46" i="19"/>
  <c r="AC46" i="19"/>
  <c r="AV94" i="19"/>
  <c r="AZ93" i="19"/>
  <c r="BN59" i="19"/>
  <c r="BO59" i="19" s="1"/>
  <c r="BQ59" i="19" s="1"/>
  <c r="AN92" i="19"/>
  <c r="AJ93" i="19"/>
  <c r="BI92" i="19"/>
  <c r="BK92" i="19" s="1"/>
  <c r="AW92" i="19"/>
  <c r="AY92" i="19" s="1"/>
  <c r="AK92" i="19"/>
  <c r="AM92" i="19" s="1"/>
  <c r="Y92" i="19"/>
  <c r="X93" i="19"/>
  <c r="AB92" i="19"/>
  <c r="AF45" i="19"/>
  <c r="B93" i="19"/>
  <c r="E92" i="19"/>
  <c r="P92" i="19"/>
  <c r="BB57" i="19"/>
  <c r="BC57" i="19" s="1"/>
  <c r="BE57" i="19" s="1"/>
  <c r="BH94" i="19"/>
  <c r="BL93" i="19"/>
  <c r="AR45" i="19"/>
  <c r="AC46" i="18"/>
  <c r="BI92" i="18"/>
  <c r="BK92" i="18" s="1"/>
  <c r="AW92" i="18"/>
  <c r="AY92" i="18" s="1"/>
  <c r="Y92" i="18"/>
  <c r="AA92" i="18" s="1"/>
  <c r="AB92" i="18"/>
  <c r="AK92" i="18"/>
  <c r="AM92" i="18" s="1"/>
  <c r="X93" i="18"/>
  <c r="BH93" i="18"/>
  <c r="BL92" i="18"/>
  <c r="AZ93" i="18"/>
  <c r="AV94" i="18"/>
  <c r="BN46" i="18"/>
  <c r="BO46" i="18" s="1"/>
  <c r="BQ46" i="18" s="1"/>
  <c r="AP57" i="18"/>
  <c r="AQ57" i="18" s="1"/>
  <c r="AS57" i="18" s="1"/>
  <c r="BB47" i="18"/>
  <c r="AF45" i="18"/>
  <c r="AJ94" i="18"/>
  <c r="AN93" i="18"/>
  <c r="E92" i="18"/>
  <c r="P92" i="18"/>
  <c r="B93" i="18"/>
  <c r="AZ93" i="17"/>
  <c r="AV94" i="17"/>
  <c r="BN49" i="17"/>
  <c r="BO49" i="17" s="1"/>
  <c r="BQ49" i="17" s="1"/>
  <c r="BH96" i="17"/>
  <c r="BL95" i="17"/>
  <c r="BA48" i="17"/>
  <c r="P92" i="17"/>
  <c r="E92" i="17"/>
  <c r="B93" i="17"/>
  <c r="BD47" i="17"/>
  <c r="AC46" i="17"/>
  <c r="AJ95" i="17"/>
  <c r="AN94" i="17"/>
  <c r="AO46" i="17"/>
  <c r="X93" i="17"/>
  <c r="Y92" i="17"/>
  <c r="AA92" i="17" s="1"/>
  <c r="AW92" i="17"/>
  <c r="AY92" i="17" s="1"/>
  <c r="BI92" i="17"/>
  <c r="BK92" i="17" s="1"/>
  <c r="AB92" i="17"/>
  <c r="AK92" i="17"/>
  <c r="AM92" i="17" s="1"/>
  <c r="AF45" i="17"/>
  <c r="AR45" i="17"/>
  <c r="BA47" i="16"/>
  <c r="AD47" i="16"/>
  <c r="AE47" i="16" s="1"/>
  <c r="AG47" i="16" s="1"/>
  <c r="AV94" i="16"/>
  <c r="AZ93" i="16"/>
  <c r="BM47" i="16"/>
  <c r="AO47" i="16"/>
  <c r="BP46" i="16"/>
  <c r="BH95" i="16"/>
  <c r="BL94" i="16"/>
  <c r="BI93" i="16"/>
  <c r="BK93" i="16" s="1"/>
  <c r="AK93" i="16"/>
  <c r="AM93" i="16" s="1"/>
  <c r="AB93" i="16"/>
  <c r="AW93" i="16"/>
  <c r="AY93" i="16" s="1"/>
  <c r="X94" i="16"/>
  <c r="Y93" i="16"/>
  <c r="AA93" i="16" s="1"/>
  <c r="BD46" i="16"/>
  <c r="B94" i="16"/>
  <c r="E93" i="16"/>
  <c r="P93" i="16"/>
  <c r="AN92" i="16"/>
  <c r="AJ93" i="16"/>
  <c r="AR46" i="16"/>
  <c r="BH93" i="14"/>
  <c r="BL92" i="14"/>
  <c r="BP49" i="14"/>
  <c r="BN50" i="14"/>
  <c r="BO50" i="14" s="1"/>
  <c r="BQ50" i="14" s="1"/>
  <c r="P92" i="14"/>
  <c r="E92" i="14"/>
  <c r="AV134" i="14"/>
  <c r="AZ133" i="14"/>
  <c r="AK92" i="14"/>
  <c r="AM92" i="14" s="1"/>
  <c r="AW92" i="14"/>
  <c r="AY92" i="14" s="1"/>
  <c r="BA50" i="14"/>
  <c r="BD49" i="14"/>
  <c r="AJ93" i="14"/>
  <c r="AN92" i="14"/>
  <c r="AR50" i="14"/>
  <c r="AO51" i="14"/>
  <c r="X93" i="14"/>
  <c r="BI93" i="14" s="1"/>
  <c r="BK93" i="14" s="1"/>
  <c r="AB92" i="14"/>
  <c r="Y92" i="14"/>
  <c r="AA92" i="14" s="1"/>
  <c r="AD36" i="14"/>
  <c r="B93" i="14"/>
  <c r="AA92" i="19" l="1"/>
  <c r="B94" i="15"/>
  <c r="F93" i="15"/>
  <c r="BM60" i="19"/>
  <c r="AZ94" i="19"/>
  <c r="AV95" i="19"/>
  <c r="AD46" i="19"/>
  <c r="AE46" i="19" s="1"/>
  <c r="AG46" i="19" s="1"/>
  <c r="BH95" i="19"/>
  <c r="BL94" i="19"/>
  <c r="E93" i="19"/>
  <c r="P93" i="19"/>
  <c r="B94" i="19"/>
  <c r="AW93" i="19"/>
  <c r="AY93" i="19" s="1"/>
  <c r="AK93" i="19"/>
  <c r="AM93" i="19" s="1"/>
  <c r="Y93" i="19"/>
  <c r="X94" i="19"/>
  <c r="BI93" i="19"/>
  <c r="BK93" i="19" s="1"/>
  <c r="AB93" i="19"/>
  <c r="BA58" i="19"/>
  <c r="AP46" i="19"/>
  <c r="AQ46" i="19" s="1"/>
  <c r="AS46" i="19" s="1"/>
  <c r="AJ94" i="19"/>
  <c r="AN93" i="19"/>
  <c r="BD57" i="19"/>
  <c r="BP59" i="19"/>
  <c r="P93" i="18"/>
  <c r="E93" i="18"/>
  <c r="B94" i="18"/>
  <c r="AO58" i="18"/>
  <c r="AR57" i="18"/>
  <c r="BL93" i="18"/>
  <c r="BH94" i="18"/>
  <c r="BM47" i="18"/>
  <c r="AW93" i="18"/>
  <c r="AY93" i="18" s="1"/>
  <c r="AB93" i="18"/>
  <c r="AK93" i="18"/>
  <c r="AM93" i="18" s="1"/>
  <c r="X94" i="18"/>
  <c r="BI93" i="18"/>
  <c r="BK93" i="18" s="1"/>
  <c r="Y93" i="18"/>
  <c r="AA93" i="18" s="1"/>
  <c r="AD46" i="18"/>
  <c r="AE46" i="18" s="1"/>
  <c r="AG46" i="18" s="1"/>
  <c r="AJ95" i="18"/>
  <c r="AN94" i="18"/>
  <c r="BP46" i="18"/>
  <c r="AZ94" i="18"/>
  <c r="AV95" i="18"/>
  <c r="BC47" i="18"/>
  <c r="BE47" i="18" s="1"/>
  <c r="BI93" i="17"/>
  <c r="BK93" i="17" s="1"/>
  <c r="AB93" i="17"/>
  <c r="AK93" i="17"/>
  <c r="AM93" i="17" s="1"/>
  <c r="AW93" i="17"/>
  <c r="AY93" i="17" s="1"/>
  <c r="X94" i="17"/>
  <c r="Y93" i="17"/>
  <c r="AA93" i="17" s="1"/>
  <c r="AD46" i="17"/>
  <c r="AE46" i="17" s="1"/>
  <c r="AG46" i="17" s="1"/>
  <c r="BB48" i="17"/>
  <c r="BC48" i="17" s="1"/>
  <c r="BE48" i="17" s="1"/>
  <c r="BM50" i="17"/>
  <c r="AP46" i="17"/>
  <c r="AQ46" i="17" s="1"/>
  <c r="AS46" i="17" s="1"/>
  <c r="BP49" i="17"/>
  <c r="B94" i="17"/>
  <c r="E93" i="17"/>
  <c r="P93" i="17"/>
  <c r="BL96" i="17"/>
  <c r="BH97" i="17"/>
  <c r="AN95" i="17"/>
  <c r="AJ96" i="17"/>
  <c r="AV95" i="17"/>
  <c r="AZ94" i="17"/>
  <c r="AC48" i="16"/>
  <c r="AP47" i="16"/>
  <c r="AQ47" i="16" s="1"/>
  <c r="AS47" i="16" s="1"/>
  <c r="AJ94" i="16"/>
  <c r="AN93" i="16"/>
  <c r="AF47" i="16"/>
  <c r="BN47" i="16"/>
  <c r="BO47" i="16" s="1"/>
  <c r="BQ47" i="16" s="1"/>
  <c r="BH96" i="16"/>
  <c r="BL95" i="16"/>
  <c r="AW94" i="16"/>
  <c r="AY94" i="16" s="1"/>
  <c r="Y94" i="16"/>
  <c r="AA94" i="16" s="1"/>
  <c r="X95" i="16"/>
  <c r="AB94" i="16"/>
  <c r="BI94" i="16"/>
  <c r="BK94" i="16" s="1"/>
  <c r="AK94" i="16"/>
  <c r="AM94" i="16" s="1"/>
  <c r="BB47" i="16"/>
  <c r="BC47" i="16" s="1"/>
  <c r="BE47" i="16" s="1"/>
  <c r="E94" i="16"/>
  <c r="P94" i="16"/>
  <c r="B95" i="16"/>
  <c r="AV95" i="16"/>
  <c r="AZ94" i="16"/>
  <c r="BH94" i="14"/>
  <c r="BL93" i="14"/>
  <c r="BM51" i="14"/>
  <c r="BP50" i="14"/>
  <c r="P93" i="14"/>
  <c r="E93" i="14"/>
  <c r="AK93" i="14"/>
  <c r="AM93" i="14" s="1"/>
  <c r="AW93" i="14"/>
  <c r="AY93" i="14" s="1"/>
  <c r="AV135" i="14"/>
  <c r="AZ134" i="14"/>
  <c r="BB50" i="14"/>
  <c r="BC50" i="14" s="1"/>
  <c r="BE50" i="14" s="1"/>
  <c r="AJ94" i="14"/>
  <c r="AN93" i="14"/>
  <c r="AP51" i="14"/>
  <c r="AQ51" i="14" s="1"/>
  <c r="AS51" i="14" s="1"/>
  <c r="X94" i="14"/>
  <c r="BI94" i="14" s="1"/>
  <c r="BK94" i="14" s="1"/>
  <c r="Y93" i="14"/>
  <c r="AA93" i="14" s="1"/>
  <c r="AB93" i="14"/>
  <c r="AE36" i="14"/>
  <c r="AG36" i="14" s="1"/>
  <c r="B94" i="14"/>
  <c r="AA93" i="19" l="1"/>
  <c r="B95" i="15"/>
  <c r="F94" i="15"/>
  <c r="AC47" i="19"/>
  <c r="BB58" i="19"/>
  <c r="BC58" i="19" s="1"/>
  <c r="BE58" i="19" s="1"/>
  <c r="E94" i="19"/>
  <c r="B95" i="19"/>
  <c r="P94" i="19"/>
  <c r="AJ95" i="19"/>
  <c r="AN94" i="19"/>
  <c r="AO47" i="19"/>
  <c r="AV96" i="19"/>
  <c r="AZ95" i="19"/>
  <c r="AR46" i="19"/>
  <c r="AK94" i="19"/>
  <c r="AM94" i="19" s="1"/>
  <c r="Y94" i="19"/>
  <c r="BI94" i="19"/>
  <c r="BK94" i="19" s="1"/>
  <c r="AW94" i="19"/>
  <c r="AY94" i="19" s="1"/>
  <c r="X95" i="19"/>
  <c r="AB94" i="19"/>
  <c r="BL95" i="19"/>
  <c r="BH96" i="19"/>
  <c r="BN60" i="19"/>
  <c r="BO60" i="19" s="1"/>
  <c r="BQ60" i="19" s="1"/>
  <c r="AF46" i="19"/>
  <c r="AN95" i="18"/>
  <c r="AJ96" i="18"/>
  <c r="AC47" i="18"/>
  <c r="BD47" i="18"/>
  <c r="AP58" i="18"/>
  <c r="AQ58" i="18" s="1"/>
  <c r="AS58" i="18" s="1"/>
  <c r="BA48" i="18"/>
  <c r="AF46" i="18"/>
  <c r="BN47" i="18"/>
  <c r="BO47" i="18" s="1"/>
  <c r="BQ47" i="18" s="1"/>
  <c r="BL94" i="18"/>
  <c r="BH95" i="18"/>
  <c r="P94" i="18"/>
  <c r="E94" i="18"/>
  <c r="B95" i="18"/>
  <c r="AZ95" i="18"/>
  <c r="AV96" i="18"/>
  <c r="AK94" i="18"/>
  <c r="AM94" i="18" s="1"/>
  <c r="X95" i="18"/>
  <c r="Y94" i="18"/>
  <c r="AA94" i="18" s="1"/>
  <c r="AW94" i="18"/>
  <c r="AY94" i="18" s="1"/>
  <c r="BI94" i="18"/>
  <c r="BK94" i="18" s="1"/>
  <c r="AB94" i="18"/>
  <c r="BA49" i="17"/>
  <c r="AC47" i="17"/>
  <c r="BD48" i="17"/>
  <c r="AF46" i="17"/>
  <c r="BL97" i="17"/>
  <c r="BH98" i="17"/>
  <c r="AO47" i="17"/>
  <c r="AK94" i="17"/>
  <c r="AM94" i="17" s="1"/>
  <c r="X95" i="17"/>
  <c r="BI94" i="17"/>
  <c r="BK94" i="17" s="1"/>
  <c r="AB94" i="17"/>
  <c r="Y94" i="17"/>
  <c r="AA94" i="17" s="1"/>
  <c r="AW94" i="17"/>
  <c r="AY94" i="17" s="1"/>
  <c r="AZ95" i="17"/>
  <c r="AV96" i="17"/>
  <c r="AR46" i="17"/>
  <c r="AJ97" i="17"/>
  <c r="AN96" i="17"/>
  <c r="B95" i="17"/>
  <c r="P94" i="17"/>
  <c r="E94" i="17"/>
  <c r="BN50" i="17"/>
  <c r="BO50" i="17" s="1"/>
  <c r="BQ50" i="17" s="1"/>
  <c r="AO48" i="16"/>
  <c r="BA48" i="16"/>
  <c r="BM48" i="16"/>
  <c r="AR47" i="16"/>
  <c r="BD47" i="16"/>
  <c r="BP47" i="16"/>
  <c r="AV96" i="16"/>
  <c r="AZ95" i="16"/>
  <c r="B96" i="16"/>
  <c r="E95" i="16"/>
  <c r="P95" i="16"/>
  <c r="BH97" i="16"/>
  <c r="BL96" i="16"/>
  <c r="AK95" i="16"/>
  <c r="AM95" i="16" s="1"/>
  <c r="BI95" i="16"/>
  <c r="BK95" i="16" s="1"/>
  <c r="Y95" i="16"/>
  <c r="AA95" i="16" s="1"/>
  <c r="AW95" i="16"/>
  <c r="AY95" i="16" s="1"/>
  <c r="X96" i="16"/>
  <c r="AB95" i="16"/>
  <c r="AD48" i="16"/>
  <c r="AE48" i="16" s="1"/>
  <c r="AG48" i="16" s="1"/>
  <c r="AJ95" i="16"/>
  <c r="AN94" i="16"/>
  <c r="BH95" i="14"/>
  <c r="BL94" i="14"/>
  <c r="BN51" i="14"/>
  <c r="BO51" i="14" s="1"/>
  <c r="BQ51" i="14" s="1"/>
  <c r="P94" i="14"/>
  <c r="E94" i="14"/>
  <c r="AV136" i="14"/>
  <c r="AZ135" i="14"/>
  <c r="AK94" i="14"/>
  <c r="AM94" i="14" s="1"/>
  <c r="AW94" i="14"/>
  <c r="AY94" i="14" s="1"/>
  <c r="BA51" i="14"/>
  <c r="BD50" i="14"/>
  <c r="AJ95" i="14"/>
  <c r="AN94" i="14"/>
  <c r="AO52" i="14"/>
  <c r="AR51" i="14"/>
  <c r="X95" i="14"/>
  <c r="BI95" i="14" s="1"/>
  <c r="BK95" i="14" s="1"/>
  <c r="AB94" i="14"/>
  <c r="Y94" i="14"/>
  <c r="AA94" i="14" s="1"/>
  <c r="AC37" i="14"/>
  <c r="AF36" i="14"/>
  <c r="B95" i="14"/>
  <c r="AA94" i="19" l="1"/>
  <c r="B96" i="15"/>
  <c r="F95" i="15"/>
  <c r="BA59" i="19"/>
  <c r="BH97" i="19"/>
  <c r="BL96" i="19"/>
  <c r="E95" i="19"/>
  <c r="P95" i="19"/>
  <c r="B96" i="19"/>
  <c r="BM61" i="19"/>
  <c r="BD58" i="19"/>
  <c r="BP60" i="19"/>
  <c r="AN95" i="19"/>
  <c r="AJ96" i="19"/>
  <c r="AZ96" i="19"/>
  <c r="AV97" i="19"/>
  <c r="X96" i="19"/>
  <c r="Y95" i="19"/>
  <c r="BI95" i="19"/>
  <c r="BK95" i="19" s="1"/>
  <c r="AW95" i="19"/>
  <c r="AY95" i="19" s="1"/>
  <c r="AK95" i="19"/>
  <c r="AM95" i="19" s="1"/>
  <c r="AB95" i="19"/>
  <c r="AD47" i="19"/>
  <c r="AE47" i="19" s="1"/>
  <c r="AG47" i="19" s="1"/>
  <c r="AP47" i="19"/>
  <c r="AQ47" i="19" s="1"/>
  <c r="AS47" i="19" s="1"/>
  <c r="AO59" i="18"/>
  <c r="BH96" i="18"/>
  <c r="BL95" i="18"/>
  <c r="AR58" i="18"/>
  <c r="Y95" i="18"/>
  <c r="AA95" i="18" s="1"/>
  <c r="BI95" i="18"/>
  <c r="BK95" i="18" s="1"/>
  <c r="AB95" i="18"/>
  <c r="AK95" i="18"/>
  <c r="AM95" i="18" s="1"/>
  <c r="X96" i="18"/>
  <c r="AW95" i="18"/>
  <c r="AY95" i="18" s="1"/>
  <c r="AN96" i="18"/>
  <c r="AJ97" i="18"/>
  <c r="AV97" i="18"/>
  <c r="AZ96" i="18"/>
  <c r="BM48" i="18"/>
  <c r="BP47" i="18"/>
  <c r="AD47" i="18"/>
  <c r="AE47" i="18" s="1"/>
  <c r="AG47" i="18" s="1"/>
  <c r="E95" i="18"/>
  <c r="B96" i="18"/>
  <c r="P95" i="18"/>
  <c r="BB48" i="18"/>
  <c r="BC48" i="18" s="1"/>
  <c r="BE48" i="18" s="1"/>
  <c r="BM51" i="17"/>
  <c r="BP50" i="17"/>
  <c r="AP47" i="17"/>
  <c r="AQ47" i="17" s="1"/>
  <c r="AS47" i="17" s="1"/>
  <c r="AJ98" i="17"/>
  <c r="AN97" i="17"/>
  <c r="AD47" i="17"/>
  <c r="AE47" i="17" s="1"/>
  <c r="AG47" i="17" s="1"/>
  <c r="Y95" i="17"/>
  <c r="AA95" i="17" s="1"/>
  <c r="BI95" i="17"/>
  <c r="BK95" i="17" s="1"/>
  <c r="AB95" i="17"/>
  <c r="AK95" i="17"/>
  <c r="AM95" i="17" s="1"/>
  <c r="AW95" i="17"/>
  <c r="AY95" i="17" s="1"/>
  <c r="X96" i="17"/>
  <c r="E95" i="17"/>
  <c r="B96" i="17"/>
  <c r="P95" i="17"/>
  <c r="BH99" i="17"/>
  <c r="BL98" i="17"/>
  <c r="BB49" i="17"/>
  <c r="BC49" i="17" s="1"/>
  <c r="BE49" i="17" s="1"/>
  <c r="AZ96" i="17"/>
  <c r="AV97" i="17"/>
  <c r="E96" i="16"/>
  <c r="P96" i="16"/>
  <c r="B97" i="16"/>
  <c r="AC49" i="16"/>
  <c r="BB48" i="16"/>
  <c r="BC48" i="16" s="1"/>
  <c r="BE48" i="16" s="1"/>
  <c r="AF48" i="16"/>
  <c r="Y96" i="16"/>
  <c r="AA96" i="16" s="1"/>
  <c r="AW96" i="16"/>
  <c r="AY96" i="16" s="1"/>
  <c r="X97" i="16"/>
  <c r="AB96" i="16"/>
  <c r="AK96" i="16"/>
  <c r="AM96" i="16" s="1"/>
  <c r="BI96" i="16"/>
  <c r="BK96" i="16" s="1"/>
  <c r="BL97" i="16"/>
  <c r="BH98" i="16"/>
  <c r="AP48" i="16"/>
  <c r="AV97" i="16"/>
  <c r="AZ96" i="16"/>
  <c r="BN48" i="16"/>
  <c r="BO48" i="16" s="1"/>
  <c r="BQ48" i="16" s="1"/>
  <c r="AJ96" i="16"/>
  <c r="AN95" i="16"/>
  <c r="BH96" i="14"/>
  <c r="BL95" i="14"/>
  <c r="BM52" i="14"/>
  <c r="BP51" i="14"/>
  <c r="P95" i="14"/>
  <c r="E95" i="14"/>
  <c r="AK95" i="14"/>
  <c r="AM95" i="14" s="1"/>
  <c r="AW95" i="14"/>
  <c r="AY95" i="14" s="1"/>
  <c r="AV137" i="14"/>
  <c r="AZ136" i="14"/>
  <c r="BB51" i="14"/>
  <c r="BC51" i="14" s="1"/>
  <c r="BE51" i="14" s="1"/>
  <c r="AJ96" i="14"/>
  <c r="AN95" i="14"/>
  <c r="AP52" i="14"/>
  <c r="AQ52" i="14" s="1"/>
  <c r="AS52" i="14" s="1"/>
  <c r="X96" i="14"/>
  <c r="BI96" i="14" s="1"/>
  <c r="BK96" i="14" s="1"/>
  <c r="Y95" i="14"/>
  <c r="AA95" i="14" s="1"/>
  <c r="AB95" i="14"/>
  <c r="AD37" i="14"/>
  <c r="B96" i="14"/>
  <c r="AA95" i="19" l="1"/>
  <c r="B97" i="15"/>
  <c r="F96" i="15"/>
  <c r="AC48" i="19"/>
  <c r="AO48" i="19"/>
  <c r="BN61" i="19"/>
  <c r="BO61" i="19" s="1"/>
  <c r="BQ61" i="19" s="1"/>
  <c r="AR47" i="19"/>
  <c r="AJ97" i="19"/>
  <c r="AN96" i="19"/>
  <c r="BI96" i="19"/>
  <c r="BK96" i="19" s="1"/>
  <c r="AW96" i="19"/>
  <c r="AY96" i="19" s="1"/>
  <c r="AB96" i="19"/>
  <c r="AK96" i="19"/>
  <c r="AM96" i="19" s="1"/>
  <c r="X97" i="19"/>
  <c r="Y96" i="19"/>
  <c r="BL97" i="19"/>
  <c r="BH98" i="19"/>
  <c r="AF47" i="19"/>
  <c r="AV98" i="19"/>
  <c r="AZ97" i="19"/>
  <c r="B97" i="19"/>
  <c r="P96" i="19"/>
  <c r="E96" i="19"/>
  <c r="BB59" i="19"/>
  <c r="BC59" i="19" s="1"/>
  <c r="BE59" i="19" s="1"/>
  <c r="BA49" i="18"/>
  <c r="AC48" i="18"/>
  <c r="BL96" i="18"/>
  <c r="BH97" i="18"/>
  <c r="BI96" i="18"/>
  <c r="BK96" i="18" s="1"/>
  <c r="AW96" i="18"/>
  <c r="AY96" i="18" s="1"/>
  <c r="AB96" i="18"/>
  <c r="X97" i="18"/>
  <c r="Y96" i="18"/>
  <c r="AA96" i="18" s="1"/>
  <c r="AK96" i="18"/>
  <c r="AM96" i="18" s="1"/>
  <c r="BD48" i="18"/>
  <c r="BN48" i="18"/>
  <c r="BO48" i="18" s="1"/>
  <c r="BQ48" i="18" s="1"/>
  <c r="AF47" i="18"/>
  <c r="AZ97" i="18"/>
  <c r="AV98" i="18"/>
  <c r="P96" i="18"/>
  <c r="E96" i="18"/>
  <c r="B97" i="18"/>
  <c r="AJ98" i="18"/>
  <c r="AN97" i="18"/>
  <c r="AP59" i="18"/>
  <c r="AQ59" i="18" s="1"/>
  <c r="AS59" i="18" s="1"/>
  <c r="AC48" i="17"/>
  <c r="BL99" i="17"/>
  <c r="BH100" i="17"/>
  <c r="AJ99" i="17"/>
  <c r="AN98" i="17"/>
  <c r="AZ97" i="17"/>
  <c r="AV98" i="17"/>
  <c r="BN51" i="17"/>
  <c r="BO51" i="17" s="1"/>
  <c r="BQ51" i="17" s="1"/>
  <c r="B97" i="17"/>
  <c r="P96" i="17"/>
  <c r="E96" i="17"/>
  <c r="BA50" i="17"/>
  <c r="AF47" i="17"/>
  <c r="BD49" i="17"/>
  <c r="BI96" i="17"/>
  <c r="BK96" i="17" s="1"/>
  <c r="AB96" i="17"/>
  <c r="X97" i="17"/>
  <c r="AW96" i="17"/>
  <c r="AY96" i="17" s="1"/>
  <c r="AK96" i="17"/>
  <c r="AM96" i="17" s="1"/>
  <c r="Y96" i="17"/>
  <c r="AA96" i="17" s="1"/>
  <c r="AO48" i="17"/>
  <c r="AR47" i="17"/>
  <c r="BM49" i="16"/>
  <c r="BH99" i="16"/>
  <c r="BL98" i="16"/>
  <c r="BP48" i="16"/>
  <c r="B98" i="16"/>
  <c r="E97" i="16"/>
  <c r="P97" i="16"/>
  <c r="BA49" i="16"/>
  <c r="AV98" i="16"/>
  <c r="AZ97" i="16"/>
  <c r="BD48" i="16"/>
  <c r="BI97" i="16"/>
  <c r="BK97" i="16" s="1"/>
  <c r="AK97" i="16"/>
  <c r="AM97" i="16" s="1"/>
  <c r="Y97" i="16"/>
  <c r="AA97" i="16" s="1"/>
  <c r="AW97" i="16"/>
  <c r="AY97" i="16" s="1"/>
  <c r="X98" i="16"/>
  <c r="AB97" i="16"/>
  <c r="AD49" i="16"/>
  <c r="AE49" i="16" s="1"/>
  <c r="AG49" i="16" s="1"/>
  <c r="AJ97" i="16"/>
  <c r="AN96" i="16"/>
  <c r="AQ48" i="16"/>
  <c r="AS48" i="16" s="1"/>
  <c r="BH97" i="14"/>
  <c r="BL96" i="14"/>
  <c r="BN52" i="14"/>
  <c r="BO52" i="14" s="1"/>
  <c r="BQ52" i="14" s="1"/>
  <c r="P96" i="14"/>
  <c r="E96" i="14"/>
  <c r="AV138" i="14"/>
  <c r="AZ137" i="14"/>
  <c r="AK96" i="14"/>
  <c r="AM96" i="14" s="1"/>
  <c r="AW96" i="14"/>
  <c r="AY96" i="14" s="1"/>
  <c r="BA52" i="14"/>
  <c r="BD51" i="14"/>
  <c r="AJ97" i="14"/>
  <c r="AN96" i="14"/>
  <c r="AO53" i="14"/>
  <c r="AR52" i="14"/>
  <c r="X97" i="14"/>
  <c r="BI97" i="14" s="1"/>
  <c r="BK97" i="14" s="1"/>
  <c r="Y96" i="14"/>
  <c r="AA96" i="14" s="1"/>
  <c r="AB96" i="14"/>
  <c r="AE37" i="14"/>
  <c r="AG37" i="14" s="1"/>
  <c r="B97" i="14"/>
  <c r="AA96" i="19" l="1"/>
  <c r="B98" i="15"/>
  <c r="F97" i="15"/>
  <c r="BA60" i="19"/>
  <c r="AW97" i="19"/>
  <c r="AY97" i="19" s="1"/>
  <c r="AB97" i="19"/>
  <c r="AK97" i="19"/>
  <c r="AM97" i="19" s="1"/>
  <c r="X98" i="19"/>
  <c r="Y97" i="19"/>
  <c r="BI97" i="19"/>
  <c r="BK97" i="19" s="1"/>
  <c r="AN97" i="19"/>
  <c r="AJ98" i="19"/>
  <c r="AP48" i="19"/>
  <c r="AQ48" i="19" s="1"/>
  <c r="AS48" i="19" s="1"/>
  <c r="BD59" i="19"/>
  <c r="BL98" i="19"/>
  <c r="BH99" i="19"/>
  <c r="BM62" i="19"/>
  <c r="BP61" i="19"/>
  <c r="P97" i="19"/>
  <c r="E97" i="19"/>
  <c r="B98" i="19"/>
  <c r="AD48" i="19"/>
  <c r="AE48" i="19" s="1"/>
  <c r="AG48" i="19" s="1"/>
  <c r="AZ98" i="19"/>
  <c r="AV99" i="19"/>
  <c r="AO60" i="18"/>
  <c r="AR59" i="18"/>
  <c r="AN98" i="18"/>
  <c r="AJ99" i="18"/>
  <c r="AW97" i="18"/>
  <c r="AY97" i="18" s="1"/>
  <c r="AB97" i="18"/>
  <c r="AK97" i="18"/>
  <c r="AM97" i="18" s="1"/>
  <c r="X98" i="18"/>
  <c r="BI97" i="18"/>
  <c r="BK97" i="18" s="1"/>
  <c r="Y97" i="18"/>
  <c r="AA97" i="18" s="1"/>
  <c r="AD48" i="18"/>
  <c r="AE48" i="18" s="1"/>
  <c r="AG48" i="18" s="1"/>
  <c r="AZ98" i="18"/>
  <c r="AV99" i="18"/>
  <c r="BM49" i="18"/>
  <c r="BB49" i="18"/>
  <c r="BC49" i="18" s="1"/>
  <c r="BE49" i="18" s="1"/>
  <c r="BP48" i="18"/>
  <c r="P97" i="18"/>
  <c r="B98" i="18"/>
  <c r="E97" i="18"/>
  <c r="BL97" i="18"/>
  <c r="BH98" i="18"/>
  <c r="AP48" i="17"/>
  <c r="AV99" i="17"/>
  <c r="AZ98" i="17"/>
  <c r="AJ100" i="17"/>
  <c r="AN99" i="17"/>
  <c r="B98" i="17"/>
  <c r="P97" i="17"/>
  <c r="E97" i="17"/>
  <c r="BL100" i="17"/>
  <c r="BH101" i="17"/>
  <c r="BM52" i="17"/>
  <c r="AW97" i="17"/>
  <c r="AY97" i="17" s="1"/>
  <c r="Y97" i="17"/>
  <c r="AA97" i="17" s="1"/>
  <c r="AB97" i="17"/>
  <c r="X98" i="17"/>
  <c r="BI97" i="17"/>
  <c r="BK97" i="17" s="1"/>
  <c r="AK97" i="17"/>
  <c r="AM97" i="17" s="1"/>
  <c r="BB50" i="17"/>
  <c r="BC50" i="17" s="1"/>
  <c r="BE50" i="17" s="1"/>
  <c r="BP51" i="17"/>
  <c r="AD48" i="17"/>
  <c r="AE48" i="17" s="1"/>
  <c r="AG48" i="17" s="1"/>
  <c r="AO49" i="16"/>
  <c r="BB49" i="16"/>
  <c r="BC49" i="16" s="1"/>
  <c r="BE49" i="16" s="1"/>
  <c r="AR48" i="16"/>
  <c r="AJ98" i="16"/>
  <c r="AN97" i="16"/>
  <c r="BN49" i="16"/>
  <c r="BO49" i="16" s="1"/>
  <c r="BQ49" i="16" s="1"/>
  <c r="AC50" i="16"/>
  <c r="AF49" i="16"/>
  <c r="BL99" i="16"/>
  <c r="BH100" i="16"/>
  <c r="AV99" i="16"/>
  <c r="AZ98" i="16"/>
  <c r="E98" i="16"/>
  <c r="B99" i="16"/>
  <c r="P98" i="16"/>
  <c r="AW98" i="16"/>
  <c r="AY98" i="16" s="1"/>
  <c r="Y98" i="16"/>
  <c r="AA98" i="16" s="1"/>
  <c r="X99" i="16"/>
  <c r="BI98" i="16"/>
  <c r="BK98" i="16" s="1"/>
  <c r="AB98" i="16"/>
  <c r="AK98" i="16"/>
  <c r="AM98" i="16" s="1"/>
  <c r="BH98" i="14"/>
  <c r="BL97" i="14"/>
  <c r="BM53" i="14"/>
  <c r="BP52" i="14"/>
  <c r="P97" i="14"/>
  <c r="E97" i="14"/>
  <c r="AK97" i="14"/>
  <c r="AM97" i="14" s="1"/>
  <c r="AW97" i="14"/>
  <c r="AY97" i="14" s="1"/>
  <c r="AV139" i="14"/>
  <c r="AZ138" i="14"/>
  <c r="BB52" i="14"/>
  <c r="AJ98" i="14"/>
  <c r="AN97" i="14"/>
  <c r="AP53" i="14"/>
  <c r="X98" i="14"/>
  <c r="BI98" i="14" s="1"/>
  <c r="BK98" i="14" s="1"/>
  <c r="AB97" i="14"/>
  <c r="Y97" i="14"/>
  <c r="AA97" i="14" s="1"/>
  <c r="AC38" i="14"/>
  <c r="AF37" i="14"/>
  <c r="B98" i="14"/>
  <c r="AA97" i="19" l="1"/>
  <c r="B99" i="15"/>
  <c r="F98" i="15"/>
  <c r="AO49" i="19"/>
  <c r="AB98" i="19"/>
  <c r="AK98" i="19"/>
  <c r="AM98" i="19" s="1"/>
  <c r="X99" i="19"/>
  <c r="Y98" i="19"/>
  <c r="BI98" i="19"/>
  <c r="BK98" i="19" s="1"/>
  <c r="AW98" i="19"/>
  <c r="AY98" i="19" s="1"/>
  <c r="AC49" i="19"/>
  <c r="BN62" i="19"/>
  <c r="BO62" i="19" s="1"/>
  <c r="BQ62" i="19" s="1"/>
  <c r="AF48" i="19"/>
  <c r="BL99" i="19"/>
  <c r="BH100" i="19"/>
  <c r="AR48" i="19"/>
  <c r="P98" i="19"/>
  <c r="E98" i="19"/>
  <c r="B99" i="19"/>
  <c r="AZ99" i="19"/>
  <c r="AV100" i="19"/>
  <c r="AJ99" i="19"/>
  <c r="AN98" i="19"/>
  <c r="BB60" i="19"/>
  <c r="BC60" i="19" s="1"/>
  <c r="BE60" i="19" s="1"/>
  <c r="BA50" i="18"/>
  <c r="AC49" i="18"/>
  <c r="BL98" i="18"/>
  <c r="BH99" i="18"/>
  <c r="AZ99" i="18"/>
  <c r="AV100" i="18"/>
  <c r="BD49" i="18"/>
  <c r="AF48" i="18"/>
  <c r="P98" i="18"/>
  <c r="E98" i="18"/>
  <c r="B99" i="18"/>
  <c r="AN99" i="18"/>
  <c r="AJ100" i="18"/>
  <c r="BN49" i="18"/>
  <c r="BO49" i="18" s="1"/>
  <c r="BQ49" i="18" s="1"/>
  <c r="AK98" i="18"/>
  <c r="AM98" i="18" s="1"/>
  <c r="X99" i="18"/>
  <c r="Y98" i="18"/>
  <c r="AA98" i="18" s="1"/>
  <c r="AW98" i="18"/>
  <c r="AY98" i="18" s="1"/>
  <c r="BI98" i="18"/>
  <c r="BK98" i="18" s="1"/>
  <c r="AB98" i="18"/>
  <c r="AP60" i="18"/>
  <c r="AQ60" i="18" s="1"/>
  <c r="AS60" i="18" s="1"/>
  <c r="AC49" i="17"/>
  <c r="BA51" i="17"/>
  <c r="BH102" i="17"/>
  <c r="BL101" i="17"/>
  <c r="P98" i="17"/>
  <c r="E98" i="17"/>
  <c r="B99" i="17"/>
  <c r="BI98" i="17"/>
  <c r="BK98" i="17" s="1"/>
  <c r="AK98" i="17"/>
  <c r="AM98" i="17" s="1"/>
  <c r="X99" i="17"/>
  <c r="AB98" i="17"/>
  <c r="AW98" i="17"/>
  <c r="AY98" i="17" s="1"/>
  <c r="Y98" i="17"/>
  <c r="AA98" i="17" s="1"/>
  <c r="AF48" i="17"/>
  <c r="AJ101" i="17"/>
  <c r="AN100" i="17"/>
  <c r="BN52" i="17"/>
  <c r="BD50" i="17"/>
  <c r="AV100" i="17"/>
  <c r="AZ99" i="17"/>
  <c r="AQ48" i="17"/>
  <c r="AS48" i="17" s="1"/>
  <c r="AJ99" i="16"/>
  <c r="AN98" i="16"/>
  <c r="P99" i="16"/>
  <c r="E99" i="16"/>
  <c r="B100" i="16"/>
  <c r="AD50" i="16"/>
  <c r="AE50" i="16" s="1"/>
  <c r="AG50" i="16" s="1"/>
  <c r="BA50" i="16"/>
  <c r="AK99" i="16"/>
  <c r="AM99" i="16" s="1"/>
  <c r="X100" i="16"/>
  <c r="BI99" i="16"/>
  <c r="BK99" i="16" s="1"/>
  <c r="AW99" i="16"/>
  <c r="AY99" i="16" s="1"/>
  <c r="AB99" i="16"/>
  <c r="Y99" i="16"/>
  <c r="AA99" i="16" s="1"/>
  <c r="BM50" i="16"/>
  <c r="BD49" i="16"/>
  <c r="BP49" i="16"/>
  <c r="AZ99" i="16"/>
  <c r="AV100" i="16"/>
  <c r="BH101" i="16"/>
  <c r="BL100" i="16"/>
  <c r="AP49" i="16"/>
  <c r="AQ49" i="16" s="1"/>
  <c r="AS49" i="16" s="1"/>
  <c r="BH99" i="14"/>
  <c r="BL98" i="14"/>
  <c r="BN53" i="14"/>
  <c r="BO53" i="14" s="1"/>
  <c r="BQ53" i="14" s="1"/>
  <c r="P98" i="14"/>
  <c r="E98" i="14"/>
  <c r="AV140" i="14"/>
  <c r="AZ139" i="14"/>
  <c r="AK98" i="14"/>
  <c r="AM98" i="14" s="1"/>
  <c r="AW98" i="14"/>
  <c r="AY98" i="14" s="1"/>
  <c r="BC52" i="14"/>
  <c r="BE52" i="14" s="1"/>
  <c r="AJ99" i="14"/>
  <c r="AN98" i="14"/>
  <c r="AQ53" i="14"/>
  <c r="AS53" i="14" s="1"/>
  <c r="AO54" i="14" s="1"/>
  <c r="X99" i="14"/>
  <c r="BI99" i="14" s="1"/>
  <c r="BK99" i="14" s="1"/>
  <c r="AB98" i="14"/>
  <c r="Y98" i="14"/>
  <c r="AA98" i="14" s="1"/>
  <c r="AD38" i="14"/>
  <c r="B99" i="14"/>
  <c r="AA98" i="19" l="1"/>
  <c r="B100" i="15"/>
  <c r="F99" i="15"/>
  <c r="AR48" i="17"/>
  <c r="BA61" i="19"/>
  <c r="AZ100" i="19"/>
  <c r="AV101" i="19"/>
  <c r="BH101" i="19"/>
  <c r="BL100" i="19"/>
  <c r="BM63" i="19"/>
  <c r="X100" i="19"/>
  <c r="Y99" i="19"/>
  <c r="BI99" i="19"/>
  <c r="BK99" i="19" s="1"/>
  <c r="AW99" i="19"/>
  <c r="AY99" i="19" s="1"/>
  <c r="AK99" i="19"/>
  <c r="AM99" i="19" s="1"/>
  <c r="AB99" i="19"/>
  <c r="BP62" i="19"/>
  <c r="P99" i="19"/>
  <c r="E99" i="19"/>
  <c r="B100" i="19"/>
  <c r="AD49" i="19"/>
  <c r="AN99" i="19"/>
  <c r="AJ100" i="19"/>
  <c r="BD60" i="19"/>
  <c r="AP49" i="19"/>
  <c r="AQ49" i="19" s="1"/>
  <c r="AS49" i="19" s="1"/>
  <c r="BM50" i="18"/>
  <c r="AO61" i="18"/>
  <c r="AR60" i="18"/>
  <c r="BP49" i="18"/>
  <c r="E99" i="18"/>
  <c r="B100" i="18"/>
  <c r="P99" i="18"/>
  <c r="AV101" i="18"/>
  <c r="AZ100" i="18"/>
  <c r="AD49" i="18"/>
  <c r="AE49" i="18" s="1"/>
  <c r="AG49" i="18" s="1"/>
  <c r="BH100" i="18"/>
  <c r="BL99" i="18"/>
  <c r="AN100" i="18"/>
  <c r="AJ101" i="18"/>
  <c r="BB50" i="18"/>
  <c r="BC50" i="18" s="1"/>
  <c r="BE50" i="18" s="1"/>
  <c r="Y99" i="18"/>
  <c r="AA99" i="18" s="1"/>
  <c r="BI99" i="18"/>
  <c r="BK99" i="18" s="1"/>
  <c r="AB99" i="18"/>
  <c r="AK99" i="18"/>
  <c r="AM99" i="18" s="1"/>
  <c r="X100" i="18"/>
  <c r="AW99" i="18"/>
  <c r="AY99" i="18" s="1"/>
  <c r="AW99" i="17"/>
  <c r="AY99" i="17" s="1"/>
  <c r="Y99" i="17"/>
  <c r="AA99" i="17" s="1"/>
  <c r="AK99" i="17"/>
  <c r="AM99" i="17" s="1"/>
  <c r="BI99" i="17"/>
  <c r="BK99" i="17" s="1"/>
  <c r="X100" i="17"/>
  <c r="AB99" i="17"/>
  <c r="BH103" i="17"/>
  <c r="BL102" i="17"/>
  <c r="AV101" i="17"/>
  <c r="AZ100" i="17"/>
  <c r="AN101" i="17"/>
  <c r="AJ102" i="17"/>
  <c r="E99" i="17"/>
  <c r="B100" i="17"/>
  <c r="P99" i="17"/>
  <c r="BB51" i="17"/>
  <c r="BC51" i="17" s="1"/>
  <c r="BE51" i="17" s="1"/>
  <c r="AO49" i="17"/>
  <c r="BO52" i="17"/>
  <c r="BQ52" i="17" s="1"/>
  <c r="AD49" i="17"/>
  <c r="AE49" i="17" s="1"/>
  <c r="AG49" i="17" s="1"/>
  <c r="AO50" i="16"/>
  <c r="BB50" i="16"/>
  <c r="BC50" i="16" s="1"/>
  <c r="BE50" i="16" s="1"/>
  <c r="AR49" i="16"/>
  <c r="AC51" i="16"/>
  <c r="BH102" i="16"/>
  <c r="BL101" i="16"/>
  <c r="AF50" i="16"/>
  <c r="Y100" i="16"/>
  <c r="AA100" i="16" s="1"/>
  <c r="AW100" i="16"/>
  <c r="AY100" i="16" s="1"/>
  <c r="AK100" i="16"/>
  <c r="AM100" i="16" s="1"/>
  <c r="X101" i="16"/>
  <c r="BI100" i="16"/>
  <c r="BK100" i="16" s="1"/>
  <c r="AB100" i="16"/>
  <c r="E100" i="16"/>
  <c r="B101" i="16"/>
  <c r="P100" i="16"/>
  <c r="AJ100" i="16"/>
  <c r="AN99" i="16"/>
  <c r="AZ100" i="16"/>
  <c r="AV101" i="16"/>
  <c r="BN50" i="16"/>
  <c r="BO50" i="16" s="1"/>
  <c r="BQ50" i="16" s="1"/>
  <c r="BH100" i="14"/>
  <c r="BL99" i="14"/>
  <c r="BM54" i="14"/>
  <c r="BP53" i="14"/>
  <c r="P99" i="14"/>
  <c r="E99" i="14"/>
  <c r="AK99" i="14"/>
  <c r="AM99" i="14" s="1"/>
  <c r="AW99" i="14"/>
  <c r="AY99" i="14" s="1"/>
  <c r="AV141" i="14"/>
  <c r="AZ140" i="14"/>
  <c r="BA53" i="14"/>
  <c r="BD52" i="14"/>
  <c r="AJ100" i="14"/>
  <c r="AN99" i="14"/>
  <c r="AR53" i="14"/>
  <c r="AP54" i="14"/>
  <c r="X100" i="14"/>
  <c r="BI100" i="14" s="1"/>
  <c r="BK100" i="14" s="1"/>
  <c r="AB99" i="14"/>
  <c r="Y99" i="14"/>
  <c r="AA99" i="14" s="1"/>
  <c r="AE38" i="14"/>
  <c r="AG38" i="14" s="1"/>
  <c r="B100" i="14"/>
  <c r="AA99" i="19" l="1"/>
  <c r="B101" i="15"/>
  <c r="F100" i="15"/>
  <c r="AO50" i="19"/>
  <c r="BI100" i="19"/>
  <c r="BK100" i="19" s="1"/>
  <c r="AW100" i="19"/>
  <c r="AY100" i="19" s="1"/>
  <c r="AB100" i="19"/>
  <c r="AK100" i="19"/>
  <c r="AM100" i="19" s="1"/>
  <c r="X101" i="19"/>
  <c r="Y100" i="19"/>
  <c r="B101" i="19"/>
  <c r="E100" i="19"/>
  <c r="P100" i="19"/>
  <c r="BN63" i="19"/>
  <c r="BO63" i="19" s="1"/>
  <c r="BQ63" i="19" s="1"/>
  <c r="BB61" i="19"/>
  <c r="BC61" i="19" s="1"/>
  <c r="BE61" i="19" s="1"/>
  <c r="AR49" i="19"/>
  <c r="AN100" i="19"/>
  <c r="AJ101" i="19"/>
  <c r="BL101" i="19"/>
  <c r="BH102" i="19"/>
  <c r="AE49" i="19"/>
  <c r="AG49" i="19" s="1"/>
  <c r="AV102" i="19"/>
  <c r="AZ101" i="19"/>
  <c r="AC50" i="18"/>
  <c r="BA51" i="18"/>
  <c r="AZ101" i="18"/>
  <c r="AV102" i="18"/>
  <c r="BL100" i="18"/>
  <c r="BH101" i="18"/>
  <c r="BD50" i="18"/>
  <c r="AP61" i="18"/>
  <c r="AQ61" i="18" s="1"/>
  <c r="AS61" i="18" s="1"/>
  <c r="AJ102" i="18"/>
  <c r="AN101" i="18"/>
  <c r="AF49" i="18"/>
  <c r="P100" i="18"/>
  <c r="E100" i="18"/>
  <c r="B101" i="18"/>
  <c r="BN50" i="18"/>
  <c r="BO50" i="18" s="1"/>
  <c r="BQ50" i="18" s="1"/>
  <c r="BI100" i="18"/>
  <c r="BK100" i="18" s="1"/>
  <c r="AW100" i="18"/>
  <c r="AY100" i="18" s="1"/>
  <c r="AB100" i="18"/>
  <c r="X101" i="18"/>
  <c r="Y100" i="18"/>
  <c r="AA100" i="18" s="1"/>
  <c r="AK100" i="18"/>
  <c r="AM100" i="18" s="1"/>
  <c r="AC50" i="17"/>
  <c r="B101" i="17"/>
  <c r="E100" i="17"/>
  <c r="P100" i="17"/>
  <c r="AN102" i="17"/>
  <c r="AJ103" i="17"/>
  <c r="AK100" i="17"/>
  <c r="AM100" i="17" s="1"/>
  <c r="BI100" i="17"/>
  <c r="BK100" i="17" s="1"/>
  <c r="X101" i="17"/>
  <c r="AB100" i="17"/>
  <c r="Y100" i="17"/>
  <c r="AA100" i="17" s="1"/>
  <c r="AW100" i="17"/>
  <c r="AY100" i="17" s="1"/>
  <c r="AF49" i="17"/>
  <c r="AZ101" i="17"/>
  <c r="AV102" i="17"/>
  <c r="BM53" i="17"/>
  <c r="BA52" i="17"/>
  <c r="BH104" i="17"/>
  <c r="BL103" i="17"/>
  <c r="AP49" i="17"/>
  <c r="AQ49" i="17" s="1"/>
  <c r="AS49" i="17" s="1"/>
  <c r="BD51" i="17"/>
  <c r="BP52" i="17"/>
  <c r="BM51" i="16"/>
  <c r="AN100" i="16"/>
  <c r="AJ101" i="16"/>
  <c r="BI101" i="16"/>
  <c r="BK101" i="16" s="1"/>
  <c r="AK101" i="16"/>
  <c r="AM101" i="16" s="1"/>
  <c r="AB101" i="16"/>
  <c r="Y101" i="16"/>
  <c r="AA101" i="16" s="1"/>
  <c r="AW101" i="16"/>
  <c r="AY101" i="16" s="1"/>
  <c r="X102" i="16"/>
  <c r="BA51" i="16"/>
  <c r="BP50" i="16"/>
  <c r="BL102" i="16"/>
  <c r="BH103" i="16"/>
  <c r="BD50" i="16"/>
  <c r="AV102" i="16"/>
  <c r="AZ101" i="16"/>
  <c r="P101" i="16"/>
  <c r="B102" i="16"/>
  <c r="E101" i="16"/>
  <c r="AD51" i="16"/>
  <c r="AE51" i="16" s="1"/>
  <c r="AG51" i="16" s="1"/>
  <c r="AP50" i="16"/>
  <c r="AQ50" i="16" s="1"/>
  <c r="AS50" i="16" s="1"/>
  <c r="BH101" i="14"/>
  <c r="BL100" i="14"/>
  <c r="BN54" i="14"/>
  <c r="BO54" i="14" s="1"/>
  <c r="BQ54" i="14" s="1"/>
  <c r="P100" i="14"/>
  <c r="E100" i="14"/>
  <c r="AK100" i="14"/>
  <c r="AM100" i="14" s="1"/>
  <c r="AW100" i="14"/>
  <c r="AY100" i="14" s="1"/>
  <c r="AV142" i="14"/>
  <c r="AZ141" i="14"/>
  <c r="BB53" i="14"/>
  <c r="BC53" i="14" s="1"/>
  <c r="BE53" i="14" s="1"/>
  <c r="AJ101" i="14"/>
  <c r="AN100" i="14"/>
  <c r="AQ54" i="14"/>
  <c r="AS54" i="14" s="1"/>
  <c r="AO55" i="14" s="1"/>
  <c r="X101" i="14"/>
  <c r="BI101" i="14" s="1"/>
  <c r="BK101" i="14" s="1"/>
  <c r="AB100" i="14"/>
  <c r="Y100" i="14"/>
  <c r="AA100" i="14" s="1"/>
  <c r="AC39" i="14"/>
  <c r="AF38" i="14"/>
  <c r="B101" i="14"/>
  <c r="AA100" i="19" l="1"/>
  <c r="B102" i="15"/>
  <c r="F101" i="15"/>
  <c r="BA62" i="19"/>
  <c r="BM64" i="19"/>
  <c r="BP63" i="19"/>
  <c r="AN101" i="19"/>
  <c r="AJ102" i="19"/>
  <c r="AZ102" i="19"/>
  <c r="AV103" i="19"/>
  <c r="AW101" i="19"/>
  <c r="AY101" i="19" s="1"/>
  <c r="AB101" i="19"/>
  <c r="AK101" i="19"/>
  <c r="AM101" i="19" s="1"/>
  <c r="X102" i="19"/>
  <c r="Y101" i="19"/>
  <c r="BI101" i="19"/>
  <c r="BK101" i="19" s="1"/>
  <c r="P101" i="19"/>
  <c r="E101" i="19"/>
  <c r="B102" i="19"/>
  <c r="AF49" i="19"/>
  <c r="AC50" i="19"/>
  <c r="AP50" i="19"/>
  <c r="AQ50" i="19" s="1"/>
  <c r="AS50" i="19" s="1"/>
  <c r="BL102" i="19"/>
  <c r="BH103" i="19"/>
  <c r="BD61" i="19"/>
  <c r="P101" i="18"/>
  <c r="B102" i="18"/>
  <c r="E101" i="18"/>
  <c r="AO62" i="18"/>
  <c r="AZ102" i="18"/>
  <c r="AV103" i="18"/>
  <c r="AR61" i="18"/>
  <c r="AW101" i="18"/>
  <c r="AY101" i="18" s="1"/>
  <c r="AB101" i="18"/>
  <c r="AK101" i="18"/>
  <c r="AM101" i="18" s="1"/>
  <c r="X102" i="18"/>
  <c r="BI101" i="18"/>
  <c r="BK101" i="18" s="1"/>
  <c r="Y101" i="18"/>
  <c r="AA101" i="18" s="1"/>
  <c r="BL101" i="18"/>
  <c r="BH102" i="18"/>
  <c r="BB51" i="18"/>
  <c r="BC51" i="18" s="1"/>
  <c r="BE51" i="18" s="1"/>
  <c r="BM51" i="18"/>
  <c r="AN102" i="18"/>
  <c r="AJ103" i="18"/>
  <c r="AD50" i="18"/>
  <c r="AE50" i="18" s="1"/>
  <c r="AG50" i="18" s="1"/>
  <c r="BP50" i="18"/>
  <c r="AO50" i="17"/>
  <c r="BN53" i="17"/>
  <c r="BO53" i="17" s="1"/>
  <c r="BQ53" i="17" s="1"/>
  <c r="AJ104" i="17"/>
  <c r="AN103" i="17"/>
  <c r="AR49" i="17"/>
  <c r="BH105" i="17"/>
  <c r="BL104" i="17"/>
  <c r="E101" i="17"/>
  <c r="B102" i="17"/>
  <c r="P101" i="17"/>
  <c r="BB52" i="17"/>
  <c r="BC52" i="17" s="1"/>
  <c r="BE52" i="17" s="1"/>
  <c r="AV103" i="17"/>
  <c r="AZ102" i="17"/>
  <c r="Y101" i="17"/>
  <c r="AA101" i="17" s="1"/>
  <c r="AW101" i="17"/>
  <c r="AY101" i="17" s="1"/>
  <c r="AK101" i="17"/>
  <c r="AM101" i="17" s="1"/>
  <c r="X102" i="17"/>
  <c r="BI101" i="17"/>
  <c r="BK101" i="17" s="1"/>
  <c r="AB101" i="17"/>
  <c r="AD50" i="17"/>
  <c r="AE50" i="17" s="1"/>
  <c r="AG50" i="17" s="1"/>
  <c r="AO51" i="16"/>
  <c r="AV103" i="16"/>
  <c r="AZ102" i="16"/>
  <c r="AW102" i="16"/>
  <c r="AY102" i="16" s="1"/>
  <c r="AB102" i="16"/>
  <c r="Y102" i="16"/>
  <c r="AA102" i="16" s="1"/>
  <c r="AK102" i="16"/>
  <c r="AM102" i="16" s="1"/>
  <c r="X103" i="16"/>
  <c r="BI102" i="16"/>
  <c r="BK102" i="16" s="1"/>
  <c r="BL103" i="16"/>
  <c r="BH104" i="16"/>
  <c r="AN101" i="16"/>
  <c r="AJ102" i="16"/>
  <c r="AF51" i="16"/>
  <c r="AR50" i="16"/>
  <c r="BN51" i="16"/>
  <c r="BO51" i="16" s="1"/>
  <c r="BQ51" i="16" s="1"/>
  <c r="BB51" i="16"/>
  <c r="BC51" i="16" s="1"/>
  <c r="BE51" i="16" s="1"/>
  <c r="AC52" i="16"/>
  <c r="E102" i="16"/>
  <c r="P102" i="16"/>
  <c r="B103" i="16"/>
  <c r="BH102" i="14"/>
  <c r="BL101" i="14"/>
  <c r="BM55" i="14"/>
  <c r="BP54" i="14"/>
  <c r="P101" i="14"/>
  <c r="E101" i="14"/>
  <c r="AV143" i="14"/>
  <c r="AZ142" i="14"/>
  <c r="AK101" i="14"/>
  <c r="AM101" i="14" s="1"/>
  <c r="AW101" i="14"/>
  <c r="AY101" i="14" s="1"/>
  <c r="BA54" i="14"/>
  <c r="BD53" i="14"/>
  <c r="AJ102" i="14"/>
  <c r="AN101" i="14"/>
  <c r="AR54" i="14"/>
  <c r="AP55" i="14"/>
  <c r="AQ55" i="14" s="1"/>
  <c r="AS55" i="14" s="1"/>
  <c r="X102" i="14"/>
  <c r="BI102" i="14" s="1"/>
  <c r="BK102" i="14" s="1"/>
  <c r="Y101" i="14"/>
  <c r="AA101" i="14" s="1"/>
  <c r="AB101" i="14"/>
  <c r="AD39" i="14"/>
  <c r="B102" i="14"/>
  <c r="AA101" i="19" l="1"/>
  <c r="B103" i="15"/>
  <c r="F102" i="15"/>
  <c r="BL103" i="19"/>
  <c r="BH104" i="19"/>
  <c r="AB102" i="19"/>
  <c r="AK102" i="19"/>
  <c r="AM102" i="19" s="1"/>
  <c r="X103" i="19"/>
  <c r="Y102" i="19"/>
  <c r="BI102" i="19"/>
  <c r="BK102" i="19" s="1"/>
  <c r="AW102" i="19"/>
  <c r="AY102" i="19" s="1"/>
  <c r="AO51" i="19"/>
  <c r="AJ103" i="19"/>
  <c r="AN102" i="19"/>
  <c r="AD50" i="19"/>
  <c r="AE50" i="19" s="1"/>
  <c r="AG50" i="19" s="1"/>
  <c r="AR50" i="19"/>
  <c r="P102" i="19"/>
  <c r="E102" i="19"/>
  <c r="B103" i="19"/>
  <c r="BN64" i="19"/>
  <c r="BO64" i="19" s="1"/>
  <c r="BQ64" i="19" s="1"/>
  <c r="AZ103" i="19"/>
  <c r="AV104" i="19"/>
  <c r="BB62" i="19"/>
  <c r="BC62" i="19" s="1"/>
  <c r="BE62" i="19" s="1"/>
  <c r="BA52" i="18"/>
  <c r="BD51" i="18"/>
  <c r="AP62" i="18"/>
  <c r="AQ62" i="18" s="1"/>
  <c r="AS62" i="18" s="1"/>
  <c r="AC51" i="18"/>
  <c r="BL102" i="18"/>
  <c r="BH103" i="18"/>
  <c r="AF50" i="18"/>
  <c r="AN103" i="18"/>
  <c r="AJ104" i="18"/>
  <c r="P102" i="18"/>
  <c r="E102" i="18"/>
  <c r="B103" i="18"/>
  <c r="BN51" i="18"/>
  <c r="BO51" i="18" s="1"/>
  <c r="BQ51" i="18" s="1"/>
  <c r="AK102" i="18"/>
  <c r="AM102" i="18" s="1"/>
  <c r="X103" i="18"/>
  <c r="Y102" i="18"/>
  <c r="AA102" i="18" s="1"/>
  <c r="AW102" i="18"/>
  <c r="AY102" i="18" s="1"/>
  <c r="AB102" i="18"/>
  <c r="BI102" i="18"/>
  <c r="BK102" i="18" s="1"/>
  <c r="AZ103" i="18"/>
  <c r="AV104" i="18"/>
  <c r="B103" i="17"/>
  <c r="E102" i="17"/>
  <c r="P102" i="17"/>
  <c r="AC51" i="17"/>
  <c r="AJ105" i="17"/>
  <c r="AN104" i="17"/>
  <c r="AF50" i="17"/>
  <c r="AV104" i="17"/>
  <c r="AZ103" i="17"/>
  <c r="BA53" i="17"/>
  <c r="BL105" i="17"/>
  <c r="BH106" i="17"/>
  <c r="BM54" i="17"/>
  <c r="BD52" i="17"/>
  <c r="BP53" i="17"/>
  <c r="BI102" i="17"/>
  <c r="BK102" i="17" s="1"/>
  <c r="AK102" i="17"/>
  <c r="AM102" i="17" s="1"/>
  <c r="AB102" i="17"/>
  <c r="Y102" i="17"/>
  <c r="AA102" i="17" s="1"/>
  <c r="X103" i="17"/>
  <c r="AW102" i="17"/>
  <c r="AY102" i="17" s="1"/>
  <c r="AP50" i="17"/>
  <c r="AQ50" i="17" s="1"/>
  <c r="AS50" i="17" s="1"/>
  <c r="BM52" i="16"/>
  <c r="BA52" i="16"/>
  <c r="BD51" i="16"/>
  <c r="P103" i="16"/>
  <c r="B104" i="16"/>
  <c r="E103" i="16"/>
  <c r="BP51" i="16"/>
  <c r="AJ103" i="16"/>
  <c r="AN102" i="16"/>
  <c r="AZ103" i="16"/>
  <c r="AV104" i="16"/>
  <c r="AK103" i="16"/>
  <c r="AM103" i="16" s="1"/>
  <c r="X104" i="16"/>
  <c r="BI103" i="16"/>
  <c r="BK103" i="16" s="1"/>
  <c r="Y103" i="16"/>
  <c r="AA103" i="16" s="1"/>
  <c r="AW103" i="16"/>
  <c r="AY103" i="16" s="1"/>
  <c r="AB103" i="16"/>
  <c r="AD52" i="16"/>
  <c r="AE52" i="16" s="1"/>
  <c r="AG52" i="16" s="1"/>
  <c r="BH105" i="16"/>
  <c r="BL104" i="16"/>
  <c r="AP51" i="16"/>
  <c r="AQ51" i="16" s="1"/>
  <c r="AS51" i="16" s="1"/>
  <c r="BH103" i="14"/>
  <c r="BL102" i="14"/>
  <c r="BN55" i="14"/>
  <c r="BO55" i="14" s="1"/>
  <c r="BQ55" i="14" s="1"/>
  <c r="P102" i="14"/>
  <c r="E102" i="14"/>
  <c r="AK102" i="14"/>
  <c r="AM102" i="14" s="1"/>
  <c r="AW102" i="14"/>
  <c r="AY102" i="14" s="1"/>
  <c r="AV144" i="14"/>
  <c r="AZ143" i="14"/>
  <c r="BB54" i="14"/>
  <c r="BC54" i="14" s="1"/>
  <c r="BE54" i="14" s="1"/>
  <c r="AJ103" i="14"/>
  <c r="AN102" i="14"/>
  <c r="AO56" i="14"/>
  <c r="AR55" i="14"/>
  <c r="X103" i="14"/>
  <c r="BI103" i="14" s="1"/>
  <c r="BK103" i="14" s="1"/>
  <c r="AB102" i="14"/>
  <c r="Y102" i="14"/>
  <c r="AA102" i="14" s="1"/>
  <c r="AE39" i="14"/>
  <c r="AG39" i="14" s="1"/>
  <c r="B103" i="14"/>
  <c r="AA102" i="19" l="1"/>
  <c r="B104" i="15"/>
  <c r="F103" i="15"/>
  <c r="BM65" i="19"/>
  <c r="X104" i="19"/>
  <c r="Y103" i="19"/>
  <c r="BI103" i="19"/>
  <c r="BK103" i="19" s="1"/>
  <c r="AW103" i="19"/>
  <c r="AY103" i="19" s="1"/>
  <c r="AK103" i="19"/>
  <c r="AM103" i="19" s="1"/>
  <c r="AB103" i="19"/>
  <c r="BA63" i="19"/>
  <c r="AP51" i="19"/>
  <c r="AQ51" i="19" s="1"/>
  <c r="AS51" i="19" s="1"/>
  <c r="BD62" i="19"/>
  <c r="AC51" i="19"/>
  <c r="AF50" i="19"/>
  <c r="BP64" i="19"/>
  <c r="AN103" i="19"/>
  <c r="AJ104" i="19"/>
  <c r="BH105" i="19"/>
  <c r="BL104" i="19"/>
  <c r="AZ104" i="19"/>
  <c r="AV105" i="19"/>
  <c r="P103" i="19"/>
  <c r="E103" i="19"/>
  <c r="B104" i="19"/>
  <c r="AV105" i="18"/>
  <c r="AZ104" i="18"/>
  <c r="BM52" i="18"/>
  <c r="AO63" i="18"/>
  <c r="BP51" i="18"/>
  <c r="AR62" i="18"/>
  <c r="AN104" i="18"/>
  <c r="AJ105" i="18"/>
  <c r="E103" i="18"/>
  <c r="B104" i="18"/>
  <c r="P103" i="18"/>
  <c r="BH104" i="18"/>
  <c r="BL103" i="18"/>
  <c r="Y103" i="18"/>
  <c r="AA103" i="18" s="1"/>
  <c r="BI103" i="18"/>
  <c r="BK103" i="18" s="1"/>
  <c r="AB103" i="18"/>
  <c r="AK103" i="18"/>
  <c r="AM103" i="18" s="1"/>
  <c r="X104" i="18"/>
  <c r="AW103" i="18"/>
  <c r="AY103" i="18" s="1"/>
  <c r="AD51" i="18"/>
  <c r="AE51" i="18" s="1"/>
  <c r="AG51" i="18" s="1"/>
  <c r="BB52" i="18"/>
  <c r="BC52" i="18" s="1"/>
  <c r="BE52" i="18" s="1"/>
  <c r="AW103" i="17"/>
  <c r="AY103" i="17" s="1"/>
  <c r="AB103" i="17"/>
  <c r="Y103" i="17"/>
  <c r="AA103" i="17" s="1"/>
  <c r="BI103" i="17"/>
  <c r="BK103" i="17" s="1"/>
  <c r="X104" i="17"/>
  <c r="AK103" i="17"/>
  <c r="AM103" i="17" s="1"/>
  <c r="AZ104" i="17"/>
  <c r="AV105" i="17"/>
  <c r="BN54" i="17"/>
  <c r="BO54" i="17" s="1"/>
  <c r="BQ54" i="17" s="1"/>
  <c r="AO51" i="17"/>
  <c r="BH107" i="17"/>
  <c r="BL106" i="17"/>
  <c r="AN105" i="17"/>
  <c r="AJ106" i="17"/>
  <c r="E103" i="17"/>
  <c r="P103" i="17"/>
  <c r="B104" i="17"/>
  <c r="AR50" i="17"/>
  <c r="BB53" i="17"/>
  <c r="BC53" i="17" s="1"/>
  <c r="BE53" i="17" s="1"/>
  <c r="AD51" i="17"/>
  <c r="AE51" i="17" s="1"/>
  <c r="AG51" i="17" s="1"/>
  <c r="AZ104" i="16"/>
  <c r="AV105" i="16"/>
  <c r="AR51" i="16"/>
  <c r="Y104" i="16"/>
  <c r="AA104" i="16" s="1"/>
  <c r="AW104" i="16"/>
  <c r="AY104" i="16" s="1"/>
  <c r="BI104" i="16"/>
  <c r="BK104" i="16" s="1"/>
  <c r="AB104" i="16"/>
  <c r="AK104" i="16"/>
  <c r="AM104" i="16" s="1"/>
  <c r="X105" i="16"/>
  <c r="AN103" i="16"/>
  <c r="AJ104" i="16"/>
  <c r="AO52" i="16"/>
  <c r="BH106" i="16"/>
  <c r="BL105" i="16"/>
  <c r="BB52" i="16"/>
  <c r="BC52" i="16" s="1"/>
  <c r="BE52" i="16" s="1"/>
  <c r="AC53" i="16"/>
  <c r="BN52" i="16"/>
  <c r="BO52" i="16" s="1"/>
  <c r="BQ52" i="16" s="1"/>
  <c r="AF52" i="16"/>
  <c r="E104" i="16"/>
  <c r="B105" i="16"/>
  <c r="P104" i="16"/>
  <c r="BH104" i="14"/>
  <c r="BL103" i="14"/>
  <c r="BM56" i="14"/>
  <c r="BP55" i="14"/>
  <c r="P103" i="14"/>
  <c r="E103" i="14"/>
  <c r="AV145" i="14"/>
  <c r="AZ144" i="14"/>
  <c r="AK103" i="14"/>
  <c r="AM103" i="14" s="1"/>
  <c r="AW103" i="14"/>
  <c r="AY103" i="14" s="1"/>
  <c r="BA55" i="14"/>
  <c r="BD54" i="14"/>
  <c r="AJ104" i="14"/>
  <c r="AN103" i="14"/>
  <c r="AP56" i="14"/>
  <c r="X104" i="14"/>
  <c r="BI104" i="14" s="1"/>
  <c r="BK104" i="14" s="1"/>
  <c r="Y103" i="14"/>
  <c r="AA103" i="14" s="1"/>
  <c r="AB103" i="14"/>
  <c r="AC40" i="14"/>
  <c r="AF39" i="14"/>
  <c r="B104" i="14"/>
  <c r="AA103" i="19" l="1"/>
  <c r="B105" i="15"/>
  <c r="F104" i="15"/>
  <c r="BI104" i="19"/>
  <c r="BK104" i="19" s="1"/>
  <c r="AW104" i="19"/>
  <c r="AY104" i="19" s="1"/>
  <c r="AB104" i="19"/>
  <c r="AK104" i="19"/>
  <c r="AM104" i="19" s="1"/>
  <c r="X105" i="19"/>
  <c r="Y104" i="19"/>
  <c r="B105" i="19"/>
  <c r="P104" i="19"/>
  <c r="E104" i="19"/>
  <c r="AN104" i="19"/>
  <c r="AJ105" i="19"/>
  <c r="AD51" i="19"/>
  <c r="BB63" i="19"/>
  <c r="BC63" i="19" s="1"/>
  <c r="BE63" i="19" s="1"/>
  <c r="AV106" i="19"/>
  <c r="AZ105" i="19"/>
  <c r="AO52" i="19"/>
  <c r="AR51" i="19"/>
  <c r="BN65" i="19"/>
  <c r="BO65" i="19" s="1"/>
  <c r="BQ65" i="19" s="1"/>
  <c r="BL105" i="19"/>
  <c r="BH106" i="19"/>
  <c r="AC52" i="18"/>
  <c r="BA53" i="18"/>
  <c r="BD52" i="18"/>
  <c r="AJ106" i="18"/>
  <c r="AN105" i="18"/>
  <c r="BL104" i="18"/>
  <c r="BH105" i="18"/>
  <c r="BN52" i="18"/>
  <c r="AF51" i="18"/>
  <c r="AP63" i="18"/>
  <c r="AQ63" i="18" s="1"/>
  <c r="AS63" i="18" s="1"/>
  <c r="P104" i="18"/>
  <c r="E104" i="18"/>
  <c r="B105" i="18"/>
  <c r="BI104" i="18"/>
  <c r="BK104" i="18" s="1"/>
  <c r="AW104" i="18"/>
  <c r="AY104" i="18" s="1"/>
  <c r="AB104" i="18"/>
  <c r="X105" i="18"/>
  <c r="Y104" i="18"/>
  <c r="AA104" i="18" s="1"/>
  <c r="AK104" i="18"/>
  <c r="AM104" i="18" s="1"/>
  <c r="AZ105" i="18"/>
  <c r="AV106" i="18"/>
  <c r="BM55" i="17"/>
  <c r="BI104" i="17"/>
  <c r="BK104" i="17" s="1"/>
  <c r="X105" i="17"/>
  <c r="AK104" i="17"/>
  <c r="AM104" i="17" s="1"/>
  <c r="Y104" i="17"/>
  <c r="AA104" i="17" s="1"/>
  <c r="AW104" i="17"/>
  <c r="AY104" i="17" s="1"/>
  <c r="AB104" i="17"/>
  <c r="AJ107" i="17"/>
  <c r="AN106" i="17"/>
  <c r="BP54" i="17"/>
  <c r="AC52" i="17"/>
  <c r="AF51" i="17"/>
  <c r="BA54" i="17"/>
  <c r="BL107" i="17"/>
  <c r="BH108" i="17"/>
  <c r="BD53" i="17"/>
  <c r="AV106" i="17"/>
  <c r="AZ105" i="17"/>
  <c r="E104" i="17"/>
  <c r="B105" i="17"/>
  <c r="P104" i="17"/>
  <c r="AP51" i="17"/>
  <c r="AQ51" i="17" s="1"/>
  <c r="AS51" i="17" s="1"/>
  <c r="BH107" i="16"/>
  <c r="BL106" i="16"/>
  <c r="B106" i="16"/>
  <c r="E105" i="16"/>
  <c r="P105" i="16"/>
  <c r="AD53" i="16"/>
  <c r="AE53" i="16" s="1"/>
  <c r="AG53" i="16" s="1"/>
  <c r="AP52" i="16"/>
  <c r="AQ52" i="16" s="1"/>
  <c r="AS52" i="16" s="1"/>
  <c r="AZ105" i="16"/>
  <c r="AV106" i="16"/>
  <c r="BA53" i="16"/>
  <c r="AJ105" i="16"/>
  <c r="AN104" i="16"/>
  <c r="BD52" i="16"/>
  <c r="BM53" i="16"/>
  <c r="BI105" i="16"/>
  <c r="BK105" i="16" s="1"/>
  <c r="AK105" i="16"/>
  <c r="AM105" i="16" s="1"/>
  <c r="AW105" i="16"/>
  <c r="AY105" i="16" s="1"/>
  <c r="AB105" i="16"/>
  <c r="X106" i="16"/>
  <c r="Y105" i="16"/>
  <c r="AA105" i="16" s="1"/>
  <c r="BP52" i="16"/>
  <c r="BH105" i="14"/>
  <c r="BL104" i="14"/>
  <c r="BN56" i="14"/>
  <c r="BO56" i="14" s="1"/>
  <c r="BQ56" i="14" s="1"/>
  <c r="P104" i="14"/>
  <c r="E104" i="14"/>
  <c r="AK104" i="14"/>
  <c r="AM104" i="14" s="1"/>
  <c r="AW104" i="14"/>
  <c r="AY104" i="14" s="1"/>
  <c r="AV146" i="14"/>
  <c r="AZ145" i="14"/>
  <c r="BB55" i="14"/>
  <c r="BC55" i="14" s="1"/>
  <c r="BE55" i="14" s="1"/>
  <c r="AJ105" i="14"/>
  <c r="AN104" i="14"/>
  <c r="AQ56" i="14"/>
  <c r="AS56" i="14" s="1"/>
  <c r="AO57" i="14" s="1"/>
  <c r="X105" i="14"/>
  <c r="BI105" i="14" s="1"/>
  <c r="BK105" i="14" s="1"/>
  <c r="Y104" i="14"/>
  <c r="AA104" i="14" s="1"/>
  <c r="AB104" i="14"/>
  <c r="AD40" i="14"/>
  <c r="B105" i="14"/>
  <c r="AA104" i="19" l="1"/>
  <c r="B106" i="15"/>
  <c r="F105" i="15"/>
  <c r="AW105" i="19"/>
  <c r="AY105" i="19" s="1"/>
  <c r="AB105" i="19"/>
  <c r="AK105" i="19"/>
  <c r="AM105" i="19" s="1"/>
  <c r="X106" i="19"/>
  <c r="Y105" i="19"/>
  <c r="BI105" i="19"/>
  <c r="BK105" i="19" s="1"/>
  <c r="AN105" i="19"/>
  <c r="AJ106" i="19"/>
  <c r="AZ106" i="19"/>
  <c r="AV107" i="19"/>
  <c r="BL106" i="19"/>
  <c r="BH107" i="19"/>
  <c r="AP52" i="19"/>
  <c r="AQ52" i="19" s="1"/>
  <c r="AS52" i="19" s="1"/>
  <c r="BA64" i="19"/>
  <c r="BD63" i="19"/>
  <c r="BM66" i="19"/>
  <c r="P105" i="19"/>
  <c r="E105" i="19"/>
  <c r="B106" i="19"/>
  <c r="BP65" i="19"/>
  <c r="AE51" i="19"/>
  <c r="AG51" i="19" s="1"/>
  <c r="AZ106" i="18"/>
  <c r="AV107" i="18"/>
  <c r="P105" i="18"/>
  <c r="B106" i="18"/>
  <c r="E105" i="18"/>
  <c r="AN106" i="18"/>
  <c r="AJ107" i="18"/>
  <c r="BL105" i="18"/>
  <c r="BH106" i="18"/>
  <c r="AW105" i="18"/>
  <c r="AY105" i="18" s="1"/>
  <c r="AB105" i="18"/>
  <c r="AK105" i="18"/>
  <c r="AM105" i="18" s="1"/>
  <c r="X106" i="18"/>
  <c r="BI105" i="18"/>
  <c r="BK105" i="18" s="1"/>
  <c r="Y105" i="18"/>
  <c r="AA105" i="18" s="1"/>
  <c r="BB53" i="18"/>
  <c r="BC53" i="18" s="1"/>
  <c r="BE53" i="18" s="1"/>
  <c r="AO64" i="18"/>
  <c r="AD52" i="18"/>
  <c r="AE52" i="18" s="1"/>
  <c r="AG52" i="18" s="1"/>
  <c r="AR63" i="18"/>
  <c r="BO52" i="18"/>
  <c r="BQ52" i="18" s="1"/>
  <c r="AO52" i="17"/>
  <c r="BB54" i="17"/>
  <c r="BC54" i="17" s="1"/>
  <c r="BE54" i="17" s="1"/>
  <c r="AW105" i="17"/>
  <c r="AY105" i="17" s="1"/>
  <c r="X106" i="17"/>
  <c r="AB105" i="17"/>
  <c r="AK105" i="17"/>
  <c r="AM105" i="17" s="1"/>
  <c r="Y105" i="17"/>
  <c r="AA105" i="17" s="1"/>
  <c r="BI105" i="17"/>
  <c r="BK105" i="17" s="1"/>
  <c r="AR51" i="17"/>
  <c r="AZ106" i="17"/>
  <c r="AV107" i="17"/>
  <c r="AN107" i="17"/>
  <c r="AJ108" i="17"/>
  <c r="P105" i="17"/>
  <c r="E105" i="17"/>
  <c r="B106" i="17"/>
  <c r="BN55" i="17"/>
  <c r="BO55" i="17" s="1"/>
  <c r="BQ55" i="17" s="1"/>
  <c r="BH109" i="17"/>
  <c r="BL108" i="17"/>
  <c r="AD52" i="17"/>
  <c r="AE52" i="17" s="1"/>
  <c r="AG52" i="17" s="1"/>
  <c r="AO53" i="16"/>
  <c r="AR52" i="16"/>
  <c r="AN105" i="16"/>
  <c r="AJ106" i="16"/>
  <c r="BN53" i="16"/>
  <c r="BO53" i="16" s="1"/>
  <c r="BQ53" i="16" s="1"/>
  <c r="BB53" i="16"/>
  <c r="BC53" i="16" s="1"/>
  <c r="BE53" i="16" s="1"/>
  <c r="AC54" i="16"/>
  <c r="BH108" i="16"/>
  <c r="BL107" i="16"/>
  <c r="AF53" i="16"/>
  <c r="AV107" i="16"/>
  <c r="AZ106" i="16"/>
  <c r="AW106" i="16"/>
  <c r="AY106" i="16" s="1"/>
  <c r="Y106" i="16"/>
  <c r="AA106" i="16" s="1"/>
  <c r="BI106" i="16"/>
  <c r="BK106" i="16" s="1"/>
  <c r="AK106" i="16"/>
  <c r="AM106" i="16" s="1"/>
  <c r="X107" i="16"/>
  <c r="AB106" i="16"/>
  <c r="E106" i="16"/>
  <c r="B107" i="16"/>
  <c r="P106" i="16"/>
  <c r="BH106" i="14"/>
  <c r="BL105" i="14"/>
  <c r="BM57" i="14"/>
  <c r="BP56" i="14"/>
  <c r="P105" i="14"/>
  <c r="E105" i="14"/>
  <c r="AV147" i="14"/>
  <c r="AZ146" i="14"/>
  <c r="AK105" i="14"/>
  <c r="AM105" i="14" s="1"/>
  <c r="AW105" i="14"/>
  <c r="AY105" i="14" s="1"/>
  <c r="BA56" i="14"/>
  <c r="BD55" i="14"/>
  <c r="AJ106" i="14"/>
  <c r="AN105" i="14"/>
  <c r="AR56" i="14"/>
  <c r="AP57" i="14"/>
  <c r="AQ57" i="14" s="1"/>
  <c r="AS57" i="14" s="1"/>
  <c r="X106" i="14"/>
  <c r="BI106" i="14" s="1"/>
  <c r="BK106" i="14" s="1"/>
  <c r="AB105" i="14"/>
  <c r="Y105" i="14"/>
  <c r="AA105" i="14" s="1"/>
  <c r="AE40" i="14"/>
  <c r="AG40" i="14" s="1"/>
  <c r="B106" i="14"/>
  <c r="AA105" i="19" l="1"/>
  <c r="B107" i="15"/>
  <c r="F106" i="15"/>
  <c r="AZ107" i="19"/>
  <c r="AV108" i="19"/>
  <c r="AC52" i="19"/>
  <c r="BN66" i="19"/>
  <c r="BO66" i="19" s="1"/>
  <c r="BQ66" i="19" s="1"/>
  <c r="BB64" i="19"/>
  <c r="BC64" i="19" s="1"/>
  <c r="BE64" i="19" s="1"/>
  <c r="AB106" i="19"/>
  <c r="AK106" i="19"/>
  <c r="AM106" i="19" s="1"/>
  <c r="X107" i="19"/>
  <c r="Y106" i="19"/>
  <c r="BI106" i="19"/>
  <c r="BK106" i="19" s="1"/>
  <c r="AW106" i="19"/>
  <c r="AY106" i="19" s="1"/>
  <c r="AO53" i="19"/>
  <c r="P106" i="19"/>
  <c r="E106" i="19"/>
  <c r="B107" i="19"/>
  <c r="AR52" i="19"/>
  <c r="BL107" i="19"/>
  <c r="BH108" i="19"/>
  <c r="AJ107" i="19"/>
  <c r="AN106" i="19"/>
  <c r="AF51" i="19"/>
  <c r="AP64" i="18"/>
  <c r="AQ64" i="18" s="1"/>
  <c r="AS64" i="18" s="1"/>
  <c r="BM53" i="18"/>
  <c r="AN107" i="18"/>
  <c r="AJ108" i="18"/>
  <c r="BA54" i="18"/>
  <c r="BL106" i="18"/>
  <c r="BH107" i="18"/>
  <c r="P106" i="18"/>
  <c r="E106" i="18"/>
  <c r="B107" i="18"/>
  <c r="BD53" i="18"/>
  <c r="AC53" i="18"/>
  <c r="AZ107" i="18"/>
  <c r="AV108" i="18"/>
  <c r="AF52" i="18"/>
  <c r="AK106" i="18"/>
  <c r="AM106" i="18" s="1"/>
  <c r="X107" i="18"/>
  <c r="Y106" i="18"/>
  <c r="AA106" i="18" s="1"/>
  <c r="AW106" i="18"/>
  <c r="AY106" i="18" s="1"/>
  <c r="AB106" i="18"/>
  <c r="BI106" i="18"/>
  <c r="BK106" i="18" s="1"/>
  <c r="BP52" i="18"/>
  <c r="AC53" i="17"/>
  <c r="BL109" i="17"/>
  <c r="BH110" i="17"/>
  <c r="B107" i="17"/>
  <c r="P106" i="17"/>
  <c r="E106" i="17"/>
  <c r="AB106" i="17"/>
  <c r="AK106" i="17"/>
  <c r="AM106" i="17" s="1"/>
  <c r="BI106" i="17"/>
  <c r="BK106" i="17" s="1"/>
  <c r="Y106" i="17"/>
  <c r="AA106" i="17" s="1"/>
  <c r="X107" i="17"/>
  <c r="AW106" i="17"/>
  <c r="AY106" i="17" s="1"/>
  <c r="AV108" i="17"/>
  <c r="AZ107" i="17"/>
  <c r="BA55" i="17"/>
  <c r="AF52" i="17"/>
  <c r="BM56" i="17"/>
  <c r="AJ109" i="17"/>
  <c r="AN108" i="17"/>
  <c r="BD54" i="17"/>
  <c r="BP55" i="17"/>
  <c r="AP52" i="17"/>
  <c r="AQ52" i="17" s="1"/>
  <c r="AS52" i="17" s="1"/>
  <c r="AV108" i="16"/>
  <c r="AZ107" i="16"/>
  <c r="AD54" i="16"/>
  <c r="AE54" i="16" s="1"/>
  <c r="AG54" i="16" s="1"/>
  <c r="AK107" i="16"/>
  <c r="AM107" i="16" s="1"/>
  <c r="BI107" i="16"/>
  <c r="BK107" i="16" s="1"/>
  <c r="AB107" i="16"/>
  <c r="Y107" i="16"/>
  <c r="AA107" i="16" s="1"/>
  <c r="X108" i="16"/>
  <c r="AW107" i="16"/>
  <c r="AY107" i="16" s="1"/>
  <c r="BA54" i="16"/>
  <c r="BD53" i="16"/>
  <c r="BM54" i="16"/>
  <c r="E107" i="16"/>
  <c r="P107" i="16"/>
  <c r="B108" i="16"/>
  <c r="BP53" i="16"/>
  <c r="AN106" i="16"/>
  <c r="AJ107" i="16"/>
  <c r="BH109" i="16"/>
  <c r="BL108" i="16"/>
  <c r="AP53" i="16"/>
  <c r="AQ53" i="16" s="1"/>
  <c r="AS53" i="16" s="1"/>
  <c r="BH107" i="14"/>
  <c r="BL106" i="14"/>
  <c r="BN57" i="14"/>
  <c r="BO57" i="14" s="1"/>
  <c r="BQ57" i="14" s="1"/>
  <c r="P106" i="14"/>
  <c r="E106" i="14"/>
  <c r="AK106" i="14"/>
  <c r="AM106" i="14" s="1"/>
  <c r="AW106" i="14"/>
  <c r="AY106" i="14" s="1"/>
  <c r="AV148" i="14"/>
  <c r="AZ147" i="14"/>
  <c r="BB56" i="14"/>
  <c r="BC56" i="14" s="1"/>
  <c r="BE56" i="14" s="1"/>
  <c r="AJ107" i="14"/>
  <c r="AN106" i="14"/>
  <c r="AO58" i="14"/>
  <c r="AR57" i="14"/>
  <c r="X107" i="14"/>
  <c r="BI107" i="14" s="1"/>
  <c r="BK107" i="14" s="1"/>
  <c r="AB106" i="14"/>
  <c r="Y106" i="14"/>
  <c r="AA106" i="14" s="1"/>
  <c r="AC41" i="14"/>
  <c r="AF40" i="14"/>
  <c r="B107" i="14"/>
  <c r="AA106" i="19" l="1"/>
  <c r="B108" i="15"/>
  <c r="F107" i="15"/>
  <c r="BM67" i="19"/>
  <c r="BP66" i="19"/>
  <c r="AP53" i="19"/>
  <c r="AQ53" i="19" s="1"/>
  <c r="AS53" i="19" s="1"/>
  <c r="X108" i="19"/>
  <c r="Y107" i="19"/>
  <c r="BI107" i="19"/>
  <c r="BK107" i="19" s="1"/>
  <c r="AW107" i="19"/>
  <c r="AY107" i="19" s="1"/>
  <c r="AK107" i="19"/>
  <c r="AM107" i="19" s="1"/>
  <c r="AB107" i="19"/>
  <c r="AD52" i="19"/>
  <c r="AE52" i="19" s="1"/>
  <c r="AG52" i="19" s="1"/>
  <c r="P107" i="19"/>
  <c r="E107" i="19"/>
  <c r="B108" i="19"/>
  <c r="BA65" i="19"/>
  <c r="AZ108" i="19"/>
  <c r="AV109" i="19"/>
  <c r="AN107" i="19"/>
  <c r="AJ108" i="19"/>
  <c r="BD64" i="19"/>
  <c r="BH109" i="19"/>
  <c r="BL108" i="19"/>
  <c r="AN108" i="18"/>
  <c r="AJ109" i="18"/>
  <c r="E107" i="18"/>
  <c r="B108" i="18"/>
  <c r="P107" i="18"/>
  <c r="Y107" i="18"/>
  <c r="AA107" i="18" s="1"/>
  <c r="BI107" i="18"/>
  <c r="BK107" i="18" s="1"/>
  <c r="AB107" i="18"/>
  <c r="AK107" i="18"/>
  <c r="AM107" i="18" s="1"/>
  <c r="X108" i="18"/>
  <c r="AW107" i="18"/>
  <c r="AY107" i="18" s="1"/>
  <c r="BH108" i="18"/>
  <c r="BL107" i="18"/>
  <c r="BN53" i="18"/>
  <c r="BO53" i="18" s="1"/>
  <c r="BQ53" i="18" s="1"/>
  <c r="AD53" i="18"/>
  <c r="AE53" i="18" s="1"/>
  <c r="AG53" i="18" s="1"/>
  <c r="BB54" i="18"/>
  <c r="BC54" i="18" s="1"/>
  <c r="BE54" i="18" s="1"/>
  <c r="AO65" i="18"/>
  <c r="AV109" i="18"/>
  <c r="AZ108" i="18"/>
  <c r="AR64" i="18"/>
  <c r="BN56" i="17"/>
  <c r="BO56" i="17" s="1"/>
  <c r="BQ56" i="17" s="1"/>
  <c r="AZ108" i="17"/>
  <c r="AV109" i="17"/>
  <c r="X108" i="17"/>
  <c r="Y107" i="17"/>
  <c r="AA107" i="17" s="1"/>
  <c r="AW107" i="17"/>
  <c r="AY107" i="17" s="1"/>
  <c r="BI107" i="17"/>
  <c r="BK107" i="17" s="1"/>
  <c r="AK107" i="17"/>
  <c r="AM107" i="17" s="1"/>
  <c r="AB107" i="17"/>
  <c r="P107" i="17"/>
  <c r="E107" i="17"/>
  <c r="B108" i="17"/>
  <c r="AO53" i="17"/>
  <c r="BB55" i="17"/>
  <c r="BC55" i="17" s="1"/>
  <c r="BE55" i="17" s="1"/>
  <c r="BH111" i="17"/>
  <c r="BL110" i="17"/>
  <c r="AR52" i="17"/>
  <c r="AN109" i="17"/>
  <c r="AJ110" i="17"/>
  <c r="AD53" i="17"/>
  <c r="AE53" i="17" s="1"/>
  <c r="AG53" i="17" s="1"/>
  <c r="AO54" i="16"/>
  <c r="AR53" i="16"/>
  <c r="BN54" i="16"/>
  <c r="BB54" i="16"/>
  <c r="BC54" i="16" s="1"/>
  <c r="BE54" i="16" s="1"/>
  <c r="BH110" i="16"/>
  <c r="BL109" i="16"/>
  <c r="E108" i="16"/>
  <c r="B109" i="16"/>
  <c r="P108" i="16"/>
  <c r="AC55" i="16"/>
  <c r="AF54" i="16"/>
  <c r="Y108" i="16"/>
  <c r="AA108" i="16" s="1"/>
  <c r="AW108" i="16"/>
  <c r="AY108" i="16" s="1"/>
  <c r="BI108" i="16"/>
  <c r="BK108" i="16" s="1"/>
  <c r="X109" i="16"/>
  <c r="AB108" i="16"/>
  <c r="AK108" i="16"/>
  <c r="AM108" i="16" s="1"/>
  <c r="AJ108" i="16"/>
  <c r="AN107" i="16"/>
  <c r="AV109" i="16"/>
  <c r="AZ108" i="16"/>
  <c r="BH108" i="14"/>
  <c r="BL107" i="14"/>
  <c r="BM58" i="14"/>
  <c r="BP57" i="14"/>
  <c r="P107" i="14"/>
  <c r="E107" i="14"/>
  <c r="AK107" i="14"/>
  <c r="AM107" i="14" s="1"/>
  <c r="AW107" i="14"/>
  <c r="AY107" i="14" s="1"/>
  <c r="AV149" i="14"/>
  <c r="AZ148" i="14"/>
  <c r="BA57" i="14"/>
  <c r="BD56" i="14"/>
  <c r="AJ108" i="14"/>
  <c r="AN107" i="14"/>
  <c r="AP58" i="14"/>
  <c r="AQ58" i="14" s="1"/>
  <c r="AS58" i="14" s="1"/>
  <c r="X108" i="14"/>
  <c r="BI108" i="14" s="1"/>
  <c r="BK108" i="14" s="1"/>
  <c r="AB107" i="14"/>
  <c r="Y107" i="14"/>
  <c r="AA107" i="14" s="1"/>
  <c r="AD41" i="14"/>
  <c r="B108" i="14"/>
  <c r="AA107" i="19" l="1"/>
  <c r="B109" i="15"/>
  <c r="F108" i="15"/>
  <c r="AO54" i="19"/>
  <c r="AC53" i="19"/>
  <c r="BH110" i="19"/>
  <c r="BL109" i="19"/>
  <c r="BB65" i="19"/>
  <c r="BC65" i="19" s="1"/>
  <c r="BE65" i="19" s="1"/>
  <c r="BI108" i="19"/>
  <c r="BK108" i="19" s="1"/>
  <c r="AW108" i="19"/>
  <c r="AY108" i="19" s="1"/>
  <c r="AB108" i="19"/>
  <c r="AK108" i="19"/>
  <c r="AM108" i="19" s="1"/>
  <c r="Y108" i="19"/>
  <c r="X109" i="19"/>
  <c r="AV110" i="19"/>
  <c r="AZ109" i="19"/>
  <c r="AF52" i="19"/>
  <c r="AR53" i="19"/>
  <c r="B109" i="19"/>
  <c r="P108" i="19"/>
  <c r="E108" i="19"/>
  <c r="AN108" i="19"/>
  <c r="AJ109" i="19"/>
  <c r="BN67" i="19"/>
  <c r="BO67" i="19" s="1"/>
  <c r="BQ67" i="19" s="1"/>
  <c r="BM54" i="18"/>
  <c r="AZ109" i="18"/>
  <c r="AV110" i="18"/>
  <c r="AC54" i="18"/>
  <c r="AF53" i="18"/>
  <c r="BP53" i="18"/>
  <c r="P108" i="18"/>
  <c r="E108" i="18"/>
  <c r="B109" i="18"/>
  <c r="AP65" i="18"/>
  <c r="AQ65" i="18" s="1"/>
  <c r="AS65" i="18" s="1"/>
  <c r="BI108" i="18"/>
  <c r="BK108" i="18" s="1"/>
  <c r="AW108" i="18"/>
  <c r="AY108" i="18" s="1"/>
  <c r="AB108" i="18"/>
  <c r="X109" i="18"/>
  <c r="Y108" i="18"/>
  <c r="AA108" i="18" s="1"/>
  <c r="AK108" i="18"/>
  <c r="AM108" i="18" s="1"/>
  <c r="AJ110" i="18"/>
  <c r="AN109" i="18"/>
  <c r="BA55" i="18"/>
  <c r="BL108" i="18"/>
  <c r="BH109" i="18"/>
  <c r="BD54" i="18"/>
  <c r="AC54" i="17"/>
  <c r="AP53" i="17"/>
  <c r="AQ53" i="17" s="1"/>
  <c r="AS53" i="17" s="1"/>
  <c r="AF53" i="17"/>
  <c r="BL111" i="17"/>
  <c r="BH112" i="17"/>
  <c r="B109" i="17"/>
  <c r="P108" i="17"/>
  <c r="E108" i="17"/>
  <c r="AJ111" i="17"/>
  <c r="AN110" i="17"/>
  <c r="BI108" i="17"/>
  <c r="BK108" i="17" s="1"/>
  <c r="AB108" i="17"/>
  <c r="AK108" i="17"/>
  <c r="AM108" i="17" s="1"/>
  <c r="X109" i="17"/>
  <c r="AW108" i="17"/>
  <c r="AY108" i="17" s="1"/>
  <c r="Y108" i="17"/>
  <c r="AA108" i="17" s="1"/>
  <c r="BA56" i="17"/>
  <c r="BM57" i="17"/>
  <c r="BD55" i="17"/>
  <c r="BP56" i="17"/>
  <c r="AV110" i="17"/>
  <c r="AZ109" i="17"/>
  <c r="AV110" i="16"/>
  <c r="AZ109" i="16"/>
  <c r="BH111" i="16"/>
  <c r="BL110" i="16"/>
  <c r="BI109" i="16"/>
  <c r="BK109" i="16" s="1"/>
  <c r="AK109" i="16"/>
  <c r="AM109" i="16" s="1"/>
  <c r="X110" i="16"/>
  <c r="AB109" i="16"/>
  <c r="AW109" i="16"/>
  <c r="AY109" i="16" s="1"/>
  <c r="Y109" i="16"/>
  <c r="AA109" i="16" s="1"/>
  <c r="AD55" i="16"/>
  <c r="AE55" i="16" s="1"/>
  <c r="AG55" i="16" s="1"/>
  <c r="BA55" i="16"/>
  <c r="BD54" i="16"/>
  <c r="AP54" i="16"/>
  <c r="B110" i="16"/>
  <c r="P109" i="16"/>
  <c r="E109" i="16"/>
  <c r="AJ109" i="16"/>
  <c r="AN108" i="16"/>
  <c r="BO54" i="16"/>
  <c r="BQ54" i="16" s="1"/>
  <c r="BH109" i="14"/>
  <c r="BL108" i="14"/>
  <c r="BN58" i="14"/>
  <c r="P108" i="14"/>
  <c r="E108" i="14"/>
  <c r="AV150" i="14"/>
  <c r="AZ149" i="14"/>
  <c r="AK108" i="14"/>
  <c r="AM108" i="14" s="1"/>
  <c r="AW108" i="14"/>
  <c r="AY108" i="14" s="1"/>
  <c r="BB57" i="14"/>
  <c r="BC57" i="14" s="1"/>
  <c r="BE57" i="14" s="1"/>
  <c r="AJ109" i="14"/>
  <c r="AN108" i="14"/>
  <c r="AR58" i="14"/>
  <c r="AO59" i="14"/>
  <c r="X109" i="14"/>
  <c r="BI109" i="14" s="1"/>
  <c r="BK109" i="14" s="1"/>
  <c r="AB108" i="14"/>
  <c r="Y108" i="14"/>
  <c r="AA108" i="14" s="1"/>
  <c r="AE41" i="14"/>
  <c r="AG41" i="14" s="1"/>
  <c r="B109" i="14"/>
  <c r="AA108" i="19" l="1"/>
  <c r="B110" i="15"/>
  <c r="F109" i="15"/>
  <c r="BM68" i="19"/>
  <c r="AZ110" i="19"/>
  <c r="AV111" i="19"/>
  <c r="AN109" i="19"/>
  <c r="AJ110" i="19"/>
  <c r="BD65" i="19"/>
  <c r="AW109" i="19"/>
  <c r="AY109" i="19" s="1"/>
  <c r="AB109" i="19"/>
  <c r="AK109" i="19"/>
  <c r="AM109" i="19" s="1"/>
  <c r="X110" i="19"/>
  <c r="Y109" i="19"/>
  <c r="BI109" i="19"/>
  <c r="BK109" i="19" s="1"/>
  <c r="BH111" i="19"/>
  <c r="BL110" i="19"/>
  <c r="BP67" i="19"/>
  <c r="AD53" i="19"/>
  <c r="AE53" i="19" s="1"/>
  <c r="AG53" i="19" s="1"/>
  <c r="AP54" i="19"/>
  <c r="AQ54" i="19" s="1"/>
  <c r="AS54" i="19" s="1"/>
  <c r="BA66" i="19"/>
  <c r="P109" i="19"/>
  <c r="E109" i="19"/>
  <c r="B110" i="19"/>
  <c r="AO66" i="18"/>
  <c r="AN110" i="18"/>
  <c r="AJ111" i="18"/>
  <c r="BL109" i="18"/>
  <c r="BH110" i="18"/>
  <c r="AR65" i="18"/>
  <c r="AD54" i="18"/>
  <c r="P109" i="18"/>
  <c r="B110" i="18"/>
  <c r="E109" i="18"/>
  <c r="AZ110" i="18"/>
  <c r="AV111" i="18"/>
  <c r="BB55" i="18"/>
  <c r="BC55" i="18" s="1"/>
  <c r="BE55" i="18" s="1"/>
  <c r="AW109" i="18"/>
  <c r="AY109" i="18" s="1"/>
  <c r="AB109" i="18"/>
  <c r="AK109" i="18"/>
  <c r="AM109" i="18" s="1"/>
  <c r="X110" i="18"/>
  <c r="BI109" i="18"/>
  <c r="BK109" i="18" s="1"/>
  <c r="Y109" i="18"/>
  <c r="AA109" i="18" s="1"/>
  <c r="BN54" i="18"/>
  <c r="BB56" i="17"/>
  <c r="BC56" i="17" s="1"/>
  <c r="BE56" i="17" s="1"/>
  <c r="P109" i="17"/>
  <c r="E109" i="17"/>
  <c r="B110" i="17"/>
  <c r="AO54" i="17"/>
  <c r="AZ110" i="17"/>
  <c r="AV111" i="17"/>
  <c r="AN111" i="17"/>
  <c r="AJ112" i="17"/>
  <c r="BH113" i="17"/>
  <c r="BL112" i="17"/>
  <c r="AR53" i="17"/>
  <c r="AW109" i="17"/>
  <c r="AY109" i="17" s="1"/>
  <c r="X110" i="17"/>
  <c r="Y109" i="17"/>
  <c r="AA109" i="17" s="1"/>
  <c r="AK109" i="17"/>
  <c r="AM109" i="17" s="1"/>
  <c r="BI109" i="17"/>
  <c r="BK109" i="17" s="1"/>
  <c r="AB109" i="17"/>
  <c r="AD54" i="17"/>
  <c r="AE54" i="17" s="1"/>
  <c r="AG54" i="17" s="1"/>
  <c r="BN57" i="17"/>
  <c r="BO57" i="17" s="1"/>
  <c r="BQ57" i="17" s="1"/>
  <c r="AC56" i="16"/>
  <c r="E110" i="16"/>
  <c r="B111" i="16"/>
  <c r="P110" i="16"/>
  <c r="BB55" i="16"/>
  <c r="BC55" i="16" s="1"/>
  <c r="BE55" i="16" s="1"/>
  <c r="BM55" i="16"/>
  <c r="AF55" i="16"/>
  <c r="BH112" i="16"/>
  <c r="BL111" i="16"/>
  <c r="AV111" i="16"/>
  <c r="AZ110" i="16"/>
  <c r="AJ110" i="16"/>
  <c r="AN109" i="16"/>
  <c r="BP54" i="16"/>
  <c r="AQ54" i="16"/>
  <c r="AS54" i="16" s="1"/>
  <c r="AW110" i="16"/>
  <c r="AY110" i="16" s="1"/>
  <c r="Y110" i="16"/>
  <c r="AA110" i="16" s="1"/>
  <c r="AK110" i="16"/>
  <c r="AM110" i="16" s="1"/>
  <c r="BI110" i="16"/>
  <c r="BK110" i="16" s="1"/>
  <c r="X111" i="16"/>
  <c r="AB110" i="16"/>
  <c r="BH110" i="14"/>
  <c r="BL109" i="14"/>
  <c r="BO58" i="14"/>
  <c r="BQ58" i="14" s="1"/>
  <c r="BM59" i="14" s="1"/>
  <c r="P109" i="14"/>
  <c r="E109" i="14"/>
  <c r="AK109" i="14"/>
  <c r="AM109" i="14" s="1"/>
  <c r="AW109" i="14"/>
  <c r="AY109" i="14" s="1"/>
  <c r="AV151" i="14"/>
  <c r="AZ150" i="14"/>
  <c r="BA58" i="14"/>
  <c r="BD57" i="14"/>
  <c r="AJ110" i="14"/>
  <c r="AN109" i="14"/>
  <c r="AP59" i="14"/>
  <c r="AQ59" i="14" s="1"/>
  <c r="AS59" i="14" s="1"/>
  <c r="X110" i="14"/>
  <c r="BI110" i="14" s="1"/>
  <c r="BK110" i="14" s="1"/>
  <c r="Y109" i="14"/>
  <c r="AA109" i="14" s="1"/>
  <c r="AB109" i="14"/>
  <c r="AC42" i="14"/>
  <c r="AF41" i="14"/>
  <c r="B110" i="14"/>
  <c r="AA109" i="19" l="1"/>
  <c r="B111" i="15"/>
  <c r="F110" i="15"/>
  <c r="AC54" i="19"/>
  <c r="AJ111" i="19"/>
  <c r="AN110" i="19"/>
  <c r="BL111" i="19"/>
  <c r="BH112" i="19"/>
  <c r="BB66" i="19"/>
  <c r="BC66" i="19" s="1"/>
  <c r="BE66" i="19" s="1"/>
  <c r="AF53" i="19"/>
  <c r="AV112" i="19"/>
  <c r="AZ111" i="19"/>
  <c r="B111" i="19"/>
  <c r="P110" i="19"/>
  <c r="E110" i="19"/>
  <c r="AO55" i="19"/>
  <c r="BI110" i="19"/>
  <c r="BK110" i="19" s="1"/>
  <c r="AB110" i="19"/>
  <c r="AK110" i="19"/>
  <c r="AM110" i="19" s="1"/>
  <c r="Y110" i="19"/>
  <c r="X111" i="19"/>
  <c r="AW110" i="19"/>
  <c r="AY110" i="19" s="1"/>
  <c r="AR54" i="19"/>
  <c r="BN68" i="19"/>
  <c r="BO68" i="19" s="1"/>
  <c r="BQ68" i="19" s="1"/>
  <c r="BA56" i="18"/>
  <c r="BH111" i="18"/>
  <c r="BL110" i="18"/>
  <c r="BD55" i="18"/>
  <c r="P110" i="18"/>
  <c r="E110" i="18"/>
  <c r="B111" i="18"/>
  <c r="AN111" i="18"/>
  <c r="AJ112" i="18"/>
  <c r="AV112" i="18"/>
  <c r="AZ111" i="18"/>
  <c r="AP66" i="18"/>
  <c r="AQ66" i="18" s="1"/>
  <c r="AS66" i="18" s="1"/>
  <c r="BO54" i="18"/>
  <c r="BQ54" i="18" s="1"/>
  <c r="AK110" i="18"/>
  <c r="AM110" i="18" s="1"/>
  <c r="X111" i="18"/>
  <c r="Y110" i="18"/>
  <c r="AA110" i="18" s="1"/>
  <c r="BI110" i="18"/>
  <c r="BK110" i="18" s="1"/>
  <c r="AW110" i="18"/>
  <c r="AY110" i="18" s="1"/>
  <c r="AB110" i="18"/>
  <c r="AE54" i="18"/>
  <c r="AG54" i="18" s="1"/>
  <c r="AB110" i="17"/>
  <c r="AK110" i="17"/>
  <c r="AM110" i="17" s="1"/>
  <c r="Y110" i="17"/>
  <c r="AA110" i="17" s="1"/>
  <c r="AW110" i="17"/>
  <c r="AY110" i="17" s="1"/>
  <c r="X111" i="17"/>
  <c r="BI110" i="17"/>
  <c r="BK110" i="17" s="1"/>
  <c r="AV112" i="17"/>
  <c r="AZ111" i="17"/>
  <c r="AC55" i="17"/>
  <c r="AP54" i="17"/>
  <c r="AQ54" i="17" s="1"/>
  <c r="AS54" i="17" s="1"/>
  <c r="AF54" i="17"/>
  <c r="BL113" i="17"/>
  <c r="BH114" i="17"/>
  <c r="B111" i="17"/>
  <c r="E110" i="17"/>
  <c r="P110" i="17"/>
  <c r="AJ113" i="17"/>
  <c r="AN112" i="17"/>
  <c r="BM58" i="17"/>
  <c r="BA57" i="17"/>
  <c r="BP57" i="17"/>
  <c r="BD56" i="17"/>
  <c r="AK111" i="16"/>
  <c r="AM111" i="16" s="1"/>
  <c r="BI111" i="16"/>
  <c r="BK111" i="16" s="1"/>
  <c r="X112" i="16"/>
  <c r="AB111" i="16"/>
  <c r="Y111" i="16"/>
  <c r="AA111" i="16" s="1"/>
  <c r="AW111" i="16"/>
  <c r="AY111" i="16" s="1"/>
  <c r="AN110" i="16"/>
  <c r="AJ111" i="16"/>
  <c r="E111" i="16"/>
  <c r="P111" i="16"/>
  <c r="B112" i="16"/>
  <c r="AV112" i="16"/>
  <c r="AZ111" i="16"/>
  <c r="BH113" i="16"/>
  <c r="BL112" i="16"/>
  <c r="AR54" i="16"/>
  <c r="AO55" i="16"/>
  <c r="BA56" i="16"/>
  <c r="AD56" i="16"/>
  <c r="AE56" i="16" s="1"/>
  <c r="AG56" i="16" s="1"/>
  <c r="BN55" i="16"/>
  <c r="BO55" i="16" s="1"/>
  <c r="BQ55" i="16" s="1"/>
  <c r="BD55" i="16"/>
  <c r="BH111" i="14"/>
  <c r="BL110" i="14"/>
  <c r="BP58" i="14"/>
  <c r="BN59" i="14"/>
  <c r="BO59" i="14" s="1"/>
  <c r="BQ59" i="14" s="1"/>
  <c r="P110" i="14"/>
  <c r="E110" i="14"/>
  <c r="AV152" i="14"/>
  <c r="AZ151" i="14"/>
  <c r="AK110" i="14"/>
  <c r="AM110" i="14" s="1"/>
  <c r="AW110" i="14"/>
  <c r="AY110" i="14" s="1"/>
  <c r="BB58" i="14"/>
  <c r="BC58" i="14" s="1"/>
  <c r="BE58" i="14" s="1"/>
  <c r="AJ111" i="14"/>
  <c r="AN110" i="14"/>
  <c r="AO60" i="14"/>
  <c r="AR59" i="14"/>
  <c r="X111" i="14"/>
  <c r="BI111" i="14" s="1"/>
  <c r="BK111" i="14" s="1"/>
  <c r="AB110" i="14"/>
  <c r="Y110" i="14"/>
  <c r="AA110" i="14" s="1"/>
  <c r="AD42" i="14"/>
  <c r="B111" i="14"/>
  <c r="AA110" i="19" l="1"/>
  <c r="B112" i="15"/>
  <c r="F111" i="15"/>
  <c r="BP54" i="18"/>
  <c r="BM69" i="19"/>
  <c r="BA67" i="19"/>
  <c r="BP68" i="19"/>
  <c r="BD66" i="19"/>
  <c r="AJ112" i="19"/>
  <c r="AN111" i="19"/>
  <c r="BH113" i="19"/>
  <c r="BL112" i="19"/>
  <c r="AP55" i="19"/>
  <c r="AQ55" i="19" s="1"/>
  <c r="AS55" i="19" s="1"/>
  <c r="E111" i="19"/>
  <c r="B112" i="19"/>
  <c r="P111" i="19"/>
  <c r="AZ112" i="19"/>
  <c r="AV113" i="19"/>
  <c r="AD54" i="19"/>
  <c r="AE54" i="19" s="1"/>
  <c r="AG54" i="19" s="1"/>
  <c r="AK111" i="19"/>
  <c r="AM111" i="19" s="1"/>
  <c r="X112" i="19"/>
  <c r="Y111" i="19"/>
  <c r="BI111" i="19"/>
  <c r="BK111" i="19" s="1"/>
  <c r="AW111" i="19"/>
  <c r="AY111" i="19" s="1"/>
  <c r="AB111" i="19"/>
  <c r="AO67" i="18"/>
  <c r="AC55" i="18"/>
  <c r="AR66" i="18"/>
  <c r="E111" i="18"/>
  <c r="B112" i="18"/>
  <c r="P111" i="18"/>
  <c r="AZ112" i="18"/>
  <c r="AV113" i="18"/>
  <c r="BH112" i="18"/>
  <c r="BL111" i="18"/>
  <c r="BI111" i="18"/>
  <c r="BK111" i="18" s="1"/>
  <c r="AW111" i="18"/>
  <c r="AY111" i="18" s="1"/>
  <c r="Y111" i="18"/>
  <c r="AA111" i="18" s="1"/>
  <c r="X112" i="18"/>
  <c r="AB111" i="18"/>
  <c r="AK111" i="18"/>
  <c r="AM111" i="18" s="1"/>
  <c r="BB56" i="18"/>
  <c r="BC56" i="18" s="1"/>
  <c r="BE56" i="18" s="1"/>
  <c r="AJ113" i="18"/>
  <c r="AN112" i="18"/>
  <c r="BM55" i="18"/>
  <c r="AF54" i="18"/>
  <c r="P111" i="17"/>
  <c r="E111" i="17"/>
  <c r="B112" i="17"/>
  <c r="BB57" i="17"/>
  <c r="BC57" i="17" s="1"/>
  <c r="BE57" i="17" s="1"/>
  <c r="BH115" i="17"/>
  <c r="BL114" i="17"/>
  <c r="X112" i="17"/>
  <c r="Y111" i="17"/>
  <c r="AA111" i="17" s="1"/>
  <c r="AB111" i="17"/>
  <c r="AK111" i="17"/>
  <c r="AM111" i="17" s="1"/>
  <c r="AW111" i="17"/>
  <c r="AY111" i="17" s="1"/>
  <c r="BI111" i="17"/>
  <c r="BK111" i="17" s="1"/>
  <c r="AN113" i="17"/>
  <c r="AJ114" i="17"/>
  <c r="AO55" i="17"/>
  <c r="AR54" i="17"/>
  <c r="BN58" i="17"/>
  <c r="BO58" i="17" s="1"/>
  <c r="BQ58" i="17" s="1"/>
  <c r="AD55" i="17"/>
  <c r="AE55" i="17" s="1"/>
  <c r="AG55" i="17" s="1"/>
  <c r="AZ112" i="17"/>
  <c r="AV113" i="17"/>
  <c r="BM56" i="16"/>
  <c r="AV113" i="16"/>
  <c r="AZ112" i="16"/>
  <c r="BP55" i="16"/>
  <c r="AC57" i="16"/>
  <c r="E112" i="16"/>
  <c r="P112" i="16"/>
  <c r="B113" i="16"/>
  <c r="AF56" i="16"/>
  <c r="Y112" i="16"/>
  <c r="AA112" i="16" s="1"/>
  <c r="AW112" i="16"/>
  <c r="AY112" i="16" s="1"/>
  <c r="X113" i="16"/>
  <c r="AB112" i="16"/>
  <c r="AK112" i="16"/>
  <c r="AM112" i="16" s="1"/>
  <c r="BI112" i="16"/>
  <c r="BK112" i="16" s="1"/>
  <c r="BB56" i="16"/>
  <c r="BC56" i="16" s="1"/>
  <c r="BE56" i="16" s="1"/>
  <c r="BL113" i="16"/>
  <c r="BH114" i="16"/>
  <c r="AP55" i="16"/>
  <c r="AQ55" i="16" s="1"/>
  <c r="AS55" i="16" s="1"/>
  <c r="AJ112" i="16"/>
  <c r="AN111" i="16"/>
  <c r="BH112" i="14"/>
  <c r="BL111" i="14"/>
  <c r="BM60" i="14"/>
  <c r="BP59" i="14"/>
  <c r="P111" i="14"/>
  <c r="E111" i="14"/>
  <c r="AK111" i="14"/>
  <c r="AM111" i="14" s="1"/>
  <c r="AW111" i="14"/>
  <c r="AY111" i="14" s="1"/>
  <c r="AV153" i="14"/>
  <c r="AZ152" i="14"/>
  <c r="BA59" i="14"/>
  <c r="BD58" i="14"/>
  <c r="AJ112" i="14"/>
  <c r="AN111" i="14"/>
  <c r="AP60" i="14"/>
  <c r="AQ60" i="14" s="1"/>
  <c r="AS60" i="14" s="1"/>
  <c r="X112" i="14"/>
  <c r="BI112" i="14" s="1"/>
  <c r="BK112" i="14" s="1"/>
  <c r="Y111" i="14"/>
  <c r="AA111" i="14" s="1"/>
  <c r="AB111" i="14"/>
  <c r="AE42" i="14"/>
  <c r="AG42" i="14" s="1"/>
  <c r="B112" i="14"/>
  <c r="AA111" i="19" l="1"/>
  <c r="B113" i="15"/>
  <c r="F112" i="15"/>
  <c r="BB67" i="19"/>
  <c r="BC67" i="19" s="1"/>
  <c r="BE67" i="19" s="1"/>
  <c r="Y112" i="19"/>
  <c r="BI112" i="19"/>
  <c r="BK112" i="19" s="1"/>
  <c r="AW112" i="19"/>
  <c r="AY112" i="19" s="1"/>
  <c r="X113" i="19"/>
  <c r="AB112" i="19"/>
  <c r="AK112" i="19"/>
  <c r="AM112" i="19" s="1"/>
  <c r="BH114" i="19"/>
  <c r="BL113" i="19"/>
  <c r="AF54" i="19"/>
  <c r="AN112" i="19"/>
  <c r="AJ113" i="19"/>
  <c r="BN69" i="19"/>
  <c r="AV114" i="19"/>
  <c r="AZ113" i="19"/>
  <c r="AC55" i="19"/>
  <c r="AO56" i="19"/>
  <c r="E112" i="19"/>
  <c r="B113" i="19"/>
  <c r="P112" i="19"/>
  <c r="AR55" i="19"/>
  <c r="AJ114" i="18"/>
  <c r="AN113" i="18"/>
  <c r="BN55" i="18"/>
  <c r="BO55" i="18" s="1"/>
  <c r="BQ55" i="18" s="1"/>
  <c r="BA57" i="18"/>
  <c r="BD56" i="18"/>
  <c r="AD55" i="18"/>
  <c r="AE55" i="18" s="1"/>
  <c r="AG55" i="18" s="1"/>
  <c r="BH113" i="18"/>
  <c r="BL112" i="18"/>
  <c r="E112" i="18"/>
  <c r="B113" i="18"/>
  <c r="P112" i="18"/>
  <c r="AZ113" i="18"/>
  <c r="AV114" i="18"/>
  <c r="AP67" i="18"/>
  <c r="AQ67" i="18" s="1"/>
  <c r="AS67" i="18" s="1"/>
  <c r="AW112" i="18"/>
  <c r="AY112" i="18" s="1"/>
  <c r="AK112" i="18"/>
  <c r="AM112" i="18" s="1"/>
  <c r="X113" i="18"/>
  <c r="Y112" i="18"/>
  <c r="AA112" i="18" s="1"/>
  <c r="BI112" i="18"/>
  <c r="BK112" i="18" s="1"/>
  <c r="AB112" i="18"/>
  <c r="BM59" i="17"/>
  <c r="AC56" i="17"/>
  <c r="BL115" i="17"/>
  <c r="BH116" i="17"/>
  <c r="BP58" i="17"/>
  <c r="BA58" i="17"/>
  <c r="AV114" i="17"/>
  <c r="AZ113" i="17"/>
  <c r="BD57" i="17"/>
  <c r="AF55" i="17"/>
  <c r="B113" i="17"/>
  <c r="P112" i="17"/>
  <c r="E112" i="17"/>
  <c r="AP55" i="17"/>
  <c r="AQ55" i="17" s="1"/>
  <c r="AS55" i="17" s="1"/>
  <c r="BI112" i="17"/>
  <c r="BK112" i="17" s="1"/>
  <c r="AB112" i="17"/>
  <c r="Y112" i="17"/>
  <c r="AA112" i="17" s="1"/>
  <c r="X113" i="17"/>
  <c r="AK112" i="17"/>
  <c r="AM112" i="17" s="1"/>
  <c r="AW112" i="17"/>
  <c r="AY112" i="17" s="1"/>
  <c r="AJ115" i="17"/>
  <c r="AN114" i="17"/>
  <c r="AJ113" i="16"/>
  <c r="AN112" i="16"/>
  <c r="BA57" i="16"/>
  <c r="BI113" i="16"/>
  <c r="BK113" i="16" s="1"/>
  <c r="AK113" i="16"/>
  <c r="AM113" i="16" s="1"/>
  <c r="X114" i="16"/>
  <c r="AW113" i="16"/>
  <c r="AY113" i="16" s="1"/>
  <c r="AB113" i="16"/>
  <c r="Y113" i="16"/>
  <c r="AA113" i="16" s="1"/>
  <c r="AO56" i="16"/>
  <c r="BD56" i="16"/>
  <c r="AR55" i="16"/>
  <c r="AV114" i="16"/>
  <c r="AZ113" i="16"/>
  <c r="AD57" i="16"/>
  <c r="AE57" i="16" s="1"/>
  <c r="AG57" i="16" s="1"/>
  <c r="BN56" i="16"/>
  <c r="BO56" i="16" s="1"/>
  <c r="BQ56" i="16" s="1"/>
  <c r="BL114" i="16"/>
  <c r="BH115" i="16"/>
  <c r="E113" i="16"/>
  <c r="B114" i="16"/>
  <c r="P113" i="16"/>
  <c r="BH113" i="14"/>
  <c r="BL112" i="14"/>
  <c r="BN60" i="14"/>
  <c r="BO60" i="14" s="1"/>
  <c r="BQ60" i="14" s="1"/>
  <c r="P112" i="14"/>
  <c r="E112" i="14"/>
  <c r="AV154" i="14"/>
  <c r="AZ153" i="14"/>
  <c r="AK112" i="14"/>
  <c r="AM112" i="14" s="1"/>
  <c r="AW112" i="14"/>
  <c r="AY112" i="14" s="1"/>
  <c r="BB59" i="14"/>
  <c r="BC59" i="14" s="1"/>
  <c r="BE59" i="14" s="1"/>
  <c r="AJ113" i="14"/>
  <c r="AN112" i="14"/>
  <c r="AO61" i="14"/>
  <c r="AR60" i="14"/>
  <c r="X113" i="14"/>
  <c r="BI113" i="14" s="1"/>
  <c r="BK113" i="14" s="1"/>
  <c r="Y112" i="14"/>
  <c r="AA112" i="14" s="1"/>
  <c r="AB112" i="14"/>
  <c r="AC43" i="14"/>
  <c r="AF42" i="14"/>
  <c r="B113" i="14"/>
  <c r="AA112" i="19" l="1"/>
  <c r="B114" i="15"/>
  <c r="F113" i="15"/>
  <c r="AP56" i="19"/>
  <c r="AQ56" i="19" s="1"/>
  <c r="AS56" i="19" s="1"/>
  <c r="AN113" i="19"/>
  <c r="AJ114" i="19"/>
  <c r="AD55" i="19"/>
  <c r="AE55" i="19" s="1"/>
  <c r="AG55" i="19" s="1"/>
  <c r="B114" i="19"/>
  <c r="E113" i="19"/>
  <c r="P113" i="19"/>
  <c r="BL114" i="19"/>
  <c r="BH115" i="19"/>
  <c r="BA68" i="19"/>
  <c r="AV115" i="19"/>
  <c r="AZ114" i="19"/>
  <c r="BD67" i="19"/>
  <c r="BO69" i="19"/>
  <c r="BQ69" i="19" s="1"/>
  <c r="BI113" i="19"/>
  <c r="BK113" i="19" s="1"/>
  <c r="AW113" i="19"/>
  <c r="AY113" i="19" s="1"/>
  <c r="AK113" i="19"/>
  <c r="AM113" i="19" s="1"/>
  <c r="AB113" i="19"/>
  <c r="Y113" i="19"/>
  <c r="X114" i="19"/>
  <c r="AZ114" i="18"/>
  <c r="AV115" i="18"/>
  <c r="BL113" i="18"/>
  <c r="BH114" i="18"/>
  <c r="BB57" i="18"/>
  <c r="BC57" i="18" s="1"/>
  <c r="BE57" i="18" s="1"/>
  <c r="AN114" i="18"/>
  <c r="AJ115" i="18"/>
  <c r="AK113" i="18"/>
  <c r="AM113" i="18" s="1"/>
  <c r="X114" i="18"/>
  <c r="Y113" i="18"/>
  <c r="AA113" i="18" s="1"/>
  <c r="BI113" i="18"/>
  <c r="BK113" i="18" s="1"/>
  <c r="AW113" i="18"/>
  <c r="AY113" i="18" s="1"/>
  <c r="AB113" i="18"/>
  <c r="BM56" i="18"/>
  <c r="AC56" i="18"/>
  <c r="BP55" i="18"/>
  <c r="AO68" i="18"/>
  <c r="P113" i="18"/>
  <c r="E113" i="18"/>
  <c r="B114" i="18"/>
  <c r="AF55" i="18"/>
  <c r="AR67" i="18"/>
  <c r="AO56" i="17"/>
  <c r="AR55" i="17"/>
  <c r="BH117" i="17"/>
  <c r="BL116" i="17"/>
  <c r="AW113" i="17"/>
  <c r="AY113" i="17" s="1"/>
  <c r="X114" i="17"/>
  <c r="BI113" i="17"/>
  <c r="BK113" i="17" s="1"/>
  <c r="AK113" i="17"/>
  <c r="AM113" i="17" s="1"/>
  <c r="AB113" i="17"/>
  <c r="Y113" i="17"/>
  <c r="AA113" i="17" s="1"/>
  <c r="AD56" i="17"/>
  <c r="AE56" i="17" s="1"/>
  <c r="AG56" i="17" s="1"/>
  <c r="AZ114" i="17"/>
  <c r="AV115" i="17"/>
  <c r="P113" i="17"/>
  <c r="B114" i="17"/>
  <c r="E113" i="17"/>
  <c r="BB58" i="17"/>
  <c r="BN59" i="17"/>
  <c r="BO59" i="17" s="1"/>
  <c r="BQ59" i="17" s="1"/>
  <c r="AN115" i="17"/>
  <c r="AJ116" i="17"/>
  <c r="BM57" i="16"/>
  <c r="AZ114" i="16"/>
  <c r="AV115" i="16"/>
  <c r="AP56" i="16"/>
  <c r="AQ56" i="16" s="1"/>
  <c r="AS56" i="16" s="1"/>
  <c r="E114" i="16"/>
  <c r="P114" i="16"/>
  <c r="B115" i="16"/>
  <c r="BP56" i="16"/>
  <c r="BB57" i="16"/>
  <c r="BC57" i="16" s="1"/>
  <c r="BE57" i="16" s="1"/>
  <c r="AC58" i="16"/>
  <c r="AF57" i="16"/>
  <c r="AJ114" i="16"/>
  <c r="AN113" i="16"/>
  <c r="BL115" i="16"/>
  <c r="BH116" i="16"/>
  <c r="AW114" i="16"/>
  <c r="AY114" i="16" s="1"/>
  <c r="AB114" i="16"/>
  <c r="Y114" i="16"/>
  <c r="AA114" i="16" s="1"/>
  <c r="X115" i="16"/>
  <c r="BI114" i="16"/>
  <c r="BK114" i="16" s="1"/>
  <c r="AK114" i="16"/>
  <c r="AM114" i="16" s="1"/>
  <c r="BH114" i="14"/>
  <c r="BL113" i="14"/>
  <c r="BM61" i="14"/>
  <c r="BP60" i="14"/>
  <c r="P113" i="14"/>
  <c r="E113" i="14"/>
  <c r="AK113" i="14"/>
  <c r="AM113" i="14" s="1"/>
  <c r="AW113" i="14"/>
  <c r="AY113" i="14" s="1"/>
  <c r="AV155" i="14"/>
  <c r="AZ154" i="14"/>
  <c r="BA60" i="14"/>
  <c r="BD59" i="14"/>
  <c r="AJ114" i="14"/>
  <c r="AN113" i="14"/>
  <c r="AP61" i="14"/>
  <c r="X114" i="14"/>
  <c r="BI114" i="14" s="1"/>
  <c r="BK114" i="14" s="1"/>
  <c r="AB113" i="14"/>
  <c r="Y113" i="14"/>
  <c r="AA113" i="14" s="1"/>
  <c r="AD43" i="14"/>
  <c r="B114" i="14"/>
  <c r="AA113" i="19" l="1"/>
  <c r="B115" i="15"/>
  <c r="F114" i="15"/>
  <c r="AC56" i="19"/>
  <c r="P114" i="19"/>
  <c r="E114" i="19"/>
  <c r="B115" i="19"/>
  <c r="AW114" i="19"/>
  <c r="AY114" i="19" s="1"/>
  <c r="AB114" i="19"/>
  <c r="AK114" i="19"/>
  <c r="AM114" i="19" s="1"/>
  <c r="X115" i="19"/>
  <c r="Y114" i="19"/>
  <c r="BI114" i="19"/>
  <c r="BK114" i="19" s="1"/>
  <c r="AJ115" i="19"/>
  <c r="AN114" i="19"/>
  <c r="BL115" i="19"/>
  <c r="BH116" i="19"/>
  <c r="AZ115" i="19"/>
  <c r="AV116" i="19"/>
  <c r="AR56" i="19"/>
  <c r="AF55" i="19"/>
  <c r="BM70" i="19"/>
  <c r="AO57" i="19"/>
  <c r="BB68" i="19"/>
  <c r="BC68" i="19" s="1"/>
  <c r="BE68" i="19" s="1"/>
  <c r="BP69" i="19"/>
  <c r="Y114" i="18"/>
  <c r="AA114" i="18" s="1"/>
  <c r="BI114" i="18"/>
  <c r="BK114" i="18" s="1"/>
  <c r="AW114" i="18"/>
  <c r="AY114" i="18" s="1"/>
  <c r="AB114" i="18"/>
  <c r="AK114" i="18"/>
  <c r="AM114" i="18" s="1"/>
  <c r="X115" i="18"/>
  <c r="AV116" i="18"/>
  <c r="AZ115" i="18"/>
  <c r="BN56" i="18"/>
  <c r="BO56" i="18" s="1"/>
  <c r="BQ56" i="18" s="1"/>
  <c r="AP68" i="18"/>
  <c r="AQ68" i="18" s="1"/>
  <c r="AS68" i="18" s="1"/>
  <c r="AN115" i="18"/>
  <c r="AJ116" i="18"/>
  <c r="BA58" i="18"/>
  <c r="BD57" i="18"/>
  <c r="E114" i="18"/>
  <c r="B115" i="18"/>
  <c r="P114" i="18"/>
  <c r="AD56" i="18"/>
  <c r="AE56" i="18" s="1"/>
  <c r="AG56" i="18" s="1"/>
  <c r="BH115" i="18"/>
  <c r="BL114" i="18"/>
  <c r="BL117" i="17"/>
  <c r="BH118" i="17"/>
  <c r="B115" i="17"/>
  <c r="E114" i="17"/>
  <c r="P114" i="17"/>
  <c r="AC57" i="17"/>
  <c r="AB114" i="17"/>
  <c r="AK114" i="17"/>
  <c r="AM114" i="17" s="1"/>
  <c r="X115" i="17"/>
  <c r="AW114" i="17"/>
  <c r="AY114" i="17" s="1"/>
  <c r="Y114" i="17"/>
  <c r="AA114" i="17" s="1"/>
  <c r="BI114" i="17"/>
  <c r="BK114" i="17" s="1"/>
  <c r="AJ117" i="17"/>
  <c r="AN116" i="17"/>
  <c r="AF56" i="17"/>
  <c r="BM60" i="17"/>
  <c r="AV116" i="17"/>
  <c r="AZ115" i="17"/>
  <c r="BP59" i="17"/>
  <c r="BC58" i="17"/>
  <c r="BE58" i="17" s="1"/>
  <c r="AP56" i="17"/>
  <c r="AK115" i="16"/>
  <c r="AM115" i="16" s="1"/>
  <c r="X116" i="16"/>
  <c r="BI115" i="16"/>
  <c r="BK115" i="16" s="1"/>
  <c r="AB115" i="16"/>
  <c r="Y115" i="16"/>
  <c r="AA115" i="16" s="1"/>
  <c r="AW115" i="16"/>
  <c r="AY115" i="16" s="1"/>
  <c r="AJ115" i="16"/>
  <c r="AN114" i="16"/>
  <c r="AD58" i="16"/>
  <c r="AE58" i="16" s="1"/>
  <c r="AG58" i="16" s="1"/>
  <c r="AO57" i="16"/>
  <c r="BA58" i="16"/>
  <c r="AR56" i="16"/>
  <c r="BH117" i="16"/>
  <c r="BL116" i="16"/>
  <c r="BD57" i="16"/>
  <c r="AV116" i="16"/>
  <c r="AZ115" i="16"/>
  <c r="BN57" i="16"/>
  <c r="P115" i="16"/>
  <c r="E115" i="16"/>
  <c r="B116" i="16"/>
  <c r="BH115" i="14"/>
  <c r="BL114" i="14"/>
  <c r="BN61" i="14"/>
  <c r="BO61" i="14" s="1"/>
  <c r="BQ61" i="14" s="1"/>
  <c r="P114" i="14"/>
  <c r="E114" i="14"/>
  <c r="AV156" i="14"/>
  <c r="AZ155" i="14"/>
  <c r="AK114" i="14"/>
  <c r="AM114" i="14" s="1"/>
  <c r="AW114" i="14"/>
  <c r="AY114" i="14" s="1"/>
  <c r="BB60" i="14"/>
  <c r="AJ115" i="14"/>
  <c r="AN114" i="14"/>
  <c r="AQ61" i="14"/>
  <c r="AS61" i="14" s="1"/>
  <c r="AO62" i="14" s="1"/>
  <c r="X115" i="14"/>
  <c r="BI115" i="14" s="1"/>
  <c r="BK115" i="14" s="1"/>
  <c r="AB114" i="14"/>
  <c r="Y114" i="14"/>
  <c r="AA114" i="14" s="1"/>
  <c r="AE43" i="14"/>
  <c r="AG43" i="14" s="1"/>
  <c r="B115" i="14"/>
  <c r="AA114" i="19" l="1"/>
  <c r="B116" i="15"/>
  <c r="F115" i="15"/>
  <c r="BN70" i="19"/>
  <c r="BO70" i="19" s="1"/>
  <c r="BQ70" i="19" s="1"/>
  <c r="AJ116" i="19"/>
  <c r="AN115" i="19"/>
  <c r="BA69" i="19"/>
  <c r="BH117" i="19"/>
  <c r="BL116" i="19"/>
  <c r="BD68" i="19"/>
  <c r="P115" i="19"/>
  <c r="E115" i="19"/>
  <c r="B116" i="19"/>
  <c r="AP57" i="19"/>
  <c r="AQ57" i="19" s="1"/>
  <c r="AS57" i="19" s="1"/>
  <c r="AK115" i="19"/>
  <c r="AM115" i="19" s="1"/>
  <c r="X116" i="19"/>
  <c r="Y115" i="19"/>
  <c r="BI115" i="19"/>
  <c r="BK115" i="19" s="1"/>
  <c r="AB115" i="19"/>
  <c r="AW115" i="19"/>
  <c r="AY115" i="19" s="1"/>
  <c r="AD56" i="19"/>
  <c r="AE56" i="19" s="1"/>
  <c r="AG56" i="19" s="1"/>
  <c r="AZ116" i="19"/>
  <c r="AV117" i="19"/>
  <c r="BM57" i="18"/>
  <c r="BL115" i="18"/>
  <c r="BH116" i="18"/>
  <c r="AJ117" i="18"/>
  <c r="AN116" i="18"/>
  <c r="BP56" i="18"/>
  <c r="AC57" i="18"/>
  <c r="AO69" i="18"/>
  <c r="AZ116" i="18"/>
  <c r="AV117" i="18"/>
  <c r="AF56" i="18"/>
  <c r="AR68" i="18"/>
  <c r="BI115" i="18"/>
  <c r="BK115" i="18" s="1"/>
  <c r="AW115" i="18"/>
  <c r="AY115" i="18" s="1"/>
  <c r="AB115" i="18"/>
  <c r="AK115" i="18"/>
  <c r="AM115" i="18" s="1"/>
  <c r="X116" i="18"/>
  <c r="Y115" i="18"/>
  <c r="AA115" i="18" s="1"/>
  <c r="BB58" i="18"/>
  <c r="P115" i="18"/>
  <c r="E115" i="18"/>
  <c r="B116" i="18"/>
  <c r="AZ116" i="17"/>
  <c r="AV117" i="17"/>
  <c r="X116" i="17"/>
  <c r="Y115" i="17"/>
  <c r="AA115" i="17" s="1"/>
  <c r="AK115" i="17"/>
  <c r="AM115" i="17" s="1"/>
  <c r="AW115" i="17"/>
  <c r="AY115" i="17" s="1"/>
  <c r="AB115" i="17"/>
  <c r="BI115" i="17"/>
  <c r="BK115" i="17" s="1"/>
  <c r="P115" i="17"/>
  <c r="E115" i="17"/>
  <c r="B116" i="17"/>
  <c r="BA59" i="17"/>
  <c r="BN60" i="17"/>
  <c r="BO60" i="17" s="1"/>
  <c r="BQ60" i="17" s="1"/>
  <c r="BH119" i="17"/>
  <c r="BL118" i="17"/>
  <c r="AN117" i="17"/>
  <c r="AJ118" i="17"/>
  <c r="AD57" i="17"/>
  <c r="AE57" i="17" s="1"/>
  <c r="AG57" i="17" s="1"/>
  <c r="AQ56" i="17"/>
  <c r="AS56" i="17" s="1"/>
  <c r="BD58" i="17"/>
  <c r="AC59" i="16"/>
  <c r="E116" i="16"/>
  <c r="B117" i="16"/>
  <c r="P116" i="16"/>
  <c r="AP57" i="16"/>
  <c r="AQ57" i="16" s="1"/>
  <c r="AS57" i="16" s="1"/>
  <c r="BL117" i="16"/>
  <c r="BH118" i="16"/>
  <c r="AF58" i="16"/>
  <c r="Y116" i="16"/>
  <c r="AA116" i="16" s="1"/>
  <c r="AW116" i="16"/>
  <c r="AY116" i="16" s="1"/>
  <c r="X117" i="16"/>
  <c r="AB116" i="16"/>
  <c r="AK116" i="16"/>
  <c r="AM116" i="16" s="1"/>
  <c r="BI116" i="16"/>
  <c r="BK116" i="16" s="1"/>
  <c r="BB58" i="16"/>
  <c r="AJ116" i="16"/>
  <c r="AN115" i="16"/>
  <c r="BO57" i="16"/>
  <c r="BQ57" i="16" s="1"/>
  <c r="AZ116" i="16"/>
  <c r="AV117" i="16"/>
  <c r="BH116" i="14"/>
  <c r="BL115" i="14"/>
  <c r="BM62" i="14"/>
  <c r="BP61" i="14"/>
  <c r="P115" i="14"/>
  <c r="E115" i="14"/>
  <c r="AK115" i="14"/>
  <c r="AM115" i="14" s="1"/>
  <c r="AW115" i="14"/>
  <c r="AY115" i="14" s="1"/>
  <c r="AV157" i="14"/>
  <c r="AZ156" i="14"/>
  <c r="BC60" i="14"/>
  <c r="BE60" i="14" s="1"/>
  <c r="AJ116" i="14"/>
  <c r="AN115" i="14"/>
  <c r="AR61" i="14"/>
  <c r="AP62" i="14"/>
  <c r="AQ62" i="14" s="1"/>
  <c r="AS62" i="14" s="1"/>
  <c r="X116" i="14"/>
  <c r="BI116" i="14" s="1"/>
  <c r="BK116" i="14" s="1"/>
  <c r="AB115" i="14"/>
  <c r="Y115" i="14"/>
  <c r="AA115" i="14" s="1"/>
  <c r="AC44" i="14"/>
  <c r="AF43" i="14"/>
  <c r="B116" i="14"/>
  <c r="AA115" i="19" l="1"/>
  <c r="B117" i="15"/>
  <c r="F116" i="15"/>
  <c r="AO58" i="19"/>
  <c r="BM71" i="19"/>
  <c r="AV118" i="19"/>
  <c r="AZ117" i="19"/>
  <c r="Y116" i="19"/>
  <c r="BI116" i="19"/>
  <c r="BK116" i="19" s="1"/>
  <c r="AW116" i="19"/>
  <c r="AY116" i="19" s="1"/>
  <c r="X117" i="19"/>
  <c r="AB116" i="19"/>
  <c r="AK116" i="19"/>
  <c r="AM116" i="19" s="1"/>
  <c r="BH118" i="19"/>
  <c r="BL117" i="19"/>
  <c r="AN116" i="19"/>
  <c r="AJ117" i="19"/>
  <c r="E116" i="19"/>
  <c r="B117" i="19"/>
  <c r="P116" i="19"/>
  <c r="AC57" i="19"/>
  <c r="BB69" i="19"/>
  <c r="BC69" i="19" s="1"/>
  <c r="BE69" i="19" s="1"/>
  <c r="BP70" i="19"/>
  <c r="AR57" i="19"/>
  <c r="AF56" i="19"/>
  <c r="AZ117" i="18"/>
  <c r="AV118" i="18"/>
  <c r="AW116" i="18"/>
  <c r="AY116" i="18" s="1"/>
  <c r="AB116" i="18"/>
  <c r="AK116" i="18"/>
  <c r="AM116" i="18" s="1"/>
  <c r="X117" i="18"/>
  <c r="Y116" i="18"/>
  <c r="AA116" i="18" s="1"/>
  <c r="BI116" i="18"/>
  <c r="BK116" i="18" s="1"/>
  <c r="AN117" i="18"/>
  <c r="AJ118" i="18"/>
  <c r="P116" i="18"/>
  <c r="E116" i="18"/>
  <c r="B117" i="18"/>
  <c r="BL116" i="18"/>
  <c r="BH117" i="18"/>
  <c r="AP69" i="18"/>
  <c r="AQ69" i="18" s="1"/>
  <c r="AS69" i="18" s="1"/>
  <c r="AD57" i="18"/>
  <c r="AE57" i="18" s="1"/>
  <c r="AG57" i="18" s="1"/>
  <c r="BN57" i="18"/>
  <c r="BO57" i="18" s="1"/>
  <c r="BQ57" i="18" s="1"/>
  <c r="BC58" i="18"/>
  <c r="BE58" i="18" s="1"/>
  <c r="BM61" i="17"/>
  <c r="BP60" i="17"/>
  <c r="BB59" i="17"/>
  <c r="BC59" i="17" s="1"/>
  <c r="BE59" i="17" s="1"/>
  <c r="AO57" i="17"/>
  <c r="BL119" i="17"/>
  <c r="BH120" i="17"/>
  <c r="B117" i="17"/>
  <c r="E116" i="17"/>
  <c r="P116" i="17"/>
  <c r="AC58" i="17"/>
  <c r="BI116" i="17"/>
  <c r="BK116" i="17" s="1"/>
  <c r="AB116" i="17"/>
  <c r="Y116" i="17"/>
  <c r="AA116" i="17" s="1"/>
  <c r="AK116" i="17"/>
  <c r="AM116" i="17" s="1"/>
  <c r="X117" i="17"/>
  <c r="AW116" i="17"/>
  <c r="AY116" i="17" s="1"/>
  <c r="AF57" i="17"/>
  <c r="AV118" i="17"/>
  <c r="AZ117" i="17"/>
  <c r="AJ119" i="17"/>
  <c r="AN118" i="17"/>
  <c r="AR56" i="17"/>
  <c r="AO58" i="16"/>
  <c r="P117" i="16"/>
  <c r="B118" i="16"/>
  <c r="E117" i="16"/>
  <c r="AR57" i="16"/>
  <c r="BM58" i="16"/>
  <c r="BL118" i="16"/>
  <c r="BH119" i="16"/>
  <c r="BP57" i="16"/>
  <c r="AV118" i="16"/>
  <c r="AZ117" i="16"/>
  <c r="BI117" i="16"/>
  <c r="BK117" i="16" s="1"/>
  <c r="AK117" i="16"/>
  <c r="AM117" i="16" s="1"/>
  <c r="X118" i="16"/>
  <c r="AW117" i="16"/>
  <c r="AY117" i="16" s="1"/>
  <c r="AB117" i="16"/>
  <c r="Y117" i="16"/>
  <c r="AA117" i="16" s="1"/>
  <c r="AD59" i="16"/>
  <c r="AE59" i="16" s="1"/>
  <c r="AG59" i="16" s="1"/>
  <c r="AN116" i="16"/>
  <c r="AJ117" i="16"/>
  <c r="BC58" i="16"/>
  <c r="BE58" i="16" s="1"/>
  <c r="BH117" i="14"/>
  <c r="BL116" i="14"/>
  <c r="BN62" i="14"/>
  <c r="BO62" i="14" s="1"/>
  <c r="BQ62" i="14" s="1"/>
  <c r="P116" i="14"/>
  <c r="E116" i="14"/>
  <c r="AK116" i="14"/>
  <c r="AM116" i="14" s="1"/>
  <c r="AW116" i="14"/>
  <c r="AY116" i="14" s="1"/>
  <c r="AV158" i="14"/>
  <c r="AZ157" i="14"/>
  <c r="BA61" i="14"/>
  <c r="BD60" i="14"/>
  <c r="AJ117" i="14"/>
  <c r="AN116" i="14"/>
  <c r="AO63" i="14"/>
  <c r="AR62" i="14"/>
  <c r="X117" i="14"/>
  <c r="BI117" i="14" s="1"/>
  <c r="BK117" i="14" s="1"/>
  <c r="AB116" i="14"/>
  <c r="Y116" i="14"/>
  <c r="AA116" i="14" s="1"/>
  <c r="AD44" i="14"/>
  <c r="B117" i="14"/>
  <c r="AA116" i="19" l="1"/>
  <c r="B118" i="15"/>
  <c r="F117" i="15"/>
  <c r="AD57" i="19"/>
  <c r="AE57" i="19" s="1"/>
  <c r="AG57" i="19" s="1"/>
  <c r="AN117" i="19"/>
  <c r="AJ118" i="19"/>
  <c r="BI117" i="19"/>
  <c r="BK117" i="19" s="1"/>
  <c r="AW117" i="19"/>
  <c r="AY117" i="19" s="1"/>
  <c r="AB117" i="19"/>
  <c r="AK117" i="19"/>
  <c r="AM117" i="19" s="1"/>
  <c r="Y117" i="19"/>
  <c r="X118" i="19"/>
  <c r="BA70" i="19"/>
  <c r="B118" i="19"/>
  <c r="P117" i="19"/>
  <c r="E117" i="19"/>
  <c r="BL118" i="19"/>
  <c r="BH119" i="19"/>
  <c r="BD69" i="19"/>
  <c r="BN71" i="19"/>
  <c r="BO71" i="19" s="1"/>
  <c r="BQ71" i="19" s="1"/>
  <c r="AV119" i="19"/>
  <c r="AZ118" i="19"/>
  <c r="AP58" i="19"/>
  <c r="AQ58" i="19" s="1"/>
  <c r="AS58" i="19" s="1"/>
  <c r="AO70" i="18"/>
  <c r="BM58" i="18"/>
  <c r="AC58" i="18"/>
  <c r="AZ118" i="18"/>
  <c r="AV119" i="18"/>
  <c r="BA59" i="18"/>
  <c r="AK117" i="18"/>
  <c r="AM117" i="18" s="1"/>
  <c r="X118" i="18"/>
  <c r="Y117" i="18"/>
  <c r="AA117" i="18" s="1"/>
  <c r="BI117" i="18"/>
  <c r="BK117" i="18" s="1"/>
  <c r="AW117" i="18"/>
  <c r="AY117" i="18" s="1"/>
  <c r="AB117" i="18"/>
  <c r="BP57" i="18"/>
  <c r="AR69" i="18"/>
  <c r="P117" i="18"/>
  <c r="E117" i="18"/>
  <c r="B118" i="18"/>
  <c r="BD58" i="18"/>
  <c r="AF57" i="18"/>
  <c r="BL117" i="18"/>
  <c r="BH118" i="18"/>
  <c r="AN118" i="18"/>
  <c r="AJ119" i="18"/>
  <c r="AN119" i="17"/>
  <c r="AJ120" i="17"/>
  <c r="AD58" i="17"/>
  <c r="AE58" i="17" s="1"/>
  <c r="AG58" i="17" s="1"/>
  <c r="AW117" i="17"/>
  <c r="AY117" i="17" s="1"/>
  <c r="X118" i="17"/>
  <c r="AB117" i="17"/>
  <c r="Y117" i="17"/>
  <c r="AA117" i="17" s="1"/>
  <c r="BI117" i="17"/>
  <c r="BK117" i="17" s="1"/>
  <c r="AK117" i="17"/>
  <c r="AM117" i="17" s="1"/>
  <c r="AP57" i="17"/>
  <c r="AQ57" i="17" s="1"/>
  <c r="AS57" i="17" s="1"/>
  <c r="AZ118" i="17"/>
  <c r="AV119" i="17"/>
  <c r="BA60" i="17"/>
  <c r="BD59" i="17"/>
  <c r="P117" i="17"/>
  <c r="B118" i="17"/>
  <c r="E117" i="17"/>
  <c r="BN61" i="17"/>
  <c r="BO61" i="17" s="1"/>
  <c r="BQ61" i="17" s="1"/>
  <c r="BH121" i="17"/>
  <c r="BL120" i="17"/>
  <c r="BL119" i="16"/>
  <c r="BH120" i="16"/>
  <c r="AN117" i="16"/>
  <c r="AJ118" i="16"/>
  <c r="AW118" i="16"/>
  <c r="AY118" i="16" s="1"/>
  <c r="AB118" i="16"/>
  <c r="Y118" i="16"/>
  <c r="AA118" i="16" s="1"/>
  <c r="AK118" i="16"/>
  <c r="AM118" i="16" s="1"/>
  <c r="BI118" i="16"/>
  <c r="BK118" i="16" s="1"/>
  <c r="X119" i="16"/>
  <c r="BN58" i="16"/>
  <c r="BO58" i="16" s="1"/>
  <c r="BQ58" i="16" s="1"/>
  <c r="AP58" i="16"/>
  <c r="AQ58" i="16" s="1"/>
  <c r="AS58" i="16" s="1"/>
  <c r="BA59" i="16"/>
  <c r="AC60" i="16"/>
  <c r="AF59" i="16"/>
  <c r="AV119" i="16"/>
  <c r="AZ118" i="16"/>
  <c r="E118" i="16"/>
  <c r="B119" i="16"/>
  <c r="P118" i="16"/>
  <c r="BD58" i="16"/>
  <c r="BH118" i="14"/>
  <c r="BL117" i="14"/>
  <c r="BM63" i="14"/>
  <c r="BP62" i="14"/>
  <c r="P117" i="14"/>
  <c r="E117" i="14"/>
  <c r="AK117" i="14"/>
  <c r="AM117" i="14" s="1"/>
  <c r="AW117" i="14"/>
  <c r="AY117" i="14" s="1"/>
  <c r="AV159" i="14"/>
  <c r="AZ158" i="14"/>
  <c r="BB61" i="14"/>
  <c r="BC61" i="14" s="1"/>
  <c r="BE61" i="14" s="1"/>
  <c r="AJ118" i="14"/>
  <c r="AN117" i="14"/>
  <c r="AP63" i="14"/>
  <c r="AQ63" i="14" s="1"/>
  <c r="AS63" i="14" s="1"/>
  <c r="X118" i="14"/>
  <c r="BI118" i="14" s="1"/>
  <c r="BK118" i="14" s="1"/>
  <c r="Y117" i="14"/>
  <c r="AA117" i="14" s="1"/>
  <c r="AB117" i="14"/>
  <c r="AE44" i="14"/>
  <c r="AG44" i="14" s="1"/>
  <c r="B118" i="14"/>
  <c r="AA117" i="19" l="1"/>
  <c r="B119" i="15"/>
  <c r="F118" i="15"/>
  <c r="BM72" i="19"/>
  <c r="BL119" i="19"/>
  <c r="BH120" i="19"/>
  <c r="BP71" i="19"/>
  <c r="AO59" i="19"/>
  <c r="AJ119" i="19"/>
  <c r="AN118" i="19"/>
  <c r="AR58" i="19"/>
  <c r="P118" i="19"/>
  <c r="E118" i="19"/>
  <c r="B119" i="19"/>
  <c r="AW118" i="19"/>
  <c r="AY118" i="19" s="1"/>
  <c r="AB118" i="19"/>
  <c r="AK118" i="19"/>
  <c r="AM118" i="19" s="1"/>
  <c r="X119" i="19"/>
  <c r="Y118" i="19"/>
  <c r="BI118" i="19"/>
  <c r="BK118" i="19" s="1"/>
  <c r="AC58" i="19"/>
  <c r="AZ119" i="19"/>
  <c r="AV120" i="19"/>
  <c r="BB70" i="19"/>
  <c r="BC70" i="19" s="1"/>
  <c r="BE70" i="19" s="1"/>
  <c r="AF57" i="19"/>
  <c r="BB59" i="18"/>
  <c r="E118" i="18"/>
  <c r="B119" i="18"/>
  <c r="P118" i="18"/>
  <c r="AV120" i="18"/>
  <c r="AZ119" i="18"/>
  <c r="Y118" i="18"/>
  <c r="AA118" i="18" s="1"/>
  <c r="BI118" i="18"/>
  <c r="BK118" i="18" s="1"/>
  <c r="AW118" i="18"/>
  <c r="AY118" i="18" s="1"/>
  <c r="AB118" i="18"/>
  <c r="AK118" i="18"/>
  <c r="AM118" i="18" s="1"/>
  <c r="X119" i="18"/>
  <c r="AD58" i="18"/>
  <c r="BH119" i="18"/>
  <c r="BL118" i="18"/>
  <c r="BN58" i="18"/>
  <c r="BO58" i="18" s="1"/>
  <c r="BQ58" i="18" s="1"/>
  <c r="AP70" i="18"/>
  <c r="AQ70" i="18" s="1"/>
  <c r="AS70" i="18" s="1"/>
  <c r="AN119" i="18"/>
  <c r="AJ120" i="18"/>
  <c r="AV120" i="17"/>
  <c r="AZ119" i="17"/>
  <c r="BM62" i="17"/>
  <c r="AB118" i="17"/>
  <c r="AK118" i="17"/>
  <c r="AM118" i="17" s="1"/>
  <c r="Y118" i="17"/>
  <c r="AA118" i="17" s="1"/>
  <c r="BI118" i="17"/>
  <c r="BK118" i="17" s="1"/>
  <c r="AW118" i="17"/>
  <c r="AY118" i="17" s="1"/>
  <c r="X119" i="17"/>
  <c r="BP61" i="17"/>
  <c r="AO58" i="17"/>
  <c r="AC59" i="17"/>
  <c r="BL121" i="17"/>
  <c r="BH122" i="17"/>
  <c r="AR57" i="17"/>
  <c r="AF58" i="17"/>
  <c r="B119" i="17"/>
  <c r="E118" i="17"/>
  <c r="P118" i="17"/>
  <c r="BB60" i="17"/>
  <c r="BC60" i="17" s="1"/>
  <c r="BE60" i="17" s="1"/>
  <c r="AJ121" i="17"/>
  <c r="AN120" i="17"/>
  <c r="AV120" i="16"/>
  <c r="AZ119" i="16"/>
  <c r="AJ119" i="16"/>
  <c r="AN118" i="16"/>
  <c r="P119" i="16"/>
  <c r="B120" i="16"/>
  <c r="E119" i="16"/>
  <c r="BB59" i="16"/>
  <c r="BC59" i="16" s="1"/>
  <c r="BE59" i="16" s="1"/>
  <c r="AO59" i="16"/>
  <c r="AK119" i="16"/>
  <c r="AM119" i="16" s="1"/>
  <c r="X120" i="16"/>
  <c r="BI119" i="16"/>
  <c r="BK119" i="16" s="1"/>
  <c r="AB119" i="16"/>
  <c r="Y119" i="16"/>
  <c r="AA119" i="16" s="1"/>
  <c r="AW119" i="16"/>
  <c r="AY119" i="16" s="1"/>
  <c r="AR58" i="16"/>
  <c r="BM59" i="16"/>
  <c r="BH121" i="16"/>
  <c r="BL120" i="16"/>
  <c r="BP58" i="16"/>
  <c r="AD60" i="16"/>
  <c r="AE60" i="16" s="1"/>
  <c r="AG60" i="16" s="1"/>
  <c r="BH119" i="14"/>
  <c r="BL118" i="14"/>
  <c r="BN63" i="14"/>
  <c r="BO63" i="14" s="1"/>
  <c r="BQ63" i="14" s="1"/>
  <c r="P118" i="14"/>
  <c r="E118" i="14"/>
  <c r="AV160" i="14"/>
  <c r="AZ159" i="14"/>
  <c r="AK118" i="14"/>
  <c r="AM118" i="14" s="1"/>
  <c r="AW118" i="14"/>
  <c r="AY118" i="14" s="1"/>
  <c r="BA62" i="14"/>
  <c r="BD61" i="14"/>
  <c r="AJ119" i="14"/>
  <c r="AN118" i="14"/>
  <c r="AO64" i="14"/>
  <c r="AR63" i="14"/>
  <c r="X119" i="14"/>
  <c r="BI119" i="14" s="1"/>
  <c r="BK119" i="14" s="1"/>
  <c r="AB118" i="14"/>
  <c r="Y118" i="14"/>
  <c r="AA118" i="14" s="1"/>
  <c r="AC45" i="14"/>
  <c r="AF44" i="14"/>
  <c r="B119" i="14"/>
  <c r="AA118" i="19" l="1"/>
  <c r="B120" i="15"/>
  <c r="F119" i="15"/>
  <c r="BA71" i="19"/>
  <c r="AK119" i="19"/>
  <c r="AM119" i="19" s="1"/>
  <c r="X120" i="19"/>
  <c r="Y119" i="19"/>
  <c r="BI119" i="19"/>
  <c r="BK119" i="19" s="1"/>
  <c r="AB119" i="19"/>
  <c r="AW119" i="19"/>
  <c r="AY119" i="19" s="1"/>
  <c r="P119" i="19"/>
  <c r="E119" i="19"/>
  <c r="B120" i="19"/>
  <c r="BD70" i="19"/>
  <c r="BL120" i="19"/>
  <c r="BH121" i="19"/>
  <c r="AZ120" i="19"/>
  <c r="AV121" i="19"/>
  <c r="AD58" i="19"/>
  <c r="AE58" i="19" s="1"/>
  <c r="AG58" i="19" s="1"/>
  <c r="AJ120" i="19"/>
  <c r="AN119" i="19"/>
  <c r="BN72" i="19"/>
  <c r="AP59" i="19"/>
  <c r="AQ59" i="19" s="1"/>
  <c r="AS59" i="19" s="1"/>
  <c r="AO71" i="18"/>
  <c r="BM59" i="18"/>
  <c r="AZ120" i="18"/>
  <c r="AV121" i="18"/>
  <c r="AJ121" i="18"/>
  <c r="AN120" i="18"/>
  <c r="BP58" i="18"/>
  <c r="BI119" i="18"/>
  <c r="BK119" i="18" s="1"/>
  <c r="AW119" i="18"/>
  <c r="AY119" i="18" s="1"/>
  <c r="AB119" i="18"/>
  <c r="AK119" i="18"/>
  <c r="AM119" i="18" s="1"/>
  <c r="X120" i="18"/>
  <c r="Y119" i="18"/>
  <c r="AA119" i="18" s="1"/>
  <c r="AR70" i="18"/>
  <c r="P119" i="18"/>
  <c r="E119" i="18"/>
  <c r="B120" i="18"/>
  <c r="BL119" i="18"/>
  <c r="BH120" i="18"/>
  <c r="AE58" i="18"/>
  <c r="AG58" i="18" s="1"/>
  <c r="BC59" i="18"/>
  <c r="BE59" i="18" s="1"/>
  <c r="BH123" i="17"/>
  <c r="BL122" i="17"/>
  <c r="AN121" i="17"/>
  <c r="AJ122" i="17"/>
  <c r="BN62" i="17"/>
  <c r="BO62" i="17" s="1"/>
  <c r="BQ62" i="17" s="1"/>
  <c r="P119" i="17"/>
  <c r="E119" i="17"/>
  <c r="B120" i="17"/>
  <c r="AD59" i="17"/>
  <c r="AE59" i="17" s="1"/>
  <c r="AG59" i="17" s="1"/>
  <c r="X120" i="17"/>
  <c r="Y119" i="17"/>
  <c r="AA119" i="17" s="1"/>
  <c r="BI119" i="17"/>
  <c r="BK119" i="17" s="1"/>
  <c r="AK119" i="17"/>
  <c r="AM119" i="17" s="1"/>
  <c r="AB119" i="17"/>
  <c r="AW119" i="17"/>
  <c r="AY119" i="17" s="1"/>
  <c r="BA61" i="17"/>
  <c r="AZ120" i="17"/>
  <c r="AV121" i="17"/>
  <c r="BD60" i="17"/>
  <c r="AP58" i="17"/>
  <c r="AQ58" i="17" s="1"/>
  <c r="AS58" i="17" s="1"/>
  <c r="AC61" i="16"/>
  <c r="BA60" i="16"/>
  <c r="AN119" i="16"/>
  <c r="AJ120" i="16"/>
  <c r="BN59" i="16"/>
  <c r="BO59" i="16" s="1"/>
  <c r="BQ59" i="16" s="1"/>
  <c r="AF60" i="16"/>
  <c r="BD59" i="16"/>
  <c r="E120" i="16"/>
  <c r="B121" i="16"/>
  <c r="P120" i="16"/>
  <c r="AZ120" i="16"/>
  <c r="AV121" i="16"/>
  <c r="Y120" i="16"/>
  <c r="AA120" i="16" s="1"/>
  <c r="AW120" i="16"/>
  <c r="AY120" i="16" s="1"/>
  <c r="AK120" i="16"/>
  <c r="AM120" i="16" s="1"/>
  <c r="X121" i="16"/>
  <c r="BI120" i="16"/>
  <c r="BK120" i="16" s="1"/>
  <c r="AB120" i="16"/>
  <c r="BL121" i="16"/>
  <c r="BH122" i="16"/>
  <c r="AP59" i="16"/>
  <c r="AQ59" i="16" s="1"/>
  <c r="AS59" i="16" s="1"/>
  <c r="BH120" i="14"/>
  <c r="BL119" i="14"/>
  <c r="BM64" i="14"/>
  <c r="BP63" i="14"/>
  <c r="P119" i="14"/>
  <c r="E119" i="14"/>
  <c r="AK119" i="14"/>
  <c r="AM119" i="14" s="1"/>
  <c r="AW119" i="14"/>
  <c r="AY119" i="14" s="1"/>
  <c r="AV161" i="14"/>
  <c r="AZ160" i="14"/>
  <c r="BB62" i="14"/>
  <c r="BC62" i="14" s="1"/>
  <c r="BE62" i="14" s="1"/>
  <c r="AJ120" i="14"/>
  <c r="AN119" i="14"/>
  <c r="AP64" i="14"/>
  <c r="AQ64" i="14" s="1"/>
  <c r="AS64" i="14" s="1"/>
  <c r="X120" i="14"/>
  <c r="BI120" i="14" s="1"/>
  <c r="BK120" i="14" s="1"/>
  <c r="Y119" i="14"/>
  <c r="AA119" i="14" s="1"/>
  <c r="AB119" i="14"/>
  <c r="AD45" i="14"/>
  <c r="B120" i="14"/>
  <c r="AA119" i="19" l="1"/>
  <c r="B121" i="15"/>
  <c r="F120" i="15"/>
  <c r="AO60" i="19"/>
  <c r="AR59" i="19"/>
  <c r="AN120" i="19"/>
  <c r="AJ121" i="19"/>
  <c r="AC59" i="19"/>
  <c r="AZ121" i="19"/>
  <c r="AV122" i="19"/>
  <c r="Y120" i="19"/>
  <c r="BI120" i="19"/>
  <c r="BK120" i="19" s="1"/>
  <c r="AW120" i="19"/>
  <c r="AY120" i="19" s="1"/>
  <c r="X121" i="19"/>
  <c r="AB120" i="19"/>
  <c r="AK120" i="19"/>
  <c r="AM120" i="19" s="1"/>
  <c r="AF58" i="19"/>
  <c r="E120" i="19"/>
  <c r="B121" i="19"/>
  <c r="P120" i="19"/>
  <c r="BH122" i="19"/>
  <c r="BL121" i="19"/>
  <c r="BO72" i="19"/>
  <c r="BQ72" i="19" s="1"/>
  <c r="BB71" i="19"/>
  <c r="AW120" i="18"/>
  <c r="AY120" i="18" s="1"/>
  <c r="AB120" i="18"/>
  <c r="AK120" i="18"/>
  <c r="AM120" i="18" s="1"/>
  <c r="X121" i="18"/>
  <c r="Y120" i="18"/>
  <c r="AA120" i="18" s="1"/>
  <c r="BI120" i="18"/>
  <c r="BK120" i="18" s="1"/>
  <c r="BD59" i="18"/>
  <c r="BA60" i="18"/>
  <c r="AZ121" i="18"/>
  <c r="AV122" i="18"/>
  <c r="AC59" i="18"/>
  <c r="P120" i="18"/>
  <c r="E120" i="18"/>
  <c r="B121" i="18"/>
  <c r="AF58" i="18"/>
  <c r="BL120" i="18"/>
  <c r="BH121" i="18"/>
  <c r="BN59" i="18"/>
  <c r="BO59" i="18" s="1"/>
  <c r="BQ59" i="18" s="1"/>
  <c r="AN121" i="18"/>
  <c r="AJ122" i="18"/>
  <c r="AP71" i="18"/>
  <c r="AO59" i="17"/>
  <c r="B121" i="17"/>
  <c r="E120" i="17"/>
  <c r="P120" i="17"/>
  <c r="AR58" i="17"/>
  <c r="BL123" i="17"/>
  <c r="BH124" i="17"/>
  <c r="AV122" i="17"/>
  <c r="AZ121" i="17"/>
  <c r="BM63" i="17"/>
  <c r="BI120" i="17"/>
  <c r="BK120" i="17" s="1"/>
  <c r="AB120" i="17"/>
  <c r="X121" i="17"/>
  <c r="AW120" i="17"/>
  <c r="AY120" i="17" s="1"/>
  <c r="AK120" i="17"/>
  <c r="AM120" i="17" s="1"/>
  <c r="Y120" i="17"/>
  <c r="AA120" i="17" s="1"/>
  <c r="BP62" i="17"/>
  <c r="BB61" i="17"/>
  <c r="BC61" i="17" s="1"/>
  <c r="BE61" i="17" s="1"/>
  <c r="AC60" i="17"/>
  <c r="AJ123" i="17"/>
  <c r="AN122" i="17"/>
  <c r="AF59" i="17"/>
  <c r="AO60" i="16"/>
  <c r="BM60" i="16"/>
  <c r="AV122" i="16"/>
  <c r="AZ121" i="16"/>
  <c r="AR59" i="16"/>
  <c r="BB60" i="16"/>
  <c r="BC60" i="16" s="1"/>
  <c r="BE60" i="16" s="1"/>
  <c r="BI121" i="16"/>
  <c r="BK121" i="16" s="1"/>
  <c r="AK121" i="16"/>
  <c r="AM121" i="16" s="1"/>
  <c r="X122" i="16"/>
  <c r="AW121" i="16"/>
  <c r="AY121" i="16" s="1"/>
  <c r="AB121" i="16"/>
  <c r="Y121" i="16"/>
  <c r="AA121" i="16" s="1"/>
  <c r="B122" i="16"/>
  <c r="E121" i="16"/>
  <c r="P121" i="16"/>
  <c r="AD61" i="16"/>
  <c r="AE61" i="16" s="1"/>
  <c r="AG61" i="16" s="1"/>
  <c r="BH123" i="16"/>
  <c r="BL122" i="16"/>
  <c r="BP59" i="16"/>
  <c r="AJ121" i="16"/>
  <c r="AN120" i="16"/>
  <c r="BH121" i="14"/>
  <c r="BL120" i="14"/>
  <c r="BN64" i="14"/>
  <c r="P120" i="14"/>
  <c r="E120" i="14"/>
  <c r="AV162" i="14"/>
  <c r="AZ161" i="14"/>
  <c r="AK120" i="14"/>
  <c r="AM120" i="14" s="1"/>
  <c r="AW120" i="14"/>
  <c r="AY120" i="14" s="1"/>
  <c r="BA63" i="14"/>
  <c r="BD62" i="14"/>
  <c r="AJ121" i="14"/>
  <c r="AN120" i="14"/>
  <c r="AO65" i="14"/>
  <c r="AR64" i="14"/>
  <c r="X121" i="14"/>
  <c r="BI121" i="14" s="1"/>
  <c r="BK121" i="14" s="1"/>
  <c r="Y120" i="14"/>
  <c r="AA120" i="14" s="1"/>
  <c r="AB120" i="14"/>
  <c r="AE45" i="14"/>
  <c r="AG45" i="14" s="1"/>
  <c r="B121" i="14"/>
  <c r="AA120" i="19" l="1"/>
  <c r="B122" i="15"/>
  <c r="F121" i="15"/>
  <c r="E121" i="19"/>
  <c r="B122" i="19"/>
  <c r="P121" i="19"/>
  <c r="Y121" i="19"/>
  <c r="BI121" i="19"/>
  <c r="BK121" i="19" s="1"/>
  <c r="AB121" i="19"/>
  <c r="X122" i="19"/>
  <c r="AW121" i="19"/>
  <c r="AY121" i="19" s="1"/>
  <c r="AK121" i="19"/>
  <c r="AM121" i="19" s="1"/>
  <c r="AD59" i="19"/>
  <c r="AE59" i="19" s="1"/>
  <c r="AG59" i="19" s="1"/>
  <c r="BM73" i="19"/>
  <c r="BH123" i="19"/>
  <c r="BL122" i="19"/>
  <c r="AP60" i="19"/>
  <c r="AQ60" i="19" s="1"/>
  <c r="AS60" i="19" s="1"/>
  <c r="AN121" i="19"/>
  <c r="AJ122" i="19"/>
  <c r="BC71" i="19"/>
  <c r="BE71" i="19" s="1"/>
  <c r="AV123" i="19"/>
  <c r="AZ122" i="19"/>
  <c r="BP72" i="19"/>
  <c r="AZ122" i="18"/>
  <c r="AV123" i="18"/>
  <c r="AN122" i="18"/>
  <c r="AJ123" i="18"/>
  <c r="AK121" i="18"/>
  <c r="AM121" i="18" s="1"/>
  <c r="X122" i="18"/>
  <c r="Y121" i="18"/>
  <c r="AA121" i="18" s="1"/>
  <c r="BI121" i="18"/>
  <c r="BK121" i="18" s="1"/>
  <c r="AW121" i="18"/>
  <c r="AY121" i="18" s="1"/>
  <c r="AB121" i="18"/>
  <c r="P121" i="18"/>
  <c r="E121" i="18"/>
  <c r="B122" i="18"/>
  <c r="BL121" i="18"/>
  <c r="BH122" i="18"/>
  <c r="BM60" i="18"/>
  <c r="BP59" i="18"/>
  <c r="AD59" i="18"/>
  <c r="BB60" i="18"/>
  <c r="BC60" i="18" s="1"/>
  <c r="BE60" i="18" s="1"/>
  <c r="AQ71" i="18"/>
  <c r="AS71" i="18" s="1"/>
  <c r="BN63" i="17"/>
  <c r="BO63" i="17" s="1"/>
  <c r="BQ63" i="17" s="1"/>
  <c r="AJ124" i="17"/>
  <c r="AN123" i="17"/>
  <c r="BL124" i="17"/>
  <c r="BH125" i="17"/>
  <c r="P121" i="17"/>
  <c r="E121" i="17"/>
  <c r="B122" i="17"/>
  <c r="AD60" i="17"/>
  <c r="AE60" i="17" s="1"/>
  <c r="AG60" i="17" s="1"/>
  <c r="BA62" i="17"/>
  <c r="AW121" i="17"/>
  <c r="AY121" i="17" s="1"/>
  <c r="X122" i="17"/>
  <c r="AK121" i="17"/>
  <c r="AM121" i="17" s="1"/>
  <c r="AB121" i="17"/>
  <c r="Y121" i="17"/>
  <c r="AA121" i="17" s="1"/>
  <c r="BI121" i="17"/>
  <c r="BK121" i="17" s="1"/>
  <c r="AP59" i="17"/>
  <c r="AQ59" i="17" s="1"/>
  <c r="AS59" i="17" s="1"/>
  <c r="BD61" i="17"/>
  <c r="AV123" i="17"/>
  <c r="AZ122" i="17"/>
  <c r="BL123" i="16"/>
  <c r="BH124" i="16"/>
  <c r="AN121" i="16"/>
  <c r="AJ122" i="16"/>
  <c r="AC62" i="16"/>
  <c r="AV123" i="16"/>
  <c r="AZ122" i="16"/>
  <c r="AF61" i="16"/>
  <c r="AW122" i="16"/>
  <c r="AY122" i="16" s="1"/>
  <c r="AB122" i="16"/>
  <c r="Y122" i="16"/>
  <c r="AA122" i="16" s="1"/>
  <c r="BI122" i="16"/>
  <c r="BK122" i="16" s="1"/>
  <c r="X123" i="16"/>
  <c r="AK122" i="16"/>
  <c r="AM122" i="16" s="1"/>
  <c r="BN60" i="16"/>
  <c r="BO60" i="16" s="1"/>
  <c r="BQ60" i="16" s="1"/>
  <c r="E122" i="16"/>
  <c r="P122" i="16"/>
  <c r="B123" i="16"/>
  <c r="BA61" i="16"/>
  <c r="AP60" i="16"/>
  <c r="AQ60" i="16" s="1"/>
  <c r="AS60" i="16" s="1"/>
  <c r="BD60" i="16"/>
  <c r="BH122" i="14"/>
  <c r="BL121" i="14"/>
  <c r="BO64" i="14"/>
  <c r="BQ64" i="14" s="1"/>
  <c r="BM65" i="14" s="1"/>
  <c r="P121" i="14"/>
  <c r="E121" i="14"/>
  <c r="AK121" i="14"/>
  <c r="AM121" i="14" s="1"/>
  <c r="AW121" i="14"/>
  <c r="AY121" i="14" s="1"/>
  <c r="AV163" i="14"/>
  <c r="AZ162" i="14"/>
  <c r="BB63" i="14"/>
  <c r="BC63" i="14" s="1"/>
  <c r="BE63" i="14" s="1"/>
  <c r="AJ122" i="14"/>
  <c r="AN121" i="14"/>
  <c r="AP65" i="14"/>
  <c r="AQ65" i="14" s="1"/>
  <c r="AS65" i="14" s="1"/>
  <c r="X122" i="14"/>
  <c r="BI122" i="14" s="1"/>
  <c r="BK122" i="14" s="1"/>
  <c r="AB121" i="14"/>
  <c r="Y121" i="14"/>
  <c r="AA121" i="14" s="1"/>
  <c r="AC46" i="14"/>
  <c r="AF45" i="14"/>
  <c r="B122" i="14"/>
  <c r="AA121" i="19" l="1"/>
  <c r="B123" i="15"/>
  <c r="F122" i="15"/>
  <c r="BH124" i="19"/>
  <c r="BL123" i="19"/>
  <c r="AN122" i="19"/>
  <c r="AJ123" i="19"/>
  <c r="AC60" i="19"/>
  <c r="AZ123" i="19"/>
  <c r="AV124" i="19"/>
  <c r="AF59" i="19"/>
  <c r="P122" i="19"/>
  <c r="B123" i="19"/>
  <c r="E122" i="19"/>
  <c r="BA72" i="19"/>
  <c r="AO61" i="19"/>
  <c r="AR60" i="19"/>
  <c r="BN73" i="19"/>
  <c r="BO73" i="19" s="1"/>
  <c r="BQ73" i="19" s="1"/>
  <c r="BI122" i="19"/>
  <c r="BK122" i="19" s="1"/>
  <c r="AW122" i="19"/>
  <c r="AY122" i="19" s="1"/>
  <c r="AB122" i="19"/>
  <c r="X123" i="19"/>
  <c r="Y122" i="19"/>
  <c r="AK122" i="19"/>
  <c r="AM122" i="19" s="1"/>
  <c r="BD71" i="19"/>
  <c r="Y122" i="18"/>
  <c r="AA122" i="18" s="1"/>
  <c r="BI122" i="18"/>
  <c r="BK122" i="18" s="1"/>
  <c r="AW122" i="18"/>
  <c r="AY122" i="18" s="1"/>
  <c r="AB122" i="18"/>
  <c r="AK122" i="18"/>
  <c r="AM122" i="18" s="1"/>
  <c r="X123" i="18"/>
  <c r="AN123" i="18"/>
  <c r="AJ124" i="18"/>
  <c r="E122" i="18"/>
  <c r="B123" i="18"/>
  <c r="P122" i="18"/>
  <c r="BN60" i="18"/>
  <c r="BO60" i="18" s="1"/>
  <c r="BQ60" i="18" s="1"/>
  <c r="AV124" i="18"/>
  <c r="AZ123" i="18"/>
  <c r="AO72" i="18"/>
  <c r="BA61" i="18"/>
  <c r="BH123" i="18"/>
  <c r="BL122" i="18"/>
  <c r="BD60" i="18"/>
  <c r="AE59" i="18"/>
  <c r="AG59" i="18" s="1"/>
  <c r="AR71" i="18"/>
  <c r="AC61" i="17"/>
  <c r="BM64" i="17"/>
  <c r="AF60" i="17"/>
  <c r="BP63" i="17"/>
  <c r="B123" i="17"/>
  <c r="P122" i="17"/>
  <c r="E122" i="17"/>
  <c r="AV124" i="17"/>
  <c r="AZ123" i="17"/>
  <c r="AB122" i="17"/>
  <c r="AK122" i="17"/>
  <c r="AM122" i="17" s="1"/>
  <c r="X123" i="17"/>
  <c r="Y122" i="17"/>
  <c r="AA122" i="17" s="1"/>
  <c r="BI122" i="17"/>
  <c r="BK122" i="17" s="1"/>
  <c r="AW122" i="17"/>
  <c r="AY122" i="17" s="1"/>
  <c r="AO60" i="17"/>
  <c r="AN124" i="17"/>
  <c r="AJ125" i="17"/>
  <c r="AR59" i="17"/>
  <c r="BB62" i="17"/>
  <c r="BC62" i="17" s="1"/>
  <c r="BE62" i="17" s="1"/>
  <c r="BH126" i="17"/>
  <c r="BL125" i="17"/>
  <c r="P123" i="16"/>
  <c r="E123" i="16"/>
  <c r="B124" i="16"/>
  <c r="AV124" i="16"/>
  <c r="AZ123" i="16"/>
  <c r="AD62" i="16"/>
  <c r="AE62" i="16" s="1"/>
  <c r="AG62" i="16" s="1"/>
  <c r="AO61" i="16"/>
  <c r="AJ123" i="16"/>
  <c r="AN122" i="16"/>
  <c r="AR60" i="16"/>
  <c r="BM61" i="16"/>
  <c r="BB61" i="16"/>
  <c r="BC61" i="16" s="1"/>
  <c r="BE61" i="16" s="1"/>
  <c r="BP60" i="16"/>
  <c r="AK123" i="16"/>
  <c r="AM123" i="16" s="1"/>
  <c r="X124" i="16"/>
  <c r="BI123" i="16"/>
  <c r="BK123" i="16" s="1"/>
  <c r="AB123" i="16"/>
  <c r="Y123" i="16"/>
  <c r="AA123" i="16" s="1"/>
  <c r="AW123" i="16"/>
  <c r="AY123" i="16" s="1"/>
  <c r="BH125" i="16"/>
  <c r="BL124" i="16"/>
  <c r="BH123" i="14"/>
  <c r="BL122" i="14"/>
  <c r="BP64" i="14"/>
  <c r="BN65" i="14"/>
  <c r="BO65" i="14" s="1"/>
  <c r="BQ65" i="14" s="1"/>
  <c r="P122" i="14"/>
  <c r="E122" i="14"/>
  <c r="AV164" i="14"/>
  <c r="AZ163" i="14"/>
  <c r="AK122" i="14"/>
  <c r="AM122" i="14" s="1"/>
  <c r="AW122" i="14"/>
  <c r="AY122" i="14" s="1"/>
  <c r="BA64" i="14"/>
  <c r="BD63" i="14"/>
  <c r="AJ123" i="14"/>
  <c r="AN122" i="14"/>
  <c r="AO66" i="14"/>
  <c r="AR65" i="14"/>
  <c r="X123" i="14"/>
  <c r="BI123" i="14" s="1"/>
  <c r="BK123" i="14" s="1"/>
  <c r="AB122" i="14"/>
  <c r="Y122" i="14"/>
  <c r="AA122" i="14" s="1"/>
  <c r="AD46" i="14"/>
  <c r="B123" i="14"/>
  <c r="AA122" i="19" l="1"/>
  <c r="B124" i="15"/>
  <c r="F123" i="15"/>
  <c r="E123" i="19"/>
  <c r="B124" i="19"/>
  <c r="P123" i="19"/>
  <c r="BL124" i="19"/>
  <c r="BH125" i="19"/>
  <c r="AW123" i="19"/>
  <c r="AY123" i="19" s="1"/>
  <c r="AB123" i="19"/>
  <c r="AK123" i="19"/>
  <c r="AM123" i="19" s="1"/>
  <c r="X124" i="19"/>
  <c r="Y123" i="19"/>
  <c r="BI123" i="19"/>
  <c r="BK123" i="19" s="1"/>
  <c r="AD60" i="19"/>
  <c r="AE60" i="19" s="1"/>
  <c r="AG60" i="19" s="1"/>
  <c r="AJ124" i="19"/>
  <c r="AN123" i="19"/>
  <c r="AP61" i="19"/>
  <c r="AQ61" i="19" s="1"/>
  <c r="AS61" i="19" s="1"/>
  <c r="BM74" i="19"/>
  <c r="BP73" i="19"/>
  <c r="BB72" i="19"/>
  <c r="AZ124" i="19"/>
  <c r="AV125" i="19"/>
  <c r="BL123" i="18"/>
  <c r="BH124" i="18"/>
  <c r="AC60" i="18"/>
  <c r="BB61" i="18"/>
  <c r="BM61" i="18"/>
  <c r="P123" i="18"/>
  <c r="E123" i="18"/>
  <c r="B124" i="18"/>
  <c r="BP60" i="18"/>
  <c r="AJ125" i="18"/>
  <c r="AN124" i="18"/>
  <c r="AP72" i="18"/>
  <c r="AQ72" i="18" s="1"/>
  <c r="AS72" i="18" s="1"/>
  <c r="BI123" i="18"/>
  <c r="BK123" i="18" s="1"/>
  <c r="AW123" i="18"/>
  <c r="AY123" i="18" s="1"/>
  <c r="AB123" i="18"/>
  <c r="AK123" i="18"/>
  <c r="AM123" i="18" s="1"/>
  <c r="X124" i="18"/>
  <c r="Y123" i="18"/>
  <c r="AA123" i="18" s="1"/>
  <c r="AF59" i="18"/>
  <c r="AZ124" i="18"/>
  <c r="AV125" i="18"/>
  <c r="AN125" i="17"/>
  <c r="AJ126" i="17"/>
  <c r="BN64" i="17"/>
  <c r="BL126" i="17"/>
  <c r="BH127" i="17"/>
  <c r="AB123" i="17"/>
  <c r="Y123" i="17"/>
  <c r="AA123" i="17" s="1"/>
  <c r="BI123" i="17"/>
  <c r="BK123" i="17" s="1"/>
  <c r="AK123" i="17"/>
  <c r="AM123" i="17" s="1"/>
  <c r="X124" i="17"/>
  <c r="AW123" i="17"/>
  <c r="AY123" i="17" s="1"/>
  <c r="P123" i="17"/>
  <c r="E123" i="17"/>
  <c r="B124" i="17"/>
  <c r="BA63" i="17"/>
  <c r="AP60" i="17"/>
  <c r="AQ60" i="17" s="1"/>
  <c r="AS60" i="17" s="1"/>
  <c r="AD61" i="17"/>
  <c r="AE61" i="17" s="1"/>
  <c r="AG61" i="17" s="1"/>
  <c r="BD62" i="17"/>
  <c r="AZ124" i="17"/>
  <c r="AV125" i="17"/>
  <c r="BA62" i="16"/>
  <c r="BD61" i="16"/>
  <c r="X125" i="16"/>
  <c r="Y124" i="16"/>
  <c r="AA124" i="16" s="1"/>
  <c r="AW124" i="16"/>
  <c r="AY124" i="16" s="1"/>
  <c r="AK124" i="16"/>
  <c r="AM124" i="16" s="1"/>
  <c r="BI124" i="16"/>
  <c r="BK124" i="16" s="1"/>
  <c r="AB124" i="16"/>
  <c r="AV125" i="16"/>
  <c r="AZ124" i="16"/>
  <c r="BN61" i="16"/>
  <c r="BO61" i="16" s="1"/>
  <c r="BQ61" i="16" s="1"/>
  <c r="AP61" i="16"/>
  <c r="AQ61" i="16" s="1"/>
  <c r="AS61" i="16" s="1"/>
  <c r="AC63" i="16"/>
  <c r="E124" i="16"/>
  <c r="B125" i="16"/>
  <c r="P124" i="16"/>
  <c r="BL125" i="16"/>
  <c r="BH126" i="16"/>
  <c r="AF62" i="16"/>
  <c r="AJ124" i="16"/>
  <c r="AN123" i="16"/>
  <c r="BH124" i="14"/>
  <c r="BL123" i="14"/>
  <c r="BM66" i="14"/>
  <c r="BP65" i="14"/>
  <c r="P123" i="14"/>
  <c r="E123" i="14"/>
  <c r="AK123" i="14"/>
  <c r="AM123" i="14" s="1"/>
  <c r="AW123" i="14"/>
  <c r="AY123" i="14" s="1"/>
  <c r="AV165" i="14"/>
  <c r="AZ164" i="14"/>
  <c r="BB64" i="14"/>
  <c r="BC64" i="14" s="1"/>
  <c r="BE64" i="14" s="1"/>
  <c r="AJ124" i="14"/>
  <c r="AN123" i="14"/>
  <c r="AP66" i="14"/>
  <c r="AQ66" i="14" s="1"/>
  <c r="AS66" i="14" s="1"/>
  <c r="X124" i="14"/>
  <c r="BI124" i="14" s="1"/>
  <c r="BK124" i="14" s="1"/>
  <c r="AB123" i="14"/>
  <c r="Y123" i="14"/>
  <c r="AA123" i="14" s="1"/>
  <c r="AE46" i="14"/>
  <c r="AG46" i="14" s="1"/>
  <c r="B124" i="14"/>
  <c r="AA123" i="19" l="1"/>
  <c r="B125" i="15"/>
  <c r="F124" i="15"/>
  <c r="AC61" i="19"/>
  <c r="BH126" i="19"/>
  <c r="BL125" i="19"/>
  <c r="AF60" i="19"/>
  <c r="AZ125" i="19"/>
  <c r="AV126" i="19"/>
  <c r="BN74" i="19"/>
  <c r="BO74" i="19" s="1"/>
  <c r="BQ74" i="19" s="1"/>
  <c r="AJ125" i="19"/>
  <c r="AN124" i="19"/>
  <c r="P124" i="19"/>
  <c r="E124" i="19"/>
  <c r="B125" i="19"/>
  <c r="AK124" i="19"/>
  <c r="AM124" i="19" s="1"/>
  <c r="X125" i="19"/>
  <c r="Y124" i="19"/>
  <c r="BI124" i="19"/>
  <c r="BK124" i="19" s="1"/>
  <c r="AB124" i="19"/>
  <c r="AW124" i="19"/>
  <c r="AY124" i="19" s="1"/>
  <c r="AO62" i="19"/>
  <c r="BC72" i="19"/>
  <c r="BE72" i="19" s="1"/>
  <c r="AR61" i="19"/>
  <c r="AW124" i="18"/>
  <c r="AY124" i="18" s="1"/>
  <c r="AB124" i="18"/>
  <c r="AK124" i="18"/>
  <c r="AM124" i="18" s="1"/>
  <c r="X125" i="18"/>
  <c r="Y124" i="18"/>
  <c r="AA124" i="18" s="1"/>
  <c r="BI124" i="18"/>
  <c r="BK124" i="18" s="1"/>
  <c r="P124" i="18"/>
  <c r="E124" i="18"/>
  <c r="B125" i="18"/>
  <c r="AD60" i="18"/>
  <c r="AO73" i="18"/>
  <c r="AR72" i="18"/>
  <c r="AZ125" i="18"/>
  <c r="AV126" i="18"/>
  <c r="AN125" i="18"/>
  <c r="AJ126" i="18"/>
  <c r="BN61" i="18"/>
  <c r="BO61" i="18" s="1"/>
  <c r="BQ61" i="18" s="1"/>
  <c r="BL124" i="18"/>
  <c r="BH125" i="18"/>
  <c r="BC61" i="18"/>
  <c r="BE61" i="18" s="1"/>
  <c r="BB63" i="17"/>
  <c r="BC63" i="17" s="1"/>
  <c r="BE63" i="17" s="1"/>
  <c r="AN126" i="17"/>
  <c r="AJ127" i="17"/>
  <c r="AC62" i="17"/>
  <c r="P124" i="17"/>
  <c r="B125" i="17"/>
  <c r="E124" i="17"/>
  <c r="AF61" i="17"/>
  <c r="BL127" i="17"/>
  <c r="BH128" i="17"/>
  <c r="AZ125" i="17"/>
  <c r="AV126" i="17"/>
  <c r="AO61" i="17"/>
  <c r="AR60" i="17"/>
  <c r="AK124" i="17"/>
  <c r="AM124" i="17" s="1"/>
  <c r="X125" i="17"/>
  <c r="AW124" i="17"/>
  <c r="AY124" i="17" s="1"/>
  <c r="AB124" i="17"/>
  <c r="Y124" i="17"/>
  <c r="AA124" i="17" s="1"/>
  <c r="BI124" i="17"/>
  <c r="BK124" i="17" s="1"/>
  <c r="BO64" i="17"/>
  <c r="BQ64" i="17" s="1"/>
  <c r="AD63" i="16"/>
  <c r="AE63" i="16" s="1"/>
  <c r="AG63" i="16" s="1"/>
  <c r="X126" i="16"/>
  <c r="AW125" i="16"/>
  <c r="AY125" i="16" s="1"/>
  <c r="AB125" i="16"/>
  <c r="Y125" i="16"/>
  <c r="AA125" i="16" s="1"/>
  <c r="BI125" i="16"/>
  <c r="BK125" i="16" s="1"/>
  <c r="AK125" i="16"/>
  <c r="AM125" i="16" s="1"/>
  <c r="AJ125" i="16"/>
  <c r="AN124" i="16"/>
  <c r="BH127" i="16"/>
  <c r="BL126" i="16"/>
  <c r="AO62" i="16"/>
  <c r="AV126" i="16"/>
  <c r="AZ125" i="16"/>
  <c r="AR61" i="16"/>
  <c r="BM62" i="16"/>
  <c r="BP61" i="16"/>
  <c r="B126" i="16"/>
  <c r="E125" i="16"/>
  <c r="P125" i="16"/>
  <c r="BB62" i="16"/>
  <c r="BC62" i="16" s="1"/>
  <c r="BE62" i="16" s="1"/>
  <c r="BH125" i="14"/>
  <c r="BL124" i="14"/>
  <c r="BN66" i="14"/>
  <c r="BO66" i="14" s="1"/>
  <c r="BQ66" i="14" s="1"/>
  <c r="P124" i="14"/>
  <c r="E124" i="14"/>
  <c r="AK124" i="14"/>
  <c r="AM124" i="14" s="1"/>
  <c r="AW124" i="14"/>
  <c r="AY124" i="14" s="1"/>
  <c r="AV166" i="14"/>
  <c r="AZ165" i="14"/>
  <c r="BA65" i="14"/>
  <c r="BD64" i="14"/>
  <c r="AJ125" i="14"/>
  <c r="AN124" i="14"/>
  <c r="AR66" i="14"/>
  <c r="AO67" i="14"/>
  <c r="X125" i="14"/>
  <c r="BI125" i="14" s="1"/>
  <c r="BK125" i="14" s="1"/>
  <c r="AB124" i="14"/>
  <c r="Y124" i="14"/>
  <c r="AA124" i="14" s="1"/>
  <c r="AC47" i="14"/>
  <c r="AF46" i="14"/>
  <c r="B125" i="14"/>
  <c r="AA124" i="19" l="1"/>
  <c r="B126" i="15"/>
  <c r="F125" i="15"/>
  <c r="BM75" i="19"/>
  <c r="BA73" i="19"/>
  <c r="AD61" i="19"/>
  <c r="AE61" i="19" s="1"/>
  <c r="AG61" i="19" s="1"/>
  <c r="AP62" i="19"/>
  <c r="AQ62" i="19" s="1"/>
  <c r="AS62" i="19" s="1"/>
  <c r="X126" i="19"/>
  <c r="Y125" i="19"/>
  <c r="BI125" i="19"/>
  <c r="BK125" i="19" s="1"/>
  <c r="AW125" i="19"/>
  <c r="AY125" i="19" s="1"/>
  <c r="AK125" i="19"/>
  <c r="AB125" i="19"/>
  <c r="AN125" i="19"/>
  <c r="AJ126" i="19"/>
  <c r="BD72" i="19"/>
  <c r="BP74" i="19"/>
  <c r="E125" i="19"/>
  <c r="B126" i="19"/>
  <c r="P125" i="19"/>
  <c r="AZ126" i="19"/>
  <c r="AV127" i="19"/>
  <c r="BH127" i="19"/>
  <c r="BL126" i="19"/>
  <c r="BA62" i="18"/>
  <c r="BM62" i="18"/>
  <c r="AK125" i="18"/>
  <c r="AM125" i="18" s="1"/>
  <c r="X126" i="18"/>
  <c r="Y125" i="18"/>
  <c r="AA125" i="18" s="1"/>
  <c r="BI125" i="18"/>
  <c r="BK125" i="18" s="1"/>
  <c r="AW125" i="18"/>
  <c r="AY125" i="18" s="1"/>
  <c r="AB125" i="18"/>
  <c r="BP61" i="18"/>
  <c r="BL125" i="18"/>
  <c r="BH126" i="18"/>
  <c r="AJ127" i="18"/>
  <c r="AN126" i="18"/>
  <c r="P125" i="18"/>
  <c r="E125" i="18"/>
  <c r="B126" i="18"/>
  <c r="AP73" i="18"/>
  <c r="AZ126" i="18"/>
  <c r="AV127" i="18"/>
  <c r="BD61" i="18"/>
  <c r="AE60" i="18"/>
  <c r="AG60" i="18" s="1"/>
  <c r="Y125" i="17"/>
  <c r="AA125" i="17" s="1"/>
  <c r="BI125" i="17"/>
  <c r="BK125" i="17" s="1"/>
  <c r="AK125" i="17"/>
  <c r="AM125" i="17" s="1"/>
  <c r="AW125" i="17"/>
  <c r="AY125" i="17" s="1"/>
  <c r="X126" i="17"/>
  <c r="AB125" i="17"/>
  <c r="BA64" i="17"/>
  <c r="BH129" i="17"/>
  <c r="BL128" i="17"/>
  <c r="AD62" i="17"/>
  <c r="AE62" i="17" s="1"/>
  <c r="AG62" i="17" s="1"/>
  <c r="BD63" i="17"/>
  <c r="BM65" i="17"/>
  <c r="AJ128" i="17"/>
  <c r="AN127" i="17"/>
  <c r="BP64" i="17"/>
  <c r="AP61" i="17"/>
  <c r="AQ61" i="17" s="1"/>
  <c r="AS61" i="17" s="1"/>
  <c r="AV127" i="17"/>
  <c r="AZ126" i="17"/>
  <c r="E125" i="17"/>
  <c r="B126" i="17"/>
  <c r="P125" i="17"/>
  <c r="BA63" i="16"/>
  <c r="BL127" i="16"/>
  <c r="BH128" i="16"/>
  <c r="BD62" i="16"/>
  <c r="AB126" i="16"/>
  <c r="BI126" i="16"/>
  <c r="BK126" i="16" s="1"/>
  <c r="AW126" i="16"/>
  <c r="AY126" i="16" s="1"/>
  <c r="AK126" i="16"/>
  <c r="AM126" i="16" s="1"/>
  <c r="X127" i="16"/>
  <c r="Y126" i="16"/>
  <c r="AA126" i="16" s="1"/>
  <c r="AN125" i="16"/>
  <c r="AJ126" i="16"/>
  <c r="AC64" i="16"/>
  <c r="AF63" i="16"/>
  <c r="AZ126" i="16"/>
  <c r="AV127" i="16"/>
  <c r="B127" i="16"/>
  <c r="P126" i="16"/>
  <c r="E126" i="16"/>
  <c r="BN62" i="16"/>
  <c r="BO62" i="16" s="1"/>
  <c r="BQ62" i="16" s="1"/>
  <c r="AP62" i="16"/>
  <c r="AQ62" i="16" s="1"/>
  <c r="AS62" i="16" s="1"/>
  <c r="BH126" i="14"/>
  <c r="BL125" i="14"/>
  <c r="BM67" i="14"/>
  <c r="BP66" i="14"/>
  <c r="P125" i="14"/>
  <c r="E125" i="14"/>
  <c r="AK125" i="14"/>
  <c r="AM125" i="14" s="1"/>
  <c r="AW125" i="14"/>
  <c r="AY125" i="14" s="1"/>
  <c r="AV167" i="14"/>
  <c r="AZ166" i="14"/>
  <c r="BB65" i="14"/>
  <c r="BC65" i="14" s="1"/>
  <c r="BE65" i="14" s="1"/>
  <c r="AJ126" i="14"/>
  <c r="AN125" i="14"/>
  <c r="AP67" i="14"/>
  <c r="AQ67" i="14" s="1"/>
  <c r="AS67" i="14" s="1"/>
  <c r="X126" i="14"/>
  <c r="BI126" i="14" s="1"/>
  <c r="BK126" i="14" s="1"/>
  <c r="Y125" i="14"/>
  <c r="AA125" i="14" s="1"/>
  <c r="AB125" i="14"/>
  <c r="AD47" i="14"/>
  <c r="B126" i="14"/>
  <c r="AM125" i="19" l="1"/>
  <c r="AA125" i="19"/>
  <c r="B127" i="15"/>
  <c r="F126" i="15"/>
  <c r="BI126" i="19"/>
  <c r="BK126" i="19" s="1"/>
  <c r="AW126" i="19"/>
  <c r="AY126" i="19" s="1"/>
  <c r="AB126" i="19"/>
  <c r="AK126" i="19"/>
  <c r="X127" i="19"/>
  <c r="Y126" i="19"/>
  <c r="AC62" i="19"/>
  <c r="BL127" i="19"/>
  <c r="BH128" i="19"/>
  <c r="AN126" i="19"/>
  <c r="AJ127" i="19"/>
  <c r="AO63" i="19"/>
  <c r="AF61" i="19"/>
  <c r="AV128" i="19"/>
  <c r="AZ127" i="19"/>
  <c r="AR62" i="19"/>
  <c r="BB73" i="19"/>
  <c r="BC73" i="19" s="1"/>
  <c r="BE73" i="19" s="1"/>
  <c r="BN75" i="19"/>
  <c r="BO75" i="19" s="1"/>
  <c r="BQ75" i="19" s="1"/>
  <c r="B127" i="19"/>
  <c r="E126" i="19"/>
  <c r="P126" i="19"/>
  <c r="AZ127" i="18"/>
  <c r="AV128" i="18"/>
  <c r="Y126" i="18"/>
  <c r="AA126" i="18" s="1"/>
  <c r="BI126" i="18"/>
  <c r="BK126" i="18" s="1"/>
  <c r="AW126" i="18"/>
  <c r="AY126" i="18" s="1"/>
  <c r="AB126" i="18"/>
  <c r="AK126" i="18"/>
  <c r="AM126" i="18" s="1"/>
  <c r="X127" i="18"/>
  <c r="AC61" i="18"/>
  <c r="E126" i="18"/>
  <c r="B127" i="18"/>
  <c r="P126" i="18"/>
  <c r="AF60" i="18"/>
  <c r="BN62" i="18"/>
  <c r="BO62" i="18" s="1"/>
  <c r="BQ62" i="18" s="1"/>
  <c r="AJ128" i="18"/>
  <c r="AN127" i="18"/>
  <c r="BB62" i="18"/>
  <c r="BC62" i="18" s="1"/>
  <c r="BE62" i="18" s="1"/>
  <c r="AQ73" i="18"/>
  <c r="AS73" i="18" s="1"/>
  <c r="BH127" i="18"/>
  <c r="BL126" i="18"/>
  <c r="AV128" i="17"/>
  <c r="AZ127" i="17"/>
  <c r="BH130" i="17"/>
  <c r="BL129" i="17"/>
  <c r="AN128" i="17"/>
  <c r="AJ129" i="17"/>
  <c r="BI126" i="17"/>
  <c r="BK126" i="17" s="1"/>
  <c r="AW126" i="17"/>
  <c r="AY126" i="17" s="1"/>
  <c r="AB126" i="17"/>
  <c r="Y126" i="17"/>
  <c r="AA126" i="17" s="1"/>
  <c r="AK126" i="17"/>
  <c r="AM126" i="17" s="1"/>
  <c r="X127" i="17"/>
  <c r="BB64" i="17"/>
  <c r="BN65" i="17"/>
  <c r="BO65" i="17" s="1"/>
  <c r="BQ65" i="17" s="1"/>
  <c r="E126" i="17"/>
  <c r="B127" i="17"/>
  <c r="P126" i="17"/>
  <c r="AO62" i="17"/>
  <c r="AR61" i="17"/>
  <c r="AC63" i="17"/>
  <c r="AF62" i="17"/>
  <c r="BM63" i="16"/>
  <c r="P127" i="16"/>
  <c r="E127" i="16"/>
  <c r="B128" i="16"/>
  <c r="AO63" i="16"/>
  <c r="AJ127" i="16"/>
  <c r="AN126" i="16"/>
  <c r="AR62" i="16"/>
  <c r="BB63" i="16"/>
  <c r="BP62" i="16"/>
  <c r="AV128" i="16"/>
  <c r="AZ127" i="16"/>
  <c r="X128" i="16"/>
  <c r="AB127" i="16"/>
  <c r="BI127" i="16"/>
  <c r="BK127" i="16" s="1"/>
  <c r="AW127" i="16"/>
  <c r="AY127" i="16" s="1"/>
  <c r="AK127" i="16"/>
  <c r="AM127" i="16" s="1"/>
  <c r="Y127" i="16"/>
  <c r="AA127" i="16" s="1"/>
  <c r="BH129" i="16"/>
  <c r="BL128" i="16"/>
  <c r="AD64" i="16"/>
  <c r="AE64" i="16" s="1"/>
  <c r="AG64" i="16" s="1"/>
  <c r="BH127" i="14"/>
  <c r="BL126" i="14"/>
  <c r="BN67" i="14"/>
  <c r="BO67" i="14" s="1"/>
  <c r="BQ67" i="14" s="1"/>
  <c r="P126" i="14"/>
  <c r="E126" i="14"/>
  <c r="AV168" i="14"/>
  <c r="AZ167" i="14"/>
  <c r="AK126" i="14"/>
  <c r="AM126" i="14" s="1"/>
  <c r="AW126" i="14"/>
  <c r="AY126" i="14" s="1"/>
  <c r="BA66" i="14"/>
  <c r="BD65" i="14"/>
  <c r="AJ127" i="14"/>
  <c r="AN126" i="14"/>
  <c r="AO68" i="14"/>
  <c r="AR67" i="14"/>
  <c r="X127" i="14"/>
  <c r="BI127" i="14" s="1"/>
  <c r="BK127" i="14" s="1"/>
  <c r="AB126" i="14"/>
  <c r="Y126" i="14"/>
  <c r="AA126" i="14" s="1"/>
  <c r="AE47" i="14"/>
  <c r="AG47" i="14" s="1"/>
  <c r="B127" i="14"/>
  <c r="AM126" i="19" l="1"/>
  <c r="AA126" i="19"/>
  <c r="B128" i="15"/>
  <c r="F127" i="15"/>
  <c r="AP63" i="19"/>
  <c r="AQ63" i="19" s="1"/>
  <c r="AS63" i="19" s="1"/>
  <c r="AW127" i="19"/>
  <c r="AY127" i="19" s="1"/>
  <c r="AB127" i="19"/>
  <c r="AK127" i="19"/>
  <c r="X128" i="19"/>
  <c r="Y127" i="19"/>
  <c r="BI127" i="19"/>
  <c r="BK127" i="19" s="1"/>
  <c r="AJ128" i="19"/>
  <c r="AN127" i="19"/>
  <c r="BL128" i="19"/>
  <c r="BH129" i="19"/>
  <c r="P127" i="19"/>
  <c r="E127" i="19"/>
  <c r="B128" i="19"/>
  <c r="BA74" i="19"/>
  <c r="BM76" i="19"/>
  <c r="BD73" i="19"/>
  <c r="AZ128" i="19"/>
  <c r="AV129" i="19"/>
  <c r="BP75" i="19"/>
  <c r="AD62" i="19"/>
  <c r="AE62" i="19" s="1"/>
  <c r="AG62" i="19" s="1"/>
  <c r="BA63" i="18"/>
  <c r="AN128" i="18"/>
  <c r="AJ129" i="18"/>
  <c r="BM63" i="18"/>
  <c r="BH128" i="18"/>
  <c r="BL127" i="18"/>
  <c r="BP62" i="18"/>
  <c r="AO74" i="18"/>
  <c r="AD61" i="18"/>
  <c r="AK127" i="18"/>
  <c r="AM127" i="18" s="1"/>
  <c r="BI127" i="18"/>
  <c r="BK127" i="18" s="1"/>
  <c r="AW127" i="18"/>
  <c r="AY127" i="18" s="1"/>
  <c r="X128" i="18"/>
  <c r="AB127" i="18"/>
  <c r="Y127" i="18"/>
  <c r="AA127" i="18" s="1"/>
  <c r="BD62" i="18"/>
  <c r="AR73" i="18"/>
  <c r="B128" i="18"/>
  <c r="P127" i="18"/>
  <c r="E127" i="18"/>
  <c r="AZ128" i="18"/>
  <c r="AV129" i="18"/>
  <c r="AN129" i="17"/>
  <c r="AJ130" i="17"/>
  <c r="BM66" i="17"/>
  <c r="AP62" i="17"/>
  <c r="AQ62" i="17" s="1"/>
  <c r="AS62" i="17" s="1"/>
  <c r="BP65" i="17"/>
  <c r="AW127" i="17"/>
  <c r="AY127" i="17" s="1"/>
  <c r="AB127" i="17"/>
  <c r="AK127" i="17"/>
  <c r="AM127" i="17" s="1"/>
  <c r="X128" i="17"/>
  <c r="BI127" i="17"/>
  <c r="BK127" i="17" s="1"/>
  <c r="Y127" i="17"/>
  <c r="AA127" i="17" s="1"/>
  <c r="BH131" i="17"/>
  <c r="BL130" i="17"/>
  <c r="P127" i="17"/>
  <c r="B128" i="17"/>
  <c r="E127" i="17"/>
  <c r="AD63" i="17"/>
  <c r="AE63" i="17" s="1"/>
  <c r="AG63" i="17" s="1"/>
  <c r="BC64" i="17"/>
  <c r="BE64" i="17" s="1"/>
  <c r="AZ128" i="17"/>
  <c r="AV129" i="17"/>
  <c r="AC65" i="16"/>
  <c r="AF64" i="16"/>
  <c r="B129" i="16"/>
  <c r="E128" i="16"/>
  <c r="P128" i="16"/>
  <c r="AZ128" i="16"/>
  <c r="AV129" i="16"/>
  <c r="AN127" i="16"/>
  <c r="AJ128" i="16"/>
  <c r="BL129" i="16"/>
  <c r="BH130" i="16"/>
  <c r="AB128" i="16"/>
  <c r="X129" i="16"/>
  <c r="BI128" i="16"/>
  <c r="BK128" i="16" s="1"/>
  <c r="AK128" i="16"/>
  <c r="AM128" i="16" s="1"/>
  <c r="Y128" i="16"/>
  <c r="AA128" i="16" s="1"/>
  <c r="AW128" i="16"/>
  <c r="AY128" i="16" s="1"/>
  <c r="BC63" i="16"/>
  <c r="BE63" i="16" s="1"/>
  <c r="AP63" i="16"/>
  <c r="AQ63" i="16" s="1"/>
  <c r="AS63" i="16" s="1"/>
  <c r="BN63" i="16"/>
  <c r="BO63" i="16" s="1"/>
  <c r="BQ63" i="16" s="1"/>
  <c r="BH128" i="14"/>
  <c r="BL127" i="14"/>
  <c r="BM68" i="14"/>
  <c r="BP67" i="14"/>
  <c r="P127" i="14"/>
  <c r="E127" i="14"/>
  <c r="AK127" i="14"/>
  <c r="AM127" i="14" s="1"/>
  <c r="AW127" i="14"/>
  <c r="AY127" i="14" s="1"/>
  <c r="AV169" i="14"/>
  <c r="AZ168" i="14"/>
  <c r="BB66" i="14"/>
  <c r="AJ128" i="14"/>
  <c r="AN127" i="14"/>
  <c r="AP68" i="14"/>
  <c r="AQ68" i="14" s="1"/>
  <c r="AS68" i="14" s="1"/>
  <c r="X128" i="14"/>
  <c r="BI128" i="14" s="1"/>
  <c r="BK128" i="14" s="1"/>
  <c r="Y127" i="14"/>
  <c r="AA127" i="14" s="1"/>
  <c r="AB127" i="14"/>
  <c r="AC48" i="14"/>
  <c r="AF47" i="14"/>
  <c r="B128" i="14"/>
  <c r="AM127" i="19" l="1"/>
  <c r="AA127" i="19"/>
  <c r="B129" i="15"/>
  <c r="F128" i="15"/>
  <c r="AC63" i="19"/>
  <c r="BL129" i="19"/>
  <c r="BH130" i="19"/>
  <c r="AJ129" i="19"/>
  <c r="AN128" i="19"/>
  <c r="AF62" i="19"/>
  <c r="BB74" i="19"/>
  <c r="BC74" i="19" s="1"/>
  <c r="BE74" i="19" s="1"/>
  <c r="AZ129" i="19"/>
  <c r="AV130" i="19"/>
  <c r="B129" i="19"/>
  <c r="P128" i="19"/>
  <c r="E128" i="19"/>
  <c r="AO64" i="19"/>
  <c r="AR63" i="19"/>
  <c r="AW128" i="19"/>
  <c r="AY128" i="19" s="1"/>
  <c r="AK128" i="19"/>
  <c r="X129" i="19"/>
  <c r="Y128" i="19"/>
  <c r="AB128" i="19"/>
  <c r="BI128" i="19"/>
  <c r="BK128" i="19" s="1"/>
  <c r="BN76" i="19"/>
  <c r="BO76" i="19" s="1"/>
  <c r="BQ76" i="19" s="1"/>
  <c r="AP74" i="18"/>
  <c r="AQ74" i="18" s="1"/>
  <c r="AS74" i="18" s="1"/>
  <c r="AV130" i="18"/>
  <c r="AZ129" i="18"/>
  <c r="AN129" i="18"/>
  <c r="AJ130" i="18"/>
  <c r="BN63" i="18"/>
  <c r="BO63" i="18" s="1"/>
  <c r="BQ63" i="18" s="1"/>
  <c r="BH129" i="18"/>
  <c r="BL128" i="18"/>
  <c r="E128" i="18"/>
  <c r="B129" i="18"/>
  <c r="P128" i="18"/>
  <c r="Y128" i="18"/>
  <c r="AA128" i="18" s="1"/>
  <c r="BI128" i="18"/>
  <c r="BK128" i="18" s="1"/>
  <c r="AW128" i="18"/>
  <c r="AY128" i="18" s="1"/>
  <c r="AK128" i="18"/>
  <c r="AM128" i="18" s="1"/>
  <c r="AB128" i="18"/>
  <c r="X129" i="18"/>
  <c r="AE61" i="18"/>
  <c r="AG61" i="18" s="1"/>
  <c r="BB63" i="18"/>
  <c r="BC63" i="18" s="1"/>
  <c r="BE63" i="18" s="1"/>
  <c r="AO63" i="17"/>
  <c r="AV130" i="17"/>
  <c r="AZ129" i="17"/>
  <c r="AR62" i="17"/>
  <c r="BA65" i="17"/>
  <c r="BL131" i="17"/>
  <c r="BH132" i="17"/>
  <c r="AW128" i="17"/>
  <c r="AY128" i="17" s="1"/>
  <c r="AK128" i="17"/>
  <c r="AM128" i="17" s="1"/>
  <c r="Y128" i="17"/>
  <c r="AA128" i="17" s="1"/>
  <c r="BI128" i="17"/>
  <c r="BK128" i="17" s="1"/>
  <c r="X129" i="17"/>
  <c r="AB128" i="17"/>
  <c r="AC64" i="17"/>
  <c r="AF63" i="17"/>
  <c r="BN66" i="17"/>
  <c r="BO66" i="17" s="1"/>
  <c r="BQ66" i="17" s="1"/>
  <c r="BD64" i="17"/>
  <c r="B129" i="17"/>
  <c r="P128" i="17"/>
  <c r="E128" i="17"/>
  <c r="AJ131" i="17"/>
  <c r="AN130" i="17"/>
  <c r="P129" i="16"/>
  <c r="B130" i="16"/>
  <c r="E129" i="16"/>
  <c r="BM64" i="16"/>
  <c r="AV130" i="16"/>
  <c r="AZ129" i="16"/>
  <c r="BP63" i="16"/>
  <c r="X130" i="16"/>
  <c r="AK129" i="16"/>
  <c r="AM129" i="16" s="1"/>
  <c r="Y129" i="16"/>
  <c r="AA129" i="16" s="1"/>
  <c r="AW129" i="16"/>
  <c r="AY129" i="16" s="1"/>
  <c r="BI129" i="16"/>
  <c r="BK129" i="16" s="1"/>
  <c r="AB129" i="16"/>
  <c r="AO64" i="16"/>
  <c r="BD63" i="16"/>
  <c r="AR63" i="16"/>
  <c r="AJ129" i="16"/>
  <c r="AN128" i="16"/>
  <c r="BA64" i="16"/>
  <c r="AD65" i="16"/>
  <c r="AE65" i="16" s="1"/>
  <c r="AG65" i="16" s="1"/>
  <c r="BH131" i="16"/>
  <c r="BL130" i="16"/>
  <c r="BH129" i="14"/>
  <c r="BL128" i="14"/>
  <c r="BN68" i="14"/>
  <c r="BO68" i="14" s="1"/>
  <c r="BQ68" i="14" s="1"/>
  <c r="P128" i="14"/>
  <c r="E128" i="14"/>
  <c r="AV170" i="14"/>
  <c r="AZ169" i="14"/>
  <c r="AK128" i="14"/>
  <c r="AM128" i="14" s="1"/>
  <c r="AW128" i="14"/>
  <c r="AY128" i="14" s="1"/>
  <c r="BC66" i="14"/>
  <c r="BE66" i="14" s="1"/>
  <c r="AJ129" i="14"/>
  <c r="AN128" i="14"/>
  <c r="AO69" i="14"/>
  <c r="AR68" i="14"/>
  <c r="X129" i="14"/>
  <c r="BI129" i="14" s="1"/>
  <c r="BK129" i="14" s="1"/>
  <c r="Y128" i="14"/>
  <c r="AA128" i="14" s="1"/>
  <c r="AB128" i="14"/>
  <c r="AD48" i="14"/>
  <c r="B129" i="14"/>
  <c r="AM128" i="19" l="1"/>
  <c r="AA128" i="19"/>
  <c r="B130" i="15"/>
  <c r="F129" i="15"/>
  <c r="AK129" i="19"/>
  <c r="X130" i="19"/>
  <c r="Y129" i="19"/>
  <c r="BI129" i="19"/>
  <c r="BK129" i="19" s="1"/>
  <c r="AB129" i="19"/>
  <c r="AW129" i="19"/>
  <c r="AY129" i="19" s="1"/>
  <c r="P129" i="19"/>
  <c r="E129" i="19"/>
  <c r="B130" i="19"/>
  <c r="BM77" i="19"/>
  <c r="AZ130" i="19"/>
  <c r="AV131" i="19"/>
  <c r="BP76" i="19"/>
  <c r="AP64" i="19"/>
  <c r="AQ64" i="19" s="1"/>
  <c r="AS64" i="19" s="1"/>
  <c r="AN129" i="19"/>
  <c r="AJ130" i="19"/>
  <c r="BH131" i="19"/>
  <c r="BL130" i="19"/>
  <c r="BA75" i="19"/>
  <c r="AD63" i="19"/>
  <c r="AE63" i="19" s="1"/>
  <c r="AG63" i="19" s="1"/>
  <c r="BD74" i="19"/>
  <c r="BM64" i="18"/>
  <c r="BA64" i="18"/>
  <c r="AF61" i="18"/>
  <c r="BD63" i="18"/>
  <c r="BL129" i="18"/>
  <c r="BH130" i="18"/>
  <c r="AC62" i="18"/>
  <c r="AZ130" i="18"/>
  <c r="AV131" i="18"/>
  <c r="BI129" i="18"/>
  <c r="BK129" i="18" s="1"/>
  <c r="AW129" i="18"/>
  <c r="AY129" i="18" s="1"/>
  <c r="AB129" i="18"/>
  <c r="AK129" i="18"/>
  <c r="AM129" i="18" s="1"/>
  <c r="X130" i="18"/>
  <c r="Y129" i="18"/>
  <c r="AA129" i="18" s="1"/>
  <c r="P129" i="18"/>
  <c r="E129" i="18"/>
  <c r="B130" i="18"/>
  <c r="AO75" i="18"/>
  <c r="BP63" i="18"/>
  <c r="AR74" i="18"/>
  <c r="AJ131" i="18"/>
  <c r="AN130" i="18"/>
  <c r="BM67" i="17"/>
  <c r="AD64" i="17"/>
  <c r="AE64" i="17" s="1"/>
  <c r="AG64" i="17" s="1"/>
  <c r="AJ132" i="17"/>
  <c r="AN131" i="17"/>
  <c r="BH133" i="17"/>
  <c r="BL132" i="17"/>
  <c r="BB65" i="17"/>
  <c r="BC65" i="17" s="1"/>
  <c r="BE65" i="17" s="1"/>
  <c r="BP66" i="17"/>
  <c r="AK129" i="17"/>
  <c r="AM129" i="17" s="1"/>
  <c r="X130" i="17"/>
  <c r="AB129" i="17"/>
  <c r="BI129" i="17"/>
  <c r="BK129" i="17" s="1"/>
  <c r="AW129" i="17"/>
  <c r="AY129" i="17" s="1"/>
  <c r="Y129" i="17"/>
  <c r="AA129" i="17" s="1"/>
  <c r="E129" i="17"/>
  <c r="P129" i="17"/>
  <c r="B130" i="17"/>
  <c r="AZ130" i="17"/>
  <c r="AV131" i="17"/>
  <c r="AP63" i="17"/>
  <c r="AQ63" i="17" s="1"/>
  <c r="AS63" i="17" s="1"/>
  <c r="BI130" i="16"/>
  <c r="BK130" i="16" s="1"/>
  <c r="AB130" i="16"/>
  <c r="X131" i="16"/>
  <c r="AW130" i="16"/>
  <c r="AY130" i="16" s="1"/>
  <c r="Y130" i="16"/>
  <c r="AA130" i="16" s="1"/>
  <c r="AK130" i="16"/>
  <c r="AM130" i="16" s="1"/>
  <c r="BL131" i="16"/>
  <c r="BH132" i="16"/>
  <c r="BB64" i="16"/>
  <c r="BC64" i="16" s="1"/>
  <c r="BE64" i="16" s="1"/>
  <c r="AP64" i="16"/>
  <c r="AQ64" i="16" s="1"/>
  <c r="AS64" i="16" s="1"/>
  <c r="B131" i="16"/>
  <c r="E130" i="16"/>
  <c r="P130" i="16"/>
  <c r="AZ130" i="16"/>
  <c r="AV131" i="16"/>
  <c r="AC66" i="16"/>
  <c r="AN129" i="16"/>
  <c r="AJ130" i="16"/>
  <c r="AF65" i="16"/>
  <c r="BN64" i="16"/>
  <c r="BO64" i="16" s="1"/>
  <c r="BQ64" i="16" s="1"/>
  <c r="BH130" i="14"/>
  <c r="BL129" i="14"/>
  <c r="BM69" i="14"/>
  <c r="BP68" i="14"/>
  <c r="P129" i="14"/>
  <c r="E129" i="14"/>
  <c r="AK129" i="14"/>
  <c r="AM129" i="14" s="1"/>
  <c r="AW129" i="14"/>
  <c r="AY129" i="14" s="1"/>
  <c r="AV171" i="14"/>
  <c r="AZ170" i="14"/>
  <c r="BA67" i="14"/>
  <c r="BD66" i="14"/>
  <c r="AJ130" i="14"/>
  <c r="AN129" i="14"/>
  <c r="AP69" i="14"/>
  <c r="AQ69" i="14" s="1"/>
  <c r="AS69" i="14" s="1"/>
  <c r="X130" i="14"/>
  <c r="BI130" i="14" s="1"/>
  <c r="BK130" i="14" s="1"/>
  <c r="AB129" i="14"/>
  <c r="Y129" i="14"/>
  <c r="AA129" i="14" s="1"/>
  <c r="AE48" i="14"/>
  <c r="AG48" i="14" s="1"/>
  <c r="B130" i="14"/>
  <c r="AM129" i="19" l="1"/>
  <c r="AA129" i="19"/>
  <c r="B131" i="15"/>
  <c r="F130" i="15"/>
  <c r="AO65" i="19"/>
  <c r="BB75" i="19"/>
  <c r="BC75" i="19" s="1"/>
  <c r="BE75" i="19" s="1"/>
  <c r="AR64" i="19"/>
  <c r="AC64" i="19"/>
  <c r="BL131" i="19"/>
  <c r="BH132" i="19"/>
  <c r="BN77" i="19"/>
  <c r="BO77" i="19" s="1"/>
  <c r="BQ77" i="19" s="1"/>
  <c r="AF63" i="19"/>
  <c r="Y130" i="19"/>
  <c r="BI130" i="19"/>
  <c r="BK130" i="19" s="1"/>
  <c r="AW130" i="19"/>
  <c r="AY130" i="19" s="1"/>
  <c r="AB130" i="19"/>
  <c r="X131" i="19"/>
  <c r="AK130" i="19"/>
  <c r="AN130" i="19"/>
  <c r="AJ131" i="19"/>
  <c r="AV132" i="19"/>
  <c r="AZ131" i="19"/>
  <c r="E130" i="19"/>
  <c r="B131" i="19"/>
  <c r="P130" i="19"/>
  <c r="AP75" i="18"/>
  <c r="AQ75" i="18" s="1"/>
  <c r="AS75" i="18" s="1"/>
  <c r="AW130" i="18"/>
  <c r="AY130" i="18" s="1"/>
  <c r="AB130" i="18"/>
  <c r="AK130" i="18"/>
  <c r="AM130" i="18" s="1"/>
  <c r="X131" i="18"/>
  <c r="Y130" i="18"/>
  <c r="AA130" i="18" s="1"/>
  <c r="BI130" i="18"/>
  <c r="BK130" i="18" s="1"/>
  <c r="AD62" i="18"/>
  <c r="AE62" i="18" s="1"/>
  <c r="AG62" i="18" s="1"/>
  <c r="AN131" i="18"/>
  <c r="AJ132" i="18"/>
  <c r="P130" i="18"/>
  <c r="E130" i="18"/>
  <c r="B131" i="18"/>
  <c r="BL130" i="18"/>
  <c r="BH131" i="18"/>
  <c r="BB64" i="18"/>
  <c r="BC64" i="18" s="1"/>
  <c r="BE64" i="18" s="1"/>
  <c r="AZ131" i="18"/>
  <c r="AV132" i="18"/>
  <c r="BN64" i="18"/>
  <c r="BO64" i="18" s="1"/>
  <c r="BQ64" i="18" s="1"/>
  <c r="AO64" i="17"/>
  <c r="AR63" i="17"/>
  <c r="AJ133" i="17"/>
  <c r="AN132" i="17"/>
  <c r="AB130" i="17"/>
  <c r="Y130" i="17"/>
  <c r="AA130" i="17" s="1"/>
  <c r="BI130" i="17"/>
  <c r="BK130" i="17" s="1"/>
  <c r="AW130" i="17"/>
  <c r="AY130" i="17" s="1"/>
  <c r="AK130" i="17"/>
  <c r="AM130" i="17" s="1"/>
  <c r="X131" i="17"/>
  <c r="E130" i="17"/>
  <c r="B131" i="17"/>
  <c r="P130" i="17"/>
  <c r="AC65" i="17"/>
  <c r="AF64" i="17"/>
  <c r="AV132" i="17"/>
  <c r="AZ131" i="17"/>
  <c r="BA66" i="17"/>
  <c r="BL133" i="17"/>
  <c r="BH134" i="17"/>
  <c r="BN67" i="17"/>
  <c r="BO67" i="17" s="1"/>
  <c r="BQ67" i="17" s="1"/>
  <c r="BD65" i="17"/>
  <c r="BA65" i="16"/>
  <c r="BM65" i="16"/>
  <c r="AD66" i="16"/>
  <c r="AE66" i="16" s="1"/>
  <c r="AG66" i="16" s="1"/>
  <c r="P131" i="16"/>
  <c r="B132" i="16"/>
  <c r="E131" i="16"/>
  <c r="BP64" i="16"/>
  <c r="AO65" i="16"/>
  <c r="AR64" i="16"/>
  <c r="AW131" i="16"/>
  <c r="AY131" i="16" s="1"/>
  <c r="X132" i="16"/>
  <c r="AK131" i="16"/>
  <c r="AM131" i="16" s="1"/>
  <c r="BI131" i="16"/>
  <c r="BK131" i="16" s="1"/>
  <c r="AB131" i="16"/>
  <c r="Y131" i="16"/>
  <c r="AA131" i="16" s="1"/>
  <c r="AV132" i="16"/>
  <c r="AZ131" i="16"/>
  <c r="BD64" i="16"/>
  <c r="AJ131" i="16"/>
  <c r="AN130" i="16"/>
  <c r="BH133" i="16"/>
  <c r="BL132" i="16"/>
  <c r="BH131" i="14"/>
  <c r="BL130" i="14"/>
  <c r="BN69" i="14"/>
  <c r="BO69" i="14" s="1"/>
  <c r="BQ69" i="14" s="1"/>
  <c r="P130" i="14"/>
  <c r="E130" i="14"/>
  <c r="AV172" i="14"/>
  <c r="AZ171" i="14"/>
  <c r="AK130" i="14"/>
  <c r="AM130" i="14" s="1"/>
  <c r="AW130" i="14"/>
  <c r="AY130" i="14" s="1"/>
  <c r="BB67" i="14"/>
  <c r="BC67" i="14" s="1"/>
  <c r="BE67" i="14" s="1"/>
  <c r="AJ131" i="14"/>
  <c r="AN130" i="14"/>
  <c r="AO70" i="14"/>
  <c r="AR69" i="14"/>
  <c r="X131" i="14"/>
  <c r="BI131" i="14" s="1"/>
  <c r="BK131" i="14" s="1"/>
  <c r="AB130" i="14"/>
  <c r="Y130" i="14"/>
  <c r="AA130" i="14" s="1"/>
  <c r="AC49" i="14"/>
  <c r="AF48" i="14"/>
  <c r="B131" i="14"/>
  <c r="AM130" i="19" l="1"/>
  <c r="AA130" i="19"/>
  <c r="B132" i="15"/>
  <c r="F131" i="15"/>
  <c r="BM78" i="19"/>
  <c r="BA76" i="19"/>
  <c r="BI131" i="19"/>
  <c r="BK131" i="19" s="1"/>
  <c r="AW131" i="19"/>
  <c r="AY131" i="19" s="1"/>
  <c r="AB131" i="19"/>
  <c r="AK131" i="19"/>
  <c r="X132" i="19"/>
  <c r="Y131" i="19"/>
  <c r="E131" i="19"/>
  <c r="B132" i="19"/>
  <c r="P131" i="19"/>
  <c r="BP77" i="19"/>
  <c r="BD75" i="19"/>
  <c r="BL132" i="19"/>
  <c r="BH133" i="19"/>
  <c r="AV133" i="19"/>
  <c r="AZ132" i="19"/>
  <c r="AP65" i="19"/>
  <c r="AQ65" i="19" s="1"/>
  <c r="AS65" i="19" s="1"/>
  <c r="AN131" i="19"/>
  <c r="AJ132" i="19"/>
  <c r="AD64" i="19"/>
  <c r="AE64" i="19" s="1"/>
  <c r="AG64" i="19" s="1"/>
  <c r="AC63" i="18"/>
  <c r="BM65" i="18"/>
  <c r="P131" i="18"/>
  <c r="E131" i="18"/>
  <c r="B132" i="18"/>
  <c r="BA65" i="18"/>
  <c r="BD64" i="18"/>
  <c r="AK131" i="18"/>
  <c r="AM131" i="18" s="1"/>
  <c r="X132" i="18"/>
  <c r="Y131" i="18"/>
  <c r="AA131" i="18" s="1"/>
  <c r="BI131" i="18"/>
  <c r="BK131" i="18" s="1"/>
  <c r="AW131" i="18"/>
  <c r="AY131" i="18" s="1"/>
  <c r="AB131" i="18"/>
  <c r="AN132" i="18"/>
  <c r="AJ133" i="18"/>
  <c r="BL131" i="18"/>
  <c r="BH132" i="18"/>
  <c r="BP64" i="18"/>
  <c r="AF62" i="18"/>
  <c r="AO76" i="18"/>
  <c r="AZ132" i="18"/>
  <c r="AV133" i="18"/>
  <c r="AR75" i="18"/>
  <c r="BB66" i="17"/>
  <c r="BC66" i="17" s="1"/>
  <c r="BE66" i="17" s="1"/>
  <c r="AZ132" i="17"/>
  <c r="AV133" i="17"/>
  <c r="P131" i="17"/>
  <c r="E131" i="17"/>
  <c r="B132" i="17"/>
  <c r="BM68" i="17"/>
  <c r="BP67" i="17"/>
  <c r="BL134" i="17"/>
  <c r="BH135" i="17"/>
  <c r="AD65" i="17"/>
  <c r="AE65" i="17" s="1"/>
  <c r="AG65" i="17" s="1"/>
  <c r="X132" i="17"/>
  <c r="BI131" i="17"/>
  <c r="BK131" i="17" s="1"/>
  <c r="AB131" i="17"/>
  <c r="AK131" i="17"/>
  <c r="AM131" i="17" s="1"/>
  <c r="AW131" i="17"/>
  <c r="AY131" i="17" s="1"/>
  <c r="Y131" i="17"/>
  <c r="AA131" i="17" s="1"/>
  <c r="AN133" i="17"/>
  <c r="AJ134" i="17"/>
  <c r="AP64" i="17"/>
  <c r="AQ64" i="17" s="1"/>
  <c r="AS64" i="17" s="1"/>
  <c r="BL133" i="16"/>
  <c r="BH134" i="16"/>
  <c r="B133" i="16"/>
  <c r="E132" i="16"/>
  <c r="P132" i="16"/>
  <c r="BN65" i="16"/>
  <c r="BO65" i="16" s="1"/>
  <c r="BQ65" i="16" s="1"/>
  <c r="AN131" i="16"/>
  <c r="AJ132" i="16"/>
  <c r="AB132" i="16"/>
  <c r="AK132" i="16"/>
  <c r="AM132" i="16" s="1"/>
  <c r="Y132" i="16"/>
  <c r="AA132" i="16" s="1"/>
  <c r="AW132" i="16"/>
  <c r="AY132" i="16" s="1"/>
  <c r="X133" i="16"/>
  <c r="BI132" i="16"/>
  <c r="BK132" i="16" s="1"/>
  <c r="AC67" i="16"/>
  <c r="AP65" i="16"/>
  <c r="AQ65" i="16" s="1"/>
  <c r="AS65" i="16" s="1"/>
  <c r="AF66" i="16"/>
  <c r="BB65" i="16"/>
  <c r="BC65" i="16" s="1"/>
  <c r="BE65" i="16" s="1"/>
  <c r="AZ132" i="16"/>
  <c r="AV133" i="16"/>
  <c r="BH132" i="14"/>
  <c r="BL131" i="14"/>
  <c r="BM70" i="14"/>
  <c r="BP69" i="14"/>
  <c r="P131" i="14"/>
  <c r="E131" i="14"/>
  <c r="AK131" i="14"/>
  <c r="AM131" i="14" s="1"/>
  <c r="AW131" i="14"/>
  <c r="AY131" i="14" s="1"/>
  <c r="AV173" i="14"/>
  <c r="AZ172" i="14"/>
  <c r="BA68" i="14"/>
  <c r="BD67" i="14"/>
  <c r="AJ132" i="14"/>
  <c r="AN131" i="14"/>
  <c r="AP70" i="14"/>
  <c r="AQ70" i="14" s="1"/>
  <c r="AS70" i="14" s="1"/>
  <c r="X132" i="14"/>
  <c r="BI132" i="14" s="1"/>
  <c r="BK132" i="14" s="1"/>
  <c r="AB131" i="14"/>
  <c r="Y131" i="14"/>
  <c r="AA131" i="14" s="1"/>
  <c r="AD49" i="14"/>
  <c r="B132" i="14"/>
  <c r="AM131" i="19" l="1"/>
  <c r="AA131" i="19"/>
  <c r="B133" i="15"/>
  <c r="F132" i="15"/>
  <c r="AJ133" i="19"/>
  <c r="AN132" i="19"/>
  <c r="AO66" i="19"/>
  <c r="AW132" i="19"/>
  <c r="AY132" i="19" s="1"/>
  <c r="AB132" i="19"/>
  <c r="AK132" i="19"/>
  <c r="X133" i="19"/>
  <c r="Y132" i="19"/>
  <c r="BI132" i="19"/>
  <c r="BK132" i="19" s="1"/>
  <c r="AR65" i="19"/>
  <c r="BB76" i="19"/>
  <c r="BC76" i="19" s="1"/>
  <c r="BE76" i="19" s="1"/>
  <c r="AC65" i="19"/>
  <c r="AZ133" i="19"/>
  <c r="AV134" i="19"/>
  <c r="P132" i="19"/>
  <c r="E132" i="19"/>
  <c r="B133" i="19"/>
  <c r="AF64" i="19"/>
  <c r="BL133" i="19"/>
  <c r="BH134" i="19"/>
  <c r="BN78" i="19"/>
  <c r="AN133" i="18"/>
  <c r="AJ134" i="18"/>
  <c r="E132" i="18"/>
  <c r="B133" i="18"/>
  <c r="P132" i="18"/>
  <c r="AV134" i="18"/>
  <c r="AZ133" i="18"/>
  <c r="BB65" i="18"/>
  <c r="BC65" i="18" s="1"/>
  <c r="BE65" i="18" s="1"/>
  <c r="BH133" i="18"/>
  <c r="BL132" i="18"/>
  <c r="BN65" i="18"/>
  <c r="BO65" i="18" s="1"/>
  <c r="BQ65" i="18" s="1"/>
  <c r="AP76" i="18"/>
  <c r="AQ76" i="18" s="1"/>
  <c r="AS76" i="18" s="1"/>
  <c r="AD63" i="18"/>
  <c r="AE63" i="18" s="1"/>
  <c r="AG63" i="18" s="1"/>
  <c r="Y132" i="18"/>
  <c r="AA132" i="18" s="1"/>
  <c r="BI132" i="18"/>
  <c r="BK132" i="18" s="1"/>
  <c r="AW132" i="18"/>
  <c r="AY132" i="18" s="1"/>
  <c r="AB132" i="18"/>
  <c r="AK132" i="18"/>
  <c r="AM132" i="18" s="1"/>
  <c r="X133" i="18"/>
  <c r="AO65" i="17"/>
  <c r="AR64" i="17"/>
  <c r="B133" i="17"/>
  <c r="P132" i="17"/>
  <c r="E132" i="17"/>
  <c r="BA67" i="17"/>
  <c r="AJ135" i="17"/>
  <c r="AN134" i="17"/>
  <c r="AW132" i="17"/>
  <c r="AY132" i="17" s="1"/>
  <c r="BI132" i="17"/>
  <c r="BK132" i="17" s="1"/>
  <c r="Y132" i="17"/>
  <c r="AA132" i="17" s="1"/>
  <c r="AK132" i="17"/>
  <c r="AM132" i="17" s="1"/>
  <c r="X133" i="17"/>
  <c r="AB132" i="17"/>
  <c r="BD66" i="17"/>
  <c r="AC66" i="17"/>
  <c r="AF65" i="17"/>
  <c r="BL135" i="17"/>
  <c r="BH136" i="17"/>
  <c r="AV134" i="17"/>
  <c r="AZ133" i="17"/>
  <c r="BN68" i="17"/>
  <c r="BO68" i="17" s="1"/>
  <c r="BQ68" i="17" s="1"/>
  <c r="BM66" i="16"/>
  <c r="AO66" i="16"/>
  <c r="AV134" i="16"/>
  <c r="AZ133" i="16"/>
  <c r="AR65" i="16"/>
  <c r="P133" i="16"/>
  <c r="E133" i="16"/>
  <c r="B134" i="16"/>
  <c r="AD67" i="16"/>
  <c r="AE67" i="16" s="1"/>
  <c r="AG67" i="16" s="1"/>
  <c r="AJ133" i="16"/>
  <c r="AN132" i="16"/>
  <c r="BH135" i="16"/>
  <c r="BL134" i="16"/>
  <c r="BA66" i="16"/>
  <c r="BD65" i="16"/>
  <c r="X134" i="16"/>
  <c r="Y133" i="16"/>
  <c r="AA133" i="16" s="1"/>
  <c r="BI133" i="16"/>
  <c r="BK133" i="16" s="1"/>
  <c r="AK133" i="16"/>
  <c r="AM133" i="16" s="1"/>
  <c r="AB133" i="16"/>
  <c r="AW133" i="16"/>
  <c r="AY133" i="16" s="1"/>
  <c r="BP65" i="16"/>
  <c r="BH133" i="14"/>
  <c r="BL132" i="14"/>
  <c r="BN70" i="14"/>
  <c r="BO70" i="14" s="1"/>
  <c r="BQ70" i="14" s="1"/>
  <c r="P132" i="14"/>
  <c r="E132" i="14"/>
  <c r="AV174" i="14"/>
  <c r="AZ173" i="14"/>
  <c r="AK132" i="14"/>
  <c r="AM132" i="14" s="1"/>
  <c r="AW132" i="14"/>
  <c r="AY132" i="14" s="1"/>
  <c r="BB68" i="14"/>
  <c r="AJ133" i="14"/>
  <c r="AN132" i="14"/>
  <c r="AO71" i="14"/>
  <c r="AR70" i="14"/>
  <c r="X133" i="14"/>
  <c r="BI133" i="14" s="1"/>
  <c r="BK133" i="14" s="1"/>
  <c r="AB132" i="14"/>
  <c r="Y132" i="14"/>
  <c r="AA132" i="14" s="1"/>
  <c r="AE49" i="14"/>
  <c r="AG49" i="14" s="1"/>
  <c r="B133" i="14"/>
  <c r="AM132" i="19" l="1"/>
  <c r="AA132" i="19"/>
  <c r="B134" i="15"/>
  <c r="F133" i="15"/>
  <c r="BA77" i="19"/>
  <c r="AK133" i="19"/>
  <c r="X134" i="19"/>
  <c r="Y133" i="19"/>
  <c r="BI133" i="19"/>
  <c r="BK133" i="19" s="1"/>
  <c r="AB133" i="19"/>
  <c r="AW133" i="19"/>
  <c r="AY133" i="19" s="1"/>
  <c r="BH135" i="19"/>
  <c r="BL134" i="19"/>
  <c r="AZ134" i="19"/>
  <c r="AV135" i="19"/>
  <c r="AD65" i="19"/>
  <c r="AE65" i="19" s="1"/>
  <c r="AG65" i="19" s="1"/>
  <c r="AP66" i="19"/>
  <c r="AQ66" i="19" s="1"/>
  <c r="AS66" i="19" s="1"/>
  <c r="AN133" i="19"/>
  <c r="AJ134" i="19"/>
  <c r="P133" i="19"/>
  <c r="E133" i="19"/>
  <c r="B134" i="19"/>
  <c r="BO78" i="19"/>
  <c r="BQ78" i="19" s="1"/>
  <c r="BD76" i="19"/>
  <c r="AC64" i="18"/>
  <c r="BA66" i="18"/>
  <c r="BM66" i="18"/>
  <c r="AJ135" i="18"/>
  <c r="AN134" i="18"/>
  <c r="BP65" i="18"/>
  <c r="BI133" i="18"/>
  <c r="BK133" i="18" s="1"/>
  <c r="AW133" i="18"/>
  <c r="AY133" i="18" s="1"/>
  <c r="AB133" i="18"/>
  <c r="AK133" i="18"/>
  <c r="AM133" i="18" s="1"/>
  <c r="X134" i="18"/>
  <c r="Y133" i="18"/>
  <c r="AA133" i="18" s="1"/>
  <c r="AF63" i="18"/>
  <c r="AZ134" i="18"/>
  <c r="AV135" i="18"/>
  <c r="BL133" i="18"/>
  <c r="BH134" i="18"/>
  <c r="AO77" i="18"/>
  <c r="BD65" i="18"/>
  <c r="P133" i="18"/>
  <c r="E133" i="18"/>
  <c r="B134" i="18"/>
  <c r="AR76" i="18"/>
  <c r="BM69" i="17"/>
  <c r="BP68" i="17"/>
  <c r="AV135" i="17"/>
  <c r="AZ134" i="17"/>
  <c r="BH137" i="17"/>
  <c r="BL136" i="17"/>
  <c r="AD66" i="17"/>
  <c r="AE66" i="17" s="1"/>
  <c r="AG66" i="17" s="1"/>
  <c r="E133" i="17"/>
  <c r="P133" i="17"/>
  <c r="B134" i="17"/>
  <c r="AN135" i="17"/>
  <c r="AJ136" i="17"/>
  <c r="AK133" i="17"/>
  <c r="AM133" i="17" s="1"/>
  <c r="AB133" i="17"/>
  <c r="AW133" i="17"/>
  <c r="AY133" i="17" s="1"/>
  <c r="BI133" i="17"/>
  <c r="BK133" i="17" s="1"/>
  <c r="X134" i="17"/>
  <c r="Y133" i="17"/>
  <c r="AA133" i="17" s="1"/>
  <c r="BB67" i="17"/>
  <c r="BC67" i="17" s="1"/>
  <c r="BE67" i="17" s="1"/>
  <c r="AP65" i="17"/>
  <c r="AQ65" i="17" s="1"/>
  <c r="AS65" i="17" s="1"/>
  <c r="AC68" i="16"/>
  <c r="AF67" i="16"/>
  <c r="BB66" i="16"/>
  <c r="BC66" i="16" s="1"/>
  <c r="BE66" i="16" s="1"/>
  <c r="B135" i="16"/>
  <c r="E134" i="16"/>
  <c r="P134" i="16"/>
  <c r="BL135" i="16"/>
  <c r="BH136" i="16"/>
  <c r="AP66" i="16"/>
  <c r="AZ134" i="16"/>
  <c r="AV135" i="16"/>
  <c r="BN66" i="16"/>
  <c r="BO66" i="16" s="1"/>
  <c r="BQ66" i="16" s="1"/>
  <c r="BI134" i="16"/>
  <c r="BK134" i="16" s="1"/>
  <c r="AB134" i="16"/>
  <c r="X135" i="16"/>
  <c r="AW134" i="16"/>
  <c r="AY134" i="16" s="1"/>
  <c r="Y134" i="16"/>
  <c r="AA134" i="16" s="1"/>
  <c r="AK134" i="16"/>
  <c r="AM134" i="16" s="1"/>
  <c r="AN133" i="16"/>
  <c r="AJ134" i="16"/>
  <c r="BH134" i="14"/>
  <c r="BL133" i="14"/>
  <c r="BM71" i="14"/>
  <c r="BP70" i="14"/>
  <c r="P133" i="14"/>
  <c r="E133" i="14"/>
  <c r="AK133" i="14"/>
  <c r="AM133" i="14" s="1"/>
  <c r="AW133" i="14"/>
  <c r="AY133" i="14" s="1"/>
  <c r="AV175" i="14"/>
  <c r="AZ174" i="14"/>
  <c r="BC68" i="14"/>
  <c r="BE68" i="14" s="1"/>
  <c r="AJ134" i="14"/>
  <c r="AN133" i="14"/>
  <c r="AP71" i="14"/>
  <c r="AQ71" i="14" s="1"/>
  <c r="AS71" i="14" s="1"/>
  <c r="X134" i="14"/>
  <c r="BI134" i="14" s="1"/>
  <c r="BK134" i="14" s="1"/>
  <c r="Y133" i="14"/>
  <c r="AA133" i="14" s="1"/>
  <c r="AB133" i="14"/>
  <c r="AC50" i="14"/>
  <c r="AF49" i="14"/>
  <c r="B134" i="14"/>
  <c r="AM133" i="19" l="1"/>
  <c r="AA133" i="19"/>
  <c r="B135" i="15"/>
  <c r="F134" i="15"/>
  <c r="AO67" i="19"/>
  <c r="E134" i="19"/>
  <c r="B135" i="19"/>
  <c r="P134" i="19"/>
  <c r="AR66" i="19"/>
  <c r="AV136" i="19"/>
  <c r="AZ135" i="19"/>
  <c r="Y134" i="19"/>
  <c r="BI134" i="19"/>
  <c r="BK134" i="19" s="1"/>
  <c r="AW134" i="19"/>
  <c r="AY134" i="19" s="1"/>
  <c r="X135" i="19"/>
  <c r="AK134" i="19"/>
  <c r="AB134" i="19"/>
  <c r="BM79" i="19"/>
  <c r="AN134" i="19"/>
  <c r="AJ135" i="19"/>
  <c r="AC66" i="19"/>
  <c r="AF65" i="19"/>
  <c r="BP78" i="19"/>
  <c r="BL135" i="19"/>
  <c r="BH136" i="19"/>
  <c r="BB77" i="19"/>
  <c r="BC77" i="19" s="1"/>
  <c r="BE77" i="19" s="1"/>
  <c r="AZ135" i="18"/>
  <c r="AV136" i="18"/>
  <c r="P134" i="18"/>
  <c r="E134" i="18"/>
  <c r="B135" i="18"/>
  <c r="BN66" i="18"/>
  <c r="BO66" i="18" s="1"/>
  <c r="BQ66" i="18" s="1"/>
  <c r="BB66" i="18"/>
  <c r="BC66" i="18" s="1"/>
  <c r="BE66" i="18" s="1"/>
  <c r="AN135" i="18"/>
  <c r="AJ136" i="18"/>
  <c r="AP77" i="18"/>
  <c r="AQ77" i="18" s="1"/>
  <c r="AS77" i="18" s="1"/>
  <c r="BL134" i="18"/>
  <c r="BH135" i="18"/>
  <c r="AW134" i="18"/>
  <c r="AY134" i="18" s="1"/>
  <c r="AB134" i="18"/>
  <c r="AK134" i="18"/>
  <c r="AM134" i="18" s="1"/>
  <c r="X135" i="18"/>
  <c r="Y134" i="18"/>
  <c r="AA134" i="18" s="1"/>
  <c r="BI134" i="18"/>
  <c r="BK134" i="18" s="1"/>
  <c r="AD64" i="18"/>
  <c r="AE64" i="18" s="1"/>
  <c r="AG64" i="18" s="1"/>
  <c r="BA68" i="17"/>
  <c r="AO66" i="17"/>
  <c r="AR65" i="17"/>
  <c r="AC67" i="17"/>
  <c r="AZ135" i="17"/>
  <c r="AV136" i="17"/>
  <c r="AF66" i="17"/>
  <c r="BD67" i="17"/>
  <c r="BL137" i="17"/>
  <c r="BH138" i="17"/>
  <c r="E134" i="17"/>
  <c r="B135" i="17"/>
  <c r="P134" i="17"/>
  <c r="AB134" i="17"/>
  <c r="AK134" i="17"/>
  <c r="AM134" i="17" s="1"/>
  <c r="Y134" i="17"/>
  <c r="AA134" i="17" s="1"/>
  <c r="X135" i="17"/>
  <c r="AW134" i="17"/>
  <c r="AY134" i="17" s="1"/>
  <c r="BI134" i="17"/>
  <c r="BK134" i="17" s="1"/>
  <c r="BN69" i="17"/>
  <c r="BO69" i="17" s="1"/>
  <c r="BQ69" i="17" s="1"/>
  <c r="AJ137" i="17"/>
  <c r="AN136" i="17"/>
  <c r="BH137" i="16"/>
  <c r="BL136" i="16"/>
  <c r="AJ135" i="16"/>
  <c r="AN134" i="16"/>
  <c r="BM67" i="16"/>
  <c r="P135" i="16"/>
  <c r="E135" i="16"/>
  <c r="B136" i="16"/>
  <c r="BP66" i="16"/>
  <c r="AV136" i="16"/>
  <c r="AZ135" i="16"/>
  <c r="BA67" i="16"/>
  <c r="AD68" i="16"/>
  <c r="AE68" i="16" s="1"/>
  <c r="AG68" i="16" s="1"/>
  <c r="AW135" i="16"/>
  <c r="AY135" i="16" s="1"/>
  <c r="X136" i="16"/>
  <c r="AK135" i="16"/>
  <c r="AM135" i="16" s="1"/>
  <c r="BI135" i="16"/>
  <c r="BK135" i="16" s="1"/>
  <c r="AB135" i="16"/>
  <c r="Y135" i="16"/>
  <c r="AA135" i="16" s="1"/>
  <c r="AQ66" i="16"/>
  <c r="AS66" i="16" s="1"/>
  <c r="BD66" i="16"/>
  <c r="BH135" i="14"/>
  <c r="BL134" i="14"/>
  <c r="BN71" i="14"/>
  <c r="BO71" i="14" s="1"/>
  <c r="BQ71" i="14" s="1"/>
  <c r="P134" i="14"/>
  <c r="E134" i="14"/>
  <c r="AV176" i="14"/>
  <c r="AZ175" i="14"/>
  <c r="AK134" i="14"/>
  <c r="AM134" i="14" s="1"/>
  <c r="AW134" i="14"/>
  <c r="AY134" i="14" s="1"/>
  <c r="BA69" i="14"/>
  <c r="BD68" i="14"/>
  <c r="AJ135" i="14"/>
  <c r="AN134" i="14"/>
  <c r="AO72" i="14"/>
  <c r="AR71" i="14"/>
  <c r="X135" i="14"/>
  <c r="BI135" i="14" s="1"/>
  <c r="BK135" i="14" s="1"/>
  <c r="AB134" i="14"/>
  <c r="Y134" i="14"/>
  <c r="AA134" i="14" s="1"/>
  <c r="AD50" i="14"/>
  <c r="B135" i="14"/>
  <c r="AM134" i="19" l="1"/>
  <c r="AA134" i="19"/>
  <c r="B136" i="15"/>
  <c r="F135" i="15"/>
  <c r="BA78" i="19"/>
  <c r="BI135" i="19"/>
  <c r="BK135" i="19" s="1"/>
  <c r="AW135" i="19"/>
  <c r="AY135" i="19" s="1"/>
  <c r="AB135" i="19"/>
  <c r="AK135" i="19"/>
  <c r="X136" i="19"/>
  <c r="Y135" i="19"/>
  <c r="BD77" i="19"/>
  <c r="AD66" i="19"/>
  <c r="BL136" i="19"/>
  <c r="BH137" i="19"/>
  <c r="AN135" i="19"/>
  <c r="AJ136" i="19"/>
  <c r="BN79" i="19"/>
  <c r="BO79" i="19" s="1"/>
  <c r="BQ79" i="19" s="1"/>
  <c r="B136" i="19"/>
  <c r="P135" i="19"/>
  <c r="E135" i="19"/>
  <c r="AP67" i="19"/>
  <c r="AQ67" i="19" s="1"/>
  <c r="AS67" i="19" s="1"/>
  <c r="AV137" i="19"/>
  <c r="AZ136" i="19"/>
  <c r="BM67" i="18"/>
  <c r="BA67" i="18"/>
  <c r="AK135" i="18"/>
  <c r="AM135" i="18" s="1"/>
  <c r="X136" i="18"/>
  <c r="Y135" i="18"/>
  <c r="AA135" i="18" s="1"/>
  <c r="BI135" i="18"/>
  <c r="BK135" i="18" s="1"/>
  <c r="AW135" i="18"/>
  <c r="AY135" i="18" s="1"/>
  <c r="AB135" i="18"/>
  <c r="AJ137" i="18"/>
  <c r="AN136" i="18"/>
  <c r="P135" i="18"/>
  <c r="E135" i="18"/>
  <c r="B136" i="18"/>
  <c r="AC65" i="18"/>
  <c r="BL135" i="18"/>
  <c r="BH136" i="18"/>
  <c r="BD66" i="18"/>
  <c r="AV137" i="18"/>
  <c r="AZ136" i="18"/>
  <c r="AF64" i="18"/>
  <c r="AO78" i="18"/>
  <c r="BP66" i="18"/>
  <c r="AR77" i="18"/>
  <c r="P135" i="17"/>
  <c r="E135" i="17"/>
  <c r="B136" i="17"/>
  <c r="AD67" i="17"/>
  <c r="AN137" i="17"/>
  <c r="AJ138" i="17"/>
  <c r="X136" i="17"/>
  <c r="Y135" i="17"/>
  <c r="AA135" i="17" s="1"/>
  <c r="BI135" i="17"/>
  <c r="BK135" i="17" s="1"/>
  <c r="AW135" i="17"/>
  <c r="AY135" i="17" s="1"/>
  <c r="AB135" i="17"/>
  <c r="AK135" i="17"/>
  <c r="AM135" i="17" s="1"/>
  <c r="BM70" i="17"/>
  <c r="BP69" i="17"/>
  <c r="AP66" i="17"/>
  <c r="AQ66" i="17" s="1"/>
  <c r="AS66" i="17" s="1"/>
  <c r="BH139" i="17"/>
  <c r="BL138" i="17"/>
  <c r="AZ136" i="17"/>
  <c r="AV137" i="17"/>
  <c r="BB68" i="17"/>
  <c r="BC68" i="17" s="1"/>
  <c r="BE68" i="17" s="1"/>
  <c r="AC69" i="16"/>
  <c r="AF68" i="16"/>
  <c r="AN135" i="16"/>
  <c r="AJ136" i="16"/>
  <c r="BB67" i="16"/>
  <c r="BC67" i="16" s="1"/>
  <c r="BE67" i="16" s="1"/>
  <c r="B137" i="16"/>
  <c r="E136" i="16"/>
  <c r="P136" i="16"/>
  <c r="AO67" i="16"/>
  <c r="AZ136" i="16"/>
  <c r="AV137" i="16"/>
  <c r="BL137" i="16"/>
  <c r="BH138" i="16"/>
  <c r="AB136" i="16"/>
  <c r="AK136" i="16"/>
  <c r="AM136" i="16" s="1"/>
  <c r="Y136" i="16"/>
  <c r="AA136" i="16" s="1"/>
  <c r="AW136" i="16"/>
  <c r="AY136" i="16" s="1"/>
  <c r="X137" i="16"/>
  <c r="BI136" i="16"/>
  <c r="BK136" i="16" s="1"/>
  <c r="BN67" i="16"/>
  <c r="BO67" i="16" s="1"/>
  <c r="BQ67" i="16" s="1"/>
  <c r="AR66" i="16"/>
  <c r="BH136" i="14"/>
  <c r="BL135" i="14"/>
  <c r="BM72" i="14"/>
  <c r="BP71" i="14"/>
  <c r="P135" i="14"/>
  <c r="E135" i="14"/>
  <c r="AK135" i="14"/>
  <c r="AM135" i="14" s="1"/>
  <c r="AW135" i="14"/>
  <c r="AY135" i="14" s="1"/>
  <c r="AV177" i="14"/>
  <c r="AZ176" i="14"/>
  <c r="BB69" i="14"/>
  <c r="BC69" i="14" s="1"/>
  <c r="BE69" i="14" s="1"/>
  <c r="AJ136" i="14"/>
  <c r="AN135" i="14"/>
  <c r="AP72" i="14"/>
  <c r="AQ72" i="14" s="1"/>
  <c r="AS72" i="14" s="1"/>
  <c r="X136" i="14"/>
  <c r="BI136" i="14" s="1"/>
  <c r="BK136" i="14" s="1"/>
  <c r="Y135" i="14"/>
  <c r="AA135" i="14" s="1"/>
  <c r="AB135" i="14"/>
  <c r="AE50" i="14"/>
  <c r="AG50" i="14" s="1"/>
  <c r="B136" i="14"/>
  <c r="AM135" i="19" l="1"/>
  <c r="AA135" i="19"/>
  <c r="B137" i="15"/>
  <c r="F136" i="15"/>
  <c r="BM80" i="19"/>
  <c r="P136" i="19"/>
  <c r="E136" i="19"/>
  <c r="B137" i="19"/>
  <c r="AJ137" i="19"/>
  <c r="AN136" i="19"/>
  <c r="AZ137" i="19"/>
  <c r="AV138" i="19"/>
  <c r="BP79" i="19"/>
  <c r="AO68" i="19"/>
  <c r="BL137" i="19"/>
  <c r="BH138" i="19"/>
  <c r="AR67" i="19"/>
  <c r="AW136" i="19"/>
  <c r="AY136" i="19" s="1"/>
  <c r="AB136" i="19"/>
  <c r="AK136" i="19"/>
  <c r="X137" i="19"/>
  <c r="Y136" i="19"/>
  <c r="BI136" i="19"/>
  <c r="BK136" i="19" s="1"/>
  <c r="AE66" i="19"/>
  <c r="AG66" i="19" s="1"/>
  <c r="BB78" i="19"/>
  <c r="AD65" i="18"/>
  <c r="AE65" i="18" s="1"/>
  <c r="AG65" i="18" s="1"/>
  <c r="Y136" i="18"/>
  <c r="AA136" i="18" s="1"/>
  <c r="BI136" i="18"/>
  <c r="BK136" i="18" s="1"/>
  <c r="AW136" i="18"/>
  <c r="AY136" i="18" s="1"/>
  <c r="AB136" i="18"/>
  <c r="AK136" i="18"/>
  <c r="AM136" i="18" s="1"/>
  <c r="X137" i="18"/>
  <c r="AV138" i="18"/>
  <c r="AZ137" i="18"/>
  <c r="E136" i="18"/>
  <c r="B137" i="18"/>
  <c r="P136" i="18"/>
  <c r="BH137" i="18"/>
  <c r="BL136" i="18"/>
  <c r="AN137" i="18"/>
  <c r="AJ138" i="18"/>
  <c r="BB67" i="18"/>
  <c r="BC67" i="18" s="1"/>
  <c r="BE67" i="18" s="1"/>
  <c r="AP78" i="18"/>
  <c r="BN67" i="18"/>
  <c r="BO67" i="18" s="1"/>
  <c r="BQ67" i="18" s="1"/>
  <c r="BA69" i="17"/>
  <c r="BL139" i="17"/>
  <c r="BH140" i="17"/>
  <c r="BD68" i="17"/>
  <c r="AO67" i="17"/>
  <c r="AV138" i="17"/>
  <c r="AZ137" i="17"/>
  <c r="AR66" i="17"/>
  <c r="BN70" i="17"/>
  <c r="BO70" i="17" s="1"/>
  <c r="BQ70" i="17" s="1"/>
  <c r="B137" i="17"/>
  <c r="P136" i="17"/>
  <c r="E136" i="17"/>
  <c r="BI136" i="17"/>
  <c r="BK136" i="17" s="1"/>
  <c r="AW136" i="17"/>
  <c r="AY136" i="17" s="1"/>
  <c r="AK136" i="17"/>
  <c r="AM136" i="17" s="1"/>
  <c r="X137" i="17"/>
  <c r="Y136" i="17"/>
  <c r="AA136" i="17" s="1"/>
  <c r="AB136" i="17"/>
  <c r="AJ139" i="17"/>
  <c r="AN138" i="17"/>
  <c r="AE67" i="17"/>
  <c r="AG67" i="17" s="1"/>
  <c r="BA68" i="16"/>
  <c r="AJ137" i="16"/>
  <c r="AN136" i="16"/>
  <c r="BM68" i="16"/>
  <c r="BP67" i="16"/>
  <c r="P137" i="16"/>
  <c r="E137" i="16"/>
  <c r="B138" i="16"/>
  <c r="BH139" i="16"/>
  <c r="BL138" i="16"/>
  <c r="AP67" i="16"/>
  <c r="AQ67" i="16" s="1"/>
  <c r="AS67" i="16" s="1"/>
  <c r="AD69" i="16"/>
  <c r="AE69" i="16" s="1"/>
  <c r="AG69" i="16" s="1"/>
  <c r="AV138" i="16"/>
  <c r="AZ137" i="16"/>
  <c r="X138" i="16"/>
  <c r="Y137" i="16"/>
  <c r="AA137" i="16" s="1"/>
  <c r="AK137" i="16"/>
  <c r="AM137" i="16" s="1"/>
  <c r="AW137" i="16"/>
  <c r="AY137" i="16" s="1"/>
  <c r="BI137" i="16"/>
  <c r="BK137" i="16" s="1"/>
  <c r="AB137" i="16"/>
  <c r="BD67" i="16"/>
  <c r="BH137" i="14"/>
  <c r="BL136" i="14"/>
  <c r="BN72" i="14"/>
  <c r="BO72" i="14" s="1"/>
  <c r="BQ72" i="14" s="1"/>
  <c r="P136" i="14"/>
  <c r="E136" i="14"/>
  <c r="AV178" i="14"/>
  <c r="AZ177" i="14"/>
  <c r="AK136" i="14"/>
  <c r="AM136" i="14" s="1"/>
  <c r="AW136" i="14"/>
  <c r="AY136" i="14" s="1"/>
  <c r="BA70" i="14"/>
  <c r="BD69" i="14"/>
  <c r="AJ137" i="14"/>
  <c r="AN136" i="14"/>
  <c r="AO73" i="14"/>
  <c r="AR72" i="14"/>
  <c r="X137" i="14"/>
  <c r="BI137" i="14" s="1"/>
  <c r="BK137" i="14" s="1"/>
  <c r="Y136" i="14"/>
  <c r="AA136" i="14" s="1"/>
  <c r="AB136" i="14"/>
  <c r="AC51" i="14"/>
  <c r="AF50" i="14"/>
  <c r="B137" i="14"/>
  <c r="AM136" i="19" l="1"/>
  <c r="AA136" i="19"/>
  <c r="B138" i="15"/>
  <c r="F137" i="15"/>
  <c r="P137" i="19"/>
  <c r="E137" i="19"/>
  <c r="B138" i="19"/>
  <c r="AP68" i="19"/>
  <c r="AQ68" i="19" s="1"/>
  <c r="AS68" i="19" s="1"/>
  <c r="AN137" i="19"/>
  <c r="AJ138" i="19"/>
  <c r="AC67" i="19"/>
  <c r="BH139" i="19"/>
  <c r="BL138" i="19"/>
  <c r="BN80" i="19"/>
  <c r="BO80" i="19" s="1"/>
  <c r="BQ80" i="19" s="1"/>
  <c r="BC78" i="19"/>
  <c r="BE78" i="19" s="1"/>
  <c r="AK137" i="19"/>
  <c r="X138" i="19"/>
  <c r="Y137" i="19"/>
  <c r="BI137" i="19"/>
  <c r="BK137" i="19" s="1"/>
  <c r="AW137" i="19"/>
  <c r="AY137" i="19" s="1"/>
  <c r="AB137" i="19"/>
  <c r="AZ138" i="19"/>
  <c r="AV139" i="19"/>
  <c r="AF66" i="19"/>
  <c r="AC66" i="18"/>
  <c r="BM68" i="18"/>
  <c r="BA68" i="18"/>
  <c r="B138" i="18"/>
  <c r="P137" i="18"/>
  <c r="E137" i="18"/>
  <c r="AZ138" i="18"/>
  <c r="AV139" i="18"/>
  <c r="BP67" i="18"/>
  <c r="BD67" i="18"/>
  <c r="AJ139" i="18"/>
  <c r="AN138" i="18"/>
  <c r="BI137" i="18"/>
  <c r="BK137" i="18" s="1"/>
  <c r="AW137" i="18"/>
  <c r="AY137" i="18" s="1"/>
  <c r="AK137" i="18"/>
  <c r="AM137" i="18" s="1"/>
  <c r="X138" i="18"/>
  <c r="AB137" i="18"/>
  <c r="Y137" i="18"/>
  <c r="AA137" i="18" s="1"/>
  <c r="AF65" i="18"/>
  <c r="AQ78" i="18"/>
  <c r="AS78" i="18" s="1"/>
  <c r="BL137" i="18"/>
  <c r="BH138" i="18"/>
  <c r="BM71" i="17"/>
  <c r="AJ140" i="17"/>
  <c r="AN139" i="17"/>
  <c r="AC68" i="17"/>
  <c r="BP70" i="17"/>
  <c r="BH141" i="17"/>
  <c r="BL140" i="17"/>
  <c r="AV139" i="17"/>
  <c r="AZ138" i="17"/>
  <c r="AW137" i="17"/>
  <c r="AY137" i="17" s="1"/>
  <c r="AK137" i="17"/>
  <c r="AM137" i="17" s="1"/>
  <c r="Y137" i="17"/>
  <c r="AA137" i="17" s="1"/>
  <c r="BI137" i="17"/>
  <c r="BK137" i="17" s="1"/>
  <c r="AB137" i="17"/>
  <c r="X138" i="17"/>
  <c r="AF67" i="17"/>
  <c r="E137" i="17"/>
  <c r="P137" i="17"/>
  <c r="B138" i="17"/>
  <c r="AP67" i="17"/>
  <c r="AQ67" i="17" s="1"/>
  <c r="AS67" i="17" s="1"/>
  <c r="BB69" i="17"/>
  <c r="BC69" i="17" s="1"/>
  <c r="BE69" i="17" s="1"/>
  <c r="AC70" i="16"/>
  <c r="BL139" i="16"/>
  <c r="BH140" i="16"/>
  <c r="BN68" i="16"/>
  <c r="AF69" i="16"/>
  <c r="B139" i="16"/>
  <c r="E138" i="16"/>
  <c r="P138" i="16"/>
  <c r="AN137" i="16"/>
  <c r="AJ138" i="16"/>
  <c r="BI138" i="16"/>
  <c r="BK138" i="16" s="1"/>
  <c r="AB138" i="16"/>
  <c r="Y138" i="16"/>
  <c r="AA138" i="16" s="1"/>
  <c r="X139" i="16"/>
  <c r="AK138" i="16"/>
  <c r="AM138" i="16" s="1"/>
  <c r="AW138" i="16"/>
  <c r="AY138" i="16" s="1"/>
  <c r="AO68" i="16"/>
  <c r="AZ138" i="16"/>
  <c r="AV139" i="16"/>
  <c r="AR67" i="16"/>
  <c r="BB68" i="16"/>
  <c r="BC68" i="16" s="1"/>
  <c r="BE68" i="16" s="1"/>
  <c r="BH138" i="14"/>
  <c r="BL137" i="14"/>
  <c r="BM73" i="14"/>
  <c r="BP72" i="14"/>
  <c r="P137" i="14"/>
  <c r="E137" i="14"/>
  <c r="AK137" i="14"/>
  <c r="AM137" i="14" s="1"/>
  <c r="AW137" i="14"/>
  <c r="AY137" i="14" s="1"/>
  <c r="AV179" i="14"/>
  <c r="AZ178" i="14"/>
  <c r="BB70" i="14"/>
  <c r="BC70" i="14" s="1"/>
  <c r="BE70" i="14" s="1"/>
  <c r="AJ138" i="14"/>
  <c r="AN137" i="14"/>
  <c r="AP73" i="14"/>
  <c r="AQ73" i="14" s="1"/>
  <c r="AS73" i="14" s="1"/>
  <c r="X138" i="14"/>
  <c r="BI138" i="14" s="1"/>
  <c r="BK138" i="14" s="1"/>
  <c r="AB137" i="14"/>
  <c r="Y137" i="14"/>
  <c r="AA137" i="14" s="1"/>
  <c r="AD51" i="14"/>
  <c r="B138" i="14"/>
  <c r="AM137" i="19" l="1"/>
  <c r="AA137" i="19"/>
  <c r="B139" i="15"/>
  <c r="F138" i="15"/>
  <c r="AO69" i="19"/>
  <c r="AN138" i="19"/>
  <c r="AJ139" i="19"/>
  <c r="AV140" i="19"/>
  <c r="AZ139" i="19"/>
  <c r="BA79" i="19"/>
  <c r="BM81" i="19"/>
  <c r="AD67" i="19"/>
  <c r="AE67" i="19" s="1"/>
  <c r="AG67" i="19" s="1"/>
  <c r="AR68" i="19"/>
  <c r="Y138" i="19"/>
  <c r="BI138" i="19"/>
  <c r="BK138" i="19" s="1"/>
  <c r="AW138" i="19"/>
  <c r="AY138" i="19" s="1"/>
  <c r="X139" i="19"/>
  <c r="AK138" i="19"/>
  <c r="AB138" i="19"/>
  <c r="BP80" i="19"/>
  <c r="BL139" i="19"/>
  <c r="BH140" i="19"/>
  <c r="E138" i="19"/>
  <c r="B139" i="19"/>
  <c r="P138" i="19"/>
  <c r="BD78" i="19"/>
  <c r="BL138" i="18"/>
  <c r="BH139" i="18"/>
  <c r="AN139" i="18"/>
  <c r="AJ140" i="18"/>
  <c r="P138" i="18"/>
  <c r="E138" i="18"/>
  <c r="B139" i="18"/>
  <c r="AO79" i="18"/>
  <c r="BB68" i="18"/>
  <c r="BC68" i="18" s="1"/>
  <c r="BE68" i="18" s="1"/>
  <c r="AW138" i="18"/>
  <c r="AY138" i="18" s="1"/>
  <c r="AB138" i="18"/>
  <c r="AK138" i="18"/>
  <c r="AM138" i="18" s="1"/>
  <c r="X139" i="18"/>
  <c r="Y138" i="18"/>
  <c r="AA138" i="18" s="1"/>
  <c r="BI138" i="18"/>
  <c r="BK138" i="18" s="1"/>
  <c r="AZ139" i="18"/>
  <c r="AV140" i="18"/>
  <c r="BN68" i="18"/>
  <c r="BO68" i="18" s="1"/>
  <c r="BQ68" i="18" s="1"/>
  <c r="AR78" i="18"/>
  <c r="AD66" i="18"/>
  <c r="AE66" i="18" s="1"/>
  <c r="AG66" i="18" s="1"/>
  <c r="BA70" i="17"/>
  <c r="AO68" i="17"/>
  <c r="BH142" i="17"/>
  <c r="BL141" i="17"/>
  <c r="BD69" i="17"/>
  <c r="AR67" i="17"/>
  <c r="AJ141" i="17"/>
  <c r="AN140" i="17"/>
  <c r="E138" i="17"/>
  <c r="B139" i="17"/>
  <c r="P138" i="17"/>
  <c r="AB138" i="17"/>
  <c r="AK138" i="17"/>
  <c r="AM138" i="17" s="1"/>
  <c r="Y138" i="17"/>
  <c r="AA138" i="17" s="1"/>
  <c r="AW138" i="17"/>
  <c r="AY138" i="17" s="1"/>
  <c r="BI138" i="17"/>
  <c r="BK138" i="17" s="1"/>
  <c r="X139" i="17"/>
  <c r="AV140" i="17"/>
  <c r="AZ139" i="17"/>
  <c r="BN71" i="17"/>
  <c r="AD68" i="17"/>
  <c r="AE68" i="17" s="1"/>
  <c r="AG68" i="17" s="1"/>
  <c r="BA69" i="16"/>
  <c r="BH141" i="16"/>
  <c r="BL140" i="16"/>
  <c r="AW139" i="16"/>
  <c r="AY139" i="16" s="1"/>
  <c r="X140" i="16"/>
  <c r="BI139" i="16"/>
  <c r="BK139" i="16" s="1"/>
  <c r="AB139" i="16"/>
  <c r="AK139" i="16"/>
  <c r="AM139" i="16" s="1"/>
  <c r="Y139" i="16"/>
  <c r="AA139" i="16" s="1"/>
  <c r="AV140" i="16"/>
  <c r="AZ139" i="16"/>
  <c r="BD68" i="16"/>
  <c r="AJ139" i="16"/>
  <c r="AN138" i="16"/>
  <c r="P139" i="16"/>
  <c r="B140" i="16"/>
  <c r="E139" i="16"/>
  <c r="AP68" i="16"/>
  <c r="AQ68" i="16" s="1"/>
  <c r="AS68" i="16" s="1"/>
  <c r="AD70" i="16"/>
  <c r="AE70" i="16" s="1"/>
  <c r="AG70" i="16" s="1"/>
  <c r="BO68" i="16"/>
  <c r="BQ68" i="16" s="1"/>
  <c r="BH139" i="14"/>
  <c r="BL138" i="14"/>
  <c r="BN73" i="14"/>
  <c r="BO73" i="14" s="1"/>
  <c r="BQ73" i="14" s="1"/>
  <c r="P138" i="14"/>
  <c r="E138" i="14"/>
  <c r="AK138" i="14"/>
  <c r="AM138" i="14" s="1"/>
  <c r="AW138" i="14"/>
  <c r="AY138" i="14" s="1"/>
  <c r="AV180" i="14"/>
  <c r="AZ179" i="14"/>
  <c r="BA71" i="14"/>
  <c r="BD70" i="14"/>
  <c r="AJ139" i="14"/>
  <c r="AN138" i="14"/>
  <c r="AO74" i="14"/>
  <c r="AR73" i="14"/>
  <c r="X139" i="14"/>
  <c r="BI139" i="14" s="1"/>
  <c r="BK139" i="14" s="1"/>
  <c r="AB138" i="14"/>
  <c r="Y138" i="14"/>
  <c r="AA138" i="14" s="1"/>
  <c r="AE51" i="14"/>
  <c r="AG51" i="14" s="1"/>
  <c r="B139" i="14"/>
  <c r="AM138" i="19" l="1"/>
  <c r="AA138" i="19"/>
  <c r="B140" i="15"/>
  <c r="F139" i="15"/>
  <c r="BN81" i="19"/>
  <c r="BO81" i="19" s="1"/>
  <c r="BQ81" i="19" s="1"/>
  <c r="AV141" i="19"/>
  <c r="AZ140" i="19"/>
  <c r="B140" i="19"/>
  <c r="P139" i="19"/>
  <c r="E139" i="19"/>
  <c r="AN139" i="19"/>
  <c r="AJ140" i="19"/>
  <c r="BL140" i="19"/>
  <c r="BH141" i="19"/>
  <c r="AC68" i="19"/>
  <c r="BI139" i="19"/>
  <c r="BK139" i="19" s="1"/>
  <c r="AW139" i="19"/>
  <c r="AY139" i="19" s="1"/>
  <c r="AB139" i="19"/>
  <c r="AK139" i="19"/>
  <c r="X140" i="19"/>
  <c r="Y139" i="19"/>
  <c r="AF67" i="19"/>
  <c r="BB79" i="19"/>
  <c r="AP69" i="19"/>
  <c r="AQ69" i="19" s="1"/>
  <c r="AS69" i="19" s="1"/>
  <c r="BM69" i="18"/>
  <c r="BL139" i="18"/>
  <c r="BH140" i="18"/>
  <c r="BP68" i="18"/>
  <c r="P139" i="18"/>
  <c r="E139" i="18"/>
  <c r="B140" i="18"/>
  <c r="AC67" i="18"/>
  <c r="AZ140" i="18"/>
  <c r="AV141" i="18"/>
  <c r="AF66" i="18"/>
  <c r="BA69" i="18"/>
  <c r="BD68" i="18"/>
  <c r="AN140" i="18"/>
  <c r="AJ141" i="18"/>
  <c r="AK139" i="18"/>
  <c r="AM139" i="18" s="1"/>
  <c r="X140" i="18"/>
  <c r="Y139" i="18"/>
  <c r="AA139" i="18" s="1"/>
  <c r="BI139" i="18"/>
  <c r="BK139" i="18" s="1"/>
  <c r="AB139" i="18"/>
  <c r="AW139" i="18"/>
  <c r="AY139" i="18" s="1"/>
  <c r="AP79" i="18"/>
  <c r="AQ79" i="18" s="1"/>
  <c r="AS79" i="18" s="1"/>
  <c r="AC69" i="17"/>
  <c r="AF68" i="17"/>
  <c r="AN141" i="17"/>
  <c r="AJ142" i="17"/>
  <c r="BH143" i="17"/>
  <c r="BL142" i="17"/>
  <c r="AP68" i="17"/>
  <c r="AQ68" i="17" s="1"/>
  <c r="AS68" i="17" s="1"/>
  <c r="AZ140" i="17"/>
  <c r="AV141" i="17"/>
  <c r="BB70" i="17"/>
  <c r="BC70" i="17" s="1"/>
  <c r="BE70" i="17" s="1"/>
  <c r="BO71" i="17"/>
  <c r="BQ71" i="17" s="1"/>
  <c r="X140" i="17"/>
  <c r="Y139" i="17"/>
  <c r="AA139" i="17" s="1"/>
  <c r="BI139" i="17"/>
  <c r="BK139" i="17" s="1"/>
  <c r="AB139" i="17"/>
  <c r="AK139" i="17"/>
  <c r="AM139" i="17" s="1"/>
  <c r="AW139" i="17"/>
  <c r="AY139" i="17" s="1"/>
  <c r="P139" i="17"/>
  <c r="E139" i="17"/>
  <c r="B140" i="17"/>
  <c r="AC71" i="16"/>
  <c r="AF70" i="16"/>
  <c r="AZ140" i="16"/>
  <c r="AV141" i="16"/>
  <c r="BL141" i="16"/>
  <c r="BH142" i="16"/>
  <c r="BM69" i="16"/>
  <c r="AN139" i="16"/>
  <c r="AJ140" i="16"/>
  <c r="AO69" i="16"/>
  <c r="BP68" i="16"/>
  <c r="AR68" i="16"/>
  <c r="B141" i="16"/>
  <c r="E140" i="16"/>
  <c r="P140" i="16"/>
  <c r="AB140" i="16"/>
  <c r="AK140" i="16"/>
  <c r="AM140" i="16" s="1"/>
  <c r="AW140" i="16"/>
  <c r="AY140" i="16" s="1"/>
  <c r="Y140" i="16"/>
  <c r="AA140" i="16" s="1"/>
  <c r="BI140" i="16"/>
  <c r="BK140" i="16" s="1"/>
  <c r="X141" i="16"/>
  <c r="BB69" i="16"/>
  <c r="BC69" i="16" s="1"/>
  <c r="BE69" i="16" s="1"/>
  <c r="BH140" i="14"/>
  <c r="BL139" i="14"/>
  <c r="BM74" i="14"/>
  <c r="BP73" i="14"/>
  <c r="P139" i="14"/>
  <c r="E139" i="14"/>
  <c r="AK139" i="14"/>
  <c r="AM139" i="14" s="1"/>
  <c r="AW139" i="14"/>
  <c r="AY139" i="14" s="1"/>
  <c r="AV181" i="14"/>
  <c r="AZ180" i="14"/>
  <c r="BB71" i="14"/>
  <c r="BC71" i="14" s="1"/>
  <c r="BE71" i="14" s="1"/>
  <c r="AJ140" i="14"/>
  <c r="AN139" i="14"/>
  <c r="AP74" i="14"/>
  <c r="AQ74" i="14" s="1"/>
  <c r="AS74" i="14" s="1"/>
  <c r="X140" i="14"/>
  <c r="BI140" i="14" s="1"/>
  <c r="BK140" i="14" s="1"/>
  <c r="AB139" i="14"/>
  <c r="Y139" i="14"/>
  <c r="AA139" i="14" s="1"/>
  <c r="AC52" i="14"/>
  <c r="AF51" i="14"/>
  <c r="B140" i="14"/>
  <c r="AM139" i="19" l="1"/>
  <c r="AA139" i="19"/>
  <c r="B141" i="15"/>
  <c r="F140" i="15"/>
  <c r="AD68" i="19"/>
  <c r="AE68" i="19" s="1"/>
  <c r="AG68" i="19" s="1"/>
  <c r="AO70" i="19"/>
  <c r="AJ141" i="19"/>
  <c r="AN140" i="19"/>
  <c r="AZ141" i="19"/>
  <c r="AV142" i="19"/>
  <c r="AR69" i="19"/>
  <c r="AW140" i="19"/>
  <c r="AY140" i="19" s="1"/>
  <c r="AB140" i="19"/>
  <c r="AK140" i="19"/>
  <c r="X141" i="19"/>
  <c r="Y140" i="19"/>
  <c r="BI140" i="19"/>
  <c r="BK140" i="19" s="1"/>
  <c r="BM82" i="19"/>
  <c r="BL141" i="19"/>
  <c r="BH142" i="19"/>
  <c r="BP81" i="19"/>
  <c r="BC79" i="19"/>
  <c r="BE79" i="19" s="1"/>
  <c r="P140" i="19"/>
  <c r="E140" i="19"/>
  <c r="B141" i="19"/>
  <c r="AO80" i="18"/>
  <c r="AD67" i="18"/>
  <c r="AE67" i="18" s="1"/>
  <c r="AG67" i="18" s="1"/>
  <c r="BH141" i="18"/>
  <c r="BL140" i="18"/>
  <c r="AR79" i="18"/>
  <c r="BB69" i="18"/>
  <c r="BC69" i="18" s="1"/>
  <c r="BE69" i="18" s="1"/>
  <c r="E140" i="18"/>
  <c r="B141" i="18"/>
  <c r="P140" i="18"/>
  <c r="BN69" i="18"/>
  <c r="BO69" i="18" s="1"/>
  <c r="BQ69" i="18" s="1"/>
  <c r="AN141" i="18"/>
  <c r="AJ142" i="18"/>
  <c r="AV142" i="18"/>
  <c r="AZ141" i="18"/>
  <c r="Y140" i="18"/>
  <c r="AA140" i="18" s="1"/>
  <c r="BI140" i="18"/>
  <c r="BK140" i="18" s="1"/>
  <c r="AW140" i="18"/>
  <c r="AY140" i="18" s="1"/>
  <c r="AB140" i="18"/>
  <c r="X141" i="18"/>
  <c r="AK140" i="18"/>
  <c r="AM140" i="18" s="1"/>
  <c r="B141" i="17"/>
  <c r="E140" i="17"/>
  <c r="P140" i="17"/>
  <c r="AV142" i="17"/>
  <c r="AZ141" i="17"/>
  <c r="BI140" i="17"/>
  <c r="BK140" i="17" s="1"/>
  <c r="AW140" i="17"/>
  <c r="AY140" i="17" s="1"/>
  <c r="X141" i="17"/>
  <c r="AB140" i="17"/>
  <c r="AK140" i="17"/>
  <c r="AM140" i="17" s="1"/>
  <c r="Y140" i="17"/>
  <c r="AA140" i="17" s="1"/>
  <c r="BM72" i="17"/>
  <c r="AO69" i="17"/>
  <c r="BA71" i="17"/>
  <c r="AR68" i="17"/>
  <c r="BL143" i="17"/>
  <c r="BH144" i="17"/>
  <c r="BP71" i="17"/>
  <c r="BD70" i="17"/>
  <c r="AJ143" i="17"/>
  <c r="AN142" i="17"/>
  <c r="AD69" i="17"/>
  <c r="AE69" i="17" s="1"/>
  <c r="AG69" i="17" s="1"/>
  <c r="BA70" i="16"/>
  <c r="AP69" i="16"/>
  <c r="AQ69" i="16" s="1"/>
  <c r="AS69" i="16" s="1"/>
  <c r="AV142" i="16"/>
  <c r="AZ141" i="16"/>
  <c r="AJ141" i="16"/>
  <c r="AN140" i="16"/>
  <c r="X142" i="16"/>
  <c r="Y141" i="16"/>
  <c r="AA141" i="16" s="1"/>
  <c r="AK141" i="16"/>
  <c r="AM141" i="16" s="1"/>
  <c r="AW141" i="16"/>
  <c r="AY141" i="16" s="1"/>
  <c r="AB141" i="16"/>
  <c r="BI141" i="16"/>
  <c r="BK141" i="16" s="1"/>
  <c r="P141" i="16"/>
  <c r="E141" i="16"/>
  <c r="B142" i="16"/>
  <c r="BN69" i="16"/>
  <c r="BO69" i="16" s="1"/>
  <c r="BQ69" i="16" s="1"/>
  <c r="AD71" i="16"/>
  <c r="AE71" i="16" s="1"/>
  <c r="AG71" i="16" s="1"/>
  <c r="BD69" i="16"/>
  <c r="BH143" i="16"/>
  <c r="BL142" i="16"/>
  <c r="BH141" i="14"/>
  <c r="BL140" i="14"/>
  <c r="BN74" i="14"/>
  <c r="BO74" i="14" s="1"/>
  <c r="BQ74" i="14" s="1"/>
  <c r="P140" i="14"/>
  <c r="E140" i="14"/>
  <c r="AV182" i="14"/>
  <c r="AZ181" i="14"/>
  <c r="AK140" i="14"/>
  <c r="AM140" i="14" s="1"/>
  <c r="AW140" i="14"/>
  <c r="AY140" i="14" s="1"/>
  <c r="BA72" i="14"/>
  <c r="BD71" i="14"/>
  <c r="AJ141" i="14"/>
  <c r="AN140" i="14"/>
  <c r="AR74" i="14"/>
  <c r="AO75" i="14"/>
  <c r="X141" i="14"/>
  <c r="BI141" i="14" s="1"/>
  <c r="BK141" i="14" s="1"/>
  <c r="AB140" i="14"/>
  <c r="Y140" i="14"/>
  <c r="AA140" i="14" s="1"/>
  <c r="AD52" i="14"/>
  <c r="B141" i="14"/>
  <c r="AM140" i="19" l="1"/>
  <c r="AA140" i="19"/>
  <c r="B142" i="15"/>
  <c r="F141" i="15"/>
  <c r="P141" i="19"/>
  <c r="E141" i="19"/>
  <c r="B142" i="19"/>
  <c r="AK141" i="19"/>
  <c r="X142" i="19"/>
  <c r="Y141" i="19"/>
  <c r="BI141" i="19"/>
  <c r="BK141" i="19" s="1"/>
  <c r="AW141" i="19"/>
  <c r="AY141" i="19" s="1"/>
  <c r="AB141" i="19"/>
  <c r="AN141" i="19"/>
  <c r="AJ142" i="19"/>
  <c r="BH143" i="19"/>
  <c r="BL142" i="19"/>
  <c r="AC69" i="19"/>
  <c r="AP70" i="19"/>
  <c r="AQ70" i="19" s="1"/>
  <c r="AS70" i="19" s="1"/>
  <c r="AF68" i="19"/>
  <c r="BD79" i="19"/>
  <c r="BA80" i="19"/>
  <c r="BN82" i="19"/>
  <c r="AZ142" i="19"/>
  <c r="AV143" i="19"/>
  <c r="BA70" i="18"/>
  <c r="BM70" i="18"/>
  <c r="BP69" i="18"/>
  <c r="BD69" i="18"/>
  <c r="BL141" i="18"/>
  <c r="BH142" i="18"/>
  <c r="AZ142" i="18"/>
  <c r="AV143" i="18"/>
  <c r="AC68" i="18"/>
  <c r="AJ143" i="18"/>
  <c r="AN142" i="18"/>
  <c r="AF67" i="18"/>
  <c r="BI141" i="18"/>
  <c r="BK141" i="18" s="1"/>
  <c r="AW141" i="18"/>
  <c r="AY141" i="18" s="1"/>
  <c r="AB141" i="18"/>
  <c r="AK141" i="18"/>
  <c r="AM141" i="18" s="1"/>
  <c r="X142" i="18"/>
  <c r="Y141" i="18"/>
  <c r="AA141" i="18" s="1"/>
  <c r="P141" i="18"/>
  <c r="B142" i="18"/>
  <c r="E141" i="18"/>
  <c r="AP80" i="18"/>
  <c r="AQ80" i="18" s="1"/>
  <c r="AS80" i="18" s="1"/>
  <c r="AV143" i="17"/>
  <c r="AZ142" i="17"/>
  <c r="AJ144" i="17"/>
  <c r="AN143" i="17"/>
  <c r="BB71" i="17"/>
  <c r="BC71" i="17" s="1"/>
  <c r="BE71" i="17" s="1"/>
  <c r="AW141" i="17"/>
  <c r="AY141" i="17" s="1"/>
  <c r="AK141" i="17"/>
  <c r="AM141" i="17" s="1"/>
  <c r="Y141" i="17"/>
  <c r="AA141" i="17" s="1"/>
  <c r="X142" i="17"/>
  <c r="BI141" i="17"/>
  <c r="BK141" i="17" s="1"/>
  <c r="AB141" i="17"/>
  <c r="AC70" i="17"/>
  <c r="AP69" i="17"/>
  <c r="AQ69" i="17" s="1"/>
  <c r="AS69" i="17" s="1"/>
  <c r="AF69" i="17"/>
  <c r="BN72" i="17"/>
  <c r="BO72" i="17" s="1"/>
  <c r="BQ72" i="17" s="1"/>
  <c r="BH145" i="17"/>
  <c r="BL144" i="17"/>
  <c r="E141" i="17"/>
  <c r="P141" i="17"/>
  <c r="B142" i="17"/>
  <c r="AZ142" i="16"/>
  <c r="AV143" i="16"/>
  <c r="BI142" i="16"/>
  <c r="BK142" i="16" s="1"/>
  <c r="AB142" i="16"/>
  <c r="Y142" i="16"/>
  <c r="AA142" i="16" s="1"/>
  <c r="X143" i="16"/>
  <c r="AW142" i="16"/>
  <c r="AY142" i="16" s="1"/>
  <c r="AK142" i="16"/>
  <c r="AM142" i="16" s="1"/>
  <c r="BL143" i="16"/>
  <c r="BH144" i="16"/>
  <c r="AC72" i="16"/>
  <c r="AN141" i="16"/>
  <c r="AJ142" i="16"/>
  <c r="AO70" i="16"/>
  <c r="AF71" i="16"/>
  <c r="AR69" i="16"/>
  <c r="BM70" i="16"/>
  <c r="BP69" i="16"/>
  <c r="BB70" i="16"/>
  <c r="BC70" i="16" s="1"/>
  <c r="BE70" i="16" s="1"/>
  <c r="B143" i="16"/>
  <c r="E142" i="16"/>
  <c r="P142" i="16"/>
  <c r="BH142" i="14"/>
  <c r="BL141" i="14"/>
  <c r="BM75" i="14"/>
  <c r="BP74" i="14"/>
  <c r="P141" i="14"/>
  <c r="E141" i="14"/>
  <c r="AK141" i="14"/>
  <c r="AM141" i="14" s="1"/>
  <c r="AW141" i="14"/>
  <c r="AY141" i="14" s="1"/>
  <c r="AV183" i="14"/>
  <c r="AZ182" i="14"/>
  <c r="BB72" i="14"/>
  <c r="BC72" i="14" s="1"/>
  <c r="BE72" i="14" s="1"/>
  <c r="AJ142" i="14"/>
  <c r="AN141" i="14"/>
  <c r="AP75" i="14"/>
  <c r="AQ75" i="14" s="1"/>
  <c r="AS75" i="14" s="1"/>
  <c r="X142" i="14"/>
  <c r="BI142" i="14" s="1"/>
  <c r="BK142" i="14" s="1"/>
  <c r="Y141" i="14"/>
  <c r="AA141" i="14" s="1"/>
  <c r="AB141" i="14"/>
  <c r="AE52" i="14"/>
  <c r="AG52" i="14" s="1"/>
  <c r="B142" i="14"/>
  <c r="AM141" i="19" l="1"/>
  <c r="AA141" i="19"/>
  <c r="B143" i="15"/>
  <c r="F142" i="15"/>
  <c r="BB80" i="19"/>
  <c r="AD69" i="19"/>
  <c r="AE69" i="19" s="1"/>
  <c r="AG69" i="19" s="1"/>
  <c r="E142" i="19"/>
  <c r="B143" i="19"/>
  <c r="P142" i="19"/>
  <c r="BH144" i="19"/>
  <c r="BL143" i="19"/>
  <c r="AV144" i="19"/>
  <c r="AZ143" i="19"/>
  <c r="Y142" i="19"/>
  <c r="BI142" i="19"/>
  <c r="BK142" i="19" s="1"/>
  <c r="AW142" i="19"/>
  <c r="AY142" i="19" s="1"/>
  <c r="X143" i="19"/>
  <c r="AK142" i="19"/>
  <c r="AB142" i="19"/>
  <c r="AO71" i="19"/>
  <c r="BO82" i="19"/>
  <c r="BQ82" i="19" s="1"/>
  <c r="AR70" i="19"/>
  <c r="AN142" i="19"/>
  <c r="AJ143" i="19"/>
  <c r="AZ143" i="18"/>
  <c r="AV144" i="18"/>
  <c r="P142" i="18"/>
  <c r="E142" i="18"/>
  <c r="B143" i="18"/>
  <c r="BN70" i="18"/>
  <c r="BO70" i="18" s="1"/>
  <c r="BQ70" i="18" s="1"/>
  <c r="AN143" i="18"/>
  <c r="AJ144" i="18"/>
  <c r="BL142" i="18"/>
  <c r="BH143" i="18"/>
  <c r="BB70" i="18"/>
  <c r="BC70" i="18" s="1"/>
  <c r="BE70" i="18" s="1"/>
  <c r="AW142" i="18"/>
  <c r="AY142" i="18" s="1"/>
  <c r="AB142" i="18"/>
  <c r="AK142" i="18"/>
  <c r="AM142" i="18" s="1"/>
  <c r="X143" i="18"/>
  <c r="Y142" i="18"/>
  <c r="AA142" i="18" s="1"/>
  <c r="BI142" i="18"/>
  <c r="BK142" i="18" s="1"/>
  <c r="AO81" i="18"/>
  <c r="AD68" i="18"/>
  <c r="AE68" i="18" s="1"/>
  <c r="AG68" i="18" s="1"/>
  <c r="AR80" i="18"/>
  <c r="AO70" i="17"/>
  <c r="BH146" i="17"/>
  <c r="BL145" i="17"/>
  <c r="AR69" i="17"/>
  <c r="AV144" i="17"/>
  <c r="AZ143" i="17"/>
  <c r="E142" i="17"/>
  <c r="B143" i="17"/>
  <c r="P142" i="17"/>
  <c r="AD70" i="17"/>
  <c r="AE70" i="17" s="1"/>
  <c r="AG70" i="17" s="1"/>
  <c r="BA72" i="17"/>
  <c r="BM73" i="17"/>
  <c r="BD71" i="17"/>
  <c r="BP72" i="17"/>
  <c r="AJ145" i="17"/>
  <c r="AN144" i="17"/>
  <c r="AB142" i="17"/>
  <c r="AK142" i="17"/>
  <c r="AM142" i="17" s="1"/>
  <c r="Y142" i="17"/>
  <c r="AA142" i="17" s="1"/>
  <c r="BI142" i="17"/>
  <c r="BK142" i="17" s="1"/>
  <c r="X143" i="17"/>
  <c r="AW142" i="17"/>
  <c r="AY142" i="17" s="1"/>
  <c r="BN70" i="16"/>
  <c r="BO70" i="16" s="1"/>
  <c r="BQ70" i="16" s="1"/>
  <c r="AV144" i="16"/>
  <c r="AZ143" i="16"/>
  <c r="P143" i="16"/>
  <c r="B144" i="16"/>
  <c r="E143" i="16"/>
  <c r="AP70" i="16"/>
  <c r="AQ70" i="16" s="1"/>
  <c r="AS70" i="16" s="1"/>
  <c r="BA71" i="16"/>
  <c r="AJ143" i="16"/>
  <c r="AN142" i="16"/>
  <c r="BD70" i="16"/>
  <c r="AW143" i="16"/>
  <c r="AY143" i="16" s="1"/>
  <c r="X144" i="16"/>
  <c r="BI143" i="16"/>
  <c r="BK143" i="16" s="1"/>
  <c r="AK143" i="16"/>
  <c r="AM143" i="16" s="1"/>
  <c r="AB143" i="16"/>
  <c r="Y143" i="16"/>
  <c r="AA143" i="16" s="1"/>
  <c r="AD72" i="16"/>
  <c r="AE72" i="16" s="1"/>
  <c r="AG72" i="16" s="1"/>
  <c r="BH145" i="16"/>
  <c r="BL144" i="16"/>
  <c r="BH143" i="14"/>
  <c r="BL142" i="14"/>
  <c r="BN75" i="14"/>
  <c r="BO75" i="14" s="1"/>
  <c r="BQ75" i="14" s="1"/>
  <c r="P142" i="14"/>
  <c r="E142" i="14"/>
  <c r="AV184" i="14"/>
  <c r="AZ184" i="14" s="1"/>
  <c r="AZ183" i="14"/>
  <c r="AK142" i="14"/>
  <c r="AM142" i="14" s="1"/>
  <c r="AW142" i="14"/>
  <c r="AY142" i="14" s="1"/>
  <c r="BA73" i="14"/>
  <c r="BD72" i="14"/>
  <c r="AJ143" i="14"/>
  <c r="AN142" i="14"/>
  <c r="AO76" i="14"/>
  <c r="AR75" i="14"/>
  <c r="X143" i="14"/>
  <c r="BI143" i="14" s="1"/>
  <c r="BK143" i="14" s="1"/>
  <c r="AB142" i="14"/>
  <c r="Y142" i="14"/>
  <c r="AA142" i="14" s="1"/>
  <c r="AC53" i="14"/>
  <c r="AF52" i="14"/>
  <c r="B143" i="14"/>
  <c r="AM142" i="19" l="1"/>
  <c r="AA142" i="19"/>
  <c r="B144" i="15"/>
  <c r="F143" i="15"/>
  <c r="AN143" i="19"/>
  <c r="AJ144" i="19"/>
  <c r="BI143" i="19"/>
  <c r="BK143" i="19" s="1"/>
  <c r="AW143" i="19"/>
  <c r="AY143" i="19" s="1"/>
  <c r="AB143" i="19"/>
  <c r="AK143" i="19"/>
  <c r="X144" i="19"/>
  <c r="Y143" i="19"/>
  <c r="BL144" i="19"/>
  <c r="BH145" i="19"/>
  <c r="BM83" i="19"/>
  <c r="BP82" i="19"/>
  <c r="B144" i="19"/>
  <c r="P143" i="19"/>
  <c r="E143" i="19"/>
  <c r="AC70" i="19"/>
  <c r="AP71" i="19"/>
  <c r="AF69" i="19"/>
  <c r="AV145" i="19"/>
  <c r="AZ144" i="19"/>
  <c r="BC80" i="19"/>
  <c r="BE80" i="19" s="1"/>
  <c r="AC69" i="18"/>
  <c r="AP81" i="18"/>
  <c r="AQ81" i="18" s="1"/>
  <c r="AS81" i="18" s="1"/>
  <c r="BA71" i="18"/>
  <c r="AV145" i="18"/>
  <c r="AZ144" i="18"/>
  <c r="BD70" i="18"/>
  <c r="BL143" i="18"/>
  <c r="BH144" i="18"/>
  <c r="BM71" i="18"/>
  <c r="BP70" i="18"/>
  <c r="AF68" i="18"/>
  <c r="AK143" i="18"/>
  <c r="AM143" i="18" s="1"/>
  <c r="X144" i="18"/>
  <c r="Y143" i="18"/>
  <c r="AA143" i="18" s="1"/>
  <c r="BI143" i="18"/>
  <c r="BK143" i="18" s="1"/>
  <c r="AB143" i="18"/>
  <c r="AW143" i="18"/>
  <c r="AY143" i="18" s="1"/>
  <c r="AJ145" i="18"/>
  <c r="AN144" i="18"/>
  <c r="P143" i="18"/>
  <c r="E143" i="18"/>
  <c r="B144" i="18"/>
  <c r="AN145" i="17"/>
  <c r="AJ146" i="17"/>
  <c r="BB72" i="17"/>
  <c r="BC72" i="17" s="1"/>
  <c r="BE72" i="17" s="1"/>
  <c r="P143" i="17"/>
  <c r="E143" i="17"/>
  <c r="B144" i="17"/>
  <c r="X144" i="17"/>
  <c r="Y143" i="17"/>
  <c r="AA143" i="17" s="1"/>
  <c r="BI143" i="17"/>
  <c r="BK143" i="17" s="1"/>
  <c r="AW143" i="17"/>
  <c r="AY143" i="17" s="1"/>
  <c r="AB143" i="17"/>
  <c r="AK143" i="17"/>
  <c r="AM143" i="17" s="1"/>
  <c r="AC71" i="17"/>
  <c r="AF70" i="17"/>
  <c r="AZ144" i="17"/>
  <c r="AV145" i="17"/>
  <c r="BH147" i="17"/>
  <c r="BL146" i="17"/>
  <c r="BN73" i="17"/>
  <c r="BO73" i="17" s="1"/>
  <c r="BQ73" i="17" s="1"/>
  <c r="AP70" i="17"/>
  <c r="AQ70" i="17" s="1"/>
  <c r="AS70" i="17" s="1"/>
  <c r="AN143" i="16"/>
  <c r="AJ144" i="16"/>
  <c r="B145" i="16"/>
  <c r="E144" i="16"/>
  <c r="P144" i="16"/>
  <c r="BB71" i="16"/>
  <c r="BC71" i="16" s="1"/>
  <c r="BE71" i="16" s="1"/>
  <c r="AB144" i="16"/>
  <c r="AK144" i="16"/>
  <c r="AM144" i="16" s="1"/>
  <c r="Y144" i="16"/>
  <c r="AA144" i="16" s="1"/>
  <c r="AW144" i="16"/>
  <c r="AY144" i="16" s="1"/>
  <c r="X145" i="16"/>
  <c r="BI144" i="16"/>
  <c r="BK144" i="16" s="1"/>
  <c r="AZ144" i="16"/>
  <c r="AV145" i="16"/>
  <c r="AO71" i="16"/>
  <c r="BM71" i="16"/>
  <c r="AC73" i="16"/>
  <c r="AR70" i="16"/>
  <c r="BP70" i="16"/>
  <c r="BH146" i="16"/>
  <c r="BL145" i="16"/>
  <c r="AF72" i="16"/>
  <c r="BH144" i="14"/>
  <c r="BL143" i="14"/>
  <c r="BM76" i="14"/>
  <c r="BP75" i="14"/>
  <c r="P143" i="14"/>
  <c r="E143" i="14"/>
  <c r="AK143" i="14"/>
  <c r="AM143" i="14" s="1"/>
  <c r="AW143" i="14"/>
  <c r="AY143" i="14" s="1"/>
  <c r="BB73" i="14"/>
  <c r="BC73" i="14" s="1"/>
  <c r="BE73" i="14" s="1"/>
  <c r="AJ144" i="14"/>
  <c r="AN143" i="14"/>
  <c r="AP76" i="14"/>
  <c r="AQ76" i="14" s="1"/>
  <c r="AS76" i="14" s="1"/>
  <c r="X144" i="14"/>
  <c r="BI144" i="14" s="1"/>
  <c r="BK144" i="14" s="1"/>
  <c r="Y143" i="14"/>
  <c r="AA143" i="14" s="1"/>
  <c r="AB143" i="14"/>
  <c r="AD53" i="14"/>
  <c r="B144" i="14"/>
  <c r="AM143" i="19" l="1"/>
  <c r="AA143" i="19"/>
  <c r="B145" i="15"/>
  <c r="F144" i="15"/>
  <c r="BA81" i="19"/>
  <c r="BL145" i="19"/>
  <c r="BH146" i="19"/>
  <c r="AD70" i="19"/>
  <c r="AE70" i="19" s="1"/>
  <c r="AG70" i="19" s="1"/>
  <c r="AZ145" i="19"/>
  <c r="AV146" i="19"/>
  <c r="BD80" i="19"/>
  <c r="AW144" i="19"/>
  <c r="AY144" i="19" s="1"/>
  <c r="AB144" i="19"/>
  <c r="AK144" i="19"/>
  <c r="X145" i="19"/>
  <c r="Y144" i="19"/>
  <c r="BI144" i="19"/>
  <c r="BK144" i="19" s="1"/>
  <c r="AJ145" i="19"/>
  <c r="AN144" i="19"/>
  <c r="AQ71" i="19"/>
  <c r="AS71" i="19" s="1"/>
  <c r="P144" i="19"/>
  <c r="E144" i="19"/>
  <c r="B145" i="19"/>
  <c r="BN83" i="19"/>
  <c r="BO83" i="19" s="1"/>
  <c r="BQ83" i="19" s="1"/>
  <c r="BN71" i="18"/>
  <c r="BO71" i="18" s="1"/>
  <c r="BQ71" i="18" s="1"/>
  <c r="AV146" i="18"/>
  <c r="AZ145" i="18"/>
  <c r="BL144" i="18"/>
  <c r="BH145" i="18"/>
  <c r="BB71" i="18"/>
  <c r="BC71" i="18" s="1"/>
  <c r="BE71" i="18" s="1"/>
  <c r="BI144" i="18"/>
  <c r="BK144" i="18" s="1"/>
  <c r="Y144" i="18"/>
  <c r="AA144" i="18" s="1"/>
  <c r="X145" i="18"/>
  <c r="AW144" i="18"/>
  <c r="AY144" i="18" s="1"/>
  <c r="AB144" i="18"/>
  <c r="AK144" i="18"/>
  <c r="AM144" i="18" s="1"/>
  <c r="AO82" i="18"/>
  <c r="AR81" i="18"/>
  <c r="AD69" i="18"/>
  <c r="AE69" i="18" s="1"/>
  <c r="AG69" i="18" s="1"/>
  <c r="E144" i="18"/>
  <c r="B145" i="18"/>
  <c r="P144" i="18"/>
  <c r="AJ146" i="18"/>
  <c r="AN145" i="18"/>
  <c r="BL147" i="17"/>
  <c r="BH148" i="17"/>
  <c r="B145" i="17"/>
  <c r="E144" i="17"/>
  <c r="P144" i="17"/>
  <c r="AO71" i="17"/>
  <c r="AV146" i="17"/>
  <c r="AZ145" i="17"/>
  <c r="AR70" i="17"/>
  <c r="AJ147" i="17"/>
  <c r="AN146" i="17"/>
  <c r="BM74" i="17"/>
  <c r="BA73" i="17"/>
  <c r="BP73" i="17"/>
  <c r="AD71" i="17"/>
  <c r="AE71" i="17" s="1"/>
  <c r="AG71" i="17" s="1"/>
  <c r="AW144" i="17"/>
  <c r="AY144" i="17" s="1"/>
  <c r="X145" i="17"/>
  <c r="AB144" i="17"/>
  <c r="Y144" i="17"/>
  <c r="AA144" i="17" s="1"/>
  <c r="AK144" i="17"/>
  <c r="AM144" i="17" s="1"/>
  <c r="BI144" i="17"/>
  <c r="BK144" i="17" s="1"/>
  <c r="BD72" i="17"/>
  <c r="AV146" i="16"/>
  <c r="AZ145" i="16"/>
  <c r="AD73" i="16"/>
  <c r="AE73" i="16" s="1"/>
  <c r="AG73" i="16" s="1"/>
  <c r="Y145" i="16"/>
  <c r="AA145" i="16" s="1"/>
  <c r="BI145" i="16"/>
  <c r="BK145" i="16" s="1"/>
  <c r="X146" i="16"/>
  <c r="AB145" i="16"/>
  <c r="AW145" i="16"/>
  <c r="AY145" i="16" s="1"/>
  <c r="AK145" i="16"/>
  <c r="AM145" i="16" s="1"/>
  <c r="B146" i="16"/>
  <c r="P145" i="16"/>
  <c r="E145" i="16"/>
  <c r="BN71" i="16"/>
  <c r="BO71" i="16" s="1"/>
  <c r="BQ71" i="16" s="1"/>
  <c r="AJ145" i="16"/>
  <c r="AN144" i="16"/>
  <c r="AP71" i="16"/>
  <c r="AQ71" i="16" s="1"/>
  <c r="AS71" i="16" s="1"/>
  <c r="BA72" i="16"/>
  <c r="BL146" i="16"/>
  <c r="BH147" i="16"/>
  <c r="BD71" i="16"/>
  <c r="BH145" i="14"/>
  <c r="BL144" i="14"/>
  <c r="BN76" i="14"/>
  <c r="BO76" i="14" s="1"/>
  <c r="BQ76" i="14" s="1"/>
  <c r="P144" i="14"/>
  <c r="E144" i="14"/>
  <c r="AK144" i="14"/>
  <c r="AM144" i="14" s="1"/>
  <c r="AW144" i="14"/>
  <c r="AY144" i="14" s="1"/>
  <c r="BA74" i="14"/>
  <c r="BD73" i="14"/>
  <c r="AJ145" i="14"/>
  <c r="AN144" i="14"/>
  <c r="AO77" i="14"/>
  <c r="AR76" i="14"/>
  <c r="X145" i="14"/>
  <c r="BI145" i="14" s="1"/>
  <c r="BK145" i="14" s="1"/>
  <c r="Y144" i="14"/>
  <c r="AA144" i="14" s="1"/>
  <c r="AB144" i="14"/>
  <c r="AE53" i="14"/>
  <c r="AG53" i="14" s="1"/>
  <c r="B145" i="14"/>
  <c r="AM144" i="19" l="1"/>
  <c r="AA144" i="19"/>
  <c r="B146" i="15"/>
  <c r="F145" i="15"/>
  <c r="AR71" i="19"/>
  <c r="BM84" i="19"/>
  <c r="AC71" i="19"/>
  <c r="AJ146" i="19"/>
  <c r="AN145" i="19"/>
  <c r="BP83" i="19"/>
  <c r="AZ146" i="19"/>
  <c r="AV147" i="19"/>
  <c r="BB81" i="19"/>
  <c r="BC81" i="19" s="1"/>
  <c r="BE81" i="19" s="1"/>
  <c r="P145" i="19"/>
  <c r="E145" i="19"/>
  <c r="B146" i="19"/>
  <c r="AK145" i="19"/>
  <c r="X146" i="19"/>
  <c r="Y145" i="19"/>
  <c r="BI145" i="19"/>
  <c r="BK145" i="19" s="1"/>
  <c r="AB145" i="19"/>
  <c r="AW145" i="19"/>
  <c r="AY145" i="19" s="1"/>
  <c r="AF70" i="19"/>
  <c r="BL146" i="19"/>
  <c r="BH147" i="19"/>
  <c r="AO72" i="19"/>
  <c r="AW145" i="18"/>
  <c r="AY145" i="18" s="1"/>
  <c r="AB145" i="18"/>
  <c r="X146" i="18"/>
  <c r="BI145" i="18"/>
  <c r="BK145" i="18" s="1"/>
  <c r="AK145" i="18"/>
  <c r="AM145" i="18" s="1"/>
  <c r="Y145" i="18"/>
  <c r="AA145" i="18" s="1"/>
  <c r="BH146" i="18"/>
  <c r="BL145" i="18"/>
  <c r="AJ147" i="18"/>
  <c r="AN146" i="18"/>
  <c r="AP82" i="18"/>
  <c r="AQ82" i="18" s="1"/>
  <c r="AS82" i="18" s="1"/>
  <c r="AV147" i="18"/>
  <c r="AZ146" i="18"/>
  <c r="B146" i="18"/>
  <c r="P145" i="18"/>
  <c r="E145" i="18"/>
  <c r="AC70" i="18"/>
  <c r="BA72" i="18"/>
  <c r="BM72" i="18"/>
  <c r="AF69" i="18"/>
  <c r="BD71" i="18"/>
  <c r="BP71" i="18"/>
  <c r="AC72" i="17"/>
  <c r="AV147" i="17"/>
  <c r="AZ146" i="17"/>
  <c r="BB73" i="17"/>
  <c r="BC73" i="17" s="1"/>
  <c r="BE73" i="17" s="1"/>
  <c r="AP71" i="17"/>
  <c r="AQ71" i="17" s="1"/>
  <c r="AS71" i="17" s="1"/>
  <c r="AK145" i="17"/>
  <c r="AM145" i="17" s="1"/>
  <c r="Y145" i="17"/>
  <c r="AA145" i="17" s="1"/>
  <c r="BI145" i="17"/>
  <c r="BK145" i="17" s="1"/>
  <c r="AW145" i="17"/>
  <c r="AY145" i="17" s="1"/>
  <c r="X146" i="17"/>
  <c r="AB145" i="17"/>
  <c r="BN74" i="17"/>
  <c r="BO74" i="17" s="1"/>
  <c r="BQ74" i="17" s="1"/>
  <c r="BH149" i="17"/>
  <c r="BL148" i="17"/>
  <c r="AF71" i="17"/>
  <c r="AN147" i="17"/>
  <c r="AJ148" i="17"/>
  <c r="B146" i="17"/>
  <c r="P145" i="17"/>
  <c r="E145" i="17"/>
  <c r="BM72" i="16"/>
  <c r="BB72" i="16"/>
  <c r="BC72" i="16" s="1"/>
  <c r="BE72" i="16" s="1"/>
  <c r="AC74" i="16"/>
  <c r="AO72" i="16"/>
  <c r="BP71" i="16"/>
  <c r="Y146" i="16"/>
  <c r="AA146" i="16" s="1"/>
  <c r="AB146" i="16"/>
  <c r="X147" i="16"/>
  <c r="BI146" i="16"/>
  <c r="BK146" i="16" s="1"/>
  <c r="AK146" i="16"/>
  <c r="AM146" i="16" s="1"/>
  <c r="AW146" i="16"/>
  <c r="AY146" i="16" s="1"/>
  <c r="AF73" i="16"/>
  <c r="BL147" i="16"/>
  <c r="BH148" i="16"/>
  <c r="AR71" i="16"/>
  <c r="AJ146" i="16"/>
  <c r="AN145" i="16"/>
  <c r="E146" i="16"/>
  <c r="B147" i="16"/>
  <c r="P146" i="16"/>
  <c r="AV147" i="16"/>
  <c r="AZ146" i="16"/>
  <c r="BH146" i="14"/>
  <c r="BL145" i="14"/>
  <c r="BM77" i="14"/>
  <c r="BP76" i="14"/>
  <c r="P145" i="14"/>
  <c r="E145" i="14"/>
  <c r="AK145" i="14"/>
  <c r="AM145" i="14" s="1"/>
  <c r="AW145" i="14"/>
  <c r="AY145" i="14" s="1"/>
  <c r="BB74" i="14"/>
  <c r="BC74" i="14" s="1"/>
  <c r="BE74" i="14" s="1"/>
  <c r="AJ146" i="14"/>
  <c r="AN145" i="14"/>
  <c r="AP77" i="14"/>
  <c r="X146" i="14"/>
  <c r="BI146" i="14" s="1"/>
  <c r="BK146" i="14" s="1"/>
  <c r="AB145" i="14"/>
  <c r="Y145" i="14"/>
  <c r="AA145" i="14" s="1"/>
  <c r="AC54" i="14"/>
  <c r="AF53" i="14"/>
  <c r="B146" i="14"/>
  <c r="AM145" i="19" l="1"/>
  <c r="AA145" i="19"/>
  <c r="B147" i="15"/>
  <c r="F146" i="15"/>
  <c r="BA82" i="19"/>
  <c r="X147" i="19"/>
  <c r="BI146" i="19"/>
  <c r="BK146" i="19" s="1"/>
  <c r="Y146" i="19"/>
  <c r="AK146" i="19"/>
  <c r="AB146" i="19"/>
  <c r="AW146" i="19"/>
  <c r="AY146" i="19" s="1"/>
  <c r="BD81" i="19"/>
  <c r="E146" i="19"/>
  <c r="B147" i="19"/>
  <c r="P146" i="19"/>
  <c r="AZ147" i="19"/>
  <c r="AV148" i="19"/>
  <c r="AN146" i="19"/>
  <c r="AJ147" i="19"/>
  <c r="AD71" i="19"/>
  <c r="AE71" i="19" s="1"/>
  <c r="AG71" i="19" s="1"/>
  <c r="AP72" i="19"/>
  <c r="BH148" i="19"/>
  <c r="BL147" i="19"/>
  <c r="BN84" i="19"/>
  <c r="BO84" i="19" s="1"/>
  <c r="BQ84" i="19" s="1"/>
  <c r="AK146" i="18"/>
  <c r="AM146" i="18" s="1"/>
  <c r="X147" i="18"/>
  <c r="BI146" i="18"/>
  <c r="BK146" i="18" s="1"/>
  <c r="AW146" i="18"/>
  <c r="AY146" i="18" s="1"/>
  <c r="Y146" i="18"/>
  <c r="AA146" i="18" s="1"/>
  <c r="AB146" i="18"/>
  <c r="AD70" i="18"/>
  <c r="AE70" i="18" s="1"/>
  <c r="AG70" i="18" s="1"/>
  <c r="BN72" i="18"/>
  <c r="BO72" i="18" s="1"/>
  <c r="BQ72" i="18" s="1"/>
  <c r="AO83" i="18"/>
  <c r="BH147" i="18"/>
  <c r="BL146" i="18"/>
  <c r="BB72" i="18"/>
  <c r="BC72" i="18" s="1"/>
  <c r="BE72" i="18" s="1"/>
  <c r="B147" i="18"/>
  <c r="P146" i="18"/>
  <c r="E146" i="18"/>
  <c r="AR82" i="18"/>
  <c r="AZ147" i="18"/>
  <c r="AV148" i="18"/>
  <c r="AJ148" i="18"/>
  <c r="AN147" i="18"/>
  <c r="BA74" i="17"/>
  <c r="BD73" i="17"/>
  <c r="BM75" i="17"/>
  <c r="BP74" i="17"/>
  <c r="E146" i="17"/>
  <c r="P146" i="17"/>
  <c r="B147" i="17"/>
  <c r="AV148" i="17"/>
  <c r="AZ147" i="17"/>
  <c r="AB146" i="17"/>
  <c r="Y146" i="17"/>
  <c r="AA146" i="17" s="1"/>
  <c r="X147" i="17"/>
  <c r="AK146" i="17"/>
  <c r="AM146" i="17" s="1"/>
  <c r="AW146" i="17"/>
  <c r="AY146" i="17" s="1"/>
  <c r="BI146" i="17"/>
  <c r="BK146" i="17" s="1"/>
  <c r="AJ149" i="17"/>
  <c r="AN148" i="17"/>
  <c r="BH150" i="17"/>
  <c r="BL149" i="17"/>
  <c r="AO72" i="17"/>
  <c r="AD72" i="17"/>
  <c r="AE72" i="17" s="1"/>
  <c r="AG72" i="17" s="1"/>
  <c r="AR71" i="17"/>
  <c r="BA73" i="16"/>
  <c r="AN146" i="16"/>
  <c r="AJ147" i="16"/>
  <c r="BL148" i="16"/>
  <c r="BH149" i="16"/>
  <c r="BD72" i="16"/>
  <c r="AP72" i="16"/>
  <c r="AQ72" i="16" s="1"/>
  <c r="AS72" i="16" s="1"/>
  <c r="B148" i="16"/>
  <c r="P147" i="16"/>
  <c r="E147" i="16"/>
  <c r="AZ147" i="16"/>
  <c r="AV148" i="16"/>
  <c r="AD74" i="16"/>
  <c r="AE74" i="16" s="1"/>
  <c r="AG74" i="16" s="1"/>
  <c r="BI147" i="16"/>
  <c r="BK147" i="16" s="1"/>
  <c r="AB147" i="16"/>
  <c r="AK147" i="16"/>
  <c r="AM147" i="16" s="1"/>
  <c r="AW147" i="16"/>
  <c r="AY147" i="16" s="1"/>
  <c r="Y147" i="16"/>
  <c r="AA147" i="16" s="1"/>
  <c r="X148" i="16"/>
  <c r="BN72" i="16"/>
  <c r="BO72" i="16" s="1"/>
  <c r="BQ72" i="16" s="1"/>
  <c r="BH147" i="14"/>
  <c r="BL146" i="14"/>
  <c r="BN77" i="14"/>
  <c r="BO77" i="14" s="1"/>
  <c r="BQ77" i="14" s="1"/>
  <c r="P146" i="14"/>
  <c r="E146" i="14"/>
  <c r="AK146" i="14"/>
  <c r="AM146" i="14" s="1"/>
  <c r="AW146" i="14"/>
  <c r="AY146" i="14" s="1"/>
  <c r="BA75" i="14"/>
  <c r="BD74" i="14"/>
  <c r="AJ147" i="14"/>
  <c r="AN146" i="14"/>
  <c r="AQ77" i="14"/>
  <c r="AS77" i="14" s="1"/>
  <c r="AO78" i="14" s="1"/>
  <c r="X147" i="14"/>
  <c r="BI147" i="14" s="1"/>
  <c r="BK147" i="14" s="1"/>
  <c r="AB146" i="14"/>
  <c r="Y146" i="14"/>
  <c r="AA146" i="14" s="1"/>
  <c r="AD54" i="14"/>
  <c r="B147" i="14"/>
  <c r="AM146" i="19" l="1"/>
  <c r="AA146" i="19"/>
  <c r="B148" i="15"/>
  <c r="F147" i="15"/>
  <c r="AC72" i="19"/>
  <c r="B148" i="19"/>
  <c r="P147" i="19"/>
  <c r="E147" i="19"/>
  <c r="BM85" i="19"/>
  <c r="AF71" i="19"/>
  <c r="BP84" i="19"/>
  <c r="BI147" i="19"/>
  <c r="BK147" i="19" s="1"/>
  <c r="AW147" i="19"/>
  <c r="AY147" i="19" s="1"/>
  <c r="AB147" i="19"/>
  <c r="Y147" i="19"/>
  <c r="AK147" i="19"/>
  <c r="X148" i="19"/>
  <c r="AJ148" i="19"/>
  <c r="AN147" i="19"/>
  <c r="BB82" i="19"/>
  <c r="BC82" i="19" s="1"/>
  <c r="BE82" i="19" s="1"/>
  <c r="BL148" i="19"/>
  <c r="BH149" i="19"/>
  <c r="AV149" i="19"/>
  <c r="AZ148" i="19"/>
  <c r="AQ72" i="19"/>
  <c r="AS72" i="19" s="1"/>
  <c r="BA73" i="18"/>
  <c r="AC71" i="18"/>
  <c r="BM73" i="18"/>
  <c r="BD72" i="18"/>
  <c r="BP72" i="18"/>
  <c r="AF70" i="18"/>
  <c r="BH148" i="18"/>
  <c r="BL147" i="18"/>
  <c r="AN148" i="18"/>
  <c r="AJ149" i="18"/>
  <c r="E147" i="18"/>
  <c r="B148" i="18"/>
  <c r="P147" i="18"/>
  <c r="Y147" i="18"/>
  <c r="AA147" i="18" s="1"/>
  <c r="AW147" i="18"/>
  <c r="AY147" i="18" s="1"/>
  <c r="AB147" i="18"/>
  <c r="X148" i="18"/>
  <c r="AK147" i="18"/>
  <c r="AM147" i="18" s="1"/>
  <c r="BI147" i="18"/>
  <c r="BK147" i="18" s="1"/>
  <c r="AV149" i="18"/>
  <c r="AZ148" i="18"/>
  <c r="AP83" i="18"/>
  <c r="AQ83" i="18" s="1"/>
  <c r="AS83" i="18" s="1"/>
  <c r="AC73" i="17"/>
  <c r="AN149" i="17"/>
  <c r="AJ150" i="17"/>
  <c r="AF72" i="17"/>
  <c r="AP72" i="17"/>
  <c r="AQ72" i="17" s="1"/>
  <c r="AS72" i="17" s="1"/>
  <c r="AZ148" i="17"/>
  <c r="AV149" i="17"/>
  <c r="X148" i="17"/>
  <c r="BI147" i="17"/>
  <c r="BK147" i="17" s="1"/>
  <c r="AW147" i="17"/>
  <c r="AY147" i="17" s="1"/>
  <c r="Y147" i="17"/>
  <c r="AA147" i="17" s="1"/>
  <c r="AK147" i="17"/>
  <c r="AM147" i="17" s="1"/>
  <c r="AB147" i="17"/>
  <c r="BN75" i="17"/>
  <c r="BO75" i="17" s="1"/>
  <c r="BQ75" i="17" s="1"/>
  <c r="BL150" i="17"/>
  <c r="BH151" i="17"/>
  <c r="P147" i="17"/>
  <c r="E147" i="17"/>
  <c r="B148" i="17"/>
  <c r="BB74" i="17"/>
  <c r="BC74" i="17" s="1"/>
  <c r="BE74" i="17" s="1"/>
  <c r="BM73" i="16"/>
  <c r="BP72" i="16"/>
  <c r="AZ148" i="16"/>
  <c r="AV149" i="16"/>
  <c r="AO73" i="16"/>
  <c r="AW148" i="16"/>
  <c r="AY148" i="16" s="1"/>
  <c r="AK148" i="16"/>
  <c r="AM148" i="16" s="1"/>
  <c r="X149" i="16"/>
  <c r="BI148" i="16"/>
  <c r="BK148" i="16" s="1"/>
  <c r="AB148" i="16"/>
  <c r="Y148" i="16"/>
  <c r="AA148" i="16" s="1"/>
  <c r="AC75" i="16"/>
  <c r="AR72" i="16"/>
  <c r="BL149" i="16"/>
  <c r="BH150" i="16"/>
  <c r="AF74" i="16"/>
  <c r="AJ148" i="16"/>
  <c r="AN147" i="16"/>
  <c r="P148" i="16"/>
  <c r="E148" i="16"/>
  <c r="B149" i="16"/>
  <c r="BB73" i="16"/>
  <c r="BC73" i="16" s="1"/>
  <c r="BE73" i="16" s="1"/>
  <c r="BH148" i="14"/>
  <c r="BL147" i="14"/>
  <c r="BM78" i="14"/>
  <c r="BP77" i="14"/>
  <c r="P147" i="14"/>
  <c r="E147" i="14"/>
  <c r="AK147" i="14"/>
  <c r="AM147" i="14" s="1"/>
  <c r="AW147" i="14"/>
  <c r="AY147" i="14" s="1"/>
  <c r="BB75" i="14"/>
  <c r="BC75" i="14" s="1"/>
  <c r="BE75" i="14" s="1"/>
  <c r="AJ148" i="14"/>
  <c r="AN147" i="14"/>
  <c r="AR77" i="14"/>
  <c r="AP78" i="14"/>
  <c r="AQ78" i="14" s="1"/>
  <c r="AS78" i="14" s="1"/>
  <c r="X148" i="14"/>
  <c r="BI148" i="14" s="1"/>
  <c r="BK148" i="14" s="1"/>
  <c r="AB147" i="14"/>
  <c r="Y147" i="14"/>
  <c r="AA147" i="14" s="1"/>
  <c r="AE54" i="14"/>
  <c r="AG54" i="14" s="1"/>
  <c r="B148" i="14"/>
  <c r="AM147" i="19" l="1"/>
  <c r="AA147" i="19"/>
  <c r="B149" i="15"/>
  <c r="F148" i="15"/>
  <c r="AZ149" i="19"/>
  <c r="AV150" i="19"/>
  <c r="AW148" i="19"/>
  <c r="AY148" i="19" s="1"/>
  <c r="AK148" i="19"/>
  <c r="X149" i="19"/>
  <c r="AB148" i="19"/>
  <c r="Y148" i="19"/>
  <c r="BI148" i="19"/>
  <c r="BK148" i="19" s="1"/>
  <c r="BH150" i="19"/>
  <c r="BL149" i="19"/>
  <c r="B149" i="19"/>
  <c r="P148" i="19"/>
  <c r="E148" i="19"/>
  <c r="AD72" i="19"/>
  <c r="AO73" i="19"/>
  <c r="BA83" i="19"/>
  <c r="BD82" i="19"/>
  <c r="BN85" i="19"/>
  <c r="AN148" i="19"/>
  <c r="AJ149" i="19"/>
  <c r="AR72" i="19"/>
  <c r="AO84" i="18"/>
  <c r="BI148" i="18"/>
  <c r="BK148" i="18" s="1"/>
  <c r="AB148" i="18"/>
  <c r="AK148" i="18"/>
  <c r="AM148" i="18" s="1"/>
  <c r="X149" i="18"/>
  <c r="Y148" i="18"/>
  <c r="AA148" i="18" s="1"/>
  <c r="AW148" i="18"/>
  <c r="AY148" i="18" s="1"/>
  <c r="AJ150" i="18"/>
  <c r="AN149" i="18"/>
  <c r="AR83" i="18"/>
  <c r="BN73" i="18"/>
  <c r="BO73" i="18" s="1"/>
  <c r="BQ73" i="18" s="1"/>
  <c r="AD71" i="18"/>
  <c r="AE71" i="18" s="1"/>
  <c r="AG71" i="18" s="1"/>
  <c r="AZ149" i="18"/>
  <c r="AV150" i="18"/>
  <c r="P148" i="18"/>
  <c r="B149" i="18"/>
  <c r="E148" i="18"/>
  <c r="BL148" i="18"/>
  <c r="BH149" i="18"/>
  <c r="BB73" i="18"/>
  <c r="BC73" i="18" s="1"/>
  <c r="BE73" i="18" s="1"/>
  <c r="AV150" i="17"/>
  <c r="AZ149" i="17"/>
  <c r="BL151" i="17"/>
  <c r="BH152" i="17"/>
  <c r="AJ151" i="17"/>
  <c r="AN150" i="17"/>
  <c r="BA75" i="17"/>
  <c r="BI148" i="17"/>
  <c r="BK148" i="17" s="1"/>
  <c r="AW148" i="17"/>
  <c r="AY148" i="17" s="1"/>
  <c r="Y148" i="17"/>
  <c r="AA148" i="17" s="1"/>
  <c r="AK148" i="17"/>
  <c r="AM148" i="17" s="1"/>
  <c r="X149" i="17"/>
  <c r="AB148" i="17"/>
  <c r="BD74" i="17"/>
  <c r="BM76" i="17"/>
  <c r="AO73" i="17"/>
  <c r="B149" i="17"/>
  <c r="E148" i="17"/>
  <c r="P148" i="17"/>
  <c r="BP75" i="17"/>
  <c r="AR72" i="17"/>
  <c r="AD73" i="17"/>
  <c r="AE73" i="17" s="1"/>
  <c r="AG73" i="17" s="1"/>
  <c r="BA74" i="16"/>
  <c r="E149" i="16"/>
  <c r="B150" i="16"/>
  <c r="P149" i="16"/>
  <c r="BD73" i="16"/>
  <c r="AJ149" i="16"/>
  <c r="AN148" i="16"/>
  <c r="AD75" i="16"/>
  <c r="AE75" i="16" s="1"/>
  <c r="AG75" i="16" s="1"/>
  <c r="AP73" i="16"/>
  <c r="AQ73" i="16" s="1"/>
  <c r="AS73" i="16" s="1"/>
  <c r="AZ149" i="16"/>
  <c r="AV150" i="16"/>
  <c r="BH151" i="16"/>
  <c r="BL150" i="16"/>
  <c r="AK149" i="16"/>
  <c r="AM149" i="16" s="1"/>
  <c r="X150" i="16"/>
  <c r="Y149" i="16"/>
  <c r="AA149" i="16" s="1"/>
  <c r="BI149" i="16"/>
  <c r="BK149" i="16" s="1"/>
  <c r="AW149" i="16"/>
  <c r="AY149" i="16" s="1"/>
  <c r="AB149" i="16"/>
  <c r="BN73" i="16"/>
  <c r="BO73" i="16" s="1"/>
  <c r="BQ73" i="16" s="1"/>
  <c r="BH149" i="14"/>
  <c r="BL148" i="14"/>
  <c r="BN78" i="14"/>
  <c r="BO78" i="14" s="1"/>
  <c r="BQ78" i="14" s="1"/>
  <c r="P148" i="14"/>
  <c r="E148" i="14"/>
  <c r="AK148" i="14"/>
  <c r="AM148" i="14" s="1"/>
  <c r="AW148" i="14"/>
  <c r="AY148" i="14" s="1"/>
  <c r="BA76" i="14"/>
  <c r="BD75" i="14"/>
  <c r="AJ149" i="14"/>
  <c r="AN148" i="14"/>
  <c r="AO79" i="14"/>
  <c r="AR78" i="14"/>
  <c r="X149" i="14"/>
  <c r="BI149" i="14" s="1"/>
  <c r="BK149" i="14" s="1"/>
  <c r="AB148" i="14"/>
  <c r="Y148" i="14"/>
  <c r="AA148" i="14" s="1"/>
  <c r="AC55" i="14"/>
  <c r="AF54" i="14"/>
  <c r="B149" i="14"/>
  <c r="AM148" i="19" l="1"/>
  <c r="AA148" i="19"/>
  <c r="B150" i="15"/>
  <c r="F149" i="15"/>
  <c r="AJ150" i="19"/>
  <c r="AN149" i="19"/>
  <c r="AB149" i="19"/>
  <c r="AK149" i="19"/>
  <c r="AM149" i="19" s="1"/>
  <c r="Y149" i="19"/>
  <c r="AW149" i="19"/>
  <c r="AY149" i="19" s="1"/>
  <c r="X150" i="19"/>
  <c r="BI149" i="19"/>
  <c r="BK149" i="19" s="1"/>
  <c r="BL150" i="19"/>
  <c r="BH151" i="19"/>
  <c r="BB83" i="19"/>
  <c r="BC83" i="19" s="1"/>
  <c r="BE83" i="19" s="1"/>
  <c r="AV151" i="19"/>
  <c r="AZ150" i="19"/>
  <c r="AP73" i="19"/>
  <c r="AQ73" i="19" s="1"/>
  <c r="AS73" i="19" s="1"/>
  <c r="E149" i="19"/>
  <c r="B150" i="19"/>
  <c r="P149" i="19"/>
  <c r="BO85" i="19"/>
  <c r="BQ85" i="19" s="1"/>
  <c r="AE72" i="19"/>
  <c r="AG72" i="19" s="1"/>
  <c r="BA74" i="18"/>
  <c r="AC72" i="18"/>
  <c r="AF71" i="18"/>
  <c r="P149" i="18"/>
  <c r="E149" i="18"/>
  <c r="B150" i="18"/>
  <c r="AW149" i="18"/>
  <c r="AY149" i="18" s="1"/>
  <c r="AB149" i="18"/>
  <c r="X150" i="18"/>
  <c r="Y149" i="18"/>
  <c r="AA149" i="18" s="1"/>
  <c r="AK149" i="18"/>
  <c r="AM149" i="18" s="1"/>
  <c r="BI149" i="18"/>
  <c r="BK149" i="18" s="1"/>
  <c r="BM74" i="18"/>
  <c r="BD73" i="18"/>
  <c r="BP73" i="18"/>
  <c r="AV151" i="18"/>
  <c r="AZ150" i="18"/>
  <c r="BL149" i="18"/>
  <c r="BH150" i="18"/>
  <c r="AJ151" i="18"/>
  <c r="AN150" i="18"/>
  <c r="AP84" i="18"/>
  <c r="AQ84" i="18" s="1"/>
  <c r="AS84" i="18" s="1"/>
  <c r="AC74" i="17"/>
  <c r="AP73" i="17"/>
  <c r="AQ73" i="17" s="1"/>
  <c r="AS73" i="17" s="1"/>
  <c r="BH153" i="17"/>
  <c r="BL152" i="17"/>
  <c r="BN76" i="17"/>
  <c r="BO76" i="17" s="1"/>
  <c r="BQ76" i="17" s="1"/>
  <c r="BB75" i="17"/>
  <c r="BC75" i="17" s="1"/>
  <c r="BE75" i="17" s="1"/>
  <c r="B150" i="17"/>
  <c r="P149" i="17"/>
  <c r="E149" i="17"/>
  <c r="AV151" i="17"/>
  <c r="AZ150" i="17"/>
  <c r="AF73" i="17"/>
  <c r="AW149" i="17"/>
  <c r="AY149" i="17" s="1"/>
  <c r="AK149" i="17"/>
  <c r="AM149" i="17" s="1"/>
  <c r="AB149" i="17"/>
  <c r="BI149" i="17"/>
  <c r="BK149" i="17" s="1"/>
  <c r="X150" i="17"/>
  <c r="Y149" i="17"/>
  <c r="AA149" i="17" s="1"/>
  <c r="AJ152" i="17"/>
  <c r="AN151" i="17"/>
  <c r="AO74" i="16"/>
  <c r="AR73" i="16"/>
  <c r="E150" i="16"/>
  <c r="B151" i="16"/>
  <c r="P150" i="16"/>
  <c r="BM74" i="16"/>
  <c r="Y150" i="16"/>
  <c r="AA150" i="16" s="1"/>
  <c r="BI150" i="16"/>
  <c r="BK150" i="16" s="1"/>
  <c r="X151" i="16"/>
  <c r="AK150" i="16"/>
  <c r="AM150" i="16" s="1"/>
  <c r="AW150" i="16"/>
  <c r="AY150" i="16" s="1"/>
  <c r="AB150" i="16"/>
  <c r="AC76" i="16"/>
  <c r="BP73" i="16"/>
  <c r="AF75" i="16"/>
  <c r="AZ150" i="16"/>
  <c r="AV151" i="16"/>
  <c r="BH152" i="16"/>
  <c r="BL151" i="16"/>
  <c r="AJ150" i="16"/>
  <c r="AN149" i="16"/>
  <c r="BB74" i="16"/>
  <c r="BC74" i="16" s="1"/>
  <c r="BE74" i="16" s="1"/>
  <c r="BH150" i="14"/>
  <c r="BL149" i="14"/>
  <c r="BM79" i="14"/>
  <c r="BP78" i="14"/>
  <c r="P149" i="14"/>
  <c r="E149" i="14"/>
  <c r="AK149" i="14"/>
  <c r="AM149" i="14" s="1"/>
  <c r="AW149" i="14"/>
  <c r="AY149" i="14" s="1"/>
  <c r="BB76" i="14"/>
  <c r="AJ150" i="14"/>
  <c r="AN149" i="14"/>
  <c r="AP79" i="14"/>
  <c r="AQ79" i="14" s="1"/>
  <c r="AS79" i="14" s="1"/>
  <c r="X150" i="14"/>
  <c r="BI150" i="14" s="1"/>
  <c r="BK150" i="14" s="1"/>
  <c r="Y149" i="14"/>
  <c r="AA149" i="14" s="1"/>
  <c r="AB149" i="14"/>
  <c r="AD55" i="14"/>
  <c r="B150" i="14"/>
  <c r="AA149" i="19" l="1"/>
  <c r="B151" i="15"/>
  <c r="F150" i="15"/>
  <c r="AZ151" i="19"/>
  <c r="AV152" i="19"/>
  <c r="BH152" i="19"/>
  <c r="BL151" i="19"/>
  <c r="P150" i="19"/>
  <c r="E150" i="19"/>
  <c r="B151" i="19"/>
  <c r="AC73" i="19"/>
  <c r="AF72" i="19"/>
  <c r="BM86" i="19"/>
  <c r="AO74" i="19"/>
  <c r="BA84" i="19"/>
  <c r="BP85" i="19"/>
  <c r="AR73" i="19"/>
  <c r="BD83" i="19"/>
  <c r="X151" i="19"/>
  <c r="Y150" i="19"/>
  <c r="BI150" i="19"/>
  <c r="BK150" i="19" s="1"/>
  <c r="AK150" i="19"/>
  <c r="AM150" i="19" s="1"/>
  <c r="AW150" i="19"/>
  <c r="AY150" i="19" s="1"/>
  <c r="AB150" i="19"/>
  <c r="AN150" i="19"/>
  <c r="AJ151" i="19"/>
  <c r="AO85" i="18"/>
  <c r="AZ151" i="18"/>
  <c r="AV152" i="18"/>
  <c r="AN151" i="18"/>
  <c r="AJ152" i="18"/>
  <c r="BN74" i="18"/>
  <c r="BO74" i="18" s="1"/>
  <c r="BQ74" i="18" s="1"/>
  <c r="BL150" i="18"/>
  <c r="BH151" i="18"/>
  <c r="B151" i="18"/>
  <c r="P150" i="18"/>
  <c r="E150" i="18"/>
  <c r="AD72" i="18"/>
  <c r="AE72" i="18" s="1"/>
  <c r="AG72" i="18" s="1"/>
  <c r="AR84" i="18"/>
  <c r="X151" i="18"/>
  <c r="AK150" i="18"/>
  <c r="AM150" i="18" s="1"/>
  <c r="BI150" i="18"/>
  <c r="BK150" i="18" s="1"/>
  <c r="AB150" i="18"/>
  <c r="Y150" i="18"/>
  <c r="AA150" i="18" s="1"/>
  <c r="AW150" i="18"/>
  <c r="AY150" i="18" s="1"/>
  <c r="BB74" i="18"/>
  <c r="BC74" i="18" s="1"/>
  <c r="BE74" i="18" s="1"/>
  <c r="BH154" i="17"/>
  <c r="BL153" i="17"/>
  <c r="E150" i="17"/>
  <c r="P150" i="17"/>
  <c r="B151" i="17"/>
  <c r="BA76" i="17"/>
  <c r="BM77" i="17"/>
  <c r="BD75" i="17"/>
  <c r="BP76" i="17"/>
  <c r="AO74" i="17"/>
  <c r="AN152" i="17"/>
  <c r="AJ153" i="17"/>
  <c r="AR73" i="17"/>
  <c r="AZ151" i="17"/>
  <c r="AV152" i="17"/>
  <c r="AB150" i="17"/>
  <c r="AK150" i="17"/>
  <c r="AM150" i="17" s="1"/>
  <c r="Y150" i="17"/>
  <c r="AA150" i="17" s="1"/>
  <c r="X151" i="17"/>
  <c r="AW150" i="17"/>
  <c r="AY150" i="17" s="1"/>
  <c r="BI150" i="17"/>
  <c r="BK150" i="17" s="1"/>
  <c r="AD74" i="17"/>
  <c r="AE74" i="17" s="1"/>
  <c r="AG74" i="17" s="1"/>
  <c r="BA75" i="16"/>
  <c r="AV152" i="16"/>
  <c r="AZ151" i="16"/>
  <c r="AD76" i="16"/>
  <c r="AE76" i="16" s="1"/>
  <c r="AG76" i="16" s="1"/>
  <c r="BN74" i="16"/>
  <c r="BO74" i="16" s="1"/>
  <c r="BQ74" i="16" s="1"/>
  <c r="AP74" i="16"/>
  <c r="AQ74" i="16" s="1"/>
  <c r="AS74" i="16" s="1"/>
  <c r="BD74" i="16"/>
  <c r="E151" i="16"/>
  <c r="B152" i="16"/>
  <c r="P151" i="16"/>
  <c r="AN150" i="16"/>
  <c r="AJ151" i="16"/>
  <c r="BI151" i="16"/>
  <c r="BK151" i="16" s="1"/>
  <c r="AW151" i="16"/>
  <c r="AY151" i="16" s="1"/>
  <c r="AB151" i="16"/>
  <c r="Y151" i="16"/>
  <c r="AA151" i="16" s="1"/>
  <c r="X152" i="16"/>
  <c r="AK151" i="16"/>
  <c r="AM151" i="16" s="1"/>
  <c r="BL152" i="16"/>
  <c r="BH153" i="16"/>
  <c r="BH151" i="14"/>
  <c r="BL150" i="14"/>
  <c r="BN79" i="14"/>
  <c r="BO79" i="14" s="1"/>
  <c r="BQ79" i="14" s="1"/>
  <c r="P150" i="14"/>
  <c r="E150" i="14"/>
  <c r="AK150" i="14"/>
  <c r="AM150" i="14" s="1"/>
  <c r="AW150" i="14"/>
  <c r="AY150" i="14" s="1"/>
  <c r="BC76" i="14"/>
  <c r="BE76" i="14" s="1"/>
  <c r="AJ151" i="14"/>
  <c r="AN150" i="14"/>
  <c r="AO80" i="14"/>
  <c r="AR79" i="14"/>
  <c r="X151" i="14"/>
  <c r="BI151" i="14" s="1"/>
  <c r="BK151" i="14" s="1"/>
  <c r="AB150" i="14"/>
  <c r="Y150" i="14"/>
  <c r="AA150" i="14" s="1"/>
  <c r="AE55" i="14"/>
  <c r="AG55" i="14" s="1"/>
  <c r="B151" i="14"/>
  <c r="AA150" i="19" l="1"/>
  <c r="B152" i="15"/>
  <c r="F151" i="15"/>
  <c r="BI151" i="19"/>
  <c r="BK151" i="19" s="1"/>
  <c r="AW151" i="19"/>
  <c r="AY151" i="19" s="1"/>
  <c r="AB151" i="19"/>
  <c r="X152" i="19"/>
  <c r="AK151" i="19"/>
  <c r="AM151" i="19" s="1"/>
  <c r="Y151" i="19"/>
  <c r="AP74" i="19"/>
  <c r="AQ74" i="19" s="1"/>
  <c r="AS74" i="19" s="1"/>
  <c r="B152" i="19"/>
  <c r="E151" i="19"/>
  <c r="P151" i="19"/>
  <c r="BN86" i="19"/>
  <c r="BO86" i="19" s="1"/>
  <c r="BQ86" i="19" s="1"/>
  <c r="AJ152" i="19"/>
  <c r="AN151" i="19"/>
  <c r="AV153" i="19"/>
  <c r="AZ152" i="19"/>
  <c r="BB84" i="19"/>
  <c r="BC84" i="19" s="1"/>
  <c r="BE84" i="19" s="1"/>
  <c r="AD73" i="19"/>
  <c r="AE73" i="19" s="1"/>
  <c r="AG73" i="19" s="1"/>
  <c r="BH153" i="19"/>
  <c r="BL152" i="19"/>
  <c r="BA75" i="18"/>
  <c r="E151" i="18"/>
  <c r="B152" i="18"/>
  <c r="P151" i="18"/>
  <c r="BP74" i="18"/>
  <c r="BH152" i="18"/>
  <c r="BL151" i="18"/>
  <c r="AN152" i="18"/>
  <c r="AJ153" i="18"/>
  <c r="BM75" i="18"/>
  <c r="BD74" i="18"/>
  <c r="AC73" i="18"/>
  <c r="AV153" i="18"/>
  <c r="AZ152" i="18"/>
  <c r="AF72" i="18"/>
  <c r="AP85" i="18"/>
  <c r="AQ85" i="18" s="1"/>
  <c r="AS85" i="18" s="1"/>
  <c r="Y151" i="18"/>
  <c r="AA151" i="18" s="1"/>
  <c r="X152" i="18"/>
  <c r="AW151" i="18"/>
  <c r="AY151" i="18" s="1"/>
  <c r="AK151" i="18"/>
  <c r="AM151" i="18" s="1"/>
  <c r="AB151" i="18"/>
  <c r="BI151" i="18"/>
  <c r="BK151" i="18" s="1"/>
  <c r="BB76" i="17"/>
  <c r="BC76" i="17" s="1"/>
  <c r="BE76" i="17" s="1"/>
  <c r="AZ152" i="17"/>
  <c r="AV153" i="17"/>
  <c r="AP74" i="17"/>
  <c r="X152" i="17"/>
  <c r="Y151" i="17"/>
  <c r="AA151" i="17" s="1"/>
  <c r="BI151" i="17"/>
  <c r="BK151" i="17" s="1"/>
  <c r="AK151" i="17"/>
  <c r="AM151" i="17" s="1"/>
  <c r="AW151" i="17"/>
  <c r="AY151" i="17" s="1"/>
  <c r="AB151" i="17"/>
  <c r="BL154" i="17"/>
  <c r="BH155" i="17"/>
  <c r="P151" i="17"/>
  <c r="E151" i="17"/>
  <c r="B152" i="17"/>
  <c r="BN77" i="17"/>
  <c r="BO77" i="17" s="1"/>
  <c r="BQ77" i="17" s="1"/>
  <c r="AC75" i="17"/>
  <c r="AF74" i="17"/>
  <c r="AN153" i="17"/>
  <c r="AJ154" i="17"/>
  <c r="AC77" i="16"/>
  <c r="BL153" i="16"/>
  <c r="BH154" i="16"/>
  <c r="AO75" i="16"/>
  <c r="AV153" i="16"/>
  <c r="AZ152" i="16"/>
  <c r="AR74" i="16"/>
  <c r="AN151" i="16"/>
  <c r="AJ152" i="16"/>
  <c r="BM75" i="16"/>
  <c r="BP74" i="16"/>
  <c r="BB75" i="16"/>
  <c r="BC75" i="16" s="1"/>
  <c r="BE75" i="16" s="1"/>
  <c r="AW152" i="16"/>
  <c r="AY152" i="16" s="1"/>
  <c r="AB152" i="16"/>
  <c r="AK152" i="16"/>
  <c r="AM152" i="16" s="1"/>
  <c r="X153" i="16"/>
  <c r="BI152" i="16"/>
  <c r="BK152" i="16" s="1"/>
  <c r="Y152" i="16"/>
  <c r="AA152" i="16" s="1"/>
  <c r="P152" i="16"/>
  <c r="E152" i="16"/>
  <c r="B153" i="16"/>
  <c r="AF76" i="16"/>
  <c r="BH152" i="14"/>
  <c r="BL151" i="14"/>
  <c r="BM80" i="14"/>
  <c r="BP79" i="14"/>
  <c r="P151" i="14"/>
  <c r="E151" i="14"/>
  <c r="AK151" i="14"/>
  <c r="AM151" i="14" s="1"/>
  <c r="AW151" i="14"/>
  <c r="AY151" i="14" s="1"/>
  <c r="BA77" i="14"/>
  <c r="BD76" i="14"/>
  <c r="AJ152" i="14"/>
  <c r="AN151" i="14"/>
  <c r="AP80" i="14"/>
  <c r="AQ80" i="14" s="1"/>
  <c r="AS80" i="14" s="1"/>
  <c r="X152" i="14"/>
  <c r="BI152" i="14" s="1"/>
  <c r="BK152" i="14" s="1"/>
  <c r="Y151" i="14"/>
  <c r="AA151" i="14" s="1"/>
  <c r="AB151" i="14"/>
  <c r="AC56" i="14"/>
  <c r="AF55" i="14"/>
  <c r="B152" i="14"/>
  <c r="AA151" i="19" l="1"/>
  <c r="B153" i="15"/>
  <c r="F152" i="15"/>
  <c r="AO75" i="19"/>
  <c r="BM87" i="19"/>
  <c r="BP86" i="19"/>
  <c r="AV154" i="19"/>
  <c r="AZ153" i="19"/>
  <c r="BH154" i="19"/>
  <c r="BL153" i="19"/>
  <c r="AC74" i="19"/>
  <c r="P152" i="19"/>
  <c r="E152" i="19"/>
  <c r="B153" i="19"/>
  <c r="AW152" i="19"/>
  <c r="AY152" i="19" s="1"/>
  <c r="AK152" i="19"/>
  <c r="AM152" i="19" s="1"/>
  <c r="X153" i="19"/>
  <c r="BI152" i="19"/>
  <c r="BK152" i="19" s="1"/>
  <c r="Y152" i="19"/>
  <c r="AB152" i="19"/>
  <c r="AF73" i="19"/>
  <c r="AN152" i="19"/>
  <c r="AJ153" i="19"/>
  <c r="BA85" i="19"/>
  <c r="AR74" i="19"/>
  <c r="BD84" i="19"/>
  <c r="AO86" i="18"/>
  <c r="BN75" i="18"/>
  <c r="BO75" i="18" s="1"/>
  <c r="BQ75" i="18" s="1"/>
  <c r="AR85" i="18"/>
  <c r="P152" i="18"/>
  <c r="B153" i="18"/>
  <c r="E152" i="18"/>
  <c r="AJ154" i="18"/>
  <c r="AN153" i="18"/>
  <c r="AZ153" i="18"/>
  <c r="AV154" i="18"/>
  <c r="BI152" i="18"/>
  <c r="BK152" i="18" s="1"/>
  <c r="AB152" i="18"/>
  <c r="X153" i="18"/>
  <c r="AK152" i="18"/>
  <c r="AM152" i="18" s="1"/>
  <c r="AW152" i="18"/>
  <c r="AY152" i="18" s="1"/>
  <c r="Y152" i="18"/>
  <c r="AA152" i="18" s="1"/>
  <c r="AD73" i="18"/>
  <c r="AE73" i="18" s="1"/>
  <c r="AG73" i="18" s="1"/>
  <c r="BL152" i="18"/>
  <c r="BH153" i="18"/>
  <c r="BB75" i="18"/>
  <c r="BC75" i="18" s="1"/>
  <c r="BE75" i="18" s="1"/>
  <c r="AV154" i="17"/>
  <c r="AZ153" i="17"/>
  <c r="AJ155" i="17"/>
  <c r="AN154" i="17"/>
  <c r="BM78" i="17"/>
  <c r="BL155" i="17"/>
  <c r="BH156" i="17"/>
  <c r="BP77" i="17"/>
  <c r="BI152" i="17"/>
  <c r="BK152" i="17" s="1"/>
  <c r="AW152" i="17"/>
  <c r="AY152" i="17" s="1"/>
  <c r="AK152" i="17"/>
  <c r="AM152" i="17" s="1"/>
  <c r="X153" i="17"/>
  <c r="Y152" i="17"/>
  <c r="AA152" i="17" s="1"/>
  <c r="AB152" i="17"/>
  <c r="BA77" i="17"/>
  <c r="B153" i="17"/>
  <c r="E152" i="17"/>
  <c r="P152" i="17"/>
  <c r="BD76" i="17"/>
  <c r="AD75" i="17"/>
  <c r="AE75" i="17" s="1"/>
  <c r="AG75" i="17" s="1"/>
  <c r="AQ74" i="17"/>
  <c r="AS74" i="17" s="1"/>
  <c r="AP75" i="16"/>
  <c r="AQ75" i="16" s="1"/>
  <c r="AS75" i="16" s="1"/>
  <c r="AK153" i="16"/>
  <c r="AM153" i="16" s="1"/>
  <c r="X154" i="16"/>
  <c r="Y153" i="16"/>
  <c r="AA153" i="16" s="1"/>
  <c r="AW153" i="16"/>
  <c r="AY153" i="16" s="1"/>
  <c r="AB153" i="16"/>
  <c r="BI153" i="16"/>
  <c r="BK153" i="16" s="1"/>
  <c r="P153" i="16"/>
  <c r="E153" i="16"/>
  <c r="B154" i="16"/>
  <c r="BH155" i="16"/>
  <c r="BL154" i="16"/>
  <c r="BN75" i="16"/>
  <c r="BO75" i="16" s="1"/>
  <c r="BQ75" i="16" s="1"/>
  <c r="AJ153" i="16"/>
  <c r="AN152" i="16"/>
  <c r="BA76" i="16"/>
  <c r="AZ153" i="16"/>
  <c r="AV154" i="16"/>
  <c r="AD77" i="16"/>
  <c r="AE77" i="16" s="1"/>
  <c r="AG77" i="16" s="1"/>
  <c r="BD75" i="16"/>
  <c r="BH153" i="14"/>
  <c r="BL152" i="14"/>
  <c r="BN80" i="14"/>
  <c r="BO80" i="14" s="1"/>
  <c r="BQ80" i="14" s="1"/>
  <c r="P152" i="14"/>
  <c r="E152" i="14"/>
  <c r="AK152" i="14"/>
  <c r="AM152" i="14" s="1"/>
  <c r="AW152" i="14"/>
  <c r="AY152" i="14" s="1"/>
  <c r="BB77" i="14"/>
  <c r="BC77" i="14" s="1"/>
  <c r="BE77" i="14" s="1"/>
  <c r="AJ153" i="14"/>
  <c r="AN152" i="14"/>
  <c r="AR80" i="14"/>
  <c r="AO81" i="14"/>
  <c r="X153" i="14"/>
  <c r="BI153" i="14" s="1"/>
  <c r="BK153" i="14" s="1"/>
  <c r="Y152" i="14"/>
  <c r="AA152" i="14" s="1"/>
  <c r="AB152" i="14"/>
  <c r="AD56" i="14"/>
  <c r="B153" i="14"/>
  <c r="AA152" i="19" l="1"/>
  <c r="B154" i="15"/>
  <c r="F153" i="15"/>
  <c r="AV155" i="19"/>
  <c r="AZ154" i="19"/>
  <c r="BL154" i="19"/>
  <c r="BH155" i="19"/>
  <c r="P153" i="19"/>
  <c r="B154" i="19"/>
  <c r="E153" i="19"/>
  <c r="BB85" i="19"/>
  <c r="BC85" i="19" s="1"/>
  <c r="BE85" i="19" s="1"/>
  <c r="AW153" i="19"/>
  <c r="AY153" i="19" s="1"/>
  <c r="AB153" i="19"/>
  <c r="AK153" i="19"/>
  <c r="AM153" i="19" s="1"/>
  <c r="BI153" i="19"/>
  <c r="BK153" i="19" s="1"/>
  <c r="Y153" i="19"/>
  <c r="X154" i="19"/>
  <c r="AD74" i="19"/>
  <c r="AE74" i="19" s="1"/>
  <c r="AG74" i="19" s="1"/>
  <c r="BN87" i="19"/>
  <c r="BO87" i="19" s="1"/>
  <c r="BQ87" i="19" s="1"/>
  <c r="AJ154" i="19"/>
  <c r="AN153" i="19"/>
  <c r="AP75" i="19"/>
  <c r="AQ75" i="19" s="1"/>
  <c r="AS75" i="19" s="1"/>
  <c r="BM76" i="18"/>
  <c r="BA76" i="18"/>
  <c r="AZ154" i="18"/>
  <c r="AV155" i="18"/>
  <c r="P153" i="18"/>
  <c r="B154" i="18"/>
  <c r="E153" i="18"/>
  <c r="BD75" i="18"/>
  <c r="AW153" i="18"/>
  <c r="AY153" i="18" s="1"/>
  <c r="AB153" i="18"/>
  <c r="X154" i="18"/>
  <c r="AK153" i="18"/>
  <c r="AM153" i="18" s="1"/>
  <c r="BI153" i="18"/>
  <c r="BK153" i="18" s="1"/>
  <c r="Y153" i="18"/>
  <c r="AA153" i="18" s="1"/>
  <c r="BL153" i="18"/>
  <c r="BH154" i="18"/>
  <c r="AC74" i="18"/>
  <c r="AN154" i="18"/>
  <c r="AJ155" i="18"/>
  <c r="AF73" i="18"/>
  <c r="AP86" i="18"/>
  <c r="AQ86" i="18" s="1"/>
  <c r="AS86" i="18" s="1"/>
  <c r="BP75" i="18"/>
  <c r="AC76" i="17"/>
  <c r="AO75" i="17"/>
  <c r="P153" i="17"/>
  <c r="B154" i="17"/>
  <c r="E153" i="17"/>
  <c r="AJ156" i="17"/>
  <c r="AN155" i="17"/>
  <c r="BB77" i="17"/>
  <c r="BC77" i="17" s="1"/>
  <c r="BE77" i="17" s="1"/>
  <c r="AF75" i="17"/>
  <c r="AZ154" i="17"/>
  <c r="AV155" i="17"/>
  <c r="BH157" i="17"/>
  <c r="BL156" i="17"/>
  <c r="AR74" i="17"/>
  <c r="AW153" i="17"/>
  <c r="AY153" i="17" s="1"/>
  <c r="AK153" i="17"/>
  <c r="AM153" i="17" s="1"/>
  <c r="BI153" i="17"/>
  <c r="BK153" i="17" s="1"/>
  <c r="X154" i="17"/>
  <c r="Y153" i="17"/>
  <c r="AA153" i="17" s="1"/>
  <c r="AB153" i="17"/>
  <c r="BN78" i="17"/>
  <c r="BO78" i="17" s="1"/>
  <c r="BQ78" i="17" s="1"/>
  <c r="BL155" i="16"/>
  <c r="BH156" i="16"/>
  <c r="Y154" i="16"/>
  <c r="AA154" i="16" s="1"/>
  <c r="BI154" i="16"/>
  <c r="BK154" i="16" s="1"/>
  <c r="AW154" i="16"/>
  <c r="AY154" i="16" s="1"/>
  <c r="AB154" i="16"/>
  <c r="X155" i="16"/>
  <c r="AK154" i="16"/>
  <c r="AM154" i="16" s="1"/>
  <c r="AN153" i="16"/>
  <c r="AJ154" i="16"/>
  <c r="AC78" i="16"/>
  <c r="E154" i="16"/>
  <c r="B155" i="16"/>
  <c r="P154" i="16"/>
  <c r="AF77" i="16"/>
  <c r="AO76" i="16"/>
  <c r="AZ154" i="16"/>
  <c r="AV155" i="16"/>
  <c r="BM76" i="16"/>
  <c r="AR75" i="16"/>
  <c r="BP75" i="16"/>
  <c r="BB76" i="16"/>
  <c r="BC76" i="16" s="1"/>
  <c r="BE76" i="16" s="1"/>
  <c r="BH154" i="14"/>
  <c r="BL153" i="14"/>
  <c r="BM81" i="14"/>
  <c r="BP80" i="14"/>
  <c r="P153" i="14"/>
  <c r="E153" i="14"/>
  <c r="AK153" i="14"/>
  <c r="AM153" i="14" s="1"/>
  <c r="AW153" i="14"/>
  <c r="AY153" i="14" s="1"/>
  <c r="BA78" i="14"/>
  <c r="BD77" i="14"/>
  <c r="AJ154" i="14"/>
  <c r="AN153" i="14"/>
  <c r="AP81" i="14"/>
  <c r="AQ81" i="14" s="1"/>
  <c r="AS81" i="14" s="1"/>
  <c r="X154" i="14"/>
  <c r="BI154" i="14" s="1"/>
  <c r="BK154" i="14" s="1"/>
  <c r="AB153" i="14"/>
  <c r="Y153" i="14"/>
  <c r="AA153" i="14" s="1"/>
  <c r="AE56" i="14"/>
  <c r="AG56" i="14" s="1"/>
  <c r="B154" i="14"/>
  <c r="AA153" i="19" l="1"/>
  <c r="B155" i="15"/>
  <c r="F154" i="15"/>
  <c r="BA86" i="19"/>
  <c r="AO76" i="19"/>
  <c r="AC75" i="19"/>
  <c r="AK154" i="19"/>
  <c r="AM154" i="19" s="1"/>
  <c r="X155" i="19"/>
  <c r="Y154" i="19"/>
  <c r="AW154" i="19"/>
  <c r="AY154" i="19" s="1"/>
  <c r="BI154" i="19"/>
  <c r="BK154" i="19" s="1"/>
  <c r="AB154" i="19"/>
  <c r="AF74" i="19"/>
  <c r="BD85" i="19"/>
  <c r="AR75" i="19"/>
  <c r="BM88" i="19"/>
  <c r="P154" i="19"/>
  <c r="E154" i="19"/>
  <c r="B155" i="19"/>
  <c r="AZ155" i="19"/>
  <c r="AV156" i="19"/>
  <c r="BP87" i="19"/>
  <c r="AJ155" i="19"/>
  <c r="AN154" i="19"/>
  <c r="BL155" i="19"/>
  <c r="BH156" i="19"/>
  <c r="AN155" i="18"/>
  <c r="AJ156" i="18"/>
  <c r="AR86" i="18"/>
  <c r="AD74" i="18"/>
  <c r="AE74" i="18" s="1"/>
  <c r="AG74" i="18" s="1"/>
  <c r="BB76" i="18"/>
  <c r="BC76" i="18" s="1"/>
  <c r="BE76" i="18" s="1"/>
  <c r="BL154" i="18"/>
  <c r="BH155" i="18"/>
  <c r="AO87" i="18"/>
  <c r="P154" i="18"/>
  <c r="B155" i="18"/>
  <c r="E154" i="18"/>
  <c r="AK154" i="18"/>
  <c r="AM154" i="18" s="1"/>
  <c r="X155" i="18"/>
  <c r="AB154" i="18"/>
  <c r="BI154" i="18"/>
  <c r="BK154" i="18" s="1"/>
  <c r="Y154" i="18"/>
  <c r="AA154" i="18" s="1"/>
  <c r="AW154" i="18"/>
  <c r="AY154" i="18" s="1"/>
  <c r="BN76" i="18"/>
  <c r="BO76" i="18" s="1"/>
  <c r="BQ76" i="18" s="1"/>
  <c r="AZ155" i="18"/>
  <c r="AV156" i="18"/>
  <c r="BA78" i="17"/>
  <c r="BM79" i="17"/>
  <c r="AV156" i="17"/>
  <c r="AZ155" i="17"/>
  <c r="AJ157" i="17"/>
  <c r="AN156" i="17"/>
  <c r="BP78" i="17"/>
  <c r="AP75" i="17"/>
  <c r="AQ75" i="17" s="1"/>
  <c r="AS75" i="17" s="1"/>
  <c r="BL157" i="17"/>
  <c r="BH158" i="17"/>
  <c r="BD77" i="17"/>
  <c r="E154" i="17"/>
  <c r="P154" i="17"/>
  <c r="B155" i="17"/>
  <c r="AB154" i="17"/>
  <c r="AK154" i="17"/>
  <c r="AM154" i="17" s="1"/>
  <c r="Y154" i="17"/>
  <c r="AA154" i="17" s="1"/>
  <c r="BI154" i="17"/>
  <c r="BK154" i="17" s="1"/>
  <c r="X155" i="17"/>
  <c r="AW154" i="17"/>
  <c r="AY154" i="17" s="1"/>
  <c r="AD76" i="17"/>
  <c r="AE76" i="17" s="1"/>
  <c r="AG76" i="17" s="1"/>
  <c r="AD78" i="16"/>
  <c r="AE78" i="16" s="1"/>
  <c r="AG78" i="16" s="1"/>
  <c r="BI155" i="16"/>
  <c r="BK155" i="16" s="1"/>
  <c r="AW155" i="16"/>
  <c r="AY155" i="16" s="1"/>
  <c r="AB155" i="16"/>
  <c r="X156" i="16"/>
  <c r="Y155" i="16"/>
  <c r="AA155" i="16" s="1"/>
  <c r="AK155" i="16"/>
  <c r="AM155" i="16" s="1"/>
  <c r="BD76" i="16"/>
  <c r="BN76" i="16"/>
  <c r="BO76" i="16" s="1"/>
  <c r="BQ76" i="16" s="1"/>
  <c r="P155" i="16"/>
  <c r="B156" i="16"/>
  <c r="E155" i="16"/>
  <c r="BA77" i="16"/>
  <c r="AV156" i="16"/>
  <c r="AZ155" i="16"/>
  <c r="AP76" i="16"/>
  <c r="AQ76" i="16" s="1"/>
  <c r="AS76" i="16" s="1"/>
  <c r="AN154" i="16"/>
  <c r="AJ155" i="16"/>
  <c r="BH157" i="16"/>
  <c r="BL156" i="16"/>
  <c r="BH155" i="14"/>
  <c r="BL154" i="14"/>
  <c r="BN81" i="14"/>
  <c r="BO81" i="14" s="1"/>
  <c r="BQ81" i="14" s="1"/>
  <c r="P154" i="14"/>
  <c r="E154" i="14"/>
  <c r="AK154" i="14"/>
  <c r="AM154" i="14" s="1"/>
  <c r="AW154" i="14"/>
  <c r="AY154" i="14" s="1"/>
  <c r="BB78" i="14"/>
  <c r="BC78" i="14" s="1"/>
  <c r="BE78" i="14" s="1"/>
  <c r="AJ155" i="14"/>
  <c r="AN154" i="14"/>
  <c r="AO82" i="14"/>
  <c r="AR81" i="14"/>
  <c r="X155" i="14"/>
  <c r="BI155" i="14" s="1"/>
  <c r="BK155" i="14" s="1"/>
  <c r="AB154" i="14"/>
  <c r="Y154" i="14"/>
  <c r="AA154" i="14" s="1"/>
  <c r="AC57" i="14"/>
  <c r="AF56" i="14"/>
  <c r="B155" i="14"/>
  <c r="AA154" i="19" l="1"/>
  <c r="B156" i="15"/>
  <c r="F155" i="15"/>
  <c r="AZ156" i="19"/>
  <c r="AV157" i="19"/>
  <c r="BN88" i="19"/>
  <c r="BO88" i="19" s="1"/>
  <c r="BQ88" i="19" s="1"/>
  <c r="AD75" i="19"/>
  <c r="AE75" i="19" s="1"/>
  <c r="AG75" i="19" s="1"/>
  <c r="P155" i="19"/>
  <c r="E155" i="19"/>
  <c r="B156" i="19"/>
  <c r="AP76" i="19"/>
  <c r="AQ76" i="19" s="1"/>
  <c r="AS76" i="19" s="1"/>
  <c r="AJ156" i="19"/>
  <c r="AN155" i="19"/>
  <c r="X156" i="19"/>
  <c r="Y155" i="19"/>
  <c r="BI155" i="19"/>
  <c r="BK155" i="19" s="1"/>
  <c r="AK155" i="19"/>
  <c r="AM155" i="19" s="1"/>
  <c r="AW155" i="19"/>
  <c r="AY155" i="19" s="1"/>
  <c r="AB155" i="19"/>
  <c r="BB86" i="19"/>
  <c r="BC86" i="19" s="1"/>
  <c r="BE86" i="19" s="1"/>
  <c r="BH157" i="19"/>
  <c r="BL156" i="19"/>
  <c r="AC75" i="18"/>
  <c r="AV157" i="18"/>
  <c r="AZ156" i="18"/>
  <c r="AF74" i="18"/>
  <c r="Y155" i="18"/>
  <c r="AA155" i="18" s="1"/>
  <c r="AB155" i="18"/>
  <c r="AW155" i="18"/>
  <c r="AY155" i="18" s="1"/>
  <c r="BI155" i="18"/>
  <c r="BK155" i="18" s="1"/>
  <c r="X156" i="18"/>
  <c r="AK155" i="18"/>
  <c r="AM155" i="18" s="1"/>
  <c r="AN156" i="18"/>
  <c r="AJ157" i="18"/>
  <c r="E155" i="18"/>
  <c r="B156" i="18"/>
  <c r="P155" i="18"/>
  <c r="BH156" i="18"/>
  <c r="BL155" i="18"/>
  <c r="BM77" i="18"/>
  <c r="BA77" i="18"/>
  <c r="BP76" i="18"/>
  <c r="AP87" i="18"/>
  <c r="AQ87" i="18" s="1"/>
  <c r="AS87" i="18" s="1"/>
  <c r="BD76" i="18"/>
  <c r="X156" i="17"/>
  <c r="Y155" i="17"/>
  <c r="AA155" i="17" s="1"/>
  <c r="BI155" i="17"/>
  <c r="BK155" i="17" s="1"/>
  <c r="AK155" i="17"/>
  <c r="AM155" i="17" s="1"/>
  <c r="AW155" i="17"/>
  <c r="AY155" i="17" s="1"/>
  <c r="AB155" i="17"/>
  <c r="BN79" i="17"/>
  <c r="BO79" i="17" s="1"/>
  <c r="BQ79" i="17" s="1"/>
  <c r="BH159" i="17"/>
  <c r="BL158" i="17"/>
  <c r="AC77" i="17"/>
  <c r="AF76" i="17"/>
  <c r="AN157" i="17"/>
  <c r="AJ158" i="17"/>
  <c r="P155" i="17"/>
  <c r="E155" i="17"/>
  <c r="B156" i="17"/>
  <c r="AO76" i="17"/>
  <c r="AR75" i="17"/>
  <c r="AZ156" i="17"/>
  <c r="AV157" i="17"/>
  <c r="BB78" i="17"/>
  <c r="BC78" i="17" s="1"/>
  <c r="BE78" i="17" s="1"/>
  <c r="AC79" i="16"/>
  <c r="BM77" i="16"/>
  <c r="AR76" i="16"/>
  <c r="BP76" i="16"/>
  <c r="P156" i="16"/>
  <c r="B157" i="16"/>
  <c r="E156" i="16"/>
  <c r="AF78" i="16"/>
  <c r="AO77" i="16"/>
  <c r="AV157" i="16"/>
  <c r="AZ156" i="16"/>
  <c r="BB77" i="16"/>
  <c r="BC77" i="16" s="1"/>
  <c r="BE77" i="16" s="1"/>
  <c r="BL157" i="16"/>
  <c r="BH158" i="16"/>
  <c r="AW156" i="16"/>
  <c r="AY156" i="16" s="1"/>
  <c r="AB156" i="16"/>
  <c r="AK156" i="16"/>
  <c r="AM156" i="16" s="1"/>
  <c r="X157" i="16"/>
  <c r="BI156" i="16"/>
  <c r="BK156" i="16" s="1"/>
  <c r="Y156" i="16"/>
  <c r="AA156" i="16" s="1"/>
  <c r="AN155" i="16"/>
  <c r="AJ156" i="16"/>
  <c r="BH156" i="14"/>
  <c r="BL155" i="14"/>
  <c r="BM82" i="14"/>
  <c r="BP81" i="14"/>
  <c r="P155" i="14"/>
  <c r="E155" i="14"/>
  <c r="AK155" i="14"/>
  <c r="AM155" i="14" s="1"/>
  <c r="AW155" i="14"/>
  <c r="AY155" i="14" s="1"/>
  <c r="BA79" i="14"/>
  <c r="BD78" i="14"/>
  <c r="AJ156" i="14"/>
  <c r="AN155" i="14"/>
  <c r="AP82" i="14"/>
  <c r="X156" i="14"/>
  <c r="BI156" i="14" s="1"/>
  <c r="BK156" i="14" s="1"/>
  <c r="AB155" i="14"/>
  <c r="Y155" i="14"/>
  <c r="AA155" i="14" s="1"/>
  <c r="AD57" i="14"/>
  <c r="B156" i="14"/>
  <c r="AA155" i="19" l="1"/>
  <c r="B157" i="15"/>
  <c r="F156" i="15"/>
  <c r="AC76" i="19"/>
  <c r="BM89" i="19"/>
  <c r="AO77" i="19"/>
  <c r="AN156" i="19"/>
  <c r="AJ157" i="19"/>
  <c r="BL157" i="19"/>
  <c r="BH158" i="19"/>
  <c r="BA87" i="19"/>
  <c r="AR76" i="19"/>
  <c r="AF75" i="19"/>
  <c r="BD86" i="19"/>
  <c r="BI156" i="19"/>
  <c r="BK156" i="19" s="1"/>
  <c r="AW156" i="19"/>
  <c r="AY156" i="19" s="1"/>
  <c r="AK156" i="19"/>
  <c r="AM156" i="19" s="1"/>
  <c r="AB156" i="19"/>
  <c r="Y156" i="19"/>
  <c r="X157" i="19"/>
  <c r="BP88" i="19"/>
  <c r="B157" i="19"/>
  <c r="P156" i="19"/>
  <c r="E156" i="19"/>
  <c r="AV158" i="19"/>
  <c r="AZ157" i="19"/>
  <c r="AO88" i="18"/>
  <c r="BN77" i="18"/>
  <c r="BO77" i="18" s="1"/>
  <c r="BQ77" i="18" s="1"/>
  <c r="AJ158" i="18"/>
  <c r="AN157" i="18"/>
  <c r="P156" i="18"/>
  <c r="B157" i="18"/>
  <c r="E156" i="18"/>
  <c r="AR87" i="18"/>
  <c r="BL156" i="18"/>
  <c r="BH157" i="18"/>
  <c r="AV158" i="18"/>
  <c r="AZ157" i="18"/>
  <c r="BI156" i="18"/>
  <c r="BK156" i="18" s="1"/>
  <c r="AW156" i="18"/>
  <c r="AY156" i="18" s="1"/>
  <c r="AB156" i="18"/>
  <c r="Y156" i="18"/>
  <c r="AA156" i="18" s="1"/>
  <c r="X157" i="18"/>
  <c r="AK156" i="18"/>
  <c r="AM156" i="18" s="1"/>
  <c r="AD75" i="18"/>
  <c r="AE75" i="18" s="1"/>
  <c r="AG75" i="18" s="1"/>
  <c r="BB77" i="18"/>
  <c r="BC77" i="18" s="1"/>
  <c r="BE77" i="18" s="1"/>
  <c r="AD77" i="17"/>
  <c r="AE77" i="17" s="1"/>
  <c r="AG77" i="17" s="1"/>
  <c r="BA79" i="17"/>
  <c r="AP76" i="17"/>
  <c r="AQ76" i="17" s="1"/>
  <c r="AS76" i="17" s="1"/>
  <c r="AJ159" i="17"/>
  <c r="AN158" i="17"/>
  <c r="BL159" i="17"/>
  <c r="BH160" i="17"/>
  <c r="BD78" i="17"/>
  <c r="B157" i="17"/>
  <c r="P156" i="17"/>
  <c r="E156" i="17"/>
  <c r="AV158" i="17"/>
  <c r="AZ157" i="17"/>
  <c r="BM80" i="17"/>
  <c r="BP79" i="17"/>
  <c r="X157" i="17"/>
  <c r="BI156" i="17"/>
  <c r="BK156" i="17" s="1"/>
  <c r="AW156" i="17"/>
  <c r="AY156" i="17" s="1"/>
  <c r="AK156" i="17"/>
  <c r="AM156" i="17" s="1"/>
  <c r="AB156" i="17"/>
  <c r="Y156" i="17"/>
  <c r="AA156" i="17" s="1"/>
  <c r="AJ157" i="16"/>
  <c r="AN156" i="16"/>
  <c r="BL158" i="16"/>
  <c r="BH159" i="16"/>
  <c r="AP77" i="16"/>
  <c r="AQ77" i="16" s="1"/>
  <c r="AS77" i="16" s="1"/>
  <c r="BD77" i="16"/>
  <c r="BN77" i="16"/>
  <c r="BO77" i="16" s="1"/>
  <c r="BQ77" i="16" s="1"/>
  <c r="AK157" i="16"/>
  <c r="AM157" i="16" s="1"/>
  <c r="BI157" i="16"/>
  <c r="BK157" i="16" s="1"/>
  <c r="AW157" i="16"/>
  <c r="AY157" i="16" s="1"/>
  <c r="Y157" i="16"/>
  <c r="AA157" i="16" s="1"/>
  <c r="X158" i="16"/>
  <c r="AB157" i="16"/>
  <c r="BA78" i="16"/>
  <c r="AV158" i="16"/>
  <c r="AZ157" i="16"/>
  <c r="P157" i="16"/>
  <c r="E157" i="16"/>
  <c r="B158" i="16"/>
  <c r="AD79" i="16"/>
  <c r="AE79" i="16" s="1"/>
  <c r="AG79" i="16" s="1"/>
  <c r="BH157" i="14"/>
  <c r="BL156" i="14"/>
  <c r="BN82" i="14"/>
  <c r="BO82" i="14" s="1"/>
  <c r="BQ82" i="14" s="1"/>
  <c r="P156" i="14"/>
  <c r="E156" i="14"/>
  <c r="AK156" i="14"/>
  <c r="AM156" i="14" s="1"/>
  <c r="AW156" i="14"/>
  <c r="AY156" i="14" s="1"/>
  <c r="BB79" i="14"/>
  <c r="BC79" i="14" s="1"/>
  <c r="BE79" i="14" s="1"/>
  <c r="AJ157" i="14"/>
  <c r="AN156" i="14"/>
  <c r="AQ82" i="14"/>
  <c r="AS82" i="14" s="1"/>
  <c r="AO83" i="14" s="1"/>
  <c r="X157" i="14"/>
  <c r="BI157" i="14" s="1"/>
  <c r="BK157" i="14" s="1"/>
  <c r="AB156" i="14"/>
  <c r="Y156" i="14"/>
  <c r="AA156" i="14" s="1"/>
  <c r="AE57" i="14"/>
  <c r="AG57" i="14" s="1"/>
  <c r="B157" i="14"/>
  <c r="AA156" i="19" l="1"/>
  <c r="B158" i="15"/>
  <c r="F157" i="15"/>
  <c r="AZ158" i="19"/>
  <c r="AV159" i="19"/>
  <c r="BB87" i="19"/>
  <c r="BC87" i="19" s="1"/>
  <c r="BE87" i="19" s="1"/>
  <c r="AP77" i="19"/>
  <c r="AQ77" i="19" s="1"/>
  <c r="AS77" i="19" s="1"/>
  <c r="BL158" i="19"/>
  <c r="BH159" i="19"/>
  <c r="B158" i="19"/>
  <c r="P157" i="19"/>
  <c r="E157" i="19"/>
  <c r="BN89" i="19"/>
  <c r="BO89" i="19" s="1"/>
  <c r="BQ89" i="19" s="1"/>
  <c r="AW157" i="19"/>
  <c r="AY157" i="19" s="1"/>
  <c r="AB157" i="19"/>
  <c r="AK157" i="19"/>
  <c r="AM157" i="19" s="1"/>
  <c r="BI157" i="19"/>
  <c r="BK157" i="19" s="1"/>
  <c r="Y157" i="19"/>
  <c r="X158" i="19"/>
  <c r="AN157" i="19"/>
  <c r="AJ158" i="19"/>
  <c r="AD76" i="19"/>
  <c r="AE76" i="19" s="1"/>
  <c r="AG76" i="19" s="1"/>
  <c r="BM78" i="18"/>
  <c r="AC76" i="18"/>
  <c r="BA78" i="18"/>
  <c r="BL157" i="18"/>
  <c r="BH158" i="18"/>
  <c r="AJ159" i="18"/>
  <c r="AN158" i="18"/>
  <c r="BP77" i="18"/>
  <c r="Y157" i="18"/>
  <c r="AA157" i="18" s="1"/>
  <c r="AW157" i="18"/>
  <c r="AY157" i="18" s="1"/>
  <c r="X158" i="18"/>
  <c r="BI157" i="18"/>
  <c r="BK157" i="18" s="1"/>
  <c r="AB157" i="18"/>
  <c r="AK157" i="18"/>
  <c r="AM157" i="18" s="1"/>
  <c r="AZ158" i="18"/>
  <c r="AV159" i="18"/>
  <c r="E157" i="18"/>
  <c r="B158" i="18"/>
  <c r="P157" i="18"/>
  <c r="AF75" i="18"/>
  <c r="BD77" i="18"/>
  <c r="AP88" i="18"/>
  <c r="AQ88" i="18" s="1"/>
  <c r="AS88" i="18" s="1"/>
  <c r="AJ160" i="17"/>
  <c r="AN159" i="17"/>
  <c r="BN80" i="17"/>
  <c r="BO80" i="17" s="1"/>
  <c r="BQ80" i="17" s="1"/>
  <c r="AO77" i="17"/>
  <c r="B158" i="17"/>
  <c r="P157" i="17"/>
  <c r="E157" i="17"/>
  <c r="AR76" i="17"/>
  <c r="Y157" i="17"/>
  <c r="AA157" i="17" s="1"/>
  <c r="BI157" i="17"/>
  <c r="BK157" i="17" s="1"/>
  <c r="AW157" i="17"/>
  <c r="AY157" i="17" s="1"/>
  <c r="AK157" i="17"/>
  <c r="AM157" i="17" s="1"/>
  <c r="AB157" i="17"/>
  <c r="X158" i="17"/>
  <c r="BB79" i="17"/>
  <c r="BC79" i="17" s="1"/>
  <c r="BE79" i="17" s="1"/>
  <c r="AZ158" i="17"/>
  <c r="AV159" i="17"/>
  <c r="BH161" i="17"/>
  <c r="BL160" i="17"/>
  <c r="AC78" i="17"/>
  <c r="AF77" i="17"/>
  <c r="BM78" i="16"/>
  <c r="AO78" i="16"/>
  <c r="E158" i="16"/>
  <c r="P158" i="16"/>
  <c r="B159" i="16"/>
  <c r="BB78" i="16"/>
  <c r="BC78" i="16" s="1"/>
  <c r="BE78" i="16" s="1"/>
  <c r="BL159" i="16"/>
  <c r="BH160" i="16"/>
  <c r="BP77" i="16"/>
  <c r="AC80" i="16"/>
  <c r="AR77" i="16"/>
  <c r="AF79" i="16"/>
  <c r="AN157" i="16"/>
  <c r="AJ158" i="16"/>
  <c r="Y158" i="16"/>
  <c r="AA158" i="16" s="1"/>
  <c r="BI158" i="16"/>
  <c r="BK158" i="16" s="1"/>
  <c r="AW158" i="16"/>
  <c r="AY158" i="16" s="1"/>
  <c r="AB158" i="16"/>
  <c r="X159" i="16"/>
  <c r="AK158" i="16"/>
  <c r="AM158" i="16" s="1"/>
  <c r="AV159" i="16"/>
  <c r="AZ158" i="16"/>
  <c r="BH158" i="14"/>
  <c r="BL157" i="14"/>
  <c r="BM83" i="14"/>
  <c r="BP82" i="14"/>
  <c r="P157" i="14"/>
  <c r="E157" i="14"/>
  <c r="AK157" i="14"/>
  <c r="AM157" i="14" s="1"/>
  <c r="AW157" i="14"/>
  <c r="AY157" i="14" s="1"/>
  <c r="BA80" i="14"/>
  <c r="BD79" i="14"/>
  <c r="AJ158" i="14"/>
  <c r="AN157" i="14"/>
  <c r="AR82" i="14"/>
  <c r="AP83" i="14"/>
  <c r="AQ83" i="14" s="1"/>
  <c r="AS83" i="14" s="1"/>
  <c r="X158" i="14"/>
  <c r="BI158" i="14" s="1"/>
  <c r="BK158" i="14" s="1"/>
  <c r="Y157" i="14"/>
  <c r="AA157" i="14" s="1"/>
  <c r="AB157" i="14"/>
  <c r="AC58" i="14"/>
  <c r="AF57" i="14"/>
  <c r="B158" i="14"/>
  <c r="AA157" i="19" l="1"/>
  <c r="B159" i="15"/>
  <c r="F158" i="15"/>
  <c r="AO78" i="19"/>
  <c r="AC77" i="19"/>
  <c r="BA88" i="19"/>
  <c r="BM90" i="19"/>
  <c r="AB158" i="19"/>
  <c r="AK158" i="19"/>
  <c r="AM158" i="19" s="1"/>
  <c r="X159" i="19"/>
  <c r="Y158" i="19"/>
  <c r="AW158" i="19"/>
  <c r="AY158" i="19" s="1"/>
  <c r="BI158" i="19"/>
  <c r="BK158" i="19" s="1"/>
  <c r="BP89" i="19"/>
  <c r="AF76" i="19"/>
  <c r="BD87" i="19"/>
  <c r="AJ159" i="19"/>
  <c r="AN158" i="19"/>
  <c r="P158" i="19"/>
  <c r="E158" i="19"/>
  <c r="B159" i="19"/>
  <c r="AR77" i="19"/>
  <c r="BL159" i="19"/>
  <c r="BH160" i="19"/>
  <c r="AZ159" i="19"/>
  <c r="AV160" i="19"/>
  <c r="AR88" i="18"/>
  <c r="P158" i="18"/>
  <c r="E158" i="18"/>
  <c r="B159" i="18"/>
  <c r="AN159" i="18"/>
  <c r="AJ160" i="18"/>
  <c r="BB78" i="18"/>
  <c r="BC78" i="18" s="1"/>
  <c r="BE78" i="18" s="1"/>
  <c r="BL158" i="18"/>
  <c r="BH159" i="18"/>
  <c r="AD76" i="18"/>
  <c r="AE76" i="18" s="1"/>
  <c r="AG76" i="18" s="1"/>
  <c r="BI158" i="18"/>
  <c r="BK158" i="18" s="1"/>
  <c r="AK158" i="18"/>
  <c r="AM158" i="18" s="1"/>
  <c r="X159" i="18"/>
  <c r="AB158" i="18"/>
  <c r="AW158" i="18"/>
  <c r="AY158" i="18" s="1"/>
  <c r="Y158" i="18"/>
  <c r="AA158" i="18" s="1"/>
  <c r="AZ159" i="18"/>
  <c r="AV160" i="18"/>
  <c r="AO89" i="18"/>
  <c r="BN78" i="18"/>
  <c r="BO78" i="18" s="1"/>
  <c r="BQ78" i="18" s="1"/>
  <c r="BA80" i="17"/>
  <c r="BD79" i="17"/>
  <c r="BM81" i="17"/>
  <c r="BI158" i="17"/>
  <c r="BK158" i="17" s="1"/>
  <c r="AB158" i="17"/>
  <c r="AW158" i="17"/>
  <c r="AY158" i="17" s="1"/>
  <c r="AK158" i="17"/>
  <c r="AM158" i="17" s="1"/>
  <c r="Y158" i="17"/>
  <c r="AA158" i="17" s="1"/>
  <c r="X159" i="17"/>
  <c r="P158" i="17"/>
  <c r="B159" i="17"/>
  <c r="E158" i="17"/>
  <c r="BP80" i="17"/>
  <c r="AD78" i="17"/>
  <c r="AE78" i="17" s="1"/>
  <c r="AG78" i="17" s="1"/>
  <c r="BH162" i="17"/>
  <c r="BL161" i="17"/>
  <c r="AJ161" i="17"/>
  <c r="AN160" i="17"/>
  <c r="AV160" i="17"/>
  <c r="AZ159" i="17"/>
  <c r="AP77" i="17"/>
  <c r="AQ77" i="17" s="1"/>
  <c r="AS77" i="17" s="1"/>
  <c r="AV160" i="16"/>
  <c r="AZ159" i="16"/>
  <c r="E159" i="16"/>
  <c r="P159" i="16"/>
  <c r="B160" i="16"/>
  <c r="Y159" i="16"/>
  <c r="AA159" i="16" s="1"/>
  <c r="BI159" i="16"/>
  <c r="BK159" i="16" s="1"/>
  <c r="AW159" i="16"/>
  <c r="AY159" i="16" s="1"/>
  <c r="AK159" i="16"/>
  <c r="AM159" i="16" s="1"/>
  <c r="X160" i="16"/>
  <c r="AB159" i="16"/>
  <c r="BH161" i="16"/>
  <c r="BL160" i="16"/>
  <c r="AP78" i="16"/>
  <c r="AJ159" i="16"/>
  <c r="AN158" i="16"/>
  <c r="AD80" i="16"/>
  <c r="AE80" i="16" s="1"/>
  <c r="AG80" i="16" s="1"/>
  <c r="BA79" i="16"/>
  <c r="BN78" i="16"/>
  <c r="BO78" i="16" s="1"/>
  <c r="BQ78" i="16" s="1"/>
  <c r="BD78" i="16"/>
  <c r="BH159" i="14"/>
  <c r="BL158" i="14"/>
  <c r="BN83" i="14"/>
  <c r="BO83" i="14" s="1"/>
  <c r="BQ83" i="14" s="1"/>
  <c r="P158" i="14"/>
  <c r="E158" i="14"/>
  <c r="AK158" i="14"/>
  <c r="AM158" i="14" s="1"/>
  <c r="AW158" i="14"/>
  <c r="AY158" i="14" s="1"/>
  <c r="BB80" i="14"/>
  <c r="BC80" i="14" s="1"/>
  <c r="BE80" i="14" s="1"/>
  <c r="AJ159" i="14"/>
  <c r="AN158" i="14"/>
  <c r="AO84" i="14"/>
  <c r="AR83" i="14"/>
  <c r="X159" i="14"/>
  <c r="BI159" i="14" s="1"/>
  <c r="BK159" i="14" s="1"/>
  <c r="AB158" i="14"/>
  <c r="Y158" i="14"/>
  <c r="AA158" i="14" s="1"/>
  <c r="AD58" i="14"/>
  <c r="B159" i="14"/>
  <c r="AA158" i="19" l="1"/>
  <c r="B160" i="15"/>
  <c r="F159" i="15"/>
  <c r="BH161" i="19"/>
  <c r="BL160" i="19"/>
  <c r="X160" i="19"/>
  <c r="Y159" i="19"/>
  <c r="BI159" i="19"/>
  <c r="BK159" i="19" s="1"/>
  <c r="AK159" i="19"/>
  <c r="AM159" i="19" s="1"/>
  <c r="AW159" i="19"/>
  <c r="AY159" i="19" s="1"/>
  <c r="AB159" i="19"/>
  <c r="AJ160" i="19"/>
  <c r="AN159" i="19"/>
  <c r="BB88" i="19"/>
  <c r="P159" i="19"/>
  <c r="E159" i="19"/>
  <c r="B160" i="19"/>
  <c r="AD77" i="19"/>
  <c r="AE77" i="19" s="1"/>
  <c r="AG77" i="19" s="1"/>
  <c r="AZ160" i="19"/>
  <c r="AV161" i="19"/>
  <c r="AP78" i="19"/>
  <c r="AQ78" i="19" s="1"/>
  <c r="AS78" i="19" s="1"/>
  <c r="BN90" i="19"/>
  <c r="BO90" i="19" s="1"/>
  <c r="BQ90" i="19" s="1"/>
  <c r="AC77" i="18"/>
  <c r="BM79" i="18"/>
  <c r="BH160" i="18"/>
  <c r="BL159" i="18"/>
  <c r="BP78" i="18"/>
  <c r="E159" i="18"/>
  <c r="B160" i="18"/>
  <c r="P159" i="18"/>
  <c r="AP89" i="18"/>
  <c r="AQ89" i="18" s="1"/>
  <c r="AS89" i="18" s="1"/>
  <c r="AW159" i="18"/>
  <c r="AY159" i="18" s="1"/>
  <c r="Y159" i="18"/>
  <c r="AA159" i="18" s="1"/>
  <c r="AK159" i="18"/>
  <c r="AM159" i="18" s="1"/>
  <c r="X160" i="18"/>
  <c r="AB159" i="18"/>
  <c r="BI159" i="18"/>
  <c r="BK159" i="18" s="1"/>
  <c r="AV161" i="18"/>
  <c r="AZ160" i="18"/>
  <c r="BD78" i="18"/>
  <c r="AN160" i="18"/>
  <c r="AJ161" i="18"/>
  <c r="BA79" i="18"/>
  <c r="AF76" i="18"/>
  <c r="AO78" i="17"/>
  <c r="AR77" i="17"/>
  <c r="P159" i="17"/>
  <c r="B160" i="17"/>
  <c r="E159" i="17"/>
  <c r="BB80" i="17"/>
  <c r="BC80" i="17" s="1"/>
  <c r="BE80" i="17" s="1"/>
  <c r="BL162" i="17"/>
  <c r="BH163" i="17"/>
  <c r="BN81" i="17"/>
  <c r="BO81" i="17" s="1"/>
  <c r="BQ81" i="17" s="1"/>
  <c r="AZ160" i="17"/>
  <c r="AV161" i="17"/>
  <c r="AC79" i="17"/>
  <c r="AW159" i="17"/>
  <c r="AY159" i="17" s="1"/>
  <c r="X160" i="17"/>
  <c r="AK159" i="17"/>
  <c r="AM159" i="17" s="1"/>
  <c r="Y159" i="17"/>
  <c r="AA159" i="17" s="1"/>
  <c r="AB159" i="17"/>
  <c r="BI159" i="17"/>
  <c r="BK159" i="17" s="1"/>
  <c r="AN161" i="17"/>
  <c r="AJ162" i="17"/>
  <c r="AF78" i="17"/>
  <c r="BM79" i="16"/>
  <c r="AF80" i="16"/>
  <c r="BL161" i="16"/>
  <c r="BH162" i="16"/>
  <c r="AC81" i="16"/>
  <c r="AJ160" i="16"/>
  <c r="AN159" i="16"/>
  <c r="BP78" i="16"/>
  <c r="BI160" i="16"/>
  <c r="BK160" i="16" s="1"/>
  <c r="AW160" i="16"/>
  <c r="AY160" i="16" s="1"/>
  <c r="AB160" i="16"/>
  <c r="AK160" i="16"/>
  <c r="AM160" i="16" s="1"/>
  <c r="Y160" i="16"/>
  <c r="AA160" i="16" s="1"/>
  <c r="X161" i="16"/>
  <c r="BB79" i="16"/>
  <c r="BC79" i="16" s="1"/>
  <c r="BE79" i="16" s="1"/>
  <c r="AQ78" i="16"/>
  <c r="AS78" i="16" s="1"/>
  <c r="E160" i="16"/>
  <c r="B161" i="16"/>
  <c r="P160" i="16"/>
  <c r="AZ160" i="16"/>
  <c r="AV161" i="16"/>
  <c r="BH160" i="14"/>
  <c r="BL159" i="14"/>
  <c r="BM84" i="14"/>
  <c r="BP83" i="14"/>
  <c r="P159" i="14"/>
  <c r="E159" i="14"/>
  <c r="AK159" i="14"/>
  <c r="AM159" i="14" s="1"/>
  <c r="AW159" i="14"/>
  <c r="AY159" i="14" s="1"/>
  <c r="BA81" i="14"/>
  <c r="BD80" i="14"/>
  <c r="AJ160" i="14"/>
  <c r="AN159" i="14"/>
  <c r="AP84" i="14"/>
  <c r="AQ84" i="14" s="1"/>
  <c r="AS84" i="14" s="1"/>
  <c r="X160" i="14"/>
  <c r="BI160" i="14" s="1"/>
  <c r="BK160" i="14" s="1"/>
  <c r="Y159" i="14"/>
  <c r="AA159" i="14" s="1"/>
  <c r="AB159" i="14"/>
  <c r="AE58" i="14"/>
  <c r="AG58" i="14" s="1"/>
  <c r="B160" i="14"/>
  <c r="AA159" i="19" l="1"/>
  <c r="B161" i="15"/>
  <c r="F160" i="15"/>
  <c r="AV162" i="19"/>
  <c r="AZ161" i="19"/>
  <c r="B161" i="19"/>
  <c r="E160" i="19"/>
  <c r="P160" i="19"/>
  <c r="BM91" i="19"/>
  <c r="AC78" i="19"/>
  <c r="AJ161" i="19"/>
  <c r="AN160" i="19"/>
  <c r="BP90" i="19"/>
  <c r="AF77" i="19"/>
  <c r="AO79" i="19"/>
  <c r="BI160" i="19"/>
  <c r="BK160" i="19" s="1"/>
  <c r="AW160" i="19"/>
  <c r="AY160" i="19" s="1"/>
  <c r="Y160" i="19"/>
  <c r="AK160" i="19"/>
  <c r="AM160" i="19" s="1"/>
  <c r="AB160" i="19"/>
  <c r="X161" i="19"/>
  <c r="AR78" i="19"/>
  <c r="BC88" i="19"/>
  <c r="BE88" i="19" s="1"/>
  <c r="BH162" i="19"/>
  <c r="BL161" i="19"/>
  <c r="AR89" i="18"/>
  <c r="AO90" i="18"/>
  <c r="BH161" i="18"/>
  <c r="BL160" i="18"/>
  <c r="BB79" i="18"/>
  <c r="BC79" i="18" s="1"/>
  <c r="BE79" i="18" s="1"/>
  <c r="AK160" i="18"/>
  <c r="AM160" i="18" s="1"/>
  <c r="BI160" i="18"/>
  <c r="BK160" i="18" s="1"/>
  <c r="AW160" i="18"/>
  <c r="AY160" i="18" s="1"/>
  <c r="Y160" i="18"/>
  <c r="AA160" i="18" s="1"/>
  <c r="X161" i="18"/>
  <c r="AB160" i="18"/>
  <c r="P160" i="18"/>
  <c r="B161" i="18"/>
  <c r="E160" i="18"/>
  <c r="BN79" i="18"/>
  <c r="BO79" i="18" s="1"/>
  <c r="BQ79" i="18" s="1"/>
  <c r="AJ162" i="18"/>
  <c r="AN161" i="18"/>
  <c r="AV162" i="18"/>
  <c r="AZ161" i="18"/>
  <c r="AD77" i="18"/>
  <c r="B161" i="17"/>
  <c r="P160" i="17"/>
  <c r="E160" i="17"/>
  <c r="AN162" i="17"/>
  <c r="AJ163" i="17"/>
  <c r="AD79" i="17"/>
  <c r="AE79" i="17" s="1"/>
  <c r="AG79" i="17" s="1"/>
  <c r="BH164" i="17"/>
  <c r="BL163" i="17"/>
  <c r="AZ161" i="17"/>
  <c r="AV162" i="17"/>
  <c r="BA81" i="17"/>
  <c r="BM82" i="17"/>
  <c r="BD80" i="17"/>
  <c r="AP78" i="17"/>
  <c r="AQ78" i="17" s="1"/>
  <c r="AS78" i="17" s="1"/>
  <c r="AK160" i="17"/>
  <c r="AM160" i="17" s="1"/>
  <c r="Y160" i="17"/>
  <c r="AA160" i="17" s="1"/>
  <c r="BI160" i="17"/>
  <c r="BK160" i="17" s="1"/>
  <c r="AW160" i="17"/>
  <c r="AY160" i="17" s="1"/>
  <c r="X161" i="17"/>
  <c r="AB160" i="17"/>
  <c r="BP81" i="17"/>
  <c r="AO79" i="16"/>
  <c r="BH163" i="16"/>
  <c r="BL162" i="16"/>
  <c r="BD79" i="16"/>
  <c r="AJ161" i="16"/>
  <c r="AN160" i="16"/>
  <c r="AR78" i="16"/>
  <c r="P161" i="16"/>
  <c r="E161" i="16"/>
  <c r="B162" i="16"/>
  <c r="BA80" i="16"/>
  <c r="AW161" i="16"/>
  <c r="AY161" i="16" s="1"/>
  <c r="AK161" i="16"/>
  <c r="AM161" i="16" s="1"/>
  <c r="X162" i="16"/>
  <c r="Y161" i="16"/>
  <c r="AA161" i="16" s="1"/>
  <c r="BI161" i="16"/>
  <c r="BK161" i="16" s="1"/>
  <c r="AB161" i="16"/>
  <c r="AD81" i="16"/>
  <c r="AE81" i="16" s="1"/>
  <c r="AG81" i="16" s="1"/>
  <c r="AZ161" i="16"/>
  <c r="AV162" i="16"/>
  <c r="BN79" i="16"/>
  <c r="BH161" i="14"/>
  <c r="BL160" i="14"/>
  <c r="BN84" i="14"/>
  <c r="BO84" i="14" s="1"/>
  <c r="BQ84" i="14" s="1"/>
  <c r="P160" i="14"/>
  <c r="E160" i="14"/>
  <c r="AK160" i="14"/>
  <c r="AM160" i="14" s="1"/>
  <c r="AW160" i="14"/>
  <c r="AY160" i="14" s="1"/>
  <c r="BB81" i="14"/>
  <c r="BC81" i="14" s="1"/>
  <c r="BE81" i="14" s="1"/>
  <c r="AJ161" i="14"/>
  <c r="AN160" i="14"/>
  <c r="AR84" i="14"/>
  <c r="AO85" i="14"/>
  <c r="X161" i="14"/>
  <c r="BI161" i="14" s="1"/>
  <c r="BK161" i="14" s="1"/>
  <c r="Y160" i="14"/>
  <c r="AA160" i="14" s="1"/>
  <c r="AB160" i="14"/>
  <c r="AC59" i="14"/>
  <c r="AF58" i="14"/>
  <c r="B161" i="14"/>
  <c r="AA160" i="19" l="1"/>
  <c r="B162" i="15"/>
  <c r="F161" i="15"/>
  <c r="BL162" i="19"/>
  <c r="BH163" i="19"/>
  <c r="BI161" i="19"/>
  <c r="BK161" i="19" s="1"/>
  <c r="AW161" i="19"/>
  <c r="AY161" i="19" s="1"/>
  <c r="AB161" i="19"/>
  <c r="AK161" i="19"/>
  <c r="AM161" i="19" s="1"/>
  <c r="Y161" i="19"/>
  <c r="X162" i="19"/>
  <c r="AP79" i="19"/>
  <c r="AQ79" i="19" s="1"/>
  <c r="AS79" i="19" s="1"/>
  <c r="BD88" i="19"/>
  <c r="BA89" i="19"/>
  <c r="AN161" i="19"/>
  <c r="AJ162" i="19"/>
  <c r="AD78" i="19"/>
  <c r="AE78" i="19" s="1"/>
  <c r="AG78" i="19" s="1"/>
  <c r="E161" i="19"/>
  <c r="B162" i="19"/>
  <c r="P161" i="19"/>
  <c r="BN91" i="19"/>
  <c r="BO91" i="19" s="1"/>
  <c r="BQ91" i="19" s="1"/>
  <c r="AZ162" i="19"/>
  <c r="AV163" i="19"/>
  <c r="BM80" i="18"/>
  <c r="BA80" i="18"/>
  <c r="AP90" i="18"/>
  <c r="AQ90" i="18" s="1"/>
  <c r="AS90" i="18" s="1"/>
  <c r="AJ163" i="18"/>
  <c r="AN162" i="18"/>
  <c r="BD79" i="18"/>
  <c r="AZ162" i="18"/>
  <c r="AV163" i="18"/>
  <c r="Y161" i="18"/>
  <c r="AA161" i="18" s="1"/>
  <c r="AW161" i="18"/>
  <c r="AY161" i="18" s="1"/>
  <c r="AB161" i="18"/>
  <c r="AK161" i="18"/>
  <c r="AM161" i="18" s="1"/>
  <c r="X162" i="18"/>
  <c r="BI161" i="18"/>
  <c r="BK161" i="18" s="1"/>
  <c r="BH162" i="18"/>
  <c r="BL161" i="18"/>
  <c r="E161" i="18"/>
  <c r="P161" i="18"/>
  <c r="B162" i="18"/>
  <c r="AE77" i="18"/>
  <c r="AG77" i="18" s="1"/>
  <c r="BP79" i="18"/>
  <c r="AO79" i="17"/>
  <c r="BB81" i="17"/>
  <c r="BC81" i="17" s="1"/>
  <c r="BE81" i="17" s="1"/>
  <c r="Y161" i="17"/>
  <c r="AA161" i="17" s="1"/>
  <c r="X162" i="17"/>
  <c r="AW161" i="17"/>
  <c r="AY161" i="17" s="1"/>
  <c r="AB161" i="17"/>
  <c r="AK161" i="17"/>
  <c r="AM161" i="17" s="1"/>
  <c r="BI161" i="17"/>
  <c r="BK161" i="17" s="1"/>
  <c r="BN82" i="17"/>
  <c r="BO82" i="17" s="1"/>
  <c r="BQ82" i="17" s="1"/>
  <c r="AV163" i="17"/>
  <c r="AZ162" i="17"/>
  <c r="AC80" i="17"/>
  <c r="AF79" i="17"/>
  <c r="E161" i="17"/>
  <c r="B162" i="17"/>
  <c r="P161" i="17"/>
  <c r="AJ164" i="17"/>
  <c r="AN163" i="17"/>
  <c r="AR78" i="17"/>
  <c r="BL164" i="17"/>
  <c r="BH165" i="17"/>
  <c r="BH164" i="16"/>
  <c r="BL163" i="16"/>
  <c r="AZ162" i="16"/>
  <c r="AV163" i="16"/>
  <c r="BB80" i="16"/>
  <c r="BC80" i="16" s="1"/>
  <c r="BE80" i="16" s="1"/>
  <c r="AP79" i="16"/>
  <c r="AQ79" i="16" s="1"/>
  <c r="AS79" i="16" s="1"/>
  <c r="AC82" i="16"/>
  <c r="E162" i="16"/>
  <c r="B163" i="16"/>
  <c r="P162" i="16"/>
  <c r="AJ162" i="16"/>
  <c r="AN161" i="16"/>
  <c r="AF81" i="16"/>
  <c r="BO79" i="16"/>
  <c r="BQ79" i="16" s="1"/>
  <c r="AK162" i="16"/>
  <c r="AM162" i="16" s="1"/>
  <c r="Y162" i="16"/>
  <c r="AA162" i="16" s="1"/>
  <c r="BI162" i="16"/>
  <c r="BK162" i="16" s="1"/>
  <c r="AW162" i="16"/>
  <c r="AY162" i="16" s="1"/>
  <c r="AB162" i="16"/>
  <c r="X163" i="16"/>
  <c r="BH162" i="14"/>
  <c r="BL161" i="14"/>
  <c r="BP84" i="14"/>
  <c r="BM85" i="14"/>
  <c r="P161" i="14"/>
  <c r="E161" i="14"/>
  <c r="AK161" i="14"/>
  <c r="AM161" i="14" s="1"/>
  <c r="AW161" i="14"/>
  <c r="AY161" i="14" s="1"/>
  <c r="BA82" i="14"/>
  <c r="BD81" i="14"/>
  <c r="AJ162" i="14"/>
  <c r="AN161" i="14"/>
  <c r="AP85" i="14"/>
  <c r="AQ85" i="14" s="1"/>
  <c r="AS85" i="14" s="1"/>
  <c r="X162" i="14"/>
  <c r="BI162" i="14" s="1"/>
  <c r="BK162" i="14" s="1"/>
  <c r="AB161" i="14"/>
  <c r="Y161" i="14"/>
  <c r="AA161" i="14" s="1"/>
  <c r="AD59" i="14"/>
  <c r="B162" i="14"/>
  <c r="AA161" i="19" l="1"/>
  <c r="B163" i="15"/>
  <c r="F162" i="15"/>
  <c r="P162" i="19"/>
  <c r="E162" i="19"/>
  <c r="B163" i="19"/>
  <c r="AC79" i="19"/>
  <c r="BB89" i="19"/>
  <c r="BC89" i="19" s="1"/>
  <c r="BE89" i="19" s="1"/>
  <c r="AZ163" i="19"/>
  <c r="AV164" i="19"/>
  <c r="AF78" i="19"/>
  <c r="BM92" i="19"/>
  <c r="BP91" i="19"/>
  <c r="AO80" i="19"/>
  <c r="AJ163" i="19"/>
  <c r="AN162" i="19"/>
  <c r="AR79" i="19"/>
  <c r="AW162" i="19"/>
  <c r="AY162" i="19" s="1"/>
  <c r="AB162" i="19"/>
  <c r="AK162" i="19"/>
  <c r="AM162" i="19" s="1"/>
  <c r="X163" i="19"/>
  <c r="Y162" i="19"/>
  <c r="BI162" i="19"/>
  <c r="BK162" i="19" s="1"/>
  <c r="BL163" i="19"/>
  <c r="BH164" i="19"/>
  <c r="AZ163" i="18"/>
  <c r="AV164" i="18"/>
  <c r="AO91" i="18"/>
  <c r="BI162" i="18"/>
  <c r="BK162" i="18" s="1"/>
  <c r="AK162" i="18"/>
  <c r="AM162" i="18" s="1"/>
  <c r="X163" i="18"/>
  <c r="Y162" i="18"/>
  <c r="AA162" i="18" s="1"/>
  <c r="AB162" i="18"/>
  <c r="AW162" i="18"/>
  <c r="AY162" i="18" s="1"/>
  <c r="AR90" i="18"/>
  <c r="BL162" i="18"/>
  <c r="BH163" i="18"/>
  <c r="BB80" i="18"/>
  <c r="BC80" i="18" s="1"/>
  <c r="BE80" i="18" s="1"/>
  <c r="P162" i="18"/>
  <c r="B163" i="18"/>
  <c r="E162" i="18"/>
  <c r="AF77" i="18"/>
  <c r="BN80" i="18"/>
  <c r="AC78" i="18"/>
  <c r="AJ164" i="18"/>
  <c r="AN163" i="18"/>
  <c r="AD80" i="17"/>
  <c r="AE80" i="17" s="1"/>
  <c r="AG80" i="17" s="1"/>
  <c r="BI162" i="17"/>
  <c r="BK162" i="17" s="1"/>
  <c r="AB162" i="17"/>
  <c r="AK162" i="17"/>
  <c r="AM162" i="17" s="1"/>
  <c r="X163" i="17"/>
  <c r="Y162" i="17"/>
  <c r="AA162" i="17" s="1"/>
  <c r="AW162" i="17"/>
  <c r="AY162" i="17" s="1"/>
  <c r="BH166" i="17"/>
  <c r="BL165" i="17"/>
  <c r="P162" i="17"/>
  <c r="B163" i="17"/>
  <c r="E162" i="17"/>
  <c r="BM83" i="17"/>
  <c r="BP82" i="17"/>
  <c r="BA82" i="17"/>
  <c r="BD81" i="17"/>
  <c r="AN164" i="17"/>
  <c r="AJ165" i="17"/>
  <c r="AZ163" i="17"/>
  <c r="AV164" i="17"/>
  <c r="AP79" i="17"/>
  <c r="AQ79" i="17" s="1"/>
  <c r="AS79" i="17" s="1"/>
  <c r="AO80" i="16"/>
  <c r="BA81" i="16"/>
  <c r="AV164" i="16"/>
  <c r="AZ163" i="16"/>
  <c r="AD82" i="16"/>
  <c r="AE82" i="16" s="1"/>
  <c r="AG82" i="16" s="1"/>
  <c r="Y163" i="16"/>
  <c r="AA163" i="16" s="1"/>
  <c r="BI163" i="16"/>
  <c r="BK163" i="16" s="1"/>
  <c r="AW163" i="16"/>
  <c r="AY163" i="16" s="1"/>
  <c r="AK163" i="16"/>
  <c r="AM163" i="16" s="1"/>
  <c r="X164" i="16"/>
  <c r="AB163" i="16"/>
  <c r="AN162" i="16"/>
  <c r="AJ163" i="16"/>
  <c r="BL164" i="16"/>
  <c r="BH165" i="16"/>
  <c r="BM80" i="16"/>
  <c r="E163" i="16"/>
  <c r="P163" i="16"/>
  <c r="B164" i="16"/>
  <c r="AR79" i="16"/>
  <c r="BD80" i="16"/>
  <c r="BP79" i="16"/>
  <c r="BH163" i="14"/>
  <c r="BL162" i="14"/>
  <c r="BN85" i="14"/>
  <c r="BO85" i="14" s="1"/>
  <c r="BQ85" i="14" s="1"/>
  <c r="P162" i="14"/>
  <c r="E162" i="14"/>
  <c r="AK162" i="14"/>
  <c r="AM162" i="14" s="1"/>
  <c r="AW162" i="14"/>
  <c r="AY162" i="14" s="1"/>
  <c r="BB82" i="14"/>
  <c r="AJ163" i="14"/>
  <c r="AN162" i="14"/>
  <c r="AO86" i="14"/>
  <c r="AR85" i="14"/>
  <c r="X163" i="14"/>
  <c r="BI163" i="14" s="1"/>
  <c r="BK163" i="14" s="1"/>
  <c r="AB162" i="14"/>
  <c r="Y162" i="14"/>
  <c r="AA162" i="14" s="1"/>
  <c r="AE59" i="14"/>
  <c r="AG59" i="14" s="1"/>
  <c r="B163" i="14"/>
  <c r="AA162" i="19" l="1"/>
  <c r="B164" i="15"/>
  <c r="F163" i="15"/>
  <c r="BH165" i="19"/>
  <c r="BL164" i="19"/>
  <c r="AD79" i="19"/>
  <c r="AE79" i="19" s="1"/>
  <c r="AG79" i="19" s="1"/>
  <c r="AP80" i="19"/>
  <c r="P163" i="19"/>
  <c r="E163" i="19"/>
  <c r="B164" i="19"/>
  <c r="AZ164" i="19"/>
  <c r="AV165" i="19"/>
  <c r="AK163" i="19"/>
  <c r="AM163" i="19" s="1"/>
  <c r="X164" i="19"/>
  <c r="Y163" i="19"/>
  <c r="BI163" i="19"/>
  <c r="BK163" i="19" s="1"/>
  <c r="AB163" i="19"/>
  <c r="AW163" i="19"/>
  <c r="AY163" i="19" s="1"/>
  <c r="AJ164" i="19"/>
  <c r="AN163" i="19"/>
  <c r="BN92" i="19"/>
  <c r="BO92" i="19" s="1"/>
  <c r="BQ92" i="19" s="1"/>
  <c r="BA90" i="19"/>
  <c r="BD89" i="19"/>
  <c r="AD78" i="18"/>
  <c r="AE78" i="18" s="1"/>
  <c r="AG78" i="18" s="1"/>
  <c r="AP91" i="18"/>
  <c r="AQ91" i="18" s="1"/>
  <c r="AS91" i="18" s="1"/>
  <c r="AN164" i="18"/>
  <c r="AJ165" i="18"/>
  <c r="BA81" i="18"/>
  <c r="AV165" i="18"/>
  <c r="AZ164" i="18"/>
  <c r="BH164" i="18"/>
  <c r="BL163" i="18"/>
  <c r="E163" i="18"/>
  <c r="B164" i="18"/>
  <c r="P163" i="18"/>
  <c r="BD80" i="18"/>
  <c r="BO80" i="18"/>
  <c r="BQ80" i="18" s="1"/>
  <c r="AW163" i="18"/>
  <c r="AY163" i="18" s="1"/>
  <c r="Y163" i="18"/>
  <c r="AA163" i="18" s="1"/>
  <c r="BI163" i="18"/>
  <c r="BK163" i="18" s="1"/>
  <c r="AB163" i="18"/>
  <c r="AK163" i="18"/>
  <c r="AM163" i="18" s="1"/>
  <c r="X164" i="18"/>
  <c r="AO80" i="17"/>
  <c r="AW163" i="17"/>
  <c r="AY163" i="17" s="1"/>
  <c r="AB163" i="17"/>
  <c r="Y163" i="17"/>
  <c r="AA163" i="17" s="1"/>
  <c r="BI163" i="17"/>
  <c r="BK163" i="17" s="1"/>
  <c r="X164" i="17"/>
  <c r="AK163" i="17"/>
  <c r="AM163" i="17" s="1"/>
  <c r="AR79" i="17"/>
  <c r="AV165" i="17"/>
  <c r="AZ164" i="17"/>
  <c r="BB82" i="17"/>
  <c r="BC82" i="17" s="1"/>
  <c r="BE82" i="17" s="1"/>
  <c r="BN83" i="17"/>
  <c r="BO83" i="17" s="1"/>
  <c r="BQ83" i="17" s="1"/>
  <c r="AC81" i="17"/>
  <c r="AJ166" i="17"/>
  <c r="AN165" i="17"/>
  <c r="BL166" i="17"/>
  <c r="BH167" i="17"/>
  <c r="AF80" i="17"/>
  <c r="P163" i="17"/>
  <c r="E163" i="17"/>
  <c r="B164" i="17"/>
  <c r="AC83" i="16"/>
  <c r="AZ164" i="16"/>
  <c r="AV165" i="16"/>
  <c r="BH166" i="16"/>
  <c r="BL165" i="16"/>
  <c r="BN80" i="16"/>
  <c r="BO80" i="16" s="1"/>
  <c r="BQ80" i="16" s="1"/>
  <c r="BB81" i="16"/>
  <c r="AJ164" i="16"/>
  <c r="AN163" i="16"/>
  <c r="E164" i="16"/>
  <c r="B165" i="16"/>
  <c r="P164" i="16"/>
  <c r="AP80" i="16"/>
  <c r="AQ80" i="16" s="1"/>
  <c r="AS80" i="16" s="1"/>
  <c r="X165" i="16"/>
  <c r="BI164" i="16"/>
  <c r="BK164" i="16" s="1"/>
  <c r="AB164" i="16"/>
  <c r="Y164" i="16"/>
  <c r="AA164" i="16" s="1"/>
  <c r="AW164" i="16"/>
  <c r="AY164" i="16" s="1"/>
  <c r="AK164" i="16"/>
  <c r="AM164" i="16" s="1"/>
  <c r="AF82" i="16"/>
  <c r="BH164" i="14"/>
  <c r="BL163" i="14"/>
  <c r="BM86" i="14"/>
  <c r="BP85" i="14"/>
  <c r="P163" i="14"/>
  <c r="E163" i="14"/>
  <c r="AK163" i="14"/>
  <c r="AM163" i="14" s="1"/>
  <c r="AW163" i="14"/>
  <c r="AY163" i="14" s="1"/>
  <c r="BC82" i="14"/>
  <c r="BE82" i="14" s="1"/>
  <c r="AJ164" i="14"/>
  <c r="AN163" i="14"/>
  <c r="AP86" i="14"/>
  <c r="X164" i="14"/>
  <c r="BI164" i="14" s="1"/>
  <c r="BK164" i="14" s="1"/>
  <c r="AB163" i="14"/>
  <c r="Y163" i="14"/>
  <c r="AA163" i="14" s="1"/>
  <c r="AC60" i="14"/>
  <c r="AF59" i="14"/>
  <c r="B164" i="14"/>
  <c r="AA163" i="19" l="1"/>
  <c r="B165" i="15"/>
  <c r="F164" i="15"/>
  <c r="BM93" i="19"/>
  <c r="AC80" i="19"/>
  <c r="BP92" i="19"/>
  <c r="Y164" i="19"/>
  <c r="BI164" i="19"/>
  <c r="BK164" i="19" s="1"/>
  <c r="AW164" i="19"/>
  <c r="AY164" i="19" s="1"/>
  <c r="AB164" i="19"/>
  <c r="AK164" i="19"/>
  <c r="AM164" i="19" s="1"/>
  <c r="X165" i="19"/>
  <c r="E164" i="19"/>
  <c r="B165" i="19"/>
  <c r="P164" i="19"/>
  <c r="AF79" i="19"/>
  <c r="BB90" i="19"/>
  <c r="BC90" i="19" s="1"/>
  <c r="BE90" i="19" s="1"/>
  <c r="AN164" i="19"/>
  <c r="AJ165" i="19"/>
  <c r="AV166" i="19"/>
  <c r="AZ165" i="19"/>
  <c r="AQ80" i="19"/>
  <c r="AS80" i="19" s="1"/>
  <c r="BH166" i="19"/>
  <c r="BL165" i="19"/>
  <c r="AC79" i="18"/>
  <c r="BM81" i="18"/>
  <c r="AK164" i="18"/>
  <c r="AM164" i="18" s="1"/>
  <c r="BI164" i="18"/>
  <c r="BK164" i="18" s="1"/>
  <c r="Y164" i="18"/>
  <c r="AA164" i="18" s="1"/>
  <c r="X165" i="18"/>
  <c r="AW164" i="18"/>
  <c r="AY164" i="18" s="1"/>
  <c r="AB164" i="18"/>
  <c r="E164" i="18"/>
  <c r="P164" i="18"/>
  <c r="B165" i="18"/>
  <c r="AJ166" i="18"/>
  <c r="AN165" i="18"/>
  <c r="BH165" i="18"/>
  <c r="BL164" i="18"/>
  <c r="BP80" i="18"/>
  <c r="BB81" i="18"/>
  <c r="BC81" i="18" s="1"/>
  <c r="BE81" i="18" s="1"/>
  <c r="AO92" i="18"/>
  <c r="AF78" i="18"/>
  <c r="AZ165" i="18"/>
  <c r="AV166" i="18"/>
  <c r="AR91" i="18"/>
  <c r="BM84" i="17"/>
  <c r="BP83" i="17"/>
  <c r="AZ165" i="17"/>
  <c r="AV166" i="17"/>
  <c r="BH168" i="17"/>
  <c r="BL167" i="17"/>
  <c r="BA83" i="17"/>
  <c r="AN166" i="17"/>
  <c r="AJ167" i="17"/>
  <c r="BD82" i="17"/>
  <c r="P164" i="17"/>
  <c r="E164" i="17"/>
  <c r="B165" i="17"/>
  <c r="AD81" i="17"/>
  <c r="AE81" i="17" s="1"/>
  <c r="AG81" i="17" s="1"/>
  <c r="X165" i="17"/>
  <c r="AW164" i="17"/>
  <c r="AY164" i="17" s="1"/>
  <c r="AB164" i="17"/>
  <c r="Y164" i="17"/>
  <c r="AA164" i="17" s="1"/>
  <c r="BI164" i="17"/>
  <c r="BK164" i="17" s="1"/>
  <c r="AK164" i="17"/>
  <c r="AM164" i="17" s="1"/>
  <c r="AP80" i="17"/>
  <c r="BM81" i="16"/>
  <c r="AO81" i="16"/>
  <c r="AZ165" i="16"/>
  <c r="AV166" i="16"/>
  <c r="BI165" i="16"/>
  <c r="BK165" i="16" s="1"/>
  <c r="AW165" i="16"/>
  <c r="AY165" i="16" s="1"/>
  <c r="Y165" i="16"/>
  <c r="AA165" i="16" s="1"/>
  <c r="AK165" i="16"/>
  <c r="AM165" i="16" s="1"/>
  <c r="X166" i="16"/>
  <c r="AB165" i="16"/>
  <c r="AR80" i="16"/>
  <c r="BP80" i="16"/>
  <c r="B166" i="16"/>
  <c r="P165" i="16"/>
  <c r="E165" i="16"/>
  <c r="AN164" i="16"/>
  <c r="AJ165" i="16"/>
  <c r="BH167" i="16"/>
  <c r="BL166" i="16"/>
  <c r="BC81" i="16"/>
  <c r="BE81" i="16" s="1"/>
  <c r="AD83" i="16"/>
  <c r="AE83" i="16" s="1"/>
  <c r="AG83" i="16" s="1"/>
  <c r="BH165" i="14"/>
  <c r="BL164" i="14"/>
  <c r="BN86" i="14"/>
  <c r="BO86" i="14" s="1"/>
  <c r="BQ86" i="14" s="1"/>
  <c r="P164" i="14"/>
  <c r="E164" i="14"/>
  <c r="AK164" i="14"/>
  <c r="AM164" i="14" s="1"/>
  <c r="AW164" i="14"/>
  <c r="AY164" i="14" s="1"/>
  <c r="BA83" i="14"/>
  <c r="BD82" i="14"/>
  <c r="AJ165" i="14"/>
  <c r="AN164" i="14"/>
  <c r="AQ86" i="14"/>
  <c r="AS86" i="14" s="1"/>
  <c r="AO87" i="14" s="1"/>
  <c r="X165" i="14"/>
  <c r="BI165" i="14" s="1"/>
  <c r="BK165" i="14" s="1"/>
  <c r="AB164" i="14"/>
  <c r="Y164" i="14"/>
  <c r="AA164" i="14" s="1"/>
  <c r="AD60" i="14"/>
  <c r="B165" i="14"/>
  <c r="AA164" i="19" l="1"/>
  <c r="B166" i="15"/>
  <c r="F165" i="15"/>
  <c r="AJ166" i="19"/>
  <c r="AN165" i="19"/>
  <c r="BL166" i="19"/>
  <c r="BH167" i="19"/>
  <c r="AO81" i="19"/>
  <c r="BA91" i="19"/>
  <c r="E165" i="19"/>
  <c r="B166" i="19"/>
  <c r="P165" i="19"/>
  <c r="BD90" i="19"/>
  <c r="AZ166" i="19"/>
  <c r="AV167" i="19"/>
  <c r="BI165" i="19"/>
  <c r="BK165" i="19" s="1"/>
  <c r="AW165" i="19"/>
  <c r="AY165" i="19" s="1"/>
  <c r="AB165" i="19"/>
  <c r="AK165" i="19"/>
  <c r="AM165" i="19" s="1"/>
  <c r="X166" i="19"/>
  <c r="Y165" i="19"/>
  <c r="AD80" i="19"/>
  <c r="AE80" i="19" s="1"/>
  <c r="AG80" i="19" s="1"/>
  <c r="AR80" i="19"/>
  <c r="BN93" i="19"/>
  <c r="BO93" i="19" s="1"/>
  <c r="BQ93" i="19" s="1"/>
  <c r="E165" i="18"/>
  <c r="P165" i="18"/>
  <c r="B166" i="18"/>
  <c r="AV167" i="18"/>
  <c r="AZ166" i="18"/>
  <c r="Y165" i="18"/>
  <c r="AA165" i="18" s="1"/>
  <c r="AW165" i="18"/>
  <c r="AY165" i="18" s="1"/>
  <c r="AB165" i="18"/>
  <c r="AK165" i="18"/>
  <c r="AM165" i="18" s="1"/>
  <c r="BI165" i="18"/>
  <c r="BK165" i="18" s="1"/>
  <c r="X166" i="18"/>
  <c r="AJ167" i="18"/>
  <c r="AN166" i="18"/>
  <c r="BN81" i="18"/>
  <c r="BO81" i="18" s="1"/>
  <c r="BQ81" i="18" s="1"/>
  <c r="AP92" i="18"/>
  <c r="AQ92" i="18" s="1"/>
  <c r="AS92" i="18" s="1"/>
  <c r="AD79" i="18"/>
  <c r="AE79" i="18" s="1"/>
  <c r="AG79" i="18" s="1"/>
  <c r="BA82" i="18"/>
  <c r="BD81" i="18"/>
  <c r="BH166" i="18"/>
  <c r="BL165" i="18"/>
  <c r="AC82" i="17"/>
  <c r="AF81" i="17"/>
  <c r="BB83" i="17"/>
  <c r="BC83" i="17" s="1"/>
  <c r="BE83" i="17" s="1"/>
  <c r="AJ168" i="17"/>
  <c r="AN167" i="17"/>
  <c r="AV167" i="17"/>
  <c r="AZ166" i="17"/>
  <c r="B166" i="17"/>
  <c r="P165" i="17"/>
  <c r="E165" i="17"/>
  <c r="AB165" i="17"/>
  <c r="Y165" i="17"/>
  <c r="AA165" i="17" s="1"/>
  <c r="X166" i="17"/>
  <c r="AK165" i="17"/>
  <c r="AM165" i="17" s="1"/>
  <c r="BI165" i="17"/>
  <c r="BK165" i="17" s="1"/>
  <c r="AW165" i="17"/>
  <c r="AY165" i="17" s="1"/>
  <c r="BN84" i="17"/>
  <c r="BO84" i="17" s="1"/>
  <c r="BQ84" i="17" s="1"/>
  <c r="AQ80" i="17"/>
  <c r="AS80" i="17" s="1"/>
  <c r="BL168" i="17"/>
  <c r="BH169" i="17"/>
  <c r="AF83" i="16"/>
  <c r="BD81" i="16"/>
  <c r="AW166" i="16"/>
  <c r="AY166" i="16" s="1"/>
  <c r="AK166" i="16"/>
  <c r="AM166" i="16" s="1"/>
  <c r="AB166" i="16"/>
  <c r="Y166" i="16"/>
  <c r="AA166" i="16" s="1"/>
  <c r="X167" i="16"/>
  <c r="BI166" i="16"/>
  <c r="BK166" i="16" s="1"/>
  <c r="AP81" i="16"/>
  <c r="AQ81" i="16" s="1"/>
  <c r="AS81" i="16" s="1"/>
  <c r="BA82" i="16"/>
  <c r="AC84" i="16"/>
  <c r="P166" i="16"/>
  <c r="B167" i="16"/>
  <c r="E166" i="16"/>
  <c r="BN81" i="16"/>
  <c r="BO81" i="16" s="1"/>
  <c r="BQ81" i="16" s="1"/>
  <c r="BH168" i="16"/>
  <c r="BL167" i="16"/>
  <c r="AJ166" i="16"/>
  <c r="AN165" i="16"/>
  <c r="AV167" i="16"/>
  <c r="AZ166" i="16"/>
  <c r="BH166" i="14"/>
  <c r="BL165" i="14"/>
  <c r="BM87" i="14"/>
  <c r="BP86" i="14"/>
  <c r="P165" i="14"/>
  <c r="E165" i="14"/>
  <c r="AK165" i="14"/>
  <c r="AM165" i="14" s="1"/>
  <c r="AW165" i="14"/>
  <c r="AY165" i="14" s="1"/>
  <c r="BB83" i="14"/>
  <c r="BC83" i="14" s="1"/>
  <c r="BE83" i="14" s="1"/>
  <c r="AJ166" i="14"/>
  <c r="AN165" i="14"/>
  <c r="AR86" i="14"/>
  <c r="AP87" i="14"/>
  <c r="AQ87" i="14" s="1"/>
  <c r="AS87" i="14" s="1"/>
  <c r="X166" i="14"/>
  <c r="BI166" i="14" s="1"/>
  <c r="BK166" i="14" s="1"/>
  <c r="Y165" i="14"/>
  <c r="AA165" i="14" s="1"/>
  <c r="AB165" i="14"/>
  <c r="AE60" i="14"/>
  <c r="AG60" i="14" s="1"/>
  <c r="B166" i="14"/>
  <c r="AA165" i="19" l="1"/>
  <c r="B167" i="15"/>
  <c r="F166" i="15"/>
  <c r="AC81" i="19"/>
  <c r="BM94" i="19"/>
  <c r="AZ167" i="19"/>
  <c r="AV168" i="19"/>
  <c r="BP93" i="19"/>
  <c r="BH168" i="19"/>
  <c r="BL167" i="19"/>
  <c r="BB91" i="19"/>
  <c r="X167" i="19"/>
  <c r="AB166" i="19"/>
  <c r="BI166" i="19"/>
  <c r="BK166" i="19" s="1"/>
  <c r="AW166" i="19"/>
  <c r="AY166" i="19" s="1"/>
  <c r="AK166" i="19"/>
  <c r="AM166" i="19" s="1"/>
  <c r="Y166" i="19"/>
  <c r="AP81" i="19"/>
  <c r="AQ81" i="19" s="1"/>
  <c r="AS81" i="19" s="1"/>
  <c r="AN166" i="19"/>
  <c r="AJ167" i="19"/>
  <c r="AF80" i="19"/>
  <c r="P166" i="19"/>
  <c r="B167" i="19"/>
  <c r="E166" i="19"/>
  <c r="AC80" i="18"/>
  <c r="BM82" i="18"/>
  <c r="AJ168" i="18"/>
  <c r="AN167" i="18"/>
  <c r="BB82" i="18"/>
  <c r="AF79" i="18"/>
  <c r="AV168" i="18"/>
  <c r="AZ167" i="18"/>
  <c r="BL166" i="18"/>
  <c r="BH167" i="18"/>
  <c r="P166" i="18"/>
  <c r="B167" i="18"/>
  <c r="E166" i="18"/>
  <c r="AR92" i="18"/>
  <c r="AO93" i="18"/>
  <c r="X167" i="18"/>
  <c r="AK166" i="18"/>
  <c r="AM166" i="18" s="1"/>
  <c r="AW166" i="18"/>
  <c r="AY166" i="18" s="1"/>
  <c r="BI166" i="18"/>
  <c r="BK166" i="18" s="1"/>
  <c r="AB166" i="18"/>
  <c r="Y166" i="18"/>
  <c r="AA166" i="18" s="1"/>
  <c r="BP81" i="18"/>
  <c r="BA84" i="17"/>
  <c r="BH170" i="17"/>
  <c r="BL169" i="17"/>
  <c r="BD83" i="17"/>
  <c r="AO81" i="17"/>
  <c r="X167" i="17"/>
  <c r="BI166" i="17"/>
  <c r="BK166" i="17" s="1"/>
  <c r="AW166" i="17"/>
  <c r="AY166" i="17" s="1"/>
  <c r="AK166" i="17"/>
  <c r="AM166" i="17" s="1"/>
  <c r="Y166" i="17"/>
  <c r="AA166" i="17" s="1"/>
  <c r="AB166" i="17"/>
  <c r="P166" i="17"/>
  <c r="B167" i="17"/>
  <c r="E166" i="17"/>
  <c r="AZ167" i="17"/>
  <c r="AV168" i="17"/>
  <c r="AR80" i="17"/>
  <c r="BM85" i="17"/>
  <c r="BP84" i="17"/>
  <c r="AN168" i="17"/>
  <c r="AJ169" i="17"/>
  <c r="AD82" i="17"/>
  <c r="AE82" i="17" s="1"/>
  <c r="AG82" i="17" s="1"/>
  <c r="BM82" i="16"/>
  <c r="AO82" i="16"/>
  <c r="E167" i="16"/>
  <c r="P167" i="16"/>
  <c r="B168" i="16"/>
  <c r="AV168" i="16"/>
  <c r="AZ167" i="16"/>
  <c r="BH169" i="16"/>
  <c r="BL168" i="16"/>
  <c r="AD84" i="16"/>
  <c r="AE84" i="16" s="1"/>
  <c r="AG84" i="16" s="1"/>
  <c r="AN166" i="16"/>
  <c r="AJ167" i="16"/>
  <c r="BP81" i="16"/>
  <c r="AR81" i="16"/>
  <c r="BB82" i="16"/>
  <c r="BC82" i="16" s="1"/>
  <c r="BE82" i="16" s="1"/>
  <c r="AB167" i="16"/>
  <c r="AK167" i="16"/>
  <c r="AM167" i="16" s="1"/>
  <c r="Y167" i="16"/>
  <c r="AA167" i="16" s="1"/>
  <c r="X168" i="16"/>
  <c r="AW167" i="16"/>
  <c r="AY167" i="16" s="1"/>
  <c r="BI167" i="16"/>
  <c r="BK167" i="16" s="1"/>
  <c r="BH167" i="14"/>
  <c r="BL166" i="14"/>
  <c r="BN87" i="14"/>
  <c r="BO87" i="14" s="1"/>
  <c r="BQ87" i="14" s="1"/>
  <c r="P166" i="14"/>
  <c r="E166" i="14"/>
  <c r="AK166" i="14"/>
  <c r="AM166" i="14" s="1"/>
  <c r="AW166" i="14"/>
  <c r="AY166" i="14" s="1"/>
  <c r="BA84" i="14"/>
  <c r="BD83" i="14"/>
  <c r="AJ167" i="14"/>
  <c r="AN166" i="14"/>
  <c r="AO88" i="14"/>
  <c r="AR87" i="14"/>
  <c r="X167" i="14"/>
  <c r="BI167" i="14" s="1"/>
  <c r="BK167" i="14" s="1"/>
  <c r="AB166" i="14"/>
  <c r="Y166" i="14"/>
  <c r="AA166" i="14" s="1"/>
  <c r="AC61" i="14"/>
  <c r="AF60" i="14"/>
  <c r="B167" i="14"/>
  <c r="AA166" i="19" l="1"/>
  <c r="B168" i="15"/>
  <c r="F167" i="15"/>
  <c r="AO82" i="19"/>
  <c r="AJ168" i="19"/>
  <c r="AN167" i="19"/>
  <c r="AV169" i="19"/>
  <c r="AZ168" i="19"/>
  <c r="BH169" i="19"/>
  <c r="BL168" i="19"/>
  <c r="E167" i="19"/>
  <c r="B168" i="19"/>
  <c r="P167" i="19"/>
  <c r="BN94" i="19"/>
  <c r="BO94" i="19" s="1"/>
  <c r="BQ94" i="19" s="1"/>
  <c r="AR81" i="19"/>
  <c r="Y167" i="19"/>
  <c r="X168" i="19"/>
  <c r="AB167" i="19"/>
  <c r="AK167" i="19"/>
  <c r="AM167" i="19" s="1"/>
  <c r="BI167" i="19"/>
  <c r="BK167" i="19" s="1"/>
  <c r="AW167" i="19"/>
  <c r="AY167" i="19" s="1"/>
  <c r="BC91" i="19"/>
  <c r="BE91" i="19" s="1"/>
  <c r="AD81" i="19"/>
  <c r="AE81" i="19" s="1"/>
  <c r="AG81" i="19" s="1"/>
  <c r="AP93" i="18"/>
  <c r="AQ93" i="18" s="1"/>
  <c r="AS93" i="18" s="1"/>
  <c r="B168" i="18"/>
  <c r="E167" i="18"/>
  <c r="P167" i="18"/>
  <c r="AV169" i="18"/>
  <c r="AZ168" i="18"/>
  <c r="AN168" i="18"/>
  <c r="AJ169" i="18"/>
  <c r="BN82" i="18"/>
  <c r="BO82" i="18" s="1"/>
  <c r="BQ82" i="18" s="1"/>
  <c r="BH168" i="18"/>
  <c r="BL167" i="18"/>
  <c r="Y167" i="18"/>
  <c r="AA167" i="18" s="1"/>
  <c r="BI167" i="18"/>
  <c r="BK167" i="18" s="1"/>
  <c r="AW167" i="18"/>
  <c r="AY167" i="18" s="1"/>
  <c r="AK167" i="18"/>
  <c r="AM167" i="18" s="1"/>
  <c r="X168" i="18"/>
  <c r="AB167" i="18"/>
  <c r="BC82" i="18"/>
  <c r="BE82" i="18" s="1"/>
  <c r="AD80" i="18"/>
  <c r="AE80" i="18" s="1"/>
  <c r="AG80" i="18" s="1"/>
  <c r="AJ170" i="17"/>
  <c r="AN169" i="17"/>
  <c r="AV169" i="17"/>
  <c r="AZ168" i="17"/>
  <c r="BB84" i="17"/>
  <c r="BC84" i="17" s="1"/>
  <c r="BE84" i="17" s="1"/>
  <c r="B168" i="17"/>
  <c r="P167" i="17"/>
  <c r="E167" i="17"/>
  <c r="AB167" i="17"/>
  <c r="X168" i="17"/>
  <c r="AK167" i="17"/>
  <c r="AM167" i="17" s="1"/>
  <c r="Y167" i="17"/>
  <c r="AA167" i="17" s="1"/>
  <c r="BI167" i="17"/>
  <c r="BK167" i="17" s="1"/>
  <c r="AW167" i="17"/>
  <c r="AY167" i="17" s="1"/>
  <c r="BN85" i="17"/>
  <c r="BO85" i="17" s="1"/>
  <c r="BQ85" i="17" s="1"/>
  <c r="AP81" i="17"/>
  <c r="AQ81" i="17" s="1"/>
  <c r="AS81" i="17" s="1"/>
  <c r="AC83" i="17"/>
  <c r="BL170" i="17"/>
  <c r="BH171" i="17"/>
  <c r="AF82" i="17"/>
  <c r="BH170" i="16"/>
  <c r="BL169" i="16"/>
  <c r="BI168" i="16"/>
  <c r="BK168" i="16" s="1"/>
  <c r="AK168" i="16"/>
  <c r="AM168" i="16" s="1"/>
  <c r="Y168" i="16"/>
  <c r="AA168" i="16" s="1"/>
  <c r="AB168" i="16"/>
  <c r="X169" i="16"/>
  <c r="AW168" i="16"/>
  <c r="AY168" i="16" s="1"/>
  <c r="BA83" i="16"/>
  <c r="AC85" i="16"/>
  <c r="AZ168" i="16"/>
  <c r="AV169" i="16"/>
  <c r="AJ168" i="16"/>
  <c r="AN167" i="16"/>
  <c r="BD82" i="16"/>
  <c r="AF84" i="16"/>
  <c r="P168" i="16"/>
  <c r="E168" i="16"/>
  <c r="B169" i="16"/>
  <c r="AP82" i="16"/>
  <c r="AQ82" i="16" s="1"/>
  <c r="AS82" i="16" s="1"/>
  <c r="BN82" i="16"/>
  <c r="BO82" i="16" s="1"/>
  <c r="BQ82" i="16" s="1"/>
  <c r="BH168" i="14"/>
  <c r="BL167" i="14"/>
  <c r="BM88" i="14"/>
  <c r="BP87" i="14"/>
  <c r="P167" i="14"/>
  <c r="E167" i="14"/>
  <c r="AK167" i="14"/>
  <c r="AM167" i="14" s="1"/>
  <c r="AW167" i="14"/>
  <c r="AY167" i="14" s="1"/>
  <c r="BB84" i="14"/>
  <c r="AJ168" i="14"/>
  <c r="AN167" i="14"/>
  <c r="AP88" i="14"/>
  <c r="AQ88" i="14" s="1"/>
  <c r="AS88" i="14" s="1"/>
  <c r="X168" i="14"/>
  <c r="BI168" i="14" s="1"/>
  <c r="BK168" i="14" s="1"/>
  <c r="Y167" i="14"/>
  <c r="AA167" i="14" s="1"/>
  <c r="AB167" i="14"/>
  <c r="AD61" i="14"/>
  <c r="B168" i="14"/>
  <c r="AA167" i="19" l="1"/>
  <c r="B169" i="15"/>
  <c r="F168" i="15"/>
  <c r="BD91" i="19"/>
  <c r="BM95" i="19"/>
  <c r="B169" i="19"/>
  <c r="E168" i="19"/>
  <c r="P168" i="19"/>
  <c r="AC82" i="19"/>
  <c r="BI168" i="19"/>
  <c r="BK168" i="19" s="1"/>
  <c r="AW168" i="19"/>
  <c r="AY168" i="19" s="1"/>
  <c r="AK168" i="19"/>
  <c r="AM168" i="19" s="1"/>
  <c r="Y168" i="19"/>
  <c r="AB168" i="19"/>
  <c r="X169" i="19"/>
  <c r="AZ169" i="19"/>
  <c r="AV170" i="19"/>
  <c r="AF81" i="19"/>
  <c r="BA92" i="19"/>
  <c r="BL169" i="19"/>
  <c r="BH170" i="19"/>
  <c r="AP82" i="19"/>
  <c r="AQ82" i="19" s="1"/>
  <c r="AS82" i="19" s="1"/>
  <c r="BP94" i="19"/>
  <c r="AN168" i="19"/>
  <c r="AJ169" i="19"/>
  <c r="BM83" i="18"/>
  <c r="BP82" i="18"/>
  <c r="P168" i="18"/>
  <c r="E168" i="18"/>
  <c r="B169" i="18"/>
  <c r="AJ170" i="18"/>
  <c r="AN169" i="18"/>
  <c r="AR93" i="18"/>
  <c r="BD82" i="18"/>
  <c r="AC81" i="18"/>
  <c r="AO94" i="18"/>
  <c r="BL168" i="18"/>
  <c r="BH169" i="18"/>
  <c r="BI168" i="18"/>
  <c r="BK168" i="18" s="1"/>
  <c r="AW168" i="18"/>
  <c r="AY168" i="18" s="1"/>
  <c r="AK168" i="18"/>
  <c r="AM168" i="18" s="1"/>
  <c r="X169" i="18"/>
  <c r="Y168" i="18"/>
  <c r="AA168" i="18" s="1"/>
  <c r="AB168" i="18"/>
  <c r="AZ169" i="18"/>
  <c r="AV170" i="18"/>
  <c r="AF80" i="18"/>
  <c r="BA83" i="18"/>
  <c r="BH172" i="17"/>
  <c r="BL171" i="17"/>
  <c r="BA85" i="17"/>
  <c r="BD84" i="17"/>
  <c r="AD83" i="17"/>
  <c r="AE83" i="17" s="1"/>
  <c r="AG83" i="17" s="1"/>
  <c r="AO82" i="17"/>
  <c r="P168" i="17"/>
  <c r="B169" i="17"/>
  <c r="E168" i="17"/>
  <c r="AR81" i="17"/>
  <c r="AZ169" i="17"/>
  <c r="AV170" i="17"/>
  <c r="BM86" i="17"/>
  <c r="BP85" i="17"/>
  <c r="X169" i="17"/>
  <c r="AB168" i="17"/>
  <c r="BI168" i="17"/>
  <c r="BK168" i="17" s="1"/>
  <c r="AK168" i="17"/>
  <c r="AM168" i="17" s="1"/>
  <c r="AW168" i="17"/>
  <c r="AY168" i="17" s="1"/>
  <c r="Y168" i="17"/>
  <c r="AA168" i="17" s="1"/>
  <c r="AN170" i="17"/>
  <c r="AJ171" i="17"/>
  <c r="AO83" i="16"/>
  <c r="AZ169" i="16"/>
  <c r="AV170" i="16"/>
  <c r="BP82" i="16"/>
  <c r="E169" i="16"/>
  <c r="B170" i="16"/>
  <c r="P169" i="16"/>
  <c r="BM83" i="16"/>
  <c r="BB83" i="16"/>
  <c r="AD85" i="16"/>
  <c r="AR82" i="16"/>
  <c r="AN168" i="16"/>
  <c r="AJ169" i="16"/>
  <c r="AW169" i="16"/>
  <c r="AY169" i="16" s="1"/>
  <c r="Y169" i="16"/>
  <c r="AA169" i="16" s="1"/>
  <c r="X170" i="16"/>
  <c r="AB169" i="16"/>
  <c r="AK169" i="16"/>
  <c r="AM169" i="16" s="1"/>
  <c r="BI169" i="16"/>
  <c r="BK169" i="16" s="1"/>
  <c r="BL170" i="16"/>
  <c r="BH171" i="16"/>
  <c r="BH169" i="14"/>
  <c r="BL168" i="14"/>
  <c r="BN88" i="14"/>
  <c r="BO88" i="14" s="1"/>
  <c r="BQ88" i="14" s="1"/>
  <c r="P168" i="14"/>
  <c r="E168" i="14"/>
  <c r="AK168" i="14"/>
  <c r="AM168" i="14" s="1"/>
  <c r="AW168" i="14"/>
  <c r="AY168" i="14" s="1"/>
  <c r="BC84" i="14"/>
  <c r="BE84" i="14" s="1"/>
  <c r="AJ169" i="14"/>
  <c r="AN168" i="14"/>
  <c r="AO89" i="14"/>
  <c r="AR88" i="14"/>
  <c r="X169" i="14"/>
  <c r="BI169" i="14" s="1"/>
  <c r="BK169" i="14" s="1"/>
  <c r="Y168" i="14"/>
  <c r="AA168" i="14" s="1"/>
  <c r="AB168" i="14"/>
  <c r="AE61" i="14"/>
  <c r="AG61" i="14" s="1"/>
  <c r="B169" i="14"/>
  <c r="AA168" i="19" l="1"/>
  <c r="B170" i="15"/>
  <c r="F169" i="15"/>
  <c r="AW169" i="19"/>
  <c r="AY169" i="19" s="1"/>
  <c r="AB169" i="19"/>
  <c r="X170" i="19"/>
  <c r="AK169" i="19"/>
  <c r="AM169" i="19" s="1"/>
  <c r="Y169" i="19"/>
  <c r="BI169" i="19"/>
  <c r="BK169" i="19" s="1"/>
  <c r="AJ170" i="19"/>
  <c r="AN169" i="19"/>
  <c r="BB92" i="19"/>
  <c r="BC92" i="19" s="1"/>
  <c r="BE92" i="19" s="1"/>
  <c r="E169" i="19"/>
  <c r="P169" i="19"/>
  <c r="B170" i="19"/>
  <c r="BN95" i="19"/>
  <c r="AO83" i="19"/>
  <c r="AR82" i="19"/>
  <c r="AZ170" i="19"/>
  <c r="AV171" i="19"/>
  <c r="AD82" i="19"/>
  <c r="BL170" i="19"/>
  <c r="BH171" i="19"/>
  <c r="BB83" i="18"/>
  <c r="BC83" i="18" s="1"/>
  <c r="BE83" i="18" s="1"/>
  <c r="BH170" i="18"/>
  <c r="BL169" i="18"/>
  <c r="AP94" i="18"/>
  <c r="AW169" i="18"/>
  <c r="AY169" i="18" s="1"/>
  <c r="AB169" i="18"/>
  <c r="AK169" i="18"/>
  <c r="AM169" i="18" s="1"/>
  <c r="Y169" i="18"/>
  <c r="AA169" i="18" s="1"/>
  <c r="BI169" i="18"/>
  <c r="BK169" i="18" s="1"/>
  <c r="X170" i="18"/>
  <c r="AV171" i="18"/>
  <c r="AZ170" i="18"/>
  <c r="AD81" i="18"/>
  <c r="AE81" i="18" s="1"/>
  <c r="AG81" i="18" s="1"/>
  <c r="E169" i="18"/>
  <c r="B170" i="18"/>
  <c r="P169" i="18"/>
  <c r="BN83" i="18"/>
  <c r="BO83" i="18" s="1"/>
  <c r="BQ83" i="18" s="1"/>
  <c r="AN170" i="18"/>
  <c r="AJ171" i="18"/>
  <c r="AP82" i="17"/>
  <c r="AQ82" i="17" s="1"/>
  <c r="AS82" i="17" s="1"/>
  <c r="BB85" i="17"/>
  <c r="BC85" i="17" s="1"/>
  <c r="BE85" i="17" s="1"/>
  <c r="AC84" i="17"/>
  <c r="BN86" i="17"/>
  <c r="BO86" i="17" s="1"/>
  <c r="BQ86" i="17" s="1"/>
  <c r="AF83" i="17"/>
  <c r="B170" i="17"/>
  <c r="P169" i="17"/>
  <c r="E169" i="17"/>
  <c r="AV171" i="17"/>
  <c r="AZ170" i="17"/>
  <c r="AJ172" i="17"/>
  <c r="AN171" i="17"/>
  <c r="BI169" i="17"/>
  <c r="BK169" i="17" s="1"/>
  <c r="AB169" i="17"/>
  <c r="X170" i="17"/>
  <c r="AW169" i="17"/>
  <c r="AY169" i="17" s="1"/>
  <c r="AK169" i="17"/>
  <c r="AM169" i="17" s="1"/>
  <c r="Y169" i="17"/>
  <c r="AA169" i="17" s="1"/>
  <c r="BL172" i="17"/>
  <c r="BH173" i="17"/>
  <c r="BH172" i="16"/>
  <c r="BL171" i="16"/>
  <c r="AJ170" i="16"/>
  <c r="AN169" i="16"/>
  <c r="BN83" i="16"/>
  <c r="BO83" i="16" s="1"/>
  <c r="BQ83" i="16" s="1"/>
  <c r="BC83" i="16"/>
  <c r="BE83" i="16" s="1"/>
  <c r="AZ170" i="16"/>
  <c r="AV171" i="16"/>
  <c r="P170" i="16"/>
  <c r="B171" i="16"/>
  <c r="E170" i="16"/>
  <c r="AP83" i="16"/>
  <c r="AQ83" i="16" s="1"/>
  <c r="AS83" i="16" s="1"/>
  <c r="AK170" i="16"/>
  <c r="AM170" i="16" s="1"/>
  <c r="X171" i="16"/>
  <c r="BI170" i="16"/>
  <c r="BK170" i="16" s="1"/>
  <c r="AB170" i="16"/>
  <c r="Y170" i="16"/>
  <c r="AA170" i="16" s="1"/>
  <c r="AW170" i="16"/>
  <c r="AY170" i="16" s="1"/>
  <c r="AE85" i="16"/>
  <c r="AG85" i="16" s="1"/>
  <c r="BH170" i="14"/>
  <c r="BL169" i="14"/>
  <c r="BM89" i="14"/>
  <c r="BP88" i="14"/>
  <c r="P169" i="14"/>
  <c r="E169" i="14"/>
  <c r="AK169" i="14"/>
  <c r="AM169" i="14" s="1"/>
  <c r="AW169" i="14"/>
  <c r="AY169" i="14" s="1"/>
  <c r="BA85" i="14"/>
  <c r="BD84" i="14"/>
  <c r="AJ170" i="14"/>
  <c r="AN169" i="14"/>
  <c r="AP89" i="14"/>
  <c r="AQ89" i="14" s="1"/>
  <c r="AS89" i="14" s="1"/>
  <c r="X170" i="14"/>
  <c r="BI170" i="14" s="1"/>
  <c r="BK170" i="14" s="1"/>
  <c r="AB169" i="14"/>
  <c r="Y169" i="14"/>
  <c r="AA169" i="14" s="1"/>
  <c r="AC62" i="14"/>
  <c r="AF61" i="14"/>
  <c r="B170" i="14"/>
  <c r="AA169" i="19" l="1"/>
  <c r="B171" i="15"/>
  <c r="F170" i="15"/>
  <c r="AZ171" i="19"/>
  <c r="AV172" i="19"/>
  <c r="BH172" i="19"/>
  <c r="BL171" i="19"/>
  <c r="BA93" i="19"/>
  <c r="AK170" i="19"/>
  <c r="AM170" i="19" s="1"/>
  <c r="X171" i="19"/>
  <c r="BI170" i="19"/>
  <c r="BK170" i="19" s="1"/>
  <c r="AW170" i="19"/>
  <c r="AY170" i="19" s="1"/>
  <c r="Y170" i="19"/>
  <c r="AB170" i="19"/>
  <c r="BD92" i="19"/>
  <c r="AP83" i="19"/>
  <c r="AQ83" i="19" s="1"/>
  <c r="AS83" i="19" s="1"/>
  <c r="P170" i="19"/>
  <c r="B171" i="19"/>
  <c r="E170" i="19"/>
  <c r="AJ171" i="19"/>
  <c r="AN170" i="19"/>
  <c r="AE82" i="19"/>
  <c r="AG82" i="19" s="1"/>
  <c r="BO95" i="19"/>
  <c r="BQ95" i="19" s="1"/>
  <c r="AC82" i="18"/>
  <c r="BP83" i="18"/>
  <c r="BM84" i="18"/>
  <c r="AZ171" i="18"/>
  <c r="AV172" i="18"/>
  <c r="BL170" i="18"/>
  <c r="BH171" i="18"/>
  <c r="AJ172" i="18"/>
  <c r="AN171" i="18"/>
  <c r="AK170" i="18"/>
  <c r="AM170" i="18" s="1"/>
  <c r="X171" i="18"/>
  <c r="Y170" i="18"/>
  <c r="AA170" i="18" s="1"/>
  <c r="BI170" i="18"/>
  <c r="BK170" i="18" s="1"/>
  <c r="AW170" i="18"/>
  <c r="AY170" i="18" s="1"/>
  <c r="AB170" i="18"/>
  <c r="AF81" i="18"/>
  <c r="P170" i="18"/>
  <c r="E170" i="18"/>
  <c r="B171" i="18"/>
  <c r="BA84" i="18"/>
  <c r="AQ94" i="18"/>
  <c r="AS94" i="18" s="1"/>
  <c r="BD83" i="18"/>
  <c r="AW170" i="17"/>
  <c r="AY170" i="17" s="1"/>
  <c r="X171" i="17"/>
  <c r="AB170" i="17"/>
  <c r="AK170" i="17"/>
  <c r="AM170" i="17" s="1"/>
  <c r="Y170" i="17"/>
  <c r="AA170" i="17" s="1"/>
  <c r="BI170" i="17"/>
  <c r="BK170" i="17" s="1"/>
  <c r="BH174" i="17"/>
  <c r="BL173" i="17"/>
  <c r="BA86" i="17"/>
  <c r="BM87" i="17"/>
  <c r="BD85" i="17"/>
  <c r="P170" i="17"/>
  <c r="B171" i="17"/>
  <c r="E170" i="17"/>
  <c r="BP86" i="17"/>
  <c r="AO83" i="17"/>
  <c r="AJ173" i="17"/>
  <c r="AN172" i="17"/>
  <c r="AR82" i="17"/>
  <c r="AD84" i="17"/>
  <c r="AE84" i="17" s="1"/>
  <c r="AG84" i="17" s="1"/>
  <c r="AZ171" i="17"/>
  <c r="AV172" i="17"/>
  <c r="BM84" i="16"/>
  <c r="AO84" i="16"/>
  <c r="E171" i="16"/>
  <c r="B172" i="16"/>
  <c r="P171" i="16"/>
  <c r="AF85" i="16"/>
  <c r="Y171" i="16"/>
  <c r="AA171" i="16" s="1"/>
  <c r="AW171" i="16"/>
  <c r="AY171" i="16" s="1"/>
  <c r="AK171" i="16"/>
  <c r="AM171" i="16" s="1"/>
  <c r="X172" i="16"/>
  <c r="AB171" i="16"/>
  <c r="BI171" i="16"/>
  <c r="BK171" i="16" s="1"/>
  <c r="BA84" i="16"/>
  <c r="AN170" i="16"/>
  <c r="AJ171" i="16"/>
  <c r="AC86" i="16"/>
  <c r="AZ171" i="16"/>
  <c r="AV172" i="16"/>
  <c r="AR83" i="16"/>
  <c r="BP83" i="16"/>
  <c r="BH173" i="16"/>
  <c r="BL172" i="16"/>
  <c r="BD83" i="16"/>
  <c r="BH171" i="14"/>
  <c r="BL170" i="14"/>
  <c r="BN89" i="14"/>
  <c r="BO89" i="14" s="1"/>
  <c r="BQ89" i="14" s="1"/>
  <c r="P170" i="14"/>
  <c r="E170" i="14"/>
  <c r="AK170" i="14"/>
  <c r="AM170" i="14" s="1"/>
  <c r="AW170" i="14"/>
  <c r="AY170" i="14" s="1"/>
  <c r="BB85" i="14"/>
  <c r="BC85" i="14" s="1"/>
  <c r="BE85" i="14" s="1"/>
  <c r="AJ171" i="14"/>
  <c r="AN170" i="14"/>
  <c r="AO90" i="14"/>
  <c r="AR89" i="14"/>
  <c r="X171" i="14"/>
  <c r="BI171" i="14" s="1"/>
  <c r="BK171" i="14" s="1"/>
  <c r="AB170" i="14"/>
  <c r="Y170" i="14"/>
  <c r="AA170" i="14" s="1"/>
  <c r="AD62" i="14"/>
  <c r="B171" i="14"/>
  <c r="AA170" i="19" l="1"/>
  <c r="B172" i="15"/>
  <c r="F171" i="15"/>
  <c r="AN171" i="19"/>
  <c r="AJ172" i="19"/>
  <c r="BB93" i="19"/>
  <c r="BC93" i="19" s="1"/>
  <c r="BE93" i="19" s="1"/>
  <c r="AZ172" i="19"/>
  <c r="AV173" i="19"/>
  <c r="E171" i="19"/>
  <c r="B172" i="19"/>
  <c r="P171" i="19"/>
  <c r="BH173" i="19"/>
  <c r="BL172" i="19"/>
  <c r="AC83" i="19"/>
  <c r="BM96" i="19"/>
  <c r="AO84" i="19"/>
  <c r="AR83" i="19"/>
  <c r="Y171" i="19"/>
  <c r="AW171" i="19"/>
  <c r="AY171" i="19" s="1"/>
  <c r="X172" i="19"/>
  <c r="AK171" i="19"/>
  <c r="AM171" i="19" s="1"/>
  <c r="AB171" i="19"/>
  <c r="BI171" i="19"/>
  <c r="BK171" i="19" s="1"/>
  <c r="BP95" i="19"/>
  <c r="AF82" i="19"/>
  <c r="AV173" i="18"/>
  <c r="AZ172" i="18"/>
  <c r="BB84" i="18"/>
  <c r="BC84" i="18" s="1"/>
  <c r="BE84" i="18" s="1"/>
  <c r="BN84" i="18"/>
  <c r="BO84" i="18" s="1"/>
  <c r="BQ84" i="18" s="1"/>
  <c r="AJ173" i="18"/>
  <c r="AN172" i="18"/>
  <c r="AR94" i="18"/>
  <c r="E171" i="18"/>
  <c r="B172" i="18"/>
  <c r="P171" i="18"/>
  <c r="BH172" i="18"/>
  <c r="BL171" i="18"/>
  <c r="AD82" i="18"/>
  <c r="AE82" i="18" s="1"/>
  <c r="AG82" i="18" s="1"/>
  <c r="AO95" i="18"/>
  <c r="Y171" i="18"/>
  <c r="AA171" i="18" s="1"/>
  <c r="BI171" i="18"/>
  <c r="BK171" i="18" s="1"/>
  <c r="AW171" i="18"/>
  <c r="AY171" i="18" s="1"/>
  <c r="AB171" i="18"/>
  <c r="AK171" i="18"/>
  <c r="AM171" i="18" s="1"/>
  <c r="X172" i="18"/>
  <c r="AV173" i="17"/>
  <c r="AZ172" i="17"/>
  <c r="BL174" i="17"/>
  <c r="BH175" i="17"/>
  <c r="B172" i="17"/>
  <c r="P171" i="17"/>
  <c r="E171" i="17"/>
  <c r="AN173" i="17"/>
  <c r="AJ174" i="17"/>
  <c r="BB86" i="17"/>
  <c r="BC86" i="17" s="1"/>
  <c r="BE86" i="17" s="1"/>
  <c r="AP83" i="17"/>
  <c r="AQ83" i="17" s="1"/>
  <c r="AS83" i="17" s="1"/>
  <c r="AC85" i="17"/>
  <c r="AB171" i="17"/>
  <c r="AK171" i="17"/>
  <c r="AM171" i="17" s="1"/>
  <c r="BI171" i="17"/>
  <c r="BK171" i="17" s="1"/>
  <c r="Y171" i="17"/>
  <c r="AA171" i="17" s="1"/>
  <c r="X172" i="17"/>
  <c r="AW171" i="17"/>
  <c r="AY171" i="17" s="1"/>
  <c r="AF84" i="17"/>
  <c r="BN87" i="17"/>
  <c r="BO87" i="17" s="1"/>
  <c r="BQ87" i="17" s="1"/>
  <c r="BN84" i="16"/>
  <c r="BO84" i="16" s="1"/>
  <c r="BQ84" i="16" s="1"/>
  <c r="BH174" i="16"/>
  <c r="BL173" i="16"/>
  <c r="AZ172" i="16"/>
  <c r="AV173" i="16"/>
  <c r="BB84" i="16"/>
  <c r="BC84" i="16" s="1"/>
  <c r="BE84" i="16" s="1"/>
  <c r="B173" i="16"/>
  <c r="E172" i="16"/>
  <c r="P172" i="16"/>
  <c r="AP84" i="16"/>
  <c r="AQ84" i="16" s="1"/>
  <c r="AS84" i="16" s="1"/>
  <c r="AD86" i="16"/>
  <c r="AE86" i="16" s="1"/>
  <c r="AG86" i="16" s="1"/>
  <c r="AJ172" i="16"/>
  <c r="AN171" i="16"/>
  <c r="BI172" i="16"/>
  <c r="BK172" i="16" s="1"/>
  <c r="AK172" i="16"/>
  <c r="AM172" i="16" s="1"/>
  <c r="AB172" i="16"/>
  <c r="Y172" i="16"/>
  <c r="AA172" i="16" s="1"/>
  <c r="X173" i="16"/>
  <c r="AW172" i="16"/>
  <c r="AY172" i="16" s="1"/>
  <c r="BH172" i="14"/>
  <c r="BL171" i="14"/>
  <c r="BM90" i="14"/>
  <c r="BP89" i="14"/>
  <c r="P171" i="14"/>
  <c r="E171" i="14"/>
  <c r="AK171" i="14"/>
  <c r="AM171" i="14" s="1"/>
  <c r="AW171" i="14"/>
  <c r="AY171" i="14" s="1"/>
  <c r="BA86" i="14"/>
  <c r="BD85" i="14"/>
  <c r="AJ172" i="14"/>
  <c r="AN171" i="14"/>
  <c r="AP90" i="14"/>
  <c r="AQ90" i="14" s="1"/>
  <c r="AS90" i="14" s="1"/>
  <c r="X172" i="14"/>
  <c r="BI172" i="14" s="1"/>
  <c r="BK172" i="14" s="1"/>
  <c r="AB171" i="14"/>
  <c r="Y171" i="14"/>
  <c r="AA171" i="14" s="1"/>
  <c r="AE62" i="14"/>
  <c r="AG62" i="14" s="1"/>
  <c r="B172" i="14"/>
  <c r="AA171" i="19" l="1"/>
  <c r="B173" i="15"/>
  <c r="F172" i="15"/>
  <c r="BN96" i="19"/>
  <c r="BO96" i="19" s="1"/>
  <c r="BQ96" i="19" s="1"/>
  <c r="BL173" i="19"/>
  <c r="BH174" i="19"/>
  <c r="AV174" i="19"/>
  <c r="AZ173" i="19"/>
  <c r="AD83" i="19"/>
  <c r="AE83" i="19" s="1"/>
  <c r="AG83" i="19" s="1"/>
  <c r="B173" i="19"/>
  <c r="E172" i="19"/>
  <c r="P172" i="19"/>
  <c r="BA94" i="19"/>
  <c r="BI172" i="19"/>
  <c r="BK172" i="19" s="1"/>
  <c r="AB172" i="19"/>
  <c r="AK172" i="19"/>
  <c r="AM172" i="19" s="1"/>
  <c r="X173" i="19"/>
  <c r="AW172" i="19"/>
  <c r="AY172" i="19" s="1"/>
  <c r="Y172" i="19"/>
  <c r="AP84" i="19"/>
  <c r="AQ84" i="19" s="1"/>
  <c r="AS84" i="19" s="1"/>
  <c r="BD93" i="19"/>
  <c r="AN172" i="19"/>
  <c r="AJ173" i="19"/>
  <c r="BH173" i="18"/>
  <c r="BL172" i="18"/>
  <c r="AP95" i="18"/>
  <c r="AQ95" i="18" s="1"/>
  <c r="AS95" i="18" s="1"/>
  <c r="AJ174" i="18"/>
  <c r="AN173" i="18"/>
  <c r="BA85" i="18"/>
  <c r="BI172" i="18"/>
  <c r="BK172" i="18" s="1"/>
  <c r="AW172" i="18"/>
  <c r="AY172" i="18" s="1"/>
  <c r="AK172" i="18"/>
  <c r="AM172" i="18" s="1"/>
  <c r="X173" i="18"/>
  <c r="Y172" i="18"/>
  <c r="AA172" i="18" s="1"/>
  <c r="AB172" i="18"/>
  <c r="AC83" i="18"/>
  <c r="BD84" i="18"/>
  <c r="AF82" i="18"/>
  <c r="BM85" i="18"/>
  <c r="P172" i="18"/>
  <c r="E172" i="18"/>
  <c r="B173" i="18"/>
  <c r="BP84" i="18"/>
  <c r="AV174" i="18"/>
  <c r="AZ173" i="18"/>
  <c r="BA87" i="17"/>
  <c r="AO84" i="17"/>
  <c r="P172" i="17"/>
  <c r="E172" i="17"/>
  <c r="B173" i="17"/>
  <c r="BM88" i="17"/>
  <c r="X173" i="17"/>
  <c r="Y172" i="17"/>
  <c r="AA172" i="17" s="1"/>
  <c r="AW172" i="17"/>
  <c r="AY172" i="17" s="1"/>
  <c r="BI172" i="17"/>
  <c r="BK172" i="17" s="1"/>
  <c r="AK172" i="17"/>
  <c r="AM172" i="17" s="1"/>
  <c r="AB172" i="17"/>
  <c r="AR83" i="17"/>
  <c r="BH176" i="17"/>
  <c r="BL175" i="17"/>
  <c r="BP87" i="17"/>
  <c r="AJ175" i="17"/>
  <c r="AN174" i="17"/>
  <c r="AD85" i="17"/>
  <c r="AE85" i="17" s="1"/>
  <c r="AG85" i="17" s="1"/>
  <c r="BD86" i="17"/>
  <c r="AV174" i="17"/>
  <c r="AZ173" i="17"/>
  <c r="AO85" i="16"/>
  <c r="BM85" i="16"/>
  <c r="AN172" i="16"/>
  <c r="AJ173" i="16"/>
  <c r="BL174" i="16"/>
  <c r="BH175" i="16"/>
  <c r="AK173" i="16"/>
  <c r="AM173" i="16" s="1"/>
  <c r="BI173" i="16"/>
  <c r="BK173" i="16" s="1"/>
  <c r="X174" i="16"/>
  <c r="AW173" i="16"/>
  <c r="AY173" i="16" s="1"/>
  <c r="AB173" i="16"/>
  <c r="Y173" i="16"/>
  <c r="AA173" i="16" s="1"/>
  <c r="B174" i="16"/>
  <c r="E173" i="16"/>
  <c r="P173" i="16"/>
  <c r="BP84" i="16"/>
  <c r="BA85" i="16"/>
  <c r="AC87" i="16"/>
  <c r="BD84" i="16"/>
  <c r="AR84" i="16"/>
  <c r="AF86" i="16"/>
  <c r="AZ173" i="16"/>
  <c r="AV174" i="16"/>
  <c r="BH173" i="14"/>
  <c r="BL172" i="14"/>
  <c r="BN90" i="14"/>
  <c r="BO90" i="14" s="1"/>
  <c r="BQ90" i="14" s="1"/>
  <c r="P172" i="14"/>
  <c r="E172" i="14"/>
  <c r="AK172" i="14"/>
  <c r="AM172" i="14" s="1"/>
  <c r="AW172" i="14"/>
  <c r="AY172" i="14" s="1"/>
  <c r="BB86" i="14"/>
  <c r="BC86" i="14" s="1"/>
  <c r="BE86" i="14" s="1"/>
  <c r="AJ173" i="14"/>
  <c r="AN172" i="14"/>
  <c r="AR90" i="14"/>
  <c r="AO91" i="14"/>
  <c r="X173" i="14"/>
  <c r="BI173" i="14" s="1"/>
  <c r="BK173" i="14" s="1"/>
  <c r="AB172" i="14"/>
  <c r="Y172" i="14"/>
  <c r="AA172" i="14" s="1"/>
  <c r="AC63" i="14"/>
  <c r="AF62" i="14"/>
  <c r="B173" i="14"/>
  <c r="AA172" i="19" l="1"/>
  <c r="B174" i="15"/>
  <c r="F173" i="15"/>
  <c r="AV175" i="19"/>
  <c r="AZ174" i="19"/>
  <c r="AN173" i="19"/>
  <c r="AJ174" i="19"/>
  <c r="AO85" i="19"/>
  <c r="BH175" i="19"/>
  <c r="BL174" i="19"/>
  <c r="AR84" i="19"/>
  <c r="BB94" i="19"/>
  <c r="BC94" i="19" s="1"/>
  <c r="BE94" i="19" s="1"/>
  <c r="AC84" i="19"/>
  <c r="AF83" i="19"/>
  <c r="BM97" i="19"/>
  <c r="BP96" i="19"/>
  <c r="AW173" i="19"/>
  <c r="AY173" i="19" s="1"/>
  <c r="AK173" i="19"/>
  <c r="AM173" i="19" s="1"/>
  <c r="Y173" i="19"/>
  <c r="BI173" i="19"/>
  <c r="BK173" i="19" s="1"/>
  <c r="X174" i="19"/>
  <c r="AB173" i="19"/>
  <c r="B174" i="19"/>
  <c r="P173" i="19"/>
  <c r="E173" i="19"/>
  <c r="AO96" i="18"/>
  <c r="B174" i="18"/>
  <c r="E173" i="18"/>
  <c r="P173" i="18"/>
  <c r="AJ175" i="18"/>
  <c r="AN174" i="18"/>
  <c r="AK173" i="18"/>
  <c r="AM173" i="18" s="1"/>
  <c r="X174" i="18"/>
  <c r="AB173" i="18"/>
  <c r="Y173" i="18"/>
  <c r="AA173" i="18" s="1"/>
  <c r="AW173" i="18"/>
  <c r="AY173" i="18" s="1"/>
  <c r="BI173" i="18"/>
  <c r="BK173" i="18" s="1"/>
  <c r="AR95" i="18"/>
  <c r="AD83" i="18"/>
  <c r="AE83" i="18" s="1"/>
  <c r="AG83" i="18" s="1"/>
  <c r="BB85" i="18"/>
  <c r="BC85" i="18" s="1"/>
  <c r="BE85" i="18" s="1"/>
  <c r="BL173" i="18"/>
  <c r="BH174" i="18"/>
  <c r="AZ174" i="18"/>
  <c r="AV175" i="18"/>
  <c r="BN85" i="18"/>
  <c r="BO85" i="18" s="1"/>
  <c r="BQ85" i="18" s="1"/>
  <c r="AC86" i="17"/>
  <c r="AK173" i="17"/>
  <c r="AM173" i="17" s="1"/>
  <c r="BI173" i="17"/>
  <c r="BK173" i="17" s="1"/>
  <c r="AW173" i="17"/>
  <c r="AY173" i="17" s="1"/>
  <c r="X174" i="17"/>
  <c r="Y173" i="17"/>
  <c r="AA173" i="17" s="1"/>
  <c r="AB173" i="17"/>
  <c r="AP84" i="17"/>
  <c r="AQ84" i="17" s="1"/>
  <c r="AS84" i="17" s="1"/>
  <c r="AF85" i="17"/>
  <c r="BL176" i="17"/>
  <c r="BH177" i="17"/>
  <c r="BN88" i="17"/>
  <c r="BO88" i="17" s="1"/>
  <c r="BQ88" i="17" s="1"/>
  <c r="AJ176" i="17"/>
  <c r="AN175" i="17"/>
  <c r="B174" i="17"/>
  <c r="P173" i="17"/>
  <c r="E173" i="17"/>
  <c r="BB87" i="17"/>
  <c r="BC87" i="17" s="1"/>
  <c r="BE87" i="17" s="1"/>
  <c r="AV175" i="17"/>
  <c r="AZ174" i="17"/>
  <c r="AD87" i="16"/>
  <c r="AE87" i="16" s="1"/>
  <c r="AG87" i="16" s="1"/>
  <c r="E174" i="16"/>
  <c r="B175" i="16"/>
  <c r="P174" i="16"/>
  <c r="BN85" i="16"/>
  <c r="BO85" i="16" s="1"/>
  <c r="BQ85" i="16" s="1"/>
  <c r="AV175" i="16"/>
  <c r="AZ174" i="16"/>
  <c r="AJ174" i="16"/>
  <c r="AN173" i="16"/>
  <c r="BB85" i="16"/>
  <c r="BC85" i="16" s="1"/>
  <c r="BE85" i="16" s="1"/>
  <c r="BH176" i="16"/>
  <c r="BL175" i="16"/>
  <c r="Y174" i="16"/>
  <c r="AA174" i="16" s="1"/>
  <c r="AW174" i="16"/>
  <c r="AY174" i="16" s="1"/>
  <c r="X175" i="16"/>
  <c r="BI174" i="16"/>
  <c r="BK174" i="16" s="1"/>
  <c r="AK174" i="16"/>
  <c r="AM174" i="16" s="1"/>
  <c r="AB174" i="16"/>
  <c r="AP85" i="16"/>
  <c r="AQ85" i="16" s="1"/>
  <c r="AS85" i="16" s="1"/>
  <c r="BH174" i="14"/>
  <c r="BL173" i="14"/>
  <c r="BM91" i="14"/>
  <c r="BP90" i="14"/>
  <c r="P173" i="14"/>
  <c r="E173" i="14"/>
  <c r="AK173" i="14"/>
  <c r="AM173" i="14" s="1"/>
  <c r="AW173" i="14"/>
  <c r="AY173" i="14" s="1"/>
  <c r="BA87" i="14"/>
  <c r="BD86" i="14"/>
  <c r="AJ174" i="14"/>
  <c r="AN173" i="14"/>
  <c r="AP91" i="14"/>
  <c r="AQ91" i="14" s="1"/>
  <c r="AS91" i="14" s="1"/>
  <c r="X174" i="14"/>
  <c r="BI174" i="14" s="1"/>
  <c r="BK174" i="14" s="1"/>
  <c r="Y173" i="14"/>
  <c r="AA173" i="14" s="1"/>
  <c r="AB173" i="14"/>
  <c r="AD63" i="14"/>
  <c r="B174" i="14"/>
  <c r="AA173" i="19" l="1"/>
  <c r="B175" i="15"/>
  <c r="F174" i="15"/>
  <c r="AP85" i="19"/>
  <c r="AQ85" i="19" s="1"/>
  <c r="AS85" i="19" s="1"/>
  <c r="E174" i="19"/>
  <c r="P174" i="19"/>
  <c r="B175" i="19"/>
  <c r="AD84" i="19"/>
  <c r="AE84" i="19" s="1"/>
  <c r="AG84" i="19" s="1"/>
  <c r="AN174" i="19"/>
  <c r="AJ175" i="19"/>
  <c r="BA95" i="19"/>
  <c r="AK174" i="19"/>
  <c r="AM174" i="19" s="1"/>
  <c r="Y174" i="19"/>
  <c r="BI174" i="19"/>
  <c r="BK174" i="19" s="1"/>
  <c r="AW174" i="19"/>
  <c r="AY174" i="19" s="1"/>
  <c r="X175" i="19"/>
  <c r="AB174" i="19"/>
  <c r="BD94" i="19"/>
  <c r="AV176" i="19"/>
  <c r="AZ175" i="19"/>
  <c r="BN97" i="19"/>
  <c r="BO97" i="19" s="1"/>
  <c r="BQ97" i="19" s="1"/>
  <c r="BL175" i="19"/>
  <c r="BH176" i="19"/>
  <c r="BA86" i="18"/>
  <c r="AC84" i="18"/>
  <c r="BM86" i="18"/>
  <c r="AN175" i="18"/>
  <c r="AJ176" i="18"/>
  <c r="AK174" i="18"/>
  <c r="AM174" i="18" s="1"/>
  <c r="X175" i="18"/>
  <c r="Y174" i="18"/>
  <c r="AA174" i="18" s="1"/>
  <c r="AW174" i="18"/>
  <c r="AY174" i="18" s="1"/>
  <c r="AB174" i="18"/>
  <c r="BI174" i="18"/>
  <c r="BK174" i="18" s="1"/>
  <c r="AZ175" i="18"/>
  <c r="AV176" i="18"/>
  <c r="BP85" i="18"/>
  <c r="AF83" i="18"/>
  <c r="P174" i="18"/>
  <c r="E174" i="18"/>
  <c r="B175" i="18"/>
  <c r="BD85" i="18"/>
  <c r="BL174" i="18"/>
  <c r="BH175" i="18"/>
  <c r="AP96" i="18"/>
  <c r="AQ96" i="18" s="1"/>
  <c r="AS96" i="18" s="1"/>
  <c r="Y174" i="17"/>
  <c r="AA174" i="17" s="1"/>
  <c r="AW174" i="17"/>
  <c r="AY174" i="17" s="1"/>
  <c r="X175" i="17"/>
  <c r="AB174" i="17"/>
  <c r="AK174" i="17"/>
  <c r="AM174" i="17" s="1"/>
  <c r="BI174" i="17"/>
  <c r="BK174" i="17" s="1"/>
  <c r="E174" i="17"/>
  <c r="P174" i="17"/>
  <c r="B175" i="17"/>
  <c r="BH178" i="17"/>
  <c r="BL177" i="17"/>
  <c r="AZ175" i="17"/>
  <c r="AV176" i="17"/>
  <c r="AJ177" i="17"/>
  <c r="AN176" i="17"/>
  <c r="AO85" i="17"/>
  <c r="BA88" i="17"/>
  <c r="BM89" i="17"/>
  <c r="AR84" i="17"/>
  <c r="AD86" i="17"/>
  <c r="AE86" i="17" s="1"/>
  <c r="AG86" i="17" s="1"/>
  <c r="BD87" i="17"/>
  <c r="BP88" i="17"/>
  <c r="BM86" i="16"/>
  <c r="BA86" i="16"/>
  <c r="AZ175" i="16"/>
  <c r="AV176" i="16"/>
  <c r="AO86" i="16"/>
  <c r="AN174" i="16"/>
  <c r="AJ175" i="16"/>
  <c r="AC88" i="16"/>
  <c r="BI175" i="16"/>
  <c r="BK175" i="16" s="1"/>
  <c r="AB175" i="16"/>
  <c r="AK175" i="16"/>
  <c r="AM175" i="16" s="1"/>
  <c r="Y175" i="16"/>
  <c r="AA175" i="16" s="1"/>
  <c r="X176" i="16"/>
  <c r="AW175" i="16"/>
  <c r="AY175" i="16" s="1"/>
  <c r="AR85" i="16"/>
  <c r="AF87" i="16"/>
  <c r="P175" i="16"/>
  <c r="E175" i="16"/>
  <c r="B176" i="16"/>
  <c r="BP85" i="16"/>
  <c r="BD85" i="16"/>
  <c r="BL176" i="16"/>
  <c r="BH177" i="16"/>
  <c r="BH175" i="14"/>
  <c r="BL174" i="14"/>
  <c r="BN91" i="14"/>
  <c r="BO91" i="14" s="1"/>
  <c r="BQ91" i="14" s="1"/>
  <c r="P174" i="14"/>
  <c r="E174" i="14"/>
  <c r="AK174" i="14"/>
  <c r="AM174" i="14" s="1"/>
  <c r="AW174" i="14"/>
  <c r="AY174" i="14" s="1"/>
  <c r="BB87" i="14"/>
  <c r="BC87" i="14" s="1"/>
  <c r="BE87" i="14" s="1"/>
  <c r="AJ175" i="14"/>
  <c r="AN174" i="14"/>
  <c r="AO92" i="14"/>
  <c r="AR91" i="14"/>
  <c r="X175" i="14"/>
  <c r="BI175" i="14" s="1"/>
  <c r="BK175" i="14" s="1"/>
  <c r="AB174" i="14"/>
  <c r="Y174" i="14"/>
  <c r="AA174" i="14" s="1"/>
  <c r="AE63" i="14"/>
  <c r="AG63" i="14" s="1"/>
  <c r="B175" i="14"/>
  <c r="AA174" i="19" l="1"/>
  <c r="B176" i="15"/>
  <c r="F175" i="15"/>
  <c r="BM98" i="19"/>
  <c r="BB95" i="19"/>
  <c r="BC95" i="19" s="1"/>
  <c r="BE95" i="19" s="1"/>
  <c r="BH177" i="19"/>
  <c r="BL176" i="19"/>
  <c r="BP97" i="19"/>
  <c r="Y175" i="19"/>
  <c r="BI175" i="19"/>
  <c r="BK175" i="19" s="1"/>
  <c r="AW175" i="19"/>
  <c r="AY175" i="19" s="1"/>
  <c r="AB175" i="19"/>
  <c r="X176" i="19"/>
  <c r="AK175" i="19"/>
  <c r="AM175" i="19" s="1"/>
  <c r="AN175" i="19"/>
  <c r="AJ176" i="19"/>
  <c r="AC85" i="19"/>
  <c r="AO86" i="19"/>
  <c r="AF84" i="19"/>
  <c r="AR85" i="19"/>
  <c r="AV177" i="19"/>
  <c r="AZ176" i="19"/>
  <c r="E175" i="19"/>
  <c r="P175" i="19"/>
  <c r="B176" i="19"/>
  <c r="AV177" i="18"/>
  <c r="AZ176" i="18"/>
  <c r="Y175" i="18"/>
  <c r="AA175" i="18" s="1"/>
  <c r="BI175" i="18"/>
  <c r="BK175" i="18" s="1"/>
  <c r="X176" i="18"/>
  <c r="AK175" i="18"/>
  <c r="AM175" i="18" s="1"/>
  <c r="AW175" i="18"/>
  <c r="AY175" i="18" s="1"/>
  <c r="AB175" i="18"/>
  <c r="BN86" i="18"/>
  <c r="BO86" i="18" s="1"/>
  <c r="BQ86" i="18" s="1"/>
  <c r="E175" i="18"/>
  <c r="B176" i="18"/>
  <c r="P175" i="18"/>
  <c r="AD84" i="18"/>
  <c r="AE84" i="18" s="1"/>
  <c r="AG84" i="18" s="1"/>
  <c r="BH176" i="18"/>
  <c r="BL175" i="18"/>
  <c r="AN176" i="18"/>
  <c r="AJ177" i="18"/>
  <c r="AO97" i="18"/>
  <c r="AR96" i="18"/>
  <c r="BB86" i="18"/>
  <c r="BC86" i="18" s="1"/>
  <c r="BE86" i="18" s="1"/>
  <c r="AC87" i="17"/>
  <c r="BB88" i="17"/>
  <c r="BC88" i="17" s="1"/>
  <c r="BE88" i="17" s="1"/>
  <c r="BH179" i="17"/>
  <c r="BL178" i="17"/>
  <c r="AF86" i="17"/>
  <c r="E175" i="17"/>
  <c r="B176" i="17"/>
  <c r="P175" i="17"/>
  <c r="BI175" i="17"/>
  <c r="BK175" i="17" s="1"/>
  <c r="AK175" i="17"/>
  <c r="AM175" i="17" s="1"/>
  <c r="Y175" i="17"/>
  <c r="AA175" i="17" s="1"/>
  <c r="AW175" i="17"/>
  <c r="AY175" i="17" s="1"/>
  <c r="AB175" i="17"/>
  <c r="X176" i="17"/>
  <c r="AP85" i="17"/>
  <c r="AQ85" i="17" s="1"/>
  <c r="AS85" i="17" s="1"/>
  <c r="BN89" i="17"/>
  <c r="BO89" i="17" s="1"/>
  <c r="BQ89" i="17" s="1"/>
  <c r="AN177" i="17"/>
  <c r="AJ178" i="17"/>
  <c r="AV177" i="17"/>
  <c r="AZ176" i="17"/>
  <c r="P176" i="16"/>
  <c r="E176" i="16"/>
  <c r="B177" i="16"/>
  <c r="AW176" i="16"/>
  <c r="AY176" i="16" s="1"/>
  <c r="X177" i="16"/>
  <c r="Y176" i="16"/>
  <c r="AA176" i="16" s="1"/>
  <c r="AB176" i="16"/>
  <c r="AK176" i="16"/>
  <c r="AM176" i="16" s="1"/>
  <c r="BI176" i="16"/>
  <c r="BK176" i="16" s="1"/>
  <c r="BB86" i="16"/>
  <c r="BC86" i="16" s="1"/>
  <c r="BE86" i="16" s="1"/>
  <c r="AJ176" i="16"/>
  <c r="AN175" i="16"/>
  <c r="AP86" i="16"/>
  <c r="AQ86" i="16" s="1"/>
  <c r="AS86" i="16" s="1"/>
  <c r="AD88" i="16"/>
  <c r="AE88" i="16" s="1"/>
  <c r="AG88" i="16" s="1"/>
  <c r="BN86" i="16"/>
  <c r="BO86" i="16" s="1"/>
  <c r="BQ86" i="16" s="1"/>
  <c r="AV177" i="16"/>
  <c r="AZ176" i="16"/>
  <c r="BH178" i="16"/>
  <c r="BL177" i="16"/>
  <c r="BH176" i="14"/>
  <c r="BL175" i="14"/>
  <c r="BM92" i="14"/>
  <c r="BP91" i="14"/>
  <c r="P175" i="14"/>
  <c r="E175" i="14"/>
  <c r="AK175" i="14"/>
  <c r="AM175" i="14" s="1"/>
  <c r="AW175" i="14"/>
  <c r="AY175" i="14" s="1"/>
  <c r="BA88" i="14"/>
  <c r="BD87" i="14"/>
  <c r="AJ176" i="14"/>
  <c r="AN175" i="14"/>
  <c r="AP92" i="14"/>
  <c r="AQ92" i="14" s="1"/>
  <c r="AS92" i="14" s="1"/>
  <c r="X176" i="14"/>
  <c r="BI176" i="14" s="1"/>
  <c r="BK176" i="14" s="1"/>
  <c r="Y175" i="14"/>
  <c r="AA175" i="14" s="1"/>
  <c r="AB175" i="14"/>
  <c r="AC64" i="14"/>
  <c r="AF63" i="14"/>
  <c r="B176" i="14"/>
  <c r="AA175" i="19" l="1"/>
  <c r="B177" i="15"/>
  <c r="F176" i="15"/>
  <c r="B177" i="19"/>
  <c r="E176" i="19"/>
  <c r="P176" i="19"/>
  <c r="AP86" i="19"/>
  <c r="AQ86" i="19" s="1"/>
  <c r="AS86" i="19" s="1"/>
  <c r="AJ177" i="19"/>
  <c r="AN176" i="19"/>
  <c r="AV178" i="19"/>
  <c r="AZ177" i="19"/>
  <c r="BL177" i="19"/>
  <c r="BH178" i="19"/>
  <c r="AD85" i="19"/>
  <c r="AE85" i="19" s="1"/>
  <c r="AG85" i="19" s="1"/>
  <c r="BI176" i="19"/>
  <c r="BK176" i="19" s="1"/>
  <c r="AW176" i="19"/>
  <c r="AY176" i="19" s="1"/>
  <c r="AB176" i="19"/>
  <c r="AK176" i="19"/>
  <c r="AM176" i="19" s="1"/>
  <c r="X177" i="19"/>
  <c r="Y176" i="19"/>
  <c r="BA96" i="19"/>
  <c r="BD95" i="19"/>
  <c r="BN98" i="19"/>
  <c r="BO98" i="19" s="1"/>
  <c r="BQ98" i="19" s="1"/>
  <c r="BM87" i="18"/>
  <c r="AJ178" i="18"/>
  <c r="AN177" i="18"/>
  <c r="E176" i="18"/>
  <c r="B177" i="18"/>
  <c r="P176" i="18"/>
  <c r="BI176" i="18"/>
  <c r="BK176" i="18" s="1"/>
  <c r="AW176" i="18"/>
  <c r="AY176" i="18" s="1"/>
  <c r="AB176" i="18"/>
  <c r="Y176" i="18"/>
  <c r="AA176" i="18" s="1"/>
  <c r="X177" i="18"/>
  <c r="AK176" i="18"/>
  <c r="AM176" i="18" s="1"/>
  <c r="BA87" i="18"/>
  <c r="AF84" i="18"/>
  <c r="BD86" i="18"/>
  <c r="BH177" i="18"/>
  <c r="BL176" i="18"/>
  <c r="BP86" i="18"/>
  <c r="AV178" i="18"/>
  <c r="AZ177" i="18"/>
  <c r="AC85" i="18"/>
  <c r="AP97" i="18"/>
  <c r="AQ97" i="18" s="1"/>
  <c r="AS97" i="18" s="1"/>
  <c r="AZ177" i="17"/>
  <c r="AV178" i="17"/>
  <c r="AJ179" i="17"/>
  <c r="AN178" i="17"/>
  <c r="BL179" i="17"/>
  <c r="BH180" i="17"/>
  <c r="BA89" i="17"/>
  <c r="AO86" i="17"/>
  <c r="BD88" i="17"/>
  <c r="BM90" i="17"/>
  <c r="AR85" i="17"/>
  <c r="E176" i="17"/>
  <c r="P176" i="17"/>
  <c r="B177" i="17"/>
  <c r="AD87" i="17"/>
  <c r="AE87" i="17" s="1"/>
  <c r="AG87" i="17" s="1"/>
  <c r="BP89" i="17"/>
  <c r="AW176" i="17"/>
  <c r="AY176" i="17" s="1"/>
  <c r="Y176" i="17"/>
  <c r="AA176" i="17" s="1"/>
  <c r="X177" i="17"/>
  <c r="AK176" i="17"/>
  <c r="AM176" i="17" s="1"/>
  <c r="AB176" i="17"/>
  <c r="BI176" i="17"/>
  <c r="BK176" i="17" s="1"/>
  <c r="BM87" i="16"/>
  <c r="BA87" i="16"/>
  <c r="AF88" i="16"/>
  <c r="BH179" i="16"/>
  <c r="BL178" i="16"/>
  <c r="AK177" i="16"/>
  <c r="AM177" i="16" s="1"/>
  <c r="BI177" i="16"/>
  <c r="BK177" i="16" s="1"/>
  <c r="X178" i="16"/>
  <c r="AW177" i="16"/>
  <c r="AY177" i="16" s="1"/>
  <c r="AB177" i="16"/>
  <c r="Y177" i="16"/>
  <c r="AA177" i="16" s="1"/>
  <c r="AO87" i="16"/>
  <c r="AJ177" i="16"/>
  <c r="AN176" i="16"/>
  <c r="AZ177" i="16"/>
  <c r="AV178" i="16"/>
  <c r="AR86" i="16"/>
  <c r="BD86" i="16"/>
  <c r="B178" i="16"/>
  <c r="E177" i="16"/>
  <c r="P177" i="16"/>
  <c r="AC89" i="16"/>
  <c r="BP86" i="16"/>
  <c r="BH177" i="14"/>
  <c r="BL176" i="14"/>
  <c r="BN92" i="14"/>
  <c r="BO92" i="14" s="1"/>
  <c r="BQ92" i="14" s="1"/>
  <c r="P176" i="14"/>
  <c r="E176" i="14"/>
  <c r="AK176" i="14"/>
  <c r="AM176" i="14" s="1"/>
  <c r="AW176" i="14"/>
  <c r="AY176" i="14" s="1"/>
  <c r="BB88" i="14"/>
  <c r="BC88" i="14" s="1"/>
  <c r="BE88" i="14" s="1"/>
  <c r="AJ177" i="14"/>
  <c r="AN176" i="14"/>
  <c r="AO93" i="14"/>
  <c r="AR92" i="14"/>
  <c r="X177" i="14"/>
  <c r="BI177" i="14" s="1"/>
  <c r="BK177" i="14" s="1"/>
  <c r="Y176" i="14"/>
  <c r="AA176" i="14" s="1"/>
  <c r="AB176" i="14"/>
  <c r="AD64" i="14"/>
  <c r="B177" i="14"/>
  <c r="AA176" i="19" l="1"/>
  <c r="B178" i="15"/>
  <c r="F177" i="15"/>
  <c r="AC86" i="19"/>
  <c r="AO87" i="19"/>
  <c r="BL178" i="19"/>
  <c r="BH179" i="19"/>
  <c r="AJ178" i="19"/>
  <c r="AN177" i="19"/>
  <c r="BM99" i="19"/>
  <c r="AR86" i="19"/>
  <c r="BP98" i="19"/>
  <c r="BB96" i="19"/>
  <c r="BC96" i="19" s="1"/>
  <c r="BE96" i="19" s="1"/>
  <c r="AF85" i="19"/>
  <c r="AZ178" i="19"/>
  <c r="AV179" i="19"/>
  <c r="P177" i="19"/>
  <c r="E177" i="19"/>
  <c r="B178" i="19"/>
  <c r="AW177" i="19"/>
  <c r="AY177" i="19" s="1"/>
  <c r="AB177" i="19"/>
  <c r="AK177" i="19"/>
  <c r="AM177" i="19" s="1"/>
  <c r="X178" i="19"/>
  <c r="Y177" i="19"/>
  <c r="BI177" i="19"/>
  <c r="BK177" i="19" s="1"/>
  <c r="AD85" i="18"/>
  <c r="AE85" i="18" s="1"/>
  <c r="AG85" i="18" s="1"/>
  <c r="P177" i="18"/>
  <c r="B178" i="18"/>
  <c r="E177" i="18"/>
  <c r="BB87" i="18"/>
  <c r="AZ178" i="18"/>
  <c r="AV179" i="18"/>
  <c r="AW177" i="18"/>
  <c r="AY177" i="18" s="1"/>
  <c r="AB177" i="18"/>
  <c r="AK177" i="18"/>
  <c r="AM177" i="18" s="1"/>
  <c r="X178" i="18"/>
  <c r="Y177" i="18"/>
  <c r="AA177" i="18" s="1"/>
  <c r="BI177" i="18"/>
  <c r="BK177" i="18" s="1"/>
  <c r="AO98" i="18"/>
  <c r="AN178" i="18"/>
  <c r="AJ179" i="18"/>
  <c r="AR97" i="18"/>
  <c r="BN87" i="18"/>
  <c r="BO87" i="18" s="1"/>
  <c r="BQ87" i="18" s="1"/>
  <c r="BL177" i="18"/>
  <c r="BH178" i="18"/>
  <c r="B178" i="17"/>
  <c r="E177" i="17"/>
  <c r="P177" i="17"/>
  <c r="AK177" i="17"/>
  <c r="AM177" i="17" s="1"/>
  <c r="BI177" i="17"/>
  <c r="BK177" i="17" s="1"/>
  <c r="Y177" i="17"/>
  <c r="AA177" i="17" s="1"/>
  <c r="X178" i="17"/>
  <c r="AW177" i="17"/>
  <c r="AY177" i="17" s="1"/>
  <c r="AB177" i="17"/>
  <c r="BH181" i="17"/>
  <c r="BL180" i="17"/>
  <c r="AP86" i="17"/>
  <c r="AQ86" i="17" s="1"/>
  <c r="AS86" i="17" s="1"/>
  <c r="AZ178" i="17"/>
  <c r="AV179" i="17"/>
  <c r="BN90" i="17"/>
  <c r="BO90" i="17" s="1"/>
  <c r="BQ90" i="17" s="1"/>
  <c r="BB89" i="17"/>
  <c r="BC89" i="17" s="1"/>
  <c r="BE89" i="17" s="1"/>
  <c r="AN179" i="17"/>
  <c r="AJ180" i="17"/>
  <c r="AC88" i="17"/>
  <c r="AF87" i="17"/>
  <c r="AD89" i="16"/>
  <c r="AE89" i="16" s="1"/>
  <c r="AG89" i="16" s="1"/>
  <c r="AN177" i="16"/>
  <c r="AJ178" i="16"/>
  <c r="Y178" i="16"/>
  <c r="AA178" i="16" s="1"/>
  <c r="AW178" i="16"/>
  <c r="AY178" i="16" s="1"/>
  <c r="AK178" i="16"/>
  <c r="AM178" i="16" s="1"/>
  <c r="BI178" i="16"/>
  <c r="BK178" i="16" s="1"/>
  <c r="X179" i="16"/>
  <c r="AB178" i="16"/>
  <c r="BB87" i="16"/>
  <c r="BC87" i="16" s="1"/>
  <c r="BE87" i="16" s="1"/>
  <c r="AP87" i="16"/>
  <c r="AQ87" i="16" s="1"/>
  <c r="AS87" i="16" s="1"/>
  <c r="AV179" i="16"/>
  <c r="AZ178" i="16"/>
  <c r="E178" i="16"/>
  <c r="P178" i="16"/>
  <c r="B179" i="16"/>
  <c r="BL179" i="16"/>
  <c r="BH180" i="16"/>
  <c r="BN87" i="16"/>
  <c r="BO87" i="16" s="1"/>
  <c r="BQ87" i="16" s="1"/>
  <c r="BH178" i="14"/>
  <c r="BL177" i="14"/>
  <c r="BM93" i="14"/>
  <c r="BP92" i="14"/>
  <c r="P177" i="14"/>
  <c r="E177" i="14"/>
  <c r="AK177" i="14"/>
  <c r="AM177" i="14" s="1"/>
  <c r="AW177" i="14"/>
  <c r="AY177" i="14" s="1"/>
  <c r="BA89" i="14"/>
  <c r="BD88" i="14"/>
  <c r="AJ178" i="14"/>
  <c r="AN177" i="14"/>
  <c r="AP93" i="14"/>
  <c r="X178" i="14"/>
  <c r="BI178" i="14" s="1"/>
  <c r="BK178" i="14" s="1"/>
  <c r="AB177" i="14"/>
  <c r="Y177" i="14"/>
  <c r="AA177" i="14" s="1"/>
  <c r="AE64" i="14"/>
  <c r="AG64" i="14" s="1"/>
  <c r="B178" i="14"/>
  <c r="AA177" i="19" l="1"/>
  <c r="B179" i="15"/>
  <c r="F178" i="15"/>
  <c r="BH180" i="19"/>
  <c r="BL179" i="19"/>
  <c r="AZ179" i="19"/>
  <c r="AV180" i="19"/>
  <c r="BN99" i="19"/>
  <c r="BO99" i="19" s="1"/>
  <c r="BQ99" i="19" s="1"/>
  <c r="AP87" i="19"/>
  <c r="AQ87" i="19" s="1"/>
  <c r="AS87" i="19" s="1"/>
  <c r="P178" i="19"/>
  <c r="E178" i="19"/>
  <c r="B179" i="19"/>
  <c r="AD86" i="19"/>
  <c r="AE86" i="19" s="1"/>
  <c r="AG86" i="19" s="1"/>
  <c r="BA97" i="19"/>
  <c r="AK178" i="19"/>
  <c r="AM178" i="19" s="1"/>
  <c r="X179" i="19"/>
  <c r="Y178" i="19"/>
  <c r="BI178" i="19"/>
  <c r="BK178" i="19" s="1"/>
  <c r="AW178" i="19"/>
  <c r="AY178" i="19" s="1"/>
  <c r="AB178" i="19"/>
  <c r="BD96" i="19"/>
  <c r="AJ179" i="19"/>
  <c r="AN178" i="19"/>
  <c r="BL178" i="18"/>
  <c r="BH179" i="18"/>
  <c r="AN179" i="18"/>
  <c r="AJ180" i="18"/>
  <c r="AZ179" i="18"/>
  <c r="AV180" i="18"/>
  <c r="P178" i="18"/>
  <c r="E178" i="18"/>
  <c r="B179" i="18"/>
  <c r="BM88" i="18"/>
  <c r="AC86" i="18"/>
  <c r="BP87" i="18"/>
  <c r="AP98" i="18"/>
  <c r="AK178" i="18"/>
  <c r="AM178" i="18" s="1"/>
  <c r="X179" i="18"/>
  <c r="Y178" i="18"/>
  <c r="AA178" i="18" s="1"/>
  <c r="BI178" i="18"/>
  <c r="BK178" i="18" s="1"/>
  <c r="AW178" i="18"/>
  <c r="AY178" i="18" s="1"/>
  <c r="AB178" i="18"/>
  <c r="BC87" i="18"/>
  <c r="BE87" i="18" s="1"/>
  <c r="AF85" i="18"/>
  <c r="AV180" i="17"/>
  <c r="AZ179" i="17"/>
  <c r="AJ181" i="17"/>
  <c r="AN180" i="17"/>
  <c r="BL181" i="17"/>
  <c r="BH182" i="17"/>
  <c r="AO87" i="17"/>
  <c r="BA90" i="17"/>
  <c r="AR86" i="17"/>
  <c r="BD89" i="17"/>
  <c r="Y178" i="17"/>
  <c r="AA178" i="17" s="1"/>
  <c r="AW178" i="17"/>
  <c r="AY178" i="17" s="1"/>
  <c r="AB178" i="17"/>
  <c r="BI178" i="17"/>
  <c r="BK178" i="17" s="1"/>
  <c r="AK178" i="17"/>
  <c r="AM178" i="17" s="1"/>
  <c r="X179" i="17"/>
  <c r="E178" i="17"/>
  <c r="B179" i="17"/>
  <c r="P178" i="17"/>
  <c r="BM91" i="17"/>
  <c r="AD88" i="17"/>
  <c r="AE88" i="17" s="1"/>
  <c r="AG88" i="17" s="1"/>
  <c r="BP90" i="17"/>
  <c r="AC90" i="16"/>
  <c r="BA88" i="16"/>
  <c r="AN178" i="16"/>
  <c r="AJ179" i="16"/>
  <c r="BD87" i="16"/>
  <c r="BM88" i="16"/>
  <c r="BP87" i="16"/>
  <c r="BI179" i="16"/>
  <c r="BK179" i="16" s="1"/>
  <c r="AB179" i="16"/>
  <c r="AK179" i="16"/>
  <c r="AM179" i="16" s="1"/>
  <c r="AW179" i="16"/>
  <c r="AY179" i="16" s="1"/>
  <c r="X180" i="16"/>
  <c r="Y179" i="16"/>
  <c r="AA179" i="16" s="1"/>
  <c r="BL180" i="16"/>
  <c r="BH181" i="16"/>
  <c r="AO88" i="16"/>
  <c r="AV180" i="16"/>
  <c r="AZ179" i="16"/>
  <c r="AR87" i="16"/>
  <c r="B180" i="16"/>
  <c r="E179" i="16"/>
  <c r="P179" i="16"/>
  <c r="AF89" i="16"/>
  <c r="BH179" i="14"/>
  <c r="BL178" i="14"/>
  <c r="BN93" i="14"/>
  <c r="BO93" i="14" s="1"/>
  <c r="BQ93" i="14" s="1"/>
  <c r="P178" i="14"/>
  <c r="E178" i="14"/>
  <c r="AK178" i="14"/>
  <c r="AM178" i="14" s="1"/>
  <c r="AW178" i="14"/>
  <c r="AY178" i="14" s="1"/>
  <c r="BB89" i="14"/>
  <c r="BC89" i="14" s="1"/>
  <c r="BE89" i="14" s="1"/>
  <c r="AJ179" i="14"/>
  <c r="AN178" i="14"/>
  <c r="AQ93" i="14"/>
  <c r="AS93" i="14" s="1"/>
  <c r="AO94" i="14" s="1"/>
  <c r="X179" i="14"/>
  <c r="BI179" i="14" s="1"/>
  <c r="BK179" i="14" s="1"/>
  <c r="AB178" i="14"/>
  <c r="Y178" i="14"/>
  <c r="AA178" i="14" s="1"/>
  <c r="AC65" i="14"/>
  <c r="AF64" i="14"/>
  <c r="B179" i="14"/>
  <c r="AA178" i="19" l="1"/>
  <c r="B180" i="15"/>
  <c r="F179" i="15"/>
  <c r="BB97" i="19"/>
  <c r="BC97" i="19" s="1"/>
  <c r="BE97" i="19" s="1"/>
  <c r="AV181" i="19"/>
  <c r="AZ180" i="19"/>
  <c r="AN179" i="19"/>
  <c r="AJ180" i="19"/>
  <c r="AC87" i="19"/>
  <c r="AF86" i="19"/>
  <c r="AO88" i="19"/>
  <c r="AR87" i="19"/>
  <c r="Y179" i="19"/>
  <c r="BI179" i="19"/>
  <c r="BK179" i="19" s="1"/>
  <c r="AW179" i="19"/>
  <c r="AY179" i="19" s="1"/>
  <c r="X180" i="19"/>
  <c r="AK179" i="19"/>
  <c r="AM179" i="19" s="1"/>
  <c r="AB179" i="19"/>
  <c r="E179" i="19"/>
  <c r="B180" i="19"/>
  <c r="P179" i="19"/>
  <c r="BM100" i="19"/>
  <c r="BP99" i="19"/>
  <c r="BL180" i="19"/>
  <c r="BH181" i="19"/>
  <c r="AN180" i="18"/>
  <c r="AJ181" i="18"/>
  <c r="BD87" i="18"/>
  <c r="BH180" i="18"/>
  <c r="BL179" i="18"/>
  <c r="AV181" i="18"/>
  <c r="AZ180" i="18"/>
  <c r="AD86" i="18"/>
  <c r="AE86" i="18" s="1"/>
  <c r="AG86" i="18" s="1"/>
  <c r="BN88" i="18"/>
  <c r="BO88" i="18" s="1"/>
  <c r="BQ88" i="18" s="1"/>
  <c r="Y179" i="18"/>
  <c r="AA179" i="18" s="1"/>
  <c r="BI179" i="18"/>
  <c r="BK179" i="18" s="1"/>
  <c r="AW179" i="18"/>
  <c r="AY179" i="18" s="1"/>
  <c r="X180" i="18"/>
  <c r="AK179" i="18"/>
  <c r="AM179" i="18" s="1"/>
  <c r="AB179" i="18"/>
  <c r="E179" i="18"/>
  <c r="B180" i="18"/>
  <c r="P179" i="18"/>
  <c r="BA88" i="18"/>
  <c r="AQ98" i="18"/>
  <c r="AS98" i="18" s="1"/>
  <c r="AC89" i="17"/>
  <c r="BN91" i="17"/>
  <c r="BO91" i="17" s="1"/>
  <c r="BQ91" i="17" s="1"/>
  <c r="AF88" i="17"/>
  <c r="BB90" i="17"/>
  <c r="BC90" i="17" s="1"/>
  <c r="BE90" i="17" s="1"/>
  <c r="AJ182" i="17"/>
  <c r="AN181" i="17"/>
  <c r="AP87" i="17"/>
  <c r="AQ87" i="17" s="1"/>
  <c r="AS87" i="17" s="1"/>
  <c r="B180" i="17"/>
  <c r="P179" i="17"/>
  <c r="E179" i="17"/>
  <c r="BI179" i="17"/>
  <c r="BK179" i="17" s="1"/>
  <c r="AK179" i="17"/>
  <c r="AM179" i="17" s="1"/>
  <c r="AB179" i="17"/>
  <c r="X180" i="17"/>
  <c r="AW179" i="17"/>
  <c r="AY179" i="17" s="1"/>
  <c r="Y179" i="17"/>
  <c r="AA179" i="17" s="1"/>
  <c r="BH183" i="17"/>
  <c r="BL182" i="17"/>
  <c r="AZ180" i="17"/>
  <c r="AV181" i="17"/>
  <c r="AJ180" i="16"/>
  <c r="AN179" i="16"/>
  <c r="AZ180" i="16"/>
  <c r="AV181" i="16"/>
  <c r="BB88" i="16"/>
  <c r="BC88" i="16" s="1"/>
  <c r="BE88" i="16" s="1"/>
  <c r="BH182" i="16"/>
  <c r="BL181" i="16"/>
  <c r="AD90" i="16"/>
  <c r="P180" i="16"/>
  <c r="E180" i="16"/>
  <c r="B181" i="16"/>
  <c r="AP88" i="16"/>
  <c r="AQ88" i="16" s="1"/>
  <c r="AS88" i="16" s="1"/>
  <c r="AW180" i="16"/>
  <c r="AY180" i="16" s="1"/>
  <c r="X181" i="16"/>
  <c r="Y180" i="16"/>
  <c r="AA180" i="16" s="1"/>
  <c r="BI180" i="16"/>
  <c r="BK180" i="16" s="1"/>
  <c r="AK180" i="16"/>
  <c r="AM180" i="16" s="1"/>
  <c r="AB180" i="16"/>
  <c r="BN88" i="16"/>
  <c r="BO88" i="16" s="1"/>
  <c r="BQ88" i="16" s="1"/>
  <c r="BH180" i="14"/>
  <c r="BL179" i="14"/>
  <c r="BM94" i="14"/>
  <c r="BP93" i="14"/>
  <c r="P179" i="14"/>
  <c r="E179" i="14"/>
  <c r="AK179" i="14"/>
  <c r="AM179" i="14" s="1"/>
  <c r="AW179" i="14"/>
  <c r="AY179" i="14" s="1"/>
  <c r="BA90" i="14"/>
  <c r="BD89" i="14"/>
  <c r="AJ180" i="14"/>
  <c r="AN179" i="14"/>
  <c r="AR93" i="14"/>
  <c r="AP94" i="14"/>
  <c r="AQ94" i="14" s="1"/>
  <c r="AS94" i="14" s="1"/>
  <c r="X180" i="14"/>
  <c r="BI180" i="14" s="1"/>
  <c r="BK180" i="14" s="1"/>
  <c r="AB179" i="14"/>
  <c r="Y179" i="14"/>
  <c r="AA179" i="14" s="1"/>
  <c r="AD65" i="14"/>
  <c r="B180" i="14"/>
  <c r="AA179" i="19" l="1"/>
  <c r="B181" i="15"/>
  <c r="F180" i="15"/>
  <c r="B181" i="19"/>
  <c r="P180" i="19"/>
  <c r="E180" i="19"/>
  <c r="AV182" i="19"/>
  <c r="AZ181" i="19"/>
  <c r="BA98" i="19"/>
  <c r="BN100" i="19"/>
  <c r="BO100" i="19" s="1"/>
  <c r="BQ100" i="19" s="1"/>
  <c r="BI180" i="19"/>
  <c r="BK180" i="19" s="1"/>
  <c r="AW180" i="19"/>
  <c r="AY180" i="19" s="1"/>
  <c r="AB180" i="19"/>
  <c r="AK180" i="19"/>
  <c r="AM180" i="19" s="1"/>
  <c r="X181" i="19"/>
  <c r="Y180" i="19"/>
  <c r="AD87" i="19"/>
  <c r="AE87" i="19" s="1"/>
  <c r="AG87" i="19" s="1"/>
  <c r="BD97" i="19"/>
  <c r="AP88" i="19"/>
  <c r="AQ88" i="19" s="1"/>
  <c r="AS88" i="19" s="1"/>
  <c r="BL181" i="19"/>
  <c r="BH182" i="19"/>
  <c r="AN180" i="19"/>
  <c r="AJ181" i="19"/>
  <c r="AV182" i="18"/>
  <c r="AZ181" i="18"/>
  <c r="B181" i="18"/>
  <c r="P180" i="18"/>
  <c r="E180" i="18"/>
  <c r="BM89" i="18"/>
  <c r="BL180" i="18"/>
  <c r="BH181" i="18"/>
  <c r="BP88" i="18"/>
  <c r="AR98" i="18"/>
  <c r="AO99" i="18"/>
  <c r="AC87" i="18"/>
  <c r="BB88" i="18"/>
  <c r="BC88" i="18" s="1"/>
  <c r="BE88" i="18" s="1"/>
  <c r="AF86" i="18"/>
  <c r="BI180" i="18"/>
  <c r="BK180" i="18" s="1"/>
  <c r="AW180" i="18"/>
  <c r="AY180" i="18" s="1"/>
  <c r="AB180" i="18"/>
  <c r="AK180" i="18"/>
  <c r="AM180" i="18" s="1"/>
  <c r="X181" i="18"/>
  <c r="Y180" i="18"/>
  <c r="AA180" i="18" s="1"/>
  <c r="AJ182" i="18"/>
  <c r="AN181" i="18"/>
  <c r="BA91" i="17"/>
  <c r="BD90" i="17"/>
  <c r="AZ181" i="17"/>
  <c r="AV182" i="17"/>
  <c r="E180" i="17"/>
  <c r="P180" i="17"/>
  <c r="B181" i="17"/>
  <c r="AN182" i="17"/>
  <c r="AJ183" i="17"/>
  <c r="AW180" i="17"/>
  <c r="AY180" i="17" s="1"/>
  <c r="AB180" i="17"/>
  <c r="Y180" i="17"/>
  <c r="AA180" i="17" s="1"/>
  <c r="X181" i="17"/>
  <c r="BI180" i="17"/>
  <c r="BK180" i="17" s="1"/>
  <c r="AK180" i="17"/>
  <c r="AM180" i="17" s="1"/>
  <c r="BM92" i="17"/>
  <c r="BH184" i="17"/>
  <c r="BL184" i="17" s="1"/>
  <c r="BL183" i="17"/>
  <c r="BP91" i="17"/>
  <c r="AO88" i="17"/>
  <c r="AD89" i="17"/>
  <c r="AE89" i="17" s="1"/>
  <c r="AG89" i="17" s="1"/>
  <c r="AR87" i="17"/>
  <c r="BA89" i="16"/>
  <c r="BM89" i="16"/>
  <c r="AO89" i="16"/>
  <c r="AR88" i="16"/>
  <c r="AZ181" i="16"/>
  <c r="AV182" i="16"/>
  <c r="B182" i="16"/>
  <c r="E181" i="16"/>
  <c r="P181" i="16"/>
  <c r="BH183" i="16"/>
  <c r="BL182" i="16"/>
  <c r="BP88" i="16"/>
  <c r="AK181" i="16"/>
  <c r="AM181" i="16" s="1"/>
  <c r="BI181" i="16"/>
  <c r="BK181" i="16" s="1"/>
  <c r="X182" i="16"/>
  <c r="AW181" i="16"/>
  <c r="AY181" i="16" s="1"/>
  <c r="AB181" i="16"/>
  <c r="Y181" i="16"/>
  <c r="AA181" i="16" s="1"/>
  <c r="AE90" i="16"/>
  <c r="AG90" i="16" s="1"/>
  <c r="BD88" i="16"/>
  <c r="AJ181" i="16"/>
  <c r="AN180" i="16"/>
  <c r="BH181" i="14"/>
  <c r="BL180" i="14"/>
  <c r="BN94" i="14"/>
  <c r="BO94" i="14" s="1"/>
  <c r="BQ94" i="14" s="1"/>
  <c r="P180" i="14"/>
  <c r="E180" i="14"/>
  <c r="AK180" i="14"/>
  <c r="AM180" i="14" s="1"/>
  <c r="AW180" i="14"/>
  <c r="AY180" i="14" s="1"/>
  <c r="BB90" i="14"/>
  <c r="BC90" i="14" s="1"/>
  <c r="BE90" i="14" s="1"/>
  <c r="AJ181" i="14"/>
  <c r="AN180" i="14"/>
  <c r="AO95" i="14"/>
  <c r="AR94" i="14"/>
  <c r="X181" i="14"/>
  <c r="BI181" i="14" s="1"/>
  <c r="BK181" i="14" s="1"/>
  <c r="AB180" i="14"/>
  <c r="Y180" i="14"/>
  <c r="AA180" i="14" s="1"/>
  <c r="AE65" i="14"/>
  <c r="AG65" i="14" s="1"/>
  <c r="B181" i="14"/>
  <c r="AA180" i="19" l="1"/>
  <c r="B182" i="15"/>
  <c r="F181" i="15"/>
  <c r="AZ182" i="19"/>
  <c r="AV183" i="19"/>
  <c r="AJ182" i="19"/>
  <c r="AN181" i="19"/>
  <c r="AF87" i="19"/>
  <c r="BP100" i="19"/>
  <c r="AC88" i="19"/>
  <c r="AO89" i="19"/>
  <c r="BM101" i="19"/>
  <c r="AR88" i="19"/>
  <c r="AW181" i="19"/>
  <c r="AY181" i="19" s="1"/>
  <c r="AB181" i="19"/>
  <c r="AK181" i="19"/>
  <c r="AM181" i="19" s="1"/>
  <c r="X182" i="19"/>
  <c r="Y181" i="19"/>
  <c r="BI181" i="19"/>
  <c r="BK181" i="19" s="1"/>
  <c r="BB98" i="19"/>
  <c r="BC98" i="19" s="1"/>
  <c r="BE98" i="19" s="1"/>
  <c r="BL182" i="19"/>
  <c r="BH183" i="19"/>
  <c r="P181" i="19"/>
  <c r="E181" i="19"/>
  <c r="B182" i="19"/>
  <c r="BA89" i="18"/>
  <c r="AN182" i="18"/>
  <c r="AJ183" i="18"/>
  <c r="AP99" i="18"/>
  <c r="AQ99" i="18" s="1"/>
  <c r="AS99" i="18" s="1"/>
  <c r="BN89" i="18"/>
  <c r="BO89" i="18" s="1"/>
  <c r="BQ89" i="18" s="1"/>
  <c r="AW181" i="18"/>
  <c r="AY181" i="18" s="1"/>
  <c r="AB181" i="18"/>
  <c r="AK181" i="18"/>
  <c r="AM181" i="18" s="1"/>
  <c r="X182" i="18"/>
  <c r="Y181" i="18"/>
  <c r="AA181" i="18" s="1"/>
  <c r="BI181" i="18"/>
  <c r="BK181" i="18" s="1"/>
  <c r="BD88" i="18"/>
  <c r="P181" i="18"/>
  <c r="E181" i="18"/>
  <c r="B182" i="18"/>
  <c r="AD87" i="18"/>
  <c r="AE87" i="18" s="1"/>
  <c r="AG87" i="18" s="1"/>
  <c r="BL181" i="18"/>
  <c r="BH182" i="18"/>
  <c r="AZ182" i="18"/>
  <c r="AV183" i="18"/>
  <c r="AC90" i="17"/>
  <c r="AZ182" i="17"/>
  <c r="AV183" i="17"/>
  <c r="AF89" i="17"/>
  <c r="AN183" i="17"/>
  <c r="AJ184" i="17"/>
  <c r="AN184" i="17" s="1"/>
  <c r="AP88" i="17"/>
  <c r="P181" i="17"/>
  <c r="E181" i="17"/>
  <c r="B182" i="17"/>
  <c r="BN92" i="17"/>
  <c r="BO92" i="17" s="1"/>
  <c r="BQ92" i="17" s="1"/>
  <c r="AK181" i="17"/>
  <c r="AM181" i="17" s="1"/>
  <c r="X182" i="17"/>
  <c r="BI181" i="17"/>
  <c r="BK181" i="17" s="1"/>
  <c r="AW181" i="17"/>
  <c r="AY181" i="17" s="1"/>
  <c r="AB181" i="17"/>
  <c r="Y181" i="17"/>
  <c r="AA181" i="17" s="1"/>
  <c r="BB91" i="17"/>
  <c r="BC91" i="17" s="1"/>
  <c r="BE91" i="17" s="1"/>
  <c r="AP89" i="16"/>
  <c r="AQ89" i="16" s="1"/>
  <c r="AS89" i="16" s="1"/>
  <c r="BN89" i="16"/>
  <c r="BO89" i="16" s="1"/>
  <c r="BQ89" i="16" s="1"/>
  <c r="AC91" i="16"/>
  <c r="BL183" i="16"/>
  <c r="BH184" i="16"/>
  <c r="BL184" i="16" s="1"/>
  <c r="AF90" i="16"/>
  <c r="Y182" i="16"/>
  <c r="AA182" i="16" s="1"/>
  <c r="AW182" i="16"/>
  <c r="AY182" i="16" s="1"/>
  <c r="AB182" i="16"/>
  <c r="X183" i="16"/>
  <c r="BI182" i="16"/>
  <c r="BK182" i="16" s="1"/>
  <c r="AK182" i="16"/>
  <c r="AM182" i="16" s="1"/>
  <c r="E182" i="16"/>
  <c r="B183" i="16"/>
  <c r="P182" i="16"/>
  <c r="AV183" i="16"/>
  <c r="AZ182" i="16"/>
  <c r="AJ182" i="16"/>
  <c r="AN181" i="16"/>
  <c r="BB89" i="16"/>
  <c r="BC89" i="16" s="1"/>
  <c r="BE89" i="16" s="1"/>
  <c r="BH182" i="14"/>
  <c r="BL181" i="14"/>
  <c r="BM95" i="14"/>
  <c r="BP94" i="14"/>
  <c r="P181" i="14"/>
  <c r="E181" i="14"/>
  <c r="AK181" i="14"/>
  <c r="AM181" i="14" s="1"/>
  <c r="AW181" i="14"/>
  <c r="AY181" i="14" s="1"/>
  <c r="BA91" i="14"/>
  <c r="BD90" i="14"/>
  <c r="AJ182" i="14"/>
  <c r="AN181" i="14"/>
  <c r="AP95" i="14"/>
  <c r="AQ95" i="14" s="1"/>
  <c r="AS95" i="14" s="1"/>
  <c r="X182" i="14"/>
  <c r="BI182" i="14" s="1"/>
  <c r="BK182" i="14" s="1"/>
  <c r="Y181" i="14"/>
  <c r="AA181" i="14" s="1"/>
  <c r="AB181" i="14"/>
  <c r="AC66" i="14"/>
  <c r="AF65" i="14"/>
  <c r="B182" i="14"/>
  <c r="AA181" i="19" l="1"/>
  <c r="B183" i="15"/>
  <c r="F182" i="15"/>
  <c r="BA99" i="19"/>
  <c r="P182" i="19"/>
  <c r="E182" i="19"/>
  <c r="B183" i="19"/>
  <c r="BD98" i="19"/>
  <c r="BN101" i="19"/>
  <c r="BO101" i="19" s="1"/>
  <c r="BQ101" i="19" s="1"/>
  <c r="AK182" i="19"/>
  <c r="AM182" i="19" s="1"/>
  <c r="X183" i="19"/>
  <c r="Y182" i="19"/>
  <c r="BI182" i="19"/>
  <c r="BK182" i="19" s="1"/>
  <c r="AW182" i="19"/>
  <c r="AY182" i="19" s="1"/>
  <c r="AB182" i="19"/>
  <c r="AN182" i="19"/>
  <c r="AJ183" i="19"/>
  <c r="AP89" i="19"/>
  <c r="AQ89" i="19" s="1"/>
  <c r="AS89" i="19" s="1"/>
  <c r="AZ183" i="19"/>
  <c r="AV184" i="19"/>
  <c r="AZ184" i="19" s="1"/>
  <c r="BH184" i="19"/>
  <c r="BL184" i="19" s="1"/>
  <c r="BL183" i="19"/>
  <c r="AD88" i="19"/>
  <c r="AE88" i="19" s="1"/>
  <c r="AG88" i="19" s="1"/>
  <c r="AZ183" i="18"/>
  <c r="AV184" i="18"/>
  <c r="AZ184" i="18" s="1"/>
  <c r="AC88" i="18"/>
  <c r="AF87" i="18"/>
  <c r="AN183" i="18"/>
  <c r="AJ184" i="18"/>
  <c r="AN184" i="18" s="1"/>
  <c r="BM90" i="18"/>
  <c r="BP89" i="18"/>
  <c r="BL182" i="18"/>
  <c r="BH183" i="18"/>
  <c r="AK182" i="18"/>
  <c r="AM182" i="18" s="1"/>
  <c r="X183" i="18"/>
  <c r="Y182" i="18"/>
  <c r="AA182" i="18" s="1"/>
  <c r="BI182" i="18"/>
  <c r="BK182" i="18" s="1"/>
  <c r="AB182" i="18"/>
  <c r="AW182" i="18"/>
  <c r="AY182" i="18" s="1"/>
  <c r="AO100" i="18"/>
  <c r="BB89" i="18"/>
  <c r="BC89" i="18" s="1"/>
  <c r="BE89" i="18" s="1"/>
  <c r="P182" i="18"/>
  <c r="E182" i="18"/>
  <c r="B183" i="18"/>
  <c r="AR99" i="18"/>
  <c r="Y182" i="17"/>
  <c r="AA182" i="17" s="1"/>
  <c r="AW182" i="17"/>
  <c r="AY182" i="17" s="1"/>
  <c r="X183" i="17"/>
  <c r="AK182" i="17"/>
  <c r="AM182" i="17" s="1"/>
  <c r="BI182" i="17"/>
  <c r="BK182" i="17" s="1"/>
  <c r="AB182" i="17"/>
  <c r="E182" i="17"/>
  <c r="B183" i="17"/>
  <c r="P182" i="17"/>
  <c r="AD90" i="17"/>
  <c r="BA92" i="17"/>
  <c r="BM93" i="17"/>
  <c r="BD91" i="17"/>
  <c r="BP92" i="17"/>
  <c r="AV184" i="17"/>
  <c r="AZ184" i="17" s="1"/>
  <c r="AZ183" i="17"/>
  <c r="AQ88" i="17"/>
  <c r="AS88" i="17" s="1"/>
  <c r="BA90" i="16"/>
  <c r="BM90" i="16"/>
  <c r="AO90" i="16"/>
  <c r="AD91" i="16"/>
  <c r="AE91" i="16" s="1"/>
  <c r="AG91" i="16" s="1"/>
  <c r="BI183" i="16"/>
  <c r="BK183" i="16" s="1"/>
  <c r="AB183" i="16"/>
  <c r="AK183" i="16"/>
  <c r="AM183" i="16" s="1"/>
  <c r="Y183" i="16"/>
  <c r="AA183" i="16" s="1"/>
  <c r="AW183" i="16"/>
  <c r="AY183" i="16" s="1"/>
  <c r="X184" i="16"/>
  <c r="AV184" i="16"/>
  <c r="AZ184" i="16" s="1"/>
  <c r="AZ183" i="16"/>
  <c r="BD89" i="16"/>
  <c r="BP89" i="16"/>
  <c r="AN182" i="16"/>
  <c r="AJ183" i="16"/>
  <c r="AR89" i="16"/>
  <c r="P183" i="16"/>
  <c r="E183" i="16"/>
  <c r="B184" i="16"/>
  <c r="BH183" i="14"/>
  <c r="BL182" i="14"/>
  <c r="BN95" i="14"/>
  <c r="P182" i="14"/>
  <c r="E182" i="14"/>
  <c r="AK182" i="14"/>
  <c r="AM182" i="14" s="1"/>
  <c r="AW182" i="14"/>
  <c r="AY182" i="14" s="1"/>
  <c r="BB91" i="14"/>
  <c r="BC91" i="14" s="1"/>
  <c r="BE91" i="14" s="1"/>
  <c r="AJ183" i="14"/>
  <c r="AN182" i="14"/>
  <c r="AO96" i="14"/>
  <c r="AR95" i="14"/>
  <c r="X183" i="14"/>
  <c r="BI183" i="14" s="1"/>
  <c r="BK183" i="14" s="1"/>
  <c r="AB182" i="14"/>
  <c r="Y182" i="14"/>
  <c r="AA182" i="14" s="1"/>
  <c r="AD66" i="14"/>
  <c r="B183" i="14"/>
  <c r="AA182" i="19" l="1"/>
  <c r="B184" i="15"/>
  <c r="F184" i="15" s="1"/>
  <c r="F183" i="15"/>
  <c r="BM102" i="19"/>
  <c r="E183" i="19"/>
  <c r="B184" i="19"/>
  <c r="P183" i="19"/>
  <c r="AC89" i="19"/>
  <c r="AO90" i="19"/>
  <c r="BP101" i="19"/>
  <c r="AF88" i="19"/>
  <c r="AR89" i="19"/>
  <c r="Y183" i="19"/>
  <c r="BI183" i="19"/>
  <c r="BK183" i="19" s="1"/>
  <c r="AW183" i="19"/>
  <c r="AY183" i="19" s="1"/>
  <c r="X184" i="19"/>
  <c r="AK183" i="19"/>
  <c r="AM183" i="19" s="1"/>
  <c r="AB183" i="19"/>
  <c r="BB99" i="19"/>
  <c r="BC99" i="19" s="1"/>
  <c r="BE99" i="19" s="1"/>
  <c r="AN183" i="19"/>
  <c r="AJ184" i="19"/>
  <c r="AN184" i="19" s="1"/>
  <c r="E183" i="18"/>
  <c r="B184" i="18"/>
  <c r="P183" i="18"/>
  <c r="BH184" i="18"/>
  <c r="BL184" i="18" s="1"/>
  <c r="BL183" i="18"/>
  <c r="BA90" i="18"/>
  <c r="Y183" i="18"/>
  <c r="AA183" i="18" s="1"/>
  <c r="BI183" i="18"/>
  <c r="BK183" i="18" s="1"/>
  <c r="AW183" i="18"/>
  <c r="AY183" i="18" s="1"/>
  <c r="X184" i="18"/>
  <c r="AK183" i="18"/>
  <c r="AM183" i="18" s="1"/>
  <c r="AB183" i="18"/>
  <c r="BD89" i="18"/>
  <c r="BN90" i="18"/>
  <c r="BO90" i="18" s="1"/>
  <c r="BQ90" i="18" s="1"/>
  <c r="AP100" i="18"/>
  <c r="AQ100" i="18" s="1"/>
  <c r="AS100" i="18" s="1"/>
  <c r="AD88" i="18"/>
  <c r="AE88" i="18" s="1"/>
  <c r="AG88" i="18" s="1"/>
  <c r="BI183" i="17"/>
  <c r="BK183" i="17" s="1"/>
  <c r="AK183" i="17"/>
  <c r="AM183" i="17" s="1"/>
  <c r="Y183" i="17"/>
  <c r="AA183" i="17" s="1"/>
  <c r="AW183" i="17"/>
  <c r="AY183" i="17" s="1"/>
  <c r="AB183" i="17"/>
  <c r="X184" i="17"/>
  <c r="BB92" i="17"/>
  <c r="BC92" i="17" s="1"/>
  <c r="BE92" i="17" s="1"/>
  <c r="P183" i="17"/>
  <c r="E183" i="17"/>
  <c r="B184" i="17"/>
  <c r="AO89" i="17"/>
  <c r="AR88" i="17"/>
  <c r="BN93" i="17"/>
  <c r="BO93" i="17" s="1"/>
  <c r="BQ93" i="17" s="1"/>
  <c r="AE90" i="17"/>
  <c r="AG90" i="17" s="1"/>
  <c r="AC92" i="16"/>
  <c r="AW184" i="16"/>
  <c r="AY184" i="16" s="1"/>
  <c r="Y184" i="16"/>
  <c r="AA184" i="16" s="1"/>
  <c r="AK184" i="16"/>
  <c r="AM184" i="16" s="1"/>
  <c r="AB184" i="16"/>
  <c r="BI184" i="16"/>
  <c r="BK184" i="16" s="1"/>
  <c r="AP90" i="16"/>
  <c r="AJ184" i="16"/>
  <c r="AN184" i="16" s="1"/>
  <c r="AN183" i="16"/>
  <c r="BN90" i="16"/>
  <c r="BO90" i="16" s="1"/>
  <c r="BQ90" i="16" s="1"/>
  <c r="P184" i="16"/>
  <c r="E184" i="16"/>
  <c r="BB90" i="16"/>
  <c r="BC90" i="16" s="1"/>
  <c r="BE90" i="16" s="1"/>
  <c r="AF91" i="16"/>
  <c r="BH184" i="14"/>
  <c r="BL184" i="14" s="1"/>
  <c r="BL183" i="14"/>
  <c r="BO95" i="14"/>
  <c r="BQ95" i="14" s="1"/>
  <c r="BM96" i="14" s="1"/>
  <c r="P183" i="14"/>
  <c r="E183" i="14"/>
  <c r="AK183" i="14"/>
  <c r="AM183" i="14" s="1"/>
  <c r="AW183" i="14"/>
  <c r="AY183" i="14" s="1"/>
  <c r="BA92" i="14"/>
  <c r="BD91" i="14"/>
  <c r="AJ184" i="14"/>
  <c r="AN184" i="14" s="1"/>
  <c r="AN183" i="14"/>
  <c r="AP96" i="14"/>
  <c r="AQ96" i="14" s="1"/>
  <c r="AS96" i="14" s="1"/>
  <c r="X184" i="14"/>
  <c r="BI184" i="14" s="1"/>
  <c r="H21" i="1" s="1"/>
  <c r="Y183" i="14"/>
  <c r="AA183" i="14" s="1"/>
  <c r="AB183" i="14"/>
  <c r="AE66" i="14"/>
  <c r="AG66" i="14" s="1"/>
  <c r="B184" i="14"/>
  <c r="AA183" i="19" l="1"/>
  <c r="BK184" i="14"/>
  <c r="BA100" i="19"/>
  <c r="AD89" i="19"/>
  <c r="AE89" i="19" s="1"/>
  <c r="AG89" i="19" s="1"/>
  <c r="BD99" i="19"/>
  <c r="BI184" i="19"/>
  <c r="BK184" i="19" s="1"/>
  <c r="AW184" i="19"/>
  <c r="AY184" i="19" s="1"/>
  <c r="AB184" i="19"/>
  <c r="AK184" i="19"/>
  <c r="AM184" i="19" s="1"/>
  <c r="Y184" i="19"/>
  <c r="P184" i="19"/>
  <c r="E184" i="19"/>
  <c r="AP90" i="19"/>
  <c r="AQ90" i="19" s="1"/>
  <c r="AS90" i="19" s="1"/>
  <c r="BN102" i="19"/>
  <c r="BO102" i="19" s="1"/>
  <c r="BQ102" i="19" s="1"/>
  <c r="BM91" i="18"/>
  <c r="AR100" i="18"/>
  <c r="BI184" i="18"/>
  <c r="BK184" i="18" s="1"/>
  <c r="AW184" i="18"/>
  <c r="AY184" i="18" s="1"/>
  <c r="AB184" i="18"/>
  <c r="AK184" i="18"/>
  <c r="AM184" i="18" s="1"/>
  <c r="Y184" i="18"/>
  <c r="AA184" i="18" s="1"/>
  <c r="AO101" i="18"/>
  <c r="BP90" i="18"/>
  <c r="P184" i="18"/>
  <c r="E184" i="18"/>
  <c r="AC89" i="18"/>
  <c r="BB90" i="18"/>
  <c r="AF88" i="18"/>
  <c r="AC91" i="17"/>
  <c r="BM94" i="17"/>
  <c r="AW184" i="17"/>
  <c r="AY184" i="17" s="1"/>
  <c r="AB184" i="17"/>
  <c r="Y184" i="17"/>
  <c r="AA184" i="17" s="1"/>
  <c r="AK184" i="17"/>
  <c r="AM184" i="17" s="1"/>
  <c r="BI184" i="17"/>
  <c r="BK184" i="17" s="1"/>
  <c r="BP93" i="17"/>
  <c r="AP89" i="17"/>
  <c r="AQ89" i="17" s="1"/>
  <c r="AS89" i="17" s="1"/>
  <c r="BA93" i="17"/>
  <c r="E184" i="17"/>
  <c r="P184" i="17"/>
  <c r="BD92" i="17"/>
  <c r="AF90" i="17"/>
  <c r="BM91" i="16"/>
  <c r="BA91" i="16"/>
  <c r="BP90" i="16"/>
  <c r="BD90" i="16"/>
  <c r="AD92" i="16"/>
  <c r="AE92" i="16" s="1"/>
  <c r="AG92" i="16" s="1"/>
  <c r="AQ90" i="16"/>
  <c r="AS90" i="16" s="1"/>
  <c r="BP95" i="14"/>
  <c r="BN96" i="14"/>
  <c r="BO96" i="14" s="1"/>
  <c r="BQ96" i="14" s="1"/>
  <c r="P184" i="14"/>
  <c r="E184" i="14"/>
  <c r="AK184" i="14"/>
  <c r="F21" i="1" s="1"/>
  <c r="AW184" i="14"/>
  <c r="G21" i="1" s="1"/>
  <c r="BB92" i="14"/>
  <c r="AO97" i="14"/>
  <c r="AR96" i="14"/>
  <c r="Y184" i="14"/>
  <c r="E21" i="1" s="1"/>
  <c r="AB184" i="14"/>
  <c r="AC67" i="14"/>
  <c r="AF66" i="14"/>
  <c r="AA184" i="19" l="1"/>
  <c r="AM184" i="14"/>
  <c r="AA184" i="14"/>
  <c r="AY184" i="14"/>
  <c r="AR90" i="16"/>
  <c r="BM103" i="19"/>
  <c r="BP102" i="19"/>
  <c r="AC90" i="19"/>
  <c r="AF89" i="19"/>
  <c r="AO91" i="19"/>
  <c r="AR90" i="19"/>
  <c r="BB100" i="19"/>
  <c r="AD89" i="18"/>
  <c r="AE89" i="18" s="1"/>
  <c r="AG89" i="18" s="1"/>
  <c r="AP101" i="18"/>
  <c r="AQ101" i="18" s="1"/>
  <c r="AS101" i="18" s="1"/>
  <c r="BN91" i="18"/>
  <c r="BC90" i="18"/>
  <c r="BE90" i="18" s="1"/>
  <c r="AO90" i="17"/>
  <c r="AR89" i="17"/>
  <c r="BN94" i="17"/>
  <c r="BO94" i="17" s="1"/>
  <c r="BQ94" i="17" s="1"/>
  <c r="BB93" i="17"/>
  <c r="BC93" i="17" s="1"/>
  <c r="BE93" i="17" s="1"/>
  <c r="AD91" i="17"/>
  <c r="AE91" i="17" s="1"/>
  <c r="AG91" i="17" s="1"/>
  <c r="BB91" i="16"/>
  <c r="BC91" i="16" s="1"/>
  <c r="BE91" i="16" s="1"/>
  <c r="AF92" i="16"/>
  <c r="AC93" i="16"/>
  <c r="AO91" i="16"/>
  <c r="BN91" i="16"/>
  <c r="BO91" i="16" s="1"/>
  <c r="BQ91" i="16" s="1"/>
  <c r="BM97" i="14"/>
  <c r="BP96" i="14"/>
  <c r="BC92" i="14"/>
  <c r="BE92" i="14" s="1"/>
  <c r="AP97" i="14"/>
  <c r="AQ97" i="14" s="1"/>
  <c r="AS97" i="14" s="1"/>
  <c r="AD67" i="14"/>
  <c r="AD90" i="19" l="1"/>
  <c r="AE90" i="19" s="1"/>
  <c r="AG90" i="19" s="1"/>
  <c r="BN103" i="19"/>
  <c r="BO103" i="19" s="1"/>
  <c r="BQ103" i="19" s="1"/>
  <c r="AP91" i="19"/>
  <c r="AQ91" i="19" s="1"/>
  <c r="AS91" i="19" s="1"/>
  <c r="BC100" i="19"/>
  <c r="BE100" i="19" s="1"/>
  <c r="AC90" i="18"/>
  <c r="AO102" i="18"/>
  <c r="AF89" i="18"/>
  <c r="AR101" i="18"/>
  <c r="BD90" i="18"/>
  <c r="BA91" i="18"/>
  <c r="BO91" i="18"/>
  <c r="BQ91" i="18" s="1"/>
  <c r="AC92" i="17"/>
  <c r="AF91" i="17"/>
  <c r="BA94" i="17"/>
  <c r="BD93" i="17"/>
  <c r="BM95" i="17"/>
  <c r="BP94" i="17"/>
  <c r="AP90" i="17"/>
  <c r="AQ90" i="17" s="1"/>
  <c r="AS90" i="17" s="1"/>
  <c r="BA92" i="16"/>
  <c r="AP91" i="16"/>
  <c r="AQ91" i="16" s="1"/>
  <c r="AS91" i="16" s="1"/>
  <c r="BD91" i="16"/>
  <c r="BP91" i="16"/>
  <c r="BM92" i="16"/>
  <c r="AD93" i="16"/>
  <c r="AE93" i="16" s="1"/>
  <c r="AG93" i="16" s="1"/>
  <c r="BN97" i="14"/>
  <c r="BO97" i="14" s="1"/>
  <c r="BQ97" i="14" s="1"/>
  <c r="BA93" i="14"/>
  <c r="BD92" i="14"/>
  <c r="AR97" i="14"/>
  <c r="AO98" i="14"/>
  <c r="AE67" i="14"/>
  <c r="AG67" i="14" s="1"/>
  <c r="BP91" i="18" l="1"/>
  <c r="AO92" i="19"/>
  <c r="BA101" i="19"/>
  <c r="AC91" i="19"/>
  <c r="AF90" i="19"/>
  <c r="AR91" i="19"/>
  <c r="BM104" i="19"/>
  <c r="BP103" i="19"/>
  <c r="BD100" i="19"/>
  <c r="AP102" i="18"/>
  <c r="AQ102" i="18" s="1"/>
  <c r="AS102" i="18" s="1"/>
  <c r="BB91" i="18"/>
  <c r="BM92" i="18"/>
  <c r="AD90" i="18"/>
  <c r="AE90" i="18" s="1"/>
  <c r="AG90" i="18" s="1"/>
  <c r="BN95" i="17"/>
  <c r="BO95" i="17" s="1"/>
  <c r="BQ95" i="17" s="1"/>
  <c r="AO91" i="17"/>
  <c r="AD92" i="17"/>
  <c r="AE92" i="17" s="1"/>
  <c r="AG92" i="17" s="1"/>
  <c r="AR90" i="17"/>
  <c r="BB94" i="17"/>
  <c r="BC94" i="17" s="1"/>
  <c r="BE94" i="17" s="1"/>
  <c r="AO92" i="16"/>
  <c r="AR91" i="16"/>
  <c r="AC94" i="16"/>
  <c r="AF93" i="16"/>
  <c r="BB92" i="16"/>
  <c r="BC92" i="16" s="1"/>
  <c r="BE92" i="16" s="1"/>
  <c r="BN92" i="16"/>
  <c r="BO92" i="16" s="1"/>
  <c r="BQ92" i="16" s="1"/>
  <c r="BM98" i="14"/>
  <c r="BP97" i="14"/>
  <c r="BB93" i="14"/>
  <c r="BC93" i="14" s="1"/>
  <c r="BE93" i="14" s="1"/>
  <c r="AP98" i="14"/>
  <c r="AQ98" i="14" s="1"/>
  <c r="AS98" i="14" s="1"/>
  <c r="AC68" i="14"/>
  <c r="AF67" i="14"/>
  <c r="BN104" i="19" l="1"/>
  <c r="BO104" i="19" s="1"/>
  <c r="BQ104" i="19" s="1"/>
  <c r="AD91" i="19"/>
  <c r="AE91" i="19" s="1"/>
  <c r="AG91" i="19" s="1"/>
  <c r="BB101" i="19"/>
  <c r="AP92" i="19"/>
  <c r="AQ92" i="19" s="1"/>
  <c r="AS92" i="19" s="1"/>
  <c r="AO103" i="18"/>
  <c r="AR102" i="18"/>
  <c r="AC91" i="18"/>
  <c r="BN92" i="18"/>
  <c r="BO92" i="18" s="1"/>
  <c r="BQ92" i="18" s="1"/>
  <c r="AF90" i="18"/>
  <c r="BC91" i="18"/>
  <c r="BE91" i="18" s="1"/>
  <c r="BA95" i="17"/>
  <c r="BD94" i="17"/>
  <c r="AC93" i="17"/>
  <c r="AF92" i="17"/>
  <c r="AP91" i="17"/>
  <c r="AQ91" i="17" s="1"/>
  <c r="AS91" i="17" s="1"/>
  <c r="BM96" i="17"/>
  <c r="BP95" i="17"/>
  <c r="BM93" i="16"/>
  <c r="AD94" i="16"/>
  <c r="AE94" i="16" s="1"/>
  <c r="AG94" i="16" s="1"/>
  <c r="BP92" i="16"/>
  <c r="BA93" i="16"/>
  <c r="AP92" i="16"/>
  <c r="AQ92" i="16" s="1"/>
  <c r="AS92" i="16" s="1"/>
  <c r="BD92" i="16"/>
  <c r="BN98" i="14"/>
  <c r="BO98" i="14" s="1"/>
  <c r="BQ98" i="14" s="1"/>
  <c r="BA94" i="14"/>
  <c r="BD93" i="14"/>
  <c r="AO99" i="14"/>
  <c r="AR98" i="14"/>
  <c r="AD68" i="14"/>
  <c r="AC92" i="19" l="1"/>
  <c r="AO93" i="19"/>
  <c r="AF91" i="19"/>
  <c r="AR92" i="19"/>
  <c r="BM105" i="19"/>
  <c r="BP104" i="19"/>
  <c r="BC101" i="19"/>
  <c r="BE101" i="19" s="1"/>
  <c r="AD91" i="18"/>
  <c r="AE91" i="18" s="1"/>
  <c r="AG91" i="18" s="1"/>
  <c r="BA92" i="18"/>
  <c r="BD91" i="18"/>
  <c r="BM93" i="18"/>
  <c r="BP92" i="18"/>
  <c r="AP103" i="18"/>
  <c r="AQ103" i="18" s="1"/>
  <c r="AS103" i="18" s="1"/>
  <c r="AD93" i="17"/>
  <c r="AE93" i="17" s="1"/>
  <c r="AG93" i="17" s="1"/>
  <c r="AO92" i="17"/>
  <c r="BN96" i="17"/>
  <c r="BO96" i="17" s="1"/>
  <c r="BQ96" i="17" s="1"/>
  <c r="AR91" i="17"/>
  <c r="BB95" i="17"/>
  <c r="BC95" i="17" s="1"/>
  <c r="BE95" i="17" s="1"/>
  <c r="AO93" i="16"/>
  <c r="AF94" i="16"/>
  <c r="AR92" i="16"/>
  <c r="AC95" i="16"/>
  <c r="BB93" i="16"/>
  <c r="BC93" i="16" s="1"/>
  <c r="BE93" i="16" s="1"/>
  <c r="BN93" i="16"/>
  <c r="BO93" i="16" s="1"/>
  <c r="BQ93" i="16" s="1"/>
  <c r="BM99" i="14"/>
  <c r="BP98" i="14"/>
  <c r="BB94" i="14"/>
  <c r="BC94" i="14" s="1"/>
  <c r="BE94" i="14" s="1"/>
  <c r="AP99" i="14"/>
  <c r="AQ99" i="14" s="1"/>
  <c r="AS99" i="14" s="1"/>
  <c r="AE68" i="14"/>
  <c r="AG68" i="14" s="1"/>
  <c r="BA102" i="19" l="1"/>
  <c r="AP93" i="19"/>
  <c r="AQ93" i="19" s="1"/>
  <c r="AS93" i="19" s="1"/>
  <c r="AD92" i="19"/>
  <c r="AE92" i="19" s="1"/>
  <c r="AG92" i="19" s="1"/>
  <c r="BN105" i="19"/>
  <c r="BD101" i="19"/>
  <c r="AO104" i="18"/>
  <c r="AR103" i="18"/>
  <c r="BB92" i="18"/>
  <c r="BC92" i="18" s="1"/>
  <c r="BE92" i="18" s="1"/>
  <c r="AC92" i="18"/>
  <c r="AF91" i="18"/>
  <c r="BN93" i="18"/>
  <c r="BO93" i="18" s="1"/>
  <c r="BQ93" i="18" s="1"/>
  <c r="BM97" i="17"/>
  <c r="BP96" i="17"/>
  <c r="BA96" i="17"/>
  <c r="BD95" i="17"/>
  <c r="AP92" i="17"/>
  <c r="AQ92" i="17" s="1"/>
  <c r="AS92" i="17" s="1"/>
  <c r="AC94" i="17"/>
  <c r="AF93" i="17"/>
  <c r="BA94" i="16"/>
  <c r="BM94" i="16"/>
  <c r="AD95" i="16"/>
  <c r="AE95" i="16" s="1"/>
  <c r="AG95" i="16" s="1"/>
  <c r="BP93" i="16"/>
  <c r="BD93" i="16"/>
  <c r="AP93" i="16"/>
  <c r="AQ93" i="16" s="1"/>
  <c r="AS93" i="16" s="1"/>
  <c r="BN99" i="14"/>
  <c r="BO99" i="14" s="1"/>
  <c r="BQ99" i="14" s="1"/>
  <c r="BA95" i="14"/>
  <c r="BD94" i="14"/>
  <c r="AO100" i="14"/>
  <c r="AR99" i="14"/>
  <c r="AC69" i="14"/>
  <c r="AF68" i="14"/>
  <c r="BO105" i="19" l="1"/>
  <c r="BQ105" i="19" s="1"/>
  <c r="BM106" i="19" s="1"/>
  <c r="AC93" i="19"/>
  <c r="AF92" i="19"/>
  <c r="AO94" i="19"/>
  <c r="AR93" i="19"/>
  <c r="BB102" i="19"/>
  <c r="BC102" i="19" s="1"/>
  <c r="BE102" i="19" s="1"/>
  <c r="BA93" i="18"/>
  <c r="AD92" i="18"/>
  <c r="AE92" i="18" s="1"/>
  <c r="AG92" i="18" s="1"/>
  <c r="BM94" i="18"/>
  <c r="BD92" i="18"/>
  <c r="BP93" i="18"/>
  <c r="AP104" i="18"/>
  <c r="AQ104" i="18" s="1"/>
  <c r="AS104" i="18" s="1"/>
  <c r="BB96" i="17"/>
  <c r="BC96" i="17" s="1"/>
  <c r="BE96" i="17" s="1"/>
  <c r="AD94" i="17"/>
  <c r="AE94" i="17" s="1"/>
  <c r="AG94" i="17" s="1"/>
  <c r="AO93" i="17"/>
  <c r="AR92" i="17"/>
  <c r="BN97" i="17"/>
  <c r="BO97" i="17" s="1"/>
  <c r="BQ97" i="17" s="1"/>
  <c r="AO94" i="16"/>
  <c r="AF95" i="16"/>
  <c r="AR93" i="16"/>
  <c r="AC96" i="16"/>
  <c r="BN94" i="16"/>
  <c r="BO94" i="16" s="1"/>
  <c r="BQ94" i="16" s="1"/>
  <c r="BB94" i="16"/>
  <c r="BC94" i="16" s="1"/>
  <c r="BE94" i="16" s="1"/>
  <c r="BM100" i="14"/>
  <c r="BP99" i="14"/>
  <c r="BB95" i="14"/>
  <c r="BC95" i="14" s="1"/>
  <c r="BE95" i="14" s="1"/>
  <c r="AP100" i="14"/>
  <c r="AD69" i="14"/>
  <c r="BP105" i="19" l="1"/>
  <c r="BA103" i="19"/>
  <c r="BD102" i="19"/>
  <c r="BN106" i="19"/>
  <c r="BO106" i="19" s="1"/>
  <c r="BQ106" i="19" s="1"/>
  <c r="AP94" i="19"/>
  <c r="AQ94" i="19" s="1"/>
  <c r="AS94" i="19" s="1"/>
  <c r="AD93" i="19"/>
  <c r="AE93" i="19" s="1"/>
  <c r="AG93" i="19" s="1"/>
  <c r="AO105" i="18"/>
  <c r="AR104" i="18"/>
  <c r="AC93" i="18"/>
  <c r="AF92" i="18"/>
  <c r="BN94" i="18"/>
  <c r="BO94" i="18" s="1"/>
  <c r="BQ94" i="18" s="1"/>
  <c r="BB93" i="18"/>
  <c r="BC93" i="18" s="1"/>
  <c r="BE93" i="18" s="1"/>
  <c r="AP93" i="17"/>
  <c r="AQ93" i="17" s="1"/>
  <c r="AS93" i="17" s="1"/>
  <c r="AC95" i="17"/>
  <c r="AF94" i="17"/>
  <c r="BP97" i="17"/>
  <c r="BA97" i="17"/>
  <c r="BD96" i="17"/>
  <c r="BM98" i="17"/>
  <c r="AD96" i="16"/>
  <c r="AE96" i="16" s="1"/>
  <c r="AG96" i="16" s="1"/>
  <c r="BD94" i="16"/>
  <c r="BA95" i="16"/>
  <c r="AP94" i="16"/>
  <c r="AQ94" i="16" s="1"/>
  <c r="AS94" i="16" s="1"/>
  <c r="BM95" i="16"/>
  <c r="BP94" i="16"/>
  <c r="BN100" i="14"/>
  <c r="BO100" i="14" s="1"/>
  <c r="BQ100" i="14" s="1"/>
  <c r="BA96" i="14"/>
  <c r="BD95" i="14"/>
  <c r="AQ100" i="14"/>
  <c r="AS100" i="14" s="1"/>
  <c r="AO101" i="14" s="1"/>
  <c r="AE69" i="14"/>
  <c r="AG69" i="14" s="1"/>
  <c r="BM107" i="19" l="1"/>
  <c r="BP106" i="19"/>
  <c r="AC94" i="19"/>
  <c r="AF93" i="19"/>
  <c r="AO95" i="19"/>
  <c r="AR94" i="19"/>
  <c r="BB103" i="19"/>
  <c r="BC103" i="19" s="1"/>
  <c r="BE103" i="19" s="1"/>
  <c r="BA94" i="18"/>
  <c r="BD93" i="18"/>
  <c r="BM95" i="18"/>
  <c r="BP94" i="18"/>
  <c r="AD93" i="18"/>
  <c r="AE93" i="18" s="1"/>
  <c r="AG93" i="18" s="1"/>
  <c r="AP105" i="18"/>
  <c r="AQ105" i="18" s="1"/>
  <c r="AS105" i="18" s="1"/>
  <c r="BB97" i="17"/>
  <c r="BC97" i="17" s="1"/>
  <c r="BE97" i="17" s="1"/>
  <c r="BN98" i="17"/>
  <c r="BO98" i="17" s="1"/>
  <c r="BQ98" i="17" s="1"/>
  <c r="AD95" i="17"/>
  <c r="AO94" i="17"/>
  <c r="AR93" i="17"/>
  <c r="BB95" i="16"/>
  <c r="BC95" i="16" s="1"/>
  <c r="BE95" i="16" s="1"/>
  <c r="BN95" i="16"/>
  <c r="BO95" i="16" s="1"/>
  <c r="BQ95" i="16" s="1"/>
  <c r="AO95" i="16"/>
  <c r="AC97" i="16"/>
  <c r="AR94" i="16"/>
  <c r="AF96" i="16"/>
  <c r="BM101" i="14"/>
  <c r="BP100" i="14"/>
  <c r="BB96" i="14"/>
  <c r="BC96" i="14" s="1"/>
  <c r="BE96" i="14" s="1"/>
  <c r="AR100" i="14"/>
  <c r="AP101" i="14"/>
  <c r="AQ101" i="14" s="1"/>
  <c r="AS101" i="14" s="1"/>
  <c r="AC70" i="14"/>
  <c r="AF69" i="14"/>
  <c r="BD95" i="16" l="1"/>
  <c r="BA104" i="19"/>
  <c r="BD103" i="19"/>
  <c r="AD94" i="19"/>
  <c r="AP95" i="19"/>
  <c r="AQ95" i="19" s="1"/>
  <c r="AS95" i="19" s="1"/>
  <c r="BN107" i="19"/>
  <c r="BO107" i="19" s="1"/>
  <c r="BQ107" i="19" s="1"/>
  <c r="AR105" i="18"/>
  <c r="AC94" i="18"/>
  <c r="AO106" i="18"/>
  <c r="AF93" i="18"/>
  <c r="BB94" i="18"/>
  <c r="BC94" i="18" s="1"/>
  <c r="BE94" i="18" s="1"/>
  <c r="BN95" i="18"/>
  <c r="BO95" i="18" s="1"/>
  <c r="BQ95" i="18" s="1"/>
  <c r="BM99" i="17"/>
  <c r="BP98" i="17"/>
  <c r="BA98" i="17"/>
  <c r="AP94" i="17"/>
  <c r="AQ94" i="17" s="1"/>
  <c r="AS94" i="17" s="1"/>
  <c r="BD97" i="17"/>
  <c r="AE95" i="17"/>
  <c r="AG95" i="17" s="1"/>
  <c r="BM96" i="16"/>
  <c r="BP95" i="16"/>
  <c r="AD97" i="16"/>
  <c r="AE97" i="16" s="1"/>
  <c r="AG97" i="16" s="1"/>
  <c r="AP95" i="16"/>
  <c r="AQ95" i="16" s="1"/>
  <c r="AS95" i="16" s="1"/>
  <c r="BA96" i="16"/>
  <c r="BN101" i="14"/>
  <c r="BO101" i="14" s="1"/>
  <c r="BQ101" i="14" s="1"/>
  <c r="BA97" i="14"/>
  <c r="BD96" i="14"/>
  <c r="AO102" i="14"/>
  <c r="AR101" i="14"/>
  <c r="AD70" i="14"/>
  <c r="BM108" i="19" l="1"/>
  <c r="BP107" i="19"/>
  <c r="AO96" i="19"/>
  <c r="AR95" i="19"/>
  <c r="BB104" i="19"/>
  <c r="BC104" i="19" s="1"/>
  <c r="BE104" i="19" s="1"/>
  <c r="AE94" i="19"/>
  <c r="AG94" i="19" s="1"/>
  <c r="AD94" i="18"/>
  <c r="AE94" i="18" s="1"/>
  <c r="AG94" i="18" s="1"/>
  <c r="AP106" i="18"/>
  <c r="AQ106" i="18" s="1"/>
  <c r="AS106" i="18" s="1"/>
  <c r="BM96" i="18"/>
  <c r="BP95" i="18"/>
  <c r="BA95" i="18"/>
  <c r="BD94" i="18"/>
  <c r="BB98" i="17"/>
  <c r="BC98" i="17" s="1"/>
  <c r="BE98" i="17" s="1"/>
  <c r="AC96" i="17"/>
  <c r="AO95" i="17"/>
  <c r="BN99" i="17"/>
  <c r="BO99" i="17" s="1"/>
  <c r="BQ99" i="17" s="1"/>
  <c r="AR94" i="17"/>
  <c r="AF95" i="17"/>
  <c r="AC98" i="16"/>
  <c r="AF97" i="16"/>
  <c r="BB96" i="16"/>
  <c r="BC96" i="16" s="1"/>
  <c r="BE96" i="16" s="1"/>
  <c r="AO96" i="16"/>
  <c r="BN96" i="16"/>
  <c r="BO96" i="16" s="1"/>
  <c r="BQ96" i="16" s="1"/>
  <c r="AR95" i="16"/>
  <c r="BM102" i="14"/>
  <c r="BP101" i="14"/>
  <c r="BB97" i="14"/>
  <c r="BC97" i="14" s="1"/>
  <c r="BE97" i="14" s="1"/>
  <c r="AP102" i="14"/>
  <c r="AE70" i="14"/>
  <c r="AG70" i="14" s="1"/>
  <c r="BA105" i="19" l="1"/>
  <c r="AC95" i="19"/>
  <c r="BD104" i="19"/>
  <c r="AF94" i="19"/>
  <c r="BN108" i="19"/>
  <c r="BO108" i="19" s="1"/>
  <c r="BQ108" i="19" s="1"/>
  <c r="AP96" i="19"/>
  <c r="AQ96" i="19" s="1"/>
  <c r="AS96" i="19" s="1"/>
  <c r="AC95" i="18"/>
  <c r="BN96" i="18"/>
  <c r="BO96" i="18" s="1"/>
  <c r="BQ96" i="18" s="1"/>
  <c r="AR106" i="18"/>
  <c r="AO107" i="18"/>
  <c r="BB95" i="18"/>
  <c r="BC95" i="18" s="1"/>
  <c r="BE95" i="18" s="1"/>
  <c r="AF94" i="18"/>
  <c r="BP99" i="17"/>
  <c r="BM100" i="17"/>
  <c r="AP95" i="17"/>
  <c r="AQ95" i="17" s="1"/>
  <c r="AS95" i="17" s="1"/>
  <c r="BA99" i="17"/>
  <c r="AD96" i="17"/>
  <c r="AE96" i="17" s="1"/>
  <c r="AG96" i="17" s="1"/>
  <c r="BD98" i="17"/>
  <c r="BA97" i="16"/>
  <c r="BM97" i="16"/>
  <c r="AD98" i="16"/>
  <c r="AE98" i="16" s="1"/>
  <c r="AG98" i="16" s="1"/>
  <c r="BP96" i="16"/>
  <c r="AP96" i="16"/>
  <c r="AQ96" i="16" s="1"/>
  <c r="AS96" i="16" s="1"/>
  <c r="BD96" i="16"/>
  <c r="BN102" i="14"/>
  <c r="BO102" i="14" s="1"/>
  <c r="BQ102" i="14" s="1"/>
  <c r="BA98" i="14"/>
  <c r="BD97" i="14"/>
  <c r="AQ102" i="14"/>
  <c r="AS102" i="14" s="1"/>
  <c r="AO103" i="14" s="1"/>
  <c r="AC71" i="14"/>
  <c r="AF70" i="14"/>
  <c r="AO97" i="19" l="1"/>
  <c r="AR96" i="19"/>
  <c r="AD95" i="19"/>
  <c r="AE95" i="19" s="1"/>
  <c r="AG95" i="19" s="1"/>
  <c r="BM109" i="19"/>
  <c r="BP108" i="19"/>
  <c r="BB105" i="19"/>
  <c r="BM97" i="18"/>
  <c r="BP96" i="18"/>
  <c r="BD95" i="18"/>
  <c r="AP107" i="18"/>
  <c r="AQ107" i="18" s="1"/>
  <c r="AS107" i="18" s="1"/>
  <c r="AD95" i="18"/>
  <c r="AE95" i="18" s="1"/>
  <c r="AG95" i="18" s="1"/>
  <c r="BA96" i="18"/>
  <c r="BB99" i="17"/>
  <c r="BC99" i="17" s="1"/>
  <c r="BE99" i="17" s="1"/>
  <c r="BN100" i="17"/>
  <c r="BO100" i="17" s="1"/>
  <c r="BQ100" i="17" s="1"/>
  <c r="AF96" i="17"/>
  <c r="AO96" i="17"/>
  <c r="AC97" i="17"/>
  <c r="AR95" i="17"/>
  <c r="AC99" i="16"/>
  <c r="AF98" i="16"/>
  <c r="BN97" i="16"/>
  <c r="AO97" i="16"/>
  <c r="AR96" i="16"/>
  <c r="BB97" i="16"/>
  <c r="BC97" i="16" s="1"/>
  <c r="BE97" i="16" s="1"/>
  <c r="BM103" i="14"/>
  <c r="BP102" i="14"/>
  <c r="BB98" i="14"/>
  <c r="BC98" i="14" s="1"/>
  <c r="BE98" i="14" s="1"/>
  <c r="AR102" i="14"/>
  <c r="AP103" i="14"/>
  <c r="AQ103" i="14" s="1"/>
  <c r="AS103" i="14" s="1"/>
  <c r="AD71" i="14"/>
  <c r="BN109" i="19" l="1"/>
  <c r="BO109" i="19" s="1"/>
  <c r="BQ109" i="19" s="1"/>
  <c r="AF95" i="19"/>
  <c r="BC105" i="19"/>
  <c r="BE105" i="19" s="1"/>
  <c r="AP97" i="19"/>
  <c r="AQ97" i="19" s="1"/>
  <c r="AS97" i="19" s="1"/>
  <c r="AC96" i="19"/>
  <c r="AC96" i="18"/>
  <c r="BB96" i="18"/>
  <c r="BC96" i="18" s="1"/>
  <c r="BE96" i="18" s="1"/>
  <c r="AF95" i="18"/>
  <c r="AO108" i="18"/>
  <c r="BN97" i="18"/>
  <c r="BO97" i="18" s="1"/>
  <c r="BQ97" i="18" s="1"/>
  <c r="AR107" i="18"/>
  <c r="BM101" i="17"/>
  <c r="BD99" i="17"/>
  <c r="BP100" i="17"/>
  <c r="AD97" i="17"/>
  <c r="AE97" i="17" s="1"/>
  <c r="AG97" i="17" s="1"/>
  <c r="BA100" i="17"/>
  <c r="AP96" i="17"/>
  <c r="AQ96" i="17" s="1"/>
  <c r="AS96" i="17" s="1"/>
  <c r="BA98" i="16"/>
  <c r="AD99" i="16"/>
  <c r="AE99" i="16" s="1"/>
  <c r="AG99" i="16" s="1"/>
  <c r="BD97" i="16"/>
  <c r="AP97" i="16"/>
  <c r="AQ97" i="16" s="1"/>
  <c r="AS97" i="16" s="1"/>
  <c r="BO97" i="16"/>
  <c r="BQ97" i="16" s="1"/>
  <c r="BN103" i="14"/>
  <c r="BO103" i="14" s="1"/>
  <c r="BQ103" i="14" s="1"/>
  <c r="BA99" i="14"/>
  <c r="BD98" i="14"/>
  <c r="AO104" i="14"/>
  <c r="AR103" i="14"/>
  <c r="AE71" i="14"/>
  <c r="AG71" i="14" s="1"/>
  <c r="BA106" i="19" l="1"/>
  <c r="BM110" i="19"/>
  <c r="AO98" i="19"/>
  <c r="BP109" i="19"/>
  <c r="AD96" i="19"/>
  <c r="AE96" i="19" s="1"/>
  <c r="AG96" i="19" s="1"/>
  <c r="AR97" i="19"/>
  <c r="BD105" i="19"/>
  <c r="BA97" i="18"/>
  <c r="AP108" i="18"/>
  <c r="AQ108" i="18" s="1"/>
  <c r="AS108" i="18" s="1"/>
  <c r="BD96" i="18"/>
  <c r="BM98" i="18"/>
  <c r="BP97" i="18"/>
  <c r="AD96" i="18"/>
  <c r="AE96" i="18" s="1"/>
  <c r="AG96" i="18" s="1"/>
  <c r="AO97" i="17"/>
  <c r="AC98" i="17"/>
  <c r="AR96" i="17"/>
  <c r="BN101" i="17"/>
  <c r="BB100" i="17"/>
  <c r="BC100" i="17" s="1"/>
  <c r="BE100" i="17" s="1"/>
  <c r="AF97" i="17"/>
  <c r="AO98" i="16"/>
  <c r="AF99" i="16"/>
  <c r="BP97" i="16"/>
  <c r="BB98" i="16"/>
  <c r="BC98" i="16" s="1"/>
  <c r="BE98" i="16" s="1"/>
  <c r="AC100" i="16"/>
  <c r="BM98" i="16"/>
  <c r="AR97" i="16"/>
  <c r="BM104" i="14"/>
  <c r="BP103" i="14"/>
  <c r="BB99" i="14"/>
  <c r="BC99" i="14" s="1"/>
  <c r="BE99" i="14" s="1"/>
  <c r="AP104" i="14"/>
  <c r="AQ104" i="14" s="1"/>
  <c r="AS104" i="14" s="1"/>
  <c r="AC72" i="14"/>
  <c r="AF71" i="14"/>
  <c r="AC97" i="19" l="1"/>
  <c r="BN110" i="19"/>
  <c r="BO110" i="19" s="1"/>
  <c r="BQ110" i="19" s="1"/>
  <c r="BB106" i="19"/>
  <c r="AF96" i="19"/>
  <c r="AP98" i="19"/>
  <c r="AQ98" i="19" s="1"/>
  <c r="AS98" i="19" s="1"/>
  <c r="AC97" i="18"/>
  <c r="AF96" i="18"/>
  <c r="AO109" i="18"/>
  <c r="AR108" i="18"/>
  <c r="BN98" i="18"/>
  <c r="BO98" i="18" s="1"/>
  <c r="BQ98" i="18" s="1"/>
  <c r="BB97" i="18"/>
  <c r="BC97" i="18" s="1"/>
  <c r="BE97" i="18" s="1"/>
  <c r="AD98" i="17"/>
  <c r="AE98" i="17" s="1"/>
  <c r="AG98" i="17" s="1"/>
  <c r="BD100" i="17"/>
  <c r="AP97" i="17"/>
  <c r="AQ97" i="17" s="1"/>
  <c r="AS97" i="17" s="1"/>
  <c r="BA101" i="17"/>
  <c r="BO101" i="17"/>
  <c r="BQ101" i="17" s="1"/>
  <c r="BN98" i="16"/>
  <c r="BO98" i="16" s="1"/>
  <c r="BQ98" i="16" s="1"/>
  <c r="AD100" i="16"/>
  <c r="AE100" i="16" s="1"/>
  <c r="AG100" i="16" s="1"/>
  <c r="BA99" i="16"/>
  <c r="AP98" i="16"/>
  <c r="BD98" i="16"/>
  <c r="BN104" i="14"/>
  <c r="BO104" i="14" s="1"/>
  <c r="BQ104" i="14" s="1"/>
  <c r="BA100" i="14"/>
  <c r="BD99" i="14"/>
  <c r="AR104" i="14"/>
  <c r="AO105" i="14"/>
  <c r="AD72" i="14"/>
  <c r="D44" i="1"/>
  <c r="D28" i="1" s="1"/>
  <c r="E43" i="1"/>
  <c r="F43" i="1" s="1"/>
  <c r="G43" i="1" s="1"/>
  <c r="H43" i="1" s="1"/>
  <c r="BM111" i="19" l="1"/>
  <c r="AR98" i="19"/>
  <c r="BC106" i="19"/>
  <c r="BE106" i="19" s="1"/>
  <c r="AO99" i="19"/>
  <c r="BP110" i="19"/>
  <c r="AD97" i="19"/>
  <c r="AE97" i="19" s="1"/>
  <c r="AG97" i="19" s="1"/>
  <c r="BM99" i="18"/>
  <c r="BA98" i="18"/>
  <c r="BP98" i="18"/>
  <c r="BD97" i="18"/>
  <c r="AP109" i="18"/>
  <c r="AQ109" i="18" s="1"/>
  <c r="AS109" i="18" s="1"/>
  <c r="AD97" i="18"/>
  <c r="BM102" i="17"/>
  <c r="AC99" i="17"/>
  <c r="BP101" i="17"/>
  <c r="AO98" i="17"/>
  <c r="AF98" i="17"/>
  <c r="BB101" i="17"/>
  <c r="BC101" i="17" s="1"/>
  <c r="BE101" i="17" s="1"/>
  <c r="AR97" i="17"/>
  <c r="BM99" i="16"/>
  <c r="AC101" i="16"/>
  <c r="AF100" i="16"/>
  <c r="BB99" i="16"/>
  <c r="BC99" i="16" s="1"/>
  <c r="BE99" i="16" s="1"/>
  <c r="AQ98" i="16"/>
  <c r="AS98" i="16" s="1"/>
  <c r="BP98" i="16"/>
  <c r="BM105" i="14"/>
  <c r="BP104" i="14"/>
  <c r="BB100" i="14"/>
  <c r="AP105" i="14"/>
  <c r="AQ105" i="14" s="1"/>
  <c r="AS105" i="14" s="1"/>
  <c r="AE72" i="14"/>
  <c r="AG72" i="14" s="1"/>
  <c r="D47" i="1"/>
  <c r="D31" i="1" s="1"/>
  <c r="D46" i="1"/>
  <c r="D30" i="1" s="1"/>
  <c r="D45" i="1"/>
  <c r="D29" i="1" s="1"/>
  <c r="C49" i="1"/>
  <c r="E44" i="1"/>
  <c r="BD106" i="19" l="1"/>
  <c r="AC98" i="19"/>
  <c r="BN111" i="19"/>
  <c r="BO111" i="19" s="1"/>
  <c r="BQ111" i="19" s="1"/>
  <c r="AP99" i="19"/>
  <c r="AQ99" i="19" s="1"/>
  <c r="AS99" i="19" s="1"/>
  <c r="AF97" i="19"/>
  <c r="BA107" i="19"/>
  <c r="BN99" i="18"/>
  <c r="BO99" i="18" s="1"/>
  <c r="BQ99" i="18" s="1"/>
  <c r="AO110" i="18"/>
  <c r="BB98" i="18"/>
  <c r="BC98" i="18" s="1"/>
  <c r="BE98" i="18" s="1"/>
  <c r="AR109" i="18"/>
  <c r="AE97" i="18"/>
  <c r="AG97" i="18" s="1"/>
  <c r="BA102" i="17"/>
  <c r="BN102" i="17"/>
  <c r="BO102" i="17" s="1"/>
  <c r="BQ102" i="17" s="1"/>
  <c r="AP98" i="17"/>
  <c r="BD101" i="17"/>
  <c r="AD99" i="17"/>
  <c r="AE99" i="17" s="1"/>
  <c r="AG99" i="17" s="1"/>
  <c r="BA100" i="16"/>
  <c r="AR98" i="16"/>
  <c r="BD99" i="16"/>
  <c r="AD101" i="16"/>
  <c r="AE101" i="16" s="1"/>
  <c r="AG101" i="16" s="1"/>
  <c r="AO99" i="16"/>
  <c r="BN99" i="16"/>
  <c r="BO99" i="16" s="1"/>
  <c r="BQ99" i="16" s="1"/>
  <c r="BN105" i="14"/>
  <c r="BO105" i="14" s="1"/>
  <c r="BQ105" i="14" s="1"/>
  <c r="BC100" i="14"/>
  <c r="BE100" i="14" s="1"/>
  <c r="AO106" i="14"/>
  <c r="AR105" i="14"/>
  <c r="AC73" i="14"/>
  <c r="AF72" i="14"/>
  <c r="E28" i="1"/>
  <c r="D33" i="1"/>
  <c r="E46" i="1"/>
  <c r="E30" i="1" s="1"/>
  <c r="E45" i="1"/>
  <c r="E29" i="1" s="1"/>
  <c r="E47" i="1"/>
  <c r="E31" i="1" s="1"/>
  <c r="D49" i="1"/>
  <c r="F44" i="1"/>
  <c r="F28" i="1" s="1"/>
  <c r="C52" i="1"/>
  <c r="AR99" i="19" l="1"/>
  <c r="BM112" i="19"/>
  <c r="BP111" i="19"/>
  <c r="AO100" i="19"/>
  <c r="BB107" i="19"/>
  <c r="BC107" i="19" s="1"/>
  <c r="BE107" i="19" s="1"/>
  <c r="AD98" i="19"/>
  <c r="AE98" i="19" s="1"/>
  <c r="AG98" i="19" s="1"/>
  <c r="BA99" i="18"/>
  <c r="BD98" i="18"/>
  <c r="AP110" i="18"/>
  <c r="AQ110" i="18" s="1"/>
  <c r="AS110" i="18" s="1"/>
  <c r="AC98" i="18"/>
  <c r="BM100" i="18"/>
  <c r="BP99" i="18"/>
  <c r="AF97" i="18"/>
  <c r="BM103" i="17"/>
  <c r="AC100" i="17"/>
  <c r="AF99" i="17"/>
  <c r="BP102" i="17"/>
  <c r="AQ98" i="17"/>
  <c r="AS98" i="17" s="1"/>
  <c r="BB102" i="17"/>
  <c r="BC102" i="17" s="1"/>
  <c r="BE102" i="17" s="1"/>
  <c r="BP99" i="16"/>
  <c r="AP99" i="16"/>
  <c r="AQ99" i="16" s="1"/>
  <c r="AS99" i="16" s="1"/>
  <c r="AC102" i="16"/>
  <c r="BB100" i="16"/>
  <c r="AF101" i="16"/>
  <c r="BM100" i="16"/>
  <c r="BM106" i="14"/>
  <c r="BP105" i="14"/>
  <c r="BA101" i="14"/>
  <c r="BD100" i="14"/>
  <c r="AP106" i="14"/>
  <c r="AQ106" i="14" s="1"/>
  <c r="AS106" i="14" s="1"/>
  <c r="AD73" i="14"/>
  <c r="D52" i="1"/>
  <c r="D35" i="1" s="1"/>
  <c r="C35" i="1"/>
  <c r="E49" i="1"/>
  <c r="E52" i="1" s="1"/>
  <c r="E33" i="1"/>
  <c r="F45" i="1"/>
  <c r="F29" i="1" s="1"/>
  <c r="F47" i="1"/>
  <c r="F31" i="1" s="1"/>
  <c r="F46" i="1"/>
  <c r="F30" i="1" s="1"/>
  <c r="G44" i="1"/>
  <c r="G28" i="1" s="1"/>
  <c r="AC99" i="19" l="1"/>
  <c r="AP100" i="19"/>
  <c r="AQ100" i="19" s="1"/>
  <c r="AS100" i="19" s="1"/>
  <c r="AF98" i="19"/>
  <c r="BA108" i="19"/>
  <c r="BN112" i="19"/>
  <c r="BD107" i="19"/>
  <c r="AO111" i="18"/>
  <c r="AR110" i="18"/>
  <c r="BN100" i="18"/>
  <c r="BO100" i="18" s="1"/>
  <c r="BQ100" i="18" s="1"/>
  <c r="AD98" i="18"/>
  <c r="AE98" i="18" s="1"/>
  <c r="AG98" i="18" s="1"/>
  <c r="BB99" i="18"/>
  <c r="BC99" i="18" s="1"/>
  <c r="BE99" i="18" s="1"/>
  <c r="BA103" i="17"/>
  <c r="BD102" i="17"/>
  <c r="AD100" i="17"/>
  <c r="AE100" i="17" s="1"/>
  <c r="AG100" i="17" s="1"/>
  <c r="AO99" i="17"/>
  <c r="BN103" i="17"/>
  <c r="AR98" i="17"/>
  <c r="AO100" i="16"/>
  <c r="BN100" i="16"/>
  <c r="BO100" i="16" s="1"/>
  <c r="BQ100" i="16" s="1"/>
  <c r="AD102" i="16"/>
  <c r="AE102" i="16" s="1"/>
  <c r="AG102" i="16" s="1"/>
  <c r="AR99" i="16"/>
  <c r="BC100" i="16"/>
  <c r="BE100" i="16" s="1"/>
  <c r="BN106" i="14"/>
  <c r="BB101" i="14"/>
  <c r="BC101" i="14" s="1"/>
  <c r="BE101" i="14" s="1"/>
  <c r="AO107" i="14"/>
  <c r="AR106" i="14"/>
  <c r="AE73" i="14"/>
  <c r="AG73" i="14" s="1"/>
  <c r="E35" i="1"/>
  <c r="F33" i="1"/>
  <c r="G46" i="1"/>
  <c r="G30" i="1" s="1"/>
  <c r="G47" i="1"/>
  <c r="G31" i="1" s="1"/>
  <c r="G45" i="1"/>
  <c r="G29" i="1" s="1"/>
  <c r="F49" i="1"/>
  <c r="H44" i="1"/>
  <c r="H28" i="1" s="1"/>
  <c r="BB108" i="19" l="1"/>
  <c r="BC108" i="19" s="1"/>
  <c r="BE108" i="19" s="1"/>
  <c r="AO101" i="19"/>
  <c r="AR100" i="19"/>
  <c r="AD99" i="19"/>
  <c r="AE99" i="19" s="1"/>
  <c r="AG99" i="19" s="1"/>
  <c r="BO112" i="19"/>
  <c r="BQ112" i="19" s="1"/>
  <c r="BA100" i="18"/>
  <c r="AP111" i="18"/>
  <c r="AQ111" i="18" s="1"/>
  <c r="AS111" i="18" s="1"/>
  <c r="BD99" i="18"/>
  <c r="AC99" i="18"/>
  <c r="AF98" i="18"/>
  <c r="BM101" i="18"/>
  <c r="BP100" i="18"/>
  <c r="AP99" i="17"/>
  <c r="AQ99" i="17" s="1"/>
  <c r="AS99" i="17" s="1"/>
  <c r="AC101" i="17"/>
  <c r="AF100" i="17"/>
  <c r="BB103" i="17"/>
  <c r="BC103" i="17" s="1"/>
  <c r="BE103" i="17" s="1"/>
  <c r="BO103" i="17"/>
  <c r="BQ103" i="17" s="1"/>
  <c r="AC103" i="16"/>
  <c r="BA101" i="16"/>
  <c r="AF102" i="16"/>
  <c r="BM101" i="16"/>
  <c r="BP100" i="16"/>
  <c r="BD100" i="16"/>
  <c r="AP100" i="16"/>
  <c r="AQ100" i="16" s="1"/>
  <c r="AS100" i="16" s="1"/>
  <c r="BO106" i="14"/>
  <c r="BQ106" i="14" s="1"/>
  <c r="BM107" i="14" s="1"/>
  <c r="BA102" i="14"/>
  <c r="BD101" i="14"/>
  <c r="AP107" i="14"/>
  <c r="AQ107" i="14" s="1"/>
  <c r="AS107" i="14" s="1"/>
  <c r="AC74" i="14"/>
  <c r="AF73" i="14"/>
  <c r="F52" i="1"/>
  <c r="F35" i="1" s="1"/>
  <c r="G33" i="1"/>
  <c r="H47" i="1"/>
  <c r="H31" i="1" s="1"/>
  <c r="H45" i="1"/>
  <c r="H29" i="1" s="1"/>
  <c r="H46" i="1"/>
  <c r="H30" i="1" s="1"/>
  <c r="G49" i="1"/>
  <c r="BP103" i="17" l="1"/>
  <c r="AC100" i="19"/>
  <c r="BM113" i="19"/>
  <c r="AF99" i="19"/>
  <c r="BA109" i="19"/>
  <c r="BD108" i="19"/>
  <c r="BP112" i="19"/>
  <c r="AP101" i="19"/>
  <c r="AQ101" i="19" s="1"/>
  <c r="AS101" i="19" s="1"/>
  <c r="BN101" i="18"/>
  <c r="BO101" i="18" s="1"/>
  <c r="BQ101" i="18" s="1"/>
  <c r="AO112" i="18"/>
  <c r="AR111" i="18"/>
  <c r="BB100" i="18"/>
  <c r="BC100" i="18" s="1"/>
  <c r="BE100" i="18" s="1"/>
  <c r="AD99" i="18"/>
  <c r="AE99" i="18" s="1"/>
  <c r="AG99" i="18" s="1"/>
  <c r="AO100" i="17"/>
  <c r="BD103" i="17"/>
  <c r="AD101" i="17"/>
  <c r="AE101" i="17" s="1"/>
  <c r="AG101" i="17" s="1"/>
  <c r="BM104" i="17"/>
  <c r="AR99" i="17"/>
  <c r="BA104" i="17"/>
  <c r="AO101" i="16"/>
  <c r="BN101" i="16"/>
  <c r="BO101" i="16" s="1"/>
  <c r="BQ101" i="16" s="1"/>
  <c r="AR100" i="16"/>
  <c r="BB101" i="16"/>
  <c r="BC101" i="16" s="1"/>
  <c r="BE101" i="16" s="1"/>
  <c r="AD103" i="16"/>
  <c r="AE103" i="16" s="1"/>
  <c r="AG103" i="16" s="1"/>
  <c r="BP106" i="14"/>
  <c r="BN107" i="14"/>
  <c r="BO107" i="14" s="1"/>
  <c r="BQ107" i="14" s="1"/>
  <c r="BB102" i="14"/>
  <c r="BC102" i="14" s="1"/>
  <c r="BE102" i="14" s="1"/>
  <c r="AO108" i="14"/>
  <c r="AR107" i="14"/>
  <c r="AD74" i="14"/>
  <c r="G52" i="1"/>
  <c r="G35" i="1" s="1"/>
  <c r="H33" i="1"/>
  <c r="H49" i="1"/>
  <c r="M23" i="14" s="1"/>
  <c r="M24" i="18" l="1"/>
  <c r="M21" i="16"/>
  <c r="M17" i="18"/>
  <c r="M16" i="16"/>
  <c r="M13" i="17"/>
  <c r="C13" i="17" s="1"/>
  <c r="M14" i="17"/>
  <c r="C14" i="17" s="1"/>
  <c r="M53" i="18"/>
  <c r="O53" i="18" s="1"/>
  <c r="D53" i="18" s="1"/>
  <c r="M13" i="16"/>
  <c r="C13" i="16" s="1"/>
  <c r="M132" i="18"/>
  <c r="M18" i="14"/>
  <c r="M23" i="17"/>
  <c r="M21" i="19"/>
  <c r="C21" i="19" s="1"/>
  <c r="M22" i="18"/>
  <c r="O22" i="18" s="1"/>
  <c r="D22" i="18" s="1"/>
  <c r="M17" i="19"/>
  <c r="O17" i="19" s="1"/>
  <c r="D17" i="19" s="1"/>
  <c r="M15" i="17"/>
  <c r="O15" i="17" s="1"/>
  <c r="D15" i="17" s="1"/>
  <c r="M15" i="16"/>
  <c r="C15" i="16" s="1"/>
  <c r="M16" i="17"/>
  <c r="M14" i="19"/>
  <c r="C14" i="19" s="1"/>
  <c r="M23" i="18"/>
  <c r="C23" i="18" s="1"/>
  <c r="M15" i="19"/>
  <c r="C15" i="19" s="1"/>
  <c r="M24" i="19"/>
  <c r="C24" i="19" s="1"/>
  <c r="M18" i="17"/>
  <c r="O18" i="17" s="1"/>
  <c r="D18" i="17" s="1"/>
  <c r="M17" i="16"/>
  <c r="C17" i="16" s="1"/>
  <c r="M16" i="18"/>
  <c r="O16" i="18" s="1"/>
  <c r="D16" i="18" s="1"/>
  <c r="M19" i="16"/>
  <c r="M16" i="19"/>
  <c r="M14" i="18"/>
  <c r="O14" i="18" s="1"/>
  <c r="D14" i="18" s="1"/>
  <c r="M55" i="16"/>
  <c r="O55" i="16" s="1"/>
  <c r="D55" i="16" s="1"/>
  <c r="M14" i="14"/>
  <c r="C14" i="14" s="1"/>
  <c r="M13" i="18"/>
  <c r="C13" i="18" s="1"/>
  <c r="M20" i="17"/>
  <c r="O20" i="17" s="1"/>
  <c r="D20" i="17" s="1"/>
  <c r="M18" i="19"/>
  <c r="C18" i="19" s="1"/>
  <c r="M18" i="18"/>
  <c r="M21" i="18"/>
  <c r="C21" i="18" s="1"/>
  <c r="M19" i="19"/>
  <c r="C19" i="19" s="1"/>
  <c r="M17" i="17"/>
  <c r="O17" i="17" s="1"/>
  <c r="D17" i="17" s="1"/>
  <c r="M23" i="16"/>
  <c r="O23" i="16" s="1"/>
  <c r="D23" i="16" s="1"/>
  <c r="M20" i="19"/>
  <c r="O20" i="19" s="1"/>
  <c r="D20" i="19" s="1"/>
  <c r="M20" i="18"/>
  <c r="C20" i="18" s="1"/>
  <c r="M22" i="17"/>
  <c r="C22" i="17" s="1"/>
  <c r="M15" i="14"/>
  <c r="M18" i="16"/>
  <c r="M24" i="14"/>
  <c r="C24" i="14" s="1"/>
  <c r="M24" i="17"/>
  <c r="O24" i="17" s="1"/>
  <c r="D24" i="17" s="1"/>
  <c r="M22" i="19"/>
  <c r="C22" i="19" s="1"/>
  <c r="M24" i="16"/>
  <c r="O24" i="16" s="1"/>
  <c r="D24" i="16" s="1"/>
  <c r="M19" i="14"/>
  <c r="C19" i="14" s="1"/>
  <c r="M4" i="14"/>
  <c r="M7" i="19"/>
  <c r="M7" i="18"/>
  <c r="M9" i="18"/>
  <c r="M10" i="19"/>
  <c r="M10" i="16"/>
  <c r="M6" i="17"/>
  <c r="M8" i="14"/>
  <c r="M6" i="18"/>
  <c r="M8" i="18"/>
  <c r="M11" i="16"/>
  <c r="M12" i="14"/>
  <c r="M5" i="17"/>
  <c r="M7" i="17"/>
  <c r="M5" i="16"/>
  <c r="M7" i="16"/>
  <c r="M12" i="19"/>
  <c r="M11" i="17"/>
  <c r="M12" i="18"/>
  <c r="M9" i="17"/>
  <c r="M8" i="16"/>
  <c r="M9" i="16"/>
  <c r="M5" i="19"/>
  <c r="M12" i="16"/>
  <c r="M10" i="14"/>
  <c r="M7" i="14"/>
  <c r="M5" i="14"/>
  <c r="M5" i="18"/>
  <c r="M4" i="18"/>
  <c r="M6" i="14"/>
  <c r="M11" i="19"/>
  <c r="M10" i="17"/>
  <c r="M10" i="18"/>
  <c r="M4" i="16"/>
  <c r="M4" i="19"/>
  <c r="M8" i="19"/>
  <c r="M9" i="14"/>
  <c r="M11" i="14"/>
  <c r="M8" i="17"/>
  <c r="M4" i="17"/>
  <c r="M9" i="19"/>
  <c r="M6" i="19"/>
  <c r="M12" i="17"/>
  <c r="M11" i="18"/>
  <c r="M6" i="16"/>
  <c r="M20" i="14"/>
  <c r="C20" i="14" s="1"/>
  <c r="M138" i="14"/>
  <c r="C138" i="14" s="1"/>
  <c r="M19" i="17"/>
  <c r="C19" i="17" s="1"/>
  <c r="M16" i="14"/>
  <c r="C16" i="14" s="1"/>
  <c r="M22" i="16"/>
  <c r="M22" i="14"/>
  <c r="C22" i="14" s="1"/>
  <c r="M20" i="16"/>
  <c r="C20" i="16" s="1"/>
  <c r="M17" i="14"/>
  <c r="M13" i="14"/>
  <c r="O13" i="14" s="1"/>
  <c r="D13" i="14" s="1"/>
  <c r="M19" i="18"/>
  <c r="O19" i="18" s="1"/>
  <c r="D19" i="18" s="1"/>
  <c r="M15" i="18"/>
  <c r="O15" i="18" s="1"/>
  <c r="D15" i="18" s="1"/>
  <c r="M13" i="19"/>
  <c r="O13" i="19" s="1"/>
  <c r="D13" i="19" s="1"/>
  <c r="M14" i="16"/>
  <c r="M21" i="14"/>
  <c r="O21" i="14" s="1"/>
  <c r="D21" i="14" s="1"/>
  <c r="M23" i="19"/>
  <c r="C23" i="19" s="1"/>
  <c r="M21" i="17"/>
  <c r="C21" i="17" s="1"/>
  <c r="M127" i="17"/>
  <c r="C127" i="17" s="1"/>
  <c r="M27" i="16"/>
  <c r="M25" i="16"/>
  <c r="M26" i="17"/>
  <c r="M25" i="18"/>
  <c r="M25" i="17"/>
  <c r="M27" i="14"/>
  <c r="M25" i="14"/>
  <c r="M27" i="19"/>
  <c r="M25" i="19"/>
  <c r="M26" i="18"/>
  <c r="M27" i="17"/>
  <c r="M26" i="16"/>
  <c r="M26" i="14"/>
  <c r="M27" i="18"/>
  <c r="M26" i="19"/>
  <c r="M29" i="19"/>
  <c r="M32" i="19"/>
  <c r="M29" i="18"/>
  <c r="M39" i="16"/>
  <c r="M34" i="16"/>
  <c r="M29" i="16"/>
  <c r="M31" i="17"/>
  <c r="M38" i="18"/>
  <c r="M30" i="19"/>
  <c r="M28" i="19"/>
  <c r="M34" i="19"/>
  <c r="M36" i="17"/>
  <c r="M32" i="18"/>
  <c r="M35" i="18"/>
  <c r="M31" i="16"/>
  <c r="M37" i="18"/>
  <c r="M35" i="16"/>
  <c r="M31" i="18"/>
  <c r="M30" i="17"/>
  <c r="M38" i="19"/>
  <c r="M29" i="17"/>
  <c r="M36" i="16"/>
  <c r="M39" i="18"/>
  <c r="M33" i="17"/>
  <c r="M28" i="14"/>
  <c r="M37" i="17"/>
  <c r="M28" i="17"/>
  <c r="M30" i="16"/>
  <c r="M33" i="16"/>
  <c r="M37" i="14"/>
  <c r="M36" i="19"/>
  <c r="M33" i="19"/>
  <c r="M32" i="14"/>
  <c r="M32" i="16"/>
  <c r="M38" i="17"/>
  <c r="M35" i="17"/>
  <c r="M28" i="18"/>
  <c r="M28" i="16"/>
  <c r="M38" i="16"/>
  <c r="M36" i="18"/>
  <c r="M35" i="14"/>
  <c r="M34" i="18"/>
  <c r="M31" i="19"/>
  <c r="M36" i="14"/>
  <c r="M38" i="14"/>
  <c r="M30" i="14"/>
  <c r="M31" i="14"/>
  <c r="M39" i="17"/>
  <c r="M39" i="14"/>
  <c r="M32" i="17"/>
  <c r="M29" i="14"/>
  <c r="M30" i="18"/>
  <c r="M34" i="14"/>
  <c r="M35" i="19"/>
  <c r="M33" i="18"/>
  <c r="M37" i="19"/>
  <c r="M33" i="14"/>
  <c r="M37" i="16"/>
  <c r="M39" i="19"/>
  <c r="M34" i="17"/>
  <c r="M49" i="19"/>
  <c r="M50" i="19"/>
  <c r="M46" i="16"/>
  <c r="M48" i="14"/>
  <c r="M40" i="14"/>
  <c r="M44" i="19"/>
  <c r="M40" i="16"/>
  <c r="M47" i="14"/>
  <c r="M51" i="17"/>
  <c r="M47" i="18"/>
  <c r="M47" i="19"/>
  <c r="M51" i="14"/>
  <c r="M41" i="18"/>
  <c r="M40" i="18"/>
  <c r="M41" i="17"/>
  <c r="M44" i="18"/>
  <c r="M50" i="14"/>
  <c r="M43" i="17"/>
  <c r="M46" i="19"/>
  <c r="M48" i="16"/>
  <c r="M49" i="17"/>
  <c r="M42" i="18"/>
  <c r="M41" i="19"/>
  <c r="M45" i="19"/>
  <c r="M44" i="17"/>
  <c r="M50" i="16"/>
  <c r="M45" i="16"/>
  <c r="M46" i="14"/>
  <c r="M50" i="17"/>
  <c r="M51" i="19"/>
  <c r="M43" i="16"/>
  <c r="M44" i="14"/>
  <c r="M42" i="16"/>
  <c r="M40" i="17"/>
  <c r="M47" i="16"/>
  <c r="M42" i="17"/>
  <c r="M48" i="18"/>
  <c r="M46" i="17"/>
  <c r="M47" i="17"/>
  <c r="M44" i="16"/>
  <c r="M43" i="19"/>
  <c r="M42" i="14"/>
  <c r="M45" i="18"/>
  <c r="M48" i="19"/>
  <c r="M41" i="14"/>
  <c r="M48" i="17"/>
  <c r="M49" i="16"/>
  <c r="M45" i="14"/>
  <c r="M40" i="19"/>
  <c r="M42" i="19"/>
  <c r="M45" i="17"/>
  <c r="M51" i="16"/>
  <c r="M49" i="14"/>
  <c r="M49" i="18"/>
  <c r="M51" i="18"/>
  <c r="M46" i="18"/>
  <c r="M43" i="14"/>
  <c r="M41" i="16"/>
  <c r="M43" i="18"/>
  <c r="M50" i="18"/>
  <c r="M55" i="14"/>
  <c r="C55" i="14" s="1"/>
  <c r="M62" i="18"/>
  <c r="O62" i="18" s="1"/>
  <c r="D62" i="18" s="1"/>
  <c r="M57" i="14"/>
  <c r="C57" i="14" s="1"/>
  <c r="M59" i="18"/>
  <c r="C59" i="18" s="1"/>
  <c r="M52" i="16"/>
  <c r="O52" i="16" s="1"/>
  <c r="D52" i="16" s="1"/>
  <c r="M61" i="18"/>
  <c r="C61" i="18" s="1"/>
  <c r="M62" i="19"/>
  <c r="O62" i="19" s="1"/>
  <c r="D62" i="19" s="1"/>
  <c r="M54" i="18"/>
  <c r="M59" i="19"/>
  <c r="C59" i="19" s="1"/>
  <c r="M52" i="18"/>
  <c r="C52" i="18" s="1"/>
  <c r="M52" i="17"/>
  <c r="O52" i="17" s="1"/>
  <c r="D52" i="17" s="1"/>
  <c r="M61" i="17"/>
  <c r="O61" i="17" s="1"/>
  <c r="D61" i="17" s="1"/>
  <c r="M63" i="19"/>
  <c r="C63" i="19" s="1"/>
  <c r="C18" i="14"/>
  <c r="O18" i="14"/>
  <c r="D18" i="14" s="1"/>
  <c r="C21" i="16"/>
  <c r="O21" i="16"/>
  <c r="D21" i="16" s="1"/>
  <c r="C17" i="18"/>
  <c r="O17" i="18"/>
  <c r="D17" i="18" s="1"/>
  <c r="O16" i="16"/>
  <c r="D16" i="16" s="1"/>
  <c r="C16" i="16"/>
  <c r="O23" i="17"/>
  <c r="D23" i="17" s="1"/>
  <c r="C23" i="17"/>
  <c r="M57" i="16"/>
  <c r="O57" i="16" s="1"/>
  <c r="D57" i="16" s="1"/>
  <c r="M58" i="14"/>
  <c r="O58" i="14" s="1"/>
  <c r="D58" i="14" s="1"/>
  <c r="O21" i="19"/>
  <c r="D21" i="19" s="1"/>
  <c r="M63" i="17"/>
  <c r="O63" i="17" s="1"/>
  <c r="D63" i="17" s="1"/>
  <c r="M56" i="17"/>
  <c r="C56" i="17" s="1"/>
  <c r="M59" i="16"/>
  <c r="O59" i="16" s="1"/>
  <c r="D59" i="16" s="1"/>
  <c r="M53" i="17"/>
  <c r="O53" i="17" s="1"/>
  <c r="D53" i="17" s="1"/>
  <c r="M54" i="19"/>
  <c r="O54" i="19" s="1"/>
  <c r="D54" i="19" s="1"/>
  <c r="M60" i="14"/>
  <c r="O60" i="14" s="1"/>
  <c r="D60" i="14" s="1"/>
  <c r="M62" i="17"/>
  <c r="O62" i="17" s="1"/>
  <c r="D62" i="17" s="1"/>
  <c r="O19" i="16"/>
  <c r="D19" i="16" s="1"/>
  <c r="C19" i="16"/>
  <c r="C16" i="19"/>
  <c r="O16" i="19"/>
  <c r="D16" i="19" s="1"/>
  <c r="M63" i="16"/>
  <c r="C63" i="16" s="1"/>
  <c r="M55" i="18"/>
  <c r="C55" i="18" s="1"/>
  <c r="C22" i="18"/>
  <c r="C16" i="17"/>
  <c r="O16" i="17"/>
  <c r="D16" i="17" s="1"/>
  <c r="M55" i="17"/>
  <c r="C55" i="17" s="1"/>
  <c r="M59" i="17"/>
  <c r="O59" i="17" s="1"/>
  <c r="D59" i="17" s="1"/>
  <c r="M62" i="16"/>
  <c r="C62" i="16" s="1"/>
  <c r="M63" i="18"/>
  <c r="M57" i="18"/>
  <c r="O57" i="18" s="1"/>
  <c r="D57" i="18" s="1"/>
  <c r="M63" i="14"/>
  <c r="C63" i="14" s="1"/>
  <c r="M54" i="17"/>
  <c r="C54" i="17" s="1"/>
  <c r="O14" i="14"/>
  <c r="D14" i="14" s="1"/>
  <c r="C18" i="18"/>
  <c r="O18" i="18"/>
  <c r="D18" i="18" s="1"/>
  <c r="C17" i="17"/>
  <c r="M61" i="19"/>
  <c r="C61" i="19" s="1"/>
  <c r="M54" i="16"/>
  <c r="C54" i="16" s="1"/>
  <c r="O23" i="18"/>
  <c r="D23" i="18" s="1"/>
  <c r="M57" i="17"/>
  <c r="O57" i="17" s="1"/>
  <c r="D57" i="17" s="1"/>
  <c r="M59" i="14"/>
  <c r="C59" i="14" s="1"/>
  <c r="M52" i="14"/>
  <c r="O52" i="14" s="1"/>
  <c r="D52" i="14" s="1"/>
  <c r="M55" i="19"/>
  <c r="C55" i="19" s="1"/>
  <c r="M56" i="14"/>
  <c r="O56" i="14" s="1"/>
  <c r="D56" i="14" s="1"/>
  <c r="M53" i="14"/>
  <c r="C53" i="14" s="1"/>
  <c r="M56" i="19"/>
  <c r="C56" i="19" s="1"/>
  <c r="C24" i="18"/>
  <c r="O24" i="18"/>
  <c r="D24" i="18" s="1"/>
  <c r="C23" i="16"/>
  <c r="C15" i="14"/>
  <c r="O15" i="14"/>
  <c r="D15" i="14" s="1"/>
  <c r="M58" i="17"/>
  <c r="C58" i="17" s="1"/>
  <c r="M56" i="18"/>
  <c r="C56" i="18" s="1"/>
  <c r="M58" i="16"/>
  <c r="C58" i="16" s="1"/>
  <c r="O22" i="19"/>
  <c r="D22" i="19" s="1"/>
  <c r="M62" i="14"/>
  <c r="O62" i="14" s="1"/>
  <c r="D62" i="14" s="1"/>
  <c r="M61" i="14"/>
  <c r="O61" i="14" s="1"/>
  <c r="D61" i="14" s="1"/>
  <c r="M56" i="16"/>
  <c r="O56" i="16" s="1"/>
  <c r="D56" i="16" s="1"/>
  <c r="M58" i="18"/>
  <c r="O58" i="18" s="1"/>
  <c r="D58" i="18" s="1"/>
  <c r="O18" i="16"/>
  <c r="D18" i="16" s="1"/>
  <c r="C18" i="16"/>
  <c r="C23" i="14"/>
  <c r="O23" i="14"/>
  <c r="D23" i="14" s="1"/>
  <c r="M53" i="19"/>
  <c r="C53" i="19" s="1"/>
  <c r="M60" i="17"/>
  <c r="C60" i="17" s="1"/>
  <c r="M61" i="16"/>
  <c r="O61" i="16" s="1"/>
  <c r="D61" i="16" s="1"/>
  <c r="M54" i="14"/>
  <c r="O54" i="14" s="1"/>
  <c r="D54" i="14" s="1"/>
  <c r="M58" i="19"/>
  <c r="O58" i="19" s="1"/>
  <c r="D58" i="19" s="1"/>
  <c r="M57" i="19"/>
  <c r="C57" i="19" s="1"/>
  <c r="M60" i="16"/>
  <c r="C60" i="16" s="1"/>
  <c r="M60" i="19"/>
  <c r="C60" i="19" s="1"/>
  <c r="O22" i="16"/>
  <c r="D22" i="16" s="1"/>
  <c r="C22" i="16"/>
  <c r="O22" i="14"/>
  <c r="D22" i="14" s="1"/>
  <c r="C17" i="14"/>
  <c r="O17" i="14"/>
  <c r="D17" i="14" s="1"/>
  <c r="C13" i="14"/>
  <c r="M53" i="16"/>
  <c r="C53" i="16" s="1"/>
  <c r="M60" i="18"/>
  <c r="O60" i="18" s="1"/>
  <c r="D60" i="18" s="1"/>
  <c r="M52" i="19"/>
  <c r="O52" i="19" s="1"/>
  <c r="D52" i="19" s="1"/>
  <c r="C19" i="18"/>
  <c r="C14" i="16"/>
  <c r="O14" i="16"/>
  <c r="D14" i="16" s="1"/>
  <c r="C21" i="14"/>
  <c r="O23" i="19"/>
  <c r="D23" i="19" s="1"/>
  <c r="O21" i="17"/>
  <c r="D21" i="17" s="1"/>
  <c r="M133" i="18"/>
  <c r="M124" i="14"/>
  <c r="C124" i="14" s="1"/>
  <c r="M129" i="14"/>
  <c r="C129" i="14" s="1"/>
  <c r="C52" i="14"/>
  <c r="M131" i="14"/>
  <c r="C131" i="14" s="1"/>
  <c r="M124" i="16"/>
  <c r="C124" i="16" s="1"/>
  <c r="M122" i="18"/>
  <c r="O122" i="18" s="1"/>
  <c r="D122" i="18" s="1"/>
  <c r="O55" i="18"/>
  <c r="D55" i="18" s="1"/>
  <c r="C62" i="19"/>
  <c r="C54" i="18"/>
  <c r="O54" i="18"/>
  <c r="D54" i="18" s="1"/>
  <c r="M128" i="14"/>
  <c r="C128" i="14" s="1"/>
  <c r="M122" i="14"/>
  <c r="C122" i="14" s="1"/>
  <c r="M123" i="16"/>
  <c r="C123" i="16" s="1"/>
  <c r="O62" i="16"/>
  <c r="D62" i="16" s="1"/>
  <c r="O63" i="18"/>
  <c r="D63" i="18" s="1"/>
  <c r="C63" i="18"/>
  <c r="M127" i="14"/>
  <c r="C127" i="14" s="1"/>
  <c r="M134" i="14"/>
  <c r="C134" i="14" s="1"/>
  <c r="M118" i="14"/>
  <c r="C118" i="14" s="1"/>
  <c r="M125" i="14"/>
  <c r="C125" i="14" s="1"/>
  <c r="M135" i="17"/>
  <c r="C135" i="17" s="1"/>
  <c r="M125" i="17"/>
  <c r="O125" i="17" s="1"/>
  <c r="D125" i="17" s="1"/>
  <c r="M134" i="19"/>
  <c r="C134" i="19" s="1"/>
  <c r="M124" i="17"/>
  <c r="O124" i="17" s="1"/>
  <c r="D124" i="17" s="1"/>
  <c r="M136" i="16"/>
  <c r="C136" i="16" s="1"/>
  <c r="M136" i="14"/>
  <c r="C136" i="14" s="1"/>
  <c r="M120" i="14"/>
  <c r="C120" i="14" s="1"/>
  <c r="M123" i="14"/>
  <c r="C123" i="14" s="1"/>
  <c r="M130" i="14"/>
  <c r="C130" i="14" s="1"/>
  <c r="M137" i="14"/>
  <c r="C137" i="14" s="1"/>
  <c r="M121" i="14"/>
  <c r="C121" i="14" s="1"/>
  <c r="M127" i="19"/>
  <c r="M138" i="18"/>
  <c r="O138" i="18" s="1"/>
  <c r="D138" i="18" s="1"/>
  <c r="M126" i="18"/>
  <c r="C126" i="18" s="1"/>
  <c r="M138" i="19"/>
  <c r="C138" i="19" s="1"/>
  <c r="M145" i="17"/>
  <c r="C145" i="17" s="1"/>
  <c r="M68" i="16"/>
  <c r="M76" i="16"/>
  <c r="M70" i="18"/>
  <c r="M78" i="17"/>
  <c r="M66" i="19"/>
  <c r="M74" i="18"/>
  <c r="M70" i="17"/>
  <c r="M78" i="18"/>
  <c r="M66" i="18"/>
  <c r="M74" i="19"/>
  <c r="M71" i="17"/>
  <c r="M79" i="17"/>
  <c r="M67" i="19"/>
  <c r="M75" i="17"/>
  <c r="M64" i="16"/>
  <c r="M72" i="16"/>
  <c r="M79" i="18"/>
  <c r="M77" i="14"/>
  <c r="M70" i="14"/>
  <c r="M67" i="14"/>
  <c r="M64" i="14"/>
  <c r="M80" i="14"/>
  <c r="M69" i="14"/>
  <c r="M78" i="14"/>
  <c r="M72" i="14"/>
  <c r="M65" i="18"/>
  <c r="M73" i="17"/>
  <c r="M64" i="19"/>
  <c r="M73" i="16"/>
  <c r="M81" i="16"/>
  <c r="M69" i="17"/>
  <c r="M73" i="19"/>
  <c r="M69" i="18"/>
  <c r="M73" i="14"/>
  <c r="M66" i="14"/>
  <c r="M79" i="14"/>
  <c r="M76" i="14"/>
  <c r="M70" i="16"/>
  <c r="M77" i="17"/>
  <c r="M65" i="16"/>
  <c r="M72" i="17"/>
  <c r="M80" i="19"/>
  <c r="M69" i="16"/>
  <c r="M76" i="18"/>
  <c r="M64" i="17"/>
  <c r="M72" i="19"/>
  <c r="M80" i="17"/>
  <c r="M68" i="18"/>
  <c r="M77" i="16"/>
  <c r="M65" i="19"/>
  <c r="M74" i="16"/>
  <c r="M81" i="19"/>
  <c r="M69" i="19"/>
  <c r="M78" i="16"/>
  <c r="M66" i="16"/>
  <c r="M73" i="18"/>
  <c r="M65" i="14"/>
  <c r="M81" i="14"/>
  <c r="M74" i="14"/>
  <c r="M71" i="14"/>
  <c r="M68" i="14"/>
  <c r="M81" i="17"/>
  <c r="M76" i="17"/>
  <c r="M64" i="18"/>
  <c r="M72" i="18"/>
  <c r="M71" i="18"/>
  <c r="M80" i="16"/>
  <c r="M67" i="16"/>
  <c r="M74" i="17"/>
  <c r="M70" i="19"/>
  <c r="M78" i="19"/>
  <c r="M66" i="17"/>
  <c r="M75" i="16"/>
  <c r="M71" i="16"/>
  <c r="M79" i="16"/>
  <c r="M67" i="17"/>
  <c r="M75" i="18"/>
  <c r="M71" i="19"/>
  <c r="M79" i="19"/>
  <c r="M67" i="18"/>
  <c r="M75" i="19"/>
  <c r="M75" i="14"/>
  <c r="M68" i="17"/>
  <c r="M76" i="19"/>
  <c r="M80" i="18"/>
  <c r="M68" i="19"/>
  <c r="M77" i="19"/>
  <c r="M65" i="17"/>
  <c r="M81" i="18"/>
  <c r="M77" i="18"/>
  <c r="M90" i="16"/>
  <c r="M97" i="17"/>
  <c r="M105" i="17"/>
  <c r="M113" i="17"/>
  <c r="M84" i="17"/>
  <c r="M92" i="19"/>
  <c r="M100" i="18"/>
  <c r="M108" i="17"/>
  <c r="M117" i="16"/>
  <c r="M88" i="17"/>
  <c r="M96" i="19"/>
  <c r="M104" i="19"/>
  <c r="M113" i="16"/>
  <c r="M84" i="19"/>
  <c r="M92" i="17"/>
  <c r="M100" i="17"/>
  <c r="M108" i="18"/>
  <c r="M116" i="19"/>
  <c r="M88" i="18"/>
  <c r="M96" i="18"/>
  <c r="M105" i="16"/>
  <c r="M112" i="19"/>
  <c r="M85" i="17"/>
  <c r="M93" i="19"/>
  <c r="M101" i="17"/>
  <c r="M109" i="19"/>
  <c r="M117" i="17"/>
  <c r="M89" i="17"/>
  <c r="M97" i="18"/>
  <c r="M105" i="19"/>
  <c r="M114" i="16"/>
  <c r="M85" i="19"/>
  <c r="M93" i="17"/>
  <c r="M101" i="19"/>
  <c r="M110" i="16"/>
  <c r="M117" i="19"/>
  <c r="M85" i="14"/>
  <c r="M101" i="14"/>
  <c r="M117" i="14"/>
  <c r="C117" i="14" s="1"/>
  <c r="M94" i="14"/>
  <c r="M110" i="14"/>
  <c r="C110" i="14" s="1"/>
  <c r="M91" i="14"/>
  <c r="M107" i="14"/>
  <c r="C107" i="14" s="1"/>
  <c r="M84" i="16"/>
  <c r="M92" i="16"/>
  <c r="M99" i="18"/>
  <c r="M107" i="18"/>
  <c r="M115" i="19"/>
  <c r="M86" i="17"/>
  <c r="M95" i="16"/>
  <c r="M102" i="18"/>
  <c r="M110" i="19"/>
  <c r="M82" i="17"/>
  <c r="M90" i="17"/>
  <c r="M98" i="18"/>
  <c r="M107" i="16"/>
  <c r="M114" i="17"/>
  <c r="M86" i="18"/>
  <c r="M94" i="18"/>
  <c r="M102" i="19"/>
  <c r="M111" i="16"/>
  <c r="M83" i="16"/>
  <c r="M90" i="19"/>
  <c r="M98" i="17"/>
  <c r="M106" i="18"/>
  <c r="M114" i="19"/>
  <c r="M87" i="18"/>
  <c r="M95" i="17"/>
  <c r="M103" i="18"/>
  <c r="M111" i="18"/>
  <c r="M83" i="19"/>
  <c r="M91" i="19"/>
  <c r="M100" i="16"/>
  <c r="M108" i="16"/>
  <c r="M115" i="17"/>
  <c r="M87" i="19"/>
  <c r="M95" i="18"/>
  <c r="M103" i="17"/>
  <c r="M112" i="16"/>
  <c r="M89" i="14"/>
  <c r="M105" i="14"/>
  <c r="C105" i="14" s="1"/>
  <c r="M82" i="14"/>
  <c r="M98" i="14"/>
  <c r="M114" i="14"/>
  <c r="C114" i="14" s="1"/>
  <c r="M95" i="14"/>
  <c r="M111" i="14"/>
  <c r="C111" i="14" s="1"/>
  <c r="M86" i="16"/>
  <c r="M94" i="16"/>
  <c r="M101" i="18"/>
  <c r="M109" i="18"/>
  <c r="M117" i="18"/>
  <c r="M88" i="19"/>
  <c r="M96" i="17"/>
  <c r="M104" i="18"/>
  <c r="M112" i="18"/>
  <c r="M84" i="18"/>
  <c r="M92" i="18"/>
  <c r="M100" i="19"/>
  <c r="M108" i="19"/>
  <c r="M116" i="17"/>
  <c r="M89" i="16"/>
  <c r="M97" i="16"/>
  <c r="M104" i="17"/>
  <c r="M112" i="17"/>
  <c r="M85" i="16"/>
  <c r="M93" i="16"/>
  <c r="M101" i="16"/>
  <c r="M109" i="16"/>
  <c r="M116" i="18"/>
  <c r="M89" i="19"/>
  <c r="M98" i="16"/>
  <c r="M106" i="16"/>
  <c r="M113" i="19"/>
  <c r="M85" i="18"/>
  <c r="M93" i="18"/>
  <c r="M102" i="16"/>
  <c r="M109" i="17"/>
  <c r="M82" i="16"/>
  <c r="M89" i="18"/>
  <c r="M97" i="19"/>
  <c r="M105" i="18"/>
  <c r="M113" i="18"/>
  <c r="M93" i="14"/>
  <c r="M109" i="14"/>
  <c r="C109" i="14" s="1"/>
  <c r="M86" i="14"/>
  <c r="M104" i="16"/>
  <c r="M99" i="16"/>
  <c r="M94" i="17"/>
  <c r="M91" i="16"/>
  <c r="M87" i="16"/>
  <c r="M83" i="17"/>
  <c r="M115" i="18"/>
  <c r="M111" i="17"/>
  <c r="M107" i="17"/>
  <c r="M97" i="14"/>
  <c r="M106" i="14"/>
  <c r="C106" i="14" s="1"/>
  <c r="M103" i="14"/>
  <c r="M92" i="14"/>
  <c r="M108" i="14"/>
  <c r="C108" i="14" s="1"/>
  <c r="M104" i="14"/>
  <c r="M111" i="19"/>
  <c r="M106" i="19"/>
  <c r="M103" i="16"/>
  <c r="M98" i="19"/>
  <c r="M94" i="19"/>
  <c r="M91" i="18"/>
  <c r="M87" i="17"/>
  <c r="M83" i="18"/>
  <c r="M116" i="16"/>
  <c r="M113" i="14"/>
  <c r="C113" i="14" s="1"/>
  <c r="M83" i="14"/>
  <c r="M115" i="14"/>
  <c r="C115" i="14" s="1"/>
  <c r="M96" i="14"/>
  <c r="M112" i="14"/>
  <c r="C112" i="14" s="1"/>
  <c r="M100" i="14"/>
  <c r="M90" i="18"/>
  <c r="M115" i="16"/>
  <c r="M107" i="19"/>
  <c r="M103" i="19"/>
  <c r="M102" i="14"/>
  <c r="M99" i="14"/>
  <c r="M88" i="16"/>
  <c r="M82" i="19"/>
  <c r="M114" i="18"/>
  <c r="M110" i="18"/>
  <c r="M106" i="17"/>
  <c r="M102" i="17"/>
  <c r="M99" i="17"/>
  <c r="M96" i="16"/>
  <c r="M91" i="17"/>
  <c r="M90" i="14"/>
  <c r="M87" i="14"/>
  <c r="M84" i="14"/>
  <c r="M116" i="14"/>
  <c r="C116" i="14" s="1"/>
  <c r="M95" i="19"/>
  <c r="M86" i="19"/>
  <c r="M82" i="18"/>
  <c r="M110" i="17"/>
  <c r="M99" i="19"/>
  <c r="M88" i="14"/>
  <c r="M122" i="16"/>
  <c r="O122" i="16" s="1"/>
  <c r="D122" i="16" s="1"/>
  <c r="M129" i="17"/>
  <c r="O129" i="17" s="1"/>
  <c r="D129" i="17" s="1"/>
  <c r="M137" i="17"/>
  <c r="O137" i="17" s="1"/>
  <c r="D137" i="17" s="1"/>
  <c r="M124" i="19"/>
  <c r="M132" i="17"/>
  <c r="O132" i="17" s="1"/>
  <c r="D132" i="17" s="1"/>
  <c r="M119" i="16"/>
  <c r="C119" i="16" s="1"/>
  <c r="M126" i="17"/>
  <c r="C126" i="17" s="1"/>
  <c r="M135" i="16"/>
  <c r="C135" i="16" s="1"/>
  <c r="M120" i="19"/>
  <c r="C120" i="19" s="1"/>
  <c r="M128" i="19"/>
  <c r="M136" i="17"/>
  <c r="C136" i="17" s="1"/>
  <c r="M124" i="18"/>
  <c r="O124" i="18" s="1"/>
  <c r="D124" i="18" s="1"/>
  <c r="M132" i="19"/>
  <c r="C132" i="19" s="1"/>
  <c r="M119" i="17"/>
  <c r="O119" i="17" s="1"/>
  <c r="D119" i="17" s="1"/>
  <c r="M128" i="16"/>
  <c r="O128" i="16" s="1"/>
  <c r="D128" i="16" s="1"/>
  <c r="M135" i="18"/>
  <c r="C135" i="18" s="1"/>
  <c r="M121" i="18"/>
  <c r="O121" i="18" s="1"/>
  <c r="D121" i="18" s="1"/>
  <c r="M129" i="19"/>
  <c r="M138" i="16"/>
  <c r="C138" i="16" s="1"/>
  <c r="M125" i="19"/>
  <c r="M133" i="17"/>
  <c r="C133" i="17" s="1"/>
  <c r="M123" i="17"/>
  <c r="O123" i="17" s="1"/>
  <c r="D123" i="17" s="1"/>
  <c r="M131" i="18"/>
  <c r="O131" i="18" s="1"/>
  <c r="D131" i="18" s="1"/>
  <c r="M118" i="18"/>
  <c r="C118" i="18" s="1"/>
  <c r="M126" i="19"/>
  <c r="C126" i="19" s="1"/>
  <c r="M134" i="18"/>
  <c r="O134" i="18" s="1"/>
  <c r="D134" i="18" s="1"/>
  <c r="M120" i="18"/>
  <c r="O120" i="18" s="1"/>
  <c r="D120" i="18" s="1"/>
  <c r="M129" i="16"/>
  <c r="O129" i="16" s="1"/>
  <c r="D129" i="16" s="1"/>
  <c r="M136" i="19"/>
  <c r="C136" i="19" s="1"/>
  <c r="M122" i="19"/>
  <c r="M130" i="17"/>
  <c r="O130" i="17" s="1"/>
  <c r="D130" i="17" s="1"/>
  <c r="M118" i="17"/>
  <c r="O118" i="17" s="1"/>
  <c r="D118" i="17" s="1"/>
  <c r="M127" i="16"/>
  <c r="O127" i="16" s="1"/>
  <c r="D127" i="16" s="1"/>
  <c r="M134" i="17"/>
  <c r="C134" i="17" s="1"/>
  <c r="M121" i="17"/>
  <c r="O121" i="17" s="1"/>
  <c r="D121" i="17" s="1"/>
  <c r="M130" i="16"/>
  <c r="C130" i="16" s="1"/>
  <c r="M137" i="18"/>
  <c r="O137" i="18" s="1"/>
  <c r="D137" i="18" s="1"/>
  <c r="M123" i="19"/>
  <c r="M131" i="17"/>
  <c r="C131" i="17" s="1"/>
  <c r="M120" i="16"/>
  <c r="O120" i="16" s="1"/>
  <c r="D120" i="16" s="1"/>
  <c r="M127" i="18"/>
  <c r="C127" i="18" s="1"/>
  <c r="M135" i="19"/>
  <c r="M125" i="18"/>
  <c r="O125" i="18" s="1"/>
  <c r="D125" i="18" s="1"/>
  <c r="M133" i="19"/>
  <c r="M120" i="17"/>
  <c r="O120" i="17" s="1"/>
  <c r="D120" i="17" s="1"/>
  <c r="M128" i="18"/>
  <c r="O128" i="18" s="1"/>
  <c r="D128" i="18" s="1"/>
  <c r="M136" i="18"/>
  <c r="O136" i="18" s="1"/>
  <c r="D136" i="18" s="1"/>
  <c r="M122" i="17"/>
  <c r="O122" i="17" s="1"/>
  <c r="D122" i="17" s="1"/>
  <c r="M131" i="16"/>
  <c r="C131" i="16" s="1"/>
  <c r="M138" i="17"/>
  <c r="O138" i="17" s="1"/>
  <c r="D138" i="17" s="1"/>
  <c r="M125" i="16"/>
  <c r="C125" i="16" s="1"/>
  <c r="M133" i="16"/>
  <c r="C133" i="16" s="1"/>
  <c r="M121" i="16"/>
  <c r="C121" i="16" s="1"/>
  <c r="M128" i="17"/>
  <c r="O128" i="17" s="1"/>
  <c r="D128" i="17" s="1"/>
  <c r="M137" i="16"/>
  <c r="O137" i="16" s="1"/>
  <c r="D137" i="16" s="1"/>
  <c r="M123" i="18"/>
  <c r="C123" i="18" s="1"/>
  <c r="M131" i="19"/>
  <c r="C131" i="19" s="1"/>
  <c r="M118" i="16"/>
  <c r="O118" i="16" s="1"/>
  <c r="D118" i="16" s="1"/>
  <c r="M126" i="16"/>
  <c r="C126" i="16" s="1"/>
  <c r="M134" i="16"/>
  <c r="O134" i="16" s="1"/>
  <c r="D134" i="16" s="1"/>
  <c r="M121" i="19"/>
  <c r="C121" i="19" s="1"/>
  <c r="M129" i="18"/>
  <c r="C129" i="18" s="1"/>
  <c r="M137" i="19"/>
  <c r="M132" i="14"/>
  <c r="C132" i="14" s="1"/>
  <c r="M135" i="14"/>
  <c r="C135" i="14" s="1"/>
  <c r="M119" i="14"/>
  <c r="C119" i="14" s="1"/>
  <c r="M126" i="14"/>
  <c r="C126" i="14" s="1"/>
  <c r="M133" i="14"/>
  <c r="C133" i="14" s="1"/>
  <c r="M132" i="16"/>
  <c r="O132" i="16" s="1"/>
  <c r="D132" i="16" s="1"/>
  <c r="M119" i="18"/>
  <c r="O119" i="18" s="1"/>
  <c r="D119" i="18" s="1"/>
  <c r="M130" i="18"/>
  <c r="O130" i="18" s="1"/>
  <c r="D130" i="18" s="1"/>
  <c r="M118" i="19"/>
  <c r="M130" i="19"/>
  <c r="C130" i="19" s="1"/>
  <c r="M119" i="19"/>
  <c r="M139" i="16"/>
  <c r="C139" i="16" s="1"/>
  <c r="M139" i="14"/>
  <c r="C139" i="14" s="1"/>
  <c r="M139" i="19"/>
  <c r="M139" i="18"/>
  <c r="C139" i="18" s="1"/>
  <c r="M139" i="17"/>
  <c r="O139" i="17" s="1"/>
  <c r="D139" i="17" s="1"/>
  <c r="M140" i="14"/>
  <c r="C140" i="14" s="1"/>
  <c r="M143" i="14"/>
  <c r="C143" i="14" s="1"/>
  <c r="M146" i="14"/>
  <c r="C146" i="14" s="1"/>
  <c r="M153" i="14"/>
  <c r="C153" i="14" s="1"/>
  <c r="M147" i="17"/>
  <c r="O147" i="17" s="1"/>
  <c r="D147" i="17" s="1"/>
  <c r="M151" i="19"/>
  <c r="C151" i="19" s="1"/>
  <c r="M142" i="17"/>
  <c r="O142" i="17" s="1"/>
  <c r="D142" i="17" s="1"/>
  <c r="M147" i="16"/>
  <c r="C147" i="16" s="1"/>
  <c r="M150" i="19"/>
  <c r="M143" i="18"/>
  <c r="O143" i="18" s="1"/>
  <c r="D143" i="18" s="1"/>
  <c r="M142" i="14"/>
  <c r="C142" i="14" s="1"/>
  <c r="M149" i="14"/>
  <c r="C149" i="14" s="1"/>
  <c r="M145" i="19"/>
  <c r="M149" i="18"/>
  <c r="C149" i="18" s="1"/>
  <c r="M140" i="17"/>
  <c r="C140" i="17" s="1"/>
  <c r="M145" i="16"/>
  <c r="O145" i="16" s="1"/>
  <c r="D145" i="16" s="1"/>
  <c r="M148" i="17"/>
  <c r="C148" i="17" s="1"/>
  <c r="M152" i="18"/>
  <c r="C152" i="18" s="1"/>
  <c r="M142" i="16"/>
  <c r="O142" i="16" s="1"/>
  <c r="D142" i="16" s="1"/>
  <c r="M145" i="14"/>
  <c r="C145" i="14" s="1"/>
  <c r="M143" i="19"/>
  <c r="M147" i="18"/>
  <c r="O147" i="18" s="1"/>
  <c r="D147" i="18" s="1"/>
  <c r="M151" i="17"/>
  <c r="O151" i="17" s="1"/>
  <c r="D151" i="17" s="1"/>
  <c r="M143" i="16"/>
  <c r="O143" i="16" s="1"/>
  <c r="D143" i="16" s="1"/>
  <c r="M146" i="17"/>
  <c r="O146" i="17" s="1"/>
  <c r="D146" i="17" s="1"/>
  <c r="M150" i="18"/>
  <c r="C150" i="18" s="1"/>
  <c r="M141" i="14"/>
  <c r="C141" i="14" s="1"/>
  <c r="M141" i="19"/>
  <c r="C141" i="19" s="1"/>
  <c r="M146" i="16"/>
  <c r="C146" i="16" s="1"/>
  <c r="M149" i="19"/>
  <c r="M152" i="17"/>
  <c r="O152" i="17" s="1"/>
  <c r="D152" i="17" s="1"/>
  <c r="M140" i="18"/>
  <c r="C140" i="18" s="1"/>
  <c r="M144" i="17"/>
  <c r="C144" i="17" s="1"/>
  <c r="M149" i="16"/>
  <c r="O149" i="16" s="1"/>
  <c r="D149" i="16" s="1"/>
  <c r="M153" i="18"/>
  <c r="O153" i="18" s="1"/>
  <c r="D153" i="18" s="1"/>
  <c r="M140" i="16"/>
  <c r="O140" i="16" s="1"/>
  <c r="D140" i="16" s="1"/>
  <c r="M144" i="16"/>
  <c r="O144" i="16" s="1"/>
  <c r="D144" i="16" s="1"/>
  <c r="M148" i="16"/>
  <c r="O148" i="16" s="1"/>
  <c r="D148" i="16" s="1"/>
  <c r="M150" i="17"/>
  <c r="O150" i="17" s="1"/>
  <c r="D150" i="17" s="1"/>
  <c r="M142" i="18"/>
  <c r="O142" i="18" s="1"/>
  <c r="D142" i="18" s="1"/>
  <c r="M146" i="18"/>
  <c r="C146" i="18" s="1"/>
  <c r="M151" i="18"/>
  <c r="O151" i="18" s="1"/>
  <c r="D151" i="18" s="1"/>
  <c r="M152" i="14"/>
  <c r="C152" i="14" s="1"/>
  <c r="M153" i="17"/>
  <c r="C153" i="17" s="1"/>
  <c r="M141" i="17"/>
  <c r="O141" i="17" s="1"/>
  <c r="D141" i="17" s="1"/>
  <c r="M145" i="18"/>
  <c r="O145" i="18" s="1"/>
  <c r="D145" i="18" s="1"/>
  <c r="M148" i="19"/>
  <c r="M152" i="19"/>
  <c r="M141" i="16"/>
  <c r="O141" i="16" s="1"/>
  <c r="D141" i="16" s="1"/>
  <c r="M144" i="19"/>
  <c r="M149" i="17"/>
  <c r="C149" i="17" s="1"/>
  <c r="M148" i="14"/>
  <c r="C148" i="14" s="1"/>
  <c r="M151" i="14"/>
  <c r="C151" i="14" s="1"/>
  <c r="M152" i="16"/>
  <c r="O152" i="16" s="1"/>
  <c r="D152" i="16" s="1"/>
  <c r="M143" i="17"/>
  <c r="O143" i="17" s="1"/>
  <c r="D143" i="17" s="1"/>
  <c r="M146" i="19"/>
  <c r="M151" i="16"/>
  <c r="C151" i="16" s="1"/>
  <c r="M142" i="19"/>
  <c r="M147" i="19"/>
  <c r="M144" i="14"/>
  <c r="C144" i="14" s="1"/>
  <c r="M147" i="14"/>
  <c r="C147" i="14" s="1"/>
  <c r="M150" i="14"/>
  <c r="C150" i="14" s="1"/>
  <c r="M150" i="16"/>
  <c r="C150" i="16" s="1"/>
  <c r="M153" i="19"/>
  <c r="M141" i="18"/>
  <c r="C141" i="18" s="1"/>
  <c r="M144" i="18"/>
  <c r="C144" i="18" s="1"/>
  <c r="M148" i="18"/>
  <c r="C148" i="18" s="1"/>
  <c r="M153" i="16"/>
  <c r="O153" i="16" s="1"/>
  <c r="D153" i="16" s="1"/>
  <c r="M140" i="19"/>
  <c r="O151" i="19"/>
  <c r="D151" i="19" s="1"/>
  <c r="M155" i="17"/>
  <c r="M157" i="18"/>
  <c r="M159" i="17"/>
  <c r="M154" i="17"/>
  <c r="M156" i="18"/>
  <c r="M159" i="16"/>
  <c r="M161" i="16"/>
  <c r="M155" i="16"/>
  <c r="M156" i="17"/>
  <c r="M158" i="18"/>
  <c r="M160" i="18"/>
  <c r="M162" i="18"/>
  <c r="M164" i="18"/>
  <c r="M166" i="17"/>
  <c r="M168" i="19"/>
  <c r="C168" i="19" s="1"/>
  <c r="M171" i="16"/>
  <c r="M172" i="18"/>
  <c r="M154" i="18"/>
  <c r="M157" i="16"/>
  <c r="M158" i="19"/>
  <c r="C158" i="19" s="1"/>
  <c r="M160" i="17"/>
  <c r="M154" i="19"/>
  <c r="C154" i="19" s="1"/>
  <c r="M156" i="19"/>
  <c r="C156" i="19" s="1"/>
  <c r="M158" i="17"/>
  <c r="M160" i="19"/>
  <c r="C160" i="19" s="1"/>
  <c r="M154" i="16"/>
  <c r="M156" i="16"/>
  <c r="M157" i="19"/>
  <c r="C157" i="19" s="1"/>
  <c r="M159" i="18"/>
  <c r="M161" i="17"/>
  <c r="M155" i="19"/>
  <c r="C155" i="19" s="1"/>
  <c r="M157" i="17"/>
  <c r="M159" i="19"/>
  <c r="C159" i="19" s="1"/>
  <c r="M162" i="16"/>
  <c r="M163" i="17"/>
  <c r="M165" i="19"/>
  <c r="C165" i="19" s="1"/>
  <c r="M167" i="18"/>
  <c r="M169" i="18"/>
  <c r="M171" i="18"/>
  <c r="M174" i="16"/>
  <c r="M155" i="18"/>
  <c r="M158" i="16"/>
  <c r="M160" i="16"/>
  <c r="M161" i="19"/>
  <c r="C161" i="19" s="1"/>
  <c r="M164" i="17"/>
  <c r="M166" i="18"/>
  <c r="M169" i="17"/>
  <c r="M172" i="19"/>
  <c r="C172" i="19" s="1"/>
  <c r="M174" i="17"/>
  <c r="M176" i="18"/>
  <c r="M178" i="19"/>
  <c r="C178" i="19" s="1"/>
  <c r="M180" i="18"/>
  <c r="M182" i="19"/>
  <c r="C182" i="19" s="1"/>
  <c r="M184" i="19"/>
  <c r="C184" i="19" s="1"/>
  <c r="M161" i="18"/>
  <c r="M164" i="19"/>
  <c r="C164" i="19" s="1"/>
  <c r="M168" i="16"/>
  <c r="M169" i="19"/>
  <c r="C169" i="19" s="1"/>
  <c r="M172" i="17"/>
  <c r="M174" i="19"/>
  <c r="C174" i="19" s="1"/>
  <c r="M177" i="16"/>
  <c r="M178" i="17"/>
  <c r="M181" i="16"/>
  <c r="M182" i="17"/>
  <c r="M163" i="16"/>
  <c r="M165" i="16"/>
  <c r="M167" i="17"/>
  <c r="M170" i="19"/>
  <c r="C170" i="19" s="1"/>
  <c r="M173" i="16"/>
  <c r="M175" i="19"/>
  <c r="C175" i="19" s="1"/>
  <c r="M177" i="18"/>
  <c r="M179" i="18"/>
  <c r="M181" i="19"/>
  <c r="C181" i="19" s="1"/>
  <c r="M183" i="18"/>
  <c r="M162" i="17"/>
  <c r="M165" i="17"/>
  <c r="M167" i="19"/>
  <c r="C167" i="19" s="1"/>
  <c r="M170" i="17"/>
  <c r="M173" i="19"/>
  <c r="C173" i="19" s="1"/>
  <c r="M175" i="18"/>
  <c r="M177" i="19"/>
  <c r="C177" i="19" s="1"/>
  <c r="M179" i="17"/>
  <c r="M181" i="17"/>
  <c r="M184" i="16"/>
  <c r="M162" i="19"/>
  <c r="C162" i="19" s="1"/>
  <c r="M165" i="18"/>
  <c r="M169" i="16"/>
  <c r="M170" i="18"/>
  <c r="M173" i="17"/>
  <c r="M175" i="17"/>
  <c r="M178" i="16"/>
  <c r="M180" i="16"/>
  <c r="M181" i="18"/>
  <c r="M183" i="19"/>
  <c r="C183" i="19" s="1"/>
  <c r="M163" i="18"/>
  <c r="M166" i="16"/>
  <c r="M168" i="18"/>
  <c r="M172" i="16"/>
  <c r="M173" i="18"/>
  <c r="M176" i="16"/>
  <c r="M177" i="17"/>
  <c r="M179" i="19"/>
  <c r="C179" i="19" s="1"/>
  <c r="M182" i="16"/>
  <c r="M183" i="17"/>
  <c r="M164" i="16"/>
  <c r="M166" i="19"/>
  <c r="C166" i="19" s="1"/>
  <c r="M168" i="17"/>
  <c r="M171" i="19"/>
  <c r="C171" i="19" s="1"/>
  <c r="M174" i="18"/>
  <c r="M176" i="17"/>
  <c r="M178" i="18"/>
  <c r="M180" i="19"/>
  <c r="C180" i="19" s="1"/>
  <c r="M183" i="16"/>
  <c r="M184" i="18"/>
  <c r="M163" i="19"/>
  <c r="C163" i="19" s="1"/>
  <c r="M167" i="16"/>
  <c r="M170" i="16"/>
  <c r="M171" i="17"/>
  <c r="M175" i="16"/>
  <c r="M176" i="19"/>
  <c r="C176" i="19" s="1"/>
  <c r="M179" i="16"/>
  <c r="M180" i="17"/>
  <c r="M182" i="18"/>
  <c r="M184" i="17"/>
  <c r="O124" i="16"/>
  <c r="D124" i="16" s="1"/>
  <c r="O127" i="17"/>
  <c r="D127" i="17" s="1"/>
  <c r="O132" i="18"/>
  <c r="D132" i="18" s="1"/>
  <c r="C132" i="18"/>
  <c r="C133" i="18"/>
  <c r="O133" i="18"/>
  <c r="D133" i="18" s="1"/>
  <c r="BN113" i="19"/>
  <c r="BO113" i="19" s="1"/>
  <c r="BQ113" i="19" s="1"/>
  <c r="AO102" i="19"/>
  <c r="AR101" i="19"/>
  <c r="BB109" i="19"/>
  <c r="BC109" i="19" s="1"/>
  <c r="BE109" i="19" s="1"/>
  <c r="AD100" i="19"/>
  <c r="AE100" i="19" s="1"/>
  <c r="AG100" i="19" s="1"/>
  <c r="BM102" i="18"/>
  <c r="AC100" i="18"/>
  <c r="BP101" i="18"/>
  <c r="AF99" i="18"/>
  <c r="BA101" i="18"/>
  <c r="BD100" i="18"/>
  <c r="AP112" i="18"/>
  <c r="AQ112" i="18" s="1"/>
  <c r="AS112" i="18" s="1"/>
  <c r="BN104" i="17"/>
  <c r="BO104" i="17" s="1"/>
  <c r="BQ104" i="17" s="1"/>
  <c r="BB104" i="17"/>
  <c r="BC104" i="17" s="1"/>
  <c r="BE104" i="17" s="1"/>
  <c r="AC102" i="17"/>
  <c r="AF101" i="17"/>
  <c r="AP100" i="17"/>
  <c r="AQ100" i="17" s="1"/>
  <c r="AS100" i="17" s="1"/>
  <c r="BA102" i="16"/>
  <c r="AC104" i="16"/>
  <c r="BM102" i="16"/>
  <c r="AF103" i="16"/>
  <c r="BP101" i="16"/>
  <c r="BD101" i="16"/>
  <c r="AP101" i="16"/>
  <c r="AQ101" i="16" s="1"/>
  <c r="AS101" i="16" s="1"/>
  <c r="BM108" i="14"/>
  <c r="BP107" i="14"/>
  <c r="BA103" i="14"/>
  <c r="BD102" i="14"/>
  <c r="AP108" i="14"/>
  <c r="AQ108" i="14" s="1"/>
  <c r="AS108" i="14" s="1"/>
  <c r="AE74" i="14"/>
  <c r="AG74" i="14" s="1"/>
  <c r="H52" i="1"/>
  <c r="H35" i="1" s="1"/>
  <c r="M157" i="14"/>
  <c r="M161" i="14"/>
  <c r="M165" i="14"/>
  <c r="M169" i="14"/>
  <c r="M173" i="14"/>
  <c r="M177" i="14"/>
  <c r="M181" i="14"/>
  <c r="M154" i="14"/>
  <c r="M158" i="14"/>
  <c r="M162" i="14"/>
  <c r="M166" i="14"/>
  <c r="M170" i="14"/>
  <c r="M174" i="14"/>
  <c r="C174" i="14" s="1"/>
  <c r="M178" i="14"/>
  <c r="M182" i="14"/>
  <c r="M155" i="14"/>
  <c r="M159" i="14"/>
  <c r="M163" i="14"/>
  <c r="C163" i="14" s="1"/>
  <c r="M167" i="14"/>
  <c r="M171" i="14"/>
  <c r="M175" i="14"/>
  <c r="M179" i="14"/>
  <c r="M183" i="14"/>
  <c r="M156" i="14"/>
  <c r="M160" i="14"/>
  <c r="M164" i="14"/>
  <c r="M168" i="14"/>
  <c r="M172" i="14"/>
  <c r="M176" i="14"/>
  <c r="M180" i="14"/>
  <c r="M184" i="14"/>
  <c r="O138" i="14"/>
  <c r="D138" i="14" s="1"/>
  <c r="O60" i="16" l="1"/>
  <c r="D60" i="16" s="1"/>
  <c r="C61" i="14"/>
  <c r="O53" i="16"/>
  <c r="D53" i="16" s="1"/>
  <c r="C63" i="17"/>
  <c r="O56" i="17"/>
  <c r="D56" i="17" s="1"/>
  <c r="C20" i="19"/>
  <c r="C17" i="19"/>
  <c r="C52" i="16"/>
  <c r="C18" i="17"/>
  <c r="O14" i="17"/>
  <c r="D14" i="17" s="1"/>
  <c r="C62" i="18"/>
  <c r="O20" i="14"/>
  <c r="D20" i="14" s="1"/>
  <c r="O24" i="19"/>
  <c r="D24" i="19" s="1"/>
  <c r="O13" i="17"/>
  <c r="D13" i="17" s="1"/>
  <c r="C24" i="16"/>
  <c r="O13" i="18"/>
  <c r="D13" i="18" s="1"/>
  <c r="O129" i="14"/>
  <c r="D129" i="14" s="1"/>
  <c r="O55" i="14"/>
  <c r="D55" i="14" s="1"/>
  <c r="C59" i="16"/>
  <c r="C62" i="14"/>
  <c r="C132" i="17"/>
  <c r="O53" i="19"/>
  <c r="D53" i="19" s="1"/>
  <c r="C57" i="16"/>
  <c r="O53" i="14"/>
  <c r="D53" i="14" s="1"/>
  <c r="C56" i="14"/>
  <c r="C58" i="19"/>
  <c r="O19" i="14"/>
  <c r="D19" i="14" s="1"/>
  <c r="C15" i="17"/>
  <c r="O13" i="16"/>
  <c r="D13" i="16" s="1"/>
  <c r="O124" i="14"/>
  <c r="D124" i="14" s="1"/>
  <c r="C53" i="17"/>
  <c r="O130" i="16"/>
  <c r="D130" i="16" s="1"/>
  <c r="O54" i="17"/>
  <c r="D54" i="17" s="1"/>
  <c r="O59" i="19"/>
  <c r="D59" i="19" s="1"/>
  <c r="O19" i="17"/>
  <c r="D19" i="17" s="1"/>
  <c r="O135" i="18"/>
  <c r="D135" i="18" s="1"/>
  <c r="C120" i="16"/>
  <c r="O58" i="17"/>
  <c r="D58" i="17" s="1"/>
  <c r="O128" i="14"/>
  <c r="D128" i="14" s="1"/>
  <c r="O61" i="19"/>
  <c r="D61" i="19" s="1"/>
  <c r="C53" i="18"/>
  <c r="O20" i="18"/>
  <c r="D20" i="18" s="1"/>
  <c r="O17" i="16"/>
  <c r="D17" i="16" s="1"/>
  <c r="C20" i="17"/>
  <c r="C15" i="18"/>
  <c r="O57" i="14"/>
  <c r="D57" i="14" s="1"/>
  <c r="C118" i="17"/>
  <c r="O52" i="18"/>
  <c r="D52" i="18" s="1"/>
  <c r="C52" i="19"/>
  <c r="O16" i="14"/>
  <c r="D16" i="14" s="1"/>
  <c r="O15" i="16"/>
  <c r="D15" i="16" s="1"/>
  <c r="O18" i="19"/>
  <c r="D18" i="19" s="1"/>
  <c r="O59" i="18"/>
  <c r="D59" i="18" s="1"/>
  <c r="C13" i="19"/>
  <c r="C11" i="18"/>
  <c r="O11" i="18"/>
  <c r="D11" i="18" s="1"/>
  <c r="C8" i="19"/>
  <c r="O8" i="19"/>
  <c r="D8" i="19" s="1"/>
  <c r="O5" i="18"/>
  <c r="C5" i="18"/>
  <c r="O9" i="17"/>
  <c r="D9" i="17" s="1"/>
  <c r="C9" i="17"/>
  <c r="O12" i="14"/>
  <c r="D12" i="14" s="1"/>
  <c r="C12" i="14"/>
  <c r="O20" i="16"/>
  <c r="D20" i="16" s="1"/>
  <c r="C12" i="17"/>
  <c r="O12" i="17"/>
  <c r="D12" i="17" s="1"/>
  <c r="O4" i="19"/>
  <c r="D4" i="19" s="1"/>
  <c r="C4" i="19"/>
  <c r="O5" i="14"/>
  <c r="C5" i="14"/>
  <c r="C5" i="15" s="1"/>
  <c r="E5" i="15" s="1"/>
  <c r="O12" i="18"/>
  <c r="D12" i="18" s="1"/>
  <c r="C12" i="18"/>
  <c r="O11" i="16"/>
  <c r="D11" i="16" s="1"/>
  <c r="C11" i="16"/>
  <c r="C7" i="18"/>
  <c r="O7" i="18"/>
  <c r="D7" i="18" s="1"/>
  <c r="O9" i="18"/>
  <c r="D9" i="18" s="1"/>
  <c r="C9" i="18"/>
  <c r="O105" i="14"/>
  <c r="D105" i="14" s="1"/>
  <c r="O60" i="17"/>
  <c r="D60" i="17" s="1"/>
  <c r="C58" i="18"/>
  <c r="C6" i="19"/>
  <c r="O6" i="19"/>
  <c r="D6" i="19" s="1"/>
  <c r="O4" i="16"/>
  <c r="D4" i="16" s="1"/>
  <c r="C4" i="16"/>
  <c r="O7" i="14"/>
  <c r="D7" i="14" s="1"/>
  <c r="C7" i="14"/>
  <c r="C7" i="15" s="1"/>
  <c r="E7" i="15" s="1"/>
  <c r="O11" i="17"/>
  <c r="D11" i="17" s="1"/>
  <c r="C11" i="17"/>
  <c r="O8" i="18"/>
  <c r="D8" i="18" s="1"/>
  <c r="C8" i="18"/>
  <c r="C7" i="19"/>
  <c r="O7" i="19"/>
  <c r="O19" i="19"/>
  <c r="D19" i="19" s="1"/>
  <c r="O9" i="19"/>
  <c r="D9" i="19" s="1"/>
  <c r="C9" i="19"/>
  <c r="C10" i="18"/>
  <c r="O10" i="18"/>
  <c r="D10" i="18" s="1"/>
  <c r="C10" i="14"/>
  <c r="O10" i="14"/>
  <c r="D10" i="14" s="1"/>
  <c r="C12" i="19"/>
  <c r="O12" i="19"/>
  <c r="D12" i="19" s="1"/>
  <c r="C6" i="18"/>
  <c r="O6" i="18"/>
  <c r="C4" i="14"/>
  <c r="C4" i="15" s="1"/>
  <c r="E4" i="15" s="1"/>
  <c r="O4" i="14"/>
  <c r="D4" i="14" s="1"/>
  <c r="C58" i="14"/>
  <c r="C55" i="16"/>
  <c r="O22" i="17"/>
  <c r="D22" i="17" s="1"/>
  <c r="C16" i="18"/>
  <c r="O15" i="19"/>
  <c r="D15" i="19" s="1"/>
  <c r="C4" i="17"/>
  <c r="O4" i="17"/>
  <c r="D4" i="17" s="1"/>
  <c r="O10" i="17"/>
  <c r="D10" i="17" s="1"/>
  <c r="C10" i="17"/>
  <c r="C12" i="16"/>
  <c r="O12" i="16"/>
  <c r="D12" i="16" s="1"/>
  <c r="O7" i="16"/>
  <c r="D7" i="16" s="1"/>
  <c r="C7" i="16"/>
  <c r="O8" i="14"/>
  <c r="D8" i="14" s="1"/>
  <c r="C8" i="14"/>
  <c r="C120" i="17"/>
  <c r="C52" i="17"/>
  <c r="C24" i="17"/>
  <c r="O24" i="14"/>
  <c r="D24" i="14" s="1"/>
  <c r="O21" i="18"/>
  <c r="D21" i="18" s="1"/>
  <c r="O14" i="19"/>
  <c r="D14" i="19" s="1"/>
  <c r="C8" i="17"/>
  <c r="O8" i="17"/>
  <c r="D8" i="17" s="1"/>
  <c r="O11" i="19"/>
  <c r="D11" i="19" s="1"/>
  <c r="C11" i="19"/>
  <c r="O5" i="19"/>
  <c r="C5" i="19"/>
  <c r="O5" i="16"/>
  <c r="C5" i="16"/>
  <c r="O6" i="17"/>
  <c r="D6" i="17" s="1"/>
  <c r="C6" i="17"/>
  <c r="C57" i="18"/>
  <c r="C14" i="18"/>
  <c r="C11" i="14"/>
  <c r="O11" i="14"/>
  <c r="D11" i="14" s="1"/>
  <c r="C6" i="14"/>
  <c r="C6" i="15" s="1"/>
  <c r="E6" i="15" s="1"/>
  <c r="O6" i="14"/>
  <c r="D6" i="14" s="1"/>
  <c r="O9" i="16"/>
  <c r="D9" i="16" s="1"/>
  <c r="C9" i="16"/>
  <c r="O7" i="17"/>
  <c r="C7" i="17"/>
  <c r="C10" i="16"/>
  <c r="O10" i="16"/>
  <c r="D10" i="16" s="1"/>
  <c r="C6" i="16"/>
  <c r="O6" i="16"/>
  <c r="C9" i="14"/>
  <c r="O9" i="14"/>
  <c r="D9" i="14" s="1"/>
  <c r="O4" i="18"/>
  <c r="D4" i="18" s="1"/>
  <c r="C4" i="18"/>
  <c r="C8" i="16"/>
  <c r="O8" i="16"/>
  <c r="D8" i="16" s="1"/>
  <c r="O5" i="17"/>
  <c r="C5" i="17"/>
  <c r="C10" i="19"/>
  <c r="O10" i="19"/>
  <c r="D10" i="19" s="1"/>
  <c r="O126" i="17"/>
  <c r="D126" i="17" s="1"/>
  <c r="O131" i="19"/>
  <c r="D131" i="19" s="1"/>
  <c r="C59" i="17"/>
  <c r="O61" i="18"/>
  <c r="D61" i="18" s="1"/>
  <c r="O54" i="16"/>
  <c r="D54" i="16" s="1"/>
  <c r="C62" i="17"/>
  <c r="C57" i="17"/>
  <c r="O63" i="16"/>
  <c r="D63" i="16" s="1"/>
  <c r="O56" i="18"/>
  <c r="D56" i="18" s="1"/>
  <c r="O138" i="19"/>
  <c r="D138" i="19" s="1"/>
  <c r="O127" i="18"/>
  <c r="D127" i="18" s="1"/>
  <c r="C122" i="16"/>
  <c r="O120" i="14"/>
  <c r="D120" i="14" s="1"/>
  <c r="O118" i="14"/>
  <c r="D118" i="14" s="1"/>
  <c r="C60" i="14"/>
  <c r="C138" i="18"/>
  <c r="C128" i="16"/>
  <c r="C54" i="19"/>
  <c r="C127" i="16"/>
  <c r="O56" i="19"/>
  <c r="D56" i="19" s="1"/>
  <c r="O120" i="19"/>
  <c r="D120" i="19" s="1"/>
  <c r="O135" i="14"/>
  <c r="D135" i="14" s="1"/>
  <c r="C121" i="18"/>
  <c r="C61" i="17"/>
  <c r="O131" i="16"/>
  <c r="D131" i="16" s="1"/>
  <c r="O126" i="19"/>
  <c r="D126" i="19" s="1"/>
  <c r="O130" i="19"/>
  <c r="D130" i="19" s="1"/>
  <c r="C61" i="16"/>
  <c r="O123" i="16"/>
  <c r="D123" i="16" s="1"/>
  <c r="O134" i="19"/>
  <c r="D134" i="19" s="1"/>
  <c r="O121" i="16"/>
  <c r="D121" i="16" s="1"/>
  <c r="C132" i="16"/>
  <c r="O132" i="19"/>
  <c r="D132" i="19" s="1"/>
  <c r="O110" i="14"/>
  <c r="D110" i="14" s="1"/>
  <c r="C137" i="18"/>
  <c r="C56" i="16"/>
  <c r="O148" i="14"/>
  <c r="D148" i="14" s="1"/>
  <c r="O63" i="14"/>
  <c r="D63" i="14" s="1"/>
  <c r="O55" i="17"/>
  <c r="D55" i="17" s="1"/>
  <c r="O121" i="14"/>
  <c r="D121" i="14" s="1"/>
  <c r="O133" i="17"/>
  <c r="D133" i="17" s="1"/>
  <c r="O136" i="19"/>
  <c r="D136" i="19" s="1"/>
  <c r="C45" i="18"/>
  <c r="O45" i="18"/>
  <c r="D45" i="18" s="1"/>
  <c r="C31" i="14"/>
  <c r="O31" i="14"/>
  <c r="D31" i="14" s="1"/>
  <c r="C39" i="18"/>
  <c r="O39" i="18"/>
  <c r="D39" i="18" s="1"/>
  <c r="C121" i="17"/>
  <c r="C50" i="18"/>
  <c r="O50" i="18"/>
  <c r="D50" i="18" s="1"/>
  <c r="C51" i="16"/>
  <c r="O51" i="16"/>
  <c r="D51" i="16" s="1"/>
  <c r="C48" i="19"/>
  <c r="O48" i="19"/>
  <c r="D48" i="19" s="1"/>
  <c r="C42" i="17"/>
  <c r="O42" i="17"/>
  <c r="D42" i="17" s="1"/>
  <c r="O46" i="14"/>
  <c r="D46" i="14" s="1"/>
  <c r="C46" i="14"/>
  <c r="O48" i="16"/>
  <c r="D48" i="16" s="1"/>
  <c r="C48" i="16"/>
  <c r="C51" i="14"/>
  <c r="O51" i="14"/>
  <c r="D51" i="14" s="1"/>
  <c r="O48" i="14"/>
  <c r="D48" i="14" s="1"/>
  <c r="C48" i="14"/>
  <c r="C37" i="19"/>
  <c r="O37" i="19"/>
  <c r="D37" i="19" s="1"/>
  <c r="O39" i="17"/>
  <c r="D39" i="17" s="1"/>
  <c r="C39" i="17"/>
  <c r="O36" i="18"/>
  <c r="D36" i="18" s="1"/>
  <c r="C36" i="18"/>
  <c r="C33" i="19"/>
  <c r="O33" i="19"/>
  <c r="D33" i="19" s="1"/>
  <c r="O33" i="17"/>
  <c r="D33" i="17" s="1"/>
  <c r="C33" i="17"/>
  <c r="O37" i="18"/>
  <c r="D37" i="18" s="1"/>
  <c r="C37" i="18"/>
  <c r="C38" i="18"/>
  <c r="O38" i="18"/>
  <c r="D38" i="18" s="1"/>
  <c r="C26" i="19"/>
  <c r="O26" i="19"/>
  <c r="D26" i="19" s="1"/>
  <c r="C25" i="14"/>
  <c r="O25" i="14"/>
  <c r="D25" i="14" s="1"/>
  <c r="O47" i="16"/>
  <c r="D47" i="16" s="1"/>
  <c r="C47" i="16"/>
  <c r="C27" i="14"/>
  <c r="O27" i="14"/>
  <c r="D27" i="14" s="1"/>
  <c r="C60" i="18"/>
  <c r="O55" i="19"/>
  <c r="D55" i="19" s="1"/>
  <c r="O60" i="19"/>
  <c r="D60" i="19" s="1"/>
  <c r="O57" i="19"/>
  <c r="D57" i="19" s="1"/>
  <c r="C54" i="14"/>
  <c r="O58" i="16"/>
  <c r="D58" i="16" s="1"/>
  <c r="C41" i="16"/>
  <c r="O41" i="16"/>
  <c r="D41" i="16" s="1"/>
  <c r="C42" i="19"/>
  <c r="O42" i="19"/>
  <c r="D42" i="19" s="1"/>
  <c r="C42" i="14"/>
  <c r="O42" i="14"/>
  <c r="D42" i="14" s="1"/>
  <c r="C40" i="17"/>
  <c r="O40" i="17"/>
  <c r="D40" i="17" s="1"/>
  <c r="O50" i="16"/>
  <c r="D50" i="16" s="1"/>
  <c r="C50" i="16"/>
  <c r="O43" i="17"/>
  <c r="D43" i="17" s="1"/>
  <c r="C43" i="17"/>
  <c r="C47" i="18"/>
  <c r="O47" i="18"/>
  <c r="D47" i="18" s="1"/>
  <c r="C50" i="19"/>
  <c r="O50" i="19"/>
  <c r="D50" i="19" s="1"/>
  <c r="C35" i="19"/>
  <c r="O35" i="19"/>
  <c r="D35" i="19" s="1"/>
  <c r="C30" i="14"/>
  <c r="O30" i="14"/>
  <c r="D30" i="14" s="1"/>
  <c r="O28" i="16"/>
  <c r="D28" i="16" s="1"/>
  <c r="C28" i="16"/>
  <c r="C37" i="14"/>
  <c r="O37" i="14"/>
  <c r="D37" i="14" s="1"/>
  <c r="O36" i="16"/>
  <c r="D36" i="16" s="1"/>
  <c r="C36" i="16"/>
  <c r="C35" i="18"/>
  <c r="O35" i="18"/>
  <c r="D35" i="18" s="1"/>
  <c r="O29" i="16"/>
  <c r="D29" i="16" s="1"/>
  <c r="C29" i="16"/>
  <c r="C26" i="14"/>
  <c r="O26" i="14"/>
  <c r="D26" i="14" s="1"/>
  <c r="C25" i="17"/>
  <c r="O25" i="17"/>
  <c r="D25" i="17" s="1"/>
  <c r="O46" i="16"/>
  <c r="D46" i="16" s="1"/>
  <c r="C46" i="16"/>
  <c r="O27" i="18"/>
  <c r="D27" i="18" s="1"/>
  <c r="C27" i="18"/>
  <c r="C137" i="17"/>
  <c r="O126" i="16"/>
  <c r="D126" i="16" s="1"/>
  <c r="O121" i="19"/>
  <c r="D121" i="19" s="1"/>
  <c r="O141" i="19"/>
  <c r="D141" i="19" s="1"/>
  <c r="O59" i="14"/>
  <c r="D59" i="14" s="1"/>
  <c r="C43" i="14"/>
  <c r="O43" i="14"/>
  <c r="D43" i="14" s="1"/>
  <c r="C40" i="19"/>
  <c r="O40" i="19"/>
  <c r="D40" i="19" s="1"/>
  <c r="C43" i="19"/>
  <c r="O43" i="19"/>
  <c r="D43" i="19" s="1"/>
  <c r="O42" i="16"/>
  <c r="D42" i="16" s="1"/>
  <c r="C42" i="16"/>
  <c r="C44" i="17"/>
  <c r="O44" i="17"/>
  <c r="D44" i="17" s="1"/>
  <c r="C50" i="14"/>
  <c r="O50" i="14"/>
  <c r="D50" i="14" s="1"/>
  <c r="O51" i="17"/>
  <c r="D51" i="17" s="1"/>
  <c r="C51" i="17"/>
  <c r="C49" i="19"/>
  <c r="O49" i="19"/>
  <c r="D49" i="19" s="1"/>
  <c r="C34" i="14"/>
  <c r="O34" i="14"/>
  <c r="D34" i="14" s="1"/>
  <c r="C38" i="14"/>
  <c r="O38" i="14"/>
  <c r="D38" i="14" s="1"/>
  <c r="C28" i="18"/>
  <c r="O28" i="18"/>
  <c r="D28" i="18" s="1"/>
  <c r="O33" i="16"/>
  <c r="D33" i="16" s="1"/>
  <c r="C33" i="16"/>
  <c r="C29" i="17"/>
  <c r="O29" i="17"/>
  <c r="D29" i="17" s="1"/>
  <c r="O32" i="18"/>
  <c r="D32" i="18" s="1"/>
  <c r="C32" i="18"/>
  <c r="O34" i="16"/>
  <c r="D34" i="16" s="1"/>
  <c r="C34" i="16"/>
  <c r="C26" i="16"/>
  <c r="O26" i="16"/>
  <c r="D26" i="16" s="1"/>
  <c r="O25" i="18"/>
  <c r="D25" i="18" s="1"/>
  <c r="C25" i="18"/>
  <c r="C45" i="16"/>
  <c r="O45" i="16"/>
  <c r="D45" i="16" s="1"/>
  <c r="O31" i="17"/>
  <c r="D31" i="17" s="1"/>
  <c r="C31" i="17"/>
  <c r="O126" i="14"/>
  <c r="D126" i="14" s="1"/>
  <c r="C46" i="18"/>
  <c r="O46" i="18"/>
  <c r="D46" i="18" s="1"/>
  <c r="O45" i="14"/>
  <c r="D45" i="14" s="1"/>
  <c r="C45" i="14"/>
  <c r="C44" i="16"/>
  <c r="O44" i="16"/>
  <c r="D44" i="16" s="1"/>
  <c r="C44" i="14"/>
  <c r="O44" i="14"/>
  <c r="D44" i="14" s="1"/>
  <c r="C45" i="19"/>
  <c r="O45" i="19"/>
  <c r="D45" i="19" s="1"/>
  <c r="C44" i="18"/>
  <c r="O44" i="18"/>
  <c r="D44" i="18" s="1"/>
  <c r="O47" i="14"/>
  <c r="D47" i="14" s="1"/>
  <c r="C47" i="14"/>
  <c r="C34" i="17"/>
  <c r="O34" i="17"/>
  <c r="D34" i="17" s="1"/>
  <c r="O30" i="18"/>
  <c r="D30" i="18" s="1"/>
  <c r="C30" i="18"/>
  <c r="C36" i="14"/>
  <c r="O36" i="14"/>
  <c r="D36" i="14" s="1"/>
  <c r="C35" i="17"/>
  <c r="O35" i="17"/>
  <c r="D35" i="17" s="1"/>
  <c r="C30" i="16"/>
  <c r="O30" i="16"/>
  <c r="D30" i="16" s="1"/>
  <c r="C38" i="19"/>
  <c r="O38" i="19"/>
  <c r="D38" i="19" s="1"/>
  <c r="O36" i="17"/>
  <c r="D36" i="17" s="1"/>
  <c r="C36" i="17"/>
  <c r="C39" i="16"/>
  <c r="O39" i="16"/>
  <c r="D39" i="16" s="1"/>
  <c r="O27" i="17"/>
  <c r="D27" i="17" s="1"/>
  <c r="C27" i="17"/>
  <c r="C26" i="17"/>
  <c r="O26" i="17"/>
  <c r="D26" i="17" s="1"/>
  <c r="O43" i="18"/>
  <c r="D43" i="18" s="1"/>
  <c r="C43" i="18"/>
  <c r="C47" i="19"/>
  <c r="O47" i="19"/>
  <c r="D47" i="19" s="1"/>
  <c r="C38" i="16"/>
  <c r="O38" i="16"/>
  <c r="D38" i="16" s="1"/>
  <c r="O138" i="16"/>
  <c r="D138" i="16" s="1"/>
  <c r="O63" i="19"/>
  <c r="D63" i="19" s="1"/>
  <c r="C51" i="18"/>
  <c r="O51" i="18"/>
  <c r="D51" i="18" s="1"/>
  <c r="O49" i="16"/>
  <c r="D49" i="16" s="1"/>
  <c r="C49" i="16"/>
  <c r="C47" i="17"/>
  <c r="O47" i="17"/>
  <c r="D47" i="17" s="1"/>
  <c r="C43" i="16"/>
  <c r="O43" i="16"/>
  <c r="D43" i="16" s="1"/>
  <c r="C41" i="19"/>
  <c r="O41" i="19"/>
  <c r="D41" i="19" s="1"/>
  <c r="O41" i="17"/>
  <c r="D41" i="17" s="1"/>
  <c r="C41" i="17"/>
  <c r="C40" i="16"/>
  <c r="O40" i="16"/>
  <c r="D40" i="16" s="1"/>
  <c r="C39" i="19"/>
  <c r="O39" i="19"/>
  <c r="D39" i="19" s="1"/>
  <c r="C29" i="14"/>
  <c r="O29" i="14"/>
  <c r="D29" i="14" s="1"/>
  <c r="C31" i="19"/>
  <c r="O31" i="19"/>
  <c r="D31" i="19" s="1"/>
  <c r="O38" i="17"/>
  <c r="D38" i="17" s="1"/>
  <c r="C38" i="17"/>
  <c r="O28" i="17"/>
  <c r="D28" i="17" s="1"/>
  <c r="C28" i="17"/>
  <c r="C30" i="17"/>
  <c r="O30" i="17"/>
  <c r="D30" i="17" s="1"/>
  <c r="C34" i="19"/>
  <c r="O34" i="19"/>
  <c r="D34" i="19" s="1"/>
  <c r="C29" i="18"/>
  <c r="O29" i="18"/>
  <c r="D29" i="18" s="1"/>
  <c r="C26" i="18"/>
  <c r="O26" i="18"/>
  <c r="D26" i="18" s="1"/>
  <c r="C25" i="16"/>
  <c r="O25" i="16"/>
  <c r="D25" i="16" s="1"/>
  <c r="C33" i="18"/>
  <c r="O33" i="18"/>
  <c r="D33" i="18" s="1"/>
  <c r="O31" i="16"/>
  <c r="D31" i="16" s="1"/>
  <c r="C31" i="16"/>
  <c r="O49" i="18"/>
  <c r="D49" i="18" s="1"/>
  <c r="C49" i="18"/>
  <c r="C48" i="17"/>
  <c r="O48" i="17"/>
  <c r="D48" i="17" s="1"/>
  <c r="C46" i="17"/>
  <c r="O46" i="17"/>
  <c r="D46" i="17" s="1"/>
  <c r="C51" i="19"/>
  <c r="O51" i="19"/>
  <c r="D51" i="19" s="1"/>
  <c r="O42" i="18"/>
  <c r="D42" i="18" s="1"/>
  <c r="C42" i="18"/>
  <c r="O40" i="18"/>
  <c r="D40" i="18" s="1"/>
  <c r="C40" i="18"/>
  <c r="C44" i="19"/>
  <c r="O44" i="19"/>
  <c r="D44" i="19" s="1"/>
  <c r="O37" i="16"/>
  <c r="D37" i="16" s="1"/>
  <c r="C37" i="16"/>
  <c r="O32" i="17"/>
  <c r="D32" i="17" s="1"/>
  <c r="C32" i="17"/>
  <c r="C34" i="18"/>
  <c r="O34" i="18"/>
  <c r="D34" i="18" s="1"/>
  <c r="O32" i="16"/>
  <c r="D32" i="16" s="1"/>
  <c r="C32" i="16"/>
  <c r="O37" i="17"/>
  <c r="D37" i="17" s="1"/>
  <c r="C37" i="17"/>
  <c r="O31" i="18"/>
  <c r="D31" i="18" s="1"/>
  <c r="C31" i="18"/>
  <c r="C28" i="19"/>
  <c r="O28" i="19"/>
  <c r="D28" i="19" s="1"/>
  <c r="C32" i="19"/>
  <c r="O32" i="19"/>
  <c r="D32" i="19" s="1"/>
  <c r="C25" i="19"/>
  <c r="O25" i="19"/>
  <c r="D25" i="19" s="1"/>
  <c r="O27" i="16"/>
  <c r="D27" i="16" s="1"/>
  <c r="C27" i="16"/>
  <c r="O45" i="17"/>
  <c r="D45" i="17" s="1"/>
  <c r="C45" i="17"/>
  <c r="C46" i="19"/>
  <c r="O46" i="19"/>
  <c r="D46" i="19" s="1"/>
  <c r="C36" i="19"/>
  <c r="O36" i="19"/>
  <c r="D36" i="19" s="1"/>
  <c r="O49" i="14"/>
  <c r="D49" i="14" s="1"/>
  <c r="C49" i="14"/>
  <c r="C41" i="14"/>
  <c r="O41" i="14"/>
  <c r="D41" i="14" s="1"/>
  <c r="O48" i="18"/>
  <c r="D48" i="18" s="1"/>
  <c r="C48" i="18"/>
  <c r="O50" i="17"/>
  <c r="D50" i="17" s="1"/>
  <c r="C50" i="17"/>
  <c r="O49" i="17"/>
  <c r="D49" i="17" s="1"/>
  <c r="C49" i="17"/>
  <c r="C41" i="18"/>
  <c r="O41" i="18"/>
  <c r="D41" i="18" s="1"/>
  <c r="O40" i="14"/>
  <c r="D40" i="14" s="1"/>
  <c r="C40" i="14"/>
  <c r="C33" i="14"/>
  <c r="O33" i="14"/>
  <c r="D33" i="14" s="1"/>
  <c r="C39" i="14"/>
  <c r="O39" i="14"/>
  <c r="D39" i="14" s="1"/>
  <c r="C35" i="14"/>
  <c r="O35" i="14"/>
  <c r="D35" i="14" s="1"/>
  <c r="C32" i="14"/>
  <c r="O32" i="14"/>
  <c r="D32" i="14" s="1"/>
  <c r="C28" i="14"/>
  <c r="O28" i="14"/>
  <c r="D28" i="14" s="1"/>
  <c r="C35" i="16"/>
  <c r="O35" i="16"/>
  <c r="D35" i="16" s="1"/>
  <c r="C30" i="19"/>
  <c r="O30" i="19"/>
  <c r="D30" i="19" s="1"/>
  <c r="C29" i="19"/>
  <c r="O29" i="19"/>
  <c r="D29" i="19" s="1"/>
  <c r="C27" i="19"/>
  <c r="O27" i="19"/>
  <c r="D27" i="19" s="1"/>
  <c r="O125" i="19"/>
  <c r="D125" i="19" s="1"/>
  <c r="C125" i="19"/>
  <c r="O115" i="19"/>
  <c r="D115" i="19" s="1"/>
  <c r="C115" i="19"/>
  <c r="C134" i="16"/>
  <c r="O142" i="19"/>
  <c r="D142" i="19" s="1"/>
  <c r="C142" i="19"/>
  <c r="O144" i="19"/>
  <c r="D144" i="19" s="1"/>
  <c r="C144" i="19"/>
  <c r="O124" i="19"/>
  <c r="D124" i="19" s="1"/>
  <c r="C124" i="19"/>
  <c r="O142" i="14"/>
  <c r="D142" i="14" s="1"/>
  <c r="C125" i="17"/>
  <c r="O150" i="19"/>
  <c r="D150" i="19" s="1"/>
  <c r="C150" i="19"/>
  <c r="O119" i="19"/>
  <c r="D119" i="19" s="1"/>
  <c r="C119" i="19"/>
  <c r="O135" i="19"/>
  <c r="D135" i="19" s="1"/>
  <c r="C135" i="19"/>
  <c r="O129" i="19"/>
  <c r="D129" i="19" s="1"/>
  <c r="C129" i="19"/>
  <c r="O128" i="19"/>
  <c r="D128" i="19" s="1"/>
  <c r="C128" i="19"/>
  <c r="O107" i="19"/>
  <c r="D107" i="19" s="1"/>
  <c r="C107" i="19"/>
  <c r="O106" i="19"/>
  <c r="D106" i="19" s="1"/>
  <c r="C106" i="19"/>
  <c r="O105" i="19"/>
  <c r="D105" i="19" s="1"/>
  <c r="C105" i="19"/>
  <c r="O112" i="19"/>
  <c r="D112" i="19" s="1"/>
  <c r="C112" i="19"/>
  <c r="O147" i="19"/>
  <c r="D147" i="19" s="1"/>
  <c r="C147" i="19"/>
  <c r="O153" i="19"/>
  <c r="D153" i="19" s="1"/>
  <c r="C153" i="19"/>
  <c r="O146" i="19"/>
  <c r="D146" i="19" s="1"/>
  <c r="C146" i="19"/>
  <c r="O152" i="19"/>
  <c r="D152" i="19" s="1"/>
  <c r="C152" i="19"/>
  <c r="O111" i="19"/>
  <c r="D111" i="19" s="1"/>
  <c r="C111" i="19"/>
  <c r="O148" i="19"/>
  <c r="D148" i="19" s="1"/>
  <c r="C148" i="19"/>
  <c r="O118" i="19"/>
  <c r="D118" i="19" s="1"/>
  <c r="C118" i="19"/>
  <c r="O110" i="19"/>
  <c r="D110" i="19" s="1"/>
  <c r="C110" i="19"/>
  <c r="O117" i="19"/>
  <c r="D117" i="19" s="1"/>
  <c r="C117" i="19"/>
  <c r="O133" i="19"/>
  <c r="D133" i="19" s="1"/>
  <c r="C133" i="19"/>
  <c r="O137" i="14"/>
  <c r="D137" i="14" s="1"/>
  <c r="O149" i="19"/>
  <c r="D149" i="19" s="1"/>
  <c r="C149" i="19"/>
  <c r="O137" i="19"/>
  <c r="D137" i="19" s="1"/>
  <c r="C137" i="19"/>
  <c r="O108" i="19"/>
  <c r="D108" i="19" s="1"/>
  <c r="C108" i="19"/>
  <c r="O140" i="19"/>
  <c r="D140" i="19" s="1"/>
  <c r="C140" i="19"/>
  <c r="O143" i="19"/>
  <c r="D143" i="19" s="1"/>
  <c r="C143" i="19"/>
  <c r="O145" i="19"/>
  <c r="D145" i="19" s="1"/>
  <c r="C145" i="19"/>
  <c r="O123" i="19"/>
  <c r="D123" i="19" s="1"/>
  <c r="C123" i="19"/>
  <c r="O122" i="19"/>
  <c r="D122" i="19" s="1"/>
  <c r="C122" i="19"/>
  <c r="O114" i="19"/>
  <c r="D114" i="19" s="1"/>
  <c r="C114" i="19"/>
  <c r="O109" i="19"/>
  <c r="D109" i="19" s="1"/>
  <c r="C109" i="19"/>
  <c r="O116" i="19"/>
  <c r="D116" i="19" s="1"/>
  <c r="C116" i="19"/>
  <c r="O127" i="19"/>
  <c r="D127" i="19" s="1"/>
  <c r="C127" i="19"/>
  <c r="O139" i="19"/>
  <c r="D139" i="19" s="1"/>
  <c r="C139" i="19"/>
  <c r="O113" i="19"/>
  <c r="D113" i="19" s="1"/>
  <c r="C113" i="19"/>
  <c r="O132" i="14"/>
  <c r="D132" i="14" s="1"/>
  <c r="O115" i="14"/>
  <c r="D115" i="14" s="1"/>
  <c r="O131" i="14"/>
  <c r="D131" i="14" s="1"/>
  <c r="O109" i="14"/>
  <c r="D109" i="14" s="1"/>
  <c r="C142" i="16"/>
  <c r="O135" i="16"/>
  <c r="D135" i="16" s="1"/>
  <c r="O123" i="18"/>
  <c r="D123" i="18" s="1"/>
  <c r="O133" i="16"/>
  <c r="D133" i="16" s="1"/>
  <c r="C122" i="17"/>
  <c r="O133" i="14"/>
  <c r="D133" i="14" s="1"/>
  <c r="O134" i="14"/>
  <c r="D134" i="14" s="1"/>
  <c r="O118" i="18"/>
  <c r="D118" i="18" s="1"/>
  <c r="O126" i="18"/>
  <c r="D126" i="18" s="1"/>
  <c r="C124" i="18"/>
  <c r="C129" i="16"/>
  <c r="O136" i="14"/>
  <c r="D136" i="14" s="1"/>
  <c r="O106" i="14"/>
  <c r="D106" i="14" s="1"/>
  <c r="O114" i="14"/>
  <c r="D114" i="14" s="1"/>
  <c r="C153" i="18"/>
  <c r="O148" i="18"/>
  <c r="D148" i="18" s="1"/>
  <c r="O125" i="14"/>
  <c r="D125" i="14" s="1"/>
  <c r="O145" i="17"/>
  <c r="D145" i="17" s="1"/>
  <c r="C128" i="17"/>
  <c r="C122" i="18"/>
  <c r="C119" i="18"/>
  <c r="C119" i="17"/>
  <c r="O107" i="14"/>
  <c r="D107" i="14" s="1"/>
  <c r="O127" i="14"/>
  <c r="D127" i="14" s="1"/>
  <c r="O122" i="14"/>
  <c r="D122" i="14" s="1"/>
  <c r="O131" i="17"/>
  <c r="D131" i="17" s="1"/>
  <c r="C125" i="18"/>
  <c r="O135" i="17"/>
  <c r="D135" i="17" s="1"/>
  <c r="O125" i="16"/>
  <c r="D125" i="16" s="1"/>
  <c r="C137" i="16"/>
  <c r="O136" i="17"/>
  <c r="D136" i="17" s="1"/>
  <c r="C136" i="18"/>
  <c r="C130" i="17"/>
  <c r="C120" i="18"/>
  <c r="C131" i="18"/>
  <c r="C130" i="18"/>
  <c r="O136" i="16"/>
  <c r="D136" i="16" s="1"/>
  <c r="O130" i="14"/>
  <c r="D130" i="14" s="1"/>
  <c r="O117" i="14"/>
  <c r="D117" i="14" s="1"/>
  <c r="O108" i="14"/>
  <c r="D108" i="14" s="1"/>
  <c r="O88" i="16"/>
  <c r="D88" i="16" s="1"/>
  <c r="C88" i="16"/>
  <c r="C92" i="14"/>
  <c r="O92" i="14"/>
  <c r="D92" i="14" s="1"/>
  <c r="O113" i="18"/>
  <c r="D113" i="18" s="1"/>
  <c r="C113" i="18"/>
  <c r="C85" i="18"/>
  <c r="O85" i="18"/>
  <c r="D85" i="18" s="1"/>
  <c r="C97" i="16"/>
  <c r="O97" i="16"/>
  <c r="D97" i="16" s="1"/>
  <c r="C104" i="18"/>
  <c r="O104" i="18"/>
  <c r="D104" i="18" s="1"/>
  <c r="C82" i="14"/>
  <c r="O82" i="14"/>
  <c r="D82" i="14" s="1"/>
  <c r="O111" i="18"/>
  <c r="D111" i="18" s="1"/>
  <c r="C111" i="18"/>
  <c r="C83" i="16"/>
  <c r="O83" i="16"/>
  <c r="D83" i="16" s="1"/>
  <c r="C95" i="16"/>
  <c r="O95" i="16"/>
  <c r="D95" i="16" s="1"/>
  <c r="C91" i="14"/>
  <c r="O91" i="14"/>
  <c r="D91" i="14" s="1"/>
  <c r="C84" i="19"/>
  <c r="O84" i="19"/>
  <c r="D84" i="19" s="1"/>
  <c r="C92" i="19"/>
  <c r="O92" i="19"/>
  <c r="D92" i="19" s="1"/>
  <c r="O65" i="17"/>
  <c r="D65" i="17" s="1"/>
  <c r="C65" i="17"/>
  <c r="O67" i="18"/>
  <c r="D67" i="18" s="1"/>
  <c r="C67" i="18"/>
  <c r="C66" i="17"/>
  <c r="O66" i="17"/>
  <c r="D66" i="17" s="1"/>
  <c r="O64" i="18"/>
  <c r="D64" i="18" s="1"/>
  <c r="C64" i="18"/>
  <c r="O73" i="18"/>
  <c r="D73" i="18" s="1"/>
  <c r="C73" i="18"/>
  <c r="O68" i="18"/>
  <c r="D68" i="18" s="1"/>
  <c r="C68" i="18"/>
  <c r="O65" i="16"/>
  <c r="D65" i="16" s="1"/>
  <c r="C65" i="16"/>
  <c r="C73" i="19"/>
  <c r="O73" i="19"/>
  <c r="D73" i="19" s="1"/>
  <c r="O78" i="14"/>
  <c r="D78" i="14" s="1"/>
  <c r="C78" i="14"/>
  <c r="C67" i="14"/>
  <c r="O67" i="14"/>
  <c r="D67" i="14" s="1"/>
  <c r="C79" i="17"/>
  <c r="O79" i="17"/>
  <c r="D79" i="17" s="1"/>
  <c r="O112" i="14"/>
  <c r="D112" i="14" s="1"/>
  <c r="O119" i="14"/>
  <c r="D119" i="14" s="1"/>
  <c r="O116" i="14"/>
  <c r="D116" i="14" s="1"/>
  <c r="C128" i="18"/>
  <c r="C118" i="16"/>
  <c r="O129" i="18"/>
  <c r="D129" i="18" s="1"/>
  <c r="O119" i="16"/>
  <c r="D119" i="16" s="1"/>
  <c r="O82" i="18"/>
  <c r="D82" i="18" s="1"/>
  <c r="C82" i="18"/>
  <c r="C84" i="14"/>
  <c r="O84" i="14"/>
  <c r="D84" i="14" s="1"/>
  <c r="C96" i="16"/>
  <c r="O96" i="16"/>
  <c r="D96" i="16" s="1"/>
  <c r="O110" i="18"/>
  <c r="D110" i="18" s="1"/>
  <c r="C110" i="18"/>
  <c r="C99" i="14"/>
  <c r="O99" i="14"/>
  <c r="D99" i="14" s="1"/>
  <c r="C115" i="16"/>
  <c r="O115" i="16"/>
  <c r="D115" i="16" s="1"/>
  <c r="C96" i="14"/>
  <c r="O96" i="14"/>
  <c r="D96" i="14" s="1"/>
  <c r="C116" i="16"/>
  <c r="O116" i="16"/>
  <c r="D116" i="16" s="1"/>
  <c r="C94" i="19"/>
  <c r="O94" i="19"/>
  <c r="D94" i="19" s="1"/>
  <c r="C103" i="14"/>
  <c r="O103" i="14"/>
  <c r="D103" i="14" s="1"/>
  <c r="O111" i="17"/>
  <c r="D111" i="17" s="1"/>
  <c r="C111" i="17"/>
  <c r="C91" i="16"/>
  <c r="O91" i="16"/>
  <c r="D91" i="16" s="1"/>
  <c r="C86" i="14"/>
  <c r="O86" i="14"/>
  <c r="D86" i="14" s="1"/>
  <c r="C105" i="18"/>
  <c r="O105" i="18"/>
  <c r="D105" i="18" s="1"/>
  <c r="O109" i="17"/>
  <c r="D109" i="17" s="1"/>
  <c r="C109" i="17"/>
  <c r="C116" i="18"/>
  <c r="O116" i="18"/>
  <c r="D116" i="18" s="1"/>
  <c r="O85" i="16"/>
  <c r="D85" i="16" s="1"/>
  <c r="C85" i="16"/>
  <c r="C89" i="16"/>
  <c r="O89" i="16"/>
  <c r="D89" i="16" s="1"/>
  <c r="C92" i="18"/>
  <c r="O92" i="18"/>
  <c r="D92" i="18" s="1"/>
  <c r="C96" i="17"/>
  <c r="O96" i="17"/>
  <c r="D96" i="17" s="1"/>
  <c r="O101" i="18"/>
  <c r="D101" i="18" s="1"/>
  <c r="C101" i="18"/>
  <c r="C95" i="14"/>
  <c r="O95" i="14"/>
  <c r="D95" i="14" s="1"/>
  <c r="O95" i="18"/>
  <c r="D95" i="18" s="1"/>
  <c r="C95" i="18"/>
  <c r="O100" i="16"/>
  <c r="D100" i="16" s="1"/>
  <c r="C100" i="16"/>
  <c r="C103" i="18"/>
  <c r="O103" i="18"/>
  <c r="D103" i="18" s="1"/>
  <c r="C106" i="18"/>
  <c r="O106" i="18"/>
  <c r="D106" i="18" s="1"/>
  <c r="C111" i="16"/>
  <c r="O111" i="16"/>
  <c r="D111" i="16" s="1"/>
  <c r="C114" i="17"/>
  <c r="O114" i="17"/>
  <c r="D114" i="17" s="1"/>
  <c r="C82" i="17"/>
  <c r="O82" i="17"/>
  <c r="D82" i="17" s="1"/>
  <c r="C86" i="17"/>
  <c r="O86" i="17"/>
  <c r="D86" i="17" s="1"/>
  <c r="O92" i="16"/>
  <c r="D92" i="16" s="1"/>
  <c r="C92" i="16"/>
  <c r="C85" i="14"/>
  <c r="O85" i="14"/>
  <c r="D85" i="14" s="1"/>
  <c r="C93" i="17"/>
  <c r="O93" i="17"/>
  <c r="D93" i="17" s="1"/>
  <c r="C97" i="18"/>
  <c r="O97" i="18"/>
  <c r="D97" i="18" s="1"/>
  <c r="C101" i="17"/>
  <c r="O101" i="17"/>
  <c r="D101" i="17" s="1"/>
  <c r="C105" i="16"/>
  <c r="O105" i="16"/>
  <c r="D105" i="16" s="1"/>
  <c r="C108" i="18"/>
  <c r="O108" i="18"/>
  <c r="D108" i="18" s="1"/>
  <c r="C113" i="16"/>
  <c r="O113" i="16"/>
  <c r="D113" i="16" s="1"/>
  <c r="O117" i="16"/>
  <c r="D117" i="16" s="1"/>
  <c r="C117" i="16"/>
  <c r="C84" i="17"/>
  <c r="O84" i="17"/>
  <c r="D84" i="17" s="1"/>
  <c r="O90" i="16"/>
  <c r="D90" i="16" s="1"/>
  <c r="C90" i="16"/>
  <c r="C77" i="19"/>
  <c r="O77" i="19"/>
  <c r="D77" i="19" s="1"/>
  <c r="C68" i="17"/>
  <c r="O68" i="17"/>
  <c r="D68" i="17" s="1"/>
  <c r="C79" i="19"/>
  <c r="O79" i="19"/>
  <c r="D79" i="19" s="1"/>
  <c r="C79" i="16"/>
  <c r="O79" i="16"/>
  <c r="D79" i="16" s="1"/>
  <c r="C78" i="19"/>
  <c r="O78" i="19"/>
  <c r="D78" i="19" s="1"/>
  <c r="C80" i="16"/>
  <c r="O80" i="16"/>
  <c r="D80" i="16" s="1"/>
  <c r="O76" i="17"/>
  <c r="D76" i="17" s="1"/>
  <c r="C76" i="17"/>
  <c r="C74" i="14"/>
  <c r="O74" i="14"/>
  <c r="D74" i="14" s="1"/>
  <c r="C66" i="16"/>
  <c r="O66" i="16"/>
  <c r="D66" i="16" s="1"/>
  <c r="C74" i="16"/>
  <c r="O74" i="16"/>
  <c r="D74" i="16" s="1"/>
  <c r="O80" i="17"/>
  <c r="D80" i="17" s="1"/>
  <c r="C80" i="17"/>
  <c r="O69" i="16"/>
  <c r="D69" i="16" s="1"/>
  <c r="C69" i="16"/>
  <c r="C77" i="17"/>
  <c r="O77" i="17"/>
  <c r="D77" i="17" s="1"/>
  <c r="C66" i="14"/>
  <c r="O66" i="14"/>
  <c r="D66" i="14" s="1"/>
  <c r="O69" i="17"/>
  <c r="D69" i="17" s="1"/>
  <c r="C69" i="17"/>
  <c r="O73" i="17"/>
  <c r="D73" i="17" s="1"/>
  <c r="C73" i="17"/>
  <c r="C69" i="14"/>
  <c r="O69" i="14"/>
  <c r="D69" i="14" s="1"/>
  <c r="O70" i="14"/>
  <c r="D70" i="14" s="1"/>
  <c r="C70" i="14"/>
  <c r="C64" i="16"/>
  <c r="O64" i="16"/>
  <c r="D64" i="16" s="1"/>
  <c r="O71" i="17"/>
  <c r="D71" i="17" s="1"/>
  <c r="C71" i="17"/>
  <c r="O70" i="17"/>
  <c r="D70" i="17" s="1"/>
  <c r="C70" i="17"/>
  <c r="C70" i="18"/>
  <c r="O70" i="18"/>
  <c r="D70" i="18" s="1"/>
  <c r="C110" i="17"/>
  <c r="O110" i="17"/>
  <c r="D110" i="17" s="1"/>
  <c r="C106" i="17"/>
  <c r="O106" i="17"/>
  <c r="D106" i="17" s="1"/>
  <c r="O91" i="18"/>
  <c r="D91" i="18" s="1"/>
  <c r="C91" i="18"/>
  <c r="O107" i="17"/>
  <c r="D107" i="17" s="1"/>
  <c r="C107" i="17"/>
  <c r="C104" i="16"/>
  <c r="O104" i="16"/>
  <c r="D104" i="16" s="1"/>
  <c r="C89" i="19"/>
  <c r="O89" i="19"/>
  <c r="D89" i="19" s="1"/>
  <c r="C100" i="19"/>
  <c r="O100" i="19"/>
  <c r="D100" i="19" s="1"/>
  <c r="O108" i="16"/>
  <c r="D108" i="16" s="1"/>
  <c r="C108" i="16"/>
  <c r="O90" i="17"/>
  <c r="D90" i="17" s="1"/>
  <c r="C90" i="17"/>
  <c r="O99" i="18"/>
  <c r="D99" i="18" s="1"/>
  <c r="C99" i="18"/>
  <c r="C101" i="14"/>
  <c r="O101" i="14"/>
  <c r="D101" i="14" s="1"/>
  <c r="O88" i="17"/>
  <c r="D88" i="17" s="1"/>
  <c r="C88" i="17"/>
  <c r="O97" i="17"/>
  <c r="D97" i="17" s="1"/>
  <c r="C97" i="17"/>
  <c r="C76" i="19"/>
  <c r="O76" i="19"/>
  <c r="D76" i="19" s="1"/>
  <c r="O67" i="17"/>
  <c r="D67" i="17" s="1"/>
  <c r="C67" i="17"/>
  <c r="O67" i="16"/>
  <c r="D67" i="16" s="1"/>
  <c r="C67" i="16"/>
  <c r="C71" i="14"/>
  <c r="O71" i="14"/>
  <c r="D71" i="14" s="1"/>
  <c r="C81" i="19"/>
  <c r="O81" i="19"/>
  <c r="D81" i="19" s="1"/>
  <c r="O76" i="18"/>
  <c r="D76" i="18" s="1"/>
  <c r="C76" i="18"/>
  <c r="C79" i="14"/>
  <c r="O79" i="14"/>
  <c r="D79" i="14" s="1"/>
  <c r="C64" i="19"/>
  <c r="O64" i="19"/>
  <c r="D64" i="19" s="1"/>
  <c r="O72" i="16"/>
  <c r="D72" i="16" s="1"/>
  <c r="C72" i="16"/>
  <c r="O78" i="18"/>
  <c r="D78" i="18" s="1"/>
  <c r="C78" i="18"/>
  <c r="C78" i="17"/>
  <c r="O78" i="17"/>
  <c r="D78" i="17" s="1"/>
  <c r="O113" i="14"/>
  <c r="D113" i="14" s="1"/>
  <c r="O123" i="14"/>
  <c r="D123" i="14" s="1"/>
  <c r="C123" i="17"/>
  <c r="C134" i="18"/>
  <c r="C129" i="17"/>
  <c r="C124" i="17"/>
  <c r="C138" i="17"/>
  <c r="O134" i="17"/>
  <c r="D134" i="17" s="1"/>
  <c r="C88" i="14"/>
  <c r="O88" i="14"/>
  <c r="D88" i="14" s="1"/>
  <c r="C86" i="19"/>
  <c r="O86" i="19"/>
  <c r="D86" i="19" s="1"/>
  <c r="C87" i="14"/>
  <c r="O87" i="14"/>
  <c r="D87" i="14" s="1"/>
  <c r="C99" i="17"/>
  <c r="O99" i="17"/>
  <c r="D99" i="17" s="1"/>
  <c r="O114" i="18"/>
  <c r="D114" i="18" s="1"/>
  <c r="C114" i="18"/>
  <c r="C102" i="14"/>
  <c r="O102" i="14"/>
  <c r="D102" i="14" s="1"/>
  <c r="C90" i="18"/>
  <c r="O90" i="18"/>
  <c r="D90" i="18" s="1"/>
  <c r="O83" i="18"/>
  <c r="D83" i="18" s="1"/>
  <c r="C83" i="18"/>
  <c r="C98" i="19"/>
  <c r="O98" i="19"/>
  <c r="D98" i="19" s="1"/>
  <c r="C104" i="14"/>
  <c r="O104" i="14"/>
  <c r="D104" i="14" s="1"/>
  <c r="C115" i="18"/>
  <c r="O115" i="18"/>
  <c r="D115" i="18" s="1"/>
  <c r="C94" i="17"/>
  <c r="O94" i="17"/>
  <c r="D94" i="17" s="1"/>
  <c r="C97" i="19"/>
  <c r="O97" i="19"/>
  <c r="D97" i="19" s="1"/>
  <c r="O102" i="16"/>
  <c r="D102" i="16" s="1"/>
  <c r="C102" i="16"/>
  <c r="O106" i="16"/>
  <c r="D106" i="16" s="1"/>
  <c r="C106" i="16"/>
  <c r="C109" i="16"/>
  <c r="O109" i="16"/>
  <c r="D109" i="16" s="1"/>
  <c r="C112" i="17"/>
  <c r="O112" i="17"/>
  <c r="D112" i="17" s="1"/>
  <c r="C116" i="17"/>
  <c r="O116" i="17"/>
  <c r="D116" i="17" s="1"/>
  <c r="C84" i="18"/>
  <c r="O84" i="18"/>
  <c r="D84" i="18" s="1"/>
  <c r="C88" i="19"/>
  <c r="O88" i="19"/>
  <c r="D88" i="19" s="1"/>
  <c r="C94" i="16"/>
  <c r="O94" i="16"/>
  <c r="D94" i="16" s="1"/>
  <c r="C89" i="14"/>
  <c r="O89" i="14"/>
  <c r="D89" i="14" s="1"/>
  <c r="C87" i="19"/>
  <c r="O87" i="19"/>
  <c r="D87" i="19" s="1"/>
  <c r="C91" i="19"/>
  <c r="O91" i="19"/>
  <c r="D91" i="19" s="1"/>
  <c r="O95" i="17"/>
  <c r="D95" i="17" s="1"/>
  <c r="C95" i="17"/>
  <c r="O98" i="17"/>
  <c r="D98" i="17" s="1"/>
  <c r="C98" i="17"/>
  <c r="C102" i="19"/>
  <c r="O102" i="19"/>
  <c r="D102" i="19" s="1"/>
  <c r="C107" i="16"/>
  <c r="O107" i="16"/>
  <c r="D107" i="16" s="1"/>
  <c r="O84" i="16"/>
  <c r="D84" i="16" s="1"/>
  <c r="C84" i="16"/>
  <c r="C94" i="14"/>
  <c r="O94" i="14"/>
  <c r="D94" i="14" s="1"/>
  <c r="C85" i="19"/>
  <c r="O85" i="19"/>
  <c r="D85" i="19" s="1"/>
  <c r="O89" i="17"/>
  <c r="D89" i="17" s="1"/>
  <c r="C89" i="17"/>
  <c r="C93" i="19"/>
  <c r="O93" i="19"/>
  <c r="D93" i="19" s="1"/>
  <c r="O96" i="18"/>
  <c r="D96" i="18" s="1"/>
  <c r="C96" i="18"/>
  <c r="O100" i="17"/>
  <c r="D100" i="17" s="1"/>
  <c r="C100" i="17"/>
  <c r="C104" i="19"/>
  <c r="O104" i="19"/>
  <c r="D104" i="19" s="1"/>
  <c r="C108" i="17"/>
  <c r="O108" i="17"/>
  <c r="D108" i="17" s="1"/>
  <c r="C113" i="17"/>
  <c r="O113" i="17"/>
  <c r="D113" i="17" s="1"/>
  <c r="C77" i="18"/>
  <c r="O77" i="18"/>
  <c r="D77" i="18" s="1"/>
  <c r="C68" i="19"/>
  <c r="O68" i="19"/>
  <c r="D68" i="19" s="1"/>
  <c r="O75" i="14"/>
  <c r="D75" i="14" s="1"/>
  <c r="C75" i="14"/>
  <c r="C71" i="19"/>
  <c r="O71" i="19"/>
  <c r="D71" i="19" s="1"/>
  <c r="O71" i="16"/>
  <c r="D71" i="16" s="1"/>
  <c r="C71" i="16"/>
  <c r="C70" i="19"/>
  <c r="O70" i="19"/>
  <c r="D70" i="19" s="1"/>
  <c r="O71" i="18"/>
  <c r="D71" i="18" s="1"/>
  <c r="C71" i="18"/>
  <c r="O81" i="17"/>
  <c r="D81" i="17" s="1"/>
  <c r="C81" i="17"/>
  <c r="C81" i="14"/>
  <c r="O81" i="14"/>
  <c r="D81" i="14" s="1"/>
  <c r="O78" i="16"/>
  <c r="D78" i="16" s="1"/>
  <c r="C78" i="16"/>
  <c r="C65" i="19"/>
  <c r="O65" i="19"/>
  <c r="D65" i="19" s="1"/>
  <c r="C72" i="19"/>
  <c r="O72" i="19"/>
  <c r="D72" i="19" s="1"/>
  <c r="C80" i="19"/>
  <c r="O80" i="19"/>
  <c r="D80" i="19" s="1"/>
  <c r="C70" i="16"/>
  <c r="O70" i="16"/>
  <c r="D70" i="16" s="1"/>
  <c r="C73" i="14"/>
  <c r="O73" i="14"/>
  <c r="D73" i="14" s="1"/>
  <c r="C81" i="16"/>
  <c r="O81" i="16"/>
  <c r="D81" i="16" s="1"/>
  <c r="C65" i="18"/>
  <c r="O65" i="18"/>
  <c r="D65" i="18" s="1"/>
  <c r="O80" i="14"/>
  <c r="D80" i="14" s="1"/>
  <c r="C80" i="14"/>
  <c r="O77" i="14"/>
  <c r="D77" i="14" s="1"/>
  <c r="C77" i="14"/>
  <c r="O75" i="17"/>
  <c r="D75" i="17" s="1"/>
  <c r="C75" i="17"/>
  <c r="C74" i="19"/>
  <c r="O74" i="19"/>
  <c r="D74" i="19" s="1"/>
  <c r="O74" i="18"/>
  <c r="D74" i="18" s="1"/>
  <c r="C74" i="18"/>
  <c r="O76" i="16"/>
  <c r="D76" i="16" s="1"/>
  <c r="C76" i="16"/>
  <c r="O91" i="17"/>
  <c r="D91" i="17" s="1"/>
  <c r="C91" i="17"/>
  <c r="C87" i="16"/>
  <c r="O87" i="16"/>
  <c r="D87" i="16" s="1"/>
  <c r="C82" i="16"/>
  <c r="O82" i="16"/>
  <c r="D82" i="16" s="1"/>
  <c r="C93" i="16"/>
  <c r="O93" i="16"/>
  <c r="D93" i="16" s="1"/>
  <c r="C109" i="18"/>
  <c r="O109" i="18"/>
  <c r="D109" i="18" s="1"/>
  <c r="C103" i="17"/>
  <c r="O103" i="17"/>
  <c r="D103" i="17" s="1"/>
  <c r="O86" i="18"/>
  <c r="D86" i="18" s="1"/>
  <c r="C86" i="18"/>
  <c r="C101" i="19"/>
  <c r="O101" i="19"/>
  <c r="D101" i="19" s="1"/>
  <c r="O111" i="14"/>
  <c r="D111" i="14" s="1"/>
  <c r="C99" i="19"/>
  <c r="O99" i="19"/>
  <c r="D99" i="19" s="1"/>
  <c r="C95" i="19"/>
  <c r="O95" i="19"/>
  <c r="D95" i="19" s="1"/>
  <c r="C90" i="14"/>
  <c r="O90" i="14"/>
  <c r="D90" i="14" s="1"/>
  <c r="O102" i="17"/>
  <c r="D102" i="17" s="1"/>
  <c r="C102" i="17"/>
  <c r="C82" i="19"/>
  <c r="O82" i="19"/>
  <c r="D82" i="19" s="1"/>
  <c r="C103" i="19"/>
  <c r="O103" i="19"/>
  <c r="D103" i="19" s="1"/>
  <c r="C100" i="14"/>
  <c r="O100" i="14"/>
  <c r="D100" i="14" s="1"/>
  <c r="C83" i="14"/>
  <c r="O83" i="14"/>
  <c r="D83" i="14" s="1"/>
  <c r="O87" i="17"/>
  <c r="D87" i="17" s="1"/>
  <c r="C87" i="17"/>
  <c r="C103" i="16"/>
  <c r="O103" i="16"/>
  <c r="D103" i="16" s="1"/>
  <c r="C97" i="14"/>
  <c r="O97" i="14"/>
  <c r="D97" i="14" s="1"/>
  <c r="C83" i="17"/>
  <c r="O83" i="17"/>
  <c r="D83" i="17" s="1"/>
  <c r="C99" i="16"/>
  <c r="O99" i="16"/>
  <c r="D99" i="16" s="1"/>
  <c r="C93" i="14"/>
  <c r="O93" i="14"/>
  <c r="D93" i="14" s="1"/>
  <c r="O89" i="18"/>
  <c r="D89" i="18" s="1"/>
  <c r="C89" i="18"/>
  <c r="O93" i="18"/>
  <c r="D93" i="18" s="1"/>
  <c r="C93" i="18"/>
  <c r="O98" i="16"/>
  <c r="D98" i="16" s="1"/>
  <c r="C98" i="16"/>
  <c r="C101" i="16"/>
  <c r="O101" i="16"/>
  <c r="D101" i="16" s="1"/>
  <c r="C104" i="17"/>
  <c r="O104" i="17"/>
  <c r="D104" i="17" s="1"/>
  <c r="O112" i="18"/>
  <c r="D112" i="18" s="1"/>
  <c r="C112" i="18"/>
  <c r="O117" i="18"/>
  <c r="D117" i="18" s="1"/>
  <c r="C117" i="18"/>
  <c r="C86" i="16"/>
  <c r="O86" i="16"/>
  <c r="D86" i="16" s="1"/>
  <c r="C98" i="14"/>
  <c r="O98" i="14"/>
  <c r="D98" i="14" s="1"/>
  <c r="C112" i="16"/>
  <c r="O112" i="16"/>
  <c r="D112" i="16" s="1"/>
  <c r="C115" i="17"/>
  <c r="O115" i="17"/>
  <c r="D115" i="17" s="1"/>
  <c r="C83" i="19"/>
  <c r="O83" i="19"/>
  <c r="D83" i="19" s="1"/>
  <c r="O87" i="18"/>
  <c r="D87" i="18" s="1"/>
  <c r="C87" i="18"/>
  <c r="C90" i="19"/>
  <c r="O90" i="19"/>
  <c r="D90" i="19" s="1"/>
  <c r="C94" i="18"/>
  <c r="O94" i="18"/>
  <c r="D94" i="18" s="1"/>
  <c r="O98" i="18"/>
  <c r="D98" i="18" s="1"/>
  <c r="C98" i="18"/>
  <c r="C102" i="18"/>
  <c r="O102" i="18"/>
  <c r="D102" i="18" s="1"/>
  <c r="C107" i="18"/>
  <c r="O107" i="18"/>
  <c r="D107" i="18" s="1"/>
  <c r="C110" i="16"/>
  <c r="O110" i="16"/>
  <c r="D110" i="16" s="1"/>
  <c r="O114" i="16"/>
  <c r="D114" i="16" s="1"/>
  <c r="C114" i="16"/>
  <c r="C117" i="17"/>
  <c r="O117" i="17"/>
  <c r="D117" i="17" s="1"/>
  <c r="O85" i="17"/>
  <c r="D85" i="17" s="1"/>
  <c r="C85" i="17"/>
  <c r="O88" i="18"/>
  <c r="D88" i="18" s="1"/>
  <c r="C88" i="18"/>
  <c r="C92" i="17"/>
  <c r="O92" i="17"/>
  <c r="D92" i="17" s="1"/>
  <c r="C96" i="19"/>
  <c r="O96" i="19"/>
  <c r="D96" i="19" s="1"/>
  <c r="C100" i="18"/>
  <c r="O100" i="18"/>
  <c r="D100" i="18" s="1"/>
  <c r="O105" i="17"/>
  <c r="D105" i="17" s="1"/>
  <c r="C105" i="17"/>
  <c r="C81" i="18"/>
  <c r="O81" i="18"/>
  <c r="D81" i="18" s="1"/>
  <c r="O80" i="18"/>
  <c r="D80" i="18" s="1"/>
  <c r="C80" i="18"/>
  <c r="C75" i="19"/>
  <c r="O75" i="19"/>
  <c r="D75" i="19" s="1"/>
  <c r="C75" i="18"/>
  <c r="O75" i="18"/>
  <c r="D75" i="18" s="1"/>
  <c r="O75" i="16"/>
  <c r="D75" i="16" s="1"/>
  <c r="C75" i="16"/>
  <c r="O74" i="17"/>
  <c r="D74" i="17" s="1"/>
  <c r="C74" i="17"/>
  <c r="C72" i="18"/>
  <c r="O72" i="18"/>
  <c r="D72" i="18" s="1"/>
  <c r="C68" i="14"/>
  <c r="O68" i="14"/>
  <c r="D68" i="14" s="1"/>
  <c r="O65" i="14"/>
  <c r="D65" i="14" s="1"/>
  <c r="C65" i="14"/>
  <c r="C69" i="19"/>
  <c r="O69" i="19"/>
  <c r="D69" i="19" s="1"/>
  <c r="O77" i="16"/>
  <c r="D77" i="16" s="1"/>
  <c r="C77" i="16"/>
  <c r="C64" i="17"/>
  <c r="O64" i="17"/>
  <c r="D64" i="17" s="1"/>
  <c r="O72" i="17"/>
  <c r="D72" i="17" s="1"/>
  <c r="C72" i="17"/>
  <c r="O76" i="14"/>
  <c r="D76" i="14" s="1"/>
  <c r="C76" i="14"/>
  <c r="C69" i="18"/>
  <c r="O69" i="18"/>
  <c r="D69" i="18" s="1"/>
  <c r="O73" i="16"/>
  <c r="D73" i="16" s="1"/>
  <c r="C73" i="16"/>
  <c r="O72" i="14"/>
  <c r="D72" i="14" s="1"/>
  <c r="C72" i="14"/>
  <c r="O64" i="14"/>
  <c r="D64" i="14" s="1"/>
  <c r="C64" i="14"/>
  <c r="O79" i="18"/>
  <c r="D79" i="18" s="1"/>
  <c r="C79" i="18"/>
  <c r="C67" i="19"/>
  <c r="O67" i="19"/>
  <c r="D67" i="19" s="1"/>
  <c r="O66" i="18"/>
  <c r="D66" i="18" s="1"/>
  <c r="C66" i="18"/>
  <c r="C66" i="19"/>
  <c r="O66" i="19"/>
  <c r="D66" i="19" s="1"/>
  <c r="C68" i="16"/>
  <c r="O68" i="16"/>
  <c r="D68" i="16" s="1"/>
  <c r="O153" i="17"/>
  <c r="D153" i="17" s="1"/>
  <c r="O149" i="14"/>
  <c r="D149" i="14" s="1"/>
  <c r="O144" i="14"/>
  <c r="D144" i="14" s="1"/>
  <c r="O141" i="14"/>
  <c r="D141" i="14" s="1"/>
  <c r="O146" i="14"/>
  <c r="D146" i="14" s="1"/>
  <c r="O149" i="17"/>
  <c r="D149" i="17" s="1"/>
  <c r="O139" i="14"/>
  <c r="D139" i="14" s="1"/>
  <c r="O152" i="14"/>
  <c r="D152" i="14" s="1"/>
  <c r="O145" i="14"/>
  <c r="D145" i="14" s="1"/>
  <c r="C153" i="16"/>
  <c r="C143" i="16"/>
  <c r="C142" i="18"/>
  <c r="C140" i="16"/>
  <c r="O153" i="14"/>
  <c r="D153" i="14" s="1"/>
  <c r="O140" i="18"/>
  <c r="D140" i="18" s="1"/>
  <c r="C145" i="16"/>
  <c r="O147" i="16"/>
  <c r="D147" i="16" s="1"/>
  <c r="C139" i="17"/>
  <c r="O139" i="16"/>
  <c r="D139" i="16" s="1"/>
  <c r="C141" i="17"/>
  <c r="O139" i="18"/>
  <c r="D139" i="18" s="1"/>
  <c r="O146" i="16"/>
  <c r="D146" i="16" s="1"/>
  <c r="C147" i="17"/>
  <c r="O144" i="17"/>
  <c r="D144" i="17" s="1"/>
  <c r="C146" i="17"/>
  <c r="O148" i="17"/>
  <c r="D148" i="17" s="1"/>
  <c r="C141" i="16"/>
  <c r="O147" i="14"/>
  <c r="D147" i="14" s="1"/>
  <c r="O151" i="14"/>
  <c r="D151" i="14" s="1"/>
  <c r="O140" i="14"/>
  <c r="D140" i="14" s="1"/>
  <c r="O143" i="14"/>
  <c r="D143" i="14" s="1"/>
  <c r="O144" i="18"/>
  <c r="D144" i="18" s="1"/>
  <c r="C151" i="18"/>
  <c r="D21" i="1"/>
  <c r="O152" i="18"/>
  <c r="D152" i="18" s="1"/>
  <c r="O150" i="14"/>
  <c r="D150" i="14" s="1"/>
  <c r="C149" i="16"/>
  <c r="O150" i="18"/>
  <c r="D150" i="18" s="1"/>
  <c r="C147" i="18"/>
  <c r="C143" i="18"/>
  <c r="O149" i="18"/>
  <c r="D149" i="18" s="1"/>
  <c r="C148" i="16"/>
  <c r="C152" i="16"/>
  <c r="C145" i="18"/>
  <c r="C152" i="17"/>
  <c r="C151" i="17"/>
  <c r="C142" i="17"/>
  <c r="O150" i="16"/>
  <c r="D150" i="16" s="1"/>
  <c r="C143" i="17"/>
  <c r="C150" i="17"/>
  <c r="O140" i="17"/>
  <c r="D140" i="17" s="1"/>
  <c r="O141" i="18"/>
  <c r="D141" i="18" s="1"/>
  <c r="O146" i="18"/>
  <c r="D146" i="18" s="1"/>
  <c r="C144" i="16"/>
  <c r="O151" i="16"/>
  <c r="D151" i="16" s="1"/>
  <c r="O174" i="14"/>
  <c r="D174" i="14" s="1"/>
  <c r="O166" i="19"/>
  <c r="D166" i="19" s="1"/>
  <c r="O169" i="19"/>
  <c r="D169" i="19" s="1"/>
  <c r="O176" i="19"/>
  <c r="D176" i="19" s="1"/>
  <c r="O180" i="19"/>
  <c r="D180" i="19" s="1"/>
  <c r="O164" i="19"/>
  <c r="D164" i="19" s="1"/>
  <c r="O172" i="19"/>
  <c r="D172" i="19" s="1"/>
  <c r="O155" i="19"/>
  <c r="D155" i="19" s="1"/>
  <c r="O168" i="19"/>
  <c r="D168" i="19" s="1"/>
  <c r="O183" i="19"/>
  <c r="D183" i="19" s="1"/>
  <c r="O175" i="19"/>
  <c r="D175" i="19" s="1"/>
  <c r="O162" i="19"/>
  <c r="D162" i="19" s="1"/>
  <c r="O167" i="19"/>
  <c r="D167" i="19" s="1"/>
  <c r="O182" i="19"/>
  <c r="D182" i="19" s="1"/>
  <c r="O179" i="19"/>
  <c r="D179" i="19" s="1"/>
  <c r="O171" i="19"/>
  <c r="D171" i="19" s="1"/>
  <c r="O170" i="19"/>
  <c r="D170" i="19" s="1"/>
  <c r="O174" i="19"/>
  <c r="D174" i="19" s="1"/>
  <c r="O161" i="19"/>
  <c r="D161" i="19" s="1"/>
  <c r="O165" i="19"/>
  <c r="D165" i="19" s="1"/>
  <c r="O157" i="19"/>
  <c r="D157" i="19" s="1"/>
  <c r="O158" i="19"/>
  <c r="D158" i="19" s="1"/>
  <c r="O173" i="19"/>
  <c r="D173" i="19" s="1"/>
  <c r="O156" i="19"/>
  <c r="D156" i="19" s="1"/>
  <c r="O184" i="19"/>
  <c r="D184" i="19" s="1"/>
  <c r="O154" i="19"/>
  <c r="D154" i="19" s="1"/>
  <c r="O163" i="19"/>
  <c r="D163" i="19" s="1"/>
  <c r="O178" i="19"/>
  <c r="D178" i="19" s="1"/>
  <c r="O177" i="19"/>
  <c r="D177" i="19" s="1"/>
  <c r="O181" i="19"/>
  <c r="D181" i="19" s="1"/>
  <c r="O159" i="19"/>
  <c r="D159" i="19" s="1"/>
  <c r="O160" i="19"/>
  <c r="D160" i="19" s="1"/>
  <c r="C175" i="16"/>
  <c r="O175" i="16"/>
  <c r="D175" i="16" s="1"/>
  <c r="C177" i="18"/>
  <c r="O177" i="18"/>
  <c r="D177" i="18" s="1"/>
  <c r="O161" i="18"/>
  <c r="D161" i="18" s="1"/>
  <c r="C161" i="18"/>
  <c r="C183" i="17"/>
  <c r="O183" i="17"/>
  <c r="D183" i="17" s="1"/>
  <c r="C166" i="16"/>
  <c r="O166" i="16"/>
  <c r="D166" i="16" s="1"/>
  <c r="O170" i="18"/>
  <c r="D170" i="18" s="1"/>
  <c r="C170" i="18"/>
  <c r="O175" i="18"/>
  <c r="D175" i="18" s="1"/>
  <c r="C175" i="18"/>
  <c r="O179" i="18"/>
  <c r="D179" i="18" s="1"/>
  <c r="C179" i="18"/>
  <c r="O182" i="17"/>
  <c r="D182" i="17" s="1"/>
  <c r="C182" i="17"/>
  <c r="O174" i="16"/>
  <c r="D174" i="16" s="1"/>
  <c r="C174" i="16"/>
  <c r="O157" i="17"/>
  <c r="D157" i="17" s="1"/>
  <c r="C157" i="17"/>
  <c r="C158" i="17"/>
  <c r="O158" i="17"/>
  <c r="D158" i="17" s="1"/>
  <c r="C171" i="16"/>
  <c r="O171" i="16"/>
  <c r="D171" i="16" s="1"/>
  <c r="C155" i="16"/>
  <c r="O155" i="16"/>
  <c r="D155" i="16" s="1"/>
  <c r="O178" i="18"/>
  <c r="D178" i="18" s="1"/>
  <c r="C178" i="18"/>
  <c r="C181" i="16"/>
  <c r="O181" i="16"/>
  <c r="D181" i="16" s="1"/>
  <c r="C169" i="17"/>
  <c r="O169" i="17"/>
  <c r="D169" i="17" s="1"/>
  <c r="O171" i="17"/>
  <c r="D171" i="17" s="1"/>
  <c r="C171" i="17"/>
  <c r="O176" i="17"/>
  <c r="D176" i="17" s="1"/>
  <c r="C176" i="17"/>
  <c r="O165" i="18"/>
  <c r="D165" i="18" s="1"/>
  <c r="C165" i="18"/>
  <c r="O170" i="17"/>
  <c r="D170" i="17" s="1"/>
  <c r="C170" i="17"/>
  <c r="O178" i="17"/>
  <c r="D178" i="17" s="1"/>
  <c r="C178" i="17"/>
  <c r="O166" i="18"/>
  <c r="D166" i="18" s="1"/>
  <c r="C166" i="18"/>
  <c r="O169" i="18"/>
  <c r="D169" i="18" s="1"/>
  <c r="C169" i="18"/>
  <c r="O161" i="17"/>
  <c r="D161" i="17" s="1"/>
  <c r="C161" i="17"/>
  <c r="C166" i="17"/>
  <c r="O166" i="17"/>
  <c r="D166" i="17" s="1"/>
  <c r="O159" i="16"/>
  <c r="D159" i="16" s="1"/>
  <c r="C159" i="16"/>
  <c r="O182" i="16"/>
  <c r="D182" i="16" s="1"/>
  <c r="C182" i="16"/>
  <c r="C170" i="16"/>
  <c r="O170" i="16"/>
  <c r="D170" i="16" s="1"/>
  <c r="O174" i="18"/>
  <c r="D174" i="18" s="1"/>
  <c r="C174" i="18"/>
  <c r="C177" i="17"/>
  <c r="O177" i="17"/>
  <c r="D177" i="17" s="1"/>
  <c r="O181" i="18"/>
  <c r="D181" i="18" s="1"/>
  <c r="C181" i="18"/>
  <c r="C173" i="16"/>
  <c r="O173" i="16"/>
  <c r="D173" i="16" s="1"/>
  <c r="C177" i="16"/>
  <c r="O177" i="16"/>
  <c r="D177" i="16" s="1"/>
  <c r="O164" i="17"/>
  <c r="D164" i="17" s="1"/>
  <c r="C164" i="17"/>
  <c r="O167" i="18"/>
  <c r="D167" i="18" s="1"/>
  <c r="C167" i="18"/>
  <c r="O159" i="18"/>
  <c r="D159" i="18" s="1"/>
  <c r="C159" i="18"/>
  <c r="O160" i="17"/>
  <c r="D160" i="17" s="1"/>
  <c r="C160" i="17"/>
  <c r="C164" i="18"/>
  <c r="O164" i="18"/>
  <c r="D164" i="18" s="1"/>
  <c r="C156" i="18"/>
  <c r="O156" i="18"/>
  <c r="D156" i="18" s="1"/>
  <c r="O163" i="18"/>
  <c r="D163" i="18" s="1"/>
  <c r="C163" i="18"/>
  <c r="O184" i="17"/>
  <c r="D184" i="17" s="1"/>
  <c r="C184" i="17"/>
  <c r="O167" i="16"/>
  <c r="D167" i="16" s="1"/>
  <c r="C167" i="16"/>
  <c r="O176" i="16"/>
  <c r="D176" i="16" s="1"/>
  <c r="C176" i="16"/>
  <c r="O180" i="16"/>
  <c r="D180" i="16" s="1"/>
  <c r="C180" i="16"/>
  <c r="O184" i="16"/>
  <c r="D184" i="16" s="1"/>
  <c r="C184" i="16"/>
  <c r="C165" i="17"/>
  <c r="O165" i="17"/>
  <c r="D165" i="17" s="1"/>
  <c r="C180" i="18"/>
  <c r="O180" i="18"/>
  <c r="D180" i="18" s="1"/>
  <c r="C162" i="18"/>
  <c r="O162" i="18"/>
  <c r="D162" i="18" s="1"/>
  <c r="O154" i="17"/>
  <c r="D154" i="17" s="1"/>
  <c r="C154" i="17"/>
  <c r="O161" i="16"/>
  <c r="D161" i="16" s="1"/>
  <c r="C161" i="16"/>
  <c r="C182" i="18"/>
  <c r="O182" i="18"/>
  <c r="D182" i="18" s="1"/>
  <c r="O168" i="17"/>
  <c r="D168" i="17" s="1"/>
  <c r="C168" i="17"/>
  <c r="O173" i="18"/>
  <c r="D173" i="18" s="1"/>
  <c r="C173" i="18"/>
  <c r="C178" i="16"/>
  <c r="O178" i="16"/>
  <c r="D178" i="16" s="1"/>
  <c r="C181" i="17"/>
  <c r="O181" i="17"/>
  <c r="D181" i="17" s="1"/>
  <c r="C162" i="17"/>
  <c r="O162" i="17"/>
  <c r="D162" i="17" s="1"/>
  <c r="O167" i="17"/>
  <c r="D167" i="17" s="1"/>
  <c r="C167" i="17"/>
  <c r="O172" i="17"/>
  <c r="D172" i="17" s="1"/>
  <c r="C172" i="17"/>
  <c r="C160" i="16"/>
  <c r="O160" i="16"/>
  <c r="D160" i="16" s="1"/>
  <c r="C163" i="17"/>
  <c r="O163" i="17"/>
  <c r="D163" i="17" s="1"/>
  <c r="O156" i="16"/>
  <c r="D156" i="16" s="1"/>
  <c r="C156" i="16"/>
  <c r="O157" i="16"/>
  <c r="D157" i="16" s="1"/>
  <c r="C157" i="16"/>
  <c r="C160" i="18"/>
  <c r="O160" i="18"/>
  <c r="D160" i="18" s="1"/>
  <c r="O159" i="17"/>
  <c r="D159" i="17" s="1"/>
  <c r="C159" i="17"/>
  <c r="O171" i="18"/>
  <c r="D171" i="18" s="1"/>
  <c r="C171" i="18"/>
  <c r="O180" i="17"/>
  <c r="D180" i="17" s="1"/>
  <c r="C180" i="17"/>
  <c r="C184" i="18"/>
  <c r="O184" i="18"/>
  <c r="D184" i="18" s="1"/>
  <c r="C172" i="16"/>
  <c r="O172" i="16"/>
  <c r="D172" i="16" s="1"/>
  <c r="O175" i="17"/>
  <c r="D175" i="17" s="1"/>
  <c r="C175" i="17"/>
  <c r="O179" i="17"/>
  <c r="D179" i="17" s="1"/>
  <c r="C179" i="17"/>
  <c r="O183" i="18"/>
  <c r="D183" i="18" s="1"/>
  <c r="C183" i="18"/>
  <c r="C165" i="16"/>
  <c r="O165" i="16"/>
  <c r="D165" i="16" s="1"/>
  <c r="C176" i="18"/>
  <c r="O176" i="18"/>
  <c r="D176" i="18" s="1"/>
  <c r="O158" i="16"/>
  <c r="D158" i="16" s="1"/>
  <c r="C158" i="16"/>
  <c r="O162" i="16"/>
  <c r="D162" i="16" s="1"/>
  <c r="C162" i="16"/>
  <c r="O154" i="16"/>
  <c r="D154" i="16" s="1"/>
  <c r="C154" i="16"/>
  <c r="O154" i="18"/>
  <c r="D154" i="18" s="1"/>
  <c r="C154" i="18"/>
  <c r="C158" i="18"/>
  <c r="O158" i="18"/>
  <c r="D158" i="18" s="1"/>
  <c r="O157" i="18"/>
  <c r="D157" i="18" s="1"/>
  <c r="C157" i="18"/>
  <c r="O169" i="16"/>
  <c r="D169" i="16" s="1"/>
  <c r="C169" i="16"/>
  <c r="C179" i="16"/>
  <c r="O179" i="16"/>
  <c r="D179" i="16" s="1"/>
  <c r="C183" i="16"/>
  <c r="O183" i="16"/>
  <c r="D183" i="16" s="1"/>
  <c r="C164" i="16"/>
  <c r="O164" i="16"/>
  <c r="D164" i="16" s="1"/>
  <c r="C168" i="18"/>
  <c r="O168" i="18"/>
  <c r="D168" i="18" s="1"/>
  <c r="C173" i="17"/>
  <c r="O173" i="17"/>
  <c r="D173" i="17" s="1"/>
  <c r="O163" i="16"/>
  <c r="D163" i="16" s="1"/>
  <c r="C163" i="16"/>
  <c r="O168" i="16"/>
  <c r="D168" i="16" s="1"/>
  <c r="C168" i="16"/>
  <c r="C174" i="17"/>
  <c r="O174" i="17"/>
  <c r="D174" i="17" s="1"/>
  <c r="O155" i="18"/>
  <c r="D155" i="18" s="1"/>
  <c r="C155" i="18"/>
  <c r="C172" i="18"/>
  <c r="O172" i="18"/>
  <c r="D172" i="18" s="1"/>
  <c r="C156" i="17"/>
  <c r="O156" i="17"/>
  <c r="D156" i="17" s="1"/>
  <c r="O155" i="17"/>
  <c r="D155" i="17" s="1"/>
  <c r="C155" i="17"/>
  <c r="AC101" i="19"/>
  <c r="BM114" i="19"/>
  <c r="AF100" i="19"/>
  <c r="BP113" i="19"/>
  <c r="BA110" i="19"/>
  <c r="BD109" i="19"/>
  <c r="AP102" i="19"/>
  <c r="AQ102" i="19" s="1"/>
  <c r="AS102" i="19" s="1"/>
  <c r="AO113" i="18"/>
  <c r="AR112" i="18"/>
  <c r="AD100" i="18"/>
  <c r="AE100" i="18" s="1"/>
  <c r="AG100" i="18" s="1"/>
  <c r="BB101" i="18"/>
  <c r="BC101" i="18" s="1"/>
  <c r="BE101" i="18" s="1"/>
  <c r="BN102" i="18"/>
  <c r="BO102" i="18" s="1"/>
  <c r="BQ102" i="18" s="1"/>
  <c r="AO101" i="17"/>
  <c r="AD102" i="17"/>
  <c r="AE102" i="17" s="1"/>
  <c r="AG102" i="17" s="1"/>
  <c r="AR100" i="17"/>
  <c r="BA105" i="17"/>
  <c r="BD104" i="17"/>
  <c r="BM105" i="17"/>
  <c r="BP104" i="17"/>
  <c r="AO102" i="16"/>
  <c r="AR101" i="16"/>
  <c r="AD104" i="16"/>
  <c r="AE104" i="16" s="1"/>
  <c r="AG104" i="16" s="1"/>
  <c r="BB102" i="16"/>
  <c r="BC102" i="16" s="1"/>
  <c r="BE102" i="16" s="1"/>
  <c r="BN102" i="16"/>
  <c r="BO102" i="16" s="1"/>
  <c r="BQ102" i="16" s="1"/>
  <c r="BN108" i="14"/>
  <c r="BO108" i="14" s="1"/>
  <c r="BQ108" i="14" s="1"/>
  <c r="O168" i="14"/>
  <c r="D168" i="14" s="1"/>
  <c r="C168" i="14"/>
  <c r="O155" i="14"/>
  <c r="D155" i="14" s="1"/>
  <c r="C155" i="14"/>
  <c r="O154" i="14"/>
  <c r="D154" i="14" s="1"/>
  <c r="C154" i="14"/>
  <c r="O164" i="14"/>
  <c r="D164" i="14" s="1"/>
  <c r="C164" i="14"/>
  <c r="O183" i="14"/>
  <c r="D183" i="14" s="1"/>
  <c r="C183" i="14"/>
  <c r="O182" i="14"/>
  <c r="D182" i="14" s="1"/>
  <c r="C182" i="14"/>
  <c r="O181" i="14"/>
  <c r="D181" i="14" s="1"/>
  <c r="C181" i="14"/>
  <c r="O160" i="14"/>
  <c r="D160" i="14" s="1"/>
  <c r="C160" i="14"/>
  <c r="O179" i="14"/>
  <c r="D179" i="14" s="1"/>
  <c r="C179" i="14"/>
  <c r="O178" i="14"/>
  <c r="D178" i="14" s="1"/>
  <c r="C178" i="14"/>
  <c r="O177" i="14"/>
  <c r="D177" i="14" s="1"/>
  <c r="C177" i="14"/>
  <c r="O156" i="14"/>
  <c r="D156" i="14" s="1"/>
  <c r="C156" i="14"/>
  <c r="O175" i="14"/>
  <c r="D175" i="14" s="1"/>
  <c r="C175" i="14"/>
  <c r="O173" i="14"/>
  <c r="D173" i="14" s="1"/>
  <c r="C173" i="14"/>
  <c r="O184" i="14"/>
  <c r="D184" i="14" s="1"/>
  <c r="C184" i="14"/>
  <c r="O171" i="14"/>
  <c r="D171" i="14" s="1"/>
  <c r="C171" i="14"/>
  <c r="O170" i="14"/>
  <c r="D170" i="14" s="1"/>
  <c r="C170" i="14"/>
  <c r="O169" i="14"/>
  <c r="D169" i="14" s="1"/>
  <c r="C169" i="14"/>
  <c r="O180" i="14"/>
  <c r="D180" i="14" s="1"/>
  <c r="C180" i="14"/>
  <c r="O167" i="14"/>
  <c r="D167" i="14" s="1"/>
  <c r="C167" i="14"/>
  <c r="O166" i="14"/>
  <c r="D166" i="14" s="1"/>
  <c r="C166" i="14"/>
  <c r="O165" i="14"/>
  <c r="D165" i="14" s="1"/>
  <c r="C165" i="14"/>
  <c r="O176" i="14"/>
  <c r="D176" i="14" s="1"/>
  <c r="C176" i="14"/>
  <c r="O162" i="14"/>
  <c r="D162" i="14" s="1"/>
  <c r="C162" i="14"/>
  <c r="O161" i="14"/>
  <c r="D161" i="14" s="1"/>
  <c r="C161" i="14"/>
  <c r="O172" i="14"/>
  <c r="D172" i="14" s="1"/>
  <c r="C172" i="14"/>
  <c r="O159" i="14"/>
  <c r="D159" i="14" s="1"/>
  <c r="C159" i="14"/>
  <c r="O158" i="14"/>
  <c r="D158" i="14" s="1"/>
  <c r="C158" i="14"/>
  <c r="O157" i="14"/>
  <c r="D157" i="14" s="1"/>
  <c r="C157" i="14"/>
  <c r="BB103" i="14"/>
  <c r="BC103" i="14" s="1"/>
  <c r="BE103" i="14" s="1"/>
  <c r="AO109" i="14"/>
  <c r="AR108" i="14"/>
  <c r="O163" i="14"/>
  <c r="D163" i="14" s="1"/>
  <c r="AC75" i="14"/>
  <c r="AF74" i="14"/>
  <c r="D6" i="16" l="1"/>
  <c r="D6" i="18"/>
  <c r="D5" i="17"/>
  <c r="H5" i="17" s="1"/>
  <c r="J5" i="17" s="1"/>
  <c r="S5" i="17"/>
  <c r="D5" i="16"/>
  <c r="H5" i="16" s="1"/>
  <c r="I5" i="16" s="1"/>
  <c r="S5" i="16"/>
  <c r="D7" i="19"/>
  <c r="D5" i="14"/>
  <c r="H5" i="14" s="1"/>
  <c r="J5" i="14" s="1"/>
  <c r="S5" i="14"/>
  <c r="D5" i="19"/>
  <c r="H5" i="19" s="1"/>
  <c r="S5" i="19"/>
  <c r="D7" i="17"/>
  <c r="D5" i="18"/>
  <c r="H5" i="18" s="1"/>
  <c r="I5" i="18" s="1"/>
  <c r="S5" i="18"/>
  <c r="BB110" i="19"/>
  <c r="BC110" i="19" s="1"/>
  <c r="BE110" i="19" s="1"/>
  <c r="AO103" i="19"/>
  <c r="AR102" i="19"/>
  <c r="BN114" i="19"/>
  <c r="BO114" i="19" s="1"/>
  <c r="BQ114" i="19" s="1"/>
  <c r="AD101" i="19"/>
  <c r="AE101" i="19" s="1"/>
  <c r="AG101" i="19" s="1"/>
  <c r="BA102" i="18"/>
  <c r="AC101" i="18"/>
  <c r="AF100" i="18"/>
  <c r="BM103" i="18"/>
  <c r="BP102" i="18"/>
  <c r="AP113" i="18"/>
  <c r="AQ113" i="18" s="1"/>
  <c r="AS113" i="18" s="1"/>
  <c r="BD101" i="18"/>
  <c r="AF102" i="17"/>
  <c r="BN105" i="17"/>
  <c r="BO105" i="17" s="1"/>
  <c r="BQ105" i="17" s="1"/>
  <c r="AP101" i="17"/>
  <c r="AQ101" i="17" s="1"/>
  <c r="AS101" i="17" s="1"/>
  <c r="BB105" i="17"/>
  <c r="BC105" i="17" s="1"/>
  <c r="BE105" i="17" s="1"/>
  <c r="AC103" i="17"/>
  <c r="AC105" i="16"/>
  <c r="BM103" i="16"/>
  <c r="BP102" i="16"/>
  <c r="BA103" i="16"/>
  <c r="AF104" i="16"/>
  <c r="BD102" i="16"/>
  <c r="AP102" i="16"/>
  <c r="AQ102" i="16" s="1"/>
  <c r="AS102" i="16" s="1"/>
  <c r="BM109" i="14"/>
  <c r="BP108" i="14"/>
  <c r="BA104" i="14"/>
  <c r="BD103" i="14"/>
  <c r="AP109" i="14"/>
  <c r="AD75" i="14"/>
  <c r="J5" i="18" l="1"/>
  <c r="I5" i="17"/>
  <c r="U5" i="19"/>
  <c r="Q6" i="19" s="1"/>
  <c r="R6" i="19" s="1"/>
  <c r="T5" i="19"/>
  <c r="U5" i="17"/>
  <c r="Q6" i="17" s="1"/>
  <c r="R6" i="17" s="1"/>
  <c r="T5" i="17"/>
  <c r="J5" i="19"/>
  <c r="I5" i="19"/>
  <c r="I5" i="14"/>
  <c r="U5" i="14"/>
  <c r="Q6" i="14" s="1"/>
  <c r="R6" i="14" s="1"/>
  <c r="T5" i="14"/>
  <c r="J5" i="16"/>
  <c r="F6" i="16" s="1"/>
  <c r="U5" i="16"/>
  <c r="Q6" i="16" s="1"/>
  <c r="T5" i="16"/>
  <c r="U5" i="18"/>
  <c r="Q6" i="18" s="1"/>
  <c r="T5" i="18"/>
  <c r="F6" i="17"/>
  <c r="K5" i="17"/>
  <c r="F6" i="18"/>
  <c r="K5" i="18"/>
  <c r="K5" i="14"/>
  <c r="F6" i="14"/>
  <c r="G6" i="14" s="1"/>
  <c r="C8" i="15"/>
  <c r="E8" i="15" s="1"/>
  <c r="BD105" i="17"/>
  <c r="AC102" i="19"/>
  <c r="AP103" i="19"/>
  <c r="AQ103" i="19" s="1"/>
  <c r="AS103" i="19" s="1"/>
  <c r="AF101" i="19"/>
  <c r="BM115" i="19"/>
  <c r="BP114" i="19"/>
  <c r="BA111" i="19"/>
  <c r="BD110" i="19"/>
  <c r="AO114" i="18"/>
  <c r="AR113" i="18"/>
  <c r="AD101" i="18"/>
  <c r="BN103" i="18"/>
  <c r="BO103" i="18" s="1"/>
  <c r="BQ103" i="18" s="1"/>
  <c r="BB102" i="18"/>
  <c r="BC102" i="18" s="1"/>
  <c r="BE102" i="18" s="1"/>
  <c r="BM106" i="17"/>
  <c r="AO102" i="17"/>
  <c r="AR101" i="17"/>
  <c r="BA106" i="17"/>
  <c r="BP105" i="17"/>
  <c r="AD103" i="17"/>
  <c r="AE103" i="17" s="1"/>
  <c r="AG103" i="17" s="1"/>
  <c r="AR102" i="16"/>
  <c r="BN103" i="16"/>
  <c r="BO103" i="16" s="1"/>
  <c r="BQ103" i="16" s="1"/>
  <c r="AO103" i="16"/>
  <c r="AD105" i="16"/>
  <c r="AE105" i="16" s="1"/>
  <c r="AG105" i="16" s="1"/>
  <c r="BB103" i="16"/>
  <c r="BC103" i="16" s="1"/>
  <c r="BE103" i="16" s="1"/>
  <c r="BN109" i="14"/>
  <c r="BO109" i="14" s="1"/>
  <c r="BQ109" i="14" s="1"/>
  <c r="BB104" i="14"/>
  <c r="BC104" i="14" s="1"/>
  <c r="BE104" i="14" s="1"/>
  <c r="AQ109" i="14"/>
  <c r="AS109" i="14" s="1"/>
  <c r="AO110" i="14" s="1"/>
  <c r="AE75" i="14"/>
  <c r="AG75" i="14" s="1"/>
  <c r="K5" i="16" l="1"/>
  <c r="S6" i="14"/>
  <c r="U6" i="14" s="1"/>
  <c r="R6" i="18"/>
  <c r="S6" i="18" s="1"/>
  <c r="U6" i="18" s="1"/>
  <c r="Q7" i="18" s="1"/>
  <c r="R7" i="18" s="1"/>
  <c r="K5" i="19"/>
  <c r="F6" i="19"/>
  <c r="S6" i="17"/>
  <c r="U6" i="17" s="1"/>
  <c r="Q7" i="17" s="1"/>
  <c r="R6" i="16"/>
  <c r="S6" i="16" s="1"/>
  <c r="U6" i="16" s="1"/>
  <c r="Q7" i="16" s="1"/>
  <c r="R7" i="16" s="1"/>
  <c r="S6" i="19"/>
  <c r="U6" i="19" s="1"/>
  <c r="Q7" i="19" s="1"/>
  <c r="G6" i="18"/>
  <c r="H6" i="18" s="1"/>
  <c r="J6" i="18" s="1"/>
  <c r="G6" i="17"/>
  <c r="H6" i="17" s="1"/>
  <c r="J6" i="17" s="1"/>
  <c r="F7" i="17" s="1"/>
  <c r="G6" i="16"/>
  <c r="H6" i="16" s="1"/>
  <c r="J6" i="16" s="1"/>
  <c r="F7" i="16" s="1"/>
  <c r="H6" i="14"/>
  <c r="J6" i="14" s="1"/>
  <c r="BN115" i="19"/>
  <c r="BO115" i="19" s="1"/>
  <c r="BQ115" i="19" s="1"/>
  <c r="AO104" i="19"/>
  <c r="BB111" i="19"/>
  <c r="BC111" i="19" s="1"/>
  <c r="BE111" i="19" s="1"/>
  <c r="AR103" i="19"/>
  <c r="AD102" i="19"/>
  <c r="AE102" i="19" s="1"/>
  <c r="AG102" i="19" s="1"/>
  <c r="BA103" i="18"/>
  <c r="BD102" i="18"/>
  <c r="BM104" i="18"/>
  <c r="BP103" i="18"/>
  <c r="AP114" i="18"/>
  <c r="AQ114" i="18" s="1"/>
  <c r="AS114" i="18" s="1"/>
  <c r="AE101" i="18"/>
  <c r="AG101" i="18" s="1"/>
  <c r="AP102" i="17"/>
  <c r="AQ102" i="17" s="1"/>
  <c r="AS102" i="17" s="1"/>
  <c r="AF103" i="17"/>
  <c r="AC104" i="17"/>
  <c r="BN106" i="17"/>
  <c r="BO106" i="17" s="1"/>
  <c r="BQ106" i="17" s="1"/>
  <c r="BB106" i="17"/>
  <c r="BC106" i="17" s="1"/>
  <c r="BE106" i="17" s="1"/>
  <c r="AC106" i="16"/>
  <c r="BP103" i="16"/>
  <c r="BM104" i="16"/>
  <c r="BA104" i="16"/>
  <c r="AF105" i="16"/>
  <c r="AP103" i="16"/>
  <c r="AQ103" i="16" s="1"/>
  <c r="AS103" i="16" s="1"/>
  <c r="BD103" i="16"/>
  <c r="BP109" i="14"/>
  <c r="BM110" i="14"/>
  <c r="BA105" i="14"/>
  <c r="BD104" i="14"/>
  <c r="AR109" i="14"/>
  <c r="AP110" i="14"/>
  <c r="AQ110" i="14" s="1"/>
  <c r="AS110" i="14" s="1"/>
  <c r="AC76" i="14"/>
  <c r="AF75" i="14"/>
  <c r="T6" i="17" l="1"/>
  <c r="T6" i="19"/>
  <c r="S7" i="18"/>
  <c r="U7" i="18" s="1"/>
  <c r="Q8" i="18" s="1"/>
  <c r="G6" i="19"/>
  <c r="H6" i="19" s="1"/>
  <c r="J6" i="19" s="1"/>
  <c r="Q7" i="14"/>
  <c r="R7" i="14" s="1"/>
  <c r="R7" i="17"/>
  <c r="S7" i="17" s="1"/>
  <c r="U7" i="17" s="1"/>
  <c r="Q8" i="17" s="1"/>
  <c r="R7" i="19"/>
  <c r="S7" i="16"/>
  <c r="U7" i="16" s="1"/>
  <c r="Q8" i="16" s="1"/>
  <c r="T6" i="18"/>
  <c r="T6" i="16"/>
  <c r="T6" i="14"/>
  <c r="G7" i="17"/>
  <c r="H7" i="17" s="1"/>
  <c r="J7" i="17" s="1"/>
  <c r="F8" i="17" s="1"/>
  <c r="G8" i="17" s="1"/>
  <c r="K6" i="18"/>
  <c r="F7" i="18"/>
  <c r="G7" i="18" s="1"/>
  <c r="K6" i="16"/>
  <c r="G7" i="16"/>
  <c r="H7" i="16" s="1"/>
  <c r="J7" i="16" s="1"/>
  <c r="I6" i="16"/>
  <c r="I6" i="17"/>
  <c r="K6" i="17"/>
  <c r="I6" i="18"/>
  <c r="I6" i="14"/>
  <c r="K6" i="14"/>
  <c r="F7" i="14"/>
  <c r="G7" i="14" s="1"/>
  <c r="C9" i="15"/>
  <c r="E9" i="15" s="1"/>
  <c r="AC103" i="19"/>
  <c r="AP104" i="19"/>
  <c r="AQ104" i="19" s="1"/>
  <c r="AS104" i="19" s="1"/>
  <c r="BM116" i="19"/>
  <c r="BP115" i="19"/>
  <c r="BA112" i="19"/>
  <c r="BD111" i="19"/>
  <c r="AF102" i="19"/>
  <c r="AO115" i="18"/>
  <c r="AF101" i="18"/>
  <c r="AR114" i="18"/>
  <c r="AC102" i="18"/>
  <c r="BN104" i="18"/>
  <c r="BO104" i="18" s="1"/>
  <c r="BQ104" i="18" s="1"/>
  <c r="BB103" i="18"/>
  <c r="BC103" i="18" s="1"/>
  <c r="BE103" i="18" s="1"/>
  <c r="AD104" i="17"/>
  <c r="AE104" i="17" s="1"/>
  <c r="AG104" i="17" s="1"/>
  <c r="AO103" i="17"/>
  <c r="BA107" i="17"/>
  <c r="AR102" i="17"/>
  <c r="BD106" i="17"/>
  <c r="BM107" i="17"/>
  <c r="BP106" i="17"/>
  <c r="BB104" i="16"/>
  <c r="BC104" i="16" s="1"/>
  <c r="BE104" i="16" s="1"/>
  <c r="BN104" i="16"/>
  <c r="BO104" i="16" s="1"/>
  <c r="BQ104" i="16" s="1"/>
  <c r="AR103" i="16"/>
  <c r="AO104" i="16"/>
  <c r="AD106" i="16"/>
  <c r="AE106" i="16" s="1"/>
  <c r="AG106" i="16" s="1"/>
  <c r="BN110" i="14"/>
  <c r="BO110" i="14" s="1"/>
  <c r="BQ110" i="14" s="1"/>
  <c r="BB105" i="14"/>
  <c r="BC105" i="14" s="1"/>
  <c r="BE105" i="14" s="1"/>
  <c r="AO111" i="14"/>
  <c r="AR110" i="14"/>
  <c r="AD76" i="14"/>
  <c r="I7" i="17" l="1"/>
  <c r="H7" i="18"/>
  <c r="J7" i="18" s="1"/>
  <c r="K7" i="18" s="1"/>
  <c r="K6" i="19"/>
  <c r="F7" i="19"/>
  <c r="G7" i="19" s="1"/>
  <c r="K7" i="17"/>
  <c r="T7" i="17"/>
  <c r="R8" i="18"/>
  <c r="S8" i="18" s="1"/>
  <c r="U8" i="18" s="1"/>
  <c r="Q9" i="18" s="1"/>
  <c r="R8" i="17"/>
  <c r="S7" i="14"/>
  <c r="U7" i="14" s="1"/>
  <c r="T7" i="16"/>
  <c r="R8" i="16"/>
  <c r="S8" i="16" s="1"/>
  <c r="U8" i="16" s="1"/>
  <c r="Q9" i="16" s="1"/>
  <c r="I6" i="19"/>
  <c r="S7" i="19"/>
  <c r="U7" i="19" s="1"/>
  <c r="Q8" i="19" s="1"/>
  <c r="T7" i="18"/>
  <c r="K7" i="16"/>
  <c r="F8" i="16"/>
  <c r="I7" i="16"/>
  <c r="H7" i="14"/>
  <c r="J7" i="14" s="1"/>
  <c r="H8" i="17"/>
  <c r="J8" i="17" s="1"/>
  <c r="BB112" i="19"/>
  <c r="BC112" i="19" s="1"/>
  <c r="BE112" i="19" s="1"/>
  <c r="BN116" i="19"/>
  <c r="BO116" i="19" s="1"/>
  <c r="BQ116" i="19" s="1"/>
  <c r="AO105" i="19"/>
  <c r="AR104" i="19"/>
  <c r="AD103" i="19"/>
  <c r="AE103" i="19" s="1"/>
  <c r="AG103" i="19" s="1"/>
  <c r="AD102" i="18"/>
  <c r="AE102" i="18" s="1"/>
  <c r="AG102" i="18" s="1"/>
  <c r="BA104" i="18"/>
  <c r="BD103" i="18"/>
  <c r="BM105" i="18"/>
  <c r="BP104" i="18"/>
  <c r="AP115" i="18"/>
  <c r="AQ115" i="18" s="1"/>
  <c r="AS115" i="18" s="1"/>
  <c r="BB107" i="17"/>
  <c r="BC107" i="17" s="1"/>
  <c r="BE107" i="17" s="1"/>
  <c r="BN107" i="17"/>
  <c r="AC105" i="17"/>
  <c r="AF104" i="17"/>
  <c r="AP103" i="17"/>
  <c r="AQ103" i="17" s="1"/>
  <c r="AS103" i="17" s="1"/>
  <c r="AC107" i="16"/>
  <c r="BM105" i="16"/>
  <c r="AF106" i="16"/>
  <c r="AP104" i="16"/>
  <c r="AQ104" i="16" s="1"/>
  <c r="AS104" i="16" s="1"/>
  <c r="BD104" i="16"/>
  <c r="BA105" i="16"/>
  <c r="BP104" i="16"/>
  <c r="BM111" i="14"/>
  <c r="BP110" i="14"/>
  <c r="BA106" i="14"/>
  <c r="BD105" i="14"/>
  <c r="AP111" i="14"/>
  <c r="AQ111" i="14" s="1"/>
  <c r="AS111" i="14" s="1"/>
  <c r="AE76" i="14"/>
  <c r="AG76" i="14" s="1"/>
  <c r="F8" i="18" l="1"/>
  <c r="G8" i="18" s="1"/>
  <c r="I7" i="18"/>
  <c r="R9" i="18"/>
  <c r="S9" i="18" s="1"/>
  <c r="U9" i="18" s="1"/>
  <c r="Q10" i="18" s="1"/>
  <c r="R8" i="19"/>
  <c r="S8" i="19" s="1"/>
  <c r="U8" i="19" s="1"/>
  <c r="Q9" i="19" s="1"/>
  <c r="T8" i="18"/>
  <c r="T8" i="16"/>
  <c r="T7" i="19"/>
  <c r="R9" i="16"/>
  <c r="S9" i="16" s="1"/>
  <c r="U9" i="16" s="1"/>
  <c r="Q10" i="16" s="1"/>
  <c r="T7" i="14"/>
  <c r="Q8" i="14"/>
  <c r="R8" i="14" s="1"/>
  <c r="H7" i="19"/>
  <c r="J7" i="19" s="1"/>
  <c r="S8" i="17"/>
  <c r="U8" i="17" s="1"/>
  <c r="Q9" i="17" s="1"/>
  <c r="G8" i="16"/>
  <c r="H8" i="16" s="1"/>
  <c r="J8" i="16" s="1"/>
  <c r="I7" i="14"/>
  <c r="K7" i="14"/>
  <c r="F8" i="14"/>
  <c r="G8" i="14" s="1"/>
  <c r="H8" i="18"/>
  <c r="J8" i="18" s="1"/>
  <c r="I8" i="17"/>
  <c r="K8" i="17"/>
  <c r="F9" i="17"/>
  <c r="C10" i="15"/>
  <c r="E10" i="15" s="1"/>
  <c r="BM117" i="19"/>
  <c r="AF103" i="19"/>
  <c r="BP116" i="19"/>
  <c r="AC104" i="19"/>
  <c r="BA113" i="19"/>
  <c r="AP105" i="19"/>
  <c r="AQ105" i="19" s="1"/>
  <c r="AS105" i="19" s="1"/>
  <c r="BD112" i="19"/>
  <c r="AO116" i="18"/>
  <c r="BN105" i="18"/>
  <c r="BO105" i="18" s="1"/>
  <c r="BQ105" i="18" s="1"/>
  <c r="BB104" i="18"/>
  <c r="BC104" i="18" s="1"/>
  <c r="BE104" i="18" s="1"/>
  <c r="AC103" i="18"/>
  <c r="AR115" i="18"/>
  <c r="AF102" i="18"/>
  <c r="AD105" i="17"/>
  <c r="AE105" i="17" s="1"/>
  <c r="AG105" i="17" s="1"/>
  <c r="AR103" i="17"/>
  <c r="BO107" i="17"/>
  <c r="BQ107" i="17" s="1"/>
  <c r="BA108" i="17"/>
  <c r="AO104" i="17"/>
  <c r="BD107" i="17"/>
  <c r="AO105" i="16"/>
  <c r="AR104" i="16"/>
  <c r="BN105" i="16"/>
  <c r="BB105" i="16"/>
  <c r="BC105" i="16" s="1"/>
  <c r="BE105" i="16" s="1"/>
  <c r="AD107" i="16"/>
  <c r="AE107" i="16" s="1"/>
  <c r="AG107" i="16" s="1"/>
  <c r="BN111" i="14"/>
  <c r="BO111" i="14" s="1"/>
  <c r="BQ111" i="14" s="1"/>
  <c r="BB106" i="14"/>
  <c r="BC106" i="14" s="1"/>
  <c r="BE106" i="14" s="1"/>
  <c r="AO112" i="14"/>
  <c r="AR111" i="14"/>
  <c r="AC77" i="14"/>
  <c r="AF76" i="14"/>
  <c r="R10" i="16" l="1"/>
  <c r="S10" i="16" s="1"/>
  <c r="U10" i="16" s="1"/>
  <c r="Q11" i="16" s="1"/>
  <c r="R9" i="19"/>
  <c r="S9" i="19" s="1"/>
  <c r="U9" i="19" s="1"/>
  <c r="Q10" i="19" s="1"/>
  <c r="R10" i="18"/>
  <c r="S10" i="18" s="1"/>
  <c r="U10" i="18" s="1"/>
  <c r="Q11" i="18" s="1"/>
  <c r="R9" i="17"/>
  <c r="S9" i="17" s="1"/>
  <c r="U9" i="17" s="1"/>
  <c r="Q10" i="17" s="1"/>
  <c r="R10" i="17" s="1"/>
  <c r="I7" i="19"/>
  <c r="K7" i="19"/>
  <c r="F8" i="19"/>
  <c r="G8" i="19" s="1"/>
  <c r="S8" i="14"/>
  <c r="U8" i="14" s="1"/>
  <c r="T8" i="19"/>
  <c r="T8" i="17"/>
  <c r="T9" i="16"/>
  <c r="T9" i="18"/>
  <c r="G9" i="17"/>
  <c r="H9" i="17" s="1"/>
  <c r="J9" i="17" s="1"/>
  <c r="K8" i="16"/>
  <c r="F9" i="16"/>
  <c r="I8" i="16"/>
  <c r="I8" i="18"/>
  <c r="F9" i="18"/>
  <c r="K8" i="18"/>
  <c r="H8" i="14"/>
  <c r="J8" i="14" s="1"/>
  <c r="AO106" i="19"/>
  <c r="BB113" i="19"/>
  <c r="BC113" i="19" s="1"/>
  <c r="BE113" i="19" s="1"/>
  <c r="BN117" i="19"/>
  <c r="BO117" i="19" s="1"/>
  <c r="BQ117" i="19" s="1"/>
  <c r="AR105" i="19"/>
  <c r="AD104" i="19"/>
  <c r="AE104" i="19" s="1"/>
  <c r="AG104" i="19" s="1"/>
  <c r="BA105" i="18"/>
  <c r="BD104" i="18"/>
  <c r="BM106" i="18"/>
  <c r="BP105" i="18"/>
  <c r="AD103" i="18"/>
  <c r="AE103" i="18" s="1"/>
  <c r="AG103" i="18" s="1"/>
  <c r="AP116" i="18"/>
  <c r="AQ116" i="18" s="1"/>
  <c r="AS116" i="18" s="1"/>
  <c r="AP104" i="17"/>
  <c r="AQ104" i="17" s="1"/>
  <c r="AS104" i="17" s="1"/>
  <c r="BM108" i="17"/>
  <c r="BB108" i="17"/>
  <c r="BC108" i="17" s="1"/>
  <c r="BE108" i="17" s="1"/>
  <c r="BP107" i="17"/>
  <c r="AC106" i="17"/>
  <c r="AF105" i="17"/>
  <c r="AC108" i="16"/>
  <c r="AF107" i="16"/>
  <c r="BD105" i="16"/>
  <c r="BA106" i="16"/>
  <c r="AP105" i="16"/>
  <c r="BO105" i="16"/>
  <c r="BQ105" i="16" s="1"/>
  <c r="BM112" i="14"/>
  <c r="BP111" i="14"/>
  <c r="BA107" i="14"/>
  <c r="BD106" i="14"/>
  <c r="AP112" i="14"/>
  <c r="AQ112" i="14" s="1"/>
  <c r="AS112" i="14" s="1"/>
  <c r="AD77" i="14"/>
  <c r="R11" i="16" l="1"/>
  <c r="S11" i="16" s="1"/>
  <c r="U11" i="16" s="1"/>
  <c r="Q12" i="16" s="1"/>
  <c r="R12" i="16" s="1"/>
  <c r="K9" i="17"/>
  <c r="F10" i="17"/>
  <c r="G10" i="17" s="1"/>
  <c r="R11" i="18"/>
  <c r="S11" i="18" s="1"/>
  <c r="U11" i="18" s="1"/>
  <c r="Q12" i="18" s="1"/>
  <c r="R10" i="19"/>
  <c r="S10" i="19" s="1"/>
  <c r="U10" i="19" s="1"/>
  <c r="Q11" i="19" s="1"/>
  <c r="T9" i="17"/>
  <c r="T8" i="14"/>
  <c r="T10" i="18"/>
  <c r="Q9" i="14"/>
  <c r="R9" i="14" s="1"/>
  <c r="H8" i="19"/>
  <c r="J8" i="19" s="1"/>
  <c r="T9" i="19"/>
  <c r="S10" i="17"/>
  <c r="U10" i="17" s="1"/>
  <c r="Q11" i="17" s="1"/>
  <c r="T10" i="16"/>
  <c r="G9" i="18"/>
  <c r="H9" i="18" s="1"/>
  <c r="J9" i="18" s="1"/>
  <c r="F10" i="18" s="1"/>
  <c r="G10" i="18" s="1"/>
  <c r="G9" i="16"/>
  <c r="H9" i="16" s="1"/>
  <c r="J9" i="16" s="1"/>
  <c r="I9" i="17"/>
  <c r="I8" i="14"/>
  <c r="F9" i="14"/>
  <c r="G9" i="14" s="1"/>
  <c r="K8" i="14"/>
  <c r="C11" i="15"/>
  <c r="E11" i="15" s="1"/>
  <c r="BP105" i="16"/>
  <c r="BD108" i="17"/>
  <c r="AF104" i="19"/>
  <c r="BM118" i="19"/>
  <c r="AP106" i="19"/>
  <c r="AQ106" i="19" s="1"/>
  <c r="AS106" i="19" s="1"/>
  <c r="BP117" i="19"/>
  <c r="AC105" i="19"/>
  <c r="BA114" i="19"/>
  <c r="BD113" i="19"/>
  <c r="AO117" i="18"/>
  <c r="AF103" i="18"/>
  <c r="AC104" i="18"/>
  <c r="BB105" i="18"/>
  <c r="BN106" i="18"/>
  <c r="BO106" i="18" s="1"/>
  <c r="BQ106" i="18" s="1"/>
  <c r="AR116" i="18"/>
  <c r="BN108" i="17"/>
  <c r="BO108" i="17" s="1"/>
  <c r="BQ108" i="17" s="1"/>
  <c r="AD106" i="17"/>
  <c r="AE106" i="17" s="1"/>
  <c r="AG106" i="17" s="1"/>
  <c r="BA109" i="17"/>
  <c r="AO105" i="17"/>
  <c r="AR104" i="17"/>
  <c r="BB106" i="16"/>
  <c r="BC106" i="16" s="1"/>
  <c r="BE106" i="16" s="1"/>
  <c r="BM106" i="16"/>
  <c r="AD108" i="16"/>
  <c r="AE108" i="16" s="1"/>
  <c r="AG108" i="16" s="1"/>
  <c r="AQ105" i="16"/>
  <c r="AS105" i="16" s="1"/>
  <c r="BN112" i="14"/>
  <c r="BO112" i="14" s="1"/>
  <c r="BQ112" i="14" s="1"/>
  <c r="BB107" i="14"/>
  <c r="BC107" i="14" s="1"/>
  <c r="BE107" i="14" s="1"/>
  <c r="AO113" i="14"/>
  <c r="AR112" i="14"/>
  <c r="AE77" i="14"/>
  <c r="AG77" i="14" s="1"/>
  <c r="T10" i="17" l="1"/>
  <c r="H10" i="17"/>
  <c r="J10" i="17" s="1"/>
  <c r="R11" i="19"/>
  <c r="S11" i="19" s="1"/>
  <c r="U11" i="19" s="1"/>
  <c r="Q12" i="19" s="1"/>
  <c r="I8" i="19"/>
  <c r="T10" i="19"/>
  <c r="K8" i="19"/>
  <c r="F9" i="19"/>
  <c r="R12" i="18"/>
  <c r="S12" i="18" s="1"/>
  <c r="U12" i="18" s="1"/>
  <c r="Q13" i="18" s="1"/>
  <c r="T11" i="18"/>
  <c r="S9" i="14"/>
  <c r="U9" i="14" s="1"/>
  <c r="Q10" i="14" s="1"/>
  <c r="R10" i="14" s="1"/>
  <c r="S10" i="14" s="1"/>
  <c r="S12" i="16"/>
  <c r="U12" i="16" s="1"/>
  <c r="Q13" i="16" s="1"/>
  <c r="R11" i="17"/>
  <c r="S11" i="17" s="1"/>
  <c r="U11" i="17" s="1"/>
  <c r="Q12" i="17" s="1"/>
  <c r="T11" i="16"/>
  <c r="K9" i="18"/>
  <c r="F10" i="16"/>
  <c r="K9" i="16"/>
  <c r="I9" i="16"/>
  <c r="I9" i="18"/>
  <c r="H10" i="18"/>
  <c r="J10" i="18" s="1"/>
  <c r="H9" i="14"/>
  <c r="J9" i="14" s="1"/>
  <c r="I10" i="17"/>
  <c r="K10" i="17"/>
  <c r="F11" i="17"/>
  <c r="G11" i="17" s="1"/>
  <c r="AO107" i="19"/>
  <c r="AR106" i="19"/>
  <c r="BB114" i="19"/>
  <c r="BC114" i="19" s="1"/>
  <c r="BE114" i="19" s="1"/>
  <c r="BN118" i="19"/>
  <c r="AD105" i="19"/>
  <c r="AE105" i="19" s="1"/>
  <c r="AG105" i="19" s="1"/>
  <c r="AD104" i="18"/>
  <c r="AE104" i="18" s="1"/>
  <c r="AG104" i="18" s="1"/>
  <c r="BM107" i="18"/>
  <c r="BP106" i="18"/>
  <c r="AP117" i="18"/>
  <c r="AQ117" i="18" s="1"/>
  <c r="AS117" i="18" s="1"/>
  <c r="BC105" i="18"/>
  <c r="BE105" i="18" s="1"/>
  <c r="AC107" i="17"/>
  <c r="AF106" i="17"/>
  <c r="BB109" i="17"/>
  <c r="BM109" i="17"/>
  <c r="BP108" i="17"/>
  <c r="AP105" i="17"/>
  <c r="AQ105" i="17" s="1"/>
  <c r="AS105" i="17" s="1"/>
  <c r="BA107" i="16"/>
  <c r="AR105" i="16"/>
  <c r="AO106" i="16"/>
  <c r="AF108" i="16"/>
  <c r="AC109" i="16"/>
  <c r="BD106" i="16"/>
  <c r="BN106" i="16"/>
  <c r="BO106" i="16" s="1"/>
  <c r="BQ106" i="16" s="1"/>
  <c r="BM113" i="14"/>
  <c r="BP112" i="14"/>
  <c r="BA108" i="14"/>
  <c r="BD107" i="14"/>
  <c r="AP113" i="14"/>
  <c r="AQ113" i="14" s="1"/>
  <c r="AS113" i="14" s="1"/>
  <c r="AC78" i="14"/>
  <c r="AF77" i="14"/>
  <c r="R12" i="19" l="1"/>
  <c r="S12" i="19" s="1"/>
  <c r="T12" i="16"/>
  <c r="T12" i="18"/>
  <c r="G9" i="19"/>
  <c r="H9" i="19" s="1"/>
  <c r="J9" i="19" s="1"/>
  <c r="R13" i="18"/>
  <c r="S13" i="18" s="1"/>
  <c r="U13" i="18" s="1"/>
  <c r="Q14" i="18" s="1"/>
  <c r="T11" i="17"/>
  <c r="R13" i="16"/>
  <c r="S13" i="16" s="1"/>
  <c r="U13" i="16" s="1"/>
  <c r="Q14" i="16" s="1"/>
  <c r="R12" i="17"/>
  <c r="S12" i="17" s="1"/>
  <c r="U12" i="17" s="1"/>
  <c r="Q13" i="17" s="1"/>
  <c r="R13" i="17" s="1"/>
  <c r="T9" i="14"/>
  <c r="U10" i="14"/>
  <c r="Q11" i="14" s="1"/>
  <c r="T11" i="19"/>
  <c r="G10" i="16"/>
  <c r="H10" i="16" s="1"/>
  <c r="J10" i="16" s="1"/>
  <c r="I10" i="18"/>
  <c r="I9" i="14"/>
  <c r="K9" i="14"/>
  <c r="F10" i="14"/>
  <c r="K10" i="18"/>
  <c r="F11" i="18"/>
  <c r="G11" i="18" s="1"/>
  <c r="H11" i="17"/>
  <c r="J11" i="17" s="1"/>
  <c r="C12" i="15"/>
  <c r="E12" i="15" s="1"/>
  <c r="AC106" i="19"/>
  <c r="BA115" i="19"/>
  <c r="AF105" i="19"/>
  <c r="BD114" i="19"/>
  <c r="BO118" i="19"/>
  <c r="BQ118" i="19" s="1"/>
  <c r="AP107" i="19"/>
  <c r="AQ107" i="19" s="1"/>
  <c r="AS107" i="19" s="1"/>
  <c r="BA106" i="18"/>
  <c r="BD105" i="18"/>
  <c r="AR117" i="18"/>
  <c r="BN107" i="18"/>
  <c r="BO107" i="18" s="1"/>
  <c r="BQ107" i="18" s="1"/>
  <c r="AC105" i="18"/>
  <c r="AO118" i="18"/>
  <c r="AF104" i="18"/>
  <c r="AD107" i="17"/>
  <c r="AE107" i="17" s="1"/>
  <c r="AG107" i="17" s="1"/>
  <c r="AR105" i="17"/>
  <c r="AO106" i="17"/>
  <c r="BN109" i="17"/>
  <c r="BO109" i="17" s="1"/>
  <c r="BQ109" i="17" s="1"/>
  <c r="BC109" i="17"/>
  <c r="BE109" i="17" s="1"/>
  <c r="BM107" i="16"/>
  <c r="BP106" i="16"/>
  <c r="AP106" i="16"/>
  <c r="AD109" i="16"/>
  <c r="AE109" i="16" s="1"/>
  <c r="AG109" i="16" s="1"/>
  <c r="BB107" i="16"/>
  <c r="BC107" i="16" s="1"/>
  <c r="BE107" i="16" s="1"/>
  <c r="BN113" i="14"/>
  <c r="BO113" i="14" s="1"/>
  <c r="BQ113" i="14" s="1"/>
  <c r="BB108" i="14"/>
  <c r="AO114" i="14"/>
  <c r="AR113" i="14"/>
  <c r="AD78" i="14"/>
  <c r="T10" i="14"/>
  <c r="U12" i="19" l="1"/>
  <c r="Q13" i="19" s="1"/>
  <c r="R13" i="19" s="1"/>
  <c r="T12" i="19"/>
  <c r="S13" i="17"/>
  <c r="U13" i="17" s="1"/>
  <c r="Q14" i="17" s="1"/>
  <c r="R14" i="16"/>
  <c r="S14" i="16" s="1"/>
  <c r="U14" i="16" s="1"/>
  <c r="Q15" i="16" s="1"/>
  <c r="T13" i="16"/>
  <c r="R14" i="18"/>
  <c r="S14" i="18" s="1"/>
  <c r="U14" i="18" s="1"/>
  <c r="Q15" i="18" s="1"/>
  <c r="T13" i="18"/>
  <c r="K9" i="19"/>
  <c r="F10" i="19"/>
  <c r="I9" i="19"/>
  <c r="T12" i="17"/>
  <c r="G10" i="14"/>
  <c r="H10" i="14" s="1"/>
  <c r="J10" i="14" s="1"/>
  <c r="F11" i="16"/>
  <c r="K10" i="16"/>
  <c r="I10" i="16"/>
  <c r="H11" i="18"/>
  <c r="J11" i="18" s="1"/>
  <c r="I11" i="17"/>
  <c r="K11" i="17"/>
  <c r="F12" i="17"/>
  <c r="G12" i="17" s="1"/>
  <c r="S13" i="19"/>
  <c r="U13" i="19" s="1"/>
  <c r="AO108" i="19"/>
  <c r="AR107" i="19"/>
  <c r="BM119" i="19"/>
  <c r="BB115" i="19"/>
  <c r="BC115" i="19" s="1"/>
  <c r="BE115" i="19" s="1"/>
  <c r="BP118" i="19"/>
  <c r="AD106" i="19"/>
  <c r="AE106" i="19" s="1"/>
  <c r="AG106" i="19" s="1"/>
  <c r="AP118" i="18"/>
  <c r="AQ118" i="18" s="1"/>
  <c r="AS118" i="18" s="1"/>
  <c r="AD105" i="18"/>
  <c r="AE105" i="18" s="1"/>
  <c r="AG105" i="18" s="1"/>
  <c r="BM108" i="18"/>
  <c r="BP107" i="18"/>
  <c r="BB106" i="18"/>
  <c r="BC106" i="18" s="1"/>
  <c r="BE106" i="18" s="1"/>
  <c r="AP106" i="17"/>
  <c r="AQ106" i="17" s="1"/>
  <c r="AS106" i="17" s="1"/>
  <c r="AC108" i="17"/>
  <c r="AF107" i="17"/>
  <c r="BA110" i="17"/>
  <c r="BM110" i="17"/>
  <c r="BP109" i="17"/>
  <c r="BD109" i="17"/>
  <c r="BA108" i="16"/>
  <c r="BD107" i="16"/>
  <c r="AF109" i="16"/>
  <c r="AC110" i="16"/>
  <c r="AQ106" i="16"/>
  <c r="AS106" i="16" s="1"/>
  <c r="BN107" i="16"/>
  <c r="BO107" i="16" s="1"/>
  <c r="BQ107" i="16" s="1"/>
  <c r="BM114" i="14"/>
  <c r="BP113" i="14"/>
  <c r="BC108" i="14"/>
  <c r="BE108" i="14" s="1"/>
  <c r="AP114" i="14"/>
  <c r="AQ114" i="14" s="1"/>
  <c r="AS114" i="14" s="1"/>
  <c r="AE78" i="14"/>
  <c r="AG78" i="14" s="1"/>
  <c r="R11" i="14"/>
  <c r="S11" i="14" s="1"/>
  <c r="T13" i="17" l="1"/>
  <c r="R15" i="16"/>
  <c r="S15" i="16" s="1"/>
  <c r="U15" i="16" s="1"/>
  <c r="Q16" i="16" s="1"/>
  <c r="R15" i="18"/>
  <c r="S15" i="18" s="1"/>
  <c r="U15" i="18" s="1"/>
  <c r="Q16" i="18" s="1"/>
  <c r="T14" i="16"/>
  <c r="G10" i="19"/>
  <c r="H10" i="19" s="1"/>
  <c r="J10" i="19" s="1"/>
  <c r="T14" i="18"/>
  <c r="R14" i="17"/>
  <c r="S14" i="17" s="1"/>
  <c r="U14" i="17" s="1"/>
  <c r="Q15" i="17" s="1"/>
  <c r="K10" i="14"/>
  <c r="F11" i="14"/>
  <c r="G11" i="16"/>
  <c r="H11" i="16" s="1"/>
  <c r="J11" i="16" s="1"/>
  <c r="I10" i="14"/>
  <c r="I11" i="18"/>
  <c r="F12" i="18"/>
  <c r="K11" i="18"/>
  <c r="H12" i="17"/>
  <c r="J12" i="17" s="1"/>
  <c r="T13" i="19"/>
  <c r="Q14" i="19"/>
  <c r="R14" i="19" s="1"/>
  <c r="C13" i="15"/>
  <c r="E13" i="15" s="1"/>
  <c r="BA116" i="19"/>
  <c r="BD115" i="19"/>
  <c r="AC107" i="19"/>
  <c r="AF106" i="19"/>
  <c r="BN119" i="19"/>
  <c r="BO119" i="19" s="1"/>
  <c r="BQ119" i="19" s="1"/>
  <c r="AP108" i="19"/>
  <c r="AQ108" i="19" s="1"/>
  <c r="AS108" i="19" s="1"/>
  <c r="BA107" i="18"/>
  <c r="BD106" i="18"/>
  <c r="AO119" i="18"/>
  <c r="BN108" i="18"/>
  <c r="AR118" i="18"/>
  <c r="AC106" i="18"/>
  <c r="AF105" i="18"/>
  <c r="BN110" i="17"/>
  <c r="BO110" i="17" s="1"/>
  <c r="BQ110" i="17" s="1"/>
  <c r="BB110" i="17"/>
  <c r="BC110" i="17" s="1"/>
  <c r="BE110" i="17" s="1"/>
  <c r="AD108" i="17"/>
  <c r="AE108" i="17" s="1"/>
  <c r="AG108" i="17" s="1"/>
  <c r="AO107" i="17"/>
  <c r="AR106" i="17"/>
  <c r="BM108" i="16"/>
  <c r="AD110" i="16"/>
  <c r="AE110" i="16" s="1"/>
  <c r="AG110" i="16" s="1"/>
  <c r="BP107" i="16"/>
  <c r="AO107" i="16"/>
  <c r="AR106" i="16"/>
  <c r="BB108" i="16"/>
  <c r="BC108" i="16" s="1"/>
  <c r="BE108" i="16" s="1"/>
  <c r="BN114" i="14"/>
  <c r="BO114" i="14" s="1"/>
  <c r="BQ114" i="14" s="1"/>
  <c r="BA109" i="14"/>
  <c r="BD108" i="14"/>
  <c r="AO115" i="14"/>
  <c r="AR114" i="14"/>
  <c r="AC79" i="14"/>
  <c r="AF78" i="14"/>
  <c r="U11" i="14"/>
  <c r="T15" i="18" l="1"/>
  <c r="R15" i="17"/>
  <c r="S15" i="17" s="1"/>
  <c r="U15" i="17" s="1"/>
  <c r="Q16" i="17" s="1"/>
  <c r="R16" i="17" s="1"/>
  <c r="K10" i="19"/>
  <c r="F11" i="19"/>
  <c r="R16" i="16"/>
  <c r="S16" i="16" s="1"/>
  <c r="U16" i="16" s="1"/>
  <c r="Q17" i="16" s="1"/>
  <c r="I10" i="19"/>
  <c r="R16" i="18"/>
  <c r="T14" i="17"/>
  <c r="T15" i="16"/>
  <c r="F12" i="16"/>
  <c r="K11" i="16"/>
  <c r="G12" i="18"/>
  <c r="H12" i="18" s="1"/>
  <c r="J12" i="18" s="1"/>
  <c r="K12" i="18" s="1"/>
  <c r="I11" i="16"/>
  <c r="G11" i="14"/>
  <c r="H11" i="14" s="1"/>
  <c r="J11" i="14" s="1"/>
  <c r="I12" i="17"/>
  <c r="F13" i="17"/>
  <c r="G13" i="17" s="1"/>
  <c r="K12" i="17"/>
  <c r="S14" i="19"/>
  <c r="U14" i="19" s="1"/>
  <c r="AO109" i="19"/>
  <c r="AD107" i="19"/>
  <c r="AE107" i="19" s="1"/>
  <c r="AG107" i="19" s="1"/>
  <c r="AR108" i="19"/>
  <c r="BM120" i="19"/>
  <c r="BP119" i="19"/>
  <c r="BB116" i="19"/>
  <c r="BC116" i="19" s="1"/>
  <c r="BE116" i="19" s="1"/>
  <c r="AP119" i="18"/>
  <c r="AQ119" i="18" s="1"/>
  <c r="AS119" i="18" s="1"/>
  <c r="AD106" i="18"/>
  <c r="AE106" i="18" s="1"/>
  <c r="AG106" i="18" s="1"/>
  <c r="BO108" i="18"/>
  <c r="BQ108" i="18" s="1"/>
  <c r="BB107" i="18"/>
  <c r="BC107" i="18" s="1"/>
  <c r="BE107" i="18" s="1"/>
  <c r="AC109" i="17"/>
  <c r="BA111" i="17"/>
  <c r="BD110" i="17"/>
  <c r="AP107" i="17"/>
  <c r="BM111" i="17"/>
  <c r="AF108" i="17"/>
  <c r="BP110" i="17"/>
  <c r="BA109" i="16"/>
  <c r="AP107" i="16"/>
  <c r="AQ107" i="16" s="1"/>
  <c r="AS107" i="16" s="1"/>
  <c r="BD108" i="16"/>
  <c r="AC111" i="16"/>
  <c r="AF110" i="16"/>
  <c r="BN108" i="16"/>
  <c r="BO108" i="16" s="1"/>
  <c r="BQ108" i="16" s="1"/>
  <c r="BM115" i="14"/>
  <c r="BP114" i="14"/>
  <c r="BB109" i="14"/>
  <c r="BC109" i="14" s="1"/>
  <c r="BE109" i="14" s="1"/>
  <c r="AP115" i="14"/>
  <c r="AQ115" i="14" s="1"/>
  <c r="AS115" i="14" s="1"/>
  <c r="AD79" i="14"/>
  <c r="Q12" i="14"/>
  <c r="T11" i="14"/>
  <c r="T16" i="16" l="1"/>
  <c r="R17" i="16"/>
  <c r="G11" i="19"/>
  <c r="H11" i="19" s="1"/>
  <c r="J11" i="19" s="1"/>
  <c r="S16" i="17"/>
  <c r="U16" i="17" s="1"/>
  <c r="Q17" i="17" s="1"/>
  <c r="S16" i="18"/>
  <c r="U16" i="18" s="1"/>
  <c r="Q17" i="18" s="1"/>
  <c r="T15" i="17"/>
  <c r="F12" i="14"/>
  <c r="K11" i="14"/>
  <c r="I11" i="14"/>
  <c r="I12" i="18"/>
  <c r="F13" i="18"/>
  <c r="G13" i="18" s="1"/>
  <c r="H13" i="18" s="1"/>
  <c r="J13" i="18" s="1"/>
  <c r="G12" i="16"/>
  <c r="H12" i="16" s="1"/>
  <c r="J12" i="16" s="1"/>
  <c r="H13" i="17"/>
  <c r="J13" i="17" s="1"/>
  <c r="T14" i="19"/>
  <c r="Q15" i="19"/>
  <c r="R15" i="19" s="1"/>
  <c r="C14" i="15"/>
  <c r="E14" i="15" s="1"/>
  <c r="BA117" i="19"/>
  <c r="BD116" i="19"/>
  <c r="AC108" i="19"/>
  <c r="BN120" i="19"/>
  <c r="BO120" i="19" s="1"/>
  <c r="BQ120" i="19" s="1"/>
  <c r="AF107" i="19"/>
  <c r="AP109" i="19"/>
  <c r="AQ109" i="19" s="1"/>
  <c r="AS109" i="19" s="1"/>
  <c r="AO120" i="18"/>
  <c r="AR119" i="18"/>
  <c r="BM109" i="18"/>
  <c r="BD107" i="18"/>
  <c r="AC107" i="18"/>
  <c r="BP108" i="18"/>
  <c r="AF106" i="18"/>
  <c r="BA108" i="18"/>
  <c r="BN111" i="17"/>
  <c r="BO111" i="17" s="1"/>
  <c r="BQ111" i="17" s="1"/>
  <c r="BB111" i="17"/>
  <c r="BC111" i="17" s="1"/>
  <c r="BE111" i="17" s="1"/>
  <c r="AQ107" i="17"/>
  <c r="AS107" i="17" s="1"/>
  <c r="AD109" i="17"/>
  <c r="AE109" i="17" s="1"/>
  <c r="AG109" i="17" s="1"/>
  <c r="BM109" i="16"/>
  <c r="AO108" i="16"/>
  <c r="BP108" i="16"/>
  <c r="AR107" i="16"/>
  <c r="AD111" i="16"/>
  <c r="AE111" i="16" s="1"/>
  <c r="AG111" i="16" s="1"/>
  <c r="BB109" i="16"/>
  <c r="BC109" i="16" s="1"/>
  <c r="BE109" i="16" s="1"/>
  <c r="BN115" i="14"/>
  <c r="BO115" i="14" s="1"/>
  <c r="BQ115" i="14" s="1"/>
  <c r="BA110" i="14"/>
  <c r="BD109" i="14"/>
  <c r="AO116" i="14"/>
  <c r="AR115" i="14"/>
  <c r="AE79" i="14"/>
  <c r="AG79" i="14" s="1"/>
  <c r="R12" i="14"/>
  <c r="S12" i="14" s="1"/>
  <c r="T16" i="17" l="1"/>
  <c r="R17" i="17"/>
  <c r="S17" i="17" s="1"/>
  <c r="U17" i="17" s="1"/>
  <c r="Q18" i="17" s="1"/>
  <c r="T16" i="18"/>
  <c r="K11" i="19"/>
  <c r="F12" i="19"/>
  <c r="R17" i="18"/>
  <c r="S17" i="18" s="1"/>
  <c r="U17" i="18" s="1"/>
  <c r="Q18" i="18" s="1"/>
  <c r="I11" i="19"/>
  <c r="S17" i="16"/>
  <c r="U17" i="16" s="1"/>
  <c r="Q18" i="16" s="1"/>
  <c r="F13" i="16"/>
  <c r="K12" i="16"/>
  <c r="I12" i="16"/>
  <c r="G12" i="14"/>
  <c r="H12" i="14" s="1"/>
  <c r="J12" i="14" s="1"/>
  <c r="I13" i="18"/>
  <c r="F14" i="18"/>
  <c r="G14" i="18" s="1"/>
  <c r="K13" i="18"/>
  <c r="I13" i="17"/>
  <c r="F14" i="17"/>
  <c r="G14" i="17" s="1"/>
  <c r="K13" i="17"/>
  <c r="S15" i="19"/>
  <c r="U15" i="19" s="1"/>
  <c r="AD108" i="19"/>
  <c r="AE108" i="19" s="1"/>
  <c r="AG108" i="19" s="1"/>
  <c r="AO110" i="19"/>
  <c r="AR109" i="19"/>
  <c r="BB117" i="19"/>
  <c r="BC117" i="19" s="1"/>
  <c r="BE117" i="19" s="1"/>
  <c r="BM121" i="19"/>
  <c r="BP120" i="19"/>
  <c r="BN109" i="18"/>
  <c r="BO109" i="18" s="1"/>
  <c r="BQ109" i="18" s="1"/>
  <c r="BB108" i="18"/>
  <c r="BC108" i="18" s="1"/>
  <c r="BE108" i="18" s="1"/>
  <c r="AD107" i="18"/>
  <c r="AE107" i="18" s="1"/>
  <c r="AG107" i="18" s="1"/>
  <c r="AP120" i="18"/>
  <c r="AQ120" i="18" s="1"/>
  <c r="AS120" i="18" s="1"/>
  <c r="BD111" i="17"/>
  <c r="AC110" i="17"/>
  <c r="AF109" i="17"/>
  <c r="BM112" i="17"/>
  <c r="AO108" i="17"/>
  <c r="BP111" i="17"/>
  <c r="BA112" i="17"/>
  <c r="AR107" i="17"/>
  <c r="BD109" i="16"/>
  <c r="AP108" i="16"/>
  <c r="AQ108" i="16" s="1"/>
  <c r="AS108" i="16" s="1"/>
  <c r="AC112" i="16"/>
  <c r="AF111" i="16"/>
  <c r="BN109" i="16"/>
  <c r="BO109" i="16" s="1"/>
  <c r="BQ109" i="16" s="1"/>
  <c r="BA110" i="16"/>
  <c r="BM116" i="14"/>
  <c r="BP115" i="14"/>
  <c r="BB110" i="14"/>
  <c r="BC110" i="14" s="1"/>
  <c r="BE110" i="14" s="1"/>
  <c r="AP116" i="14"/>
  <c r="AQ116" i="14" s="1"/>
  <c r="AS116" i="14" s="1"/>
  <c r="AC80" i="14"/>
  <c r="AF79" i="14"/>
  <c r="U12" i="14"/>
  <c r="R18" i="18" l="1"/>
  <c r="S18" i="18" s="1"/>
  <c r="U18" i="18" s="1"/>
  <c r="Q19" i="18" s="1"/>
  <c r="G12" i="19"/>
  <c r="H12" i="19" s="1"/>
  <c r="J12" i="19" s="1"/>
  <c r="R18" i="17"/>
  <c r="S18" i="17" s="1"/>
  <c r="U18" i="17" s="1"/>
  <c r="Q19" i="17" s="1"/>
  <c r="T17" i="18"/>
  <c r="R18" i="16"/>
  <c r="T17" i="16"/>
  <c r="T17" i="17"/>
  <c r="K12" i="14"/>
  <c r="F13" i="14"/>
  <c r="I12" i="14"/>
  <c r="G13" i="16"/>
  <c r="H13" i="16" s="1"/>
  <c r="J13" i="16" s="1"/>
  <c r="H14" i="18"/>
  <c r="J14" i="18" s="1"/>
  <c r="H14" i="17"/>
  <c r="J14" i="17" s="1"/>
  <c r="T15" i="19"/>
  <c r="Q16" i="19"/>
  <c r="R16" i="19" s="1"/>
  <c r="C15" i="15"/>
  <c r="E15" i="15" s="1"/>
  <c r="AC109" i="19"/>
  <c r="AP110" i="19"/>
  <c r="AQ110" i="19" s="1"/>
  <c r="AS110" i="19" s="1"/>
  <c r="BN121" i="19"/>
  <c r="BO121" i="19" s="1"/>
  <c r="BQ121" i="19" s="1"/>
  <c r="BA118" i="19"/>
  <c r="BD117" i="19"/>
  <c r="AF108" i="19"/>
  <c r="BD108" i="18"/>
  <c r="AO121" i="18"/>
  <c r="BM110" i="18"/>
  <c r="BP109" i="18"/>
  <c r="AC108" i="18"/>
  <c r="BA109" i="18"/>
  <c r="AR120" i="18"/>
  <c r="AF107" i="18"/>
  <c r="AD110" i="17"/>
  <c r="AE110" i="17" s="1"/>
  <c r="AG110" i="17" s="1"/>
  <c r="AP108" i="17"/>
  <c r="AQ108" i="17" s="1"/>
  <c r="AS108" i="17" s="1"/>
  <c r="BN112" i="17"/>
  <c r="BO112" i="17" s="1"/>
  <c r="BQ112" i="17" s="1"/>
  <c r="BB112" i="17"/>
  <c r="BC112" i="17" s="1"/>
  <c r="BE112" i="17" s="1"/>
  <c r="BM110" i="16"/>
  <c r="BB110" i="16"/>
  <c r="BC110" i="16" s="1"/>
  <c r="BE110" i="16" s="1"/>
  <c r="AO109" i="16"/>
  <c r="AR108" i="16"/>
  <c r="AD112" i="16"/>
  <c r="AE112" i="16" s="1"/>
  <c r="AG112" i="16" s="1"/>
  <c r="BP109" i="16"/>
  <c r="BN116" i="14"/>
  <c r="BO116" i="14" s="1"/>
  <c r="BQ116" i="14" s="1"/>
  <c r="BA111" i="14"/>
  <c r="BD110" i="14"/>
  <c r="AO117" i="14"/>
  <c r="AR116" i="14"/>
  <c r="AD80" i="14"/>
  <c r="Q13" i="14"/>
  <c r="T12" i="14"/>
  <c r="T18" i="17" l="1"/>
  <c r="R19" i="17"/>
  <c r="S19" i="17" s="1"/>
  <c r="U19" i="17" s="1"/>
  <c r="Q20" i="17" s="1"/>
  <c r="K12" i="19"/>
  <c r="F13" i="19"/>
  <c r="G13" i="19" s="1"/>
  <c r="I12" i="19"/>
  <c r="R19" i="18"/>
  <c r="S18" i="16"/>
  <c r="U18" i="16" s="1"/>
  <c r="Q19" i="16" s="1"/>
  <c r="T18" i="18"/>
  <c r="F14" i="16"/>
  <c r="K13" i="16"/>
  <c r="I13" i="16"/>
  <c r="G13" i="14"/>
  <c r="H13" i="14" s="1"/>
  <c r="J13" i="14" s="1"/>
  <c r="I14" i="18"/>
  <c r="K14" i="18"/>
  <c r="F15" i="18"/>
  <c r="G15" i="18" s="1"/>
  <c r="I14" i="17"/>
  <c r="F15" i="17"/>
  <c r="G15" i="17" s="1"/>
  <c r="K14" i="17"/>
  <c r="S16" i="19"/>
  <c r="U16" i="19" s="1"/>
  <c r="BM122" i="19"/>
  <c r="BP121" i="19"/>
  <c r="AO111" i="19"/>
  <c r="AR110" i="19"/>
  <c r="BB118" i="19"/>
  <c r="BC118" i="19" s="1"/>
  <c r="BE118" i="19" s="1"/>
  <c r="AD109" i="19"/>
  <c r="AE109" i="19" s="1"/>
  <c r="AG109" i="19" s="1"/>
  <c r="BN110" i="18"/>
  <c r="BO110" i="18" s="1"/>
  <c r="BQ110" i="18" s="1"/>
  <c r="AP121" i="18"/>
  <c r="AD108" i="18"/>
  <c r="AE108" i="18" s="1"/>
  <c r="AG108" i="18" s="1"/>
  <c r="BB109" i="18"/>
  <c r="BC109" i="18" s="1"/>
  <c r="BE109" i="18" s="1"/>
  <c r="AO109" i="17"/>
  <c r="AR108" i="17"/>
  <c r="BA113" i="17"/>
  <c r="AC111" i="17"/>
  <c r="BD112" i="17"/>
  <c r="AF110" i="17"/>
  <c r="BM113" i="17"/>
  <c r="BP112" i="17"/>
  <c r="AP109" i="16"/>
  <c r="AQ109" i="16" s="1"/>
  <c r="AS109" i="16" s="1"/>
  <c r="BD110" i="16"/>
  <c r="AF112" i="16"/>
  <c r="AC113" i="16"/>
  <c r="BA111" i="16"/>
  <c r="BN110" i="16"/>
  <c r="BO110" i="16" s="1"/>
  <c r="BQ110" i="16" s="1"/>
  <c r="BM117" i="14"/>
  <c r="BP116" i="14"/>
  <c r="BB111" i="14"/>
  <c r="BC111" i="14" s="1"/>
  <c r="BE111" i="14" s="1"/>
  <c r="AP117" i="14"/>
  <c r="AQ117" i="14" s="1"/>
  <c r="AS117" i="14" s="1"/>
  <c r="AE80" i="14"/>
  <c r="AG80" i="14" s="1"/>
  <c r="R13" i="14"/>
  <c r="S13" i="14" s="1"/>
  <c r="R20" i="17" l="1"/>
  <c r="S20" i="17" s="1"/>
  <c r="U20" i="17" s="1"/>
  <c r="Q21" i="17" s="1"/>
  <c r="H13" i="19"/>
  <c r="J13" i="19" s="1"/>
  <c r="T19" i="17"/>
  <c r="R19" i="16"/>
  <c r="S19" i="16" s="1"/>
  <c r="U19" i="16" s="1"/>
  <c r="Q20" i="16" s="1"/>
  <c r="S19" i="18"/>
  <c r="U19" i="18" s="1"/>
  <c r="Q20" i="18" s="1"/>
  <c r="T18" i="16"/>
  <c r="F14" i="14"/>
  <c r="K13" i="14"/>
  <c r="I13" i="14"/>
  <c r="G14" i="16"/>
  <c r="H14" i="16" s="1"/>
  <c r="J14" i="16" s="1"/>
  <c r="H15" i="18"/>
  <c r="J15" i="18" s="1"/>
  <c r="H15" i="17"/>
  <c r="J15" i="17" s="1"/>
  <c r="T16" i="19"/>
  <c r="Q17" i="19"/>
  <c r="R17" i="19" s="1"/>
  <c r="C16" i="15"/>
  <c r="E16" i="15" s="1"/>
  <c r="AC110" i="19"/>
  <c r="AF109" i="19"/>
  <c r="BA119" i="19"/>
  <c r="BD118" i="19"/>
  <c r="AP111" i="19"/>
  <c r="AQ111" i="19" s="1"/>
  <c r="AS111" i="19" s="1"/>
  <c r="BN122" i="19"/>
  <c r="BO122" i="19" s="1"/>
  <c r="BQ122" i="19" s="1"/>
  <c r="AC109" i="18"/>
  <c r="BM111" i="18"/>
  <c r="BP110" i="18"/>
  <c r="BA110" i="18"/>
  <c r="BD109" i="18"/>
  <c r="AF108" i="18"/>
  <c r="AQ121" i="18"/>
  <c r="AS121" i="18" s="1"/>
  <c r="BB113" i="17"/>
  <c r="BC113" i="17" s="1"/>
  <c r="BE113" i="17" s="1"/>
  <c r="BN113" i="17"/>
  <c r="AD111" i="17"/>
  <c r="AE111" i="17" s="1"/>
  <c r="AG111" i="17" s="1"/>
  <c r="AP109" i="17"/>
  <c r="AQ109" i="17" s="1"/>
  <c r="AS109" i="17" s="1"/>
  <c r="AD113" i="16"/>
  <c r="AE113" i="16" s="1"/>
  <c r="AG113" i="16" s="1"/>
  <c r="BP110" i="16"/>
  <c r="AO110" i="16"/>
  <c r="BM111" i="16"/>
  <c r="AR109" i="16"/>
  <c r="BB111" i="16"/>
  <c r="BC111" i="16" s="1"/>
  <c r="BE111" i="16" s="1"/>
  <c r="BN117" i="14"/>
  <c r="BO117" i="14" s="1"/>
  <c r="BQ117" i="14" s="1"/>
  <c r="BA112" i="14"/>
  <c r="BD111" i="14"/>
  <c r="AO118" i="14"/>
  <c r="AR117" i="14"/>
  <c r="AC81" i="14"/>
  <c r="AF80" i="14"/>
  <c r="U13" i="14"/>
  <c r="I13" i="19" l="1"/>
  <c r="R20" i="16"/>
  <c r="S20" i="16" s="1"/>
  <c r="U20" i="16" s="1"/>
  <c r="Q21" i="16" s="1"/>
  <c r="T19" i="16"/>
  <c r="F14" i="19"/>
  <c r="K13" i="19"/>
  <c r="R21" i="17"/>
  <c r="S21" i="17" s="1"/>
  <c r="U21" i="17" s="1"/>
  <c r="Q22" i="17" s="1"/>
  <c r="T20" i="17"/>
  <c r="R20" i="18"/>
  <c r="S20" i="18" s="1"/>
  <c r="U20" i="18" s="1"/>
  <c r="Q21" i="18" s="1"/>
  <c r="T19" i="18"/>
  <c r="F15" i="16"/>
  <c r="K14" i="16"/>
  <c r="I14" i="16"/>
  <c r="G14" i="14"/>
  <c r="H14" i="14" s="1"/>
  <c r="J14" i="14" s="1"/>
  <c r="I15" i="18"/>
  <c r="F16" i="18"/>
  <c r="G16" i="18" s="1"/>
  <c r="K15" i="18"/>
  <c r="I15" i="17"/>
  <c r="K15" i="17"/>
  <c r="F16" i="17"/>
  <c r="G16" i="17" s="1"/>
  <c r="S17" i="19"/>
  <c r="U17" i="19" s="1"/>
  <c r="BM123" i="19"/>
  <c r="BB119" i="19"/>
  <c r="BC119" i="19" s="1"/>
  <c r="BE119" i="19" s="1"/>
  <c r="BP122" i="19"/>
  <c r="AO112" i="19"/>
  <c r="AR111" i="19"/>
  <c r="AD110" i="19"/>
  <c r="AE110" i="19" s="1"/>
  <c r="AG110" i="19" s="1"/>
  <c r="AO122" i="18"/>
  <c r="BB110" i="18"/>
  <c r="BC110" i="18" s="1"/>
  <c r="BE110" i="18" s="1"/>
  <c r="BN111" i="18"/>
  <c r="AR121" i="18"/>
  <c r="AD109" i="18"/>
  <c r="AE109" i="18" s="1"/>
  <c r="AG109" i="18" s="1"/>
  <c r="AO110" i="17"/>
  <c r="AR109" i="17"/>
  <c r="BA114" i="17"/>
  <c r="AC112" i="17"/>
  <c r="BD113" i="17"/>
  <c r="AF111" i="17"/>
  <c r="BO113" i="17"/>
  <c r="BQ113" i="17" s="1"/>
  <c r="BN111" i="16"/>
  <c r="BO111" i="16" s="1"/>
  <c r="BQ111" i="16" s="1"/>
  <c r="BA112" i="16"/>
  <c r="AP110" i="16"/>
  <c r="BD111" i="16"/>
  <c r="AC114" i="16"/>
  <c r="AF113" i="16"/>
  <c r="BM118" i="14"/>
  <c r="BP117" i="14"/>
  <c r="BB112" i="14"/>
  <c r="BC112" i="14" s="1"/>
  <c r="BE112" i="14" s="1"/>
  <c r="AP118" i="14"/>
  <c r="AD81" i="14"/>
  <c r="Q14" i="14"/>
  <c r="T13" i="14"/>
  <c r="R21" i="18" l="1"/>
  <c r="S21" i="18" s="1"/>
  <c r="U21" i="18" s="1"/>
  <c r="Q22" i="18" s="1"/>
  <c r="T21" i="17"/>
  <c r="R22" i="17"/>
  <c r="S22" i="17" s="1"/>
  <c r="U22" i="17" s="1"/>
  <c r="Q23" i="17" s="1"/>
  <c r="G14" i="19"/>
  <c r="H14" i="19" s="1"/>
  <c r="J14" i="19" s="1"/>
  <c r="T20" i="18"/>
  <c r="R21" i="16"/>
  <c r="S21" i="16" s="1"/>
  <c r="U21" i="16" s="1"/>
  <c r="Q22" i="16" s="1"/>
  <c r="T20" i="16"/>
  <c r="F15" i="14"/>
  <c r="K14" i="14"/>
  <c r="I14" i="14"/>
  <c r="G15" i="16"/>
  <c r="H15" i="16" s="1"/>
  <c r="J15" i="16" s="1"/>
  <c r="H16" i="18"/>
  <c r="J16" i="18" s="1"/>
  <c r="H16" i="17"/>
  <c r="J16" i="17" s="1"/>
  <c r="T17" i="19"/>
  <c r="Q18" i="19"/>
  <c r="R18" i="19" s="1"/>
  <c r="C17" i="15"/>
  <c r="E17" i="15" s="1"/>
  <c r="AP112" i="19"/>
  <c r="AQ112" i="19" s="1"/>
  <c r="AS112" i="19" s="1"/>
  <c r="AC111" i="19"/>
  <c r="AF110" i="19"/>
  <c r="BA120" i="19"/>
  <c r="BD119" i="19"/>
  <c r="BN123" i="19"/>
  <c r="BO123" i="19" s="1"/>
  <c r="BQ123" i="19" s="1"/>
  <c r="AC110" i="18"/>
  <c r="BA111" i="18"/>
  <c r="BD110" i="18"/>
  <c r="AF109" i="18"/>
  <c r="BO111" i="18"/>
  <c r="BQ111" i="18" s="1"/>
  <c r="AP122" i="18"/>
  <c r="AQ122" i="18" s="1"/>
  <c r="AS122" i="18" s="1"/>
  <c r="BB114" i="17"/>
  <c r="BC114" i="17" s="1"/>
  <c r="BE114" i="17" s="1"/>
  <c r="AP110" i="17"/>
  <c r="AQ110" i="17" s="1"/>
  <c r="AS110" i="17" s="1"/>
  <c r="BM114" i="17"/>
  <c r="AD112" i="17"/>
  <c r="AE112" i="17" s="1"/>
  <c r="AG112" i="17" s="1"/>
  <c r="BP113" i="17"/>
  <c r="BB112" i="16"/>
  <c r="BC112" i="16" s="1"/>
  <c r="BE112" i="16" s="1"/>
  <c r="AD114" i="16"/>
  <c r="AE114" i="16" s="1"/>
  <c r="AG114" i="16" s="1"/>
  <c r="BM112" i="16"/>
  <c r="BP111" i="16"/>
  <c r="AQ110" i="16"/>
  <c r="AS110" i="16" s="1"/>
  <c r="BN118" i="14"/>
  <c r="BA113" i="14"/>
  <c r="BD112" i="14"/>
  <c r="AQ118" i="14"/>
  <c r="AS118" i="14" s="1"/>
  <c r="AO119" i="14" s="1"/>
  <c r="AE81" i="14"/>
  <c r="AG81" i="14" s="1"/>
  <c r="R14" i="14"/>
  <c r="S14" i="14" s="1"/>
  <c r="R22" i="16" l="1"/>
  <c r="S22" i="16" s="1"/>
  <c r="U22" i="16" s="1"/>
  <c r="Q23" i="16" s="1"/>
  <c r="F15" i="19"/>
  <c r="K14" i="19"/>
  <c r="R23" i="17"/>
  <c r="S23" i="17" s="1"/>
  <c r="U23" i="17" s="1"/>
  <c r="Q24" i="17" s="1"/>
  <c r="R22" i="18"/>
  <c r="S22" i="18" s="1"/>
  <c r="U22" i="18" s="1"/>
  <c r="Q23" i="18" s="1"/>
  <c r="I14" i="19"/>
  <c r="T22" i="17"/>
  <c r="T21" i="16"/>
  <c r="T21" i="18"/>
  <c r="F16" i="16"/>
  <c r="K15" i="16"/>
  <c r="I15" i="16"/>
  <c r="G15" i="14"/>
  <c r="H15" i="14" s="1"/>
  <c r="J15" i="14" s="1"/>
  <c r="I16" i="18"/>
  <c r="F17" i="18"/>
  <c r="G17" i="18" s="1"/>
  <c r="K16" i="18"/>
  <c r="Y4" i="1" s="1"/>
  <c r="I16" i="17"/>
  <c r="K16" i="17"/>
  <c r="V4" i="1" s="1"/>
  <c r="F17" i="17"/>
  <c r="G17" i="17" s="1"/>
  <c r="S18" i="19"/>
  <c r="U18" i="19" s="1"/>
  <c r="BP123" i="19"/>
  <c r="AD111" i="19"/>
  <c r="AE111" i="19" s="1"/>
  <c r="AG111" i="19" s="1"/>
  <c r="BM124" i="19"/>
  <c r="BB120" i="19"/>
  <c r="BC120" i="19" s="1"/>
  <c r="BE120" i="19" s="1"/>
  <c r="AO113" i="19"/>
  <c r="AR112" i="19"/>
  <c r="AO123" i="18"/>
  <c r="BM112" i="18"/>
  <c r="BB111" i="18"/>
  <c r="BP111" i="18"/>
  <c r="AD110" i="18"/>
  <c r="AE110" i="18" s="1"/>
  <c r="AG110" i="18" s="1"/>
  <c r="AR122" i="18"/>
  <c r="AO111" i="17"/>
  <c r="AR110" i="17"/>
  <c r="BN114" i="17"/>
  <c r="BO114" i="17" s="1"/>
  <c r="BQ114" i="17" s="1"/>
  <c r="BA115" i="17"/>
  <c r="AC113" i="17"/>
  <c r="BD114" i="17"/>
  <c r="AF112" i="17"/>
  <c r="AF114" i="16"/>
  <c r="AC115" i="16"/>
  <c r="BA113" i="16"/>
  <c r="AR110" i="16"/>
  <c r="AO111" i="16"/>
  <c r="BD112" i="16"/>
  <c r="BN112" i="16"/>
  <c r="BO112" i="16" s="1"/>
  <c r="BQ112" i="16" s="1"/>
  <c r="BO118" i="14"/>
  <c r="BQ118" i="14" s="1"/>
  <c r="BM119" i="14" s="1"/>
  <c r="BB113" i="14"/>
  <c r="BC113" i="14" s="1"/>
  <c r="BE113" i="14" s="1"/>
  <c r="AR118" i="14"/>
  <c r="AP119" i="14"/>
  <c r="AQ119" i="14" s="1"/>
  <c r="AS119" i="14" s="1"/>
  <c r="AC82" i="14"/>
  <c r="AF81" i="14"/>
  <c r="U14" i="14"/>
  <c r="R23" i="16" l="1"/>
  <c r="S23" i="16" s="1"/>
  <c r="U23" i="16" s="1"/>
  <c r="Q24" i="16" s="1"/>
  <c r="T22" i="18"/>
  <c r="R24" i="17"/>
  <c r="S24" i="17" s="1"/>
  <c r="U24" i="17" s="1"/>
  <c r="Q25" i="17" s="1"/>
  <c r="T23" i="17"/>
  <c r="G15" i="19"/>
  <c r="H15" i="19" s="1"/>
  <c r="J15" i="19" s="1"/>
  <c r="R23" i="18"/>
  <c r="S23" i="18" s="1"/>
  <c r="U23" i="18" s="1"/>
  <c r="Q24" i="18" s="1"/>
  <c r="T22" i="16"/>
  <c r="F16" i="14"/>
  <c r="K15" i="14"/>
  <c r="I15" i="14"/>
  <c r="G16" i="16"/>
  <c r="H16" i="16" s="1"/>
  <c r="J16" i="16" s="1"/>
  <c r="H17" i="18"/>
  <c r="J17" i="18" s="1"/>
  <c r="H17" i="17"/>
  <c r="J17" i="17" s="1"/>
  <c r="T18" i="19"/>
  <c r="Q19" i="19"/>
  <c r="R19" i="19" s="1"/>
  <c r="C18" i="15"/>
  <c r="E18" i="15" s="1"/>
  <c r="AC112" i="19"/>
  <c r="BN124" i="19"/>
  <c r="BO124" i="19" s="1"/>
  <c r="BQ124" i="19" s="1"/>
  <c r="AF111" i="19"/>
  <c r="AP113" i="19"/>
  <c r="AQ113" i="19" s="1"/>
  <c r="AS113" i="19" s="1"/>
  <c r="BA121" i="19"/>
  <c r="BD120" i="19"/>
  <c r="BN112" i="18"/>
  <c r="BO112" i="18" s="1"/>
  <c r="BQ112" i="18" s="1"/>
  <c r="AF110" i="18"/>
  <c r="AC111" i="18"/>
  <c r="BC111" i="18"/>
  <c r="BE111" i="18" s="1"/>
  <c r="AP123" i="18"/>
  <c r="AQ123" i="18" s="1"/>
  <c r="AS123" i="18" s="1"/>
  <c r="BM115" i="17"/>
  <c r="BP114" i="17"/>
  <c r="BB115" i="17"/>
  <c r="BC115" i="17" s="1"/>
  <c r="BE115" i="17" s="1"/>
  <c r="AD113" i="17"/>
  <c r="AE113" i="17" s="1"/>
  <c r="AG113" i="17" s="1"/>
  <c r="AP111" i="17"/>
  <c r="AQ111" i="17" s="1"/>
  <c r="AS111" i="17" s="1"/>
  <c r="BM113" i="16"/>
  <c r="BP112" i="16"/>
  <c r="BB113" i="16"/>
  <c r="BC113" i="16" s="1"/>
  <c r="BE113" i="16" s="1"/>
  <c r="AP111" i="16"/>
  <c r="AQ111" i="16" s="1"/>
  <c r="AS111" i="16" s="1"/>
  <c r="AD115" i="16"/>
  <c r="AE115" i="16" s="1"/>
  <c r="AG115" i="16" s="1"/>
  <c r="BP118" i="14"/>
  <c r="BN119" i="14"/>
  <c r="BO119" i="14" s="1"/>
  <c r="BQ119" i="14" s="1"/>
  <c r="BA114" i="14"/>
  <c r="BD113" i="14"/>
  <c r="AO120" i="14"/>
  <c r="AR119" i="14"/>
  <c r="AD82" i="14"/>
  <c r="Q15" i="14"/>
  <c r="T14" i="14"/>
  <c r="R24" i="18" l="1"/>
  <c r="S24" i="18" s="1"/>
  <c r="U24" i="18" s="1"/>
  <c r="Q25" i="18" s="1"/>
  <c r="F16" i="19"/>
  <c r="K15" i="19"/>
  <c r="R25" i="17"/>
  <c r="S25" i="17" s="1"/>
  <c r="U25" i="17" s="1"/>
  <c r="Q26" i="17" s="1"/>
  <c r="R24" i="16"/>
  <c r="I15" i="19"/>
  <c r="T24" i="17"/>
  <c r="T23" i="18"/>
  <c r="T23" i="16"/>
  <c r="F17" i="16"/>
  <c r="K16" i="16"/>
  <c r="S4" i="1" s="1"/>
  <c r="I16" i="16"/>
  <c r="G16" i="14"/>
  <c r="H16" i="14" s="1"/>
  <c r="J16" i="14" s="1"/>
  <c r="I17" i="18"/>
  <c r="F18" i="18"/>
  <c r="G18" i="18" s="1"/>
  <c r="K17" i="18"/>
  <c r="I17" i="17"/>
  <c r="K17" i="17"/>
  <c r="F18" i="17"/>
  <c r="S19" i="19"/>
  <c r="U19" i="19" s="1"/>
  <c r="AO114" i="19"/>
  <c r="AR113" i="19"/>
  <c r="BM125" i="19"/>
  <c r="BP124" i="19"/>
  <c r="BB121" i="19"/>
  <c r="BC121" i="19" s="1"/>
  <c r="BE121" i="19" s="1"/>
  <c r="AD112" i="19"/>
  <c r="AE112" i="19" s="1"/>
  <c r="AG112" i="19" s="1"/>
  <c r="AO124" i="18"/>
  <c r="AR123" i="18"/>
  <c r="BA112" i="18"/>
  <c r="BM113" i="18"/>
  <c r="AD111" i="18"/>
  <c r="AE111" i="18" s="1"/>
  <c r="AG111" i="18" s="1"/>
  <c r="BP112" i="18"/>
  <c r="BD111" i="18"/>
  <c r="AO112" i="17"/>
  <c r="AC114" i="17"/>
  <c r="AF113" i="17"/>
  <c r="BN115" i="17"/>
  <c r="BO115" i="17" s="1"/>
  <c r="BQ115" i="17" s="1"/>
  <c r="AR111" i="17"/>
  <c r="BA116" i="17"/>
  <c r="BD115" i="17"/>
  <c r="BD113" i="16"/>
  <c r="AF115" i="16"/>
  <c r="BN113" i="16"/>
  <c r="BO113" i="16" s="1"/>
  <c r="BQ113" i="16" s="1"/>
  <c r="BA114" i="16"/>
  <c r="AO112" i="16"/>
  <c r="AC116" i="16"/>
  <c r="AR111" i="16"/>
  <c r="BM120" i="14"/>
  <c r="BP119" i="14"/>
  <c r="BB114" i="14"/>
  <c r="BC114" i="14" s="1"/>
  <c r="BE114" i="14" s="1"/>
  <c r="AP120" i="14"/>
  <c r="AQ120" i="14" s="1"/>
  <c r="AS120" i="14" s="1"/>
  <c r="AE82" i="14"/>
  <c r="AG82" i="14" s="1"/>
  <c r="R15" i="14"/>
  <c r="S15" i="14" s="1"/>
  <c r="R26" i="17" l="1"/>
  <c r="S26" i="17" s="1"/>
  <c r="U26" i="17" s="1"/>
  <c r="Q27" i="17" s="1"/>
  <c r="T25" i="17"/>
  <c r="G16" i="19"/>
  <c r="H16" i="19" s="1"/>
  <c r="J16" i="19" s="1"/>
  <c r="R25" i="18"/>
  <c r="S25" i="18" s="1"/>
  <c r="U25" i="18" s="1"/>
  <c r="Q26" i="18" s="1"/>
  <c r="S24" i="16"/>
  <c r="U24" i="16" s="1"/>
  <c r="Q25" i="16" s="1"/>
  <c r="T24" i="18"/>
  <c r="G18" i="17"/>
  <c r="H18" i="17" s="1"/>
  <c r="J18" i="17" s="1"/>
  <c r="K18" i="17" s="1"/>
  <c r="F17" i="14"/>
  <c r="K16" i="14"/>
  <c r="P4" i="1" s="1"/>
  <c r="I16" i="14"/>
  <c r="G17" i="16"/>
  <c r="H17" i="16" s="1"/>
  <c r="J17" i="16" s="1"/>
  <c r="H18" i="18"/>
  <c r="J18" i="18" s="1"/>
  <c r="T19" i="19"/>
  <c r="Q20" i="19"/>
  <c r="R20" i="19" s="1"/>
  <c r="C19" i="15"/>
  <c r="E19" i="15" s="1"/>
  <c r="AF112" i="19"/>
  <c r="BA122" i="19"/>
  <c r="AC113" i="19"/>
  <c r="BD121" i="19"/>
  <c r="AP114" i="19"/>
  <c r="AQ114" i="19" s="1"/>
  <c r="AS114" i="19" s="1"/>
  <c r="BN125" i="19"/>
  <c r="BO125" i="19" s="1"/>
  <c r="BQ125" i="19" s="1"/>
  <c r="AC112" i="18"/>
  <c r="AP124" i="18"/>
  <c r="AQ124" i="18" s="1"/>
  <c r="AS124" i="18" s="1"/>
  <c r="AF111" i="18"/>
  <c r="BN113" i="18"/>
  <c r="BB112" i="18"/>
  <c r="BC112" i="18" s="1"/>
  <c r="BE112" i="18" s="1"/>
  <c r="BM116" i="17"/>
  <c r="AD114" i="17"/>
  <c r="AE114" i="17" s="1"/>
  <c r="AG114" i="17" s="1"/>
  <c r="BB116" i="17"/>
  <c r="AP112" i="17"/>
  <c r="AQ112" i="17" s="1"/>
  <c r="AS112" i="17" s="1"/>
  <c r="BP115" i="17"/>
  <c r="BB114" i="16"/>
  <c r="BC114" i="16" s="1"/>
  <c r="BE114" i="16" s="1"/>
  <c r="BM114" i="16"/>
  <c r="BP113" i="16"/>
  <c r="AD116" i="16"/>
  <c r="AE116" i="16" s="1"/>
  <c r="AG116" i="16" s="1"/>
  <c r="AP112" i="16"/>
  <c r="AQ112" i="16" s="1"/>
  <c r="AS112" i="16" s="1"/>
  <c r="BN120" i="14"/>
  <c r="BO120" i="14" s="1"/>
  <c r="BQ120" i="14" s="1"/>
  <c r="BA115" i="14"/>
  <c r="BD114" i="14"/>
  <c r="AO121" i="14"/>
  <c r="AR120" i="14"/>
  <c r="AC83" i="14"/>
  <c r="AF82" i="14"/>
  <c r="U15" i="14"/>
  <c r="T24" i="16" l="1"/>
  <c r="T25" i="18"/>
  <c r="R26" i="18"/>
  <c r="S26" i="18" s="1"/>
  <c r="U26" i="18" s="1"/>
  <c r="Q27" i="18" s="1"/>
  <c r="F17" i="19"/>
  <c r="K16" i="19"/>
  <c r="AB4" i="1" s="1"/>
  <c r="I16" i="19"/>
  <c r="R27" i="17"/>
  <c r="S27" i="17" s="1"/>
  <c r="U27" i="17" s="1"/>
  <c r="Q28" i="17" s="1"/>
  <c r="R25" i="16"/>
  <c r="S25" i="16" s="1"/>
  <c r="U25" i="16" s="1"/>
  <c r="Q26" i="16" s="1"/>
  <c r="T26" i="17"/>
  <c r="F19" i="17"/>
  <c r="G19" i="17" s="1"/>
  <c r="H19" i="17" s="1"/>
  <c r="J19" i="17" s="1"/>
  <c r="F18" i="16"/>
  <c r="K17" i="16"/>
  <c r="I17" i="16"/>
  <c r="G17" i="14"/>
  <c r="H17" i="14" s="1"/>
  <c r="J17" i="14" s="1"/>
  <c r="I18" i="17"/>
  <c r="I18" i="18"/>
  <c r="F19" i="18"/>
  <c r="G19" i="18" s="1"/>
  <c r="K18" i="18"/>
  <c r="S20" i="19"/>
  <c r="U20" i="19" s="1"/>
  <c r="BP125" i="19"/>
  <c r="BB122" i="19"/>
  <c r="BC122" i="19" s="1"/>
  <c r="BE122" i="19" s="1"/>
  <c r="AO115" i="19"/>
  <c r="BM126" i="19"/>
  <c r="AR114" i="19"/>
  <c r="AD113" i="19"/>
  <c r="AE113" i="19" s="1"/>
  <c r="AG113" i="19" s="1"/>
  <c r="AO125" i="18"/>
  <c r="BA113" i="18"/>
  <c r="AR124" i="18"/>
  <c r="BD112" i="18"/>
  <c r="BO113" i="18"/>
  <c r="BQ113" i="18" s="1"/>
  <c r="AD112" i="18"/>
  <c r="AE112" i="18" s="1"/>
  <c r="AG112" i="18" s="1"/>
  <c r="AC115" i="17"/>
  <c r="AF114" i="17"/>
  <c r="AO113" i="17"/>
  <c r="AR112" i="17"/>
  <c r="BN116" i="17"/>
  <c r="BO116" i="17" s="1"/>
  <c r="BQ116" i="17" s="1"/>
  <c r="BC116" i="17"/>
  <c r="BE116" i="17" s="1"/>
  <c r="AO113" i="16"/>
  <c r="AC117" i="16"/>
  <c r="BA115" i="16"/>
  <c r="AF116" i="16"/>
  <c r="BD114" i="16"/>
  <c r="AR112" i="16"/>
  <c r="BN114" i="16"/>
  <c r="BO114" i="16" s="1"/>
  <c r="BQ114" i="16" s="1"/>
  <c r="BM121" i="14"/>
  <c r="BP120" i="14"/>
  <c r="BB115" i="14"/>
  <c r="BC115" i="14" s="1"/>
  <c r="BE115" i="14" s="1"/>
  <c r="AP121" i="14"/>
  <c r="AQ121" i="14" s="1"/>
  <c r="AS121" i="14" s="1"/>
  <c r="AD83" i="14"/>
  <c r="Q16" i="14"/>
  <c r="T15" i="14"/>
  <c r="R27" i="18" l="1"/>
  <c r="S27" i="18" s="1"/>
  <c r="U27" i="18" s="1"/>
  <c r="Q28" i="18" s="1"/>
  <c r="R28" i="17"/>
  <c r="S28" i="17" s="1"/>
  <c r="U28" i="17" s="1"/>
  <c r="Q29" i="17" s="1"/>
  <c r="R29" i="17" s="1"/>
  <c r="T27" i="17"/>
  <c r="G17" i="19"/>
  <c r="H17" i="19" s="1"/>
  <c r="J17" i="19" s="1"/>
  <c r="R26" i="16"/>
  <c r="T26" i="18"/>
  <c r="T25" i="16"/>
  <c r="K17" i="14"/>
  <c r="F18" i="14"/>
  <c r="I17" i="14"/>
  <c r="G18" i="16"/>
  <c r="H18" i="16" s="1"/>
  <c r="J18" i="16" s="1"/>
  <c r="H19" i="18"/>
  <c r="J19" i="18" s="1"/>
  <c r="I19" i="17"/>
  <c r="F20" i="17"/>
  <c r="G20" i="17" s="1"/>
  <c r="K19" i="17"/>
  <c r="T20" i="19"/>
  <c r="Q21" i="19"/>
  <c r="R21" i="19" s="1"/>
  <c r="C20" i="15"/>
  <c r="E20" i="15" s="1"/>
  <c r="BA123" i="19"/>
  <c r="AP115" i="19"/>
  <c r="AQ115" i="19" s="1"/>
  <c r="AS115" i="19" s="1"/>
  <c r="AC114" i="19"/>
  <c r="AF113" i="19"/>
  <c r="BD122" i="19"/>
  <c r="BN126" i="19"/>
  <c r="BO126" i="19" s="1"/>
  <c r="BQ126" i="19" s="1"/>
  <c r="AC113" i="18"/>
  <c r="BM114" i="18"/>
  <c r="BP113" i="18"/>
  <c r="BB113" i="18"/>
  <c r="AF112" i="18"/>
  <c r="AP125" i="18"/>
  <c r="AQ125" i="18" s="1"/>
  <c r="AS125" i="18" s="1"/>
  <c r="BA117" i="17"/>
  <c r="BP116" i="17"/>
  <c r="AD115" i="17"/>
  <c r="AP113" i="17"/>
  <c r="AQ113" i="17" s="1"/>
  <c r="AS113" i="17" s="1"/>
  <c r="BM117" i="17"/>
  <c r="BD116" i="17"/>
  <c r="BM115" i="16"/>
  <c r="AD117" i="16"/>
  <c r="AE117" i="16" s="1"/>
  <c r="AG117" i="16" s="1"/>
  <c r="BP114" i="16"/>
  <c r="BB115" i="16"/>
  <c r="BC115" i="16" s="1"/>
  <c r="BE115" i="16" s="1"/>
  <c r="AP113" i="16"/>
  <c r="AQ113" i="16" s="1"/>
  <c r="AS113" i="16" s="1"/>
  <c r="BN121" i="14"/>
  <c r="BO121" i="14" s="1"/>
  <c r="BQ121" i="14" s="1"/>
  <c r="BA116" i="14"/>
  <c r="BD115" i="14"/>
  <c r="AO122" i="14"/>
  <c r="AR121" i="14"/>
  <c r="AE83" i="14"/>
  <c r="AG83" i="14" s="1"/>
  <c r="R16" i="14"/>
  <c r="S16" i="14" s="1"/>
  <c r="K17" i="19" l="1"/>
  <c r="F18" i="19"/>
  <c r="S29" i="17"/>
  <c r="U29" i="17" s="1"/>
  <c r="Q30" i="17" s="1"/>
  <c r="I17" i="19"/>
  <c r="T28" i="17"/>
  <c r="R28" i="18"/>
  <c r="S26" i="16"/>
  <c r="U26" i="16" s="1"/>
  <c r="Q27" i="16" s="1"/>
  <c r="T27" i="18"/>
  <c r="F19" i="16"/>
  <c r="K18" i="16"/>
  <c r="I18" i="16"/>
  <c r="G18" i="14"/>
  <c r="H18" i="14" s="1"/>
  <c r="J18" i="14" s="1"/>
  <c r="I19" i="18"/>
  <c r="F20" i="18"/>
  <c r="G20" i="18" s="1"/>
  <c r="K19" i="18"/>
  <c r="H20" i="17"/>
  <c r="J20" i="17" s="1"/>
  <c r="S21" i="19"/>
  <c r="U21" i="19" s="1"/>
  <c r="BM127" i="19"/>
  <c r="AO116" i="19"/>
  <c r="AD114" i="19"/>
  <c r="BP126" i="19"/>
  <c r="AR115" i="19"/>
  <c r="BB123" i="19"/>
  <c r="BC123" i="19" s="1"/>
  <c r="BE123" i="19" s="1"/>
  <c r="AR125" i="18"/>
  <c r="BN114" i="18"/>
  <c r="BO114" i="18" s="1"/>
  <c r="BQ114" i="18" s="1"/>
  <c r="AD113" i="18"/>
  <c r="AE113" i="18" s="1"/>
  <c r="AG113" i="18" s="1"/>
  <c r="AO126" i="18"/>
  <c r="BC113" i="18"/>
  <c r="BE113" i="18" s="1"/>
  <c r="BN117" i="17"/>
  <c r="BO117" i="17" s="1"/>
  <c r="BQ117" i="17" s="1"/>
  <c r="AO114" i="17"/>
  <c r="AR113" i="17"/>
  <c r="BB117" i="17"/>
  <c r="BC117" i="17" s="1"/>
  <c r="BE117" i="17" s="1"/>
  <c r="AE115" i="17"/>
  <c r="AG115" i="17" s="1"/>
  <c r="AC118" i="16"/>
  <c r="AR113" i="16"/>
  <c r="AO114" i="16"/>
  <c r="AF117" i="16"/>
  <c r="BA116" i="16"/>
  <c r="BD115" i="16"/>
  <c r="BN115" i="16"/>
  <c r="BO115" i="16" s="1"/>
  <c r="BQ115" i="16" s="1"/>
  <c r="BM122" i="14"/>
  <c r="BP121" i="14"/>
  <c r="BB116" i="14"/>
  <c r="BC116" i="14" s="1"/>
  <c r="BE116" i="14" s="1"/>
  <c r="AP122" i="14"/>
  <c r="AQ122" i="14" s="1"/>
  <c r="AS122" i="14" s="1"/>
  <c r="AC84" i="14"/>
  <c r="AF83" i="14"/>
  <c r="U16" i="14"/>
  <c r="T26" i="16" l="1"/>
  <c r="T29" i="17"/>
  <c r="R30" i="17"/>
  <c r="S30" i="17" s="1"/>
  <c r="U30" i="17" s="1"/>
  <c r="Q31" i="17" s="1"/>
  <c r="R31" i="17" s="1"/>
  <c r="R27" i="16"/>
  <c r="S27" i="16" s="1"/>
  <c r="U27" i="16" s="1"/>
  <c r="Q28" i="16" s="1"/>
  <c r="G18" i="19"/>
  <c r="H18" i="19" s="1"/>
  <c r="J18" i="19" s="1"/>
  <c r="S28" i="18"/>
  <c r="U28" i="18" s="1"/>
  <c r="Q29" i="18" s="1"/>
  <c r="K18" i="14"/>
  <c r="F19" i="14"/>
  <c r="I18" i="14"/>
  <c r="G19" i="16"/>
  <c r="H19" i="16" s="1"/>
  <c r="J19" i="16" s="1"/>
  <c r="H20" i="18"/>
  <c r="J20" i="18" s="1"/>
  <c r="I20" i="17"/>
  <c r="F21" i="17"/>
  <c r="K20" i="17"/>
  <c r="T21" i="19"/>
  <c r="Q22" i="19"/>
  <c r="R22" i="19" s="1"/>
  <c r="C21" i="15"/>
  <c r="E21" i="15" s="1"/>
  <c r="BA124" i="19"/>
  <c r="BD123" i="19"/>
  <c r="AP116" i="19"/>
  <c r="AQ116" i="19" s="1"/>
  <c r="AS116" i="19" s="1"/>
  <c r="AE114" i="19"/>
  <c r="AG114" i="19" s="1"/>
  <c r="BN127" i="19"/>
  <c r="BO127" i="19" s="1"/>
  <c r="BQ127" i="19" s="1"/>
  <c r="BM115" i="18"/>
  <c r="BP114" i="18"/>
  <c r="AP126" i="18"/>
  <c r="AQ126" i="18" s="1"/>
  <c r="AS126" i="18" s="1"/>
  <c r="AC114" i="18"/>
  <c r="AF113" i="18"/>
  <c r="BD113" i="18"/>
  <c r="BA114" i="18"/>
  <c r="AC116" i="17"/>
  <c r="AP114" i="17"/>
  <c r="AQ114" i="17" s="1"/>
  <c r="AS114" i="17" s="1"/>
  <c r="BA118" i="17"/>
  <c r="BD117" i="17"/>
  <c r="BM118" i="17"/>
  <c r="BP117" i="17"/>
  <c r="AF115" i="17"/>
  <c r="BM116" i="16"/>
  <c r="BP115" i="16"/>
  <c r="AP114" i="16"/>
  <c r="AQ114" i="16" s="1"/>
  <c r="AS114" i="16" s="1"/>
  <c r="BB116" i="16"/>
  <c r="BC116" i="16" s="1"/>
  <c r="BE116" i="16" s="1"/>
  <c r="AD118" i="16"/>
  <c r="AE118" i="16" s="1"/>
  <c r="AG118" i="16" s="1"/>
  <c r="BN122" i="14"/>
  <c r="BO122" i="14" s="1"/>
  <c r="BQ122" i="14" s="1"/>
  <c r="BA117" i="14"/>
  <c r="BD116" i="14"/>
  <c r="AR122" i="14"/>
  <c r="AO123" i="14"/>
  <c r="AD84" i="14"/>
  <c r="Q17" i="14"/>
  <c r="T16" i="14"/>
  <c r="T28" i="18" l="1"/>
  <c r="R28" i="16"/>
  <c r="S28" i="16" s="1"/>
  <c r="U28" i="16" s="1"/>
  <c r="Q29" i="16" s="1"/>
  <c r="R29" i="18"/>
  <c r="S29" i="18" s="1"/>
  <c r="U29" i="18" s="1"/>
  <c r="Q30" i="18" s="1"/>
  <c r="F19" i="19"/>
  <c r="K18" i="19"/>
  <c r="T27" i="16"/>
  <c r="S31" i="17"/>
  <c r="U31" i="17" s="1"/>
  <c r="Q32" i="17" s="1"/>
  <c r="I18" i="19"/>
  <c r="T30" i="17"/>
  <c r="G21" i="17"/>
  <c r="H21" i="17" s="1"/>
  <c r="J21" i="17" s="1"/>
  <c r="F20" i="16"/>
  <c r="K19" i="16"/>
  <c r="I19" i="16"/>
  <c r="G19" i="14"/>
  <c r="H19" i="14" s="1"/>
  <c r="J19" i="14" s="1"/>
  <c r="I20" i="18"/>
  <c r="F21" i="18"/>
  <c r="G21" i="18" s="1"/>
  <c r="K20" i="18"/>
  <c r="S22" i="19"/>
  <c r="U22" i="19" s="1"/>
  <c r="BP127" i="19"/>
  <c r="BM128" i="19"/>
  <c r="AC115" i="19"/>
  <c r="AR116" i="19"/>
  <c r="AO117" i="19"/>
  <c r="BB124" i="19"/>
  <c r="BC124" i="19" s="1"/>
  <c r="BE124" i="19" s="1"/>
  <c r="AF114" i="19"/>
  <c r="AO127" i="18"/>
  <c r="AR126" i="18"/>
  <c r="BB114" i="18"/>
  <c r="BC114" i="18" s="1"/>
  <c r="BE114" i="18" s="1"/>
  <c r="BN115" i="18"/>
  <c r="BO115" i="18" s="1"/>
  <c r="BQ115" i="18" s="1"/>
  <c r="AD114" i="18"/>
  <c r="AE114" i="18" s="1"/>
  <c r="AG114" i="18" s="1"/>
  <c r="AO115" i="17"/>
  <c r="BB118" i="17"/>
  <c r="BC118" i="17" s="1"/>
  <c r="BE118" i="17" s="1"/>
  <c r="AR114" i="17"/>
  <c r="BN118" i="17"/>
  <c r="AD116" i="17"/>
  <c r="AE116" i="17" s="1"/>
  <c r="AG116" i="17" s="1"/>
  <c r="AR114" i="16"/>
  <c r="AF118" i="16"/>
  <c r="AC119" i="16"/>
  <c r="BN116" i="16"/>
  <c r="BO116" i="16" s="1"/>
  <c r="BQ116" i="16" s="1"/>
  <c r="BA117" i="16"/>
  <c r="AO115" i="16"/>
  <c r="BD116" i="16"/>
  <c r="BM123" i="14"/>
  <c r="BP122" i="14"/>
  <c r="BB117" i="14"/>
  <c r="BC117" i="14" s="1"/>
  <c r="BE117" i="14" s="1"/>
  <c r="AP123" i="14"/>
  <c r="AQ123" i="14" s="1"/>
  <c r="AS123" i="14" s="1"/>
  <c r="AE84" i="14"/>
  <c r="AG84" i="14" s="1"/>
  <c r="R17" i="14"/>
  <c r="S17" i="14" s="1"/>
  <c r="F22" i="17" l="1"/>
  <c r="G22" i="17" s="1"/>
  <c r="H22" i="17" s="1"/>
  <c r="J22" i="17" s="1"/>
  <c r="K22" i="17" s="1"/>
  <c r="K21" i="17"/>
  <c r="T31" i="17"/>
  <c r="T28" i="16"/>
  <c r="R32" i="17"/>
  <c r="S32" i="17" s="1"/>
  <c r="U32" i="17" s="1"/>
  <c r="Q33" i="17" s="1"/>
  <c r="G19" i="19"/>
  <c r="H19" i="19" s="1"/>
  <c r="J19" i="19" s="1"/>
  <c r="R30" i="18"/>
  <c r="S30" i="18" s="1"/>
  <c r="U30" i="18" s="1"/>
  <c r="Q31" i="18" s="1"/>
  <c r="R31" i="18" s="1"/>
  <c r="R29" i="16"/>
  <c r="T29" i="18"/>
  <c r="I19" i="14"/>
  <c r="G20" i="16"/>
  <c r="H20" i="16" s="1"/>
  <c r="J20" i="16" s="1"/>
  <c r="K19" i="14"/>
  <c r="F20" i="14"/>
  <c r="I21" i="17"/>
  <c r="H21" i="18"/>
  <c r="J21" i="18" s="1"/>
  <c r="I22" i="17"/>
  <c r="T22" i="19"/>
  <c r="Q23" i="19"/>
  <c r="C22" i="15"/>
  <c r="E22" i="15" s="1"/>
  <c r="BA125" i="19"/>
  <c r="BD124" i="19"/>
  <c r="BN128" i="19"/>
  <c r="BO128" i="19" s="1"/>
  <c r="BQ128" i="19" s="1"/>
  <c r="AP117" i="19"/>
  <c r="AQ117" i="19" s="1"/>
  <c r="AS117" i="19" s="1"/>
  <c r="AD115" i="19"/>
  <c r="AE115" i="19" s="1"/>
  <c r="AG115" i="19" s="1"/>
  <c r="BA115" i="18"/>
  <c r="AC115" i="18"/>
  <c r="BD114" i="18"/>
  <c r="AF114" i="18"/>
  <c r="BM116" i="18"/>
  <c r="BP115" i="18"/>
  <c r="AP127" i="18"/>
  <c r="AQ127" i="18" s="1"/>
  <c r="AS127" i="18" s="1"/>
  <c r="BA119" i="17"/>
  <c r="BD118" i="17"/>
  <c r="AP115" i="17"/>
  <c r="AQ115" i="17" s="1"/>
  <c r="AS115" i="17" s="1"/>
  <c r="AC117" i="17"/>
  <c r="AF116" i="17"/>
  <c r="BO118" i="17"/>
  <c r="BQ118" i="17" s="1"/>
  <c r="BM117" i="16"/>
  <c r="BB117" i="16"/>
  <c r="BC117" i="16" s="1"/>
  <c r="BE117" i="16" s="1"/>
  <c r="BP116" i="16"/>
  <c r="AP115" i="16"/>
  <c r="AQ115" i="16" s="1"/>
  <c r="AS115" i="16" s="1"/>
  <c r="AD119" i="16"/>
  <c r="AE119" i="16" s="1"/>
  <c r="AG119" i="16" s="1"/>
  <c r="BN123" i="14"/>
  <c r="BA118" i="14"/>
  <c r="BD117" i="14"/>
  <c r="AO124" i="14"/>
  <c r="AR123" i="14"/>
  <c r="AC85" i="14"/>
  <c r="AF84" i="14"/>
  <c r="U17" i="14"/>
  <c r="F23" i="17" l="1"/>
  <c r="G23" i="17" s="1"/>
  <c r="H23" i="17" s="1"/>
  <c r="J23" i="17" s="1"/>
  <c r="S31" i="18"/>
  <c r="U31" i="18" s="1"/>
  <c r="Q32" i="18" s="1"/>
  <c r="R33" i="17"/>
  <c r="S33" i="17" s="1"/>
  <c r="U33" i="17" s="1"/>
  <c r="Q34" i="17" s="1"/>
  <c r="K19" i="19"/>
  <c r="F20" i="19"/>
  <c r="I19" i="19"/>
  <c r="T32" i="17"/>
  <c r="T30" i="18"/>
  <c r="S29" i="16"/>
  <c r="U29" i="16" s="1"/>
  <c r="Q30" i="16" s="1"/>
  <c r="G20" i="14"/>
  <c r="H20" i="14" s="1"/>
  <c r="J20" i="14" s="1"/>
  <c r="K20" i="16"/>
  <c r="F21" i="16"/>
  <c r="I20" i="16"/>
  <c r="I21" i="18"/>
  <c r="F22" i="18"/>
  <c r="G22" i="18" s="1"/>
  <c r="K21" i="18"/>
  <c r="R23" i="19"/>
  <c r="S23" i="19" s="1"/>
  <c r="U23" i="19" s="1"/>
  <c r="AO118" i="19"/>
  <c r="AR117" i="19"/>
  <c r="BP128" i="19"/>
  <c r="AC116" i="19"/>
  <c r="AF115" i="19"/>
  <c r="BM129" i="19"/>
  <c r="BB125" i="19"/>
  <c r="BC125" i="19" s="1"/>
  <c r="BE125" i="19" s="1"/>
  <c r="BN116" i="18"/>
  <c r="BO116" i="18" s="1"/>
  <c r="BQ116" i="18" s="1"/>
  <c r="AO128" i="18"/>
  <c r="AD115" i="18"/>
  <c r="AE115" i="18" s="1"/>
  <c r="AG115" i="18" s="1"/>
  <c r="AR127" i="18"/>
  <c r="BB115" i="18"/>
  <c r="BC115" i="18" s="1"/>
  <c r="BE115" i="18" s="1"/>
  <c r="AO116" i="17"/>
  <c r="BM119" i="17"/>
  <c r="AD117" i="17"/>
  <c r="AE117" i="17" s="1"/>
  <c r="AG117" i="17" s="1"/>
  <c r="AR115" i="17"/>
  <c r="BB119" i="17"/>
  <c r="BC119" i="17" s="1"/>
  <c r="BE119" i="17" s="1"/>
  <c r="BP118" i="17"/>
  <c r="AC120" i="16"/>
  <c r="BA118" i="16"/>
  <c r="AF119" i="16"/>
  <c r="BD117" i="16"/>
  <c r="AO116" i="16"/>
  <c r="BN117" i="16"/>
  <c r="BO117" i="16" s="1"/>
  <c r="BQ117" i="16" s="1"/>
  <c r="AR115" i="16"/>
  <c r="BO123" i="14"/>
  <c r="BQ123" i="14" s="1"/>
  <c r="BM124" i="14" s="1"/>
  <c r="BB118" i="14"/>
  <c r="BC118" i="14" s="1"/>
  <c r="BE118" i="14" s="1"/>
  <c r="AP124" i="14"/>
  <c r="AQ124" i="14" s="1"/>
  <c r="AS124" i="14" s="1"/>
  <c r="AD85" i="14"/>
  <c r="Q18" i="14"/>
  <c r="T17" i="14"/>
  <c r="T29" i="16" l="1"/>
  <c r="T31" i="18"/>
  <c r="G20" i="19"/>
  <c r="H20" i="19" s="1"/>
  <c r="J20" i="19" s="1"/>
  <c r="R34" i="17"/>
  <c r="S34" i="17" s="1"/>
  <c r="U34" i="17" s="1"/>
  <c r="Q35" i="17" s="1"/>
  <c r="R30" i="16"/>
  <c r="S30" i="16" s="1"/>
  <c r="U30" i="16" s="1"/>
  <c r="Q31" i="16" s="1"/>
  <c r="T33" i="17"/>
  <c r="R32" i="18"/>
  <c r="S32" i="18" s="1"/>
  <c r="U32" i="18" s="1"/>
  <c r="Q33" i="18" s="1"/>
  <c r="R33" i="18" s="1"/>
  <c r="G21" i="16"/>
  <c r="H21" i="16" s="1"/>
  <c r="J21" i="16" s="1"/>
  <c r="K20" i="14"/>
  <c r="F21" i="14"/>
  <c r="G21" i="14" s="1"/>
  <c r="I20" i="14"/>
  <c r="H22" i="18"/>
  <c r="J22" i="18" s="1"/>
  <c r="I23" i="17"/>
  <c r="F24" i="17"/>
  <c r="K23" i="17"/>
  <c r="Q24" i="19"/>
  <c r="R24" i="19" s="1"/>
  <c r="C23" i="15"/>
  <c r="E23" i="15" s="1"/>
  <c r="T23" i="19"/>
  <c r="BA126" i="19"/>
  <c r="BD125" i="19"/>
  <c r="BN129" i="19"/>
  <c r="BO129" i="19" s="1"/>
  <c r="BQ129" i="19" s="1"/>
  <c r="AP118" i="19"/>
  <c r="AQ118" i="19" s="1"/>
  <c r="AS118" i="19" s="1"/>
  <c r="AD116" i="19"/>
  <c r="AE116" i="19" s="1"/>
  <c r="AG116" i="19" s="1"/>
  <c r="BA116" i="18"/>
  <c r="AP128" i="18"/>
  <c r="AQ128" i="18" s="1"/>
  <c r="AS128" i="18" s="1"/>
  <c r="BD115" i="18"/>
  <c r="BP116" i="18"/>
  <c r="BM117" i="18"/>
  <c r="AC116" i="18"/>
  <c r="AF115" i="18"/>
  <c r="AC118" i="17"/>
  <c r="AF117" i="17"/>
  <c r="BA120" i="17"/>
  <c r="BN119" i="17"/>
  <c r="BO119" i="17" s="1"/>
  <c r="BQ119" i="17" s="1"/>
  <c r="BD119" i="17"/>
  <c r="AP116" i="17"/>
  <c r="BB118" i="16"/>
  <c r="BC118" i="16" s="1"/>
  <c r="BE118" i="16" s="1"/>
  <c r="BM118" i="16"/>
  <c r="AD120" i="16"/>
  <c r="BP117" i="16"/>
  <c r="AP116" i="16"/>
  <c r="AQ116" i="16" s="1"/>
  <c r="AS116" i="16" s="1"/>
  <c r="BP123" i="14"/>
  <c r="BN124" i="14"/>
  <c r="BO124" i="14" s="1"/>
  <c r="BQ124" i="14" s="1"/>
  <c r="BA119" i="14"/>
  <c r="BD118" i="14"/>
  <c r="AO125" i="14"/>
  <c r="AR124" i="14"/>
  <c r="AE85" i="14"/>
  <c r="AG85" i="14" s="1"/>
  <c r="R18" i="14"/>
  <c r="S18" i="14" s="1"/>
  <c r="K20" i="19" l="1"/>
  <c r="F21" i="19"/>
  <c r="T32" i="18"/>
  <c r="R31" i="16"/>
  <c r="S31" i="16" s="1"/>
  <c r="U31" i="16" s="1"/>
  <c r="Q32" i="16" s="1"/>
  <c r="R35" i="17"/>
  <c r="S35" i="17" s="1"/>
  <c r="U35" i="17" s="1"/>
  <c r="Q36" i="17" s="1"/>
  <c r="T30" i="16"/>
  <c r="T34" i="17"/>
  <c r="S33" i="18"/>
  <c r="U33" i="18" s="1"/>
  <c r="Q34" i="18" s="1"/>
  <c r="R34" i="18" s="1"/>
  <c r="I20" i="19"/>
  <c r="H21" i="14"/>
  <c r="J21" i="14" s="1"/>
  <c r="K21" i="16"/>
  <c r="F22" i="16"/>
  <c r="G22" i="16" s="1"/>
  <c r="I21" i="16"/>
  <c r="I22" i="18"/>
  <c r="F23" i="18"/>
  <c r="K22" i="18"/>
  <c r="G24" i="17"/>
  <c r="H24" i="17" s="1"/>
  <c r="J24" i="17" s="1"/>
  <c r="S24" i="19"/>
  <c r="U24" i="19" s="1"/>
  <c r="BM130" i="19"/>
  <c r="AC117" i="19"/>
  <c r="BP129" i="19"/>
  <c r="AF116" i="19"/>
  <c r="AR118" i="19"/>
  <c r="BB126" i="19"/>
  <c r="BC126" i="19" s="1"/>
  <c r="BE126" i="19" s="1"/>
  <c r="AO119" i="19"/>
  <c r="AO129" i="18"/>
  <c r="AR128" i="18"/>
  <c r="BB116" i="18"/>
  <c r="BC116" i="18" s="1"/>
  <c r="BE116" i="18" s="1"/>
  <c r="AD116" i="18"/>
  <c r="AE116" i="18" s="1"/>
  <c r="AG116" i="18" s="1"/>
  <c r="BN117" i="18"/>
  <c r="BO117" i="18" s="1"/>
  <c r="BQ117" i="18" s="1"/>
  <c r="BM120" i="17"/>
  <c r="BB120" i="17"/>
  <c r="BC120" i="17" s="1"/>
  <c r="BE120" i="17" s="1"/>
  <c r="BP119" i="17"/>
  <c r="AQ116" i="17"/>
  <c r="AS116" i="17" s="1"/>
  <c r="AD118" i="17"/>
  <c r="AE118" i="17" s="1"/>
  <c r="AG118" i="17" s="1"/>
  <c r="AO117" i="16"/>
  <c r="BN118" i="16"/>
  <c r="BO118" i="16" s="1"/>
  <c r="BQ118" i="16" s="1"/>
  <c r="BD118" i="16"/>
  <c r="AR116" i="16"/>
  <c r="BA119" i="16"/>
  <c r="AE120" i="16"/>
  <c r="AG120" i="16" s="1"/>
  <c r="BM125" i="14"/>
  <c r="BP124" i="14"/>
  <c r="BB119" i="14"/>
  <c r="BC119" i="14" s="1"/>
  <c r="BE119" i="14" s="1"/>
  <c r="AP125" i="14"/>
  <c r="AC86" i="14"/>
  <c r="AF85" i="14"/>
  <c r="U18" i="14"/>
  <c r="T33" i="18" l="1"/>
  <c r="R32" i="16"/>
  <c r="S32" i="16" s="1"/>
  <c r="U32" i="16" s="1"/>
  <c r="Q33" i="16" s="1"/>
  <c r="T35" i="17"/>
  <c r="T31" i="16"/>
  <c r="S34" i="18"/>
  <c r="U34" i="18" s="1"/>
  <c r="Q35" i="18" s="1"/>
  <c r="G21" i="19"/>
  <c r="H21" i="19" s="1"/>
  <c r="J21" i="19" s="1"/>
  <c r="R36" i="17"/>
  <c r="S36" i="17" s="1"/>
  <c r="U36" i="17" s="1"/>
  <c r="Q37" i="17" s="1"/>
  <c r="I21" i="14"/>
  <c r="H22" i="16"/>
  <c r="J22" i="16" s="1"/>
  <c r="G23" i="18"/>
  <c r="H23" i="18" s="1"/>
  <c r="J23" i="18" s="1"/>
  <c r="F24" i="18" s="1"/>
  <c r="F22" i="14"/>
  <c r="K21" i="14"/>
  <c r="F25" i="17"/>
  <c r="K24" i="17"/>
  <c r="I24" i="17"/>
  <c r="T24" i="19"/>
  <c r="Q25" i="19"/>
  <c r="R25" i="19" s="1"/>
  <c r="C24" i="15"/>
  <c r="E24" i="15" s="1"/>
  <c r="BA127" i="19"/>
  <c r="AP119" i="19"/>
  <c r="AQ119" i="19" s="1"/>
  <c r="AS119" i="19" s="1"/>
  <c r="AD117" i="19"/>
  <c r="AE117" i="19" s="1"/>
  <c r="AG117" i="19" s="1"/>
  <c r="BD126" i="19"/>
  <c r="BN130" i="19"/>
  <c r="BO130" i="19" s="1"/>
  <c r="BQ130" i="19" s="1"/>
  <c r="BA117" i="18"/>
  <c r="BM118" i="18"/>
  <c r="BP117" i="18"/>
  <c r="AC117" i="18"/>
  <c r="AP129" i="18"/>
  <c r="AQ129" i="18" s="1"/>
  <c r="AS129" i="18" s="1"/>
  <c r="AF116" i="18"/>
  <c r="BD116" i="18"/>
  <c r="BD120" i="17"/>
  <c r="BA121" i="17"/>
  <c r="AF118" i="17"/>
  <c r="BN120" i="17"/>
  <c r="BO120" i="17" s="1"/>
  <c r="BQ120" i="17" s="1"/>
  <c r="AO117" i="17"/>
  <c r="AR116" i="17"/>
  <c r="AC119" i="17"/>
  <c r="BM119" i="16"/>
  <c r="BP118" i="16"/>
  <c r="AF120" i="16"/>
  <c r="AC121" i="16"/>
  <c r="BB119" i="16"/>
  <c r="BC119" i="16" s="1"/>
  <c r="BE119" i="16" s="1"/>
  <c r="AP117" i="16"/>
  <c r="AQ117" i="16" s="1"/>
  <c r="AS117" i="16" s="1"/>
  <c r="BN125" i="14"/>
  <c r="BO125" i="14" s="1"/>
  <c r="BQ125" i="14" s="1"/>
  <c r="BA120" i="14"/>
  <c r="BD119" i="14"/>
  <c r="AQ125" i="14"/>
  <c r="AS125" i="14" s="1"/>
  <c r="AO126" i="14" s="1"/>
  <c r="AD86" i="14"/>
  <c r="Q19" i="14"/>
  <c r="T18" i="14"/>
  <c r="I22" i="16" l="1"/>
  <c r="I21" i="19"/>
  <c r="T34" i="18"/>
  <c r="R35" i="18"/>
  <c r="S35" i="18" s="1"/>
  <c r="U35" i="18" s="1"/>
  <c r="Q36" i="18" s="1"/>
  <c r="K23" i="18"/>
  <c r="R37" i="17"/>
  <c r="S37" i="17" s="1"/>
  <c r="U37" i="17" s="1"/>
  <c r="Q38" i="17" s="1"/>
  <c r="R38" i="17" s="1"/>
  <c r="R33" i="16"/>
  <c r="K21" i="19"/>
  <c r="F22" i="19"/>
  <c r="T36" i="17"/>
  <c r="T32" i="16"/>
  <c r="G22" i="14"/>
  <c r="H22" i="14" s="1"/>
  <c r="J22" i="14" s="1"/>
  <c r="G24" i="18"/>
  <c r="H24" i="18" s="1"/>
  <c r="J24" i="18" s="1"/>
  <c r="I23" i="18"/>
  <c r="F23" i="16"/>
  <c r="K22" i="16"/>
  <c r="G25" i="17"/>
  <c r="H25" i="17" s="1"/>
  <c r="J25" i="17" s="1"/>
  <c r="S25" i="19"/>
  <c r="U25" i="19" s="1"/>
  <c r="AO120" i="19"/>
  <c r="BP130" i="19"/>
  <c r="AC118" i="19"/>
  <c r="AF117" i="19"/>
  <c r="BB127" i="19"/>
  <c r="BC127" i="19" s="1"/>
  <c r="BE127" i="19" s="1"/>
  <c r="BM131" i="19"/>
  <c r="AR119" i="19"/>
  <c r="BN118" i="18"/>
  <c r="BO118" i="18" s="1"/>
  <c r="BQ118" i="18" s="1"/>
  <c r="AO130" i="18"/>
  <c r="AR129" i="18"/>
  <c r="AD117" i="18"/>
  <c r="AE117" i="18" s="1"/>
  <c r="AG117" i="18" s="1"/>
  <c r="BB117" i="18"/>
  <c r="BC117" i="18" s="1"/>
  <c r="BE117" i="18" s="1"/>
  <c r="BP120" i="17"/>
  <c r="AD119" i="17"/>
  <c r="AE119" i="17" s="1"/>
  <c r="AG119" i="17" s="1"/>
  <c r="BM121" i="17"/>
  <c r="BB121" i="17"/>
  <c r="BC121" i="17" s="1"/>
  <c r="BE121" i="17" s="1"/>
  <c r="AP117" i="17"/>
  <c r="AQ117" i="17" s="1"/>
  <c r="AS117" i="17" s="1"/>
  <c r="AO118" i="16"/>
  <c r="BA120" i="16"/>
  <c r="BN119" i="16"/>
  <c r="BO119" i="16" s="1"/>
  <c r="BQ119" i="16" s="1"/>
  <c r="BD119" i="16"/>
  <c r="AD121" i="16"/>
  <c r="AR117" i="16"/>
  <c r="BM126" i="14"/>
  <c r="BP125" i="14"/>
  <c r="BB120" i="14"/>
  <c r="BC120" i="14" s="1"/>
  <c r="BE120" i="14" s="1"/>
  <c r="AR125" i="14"/>
  <c r="AP126" i="14"/>
  <c r="AQ126" i="14" s="1"/>
  <c r="AS126" i="14" s="1"/>
  <c r="AE86" i="14"/>
  <c r="AG86" i="14" s="1"/>
  <c r="R19" i="14"/>
  <c r="S19" i="14" s="1"/>
  <c r="S38" i="17" l="1"/>
  <c r="U38" i="17" s="1"/>
  <c r="Q39" i="17" s="1"/>
  <c r="T37" i="17"/>
  <c r="R36" i="18"/>
  <c r="S36" i="18" s="1"/>
  <c r="U36" i="18" s="1"/>
  <c r="Q37" i="18" s="1"/>
  <c r="G22" i="19"/>
  <c r="H22" i="19" s="1"/>
  <c r="J22" i="19" s="1"/>
  <c r="T35" i="18"/>
  <c r="S33" i="16"/>
  <c r="U33" i="16" s="1"/>
  <c r="Q34" i="16" s="1"/>
  <c r="K24" i="18"/>
  <c r="F25" i="18"/>
  <c r="G25" i="18" s="1"/>
  <c r="H25" i="18" s="1"/>
  <c r="J25" i="18" s="1"/>
  <c r="G23" i="16"/>
  <c r="H23" i="16" s="1"/>
  <c r="J23" i="16" s="1"/>
  <c r="I24" i="18"/>
  <c r="F23" i="14"/>
  <c r="K22" i="14"/>
  <c r="I22" i="14"/>
  <c r="K25" i="17"/>
  <c r="F26" i="17"/>
  <c r="I25" i="17"/>
  <c r="T25" i="19"/>
  <c r="Q26" i="19"/>
  <c r="R26" i="19" s="1"/>
  <c r="C25" i="15"/>
  <c r="E25" i="15" s="1"/>
  <c r="BN131" i="19"/>
  <c r="BO131" i="19" s="1"/>
  <c r="BQ131" i="19" s="1"/>
  <c r="AD118" i="19"/>
  <c r="AE118" i="19" s="1"/>
  <c r="AG118" i="19" s="1"/>
  <c r="BA128" i="19"/>
  <c r="BD127" i="19"/>
  <c r="AP120" i="19"/>
  <c r="AQ120" i="19" s="1"/>
  <c r="AS120" i="19" s="1"/>
  <c r="AC118" i="18"/>
  <c r="BM119" i="18"/>
  <c r="BA118" i="18"/>
  <c r="AP130" i="18"/>
  <c r="AQ130" i="18" s="1"/>
  <c r="AS130" i="18" s="1"/>
  <c r="BP118" i="18"/>
  <c r="AF117" i="18"/>
  <c r="BD117" i="18"/>
  <c r="BA122" i="17"/>
  <c r="AO118" i="17"/>
  <c r="BD121" i="17"/>
  <c r="AR117" i="17"/>
  <c r="BN121" i="17"/>
  <c r="BO121" i="17" s="1"/>
  <c r="BQ121" i="17" s="1"/>
  <c r="AC120" i="17"/>
  <c r="AF119" i="17"/>
  <c r="BM120" i="16"/>
  <c r="BB120" i="16"/>
  <c r="BC120" i="16" s="1"/>
  <c r="BE120" i="16" s="1"/>
  <c r="BP119" i="16"/>
  <c r="AE121" i="16"/>
  <c r="AG121" i="16" s="1"/>
  <c r="AP118" i="16"/>
  <c r="AQ118" i="16" s="1"/>
  <c r="AS118" i="16" s="1"/>
  <c r="BN126" i="14"/>
  <c r="BO126" i="14" s="1"/>
  <c r="BQ126" i="14" s="1"/>
  <c r="BA121" i="14"/>
  <c r="BD120" i="14"/>
  <c r="AO127" i="14"/>
  <c r="AR126" i="14"/>
  <c r="AC87" i="14"/>
  <c r="AF86" i="14"/>
  <c r="U19" i="14"/>
  <c r="T33" i="16" l="1"/>
  <c r="T38" i="17"/>
  <c r="F23" i="19"/>
  <c r="K22" i="19"/>
  <c r="I22" i="19"/>
  <c r="R37" i="18"/>
  <c r="S37" i="18" s="1"/>
  <c r="U37" i="18" s="1"/>
  <c r="Q38" i="18" s="1"/>
  <c r="R38" i="18" s="1"/>
  <c r="T36" i="18"/>
  <c r="R34" i="16"/>
  <c r="R39" i="17"/>
  <c r="S39" i="17" s="1"/>
  <c r="U39" i="17" s="1"/>
  <c r="Q40" i="17" s="1"/>
  <c r="G23" i="14"/>
  <c r="H23" i="14" s="1"/>
  <c r="J23" i="14" s="1"/>
  <c r="F24" i="16"/>
  <c r="K23" i="16"/>
  <c r="I23" i="16"/>
  <c r="I25" i="18"/>
  <c r="F26" i="18"/>
  <c r="G26" i="18" s="1"/>
  <c r="K25" i="18"/>
  <c r="G26" i="17"/>
  <c r="H26" i="17" s="1"/>
  <c r="J26" i="17" s="1"/>
  <c r="S26" i="19"/>
  <c r="U26" i="19" s="1"/>
  <c r="BM132" i="19"/>
  <c r="AR120" i="19"/>
  <c r="BB128" i="19"/>
  <c r="BC128" i="19" s="1"/>
  <c r="BE128" i="19" s="1"/>
  <c r="AO121" i="19"/>
  <c r="AC119" i="19"/>
  <c r="AF118" i="19"/>
  <c r="BP131" i="19"/>
  <c r="AO131" i="18"/>
  <c r="BB118" i="18"/>
  <c r="BN119" i="18"/>
  <c r="BO119" i="18" s="1"/>
  <c r="BQ119" i="18" s="1"/>
  <c r="AD118" i="18"/>
  <c r="AE118" i="18" s="1"/>
  <c r="AG118" i="18" s="1"/>
  <c r="AR130" i="18"/>
  <c r="BM122" i="17"/>
  <c r="AD120" i="17"/>
  <c r="AE120" i="17" s="1"/>
  <c r="AG120" i="17" s="1"/>
  <c r="AP118" i="17"/>
  <c r="AQ118" i="17" s="1"/>
  <c r="AS118" i="17" s="1"/>
  <c r="BP121" i="17"/>
  <c r="BB122" i="17"/>
  <c r="BC122" i="17" s="1"/>
  <c r="BE122" i="17" s="1"/>
  <c r="AO119" i="16"/>
  <c r="BA121" i="16"/>
  <c r="BD120" i="16"/>
  <c r="AR118" i="16"/>
  <c r="BN120" i="16"/>
  <c r="BO120" i="16" s="1"/>
  <c r="BQ120" i="16" s="1"/>
  <c r="AC122" i="16"/>
  <c r="AF121" i="16"/>
  <c r="BM127" i="14"/>
  <c r="BP126" i="14"/>
  <c r="BB121" i="14"/>
  <c r="BC121" i="14" s="1"/>
  <c r="BE121" i="14" s="1"/>
  <c r="AP127" i="14"/>
  <c r="AQ127" i="14" s="1"/>
  <c r="AS127" i="14" s="1"/>
  <c r="AD87" i="14"/>
  <c r="Q20" i="14"/>
  <c r="T19" i="14"/>
  <c r="R40" i="17" l="1"/>
  <c r="S40" i="17" s="1"/>
  <c r="U40" i="17" s="1"/>
  <c r="Q41" i="17" s="1"/>
  <c r="R41" i="17" s="1"/>
  <c r="S38" i="18"/>
  <c r="U38" i="18" s="1"/>
  <c r="Q39" i="18" s="1"/>
  <c r="T37" i="18"/>
  <c r="T39" i="17"/>
  <c r="S34" i="16"/>
  <c r="U34" i="16" s="1"/>
  <c r="Q35" i="16" s="1"/>
  <c r="G23" i="19"/>
  <c r="H23" i="19" s="1"/>
  <c r="J23" i="19" s="1"/>
  <c r="G24" i="16"/>
  <c r="H24" i="16" s="1"/>
  <c r="J24" i="16" s="1"/>
  <c r="K23" i="14"/>
  <c r="F24" i="14"/>
  <c r="I23" i="14"/>
  <c r="H26" i="18"/>
  <c r="J26" i="18" s="1"/>
  <c r="K26" i="17"/>
  <c r="F27" i="17"/>
  <c r="G27" i="17" s="1"/>
  <c r="I26" i="17"/>
  <c r="Q27" i="19"/>
  <c r="R27" i="19" s="1"/>
  <c r="C26" i="15"/>
  <c r="E26" i="15" s="1"/>
  <c r="T26" i="19"/>
  <c r="AP121" i="19"/>
  <c r="AQ121" i="19" s="1"/>
  <c r="AS121" i="19" s="1"/>
  <c r="BA129" i="19"/>
  <c r="BD128" i="19"/>
  <c r="AD119" i="19"/>
  <c r="AE119" i="19" s="1"/>
  <c r="AG119" i="19" s="1"/>
  <c r="BN132" i="19"/>
  <c r="BO132" i="19" s="1"/>
  <c r="BQ132" i="19" s="1"/>
  <c r="AC119" i="18"/>
  <c r="AF118" i="18"/>
  <c r="BM120" i="18"/>
  <c r="AP131" i="18"/>
  <c r="AQ131" i="18" s="1"/>
  <c r="AS131" i="18" s="1"/>
  <c r="BP119" i="18"/>
  <c r="BC118" i="18"/>
  <c r="BE118" i="18" s="1"/>
  <c r="BA123" i="17"/>
  <c r="AO119" i="17"/>
  <c r="AR118" i="17"/>
  <c r="AC121" i="17"/>
  <c r="AF120" i="17"/>
  <c r="BD122" i="17"/>
  <c r="BN122" i="17"/>
  <c r="BO122" i="17" s="1"/>
  <c r="BQ122" i="17" s="1"/>
  <c r="BB121" i="16"/>
  <c r="BC121" i="16" s="1"/>
  <c r="BE121" i="16" s="1"/>
  <c r="AD122" i="16"/>
  <c r="AE122" i="16" s="1"/>
  <c r="AG122" i="16" s="1"/>
  <c r="BM121" i="16"/>
  <c r="AP119" i="16"/>
  <c r="AQ119" i="16" s="1"/>
  <c r="AS119" i="16" s="1"/>
  <c r="BP120" i="16"/>
  <c r="BN127" i="14"/>
  <c r="BO127" i="14" s="1"/>
  <c r="BQ127" i="14" s="1"/>
  <c r="BA122" i="14"/>
  <c r="BD121" i="14"/>
  <c r="AO128" i="14"/>
  <c r="AR127" i="14"/>
  <c r="AE87" i="14"/>
  <c r="AG87" i="14" s="1"/>
  <c r="R20" i="14"/>
  <c r="S20" i="14" s="1"/>
  <c r="T38" i="18" l="1"/>
  <c r="T34" i="16"/>
  <c r="R35" i="16"/>
  <c r="S35" i="16" s="1"/>
  <c r="U35" i="16" s="1"/>
  <c r="Q36" i="16" s="1"/>
  <c r="R39" i="18"/>
  <c r="S39" i="18" s="1"/>
  <c r="U39" i="18" s="1"/>
  <c r="Q40" i="18" s="1"/>
  <c r="F24" i="19"/>
  <c r="K23" i="19"/>
  <c r="S41" i="17"/>
  <c r="U41" i="17" s="1"/>
  <c r="Q42" i="17" s="1"/>
  <c r="R42" i="17" s="1"/>
  <c r="I23" i="19"/>
  <c r="T40" i="17"/>
  <c r="G24" i="14"/>
  <c r="H24" i="14" s="1"/>
  <c r="J24" i="14" s="1"/>
  <c r="K24" i="16"/>
  <c r="F25" i="16"/>
  <c r="G25" i="16" s="1"/>
  <c r="I24" i="16"/>
  <c r="I26" i="18"/>
  <c r="K26" i="18"/>
  <c r="F27" i="18"/>
  <c r="G27" i="18" s="1"/>
  <c r="H27" i="17"/>
  <c r="J27" i="17" s="1"/>
  <c r="S27" i="19"/>
  <c r="U27" i="19" s="1"/>
  <c r="AO122" i="19"/>
  <c r="BM133" i="19"/>
  <c r="BB129" i="19"/>
  <c r="BC129" i="19" s="1"/>
  <c r="BE129" i="19" s="1"/>
  <c r="BP132" i="19"/>
  <c r="AC120" i="19"/>
  <c r="AR121" i="19"/>
  <c r="AF119" i="19"/>
  <c r="BN120" i="18"/>
  <c r="BO120" i="18" s="1"/>
  <c r="BQ120" i="18" s="1"/>
  <c r="BA119" i="18"/>
  <c r="AD119" i="18"/>
  <c r="AO132" i="18"/>
  <c r="AR131" i="18"/>
  <c r="BD118" i="18"/>
  <c r="BM123" i="17"/>
  <c r="AP119" i="17"/>
  <c r="AQ119" i="17" s="1"/>
  <c r="AS119" i="17" s="1"/>
  <c r="BP122" i="17"/>
  <c r="AD121" i="17"/>
  <c r="AE121" i="17" s="1"/>
  <c r="AG121" i="17" s="1"/>
  <c r="BB123" i="17"/>
  <c r="BC123" i="17" s="1"/>
  <c r="BE123" i="17" s="1"/>
  <c r="AC123" i="16"/>
  <c r="AF122" i="16"/>
  <c r="AO120" i="16"/>
  <c r="BD121" i="16"/>
  <c r="AR119" i="16"/>
  <c r="BN121" i="16"/>
  <c r="BO121" i="16" s="1"/>
  <c r="BQ121" i="16" s="1"/>
  <c r="BA122" i="16"/>
  <c r="BM128" i="14"/>
  <c r="BP127" i="14"/>
  <c r="BB122" i="14"/>
  <c r="BC122" i="14" s="1"/>
  <c r="BE122" i="14" s="1"/>
  <c r="AP128" i="14"/>
  <c r="AQ128" i="14" s="1"/>
  <c r="AS128" i="14" s="1"/>
  <c r="AC88" i="14"/>
  <c r="AF87" i="14"/>
  <c r="U20" i="14"/>
  <c r="R36" i="16" l="1"/>
  <c r="S36" i="16" s="1"/>
  <c r="U36" i="16" s="1"/>
  <c r="Q37" i="16" s="1"/>
  <c r="G24" i="19"/>
  <c r="H24" i="19" s="1"/>
  <c r="J24" i="19" s="1"/>
  <c r="R40" i="18"/>
  <c r="S40" i="18" s="1"/>
  <c r="U40" i="18" s="1"/>
  <c r="Q41" i="18" s="1"/>
  <c r="T39" i="18"/>
  <c r="S42" i="17"/>
  <c r="U42" i="17" s="1"/>
  <c r="Q43" i="17" s="1"/>
  <c r="T35" i="16"/>
  <c r="T41" i="17"/>
  <c r="H25" i="16"/>
  <c r="J25" i="16" s="1"/>
  <c r="F25" i="14"/>
  <c r="K24" i="14"/>
  <c r="I24" i="14"/>
  <c r="H27" i="18"/>
  <c r="J27" i="18" s="1"/>
  <c r="I27" i="17"/>
  <c r="F28" i="17"/>
  <c r="G28" i="17" s="1"/>
  <c r="K27" i="17"/>
  <c r="T27" i="19"/>
  <c r="Q28" i="19"/>
  <c r="R28" i="19" s="1"/>
  <c r="C27" i="15"/>
  <c r="E27" i="15" s="1"/>
  <c r="BA130" i="19"/>
  <c r="BD129" i="19"/>
  <c r="BN133" i="19"/>
  <c r="BO133" i="19" s="1"/>
  <c r="BQ133" i="19" s="1"/>
  <c r="AD120" i="19"/>
  <c r="AE120" i="19" s="1"/>
  <c r="AG120" i="19" s="1"/>
  <c r="AP122" i="19"/>
  <c r="AQ122" i="19" s="1"/>
  <c r="AS122" i="19" s="1"/>
  <c r="BB119" i="18"/>
  <c r="AP132" i="18"/>
  <c r="AQ132" i="18" s="1"/>
  <c r="AS132" i="18" s="1"/>
  <c r="BM121" i="18"/>
  <c r="AE119" i="18"/>
  <c r="AG119" i="18" s="1"/>
  <c r="BP120" i="18"/>
  <c r="AC122" i="17"/>
  <c r="AF121" i="17"/>
  <c r="BA124" i="17"/>
  <c r="BD123" i="17"/>
  <c r="AO120" i="17"/>
  <c r="AR119" i="17"/>
  <c r="BN123" i="17"/>
  <c r="BO123" i="17" s="1"/>
  <c r="BQ123" i="17" s="1"/>
  <c r="BB122" i="16"/>
  <c r="BC122" i="16" s="1"/>
  <c r="BE122" i="16" s="1"/>
  <c r="AP120" i="16"/>
  <c r="AQ120" i="16" s="1"/>
  <c r="AS120" i="16" s="1"/>
  <c r="BM122" i="16"/>
  <c r="BP121" i="16"/>
  <c r="AD123" i="16"/>
  <c r="AE123" i="16" s="1"/>
  <c r="AG123" i="16" s="1"/>
  <c r="BN128" i="14"/>
  <c r="BO128" i="14" s="1"/>
  <c r="BQ128" i="14" s="1"/>
  <c r="BA123" i="14"/>
  <c r="BD122" i="14"/>
  <c r="AO129" i="14"/>
  <c r="AR128" i="14"/>
  <c r="AD88" i="14"/>
  <c r="Q21" i="14"/>
  <c r="T20" i="14"/>
  <c r="R43" i="17" l="1"/>
  <c r="S43" i="17" s="1"/>
  <c r="U43" i="17" s="1"/>
  <c r="Q44" i="17" s="1"/>
  <c r="R44" i="17" s="1"/>
  <c r="R41" i="18"/>
  <c r="S41" i="18" s="1"/>
  <c r="U41" i="18" s="1"/>
  <c r="Q42" i="18" s="1"/>
  <c r="T40" i="18"/>
  <c r="F25" i="19"/>
  <c r="K24" i="19"/>
  <c r="I24" i="19"/>
  <c r="R37" i="16"/>
  <c r="S37" i="16" s="1"/>
  <c r="U37" i="16" s="1"/>
  <c r="Q38" i="16" s="1"/>
  <c r="T42" i="17"/>
  <c r="T36" i="16"/>
  <c r="I25" i="16"/>
  <c r="G25" i="14"/>
  <c r="H25" i="14" s="1"/>
  <c r="J25" i="14" s="1"/>
  <c r="K25" i="16"/>
  <c r="F26" i="16"/>
  <c r="I27" i="18"/>
  <c r="F28" i="18"/>
  <c r="G28" i="18" s="1"/>
  <c r="K27" i="18"/>
  <c r="H28" i="17"/>
  <c r="J28" i="17" s="1"/>
  <c r="S28" i="19"/>
  <c r="U28" i="19" s="1"/>
  <c r="AO123" i="19"/>
  <c r="AC121" i="19"/>
  <c r="AR122" i="19"/>
  <c r="AF120" i="19"/>
  <c r="BB130" i="19"/>
  <c r="BC130" i="19" s="1"/>
  <c r="BE130" i="19" s="1"/>
  <c r="BM134" i="19"/>
  <c r="BP133" i="19"/>
  <c r="AO133" i="18"/>
  <c r="AC120" i="18"/>
  <c r="AR132" i="18"/>
  <c r="BN121" i="18"/>
  <c r="BO121" i="18" s="1"/>
  <c r="BQ121" i="18" s="1"/>
  <c r="BC119" i="18"/>
  <c r="BE119" i="18" s="1"/>
  <c r="AF119" i="18"/>
  <c r="AP120" i="17"/>
  <c r="AQ120" i="17" s="1"/>
  <c r="AS120" i="17" s="1"/>
  <c r="BB124" i="17"/>
  <c r="BC124" i="17" s="1"/>
  <c r="BE124" i="17" s="1"/>
  <c r="BP123" i="17"/>
  <c r="BM124" i="17"/>
  <c r="AD122" i="17"/>
  <c r="AE122" i="17" s="1"/>
  <c r="AG122" i="17" s="1"/>
  <c r="AC124" i="16"/>
  <c r="AO121" i="16"/>
  <c r="AR120" i="16"/>
  <c r="BD122" i="16"/>
  <c r="BA123" i="16"/>
  <c r="AF123" i="16"/>
  <c r="BN122" i="16"/>
  <c r="BO122" i="16" s="1"/>
  <c r="BQ122" i="16" s="1"/>
  <c r="BM129" i="14"/>
  <c r="BP128" i="14"/>
  <c r="BB123" i="14"/>
  <c r="BC123" i="14" s="1"/>
  <c r="BE123" i="14" s="1"/>
  <c r="AP129" i="14"/>
  <c r="AQ129" i="14" s="1"/>
  <c r="AS129" i="14" s="1"/>
  <c r="AE88" i="14"/>
  <c r="AG88" i="14" s="1"/>
  <c r="R21" i="14"/>
  <c r="S21" i="14" s="1"/>
  <c r="R38" i="16" l="1"/>
  <c r="S38" i="16" s="1"/>
  <c r="U38" i="16" s="1"/>
  <c r="Q39" i="16" s="1"/>
  <c r="G25" i="19"/>
  <c r="H25" i="19" s="1"/>
  <c r="J25" i="19" s="1"/>
  <c r="R42" i="18"/>
  <c r="S42" i="18" s="1"/>
  <c r="U42" i="18" s="1"/>
  <c r="Q43" i="18" s="1"/>
  <c r="T41" i="18"/>
  <c r="T37" i="16"/>
  <c r="S44" i="17"/>
  <c r="U44" i="17" s="1"/>
  <c r="Q45" i="17" s="1"/>
  <c r="T43" i="17"/>
  <c r="G26" i="16"/>
  <c r="H26" i="16" s="1"/>
  <c r="J26" i="16" s="1"/>
  <c r="F26" i="14"/>
  <c r="K25" i="14"/>
  <c r="I25" i="14"/>
  <c r="H28" i="18"/>
  <c r="J28" i="18" s="1"/>
  <c r="I28" i="17"/>
  <c r="F29" i="17"/>
  <c r="G29" i="17" s="1"/>
  <c r="K28" i="17"/>
  <c r="V5" i="1" s="1"/>
  <c r="T28" i="19"/>
  <c r="Q29" i="19"/>
  <c r="R29" i="19" s="1"/>
  <c r="C28" i="15"/>
  <c r="E28" i="15" s="1"/>
  <c r="BN134" i="19"/>
  <c r="BO134" i="19" s="1"/>
  <c r="BQ134" i="19" s="1"/>
  <c r="AD121" i="19"/>
  <c r="AE121" i="19" s="1"/>
  <c r="AG121" i="19" s="1"/>
  <c r="BA131" i="19"/>
  <c r="AP123" i="19"/>
  <c r="AQ123" i="19" s="1"/>
  <c r="AS123" i="19" s="1"/>
  <c r="BD130" i="19"/>
  <c r="AD120" i="18"/>
  <c r="AE120" i="18" s="1"/>
  <c r="AG120" i="18" s="1"/>
  <c r="BA120" i="18"/>
  <c r="BM122" i="18"/>
  <c r="AP133" i="18"/>
  <c r="AQ133" i="18" s="1"/>
  <c r="AS133" i="18" s="1"/>
  <c r="BP121" i="18"/>
  <c r="BD119" i="18"/>
  <c r="AC123" i="17"/>
  <c r="AF122" i="17"/>
  <c r="BA125" i="17"/>
  <c r="BN124" i="17"/>
  <c r="BO124" i="17" s="1"/>
  <c r="BQ124" i="17" s="1"/>
  <c r="BD124" i="17"/>
  <c r="AO121" i="17"/>
  <c r="AR120" i="17"/>
  <c r="BB123" i="16"/>
  <c r="BC123" i="16" s="1"/>
  <c r="BE123" i="16" s="1"/>
  <c r="BP122" i="16"/>
  <c r="AP121" i="16"/>
  <c r="AQ121" i="16" s="1"/>
  <c r="AS121" i="16" s="1"/>
  <c r="BM123" i="16"/>
  <c r="AD124" i="16"/>
  <c r="AE124" i="16" s="1"/>
  <c r="AG124" i="16" s="1"/>
  <c r="BN129" i="14"/>
  <c r="BO129" i="14" s="1"/>
  <c r="BQ129" i="14" s="1"/>
  <c r="BA124" i="14"/>
  <c r="BD123" i="14"/>
  <c r="AO130" i="14"/>
  <c r="AR129" i="14"/>
  <c r="AC89" i="14"/>
  <c r="AF88" i="14"/>
  <c r="U21" i="14"/>
  <c r="T44" i="17" l="1"/>
  <c r="R43" i="18"/>
  <c r="S43" i="18" s="1"/>
  <c r="U43" i="18" s="1"/>
  <c r="Q44" i="18" s="1"/>
  <c r="T42" i="18"/>
  <c r="K25" i="19"/>
  <c r="F26" i="19"/>
  <c r="I25" i="19"/>
  <c r="R39" i="16"/>
  <c r="S39" i="16" s="1"/>
  <c r="U39" i="16" s="1"/>
  <c r="Q40" i="16" s="1"/>
  <c r="R45" i="17"/>
  <c r="S45" i="17" s="1"/>
  <c r="U45" i="17" s="1"/>
  <c r="Q46" i="17" s="1"/>
  <c r="T38" i="16"/>
  <c r="G26" i="14"/>
  <c r="H26" i="14" s="1"/>
  <c r="J26" i="14" s="1"/>
  <c r="F27" i="16"/>
  <c r="K26" i="16"/>
  <c r="I26" i="16"/>
  <c r="I28" i="18"/>
  <c r="F29" i="18"/>
  <c r="G29" i="18" s="1"/>
  <c r="K28" i="18"/>
  <c r="Y5" i="1" s="1"/>
  <c r="H29" i="17"/>
  <c r="J29" i="17" s="1"/>
  <c r="S29" i="19"/>
  <c r="U29" i="19" s="1"/>
  <c r="AC122" i="19"/>
  <c r="AO124" i="19"/>
  <c r="BM135" i="19"/>
  <c r="BP134" i="19"/>
  <c r="AR123" i="19"/>
  <c r="BB131" i="19"/>
  <c r="BC131" i="19" s="1"/>
  <c r="BE131" i="19" s="1"/>
  <c r="AF121" i="19"/>
  <c r="AO134" i="18"/>
  <c r="AR133" i="18"/>
  <c r="BN122" i="18"/>
  <c r="BO122" i="18" s="1"/>
  <c r="BQ122" i="18" s="1"/>
  <c r="AC121" i="18"/>
  <c r="BB120" i="18"/>
  <c r="BC120" i="18" s="1"/>
  <c r="BE120" i="18" s="1"/>
  <c r="AF120" i="18"/>
  <c r="AP121" i="17"/>
  <c r="AQ121" i="17" s="1"/>
  <c r="AS121" i="17" s="1"/>
  <c r="BM125" i="17"/>
  <c r="AD123" i="17"/>
  <c r="AE123" i="17" s="1"/>
  <c r="AG123" i="17" s="1"/>
  <c r="BP124" i="17"/>
  <c r="BB125" i="17"/>
  <c r="BC125" i="17" s="1"/>
  <c r="BE125" i="17" s="1"/>
  <c r="AC125" i="16"/>
  <c r="BA124" i="16"/>
  <c r="AO122" i="16"/>
  <c r="BN123" i="16"/>
  <c r="BO123" i="16" s="1"/>
  <c r="BQ123" i="16" s="1"/>
  <c r="BD123" i="16"/>
  <c r="AF124" i="16"/>
  <c r="AR121" i="16"/>
  <c r="BM130" i="14"/>
  <c r="BP129" i="14"/>
  <c r="BB124" i="14"/>
  <c r="BC124" i="14" s="1"/>
  <c r="BE124" i="14" s="1"/>
  <c r="AP130" i="14"/>
  <c r="AQ130" i="14" s="1"/>
  <c r="AS130" i="14" s="1"/>
  <c r="AD89" i="14"/>
  <c r="Q22" i="14"/>
  <c r="T21" i="14"/>
  <c r="T39" i="16" l="1"/>
  <c r="G26" i="19"/>
  <c r="H26" i="19" s="1"/>
  <c r="J26" i="19" s="1"/>
  <c r="R40" i="16"/>
  <c r="S40" i="16" s="1"/>
  <c r="U40" i="16" s="1"/>
  <c r="Q41" i="16" s="1"/>
  <c r="R46" i="17"/>
  <c r="S46" i="17" s="1"/>
  <c r="U46" i="17" s="1"/>
  <c r="Q47" i="17" s="1"/>
  <c r="R44" i="18"/>
  <c r="T45" i="17"/>
  <c r="T43" i="18"/>
  <c r="G27" i="16"/>
  <c r="H27" i="16" s="1"/>
  <c r="J27" i="16" s="1"/>
  <c r="F27" i="14"/>
  <c r="K26" i="14"/>
  <c r="I26" i="14"/>
  <c r="H29" i="18"/>
  <c r="J29" i="18" s="1"/>
  <c r="I29" i="17"/>
  <c r="F30" i="17"/>
  <c r="K29" i="17"/>
  <c r="T29" i="19"/>
  <c r="Q30" i="19"/>
  <c r="R30" i="19" s="1"/>
  <c r="C29" i="15"/>
  <c r="E29" i="15" s="1"/>
  <c r="BN135" i="19"/>
  <c r="BO135" i="19" s="1"/>
  <c r="BQ135" i="19" s="1"/>
  <c r="AP124" i="19"/>
  <c r="BA132" i="19"/>
  <c r="BD131" i="19"/>
  <c r="AD122" i="19"/>
  <c r="AE122" i="19" s="1"/>
  <c r="AG122" i="19" s="1"/>
  <c r="BA121" i="18"/>
  <c r="BM123" i="18"/>
  <c r="BD120" i="18"/>
  <c r="BP122" i="18"/>
  <c r="AD121" i="18"/>
  <c r="AE121" i="18" s="1"/>
  <c r="AG121" i="18" s="1"/>
  <c r="AP134" i="18"/>
  <c r="AQ134" i="18" s="1"/>
  <c r="AS134" i="18" s="1"/>
  <c r="AC124" i="17"/>
  <c r="AF123" i="17"/>
  <c r="BN125" i="17"/>
  <c r="BO125" i="17" s="1"/>
  <c r="BQ125" i="17" s="1"/>
  <c r="BA126" i="17"/>
  <c r="BD125" i="17"/>
  <c r="AO122" i="17"/>
  <c r="AR121" i="17"/>
  <c r="AP122" i="16"/>
  <c r="AQ122" i="16" s="1"/>
  <c r="AS122" i="16" s="1"/>
  <c r="BB124" i="16"/>
  <c r="BC124" i="16" s="1"/>
  <c r="BE124" i="16" s="1"/>
  <c r="BM124" i="16"/>
  <c r="AD125" i="16"/>
  <c r="AE125" i="16" s="1"/>
  <c r="AG125" i="16" s="1"/>
  <c r="BP123" i="16"/>
  <c r="BN130" i="14"/>
  <c r="BO130" i="14" s="1"/>
  <c r="BQ130" i="14" s="1"/>
  <c r="BA125" i="14"/>
  <c r="BD124" i="14"/>
  <c r="AO131" i="14"/>
  <c r="AR130" i="14"/>
  <c r="AE89" i="14"/>
  <c r="AG89" i="14" s="1"/>
  <c r="R22" i="14"/>
  <c r="S22" i="14" s="1"/>
  <c r="T46" i="17" l="1"/>
  <c r="R47" i="17"/>
  <c r="S47" i="17" s="1"/>
  <c r="U47" i="17" s="1"/>
  <c r="Q48" i="17" s="1"/>
  <c r="R41" i="16"/>
  <c r="S41" i="16" s="1"/>
  <c r="U41" i="16" s="1"/>
  <c r="Q42" i="16" s="1"/>
  <c r="T40" i="16"/>
  <c r="K26" i="19"/>
  <c r="F27" i="19"/>
  <c r="I26" i="19"/>
  <c r="S44" i="18"/>
  <c r="U44" i="18" s="1"/>
  <c r="Q45" i="18" s="1"/>
  <c r="G27" i="14"/>
  <c r="H27" i="14" s="1"/>
  <c r="J27" i="14" s="1"/>
  <c r="F28" i="16"/>
  <c r="G28" i="16" s="1"/>
  <c r="K27" i="16"/>
  <c r="I27" i="16"/>
  <c r="I29" i="18"/>
  <c r="K29" i="18"/>
  <c r="F30" i="18"/>
  <c r="G30" i="17"/>
  <c r="H30" i="17" s="1"/>
  <c r="J30" i="17" s="1"/>
  <c r="S30" i="19"/>
  <c r="U30" i="19" s="1"/>
  <c r="AF122" i="19"/>
  <c r="BB132" i="19"/>
  <c r="BC132" i="19" s="1"/>
  <c r="BE132" i="19" s="1"/>
  <c r="BM136" i="19"/>
  <c r="AC123" i="19"/>
  <c r="BP135" i="19"/>
  <c r="AQ124" i="19"/>
  <c r="AS124" i="19" s="1"/>
  <c r="AO135" i="18"/>
  <c r="AF121" i="18"/>
  <c r="BN123" i="18"/>
  <c r="BO123" i="18" s="1"/>
  <c r="BQ123" i="18" s="1"/>
  <c r="AC122" i="18"/>
  <c r="AR134" i="18"/>
  <c r="BB121" i="18"/>
  <c r="BC121" i="18" s="1"/>
  <c r="BE121" i="18" s="1"/>
  <c r="BM126" i="17"/>
  <c r="BP125" i="17"/>
  <c r="AP122" i="17"/>
  <c r="AQ122" i="17" s="1"/>
  <c r="AS122" i="17" s="1"/>
  <c r="BB126" i="17"/>
  <c r="BC126" i="17" s="1"/>
  <c r="BE126" i="17" s="1"/>
  <c r="AD124" i="17"/>
  <c r="AE124" i="17" s="1"/>
  <c r="AG124" i="17" s="1"/>
  <c r="BA125" i="16"/>
  <c r="BD124" i="16"/>
  <c r="AO123" i="16"/>
  <c r="AF125" i="16"/>
  <c r="AR122" i="16"/>
  <c r="AC126" i="16"/>
  <c r="BN124" i="16"/>
  <c r="BO124" i="16" s="1"/>
  <c r="BQ124" i="16" s="1"/>
  <c r="BM131" i="14"/>
  <c r="BP130" i="14"/>
  <c r="BB125" i="14"/>
  <c r="BC125" i="14" s="1"/>
  <c r="BE125" i="14" s="1"/>
  <c r="AP131" i="14"/>
  <c r="AQ131" i="14" s="1"/>
  <c r="AS131" i="14" s="1"/>
  <c r="AC90" i="14"/>
  <c r="AF89" i="14"/>
  <c r="U22" i="14"/>
  <c r="G27" i="19" l="1"/>
  <c r="H27" i="19" s="1"/>
  <c r="J27" i="19" s="1"/>
  <c r="R42" i="16"/>
  <c r="S42" i="16" s="1"/>
  <c r="U42" i="16" s="1"/>
  <c r="Q43" i="16" s="1"/>
  <c r="T41" i="16"/>
  <c r="R45" i="18"/>
  <c r="S45" i="18" s="1"/>
  <c r="U45" i="18" s="1"/>
  <c r="Q46" i="18" s="1"/>
  <c r="R48" i="17"/>
  <c r="T47" i="17"/>
  <c r="T44" i="18"/>
  <c r="H28" i="16"/>
  <c r="J28" i="16" s="1"/>
  <c r="F28" i="14"/>
  <c r="K27" i="14"/>
  <c r="I27" i="14"/>
  <c r="G30" i="18"/>
  <c r="H30" i="18" s="1"/>
  <c r="J30" i="18" s="1"/>
  <c r="K30" i="17"/>
  <c r="F31" i="17"/>
  <c r="I30" i="17"/>
  <c r="T30" i="19"/>
  <c r="Q31" i="19"/>
  <c r="R31" i="19" s="1"/>
  <c r="C30" i="15"/>
  <c r="E30" i="15" s="1"/>
  <c r="BA133" i="19"/>
  <c r="AO125" i="19"/>
  <c r="BD132" i="19"/>
  <c r="BN136" i="19"/>
  <c r="BO136" i="19" s="1"/>
  <c r="BQ136" i="19" s="1"/>
  <c r="AD123" i="19"/>
  <c r="AE123" i="19" s="1"/>
  <c r="AG123" i="19" s="1"/>
  <c r="AR124" i="19"/>
  <c r="BA122" i="18"/>
  <c r="BM124" i="18"/>
  <c r="BP123" i="18"/>
  <c r="BD121" i="18"/>
  <c r="AD122" i="18"/>
  <c r="AE122" i="18" s="1"/>
  <c r="AG122" i="18" s="1"/>
  <c r="AP135" i="18"/>
  <c r="AQ135" i="18" s="1"/>
  <c r="AS135" i="18" s="1"/>
  <c r="AC125" i="17"/>
  <c r="AF124" i="17"/>
  <c r="BA127" i="17"/>
  <c r="BD126" i="17"/>
  <c r="AO123" i="17"/>
  <c r="BN126" i="17"/>
  <c r="AR122" i="17"/>
  <c r="BP124" i="16"/>
  <c r="AP123" i="16"/>
  <c r="AQ123" i="16" s="1"/>
  <c r="AS123" i="16" s="1"/>
  <c r="AD126" i="16"/>
  <c r="AE126" i="16" s="1"/>
  <c r="AG126" i="16" s="1"/>
  <c r="BM125" i="16"/>
  <c r="BB125" i="16"/>
  <c r="BC125" i="16" s="1"/>
  <c r="BE125" i="16" s="1"/>
  <c r="BN131" i="14"/>
  <c r="BO131" i="14" s="1"/>
  <c r="BQ131" i="14" s="1"/>
  <c r="BA126" i="14"/>
  <c r="BD125" i="14"/>
  <c r="AO132" i="14"/>
  <c r="AR131" i="14"/>
  <c r="AD90" i="14"/>
  <c r="Q23" i="14"/>
  <c r="T22" i="14"/>
  <c r="I28" i="16" l="1"/>
  <c r="R46" i="18"/>
  <c r="S46" i="18" s="1"/>
  <c r="U46" i="18" s="1"/>
  <c r="Q47" i="18" s="1"/>
  <c r="R47" i="18" s="1"/>
  <c r="R43" i="16"/>
  <c r="S43" i="16" s="1"/>
  <c r="U43" i="16" s="1"/>
  <c r="Q44" i="16" s="1"/>
  <c r="T45" i="18"/>
  <c r="T42" i="16"/>
  <c r="K27" i="19"/>
  <c r="F28" i="19"/>
  <c r="S48" i="17"/>
  <c r="U48" i="17" s="1"/>
  <c r="Q49" i="17" s="1"/>
  <c r="I27" i="19"/>
  <c r="G28" i="14"/>
  <c r="H28" i="14" s="1"/>
  <c r="J28" i="14" s="1"/>
  <c r="K28" i="16"/>
  <c r="S5" i="1" s="1"/>
  <c r="F29" i="16"/>
  <c r="G29" i="16" s="1"/>
  <c r="F31" i="18"/>
  <c r="G31" i="18" s="1"/>
  <c r="K30" i="18"/>
  <c r="I30" i="18"/>
  <c r="G31" i="17"/>
  <c r="H31" i="17" s="1"/>
  <c r="J31" i="17" s="1"/>
  <c r="S31" i="19"/>
  <c r="U31" i="19" s="1"/>
  <c r="AC124" i="19"/>
  <c r="AF123" i="19"/>
  <c r="BM137" i="19"/>
  <c r="BP136" i="19"/>
  <c r="AP125" i="19"/>
  <c r="AQ125" i="19" s="1"/>
  <c r="AS125" i="19" s="1"/>
  <c r="BB133" i="19"/>
  <c r="BC133" i="19" s="1"/>
  <c r="BE133" i="19" s="1"/>
  <c r="AC123" i="18"/>
  <c r="AO136" i="18"/>
  <c r="AR135" i="18"/>
  <c r="BN124" i="18"/>
  <c r="BO124" i="18" s="1"/>
  <c r="BQ124" i="18" s="1"/>
  <c r="AF122" i="18"/>
  <c r="BB122" i="18"/>
  <c r="BC122" i="18" s="1"/>
  <c r="BE122" i="18" s="1"/>
  <c r="AD125" i="17"/>
  <c r="AE125" i="17" s="1"/>
  <c r="AG125" i="17" s="1"/>
  <c r="BO126" i="17"/>
  <c r="BQ126" i="17" s="1"/>
  <c r="AP123" i="17"/>
  <c r="AQ123" i="17" s="1"/>
  <c r="AS123" i="17" s="1"/>
  <c r="BB127" i="17"/>
  <c r="BC127" i="17" s="1"/>
  <c r="BE127" i="17" s="1"/>
  <c r="AO124" i="16"/>
  <c r="AC127" i="16"/>
  <c r="BN125" i="16"/>
  <c r="BO125" i="16" s="1"/>
  <c r="BQ125" i="16" s="1"/>
  <c r="AF126" i="16"/>
  <c r="BA126" i="16"/>
  <c r="AR123" i="16"/>
  <c r="BD125" i="16"/>
  <c r="BM132" i="14"/>
  <c r="BP131" i="14"/>
  <c r="BB126" i="14"/>
  <c r="BC126" i="14" s="1"/>
  <c r="BE126" i="14" s="1"/>
  <c r="AP132" i="14"/>
  <c r="AQ132" i="14" s="1"/>
  <c r="AS132" i="14" s="1"/>
  <c r="AE90" i="14"/>
  <c r="AG90" i="14" s="1"/>
  <c r="R23" i="14"/>
  <c r="S23" i="14" s="1"/>
  <c r="S47" i="18" l="1"/>
  <c r="U47" i="18" s="1"/>
  <c r="Q48" i="18" s="1"/>
  <c r="R49" i="17"/>
  <c r="S49" i="17" s="1"/>
  <c r="U49" i="17" s="1"/>
  <c r="Q50" i="17" s="1"/>
  <c r="R44" i="16"/>
  <c r="S44" i="16" s="1"/>
  <c r="U44" i="16" s="1"/>
  <c r="Q45" i="16" s="1"/>
  <c r="T43" i="16"/>
  <c r="T46" i="18"/>
  <c r="G28" i="19"/>
  <c r="H28" i="19" s="1"/>
  <c r="J28" i="19" s="1"/>
  <c r="T48" i="17"/>
  <c r="K28" i="14"/>
  <c r="P5" i="1" s="1"/>
  <c r="F29" i="14"/>
  <c r="H29" i="16"/>
  <c r="J29" i="16" s="1"/>
  <c r="I28" i="14"/>
  <c r="H31" i="18"/>
  <c r="J31" i="18" s="1"/>
  <c r="F32" i="17"/>
  <c r="K31" i="17"/>
  <c r="I31" i="17"/>
  <c r="Q32" i="19"/>
  <c r="R32" i="19" s="1"/>
  <c r="C31" i="15"/>
  <c r="E31" i="15" s="1"/>
  <c r="T31" i="19"/>
  <c r="BA134" i="19"/>
  <c r="BN137" i="19"/>
  <c r="BO137" i="19" s="1"/>
  <c r="BQ137" i="19" s="1"/>
  <c r="BD133" i="19"/>
  <c r="AO126" i="19"/>
  <c r="AD124" i="19"/>
  <c r="AE124" i="19" s="1"/>
  <c r="AG124" i="19" s="1"/>
  <c r="AR125" i="19"/>
  <c r="BA123" i="18"/>
  <c r="BD122" i="18"/>
  <c r="AP136" i="18"/>
  <c r="AQ136" i="18" s="1"/>
  <c r="AS136" i="18" s="1"/>
  <c r="BM125" i="18"/>
  <c r="BP124" i="18"/>
  <c r="AD123" i="18"/>
  <c r="AE123" i="18" s="1"/>
  <c r="AG123" i="18" s="1"/>
  <c r="AO124" i="17"/>
  <c r="AR123" i="17"/>
  <c r="BA128" i="17"/>
  <c r="BM127" i="17"/>
  <c r="BD127" i="17"/>
  <c r="AC126" i="17"/>
  <c r="AF125" i="17"/>
  <c r="BP126" i="17"/>
  <c r="BP125" i="16"/>
  <c r="BB126" i="16"/>
  <c r="BC126" i="16" s="1"/>
  <c r="BE126" i="16" s="1"/>
  <c r="AD127" i="16"/>
  <c r="AE127" i="16" s="1"/>
  <c r="AG127" i="16" s="1"/>
  <c r="BM126" i="16"/>
  <c r="AP124" i="16"/>
  <c r="AQ124" i="16" s="1"/>
  <c r="AS124" i="16" s="1"/>
  <c r="BN132" i="14"/>
  <c r="BO132" i="14" s="1"/>
  <c r="BQ132" i="14" s="1"/>
  <c r="BA127" i="14"/>
  <c r="BD126" i="14"/>
  <c r="AO133" i="14"/>
  <c r="AR132" i="14"/>
  <c r="AC91" i="14"/>
  <c r="AF90" i="14"/>
  <c r="U23" i="14"/>
  <c r="T47" i="18" l="1"/>
  <c r="R45" i="16"/>
  <c r="S45" i="16" s="1"/>
  <c r="U45" i="16" s="1"/>
  <c r="Q46" i="16" s="1"/>
  <c r="T44" i="16"/>
  <c r="R50" i="17"/>
  <c r="S50" i="17" s="1"/>
  <c r="U50" i="17" s="1"/>
  <c r="Q51" i="17" s="1"/>
  <c r="T49" i="17"/>
  <c r="F29" i="19"/>
  <c r="K28" i="19"/>
  <c r="AB5" i="1" s="1"/>
  <c r="I28" i="19"/>
  <c r="R48" i="18"/>
  <c r="S48" i="18" s="1"/>
  <c r="U48" i="18" s="1"/>
  <c r="Q49" i="18" s="1"/>
  <c r="I29" i="16"/>
  <c r="F30" i="16"/>
  <c r="G30" i="16" s="1"/>
  <c r="K29" i="16"/>
  <c r="G29" i="14"/>
  <c r="H29" i="14" s="1"/>
  <c r="J29" i="14" s="1"/>
  <c r="I31" i="18"/>
  <c r="F32" i="18"/>
  <c r="G32" i="18" s="1"/>
  <c r="K31" i="18"/>
  <c r="G32" i="17"/>
  <c r="H32" i="17" s="1"/>
  <c r="J32" i="17" s="1"/>
  <c r="S32" i="19"/>
  <c r="U32" i="19" s="1"/>
  <c r="AC125" i="19"/>
  <c r="AF124" i="19"/>
  <c r="AP126" i="19"/>
  <c r="AQ126" i="19" s="1"/>
  <c r="AS126" i="19" s="1"/>
  <c r="BM138" i="19"/>
  <c r="BP137" i="19"/>
  <c r="BB134" i="19"/>
  <c r="BC134" i="19" s="1"/>
  <c r="BE134" i="19" s="1"/>
  <c r="AO137" i="18"/>
  <c r="AF123" i="18"/>
  <c r="BN125" i="18"/>
  <c r="BO125" i="18" s="1"/>
  <c r="BQ125" i="18" s="1"/>
  <c r="BB123" i="18"/>
  <c r="AR136" i="18"/>
  <c r="AC124" i="18"/>
  <c r="BB128" i="17"/>
  <c r="BC128" i="17" s="1"/>
  <c r="BE128" i="17" s="1"/>
  <c r="AD126" i="17"/>
  <c r="AE126" i="17" s="1"/>
  <c r="AG126" i="17" s="1"/>
  <c r="AP124" i="17"/>
  <c r="AQ124" i="17" s="1"/>
  <c r="AS124" i="17" s="1"/>
  <c r="BN127" i="17"/>
  <c r="BO127" i="17" s="1"/>
  <c r="BQ127" i="17" s="1"/>
  <c r="BA127" i="16"/>
  <c r="AO125" i="16"/>
  <c r="AR124" i="16"/>
  <c r="BN126" i="16"/>
  <c r="BO126" i="16" s="1"/>
  <c r="BQ126" i="16" s="1"/>
  <c r="BD126" i="16"/>
  <c r="AC128" i="16"/>
  <c r="AF127" i="16"/>
  <c r="BM133" i="14"/>
  <c r="BP132" i="14"/>
  <c r="BB127" i="14"/>
  <c r="BC127" i="14" s="1"/>
  <c r="BE127" i="14" s="1"/>
  <c r="AP133" i="14"/>
  <c r="AQ133" i="14" s="1"/>
  <c r="AS133" i="14" s="1"/>
  <c r="AD91" i="14"/>
  <c r="Q24" i="14"/>
  <c r="T23" i="14"/>
  <c r="R46" i="16" l="1"/>
  <c r="S46" i="16" s="1"/>
  <c r="U46" i="16" s="1"/>
  <c r="Q47" i="16" s="1"/>
  <c r="G29" i="19"/>
  <c r="H29" i="19" s="1"/>
  <c r="J29" i="19" s="1"/>
  <c r="R51" i="17"/>
  <c r="S51" i="17" s="1"/>
  <c r="U51" i="17" s="1"/>
  <c r="Q52" i="17" s="1"/>
  <c r="R49" i="18"/>
  <c r="S49" i="18" s="1"/>
  <c r="U49" i="18" s="1"/>
  <c r="Q50" i="18" s="1"/>
  <c r="T50" i="17"/>
  <c r="T48" i="18"/>
  <c r="T45" i="16"/>
  <c r="F30" i="14"/>
  <c r="K29" i="14"/>
  <c r="I29" i="14"/>
  <c r="H30" i="16"/>
  <c r="J30" i="16" s="1"/>
  <c r="H32" i="18"/>
  <c r="J32" i="18" s="1"/>
  <c r="K32" i="17"/>
  <c r="F33" i="17"/>
  <c r="G33" i="17" s="1"/>
  <c r="I32" i="17"/>
  <c r="T32" i="19"/>
  <c r="Q33" i="19"/>
  <c r="R33" i="19" s="1"/>
  <c r="C32" i="15"/>
  <c r="E32" i="15" s="1"/>
  <c r="AO127" i="19"/>
  <c r="AR126" i="19"/>
  <c r="BD134" i="19"/>
  <c r="AD125" i="19"/>
  <c r="AE125" i="19" s="1"/>
  <c r="AG125" i="19" s="1"/>
  <c r="BA135" i="19"/>
  <c r="BN138" i="19"/>
  <c r="BO138" i="19" s="1"/>
  <c r="BQ138" i="19" s="1"/>
  <c r="BM126" i="18"/>
  <c r="BP125" i="18"/>
  <c r="AD124" i="18"/>
  <c r="AE124" i="18" s="1"/>
  <c r="AG124" i="18" s="1"/>
  <c r="BC123" i="18"/>
  <c r="BE123" i="18" s="1"/>
  <c r="AP137" i="18"/>
  <c r="AQ137" i="18" s="1"/>
  <c r="AS137" i="18" s="1"/>
  <c r="AC127" i="17"/>
  <c r="BP127" i="17"/>
  <c r="BA129" i="17"/>
  <c r="BM128" i="17"/>
  <c r="BD128" i="17"/>
  <c r="AO125" i="17"/>
  <c r="AF126" i="17"/>
  <c r="AR124" i="17"/>
  <c r="AD128" i="16"/>
  <c r="AE128" i="16" s="1"/>
  <c r="AG128" i="16" s="1"/>
  <c r="BM127" i="16"/>
  <c r="BP126" i="16"/>
  <c r="AP125" i="16"/>
  <c r="BB127" i="16"/>
  <c r="BC127" i="16" s="1"/>
  <c r="BE127" i="16" s="1"/>
  <c r="BN133" i="14"/>
  <c r="BO133" i="14" s="1"/>
  <c r="BQ133" i="14" s="1"/>
  <c r="BA128" i="14"/>
  <c r="BD127" i="14"/>
  <c r="AO134" i="14"/>
  <c r="AR133" i="14"/>
  <c r="AE91" i="14"/>
  <c r="AG91" i="14" s="1"/>
  <c r="R24" i="14"/>
  <c r="S24" i="14" s="1"/>
  <c r="R50" i="18" l="1"/>
  <c r="S50" i="18" s="1"/>
  <c r="U50" i="18" s="1"/>
  <c r="Q51" i="18" s="1"/>
  <c r="R51" i="18" s="1"/>
  <c r="T49" i="18"/>
  <c r="R52" i="17"/>
  <c r="S52" i="17" s="1"/>
  <c r="U52" i="17" s="1"/>
  <c r="Q53" i="17" s="1"/>
  <c r="T51" i="17"/>
  <c r="K29" i="19"/>
  <c r="F30" i="19"/>
  <c r="I29" i="19"/>
  <c r="R47" i="16"/>
  <c r="S47" i="16" s="1"/>
  <c r="U47" i="16" s="1"/>
  <c r="Q48" i="16" s="1"/>
  <c r="T46" i="16"/>
  <c r="I30" i="16"/>
  <c r="F31" i="16"/>
  <c r="G31" i="16" s="1"/>
  <c r="K30" i="16"/>
  <c r="G30" i="14"/>
  <c r="H30" i="14" s="1"/>
  <c r="J30" i="14" s="1"/>
  <c r="I32" i="18"/>
  <c r="F33" i="18"/>
  <c r="G33" i="18" s="1"/>
  <c r="K32" i="18"/>
  <c r="H33" i="17"/>
  <c r="J33" i="17" s="1"/>
  <c r="S33" i="19"/>
  <c r="U33" i="19" s="1"/>
  <c r="BM139" i="19"/>
  <c r="BP138" i="19"/>
  <c r="BB135" i="19"/>
  <c r="BC135" i="19" s="1"/>
  <c r="BE135" i="19" s="1"/>
  <c r="AC126" i="19"/>
  <c r="AF125" i="19"/>
  <c r="AP127" i="19"/>
  <c r="AQ127" i="19" s="1"/>
  <c r="AS127" i="19" s="1"/>
  <c r="AC125" i="18"/>
  <c r="AR137" i="18"/>
  <c r="BA124" i="18"/>
  <c r="AF124" i="18"/>
  <c r="AO138" i="18"/>
  <c r="BD123" i="18"/>
  <c r="BN126" i="18"/>
  <c r="BO126" i="18" s="1"/>
  <c r="BQ126" i="18" s="1"/>
  <c r="BB129" i="17"/>
  <c r="BC129" i="17" s="1"/>
  <c r="BE129" i="17" s="1"/>
  <c r="AP125" i="17"/>
  <c r="AQ125" i="17" s="1"/>
  <c r="AS125" i="17" s="1"/>
  <c r="BN128" i="17"/>
  <c r="AD127" i="17"/>
  <c r="AE127" i="17" s="1"/>
  <c r="AG127" i="17" s="1"/>
  <c r="BD127" i="16"/>
  <c r="BN127" i="16"/>
  <c r="BO127" i="16" s="1"/>
  <c r="BQ127" i="16" s="1"/>
  <c r="AC129" i="16"/>
  <c r="AF128" i="16"/>
  <c r="BA128" i="16"/>
  <c r="AQ125" i="16"/>
  <c r="AS125" i="16" s="1"/>
  <c r="BM134" i="14"/>
  <c r="BP133" i="14"/>
  <c r="BB128" i="14"/>
  <c r="BC128" i="14" s="1"/>
  <c r="BE128" i="14" s="1"/>
  <c r="AP134" i="14"/>
  <c r="AC92" i="14"/>
  <c r="AF91" i="14"/>
  <c r="U24" i="14"/>
  <c r="R48" i="16" l="1"/>
  <c r="S48" i="16" s="1"/>
  <c r="U48" i="16" s="1"/>
  <c r="Q49" i="16" s="1"/>
  <c r="R53" i="17"/>
  <c r="S53" i="17" s="1"/>
  <c r="U53" i="17" s="1"/>
  <c r="Q54" i="17" s="1"/>
  <c r="T52" i="17"/>
  <c r="T47" i="16"/>
  <c r="S51" i="18"/>
  <c r="U51" i="18" s="1"/>
  <c r="Q52" i="18" s="1"/>
  <c r="G30" i="19"/>
  <c r="H30" i="19" s="1"/>
  <c r="J30" i="19" s="1"/>
  <c r="T50" i="18"/>
  <c r="F31" i="14"/>
  <c r="K30" i="14"/>
  <c r="I30" i="14"/>
  <c r="H31" i="16"/>
  <c r="J31" i="16" s="1"/>
  <c r="H33" i="18"/>
  <c r="J33" i="18" s="1"/>
  <c r="I33" i="17"/>
  <c r="F34" i="17"/>
  <c r="K33" i="17"/>
  <c r="T33" i="19"/>
  <c r="Q34" i="19"/>
  <c r="R34" i="19" s="1"/>
  <c r="C33" i="15"/>
  <c r="E33" i="15" s="1"/>
  <c r="BA136" i="19"/>
  <c r="AO128" i="19"/>
  <c r="BD135" i="19"/>
  <c r="AR127" i="19"/>
  <c r="AD126" i="19"/>
  <c r="AE126" i="19" s="1"/>
  <c r="AG126" i="19" s="1"/>
  <c r="BN139" i="19"/>
  <c r="BO139" i="19" s="1"/>
  <c r="BQ139" i="19" s="1"/>
  <c r="BM127" i="18"/>
  <c r="BB124" i="18"/>
  <c r="BC124" i="18" s="1"/>
  <c r="BE124" i="18" s="1"/>
  <c r="BP126" i="18"/>
  <c r="AP138" i="18"/>
  <c r="AQ138" i="18" s="1"/>
  <c r="AS138" i="18" s="1"/>
  <c r="AD125" i="18"/>
  <c r="AE125" i="18" s="1"/>
  <c r="AG125" i="18" s="1"/>
  <c r="AR125" i="17"/>
  <c r="BA130" i="17"/>
  <c r="AC128" i="17"/>
  <c r="BD129" i="17"/>
  <c r="AO126" i="17"/>
  <c r="AF127" i="17"/>
  <c r="BO128" i="17"/>
  <c r="BQ128" i="17" s="1"/>
  <c r="AO126" i="16"/>
  <c r="AD129" i="16"/>
  <c r="AE129" i="16" s="1"/>
  <c r="AG129" i="16" s="1"/>
  <c r="BB128" i="16"/>
  <c r="BC128" i="16" s="1"/>
  <c r="BE128" i="16" s="1"/>
  <c r="BM128" i="16"/>
  <c r="BP127" i="16"/>
  <c r="AR125" i="16"/>
  <c r="BN134" i="14"/>
  <c r="BO134" i="14" s="1"/>
  <c r="BQ134" i="14" s="1"/>
  <c r="BA129" i="14"/>
  <c r="BD128" i="14"/>
  <c r="AQ134" i="14"/>
  <c r="AS134" i="14" s="1"/>
  <c r="AO135" i="14" s="1"/>
  <c r="AD92" i="14"/>
  <c r="Q25" i="14"/>
  <c r="T24" i="14"/>
  <c r="T51" i="18" l="1"/>
  <c r="R52" i="18"/>
  <c r="S52" i="18" s="1"/>
  <c r="U52" i="18" s="1"/>
  <c r="Q53" i="18" s="1"/>
  <c r="R54" i="17"/>
  <c r="S54" i="17" s="1"/>
  <c r="U54" i="17" s="1"/>
  <c r="Q55" i="17" s="1"/>
  <c r="R55" i="17" s="1"/>
  <c r="T53" i="17"/>
  <c r="K30" i="19"/>
  <c r="F31" i="19"/>
  <c r="R49" i="16"/>
  <c r="I30" i="19"/>
  <c r="T48" i="16"/>
  <c r="I31" i="16"/>
  <c r="F32" i="16"/>
  <c r="G32" i="16" s="1"/>
  <c r="K31" i="16"/>
  <c r="G31" i="14"/>
  <c r="H31" i="14" s="1"/>
  <c r="J31" i="14" s="1"/>
  <c r="I33" i="18"/>
  <c r="F34" i="18"/>
  <c r="K33" i="18"/>
  <c r="G34" i="17"/>
  <c r="H34" i="17" s="1"/>
  <c r="J34" i="17" s="1"/>
  <c r="S34" i="19"/>
  <c r="U34" i="19" s="1"/>
  <c r="BM140" i="19"/>
  <c r="BP139" i="19"/>
  <c r="AP128" i="19"/>
  <c r="AQ128" i="19" s="1"/>
  <c r="AS128" i="19" s="1"/>
  <c r="AC127" i="19"/>
  <c r="AF126" i="19"/>
  <c r="BB136" i="19"/>
  <c r="BC136" i="19" s="1"/>
  <c r="BE136" i="19" s="1"/>
  <c r="BA125" i="18"/>
  <c r="AC126" i="18"/>
  <c r="BD124" i="18"/>
  <c r="AF125" i="18"/>
  <c r="AO139" i="18"/>
  <c r="AR138" i="18"/>
  <c r="BN127" i="18"/>
  <c r="BO127" i="18" s="1"/>
  <c r="BQ127" i="18" s="1"/>
  <c r="BM129" i="17"/>
  <c r="AP126" i="17"/>
  <c r="AQ126" i="17" s="1"/>
  <c r="AS126" i="17" s="1"/>
  <c r="AD128" i="17"/>
  <c r="AE128" i="17" s="1"/>
  <c r="AG128" i="17" s="1"/>
  <c r="BB130" i="17"/>
  <c r="BC130" i="17" s="1"/>
  <c r="BE130" i="17" s="1"/>
  <c r="BP128" i="17"/>
  <c r="AC130" i="16"/>
  <c r="BD128" i="16"/>
  <c r="AF129" i="16"/>
  <c r="BA129" i="16"/>
  <c r="AP126" i="16"/>
  <c r="AQ126" i="16" s="1"/>
  <c r="AS126" i="16" s="1"/>
  <c r="BN128" i="16"/>
  <c r="BO128" i="16" s="1"/>
  <c r="BQ128" i="16" s="1"/>
  <c r="BM135" i="14"/>
  <c r="BP134" i="14"/>
  <c r="BB129" i="14"/>
  <c r="BC129" i="14" s="1"/>
  <c r="BE129" i="14" s="1"/>
  <c r="AR134" i="14"/>
  <c r="AP135" i="14"/>
  <c r="AQ135" i="14" s="1"/>
  <c r="AS135" i="14" s="1"/>
  <c r="AE92" i="14"/>
  <c r="AG92" i="14" s="1"/>
  <c r="R25" i="14"/>
  <c r="S25" i="14" s="1"/>
  <c r="G31" i="19" l="1"/>
  <c r="H31" i="19" s="1"/>
  <c r="J31" i="19" s="1"/>
  <c r="S55" i="17"/>
  <c r="U55" i="17" s="1"/>
  <c r="Q56" i="17" s="1"/>
  <c r="T54" i="17"/>
  <c r="R53" i="18"/>
  <c r="S53" i="18" s="1"/>
  <c r="U53" i="18" s="1"/>
  <c r="Q54" i="18" s="1"/>
  <c r="S49" i="16"/>
  <c r="U49" i="16" s="1"/>
  <c r="Q50" i="16" s="1"/>
  <c r="T52" i="18"/>
  <c r="F32" i="14"/>
  <c r="K31" i="14"/>
  <c r="I31" i="14"/>
  <c r="H32" i="16"/>
  <c r="J32" i="16" s="1"/>
  <c r="G34" i="18"/>
  <c r="H34" i="18" s="1"/>
  <c r="J34" i="18" s="1"/>
  <c r="F35" i="17"/>
  <c r="K34" i="17"/>
  <c r="I34" i="17"/>
  <c r="Q35" i="19"/>
  <c r="R35" i="19" s="1"/>
  <c r="C34" i="15"/>
  <c r="E34" i="15" s="1"/>
  <c r="T34" i="19"/>
  <c r="AO129" i="19"/>
  <c r="AD127" i="19"/>
  <c r="AE127" i="19" s="1"/>
  <c r="AG127" i="19" s="1"/>
  <c r="AR128" i="19"/>
  <c r="BD136" i="19"/>
  <c r="BA137" i="19"/>
  <c r="BN140" i="19"/>
  <c r="BO140" i="19" s="1"/>
  <c r="BQ140" i="19" s="1"/>
  <c r="BM128" i="18"/>
  <c r="AP139" i="18"/>
  <c r="AQ139" i="18" s="1"/>
  <c r="AS139" i="18" s="1"/>
  <c r="AD126" i="18"/>
  <c r="BP127" i="18"/>
  <c r="BB125" i="18"/>
  <c r="BC125" i="18" s="1"/>
  <c r="BE125" i="18" s="1"/>
  <c r="AC129" i="17"/>
  <c r="AF128" i="17"/>
  <c r="AO127" i="17"/>
  <c r="AR126" i="17"/>
  <c r="BA131" i="17"/>
  <c r="BD130" i="17"/>
  <c r="BN129" i="17"/>
  <c r="BP128" i="16"/>
  <c r="BB129" i="16"/>
  <c r="BC129" i="16" s="1"/>
  <c r="BE129" i="16" s="1"/>
  <c r="BM129" i="16"/>
  <c r="AO127" i="16"/>
  <c r="AD130" i="16"/>
  <c r="AE130" i="16" s="1"/>
  <c r="AG130" i="16" s="1"/>
  <c r="AR126" i="16"/>
  <c r="BN135" i="14"/>
  <c r="BO135" i="14" s="1"/>
  <c r="BQ135" i="14" s="1"/>
  <c r="BA130" i="14"/>
  <c r="BD129" i="14"/>
  <c r="AO136" i="14"/>
  <c r="AR135" i="14"/>
  <c r="AC93" i="14"/>
  <c r="AF92" i="14"/>
  <c r="U25" i="14"/>
  <c r="R54" i="18" l="1"/>
  <c r="S54" i="18" s="1"/>
  <c r="U54" i="18" s="1"/>
  <c r="Q55" i="18" s="1"/>
  <c r="T53" i="18"/>
  <c r="T55" i="17"/>
  <c r="R56" i="17"/>
  <c r="S56" i="17" s="1"/>
  <c r="U56" i="17" s="1"/>
  <c r="Q57" i="17" s="1"/>
  <c r="I32" i="16"/>
  <c r="K31" i="19"/>
  <c r="F32" i="19"/>
  <c r="G32" i="19" s="1"/>
  <c r="I31" i="19"/>
  <c r="R50" i="16"/>
  <c r="S50" i="16" s="1"/>
  <c r="U50" i="16" s="1"/>
  <c r="Q51" i="16" s="1"/>
  <c r="T49" i="16"/>
  <c r="F33" i="16"/>
  <c r="G33" i="16" s="1"/>
  <c r="K32" i="16"/>
  <c r="G32" i="14"/>
  <c r="H32" i="14" s="1"/>
  <c r="J32" i="14" s="1"/>
  <c r="F35" i="18"/>
  <c r="G35" i="18" s="1"/>
  <c r="K34" i="18"/>
  <c r="I34" i="18"/>
  <c r="G35" i="17"/>
  <c r="H35" i="17" s="1"/>
  <c r="J35" i="17" s="1"/>
  <c r="S35" i="19"/>
  <c r="U35" i="19" s="1"/>
  <c r="AC128" i="19"/>
  <c r="BM141" i="19"/>
  <c r="BP140" i="19"/>
  <c r="AF127" i="19"/>
  <c r="BB137" i="19"/>
  <c r="BC137" i="19" s="1"/>
  <c r="BE137" i="19" s="1"/>
  <c r="AP129" i="19"/>
  <c r="AQ129" i="19" s="1"/>
  <c r="AS129" i="19" s="1"/>
  <c r="AO140" i="18"/>
  <c r="AR139" i="18"/>
  <c r="BA126" i="18"/>
  <c r="BN128" i="18"/>
  <c r="BO128" i="18" s="1"/>
  <c r="BQ128" i="18" s="1"/>
  <c r="BD125" i="18"/>
  <c r="AE126" i="18"/>
  <c r="AG126" i="18" s="1"/>
  <c r="BB131" i="17"/>
  <c r="BC131" i="17" s="1"/>
  <c r="BE131" i="17" s="1"/>
  <c r="AD129" i="17"/>
  <c r="AE129" i="17" s="1"/>
  <c r="AG129" i="17" s="1"/>
  <c r="BO129" i="17"/>
  <c r="BQ129" i="17" s="1"/>
  <c r="AP127" i="17"/>
  <c r="AQ127" i="17" s="1"/>
  <c r="AS127" i="17" s="1"/>
  <c r="BD129" i="16"/>
  <c r="BA130" i="16"/>
  <c r="AF130" i="16"/>
  <c r="AP127" i="16"/>
  <c r="AQ127" i="16" s="1"/>
  <c r="AS127" i="16" s="1"/>
  <c r="AC131" i="16"/>
  <c r="BN129" i="16"/>
  <c r="BO129" i="16" s="1"/>
  <c r="BQ129" i="16" s="1"/>
  <c r="BP135" i="14"/>
  <c r="BM136" i="14"/>
  <c r="BB130" i="14"/>
  <c r="AP136" i="14"/>
  <c r="AQ136" i="14" s="1"/>
  <c r="AS136" i="14" s="1"/>
  <c r="AD93" i="14"/>
  <c r="Q26" i="14"/>
  <c r="T25" i="14"/>
  <c r="T56" i="17" l="1"/>
  <c r="R51" i="16"/>
  <c r="S51" i="16" s="1"/>
  <c r="U51" i="16" s="1"/>
  <c r="Q52" i="16" s="1"/>
  <c r="R57" i="17"/>
  <c r="S57" i="17" s="1"/>
  <c r="U57" i="17" s="1"/>
  <c r="Q58" i="17" s="1"/>
  <c r="T50" i="16"/>
  <c r="R55" i="18"/>
  <c r="S55" i="18" s="1"/>
  <c r="U55" i="18" s="1"/>
  <c r="Q56" i="18" s="1"/>
  <c r="H32" i="19"/>
  <c r="J32" i="19" s="1"/>
  <c r="T54" i="18"/>
  <c r="F33" i="14"/>
  <c r="K32" i="14"/>
  <c r="I32" i="14"/>
  <c r="H33" i="16"/>
  <c r="J33" i="16" s="1"/>
  <c r="H35" i="18"/>
  <c r="J35" i="18" s="1"/>
  <c r="F36" i="17"/>
  <c r="K35" i="17"/>
  <c r="I35" i="17"/>
  <c r="T35" i="19"/>
  <c r="Q36" i="19"/>
  <c r="R36" i="19" s="1"/>
  <c r="C35" i="15"/>
  <c r="E35" i="15" s="1"/>
  <c r="AR129" i="19"/>
  <c r="BA138" i="19"/>
  <c r="BN141" i="19"/>
  <c r="BO141" i="19" s="1"/>
  <c r="BQ141" i="19" s="1"/>
  <c r="AO130" i="19"/>
  <c r="BD137" i="19"/>
  <c r="AD128" i="19"/>
  <c r="AE128" i="19" s="1"/>
  <c r="AG128" i="19" s="1"/>
  <c r="BM129" i="18"/>
  <c r="BP128" i="18"/>
  <c r="AC127" i="18"/>
  <c r="BB126" i="18"/>
  <c r="BC126" i="18" s="1"/>
  <c r="BE126" i="18" s="1"/>
  <c r="AF126" i="18"/>
  <c r="AP140" i="18"/>
  <c r="AQ140" i="18" s="1"/>
  <c r="AS140" i="18" s="1"/>
  <c r="AC130" i="17"/>
  <c r="AO128" i="17"/>
  <c r="AF129" i="17"/>
  <c r="AR127" i="17"/>
  <c r="BA132" i="17"/>
  <c r="BM130" i="17"/>
  <c r="BD131" i="17"/>
  <c r="BP129" i="17"/>
  <c r="BM130" i="16"/>
  <c r="BB130" i="16"/>
  <c r="BC130" i="16" s="1"/>
  <c r="BE130" i="16" s="1"/>
  <c r="AO128" i="16"/>
  <c r="BP129" i="16"/>
  <c r="AD131" i="16"/>
  <c r="AE131" i="16" s="1"/>
  <c r="AG131" i="16" s="1"/>
  <c r="AR127" i="16"/>
  <c r="BN136" i="14"/>
  <c r="BC130" i="14"/>
  <c r="BE130" i="14" s="1"/>
  <c r="AO137" i="14"/>
  <c r="AR136" i="14"/>
  <c r="AE93" i="14"/>
  <c r="AG93" i="14" s="1"/>
  <c r="R26" i="14"/>
  <c r="S26" i="14" s="1"/>
  <c r="I32" i="19" l="1"/>
  <c r="R56" i="18"/>
  <c r="S56" i="18" s="1"/>
  <c r="U56" i="18" s="1"/>
  <c r="Q57" i="18" s="1"/>
  <c r="R58" i="17"/>
  <c r="S58" i="17" s="1"/>
  <c r="U58" i="17" s="1"/>
  <c r="Q59" i="17" s="1"/>
  <c r="T57" i="17"/>
  <c r="R52" i="16"/>
  <c r="S52" i="16" s="1"/>
  <c r="U52" i="16" s="1"/>
  <c r="Q53" i="16" s="1"/>
  <c r="T51" i="16"/>
  <c r="T55" i="18"/>
  <c r="K32" i="19"/>
  <c r="F33" i="19"/>
  <c r="I33" i="16"/>
  <c r="F34" i="16"/>
  <c r="G34" i="16" s="1"/>
  <c r="K33" i="16"/>
  <c r="G33" i="14"/>
  <c r="H33" i="14" s="1"/>
  <c r="J33" i="14" s="1"/>
  <c r="I35" i="18"/>
  <c r="F36" i="18"/>
  <c r="G36" i="18" s="1"/>
  <c r="K35" i="18"/>
  <c r="G36" i="17"/>
  <c r="H36" i="17" s="1"/>
  <c r="J36" i="17" s="1"/>
  <c r="S36" i="19"/>
  <c r="U36" i="19" s="1"/>
  <c r="AC129" i="19"/>
  <c r="BM142" i="19"/>
  <c r="BP141" i="19"/>
  <c r="BB138" i="19"/>
  <c r="AF128" i="19"/>
  <c r="AP130" i="19"/>
  <c r="AQ130" i="19" s="1"/>
  <c r="AS130" i="19" s="1"/>
  <c r="AO141" i="18"/>
  <c r="AR140" i="18"/>
  <c r="AD127" i="18"/>
  <c r="AE127" i="18" s="1"/>
  <c r="AG127" i="18" s="1"/>
  <c r="BN129" i="18"/>
  <c r="BA127" i="18"/>
  <c r="BD126" i="18"/>
  <c r="AP128" i="17"/>
  <c r="AQ128" i="17" s="1"/>
  <c r="AS128" i="17" s="1"/>
  <c r="BB132" i="17"/>
  <c r="BC132" i="17" s="1"/>
  <c r="BE132" i="17" s="1"/>
  <c r="AD130" i="17"/>
  <c r="AE130" i="17" s="1"/>
  <c r="AG130" i="17" s="1"/>
  <c r="BN130" i="17"/>
  <c r="BO130" i="17" s="1"/>
  <c r="BQ130" i="17" s="1"/>
  <c r="BA131" i="16"/>
  <c r="BD130" i="16"/>
  <c r="AF131" i="16"/>
  <c r="BN130" i="16"/>
  <c r="BO130" i="16" s="1"/>
  <c r="BQ130" i="16" s="1"/>
  <c r="AP128" i="16"/>
  <c r="AQ128" i="16" s="1"/>
  <c r="AS128" i="16" s="1"/>
  <c r="AC132" i="16"/>
  <c r="BO136" i="14"/>
  <c r="BQ136" i="14" s="1"/>
  <c r="BM137" i="14" s="1"/>
  <c r="BA131" i="14"/>
  <c r="BD130" i="14"/>
  <c r="AP137" i="14"/>
  <c r="AQ137" i="14" s="1"/>
  <c r="AS137" i="14" s="1"/>
  <c r="AC94" i="14"/>
  <c r="AF93" i="14"/>
  <c r="U26" i="14"/>
  <c r="R53" i="16" l="1"/>
  <c r="S53" i="16" s="1"/>
  <c r="U53" i="16" s="1"/>
  <c r="Q54" i="16" s="1"/>
  <c r="R59" i="17"/>
  <c r="S59" i="17" s="1"/>
  <c r="U59" i="17" s="1"/>
  <c r="Q60" i="17" s="1"/>
  <c r="T52" i="16"/>
  <c r="T58" i="17"/>
  <c r="R57" i="18"/>
  <c r="G33" i="19"/>
  <c r="H33" i="19" s="1"/>
  <c r="J33" i="19" s="1"/>
  <c r="T56" i="18"/>
  <c r="K33" i="14"/>
  <c r="F34" i="14"/>
  <c r="I33" i="14"/>
  <c r="H34" i="16"/>
  <c r="J34" i="16" s="1"/>
  <c r="H36" i="18"/>
  <c r="J36" i="18" s="1"/>
  <c r="F37" i="17"/>
  <c r="K36" i="17"/>
  <c r="I36" i="17"/>
  <c r="T36" i="19"/>
  <c r="Q37" i="19"/>
  <c r="R37" i="19" s="1"/>
  <c r="C36" i="15"/>
  <c r="E36" i="15" s="1"/>
  <c r="AR130" i="19"/>
  <c r="AO131" i="19"/>
  <c r="BN142" i="19"/>
  <c r="BO142" i="19" s="1"/>
  <c r="BQ142" i="19" s="1"/>
  <c r="AD129" i="19"/>
  <c r="AE129" i="19" s="1"/>
  <c r="AG129" i="19" s="1"/>
  <c r="BC138" i="19"/>
  <c r="BE138" i="19" s="1"/>
  <c r="AF127" i="18"/>
  <c r="BB127" i="18"/>
  <c r="BC127" i="18" s="1"/>
  <c r="BE127" i="18" s="1"/>
  <c r="AC128" i="18"/>
  <c r="BO129" i="18"/>
  <c r="BQ129" i="18" s="1"/>
  <c r="AP141" i="18"/>
  <c r="AQ141" i="18" s="1"/>
  <c r="AS141" i="18" s="1"/>
  <c r="AC131" i="17"/>
  <c r="BA133" i="17"/>
  <c r="BD132" i="17"/>
  <c r="BM131" i="17"/>
  <c r="AO129" i="17"/>
  <c r="BP130" i="17"/>
  <c r="AR128" i="17"/>
  <c r="AF130" i="17"/>
  <c r="AO129" i="16"/>
  <c r="AD132" i="16"/>
  <c r="AE132" i="16" s="1"/>
  <c r="AG132" i="16" s="1"/>
  <c r="BB131" i="16"/>
  <c r="BC131" i="16" s="1"/>
  <c r="BE131" i="16" s="1"/>
  <c r="AR128" i="16"/>
  <c r="BM131" i="16"/>
  <c r="BP130" i="16"/>
  <c r="BP136" i="14"/>
  <c r="BN137" i="14"/>
  <c r="BO137" i="14" s="1"/>
  <c r="BQ137" i="14" s="1"/>
  <c r="BB131" i="14"/>
  <c r="BC131" i="14" s="1"/>
  <c r="BE131" i="14" s="1"/>
  <c r="AO138" i="14"/>
  <c r="AR137" i="14"/>
  <c r="AD94" i="14"/>
  <c r="Q27" i="14"/>
  <c r="T26" i="14"/>
  <c r="S57" i="18" l="1"/>
  <c r="U57" i="18" s="1"/>
  <c r="Q58" i="18" s="1"/>
  <c r="R60" i="17"/>
  <c r="S60" i="17" s="1"/>
  <c r="U60" i="17" s="1"/>
  <c r="Q61" i="17" s="1"/>
  <c r="T59" i="17"/>
  <c r="K33" i="19"/>
  <c r="F34" i="19"/>
  <c r="R54" i="16"/>
  <c r="I33" i="19"/>
  <c r="T53" i="16"/>
  <c r="I34" i="16"/>
  <c r="F35" i="16"/>
  <c r="G35" i="16" s="1"/>
  <c r="K34" i="16"/>
  <c r="G34" i="14"/>
  <c r="H34" i="14" s="1"/>
  <c r="J34" i="14" s="1"/>
  <c r="I36" i="18"/>
  <c r="K36" i="18"/>
  <c r="F37" i="18"/>
  <c r="G37" i="18" s="1"/>
  <c r="G37" i="17"/>
  <c r="H37" i="17" s="1"/>
  <c r="J37" i="17" s="1"/>
  <c r="S37" i="19"/>
  <c r="U37" i="19" s="1"/>
  <c r="AC130" i="19"/>
  <c r="BM143" i="19"/>
  <c r="BA139" i="19"/>
  <c r="BP142" i="19"/>
  <c r="AF129" i="19"/>
  <c r="AP131" i="19"/>
  <c r="AQ131" i="19" s="1"/>
  <c r="AS131" i="19" s="1"/>
  <c r="BD138" i="19"/>
  <c r="AO142" i="18"/>
  <c r="BM130" i="18"/>
  <c r="AD128" i="18"/>
  <c r="AE128" i="18" s="1"/>
  <c r="AG128" i="18" s="1"/>
  <c r="BA128" i="18"/>
  <c r="AR141" i="18"/>
  <c r="BD127" i="18"/>
  <c r="BP129" i="18"/>
  <c r="AP129" i="17"/>
  <c r="AQ129" i="17" s="1"/>
  <c r="AS129" i="17" s="1"/>
  <c r="BB133" i="17"/>
  <c r="BN131" i="17"/>
  <c r="BO131" i="17" s="1"/>
  <c r="BQ131" i="17" s="1"/>
  <c r="AD131" i="17"/>
  <c r="AE131" i="17" s="1"/>
  <c r="AG131" i="17" s="1"/>
  <c r="BD131" i="16"/>
  <c r="AC133" i="16"/>
  <c r="BA132" i="16"/>
  <c r="AF132" i="16"/>
  <c r="BN131" i="16"/>
  <c r="BO131" i="16" s="1"/>
  <c r="BQ131" i="16" s="1"/>
  <c r="AP129" i="16"/>
  <c r="AQ129" i="16" s="1"/>
  <c r="AS129" i="16" s="1"/>
  <c r="BM138" i="14"/>
  <c r="BP137" i="14"/>
  <c r="BA132" i="14"/>
  <c r="BD131" i="14"/>
  <c r="AP138" i="14"/>
  <c r="AQ138" i="14" s="1"/>
  <c r="AS138" i="14" s="1"/>
  <c r="AE94" i="14"/>
  <c r="AG94" i="14" s="1"/>
  <c r="R27" i="14"/>
  <c r="S27" i="14" s="1"/>
  <c r="R61" i="17" l="1"/>
  <c r="S61" i="17" s="1"/>
  <c r="U61" i="17" s="1"/>
  <c r="Q62" i="17" s="1"/>
  <c r="T60" i="17"/>
  <c r="R58" i="18"/>
  <c r="S58" i="18" s="1"/>
  <c r="U58" i="18" s="1"/>
  <c r="Q59" i="18" s="1"/>
  <c r="G34" i="19"/>
  <c r="S54" i="16"/>
  <c r="U54" i="16" s="1"/>
  <c r="Q55" i="16" s="1"/>
  <c r="T57" i="18"/>
  <c r="K34" i="14"/>
  <c r="F35" i="14"/>
  <c r="I34" i="14"/>
  <c r="H35" i="16"/>
  <c r="J35" i="16" s="1"/>
  <c r="H37" i="18"/>
  <c r="J37" i="18" s="1"/>
  <c r="F38" i="17"/>
  <c r="G38" i="17" s="1"/>
  <c r="K37" i="17"/>
  <c r="I37" i="17"/>
  <c r="T37" i="19"/>
  <c r="Q38" i="19"/>
  <c r="R38" i="19" s="1"/>
  <c r="C37" i="15"/>
  <c r="E37" i="15" s="1"/>
  <c r="BN143" i="19"/>
  <c r="BO143" i="19" s="1"/>
  <c r="BQ143" i="19" s="1"/>
  <c r="AO132" i="19"/>
  <c r="AR131" i="19"/>
  <c r="BB139" i="19"/>
  <c r="BC139" i="19" s="1"/>
  <c r="BE139" i="19" s="1"/>
  <c r="AD130" i="19"/>
  <c r="AE130" i="19" s="1"/>
  <c r="AG130" i="19" s="1"/>
  <c r="AC129" i="18"/>
  <c r="AF128" i="18"/>
  <c r="BB128" i="18"/>
  <c r="BC128" i="18" s="1"/>
  <c r="BE128" i="18" s="1"/>
  <c r="BN130" i="18"/>
  <c r="BO130" i="18" s="1"/>
  <c r="BQ130" i="18" s="1"/>
  <c r="AP142" i="18"/>
  <c r="AQ142" i="18" s="1"/>
  <c r="AS142" i="18" s="1"/>
  <c r="AR129" i="17"/>
  <c r="AF131" i="17"/>
  <c r="BM132" i="17"/>
  <c r="AC132" i="17"/>
  <c r="BP131" i="17"/>
  <c r="AO130" i="17"/>
  <c r="BC133" i="17"/>
  <c r="BE133" i="17" s="1"/>
  <c r="AO130" i="16"/>
  <c r="BB132" i="16"/>
  <c r="BC132" i="16" s="1"/>
  <c r="BE132" i="16" s="1"/>
  <c r="AR129" i="16"/>
  <c r="AD133" i="16"/>
  <c r="AE133" i="16" s="1"/>
  <c r="AG133" i="16" s="1"/>
  <c r="BM132" i="16"/>
  <c r="BP131" i="16"/>
  <c r="BN138" i="14"/>
  <c r="BO138" i="14" s="1"/>
  <c r="BQ138" i="14" s="1"/>
  <c r="BB132" i="14"/>
  <c r="BC132" i="14" s="1"/>
  <c r="BE132" i="14" s="1"/>
  <c r="AO139" i="14"/>
  <c r="AR138" i="14"/>
  <c r="AC95" i="14"/>
  <c r="AF94" i="14"/>
  <c r="U27" i="14"/>
  <c r="R59" i="18" l="1"/>
  <c r="S59" i="18" s="1"/>
  <c r="U59" i="18" s="1"/>
  <c r="Q60" i="18" s="1"/>
  <c r="T58" i="18"/>
  <c r="H34" i="19"/>
  <c r="J34" i="19" s="1"/>
  <c r="R62" i="17"/>
  <c r="S62" i="17" s="1"/>
  <c r="U62" i="17" s="1"/>
  <c r="Q63" i="17" s="1"/>
  <c r="T61" i="17"/>
  <c r="R55" i="16"/>
  <c r="S55" i="16" s="1"/>
  <c r="U55" i="16" s="1"/>
  <c r="Q56" i="16" s="1"/>
  <c r="T54" i="16"/>
  <c r="I35" i="16"/>
  <c r="F36" i="16"/>
  <c r="G36" i="16" s="1"/>
  <c r="K35" i="16"/>
  <c r="G35" i="14"/>
  <c r="H35" i="14" s="1"/>
  <c r="J35" i="14" s="1"/>
  <c r="I37" i="18"/>
  <c r="K37" i="18"/>
  <c r="F38" i="18"/>
  <c r="G38" i="18" s="1"/>
  <c r="H38" i="17"/>
  <c r="J38" i="17" s="1"/>
  <c r="S38" i="19"/>
  <c r="U38" i="19" s="1"/>
  <c r="AF130" i="19"/>
  <c r="BA140" i="19"/>
  <c r="AP132" i="19"/>
  <c r="AQ132" i="19" s="1"/>
  <c r="AS132" i="19" s="1"/>
  <c r="BD139" i="19"/>
  <c r="BM144" i="19"/>
  <c r="AC131" i="19"/>
  <c r="BP143" i="19"/>
  <c r="BA129" i="18"/>
  <c r="BD128" i="18"/>
  <c r="AO143" i="18"/>
  <c r="AR142" i="18"/>
  <c r="BM131" i="18"/>
  <c r="BP130" i="18"/>
  <c r="AD129" i="18"/>
  <c r="AE129" i="18" s="1"/>
  <c r="AG129" i="18" s="1"/>
  <c r="BA134" i="17"/>
  <c r="BN132" i="17"/>
  <c r="BO132" i="17" s="1"/>
  <c r="BQ132" i="17" s="1"/>
  <c r="AP130" i="17"/>
  <c r="AQ130" i="17" s="1"/>
  <c r="AS130" i="17" s="1"/>
  <c r="AD132" i="17"/>
  <c r="AE132" i="17" s="1"/>
  <c r="AG132" i="17" s="1"/>
  <c r="BD133" i="17"/>
  <c r="AC134" i="16"/>
  <c r="AF133" i="16"/>
  <c r="BA133" i="16"/>
  <c r="BD132" i="16"/>
  <c r="BN132" i="16"/>
  <c r="BO132" i="16" s="1"/>
  <c r="BQ132" i="16" s="1"/>
  <c r="AP130" i="16"/>
  <c r="AQ130" i="16" s="1"/>
  <c r="AS130" i="16" s="1"/>
  <c r="BM139" i="14"/>
  <c r="BP138" i="14"/>
  <c r="BA133" i="14"/>
  <c r="BD132" i="14"/>
  <c r="AP139" i="14"/>
  <c r="AQ139" i="14" s="1"/>
  <c r="AS139" i="14" s="1"/>
  <c r="AD95" i="14"/>
  <c r="Q28" i="14"/>
  <c r="T27" i="14"/>
  <c r="R63" i="17" l="1"/>
  <c r="S63" i="17" s="1"/>
  <c r="U63" i="17" s="1"/>
  <c r="Q64" i="17" s="1"/>
  <c r="T62" i="17"/>
  <c r="K34" i="19"/>
  <c r="F35" i="19"/>
  <c r="I34" i="19"/>
  <c r="R56" i="16"/>
  <c r="S56" i="16" s="1"/>
  <c r="U56" i="16" s="1"/>
  <c r="Q57" i="16" s="1"/>
  <c r="R57" i="16" s="1"/>
  <c r="R60" i="18"/>
  <c r="S60" i="18" s="1"/>
  <c r="U60" i="18" s="1"/>
  <c r="Q61" i="18" s="1"/>
  <c r="T55" i="16"/>
  <c r="T59" i="18"/>
  <c r="F36" i="14"/>
  <c r="K35" i="14"/>
  <c r="I35" i="14"/>
  <c r="H36" i="16"/>
  <c r="J36" i="16" s="1"/>
  <c r="H38" i="18"/>
  <c r="J38" i="18" s="1"/>
  <c r="I38" i="17"/>
  <c r="F39" i="17"/>
  <c r="K38" i="17"/>
  <c r="T38" i="19"/>
  <c r="Q39" i="19"/>
  <c r="R39" i="19" s="1"/>
  <c r="C38" i="15"/>
  <c r="E38" i="15" s="1"/>
  <c r="AR132" i="19"/>
  <c r="BB140" i="19"/>
  <c r="BC140" i="19" s="1"/>
  <c r="BE140" i="19" s="1"/>
  <c r="AD131" i="19"/>
  <c r="AE131" i="19" s="1"/>
  <c r="AG131" i="19" s="1"/>
  <c r="AO133" i="19"/>
  <c r="BN144" i="19"/>
  <c r="BO144" i="19" s="1"/>
  <c r="BQ144" i="19" s="1"/>
  <c r="AF129" i="18"/>
  <c r="AC130" i="18"/>
  <c r="AP143" i="18"/>
  <c r="AQ143" i="18" s="1"/>
  <c r="AS143" i="18" s="1"/>
  <c r="BN131" i="18"/>
  <c r="BO131" i="18" s="1"/>
  <c r="BQ131" i="18" s="1"/>
  <c r="BB129" i="18"/>
  <c r="BC129" i="18" s="1"/>
  <c r="BE129" i="18" s="1"/>
  <c r="AC133" i="17"/>
  <c r="AF132" i="17"/>
  <c r="BM133" i="17"/>
  <c r="AR130" i="17"/>
  <c r="BP132" i="17"/>
  <c r="AO131" i="17"/>
  <c r="BB134" i="17"/>
  <c r="BC134" i="17" s="1"/>
  <c r="BE134" i="17" s="1"/>
  <c r="BM133" i="16"/>
  <c r="AO131" i="16"/>
  <c r="BB133" i="16"/>
  <c r="BC133" i="16" s="1"/>
  <c r="BE133" i="16" s="1"/>
  <c r="BP132" i="16"/>
  <c r="AR130" i="16"/>
  <c r="AD134" i="16"/>
  <c r="AE134" i="16" s="1"/>
  <c r="AG134" i="16" s="1"/>
  <c r="BN139" i="14"/>
  <c r="BO139" i="14" s="1"/>
  <c r="BQ139" i="14" s="1"/>
  <c r="BB133" i="14"/>
  <c r="BC133" i="14" s="1"/>
  <c r="BE133" i="14" s="1"/>
  <c r="AO140" i="14"/>
  <c r="AR139" i="14"/>
  <c r="AE95" i="14"/>
  <c r="AG95" i="14" s="1"/>
  <c r="R28" i="14"/>
  <c r="S28" i="14" s="1"/>
  <c r="S57" i="16" l="1"/>
  <c r="U57" i="16" s="1"/>
  <c r="Q58" i="16" s="1"/>
  <c r="T56" i="16"/>
  <c r="G35" i="19"/>
  <c r="H35" i="19" s="1"/>
  <c r="J35" i="19" s="1"/>
  <c r="R61" i="18"/>
  <c r="S61" i="18" s="1"/>
  <c r="U61" i="18" s="1"/>
  <c r="Q62" i="18" s="1"/>
  <c r="R64" i="17"/>
  <c r="I36" i="16"/>
  <c r="T60" i="18"/>
  <c r="T63" i="17"/>
  <c r="F37" i="16"/>
  <c r="K36" i="16"/>
  <c r="G36" i="14"/>
  <c r="H36" i="14" s="1"/>
  <c r="J36" i="14" s="1"/>
  <c r="I38" i="18"/>
  <c r="K38" i="18"/>
  <c r="F39" i="18"/>
  <c r="G39" i="17"/>
  <c r="H39" i="17" s="1"/>
  <c r="J39" i="17" s="1"/>
  <c r="S39" i="19"/>
  <c r="U39" i="19" s="1"/>
  <c r="AC132" i="19"/>
  <c r="AF131" i="19"/>
  <c r="BD140" i="19"/>
  <c r="BP144" i="19"/>
  <c r="AP133" i="19"/>
  <c r="AQ133" i="19" s="1"/>
  <c r="AS133" i="19" s="1"/>
  <c r="BM145" i="19"/>
  <c r="BA141" i="19"/>
  <c r="AO144" i="18"/>
  <c r="AR143" i="18"/>
  <c r="BA130" i="18"/>
  <c r="BD129" i="18"/>
  <c r="AD130" i="18"/>
  <c r="AE130" i="18" s="1"/>
  <c r="AG130" i="18" s="1"/>
  <c r="BM132" i="18"/>
  <c r="BP131" i="18"/>
  <c r="BN133" i="17"/>
  <c r="BO133" i="17" s="1"/>
  <c r="BQ133" i="17" s="1"/>
  <c r="BA135" i="17"/>
  <c r="BD134" i="17"/>
  <c r="AP131" i="17"/>
  <c r="AD133" i="17"/>
  <c r="AE133" i="17" s="1"/>
  <c r="AG133" i="17" s="1"/>
  <c r="AC135" i="16"/>
  <c r="BA134" i="16"/>
  <c r="AF134" i="16"/>
  <c r="BD133" i="16"/>
  <c r="AP131" i="16"/>
  <c r="AQ131" i="16" s="1"/>
  <c r="AS131" i="16" s="1"/>
  <c r="BN133" i="16"/>
  <c r="BO133" i="16" s="1"/>
  <c r="BQ133" i="16" s="1"/>
  <c r="BP139" i="14"/>
  <c r="BM140" i="14"/>
  <c r="BA134" i="14"/>
  <c r="BD133" i="14"/>
  <c r="AP140" i="14"/>
  <c r="AC96" i="14"/>
  <c r="AF95" i="14"/>
  <c r="U28" i="14"/>
  <c r="T57" i="16" l="1"/>
  <c r="R62" i="18"/>
  <c r="S62" i="18" s="1"/>
  <c r="U62" i="18" s="1"/>
  <c r="Q63" i="18" s="1"/>
  <c r="T61" i="18"/>
  <c r="K35" i="19"/>
  <c r="F36" i="19"/>
  <c r="I35" i="19"/>
  <c r="S64" i="17"/>
  <c r="U64" i="17" s="1"/>
  <c r="Q65" i="17" s="1"/>
  <c r="R58" i="16"/>
  <c r="S58" i="16" s="1"/>
  <c r="U58" i="16" s="1"/>
  <c r="Q59" i="16" s="1"/>
  <c r="K36" i="14"/>
  <c r="F37" i="14"/>
  <c r="G37" i="14" s="1"/>
  <c r="I36" i="14"/>
  <c r="G37" i="16"/>
  <c r="H37" i="16" s="1"/>
  <c r="J37" i="16" s="1"/>
  <c r="G39" i="18"/>
  <c r="H39" i="18" s="1"/>
  <c r="J39" i="18" s="1"/>
  <c r="F40" i="17"/>
  <c r="G40" i="17" s="1"/>
  <c r="K39" i="17"/>
  <c r="I39" i="17"/>
  <c r="T39" i="19"/>
  <c r="Q40" i="19"/>
  <c r="R40" i="19" s="1"/>
  <c r="C39" i="15"/>
  <c r="E39" i="15" s="1"/>
  <c r="BP133" i="17"/>
  <c r="AO134" i="19"/>
  <c r="AR133" i="19"/>
  <c r="BB141" i="19"/>
  <c r="BC141" i="19" s="1"/>
  <c r="BE141" i="19" s="1"/>
  <c r="BN145" i="19"/>
  <c r="BO145" i="19" s="1"/>
  <c r="BQ145" i="19" s="1"/>
  <c r="AD132" i="19"/>
  <c r="AE132" i="19" s="1"/>
  <c r="AG132" i="19" s="1"/>
  <c r="AC131" i="18"/>
  <c r="AF130" i="18"/>
  <c r="BB130" i="18"/>
  <c r="BC130" i="18" s="1"/>
  <c r="BE130" i="18" s="1"/>
  <c r="BN132" i="18"/>
  <c r="AP144" i="18"/>
  <c r="AQ144" i="18" s="1"/>
  <c r="AS144" i="18" s="1"/>
  <c r="BB135" i="17"/>
  <c r="BC135" i="17" s="1"/>
  <c r="BE135" i="17" s="1"/>
  <c r="BM134" i="17"/>
  <c r="AC134" i="17"/>
  <c r="AF133" i="17"/>
  <c r="AQ131" i="17"/>
  <c r="AS131" i="17" s="1"/>
  <c r="AO132" i="16"/>
  <c r="BM134" i="16"/>
  <c r="BB134" i="16"/>
  <c r="BC134" i="16" s="1"/>
  <c r="BE134" i="16" s="1"/>
  <c r="BP133" i="16"/>
  <c r="AR131" i="16"/>
  <c r="AD135" i="16"/>
  <c r="AE135" i="16" s="1"/>
  <c r="AG135" i="16" s="1"/>
  <c r="BN140" i="14"/>
  <c r="BO140" i="14" s="1"/>
  <c r="BQ140" i="14" s="1"/>
  <c r="BB134" i="14"/>
  <c r="BC134" i="14" s="1"/>
  <c r="BE134" i="14" s="1"/>
  <c r="AQ140" i="14"/>
  <c r="AS140" i="14" s="1"/>
  <c r="AO141" i="14" s="1"/>
  <c r="AD96" i="14"/>
  <c r="Q29" i="14"/>
  <c r="T28" i="14"/>
  <c r="T64" i="17" l="1"/>
  <c r="G36" i="19"/>
  <c r="H36" i="19" s="1"/>
  <c r="J36" i="19" s="1"/>
  <c r="R65" i="17"/>
  <c r="S65" i="17" s="1"/>
  <c r="U65" i="17" s="1"/>
  <c r="Q66" i="17" s="1"/>
  <c r="R59" i="16"/>
  <c r="S59" i="16" s="1"/>
  <c r="U59" i="16" s="1"/>
  <c r="Q60" i="16" s="1"/>
  <c r="R63" i="18"/>
  <c r="T58" i="16"/>
  <c r="T62" i="18"/>
  <c r="F38" i="16"/>
  <c r="G38" i="16" s="1"/>
  <c r="K37" i="16"/>
  <c r="I37" i="16"/>
  <c r="H37" i="14"/>
  <c r="J37" i="14" s="1"/>
  <c r="K39" i="18"/>
  <c r="F40" i="18"/>
  <c r="G40" i="18" s="1"/>
  <c r="H40" i="18" s="1"/>
  <c r="J40" i="18" s="1"/>
  <c r="F41" i="18" s="1"/>
  <c r="I39" i="18"/>
  <c r="H40" i="17"/>
  <c r="J40" i="17" s="1"/>
  <c r="S40" i="19"/>
  <c r="U40" i="19" s="1"/>
  <c r="BM146" i="19"/>
  <c r="AC133" i="19"/>
  <c r="BA142" i="19"/>
  <c r="BD141" i="19"/>
  <c r="AF132" i="19"/>
  <c r="AP134" i="19"/>
  <c r="AQ134" i="19" s="1"/>
  <c r="AS134" i="19" s="1"/>
  <c r="BP145" i="19"/>
  <c r="AR144" i="18"/>
  <c r="BD130" i="18"/>
  <c r="AO145" i="18"/>
  <c r="BA131" i="18"/>
  <c r="AD131" i="18"/>
  <c r="AE131" i="18" s="1"/>
  <c r="AG131" i="18" s="1"/>
  <c r="BO132" i="18"/>
  <c r="BQ132" i="18" s="1"/>
  <c r="BN134" i="17"/>
  <c r="BO134" i="17" s="1"/>
  <c r="BQ134" i="17" s="1"/>
  <c r="AO132" i="17"/>
  <c r="BA136" i="17"/>
  <c r="BD135" i="17"/>
  <c r="AD134" i="17"/>
  <c r="AE134" i="17" s="1"/>
  <c r="AG134" i="17" s="1"/>
  <c r="AR131" i="17"/>
  <c r="BN134" i="16"/>
  <c r="BO134" i="16" s="1"/>
  <c r="BQ134" i="16" s="1"/>
  <c r="AF135" i="16"/>
  <c r="BA135" i="16"/>
  <c r="AP132" i="16"/>
  <c r="AQ132" i="16" s="1"/>
  <c r="AS132" i="16" s="1"/>
  <c r="AC136" i="16"/>
  <c r="BD134" i="16"/>
  <c r="BM141" i="14"/>
  <c r="BP140" i="14"/>
  <c r="BA135" i="14"/>
  <c r="BD134" i="14"/>
  <c r="AR140" i="14"/>
  <c r="AP141" i="14"/>
  <c r="AE96" i="14"/>
  <c r="AG96" i="14" s="1"/>
  <c r="R29" i="14"/>
  <c r="S29" i="14" s="1"/>
  <c r="I37" i="14" l="1"/>
  <c r="R60" i="16"/>
  <c r="S60" i="16" s="1"/>
  <c r="U60" i="16" s="1"/>
  <c r="Q61" i="16" s="1"/>
  <c r="T59" i="16"/>
  <c r="R66" i="17"/>
  <c r="S66" i="17" s="1"/>
  <c r="U66" i="17" s="1"/>
  <c r="Q67" i="17" s="1"/>
  <c r="R67" i="17" s="1"/>
  <c r="T65" i="17"/>
  <c r="K36" i="19"/>
  <c r="F37" i="19"/>
  <c r="I36" i="19"/>
  <c r="S63" i="18"/>
  <c r="U63" i="18" s="1"/>
  <c r="Q64" i="18" s="1"/>
  <c r="F38" i="14"/>
  <c r="G38" i="14" s="1"/>
  <c r="K37" i="14"/>
  <c r="H38" i="16"/>
  <c r="J38" i="16" s="1"/>
  <c r="K40" i="18"/>
  <c r="Y6" i="1" s="1"/>
  <c r="I40" i="18"/>
  <c r="I40" i="17"/>
  <c r="F41" i="17"/>
  <c r="G41" i="17" s="1"/>
  <c r="K40" i="17"/>
  <c r="V6" i="1" s="1"/>
  <c r="G41" i="18"/>
  <c r="H41" i="18" s="1"/>
  <c r="J41" i="18" s="1"/>
  <c r="T40" i="19"/>
  <c r="Q41" i="19"/>
  <c r="R41" i="19" s="1"/>
  <c r="C40" i="15"/>
  <c r="E40" i="15" s="1"/>
  <c r="BB142" i="19"/>
  <c r="BC142" i="19" s="1"/>
  <c r="BE142" i="19" s="1"/>
  <c r="AO135" i="19"/>
  <c r="AD133" i="19"/>
  <c r="AR134" i="19"/>
  <c r="BN146" i="19"/>
  <c r="BO146" i="19" s="1"/>
  <c r="BQ146" i="19" s="1"/>
  <c r="AC132" i="18"/>
  <c r="AP145" i="18"/>
  <c r="AQ145" i="18" s="1"/>
  <c r="AS145" i="18" s="1"/>
  <c r="AF131" i="18"/>
  <c r="BM133" i="18"/>
  <c r="BB131" i="18"/>
  <c r="BC131" i="18" s="1"/>
  <c r="BE131" i="18" s="1"/>
  <c r="BP132" i="18"/>
  <c r="BB136" i="17"/>
  <c r="BC136" i="17" s="1"/>
  <c r="BE136" i="17" s="1"/>
  <c r="AF134" i="17"/>
  <c r="AC135" i="17"/>
  <c r="BM135" i="17"/>
  <c r="AP132" i="17"/>
  <c r="AQ132" i="17" s="1"/>
  <c r="AS132" i="17" s="1"/>
  <c r="BP134" i="17"/>
  <c r="AO133" i="16"/>
  <c r="BM135" i="16"/>
  <c r="AD136" i="16"/>
  <c r="AE136" i="16" s="1"/>
  <c r="AG136" i="16" s="1"/>
  <c r="BP134" i="16"/>
  <c r="AR132" i="16"/>
  <c r="BB135" i="16"/>
  <c r="BC135" i="16" s="1"/>
  <c r="BE135" i="16" s="1"/>
  <c r="BN141" i="14"/>
  <c r="BO141" i="14" s="1"/>
  <c r="BQ141" i="14" s="1"/>
  <c r="BB135" i="14"/>
  <c r="BC135" i="14" s="1"/>
  <c r="BE135" i="14" s="1"/>
  <c r="AQ141" i="14"/>
  <c r="AS141" i="14" s="1"/>
  <c r="AO142" i="14" s="1"/>
  <c r="AC97" i="14"/>
  <c r="AF96" i="14"/>
  <c r="U29" i="14"/>
  <c r="S67" i="17" l="1"/>
  <c r="U67" i="17" s="1"/>
  <c r="Q68" i="17" s="1"/>
  <c r="T66" i="17"/>
  <c r="R64" i="18"/>
  <c r="S64" i="18" s="1"/>
  <c r="U64" i="18" s="1"/>
  <c r="Q65" i="18" s="1"/>
  <c r="T63" i="18"/>
  <c r="R61" i="16"/>
  <c r="S61" i="16" s="1"/>
  <c r="U61" i="16" s="1"/>
  <c r="Q62" i="16" s="1"/>
  <c r="G37" i="19"/>
  <c r="H37" i="19" s="1"/>
  <c r="J37" i="19" s="1"/>
  <c r="T60" i="16"/>
  <c r="I38" i="16"/>
  <c r="F39" i="16"/>
  <c r="G39" i="16" s="1"/>
  <c r="K38" i="16"/>
  <c r="H38" i="14"/>
  <c r="J38" i="14" s="1"/>
  <c r="H41" i="17"/>
  <c r="J41" i="17" s="1"/>
  <c r="F42" i="18"/>
  <c r="K41" i="18"/>
  <c r="I41" i="18"/>
  <c r="S41" i="19"/>
  <c r="U41" i="19" s="1"/>
  <c r="BM147" i="19"/>
  <c r="AP135" i="19"/>
  <c r="AQ135" i="19" s="1"/>
  <c r="AS135" i="19" s="1"/>
  <c r="BP146" i="19"/>
  <c r="BA143" i="19"/>
  <c r="BD142" i="19"/>
  <c r="AE133" i="19"/>
  <c r="AG133" i="19" s="1"/>
  <c r="AO146" i="18"/>
  <c r="AR145" i="18"/>
  <c r="BA132" i="18"/>
  <c r="AD132" i="18"/>
  <c r="AE132" i="18" s="1"/>
  <c r="AG132" i="18" s="1"/>
  <c r="BD131" i="18"/>
  <c r="BN133" i="18"/>
  <c r="BO133" i="18" s="1"/>
  <c r="BQ133" i="18" s="1"/>
  <c r="AR132" i="17"/>
  <c r="BA137" i="17"/>
  <c r="AO133" i="17"/>
  <c r="BN135" i="17"/>
  <c r="BO135" i="17" s="1"/>
  <c r="BQ135" i="17" s="1"/>
  <c r="BD136" i="17"/>
  <c r="AD135" i="17"/>
  <c r="AE135" i="17" s="1"/>
  <c r="AG135" i="17" s="1"/>
  <c r="BD135" i="16"/>
  <c r="AC137" i="16"/>
  <c r="AF136" i="16"/>
  <c r="BA136" i="16"/>
  <c r="BN135" i="16"/>
  <c r="BO135" i="16" s="1"/>
  <c r="BQ135" i="16" s="1"/>
  <c r="AP133" i="16"/>
  <c r="AQ133" i="16" s="1"/>
  <c r="AS133" i="16" s="1"/>
  <c r="BM142" i="14"/>
  <c r="BP141" i="14"/>
  <c r="BA136" i="14"/>
  <c r="BD135" i="14"/>
  <c r="AR141" i="14"/>
  <c r="AP142" i="14"/>
  <c r="AQ142" i="14" s="1"/>
  <c r="AS142" i="14" s="1"/>
  <c r="AD97" i="14"/>
  <c r="Q30" i="14"/>
  <c r="T29" i="14"/>
  <c r="T67" i="17" l="1"/>
  <c r="R65" i="18"/>
  <c r="S65" i="18" s="1"/>
  <c r="U65" i="18" s="1"/>
  <c r="Q66" i="18" s="1"/>
  <c r="T61" i="16"/>
  <c r="T64" i="18"/>
  <c r="R62" i="16"/>
  <c r="S62" i="16" s="1"/>
  <c r="U62" i="16" s="1"/>
  <c r="Q63" i="16" s="1"/>
  <c r="K37" i="19"/>
  <c r="F38" i="19"/>
  <c r="I37" i="19"/>
  <c r="R68" i="17"/>
  <c r="S68" i="17" s="1"/>
  <c r="U68" i="17" s="1"/>
  <c r="Q69" i="17" s="1"/>
  <c r="I38" i="14"/>
  <c r="K38" i="14"/>
  <c r="F39" i="14"/>
  <c r="H39" i="16"/>
  <c r="J39" i="16" s="1"/>
  <c r="F42" i="17"/>
  <c r="K41" i="17"/>
  <c r="I41" i="17"/>
  <c r="G42" i="18"/>
  <c r="H42" i="18" s="1"/>
  <c r="J42" i="18" s="1"/>
  <c r="T41" i="19"/>
  <c r="Q42" i="19"/>
  <c r="C41" i="15"/>
  <c r="E41" i="15" s="1"/>
  <c r="AO136" i="19"/>
  <c r="BB143" i="19"/>
  <c r="BC143" i="19" s="1"/>
  <c r="BE143" i="19" s="1"/>
  <c r="AC134" i="19"/>
  <c r="AR135" i="19"/>
  <c r="AF133" i="19"/>
  <c r="BN147" i="19"/>
  <c r="BO147" i="19" s="1"/>
  <c r="BQ147" i="19" s="1"/>
  <c r="AC133" i="18"/>
  <c r="AF132" i="18"/>
  <c r="BB132" i="18"/>
  <c r="BC132" i="18" s="1"/>
  <c r="BE132" i="18" s="1"/>
  <c r="BM134" i="18"/>
  <c r="BP133" i="18"/>
  <c r="AP146" i="18"/>
  <c r="AQ146" i="18" s="1"/>
  <c r="AS146" i="18" s="1"/>
  <c r="AP133" i="17"/>
  <c r="AQ133" i="17" s="1"/>
  <c r="AS133" i="17" s="1"/>
  <c r="AF135" i="17"/>
  <c r="BB137" i="17"/>
  <c r="BC137" i="17" s="1"/>
  <c r="BE137" i="17" s="1"/>
  <c r="BM136" i="17"/>
  <c r="AC136" i="17"/>
  <c r="BP135" i="17"/>
  <c r="AO134" i="16"/>
  <c r="AR133" i="16"/>
  <c r="BB136" i="16"/>
  <c r="BC136" i="16" s="1"/>
  <c r="BE136" i="16" s="1"/>
  <c r="AD137" i="16"/>
  <c r="AE137" i="16" s="1"/>
  <c r="AG137" i="16" s="1"/>
  <c r="BM136" i="16"/>
  <c r="BP135" i="16"/>
  <c r="BN142" i="14"/>
  <c r="BO142" i="14" s="1"/>
  <c r="BQ142" i="14" s="1"/>
  <c r="BB136" i="14"/>
  <c r="BC136" i="14" s="1"/>
  <c r="BE136" i="14" s="1"/>
  <c r="AO143" i="14"/>
  <c r="AR142" i="14"/>
  <c r="AE97" i="14"/>
  <c r="AG97" i="14" s="1"/>
  <c r="R30" i="14"/>
  <c r="S30" i="14" s="1"/>
  <c r="R69" i="17" l="1"/>
  <c r="S69" i="17" s="1"/>
  <c r="U69" i="17" s="1"/>
  <c r="Q70" i="17" s="1"/>
  <c r="R63" i="16"/>
  <c r="S63" i="16" s="1"/>
  <c r="U63" i="16" s="1"/>
  <c r="Q64" i="16" s="1"/>
  <c r="T62" i="16"/>
  <c r="T68" i="17"/>
  <c r="R66" i="18"/>
  <c r="S66" i="18" s="1"/>
  <c r="U66" i="18" s="1"/>
  <c r="Q67" i="18" s="1"/>
  <c r="G38" i="19"/>
  <c r="H38" i="19" s="1"/>
  <c r="J38" i="19" s="1"/>
  <c r="T65" i="18"/>
  <c r="I39" i="16"/>
  <c r="F40" i="16"/>
  <c r="G40" i="16" s="1"/>
  <c r="K39" i="16"/>
  <c r="G39" i="14"/>
  <c r="H39" i="14" s="1"/>
  <c r="J39" i="14" s="1"/>
  <c r="G42" i="17"/>
  <c r="H42" i="17" s="1"/>
  <c r="J42" i="17" s="1"/>
  <c r="F43" i="18"/>
  <c r="K42" i="18"/>
  <c r="I42" i="18"/>
  <c r="R42" i="19"/>
  <c r="S42" i="19" s="1"/>
  <c r="U42" i="19" s="1"/>
  <c r="BA144" i="19"/>
  <c r="BM148" i="19"/>
  <c r="BP147" i="19"/>
  <c r="AP136" i="19"/>
  <c r="AQ136" i="19" s="1"/>
  <c r="AS136" i="19" s="1"/>
  <c r="BD143" i="19"/>
  <c r="AD134" i="19"/>
  <c r="AE134" i="19" s="1"/>
  <c r="AG134" i="19" s="1"/>
  <c r="BA133" i="18"/>
  <c r="AO147" i="18"/>
  <c r="BD132" i="18"/>
  <c r="AR146" i="18"/>
  <c r="BN134" i="18"/>
  <c r="BO134" i="18" s="1"/>
  <c r="BQ134" i="18" s="1"/>
  <c r="AD133" i="18"/>
  <c r="AE133" i="18" s="1"/>
  <c r="AG133" i="18" s="1"/>
  <c r="BD137" i="17"/>
  <c r="AD136" i="17"/>
  <c r="AE136" i="17" s="1"/>
  <c r="AG136" i="17" s="1"/>
  <c r="BA138" i="17"/>
  <c r="AO134" i="17"/>
  <c r="BN136" i="17"/>
  <c r="BO136" i="17" s="1"/>
  <c r="BQ136" i="17" s="1"/>
  <c r="AR133" i="17"/>
  <c r="BA137" i="16"/>
  <c r="BN136" i="16"/>
  <c r="BO136" i="16" s="1"/>
  <c r="BQ136" i="16" s="1"/>
  <c r="AF137" i="16"/>
  <c r="AC138" i="16"/>
  <c r="AP134" i="16"/>
  <c r="AQ134" i="16" s="1"/>
  <c r="AS134" i="16" s="1"/>
  <c r="BD136" i="16"/>
  <c r="BM143" i="14"/>
  <c r="BP142" i="14"/>
  <c r="BA137" i="14"/>
  <c r="BD136" i="14"/>
  <c r="AP143" i="14"/>
  <c r="AQ143" i="14" s="1"/>
  <c r="AS143" i="14" s="1"/>
  <c r="AC98" i="14"/>
  <c r="AF97" i="14"/>
  <c r="U30" i="14"/>
  <c r="R64" i="16" l="1"/>
  <c r="S64" i="16" s="1"/>
  <c r="U64" i="16" s="1"/>
  <c r="Q65" i="16" s="1"/>
  <c r="T66" i="18"/>
  <c r="T63" i="16"/>
  <c r="F39" i="19"/>
  <c r="K38" i="19"/>
  <c r="R70" i="17"/>
  <c r="R67" i="18"/>
  <c r="S67" i="18" s="1"/>
  <c r="U67" i="18" s="1"/>
  <c r="Q68" i="18" s="1"/>
  <c r="I38" i="19"/>
  <c r="T69" i="17"/>
  <c r="K39" i="14"/>
  <c r="F40" i="14"/>
  <c r="I39" i="14"/>
  <c r="H40" i="16"/>
  <c r="J40" i="16" s="1"/>
  <c r="F43" i="17"/>
  <c r="K42" i="17"/>
  <c r="I42" i="17"/>
  <c r="G43" i="18"/>
  <c r="H43" i="18" s="1"/>
  <c r="J43" i="18" s="1"/>
  <c r="Q43" i="19"/>
  <c r="R43" i="19" s="1"/>
  <c r="C42" i="15"/>
  <c r="E42" i="15" s="1"/>
  <c r="T42" i="19"/>
  <c r="AC135" i="19"/>
  <c r="AF134" i="19"/>
  <c r="AR136" i="19"/>
  <c r="BN148" i="19"/>
  <c r="BB144" i="19"/>
  <c r="BC144" i="19" s="1"/>
  <c r="BE144" i="19" s="1"/>
  <c r="AO137" i="19"/>
  <c r="AC134" i="18"/>
  <c r="AF133" i="18"/>
  <c r="AP147" i="18"/>
  <c r="AQ147" i="18" s="1"/>
  <c r="AS147" i="18" s="1"/>
  <c r="BM135" i="18"/>
  <c r="BB133" i="18"/>
  <c r="BP134" i="18"/>
  <c r="AP134" i="17"/>
  <c r="AQ134" i="17" s="1"/>
  <c r="AS134" i="17" s="1"/>
  <c r="BP136" i="17"/>
  <c r="AC137" i="17"/>
  <c r="BM137" i="17"/>
  <c r="AF136" i="17"/>
  <c r="BB138" i="17"/>
  <c r="BC138" i="17" s="1"/>
  <c r="BE138" i="17" s="1"/>
  <c r="BM137" i="16"/>
  <c r="BP136" i="16"/>
  <c r="AO135" i="16"/>
  <c r="AD138" i="16"/>
  <c r="AE138" i="16" s="1"/>
  <c r="AG138" i="16" s="1"/>
  <c r="AR134" i="16"/>
  <c r="BB137" i="16"/>
  <c r="BC137" i="16" s="1"/>
  <c r="BE137" i="16" s="1"/>
  <c r="BN143" i="14"/>
  <c r="BO143" i="14" s="1"/>
  <c r="BQ143" i="14" s="1"/>
  <c r="BB137" i="14"/>
  <c r="BC137" i="14" s="1"/>
  <c r="BE137" i="14" s="1"/>
  <c r="AO144" i="14"/>
  <c r="AR143" i="14"/>
  <c r="AD98" i="14"/>
  <c r="Q31" i="14"/>
  <c r="T30" i="14"/>
  <c r="I40" i="16" l="1"/>
  <c r="R68" i="18"/>
  <c r="S68" i="18" s="1"/>
  <c r="U68" i="18" s="1"/>
  <c r="Q69" i="18" s="1"/>
  <c r="G39" i="19"/>
  <c r="H39" i="19" s="1"/>
  <c r="J39" i="19" s="1"/>
  <c r="T67" i="18"/>
  <c r="R65" i="16"/>
  <c r="S65" i="16" s="1"/>
  <c r="U65" i="16" s="1"/>
  <c r="Q66" i="16" s="1"/>
  <c r="S70" i="17"/>
  <c r="U70" i="17" s="1"/>
  <c r="Q71" i="17" s="1"/>
  <c r="T64" i="16"/>
  <c r="F41" i="16"/>
  <c r="G41" i="16" s="1"/>
  <c r="K40" i="16"/>
  <c r="S6" i="1" s="1"/>
  <c r="G40" i="14"/>
  <c r="H40" i="14" s="1"/>
  <c r="J40" i="14" s="1"/>
  <c r="G43" i="17"/>
  <c r="H43" i="17" s="1"/>
  <c r="J43" i="17" s="1"/>
  <c r="F44" i="18"/>
  <c r="K43" i="18"/>
  <c r="I43" i="18"/>
  <c r="S43" i="19"/>
  <c r="U43" i="19" s="1"/>
  <c r="AP137" i="19"/>
  <c r="AQ137" i="19" s="1"/>
  <c r="AS137" i="19" s="1"/>
  <c r="BA145" i="19"/>
  <c r="BD144" i="19"/>
  <c r="BO148" i="19"/>
  <c r="BQ148" i="19" s="1"/>
  <c r="AD135" i="19"/>
  <c r="AE135" i="19" s="1"/>
  <c r="AG135" i="19" s="1"/>
  <c r="AO148" i="18"/>
  <c r="BN135" i="18"/>
  <c r="BO135" i="18" s="1"/>
  <c r="BQ135" i="18" s="1"/>
  <c r="AR147" i="18"/>
  <c r="BC133" i="18"/>
  <c r="BE133" i="18" s="1"/>
  <c r="AD134" i="18"/>
  <c r="AE134" i="18" s="1"/>
  <c r="AG134" i="18" s="1"/>
  <c r="AD137" i="17"/>
  <c r="AE137" i="17" s="1"/>
  <c r="AG137" i="17" s="1"/>
  <c r="BA139" i="17"/>
  <c r="AO135" i="17"/>
  <c r="BD138" i="17"/>
  <c r="AR134" i="17"/>
  <c r="BN137" i="17"/>
  <c r="BO137" i="17" s="1"/>
  <c r="BQ137" i="17" s="1"/>
  <c r="BA138" i="16"/>
  <c r="AP135" i="16"/>
  <c r="AQ135" i="16" s="1"/>
  <c r="AS135" i="16" s="1"/>
  <c r="AC139" i="16"/>
  <c r="AF138" i="16"/>
  <c r="BN137" i="16"/>
  <c r="BO137" i="16" s="1"/>
  <c r="BQ137" i="16" s="1"/>
  <c r="BD137" i="16"/>
  <c r="BM144" i="14"/>
  <c r="BP143" i="14"/>
  <c r="BA138" i="14"/>
  <c r="BD137" i="14"/>
  <c r="AP144" i="14"/>
  <c r="AQ144" i="14" s="1"/>
  <c r="AS144" i="14" s="1"/>
  <c r="AE98" i="14"/>
  <c r="AG98" i="14" s="1"/>
  <c r="R31" i="14"/>
  <c r="S31" i="14" s="1"/>
  <c r="T70" i="17" l="1"/>
  <c r="T65" i="16"/>
  <c r="K39" i="19"/>
  <c r="F40" i="19"/>
  <c r="I39" i="19"/>
  <c r="R66" i="16"/>
  <c r="S66" i="16" s="1"/>
  <c r="U66" i="16" s="1"/>
  <c r="Q67" i="16" s="1"/>
  <c r="R69" i="18"/>
  <c r="S69" i="18" s="1"/>
  <c r="U69" i="18" s="1"/>
  <c r="Q70" i="18" s="1"/>
  <c r="R71" i="17"/>
  <c r="S71" i="17" s="1"/>
  <c r="U71" i="17" s="1"/>
  <c r="Q72" i="17" s="1"/>
  <c r="T68" i="18"/>
  <c r="F41" i="14"/>
  <c r="K40" i="14"/>
  <c r="P6" i="1" s="1"/>
  <c r="I40" i="14"/>
  <c r="H41" i="16"/>
  <c r="J41" i="16" s="1"/>
  <c r="F44" i="17"/>
  <c r="K43" i="17"/>
  <c r="I43" i="17"/>
  <c r="G44" i="18"/>
  <c r="H44" i="18" s="1"/>
  <c r="J44" i="18" s="1"/>
  <c r="Q44" i="19"/>
  <c r="R44" i="19" s="1"/>
  <c r="C43" i="15"/>
  <c r="E43" i="15" s="1"/>
  <c r="T43" i="19"/>
  <c r="AO138" i="19"/>
  <c r="AC136" i="19"/>
  <c r="AR137" i="19"/>
  <c r="BM149" i="19"/>
  <c r="AF135" i="19"/>
  <c r="BP148" i="19"/>
  <c r="BB145" i="19"/>
  <c r="BC145" i="19" s="1"/>
  <c r="BE145" i="19" s="1"/>
  <c r="AC135" i="18"/>
  <c r="BP135" i="18"/>
  <c r="AF134" i="18"/>
  <c r="BD133" i="18"/>
  <c r="BM136" i="18"/>
  <c r="BA134" i="18"/>
  <c r="AP148" i="18"/>
  <c r="AQ148" i="18" s="1"/>
  <c r="AS148" i="18" s="1"/>
  <c r="AC138" i="17"/>
  <c r="AP135" i="17"/>
  <c r="AQ135" i="17" s="1"/>
  <c r="AS135" i="17" s="1"/>
  <c r="BB139" i="17"/>
  <c r="BC139" i="17" s="1"/>
  <c r="BE139" i="17" s="1"/>
  <c r="BM138" i="17"/>
  <c r="BP137" i="17"/>
  <c r="AF137" i="17"/>
  <c r="AO136" i="16"/>
  <c r="BM138" i="16"/>
  <c r="AR135" i="16"/>
  <c r="BP137" i="16"/>
  <c r="BB138" i="16"/>
  <c r="BC138" i="16" s="1"/>
  <c r="BE138" i="16" s="1"/>
  <c r="AD139" i="16"/>
  <c r="AE139" i="16" s="1"/>
  <c r="AG139" i="16" s="1"/>
  <c r="BN144" i="14"/>
  <c r="BB138" i="14"/>
  <c r="BC138" i="14" s="1"/>
  <c r="BE138" i="14" s="1"/>
  <c r="AO145" i="14"/>
  <c r="AR144" i="14"/>
  <c r="AC99" i="14"/>
  <c r="AF98" i="14"/>
  <c r="U31" i="14"/>
  <c r="R70" i="18" l="1"/>
  <c r="S70" i="18" s="1"/>
  <c r="U70" i="18" s="1"/>
  <c r="Q71" i="18" s="1"/>
  <c r="T69" i="18"/>
  <c r="T66" i="16"/>
  <c r="G40" i="19"/>
  <c r="H40" i="19" s="1"/>
  <c r="J40" i="19" s="1"/>
  <c r="R67" i="16"/>
  <c r="S67" i="16" s="1"/>
  <c r="U67" i="16" s="1"/>
  <c r="Q68" i="16" s="1"/>
  <c r="R72" i="17"/>
  <c r="S72" i="17" s="1"/>
  <c r="U72" i="17" s="1"/>
  <c r="Q73" i="17" s="1"/>
  <c r="T71" i="17"/>
  <c r="I41" i="16"/>
  <c r="F42" i="16"/>
  <c r="G42" i="16" s="1"/>
  <c r="K41" i="16"/>
  <c r="G41" i="14"/>
  <c r="H41" i="14" s="1"/>
  <c r="J41" i="14" s="1"/>
  <c r="G44" i="17"/>
  <c r="H44" i="17" s="1"/>
  <c r="J44" i="17" s="1"/>
  <c r="F45" i="18"/>
  <c r="K44" i="18"/>
  <c r="I44" i="18"/>
  <c r="S44" i="19"/>
  <c r="U44" i="19" s="1"/>
  <c r="BD145" i="19"/>
  <c r="BA146" i="19"/>
  <c r="AD136" i="19"/>
  <c r="AE136" i="19" s="1"/>
  <c r="AG136" i="19" s="1"/>
  <c r="BN149" i="19"/>
  <c r="BO149" i="19" s="1"/>
  <c r="BQ149" i="19" s="1"/>
  <c r="AP138" i="19"/>
  <c r="AQ138" i="19" s="1"/>
  <c r="AS138" i="19" s="1"/>
  <c r="BN136" i="18"/>
  <c r="BO136" i="18" s="1"/>
  <c r="BQ136" i="18" s="1"/>
  <c r="AO149" i="18"/>
  <c r="AR148" i="18"/>
  <c r="AD135" i="18"/>
  <c r="AE135" i="18" s="1"/>
  <c r="AG135" i="18" s="1"/>
  <c r="BB134" i="18"/>
  <c r="BC134" i="18" s="1"/>
  <c r="BE134" i="18" s="1"/>
  <c r="BN138" i="17"/>
  <c r="BO138" i="17" s="1"/>
  <c r="BQ138" i="17" s="1"/>
  <c r="BA140" i="17"/>
  <c r="BD139" i="17"/>
  <c r="AO136" i="17"/>
  <c r="AR135" i="17"/>
  <c r="AD138" i="17"/>
  <c r="AE138" i="17" s="1"/>
  <c r="AG138" i="17" s="1"/>
  <c r="AC140" i="16"/>
  <c r="BA139" i="16"/>
  <c r="AP136" i="16"/>
  <c r="AQ136" i="16" s="1"/>
  <c r="AS136" i="16" s="1"/>
  <c r="BD138" i="16"/>
  <c r="BN138" i="16"/>
  <c r="BO138" i="16" s="1"/>
  <c r="BQ138" i="16" s="1"/>
  <c r="AF139" i="16"/>
  <c r="BO144" i="14"/>
  <c r="BQ144" i="14" s="1"/>
  <c r="BM145" i="14" s="1"/>
  <c r="BA139" i="14"/>
  <c r="BD138" i="14"/>
  <c r="AP145" i="14"/>
  <c r="AQ145" i="14" s="1"/>
  <c r="AS145" i="14" s="1"/>
  <c r="AD99" i="14"/>
  <c r="Q32" i="14"/>
  <c r="T31" i="14"/>
  <c r="R68" i="16" l="1"/>
  <c r="S68" i="16" s="1"/>
  <c r="U68" i="16" s="1"/>
  <c r="Q69" i="16" s="1"/>
  <c r="K40" i="19"/>
  <c r="AB6" i="1" s="1"/>
  <c r="F41" i="19"/>
  <c r="I40" i="19"/>
  <c r="T67" i="16"/>
  <c r="R73" i="17"/>
  <c r="S73" i="17" s="1"/>
  <c r="U73" i="17" s="1"/>
  <c r="Q74" i="17" s="1"/>
  <c r="R71" i="18"/>
  <c r="S71" i="18" s="1"/>
  <c r="U71" i="18" s="1"/>
  <c r="Q72" i="18" s="1"/>
  <c r="T72" i="17"/>
  <c r="T70" i="18"/>
  <c r="F42" i="14"/>
  <c r="K41" i="14"/>
  <c r="I41" i="14"/>
  <c r="H42" i="16"/>
  <c r="J42" i="16" s="1"/>
  <c r="F45" i="17"/>
  <c r="K44" i="17"/>
  <c r="I44" i="17"/>
  <c r="G45" i="18"/>
  <c r="H45" i="18" s="1"/>
  <c r="J45" i="18" s="1"/>
  <c r="T44" i="19"/>
  <c r="Q45" i="19"/>
  <c r="R45" i="19" s="1"/>
  <c r="C44" i="15"/>
  <c r="E44" i="15" s="1"/>
  <c r="AO139" i="19"/>
  <c r="AR138" i="19"/>
  <c r="BM150" i="19"/>
  <c r="BB146" i="19"/>
  <c r="BC146" i="19" s="1"/>
  <c r="BE146" i="19" s="1"/>
  <c r="BP149" i="19"/>
  <c r="AC137" i="19"/>
  <c r="AF136" i="19"/>
  <c r="BM137" i="18"/>
  <c r="AP149" i="18"/>
  <c r="AQ149" i="18" s="1"/>
  <c r="AS149" i="18" s="1"/>
  <c r="BA135" i="18"/>
  <c r="BD134" i="18"/>
  <c r="AC136" i="18"/>
  <c r="AF135" i="18"/>
  <c r="BP136" i="18"/>
  <c r="AC139" i="17"/>
  <c r="AF138" i="17"/>
  <c r="BB140" i="17"/>
  <c r="BC140" i="17" s="1"/>
  <c r="BE140" i="17" s="1"/>
  <c r="AP136" i="17"/>
  <c r="BM139" i="17"/>
  <c r="BP138" i="17"/>
  <c r="AO137" i="16"/>
  <c r="AR136" i="16"/>
  <c r="BB139" i="16"/>
  <c r="BC139" i="16" s="1"/>
  <c r="BE139" i="16" s="1"/>
  <c r="BM139" i="16"/>
  <c r="BP138" i="16"/>
  <c r="AD140" i="16"/>
  <c r="AE140" i="16" s="1"/>
  <c r="AG140" i="16" s="1"/>
  <c r="BP144" i="14"/>
  <c r="BN145" i="14"/>
  <c r="BO145" i="14" s="1"/>
  <c r="BQ145" i="14" s="1"/>
  <c r="BB139" i="14"/>
  <c r="BC139" i="14" s="1"/>
  <c r="BE139" i="14" s="1"/>
  <c r="AO146" i="14"/>
  <c r="AR145" i="14"/>
  <c r="AE99" i="14"/>
  <c r="AG99" i="14" s="1"/>
  <c r="R32" i="14"/>
  <c r="S32" i="14" s="1"/>
  <c r="T73" i="17" l="1"/>
  <c r="R74" i="17"/>
  <c r="S74" i="17" s="1"/>
  <c r="U74" i="17" s="1"/>
  <c r="Q75" i="17" s="1"/>
  <c r="G41" i="19"/>
  <c r="H41" i="19" s="1"/>
  <c r="J41" i="19" s="1"/>
  <c r="R72" i="18"/>
  <c r="S72" i="18" s="1"/>
  <c r="U72" i="18" s="1"/>
  <c r="Q73" i="18" s="1"/>
  <c r="R69" i="16"/>
  <c r="I42" i="16"/>
  <c r="T71" i="18"/>
  <c r="T68" i="16"/>
  <c r="F43" i="16"/>
  <c r="G43" i="16" s="1"/>
  <c r="K42" i="16"/>
  <c r="G42" i="14"/>
  <c r="H42" i="14" s="1"/>
  <c r="J42" i="14" s="1"/>
  <c r="G45" i="17"/>
  <c r="H45" i="17" s="1"/>
  <c r="J45" i="17" s="1"/>
  <c r="F46" i="18"/>
  <c r="K45" i="18"/>
  <c r="I45" i="18"/>
  <c r="S45" i="19"/>
  <c r="U45" i="19" s="1"/>
  <c r="BN150" i="19"/>
  <c r="BO150" i="19" s="1"/>
  <c r="BQ150" i="19" s="1"/>
  <c r="AP139" i="19"/>
  <c r="AQ139" i="19" s="1"/>
  <c r="AS139" i="19" s="1"/>
  <c r="AD137" i="19"/>
  <c r="BA147" i="19"/>
  <c r="BD146" i="19"/>
  <c r="BB135" i="18"/>
  <c r="BC135" i="18" s="1"/>
  <c r="BE135" i="18" s="1"/>
  <c r="AO150" i="18"/>
  <c r="AR149" i="18"/>
  <c r="BN137" i="18"/>
  <c r="BO137" i="18" s="1"/>
  <c r="BQ137" i="18" s="1"/>
  <c r="AD136" i="18"/>
  <c r="AE136" i="18" s="1"/>
  <c r="AG136" i="18" s="1"/>
  <c r="BD140" i="17"/>
  <c r="BN139" i="17"/>
  <c r="BO139" i="17" s="1"/>
  <c r="BQ139" i="17" s="1"/>
  <c r="BA141" i="17"/>
  <c r="AD139" i="17"/>
  <c r="AE139" i="17" s="1"/>
  <c r="AG139" i="17" s="1"/>
  <c r="AQ136" i="17"/>
  <c r="AS136" i="17" s="1"/>
  <c r="BA140" i="16"/>
  <c r="BD139" i="16"/>
  <c r="AC141" i="16"/>
  <c r="AF140" i="16"/>
  <c r="BN139" i="16"/>
  <c r="BO139" i="16" s="1"/>
  <c r="BQ139" i="16" s="1"/>
  <c r="AP137" i="16"/>
  <c r="AQ137" i="16" s="1"/>
  <c r="AS137" i="16" s="1"/>
  <c r="BM146" i="14"/>
  <c r="BP145" i="14"/>
  <c r="BA140" i="14"/>
  <c r="BD139" i="14"/>
  <c r="AP146" i="14"/>
  <c r="AQ146" i="14" s="1"/>
  <c r="AS146" i="14" s="1"/>
  <c r="AC100" i="14"/>
  <c r="AF99" i="14"/>
  <c r="U32" i="14"/>
  <c r="R73" i="18" l="1"/>
  <c r="S73" i="18" s="1"/>
  <c r="U73" i="18" s="1"/>
  <c r="Q74" i="18" s="1"/>
  <c r="R74" i="18" s="1"/>
  <c r="T72" i="18"/>
  <c r="F42" i="19"/>
  <c r="K41" i="19"/>
  <c r="I41" i="19"/>
  <c r="R75" i="17"/>
  <c r="T74" i="17"/>
  <c r="S69" i="16"/>
  <c r="U69" i="16" s="1"/>
  <c r="Q70" i="16" s="1"/>
  <c r="K42" i="14"/>
  <c r="F43" i="14"/>
  <c r="I42" i="14"/>
  <c r="H43" i="16"/>
  <c r="J43" i="16" s="1"/>
  <c r="F46" i="17"/>
  <c r="K45" i="17"/>
  <c r="I45" i="17"/>
  <c r="G46" i="18"/>
  <c r="H46" i="18" s="1"/>
  <c r="J46" i="18" s="1"/>
  <c r="Q46" i="19"/>
  <c r="R46" i="19" s="1"/>
  <c r="C45" i="15"/>
  <c r="E45" i="15" s="1"/>
  <c r="T45" i="19"/>
  <c r="AO140" i="19"/>
  <c r="AR139" i="19"/>
  <c r="BM151" i="19"/>
  <c r="BB147" i="19"/>
  <c r="BP150" i="19"/>
  <c r="AE137" i="19"/>
  <c r="AG137" i="19" s="1"/>
  <c r="AC137" i="18"/>
  <c r="AP150" i="18"/>
  <c r="AQ150" i="18" s="1"/>
  <c r="AS150" i="18" s="1"/>
  <c r="AF136" i="18"/>
  <c r="BM138" i="18"/>
  <c r="BA136" i="18"/>
  <c r="BP137" i="18"/>
  <c r="BD135" i="18"/>
  <c r="AF139" i="17"/>
  <c r="BM140" i="17"/>
  <c r="AC140" i="17"/>
  <c r="BB141" i="17"/>
  <c r="BP139" i="17"/>
  <c r="AO137" i="17"/>
  <c r="AR136" i="17"/>
  <c r="AD141" i="16"/>
  <c r="AE141" i="16" s="1"/>
  <c r="AG141" i="16" s="1"/>
  <c r="BP139" i="16"/>
  <c r="AO138" i="16"/>
  <c r="BM140" i="16"/>
  <c r="AR137" i="16"/>
  <c r="BB140" i="16"/>
  <c r="BC140" i="16" s="1"/>
  <c r="BE140" i="16" s="1"/>
  <c r="BN146" i="14"/>
  <c r="BO146" i="14" s="1"/>
  <c r="BQ146" i="14" s="1"/>
  <c r="BB140" i="14"/>
  <c r="AO147" i="14"/>
  <c r="AR146" i="14"/>
  <c r="AD100" i="14"/>
  <c r="Q33" i="14"/>
  <c r="T32" i="14"/>
  <c r="I43" i="16" l="1"/>
  <c r="G42" i="19"/>
  <c r="H42" i="19" s="1"/>
  <c r="J42" i="19" s="1"/>
  <c r="R70" i="16"/>
  <c r="S70" i="16" s="1"/>
  <c r="U70" i="16" s="1"/>
  <c r="Q71" i="16" s="1"/>
  <c r="S74" i="18"/>
  <c r="U74" i="18" s="1"/>
  <c r="Q75" i="18" s="1"/>
  <c r="T73" i="18"/>
  <c r="S75" i="17"/>
  <c r="U75" i="17" s="1"/>
  <c r="Q76" i="17" s="1"/>
  <c r="T69" i="16"/>
  <c r="F44" i="16"/>
  <c r="G44" i="16" s="1"/>
  <c r="K43" i="16"/>
  <c r="G43" i="14"/>
  <c r="H43" i="14" s="1"/>
  <c r="J43" i="14" s="1"/>
  <c r="G46" i="17"/>
  <c r="H46" i="17" s="1"/>
  <c r="J46" i="17" s="1"/>
  <c r="F47" i="18"/>
  <c r="K46" i="18"/>
  <c r="I46" i="18"/>
  <c r="S46" i="19"/>
  <c r="U46" i="19" s="1"/>
  <c r="BN151" i="19"/>
  <c r="BO151" i="19" s="1"/>
  <c r="BQ151" i="19" s="1"/>
  <c r="AP140" i="19"/>
  <c r="AQ140" i="19" s="1"/>
  <c r="AS140" i="19" s="1"/>
  <c r="AF137" i="19"/>
  <c r="AC138" i="19"/>
  <c r="BC147" i="19"/>
  <c r="BE147" i="19" s="1"/>
  <c r="AO151" i="18"/>
  <c r="AR150" i="18"/>
  <c r="AD137" i="18"/>
  <c r="AE137" i="18" s="1"/>
  <c r="AG137" i="18" s="1"/>
  <c r="BN138" i="18"/>
  <c r="BO138" i="18" s="1"/>
  <c r="BQ138" i="18" s="1"/>
  <c r="BB136" i="18"/>
  <c r="BC136" i="18" s="1"/>
  <c r="BE136" i="18" s="1"/>
  <c r="AD140" i="17"/>
  <c r="AE140" i="17" s="1"/>
  <c r="AG140" i="17" s="1"/>
  <c r="AP137" i="17"/>
  <c r="AQ137" i="17" s="1"/>
  <c r="AS137" i="17" s="1"/>
  <c r="BN140" i="17"/>
  <c r="BC141" i="17"/>
  <c r="BE141" i="17" s="1"/>
  <c r="BN140" i="16"/>
  <c r="BO140" i="16" s="1"/>
  <c r="BQ140" i="16" s="1"/>
  <c r="AP138" i="16"/>
  <c r="AQ138" i="16" s="1"/>
  <c r="AS138" i="16" s="1"/>
  <c r="BD140" i="16"/>
  <c r="BA141" i="16"/>
  <c r="AC142" i="16"/>
  <c r="AF141" i="16"/>
  <c r="BM147" i="14"/>
  <c r="BP146" i="14"/>
  <c r="BC140" i="14"/>
  <c r="BE140" i="14" s="1"/>
  <c r="AP147" i="14"/>
  <c r="AQ147" i="14" s="1"/>
  <c r="AS147" i="14" s="1"/>
  <c r="AE100" i="14"/>
  <c r="AG100" i="14" s="1"/>
  <c r="R33" i="14"/>
  <c r="S33" i="14" s="1"/>
  <c r="T74" i="18" l="1"/>
  <c r="R71" i="16"/>
  <c r="S71" i="16" s="1"/>
  <c r="U71" i="16" s="1"/>
  <c r="Q72" i="16" s="1"/>
  <c r="R75" i="18"/>
  <c r="S75" i="18" s="1"/>
  <c r="U75" i="18" s="1"/>
  <c r="Q76" i="18" s="1"/>
  <c r="T70" i="16"/>
  <c r="K42" i="19"/>
  <c r="F43" i="19"/>
  <c r="I42" i="19"/>
  <c r="R76" i="17"/>
  <c r="S76" i="17" s="1"/>
  <c r="U76" i="17" s="1"/>
  <c r="Q77" i="17" s="1"/>
  <c r="T75" i="17"/>
  <c r="K43" i="14"/>
  <c r="F44" i="14"/>
  <c r="I43" i="14"/>
  <c r="H44" i="16"/>
  <c r="J44" i="16" s="1"/>
  <c r="T46" i="19"/>
  <c r="F47" i="17"/>
  <c r="K46" i="17"/>
  <c r="I46" i="17"/>
  <c r="G47" i="18"/>
  <c r="Q47" i="19"/>
  <c r="R47" i="19" s="1"/>
  <c r="C46" i="15"/>
  <c r="E46" i="15" s="1"/>
  <c r="AO141" i="19"/>
  <c r="BA148" i="19"/>
  <c r="AR140" i="19"/>
  <c r="AD138" i="19"/>
  <c r="AE138" i="19" s="1"/>
  <c r="AG138" i="19" s="1"/>
  <c r="BM152" i="19"/>
  <c r="BD147" i="19"/>
  <c r="BP151" i="19"/>
  <c r="AC138" i="18"/>
  <c r="BA137" i="18"/>
  <c r="BD136" i="18"/>
  <c r="AF137" i="18"/>
  <c r="BM139" i="18"/>
  <c r="AP151" i="18"/>
  <c r="AQ151" i="18" s="1"/>
  <c r="AS151" i="18" s="1"/>
  <c r="BP138" i="18"/>
  <c r="AO138" i="17"/>
  <c r="AR137" i="17"/>
  <c r="BA142" i="17"/>
  <c r="AC141" i="17"/>
  <c r="AF140" i="17"/>
  <c r="BO140" i="17"/>
  <c r="BQ140" i="17" s="1"/>
  <c r="BD141" i="17"/>
  <c r="AD142" i="16"/>
  <c r="AE142" i="16" s="1"/>
  <c r="AG142" i="16" s="1"/>
  <c r="AO139" i="16"/>
  <c r="AR138" i="16"/>
  <c r="BM141" i="16"/>
  <c r="BB141" i="16"/>
  <c r="BC141" i="16" s="1"/>
  <c r="BE141" i="16" s="1"/>
  <c r="BP140" i="16"/>
  <c r="BN147" i="14"/>
  <c r="BO147" i="14" s="1"/>
  <c r="BQ147" i="14" s="1"/>
  <c r="BA141" i="14"/>
  <c r="BD140" i="14"/>
  <c r="AR147" i="14"/>
  <c r="AO148" i="14"/>
  <c r="AC101" i="14"/>
  <c r="AF100" i="14"/>
  <c r="U33" i="14"/>
  <c r="G43" i="19" l="1"/>
  <c r="H43" i="19" s="1"/>
  <c r="J43" i="19" s="1"/>
  <c r="R76" i="18"/>
  <c r="S76" i="18" s="1"/>
  <c r="U76" i="18" s="1"/>
  <c r="Q77" i="18" s="1"/>
  <c r="T75" i="18"/>
  <c r="R77" i="17"/>
  <c r="S77" i="17" s="1"/>
  <c r="U77" i="17" s="1"/>
  <c r="Q78" i="17" s="1"/>
  <c r="R72" i="16"/>
  <c r="T76" i="17"/>
  <c r="T71" i="16"/>
  <c r="I44" i="16"/>
  <c r="F45" i="16"/>
  <c r="G45" i="16" s="1"/>
  <c r="K44" i="16"/>
  <c r="G44" i="14"/>
  <c r="H44" i="14" s="1"/>
  <c r="J44" i="14" s="1"/>
  <c r="G47" i="17"/>
  <c r="H47" i="18"/>
  <c r="J47" i="18" s="1"/>
  <c r="S47" i="19"/>
  <c r="U47" i="19" s="1"/>
  <c r="AC139" i="19"/>
  <c r="BN152" i="19"/>
  <c r="BO152" i="19" s="1"/>
  <c r="BQ152" i="19" s="1"/>
  <c r="AF138" i="19"/>
  <c r="BB148" i="19"/>
  <c r="BC148" i="19" s="1"/>
  <c r="BE148" i="19" s="1"/>
  <c r="AP141" i="19"/>
  <c r="AQ141" i="19" s="1"/>
  <c r="AS141" i="19" s="1"/>
  <c r="AO152" i="18"/>
  <c r="AR151" i="18"/>
  <c r="BN139" i="18"/>
  <c r="BO139" i="18" s="1"/>
  <c r="BQ139" i="18" s="1"/>
  <c r="BB137" i="18"/>
  <c r="AD138" i="18"/>
  <c r="AE138" i="18" s="1"/>
  <c r="AG138" i="18" s="1"/>
  <c r="BB142" i="17"/>
  <c r="BC142" i="17" s="1"/>
  <c r="BE142" i="17" s="1"/>
  <c r="AP138" i="17"/>
  <c r="AQ138" i="17" s="1"/>
  <c r="AS138" i="17" s="1"/>
  <c r="BM141" i="17"/>
  <c r="AD141" i="17"/>
  <c r="AE141" i="17" s="1"/>
  <c r="AG141" i="17" s="1"/>
  <c r="BP140" i="17"/>
  <c r="AP139" i="16"/>
  <c r="AQ139" i="16" s="1"/>
  <c r="AS139" i="16" s="1"/>
  <c r="BD141" i="16"/>
  <c r="AC143" i="16"/>
  <c r="BA142" i="16"/>
  <c r="BN141" i="16"/>
  <c r="AF142" i="16"/>
  <c r="BM148" i="14"/>
  <c r="BP147" i="14"/>
  <c r="BB141" i="14"/>
  <c r="AP148" i="14"/>
  <c r="AQ148" i="14" s="1"/>
  <c r="AS148" i="14" s="1"/>
  <c r="AD101" i="14"/>
  <c r="Q34" i="14"/>
  <c r="T33" i="14"/>
  <c r="R78" i="17" l="1"/>
  <c r="S78" i="17" s="1"/>
  <c r="U78" i="17" s="1"/>
  <c r="Q79" i="17" s="1"/>
  <c r="T77" i="17"/>
  <c r="R77" i="18"/>
  <c r="S77" i="18" s="1"/>
  <c r="U77" i="18" s="1"/>
  <c r="Q78" i="18" s="1"/>
  <c r="T76" i="18"/>
  <c r="K43" i="19"/>
  <c r="F44" i="19"/>
  <c r="G44" i="19" s="1"/>
  <c r="S72" i="16"/>
  <c r="U72" i="16" s="1"/>
  <c r="Q73" i="16" s="1"/>
  <c r="I43" i="19"/>
  <c r="F45" i="14"/>
  <c r="G45" i="14" s="1"/>
  <c r="K44" i="14"/>
  <c r="I44" i="14"/>
  <c r="H45" i="16"/>
  <c r="J45" i="16" s="1"/>
  <c r="H47" i="17"/>
  <c r="J47" i="17" s="1"/>
  <c r="F48" i="18"/>
  <c r="K47" i="18"/>
  <c r="I47" i="18"/>
  <c r="T47" i="19"/>
  <c r="Q48" i="19"/>
  <c r="R48" i="19" s="1"/>
  <c r="C47" i="15"/>
  <c r="E47" i="15" s="1"/>
  <c r="AO142" i="19"/>
  <c r="BM153" i="19"/>
  <c r="AR141" i="19"/>
  <c r="BP152" i="19"/>
  <c r="BA149" i="19"/>
  <c r="BD148" i="19"/>
  <c r="AD139" i="19"/>
  <c r="AE139" i="19" s="1"/>
  <c r="AG139" i="19" s="1"/>
  <c r="AC139" i="18"/>
  <c r="BP139" i="18"/>
  <c r="BM140" i="18"/>
  <c r="AP152" i="18"/>
  <c r="AF138" i="18"/>
  <c r="BC137" i="18"/>
  <c r="BE137" i="18" s="1"/>
  <c r="AC142" i="17"/>
  <c r="AF141" i="17"/>
  <c r="AO139" i="17"/>
  <c r="BN141" i="17"/>
  <c r="BO141" i="17" s="1"/>
  <c r="BQ141" i="17" s="1"/>
  <c r="AR138" i="17"/>
  <c r="BA143" i="17"/>
  <c r="BD142" i="17"/>
  <c r="AO140" i="16"/>
  <c r="BB142" i="16"/>
  <c r="BC142" i="16" s="1"/>
  <c r="BE142" i="16" s="1"/>
  <c r="AD143" i="16"/>
  <c r="AE143" i="16" s="1"/>
  <c r="AG143" i="16" s="1"/>
  <c r="BO141" i="16"/>
  <c r="BQ141" i="16" s="1"/>
  <c r="AR139" i="16"/>
  <c r="BN148" i="14"/>
  <c r="BO148" i="14" s="1"/>
  <c r="BQ148" i="14" s="1"/>
  <c r="BC141" i="14"/>
  <c r="BE141" i="14" s="1"/>
  <c r="AO149" i="14"/>
  <c r="AR148" i="14"/>
  <c r="AE101" i="14"/>
  <c r="AG101" i="14" s="1"/>
  <c r="R34" i="14"/>
  <c r="S34" i="14" s="1"/>
  <c r="I45" i="16" l="1"/>
  <c r="R78" i="18"/>
  <c r="S78" i="18" s="1"/>
  <c r="U78" i="18" s="1"/>
  <c r="Q79" i="18" s="1"/>
  <c r="T77" i="18"/>
  <c r="T72" i="16"/>
  <c r="R73" i="16"/>
  <c r="S73" i="16" s="1"/>
  <c r="U73" i="16" s="1"/>
  <c r="Q74" i="16" s="1"/>
  <c r="R79" i="17"/>
  <c r="H44" i="19"/>
  <c r="J44" i="19" s="1"/>
  <c r="T78" i="17"/>
  <c r="F46" i="16"/>
  <c r="G46" i="16" s="1"/>
  <c r="K45" i="16"/>
  <c r="H45" i="14"/>
  <c r="J45" i="14" s="1"/>
  <c r="F48" i="17"/>
  <c r="K47" i="17"/>
  <c r="I47" i="17"/>
  <c r="G48" i="18"/>
  <c r="H48" i="18" s="1"/>
  <c r="J48" i="18" s="1"/>
  <c r="S48" i="19"/>
  <c r="U48" i="19" s="1"/>
  <c r="BP141" i="16"/>
  <c r="AF139" i="19"/>
  <c r="BB149" i="19"/>
  <c r="BC149" i="19" s="1"/>
  <c r="BE149" i="19" s="1"/>
  <c r="AC140" i="19"/>
  <c r="BN153" i="19"/>
  <c r="AP142" i="19"/>
  <c r="AQ142" i="19" s="1"/>
  <c r="AS142" i="19" s="1"/>
  <c r="BA138" i="18"/>
  <c r="BN140" i="18"/>
  <c r="BO140" i="18" s="1"/>
  <c r="BQ140" i="18" s="1"/>
  <c r="BD137" i="18"/>
  <c r="AD139" i="18"/>
  <c r="AE139" i="18" s="1"/>
  <c r="AG139" i="18" s="1"/>
  <c r="AQ152" i="18"/>
  <c r="AS152" i="18" s="1"/>
  <c r="AP139" i="17"/>
  <c r="AQ139" i="17" s="1"/>
  <c r="AS139" i="17" s="1"/>
  <c r="AD142" i="17"/>
  <c r="AE142" i="17" s="1"/>
  <c r="AG142" i="17" s="1"/>
  <c r="BB143" i="17"/>
  <c r="BM142" i="17"/>
  <c r="BP141" i="17"/>
  <c r="BA143" i="16"/>
  <c r="BD142" i="16"/>
  <c r="AC144" i="16"/>
  <c r="AF143" i="16"/>
  <c r="BM142" i="16"/>
  <c r="AP140" i="16"/>
  <c r="AQ140" i="16" s="1"/>
  <c r="AS140" i="16" s="1"/>
  <c r="BM149" i="14"/>
  <c r="BP148" i="14"/>
  <c r="BA142" i="14"/>
  <c r="BD141" i="14"/>
  <c r="AP149" i="14"/>
  <c r="AQ149" i="14" s="1"/>
  <c r="AS149" i="14" s="1"/>
  <c r="AC102" i="14"/>
  <c r="AF101" i="14"/>
  <c r="U34" i="14"/>
  <c r="I44" i="19" l="1"/>
  <c r="R74" i="16"/>
  <c r="S74" i="16" s="1"/>
  <c r="U74" i="16" s="1"/>
  <c r="Q75" i="16" s="1"/>
  <c r="T73" i="16"/>
  <c r="S79" i="17"/>
  <c r="U79" i="17" s="1"/>
  <c r="Q80" i="17" s="1"/>
  <c r="R79" i="18"/>
  <c r="S79" i="18" s="1"/>
  <c r="U79" i="18" s="1"/>
  <c r="Q80" i="18" s="1"/>
  <c r="K44" i="19"/>
  <c r="F45" i="19"/>
  <c r="T78" i="18"/>
  <c r="I45" i="14"/>
  <c r="K45" i="14"/>
  <c r="F46" i="14"/>
  <c r="H46" i="16"/>
  <c r="J46" i="16" s="1"/>
  <c r="G48" i="17"/>
  <c r="H48" i="17" s="1"/>
  <c r="J48" i="17" s="1"/>
  <c r="F49" i="18"/>
  <c r="K48" i="18"/>
  <c r="I48" i="18"/>
  <c r="T48" i="19"/>
  <c r="Q49" i="19"/>
  <c r="R49" i="19" s="1"/>
  <c r="C48" i="15"/>
  <c r="E48" i="15" s="1"/>
  <c r="AO143" i="19"/>
  <c r="AR142" i="19"/>
  <c r="AD140" i="19"/>
  <c r="BA150" i="19"/>
  <c r="BD149" i="19"/>
  <c r="BO153" i="19"/>
  <c r="BQ153" i="19" s="1"/>
  <c r="BM141" i="18"/>
  <c r="BP140" i="18"/>
  <c r="AO153" i="18"/>
  <c r="AC140" i="18"/>
  <c r="AF139" i="18"/>
  <c r="BB138" i="18"/>
  <c r="BC138" i="18" s="1"/>
  <c r="BE138" i="18" s="1"/>
  <c r="AR152" i="18"/>
  <c r="AF142" i="17"/>
  <c r="AC143" i="17"/>
  <c r="BN142" i="17"/>
  <c r="BO142" i="17" s="1"/>
  <c r="BQ142" i="17" s="1"/>
  <c r="AO140" i="17"/>
  <c r="BC143" i="17"/>
  <c r="BE143" i="17" s="1"/>
  <c r="AR139" i="17"/>
  <c r="AO141" i="16"/>
  <c r="AR140" i="16"/>
  <c r="AD144" i="16"/>
  <c r="AE144" i="16" s="1"/>
  <c r="AG144" i="16" s="1"/>
  <c r="BN142" i="16"/>
  <c r="BO142" i="16" s="1"/>
  <c r="BQ142" i="16" s="1"/>
  <c r="BB143" i="16"/>
  <c r="BC143" i="16" s="1"/>
  <c r="BE143" i="16" s="1"/>
  <c r="BN149" i="14"/>
  <c r="BO149" i="14" s="1"/>
  <c r="BQ149" i="14" s="1"/>
  <c r="BB142" i="14"/>
  <c r="AO150" i="14"/>
  <c r="AR149" i="14"/>
  <c r="AD102" i="14"/>
  <c r="Q35" i="14"/>
  <c r="T34" i="14"/>
  <c r="R80" i="18" l="1"/>
  <c r="S80" i="18" s="1"/>
  <c r="U80" i="18" s="1"/>
  <c r="Q81" i="18" s="1"/>
  <c r="T79" i="18"/>
  <c r="R80" i="17"/>
  <c r="S80" i="17" s="1"/>
  <c r="U80" i="17" s="1"/>
  <c r="Q81" i="17" s="1"/>
  <c r="R75" i="16"/>
  <c r="S75" i="16" s="1"/>
  <c r="U75" i="16" s="1"/>
  <c r="Q76" i="16" s="1"/>
  <c r="T74" i="16"/>
  <c r="G45" i="19"/>
  <c r="H45" i="19" s="1"/>
  <c r="J45" i="19" s="1"/>
  <c r="T79" i="17"/>
  <c r="I46" i="16"/>
  <c r="F47" i="16"/>
  <c r="G47" i="16" s="1"/>
  <c r="K46" i="16"/>
  <c r="G46" i="14"/>
  <c r="H46" i="14" s="1"/>
  <c r="J46" i="14" s="1"/>
  <c r="F49" i="17"/>
  <c r="K48" i="17"/>
  <c r="I48" i="17"/>
  <c r="G49" i="18"/>
  <c r="H49" i="18" s="1"/>
  <c r="J49" i="18" s="1"/>
  <c r="S49" i="19"/>
  <c r="U49" i="19" s="1"/>
  <c r="BM154" i="19"/>
  <c r="BP153" i="19"/>
  <c r="BB150" i="19"/>
  <c r="BC150" i="19" s="1"/>
  <c r="BE150" i="19" s="1"/>
  <c r="AP143" i="19"/>
  <c r="AE140" i="19"/>
  <c r="AG140" i="19" s="1"/>
  <c r="AD140" i="18"/>
  <c r="AE140" i="18" s="1"/>
  <c r="AG140" i="18" s="1"/>
  <c r="BA139" i="18"/>
  <c r="AP153" i="18"/>
  <c r="AQ153" i="18" s="1"/>
  <c r="AS153" i="18" s="1"/>
  <c r="BD138" i="18"/>
  <c r="BN141" i="18"/>
  <c r="BO141" i="18" s="1"/>
  <c r="BQ141" i="18" s="1"/>
  <c r="BM143" i="17"/>
  <c r="BP142" i="17"/>
  <c r="AD143" i="17"/>
  <c r="AE143" i="17" s="1"/>
  <c r="AG143" i="17" s="1"/>
  <c r="BA144" i="17"/>
  <c r="AP140" i="17"/>
  <c r="AQ140" i="17" s="1"/>
  <c r="AS140" i="17" s="1"/>
  <c r="BD143" i="17"/>
  <c r="AF144" i="16"/>
  <c r="BD143" i="16"/>
  <c r="AP141" i="16"/>
  <c r="AQ141" i="16" s="1"/>
  <c r="AS141" i="16" s="1"/>
  <c r="AC145" i="16"/>
  <c r="BM143" i="16"/>
  <c r="BP142" i="16"/>
  <c r="BA144" i="16"/>
  <c r="BM150" i="14"/>
  <c r="BP149" i="14"/>
  <c r="BC142" i="14"/>
  <c r="BE142" i="14" s="1"/>
  <c r="AP150" i="14"/>
  <c r="AE102" i="14"/>
  <c r="AG102" i="14" s="1"/>
  <c r="R35" i="14"/>
  <c r="S35" i="14" s="1"/>
  <c r="R76" i="16" l="1"/>
  <c r="S76" i="16" s="1"/>
  <c r="U76" i="16" s="1"/>
  <c r="Q77" i="16" s="1"/>
  <c r="T75" i="16"/>
  <c r="R81" i="17"/>
  <c r="S81" i="17" s="1"/>
  <c r="U81" i="17" s="1"/>
  <c r="Q82" i="17" s="1"/>
  <c r="T80" i="17"/>
  <c r="F46" i="19"/>
  <c r="K45" i="19"/>
  <c r="R81" i="18"/>
  <c r="S81" i="18" s="1"/>
  <c r="U81" i="18" s="1"/>
  <c r="Q82" i="18" s="1"/>
  <c r="I45" i="19"/>
  <c r="T80" i="18"/>
  <c r="K46" i="14"/>
  <c r="F47" i="14"/>
  <c r="I46" i="14"/>
  <c r="H47" i="16"/>
  <c r="J47" i="16" s="1"/>
  <c r="G49" i="17"/>
  <c r="H49" i="17" s="1"/>
  <c r="J49" i="17" s="1"/>
  <c r="F50" i="18"/>
  <c r="K49" i="18"/>
  <c r="I49" i="18"/>
  <c r="T49" i="19"/>
  <c r="Q50" i="19"/>
  <c r="R50" i="19" s="1"/>
  <c r="C49" i="15"/>
  <c r="E49" i="15" s="1"/>
  <c r="BA151" i="19"/>
  <c r="BD150" i="19"/>
  <c r="AC141" i="19"/>
  <c r="BN154" i="19"/>
  <c r="BO154" i="19" s="1"/>
  <c r="BQ154" i="19" s="1"/>
  <c r="AF140" i="19"/>
  <c r="AQ143" i="19"/>
  <c r="AS143" i="19" s="1"/>
  <c r="BM142" i="18"/>
  <c r="AO154" i="18"/>
  <c r="AR153" i="18"/>
  <c r="BB139" i="18"/>
  <c r="BC139" i="18" s="1"/>
  <c r="BE139" i="18" s="1"/>
  <c r="BP141" i="18"/>
  <c r="AC141" i="18"/>
  <c r="AF140" i="18"/>
  <c r="AC144" i="17"/>
  <c r="AO141" i="17"/>
  <c r="BB144" i="17"/>
  <c r="BC144" i="17" s="1"/>
  <c r="BE144" i="17" s="1"/>
  <c r="AR140" i="17"/>
  <c r="BN143" i="17"/>
  <c r="BO143" i="17" s="1"/>
  <c r="BQ143" i="17" s="1"/>
  <c r="AF143" i="17"/>
  <c r="BN143" i="16"/>
  <c r="BO143" i="16" s="1"/>
  <c r="BQ143" i="16" s="1"/>
  <c r="AD145" i="16"/>
  <c r="AE145" i="16" s="1"/>
  <c r="AG145" i="16" s="1"/>
  <c r="AO142" i="16"/>
  <c r="BB144" i="16"/>
  <c r="BC144" i="16" s="1"/>
  <c r="BE144" i="16" s="1"/>
  <c r="AR141" i="16"/>
  <c r="BN150" i="14"/>
  <c r="BO150" i="14" s="1"/>
  <c r="BQ150" i="14" s="1"/>
  <c r="BA143" i="14"/>
  <c r="BD142" i="14"/>
  <c r="AQ150" i="14"/>
  <c r="AS150" i="14" s="1"/>
  <c r="AO151" i="14" s="1"/>
  <c r="AC103" i="14"/>
  <c r="AF102" i="14"/>
  <c r="U35" i="14"/>
  <c r="R82" i="18" l="1"/>
  <c r="S82" i="18" s="1"/>
  <c r="U82" i="18" s="1"/>
  <c r="Q83" i="18" s="1"/>
  <c r="G46" i="19"/>
  <c r="H46" i="19" s="1"/>
  <c r="J46" i="19" s="1"/>
  <c r="R82" i="17"/>
  <c r="S82" i="17" s="1"/>
  <c r="U82" i="17" s="1"/>
  <c r="Q83" i="17" s="1"/>
  <c r="T81" i="17"/>
  <c r="T81" i="18"/>
  <c r="R77" i="16"/>
  <c r="S77" i="16" s="1"/>
  <c r="U77" i="16" s="1"/>
  <c r="Q78" i="16" s="1"/>
  <c r="T76" i="16"/>
  <c r="I47" i="16"/>
  <c r="F48" i="16"/>
  <c r="G48" i="16" s="1"/>
  <c r="K47" i="16"/>
  <c r="G47" i="14"/>
  <c r="H47" i="14" s="1"/>
  <c r="J47" i="14" s="1"/>
  <c r="F50" i="17"/>
  <c r="K49" i="17"/>
  <c r="I49" i="17"/>
  <c r="G50" i="18"/>
  <c r="H50" i="18" s="1"/>
  <c r="J50" i="18" s="1"/>
  <c r="S50" i="19"/>
  <c r="U50" i="19" s="1"/>
  <c r="AO144" i="19"/>
  <c r="BM155" i="19"/>
  <c r="AR143" i="19"/>
  <c r="BP154" i="19"/>
  <c r="BB151" i="19"/>
  <c r="BC151" i="19" s="1"/>
  <c r="BE151" i="19" s="1"/>
  <c r="AD141" i="19"/>
  <c r="AE141" i="19" s="1"/>
  <c r="AG141" i="19" s="1"/>
  <c r="AD141" i="18"/>
  <c r="AE141" i="18" s="1"/>
  <c r="AG141" i="18" s="1"/>
  <c r="AP154" i="18"/>
  <c r="AQ154" i="18" s="1"/>
  <c r="AS154" i="18" s="1"/>
  <c r="BA140" i="18"/>
  <c r="BD139" i="18"/>
  <c r="BN142" i="18"/>
  <c r="BO142" i="18" s="1"/>
  <c r="BQ142" i="18" s="1"/>
  <c r="BA145" i="17"/>
  <c r="AP141" i="17"/>
  <c r="AQ141" i="17" s="1"/>
  <c r="AS141" i="17" s="1"/>
  <c r="BD144" i="17"/>
  <c r="BM144" i="17"/>
  <c r="BP143" i="17"/>
  <c r="AD144" i="17"/>
  <c r="AE144" i="17" s="1"/>
  <c r="AG144" i="17" s="1"/>
  <c r="AC146" i="16"/>
  <c r="AF145" i="16"/>
  <c r="BM144" i="16"/>
  <c r="BD144" i="16"/>
  <c r="BP143" i="16"/>
  <c r="BA145" i="16"/>
  <c r="AP142" i="16"/>
  <c r="AQ142" i="16" s="1"/>
  <c r="AS142" i="16" s="1"/>
  <c r="BM151" i="14"/>
  <c r="BP150" i="14"/>
  <c r="BB143" i="14"/>
  <c r="BC143" i="14" s="1"/>
  <c r="BE143" i="14" s="1"/>
  <c r="AR150" i="14"/>
  <c r="AP151" i="14"/>
  <c r="AQ151" i="14" s="1"/>
  <c r="AS151" i="14" s="1"/>
  <c r="AD103" i="14"/>
  <c r="Q36" i="14"/>
  <c r="T35" i="14"/>
  <c r="K46" i="19" l="1"/>
  <c r="F47" i="19"/>
  <c r="R83" i="17"/>
  <c r="S83" i="17" s="1"/>
  <c r="U83" i="17" s="1"/>
  <c r="Q84" i="17" s="1"/>
  <c r="T82" i="17"/>
  <c r="I46" i="19"/>
  <c r="R78" i="16"/>
  <c r="S78" i="16" s="1"/>
  <c r="U78" i="16" s="1"/>
  <c r="Q79" i="16" s="1"/>
  <c r="R83" i="18"/>
  <c r="S83" i="18" s="1"/>
  <c r="U83" i="18" s="1"/>
  <c r="Q84" i="18" s="1"/>
  <c r="T77" i="16"/>
  <c r="T82" i="18"/>
  <c r="I47" i="14"/>
  <c r="K47" i="14"/>
  <c r="F48" i="14"/>
  <c r="H48" i="16"/>
  <c r="J48" i="16" s="1"/>
  <c r="G50" i="17"/>
  <c r="H50" i="17" s="1"/>
  <c r="J50" i="17" s="1"/>
  <c r="F51" i="18"/>
  <c r="K50" i="18"/>
  <c r="I50" i="18"/>
  <c r="Q51" i="19"/>
  <c r="R51" i="19" s="1"/>
  <c r="C50" i="15"/>
  <c r="E50" i="15" s="1"/>
  <c r="T50" i="19"/>
  <c r="AC142" i="19"/>
  <c r="AF141" i="19"/>
  <c r="BA152" i="19"/>
  <c r="AP144" i="19"/>
  <c r="AQ144" i="19" s="1"/>
  <c r="AS144" i="19" s="1"/>
  <c r="BD151" i="19"/>
  <c r="BN155" i="19"/>
  <c r="BO155" i="19" s="1"/>
  <c r="BQ155" i="19" s="1"/>
  <c r="AO155" i="18"/>
  <c r="BM143" i="18"/>
  <c r="AR154" i="18"/>
  <c r="BP142" i="18"/>
  <c r="AC142" i="18"/>
  <c r="AF141" i="18"/>
  <c r="BB140" i="18"/>
  <c r="BC140" i="18" s="1"/>
  <c r="BE140" i="18" s="1"/>
  <c r="AC145" i="17"/>
  <c r="AF144" i="17"/>
  <c r="AO142" i="17"/>
  <c r="AR141" i="17"/>
  <c r="BB145" i="17"/>
  <c r="BC145" i="17" s="1"/>
  <c r="BE145" i="17" s="1"/>
  <c r="BN144" i="17"/>
  <c r="BO144" i="17" s="1"/>
  <c r="BQ144" i="17" s="1"/>
  <c r="BN144" i="16"/>
  <c r="BO144" i="16" s="1"/>
  <c r="BQ144" i="16" s="1"/>
  <c r="AR142" i="16"/>
  <c r="AO143" i="16"/>
  <c r="BB145" i="16"/>
  <c r="BC145" i="16" s="1"/>
  <c r="BE145" i="16" s="1"/>
  <c r="AD146" i="16"/>
  <c r="AE146" i="16" s="1"/>
  <c r="AG146" i="16" s="1"/>
  <c r="BN151" i="14"/>
  <c r="BO151" i="14" s="1"/>
  <c r="BQ151" i="14" s="1"/>
  <c r="BA144" i="14"/>
  <c r="BD143" i="14"/>
  <c r="AO152" i="14"/>
  <c r="AR151" i="14"/>
  <c r="AE103" i="14"/>
  <c r="AG103" i="14" s="1"/>
  <c r="R36" i="14"/>
  <c r="S36" i="14" s="1"/>
  <c r="T78" i="16" l="1"/>
  <c r="R79" i="16"/>
  <c r="S79" i="16" s="1"/>
  <c r="U79" i="16" s="1"/>
  <c r="Q80" i="16" s="1"/>
  <c r="R84" i="17"/>
  <c r="S84" i="17" s="1"/>
  <c r="U84" i="17" s="1"/>
  <c r="Q85" i="17" s="1"/>
  <c r="T83" i="17"/>
  <c r="R84" i="18"/>
  <c r="G47" i="19"/>
  <c r="H47" i="19" s="1"/>
  <c r="J47" i="19" s="1"/>
  <c r="I48" i="16"/>
  <c r="T83" i="18"/>
  <c r="F49" i="16"/>
  <c r="K48" i="16"/>
  <c r="G48" i="14"/>
  <c r="H48" i="14" s="1"/>
  <c r="J48" i="14" s="1"/>
  <c r="F51" i="17"/>
  <c r="K50" i="17"/>
  <c r="I50" i="17"/>
  <c r="G51" i="18"/>
  <c r="H51" i="18" s="1"/>
  <c r="J51" i="18" s="1"/>
  <c r="S51" i="19"/>
  <c r="U51" i="19" s="1"/>
  <c r="AO145" i="19"/>
  <c r="BB152" i="19"/>
  <c r="BC152" i="19" s="1"/>
  <c r="BE152" i="19" s="1"/>
  <c r="BM156" i="19"/>
  <c r="BP155" i="19"/>
  <c r="AD142" i="19"/>
  <c r="AE142" i="19" s="1"/>
  <c r="AG142" i="19" s="1"/>
  <c r="AR144" i="19"/>
  <c r="BA141" i="18"/>
  <c r="BN143" i="18"/>
  <c r="BO143" i="18" s="1"/>
  <c r="BQ143" i="18" s="1"/>
  <c r="BD140" i="18"/>
  <c r="AD142" i="18"/>
  <c r="AE142" i="18" s="1"/>
  <c r="AG142" i="18" s="1"/>
  <c r="AP155" i="18"/>
  <c r="AQ155" i="18" s="1"/>
  <c r="AS155" i="18" s="1"/>
  <c r="BA146" i="17"/>
  <c r="AP142" i="17"/>
  <c r="AQ142" i="17" s="1"/>
  <c r="AS142" i="17" s="1"/>
  <c r="BM145" i="17"/>
  <c r="BP144" i="17"/>
  <c r="AD145" i="17"/>
  <c r="AE145" i="17" s="1"/>
  <c r="AG145" i="17" s="1"/>
  <c r="BD145" i="17"/>
  <c r="BM145" i="16"/>
  <c r="AF146" i="16"/>
  <c r="BA146" i="16"/>
  <c r="BP144" i="16"/>
  <c r="BD145" i="16"/>
  <c r="AC147" i="16"/>
  <c r="AP143" i="16"/>
  <c r="AQ143" i="16" s="1"/>
  <c r="AS143" i="16" s="1"/>
  <c r="BM152" i="14"/>
  <c r="BP151" i="14"/>
  <c r="BB144" i="14"/>
  <c r="BC144" i="14" s="1"/>
  <c r="BE144" i="14" s="1"/>
  <c r="AP152" i="14"/>
  <c r="AQ152" i="14" s="1"/>
  <c r="AS152" i="14" s="1"/>
  <c r="AC104" i="14"/>
  <c r="AF103" i="14"/>
  <c r="U36" i="14"/>
  <c r="R85" i="17" l="1"/>
  <c r="S85" i="17" s="1"/>
  <c r="U85" i="17" s="1"/>
  <c r="Q86" i="17" s="1"/>
  <c r="S84" i="18"/>
  <c r="U84" i="18" s="1"/>
  <c r="Q85" i="18" s="1"/>
  <c r="T84" i="17"/>
  <c r="R80" i="16"/>
  <c r="S80" i="16" s="1"/>
  <c r="U80" i="16" s="1"/>
  <c r="Q81" i="16" s="1"/>
  <c r="F48" i="19"/>
  <c r="K47" i="19"/>
  <c r="T79" i="16"/>
  <c r="I47" i="19"/>
  <c r="K48" i="14"/>
  <c r="F49" i="14"/>
  <c r="I48" i="14"/>
  <c r="G49" i="16"/>
  <c r="H49" i="16" s="1"/>
  <c r="J49" i="16" s="1"/>
  <c r="G51" i="17"/>
  <c r="H51" i="17" s="1"/>
  <c r="J51" i="17" s="1"/>
  <c r="F52" i="18"/>
  <c r="K51" i="18"/>
  <c r="I51" i="18"/>
  <c r="T51" i="19"/>
  <c r="Q52" i="19"/>
  <c r="R52" i="19" s="1"/>
  <c r="C51" i="15"/>
  <c r="E51" i="15" s="1"/>
  <c r="AC143" i="19"/>
  <c r="AF142" i="19"/>
  <c r="BA153" i="19"/>
  <c r="BD152" i="19"/>
  <c r="AP145" i="19"/>
  <c r="AQ145" i="19" s="1"/>
  <c r="AS145" i="19" s="1"/>
  <c r="BN156" i="19"/>
  <c r="BO156" i="19" s="1"/>
  <c r="BQ156" i="19" s="1"/>
  <c r="BM144" i="18"/>
  <c r="AO156" i="18"/>
  <c r="BP143" i="18"/>
  <c r="AR155" i="18"/>
  <c r="AC143" i="18"/>
  <c r="AF142" i="18"/>
  <c r="BB141" i="18"/>
  <c r="BC141" i="18" s="1"/>
  <c r="BE141" i="18" s="1"/>
  <c r="BN145" i="17"/>
  <c r="BO145" i="17" s="1"/>
  <c r="BQ145" i="17" s="1"/>
  <c r="AF145" i="17"/>
  <c r="AO143" i="17"/>
  <c r="AC146" i="17"/>
  <c r="AR142" i="17"/>
  <c r="BB146" i="17"/>
  <c r="BC146" i="17" s="1"/>
  <c r="BE146" i="17" s="1"/>
  <c r="AO144" i="16"/>
  <c r="AR143" i="16"/>
  <c r="BB146" i="16"/>
  <c r="BC146" i="16" s="1"/>
  <c r="BE146" i="16" s="1"/>
  <c r="AD147" i="16"/>
  <c r="AE147" i="16" s="1"/>
  <c r="AG147" i="16" s="1"/>
  <c r="BN145" i="16"/>
  <c r="BO145" i="16" s="1"/>
  <c r="BQ145" i="16" s="1"/>
  <c r="BN152" i="14"/>
  <c r="BO152" i="14" s="1"/>
  <c r="BQ152" i="14" s="1"/>
  <c r="BA145" i="14"/>
  <c r="BD144" i="14"/>
  <c r="AO153" i="14"/>
  <c r="AR152" i="14"/>
  <c r="AD104" i="14"/>
  <c r="T36" i="14"/>
  <c r="Q37" i="14"/>
  <c r="R81" i="16" l="1"/>
  <c r="S81" i="16" s="1"/>
  <c r="U81" i="16" s="1"/>
  <c r="Q82" i="16" s="1"/>
  <c r="T80" i="16"/>
  <c r="R85" i="18"/>
  <c r="S85" i="18" s="1"/>
  <c r="U85" i="18" s="1"/>
  <c r="Q86" i="18" s="1"/>
  <c r="G48" i="19"/>
  <c r="H48" i="19" s="1"/>
  <c r="J48" i="19" s="1"/>
  <c r="R86" i="17"/>
  <c r="T85" i="17"/>
  <c r="T84" i="18"/>
  <c r="K49" i="16"/>
  <c r="F50" i="16"/>
  <c r="G50" i="16" s="1"/>
  <c r="I49" i="16"/>
  <c r="G49" i="14"/>
  <c r="H49" i="14" s="1"/>
  <c r="J49" i="14" s="1"/>
  <c r="K51" i="17"/>
  <c r="F52" i="17"/>
  <c r="G52" i="17" s="1"/>
  <c r="I51" i="17"/>
  <c r="G52" i="18"/>
  <c r="H52" i="18" s="1"/>
  <c r="J52" i="18" s="1"/>
  <c r="S52" i="19"/>
  <c r="U52" i="19" s="1"/>
  <c r="BM157" i="19"/>
  <c r="BB153" i="19"/>
  <c r="BC153" i="19" s="1"/>
  <c r="BE153" i="19" s="1"/>
  <c r="BP156" i="19"/>
  <c r="AO146" i="19"/>
  <c r="AR145" i="19"/>
  <c r="AD143" i="19"/>
  <c r="AE143" i="19" s="1"/>
  <c r="AG143" i="19" s="1"/>
  <c r="BA142" i="18"/>
  <c r="AP156" i="18"/>
  <c r="AQ156" i="18" s="1"/>
  <c r="AS156" i="18" s="1"/>
  <c r="BN144" i="18"/>
  <c r="BO144" i="18" s="1"/>
  <c r="BQ144" i="18" s="1"/>
  <c r="BD141" i="18"/>
  <c r="AD143" i="18"/>
  <c r="AE143" i="18" s="1"/>
  <c r="AG143" i="18" s="1"/>
  <c r="AP143" i="17"/>
  <c r="AQ143" i="17" s="1"/>
  <c r="AS143" i="17" s="1"/>
  <c r="BD146" i="17"/>
  <c r="BA147" i="17"/>
  <c r="BM146" i="17"/>
  <c r="AD146" i="17"/>
  <c r="AE146" i="17" s="1"/>
  <c r="AG146" i="17" s="1"/>
  <c r="BP145" i="17"/>
  <c r="AC148" i="16"/>
  <c r="BM146" i="16"/>
  <c r="BA147" i="16"/>
  <c r="BP145" i="16"/>
  <c r="BD146" i="16"/>
  <c r="AF147" i="16"/>
  <c r="AP144" i="16"/>
  <c r="AQ144" i="16" s="1"/>
  <c r="AS144" i="16" s="1"/>
  <c r="BM153" i="14"/>
  <c r="BP152" i="14"/>
  <c r="BB145" i="14"/>
  <c r="BC145" i="14" s="1"/>
  <c r="BE145" i="14" s="1"/>
  <c r="AP153" i="14"/>
  <c r="AQ153" i="14" s="1"/>
  <c r="AS153" i="14" s="1"/>
  <c r="AE104" i="14"/>
  <c r="AG104" i="14" s="1"/>
  <c r="R37" i="14"/>
  <c r="S37" i="14" s="1"/>
  <c r="K48" i="19" l="1"/>
  <c r="F49" i="19"/>
  <c r="I48" i="19"/>
  <c r="R86" i="18"/>
  <c r="S86" i="18" s="1"/>
  <c r="U86" i="18" s="1"/>
  <c r="Q87" i="18" s="1"/>
  <c r="T85" i="18"/>
  <c r="R82" i="16"/>
  <c r="S86" i="17"/>
  <c r="U86" i="17" s="1"/>
  <c r="Q87" i="17" s="1"/>
  <c r="T81" i="16"/>
  <c r="F50" i="14"/>
  <c r="K49" i="14"/>
  <c r="I49" i="14"/>
  <c r="H50" i="16"/>
  <c r="J50" i="16" s="1"/>
  <c r="H52" i="17"/>
  <c r="J52" i="17" s="1"/>
  <c r="F53" i="18"/>
  <c r="K52" i="18"/>
  <c r="Y7" i="1" s="1"/>
  <c r="I52" i="18"/>
  <c r="T52" i="19"/>
  <c r="Q53" i="19"/>
  <c r="R53" i="19" s="1"/>
  <c r="C52" i="15"/>
  <c r="E52" i="15" s="1"/>
  <c r="AC144" i="19"/>
  <c r="AF143" i="19"/>
  <c r="BA154" i="19"/>
  <c r="BD153" i="19"/>
  <c r="AP146" i="19"/>
  <c r="AQ146" i="19" s="1"/>
  <c r="AS146" i="19" s="1"/>
  <c r="BN157" i="19"/>
  <c r="BO157" i="19" s="1"/>
  <c r="BQ157" i="19" s="1"/>
  <c r="BM145" i="18"/>
  <c r="BP144" i="18"/>
  <c r="AC144" i="18"/>
  <c r="AO157" i="18"/>
  <c r="AF143" i="18"/>
  <c r="AR156" i="18"/>
  <c r="BB142" i="18"/>
  <c r="BC142" i="18" s="1"/>
  <c r="BE142" i="18" s="1"/>
  <c r="BN146" i="17"/>
  <c r="BO146" i="17" s="1"/>
  <c r="BQ146" i="17" s="1"/>
  <c r="AC147" i="17"/>
  <c r="AO144" i="17"/>
  <c r="AF146" i="17"/>
  <c r="BB147" i="17"/>
  <c r="BC147" i="17" s="1"/>
  <c r="BE147" i="17" s="1"/>
  <c r="AR143" i="17"/>
  <c r="BB147" i="16"/>
  <c r="BC147" i="16" s="1"/>
  <c r="BE147" i="16" s="1"/>
  <c r="AR144" i="16"/>
  <c r="BN146" i="16"/>
  <c r="BO146" i="16" s="1"/>
  <c r="BQ146" i="16" s="1"/>
  <c r="AO145" i="16"/>
  <c r="AD148" i="16"/>
  <c r="AE148" i="16" s="1"/>
  <c r="AG148" i="16" s="1"/>
  <c r="BN153" i="14"/>
  <c r="BO153" i="14" s="1"/>
  <c r="BQ153" i="14" s="1"/>
  <c r="BA146" i="14"/>
  <c r="BD145" i="14"/>
  <c r="AR153" i="14"/>
  <c r="AO154" i="14"/>
  <c r="AC105" i="14"/>
  <c r="AF104" i="14"/>
  <c r="U37" i="14"/>
  <c r="T86" i="18" l="1"/>
  <c r="R87" i="18"/>
  <c r="S87" i="18" s="1"/>
  <c r="U87" i="18" s="1"/>
  <c r="Q88" i="18" s="1"/>
  <c r="R88" i="18" s="1"/>
  <c r="G49" i="19"/>
  <c r="H49" i="19" s="1"/>
  <c r="J49" i="19" s="1"/>
  <c r="R87" i="17"/>
  <c r="S87" i="17" s="1"/>
  <c r="U87" i="17" s="1"/>
  <c r="Q88" i="17" s="1"/>
  <c r="S82" i="16"/>
  <c r="U82" i="16" s="1"/>
  <c r="Q83" i="16" s="1"/>
  <c r="T86" i="17"/>
  <c r="I50" i="16"/>
  <c r="F51" i="16"/>
  <c r="G51" i="16" s="1"/>
  <c r="K50" i="16"/>
  <c r="G50" i="14"/>
  <c r="H50" i="14" s="1"/>
  <c r="J50" i="14" s="1"/>
  <c r="I52" i="17"/>
  <c r="F53" i="17"/>
  <c r="G53" i="17" s="1"/>
  <c r="K52" i="17"/>
  <c r="V7" i="1" s="1"/>
  <c r="G53" i="18"/>
  <c r="H53" i="18" s="1"/>
  <c r="J53" i="18" s="1"/>
  <c r="S53" i="19"/>
  <c r="U53" i="19" s="1"/>
  <c r="AO147" i="19"/>
  <c r="BM158" i="19"/>
  <c r="BB154" i="19"/>
  <c r="BC154" i="19" s="1"/>
  <c r="BE154" i="19" s="1"/>
  <c r="BP157" i="19"/>
  <c r="AR146" i="19"/>
  <c r="AD144" i="19"/>
  <c r="AE144" i="19" s="1"/>
  <c r="AG144" i="19" s="1"/>
  <c r="BA143" i="18"/>
  <c r="BD142" i="18"/>
  <c r="AP157" i="18"/>
  <c r="AD144" i="18"/>
  <c r="AE144" i="18" s="1"/>
  <c r="AG144" i="18" s="1"/>
  <c r="BN145" i="18"/>
  <c r="BO145" i="18" s="1"/>
  <c r="BQ145" i="18" s="1"/>
  <c r="AD147" i="17"/>
  <c r="AE147" i="17" s="1"/>
  <c r="AG147" i="17" s="1"/>
  <c r="BA148" i="17"/>
  <c r="BD147" i="17"/>
  <c r="BM147" i="17"/>
  <c r="BP146" i="17"/>
  <c r="AP144" i="17"/>
  <c r="AQ144" i="17" s="1"/>
  <c r="AS144" i="17" s="1"/>
  <c r="AP145" i="16"/>
  <c r="AQ145" i="16" s="1"/>
  <c r="AS145" i="16" s="1"/>
  <c r="BM147" i="16"/>
  <c r="BP146" i="16"/>
  <c r="AC149" i="16"/>
  <c r="BA148" i="16"/>
  <c r="AF148" i="16"/>
  <c r="BD147" i="16"/>
  <c r="BM154" i="14"/>
  <c r="BP153" i="14"/>
  <c r="BB146" i="14"/>
  <c r="BC146" i="14" s="1"/>
  <c r="BE146" i="14" s="1"/>
  <c r="AP154" i="14"/>
  <c r="AQ154" i="14" s="1"/>
  <c r="AS154" i="14" s="1"/>
  <c r="AD105" i="14"/>
  <c r="Q38" i="14"/>
  <c r="T37" i="14"/>
  <c r="R88" i="17" l="1"/>
  <c r="S88" i="17" s="1"/>
  <c r="U88" i="17" s="1"/>
  <c r="Q89" i="17" s="1"/>
  <c r="T87" i="17"/>
  <c r="K49" i="19"/>
  <c r="F50" i="19"/>
  <c r="I49" i="19"/>
  <c r="S88" i="18"/>
  <c r="U88" i="18" s="1"/>
  <c r="Q89" i="18" s="1"/>
  <c r="T87" i="18"/>
  <c r="R83" i="16"/>
  <c r="S83" i="16" s="1"/>
  <c r="U83" i="16" s="1"/>
  <c r="Q84" i="16" s="1"/>
  <c r="T82" i="16"/>
  <c r="F51" i="14"/>
  <c r="K50" i="14"/>
  <c r="I50" i="14"/>
  <c r="H51" i="16"/>
  <c r="J51" i="16" s="1"/>
  <c r="H53" i="17"/>
  <c r="J53" i="17" s="1"/>
  <c r="F54" i="18"/>
  <c r="K53" i="18"/>
  <c r="I53" i="18"/>
  <c r="Q54" i="19"/>
  <c r="R54" i="19" s="1"/>
  <c r="C53" i="15"/>
  <c r="E53" i="15" s="1"/>
  <c r="T53" i="19"/>
  <c r="BA155" i="19"/>
  <c r="AC145" i="19"/>
  <c r="AF144" i="19"/>
  <c r="BD154" i="19"/>
  <c r="BN158" i="19"/>
  <c r="BO158" i="19" s="1"/>
  <c r="BQ158" i="19" s="1"/>
  <c r="AP147" i="19"/>
  <c r="AQ147" i="19" s="1"/>
  <c r="AS147" i="19" s="1"/>
  <c r="BM146" i="18"/>
  <c r="AC145" i="18"/>
  <c r="AF144" i="18"/>
  <c r="BP145" i="18"/>
  <c r="AQ157" i="18"/>
  <c r="AS157" i="18" s="1"/>
  <c r="BB143" i="18"/>
  <c r="BC143" i="18" s="1"/>
  <c r="BE143" i="18" s="1"/>
  <c r="BB148" i="17"/>
  <c r="BC148" i="17" s="1"/>
  <c r="BE148" i="17" s="1"/>
  <c r="AO145" i="17"/>
  <c r="AR144" i="17"/>
  <c r="BN147" i="17"/>
  <c r="AC148" i="17"/>
  <c r="AF147" i="17"/>
  <c r="BB148" i="16"/>
  <c r="BC148" i="16" s="1"/>
  <c r="BE148" i="16" s="1"/>
  <c r="BN147" i="16"/>
  <c r="AD149" i="16"/>
  <c r="AE149" i="16" s="1"/>
  <c r="AG149" i="16" s="1"/>
  <c r="AO146" i="16"/>
  <c r="AR145" i="16"/>
  <c r="BN154" i="14"/>
  <c r="BO154" i="14" s="1"/>
  <c r="BQ154" i="14" s="1"/>
  <c r="BA147" i="14"/>
  <c r="BD146" i="14"/>
  <c r="AO155" i="14"/>
  <c r="AR154" i="14"/>
  <c r="AE105" i="14"/>
  <c r="AG105" i="14" s="1"/>
  <c r="R38" i="14"/>
  <c r="S38" i="14" s="1"/>
  <c r="R84" i="16" l="1"/>
  <c r="S84" i="16" s="1"/>
  <c r="U84" i="16" s="1"/>
  <c r="Q85" i="16" s="1"/>
  <c r="R89" i="18"/>
  <c r="S89" i="18" s="1"/>
  <c r="U89" i="18" s="1"/>
  <c r="Q90" i="18" s="1"/>
  <c r="G50" i="19"/>
  <c r="H50" i="19" s="1"/>
  <c r="J50" i="19" s="1"/>
  <c r="T88" i="18"/>
  <c r="T83" i="16"/>
  <c r="R89" i="17"/>
  <c r="S89" i="17" s="1"/>
  <c r="U89" i="17" s="1"/>
  <c r="Q90" i="17" s="1"/>
  <c r="T88" i="17"/>
  <c r="I51" i="16"/>
  <c r="K51" i="16"/>
  <c r="F52" i="16"/>
  <c r="G52" i="16" s="1"/>
  <c r="G51" i="14"/>
  <c r="H51" i="14" s="1"/>
  <c r="J51" i="14" s="1"/>
  <c r="I53" i="17"/>
  <c r="F54" i="17"/>
  <c r="K53" i="17"/>
  <c r="G54" i="18"/>
  <c r="H54" i="18" s="1"/>
  <c r="J54" i="18" s="1"/>
  <c r="S54" i="19"/>
  <c r="U54" i="19" s="1"/>
  <c r="AO148" i="19"/>
  <c r="AR147" i="19"/>
  <c r="AD145" i="19"/>
  <c r="AE145" i="19" s="1"/>
  <c r="AG145" i="19" s="1"/>
  <c r="BM159" i="19"/>
  <c r="BP158" i="19"/>
  <c r="BB155" i="19"/>
  <c r="BC155" i="19" s="1"/>
  <c r="BE155" i="19" s="1"/>
  <c r="AD145" i="18"/>
  <c r="AE145" i="18" s="1"/>
  <c r="AG145" i="18" s="1"/>
  <c r="BD143" i="18"/>
  <c r="AO158" i="18"/>
  <c r="AR157" i="18"/>
  <c r="BN146" i="18"/>
  <c r="BO146" i="18" s="1"/>
  <c r="BQ146" i="18" s="1"/>
  <c r="BA144" i="18"/>
  <c r="AP145" i="17"/>
  <c r="AQ145" i="17" s="1"/>
  <c r="AS145" i="17" s="1"/>
  <c r="AD148" i="17"/>
  <c r="AE148" i="17" s="1"/>
  <c r="AG148" i="17" s="1"/>
  <c r="BA149" i="17"/>
  <c r="BO147" i="17"/>
  <c r="BQ147" i="17" s="1"/>
  <c r="BD148" i="17"/>
  <c r="BD148" i="16"/>
  <c r="AP146" i="16"/>
  <c r="AQ146" i="16" s="1"/>
  <c r="AS146" i="16" s="1"/>
  <c r="AC150" i="16"/>
  <c r="AF149" i="16"/>
  <c r="BA149" i="16"/>
  <c r="BO147" i="16"/>
  <c r="BQ147" i="16" s="1"/>
  <c r="BP154" i="14"/>
  <c r="BM155" i="14"/>
  <c r="BB147" i="14"/>
  <c r="BC147" i="14" s="1"/>
  <c r="BE147" i="14" s="1"/>
  <c r="AP155" i="14"/>
  <c r="AQ155" i="14" s="1"/>
  <c r="AS155" i="14" s="1"/>
  <c r="AC106" i="14"/>
  <c r="AF105" i="14"/>
  <c r="U38" i="14"/>
  <c r="R90" i="18" l="1"/>
  <c r="S90" i="18" s="1"/>
  <c r="U90" i="18" s="1"/>
  <c r="Q91" i="18" s="1"/>
  <c r="K50" i="19"/>
  <c r="F51" i="19"/>
  <c r="I50" i="19"/>
  <c r="T89" i="18"/>
  <c r="R90" i="17"/>
  <c r="S90" i="17" s="1"/>
  <c r="U90" i="17" s="1"/>
  <c r="Q91" i="17" s="1"/>
  <c r="R85" i="16"/>
  <c r="S85" i="16" s="1"/>
  <c r="U85" i="16" s="1"/>
  <c r="Q86" i="16" s="1"/>
  <c r="T89" i="17"/>
  <c r="T84" i="16"/>
  <c r="F52" i="14"/>
  <c r="K51" i="14"/>
  <c r="I51" i="14"/>
  <c r="H52" i="16"/>
  <c r="J52" i="16" s="1"/>
  <c r="G54" i="17"/>
  <c r="H54" i="17" s="1"/>
  <c r="J54" i="17" s="1"/>
  <c r="F55" i="18"/>
  <c r="K54" i="18"/>
  <c r="I54" i="18"/>
  <c r="T54" i="19"/>
  <c r="Q55" i="19"/>
  <c r="R55" i="19" s="1"/>
  <c r="C54" i="15"/>
  <c r="E54" i="15" s="1"/>
  <c r="BA156" i="19"/>
  <c r="BN159" i="19"/>
  <c r="BO159" i="19" s="1"/>
  <c r="BQ159" i="19" s="1"/>
  <c r="BD155" i="19"/>
  <c r="AC146" i="19"/>
  <c r="AF145" i="19"/>
  <c r="AP148" i="19"/>
  <c r="AQ148" i="19" s="1"/>
  <c r="AS148" i="19" s="1"/>
  <c r="AC146" i="18"/>
  <c r="BM147" i="18"/>
  <c r="BP146" i="18"/>
  <c r="AP158" i="18"/>
  <c r="AQ158" i="18" s="1"/>
  <c r="AS158" i="18" s="1"/>
  <c r="BB144" i="18"/>
  <c r="BC144" i="18" s="1"/>
  <c r="BE144" i="18" s="1"/>
  <c r="AF145" i="18"/>
  <c r="AO146" i="17"/>
  <c r="AR145" i="17"/>
  <c r="BM148" i="17"/>
  <c r="AC149" i="17"/>
  <c r="AF148" i="17"/>
  <c r="BB149" i="17"/>
  <c r="BC149" i="17" s="1"/>
  <c r="BE149" i="17" s="1"/>
  <c r="BP147" i="17"/>
  <c r="AO147" i="16"/>
  <c r="BM148" i="16"/>
  <c r="BB149" i="16"/>
  <c r="BC149" i="16" s="1"/>
  <c r="BE149" i="16" s="1"/>
  <c r="BP147" i="16"/>
  <c r="AR146" i="16"/>
  <c r="AD150" i="16"/>
  <c r="AE150" i="16" s="1"/>
  <c r="AG150" i="16" s="1"/>
  <c r="BN155" i="14"/>
  <c r="BO155" i="14" s="1"/>
  <c r="BQ155" i="14" s="1"/>
  <c r="BA148" i="14"/>
  <c r="BD147" i="14"/>
  <c r="AO156" i="14"/>
  <c r="AR155" i="14"/>
  <c r="AD106" i="14"/>
  <c r="Q39" i="14"/>
  <c r="T38" i="14"/>
  <c r="R91" i="17" l="1"/>
  <c r="S91" i="17" s="1"/>
  <c r="U91" i="17" s="1"/>
  <c r="Q92" i="17" s="1"/>
  <c r="T90" i="17"/>
  <c r="G51" i="19"/>
  <c r="H51" i="19" s="1"/>
  <c r="J51" i="19" s="1"/>
  <c r="R86" i="16"/>
  <c r="S86" i="16" s="1"/>
  <c r="U86" i="16" s="1"/>
  <c r="Q87" i="16" s="1"/>
  <c r="R91" i="18"/>
  <c r="I52" i="16"/>
  <c r="T85" i="16"/>
  <c r="T90" i="18"/>
  <c r="K52" i="16"/>
  <c r="S7" i="1" s="1"/>
  <c r="F53" i="16"/>
  <c r="G52" i="14"/>
  <c r="H52" i="14" s="1"/>
  <c r="J52" i="14" s="1"/>
  <c r="F55" i="17"/>
  <c r="K54" i="17"/>
  <c r="I54" i="17"/>
  <c r="G55" i="18"/>
  <c r="H55" i="18" s="1"/>
  <c r="J55" i="18" s="1"/>
  <c r="S55" i="19"/>
  <c r="U55" i="19" s="1"/>
  <c r="AO149" i="19"/>
  <c r="AR148" i="19"/>
  <c r="BM160" i="19"/>
  <c r="BP159" i="19"/>
  <c r="BB156" i="19"/>
  <c r="BC156" i="19" s="1"/>
  <c r="BE156" i="19" s="1"/>
  <c r="AD146" i="19"/>
  <c r="AE146" i="19" s="1"/>
  <c r="AG146" i="19" s="1"/>
  <c r="AO159" i="18"/>
  <c r="BA145" i="18"/>
  <c r="BN147" i="18"/>
  <c r="BO147" i="18" s="1"/>
  <c r="BQ147" i="18" s="1"/>
  <c r="BD144" i="18"/>
  <c r="AD146" i="18"/>
  <c r="AR158" i="18"/>
  <c r="AD149" i="17"/>
  <c r="AE149" i="17" s="1"/>
  <c r="AG149" i="17" s="1"/>
  <c r="BD149" i="17"/>
  <c r="BN148" i="17"/>
  <c r="BO148" i="17" s="1"/>
  <c r="BQ148" i="17" s="1"/>
  <c r="BA150" i="17"/>
  <c r="AP146" i="17"/>
  <c r="AQ146" i="17" s="1"/>
  <c r="AS146" i="17" s="1"/>
  <c r="AC151" i="16"/>
  <c r="BD149" i="16"/>
  <c r="BA150" i="16"/>
  <c r="BN148" i="16"/>
  <c r="BO148" i="16" s="1"/>
  <c r="BQ148" i="16" s="1"/>
  <c r="AF150" i="16"/>
  <c r="AP147" i="16"/>
  <c r="AQ147" i="16" s="1"/>
  <c r="AS147" i="16" s="1"/>
  <c r="BM156" i="14"/>
  <c r="BP155" i="14"/>
  <c r="BB148" i="14"/>
  <c r="AP156" i="14"/>
  <c r="AE106" i="14"/>
  <c r="AG106" i="14" s="1"/>
  <c r="R39" i="14"/>
  <c r="S39" i="14" s="1"/>
  <c r="R87" i="16" l="1"/>
  <c r="S87" i="16" s="1"/>
  <c r="U87" i="16" s="1"/>
  <c r="Q88" i="16" s="1"/>
  <c r="T86" i="16"/>
  <c r="K51" i="19"/>
  <c r="F52" i="19"/>
  <c r="G52" i="19" s="1"/>
  <c r="I51" i="19"/>
  <c r="R92" i="17"/>
  <c r="S92" i="17" s="1"/>
  <c r="U92" i="17" s="1"/>
  <c r="Q93" i="17" s="1"/>
  <c r="S91" i="18"/>
  <c r="U91" i="18" s="1"/>
  <c r="Q92" i="18" s="1"/>
  <c r="T91" i="17"/>
  <c r="K52" i="14"/>
  <c r="P7" i="1" s="1"/>
  <c r="F53" i="14"/>
  <c r="I52" i="14"/>
  <c r="G53" i="16"/>
  <c r="H53" i="16" s="1"/>
  <c r="J53" i="16" s="1"/>
  <c r="G55" i="17"/>
  <c r="F56" i="18"/>
  <c r="K55" i="18"/>
  <c r="I55" i="18"/>
  <c r="T55" i="19"/>
  <c r="Q56" i="19"/>
  <c r="R56" i="19" s="1"/>
  <c r="C55" i="15"/>
  <c r="E55" i="15" s="1"/>
  <c r="BA157" i="19"/>
  <c r="AC147" i="19"/>
  <c r="AP149" i="19"/>
  <c r="AQ149" i="19" s="1"/>
  <c r="AS149" i="19" s="1"/>
  <c r="AF146" i="19"/>
  <c r="BD156" i="19"/>
  <c r="BN160" i="19"/>
  <c r="BO160" i="19" s="1"/>
  <c r="BQ160" i="19" s="1"/>
  <c r="BM148" i="18"/>
  <c r="BP147" i="18"/>
  <c r="BB145" i="18"/>
  <c r="AE146" i="18"/>
  <c r="AG146" i="18" s="1"/>
  <c r="AP159" i="18"/>
  <c r="AQ159" i="18" s="1"/>
  <c r="AS159" i="18" s="1"/>
  <c r="BM149" i="17"/>
  <c r="AR146" i="17"/>
  <c r="BB150" i="17"/>
  <c r="BC150" i="17" s="1"/>
  <c r="BE150" i="17" s="1"/>
  <c r="BP148" i="17"/>
  <c r="AC150" i="17"/>
  <c r="AO147" i="17"/>
  <c r="AF149" i="17"/>
  <c r="BM149" i="16"/>
  <c r="AR147" i="16"/>
  <c r="BB150" i="16"/>
  <c r="BC150" i="16" s="1"/>
  <c r="BE150" i="16" s="1"/>
  <c r="AO148" i="16"/>
  <c r="BP148" i="16"/>
  <c r="AD151" i="16"/>
  <c r="AE151" i="16" s="1"/>
  <c r="AG151" i="16" s="1"/>
  <c r="BN156" i="14"/>
  <c r="BO156" i="14" s="1"/>
  <c r="BQ156" i="14" s="1"/>
  <c r="BC148" i="14"/>
  <c r="BE148" i="14" s="1"/>
  <c r="AQ156" i="14"/>
  <c r="AS156" i="14" s="1"/>
  <c r="AO157" i="14" s="1"/>
  <c r="AC107" i="14"/>
  <c r="AF106" i="14"/>
  <c r="U39" i="14"/>
  <c r="T91" i="18" l="1"/>
  <c r="H52" i="19"/>
  <c r="J52" i="19" s="1"/>
  <c r="R92" i="18"/>
  <c r="S92" i="18" s="1"/>
  <c r="U92" i="18" s="1"/>
  <c r="Q93" i="18" s="1"/>
  <c r="R93" i="17"/>
  <c r="S93" i="17" s="1"/>
  <c r="U93" i="17" s="1"/>
  <c r="Q94" i="17" s="1"/>
  <c r="R88" i="16"/>
  <c r="S88" i="16" s="1"/>
  <c r="U88" i="16" s="1"/>
  <c r="Q89" i="16" s="1"/>
  <c r="T92" i="17"/>
  <c r="T87" i="16"/>
  <c r="F54" i="16"/>
  <c r="G54" i="16" s="1"/>
  <c r="K53" i="16"/>
  <c r="I53" i="16"/>
  <c r="G53" i="14"/>
  <c r="H53" i="14" s="1"/>
  <c r="J53" i="14" s="1"/>
  <c r="H55" i="17"/>
  <c r="J55" i="17" s="1"/>
  <c r="G56" i="18"/>
  <c r="H56" i="18" s="1"/>
  <c r="J56" i="18" s="1"/>
  <c r="S56" i="19"/>
  <c r="U56" i="19" s="1"/>
  <c r="AO150" i="19"/>
  <c r="BM161" i="19"/>
  <c r="AR149" i="19"/>
  <c r="BP160" i="19"/>
  <c r="AD147" i="19"/>
  <c r="AE147" i="19" s="1"/>
  <c r="AG147" i="19" s="1"/>
  <c r="BB157" i="19"/>
  <c r="BC157" i="19" s="1"/>
  <c r="BE157" i="19" s="1"/>
  <c r="BC145" i="18"/>
  <c r="BE145" i="18" s="1"/>
  <c r="AO160" i="18"/>
  <c r="AR159" i="18"/>
  <c r="BN148" i="18"/>
  <c r="BO148" i="18" s="1"/>
  <c r="BQ148" i="18" s="1"/>
  <c r="AC147" i="18"/>
  <c r="AF146" i="18"/>
  <c r="BA151" i="17"/>
  <c r="BD150" i="17"/>
  <c r="AP147" i="17"/>
  <c r="AQ147" i="17" s="1"/>
  <c r="AS147" i="17" s="1"/>
  <c r="AD150" i="17"/>
  <c r="AE150" i="17" s="1"/>
  <c r="AG150" i="17" s="1"/>
  <c r="BN149" i="17"/>
  <c r="BO149" i="17" s="1"/>
  <c r="BQ149" i="17" s="1"/>
  <c r="AP148" i="16"/>
  <c r="AQ148" i="16" s="1"/>
  <c r="AS148" i="16" s="1"/>
  <c r="BA151" i="16"/>
  <c r="AC152" i="16"/>
  <c r="BD150" i="16"/>
  <c r="AF151" i="16"/>
  <c r="BN149" i="16"/>
  <c r="BO149" i="16" s="1"/>
  <c r="BQ149" i="16" s="1"/>
  <c r="BP156" i="14"/>
  <c r="BM157" i="14"/>
  <c r="BA149" i="14"/>
  <c r="BD148" i="14"/>
  <c r="AR156" i="14"/>
  <c r="AP157" i="14"/>
  <c r="AD107" i="14"/>
  <c r="Q40" i="14"/>
  <c r="T39" i="14"/>
  <c r="I52" i="19" l="1"/>
  <c r="R89" i="16"/>
  <c r="S89" i="16" s="1"/>
  <c r="U89" i="16" s="1"/>
  <c r="Q90" i="16" s="1"/>
  <c r="T88" i="16"/>
  <c r="R94" i="17"/>
  <c r="S94" i="17" s="1"/>
  <c r="U94" i="17" s="1"/>
  <c r="Q95" i="17" s="1"/>
  <c r="T93" i="17"/>
  <c r="R93" i="18"/>
  <c r="S93" i="18" s="1"/>
  <c r="U93" i="18" s="1"/>
  <c r="Q94" i="18" s="1"/>
  <c r="T92" i="18"/>
  <c r="K52" i="19"/>
  <c r="AB7" i="1" s="1"/>
  <c r="F53" i="19"/>
  <c r="K53" i="14"/>
  <c r="F54" i="14"/>
  <c r="I53" i="14"/>
  <c r="H54" i="16"/>
  <c r="J54" i="16" s="1"/>
  <c r="F56" i="17"/>
  <c r="G56" i="17" s="1"/>
  <c r="K55" i="17"/>
  <c r="I55" i="17"/>
  <c r="F57" i="18"/>
  <c r="K56" i="18"/>
  <c r="I56" i="18"/>
  <c r="T56" i="19"/>
  <c r="Q57" i="19"/>
  <c r="C56" i="15"/>
  <c r="E56" i="15" s="1"/>
  <c r="BA158" i="19"/>
  <c r="BN161" i="19"/>
  <c r="BO161" i="19" s="1"/>
  <c r="BQ161" i="19" s="1"/>
  <c r="BD157" i="19"/>
  <c r="AP150" i="19"/>
  <c r="AQ150" i="19" s="1"/>
  <c r="AS150" i="19" s="1"/>
  <c r="AC148" i="19"/>
  <c r="AF147" i="19"/>
  <c r="BM149" i="18"/>
  <c r="BP148" i="18"/>
  <c r="AP160" i="18"/>
  <c r="AQ160" i="18" s="1"/>
  <c r="AS160" i="18" s="1"/>
  <c r="BA146" i="18"/>
  <c r="AD147" i="18"/>
  <c r="AE147" i="18" s="1"/>
  <c r="AG147" i="18" s="1"/>
  <c r="BD145" i="18"/>
  <c r="AO148" i="17"/>
  <c r="BM150" i="17"/>
  <c r="AC151" i="17"/>
  <c r="BB151" i="17"/>
  <c r="BC151" i="17" s="1"/>
  <c r="BE151" i="17" s="1"/>
  <c r="AF150" i="17"/>
  <c r="BP149" i="17"/>
  <c r="AR147" i="17"/>
  <c r="BM150" i="16"/>
  <c r="BP149" i="16"/>
  <c r="AD152" i="16"/>
  <c r="AE152" i="16" s="1"/>
  <c r="AG152" i="16" s="1"/>
  <c r="BB151" i="16"/>
  <c r="AO149" i="16"/>
  <c r="AR148" i="16"/>
  <c r="BN157" i="14"/>
  <c r="BO157" i="14" s="1"/>
  <c r="BQ157" i="14" s="1"/>
  <c r="BB149" i="14"/>
  <c r="BC149" i="14" s="1"/>
  <c r="BE149" i="14" s="1"/>
  <c r="AQ157" i="14"/>
  <c r="AS157" i="14" s="1"/>
  <c r="AO158" i="14" s="1"/>
  <c r="AE107" i="14"/>
  <c r="AG107" i="14" s="1"/>
  <c r="R40" i="14"/>
  <c r="S40" i="14" s="1"/>
  <c r="R94" i="18" l="1"/>
  <c r="S94" i="18" s="1"/>
  <c r="U94" i="18" s="1"/>
  <c r="Q95" i="18" s="1"/>
  <c r="T93" i="18"/>
  <c r="R95" i="17"/>
  <c r="S95" i="17" s="1"/>
  <c r="U95" i="17" s="1"/>
  <c r="Q96" i="17" s="1"/>
  <c r="T94" i="17"/>
  <c r="G53" i="19"/>
  <c r="H53" i="19" s="1"/>
  <c r="J53" i="19" s="1"/>
  <c r="R90" i="16"/>
  <c r="S90" i="16" s="1"/>
  <c r="U90" i="16" s="1"/>
  <c r="Q91" i="16" s="1"/>
  <c r="T89" i="16"/>
  <c r="I54" i="16"/>
  <c r="F55" i="16"/>
  <c r="G55" i="16" s="1"/>
  <c r="K54" i="16"/>
  <c r="G54" i="14"/>
  <c r="H54" i="14" s="1"/>
  <c r="J54" i="14" s="1"/>
  <c r="H56" i="17"/>
  <c r="J56" i="17" s="1"/>
  <c r="G57" i="18"/>
  <c r="H57" i="18" s="1"/>
  <c r="J57" i="18" s="1"/>
  <c r="R57" i="19"/>
  <c r="S57" i="19" s="1"/>
  <c r="U57" i="19" s="1"/>
  <c r="BM162" i="19"/>
  <c r="AO151" i="19"/>
  <c r="BP161" i="19"/>
  <c r="AD148" i="19"/>
  <c r="AE148" i="19" s="1"/>
  <c r="AG148" i="19" s="1"/>
  <c r="BB158" i="19"/>
  <c r="BC158" i="19" s="1"/>
  <c r="BE158" i="19" s="1"/>
  <c r="AR150" i="19"/>
  <c r="AO161" i="18"/>
  <c r="AR160" i="18"/>
  <c r="AF147" i="18"/>
  <c r="AC148" i="18"/>
  <c r="BB146" i="18"/>
  <c r="BC146" i="18" s="1"/>
  <c r="BE146" i="18" s="1"/>
  <c r="BN149" i="18"/>
  <c r="BO149" i="18" s="1"/>
  <c r="BQ149" i="18" s="1"/>
  <c r="AD151" i="17"/>
  <c r="AE151" i="17" s="1"/>
  <c r="AG151" i="17" s="1"/>
  <c r="BN150" i="17"/>
  <c r="BO150" i="17" s="1"/>
  <c r="BQ150" i="17" s="1"/>
  <c r="BA152" i="17"/>
  <c r="BD151" i="17"/>
  <c r="AP148" i="17"/>
  <c r="AQ148" i="17" s="1"/>
  <c r="AS148" i="17" s="1"/>
  <c r="AC153" i="16"/>
  <c r="AP149" i="16"/>
  <c r="AQ149" i="16" s="1"/>
  <c r="AS149" i="16" s="1"/>
  <c r="AF152" i="16"/>
  <c r="BN150" i="16"/>
  <c r="BC151" i="16"/>
  <c r="BE151" i="16" s="1"/>
  <c r="BM158" i="14"/>
  <c r="BP157" i="14"/>
  <c r="BA150" i="14"/>
  <c r="BD149" i="14"/>
  <c r="AR157" i="14"/>
  <c r="AP158" i="14"/>
  <c r="AQ158" i="14" s="1"/>
  <c r="AS158" i="14" s="1"/>
  <c r="AC108" i="14"/>
  <c r="AF107" i="14"/>
  <c r="U40" i="14"/>
  <c r="K53" i="19" l="1"/>
  <c r="F54" i="19"/>
  <c r="G54" i="19" s="1"/>
  <c r="I53" i="19"/>
  <c r="R96" i="17"/>
  <c r="S96" i="17" s="1"/>
  <c r="U96" i="17" s="1"/>
  <c r="Q97" i="17" s="1"/>
  <c r="T95" i="17"/>
  <c r="R91" i="16"/>
  <c r="S91" i="16" s="1"/>
  <c r="U91" i="16" s="1"/>
  <c r="Q92" i="16" s="1"/>
  <c r="R95" i="18"/>
  <c r="S95" i="18" s="1"/>
  <c r="U95" i="18" s="1"/>
  <c r="Q96" i="18" s="1"/>
  <c r="T90" i="16"/>
  <c r="T94" i="18"/>
  <c r="F55" i="14"/>
  <c r="G55" i="14" s="1"/>
  <c r="K54" i="14"/>
  <c r="I54" i="14"/>
  <c r="H55" i="16"/>
  <c r="J55" i="16" s="1"/>
  <c r="I56" i="17"/>
  <c r="F57" i="17"/>
  <c r="K56" i="17"/>
  <c r="F58" i="18"/>
  <c r="K57" i="18"/>
  <c r="I57" i="18"/>
  <c r="Q58" i="19"/>
  <c r="R58" i="19" s="1"/>
  <c r="C57" i="15"/>
  <c r="E57" i="15" s="1"/>
  <c r="T57" i="19"/>
  <c r="BA159" i="19"/>
  <c r="BD158" i="19"/>
  <c r="AP151" i="19"/>
  <c r="AQ151" i="19" s="1"/>
  <c r="AS151" i="19" s="1"/>
  <c r="AC149" i="19"/>
  <c r="AF148" i="19"/>
  <c r="BN162" i="19"/>
  <c r="BO162" i="19" s="1"/>
  <c r="BQ162" i="19" s="1"/>
  <c r="BM150" i="18"/>
  <c r="BP149" i="18"/>
  <c r="BA147" i="18"/>
  <c r="BD146" i="18"/>
  <c r="AP161" i="18"/>
  <c r="AQ161" i="18" s="1"/>
  <c r="AS161" i="18" s="1"/>
  <c r="AD148" i="18"/>
  <c r="AE148" i="18" s="1"/>
  <c r="AG148" i="18" s="1"/>
  <c r="AC152" i="17"/>
  <c r="BM151" i="17"/>
  <c r="AO149" i="17"/>
  <c r="BP150" i="17"/>
  <c r="BB152" i="17"/>
  <c r="AR148" i="17"/>
  <c r="AF151" i="17"/>
  <c r="AO150" i="16"/>
  <c r="AR149" i="16"/>
  <c r="AD153" i="16"/>
  <c r="AE153" i="16" s="1"/>
  <c r="AG153" i="16" s="1"/>
  <c r="BA152" i="16"/>
  <c r="BD151" i="16"/>
  <c r="BO150" i="16"/>
  <c r="BQ150" i="16" s="1"/>
  <c r="BN158" i="14"/>
  <c r="BO158" i="14" s="1"/>
  <c r="BQ158" i="14" s="1"/>
  <c r="BB150" i="14"/>
  <c r="AO159" i="14"/>
  <c r="AR158" i="14"/>
  <c r="AD108" i="14"/>
  <c r="Q41" i="14"/>
  <c r="T40" i="14"/>
  <c r="R92" i="16" l="1"/>
  <c r="S92" i="16" s="1"/>
  <c r="U92" i="16" s="1"/>
  <c r="Q93" i="16" s="1"/>
  <c r="T91" i="16"/>
  <c r="R97" i="17"/>
  <c r="S97" i="17" s="1"/>
  <c r="U97" i="17" s="1"/>
  <c r="Q98" i="17" s="1"/>
  <c r="T96" i="17"/>
  <c r="R96" i="18"/>
  <c r="S96" i="18" s="1"/>
  <c r="U96" i="18" s="1"/>
  <c r="Q97" i="18" s="1"/>
  <c r="H54" i="19"/>
  <c r="J54" i="19" s="1"/>
  <c r="T95" i="18"/>
  <c r="I55" i="16"/>
  <c r="F56" i="16"/>
  <c r="G56" i="16" s="1"/>
  <c r="K55" i="16"/>
  <c r="H55" i="14"/>
  <c r="J55" i="14" s="1"/>
  <c r="G57" i="17"/>
  <c r="H57" i="17" s="1"/>
  <c r="J57" i="17" s="1"/>
  <c r="G58" i="18"/>
  <c r="H58" i="18" s="1"/>
  <c r="J58" i="18" s="1"/>
  <c r="S58" i="19"/>
  <c r="U58" i="19" s="1"/>
  <c r="BM163" i="19"/>
  <c r="BP162" i="19"/>
  <c r="AD149" i="19"/>
  <c r="BB159" i="19"/>
  <c r="BC159" i="19" s="1"/>
  <c r="BE159" i="19" s="1"/>
  <c r="AO152" i="19"/>
  <c r="AR151" i="19"/>
  <c r="AC149" i="18"/>
  <c r="AF148" i="18"/>
  <c r="AR161" i="18"/>
  <c r="BN150" i="18"/>
  <c r="BO150" i="18" s="1"/>
  <c r="BQ150" i="18" s="1"/>
  <c r="AO162" i="18"/>
  <c r="BB147" i="18"/>
  <c r="BC147" i="18" s="1"/>
  <c r="BE147" i="18" s="1"/>
  <c r="BN151" i="17"/>
  <c r="BO151" i="17" s="1"/>
  <c r="BQ151" i="17" s="1"/>
  <c r="AP149" i="17"/>
  <c r="AQ149" i="17" s="1"/>
  <c r="AS149" i="17" s="1"/>
  <c r="BC152" i="17"/>
  <c r="BE152" i="17" s="1"/>
  <c r="AD152" i="17"/>
  <c r="AE152" i="17" s="1"/>
  <c r="AG152" i="17" s="1"/>
  <c r="AC154" i="16"/>
  <c r="BM151" i="16"/>
  <c r="AF153" i="16"/>
  <c r="BB152" i="16"/>
  <c r="AP150" i="16"/>
  <c r="AQ150" i="16" s="1"/>
  <c r="AS150" i="16" s="1"/>
  <c r="BP150" i="16"/>
  <c r="BM159" i="14"/>
  <c r="BP158" i="14"/>
  <c r="BC150" i="14"/>
  <c r="BE150" i="14" s="1"/>
  <c r="AP159" i="14"/>
  <c r="AQ159" i="14" s="1"/>
  <c r="AS159" i="14" s="1"/>
  <c r="AE108" i="14"/>
  <c r="AG108" i="14" s="1"/>
  <c r="R41" i="14"/>
  <c r="S41" i="14" s="1"/>
  <c r="I54" i="19" l="1"/>
  <c r="R98" i="17"/>
  <c r="S98" i="17" s="1"/>
  <c r="U98" i="17" s="1"/>
  <c r="Q99" i="17" s="1"/>
  <c r="T96" i="18"/>
  <c r="R97" i="18"/>
  <c r="S97" i="18" s="1"/>
  <c r="U97" i="18" s="1"/>
  <c r="Q98" i="18" s="1"/>
  <c r="T97" i="17"/>
  <c r="R93" i="16"/>
  <c r="S93" i="16" s="1"/>
  <c r="U93" i="16" s="1"/>
  <c r="Q94" i="16" s="1"/>
  <c r="K54" i="19"/>
  <c r="F55" i="19"/>
  <c r="T92" i="16"/>
  <c r="I55" i="14"/>
  <c r="F56" i="14"/>
  <c r="K55" i="14"/>
  <c r="H56" i="16"/>
  <c r="J56" i="16" s="1"/>
  <c r="K57" i="17"/>
  <c r="F58" i="17"/>
  <c r="I57" i="17"/>
  <c r="F59" i="18"/>
  <c r="K58" i="18"/>
  <c r="I58" i="18"/>
  <c r="T58" i="19"/>
  <c r="Q59" i="19"/>
  <c r="R59" i="19" s="1"/>
  <c r="C58" i="15"/>
  <c r="E58" i="15" s="1"/>
  <c r="BA160" i="19"/>
  <c r="AP152" i="19"/>
  <c r="AQ152" i="19" s="1"/>
  <c r="AS152" i="19" s="1"/>
  <c r="BD159" i="19"/>
  <c r="AE149" i="19"/>
  <c r="AG149" i="19" s="1"/>
  <c r="BN163" i="19"/>
  <c r="BO163" i="19" s="1"/>
  <c r="BQ163" i="19" s="1"/>
  <c r="BM151" i="18"/>
  <c r="BP150" i="18"/>
  <c r="BA148" i="18"/>
  <c r="BD147" i="18"/>
  <c r="AP162" i="18"/>
  <c r="AD149" i="18"/>
  <c r="AE149" i="18" s="1"/>
  <c r="AG149" i="18" s="1"/>
  <c r="AO150" i="17"/>
  <c r="BM152" i="17"/>
  <c r="BP151" i="17"/>
  <c r="BA153" i="17"/>
  <c r="AR149" i="17"/>
  <c r="AC153" i="17"/>
  <c r="AF152" i="17"/>
  <c r="BD152" i="17"/>
  <c r="AO151" i="16"/>
  <c r="AR150" i="16"/>
  <c r="BN151" i="16"/>
  <c r="AD154" i="16"/>
  <c r="AE154" i="16" s="1"/>
  <c r="AG154" i="16" s="1"/>
  <c r="BC152" i="16"/>
  <c r="BE152" i="16" s="1"/>
  <c r="BN159" i="14"/>
  <c r="BO159" i="14" s="1"/>
  <c r="BQ159" i="14" s="1"/>
  <c r="BA151" i="14"/>
  <c r="BD150" i="14"/>
  <c r="AO160" i="14"/>
  <c r="AR159" i="14"/>
  <c r="AC109" i="14"/>
  <c r="AF108" i="14"/>
  <c r="U41" i="14"/>
  <c r="I56" i="16" l="1"/>
  <c r="R94" i="16"/>
  <c r="S94" i="16" s="1"/>
  <c r="U94" i="16" s="1"/>
  <c r="Q95" i="16" s="1"/>
  <c r="R98" i="18"/>
  <c r="S98" i="18" s="1"/>
  <c r="U98" i="18" s="1"/>
  <c r="Q99" i="18" s="1"/>
  <c r="T93" i="16"/>
  <c r="T97" i="18"/>
  <c r="G55" i="19"/>
  <c r="H55" i="19" s="1"/>
  <c r="J55" i="19" s="1"/>
  <c r="R99" i="17"/>
  <c r="S99" i="17" s="1"/>
  <c r="U99" i="17" s="1"/>
  <c r="Q100" i="17" s="1"/>
  <c r="T98" i="17"/>
  <c r="F57" i="16"/>
  <c r="K56" i="16"/>
  <c r="G56" i="14"/>
  <c r="H56" i="14" s="1"/>
  <c r="J56" i="14" s="1"/>
  <c r="G58" i="17"/>
  <c r="H58" i="17" s="1"/>
  <c r="J58" i="17" s="1"/>
  <c r="G59" i="18"/>
  <c r="H59" i="18" s="1"/>
  <c r="J59" i="18" s="1"/>
  <c r="S59" i="19"/>
  <c r="U59" i="19" s="1"/>
  <c r="BM164" i="19"/>
  <c r="BP163" i="19"/>
  <c r="BB160" i="19"/>
  <c r="BC160" i="19" s="1"/>
  <c r="BE160" i="19" s="1"/>
  <c r="AC150" i="19"/>
  <c r="AF149" i="19"/>
  <c r="AO153" i="19"/>
  <c r="AR152" i="19"/>
  <c r="AC150" i="18"/>
  <c r="BB148" i="18"/>
  <c r="BC148" i="18" s="1"/>
  <c r="BE148" i="18" s="1"/>
  <c r="AF149" i="18"/>
  <c r="BN151" i="18"/>
  <c r="BO151" i="18" s="1"/>
  <c r="BQ151" i="18" s="1"/>
  <c r="AQ162" i="18"/>
  <c r="AS162" i="18" s="1"/>
  <c r="BN152" i="17"/>
  <c r="BO152" i="17" s="1"/>
  <c r="BQ152" i="17" s="1"/>
  <c r="BB153" i="17"/>
  <c r="BC153" i="17" s="1"/>
  <c r="BE153" i="17" s="1"/>
  <c r="AD153" i="17"/>
  <c r="AE153" i="17" s="1"/>
  <c r="AG153" i="17" s="1"/>
  <c r="AP150" i="17"/>
  <c r="AQ150" i="17" s="1"/>
  <c r="AS150" i="17" s="1"/>
  <c r="AC155" i="16"/>
  <c r="BA153" i="16"/>
  <c r="AP151" i="16"/>
  <c r="AQ151" i="16" s="1"/>
  <c r="AS151" i="16" s="1"/>
  <c r="AF154" i="16"/>
  <c r="BO151" i="16"/>
  <c r="BQ151" i="16" s="1"/>
  <c r="BD152" i="16"/>
  <c r="BM160" i="14"/>
  <c r="BP159" i="14"/>
  <c r="BB151" i="14"/>
  <c r="BC151" i="14" s="1"/>
  <c r="BE151" i="14" s="1"/>
  <c r="AP160" i="14"/>
  <c r="AQ160" i="14" s="1"/>
  <c r="AS160" i="14" s="1"/>
  <c r="AD109" i="14"/>
  <c r="Q42" i="14"/>
  <c r="T41" i="14"/>
  <c r="K55" i="19" l="1"/>
  <c r="F56" i="19"/>
  <c r="R99" i="18"/>
  <c r="S99" i="18" s="1"/>
  <c r="U99" i="18" s="1"/>
  <c r="Q100" i="18" s="1"/>
  <c r="R100" i="18" s="1"/>
  <c r="T98" i="18"/>
  <c r="R100" i="17"/>
  <c r="S100" i="17" s="1"/>
  <c r="U100" i="17" s="1"/>
  <c r="Q101" i="17" s="1"/>
  <c r="R95" i="16"/>
  <c r="I55" i="19"/>
  <c r="T99" i="17"/>
  <c r="T94" i="16"/>
  <c r="F57" i="14"/>
  <c r="K56" i="14"/>
  <c r="I56" i="14"/>
  <c r="G57" i="16"/>
  <c r="H57" i="16" s="1"/>
  <c r="J57" i="16" s="1"/>
  <c r="F59" i="17"/>
  <c r="K58" i="17"/>
  <c r="I58" i="17"/>
  <c r="F60" i="18"/>
  <c r="K59" i="18"/>
  <c r="I59" i="18"/>
  <c r="T59" i="19"/>
  <c r="Q60" i="19"/>
  <c r="R60" i="19" s="1"/>
  <c r="C59" i="15"/>
  <c r="E59" i="15" s="1"/>
  <c r="BA161" i="19"/>
  <c r="AD150" i="19"/>
  <c r="AE150" i="19" s="1"/>
  <c r="AG150" i="19" s="1"/>
  <c r="AP153" i="19"/>
  <c r="BN164" i="19"/>
  <c r="BO164" i="19" s="1"/>
  <c r="BQ164" i="19" s="1"/>
  <c r="BD160" i="19"/>
  <c r="BM152" i="18"/>
  <c r="AR162" i="18"/>
  <c r="AO163" i="18"/>
  <c r="BA149" i="18"/>
  <c r="BD148" i="18"/>
  <c r="BP151" i="18"/>
  <c r="AD150" i="18"/>
  <c r="AE150" i="18" s="1"/>
  <c r="AG150" i="18" s="1"/>
  <c r="BM153" i="17"/>
  <c r="AO151" i="17"/>
  <c r="BD153" i="17"/>
  <c r="AC154" i="17"/>
  <c r="BA154" i="17"/>
  <c r="AF153" i="17"/>
  <c r="AR150" i="17"/>
  <c r="BP152" i="17"/>
  <c r="AO152" i="16"/>
  <c r="AR151" i="16"/>
  <c r="BM152" i="16"/>
  <c r="BB153" i="16"/>
  <c r="BC153" i="16" s="1"/>
  <c r="BE153" i="16" s="1"/>
  <c r="AD155" i="16"/>
  <c r="AE155" i="16" s="1"/>
  <c r="AG155" i="16" s="1"/>
  <c r="BP151" i="16"/>
  <c r="BN160" i="14"/>
  <c r="BO160" i="14" s="1"/>
  <c r="BQ160" i="14" s="1"/>
  <c r="BA152" i="14"/>
  <c r="BD151" i="14"/>
  <c r="AO161" i="14"/>
  <c r="AR160" i="14"/>
  <c r="AE109" i="14"/>
  <c r="AG109" i="14" s="1"/>
  <c r="R42" i="14"/>
  <c r="S42" i="14" s="1"/>
  <c r="R101" i="17" l="1"/>
  <c r="S101" i="17" s="1"/>
  <c r="U101" i="17" s="1"/>
  <c r="Q102" i="17" s="1"/>
  <c r="T100" i="17"/>
  <c r="S100" i="18"/>
  <c r="U100" i="18" s="1"/>
  <c r="Q101" i="18" s="1"/>
  <c r="T99" i="18"/>
  <c r="G56" i="19"/>
  <c r="S95" i="16"/>
  <c r="U95" i="16" s="1"/>
  <c r="Q96" i="16" s="1"/>
  <c r="F58" i="16"/>
  <c r="G58" i="16" s="1"/>
  <c r="K57" i="16"/>
  <c r="I57" i="16"/>
  <c r="G57" i="14"/>
  <c r="H57" i="14" s="1"/>
  <c r="J57" i="14" s="1"/>
  <c r="G59" i="17"/>
  <c r="H59" i="17" s="1"/>
  <c r="J59" i="17" s="1"/>
  <c r="G60" i="18"/>
  <c r="H60" i="18" s="1"/>
  <c r="J60" i="18" s="1"/>
  <c r="S60" i="19"/>
  <c r="U60" i="19" s="1"/>
  <c r="AC151" i="19"/>
  <c r="BP164" i="19"/>
  <c r="AF150" i="19"/>
  <c r="BM165" i="19"/>
  <c r="BB161" i="19"/>
  <c r="BC161" i="19" s="1"/>
  <c r="BE161" i="19" s="1"/>
  <c r="AQ153" i="19"/>
  <c r="AS153" i="19" s="1"/>
  <c r="BB149" i="18"/>
  <c r="BC149" i="18" s="1"/>
  <c r="BE149" i="18" s="1"/>
  <c r="AP163" i="18"/>
  <c r="AQ163" i="18" s="1"/>
  <c r="AS163" i="18" s="1"/>
  <c r="AC151" i="18"/>
  <c r="AF150" i="18"/>
  <c r="BN152" i="18"/>
  <c r="BO152" i="18" s="1"/>
  <c r="BQ152" i="18" s="1"/>
  <c r="BB154" i="17"/>
  <c r="BC154" i="17" s="1"/>
  <c r="BE154" i="17" s="1"/>
  <c r="AP151" i="17"/>
  <c r="AQ151" i="17" s="1"/>
  <c r="AS151" i="17" s="1"/>
  <c r="AD154" i="17"/>
  <c r="AE154" i="17" s="1"/>
  <c r="AG154" i="17" s="1"/>
  <c r="BN153" i="17"/>
  <c r="BO153" i="17" s="1"/>
  <c r="BQ153" i="17" s="1"/>
  <c r="BN152" i="16"/>
  <c r="BO152" i="16" s="1"/>
  <c r="BQ152" i="16" s="1"/>
  <c r="AC156" i="16"/>
  <c r="AP152" i="16"/>
  <c r="AQ152" i="16" s="1"/>
  <c r="AS152" i="16" s="1"/>
  <c r="AF155" i="16"/>
  <c r="BA154" i="16"/>
  <c r="BD153" i="16"/>
  <c r="BM161" i="14"/>
  <c r="BP160" i="14"/>
  <c r="BB152" i="14"/>
  <c r="BC152" i="14" s="1"/>
  <c r="BE152" i="14" s="1"/>
  <c r="AP161" i="14"/>
  <c r="AQ161" i="14" s="1"/>
  <c r="AS161" i="14" s="1"/>
  <c r="AC110" i="14"/>
  <c r="AF109" i="14"/>
  <c r="U42" i="14"/>
  <c r="T100" i="18" l="1"/>
  <c r="R101" i="18"/>
  <c r="S101" i="18" s="1"/>
  <c r="U101" i="18" s="1"/>
  <c r="Q102" i="18" s="1"/>
  <c r="T95" i="16"/>
  <c r="R96" i="16"/>
  <c r="S96" i="16" s="1"/>
  <c r="U96" i="16" s="1"/>
  <c r="Q97" i="16" s="1"/>
  <c r="R102" i="17"/>
  <c r="H56" i="19"/>
  <c r="J56" i="19" s="1"/>
  <c r="T101" i="17"/>
  <c r="F58" i="14"/>
  <c r="K57" i="14"/>
  <c r="I57" i="14"/>
  <c r="H58" i="16"/>
  <c r="J58" i="16" s="1"/>
  <c r="F60" i="17"/>
  <c r="G60" i="17" s="1"/>
  <c r="K59" i="17"/>
  <c r="I59" i="17"/>
  <c r="F61" i="18"/>
  <c r="K60" i="18"/>
  <c r="I60" i="18"/>
  <c r="T60" i="19"/>
  <c r="Q61" i="19"/>
  <c r="R61" i="19" s="1"/>
  <c r="C60" i="15"/>
  <c r="E60" i="15" s="1"/>
  <c r="AO154" i="19"/>
  <c r="BA162" i="19"/>
  <c r="BD161" i="19"/>
  <c r="AD151" i="19"/>
  <c r="AR153" i="19"/>
  <c r="BN165" i="19"/>
  <c r="BO165" i="19" s="1"/>
  <c r="BQ165" i="19" s="1"/>
  <c r="AO164" i="18"/>
  <c r="BM153" i="18"/>
  <c r="AR163" i="18"/>
  <c r="BA150" i="18"/>
  <c r="BD149" i="18"/>
  <c r="AD151" i="18"/>
  <c r="AE151" i="18" s="1"/>
  <c r="AG151" i="18" s="1"/>
  <c r="BP152" i="18"/>
  <c r="AO152" i="17"/>
  <c r="BA155" i="17"/>
  <c r="AC155" i="17"/>
  <c r="BP153" i="17"/>
  <c r="BM154" i="17"/>
  <c r="AF154" i="17"/>
  <c r="BD154" i="17"/>
  <c r="AR151" i="17"/>
  <c r="AR152" i="16"/>
  <c r="AD156" i="16"/>
  <c r="AE156" i="16" s="1"/>
  <c r="AG156" i="16" s="1"/>
  <c r="BB154" i="16"/>
  <c r="AO153" i="16"/>
  <c r="BM153" i="16"/>
  <c r="BP152" i="16"/>
  <c r="BN161" i="14"/>
  <c r="BO161" i="14" s="1"/>
  <c r="BQ161" i="14" s="1"/>
  <c r="BA153" i="14"/>
  <c r="BD152" i="14"/>
  <c r="AO162" i="14"/>
  <c r="AR161" i="14"/>
  <c r="AD110" i="14"/>
  <c r="Q43" i="14"/>
  <c r="T42" i="14"/>
  <c r="I56" i="19" l="1"/>
  <c r="I58" i="16"/>
  <c r="R97" i="16"/>
  <c r="S97" i="16" s="1"/>
  <c r="U97" i="16" s="1"/>
  <c r="Q98" i="16" s="1"/>
  <c r="T96" i="16"/>
  <c r="R102" i="18"/>
  <c r="S102" i="18" s="1"/>
  <c r="U102" i="18" s="1"/>
  <c r="Q103" i="18" s="1"/>
  <c r="K56" i="19"/>
  <c r="F57" i="19"/>
  <c r="T101" i="18"/>
  <c r="S102" i="17"/>
  <c r="U102" i="17" s="1"/>
  <c r="Q103" i="17" s="1"/>
  <c r="R103" i="17" s="1"/>
  <c r="F59" i="16"/>
  <c r="K58" i="16"/>
  <c r="G58" i="14"/>
  <c r="H58" i="14" s="1"/>
  <c r="J58" i="14" s="1"/>
  <c r="H60" i="17"/>
  <c r="J60" i="17" s="1"/>
  <c r="G61" i="18"/>
  <c r="S61" i="19"/>
  <c r="U61" i="19" s="1"/>
  <c r="BM166" i="19"/>
  <c r="BB162" i="19"/>
  <c r="BC162" i="19" s="1"/>
  <c r="BE162" i="19" s="1"/>
  <c r="BP165" i="19"/>
  <c r="AP154" i="19"/>
  <c r="AQ154" i="19" s="1"/>
  <c r="AS154" i="19" s="1"/>
  <c r="AE151" i="19"/>
  <c r="AG151" i="19" s="1"/>
  <c r="BN153" i="18"/>
  <c r="BO153" i="18" s="1"/>
  <c r="BQ153" i="18" s="1"/>
  <c r="AC152" i="18"/>
  <c r="AF151" i="18"/>
  <c r="BB150" i="18"/>
  <c r="BC150" i="18" s="1"/>
  <c r="BE150" i="18" s="1"/>
  <c r="AP164" i="18"/>
  <c r="AQ164" i="18" s="1"/>
  <c r="AS164" i="18" s="1"/>
  <c r="BN154" i="17"/>
  <c r="BO154" i="17" s="1"/>
  <c r="BQ154" i="17" s="1"/>
  <c r="AD155" i="17"/>
  <c r="BB155" i="17"/>
  <c r="BC155" i="17" s="1"/>
  <c r="BE155" i="17" s="1"/>
  <c r="AP152" i="17"/>
  <c r="AQ152" i="17" s="1"/>
  <c r="AS152" i="17" s="1"/>
  <c r="BN153" i="16"/>
  <c r="BO153" i="16" s="1"/>
  <c r="BQ153" i="16" s="1"/>
  <c r="AP153" i="16"/>
  <c r="AQ153" i="16" s="1"/>
  <c r="AS153" i="16" s="1"/>
  <c r="AC157" i="16"/>
  <c r="AF156" i="16"/>
  <c r="BC154" i="16"/>
  <c r="BE154" i="16" s="1"/>
  <c r="BM162" i="14"/>
  <c r="BP161" i="14"/>
  <c r="BB153" i="14"/>
  <c r="BC153" i="14" s="1"/>
  <c r="BE153" i="14" s="1"/>
  <c r="AP162" i="14"/>
  <c r="AQ162" i="14" s="1"/>
  <c r="AS162" i="14" s="1"/>
  <c r="AE110" i="14"/>
  <c r="AG110" i="14" s="1"/>
  <c r="R43" i="14"/>
  <c r="S43" i="14" s="1"/>
  <c r="G57" i="19" l="1"/>
  <c r="H57" i="19" s="1"/>
  <c r="J57" i="19" s="1"/>
  <c r="R103" i="18"/>
  <c r="S103" i="18" s="1"/>
  <c r="U103" i="18" s="1"/>
  <c r="Q104" i="18" s="1"/>
  <c r="T102" i="18"/>
  <c r="S103" i="17"/>
  <c r="U103" i="17" s="1"/>
  <c r="Q104" i="17" s="1"/>
  <c r="R98" i="16"/>
  <c r="T102" i="17"/>
  <c r="T97" i="16"/>
  <c r="K58" i="14"/>
  <c r="F59" i="14"/>
  <c r="G59" i="14" s="1"/>
  <c r="I58" i="14"/>
  <c r="G59" i="16"/>
  <c r="H59" i="16" s="1"/>
  <c r="J59" i="16" s="1"/>
  <c r="I60" i="17"/>
  <c r="F61" i="17"/>
  <c r="G61" i="17" s="1"/>
  <c r="K60" i="17"/>
  <c r="H61" i="18"/>
  <c r="J61" i="18" s="1"/>
  <c r="T61" i="19"/>
  <c r="Q62" i="19"/>
  <c r="R62" i="19" s="1"/>
  <c r="C61" i="15"/>
  <c r="E61" i="15" s="1"/>
  <c r="AF151" i="19"/>
  <c r="BD162" i="19"/>
  <c r="BA163" i="19"/>
  <c r="AO155" i="19"/>
  <c r="AC152" i="19"/>
  <c r="AR154" i="19"/>
  <c r="BN166" i="19"/>
  <c r="BO166" i="19" s="1"/>
  <c r="BQ166" i="19" s="1"/>
  <c r="AO165" i="18"/>
  <c r="AD152" i="18"/>
  <c r="AE152" i="18" s="1"/>
  <c r="AG152" i="18" s="1"/>
  <c r="BP153" i="18"/>
  <c r="AR164" i="18"/>
  <c r="BD150" i="18"/>
  <c r="BA151" i="18"/>
  <c r="BM154" i="18"/>
  <c r="BA156" i="17"/>
  <c r="AR152" i="17"/>
  <c r="BP154" i="17"/>
  <c r="BD155" i="17"/>
  <c r="AO153" i="17"/>
  <c r="BM155" i="17"/>
  <c r="AE155" i="17"/>
  <c r="AG155" i="17" s="1"/>
  <c r="BM154" i="16"/>
  <c r="AD157" i="16"/>
  <c r="AE157" i="16" s="1"/>
  <c r="AG157" i="16" s="1"/>
  <c r="BP153" i="16"/>
  <c r="AO154" i="16"/>
  <c r="BA155" i="16"/>
  <c r="AR153" i="16"/>
  <c r="BD154" i="16"/>
  <c r="BN162" i="14"/>
  <c r="BO162" i="14" s="1"/>
  <c r="BQ162" i="14" s="1"/>
  <c r="BA154" i="14"/>
  <c r="BD153" i="14"/>
  <c r="AO163" i="14"/>
  <c r="AR162" i="14"/>
  <c r="AC111" i="14"/>
  <c r="AF110" i="14"/>
  <c r="U43" i="14"/>
  <c r="T103" i="17" l="1"/>
  <c r="R104" i="17"/>
  <c r="S104" i="17" s="1"/>
  <c r="U104" i="17" s="1"/>
  <c r="Q105" i="17" s="1"/>
  <c r="R104" i="18"/>
  <c r="S104" i="18" s="1"/>
  <c r="U104" i="18" s="1"/>
  <c r="Q105" i="18" s="1"/>
  <c r="T103" i="18"/>
  <c r="K57" i="19"/>
  <c r="F58" i="19"/>
  <c r="S98" i="16"/>
  <c r="U98" i="16" s="1"/>
  <c r="Q99" i="16" s="1"/>
  <c r="I57" i="19"/>
  <c r="K59" i="16"/>
  <c r="F60" i="16"/>
  <c r="G60" i="16" s="1"/>
  <c r="I59" i="16"/>
  <c r="H59" i="14"/>
  <c r="J59" i="14" s="1"/>
  <c r="H61" i="17"/>
  <c r="J61" i="17" s="1"/>
  <c r="I61" i="18"/>
  <c r="F62" i="18"/>
  <c r="K61" i="18"/>
  <c r="S62" i="19"/>
  <c r="U62" i="19" s="1"/>
  <c r="BM167" i="19"/>
  <c r="AP155" i="19"/>
  <c r="AQ155" i="19" s="1"/>
  <c r="AS155" i="19" s="1"/>
  <c r="BP166" i="19"/>
  <c r="BB163" i="19"/>
  <c r="BC163" i="19" s="1"/>
  <c r="BE163" i="19" s="1"/>
  <c r="AD152" i="19"/>
  <c r="BB151" i="18"/>
  <c r="BC151" i="18" s="1"/>
  <c r="BE151" i="18" s="1"/>
  <c r="BN154" i="18"/>
  <c r="BO154" i="18" s="1"/>
  <c r="BQ154" i="18" s="1"/>
  <c r="AC153" i="18"/>
  <c r="AF152" i="18"/>
  <c r="AP165" i="18"/>
  <c r="AQ165" i="18" s="1"/>
  <c r="AS165" i="18" s="1"/>
  <c r="AC156" i="17"/>
  <c r="AF155" i="17"/>
  <c r="BN155" i="17"/>
  <c r="AP153" i="17"/>
  <c r="BB156" i="17"/>
  <c r="BC156" i="17" s="1"/>
  <c r="BE156" i="17" s="1"/>
  <c r="AF157" i="16"/>
  <c r="BN154" i="16"/>
  <c r="BO154" i="16" s="1"/>
  <c r="BQ154" i="16" s="1"/>
  <c r="BB155" i="16"/>
  <c r="BC155" i="16" s="1"/>
  <c r="BE155" i="16" s="1"/>
  <c r="AP154" i="16"/>
  <c r="AC158" i="16"/>
  <c r="BM163" i="14"/>
  <c r="BP162" i="14"/>
  <c r="BB154" i="14"/>
  <c r="BC154" i="14" s="1"/>
  <c r="BE154" i="14" s="1"/>
  <c r="AP163" i="14"/>
  <c r="AQ163" i="14" s="1"/>
  <c r="AS163" i="14" s="1"/>
  <c r="AD111" i="14"/>
  <c r="Q44" i="14"/>
  <c r="T43" i="14"/>
  <c r="T98" i="16" l="1"/>
  <c r="I59" i="14"/>
  <c r="G58" i="19"/>
  <c r="H58" i="19" s="1"/>
  <c r="J58" i="19" s="1"/>
  <c r="R105" i="18"/>
  <c r="S105" i="18" s="1"/>
  <c r="U105" i="18" s="1"/>
  <c r="Q106" i="18" s="1"/>
  <c r="T104" i="18"/>
  <c r="R105" i="17"/>
  <c r="S105" i="17" s="1"/>
  <c r="U105" i="17" s="1"/>
  <c r="Q106" i="17" s="1"/>
  <c r="R99" i="16"/>
  <c r="T104" i="17"/>
  <c r="F60" i="14"/>
  <c r="K59" i="14"/>
  <c r="H60" i="16"/>
  <c r="J60" i="16" s="1"/>
  <c r="I61" i="17"/>
  <c r="F62" i="17"/>
  <c r="K61" i="17"/>
  <c r="G62" i="18"/>
  <c r="H62" i="18" s="1"/>
  <c r="J62" i="18" s="1"/>
  <c r="T62" i="19"/>
  <c r="Q63" i="19"/>
  <c r="C62" i="15"/>
  <c r="E62" i="15" s="1"/>
  <c r="AO156" i="19"/>
  <c r="BA164" i="19"/>
  <c r="BD163" i="19"/>
  <c r="AR155" i="19"/>
  <c r="AE152" i="19"/>
  <c r="AG152" i="19" s="1"/>
  <c r="BN167" i="19"/>
  <c r="BO167" i="19" s="1"/>
  <c r="BQ167" i="19" s="1"/>
  <c r="AO166" i="18"/>
  <c r="BM155" i="18"/>
  <c r="AR165" i="18"/>
  <c r="BP154" i="18"/>
  <c r="AD153" i="18"/>
  <c r="AE153" i="18" s="1"/>
  <c r="AG153" i="18" s="1"/>
  <c r="BA152" i="18"/>
  <c r="BD151" i="18"/>
  <c r="BA157" i="17"/>
  <c r="BD156" i="17"/>
  <c r="AD156" i="17"/>
  <c r="AE156" i="17" s="1"/>
  <c r="AG156" i="17" s="1"/>
  <c r="BO155" i="17"/>
  <c r="BQ155" i="17" s="1"/>
  <c r="AQ153" i="17"/>
  <c r="AS153" i="17" s="1"/>
  <c r="AD158" i="16"/>
  <c r="AE158" i="16" s="1"/>
  <c r="AG158" i="16" s="1"/>
  <c r="BA156" i="16"/>
  <c r="BD155" i="16"/>
  <c r="BM155" i="16"/>
  <c r="BP154" i="16"/>
  <c r="AQ154" i="16"/>
  <c r="AS154" i="16" s="1"/>
  <c r="BN163" i="14"/>
  <c r="BO163" i="14" s="1"/>
  <c r="BQ163" i="14" s="1"/>
  <c r="BA155" i="14"/>
  <c r="BD154" i="14"/>
  <c r="AO164" i="14"/>
  <c r="AR163" i="14"/>
  <c r="AE111" i="14"/>
  <c r="AG111" i="14" s="1"/>
  <c r="R44" i="14"/>
  <c r="S44" i="14" s="1"/>
  <c r="I60" i="16" l="1"/>
  <c r="R106" i="17"/>
  <c r="S106" i="17" s="1"/>
  <c r="U106" i="17" s="1"/>
  <c r="Q107" i="17" s="1"/>
  <c r="K58" i="19"/>
  <c r="F59" i="19"/>
  <c r="T105" i="17"/>
  <c r="R106" i="18"/>
  <c r="S106" i="18" s="1"/>
  <c r="U106" i="18" s="1"/>
  <c r="Q107" i="18" s="1"/>
  <c r="T105" i="18"/>
  <c r="S99" i="16"/>
  <c r="U99" i="16" s="1"/>
  <c r="Q100" i="16" s="1"/>
  <c r="I58" i="19"/>
  <c r="F61" i="16"/>
  <c r="G61" i="16" s="1"/>
  <c r="K60" i="16"/>
  <c r="G60" i="14"/>
  <c r="H60" i="14" s="1"/>
  <c r="J60" i="14" s="1"/>
  <c r="G62" i="17"/>
  <c r="H62" i="17" s="1"/>
  <c r="J62" i="17" s="1"/>
  <c r="F63" i="18"/>
  <c r="K62" i="18"/>
  <c r="I62" i="18"/>
  <c r="R63" i="19"/>
  <c r="S63" i="19" s="1"/>
  <c r="U63" i="19" s="1"/>
  <c r="BP155" i="17"/>
  <c r="AR153" i="17"/>
  <c r="BM168" i="19"/>
  <c r="BP167" i="19"/>
  <c r="AC153" i="19"/>
  <c r="BB164" i="19"/>
  <c r="BC164" i="19" s="1"/>
  <c r="BE164" i="19" s="1"/>
  <c r="AF152" i="19"/>
  <c r="AP156" i="19"/>
  <c r="AQ156" i="19" s="1"/>
  <c r="AS156" i="19" s="1"/>
  <c r="AF153" i="18"/>
  <c r="BB152" i="18"/>
  <c r="BC152" i="18" s="1"/>
  <c r="BE152" i="18" s="1"/>
  <c r="BN155" i="18"/>
  <c r="BO155" i="18" s="1"/>
  <c r="BQ155" i="18" s="1"/>
  <c r="AC154" i="18"/>
  <c r="AP166" i="18"/>
  <c r="AQ166" i="18" s="1"/>
  <c r="AS166" i="18" s="1"/>
  <c r="AC157" i="17"/>
  <c r="AF156" i="17"/>
  <c r="AO154" i="17"/>
  <c r="BM156" i="17"/>
  <c r="BB157" i="17"/>
  <c r="BC157" i="17" s="1"/>
  <c r="BE157" i="17" s="1"/>
  <c r="BB156" i="16"/>
  <c r="BC156" i="16" s="1"/>
  <c r="BE156" i="16" s="1"/>
  <c r="AO155" i="16"/>
  <c r="AC159" i="16"/>
  <c r="AF158" i="16"/>
  <c r="AR154" i="16"/>
  <c r="BN155" i="16"/>
  <c r="BO155" i="16" s="1"/>
  <c r="BQ155" i="16" s="1"/>
  <c r="BM164" i="14"/>
  <c r="BP163" i="14"/>
  <c r="BB155" i="14"/>
  <c r="BC155" i="14" s="1"/>
  <c r="BE155" i="14" s="1"/>
  <c r="AP164" i="14"/>
  <c r="AQ164" i="14" s="1"/>
  <c r="AS164" i="14" s="1"/>
  <c r="AC112" i="14"/>
  <c r="AF111" i="14"/>
  <c r="U44" i="14"/>
  <c r="T99" i="16" l="1"/>
  <c r="T106" i="18"/>
  <c r="G59" i="19"/>
  <c r="H59" i="19" s="1"/>
  <c r="J59" i="19" s="1"/>
  <c r="R100" i="16"/>
  <c r="S100" i="16" s="1"/>
  <c r="U100" i="16" s="1"/>
  <c r="Q101" i="16" s="1"/>
  <c r="R107" i="17"/>
  <c r="S107" i="17" s="1"/>
  <c r="U107" i="17" s="1"/>
  <c r="Q108" i="17" s="1"/>
  <c r="R107" i="18"/>
  <c r="S107" i="18" s="1"/>
  <c r="U107" i="18" s="1"/>
  <c r="Q108" i="18" s="1"/>
  <c r="T106" i="17"/>
  <c r="F61" i="14"/>
  <c r="K60" i="14"/>
  <c r="I60" i="14"/>
  <c r="H61" i="16"/>
  <c r="J61" i="16" s="1"/>
  <c r="F63" i="17"/>
  <c r="K62" i="17"/>
  <c r="I62" i="17"/>
  <c r="G63" i="18"/>
  <c r="H63" i="18" s="1"/>
  <c r="J63" i="18" s="1"/>
  <c r="Q64" i="19"/>
  <c r="R64" i="19" s="1"/>
  <c r="C63" i="15"/>
  <c r="E63" i="15" s="1"/>
  <c r="T63" i="19"/>
  <c r="AO157" i="19"/>
  <c r="AD153" i="19"/>
  <c r="AE153" i="19" s="1"/>
  <c r="AG153" i="19" s="1"/>
  <c r="AR156" i="19"/>
  <c r="BA165" i="19"/>
  <c r="BD164" i="19"/>
  <c r="BN168" i="19"/>
  <c r="BO168" i="19" s="1"/>
  <c r="BQ168" i="19" s="1"/>
  <c r="AO167" i="18"/>
  <c r="BM156" i="18"/>
  <c r="BA153" i="18"/>
  <c r="BP155" i="18"/>
  <c r="AR166" i="18"/>
  <c r="BD152" i="18"/>
  <c r="AD154" i="18"/>
  <c r="AE154" i="18" s="1"/>
  <c r="AG154" i="18" s="1"/>
  <c r="BN156" i="17"/>
  <c r="BO156" i="17" s="1"/>
  <c r="BQ156" i="17" s="1"/>
  <c r="AP154" i="17"/>
  <c r="AQ154" i="17" s="1"/>
  <c r="AS154" i="17" s="1"/>
  <c r="BA158" i="17"/>
  <c r="BD157" i="17"/>
  <c r="AD157" i="17"/>
  <c r="AE157" i="17" s="1"/>
  <c r="AG157" i="17" s="1"/>
  <c r="BM156" i="16"/>
  <c r="AP155" i="16"/>
  <c r="AQ155" i="16" s="1"/>
  <c r="AS155" i="16" s="1"/>
  <c r="BA157" i="16"/>
  <c r="BP155" i="16"/>
  <c r="AD159" i="16"/>
  <c r="AE159" i="16" s="1"/>
  <c r="AG159" i="16" s="1"/>
  <c r="BD156" i="16"/>
  <c r="BN164" i="14"/>
  <c r="BO164" i="14" s="1"/>
  <c r="BQ164" i="14" s="1"/>
  <c r="BA156" i="14"/>
  <c r="BD155" i="14"/>
  <c r="AO165" i="14"/>
  <c r="AR164" i="14"/>
  <c r="AD112" i="14"/>
  <c r="Q45" i="14"/>
  <c r="T44" i="14"/>
  <c r="T107" i="18" l="1"/>
  <c r="R108" i="17"/>
  <c r="S108" i="17" s="1"/>
  <c r="U108" i="17" s="1"/>
  <c r="Q109" i="17" s="1"/>
  <c r="T107" i="17"/>
  <c r="R101" i="16"/>
  <c r="S101" i="16" s="1"/>
  <c r="U101" i="16" s="1"/>
  <c r="Q102" i="16" s="1"/>
  <c r="T100" i="16"/>
  <c r="K59" i="19"/>
  <c r="F60" i="19"/>
  <c r="I59" i="19"/>
  <c r="R108" i="18"/>
  <c r="S108" i="18" s="1"/>
  <c r="U108" i="18" s="1"/>
  <c r="Q109" i="18" s="1"/>
  <c r="I61" i="16"/>
  <c r="F62" i="16"/>
  <c r="G62" i="16" s="1"/>
  <c r="K61" i="16"/>
  <c r="G61" i="14"/>
  <c r="H61" i="14" s="1"/>
  <c r="J61" i="14" s="1"/>
  <c r="G63" i="17"/>
  <c r="H63" i="17" s="1"/>
  <c r="J63" i="17" s="1"/>
  <c r="F64" i="18"/>
  <c r="K63" i="18"/>
  <c r="I63" i="18"/>
  <c r="S64" i="19"/>
  <c r="U64" i="19" s="1"/>
  <c r="AC154" i="19"/>
  <c r="BP168" i="19"/>
  <c r="AP157" i="19"/>
  <c r="AQ157" i="19" s="1"/>
  <c r="AS157" i="19" s="1"/>
  <c r="AF153" i="19"/>
  <c r="BB165" i="19"/>
  <c r="BC165" i="19" s="1"/>
  <c r="BE165" i="19" s="1"/>
  <c r="BM169" i="19"/>
  <c r="AF154" i="18"/>
  <c r="BN156" i="18"/>
  <c r="BO156" i="18" s="1"/>
  <c r="BQ156" i="18" s="1"/>
  <c r="AC155" i="18"/>
  <c r="BB153" i="18"/>
  <c r="BC153" i="18" s="1"/>
  <c r="BE153" i="18" s="1"/>
  <c r="AP167" i="18"/>
  <c r="AQ167" i="18" s="1"/>
  <c r="AS167" i="18" s="1"/>
  <c r="AC158" i="17"/>
  <c r="BB158" i="17"/>
  <c r="BC158" i="17" s="1"/>
  <c r="BE158" i="17" s="1"/>
  <c r="AF157" i="17"/>
  <c r="AO155" i="17"/>
  <c r="AR154" i="17"/>
  <c r="BM157" i="17"/>
  <c r="BP156" i="17"/>
  <c r="AO156" i="16"/>
  <c r="AR155" i="16"/>
  <c r="AC160" i="16"/>
  <c r="BB157" i="16"/>
  <c r="BC157" i="16" s="1"/>
  <c r="BE157" i="16" s="1"/>
  <c r="AF159" i="16"/>
  <c r="BN156" i="16"/>
  <c r="BO156" i="16" s="1"/>
  <c r="BQ156" i="16" s="1"/>
  <c r="BP164" i="14"/>
  <c r="BM165" i="14"/>
  <c r="BB156" i="14"/>
  <c r="AP165" i="14"/>
  <c r="AQ165" i="14" s="1"/>
  <c r="AS165" i="14" s="1"/>
  <c r="AE112" i="14"/>
  <c r="AG112" i="14" s="1"/>
  <c r="R45" i="14"/>
  <c r="S45" i="14" s="1"/>
  <c r="G60" i="19" l="1"/>
  <c r="H60" i="19" s="1"/>
  <c r="J60" i="19" s="1"/>
  <c r="R102" i="16"/>
  <c r="S102" i="16" s="1"/>
  <c r="U102" i="16" s="1"/>
  <c r="Q103" i="16" s="1"/>
  <c r="T101" i="16"/>
  <c r="R109" i="18"/>
  <c r="S109" i="18" s="1"/>
  <c r="U109" i="18" s="1"/>
  <c r="Q110" i="18" s="1"/>
  <c r="T108" i="18"/>
  <c r="R109" i="17"/>
  <c r="S109" i="17" s="1"/>
  <c r="U109" i="17" s="1"/>
  <c r="Q110" i="17" s="1"/>
  <c r="T108" i="17"/>
  <c r="F62" i="14"/>
  <c r="K61" i="14"/>
  <c r="I61" i="14"/>
  <c r="H62" i="16"/>
  <c r="J62" i="16" s="1"/>
  <c r="F64" i="17"/>
  <c r="K63" i="17"/>
  <c r="I63" i="17"/>
  <c r="G64" i="18"/>
  <c r="H64" i="18" s="1"/>
  <c r="J64" i="18" s="1"/>
  <c r="T64" i="19"/>
  <c r="Q65" i="19"/>
  <c r="R65" i="19" s="1"/>
  <c r="C64" i="15"/>
  <c r="E64" i="15" s="1"/>
  <c r="BA166" i="19"/>
  <c r="AR157" i="19"/>
  <c r="BN169" i="19"/>
  <c r="BO169" i="19" s="1"/>
  <c r="BQ169" i="19" s="1"/>
  <c r="AO158" i="19"/>
  <c r="BD165" i="19"/>
  <c r="AD154" i="19"/>
  <c r="AE154" i="19" s="1"/>
  <c r="AG154" i="19" s="1"/>
  <c r="BM157" i="18"/>
  <c r="AD155" i="18"/>
  <c r="AE155" i="18" s="1"/>
  <c r="AG155" i="18" s="1"/>
  <c r="BP156" i="18"/>
  <c r="AR167" i="18"/>
  <c r="BA154" i="18"/>
  <c r="AO168" i="18"/>
  <c r="BD153" i="18"/>
  <c r="AP155" i="17"/>
  <c r="AQ155" i="17" s="1"/>
  <c r="AS155" i="17" s="1"/>
  <c r="BN157" i="17"/>
  <c r="BO157" i="17" s="1"/>
  <c r="BQ157" i="17" s="1"/>
  <c r="BA159" i="17"/>
  <c r="BD158" i="17"/>
  <c r="AD158" i="17"/>
  <c r="AE158" i="17" s="1"/>
  <c r="AG158" i="17" s="1"/>
  <c r="BM157" i="16"/>
  <c r="BD157" i="16"/>
  <c r="AP156" i="16"/>
  <c r="BA158" i="16"/>
  <c r="AD160" i="16"/>
  <c r="AE160" i="16" s="1"/>
  <c r="AG160" i="16" s="1"/>
  <c r="BP156" i="16"/>
  <c r="BN165" i="14"/>
  <c r="BO165" i="14" s="1"/>
  <c r="BQ165" i="14" s="1"/>
  <c r="BC156" i="14"/>
  <c r="BE156" i="14" s="1"/>
  <c r="AO166" i="14"/>
  <c r="AR165" i="14"/>
  <c r="AC113" i="14"/>
  <c r="AF112" i="14"/>
  <c r="U45" i="14"/>
  <c r="T109" i="18" l="1"/>
  <c r="I62" i="16"/>
  <c r="R103" i="16"/>
  <c r="S103" i="16" s="1"/>
  <c r="U103" i="16" s="1"/>
  <c r="Q104" i="16" s="1"/>
  <c r="T102" i="16"/>
  <c r="R110" i="18"/>
  <c r="S110" i="18" s="1"/>
  <c r="U110" i="18" s="1"/>
  <c r="Q111" i="18" s="1"/>
  <c r="R110" i="17"/>
  <c r="K60" i="19"/>
  <c r="F61" i="19"/>
  <c r="T109" i="17"/>
  <c r="I60" i="19"/>
  <c r="F63" i="16"/>
  <c r="G63" i="16" s="1"/>
  <c r="K62" i="16"/>
  <c r="G62" i="14"/>
  <c r="H62" i="14" s="1"/>
  <c r="J62" i="14" s="1"/>
  <c r="G64" i="17"/>
  <c r="F65" i="18"/>
  <c r="K64" i="18"/>
  <c r="Y8" i="1" s="1"/>
  <c r="I64" i="18"/>
  <c r="S65" i="19"/>
  <c r="U65" i="19" s="1"/>
  <c r="AC155" i="19"/>
  <c r="AF154" i="19"/>
  <c r="AP158" i="19"/>
  <c r="BP169" i="19"/>
  <c r="BM170" i="19"/>
  <c r="BB166" i="19"/>
  <c r="BC166" i="19" s="1"/>
  <c r="BE166" i="19" s="1"/>
  <c r="AC156" i="18"/>
  <c r="AP168" i="18"/>
  <c r="AQ168" i="18" s="1"/>
  <c r="AS168" i="18" s="1"/>
  <c r="AF155" i="18"/>
  <c r="BB154" i="18"/>
  <c r="BC154" i="18" s="1"/>
  <c r="BE154" i="18" s="1"/>
  <c r="BN157" i="18"/>
  <c r="BO157" i="18" s="1"/>
  <c r="BQ157" i="18" s="1"/>
  <c r="BM158" i="17"/>
  <c r="AC159" i="17"/>
  <c r="AO156" i="17"/>
  <c r="AF158" i="17"/>
  <c r="AR155" i="17"/>
  <c r="BP157" i="17"/>
  <c r="BB159" i="17"/>
  <c r="BC159" i="17" s="1"/>
  <c r="BE159" i="17" s="1"/>
  <c r="BB158" i="16"/>
  <c r="BC158" i="16" s="1"/>
  <c r="BE158" i="16" s="1"/>
  <c r="AQ156" i="16"/>
  <c r="AS156" i="16" s="1"/>
  <c r="AC161" i="16"/>
  <c r="AF160" i="16"/>
  <c r="BN157" i="16"/>
  <c r="BO157" i="16" s="1"/>
  <c r="BQ157" i="16" s="1"/>
  <c r="BM166" i="14"/>
  <c r="BP165" i="14"/>
  <c r="BA157" i="14"/>
  <c r="BD156" i="14"/>
  <c r="AP166" i="14"/>
  <c r="AD113" i="14"/>
  <c r="Q46" i="14"/>
  <c r="T45" i="14"/>
  <c r="S110" i="17" l="1"/>
  <c r="U110" i="17" s="1"/>
  <c r="Q111" i="17" s="1"/>
  <c r="T110" i="18"/>
  <c r="R104" i="16"/>
  <c r="S104" i="16" s="1"/>
  <c r="U104" i="16" s="1"/>
  <c r="Q105" i="16" s="1"/>
  <c r="G61" i="19"/>
  <c r="H61" i="19" s="1"/>
  <c r="J61" i="19" s="1"/>
  <c r="T103" i="16"/>
  <c r="R111" i="18"/>
  <c r="S111" i="18" s="1"/>
  <c r="U111" i="18" s="1"/>
  <c r="Q112" i="18" s="1"/>
  <c r="R111" i="17"/>
  <c r="S111" i="17" s="1"/>
  <c r="U111" i="17" s="1"/>
  <c r="Q112" i="17" s="1"/>
  <c r="F63" i="14"/>
  <c r="K62" i="14"/>
  <c r="I62" i="14"/>
  <c r="H63" i="16"/>
  <c r="J63" i="16" s="1"/>
  <c r="H64" i="17"/>
  <c r="J64" i="17" s="1"/>
  <c r="G65" i="18"/>
  <c r="H65" i="18" s="1"/>
  <c r="J65" i="18" s="1"/>
  <c r="T65" i="19"/>
  <c r="Q66" i="19"/>
  <c r="R66" i="19" s="1"/>
  <c r="C65" i="15"/>
  <c r="E65" i="15" s="1"/>
  <c r="BD166" i="19"/>
  <c r="AD155" i="19"/>
  <c r="AE155" i="19" s="1"/>
  <c r="AG155" i="19" s="1"/>
  <c r="BA167" i="19"/>
  <c r="BN170" i="19"/>
  <c r="AQ158" i="19"/>
  <c r="AS158" i="19" s="1"/>
  <c r="BM158" i="18"/>
  <c r="BP157" i="18"/>
  <c r="AO169" i="18"/>
  <c r="AR168" i="18"/>
  <c r="BA155" i="18"/>
  <c r="BD154" i="18"/>
  <c r="AD156" i="18"/>
  <c r="AE156" i="18" s="1"/>
  <c r="AG156" i="18" s="1"/>
  <c r="BA160" i="17"/>
  <c r="BD159" i="17"/>
  <c r="AP156" i="17"/>
  <c r="AQ156" i="17" s="1"/>
  <c r="AS156" i="17" s="1"/>
  <c r="AD159" i="17"/>
  <c r="AE159" i="17" s="1"/>
  <c r="AG159" i="17" s="1"/>
  <c r="BN158" i="17"/>
  <c r="BO158" i="17" s="1"/>
  <c r="BQ158" i="17" s="1"/>
  <c r="BA159" i="16"/>
  <c r="AO157" i="16"/>
  <c r="BM158" i="16"/>
  <c r="BP157" i="16"/>
  <c r="AR156" i="16"/>
  <c r="AD161" i="16"/>
  <c r="AE161" i="16" s="1"/>
  <c r="AG161" i="16" s="1"/>
  <c r="BD158" i="16"/>
  <c r="BN166" i="14"/>
  <c r="BO166" i="14" s="1"/>
  <c r="BQ166" i="14" s="1"/>
  <c r="BB157" i="14"/>
  <c r="BC157" i="14" s="1"/>
  <c r="BE157" i="14" s="1"/>
  <c r="AQ166" i="14"/>
  <c r="AS166" i="14" s="1"/>
  <c r="AO167" i="14" s="1"/>
  <c r="AE113" i="14"/>
  <c r="AG113" i="14" s="1"/>
  <c r="R46" i="14"/>
  <c r="S46" i="14" s="1"/>
  <c r="I63" i="16" l="1"/>
  <c r="T110" i="17"/>
  <c r="T111" i="17"/>
  <c r="R112" i="18"/>
  <c r="S112" i="18" s="1"/>
  <c r="U112" i="18" s="1"/>
  <c r="Q113" i="18" s="1"/>
  <c r="K61" i="19"/>
  <c r="F62" i="19"/>
  <c r="T111" i="18"/>
  <c r="I61" i="19"/>
  <c r="R105" i="16"/>
  <c r="S105" i="16" s="1"/>
  <c r="U105" i="16" s="1"/>
  <c r="Q106" i="16" s="1"/>
  <c r="R112" i="17"/>
  <c r="S112" i="17" s="1"/>
  <c r="U112" i="17" s="1"/>
  <c r="Q113" i="17" s="1"/>
  <c r="T104" i="16"/>
  <c r="F64" i="16"/>
  <c r="G64" i="16" s="1"/>
  <c r="K63" i="16"/>
  <c r="G63" i="14"/>
  <c r="H63" i="14" s="1"/>
  <c r="J63" i="14" s="1"/>
  <c r="F65" i="17"/>
  <c r="G65" i="17" s="1"/>
  <c r="K64" i="17"/>
  <c r="V8" i="1" s="1"/>
  <c r="I64" i="17"/>
  <c r="F66" i="18"/>
  <c r="K65" i="18"/>
  <c r="I65" i="18"/>
  <c r="S66" i="19"/>
  <c r="U66" i="19" s="1"/>
  <c r="AR158" i="19"/>
  <c r="AO159" i="19"/>
  <c r="BB167" i="19"/>
  <c r="BC167" i="19" s="1"/>
  <c r="BE167" i="19" s="1"/>
  <c r="AF155" i="19"/>
  <c r="AC156" i="19"/>
  <c r="BO170" i="19"/>
  <c r="BQ170" i="19" s="1"/>
  <c r="AC157" i="18"/>
  <c r="AP169" i="18"/>
  <c r="AQ169" i="18" s="1"/>
  <c r="AS169" i="18" s="1"/>
  <c r="AF156" i="18"/>
  <c r="BN158" i="18"/>
  <c r="BO158" i="18" s="1"/>
  <c r="BQ158" i="18" s="1"/>
  <c r="BB155" i="18"/>
  <c r="AO157" i="17"/>
  <c r="BM159" i="17"/>
  <c r="AC160" i="17"/>
  <c r="BP158" i="17"/>
  <c r="AF159" i="17"/>
  <c r="AR156" i="17"/>
  <c r="BB160" i="17"/>
  <c r="BC160" i="17" s="1"/>
  <c r="BE160" i="17" s="1"/>
  <c r="AP157" i="16"/>
  <c r="AQ157" i="16" s="1"/>
  <c r="AS157" i="16" s="1"/>
  <c r="BN158" i="16"/>
  <c r="BO158" i="16" s="1"/>
  <c r="BQ158" i="16" s="1"/>
  <c r="AF161" i="16"/>
  <c r="AC162" i="16"/>
  <c r="BB159" i="16"/>
  <c r="BC159" i="16" s="1"/>
  <c r="BE159" i="16" s="1"/>
  <c r="BM167" i="14"/>
  <c r="BP166" i="14"/>
  <c r="BA158" i="14"/>
  <c r="BD157" i="14"/>
  <c r="AR166" i="14"/>
  <c r="AP167" i="14"/>
  <c r="AQ167" i="14" s="1"/>
  <c r="AS167" i="14" s="1"/>
  <c r="AC114" i="14"/>
  <c r="AF113" i="14"/>
  <c r="U46" i="14"/>
  <c r="R106" i="16" l="1"/>
  <c r="S106" i="16" s="1"/>
  <c r="U106" i="16" s="1"/>
  <c r="Q107" i="16" s="1"/>
  <c r="T105" i="16"/>
  <c r="G62" i="19"/>
  <c r="H62" i="19" s="1"/>
  <c r="J62" i="19" s="1"/>
  <c r="R113" i="17"/>
  <c r="S113" i="17" s="1"/>
  <c r="U113" i="17" s="1"/>
  <c r="Q114" i="17" s="1"/>
  <c r="R113" i="18"/>
  <c r="S113" i="18" s="1"/>
  <c r="U113" i="18" s="1"/>
  <c r="Q114" i="18" s="1"/>
  <c r="T112" i="17"/>
  <c r="T112" i="18"/>
  <c r="F64" i="14"/>
  <c r="K63" i="14"/>
  <c r="I63" i="14"/>
  <c r="H64" i="16"/>
  <c r="J64" i="16" s="1"/>
  <c r="H65" i="17"/>
  <c r="J65" i="17" s="1"/>
  <c r="G66" i="18"/>
  <c r="H66" i="18" s="1"/>
  <c r="J66" i="18" s="1"/>
  <c r="T66" i="19"/>
  <c r="Q67" i="19"/>
  <c r="R67" i="19" s="1"/>
  <c r="C66" i="15"/>
  <c r="E66" i="15" s="1"/>
  <c r="BP170" i="19"/>
  <c r="BM171" i="19"/>
  <c r="BA168" i="19"/>
  <c r="BD167" i="19"/>
  <c r="AD156" i="19"/>
  <c r="AE156" i="19" s="1"/>
  <c r="AG156" i="19" s="1"/>
  <c r="AP159" i="19"/>
  <c r="AQ159" i="19" s="1"/>
  <c r="AS159" i="19" s="1"/>
  <c r="AO170" i="18"/>
  <c r="BM159" i="18"/>
  <c r="BP158" i="18"/>
  <c r="AR169" i="18"/>
  <c r="AD157" i="18"/>
  <c r="AE157" i="18" s="1"/>
  <c r="AG157" i="18" s="1"/>
  <c r="BC155" i="18"/>
  <c r="BE155" i="18" s="1"/>
  <c r="AD160" i="17"/>
  <c r="AE160" i="17" s="1"/>
  <c r="AG160" i="17" s="1"/>
  <c r="BA161" i="17"/>
  <c r="BD160" i="17"/>
  <c r="BN159" i="17"/>
  <c r="BO159" i="17" s="1"/>
  <c r="BQ159" i="17" s="1"/>
  <c r="AP157" i="17"/>
  <c r="AQ157" i="17" s="1"/>
  <c r="AS157" i="17" s="1"/>
  <c r="AO158" i="16"/>
  <c r="BA160" i="16"/>
  <c r="AD162" i="16"/>
  <c r="BD159" i="16"/>
  <c r="BM159" i="16"/>
  <c r="AR157" i="16"/>
  <c r="BP158" i="16"/>
  <c r="BN167" i="14"/>
  <c r="BO167" i="14" s="1"/>
  <c r="BQ167" i="14" s="1"/>
  <c r="BB158" i="14"/>
  <c r="AO168" i="14"/>
  <c r="AR167" i="14"/>
  <c r="AD114" i="14"/>
  <c r="Q47" i="14"/>
  <c r="T46" i="14"/>
  <c r="T113" i="18" l="1"/>
  <c r="R107" i="16"/>
  <c r="S107" i="16" s="1"/>
  <c r="U107" i="16" s="1"/>
  <c r="Q108" i="16" s="1"/>
  <c r="R114" i="17"/>
  <c r="S114" i="17" s="1"/>
  <c r="U114" i="17" s="1"/>
  <c r="Q115" i="17" s="1"/>
  <c r="T113" i="17"/>
  <c r="K62" i="19"/>
  <c r="F63" i="19"/>
  <c r="I62" i="19"/>
  <c r="R114" i="18"/>
  <c r="S114" i="18" s="1"/>
  <c r="U114" i="18" s="1"/>
  <c r="Q115" i="18" s="1"/>
  <c r="T106" i="16"/>
  <c r="I64" i="16"/>
  <c r="K64" i="16"/>
  <c r="S8" i="1" s="1"/>
  <c r="F65" i="16"/>
  <c r="G64" i="14"/>
  <c r="H64" i="14" s="1"/>
  <c r="J64" i="14" s="1"/>
  <c r="I65" i="17"/>
  <c r="F66" i="17"/>
  <c r="K65" i="17"/>
  <c r="F67" i="18"/>
  <c r="K66" i="18"/>
  <c r="I66" i="18"/>
  <c r="S67" i="19"/>
  <c r="U67" i="19" s="1"/>
  <c r="AO160" i="19"/>
  <c r="BN171" i="19"/>
  <c r="BO171" i="19" s="1"/>
  <c r="BQ171" i="19" s="1"/>
  <c r="AR159" i="19"/>
  <c r="AC157" i="19"/>
  <c r="AF156" i="19"/>
  <c r="BB168" i="19"/>
  <c r="BC168" i="19" s="1"/>
  <c r="BE168" i="19" s="1"/>
  <c r="AC158" i="18"/>
  <c r="BA156" i="18"/>
  <c r="BN159" i="18"/>
  <c r="BO159" i="18" s="1"/>
  <c r="BQ159" i="18" s="1"/>
  <c r="AP170" i="18"/>
  <c r="AQ170" i="18" s="1"/>
  <c r="AS170" i="18" s="1"/>
  <c r="AF157" i="18"/>
  <c r="BD155" i="18"/>
  <c r="AO158" i="17"/>
  <c r="AR157" i="17"/>
  <c r="BM160" i="17"/>
  <c r="AC161" i="17"/>
  <c r="BP159" i="17"/>
  <c r="AF160" i="17"/>
  <c r="BB161" i="17"/>
  <c r="BC161" i="17" s="1"/>
  <c r="BE161" i="17" s="1"/>
  <c r="AE162" i="16"/>
  <c r="AG162" i="16" s="1"/>
  <c r="BB160" i="16"/>
  <c r="BC160" i="16" s="1"/>
  <c r="BE160" i="16" s="1"/>
  <c r="BN159" i="16"/>
  <c r="BO159" i="16" s="1"/>
  <c r="BQ159" i="16" s="1"/>
  <c r="AP158" i="16"/>
  <c r="AQ158" i="16" s="1"/>
  <c r="AS158" i="16" s="1"/>
  <c r="BM168" i="14"/>
  <c r="BP167" i="14"/>
  <c r="BC158" i="14"/>
  <c r="BE158" i="14" s="1"/>
  <c r="AP168" i="14"/>
  <c r="AQ168" i="14" s="1"/>
  <c r="AS168" i="14" s="1"/>
  <c r="AE114" i="14"/>
  <c r="AG114" i="14" s="1"/>
  <c r="R47" i="14"/>
  <c r="S47" i="14" s="1"/>
  <c r="G63" i="19" l="1"/>
  <c r="H63" i="19" s="1"/>
  <c r="J63" i="19" s="1"/>
  <c r="R115" i="17"/>
  <c r="S115" i="17" s="1"/>
  <c r="U115" i="17" s="1"/>
  <c r="Q116" i="17" s="1"/>
  <c r="T114" i="17"/>
  <c r="R115" i="18"/>
  <c r="S115" i="18" s="1"/>
  <c r="U115" i="18" s="1"/>
  <c r="Q116" i="18" s="1"/>
  <c r="R108" i="16"/>
  <c r="T114" i="18"/>
  <c r="T107" i="16"/>
  <c r="F65" i="14"/>
  <c r="K64" i="14"/>
  <c r="P8" i="1" s="1"/>
  <c r="I64" i="14"/>
  <c r="G65" i="16"/>
  <c r="H65" i="16" s="1"/>
  <c r="J65" i="16" s="1"/>
  <c r="G66" i="17"/>
  <c r="H66" i="17" s="1"/>
  <c r="J66" i="17" s="1"/>
  <c r="G67" i="18"/>
  <c r="H67" i="18" s="1"/>
  <c r="J67" i="18" s="1"/>
  <c r="Q68" i="19"/>
  <c r="R68" i="19" s="1"/>
  <c r="C67" i="15"/>
  <c r="E67" i="15" s="1"/>
  <c r="T67" i="19"/>
  <c r="BM172" i="19"/>
  <c r="BA169" i="19"/>
  <c r="BD168" i="19"/>
  <c r="BP171" i="19"/>
  <c r="AD157" i="19"/>
  <c r="AE157" i="19" s="1"/>
  <c r="AG157" i="19" s="1"/>
  <c r="AP160" i="19"/>
  <c r="AQ160" i="19" s="1"/>
  <c r="AS160" i="19" s="1"/>
  <c r="AO171" i="18"/>
  <c r="BM160" i="18"/>
  <c r="BB156" i="18"/>
  <c r="BP159" i="18"/>
  <c r="AR170" i="18"/>
  <c r="AD158" i="18"/>
  <c r="AE158" i="18" s="1"/>
  <c r="AG158" i="18" s="1"/>
  <c r="BN160" i="17"/>
  <c r="BO160" i="17" s="1"/>
  <c r="BQ160" i="17" s="1"/>
  <c r="BA162" i="17"/>
  <c r="BD161" i="17"/>
  <c r="AD161" i="17"/>
  <c r="AE161" i="17" s="1"/>
  <c r="AG161" i="17" s="1"/>
  <c r="AP158" i="17"/>
  <c r="AQ158" i="17" s="1"/>
  <c r="AS158" i="17" s="1"/>
  <c r="BM160" i="16"/>
  <c r="BA161" i="16"/>
  <c r="BD160" i="16"/>
  <c r="AC163" i="16"/>
  <c r="BP159" i="16"/>
  <c r="AO159" i="16"/>
  <c r="AF162" i="16"/>
  <c r="AR158" i="16"/>
  <c r="BN168" i="14"/>
  <c r="BO168" i="14" s="1"/>
  <c r="BQ168" i="14" s="1"/>
  <c r="BA159" i="14"/>
  <c r="BD158" i="14"/>
  <c r="AO169" i="14"/>
  <c r="AR168" i="14"/>
  <c r="AC115" i="14"/>
  <c r="AF114" i="14"/>
  <c r="U47" i="14"/>
  <c r="R116" i="18" l="1"/>
  <c r="S116" i="18" s="1"/>
  <c r="U116" i="18" s="1"/>
  <c r="Q117" i="18" s="1"/>
  <c r="T115" i="18"/>
  <c r="R116" i="17"/>
  <c r="S116" i="17" s="1"/>
  <c r="U116" i="17" s="1"/>
  <c r="Q117" i="17" s="1"/>
  <c r="T115" i="17"/>
  <c r="K63" i="19"/>
  <c r="F64" i="19"/>
  <c r="S108" i="16"/>
  <c r="U108" i="16" s="1"/>
  <c r="Q109" i="16" s="1"/>
  <c r="I63" i="19"/>
  <c r="K65" i="16"/>
  <c r="F66" i="16"/>
  <c r="G66" i="16" s="1"/>
  <c r="I65" i="16"/>
  <c r="G65" i="14"/>
  <c r="H65" i="14" s="1"/>
  <c r="J65" i="14" s="1"/>
  <c r="K66" i="17"/>
  <c r="F67" i="17"/>
  <c r="I66" i="17"/>
  <c r="F68" i="18"/>
  <c r="K67" i="18"/>
  <c r="I67" i="18"/>
  <c r="S68" i="19"/>
  <c r="U68" i="19" s="1"/>
  <c r="BB169" i="19"/>
  <c r="BC169" i="19" s="1"/>
  <c r="BE169" i="19" s="1"/>
  <c r="AR160" i="19"/>
  <c r="AC158" i="19"/>
  <c r="AF157" i="19"/>
  <c r="AO161" i="19"/>
  <c r="BN172" i="19"/>
  <c r="BO172" i="19" s="1"/>
  <c r="BQ172" i="19" s="1"/>
  <c r="AC159" i="18"/>
  <c r="AF158" i="18"/>
  <c r="BN160" i="18"/>
  <c r="BO160" i="18" s="1"/>
  <c r="BQ160" i="18" s="1"/>
  <c r="BC156" i="18"/>
  <c r="BE156" i="18" s="1"/>
  <c r="AP171" i="18"/>
  <c r="AQ171" i="18" s="1"/>
  <c r="AS171" i="18" s="1"/>
  <c r="AC162" i="17"/>
  <c r="BB162" i="17"/>
  <c r="BC162" i="17" s="1"/>
  <c r="BE162" i="17" s="1"/>
  <c r="AR158" i="17"/>
  <c r="AF161" i="17"/>
  <c r="BM161" i="17"/>
  <c r="BP160" i="17"/>
  <c r="AO159" i="17"/>
  <c r="BB161" i="16"/>
  <c r="BC161" i="16" s="1"/>
  <c r="BE161" i="16" s="1"/>
  <c r="AD163" i="16"/>
  <c r="AE163" i="16" s="1"/>
  <c r="AG163" i="16" s="1"/>
  <c r="BN160" i="16"/>
  <c r="BO160" i="16" s="1"/>
  <c r="BQ160" i="16" s="1"/>
  <c r="AP159" i="16"/>
  <c r="AQ159" i="16" s="1"/>
  <c r="AS159" i="16" s="1"/>
  <c r="BM169" i="14"/>
  <c r="BP168" i="14"/>
  <c r="BB159" i="14"/>
  <c r="BC159" i="14" s="1"/>
  <c r="BE159" i="14" s="1"/>
  <c r="AP169" i="14"/>
  <c r="AQ169" i="14" s="1"/>
  <c r="AS169" i="14" s="1"/>
  <c r="AD115" i="14"/>
  <c r="Q48" i="14"/>
  <c r="T47" i="14"/>
  <c r="R117" i="17" l="1"/>
  <c r="S117" i="17" s="1"/>
  <c r="U117" i="17" s="1"/>
  <c r="Q118" i="17" s="1"/>
  <c r="T116" i="17"/>
  <c r="R117" i="18"/>
  <c r="S117" i="18" s="1"/>
  <c r="U117" i="18" s="1"/>
  <c r="Q118" i="18" s="1"/>
  <c r="R109" i="16"/>
  <c r="S109" i="16" s="1"/>
  <c r="U109" i="16" s="1"/>
  <c r="Q110" i="16" s="1"/>
  <c r="T116" i="18"/>
  <c r="G64" i="19"/>
  <c r="H64" i="19" s="1"/>
  <c r="J64" i="19" s="1"/>
  <c r="T108" i="16"/>
  <c r="F66" i="14"/>
  <c r="K65" i="14"/>
  <c r="I65" i="14"/>
  <c r="H66" i="16"/>
  <c r="J66" i="16" s="1"/>
  <c r="G67" i="17"/>
  <c r="H67" i="17" s="1"/>
  <c r="J67" i="17" s="1"/>
  <c r="G68" i="18"/>
  <c r="H68" i="18" s="1"/>
  <c r="J68" i="18" s="1"/>
  <c r="T68" i="19"/>
  <c r="Q69" i="19"/>
  <c r="R69" i="19" s="1"/>
  <c r="C68" i="15"/>
  <c r="E68" i="15" s="1"/>
  <c r="BM173" i="19"/>
  <c r="BP172" i="19"/>
  <c r="AD158" i="19"/>
  <c r="AP161" i="19"/>
  <c r="AQ161" i="19" s="1"/>
  <c r="AS161" i="19" s="1"/>
  <c r="BA170" i="19"/>
  <c r="BD169" i="19"/>
  <c r="AO172" i="18"/>
  <c r="AR171" i="18"/>
  <c r="BA157" i="18"/>
  <c r="AD159" i="18"/>
  <c r="AE159" i="18" s="1"/>
  <c r="AG159" i="18" s="1"/>
  <c r="BM161" i="18"/>
  <c r="BD156" i="18"/>
  <c r="BP160" i="18"/>
  <c r="BA163" i="17"/>
  <c r="BD162" i="17"/>
  <c r="BN161" i="17"/>
  <c r="BO161" i="17" s="1"/>
  <c r="BQ161" i="17" s="1"/>
  <c r="AD162" i="17"/>
  <c r="AE162" i="17" s="1"/>
  <c r="AG162" i="17" s="1"/>
  <c r="AP159" i="17"/>
  <c r="AF163" i="16"/>
  <c r="AC164" i="16"/>
  <c r="AO160" i="16"/>
  <c r="BA162" i="16"/>
  <c r="AR159" i="16"/>
  <c r="BD161" i="16"/>
  <c r="BM161" i="16"/>
  <c r="BP160" i="16"/>
  <c r="BN169" i="14"/>
  <c r="BO169" i="14" s="1"/>
  <c r="BQ169" i="14" s="1"/>
  <c r="BA160" i="14"/>
  <c r="BD159" i="14"/>
  <c r="AO170" i="14"/>
  <c r="AR169" i="14"/>
  <c r="AE115" i="14"/>
  <c r="AG115" i="14" s="1"/>
  <c r="R48" i="14"/>
  <c r="S48" i="14" s="1"/>
  <c r="I66" i="16" l="1"/>
  <c r="R110" i="16"/>
  <c r="S110" i="16" s="1"/>
  <c r="U110" i="16" s="1"/>
  <c r="Q111" i="16" s="1"/>
  <c r="T109" i="16"/>
  <c r="R118" i="18"/>
  <c r="S118" i="18" s="1"/>
  <c r="U118" i="18" s="1"/>
  <c r="Q119" i="18" s="1"/>
  <c r="T117" i="18"/>
  <c r="K64" i="19"/>
  <c r="AB8" i="1" s="1"/>
  <c r="F65" i="19"/>
  <c r="R118" i="17"/>
  <c r="S118" i="17" s="1"/>
  <c r="U118" i="17" s="1"/>
  <c r="Q119" i="17" s="1"/>
  <c r="I64" i="19"/>
  <c r="T117" i="17"/>
  <c r="F67" i="16"/>
  <c r="G67" i="16" s="1"/>
  <c r="K66" i="16"/>
  <c r="G66" i="14"/>
  <c r="H66" i="14" s="1"/>
  <c r="J66" i="14" s="1"/>
  <c r="F68" i="17"/>
  <c r="K67" i="17"/>
  <c r="I67" i="17"/>
  <c r="F69" i="18"/>
  <c r="K68" i="18"/>
  <c r="I68" i="18"/>
  <c r="S69" i="19"/>
  <c r="U69" i="19" s="1"/>
  <c r="BB170" i="19"/>
  <c r="BC170" i="19" s="1"/>
  <c r="BE170" i="19" s="1"/>
  <c r="AE158" i="19"/>
  <c r="AG158" i="19" s="1"/>
  <c r="AO162" i="19"/>
  <c r="AR161" i="19"/>
  <c r="BN173" i="19"/>
  <c r="BO173" i="19" s="1"/>
  <c r="BQ173" i="19" s="1"/>
  <c r="AF159" i="18"/>
  <c r="BB157" i="18"/>
  <c r="BC157" i="18" s="1"/>
  <c r="BE157" i="18" s="1"/>
  <c r="AC160" i="18"/>
  <c r="BN161" i="18"/>
  <c r="BO161" i="18" s="1"/>
  <c r="BQ161" i="18" s="1"/>
  <c r="AP172" i="18"/>
  <c r="AQ172" i="18" s="1"/>
  <c r="AS172" i="18" s="1"/>
  <c r="AF162" i="17"/>
  <c r="BP161" i="17"/>
  <c r="BM162" i="17"/>
  <c r="BB163" i="17"/>
  <c r="AC163" i="17"/>
  <c r="AQ159" i="17"/>
  <c r="AS159" i="17" s="1"/>
  <c r="BN161" i="16"/>
  <c r="BO161" i="16" s="1"/>
  <c r="BQ161" i="16" s="1"/>
  <c r="AD164" i="16"/>
  <c r="AE164" i="16" s="1"/>
  <c r="AG164" i="16" s="1"/>
  <c r="AP160" i="16"/>
  <c r="AQ160" i="16" s="1"/>
  <c r="AS160" i="16" s="1"/>
  <c r="BB162" i="16"/>
  <c r="BC162" i="16" s="1"/>
  <c r="BE162" i="16" s="1"/>
  <c r="BM170" i="14"/>
  <c r="BP169" i="14"/>
  <c r="BB160" i="14"/>
  <c r="BC160" i="14" s="1"/>
  <c r="BE160" i="14" s="1"/>
  <c r="AP170" i="14"/>
  <c r="AQ170" i="14" s="1"/>
  <c r="AS170" i="14" s="1"/>
  <c r="AC116" i="14"/>
  <c r="AF115" i="14"/>
  <c r="U48" i="14"/>
  <c r="R119" i="18" l="1"/>
  <c r="S119" i="18" s="1"/>
  <c r="U119" i="18" s="1"/>
  <c r="Q120" i="18" s="1"/>
  <c r="T118" i="18"/>
  <c r="G65" i="19"/>
  <c r="H65" i="19" s="1"/>
  <c r="J65" i="19" s="1"/>
  <c r="R119" i="17"/>
  <c r="S119" i="17" s="1"/>
  <c r="U119" i="17" s="1"/>
  <c r="Q120" i="17" s="1"/>
  <c r="R111" i="16"/>
  <c r="T118" i="17"/>
  <c r="T110" i="16"/>
  <c r="K66" i="14"/>
  <c r="F67" i="14"/>
  <c r="I66" i="14"/>
  <c r="H67" i="16"/>
  <c r="J67" i="16" s="1"/>
  <c r="G68" i="17"/>
  <c r="G69" i="18"/>
  <c r="H69" i="18" s="1"/>
  <c r="J69" i="18" s="1"/>
  <c r="Q70" i="19"/>
  <c r="R70" i="19" s="1"/>
  <c r="C69" i="15"/>
  <c r="E69" i="15" s="1"/>
  <c r="T69" i="19"/>
  <c r="BM174" i="19"/>
  <c r="BA171" i="19"/>
  <c r="AC159" i="19"/>
  <c r="AP162" i="19"/>
  <c r="AQ162" i="19" s="1"/>
  <c r="AS162" i="19" s="1"/>
  <c r="BD170" i="19"/>
  <c r="BP173" i="19"/>
  <c r="AF158" i="19"/>
  <c r="AO173" i="18"/>
  <c r="BA158" i="18"/>
  <c r="AD160" i="18"/>
  <c r="AE160" i="18" s="1"/>
  <c r="AG160" i="18" s="1"/>
  <c r="AR172" i="18"/>
  <c r="BM162" i="18"/>
  <c r="BD157" i="18"/>
  <c r="BP161" i="18"/>
  <c r="AO160" i="17"/>
  <c r="BN162" i="17"/>
  <c r="BO162" i="17" s="1"/>
  <c r="BQ162" i="17" s="1"/>
  <c r="AD163" i="17"/>
  <c r="AE163" i="17" s="1"/>
  <c r="AG163" i="17" s="1"/>
  <c r="BC163" i="17"/>
  <c r="BE163" i="17" s="1"/>
  <c r="AR159" i="17"/>
  <c r="AC165" i="16"/>
  <c r="AF164" i="16"/>
  <c r="BA163" i="16"/>
  <c r="BM162" i="16"/>
  <c r="BD162" i="16"/>
  <c r="BP161" i="16"/>
  <c r="AO161" i="16"/>
  <c r="AR160" i="16"/>
  <c r="BN170" i="14"/>
  <c r="BO170" i="14" s="1"/>
  <c r="BQ170" i="14" s="1"/>
  <c r="BA161" i="14"/>
  <c r="BD160" i="14"/>
  <c r="AO171" i="14"/>
  <c r="AR170" i="14"/>
  <c r="AD116" i="14"/>
  <c r="Q49" i="14"/>
  <c r="T48" i="14"/>
  <c r="R120" i="17" l="1"/>
  <c r="S120" i="17" s="1"/>
  <c r="U120" i="17" s="1"/>
  <c r="Q121" i="17" s="1"/>
  <c r="T119" i="17"/>
  <c r="K65" i="19"/>
  <c r="F66" i="19"/>
  <c r="I67" i="16"/>
  <c r="I65" i="19"/>
  <c r="R120" i="18"/>
  <c r="S120" i="18" s="1"/>
  <c r="U120" i="18" s="1"/>
  <c r="Q121" i="18" s="1"/>
  <c r="S111" i="16"/>
  <c r="U111" i="16" s="1"/>
  <c r="Q112" i="16" s="1"/>
  <c r="T119" i="18"/>
  <c r="K67" i="16"/>
  <c r="F68" i="16"/>
  <c r="G67" i="14"/>
  <c r="H67" i="14" s="1"/>
  <c r="J67" i="14" s="1"/>
  <c r="H68" i="17"/>
  <c r="J68" i="17" s="1"/>
  <c r="F70" i="18"/>
  <c r="G70" i="18" s="1"/>
  <c r="K69" i="18"/>
  <c r="I69" i="18"/>
  <c r="S70" i="19"/>
  <c r="U70" i="19" s="1"/>
  <c r="AO163" i="19"/>
  <c r="AR162" i="19"/>
  <c r="AD159" i="19"/>
  <c r="AE159" i="19" s="1"/>
  <c r="AG159" i="19" s="1"/>
  <c r="BB171" i="19"/>
  <c r="BC171" i="19" s="1"/>
  <c r="BE171" i="19" s="1"/>
  <c r="BN174" i="19"/>
  <c r="BO174" i="19" s="1"/>
  <c r="BQ174" i="19" s="1"/>
  <c r="AC161" i="18"/>
  <c r="AF160" i="18"/>
  <c r="BB158" i="18"/>
  <c r="BC158" i="18" s="1"/>
  <c r="BE158" i="18" s="1"/>
  <c r="AP173" i="18"/>
  <c r="AQ173" i="18" s="1"/>
  <c r="AS173" i="18" s="1"/>
  <c r="BN162" i="18"/>
  <c r="BO162" i="18" s="1"/>
  <c r="BQ162" i="18" s="1"/>
  <c r="AC164" i="17"/>
  <c r="AP160" i="17"/>
  <c r="AQ160" i="17" s="1"/>
  <c r="AS160" i="17" s="1"/>
  <c r="AF163" i="17"/>
  <c r="BD163" i="17"/>
  <c r="BA164" i="17"/>
  <c r="BM163" i="17"/>
  <c r="BP162" i="17"/>
  <c r="BB163" i="16"/>
  <c r="BC163" i="16" s="1"/>
  <c r="BE163" i="16" s="1"/>
  <c r="AD165" i="16"/>
  <c r="AE165" i="16" s="1"/>
  <c r="AG165" i="16" s="1"/>
  <c r="BN162" i="16"/>
  <c r="BO162" i="16" s="1"/>
  <c r="BQ162" i="16" s="1"/>
  <c r="AP161" i="16"/>
  <c r="AQ161" i="16" s="1"/>
  <c r="AS161" i="16" s="1"/>
  <c r="BM171" i="14"/>
  <c r="BP170" i="14"/>
  <c r="BB161" i="14"/>
  <c r="BC161" i="14" s="1"/>
  <c r="BE161" i="14" s="1"/>
  <c r="AP171" i="14"/>
  <c r="AQ171" i="14" s="1"/>
  <c r="AS171" i="14" s="1"/>
  <c r="AE116" i="14"/>
  <c r="AG116" i="14" s="1"/>
  <c r="R49" i="14"/>
  <c r="S49" i="14" s="1"/>
  <c r="T111" i="16" l="1"/>
  <c r="G66" i="19"/>
  <c r="H66" i="19" s="1"/>
  <c r="J66" i="19" s="1"/>
  <c r="R112" i="16"/>
  <c r="S112" i="16" s="1"/>
  <c r="U112" i="16" s="1"/>
  <c r="Q113" i="16" s="1"/>
  <c r="R121" i="18"/>
  <c r="S121" i="18" s="1"/>
  <c r="U121" i="18" s="1"/>
  <c r="Q122" i="18" s="1"/>
  <c r="R121" i="17"/>
  <c r="S121" i="17" s="1"/>
  <c r="U121" i="17" s="1"/>
  <c r="Q122" i="17" s="1"/>
  <c r="T120" i="18"/>
  <c r="T120" i="17"/>
  <c r="K67" i="14"/>
  <c r="F68" i="14"/>
  <c r="I67" i="14"/>
  <c r="G68" i="16"/>
  <c r="H68" i="16" s="1"/>
  <c r="J68" i="16" s="1"/>
  <c r="F69" i="17"/>
  <c r="K68" i="17"/>
  <c r="I68" i="17"/>
  <c r="H70" i="18"/>
  <c r="J70" i="18" s="1"/>
  <c r="T70" i="19"/>
  <c r="Q71" i="19"/>
  <c r="R71" i="19" s="1"/>
  <c r="C70" i="15"/>
  <c r="E70" i="15" s="1"/>
  <c r="BM175" i="19"/>
  <c r="BP174" i="19"/>
  <c r="AP163" i="19"/>
  <c r="AQ163" i="19" s="1"/>
  <c r="AS163" i="19" s="1"/>
  <c r="BA172" i="19"/>
  <c r="BD171" i="19"/>
  <c r="AC160" i="19"/>
  <c r="AF159" i="19"/>
  <c r="BA159" i="18"/>
  <c r="BM163" i="18"/>
  <c r="BP162" i="18"/>
  <c r="AR173" i="18"/>
  <c r="AO174" i="18"/>
  <c r="BD158" i="18"/>
  <c r="AD161" i="18"/>
  <c r="AE161" i="18" s="1"/>
  <c r="AG161" i="18" s="1"/>
  <c r="AO161" i="17"/>
  <c r="AR160" i="17"/>
  <c r="BN163" i="17"/>
  <c r="BO163" i="17" s="1"/>
  <c r="BQ163" i="17" s="1"/>
  <c r="AD164" i="17"/>
  <c r="AE164" i="17" s="1"/>
  <c r="AG164" i="17" s="1"/>
  <c r="BB164" i="17"/>
  <c r="BC164" i="17" s="1"/>
  <c r="BE164" i="17" s="1"/>
  <c r="BM163" i="16"/>
  <c r="BP162" i="16"/>
  <c r="AC166" i="16"/>
  <c r="AF165" i="16"/>
  <c r="AO162" i="16"/>
  <c r="AR161" i="16"/>
  <c r="BA164" i="16"/>
  <c r="BD163" i="16"/>
  <c r="BN171" i="14"/>
  <c r="BO171" i="14" s="1"/>
  <c r="BQ171" i="14" s="1"/>
  <c r="BA162" i="14"/>
  <c r="BD161" i="14"/>
  <c r="AO172" i="14"/>
  <c r="AR171" i="14"/>
  <c r="AC117" i="14"/>
  <c r="AF116" i="14"/>
  <c r="U49" i="14"/>
  <c r="K66" i="19" l="1"/>
  <c r="F67" i="19"/>
  <c r="T121" i="17"/>
  <c r="R122" i="18"/>
  <c r="S122" i="18" s="1"/>
  <c r="U122" i="18" s="1"/>
  <c r="Q123" i="18" s="1"/>
  <c r="T121" i="18"/>
  <c r="R113" i="16"/>
  <c r="S113" i="16" s="1"/>
  <c r="U113" i="16" s="1"/>
  <c r="Q114" i="16" s="1"/>
  <c r="T112" i="16"/>
  <c r="R122" i="17"/>
  <c r="S122" i="17" s="1"/>
  <c r="U122" i="17" s="1"/>
  <c r="Q123" i="17" s="1"/>
  <c r="I66" i="19"/>
  <c r="F69" i="16"/>
  <c r="G69" i="16" s="1"/>
  <c r="K68" i="16"/>
  <c r="I68" i="16"/>
  <c r="G68" i="14"/>
  <c r="H68" i="14" s="1"/>
  <c r="J68" i="14" s="1"/>
  <c r="I70" i="18"/>
  <c r="G69" i="17"/>
  <c r="H69" i="17" s="1"/>
  <c r="J69" i="17" s="1"/>
  <c r="F71" i="18"/>
  <c r="K70" i="18"/>
  <c r="S71" i="19"/>
  <c r="U71" i="19" s="1"/>
  <c r="AR163" i="19"/>
  <c r="AD160" i="19"/>
  <c r="AE160" i="19" s="1"/>
  <c r="AG160" i="19" s="1"/>
  <c r="AO164" i="19"/>
  <c r="BB172" i="19"/>
  <c r="BC172" i="19" s="1"/>
  <c r="BE172" i="19" s="1"/>
  <c r="BN175" i="19"/>
  <c r="BO175" i="19" s="1"/>
  <c r="BQ175" i="19" s="1"/>
  <c r="AC162" i="18"/>
  <c r="AF161" i="18"/>
  <c r="AP174" i="18"/>
  <c r="AQ174" i="18" s="1"/>
  <c r="AS174" i="18" s="1"/>
  <c r="BN163" i="18"/>
  <c r="BO163" i="18" s="1"/>
  <c r="BQ163" i="18" s="1"/>
  <c r="BB159" i="18"/>
  <c r="BC159" i="18" s="1"/>
  <c r="BE159" i="18" s="1"/>
  <c r="BM164" i="17"/>
  <c r="BA165" i="17"/>
  <c r="AP161" i="17"/>
  <c r="AQ161" i="17" s="1"/>
  <c r="AS161" i="17" s="1"/>
  <c r="BD164" i="17"/>
  <c r="AC165" i="17"/>
  <c r="BP163" i="17"/>
  <c r="AF164" i="17"/>
  <c r="AD166" i="16"/>
  <c r="AE166" i="16" s="1"/>
  <c r="AG166" i="16" s="1"/>
  <c r="BN163" i="16"/>
  <c r="BO163" i="16" s="1"/>
  <c r="BQ163" i="16" s="1"/>
  <c r="AP162" i="16"/>
  <c r="AQ162" i="16" s="1"/>
  <c r="AS162" i="16" s="1"/>
  <c r="BB164" i="16"/>
  <c r="BC164" i="16" s="1"/>
  <c r="BE164" i="16" s="1"/>
  <c r="BM172" i="14"/>
  <c r="BP171" i="14"/>
  <c r="BB162" i="14"/>
  <c r="BC162" i="14" s="1"/>
  <c r="BE162" i="14" s="1"/>
  <c r="AP172" i="14"/>
  <c r="AQ172" i="14" s="1"/>
  <c r="AS172" i="14" s="1"/>
  <c r="AD117" i="14"/>
  <c r="Q50" i="14"/>
  <c r="T49" i="14"/>
  <c r="T122" i="17" l="1"/>
  <c r="T113" i="16"/>
  <c r="R114" i="16"/>
  <c r="S114" i="16" s="1"/>
  <c r="U114" i="16" s="1"/>
  <c r="Q115" i="16" s="1"/>
  <c r="R123" i="18"/>
  <c r="S123" i="18" s="1"/>
  <c r="U123" i="18" s="1"/>
  <c r="Q124" i="18" s="1"/>
  <c r="T122" i="18"/>
  <c r="R123" i="17"/>
  <c r="S123" i="17" s="1"/>
  <c r="U123" i="17" s="1"/>
  <c r="Q124" i="17" s="1"/>
  <c r="R124" i="17" s="1"/>
  <c r="G67" i="19"/>
  <c r="H67" i="19" s="1"/>
  <c r="J67" i="19" s="1"/>
  <c r="F69" i="14"/>
  <c r="G69" i="14" s="1"/>
  <c r="K68" i="14"/>
  <c r="I68" i="14"/>
  <c r="H69" i="16"/>
  <c r="J69" i="16" s="1"/>
  <c r="K69" i="17"/>
  <c r="F70" i="17"/>
  <c r="I69" i="17"/>
  <c r="G71" i="18"/>
  <c r="H71" i="18" s="1"/>
  <c r="J71" i="18" s="1"/>
  <c r="T71" i="19"/>
  <c r="Q72" i="19"/>
  <c r="R72" i="19" s="1"/>
  <c r="C71" i="15"/>
  <c r="E71" i="15" s="1"/>
  <c r="BA173" i="19"/>
  <c r="AC161" i="19"/>
  <c r="AP164" i="19"/>
  <c r="AQ164" i="19" s="1"/>
  <c r="AS164" i="19" s="1"/>
  <c r="BP175" i="19"/>
  <c r="BM176" i="19"/>
  <c r="BD172" i="19"/>
  <c r="AF160" i="19"/>
  <c r="AO175" i="18"/>
  <c r="AR174" i="18"/>
  <c r="BA160" i="18"/>
  <c r="BD159" i="18"/>
  <c r="AD162" i="18"/>
  <c r="AE162" i="18" s="1"/>
  <c r="AG162" i="18" s="1"/>
  <c r="BM164" i="18"/>
  <c r="BP163" i="18"/>
  <c r="AR161" i="17"/>
  <c r="BB165" i="17"/>
  <c r="BC165" i="17" s="1"/>
  <c r="BE165" i="17" s="1"/>
  <c r="AO162" i="17"/>
  <c r="AD165" i="17"/>
  <c r="AE165" i="17" s="1"/>
  <c r="AG165" i="17" s="1"/>
  <c r="BN164" i="17"/>
  <c r="BO164" i="17" s="1"/>
  <c r="BQ164" i="17" s="1"/>
  <c r="AO163" i="16"/>
  <c r="AR162" i="16"/>
  <c r="BM164" i="16"/>
  <c r="BP163" i="16"/>
  <c r="BA165" i="16"/>
  <c r="AC167" i="16"/>
  <c r="BD164" i="16"/>
  <c r="AF166" i="16"/>
  <c r="BN172" i="14"/>
  <c r="BA163" i="14"/>
  <c r="BD162" i="14"/>
  <c r="AO173" i="14"/>
  <c r="AR172" i="14"/>
  <c r="AE117" i="14"/>
  <c r="AG117" i="14" s="1"/>
  <c r="R50" i="14"/>
  <c r="S50" i="14" s="1"/>
  <c r="T123" i="17" l="1"/>
  <c r="R124" i="18"/>
  <c r="S124" i="18" s="1"/>
  <c r="U124" i="18" s="1"/>
  <c r="Q125" i="18" s="1"/>
  <c r="S124" i="17"/>
  <c r="U124" i="17" s="1"/>
  <c r="Q125" i="17" s="1"/>
  <c r="T123" i="18"/>
  <c r="I69" i="16"/>
  <c r="R115" i="16"/>
  <c r="K67" i="19"/>
  <c r="F68" i="19"/>
  <c r="T114" i="16"/>
  <c r="I67" i="19"/>
  <c r="F70" i="16"/>
  <c r="K69" i="16"/>
  <c r="H69" i="14"/>
  <c r="J69" i="14" s="1"/>
  <c r="G70" i="17"/>
  <c r="H70" i="17" s="1"/>
  <c r="J70" i="17" s="1"/>
  <c r="F72" i="18"/>
  <c r="K71" i="18"/>
  <c r="I71" i="18"/>
  <c r="S72" i="19"/>
  <c r="U72" i="19" s="1"/>
  <c r="AO165" i="19"/>
  <c r="AR164" i="19"/>
  <c r="BN176" i="19"/>
  <c r="BO176" i="19" s="1"/>
  <c r="BQ176" i="19" s="1"/>
  <c r="AD161" i="19"/>
  <c r="AE161" i="19" s="1"/>
  <c r="AG161" i="19" s="1"/>
  <c r="BB173" i="19"/>
  <c r="BC173" i="19" s="1"/>
  <c r="BE173" i="19" s="1"/>
  <c r="BB160" i="18"/>
  <c r="BC160" i="18" s="1"/>
  <c r="BE160" i="18" s="1"/>
  <c r="BN164" i="18"/>
  <c r="BO164" i="18" s="1"/>
  <c r="BQ164" i="18" s="1"/>
  <c r="AC163" i="18"/>
  <c r="AF162" i="18"/>
  <c r="AP175" i="18"/>
  <c r="AQ175" i="18" s="1"/>
  <c r="AS175" i="18" s="1"/>
  <c r="AC166" i="17"/>
  <c r="BA166" i="17"/>
  <c r="BM165" i="17"/>
  <c r="BD165" i="17"/>
  <c r="AP162" i="17"/>
  <c r="BP164" i="17"/>
  <c r="AF165" i="17"/>
  <c r="AD167" i="16"/>
  <c r="AE167" i="16" s="1"/>
  <c r="AG167" i="16" s="1"/>
  <c r="BN164" i="16"/>
  <c r="BO164" i="16" s="1"/>
  <c r="BQ164" i="16" s="1"/>
  <c r="BB165" i="16"/>
  <c r="BC165" i="16" s="1"/>
  <c r="BE165" i="16" s="1"/>
  <c r="AP163" i="16"/>
  <c r="AQ163" i="16" s="1"/>
  <c r="AS163" i="16" s="1"/>
  <c r="BO172" i="14"/>
  <c r="BQ172" i="14" s="1"/>
  <c r="BM173" i="14" s="1"/>
  <c r="BB163" i="14"/>
  <c r="BC163" i="14" s="1"/>
  <c r="BE163" i="14" s="1"/>
  <c r="AP173" i="14"/>
  <c r="AQ173" i="14" s="1"/>
  <c r="AS173" i="14" s="1"/>
  <c r="AC118" i="14"/>
  <c r="AF117" i="14"/>
  <c r="U50" i="14"/>
  <c r="T124" i="17" l="1"/>
  <c r="R125" i="17"/>
  <c r="S125" i="17" s="1"/>
  <c r="U125" i="17" s="1"/>
  <c r="Q126" i="17" s="1"/>
  <c r="G68" i="19"/>
  <c r="H68" i="19" s="1"/>
  <c r="J68" i="19" s="1"/>
  <c r="R125" i="18"/>
  <c r="S125" i="18" s="1"/>
  <c r="U125" i="18" s="1"/>
  <c r="Q126" i="18" s="1"/>
  <c r="T124" i="18"/>
  <c r="S115" i="16"/>
  <c r="U115" i="16" s="1"/>
  <c r="Q116" i="16" s="1"/>
  <c r="I69" i="14"/>
  <c r="F70" i="14"/>
  <c r="K69" i="14"/>
  <c r="G70" i="16"/>
  <c r="H70" i="16" s="1"/>
  <c r="J70" i="16" s="1"/>
  <c r="F71" i="17"/>
  <c r="K70" i="17"/>
  <c r="I70" i="17"/>
  <c r="G72" i="18"/>
  <c r="H72" i="18" s="1"/>
  <c r="J72" i="18" s="1"/>
  <c r="T72" i="19"/>
  <c r="Q73" i="19"/>
  <c r="R73" i="19" s="1"/>
  <c r="C72" i="15"/>
  <c r="E72" i="15" s="1"/>
  <c r="BA174" i="19"/>
  <c r="BP176" i="19"/>
  <c r="BM177" i="19"/>
  <c r="BD173" i="19"/>
  <c r="AC162" i="19"/>
  <c r="AF161" i="19"/>
  <c r="AP165" i="19"/>
  <c r="BD160" i="18"/>
  <c r="AO176" i="18"/>
  <c r="AR175" i="18"/>
  <c r="BA161" i="18"/>
  <c r="AD163" i="18"/>
  <c r="AE163" i="18" s="1"/>
  <c r="AG163" i="18" s="1"/>
  <c r="BM165" i="18"/>
  <c r="BP164" i="18"/>
  <c r="BN165" i="17"/>
  <c r="BO165" i="17" s="1"/>
  <c r="BQ165" i="17" s="1"/>
  <c r="BB166" i="17"/>
  <c r="BC166" i="17" s="1"/>
  <c r="BE166" i="17" s="1"/>
  <c r="AD166" i="17"/>
  <c r="AE166" i="17" s="1"/>
  <c r="AG166" i="17" s="1"/>
  <c r="AQ162" i="17"/>
  <c r="AS162" i="17" s="1"/>
  <c r="BM165" i="16"/>
  <c r="BD165" i="16"/>
  <c r="BP164" i="16"/>
  <c r="AO164" i="16"/>
  <c r="BA166" i="16"/>
  <c r="AR163" i="16"/>
  <c r="AC168" i="16"/>
  <c r="AF167" i="16"/>
  <c r="BP172" i="14"/>
  <c r="BN173" i="14"/>
  <c r="BO173" i="14" s="1"/>
  <c r="BQ173" i="14" s="1"/>
  <c r="BA164" i="14"/>
  <c r="BD163" i="14"/>
  <c r="AR173" i="14"/>
  <c r="AO174" i="14"/>
  <c r="AD118" i="14"/>
  <c r="Q51" i="14"/>
  <c r="T50" i="14"/>
  <c r="R126" i="18" l="1"/>
  <c r="S126" i="18" s="1"/>
  <c r="U126" i="18" s="1"/>
  <c r="Q127" i="18" s="1"/>
  <c r="T125" i="18"/>
  <c r="K68" i="19"/>
  <c r="F69" i="19"/>
  <c r="I68" i="19"/>
  <c r="R126" i="17"/>
  <c r="S126" i="17" s="1"/>
  <c r="U126" i="17" s="1"/>
  <c r="Q127" i="17" s="1"/>
  <c r="T125" i="17"/>
  <c r="R116" i="16"/>
  <c r="S116" i="16" s="1"/>
  <c r="U116" i="16" s="1"/>
  <c r="Q117" i="16" s="1"/>
  <c r="T115" i="16"/>
  <c r="F71" i="16"/>
  <c r="G71" i="16" s="1"/>
  <c r="K70" i="16"/>
  <c r="I70" i="16"/>
  <c r="G70" i="14"/>
  <c r="H70" i="14" s="1"/>
  <c r="J70" i="14" s="1"/>
  <c r="G71" i="17"/>
  <c r="H71" i="17" s="1"/>
  <c r="J71" i="17" s="1"/>
  <c r="F73" i="18"/>
  <c r="K72" i="18"/>
  <c r="I72" i="18"/>
  <c r="S73" i="19"/>
  <c r="U73" i="19" s="1"/>
  <c r="AD162" i="19"/>
  <c r="AE162" i="19" s="1"/>
  <c r="AG162" i="19" s="1"/>
  <c r="AQ165" i="19"/>
  <c r="AS165" i="19" s="1"/>
  <c r="BN177" i="19"/>
  <c r="BO177" i="19" s="1"/>
  <c r="BQ177" i="19" s="1"/>
  <c r="BB174" i="19"/>
  <c r="BC174" i="19" s="1"/>
  <c r="BE174" i="19" s="1"/>
  <c r="AC164" i="18"/>
  <c r="BB161" i="18"/>
  <c r="BC161" i="18" s="1"/>
  <c r="BE161" i="18" s="1"/>
  <c r="BN165" i="18"/>
  <c r="BO165" i="18" s="1"/>
  <c r="BQ165" i="18" s="1"/>
  <c r="AP176" i="18"/>
  <c r="AQ176" i="18" s="1"/>
  <c r="AS176" i="18" s="1"/>
  <c r="AF163" i="18"/>
  <c r="BM166" i="17"/>
  <c r="AO163" i="17"/>
  <c r="AR162" i="17"/>
  <c r="BD166" i="17"/>
  <c r="AC167" i="17"/>
  <c r="AF166" i="17"/>
  <c r="BA167" i="17"/>
  <c r="BP165" i="17"/>
  <c r="AD168" i="16"/>
  <c r="AE168" i="16" s="1"/>
  <c r="AG168" i="16" s="1"/>
  <c r="AP164" i="16"/>
  <c r="AQ164" i="16" s="1"/>
  <c r="AS164" i="16" s="1"/>
  <c r="BB166" i="16"/>
  <c r="BC166" i="16" s="1"/>
  <c r="BE166" i="16" s="1"/>
  <c r="BN165" i="16"/>
  <c r="BO165" i="16" s="1"/>
  <c r="BQ165" i="16" s="1"/>
  <c r="BM174" i="14"/>
  <c r="BP173" i="14"/>
  <c r="BB164" i="14"/>
  <c r="BC164" i="14" s="1"/>
  <c r="BE164" i="14" s="1"/>
  <c r="AP174" i="14"/>
  <c r="AQ174" i="14" s="1"/>
  <c r="AS174" i="14" s="1"/>
  <c r="AE118" i="14"/>
  <c r="AG118" i="14" s="1"/>
  <c r="R51" i="14"/>
  <c r="S51" i="14" s="1"/>
  <c r="R117" i="16" l="1"/>
  <c r="S117" i="16" s="1"/>
  <c r="U117" i="16" s="1"/>
  <c r="Q118" i="16" s="1"/>
  <c r="T126" i="17"/>
  <c r="G69" i="19"/>
  <c r="H69" i="19" s="1"/>
  <c r="J69" i="19" s="1"/>
  <c r="R127" i="17"/>
  <c r="S127" i="17" s="1"/>
  <c r="U127" i="17" s="1"/>
  <c r="Q128" i="17" s="1"/>
  <c r="T116" i="16"/>
  <c r="R127" i="18"/>
  <c r="S127" i="18" s="1"/>
  <c r="U127" i="18" s="1"/>
  <c r="Q128" i="18" s="1"/>
  <c r="T126" i="18"/>
  <c r="F71" i="14"/>
  <c r="K70" i="14"/>
  <c r="I70" i="14"/>
  <c r="H71" i="16"/>
  <c r="J71" i="16" s="1"/>
  <c r="F72" i="17"/>
  <c r="K71" i="17"/>
  <c r="I71" i="17"/>
  <c r="G73" i="18"/>
  <c r="H73" i="18" s="1"/>
  <c r="J73" i="18" s="1"/>
  <c r="T73" i="19"/>
  <c r="Q74" i="19"/>
  <c r="C73" i="15"/>
  <c r="E73" i="15" s="1"/>
  <c r="AR165" i="19"/>
  <c r="AO166" i="19"/>
  <c r="BA175" i="19"/>
  <c r="AC163" i="19"/>
  <c r="BD174" i="19"/>
  <c r="AF162" i="19"/>
  <c r="BM178" i="19"/>
  <c r="BP177" i="19"/>
  <c r="AO177" i="18"/>
  <c r="BA162" i="18"/>
  <c r="BD161" i="18"/>
  <c r="AR176" i="18"/>
  <c r="BM166" i="18"/>
  <c r="BP165" i="18"/>
  <c r="AD164" i="18"/>
  <c r="AE164" i="18" s="1"/>
  <c r="AG164" i="18" s="1"/>
  <c r="AD167" i="17"/>
  <c r="AE167" i="17" s="1"/>
  <c r="AG167" i="17" s="1"/>
  <c r="AP163" i="17"/>
  <c r="AQ163" i="17" s="1"/>
  <c r="AS163" i="17" s="1"/>
  <c r="BB167" i="17"/>
  <c r="BC167" i="17" s="1"/>
  <c r="BE167" i="17" s="1"/>
  <c r="BN166" i="17"/>
  <c r="BO166" i="17" s="1"/>
  <c r="BQ166" i="17" s="1"/>
  <c r="AO165" i="16"/>
  <c r="BM166" i="16"/>
  <c r="BP165" i="16"/>
  <c r="AR164" i="16"/>
  <c r="BA167" i="16"/>
  <c r="AC169" i="16"/>
  <c r="BD166" i="16"/>
  <c r="AF168" i="16"/>
  <c r="BN174" i="14"/>
  <c r="BO174" i="14" s="1"/>
  <c r="BQ174" i="14" s="1"/>
  <c r="BA165" i="14"/>
  <c r="BD164" i="14"/>
  <c r="AR174" i="14"/>
  <c r="AO175" i="14"/>
  <c r="AC119" i="14"/>
  <c r="AF118" i="14"/>
  <c r="U51" i="14"/>
  <c r="R128" i="17" l="1"/>
  <c r="S128" i="17" s="1"/>
  <c r="U128" i="17" s="1"/>
  <c r="Q129" i="17" s="1"/>
  <c r="R129" i="17" s="1"/>
  <c r="T127" i="17"/>
  <c r="K69" i="19"/>
  <c r="F70" i="19"/>
  <c r="I69" i="19"/>
  <c r="R128" i="18"/>
  <c r="S128" i="18" s="1"/>
  <c r="U128" i="18" s="1"/>
  <c r="Q129" i="18" s="1"/>
  <c r="R118" i="16"/>
  <c r="S118" i="16" s="1"/>
  <c r="U118" i="16" s="1"/>
  <c r="Q119" i="16" s="1"/>
  <c r="T127" i="18"/>
  <c r="T117" i="16"/>
  <c r="I71" i="16"/>
  <c r="K71" i="16"/>
  <c r="F72" i="16"/>
  <c r="G72" i="16" s="1"/>
  <c r="G71" i="14"/>
  <c r="H71" i="14" s="1"/>
  <c r="J71" i="14" s="1"/>
  <c r="G72" i="17"/>
  <c r="H72" i="17" s="1"/>
  <c r="J72" i="17" s="1"/>
  <c r="F74" i="18"/>
  <c r="K73" i="18"/>
  <c r="I73" i="18"/>
  <c r="R74" i="19"/>
  <c r="S74" i="19" s="1"/>
  <c r="U74" i="19" s="1"/>
  <c r="BN178" i="19"/>
  <c r="BO178" i="19" s="1"/>
  <c r="BQ178" i="19" s="1"/>
  <c r="BB175" i="19"/>
  <c r="BC175" i="19" s="1"/>
  <c r="BE175" i="19" s="1"/>
  <c r="AP166" i="19"/>
  <c r="AQ166" i="19" s="1"/>
  <c r="AS166" i="19" s="1"/>
  <c r="AD163" i="19"/>
  <c r="AE163" i="19" s="1"/>
  <c r="AG163" i="19" s="1"/>
  <c r="AF164" i="18"/>
  <c r="BB162" i="18"/>
  <c r="AC165" i="18"/>
  <c r="BN166" i="18"/>
  <c r="BO166" i="18" s="1"/>
  <c r="BQ166" i="18" s="1"/>
  <c r="AP177" i="18"/>
  <c r="AQ177" i="18" s="1"/>
  <c r="AS177" i="18" s="1"/>
  <c r="BM167" i="17"/>
  <c r="AO164" i="17"/>
  <c r="BA168" i="17"/>
  <c r="AC168" i="17"/>
  <c r="BP166" i="17"/>
  <c r="BD167" i="17"/>
  <c r="AF167" i="17"/>
  <c r="AR163" i="17"/>
  <c r="AD169" i="16"/>
  <c r="AE169" i="16" s="1"/>
  <c r="AG169" i="16" s="1"/>
  <c r="BN166" i="16"/>
  <c r="BO166" i="16" s="1"/>
  <c r="BQ166" i="16" s="1"/>
  <c r="BB167" i="16"/>
  <c r="BC167" i="16" s="1"/>
  <c r="BE167" i="16" s="1"/>
  <c r="AP165" i="16"/>
  <c r="AQ165" i="16" s="1"/>
  <c r="AS165" i="16" s="1"/>
  <c r="BM175" i="14"/>
  <c r="BP174" i="14"/>
  <c r="BB165" i="14"/>
  <c r="BC165" i="14" s="1"/>
  <c r="BE165" i="14" s="1"/>
  <c r="AP175" i="14"/>
  <c r="AQ175" i="14" s="1"/>
  <c r="AS175" i="14" s="1"/>
  <c r="AD119" i="14"/>
  <c r="Q52" i="14"/>
  <c r="T51" i="14"/>
  <c r="R129" i="18" l="1"/>
  <c r="S129" i="18" s="1"/>
  <c r="U129" i="18" s="1"/>
  <c r="Q130" i="18" s="1"/>
  <c r="T128" i="18"/>
  <c r="G70" i="19"/>
  <c r="H70" i="19" s="1"/>
  <c r="J70" i="19" s="1"/>
  <c r="R119" i="16"/>
  <c r="S119" i="16" s="1"/>
  <c r="U119" i="16" s="1"/>
  <c r="Q120" i="16" s="1"/>
  <c r="S129" i="17"/>
  <c r="U129" i="17" s="1"/>
  <c r="Q130" i="17" s="1"/>
  <c r="T118" i="16"/>
  <c r="T128" i="17"/>
  <c r="F72" i="14"/>
  <c r="K71" i="14"/>
  <c r="I71" i="14"/>
  <c r="H72" i="16"/>
  <c r="J72" i="16" s="1"/>
  <c r="F73" i="17"/>
  <c r="G73" i="17" s="1"/>
  <c r="K72" i="17"/>
  <c r="I72" i="17"/>
  <c r="G74" i="18"/>
  <c r="H74" i="18" s="1"/>
  <c r="J74" i="18" s="1"/>
  <c r="Q75" i="19"/>
  <c r="C74" i="15"/>
  <c r="E74" i="15" s="1"/>
  <c r="T74" i="19"/>
  <c r="AO167" i="19"/>
  <c r="AR166" i="19"/>
  <c r="BA176" i="19"/>
  <c r="BD175" i="19"/>
  <c r="AC164" i="19"/>
  <c r="BM179" i="19"/>
  <c r="AF163" i="19"/>
  <c r="BP178" i="19"/>
  <c r="AO178" i="18"/>
  <c r="AR177" i="18"/>
  <c r="BM167" i="18"/>
  <c r="BP166" i="18"/>
  <c r="AD165" i="18"/>
  <c r="BC162" i="18"/>
  <c r="BE162" i="18" s="1"/>
  <c r="AD168" i="17"/>
  <c r="AE168" i="17" s="1"/>
  <c r="AG168" i="17" s="1"/>
  <c r="BB168" i="17"/>
  <c r="AP164" i="17"/>
  <c r="AQ164" i="17" s="1"/>
  <c r="AS164" i="17" s="1"/>
  <c r="BN167" i="17"/>
  <c r="BO167" i="17" s="1"/>
  <c r="BQ167" i="17" s="1"/>
  <c r="AO166" i="16"/>
  <c r="BM167" i="16"/>
  <c r="BD167" i="16"/>
  <c r="AR165" i="16"/>
  <c r="BP166" i="16"/>
  <c r="AC170" i="16"/>
  <c r="BA168" i="16"/>
  <c r="AF169" i="16"/>
  <c r="BN175" i="14"/>
  <c r="BO175" i="14" s="1"/>
  <c r="BQ175" i="14" s="1"/>
  <c r="BA166" i="14"/>
  <c r="BD165" i="14"/>
  <c r="AO176" i="14"/>
  <c r="AR175" i="14"/>
  <c r="AE119" i="14"/>
  <c r="AG119" i="14" s="1"/>
  <c r="R52" i="14"/>
  <c r="S52" i="14" s="1"/>
  <c r="R120" i="16" l="1"/>
  <c r="S120" i="16" s="1"/>
  <c r="U120" i="16" s="1"/>
  <c r="Q121" i="16" s="1"/>
  <c r="T119" i="16"/>
  <c r="R130" i="17"/>
  <c r="S130" i="17" s="1"/>
  <c r="U130" i="17" s="1"/>
  <c r="Q131" i="17" s="1"/>
  <c r="K70" i="19"/>
  <c r="F71" i="19"/>
  <c r="I70" i="19"/>
  <c r="R130" i="18"/>
  <c r="S130" i="18" s="1"/>
  <c r="U130" i="18" s="1"/>
  <c r="Q131" i="18" s="1"/>
  <c r="T129" i="17"/>
  <c r="T129" i="18"/>
  <c r="I72" i="16"/>
  <c r="F73" i="16"/>
  <c r="G73" i="16" s="1"/>
  <c r="K72" i="16"/>
  <c r="G72" i="14"/>
  <c r="H72" i="14" s="1"/>
  <c r="J72" i="14" s="1"/>
  <c r="H73" i="17"/>
  <c r="J73" i="17" s="1"/>
  <c r="F75" i="18"/>
  <c r="K74" i="18"/>
  <c r="I74" i="18"/>
  <c r="R75" i="19"/>
  <c r="S75" i="19" s="1"/>
  <c r="U75" i="19" s="1"/>
  <c r="AD164" i="19"/>
  <c r="AE164" i="19" s="1"/>
  <c r="AG164" i="19" s="1"/>
  <c r="BN179" i="19"/>
  <c r="BO179" i="19" s="1"/>
  <c r="BQ179" i="19" s="1"/>
  <c r="BB176" i="19"/>
  <c r="BC176" i="19" s="1"/>
  <c r="BE176" i="19" s="1"/>
  <c r="AP167" i="19"/>
  <c r="AQ167" i="19" s="1"/>
  <c r="AS167" i="19" s="1"/>
  <c r="BA163" i="18"/>
  <c r="BN167" i="18"/>
  <c r="BO167" i="18" s="1"/>
  <c r="BQ167" i="18" s="1"/>
  <c r="AP178" i="18"/>
  <c r="AQ178" i="18" s="1"/>
  <c r="AS178" i="18" s="1"/>
  <c r="AE165" i="18"/>
  <c r="AG165" i="18" s="1"/>
  <c r="BD162" i="18"/>
  <c r="BM168" i="17"/>
  <c r="AC169" i="17"/>
  <c r="AF168" i="17"/>
  <c r="BP167" i="17"/>
  <c r="AO165" i="17"/>
  <c r="AR164" i="17"/>
  <c r="BC168" i="17"/>
  <c r="BE168" i="17" s="1"/>
  <c r="BB168" i="16"/>
  <c r="BC168" i="16" s="1"/>
  <c r="BE168" i="16" s="1"/>
  <c r="BN167" i="16"/>
  <c r="BO167" i="16" s="1"/>
  <c r="BQ167" i="16" s="1"/>
  <c r="AP166" i="16"/>
  <c r="AQ166" i="16" s="1"/>
  <c r="AS166" i="16" s="1"/>
  <c r="AD170" i="16"/>
  <c r="AE170" i="16" s="1"/>
  <c r="AG170" i="16" s="1"/>
  <c r="BM176" i="14"/>
  <c r="BP175" i="14"/>
  <c r="BB166" i="14"/>
  <c r="AP176" i="14"/>
  <c r="AQ176" i="14" s="1"/>
  <c r="AS176" i="14" s="1"/>
  <c r="AC120" i="14"/>
  <c r="AF119" i="14"/>
  <c r="U52" i="14"/>
  <c r="G71" i="19" l="1"/>
  <c r="H71" i="19" s="1"/>
  <c r="J71" i="19" s="1"/>
  <c r="R131" i="17"/>
  <c r="S131" i="17" s="1"/>
  <c r="U131" i="17" s="1"/>
  <c r="Q132" i="17" s="1"/>
  <c r="T130" i="17"/>
  <c r="R131" i="18"/>
  <c r="S131" i="18" s="1"/>
  <c r="U131" i="18" s="1"/>
  <c r="Q132" i="18" s="1"/>
  <c r="R121" i="16"/>
  <c r="T130" i="18"/>
  <c r="T120" i="16"/>
  <c r="F73" i="14"/>
  <c r="K72" i="14"/>
  <c r="I72" i="14"/>
  <c r="H73" i="16"/>
  <c r="J73" i="16" s="1"/>
  <c r="I73" i="17"/>
  <c r="F74" i="17"/>
  <c r="K73" i="17"/>
  <c r="G75" i="18"/>
  <c r="Q76" i="19"/>
  <c r="C75" i="15"/>
  <c r="E75" i="15" s="1"/>
  <c r="T75" i="19"/>
  <c r="BP179" i="19"/>
  <c r="BM180" i="19"/>
  <c r="AR167" i="19"/>
  <c r="AF164" i="19"/>
  <c r="AO168" i="19"/>
  <c r="BA177" i="19"/>
  <c r="AC165" i="19"/>
  <c r="BD176" i="19"/>
  <c r="AO179" i="18"/>
  <c r="BM168" i="18"/>
  <c r="BP167" i="18"/>
  <c r="BB163" i="18"/>
  <c r="BC163" i="18" s="1"/>
  <c r="BE163" i="18" s="1"/>
  <c r="AF165" i="18"/>
  <c r="AC166" i="18"/>
  <c r="AR178" i="18"/>
  <c r="BA169" i="17"/>
  <c r="AP165" i="17"/>
  <c r="AQ165" i="17" s="1"/>
  <c r="AS165" i="17" s="1"/>
  <c r="BD168" i="17"/>
  <c r="AD169" i="17"/>
  <c r="AE169" i="17" s="1"/>
  <c r="AG169" i="17" s="1"/>
  <c r="BN168" i="17"/>
  <c r="BO168" i="17" s="1"/>
  <c r="BQ168" i="17" s="1"/>
  <c r="AO167" i="16"/>
  <c r="AR166" i="16"/>
  <c r="BM168" i="16"/>
  <c r="BP167" i="16"/>
  <c r="AC171" i="16"/>
  <c r="BA169" i="16"/>
  <c r="AF170" i="16"/>
  <c r="BD168" i="16"/>
  <c r="BN176" i="14"/>
  <c r="BO176" i="14" s="1"/>
  <c r="BQ176" i="14" s="1"/>
  <c r="BC166" i="14"/>
  <c r="BE166" i="14" s="1"/>
  <c r="AO177" i="14"/>
  <c r="AR176" i="14"/>
  <c r="AD120" i="14"/>
  <c r="Q53" i="14"/>
  <c r="T52" i="14"/>
  <c r="R132" i="18" l="1"/>
  <c r="S132" i="18" s="1"/>
  <c r="U132" i="18" s="1"/>
  <c r="Q133" i="18" s="1"/>
  <c r="T131" i="18"/>
  <c r="R132" i="17"/>
  <c r="S132" i="17" s="1"/>
  <c r="U132" i="17" s="1"/>
  <c r="Q133" i="17" s="1"/>
  <c r="T131" i="17"/>
  <c r="K71" i="19"/>
  <c r="F72" i="19"/>
  <c r="S121" i="16"/>
  <c r="U121" i="16" s="1"/>
  <c r="Q122" i="16" s="1"/>
  <c r="I71" i="19"/>
  <c r="I73" i="16"/>
  <c r="K73" i="16"/>
  <c r="F74" i="16"/>
  <c r="G74" i="16" s="1"/>
  <c r="G73" i="14"/>
  <c r="H73" i="14" s="1"/>
  <c r="J73" i="14" s="1"/>
  <c r="G74" i="17"/>
  <c r="H74" i="17" s="1"/>
  <c r="J74" i="17" s="1"/>
  <c r="H75" i="18"/>
  <c r="J75" i="18" s="1"/>
  <c r="R76" i="19"/>
  <c r="S76" i="19" s="1"/>
  <c r="U76" i="19" s="1"/>
  <c r="AD165" i="19"/>
  <c r="AE165" i="19" s="1"/>
  <c r="AG165" i="19" s="1"/>
  <c r="BB177" i="19"/>
  <c r="BC177" i="19" s="1"/>
  <c r="BE177" i="19" s="1"/>
  <c r="BN180" i="19"/>
  <c r="BO180" i="19" s="1"/>
  <c r="BQ180" i="19" s="1"/>
  <c r="AP168" i="19"/>
  <c r="AQ168" i="19" s="1"/>
  <c r="AS168" i="19" s="1"/>
  <c r="BA164" i="18"/>
  <c r="BD163" i="18"/>
  <c r="BN168" i="18"/>
  <c r="BO168" i="18" s="1"/>
  <c r="BQ168" i="18" s="1"/>
  <c r="AD166" i="18"/>
  <c r="AP179" i="18"/>
  <c r="AQ179" i="18" s="1"/>
  <c r="AS179" i="18" s="1"/>
  <c r="AR165" i="17"/>
  <c r="BB169" i="17"/>
  <c r="BC169" i="17" s="1"/>
  <c r="BE169" i="17" s="1"/>
  <c r="BM169" i="17"/>
  <c r="BP168" i="17"/>
  <c r="AC170" i="17"/>
  <c r="AF169" i="17"/>
  <c r="AO166" i="17"/>
  <c r="BN168" i="16"/>
  <c r="BO168" i="16" s="1"/>
  <c r="BQ168" i="16" s="1"/>
  <c r="AD171" i="16"/>
  <c r="AE171" i="16" s="1"/>
  <c r="AG171" i="16" s="1"/>
  <c r="AP167" i="16"/>
  <c r="AQ167" i="16" s="1"/>
  <c r="AS167" i="16" s="1"/>
  <c r="BB169" i="16"/>
  <c r="BC169" i="16" s="1"/>
  <c r="BE169" i="16" s="1"/>
  <c r="BM177" i="14"/>
  <c r="BP176" i="14"/>
  <c r="BA167" i="14"/>
  <c r="BD166" i="14"/>
  <c r="AP177" i="14"/>
  <c r="AQ177" i="14" s="1"/>
  <c r="AS177" i="14" s="1"/>
  <c r="AE120" i="14"/>
  <c r="AG120" i="14" s="1"/>
  <c r="R53" i="14"/>
  <c r="S53" i="14" s="1"/>
  <c r="T121" i="16" l="1"/>
  <c r="R133" i="17"/>
  <c r="S133" i="17" s="1"/>
  <c r="U133" i="17" s="1"/>
  <c r="Q134" i="17" s="1"/>
  <c r="T132" i="17"/>
  <c r="R122" i="16"/>
  <c r="S122" i="16" s="1"/>
  <c r="U122" i="16" s="1"/>
  <c r="Q123" i="16" s="1"/>
  <c r="R133" i="18"/>
  <c r="S133" i="18" s="1"/>
  <c r="U133" i="18" s="1"/>
  <c r="Q134" i="18" s="1"/>
  <c r="G72" i="19"/>
  <c r="T132" i="18"/>
  <c r="K73" i="14"/>
  <c r="F74" i="14"/>
  <c r="I73" i="14"/>
  <c r="H74" i="16"/>
  <c r="J74" i="16" s="1"/>
  <c r="K74" i="17"/>
  <c r="F75" i="17"/>
  <c r="G75" i="17" s="1"/>
  <c r="I74" i="17"/>
  <c r="I75" i="18"/>
  <c r="F76" i="18"/>
  <c r="K75" i="18"/>
  <c r="Q77" i="19"/>
  <c r="R77" i="19" s="1"/>
  <c r="C76" i="15"/>
  <c r="E76" i="15" s="1"/>
  <c r="T76" i="19"/>
  <c r="BM181" i="19"/>
  <c r="AO169" i="19"/>
  <c r="BA178" i="19"/>
  <c r="AC166" i="19"/>
  <c r="BP180" i="19"/>
  <c r="BD177" i="19"/>
  <c r="AR168" i="19"/>
  <c r="AF165" i="19"/>
  <c r="BM169" i="18"/>
  <c r="AO180" i="18"/>
  <c r="BP168" i="18"/>
  <c r="AR179" i="18"/>
  <c r="BB164" i="18"/>
  <c r="BC164" i="18" s="1"/>
  <c r="BE164" i="18" s="1"/>
  <c r="AE166" i="18"/>
  <c r="AG166" i="18" s="1"/>
  <c r="BA170" i="17"/>
  <c r="AP166" i="17"/>
  <c r="AQ166" i="17" s="1"/>
  <c r="AS166" i="17" s="1"/>
  <c r="BN169" i="17"/>
  <c r="BD169" i="17"/>
  <c r="AD170" i="17"/>
  <c r="AO168" i="16"/>
  <c r="AR167" i="16"/>
  <c r="AC172" i="16"/>
  <c r="AF171" i="16"/>
  <c r="BM169" i="16"/>
  <c r="BP168" i="16"/>
  <c r="BA170" i="16"/>
  <c r="BD169" i="16"/>
  <c r="BN177" i="14"/>
  <c r="BO177" i="14" s="1"/>
  <c r="BQ177" i="14" s="1"/>
  <c r="BB167" i="14"/>
  <c r="BC167" i="14" s="1"/>
  <c r="BE167" i="14" s="1"/>
  <c r="AO178" i="14"/>
  <c r="AR177" i="14"/>
  <c r="AC121" i="14"/>
  <c r="AF120" i="14"/>
  <c r="U53" i="14"/>
  <c r="I74" i="16" l="1"/>
  <c r="R134" i="18"/>
  <c r="S134" i="18" s="1"/>
  <c r="U134" i="18" s="1"/>
  <c r="Q135" i="18" s="1"/>
  <c r="T133" i="18"/>
  <c r="R123" i="16"/>
  <c r="S123" i="16" s="1"/>
  <c r="U123" i="16" s="1"/>
  <c r="Q124" i="16" s="1"/>
  <c r="T122" i="16"/>
  <c r="R134" i="17"/>
  <c r="S134" i="17" s="1"/>
  <c r="U134" i="17" s="1"/>
  <c r="Q135" i="17" s="1"/>
  <c r="H72" i="19"/>
  <c r="J72" i="19" s="1"/>
  <c r="T133" i="17"/>
  <c r="F75" i="16"/>
  <c r="G75" i="16" s="1"/>
  <c r="K74" i="16"/>
  <c r="G74" i="14"/>
  <c r="H74" i="14" s="1"/>
  <c r="J74" i="14" s="1"/>
  <c r="H75" i="17"/>
  <c r="J75" i="17" s="1"/>
  <c r="G76" i="18"/>
  <c r="S77" i="19"/>
  <c r="U77" i="19" s="1"/>
  <c r="AD166" i="19"/>
  <c r="AE166" i="19" s="1"/>
  <c r="AG166" i="19" s="1"/>
  <c r="BB178" i="19"/>
  <c r="BC178" i="19" s="1"/>
  <c r="BE178" i="19" s="1"/>
  <c r="AP169" i="19"/>
  <c r="AQ169" i="19" s="1"/>
  <c r="AS169" i="19" s="1"/>
  <c r="BN181" i="19"/>
  <c r="BO181" i="19" s="1"/>
  <c r="BQ181" i="19" s="1"/>
  <c r="AC167" i="18"/>
  <c r="BA165" i="18"/>
  <c r="BD164" i="18"/>
  <c r="AP180" i="18"/>
  <c r="AQ180" i="18" s="1"/>
  <c r="AS180" i="18" s="1"/>
  <c r="BN169" i="18"/>
  <c r="BO169" i="18" s="1"/>
  <c r="BQ169" i="18" s="1"/>
  <c r="AF166" i="18"/>
  <c r="AR166" i="17"/>
  <c r="AO167" i="17"/>
  <c r="BB170" i="17"/>
  <c r="BC170" i="17" s="1"/>
  <c r="BE170" i="17" s="1"/>
  <c r="AE170" i="17"/>
  <c r="AG170" i="17" s="1"/>
  <c r="BO169" i="17"/>
  <c r="BQ169" i="17" s="1"/>
  <c r="BB170" i="16"/>
  <c r="BC170" i="16" s="1"/>
  <c r="BE170" i="16" s="1"/>
  <c r="AD172" i="16"/>
  <c r="AE172" i="16" s="1"/>
  <c r="AG172" i="16" s="1"/>
  <c r="BN169" i="16"/>
  <c r="BO169" i="16" s="1"/>
  <c r="BQ169" i="16" s="1"/>
  <c r="AP168" i="16"/>
  <c r="AQ168" i="16" s="1"/>
  <c r="AS168" i="16" s="1"/>
  <c r="BM178" i="14"/>
  <c r="BP177" i="14"/>
  <c r="BA168" i="14"/>
  <c r="BD167" i="14"/>
  <c r="AP178" i="14"/>
  <c r="AQ178" i="14" s="1"/>
  <c r="AS178" i="14" s="1"/>
  <c r="AD121" i="14"/>
  <c r="Q54" i="14"/>
  <c r="T53" i="14"/>
  <c r="I72" i="19" l="1"/>
  <c r="T134" i="17"/>
  <c r="R124" i="16"/>
  <c r="S124" i="16" s="1"/>
  <c r="U124" i="16" s="1"/>
  <c r="Q125" i="16" s="1"/>
  <c r="T123" i="16"/>
  <c r="K72" i="19"/>
  <c r="F73" i="19"/>
  <c r="R135" i="18"/>
  <c r="S135" i="18" s="1"/>
  <c r="U135" i="18" s="1"/>
  <c r="Q136" i="18" s="1"/>
  <c r="R135" i="17"/>
  <c r="S135" i="17" s="1"/>
  <c r="U135" i="17" s="1"/>
  <c r="Q136" i="17" s="1"/>
  <c r="T134" i="18"/>
  <c r="F75" i="14"/>
  <c r="K74" i="14"/>
  <c r="I74" i="14"/>
  <c r="H75" i="16"/>
  <c r="J75" i="16" s="1"/>
  <c r="I75" i="17"/>
  <c r="F76" i="17"/>
  <c r="K75" i="17"/>
  <c r="H76" i="18"/>
  <c r="J76" i="18" s="1"/>
  <c r="T77" i="19"/>
  <c r="Q78" i="19"/>
  <c r="R78" i="19" s="1"/>
  <c r="C77" i="15"/>
  <c r="E77" i="15" s="1"/>
  <c r="BA179" i="19"/>
  <c r="BD178" i="19"/>
  <c r="BM182" i="19"/>
  <c r="BP181" i="19"/>
  <c r="AO170" i="19"/>
  <c r="AC167" i="19"/>
  <c r="AR169" i="19"/>
  <c r="AF166" i="19"/>
  <c r="BB165" i="18"/>
  <c r="BC165" i="18" s="1"/>
  <c r="BE165" i="18" s="1"/>
  <c r="AD167" i="18"/>
  <c r="AE167" i="18" s="1"/>
  <c r="AG167" i="18" s="1"/>
  <c r="BM170" i="18"/>
  <c r="AO181" i="18"/>
  <c r="BP169" i="18"/>
  <c r="AR180" i="18"/>
  <c r="AF170" i="17"/>
  <c r="BA171" i="17"/>
  <c r="AP167" i="17"/>
  <c r="BD170" i="17"/>
  <c r="BM170" i="17"/>
  <c r="AC171" i="17"/>
  <c r="BP169" i="17"/>
  <c r="BM170" i="16"/>
  <c r="BP169" i="16"/>
  <c r="AC173" i="16"/>
  <c r="AF172" i="16"/>
  <c r="AO169" i="16"/>
  <c r="BA171" i="16"/>
  <c r="AR168" i="16"/>
  <c r="BD170" i="16"/>
  <c r="BN178" i="14"/>
  <c r="BO178" i="14" s="1"/>
  <c r="BQ178" i="14" s="1"/>
  <c r="BB168" i="14"/>
  <c r="BC168" i="14" s="1"/>
  <c r="BE168" i="14" s="1"/>
  <c r="AO179" i="14"/>
  <c r="AR178" i="14"/>
  <c r="AE121" i="14"/>
  <c r="AG121" i="14" s="1"/>
  <c r="R54" i="14"/>
  <c r="S54" i="14" s="1"/>
  <c r="T135" i="18" l="1"/>
  <c r="T135" i="17"/>
  <c r="I75" i="16"/>
  <c r="R136" i="18"/>
  <c r="S136" i="18" s="1"/>
  <c r="U136" i="18" s="1"/>
  <c r="Q137" i="18" s="1"/>
  <c r="G73" i="19"/>
  <c r="H73" i="19" s="1"/>
  <c r="J73" i="19" s="1"/>
  <c r="R125" i="16"/>
  <c r="S125" i="16" s="1"/>
  <c r="U125" i="16" s="1"/>
  <c r="Q126" i="16" s="1"/>
  <c r="R136" i="17"/>
  <c r="S136" i="17" s="1"/>
  <c r="U136" i="17" s="1"/>
  <c r="Q137" i="17" s="1"/>
  <c r="T124" i="16"/>
  <c r="F76" i="16"/>
  <c r="G76" i="16" s="1"/>
  <c r="K75" i="16"/>
  <c r="G75" i="14"/>
  <c r="H75" i="14" s="1"/>
  <c r="J75" i="14" s="1"/>
  <c r="G76" i="17"/>
  <c r="H76" i="17" s="1"/>
  <c r="J76" i="17" s="1"/>
  <c r="F77" i="18"/>
  <c r="K76" i="18"/>
  <c r="Y9" i="1" s="1"/>
  <c r="I76" i="18"/>
  <c r="S78" i="19"/>
  <c r="U78" i="19" s="1"/>
  <c r="AD167" i="19"/>
  <c r="AE167" i="19" s="1"/>
  <c r="AG167" i="19" s="1"/>
  <c r="BN182" i="19"/>
  <c r="BO182" i="19" s="1"/>
  <c r="BQ182" i="19" s="1"/>
  <c r="AP170" i="19"/>
  <c r="AQ170" i="19" s="1"/>
  <c r="AS170" i="19" s="1"/>
  <c r="BB179" i="19"/>
  <c r="BC179" i="19" s="1"/>
  <c r="BE179" i="19" s="1"/>
  <c r="AC168" i="18"/>
  <c r="AF167" i="18"/>
  <c r="BA166" i="18"/>
  <c r="AP181" i="18"/>
  <c r="AQ181" i="18" s="1"/>
  <c r="AS181" i="18" s="1"/>
  <c r="BN170" i="18"/>
  <c r="BO170" i="18" s="1"/>
  <c r="BQ170" i="18" s="1"/>
  <c r="BD165" i="18"/>
  <c r="AD171" i="17"/>
  <c r="AE171" i="17" s="1"/>
  <c r="AG171" i="17" s="1"/>
  <c r="BB171" i="17"/>
  <c r="BC171" i="17" s="1"/>
  <c r="BE171" i="17" s="1"/>
  <c r="BN170" i="17"/>
  <c r="BO170" i="17" s="1"/>
  <c r="BQ170" i="17" s="1"/>
  <c r="AQ167" i="17"/>
  <c r="AS167" i="17" s="1"/>
  <c r="AP169" i="16"/>
  <c r="AQ169" i="16" s="1"/>
  <c r="AS169" i="16" s="1"/>
  <c r="AD173" i="16"/>
  <c r="AE173" i="16" s="1"/>
  <c r="AG173" i="16" s="1"/>
  <c r="BB171" i="16"/>
  <c r="BC171" i="16" s="1"/>
  <c r="BE171" i="16" s="1"/>
  <c r="BN170" i="16"/>
  <c r="BO170" i="16" s="1"/>
  <c r="BQ170" i="16" s="1"/>
  <c r="BM179" i="14"/>
  <c r="BP178" i="14"/>
  <c r="BA169" i="14"/>
  <c r="BD168" i="14"/>
  <c r="AP179" i="14"/>
  <c r="AQ179" i="14" s="1"/>
  <c r="AS179" i="14" s="1"/>
  <c r="AC122" i="14"/>
  <c r="AF121" i="14"/>
  <c r="U54" i="14"/>
  <c r="T136" i="17" l="1"/>
  <c r="R126" i="16"/>
  <c r="S126" i="16" s="1"/>
  <c r="U126" i="16" s="1"/>
  <c r="Q127" i="16" s="1"/>
  <c r="T125" i="16"/>
  <c r="K73" i="19"/>
  <c r="F74" i="19"/>
  <c r="I73" i="19"/>
  <c r="R137" i="18"/>
  <c r="S137" i="18" s="1"/>
  <c r="U137" i="18" s="1"/>
  <c r="Q138" i="18" s="1"/>
  <c r="T136" i="18"/>
  <c r="R137" i="17"/>
  <c r="S137" i="17" s="1"/>
  <c r="U137" i="17" s="1"/>
  <c r="Q138" i="17" s="1"/>
  <c r="F76" i="14"/>
  <c r="K75" i="14"/>
  <c r="I75" i="14"/>
  <c r="H76" i="16"/>
  <c r="J76" i="16" s="1"/>
  <c r="F77" i="17"/>
  <c r="G77" i="17" s="1"/>
  <c r="K76" i="17"/>
  <c r="V9" i="1" s="1"/>
  <c r="I76" i="17"/>
  <c r="G77" i="18"/>
  <c r="H77" i="18" s="1"/>
  <c r="J77" i="18" s="1"/>
  <c r="T78" i="19"/>
  <c r="Q79" i="19"/>
  <c r="R79" i="19" s="1"/>
  <c r="C78" i="15"/>
  <c r="E78" i="15" s="1"/>
  <c r="BA180" i="19"/>
  <c r="BM183" i="19"/>
  <c r="AO171" i="19"/>
  <c r="BP182" i="19"/>
  <c r="AC168" i="19"/>
  <c r="BD179" i="19"/>
  <c r="AR170" i="19"/>
  <c r="AF167" i="19"/>
  <c r="BB166" i="18"/>
  <c r="BC166" i="18" s="1"/>
  <c r="BE166" i="18" s="1"/>
  <c r="BM171" i="18"/>
  <c r="BP170" i="18"/>
  <c r="AO182" i="18"/>
  <c r="AR181" i="18"/>
  <c r="AD168" i="18"/>
  <c r="AE168" i="18" s="1"/>
  <c r="AG168" i="18" s="1"/>
  <c r="BA172" i="17"/>
  <c r="AO168" i="17"/>
  <c r="AC172" i="17"/>
  <c r="BD171" i="17"/>
  <c r="AF171" i="17"/>
  <c r="BM171" i="17"/>
  <c r="BP170" i="17"/>
  <c r="AR167" i="17"/>
  <c r="AC174" i="16"/>
  <c r="AF173" i="16"/>
  <c r="BM171" i="16"/>
  <c r="AO170" i="16"/>
  <c r="BP170" i="16"/>
  <c r="AR169" i="16"/>
  <c r="BA172" i="16"/>
  <c r="BD171" i="16"/>
  <c r="BN179" i="14"/>
  <c r="BO179" i="14" s="1"/>
  <c r="BQ179" i="14" s="1"/>
  <c r="BB169" i="14"/>
  <c r="BC169" i="14" s="1"/>
  <c r="BE169" i="14" s="1"/>
  <c r="AR179" i="14"/>
  <c r="AO180" i="14"/>
  <c r="AD122" i="14"/>
  <c r="Q55" i="14"/>
  <c r="T54" i="14"/>
  <c r="T137" i="17" l="1"/>
  <c r="T137" i="18"/>
  <c r="G74" i="19"/>
  <c r="H74" i="19" s="1"/>
  <c r="J74" i="19" s="1"/>
  <c r="R138" i="17"/>
  <c r="S138" i="17" s="1"/>
  <c r="U138" i="17" s="1"/>
  <c r="Q139" i="17" s="1"/>
  <c r="R138" i="18"/>
  <c r="S138" i="18" s="1"/>
  <c r="U138" i="18" s="1"/>
  <c r="Q139" i="18" s="1"/>
  <c r="R127" i="16"/>
  <c r="S127" i="16" s="1"/>
  <c r="U127" i="16" s="1"/>
  <c r="Q128" i="16" s="1"/>
  <c r="T126" i="16"/>
  <c r="I76" i="16"/>
  <c r="F77" i="16"/>
  <c r="G77" i="16" s="1"/>
  <c r="K76" i="16"/>
  <c r="S9" i="1" s="1"/>
  <c r="G76" i="14"/>
  <c r="H76" i="14" s="1"/>
  <c r="J76" i="14" s="1"/>
  <c r="H77" i="17"/>
  <c r="J77" i="17" s="1"/>
  <c r="F78" i="18"/>
  <c r="K77" i="18"/>
  <c r="I77" i="18"/>
  <c r="S79" i="19"/>
  <c r="U79" i="19" s="1"/>
  <c r="AD168" i="19"/>
  <c r="AE168" i="19" s="1"/>
  <c r="AG168" i="19" s="1"/>
  <c r="BN183" i="19"/>
  <c r="BO183" i="19" s="1"/>
  <c r="BQ183" i="19" s="1"/>
  <c r="BB180" i="19"/>
  <c r="BC180" i="19" s="1"/>
  <c r="BE180" i="19" s="1"/>
  <c r="AP171" i="19"/>
  <c r="AQ171" i="19" s="1"/>
  <c r="AS171" i="19" s="1"/>
  <c r="AF168" i="18"/>
  <c r="BA167" i="18"/>
  <c r="BN171" i="18"/>
  <c r="BO171" i="18" s="1"/>
  <c r="BQ171" i="18" s="1"/>
  <c r="BD166" i="18"/>
  <c r="AP182" i="18"/>
  <c r="AQ182" i="18" s="1"/>
  <c r="AS182" i="18" s="1"/>
  <c r="AC169" i="18"/>
  <c r="AD172" i="17"/>
  <c r="AE172" i="17" s="1"/>
  <c r="AG172" i="17" s="1"/>
  <c r="BN171" i="17"/>
  <c r="BO171" i="17" s="1"/>
  <c r="BQ171" i="17" s="1"/>
  <c r="AP168" i="17"/>
  <c r="BB172" i="17"/>
  <c r="BC172" i="17" s="1"/>
  <c r="BE172" i="17" s="1"/>
  <c r="BN171" i="16"/>
  <c r="BO171" i="16" s="1"/>
  <c r="BQ171" i="16" s="1"/>
  <c r="BB172" i="16"/>
  <c r="BC172" i="16" s="1"/>
  <c r="BE172" i="16" s="1"/>
  <c r="AP170" i="16"/>
  <c r="AQ170" i="16" s="1"/>
  <c r="AS170" i="16" s="1"/>
  <c r="AD174" i="16"/>
  <c r="AE174" i="16" s="1"/>
  <c r="AG174" i="16" s="1"/>
  <c r="BP179" i="14"/>
  <c r="BM180" i="14"/>
  <c r="BA170" i="14"/>
  <c r="BD169" i="14"/>
  <c r="AP180" i="14"/>
  <c r="AQ180" i="14" s="1"/>
  <c r="AS180" i="14" s="1"/>
  <c r="AE122" i="14"/>
  <c r="AG122" i="14" s="1"/>
  <c r="R55" i="14"/>
  <c r="S55" i="14" s="1"/>
  <c r="T127" i="16" l="1"/>
  <c r="T138" i="17"/>
  <c r="K74" i="19"/>
  <c r="F75" i="19"/>
  <c r="R139" i="18"/>
  <c r="S139" i="18" s="1"/>
  <c r="U139" i="18" s="1"/>
  <c r="Q140" i="18" s="1"/>
  <c r="T138" i="18"/>
  <c r="R139" i="17"/>
  <c r="S139" i="17" s="1"/>
  <c r="U139" i="17" s="1"/>
  <c r="Q140" i="17" s="1"/>
  <c r="I74" i="19"/>
  <c r="R128" i="16"/>
  <c r="S128" i="16" s="1"/>
  <c r="U128" i="16" s="1"/>
  <c r="Q129" i="16" s="1"/>
  <c r="F77" i="14"/>
  <c r="K76" i="14"/>
  <c r="P9" i="1" s="1"/>
  <c r="I76" i="14"/>
  <c r="H77" i="16"/>
  <c r="J77" i="16" s="1"/>
  <c r="I77" i="17"/>
  <c r="F78" i="17"/>
  <c r="G78" i="17" s="1"/>
  <c r="K77" i="17"/>
  <c r="G78" i="18"/>
  <c r="H78" i="18" s="1"/>
  <c r="J78" i="18" s="1"/>
  <c r="T79" i="19"/>
  <c r="Q80" i="19"/>
  <c r="R80" i="19" s="1"/>
  <c r="C79" i="15"/>
  <c r="E79" i="15" s="1"/>
  <c r="BM184" i="19"/>
  <c r="BD180" i="19"/>
  <c r="BA181" i="19"/>
  <c r="BP183" i="19"/>
  <c r="AO172" i="19"/>
  <c r="AC169" i="19"/>
  <c r="AR171" i="19"/>
  <c r="AF168" i="19"/>
  <c r="BP171" i="18"/>
  <c r="AD169" i="18"/>
  <c r="AE169" i="18" s="1"/>
  <c r="AG169" i="18" s="1"/>
  <c r="BB167" i="18"/>
  <c r="BC167" i="18" s="1"/>
  <c r="BE167" i="18" s="1"/>
  <c r="AO183" i="18"/>
  <c r="AR182" i="18"/>
  <c r="BM172" i="18"/>
  <c r="BM172" i="17"/>
  <c r="BA173" i="17"/>
  <c r="BD172" i="17"/>
  <c r="AC173" i="17"/>
  <c r="BP171" i="17"/>
  <c r="AQ168" i="17"/>
  <c r="AS168" i="17" s="1"/>
  <c r="AF172" i="17"/>
  <c r="BA173" i="16"/>
  <c r="BD172" i="16"/>
  <c r="BM172" i="16"/>
  <c r="AF174" i="16"/>
  <c r="BP171" i="16"/>
  <c r="AO171" i="16"/>
  <c r="AC175" i="16"/>
  <c r="AR170" i="16"/>
  <c r="BN180" i="14"/>
  <c r="BB170" i="14"/>
  <c r="BC170" i="14" s="1"/>
  <c r="BE170" i="14" s="1"/>
  <c r="AO181" i="14"/>
  <c r="AR180" i="14"/>
  <c r="AC123" i="14"/>
  <c r="AF122" i="14"/>
  <c r="U55" i="14"/>
  <c r="R140" i="17" l="1"/>
  <c r="S140" i="17" s="1"/>
  <c r="U140" i="17" s="1"/>
  <c r="Q141" i="17" s="1"/>
  <c r="T139" i="17"/>
  <c r="R140" i="18"/>
  <c r="S140" i="18" s="1"/>
  <c r="U140" i="18" s="1"/>
  <c r="Q141" i="18" s="1"/>
  <c r="T139" i="18"/>
  <c r="R129" i="16"/>
  <c r="S129" i="16" s="1"/>
  <c r="U129" i="16" s="1"/>
  <c r="Q130" i="16" s="1"/>
  <c r="G75" i="19"/>
  <c r="H75" i="19" s="1"/>
  <c r="J75" i="19" s="1"/>
  <c r="T128" i="16"/>
  <c r="I77" i="16"/>
  <c r="F78" i="16"/>
  <c r="G78" i="16" s="1"/>
  <c r="K77" i="16"/>
  <c r="G77" i="14"/>
  <c r="H77" i="14" s="1"/>
  <c r="J77" i="14" s="1"/>
  <c r="H78" i="17"/>
  <c r="J78" i="17" s="1"/>
  <c r="F79" i="18"/>
  <c r="K78" i="18"/>
  <c r="I78" i="18"/>
  <c r="S80" i="19"/>
  <c r="U80" i="19" s="1"/>
  <c r="AD169" i="19"/>
  <c r="AE169" i="19" s="1"/>
  <c r="AG169" i="19" s="1"/>
  <c r="AP172" i="19"/>
  <c r="AQ172" i="19" s="1"/>
  <c r="AS172" i="19" s="1"/>
  <c r="BN184" i="19"/>
  <c r="BO184" i="19" s="1"/>
  <c r="BB181" i="19"/>
  <c r="BC181" i="19" s="1"/>
  <c r="BE181" i="19" s="1"/>
  <c r="AC170" i="18"/>
  <c r="BD167" i="18"/>
  <c r="BA168" i="18"/>
  <c r="BN172" i="18"/>
  <c r="AF169" i="18"/>
  <c r="AP183" i="18"/>
  <c r="AQ183" i="18" s="1"/>
  <c r="AS183" i="18" s="1"/>
  <c r="AO169" i="17"/>
  <c r="BB173" i="17"/>
  <c r="AR168" i="17"/>
  <c r="AD173" i="17"/>
  <c r="AE173" i="17" s="1"/>
  <c r="AG173" i="17" s="1"/>
  <c r="BN172" i="17"/>
  <c r="BO172" i="17" s="1"/>
  <c r="BQ172" i="17" s="1"/>
  <c r="BN172" i="16"/>
  <c r="BO172" i="16" s="1"/>
  <c r="BQ172" i="16" s="1"/>
  <c r="BB173" i="16"/>
  <c r="BC173" i="16" s="1"/>
  <c r="BE173" i="16" s="1"/>
  <c r="AP171" i="16"/>
  <c r="AQ171" i="16" s="1"/>
  <c r="AS171" i="16" s="1"/>
  <c r="AD175" i="16"/>
  <c r="AE175" i="16" s="1"/>
  <c r="AG175" i="16" s="1"/>
  <c r="BO180" i="14"/>
  <c r="BQ180" i="14" s="1"/>
  <c r="BM181" i="14" s="1"/>
  <c r="BA171" i="14"/>
  <c r="BD170" i="14"/>
  <c r="AP181" i="14"/>
  <c r="AQ181" i="14" s="1"/>
  <c r="AS181" i="14" s="1"/>
  <c r="AD123" i="14"/>
  <c r="Q56" i="14"/>
  <c r="T55" i="14"/>
  <c r="T129" i="16" l="1"/>
  <c r="R141" i="18"/>
  <c r="S141" i="18" s="1"/>
  <c r="U141" i="18" s="1"/>
  <c r="Q142" i="18" s="1"/>
  <c r="R130" i="16"/>
  <c r="S130" i="16" s="1"/>
  <c r="U130" i="16" s="1"/>
  <c r="Q131" i="16" s="1"/>
  <c r="T140" i="18"/>
  <c r="F76" i="19"/>
  <c r="K75" i="19"/>
  <c r="R141" i="17"/>
  <c r="S141" i="17" s="1"/>
  <c r="U141" i="17" s="1"/>
  <c r="Q142" i="17" s="1"/>
  <c r="I75" i="19"/>
  <c r="T140" i="17"/>
  <c r="F78" i="14"/>
  <c r="K77" i="14"/>
  <c r="I77" i="14"/>
  <c r="H78" i="16"/>
  <c r="J78" i="16" s="1"/>
  <c r="BQ184" i="19"/>
  <c r="H18" i="1" s="1"/>
  <c r="I78" i="17"/>
  <c r="F79" i="17"/>
  <c r="G79" i="17" s="1"/>
  <c r="K78" i="17"/>
  <c r="G79" i="18"/>
  <c r="H79" i="18" s="1"/>
  <c r="J79" i="18" s="1"/>
  <c r="T80" i="19"/>
  <c r="Q81" i="19"/>
  <c r="R81" i="19" s="1"/>
  <c r="C80" i="15"/>
  <c r="E80" i="15" s="1"/>
  <c r="BA182" i="19"/>
  <c r="AO173" i="19"/>
  <c r="AC170" i="19"/>
  <c r="BP184" i="19"/>
  <c r="AR172" i="19"/>
  <c r="BD181" i="19"/>
  <c r="AF169" i="19"/>
  <c r="AR183" i="18"/>
  <c r="AD170" i="18"/>
  <c r="AE170" i="18" s="1"/>
  <c r="AG170" i="18" s="1"/>
  <c r="AO184" i="18"/>
  <c r="BB168" i="18"/>
  <c r="BC168" i="18" s="1"/>
  <c r="BE168" i="18" s="1"/>
  <c r="BO172" i="18"/>
  <c r="BQ172" i="18" s="1"/>
  <c r="BM173" i="17"/>
  <c r="BP172" i="17"/>
  <c r="AC174" i="17"/>
  <c r="AF173" i="17"/>
  <c r="BC173" i="17"/>
  <c r="BE173" i="17" s="1"/>
  <c r="AP169" i="17"/>
  <c r="AQ169" i="17" s="1"/>
  <c r="AS169" i="17" s="1"/>
  <c r="AO172" i="16"/>
  <c r="AR171" i="16"/>
  <c r="BA174" i="16"/>
  <c r="BD173" i="16"/>
  <c r="AC176" i="16"/>
  <c r="BM173" i="16"/>
  <c r="AF175" i="16"/>
  <c r="BP172" i="16"/>
  <c r="BP180" i="14"/>
  <c r="BN181" i="14"/>
  <c r="BO181" i="14" s="1"/>
  <c r="BQ181" i="14" s="1"/>
  <c r="BB171" i="14"/>
  <c r="BC171" i="14" s="1"/>
  <c r="BE171" i="14" s="1"/>
  <c r="AO182" i="14"/>
  <c r="AR181" i="14"/>
  <c r="AE123" i="14"/>
  <c r="AG123" i="14" s="1"/>
  <c r="R56" i="14"/>
  <c r="S56" i="14" s="1"/>
  <c r="R131" i="16" l="1"/>
  <c r="S131" i="16" s="1"/>
  <c r="U131" i="16" s="1"/>
  <c r="Q132" i="16" s="1"/>
  <c r="G76" i="19"/>
  <c r="H76" i="19" s="1"/>
  <c r="J76" i="19" s="1"/>
  <c r="T130" i="16"/>
  <c r="R142" i="17"/>
  <c r="S142" i="17" s="1"/>
  <c r="U142" i="17" s="1"/>
  <c r="Q143" i="17" s="1"/>
  <c r="R142" i="18"/>
  <c r="T141" i="17"/>
  <c r="T141" i="18"/>
  <c r="I78" i="16"/>
  <c r="K78" i="16"/>
  <c r="F79" i="16"/>
  <c r="G78" i="14"/>
  <c r="H78" i="14" s="1"/>
  <c r="J78" i="14" s="1"/>
  <c r="H79" i="17"/>
  <c r="J79" i="17" s="1"/>
  <c r="F80" i="18"/>
  <c r="K79" i="18"/>
  <c r="I79" i="18"/>
  <c r="S81" i="19"/>
  <c r="U81" i="19" s="1"/>
  <c r="AD170" i="19"/>
  <c r="AE170" i="19" s="1"/>
  <c r="AG170" i="19" s="1"/>
  <c r="AP173" i="19"/>
  <c r="AQ173" i="19" s="1"/>
  <c r="AS173" i="19" s="1"/>
  <c r="BB182" i="19"/>
  <c r="BC182" i="19" s="1"/>
  <c r="BE182" i="19" s="1"/>
  <c r="BA169" i="18"/>
  <c r="AC171" i="18"/>
  <c r="BM173" i="18"/>
  <c r="AP184" i="18"/>
  <c r="AQ184" i="18" s="1"/>
  <c r="AS184" i="18" s="1"/>
  <c r="F24" i="1" s="1"/>
  <c r="BD168" i="18"/>
  <c r="AF170" i="18"/>
  <c r="BP172" i="18"/>
  <c r="AO170" i="17"/>
  <c r="AD174" i="17"/>
  <c r="AE174" i="17" s="1"/>
  <c r="AG174" i="17" s="1"/>
  <c r="AR169" i="17"/>
  <c r="BA174" i="17"/>
  <c r="BD173" i="17"/>
  <c r="BN173" i="17"/>
  <c r="BO173" i="17" s="1"/>
  <c r="BQ173" i="17" s="1"/>
  <c r="BN173" i="16"/>
  <c r="BO173" i="16" s="1"/>
  <c r="BQ173" i="16" s="1"/>
  <c r="AD176" i="16"/>
  <c r="AE176" i="16" s="1"/>
  <c r="AG176" i="16" s="1"/>
  <c r="AP172" i="16"/>
  <c r="AQ172" i="16" s="1"/>
  <c r="AS172" i="16" s="1"/>
  <c r="BB174" i="16"/>
  <c r="BC174" i="16" s="1"/>
  <c r="BE174" i="16" s="1"/>
  <c r="BM182" i="14"/>
  <c r="BP181" i="14"/>
  <c r="BA172" i="14"/>
  <c r="BD171" i="14"/>
  <c r="AP182" i="14"/>
  <c r="AC124" i="14"/>
  <c r="AF123" i="14"/>
  <c r="U56" i="14"/>
  <c r="S142" i="18" l="1"/>
  <c r="U142" i="18" s="1"/>
  <c r="Q143" i="18" s="1"/>
  <c r="R143" i="17"/>
  <c r="S143" i="17" s="1"/>
  <c r="U143" i="17" s="1"/>
  <c r="Q144" i="17" s="1"/>
  <c r="T142" i="17"/>
  <c r="K76" i="19"/>
  <c r="AB9" i="1" s="1"/>
  <c r="F77" i="19"/>
  <c r="I76" i="19"/>
  <c r="R132" i="16"/>
  <c r="S132" i="16" s="1"/>
  <c r="U132" i="16" s="1"/>
  <c r="Q133" i="16" s="1"/>
  <c r="R143" i="18"/>
  <c r="T131" i="16"/>
  <c r="F79" i="14"/>
  <c r="K78" i="14"/>
  <c r="I78" i="14"/>
  <c r="G79" i="16"/>
  <c r="H79" i="16" s="1"/>
  <c r="J79" i="16" s="1"/>
  <c r="I79" i="17"/>
  <c r="F80" i="17"/>
  <c r="K79" i="17"/>
  <c r="G80" i="18"/>
  <c r="H80" i="18" s="1"/>
  <c r="J80" i="18" s="1"/>
  <c r="T81" i="19"/>
  <c r="Q82" i="19"/>
  <c r="R82" i="19" s="1"/>
  <c r="C81" i="15"/>
  <c r="E81" i="15" s="1"/>
  <c r="BA183" i="19"/>
  <c r="BD182" i="19"/>
  <c r="AO174" i="19"/>
  <c r="AR173" i="19"/>
  <c r="AC171" i="19"/>
  <c r="AF170" i="19"/>
  <c r="BN173" i="18"/>
  <c r="BO173" i="18" s="1"/>
  <c r="BQ173" i="18" s="1"/>
  <c r="AD171" i="18"/>
  <c r="AE171" i="18" s="1"/>
  <c r="AG171" i="18" s="1"/>
  <c r="AR184" i="18"/>
  <c r="BB169" i="18"/>
  <c r="BC169" i="18" s="1"/>
  <c r="BE169" i="18" s="1"/>
  <c r="BM174" i="17"/>
  <c r="BB174" i="17"/>
  <c r="BC174" i="17" s="1"/>
  <c r="BE174" i="17" s="1"/>
  <c r="AC175" i="17"/>
  <c r="AF174" i="17"/>
  <c r="BP173" i="17"/>
  <c r="AP170" i="17"/>
  <c r="AQ170" i="17" s="1"/>
  <c r="AS170" i="17" s="1"/>
  <c r="AO173" i="16"/>
  <c r="AC177" i="16"/>
  <c r="AF176" i="16"/>
  <c r="BA175" i="16"/>
  <c r="BM174" i="16"/>
  <c r="AR172" i="16"/>
  <c r="BD174" i="16"/>
  <c r="BP173" i="16"/>
  <c r="BN182" i="14"/>
  <c r="BO182" i="14" s="1"/>
  <c r="BQ182" i="14" s="1"/>
  <c r="BB172" i="14"/>
  <c r="AQ182" i="14"/>
  <c r="AS182" i="14" s="1"/>
  <c r="AO183" i="14" s="1"/>
  <c r="AD124" i="14"/>
  <c r="Q57" i="14"/>
  <c r="T56" i="14"/>
  <c r="S143" i="18" l="1"/>
  <c r="U143" i="18" s="1"/>
  <c r="Q144" i="18" s="1"/>
  <c r="R144" i="18" s="1"/>
  <c r="S144" i="18" s="1"/>
  <c r="U144" i="18" s="1"/>
  <c r="Q145" i="18" s="1"/>
  <c r="T142" i="18"/>
  <c r="T132" i="16"/>
  <c r="R133" i="16"/>
  <c r="S133" i="16" s="1"/>
  <c r="U133" i="16" s="1"/>
  <c r="Q134" i="16" s="1"/>
  <c r="G77" i="19"/>
  <c r="H77" i="19" s="1"/>
  <c r="J77" i="19" s="1"/>
  <c r="R144" i="17"/>
  <c r="S144" i="17" s="1"/>
  <c r="U144" i="17" s="1"/>
  <c r="Q145" i="17" s="1"/>
  <c r="T143" i="17"/>
  <c r="F80" i="16"/>
  <c r="G80" i="16" s="1"/>
  <c r="K79" i="16"/>
  <c r="I79" i="16"/>
  <c r="G79" i="14"/>
  <c r="H79" i="14" s="1"/>
  <c r="J79" i="14" s="1"/>
  <c r="G80" i="17"/>
  <c r="H80" i="17" s="1"/>
  <c r="J80" i="17" s="1"/>
  <c r="F81" i="18"/>
  <c r="G81" i="18" s="1"/>
  <c r="K80" i="18"/>
  <c r="I80" i="18"/>
  <c r="S82" i="19"/>
  <c r="U82" i="19" s="1"/>
  <c r="AP174" i="19"/>
  <c r="AQ174" i="19" s="1"/>
  <c r="AS174" i="19" s="1"/>
  <c r="AD171" i="19"/>
  <c r="AE171" i="19" s="1"/>
  <c r="AG171" i="19" s="1"/>
  <c r="BB183" i="19"/>
  <c r="BC183" i="19" s="1"/>
  <c r="BE183" i="19" s="1"/>
  <c r="AF171" i="18"/>
  <c r="BA170" i="18"/>
  <c r="BM174" i="18"/>
  <c r="BD169" i="18"/>
  <c r="BP173" i="18"/>
  <c r="AC172" i="18"/>
  <c r="AO171" i="17"/>
  <c r="AD175" i="17"/>
  <c r="AE175" i="17" s="1"/>
  <c r="AG175" i="17" s="1"/>
  <c r="BA175" i="17"/>
  <c r="BD174" i="17"/>
  <c r="AR170" i="17"/>
  <c r="BN174" i="17"/>
  <c r="BO174" i="17" s="1"/>
  <c r="BQ174" i="17" s="1"/>
  <c r="BN174" i="16"/>
  <c r="BO174" i="16" s="1"/>
  <c r="BQ174" i="16" s="1"/>
  <c r="AD177" i="16"/>
  <c r="AE177" i="16" s="1"/>
  <c r="AG177" i="16" s="1"/>
  <c r="BB175" i="16"/>
  <c r="BC175" i="16" s="1"/>
  <c r="BE175" i="16" s="1"/>
  <c r="AP173" i="16"/>
  <c r="AQ173" i="16" s="1"/>
  <c r="AS173" i="16" s="1"/>
  <c r="BM183" i="14"/>
  <c r="BP182" i="14"/>
  <c r="BC172" i="14"/>
  <c r="BE172" i="14" s="1"/>
  <c r="AR182" i="14"/>
  <c r="AP183" i="14"/>
  <c r="AQ183" i="14" s="1"/>
  <c r="AS183" i="14" s="1"/>
  <c r="AE124" i="14"/>
  <c r="AG124" i="14" s="1"/>
  <c r="R57" i="14"/>
  <c r="S57" i="14" s="1"/>
  <c r="T143" i="18" l="1"/>
  <c r="T144" i="17"/>
  <c r="R145" i="17"/>
  <c r="S145" i="17" s="1"/>
  <c r="U145" i="17" s="1"/>
  <c r="Q146" i="17" s="1"/>
  <c r="R145" i="18"/>
  <c r="S145" i="18" s="1"/>
  <c r="U145" i="18" s="1"/>
  <c r="Q146" i="18" s="1"/>
  <c r="T144" i="18"/>
  <c r="F78" i="19"/>
  <c r="K77" i="19"/>
  <c r="I77" i="19"/>
  <c r="R134" i="16"/>
  <c r="S134" i="16" s="1"/>
  <c r="U134" i="16" s="1"/>
  <c r="Q135" i="16" s="1"/>
  <c r="T133" i="16"/>
  <c r="F80" i="14"/>
  <c r="K79" i="14"/>
  <c r="I79" i="14"/>
  <c r="H80" i="16"/>
  <c r="J80" i="16" s="1"/>
  <c r="F81" i="17"/>
  <c r="K80" i="17"/>
  <c r="I80" i="17"/>
  <c r="H81" i="18"/>
  <c r="J81" i="18" s="1"/>
  <c r="T82" i="19"/>
  <c r="Q83" i="19"/>
  <c r="R83" i="19" s="1"/>
  <c r="C82" i="15"/>
  <c r="E82" i="15" s="1"/>
  <c r="BA184" i="19"/>
  <c r="BD183" i="19"/>
  <c r="AC172" i="19"/>
  <c r="AF171" i="19"/>
  <c r="AO175" i="19"/>
  <c r="AR174" i="19"/>
  <c r="BN174" i="18"/>
  <c r="BO174" i="18" s="1"/>
  <c r="BQ174" i="18" s="1"/>
  <c r="BB170" i="18"/>
  <c r="BC170" i="18" s="1"/>
  <c r="BE170" i="18" s="1"/>
  <c r="AD172" i="18"/>
  <c r="AE172" i="18" s="1"/>
  <c r="AG172" i="18" s="1"/>
  <c r="BM175" i="17"/>
  <c r="BP174" i="17"/>
  <c r="BB175" i="17"/>
  <c r="BC175" i="17" s="1"/>
  <c r="BE175" i="17" s="1"/>
  <c r="AF175" i="17"/>
  <c r="AC176" i="17"/>
  <c r="AP171" i="17"/>
  <c r="AQ171" i="17" s="1"/>
  <c r="AS171" i="17" s="1"/>
  <c r="BA176" i="16"/>
  <c r="BD175" i="16"/>
  <c r="AC178" i="16"/>
  <c r="AF177" i="16"/>
  <c r="AO174" i="16"/>
  <c r="AR173" i="16"/>
  <c r="BM175" i="16"/>
  <c r="BP174" i="16"/>
  <c r="BN183" i="14"/>
  <c r="BO183" i="14" s="1"/>
  <c r="BQ183" i="14" s="1"/>
  <c r="BA173" i="14"/>
  <c r="BD172" i="14"/>
  <c r="AO184" i="14"/>
  <c r="AR183" i="14"/>
  <c r="AC125" i="14"/>
  <c r="AF124" i="14"/>
  <c r="U57" i="14"/>
  <c r="I80" i="16" l="1"/>
  <c r="T145" i="17"/>
  <c r="G78" i="19"/>
  <c r="H78" i="19" s="1"/>
  <c r="J78" i="19" s="1"/>
  <c r="R146" i="18"/>
  <c r="S146" i="18" s="1"/>
  <c r="U146" i="18" s="1"/>
  <c r="Q147" i="18" s="1"/>
  <c r="T145" i="18"/>
  <c r="R135" i="16"/>
  <c r="S135" i="16" s="1"/>
  <c r="U135" i="16" s="1"/>
  <c r="Q136" i="16" s="1"/>
  <c r="R146" i="17"/>
  <c r="S146" i="17" s="1"/>
  <c r="U146" i="17" s="1"/>
  <c r="Q147" i="17" s="1"/>
  <c r="T134" i="16"/>
  <c r="F81" i="16"/>
  <c r="K80" i="16"/>
  <c r="G80" i="14"/>
  <c r="H80" i="14" s="1"/>
  <c r="J80" i="14" s="1"/>
  <c r="G81" i="17"/>
  <c r="I81" i="18"/>
  <c r="F82" i="18"/>
  <c r="K81" i="18"/>
  <c r="S83" i="19"/>
  <c r="U83" i="19" s="1"/>
  <c r="AD172" i="19"/>
  <c r="AE172" i="19" s="1"/>
  <c r="AG172" i="19" s="1"/>
  <c r="AP175" i="19"/>
  <c r="AQ175" i="19" s="1"/>
  <c r="AS175" i="19" s="1"/>
  <c r="BB184" i="19"/>
  <c r="BC184" i="19" s="1"/>
  <c r="BE184" i="19" s="1"/>
  <c r="G18" i="1" s="1"/>
  <c r="BM175" i="18"/>
  <c r="AC173" i="18"/>
  <c r="AF172" i="18"/>
  <c r="BA171" i="18"/>
  <c r="BD170" i="18"/>
  <c r="BP174" i="18"/>
  <c r="BD175" i="17"/>
  <c r="AR171" i="17"/>
  <c r="AO172" i="17"/>
  <c r="BA176" i="17"/>
  <c r="AD176" i="17"/>
  <c r="AE176" i="17" s="1"/>
  <c r="AG176" i="17" s="1"/>
  <c r="BN175" i="17"/>
  <c r="AP174" i="16"/>
  <c r="AQ174" i="16" s="1"/>
  <c r="AS174" i="16" s="1"/>
  <c r="AD178" i="16"/>
  <c r="AE178" i="16" s="1"/>
  <c r="AG178" i="16" s="1"/>
  <c r="BN175" i="16"/>
  <c r="BO175" i="16" s="1"/>
  <c r="BQ175" i="16" s="1"/>
  <c r="BB176" i="16"/>
  <c r="BC176" i="16" s="1"/>
  <c r="BE176" i="16" s="1"/>
  <c r="BM184" i="14"/>
  <c r="BP183" i="14"/>
  <c r="BB173" i="14"/>
  <c r="BC173" i="14" s="1"/>
  <c r="BE173" i="14" s="1"/>
  <c r="AP184" i="14"/>
  <c r="AD125" i="14"/>
  <c r="Q58" i="14"/>
  <c r="T57" i="14"/>
  <c r="T146" i="17" l="1"/>
  <c r="R136" i="16"/>
  <c r="S136" i="16" s="1"/>
  <c r="U136" i="16" s="1"/>
  <c r="Q137" i="16" s="1"/>
  <c r="T135" i="16"/>
  <c r="R147" i="18"/>
  <c r="S147" i="18" s="1"/>
  <c r="U147" i="18" s="1"/>
  <c r="Q148" i="18" s="1"/>
  <c r="T146" i="18"/>
  <c r="F79" i="19"/>
  <c r="K78" i="19"/>
  <c r="R147" i="17"/>
  <c r="S147" i="17" s="1"/>
  <c r="U147" i="17" s="1"/>
  <c r="Q148" i="17" s="1"/>
  <c r="I78" i="19"/>
  <c r="K80" i="14"/>
  <c r="F81" i="14"/>
  <c r="I80" i="14"/>
  <c r="G81" i="16"/>
  <c r="H81" i="16" s="1"/>
  <c r="J81" i="16" s="1"/>
  <c r="H81" i="17"/>
  <c r="J81" i="17" s="1"/>
  <c r="G82" i="18"/>
  <c r="H82" i="18" s="1"/>
  <c r="J82" i="18" s="1"/>
  <c r="T83" i="19"/>
  <c r="Q84" i="19"/>
  <c r="R84" i="19" s="1"/>
  <c r="C83" i="15"/>
  <c r="E83" i="15" s="1"/>
  <c r="AO176" i="19"/>
  <c r="AR175" i="19"/>
  <c r="BD184" i="19"/>
  <c r="AC173" i="19"/>
  <c r="AF172" i="19"/>
  <c r="BB171" i="18"/>
  <c r="BC171" i="18" s="1"/>
  <c r="BE171" i="18" s="1"/>
  <c r="AD173" i="18"/>
  <c r="AE173" i="18" s="1"/>
  <c r="AG173" i="18" s="1"/>
  <c r="BN175" i="18"/>
  <c r="BO175" i="18" s="1"/>
  <c r="BQ175" i="18" s="1"/>
  <c r="AP172" i="17"/>
  <c r="AQ172" i="17" s="1"/>
  <c r="AS172" i="17" s="1"/>
  <c r="AF176" i="17"/>
  <c r="AC177" i="17"/>
  <c r="BB176" i="17"/>
  <c r="BC176" i="17" s="1"/>
  <c r="BE176" i="17" s="1"/>
  <c r="BO175" i="17"/>
  <c r="BQ175" i="17" s="1"/>
  <c r="BP175" i="16"/>
  <c r="AC179" i="16"/>
  <c r="AF178" i="16"/>
  <c r="BM176" i="16"/>
  <c r="BA177" i="16"/>
  <c r="AO175" i="16"/>
  <c r="BD176" i="16"/>
  <c r="AR174" i="16"/>
  <c r="BN184" i="14"/>
  <c r="BO184" i="14" s="1"/>
  <c r="BQ184" i="14" s="1"/>
  <c r="BA174" i="14"/>
  <c r="BD173" i="14"/>
  <c r="AQ184" i="14"/>
  <c r="AS184" i="14" s="1"/>
  <c r="AE125" i="14"/>
  <c r="AG125" i="14" s="1"/>
  <c r="R58" i="14"/>
  <c r="S58" i="14" s="1"/>
  <c r="T147" i="18" l="1"/>
  <c r="G79" i="19"/>
  <c r="H79" i="19" s="1"/>
  <c r="J79" i="19" s="1"/>
  <c r="R148" i="18"/>
  <c r="S148" i="18" s="1"/>
  <c r="U148" i="18" s="1"/>
  <c r="Q149" i="18" s="1"/>
  <c r="R148" i="17"/>
  <c r="S148" i="17" s="1"/>
  <c r="U148" i="17" s="1"/>
  <c r="Q149" i="17" s="1"/>
  <c r="T147" i="17"/>
  <c r="R137" i="16"/>
  <c r="S137" i="16" s="1"/>
  <c r="U137" i="16" s="1"/>
  <c r="Q138" i="16" s="1"/>
  <c r="T136" i="16"/>
  <c r="K81" i="16"/>
  <c r="F82" i="16"/>
  <c r="G82" i="16" s="1"/>
  <c r="I81" i="16"/>
  <c r="G81" i="14"/>
  <c r="H81" i="14" s="1"/>
  <c r="J81" i="14" s="1"/>
  <c r="F82" i="17"/>
  <c r="K81" i="17"/>
  <c r="I81" i="17"/>
  <c r="F83" i="18"/>
  <c r="K82" i="18"/>
  <c r="I82" i="18"/>
  <c r="S84" i="19"/>
  <c r="U84" i="19" s="1"/>
  <c r="AD173" i="19"/>
  <c r="AE173" i="19" s="1"/>
  <c r="AG173" i="19" s="1"/>
  <c r="AP176" i="19"/>
  <c r="AQ176" i="19" s="1"/>
  <c r="AS176" i="19" s="1"/>
  <c r="AF173" i="18"/>
  <c r="AC174" i="18"/>
  <c r="BA172" i="18"/>
  <c r="BM176" i="18"/>
  <c r="BD171" i="18"/>
  <c r="BP175" i="18"/>
  <c r="AD177" i="17"/>
  <c r="AE177" i="17" s="1"/>
  <c r="AG177" i="17" s="1"/>
  <c r="AO173" i="17"/>
  <c r="AR172" i="17"/>
  <c r="BM176" i="17"/>
  <c r="BP175" i="17"/>
  <c r="BA177" i="17"/>
  <c r="BD176" i="17"/>
  <c r="AP175" i="16"/>
  <c r="AQ175" i="16" s="1"/>
  <c r="AS175" i="16" s="1"/>
  <c r="BB177" i="16"/>
  <c r="BC177" i="16" s="1"/>
  <c r="BE177" i="16" s="1"/>
  <c r="BN176" i="16"/>
  <c r="BO176" i="16" s="1"/>
  <c r="BQ176" i="16" s="1"/>
  <c r="AD179" i="16"/>
  <c r="AE179" i="16" s="1"/>
  <c r="AG179" i="16" s="1"/>
  <c r="BP184" i="14"/>
  <c r="BB174" i="14"/>
  <c r="AR184" i="14"/>
  <c r="AC126" i="14"/>
  <c r="AF125" i="14"/>
  <c r="U58" i="14"/>
  <c r="T137" i="16" l="1"/>
  <c r="R149" i="17"/>
  <c r="S149" i="17" s="1"/>
  <c r="U149" i="17" s="1"/>
  <c r="Q150" i="17" s="1"/>
  <c r="T148" i="17"/>
  <c r="R149" i="18"/>
  <c r="S149" i="18" s="1"/>
  <c r="U149" i="18" s="1"/>
  <c r="Q150" i="18" s="1"/>
  <c r="T148" i="18"/>
  <c r="K79" i="19"/>
  <c r="F80" i="19"/>
  <c r="R138" i="16"/>
  <c r="S138" i="16" s="1"/>
  <c r="U138" i="16" s="1"/>
  <c r="Q139" i="16" s="1"/>
  <c r="I79" i="19"/>
  <c r="F82" i="14"/>
  <c r="K81" i="14"/>
  <c r="I81" i="14"/>
  <c r="H82" i="16"/>
  <c r="J82" i="16" s="1"/>
  <c r="G82" i="17"/>
  <c r="H82" i="17" s="1"/>
  <c r="J82" i="17" s="1"/>
  <c r="G83" i="18"/>
  <c r="H83" i="18" s="1"/>
  <c r="J83" i="18" s="1"/>
  <c r="T84" i="19"/>
  <c r="Q85" i="19"/>
  <c r="R85" i="19" s="1"/>
  <c r="C84" i="15"/>
  <c r="E84" i="15" s="1"/>
  <c r="AC174" i="19"/>
  <c r="AO177" i="19"/>
  <c r="AR176" i="19"/>
  <c r="AF173" i="19"/>
  <c r="BN176" i="18"/>
  <c r="BO176" i="18" s="1"/>
  <c r="BQ176" i="18" s="1"/>
  <c r="AD174" i="18"/>
  <c r="AE174" i="18" s="1"/>
  <c r="AG174" i="18" s="1"/>
  <c r="BB172" i="18"/>
  <c r="BC172" i="18" s="1"/>
  <c r="BE172" i="18" s="1"/>
  <c r="AP173" i="17"/>
  <c r="AQ173" i="17" s="1"/>
  <c r="AS173" i="17" s="1"/>
  <c r="BB177" i="17"/>
  <c r="BN176" i="17"/>
  <c r="BO176" i="17" s="1"/>
  <c r="BQ176" i="17" s="1"/>
  <c r="AC178" i="17"/>
  <c r="AF177" i="17"/>
  <c r="BP176" i="16"/>
  <c r="BD177" i="16"/>
  <c r="AC180" i="16"/>
  <c r="AO176" i="16"/>
  <c r="AF179" i="16"/>
  <c r="AR175" i="16"/>
  <c r="BM177" i="16"/>
  <c r="BA178" i="16"/>
  <c r="BC174" i="14"/>
  <c r="BE174" i="14" s="1"/>
  <c r="AD126" i="14"/>
  <c r="Q59" i="14"/>
  <c r="T58" i="14"/>
  <c r="T138" i="16" l="1"/>
  <c r="G80" i="19"/>
  <c r="H80" i="19" s="1"/>
  <c r="J80" i="19" s="1"/>
  <c r="R150" i="18"/>
  <c r="S150" i="18" s="1"/>
  <c r="U150" i="18" s="1"/>
  <c r="Q151" i="18" s="1"/>
  <c r="T149" i="18"/>
  <c r="R139" i="16"/>
  <c r="S139" i="16" s="1"/>
  <c r="U139" i="16" s="1"/>
  <c r="Q140" i="16" s="1"/>
  <c r="R140" i="16" s="1"/>
  <c r="R150" i="17"/>
  <c r="S150" i="17" s="1"/>
  <c r="U150" i="17" s="1"/>
  <c r="Q151" i="17" s="1"/>
  <c r="I82" i="16"/>
  <c r="T149" i="17"/>
  <c r="F83" i="16"/>
  <c r="G83" i="16" s="1"/>
  <c r="K82" i="16"/>
  <c r="G82" i="14"/>
  <c r="H82" i="14" s="1"/>
  <c r="J82" i="14" s="1"/>
  <c r="F83" i="17"/>
  <c r="K82" i="17"/>
  <c r="I82" i="17"/>
  <c r="F84" i="18"/>
  <c r="K83" i="18"/>
  <c r="I83" i="18"/>
  <c r="S85" i="19"/>
  <c r="U85" i="19" s="1"/>
  <c r="AP177" i="19"/>
  <c r="AQ177" i="19" s="1"/>
  <c r="AS177" i="19" s="1"/>
  <c r="AD174" i="19"/>
  <c r="AE174" i="19" s="1"/>
  <c r="AG174" i="19" s="1"/>
  <c r="BA173" i="18"/>
  <c r="BM177" i="18"/>
  <c r="AF174" i="18"/>
  <c r="AC175" i="18"/>
  <c r="BP176" i="18"/>
  <c r="BD172" i="18"/>
  <c r="AO174" i="17"/>
  <c r="AR173" i="17"/>
  <c r="BM177" i="17"/>
  <c r="BP176" i="17"/>
  <c r="AD178" i="17"/>
  <c r="AE178" i="17" s="1"/>
  <c r="AG178" i="17" s="1"/>
  <c r="BC177" i="17"/>
  <c r="BE177" i="17" s="1"/>
  <c r="AP176" i="16"/>
  <c r="AQ176" i="16" s="1"/>
  <c r="AS176" i="16" s="1"/>
  <c r="AD180" i="16"/>
  <c r="AE180" i="16" s="1"/>
  <c r="AG180" i="16" s="1"/>
  <c r="BB178" i="16"/>
  <c r="BC178" i="16" s="1"/>
  <c r="BE178" i="16" s="1"/>
  <c r="BN177" i="16"/>
  <c r="BO177" i="16" s="1"/>
  <c r="BQ177" i="16" s="1"/>
  <c r="BA175" i="14"/>
  <c r="BD174" i="14"/>
  <c r="AE126" i="14"/>
  <c r="AG126" i="14" s="1"/>
  <c r="R59" i="14"/>
  <c r="S59" i="14" s="1"/>
  <c r="T150" i="17" l="1"/>
  <c r="T139" i="16"/>
  <c r="S140" i="16"/>
  <c r="U140" i="16" s="1"/>
  <c r="Q141" i="16" s="1"/>
  <c r="R151" i="18"/>
  <c r="S151" i="18" s="1"/>
  <c r="U151" i="18" s="1"/>
  <c r="Q152" i="18" s="1"/>
  <c r="T150" i="18"/>
  <c r="F81" i="19"/>
  <c r="G81" i="19" s="1"/>
  <c r="K80" i="19"/>
  <c r="R151" i="17"/>
  <c r="S151" i="17" s="1"/>
  <c r="U151" i="17" s="1"/>
  <c r="Q152" i="17" s="1"/>
  <c r="I80" i="19"/>
  <c r="K82" i="14"/>
  <c r="F83" i="14"/>
  <c r="I82" i="14"/>
  <c r="H83" i="16"/>
  <c r="J83" i="16" s="1"/>
  <c r="G83" i="17"/>
  <c r="H83" i="17" s="1"/>
  <c r="J83" i="17" s="1"/>
  <c r="G84" i="18"/>
  <c r="T85" i="19"/>
  <c r="Q86" i="19"/>
  <c r="R86" i="19" s="1"/>
  <c r="C85" i="15"/>
  <c r="E85" i="15" s="1"/>
  <c r="BD177" i="17"/>
  <c r="AC175" i="19"/>
  <c r="AF174" i="19"/>
  <c r="AO178" i="19"/>
  <c r="AR177" i="19"/>
  <c r="AD175" i="18"/>
  <c r="AE175" i="18" s="1"/>
  <c r="AG175" i="18" s="1"/>
  <c r="BN177" i="18"/>
  <c r="BO177" i="18" s="1"/>
  <c r="BQ177" i="18" s="1"/>
  <c r="BB173" i="18"/>
  <c r="BC173" i="18" s="1"/>
  <c r="BE173" i="18" s="1"/>
  <c r="AC179" i="17"/>
  <c r="BN177" i="17"/>
  <c r="BO177" i="17" s="1"/>
  <c r="BQ177" i="17" s="1"/>
  <c r="BA178" i="17"/>
  <c r="AF178" i="17"/>
  <c r="AP174" i="17"/>
  <c r="BA179" i="16"/>
  <c r="BP177" i="16"/>
  <c r="BD178" i="16"/>
  <c r="AC181" i="16"/>
  <c r="AF180" i="16"/>
  <c r="AO177" i="16"/>
  <c r="BM178" i="16"/>
  <c r="AR176" i="16"/>
  <c r="BB175" i="14"/>
  <c r="BC175" i="14" s="1"/>
  <c r="BE175" i="14" s="1"/>
  <c r="AC127" i="14"/>
  <c r="AF126" i="14"/>
  <c r="U59" i="14"/>
  <c r="T140" i="16" l="1"/>
  <c r="T151" i="17"/>
  <c r="R152" i="18"/>
  <c r="S152" i="18" s="1"/>
  <c r="U152" i="18" s="1"/>
  <c r="Q153" i="18" s="1"/>
  <c r="T151" i="18"/>
  <c r="R152" i="17"/>
  <c r="S152" i="17" s="1"/>
  <c r="U152" i="17" s="1"/>
  <c r="Q153" i="17" s="1"/>
  <c r="R153" i="17" s="1"/>
  <c r="H81" i="19"/>
  <c r="J81" i="19" s="1"/>
  <c r="R141" i="16"/>
  <c r="S141" i="16" s="1"/>
  <c r="U141" i="16" s="1"/>
  <c r="Q142" i="16" s="1"/>
  <c r="I83" i="16"/>
  <c r="F84" i="16"/>
  <c r="G84" i="16" s="1"/>
  <c r="K83" i="16"/>
  <c r="G83" i="14"/>
  <c r="H83" i="14" s="1"/>
  <c r="J83" i="14" s="1"/>
  <c r="F84" i="17"/>
  <c r="K83" i="17"/>
  <c r="I83" i="17"/>
  <c r="H84" i="18"/>
  <c r="J84" i="18" s="1"/>
  <c r="S86" i="19"/>
  <c r="U86" i="19" s="1"/>
  <c r="AD175" i="19"/>
  <c r="AE175" i="19" s="1"/>
  <c r="AG175" i="19" s="1"/>
  <c r="AP178" i="19"/>
  <c r="AQ178" i="19" s="1"/>
  <c r="AS178" i="19" s="1"/>
  <c r="BA174" i="18"/>
  <c r="AC176" i="18"/>
  <c r="BM178" i="18"/>
  <c r="BP177" i="18"/>
  <c r="BD173" i="18"/>
  <c r="AF175" i="18"/>
  <c r="BB178" i="17"/>
  <c r="BC178" i="17" s="1"/>
  <c r="BE178" i="17" s="1"/>
  <c r="BM178" i="17"/>
  <c r="BP177" i="17"/>
  <c r="AD179" i="17"/>
  <c r="AE179" i="17" s="1"/>
  <c r="AG179" i="17" s="1"/>
  <c r="AQ174" i="17"/>
  <c r="AS174" i="17" s="1"/>
  <c r="AD181" i="16"/>
  <c r="AE181" i="16" s="1"/>
  <c r="AG181" i="16" s="1"/>
  <c r="AP177" i="16"/>
  <c r="AQ177" i="16" s="1"/>
  <c r="AS177" i="16" s="1"/>
  <c r="BB179" i="16"/>
  <c r="BC179" i="16" s="1"/>
  <c r="BE179" i="16" s="1"/>
  <c r="BN178" i="16"/>
  <c r="BO178" i="16" s="1"/>
  <c r="BQ178" i="16" s="1"/>
  <c r="BA176" i="14"/>
  <c r="BD175" i="14"/>
  <c r="AD127" i="14"/>
  <c r="Q60" i="14"/>
  <c r="T59" i="14"/>
  <c r="T141" i="16" l="1"/>
  <c r="I81" i="19"/>
  <c r="K81" i="19"/>
  <c r="F82" i="19"/>
  <c r="S153" i="17"/>
  <c r="U153" i="17" s="1"/>
  <c r="Q154" i="17" s="1"/>
  <c r="T152" i="17"/>
  <c r="R153" i="18"/>
  <c r="R142" i="16"/>
  <c r="S142" i="16" s="1"/>
  <c r="U142" i="16" s="1"/>
  <c r="Q143" i="16" s="1"/>
  <c r="T152" i="18"/>
  <c r="F84" i="14"/>
  <c r="K83" i="14"/>
  <c r="I83" i="14"/>
  <c r="H84" i="16"/>
  <c r="J84" i="16" s="1"/>
  <c r="G84" i="17"/>
  <c r="H84" i="17" s="1"/>
  <c r="J84" i="17" s="1"/>
  <c r="F85" i="18"/>
  <c r="G85" i="18" s="1"/>
  <c r="K84" i="18"/>
  <c r="I84" i="18"/>
  <c r="T86" i="19"/>
  <c r="Q87" i="19"/>
  <c r="C86" i="15"/>
  <c r="E86" i="15" s="1"/>
  <c r="AO179" i="19"/>
  <c r="AR178" i="19"/>
  <c r="AC176" i="19"/>
  <c r="AF175" i="19"/>
  <c r="BN178" i="18"/>
  <c r="BO178" i="18" s="1"/>
  <c r="BQ178" i="18" s="1"/>
  <c r="AD176" i="18"/>
  <c r="AE176" i="18" s="1"/>
  <c r="AG176" i="18" s="1"/>
  <c r="BB174" i="18"/>
  <c r="BC174" i="18" s="1"/>
  <c r="BE174" i="18" s="1"/>
  <c r="BN178" i="17"/>
  <c r="BO178" i="17" s="1"/>
  <c r="BQ178" i="17" s="1"/>
  <c r="AO175" i="17"/>
  <c r="BA179" i="17"/>
  <c r="BD178" i="17"/>
  <c r="AC180" i="17"/>
  <c r="AF179" i="17"/>
  <c r="AR174" i="17"/>
  <c r="BA180" i="16"/>
  <c r="AO178" i="16"/>
  <c r="BP178" i="16"/>
  <c r="AR177" i="16"/>
  <c r="AC182" i="16"/>
  <c r="BM179" i="16"/>
  <c r="BD179" i="16"/>
  <c r="AF181" i="16"/>
  <c r="BB176" i="14"/>
  <c r="BC176" i="14" s="1"/>
  <c r="BE176" i="14" s="1"/>
  <c r="AE127" i="14"/>
  <c r="AG127" i="14" s="1"/>
  <c r="R60" i="14"/>
  <c r="S60" i="14" s="1"/>
  <c r="S153" i="18" l="1"/>
  <c r="U153" i="18" s="1"/>
  <c r="Q154" i="18" s="1"/>
  <c r="R154" i="18" s="1"/>
  <c r="T153" i="17"/>
  <c r="R154" i="17"/>
  <c r="S154" i="17" s="1"/>
  <c r="U154" i="17" s="1"/>
  <c r="Q155" i="17" s="1"/>
  <c r="R143" i="16"/>
  <c r="S143" i="16" s="1"/>
  <c r="U143" i="16" s="1"/>
  <c r="Q144" i="16" s="1"/>
  <c r="G82" i="19"/>
  <c r="H82" i="19" s="1"/>
  <c r="J82" i="19" s="1"/>
  <c r="T142" i="16"/>
  <c r="I84" i="16"/>
  <c r="F85" i="16"/>
  <c r="G85" i="16" s="1"/>
  <c r="K84" i="16"/>
  <c r="G84" i="14"/>
  <c r="H84" i="14" s="1"/>
  <c r="J84" i="14" s="1"/>
  <c r="F85" i="17"/>
  <c r="K84" i="17"/>
  <c r="I84" i="17"/>
  <c r="H85" i="18"/>
  <c r="J85" i="18" s="1"/>
  <c r="R87" i="19"/>
  <c r="AD176" i="19"/>
  <c r="AE176" i="19" s="1"/>
  <c r="AG176" i="19" s="1"/>
  <c r="AP179" i="19"/>
  <c r="AQ179" i="19" s="1"/>
  <c r="AS179" i="19" s="1"/>
  <c r="AC177" i="18"/>
  <c r="AF176" i="18"/>
  <c r="BA175" i="18"/>
  <c r="BM179" i="18"/>
  <c r="BD174" i="18"/>
  <c r="BP178" i="18"/>
  <c r="BB179" i="17"/>
  <c r="BC179" i="17" s="1"/>
  <c r="BE179" i="17" s="1"/>
  <c r="AP175" i="17"/>
  <c r="AD180" i="17"/>
  <c r="AE180" i="17" s="1"/>
  <c r="AG180" i="17" s="1"/>
  <c r="BM179" i="17"/>
  <c r="BP178" i="17"/>
  <c r="BN179" i="16"/>
  <c r="BO179" i="16" s="1"/>
  <c r="BQ179" i="16" s="1"/>
  <c r="BB180" i="16"/>
  <c r="BC180" i="16" s="1"/>
  <c r="BE180" i="16" s="1"/>
  <c r="AD182" i="16"/>
  <c r="AE182" i="16" s="1"/>
  <c r="AG182" i="16" s="1"/>
  <c r="AP178" i="16"/>
  <c r="AQ178" i="16" s="1"/>
  <c r="AS178" i="16" s="1"/>
  <c r="BA177" i="14"/>
  <c r="BD176" i="14"/>
  <c r="AC128" i="14"/>
  <c r="AF127" i="14"/>
  <c r="U60" i="14"/>
  <c r="S154" i="18" l="1"/>
  <c r="U154" i="18" s="1"/>
  <c r="Q155" i="18" s="1"/>
  <c r="R155" i="18" s="1"/>
  <c r="S155" i="18" s="1"/>
  <c r="U155" i="18" s="1"/>
  <c r="Q156" i="18" s="1"/>
  <c r="T153" i="18"/>
  <c r="K82" i="19"/>
  <c r="F83" i="19"/>
  <c r="I82" i="19"/>
  <c r="R144" i="16"/>
  <c r="S144" i="16" s="1"/>
  <c r="U144" i="16" s="1"/>
  <c r="Q145" i="16" s="1"/>
  <c r="T143" i="16"/>
  <c r="R155" i="17"/>
  <c r="S155" i="17" s="1"/>
  <c r="U155" i="17" s="1"/>
  <c r="Q156" i="17" s="1"/>
  <c r="T154" i="17"/>
  <c r="K84" i="14"/>
  <c r="F85" i="14"/>
  <c r="I84" i="14"/>
  <c r="H85" i="16"/>
  <c r="J85" i="16" s="1"/>
  <c r="I85" i="18"/>
  <c r="G85" i="17"/>
  <c r="H85" i="17" s="1"/>
  <c r="J85" i="17" s="1"/>
  <c r="F86" i="18"/>
  <c r="K85" i="18"/>
  <c r="S87" i="19"/>
  <c r="U87" i="19" s="1"/>
  <c r="AO180" i="19"/>
  <c r="AR179" i="19"/>
  <c r="AC177" i="19"/>
  <c r="AF176" i="19"/>
  <c r="BB175" i="18"/>
  <c r="BC175" i="18" s="1"/>
  <c r="BE175" i="18" s="1"/>
  <c r="BN179" i="18"/>
  <c r="AD177" i="18"/>
  <c r="AC181" i="17"/>
  <c r="BA180" i="17"/>
  <c r="BN179" i="17"/>
  <c r="BO179" i="17" s="1"/>
  <c r="BQ179" i="17" s="1"/>
  <c r="AF180" i="17"/>
  <c r="BD179" i="17"/>
  <c r="AQ175" i="17"/>
  <c r="AS175" i="17" s="1"/>
  <c r="BD180" i="16"/>
  <c r="BP179" i="16"/>
  <c r="BA181" i="16"/>
  <c r="AO179" i="16"/>
  <c r="BM180" i="16"/>
  <c r="AR178" i="16"/>
  <c r="AC183" i="16"/>
  <c r="AF182" i="16"/>
  <c r="BB177" i="14"/>
  <c r="BC177" i="14" s="1"/>
  <c r="BE177" i="14" s="1"/>
  <c r="AD128" i="14"/>
  <c r="Q61" i="14"/>
  <c r="T60" i="14"/>
  <c r="T154" i="18" l="1"/>
  <c r="R145" i="16"/>
  <c r="S145" i="16" s="1"/>
  <c r="U145" i="16" s="1"/>
  <c r="Q146" i="16" s="1"/>
  <c r="I85" i="16"/>
  <c r="T144" i="16"/>
  <c r="R156" i="17"/>
  <c r="S156" i="17" s="1"/>
  <c r="U156" i="17" s="1"/>
  <c r="Q157" i="17" s="1"/>
  <c r="R156" i="18"/>
  <c r="S156" i="18" s="1"/>
  <c r="U156" i="18" s="1"/>
  <c r="Q157" i="18" s="1"/>
  <c r="G83" i="19"/>
  <c r="H83" i="19" s="1"/>
  <c r="J83" i="19" s="1"/>
  <c r="T155" i="17"/>
  <c r="T155" i="18"/>
  <c r="K85" i="16"/>
  <c r="F86" i="16"/>
  <c r="G86" i="16" s="1"/>
  <c r="G85" i="14"/>
  <c r="H85" i="14" s="1"/>
  <c r="J85" i="14" s="1"/>
  <c r="F86" i="17"/>
  <c r="G86" i="17" s="1"/>
  <c r="K85" i="17"/>
  <c r="I85" i="17"/>
  <c r="G86" i="18"/>
  <c r="H86" i="18" s="1"/>
  <c r="J86" i="18" s="1"/>
  <c r="Q88" i="19"/>
  <c r="R88" i="19" s="1"/>
  <c r="C87" i="15"/>
  <c r="E87" i="15" s="1"/>
  <c r="T87" i="19"/>
  <c r="AE177" i="18"/>
  <c r="AG177" i="18" s="1"/>
  <c r="AC178" i="18" s="1"/>
  <c r="AD177" i="19"/>
  <c r="AE177" i="19" s="1"/>
  <c r="AG177" i="19" s="1"/>
  <c r="AP180" i="19"/>
  <c r="AQ180" i="19" s="1"/>
  <c r="AS180" i="19" s="1"/>
  <c r="BA176" i="18"/>
  <c r="BD175" i="18"/>
  <c r="BO179" i="18"/>
  <c r="BQ179" i="18" s="1"/>
  <c r="AO176" i="17"/>
  <c r="AR175" i="17"/>
  <c r="BB180" i="17"/>
  <c r="BC180" i="17" s="1"/>
  <c r="BE180" i="17" s="1"/>
  <c r="BM180" i="17"/>
  <c r="BP179" i="17"/>
  <c r="AD181" i="17"/>
  <c r="AE181" i="17" s="1"/>
  <c r="AG181" i="17" s="1"/>
  <c r="AD183" i="16"/>
  <c r="AE183" i="16" s="1"/>
  <c r="AG183" i="16" s="1"/>
  <c r="AP179" i="16"/>
  <c r="AQ179" i="16" s="1"/>
  <c r="AS179" i="16" s="1"/>
  <c r="BB181" i="16"/>
  <c r="BC181" i="16" s="1"/>
  <c r="BE181" i="16" s="1"/>
  <c r="BN180" i="16"/>
  <c r="BO180" i="16" s="1"/>
  <c r="BQ180" i="16" s="1"/>
  <c r="BA178" i="14"/>
  <c r="BD177" i="14"/>
  <c r="AE128" i="14"/>
  <c r="AG128" i="14" s="1"/>
  <c r="R61" i="14"/>
  <c r="S61" i="14" s="1"/>
  <c r="T145" i="16" l="1"/>
  <c r="K83" i="19"/>
  <c r="F84" i="19"/>
  <c r="R157" i="18"/>
  <c r="S157" i="18" s="1"/>
  <c r="U157" i="18" s="1"/>
  <c r="Q158" i="18" s="1"/>
  <c r="T156" i="18"/>
  <c r="R157" i="17"/>
  <c r="S157" i="17" s="1"/>
  <c r="U157" i="17" s="1"/>
  <c r="Q158" i="17" s="1"/>
  <c r="T156" i="17"/>
  <c r="R146" i="16"/>
  <c r="S146" i="16" s="1"/>
  <c r="U146" i="16" s="1"/>
  <c r="Q147" i="16" s="1"/>
  <c r="I83" i="19"/>
  <c r="F86" i="14"/>
  <c r="K85" i="14"/>
  <c r="I85" i="14"/>
  <c r="H86" i="16"/>
  <c r="J86" i="16" s="1"/>
  <c r="H86" i="17"/>
  <c r="J86" i="17" s="1"/>
  <c r="I86" i="18"/>
  <c r="F87" i="18"/>
  <c r="K86" i="18"/>
  <c r="S88" i="19"/>
  <c r="U88" i="19" s="1"/>
  <c r="AF177" i="18"/>
  <c r="AO181" i="19"/>
  <c r="AR180" i="19"/>
  <c r="AC178" i="19"/>
  <c r="AF177" i="19"/>
  <c r="AD178" i="18"/>
  <c r="AE178" i="18" s="1"/>
  <c r="AG178" i="18" s="1"/>
  <c r="BB176" i="18"/>
  <c r="BC176" i="18" s="1"/>
  <c r="BE176" i="18" s="1"/>
  <c r="BM180" i="18"/>
  <c r="BP179" i="18"/>
  <c r="BN180" i="17"/>
  <c r="BO180" i="17" s="1"/>
  <c r="BQ180" i="17" s="1"/>
  <c r="BA181" i="17"/>
  <c r="BD180" i="17"/>
  <c r="AC182" i="17"/>
  <c r="AF181" i="17"/>
  <c r="AP176" i="17"/>
  <c r="AQ176" i="17" s="1"/>
  <c r="AS176" i="17" s="1"/>
  <c r="AO180" i="16"/>
  <c r="AC184" i="16"/>
  <c r="AF183" i="16"/>
  <c r="AR179" i="16"/>
  <c r="BM181" i="16"/>
  <c r="BP180" i="16"/>
  <c r="BA182" i="16"/>
  <c r="BD181" i="16"/>
  <c r="BB178" i="14"/>
  <c r="BC178" i="14" s="1"/>
  <c r="BE178" i="14" s="1"/>
  <c r="AC129" i="14"/>
  <c r="AF128" i="14"/>
  <c r="U61" i="14"/>
  <c r="I86" i="16" l="1"/>
  <c r="T157" i="17"/>
  <c r="R158" i="17"/>
  <c r="S158" i="17" s="1"/>
  <c r="U158" i="17" s="1"/>
  <c r="Q159" i="17" s="1"/>
  <c r="R158" i="18"/>
  <c r="S158" i="18" s="1"/>
  <c r="U158" i="18" s="1"/>
  <c r="Q159" i="18" s="1"/>
  <c r="R159" i="18" s="1"/>
  <c r="T157" i="18"/>
  <c r="R147" i="16"/>
  <c r="G84" i="19"/>
  <c r="H84" i="19" s="1"/>
  <c r="J84" i="19" s="1"/>
  <c r="T146" i="16"/>
  <c r="F87" i="16"/>
  <c r="G87" i="16" s="1"/>
  <c r="K86" i="16"/>
  <c r="G86" i="14"/>
  <c r="H86" i="14" s="1"/>
  <c r="J86" i="14" s="1"/>
  <c r="I86" i="17"/>
  <c r="F87" i="17"/>
  <c r="K86" i="17"/>
  <c r="G87" i="18"/>
  <c r="H87" i="18" s="1"/>
  <c r="J87" i="18" s="1"/>
  <c r="T88" i="19"/>
  <c r="Q89" i="19"/>
  <c r="R89" i="19" s="1"/>
  <c r="C88" i="15"/>
  <c r="E88" i="15" s="1"/>
  <c r="AD178" i="19"/>
  <c r="AE178" i="19" s="1"/>
  <c r="AG178" i="19" s="1"/>
  <c r="AP181" i="19"/>
  <c r="AQ181" i="19" s="1"/>
  <c r="AS181" i="19" s="1"/>
  <c r="BN180" i="18"/>
  <c r="BO180" i="18" s="1"/>
  <c r="BQ180" i="18" s="1"/>
  <c r="BA177" i="18"/>
  <c r="BD176" i="18"/>
  <c r="AC179" i="18"/>
  <c r="AF178" i="18"/>
  <c r="BB181" i="17"/>
  <c r="BC181" i="17" s="1"/>
  <c r="BE181" i="17" s="1"/>
  <c r="AR176" i="17"/>
  <c r="BM181" i="17"/>
  <c r="AO177" i="17"/>
  <c r="BP180" i="17"/>
  <c r="AD182" i="17"/>
  <c r="AE182" i="17" s="1"/>
  <c r="AG182" i="17" s="1"/>
  <c r="AD184" i="16"/>
  <c r="AE184" i="16" s="1"/>
  <c r="AG184" i="16" s="1"/>
  <c r="E22" i="1" s="1"/>
  <c r="BB182" i="16"/>
  <c r="BC182" i="16" s="1"/>
  <c r="BE182" i="16" s="1"/>
  <c r="AP180" i="16"/>
  <c r="AQ180" i="16" s="1"/>
  <c r="AS180" i="16" s="1"/>
  <c r="BN181" i="16"/>
  <c r="BO181" i="16" s="1"/>
  <c r="BQ181" i="16" s="1"/>
  <c r="BA179" i="14"/>
  <c r="BD178" i="14"/>
  <c r="AD129" i="14"/>
  <c r="Q62" i="14"/>
  <c r="T61" i="14"/>
  <c r="S147" i="16" l="1"/>
  <c r="U147" i="16" s="1"/>
  <c r="Q148" i="16" s="1"/>
  <c r="R148" i="16" s="1"/>
  <c r="S148" i="16" s="1"/>
  <c r="U148" i="16" s="1"/>
  <c r="Q149" i="16" s="1"/>
  <c r="S159" i="18"/>
  <c r="U159" i="18" s="1"/>
  <c r="Q160" i="18" s="1"/>
  <c r="T158" i="18"/>
  <c r="R159" i="17"/>
  <c r="S159" i="17" s="1"/>
  <c r="U159" i="17" s="1"/>
  <c r="Q160" i="17" s="1"/>
  <c r="K84" i="19"/>
  <c r="F85" i="19"/>
  <c r="G85" i="19" s="1"/>
  <c r="T158" i="17"/>
  <c r="I84" i="19"/>
  <c r="F87" i="14"/>
  <c r="K86" i="14"/>
  <c r="I86" i="14"/>
  <c r="H87" i="16"/>
  <c r="J87" i="16" s="1"/>
  <c r="G87" i="17"/>
  <c r="H87" i="17" s="1"/>
  <c r="J87" i="17" s="1"/>
  <c r="F88" i="18"/>
  <c r="K87" i="18"/>
  <c r="I87" i="18"/>
  <c r="S89" i="19"/>
  <c r="U89" i="19" s="1"/>
  <c r="AC179" i="19"/>
  <c r="AR181" i="19"/>
  <c r="AO182" i="19"/>
  <c r="AF178" i="19"/>
  <c r="BB177" i="18"/>
  <c r="BC177" i="18" s="1"/>
  <c r="BE177" i="18" s="1"/>
  <c r="AD179" i="18"/>
  <c r="AE179" i="18" s="1"/>
  <c r="AG179" i="18" s="1"/>
  <c r="BM181" i="18"/>
  <c r="BP180" i="18"/>
  <c r="AC183" i="17"/>
  <c r="BN181" i="17"/>
  <c r="BO181" i="17" s="1"/>
  <c r="BQ181" i="17" s="1"/>
  <c r="BA182" i="17"/>
  <c r="AF182" i="17"/>
  <c r="AP177" i="17"/>
  <c r="AQ177" i="17" s="1"/>
  <c r="AS177" i="17" s="1"/>
  <c r="BD181" i="17"/>
  <c r="BA183" i="16"/>
  <c r="BD182" i="16"/>
  <c r="BM182" i="16"/>
  <c r="BP181" i="16"/>
  <c r="AF184" i="16"/>
  <c r="AO181" i="16"/>
  <c r="AR180" i="16"/>
  <c r="BB179" i="14"/>
  <c r="BC179" i="14" s="1"/>
  <c r="BE179" i="14" s="1"/>
  <c r="AE129" i="14"/>
  <c r="AG129" i="14" s="1"/>
  <c r="R62" i="14"/>
  <c r="S62" i="14" s="1"/>
  <c r="T159" i="18" l="1"/>
  <c r="T147" i="16"/>
  <c r="H85" i="19"/>
  <c r="J85" i="19" s="1"/>
  <c r="R160" i="17"/>
  <c r="S160" i="17" s="1"/>
  <c r="U160" i="17" s="1"/>
  <c r="Q161" i="17" s="1"/>
  <c r="R149" i="16"/>
  <c r="S149" i="16" s="1"/>
  <c r="U149" i="16" s="1"/>
  <c r="Q150" i="16" s="1"/>
  <c r="R150" i="16" s="1"/>
  <c r="T159" i="17"/>
  <c r="T148" i="16"/>
  <c r="R160" i="18"/>
  <c r="S160" i="18" s="1"/>
  <c r="U160" i="18" s="1"/>
  <c r="Q161" i="18" s="1"/>
  <c r="I87" i="16"/>
  <c r="F88" i="16"/>
  <c r="G88" i="16" s="1"/>
  <c r="K87" i="16"/>
  <c r="G87" i="14"/>
  <c r="H87" i="14" s="1"/>
  <c r="J87" i="14" s="1"/>
  <c r="F88" i="17"/>
  <c r="K87" i="17"/>
  <c r="I87" i="17"/>
  <c r="G88" i="18"/>
  <c r="H88" i="18" s="1"/>
  <c r="J88" i="18" s="1"/>
  <c r="T89" i="19"/>
  <c r="Q90" i="19"/>
  <c r="R90" i="19" s="1"/>
  <c r="C89" i="15"/>
  <c r="E89" i="15" s="1"/>
  <c r="AP182" i="19"/>
  <c r="AQ182" i="19" s="1"/>
  <c r="AS182" i="19" s="1"/>
  <c r="AD179" i="19"/>
  <c r="AE179" i="19" s="1"/>
  <c r="AG179" i="19" s="1"/>
  <c r="AC180" i="18"/>
  <c r="AF179" i="18"/>
  <c r="BN181" i="18"/>
  <c r="BO181" i="18" s="1"/>
  <c r="BQ181" i="18" s="1"/>
  <c r="BA178" i="18"/>
  <c r="BD177" i="18"/>
  <c r="BM182" i="17"/>
  <c r="BP181" i="17"/>
  <c r="AO178" i="17"/>
  <c r="BB182" i="17"/>
  <c r="BC182" i="17" s="1"/>
  <c r="BE182" i="17" s="1"/>
  <c r="AR177" i="17"/>
  <c r="AD183" i="17"/>
  <c r="AE183" i="17" s="1"/>
  <c r="AG183" i="17" s="1"/>
  <c r="AP181" i="16"/>
  <c r="AQ181" i="16" s="1"/>
  <c r="AS181" i="16" s="1"/>
  <c r="BB183" i="16"/>
  <c r="BC183" i="16" s="1"/>
  <c r="BE183" i="16" s="1"/>
  <c r="BN182" i="16"/>
  <c r="BO182" i="16" s="1"/>
  <c r="BQ182" i="16" s="1"/>
  <c r="BA180" i="14"/>
  <c r="BD179" i="14"/>
  <c r="AC130" i="14"/>
  <c r="AF129" i="14"/>
  <c r="U62" i="14"/>
  <c r="I85" i="19" l="1"/>
  <c r="S150" i="16"/>
  <c r="U150" i="16" s="1"/>
  <c r="Q151" i="16" s="1"/>
  <c r="T149" i="16"/>
  <c r="R161" i="17"/>
  <c r="S161" i="17" s="1"/>
  <c r="U161" i="17" s="1"/>
  <c r="Q162" i="17" s="1"/>
  <c r="T160" i="17"/>
  <c r="R161" i="18"/>
  <c r="S161" i="18" s="1"/>
  <c r="U161" i="18" s="1"/>
  <c r="Q162" i="18" s="1"/>
  <c r="T160" i="18"/>
  <c r="F86" i="19"/>
  <c r="G86" i="19" s="1"/>
  <c r="K85" i="19"/>
  <c r="F88" i="14"/>
  <c r="K87" i="14"/>
  <c r="I87" i="14"/>
  <c r="H88" i="16"/>
  <c r="J88" i="16" s="1"/>
  <c r="G88" i="17"/>
  <c r="H88" i="17" s="1"/>
  <c r="J88" i="17" s="1"/>
  <c r="F89" i="18"/>
  <c r="K88" i="18"/>
  <c r="Y10" i="1" s="1"/>
  <c r="I88" i="18"/>
  <c r="S90" i="19"/>
  <c r="U90" i="19" s="1"/>
  <c r="AC180" i="19"/>
  <c r="AF179" i="19"/>
  <c r="AO183" i="19"/>
  <c r="AR182" i="19"/>
  <c r="BM182" i="18"/>
  <c r="BB178" i="18"/>
  <c r="BC178" i="18" s="1"/>
  <c r="BE178" i="18" s="1"/>
  <c r="BP181" i="18"/>
  <c r="AD180" i="18"/>
  <c r="AE180" i="18" s="1"/>
  <c r="AG180" i="18" s="1"/>
  <c r="AF183" i="17"/>
  <c r="AP178" i="17"/>
  <c r="AQ178" i="17" s="1"/>
  <c r="AS178" i="17" s="1"/>
  <c r="AC184" i="17"/>
  <c r="BN182" i="17"/>
  <c r="BO182" i="17" s="1"/>
  <c r="BQ182" i="17" s="1"/>
  <c r="BA183" i="17"/>
  <c r="BD182" i="17"/>
  <c r="BD183" i="16"/>
  <c r="BA184" i="16"/>
  <c r="BM183" i="16"/>
  <c r="AO182" i="16"/>
  <c r="BP182" i="16"/>
  <c r="AR181" i="16"/>
  <c r="BB180" i="14"/>
  <c r="AD130" i="14"/>
  <c r="Q63" i="14"/>
  <c r="T62" i="14"/>
  <c r="T150" i="16" l="1"/>
  <c r="R162" i="18"/>
  <c r="S162" i="18" s="1"/>
  <c r="U162" i="18" s="1"/>
  <c r="Q163" i="18" s="1"/>
  <c r="T161" i="18"/>
  <c r="R162" i="17"/>
  <c r="S162" i="17" s="1"/>
  <c r="U162" i="17" s="1"/>
  <c r="Q163" i="17" s="1"/>
  <c r="T161" i="17"/>
  <c r="H86" i="19"/>
  <c r="J86" i="19" s="1"/>
  <c r="I88" i="16"/>
  <c r="R151" i="16"/>
  <c r="S151" i="16" s="1"/>
  <c r="U151" i="16" s="1"/>
  <c r="Q152" i="16" s="1"/>
  <c r="F89" i="16"/>
  <c r="G89" i="16" s="1"/>
  <c r="K88" i="16"/>
  <c r="S10" i="1" s="1"/>
  <c r="G88" i="14"/>
  <c r="H88" i="14" s="1"/>
  <c r="J88" i="14" s="1"/>
  <c r="F89" i="17"/>
  <c r="K88" i="17"/>
  <c r="V10" i="1" s="1"/>
  <c r="I88" i="17"/>
  <c r="G89" i="18"/>
  <c r="H89" i="18" s="1"/>
  <c r="J89" i="18" s="1"/>
  <c r="T90" i="19"/>
  <c r="Q91" i="19"/>
  <c r="C90" i="15"/>
  <c r="E90" i="15" s="1"/>
  <c r="AD180" i="19"/>
  <c r="AE180" i="19" s="1"/>
  <c r="AG180" i="19" s="1"/>
  <c r="AP183" i="19"/>
  <c r="AQ183" i="19" s="1"/>
  <c r="AS183" i="19" s="1"/>
  <c r="BD178" i="18"/>
  <c r="BA179" i="18"/>
  <c r="AC181" i="18"/>
  <c r="AF180" i="18"/>
  <c r="BN182" i="18"/>
  <c r="BO182" i="18" s="1"/>
  <c r="BQ182" i="18" s="1"/>
  <c r="AO179" i="17"/>
  <c r="BB183" i="17"/>
  <c r="BC183" i="17" s="1"/>
  <c r="BE183" i="17" s="1"/>
  <c r="AD184" i="17"/>
  <c r="AE184" i="17" s="1"/>
  <c r="AG184" i="17" s="1"/>
  <c r="E23" i="1" s="1"/>
  <c r="BM183" i="17"/>
  <c r="AR178" i="17"/>
  <c r="BP182" i="17"/>
  <c r="BB184" i="16"/>
  <c r="BC184" i="16" s="1"/>
  <c r="BE184" i="16" s="1"/>
  <c r="G22" i="1" s="1"/>
  <c r="AP182" i="16"/>
  <c r="AQ182" i="16" s="1"/>
  <c r="AS182" i="16" s="1"/>
  <c r="BN183" i="16"/>
  <c r="BO183" i="16" s="1"/>
  <c r="BQ183" i="16" s="1"/>
  <c r="BC180" i="14"/>
  <c r="BE180" i="14" s="1"/>
  <c r="AE130" i="14"/>
  <c r="AG130" i="14" s="1"/>
  <c r="R63" i="14"/>
  <c r="S63" i="14" s="1"/>
  <c r="I86" i="19" l="1"/>
  <c r="K86" i="19"/>
  <c r="F87" i="19"/>
  <c r="R163" i="17"/>
  <c r="S163" i="17" s="1"/>
  <c r="U163" i="17" s="1"/>
  <c r="Q164" i="17" s="1"/>
  <c r="T162" i="17"/>
  <c r="R152" i="16"/>
  <c r="S152" i="16" s="1"/>
  <c r="U152" i="16" s="1"/>
  <c r="Q153" i="16" s="1"/>
  <c r="T151" i="16"/>
  <c r="R163" i="18"/>
  <c r="S163" i="18" s="1"/>
  <c r="U163" i="18" s="1"/>
  <c r="Q164" i="18" s="1"/>
  <c r="T162" i="18"/>
  <c r="K88" i="14"/>
  <c r="P10" i="1" s="1"/>
  <c r="F89" i="14"/>
  <c r="I88" i="14"/>
  <c r="H89" i="16"/>
  <c r="J89" i="16" s="1"/>
  <c r="G89" i="17"/>
  <c r="H89" i="17" s="1"/>
  <c r="J89" i="17" s="1"/>
  <c r="F90" i="18"/>
  <c r="K89" i="18"/>
  <c r="I89" i="18"/>
  <c r="R91" i="19"/>
  <c r="S91" i="19" s="1"/>
  <c r="U91" i="19" s="1"/>
  <c r="AC181" i="19"/>
  <c r="AO184" i="19"/>
  <c r="AR183" i="19"/>
  <c r="AF180" i="19"/>
  <c r="BM183" i="18"/>
  <c r="BP182" i="18"/>
  <c r="BB179" i="18"/>
  <c r="BC179" i="18" s="1"/>
  <c r="BE179" i="18" s="1"/>
  <c r="AD181" i="18"/>
  <c r="AE181" i="18" s="1"/>
  <c r="AG181" i="18" s="1"/>
  <c r="BD183" i="17"/>
  <c r="BN183" i="17"/>
  <c r="BO183" i="17" s="1"/>
  <c r="BQ183" i="17" s="1"/>
  <c r="BA184" i="17"/>
  <c r="AF184" i="17"/>
  <c r="AP179" i="17"/>
  <c r="AQ179" i="17" s="1"/>
  <c r="AS179" i="17" s="1"/>
  <c r="BM184" i="16"/>
  <c r="BP183" i="16"/>
  <c r="AO183" i="16"/>
  <c r="AR182" i="16"/>
  <c r="BD184" i="16"/>
  <c r="BA181" i="14"/>
  <c r="BD180" i="14"/>
  <c r="AC131" i="14"/>
  <c r="AF130" i="14"/>
  <c r="U63" i="14"/>
  <c r="T152" i="16" l="1"/>
  <c r="R164" i="17"/>
  <c r="S164" i="17" s="1"/>
  <c r="U164" i="17" s="1"/>
  <c r="Q165" i="17" s="1"/>
  <c r="T163" i="17"/>
  <c r="R164" i="18"/>
  <c r="S164" i="18" s="1"/>
  <c r="U164" i="18" s="1"/>
  <c r="Q165" i="18" s="1"/>
  <c r="R153" i="16"/>
  <c r="S153" i="16" s="1"/>
  <c r="U153" i="16" s="1"/>
  <c r="Q154" i="16" s="1"/>
  <c r="T163" i="18"/>
  <c r="G87" i="19"/>
  <c r="H87" i="19" s="1"/>
  <c r="J87" i="19" s="1"/>
  <c r="I89" i="16"/>
  <c r="K89" i="16"/>
  <c r="F90" i="16"/>
  <c r="G89" i="14"/>
  <c r="H89" i="14" s="1"/>
  <c r="J89" i="14" s="1"/>
  <c r="F90" i="17"/>
  <c r="G90" i="17" s="1"/>
  <c r="K89" i="17"/>
  <c r="I89" i="17"/>
  <c r="G90" i="18"/>
  <c r="H90" i="18" s="1"/>
  <c r="J90" i="18" s="1"/>
  <c r="C91" i="15"/>
  <c r="E91" i="15" s="1"/>
  <c r="Q92" i="19"/>
  <c r="R92" i="19" s="1"/>
  <c r="T91" i="19"/>
  <c r="BD179" i="18"/>
  <c r="AP184" i="19"/>
  <c r="AQ184" i="19" s="1"/>
  <c r="AS184" i="19" s="1"/>
  <c r="F18" i="1" s="1"/>
  <c r="AD181" i="19"/>
  <c r="AE181" i="19" s="1"/>
  <c r="AG181" i="19" s="1"/>
  <c r="BN183" i="18"/>
  <c r="BO183" i="18" s="1"/>
  <c r="BQ183" i="18" s="1"/>
  <c r="AC182" i="18"/>
  <c r="AF181" i="18"/>
  <c r="BA180" i="18"/>
  <c r="BM184" i="17"/>
  <c r="AR179" i="17"/>
  <c r="BB184" i="17"/>
  <c r="BC184" i="17" s="1"/>
  <c r="BE184" i="17" s="1"/>
  <c r="G23" i="1" s="1"/>
  <c r="BP183" i="17"/>
  <c r="AO180" i="17"/>
  <c r="BN184" i="16"/>
  <c r="BO184" i="16" s="1"/>
  <c r="BQ184" i="16" s="1"/>
  <c r="H22" i="1" s="1"/>
  <c r="AP183" i="16"/>
  <c r="AQ183" i="16" s="1"/>
  <c r="AS183" i="16" s="1"/>
  <c r="BB181" i="14"/>
  <c r="BC181" i="14" s="1"/>
  <c r="BE181" i="14" s="1"/>
  <c r="AD131" i="14"/>
  <c r="Q64" i="14"/>
  <c r="T63" i="14"/>
  <c r="R165" i="18" l="1"/>
  <c r="S165" i="18" s="1"/>
  <c r="U165" i="18" s="1"/>
  <c r="Q166" i="18" s="1"/>
  <c r="R166" i="18" s="1"/>
  <c r="T164" i="18"/>
  <c r="R154" i="16"/>
  <c r="S154" i="16" s="1"/>
  <c r="U154" i="16" s="1"/>
  <c r="Q155" i="16" s="1"/>
  <c r="K87" i="19"/>
  <c r="F88" i="19"/>
  <c r="R165" i="17"/>
  <c r="T153" i="16"/>
  <c r="I87" i="19"/>
  <c r="T164" i="17"/>
  <c r="K89" i="14"/>
  <c r="F90" i="14"/>
  <c r="I89" i="14"/>
  <c r="G90" i="16"/>
  <c r="H90" i="16" s="1"/>
  <c r="J90" i="16" s="1"/>
  <c r="H90" i="17"/>
  <c r="J90" i="17" s="1"/>
  <c r="F91" i="18"/>
  <c r="K90" i="18"/>
  <c r="I90" i="18"/>
  <c r="S92" i="19"/>
  <c r="U92" i="19" s="1"/>
  <c r="AC182" i="19"/>
  <c r="AF181" i="19"/>
  <c r="AR184" i="19"/>
  <c r="AD182" i="18"/>
  <c r="AE182" i="18" s="1"/>
  <c r="AG182" i="18" s="1"/>
  <c r="BB180" i="18"/>
  <c r="BC180" i="18" s="1"/>
  <c r="BE180" i="18" s="1"/>
  <c r="BM184" i="18"/>
  <c r="BP183" i="18"/>
  <c r="BD184" i="17"/>
  <c r="AP180" i="17"/>
  <c r="AQ180" i="17" s="1"/>
  <c r="AS180" i="17" s="1"/>
  <c r="BN184" i="17"/>
  <c r="BO184" i="17" s="1"/>
  <c r="BQ184" i="17" s="1"/>
  <c r="H23" i="1" s="1"/>
  <c r="AO184" i="16"/>
  <c r="AR183" i="16"/>
  <c r="BP184" i="16"/>
  <c r="BA182" i="14"/>
  <c r="BD181" i="14"/>
  <c r="AE131" i="14"/>
  <c r="AG131" i="14" s="1"/>
  <c r="R64" i="14"/>
  <c r="S64" i="14" s="1"/>
  <c r="S165" i="17" l="1"/>
  <c r="U165" i="17" s="1"/>
  <c r="Q166" i="17" s="1"/>
  <c r="R155" i="16"/>
  <c r="S155" i="16" s="1"/>
  <c r="U155" i="16" s="1"/>
  <c r="Q156" i="16" s="1"/>
  <c r="T154" i="16"/>
  <c r="G88" i="19"/>
  <c r="H88" i="19" s="1"/>
  <c r="J88" i="19" s="1"/>
  <c r="S166" i="18"/>
  <c r="U166" i="18" s="1"/>
  <c r="Q167" i="18" s="1"/>
  <c r="R166" i="17"/>
  <c r="T165" i="18"/>
  <c r="F91" i="16"/>
  <c r="K90" i="16"/>
  <c r="I90" i="16"/>
  <c r="G90" i="14"/>
  <c r="H90" i="14" s="1"/>
  <c r="J90" i="14" s="1"/>
  <c r="I90" i="17"/>
  <c r="F91" i="17"/>
  <c r="G91" i="17" s="1"/>
  <c r="K90" i="17"/>
  <c r="G91" i="18"/>
  <c r="H91" i="18" s="1"/>
  <c r="J91" i="18" s="1"/>
  <c r="C92" i="15"/>
  <c r="E92" i="15" s="1"/>
  <c r="Q93" i="19"/>
  <c r="T92" i="19"/>
  <c r="AD182" i="19"/>
  <c r="AE182" i="19" s="1"/>
  <c r="AG182" i="19" s="1"/>
  <c r="BA181" i="18"/>
  <c r="BD180" i="18"/>
  <c r="AC183" i="18"/>
  <c r="BN184" i="18"/>
  <c r="BO184" i="18" s="1"/>
  <c r="BQ184" i="18" s="1"/>
  <c r="H24" i="1" s="1"/>
  <c r="AF182" i="18"/>
  <c r="BP184" i="17"/>
  <c r="AO181" i="17"/>
  <c r="AR180" i="17"/>
  <c r="AP184" i="16"/>
  <c r="AQ184" i="16" s="1"/>
  <c r="AS184" i="16" s="1"/>
  <c r="F22" i="1" s="1"/>
  <c r="BB182" i="14"/>
  <c r="AC132" i="14"/>
  <c r="AF131" i="14"/>
  <c r="U64" i="14"/>
  <c r="S166" i="17" l="1"/>
  <c r="U166" i="17" s="1"/>
  <c r="Q167" i="17" s="1"/>
  <c r="R167" i="17" s="1"/>
  <c r="S167" i="17" s="1"/>
  <c r="U167" i="17" s="1"/>
  <c r="Q168" i="17" s="1"/>
  <c r="T165" i="17"/>
  <c r="T166" i="18"/>
  <c r="F89" i="19"/>
  <c r="K88" i="19"/>
  <c r="AB10" i="1" s="1"/>
  <c r="R167" i="18"/>
  <c r="S167" i="18" s="1"/>
  <c r="U167" i="18" s="1"/>
  <c r="Q168" i="18" s="1"/>
  <c r="I88" i="19"/>
  <c r="R156" i="16"/>
  <c r="T155" i="16"/>
  <c r="K90" i="14"/>
  <c r="F91" i="14"/>
  <c r="I90" i="14"/>
  <c r="G91" i="16"/>
  <c r="H91" i="16" s="1"/>
  <c r="J91" i="16" s="1"/>
  <c r="H91" i="17"/>
  <c r="J91" i="17" s="1"/>
  <c r="F92" i="18"/>
  <c r="G92" i="18" s="1"/>
  <c r="K91" i="18"/>
  <c r="I91" i="18"/>
  <c r="R93" i="19"/>
  <c r="AC183" i="19"/>
  <c r="AF182" i="19"/>
  <c r="AD183" i="18"/>
  <c r="AE183" i="18" s="1"/>
  <c r="AG183" i="18" s="1"/>
  <c r="BB181" i="18"/>
  <c r="BC181" i="18" s="1"/>
  <c r="BE181" i="18" s="1"/>
  <c r="BP184" i="18"/>
  <c r="AP181" i="17"/>
  <c r="AQ181" i="17" s="1"/>
  <c r="AS181" i="17" s="1"/>
  <c r="AR184" i="16"/>
  <c r="BC182" i="14"/>
  <c r="BE182" i="14" s="1"/>
  <c r="AD132" i="14"/>
  <c r="Q65" i="14"/>
  <c r="T64" i="14"/>
  <c r="T166" i="17" l="1"/>
  <c r="T167" i="17"/>
  <c r="S156" i="16"/>
  <c r="U156" i="16" s="1"/>
  <c r="Q157" i="16" s="1"/>
  <c r="R157" i="16" s="1"/>
  <c r="S157" i="16" s="1"/>
  <c r="U157" i="16" s="1"/>
  <c r="Q158" i="16" s="1"/>
  <c r="T167" i="18"/>
  <c r="R168" i="18"/>
  <c r="S168" i="18" s="1"/>
  <c r="U168" i="18" s="1"/>
  <c r="Q169" i="18" s="1"/>
  <c r="R168" i="17"/>
  <c r="S168" i="17" s="1"/>
  <c r="U168" i="17" s="1"/>
  <c r="Q169" i="17" s="1"/>
  <c r="G89" i="19"/>
  <c r="H89" i="19" s="1"/>
  <c r="J89" i="19" s="1"/>
  <c r="F92" i="16"/>
  <c r="G92" i="16" s="1"/>
  <c r="K91" i="16"/>
  <c r="I91" i="16"/>
  <c r="G91" i="14"/>
  <c r="H91" i="14" s="1"/>
  <c r="J91" i="14" s="1"/>
  <c r="I91" i="17"/>
  <c r="F92" i="17"/>
  <c r="K91" i="17"/>
  <c r="H92" i="18"/>
  <c r="J92" i="18" s="1"/>
  <c r="S93" i="19"/>
  <c r="U93" i="19" s="1"/>
  <c r="AD183" i="19"/>
  <c r="AE183" i="19" s="1"/>
  <c r="AG183" i="19" s="1"/>
  <c r="BA182" i="18"/>
  <c r="BD181" i="18"/>
  <c r="AC184" i="18"/>
  <c r="AF183" i="18"/>
  <c r="AO182" i="17"/>
  <c r="AR181" i="17"/>
  <c r="BA183" i="14"/>
  <c r="BD182" i="14"/>
  <c r="AE132" i="14"/>
  <c r="AG132" i="14" s="1"/>
  <c r="R65" i="14"/>
  <c r="S65" i="14" s="1"/>
  <c r="T156" i="16" l="1"/>
  <c r="T168" i="18"/>
  <c r="T157" i="16"/>
  <c r="I89" i="19"/>
  <c r="R169" i="17"/>
  <c r="S169" i="17" s="1"/>
  <c r="U169" i="17" s="1"/>
  <c r="Q170" i="17" s="1"/>
  <c r="T168" i="17"/>
  <c r="R158" i="16"/>
  <c r="S158" i="16" s="1"/>
  <c r="U158" i="16" s="1"/>
  <c r="Q159" i="16" s="1"/>
  <c r="R169" i="18"/>
  <c r="S169" i="18" s="1"/>
  <c r="U169" i="18" s="1"/>
  <c r="Q170" i="18" s="1"/>
  <c r="K89" i="19"/>
  <c r="F90" i="19"/>
  <c r="F92" i="14"/>
  <c r="K91" i="14"/>
  <c r="I91" i="14"/>
  <c r="H92" i="16"/>
  <c r="J92" i="16" s="1"/>
  <c r="I92" i="18"/>
  <c r="G92" i="17"/>
  <c r="H92" i="17" s="1"/>
  <c r="J92" i="17" s="1"/>
  <c r="F93" i="18"/>
  <c r="K92" i="18"/>
  <c r="T93" i="19"/>
  <c r="C93" i="15"/>
  <c r="E93" i="15" s="1"/>
  <c r="Q94" i="19"/>
  <c r="AC184" i="19"/>
  <c r="AF183" i="19"/>
  <c r="AD184" i="18"/>
  <c r="AE184" i="18" s="1"/>
  <c r="AG184" i="18" s="1"/>
  <c r="E24" i="1" s="1"/>
  <c r="BB182" i="18"/>
  <c r="BC182" i="18" s="1"/>
  <c r="BE182" i="18" s="1"/>
  <c r="AP182" i="17"/>
  <c r="AQ182" i="17" s="1"/>
  <c r="AS182" i="17" s="1"/>
  <c r="BB183" i="14"/>
  <c r="BC183" i="14" s="1"/>
  <c r="BE183" i="14" s="1"/>
  <c r="AC133" i="14"/>
  <c r="AF132" i="14"/>
  <c r="U65" i="14"/>
  <c r="T169" i="18" l="1"/>
  <c r="R159" i="16"/>
  <c r="S159" i="16" s="1"/>
  <c r="U159" i="16" s="1"/>
  <c r="Q160" i="16" s="1"/>
  <c r="T158" i="16"/>
  <c r="R170" i="17"/>
  <c r="S170" i="17" s="1"/>
  <c r="U170" i="17" s="1"/>
  <c r="Q171" i="17" s="1"/>
  <c r="G90" i="19"/>
  <c r="H90" i="19" s="1"/>
  <c r="J90" i="19" s="1"/>
  <c r="T169" i="17"/>
  <c r="R170" i="18"/>
  <c r="S170" i="18" s="1"/>
  <c r="U170" i="18" s="1"/>
  <c r="Q171" i="18" s="1"/>
  <c r="I92" i="16"/>
  <c r="F93" i="16"/>
  <c r="G93" i="16" s="1"/>
  <c r="K92" i="16"/>
  <c r="G92" i="14"/>
  <c r="H92" i="14" s="1"/>
  <c r="J92" i="14" s="1"/>
  <c r="F93" i="17"/>
  <c r="G93" i="17" s="1"/>
  <c r="K92" i="17"/>
  <c r="I92" i="17"/>
  <c r="G93" i="18"/>
  <c r="H93" i="18" s="1"/>
  <c r="J93" i="18" s="1"/>
  <c r="R94" i="19"/>
  <c r="S94" i="19" s="1"/>
  <c r="U94" i="19" s="1"/>
  <c r="AD184" i="19"/>
  <c r="AE184" i="19" s="1"/>
  <c r="AG184" i="19" s="1"/>
  <c r="E18" i="1" s="1"/>
  <c r="BA183" i="18"/>
  <c r="BD182" i="18"/>
  <c r="AF184" i="18"/>
  <c r="AO183" i="17"/>
  <c r="AR182" i="17"/>
  <c r="BA184" i="14"/>
  <c r="BD183" i="14"/>
  <c r="AD133" i="14"/>
  <c r="Q66" i="14"/>
  <c r="T65" i="14"/>
  <c r="K90" i="19" l="1"/>
  <c r="F91" i="19"/>
  <c r="I90" i="19"/>
  <c r="R171" i="17"/>
  <c r="S171" i="17" s="1"/>
  <c r="U171" i="17" s="1"/>
  <c r="Q172" i="17" s="1"/>
  <c r="T170" i="17"/>
  <c r="R171" i="18"/>
  <c r="S171" i="18" s="1"/>
  <c r="U171" i="18" s="1"/>
  <c r="Q172" i="18" s="1"/>
  <c r="R160" i="16"/>
  <c r="S160" i="16" s="1"/>
  <c r="U160" i="16" s="1"/>
  <c r="Q161" i="16" s="1"/>
  <c r="R161" i="16" s="1"/>
  <c r="T170" i="18"/>
  <c r="T159" i="16"/>
  <c r="F93" i="14"/>
  <c r="K92" i="14"/>
  <c r="I92" i="14"/>
  <c r="H93" i="16"/>
  <c r="J93" i="16" s="1"/>
  <c r="H93" i="17"/>
  <c r="J93" i="17" s="1"/>
  <c r="F94" i="18"/>
  <c r="K93" i="18"/>
  <c r="I93" i="18"/>
  <c r="C94" i="15"/>
  <c r="E94" i="15" s="1"/>
  <c r="Q95" i="19"/>
  <c r="R95" i="19" s="1"/>
  <c r="T94" i="19"/>
  <c r="AF184" i="19"/>
  <c r="BB183" i="18"/>
  <c r="BC183" i="18" s="1"/>
  <c r="BE183" i="18" s="1"/>
  <c r="AP183" i="17"/>
  <c r="AQ183" i="17" s="1"/>
  <c r="AS183" i="17" s="1"/>
  <c r="BB184" i="14"/>
  <c r="AE133" i="14"/>
  <c r="AG133" i="14" s="1"/>
  <c r="R66" i="14"/>
  <c r="S66" i="14" s="1"/>
  <c r="T171" i="18" l="1"/>
  <c r="T171" i="17"/>
  <c r="R172" i="18"/>
  <c r="S172" i="18" s="1"/>
  <c r="U172" i="18" s="1"/>
  <c r="Q173" i="18" s="1"/>
  <c r="R172" i="17"/>
  <c r="S172" i="17" s="1"/>
  <c r="U172" i="17" s="1"/>
  <c r="Q173" i="17" s="1"/>
  <c r="S161" i="16"/>
  <c r="U161" i="16" s="1"/>
  <c r="Q162" i="16" s="1"/>
  <c r="G91" i="19"/>
  <c r="H91" i="19" s="1"/>
  <c r="J91" i="19" s="1"/>
  <c r="T160" i="16"/>
  <c r="I93" i="16"/>
  <c r="K93" i="16"/>
  <c r="F94" i="16"/>
  <c r="G93" i="14"/>
  <c r="H93" i="14" s="1"/>
  <c r="J93" i="14" s="1"/>
  <c r="I93" i="17"/>
  <c r="F94" i="17"/>
  <c r="K93" i="17"/>
  <c r="G94" i="18"/>
  <c r="H94" i="18" s="1"/>
  <c r="J94" i="18" s="1"/>
  <c r="S95" i="19"/>
  <c r="U95" i="19" s="1"/>
  <c r="BA184" i="18"/>
  <c r="BD183" i="18"/>
  <c r="AR183" i="17"/>
  <c r="AO184" i="17"/>
  <c r="BC184" i="14"/>
  <c r="BE184" i="14" s="1"/>
  <c r="AC134" i="14"/>
  <c r="AF133" i="14"/>
  <c r="U66" i="14"/>
  <c r="T161" i="16" l="1"/>
  <c r="T172" i="17"/>
  <c r="K91" i="19"/>
  <c r="F92" i="19"/>
  <c r="R173" i="18"/>
  <c r="S173" i="18" s="1"/>
  <c r="U173" i="18" s="1"/>
  <c r="Q174" i="18" s="1"/>
  <c r="R173" i="17"/>
  <c r="S173" i="17" s="1"/>
  <c r="U173" i="17" s="1"/>
  <c r="Q174" i="17" s="1"/>
  <c r="T172" i="18"/>
  <c r="R162" i="16"/>
  <c r="S162" i="16" s="1"/>
  <c r="U162" i="16" s="1"/>
  <c r="Q163" i="16" s="1"/>
  <c r="I91" i="19"/>
  <c r="F94" i="14"/>
  <c r="K93" i="14"/>
  <c r="I93" i="14"/>
  <c r="G94" i="16"/>
  <c r="H94" i="16" s="1"/>
  <c r="J94" i="16" s="1"/>
  <c r="G94" i="17"/>
  <c r="H94" i="17" s="1"/>
  <c r="J94" i="17" s="1"/>
  <c r="I94" i="18"/>
  <c r="F95" i="18"/>
  <c r="K94" i="18"/>
  <c r="T95" i="19"/>
  <c r="C95" i="15"/>
  <c r="E95" i="15" s="1"/>
  <c r="Q96" i="19"/>
  <c r="R96" i="19" s="1"/>
  <c r="BB184" i="18"/>
  <c r="BC184" i="18" s="1"/>
  <c r="BE184" i="18" s="1"/>
  <c r="G24" i="1" s="1"/>
  <c r="AP184" i="17"/>
  <c r="AQ184" i="17" s="1"/>
  <c r="AS184" i="17" s="1"/>
  <c r="F23" i="1" s="1"/>
  <c r="BD184" i="14"/>
  <c r="AD134" i="14"/>
  <c r="Q67" i="14"/>
  <c r="T66" i="14"/>
  <c r="T173" i="17" l="1"/>
  <c r="T162" i="16"/>
  <c r="R174" i="18"/>
  <c r="S174" i="18" s="1"/>
  <c r="U174" i="18" s="1"/>
  <c r="Q175" i="18" s="1"/>
  <c r="T173" i="18"/>
  <c r="R174" i="17"/>
  <c r="S174" i="17" s="1"/>
  <c r="U174" i="17" s="1"/>
  <c r="Q175" i="17" s="1"/>
  <c r="G92" i="19"/>
  <c r="H92" i="19" s="1"/>
  <c r="J92" i="19" s="1"/>
  <c r="R163" i="16"/>
  <c r="S163" i="16" s="1"/>
  <c r="U163" i="16" s="1"/>
  <c r="Q164" i="16" s="1"/>
  <c r="I94" i="16"/>
  <c r="K94" i="16"/>
  <c r="F95" i="16"/>
  <c r="G95" i="16" s="1"/>
  <c r="G94" i="14"/>
  <c r="H94" i="14" s="1"/>
  <c r="J94" i="14" s="1"/>
  <c r="K94" i="17"/>
  <c r="F95" i="17"/>
  <c r="G95" i="17" s="1"/>
  <c r="I94" i="17"/>
  <c r="G95" i="18"/>
  <c r="H95" i="18" s="1"/>
  <c r="J95" i="18" s="1"/>
  <c r="S96" i="19"/>
  <c r="U96" i="19" s="1"/>
  <c r="BD184" i="18"/>
  <c r="AR184" i="17"/>
  <c r="AE134" i="14"/>
  <c r="AG134" i="14" s="1"/>
  <c r="R67" i="14"/>
  <c r="S67" i="14" s="1"/>
  <c r="T163" i="16" l="1"/>
  <c r="K92" i="19"/>
  <c r="F93" i="19"/>
  <c r="T174" i="17"/>
  <c r="R175" i="17"/>
  <c r="S175" i="17" s="1"/>
  <c r="U175" i="17" s="1"/>
  <c r="Q176" i="17" s="1"/>
  <c r="R175" i="18"/>
  <c r="S175" i="18" s="1"/>
  <c r="U175" i="18" s="1"/>
  <c r="Q176" i="18" s="1"/>
  <c r="R176" i="18" s="1"/>
  <c r="I92" i="19"/>
  <c r="R164" i="16"/>
  <c r="S164" i="16" s="1"/>
  <c r="U164" i="16" s="1"/>
  <c r="Q165" i="16" s="1"/>
  <c r="T174" i="18"/>
  <c r="I94" i="14"/>
  <c r="H95" i="16"/>
  <c r="J95" i="16" s="1"/>
  <c r="F95" i="14"/>
  <c r="K94" i="14"/>
  <c r="H95" i="17"/>
  <c r="J95" i="17" s="1"/>
  <c r="F96" i="18"/>
  <c r="K95" i="18"/>
  <c r="I95" i="18"/>
  <c r="C96" i="15"/>
  <c r="E96" i="15" s="1"/>
  <c r="Q97" i="19"/>
  <c r="T96" i="19"/>
  <c r="AC135" i="14"/>
  <c r="AF134" i="14"/>
  <c r="U67" i="14"/>
  <c r="R176" i="17" l="1"/>
  <c r="S176" i="17" s="1"/>
  <c r="U176" i="17" s="1"/>
  <c r="Q177" i="17" s="1"/>
  <c r="I95" i="16"/>
  <c r="S176" i="18"/>
  <c r="U176" i="18" s="1"/>
  <c r="Q177" i="18" s="1"/>
  <c r="R165" i="16"/>
  <c r="S165" i="16" s="1"/>
  <c r="U165" i="16" s="1"/>
  <c r="Q166" i="16" s="1"/>
  <c r="T164" i="16"/>
  <c r="G93" i="19"/>
  <c r="H93" i="19" s="1"/>
  <c r="J93" i="19" s="1"/>
  <c r="T175" i="18"/>
  <c r="T175" i="17"/>
  <c r="G95" i="14"/>
  <c r="H95" i="14" s="1"/>
  <c r="J95" i="14" s="1"/>
  <c r="F96" i="16"/>
  <c r="G96" i="16" s="1"/>
  <c r="K95" i="16"/>
  <c r="I95" i="17"/>
  <c r="F96" i="17"/>
  <c r="K95" i="17"/>
  <c r="G96" i="18"/>
  <c r="H96" i="18" s="1"/>
  <c r="J96" i="18" s="1"/>
  <c r="R97" i="19"/>
  <c r="S97" i="19" s="1"/>
  <c r="U97" i="19" s="1"/>
  <c r="AD135" i="14"/>
  <c r="Q68" i="14"/>
  <c r="T67" i="14"/>
  <c r="T176" i="18" l="1"/>
  <c r="T165" i="16"/>
  <c r="R177" i="18"/>
  <c r="S177" i="18" s="1"/>
  <c r="U177" i="18" s="1"/>
  <c r="Q178" i="18" s="1"/>
  <c r="R166" i="16"/>
  <c r="S166" i="16" s="1"/>
  <c r="U166" i="16" s="1"/>
  <c r="Q167" i="16" s="1"/>
  <c r="K93" i="19"/>
  <c r="F94" i="19"/>
  <c r="R177" i="17"/>
  <c r="I93" i="19"/>
  <c r="T176" i="17"/>
  <c r="H96" i="16"/>
  <c r="J96" i="16" s="1"/>
  <c r="F96" i="14"/>
  <c r="G96" i="14" s="1"/>
  <c r="K95" i="14"/>
  <c r="I95" i="14"/>
  <c r="G96" i="17"/>
  <c r="H96" i="17" s="1"/>
  <c r="J96" i="17" s="1"/>
  <c r="I96" i="18"/>
  <c r="F97" i="18"/>
  <c r="G97" i="18" s="1"/>
  <c r="K96" i="18"/>
  <c r="C97" i="15"/>
  <c r="E97" i="15" s="1"/>
  <c r="Q98" i="19"/>
  <c r="R98" i="19" s="1"/>
  <c r="T97" i="19"/>
  <c r="AE135" i="14"/>
  <c r="AG135" i="14" s="1"/>
  <c r="R68" i="14"/>
  <c r="S68" i="14" s="1"/>
  <c r="S177" i="17" l="1"/>
  <c r="U177" i="17" s="1"/>
  <c r="Q178" i="17" s="1"/>
  <c r="R178" i="17" s="1"/>
  <c r="S178" i="17" s="1"/>
  <c r="U178" i="17" s="1"/>
  <c r="Q179" i="17" s="1"/>
  <c r="R167" i="16"/>
  <c r="S167" i="16" s="1"/>
  <c r="U167" i="16" s="1"/>
  <c r="Q168" i="16" s="1"/>
  <c r="T166" i="16"/>
  <c r="G94" i="19"/>
  <c r="H94" i="19" s="1"/>
  <c r="J94" i="19" s="1"/>
  <c r="R178" i="18"/>
  <c r="S178" i="18" s="1"/>
  <c r="U178" i="18" s="1"/>
  <c r="Q179" i="18" s="1"/>
  <c r="T177" i="18"/>
  <c r="H96" i="14"/>
  <c r="J96" i="14" s="1"/>
  <c r="I96" i="16"/>
  <c r="F97" i="16"/>
  <c r="K96" i="16"/>
  <c r="K96" i="17"/>
  <c r="F97" i="17"/>
  <c r="G97" i="17" s="1"/>
  <c r="I96" i="17"/>
  <c r="H97" i="18"/>
  <c r="J97" i="18" s="1"/>
  <c r="S98" i="19"/>
  <c r="U98" i="19" s="1"/>
  <c r="AC136" i="14"/>
  <c r="AF135" i="14"/>
  <c r="U68" i="14"/>
  <c r="T177" i="17" l="1"/>
  <c r="K94" i="19"/>
  <c r="F95" i="19"/>
  <c r="T178" i="18"/>
  <c r="R179" i="17"/>
  <c r="S179" i="17" s="1"/>
  <c r="U179" i="17" s="1"/>
  <c r="Q180" i="17" s="1"/>
  <c r="R168" i="16"/>
  <c r="S168" i="16" s="1"/>
  <c r="U168" i="16" s="1"/>
  <c r="Q169" i="16" s="1"/>
  <c r="R179" i="18"/>
  <c r="S179" i="18" s="1"/>
  <c r="U179" i="18" s="1"/>
  <c r="Q180" i="18" s="1"/>
  <c r="I94" i="19"/>
  <c r="T178" i="17"/>
  <c r="T167" i="16"/>
  <c r="I96" i="14"/>
  <c r="G97" i="16"/>
  <c r="H97" i="16" s="1"/>
  <c r="J97" i="16" s="1"/>
  <c r="F97" i="14"/>
  <c r="K96" i="14"/>
  <c r="H97" i="17"/>
  <c r="J97" i="17" s="1"/>
  <c r="I97" i="18"/>
  <c r="F98" i="18"/>
  <c r="K97" i="18"/>
  <c r="T98" i="19"/>
  <c r="C98" i="15"/>
  <c r="E98" i="15" s="1"/>
  <c r="Q99" i="19"/>
  <c r="R99" i="19" s="1"/>
  <c r="AD136" i="14"/>
  <c r="Q69" i="14"/>
  <c r="T68" i="14"/>
  <c r="T179" i="18" l="1"/>
  <c r="T179" i="17"/>
  <c r="R169" i="16"/>
  <c r="S169" i="16" s="1"/>
  <c r="U169" i="16" s="1"/>
  <c r="Q170" i="16" s="1"/>
  <c r="R180" i="17"/>
  <c r="S180" i="17" s="1"/>
  <c r="U180" i="17" s="1"/>
  <c r="Q181" i="17" s="1"/>
  <c r="T168" i="16"/>
  <c r="G95" i="19"/>
  <c r="H95" i="19" s="1"/>
  <c r="J95" i="19" s="1"/>
  <c r="R180" i="18"/>
  <c r="S180" i="18" s="1"/>
  <c r="U180" i="18" s="1"/>
  <c r="Q181" i="18" s="1"/>
  <c r="G97" i="14"/>
  <c r="H97" i="14" s="1"/>
  <c r="J97" i="14" s="1"/>
  <c r="K97" i="16"/>
  <c r="F98" i="16"/>
  <c r="G98" i="16" s="1"/>
  <c r="I97" i="16"/>
  <c r="I97" i="17"/>
  <c r="F98" i="17"/>
  <c r="G98" i="17" s="1"/>
  <c r="K97" i="17"/>
  <c r="G98" i="18"/>
  <c r="H98" i="18" s="1"/>
  <c r="J98" i="18" s="1"/>
  <c r="S99" i="19"/>
  <c r="U99" i="19" s="1"/>
  <c r="AE136" i="14"/>
  <c r="AG136" i="14" s="1"/>
  <c r="R69" i="14"/>
  <c r="S69" i="14" s="1"/>
  <c r="T180" i="18" l="1"/>
  <c r="K95" i="19"/>
  <c r="F96" i="19"/>
  <c r="R181" i="17"/>
  <c r="S181" i="17" s="1"/>
  <c r="U181" i="17" s="1"/>
  <c r="Q182" i="17" s="1"/>
  <c r="R182" i="17" s="1"/>
  <c r="T180" i="17"/>
  <c r="R170" i="16"/>
  <c r="S170" i="16" s="1"/>
  <c r="U170" i="16" s="1"/>
  <c r="Q171" i="16" s="1"/>
  <c r="I95" i="19"/>
  <c r="R181" i="18"/>
  <c r="S181" i="18" s="1"/>
  <c r="U181" i="18" s="1"/>
  <c r="Q182" i="18" s="1"/>
  <c r="T169" i="16"/>
  <c r="H98" i="16"/>
  <c r="J98" i="16" s="1"/>
  <c r="F98" i="14"/>
  <c r="K97" i="14"/>
  <c r="I97" i="14"/>
  <c r="T99" i="19"/>
  <c r="H98" i="17"/>
  <c r="J98" i="17" s="1"/>
  <c r="F99" i="18"/>
  <c r="K98" i="18"/>
  <c r="I98" i="18"/>
  <c r="C99" i="15"/>
  <c r="E99" i="15" s="1"/>
  <c r="Q100" i="19"/>
  <c r="R100" i="19" s="1"/>
  <c r="AC137" i="14"/>
  <c r="AF136" i="14"/>
  <c r="U69" i="14"/>
  <c r="R171" i="16" l="1"/>
  <c r="S171" i="16" s="1"/>
  <c r="U171" i="16" s="1"/>
  <c r="Q172" i="16" s="1"/>
  <c r="S182" i="17"/>
  <c r="U182" i="17" s="1"/>
  <c r="Q183" i="17" s="1"/>
  <c r="R183" i="17" s="1"/>
  <c r="T170" i="16"/>
  <c r="T181" i="17"/>
  <c r="G96" i="19"/>
  <c r="H96" i="19" s="1"/>
  <c r="J96" i="19" s="1"/>
  <c r="R182" i="18"/>
  <c r="S182" i="18" s="1"/>
  <c r="U182" i="18" s="1"/>
  <c r="Q183" i="18" s="1"/>
  <c r="T181" i="18"/>
  <c r="G98" i="14"/>
  <c r="H98" i="14" s="1"/>
  <c r="J98" i="14" s="1"/>
  <c r="I98" i="16"/>
  <c r="F99" i="16"/>
  <c r="G99" i="16" s="1"/>
  <c r="K98" i="16"/>
  <c r="I98" i="17"/>
  <c r="F99" i="17"/>
  <c r="G99" i="17" s="1"/>
  <c r="K98" i="17"/>
  <c r="G99" i="18"/>
  <c r="S100" i="19"/>
  <c r="U100" i="19" s="1"/>
  <c r="AD137" i="14"/>
  <c r="Q70" i="14"/>
  <c r="T69" i="14"/>
  <c r="T182" i="17" l="1"/>
  <c r="S183" i="17"/>
  <c r="U183" i="17" s="1"/>
  <c r="Q184" i="17" s="1"/>
  <c r="R184" i="17" s="1"/>
  <c r="K96" i="19"/>
  <c r="F97" i="19"/>
  <c r="R183" i="18"/>
  <c r="S183" i="18" s="1"/>
  <c r="U183" i="18" s="1"/>
  <c r="Q184" i="18" s="1"/>
  <c r="R172" i="16"/>
  <c r="S172" i="16" s="1"/>
  <c r="U172" i="16" s="1"/>
  <c r="Q173" i="16" s="1"/>
  <c r="I96" i="19"/>
  <c r="T182" i="18"/>
  <c r="T171" i="16"/>
  <c r="H99" i="16"/>
  <c r="J99" i="16" s="1"/>
  <c r="F99" i="14"/>
  <c r="K98" i="14"/>
  <c r="I98" i="14"/>
  <c r="H99" i="17"/>
  <c r="J99" i="17" s="1"/>
  <c r="H99" i="18"/>
  <c r="J99" i="18" s="1"/>
  <c r="T100" i="19"/>
  <c r="Q101" i="19"/>
  <c r="R101" i="19" s="1"/>
  <c r="C100" i="15"/>
  <c r="E100" i="15" s="1"/>
  <c r="AE137" i="14"/>
  <c r="AG137" i="14" s="1"/>
  <c r="R70" i="14"/>
  <c r="S70" i="14" s="1"/>
  <c r="T183" i="18" l="1"/>
  <c r="T183" i="17"/>
  <c r="T172" i="16"/>
  <c r="R173" i="16"/>
  <c r="S173" i="16" s="1"/>
  <c r="U173" i="16" s="1"/>
  <c r="Q174" i="16" s="1"/>
  <c r="R184" i="18"/>
  <c r="S184" i="18" s="1"/>
  <c r="U184" i="18" s="1"/>
  <c r="D24" i="1" s="1"/>
  <c r="I99" i="16"/>
  <c r="G97" i="19"/>
  <c r="H97" i="19" s="1"/>
  <c r="J97" i="19" s="1"/>
  <c r="S184" i="17"/>
  <c r="U184" i="17" s="1"/>
  <c r="D23" i="1" s="1"/>
  <c r="G99" i="14"/>
  <c r="H99" i="14" s="1"/>
  <c r="J99" i="14" s="1"/>
  <c r="F100" i="16"/>
  <c r="K99" i="16"/>
  <c r="I99" i="17"/>
  <c r="F100" i="17"/>
  <c r="G100" i="17" s="1"/>
  <c r="K99" i="17"/>
  <c r="F100" i="18"/>
  <c r="K99" i="18"/>
  <c r="I99" i="18"/>
  <c r="S101" i="19"/>
  <c r="U101" i="19" s="1"/>
  <c r="AC138" i="14"/>
  <c r="AF137" i="14"/>
  <c r="U70" i="14"/>
  <c r="T173" i="16" l="1"/>
  <c r="I97" i="19"/>
  <c r="T184" i="18"/>
  <c r="R174" i="16"/>
  <c r="S174" i="16" s="1"/>
  <c r="U174" i="16" s="1"/>
  <c r="Q175" i="16" s="1"/>
  <c r="K97" i="19"/>
  <c r="F98" i="19"/>
  <c r="G98" i="19" s="1"/>
  <c r="T184" i="17"/>
  <c r="G100" i="16"/>
  <c r="H100" i="16" s="1"/>
  <c r="J100" i="16" s="1"/>
  <c r="F100" i="14"/>
  <c r="K99" i="14"/>
  <c r="I99" i="14"/>
  <c r="H100" i="17"/>
  <c r="J100" i="17" s="1"/>
  <c r="G100" i="18"/>
  <c r="H100" i="18" s="1"/>
  <c r="J100" i="18" s="1"/>
  <c r="T101" i="19"/>
  <c r="C101" i="15"/>
  <c r="E101" i="15" s="1"/>
  <c r="Q102" i="19"/>
  <c r="R102" i="19" s="1"/>
  <c r="AD138" i="14"/>
  <c r="Q71" i="14"/>
  <c r="T70" i="14"/>
  <c r="H98" i="19" l="1"/>
  <c r="J98" i="19" s="1"/>
  <c r="T174" i="16"/>
  <c r="R175" i="16"/>
  <c r="S175" i="16" s="1"/>
  <c r="U175" i="16" s="1"/>
  <c r="Q176" i="16" s="1"/>
  <c r="G100" i="14"/>
  <c r="H100" i="14" s="1"/>
  <c r="J100" i="14" s="1"/>
  <c r="F101" i="16"/>
  <c r="G101" i="16" s="1"/>
  <c r="K100" i="16"/>
  <c r="S11" i="1" s="1"/>
  <c r="I100" i="16"/>
  <c r="I100" i="17"/>
  <c r="F101" i="17"/>
  <c r="K100" i="17"/>
  <c r="V11" i="1" s="1"/>
  <c r="F101" i="18"/>
  <c r="K100" i="18"/>
  <c r="Y11" i="1" s="1"/>
  <c r="I100" i="18"/>
  <c r="S102" i="19"/>
  <c r="U102" i="19" s="1"/>
  <c r="AE138" i="14"/>
  <c r="AG138" i="14" s="1"/>
  <c r="R71" i="14"/>
  <c r="S71" i="14" s="1"/>
  <c r="I98" i="19" l="1"/>
  <c r="T175" i="16"/>
  <c r="R176" i="16"/>
  <c r="S176" i="16" s="1"/>
  <c r="U176" i="16" s="1"/>
  <c r="Q177" i="16" s="1"/>
  <c r="K98" i="19"/>
  <c r="F99" i="19"/>
  <c r="H101" i="16"/>
  <c r="J101" i="16" s="1"/>
  <c r="K100" i="14"/>
  <c r="P11" i="1" s="1"/>
  <c r="F101" i="14"/>
  <c r="I100" i="14"/>
  <c r="T102" i="19"/>
  <c r="G101" i="17"/>
  <c r="H101" i="17" s="1"/>
  <c r="J101" i="17" s="1"/>
  <c r="G101" i="18"/>
  <c r="H101" i="18" s="1"/>
  <c r="J101" i="18" s="1"/>
  <c r="Q103" i="19"/>
  <c r="R103" i="19" s="1"/>
  <c r="C102" i="15"/>
  <c r="E102" i="15" s="1"/>
  <c r="AC139" i="14"/>
  <c r="AF138" i="14"/>
  <c r="U71" i="14"/>
  <c r="I101" i="16" l="1"/>
  <c r="R177" i="16"/>
  <c r="S177" i="16" s="1"/>
  <c r="U177" i="16" s="1"/>
  <c r="Q178" i="16" s="1"/>
  <c r="G99" i="19"/>
  <c r="H99" i="19" s="1"/>
  <c r="J99" i="19" s="1"/>
  <c r="T176" i="16"/>
  <c r="G101" i="14"/>
  <c r="H101" i="14" s="1"/>
  <c r="J101" i="14" s="1"/>
  <c r="F102" i="16"/>
  <c r="K101" i="16"/>
  <c r="F102" i="17"/>
  <c r="K101" i="17"/>
  <c r="I101" i="17"/>
  <c r="F102" i="18"/>
  <c r="K101" i="18"/>
  <c r="I101" i="18"/>
  <c r="S103" i="19"/>
  <c r="U103" i="19" s="1"/>
  <c r="AD139" i="14"/>
  <c r="Q72" i="14"/>
  <c r="T71" i="14"/>
  <c r="I99" i="19" l="1"/>
  <c r="K99" i="19"/>
  <c r="F100" i="19"/>
  <c r="G100" i="19" s="1"/>
  <c r="R178" i="16"/>
  <c r="S178" i="16" s="1"/>
  <c r="U178" i="16" s="1"/>
  <c r="Q179" i="16" s="1"/>
  <c r="T177" i="16"/>
  <c r="G102" i="16"/>
  <c r="H102" i="16" s="1"/>
  <c r="J102" i="16" s="1"/>
  <c r="F102" i="14"/>
  <c r="K101" i="14"/>
  <c r="I101" i="14"/>
  <c r="G102" i="17"/>
  <c r="G102" i="18"/>
  <c r="H102" i="18" s="1"/>
  <c r="J102" i="18" s="1"/>
  <c r="T103" i="19"/>
  <c r="C103" i="15"/>
  <c r="E103" i="15" s="1"/>
  <c r="Q104" i="19"/>
  <c r="R104" i="19" s="1"/>
  <c r="AE139" i="14"/>
  <c r="AG139" i="14" s="1"/>
  <c r="R72" i="14"/>
  <c r="S72" i="14" s="1"/>
  <c r="T178" i="16" l="1"/>
  <c r="R179" i="16"/>
  <c r="S179" i="16" s="1"/>
  <c r="U179" i="16" s="1"/>
  <c r="Q180" i="16" s="1"/>
  <c r="H100" i="19"/>
  <c r="J100" i="19" s="1"/>
  <c r="G102" i="14"/>
  <c r="H102" i="14" s="1"/>
  <c r="J102" i="14" s="1"/>
  <c r="K102" i="16"/>
  <c r="F103" i="16"/>
  <c r="G103" i="16" s="1"/>
  <c r="I102" i="16"/>
  <c r="H102" i="17"/>
  <c r="J102" i="17" s="1"/>
  <c r="F103" i="18"/>
  <c r="K102" i="18"/>
  <c r="I102" i="18"/>
  <c r="S104" i="19"/>
  <c r="U104" i="19" s="1"/>
  <c r="AC140" i="14"/>
  <c r="AF139" i="14"/>
  <c r="U72" i="14"/>
  <c r="I100" i="19" l="1"/>
  <c r="T179" i="16"/>
  <c r="K100" i="19"/>
  <c r="AB11" i="1" s="1"/>
  <c r="F101" i="19"/>
  <c r="R180" i="16"/>
  <c r="S180" i="16" s="1"/>
  <c r="U180" i="16" s="1"/>
  <c r="Q181" i="16" s="1"/>
  <c r="H103" i="16"/>
  <c r="J103" i="16" s="1"/>
  <c r="K102" i="14"/>
  <c r="F103" i="14"/>
  <c r="I102" i="14"/>
  <c r="F103" i="17"/>
  <c r="K102" i="17"/>
  <c r="I102" i="17"/>
  <c r="G103" i="18"/>
  <c r="H103" i="18" s="1"/>
  <c r="J103" i="18" s="1"/>
  <c r="T104" i="19"/>
  <c r="Q105" i="19"/>
  <c r="R105" i="19" s="1"/>
  <c r="C104" i="15"/>
  <c r="E104" i="15" s="1"/>
  <c r="AD140" i="14"/>
  <c r="Q73" i="14"/>
  <c r="T72" i="14"/>
  <c r="R181" i="16" l="1"/>
  <c r="S181" i="16" s="1"/>
  <c r="U181" i="16" s="1"/>
  <c r="Q182" i="16" s="1"/>
  <c r="T180" i="16"/>
  <c r="G101" i="19"/>
  <c r="H101" i="19" s="1"/>
  <c r="G103" i="14"/>
  <c r="H103" i="14" s="1"/>
  <c r="J103" i="14" s="1"/>
  <c r="I103" i="16"/>
  <c r="F104" i="16"/>
  <c r="G104" i="16" s="1"/>
  <c r="K103" i="16"/>
  <c r="G103" i="17"/>
  <c r="H103" i="17" s="1"/>
  <c r="J103" i="17" s="1"/>
  <c r="F104" i="18"/>
  <c r="K103" i="18"/>
  <c r="I103" i="18"/>
  <c r="S105" i="19"/>
  <c r="U105" i="19" s="1"/>
  <c r="AE140" i="14"/>
  <c r="AG140" i="14" s="1"/>
  <c r="R73" i="14"/>
  <c r="S73" i="14" s="1"/>
  <c r="I101" i="19" l="1"/>
  <c r="J101" i="19"/>
  <c r="R182" i="16"/>
  <c r="S182" i="16" s="1"/>
  <c r="U182" i="16" s="1"/>
  <c r="Q183" i="16" s="1"/>
  <c r="T181" i="16"/>
  <c r="H104" i="16"/>
  <c r="J104" i="16" s="1"/>
  <c r="F104" i="14"/>
  <c r="K103" i="14"/>
  <c r="I103" i="14"/>
  <c r="F104" i="17"/>
  <c r="K103" i="17"/>
  <c r="T105" i="19"/>
  <c r="I103" i="17"/>
  <c r="G104" i="18"/>
  <c r="H104" i="18" s="1"/>
  <c r="J104" i="18" s="1"/>
  <c r="Q106" i="19"/>
  <c r="R106" i="19" s="1"/>
  <c r="C105" i="15"/>
  <c r="E105" i="15" s="1"/>
  <c r="AC141" i="14"/>
  <c r="AF140" i="14"/>
  <c r="U73" i="14"/>
  <c r="T182" i="16" l="1"/>
  <c r="R183" i="16"/>
  <c r="S183" i="16" s="1"/>
  <c r="U183" i="16" s="1"/>
  <c r="Q184" i="16" s="1"/>
  <c r="K101" i="19"/>
  <c r="F102" i="19"/>
  <c r="G104" i="14"/>
  <c r="H104" i="14" s="1"/>
  <c r="J104" i="14" s="1"/>
  <c r="I104" i="16"/>
  <c r="K104" i="16"/>
  <c r="F105" i="16"/>
  <c r="G104" i="17"/>
  <c r="H104" i="17" s="1"/>
  <c r="J104" i="17" s="1"/>
  <c r="F105" i="18"/>
  <c r="K104" i="18"/>
  <c r="I104" i="18"/>
  <c r="S106" i="19"/>
  <c r="U106" i="19" s="1"/>
  <c r="AD141" i="14"/>
  <c r="Q74" i="14"/>
  <c r="T73" i="14"/>
  <c r="G102" i="19" l="1"/>
  <c r="H102" i="19" s="1"/>
  <c r="R184" i="16"/>
  <c r="S184" i="16" s="1"/>
  <c r="U184" i="16" s="1"/>
  <c r="D22" i="1" s="1"/>
  <c r="T183" i="16"/>
  <c r="G105" i="16"/>
  <c r="H105" i="16" s="1"/>
  <c r="J105" i="16" s="1"/>
  <c r="K104" i="14"/>
  <c r="F105" i="14"/>
  <c r="I104" i="14"/>
  <c r="F105" i="17"/>
  <c r="K104" i="17"/>
  <c r="I104" i="17"/>
  <c r="G105" i="18"/>
  <c r="H105" i="18" s="1"/>
  <c r="J105" i="18" s="1"/>
  <c r="T106" i="19"/>
  <c r="Q107" i="19"/>
  <c r="R107" i="19" s="1"/>
  <c r="C106" i="15"/>
  <c r="E106" i="15" s="1"/>
  <c r="AE141" i="14"/>
  <c r="AG141" i="14" s="1"/>
  <c r="R74" i="14"/>
  <c r="S74" i="14" s="1"/>
  <c r="I102" i="19" l="1"/>
  <c r="J102" i="19"/>
  <c r="T184" i="16"/>
  <c r="G105" i="14"/>
  <c r="H105" i="14" s="1"/>
  <c r="J105" i="14" s="1"/>
  <c r="K105" i="16"/>
  <c r="F106" i="16"/>
  <c r="G106" i="16" s="1"/>
  <c r="I105" i="16"/>
  <c r="G105" i="17"/>
  <c r="H105" i="17" s="1"/>
  <c r="J105" i="17" s="1"/>
  <c r="F106" i="18"/>
  <c r="K105" i="18"/>
  <c r="I105" i="18"/>
  <c r="S107" i="19"/>
  <c r="U107" i="19" s="1"/>
  <c r="AC142" i="14"/>
  <c r="AF141" i="14"/>
  <c r="U74" i="14"/>
  <c r="K102" i="19" l="1"/>
  <c r="F103" i="19"/>
  <c r="G103" i="19" s="1"/>
  <c r="H106" i="16"/>
  <c r="J106" i="16" s="1"/>
  <c r="F106" i="14"/>
  <c r="K105" i="14"/>
  <c r="I105" i="14"/>
  <c r="F106" i="17"/>
  <c r="K105" i="17"/>
  <c r="I105" i="17"/>
  <c r="G106" i="18"/>
  <c r="H106" i="18" s="1"/>
  <c r="J106" i="18" s="1"/>
  <c r="T107" i="19"/>
  <c r="C107" i="15"/>
  <c r="E107" i="15" s="1"/>
  <c r="Q108" i="19"/>
  <c r="R108" i="19" s="1"/>
  <c r="AD142" i="14"/>
  <c r="Q75" i="14"/>
  <c r="T74" i="14"/>
  <c r="H103" i="19" l="1"/>
  <c r="J103" i="19" s="1"/>
  <c r="G106" i="14"/>
  <c r="H106" i="14" s="1"/>
  <c r="J106" i="14" s="1"/>
  <c r="I106" i="16"/>
  <c r="F107" i="16"/>
  <c r="G107" i="16" s="1"/>
  <c r="K106" i="16"/>
  <c r="G106" i="17"/>
  <c r="H106" i="17" s="1"/>
  <c r="J106" i="17" s="1"/>
  <c r="F107" i="18"/>
  <c r="K106" i="18"/>
  <c r="I106" i="18"/>
  <c r="S108" i="19"/>
  <c r="U108" i="19" s="1"/>
  <c r="AE142" i="14"/>
  <c r="AG142" i="14" s="1"/>
  <c r="R75" i="14"/>
  <c r="S75" i="14" s="1"/>
  <c r="I103" i="19" l="1"/>
  <c r="K103" i="19"/>
  <c r="F104" i="19"/>
  <c r="G104" i="19" s="1"/>
  <c r="H107" i="16"/>
  <c r="J107" i="16" s="1"/>
  <c r="K106" i="14"/>
  <c r="F107" i="14"/>
  <c r="I106" i="14"/>
  <c r="T108" i="19"/>
  <c r="F107" i="17"/>
  <c r="K106" i="17"/>
  <c r="I106" i="17"/>
  <c r="G107" i="18"/>
  <c r="H107" i="18" s="1"/>
  <c r="J107" i="18" s="1"/>
  <c r="C108" i="15"/>
  <c r="E108" i="15" s="1"/>
  <c r="Q109" i="19"/>
  <c r="R109" i="19" s="1"/>
  <c r="AC143" i="14"/>
  <c r="AF142" i="14"/>
  <c r="U75" i="14"/>
  <c r="H104" i="19" l="1"/>
  <c r="J104" i="19" s="1"/>
  <c r="G107" i="14"/>
  <c r="H107" i="14" s="1"/>
  <c r="J107" i="14" s="1"/>
  <c r="I107" i="16"/>
  <c r="F108" i="16"/>
  <c r="G108" i="16" s="1"/>
  <c r="K107" i="16"/>
  <c r="G107" i="17"/>
  <c r="H107" i="17" s="1"/>
  <c r="J107" i="17" s="1"/>
  <c r="F108" i="18"/>
  <c r="K107" i="18"/>
  <c r="I107" i="18"/>
  <c r="S109" i="19"/>
  <c r="U109" i="19" s="1"/>
  <c r="AD143" i="14"/>
  <c r="Q76" i="14"/>
  <c r="T75" i="14"/>
  <c r="I104" i="19" l="1"/>
  <c r="F105" i="19"/>
  <c r="G105" i="19" s="1"/>
  <c r="K104" i="19"/>
  <c r="H108" i="16"/>
  <c r="J108" i="16" s="1"/>
  <c r="F108" i="14"/>
  <c r="K107" i="14"/>
  <c r="I107" i="14"/>
  <c r="F108" i="17"/>
  <c r="K107" i="17"/>
  <c r="I107" i="17"/>
  <c r="G108" i="18"/>
  <c r="H108" i="18" s="1"/>
  <c r="J108" i="18" s="1"/>
  <c r="T109" i="19"/>
  <c r="Q110" i="19"/>
  <c r="C109" i="15"/>
  <c r="E109" i="15" s="1"/>
  <c r="AE143" i="14"/>
  <c r="AG143" i="14" s="1"/>
  <c r="R76" i="14"/>
  <c r="S76" i="14" s="1"/>
  <c r="H105" i="19" l="1"/>
  <c r="J105" i="19" s="1"/>
  <c r="G108" i="14"/>
  <c r="H108" i="14" s="1"/>
  <c r="J108" i="14" s="1"/>
  <c r="I108" i="16"/>
  <c r="F109" i="16"/>
  <c r="G109" i="16" s="1"/>
  <c r="K108" i="16"/>
  <c r="G108" i="17"/>
  <c r="H108" i="17" s="1"/>
  <c r="J108" i="17" s="1"/>
  <c r="F109" i="18"/>
  <c r="K108" i="18"/>
  <c r="I108" i="18"/>
  <c r="R110" i="19"/>
  <c r="S110" i="19" s="1"/>
  <c r="U110" i="19" s="1"/>
  <c r="AC144" i="14"/>
  <c r="AF143" i="14"/>
  <c r="U76" i="14"/>
  <c r="I105" i="19" l="1"/>
  <c r="F106" i="19"/>
  <c r="G106" i="19" s="1"/>
  <c r="K105" i="19"/>
  <c r="K108" i="14"/>
  <c r="F109" i="14"/>
  <c r="H109" i="16"/>
  <c r="J109" i="16" s="1"/>
  <c r="I108" i="14"/>
  <c r="F109" i="17"/>
  <c r="K108" i="17"/>
  <c r="I108" i="17"/>
  <c r="G109" i="18"/>
  <c r="H109" i="18" s="1"/>
  <c r="J109" i="18" s="1"/>
  <c r="Q111" i="19"/>
  <c r="R111" i="19" s="1"/>
  <c r="C110" i="15"/>
  <c r="E110" i="15" s="1"/>
  <c r="T110" i="19"/>
  <c r="AD144" i="14"/>
  <c r="Q77" i="14"/>
  <c r="T76" i="14"/>
  <c r="H106" i="19" l="1"/>
  <c r="J106" i="19" s="1"/>
  <c r="I109" i="16"/>
  <c r="F110" i="16"/>
  <c r="K109" i="16"/>
  <c r="G109" i="14"/>
  <c r="H109" i="14" s="1"/>
  <c r="J109" i="14" s="1"/>
  <c r="G109" i="17"/>
  <c r="H109" i="17" s="1"/>
  <c r="J109" i="17" s="1"/>
  <c r="F110" i="18"/>
  <c r="K109" i="18"/>
  <c r="I109" i="18"/>
  <c r="S111" i="19"/>
  <c r="U111" i="19" s="1"/>
  <c r="AE144" i="14"/>
  <c r="AG144" i="14" s="1"/>
  <c r="R77" i="14"/>
  <c r="S77" i="14" s="1"/>
  <c r="I106" i="19" l="1"/>
  <c r="K106" i="19"/>
  <c r="F107" i="19"/>
  <c r="G107" i="19" s="1"/>
  <c r="I109" i="14"/>
  <c r="F110" i="14"/>
  <c r="K109" i="14"/>
  <c r="G110" i="16"/>
  <c r="F110" i="17"/>
  <c r="G110" i="17" s="1"/>
  <c r="K109" i="17"/>
  <c r="I109" i="17"/>
  <c r="G110" i="18"/>
  <c r="H110" i="18" s="1"/>
  <c r="J110" i="18" s="1"/>
  <c r="T111" i="19"/>
  <c r="C111" i="15"/>
  <c r="E111" i="15" s="1"/>
  <c r="Q112" i="19"/>
  <c r="R112" i="19" s="1"/>
  <c r="AC145" i="14"/>
  <c r="AF144" i="14"/>
  <c r="U77" i="14"/>
  <c r="H107" i="19" l="1"/>
  <c r="J107" i="19" s="1"/>
  <c r="H110" i="16"/>
  <c r="J110" i="16" s="1"/>
  <c r="G110" i="14"/>
  <c r="H110" i="14" s="1"/>
  <c r="J110" i="14" s="1"/>
  <c r="H110" i="17"/>
  <c r="J110" i="17" s="1"/>
  <c r="F111" i="18"/>
  <c r="K110" i="18"/>
  <c r="I110" i="18"/>
  <c r="S112" i="19"/>
  <c r="U112" i="19" s="1"/>
  <c r="AD145" i="14"/>
  <c r="Q78" i="14"/>
  <c r="T77" i="14"/>
  <c r="I107" i="19" l="1"/>
  <c r="K107" i="19"/>
  <c r="F108" i="19"/>
  <c r="G108" i="19" s="1"/>
  <c r="F111" i="14"/>
  <c r="K110" i="14"/>
  <c r="I110" i="14"/>
  <c r="F111" i="16"/>
  <c r="G111" i="16" s="1"/>
  <c r="K110" i="16"/>
  <c r="I110" i="16"/>
  <c r="T112" i="19"/>
  <c r="I110" i="17"/>
  <c r="F111" i="17"/>
  <c r="K110" i="17"/>
  <c r="G111" i="18"/>
  <c r="H111" i="18" s="1"/>
  <c r="J111" i="18" s="1"/>
  <c r="Q113" i="19"/>
  <c r="R113" i="19" s="1"/>
  <c r="C112" i="15"/>
  <c r="E112" i="15" s="1"/>
  <c r="AE145" i="14"/>
  <c r="AG145" i="14" s="1"/>
  <c r="R78" i="14"/>
  <c r="S78" i="14" s="1"/>
  <c r="H108" i="19" l="1"/>
  <c r="J108" i="19" s="1"/>
  <c r="H111" i="16"/>
  <c r="J111" i="16" s="1"/>
  <c r="G111" i="14"/>
  <c r="H111" i="14" s="1"/>
  <c r="J111" i="14" s="1"/>
  <c r="G111" i="17"/>
  <c r="H111" i="17" s="1"/>
  <c r="J111" i="17" s="1"/>
  <c r="F112" i="18"/>
  <c r="K111" i="18"/>
  <c r="I111" i="18"/>
  <c r="S113" i="19"/>
  <c r="U113" i="19" s="1"/>
  <c r="AC146" i="14"/>
  <c r="AF145" i="14"/>
  <c r="U78" i="14"/>
  <c r="I108" i="19" l="1"/>
  <c r="K108" i="19"/>
  <c r="F109" i="19"/>
  <c r="G109" i="19" s="1"/>
  <c r="I111" i="16"/>
  <c r="I111" i="14"/>
  <c r="F112" i="14"/>
  <c r="K111" i="14"/>
  <c r="K111" i="16"/>
  <c r="F112" i="16"/>
  <c r="G112" i="16" s="1"/>
  <c r="F112" i="17"/>
  <c r="K111" i="17"/>
  <c r="I111" i="17"/>
  <c r="G112" i="18"/>
  <c r="H112" i="18" s="1"/>
  <c r="J112" i="18" s="1"/>
  <c r="T113" i="19"/>
  <c r="Q114" i="19"/>
  <c r="C113" i="15"/>
  <c r="E113" i="15" s="1"/>
  <c r="AD146" i="14"/>
  <c r="Q79" i="14"/>
  <c r="T78" i="14"/>
  <c r="H109" i="19" l="1"/>
  <c r="J109" i="19" s="1"/>
  <c r="G112" i="14"/>
  <c r="H112" i="14" s="1"/>
  <c r="J112" i="14" s="1"/>
  <c r="H112" i="16"/>
  <c r="J112" i="16" s="1"/>
  <c r="G112" i="17"/>
  <c r="H112" i="17" s="1"/>
  <c r="J112" i="17" s="1"/>
  <c r="I112" i="18"/>
  <c r="F113" i="18"/>
  <c r="K112" i="18"/>
  <c r="Y12" i="1" s="1"/>
  <c r="R114" i="19"/>
  <c r="S114" i="19" s="1"/>
  <c r="U114" i="19" s="1"/>
  <c r="AE146" i="14"/>
  <c r="AG146" i="14" s="1"/>
  <c r="R79" i="14"/>
  <c r="S79" i="14" s="1"/>
  <c r="I109" i="19" l="1"/>
  <c r="K109" i="19"/>
  <c r="F110" i="19"/>
  <c r="I112" i="16"/>
  <c r="K112" i="16"/>
  <c r="S12" i="1" s="1"/>
  <c r="F113" i="16"/>
  <c r="G113" i="16" s="1"/>
  <c r="F113" i="14"/>
  <c r="G113" i="14" s="1"/>
  <c r="K112" i="14"/>
  <c r="P12" i="1" s="1"/>
  <c r="I112" i="14"/>
  <c r="F113" i="17"/>
  <c r="K112" i="17"/>
  <c r="V12" i="1" s="1"/>
  <c r="I112" i="17"/>
  <c r="G113" i="18"/>
  <c r="Q115" i="19"/>
  <c r="R115" i="19" s="1"/>
  <c r="C114" i="15"/>
  <c r="E114" i="15" s="1"/>
  <c r="T114" i="19"/>
  <c r="AC147" i="14"/>
  <c r="AF146" i="14"/>
  <c r="U79" i="14"/>
  <c r="G110" i="19" l="1"/>
  <c r="H110" i="19" s="1"/>
  <c r="J110" i="19" s="1"/>
  <c r="H113" i="14"/>
  <c r="J113" i="14" s="1"/>
  <c r="H113" i="16"/>
  <c r="J113" i="16" s="1"/>
  <c r="G113" i="17"/>
  <c r="H113" i="17" s="1"/>
  <c r="J113" i="17" s="1"/>
  <c r="H113" i="18"/>
  <c r="J113" i="18" s="1"/>
  <c r="S115" i="19"/>
  <c r="U115" i="19" s="1"/>
  <c r="AD147" i="14"/>
  <c r="Q80" i="14"/>
  <c r="T79" i="14"/>
  <c r="F111" i="19" l="1"/>
  <c r="G111" i="19" s="1"/>
  <c r="K110" i="19"/>
  <c r="I110" i="19"/>
  <c r="I113" i="14"/>
  <c r="K113" i="16"/>
  <c r="F114" i="16"/>
  <c r="G114" i="16" s="1"/>
  <c r="I113" i="16"/>
  <c r="K113" i="14"/>
  <c r="F114" i="14"/>
  <c r="T115" i="19"/>
  <c r="F114" i="17"/>
  <c r="K113" i="17"/>
  <c r="I113" i="17"/>
  <c r="F114" i="18"/>
  <c r="K113" i="18"/>
  <c r="I113" i="18"/>
  <c r="Q116" i="19"/>
  <c r="R116" i="19" s="1"/>
  <c r="C115" i="15"/>
  <c r="E115" i="15" s="1"/>
  <c r="AE147" i="14"/>
  <c r="AG147" i="14" s="1"/>
  <c r="R80" i="14"/>
  <c r="S80" i="14" s="1"/>
  <c r="H111" i="19" l="1"/>
  <c r="J111" i="19" s="1"/>
  <c r="H114" i="16"/>
  <c r="J114" i="16" s="1"/>
  <c r="G114" i="14"/>
  <c r="G114" i="17"/>
  <c r="H114" i="17" s="1"/>
  <c r="J114" i="17" s="1"/>
  <c r="G114" i="18"/>
  <c r="H114" i="18" s="1"/>
  <c r="J114" i="18" s="1"/>
  <c r="S116" i="19"/>
  <c r="U116" i="19" s="1"/>
  <c r="AC148" i="14"/>
  <c r="AF147" i="14"/>
  <c r="U80" i="14"/>
  <c r="I111" i="19" l="1"/>
  <c r="K111" i="19"/>
  <c r="F112" i="19"/>
  <c r="G112" i="19" s="1"/>
  <c r="I114" i="16"/>
  <c r="H114" i="14"/>
  <c r="J114" i="14" s="1"/>
  <c r="F115" i="16"/>
  <c r="G115" i="16" s="1"/>
  <c r="K114" i="16"/>
  <c r="F115" i="17"/>
  <c r="G115" i="17" s="1"/>
  <c r="K114" i="17"/>
  <c r="I114" i="17"/>
  <c r="I114" i="18"/>
  <c r="F115" i="18"/>
  <c r="K114" i="18"/>
  <c r="T116" i="19"/>
  <c r="C116" i="15"/>
  <c r="E116" i="15" s="1"/>
  <c r="Q117" i="19"/>
  <c r="R117" i="19" s="1"/>
  <c r="AD148" i="14"/>
  <c r="Q81" i="14"/>
  <c r="T80" i="14"/>
  <c r="H112" i="19" l="1"/>
  <c r="J112" i="19" s="1"/>
  <c r="F115" i="14"/>
  <c r="K114" i="14"/>
  <c r="H115" i="16"/>
  <c r="J115" i="16" s="1"/>
  <c r="I114" i="14"/>
  <c r="H115" i="17"/>
  <c r="J115" i="17" s="1"/>
  <c r="G115" i="18"/>
  <c r="H115" i="18" s="1"/>
  <c r="J115" i="18" s="1"/>
  <c r="S117" i="19"/>
  <c r="U117" i="19" s="1"/>
  <c r="AE148" i="14"/>
  <c r="AG148" i="14" s="1"/>
  <c r="R81" i="14"/>
  <c r="S81" i="14" s="1"/>
  <c r="I112" i="19" l="1"/>
  <c r="F113" i="19"/>
  <c r="G113" i="19" s="1"/>
  <c r="K112" i="19"/>
  <c r="AB12" i="1" s="1"/>
  <c r="I115" i="16"/>
  <c r="K115" i="16"/>
  <c r="F116" i="16"/>
  <c r="G116" i="16" s="1"/>
  <c r="G115" i="14"/>
  <c r="H115" i="14" s="1"/>
  <c r="J115" i="14" s="1"/>
  <c r="I115" i="17"/>
  <c r="T117" i="19"/>
  <c r="F116" i="17"/>
  <c r="K115" i="17"/>
  <c r="F116" i="18"/>
  <c r="K115" i="18"/>
  <c r="I115" i="18"/>
  <c r="Q118" i="19"/>
  <c r="R118" i="19" s="1"/>
  <c r="C117" i="15"/>
  <c r="E117" i="15" s="1"/>
  <c r="AC149" i="14"/>
  <c r="AF148" i="14"/>
  <c r="U81" i="14"/>
  <c r="H113" i="19" l="1"/>
  <c r="J113" i="19" s="1"/>
  <c r="F116" i="14"/>
  <c r="G116" i="14" s="1"/>
  <c r="K115" i="14"/>
  <c r="I115" i="14"/>
  <c r="H116" i="16"/>
  <c r="J116" i="16" s="1"/>
  <c r="G116" i="17"/>
  <c r="H116" i="17" s="1"/>
  <c r="J116" i="17" s="1"/>
  <c r="G116" i="18"/>
  <c r="H116" i="18" s="1"/>
  <c r="J116" i="18" s="1"/>
  <c r="S118" i="19"/>
  <c r="U118" i="19" s="1"/>
  <c r="AD149" i="14"/>
  <c r="Q82" i="14"/>
  <c r="T81" i="14"/>
  <c r="I113" i="19" l="1"/>
  <c r="F114" i="19"/>
  <c r="G114" i="19" s="1"/>
  <c r="K113" i="19"/>
  <c r="F117" i="16"/>
  <c r="G117" i="16" s="1"/>
  <c r="K116" i="16"/>
  <c r="I116" i="16"/>
  <c r="H116" i="14"/>
  <c r="J116" i="14" s="1"/>
  <c r="F117" i="17"/>
  <c r="K116" i="17"/>
  <c r="I116" i="17"/>
  <c r="F117" i="18"/>
  <c r="K116" i="18"/>
  <c r="I116" i="18"/>
  <c r="T118" i="19"/>
  <c r="C118" i="15"/>
  <c r="E118" i="15" s="1"/>
  <c r="Q119" i="19"/>
  <c r="R119" i="19" s="1"/>
  <c r="AE149" i="14"/>
  <c r="AG149" i="14" s="1"/>
  <c r="R82" i="14"/>
  <c r="S82" i="14" s="1"/>
  <c r="H114" i="19" l="1"/>
  <c r="J114" i="19" s="1"/>
  <c r="I116" i="14"/>
  <c r="F117" i="14"/>
  <c r="K116" i="14"/>
  <c r="H117" i="16"/>
  <c r="J117" i="16" s="1"/>
  <c r="G117" i="17"/>
  <c r="H117" i="17" s="1"/>
  <c r="J117" i="17" s="1"/>
  <c r="G117" i="18"/>
  <c r="H117" i="18" s="1"/>
  <c r="J117" i="18" s="1"/>
  <c r="S119" i="19"/>
  <c r="U119" i="19" s="1"/>
  <c r="AC150" i="14"/>
  <c r="AF149" i="14"/>
  <c r="U82" i="14"/>
  <c r="I114" i="19" l="1"/>
  <c r="K114" i="19"/>
  <c r="F115" i="19"/>
  <c r="G115" i="19" s="1"/>
  <c r="I117" i="16"/>
  <c r="G117" i="14"/>
  <c r="H117" i="14" s="1"/>
  <c r="J117" i="14" s="1"/>
  <c r="K117" i="16"/>
  <c r="F118" i="16"/>
  <c r="G118" i="16" s="1"/>
  <c r="F118" i="17"/>
  <c r="K117" i="17"/>
  <c r="I117" i="17"/>
  <c r="F118" i="18"/>
  <c r="K117" i="18"/>
  <c r="I117" i="18"/>
  <c r="T119" i="19"/>
  <c r="C119" i="15"/>
  <c r="E119" i="15" s="1"/>
  <c r="Q120" i="19"/>
  <c r="R120" i="19" s="1"/>
  <c r="AD150" i="14"/>
  <c r="Q83" i="14"/>
  <c r="T82" i="14"/>
  <c r="H115" i="19" l="1"/>
  <c r="J115" i="19" s="1"/>
  <c r="K117" i="14"/>
  <c r="F118" i="14"/>
  <c r="I117" i="14"/>
  <c r="H118" i="16"/>
  <c r="J118" i="16" s="1"/>
  <c r="G118" i="17"/>
  <c r="H118" i="17" s="1"/>
  <c r="J118" i="17" s="1"/>
  <c r="G118" i="18"/>
  <c r="H118" i="18" s="1"/>
  <c r="J118" i="18" s="1"/>
  <c r="S120" i="19"/>
  <c r="U120" i="19" s="1"/>
  <c r="AE150" i="14"/>
  <c r="AG150" i="14" s="1"/>
  <c r="R83" i="14"/>
  <c r="S83" i="14" s="1"/>
  <c r="I115" i="19" l="1"/>
  <c r="K115" i="19"/>
  <c r="F116" i="19"/>
  <c r="I118" i="16"/>
  <c r="F119" i="16"/>
  <c r="G119" i="16" s="1"/>
  <c r="K118" i="16"/>
  <c r="G118" i="14"/>
  <c r="H118" i="14" s="1"/>
  <c r="J118" i="14" s="1"/>
  <c r="F119" i="17"/>
  <c r="K118" i="17"/>
  <c r="I118" i="17"/>
  <c r="F119" i="18"/>
  <c r="K118" i="18"/>
  <c r="I118" i="18"/>
  <c r="T120" i="19"/>
  <c r="C120" i="15"/>
  <c r="E120" i="15" s="1"/>
  <c r="Q121" i="19"/>
  <c r="R121" i="19" s="1"/>
  <c r="AC151" i="14"/>
  <c r="AF150" i="14"/>
  <c r="U83" i="14"/>
  <c r="G116" i="19" l="1"/>
  <c r="H116" i="19" s="1"/>
  <c r="J116" i="19" s="1"/>
  <c r="I118" i="14"/>
  <c r="K118" i="14"/>
  <c r="F119" i="14"/>
  <c r="G119" i="14" s="1"/>
  <c r="H119" i="16"/>
  <c r="J119" i="16" s="1"/>
  <c r="G119" i="17"/>
  <c r="H119" i="17" s="1"/>
  <c r="J119" i="17" s="1"/>
  <c r="G119" i="18"/>
  <c r="H119" i="18" s="1"/>
  <c r="J119" i="18" s="1"/>
  <c r="S121" i="19"/>
  <c r="U121" i="19" s="1"/>
  <c r="AD151" i="14"/>
  <c r="Q84" i="14"/>
  <c r="T83" i="14"/>
  <c r="K116" i="19" l="1"/>
  <c r="F117" i="19"/>
  <c r="G117" i="19" s="1"/>
  <c r="I116" i="19"/>
  <c r="I119" i="16"/>
  <c r="H119" i="14"/>
  <c r="J119" i="14" s="1"/>
  <c r="K119" i="16"/>
  <c r="F120" i="16"/>
  <c r="T121" i="19"/>
  <c r="F120" i="17"/>
  <c r="K119" i="17"/>
  <c r="I119" i="17"/>
  <c r="F120" i="18"/>
  <c r="K119" i="18"/>
  <c r="I119" i="18"/>
  <c r="C121" i="15"/>
  <c r="E121" i="15" s="1"/>
  <c r="Q122" i="19"/>
  <c r="R122" i="19" s="1"/>
  <c r="AE151" i="14"/>
  <c r="AG151" i="14" s="1"/>
  <c r="R84" i="14"/>
  <c r="S84" i="14" s="1"/>
  <c r="H117" i="19" l="1"/>
  <c r="J117" i="19" s="1"/>
  <c r="G120" i="16"/>
  <c r="H120" i="16" s="1"/>
  <c r="J120" i="16" s="1"/>
  <c r="I119" i="14"/>
  <c r="K119" i="14"/>
  <c r="F120" i="14"/>
  <c r="G120" i="17"/>
  <c r="H120" i="17" s="1"/>
  <c r="J120" i="17" s="1"/>
  <c r="G120" i="18"/>
  <c r="H120" i="18" s="1"/>
  <c r="J120" i="18" s="1"/>
  <c r="S122" i="19"/>
  <c r="U122" i="19" s="1"/>
  <c r="AC152" i="14"/>
  <c r="AF151" i="14"/>
  <c r="U84" i="14"/>
  <c r="I117" i="19" l="1"/>
  <c r="K117" i="19"/>
  <c r="F118" i="19"/>
  <c r="G118" i="19" s="1"/>
  <c r="G120" i="14"/>
  <c r="H120" i="14" s="1"/>
  <c r="J120" i="14" s="1"/>
  <c r="F121" i="16"/>
  <c r="K120" i="16"/>
  <c r="I120" i="16"/>
  <c r="F121" i="17"/>
  <c r="K120" i="17"/>
  <c r="I120" i="17"/>
  <c r="F121" i="18"/>
  <c r="K120" i="18"/>
  <c r="I120" i="18"/>
  <c r="T122" i="19"/>
  <c r="C122" i="15"/>
  <c r="E122" i="15" s="1"/>
  <c r="Q123" i="19"/>
  <c r="R123" i="19" s="1"/>
  <c r="AD152" i="14"/>
  <c r="Q85" i="14"/>
  <c r="T84" i="14"/>
  <c r="H118" i="19" l="1"/>
  <c r="J118" i="19" s="1"/>
  <c r="K120" i="14"/>
  <c r="F121" i="14"/>
  <c r="G121" i="16"/>
  <c r="H121" i="16" s="1"/>
  <c r="J121" i="16" s="1"/>
  <c r="I120" i="14"/>
  <c r="G121" i="17"/>
  <c r="H121" i="17" s="1"/>
  <c r="J121" i="17" s="1"/>
  <c r="G121" i="18"/>
  <c r="H121" i="18" s="1"/>
  <c r="J121" i="18" s="1"/>
  <c r="S123" i="19"/>
  <c r="U123" i="19" s="1"/>
  <c r="AE152" i="14"/>
  <c r="AG152" i="14" s="1"/>
  <c r="R85" i="14"/>
  <c r="S85" i="14" s="1"/>
  <c r="I118" i="19" l="1"/>
  <c r="K118" i="19"/>
  <c r="F119" i="19"/>
  <c r="G119" i="19" s="1"/>
  <c r="F122" i="16"/>
  <c r="K121" i="16"/>
  <c r="I121" i="16"/>
  <c r="G121" i="14"/>
  <c r="H121" i="14" s="1"/>
  <c r="J121" i="14" s="1"/>
  <c r="F122" i="17"/>
  <c r="K121" i="17"/>
  <c r="I121" i="17"/>
  <c r="F122" i="18"/>
  <c r="K121" i="18"/>
  <c r="I121" i="18"/>
  <c r="T123" i="19"/>
  <c r="Q124" i="19"/>
  <c r="C123" i="15"/>
  <c r="E123" i="15" s="1"/>
  <c r="AC153" i="14"/>
  <c r="AF152" i="14"/>
  <c r="U85" i="14"/>
  <c r="H119" i="19" l="1"/>
  <c r="J119" i="19" s="1"/>
  <c r="F122" i="14"/>
  <c r="K121" i="14"/>
  <c r="I121" i="14"/>
  <c r="G122" i="16"/>
  <c r="H122" i="16" s="1"/>
  <c r="J122" i="16" s="1"/>
  <c r="G122" i="17"/>
  <c r="H122" i="17" s="1"/>
  <c r="J122" i="17" s="1"/>
  <c r="G122" i="18"/>
  <c r="H122" i="18" s="1"/>
  <c r="J122" i="18" s="1"/>
  <c r="R124" i="19"/>
  <c r="S124" i="19" s="1"/>
  <c r="U124" i="19" s="1"/>
  <c r="AD153" i="14"/>
  <c r="Q86" i="14"/>
  <c r="T85" i="14"/>
  <c r="I119" i="19" l="1"/>
  <c r="K119" i="19"/>
  <c r="F120" i="19"/>
  <c r="G120" i="19" s="1"/>
  <c r="F123" i="16"/>
  <c r="G123" i="16" s="1"/>
  <c r="K122" i="16"/>
  <c r="I122" i="16"/>
  <c r="G122" i="14"/>
  <c r="H122" i="14" s="1"/>
  <c r="J122" i="14" s="1"/>
  <c r="F123" i="17"/>
  <c r="G123" i="17" s="1"/>
  <c r="K122" i="17"/>
  <c r="I122" i="17"/>
  <c r="F123" i="18"/>
  <c r="K122" i="18"/>
  <c r="I122" i="18"/>
  <c r="Q125" i="19"/>
  <c r="C124" i="15"/>
  <c r="E124" i="15" s="1"/>
  <c r="T124" i="19"/>
  <c r="AE153" i="14"/>
  <c r="AG153" i="14" s="1"/>
  <c r="R86" i="14"/>
  <c r="S86" i="14" s="1"/>
  <c r="H120" i="19" l="1"/>
  <c r="J120" i="19" s="1"/>
  <c r="K122" i="14"/>
  <c r="F123" i="14"/>
  <c r="I122" i="14"/>
  <c r="H123" i="16"/>
  <c r="J123" i="16" s="1"/>
  <c r="H123" i="17"/>
  <c r="J123" i="17" s="1"/>
  <c r="G123" i="18"/>
  <c r="H123" i="18" s="1"/>
  <c r="J123" i="18" s="1"/>
  <c r="R125" i="19"/>
  <c r="S125" i="19" s="1"/>
  <c r="U125" i="19" s="1"/>
  <c r="AC154" i="14"/>
  <c r="AF153" i="14"/>
  <c r="U86" i="14"/>
  <c r="I120" i="19" l="1"/>
  <c r="F121" i="19"/>
  <c r="G121" i="19" s="1"/>
  <c r="K120" i="19"/>
  <c r="I123" i="16"/>
  <c r="G123" i="14"/>
  <c r="H123" i="14" s="1"/>
  <c r="J123" i="14" s="1"/>
  <c r="K123" i="16"/>
  <c r="F124" i="16"/>
  <c r="G124" i="16" s="1"/>
  <c r="I123" i="17"/>
  <c r="F124" i="17"/>
  <c r="K123" i="17"/>
  <c r="F124" i="18"/>
  <c r="K123" i="18"/>
  <c r="I123" i="18"/>
  <c r="Q126" i="19"/>
  <c r="R126" i="19" s="1"/>
  <c r="C125" i="15"/>
  <c r="E125" i="15" s="1"/>
  <c r="T125" i="19"/>
  <c r="AD154" i="14"/>
  <c r="Q87" i="14"/>
  <c r="T86" i="14"/>
  <c r="H121" i="19" l="1"/>
  <c r="J121" i="19" s="1"/>
  <c r="F124" i="14"/>
  <c r="K123" i="14"/>
  <c r="I123" i="14"/>
  <c r="H124" i="16"/>
  <c r="J124" i="16" s="1"/>
  <c r="G124" i="17"/>
  <c r="H124" i="17" s="1"/>
  <c r="J124" i="17" s="1"/>
  <c r="G124" i="18"/>
  <c r="H124" i="18" s="1"/>
  <c r="J124" i="18" s="1"/>
  <c r="S126" i="19"/>
  <c r="U126" i="19" s="1"/>
  <c r="AE154" i="14"/>
  <c r="AG154" i="14" s="1"/>
  <c r="R87" i="14"/>
  <c r="S87" i="14" s="1"/>
  <c r="I121" i="19" l="1"/>
  <c r="K121" i="19"/>
  <c r="F122" i="19"/>
  <c r="G122" i="19" s="1"/>
  <c r="F125" i="16"/>
  <c r="G125" i="16" s="1"/>
  <c r="K124" i="16"/>
  <c r="S13" i="1" s="1"/>
  <c r="I124" i="16"/>
  <c r="G124" i="14"/>
  <c r="H124" i="14" s="1"/>
  <c r="J124" i="14" s="1"/>
  <c r="T126" i="19"/>
  <c r="F125" i="17"/>
  <c r="K124" i="17"/>
  <c r="V13" i="1" s="1"/>
  <c r="I124" i="17"/>
  <c r="F125" i="18"/>
  <c r="G125" i="18" s="1"/>
  <c r="K124" i="18"/>
  <c r="Y13" i="1" s="1"/>
  <c r="I124" i="18"/>
  <c r="C126" i="15"/>
  <c r="E126" i="15" s="1"/>
  <c r="Q127" i="19"/>
  <c r="R127" i="19" s="1"/>
  <c r="AC155" i="14"/>
  <c r="AF154" i="14"/>
  <c r="U87" i="14"/>
  <c r="H122" i="19" l="1"/>
  <c r="J122" i="19" s="1"/>
  <c r="K124" i="14"/>
  <c r="P13" i="1" s="1"/>
  <c r="F125" i="14"/>
  <c r="I124" i="14"/>
  <c r="H125" i="16"/>
  <c r="J125" i="16" s="1"/>
  <c r="G125" i="17"/>
  <c r="H125" i="17" s="1"/>
  <c r="J125" i="17" s="1"/>
  <c r="H125" i="18"/>
  <c r="J125" i="18" s="1"/>
  <c r="S127" i="19"/>
  <c r="U127" i="19" s="1"/>
  <c r="AD155" i="14"/>
  <c r="Q88" i="14"/>
  <c r="T87" i="14"/>
  <c r="I122" i="19" l="1"/>
  <c r="K122" i="19"/>
  <c r="F123" i="19"/>
  <c r="G123" i="19" s="1"/>
  <c r="F126" i="16"/>
  <c r="G126" i="16" s="1"/>
  <c r="K125" i="16"/>
  <c r="G125" i="14"/>
  <c r="I125" i="16"/>
  <c r="F126" i="17"/>
  <c r="K125" i="17"/>
  <c r="I125" i="17"/>
  <c r="T127" i="19"/>
  <c r="I125" i="18"/>
  <c r="F126" i="18"/>
  <c r="K125" i="18"/>
  <c r="C127" i="15"/>
  <c r="E127" i="15" s="1"/>
  <c r="Q128" i="19"/>
  <c r="R128" i="19" s="1"/>
  <c r="AE155" i="14"/>
  <c r="AG155" i="14" s="1"/>
  <c r="R88" i="14"/>
  <c r="S88" i="14" s="1"/>
  <c r="H123" i="19" l="1"/>
  <c r="J123" i="19" s="1"/>
  <c r="H125" i="14"/>
  <c r="J125" i="14" s="1"/>
  <c r="H126" i="16"/>
  <c r="J126" i="16" s="1"/>
  <c r="G126" i="17"/>
  <c r="H126" i="17" s="1"/>
  <c r="J126" i="17" s="1"/>
  <c r="G126" i="18"/>
  <c r="H126" i="18" s="1"/>
  <c r="J126" i="18" s="1"/>
  <c r="S128" i="19"/>
  <c r="U128" i="19" s="1"/>
  <c r="AC156" i="14"/>
  <c r="AF155" i="14"/>
  <c r="U88" i="14"/>
  <c r="I123" i="19" l="1"/>
  <c r="I126" i="16"/>
  <c r="K123" i="19"/>
  <c r="F124" i="19"/>
  <c r="G124" i="19" s="1"/>
  <c r="K126" i="16"/>
  <c r="F127" i="16"/>
  <c r="G127" i="16" s="1"/>
  <c r="F126" i="14"/>
  <c r="G126" i="14" s="1"/>
  <c r="K125" i="14"/>
  <c r="I125" i="14"/>
  <c r="F127" i="17"/>
  <c r="K126" i="17"/>
  <c r="I126" i="17"/>
  <c r="T128" i="19"/>
  <c r="F127" i="18"/>
  <c r="K126" i="18"/>
  <c r="I126" i="18"/>
  <c r="Q129" i="19"/>
  <c r="C128" i="15"/>
  <c r="E128" i="15" s="1"/>
  <c r="AD156" i="14"/>
  <c r="Q89" i="14"/>
  <c r="T88" i="14"/>
  <c r="H124" i="19" l="1"/>
  <c r="J124" i="19" s="1"/>
  <c r="H126" i="14"/>
  <c r="J126" i="14" s="1"/>
  <c r="H127" i="16"/>
  <c r="J127" i="16" s="1"/>
  <c r="G127" i="17"/>
  <c r="H127" i="17" s="1"/>
  <c r="J127" i="17" s="1"/>
  <c r="G127" i="18"/>
  <c r="H127" i="18" s="1"/>
  <c r="J127" i="18" s="1"/>
  <c r="R129" i="19"/>
  <c r="S129" i="19" s="1"/>
  <c r="U129" i="19" s="1"/>
  <c r="AE156" i="14"/>
  <c r="AG156" i="14" s="1"/>
  <c r="R89" i="14"/>
  <c r="S89" i="14" s="1"/>
  <c r="I124" i="19" l="1"/>
  <c r="K124" i="19"/>
  <c r="AB13" i="1" s="1"/>
  <c r="F125" i="19"/>
  <c r="G125" i="19" s="1"/>
  <c r="I127" i="16"/>
  <c r="K127" i="16"/>
  <c r="F128" i="16"/>
  <c r="I126" i="14"/>
  <c r="F127" i="14"/>
  <c r="K126" i="14"/>
  <c r="F128" i="17"/>
  <c r="K127" i="17"/>
  <c r="I127" i="17"/>
  <c r="F128" i="18"/>
  <c r="K127" i="18"/>
  <c r="I127" i="18"/>
  <c r="C129" i="15"/>
  <c r="E129" i="15" s="1"/>
  <c r="Q130" i="19"/>
  <c r="T129" i="19"/>
  <c r="AC157" i="14"/>
  <c r="AF156" i="14"/>
  <c r="U89" i="14"/>
  <c r="H125" i="19" l="1"/>
  <c r="J125" i="19" s="1"/>
  <c r="G127" i="14"/>
  <c r="H127" i="14" s="1"/>
  <c r="J127" i="14" s="1"/>
  <c r="G128" i="16"/>
  <c r="H128" i="16" s="1"/>
  <c r="J128" i="16" s="1"/>
  <c r="G128" i="17"/>
  <c r="H128" i="17" s="1"/>
  <c r="J128" i="17" s="1"/>
  <c r="G128" i="18"/>
  <c r="H128" i="18" s="1"/>
  <c r="J128" i="18" s="1"/>
  <c r="R130" i="19"/>
  <c r="S130" i="19" s="1"/>
  <c r="U130" i="19" s="1"/>
  <c r="AD157" i="14"/>
  <c r="Q90" i="14"/>
  <c r="T89" i="14"/>
  <c r="I125" i="19" l="1"/>
  <c r="F126" i="19"/>
  <c r="G126" i="19" s="1"/>
  <c r="K125" i="19"/>
  <c r="K128" i="16"/>
  <c r="F129" i="16"/>
  <c r="G129" i="16" s="1"/>
  <c r="I128" i="16"/>
  <c r="K127" i="14"/>
  <c r="F128" i="14"/>
  <c r="I127" i="14"/>
  <c r="I128" i="17"/>
  <c r="F129" i="17"/>
  <c r="K128" i="17"/>
  <c r="F129" i="18"/>
  <c r="K128" i="18"/>
  <c r="I128" i="18"/>
  <c r="C130" i="15"/>
  <c r="E130" i="15" s="1"/>
  <c r="Q131" i="19"/>
  <c r="R131" i="19" s="1"/>
  <c r="T130" i="19"/>
  <c r="AE157" i="14"/>
  <c r="AG157" i="14" s="1"/>
  <c r="R90" i="14"/>
  <c r="S90" i="14" s="1"/>
  <c r="H126" i="19" l="1"/>
  <c r="J126" i="19" s="1"/>
  <c r="H129" i="16"/>
  <c r="J129" i="16" s="1"/>
  <c r="G128" i="14"/>
  <c r="H128" i="14" s="1"/>
  <c r="J128" i="14" s="1"/>
  <c r="G129" i="17"/>
  <c r="H129" i="17" s="1"/>
  <c r="J129" i="17" s="1"/>
  <c r="G129" i="18"/>
  <c r="H129" i="18" s="1"/>
  <c r="J129" i="18" s="1"/>
  <c r="S131" i="19"/>
  <c r="U131" i="19" s="1"/>
  <c r="AC158" i="14"/>
  <c r="AF157" i="14"/>
  <c r="U90" i="14"/>
  <c r="I126" i="19" l="1"/>
  <c r="F127" i="19"/>
  <c r="G127" i="19" s="1"/>
  <c r="K126" i="19"/>
  <c r="F129" i="14"/>
  <c r="K128" i="14"/>
  <c r="I128" i="14"/>
  <c r="I129" i="16"/>
  <c r="F130" i="16"/>
  <c r="G130" i="16" s="1"/>
  <c r="K129" i="16"/>
  <c r="K129" i="17"/>
  <c r="F130" i="17"/>
  <c r="I129" i="17"/>
  <c r="F130" i="18"/>
  <c r="K129" i="18"/>
  <c r="I129" i="18"/>
  <c r="T131" i="19"/>
  <c r="Q132" i="19"/>
  <c r="R132" i="19" s="1"/>
  <c r="C131" i="15"/>
  <c r="E131" i="15" s="1"/>
  <c r="AD158" i="14"/>
  <c r="Q91" i="14"/>
  <c r="T90" i="14"/>
  <c r="H127" i="19" l="1"/>
  <c r="J127" i="19" s="1"/>
  <c r="H130" i="16"/>
  <c r="J130" i="16" s="1"/>
  <c r="G129" i="14"/>
  <c r="H129" i="14" s="1"/>
  <c r="J129" i="14" s="1"/>
  <c r="G130" i="17"/>
  <c r="H130" i="17" s="1"/>
  <c r="J130" i="17" s="1"/>
  <c r="G130" i="18"/>
  <c r="H130" i="18" s="1"/>
  <c r="J130" i="18" s="1"/>
  <c r="S132" i="19"/>
  <c r="U132" i="19" s="1"/>
  <c r="AE158" i="14"/>
  <c r="AG158" i="14" s="1"/>
  <c r="R91" i="14"/>
  <c r="S91" i="14" s="1"/>
  <c r="I127" i="19" l="1"/>
  <c r="I130" i="16"/>
  <c r="F128" i="19"/>
  <c r="G128" i="19" s="1"/>
  <c r="K127" i="19"/>
  <c r="F130" i="14"/>
  <c r="K129" i="14"/>
  <c r="I129" i="14"/>
  <c r="F131" i="16"/>
  <c r="G131" i="16" s="1"/>
  <c r="K130" i="16"/>
  <c r="F131" i="17"/>
  <c r="K130" i="17"/>
  <c r="I130" i="17"/>
  <c r="F131" i="18"/>
  <c r="K130" i="18"/>
  <c r="I130" i="18"/>
  <c r="T132" i="19"/>
  <c r="Q133" i="19"/>
  <c r="R133" i="19" s="1"/>
  <c r="C132" i="15"/>
  <c r="E132" i="15" s="1"/>
  <c r="AC159" i="14"/>
  <c r="AF158" i="14"/>
  <c r="U91" i="14"/>
  <c r="H128" i="19" l="1"/>
  <c r="J128" i="19" s="1"/>
  <c r="H131" i="16"/>
  <c r="J131" i="16" s="1"/>
  <c r="G130" i="14"/>
  <c r="H130" i="14" s="1"/>
  <c r="J130" i="14" s="1"/>
  <c r="G131" i="17"/>
  <c r="H131" i="17" s="1"/>
  <c r="J131" i="17" s="1"/>
  <c r="G131" i="18"/>
  <c r="S133" i="19"/>
  <c r="U133" i="19" s="1"/>
  <c r="AD159" i="14"/>
  <c r="Q92" i="14"/>
  <c r="T91" i="14"/>
  <c r="I128" i="19" l="1"/>
  <c r="I131" i="16"/>
  <c r="K128" i="19"/>
  <c r="F129" i="19"/>
  <c r="G129" i="19" s="1"/>
  <c r="K130" i="14"/>
  <c r="F131" i="14"/>
  <c r="I130" i="14"/>
  <c r="K131" i="16"/>
  <c r="F132" i="16"/>
  <c r="G132" i="16" s="1"/>
  <c r="F132" i="17"/>
  <c r="K131" i="17"/>
  <c r="I131" i="17"/>
  <c r="H131" i="18"/>
  <c r="J131" i="18" s="1"/>
  <c r="T133" i="19"/>
  <c r="C133" i="15"/>
  <c r="E133" i="15" s="1"/>
  <c r="Q134" i="19"/>
  <c r="R134" i="19" s="1"/>
  <c r="AE159" i="14"/>
  <c r="AG159" i="14" s="1"/>
  <c r="R92" i="14"/>
  <c r="S92" i="14" s="1"/>
  <c r="H129" i="19" l="1"/>
  <c r="J129" i="19" s="1"/>
  <c r="H132" i="16"/>
  <c r="J132" i="16" s="1"/>
  <c r="G131" i="14"/>
  <c r="H131" i="14" s="1"/>
  <c r="J131" i="14" s="1"/>
  <c r="G132" i="17"/>
  <c r="H132" i="17" s="1"/>
  <c r="J132" i="17" s="1"/>
  <c r="F132" i="18"/>
  <c r="K131" i="18"/>
  <c r="I131" i="18"/>
  <c r="S134" i="19"/>
  <c r="U134" i="19" s="1"/>
  <c r="AC160" i="14"/>
  <c r="AF159" i="14"/>
  <c r="U92" i="14"/>
  <c r="I129" i="19" l="1"/>
  <c r="K129" i="19"/>
  <c r="F130" i="19"/>
  <c r="G130" i="19" s="1"/>
  <c r="F132" i="14"/>
  <c r="K131" i="14"/>
  <c r="I131" i="14"/>
  <c r="I132" i="16"/>
  <c r="F133" i="16"/>
  <c r="G133" i="16" s="1"/>
  <c r="K132" i="16"/>
  <c r="F133" i="17"/>
  <c r="K132" i="17"/>
  <c r="I132" i="17"/>
  <c r="G132" i="18"/>
  <c r="H132" i="18" s="1"/>
  <c r="J132" i="18" s="1"/>
  <c r="T134" i="19"/>
  <c r="C134" i="15"/>
  <c r="E134" i="15" s="1"/>
  <c r="Q135" i="19"/>
  <c r="R135" i="19" s="1"/>
  <c r="AD160" i="14"/>
  <c r="Q93" i="14"/>
  <c r="T92" i="14"/>
  <c r="H130" i="19" l="1"/>
  <c r="J130" i="19" s="1"/>
  <c r="H133" i="16"/>
  <c r="J133" i="16" s="1"/>
  <c r="G132" i="14"/>
  <c r="H132" i="14" s="1"/>
  <c r="J132" i="14" s="1"/>
  <c r="G133" i="17"/>
  <c r="H133" i="17" s="1"/>
  <c r="J133" i="17" s="1"/>
  <c r="F133" i="18"/>
  <c r="K132" i="18"/>
  <c r="I132" i="18"/>
  <c r="S135" i="19"/>
  <c r="U135" i="19" s="1"/>
  <c r="AE160" i="14"/>
  <c r="AG160" i="14" s="1"/>
  <c r="R93" i="14"/>
  <c r="S93" i="14" s="1"/>
  <c r="I130" i="19" l="1"/>
  <c r="I133" i="16"/>
  <c r="K130" i="19"/>
  <c r="F131" i="19"/>
  <c r="G131" i="19" s="1"/>
  <c r="K132" i="14"/>
  <c r="F133" i="14"/>
  <c r="G133" i="14" s="1"/>
  <c r="I132" i="14"/>
  <c r="F134" i="16"/>
  <c r="K133" i="16"/>
  <c r="F134" i="17"/>
  <c r="K133" i="17"/>
  <c r="T135" i="19"/>
  <c r="I133" i="17"/>
  <c r="G133" i="18"/>
  <c r="H133" i="18" s="1"/>
  <c r="J133" i="18" s="1"/>
  <c r="C135" i="15"/>
  <c r="E135" i="15" s="1"/>
  <c r="Q136" i="19"/>
  <c r="R136" i="19" s="1"/>
  <c r="AC161" i="14"/>
  <c r="AF160" i="14"/>
  <c r="U93" i="14"/>
  <c r="H131" i="19" l="1"/>
  <c r="J131" i="19" s="1"/>
  <c r="H133" i="14"/>
  <c r="J133" i="14" s="1"/>
  <c r="G134" i="16"/>
  <c r="H134" i="16" s="1"/>
  <c r="J134" i="16" s="1"/>
  <c r="G134" i="17"/>
  <c r="H134" i="17" s="1"/>
  <c r="J134" i="17" s="1"/>
  <c r="I133" i="18"/>
  <c r="F134" i="18"/>
  <c r="G134" i="18" s="1"/>
  <c r="K133" i="18"/>
  <c r="S136" i="19"/>
  <c r="U136" i="19" s="1"/>
  <c r="AD161" i="14"/>
  <c r="Q94" i="14"/>
  <c r="T93" i="14"/>
  <c r="I133" i="14" l="1"/>
  <c r="I131" i="19"/>
  <c r="K131" i="19"/>
  <c r="F132" i="19"/>
  <c r="G132" i="19" s="1"/>
  <c r="F135" i="16"/>
  <c r="G135" i="16" s="1"/>
  <c r="H135" i="16" s="1"/>
  <c r="J135" i="16" s="1"/>
  <c r="K135" i="16" s="1"/>
  <c r="K134" i="16"/>
  <c r="I134" i="16"/>
  <c r="F134" i="14"/>
  <c r="K133" i="14"/>
  <c r="F135" i="17"/>
  <c r="K134" i="17"/>
  <c r="I134" i="17"/>
  <c r="H134" i="18"/>
  <c r="J134" i="18" s="1"/>
  <c r="T136" i="19"/>
  <c r="C136" i="15"/>
  <c r="E136" i="15" s="1"/>
  <c r="Q137" i="19"/>
  <c r="R137" i="19" s="1"/>
  <c r="AE161" i="14"/>
  <c r="AG161" i="14" s="1"/>
  <c r="R94" i="14"/>
  <c r="S94" i="14" s="1"/>
  <c r="F136" i="16" l="1"/>
  <c r="H132" i="19"/>
  <c r="J132" i="19" s="1"/>
  <c r="I135" i="16"/>
  <c r="G134" i="14"/>
  <c r="H134" i="14" s="1"/>
  <c r="J134" i="14" s="1"/>
  <c r="G135" i="17"/>
  <c r="H135" i="17" s="1"/>
  <c r="J135" i="17" s="1"/>
  <c r="G136" i="16"/>
  <c r="H136" i="16" s="1"/>
  <c r="J136" i="16" s="1"/>
  <c r="I134" i="18"/>
  <c r="F135" i="18"/>
  <c r="K134" i="18"/>
  <c r="S137" i="19"/>
  <c r="U137" i="19" s="1"/>
  <c r="AC162" i="14"/>
  <c r="AF161" i="14"/>
  <c r="U94" i="14"/>
  <c r="I132" i="19" l="1"/>
  <c r="F133" i="19"/>
  <c r="G133" i="19" s="1"/>
  <c r="K132" i="19"/>
  <c r="K134" i="14"/>
  <c r="F135" i="14"/>
  <c r="I134" i="14"/>
  <c r="K135" i="17"/>
  <c r="F136" i="17"/>
  <c r="T137" i="19"/>
  <c r="I135" i="17"/>
  <c r="F137" i="16"/>
  <c r="K136" i="16"/>
  <c r="S14" i="1" s="1"/>
  <c r="G135" i="18"/>
  <c r="H135" i="18" s="1"/>
  <c r="J135" i="18" s="1"/>
  <c r="I136" i="16"/>
  <c r="C137" i="15"/>
  <c r="E137" i="15" s="1"/>
  <c r="Q138" i="19"/>
  <c r="R138" i="19" s="1"/>
  <c r="AD162" i="14"/>
  <c r="Q95" i="14"/>
  <c r="T94" i="14"/>
  <c r="H133" i="19" l="1"/>
  <c r="J133" i="19" s="1"/>
  <c r="G135" i="14"/>
  <c r="H135" i="14" s="1"/>
  <c r="J135" i="14" s="1"/>
  <c r="G136" i="17"/>
  <c r="H136" i="17" s="1"/>
  <c r="J136" i="17" s="1"/>
  <c r="F136" i="18"/>
  <c r="K135" i="18"/>
  <c r="I135" i="18"/>
  <c r="G137" i="16"/>
  <c r="H137" i="16" s="1"/>
  <c r="J137" i="16" s="1"/>
  <c r="S138" i="19"/>
  <c r="U138" i="19" s="1"/>
  <c r="AE162" i="14"/>
  <c r="AG162" i="14" s="1"/>
  <c r="R95" i="14"/>
  <c r="S95" i="14" s="1"/>
  <c r="I133" i="19" l="1"/>
  <c r="K133" i="19"/>
  <c r="F134" i="19"/>
  <c r="G134" i="19" s="1"/>
  <c r="K135" i="14"/>
  <c r="F136" i="14"/>
  <c r="I135" i="14"/>
  <c r="K136" i="17"/>
  <c r="F137" i="17"/>
  <c r="I136" i="17"/>
  <c r="F138" i="16"/>
  <c r="K137" i="16"/>
  <c r="I137" i="16"/>
  <c r="G136" i="18"/>
  <c r="H136" i="18" s="1"/>
  <c r="J136" i="18" s="1"/>
  <c r="T138" i="19"/>
  <c r="Q139" i="19"/>
  <c r="R139" i="19" s="1"/>
  <c r="C138" i="15"/>
  <c r="E138" i="15" s="1"/>
  <c r="AC163" i="14"/>
  <c r="AF162" i="14"/>
  <c r="U95" i="14"/>
  <c r="H134" i="19" l="1"/>
  <c r="J134" i="19" s="1"/>
  <c r="G136" i="14"/>
  <c r="H136" i="14" s="1"/>
  <c r="J136" i="14" s="1"/>
  <c r="G137" i="17"/>
  <c r="H137" i="17" s="1"/>
  <c r="J137" i="17" s="1"/>
  <c r="F137" i="18"/>
  <c r="K136" i="18"/>
  <c r="Y14" i="1" s="1"/>
  <c r="G138" i="16"/>
  <c r="H138" i="16" s="1"/>
  <c r="J138" i="16" s="1"/>
  <c r="I136" i="18"/>
  <c r="S139" i="19"/>
  <c r="U139" i="19" s="1"/>
  <c r="AD163" i="14"/>
  <c r="Q96" i="14"/>
  <c r="T95" i="14"/>
  <c r="I134" i="19" l="1"/>
  <c r="K134" i="19"/>
  <c r="F135" i="19"/>
  <c r="G135" i="19" s="1"/>
  <c r="F137" i="14"/>
  <c r="K136" i="14"/>
  <c r="P14" i="1" s="1"/>
  <c r="I136" i="14"/>
  <c r="F138" i="17"/>
  <c r="K137" i="17"/>
  <c r="I137" i="17"/>
  <c r="T139" i="19"/>
  <c r="F139" i="16"/>
  <c r="K138" i="16"/>
  <c r="I138" i="16"/>
  <c r="G137" i="18"/>
  <c r="H137" i="18" s="1"/>
  <c r="J137" i="18" s="1"/>
  <c r="C139" i="15"/>
  <c r="E139" i="15" s="1"/>
  <c r="Q140" i="19"/>
  <c r="R140" i="19" s="1"/>
  <c r="AE163" i="14"/>
  <c r="AG163" i="14" s="1"/>
  <c r="R96" i="14"/>
  <c r="S96" i="14" s="1"/>
  <c r="H135" i="19" l="1"/>
  <c r="J135" i="19" s="1"/>
  <c r="G137" i="14"/>
  <c r="H137" i="14" s="1"/>
  <c r="J137" i="14" s="1"/>
  <c r="G138" i="17"/>
  <c r="H138" i="17" s="1"/>
  <c r="J138" i="17" s="1"/>
  <c r="F138" i="18"/>
  <c r="K137" i="18"/>
  <c r="I137" i="18"/>
  <c r="G139" i="16"/>
  <c r="H139" i="16" s="1"/>
  <c r="J139" i="16" s="1"/>
  <c r="S140" i="19"/>
  <c r="U140" i="19" s="1"/>
  <c r="AC164" i="14"/>
  <c r="AF163" i="14"/>
  <c r="U96" i="14"/>
  <c r="I135" i="19" l="1"/>
  <c r="K135" i="19"/>
  <c r="F136" i="19"/>
  <c r="G136" i="19" s="1"/>
  <c r="F138" i="14"/>
  <c r="K137" i="14"/>
  <c r="I137" i="14"/>
  <c r="F139" i="17"/>
  <c r="K138" i="17"/>
  <c r="I138" i="17"/>
  <c r="F140" i="16"/>
  <c r="K139" i="16"/>
  <c r="I139" i="16"/>
  <c r="G138" i="18"/>
  <c r="H138" i="18" s="1"/>
  <c r="J138" i="18" s="1"/>
  <c r="T140" i="19"/>
  <c r="C140" i="15"/>
  <c r="E140" i="15" s="1"/>
  <c r="Q141" i="19"/>
  <c r="R141" i="19" s="1"/>
  <c r="AD164" i="14"/>
  <c r="Q97" i="14"/>
  <c r="T96" i="14"/>
  <c r="H136" i="19" l="1"/>
  <c r="J136" i="19" s="1"/>
  <c r="G138" i="14"/>
  <c r="H138" i="14" s="1"/>
  <c r="J138" i="14" s="1"/>
  <c r="G139" i="17"/>
  <c r="H139" i="17" s="1"/>
  <c r="J139" i="17" s="1"/>
  <c r="F139" i="18"/>
  <c r="K138" i="18"/>
  <c r="I138" i="18"/>
  <c r="G140" i="16"/>
  <c r="H140" i="16" s="1"/>
  <c r="J140" i="16" s="1"/>
  <c r="S141" i="19"/>
  <c r="U141" i="19" s="1"/>
  <c r="AE164" i="14"/>
  <c r="AG164" i="14" s="1"/>
  <c r="R97" i="14"/>
  <c r="S97" i="14" s="1"/>
  <c r="I136" i="19" l="1"/>
  <c r="K136" i="19"/>
  <c r="AB14" i="1" s="1"/>
  <c r="F137" i="19"/>
  <c r="F139" i="14"/>
  <c r="K138" i="14"/>
  <c r="I138" i="14"/>
  <c r="F140" i="17"/>
  <c r="K139" i="17"/>
  <c r="I139" i="17"/>
  <c r="T141" i="19"/>
  <c r="F141" i="16"/>
  <c r="K140" i="16"/>
  <c r="I140" i="16"/>
  <c r="G139" i="18"/>
  <c r="H139" i="18" s="1"/>
  <c r="J139" i="18" s="1"/>
  <c r="Q142" i="19"/>
  <c r="C141" i="15"/>
  <c r="E141" i="15" s="1"/>
  <c r="AC165" i="14"/>
  <c r="AF164" i="14"/>
  <c r="U97" i="14"/>
  <c r="G137" i="19" l="1"/>
  <c r="H137" i="19" s="1"/>
  <c r="J137" i="19" s="1"/>
  <c r="G139" i="14"/>
  <c r="H139" i="14" s="1"/>
  <c r="J139" i="14" s="1"/>
  <c r="G140" i="17"/>
  <c r="H140" i="17" s="1"/>
  <c r="J140" i="17" s="1"/>
  <c r="F140" i="18"/>
  <c r="K139" i="18"/>
  <c r="G141" i="16"/>
  <c r="H141" i="16" s="1"/>
  <c r="J141" i="16" s="1"/>
  <c r="I139" i="18"/>
  <c r="R142" i="19"/>
  <c r="S142" i="19" s="1"/>
  <c r="U142" i="19" s="1"/>
  <c r="AD165" i="14"/>
  <c r="Q98" i="14"/>
  <c r="T97" i="14"/>
  <c r="K137" i="19" l="1"/>
  <c r="F138" i="19"/>
  <c r="G138" i="19" s="1"/>
  <c r="I137" i="19"/>
  <c r="K139" i="14"/>
  <c r="F140" i="14"/>
  <c r="I139" i="14"/>
  <c r="F141" i="17"/>
  <c r="K140" i="17"/>
  <c r="I140" i="17"/>
  <c r="F142" i="16"/>
  <c r="K141" i="16"/>
  <c r="I141" i="16"/>
  <c r="G140" i="18"/>
  <c r="H140" i="18" s="1"/>
  <c r="J140" i="18" s="1"/>
  <c r="C142" i="15"/>
  <c r="E142" i="15" s="1"/>
  <c r="Q143" i="19"/>
  <c r="R143" i="19" s="1"/>
  <c r="T142" i="19"/>
  <c r="AE165" i="14"/>
  <c r="AG165" i="14" s="1"/>
  <c r="R98" i="14"/>
  <c r="S98" i="14" s="1"/>
  <c r="H138" i="19" l="1"/>
  <c r="J138" i="19" s="1"/>
  <c r="G140" i="14"/>
  <c r="H140" i="14" s="1"/>
  <c r="J140" i="14" s="1"/>
  <c r="G141" i="17"/>
  <c r="H141" i="17" s="1"/>
  <c r="J141" i="17" s="1"/>
  <c r="F141" i="18"/>
  <c r="K140" i="18"/>
  <c r="G142" i="16"/>
  <c r="H142" i="16" s="1"/>
  <c r="J142" i="16" s="1"/>
  <c r="I140" i="18"/>
  <c r="S143" i="19"/>
  <c r="U143" i="19" s="1"/>
  <c r="AC166" i="14"/>
  <c r="AF165" i="14"/>
  <c r="U98" i="14"/>
  <c r="I138" i="19" l="1"/>
  <c r="K138" i="19"/>
  <c r="F139" i="19"/>
  <c r="G139" i="19" s="1"/>
  <c r="F141" i="14"/>
  <c r="K140" i="14"/>
  <c r="I140" i="14"/>
  <c r="T143" i="19"/>
  <c r="F142" i="17"/>
  <c r="K141" i="17"/>
  <c r="I141" i="17"/>
  <c r="F143" i="16"/>
  <c r="K142" i="16"/>
  <c r="G141" i="18"/>
  <c r="H141" i="18" s="1"/>
  <c r="J141" i="18" s="1"/>
  <c r="I142" i="16"/>
  <c r="Q144" i="19"/>
  <c r="C143" i="15"/>
  <c r="E143" i="15" s="1"/>
  <c r="AD166" i="14"/>
  <c r="Q99" i="14"/>
  <c r="T98" i="14"/>
  <c r="H139" i="19" l="1"/>
  <c r="J139" i="19" s="1"/>
  <c r="G141" i="14"/>
  <c r="H141" i="14" s="1"/>
  <c r="J141" i="14" s="1"/>
  <c r="G142" i="17"/>
  <c r="H142" i="17" s="1"/>
  <c r="J142" i="17" s="1"/>
  <c r="F142" i="18"/>
  <c r="K141" i="18"/>
  <c r="I141" i="18"/>
  <c r="G143" i="16"/>
  <c r="H143" i="16" s="1"/>
  <c r="J143" i="16" s="1"/>
  <c r="R144" i="19"/>
  <c r="S144" i="19" s="1"/>
  <c r="U144" i="19" s="1"/>
  <c r="AE166" i="14"/>
  <c r="AG166" i="14" s="1"/>
  <c r="R99" i="14"/>
  <c r="S99" i="14" s="1"/>
  <c r="I139" i="19" l="1"/>
  <c r="F140" i="19"/>
  <c r="G140" i="19" s="1"/>
  <c r="K139" i="19"/>
  <c r="F142" i="14"/>
  <c r="K141" i="14"/>
  <c r="I141" i="14"/>
  <c r="K142" i="17"/>
  <c r="F143" i="17"/>
  <c r="I142" i="17"/>
  <c r="F144" i="16"/>
  <c r="K143" i="16"/>
  <c r="G142" i="18"/>
  <c r="H142" i="18" s="1"/>
  <c r="J142" i="18" s="1"/>
  <c r="I143" i="16"/>
  <c r="Q145" i="19"/>
  <c r="R145" i="19" s="1"/>
  <c r="C144" i="15"/>
  <c r="E144" i="15" s="1"/>
  <c r="T144" i="19"/>
  <c r="AC167" i="14"/>
  <c r="AF166" i="14"/>
  <c r="U99" i="14"/>
  <c r="H140" i="19" l="1"/>
  <c r="J140" i="19" s="1"/>
  <c r="G142" i="14"/>
  <c r="H142" i="14" s="1"/>
  <c r="J142" i="14" s="1"/>
  <c r="G143" i="17"/>
  <c r="H143" i="17" s="1"/>
  <c r="J143" i="17" s="1"/>
  <c r="F143" i="18"/>
  <c r="K142" i="18"/>
  <c r="I142" i="18"/>
  <c r="G144" i="16"/>
  <c r="H144" i="16" s="1"/>
  <c r="J144" i="16" s="1"/>
  <c r="S145" i="19"/>
  <c r="U145" i="19" s="1"/>
  <c r="AD167" i="14"/>
  <c r="Q100" i="14"/>
  <c r="T99" i="14"/>
  <c r="I140" i="19" l="1"/>
  <c r="K140" i="19"/>
  <c r="F141" i="19"/>
  <c r="F143" i="14"/>
  <c r="K142" i="14"/>
  <c r="I142" i="14"/>
  <c r="K143" i="17"/>
  <c r="F144" i="17"/>
  <c r="I143" i="17"/>
  <c r="G143" i="18"/>
  <c r="H143" i="18" s="1"/>
  <c r="J143" i="18" s="1"/>
  <c r="F145" i="16"/>
  <c r="K144" i="16"/>
  <c r="I144" i="16"/>
  <c r="T145" i="19"/>
  <c r="C145" i="15"/>
  <c r="E145" i="15" s="1"/>
  <c r="Q146" i="19"/>
  <c r="R146" i="19" s="1"/>
  <c r="AE167" i="14"/>
  <c r="AG167" i="14" s="1"/>
  <c r="R100" i="14"/>
  <c r="S100" i="14" s="1"/>
  <c r="G141" i="19" l="1"/>
  <c r="H141" i="19" s="1"/>
  <c r="J141" i="19" s="1"/>
  <c r="G143" i="14"/>
  <c r="H143" i="14" s="1"/>
  <c r="J143" i="14" s="1"/>
  <c r="G144" i="17"/>
  <c r="H144" i="17" s="1"/>
  <c r="J144" i="17" s="1"/>
  <c r="G145" i="16"/>
  <c r="H145" i="16" s="1"/>
  <c r="J145" i="16" s="1"/>
  <c r="F144" i="18"/>
  <c r="K143" i="18"/>
  <c r="I143" i="18"/>
  <c r="S146" i="19"/>
  <c r="U146" i="19" s="1"/>
  <c r="AC168" i="14"/>
  <c r="AF167" i="14"/>
  <c r="U100" i="14"/>
  <c r="K141" i="19" l="1"/>
  <c r="F142" i="19"/>
  <c r="G142" i="19" s="1"/>
  <c r="H142" i="19" s="1"/>
  <c r="J142" i="19" s="1"/>
  <c r="F143" i="19" s="1"/>
  <c r="I141" i="19"/>
  <c r="F144" i="14"/>
  <c r="K143" i="14"/>
  <c r="I143" i="14"/>
  <c r="F145" i="17"/>
  <c r="K144" i="17"/>
  <c r="I144" i="17"/>
  <c r="G144" i="18"/>
  <c r="F146" i="16"/>
  <c r="K145" i="16"/>
  <c r="I145" i="16"/>
  <c r="T146" i="19"/>
  <c r="C146" i="15"/>
  <c r="E146" i="15" s="1"/>
  <c r="Q147" i="19"/>
  <c r="R147" i="19" s="1"/>
  <c r="AD168" i="14"/>
  <c r="Q101" i="14"/>
  <c r="T100" i="14"/>
  <c r="I142" i="19" l="1"/>
  <c r="K142" i="19"/>
  <c r="G144" i="14"/>
  <c r="H144" i="14" s="1"/>
  <c r="J144" i="14" s="1"/>
  <c r="G145" i="17"/>
  <c r="H145" i="17" s="1"/>
  <c r="J145" i="17" s="1"/>
  <c r="G143" i="19"/>
  <c r="H143" i="19" s="1"/>
  <c r="J143" i="19" s="1"/>
  <c r="G146" i="16"/>
  <c r="H146" i="16" s="1"/>
  <c r="J146" i="16" s="1"/>
  <c r="H144" i="18"/>
  <c r="J144" i="18" s="1"/>
  <c r="S147" i="19"/>
  <c r="U147" i="19" s="1"/>
  <c r="AE168" i="14"/>
  <c r="AG168" i="14" s="1"/>
  <c r="R101" i="14"/>
  <c r="S101" i="14" s="1"/>
  <c r="K144" i="14" l="1"/>
  <c r="F145" i="14"/>
  <c r="I144" i="14"/>
  <c r="F146" i="17"/>
  <c r="K145" i="17"/>
  <c r="I145" i="17"/>
  <c r="F147" i="16"/>
  <c r="K146" i="16"/>
  <c r="I146" i="16"/>
  <c r="K143" i="19"/>
  <c r="F144" i="19"/>
  <c r="F145" i="18"/>
  <c r="K144" i="18"/>
  <c r="I143" i="19"/>
  <c r="I144" i="18"/>
  <c r="T147" i="19"/>
  <c r="C147" i="15"/>
  <c r="E147" i="15" s="1"/>
  <c r="Q148" i="19"/>
  <c r="R148" i="19" s="1"/>
  <c r="AC169" i="14"/>
  <c r="AF168" i="14"/>
  <c r="U101" i="14"/>
  <c r="G145" i="14" l="1"/>
  <c r="H145" i="14" s="1"/>
  <c r="J145" i="14" s="1"/>
  <c r="G146" i="17"/>
  <c r="H146" i="17" s="1"/>
  <c r="J146" i="17" s="1"/>
  <c r="G145" i="18"/>
  <c r="H145" i="18" s="1"/>
  <c r="J145" i="18" s="1"/>
  <c r="G144" i="19"/>
  <c r="H144" i="19" s="1"/>
  <c r="J144" i="19" s="1"/>
  <c r="G147" i="16"/>
  <c r="H147" i="16" s="1"/>
  <c r="J147" i="16" s="1"/>
  <c r="S148" i="19"/>
  <c r="U148" i="19" s="1"/>
  <c r="AD169" i="14"/>
  <c r="Q102" i="14"/>
  <c r="T101" i="14"/>
  <c r="F146" i="14" l="1"/>
  <c r="K145" i="14"/>
  <c r="I145" i="14"/>
  <c r="I144" i="19"/>
  <c r="F147" i="17"/>
  <c r="K146" i="17"/>
  <c r="I146" i="17"/>
  <c r="F145" i="19"/>
  <c r="K144" i="19"/>
  <c r="F148" i="16"/>
  <c r="K147" i="16"/>
  <c r="I147" i="16"/>
  <c r="F146" i="18"/>
  <c r="K145" i="18"/>
  <c r="I145" i="18"/>
  <c r="T148" i="19"/>
  <c r="C148" i="15"/>
  <c r="E148" i="15" s="1"/>
  <c r="Q149" i="19"/>
  <c r="AE169" i="14"/>
  <c r="AG169" i="14" s="1"/>
  <c r="R102" i="14"/>
  <c r="S102" i="14" s="1"/>
  <c r="G146" i="14" l="1"/>
  <c r="H146" i="14" s="1"/>
  <c r="J146" i="14" s="1"/>
  <c r="G147" i="17"/>
  <c r="H147" i="17" s="1"/>
  <c r="J147" i="17" s="1"/>
  <c r="G148" i="16"/>
  <c r="H148" i="16" s="1"/>
  <c r="J148" i="16" s="1"/>
  <c r="G145" i="19"/>
  <c r="H145" i="19" s="1"/>
  <c r="J145" i="19" s="1"/>
  <c r="G146" i="18"/>
  <c r="H146" i="18" s="1"/>
  <c r="J146" i="18" s="1"/>
  <c r="R149" i="19"/>
  <c r="S149" i="19" s="1"/>
  <c r="U149" i="19" s="1"/>
  <c r="AC170" i="14"/>
  <c r="AF169" i="14"/>
  <c r="U102" i="14"/>
  <c r="I146" i="14" l="1"/>
  <c r="K146" i="14"/>
  <c r="F147" i="14"/>
  <c r="I145" i="19"/>
  <c r="F148" i="17"/>
  <c r="K147" i="17"/>
  <c r="I147" i="17"/>
  <c r="F147" i="18"/>
  <c r="K146" i="18"/>
  <c r="K145" i="19"/>
  <c r="F146" i="19"/>
  <c r="F149" i="16"/>
  <c r="K148" i="16"/>
  <c r="S15" i="1" s="1"/>
  <c r="I148" i="16"/>
  <c r="I146" i="18"/>
  <c r="C149" i="15"/>
  <c r="E149" i="15" s="1"/>
  <c r="Q150" i="19"/>
  <c r="R150" i="19" s="1"/>
  <c r="T149" i="19"/>
  <c r="AD170" i="14"/>
  <c r="Q103" i="14"/>
  <c r="T102" i="14"/>
  <c r="G147" i="14" l="1"/>
  <c r="H147" i="14" s="1"/>
  <c r="J147" i="14" s="1"/>
  <c r="G148" i="17"/>
  <c r="H148" i="17" s="1"/>
  <c r="J148" i="17" s="1"/>
  <c r="G146" i="19"/>
  <c r="H146" i="19" s="1"/>
  <c r="J146" i="19" s="1"/>
  <c r="G149" i="16"/>
  <c r="H149" i="16" s="1"/>
  <c r="J149" i="16" s="1"/>
  <c r="G147" i="18"/>
  <c r="H147" i="18" s="1"/>
  <c r="J147" i="18" s="1"/>
  <c r="S150" i="19"/>
  <c r="U150" i="19" s="1"/>
  <c r="AE170" i="14"/>
  <c r="AG170" i="14" s="1"/>
  <c r="R103" i="14"/>
  <c r="S103" i="14" s="1"/>
  <c r="F148" i="14" l="1"/>
  <c r="K147" i="14"/>
  <c r="I147" i="14"/>
  <c r="I146" i="19"/>
  <c r="F149" i="17"/>
  <c r="K148" i="17"/>
  <c r="I148" i="17"/>
  <c r="I149" i="16"/>
  <c r="T150" i="19"/>
  <c r="K146" i="19"/>
  <c r="F147" i="19"/>
  <c r="F148" i="18"/>
  <c r="K147" i="18"/>
  <c r="I147" i="18"/>
  <c r="F150" i="16"/>
  <c r="K149" i="16"/>
  <c r="C150" i="15"/>
  <c r="E150" i="15" s="1"/>
  <c r="Q151" i="19"/>
  <c r="R151" i="19" s="1"/>
  <c r="AC171" i="14"/>
  <c r="AF170" i="14"/>
  <c r="U103" i="14"/>
  <c r="G148" i="14" l="1"/>
  <c r="H148" i="14" s="1"/>
  <c r="J148" i="14" s="1"/>
  <c r="G149" i="17"/>
  <c r="H149" i="17" s="1"/>
  <c r="J149" i="17" s="1"/>
  <c r="G148" i="18"/>
  <c r="H148" i="18" s="1"/>
  <c r="J148" i="18" s="1"/>
  <c r="G147" i="19"/>
  <c r="H147" i="19" s="1"/>
  <c r="J147" i="19" s="1"/>
  <c r="G150" i="16"/>
  <c r="H150" i="16" s="1"/>
  <c r="J150" i="16" s="1"/>
  <c r="S151" i="19"/>
  <c r="U151" i="19" s="1"/>
  <c r="AD171" i="14"/>
  <c r="Q104" i="14"/>
  <c r="T103" i="14"/>
  <c r="K148" i="14" l="1"/>
  <c r="P15" i="1" s="1"/>
  <c r="F149" i="14"/>
  <c r="I148" i="14"/>
  <c r="K149" i="17"/>
  <c r="F150" i="17"/>
  <c r="I149" i="17"/>
  <c r="K147" i="19"/>
  <c r="F148" i="19"/>
  <c r="I147" i="19"/>
  <c r="F151" i="16"/>
  <c r="K150" i="16"/>
  <c r="I150" i="16"/>
  <c r="F149" i="18"/>
  <c r="K148" i="18"/>
  <c r="Y15" i="1" s="1"/>
  <c r="I148" i="18"/>
  <c r="T151" i="19"/>
  <c r="Q152" i="19"/>
  <c r="R152" i="19" s="1"/>
  <c r="C151" i="15"/>
  <c r="E151" i="15" s="1"/>
  <c r="AE171" i="14"/>
  <c r="AG171" i="14" s="1"/>
  <c r="R104" i="14"/>
  <c r="S104" i="14" s="1"/>
  <c r="G149" i="14" l="1"/>
  <c r="H149" i="14" s="1"/>
  <c r="J149" i="14" s="1"/>
  <c r="G150" i="17"/>
  <c r="H150" i="17" s="1"/>
  <c r="J150" i="17" s="1"/>
  <c r="G148" i="19"/>
  <c r="H148" i="19" s="1"/>
  <c r="J148" i="19" s="1"/>
  <c r="G149" i="18"/>
  <c r="H149" i="18" s="1"/>
  <c r="J149" i="18" s="1"/>
  <c r="G151" i="16"/>
  <c r="H151" i="16" s="1"/>
  <c r="J151" i="16" s="1"/>
  <c r="S152" i="19"/>
  <c r="U152" i="19" s="1"/>
  <c r="AC172" i="14"/>
  <c r="AF171" i="14"/>
  <c r="U104" i="14"/>
  <c r="F150" i="14" l="1"/>
  <c r="K149" i="14"/>
  <c r="I149" i="14"/>
  <c r="I148" i="19"/>
  <c r="F151" i="17"/>
  <c r="K150" i="17"/>
  <c r="I150" i="17"/>
  <c r="F150" i="18"/>
  <c r="G150" i="18" s="1"/>
  <c r="K149" i="18"/>
  <c r="F152" i="16"/>
  <c r="K151" i="16"/>
  <c r="I149" i="18"/>
  <c r="I151" i="16"/>
  <c r="K148" i="19"/>
  <c r="AB15" i="1" s="1"/>
  <c r="F149" i="19"/>
  <c r="T152" i="19"/>
  <c r="Q153" i="19"/>
  <c r="R153" i="19" s="1"/>
  <c r="C152" i="15"/>
  <c r="E152" i="15" s="1"/>
  <c r="AD172" i="14"/>
  <c r="Q105" i="14"/>
  <c r="T104" i="14"/>
  <c r="G150" i="14" l="1"/>
  <c r="H150" i="14" s="1"/>
  <c r="J150" i="14" s="1"/>
  <c r="G151" i="17"/>
  <c r="H151" i="17" s="1"/>
  <c r="J151" i="17" s="1"/>
  <c r="G152" i="16"/>
  <c r="H152" i="16" s="1"/>
  <c r="J152" i="16" s="1"/>
  <c r="G149" i="19"/>
  <c r="H149" i="19" s="1"/>
  <c r="J149" i="19" s="1"/>
  <c r="H150" i="18"/>
  <c r="J150" i="18" s="1"/>
  <c r="S153" i="19"/>
  <c r="U153" i="19" s="1"/>
  <c r="AE172" i="14"/>
  <c r="AG172" i="14" s="1"/>
  <c r="R105" i="14"/>
  <c r="S105" i="14" s="1"/>
  <c r="F151" i="14" l="1"/>
  <c r="K150" i="14"/>
  <c r="I150" i="14"/>
  <c r="I150" i="18"/>
  <c r="F152" i="17"/>
  <c r="K151" i="17"/>
  <c r="I151" i="17"/>
  <c r="I149" i="19"/>
  <c r="K149" i="19"/>
  <c r="F150" i="19"/>
  <c r="F151" i="18"/>
  <c r="G151" i="18" s="1"/>
  <c r="K150" i="18"/>
  <c r="F153" i="16"/>
  <c r="G153" i="16" s="1"/>
  <c r="K152" i="16"/>
  <c r="I152" i="16"/>
  <c r="T153" i="19"/>
  <c r="Q154" i="19"/>
  <c r="C153" i="15"/>
  <c r="E153" i="15" s="1"/>
  <c r="AC173" i="14"/>
  <c r="AF172" i="14"/>
  <c r="U105" i="14"/>
  <c r="G151" i="14" l="1"/>
  <c r="H151" i="14" s="1"/>
  <c r="J151" i="14" s="1"/>
  <c r="G152" i="17"/>
  <c r="H152" i="17" s="1"/>
  <c r="J152" i="17" s="1"/>
  <c r="H151" i="18"/>
  <c r="J151" i="18" s="1"/>
  <c r="G150" i="19"/>
  <c r="H150" i="19" s="1"/>
  <c r="J150" i="19" s="1"/>
  <c r="H153" i="16"/>
  <c r="J153" i="16" s="1"/>
  <c r="R154" i="19"/>
  <c r="S154" i="19" s="1"/>
  <c r="U154" i="19" s="1"/>
  <c r="AD173" i="14"/>
  <c r="Q106" i="14"/>
  <c r="T105" i="14"/>
  <c r="F152" i="14" l="1"/>
  <c r="K151" i="14"/>
  <c r="I151" i="14"/>
  <c r="I151" i="18"/>
  <c r="F153" i="17"/>
  <c r="K152" i="17"/>
  <c r="I152" i="17"/>
  <c r="F154" i="16"/>
  <c r="K153" i="16"/>
  <c r="F151" i="19"/>
  <c r="K150" i="19"/>
  <c r="I150" i="19"/>
  <c r="F152" i="18"/>
  <c r="K151" i="18"/>
  <c r="I153" i="16"/>
  <c r="Q155" i="19"/>
  <c r="R155" i="19" s="1"/>
  <c r="C154" i="15"/>
  <c r="E154" i="15" s="1"/>
  <c r="T154" i="19"/>
  <c r="AE173" i="14"/>
  <c r="AG173" i="14" s="1"/>
  <c r="R106" i="14"/>
  <c r="S106" i="14" s="1"/>
  <c r="G152" i="14" l="1"/>
  <c r="H152" i="14" s="1"/>
  <c r="J152" i="14" s="1"/>
  <c r="G153" i="17"/>
  <c r="H153" i="17" s="1"/>
  <c r="J153" i="17" s="1"/>
  <c r="G152" i="18"/>
  <c r="H152" i="18" s="1"/>
  <c r="J152" i="18" s="1"/>
  <c r="G151" i="19"/>
  <c r="H151" i="19" s="1"/>
  <c r="J151" i="19" s="1"/>
  <c r="G154" i="16"/>
  <c r="H154" i="16" s="1"/>
  <c r="J154" i="16" s="1"/>
  <c r="S155" i="19"/>
  <c r="U155" i="19" s="1"/>
  <c r="AC174" i="14"/>
  <c r="AF173" i="14"/>
  <c r="U106" i="14"/>
  <c r="F153" i="14" l="1"/>
  <c r="K152" i="14"/>
  <c r="I152" i="14"/>
  <c r="F154" i="17"/>
  <c r="K153" i="17"/>
  <c r="I153" i="17"/>
  <c r="F153" i="18"/>
  <c r="K152" i="18"/>
  <c r="I152" i="18"/>
  <c r="F155" i="16"/>
  <c r="K154" i="16"/>
  <c r="I154" i="16"/>
  <c r="K151" i="19"/>
  <c r="F152" i="19"/>
  <c r="I151" i="19"/>
  <c r="T155" i="19"/>
  <c r="Q156" i="19"/>
  <c r="R156" i="19" s="1"/>
  <c r="C155" i="15"/>
  <c r="E155" i="15" s="1"/>
  <c r="AD174" i="14"/>
  <c r="Q107" i="14"/>
  <c r="T106" i="14"/>
  <c r="G153" i="14" l="1"/>
  <c r="H153" i="14" s="1"/>
  <c r="J153" i="14" s="1"/>
  <c r="G154" i="17"/>
  <c r="H154" i="17" s="1"/>
  <c r="J154" i="17" s="1"/>
  <c r="G152" i="19"/>
  <c r="H152" i="19" s="1"/>
  <c r="J152" i="19" s="1"/>
  <c r="G155" i="16"/>
  <c r="H155" i="16" s="1"/>
  <c r="J155" i="16" s="1"/>
  <c r="G153" i="18"/>
  <c r="H153" i="18" s="1"/>
  <c r="J153" i="18" s="1"/>
  <c r="S156" i="19"/>
  <c r="U156" i="19" s="1"/>
  <c r="AE174" i="14"/>
  <c r="AG174" i="14" s="1"/>
  <c r="R107" i="14"/>
  <c r="S107" i="14" s="1"/>
  <c r="K153" i="14" l="1"/>
  <c r="F154" i="14"/>
  <c r="I153" i="14"/>
  <c r="F155" i="17"/>
  <c r="K154" i="17"/>
  <c r="I154" i="17"/>
  <c r="F156" i="16"/>
  <c r="G156" i="16" s="1"/>
  <c r="K155" i="16"/>
  <c r="I155" i="16"/>
  <c r="F154" i="18"/>
  <c r="K153" i="18"/>
  <c r="F153" i="19"/>
  <c r="K152" i="19"/>
  <c r="I153" i="18"/>
  <c r="I152" i="19"/>
  <c r="T156" i="19"/>
  <c r="Q157" i="19"/>
  <c r="R157" i="19" s="1"/>
  <c r="C156" i="15"/>
  <c r="E156" i="15" s="1"/>
  <c r="AC175" i="14"/>
  <c r="AF174" i="14"/>
  <c r="U107" i="14"/>
  <c r="G154" i="14" l="1"/>
  <c r="H154" i="14" s="1"/>
  <c r="J154" i="14" s="1"/>
  <c r="G155" i="17"/>
  <c r="H155" i="17" s="1"/>
  <c r="J155" i="17" s="1"/>
  <c r="G153" i="19"/>
  <c r="H153" i="19" s="1"/>
  <c r="J153" i="19" s="1"/>
  <c r="G154" i="18"/>
  <c r="H154" i="18" s="1"/>
  <c r="J154" i="18" s="1"/>
  <c r="H156" i="16"/>
  <c r="J156" i="16" s="1"/>
  <c r="S157" i="19"/>
  <c r="U157" i="19" s="1"/>
  <c r="AD175" i="14"/>
  <c r="Q108" i="14"/>
  <c r="T107" i="14"/>
  <c r="F155" i="14" l="1"/>
  <c r="G155" i="14" s="1"/>
  <c r="K154" i="14"/>
  <c r="I154" i="14"/>
  <c r="I156" i="16"/>
  <c r="F156" i="17"/>
  <c r="K155" i="17"/>
  <c r="I155" i="17"/>
  <c r="F155" i="18"/>
  <c r="K154" i="18"/>
  <c r="I154" i="18"/>
  <c r="F157" i="16"/>
  <c r="K156" i="16"/>
  <c r="F154" i="19"/>
  <c r="K153" i="19"/>
  <c r="I153" i="19"/>
  <c r="T157" i="19"/>
  <c r="Q158" i="19"/>
  <c r="R158" i="19" s="1"/>
  <c r="C157" i="15"/>
  <c r="E157" i="15" s="1"/>
  <c r="AE175" i="14"/>
  <c r="AG175" i="14" s="1"/>
  <c r="R108" i="14"/>
  <c r="S108" i="14" s="1"/>
  <c r="H155" i="14" l="1"/>
  <c r="J155" i="14" s="1"/>
  <c r="G156" i="17"/>
  <c r="H156" i="17" s="1"/>
  <c r="J156" i="17" s="1"/>
  <c r="G157" i="16"/>
  <c r="H157" i="16" s="1"/>
  <c r="J157" i="16" s="1"/>
  <c r="G155" i="18"/>
  <c r="H155" i="18" s="1"/>
  <c r="J155" i="18" s="1"/>
  <c r="G154" i="19"/>
  <c r="H154" i="19" s="1"/>
  <c r="J154" i="19" s="1"/>
  <c r="S158" i="19"/>
  <c r="U158" i="19" s="1"/>
  <c r="AC176" i="14"/>
  <c r="AF175" i="14"/>
  <c r="U108" i="14"/>
  <c r="I155" i="14" l="1"/>
  <c r="F156" i="14"/>
  <c r="K155" i="14"/>
  <c r="F157" i="17"/>
  <c r="K156" i="17"/>
  <c r="I156" i="17"/>
  <c r="F156" i="18"/>
  <c r="K155" i="18"/>
  <c r="K154" i="19"/>
  <c r="F155" i="19"/>
  <c r="I154" i="19"/>
  <c r="I155" i="18"/>
  <c r="F158" i="16"/>
  <c r="K157" i="16"/>
  <c r="I157" i="16"/>
  <c r="T158" i="19"/>
  <c r="Q159" i="19"/>
  <c r="R159" i="19" s="1"/>
  <c r="C158" i="15"/>
  <c r="E158" i="15" s="1"/>
  <c r="AD176" i="14"/>
  <c r="Q109" i="14"/>
  <c r="T108" i="14"/>
  <c r="G156" i="14" l="1"/>
  <c r="H156" i="14" s="1"/>
  <c r="J156" i="14" s="1"/>
  <c r="G157" i="17"/>
  <c r="H157" i="17" s="1"/>
  <c r="J157" i="17" s="1"/>
  <c r="G155" i="19"/>
  <c r="H155" i="19" s="1"/>
  <c r="J155" i="19" s="1"/>
  <c r="G158" i="16"/>
  <c r="H158" i="16" s="1"/>
  <c r="J158" i="16" s="1"/>
  <c r="G156" i="18"/>
  <c r="H156" i="18" s="1"/>
  <c r="J156" i="18" s="1"/>
  <c r="S159" i="19"/>
  <c r="U159" i="19" s="1"/>
  <c r="AE176" i="14"/>
  <c r="AG176" i="14" s="1"/>
  <c r="R109" i="14"/>
  <c r="S109" i="14" s="1"/>
  <c r="F157" i="14" l="1"/>
  <c r="K156" i="14"/>
  <c r="I156" i="14"/>
  <c r="T159" i="19"/>
  <c r="F158" i="17"/>
  <c r="K157" i="17"/>
  <c r="I157" i="17"/>
  <c r="F159" i="16"/>
  <c r="K158" i="16"/>
  <c r="I158" i="16"/>
  <c r="F157" i="18"/>
  <c r="K156" i="18"/>
  <c r="K155" i="19"/>
  <c r="F156" i="19"/>
  <c r="I156" i="18"/>
  <c r="I155" i="19"/>
  <c r="Q160" i="19"/>
  <c r="R160" i="19" s="1"/>
  <c r="C159" i="15"/>
  <c r="E159" i="15" s="1"/>
  <c r="AC177" i="14"/>
  <c r="AF176" i="14"/>
  <c r="U109" i="14"/>
  <c r="G157" i="14" l="1"/>
  <c r="H157" i="14" s="1"/>
  <c r="J157" i="14" s="1"/>
  <c r="G158" i="17"/>
  <c r="H158" i="17" s="1"/>
  <c r="J158" i="17" s="1"/>
  <c r="G157" i="18"/>
  <c r="H157" i="18" s="1"/>
  <c r="J157" i="18" s="1"/>
  <c r="G156" i="19"/>
  <c r="H156" i="19" s="1"/>
  <c r="J156" i="19" s="1"/>
  <c r="G159" i="16"/>
  <c r="S160" i="19"/>
  <c r="U160" i="19" s="1"/>
  <c r="AD177" i="14"/>
  <c r="Q110" i="14"/>
  <c r="T109" i="14"/>
  <c r="K157" i="14" l="1"/>
  <c r="F158" i="14"/>
  <c r="I157" i="14"/>
  <c r="H159" i="16"/>
  <c r="J159" i="16" s="1"/>
  <c r="K159" i="16" s="1"/>
  <c r="I156" i="19"/>
  <c r="F159" i="17"/>
  <c r="K158" i="17"/>
  <c r="I158" i="17"/>
  <c r="T160" i="19"/>
  <c r="K156" i="19"/>
  <c r="F157" i="19"/>
  <c r="F158" i="18"/>
  <c r="K157" i="18"/>
  <c r="I157" i="18"/>
  <c r="Q161" i="19"/>
  <c r="R161" i="19" s="1"/>
  <c r="C160" i="15"/>
  <c r="E160" i="15" s="1"/>
  <c r="AE177" i="14"/>
  <c r="AG177" i="14" s="1"/>
  <c r="R110" i="14"/>
  <c r="S110" i="14" s="1"/>
  <c r="G158" i="14" l="1"/>
  <c r="H158" i="14" s="1"/>
  <c r="J158" i="14" s="1"/>
  <c r="F160" i="16"/>
  <c r="G160" i="16" s="1"/>
  <c r="H160" i="16" s="1"/>
  <c r="J160" i="16" s="1"/>
  <c r="I159" i="16"/>
  <c r="G159" i="17"/>
  <c r="H159" i="17" s="1"/>
  <c r="J159" i="17" s="1"/>
  <c r="G158" i="18"/>
  <c r="H158" i="18" s="1"/>
  <c r="J158" i="18" s="1"/>
  <c r="G157" i="19"/>
  <c r="H157" i="19" s="1"/>
  <c r="J157" i="19" s="1"/>
  <c r="S161" i="19"/>
  <c r="U161" i="19" s="1"/>
  <c r="AC178" i="14"/>
  <c r="AF177" i="14"/>
  <c r="U110" i="14"/>
  <c r="F159" i="14" l="1"/>
  <c r="K158" i="14"/>
  <c r="I158" i="14"/>
  <c r="K159" i="17"/>
  <c r="F160" i="17"/>
  <c r="I159" i="17"/>
  <c r="K157" i="19"/>
  <c r="F158" i="19"/>
  <c r="I157" i="19"/>
  <c r="F161" i="16"/>
  <c r="K160" i="16"/>
  <c r="I160" i="16"/>
  <c r="F159" i="18"/>
  <c r="K158" i="18"/>
  <c r="I158" i="18"/>
  <c r="T161" i="19"/>
  <c r="Q162" i="19"/>
  <c r="C161" i="15"/>
  <c r="E161" i="15" s="1"/>
  <c r="AD178" i="14"/>
  <c r="Q111" i="14"/>
  <c r="T110" i="14"/>
  <c r="G159" i="14" l="1"/>
  <c r="H159" i="14" s="1"/>
  <c r="J159" i="14" s="1"/>
  <c r="G160" i="17"/>
  <c r="H160" i="17" s="1"/>
  <c r="J160" i="17" s="1"/>
  <c r="G161" i="16"/>
  <c r="H161" i="16" s="1"/>
  <c r="J161" i="16" s="1"/>
  <c r="G158" i="19"/>
  <c r="H158" i="19" s="1"/>
  <c r="J158" i="19" s="1"/>
  <c r="G159" i="18"/>
  <c r="R162" i="19"/>
  <c r="S162" i="19" s="1"/>
  <c r="U162" i="19" s="1"/>
  <c r="AE178" i="14"/>
  <c r="AG178" i="14" s="1"/>
  <c r="R111" i="14"/>
  <c r="S111" i="14" s="1"/>
  <c r="K159" i="14" l="1"/>
  <c r="F160" i="14"/>
  <c r="I159" i="14"/>
  <c r="F161" i="17"/>
  <c r="K160" i="17"/>
  <c r="I160" i="17"/>
  <c r="F159" i="19"/>
  <c r="K158" i="19"/>
  <c r="I158" i="19"/>
  <c r="F162" i="16"/>
  <c r="K161" i="16"/>
  <c r="I161" i="16"/>
  <c r="H159" i="18"/>
  <c r="J159" i="18" s="1"/>
  <c r="Q163" i="19"/>
  <c r="R163" i="19" s="1"/>
  <c r="C162" i="15"/>
  <c r="E162" i="15" s="1"/>
  <c r="T162" i="19"/>
  <c r="AC179" i="14"/>
  <c r="AF178" i="14"/>
  <c r="U111" i="14"/>
  <c r="G160" i="14" l="1"/>
  <c r="H160" i="14" s="1"/>
  <c r="J160" i="14" s="1"/>
  <c r="G161" i="17"/>
  <c r="H161" i="17" s="1"/>
  <c r="J161" i="17" s="1"/>
  <c r="F160" i="18"/>
  <c r="K159" i="18"/>
  <c r="G162" i="16"/>
  <c r="H162" i="16" s="1"/>
  <c r="J162" i="16" s="1"/>
  <c r="G159" i="19"/>
  <c r="H159" i="19" s="1"/>
  <c r="J159" i="19" s="1"/>
  <c r="I159" i="18"/>
  <c r="S163" i="19"/>
  <c r="U163" i="19" s="1"/>
  <c r="AD179" i="14"/>
  <c r="Q112" i="14"/>
  <c r="T111" i="14"/>
  <c r="K160" i="14" l="1"/>
  <c r="P16" i="1" s="1"/>
  <c r="F161" i="14"/>
  <c r="I160" i="14"/>
  <c r="I161" i="17"/>
  <c r="F162" i="17"/>
  <c r="K161" i="17"/>
  <c r="F163" i="16"/>
  <c r="K162" i="16"/>
  <c r="F160" i="19"/>
  <c r="K159" i="19"/>
  <c r="I162" i="16"/>
  <c r="I159" i="19"/>
  <c r="G160" i="18"/>
  <c r="H160" i="18" s="1"/>
  <c r="J160" i="18" s="1"/>
  <c r="T163" i="19"/>
  <c r="Q164" i="19"/>
  <c r="R164" i="19" s="1"/>
  <c r="C163" i="15"/>
  <c r="E163" i="15" s="1"/>
  <c r="AE179" i="14"/>
  <c r="AG179" i="14" s="1"/>
  <c r="R112" i="14"/>
  <c r="S112" i="14" s="1"/>
  <c r="G161" i="14" l="1"/>
  <c r="H161" i="14" s="1"/>
  <c r="J161" i="14" s="1"/>
  <c r="G162" i="17"/>
  <c r="H162" i="17" s="1"/>
  <c r="J162" i="17" s="1"/>
  <c r="G160" i="19"/>
  <c r="H160" i="19" s="1"/>
  <c r="J160" i="19" s="1"/>
  <c r="F161" i="18"/>
  <c r="K160" i="18"/>
  <c r="Y16" i="1" s="1"/>
  <c r="G163" i="16"/>
  <c r="H163" i="16" s="1"/>
  <c r="J163" i="16" s="1"/>
  <c r="I160" i="18"/>
  <c r="S164" i="19"/>
  <c r="U164" i="19" s="1"/>
  <c r="AC180" i="14"/>
  <c r="AF179" i="14"/>
  <c r="U112" i="14"/>
  <c r="F162" i="14" l="1"/>
  <c r="K161" i="14"/>
  <c r="I161" i="14"/>
  <c r="F163" i="17"/>
  <c r="K162" i="17"/>
  <c r="I162" i="17"/>
  <c r="F164" i="16"/>
  <c r="K163" i="16"/>
  <c r="I163" i="16"/>
  <c r="G161" i="18"/>
  <c r="H161" i="18" s="1"/>
  <c r="J161" i="18" s="1"/>
  <c r="K160" i="19"/>
  <c r="AB16" i="1" s="1"/>
  <c r="F161" i="19"/>
  <c r="I160" i="19"/>
  <c r="T164" i="19"/>
  <c r="Q165" i="19"/>
  <c r="R165" i="19" s="1"/>
  <c r="C164" i="15"/>
  <c r="E164" i="15" s="1"/>
  <c r="AD180" i="14"/>
  <c r="Q113" i="14"/>
  <c r="T112" i="14"/>
  <c r="G162" i="14" l="1"/>
  <c r="H162" i="14" s="1"/>
  <c r="J162" i="14" s="1"/>
  <c r="G163" i="17"/>
  <c r="H163" i="17" s="1"/>
  <c r="J163" i="17" s="1"/>
  <c r="F162" i="18"/>
  <c r="K161" i="18"/>
  <c r="I161" i="18"/>
  <c r="G161" i="19"/>
  <c r="H161" i="19" s="1"/>
  <c r="J161" i="19" s="1"/>
  <c r="G164" i="16"/>
  <c r="H164" i="16" s="1"/>
  <c r="J164" i="16" s="1"/>
  <c r="S165" i="19"/>
  <c r="U165" i="19" s="1"/>
  <c r="AE180" i="14"/>
  <c r="AG180" i="14" s="1"/>
  <c r="R113" i="14"/>
  <c r="S113" i="14" s="1"/>
  <c r="K162" i="14" l="1"/>
  <c r="F163" i="14"/>
  <c r="I162" i="14"/>
  <c r="F164" i="17"/>
  <c r="K163" i="17"/>
  <c r="I163" i="17"/>
  <c r="F165" i="16"/>
  <c r="K164" i="16"/>
  <c r="I164" i="16"/>
  <c r="K161" i="19"/>
  <c r="F162" i="19"/>
  <c r="I161" i="19"/>
  <c r="G162" i="18"/>
  <c r="H162" i="18" s="1"/>
  <c r="J162" i="18" s="1"/>
  <c r="T165" i="19"/>
  <c r="Q166" i="19"/>
  <c r="R166" i="19" s="1"/>
  <c r="C165" i="15"/>
  <c r="E165" i="15" s="1"/>
  <c r="AC181" i="14"/>
  <c r="AF180" i="14"/>
  <c r="U113" i="14"/>
  <c r="G163" i="14" l="1"/>
  <c r="H163" i="14" s="1"/>
  <c r="J163" i="14" s="1"/>
  <c r="G164" i="17"/>
  <c r="H164" i="17" s="1"/>
  <c r="J164" i="17" s="1"/>
  <c r="F163" i="18"/>
  <c r="K162" i="18"/>
  <c r="I162" i="18"/>
  <c r="G165" i="16"/>
  <c r="H165" i="16" s="1"/>
  <c r="J165" i="16" s="1"/>
  <c r="G162" i="19"/>
  <c r="H162" i="19" s="1"/>
  <c r="J162" i="19" s="1"/>
  <c r="S166" i="19"/>
  <c r="U166" i="19" s="1"/>
  <c r="AD181" i="14"/>
  <c r="Q114" i="14"/>
  <c r="T113" i="14"/>
  <c r="F164" i="14" l="1"/>
  <c r="K163" i="14"/>
  <c r="I163" i="14"/>
  <c r="I165" i="16"/>
  <c r="I162" i="19"/>
  <c r="F165" i="17"/>
  <c r="K164" i="17"/>
  <c r="I164" i="17"/>
  <c r="G163" i="18"/>
  <c r="H163" i="18" s="1"/>
  <c r="J163" i="18" s="1"/>
  <c r="K162" i="19"/>
  <c r="F163" i="19"/>
  <c r="T166" i="19"/>
  <c r="F166" i="16"/>
  <c r="K165" i="16"/>
  <c r="Q167" i="19"/>
  <c r="R167" i="19" s="1"/>
  <c r="C166" i="15"/>
  <c r="E166" i="15" s="1"/>
  <c r="AE181" i="14"/>
  <c r="AG181" i="14" s="1"/>
  <c r="R114" i="14"/>
  <c r="S114" i="14" s="1"/>
  <c r="G164" i="14" l="1"/>
  <c r="H164" i="14" s="1"/>
  <c r="J164" i="14" s="1"/>
  <c r="G165" i="17"/>
  <c r="H165" i="17" s="1"/>
  <c r="J165" i="17" s="1"/>
  <c r="G163" i="19"/>
  <c r="H163" i="19" s="1"/>
  <c r="J163" i="19" s="1"/>
  <c r="G166" i="16"/>
  <c r="H166" i="16" s="1"/>
  <c r="J166" i="16" s="1"/>
  <c r="F164" i="18"/>
  <c r="K163" i="18"/>
  <c r="I163" i="18"/>
  <c r="S167" i="19"/>
  <c r="U167" i="19" s="1"/>
  <c r="AC182" i="14"/>
  <c r="AF181" i="14"/>
  <c r="U114" i="14"/>
  <c r="K164" i="14" l="1"/>
  <c r="F165" i="14"/>
  <c r="I164" i="14"/>
  <c r="F166" i="17"/>
  <c r="K165" i="17"/>
  <c r="I165" i="17"/>
  <c r="K163" i="19"/>
  <c r="F164" i="19"/>
  <c r="G164" i="18"/>
  <c r="H164" i="18" s="1"/>
  <c r="J164" i="18" s="1"/>
  <c r="I163" i="19"/>
  <c r="F167" i="16"/>
  <c r="K166" i="16"/>
  <c r="I166" i="16"/>
  <c r="T167" i="19"/>
  <c r="Q168" i="19"/>
  <c r="R168" i="19" s="1"/>
  <c r="C167" i="15"/>
  <c r="E167" i="15" s="1"/>
  <c r="AD182" i="14"/>
  <c r="Q115" i="14"/>
  <c r="T114" i="14"/>
  <c r="G165" i="14" l="1"/>
  <c r="H165" i="14" s="1"/>
  <c r="J165" i="14" s="1"/>
  <c r="G166" i="17"/>
  <c r="H166" i="17" s="1"/>
  <c r="J166" i="17" s="1"/>
  <c r="F165" i="18"/>
  <c r="K164" i="18"/>
  <c r="I164" i="18"/>
  <c r="G164" i="19"/>
  <c r="H164" i="19" s="1"/>
  <c r="J164" i="19" s="1"/>
  <c r="G167" i="16"/>
  <c r="H167" i="16" s="1"/>
  <c r="J167" i="16" s="1"/>
  <c r="S168" i="19"/>
  <c r="U168" i="19" s="1"/>
  <c r="AE182" i="14"/>
  <c r="AG182" i="14" s="1"/>
  <c r="R115" i="14"/>
  <c r="S115" i="14" s="1"/>
  <c r="F166" i="14" l="1"/>
  <c r="K165" i="14"/>
  <c r="I165" i="14"/>
  <c r="I167" i="16"/>
  <c r="F167" i="17"/>
  <c r="K166" i="17"/>
  <c r="I166" i="17"/>
  <c r="K164" i="19"/>
  <c r="F165" i="19"/>
  <c r="I164" i="19"/>
  <c r="F168" i="16"/>
  <c r="K167" i="16"/>
  <c r="G165" i="18"/>
  <c r="H165" i="18" s="1"/>
  <c r="J165" i="18" s="1"/>
  <c r="T168" i="19"/>
  <c r="Q169" i="19"/>
  <c r="R169" i="19" s="1"/>
  <c r="C168" i="15"/>
  <c r="E168" i="15" s="1"/>
  <c r="AC183" i="14"/>
  <c r="AF182" i="14"/>
  <c r="U115" i="14"/>
  <c r="G166" i="14" l="1"/>
  <c r="H166" i="14" s="1"/>
  <c r="J166" i="14" s="1"/>
  <c r="G167" i="17"/>
  <c r="H167" i="17" s="1"/>
  <c r="J167" i="17" s="1"/>
  <c r="G168" i="16"/>
  <c r="H168" i="16" s="1"/>
  <c r="J168" i="16" s="1"/>
  <c r="F166" i="18"/>
  <c r="K165" i="18"/>
  <c r="I165" i="18"/>
  <c r="G165" i="19"/>
  <c r="H165" i="19" s="1"/>
  <c r="J165" i="19" s="1"/>
  <c r="S169" i="19"/>
  <c r="U169" i="19" s="1"/>
  <c r="AD183" i="14"/>
  <c r="Q116" i="14"/>
  <c r="T115" i="14"/>
  <c r="I166" i="14" l="1"/>
  <c r="K166" i="14"/>
  <c r="F167" i="14"/>
  <c r="F168" i="17"/>
  <c r="K167" i="17"/>
  <c r="I167" i="17"/>
  <c r="T169" i="19"/>
  <c r="G166" i="18"/>
  <c r="H166" i="18" s="1"/>
  <c r="J166" i="18" s="1"/>
  <c r="F169" i="16"/>
  <c r="K168" i="16"/>
  <c r="K165" i="19"/>
  <c r="F166" i="19"/>
  <c r="I168" i="16"/>
  <c r="I165" i="19"/>
  <c r="Q170" i="19"/>
  <c r="R170" i="19" s="1"/>
  <c r="C169" i="15"/>
  <c r="E169" i="15" s="1"/>
  <c r="AE183" i="14"/>
  <c r="AG183" i="14" s="1"/>
  <c r="R116" i="14"/>
  <c r="S116" i="14" s="1"/>
  <c r="G167" i="14" l="1"/>
  <c r="H167" i="14" s="1"/>
  <c r="J167" i="14" s="1"/>
  <c r="G168" i="17"/>
  <c r="H168" i="17" s="1"/>
  <c r="J168" i="17" s="1"/>
  <c r="F167" i="18"/>
  <c r="K166" i="18"/>
  <c r="I166" i="18"/>
  <c r="G166" i="19"/>
  <c r="H166" i="19" s="1"/>
  <c r="J166" i="19" s="1"/>
  <c r="G169" i="16"/>
  <c r="H169" i="16" s="1"/>
  <c r="J169" i="16" s="1"/>
  <c r="S170" i="19"/>
  <c r="U170" i="19" s="1"/>
  <c r="AC184" i="14"/>
  <c r="AF183" i="14"/>
  <c r="U116" i="14"/>
  <c r="F168" i="14" l="1"/>
  <c r="K167" i="14"/>
  <c r="I167" i="14"/>
  <c r="F169" i="17"/>
  <c r="K168" i="17"/>
  <c r="T170" i="19"/>
  <c r="I166" i="19"/>
  <c r="I168" i="17"/>
  <c r="K166" i="19"/>
  <c r="F167" i="19"/>
  <c r="F170" i="16"/>
  <c r="K169" i="16"/>
  <c r="I169" i="16"/>
  <c r="G167" i="18"/>
  <c r="H167" i="18" s="1"/>
  <c r="J167" i="18" s="1"/>
  <c r="Q171" i="19"/>
  <c r="R171" i="19" s="1"/>
  <c r="C170" i="15"/>
  <c r="E170" i="15" s="1"/>
  <c r="AD184" i="14"/>
  <c r="Q117" i="14"/>
  <c r="T116" i="14"/>
  <c r="G168" i="14" l="1"/>
  <c r="H168" i="14" s="1"/>
  <c r="J168" i="14" s="1"/>
  <c r="G169" i="17"/>
  <c r="H169" i="17" s="1"/>
  <c r="J169" i="17" s="1"/>
  <c r="F168" i="18"/>
  <c r="K167" i="18"/>
  <c r="G170" i="16"/>
  <c r="H170" i="16" s="1"/>
  <c r="J170" i="16" s="1"/>
  <c r="I167" i="18"/>
  <c r="G167" i="19"/>
  <c r="H167" i="19" s="1"/>
  <c r="J167" i="19" s="1"/>
  <c r="S171" i="19"/>
  <c r="U171" i="19" s="1"/>
  <c r="AE184" i="14"/>
  <c r="AG184" i="14" s="1"/>
  <c r="R117" i="14"/>
  <c r="S117" i="14" s="1"/>
  <c r="K168" i="14" l="1"/>
  <c r="F169" i="14"/>
  <c r="I168" i="14"/>
  <c r="F170" i="17"/>
  <c r="K169" i="17"/>
  <c r="I169" i="17"/>
  <c r="G168" i="18"/>
  <c r="H168" i="18" s="1"/>
  <c r="J168" i="18" s="1"/>
  <c r="K167" i="19"/>
  <c r="F168" i="19"/>
  <c r="I167" i="19"/>
  <c r="F171" i="16"/>
  <c r="K170" i="16"/>
  <c r="I170" i="16"/>
  <c r="T171" i="19"/>
  <c r="Q172" i="19"/>
  <c r="R172" i="19" s="1"/>
  <c r="C171" i="15"/>
  <c r="E171" i="15" s="1"/>
  <c r="AF184" i="14"/>
  <c r="U117" i="14"/>
  <c r="G169" i="14" l="1"/>
  <c r="H169" i="14" s="1"/>
  <c r="J169" i="14" s="1"/>
  <c r="G170" i="17"/>
  <c r="H170" i="17" s="1"/>
  <c r="J170" i="17" s="1"/>
  <c r="G171" i="16"/>
  <c r="H171" i="16" s="1"/>
  <c r="J171" i="16" s="1"/>
  <c r="G168" i="19"/>
  <c r="H168" i="19" s="1"/>
  <c r="J168" i="19" s="1"/>
  <c r="F169" i="18"/>
  <c r="K168" i="18"/>
  <c r="I168" i="18"/>
  <c r="S172" i="19"/>
  <c r="U172" i="19" s="1"/>
  <c r="Q118" i="14"/>
  <c r="T117" i="14"/>
  <c r="F170" i="14" l="1"/>
  <c r="K169" i="14"/>
  <c r="I169" i="14"/>
  <c r="F171" i="17"/>
  <c r="K170" i="17"/>
  <c r="I168" i="19"/>
  <c r="I170" i="17"/>
  <c r="G169" i="18"/>
  <c r="H169" i="18" s="1"/>
  <c r="J169" i="18" s="1"/>
  <c r="F172" i="16"/>
  <c r="K171" i="16"/>
  <c r="I171" i="16"/>
  <c r="K168" i="19"/>
  <c r="F169" i="19"/>
  <c r="T172" i="19"/>
  <c r="Q173" i="19"/>
  <c r="R173" i="19" s="1"/>
  <c r="C172" i="15"/>
  <c r="E172" i="15" s="1"/>
  <c r="R118" i="14"/>
  <c r="S118" i="14" s="1"/>
  <c r="G170" i="14" l="1"/>
  <c r="H170" i="14" s="1"/>
  <c r="J170" i="14" s="1"/>
  <c r="G171" i="17"/>
  <c r="H171" i="17" s="1"/>
  <c r="J171" i="17" s="1"/>
  <c r="G172" i="16"/>
  <c r="H172" i="16" s="1"/>
  <c r="J172" i="16" s="1"/>
  <c r="G169" i="19"/>
  <c r="H169" i="19" s="1"/>
  <c r="J169" i="19" s="1"/>
  <c r="F170" i="18"/>
  <c r="K169" i="18"/>
  <c r="I169" i="18"/>
  <c r="S173" i="19"/>
  <c r="U173" i="19" s="1"/>
  <c r="U118" i="14"/>
  <c r="F171" i="14" l="1"/>
  <c r="K170" i="14"/>
  <c r="I170" i="14"/>
  <c r="F172" i="17"/>
  <c r="K171" i="17"/>
  <c r="I171" i="17"/>
  <c r="F173" i="16"/>
  <c r="G173" i="16" s="1"/>
  <c r="K172" i="16"/>
  <c r="I172" i="16"/>
  <c r="G170" i="18"/>
  <c r="H170" i="18" s="1"/>
  <c r="J170" i="18" s="1"/>
  <c r="K169" i="19"/>
  <c r="F170" i="19"/>
  <c r="I169" i="19"/>
  <c r="T173" i="19"/>
  <c r="Q174" i="19"/>
  <c r="R174" i="19" s="1"/>
  <c r="C173" i="15"/>
  <c r="E173" i="15" s="1"/>
  <c r="Q119" i="14"/>
  <c r="T118" i="14"/>
  <c r="G171" i="14" l="1"/>
  <c r="H171" i="14" s="1"/>
  <c r="J171" i="14" s="1"/>
  <c r="G172" i="17"/>
  <c r="H172" i="17" s="1"/>
  <c r="J172" i="17" s="1"/>
  <c r="F171" i="18"/>
  <c r="K170" i="18"/>
  <c r="I170" i="18"/>
  <c r="G170" i="19"/>
  <c r="H170" i="19" s="1"/>
  <c r="J170" i="19" s="1"/>
  <c r="H173" i="16"/>
  <c r="J173" i="16" s="1"/>
  <c r="S174" i="19"/>
  <c r="U174" i="19" s="1"/>
  <c r="R119" i="14"/>
  <c r="S119" i="14" s="1"/>
  <c r="F172" i="14" l="1"/>
  <c r="K171" i="14"/>
  <c r="I171" i="14"/>
  <c r="F173" i="17"/>
  <c r="K172" i="17"/>
  <c r="I172" i="17"/>
  <c r="F174" i="16"/>
  <c r="K173" i="16"/>
  <c r="K170" i="19"/>
  <c r="F171" i="19"/>
  <c r="I170" i="19"/>
  <c r="G171" i="18"/>
  <c r="I173" i="16"/>
  <c r="T174" i="19"/>
  <c r="Q175" i="19"/>
  <c r="R175" i="19" s="1"/>
  <c r="C174" i="15"/>
  <c r="E174" i="15" s="1"/>
  <c r="U119" i="14"/>
  <c r="G172" i="14" l="1"/>
  <c r="H172" i="14" s="1"/>
  <c r="J172" i="14" s="1"/>
  <c r="G173" i="17"/>
  <c r="H173" i="17" s="1"/>
  <c r="J173" i="17" s="1"/>
  <c r="G171" i="19"/>
  <c r="H171" i="19" s="1"/>
  <c r="J171" i="19" s="1"/>
  <c r="H171" i="18"/>
  <c r="J171" i="18" s="1"/>
  <c r="G174" i="16"/>
  <c r="H174" i="16" s="1"/>
  <c r="J174" i="16" s="1"/>
  <c r="S175" i="19"/>
  <c r="U175" i="19" s="1"/>
  <c r="Q120" i="14"/>
  <c r="T119" i="14"/>
  <c r="K172" i="14" l="1"/>
  <c r="P17" i="1" s="1"/>
  <c r="F173" i="14"/>
  <c r="I172" i="14"/>
  <c r="F174" i="17"/>
  <c r="K173" i="17"/>
  <c r="I173" i="17"/>
  <c r="K171" i="19"/>
  <c r="F172" i="19"/>
  <c r="F175" i="16"/>
  <c r="K174" i="16"/>
  <c r="I171" i="19"/>
  <c r="I174" i="16"/>
  <c r="F172" i="18"/>
  <c r="K171" i="18"/>
  <c r="I171" i="18"/>
  <c r="T175" i="19"/>
  <c r="Q176" i="19"/>
  <c r="R176" i="19" s="1"/>
  <c r="C175" i="15"/>
  <c r="E175" i="15" s="1"/>
  <c r="R120" i="14"/>
  <c r="S120" i="14" s="1"/>
  <c r="G173" i="14" l="1"/>
  <c r="H173" i="14" s="1"/>
  <c r="J173" i="14" s="1"/>
  <c r="G174" i="17"/>
  <c r="H174" i="17" s="1"/>
  <c r="J174" i="17" s="1"/>
  <c r="G175" i="16"/>
  <c r="H175" i="16" s="1"/>
  <c r="J175" i="16" s="1"/>
  <c r="G172" i="19"/>
  <c r="H172" i="19" s="1"/>
  <c r="J172" i="19" s="1"/>
  <c r="G172" i="18"/>
  <c r="H172" i="18" s="1"/>
  <c r="J172" i="18" s="1"/>
  <c r="S176" i="19"/>
  <c r="U176" i="19" s="1"/>
  <c r="U120" i="14"/>
  <c r="K173" i="14" l="1"/>
  <c r="F174" i="14"/>
  <c r="I173" i="14"/>
  <c r="T176" i="19"/>
  <c r="K174" i="17"/>
  <c r="F175" i="17"/>
  <c r="I174" i="17"/>
  <c r="K172" i="19"/>
  <c r="AB17" i="1" s="1"/>
  <c r="F173" i="19"/>
  <c r="F173" i="18"/>
  <c r="K172" i="18"/>
  <c r="Y17" i="1" s="1"/>
  <c r="I172" i="19"/>
  <c r="I172" i="18"/>
  <c r="F176" i="16"/>
  <c r="K175" i="16"/>
  <c r="I175" i="16"/>
  <c r="Q177" i="19"/>
  <c r="C176" i="15"/>
  <c r="E176" i="15" s="1"/>
  <c r="Q121" i="14"/>
  <c r="T120" i="14"/>
  <c r="G174" i="14" l="1"/>
  <c r="H174" i="14" s="1"/>
  <c r="J174" i="14" s="1"/>
  <c r="G175" i="17"/>
  <c r="H175" i="17" s="1"/>
  <c r="J175" i="17" s="1"/>
  <c r="G173" i="18"/>
  <c r="H173" i="18" s="1"/>
  <c r="J173" i="18" s="1"/>
  <c r="G176" i="16"/>
  <c r="H176" i="16" s="1"/>
  <c r="J176" i="16" s="1"/>
  <c r="G173" i="19"/>
  <c r="H173" i="19" s="1"/>
  <c r="J173" i="19" s="1"/>
  <c r="R177" i="19"/>
  <c r="S177" i="19" s="1"/>
  <c r="U177" i="19" s="1"/>
  <c r="R121" i="14"/>
  <c r="S121" i="14" s="1"/>
  <c r="K174" i="14" l="1"/>
  <c r="F175" i="14"/>
  <c r="I174" i="14"/>
  <c r="F176" i="17"/>
  <c r="K175" i="17"/>
  <c r="I175" i="17"/>
  <c r="K173" i="19"/>
  <c r="F174" i="19"/>
  <c r="I173" i="19"/>
  <c r="F177" i="16"/>
  <c r="K176" i="16"/>
  <c r="I176" i="16"/>
  <c r="F174" i="18"/>
  <c r="K173" i="18"/>
  <c r="I173" i="18"/>
  <c r="Q178" i="19"/>
  <c r="C177" i="15"/>
  <c r="E177" i="15" s="1"/>
  <c r="T177" i="19"/>
  <c r="U121" i="14"/>
  <c r="G175" i="14" l="1"/>
  <c r="H175" i="14" s="1"/>
  <c r="J175" i="14" s="1"/>
  <c r="G176" i="17"/>
  <c r="H176" i="17" s="1"/>
  <c r="J176" i="17" s="1"/>
  <c r="G177" i="16"/>
  <c r="H177" i="16" s="1"/>
  <c r="J177" i="16" s="1"/>
  <c r="G174" i="18"/>
  <c r="H174" i="18" s="1"/>
  <c r="J174" i="18" s="1"/>
  <c r="G174" i="19"/>
  <c r="H174" i="19" s="1"/>
  <c r="J174" i="19" s="1"/>
  <c r="R178" i="19"/>
  <c r="S178" i="19" s="1"/>
  <c r="U178" i="19" s="1"/>
  <c r="Q122" i="14"/>
  <c r="T121" i="14"/>
  <c r="F176" i="14" l="1"/>
  <c r="K175" i="14"/>
  <c r="I175" i="14"/>
  <c r="I177" i="16"/>
  <c r="F177" i="17"/>
  <c r="K176" i="17"/>
  <c r="I176" i="17"/>
  <c r="F178" i="16"/>
  <c r="K177" i="16"/>
  <c r="K174" i="19"/>
  <c r="F175" i="19"/>
  <c r="I174" i="19"/>
  <c r="F175" i="18"/>
  <c r="G175" i="18" s="1"/>
  <c r="K174" i="18"/>
  <c r="I174" i="18"/>
  <c r="Q179" i="19"/>
  <c r="C178" i="15"/>
  <c r="E178" i="15" s="1"/>
  <c r="T178" i="19"/>
  <c r="R122" i="14"/>
  <c r="S122" i="14" s="1"/>
  <c r="G176" i="14" l="1"/>
  <c r="H176" i="14" s="1"/>
  <c r="J176" i="14" s="1"/>
  <c r="G177" i="17"/>
  <c r="H177" i="17" s="1"/>
  <c r="J177" i="17" s="1"/>
  <c r="H175" i="18"/>
  <c r="J175" i="18" s="1"/>
  <c r="G175" i="19"/>
  <c r="H175" i="19" s="1"/>
  <c r="J175" i="19" s="1"/>
  <c r="G178" i="16"/>
  <c r="H178" i="16" s="1"/>
  <c r="J178" i="16" s="1"/>
  <c r="R179" i="19"/>
  <c r="S179" i="19" s="1"/>
  <c r="U179" i="19" s="1"/>
  <c r="U122" i="14"/>
  <c r="F177" i="14" l="1"/>
  <c r="K176" i="14"/>
  <c r="I176" i="14"/>
  <c r="I175" i="18"/>
  <c r="K177" i="17"/>
  <c r="F178" i="17"/>
  <c r="I175" i="19"/>
  <c r="I177" i="17"/>
  <c r="F179" i="16"/>
  <c r="K178" i="16"/>
  <c r="I178" i="16"/>
  <c r="K175" i="19"/>
  <c r="F176" i="19"/>
  <c r="F176" i="18"/>
  <c r="K175" i="18"/>
  <c r="Q180" i="19"/>
  <c r="R180" i="19" s="1"/>
  <c r="C179" i="15"/>
  <c r="E179" i="15" s="1"/>
  <c r="T179" i="19"/>
  <c r="Q123" i="14"/>
  <c r="T122" i="14"/>
  <c r="G177" i="14" l="1"/>
  <c r="H177" i="14" s="1"/>
  <c r="J177" i="14" s="1"/>
  <c r="G178" i="17"/>
  <c r="H178" i="17" s="1"/>
  <c r="J178" i="17" s="1"/>
  <c r="G179" i="16"/>
  <c r="H179" i="16" s="1"/>
  <c r="J179" i="16" s="1"/>
  <c r="G176" i="18"/>
  <c r="G176" i="19"/>
  <c r="H176" i="19" s="1"/>
  <c r="J176" i="19" s="1"/>
  <c r="S180" i="19"/>
  <c r="U180" i="19" s="1"/>
  <c r="R123" i="14"/>
  <c r="S123" i="14" s="1"/>
  <c r="F178" i="14" l="1"/>
  <c r="K177" i="14"/>
  <c r="I177" i="14"/>
  <c r="H176" i="18"/>
  <c r="J176" i="18" s="1"/>
  <c r="K176" i="18" s="1"/>
  <c r="I179" i="16"/>
  <c r="F179" i="17"/>
  <c r="K178" i="17"/>
  <c r="I178" i="17"/>
  <c r="F180" i="16"/>
  <c r="K179" i="16"/>
  <c r="K176" i="19"/>
  <c r="F177" i="19"/>
  <c r="I176" i="19"/>
  <c r="T180" i="19"/>
  <c r="Q181" i="19"/>
  <c r="R181" i="19" s="1"/>
  <c r="C180" i="15"/>
  <c r="E180" i="15" s="1"/>
  <c r="U123" i="14"/>
  <c r="G178" i="14" l="1"/>
  <c r="H178" i="14" s="1"/>
  <c r="J178" i="14" s="1"/>
  <c r="F177" i="18"/>
  <c r="G177" i="18" s="1"/>
  <c r="H177" i="18" s="1"/>
  <c r="J177" i="18" s="1"/>
  <c r="I176" i="18"/>
  <c r="G179" i="17"/>
  <c r="H179" i="17" s="1"/>
  <c r="J179" i="17" s="1"/>
  <c r="G177" i="19"/>
  <c r="H177" i="19" s="1"/>
  <c r="J177" i="19" s="1"/>
  <c r="G180" i="16"/>
  <c r="H180" i="16" s="1"/>
  <c r="J180" i="16" s="1"/>
  <c r="S181" i="19"/>
  <c r="U181" i="19" s="1"/>
  <c r="Q124" i="14"/>
  <c r="T123" i="14"/>
  <c r="I178" i="14" l="1"/>
  <c r="F179" i="14"/>
  <c r="G179" i="14" s="1"/>
  <c r="K178" i="14"/>
  <c r="F180" i="17"/>
  <c r="K179" i="17"/>
  <c r="I179" i="17"/>
  <c r="T181" i="19"/>
  <c r="K177" i="19"/>
  <c r="F178" i="19"/>
  <c r="I177" i="19"/>
  <c r="F178" i="18"/>
  <c r="K177" i="18"/>
  <c r="F181" i="16"/>
  <c r="K180" i="16"/>
  <c r="I177" i="18"/>
  <c r="I180" i="16"/>
  <c r="Q182" i="19"/>
  <c r="R182" i="19" s="1"/>
  <c r="C181" i="15"/>
  <c r="E181" i="15" s="1"/>
  <c r="R124" i="14"/>
  <c r="S124" i="14" s="1"/>
  <c r="H179" i="14" l="1"/>
  <c r="J179" i="14" s="1"/>
  <c r="G180" i="17"/>
  <c r="H180" i="17" s="1"/>
  <c r="J180" i="17" s="1"/>
  <c r="G178" i="18"/>
  <c r="H178" i="18" s="1"/>
  <c r="J178" i="18" s="1"/>
  <c r="G178" i="19"/>
  <c r="H178" i="19" s="1"/>
  <c r="J178" i="19" s="1"/>
  <c r="G181" i="16"/>
  <c r="H181" i="16" s="1"/>
  <c r="J181" i="16" s="1"/>
  <c r="S182" i="19"/>
  <c r="U182" i="19" s="1"/>
  <c r="U124" i="14"/>
  <c r="I179" i="14" l="1"/>
  <c r="F180" i="14"/>
  <c r="K179" i="14"/>
  <c r="I178" i="19"/>
  <c r="I181" i="16"/>
  <c r="F181" i="17"/>
  <c r="K180" i="17"/>
  <c r="I180" i="17"/>
  <c r="K178" i="19"/>
  <c r="F179" i="19"/>
  <c r="F182" i="16"/>
  <c r="K181" i="16"/>
  <c r="F179" i="18"/>
  <c r="K178" i="18"/>
  <c r="I178" i="18"/>
  <c r="T182" i="19"/>
  <c r="Q183" i="19"/>
  <c r="C182" i="15"/>
  <c r="E182" i="15" s="1"/>
  <c r="Q125" i="14"/>
  <c r="T124" i="14"/>
  <c r="G180" i="14" l="1"/>
  <c r="H180" i="14" s="1"/>
  <c r="J180" i="14" s="1"/>
  <c r="G181" i="17"/>
  <c r="H181" i="17" s="1"/>
  <c r="J181" i="17" s="1"/>
  <c r="G182" i="16"/>
  <c r="H182" i="16" s="1"/>
  <c r="J182" i="16" s="1"/>
  <c r="G179" i="19"/>
  <c r="H179" i="19" s="1"/>
  <c r="J179" i="19" s="1"/>
  <c r="G179" i="18"/>
  <c r="H179" i="18" s="1"/>
  <c r="J179" i="18" s="1"/>
  <c r="R183" i="19"/>
  <c r="S183" i="19" s="1"/>
  <c r="U183" i="19" s="1"/>
  <c r="R125" i="14"/>
  <c r="S125" i="14" s="1"/>
  <c r="F181" i="14" l="1"/>
  <c r="K180" i="14"/>
  <c r="I180" i="14"/>
  <c r="F182" i="17"/>
  <c r="K181" i="17"/>
  <c r="I179" i="18"/>
  <c r="I181" i="17"/>
  <c r="K179" i="19"/>
  <c r="F180" i="19"/>
  <c r="I179" i="19"/>
  <c r="F183" i="16"/>
  <c r="K182" i="16"/>
  <c r="I182" i="16"/>
  <c r="F180" i="18"/>
  <c r="K179" i="18"/>
  <c r="Q184" i="19"/>
  <c r="C183" i="15"/>
  <c r="E183" i="15" s="1"/>
  <c r="T183" i="19"/>
  <c r="U125" i="14"/>
  <c r="G181" i="14" l="1"/>
  <c r="H181" i="14" s="1"/>
  <c r="J181" i="14" s="1"/>
  <c r="G182" i="17"/>
  <c r="H182" i="17" s="1"/>
  <c r="J182" i="17" s="1"/>
  <c r="G183" i="16"/>
  <c r="H183" i="16" s="1"/>
  <c r="J183" i="16" s="1"/>
  <c r="G180" i="19"/>
  <c r="H180" i="19" s="1"/>
  <c r="J180" i="19" s="1"/>
  <c r="G180" i="18"/>
  <c r="H180" i="18" s="1"/>
  <c r="J180" i="18" s="1"/>
  <c r="R184" i="19"/>
  <c r="S184" i="19" s="1"/>
  <c r="U184" i="19" s="1"/>
  <c r="D18" i="1" s="1"/>
  <c r="Q126" i="14"/>
  <c r="T125" i="14"/>
  <c r="F182" i="14" l="1"/>
  <c r="G182" i="14" s="1"/>
  <c r="K181" i="14"/>
  <c r="I181" i="14"/>
  <c r="K182" i="17"/>
  <c r="F183" i="17"/>
  <c r="I182" i="17"/>
  <c r="K180" i="19"/>
  <c r="F181" i="19"/>
  <c r="I180" i="19"/>
  <c r="F184" i="16"/>
  <c r="K183" i="16"/>
  <c r="I183" i="16"/>
  <c r="F181" i="18"/>
  <c r="K180" i="18"/>
  <c r="I180" i="18"/>
  <c r="C184" i="15"/>
  <c r="E184" i="15" s="1"/>
  <c r="T184" i="19"/>
  <c r="R126" i="14"/>
  <c r="S126" i="14" s="1"/>
  <c r="H182" i="14" l="1"/>
  <c r="J182" i="14" s="1"/>
  <c r="G183" i="17"/>
  <c r="H183" i="17" s="1"/>
  <c r="J183" i="17" s="1"/>
  <c r="G181" i="18"/>
  <c r="H181" i="18" s="1"/>
  <c r="J181" i="18" s="1"/>
  <c r="G184" i="16"/>
  <c r="H184" i="16" s="1"/>
  <c r="J184" i="16" s="1"/>
  <c r="J22" i="1" s="1"/>
  <c r="G181" i="19"/>
  <c r="H181" i="19" s="1"/>
  <c r="J181" i="19" s="1"/>
  <c r="U126" i="14"/>
  <c r="I182" i="14" l="1"/>
  <c r="F183" i="14"/>
  <c r="K182" i="14"/>
  <c r="K183" i="17"/>
  <c r="F184" i="17"/>
  <c r="I183" i="17"/>
  <c r="I181" i="19"/>
  <c r="K184" i="16"/>
  <c r="I184" i="16"/>
  <c r="F182" i="18"/>
  <c r="K181" i="18"/>
  <c r="I181" i="18"/>
  <c r="K181" i="19"/>
  <c r="F182" i="19"/>
  <c r="Q127" i="14"/>
  <c r="T126" i="14"/>
  <c r="G183" i="14" l="1"/>
  <c r="H183" i="14" s="1"/>
  <c r="J183" i="14" s="1"/>
  <c r="G184" i="17"/>
  <c r="H184" i="17" s="1"/>
  <c r="J184" i="17" s="1"/>
  <c r="J23" i="1" s="1"/>
  <c r="G182" i="18"/>
  <c r="H182" i="18" s="1"/>
  <c r="J182" i="18" s="1"/>
  <c r="G182" i="19"/>
  <c r="H182" i="19" s="1"/>
  <c r="J182" i="19" s="1"/>
  <c r="R127" i="14"/>
  <c r="S127" i="14" s="1"/>
  <c r="K183" i="14" l="1"/>
  <c r="F184" i="14"/>
  <c r="G184" i="14" s="1"/>
  <c r="I183" i="14"/>
  <c r="K184" i="17"/>
  <c r="I184" i="17"/>
  <c r="K182" i="19"/>
  <c r="F183" i="19"/>
  <c r="I182" i="19"/>
  <c r="F183" i="18"/>
  <c r="K182" i="18"/>
  <c r="I182" i="18"/>
  <c r="U127" i="14"/>
  <c r="H184" i="14" l="1"/>
  <c r="J184" i="14" s="1"/>
  <c r="G183" i="18"/>
  <c r="H183" i="18" s="1"/>
  <c r="J183" i="18" s="1"/>
  <c r="G183" i="19"/>
  <c r="H183" i="19" s="1"/>
  <c r="J183" i="19" s="1"/>
  <c r="Q128" i="14"/>
  <c r="T127" i="14"/>
  <c r="I184" i="14" l="1"/>
  <c r="J21" i="1"/>
  <c r="K184" i="14"/>
  <c r="P18" i="1" s="1"/>
  <c r="K183" i="19"/>
  <c r="F184" i="19"/>
  <c r="I183" i="19"/>
  <c r="F184" i="18"/>
  <c r="K183" i="18"/>
  <c r="I183" i="18"/>
  <c r="R128" i="14"/>
  <c r="S128" i="14" s="1"/>
  <c r="G184" i="18" l="1"/>
  <c r="H184" i="18" s="1"/>
  <c r="J184" i="18" s="1"/>
  <c r="J24" i="1" s="1"/>
  <c r="G184" i="19"/>
  <c r="H184" i="19" s="1"/>
  <c r="B8" i="1" s="1"/>
  <c r="U128" i="14"/>
  <c r="J184" i="19" l="1"/>
  <c r="J18" i="1" s="1"/>
  <c r="I184" i="19"/>
  <c r="K184" i="18"/>
  <c r="Y18" i="1" s="1"/>
  <c r="I184" i="18"/>
  <c r="Q129" i="14"/>
  <c r="T128" i="14"/>
  <c r="J16" i="1" l="1"/>
  <c r="K184" i="19"/>
  <c r="AB18" i="1" s="1"/>
  <c r="R129" i="14"/>
  <c r="S129" i="14" s="1"/>
  <c r="AB3" i="1" l="1"/>
  <c r="AA2" i="1"/>
  <c r="U129" i="14"/>
  <c r="Q130" i="14" l="1"/>
  <c r="T129" i="14"/>
  <c r="R130" i="14" l="1"/>
  <c r="S130" i="14" s="1"/>
  <c r="U130" i="14" l="1"/>
  <c r="Q131" i="14" l="1"/>
  <c r="T130" i="14"/>
  <c r="R131" i="14" l="1"/>
  <c r="S131" i="14" s="1"/>
  <c r="U131" i="14" l="1"/>
  <c r="Q132" i="14" l="1"/>
  <c r="T131" i="14"/>
  <c r="R132" i="14" l="1"/>
  <c r="S132" i="14" s="1"/>
  <c r="U132" i="14" l="1"/>
  <c r="Q133" i="14" l="1"/>
  <c r="T132" i="14"/>
  <c r="R133" i="14" l="1"/>
  <c r="S133" i="14" s="1"/>
  <c r="U133" i="14" l="1"/>
  <c r="Q134" i="14" l="1"/>
  <c r="T133" i="14"/>
  <c r="R134" i="14" l="1"/>
  <c r="S134" i="14" s="1"/>
  <c r="U134" i="14" l="1"/>
  <c r="Q135" i="14" l="1"/>
  <c r="T134" i="14"/>
  <c r="R135" i="14" l="1"/>
  <c r="S135" i="14" s="1"/>
  <c r="U135" i="14" l="1"/>
  <c r="Q136" i="14" l="1"/>
  <c r="T135" i="14"/>
  <c r="R136" i="14" l="1"/>
  <c r="S136" i="14" s="1"/>
  <c r="U136" i="14" l="1"/>
  <c r="Q137" i="14" l="1"/>
  <c r="T136" i="14"/>
  <c r="R137" i="14" l="1"/>
  <c r="S137" i="14" s="1"/>
  <c r="U137" i="14" l="1"/>
  <c r="Q138" i="14" l="1"/>
  <c r="T137" i="14"/>
  <c r="R138" i="14" l="1"/>
  <c r="S138" i="14" s="1"/>
  <c r="U138" i="14" l="1"/>
  <c r="Q139" i="14" l="1"/>
  <c r="T138" i="14"/>
  <c r="R139" i="14" l="1"/>
  <c r="S139" i="14" s="1"/>
  <c r="U139" i="14" l="1"/>
  <c r="Q140" i="14" l="1"/>
  <c r="T139" i="14"/>
  <c r="R140" i="14" l="1"/>
  <c r="S140" i="14" s="1"/>
  <c r="U140" i="14" l="1"/>
  <c r="Q141" i="14" l="1"/>
  <c r="T140" i="14"/>
  <c r="R141" i="14" l="1"/>
  <c r="S141" i="14" s="1"/>
  <c r="U141" i="14" l="1"/>
  <c r="Q142" i="14" l="1"/>
  <c r="T141" i="14"/>
  <c r="R142" i="14" l="1"/>
  <c r="S142" i="14" s="1"/>
  <c r="U142" i="14" l="1"/>
  <c r="Q143" i="14" l="1"/>
  <c r="T142" i="14"/>
  <c r="R143" i="14" l="1"/>
  <c r="S143" i="14" s="1"/>
  <c r="U143" i="14" l="1"/>
  <c r="Q144" i="14" l="1"/>
  <c r="T143" i="14"/>
  <c r="R144" i="14" l="1"/>
  <c r="S144" i="14" s="1"/>
  <c r="U144" i="14" l="1"/>
  <c r="Q145" i="14" l="1"/>
  <c r="T144" i="14"/>
  <c r="R145" i="14" l="1"/>
  <c r="S145" i="14" s="1"/>
  <c r="U145" i="14" l="1"/>
  <c r="Q146" i="14" l="1"/>
  <c r="T145" i="14"/>
  <c r="R146" i="14" l="1"/>
  <c r="S146" i="14" s="1"/>
  <c r="U146" i="14" l="1"/>
  <c r="Q147" i="14" l="1"/>
  <c r="T146" i="14"/>
  <c r="R147" i="14" l="1"/>
  <c r="S147" i="14" s="1"/>
  <c r="U147" i="14" l="1"/>
  <c r="Q148" i="14" l="1"/>
  <c r="T147" i="14"/>
  <c r="R148" i="14" l="1"/>
  <c r="S148" i="14" s="1"/>
  <c r="U148" i="14" l="1"/>
  <c r="Q149" i="14" l="1"/>
  <c r="T148" i="14"/>
  <c r="R149" i="14" l="1"/>
  <c r="S149" i="14" s="1"/>
  <c r="U149" i="14" l="1"/>
  <c r="Q150" i="14" l="1"/>
  <c r="T149" i="14"/>
  <c r="R150" i="14" l="1"/>
  <c r="S150" i="14" s="1"/>
  <c r="U150" i="14" l="1"/>
  <c r="Q151" i="14" l="1"/>
  <c r="T150" i="14"/>
  <c r="R151" i="14" l="1"/>
  <c r="S151" i="14" s="1"/>
  <c r="U151" i="14" l="1"/>
  <c r="Q152" i="14" l="1"/>
  <c r="T151" i="14"/>
  <c r="R152" i="14" l="1"/>
  <c r="S152" i="14" s="1"/>
  <c r="U152" i="14" l="1"/>
  <c r="Q153" i="14" l="1"/>
  <c r="T152" i="14"/>
  <c r="R153" i="14" l="1"/>
  <c r="S153" i="14" s="1"/>
  <c r="U153" i="14" l="1"/>
  <c r="Q154" i="14" l="1"/>
  <c r="T153" i="14"/>
  <c r="R154" i="14" l="1"/>
  <c r="S154" i="14" s="1"/>
  <c r="U154" i="14" l="1"/>
  <c r="Q155" i="14" l="1"/>
  <c r="T154" i="14"/>
  <c r="R155" i="14" l="1"/>
  <c r="S155" i="14" s="1"/>
  <c r="U155" i="14" l="1"/>
  <c r="Q156" i="14" l="1"/>
  <c r="T155" i="14"/>
  <c r="R156" i="14" l="1"/>
  <c r="S156" i="14" s="1"/>
  <c r="U156" i="14" l="1"/>
  <c r="Q157" i="14" l="1"/>
  <c r="T156" i="14"/>
  <c r="R157" i="14" l="1"/>
  <c r="S157" i="14" s="1"/>
  <c r="U157" i="14" l="1"/>
  <c r="Q158" i="14" l="1"/>
  <c r="T157" i="14"/>
  <c r="R158" i="14" l="1"/>
  <c r="S158" i="14" s="1"/>
  <c r="U158" i="14" l="1"/>
  <c r="Q159" i="14" l="1"/>
  <c r="T158" i="14"/>
  <c r="R159" i="14" l="1"/>
  <c r="S159" i="14" s="1"/>
  <c r="U159" i="14" l="1"/>
  <c r="Q160" i="14" l="1"/>
  <c r="T159" i="14"/>
  <c r="R160" i="14" l="1"/>
  <c r="S160" i="14" s="1"/>
  <c r="U160" i="14" l="1"/>
  <c r="Q161" i="14" l="1"/>
  <c r="T160" i="14"/>
  <c r="R161" i="14" l="1"/>
  <c r="S161" i="14" s="1"/>
  <c r="U161" i="14" l="1"/>
  <c r="Q162" i="14" l="1"/>
  <c r="T161" i="14"/>
  <c r="R162" i="14" l="1"/>
  <c r="S162" i="14" s="1"/>
  <c r="U162" i="14" l="1"/>
  <c r="Q163" i="14" l="1"/>
  <c r="T162" i="14"/>
  <c r="R163" i="14" l="1"/>
  <c r="S163" i="14" s="1"/>
  <c r="U163" i="14" l="1"/>
  <c r="Q164" i="14" l="1"/>
  <c r="T163" i="14"/>
  <c r="R164" i="14" l="1"/>
  <c r="S164" i="14" s="1"/>
  <c r="U164" i="14" l="1"/>
  <c r="Q165" i="14" l="1"/>
  <c r="T164" i="14"/>
  <c r="R165" i="14" l="1"/>
  <c r="S165" i="14" s="1"/>
  <c r="U165" i="14" l="1"/>
  <c r="Q166" i="14" l="1"/>
  <c r="T165" i="14"/>
  <c r="R166" i="14" l="1"/>
  <c r="S166" i="14" s="1"/>
  <c r="U166" i="14" l="1"/>
  <c r="Q167" i="14" l="1"/>
  <c r="T166" i="14"/>
  <c r="R167" i="14" l="1"/>
  <c r="S167" i="14" s="1"/>
  <c r="U167" i="14" l="1"/>
  <c r="Q168" i="14" l="1"/>
  <c r="T167" i="14"/>
  <c r="R168" i="14" l="1"/>
  <c r="S168" i="14" s="1"/>
  <c r="U168" i="14" l="1"/>
  <c r="Q169" i="14" l="1"/>
  <c r="T168" i="14"/>
  <c r="R169" i="14" l="1"/>
  <c r="S169" i="14" s="1"/>
  <c r="U169" i="14" l="1"/>
  <c r="Q170" i="14" l="1"/>
  <c r="T169" i="14"/>
  <c r="R170" i="14" l="1"/>
  <c r="S170" i="14" s="1"/>
  <c r="U170" i="14" l="1"/>
  <c r="Q171" i="14" l="1"/>
  <c r="T170" i="14"/>
  <c r="R171" i="14" l="1"/>
  <c r="S171" i="14" s="1"/>
  <c r="U171" i="14" l="1"/>
  <c r="Q172" i="14" l="1"/>
  <c r="T171" i="14"/>
  <c r="R172" i="14" l="1"/>
  <c r="S172" i="14" s="1"/>
  <c r="U172" i="14" l="1"/>
  <c r="Q173" i="14" l="1"/>
  <c r="T172" i="14"/>
  <c r="R173" i="14" l="1"/>
  <c r="S173" i="14" s="1"/>
  <c r="U173" i="14" l="1"/>
  <c r="Q174" i="14" l="1"/>
  <c r="T173" i="14"/>
  <c r="R174" i="14" l="1"/>
  <c r="S174" i="14" s="1"/>
  <c r="U174" i="14" l="1"/>
  <c r="Q175" i="14" l="1"/>
  <c r="T174" i="14"/>
  <c r="R175" i="14" l="1"/>
  <c r="S175" i="14" s="1"/>
  <c r="U175" i="14" l="1"/>
  <c r="Q176" i="14" l="1"/>
  <c r="T175" i="14"/>
  <c r="R176" i="14" l="1"/>
  <c r="S176" i="14" s="1"/>
  <c r="U176" i="14" l="1"/>
  <c r="Q177" i="14" l="1"/>
  <c r="T176" i="14"/>
  <c r="R177" i="14" l="1"/>
  <c r="S177" i="14" s="1"/>
  <c r="U177" i="14" l="1"/>
  <c r="Q178" i="14" l="1"/>
  <c r="T177" i="14"/>
  <c r="R178" i="14" l="1"/>
  <c r="S178" i="14" s="1"/>
  <c r="U178" i="14" l="1"/>
  <c r="Q179" i="14" l="1"/>
  <c r="T178" i="14"/>
  <c r="R179" i="14" l="1"/>
  <c r="S179" i="14" s="1"/>
  <c r="U179" i="14" l="1"/>
  <c r="T179" i="14" l="1"/>
  <c r="Q180" i="14"/>
  <c r="R180" i="14" l="1"/>
  <c r="S180" i="14" s="1"/>
  <c r="U180" i="14" l="1"/>
  <c r="Q181" i="14" l="1"/>
  <c r="T180" i="14"/>
  <c r="R181" i="14" l="1"/>
  <c r="S181" i="14" s="1"/>
  <c r="U181" i="14" l="1"/>
  <c r="Q182" i="14" l="1"/>
  <c r="T181" i="14"/>
  <c r="R182" i="14" l="1"/>
  <c r="S182" i="14" s="1"/>
  <c r="U182" i="14" l="1"/>
  <c r="Q183" i="14" l="1"/>
  <c r="T182" i="14"/>
  <c r="R183" i="14" l="1"/>
  <c r="S183" i="14" s="1"/>
  <c r="U183" i="14" l="1"/>
  <c r="Q184" i="14" l="1"/>
  <c r="T183" i="14"/>
  <c r="R184" i="14" l="1"/>
  <c r="S184" i="14" s="1"/>
  <c r="U184" i="14" l="1"/>
  <c r="T184" i="14" l="1"/>
  <c r="H4" i="15" l="1"/>
  <c r="L4" i="15"/>
  <c r="I4" i="15" l="1"/>
  <c r="K4" i="15" s="1"/>
  <c r="H5" i="15"/>
  <c r="I5" i="15" s="1"/>
  <c r="J5" i="15" l="1"/>
  <c r="L5" i="15" s="1"/>
  <c r="H6" i="15" l="1"/>
  <c r="I6" i="15" s="1"/>
  <c r="K5" i="15"/>
  <c r="J6" i="15" l="1"/>
  <c r="L6" i="15" s="1"/>
  <c r="H7" i="15" l="1"/>
  <c r="I7" i="15" s="1"/>
  <c r="K6" i="15"/>
  <c r="J7" i="15" l="1"/>
  <c r="L7" i="15" s="1"/>
  <c r="H8" i="15" l="1"/>
  <c r="I8" i="15" s="1"/>
  <c r="K7" i="15"/>
  <c r="J8" i="15" l="1"/>
  <c r="L8" i="15" s="1"/>
  <c r="H9" i="15" l="1"/>
  <c r="I9" i="15" s="1"/>
  <c r="K8" i="15"/>
  <c r="J9" i="15" l="1"/>
  <c r="L9" i="15" s="1"/>
  <c r="H10" i="15" l="1"/>
  <c r="I10" i="15" s="1"/>
  <c r="K9" i="15"/>
  <c r="J10" i="15" l="1"/>
  <c r="L10" i="15" s="1"/>
  <c r="H11" i="15" l="1"/>
  <c r="I11" i="15" s="1"/>
  <c r="K10" i="15"/>
  <c r="J11" i="15" l="1"/>
  <c r="L11" i="15" s="1"/>
  <c r="H12" i="15" l="1"/>
  <c r="I12" i="15" s="1"/>
  <c r="K11" i="15"/>
  <c r="J12" i="15" l="1"/>
  <c r="L12" i="15" s="1"/>
  <c r="H13" i="15" l="1"/>
  <c r="I13" i="15" s="1"/>
  <c r="K12" i="15"/>
  <c r="J13" i="15" l="1"/>
  <c r="L13" i="15" s="1"/>
  <c r="H14" i="15" l="1"/>
  <c r="I14" i="15" s="1"/>
  <c r="K13" i="15"/>
  <c r="J14" i="15" l="1"/>
  <c r="L14" i="15" s="1"/>
  <c r="H15" i="15" l="1"/>
  <c r="I15" i="15" s="1"/>
  <c r="K14" i="15"/>
  <c r="J15" i="15" l="1"/>
  <c r="L15" i="15" s="1"/>
  <c r="H16" i="15" l="1"/>
  <c r="I16" i="15" s="1"/>
  <c r="K15" i="15"/>
  <c r="J16" i="15" l="1"/>
  <c r="L16" i="15" s="1"/>
  <c r="H17" i="15" l="1"/>
  <c r="I17" i="15" s="1"/>
  <c r="K16" i="15"/>
  <c r="J17" i="15" l="1"/>
  <c r="L17" i="15" s="1"/>
  <c r="H18" i="15" l="1"/>
  <c r="I18" i="15" s="1"/>
  <c r="K17" i="15"/>
  <c r="J18" i="15" l="1"/>
  <c r="L18" i="15" s="1"/>
  <c r="H19" i="15" l="1"/>
  <c r="I19" i="15" s="1"/>
  <c r="K18" i="15"/>
  <c r="J19" i="15" l="1"/>
  <c r="L19" i="15" s="1"/>
  <c r="H20" i="15" l="1"/>
  <c r="I20" i="15" s="1"/>
  <c r="K19" i="15"/>
  <c r="J20" i="15" l="1"/>
  <c r="L20" i="15" s="1"/>
  <c r="H21" i="15" l="1"/>
  <c r="I21" i="15" s="1"/>
  <c r="K20" i="15"/>
  <c r="J21" i="15" l="1"/>
  <c r="L21" i="15" s="1"/>
  <c r="H22" i="15" l="1"/>
  <c r="I22" i="15" s="1"/>
  <c r="K21" i="15"/>
  <c r="J22" i="15" l="1"/>
  <c r="L22" i="15" s="1"/>
  <c r="H23" i="15" l="1"/>
  <c r="I23" i="15" s="1"/>
  <c r="K22" i="15"/>
  <c r="J23" i="15" l="1"/>
  <c r="L23" i="15" s="1"/>
  <c r="H24" i="15" l="1"/>
  <c r="I24" i="15" s="1"/>
  <c r="K23" i="15"/>
  <c r="J24" i="15" l="1"/>
  <c r="L24" i="15" s="1"/>
  <c r="H25" i="15" l="1"/>
  <c r="I25" i="15" s="1"/>
  <c r="K24" i="15"/>
  <c r="J25" i="15" l="1"/>
  <c r="L25" i="15" s="1"/>
  <c r="H26" i="15" l="1"/>
  <c r="I26" i="15" s="1"/>
  <c r="K25" i="15"/>
  <c r="J26" i="15" l="1"/>
  <c r="L26" i="15" s="1"/>
  <c r="H27" i="15" l="1"/>
  <c r="I27" i="15" s="1"/>
  <c r="K26" i="15"/>
  <c r="J27" i="15" l="1"/>
  <c r="L27" i="15" s="1"/>
  <c r="H28" i="15" l="1"/>
  <c r="I28" i="15" s="1"/>
  <c r="K27" i="15"/>
  <c r="J28" i="15" l="1"/>
  <c r="L28" i="15" s="1"/>
  <c r="H29" i="15" l="1"/>
  <c r="I29" i="15" s="1"/>
  <c r="K28" i="15"/>
  <c r="J29" i="15" l="1"/>
  <c r="L29" i="15" s="1"/>
  <c r="H30" i="15" l="1"/>
  <c r="I30" i="15" s="1"/>
  <c r="K29" i="15"/>
  <c r="J30" i="15" l="1"/>
  <c r="L30" i="15" s="1"/>
  <c r="H31" i="15" l="1"/>
  <c r="I31" i="15" s="1"/>
  <c r="K30" i="15"/>
  <c r="J31" i="15" l="1"/>
  <c r="L31" i="15" s="1"/>
  <c r="H32" i="15" l="1"/>
  <c r="I32" i="15" s="1"/>
  <c r="K31" i="15"/>
  <c r="J32" i="15" l="1"/>
  <c r="L32" i="15" s="1"/>
  <c r="H33" i="15" l="1"/>
  <c r="I33" i="15" s="1"/>
  <c r="K32" i="15"/>
  <c r="J33" i="15" l="1"/>
  <c r="L33" i="15" s="1"/>
  <c r="H34" i="15" l="1"/>
  <c r="I34" i="15" s="1"/>
  <c r="K33" i="15"/>
  <c r="J34" i="15" l="1"/>
  <c r="L34" i="15" s="1"/>
  <c r="H35" i="15" l="1"/>
  <c r="I35" i="15" s="1"/>
  <c r="K34" i="15"/>
  <c r="J35" i="15" l="1"/>
  <c r="L35" i="15" s="1"/>
  <c r="H36" i="15" l="1"/>
  <c r="I36" i="15" s="1"/>
  <c r="K35" i="15"/>
  <c r="J36" i="15" l="1"/>
  <c r="L36" i="15" s="1"/>
  <c r="H37" i="15" l="1"/>
  <c r="I37" i="15" s="1"/>
  <c r="K36" i="15"/>
  <c r="J37" i="15" l="1"/>
  <c r="L37" i="15" s="1"/>
  <c r="H38" i="15" l="1"/>
  <c r="I38" i="15" s="1"/>
  <c r="K37" i="15"/>
  <c r="J38" i="15" l="1"/>
  <c r="L38" i="15" s="1"/>
  <c r="H39" i="15" l="1"/>
  <c r="I39" i="15" s="1"/>
  <c r="K38" i="15"/>
  <c r="J39" i="15" l="1"/>
  <c r="L39" i="15" s="1"/>
  <c r="H40" i="15" l="1"/>
  <c r="I40" i="15" s="1"/>
  <c r="K39" i="15"/>
  <c r="J40" i="15" l="1"/>
  <c r="L40" i="15" s="1"/>
  <c r="H41" i="15" l="1"/>
  <c r="I41" i="15" s="1"/>
  <c r="K40" i="15"/>
  <c r="J41" i="15" l="1"/>
  <c r="L41" i="15" s="1"/>
  <c r="H42" i="15" l="1"/>
  <c r="I42" i="15" s="1"/>
  <c r="K41" i="15"/>
  <c r="J42" i="15" l="1"/>
  <c r="L42" i="15" s="1"/>
  <c r="H43" i="15" l="1"/>
  <c r="I43" i="15" s="1"/>
  <c r="K42" i="15"/>
  <c r="J43" i="15" l="1"/>
  <c r="L43" i="15" s="1"/>
  <c r="H44" i="15" l="1"/>
  <c r="I44" i="15" s="1"/>
  <c r="K43" i="15"/>
  <c r="J44" i="15" l="1"/>
  <c r="L44" i="15" s="1"/>
  <c r="H45" i="15" l="1"/>
  <c r="I45" i="15" s="1"/>
  <c r="K44" i="15"/>
  <c r="J45" i="15" l="1"/>
  <c r="L45" i="15" s="1"/>
  <c r="H46" i="15" l="1"/>
  <c r="I46" i="15" s="1"/>
  <c r="K45" i="15"/>
  <c r="J46" i="15" l="1"/>
  <c r="L46" i="15" s="1"/>
  <c r="H47" i="15" l="1"/>
  <c r="I47" i="15" s="1"/>
  <c r="K46" i="15"/>
  <c r="J47" i="15" l="1"/>
  <c r="L47" i="15" s="1"/>
  <c r="H48" i="15" l="1"/>
  <c r="I48" i="15" s="1"/>
  <c r="K47" i="15"/>
  <c r="J48" i="15" l="1"/>
  <c r="L48" i="15" s="1"/>
  <c r="H49" i="15" l="1"/>
  <c r="I49" i="15" s="1"/>
  <c r="K48" i="15"/>
  <c r="J49" i="15" l="1"/>
  <c r="L49" i="15" s="1"/>
  <c r="H50" i="15" l="1"/>
  <c r="I50" i="15" s="1"/>
  <c r="K49" i="15"/>
  <c r="J50" i="15" l="1"/>
  <c r="L50" i="15" s="1"/>
  <c r="H51" i="15" l="1"/>
  <c r="I51" i="15" s="1"/>
  <c r="K50" i="15"/>
  <c r="J51" i="15" l="1"/>
  <c r="L51" i="15" s="1"/>
  <c r="H52" i="15" l="1"/>
  <c r="I52" i="15" s="1"/>
  <c r="K51" i="15"/>
  <c r="J52" i="15" l="1"/>
  <c r="L52" i="15" s="1"/>
  <c r="H53" i="15" l="1"/>
  <c r="I53" i="15" s="1"/>
  <c r="K52" i="15"/>
  <c r="J53" i="15" l="1"/>
  <c r="L53" i="15" s="1"/>
  <c r="H54" i="15" l="1"/>
  <c r="I54" i="15" s="1"/>
  <c r="K53" i="15"/>
  <c r="J54" i="15" l="1"/>
  <c r="L54" i="15" s="1"/>
  <c r="H55" i="15" l="1"/>
  <c r="I55" i="15" s="1"/>
  <c r="K54" i="15"/>
  <c r="J55" i="15" l="1"/>
  <c r="L55" i="15" s="1"/>
  <c r="H56" i="15" l="1"/>
  <c r="I56" i="15" s="1"/>
  <c r="K55" i="15"/>
  <c r="J56" i="15" l="1"/>
  <c r="L56" i="15" s="1"/>
  <c r="H57" i="15" l="1"/>
  <c r="I57" i="15" s="1"/>
  <c r="K56" i="15"/>
  <c r="J57" i="15" l="1"/>
  <c r="L57" i="15" s="1"/>
  <c r="H58" i="15" l="1"/>
  <c r="I58" i="15" s="1"/>
  <c r="K57" i="15"/>
  <c r="J58" i="15" l="1"/>
  <c r="L58" i="15" s="1"/>
  <c r="H59" i="15" l="1"/>
  <c r="I59" i="15" s="1"/>
  <c r="K58" i="15"/>
  <c r="J59" i="15" l="1"/>
  <c r="L59" i="15" s="1"/>
  <c r="H60" i="15" l="1"/>
  <c r="I60" i="15" s="1"/>
  <c r="K59" i="15"/>
  <c r="J60" i="15" l="1"/>
  <c r="L60" i="15" s="1"/>
  <c r="H61" i="15" l="1"/>
  <c r="I61" i="15" s="1"/>
  <c r="K60" i="15"/>
  <c r="J61" i="15" l="1"/>
  <c r="L61" i="15" s="1"/>
  <c r="H62" i="15" l="1"/>
  <c r="I62" i="15" s="1"/>
  <c r="K61" i="15"/>
  <c r="J62" i="15" l="1"/>
  <c r="L62" i="15" s="1"/>
  <c r="H63" i="15" l="1"/>
  <c r="I63" i="15" s="1"/>
  <c r="K62" i="15"/>
  <c r="J63" i="15" l="1"/>
  <c r="L63" i="15" s="1"/>
  <c r="H64" i="15" l="1"/>
  <c r="I64" i="15" s="1"/>
  <c r="K63" i="15"/>
  <c r="J64" i="15" l="1"/>
  <c r="L64" i="15" s="1"/>
  <c r="H65" i="15" l="1"/>
  <c r="I65" i="15" s="1"/>
  <c r="K64" i="15"/>
  <c r="J65" i="15" l="1"/>
  <c r="L65" i="15" s="1"/>
  <c r="H66" i="15" l="1"/>
  <c r="I66" i="15" s="1"/>
  <c r="K65" i="15"/>
  <c r="J66" i="15" l="1"/>
  <c r="L66" i="15" s="1"/>
  <c r="H67" i="15" l="1"/>
  <c r="I67" i="15" s="1"/>
  <c r="K66" i="15"/>
  <c r="J67" i="15" l="1"/>
  <c r="L67" i="15" s="1"/>
  <c r="H68" i="15" l="1"/>
  <c r="I68" i="15" s="1"/>
  <c r="K67" i="15"/>
  <c r="J68" i="15" l="1"/>
  <c r="L68" i="15" s="1"/>
  <c r="H69" i="15" l="1"/>
  <c r="I69" i="15" s="1"/>
  <c r="K68" i="15"/>
  <c r="J69" i="15" l="1"/>
  <c r="L69" i="15" s="1"/>
  <c r="H70" i="15" l="1"/>
  <c r="I70" i="15" s="1"/>
  <c r="K69" i="15"/>
  <c r="J70" i="15" l="1"/>
  <c r="L70" i="15" s="1"/>
  <c r="H71" i="15" l="1"/>
  <c r="I71" i="15" s="1"/>
  <c r="K70" i="15"/>
  <c r="J71" i="15" l="1"/>
  <c r="L71" i="15" s="1"/>
  <c r="H72" i="15" l="1"/>
  <c r="I72" i="15" s="1"/>
  <c r="K71" i="15"/>
  <c r="J72" i="15" l="1"/>
  <c r="L72" i="15" s="1"/>
  <c r="H73" i="15" l="1"/>
  <c r="I73" i="15" s="1"/>
  <c r="K72" i="15"/>
  <c r="J73" i="15" l="1"/>
  <c r="L73" i="15" s="1"/>
  <c r="H74" i="15" l="1"/>
  <c r="I74" i="15" s="1"/>
  <c r="K73" i="15"/>
  <c r="J74" i="15" l="1"/>
  <c r="L74" i="15" s="1"/>
  <c r="H75" i="15" l="1"/>
  <c r="I75" i="15" s="1"/>
  <c r="K74" i="15"/>
  <c r="J75" i="15" l="1"/>
  <c r="L75" i="15" s="1"/>
  <c r="H76" i="15" l="1"/>
  <c r="I76" i="15" s="1"/>
  <c r="K75" i="15"/>
  <c r="J76" i="15" l="1"/>
  <c r="L76" i="15" s="1"/>
  <c r="H77" i="15" l="1"/>
  <c r="I77" i="15" s="1"/>
  <c r="K76" i="15"/>
  <c r="J77" i="15" l="1"/>
  <c r="L77" i="15" s="1"/>
  <c r="H78" i="15" l="1"/>
  <c r="I78" i="15" s="1"/>
  <c r="K77" i="15"/>
  <c r="J78" i="15" l="1"/>
  <c r="L78" i="15" s="1"/>
  <c r="H79" i="15" l="1"/>
  <c r="I79" i="15" s="1"/>
  <c r="K78" i="15"/>
  <c r="J79" i="15" l="1"/>
  <c r="L79" i="15" s="1"/>
  <c r="H80" i="15" s="1"/>
  <c r="I80" i="15" s="1"/>
  <c r="J80" i="15" l="1"/>
  <c r="L80" i="15" s="1"/>
  <c r="H81" i="15" s="1"/>
  <c r="I81" i="15" s="1"/>
  <c r="K79" i="15"/>
  <c r="J81" i="15" l="1"/>
  <c r="L81" i="15" s="1"/>
  <c r="H82" i="15" s="1"/>
  <c r="I82" i="15" s="1"/>
  <c r="K80" i="15"/>
  <c r="K81" i="15" l="1"/>
  <c r="J82" i="15" l="1"/>
  <c r="L82" i="15" s="1"/>
  <c r="H83" i="15" s="1"/>
  <c r="I83" i="15" s="1"/>
  <c r="K82" i="15" l="1"/>
  <c r="J83" i="15" l="1"/>
  <c r="L83" i="15" s="1"/>
  <c r="H84" i="15" s="1"/>
  <c r="I84" i="15" s="1"/>
  <c r="K83" i="15" l="1"/>
  <c r="J84" i="15" l="1"/>
  <c r="L84" i="15" s="1"/>
  <c r="H85" i="15" s="1"/>
  <c r="I85" i="15" s="1"/>
  <c r="K84" i="15" l="1"/>
  <c r="J85" i="15" l="1"/>
  <c r="L85" i="15" s="1"/>
  <c r="H86" i="15" s="1"/>
  <c r="I86" i="15" s="1"/>
  <c r="K85" i="15" l="1"/>
  <c r="J86" i="15" l="1"/>
  <c r="L86" i="15" s="1"/>
  <c r="H87" i="15" s="1"/>
  <c r="I87" i="15" s="1"/>
  <c r="K86" i="15" l="1"/>
  <c r="J87" i="15" l="1"/>
  <c r="L87" i="15" s="1"/>
  <c r="H88" i="15" s="1"/>
  <c r="I88" i="15" s="1"/>
  <c r="J88" i="15" l="1"/>
  <c r="L88" i="15" s="1"/>
  <c r="H89" i="15" s="1"/>
  <c r="I89" i="15" s="1"/>
  <c r="K87" i="15"/>
  <c r="K88" i="15" l="1"/>
  <c r="J89" i="15" l="1"/>
  <c r="L89" i="15" s="1"/>
  <c r="H90" i="15" s="1"/>
  <c r="I90" i="15" s="1"/>
  <c r="K89" i="15" l="1"/>
  <c r="J90" i="15" l="1"/>
  <c r="L90" i="15" s="1"/>
  <c r="H91" i="15" s="1"/>
  <c r="I91" i="15" s="1"/>
  <c r="J91" i="15" l="1"/>
  <c r="L91" i="15" s="1"/>
  <c r="H92" i="15" s="1"/>
  <c r="I92" i="15" s="1"/>
  <c r="K90" i="15"/>
  <c r="K91" i="15" l="1"/>
  <c r="J92" i="15" l="1"/>
  <c r="L92" i="15" s="1"/>
  <c r="H93" i="15" s="1"/>
  <c r="I93" i="15" s="1"/>
  <c r="K92" i="15" l="1"/>
  <c r="J93" i="15" l="1"/>
  <c r="L93" i="15" s="1"/>
  <c r="H94" i="15" s="1"/>
  <c r="I94" i="15" s="1"/>
  <c r="J94" i="15" l="1"/>
  <c r="L94" i="15" s="1"/>
  <c r="H95" i="15" s="1"/>
  <c r="I95" i="15" s="1"/>
  <c r="K93" i="15"/>
  <c r="K94" i="15" l="1"/>
  <c r="J95" i="15" l="1"/>
  <c r="L95" i="15" s="1"/>
  <c r="H96" i="15" s="1"/>
  <c r="I96" i="15" s="1"/>
  <c r="J96" i="15" l="1"/>
  <c r="L96" i="15" s="1"/>
  <c r="H97" i="15" s="1"/>
  <c r="I97" i="15" s="1"/>
  <c r="K95" i="15"/>
  <c r="K96" i="15" l="1"/>
  <c r="J97" i="15" l="1"/>
  <c r="L97" i="15" s="1"/>
  <c r="H98" i="15" s="1"/>
  <c r="I98" i="15" s="1"/>
  <c r="K97" i="15" l="1"/>
  <c r="J98" i="15" l="1"/>
  <c r="L98" i="15" s="1"/>
  <c r="H99" i="15" s="1"/>
  <c r="I99" i="15" s="1"/>
  <c r="K98" i="15" l="1"/>
  <c r="J99" i="15" l="1"/>
  <c r="L99" i="15" s="1"/>
  <c r="H100" i="15" s="1"/>
  <c r="I100" i="15" s="1"/>
  <c r="K99" i="15" l="1"/>
  <c r="J100" i="15" l="1"/>
  <c r="L100" i="15" s="1"/>
  <c r="H101" i="15" s="1"/>
  <c r="I101" i="15" s="1"/>
  <c r="K100" i="15" l="1"/>
  <c r="J101" i="15" l="1"/>
  <c r="L101" i="15" s="1"/>
  <c r="H102" i="15" s="1"/>
  <c r="I102" i="15" s="1"/>
  <c r="K101" i="15" l="1"/>
  <c r="J102" i="15" l="1"/>
  <c r="L102" i="15" s="1"/>
  <c r="H103" i="15" s="1"/>
  <c r="I103" i="15" s="1"/>
  <c r="K102" i="15" l="1"/>
  <c r="J103" i="15" l="1"/>
  <c r="L103" i="15" s="1"/>
  <c r="H104" i="15" s="1"/>
  <c r="I104" i="15" s="1"/>
  <c r="J104" i="15" l="1"/>
  <c r="L104" i="15" s="1"/>
  <c r="H105" i="15" s="1"/>
  <c r="I105" i="15" s="1"/>
  <c r="K103" i="15"/>
  <c r="K104" i="15" l="1"/>
  <c r="J105" i="15" l="1"/>
  <c r="L105" i="15" s="1"/>
  <c r="H106" i="15" s="1"/>
  <c r="I106" i="15" s="1"/>
  <c r="K105" i="15" l="1"/>
  <c r="J106" i="15" l="1"/>
  <c r="L106" i="15" s="1"/>
  <c r="H107" i="15" s="1"/>
  <c r="I107" i="15" s="1"/>
  <c r="K106" i="15" l="1"/>
  <c r="J107" i="15" l="1"/>
  <c r="L107" i="15" s="1"/>
  <c r="H108" i="15" s="1"/>
  <c r="I108" i="15" s="1"/>
  <c r="K107" i="15" l="1"/>
  <c r="J108" i="15" l="1"/>
  <c r="L108" i="15" s="1"/>
  <c r="H109" i="15" s="1"/>
  <c r="I109" i="15" s="1"/>
  <c r="K108" i="15" l="1"/>
  <c r="J109" i="15" l="1"/>
  <c r="L109" i="15" s="1"/>
  <c r="H110" i="15" s="1"/>
  <c r="I110" i="15" s="1"/>
  <c r="J110" i="15" l="1"/>
  <c r="L110" i="15" s="1"/>
  <c r="H111" i="15" s="1"/>
  <c r="I111" i="15" s="1"/>
  <c r="K109" i="15"/>
  <c r="J111" i="15" l="1"/>
  <c r="L111" i="15" s="1"/>
  <c r="H112" i="15" s="1"/>
  <c r="I112" i="15" s="1"/>
  <c r="K110" i="15"/>
  <c r="J112" i="15" l="1"/>
  <c r="L112" i="15" s="1"/>
  <c r="H113" i="15" s="1"/>
  <c r="I113" i="15" s="1"/>
  <c r="K111" i="15"/>
  <c r="K112" i="15" l="1"/>
  <c r="J113" i="15" l="1"/>
  <c r="L113" i="15" s="1"/>
  <c r="H114" i="15" s="1"/>
  <c r="I114" i="15" s="1"/>
  <c r="K113" i="15" l="1"/>
  <c r="J114" i="15" l="1"/>
  <c r="L114" i="15" s="1"/>
  <c r="H115" i="15" s="1"/>
  <c r="I115" i="15" s="1"/>
  <c r="K114" i="15" l="1"/>
  <c r="J115" i="15" l="1"/>
  <c r="L115" i="15" s="1"/>
  <c r="H116" i="15" s="1"/>
  <c r="I116" i="15" s="1"/>
  <c r="K115" i="15" l="1"/>
  <c r="J116" i="15" l="1"/>
  <c r="L116" i="15" s="1"/>
  <c r="H117" i="15" s="1"/>
  <c r="I117" i="15" s="1"/>
  <c r="K116" i="15" l="1"/>
  <c r="J117" i="15" l="1"/>
  <c r="L117" i="15" s="1"/>
  <c r="H118" i="15" s="1"/>
  <c r="I118" i="15" s="1"/>
  <c r="K117" i="15" l="1"/>
  <c r="J118" i="15" l="1"/>
  <c r="L118" i="15" s="1"/>
  <c r="H119" i="15" s="1"/>
  <c r="I119" i="15" s="1"/>
  <c r="K118" i="15" l="1"/>
  <c r="J119" i="15" l="1"/>
  <c r="L119" i="15" s="1"/>
  <c r="H120" i="15" s="1"/>
  <c r="I120" i="15" s="1"/>
  <c r="J120" i="15" l="1"/>
  <c r="L120" i="15" s="1"/>
  <c r="H121" i="15" s="1"/>
  <c r="I121" i="15" s="1"/>
  <c r="K119" i="15"/>
  <c r="K120" i="15" l="1"/>
  <c r="J121" i="15" l="1"/>
  <c r="L121" i="15" s="1"/>
  <c r="H122" i="15" s="1"/>
  <c r="I122" i="15" s="1"/>
  <c r="K121" i="15" l="1"/>
  <c r="J122" i="15" l="1"/>
  <c r="L122" i="15" s="1"/>
  <c r="H123" i="15" s="1"/>
  <c r="I123" i="15" s="1"/>
  <c r="J123" i="15" l="1"/>
  <c r="L123" i="15" s="1"/>
  <c r="H124" i="15" s="1"/>
  <c r="I124" i="15" s="1"/>
  <c r="K122" i="15"/>
  <c r="K123" i="15" l="1"/>
  <c r="J124" i="15" l="1"/>
  <c r="L124" i="15" s="1"/>
  <c r="H125" i="15" s="1"/>
  <c r="I125" i="15" s="1"/>
  <c r="J125" i="15" l="1"/>
  <c r="L125" i="15" s="1"/>
  <c r="H126" i="15" s="1"/>
  <c r="I126" i="15" s="1"/>
  <c r="K124" i="15"/>
  <c r="J126" i="15" l="1"/>
  <c r="L126" i="15" s="1"/>
  <c r="H127" i="15" s="1"/>
  <c r="I127" i="15" s="1"/>
  <c r="K125" i="15"/>
  <c r="K126" i="15" l="1"/>
  <c r="J127" i="15" l="1"/>
  <c r="L127" i="15" s="1"/>
  <c r="H128" i="15" s="1"/>
  <c r="I128" i="15" s="1"/>
  <c r="J128" i="15" l="1"/>
  <c r="L128" i="15" s="1"/>
  <c r="H129" i="15" s="1"/>
  <c r="I129" i="15" s="1"/>
  <c r="K127" i="15"/>
  <c r="K128" i="15" l="1"/>
  <c r="J129" i="15" l="1"/>
  <c r="L129" i="15" s="1"/>
  <c r="H130" i="15" s="1"/>
  <c r="I130" i="15" s="1"/>
  <c r="K129" i="15" l="1"/>
  <c r="J130" i="15" l="1"/>
  <c r="L130" i="15" s="1"/>
  <c r="H131" i="15" s="1"/>
  <c r="I131" i="15" s="1"/>
  <c r="K130" i="15" l="1"/>
  <c r="J131" i="15" l="1"/>
  <c r="L131" i="15" s="1"/>
  <c r="H132" i="15" s="1"/>
  <c r="I132" i="15" s="1"/>
  <c r="K131" i="15" l="1"/>
  <c r="J132" i="15" l="1"/>
  <c r="L132" i="15" s="1"/>
  <c r="H133" i="15" s="1"/>
  <c r="I133" i="15" s="1"/>
  <c r="K132" i="15" l="1"/>
  <c r="J133" i="15" l="1"/>
  <c r="L133" i="15" s="1"/>
  <c r="H134" i="15" s="1"/>
  <c r="I134" i="15" s="1"/>
  <c r="K133" i="15" l="1"/>
  <c r="J134" i="15" l="1"/>
  <c r="L134" i="15" s="1"/>
  <c r="H135" i="15" s="1"/>
  <c r="I135" i="15" s="1"/>
  <c r="K134" i="15" l="1"/>
  <c r="J135" i="15" l="1"/>
  <c r="L135" i="15" s="1"/>
  <c r="H136" i="15" s="1"/>
  <c r="I136" i="15" s="1"/>
  <c r="J136" i="15" l="1"/>
  <c r="L136" i="15" s="1"/>
  <c r="H137" i="15" s="1"/>
  <c r="I137" i="15" s="1"/>
  <c r="K135" i="15"/>
  <c r="J137" i="15" l="1"/>
  <c r="L137" i="15" s="1"/>
  <c r="H138" i="15" s="1"/>
  <c r="I138" i="15" s="1"/>
  <c r="K136" i="15"/>
  <c r="K137" i="15" l="1"/>
  <c r="J138" i="15" l="1"/>
  <c r="L138" i="15" s="1"/>
  <c r="H139" i="15" s="1"/>
  <c r="I139" i="15" s="1"/>
  <c r="K138" i="15" l="1"/>
  <c r="J139" i="15" l="1"/>
  <c r="L139" i="15" s="1"/>
  <c r="H140" i="15" s="1"/>
  <c r="I140" i="15" s="1"/>
  <c r="K139" i="15" l="1"/>
  <c r="J140" i="15" l="1"/>
  <c r="L140" i="15" s="1"/>
  <c r="H141" i="15" s="1"/>
  <c r="I141" i="15" s="1"/>
  <c r="K140" i="15" l="1"/>
  <c r="J141" i="15" l="1"/>
  <c r="L141" i="15" s="1"/>
  <c r="H142" i="15" s="1"/>
  <c r="I142" i="15" s="1"/>
  <c r="J142" i="15" l="1"/>
  <c r="L142" i="15" s="1"/>
  <c r="H143" i="15" s="1"/>
  <c r="I143" i="15" s="1"/>
  <c r="K141" i="15"/>
  <c r="K142" i="15" l="1"/>
  <c r="J143" i="15" l="1"/>
  <c r="L143" i="15" s="1"/>
  <c r="H144" i="15" s="1"/>
  <c r="I144" i="15" s="1"/>
  <c r="K143" i="15" l="1"/>
  <c r="J144" i="15" l="1"/>
  <c r="L144" i="15" s="1"/>
  <c r="H145" i="15" s="1"/>
  <c r="I145" i="15" s="1"/>
  <c r="K144" i="15" l="1"/>
  <c r="J145" i="15" l="1"/>
  <c r="L145" i="15" s="1"/>
  <c r="H146" i="15" s="1"/>
  <c r="I146" i="15" s="1"/>
  <c r="J146" i="15" l="1"/>
  <c r="L146" i="15" s="1"/>
  <c r="H147" i="15" s="1"/>
  <c r="I147" i="15" s="1"/>
  <c r="K145" i="15"/>
  <c r="K146" i="15" l="1"/>
  <c r="J147" i="15" l="1"/>
  <c r="L147" i="15" s="1"/>
  <c r="H148" i="15" s="1"/>
  <c r="I148" i="15" s="1"/>
  <c r="J148" i="15" l="1"/>
  <c r="L148" i="15" s="1"/>
  <c r="H149" i="15" s="1"/>
  <c r="I149" i="15" s="1"/>
  <c r="K147" i="15"/>
  <c r="K148" i="15" l="1"/>
  <c r="J149" i="15" l="1"/>
  <c r="L149" i="15" s="1"/>
  <c r="H150" i="15" s="1"/>
  <c r="I150" i="15" s="1"/>
  <c r="K149" i="15" l="1"/>
  <c r="J150" i="15" l="1"/>
  <c r="L150" i="15" s="1"/>
  <c r="H151" i="15" s="1"/>
  <c r="I151" i="15" s="1"/>
  <c r="J151" i="15" l="1"/>
  <c r="L151" i="15" s="1"/>
  <c r="H152" i="15" s="1"/>
  <c r="I152" i="15" s="1"/>
  <c r="K150" i="15"/>
  <c r="J152" i="15" l="1"/>
  <c r="L152" i="15" s="1"/>
  <c r="H153" i="15" s="1"/>
  <c r="I153" i="15" s="1"/>
  <c r="K151" i="15"/>
  <c r="K152" i="15" l="1"/>
  <c r="J153" i="15" l="1"/>
  <c r="L153" i="15" s="1"/>
  <c r="H154" i="15" s="1"/>
  <c r="I154" i="15" s="1"/>
  <c r="J154" i="15" l="1"/>
  <c r="L154" i="15" s="1"/>
  <c r="H155" i="15" s="1"/>
  <c r="I155" i="15" s="1"/>
  <c r="K153" i="15"/>
  <c r="J155" i="15" l="1"/>
  <c r="L155" i="15" s="1"/>
  <c r="H156" i="15" s="1"/>
  <c r="I156" i="15" s="1"/>
  <c r="K154" i="15"/>
  <c r="K155" i="15" l="1"/>
  <c r="J156" i="15" l="1"/>
  <c r="L156" i="15" s="1"/>
  <c r="H157" i="15" s="1"/>
  <c r="I157" i="15" s="1"/>
  <c r="J157" i="15" l="1"/>
  <c r="L157" i="15" s="1"/>
  <c r="H158" i="15" s="1"/>
  <c r="I158" i="15" s="1"/>
  <c r="K156" i="15"/>
  <c r="K157" i="15" l="1"/>
  <c r="J158" i="15" l="1"/>
  <c r="L158" i="15" s="1"/>
  <c r="H159" i="15" s="1"/>
  <c r="I159" i="15" s="1"/>
  <c r="J159" i="15" l="1"/>
  <c r="L159" i="15" s="1"/>
  <c r="H160" i="15" s="1"/>
  <c r="I160" i="15" s="1"/>
  <c r="K158" i="15"/>
  <c r="K159" i="15" l="1"/>
  <c r="J160" i="15" l="1"/>
  <c r="L160" i="15" s="1"/>
  <c r="H161" i="15" s="1"/>
  <c r="I161" i="15" s="1"/>
  <c r="K160" i="15" l="1"/>
  <c r="J161" i="15" l="1"/>
  <c r="L161" i="15" s="1"/>
  <c r="H162" i="15" s="1"/>
  <c r="I162" i="15" s="1"/>
  <c r="J162" i="15" l="1"/>
  <c r="L162" i="15" s="1"/>
  <c r="H163" i="15" s="1"/>
  <c r="I163" i="15" s="1"/>
  <c r="K161" i="15"/>
  <c r="J163" i="15" l="1"/>
  <c r="L163" i="15" s="1"/>
  <c r="H164" i="15" s="1"/>
  <c r="I164" i="15" s="1"/>
  <c r="K162" i="15"/>
  <c r="J164" i="15" l="1"/>
  <c r="L164" i="15" s="1"/>
  <c r="H165" i="15" s="1"/>
  <c r="I165" i="15" s="1"/>
  <c r="K163" i="15"/>
  <c r="J165" i="15" l="1"/>
  <c r="L165" i="15" s="1"/>
  <c r="H166" i="15" s="1"/>
  <c r="I166" i="15" s="1"/>
  <c r="K164" i="15"/>
  <c r="K165" i="15" l="1"/>
  <c r="J166" i="15" l="1"/>
  <c r="L166" i="15" s="1"/>
  <c r="H167" i="15" s="1"/>
  <c r="I167" i="15" s="1"/>
  <c r="K166" i="15" l="1"/>
  <c r="J167" i="15" l="1"/>
  <c r="L167" i="15" s="1"/>
  <c r="H168" i="15" s="1"/>
  <c r="I168" i="15" s="1"/>
  <c r="J168" i="15" l="1"/>
  <c r="L168" i="15" s="1"/>
  <c r="H169" i="15" s="1"/>
  <c r="I169" i="15" s="1"/>
  <c r="K167" i="15"/>
  <c r="J169" i="15" l="1"/>
  <c r="L169" i="15" s="1"/>
  <c r="H170" i="15" s="1"/>
  <c r="I170" i="15" s="1"/>
  <c r="K168" i="15"/>
  <c r="J170" i="15" l="1"/>
  <c r="L170" i="15" s="1"/>
  <c r="H171" i="15" s="1"/>
  <c r="I171" i="15" s="1"/>
  <c r="K169" i="15"/>
  <c r="K170" i="15" l="1"/>
  <c r="J171" i="15" l="1"/>
  <c r="L171" i="15" s="1"/>
  <c r="H172" i="15" s="1"/>
  <c r="I172" i="15" s="1"/>
  <c r="K171" i="15" l="1"/>
  <c r="J172" i="15" l="1"/>
  <c r="L172" i="15" s="1"/>
  <c r="H173" i="15" s="1"/>
  <c r="I173" i="15" s="1"/>
  <c r="K172" i="15" l="1"/>
  <c r="J173" i="15" l="1"/>
  <c r="L173" i="15" s="1"/>
  <c r="H174" i="15" s="1"/>
  <c r="I174" i="15" s="1"/>
  <c r="K173" i="15" l="1"/>
  <c r="J174" i="15" l="1"/>
  <c r="L174" i="15" s="1"/>
  <c r="H175" i="15" s="1"/>
  <c r="I175" i="15" s="1"/>
  <c r="K174" i="15" l="1"/>
  <c r="J175" i="15" l="1"/>
  <c r="L175" i="15" s="1"/>
  <c r="H176" i="15" s="1"/>
  <c r="I176" i="15" s="1"/>
  <c r="K175" i="15" l="1"/>
  <c r="J176" i="15" l="1"/>
  <c r="L176" i="15" s="1"/>
  <c r="H177" i="15" s="1"/>
  <c r="I177" i="15" s="1"/>
  <c r="K176" i="15" l="1"/>
  <c r="J177" i="15" l="1"/>
  <c r="L177" i="15" s="1"/>
  <c r="H178" i="15" s="1"/>
  <c r="I178" i="15" s="1"/>
  <c r="J178" i="15" l="1"/>
  <c r="L178" i="15" s="1"/>
  <c r="H179" i="15" s="1"/>
  <c r="I179" i="15" s="1"/>
  <c r="K177" i="15"/>
  <c r="K178" i="15" l="1"/>
  <c r="J179" i="15" l="1"/>
  <c r="L179" i="15" s="1"/>
  <c r="H180" i="15" s="1"/>
  <c r="I180" i="15" s="1"/>
  <c r="J180" i="15" l="1"/>
  <c r="L180" i="15" s="1"/>
  <c r="H181" i="15" s="1"/>
  <c r="I181" i="15" s="1"/>
  <c r="K179" i="15"/>
  <c r="K180" i="15" l="1"/>
  <c r="J181" i="15" l="1"/>
  <c r="L181" i="15" s="1"/>
  <c r="H182" i="15" s="1"/>
  <c r="I182" i="15" s="1"/>
  <c r="J182" i="15" l="1"/>
  <c r="L182" i="15" s="1"/>
  <c r="H183" i="15" s="1"/>
  <c r="I183" i="15" s="1"/>
  <c r="K181" i="15"/>
  <c r="K182" i="15" l="1"/>
  <c r="J183" i="15" l="1"/>
  <c r="L183" i="15" s="1"/>
  <c r="H184" i="15" s="1"/>
  <c r="I184" i="15" s="1"/>
  <c r="K183" i="15" l="1"/>
  <c r="J184" i="15" l="1"/>
  <c r="L184" i="15" s="1"/>
  <c r="K184"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6" authorId="0" shapeId="0" xr:uid="{880D2AC1-2698-4C70-8004-904C91872A46}">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5" authorId="0" shapeId="0" xr:uid="{975B210C-2F37-40FC-8EA3-1883B874437D}">
      <text>
        <r>
          <rPr>
            <b/>
            <sz val="9"/>
            <color indexed="81"/>
            <rFont val="Tahoma"/>
            <family val="2"/>
          </rPr>
          <t>Author:</t>
        </r>
        <r>
          <rPr>
            <sz val="9"/>
            <color indexed="81"/>
            <rFont val="Tahoma"/>
            <family val="2"/>
          </rPr>
          <t xml:space="preserve">
Please fill lessee wise tenure if selected as "YES"</t>
        </r>
      </text>
    </comment>
    <comment ref="A50" authorId="0" shapeId="0" xr:uid="{359F6A56-7EEF-4589-B931-A034F7C7A831}">
      <text>
        <r>
          <rPr>
            <b/>
            <sz val="9"/>
            <color indexed="81"/>
            <rFont val="Tahoma"/>
            <family val="2"/>
          </rPr>
          <t>Author:</t>
        </r>
        <r>
          <rPr>
            <sz val="9"/>
            <color indexed="81"/>
            <rFont val="Tahoma"/>
            <family val="2"/>
          </rPr>
          <t xml:space="preserve">
If Discounting factor is defined to be changed in any cell then make sure no cell after that is left blank.
For Ex: if 121 is mentioned in D50, make sure EFGH50 are filled wither 121 or if want to change DF from other subsequent months like 144 then mention the same.
(applicable for all lessee)</t>
        </r>
      </text>
    </comment>
  </commentList>
</comments>
</file>

<file path=xl/sharedStrings.xml><?xml version="1.0" encoding="utf-8"?>
<sst xmlns="http://schemas.openxmlformats.org/spreadsheetml/2006/main" count="698" uniqueCount="162">
  <si>
    <t>Month</t>
  </si>
  <si>
    <t>POS</t>
  </si>
  <si>
    <t>Interest</t>
  </si>
  <si>
    <t>Months</t>
  </si>
  <si>
    <t>Days</t>
  </si>
  <si>
    <t>Particulars</t>
  </si>
  <si>
    <t>Basic Rent</t>
  </si>
  <si>
    <t>1st Escalation</t>
  </si>
  <si>
    <t>2nd Escalation</t>
  </si>
  <si>
    <t>3rd Escalation</t>
  </si>
  <si>
    <t>4th Escalation</t>
  </si>
  <si>
    <t>Escalations</t>
  </si>
  <si>
    <t>Gross Rental</t>
  </si>
  <si>
    <t>Net Rental</t>
  </si>
  <si>
    <t>Net Receipts x Cash cover</t>
  </si>
  <si>
    <t>First escalation date</t>
  </si>
  <si>
    <t>Other deduction</t>
  </si>
  <si>
    <t>Input</t>
  </si>
  <si>
    <t>5th Escalation</t>
  </si>
  <si>
    <t>Prin Run off</t>
  </si>
  <si>
    <t>Sr no</t>
  </si>
  <si>
    <t>Disb date</t>
  </si>
  <si>
    <t>Due date(15/5)</t>
  </si>
  <si>
    <t>ROI</t>
  </si>
  <si>
    <t>Difference %</t>
  </si>
  <si>
    <t>Valuation 3</t>
  </si>
  <si>
    <t>Eligibility</t>
  </si>
  <si>
    <t>EMI</t>
  </si>
  <si>
    <t>Moratorium months</t>
  </si>
  <si>
    <t>Opening Balance</t>
  </si>
  <si>
    <t>First/Next escalation date</t>
  </si>
  <si>
    <t>Lessee1- ABC</t>
  </si>
  <si>
    <t>LTV basis Valuation</t>
  </si>
  <si>
    <t>Tenure</t>
  </si>
  <si>
    <t xml:space="preserve">180 Months </t>
  </si>
  <si>
    <t xml:space="preserve">144 Months </t>
  </si>
  <si>
    <t xml:space="preserve">120 Months </t>
  </si>
  <si>
    <t>Tentative Loan closure date</t>
  </si>
  <si>
    <t>Lessee2- DEF</t>
  </si>
  <si>
    <t>Lessee3- GHI</t>
  </si>
  <si>
    <t>Lessee4- JKL</t>
  </si>
  <si>
    <t>Lessee5- MNO</t>
  </si>
  <si>
    <t>For 180 Months</t>
  </si>
  <si>
    <t>1st year</t>
  </si>
  <si>
    <t>2nd year</t>
  </si>
  <si>
    <t>3rd year</t>
  </si>
  <si>
    <t>4th year</t>
  </si>
  <si>
    <t>5th year</t>
  </si>
  <si>
    <t>6th year</t>
  </si>
  <si>
    <t>7th year</t>
  </si>
  <si>
    <t>8th year</t>
  </si>
  <si>
    <t>9th year</t>
  </si>
  <si>
    <t>10th year</t>
  </si>
  <si>
    <t>11th year</t>
  </si>
  <si>
    <t>12th year</t>
  </si>
  <si>
    <t>13th year</t>
  </si>
  <si>
    <t>14th year</t>
  </si>
  <si>
    <t>15th year</t>
  </si>
  <si>
    <t>For 144 Months</t>
  </si>
  <si>
    <t>For 120 Months</t>
  </si>
  <si>
    <t>TDS</t>
  </si>
  <si>
    <t>Property Tax</t>
  </si>
  <si>
    <t>Insurance</t>
  </si>
  <si>
    <t>LTV trend</t>
  </si>
  <si>
    <t>180 Months</t>
  </si>
  <si>
    <t>120 Months</t>
  </si>
  <si>
    <t>144 Months</t>
  </si>
  <si>
    <t>Total rent</t>
  </si>
  <si>
    <t>Loan applied for any tenure other than 180/144/120</t>
  </si>
  <si>
    <t>Lease Details :</t>
  </si>
  <si>
    <t xml:space="preserve">Lessor Name </t>
  </si>
  <si>
    <t xml:space="preserve">Lessee Name </t>
  </si>
  <si>
    <t>Lessee Rating (If available)</t>
  </si>
  <si>
    <t xml:space="preserve">Agreement Date </t>
  </si>
  <si>
    <t xml:space="preserve">Agreement Type </t>
  </si>
  <si>
    <t xml:space="preserve">Address of Property </t>
  </si>
  <si>
    <t>Fit out period</t>
  </si>
  <si>
    <t>Lease start date</t>
  </si>
  <si>
    <t xml:space="preserve">Lease End Date </t>
  </si>
  <si>
    <t xml:space="preserve">Tenure (Months) </t>
  </si>
  <si>
    <t xml:space="preserve">Residual Tenure (Months) </t>
  </si>
  <si>
    <t xml:space="preserve">Lock In Period (Months) </t>
  </si>
  <si>
    <t xml:space="preserve">Current Rent (Gross) </t>
  </si>
  <si>
    <t xml:space="preserve">Area (in Sq.ft) </t>
  </si>
  <si>
    <t>Rent on monthly sales</t>
  </si>
  <si>
    <t>Rental Per sq.ft</t>
  </si>
  <si>
    <t>Renewal Clause availability (If any)</t>
  </si>
  <si>
    <t xml:space="preserve">Escalation </t>
  </si>
  <si>
    <t xml:space="preserve">Security Deposit </t>
  </si>
  <si>
    <t>GST, Taxes, and Maintenance born by</t>
  </si>
  <si>
    <t>Same lessee occupancy Since</t>
  </si>
  <si>
    <t>Remark</t>
  </si>
  <si>
    <t>Lessee wise Current Rental break up with % contribution</t>
  </si>
  <si>
    <t>Sr. No</t>
  </si>
  <si>
    <t>Lessee</t>
  </si>
  <si>
    <t>Agreement date</t>
  </si>
  <si>
    <t>Balance Lease period</t>
  </si>
  <si>
    <t>Gross Rent</t>
  </si>
  <si>
    <t>Net Rental required to be credited
(Gross +GST- TDS)</t>
  </si>
  <si>
    <t>Net Rental excluding GST
(Gross - TDS)</t>
  </si>
  <si>
    <t>Contribution</t>
  </si>
  <si>
    <t>Rental Credit reconciliation</t>
  </si>
  <si>
    <t>Lessee :</t>
  </si>
  <si>
    <t>Bank Name :</t>
  </si>
  <si>
    <t>HDFC bank Ltd a/c no……….</t>
  </si>
  <si>
    <t>Due Date</t>
  </si>
  <si>
    <t>Date</t>
  </si>
  <si>
    <t>Net Rental to be credited</t>
  </si>
  <si>
    <t>Actual credit</t>
  </si>
  <si>
    <t>Difference</t>
  </si>
  <si>
    <t>Remark/ Comment on Rental credits</t>
  </si>
  <si>
    <t>Steps to get the eligibility:</t>
  </si>
  <si>
    <t>Following details to be filled mandatorily</t>
  </si>
  <si>
    <t>Sheet name</t>
  </si>
  <si>
    <t>Fields</t>
  </si>
  <si>
    <t>Lease details</t>
  </si>
  <si>
    <t>Lessee names</t>
  </si>
  <si>
    <t>Current Gross rentals</t>
  </si>
  <si>
    <t>Disbursement date</t>
  </si>
  <si>
    <t>Due date</t>
  </si>
  <si>
    <t>TDS rates, property tax rate, insurance</t>
  </si>
  <si>
    <t>Other deductions (if any)</t>
  </si>
  <si>
    <t>Discounting factor</t>
  </si>
  <si>
    <t>Escalation % (if any)</t>
  </si>
  <si>
    <t>Escalation frequency of each escalation</t>
  </si>
  <si>
    <t>Discounting Factor for each year</t>
  </si>
  <si>
    <t>You can just click on the following and fill</t>
  </si>
  <si>
    <t>Valuation details(optional)</t>
  </si>
  <si>
    <t>Once above details are filled</t>
  </si>
  <si>
    <t>Click on following buttons in the following sequence only</t>
  </si>
  <si>
    <t>1. Reset Calculations</t>
  </si>
  <si>
    <t>2. Eligibility</t>
  </si>
  <si>
    <t>3. Errors</t>
  </si>
  <si>
    <t>Important note: Please enable Macros before usig this excel.
Also, if you are doing save as, then make sure it is saved as Macro enabled work sheet.</t>
  </si>
  <si>
    <t>Tenure other than 180/144/120, as applicable</t>
  </si>
  <si>
    <t>Amount in Rs</t>
  </si>
  <si>
    <t>Valuation 1</t>
  </si>
  <si>
    <t>Valuation 2</t>
  </si>
  <si>
    <t>Final value</t>
  </si>
  <si>
    <t>(if applicable)</t>
  </si>
  <si>
    <t>Total Eligibility</t>
  </si>
  <si>
    <t>Amount proposed</t>
  </si>
  <si>
    <t>NOTE: Fill only Light Blue colored cells &gt;&gt; Reset calculations &gt;&gt; Eligibility. If Error is displayed, please rectify the same.</t>
  </si>
  <si>
    <t>Principal Run off</t>
  </si>
  <si>
    <t>Average NPV</t>
  </si>
  <si>
    <t>Disc factor from</t>
  </si>
  <si>
    <t>Net Rent</t>
  </si>
  <si>
    <t>DF</t>
  </si>
  <si>
    <t>Discounted Cashflows</t>
  </si>
  <si>
    <t>Sr No</t>
  </si>
  <si>
    <t>Total Net rentals</t>
  </si>
  <si>
    <t>Total Disc CF</t>
  </si>
  <si>
    <t>Consolidated Eligibbility 180 Months</t>
  </si>
  <si>
    <t>Consolidated Eligibbility 144 Months</t>
  </si>
  <si>
    <t>Consolidated Eligibbility 120 Months</t>
  </si>
  <si>
    <t>NPV</t>
  </si>
  <si>
    <t>Do you want to offer different tenure to each lessee ?</t>
  </si>
  <si>
    <t>Yes</t>
  </si>
  <si>
    <t>No</t>
  </si>
  <si>
    <t>Discounted CF</t>
  </si>
  <si>
    <t>Fill cell K2 with desired loan amount, apply discounting factor and apply goal seek in desired cell of K2</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</si>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</sst>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 #,##0.00;[Red]&quot;₹&quot;\ \-#,##0.00"/>
    <numFmt numFmtId="41" formatCode="_ * #,##0_ ;_ * \-#,##0_ ;_ * &quot;-&quot;_ ;_ @_ "/>
    <numFmt numFmtId="164" formatCode="_(* #,##0_);_(* \(#,##0\);_(* \-??_);_(@_)"/>
    <numFmt numFmtId="165" formatCode="[$-409]d\-mmm\-yy;@"/>
    <numFmt numFmtId="166" formatCode="0.000000"/>
    <numFmt numFmtId="167" formatCode="#,##0.0000000000_ ;[Red]\-#,##0.0000000000\ "/>
    <numFmt numFmtId="168" formatCode="_ * #,##0_ ;_ * \-#,##0_ ;_ * &quot;-&quot;??_ ;_ @_ "/>
    <numFmt numFmtId="169" formatCode="d\ mmm\ yy"/>
    <numFmt numFmtId="170" formatCode="[$-409]mmmm\-yy;@"/>
    <numFmt numFmtId="171" formatCode="_(* #,##0.0000_);_(* \(#,##0.0000\);_(* \-??_);_(@_)"/>
    <numFmt numFmtId="172" formatCode="#,##0.0000_ ;[Red]\-#,##0.0000\ "/>
    <numFmt numFmtId="173" formatCode="#,##0_ ;[Red]\-#,##0\ "/>
    <numFmt numFmtId="174" formatCode="&quot;₹&quot;\ #,##0.0;[Red]&quot;₹&quot;\ \-#,##0.0"/>
  </numFmts>
  <fonts count="24" x14ac:knownFonts="1">
    <font>
      <sz val="11"/>
      <color theme="1"/>
      <name val="Calibri"/>
      <family val="2"/>
      <scheme val="minor"/>
    </font>
    <font>
      <b/>
      <sz val="11"/>
      <color theme="1"/>
      <name val="Calibri"/>
      <family val="2"/>
      <scheme val="minor"/>
    </font>
    <font>
      <sz val="9.5"/>
      <color rgb="FF000000"/>
      <name val="Calibri"/>
      <family val="2"/>
      <charset val="1"/>
    </font>
    <font>
      <sz val="10"/>
      <color rgb="FF000000"/>
      <name val="Calibri"/>
      <family val="2"/>
      <charset val="1"/>
    </font>
    <font>
      <u/>
      <sz val="11"/>
      <color theme="10"/>
      <name val="Calibri"/>
      <family val="2"/>
      <scheme val="minor"/>
    </font>
    <font>
      <sz val="11"/>
      <color rgb="FF000000"/>
      <name val="Calibri"/>
      <family val="2"/>
    </font>
    <font>
      <b/>
      <sz val="26"/>
      <color rgb="FF000000"/>
      <name val="Calibri"/>
      <family val="2"/>
    </font>
    <font>
      <b/>
      <sz val="9"/>
      <color indexed="81"/>
      <name val="Tahoma"/>
      <family val="2"/>
    </font>
    <font>
      <sz val="11"/>
      <color theme="1"/>
      <name val="Calibri"/>
      <family val="2"/>
      <scheme val="minor"/>
    </font>
    <font>
      <b/>
      <u/>
      <sz val="11"/>
      <color rgb="FF000000"/>
      <name val="Calibri"/>
      <family val="2"/>
      <charset val="1"/>
    </font>
    <font>
      <b/>
      <sz val="9"/>
      <color rgb="FF000000"/>
      <name val="Calibri"/>
      <family val="2"/>
      <charset val="1"/>
    </font>
    <font>
      <sz val="9"/>
      <color rgb="FF000000"/>
      <name val="Calibri"/>
      <family val="2"/>
      <charset val="1"/>
    </font>
    <font>
      <sz val="9"/>
      <color rgb="FF000000"/>
      <name val="Calibri"/>
      <family val="2"/>
    </font>
    <font>
      <b/>
      <sz val="9"/>
      <color rgb="FF000000"/>
      <name val="Calibri"/>
      <family val="2"/>
    </font>
    <font>
      <sz val="11"/>
      <color rgb="FF000000"/>
      <name val="Calibri"/>
      <family val="2"/>
      <charset val="1"/>
    </font>
    <font>
      <b/>
      <u/>
      <sz val="11"/>
      <color theme="1"/>
      <name val="Calibri"/>
      <family val="2"/>
      <scheme val="minor"/>
    </font>
    <font>
      <sz val="10"/>
      <color theme="1"/>
      <name val="Calibri"/>
      <family val="2"/>
    </font>
    <font>
      <b/>
      <sz val="10"/>
      <color theme="1"/>
      <name val="Calibri"/>
      <family val="2"/>
    </font>
    <font>
      <b/>
      <sz val="11"/>
      <color rgb="FF000000"/>
      <name val="Calibri"/>
      <family val="2"/>
    </font>
    <font>
      <u/>
      <sz val="11"/>
      <color theme="1"/>
      <name val="Calibri"/>
      <family val="2"/>
      <scheme val="minor"/>
    </font>
    <font>
      <b/>
      <sz val="18"/>
      <color rgb="FF008000"/>
      <name val="Calibri"/>
      <family val="2"/>
    </font>
    <font>
      <b/>
      <sz val="11"/>
      <color theme="0"/>
      <name val="Calibri"/>
      <family val="2"/>
      <scheme val="minor"/>
    </font>
    <font>
      <sz val="11"/>
      <color theme="0"/>
      <name val="Calibri"/>
      <family val="2"/>
      <scheme val="minor"/>
    </font>
    <font>
      <sz val="9"/>
      <color indexed="81"/>
      <name val="Tahoma"/>
      <family val="2"/>
    </font>
  </fonts>
  <fills count="15">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2F2F2"/>
        <bgColor rgb="FFDBEEF4"/>
      </patternFill>
    </fill>
    <fill>
      <patternFill patternType="solid">
        <fgColor rgb="FFDBEEF4"/>
        <bgColor rgb="FFF2F2F2"/>
      </patternFill>
    </fill>
    <fill>
      <patternFill patternType="solid">
        <fgColor rgb="FFFFFF00"/>
        <bgColor rgb="FFF2F2F2"/>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9" tint="0.59999389629810485"/>
        <bgColor indexed="64"/>
      </patternFill>
    </fill>
  </fills>
  <borders count="6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auto="1"/>
      </left>
      <right style="thin">
        <color auto="1"/>
      </right>
      <top/>
      <bottom style="thin">
        <color auto="1"/>
      </bottom>
      <diagonal/>
    </border>
    <border>
      <left style="thin">
        <color indexed="64"/>
      </left>
      <right style="medium">
        <color indexed="64"/>
      </right>
      <top/>
      <bottom style="thin">
        <color indexed="64"/>
      </bottom>
      <diagonal/>
    </border>
    <border>
      <left/>
      <right style="thin">
        <color auto="1"/>
      </right>
      <top style="medium">
        <color indexed="64"/>
      </top>
      <bottom/>
      <diagonal/>
    </border>
    <border>
      <left/>
      <right style="thin">
        <color auto="1"/>
      </right>
      <top/>
      <bottom/>
      <diagonal/>
    </border>
    <border>
      <left/>
      <right style="thin">
        <color auto="1"/>
      </right>
      <top/>
      <bottom style="thin">
        <color auto="1"/>
      </bottom>
      <diagonal/>
    </border>
    <border>
      <left/>
      <right style="thin">
        <color indexed="64"/>
      </right>
      <top style="thin">
        <color indexed="64"/>
      </top>
      <bottom style="medium">
        <color indexed="64"/>
      </bottom>
      <diagonal/>
    </border>
    <border>
      <left/>
      <right style="thin">
        <color indexed="64"/>
      </right>
      <top style="thin">
        <color auto="1"/>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auto="1"/>
      </right>
      <top style="medium">
        <color auto="1"/>
      </top>
      <bottom/>
      <diagonal/>
    </border>
    <border>
      <left/>
      <right style="thin">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style="thin">
        <color auto="1"/>
      </top>
      <bottom/>
      <diagonal/>
    </border>
    <border>
      <left style="medium">
        <color indexed="64"/>
      </left>
      <right style="thin">
        <color indexed="64"/>
      </right>
      <top/>
      <bottom/>
      <diagonal/>
    </border>
    <border>
      <left style="thin">
        <color indexed="64"/>
      </left>
      <right style="medium">
        <color indexed="64"/>
      </right>
      <top/>
      <bottom/>
      <diagonal/>
    </border>
    <border>
      <left/>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s>
  <cellStyleXfs count="5">
    <xf numFmtId="0" fontId="0" fillId="0" borderId="0"/>
    <xf numFmtId="0" fontId="4" fillId="0" borderId="0" applyNumberFormat="0" applyFill="0" applyBorder="0" applyAlignment="0" applyProtection="0"/>
    <xf numFmtId="9" fontId="8" fillId="0" borderId="0" applyFont="0" applyFill="0" applyBorder="0" applyAlignment="0" applyProtection="0"/>
    <xf numFmtId="0" fontId="14" fillId="0" borderId="0"/>
    <xf numFmtId="9" fontId="14" fillId="0" borderId="0" applyBorder="0" applyProtection="0"/>
  </cellStyleXfs>
  <cellXfs count="351">
    <xf numFmtId="0" fontId="0" fillId="0" borderId="0" xfId="0"/>
    <xf numFmtId="165" fontId="3" fillId="0" borderId="1" xfId="0" applyNumberFormat="1" applyFont="1" applyBorder="1" applyProtection="1"/>
    <xf numFmtId="0" fontId="0" fillId="0" borderId="1" xfId="0" applyBorder="1"/>
    <xf numFmtId="0" fontId="0" fillId="0" borderId="0" xfId="0"/>
    <xf numFmtId="0" fontId="0" fillId="3" borderId="1" xfId="0" applyFill="1" applyBorder="1"/>
    <xf numFmtId="0" fontId="1" fillId="0" borderId="0" xfId="0" applyFont="1"/>
    <xf numFmtId="0" fontId="9" fillId="0" borderId="0" xfId="0" applyFont="1"/>
    <xf numFmtId="0" fontId="10" fillId="5" borderId="1" xfId="0" applyFont="1" applyFill="1" applyBorder="1" applyAlignment="1">
      <alignment horizontal="left" vertical="center"/>
    </xf>
    <xf numFmtId="0" fontId="10" fillId="6" borderId="1" xfId="0" applyFont="1" applyFill="1" applyBorder="1" applyAlignment="1">
      <alignment vertical="top" wrapText="1"/>
    </xf>
    <xf numFmtId="0" fontId="10" fillId="6" borderId="1" xfId="0" applyFont="1" applyFill="1" applyBorder="1" applyAlignment="1">
      <alignment vertical="top"/>
    </xf>
    <xf numFmtId="0" fontId="10" fillId="6" borderId="1" xfId="0" applyFont="1" applyFill="1" applyBorder="1" applyAlignment="1">
      <alignment horizontal="left" vertical="center"/>
    </xf>
    <xf numFmtId="0" fontId="10" fillId="6" borderId="1" xfId="0" applyFont="1" applyFill="1" applyBorder="1" applyAlignment="1">
      <alignment horizontal="left" vertical="center" wrapText="1"/>
    </xf>
    <xf numFmtId="0" fontId="11" fillId="6" borderId="1" xfId="0" applyFont="1" applyFill="1" applyBorder="1" applyAlignment="1">
      <alignment horizontal="left" vertical="center"/>
    </xf>
    <xf numFmtId="0" fontId="10" fillId="5" borderId="1" xfId="0" applyFont="1" applyFill="1" applyBorder="1"/>
    <xf numFmtId="169" fontId="11" fillId="6" borderId="1" xfId="0" applyNumberFormat="1" applyFont="1" applyFill="1" applyBorder="1" applyAlignment="1">
      <alignment horizontal="left"/>
    </xf>
    <xf numFmtId="0" fontId="10" fillId="6" borderId="1" xfId="0" applyFont="1" applyFill="1" applyBorder="1" applyAlignment="1">
      <alignment horizontal="left"/>
    </xf>
    <xf numFmtId="0" fontId="11" fillId="6" borderId="1" xfId="0" applyFont="1" applyFill="1" applyBorder="1" applyAlignment="1">
      <alignment horizontal="left" vertical="top" wrapText="1"/>
    </xf>
    <xf numFmtId="0" fontId="12" fillId="6" borderId="1" xfId="0" applyFont="1" applyFill="1" applyBorder="1" applyAlignment="1">
      <alignment horizontal="left" vertical="top" wrapText="1"/>
    </xf>
    <xf numFmtId="0" fontId="10" fillId="5" borderId="3" xfId="0" applyFont="1" applyFill="1" applyBorder="1" applyAlignment="1">
      <alignment horizontal="left" vertical="center"/>
    </xf>
    <xf numFmtId="0" fontId="11" fillId="6" borderId="1" xfId="0" applyFont="1" applyFill="1" applyBorder="1" applyAlignment="1">
      <alignment horizontal="left" wrapText="1"/>
    </xf>
    <xf numFmtId="0" fontId="13" fillId="6" borderId="1" xfId="0" applyFont="1" applyFill="1" applyBorder="1" applyAlignment="1">
      <alignment horizontal="left" wrapText="1"/>
    </xf>
    <xf numFmtId="15" fontId="11" fillId="6" borderId="1" xfId="0" applyNumberFormat="1" applyFont="1" applyFill="1" applyBorder="1" applyAlignment="1">
      <alignment horizontal="left" wrapText="1"/>
    </xf>
    <xf numFmtId="17" fontId="12" fillId="6" borderId="1" xfId="0" applyNumberFormat="1" applyFont="1" applyFill="1" applyBorder="1" applyAlignment="1">
      <alignment horizontal="left" wrapText="1"/>
    </xf>
    <xf numFmtId="0" fontId="11" fillId="6" borderId="1" xfId="0" applyFont="1" applyFill="1" applyBorder="1" applyAlignment="1">
      <alignment horizontal="left"/>
    </xf>
    <xf numFmtId="1" fontId="11" fillId="6" borderId="1" xfId="0" applyNumberFormat="1" applyFont="1" applyFill="1" applyBorder="1" applyAlignment="1">
      <alignment horizontal="left"/>
    </xf>
    <xf numFmtId="0" fontId="10" fillId="5" borderId="1" xfId="0" applyFont="1" applyFill="1" applyBorder="1" applyAlignment="1">
      <alignment horizontal="left" vertical="center" wrapText="1"/>
    </xf>
    <xf numFmtId="0" fontId="13" fillId="7" borderId="1" xfId="0" applyFont="1" applyFill="1" applyBorder="1" applyAlignment="1">
      <alignment horizontal="left"/>
    </xf>
    <xf numFmtId="0" fontId="11" fillId="6" borderId="1" xfId="0" applyFont="1" applyFill="1" applyBorder="1" applyAlignment="1">
      <alignment horizontal="left" vertical="center" wrapText="1"/>
    </xf>
    <xf numFmtId="0" fontId="15" fillId="0" borderId="0" xfId="0" applyFont="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15" fontId="0" fillId="0" borderId="1" xfId="0" applyNumberFormat="1" applyBorder="1" applyAlignment="1">
      <alignment horizontal="center"/>
    </xf>
    <xf numFmtId="0" fontId="0" fillId="0" borderId="1" xfId="0" applyBorder="1" applyAlignment="1">
      <alignment horizontal="right"/>
    </xf>
    <xf numFmtId="1" fontId="0" fillId="0" borderId="1" xfId="0" applyNumberFormat="1" applyBorder="1" applyAlignment="1">
      <alignment horizontal="right"/>
    </xf>
    <xf numFmtId="9" fontId="0" fillId="0" borderId="1" xfId="2" applyFont="1" applyBorder="1" applyAlignment="1">
      <alignment horizontal="right"/>
    </xf>
    <xf numFmtId="0" fontId="0" fillId="3" borderId="1" xfId="0" applyFill="1" applyBorder="1" applyAlignment="1">
      <alignment horizontal="center"/>
    </xf>
    <xf numFmtId="1" fontId="1" fillId="3" borderId="1" xfId="0" applyNumberFormat="1" applyFont="1" applyFill="1" applyBorder="1" applyAlignment="1">
      <alignment horizontal="right"/>
    </xf>
    <xf numFmtId="9" fontId="1" fillId="3" borderId="1" xfId="2" applyFont="1" applyFill="1" applyBorder="1" applyAlignment="1">
      <alignment horizontal="right"/>
    </xf>
    <xf numFmtId="0" fontId="16" fillId="0" borderId="0" xfId="0" applyFont="1" applyBorder="1" applyAlignment="1">
      <alignment horizontal="center" vertical="center"/>
    </xf>
    <xf numFmtId="0" fontId="17" fillId="3" borderId="1" xfId="0" applyFont="1" applyFill="1" applyBorder="1" applyAlignment="1">
      <alignment horizontal="left" vertical="center"/>
    </xf>
    <xf numFmtId="0" fontId="17" fillId="3" borderId="1" xfId="0" applyFont="1" applyFill="1" applyBorder="1" applyAlignment="1">
      <alignment horizontal="center" vertical="center"/>
    </xf>
    <xf numFmtId="0" fontId="17" fillId="3" borderId="1" xfId="0" applyFont="1" applyFill="1" applyBorder="1" applyAlignment="1">
      <alignment horizontal="center" vertical="center" wrapText="1"/>
    </xf>
    <xf numFmtId="170" fontId="17" fillId="9" borderId="1" xfId="0" applyNumberFormat="1" applyFont="1" applyFill="1" applyBorder="1" applyAlignment="1">
      <alignment horizontal="center" vertical="center"/>
    </xf>
    <xf numFmtId="0" fontId="16" fillId="9" borderId="1" xfId="0" applyFont="1" applyFill="1" applyBorder="1" applyAlignment="1">
      <alignment horizontal="center" vertical="center"/>
    </xf>
    <xf numFmtId="0" fontId="16" fillId="9" borderId="1" xfId="0" applyFont="1" applyFill="1" applyBorder="1" applyAlignment="1">
      <alignment horizontal="right" vertical="center"/>
    </xf>
    <xf numFmtId="170" fontId="17" fillId="3" borderId="1" xfId="0" applyNumberFormat="1" applyFont="1" applyFill="1" applyBorder="1" applyAlignment="1">
      <alignment horizontal="center" vertical="center"/>
    </xf>
    <xf numFmtId="170" fontId="17" fillId="3" borderId="1" xfId="0" applyNumberFormat="1" applyFont="1" applyFill="1" applyBorder="1" applyAlignment="1">
      <alignment horizontal="center" vertical="center" wrapText="1"/>
    </xf>
    <xf numFmtId="0" fontId="4" fillId="0" borderId="0" xfId="1"/>
    <xf numFmtId="0" fontId="4" fillId="0" borderId="0" xfId="1" applyAlignment="1">
      <alignment wrapText="1"/>
    </xf>
    <xf numFmtId="0" fontId="0" fillId="0" borderId="0" xfId="0" applyProtection="1">
      <protection locked="0"/>
    </xf>
    <xf numFmtId="0" fontId="0" fillId="0" borderId="0" xfId="0" applyProtection="1"/>
    <xf numFmtId="14" fontId="0" fillId="0" borderId="0" xfId="0" applyNumberFormat="1" applyProtection="1"/>
    <xf numFmtId="14" fontId="0" fillId="0" borderId="1" xfId="0" applyNumberFormat="1" applyBorder="1" applyProtection="1"/>
    <xf numFmtId="41" fontId="0" fillId="0" borderId="1" xfId="0" applyNumberFormat="1" applyBorder="1" applyProtection="1"/>
    <xf numFmtId="168" fontId="0" fillId="0" borderId="1" xfId="0" applyNumberFormat="1" applyBorder="1" applyProtection="1"/>
    <xf numFmtId="41" fontId="1" fillId="0" borderId="1" xfId="0" applyNumberFormat="1" applyFont="1" applyBorder="1" applyProtection="1"/>
    <xf numFmtId="0" fontId="0" fillId="0" borderId="1" xfId="0" applyBorder="1" applyProtection="1"/>
    <xf numFmtId="0" fontId="0" fillId="3" borderId="1" xfId="0" applyFill="1" applyBorder="1" applyProtection="1"/>
    <xf numFmtId="0" fontId="0" fillId="3" borderId="1" xfId="0" applyFill="1" applyBorder="1" applyAlignment="1" applyProtection="1">
      <alignment horizontal="center" wrapText="1"/>
    </xf>
    <xf numFmtId="164" fontId="2" fillId="0" borderId="1" xfId="0" applyNumberFormat="1" applyFont="1" applyBorder="1" applyAlignment="1" applyProtection="1">
      <alignment horizontal="center"/>
    </xf>
    <xf numFmtId="1" fontId="0" fillId="0" borderId="1" xfId="0" applyNumberFormat="1" applyBorder="1" applyProtection="1"/>
    <xf numFmtId="0" fontId="0" fillId="0" borderId="0" xfId="0" applyAlignment="1" applyProtection="1">
      <alignment horizontal="center"/>
    </xf>
    <xf numFmtId="0" fontId="1" fillId="0" borderId="0" xfId="0" applyFont="1" applyProtection="1"/>
    <xf numFmtId="8" fontId="1" fillId="0" borderId="0" xfId="0" applyNumberFormat="1" applyFont="1" applyProtection="1"/>
    <xf numFmtId="8" fontId="0" fillId="0" borderId="0" xfId="0" applyNumberFormat="1" applyProtection="1"/>
    <xf numFmtId="2" fontId="0" fillId="0" borderId="0" xfId="0" applyNumberFormat="1" applyProtection="1"/>
    <xf numFmtId="0" fontId="0" fillId="0" borderId="12" xfId="0" applyBorder="1" applyAlignment="1" applyProtection="1"/>
    <xf numFmtId="0" fontId="0" fillId="0" borderId="13" xfId="0" applyBorder="1" applyAlignment="1" applyProtection="1"/>
    <xf numFmtId="0" fontId="0" fillId="0" borderId="5" xfId="0" applyBorder="1" applyProtection="1"/>
    <xf numFmtId="10" fontId="0" fillId="0" borderId="17" xfId="0" applyNumberFormat="1" applyBorder="1" applyProtection="1"/>
    <xf numFmtId="0" fontId="0" fillId="0" borderId="2" xfId="0" applyBorder="1" applyProtection="1"/>
    <xf numFmtId="10" fontId="0" fillId="0" borderId="21" xfId="0" applyNumberFormat="1" applyBorder="1" applyProtection="1"/>
    <xf numFmtId="9" fontId="0" fillId="8" borderId="1" xfId="0" applyNumberFormat="1" applyFill="1" applyBorder="1" applyProtection="1">
      <protection locked="0"/>
    </xf>
    <xf numFmtId="166" fontId="0" fillId="8" borderId="1" xfId="0" applyNumberFormat="1" applyFill="1" applyBorder="1" applyProtection="1">
      <protection locked="0"/>
    </xf>
    <xf numFmtId="0" fontId="0" fillId="10" borderId="0" xfId="0" applyFill="1" applyProtection="1">
      <protection locked="0"/>
    </xf>
    <xf numFmtId="0" fontId="0" fillId="0" borderId="23" xfId="0" applyBorder="1" applyProtection="1"/>
    <xf numFmtId="14" fontId="0" fillId="0" borderId="24" xfId="0" applyNumberFormat="1" applyBorder="1" applyProtection="1"/>
    <xf numFmtId="9" fontId="0" fillId="8" borderId="24" xfId="0" applyNumberFormat="1" applyFill="1" applyBorder="1" applyProtection="1">
      <protection locked="0"/>
    </xf>
    <xf numFmtId="41" fontId="0" fillId="0" borderId="24" xfId="0" applyNumberFormat="1" applyBorder="1" applyProtection="1"/>
    <xf numFmtId="168" fontId="0" fillId="0" borderId="24" xfId="0" applyNumberFormat="1" applyBorder="1" applyProtection="1"/>
    <xf numFmtId="41" fontId="1" fillId="0" borderId="24" xfId="0" applyNumberFormat="1" applyFont="1" applyBorder="1" applyProtection="1"/>
    <xf numFmtId="166" fontId="0" fillId="8" borderId="24" xfId="0" applyNumberFormat="1" applyFill="1" applyBorder="1" applyProtection="1">
      <protection locked="0"/>
    </xf>
    <xf numFmtId="41" fontId="1" fillId="0" borderId="27" xfId="0" applyNumberFormat="1" applyFont="1" applyBorder="1" applyProtection="1"/>
    <xf numFmtId="41" fontId="1" fillId="0" borderId="25" xfId="0" applyNumberFormat="1" applyFont="1" applyBorder="1" applyProtection="1"/>
    <xf numFmtId="0" fontId="1" fillId="8" borderId="29" xfId="0" applyFont="1" applyFill="1" applyBorder="1" applyProtection="1">
      <protection locked="0"/>
    </xf>
    <xf numFmtId="0" fontId="1" fillId="8" borderId="30" xfId="0" applyFont="1" applyFill="1" applyBorder="1" applyProtection="1">
      <protection locked="0"/>
    </xf>
    <xf numFmtId="0" fontId="0" fillId="0" borderId="6" xfId="0" applyBorder="1" applyProtection="1">
      <protection locked="0"/>
    </xf>
    <xf numFmtId="9" fontId="19" fillId="8" borderId="6" xfId="1" applyNumberFormat="1" applyFont="1" applyFill="1" applyBorder="1" applyProtection="1">
      <protection locked="0"/>
    </xf>
    <xf numFmtId="9" fontId="8" fillId="8" borderId="6" xfId="0" applyNumberFormat="1" applyFont="1" applyFill="1" applyBorder="1" applyProtection="1">
      <protection locked="0"/>
    </xf>
    <xf numFmtId="10" fontId="19" fillId="8" borderId="6" xfId="1" applyNumberFormat="1" applyFont="1" applyFill="1" applyBorder="1" applyProtection="1">
      <protection locked="0"/>
    </xf>
    <xf numFmtId="0" fontId="1" fillId="12" borderId="20" xfId="0" applyFont="1" applyFill="1" applyBorder="1" applyProtection="1"/>
    <xf numFmtId="0" fontId="0" fillId="12" borderId="15" xfId="0" applyFill="1" applyBorder="1" applyProtection="1"/>
    <xf numFmtId="0" fontId="1" fillId="12" borderId="15" xfId="0" applyFont="1" applyFill="1" applyBorder="1" applyProtection="1"/>
    <xf numFmtId="0" fontId="1" fillId="12" borderId="18" xfId="0" applyFont="1" applyFill="1" applyBorder="1" applyProtection="1"/>
    <xf numFmtId="0" fontId="1" fillId="12" borderId="14" xfId="0" applyFont="1" applyFill="1" applyBorder="1" applyProtection="1"/>
    <xf numFmtId="0" fontId="1" fillId="12" borderId="36" xfId="0" applyFont="1" applyFill="1" applyBorder="1" applyProtection="1"/>
    <xf numFmtId="0" fontId="1" fillId="12" borderId="28" xfId="0" applyFont="1" applyFill="1" applyBorder="1" applyProtection="1"/>
    <xf numFmtId="0" fontId="1" fillId="12" borderId="37" xfId="0" applyFont="1" applyFill="1" applyBorder="1" applyProtection="1"/>
    <xf numFmtId="0" fontId="0" fillId="0" borderId="6" xfId="0" applyBorder="1" applyProtection="1"/>
    <xf numFmtId="167" fontId="0" fillId="10" borderId="0" xfId="0" applyNumberFormat="1" applyFill="1" applyProtection="1">
      <protection locked="0"/>
    </xf>
    <xf numFmtId="0" fontId="0" fillId="10" borderId="0" xfId="0" applyFill="1" applyBorder="1" applyProtection="1">
      <protection locked="0"/>
    </xf>
    <xf numFmtId="14" fontId="0" fillId="10" borderId="0" xfId="0" applyNumberFormat="1" applyFill="1" applyProtection="1">
      <protection locked="0"/>
    </xf>
    <xf numFmtId="8" fontId="1" fillId="10" borderId="0" xfId="0" applyNumberFormat="1" applyFont="1" applyFill="1" applyProtection="1">
      <protection locked="0"/>
    </xf>
    <xf numFmtId="8" fontId="0" fillId="10" borderId="0" xfId="0" applyNumberFormat="1" applyFill="1" applyProtection="1">
      <protection locked="0"/>
    </xf>
    <xf numFmtId="0" fontId="0" fillId="0" borderId="40" xfId="0" applyBorder="1" applyAlignment="1" applyProtection="1"/>
    <xf numFmtId="10" fontId="0" fillId="0" borderId="30" xfId="0" applyNumberFormat="1" applyBorder="1" applyProtection="1"/>
    <xf numFmtId="10" fontId="0" fillId="0" borderId="24" xfId="0" applyNumberFormat="1" applyBorder="1" applyProtection="1"/>
    <xf numFmtId="10" fontId="0" fillId="0" borderId="37" xfId="0" applyNumberFormat="1" applyBorder="1" applyProtection="1"/>
    <xf numFmtId="0" fontId="0" fillId="10" borderId="43" xfId="0" applyFill="1" applyBorder="1" applyProtection="1"/>
    <xf numFmtId="10" fontId="0" fillId="10" borderId="44" xfId="0" applyNumberFormat="1" applyFill="1" applyBorder="1" applyProtection="1"/>
    <xf numFmtId="0" fontId="0" fillId="10" borderId="45" xfId="0" applyFill="1" applyBorder="1" applyProtection="1"/>
    <xf numFmtId="10" fontId="0" fillId="10" borderId="46" xfId="0" applyNumberFormat="1" applyFill="1" applyBorder="1" applyProtection="1"/>
    <xf numFmtId="0" fontId="0" fillId="10" borderId="9" xfId="0" applyFill="1" applyBorder="1" applyProtection="1"/>
    <xf numFmtId="10" fontId="0" fillId="10" borderId="10" xfId="0" applyNumberFormat="1" applyFill="1" applyBorder="1" applyProtection="1"/>
    <xf numFmtId="0" fontId="0" fillId="0" borderId="38" xfId="0" applyBorder="1" applyAlignment="1" applyProtection="1"/>
    <xf numFmtId="0" fontId="0" fillId="0" borderId="47" xfId="0" applyBorder="1" applyProtection="1"/>
    <xf numFmtId="0" fontId="0" fillId="10" borderId="46" xfId="0" applyFill="1" applyBorder="1" applyProtection="1"/>
    <xf numFmtId="0" fontId="0" fillId="10" borderId="10" xfId="0" applyFill="1" applyBorder="1" applyProtection="1"/>
    <xf numFmtId="0" fontId="0" fillId="10" borderId="48" xfId="0" applyFill="1" applyBorder="1" applyProtection="1"/>
    <xf numFmtId="0" fontId="0" fillId="10" borderId="49" xfId="0" applyFill="1" applyBorder="1" applyProtection="1"/>
    <xf numFmtId="0" fontId="1" fillId="10" borderId="0" xfId="0" applyFont="1" applyFill="1" applyProtection="1">
      <protection locked="0"/>
    </xf>
    <xf numFmtId="14" fontId="0" fillId="8" borderId="1" xfId="0" applyNumberFormat="1" applyFill="1" applyBorder="1" applyProtection="1">
      <protection locked="0"/>
    </xf>
    <xf numFmtId="41" fontId="0" fillId="8" borderId="1" xfId="0" applyNumberFormat="1" applyFill="1" applyBorder="1" applyProtection="1">
      <protection locked="0"/>
    </xf>
    <xf numFmtId="0" fontId="0" fillId="0" borderId="11" xfId="0" applyBorder="1" applyProtection="1"/>
    <xf numFmtId="0" fontId="0" fillId="0" borderId="40" xfId="0" applyBorder="1" applyProtection="1"/>
    <xf numFmtId="0" fontId="0" fillId="0" borderId="19" xfId="0" applyBorder="1" applyProtection="1"/>
    <xf numFmtId="0" fontId="0" fillId="0" borderId="16" xfId="0" applyBorder="1" applyProtection="1"/>
    <xf numFmtId="0" fontId="0" fillId="0" borderId="9" xfId="0" applyBorder="1" applyProtection="1"/>
    <xf numFmtId="0" fontId="1" fillId="10" borderId="0" xfId="0" applyFont="1" applyFill="1" applyAlignment="1" applyProtection="1">
      <protection locked="0"/>
    </xf>
    <xf numFmtId="10" fontId="0" fillId="10" borderId="0" xfId="2" applyNumberFormat="1" applyFont="1" applyFill="1" applyProtection="1">
      <protection locked="0"/>
    </xf>
    <xf numFmtId="1" fontId="1" fillId="0" borderId="29" xfId="0" applyNumberFormat="1" applyFont="1" applyFill="1" applyBorder="1" applyProtection="1"/>
    <xf numFmtId="0" fontId="0" fillId="0" borderId="11" xfId="0" applyBorder="1" applyAlignment="1" applyProtection="1"/>
    <xf numFmtId="0" fontId="0" fillId="0" borderId="55" xfId="0" applyBorder="1" applyProtection="1"/>
    <xf numFmtId="10" fontId="0" fillId="8" borderId="54" xfId="0" applyNumberFormat="1" applyFill="1" applyBorder="1" applyAlignment="1" applyProtection="1">
      <alignment horizontal="center"/>
      <protection locked="0"/>
    </xf>
    <xf numFmtId="14" fontId="0" fillId="8" borderId="15" xfId="0" applyNumberFormat="1" applyFill="1" applyBorder="1" applyAlignment="1" applyProtection="1">
      <alignment horizontal="center"/>
      <protection locked="0"/>
    </xf>
    <xf numFmtId="0" fontId="0" fillId="8" borderId="15" xfId="0" applyFill="1" applyBorder="1" applyAlignment="1" applyProtection="1">
      <alignment horizontal="center"/>
      <protection locked="0"/>
    </xf>
    <xf numFmtId="0" fontId="0" fillId="8" borderId="18" xfId="0" applyFill="1" applyBorder="1" applyAlignment="1" applyProtection="1">
      <alignment horizontal="center"/>
      <protection locked="0"/>
    </xf>
    <xf numFmtId="0" fontId="1" fillId="13" borderId="7" xfId="0" applyFont="1" applyFill="1" applyBorder="1" applyProtection="1"/>
    <xf numFmtId="0" fontId="1" fillId="13" borderId="42" xfId="0" applyFont="1" applyFill="1" applyBorder="1" applyProtection="1"/>
    <xf numFmtId="0" fontId="0" fillId="13" borderId="20" xfId="0" applyFill="1" applyBorder="1" applyProtection="1"/>
    <xf numFmtId="0" fontId="0" fillId="13" borderId="33" xfId="0" applyFill="1" applyBorder="1" applyProtection="1"/>
    <xf numFmtId="41" fontId="0" fillId="13" borderId="29" xfId="0" applyNumberFormat="1" applyFill="1" applyBorder="1" applyProtection="1"/>
    <xf numFmtId="41" fontId="0" fillId="13" borderId="30" xfId="0" applyNumberFormat="1" applyFill="1" applyBorder="1" applyProtection="1"/>
    <xf numFmtId="0" fontId="0" fillId="13" borderId="15" xfId="0" applyFill="1" applyBorder="1" applyProtection="1"/>
    <xf numFmtId="9" fontId="4" fillId="13" borderId="6" xfId="1" applyNumberFormat="1" applyFill="1" applyBorder="1" applyProtection="1"/>
    <xf numFmtId="41" fontId="0" fillId="13" borderId="1" xfId="0" applyNumberFormat="1" applyFill="1" applyBorder="1" applyProtection="1"/>
    <xf numFmtId="41" fontId="0" fillId="13" borderId="24" xfId="0" applyNumberFormat="1" applyFill="1" applyBorder="1" applyProtection="1"/>
    <xf numFmtId="9" fontId="0" fillId="13" borderId="6" xfId="0" applyNumberFormat="1" applyFill="1" applyBorder="1" applyProtection="1"/>
    <xf numFmtId="10" fontId="4" fillId="13" borderId="6" xfId="1" applyNumberFormat="1" applyFill="1" applyBorder="1" applyProtection="1"/>
    <xf numFmtId="0" fontId="4" fillId="13" borderId="6" xfId="1" applyFill="1" applyBorder="1" applyProtection="1"/>
    <xf numFmtId="0" fontId="0" fillId="13" borderId="6" xfId="0" applyFill="1" applyBorder="1" applyProtection="1"/>
    <xf numFmtId="166" fontId="0" fillId="13" borderId="1" xfId="0" applyNumberFormat="1" applyFill="1" applyBorder="1" applyProtection="1"/>
    <xf numFmtId="166" fontId="0" fillId="13" borderId="24" xfId="0" applyNumberFormat="1" applyFill="1" applyBorder="1" applyProtection="1"/>
    <xf numFmtId="0" fontId="1" fillId="13" borderId="39" xfId="0" applyFont="1" applyFill="1" applyBorder="1" applyAlignment="1" applyProtection="1">
      <alignment horizontal="center" vertical="center"/>
    </xf>
    <xf numFmtId="0" fontId="1" fillId="13" borderId="40" xfId="0" applyFont="1" applyFill="1" applyBorder="1" applyAlignment="1" applyProtection="1">
      <alignment horizontal="center" vertical="center"/>
    </xf>
    <xf numFmtId="0" fontId="1" fillId="12" borderId="28" xfId="0" applyFont="1" applyFill="1" applyBorder="1" applyAlignment="1" applyProtection="1">
      <alignment horizontal="center"/>
    </xf>
    <xf numFmtId="0" fontId="1" fillId="12" borderId="37" xfId="0" applyFont="1" applyFill="1" applyBorder="1" applyAlignment="1" applyProtection="1">
      <alignment horizontal="center"/>
    </xf>
    <xf numFmtId="0" fontId="1" fillId="12" borderId="28" xfId="0" applyFont="1" applyFill="1" applyBorder="1" applyAlignment="1" applyProtection="1">
      <alignment horizontal="center" vertical="center"/>
    </xf>
    <xf numFmtId="0" fontId="1" fillId="12" borderId="37" xfId="0" applyFont="1" applyFill="1" applyBorder="1" applyAlignment="1" applyProtection="1">
      <alignment horizontal="center" vertical="center"/>
    </xf>
    <xf numFmtId="0" fontId="1" fillId="12" borderId="34" xfId="0" applyFont="1" applyFill="1" applyBorder="1" applyProtection="1"/>
    <xf numFmtId="41" fontId="1" fillId="12" borderId="27" xfId="0" applyNumberFormat="1" applyFont="1" applyFill="1" applyBorder="1" applyProtection="1"/>
    <xf numFmtId="41" fontId="1" fillId="12" borderId="25" xfId="0" applyNumberFormat="1" applyFont="1" applyFill="1" applyBorder="1" applyProtection="1"/>
    <xf numFmtId="0" fontId="1" fillId="12" borderId="6" xfId="0" applyFont="1" applyFill="1" applyBorder="1" applyProtection="1"/>
    <xf numFmtId="41" fontId="1" fillId="12" borderId="1" xfId="0" applyNumberFormat="1" applyFont="1" applyFill="1" applyBorder="1" applyProtection="1"/>
    <xf numFmtId="41" fontId="1" fillId="12" borderId="24" xfId="0" applyNumberFormat="1" applyFont="1" applyFill="1" applyBorder="1" applyProtection="1"/>
    <xf numFmtId="0" fontId="1" fillId="11" borderId="38" xfId="0" applyFont="1" applyFill="1" applyBorder="1" applyAlignment="1" applyProtection="1">
      <alignment horizontal="center" vertical="center"/>
    </xf>
    <xf numFmtId="8" fontId="1" fillId="11" borderId="39" xfId="0" applyNumberFormat="1" applyFont="1" applyFill="1" applyBorder="1" applyProtection="1"/>
    <xf numFmtId="8" fontId="1" fillId="11" borderId="40" xfId="0" applyNumberFormat="1" applyFont="1" applyFill="1" applyBorder="1" applyProtection="1"/>
    <xf numFmtId="0" fontId="0" fillId="0" borderId="1" xfId="0" applyFill="1" applyBorder="1" applyProtection="1"/>
    <xf numFmtId="0" fontId="0" fillId="0" borderId="1" xfId="0" applyFill="1" applyBorder="1" applyAlignment="1" applyProtection="1">
      <alignment horizontal="center" wrapText="1"/>
    </xf>
    <xf numFmtId="0" fontId="0" fillId="0" borderId="0" xfId="0" applyFill="1" applyProtection="1"/>
    <xf numFmtId="0" fontId="0" fillId="10" borderId="0" xfId="0" applyFill="1" applyBorder="1" applyProtection="1"/>
    <xf numFmtId="0" fontId="0" fillId="10" borderId="8" xfId="0" applyFill="1" applyBorder="1" applyProtection="1"/>
    <xf numFmtId="8" fontId="0" fillId="0" borderId="29" xfId="0" applyNumberFormat="1" applyBorder="1" applyProtection="1"/>
    <xf numFmtId="8" fontId="0" fillId="0" borderId="30" xfId="0" applyNumberFormat="1" applyBorder="1" applyProtection="1"/>
    <xf numFmtId="0" fontId="1" fillId="11" borderId="39" xfId="0" applyFont="1" applyFill="1" applyBorder="1" applyAlignment="1" applyProtection="1">
      <alignment horizontal="center" vertical="center"/>
    </xf>
    <xf numFmtId="0" fontId="1" fillId="11" borderId="40" xfId="0" applyFont="1" applyFill="1" applyBorder="1" applyAlignment="1" applyProtection="1">
      <alignment horizontal="center" vertical="center"/>
    </xf>
    <xf numFmtId="0" fontId="0" fillId="0" borderId="58" xfId="0" applyBorder="1" applyAlignment="1" applyProtection="1">
      <alignment horizontal="center" vertical="center" wrapText="1"/>
    </xf>
    <xf numFmtId="14" fontId="0" fillId="0" borderId="3" xfId="0" applyNumberFormat="1" applyBorder="1" applyAlignment="1" applyProtection="1">
      <alignment horizontal="right" vertical="center"/>
    </xf>
    <xf numFmtId="14" fontId="0" fillId="0" borderId="59" xfId="0" applyNumberFormat="1" applyBorder="1" applyAlignment="1" applyProtection="1">
      <alignment horizontal="right" vertical="center"/>
    </xf>
    <xf numFmtId="0" fontId="0" fillId="10" borderId="7" xfId="0" applyFill="1" applyBorder="1" applyProtection="1"/>
    <xf numFmtId="0" fontId="0" fillId="10" borderId="0" xfId="0" applyFill="1" applyAlignment="1" applyProtection="1">
      <alignment horizontal="center"/>
      <protection locked="0"/>
    </xf>
    <xf numFmtId="2" fontId="0" fillId="10" borderId="0" xfId="0" quotePrefix="1" applyNumberFormat="1" applyFill="1" applyProtection="1">
      <protection locked="0"/>
    </xf>
    <xf numFmtId="172" fontId="0" fillId="10" borderId="0" xfId="0" applyNumberFormat="1" applyFill="1" applyProtection="1">
      <protection locked="0"/>
    </xf>
    <xf numFmtId="173" fontId="0" fillId="10" borderId="0" xfId="0" applyNumberFormat="1" applyFill="1" applyProtection="1">
      <protection locked="0"/>
    </xf>
    <xf numFmtId="0" fontId="4" fillId="10" borderId="35" xfId="1" applyFill="1" applyBorder="1" applyAlignment="1" applyProtection="1"/>
    <xf numFmtId="0" fontId="4" fillId="10" borderId="32" xfId="1" applyFill="1" applyBorder="1" applyAlignment="1" applyProtection="1"/>
    <xf numFmtId="0" fontId="4" fillId="10" borderId="36" xfId="1" applyFill="1" applyBorder="1" applyAlignment="1" applyProtection="1"/>
    <xf numFmtId="0" fontId="1" fillId="12" borderId="45" xfId="0" applyFont="1" applyFill="1" applyBorder="1" applyAlignment="1" applyProtection="1"/>
    <xf numFmtId="171" fontId="2" fillId="0" borderId="1" xfId="0" applyNumberFormat="1" applyFont="1" applyFill="1" applyBorder="1" applyAlignment="1" applyProtection="1">
      <alignment horizontal="center"/>
    </xf>
    <xf numFmtId="14" fontId="0" fillId="0" borderId="4" xfId="0" applyNumberFormat="1" applyFill="1" applyBorder="1" applyProtection="1"/>
    <xf numFmtId="0" fontId="0" fillId="4" borderId="1" xfId="0" applyFill="1" applyBorder="1" applyAlignment="1" applyProtection="1">
      <alignment horizontal="center" wrapText="1"/>
    </xf>
    <xf numFmtId="164" fontId="2" fillId="4" borderId="1" xfId="0" applyNumberFormat="1" applyFont="1" applyFill="1" applyBorder="1" applyAlignment="1" applyProtection="1">
      <alignment horizontal="center"/>
    </xf>
    <xf numFmtId="0" fontId="0" fillId="4" borderId="0" xfId="0" applyFill="1" applyProtection="1"/>
    <xf numFmtId="0" fontId="1" fillId="0" borderId="0" xfId="0" applyFont="1" applyFill="1" applyBorder="1" applyAlignment="1" applyProtection="1">
      <alignment horizontal="center" vertical="center"/>
    </xf>
    <xf numFmtId="8" fontId="1" fillId="0" borderId="0" xfId="0" applyNumberFormat="1" applyFont="1" applyFill="1" applyBorder="1" applyProtection="1"/>
    <xf numFmtId="0" fontId="0" fillId="0" borderId="0" xfId="0" applyFill="1" applyProtection="1">
      <protection locked="0"/>
    </xf>
    <xf numFmtId="40" fontId="0" fillId="4" borderId="1" xfId="0" applyNumberFormat="1" applyFill="1" applyBorder="1" applyProtection="1"/>
    <xf numFmtId="8" fontId="0" fillId="0" borderId="4" xfId="0" applyNumberFormat="1" applyFill="1" applyBorder="1" applyProtection="1"/>
    <xf numFmtId="10" fontId="0" fillId="10" borderId="0" xfId="0" applyNumberFormat="1" applyFill="1" applyProtection="1">
      <protection locked="0"/>
    </xf>
    <xf numFmtId="0" fontId="22" fillId="10" borderId="0" xfId="0" applyFont="1" applyFill="1" applyProtection="1">
      <protection locked="0"/>
    </xf>
    <xf numFmtId="9" fontId="2" fillId="0" borderId="1" xfId="2" applyFont="1" applyBorder="1" applyAlignment="1" applyProtection="1">
      <alignment horizontal="center"/>
    </xf>
    <xf numFmtId="9" fontId="2" fillId="0" borderId="1" xfId="2" applyNumberFormat="1" applyFont="1" applyBorder="1" applyAlignment="1" applyProtection="1">
      <alignment horizontal="center"/>
    </xf>
    <xf numFmtId="0" fontId="0" fillId="10" borderId="0" xfId="0" applyFill="1" applyAlignment="1" applyProtection="1">
      <alignment horizontal="center"/>
    </xf>
    <xf numFmtId="0" fontId="0" fillId="10" borderId="0" xfId="0" applyFill="1" applyProtection="1"/>
    <xf numFmtId="10" fontId="0" fillId="10" borderId="0" xfId="2" applyNumberFormat="1" applyFont="1" applyFill="1" applyProtection="1"/>
    <xf numFmtId="8" fontId="1" fillId="0" borderId="8" xfId="0" applyNumberFormat="1" applyFont="1" applyFill="1" applyBorder="1" applyProtection="1"/>
    <xf numFmtId="10" fontId="1" fillId="0" borderId="27" xfId="2" applyNumberFormat="1" applyFont="1" applyFill="1" applyBorder="1" applyAlignment="1" applyProtection="1">
      <alignment horizontal="center" vertical="center"/>
    </xf>
    <xf numFmtId="10" fontId="1" fillId="0" borderId="25" xfId="2" applyNumberFormat="1" applyFont="1" applyFill="1" applyBorder="1" applyAlignment="1" applyProtection="1">
      <alignment horizontal="center" vertical="center"/>
    </xf>
    <xf numFmtId="8" fontId="1" fillId="0" borderId="26" xfId="0" applyNumberFormat="1" applyFont="1" applyFill="1" applyBorder="1" applyAlignment="1" applyProtection="1">
      <alignment horizontal="center"/>
    </xf>
    <xf numFmtId="8" fontId="1" fillId="0" borderId="22" xfId="0" applyNumberFormat="1" applyFont="1" applyFill="1" applyBorder="1" applyAlignment="1" applyProtection="1">
      <alignment horizontal="center"/>
    </xf>
    <xf numFmtId="10" fontId="0" fillId="0" borderId="1" xfId="0" applyNumberFormat="1" applyFill="1" applyBorder="1" applyProtection="1"/>
    <xf numFmtId="10" fontId="0" fillId="0" borderId="24" xfId="0" applyNumberFormat="1" applyFill="1" applyBorder="1" applyProtection="1"/>
    <xf numFmtId="10" fontId="0" fillId="0" borderId="27" xfId="0" applyNumberFormat="1" applyFill="1" applyBorder="1" applyProtection="1"/>
    <xf numFmtId="10" fontId="0" fillId="0" borderId="25" xfId="0" applyNumberFormat="1" applyFill="1" applyBorder="1" applyProtection="1"/>
    <xf numFmtId="10" fontId="0" fillId="0" borderId="29" xfId="0" applyNumberFormat="1" applyFill="1" applyBorder="1" applyProtection="1"/>
    <xf numFmtId="10" fontId="0" fillId="0" borderId="30" xfId="0" applyNumberFormat="1" applyFill="1" applyBorder="1" applyProtection="1"/>
    <xf numFmtId="8" fontId="1" fillId="0" borderId="39" xfId="0" applyNumberFormat="1" applyFont="1" applyFill="1" applyBorder="1" applyProtection="1"/>
    <xf numFmtId="8" fontId="1" fillId="0" borderId="40" xfId="0" applyNumberFormat="1" applyFont="1" applyFill="1" applyBorder="1" applyProtection="1"/>
    <xf numFmtId="0" fontId="1" fillId="0" borderId="61" xfId="0" applyFont="1" applyFill="1" applyBorder="1" applyAlignment="1" applyProtection="1">
      <alignment horizontal="center" vertical="center"/>
    </xf>
    <xf numFmtId="10" fontId="1" fillId="0" borderId="34" xfId="2" applyNumberFormat="1" applyFont="1" applyFill="1" applyBorder="1" applyAlignment="1" applyProtection="1">
      <alignment horizontal="center" vertical="center"/>
    </xf>
    <xf numFmtId="0" fontId="1" fillId="0" borderId="42" xfId="0" applyFont="1" applyFill="1" applyBorder="1" applyProtection="1"/>
    <xf numFmtId="10" fontId="0" fillId="0" borderId="33" xfId="0" applyNumberFormat="1" applyBorder="1" applyProtection="1"/>
    <xf numFmtId="10" fontId="0" fillId="0" borderId="6" xfId="0" applyNumberFormat="1" applyBorder="1" applyProtection="1"/>
    <xf numFmtId="10" fontId="0" fillId="0" borderId="34" xfId="0" applyNumberFormat="1" applyBorder="1" applyProtection="1"/>
    <xf numFmtId="8" fontId="0" fillId="0" borderId="1" xfId="0" applyNumberFormat="1" applyBorder="1" applyAlignment="1" applyProtection="1">
      <alignment horizontal="right"/>
    </xf>
    <xf numFmtId="8" fontId="0" fillId="0" borderId="24" xfId="0" applyNumberFormat="1" applyBorder="1" applyAlignment="1" applyProtection="1">
      <alignment horizontal="right"/>
    </xf>
    <xf numFmtId="41" fontId="1" fillId="0" borderId="1" xfId="0" applyNumberFormat="1" applyFont="1" applyFill="1" applyBorder="1" applyProtection="1"/>
    <xf numFmtId="0" fontId="0" fillId="3" borderId="1" xfId="0" applyFill="1" applyBorder="1" applyAlignment="1" applyProtection="1">
      <alignment wrapText="1"/>
    </xf>
    <xf numFmtId="0" fontId="0" fillId="4" borderId="1" xfId="0" applyFill="1" applyBorder="1" applyProtection="1"/>
    <xf numFmtId="14" fontId="0" fillId="4" borderId="4" xfId="0" applyNumberFormat="1" applyFill="1" applyBorder="1" applyProtection="1"/>
    <xf numFmtId="165" fontId="3" fillId="4" borderId="1" xfId="0" applyNumberFormat="1" applyFont="1" applyFill="1" applyBorder="1" applyProtection="1"/>
    <xf numFmtId="0" fontId="1" fillId="10" borderId="54" xfId="0" applyFont="1" applyFill="1" applyBorder="1" applyProtection="1"/>
    <xf numFmtId="0" fontId="1" fillId="10" borderId="15" xfId="0" applyFont="1" applyFill="1" applyBorder="1" applyProtection="1"/>
    <xf numFmtId="0" fontId="1" fillId="10" borderId="18" xfId="0" applyFont="1" applyFill="1" applyBorder="1" applyProtection="1"/>
    <xf numFmtId="10" fontId="1" fillId="0" borderId="18" xfId="2" applyNumberFormat="1" applyFont="1" applyFill="1" applyBorder="1" applyAlignment="1" applyProtection="1">
      <alignment horizontal="center" vertical="center"/>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24" xfId="0" applyFont="1" applyFill="1" applyBorder="1" applyAlignment="1" applyProtection="1">
      <alignment horizontal="center" vertical="center"/>
      <protection locked="0"/>
    </xf>
    <xf numFmtId="10" fontId="1" fillId="0" borderId="15" xfId="2" applyNumberFormat="1" applyFont="1" applyFill="1" applyBorder="1" applyAlignment="1" applyProtection="1">
      <alignment horizontal="center" vertical="center"/>
    </xf>
    <xf numFmtId="0" fontId="1" fillId="10" borderId="7" xfId="0" applyFont="1" applyFill="1" applyBorder="1" applyProtection="1"/>
    <xf numFmtId="0" fontId="1" fillId="10" borderId="20" xfId="0" applyFont="1" applyFill="1" applyBorder="1" applyProtection="1"/>
    <xf numFmtId="41" fontId="1" fillId="8" borderId="1" xfId="0" applyNumberFormat="1" applyFont="1" applyFill="1" applyBorder="1" applyProtection="1">
      <protection locked="0"/>
    </xf>
    <xf numFmtId="41" fontId="1" fillId="8" borderId="24" xfId="0" applyNumberFormat="1" applyFont="1" applyFill="1" applyBorder="1" applyProtection="1">
      <protection locked="0"/>
    </xf>
    <xf numFmtId="8" fontId="1" fillId="4" borderId="1" xfId="0" applyNumberFormat="1" applyFont="1" applyFill="1" applyBorder="1" applyAlignment="1" applyProtection="1">
      <alignment horizontal="center" vertical="center" wrapText="1"/>
    </xf>
    <xf numFmtId="164" fontId="2" fillId="8" borderId="1" xfId="0" applyNumberFormat="1" applyFont="1" applyFill="1" applyBorder="1" applyAlignment="1" applyProtection="1">
      <alignment horizontal="center"/>
      <protection locked="0"/>
    </xf>
    <xf numFmtId="0" fontId="0" fillId="8" borderId="6" xfId="0" applyFill="1" applyBorder="1" applyAlignment="1" applyProtection="1">
      <alignment wrapText="1"/>
      <protection locked="0"/>
    </xf>
    <xf numFmtId="0" fontId="0" fillId="8" borderId="1" xfId="0" applyFill="1" applyBorder="1" applyAlignment="1" applyProtection="1">
      <alignment horizontal="center" wrapText="1"/>
      <protection locked="0"/>
    </xf>
    <xf numFmtId="0" fontId="0" fillId="0" borderId="1" xfId="0" applyBorder="1" applyProtection="1">
      <protection locked="0"/>
    </xf>
    <xf numFmtId="0" fontId="0" fillId="3" borderId="1" xfId="0" applyFill="1" applyBorder="1" applyProtection="1">
      <protection locked="0"/>
    </xf>
    <xf numFmtId="0" fontId="0" fillId="3" borderId="1" xfId="0" applyFill="1" applyBorder="1" applyAlignment="1" applyProtection="1">
      <alignment horizontal="center" wrapText="1"/>
      <protection locked="0"/>
    </xf>
    <xf numFmtId="0" fontId="0" fillId="0" borderId="1" xfId="0" applyFill="1" applyBorder="1" applyProtection="1">
      <protection locked="0"/>
    </xf>
    <xf numFmtId="165" fontId="3" fillId="0" borderId="1" xfId="0" applyNumberFormat="1" applyFont="1" applyBorder="1" applyProtection="1">
      <protection locked="0"/>
    </xf>
    <xf numFmtId="164" fontId="2" fillId="0" borderId="1" xfId="0" applyNumberFormat="1" applyFont="1" applyBorder="1" applyAlignment="1" applyProtection="1">
      <alignment horizontal="center"/>
      <protection locked="0"/>
    </xf>
    <xf numFmtId="10" fontId="2" fillId="0" borderId="1" xfId="2" applyNumberFormat="1" applyFont="1" applyBorder="1" applyAlignment="1" applyProtection="1">
      <alignment horizontal="center"/>
      <protection locked="0"/>
    </xf>
    <xf numFmtId="164" fontId="0" fillId="0" borderId="1" xfId="0" applyNumberFormat="1" applyFill="1" applyBorder="1" applyProtection="1">
      <protection locked="0"/>
    </xf>
    <xf numFmtId="174" fontId="0" fillId="0" borderId="0" xfId="0" applyNumberFormat="1" applyFill="1" applyProtection="1">
      <protection locked="0"/>
    </xf>
    <xf numFmtId="10" fontId="0" fillId="0" borderId="1" xfId="0" applyNumberFormat="1" applyBorder="1" applyProtection="1">
      <protection locked="0"/>
    </xf>
    <xf numFmtId="8" fontId="0" fillId="0" borderId="57" xfId="0" applyNumberFormat="1" applyBorder="1" applyAlignment="1" applyProtection="1">
      <alignment horizontal="right"/>
    </xf>
    <xf numFmtId="8" fontId="0" fillId="0" borderId="56" xfId="0" applyNumberFormat="1" applyBorder="1" applyAlignment="1" applyProtection="1">
      <alignment horizontal="right"/>
    </xf>
    <xf numFmtId="8" fontId="0" fillId="0" borderId="6" xfId="0" applyNumberFormat="1" applyFont="1" applyFill="1" applyBorder="1" applyAlignment="1" applyProtection="1">
      <alignment horizontal="right"/>
    </xf>
    <xf numFmtId="8" fontId="0" fillId="0" borderId="1" xfId="0" applyNumberFormat="1" applyFont="1" applyFill="1" applyBorder="1" applyAlignment="1" applyProtection="1">
      <alignment horizontal="right"/>
    </xf>
    <xf numFmtId="8" fontId="0" fillId="0" borderId="24" xfId="0" applyNumberFormat="1" applyFont="1" applyFill="1" applyBorder="1" applyAlignment="1" applyProtection="1">
      <alignment horizontal="right"/>
    </xf>
    <xf numFmtId="0" fontId="1" fillId="0" borderId="0" xfId="0" applyFont="1" applyFill="1" applyBorder="1" applyProtection="1"/>
    <xf numFmtId="41" fontId="1" fillId="0" borderId="0" xfId="0" applyNumberFormat="1" applyFont="1" applyFill="1" applyBorder="1" applyProtection="1"/>
    <xf numFmtId="10" fontId="0" fillId="0" borderId="0" xfId="2" applyNumberFormat="1" applyFont="1" applyFill="1" applyProtection="1">
      <protection locked="0"/>
    </xf>
    <xf numFmtId="0" fontId="0" fillId="0" borderId="0" xfId="0" applyFill="1" applyBorder="1" applyProtection="1">
      <protection locked="0"/>
    </xf>
    <xf numFmtId="0" fontId="0" fillId="10" borderId="15" xfId="0" applyFill="1" applyBorder="1" applyAlignment="1" applyProtection="1">
      <alignment horizontal="center" vertical="center"/>
    </xf>
    <xf numFmtId="0" fontId="0" fillId="8" borderId="62" xfId="0" applyFill="1" applyBorder="1" applyProtection="1">
      <protection locked="0"/>
    </xf>
    <xf numFmtId="0" fontId="0" fillId="10" borderId="22" xfId="0" applyFill="1" applyBorder="1" applyProtection="1"/>
    <xf numFmtId="0" fontId="0" fillId="8" borderId="24" xfId="0" applyFill="1" applyBorder="1" applyProtection="1">
      <protection locked="0"/>
    </xf>
    <xf numFmtId="0" fontId="0" fillId="10" borderId="61" xfId="0" applyFill="1" applyBorder="1" applyProtection="1"/>
    <xf numFmtId="0" fontId="0" fillId="8" borderId="6" xfId="0" applyFill="1" applyBorder="1" applyProtection="1">
      <protection locked="0"/>
    </xf>
    <xf numFmtId="0" fontId="0" fillId="10" borderId="54" xfId="0" applyFill="1" applyBorder="1" applyProtection="1"/>
    <xf numFmtId="0" fontId="0" fillId="0" borderId="15" xfId="0" applyBorder="1" applyProtection="1"/>
    <xf numFmtId="0" fontId="0" fillId="0" borderId="18" xfId="0" applyBorder="1" applyAlignment="1" applyProtection="1">
      <alignment wrapText="1"/>
    </xf>
    <xf numFmtId="8" fontId="0" fillId="0" borderId="15" xfId="0" applyNumberFormat="1" applyFont="1" applyFill="1" applyBorder="1" applyAlignment="1" applyProtection="1">
      <alignment horizontal="center"/>
    </xf>
    <xf numFmtId="0" fontId="1" fillId="10" borderId="54" xfId="0" applyFont="1" applyFill="1" applyBorder="1" applyAlignment="1" applyProtection="1">
      <alignment horizontal="center"/>
    </xf>
    <xf numFmtId="0" fontId="1" fillId="0" borderId="54" xfId="0" applyFont="1" applyFill="1" applyBorder="1" applyAlignment="1" applyProtection="1">
      <alignment horizontal="center"/>
    </xf>
    <xf numFmtId="0" fontId="0" fillId="0" borderId="0" xfId="0" applyAlignment="1">
      <alignment horizontal="center"/>
    </xf>
    <xf numFmtId="0" fontId="1" fillId="0" borderId="0" xfId="0" applyFont="1" applyAlignment="1">
      <alignment horizontal="center" wrapText="1"/>
    </xf>
    <xf numFmtId="0" fontId="1" fillId="0" borderId="0" xfId="0" applyFont="1" applyAlignment="1">
      <alignment horizontal="center"/>
    </xf>
    <xf numFmtId="0" fontId="1" fillId="0" borderId="0" xfId="0" applyFont="1" applyAlignment="1" applyProtection="1">
      <alignment horizontal="center"/>
    </xf>
    <xf numFmtId="0" fontId="0" fillId="0" borderId="0" xfId="0" applyAlignment="1" applyProtection="1">
      <alignment horizontal="center"/>
    </xf>
    <xf numFmtId="0" fontId="1" fillId="13" borderId="9" xfId="0" applyFont="1" applyFill="1" applyBorder="1" applyAlignment="1" applyProtection="1">
      <alignment horizontal="center"/>
    </xf>
    <xf numFmtId="0" fontId="1" fillId="13" borderId="60" xfId="0" applyFont="1" applyFill="1" applyBorder="1" applyAlignment="1" applyProtection="1">
      <alignment horizontal="center"/>
    </xf>
    <xf numFmtId="0" fontId="0" fillId="10" borderId="11" xfId="0" applyFill="1" applyBorder="1" applyAlignment="1" applyProtection="1">
      <alignment horizontal="center"/>
    </xf>
    <xf numFmtId="0" fontId="0" fillId="10" borderId="13" xfId="0" applyFill="1" applyBorder="1" applyAlignment="1" applyProtection="1">
      <alignment horizontal="center"/>
    </xf>
    <xf numFmtId="0" fontId="1" fillId="10" borderId="48" xfId="0" applyFont="1" applyFill="1" applyBorder="1" applyAlignment="1" applyProtection="1">
      <alignment horizontal="center" vertical="center" wrapText="1"/>
    </xf>
    <xf numFmtId="0" fontId="1" fillId="10" borderId="49" xfId="0" applyFont="1" applyFill="1" applyBorder="1" applyAlignment="1" applyProtection="1">
      <alignment horizontal="center" vertical="center" wrapText="1"/>
    </xf>
    <xf numFmtId="0" fontId="1" fillId="10" borderId="14" xfId="0" applyFont="1" applyFill="1" applyBorder="1" applyAlignment="1" applyProtection="1">
      <alignment horizontal="center" vertical="center" wrapText="1"/>
    </xf>
    <xf numFmtId="0" fontId="0" fillId="8" borderId="41" xfId="0" applyFill="1" applyBorder="1" applyAlignment="1" applyProtection="1">
      <alignment horizontal="center" vertical="center"/>
      <protection locked="0"/>
    </xf>
    <xf numFmtId="0" fontId="0" fillId="8" borderId="46" xfId="0" applyFill="1" applyBorder="1" applyAlignment="1" applyProtection="1">
      <alignment horizontal="center" vertical="center"/>
      <protection locked="0"/>
    </xf>
    <xf numFmtId="0" fontId="0" fillId="8" borderId="10" xfId="0" applyFill="1" applyBorder="1" applyAlignment="1" applyProtection="1">
      <alignment horizontal="center" vertical="center"/>
      <protection locked="0"/>
    </xf>
    <xf numFmtId="0" fontId="0" fillId="0" borderId="16" xfId="0" applyBorder="1" applyAlignment="1" applyProtection="1">
      <alignment horizontal="left"/>
    </xf>
    <xf numFmtId="0" fontId="0" fillId="0" borderId="5" xfId="0" applyBorder="1" applyAlignment="1" applyProtection="1">
      <alignment horizontal="left"/>
    </xf>
    <xf numFmtId="0" fontId="0" fillId="0" borderId="51" xfId="0" applyBorder="1" applyAlignment="1" applyProtection="1">
      <alignment horizontal="left" wrapText="1"/>
    </xf>
    <xf numFmtId="0" fontId="0" fillId="0" borderId="53" xfId="0" applyBorder="1" applyAlignment="1" applyProtection="1">
      <alignment horizontal="left" wrapText="1"/>
    </xf>
    <xf numFmtId="0" fontId="0" fillId="8" borderId="34" xfId="0" applyFill="1" applyBorder="1" applyAlignment="1" applyProtection="1">
      <alignment horizontal="center"/>
      <protection locked="0"/>
    </xf>
    <xf numFmtId="0" fontId="0" fillId="8" borderId="25" xfId="0" applyFill="1" applyBorder="1" applyAlignment="1" applyProtection="1">
      <alignment horizontal="center"/>
      <protection locked="0"/>
    </xf>
    <xf numFmtId="9" fontId="0" fillId="0" borderId="63" xfId="2" applyFont="1" applyBorder="1" applyAlignment="1" applyProtection="1">
      <alignment horizontal="center"/>
    </xf>
    <xf numFmtId="9" fontId="0" fillId="0" borderId="0" xfId="2" applyFont="1" applyBorder="1" applyAlignment="1" applyProtection="1">
      <alignment horizontal="center"/>
    </xf>
    <xf numFmtId="0" fontId="21" fillId="10" borderId="8" xfId="0" applyFont="1" applyFill="1" applyBorder="1" applyAlignment="1" applyProtection="1">
      <alignment horizontal="center" vertical="center" wrapText="1"/>
    </xf>
    <xf numFmtId="0" fontId="21" fillId="10" borderId="41" xfId="0" applyFont="1" applyFill="1" applyBorder="1" applyAlignment="1" applyProtection="1">
      <alignment horizontal="center" vertical="center" wrapText="1"/>
    </xf>
    <xf numFmtId="0" fontId="21" fillId="10" borderId="0" xfId="0" applyFont="1" applyFill="1" applyAlignment="1" applyProtection="1">
      <alignment horizontal="center" vertical="center" wrapText="1"/>
    </xf>
    <xf numFmtId="0" fontId="21" fillId="10" borderId="46" xfId="0" applyFont="1" applyFill="1" applyBorder="1" applyAlignment="1" applyProtection="1">
      <alignment horizontal="center" vertical="center" wrapText="1"/>
    </xf>
    <xf numFmtId="0" fontId="0" fillId="10" borderId="12" xfId="0" applyFill="1" applyBorder="1" applyAlignment="1" applyProtection="1">
      <alignment horizontal="center"/>
    </xf>
    <xf numFmtId="0" fontId="1" fillId="2" borderId="0" xfId="0" applyFont="1" applyFill="1" applyAlignment="1" applyProtection="1">
      <alignment horizontal="center"/>
    </xf>
    <xf numFmtId="9" fontId="0" fillId="0" borderId="6" xfId="2" applyFont="1" applyBorder="1" applyAlignment="1" applyProtection="1">
      <alignment horizontal="center"/>
    </xf>
    <xf numFmtId="9" fontId="0" fillId="0" borderId="24" xfId="2" applyFont="1" applyBorder="1" applyAlignment="1" applyProtection="1">
      <alignment horizontal="center"/>
    </xf>
    <xf numFmtId="0" fontId="0" fillId="0" borderId="50" xfId="0" applyBorder="1" applyAlignment="1" applyProtection="1">
      <alignment horizontal="left"/>
    </xf>
    <xf numFmtId="0" fontId="0" fillId="0" borderId="52" xfId="0" applyBorder="1" applyAlignment="1" applyProtection="1">
      <alignment horizontal="left"/>
    </xf>
    <xf numFmtId="0" fontId="4" fillId="10" borderId="35" xfId="1" applyFill="1" applyBorder="1" applyAlignment="1" applyProtection="1">
      <alignment horizontal="center"/>
    </xf>
    <xf numFmtId="0" fontId="4" fillId="10" borderId="32" xfId="1" applyFill="1" applyBorder="1" applyAlignment="1" applyProtection="1">
      <alignment horizontal="center"/>
    </xf>
    <xf numFmtId="0" fontId="4" fillId="10" borderId="36" xfId="1" applyFill="1" applyBorder="1" applyAlignment="1" applyProtection="1">
      <alignment horizontal="center"/>
    </xf>
    <xf numFmtId="0" fontId="0" fillId="10" borderId="0" xfId="0" applyFill="1" applyAlignment="1" applyProtection="1">
      <alignment horizontal="center"/>
      <protection locked="0"/>
    </xf>
    <xf numFmtId="0" fontId="1" fillId="10" borderId="8" xfId="0" applyFont="1" applyFill="1" applyBorder="1" applyAlignment="1" applyProtection="1">
      <alignment horizontal="center"/>
    </xf>
    <xf numFmtId="0" fontId="1" fillId="10" borderId="31" xfId="0" applyFont="1" applyFill="1" applyBorder="1" applyAlignment="1" applyProtection="1">
      <alignment horizontal="center"/>
    </xf>
    <xf numFmtId="0" fontId="1" fillId="10" borderId="0" xfId="0" applyFont="1" applyFill="1" applyBorder="1" applyAlignment="1" applyProtection="1">
      <alignment horizontal="center"/>
    </xf>
    <xf numFmtId="0" fontId="1" fillId="10" borderId="32" xfId="0" applyFont="1" applyFill="1" applyBorder="1" applyAlignment="1" applyProtection="1">
      <alignment horizontal="center"/>
    </xf>
    <xf numFmtId="0" fontId="1" fillId="10" borderId="2" xfId="0" applyFont="1" applyFill="1" applyBorder="1" applyAlignment="1" applyProtection="1">
      <alignment horizontal="center"/>
    </xf>
    <xf numFmtId="0" fontId="1" fillId="10" borderId="33" xfId="0" applyFont="1" applyFill="1" applyBorder="1" applyAlignment="1" applyProtection="1">
      <alignment horizontal="center"/>
    </xf>
    <xf numFmtId="0" fontId="4" fillId="10" borderId="35" xfId="1" applyFill="1" applyBorder="1" applyAlignment="1" applyProtection="1">
      <alignment horizontal="center"/>
      <protection locked="0"/>
    </xf>
    <xf numFmtId="0" fontId="4" fillId="10" borderId="32" xfId="1" applyFill="1" applyBorder="1" applyAlignment="1" applyProtection="1">
      <alignment horizontal="center"/>
      <protection locked="0"/>
    </xf>
    <xf numFmtId="0" fontId="4" fillId="10" borderId="36" xfId="1" applyFill="1" applyBorder="1" applyAlignment="1" applyProtection="1">
      <alignment horizontal="center"/>
      <protection locked="0"/>
    </xf>
    <xf numFmtId="0" fontId="1" fillId="8" borderId="11" xfId="0" applyFont="1" applyFill="1" applyBorder="1" applyAlignment="1" applyProtection="1">
      <alignment horizontal="center"/>
      <protection locked="0"/>
    </xf>
    <xf numFmtId="0" fontId="1" fillId="8" borderId="12" xfId="0" applyFont="1" applyFill="1" applyBorder="1" applyAlignment="1" applyProtection="1">
      <alignment horizontal="center"/>
      <protection locked="0"/>
    </xf>
    <xf numFmtId="0" fontId="1" fillId="8" borderId="13" xfId="0" applyFont="1" applyFill="1" applyBorder="1" applyAlignment="1" applyProtection="1">
      <alignment horizontal="center"/>
      <protection locked="0"/>
    </xf>
    <xf numFmtId="0" fontId="1" fillId="10" borderId="8" xfId="0" applyFont="1" applyFill="1" applyBorder="1" applyAlignment="1" applyProtection="1">
      <alignment horizontal="center"/>
      <protection locked="0"/>
    </xf>
    <xf numFmtId="0" fontId="1" fillId="10" borderId="31" xfId="0" applyFont="1" applyFill="1" applyBorder="1" applyAlignment="1" applyProtection="1">
      <alignment horizontal="center"/>
      <protection locked="0"/>
    </xf>
    <xf numFmtId="0" fontId="1" fillId="10" borderId="0" xfId="0" applyFont="1" applyFill="1" applyBorder="1" applyAlignment="1" applyProtection="1">
      <alignment horizontal="center"/>
      <protection locked="0"/>
    </xf>
    <xf numFmtId="0" fontId="1" fillId="10" borderId="32" xfId="0" applyFont="1" applyFill="1" applyBorder="1" applyAlignment="1" applyProtection="1">
      <alignment horizontal="center"/>
      <protection locked="0"/>
    </xf>
    <xf numFmtId="0" fontId="1" fillId="10" borderId="2" xfId="0" applyFont="1" applyFill="1" applyBorder="1" applyAlignment="1" applyProtection="1">
      <alignment horizontal="center"/>
      <protection locked="0"/>
    </xf>
    <xf numFmtId="0" fontId="1" fillId="10" borderId="33" xfId="0" applyFont="1" applyFill="1" applyBorder="1" applyAlignment="1" applyProtection="1">
      <alignment horizontal="center"/>
      <protection locked="0"/>
    </xf>
    <xf numFmtId="0" fontId="17" fillId="3" borderId="1" xfId="0" applyFont="1" applyFill="1" applyBorder="1" applyAlignment="1">
      <alignment horizontal="center" vertical="center"/>
    </xf>
    <xf numFmtId="0" fontId="16" fillId="9" borderId="4" xfId="0" applyFont="1" applyFill="1" applyBorder="1" applyAlignment="1">
      <alignment horizontal="center" vertical="center" wrapText="1"/>
    </xf>
    <xf numFmtId="0" fontId="16" fillId="9" borderId="5" xfId="0" applyFont="1" applyFill="1" applyBorder="1" applyAlignment="1">
      <alignment horizontal="center" vertical="center" wrapText="1"/>
    </xf>
    <xf numFmtId="0" fontId="16" fillId="9" borderId="6" xfId="0" applyFont="1" applyFill="1" applyBorder="1" applyAlignment="1">
      <alignment horizontal="center" vertical="center" wrapText="1"/>
    </xf>
    <xf numFmtId="0" fontId="0" fillId="9" borderId="1" xfId="0" applyFill="1" applyBorder="1" applyAlignment="1">
      <alignment horizontal="center"/>
    </xf>
    <xf numFmtId="0" fontId="0" fillId="2" borderId="4" xfId="0" applyFill="1" applyBorder="1" applyAlignment="1" applyProtection="1">
      <alignment horizontal="center" wrapText="1"/>
    </xf>
    <xf numFmtId="0" fontId="0" fillId="2" borderId="5" xfId="0" applyFill="1" applyBorder="1" applyAlignment="1" applyProtection="1">
      <alignment horizontal="center" wrapText="1"/>
    </xf>
    <xf numFmtId="0" fontId="0" fillId="2" borderId="6" xfId="0" applyFill="1" applyBorder="1" applyAlignment="1" applyProtection="1">
      <alignment horizontal="center" wrapText="1"/>
    </xf>
    <xf numFmtId="0" fontId="0" fillId="11" borderId="4" xfId="0" applyFill="1" applyBorder="1" applyAlignment="1" applyProtection="1">
      <alignment horizontal="center"/>
    </xf>
    <xf numFmtId="0" fontId="0" fillId="11" borderId="5" xfId="0" applyFill="1" applyBorder="1" applyAlignment="1" applyProtection="1">
      <alignment horizontal="center"/>
    </xf>
    <xf numFmtId="0" fontId="0" fillId="11" borderId="6" xfId="0" applyFill="1" applyBorder="1" applyAlignment="1" applyProtection="1">
      <alignment horizontal="center"/>
    </xf>
    <xf numFmtId="0" fontId="1" fillId="4" borderId="1" xfId="0" applyFont="1" applyFill="1" applyBorder="1" applyAlignment="1" applyProtection="1">
      <alignment horizontal="center"/>
    </xf>
    <xf numFmtId="0" fontId="1" fillId="14" borderId="4" xfId="0" applyFont="1" applyFill="1" applyBorder="1" applyAlignment="1" applyProtection="1">
      <alignment horizontal="center"/>
    </xf>
    <xf numFmtId="0" fontId="1" fillId="14" borderId="5" xfId="0" applyFont="1" applyFill="1" applyBorder="1" applyAlignment="1" applyProtection="1">
      <alignment horizontal="center"/>
    </xf>
    <xf numFmtId="0" fontId="1" fillId="14" borderId="6" xfId="0" applyFont="1" applyFill="1" applyBorder="1" applyAlignment="1" applyProtection="1">
      <alignment horizontal="center"/>
    </xf>
    <xf numFmtId="0" fontId="1" fillId="2" borderId="2" xfId="0" applyFont="1" applyFill="1" applyBorder="1" applyAlignment="1" applyProtection="1">
      <alignment horizontal="center"/>
      <protection locked="0"/>
    </xf>
  </cellXfs>
  <cellStyles count="5">
    <cellStyle name="Hyperlink" xfId="1" builtinId="8"/>
    <cellStyle name="Normal" xfId="0" builtinId="0"/>
    <cellStyle name="Normal 2" xfId="3" xr:uid="{DEEC4CEC-0D27-4B79-BF68-19279CE82EFA}"/>
    <cellStyle name="Percent" xfId="2" builtinId="5"/>
    <cellStyle name="Percent 2" xfId="4" xr:uid="{6F4E7C27-8DA5-4923-BF69-A4A586680D55}"/>
  </cellStyles>
  <dxfs count="41">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gradientFill type="path" left="0.5" right="0.5" top="0.5" bottom="0.5">
          <stop position="0">
            <color rgb="FFFF0000"/>
          </stop>
          <stop position="1">
            <color theme="1"/>
          </stop>
        </gradientFill>
      </fill>
    </dxf>
    <dxf>
      <fill>
        <gradientFill type="path" left="0.5" right="0.5" top="0.5" bottom="0.5">
          <stop position="0">
            <color theme="1"/>
          </stop>
          <stop position="1">
            <color rgb="FF00B050"/>
          </stop>
        </gradient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Input!$P$3</c:f>
              <c:strCache>
                <c:ptCount val="1"/>
                <c:pt idx="0">
                  <c:v>180 Months</c:v>
                </c:pt>
              </c:strCache>
            </c:strRef>
          </c:tx>
          <c:spPr>
            <a:solidFill>
              <a:srgbClr val="C00000"/>
            </a:solidFill>
            <a:ln>
              <a:noFill/>
            </a:ln>
            <a:effectLst/>
          </c:spPr>
          <c:invertIfNegative val="0"/>
          <c:cat>
            <c:strRef>
              <c:f>Input!$O$4:$O$18</c:f>
              <c:strCache>
                <c:ptCount val="15"/>
                <c:pt idx="0">
                  <c:v>1st year</c:v>
                </c:pt>
                <c:pt idx="1">
                  <c:v>2nd year</c:v>
                </c:pt>
                <c:pt idx="2">
                  <c:v>3rd year</c:v>
                </c:pt>
                <c:pt idx="3">
                  <c:v>4th year</c:v>
                </c:pt>
                <c:pt idx="4">
                  <c:v>5th year</c:v>
                </c:pt>
                <c:pt idx="5">
                  <c:v>6th year</c:v>
                </c:pt>
                <c:pt idx="6">
                  <c:v>7th year</c:v>
                </c:pt>
                <c:pt idx="7">
                  <c:v>8th year</c:v>
                </c:pt>
                <c:pt idx="8">
                  <c:v>9th year</c:v>
                </c:pt>
                <c:pt idx="9">
                  <c:v>10th year</c:v>
                </c:pt>
                <c:pt idx="10">
                  <c:v>11th year</c:v>
                </c:pt>
                <c:pt idx="11">
                  <c:v>12th year</c:v>
                </c:pt>
                <c:pt idx="12">
                  <c:v>13th year</c:v>
                </c:pt>
                <c:pt idx="13">
                  <c:v>14th year</c:v>
                </c:pt>
                <c:pt idx="14">
                  <c:v>15th year</c:v>
                </c:pt>
              </c:strCache>
            </c:strRef>
          </c:cat>
          <c:val>
            <c:numRef>
              <c:f>Input!$P$4:$P$18</c:f>
              <c:numCache>
                <c:formatCode>0.00%</c:formatCode>
                <c:ptCount val="15"/>
                <c:pt idx="0">
                  <c:v>4.470505114993145</c:v>
                </c:pt>
                <c:pt idx="1">
                  <c:v>4.562365008326478</c:v>
                </c:pt>
                <c:pt idx="2">
                  <c:v>4.6602361449931449</c:v>
                </c:pt>
                <c:pt idx="3">
                  <c:v>4.7664289249931446</c:v>
                </c:pt>
                <c:pt idx="4">
                  <c:v>4.803890954993145</c:v>
                </c:pt>
                <c:pt idx="5">
                  <c:v>4.8452564016598112</c:v>
                </c:pt>
                <c:pt idx="6">
                  <c:v>4.8332506249931448</c:v>
                </c:pt>
                <c:pt idx="7">
                  <c:v>4.7720073149931448</c:v>
                </c:pt>
                <c:pt idx="8">
                  <c:v>4.698816608326478</c:v>
                </c:pt>
                <c:pt idx="9">
                  <c:v>4.1761645980473121</c:v>
                </c:pt>
                <c:pt idx="10">
                  <c:v>3.5694943644348127</c:v>
                </c:pt>
                <c:pt idx="11">
                  <c:v>2.8667137874889801</c:v>
                </c:pt>
                <c:pt idx="12">
                  <c:v>2.0495445305431477</c:v>
                </c:pt>
                <c:pt idx="13">
                  <c:v>1.101012323597315</c:v>
                </c:pt>
                <c:pt idx="14">
                  <c:v>0</c:v>
                </c:pt>
              </c:numCache>
            </c:numRef>
          </c:val>
          <c:extLst>
            <c:ext xmlns:c16="http://schemas.microsoft.com/office/drawing/2014/chart" uri="{C3380CC4-5D6E-409C-BE32-E72D297353CC}">
              <c16:uniqueId val="{00000000-7064-4158-8D32-80C1F6BCFD1F}"/>
            </c:ext>
          </c:extLst>
        </c:ser>
        <c:dLbls>
          <c:showLegendKey val="0"/>
          <c:showVal val="0"/>
          <c:showCatName val="0"/>
          <c:showSerName val="0"/>
          <c:showPercent val="0"/>
          <c:showBubbleSize val="0"/>
        </c:dLbls>
        <c:gapWidth val="150"/>
        <c:axId val="1453189232"/>
        <c:axId val="1464786816"/>
      </c:barChart>
      <c:catAx>
        <c:axId val="145318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786816"/>
        <c:crosses val="autoZero"/>
        <c:auto val="1"/>
        <c:lblAlgn val="ctr"/>
        <c:lblOffset val="100"/>
        <c:noMultiLvlLbl val="0"/>
      </c:catAx>
      <c:valAx>
        <c:axId val="146478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189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Input!$S$3</c:f>
              <c:strCache>
                <c:ptCount val="1"/>
                <c:pt idx="0">
                  <c:v>144 Months</c:v>
                </c:pt>
              </c:strCache>
            </c:strRef>
          </c:tx>
          <c:spPr>
            <a:solidFill>
              <a:srgbClr val="C00000"/>
            </a:solidFill>
            <a:ln>
              <a:noFill/>
            </a:ln>
            <a:effectLst/>
          </c:spPr>
          <c:invertIfNegative val="0"/>
          <c:cat>
            <c:strRef>
              <c:f>Input!$R$4:$R$15</c:f>
              <c:strCache>
                <c:ptCount val="12"/>
                <c:pt idx="0">
                  <c:v>1st year</c:v>
                </c:pt>
                <c:pt idx="1">
                  <c:v>2nd year</c:v>
                </c:pt>
                <c:pt idx="2">
                  <c:v>3rd year</c:v>
                </c:pt>
                <c:pt idx="3">
                  <c:v>4th year</c:v>
                </c:pt>
                <c:pt idx="4">
                  <c:v>5th year</c:v>
                </c:pt>
                <c:pt idx="5">
                  <c:v>6th year</c:v>
                </c:pt>
                <c:pt idx="6">
                  <c:v>7th year</c:v>
                </c:pt>
                <c:pt idx="7">
                  <c:v>8th year</c:v>
                </c:pt>
                <c:pt idx="8">
                  <c:v>9th year</c:v>
                </c:pt>
                <c:pt idx="9">
                  <c:v>10th year</c:v>
                </c:pt>
                <c:pt idx="10">
                  <c:v>11th year</c:v>
                </c:pt>
                <c:pt idx="11">
                  <c:v>12th year</c:v>
                </c:pt>
              </c:strCache>
            </c:strRef>
          </c:cat>
          <c:val>
            <c:numRef>
              <c:f>Input!$S$4:$S$15</c:f>
              <c:numCache>
                <c:formatCode>0.00%</c:formatCode>
                <c:ptCount val="12"/>
                <c:pt idx="0">
                  <c:v>3.2337850299999999</c:v>
                </c:pt>
                <c:pt idx="1">
                  <c:v>3.1182339699999999</c:v>
                </c:pt>
                <c:pt idx="2">
                  <c:v>2.9841076533333335</c:v>
                </c:pt>
                <c:pt idx="3">
                  <c:v>2.7343643200000001</c:v>
                </c:pt>
                <c:pt idx="4">
                  <c:v>2.4432204766666668</c:v>
                </c:pt>
                <c:pt idx="5">
                  <c:v>2.1052741833333335</c:v>
                </c:pt>
                <c:pt idx="6">
                  <c:v>1.6033963466666667</c:v>
                </c:pt>
                <c:pt idx="7">
                  <c:v>1.02141894</c:v>
                </c:pt>
                <c:pt idx="8">
                  <c:v>0.34530739999999999</c:v>
                </c:pt>
                <c:pt idx="9">
                  <c:v>0</c:v>
                </c:pt>
                <c:pt idx="10">
                  <c:v>0</c:v>
                </c:pt>
                <c:pt idx="11">
                  <c:v>0</c:v>
                </c:pt>
              </c:numCache>
            </c:numRef>
          </c:val>
          <c:extLst>
            <c:ext xmlns:c16="http://schemas.microsoft.com/office/drawing/2014/chart" uri="{C3380CC4-5D6E-409C-BE32-E72D297353CC}">
              <c16:uniqueId val="{00000000-0977-41F2-9DD6-6D9D2C55644F}"/>
            </c:ext>
          </c:extLst>
        </c:ser>
        <c:dLbls>
          <c:showLegendKey val="0"/>
          <c:showVal val="0"/>
          <c:showCatName val="0"/>
          <c:showSerName val="0"/>
          <c:showPercent val="0"/>
          <c:showBubbleSize val="0"/>
        </c:dLbls>
        <c:gapWidth val="150"/>
        <c:axId val="909365536"/>
        <c:axId val="1612603312"/>
      </c:barChart>
      <c:catAx>
        <c:axId val="90936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2603312"/>
        <c:crosses val="autoZero"/>
        <c:auto val="1"/>
        <c:lblAlgn val="ctr"/>
        <c:lblOffset val="100"/>
        <c:noMultiLvlLbl val="0"/>
      </c:catAx>
      <c:valAx>
        <c:axId val="1612603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365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Input!$V$3</c:f>
              <c:strCache>
                <c:ptCount val="1"/>
                <c:pt idx="0">
                  <c:v>120 Months</c:v>
                </c:pt>
              </c:strCache>
            </c:strRef>
          </c:tx>
          <c:spPr>
            <a:solidFill>
              <a:srgbClr val="C00000"/>
            </a:solidFill>
            <a:ln>
              <a:noFill/>
            </a:ln>
            <a:effectLst/>
          </c:spPr>
          <c:invertIfNegative val="0"/>
          <c:cat>
            <c:strRef>
              <c:f>Input!$U$4:$U$13</c:f>
              <c:strCache>
                <c:ptCount val="10"/>
                <c:pt idx="0">
                  <c:v>1st year</c:v>
                </c:pt>
                <c:pt idx="1">
                  <c:v>2nd year</c:v>
                </c:pt>
                <c:pt idx="2">
                  <c:v>3rd year</c:v>
                </c:pt>
                <c:pt idx="3">
                  <c:v>4th year</c:v>
                </c:pt>
                <c:pt idx="4">
                  <c:v>5th year</c:v>
                </c:pt>
                <c:pt idx="5">
                  <c:v>6th year</c:v>
                </c:pt>
                <c:pt idx="6">
                  <c:v>7th year</c:v>
                </c:pt>
                <c:pt idx="7">
                  <c:v>8th year</c:v>
                </c:pt>
                <c:pt idx="8">
                  <c:v>9th year</c:v>
                </c:pt>
                <c:pt idx="9">
                  <c:v>10th year</c:v>
                </c:pt>
              </c:strCache>
            </c:strRef>
          </c:cat>
          <c:val>
            <c:numRef>
              <c:f>Input!$V$4:$V$13</c:f>
              <c:numCache>
                <c:formatCode>0.00%</c:formatCode>
                <c:ptCount val="10"/>
                <c:pt idx="0">
                  <c:v>3.2337850299999999</c:v>
                </c:pt>
                <c:pt idx="1">
                  <c:v>3.1182339699999999</c:v>
                </c:pt>
                <c:pt idx="2">
                  <c:v>2.9841076533333335</c:v>
                </c:pt>
                <c:pt idx="3">
                  <c:v>2.7343643200000001</c:v>
                </c:pt>
                <c:pt idx="4">
                  <c:v>2.4432204766666668</c:v>
                </c:pt>
                <c:pt idx="5">
                  <c:v>2.1052741833333335</c:v>
                </c:pt>
                <c:pt idx="6">
                  <c:v>1.6033963466666667</c:v>
                </c:pt>
                <c:pt idx="7">
                  <c:v>1.02141894</c:v>
                </c:pt>
                <c:pt idx="8">
                  <c:v>0.34530739999999999</c:v>
                </c:pt>
                <c:pt idx="9">
                  <c:v>0</c:v>
                </c:pt>
              </c:numCache>
            </c:numRef>
          </c:val>
          <c:extLst>
            <c:ext xmlns:c16="http://schemas.microsoft.com/office/drawing/2014/chart" uri="{C3380CC4-5D6E-409C-BE32-E72D297353CC}">
              <c16:uniqueId val="{00000000-8668-4DD7-B23B-F6A60557607B}"/>
            </c:ext>
          </c:extLst>
        </c:ser>
        <c:dLbls>
          <c:showLegendKey val="0"/>
          <c:showVal val="0"/>
          <c:showCatName val="0"/>
          <c:showSerName val="0"/>
          <c:showPercent val="0"/>
          <c:showBubbleSize val="0"/>
        </c:dLbls>
        <c:gapWidth val="150"/>
        <c:axId val="1569067728"/>
        <c:axId val="1538024896"/>
      </c:barChart>
      <c:catAx>
        <c:axId val="156906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024896"/>
        <c:crosses val="autoZero"/>
        <c:auto val="1"/>
        <c:lblAlgn val="ctr"/>
        <c:lblOffset val="100"/>
        <c:noMultiLvlLbl val="0"/>
      </c:catAx>
      <c:valAx>
        <c:axId val="1538024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9067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Input!$Y$3</c:f>
              <c:strCache>
                <c:ptCount val="1"/>
                <c:pt idx="0">
                  <c:v>108 Months</c:v>
                </c:pt>
              </c:strCache>
            </c:strRef>
          </c:tx>
          <c:spPr>
            <a:solidFill>
              <a:srgbClr val="C00000"/>
            </a:solidFill>
            <a:ln>
              <a:noFill/>
            </a:ln>
            <a:effectLst/>
          </c:spPr>
          <c:invertIfNegative val="0"/>
          <c:cat>
            <c:strRef>
              <c:f>Input!$X$4:$X$18</c:f>
              <c:strCache>
                <c:ptCount val="15"/>
                <c:pt idx="0">
                  <c:v>1st year</c:v>
                </c:pt>
                <c:pt idx="1">
                  <c:v>2nd year</c:v>
                </c:pt>
                <c:pt idx="2">
                  <c:v>3rd year</c:v>
                </c:pt>
                <c:pt idx="3">
                  <c:v>4th year</c:v>
                </c:pt>
                <c:pt idx="4">
                  <c:v>5th year</c:v>
                </c:pt>
                <c:pt idx="5">
                  <c:v>6th year</c:v>
                </c:pt>
                <c:pt idx="6">
                  <c:v>7th year</c:v>
                </c:pt>
                <c:pt idx="7">
                  <c:v>8th year</c:v>
                </c:pt>
                <c:pt idx="8">
                  <c:v>9th year</c:v>
                </c:pt>
                <c:pt idx="9">
                  <c:v>10th year</c:v>
                </c:pt>
                <c:pt idx="10">
                  <c:v>11th year</c:v>
                </c:pt>
                <c:pt idx="11">
                  <c:v>12th year</c:v>
                </c:pt>
                <c:pt idx="12">
                  <c:v>13th year</c:v>
                </c:pt>
                <c:pt idx="13">
                  <c:v>14th year</c:v>
                </c:pt>
                <c:pt idx="14">
                  <c:v>15th year</c:v>
                </c:pt>
              </c:strCache>
            </c:strRef>
          </c:cat>
          <c:val>
            <c:numRef>
              <c:f>Input!$Y$4:$Y$18</c:f>
              <c:numCache>
                <c:formatCode>0.00%</c:formatCode>
                <c:ptCount val="15"/>
                <c:pt idx="0">
                  <c:v>3.1290884574248201</c:v>
                </c:pt>
                <c:pt idx="1">
                  <c:v>2.9967070374248204</c:v>
                </c:pt>
                <c:pt idx="2">
                  <c:v>2.8430448174248202</c:v>
                </c:pt>
                <c:pt idx="3">
                  <c:v>2.5705585907581536</c:v>
                </c:pt>
                <c:pt idx="4">
                  <c:v>2.2530823707581535</c:v>
                </c:pt>
                <c:pt idx="5">
                  <c:v>1.8845706907581536</c:v>
                </c:pt>
                <c:pt idx="6">
                  <c:v>1.3472139574248203</c:v>
                </c:pt>
                <c:pt idx="7">
                  <c:v>0.72393348409148695</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A0C4-4749-9163-2ED5648CA80E}"/>
            </c:ext>
          </c:extLst>
        </c:ser>
        <c:dLbls>
          <c:showLegendKey val="0"/>
          <c:showVal val="0"/>
          <c:showCatName val="0"/>
          <c:showSerName val="0"/>
          <c:showPercent val="0"/>
          <c:showBubbleSize val="0"/>
        </c:dLbls>
        <c:gapWidth val="150"/>
        <c:axId val="1624935008"/>
        <c:axId val="1736929392"/>
      </c:barChart>
      <c:catAx>
        <c:axId val="1624935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6929392"/>
        <c:crosses val="autoZero"/>
        <c:auto val="1"/>
        <c:lblAlgn val="ctr"/>
        <c:lblOffset val="100"/>
        <c:noMultiLvlLbl val="0"/>
      </c:catAx>
      <c:valAx>
        <c:axId val="1736929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493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Input!$AB$3</c:f>
              <c:strCache>
                <c:ptCount val="1"/>
                <c:pt idx="0">
                  <c:v>112 Months</c:v>
                </c:pt>
              </c:strCache>
            </c:strRef>
          </c:tx>
          <c:spPr>
            <a:solidFill>
              <a:srgbClr val="C00000"/>
            </a:solidFill>
            <a:ln>
              <a:noFill/>
            </a:ln>
            <a:effectLst/>
          </c:spPr>
          <c:invertIfNegative val="0"/>
          <c:cat>
            <c:strRef>
              <c:f>Input!$AA$4:$AA$18</c:f>
              <c:strCache>
                <c:ptCount val="15"/>
                <c:pt idx="0">
                  <c:v>1st year</c:v>
                </c:pt>
                <c:pt idx="1">
                  <c:v>2nd year</c:v>
                </c:pt>
                <c:pt idx="2">
                  <c:v>3rd year</c:v>
                </c:pt>
                <c:pt idx="3">
                  <c:v>4th year</c:v>
                </c:pt>
                <c:pt idx="4">
                  <c:v>5th year</c:v>
                </c:pt>
                <c:pt idx="5">
                  <c:v>6th year</c:v>
                </c:pt>
                <c:pt idx="6">
                  <c:v>7th year</c:v>
                </c:pt>
                <c:pt idx="7">
                  <c:v>8th year</c:v>
                </c:pt>
                <c:pt idx="8">
                  <c:v>9th year</c:v>
                </c:pt>
                <c:pt idx="9">
                  <c:v>10th year</c:v>
                </c:pt>
                <c:pt idx="10">
                  <c:v>11th year</c:v>
                </c:pt>
                <c:pt idx="11">
                  <c:v>12th year</c:v>
                </c:pt>
                <c:pt idx="12">
                  <c:v>13th year</c:v>
                </c:pt>
                <c:pt idx="13">
                  <c:v>14th year</c:v>
                </c:pt>
                <c:pt idx="14">
                  <c:v>15th year</c:v>
                </c:pt>
              </c:strCache>
            </c:strRef>
          </c:cat>
          <c:val>
            <c:numRef>
              <c:f>Input!$AB$4:$AB$18</c:f>
              <c:numCache>
                <c:formatCode>0.00%</c:formatCode>
                <c:ptCount val="15"/>
                <c:pt idx="0">
                  <c:v>3.2337850299999999</c:v>
                </c:pt>
                <c:pt idx="1">
                  <c:v>3.1182339699999999</c:v>
                </c:pt>
                <c:pt idx="2">
                  <c:v>2.9841076533333335</c:v>
                </c:pt>
                <c:pt idx="3">
                  <c:v>2.7343643200000001</c:v>
                </c:pt>
                <c:pt idx="4">
                  <c:v>2.4432204766666668</c:v>
                </c:pt>
                <c:pt idx="5">
                  <c:v>2.1052741833333335</c:v>
                </c:pt>
                <c:pt idx="6">
                  <c:v>1.6033963466666667</c:v>
                </c:pt>
                <c:pt idx="7">
                  <c:v>1.02141894</c:v>
                </c:pt>
                <c:pt idx="8">
                  <c:v>0.34530739999999999</c:v>
                </c:pt>
                <c:pt idx="9">
                  <c:v>0</c:v>
                </c:pt>
                <c:pt idx="10">
                  <c:v>0</c:v>
                </c:pt>
                <c:pt idx="11">
                  <c:v>0</c:v>
                </c:pt>
                <c:pt idx="12">
                  <c:v>0</c:v>
                </c:pt>
                <c:pt idx="13">
                  <c:v>0</c:v>
                </c:pt>
                <c:pt idx="14">
                  <c:v>0</c:v>
                </c:pt>
              </c:numCache>
            </c:numRef>
          </c:val>
          <c:extLst>
            <c:ext xmlns:c16="http://schemas.microsoft.com/office/drawing/2014/chart" uri="{C3380CC4-5D6E-409C-BE32-E72D297353CC}">
              <c16:uniqueId val="{00000000-3E8B-413D-A1E5-D770F861917A}"/>
            </c:ext>
          </c:extLst>
        </c:ser>
        <c:dLbls>
          <c:showLegendKey val="0"/>
          <c:showVal val="0"/>
          <c:showCatName val="0"/>
          <c:showSerName val="0"/>
          <c:showPercent val="0"/>
          <c:showBubbleSize val="0"/>
        </c:dLbls>
        <c:gapWidth val="150"/>
        <c:axId val="1624935008"/>
        <c:axId val="1736929392"/>
      </c:barChart>
      <c:catAx>
        <c:axId val="1624935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6929392"/>
        <c:crosses val="autoZero"/>
        <c:auto val="1"/>
        <c:lblAlgn val="ctr"/>
        <c:lblOffset val="100"/>
        <c:noMultiLvlLbl val="0"/>
      </c:catAx>
      <c:valAx>
        <c:axId val="1736929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493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0</xdr:row>
          <xdr:rowOff>180975</xdr:rowOff>
        </xdr:from>
        <xdr:to>
          <xdr:col>6</xdr:col>
          <xdr:colOff>0</xdr:colOff>
          <xdr:row>3</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600" b="1" i="0" u="none" strike="noStrike" baseline="0">
                  <a:solidFill>
                    <a:srgbClr val="000000"/>
                  </a:solidFill>
                  <a:latin typeface="Calibri"/>
                  <a:cs typeface="Calibri"/>
                </a:rPr>
                <a:t>Click here for Eligibility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0</xdr:row>
          <xdr:rowOff>180975</xdr:rowOff>
        </xdr:from>
        <xdr:to>
          <xdr:col>9</xdr:col>
          <xdr:colOff>0</xdr:colOff>
          <xdr:row>2</xdr:row>
          <xdr:rowOff>180975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xdr:row>
          <xdr:rowOff>0</xdr:rowOff>
        </xdr:from>
        <xdr:to>
          <xdr:col>12</xdr:col>
          <xdr:colOff>9525</xdr:colOff>
          <xdr:row>3</xdr:row>
          <xdr:rowOff>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Reset calculations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11</xdr:row>
          <xdr:rowOff>104775</xdr:rowOff>
        </xdr:from>
        <xdr:to>
          <xdr:col>2</xdr:col>
          <xdr:colOff>1000125</xdr:colOff>
          <xdr:row>12</xdr:row>
          <xdr:rowOff>180975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800" b="1" i="0" u="none" strike="noStrike" baseline="0">
                  <a:solidFill>
                    <a:srgbClr val="008000"/>
                  </a:solidFill>
                  <a:latin typeface="Calibri"/>
                  <a:cs typeface="Calibri"/>
                </a:rPr>
                <a:t>Click here for Eligibility</a:t>
              </a:r>
            </a:p>
          </xdr:txBody>
        </xdr:sp>
        <xdr:clientData fPrintsWithSheet="0"/>
      </xdr:twoCellAnchor>
    </mc:Choice>
    <mc:Fallback/>
  </mc:AlternateContent>
  <xdr:twoCellAnchor>
    <xdr:from>
      <xdr:col>10</xdr:col>
      <xdr:colOff>873124</xdr:colOff>
      <xdr:row>18</xdr:row>
      <xdr:rowOff>31750</xdr:rowOff>
    </xdr:from>
    <xdr:to>
      <xdr:col>18</xdr:col>
      <xdr:colOff>577849</xdr:colOff>
      <xdr:row>26</xdr:row>
      <xdr:rowOff>203200</xdr:rowOff>
    </xdr:to>
    <xdr:graphicFrame macro="">
      <xdr:nvGraphicFramePr>
        <xdr:cNvPr id="9" name="180months">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619124</xdr:colOff>
      <xdr:row>18</xdr:row>
      <xdr:rowOff>25400</xdr:rowOff>
    </xdr:from>
    <xdr:to>
      <xdr:col>27</xdr:col>
      <xdr:colOff>704850</xdr:colOff>
      <xdr:row>26</xdr:row>
      <xdr:rowOff>177800</xdr:rowOff>
    </xdr:to>
    <xdr:graphicFrame macro="">
      <xdr:nvGraphicFramePr>
        <xdr:cNvPr id="10" name="144months">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873126</xdr:colOff>
      <xdr:row>27</xdr:row>
      <xdr:rowOff>19050</xdr:rowOff>
    </xdr:from>
    <xdr:to>
      <xdr:col>18</xdr:col>
      <xdr:colOff>577850</xdr:colOff>
      <xdr:row>37</xdr:row>
      <xdr:rowOff>95250</xdr:rowOff>
    </xdr:to>
    <xdr:graphicFrame macro="">
      <xdr:nvGraphicFramePr>
        <xdr:cNvPr id="11" name="120months">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596900</xdr:colOff>
      <xdr:row>27</xdr:row>
      <xdr:rowOff>22225</xdr:rowOff>
    </xdr:from>
    <xdr:to>
      <xdr:col>27</xdr:col>
      <xdr:colOff>733425</xdr:colOff>
      <xdr:row>37</xdr:row>
      <xdr:rowOff>79375</xdr:rowOff>
    </xdr:to>
    <xdr:graphicFrame macro="">
      <xdr:nvGraphicFramePr>
        <xdr:cNvPr id="12" name="custommonths">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8</xdr:row>
          <xdr:rowOff>95250</xdr:rowOff>
        </xdr:from>
        <xdr:to>
          <xdr:col>1</xdr:col>
          <xdr:colOff>0</xdr:colOff>
          <xdr:row>9</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cs typeface="Calibri"/>
                </a:rPr>
                <a:t>Reset calculations</a:t>
              </a:r>
            </a:p>
          </xdr:txBody>
        </xdr:sp>
        <xdr:clientData fPrintsWithSheet="0"/>
      </xdr:twoCellAnchor>
    </mc:Choice>
    <mc:Fallback/>
  </mc:AlternateContent>
  <xdr:twoCellAnchor>
    <xdr:from>
      <xdr:col>14</xdr:col>
      <xdr:colOff>244475</xdr:colOff>
      <xdr:row>40</xdr:row>
      <xdr:rowOff>34925</xdr:rowOff>
    </xdr:from>
    <xdr:to>
      <xdr:col>23</xdr:col>
      <xdr:colOff>374650</xdr:colOff>
      <xdr:row>51</xdr:row>
      <xdr:rowOff>76200</xdr:rowOff>
    </xdr:to>
    <xdr:graphicFrame macro="">
      <xdr:nvGraphicFramePr>
        <xdr:cNvPr id="13" name="custommonths">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Insurance@0.2%25" TargetMode="External"/><Relationship Id="rId13" Type="http://schemas.openxmlformats.org/officeDocument/2006/relationships/printerSettings" Target="../printerSettings/printerSettings3.bin"/><Relationship Id="rId18" Type="http://schemas.openxmlformats.org/officeDocument/2006/relationships/comments" Target="../comments2.xml"/><Relationship Id="rId3" Type="http://schemas.openxmlformats.org/officeDocument/2006/relationships/hyperlink" Target="mailto:TDS@10%25" TargetMode="External"/><Relationship Id="rId7" Type="http://schemas.openxmlformats.org/officeDocument/2006/relationships/hyperlink" Target="mailto:TDS@10%25" TargetMode="External"/><Relationship Id="rId12" Type="http://schemas.openxmlformats.org/officeDocument/2006/relationships/hyperlink" Target="mailto:Insurance@0.2%25" TargetMode="External"/><Relationship Id="rId17" Type="http://schemas.openxmlformats.org/officeDocument/2006/relationships/ctrlProp" Target="../ctrlProps/ctrlProp5.xml"/><Relationship Id="rId2" Type="http://schemas.openxmlformats.org/officeDocument/2006/relationships/hyperlink" Target="mailto:Insurance@0.2%25" TargetMode="External"/><Relationship Id="rId16" Type="http://schemas.openxmlformats.org/officeDocument/2006/relationships/ctrlProp" Target="../ctrlProps/ctrlProp4.xml"/><Relationship Id="rId1" Type="http://schemas.openxmlformats.org/officeDocument/2006/relationships/hyperlink" Target="mailto:TDS@10%25" TargetMode="External"/><Relationship Id="rId6" Type="http://schemas.openxmlformats.org/officeDocument/2006/relationships/hyperlink" Target="mailto:Insurance@0.2%25" TargetMode="External"/><Relationship Id="rId11" Type="http://schemas.openxmlformats.org/officeDocument/2006/relationships/hyperlink" Target="mailto:TDS@10%25" TargetMode="External"/><Relationship Id="rId5" Type="http://schemas.openxmlformats.org/officeDocument/2006/relationships/hyperlink" Target="mailto:TDS@10%25" TargetMode="External"/><Relationship Id="rId15" Type="http://schemas.openxmlformats.org/officeDocument/2006/relationships/vmlDrawing" Target="../drawings/vmlDrawing2.vml"/><Relationship Id="rId10" Type="http://schemas.openxmlformats.org/officeDocument/2006/relationships/hyperlink" Target="mailto:Insurance@0.2%25" TargetMode="External"/><Relationship Id="rId4" Type="http://schemas.openxmlformats.org/officeDocument/2006/relationships/hyperlink" Target="mailto:Insurance@0.2%25" TargetMode="External"/><Relationship Id="rId9" Type="http://schemas.openxmlformats.org/officeDocument/2006/relationships/hyperlink" Target="mailto:TDS@10%25" TargetMode="External"/><Relationship Id="rId1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7FC11-67AA-44B9-9C09-F251AB9F1F44}">
  <sheetPr codeName="Sheet10"/>
  <dimension ref="A1:B25"/>
  <sheetViews>
    <sheetView workbookViewId="0">
      <selection activeCell="E6" sqref="E6"/>
    </sheetView>
  </sheetViews>
  <sheetFormatPr defaultRowHeight="15" x14ac:dyDescent="0.25"/>
  <cols>
    <col min="1" max="1" width="38.42578125" bestFit="1" customWidth="1"/>
    <col min="2" max="2" width="52" customWidth="1"/>
  </cols>
  <sheetData>
    <row r="1" spans="1:2" s="3" customFormat="1" x14ac:dyDescent="0.25">
      <c r="A1" s="281" t="s">
        <v>133</v>
      </c>
      <c r="B1" s="282"/>
    </row>
    <row r="2" spans="1:2" s="3" customFormat="1" x14ac:dyDescent="0.25">
      <c r="A2" s="282"/>
      <c r="B2" s="282"/>
    </row>
    <row r="3" spans="1:2" x14ac:dyDescent="0.25">
      <c r="A3" s="280" t="s">
        <v>111</v>
      </c>
      <c r="B3" s="280"/>
    </row>
    <row r="4" spans="1:2" x14ac:dyDescent="0.25">
      <c r="A4" s="5" t="s">
        <v>112</v>
      </c>
      <c r="B4" t="s">
        <v>126</v>
      </c>
    </row>
    <row r="5" spans="1:2" x14ac:dyDescent="0.25">
      <c r="A5" s="5" t="s">
        <v>113</v>
      </c>
      <c r="B5" s="5" t="s">
        <v>114</v>
      </c>
    </row>
    <row r="6" spans="1:2" x14ac:dyDescent="0.25">
      <c r="A6" s="3" t="s">
        <v>115</v>
      </c>
      <c r="B6" s="48" t="s">
        <v>116</v>
      </c>
    </row>
    <row r="7" spans="1:2" x14ac:dyDescent="0.25">
      <c r="A7" t="s">
        <v>115</v>
      </c>
      <c r="B7" s="48" t="s">
        <v>15</v>
      </c>
    </row>
    <row r="8" spans="1:2" x14ac:dyDescent="0.25">
      <c r="A8" t="s">
        <v>115</v>
      </c>
      <c r="B8" s="48" t="s">
        <v>117</v>
      </c>
    </row>
    <row r="9" spans="1:2" x14ac:dyDescent="0.25">
      <c r="A9" t="s">
        <v>17</v>
      </c>
      <c r="B9" s="48" t="s">
        <v>23</v>
      </c>
    </row>
    <row r="10" spans="1:2" x14ac:dyDescent="0.25">
      <c r="A10" s="3" t="s">
        <v>17</v>
      </c>
      <c r="B10" s="48" t="s">
        <v>118</v>
      </c>
    </row>
    <row r="11" spans="1:2" x14ac:dyDescent="0.25">
      <c r="A11" s="3" t="s">
        <v>17</v>
      </c>
      <c r="B11" s="48" t="s">
        <v>119</v>
      </c>
    </row>
    <row r="12" spans="1:2" x14ac:dyDescent="0.25">
      <c r="A12" s="3" t="s">
        <v>17</v>
      </c>
      <c r="B12" s="48" t="s">
        <v>28</v>
      </c>
    </row>
    <row r="13" spans="1:2" x14ac:dyDescent="0.25">
      <c r="A13" t="s">
        <v>17</v>
      </c>
      <c r="B13" s="49" t="s">
        <v>68</v>
      </c>
    </row>
    <row r="14" spans="1:2" x14ac:dyDescent="0.25">
      <c r="A14" s="3" t="s">
        <v>17</v>
      </c>
      <c r="B14" s="48" t="s">
        <v>127</v>
      </c>
    </row>
    <row r="15" spans="1:2" s="3" customFormat="1" x14ac:dyDescent="0.25">
      <c r="A15" s="3" t="s">
        <v>17</v>
      </c>
      <c r="B15" s="48" t="s">
        <v>123</v>
      </c>
    </row>
    <row r="16" spans="1:2" s="3" customFormat="1" x14ac:dyDescent="0.25">
      <c r="A16" s="3" t="s">
        <v>17</v>
      </c>
      <c r="B16" s="48" t="s">
        <v>124</v>
      </c>
    </row>
    <row r="17" spans="1:2" x14ac:dyDescent="0.25">
      <c r="A17" t="s">
        <v>17</v>
      </c>
      <c r="B17" s="48" t="s">
        <v>120</v>
      </c>
    </row>
    <row r="18" spans="1:2" x14ac:dyDescent="0.25">
      <c r="A18" t="s">
        <v>17</v>
      </c>
      <c r="B18" s="48" t="s">
        <v>121</v>
      </c>
    </row>
    <row r="19" spans="1:2" x14ac:dyDescent="0.25">
      <c r="A19" s="3" t="s">
        <v>17</v>
      </c>
      <c r="B19" s="48" t="s">
        <v>125</v>
      </c>
    </row>
    <row r="21" spans="1:2" x14ac:dyDescent="0.25">
      <c r="A21" t="s">
        <v>128</v>
      </c>
    </row>
    <row r="22" spans="1:2" x14ac:dyDescent="0.25">
      <c r="A22" t="s">
        <v>129</v>
      </c>
    </row>
    <row r="23" spans="1:2" x14ac:dyDescent="0.25">
      <c r="A23" t="s">
        <v>130</v>
      </c>
    </row>
    <row r="24" spans="1:2" x14ac:dyDescent="0.25">
      <c r="A24" t="s">
        <v>131</v>
      </c>
    </row>
    <row r="25" spans="1:2" x14ac:dyDescent="0.25">
      <c r="A25" t="s">
        <v>132</v>
      </c>
    </row>
  </sheetData>
  <mergeCells count="2">
    <mergeCell ref="A3:B3"/>
    <mergeCell ref="A1:B2"/>
  </mergeCells>
  <hyperlinks>
    <hyperlink ref="B6" location="'Lease details'!B3" display="Lessee names" xr:uid="{111A60D5-1110-43F8-805B-3967FD417088}"/>
    <hyperlink ref="B7" location="'Lease details'!B11" display="First escalation date" xr:uid="{C6D3784C-9A2E-4573-8F8D-A6F3A16FE662}"/>
    <hyperlink ref="B8" location="'Lease details'!B15" display="Current Gross rentals" xr:uid="{AC73817F-B302-44A2-AD38-3152F333C1C2}"/>
    <hyperlink ref="B9" location="Input!C3" display="ROI" xr:uid="{7D91D737-DDC0-488F-9E4C-41C66E040A6B}"/>
    <hyperlink ref="B10" location="Input!C4" display="Disbursement date" xr:uid="{FA00E83D-AA11-48C0-877D-C8290B0AC762}"/>
    <hyperlink ref="B11" location="Input!C5" display="Due date" xr:uid="{F2B1A9B8-6E17-4199-B655-7B06F56C8EB4}"/>
    <hyperlink ref="B12" location="Input!C6" display="Moratorium months" xr:uid="{BAB92FB9-0192-47FA-9AD8-5C477211E422}"/>
    <hyperlink ref="B13" location="Input!C7" display="Loan applied for any tenure other than 180/144/120" xr:uid="{1A6D2F76-1CFE-4597-8E9B-C67DABE90C91}"/>
    <hyperlink ref="B14" location="Input!K7" display="Valuation details" xr:uid="{A5A6D8DA-326B-427E-8329-F13D4A903E6D}"/>
    <hyperlink ref="B15" location="Input!D14" display="Escalation % (if any)" xr:uid="{399D8E92-AB11-425F-9FD2-13B9E0ED6DDF}"/>
    <hyperlink ref="B16" location="Input!E13" display="Escalation frequency of each escalation" xr:uid="{3F0AC08A-60C3-4BB6-A8DE-823F3315500F}"/>
    <hyperlink ref="B17" location="Input!B17" display="TDS rates, property tax rate, insurance" xr:uid="{7EE9D1FE-8CCC-41F5-8E18-8E4FCED32DCA}"/>
    <hyperlink ref="B18" location="Input!C20" display="Other deductions (if any)" xr:uid="{29E9DD17-8C94-407A-BEA2-B7544B6EC453}"/>
    <hyperlink ref="B19" location="Input!C22" display="Discounting Factor for each year" xr:uid="{D14F1459-6CCF-4155-A22B-0BF76611DEDD}"/>
  </hyperlink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16BE8-E628-482B-96DE-009064FFDB13}">
  <sheetPr codeName="Sheet4"/>
  <dimension ref="B2:F17"/>
  <sheetViews>
    <sheetView workbookViewId="0">
      <selection activeCell="G9" sqref="G9:J15"/>
    </sheetView>
  </sheetViews>
  <sheetFormatPr defaultRowHeight="15" x14ac:dyDescent="0.25"/>
  <cols>
    <col min="1" max="1" width="9.140625" style="51"/>
    <col min="2" max="2" width="25.85546875" style="51" bestFit="1" customWidth="1"/>
    <col min="3" max="5" width="16" style="51" bestFit="1" customWidth="1"/>
    <col min="6" max="6" width="17.7109375" style="51" bestFit="1" customWidth="1"/>
    <col min="7" max="7" width="10.140625" style="51" bestFit="1" customWidth="1"/>
    <col min="8" max="8" width="12.140625" style="51" bestFit="1" customWidth="1"/>
    <col min="9" max="16384" width="9.140625" style="51"/>
  </cols>
  <sheetData>
    <row r="2" spans="2:6" x14ac:dyDescent="0.25">
      <c r="B2" s="284"/>
      <c r="C2" s="284"/>
      <c r="D2" s="284"/>
      <c r="E2" s="284"/>
      <c r="F2" s="284"/>
    </row>
    <row r="3" spans="2:6" x14ac:dyDescent="0.25">
      <c r="B3" s="284"/>
      <c r="C3" s="284"/>
      <c r="D3" s="284"/>
      <c r="E3" s="284"/>
      <c r="F3" s="284"/>
    </row>
    <row r="4" spans="2:6" x14ac:dyDescent="0.25">
      <c r="B4" s="62"/>
      <c r="C4" s="62"/>
      <c r="D4" s="62"/>
      <c r="E4" s="62"/>
      <c r="F4" s="62"/>
    </row>
    <row r="5" spans="2:6" x14ac:dyDescent="0.25">
      <c r="C5" s="283" t="s">
        <v>33</v>
      </c>
      <c r="D5" s="283"/>
      <c r="E5" s="283"/>
      <c r="F5" s="283"/>
    </row>
    <row r="6" spans="2:6" x14ac:dyDescent="0.25">
      <c r="B6" s="63" t="s">
        <v>3</v>
      </c>
      <c r="C6" s="63">
        <v>180</v>
      </c>
      <c r="D6" s="63">
        <v>144</v>
      </c>
      <c r="E6" s="63">
        <v>120</v>
      </c>
      <c r="F6" s="63">
        <f>Input!C7</f>
        <v>108</v>
      </c>
    </row>
    <row r="7" spans="2:6" x14ac:dyDescent="0.25">
      <c r="B7" s="63" t="s">
        <v>37</v>
      </c>
      <c r="C7" s="52">
        <f ca="1">EDATE(TODAY(),C6)</f>
        <v>50941</v>
      </c>
      <c r="D7" s="52">
        <f ca="1">EDATE(TODAY(),D6)</f>
        <v>49846</v>
      </c>
      <c r="E7" s="52">
        <f ca="1">EDATE(TODAY(),E6)</f>
        <v>49115</v>
      </c>
      <c r="F7" s="52">
        <f ca="1">EDATE(TODAY(),F6)</f>
        <v>48750</v>
      </c>
    </row>
    <row r="8" spans="2:6" x14ac:dyDescent="0.25">
      <c r="B8" s="63" t="s">
        <v>26</v>
      </c>
      <c r="C8" s="64" t="e">
        <f>#REF!</f>
        <v>#REF!</v>
      </c>
      <c r="D8" s="64" t="e">
        <f>#REF!</f>
        <v>#REF!</v>
      </c>
      <c r="E8" s="64" t="e">
        <f>#REF!</f>
        <v>#REF!</v>
      </c>
      <c r="F8" s="64" t="e">
        <f>#REF!</f>
        <v>#REF!</v>
      </c>
    </row>
    <row r="17" spans="3:6" x14ac:dyDescent="0.25">
      <c r="C17" s="66"/>
      <c r="D17" s="65"/>
      <c r="E17" s="65"/>
      <c r="F17" s="65"/>
    </row>
  </sheetData>
  <mergeCells count="2">
    <mergeCell ref="C5:F5"/>
    <mergeCell ref="B2:F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uneligibility">
                <anchor moveWithCells="1" sizeWithCells="1">
                  <from>
                    <xdr:col>0</xdr:col>
                    <xdr:colOff>600075</xdr:colOff>
                    <xdr:row>0</xdr:row>
                    <xdr:rowOff>180975</xdr:rowOff>
                  </from>
                  <to>
                    <xdr:col>6</xdr:col>
                    <xdr:colOff>0</xdr:colOff>
                    <xdr:row>3</xdr:row>
                    <xdr:rowOff>0</xdr:rowOff>
                  </to>
                </anchor>
              </controlPr>
            </control>
          </mc:Choice>
        </mc:AlternateContent>
        <mc:AlternateContent xmlns:mc="http://schemas.openxmlformats.org/markup-compatibility/2006">
          <mc:Choice Requires="x14">
            <control shapeId="8195" r:id="rId5" name="Button 3">
              <controlPr defaultSize="0" print="0" autoFill="0" autoPict="0" macro="[0]!CreateCombinedWarning1">
                <anchor moveWithCells="1" sizeWithCells="1">
                  <from>
                    <xdr:col>6</xdr:col>
                    <xdr:colOff>600075</xdr:colOff>
                    <xdr:row>0</xdr:row>
                    <xdr:rowOff>180975</xdr:rowOff>
                  </from>
                  <to>
                    <xdr:col>9</xdr:col>
                    <xdr:colOff>0</xdr:colOff>
                    <xdr:row>2</xdr:row>
                    <xdr:rowOff>180975</xdr:rowOff>
                  </to>
                </anchor>
              </controlPr>
            </control>
          </mc:Choice>
        </mc:AlternateContent>
        <mc:AlternateContent xmlns:mc="http://schemas.openxmlformats.org/markup-compatibility/2006">
          <mc:Choice Requires="x14">
            <control shapeId="8197" r:id="rId6" name="Button 5">
              <controlPr defaultSize="0" print="0" autoFill="0" autoPict="0" macro="[0]!ResetValuesToBillion">
                <anchor moveWithCells="1" sizeWithCells="1">
                  <from>
                    <xdr:col>9</xdr:col>
                    <xdr:colOff>571500</xdr:colOff>
                    <xdr:row>1</xdr:row>
                    <xdr:rowOff>0</xdr:rowOff>
                  </from>
                  <to>
                    <xdr:col>12</xdr:col>
                    <xdr:colOff>9525</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201"/>
  <sheetViews>
    <sheetView tabSelected="1" zoomScaleNormal="100" workbookViewId="0">
      <selection activeCell="F10" sqref="F10"/>
    </sheetView>
  </sheetViews>
  <sheetFormatPr defaultRowHeight="15" x14ac:dyDescent="0.25"/>
  <cols>
    <col min="1" max="1" width="24.28515625" style="75" bestFit="1" customWidth="1"/>
    <col min="2" max="2" width="6.140625" style="75" bestFit="1" customWidth="1"/>
    <col min="3" max="3" width="16" style="75" bestFit="1" customWidth="1"/>
    <col min="4" max="8" width="17.7109375" style="75" bestFit="1" customWidth="1"/>
    <col min="9" max="9" width="1.85546875" style="75" customWidth="1"/>
    <col min="10" max="10" width="17.7109375" style="75" bestFit="1" customWidth="1"/>
    <col min="11" max="11" width="14.140625" style="75" bestFit="1" customWidth="1"/>
    <col min="12" max="12" width="11.7109375" style="75" customWidth="1"/>
    <col min="13" max="13" width="11.28515625" style="75" bestFit="1" customWidth="1"/>
    <col min="14" max="14" width="1.7109375" style="75" customWidth="1"/>
    <col min="15" max="15" width="9.42578125" style="75" bestFit="1" customWidth="1"/>
    <col min="16" max="16" width="11.42578125" style="75" customWidth="1"/>
    <col min="17" max="17" width="2" style="101" customWidth="1"/>
    <col min="18" max="18" width="9.42578125" style="75" bestFit="1" customWidth="1"/>
    <col min="19" max="19" width="11.140625" style="75" bestFit="1" customWidth="1"/>
    <col min="20" max="20" width="1.7109375" style="101" customWidth="1"/>
    <col min="21" max="21" width="9.42578125" style="75" bestFit="1" customWidth="1"/>
    <col min="22" max="22" width="11.140625" style="75" bestFit="1" customWidth="1"/>
    <col min="23" max="23" width="2.5703125" style="75" customWidth="1"/>
    <col min="24" max="24" width="9.140625" style="75"/>
    <col min="25" max="25" width="11.140625" style="75" bestFit="1" customWidth="1"/>
    <col min="26" max="26" width="2.140625" style="75" customWidth="1"/>
    <col min="27" max="27" width="9.140625" style="75"/>
    <col min="28" max="28" width="11.140625" style="75" bestFit="1" customWidth="1"/>
    <col min="29" max="16384" width="9.140625" style="75"/>
  </cols>
  <sheetData>
    <row r="1" spans="1:30" ht="15.75" thickBot="1" x14ac:dyDescent="0.3">
      <c r="A1" s="308" t="s">
        <v>142</v>
      </c>
      <c r="B1" s="308"/>
      <c r="C1" s="308"/>
      <c r="D1" s="308"/>
      <c r="E1" s="308"/>
      <c r="F1" s="308"/>
      <c r="G1" s="308"/>
      <c r="H1" s="308"/>
      <c r="M1" s="121" t="s">
        <v>139</v>
      </c>
    </row>
    <row r="2" spans="1:30" ht="15.75" thickBot="1" x14ac:dyDescent="0.3">
      <c r="C2" s="104"/>
      <c r="J2" s="274"/>
      <c r="K2" s="272" t="s">
        <v>136</v>
      </c>
      <c r="L2" s="270" t="s">
        <v>137</v>
      </c>
      <c r="M2" s="181" t="s">
        <v>25</v>
      </c>
      <c r="O2" s="287" t="s">
        <v>42</v>
      </c>
      <c r="P2" s="288"/>
      <c r="Q2" s="119"/>
      <c r="R2" s="307" t="s">
        <v>58</v>
      </c>
      <c r="S2" s="307"/>
      <c r="T2" s="119"/>
      <c r="U2" s="287" t="s">
        <v>59</v>
      </c>
      <c r="V2" s="288"/>
      <c r="W2" s="205"/>
      <c r="X2" s="287" t="str">
        <f>CONCATENATE("For ",C7," Months")</f>
        <v>For 108 Months</v>
      </c>
      <c r="Y2" s="288"/>
      <c r="Z2" s="205"/>
      <c r="AA2" s="287" t="str">
        <f>CONCATENATE("For ",J16," Months")</f>
        <v>For 112 Months</v>
      </c>
      <c r="AB2" s="288"/>
    </row>
    <row r="3" spans="1:30" ht="15.75" thickBot="1" x14ac:dyDescent="0.3">
      <c r="A3" s="311" t="s">
        <v>23</v>
      </c>
      <c r="B3" s="312"/>
      <c r="C3" s="134">
        <v>0.15</v>
      </c>
      <c r="D3" s="166" t="s">
        <v>33</v>
      </c>
      <c r="E3" s="176">
        <v>180</v>
      </c>
      <c r="F3" s="176">
        <v>144</v>
      </c>
      <c r="G3" s="176">
        <v>120</v>
      </c>
      <c r="H3" s="177">
        <f>C7</f>
        <v>108</v>
      </c>
      <c r="J3" s="275" t="s">
        <v>135</v>
      </c>
      <c r="K3" s="273">
        <v>300000000</v>
      </c>
      <c r="L3" s="271">
        <v>350000000</v>
      </c>
      <c r="M3" s="269"/>
      <c r="O3" s="132" t="s">
        <v>63</v>
      </c>
      <c r="P3" s="105" t="s">
        <v>64</v>
      </c>
      <c r="Q3" s="120"/>
      <c r="R3" s="67" t="s">
        <v>63</v>
      </c>
      <c r="S3" s="105" t="s">
        <v>66</v>
      </c>
      <c r="T3" s="120"/>
      <c r="U3" s="115" t="s">
        <v>63</v>
      </c>
      <c r="V3" s="68" t="s">
        <v>65</v>
      </c>
      <c r="W3" s="205"/>
      <c r="X3" s="124" t="s">
        <v>63</v>
      </c>
      <c r="Y3" s="125" t="str">
        <f>CONCATENATE(C7," Months")</f>
        <v>108 Months</v>
      </c>
      <c r="Z3" s="205"/>
      <c r="AA3" s="124" t="s">
        <v>63</v>
      </c>
      <c r="AB3" s="125" t="str">
        <f>CONCATENATE(J16," Months")</f>
        <v>112 Months</v>
      </c>
    </row>
    <row r="4" spans="1:30" ht="30" customHeight="1" thickBot="1" x14ac:dyDescent="0.3">
      <c r="A4" s="295" t="s">
        <v>21</v>
      </c>
      <c r="B4" s="296"/>
      <c r="C4" s="135">
        <v>45504</v>
      </c>
      <c r="D4" s="178" t="s">
        <v>37</v>
      </c>
      <c r="E4" s="179">
        <f>EDATE($C$4,E$3)</f>
        <v>50982</v>
      </c>
      <c r="F4" s="179">
        <f>EDATE($C$4,F$3)</f>
        <v>49887</v>
      </c>
      <c r="G4" s="179">
        <f>EDATE($C$4,G$3)</f>
        <v>49156</v>
      </c>
      <c r="H4" s="180">
        <f>EDATE($C$4,H$3)</f>
        <v>48791</v>
      </c>
      <c r="J4" s="275" t="s">
        <v>24</v>
      </c>
      <c r="K4" s="309">
        <f>(L3-K3)/(MIN(K3,L3))</f>
        <v>0.16666666666666666</v>
      </c>
      <c r="L4" s="310"/>
      <c r="M4" s="301"/>
      <c r="O4" s="126" t="s">
        <v>43</v>
      </c>
      <c r="P4" s="106">
        <f>MIN('180M'!K4:K16)</f>
        <v>4.470505114993145</v>
      </c>
      <c r="Q4" s="120"/>
      <c r="R4" s="71" t="s">
        <v>43</v>
      </c>
      <c r="S4" s="106">
        <f>MIN('144M'!K$4:K$16)</f>
        <v>3.2337850299999999</v>
      </c>
      <c r="T4" s="120"/>
      <c r="U4" s="116" t="s">
        <v>43</v>
      </c>
      <c r="V4" s="72">
        <f>MIN('120M'!K$4:K$16)</f>
        <v>3.2337850299999999</v>
      </c>
      <c r="W4" s="205"/>
      <c r="X4" s="126" t="s">
        <v>43</v>
      </c>
      <c r="Y4" s="106">
        <f>MIN('Fixed Tenure'!K$4:K$16)</f>
        <v>3.1290884574248201</v>
      </c>
      <c r="Z4" s="205"/>
      <c r="AA4" s="126" t="s">
        <v>43</v>
      </c>
      <c r="AB4" s="106">
        <f>MIN('Unique Tenure'!K$4:K$16)</f>
        <v>3.2337850299999999</v>
      </c>
    </row>
    <row r="5" spans="1:30" ht="15.75" thickBot="1" x14ac:dyDescent="0.3">
      <c r="A5" s="295" t="s">
        <v>22</v>
      </c>
      <c r="B5" s="296"/>
      <c r="C5" s="136">
        <v>15</v>
      </c>
      <c r="D5" s="166" t="s">
        <v>141</v>
      </c>
      <c r="E5" s="167">
        <f>'180M'!J3</f>
        <v>1341151534.4979434</v>
      </c>
      <c r="F5" s="167">
        <f>'144M'!J3</f>
        <v>1000000000</v>
      </c>
      <c r="G5" s="167">
        <f>'120M'!J3</f>
        <v>1000000000</v>
      </c>
      <c r="H5" s="168">
        <f>'Fixed Tenure'!J3</f>
        <v>972940882.22744608</v>
      </c>
      <c r="I5" s="102"/>
      <c r="J5" s="276" t="s">
        <v>138</v>
      </c>
      <c r="K5" s="299">
        <v>300000000</v>
      </c>
      <c r="L5" s="300"/>
      <c r="M5" s="302"/>
      <c r="O5" s="127" t="s">
        <v>44</v>
      </c>
      <c r="P5" s="107">
        <f>MIN('180M'!K$17:K$28)</f>
        <v>4.562365008326478</v>
      </c>
      <c r="Q5" s="120"/>
      <c r="R5" s="69" t="s">
        <v>44</v>
      </c>
      <c r="S5" s="107">
        <f>MIN('144M'!K$17:K$28)</f>
        <v>3.1182339699999999</v>
      </c>
      <c r="T5" s="120"/>
      <c r="U5" s="76" t="s">
        <v>44</v>
      </c>
      <c r="V5" s="70">
        <f>MIN('120M'!K$17:K$28)</f>
        <v>3.1182339699999999</v>
      </c>
      <c r="W5" s="205"/>
      <c r="X5" s="127" t="s">
        <v>44</v>
      </c>
      <c r="Y5" s="107">
        <f>MIN('Fixed Tenure'!K$17:K$28)</f>
        <v>2.9967070374248204</v>
      </c>
      <c r="Z5" s="205"/>
      <c r="AA5" s="127" t="s">
        <v>44</v>
      </c>
      <c r="AB5" s="107">
        <f>MIN('Unique Tenure'!K$17:K$28)</f>
        <v>3.1182339699999999</v>
      </c>
    </row>
    <row r="6" spans="1:30" ht="15.75" thickBot="1" x14ac:dyDescent="0.3">
      <c r="A6" s="295" t="s">
        <v>28</v>
      </c>
      <c r="B6" s="296"/>
      <c r="C6" s="136">
        <v>0</v>
      </c>
      <c r="D6" s="111"/>
      <c r="E6" s="172"/>
      <c r="F6" s="172"/>
      <c r="G6" s="172"/>
      <c r="H6" s="173"/>
      <c r="I6" s="103"/>
      <c r="O6" s="127" t="s">
        <v>45</v>
      </c>
      <c r="P6" s="107">
        <f>MIN('180M'!K$29:K$40)</f>
        <v>4.6602361449931449</v>
      </c>
      <c r="Q6" s="120"/>
      <c r="R6" s="69" t="s">
        <v>45</v>
      </c>
      <c r="S6" s="107">
        <f>MIN('144M'!K$29:K$40)</f>
        <v>2.9841076533333335</v>
      </c>
      <c r="T6" s="120"/>
      <c r="U6" s="76" t="s">
        <v>45</v>
      </c>
      <c r="V6" s="70">
        <f>MIN('120M'!K$29:K$40)</f>
        <v>2.9841076533333335</v>
      </c>
      <c r="W6" s="205"/>
      <c r="X6" s="127" t="s">
        <v>45</v>
      </c>
      <c r="Y6" s="107">
        <f>MIN('Fixed Tenure'!K$29:K$40)</f>
        <v>2.8430448174248202</v>
      </c>
      <c r="Z6" s="205"/>
      <c r="AA6" s="127" t="s">
        <v>45</v>
      </c>
      <c r="AB6" s="107">
        <f>MIN('Unique Tenure'!K$29:K$40)</f>
        <v>2.9841076533333335</v>
      </c>
    </row>
    <row r="7" spans="1:30" ht="32.25" customHeight="1" thickBot="1" x14ac:dyDescent="0.3">
      <c r="A7" s="297" t="s">
        <v>134</v>
      </c>
      <c r="B7" s="298"/>
      <c r="C7" s="137">
        <v>108</v>
      </c>
      <c r="D7" s="166" t="s">
        <v>33</v>
      </c>
      <c r="E7" s="176" t="str">
        <f>CONCATENATE(Input!E3," Months")</f>
        <v>180 Months</v>
      </c>
      <c r="F7" s="176" t="str">
        <f>CONCATENATE(Input!F3," Months")</f>
        <v>144 Months</v>
      </c>
      <c r="G7" s="176" t="str">
        <f>CONCATENATE(Input!G3," Months")</f>
        <v>120 Months</v>
      </c>
      <c r="H7" s="177" t="str">
        <f>CONCATENATE(Input!H3," Months")</f>
        <v>108 Months</v>
      </c>
      <c r="O7" s="127" t="s">
        <v>46</v>
      </c>
      <c r="P7" s="107">
        <f>MIN('180M'!K$41:K$52)</f>
        <v>4.7664289249931446</v>
      </c>
      <c r="Q7" s="120"/>
      <c r="R7" s="69" t="s">
        <v>46</v>
      </c>
      <c r="S7" s="107">
        <f>MIN('144M'!K$41:K$52)</f>
        <v>2.7343643200000001</v>
      </c>
      <c r="T7" s="120"/>
      <c r="U7" s="76" t="s">
        <v>46</v>
      </c>
      <c r="V7" s="70">
        <f>MIN('120M'!K$41:K$52)</f>
        <v>2.7343643200000001</v>
      </c>
      <c r="W7" s="205"/>
      <c r="X7" s="127" t="s">
        <v>46</v>
      </c>
      <c r="Y7" s="107">
        <f>MIN('Fixed Tenure'!K$41:K$52)</f>
        <v>2.5705585907581536</v>
      </c>
      <c r="Z7" s="205"/>
      <c r="AA7" s="127" t="s">
        <v>46</v>
      </c>
      <c r="AB7" s="107">
        <f>MIN('Unique Tenure'!K$41:K$52)</f>
        <v>2.7343643200000001</v>
      </c>
    </row>
    <row r="8" spans="1:30" x14ac:dyDescent="0.25">
      <c r="B8" s="303" t="str">
        <f>IF(B15="no",IF(COUNTIF('180M'!H4:H184, "&lt;0")+COUNTIF('144M'!H4:H184, "&lt;0")+COUNTIF('120M'!H4:H184, "&lt;0")+COUNTIF('Fixed Tenure'!H4:H184, "&lt;0")&gt;0,"Principal is Negative please reduce the loan amount in respective sheet","No errors in repayment"),IF(COUNTIF('Unique Tenure'!H4:H184, "&lt;0")+COUNTIF('Unique Tenure'!S4:S184, "&lt;0")+COUNTIF('Unique Tenure'!AE4:AE184, "&lt;0")+COUNTIF('Unique Tenure'!AQ4:AQ184, "&lt;0")+COUNTIF('Unique Tenure'!BC4:BC184, "&lt;0")+COUNTIF('Unique Tenure'!BO4:BO184, "&lt;0")&gt;0,"Principal is Negative Please reduce the loan amount in Unique Tenure Sheet","No errors in repayment"))</f>
        <v>Principal is Negative please reduce the loan amount in respective sheet</v>
      </c>
      <c r="C8" s="304"/>
      <c r="D8" s="116" t="str">
        <f>Input!A39</f>
        <v>Lessee1- ABC</v>
      </c>
      <c r="E8" s="174">
        <f>IF(C44&gt;0,'180M'!U3,"NA")</f>
        <v>1341151534.4979434</v>
      </c>
      <c r="F8" s="174">
        <f>IF(C44&gt;0,'144M'!U3,"NA")</f>
        <v>1000000000</v>
      </c>
      <c r="G8" s="174">
        <f>IF(C44&gt;0,'120M'!U3,"NA")</f>
        <v>1000000000</v>
      </c>
      <c r="H8" s="175">
        <f>IF(C44&gt;0,'Fixed Tenure'!U3,"NA")</f>
        <v>972940882.22744608</v>
      </c>
      <c r="O8" s="127" t="s">
        <v>47</v>
      </c>
      <c r="P8" s="107">
        <f>MIN('180M'!K$53:K$64)</f>
        <v>4.803890954993145</v>
      </c>
      <c r="Q8" s="120"/>
      <c r="R8" s="69" t="s">
        <v>47</v>
      </c>
      <c r="S8" s="107">
        <f>MIN('144M'!K$53:K$64)</f>
        <v>2.4432204766666668</v>
      </c>
      <c r="T8" s="120"/>
      <c r="U8" s="76" t="s">
        <v>47</v>
      </c>
      <c r="V8" s="70">
        <f>MIN('120M'!K$53:K$64)</f>
        <v>2.4432204766666668</v>
      </c>
      <c r="W8" s="205"/>
      <c r="X8" s="127" t="s">
        <v>47</v>
      </c>
      <c r="Y8" s="107">
        <f>MIN('Fixed Tenure'!K$53:K$64)</f>
        <v>2.2530823707581535</v>
      </c>
      <c r="Z8" s="205"/>
      <c r="AA8" s="127" t="s">
        <v>47</v>
      </c>
      <c r="AB8" s="107">
        <f>MIN('Unique Tenure'!K$53:K$64)</f>
        <v>2.4432204766666668</v>
      </c>
    </row>
    <row r="9" spans="1:30" x14ac:dyDescent="0.25">
      <c r="B9" s="305"/>
      <c r="C9" s="306"/>
      <c r="D9" s="76" t="str">
        <f>Input!A54</f>
        <v>Lessee2- DEF</v>
      </c>
      <c r="E9" s="226" t="str">
        <f>IF(C59&gt;0,'180M'!AG3,"NA")</f>
        <v>NA</v>
      </c>
      <c r="F9" s="226" t="str">
        <f>IF(C59&gt;0,'144M'!AG3,"NA")</f>
        <v>NA</v>
      </c>
      <c r="G9" s="226" t="str">
        <f>IF(C59&gt;0,'120M'!AG3,"NA")</f>
        <v>NA</v>
      </c>
      <c r="H9" s="227" t="str">
        <f>IF(C59&gt;0,'Fixed Tenure'!AG3,"NA")</f>
        <v>NA</v>
      </c>
      <c r="O9" s="127" t="s">
        <v>48</v>
      </c>
      <c r="P9" s="107">
        <f>MIN('180M'!K$65:K$76)</f>
        <v>4.8452564016598112</v>
      </c>
      <c r="Q9" s="120"/>
      <c r="R9" s="69" t="s">
        <v>48</v>
      </c>
      <c r="S9" s="107">
        <f>MIN('144M'!K$65:K$76)</f>
        <v>2.1052741833333335</v>
      </c>
      <c r="T9" s="120"/>
      <c r="U9" s="76" t="s">
        <v>48</v>
      </c>
      <c r="V9" s="70">
        <f>MIN('120M'!K$65:K$76)</f>
        <v>2.1052741833333335</v>
      </c>
      <c r="W9" s="205"/>
      <c r="X9" s="127" t="s">
        <v>48</v>
      </c>
      <c r="Y9" s="107">
        <f>MIN('Fixed Tenure'!K$65:K$76)</f>
        <v>1.8845706907581536</v>
      </c>
      <c r="Z9" s="205"/>
      <c r="AA9" s="127" t="s">
        <v>48</v>
      </c>
      <c r="AB9" s="107">
        <f>MIN('Unique Tenure'!K$65:K$76)</f>
        <v>2.1052741833333335</v>
      </c>
      <c r="AD9" s="201" t="s">
        <v>157</v>
      </c>
    </row>
    <row r="10" spans="1:30" x14ac:dyDescent="0.25">
      <c r="B10" s="305"/>
      <c r="C10" s="306"/>
      <c r="D10" s="76" t="str">
        <f>Input!A69</f>
        <v>Lessee3- GHI</v>
      </c>
      <c r="E10" s="226" t="str">
        <f>IF(C74&gt;0,'180M'!AS3,"NA")</f>
        <v>NA</v>
      </c>
      <c r="F10" s="226" t="str">
        <f>IF(C74&gt;0,'144M'!AS3,"NA")</f>
        <v>NA</v>
      </c>
      <c r="G10" s="226" t="str">
        <f>IF(C74&gt;0,'120M'!AS3,"NA")</f>
        <v>NA</v>
      </c>
      <c r="H10" s="227" t="str">
        <f>IF(C74&gt;0,'Fixed Tenure'!AS3,"NA")</f>
        <v>NA</v>
      </c>
      <c r="O10" s="127" t="s">
        <v>49</v>
      </c>
      <c r="P10" s="107">
        <f>MIN('180M'!K$77:K$88)</f>
        <v>4.8332506249931448</v>
      </c>
      <c r="Q10" s="120"/>
      <c r="R10" s="69" t="s">
        <v>49</v>
      </c>
      <c r="S10" s="107">
        <f>MIN('144M'!K$77:K$88)</f>
        <v>1.6033963466666667</v>
      </c>
      <c r="T10" s="120"/>
      <c r="U10" s="76" t="s">
        <v>49</v>
      </c>
      <c r="V10" s="70">
        <f>MIN('120M'!K$77:K$88)</f>
        <v>1.6033963466666667</v>
      </c>
      <c r="W10" s="205"/>
      <c r="X10" s="127" t="s">
        <v>49</v>
      </c>
      <c r="Y10" s="107">
        <f>MIN('Fixed Tenure'!K$77:K$88)</f>
        <v>1.3472139574248203</v>
      </c>
      <c r="Z10" s="205"/>
      <c r="AA10" s="127" t="s">
        <v>49</v>
      </c>
      <c r="AB10" s="107">
        <f>MIN('Unique Tenure'!K$77:K$88)</f>
        <v>1.6033963466666667</v>
      </c>
      <c r="AD10" s="201" t="s">
        <v>158</v>
      </c>
    </row>
    <row r="11" spans="1:30" x14ac:dyDescent="0.25">
      <c r="B11" s="305"/>
      <c r="C11" s="306"/>
      <c r="D11" s="76" t="str">
        <f>Input!A84</f>
        <v>Lessee4- JKL</v>
      </c>
      <c r="E11" s="226" t="str">
        <f>IF(C89&gt;0,'180M'!BE3,"NA")</f>
        <v>NA</v>
      </c>
      <c r="F11" s="226" t="str">
        <f>IF(C89&gt;0,'144M'!BE3,"NA")</f>
        <v>NA</v>
      </c>
      <c r="G11" s="226" t="str">
        <f>IF(C89&gt;0,'120M'!BE3,"NA")</f>
        <v>NA</v>
      </c>
      <c r="H11" s="227" t="str">
        <f>IF(C89&gt;0,'Fixed Tenure'!BE3,"NA")</f>
        <v>NA</v>
      </c>
      <c r="O11" s="127" t="s">
        <v>50</v>
      </c>
      <c r="P11" s="107">
        <f>MIN('180M'!K$89:K$100)</f>
        <v>4.7720073149931448</v>
      </c>
      <c r="Q11" s="120"/>
      <c r="R11" s="69" t="s">
        <v>50</v>
      </c>
      <c r="S11" s="107">
        <f>MIN('144M'!K$89:K$100)</f>
        <v>1.02141894</v>
      </c>
      <c r="T11" s="120"/>
      <c r="U11" s="76" t="s">
        <v>50</v>
      </c>
      <c r="V11" s="70">
        <f>MIN('120M'!K$89:K$100)</f>
        <v>1.02141894</v>
      </c>
      <c r="W11" s="205"/>
      <c r="X11" s="127" t="s">
        <v>50</v>
      </c>
      <c r="Y11" s="107">
        <f>MIN('Fixed Tenure'!K$89:K$100)</f>
        <v>0.72393348409148695</v>
      </c>
      <c r="Z11" s="205"/>
      <c r="AA11" s="127" t="s">
        <v>50</v>
      </c>
      <c r="AB11" s="107">
        <f>MIN('Unique Tenure'!K$89:K$100)</f>
        <v>1.02141894</v>
      </c>
    </row>
    <row r="12" spans="1:30" ht="15.75" thickBot="1" x14ac:dyDescent="0.3">
      <c r="D12" s="133" t="str">
        <f>Input!A99</f>
        <v>Lessee5- MNO</v>
      </c>
      <c r="E12" s="259" t="str">
        <f>IF(C104&gt;0,'180M'!BQ3,"NA")</f>
        <v>NA</v>
      </c>
      <c r="F12" s="259" t="str">
        <f>IF(C104&gt;0,'144M'!BQ3,"NA")</f>
        <v>NA</v>
      </c>
      <c r="G12" s="259" t="str">
        <f>IF(C104&gt;0,'120M'!BQ3,"NA")</f>
        <v>NA</v>
      </c>
      <c r="H12" s="260" t="str">
        <f>IF(C104&gt;0,'Fixed Tenure'!BQ3,"NA")</f>
        <v>NA</v>
      </c>
      <c r="O12" s="127" t="s">
        <v>51</v>
      </c>
      <c r="P12" s="107">
        <f>MIN('180M'!K$101:K$112)</f>
        <v>4.698816608326478</v>
      </c>
      <c r="Q12" s="120"/>
      <c r="R12" s="69" t="s">
        <v>51</v>
      </c>
      <c r="S12" s="107">
        <f>MIN('144M'!K$101:K$112)</f>
        <v>0.34530739999999999</v>
      </c>
      <c r="T12" s="120"/>
      <c r="U12" s="76" t="s">
        <v>51</v>
      </c>
      <c r="V12" s="70">
        <f>MIN('120M'!K$101:K$112)</f>
        <v>0.34530739999999999</v>
      </c>
      <c r="W12" s="205"/>
      <c r="X12" s="127" t="s">
        <v>51</v>
      </c>
      <c r="Y12" s="107">
        <f>MIN('Fixed Tenure'!K$101:K$112)</f>
        <v>0</v>
      </c>
      <c r="Z12" s="205"/>
      <c r="AA12" s="127" t="s">
        <v>51</v>
      </c>
      <c r="AB12" s="107">
        <f>MIN('Unique Tenure'!K$101:K$112)</f>
        <v>0.34530739999999999</v>
      </c>
    </row>
    <row r="13" spans="1:30" ht="15.75" thickBot="1" x14ac:dyDescent="0.3">
      <c r="D13" s="166" t="s">
        <v>140</v>
      </c>
      <c r="E13" s="167">
        <f>SUM(E8:E12)</f>
        <v>1341151534.4979434</v>
      </c>
      <c r="F13" s="167">
        <f>SUM(F8:F12)</f>
        <v>1000000000</v>
      </c>
      <c r="G13" s="167">
        <f>SUM(G8:G12)</f>
        <v>1000000000</v>
      </c>
      <c r="H13" s="168">
        <f>SUM(H8:H12)</f>
        <v>972940882.22744608</v>
      </c>
      <c r="O13" s="127" t="s">
        <v>52</v>
      </c>
      <c r="P13" s="107">
        <f>MIN('180M'!K$113:K$124)</f>
        <v>4.1761645980473121</v>
      </c>
      <c r="Q13" s="120"/>
      <c r="R13" s="69" t="s">
        <v>52</v>
      </c>
      <c r="S13" s="107">
        <f>MIN('144M'!K$113:K$124)</f>
        <v>0</v>
      </c>
      <c r="T13" s="120"/>
      <c r="U13" s="76" t="s">
        <v>52</v>
      </c>
      <c r="V13" s="70">
        <f>MIN('120M'!K$113:K$124)</f>
        <v>0</v>
      </c>
      <c r="W13" s="205"/>
      <c r="X13" s="127" t="s">
        <v>52</v>
      </c>
      <c r="Y13" s="107">
        <f>MIN('Fixed Tenure'!K$113:K$124)</f>
        <v>0</v>
      </c>
      <c r="Z13" s="205"/>
      <c r="AA13" s="127" t="s">
        <v>52</v>
      </c>
      <c r="AB13" s="107">
        <f>MIN('Unique Tenure'!K$113:K$124)</f>
        <v>0</v>
      </c>
    </row>
    <row r="14" spans="1:30" ht="13.5" customHeight="1" thickBot="1" x14ac:dyDescent="0.3">
      <c r="D14" s="195"/>
      <c r="E14" s="196"/>
      <c r="F14" s="196"/>
      <c r="G14" s="196"/>
      <c r="H14" s="207"/>
      <c r="I14" s="197"/>
      <c r="O14" s="127" t="s">
        <v>53</v>
      </c>
      <c r="P14" s="107">
        <f>MIN('180M'!K$125:K$136)</f>
        <v>3.5694943644348127</v>
      </c>
      <c r="Q14" s="120"/>
      <c r="R14" s="69" t="s">
        <v>53</v>
      </c>
      <c r="S14" s="107">
        <f>MIN('144M'!K$125:K$136)</f>
        <v>0</v>
      </c>
      <c r="T14" s="120"/>
      <c r="U14" s="109"/>
      <c r="V14" s="110"/>
      <c r="W14" s="205"/>
      <c r="X14" s="127" t="s">
        <v>53</v>
      </c>
      <c r="Y14" s="107">
        <f>MIN('Fixed Tenure'!K$125:K$136)</f>
        <v>0</v>
      </c>
      <c r="Z14" s="205"/>
      <c r="AA14" s="127" t="s">
        <v>53</v>
      </c>
      <c r="AB14" s="107">
        <f>MIN('Unique Tenure'!K$125:K$136)</f>
        <v>0</v>
      </c>
    </row>
    <row r="15" spans="1:30" ht="15.75" customHeight="1" x14ac:dyDescent="0.25">
      <c r="A15" s="289" t="s">
        <v>156</v>
      </c>
      <c r="B15" s="292" t="s">
        <v>158</v>
      </c>
      <c r="C15" s="233"/>
      <c r="D15" s="220" t="str">
        <f>D8</f>
        <v>Lessee1- ABC</v>
      </c>
      <c r="E15" s="210" t="str">
        <f>D9</f>
        <v>Lessee2- DEF</v>
      </c>
      <c r="F15" s="210" t="str">
        <f>D10</f>
        <v>Lessee3- GHI</v>
      </c>
      <c r="G15" s="210" t="str">
        <f>D11</f>
        <v>Lessee4- JKL</v>
      </c>
      <c r="H15" s="211" t="str">
        <f>D12</f>
        <v>Lessee5- MNO</v>
      </c>
      <c r="I15" s="171"/>
      <c r="J15" s="278" t="s">
        <v>161</v>
      </c>
      <c r="O15" s="127" t="s">
        <v>54</v>
      </c>
      <c r="P15" s="107">
        <f>MIN('180M'!K$137:K$148)</f>
        <v>2.8667137874889801</v>
      </c>
      <c r="Q15" s="120"/>
      <c r="R15" s="69" t="s">
        <v>54</v>
      </c>
      <c r="S15" s="107">
        <f>MIN('144M'!K$137:K$148)</f>
        <v>0</v>
      </c>
      <c r="T15" s="120"/>
      <c r="U15" s="111"/>
      <c r="V15" s="112"/>
      <c r="W15" s="205"/>
      <c r="X15" s="127" t="s">
        <v>54</v>
      </c>
      <c r="Y15" s="107">
        <f>MIN('Fixed Tenure'!K$137:K$148)</f>
        <v>0</v>
      </c>
      <c r="Z15" s="205"/>
      <c r="AA15" s="127" t="s">
        <v>54</v>
      </c>
      <c r="AB15" s="107">
        <f>MIN('Unique Tenure'!K$137:K$148)</f>
        <v>0</v>
      </c>
    </row>
    <row r="16" spans="1:30" x14ac:dyDescent="0.25">
      <c r="A16" s="290"/>
      <c r="B16" s="293"/>
      <c r="C16" s="234" t="s">
        <v>33</v>
      </c>
      <c r="D16" s="237">
        <v>180</v>
      </c>
      <c r="E16" s="238">
        <v>120</v>
      </c>
      <c r="F16" s="238">
        <v>70</v>
      </c>
      <c r="G16" s="238">
        <v>50</v>
      </c>
      <c r="H16" s="239">
        <v>20</v>
      </c>
      <c r="I16" s="171"/>
      <c r="J16" s="268">
        <f>INDEX('Unique Tenure'!A:A,MATCH(0,'Unique Tenure'!J:J,0))</f>
        <v>112</v>
      </c>
      <c r="O16" s="127" t="s">
        <v>55</v>
      </c>
      <c r="P16" s="107">
        <f>MIN('180M'!K$149:K$160)</f>
        <v>2.0495445305431477</v>
      </c>
      <c r="Q16" s="120"/>
      <c r="R16" s="109"/>
      <c r="S16" s="110"/>
      <c r="T16" s="120"/>
      <c r="U16" s="111"/>
      <c r="V16" s="117"/>
      <c r="W16" s="205"/>
      <c r="X16" s="127" t="s">
        <v>55</v>
      </c>
      <c r="Y16" s="107">
        <f>MIN('Fixed Tenure'!K$149:K$160)</f>
        <v>0</v>
      </c>
      <c r="Z16" s="205"/>
      <c r="AA16" s="127" t="s">
        <v>55</v>
      </c>
      <c r="AB16" s="107">
        <f>MIN('Unique Tenure'!K$149:K$160)</f>
        <v>0</v>
      </c>
    </row>
    <row r="17" spans="1:28" ht="15" customHeight="1" x14ac:dyDescent="0.25">
      <c r="A17" s="290"/>
      <c r="B17" s="293"/>
      <c r="C17" s="234" t="s">
        <v>26</v>
      </c>
      <c r="D17" s="261" t="str">
        <f>IF(B15="yes",'Unique Tenure'!U3,"NA")</f>
        <v>NA</v>
      </c>
      <c r="E17" s="262" t="str">
        <f>IF(B15="yes",IF(C59&gt;0,'Unique Tenure'!AG3,"NA"),"NA")</f>
        <v>NA</v>
      </c>
      <c r="F17" s="262" t="str">
        <f>IF(B15="yes",IF(C74&gt;0,'Unique Tenure'!AS3,"NA"),"NA")</f>
        <v>NA</v>
      </c>
      <c r="G17" s="262" t="str">
        <f>IF(B15="yes",IF(C89&gt;0,'Unique Tenure'!BE3,"NA"),"NA")</f>
        <v>NA</v>
      </c>
      <c r="H17" s="263" t="str">
        <f>IF(B15="yes",IF(C104&gt;0,'Unique Tenure'!BQ3,"NA"),"NA")</f>
        <v>NA</v>
      </c>
      <c r="I17" s="171"/>
      <c r="J17" s="277" t="str">
        <f>IF(B15="yes",'Unique Tenure'!J3,"NA")</f>
        <v>NA</v>
      </c>
      <c r="O17" s="127" t="s">
        <v>56</v>
      </c>
      <c r="P17" s="107">
        <f>MIN('180M'!K$161:K$172)</f>
        <v>1.101012323597315</v>
      </c>
      <c r="Q17" s="120"/>
      <c r="R17" s="111"/>
      <c r="S17" s="112"/>
      <c r="T17" s="120"/>
      <c r="U17" s="111"/>
      <c r="V17" s="117"/>
      <c r="W17" s="205"/>
      <c r="X17" s="127" t="s">
        <v>56</v>
      </c>
      <c r="Y17" s="107">
        <f>MIN('Fixed Tenure'!K$161:K$172)</f>
        <v>0</v>
      </c>
      <c r="Z17" s="205"/>
      <c r="AA17" s="127" t="s">
        <v>56</v>
      </c>
      <c r="AB17" s="107">
        <f>MIN('Unique Tenure'!K$161:K$172)</f>
        <v>0</v>
      </c>
    </row>
    <row r="18" spans="1:28" ht="15.75" thickBot="1" x14ac:dyDescent="0.3">
      <c r="A18" s="291"/>
      <c r="B18" s="294"/>
      <c r="C18" s="235" t="s">
        <v>155</v>
      </c>
      <c r="D18" s="221" t="str">
        <f>IF(B15="yes",'Unique Tenure'!U3/NPV(C3/12,INDEX('Unique Tenure'!$M$4:$M$184,1):INDEX('Unique Tenure'!$M$4:$M$184,MATCH(0,'Unique Tenure'!$U$4:$U$184,0))),"NA")</f>
        <v>NA</v>
      </c>
      <c r="E18" s="208" t="str">
        <f>IF(B15="yes",'Unique Tenure'!AG3/NPV(C3/12, INDEX('Unique Tenure'!Y4:Y184, 1):INDEX('Unique Tenure'!Y4:Y184, MATCH(0, 'Unique Tenure'!AG4:AG184, 0))),"NA")</f>
        <v>NA</v>
      </c>
      <c r="F18" s="208" t="str">
        <f>IF(B15="yes",'Unique Tenure'!AS3/NPV(C3/12,INDEX('Unique Tenure'!AK4:AK184,1):INDEX('Unique Tenure'!AK4:AK184,MATCH(0,'Unique Tenure'!AS4:AS184,0))),"NA")</f>
        <v>NA</v>
      </c>
      <c r="G18" s="208" t="str">
        <f>IF(B15="yes",'Unique Tenure'!BE3/NPV(C3/12, INDEX('Unique Tenure'!AW4:AW184, 1):INDEX('Unique Tenure'!AW4:AW184, MATCH(0, 'Unique Tenure'!BE4:BE184, 0))),"NA")</f>
        <v>NA</v>
      </c>
      <c r="H18" s="209" t="str">
        <f>IF(B15="yes",'Unique Tenure'!BQ3/NPV(C3/12, INDEX('Unique Tenure'!BI4:BI184, 1):INDEX('Unique Tenure'!BI4:BI184, MATCH(0, 'Unique Tenure'!BQ4:BQ184, 0))),"NA")</f>
        <v>NA</v>
      </c>
      <c r="I18" s="171"/>
      <c r="J18" s="236" t="str">
        <f>IF(B15="yes",'Unique Tenure'!J3/NPV($C$3/12, INDEX('Unique Tenure'!$C$4:$C$184, 1):INDEX('Unique Tenure'!$C$4:$C$184, MATCH(0, 'Unique Tenure'!$J$4:$J$184, 0))),"NA")</f>
        <v>NA</v>
      </c>
      <c r="K18" s="200"/>
      <c r="O18" s="128" t="s">
        <v>57</v>
      </c>
      <c r="P18" s="108">
        <f>MIN('180M'!K$173:K$184)</f>
        <v>0</v>
      </c>
      <c r="Q18" s="120"/>
      <c r="R18" s="113"/>
      <c r="S18" s="114"/>
      <c r="T18" s="120"/>
      <c r="U18" s="113"/>
      <c r="V18" s="118"/>
      <c r="W18" s="205"/>
      <c r="X18" s="128" t="s">
        <v>57</v>
      </c>
      <c r="Y18" s="108">
        <f>MIN('Fixed Tenure'!K$173:K$184)</f>
        <v>0</v>
      </c>
      <c r="Z18" s="205"/>
      <c r="AA18" s="128" t="s">
        <v>57</v>
      </c>
      <c r="AB18" s="108">
        <f>MIN('Unique Tenure'!K$173:K$184)</f>
        <v>0</v>
      </c>
    </row>
    <row r="19" spans="1:28" ht="15.75" thickBot="1" x14ac:dyDescent="0.3">
      <c r="D19" s="284"/>
      <c r="E19" s="284"/>
      <c r="F19" s="284"/>
      <c r="G19" s="284"/>
      <c r="H19" s="284"/>
      <c r="I19" s="284"/>
      <c r="J19" s="284"/>
      <c r="Q19" s="75"/>
      <c r="T19" s="75"/>
    </row>
    <row r="20" spans="1:28" ht="15.75" thickBot="1" x14ac:dyDescent="0.3">
      <c r="C20" s="241" t="s">
        <v>144</v>
      </c>
      <c r="D20" s="222" t="str">
        <f>D15</f>
        <v>Lessee1- ABC</v>
      </c>
      <c r="E20" s="218" t="str">
        <f>E15</f>
        <v>Lessee2- DEF</v>
      </c>
      <c r="F20" s="218" t="str">
        <f>F15</f>
        <v>Lessee3- GHI</v>
      </c>
      <c r="G20" s="218" t="str">
        <f>G15</f>
        <v>Lessee4- JKL</v>
      </c>
      <c r="H20" s="219" t="str">
        <f>H15</f>
        <v>Lessee5- MNO</v>
      </c>
      <c r="I20" s="171"/>
      <c r="J20" s="279" t="s">
        <v>144</v>
      </c>
      <c r="Q20" s="75"/>
      <c r="T20" s="75"/>
    </row>
    <row r="21" spans="1:28" x14ac:dyDescent="0.25">
      <c r="C21" s="242" t="str">
        <f>E7</f>
        <v>180 Months</v>
      </c>
      <c r="D21" s="223">
        <f>'180M'!U3/NPV($C$3/12,'180M'!M4:M184)</f>
        <v>0.90083748654893181</v>
      </c>
      <c r="E21" s="216" t="e">
        <f>'180M'!AG3/NPV(C3/12,'180M'!Y4:Y184)</f>
        <v>#DIV/0!</v>
      </c>
      <c r="F21" s="216" t="e">
        <f>'180M'!AS3/NPV(C3/12,'180M'!AK4:AK184)</f>
        <v>#DIV/0!</v>
      </c>
      <c r="G21" s="216" t="e">
        <f>'180M'!BE3/NPV(C3/12,'180M'!AW4:AW184)</f>
        <v>#DIV/0!</v>
      </c>
      <c r="H21" s="217" t="e">
        <f>'180M'!BQ3/NPV(C3/12,'180M'!BI4:BI184)</f>
        <v>#DIV/0!</v>
      </c>
      <c r="I21" s="171"/>
      <c r="J21" s="240">
        <f>'180M'!J3/NPV($C$3/12, INDEX('180M'!$C$4:$C$184, 1):INDEX('180M'!$C$4:$C$184, MATCH(0, '180M'!$J$4:$J$184, 0)))</f>
        <v>0.90083748654893181</v>
      </c>
      <c r="Q21" s="75"/>
      <c r="T21" s="75"/>
    </row>
    <row r="22" spans="1:28" x14ac:dyDescent="0.25">
      <c r="C22" s="234" t="str">
        <f>F7</f>
        <v>144 Months</v>
      </c>
      <c r="D22" s="224">
        <f>'144M'!U3/NPV($C$3/12,INDEX('144M'!$M$4:$M$184,1):INDEX('144M'!$M$4:$M$184,MATCH(0,'144M'!$U$4:$U$184,0)))</f>
        <v>0.89489102948426125</v>
      </c>
      <c r="E22" s="212" t="e">
        <f>'144M'!AG3/NPV($C$3/12, INDEX('144M'!$Y$4:$Y$184, 1):INDEX('144M'!$Y$4:$Y$184, MATCH(0, '144M'!$AG$4:$AG$184, 0)))</f>
        <v>#DIV/0!</v>
      </c>
      <c r="F22" s="212" t="e">
        <f>'144M'!AS3/NPV($C$3/12, INDEX('144M'!$AK$4:$AK$184, 1):INDEX('144M'!$AK$4:$AK$184, MATCH(0, '144M'!$AS$4:$AS$184, 0)))</f>
        <v>#DIV/0!</v>
      </c>
      <c r="G22" s="212" t="e">
        <f>'144M'!BE3/NPV($C$3/12, INDEX('144M'!$AW$4:$AW$184, 1):INDEX('144M'!$AW$4:$AW$184, MATCH(0, '144M'!$BE$4:$BE$184, 0)))</f>
        <v>#DIV/0!</v>
      </c>
      <c r="H22" s="213" t="e">
        <f>'144M'!BQ3/NPV($C$3/12, INDEX('144M'!$BI$4:$BI$184, 1):INDEX('144M'!$BI$4:$BI$184, MATCH(0, '144M'!$BQ$4:$BQ$184, 0)))</f>
        <v>#DIV/0!</v>
      </c>
      <c r="I22" s="171"/>
      <c r="J22" s="240">
        <f>'144M'!J3/NPV($C$3/12, INDEX('144M'!$C$4:$C$184, 1):INDEX('144M'!$C$4:$C$184, MATCH(0, '144M'!$J$4:$J$184, 0)))</f>
        <v>0.89489102948426125</v>
      </c>
      <c r="Q22" s="75"/>
      <c r="T22" s="75"/>
    </row>
    <row r="23" spans="1:28" x14ac:dyDescent="0.25">
      <c r="C23" s="234" t="str">
        <f>G7</f>
        <v>120 Months</v>
      </c>
      <c r="D23" s="224">
        <f>'120M'!U3/NPV($C$3/12,INDEX('120M'!$M$4:$M$184,1):INDEX('120M'!$M$4:$M$184,MATCH(0,'120M'!$U$4:$U$184,0)))</f>
        <v>0.89489102948426125</v>
      </c>
      <c r="E23" s="212" t="e">
        <f>'120M'!AG3/NPV($C$3/12, INDEX('120M'!$Y$4:$Y$184, 1):INDEX('120M'!$Y$4:$Y$184, MATCH(0, '120M'!$AG$4:$AG$184, 0)))</f>
        <v>#DIV/0!</v>
      </c>
      <c r="F23" s="212" t="e">
        <f>'120M'!AS3/NPV($C$3/12, INDEX('120M'!$AK$4:$AK$184, 1):INDEX('120M'!$AK$4:$AK$184, MATCH(0, '120M'!$AS$4:$AS$184, 0)))</f>
        <v>#DIV/0!</v>
      </c>
      <c r="G23" s="212" t="e">
        <f>'120M'!BE3/NPV($C$3/12, INDEX('120M'!$AW$4:$AW$184, 1):INDEX('120M'!$AW$4:$AW$184, MATCH(0, '120M'!$BE$4:$BE$184, 0)))</f>
        <v>#DIV/0!</v>
      </c>
      <c r="H23" s="213" t="e">
        <f>'120M'!BQ3/NPV($C$3/12, INDEX('120M'!$BI$4:$BI$184, 1):INDEX('120M'!$BI$4:$BI$184, MATCH(0, '120M'!$BQ$4:$BQ$184, 0)))</f>
        <v>#DIV/0!</v>
      </c>
      <c r="I23" s="171"/>
      <c r="J23" s="240">
        <f>'120M'!J3/NPV($C$3/12, INDEX('120M'!$C$4:$C$184, 1):INDEX('120M'!$C$4:$C$184, MATCH(0, '120M'!$J$4:$J$184, 0)))</f>
        <v>0.89489102948426125</v>
      </c>
    </row>
    <row r="24" spans="1:28" ht="15.75" thickBot="1" x14ac:dyDescent="0.3">
      <c r="C24" s="235" t="str">
        <f>H7</f>
        <v>108 Months</v>
      </c>
      <c r="D24" s="225">
        <f>'Fixed Tenure'!U3/NPV($C$3/12,INDEX('Fixed Tenure'!$M$4:$M$184,1):INDEX('Fixed Tenure'!$M$4:$M$184,MATCH(0,'Fixed Tenure'!$U$4:$U$184,0)))</f>
        <v>0.89731101093246457</v>
      </c>
      <c r="E24" s="214" t="e">
        <f>'Fixed Tenure'!AG3/NPV($C$3/12, INDEX('Fixed Tenure'!$Y$4:$Y$184, 1):INDEX('Fixed Tenure'!$Y$4:$Y$184, MATCH(0, 'Fixed Tenure'!$AG$4:$AG$184, 0)))</f>
        <v>#DIV/0!</v>
      </c>
      <c r="F24" s="214" t="e">
        <f>'Fixed Tenure'!AS3/NPV($C$3/12, INDEX('Fixed Tenure'!$AK$4:$AK$184, 1):INDEX('Fixed Tenure'!$AK$4:$AK$184, MATCH(0, 'Fixed Tenure'!$AS$4:$AS$184, 0)))</f>
        <v>#DIV/0!</v>
      </c>
      <c r="G24" s="214" t="e">
        <f>'Fixed Tenure'!BE3/NPV($C$3/12, INDEX('Fixed Tenure'!$AW$4:$AW$184, 1):INDEX('Fixed Tenure'!$AW$4:$AW$184, MATCH(0, 'Fixed Tenure'!$BE$4:$BE$184, 0)))</f>
        <v>#DIV/0!</v>
      </c>
      <c r="H24" s="215" t="e">
        <f>'Fixed Tenure'!BQ3/NPV($C$3/12, INDEX('Fixed Tenure'!$BI$4:$BI$184, 1):INDEX('Fixed Tenure'!$BI$4:$BI$184, MATCH(0, 'Fixed Tenure'!$BQ$4:$BQ$184, 0)))</f>
        <v>#DIV/0!</v>
      </c>
      <c r="I24" s="171"/>
      <c r="J24" s="236">
        <f>'Fixed Tenure'!J3/NPV($C$3/12, INDEX('Fixed Tenure'!$C$4:$C$184, 1):INDEX('Fixed Tenure'!$C$4:$C$184, MATCH(0, 'Fixed Tenure'!$J$4:$J$184, 0)))</f>
        <v>0.89731101093246457</v>
      </c>
    </row>
    <row r="25" spans="1:28" x14ac:dyDescent="0.25">
      <c r="D25" s="51"/>
      <c r="E25" s="51"/>
      <c r="F25" s="51"/>
      <c r="G25" s="51"/>
      <c r="H25" s="51"/>
      <c r="I25" s="51"/>
      <c r="J25" s="51"/>
    </row>
    <row r="26" spans="1:28" ht="15.75" thickBot="1" x14ac:dyDescent="0.3">
      <c r="A26" s="285" t="s">
        <v>67</v>
      </c>
      <c r="B26" s="286"/>
      <c r="C26" s="286"/>
      <c r="D26" s="286"/>
      <c r="E26" s="286"/>
      <c r="F26" s="286"/>
      <c r="G26" s="286"/>
      <c r="H26" s="286"/>
      <c r="I26" s="51"/>
      <c r="J26" s="51"/>
    </row>
    <row r="27" spans="1:28" ht="15.75" thickBot="1" x14ac:dyDescent="0.3">
      <c r="A27" s="138" t="s">
        <v>5</v>
      </c>
      <c r="B27" s="139"/>
      <c r="C27" s="154" t="s">
        <v>6</v>
      </c>
      <c r="D27" s="154" t="s">
        <v>7</v>
      </c>
      <c r="E27" s="154" t="s">
        <v>8</v>
      </c>
      <c r="F27" s="154" t="s">
        <v>9</v>
      </c>
      <c r="G27" s="154" t="s">
        <v>10</v>
      </c>
      <c r="H27" s="155" t="s">
        <v>18</v>
      </c>
    </row>
    <row r="28" spans="1:28" x14ac:dyDescent="0.25">
      <c r="A28" s="140" t="s">
        <v>12</v>
      </c>
      <c r="B28" s="141"/>
      <c r="C28" s="142">
        <f t="shared" ref="C28:H32" si="0">C44+C59+C74+C89+C104</f>
        <v>18300000</v>
      </c>
      <c r="D28" s="142">
        <f t="shared" si="0"/>
        <v>21045000</v>
      </c>
      <c r="E28" s="142">
        <f t="shared" si="0"/>
        <v>24201749.999999996</v>
      </c>
      <c r="F28" s="142">
        <f t="shared" si="0"/>
        <v>27832012.499999993</v>
      </c>
      <c r="G28" s="142">
        <f t="shared" si="0"/>
        <v>32006814.374999989</v>
      </c>
      <c r="H28" s="143">
        <f t="shared" si="0"/>
        <v>36807836.531249985</v>
      </c>
      <c r="K28" s="100"/>
      <c r="L28" s="100"/>
      <c r="M28" s="100"/>
    </row>
    <row r="29" spans="1:28" x14ac:dyDescent="0.25">
      <c r="A29" s="144" t="s">
        <v>60</v>
      </c>
      <c r="B29" s="145"/>
      <c r="C29" s="146">
        <f t="shared" si="0"/>
        <v>1830000</v>
      </c>
      <c r="D29" s="146">
        <f t="shared" si="0"/>
        <v>2104500</v>
      </c>
      <c r="E29" s="146">
        <f t="shared" si="0"/>
        <v>2420174.9999999995</v>
      </c>
      <c r="F29" s="146">
        <f t="shared" si="0"/>
        <v>2783201.2499999995</v>
      </c>
      <c r="G29" s="146">
        <f t="shared" si="0"/>
        <v>3200681.4374999991</v>
      </c>
      <c r="H29" s="147">
        <f t="shared" si="0"/>
        <v>3680783.6531249988</v>
      </c>
      <c r="K29" s="100"/>
      <c r="L29" s="100"/>
      <c r="M29" s="100"/>
    </row>
    <row r="30" spans="1:28" x14ac:dyDescent="0.25">
      <c r="A30" s="144" t="s">
        <v>61</v>
      </c>
      <c r="B30" s="148"/>
      <c r="C30" s="146">
        <f t="shared" si="0"/>
        <v>0</v>
      </c>
      <c r="D30" s="146">
        <f t="shared" si="0"/>
        <v>0</v>
      </c>
      <c r="E30" s="146">
        <f t="shared" si="0"/>
        <v>0</v>
      </c>
      <c r="F30" s="146">
        <f t="shared" si="0"/>
        <v>0</v>
      </c>
      <c r="G30" s="146">
        <f t="shared" si="0"/>
        <v>0</v>
      </c>
      <c r="H30" s="147">
        <f t="shared" si="0"/>
        <v>0</v>
      </c>
      <c r="I30" s="101"/>
      <c r="K30" s="100"/>
      <c r="L30" s="100"/>
      <c r="M30" s="100"/>
    </row>
    <row r="31" spans="1:28" x14ac:dyDescent="0.25">
      <c r="A31" s="144" t="s">
        <v>62</v>
      </c>
      <c r="B31" s="149"/>
      <c r="C31" s="146">
        <f t="shared" si="0"/>
        <v>0</v>
      </c>
      <c r="D31" s="146">
        <f t="shared" si="0"/>
        <v>0</v>
      </c>
      <c r="E31" s="146">
        <f t="shared" si="0"/>
        <v>0</v>
      </c>
      <c r="F31" s="146">
        <f t="shared" si="0"/>
        <v>0</v>
      </c>
      <c r="G31" s="146">
        <f t="shared" si="0"/>
        <v>0</v>
      </c>
      <c r="H31" s="147">
        <f t="shared" si="0"/>
        <v>0</v>
      </c>
      <c r="I31" s="101"/>
      <c r="K31" s="100"/>
      <c r="L31" s="100"/>
      <c r="M31" s="100"/>
    </row>
    <row r="32" spans="1:28" x14ac:dyDescent="0.25">
      <c r="A32" s="144" t="s">
        <v>16</v>
      </c>
      <c r="B32" s="150"/>
      <c r="C32" s="146">
        <f t="shared" si="0"/>
        <v>0</v>
      </c>
      <c r="D32" s="146">
        <f t="shared" si="0"/>
        <v>0</v>
      </c>
      <c r="E32" s="146">
        <f t="shared" si="0"/>
        <v>0</v>
      </c>
      <c r="F32" s="146">
        <f t="shared" si="0"/>
        <v>0</v>
      </c>
      <c r="G32" s="146">
        <f t="shared" si="0"/>
        <v>0</v>
      </c>
      <c r="H32" s="147">
        <f t="shared" si="0"/>
        <v>0</v>
      </c>
      <c r="J32" s="316"/>
      <c r="K32" s="316"/>
      <c r="L32" s="316"/>
      <c r="M32" s="316"/>
      <c r="N32" s="316"/>
    </row>
    <row r="33" spans="1:20" x14ac:dyDescent="0.25">
      <c r="A33" s="93" t="s">
        <v>13</v>
      </c>
      <c r="B33" s="163"/>
      <c r="C33" s="164">
        <f>C28-C29-C30-C31-C32</f>
        <v>16470000</v>
      </c>
      <c r="D33" s="164">
        <f>D28-D29-D30-D31-D32</f>
        <v>18940500</v>
      </c>
      <c r="E33" s="164">
        <f t="shared" ref="E33:H33" si="1">E28-E29-E30-E31-E32</f>
        <v>21781574.999999996</v>
      </c>
      <c r="F33" s="164">
        <f t="shared" si="1"/>
        <v>25048811.249999993</v>
      </c>
      <c r="G33" s="164">
        <f t="shared" si="1"/>
        <v>28806132.937499989</v>
      </c>
      <c r="H33" s="165">
        <f t="shared" si="1"/>
        <v>33127052.878124986</v>
      </c>
      <c r="L33" s="129"/>
      <c r="M33" s="129"/>
    </row>
    <row r="34" spans="1:20" x14ac:dyDescent="0.25">
      <c r="A34" s="144"/>
      <c r="B34" s="151"/>
      <c r="C34" s="152"/>
      <c r="D34" s="152"/>
      <c r="E34" s="152"/>
      <c r="F34" s="152"/>
      <c r="G34" s="152"/>
      <c r="H34" s="153"/>
      <c r="L34" s="130"/>
      <c r="M34" s="130"/>
    </row>
    <row r="35" spans="1:20" ht="15.75" thickBot="1" x14ac:dyDescent="0.3">
      <c r="A35" s="94" t="s">
        <v>14</v>
      </c>
      <c r="B35" s="160"/>
      <c r="C35" s="161">
        <f t="shared" ref="C35:H35" si="2">C52+C67+C82+C97+C112</f>
        <v>14823000</v>
      </c>
      <c r="D35" s="161">
        <f t="shared" si="2"/>
        <v>17046450</v>
      </c>
      <c r="E35" s="161">
        <f t="shared" si="2"/>
        <v>19603417.499999996</v>
      </c>
      <c r="F35" s="161">
        <f t="shared" si="2"/>
        <v>22543930.124999993</v>
      </c>
      <c r="G35" s="161">
        <f t="shared" si="2"/>
        <v>25925519.64374999</v>
      </c>
      <c r="H35" s="162">
        <f t="shared" si="2"/>
        <v>29814347.590312488</v>
      </c>
      <c r="L35" s="130"/>
      <c r="M35" s="130"/>
    </row>
    <row r="36" spans="1:20" s="197" customFormat="1" x14ac:dyDescent="0.25">
      <c r="A36" s="264"/>
      <c r="B36" s="264"/>
      <c r="C36" s="265"/>
      <c r="D36" s="265"/>
      <c r="E36" s="265"/>
      <c r="F36" s="265"/>
      <c r="G36" s="265"/>
      <c r="H36" s="265"/>
      <c r="L36" s="266"/>
      <c r="M36" s="266"/>
      <c r="Q36" s="267"/>
      <c r="T36" s="267"/>
    </row>
    <row r="37" spans="1:20" s="197" customFormat="1" x14ac:dyDescent="0.25">
      <c r="A37" s="264"/>
      <c r="B37" s="264"/>
      <c r="C37" s="265"/>
      <c r="D37" s="265"/>
      <c r="E37" s="265"/>
      <c r="F37" s="265"/>
      <c r="G37" s="265"/>
      <c r="H37" s="265"/>
      <c r="L37" s="266"/>
      <c r="M37" s="266"/>
      <c r="Q37" s="267"/>
      <c r="T37" s="267"/>
    </row>
    <row r="38" spans="1:20" ht="15.75" thickBot="1" x14ac:dyDescent="0.3">
      <c r="D38" s="121"/>
      <c r="E38" s="103"/>
      <c r="F38" s="103"/>
      <c r="G38" s="103"/>
      <c r="H38" s="103"/>
      <c r="L38" s="130"/>
      <c r="M38" s="130"/>
    </row>
    <row r="39" spans="1:20" ht="15.75" thickBot="1" x14ac:dyDescent="0.3">
      <c r="A39" s="326" t="s">
        <v>31</v>
      </c>
      <c r="B39" s="327"/>
      <c r="C39" s="327"/>
      <c r="D39" s="327"/>
      <c r="E39" s="327"/>
      <c r="F39" s="327"/>
      <c r="G39" s="327"/>
      <c r="H39" s="328"/>
      <c r="L39" s="130"/>
      <c r="M39" s="130"/>
    </row>
    <row r="40" spans="1:20" ht="15.75" thickBot="1" x14ac:dyDescent="0.3">
      <c r="A40" s="95" t="s">
        <v>5</v>
      </c>
      <c r="B40" s="96"/>
      <c r="C40" s="97" t="s">
        <v>6</v>
      </c>
      <c r="D40" s="97" t="s">
        <v>7</v>
      </c>
      <c r="E40" s="97" t="s">
        <v>8</v>
      </c>
      <c r="F40" s="97" t="s">
        <v>9</v>
      </c>
      <c r="G40" s="97" t="s">
        <v>10</v>
      </c>
      <c r="H40" s="98" t="s">
        <v>18</v>
      </c>
      <c r="L40" s="130"/>
      <c r="M40" s="130"/>
    </row>
    <row r="41" spans="1:20" x14ac:dyDescent="0.25">
      <c r="A41" s="91" t="s">
        <v>3</v>
      </c>
      <c r="B41" s="317"/>
      <c r="C41" s="318"/>
      <c r="D41" s="131">
        <f>(D43-C4)/30</f>
        <v>37.166666666666664</v>
      </c>
      <c r="E41" s="85">
        <v>36</v>
      </c>
      <c r="F41" s="85">
        <v>36</v>
      </c>
      <c r="G41" s="85"/>
      <c r="H41" s="86"/>
      <c r="K41" s="100"/>
      <c r="L41" s="100"/>
      <c r="M41" s="100"/>
    </row>
    <row r="42" spans="1:20" x14ac:dyDescent="0.25">
      <c r="A42" s="92" t="s">
        <v>11</v>
      </c>
      <c r="B42" s="319"/>
      <c r="C42" s="320"/>
      <c r="D42" s="73">
        <v>0.15</v>
      </c>
      <c r="E42" s="73">
        <f>D42</f>
        <v>0.15</v>
      </c>
      <c r="F42" s="73">
        <f t="shared" ref="F42:G42" si="3">E42</f>
        <v>0.15</v>
      </c>
      <c r="G42" s="73">
        <f t="shared" si="3"/>
        <v>0.15</v>
      </c>
      <c r="H42" s="73">
        <f>G42</f>
        <v>0.15</v>
      </c>
      <c r="K42" s="100"/>
      <c r="L42" s="100"/>
      <c r="M42" s="100"/>
    </row>
    <row r="43" spans="1:20" x14ac:dyDescent="0.25">
      <c r="A43" s="92" t="s">
        <v>30</v>
      </c>
      <c r="B43" s="321"/>
      <c r="C43" s="322"/>
      <c r="D43" s="122">
        <v>46619</v>
      </c>
      <c r="E43" s="53">
        <f>EDATE(D43,E41)</f>
        <v>47715</v>
      </c>
      <c r="F43" s="53">
        <f>EDATE(E43,F41)</f>
        <v>48811</v>
      </c>
      <c r="G43" s="53">
        <f>EDATE(F43,G41)</f>
        <v>48811</v>
      </c>
      <c r="H43" s="77">
        <f>EDATE(G43,H41)</f>
        <v>48811</v>
      </c>
      <c r="K43" s="100"/>
      <c r="L43" s="100"/>
      <c r="M43" s="100"/>
    </row>
    <row r="44" spans="1:20" x14ac:dyDescent="0.25">
      <c r="A44" s="92" t="s">
        <v>12</v>
      </c>
      <c r="B44" s="99"/>
      <c r="C44" s="123">
        <v>18300000</v>
      </c>
      <c r="D44" s="54">
        <f>C44*(1+D42)</f>
        <v>21045000</v>
      </c>
      <c r="E44" s="54">
        <f>D44*(1+E42)</f>
        <v>24201749.999999996</v>
      </c>
      <c r="F44" s="54">
        <f>E44*(1+F42)</f>
        <v>27832012.499999993</v>
      </c>
      <c r="G44" s="54">
        <f>F44*(1+G42)</f>
        <v>32006814.374999989</v>
      </c>
      <c r="H44" s="79">
        <f>G44*(1+H42)</f>
        <v>36807836.531249985</v>
      </c>
      <c r="K44" s="100"/>
      <c r="L44" s="100"/>
      <c r="M44" s="100"/>
    </row>
    <row r="45" spans="1:20" x14ac:dyDescent="0.25">
      <c r="A45" s="92" t="s">
        <v>60</v>
      </c>
      <c r="B45" s="88">
        <v>0.1</v>
      </c>
      <c r="C45" s="55">
        <f t="shared" ref="C45:H45" si="4">C44*$B$45</f>
        <v>1830000</v>
      </c>
      <c r="D45" s="55">
        <f t="shared" si="4"/>
        <v>2104500</v>
      </c>
      <c r="E45" s="55">
        <f t="shared" si="4"/>
        <v>2420174.9999999995</v>
      </c>
      <c r="F45" s="55">
        <f t="shared" si="4"/>
        <v>2783201.2499999995</v>
      </c>
      <c r="G45" s="55">
        <f t="shared" si="4"/>
        <v>3200681.4374999991</v>
      </c>
      <c r="H45" s="80">
        <f t="shared" si="4"/>
        <v>3680783.6531249988</v>
      </c>
      <c r="K45" s="100"/>
      <c r="L45" s="100"/>
      <c r="M45" s="100"/>
    </row>
    <row r="46" spans="1:20" x14ac:dyDescent="0.25">
      <c r="A46" s="92" t="s">
        <v>61</v>
      </c>
      <c r="B46" s="89"/>
      <c r="C46" s="55">
        <f t="shared" ref="C46:H46" si="5">C44*$B$46</f>
        <v>0</v>
      </c>
      <c r="D46" s="55">
        <f t="shared" si="5"/>
        <v>0</v>
      </c>
      <c r="E46" s="55">
        <f t="shared" si="5"/>
        <v>0</v>
      </c>
      <c r="F46" s="55">
        <f t="shared" si="5"/>
        <v>0</v>
      </c>
      <c r="G46" s="55">
        <f t="shared" si="5"/>
        <v>0</v>
      </c>
      <c r="H46" s="80">
        <f t="shared" si="5"/>
        <v>0</v>
      </c>
      <c r="K46" s="100"/>
      <c r="L46" s="100"/>
      <c r="M46" s="100"/>
    </row>
    <row r="47" spans="1:20" x14ac:dyDescent="0.25">
      <c r="A47" s="92" t="s">
        <v>62</v>
      </c>
      <c r="B47" s="90"/>
      <c r="C47" s="54">
        <f t="shared" ref="C47:H47" si="6">C44*$B$47</f>
        <v>0</v>
      </c>
      <c r="D47" s="54">
        <f t="shared" si="6"/>
        <v>0</v>
      </c>
      <c r="E47" s="54">
        <f t="shared" si="6"/>
        <v>0</v>
      </c>
      <c r="F47" s="54">
        <f t="shared" si="6"/>
        <v>0</v>
      </c>
      <c r="G47" s="54">
        <f t="shared" si="6"/>
        <v>0</v>
      </c>
      <c r="H47" s="79">
        <f t="shared" si="6"/>
        <v>0</v>
      </c>
      <c r="K47" s="100"/>
      <c r="L47" s="100"/>
      <c r="M47" s="100"/>
      <c r="O47" s="182"/>
    </row>
    <row r="48" spans="1:20" x14ac:dyDescent="0.25">
      <c r="A48" s="92" t="s">
        <v>16</v>
      </c>
      <c r="B48" s="186"/>
      <c r="C48" s="123"/>
      <c r="D48" s="123">
        <f>C48</f>
        <v>0</v>
      </c>
      <c r="E48" s="123">
        <f>D48</f>
        <v>0</v>
      </c>
      <c r="F48" s="123">
        <f>E48</f>
        <v>0</v>
      </c>
      <c r="G48" s="123">
        <f>F48</f>
        <v>0</v>
      </c>
      <c r="H48" s="123">
        <f>G48</f>
        <v>0</v>
      </c>
      <c r="K48" s="100"/>
      <c r="L48" s="100"/>
      <c r="M48" s="100"/>
    </row>
    <row r="49" spans="1:19" x14ac:dyDescent="0.25">
      <c r="A49" s="93" t="s">
        <v>13</v>
      </c>
      <c r="B49" s="187"/>
      <c r="C49" s="56">
        <f>C44-C45-C46-C47-C48</f>
        <v>16470000</v>
      </c>
      <c r="D49" s="56">
        <f>D44-D45-D46-D47-D48</f>
        <v>18940500</v>
      </c>
      <c r="E49" s="56">
        <f>E44-E45-E46-E47-E48</f>
        <v>21781574.999999996</v>
      </c>
      <c r="F49" s="56">
        <f t="shared" ref="F49:H49" si="7">F44-F45-F46-F47-F48</f>
        <v>25048811.249999993</v>
      </c>
      <c r="G49" s="56">
        <f t="shared" si="7"/>
        <v>28806132.937499989</v>
      </c>
      <c r="H49" s="81">
        <f t="shared" si="7"/>
        <v>33127052.878124986</v>
      </c>
      <c r="K49" s="100"/>
      <c r="L49" s="100"/>
      <c r="M49" s="100"/>
    </row>
    <row r="50" spans="1:19" x14ac:dyDescent="0.25">
      <c r="A50" s="189" t="s">
        <v>145</v>
      </c>
      <c r="B50" s="187"/>
      <c r="C50" s="228"/>
      <c r="D50" s="243"/>
      <c r="E50" s="243"/>
      <c r="F50" s="243"/>
      <c r="G50" s="243"/>
      <c r="H50" s="243"/>
      <c r="K50" s="100"/>
      <c r="L50" s="100"/>
      <c r="M50" s="100"/>
    </row>
    <row r="51" spans="1:19" x14ac:dyDescent="0.25">
      <c r="A51" s="92" t="s">
        <v>122</v>
      </c>
      <c r="B51" s="187"/>
      <c r="C51" s="74">
        <v>0.9</v>
      </c>
      <c r="D51" s="74">
        <f>C51</f>
        <v>0.9</v>
      </c>
      <c r="E51" s="74">
        <f>D51</f>
        <v>0.9</v>
      </c>
      <c r="F51" s="74">
        <f>E51</f>
        <v>0.9</v>
      </c>
      <c r="G51" s="74">
        <f>F51</f>
        <v>0.9</v>
      </c>
      <c r="H51" s="82">
        <f>G51</f>
        <v>0.9</v>
      </c>
      <c r="K51" s="100"/>
      <c r="L51" s="100"/>
      <c r="M51" s="100"/>
    </row>
    <row r="52" spans="1:19" ht="15.75" thickBot="1" x14ac:dyDescent="0.3">
      <c r="A52" s="94" t="s">
        <v>14</v>
      </c>
      <c r="B52" s="188"/>
      <c r="C52" s="83">
        <f t="shared" ref="C52:H52" si="8">C49*C51</f>
        <v>14823000</v>
      </c>
      <c r="D52" s="83">
        <f t="shared" si="8"/>
        <v>17046450</v>
      </c>
      <c r="E52" s="83">
        <f t="shared" si="8"/>
        <v>19603417.499999996</v>
      </c>
      <c r="F52" s="83">
        <f t="shared" si="8"/>
        <v>22543930.124999993</v>
      </c>
      <c r="G52" s="83">
        <f t="shared" si="8"/>
        <v>25925519.64374999</v>
      </c>
      <c r="H52" s="84">
        <f t="shared" si="8"/>
        <v>29814347.590312488</v>
      </c>
      <c r="K52" s="100"/>
      <c r="L52" s="100"/>
      <c r="M52" s="100"/>
    </row>
    <row r="53" spans="1:19" ht="15.75" thickBot="1" x14ac:dyDescent="0.3">
      <c r="K53" s="100"/>
      <c r="L53" s="100"/>
      <c r="M53" s="100"/>
    </row>
    <row r="54" spans="1:19" ht="15.75" thickBot="1" x14ac:dyDescent="0.3">
      <c r="A54" s="326" t="s">
        <v>38</v>
      </c>
      <c r="B54" s="327"/>
      <c r="C54" s="327"/>
      <c r="D54" s="327"/>
      <c r="E54" s="327"/>
      <c r="F54" s="327"/>
      <c r="G54" s="327"/>
      <c r="H54" s="328"/>
      <c r="K54" s="100"/>
      <c r="L54" s="100"/>
      <c r="M54" s="100"/>
    </row>
    <row r="55" spans="1:19" ht="15.75" thickBot="1" x14ac:dyDescent="0.3">
      <c r="A55" s="95" t="s">
        <v>5</v>
      </c>
      <c r="B55" s="96"/>
      <c r="C55" s="158" t="s">
        <v>6</v>
      </c>
      <c r="D55" s="158" t="s">
        <v>7</v>
      </c>
      <c r="E55" s="158" t="s">
        <v>8</v>
      </c>
      <c r="F55" s="158" t="s">
        <v>9</v>
      </c>
      <c r="G55" s="158" t="s">
        <v>10</v>
      </c>
      <c r="H55" s="159" t="s">
        <v>18</v>
      </c>
      <c r="K55" s="100"/>
      <c r="L55" s="100"/>
      <c r="M55" s="100"/>
    </row>
    <row r="56" spans="1:19" x14ac:dyDescent="0.25">
      <c r="A56" s="91" t="s">
        <v>3</v>
      </c>
      <c r="B56" s="329"/>
      <c r="C56" s="330"/>
      <c r="D56" s="131">
        <f>(D58-C4)/30</f>
        <v>-1516.8</v>
      </c>
      <c r="E56" s="85">
        <v>36</v>
      </c>
      <c r="F56" s="85">
        <v>36</v>
      </c>
      <c r="G56" s="85">
        <v>36</v>
      </c>
      <c r="H56" s="86">
        <v>36</v>
      </c>
      <c r="J56" s="182"/>
      <c r="K56" s="182"/>
      <c r="L56" s="182"/>
      <c r="M56" s="182"/>
      <c r="N56" s="182"/>
      <c r="O56" s="204"/>
      <c r="P56" s="204"/>
      <c r="Q56" s="204"/>
      <c r="R56" s="204"/>
      <c r="S56" s="205"/>
    </row>
    <row r="57" spans="1:19" x14ac:dyDescent="0.25">
      <c r="A57" s="92" t="s">
        <v>11</v>
      </c>
      <c r="B57" s="331"/>
      <c r="C57" s="332"/>
      <c r="D57" s="73">
        <v>0</v>
      </c>
      <c r="E57" s="73">
        <f>D57</f>
        <v>0</v>
      </c>
      <c r="F57" s="73">
        <f>E57</f>
        <v>0</v>
      </c>
      <c r="G57" s="73">
        <f t="shared" ref="G57" si="9">F57</f>
        <v>0</v>
      </c>
      <c r="H57" s="78">
        <f>G57</f>
        <v>0</v>
      </c>
      <c r="J57" s="316"/>
      <c r="K57" s="316"/>
      <c r="L57" s="316"/>
      <c r="M57" s="316"/>
      <c r="N57" s="316"/>
      <c r="O57" s="205"/>
      <c r="P57" s="205"/>
      <c r="Q57" s="205"/>
      <c r="R57" s="205"/>
      <c r="S57" s="205"/>
    </row>
    <row r="58" spans="1:19" x14ac:dyDescent="0.25">
      <c r="A58" s="92" t="s">
        <v>30</v>
      </c>
      <c r="B58" s="333"/>
      <c r="C58" s="334"/>
      <c r="D58" s="122"/>
      <c r="E58" s="53">
        <f>EDATE(D58,E56)</f>
        <v>1096</v>
      </c>
      <c r="F58" s="53">
        <f>EDATE(E58,F56)</f>
        <v>2192</v>
      </c>
      <c r="G58" s="53">
        <f>EDATE(F58,G56)</f>
        <v>3288</v>
      </c>
      <c r="H58" s="77">
        <f>EDATE(G58,H56)</f>
        <v>4383</v>
      </c>
      <c r="L58" s="100"/>
      <c r="M58" s="100"/>
      <c r="O58" s="205"/>
      <c r="P58" s="205"/>
      <c r="Q58" s="205"/>
      <c r="R58" s="205"/>
      <c r="S58" s="205"/>
    </row>
    <row r="59" spans="1:19" x14ac:dyDescent="0.25">
      <c r="A59" s="92" t="s">
        <v>12</v>
      </c>
      <c r="B59" s="87"/>
      <c r="C59" s="123"/>
      <c r="D59" s="54">
        <f>C59*(1+D57)</f>
        <v>0</v>
      </c>
      <c r="E59" s="54">
        <f>D59*(1+E57)</f>
        <v>0</v>
      </c>
      <c r="F59" s="54">
        <f>E59*(1+F57)</f>
        <v>0</v>
      </c>
      <c r="G59" s="54">
        <f>F59*(1+G57)</f>
        <v>0</v>
      </c>
      <c r="H59" s="79">
        <f>G59*(1+H57)</f>
        <v>0</v>
      </c>
      <c r="J59" s="183"/>
      <c r="K59" s="185"/>
      <c r="L59" s="184"/>
      <c r="M59" s="100"/>
      <c r="O59" s="205"/>
      <c r="P59" s="205"/>
      <c r="Q59" s="205"/>
      <c r="R59" s="205"/>
      <c r="S59" s="205"/>
    </row>
    <row r="60" spans="1:19" x14ac:dyDescent="0.25">
      <c r="A60" s="92" t="s">
        <v>60</v>
      </c>
      <c r="B60" s="88">
        <v>0.1</v>
      </c>
      <c r="C60" s="55">
        <f>C59*$B$60</f>
        <v>0</v>
      </c>
      <c r="D60" s="55">
        <f t="shared" ref="D60:H60" si="10">D59*$B$60</f>
        <v>0</v>
      </c>
      <c r="E60" s="55">
        <f t="shared" si="10"/>
        <v>0</v>
      </c>
      <c r="F60" s="55">
        <f t="shared" si="10"/>
        <v>0</v>
      </c>
      <c r="G60" s="55">
        <f t="shared" si="10"/>
        <v>0</v>
      </c>
      <c r="H60" s="80">
        <f t="shared" si="10"/>
        <v>0</v>
      </c>
      <c r="J60" s="183"/>
      <c r="K60" s="185"/>
      <c r="L60" s="184"/>
      <c r="M60" s="100"/>
      <c r="O60" s="205"/>
      <c r="P60" s="205"/>
      <c r="Q60" s="205"/>
      <c r="R60" s="205"/>
      <c r="S60" s="205"/>
    </row>
    <row r="61" spans="1:19" x14ac:dyDescent="0.25">
      <c r="A61" s="92" t="s">
        <v>61</v>
      </c>
      <c r="B61" s="89">
        <v>0.02</v>
      </c>
      <c r="C61" s="55">
        <f>C59*$B$61</f>
        <v>0</v>
      </c>
      <c r="D61" s="55">
        <f t="shared" ref="D61:H61" si="11">D59*$B$61</f>
        <v>0</v>
      </c>
      <c r="E61" s="55">
        <f t="shared" si="11"/>
        <v>0</v>
      </c>
      <c r="F61" s="55">
        <f t="shared" si="11"/>
        <v>0</v>
      </c>
      <c r="G61" s="55">
        <f t="shared" si="11"/>
        <v>0</v>
      </c>
      <c r="H61" s="80">
        <f t="shared" si="11"/>
        <v>0</v>
      </c>
      <c r="J61" s="183"/>
      <c r="K61" s="185"/>
      <c r="L61" s="184"/>
      <c r="M61" s="100"/>
      <c r="O61" s="205"/>
      <c r="P61" s="205"/>
      <c r="Q61" s="205"/>
      <c r="R61" s="205"/>
      <c r="S61" s="205"/>
    </row>
    <row r="62" spans="1:19" x14ac:dyDescent="0.25">
      <c r="A62" s="92" t="s">
        <v>62</v>
      </c>
      <c r="B62" s="90">
        <v>2E-3</v>
      </c>
      <c r="C62" s="54">
        <f>C59*$B$62</f>
        <v>0</v>
      </c>
      <c r="D62" s="54">
        <f t="shared" ref="D62:H62" si="12">D59*$B$62</f>
        <v>0</v>
      </c>
      <c r="E62" s="54">
        <f t="shared" si="12"/>
        <v>0</v>
      </c>
      <c r="F62" s="54">
        <f t="shared" si="12"/>
        <v>0</v>
      </c>
      <c r="G62" s="54">
        <f t="shared" si="12"/>
        <v>0</v>
      </c>
      <c r="H62" s="79">
        <f t="shared" si="12"/>
        <v>0</v>
      </c>
      <c r="J62" s="183"/>
      <c r="K62" s="185"/>
      <c r="L62" s="184"/>
      <c r="M62" s="100"/>
      <c r="O62" s="205"/>
      <c r="P62" s="205"/>
      <c r="Q62" s="205"/>
      <c r="R62" s="205"/>
      <c r="S62" s="205"/>
    </row>
    <row r="63" spans="1:19" x14ac:dyDescent="0.25">
      <c r="A63" s="92" t="s">
        <v>16</v>
      </c>
      <c r="B63" s="186"/>
      <c r="C63" s="123"/>
      <c r="D63" s="123">
        <f>C63</f>
        <v>0</v>
      </c>
      <c r="E63" s="123">
        <f>D63</f>
        <v>0</v>
      </c>
      <c r="F63" s="123">
        <f>E63</f>
        <v>0</v>
      </c>
      <c r="G63" s="123">
        <f>F63</f>
        <v>0</v>
      </c>
      <c r="H63" s="123">
        <f>G63</f>
        <v>0</v>
      </c>
      <c r="J63" s="183"/>
      <c r="K63" s="185"/>
      <c r="L63" s="184"/>
      <c r="M63" s="100"/>
      <c r="O63" s="204"/>
      <c r="P63" s="204"/>
      <c r="Q63" s="204"/>
      <c r="R63" s="204"/>
      <c r="S63" s="205"/>
    </row>
    <row r="64" spans="1:19" x14ac:dyDescent="0.25">
      <c r="A64" s="93" t="s">
        <v>13</v>
      </c>
      <c r="B64" s="187"/>
      <c r="C64" s="56">
        <f>C59-C60-C61-C62-C63</f>
        <v>0</v>
      </c>
      <c r="D64" s="56">
        <f>D59-D60-D61-D62-D63</f>
        <v>0</v>
      </c>
      <c r="E64" s="56">
        <f t="shared" ref="E64:H64" si="13">E59-E60-E61-E62-E63</f>
        <v>0</v>
      </c>
      <c r="F64" s="56">
        <f t="shared" si="13"/>
        <v>0</v>
      </c>
      <c r="G64" s="56">
        <f t="shared" si="13"/>
        <v>0</v>
      </c>
      <c r="H64" s="81">
        <f t="shared" si="13"/>
        <v>0</v>
      </c>
      <c r="J64" s="183"/>
      <c r="K64" s="185"/>
      <c r="L64" s="184"/>
      <c r="M64" s="100"/>
      <c r="O64" s="205"/>
      <c r="P64" s="205"/>
      <c r="Q64" s="205"/>
      <c r="R64" s="205"/>
      <c r="S64" s="205"/>
    </row>
    <row r="65" spans="1:19" x14ac:dyDescent="0.25">
      <c r="A65" s="189" t="s">
        <v>145</v>
      </c>
      <c r="B65" s="187"/>
      <c r="C65" s="228"/>
      <c r="D65" s="243"/>
      <c r="E65" s="243"/>
      <c r="F65" s="243"/>
      <c r="G65" s="243"/>
      <c r="H65" s="244"/>
      <c r="J65" s="183"/>
      <c r="K65" s="185"/>
      <c r="L65" s="205"/>
      <c r="M65" s="204"/>
      <c r="N65" s="204"/>
      <c r="O65" s="205"/>
      <c r="P65" s="205"/>
      <c r="Q65" s="205"/>
      <c r="R65" s="205"/>
      <c r="S65" s="205"/>
    </row>
    <row r="66" spans="1:19" x14ac:dyDescent="0.25">
      <c r="A66" s="92" t="s">
        <v>122</v>
      </c>
      <c r="B66" s="187"/>
      <c r="C66" s="74">
        <f>C51</f>
        <v>0.9</v>
      </c>
      <c r="D66" s="74">
        <f>C66</f>
        <v>0.9</v>
      </c>
      <c r="E66" s="74">
        <f t="shared" ref="E66:H66" si="14">D66</f>
        <v>0.9</v>
      </c>
      <c r="F66" s="74">
        <f t="shared" si="14"/>
        <v>0.9</v>
      </c>
      <c r="G66" s="74">
        <f t="shared" si="14"/>
        <v>0.9</v>
      </c>
      <c r="H66" s="74">
        <f t="shared" si="14"/>
        <v>0.9</v>
      </c>
      <c r="J66" s="183"/>
      <c r="K66" s="185"/>
      <c r="L66" s="205"/>
      <c r="M66" s="205"/>
      <c r="N66" s="205"/>
      <c r="O66" s="205"/>
      <c r="P66" s="205"/>
      <c r="Q66" s="205"/>
      <c r="R66" s="205"/>
      <c r="S66" s="205"/>
    </row>
    <row r="67" spans="1:19" ht="15.75" thickBot="1" x14ac:dyDescent="0.3">
      <c r="A67" s="94" t="s">
        <v>14</v>
      </c>
      <c r="B67" s="188"/>
      <c r="C67" s="83">
        <f>C64*C66</f>
        <v>0</v>
      </c>
      <c r="D67" s="83">
        <f t="shared" ref="D67:H67" si="15">D64*D66</f>
        <v>0</v>
      </c>
      <c r="E67" s="83">
        <f t="shared" si="15"/>
        <v>0</v>
      </c>
      <c r="F67" s="83">
        <f t="shared" si="15"/>
        <v>0</v>
      </c>
      <c r="G67" s="83">
        <f t="shared" si="15"/>
        <v>0</v>
      </c>
      <c r="H67" s="84">
        <f t="shared" si="15"/>
        <v>0</v>
      </c>
      <c r="J67" s="183"/>
      <c r="K67" s="185"/>
      <c r="L67" s="205"/>
      <c r="M67" s="206"/>
      <c r="N67" s="205"/>
      <c r="O67" s="205"/>
      <c r="P67" s="205"/>
      <c r="Q67" s="205"/>
      <c r="R67" s="205"/>
      <c r="S67" s="205"/>
    </row>
    <row r="68" spans="1:19" ht="15.75" thickBot="1" x14ac:dyDescent="0.3">
      <c r="A68" s="50"/>
      <c r="B68" s="50"/>
      <c r="C68" s="50"/>
      <c r="D68" s="50"/>
      <c r="E68" s="50"/>
      <c r="F68" s="50"/>
      <c r="G68" s="50"/>
      <c r="H68" s="50"/>
      <c r="J68" s="183"/>
      <c r="K68" s="185"/>
      <c r="L68" s="205"/>
      <c r="M68" s="205"/>
      <c r="N68" s="205"/>
      <c r="O68" s="205"/>
      <c r="P68" s="205"/>
      <c r="Q68" s="205"/>
      <c r="R68" s="205"/>
      <c r="S68" s="205"/>
    </row>
    <row r="69" spans="1:19" ht="15.75" thickBot="1" x14ac:dyDescent="0.3">
      <c r="A69" s="326" t="s">
        <v>39</v>
      </c>
      <c r="B69" s="327"/>
      <c r="C69" s="327"/>
      <c r="D69" s="327"/>
      <c r="E69" s="327"/>
      <c r="F69" s="327"/>
      <c r="G69" s="327"/>
      <c r="H69" s="328"/>
      <c r="K69" s="185"/>
      <c r="L69" s="205"/>
      <c r="M69" s="205"/>
      <c r="N69" s="205"/>
      <c r="O69" s="205"/>
      <c r="P69" s="205"/>
      <c r="Q69" s="205"/>
      <c r="R69" s="205"/>
      <c r="S69" s="205"/>
    </row>
    <row r="70" spans="1:19" ht="15.75" thickBot="1" x14ac:dyDescent="0.3">
      <c r="A70" s="95" t="s">
        <v>5</v>
      </c>
      <c r="B70" s="96"/>
      <c r="C70" s="158" t="s">
        <v>6</v>
      </c>
      <c r="D70" s="158" t="s">
        <v>7</v>
      </c>
      <c r="E70" s="158" t="s">
        <v>8</v>
      </c>
      <c r="F70" s="158" t="s">
        <v>9</v>
      </c>
      <c r="G70" s="158" t="s">
        <v>10</v>
      </c>
      <c r="H70" s="159" t="s">
        <v>18</v>
      </c>
      <c r="K70" s="100"/>
      <c r="L70" s="205"/>
      <c r="M70" s="205"/>
      <c r="N70" s="205"/>
      <c r="O70" s="205"/>
      <c r="P70" s="205"/>
      <c r="Q70" s="205"/>
      <c r="R70" s="205"/>
      <c r="S70" s="205"/>
    </row>
    <row r="71" spans="1:19" x14ac:dyDescent="0.25">
      <c r="A71" s="91" t="s">
        <v>3</v>
      </c>
      <c r="B71" s="317"/>
      <c r="C71" s="318"/>
      <c r="D71" s="131">
        <f>(D73-C4)/30</f>
        <v>-1516.8</v>
      </c>
      <c r="E71" s="85">
        <v>36</v>
      </c>
      <c r="F71" s="85">
        <v>36</v>
      </c>
      <c r="G71" s="85">
        <v>36</v>
      </c>
      <c r="H71" s="86">
        <v>36</v>
      </c>
      <c r="K71" s="100"/>
      <c r="L71" s="205"/>
      <c r="M71" s="205"/>
      <c r="N71" s="205"/>
      <c r="O71" s="205"/>
      <c r="P71" s="205"/>
      <c r="Q71" s="205"/>
      <c r="R71" s="205"/>
      <c r="S71" s="205"/>
    </row>
    <row r="72" spans="1:19" x14ac:dyDescent="0.25">
      <c r="A72" s="92" t="s">
        <v>11</v>
      </c>
      <c r="B72" s="319"/>
      <c r="C72" s="320"/>
      <c r="D72" s="73">
        <v>0</v>
      </c>
      <c r="E72" s="73">
        <f>D72</f>
        <v>0</v>
      </c>
      <c r="F72" s="73">
        <f>E72</f>
        <v>0</v>
      </c>
      <c r="G72" s="73">
        <f t="shared" ref="G72:H72" si="16">F72</f>
        <v>0</v>
      </c>
      <c r="H72" s="73">
        <f t="shared" si="16"/>
        <v>0</v>
      </c>
      <c r="K72" s="100"/>
      <c r="L72" s="204"/>
      <c r="M72" s="204"/>
      <c r="N72" s="204"/>
      <c r="S72" s="205"/>
    </row>
    <row r="73" spans="1:19" x14ac:dyDescent="0.25">
      <c r="A73" s="92" t="s">
        <v>30</v>
      </c>
      <c r="B73" s="321"/>
      <c r="C73" s="322"/>
      <c r="D73" s="122"/>
      <c r="E73" s="53">
        <f>EDATE(D73,E71)</f>
        <v>1096</v>
      </c>
      <c r="F73" s="53">
        <f>EDATE(E73,F71)</f>
        <v>2192</v>
      </c>
      <c r="G73" s="53">
        <f>EDATE(F73,G71)</f>
        <v>3288</v>
      </c>
      <c r="H73" s="77">
        <f>EDATE(G73,H71)</f>
        <v>4383</v>
      </c>
      <c r="K73" s="100"/>
      <c r="L73" s="205"/>
      <c r="M73" s="205"/>
      <c r="N73" s="205"/>
      <c r="S73" s="205"/>
    </row>
    <row r="74" spans="1:19" x14ac:dyDescent="0.25">
      <c r="A74" s="92" t="s">
        <v>12</v>
      </c>
      <c r="B74" s="99"/>
      <c r="C74" s="123"/>
      <c r="D74" s="54">
        <f>C74*(1+D72)</f>
        <v>0</v>
      </c>
      <c r="E74" s="54">
        <f>D74*(1+E72)</f>
        <v>0</v>
      </c>
      <c r="F74" s="54">
        <f>E74*(1+F72)</f>
        <v>0</v>
      </c>
      <c r="G74" s="54">
        <f>F74*(1+G72)</f>
        <v>0</v>
      </c>
      <c r="H74" s="79">
        <f>G74*(1+H72)</f>
        <v>0</v>
      </c>
      <c r="K74" s="100"/>
      <c r="L74" s="205"/>
      <c r="M74" s="205"/>
      <c r="N74" s="205"/>
      <c r="S74" s="205"/>
    </row>
    <row r="75" spans="1:19" x14ac:dyDescent="0.25">
      <c r="A75" s="92" t="s">
        <v>60</v>
      </c>
      <c r="B75" s="88">
        <v>0.1</v>
      </c>
      <c r="C75" s="55">
        <f>C74*$B$75</f>
        <v>0</v>
      </c>
      <c r="D75" s="55">
        <f t="shared" ref="D75:H75" si="17">D74*$B$75</f>
        <v>0</v>
      </c>
      <c r="E75" s="55">
        <f t="shared" si="17"/>
        <v>0</v>
      </c>
      <c r="F75" s="55">
        <f t="shared" si="17"/>
        <v>0</v>
      </c>
      <c r="G75" s="55">
        <f t="shared" si="17"/>
        <v>0</v>
      </c>
      <c r="H75" s="80">
        <f t="shared" si="17"/>
        <v>0</v>
      </c>
      <c r="K75" s="100"/>
      <c r="L75" s="205"/>
      <c r="M75" s="205"/>
      <c r="N75" s="205"/>
      <c r="S75" s="205"/>
    </row>
    <row r="76" spans="1:19" x14ac:dyDescent="0.25">
      <c r="A76" s="92" t="s">
        <v>61</v>
      </c>
      <c r="B76" s="89">
        <v>0.02</v>
      </c>
      <c r="C76" s="55">
        <f>C74*$B$76</f>
        <v>0</v>
      </c>
      <c r="D76" s="55">
        <f t="shared" ref="D76:H76" si="18">D74*$B$76</f>
        <v>0</v>
      </c>
      <c r="E76" s="55">
        <f t="shared" si="18"/>
        <v>0</v>
      </c>
      <c r="F76" s="55">
        <f t="shared" si="18"/>
        <v>0</v>
      </c>
      <c r="G76" s="55">
        <f t="shared" si="18"/>
        <v>0</v>
      </c>
      <c r="H76" s="80">
        <f t="shared" si="18"/>
        <v>0</v>
      </c>
      <c r="K76" s="100"/>
      <c r="L76" s="205"/>
      <c r="M76" s="205"/>
      <c r="N76" s="205"/>
      <c r="S76" s="205"/>
    </row>
    <row r="77" spans="1:19" x14ac:dyDescent="0.25">
      <c r="A77" s="92" t="s">
        <v>62</v>
      </c>
      <c r="B77" s="90">
        <v>2E-3</v>
      </c>
      <c r="C77" s="54">
        <f>C74*$B$77</f>
        <v>0</v>
      </c>
      <c r="D77" s="54">
        <f t="shared" ref="D77:H77" si="19">D74*$B$77</f>
        <v>0</v>
      </c>
      <c r="E77" s="54">
        <f t="shared" si="19"/>
        <v>0</v>
      </c>
      <c r="F77" s="54">
        <f t="shared" si="19"/>
        <v>0</v>
      </c>
      <c r="G77" s="54">
        <f t="shared" si="19"/>
        <v>0</v>
      </c>
      <c r="H77" s="79">
        <f t="shared" si="19"/>
        <v>0</v>
      </c>
      <c r="K77" s="100"/>
      <c r="L77" s="205"/>
      <c r="M77" s="205"/>
      <c r="N77" s="205"/>
    </row>
    <row r="78" spans="1:19" x14ac:dyDescent="0.25">
      <c r="A78" s="92" t="s">
        <v>16</v>
      </c>
      <c r="B78" s="323"/>
      <c r="C78" s="123"/>
      <c r="D78" s="123">
        <f>C78</f>
        <v>0</v>
      </c>
      <c r="E78" s="123">
        <f>D78</f>
        <v>0</v>
      </c>
      <c r="F78" s="123">
        <f>E78</f>
        <v>0</v>
      </c>
      <c r="G78" s="123">
        <f>F78</f>
        <v>0</v>
      </c>
      <c r="H78" s="123">
        <f>G78</f>
        <v>0</v>
      </c>
      <c r="K78" s="100"/>
      <c r="L78" s="205"/>
      <c r="M78" s="205"/>
      <c r="N78" s="205"/>
    </row>
    <row r="79" spans="1:19" x14ac:dyDescent="0.25">
      <c r="A79" s="93" t="s">
        <v>13</v>
      </c>
      <c r="B79" s="324"/>
      <c r="C79" s="56">
        <f>C74-C75-C76-C77-C78</f>
        <v>0</v>
      </c>
      <c r="D79" s="56">
        <f>D74-D75-D76-D77-D78</f>
        <v>0</v>
      </c>
      <c r="E79" s="56">
        <f t="shared" ref="E79:H79" si="20">E74-E75-E76-E77-E78</f>
        <v>0</v>
      </c>
      <c r="F79" s="56">
        <f t="shared" si="20"/>
        <v>0</v>
      </c>
      <c r="G79" s="56">
        <f t="shared" si="20"/>
        <v>0</v>
      </c>
      <c r="H79" s="81">
        <f t="shared" si="20"/>
        <v>0</v>
      </c>
      <c r="K79" s="100"/>
      <c r="L79" s="205"/>
      <c r="M79" s="205"/>
      <c r="N79" s="205"/>
    </row>
    <row r="80" spans="1:19" x14ac:dyDescent="0.25">
      <c r="A80" s="189" t="s">
        <v>145</v>
      </c>
      <c r="B80" s="324"/>
      <c r="C80" s="228"/>
      <c r="D80" s="243"/>
      <c r="E80" s="243"/>
      <c r="F80" s="243"/>
      <c r="G80" s="243"/>
      <c r="H80" s="244"/>
      <c r="K80" s="100"/>
      <c r="L80" s="205"/>
      <c r="M80" s="205"/>
      <c r="N80" s="205"/>
    </row>
    <row r="81" spans="1:13" x14ac:dyDescent="0.25">
      <c r="A81" s="92" t="s">
        <v>122</v>
      </c>
      <c r="B81" s="324"/>
      <c r="C81" s="74">
        <f>C51</f>
        <v>0.9</v>
      </c>
      <c r="D81" s="74">
        <f>C81</f>
        <v>0.9</v>
      </c>
      <c r="E81" s="74">
        <f>D81</f>
        <v>0.9</v>
      </c>
      <c r="F81" s="74">
        <f t="shared" ref="F81:H81" si="21">E81</f>
        <v>0.9</v>
      </c>
      <c r="G81" s="74">
        <f t="shared" si="21"/>
        <v>0.9</v>
      </c>
      <c r="H81" s="74">
        <f t="shared" si="21"/>
        <v>0.9</v>
      </c>
      <c r="K81" s="100"/>
    </row>
    <row r="82" spans="1:13" ht="15.75" thickBot="1" x14ac:dyDescent="0.3">
      <c r="A82" s="94" t="s">
        <v>14</v>
      </c>
      <c r="B82" s="325"/>
      <c r="C82" s="83">
        <f>C79*C81</f>
        <v>0</v>
      </c>
      <c r="D82" s="83">
        <f t="shared" ref="D82:H82" si="22">D79*D81</f>
        <v>0</v>
      </c>
      <c r="E82" s="83">
        <f t="shared" si="22"/>
        <v>0</v>
      </c>
      <c r="F82" s="83">
        <f t="shared" si="22"/>
        <v>0</v>
      </c>
      <c r="G82" s="83">
        <f t="shared" si="22"/>
        <v>0</v>
      </c>
      <c r="H82" s="84">
        <f t="shared" si="22"/>
        <v>0</v>
      </c>
      <c r="K82" s="100"/>
    </row>
    <row r="83" spans="1:13" ht="15.75" thickBot="1" x14ac:dyDescent="0.3">
      <c r="A83" s="50"/>
      <c r="B83" s="50"/>
      <c r="C83" s="50"/>
      <c r="D83" s="50"/>
      <c r="E83" s="50"/>
      <c r="F83" s="50"/>
      <c r="G83" s="50"/>
      <c r="H83" s="50"/>
      <c r="K83" s="100"/>
    </row>
    <row r="84" spans="1:13" ht="15.75" thickBot="1" x14ac:dyDescent="0.3">
      <c r="A84" s="326" t="s">
        <v>40</v>
      </c>
      <c r="B84" s="327"/>
      <c r="C84" s="327"/>
      <c r="D84" s="327"/>
      <c r="E84" s="327"/>
      <c r="F84" s="327"/>
      <c r="G84" s="327"/>
      <c r="H84" s="328"/>
      <c r="K84" s="100"/>
    </row>
    <row r="85" spans="1:13" ht="15.75" thickBot="1" x14ac:dyDescent="0.3">
      <c r="A85" s="95" t="s">
        <v>5</v>
      </c>
      <c r="B85" s="96"/>
      <c r="C85" s="156" t="s">
        <v>6</v>
      </c>
      <c r="D85" s="156" t="s">
        <v>7</v>
      </c>
      <c r="E85" s="156" t="s">
        <v>8</v>
      </c>
      <c r="F85" s="156" t="s">
        <v>9</v>
      </c>
      <c r="G85" s="156" t="s">
        <v>10</v>
      </c>
      <c r="H85" s="157" t="s">
        <v>18</v>
      </c>
      <c r="K85" s="100"/>
    </row>
    <row r="86" spans="1:13" x14ac:dyDescent="0.25">
      <c r="A86" s="91" t="s">
        <v>3</v>
      </c>
      <c r="B86" s="317"/>
      <c r="C86" s="318"/>
      <c r="D86" s="131">
        <f>(D88-C4)/30</f>
        <v>-1516.8</v>
      </c>
      <c r="E86" s="85">
        <v>36</v>
      </c>
      <c r="F86" s="85">
        <v>36</v>
      </c>
      <c r="G86" s="85">
        <v>36</v>
      </c>
      <c r="H86" s="86">
        <v>36</v>
      </c>
      <c r="K86" s="100"/>
      <c r="L86" s="100"/>
      <c r="M86" s="100"/>
    </row>
    <row r="87" spans="1:13" x14ac:dyDescent="0.25">
      <c r="A87" s="92" t="s">
        <v>11</v>
      </c>
      <c r="B87" s="319"/>
      <c r="C87" s="320"/>
      <c r="D87" s="73">
        <v>0</v>
      </c>
      <c r="E87" s="73">
        <f>D87</f>
        <v>0</v>
      </c>
      <c r="F87" s="73">
        <f t="shared" ref="F87:H87" si="23">E87</f>
        <v>0</v>
      </c>
      <c r="G87" s="73">
        <f t="shared" si="23"/>
        <v>0</v>
      </c>
      <c r="H87" s="73">
        <f t="shared" si="23"/>
        <v>0</v>
      </c>
      <c r="K87" s="100"/>
      <c r="L87" s="100"/>
      <c r="M87" s="100"/>
    </row>
    <row r="88" spans="1:13" x14ac:dyDescent="0.25">
      <c r="A88" s="92" t="s">
        <v>30</v>
      </c>
      <c r="B88" s="321"/>
      <c r="C88" s="322"/>
      <c r="D88" s="122"/>
      <c r="E88" s="53">
        <f>EDATE(D88,E86)</f>
        <v>1096</v>
      </c>
      <c r="F88" s="53">
        <f>EDATE(E88,F86)</f>
        <v>2192</v>
      </c>
      <c r="G88" s="53">
        <f>EDATE(F88,G86)</f>
        <v>3288</v>
      </c>
      <c r="H88" s="77">
        <f>EDATE(G88,H86)</f>
        <v>4383</v>
      </c>
      <c r="K88" s="100"/>
      <c r="L88" s="100"/>
      <c r="M88" s="100"/>
    </row>
    <row r="89" spans="1:13" x14ac:dyDescent="0.25">
      <c r="A89" s="92" t="s">
        <v>12</v>
      </c>
      <c r="B89" s="99"/>
      <c r="C89" s="123"/>
      <c r="D89" s="54">
        <f>C89*(1+D87)</f>
        <v>0</v>
      </c>
      <c r="E89" s="54">
        <f>D89*(1+E87)</f>
        <v>0</v>
      </c>
      <c r="F89" s="54">
        <f>E89*(1+F87)</f>
        <v>0</v>
      </c>
      <c r="G89" s="54">
        <f>F89*(1+G87)</f>
        <v>0</v>
      </c>
      <c r="H89" s="79">
        <f>G89*(1+H87)</f>
        <v>0</v>
      </c>
      <c r="K89" s="100"/>
      <c r="L89" s="100"/>
      <c r="M89" s="100"/>
    </row>
    <row r="90" spans="1:13" x14ac:dyDescent="0.25">
      <c r="A90" s="92" t="s">
        <v>60</v>
      </c>
      <c r="B90" s="88">
        <v>0.1</v>
      </c>
      <c r="C90" s="55">
        <f>C89*$B$90</f>
        <v>0</v>
      </c>
      <c r="D90" s="55">
        <f t="shared" ref="D90:H90" si="24">D89*$B$90</f>
        <v>0</v>
      </c>
      <c r="E90" s="55">
        <f t="shared" si="24"/>
        <v>0</v>
      </c>
      <c r="F90" s="55">
        <f t="shared" si="24"/>
        <v>0</v>
      </c>
      <c r="G90" s="55">
        <f t="shared" si="24"/>
        <v>0</v>
      </c>
      <c r="H90" s="80">
        <f t="shared" si="24"/>
        <v>0</v>
      </c>
      <c r="K90" s="100"/>
      <c r="L90" s="100"/>
      <c r="M90" s="100"/>
    </row>
    <row r="91" spans="1:13" x14ac:dyDescent="0.25">
      <c r="A91" s="92" t="s">
        <v>61</v>
      </c>
      <c r="B91" s="89">
        <v>0.02</v>
      </c>
      <c r="C91" s="55">
        <f>C89*$B$91</f>
        <v>0</v>
      </c>
      <c r="D91" s="55">
        <f t="shared" ref="D91:H91" si="25">D89*$B$91</f>
        <v>0</v>
      </c>
      <c r="E91" s="55">
        <f t="shared" si="25"/>
        <v>0</v>
      </c>
      <c r="F91" s="55">
        <f t="shared" si="25"/>
        <v>0</v>
      </c>
      <c r="G91" s="55">
        <f t="shared" si="25"/>
        <v>0</v>
      </c>
      <c r="H91" s="80">
        <f t="shared" si="25"/>
        <v>0</v>
      </c>
      <c r="K91" s="100"/>
      <c r="L91" s="100"/>
      <c r="M91" s="100"/>
    </row>
    <row r="92" spans="1:13" x14ac:dyDescent="0.25">
      <c r="A92" s="92" t="s">
        <v>62</v>
      </c>
      <c r="B92" s="90">
        <v>2E-3</v>
      </c>
      <c r="C92" s="54">
        <f>C89*$B$92</f>
        <v>0</v>
      </c>
      <c r="D92" s="54">
        <f t="shared" ref="D92:H92" si="26">D89*$B$92</f>
        <v>0</v>
      </c>
      <c r="E92" s="54">
        <f t="shared" si="26"/>
        <v>0</v>
      </c>
      <c r="F92" s="54">
        <f t="shared" si="26"/>
        <v>0</v>
      </c>
      <c r="G92" s="54">
        <f t="shared" si="26"/>
        <v>0</v>
      </c>
      <c r="H92" s="79">
        <f t="shared" si="26"/>
        <v>0</v>
      </c>
      <c r="K92" s="100"/>
      <c r="L92" s="100"/>
      <c r="M92" s="100"/>
    </row>
    <row r="93" spans="1:13" x14ac:dyDescent="0.25">
      <c r="A93" s="92" t="s">
        <v>16</v>
      </c>
      <c r="B93" s="313"/>
      <c r="C93" s="123"/>
      <c r="D93" s="123">
        <f>C93</f>
        <v>0</v>
      </c>
      <c r="E93" s="123">
        <f>D93</f>
        <v>0</v>
      </c>
      <c r="F93" s="123">
        <f>E93</f>
        <v>0</v>
      </c>
      <c r="G93" s="123">
        <f>F93</f>
        <v>0</v>
      </c>
      <c r="H93" s="123">
        <f>G93</f>
        <v>0</v>
      </c>
      <c r="K93" s="100"/>
      <c r="L93" s="100"/>
      <c r="M93" s="100"/>
    </row>
    <row r="94" spans="1:13" x14ac:dyDescent="0.25">
      <c r="A94" s="93" t="s">
        <v>13</v>
      </c>
      <c r="B94" s="314"/>
      <c r="C94" s="56">
        <f>C89-C90-C91-C92-C93</f>
        <v>0</v>
      </c>
      <c r="D94" s="56">
        <f>D89-D90-D91-D92-D93</f>
        <v>0</v>
      </c>
      <c r="E94" s="56">
        <f t="shared" ref="E94:H94" si="27">E89-E90-E91-E92-E93</f>
        <v>0</v>
      </c>
      <c r="F94" s="56">
        <f t="shared" si="27"/>
        <v>0</v>
      </c>
      <c r="G94" s="56">
        <f t="shared" si="27"/>
        <v>0</v>
      </c>
      <c r="H94" s="81">
        <f t="shared" si="27"/>
        <v>0</v>
      </c>
      <c r="K94" s="100"/>
      <c r="L94" s="100"/>
      <c r="M94" s="100"/>
    </row>
    <row r="95" spans="1:13" x14ac:dyDescent="0.25">
      <c r="A95" s="189" t="s">
        <v>145</v>
      </c>
      <c r="B95" s="314"/>
      <c r="C95" s="228"/>
      <c r="D95" s="243"/>
      <c r="E95" s="243"/>
      <c r="F95" s="243"/>
      <c r="G95" s="243"/>
      <c r="H95" s="243"/>
      <c r="K95" s="100"/>
      <c r="L95" s="100"/>
      <c r="M95" s="100"/>
    </row>
    <row r="96" spans="1:13" x14ac:dyDescent="0.25">
      <c r="A96" s="92" t="s">
        <v>122</v>
      </c>
      <c r="B96" s="314"/>
      <c r="C96" s="74">
        <f>C51</f>
        <v>0.9</v>
      </c>
      <c r="D96" s="74">
        <f>C96</f>
        <v>0.9</v>
      </c>
      <c r="E96" s="74">
        <f t="shared" ref="E96" si="28">D96</f>
        <v>0.9</v>
      </c>
      <c r="F96" s="74">
        <f t="shared" ref="F96" si="29">E96</f>
        <v>0.9</v>
      </c>
      <c r="G96" s="74">
        <f t="shared" ref="G96" si="30">F96</f>
        <v>0.9</v>
      </c>
      <c r="H96" s="82">
        <f t="shared" ref="H96" si="31">G96</f>
        <v>0.9</v>
      </c>
      <c r="K96" s="100"/>
      <c r="L96" s="100"/>
      <c r="M96" s="100"/>
    </row>
    <row r="97" spans="1:13" ht="15.75" thickBot="1" x14ac:dyDescent="0.3">
      <c r="A97" s="94" t="s">
        <v>14</v>
      </c>
      <c r="B97" s="315"/>
      <c r="C97" s="83">
        <f>C94*C96</f>
        <v>0</v>
      </c>
      <c r="D97" s="83">
        <f t="shared" ref="D97:H97" si="32">D94*D96</f>
        <v>0</v>
      </c>
      <c r="E97" s="83">
        <f t="shared" si="32"/>
        <v>0</v>
      </c>
      <c r="F97" s="83">
        <f t="shared" si="32"/>
        <v>0</v>
      </c>
      <c r="G97" s="83">
        <f t="shared" si="32"/>
        <v>0</v>
      </c>
      <c r="H97" s="84">
        <f t="shared" si="32"/>
        <v>0</v>
      </c>
      <c r="K97" s="100"/>
      <c r="L97" s="100"/>
      <c r="M97" s="100"/>
    </row>
    <row r="98" spans="1:13" ht="15.75" thickBot="1" x14ac:dyDescent="0.3">
      <c r="A98" s="50"/>
      <c r="B98" s="50"/>
      <c r="C98" s="50"/>
      <c r="D98" s="50"/>
      <c r="E98" s="50"/>
      <c r="F98" s="50"/>
      <c r="G98" s="50"/>
      <c r="H98" s="50"/>
      <c r="K98" s="100"/>
      <c r="L98" s="100"/>
      <c r="M98" s="100"/>
    </row>
    <row r="99" spans="1:13" ht="15.75" thickBot="1" x14ac:dyDescent="0.3">
      <c r="A99" s="326" t="s">
        <v>41</v>
      </c>
      <c r="B99" s="327"/>
      <c r="C99" s="327"/>
      <c r="D99" s="327"/>
      <c r="E99" s="327"/>
      <c r="F99" s="327"/>
      <c r="G99" s="327"/>
      <c r="H99" s="328"/>
      <c r="K99" s="100"/>
      <c r="L99" s="100"/>
      <c r="M99" s="100"/>
    </row>
    <row r="100" spans="1:13" ht="15.75" thickBot="1" x14ac:dyDescent="0.3">
      <c r="A100" s="95" t="s">
        <v>5</v>
      </c>
      <c r="B100" s="96"/>
      <c r="C100" s="158" t="s">
        <v>6</v>
      </c>
      <c r="D100" s="158" t="s">
        <v>7</v>
      </c>
      <c r="E100" s="158" t="s">
        <v>8</v>
      </c>
      <c r="F100" s="158" t="s">
        <v>9</v>
      </c>
      <c r="G100" s="158" t="s">
        <v>10</v>
      </c>
      <c r="H100" s="159" t="s">
        <v>18</v>
      </c>
      <c r="K100" s="100"/>
      <c r="L100" s="100"/>
      <c r="M100" s="100"/>
    </row>
    <row r="101" spans="1:13" x14ac:dyDescent="0.25">
      <c r="A101" s="91" t="s">
        <v>3</v>
      </c>
      <c r="B101" s="317"/>
      <c r="C101" s="318"/>
      <c r="D101" s="131">
        <f>(D103-C4)/30</f>
        <v>-1516.8</v>
      </c>
      <c r="E101" s="85">
        <v>12</v>
      </c>
      <c r="F101" s="85">
        <v>24</v>
      </c>
      <c r="G101" s="85">
        <v>12</v>
      </c>
      <c r="H101" s="86">
        <v>24</v>
      </c>
      <c r="K101" s="100"/>
      <c r="L101" s="100"/>
      <c r="M101" s="100"/>
    </row>
    <row r="102" spans="1:13" x14ac:dyDescent="0.25">
      <c r="A102" s="92" t="s">
        <v>11</v>
      </c>
      <c r="B102" s="319"/>
      <c r="C102" s="320"/>
      <c r="D102" s="73">
        <v>0</v>
      </c>
      <c r="E102" s="73">
        <f>D102</f>
        <v>0</v>
      </c>
      <c r="F102" s="73">
        <f t="shared" ref="F102:H102" si="33">E102</f>
        <v>0</v>
      </c>
      <c r="G102" s="73">
        <f t="shared" si="33"/>
        <v>0</v>
      </c>
      <c r="H102" s="73">
        <f t="shared" si="33"/>
        <v>0</v>
      </c>
      <c r="K102" s="100"/>
      <c r="L102" s="100"/>
      <c r="M102" s="100"/>
    </row>
    <row r="103" spans="1:13" x14ac:dyDescent="0.25">
      <c r="A103" s="92" t="s">
        <v>30</v>
      </c>
      <c r="B103" s="321"/>
      <c r="C103" s="322"/>
      <c r="D103" s="122"/>
      <c r="E103" s="53">
        <f>EDATE(D103,E101)</f>
        <v>366</v>
      </c>
      <c r="F103" s="53">
        <f>EDATE(E103,F101)</f>
        <v>1096</v>
      </c>
      <c r="G103" s="53">
        <f>EDATE(F103,G101)</f>
        <v>1461</v>
      </c>
      <c r="H103" s="77">
        <f>EDATE(G103,H101)</f>
        <v>2192</v>
      </c>
      <c r="K103" s="100"/>
      <c r="L103" s="100"/>
      <c r="M103" s="100"/>
    </row>
    <row r="104" spans="1:13" x14ac:dyDescent="0.25">
      <c r="A104" s="92" t="s">
        <v>12</v>
      </c>
      <c r="B104" s="99"/>
      <c r="C104" s="123"/>
      <c r="D104" s="54">
        <f>C104*(1+D102)</f>
        <v>0</v>
      </c>
      <c r="E104" s="54">
        <f>D104*(1+E102)</f>
        <v>0</v>
      </c>
      <c r="F104" s="54">
        <f>E104*(1+F102)</f>
        <v>0</v>
      </c>
      <c r="G104" s="54">
        <f>F104*(1+G102)</f>
        <v>0</v>
      </c>
      <c r="H104" s="79">
        <f>G104*(1+H102)</f>
        <v>0</v>
      </c>
      <c r="K104" s="100"/>
      <c r="L104" s="100"/>
      <c r="M104" s="100"/>
    </row>
    <row r="105" spans="1:13" x14ac:dyDescent="0.25">
      <c r="A105" s="92" t="s">
        <v>60</v>
      </c>
      <c r="B105" s="88">
        <v>0.1</v>
      </c>
      <c r="C105" s="55">
        <f>C104*$B$105</f>
        <v>0</v>
      </c>
      <c r="D105" s="55">
        <f t="shared" ref="D105:H105" si="34">D104*$B$105</f>
        <v>0</v>
      </c>
      <c r="E105" s="55">
        <f t="shared" si="34"/>
        <v>0</v>
      </c>
      <c r="F105" s="55">
        <f t="shared" si="34"/>
        <v>0</v>
      </c>
      <c r="G105" s="55">
        <f t="shared" si="34"/>
        <v>0</v>
      </c>
      <c r="H105" s="80">
        <f t="shared" si="34"/>
        <v>0</v>
      </c>
      <c r="K105" s="100"/>
      <c r="L105" s="100"/>
      <c r="M105" s="100"/>
    </row>
    <row r="106" spans="1:13" x14ac:dyDescent="0.25">
      <c r="A106" s="92" t="s">
        <v>61</v>
      </c>
      <c r="B106" s="89">
        <v>0.02</v>
      </c>
      <c r="C106" s="55">
        <f>C104*$B$106</f>
        <v>0</v>
      </c>
      <c r="D106" s="55">
        <f t="shared" ref="D106:H106" si="35">D104*$B$106</f>
        <v>0</v>
      </c>
      <c r="E106" s="55">
        <f t="shared" si="35"/>
        <v>0</v>
      </c>
      <c r="F106" s="55">
        <f t="shared" si="35"/>
        <v>0</v>
      </c>
      <c r="G106" s="55">
        <f t="shared" si="35"/>
        <v>0</v>
      </c>
      <c r="H106" s="80">
        <f t="shared" si="35"/>
        <v>0</v>
      </c>
      <c r="K106" s="100"/>
      <c r="L106" s="100"/>
      <c r="M106" s="100"/>
    </row>
    <row r="107" spans="1:13" x14ac:dyDescent="0.25">
      <c r="A107" s="92" t="s">
        <v>62</v>
      </c>
      <c r="B107" s="90">
        <v>2E-3</v>
      </c>
      <c r="C107" s="54">
        <f>C104*$B$107</f>
        <v>0</v>
      </c>
      <c r="D107" s="54">
        <f t="shared" ref="D107:H107" si="36">D104*$B$107</f>
        <v>0</v>
      </c>
      <c r="E107" s="54">
        <f t="shared" si="36"/>
        <v>0</v>
      </c>
      <c r="F107" s="54">
        <f t="shared" si="36"/>
        <v>0</v>
      </c>
      <c r="G107" s="54">
        <f t="shared" si="36"/>
        <v>0</v>
      </c>
      <c r="H107" s="79">
        <f t="shared" si="36"/>
        <v>0</v>
      </c>
      <c r="K107" s="100"/>
      <c r="L107" s="100"/>
      <c r="M107" s="100"/>
    </row>
    <row r="108" spans="1:13" x14ac:dyDescent="0.25">
      <c r="A108" s="92" t="s">
        <v>16</v>
      </c>
      <c r="B108" s="313"/>
      <c r="C108" s="123"/>
      <c r="D108" s="123">
        <f>C108</f>
        <v>0</v>
      </c>
      <c r="E108" s="123">
        <f>D108</f>
        <v>0</v>
      </c>
      <c r="F108" s="123">
        <f>E108</f>
        <v>0</v>
      </c>
      <c r="G108" s="123">
        <f>F108</f>
        <v>0</v>
      </c>
      <c r="H108" s="123">
        <f>G108</f>
        <v>0</v>
      </c>
      <c r="K108" s="100"/>
      <c r="L108" s="100"/>
      <c r="M108" s="100"/>
    </row>
    <row r="109" spans="1:13" x14ac:dyDescent="0.25">
      <c r="A109" s="93" t="s">
        <v>13</v>
      </c>
      <c r="B109" s="314"/>
      <c r="C109" s="56">
        <f>C104-C105-C106-C107-C108</f>
        <v>0</v>
      </c>
      <c r="D109" s="56">
        <f>D104-D105-D106-D107-D108</f>
        <v>0</v>
      </c>
      <c r="E109" s="56">
        <f t="shared" ref="E109:H109" si="37">E104-E105-E106-E107-E108</f>
        <v>0</v>
      </c>
      <c r="F109" s="56">
        <f t="shared" si="37"/>
        <v>0</v>
      </c>
      <c r="G109" s="56">
        <f t="shared" si="37"/>
        <v>0</v>
      </c>
      <c r="H109" s="81">
        <f t="shared" si="37"/>
        <v>0</v>
      </c>
      <c r="K109" s="100"/>
      <c r="L109" s="100"/>
      <c r="M109" s="100"/>
    </row>
    <row r="110" spans="1:13" x14ac:dyDescent="0.25">
      <c r="A110" s="189" t="s">
        <v>145</v>
      </c>
      <c r="B110" s="314"/>
      <c r="C110" s="228"/>
      <c r="D110" s="243"/>
      <c r="E110" s="243"/>
      <c r="F110" s="243"/>
      <c r="G110" s="243"/>
      <c r="H110" s="244"/>
      <c r="K110" s="100"/>
      <c r="L110" s="100"/>
      <c r="M110" s="100"/>
    </row>
    <row r="111" spans="1:13" x14ac:dyDescent="0.25">
      <c r="A111" s="92" t="s">
        <v>122</v>
      </c>
      <c r="B111" s="314"/>
      <c r="C111" s="74">
        <f>C51</f>
        <v>0.9</v>
      </c>
      <c r="D111" s="74">
        <f>C111</f>
        <v>0.9</v>
      </c>
      <c r="E111" s="74">
        <f>D111</f>
        <v>0.9</v>
      </c>
      <c r="F111" s="74">
        <f>E111</f>
        <v>0.9</v>
      </c>
      <c r="G111" s="74">
        <f>F111</f>
        <v>0.9</v>
      </c>
      <c r="H111" s="82">
        <f>G111</f>
        <v>0.9</v>
      </c>
      <c r="K111" s="100"/>
      <c r="L111" s="100"/>
      <c r="M111" s="100"/>
    </row>
    <row r="112" spans="1:13" ht="15.75" thickBot="1" x14ac:dyDescent="0.3">
      <c r="A112" s="94" t="s">
        <v>14</v>
      </c>
      <c r="B112" s="315"/>
      <c r="C112" s="83">
        <f>C109*C111</f>
        <v>0</v>
      </c>
      <c r="D112" s="83">
        <f t="shared" ref="D112:H112" si="38">D109*D111</f>
        <v>0</v>
      </c>
      <c r="E112" s="83">
        <f t="shared" si="38"/>
        <v>0</v>
      </c>
      <c r="F112" s="83">
        <f t="shared" si="38"/>
        <v>0</v>
      </c>
      <c r="G112" s="83">
        <f t="shared" si="38"/>
        <v>0</v>
      </c>
      <c r="H112" s="84">
        <f t="shared" si="38"/>
        <v>0</v>
      </c>
      <c r="K112" s="100"/>
      <c r="L112" s="100"/>
      <c r="M112" s="100"/>
    </row>
    <row r="113" spans="11:13" x14ac:dyDescent="0.25">
      <c r="K113" s="100"/>
      <c r="L113" s="100"/>
      <c r="M113" s="100"/>
    </row>
    <row r="114" spans="11:13" x14ac:dyDescent="0.25">
      <c r="K114" s="100"/>
      <c r="L114" s="100"/>
      <c r="M114" s="100"/>
    </row>
    <row r="115" spans="11:13" x14ac:dyDescent="0.25">
      <c r="K115" s="100"/>
      <c r="L115" s="100"/>
      <c r="M115" s="100"/>
    </row>
    <row r="116" spans="11:13" x14ac:dyDescent="0.25">
      <c r="K116" s="100"/>
      <c r="L116" s="100"/>
      <c r="M116" s="100"/>
    </row>
    <row r="117" spans="11:13" x14ac:dyDescent="0.25">
      <c r="K117" s="100"/>
      <c r="L117" s="100"/>
      <c r="M117" s="100"/>
    </row>
    <row r="118" spans="11:13" x14ac:dyDescent="0.25">
      <c r="K118" s="100"/>
      <c r="L118" s="100"/>
      <c r="M118" s="100"/>
    </row>
    <row r="119" spans="11:13" x14ac:dyDescent="0.25">
      <c r="K119" s="100"/>
      <c r="L119" s="100"/>
      <c r="M119" s="100"/>
    </row>
    <row r="120" spans="11:13" x14ac:dyDescent="0.25">
      <c r="K120" s="100"/>
      <c r="L120" s="100"/>
      <c r="M120" s="100"/>
    </row>
    <row r="121" spans="11:13" x14ac:dyDescent="0.25">
      <c r="K121" s="100"/>
      <c r="L121" s="100"/>
      <c r="M121" s="100"/>
    </row>
    <row r="122" spans="11:13" x14ac:dyDescent="0.25">
      <c r="K122" s="100"/>
      <c r="L122" s="100"/>
      <c r="M122" s="100"/>
    </row>
    <row r="123" spans="11:13" x14ac:dyDescent="0.25">
      <c r="K123" s="100"/>
      <c r="L123" s="100"/>
      <c r="M123" s="100"/>
    </row>
    <row r="124" spans="11:13" x14ac:dyDescent="0.25">
      <c r="K124" s="100"/>
      <c r="L124" s="100"/>
      <c r="M124" s="100"/>
    </row>
    <row r="125" spans="11:13" x14ac:dyDescent="0.25">
      <c r="K125" s="100"/>
      <c r="L125" s="100"/>
      <c r="M125" s="100"/>
    </row>
    <row r="126" spans="11:13" x14ac:dyDescent="0.25">
      <c r="K126" s="100"/>
      <c r="L126" s="100"/>
      <c r="M126" s="100"/>
    </row>
    <row r="127" spans="11:13" x14ac:dyDescent="0.25">
      <c r="K127" s="100"/>
      <c r="L127" s="100"/>
      <c r="M127" s="100"/>
    </row>
    <row r="128" spans="11:13" x14ac:dyDescent="0.25">
      <c r="K128" s="100"/>
      <c r="L128" s="100"/>
      <c r="M128" s="100"/>
    </row>
    <row r="129" spans="11:13" x14ac:dyDescent="0.25">
      <c r="K129" s="100"/>
      <c r="L129" s="100"/>
      <c r="M129" s="100"/>
    </row>
    <row r="130" spans="11:13" x14ac:dyDescent="0.25">
      <c r="K130" s="100"/>
      <c r="L130" s="100"/>
      <c r="M130" s="100"/>
    </row>
    <row r="131" spans="11:13" x14ac:dyDescent="0.25">
      <c r="K131" s="100"/>
      <c r="L131" s="100"/>
      <c r="M131" s="100"/>
    </row>
    <row r="132" spans="11:13" x14ac:dyDescent="0.25">
      <c r="K132" s="100"/>
      <c r="L132" s="100"/>
      <c r="M132" s="100"/>
    </row>
    <row r="133" spans="11:13" x14ac:dyDescent="0.25">
      <c r="K133" s="100"/>
      <c r="L133" s="100"/>
      <c r="M133" s="100"/>
    </row>
    <row r="134" spans="11:13" x14ac:dyDescent="0.25">
      <c r="K134" s="100"/>
      <c r="L134" s="100"/>
      <c r="M134" s="100"/>
    </row>
    <row r="135" spans="11:13" x14ac:dyDescent="0.25">
      <c r="K135" s="100"/>
      <c r="L135" s="100"/>
      <c r="M135" s="100"/>
    </row>
    <row r="136" spans="11:13" x14ac:dyDescent="0.25">
      <c r="K136" s="100"/>
      <c r="L136" s="100"/>
      <c r="M136" s="100"/>
    </row>
    <row r="137" spans="11:13" x14ac:dyDescent="0.25">
      <c r="K137" s="100"/>
      <c r="L137" s="100"/>
      <c r="M137" s="100"/>
    </row>
    <row r="138" spans="11:13" x14ac:dyDescent="0.25">
      <c r="K138" s="100"/>
      <c r="L138" s="100"/>
      <c r="M138" s="100"/>
    </row>
    <row r="139" spans="11:13" x14ac:dyDescent="0.25">
      <c r="K139" s="100"/>
      <c r="L139" s="100"/>
      <c r="M139" s="100"/>
    </row>
    <row r="140" spans="11:13" x14ac:dyDescent="0.25">
      <c r="K140" s="100"/>
      <c r="L140" s="100"/>
      <c r="M140" s="100"/>
    </row>
    <row r="141" spans="11:13" x14ac:dyDescent="0.25">
      <c r="K141" s="100"/>
      <c r="L141" s="100"/>
      <c r="M141" s="100"/>
    </row>
    <row r="142" spans="11:13" x14ac:dyDescent="0.25">
      <c r="K142" s="100"/>
      <c r="L142" s="100"/>
      <c r="M142" s="100"/>
    </row>
    <row r="143" spans="11:13" x14ac:dyDescent="0.25">
      <c r="K143" s="100"/>
      <c r="L143" s="100"/>
      <c r="M143" s="100"/>
    </row>
    <row r="144" spans="11:13" x14ac:dyDescent="0.25">
      <c r="K144" s="100"/>
      <c r="L144" s="100"/>
      <c r="M144" s="100"/>
    </row>
    <row r="145" spans="11:13" x14ac:dyDescent="0.25">
      <c r="K145" s="100"/>
      <c r="L145" s="100"/>
      <c r="M145" s="100"/>
    </row>
    <row r="146" spans="11:13" x14ac:dyDescent="0.25">
      <c r="K146" s="100"/>
      <c r="L146" s="100"/>
      <c r="M146" s="100"/>
    </row>
    <row r="147" spans="11:13" x14ac:dyDescent="0.25">
      <c r="K147" s="100"/>
      <c r="L147" s="100"/>
      <c r="M147" s="100"/>
    </row>
    <row r="148" spans="11:13" x14ac:dyDescent="0.25">
      <c r="K148" s="100"/>
      <c r="L148" s="100"/>
      <c r="M148" s="100"/>
    </row>
    <row r="149" spans="11:13" x14ac:dyDescent="0.25">
      <c r="K149" s="100"/>
      <c r="L149" s="100"/>
      <c r="M149" s="100"/>
    </row>
    <row r="150" spans="11:13" x14ac:dyDescent="0.25">
      <c r="K150" s="100"/>
      <c r="L150" s="100"/>
      <c r="M150" s="100"/>
    </row>
    <row r="151" spans="11:13" x14ac:dyDescent="0.25">
      <c r="K151" s="100"/>
      <c r="L151" s="100"/>
      <c r="M151" s="100"/>
    </row>
    <row r="152" spans="11:13" x14ac:dyDescent="0.25">
      <c r="K152" s="100"/>
      <c r="L152" s="100"/>
      <c r="M152" s="100"/>
    </row>
    <row r="153" spans="11:13" x14ac:dyDescent="0.25">
      <c r="K153" s="100"/>
      <c r="L153" s="100"/>
      <c r="M153" s="100"/>
    </row>
    <row r="154" spans="11:13" x14ac:dyDescent="0.25">
      <c r="K154" s="100"/>
      <c r="L154" s="100"/>
      <c r="M154" s="100"/>
    </row>
    <row r="155" spans="11:13" x14ac:dyDescent="0.25">
      <c r="K155" s="100"/>
      <c r="L155" s="100"/>
      <c r="M155" s="100"/>
    </row>
    <row r="156" spans="11:13" x14ac:dyDescent="0.25">
      <c r="K156" s="100"/>
      <c r="L156" s="100"/>
      <c r="M156" s="100"/>
    </row>
    <row r="157" spans="11:13" x14ac:dyDescent="0.25">
      <c r="K157" s="100"/>
      <c r="L157" s="100"/>
      <c r="M157" s="100"/>
    </row>
    <row r="158" spans="11:13" x14ac:dyDescent="0.25">
      <c r="K158" s="100"/>
      <c r="L158" s="100"/>
      <c r="M158" s="100"/>
    </row>
    <row r="159" spans="11:13" x14ac:dyDescent="0.25">
      <c r="K159" s="100"/>
      <c r="L159" s="100"/>
      <c r="M159" s="100"/>
    </row>
    <row r="160" spans="11:13" x14ac:dyDescent="0.25">
      <c r="K160" s="100"/>
      <c r="L160" s="100"/>
      <c r="M160" s="100"/>
    </row>
    <row r="161" spans="11:13" x14ac:dyDescent="0.25">
      <c r="K161" s="100"/>
      <c r="L161" s="100"/>
      <c r="M161" s="100"/>
    </row>
    <row r="162" spans="11:13" x14ac:dyDescent="0.25">
      <c r="K162" s="100"/>
      <c r="L162" s="100"/>
      <c r="M162" s="100"/>
    </row>
    <row r="163" spans="11:13" x14ac:dyDescent="0.25">
      <c r="K163" s="100"/>
      <c r="L163" s="100"/>
      <c r="M163" s="100"/>
    </row>
    <row r="164" spans="11:13" x14ac:dyDescent="0.25">
      <c r="K164" s="100"/>
      <c r="L164" s="100"/>
      <c r="M164" s="100"/>
    </row>
    <row r="165" spans="11:13" x14ac:dyDescent="0.25">
      <c r="K165" s="100"/>
      <c r="L165" s="100"/>
      <c r="M165" s="100"/>
    </row>
    <row r="166" spans="11:13" x14ac:dyDescent="0.25">
      <c r="K166" s="100"/>
      <c r="L166" s="100"/>
      <c r="M166" s="100"/>
    </row>
    <row r="167" spans="11:13" x14ac:dyDescent="0.25">
      <c r="K167" s="100"/>
      <c r="L167" s="100"/>
      <c r="M167" s="100"/>
    </row>
    <row r="168" spans="11:13" x14ac:dyDescent="0.25">
      <c r="K168" s="100"/>
      <c r="L168" s="100"/>
      <c r="M168" s="100"/>
    </row>
    <row r="169" spans="11:13" x14ac:dyDescent="0.25">
      <c r="K169" s="100"/>
      <c r="L169" s="100"/>
      <c r="M169" s="100"/>
    </row>
    <row r="170" spans="11:13" x14ac:dyDescent="0.25">
      <c r="K170" s="100"/>
      <c r="L170" s="100"/>
      <c r="M170" s="100"/>
    </row>
    <row r="171" spans="11:13" x14ac:dyDescent="0.25">
      <c r="K171" s="100"/>
      <c r="L171" s="100"/>
      <c r="M171" s="100"/>
    </row>
    <row r="172" spans="11:13" x14ac:dyDescent="0.25">
      <c r="K172" s="100"/>
      <c r="L172" s="100"/>
      <c r="M172" s="100"/>
    </row>
    <row r="173" spans="11:13" x14ac:dyDescent="0.25">
      <c r="K173" s="100"/>
      <c r="L173" s="100"/>
      <c r="M173" s="100"/>
    </row>
    <row r="174" spans="11:13" x14ac:dyDescent="0.25">
      <c r="K174" s="100"/>
      <c r="L174" s="100"/>
      <c r="M174" s="100"/>
    </row>
    <row r="175" spans="11:13" x14ac:dyDescent="0.25">
      <c r="K175" s="100"/>
      <c r="L175" s="100"/>
      <c r="M175" s="100"/>
    </row>
    <row r="176" spans="11:13" x14ac:dyDescent="0.25">
      <c r="K176" s="100"/>
      <c r="L176" s="100"/>
      <c r="M176" s="100"/>
    </row>
    <row r="177" spans="11:13" x14ac:dyDescent="0.25">
      <c r="K177" s="100"/>
      <c r="L177" s="100"/>
      <c r="M177" s="100"/>
    </row>
    <row r="178" spans="11:13" x14ac:dyDescent="0.25">
      <c r="K178" s="100"/>
      <c r="L178" s="100"/>
      <c r="M178" s="100"/>
    </row>
    <row r="179" spans="11:13" x14ac:dyDescent="0.25">
      <c r="K179" s="100"/>
      <c r="L179" s="100"/>
      <c r="M179" s="100"/>
    </row>
    <row r="180" spans="11:13" x14ac:dyDescent="0.25">
      <c r="K180" s="100"/>
      <c r="L180" s="100"/>
      <c r="M180" s="100"/>
    </row>
    <row r="181" spans="11:13" x14ac:dyDescent="0.25">
      <c r="K181" s="100"/>
      <c r="L181" s="100"/>
      <c r="M181" s="100"/>
    </row>
    <row r="182" spans="11:13" x14ac:dyDescent="0.25">
      <c r="K182" s="100"/>
      <c r="L182" s="100"/>
      <c r="M182" s="100"/>
    </row>
    <row r="183" spans="11:13" x14ac:dyDescent="0.25">
      <c r="K183" s="100"/>
      <c r="L183" s="100"/>
      <c r="M183" s="100"/>
    </row>
    <row r="184" spans="11:13" x14ac:dyDescent="0.25">
      <c r="K184" s="100"/>
      <c r="L184" s="100"/>
      <c r="M184" s="100"/>
    </row>
    <row r="185" spans="11:13" x14ac:dyDescent="0.25">
      <c r="K185" s="100"/>
      <c r="L185" s="100"/>
      <c r="M185" s="100"/>
    </row>
    <row r="186" spans="11:13" x14ac:dyDescent="0.25">
      <c r="K186" s="100"/>
      <c r="L186" s="100"/>
      <c r="M186" s="100"/>
    </row>
    <row r="187" spans="11:13" x14ac:dyDescent="0.25">
      <c r="K187" s="100"/>
      <c r="L187" s="100"/>
      <c r="M187" s="100"/>
    </row>
    <row r="188" spans="11:13" x14ac:dyDescent="0.25">
      <c r="K188" s="100"/>
      <c r="L188" s="100"/>
      <c r="M188" s="100"/>
    </row>
    <row r="189" spans="11:13" x14ac:dyDescent="0.25">
      <c r="K189" s="100"/>
      <c r="L189" s="100"/>
      <c r="M189" s="100"/>
    </row>
    <row r="190" spans="11:13" x14ac:dyDescent="0.25">
      <c r="K190" s="100"/>
      <c r="L190" s="100"/>
      <c r="M190" s="100"/>
    </row>
    <row r="191" spans="11:13" x14ac:dyDescent="0.25">
      <c r="K191" s="100"/>
      <c r="L191" s="100"/>
      <c r="M191" s="100"/>
    </row>
    <row r="192" spans="11:13" x14ac:dyDescent="0.25">
      <c r="K192" s="100"/>
      <c r="L192" s="100"/>
      <c r="M192" s="100"/>
    </row>
    <row r="193" spans="11:13" x14ac:dyDescent="0.25">
      <c r="K193" s="100"/>
      <c r="L193" s="100"/>
      <c r="M193" s="100"/>
    </row>
    <row r="194" spans="11:13" x14ac:dyDescent="0.25">
      <c r="K194" s="100"/>
      <c r="L194" s="100"/>
      <c r="M194" s="100"/>
    </row>
    <row r="195" spans="11:13" x14ac:dyDescent="0.25">
      <c r="K195" s="100"/>
      <c r="L195" s="100"/>
      <c r="M195" s="100"/>
    </row>
    <row r="196" spans="11:13" x14ac:dyDescent="0.25">
      <c r="K196" s="100"/>
      <c r="L196" s="100"/>
      <c r="M196" s="100"/>
    </row>
    <row r="197" spans="11:13" x14ac:dyDescent="0.25">
      <c r="K197" s="100"/>
      <c r="L197" s="100"/>
      <c r="M197" s="100"/>
    </row>
    <row r="198" spans="11:13" x14ac:dyDescent="0.25">
      <c r="K198" s="100"/>
      <c r="L198" s="100"/>
      <c r="M198" s="100"/>
    </row>
    <row r="199" spans="11:13" x14ac:dyDescent="0.25">
      <c r="K199" s="100"/>
      <c r="L199" s="100"/>
      <c r="M199" s="100"/>
    </row>
    <row r="200" spans="11:13" x14ac:dyDescent="0.25">
      <c r="K200" s="100"/>
      <c r="L200" s="100"/>
      <c r="M200" s="100"/>
    </row>
    <row r="201" spans="11:13" x14ac:dyDescent="0.25">
      <c r="K201" s="100"/>
      <c r="L201" s="100"/>
      <c r="M201" s="100"/>
    </row>
  </sheetData>
  <sheetProtection algorithmName="SHA-512" hashValue="vF7K1dXXGHTsSSmGRuUXjzoP22mKKBxLlrlmRa4LS0ObQmtheu3fHAWs727PDoDZLLNRDlD4KCPjt+5dXGWkAQ==" saltValue="r6xvHjDd+HqjDxEhm4PM8Q==" spinCount="100000" sheet="1" formatCells="0" formatColumns="0" formatRows="0" pivotTables="0"/>
  <mergeCells count="34">
    <mergeCell ref="B108:B112"/>
    <mergeCell ref="J32:N32"/>
    <mergeCell ref="B101:C103"/>
    <mergeCell ref="B71:C73"/>
    <mergeCell ref="B78:B82"/>
    <mergeCell ref="B86:C88"/>
    <mergeCell ref="B93:B97"/>
    <mergeCell ref="J57:N57"/>
    <mergeCell ref="A99:H99"/>
    <mergeCell ref="A39:H39"/>
    <mergeCell ref="A54:H54"/>
    <mergeCell ref="A69:H69"/>
    <mergeCell ref="B41:C43"/>
    <mergeCell ref="B56:C58"/>
    <mergeCell ref="A84:H84"/>
    <mergeCell ref="A1:H1"/>
    <mergeCell ref="K4:L4"/>
    <mergeCell ref="A3:B3"/>
    <mergeCell ref="A4:B4"/>
    <mergeCell ref="A5:B5"/>
    <mergeCell ref="A26:H26"/>
    <mergeCell ref="D19:J19"/>
    <mergeCell ref="AA2:AB2"/>
    <mergeCell ref="A15:A18"/>
    <mergeCell ref="B15:B18"/>
    <mergeCell ref="A6:B6"/>
    <mergeCell ref="A7:B7"/>
    <mergeCell ref="K5:L5"/>
    <mergeCell ref="M4:M5"/>
    <mergeCell ref="X2:Y2"/>
    <mergeCell ref="B8:C11"/>
    <mergeCell ref="O2:P2"/>
    <mergeCell ref="R2:S2"/>
    <mergeCell ref="U2:V2"/>
  </mergeCells>
  <conditionalFormatting sqref="L34:M40">
    <cfRule type="cellIs" dxfId="40" priority="3" operator="greaterThan">
      <formula>0.5</formula>
    </cfRule>
  </conditionalFormatting>
  <dataValidations count="1">
    <dataValidation type="list" allowBlank="1" showInputMessage="1" showErrorMessage="1" sqref="B15" xr:uid="{2D2AAB9F-1004-40E1-B0E3-B72CE973F107}">
      <formula1>$AD$9:$AD$10</formula1>
    </dataValidation>
  </dataValidations>
  <hyperlinks>
    <hyperlink ref="A45" r:id="rId1" display="TDS@10%" xr:uid="{00000000-0004-0000-0000-000000000000}"/>
    <hyperlink ref="A47" r:id="rId2" display="Insurance@0.2%" xr:uid="{00000000-0004-0000-0000-000001000000}"/>
    <hyperlink ref="A60" r:id="rId3" display="TDS@10%" xr:uid="{E0E462E8-2AD4-4A26-BCDA-45E3620021D7}"/>
    <hyperlink ref="A62" r:id="rId4" display="Insurance@0.2%" xr:uid="{DAB9E85B-D394-4410-B96B-8CB3C56E2DAB}"/>
    <hyperlink ref="A75" r:id="rId5" display="TDS@10%" xr:uid="{B9D76559-85A0-4237-95A7-A6D133A4F959}"/>
    <hyperlink ref="A77" r:id="rId6" display="Insurance@0.2%" xr:uid="{C1657BAC-C940-43C5-99E5-567EAC2E20A8}"/>
    <hyperlink ref="A90" r:id="rId7" display="TDS@10%" xr:uid="{B28B5F27-3F7C-4429-89B5-B1B652FAA533}"/>
    <hyperlink ref="A92" r:id="rId8" display="Insurance@0.2%" xr:uid="{C4FD5BA1-C89B-4BFC-8CAB-06320C155E90}"/>
    <hyperlink ref="A105" r:id="rId9" display="TDS@10%" xr:uid="{B508783E-B333-46BC-9C71-13F2CED1AE3A}"/>
    <hyperlink ref="A107" r:id="rId10" display="Insurance@0.2%" xr:uid="{5452B52F-0D3C-43BB-A513-736E238146BF}"/>
    <hyperlink ref="A29" r:id="rId11" display="TDS@10%" xr:uid="{8E9EA5AA-B3F8-4FD7-82C2-C365D1C5FB5F}"/>
    <hyperlink ref="A31" r:id="rId12" display="Insurance@0.2%" xr:uid="{3E40251E-2479-4DD9-B30D-E601EA0DC9F4}"/>
  </hyperlinks>
  <pageMargins left="0.7" right="0.7" top="0.75" bottom="0.75" header="0.3" footer="0.3"/>
  <pageSetup paperSize="9" scale="42" orientation="portrait" r:id="rId13"/>
  <rowBreaks count="2" manualBreakCount="2">
    <brk id="38" max="27" man="1"/>
    <brk id="113" max="16383" man="1"/>
  </rowBreaks>
  <colBreaks count="1" manualBreakCount="1">
    <brk id="9" max="1048575" man="1"/>
  </colBreaks>
  <drawing r:id="rId14"/>
  <legacyDrawing r:id="rId15"/>
  <mc:AlternateContent xmlns:mc="http://schemas.openxmlformats.org/markup-compatibility/2006">
    <mc:Choice Requires="x14">
      <controls>
        <mc:AlternateContent xmlns:mc="http://schemas.openxmlformats.org/markup-compatibility/2006">
          <mc:Choice Requires="x14">
            <control shapeId="9218" r:id="rId16" name="Button 2">
              <controlPr defaultSize="0" print="0" autoFill="0" autoPict="0" macro="[0]!Runeligibility">
                <anchor moveWithCells="1" sizeWithCells="1">
                  <from>
                    <xdr:col>0</xdr:col>
                    <xdr:colOff>0</xdr:colOff>
                    <xdr:row>11</xdr:row>
                    <xdr:rowOff>104775</xdr:rowOff>
                  </from>
                  <to>
                    <xdr:col>2</xdr:col>
                    <xdr:colOff>1000125</xdr:colOff>
                    <xdr:row>12</xdr:row>
                    <xdr:rowOff>180975</xdr:rowOff>
                  </to>
                </anchor>
              </controlPr>
            </control>
          </mc:Choice>
        </mc:AlternateContent>
        <mc:AlternateContent xmlns:mc="http://schemas.openxmlformats.org/markup-compatibility/2006">
          <mc:Choice Requires="x14">
            <control shapeId="9222" r:id="rId17" name="Button 6">
              <controlPr defaultSize="0" print="0" autoFill="0" autoPict="0" macro="[0]!ResetValuesToBillion">
                <anchor moveWithCells="1" sizeWithCells="1">
                  <from>
                    <xdr:col>0</xdr:col>
                    <xdr:colOff>0</xdr:colOff>
                    <xdr:row>8</xdr:row>
                    <xdr:rowOff>95250</xdr:rowOff>
                  </from>
                  <to>
                    <xdr:col>1</xdr:col>
                    <xdr:colOff>0</xdr:colOff>
                    <xdr:row>9</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FE614640-FFB9-4519-8EC0-D4CF75979088}">
            <xm:f>IF(COUNTIF('180M'!H4:H184, "&lt;0")+COUNTIF('144M'!H4:H184, "&lt;0")+COUNTIF('120M'!H4:H184, "&lt;0")+COUNTIF('Fixed Tenure'!H4:H184, "&lt;0")+COUNTIF('Unique Tenure'!H4:H184,"&lt;0")+COUNTIF('Unique Tenure'!S4:S184,"&lt;0")+COUNTIF('Unique Tenure'!AE4:AE184,"&lt;0")+COUNTIF('Unique Tenure'!AQ4:AQ184,"&lt;0")+COUNTIF('Unique Tenure'!BC4:BC184,"&lt;0")+COUNTIF('Unique Tenure'!BO4:BO184,"&lt;0")=0, TRUE, FALSE)</xm:f>
            <x14:dxf>
              <fill>
                <gradientFill type="path" left="0.5" right="0.5" top="0.5" bottom="0.5">
                  <stop position="0">
                    <color theme="1"/>
                  </stop>
                  <stop position="1">
                    <color rgb="FF00B050"/>
                  </stop>
                </gradientFill>
              </fill>
            </x14:dxf>
          </x14:cfRule>
          <x14:cfRule type="expression" priority="2" id="{A7B81E7B-4F08-4E89-87A6-6390FAEB2615}">
            <xm:f>IF(COUNTIF('180M'!H4:H184, "&lt;0")+COUNTIF('144M'!H4:H184, "&lt;0")+COUNTIF('120M'!H4:H184, "&lt;0")+COUNTIF('Fixed Tenure'!H4:H184, "&lt;0")+COUNTIF('Unique Tenure'!H4:H184,"&lt;0")+COUNTIF('Unique Tenure'!S4:S184,"&lt;0")+COUNTIF('Unique Tenure'!AE4:AE184,"&lt;0")+COUNTIF('Unique Tenure'!AQ4:AQ184,"&lt;0")+COUNTIF('Unique Tenure'!BC4:BC184,"&lt;0")+COUNTIF('Unique Tenure'!BO4:BO184,"&lt;0")&gt;0, TRUE, FALSE)</xm:f>
            <x14:dxf>
              <fill>
                <gradientFill type="path" left="0.5" right="0.5" top="0.5" bottom="0.5">
                  <stop position="0">
                    <color rgb="FFFF0000"/>
                  </stop>
                  <stop position="1">
                    <color theme="1"/>
                  </stop>
                </gradientFill>
              </fill>
            </x14:dxf>
          </x14:cfRule>
          <xm:sqref>B8:C11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19985-AC1B-4C57-8E15-B9DB337D79FB}">
  <sheetPr codeName="Sheet9"/>
  <dimension ref="A1:F23"/>
  <sheetViews>
    <sheetView workbookViewId="0">
      <selection activeCell="B14" sqref="B14"/>
    </sheetView>
  </sheetViews>
  <sheetFormatPr defaultRowHeight="15" x14ac:dyDescent="0.25"/>
  <cols>
    <col min="1" max="1" width="30.5703125" bestFit="1" customWidth="1"/>
    <col min="2" max="2" width="36.28515625" customWidth="1"/>
    <col min="3" max="3" width="29.42578125" customWidth="1"/>
    <col min="4" max="4" width="32" customWidth="1"/>
    <col min="5" max="5" width="29" customWidth="1"/>
    <col min="6" max="6" width="36.85546875" customWidth="1"/>
  </cols>
  <sheetData>
    <row r="1" spans="1:6" x14ac:dyDescent="0.25">
      <c r="A1" s="6" t="s">
        <v>69</v>
      </c>
      <c r="B1" s="3"/>
      <c r="C1" s="3"/>
      <c r="D1" s="3"/>
      <c r="E1" s="3"/>
      <c r="F1" s="3"/>
    </row>
    <row r="2" spans="1:6" x14ac:dyDescent="0.25">
      <c r="A2" s="7" t="s">
        <v>70</v>
      </c>
      <c r="B2" s="8"/>
      <c r="C2" s="9"/>
      <c r="D2" s="9"/>
      <c r="E2" s="10"/>
      <c r="F2" s="10"/>
    </row>
    <row r="3" spans="1:6" x14ac:dyDescent="0.25">
      <c r="A3" s="7" t="s">
        <v>71</v>
      </c>
      <c r="B3" s="9" t="s">
        <v>31</v>
      </c>
      <c r="C3" s="8" t="s">
        <v>38</v>
      </c>
      <c r="D3" s="9" t="s">
        <v>39</v>
      </c>
      <c r="E3" s="11" t="s">
        <v>40</v>
      </c>
      <c r="F3" s="11" t="s">
        <v>41</v>
      </c>
    </row>
    <row r="4" spans="1:6" x14ac:dyDescent="0.25">
      <c r="A4" s="7" t="s">
        <v>72</v>
      </c>
      <c r="B4" s="12"/>
      <c r="C4" s="12"/>
      <c r="D4" s="12"/>
      <c r="E4" s="12"/>
      <c r="F4" s="12"/>
    </row>
    <row r="5" spans="1:6" x14ac:dyDescent="0.25">
      <c r="A5" s="13" t="s">
        <v>73</v>
      </c>
      <c r="B5" s="14"/>
      <c r="C5" s="14"/>
      <c r="D5" s="14"/>
      <c r="E5" s="14"/>
      <c r="F5" s="14"/>
    </row>
    <row r="6" spans="1:6" x14ac:dyDescent="0.25">
      <c r="A6" s="7" t="s">
        <v>74</v>
      </c>
      <c r="B6" s="15"/>
      <c r="C6" s="15"/>
      <c r="D6" s="15"/>
      <c r="E6" s="15"/>
      <c r="F6" s="15"/>
    </row>
    <row r="7" spans="1:6" x14ac:dyDescent="0.25">
      <c r="A7" s="7" t="s">
        <v>75</v>
      </c>
      <c r="B7" s="16"/>
      <c r="C7" s="17"/>
      <c r="D7" s="17"/>
      <c r="E7" s="16"/>
      <c r="F7" s="16"/>
    </row>
    <row r="8" spans="1:6" x14ac:dyDescent="0.25">
      <c r="A8" s="18" t="s">
        <v>76</v>
      </c>
      <c r="B8" s="19"/>
      <c r="C8" s="19"/>
      <c r="D8" s="20"/>
      <c r="E8" s="19"/>
      <c r="F8" s="19"/>
    </row>
    <row r="9" spans="1:6" x14ac:dyDescent="0.25">
      <c r="A9" s="7" t="s">
        <v>77</v>
      </c>
      <c r="B9" s="21"/>
      <c r="C9" s="14"/>
      <c r="D9" s="22"/>
      <c r="E9" s="14"/>
      <c r="F9" s="14"/>
    </row>
    <row r="10" spans="1:6" x14ac:dyDescent="0.25">
      <c r="A10" s="7" t="s">
        <v>78</v>
      </c>
      <c r="B10" s="21">
        <v>49551</v>
      </c>
      <c r="C10" s="14"/>
      <c r="D10" s="22"/>
      <c r="E10" s="14"/>
      <c r="F10" s="14"/>
    </row>
    <row r="11" spans="1:6" x14ac:dyDescent="0.25">
      <c r="A11" s="7" t="s">
        <v>79</v>
      </c>
      <c r="B11" s="23"/>
      <c r="C11" s="23"/>
      <c r="D11" s="23"/>
      <c r="E11" s="23"/>
      <c r="F11" s="23"/>
    </row>
    <row r="12" spans="1:6" x14ac:dyDescent="0.25">
      <c r="A12" s="7" t="s">
        <v>80</v>
      </c>
      <c r="B12" s="23"/>
      <c r="C12" s="23"/>
      <c r="D12" s="23"/>
      <c r="E12" s="23"/>
      <c r="F12" s="23"/>
    </row>
    <row r="13" spans="1:6" x14ac:dyDescent="0.25">
      <c r="A13" s="7" t="s">
        <v>81</v>
      </c>
      <c r="B13" s="23"/>
      <c r="C13" s="23"/>
      <c r="D13" s="23"/>
      <c r="E13" s="23"/>
      <c r="F13" s="23"/>
    </row>
    <row r="14" spans="1:6" x14ac:dyDescent="0.25">
      <c r="A14" s="7" t="s">
        <v>82</v>
      </c>
      <c r="B14" s="23">
        <v>1235000</v>
      </c>
      <c r="C14" s="24"/>
      <c r="D14" s="24"/>
      <c r="E14" s="24"/>
      <c r="F14" s="24"/>
    </row>
    <row r="15" spans="1:6" x14ac:dyDescent="0.25">
      <c r="A15" s="7" t="s">
        <v>83</v>
      </c>
      <c r="B15" s="23"/>
      <c r="C15" s="23"/>
      <c r="D15" s="23"/>
      <c r="E15" s="23"/>
      <c r="F15" s="23"/>
    </row>
    <row r="16" spans="1:6" x14ac:dyDescent="0.25">
      <c r="A16" s="7" t="s">
        <v>84</v>
      </c>
      <c r="B16" s="23"/>
      <c r="C16" s="23"/>
      <c r="D16" s="23"/>
      <c r="E16" s="23"/>
      <c r="F16" s="23"/>
    </row>
    <row r="17" spans="1:6" x14ac:dyDescent="0.25">
      <c r="A17" s="7" t="s">
        <v>85</v>
      </c>
      <c r="B17" s="23"/>
      <c r="C17" s="23"/>
      <c r="D17" s="23"/>
      <c r="E17" s="23"/>
      <c r="F17" s="23"/>
    </row>
    <row r="18" spans="1:6" x14ac:dyDescent="0.25">
      <c r="A18" s="7" t="s">
        <v>86</v>
      </c>
      <c r="B18" s="23"/>
      <c r="C18" s="23"/>
      <c r="D18" s="23"/>
      <c r="E18" s="23"/>
      <c r="F18" s="23"/>
    </row>
    <row r="19" spans="1:6" x14ac:dyDescent="0.25">
      <c r="A19" s="7" t="s">
        <v>87</v>
      </c>
      <c r="B19" s="19"/>
      <c r="C19" s="19"/>
      <c r="D19" s="19"/>
      <c r="E19" s="19"/>
      <c r="F19" s="19"/>
    </row>
    <row r="20" spans="1:6" x14ac:dyDescent="0.25">
      <c r="A20" s="7" t="s">
        <v>88</v>
      </c>
      <c r="B20" s="23"/>
      <c r="C20" s="23"/>
      <c r="D20" s="23"/>
      <c r="E20" s="23"/>
      <c r="F20" s="23"/>
    </row>
    <row r="21" spans="1:6" x14ac:dyDescent="0.25">
      <c r="A21" s="25" t="s">
        <v>89</v>
      </c>
      <c r="B21" s="23"/>
      <c r="C21" s="12"/>
      <c r="D21" s="23"/>
      <c r="E21" s="12"/>
      <c r="F21" s="12"/>
    </row>
    <row r="22" spans="1:6" x14ac:dyDescent="0.25">
      <c r="A22" s="18" t="s">
        <v>90</v>
      </c>
      <c r="B22" s="23"/>
      <c r="C22" s="23"/>
      <c r="D22" s="23"/>
      <c r="E22" s="23"/>
      <c r="F22" s="23"/>
    </row>
    <row r="23" spans="1:6" x14ac:dyDescent="0.25">
      <c r="A23" s="25" t="s">
        <v>91</v>
      </c>
      <c r="B23" s="26"/>
      <c r="C23" s="23"/>
      <c r="D23" s="23"/>
      <c r="E23" s="27"/>
      <c r="F23" s="27"/>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9AA57-7CE7-4A4C-946A-0493EF969A50}">
  <sheetPr codeName="Sheet11"/>
  <dimension ref="A2:AP28"/>
  <sheetViews>
    <sheetView workbookViewId="0"/>
  </sheetViews>
  <sheetFormatPr defaultRowHeight="15" x14ac:dyDescent="0.25"/>
  <cols>
    <col min="1" max="1" width="9.140625" style="3"/>
    <col min="2" max="2" width="25.42578125" style="3" customWidth="1"/>
    <col min="3" max="3" width="11.7109375" style="3" customWidth="1"/>
    <col min="4" max="4" width="11.5703125" style="3" customWidth="1"/>
    <col min="5" max="5" width="10.85546875" style="3" customWidth="1"/>
    <col min="6" max="6" width="18.28515625" style="3" customWidth="1"/>
    <col min="7" max="7" width="13.5703125" style="3" customWidth="1"/>
    <col min="8" max="8" width="11.5703125" style="3" customWidth="1"/>
    <col min="9" max="9" width="10.85546875" style="3" customWidth="1"/>
    <col min="10" max="10" width="9.140625" style="3" customWidth="1"/>
    <col min="11" max="11" width="4.7109375" style="3" customWidth="1"/>
    <col min="12" max="12" width="8.140625" style="3" customWidth="1"/>
    <col min="13" max="13" width="5.85546875" style="3" customWidth="1"/>
    <col min="14" max="14" width="9.140625" style="3"/>
    <col min="15" max="15" width="4.7109375" style="3" customWidth="1"/>
    <col min="16" max="16" width="8.140625" style="3" customWidth="1"/>
    <col min="17" max="17" width="5.85546875" style="3" customWidth="1"/>
    <col min="18" max="18" width="9.140625" style="3"/>
    <col min="19" max="19" width="4.7109375" style="3" customWidth="1"/>
    <col min="20" max="20" width="8.140625" style="3" customWidth="1"/>
    <col min="21" max="21" width="5.85546875" style="3" customWidth="1"/>
    <col min="22" max="22" width="9.140625" style="3"/>
    <col min="23" max="23" width="4.7109375" style="3" customWidth="1"/>
    <col min="24" max="24" width="8.140625" style="3" customWidth="1"/>
    <col min="25" max="25" width="5.85546875" style="3" customWidth="1"/>
    <col min="26" max="26" width="9.140625" style="3"/>
    <col min="27" max="27" width="4.7109375" style="3" customWidth="1"/>
    <col min="28" max="28" width="8.140625" style="3" customWidth="1"/>
    <col min="29" max="29" width="5.85546875" style="3" customWidth="1"/>
    <col min="30" max="30" width="9.140625" style="3"/>
    <col min="31" max="31" width="4.7109375" style="3" customWidth="1"/>
    <col min="32" max="32" width="8.140625" style="3" customWidth="1"/>
    <col min="33" max="33" width="5.85546875" style="3" customWidth="1"/>
    <col min="34" max="34" width="9.140625" style="3"/>
    <col min="35" max="35" width="4.7109375" style="3" customWidth="1"/>
    <col min="36" max="36" width="8.140625" style="3" customWidth="1"/>
    <col min="37" max="37" width="5.85546875" style="3" customWidth="1"/>
    <col min="38" max="38" width="9.140625" style="3"/>
    <col min="39" max="39" width="4.7109375" style="3" customWidth="1"/>
    <col min="40" max="40" width="8.140625" style="3" customWidth="1"/>
    <col min="41" max="41" width="5.85546875" style="3" customWidth="1"/>
    <col min="42" max="16384" width="9.140625" style="3"/>
  </cols>
  <sheetData>
    <row r="2" spans="1:42" x14ac:dyDescent="0.25">
      <c r="A2" s="28" t="s">
        <v>92</v>
      </c>
    </row>
    <row r="3" spans="1:42" ht="50.25" customHeight="1" x14ac:dyDescent="0.25">
      <c r="A3" s="29" t="s">
        <v>93</v>
      </c>
      <c r="B3" s="29" t="s">
        <v>94</v>
      </c>
      <c r="C3" s="30" t="s">
        <v>95</v>
      </c>
      <c r="D3" s="30" t="s">
        <v>96</v>
      </c>
      <c r="E3" s="29" t="s">
        <v>97</v>
      </c>
      <c r="F3" s="30" t="s">
        <v>98</v>
      </c>
      <c r="G3" s="30" t="s">
        <v>99</v>
      </c>
      <c r="H3" s="29" t="s">
        <v>100</v>
      </c>
    </row>
    <row r="4" spans="1:42" x14ac:dyDescent="0.25">
      <c r="A4" s="31">
        <v>1</v>
      </c>
      <c r="B4" s="2" t="str">
        <f>'Lease details'!B3</f>
        <v>Lessee1- ABC</v>
      </c>
      <c r="C4" s="32">
        <f>'Lease details'!B5</f>
        <v>0</v>
      </c>
      <c r="D4" s="31">
        <f>'Lease details'!B12</f>
        <v>0</v>
      </c>
      <c r="E4" s="33">
        <f>'Lease details'!B14</f>
        <v>1235000</v>
      </c>
      <c r="F4" s="34">
        <f>E4+(E4*18%)-(E9*10%)</f>
        <v>1333800</v>
      </c>
      <c r="G4" s="34">
        <f t="shared" ref="G4:G8" si="0">E4-(E4*10%)</f>
        <v>1111500</v>
      </c>
      <c r="H4" s="35">
        <f>E4/E$9</f>
        <v>1</v>
      </c>
    </row>
    <row r="5" spans="1:42" x14ac:dyDescent="0.25">
      <c r="A5" s="31">
        <f>A4+1</f>
        <v>2</v>
      </c>
      <c r="B5" s="2" t="str">
        <f>'Lease details'!C3</f>
        <v>Lessee2- DEF</v>
      </c>
      <c r="C5" s="32">
        <f>'Lease details'!C5</f>
        <v>0</v>
      </c>
      <c r="D5" s="31">
        <f>'Lease details'!C12</f>
        <v>0</v>
      </c>
      <c r="E5" s="34">
        <f>'Lease details'!C14</f>
        <v>0</v>
      </c>
      <c r="F5" s="34">
        <f>E5+(E5*18%)-(E10*10%)</f>
        <v>0</v>
      </c>
      <c r="G5" s="34">
        <f t="shared" si="0"/>
        <v>0</v>
      </c>
      <c r="H5" s="35">
        <f>E5/E$9</f>
        <v>0</v>
      </c>
    </row>
    <row r="6" spans="1:42" x14ac:dyDescent="0.25">
      <c r="A6" s="31">
        <f t="shared" ref="A6:A8" si="1">A5+1</f>
        <v>3</v>
      </c>
      <c r="B6" s="2" t="str">
        <f>'Lease details'!D3</f>
        <v>Lessee3- GHI</v>
      </c>
      <c r="C6" s="32">
        <f>'Lease details'!D5</f>
        <v>0</v>
      </c>
      <c r="D6" s="31">
        <f>'Lease details'!D12</f>
        <v>0</v>
      </c>
      <c r="E6" s="34">
        <f>'Lease details'!D14</f>
        <v>0</v>
      </c>
      <c r="F6" s="34">
        <f>E6+(E6*18%)-(E11*10%)</f>
        <v>0</v>
      </c>
      <c r="G6" s="34">
        <f t="shared" si="0"/>
        <v>0</v>
      </c>
      <c r="H6" s="35">
        <f>E6/E$9</f>
        <v>0</v>
      </c>
    </row>
    <row r="7" spans="1:42" x14ac:dyDescent="0.25">
      <c r="A7" s="31">
        <f t="shared" si="1"/>
        <v>4</v>
      </c>
      <c r="B7" s="2" t="str">
        <f>'Lease details'!E3</f>
        <v>Lessee4- JKL</v>
      </c>
      <c r="C7" s="32">
        <f>'Lease details'!E5</f>
        <v>0</v>
      </c>
      <c r="D7" s="31">
        <f>'Lease details'!E12</f>
        <v>0</v>
      </c>
      <c r="E7" s="34">
        <f>'Lease details'!E14</f>
        <v>0</v>
      </c>
      <c r="F7" s="34">
        <f>E7+(E7*18%)-(F12*10%)</f>
        <v>0</v>
      </c>
      <c r="G7" s="34">
        <f t="shared" si="0"/>
        <v>0</v>
      </c>
      <c r="H7" s="35">
        <f>E7/E$9</f>
        <v>0</v>
      </c>
    </row>
    <row r="8" spans="1:42" x14ac:dyDescent="0.25">
      <c r="A8" s="31">
        <f t="shared" si="1"/>
        <v>5</v>
      </c>
      <c r="B8" s="2" t="str">
        <f>'Lease details'!F3</f>
        <v>Lessee5- MNO</v>
      </c>
      <c r="C8" s="32">
        <f>'Lease details'!F5</f>
        <v>0</v>
      </c>
      <c r="D8" s="31">
        <f>'Lease details'!F12</f>
        <v>0</v>
      </c>
      <c r="E8" s="34">
        <f>'Lease details'!F14</f>
        <v>0</v>
      </c>
      <c r="F8" s="34">
        <f>E8+(E8*18%)-(F13*10%)</f>
        <v>0</v>
      </c>
      <c r="G8" s="34">
        <f t="shared" si="0"/>
        <v>0</v>
      </c>
      <c r="H8" s="35">
        <f>E8/E$9</f>
        <v>0</v>
      </c>
    </row>
    <row r="9" spans="1:42" x14ac:dyDescent="0.25">
      <c r="A9" s="36"/>
      <c r="B9" s="4"/>
      <c r="C9" s="4"/>
      <c r="D9" s="4"/>
      <c r="E9" s="37">
        <f>SUM(E4:E8)</f>
        <v>1235000</v>
      </c>
      <c r="F9" s="37">
        <f>SUM(F4:F8)</f>
        <v>1333800</v>
      </c>
      <c r="G9" s="37">
        <f>SUM(G4:G8)</f>
        <v>1111500</v>
      </c>
      <c r="H9" s="38">
        <f>SUM(H4:H8)</f>
        <v>1</v>
      </c>
    </row>
    <row r="11" spans="1:42" x14ac:dyDescent="0.25">
      <c r="B11" s="28" t="s">
        <v>101</v>
      </c>
      <c r="I11" s="39"/>
    </row>
    <row r="12" spans="1:42" x14ac:dyDescent="0.25">
      <c r="B12" s="40" t="s">
        <v>102</v>
      </c>
      <c r="C12" s="335" t="str">
        <f>B4</f>
        <v>Lessee1- ABC</v>
      </c>
      <c r="D12" s="335"/>
      <c r="E12" s="335"/>
      <c r="F12" s="335"/>
      <c r="G12" s="335" t="str">
        <f>B5</f>
        <v>Lessee2- DEF</v>
      </c>
      <c r="H12" s="335"/>
      <c r="I12" s="335"/>
      <c r="J12" s="335"/>
      <c r="K12" s="335" t="str">
        <f>B6</f>
        <v>Lessee3- GHI</v>
      </c>
      <c r="L12" s="335"/>
      <c r="M12" s="335"/>
      <c r="N12" s="335"/>
      <c r="O12" s="335" t="str">
        <f>B7</f>
        <v>Lessee4- JKL</v>
      </c>
      <c r="P12" s="335"/>
      <c r="Q12" s="335"/>
      <c r="R12" s="335"/>
      <c r="S12" s="335" t="str">
        <f>B8</f>
        <v>Lessee5- MNO</v>
      </c>
      <c r="T12" s="335"/>
      <c r="U12" s="335"/>
      <c r="V12" s="335"/>
      <c r="W12" s="335" t="e">
        <f>#REF!</f>
        <v>#REF!</v>
      </c>
      <c r="X12" s="335"/>
      <c r="Y12" s="335"/>
      <c r="Z12" s="335"/>
      <c r="AA12" s="335" t="e">
        <f>#REF!</f>
        <v>#REF!</v>
      </c>
      <c r="AB12" s="335"/>
      <c r="AC12" s="335"/>
      <c r="AD12" s="335"/>
      <c r="AE12" s="335" t="e">
        <f>#REF!</f>
        <v>#REF!</v>
      </c>
      <c r="AF12" s="335"/>
      <c r="AG12" s="335"/>
      <c r="AH12" s="335"/>
      <c r="AI12" s="335" t="e">
        <f>#REF!</f>
        <v>#REF!</v>
      </c>
      <c r="AJ12" s="335"/>
      <c r="AK12" s="335"/>
      <c r="AL12" s="335"/>
      <c r="AM12" s="335" t="e">
        <f>#REF!</f>
        <v>#REF!</v>
      </c>
      <c r="AN12" s="335"/>
      <c r="AO12" s="335"/>
      <c r="AP12" s="335"/>
    </row>
    <row r="13" spans="1:42" ht="15" customHeight="1" x14ac:dyDescent="0.25">
      <c r="B13" s="40" t="s">
        <v>103</v>
      </c>
      <c r="C13" s="336" t="s">
        <v>104</v>
      </c>
      <c r="D13" s="337"/>
      <c r="E13" s="337"/>
      <c r="F13" s="338"/>
      <c r="G13" s="336" t="s">
        <v>104</v>
      </c>
      <c r="H13" s="337"/>
      <c r="I13" s="337"/>
      <c r="J13" s="338"/>
      <c r="K13" s="336" t="s">
        <v>104</v>
      </c>
      <c r="L13" s="337"/>
      <c r="M13" s="337"/>
      <c r="N13" s="338"/>
      <c r="O13" s="336" t="s">
        <v>104</v>
      </c>
      <c r="P13" s="337"/>
      <c r="Q13" s="337"/>
      <c r="R13" s="338"/>
      <c r="S13" s="336" t="s">
        <v>104</v>
      </c>
      <c r="T13" s="337"/>
      <c r="U13" s="337"/>
      <c r="V13" s="338"/>
      <c r="W13" s="336" t="s">
        <v>104</v>
      </c>
      <c r="X13" s="337"/>
      <c r="Y13" s="337"/>
      <c r="Z13" s="338"/>
      <c r="AA13" s="336" t="s">
        <v>104</v>
      </c>
      <c r="AB13" s="337"/>
      <c r="AC13" s="337"/>
      <c r="AD13" s="338"/>
      <c r="AE13" s="336" t="s">
        <v>104</v>
      </c>
      <c r="AF13" s="337"/>
      <c r="AG13" s="337"/>
      <c r="AH13" s="338"/>
      <c r="AI13" s="336" t="s">
        <v>104</v>
      </c>
      <c r="AJ13" s="337"/>
      <c r="AK13" s="337"/>
      <c r="AL13" s="338"/>
      <c r="AM13" s="336" t="s">
        <v>104</v>
      </c>
      <c r="AN13" s="337"/>
      <c r="AO13" s="337"/>
      <c r="AP13" s="338"/>
    </row>
    <row r="14" spans="1:42" ht="15" customHeight="1" x14ac:dyDescent="0.25">
      <c r="B14" s="40" t="s">
        <v>105</v>
      </c>
      <c r="C14" s="339"/>
      <c r="D14" s="339"/>
      <c r="E14" s="339"/>
      <c r="F14" s="339"/>
      <c r="G14" s="339"/>
      <c r="H14" s="339"/>
      <c r="I14" s="339"/>
      <c r="J14" s="339"/>
      <c r="K14" s="339"/>
      <c r="L14" s="339"/>
      <c r="M14" s="339"/>
      <c r="N14" s="339"/>
      <c r="O14" s="339"/>
      <c r="P14" s="339"/>
      <c r="Q14" s="339"/>
      <c r="R14" s="339"/>
      <c r="S14" s="339"/>
      <c r="T14" s="339"/>
      <c r="U14" s="339"/>
      <c r="V14" s="339"/>
      <c r="W14" s="339"/>
      <c r="X14" s="339"/>
      <c r="Y14" s="339"/>
      <c r="Z14" s="339"/>
      <c r="AA14" s="339"/>
      <c r="AB14" s="339"/>
      <c r="AC14" s="339"/>
      <c r="AD14" s="339"/>
      <c r="AE14" s="339"/>
      <c r="AF14" s="339"/>
      <c r="AG14" s="339"/>
      <c r="AH14" s="339"/>
      <c r="AI14" s="339"/>
      <c r="AJ14" s="339"/>
      <c r="AK14" s="339"/>
      <c r="AL14" s="339"/>
      <c r="AM14" s="339"/>
      <c r="AN14" s="339"/>
      <c r="AO14" s="339"/>
      <c r="AP14" s="339"/>
    </row>
    <row r="15" spans="1:42" ht="51" x14ac:dyDescent="0.25">
      <c r="B15" s="41" t="s">
        <v>0</v>
      </c>
      <c r="C15" s="41" t="s">
        <v>106</v>
      </c>
      <c r="D15" s="42" t="s">
        <v>107</v>
      </c>
      <c r="E15" s="42" t="s">
        <v>108</v>
      </c>
      <c r="F15" s="42" t="s">
        <v>109</v>
      </c>
      <c r="G15" s="41" t="s">
        <v>106</v>
      </c>
      <c r="H15" s="42" t="s">
        <v>107</v>
      </c>
      <c r="I15" s="42" t="s">
        <v>108</v>
      </c>
      <c r="J15" s="42" t="s">
        <v>109</v>
      </c>
      <c r="K15" s="41" t="s">
        <v>106</v>
      </c>
      <c r="L15" s="42" t="s">
        <v>107</v>
      </c>
      <c r="M15" s="42" t="s">
        <v>108</v>
      </c>
      <c r="N15" s="42" t="s">
        <v>109</v>
      </c>
      <c r="O15" s="41" t="s">
        <v>106</v>
      </c>
      <c r="P15" s="42" t="s">
        <v>107</v>
      </c>
      <c r="Q15" s="42" t="s">
        <v>108</v>
      </c>
      <c r="R15" s="42" t="s">
        <v>109</v>
      </c>
      <c r="S15" s="41" t="s">
        <v>106</v>
      </c>
      <c r="T15" s="42" t="s">
        <v>107</v>
      </c>
      <c r="U15" s="42" t="s">
        <v>108</v>
      </c>
      <c r="V15" s="42" t="s">
        <v>109</v>
      </c>
      <c r="W15" s="41" t="s">
        <v>106</v>
      </c>
      <c r="X15" s="42" t="s">
        <v>107</v>
      </c>
      <c r="Y15" s="42" t="s">
        <v>108</v>
      </c>
      <c r="Z15" s="42" t="s">
        <v>109</v>
      </c>
      <c r="AA15" s="41" t="s">
        <v>106</v>
      </c>
      <c r="AB15" s="42" t="s">
        <v>107</v>
      </c>
      <c r="AC15" s="42" t="s">
        <v>108</v>
      </c>
      <c r="AD15" s="42" t="s">
        <v>109</v>
      </c>
      <c r="AE15" s="41" t="s">
        <v>106</v>
      </c>
      <c r="AF15" s="42" t="s">
        <v>107</v>
      </c>
      <c r="AG15" s="42" t="s">
        <v>108</v>
      </c>
      <c r="AH15" s="42" t="s">
        <v>109</v>
      </c>
      <c r="AI15" s="41" t="s">
        <v>106</v>
      </c>
      <c r="AJ15" s="42" t="s">
        <v>107</v>
      </c>
      <c r="AK15" s="42" t="s">
        <v>108</v>
      </c>
      <c r="AL15" s="42" t="s">
        <v>109</v>
      </c>
      <c r="AM15" s="41" t="s">
        <v>106</v>
      </c>
      <c r="AN15" s="42" t="s">
        <v>107</v>
      </c>
      <c r="AO15" s="42" t="s">
        <v>108</v>
      </c>
      <c r="AP15" s="42" t="s">
        <v>109</v>
      </c>
    </row>
    <row r="16" spans="1:42" x14ac:dyDescent="0.25">
      <c r="B16" s="43">
        <v>44247</v>
      </c>
      <c r="C16" s="44"/>
      <c r="D16" s="45"/>
      <c r="E16" s="45"/>
      <c r="F16" s="45">
        <f>E16-D16</f>
        <v>0</v>
      </c>
      <c r="G16" s="44"/>
      <c r="H16" s="45"/>
      <c r="I16" s="45"/>
      <c r="J16" s="45">
        <f>I16-H16</f>
        <v>0</v>
      </c>
      <c r="K16" s="44"/>
      <c r="L16" s="45"/>
      <c r="M16" s="45"/>
      <c r="N16" s="45">
        <f>M16-L16</f>
        <v>0</v>
      </c>
      <c r="O16" s="44"/>
      <c r="P16" s="45"/>
      <c r="Q16" s="45"/>
      <c r="R16" s="45">
        <f>Q16-P16</f>
        <v>0</v>
      </c>
      <c r="S16" s="44"/>
      <c r="T16" s="45"/>
      <c r="U16" s="45"/>
      <c r="V16" s="45">
        <f>U16-T16</f>
        <v>0</v>
      </c>
      <c r="W16" s="44"/>
      <c r="X16" s="45"/>
      <c r="Y16" s="45"/>
      <c r="Z16" s="45">
        <f>Y16-X16</f>
        <v>0</v>
      </c>
      <c r="AA16" s="44"/>
      <c r="AB16" s="45"/>
      <c r="AC16" s="45"/>
      <c r="AD16" s="45">
        <f>AC16-AB16</f>
        <v>0</v>
      </c>
      <c r="AE16" s="44"/>
      <c r="AF16" s="45"/>
      <c r="AG16" s="45"/>
      <c r="AH16" s="45">
        <f>AG16-AF16</f>
        <v>0</v>
      </c>
      <c r="AI16" s="44"/>
      <c r="AJ16" s="45"/>
      <c r="AK16" s="45"/>
      <c r="AL16" s="45">
        <f>AK16-AJ16</f>
        <v>0</v>
      </c>
      <c r="AM16" s="44"/>
      <c r="AN16" s="45"/>
      <c r="AO16" s="45"/>
      <c r="AP16" s="45">
        <f>AO16-AN16</f>
        <v>0</v>
      </c>
    </row>
    <row r="17" spans="2:42" x14ac:dyDescent="0.25">
      <c r="B17" s="46">
        <f>EDATE(B16,1)</f>
        <v>44275</v>
      </c>
      <c r="C17" s="44"/>
      <c r="D17" s="45"/>
      <c r="E17" s="45"/>
      <c r="F17" s="45">
        <f t="shared" ref="F17:F27" si="2">E17-D17</f>
        <v>0</v>
      </c>
      <c r="G17" s="44"/>
      <c r="H17" s="45"/>
      <c r="I17" s="45"/>
      <c r="J17" s="45">
        <f t="shared" ref="J17:J27" si="3">I17-H17</f>
        <v>0</v>
      </c>
      <c r="K17" s="44"/>
      <c r="L17" s="45"/>
      <c r="M17" s="45"/>
      <c r="N17" s="45">
        <f t="shared" ref="N17:N27" si="4">M17-L17</f>
        <v>0</v>
      </c>
      <c r="O17" s="44"/>
      <c r="P17" s="45"/>
      <c r="Q17" s="45"/>
      <c r="R17" s="45">
        <f t="shared" ref="R17:R27" si="5">Q17-P17</f>
        <v>0</v>
      </c>
      <c r="S17" s="44"/>
      <c r="T17" s="45"/>
      <c r="U17" s="45"/>
      <c r="V17" s="45">
        <f t="shared" ref="V17:V27" si="6">U17-T17</f>
        <v>0</v>
      </c>
      <c r="W17" s="44"/>
      <c r="X17" s="45"/>
      <c r="Y17" s="45"/>
      <c r="Z17" s="45">
        <f t="shared" ref="Z17:Z27" si="7">Y17-X17</f>
        <v>0</v>
      </c>
      <c r="AA17" s="44"/>
      <c r="AB17" s="45"/>
      <c r="AC17" s="45"/>
      <c r="AD17" s="45">
        <f t="shared" ref="AD17:AD27" si="8">AC17-AB17</f>
        <v>0</v>
      </c>
      <c r="AE17" s="44"/>
      <c r="AF17" s="45"/>
      <c r="AG17" s="45"/>
      <c r="AH17" s="45">
        <f t="shared" ref="AH17:AH27" si="9">AG17-AF17</f>
        <v>0</v>
      </c>
      <c r="AI17" s="44"/>
      <c r="AJ17" s="45"/>
      <c r="AK17" s="45"/>
      <c r="AL17" s="45">
        <f t="shared" ref="AL17:AL27" si="10">AK17-AJ17</f>
        <v>0</v>
      </c>
      <c r="AM17" s="44"/>
      <c r="AN17" s="45"/>
      <c r="AO17" s="45"/>
      <c r="AP17" s="45">
        <f t="shared" ref="AP17:AP27" si="11">AO17-AN17</f>
        <v>0</v>
      </c>
    </row>
    <row r="18" spans="2:42" x14ac:dyDescent="0.25">
      <c r="B18" s="46">
        <f t="shared" ref="B18:B27" si="12">EDATE(B17,1)</f>
        <v>44306</v>
      </c>
      <c r="C18" s="44"/>
      <c r="D18" s="45"/>
      <c r="E18" s="45"/>
      <c r="F18" s="45">
        <f t="shared" si="2"/>
        <v>0</v>
      </c>
      <c r="G18" s="44"/>
      <c r="H18" s="45"/>
      <c r="I18" s="45"/>
      <c r="J18" s="45">
        <f t="shared" si="3"/>
        <v>0</v>
      </c>
      <c r="K18" s="44"/>
      <c r="L18" s="45"/>
      <c r="M18" s="45"/>
      <c r="N18" s="45">
        <f t="shared" si="4"/>
        <v>0</v>
      </c>
      <c r="O18" s="44"/>
      <c r="P18" s="45"/>
      <c r="Q18" s="45"/>
      <c r="R18" s="45">
        <f t="shared" si="5"/>
        <v>0</v>
      </c>
      <c r="S18" s="44"/>
      <c r="T18" s="45"/>
      <c r="U18" s="45"/>
      <c r="V18" s="45">
        <f t="shared" si="6"/>
        <v>0</v>
      </c>
      <c r="W18" s="44"/>
      <c r="X18" s="45"/>
      <c r="Y18" s="45"/>
      <c r="Z18" s="45">
        <f t="shared" si="7"/>
        <v>0</v>
      </c>
      <c r="AA18" s="44"/>
      <c r="AB18" s="45"/>
      <c r="AC18" s="45"/>
      <c r="AD18" s="45">
        <f t="shared" si="8"/>
        <v>0</v>
      </c>
      <c r="AE18" s="44"/>
      <c r="AF18" s="45"/>
      <c r="AG18" s="45"/>
      <c r="AH18" s="45">
        <f t="shared" si="9"/>
        <v>0</v>
      </c>
      <c r="AI18" s="44"/>
      <c r="AJ18" s="45"/>
      <c r="AK18" s="45"/>
      <c r="AL18" s="45">
        <f t="shared" si="10"/>
        <v>0</v>
      </c>
      <c r="AM18" s="44"/>
      <c r="AN18" s="45"/>
      <c r="AO18" s="45"/>
      <c r="AP18" s="45">
        <f t="shared" si="11"/>
        <v>0</v>
      </c>
    </row>
    <row r="19" spans="2:42" x14ac:dyDescent="0.25">
      <c r="B19" s="46">
        <f t="shared" si="12"/>
        <v>44336</v>
      </c>
      <c r="C19" s="44"/>
      <c r="D19" s="45"/>
      <c r="E19" s="45"/>
      <c r="F19" s="45">
        <f t="shared" si="2"/>
        <v>0</v>
      </c>
      <c r="G19" s="44"/>
      <c r="H19" s="45"/>
      <c r="I19" s="45"/>
      <c r="J19" s="45">
        <f t="shared" si="3"/>
        <v>0</v>
      </c>
      <c r="K19" s="44"/>
      <c r="L19" s="45"/>
      <c r="M19" s="45"/>
      <c r="N19" s="45">
        <f t="shared" si="4"/>
        <v>0</v>
      </c>
      <c r="O19" s="44"/>
      <c r="P19" s="45"/>
      <c r="Q19" s="45"/>
      <c r="R19" s="45">
        <f t="shared" si="5"/>
        <v>0</v>
      </c>
      <c r="S19" s="44"/>
      <c r="T19" s="45"/>
      <c r="U19" s="45"/>
      <c r="V19" s="45">
        <f t="shared" si="6"/>
        <v>0</v>
      </c>
      <c r="W19" s="44"/>
      <c r="X19" s="45"/>
      <c r="Y19" s="45"/>
      <c r="Z19" s="45">
        <f t="shared" si="7"/>
        <v>0</v>
      </c>
      <c r="AA19" s="44"/>
      <c r="AB19" s="45"/>
      <c r="AC19" s="45"/>
      <c r="AD19" s="45">
        <f t="shared" si="8"/>
        <v>0</v>
      </c>
      <c r="AE19" s="44"/>
      <c r="AF19" s="45"/>
      <c r="AG19" s="45"/>
      <c r="AH19" s="45">
        <f t="shared" si="9"/>
        <v>0</v>
      </c>
      <c r="AI19" s="44"/>
      <c r="AJ19" s="45"/>
      <c r="AK19" s="45"/>
      <c r="AL19" s="45">
        <f t="shared" si="10"/>
        <v>0</v>
      </c>
      <c r="AM19" s="44"/>
      <c r="AN19" s="45"/>
      <c r="AO19" s="45"/>
      <c r="AP19" s="45">
        <f t="shared" si="11"/>
        <v>0</v>
      </c>
    </row>
    <row r="20" spans="2:42" x14ac:dyDescent="0.25">
      <c r="B20" s="46">
        <f t="shared" si="12"/>
        <v>44367</v>
      </c>
      <c r="C20" s="44"/>
      <c r="D20" s="45"/>
      <c r="E20" s="45"/>
      <c r="F20" s="45">
        <f t="shared" si="2"/>
        <v>0</v>
      </c>
      <c r="G20" s="44"/>
      <c r="H20" s="45"/>
      <c r="I20" s="45"/>
      <c r="J20" s="45">
        <f t="shared" si="3"/>
        <v>0</v>
      </c>
      <c r="K20" s="44"/>
      <c r="L20" s="45"/>
      <c r="M20" s="45"/>
      <c r="N20" s="45">
        <f t="shared" si="4"/>
        <v>0</v>
      </c>
      <c r="O20" s="44"/>
      <c r="P20" s="45"/>
      <c r="Q20" s="45"/>
      <c r="R20" s="45">
        <f t="shared" si="5"/>
        <v>0</v>
      </c>
      <c r="S20" s="44"/>
      <c r="T20" s="45"/>
      <c r="U20" s="45"/>
      <c r="V20" s="45">
        <f t="shared" si="6"/>
        <v>0</v>
      </c>
      <c r="W20" s="44"/>
      <c r="X20" s="45"/>
      <c r="Y20" s="45"/>
      <c r="Z20" s="45">
        <f t="shared" si="7"/>
        <v>0</v>
      </c>
      <c r="AA20" s="44"/>
      <c r="AB20" s="45"/>
      <c r="AC20" s="45"/>
      <c r="AD20" s="45">
        <f t="shared" si="8"/>
        <v>0</v>
      </c>
      <c r="AE20" s="44"/>
      <c r="AF20" s="45"/>
      <c r="AG20" s="45"/>
      <c r="AH20" s="45">
        <f t="shared" si="9"/>
        <v>0</v>
      </c>
      <c r="AI20" s="44"/>
      <c r="AJ20" s="45"/>
      <c r="AK20" s="45"/>
      <c r="AL20" s="45">
        <f t="shared" si="10"/>
        <v>0</v>
      </c>
      <c r="AM20" s="44"/>
      <c r="AN20" s="45"/>
      <c r="AO20" s="45"/>
      <c r="AP20" s="45">
        <f t="shared" si="11"/>
        <v>0</v>
      </c>
    </row>
    <row r="21" spans="2:42" x14ac:dyDescent="0.25">
      <c r="B21" s="46">
        <f t="shared" si="12"/>
        <v>44397</v>
      </c>
      <c r="C21" s="44"/>
      <c r="D21" s="45"/>
      <c r="E21" s="45"/>
      <c r="F21" s="45">
        <f t="shared" si="2"/>
        <v>0</v>
      </c>
      <c r="G21" s="44"/>
      <c r="H21" s="45"/>
      <c r="I21" s="45"/>
      <c r="J21" s="45">
        <f t="shared" si="3"/>
        <v>0</v>
      </c>
      <c r="K21" s="44"/>
      <c r="L21" s="45"/>
      <c r="M21" s="45"/>
      <c r="N21" s="45">
        <f t="shared" si="4"/>
        <v>0</v>
      </c>
      <c r="O21" s="44"/>
      <c r="P21" s="45"/>
      <c r="Q21" s="45"/>
      <c r="R21" s="45">
        <f t="shared" si="5"/>
        <v>0</v>
      </c>
      <c r="S21" s="44"/>
      <c r="T21" s="45"/>
      <c r="U21" s="45"/>
      <c r="V21" s="45">
        <f t="shared" si="6"/>
        <v>0</v>
      </c>
      <c r="W21" s="44"/>
      <c r="X21" s="45"/>
      <c r="Y21" s="45"/>
      <c r="Z21" s="45">
        <f t="shared" si="7"/>
        <v>0</v>
      </c>
      <c r="AA21" s="44"/>
      <c r="AB21" s="45"/>
      <c r="AC21" s="45"/>
      <c r="AD21" s="45">
        <f t="shared" si="8"/>
        <v>0</v>
      </c>
      <c r="AE21" s="44"/>
      <c r="AF21" s="45"/>
      <c r="AG21" s="45"/>
      <c r="AH21" s="45">
        <f t="shared" si="9"/>
        <v>0</v>
      </c>
      <c r="AI21" s="44"/>
      <c r="AJ21" s="45"/>
      <c r="AK21" s="45"/>
      <c r="AL21" s="45">
        <f t="shared" si="10"/>
        <v>0</v>
      </c>
      <c r="AM21" s="44"/>
      <c r="AN21" s="45"/>
      <c r="AO21" s="45"/>
      <c r="AP21" s="45">
        <f t="shared" si="11"/>
        <v>0</v>
      </c>
    </row>
    <row r="22" spans="2:42" x14ac:dyDescent="0.25">
      <c r="B22" s="46">
        <f t="shared" si="12"/>
        <v>44428</v>
      </c>
      <c r="C22" s="44"/>
      <c r="D22" s="45"/>
      <c r="E22" s="45"/>
      <c r="F22" s="45">
        <f t="shared" si="2"/>
        <v>0</v>
      </c>
      <c r="G22" s="44"/>
      <c r="H22" s="45"/>
      <c r="I22" s="45"/>
      <c r="J22" s="45">
        <f t="shared" si="3"/>
        <v>0</v>
      </c>
      <c r="K22" s="44"/>
      <c r="L22" s="45"/>
      <c r="M22" s="45"/>
      <c r="N22" s="45">
        <f t="shared" si="4"/>
        <v>0</v>
      </c>
      <c r="O22" s="44"/>
      <c r="P22" s="45"/>
      <c r="Q22" s="45"/>
      <c r="R22" s="45">
        <f t="shared" si="5"/>
        <v>0</v>
      </c>
      <c r="S22" s="44"/>
      <c r="T22" s="45"/>
      <c r="U22" s="45"/>
      <c r="V22" s="45">
        <f t="shared" si="6"/>
        <v>0</v>
      </c>
      <c r="W22" s="44"/>
      <c r="X22" s="45"/>
      <c r="Y22" s="45"/>
      <c r="Z22" s="45">
        <f t="shared" si="7"/>
        <v>0</v>
      </c>
      <c r="AA22" s="44"/>
      <c r="AB22" s="45"/>
      <c r="AC22" s="45"/>
      <c r="AD22" s="45">
        <f t="shared" si="8"/>
        <v>0</v>
      </c>
      <c r="AE22" s="44"/>
      <c r="AF22" s="45"/>
      <c r="AG22" s="45"/>
      <c r="AH22" s="45">
        <f t="shared" si="9"/>
        <v>0</v>
      </c>
      <c r="AI22" s="44"/>
      <c r="AJ22" s="45"/>
      <c r="AK22" s="45"/>
      <c r="AL22" s="45">
        <f t="shared" si="10"/>
        <v>0</v>
      </c>
      <c r="AM22" s="44"/>
      <c r="AN22" s="45"/>
      <c r="AO22" s="45"/>
      <c r="AP22" s="45">
        <f t="shared" si="11"/>
        <v>0</v>
      </c>
    </row>
    <row r="23" spans="2:42" x14ac:dyDescent="0.25">
      <c r="B23" s="46">
        <f t="shared" si="12"/>
        <v>44459</v>
      </c>
      <c r="C23" s="44"/>
      <c r="D23" s="45"/>
      <c r="E23" s="45"/>
      <c r="F23" s="45">
        <f t="shared" si="2"/>
        <v>0</v>
      </c>
      <c r="G23" s="44"/>
      <c r="H23" s="45"/>
      <c r="I23" s="45"/>
      <c r="J23" s="45">
        <f t="shared" si="3"/>
        <v>0</v>
      </c>
      <c r="K23" s="44"/>
      <c r="L23" s="45"/>
      <c r="M23" s="45"/>
      <c r="N23" s="45">
        <f t="shared" si="4"/>
        <v>0</v>
      </c>
      <c r="O23" s="44"/>
      <c r="P23" s="45"/>
      <c r="Q23" s="45"/>
      <c r="R23" s="45">
        <f t="shared" si="5"/>
        <v>0</v>
      </c>
      <c r="S23" s="44"/>
      <c r="T23" s="45"/>
      <c r="U23" s="45"/>
      <c r="V23" s="45">
        <f t="shared" si="6"/>
        <v>0</v>
      </c>
      <c r="W23" s="44"/>
      <c r="X23" s="45"/>
      <c r="Y23" s="45"/>
      <c r="Z23" s="45">
        <f t="shared" si="7"/>
        <v>0</v>
      </c>
      <c r="AA23" s="44"/>
      <c r="AB23" s="45"/>
      <c r="AC23" s="45"/>
      <c r="AD23" s="45">
        <f t="shared" si="8"/>
        <v>0</v>
      </c>
      <c r="AE23" s="44"/>
      <c r="AF23" s="45"/>
      <c r="AG23" s="45"/>
      <c r="AH23" s="45">
        <f t="shared" si="9"/>
        <v>0</v>
      </c>
      <c r="AI23" s="44"/>
      <c r="AJ23" s="45"/>
      <c r="AK23" s="45"/>
      <c r="AL23" s="45">
        <f t="shared" si="10"/>
        <v>0</v>
      </c>
      <c r="AM23" s="44"/>
      <c r="AN23" s="45"/>
      <c r="AO23" s="45"/>
      <c r="AP23" s="45">
        <f t="shared" si="11"/>
        <v>0</v>
      </c>
    </row>
    <row r="24" spans="2:42" x14ac:dyDescent="0.25">
      <c r="B24" s="46">
        <f t="shared" si="12"/>
        <v>44489</v>
      </c>
      <c r="C24" s="44"/>
      <c r="D24" s="45"/>
      <c r="E24" s="45"/>
      <c r="F24" s="45">
        <f t="shared" si="2"/>
        <v>0</v>
      </c>
      <c r="G24" s="44"/>
      <c r="H24" s="45"/>
      <c r="I24" s="45"/>
      <c r="J24" s="45">
        <f t="shared" si="3"/>
        <v>0</v>
      </c>
      <c r="K24" s="44"/>
      <c r="L24" s="45"/>
      <c r="M24" s="45"/>
      <c r="N24" s="45">
        <f t="shared" si="4"/>
        <v>0</v>
      </c>
      <c r="O24" s="44"/>
      <c r="P24" s="45"/>
      <c r="Q24" s="45"/>
      <c r="R24" s="45">
        <f t="shared" si="5"/>
        <v>0</v>
      </c>
      <c r="S24" s="44"/>
      <c r="T24" s="45"/>
      <c r="U24" s="45"/>
      <c r="V24" s="45">
        <f t="shared" si="6"/>
        <v>0</v>
      </c>
      <c r="W24" s="44"/>
      <c r="X24" s="45"/>
      <c r="Y24" s="45"/>
      <c r="Z24" s="45">
        <f t="shared" si="7"/>
        <v>0</v>
      </c>
      <c r="AA24" s="44"/>
      <c r="AB24" s="45"/>
      <c r="AC24" s="45"/>
      <c r="AD24" s="45">
        <f t="shared" si="8"/>
        <v>0</v>
      </c>
      <c r="AE24" s="44"/>
      <c r="AF24" s="45"/>
      <c r="AG24" s="45"/>
      <c r="AH24" s="45">
        <f t="shared" si="9"/>
        <v>0</v>
      </c>
      <c r="AI24" s="44"/>
      <c r="AJ24" s="45"/>
      <c r="AK24" s="45"/>
      <c r="AL24" s="45">
        <f t="shared" si="10"/>
        <v>0</v>
      </c>
      <c r="AM24" s="44"/>
      <c r="AN24" s="45"/>
      <c r="AO24" s="45"/>
      <c r="AP24" s="45">
        <f t="shared" si="11"/>
        <v>0</v>
      </c>
    </row>
    <row r="25" spans="2:42" x14ac:dyDescent="0.25">
      <c r="B25" s="46">
        <f t="shared" si="12"/>
        <v>44520</v>
      </c>
      <c r="C25" s="44"/>
      <c r="D25" s="45"/>
      <c r="E25" s="45"/>
      <c r="F25" s="45">
        <f t="shared" si="2"/>
        <v>0</v>
      </c>
      <c r="G25" s="44"/>
      <c r="H25" s="45"/>
      <c r="I25" s="45"/>
      <c r="J25" s="45">
        <f t="shared" si="3"/>
        <v>0</v>
      </c>
      <c r="K25" s="44"/>
      <c r="L25" s="45"/>
      <c r="M25" s="45"/>
      <c r="N25" s="45">
        <f t="shared" si="4"/>
        <v>0</v>
      </c>
      <c r="O25" s="44"/>
      <c r="P25" s="45"/>
      <c r="Q25" s="45"/>
      <c r="R25" s="45">
        <f t="shared" si="5"/>
        <v>0</v>
      </c>
      <c r="S25" s="44"/>
      <c r="T25" s="45"/>
      <c r="U25" s="45"/>
      <c r="V25" s="45">
        <f t="shared" si="6"/>
        <v>0</v>
      </c>
      <c r="W25" s="44"/>
      <c r="X25" s="45"/>
      <c r="Y25" s="45"/>
      <c r="Z25" s="45">
        <f t="shared" si="7"/>
        <v>0</v>
      </c>
      <c r="AA25" s="44"/>
      <c r="AB25" s="45"/>
      <c r="AC25" s="45"/>
      <c r="AD25" s="45">
        <f t="shared" si="8"/>
        <v>0</v>
      </c>
      <c r="AE25" s="44"/>
      <c r="AF25" s="45"/>
      <c r="AG25" s="45"/>
      <c r="AH25" s="45">
        <f t="shared" si="9"/>
        <v>0</v>
      </c>
      <c r="AI25" s="44"/>
      <c r="AJ25" s="45"/>
      <c r="AK25" s="45"/>
      <c r="AL25" s="45">
        <f t="shared" si="10"/>
        <v>0</v>
      </c>
      <c r="AM25" s="44"/>
      <c r="AN25" s="45"/>
      <c r="AO25" s="45"/>
      <c r="AP25" s="45">
        <f t="shared" si="11"/>
        <v>0</v>
      </c>
    </row>
    <row r="26" spans="2:42" x14ac:dyDescent="0.25">
      <c r="B26" s="46">
        <f t="shared" si="12"/>
        <v>44550</v>
      </c>
      <c r="C26" s="44"/>
      <c r="D26" s="45"/>
      <c r="E26" s="45"/>
      <c r="F26" s="45">
        <f t="shared" si="2"/>
        <v>0</v>
      </c>
      <c r="G26" s="44"/>
      <c r="H26" s="45"/>
      <c r="I26" s="45"/>
      <c r="J26" s="45">
        <f t="shared" si="3"/>
        <v>0</v>
      </c>
      <c r="K26" s="44"/>
      <c r="L26" s="45"/>
      <c r="M26" s="45"/>
      <c r="N26" s="45">
        <f t="shared" si="4"/>
        <v>0</v>
      </c>
      <c r="O26" s="44"/>
      <c r="P26" s="45"/>
      <c r="Q26" s="45"/>
      <c r="R26" s="45">
        <f t="shared" si="5"/>
        <v>0</v>
      </c>
      <c r="S26" s="44"/>
      <c r="T26" s="45"/>
      <c r="U26" s="45"/>
      <c r="V26" s="45">
        <f t="shared" si="6"/>
        <v>0</v>
      </c>
      <c r="W26" s="44"/>
      <c r="X26" s="45"/>
      <c r="Y26" s="45"/>
      <c r="Z26" s="45">
        <f t="shared" si="7"/>
        <v>0</v>
      </c>
      <c r="AA26" s="44"/>
      <c r="AB26" s="45"/>
      <c r="AC26" s="45"/>
      <c r="AD26" s="45">
        <f t="shared" si="8"/>
        <v>0</v>
      </c>
      <c r="AE26" s="44"/>
      <c r="AF26" s="45"/>
      <c r="AG26" s="45"/>
      <c r="AH26" s="45">
        <f t="shared" si="9"/>
        <v>0</v>
      </c>
      <c r="AI26" s="44"/>
      <c r="AJ26" s="45"/>
      <c r="AK26" s="45"/>
      <c r="AL26" s="45">
        <f t="shared" si="10"/>
        <v>0</v>
      </c>
      <c r="AM26" s="44"/>
      <c r="AN26" s="45"/>
      <c r="AO26" s="45"/>
      <c r="AP26" s="45">
        <f t="shared" si="11"/>
        <v>0</v>
      </c>
    </row>
    <row r="27" spans="2:42" x14ac:dyDescent="0.25">
      <c r="B27" s="46">
        <f t="shared" si="12"/>
        <v>44581</v>
      </c>
      <c r="C27" s="44"/>
      <c r="D27" s="45"/>
      <c r="E27" s="45"/>
      <c r="F27" s="45">
        <f t="shared" si="2"/>
        <v>0</v>
      </c>
      <c r="G27" s="44"/>
      <c r="H27" s="45"/>
      <c r="I27" s="45"/>
      <c r="J27" s="45">
        <f t="shared" si="3"/>
        <v>0</v>
      </c>
      <c r="K27" s="44"/>
      <c r="L27" s="45"/>
      <c r="M27" s="45"/>
      <c r="N27" s="45">
        <f t="shared" si="4"/>
        <v>0</v>
      </c>
      <c r="O27" s="44"/>
      <c r="P27" s="45"/>
      <c r="Q27" s="45"/>
      <c r="R27" s="45">
        <f t="shared" si="5"/>
        <v>0</v>
      </c>
      <c r="S27" s="44"/>
      <c r="T27" s="45"/>
      <c r="U27" s="45"/>
      <c r="V27" s="45">
        <f t="shared" si="6"/>
        <v>0</v>
      </c>
      <c r="W27" s="44"/>
      <c r="X27" s="45"/>
      <c r="Y27" s="45"/>
      <c r="Z27" s="45">
        <f t="shared" si="7"/>
        <v>0</v>
      </c>
      <c r="AA27" s="44"/>
      <c r="AB27" s="45"/>
      <c r="AC27" s="45"/>
      <c r="AD27" s="45">
        <f t="shared" si="8"/>
        <v>0</v>
      </c>
      <c r="AE27" s="44"/>
      <c r="AF27" s="45"/>
      <c r="AG27" s="45"/>
      <c r="AH27" s="45">
        <f t="shared" si="9"/>
        <v>0</v>
      </c>
      <c r="AI27" s="44"/>
      <c r="AJ27" s="45"/>
      <c r="AK27" s="45"/>
      <c r="AL27" s="45">
        <f t="shared" si="10"/>
        <v>0</v>
      </c>
      <c r="AM27" s="44"/>
      <c r="AN27" s="45"/>
      <c r="AO27" s="45"/>
      <c r="AP27" s="45">
        <f t="shared" si="11"/>
        <v>0</v>
      </c>
    </row>
    <row r="28" spans="2:42" ht="65.25" customHeight="1" x14ac:dyDescent="0.25">
      <c r="B28" s="47" t="s">
        <v>110</v>
      </c>
      <c r="C28" s="339"/>
      <c r="D28" s="339"/>
      <c r="E28" s="339"/>
      <c r="F28" s="339"/>
      <c r="G28" s="339"/>
      <c r="H28" s="339"/>
      <c r="I28" s="339"/>
      <c r="J28" s="339"/>
      <c r="K28" s="339"/>
      <c r="L28" s="339"/>
      <c r="M28" s="339"/>
      <c r="N28" s="339"/>
      <c r="O28" s="339"/>
      <c r="P28" s="339"/>
      <c r="Q28" s="339"/>
      <c r="R28" s="339"/>
      <c r="S28" s="339"/>
      <c r="T28" s="339"/>
      <c r="U28" s="339"/>
      <c r="V28" s="339"/>
      <c r="W28" s="339"/>
      <c r="X28" s="339"/>
      <c r="Y28" s="339"/>
      <c r="Z28" s="339"/>
      <c r="AA28" s="339"/>
      <c r="AB28" s="339"/>
      <c r="AC28" s="339"/>
      <c r="AD28" s="339"/>
      <c r="AE28" s="339"/>
      <c r="AF28" s="339"/>
      <c r="AG28" s="339"/>
      <c r="AH28" s="339"/>
      <c r="AI28" s="339"/>
      <c r="AJ28" s="339"/>
      <c r="AK28" s="339"/>
      <c r="AL28" s="339"/>
      <c r="AM28" s="339"/>
      <c r="AN28" s="339"/>
      <c r="AO28" s="339"/>
      <c r="AP28" s="339"/>
    </row>
  </sheetData>
  <mergeCells count="40">
    <mergeCell ref="C28:F28"/>
    <mergeCell ref="G28:J28"/>
    <mergeCell ref="K28:N28"/>
    <mergeCell ref="O28:R28"/>
    <mergeCell ref="S28:V28"/>
    <mergeCell ref="W28:Z28"/>
    <mergeCell ref="AA13:AD13"/>
    <mergeCell ref="AE13:AH13"/>
    <mergeCell ref="AI13:AL13"/>
    <mergeCell ref="AM13:AP13"/>
    <mergeCell ref="W14:Z14"/>
    <mergeCell ref="AA28:AD28"/>
    <mergeCell ref="AE28:AH28"/>
    <mergeCell ref="AI28:AL28"/>
    <mergeCell ref="AM28:AP28"/>
    <mergeCell ref="AA14:AD14"/>
    <mergeCell ref="AE14:AH14"/>
    <mergeCell ref="AI14:AL14"/>
    <mergeCell ref="AM14:AP14"/>
    <mergeCell ref="C14:F14"/>
    <mergeCell ref="G14:J14"/>
    <mergeCell ref="K14:N14"/>
    <mergeCell ref="O14:R14"/>
    <mergeCell ref="S14:V14"/>
    <mergeCell ref="AA12:AD12"/>
    <mergeCell ref="AE12:AH12"/>
    <mergeCell ref="AI12:AL12"/>
    <mergeCell ref="AM12:AP12"/>
    <mergeCell ref="C13:F13"/>
    <mergeCell ref="G13:J13"/>
    <mergeCell ref="K13:N13"/>
    <mergeCell ref="O13:R13"/>
    <mergeCell ref="S13:V13"/>
    <mergeCell ref="W13:Z13"/>
    <mergeCell ref="C12:F12"/>
    <mergeCell ref="G12:J12"/>
    <mergeCell ref="K12:N12"/>
    <mergeCell ref="O12:R12"/>
    <mergeCell ref="S12:V12"/>
    <mergeCell ref="W12:Z12"/>
  </mergeCell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B344-AF90-41DA-B966-C84F62627B23}">
  <sheetPr codeName="Sheet12"/>
  <dimension ref="A1:BR184"/>
  <sheetViews>
    <sheetView zoomScale="87" zoomScaleNormal="87" workbookViewId="0">
      <selection activeCell="H12" sqref="H12"/>
    </sheetView>
  </sheetViews>
  <sheetFormatPr defaultRowHeight="15" x14ac:dyDescent="0.25"/>
  <cols>
    <col min="1" max="1" width="5.7109375" style="51" bestFit="1" customWidth="1"/>
    <col min="2" max="2" width="10" style="51" bestFit="1" customWidth="1"/>
    <col min="3" max="3" width="16.28515625" style="51" bestFit="1" customWidth="1"/>
    <col min="4" max="4" width="12.85546875" style="51" bestFit="1" customWidth="1"/>
    <col min="5" max="5" width="5.5703125" style="51" bestFit="1" customWidth="1"/>
    <col min="6" max="6" width="14" style="51" bestFit="1" customWidth="1"/>
    <col min="7" max="7" width="11.42578125" style="51" bestFit="1" customWidth="1"/>
    <col min="8" max="8" width="12" style="51" bestFit="1" customWidth="1"/>
    <col min="9" max="9" width="11.42578125" style="51" bestFit="1" customWidth="1"/>
    <col min="10" max="10" width="14" style="51" bestFit="1" customWidth="1"/>
    <col min="11" max="11" width="10" style="51" customWidth="1"/>
    <col min="12" max="12" width="2" style="51" customWidth="1"/>
    <col min="13" max="13" width="10" style="51" bestFit="1" customWidth="1"/>
    <col min="14" max="14" width="7.5703125" style="51" bestFit="1" customWidth="1"/>
    <col min="15" max="15" width="10" style="51" customWidth="1"/>
    <col min="16" max="16" width="5.140625" style="51" bestFit="1" customWidth="1"/>
    <col min="17" max="17" width="14" style="51" bestFit="1" customWidth="1"/>
    <col min="18" max="18" width="11.42578125" style="51" bestFit="1" customWidth="1"/>
    <col min="19" max="19" width="12" style="51" bestFit="1" customWidth="1"/>
    <col min="20" max="20" width="10" style="51" bestFit="1" customWidth="1"/>
    <col min="21" max="21" width="14" style="51" bestFit="1" customWidth="1"/>
    <col min="22" max="22" width="0.5703125" style="194" customWidth="1"/>
    <col min="23" max="23" width="5.85546875" style="171" bestFit="1" customWidth="1"/>
    <col min="24" max="24" width="10" style="51" bestFit="1" customWidth="1"/>
    <col min="25" max="25" width="9" style="51" customWidth="1"/>
    <col min="26" max="26" width="7.5703125" style="51" bestFit="1" customWidth="1"/>
    <col min="27" max="27" width="9" style="51" customWidth="1"/>
    <col min="28" max="28" width="5.5703125" style="51" bestFit="1" customWidth="1"/>
    <col min="29" max="29" width="14" style="51" bestFit="1" customWidth="1"/>
    <col min="30" max="30" width="11.42578125" style="51" bestFit="1" customWidth="1"/>
    <col min="31" max="31" width="11" style="51" bestFit="1" customWidth="1"/>
    <col min="32" max="32" width="9.140625" style="51" bestFit="1" customWidth="1"/>
    <col min="33" max="33" width="14" style="51" bestFit="1" customWidth="1"/>
    <col min="34" max="34" width="1.28515625" style="194" customWidth="1"/>
    <col min="35" max="35" width="5.85546875" style="51" bestFit="1" customWidth="1"/>
    <col min="36" max="37" width="10" style="51" bestFit="1" customWidth="1"/>
    <col min="38" max="38" width="7.5703125" style="51" bestFit="1" customWidth="1"/>
    <col min="39" max="39" width="10" style="51" bestFit="1" customWidth="1"/>
    <col min="40" max="40" width="5.5703125" style="51" bestFit="1" customWidth="1"/>
    <col min="41" max="41" width="14" style="51" bestFit="1" customWidth="1"/>
    <col min="42" max="42" width="11.42578125" style="51" bestFit="1" customWidth="1"/>
    <col min="43" max="43" width="11" style="51" bestFit="1" customWidth="1"/>
    <col min="44" max="44" width="9.140625" style="51" bestFit="1" customWidth="1"/>
    <col min="45" max="45" width="14" style="51" bestFit="1" customWidth="1"/>
    <col min="46" max="46" width="1.5703125" style="194" customWidth="1"/>
    <col min="47" max="47" width="5.85546875" style="51" bestFit="1" customWidth="1"/>
    <col min="48" max="48" width="10" style="51" customWidth="1"/>
    <col min="49" max="49" width="9" style="51" bestFit="1" customWidth="1"/>
    <col min="50" max="50" width="7.5703125" style="51" bestFit="1" customWidth="1"/>
    <col min="51" max="51" width="10" style="51" customWidth="1"/>
    <col min="52" max="52" width="5.5703125" style="51" bestFit="1" customWidth="1"/>
    <col min="53" max="53" width="14" style="51" bestFit="1" customWidth="1"/>
    <col min="54" max="54" width="11.42578125" style="51" bestFit="1" customWidth="1"/>
    <col min="55" max="55" width="11" style="51" bestFit="1" customWidth="1"/>
    <col min="56" max="56" width="9.140625" style="51" bestFit="1" customWidth="1"/>
    <col min="57" max="57" width="14" style="51" bestFit="1" customWidth="1"/>
    <col min="58" max="58" width="2" style="194" customWidth="1"/>
    <col min="59" max="59" width="5.85546875" style="51" bestFit="1" customWidth="1"/>
    <col min="60" max="60" width="10" style="51" bestFit="1" customWidth="1"/>
    <col min="61" max="61" width="9" style="51" bestFit="1" customWidth="1"/>
    <col min="62" max="62" width="7.5703125" style="51" bestFit="1" customWidth="1"/>
    <col min="63" max="63" width="9" style="51" bestFit="1" customWidth="1"/>
    <col min="64" max="64" width="5.5703125" style="51" bestFit="1" customWidth="1"/>
    <col min="65" max="65" width="14" style="51" bestFit="1" customWidth="1"/>
    <col min="66" max="66" width="11.42578125" style="51" bestFit="1" customWidth="1"/>
    <col min="67" max="67" width="11" style="51" bestFit="1" customWidth="1"/>
    <col min="68" max="68" width="9.140625" style="51" customWidth="1"/>
    <col min="69" max="69" width="14" style="51" bestFit="1" customWidth="1"/>
    <col min="70" max="70" width="2.28515625" style="194" customWidth="1"/>
    <col min="71" max="16384" width="9.140625" style="51"/>
  </cols>
  <sheetData>
    <row r="1" spans="1:70" x14ac:dyDescent="0.25">
      <c r="A1" s="346" t="s">
        <v>34</v>
      </c>
      <c r="B1" s="346"/>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c r="AI1" s="346"/>
      <c r="AJ1" s="346"/>
      <c r="AK1" s="346"/>
      <c r="AL1" s="346"/>
      <c r="AM1" s="346"/>
      <c r="AN1" s="346"/>
      <c r="AO1" s="346"/>
      <c r="AP1" s="346"/>
      <c r="AQ1" s="346"/>
      <c r="AR1" s="346"/>
      <c r="AS1" s="346"/>
      <c r="AT1" s="346"/>
      <c r="AU1" s="346"/>
      <c r="AV1" s="346"/>
      <c r="AW1" s="346"/>
      <c r="AX1" s="346"/>
      <c r="AY1" s="346"/>
      <c r="AZ1" s="346"/>
      <c r="BA1" s="346"/>
      <c r="BB1" s="346"/>
      <c r="BC1" s="346"/>
      <c r="BD1" s="346"/>
      <c r="BE1" s="346"/>
      <c r="BF1" s="346"/>
      <c r="BG1" s="346"/>
      <c r="BH1" s="346"/>
      <c r="BI1" s="346"/>
      <c r="BJ1" s="346"/>
      <c r="BK1" s="346"/>
      <c r="BL1" s="346"/>
      <c r="BM1" s="346"/>
      <c r="BN1" s="346"/>
      <c r="BO1" s="346"/>
      <c r="BP1" s="346"/>
      <c r="BQ1" s="346"/>
      <c r="BR1" s="346"/>
    </row>
    <row r="2" spans="1:70" ht="69" customHeight="1" x14ac:dyDescent="0.25">
      <c r="A2" s="57" t="s">
        <v>20</v>
      </c>
      <c r="B2" s="58" t="s">
        <v>0</v>
      </c>
      <c r="C2" s="58" t="s">
        <v>150</v>
      </c>
      <c r="D2" s="58" t="s">
        <v>151</v>
      </c>
      <c r="E2" s="59" t="s">
        <v>4</v>
      </c>
      <c r="F2" s="59" t="s">
        <v>29</v>
      </c>
      <c r="G2" s="59" t="s">
        <v>2</v>
      </c>
      <c r="H2" s="59" t="s">
        <v>19</v>
      </c>
      <c r="I2" s="59" t="s">
        <v>27</v>
      </c>
      <c r="J2" s="59" t="s">
        <v>1</v>
      </c>
      <c r="K2" s="59" t="s">
        <v>32</v>
      </c>
      <c r="L2" s="230"/>
      <c r="M2" s="59" t="s">
        <v>146</v>
      </c>
      <c r="N2" s="59" t="s">
        <v>147</v>
      </c>
      <c r="O2" s="59" t="s">
        <v>148</v>
      </c>
      <c r="P2" s="59" t="s">
        <v>4</v>
      </c>
      <c r="Q2" s="59" t="s">
        <v>29</v>
      </c>
      <c r="R2" s="59" t="s">
        <v>2</v>
      </c>
      <c r="S2" s="59" t="s">
        <v>143</v>
      </c>
      <c r="T2" s="59" t="s">
        <v>27</v>
      </c>
      <c r="U2" s="59" t="s">
        <v>1</v>
      </c>
      <c r="V2" s="192"/>
      <c r="W2" s="58" t="s">
        <v>149</v>
      </c>
      <c r="X2" s="58" t="s">
        <v>0</v>
      </c>
      <c r="Y2" s="59" t="s">
        <v>146</v>
      </c>
      <c r="Z2" s="59" t="s">
        <v>147</v>
      </c>
      <c r="AA2" s="59" t="s">
        <v>148</v>
      </c>
      <c r="AB2" s="59" t="s">
        <v>4</v>
      </c>
      <c r="AC2" s="59" t="s">
        <v>29</v>
      </c>
      <c r="AD2" s="59" t="s">
        <v>2</v>
      </c>
      <c r="AE2" s="59" t="s">
        <v>143</v>
      </c>
      <c r="AF2" s="59" t="s">
        <v>27</v>
      </c>
      <c r="AG2" s="59" t="s">
        <v>1</v>
      </c>
      <c r="AH2" s="192"/>
      <c r="AI2" s="58" t="s">
        <v>149</v>
      </c>
      <c r="AJ2" s="58" t="s">
        <v>0</v>
      </c>
      <c r="AK2" s="59" t="s">
        <v>146</v>
      </c>
      <c r="AL2" s="59" t="s">
        <v>147</v>
      </c>
      <c r="AM2" s="59" t="s">
        <v>148</v>
      </c>
      <c r="AN2" s="59" t="s">
        <v>4</v>
      </c>
      <c r="AO2" s="59" t="s">
        <v>29</v>
      </c>
      <c r="AP2" s="59" t="s">
        <v>2</v>
      </c>
      <c r="AQ2" s="59" t="s">
        <v>143</v>
      </c>
      <c r="AR2" s="59" t="s">
        <v>27</v>
      </c>
      <c r="AS2" s="59" t="s">
        <v>1</v>
      </c>
      <c r="AT2" s="192"/>
      <c r="AU2" s="58" t="s">
        <v>149</v>
      </c>
      <c r="AV2" s="58" t="s">
        <v>0</v>
      </c>
      <c r="AW2" s="59" t="s">
        <v>146</v>
      </c>
      <c r="AX2" s="59" t="s">
        <v>147</v>
      </c>
      <c r="AY2" s="59" t="s">
        <v>148</v>
      </c>
      <c r="AZ2" s="59" t="s">
        <v>4</v>
      </c>
      <c r="BA2" s="59" t="s">
        <v>29</v>
      </c>
      <c r="BB2" s="59" t="s">
        <v>2</v>
      </c>
      <c r="BC2" s="59" t="s">
        <v>143</v>
      </c>
      <c r="BD2" s="59" t="s">
        <v>27</v>
      </c>
      <c r="BE2" s="59" t="s">
        <v>1</v>
      </c>
      <c r="BF2" s="192"/>
      <c r="BG2" s="58" t="s">
        <v>149</v>
      </c>
      <c r="BH2" s="58" t="s">
        <v>0</v>
      </c>
      <c r="BI2" s="59" t="s">
        <v>146</v>
      </c>
      <c r="BJ2" s="59" t="s">
        <v>147</v>
      </c>
      <c r="BK2" s="59" t="s">
        <v>148</v>
      </c>
      <c r="BL2" s="59" t="s">
        <v>4</v>
      </c>
      <c r="BM2" s="59" t="s">
        <v>29</v>
      </c>
      <c r="BN2" s="59" t="s">
        <v>2</v>
      </c>
      <c r="BO2" s="59" t="s">
        <v>143</v>
      </c>
      <c r="BP2" s="59" t="s">
        <v>27</v>
      </c>
      <c r="BQ2" s="59" t="s">
        <v>1</v>
      </c>
      <c r="BR2" s="192"/>
    </row>
    <row r="3" spans="1:70" s="171" customFormat="1" ht="22.5" customHeight="1" x14ac:dyDescent="0.25">
      <c r="A3" s="343" t="s">
        <v>152</v>
      </c>
      <c r="B3" s="344"/>
      <c r="C3" s="344"/>
      <c r="D3" s="344"/>
      <c r="E3" s="344"/>
      <c r="F3" s="344"/>
      <c r="G3" s="344"/>
      <c r="H3" s="344"/>
      <c r="I3" s="345"/>
      <c r="J3" s="246">
        <v>1341151534.4979434</v>
      </c>
      <c r="K3" s="191"/>
      <c r="L3" s="231"/>
      <c r="M3" s="340" t="str">
        <f>Input!A39</f>
        <v>Lessee1- ABC</v>
      </c>
      <c r="N3" s="341"/>
      <c r="O3" s="341"/>
      <c r="P3" s="341"/>
      <c r="Q3" s="341"/>
      <c r="R3" s="341"/>
      <c r="S3" s="341"/>
      <c r="T3" s="341"/>
      <c r="U3" s="247">
        <v>1341151534.4979434</v>
      </c>
      <c r="V3" s="192"/>
      <c r="W3" s="340" t="str">
        <f>Input!A54</f>
        <v>Lessee2- DEF</v>
      </c>
      <c r="X3" s="341"/>
      <c r="Y3" s="341"/>
      <c r="Z3" s="341"/>
      <c r="AA3" s="341"/>
      <c r="AB3" s="341"/>
      <c r="AC3" s="341"/>
      <c r="AD3" s="341"/>
      <c r="AE3" s="341"/>
      <c r="AF3" s="342"/>
      <c r="AG3" s="248">
        <v>-2.1643658876419067</v>
      </c>
      <c r="AH3" s="192"/>
      <c r="AI3" s="170"/>
      <c r="AJ3" s="340" t="str">
        <f>Input!A69</f>
        <v>Lessee3- GHI</v>
      </c>
      <c r="AK3" s="341"/>
      <c r="AL3" s="341"/>
      <c r="AM3" s="341"/>
      <c r="AN3" s="341"/>
      <c r="AO3" s="341"/>
      <c r="AP3" s="341"/>
      <c r="AQ3" s="341"/>
      <c r="AR3" s="342"/>
      <c r="AS3" s="248">
        <v>-2.1643658876419067</v>
      </c>
      <c r="AT3" s="192"/>
      <c r="AU3" s="340" t="str">
        <f>Input!A84</f>
        <v>Lessee4- JKL</v>
      </c>
      <c r="AV3" s="341"/>
      <c r="AW3" s="341"/>
      <c r="AX3" s="341"/>
      <c r="AY3" s="341"/>
      <c r="AZ3" s="341"/>
      <c r="BA3" s="341"/>
      <c r="BB3" s="341"/>
      <c r="BC3" s="341"/>
      <c r="BD3" s="342"/>
      <c r="BE3" s="248">
        <v>-2.1643658876419067</v>
      </c>
      <c r="BF3" s="192"/>
      <c r="BG3" s="340" t="str">
        <f>Input!A99</f>
        <v>Lessee5- MNO</v>
      </c>
      <c r="BH3" s="341"/>
      <c r="BI3" s="341"/>
      <c r="BJ3" s="341"/>
      <c r="BK3" s="341"/>
      <c r="BL3" s="341"/>
      <c r="BM3" s="341"/>
      <c r="BN3" s="341"/>
      <c r="BO3" s="341"/>
      <c r="BP3" s="342"/>
      <c r="BQ3" s="248">
        <v>-2.1643658876419067</v>
      </c>
      <c r="BR3" s="245"/>
    </row>
    <row r="4" spans="1:70" x14ac:dyDescent="0.25">
      <c r="A4" s="169">
        <v>0</v>
      </c>
      <c r="B4" s="1">
        <f>IF(Input!C5=15,IF(DAY(Input!C4)&lt;15,DATE(YEAR((Input!C4)),MONTH(Input!C4),15),IF(DAY(Input!C4)=15,Input!C4,DATE(YEAR((Input!C4)),MONTH(Input!C4)+1,15))),IF(DAY(Input!C4)&lt;5,DATE(YEAR((Input!C4)),MONTH(Input!C4),5),IF(DAY(Input!C4)=5,Input!C4,DATE(YEAR((Input!C4)),MONTH(Input!C4)+1,5))))</f>
        <v>45519</v>
      </c>
      <c r="C4" s="60">
        <f>M4+Y4+AK4+AW4+BI4</f>
        <v>16470000</v>
      </c>
      <c r="D4" s="60">
        <f>O4+AA4+AM4+AY4+BK4</f>
        <v>14823000</v>
      </c>
      <c r="E4" s="60">
        <f>B4-Input!$C$4</f>
        <v>15</v>
      </c>
      <c r="F4" s="60">
        <f>J3</f>
        <v>1341151534.4979434</v>
      </c>
      <c r="G4" s="60">
        <f>ROUND(F4*E4*Input!$C$3/365,0)</f>
        <v>8267372</v>
      </c>
      <c r="H4" s="60">
        <f>IF($A4&lt;=Input!$C$6,0,IF('180M'!D4&lt;'180M'!F4,'180M'!F4-G4,'180M'!F4))</f>
        <v>0</v>
      </c>
      <c r="I4" s="60">
        <f>G4+H4</f>
        <v>8267372</v>
      </c>
      <c r="J4" s="60">
        <f>J3-H4</f>
        <v>1341151534.4979434</v>
      </c>
      <c r="K4" s="203">
        <f>J4/Input!$K$5</f>
        <v>4.470505114993145</v>
      </c>
      <c r="L4" s="232"/>
      <c r="M4" s="60">
        <f>IF($B4&lt;Input!$H$43,IF($B4&lt;Input!$G$43,IF($B4&lt;Input!$F$43,IF($B4&lt;Input!$E$43,IF($B4&lt;Input!$D$43,Input!$C$49,Input!$D$49),Input!$E$49),Input!$F$49),Input!$G$49),Input!$H$49)</f>
        <v>16470000</v>
      </c>
      <c r="N4" s="190">
        <f>IF($A4&lt;Input!$H$50,IF($A4&lt;Input!$G$50,IF($A4&lt;Input!$F$50,IF($A4&lt;Input!$E$50,IF($A4&lt;Input!$D$50,Input!$C$51,Input!$D$51),Input!$E$51),Input!$F$51),Input!$G$51),Input!$H$51)</f>
        <v>0.9</v>
      </c>
      <c r="O4" s="60">
        <f t="shared" ref="O4:O35" si="0">M4*N4</f>
        <v>14823000</v>
      </c>
      <c r="P4" s="60">
        <f>B4-Input!$C$4</f>
        <v>15</v>
      </c>
      <c r="Q4" s="60">
        <f>U3</f>
        <v>1341151534.4979434</v>
      </c>
      <c r="R4" s="60">
        <f>ROUND(Q4*P4*Input!$C$3/365,0)</f>
        <v>8267372</v>
      </c>
      <c r="S4" s="60">
        <f>IF($A4&lt;=Input!$C$6,0,IF('180M'!O4&lt;'180M'!Q4,'180M'!Q4-R4,'180M'!Q4))</f>
        <v>0</v>
      </c>
      <c r="T4" s="60">
        <f>R4+S4</f>
        <v>8267372</v>
      </c>
      <c r="U4" s="60">
        <f>U3-S4</f>
        <v>1341151534.4979434</v>
      </c>
      <c r="V4" s="193"/>
      <c r="W4" s="169">
        <v>0</v>
      </c>
      <c r="X4" s="1">
        <f>IF(Input!C5=15,IF(DAY(Input!C4)&lt;15,DATE(YEAR((Input!C4)),MONTH(Input!C4),15),IF(DAY(Input!C4)=15,Input!C4,DATE(YEAR((Input!C4)),MONTH(Input!C4)+1,15))),IF(DAY(Input!C4)&lt;5,DATE(YEAR((Input!C4)),MONTH(Input!C4),5),IF(DAY(Input!C4)=5,Input!C4,DATE(YEAR((Input!C4)),MONTH(Input!C4)+1,5))))</f>
        <v>45519</v>
      </c>
      <c r="Y4" s="60">
        <f>IF($X4&lt;Input!$H$58,IF($X4&lt;Input!$G$58,IF($X4&lt;Input!$F$58,IF($X4&lt;Input!$E$58,IF($X4&lt;Input!$D$58,Input!$C$64,Input!$D$64),Input!$E$64),Input!$F$64),Input!$G$64),Input!$H$64)</f>
        <v>0</v>
      </c>
      <c r="Z4" s="190">
        <f>IF($A4&lt;Input!$H$65,IF($A4&lt;Input!$G$65,IF($A4&lt;Input!$F$65,IF($A4&lt;Input!$E$65,IF($A4&lt;Input!$D$65,Input!$C$66,Input!$D$66),Input!$E$66),Input!$F$66),Input!$G$66),Input!$H$66)</f>
        <v>0.9</v>
      </c>
      <c r="AA4" s="60">
        <f>Y4*Z4</f>
        <v>0</v>
      </c>
      <c r="AB4" s="60">
        <f>X4-Input!$C$4</f>
        <v>15</v>
      </c>
      <c r="AC4" s="60">
        <f>AG3</f>
        <v>-2.1643658876419067</v>
      </c>
      <c r="AD4" s="60">
        <f>ROUND(AC4*AB4*Input!$C$3/365,0)</f>
        <v>0</v>
      </c>
      <c r="AE4" s="61">
        <f>IF($A4&lt;=Input!$C$6,0,IF('180M'!AA4&lt;'180M'!AC4,'180M'!AA4-AD4,'180M'!AC4))</f>
        <v>0</v>
      </c>
      <c r="AF4" s="61">
        <f>AD4+AE4</f>
        <v>0</v>
      </c>
      <c r="AG4" s="60">
        <f>AG3-AE4</f>
        <v>-2.1643658876419067</v>
      </c>
      <c r="AH4" s="193"/>
      <c r="AI4" s="169">
        <v>0</v>
      </c>
      <c r="AJ4" s="1">
        <f>IF(Input!C5=15,IF(DAY(Input!C4)&lt;15,DATE(YEAR((Input!C4)),MONTH(Input!C4),15),IF(DAY(Input!C4)=15,Input!C4,DATE(YEAR((Input!C4)),MONTH(Input!C4)+1,15))),IF(DAY(Input!C4)&lt;5,DATE(YEAR((Input!C4)),MONTH(Input!C4),5),IF(DAY(Input!C4)=5,Input!C4,DATE(YEAR((Input!C4)),MONTH(Input!C4)+1,5))))</f>
        <v>45519</v>
      </c>
      <c r="AK4" s="60">
        <f>IF($X4&lt;Input!$H$73,IF($X4&lt;Input!$G$73,IF($X4&lt;Input!$F$73,IF($X4&lt;Input!$E$73,IF($X4&lt;Input!$D$73,Input!$C$79,Input!$D$79),Input!$E$79),Input!$F$79),Input!$G$79),Input!$H$79)</f>
        <v>0</v>
      </c>
      <c r="AL4" s="190">
        <f>IF($A4&lt;Input!$H$80,IF($A4&lt;Input!$G$80,IF($A4&lt;Input!$F$80,IF($A4&lt;Input!$E$80,IF($A4&lt;Input!$D$80,Input!$C$81,Input!$D$81),Input!$E$81),Input!$F$81),Input!$G$81),Input!$H$81)</f>
        <v>0.9</v>
      </c>
      <c r="AM4" s="60">
        <f>AK4*AL4</f>
        <v>0</v>
      </c>
      <c r="AN4" s="60">
        <f>AJ4-Input!$C$4</f>
        <v>15</v>
      </c>
      <c r="AO4" s="60">
        <f>AS3</f>
        <v>-2.1643658876419067</v>
      </c>
      <c r="AP4" s="60">
        <f>ROUND(AO4*AN4*Input!$C$3/365,0)</f>
        <v>0</v>
      </c>
      <c r="AQ4" s="61">
        <f>IF($A4&lt;=Input!$C$6,0,IF('180M'!AM4&lt;'180M'!AO4,'180M'!AM4-AP4,'180M'!AO4))</f>
        <v>0</v>
      </c>
      <c r="AR4" s="61">
        <f>AP4+AQ4</f>
        <v>0</v>
      </c>
      <c r="AS4" s="60">
        <f>AS3-AQ4</f>
        <v>-2.1643658876419067</v>
      </c>
      <c r="AT4" s="193"/>
      <c r="AU4" s="169">
        <v>0</v>
      </c>
      <c r="AV4" s="1">
        <f>IF(Input!C5=15,IF(DAY(Input!C4)&lt;15,DATE(YEAR((Input!C4)),MONTH(Input!C4),15),IF(DAY(Input!C4)=15,Input!C4,DATE(YEAR((Input!C4)),MONTH(Input!C4)+1,15))),IF(DAY(Input!C4)&lt;5,DATE(YEAR((Input!C4)),MONTH(Input!C4),5),IF(DAY(Input!C4)=5,Input!C4,DATE(YEAR((Input!C4)),MONTH(Input!C4)+1,5))))</f>
        <v>45519</v>
      </c>
      <c r="AW4" s="60">
        <f>IF($X4&lt;Input!$H$88,IF($X4&lt;Input!$G$88,IF($X4&lt;Input!$F$88,IF($X4&lt;Input!$E$88,IF($X4&lt;Input!$D$88,Input!$C$94,Input!$D$94),Input!$E$94),Input!$F$94),Input!$G$94),Input!$H$94)</f>
        <v>0</v>
      </c>
      <c r="AX4" s="190">
        <f>IF($A4&lt;Input!$H$95,IF($A4&lt;Input!$G$95,IF($A4&lt;Input!$F$95,IF($A4&lt;Input!$E$95,IF($A4&lt;Input!$D$95,Input!$C$96,Input!$D$96),Input!$E$96),Input!$F$96),Input!$G$96),Input!$H$96)</f>
        <v>0.9</v>
      </c>
      <c r="AY4" s="60">
        <f>AW4*AX4</f>
        <v>0</v>
      </c>
      <c r="AZ4" s="60">
        <f>AV4-Input!$C$4</f>
        <v>15</v>
      </c>
      <c r="BA4" s="60">
        <f>BE3</f>
        <v>-2.1643658876419067</v>
      </c>
      <c r="BB4" s="60">
        <f>ROUND(BA4*AZ4*Input!$C$3/365,0)</f>
        <v>0</v>
      </c>
      <c r="BC4" s="61">
        <f>IF($A4&lt;=Input!$C$6,0,IF('180M'!AY4&lt;'180M'!BA4,'180M'!AY4-BB4,'180M'!BA4))</f>
        <v>0</v>
      </c>
      <c r="BD4" s="61">
        <f>BB4+BC4</f>
        <v>0</v>
      </c>
      <c r="BE4" s="60">
        <f>BE3-BC4</f>
        <v>-2.1643658876419067</v>
      </c>
      <c r="BF4" s="193"/>
      <c r="BG4" s="169">
        <v>0</v>
      </c>
      <c r="BH4" s="1">
        <f>IF(Input!C5=15,IF(DAY(Input!C4)&lt;15,DATE(YEAR((Input!C4)),MONTH(Input!C4),15),IF(DAY(Input!C4)=15,Input!C4,DATE(YEAR((Input!C4)),MONTH(Input!C4)+1,15))),IF(DAY(Input!C4)&lt;5,DATE(YEAR((Input!C4)),MONTH(Input!C4),5),IF(DAY(Input!C4)=5,Input!C4,DATE(YEAR((Input!C4)),MONTH(Input!C4)+1,5))))</f>
        <v>45519</v>
      </c>
      <c r="BI4" s="60">
        <f>IF($X4&lt;Input!$H$103,IF($X4&lt;Input!$G$103,IF($X4&lt;Input!$F$103,IF($X4&lt;Input!$E$103,IF($X4&lt;Input!$D$103,Input!$C$109,Input!$D$109),Input!$E$109),Input!$F$109),Input!$G$109),Input!$H$109)</f>
        <v>0</v>
      </c>
      <c r="BJ4" s="190">
        <f>IF($A4&lt;Input!$H$110,IF($A4&lt;Input!$G$110,IF($A4&lt;Input!$F$110,IF($A4&lt;Input!$E$110,IF($A4&lt;Input!$D$110,Input!$C$111,Input!$D$111),Input!$E$111),Input!$F$111),Input!$G$111),Input!$H$111)</f>
        <v>0.9</v>
      </c>
      <c r="BK4" s="60">
        <f>BI4*BJ4</f>
        <v>0</v>
      </c>
      <c r="BL4" s="60">
        <f>BH4-Input!$C$4</f>
        <v>15</v>
      </c>
      <c r="BM4" s="60">
        <f>BQ3</f>
        <v>-2.1643658876419067</v>
      </c>
      <c r="BN4" s="60">
        <f>ROUND(BM4*BL4*Input!$C$3/365,0)</f>
        <v>0</v>
      </c>
      <c r="BO4" s="61">
        <f>IF($A4&lt;=Input!$C$6,0,IF('180M'!BK4&lt;'180M'!BM4,'180M'!BK4-BN4,'180M'!BM4))</f>
        <v>0</v>
      </c>
      <c r="BP4" s="61">
        <f>BN4+BO4</f>
        <v>0</v>
      </c>
      <c r="BQ4" s="60">
        <f>BQ3-BO4</f>
        <v>-2.1643658876419067</v>
      </c>
      <c r="BR4" s="198"/>
    </row>
    <row r="5" spans="1:70" x14ac:dyDescent="0.25">
      <c r="A5" s="169">
        <v>1</v>
      </c>
      <c r="B5" s="1">
        <f>EDATE(B4,1)</f>
        <v>45550</v>
      </c>
      <c r="C5" s="60">
        <f t="shared" ref="C5:C68" si="1">M5+Y5+AK5+AW5+BI5</f>
        <v>16470000</v>
      </c>
      <c r="D5" s="60">
        <f t="shared" ref="D5:D68" si="2">O5+AA5+AM5+AY5+BK5</f>
        <v>14823000</v>
      </c>
      <c r="E5" s="60">
        <f>B5-B4</f>
        <v>31</v>
      </c>
      <c r="F5" s="60">
        <f>J4</f>
        <v>1341151534.4979434</v>
      </c>
      <c r="G5" s="60">
        <f>ROUND(F5*E5*Input!$C$3/365,0)</f>
        <v>17085903</v>
      </c>
      <c r="H5" s="60">
        <f>IF($A5&lt;=Input!$C$6,0,IF('180M'!D5&lt;'180M'!F5,'180M'!D5-G5,'180M'!F5))</f>
        <v>-2262903</v>
      </c>
      <c r="I5" s="60">
        <f>G5+H5</f>
        <v>14823000</v>
      </c>
      <c r="J5" s="60">
        <f>J4-H5</f>
        <v>1343414437.4979434</v>
      </c>
      <c r="K5" s="203">
        <f>J5/Input!$K$5</f>
        <v>4.478048124993145</v>
      </c>
      <c r="L5" s="232"/>
      <c r="M5" s="60">
        <f>IF($B5&lt;Input!$H$43,IF($B5&lt;Input!$G$43,IF($B5&lt;Input!$F$43,IF($B5&lt;Input!$E$43,IF($B5&lt;Input!$D$43,Input!$C$49,Input!$D$49),Input!$E$49),Input!$F$49),Input!$G$49),Input!$H$49)</f>
        <v>16470000</v>
      </c>
      <c r="N5" s="190">
        <f>IF($A5&lt;Input!$H$50,IF($A5&lt;Input!$G$50,IF($A5&lt;Input!$F$50,IF($A5&lt;Input!$E$50,IF($A5&lt;Input!$D$50,Input!$C$51,Input!$D$51),Input!$E$51),Input!$F$51),Input!$G$51),Input!$H$51)</f>
        <v>0.9</v>
      </c>
      <c r="O5" s="60">
        <f t="shared" si="0"/>
        <v>14823000</v>
      </c>
      <c r="P5" s="60">
        <f t="shared" ref="P5:P36" si="3">B5-B4</f>
        <v>31</v>
      </c>
      <c r="Q5" s="60">
        <f t="shared" ref="Q5:Q68" si="4">U4</f>
        <v>1341151534.4979434</v>
      </c>
      <c r="R5" s="60">
        <f>ROUND(Q5*$P5*Input!$C$3/365,0)</f>
        <v>17085903</v>
      </c>
      <c r="S5" s="60">
        <f>IF(A5&lt;=Input!$C$6,0,IF('180M'!O5&lt;'180M'!Q5,'180M'!O5-R5,'180M'!Q5))</f>
        <v>-2262903</v>
      </c>
      <c r="T5" s="60">
        <f t="shared" ref="T5:T68" si="5">R5+S5</f>
        <v>14823000</v>
      </c>
      <c r="U5" s="60">
        <f t="shared" ref="U5:U68" si="6">U4-S5</f>
        <v>1343414437.4979434</v>
      </c>
      <c r="V5" s="193"/>
      <c r="W5" s="169">
        <v>1</v>
      </c>
      <c r="X5" s="1">
        <f>EDATE(X4,1)</f>
        <v>45550</v>
      </c>
      <c r="Y5" s="60">
        <f>IF($X5&lt;Input!$H$58,IF($X5&lt;Input!$G$58,IF($X5&lt;Input!$F$58,IF($X5&lt;Input!$E$58,IF($X5&lt;Input!$D$58,Input!$C$64,Input!$D$64),Input!$E$64),Input!$F$64),Input!$G$64),Input!$H$64)</f>
        <v>0</v>
      </c>
      <c r="Z5" s="190">
        <f>IF($A5&lt;Input!$H$65,IF($A5&lt;Input!$G$65,IF($A5&lt;Input!$F$65,IF($A5&lt;Input!$E$65,IF($A5&lt;Input!$D$65,Input!$C$66,Input!$D$66),Input!$E$66),Input!$F$66),Input!$G$66),Input!$H$66)</f>
        <v>0.9</v>
      </c>
      <c r="AA5" s="60">
        <f t="shared" ref="AA5:AA68" si="7">Y5*Z5</f>
        <v>0</v>
      </c>
      <c r="AB5" s="60">
        <f>X5-X4</f>
        <v>31</v>
      </c>
      <c r="AC5" s="60">
        <f t="shared" ref="AC5:AC68" si="8">AG4</f>
        <v>-2.1643658876419067</v>
      </c>
      <c r="AD5" s="60">
        <f>ROUND(AC5*AB5*Input!$C$3/365,0)</f>
        <v>0</v>
      </c>
      <c r="AE5" s="61">
        <f>IF($A5&lt;=Input!$C$6,0,IF('180M'!AA5&lt;'180M'!AC5,'180M'!AA5-AD5,'180M'!AC5))</f>
        <v>-2.1643658876419067</v>
      </c>
      <c r="AF5" s="61">
        <f t="shared" ref="AF5:AF68" si="9">AD5+AE5</f>
        <v>-2.1643658876419067</v>
      </c>
      <c r="AG5" s="60">
        <f t="shared" ref="AG5:AG68" si="10">AG4-AE5</f>
        <v>0</v>
      </c>
      <c r="AH5" s="193"/>
      <c r="AI5" s="169">
        <v>1</v>
      </c>
      <c r="AJ5" s="1">
        <f>EDATE(AJ4,1)</f>
        <v>45550</v>
      </c>
      <c r="AK5" s="60">
        <f>IF($X5&lt;Input!$H$73,IF($X5&lt;Input!$G$73,IF($X5&lt;Input!$F$73,IF($X5&lt;Input!$E$73,IF($X5&lt;Input!$D$73,Input!$C$79,Input!$D$79),Input!$E$79),Input!$F$79),Input!$G$79),Input!$H$79)</f>
        <v>0</v>
      </c>
      <c r="AL5" s="190">
        <f>IF($A5&lt;Input!$H$80,IF($A5&lt;Input!$G$80,IF($A5&lt;Input!$F$80,IF($A5&lt;Input!$E$80,IF($A5&lt;Input!$D$80,Input!$C$81,Input!$D$81),Input!$E$81),Input!$F$81),Input!$G$81),Input!$H$81)</f>
        <v>0.9</v>
      </c>
      <c r="AM5" s="60">
        <f t="shared" ref="AM5" si="11">AK5*AL5</f>
        <v>0</v>
      </c>
      <c r="AN5" s="60">
        <f>AJ5-AJ4</f>
        <v>31</v>
      </c>
      <c r="AO5" s="60">
        <f t="shared" ref="AO5" si="12">AS4</f>
        <v>-2.1643658876419067</v>
      </c>
      <c r="AP5" s="60">
        <f>ROUND(AO5*AN5*Input!$C$3/365,0)</f>
        <v>0</v>
      </c>
      <c r="AQ5" s="61">
        <f>IF($A5&lt;=Input!$C$6,0,IF('180M'!AM5&lt;'180M'!AO5,'180M'!AM5-AP5,'180M'!AO5))</f>
        <v>-2.1643658876419067</v>
      </c>
      <c r="AR5" s="61">
        <f t="shared" ref="AR5" si="13">AP5+AQ5</f>
        <v>-2.1643658876419067</v>
      </c>
      <c r="AS5" s="60">
        <f t="shared" ref="AS5" si="14">AS4-AQ5</f>
        <v>0</v>
      </c>
      <c r="AT5" s="193"/>
      <c r="AU5" s="169">
        <v>1</v>
      </c>
      <c r="AV5" s="1">
        <f>EDATE(AV4,1)</f>
        <v>45550</v>
      </c>
      <c r="AW5" s="60">
        <f>IF($X5&lt;Input!$H$88,IF($X5&lt;Input!$G$88,IF($X5&lt;Input!$F$88,IF($X5&lt;Input!$E$88,IF($X5&lt;Input!$D$88,Input!$C$94,Input!$D$94),Input!$E$94),Input!$F$94),Input!$G$94),Input!$H$94)</f>
        <v>0</v>
      </c>
      <c r="AX5" s="190">
        <f>IF($A5&lt;Input!$H$95,IF($A5&lt;Input!$G$95,IF($A5&lt;Input!$F$95,IF($A5&lt;Input!$E$95,IF($A5&lt;Input!$D$95,Input!$C$96,Input!$D$96),Input!$E$96),Input!$F$96),Input!$G$96),Input!$H$96)</f>
        <v>0.9</v>
      </c>
      <c r="AY5" s="60">
        <f t="shared" ref="AY5" si="15">AW5*AX5</f>
        <v>0</v>
      </c>
      <c r="AZ5" s="60">
        <f>AV5-AV4</f>
        <v>31</v>
      </c>
      <c r="BA5" s="60">
        <f t="shared" ref="BA5" si="16">BE4</f>
        <v>-2.1643658876419067</v>
      </c>
      <c r="BB5" s="60">
        <f>ROUND(BA5*AZ5*Input!$C$3/365,0)</f>
        <v>0</v>
      </c>
      <c r="BC5" s="61">
        <f>IF($A5&lt;=Input!$C$6,0,IF('180M'!AY5&lt;'180M'!BA5,'180M'!AY5-BB5,'180M'!BA5))</f>
        <v>-2.1643658876419067</v>
      </c>
      <c r="BD5" s="61">
        <f t="shared" ref="BD5" si="17">BB5+BC5</f>
        <v>-2.1643658876419067</v>
      </c>
      <c r="BE5" s="60">
        <f t="shared" ref="BE5" si="18">BE4-BC5</f>
        <v>0</v>
      </c>
      <c r="BF5" s="193"/>
      <c r="BG5" s="169">
        <v>1</v>
      </c>
      <c r="BH5" s="1">
        <f>EDATE(BH4,1)</f>
        <v>45550</v>
      </c>
      <c r="BI5" s="60">
        <f>IF($X5&lt;Input!$H$103,IF($X5&lt;Input!$G$103,IF($X5&lt;Input!$F$103,IF($X5&lt;Input!$E$103,IF($X5&lt;Input!$D$103,Input!$C$109,Input!$D$109),Input!$E$109),Input!$F$109),Input!$G$109),Input!$H$109)</f>
        <v>0</v>
      </c>
      <c r="BJ5" s="190">
        <f>IF($A5&lt;Input!$H$110,IF($A5&lt;Input!$G$110,IF($A5&lt;Input!$F$110,IF($A5&lt;Input!$E$110,IF($A5&lt;Input!$D$110,Input!$C$111,Input!$D$111),Input!$E$111),Input!$F$111),Input!$G$111),Input!$H$111)</f>
        <v>0.9</v>
      </c>
      <c r="BK5" s="60">
        <f t="shared" ref="BK5:BK68" si="19">BI5*BJ5</f>
        <v>0</v>
      </c>
      <c r="BL5" s="60">
        <f>BH5-BH4</f>
        <v>31</v>
      </c>
      <c r="BM5" s="60">
        <f t="shared" ref="BM5:BM68" si="20">BQ4</f>
        <v>-2.1643658876419067</v>
      </c>
      <c r="BN5" s="60">
        <f>ROUND(BM5*BL5*Input!$C$3/365,0)</f>
        <v>0</v>
      </c>
      <c r="BO5" s="61">
        <f>IF($A5&lt;=Input!$C$6,0,IF('180M'!BK5&lt;'180M'!BM5,'180M'!BK5-BN5,'180M'!BM5))</f>
        <v>-2.1643658876419067</v>
      </c>
      <c r="BP5" s="61">
        <f t="shared" ref="BP5:BP68" si="21">BN5+BO5</f>
        <v>-2.1643658876419067</v>
      </c>
      <c r="BQ5" s="60">
        <f t="shared" ref="BQ5:BQ68" si="22">BQ4-BO5</f>
        <v>0</v>
      </c>
      <c r="BR5" s="198"/>
    </row>
    <row r="6" spans="1:70" x14ac:dyDescent="0.25">
      <c r="A6" s="169">
        <v>2</v>
      </c>
      <c r="B6" s="1">
        <f t="shared" ref="B6:B69" si="23">EDATE(B5,1)</f>
        <v>45580</v>
      </c>
      <c r="C6" s="60">
        <f t="shared" si="1"/>
        <v>16470000</v>
      </c>
      <c r="D6" s="60">
        <f t="shared" si="2"/>
        <v>14823000</v>
      </c>
      <c r="E6" s="60">
        <f t="shared" ref="E6:E69" si="24">B6-B5</f>
        <v>30</v>
      </c>
      <c r="F6" s="60">
        <f t="shared" ref="F6:F69" si="25">J5</f>
        <v>1343414437.4979434</v>
      </c>
      <c r="G6" s="60">
        <f>ROUND(F6*E6*Input!$C$3/365,0)</f>
        <v>16562644</v>
      </c>
      <c r="H6" s="60">
        <f>IF($A6&lt;=Input!$C$6,0,IF('180M'!D6&lt;'180M'!F6,'180M'!D6-G6,'180M'!F6))</f>
        <v>-1739644</v>
      </c>
      <c r="I6" s="60">
        <f t="shared" ref="I6:I69" si="26">G6+H6</f>
        <v>14823000</v>
      </c>
      <c r="J6" s="60">
        <f t="shared" ref="J6:J69" si="27">J5-H6</f>
        <v>1345154081.4979434</v>
      </c>
      <c r="K6" s="203">
        <f>J6/Input!$K$5</f>
        <v>4.4838469383264776</v>
      </c>
      <c r="L6" s="232"/>
      <c r="M6" s="60">
        <f>IF($B6&lt;Input!$H$43,IF($B6&lt;Input!$G$43,IF($B6&lt;Input!$F$43,IF($B6&lt;Input!$E$43,IF($B6&lt;Input!$D$43,Input!$C$49,Input!$D$49),Input!$E$49),Input!$F$49),Input!$G$49),Input!$H$49)</f>
        <v>16470000</v>
      </c>
      <c r="N6" s="190">
        <f>IF($A6&lt;Input!$H$50,IF($A6&lt;Input!$G$50,IF($A6&lt;Input!$F$50,IF($A6&lt;Input!$E$50,IF($A6&lt;Input!$D$50,Input!$C$51,Input!$D$51),Input!$E$51),Input!$F$51),Input!$G$51),Input!$H$51)</f>
        <v>0.9</v>
      </c>
      <c r="O6" s="60">
        <f t="shared" si="0"/>
        <v>14823000</v>
      </c>
      <c r="P6" s="60">
        <f t="shared" si="3"/>
        <v>30</v>
      </c>
      <c r="Q6" s="60">
        <f t="shared" si="4"/>
        <v>1343414437.4979434</v>
      </c>
      <c r="R6" s="60">
        <f>ROUND(Q6*$P6*Input!$C$3/365,0)</f>
        <v>16562644</v>
      </c>
      <c r="S6" s="60">
        <f>IF(A6&lt;=Input!$C$6,0,IF('180M'!O6&lt;'180M'!Q6,'180M'!O6-R6,'180M'!Q6))</f>
        <v>-1739644</v>
      </c>
      <c r="T6" s="60">
        <f t="shared" si="5"/>
        <v>14823000</v>
      </c>
      <c r="U6" s="60">
        <f t="shared" si="6"/>
        <v>1345154081.4979434</v>
      </c>
      <c r="V6" s="193"/>
      <c r="W6" s="169">
        <v>2</v>
      </c>
      <c r="X6" s="1">
        <f t="shared" ref="X6:X69" si="28">EDATE(X5,1)</f>
        <v>45580</v>
      </c>
      <c r="Y6" s="60">
        <f>IF($X6&lt;Input!$H$58,IF($X6&lt;Input!$G$58,IF($X6&lt;Input!$F$58,IF($X6&lt;Input!$E$58,IF($X6&lt;Input!$D$58,Input!$C$64,Input!$D$64),Input!$E$64),Input!$F$64),Input!$G$64),Input!$H$64)</f>
        <v>0</v>
      </c>
      <c r="Z6" s="190">
        <f>IF($A6&lt;Input!$H$65,IF($A6&lt;Input!$G$65,IF($A6&lt;Input!$F$65,IF($A6&lt;Input!$E$65,IF($A6&lt;Input!$D$65,Input!$C$66,Input!$D$66),Input!$E$66),Input!$F$66),Input!$G$66),Input!$H$66)</f>
        <v>0.9</v>
      </c>
      <c r="AA6" s="60">
        <f t="shared" si="7"/>
        <v>0</v>
      </c>
      <c r="AB6" s="60">
        <f t="shared" ref="AB6:AB69" si="29">X6-X5</f>
        <v>30</v>
      </c>
      <c r="AC6" s="60">
        <f t="shared" si="8"/>
        <v>0</v>
      </c>
      <c r="AD6" s="60">
        <f>ROUND(AC6*AB6*Input!$C$3/365,0)</f>
        <v>0</v>
      </c>
      <c r="AE6" s="61">
        <f>IF($A6&lt;=Input!$C$6,0,IF('180M'!AA6&lt;'180M'!AC6,'180M'!AA6-AD6,'180M'!AC6))</f>
        <v>0</v>
      </c>
      <c r="AF6" s="61">
        <f t="shared" si="9"/>
        <v>0</v>
      </c>
      <c r="AG6" s="60">
        <f t="shared" si="10"/>
        <v>0</v>
      </c>
      <c r="AH6" s="193"/>
      <c r="AI6" s="169">
        <v>2</v>
      </c>
      <c r="AJ6" s="1">
        <f t="shared" ref="AJ6:AJ69" si="30">EDATE(AJ5,1)</f>
        <v>45580</v>
      </c>
      <c r="AK6" s="60">
        <f>IF($X6&lt;Input!$H$73,IF($X6&lt;Input!$G$73,IF($X6&lt;Input!$F$73,IF($X6&lt;Input!$E$73,IF($X6&lt;Input!$D$73,Input!$C$79,Input!$D$79),Input!$E$79),Input!$F$79),Input!$G$79),Input!$H$79)</f>
        <v>0</v>
      </c>
      <c r="AL6" s="190">
        <f>IF($A6&lt;Input!$H$80,IF($A6&lt;Input!$G$80,IF($A6&lt;Input!$F$80,IF($A6&lt;Input!$E$80,IF($A6&lt;Input!$D$80,Input!$C$81,Input!$D$81),Input!$E$81),Input!$F$81),Input!$G$81),Input!$H$81)</f>
        <v>0.9</v>
      </c>
      <c r="AM6" s="60">
        <f t="shared" ref="AM6:AM69" si="31">AK6*AL6</f>
        <v>0</v>
      </c>
      <c r="AN6" s="60">
        <f t="shared" ref="AN6:AN69" si="32">AJ6-AJ5</f>
        <v>30</v>
      </c>
      <c r="AO6" s="60">
        <f t="shared" ref="AO6:AO69" si="33">AS5</f>
        <v>0</v>
      </c>
      <c r="AP6" s="60">
        <f>ROUND(AO6*AN6*Input!$C$3/365,0)</f>
        <v>0</v>
      </c>
      <c r="AQ6" s="61">
        <f>IF($A6&lt;=Input!$C$6,0,IF('180M'!AM6&lt;'180M'!AO6,'180M'!AM6-AP6,'180M'!AO6))</f>
        <v>0</v>
      </c>
      <c r="AR6" s="61">
        <f t="shared" ref="AR6:AR69" si="34">AP6+AQ6</f>
        <v>0</v>
      </c>
      <c r="AS6" s="60">
        <f t="shared" ref="AS6:AS69" si="35">AS5-AQ6</f>
        <v>0</v>
      </c>
      <c r="AT6" s="193"/>
      <c r="AU6" s="169">
        <v>2</v>
      </c>
      <c r="AV6" s="1">
        <f t="shared" ref="AV6:AV69" si="36">EDATE(AV5,1)</f>
        <v>45580</v>
      </c>
      <c r="AW6" s="60">
        <f>IF($X6&lt;Input!$H$88,IF($X6&lt;Input!$G$88,IF($X6&lt;Input!$F$88,IF($X6&lt;Input!$E$88,IF($X6&lt;Input!$D$88,Input!$C$94,Input!$D$94),Input!$E$94),Input!$F$94),Input!$G$94),Input!$H$94)</f>
        <v>0</v>
      </c>
      <c r="AX6" s="190">
        <f>IF($A6&lt;Input!$H$95,IF($A6&lt;Input!$G$95,IF($A6&lt;Input!$F$95,IF($A6&lt;Input!$E$95,IF($A6&lt;Input!$D$95,Input!$C$96,Input!$D$96),Input!$E$96),Input!$F$96),Input!$G$96),Input!$H$96)</f>
        <v>0.9</v>
      </c>
      <c r="AY6" s="60">
        <f t="shared" ref="AY6:AY69" si="37">AW6*AX6</f>
        <v>0</v>
      </c>
      <c r="AZ6" s="60">
        <f t="shared" ref="AZ6:AZ69" si="38">AV6-AV5</f>
        <v>30</v>
      </c>
      <c r="BA6" s="60">
        <f t="shared" ref="BA6:BA69" si="39">BE5</f>
        <v>0</v>
      </c>
      <c r="BB6" s="60">
        <f>ROUND(BA6*AZ6*Input!$C$3/365,0)</f>
        <v>0</v>
      </c>
      <c r="BC6" s="61">
        <f>IF($A6&lt;=Input!$C$6,0,IF('180M'!AY6&lt;'180M'!BA6,'180M'!AY6-BB6,'180M'!BA6))</f>
        <v>0</v>
      </c>
      <c r="BD6" s="61">
        <f t="shared" ref="BD6:BD69" si="40">BB6+BC6</f>
        <v>0</v>
      </c>
      <c r="BE6" s="60">
        <f t="shared" ref="BE6:BE69" si="41">BE5-BC6</f>
        <v>0</v>
      </c>
      <c r="BF6" s="193"/>
      <c r="BG6" s="169">
        <v>2</v>
      </c>
      <c r="BH6" s="1">
        <f t="shared" ref="BH6:BH69" si="42">EDATE(BH5,1)</f>
        <v>45580</v>
      </c>
      <c r="BI6" s="60">
        <f>IF($X6&lt;Input!$H$103,IF($X6&lt;Input!$G$103,IF($X6&lt;Input!$F$103,IF($X6&lt;Input!$E$103,IF($X6&lt;Input!$D$103,Input!$C$109,Input!$D$109),Input!$E$109),Input!$F$109),Input!$G$109),Input!$H$109)</f>
        <v>0</v>
      </c>
      <c r="BJ6" s="190">
        <f>IF($A6&lt;Input!$H$110,IF($A6&lt;Input!$G$110,IF($A6&lt;Input!$F$110,IF($A6&lt;Input!$E$110,IF($A6&lt;Input!$D$110,Input!$C$111,Input!$D$111),Input!$E$111),Input!$F$111),Input!$G$111),Input!$H$111)</f>
        <v>0.9</v>
      </c>
      <c r="BK6" s="60">
        <f t="shared" si="19"/>
        <v>0</v>
      </c>
      <c r="BL6" s="60">
        <f t="shared" ref="BL6:BL69" si="43">BH6-BH5</f>
        <v>30</v>
      </c>
      <c r="BM6" s="60">
        <f t="shared" si="20"/>
        <v>0</v>
      </c>
      <c r="BN6" s="60">
        <f>ROUND(BM6*BL6*Input!$C$3/365,0)</f>
        <v>0</v>
      </c>
      <c r="BO6" s="61">
        <f>IF($A6&lt;=Input!$C$6,0,IF('180M'!BK6&lt;'180M'!BM6,'180M'!BK6-BN6,'180M'!BM6))</f>
        <v>0</v>
      </c>
      <c r="BP6" s="61">
        <f t="shared" si="21"/>
        <v>0</v>
      </c>
      <c r="BQ6" s="60">
        <f t="shared" si="22"/>
        <v>0</v>
      </c>
      <c r="BR6" s="198"/>
    </row>
    <row r="7" spans="1:70" x14ac:dyDescent="0.25">
      <c r="A7" s="169">
        <v>3</v>
      </c>
      <c r="B7" s="1">
        <f t="shared" si="23"/>
        <v>45611</v>
      </c>
      <c r="C7" s="60">
        <f t="shared" si="1"/>
        <v>16470000</v>
      </c>
      <c r="D7" s="60">
        <f t="shared" si="2"/>
        <v>14823000</v>
      </c>
      <c r="E7" s="60">
        <f t="shared" si="24"/>
        <v>31</v>
      </c>
      <c r="F7" s="60">
        <f t="shared" si="25"/>
        <v>1345154081.4979434</v>
      </c>
      <c r="G7" s="60">
        <f>ROUND(F7*E7*Input!$C$3/365,0)</f>
        <v>17136894</v>
      </c>
      <c r="H7" s="60">
        <f>IF($A7&lt;=Input!$C$6,0,IF('180M'!D7&lt;'180M'!F7,'180M'!D7-G7,'180M'!F7))</f>
        <v>-2313894</v>
      </c>
      <c r="I7" s="60">
        <f t="shared" si="26"/>
        <v>14823000</v>
      </c>
      <c r="J7" s="60">
        <f t="shared" si="27"/>
        <v>1347467975.4979434</v>
      </c>
      <c r="K7" s="203">
        <f>J7/Input!$K$5</f>
        <v>4.4915599183264776</v>
      </c>
      <c r="L7" s="232"/>
      <c r="M7" s="60">
        <f>IF($B7&lt;Input!$H$43,IF($B7&lt;Input!$G$43,IF($B7&lt;Input!$F$43,IF($B7&lt;Input!$E$43,IF($B7&lt;Input!$D$43,Input!$C$49,Input!$D$49),Input!$E$49),Input!$F$49),Input!$G$49),Input!$H$49)</f>
        <v>16470000</v>
      </c>
      <c r="N7" s="190">
        <f>IF($A7&lt;Input!$H$50,IF($A7&lt;Input!$G$50,IF($A7&lt;Input!$F$50,IF($A7&lt;Input!$E$50,IF($A7&lt;Input!$D$50,Input!$C$51,Input!$D$51),Input!$E$51),Input!$F$51),Input!$G$51),Input!$H$51)</f>
        <v>0.9</v>
      </c>
      <c r="O7" s="60">
        <f t="shared" si="0"/>
        <v>14823000</v>
      </c>
      <c r="P7" s="60">
        <f t="shared" si="3"/>
        <v>31</v>
      </c>
      <c r="Q7" s="60">
        <f t="shared" si="4"/>
        <v>1345154081.4979434</v>
      </c>
      <c r="R7" s="60">
        <f>ROUND(Q7*$P7*Input!$C$3/365,0)</f>
        <v>17136894</v>
      </c>
      <c r="S7" s="60">
        <f>IF(A7&lt;=Input!$C$6,0,IF('180M'!O7&lt;'180M'!Q7,'180M'!O7-R7,'180M'!Q7))</f>
        <v>-2313894</v>
      </c>
      <c r="T7" s="60">
        <f t="shared" si="5"/>
        <v>14823000</v>
      </c>
      <c r="U7" s="60">
        <f t="shared" si="6"/>
        <v>1347467975.4979434</v>
      </c>
      <c r="V7" s="193"/>
      <c r="W7" s="169">
        <v>3</v>
      </c>
      <c r="X7" s="1">
        <f t="shared" si="28"/>
        <v>45611</v>
      </c>
      <c r="Y7" s="60">
        <f>IF($X7&lt;Input!$H$58,IF($X7&lt;Input!$G$58,IF($X7&lt;Input!$F$58,IF($X7&lt;Input!$E$58,IF($X7&lt;Input!$D$58,Input!$C$64,Input!$D$64),Input!$E$64),Input!$F$64),Input!$G$64),Input!$H$64)</f>
        <v>0</v>
      </c>
      <c r="Z7" s="190">
        <f>IF($A7&lt;Input!$H$65,IF($A7&lt;Input!$G$65,IF($A7&lt;Input!$F$65,IF($A7&lt;Input!$E$65,IF($A7&lt;Input!$D$65,Input!$C$66,Input!$D$66),Input!$E$66),Input!$F$66),Input!$G$66),Input!$H$66)</f>
        <v>0.9</v>
      </c>
      <c r="AA7" s="60">
        <f t="shared" si="7"/>
        <v>0</v>
      </c>
      <c r="AB7" s="60">
        <f t="shared" si="29"/>
        <v>31</v>
      </c>
      <c r="AC7" s="60">
        <f t="shared" si="8"/>
        <v>0</v>
      </c>
      <c r="AD7" s="60">
        <f>ROUND(AC7*AB7*Input!$C$3/365,0)</f>
        <v>0</v>
      </c>
      <c r="AE7" s="61">
        <f>IF($A7&lt;=Input!$C$6,0,IF('180M'!AA7&lt;'180M'!AC7,'180M'!AA7-AD7,'180M'!AC7))</f>
        <v>0</v>
      </c>
      <c r="AF7" s="61">
        <f t="shared" si="9"/>
        <v>0</v>
      </c>
      <c r="AG7" s="60">
        <f t="shared" si="10"/>
        <v>0</v>
      </c>
      <c r="AH7" s="193"/>
      <c r="AI7" s="169">
        <v>3</v>
      </c>
      <c r="AJ7" s="1">
        <f t="shared" si="30"/>
        <v>45611</v>
      </c>
      <c r="AK7" s="60">
        <f>IF($X7&lt;Input!$H$73,IF($X7&lt;Input!$G$73,IF($X7&lt;Input!$F$73,IF($X7&lt;Input!$E$73,IF($X7&lt;Input!$D$73,Input!$C$79,Input!$D$79),Input!$E$79),Input!$F$79),Input!$G$79),Input!$H$79)</f>
        <v>0</v>
      </c>
      <c r="AL7" s="190">
        <f>IF($A7&lt;Input!$H$80,IF($A7&lt;Input!$G$80,IF($A7&lt;Input!$F$80,IF($A7&lt;Input!$E$80,IF($A7&lt;Input!$D$80,Input!$C$81,Input!$D$81),Input!$E$81),Input!$F$81),Input!$G$81),Input!$H$81)</f>
        <v>0.9</v>
      </c>
      <c r="AM7" s="60">
        <f t="shared" si="31"/>
        <v>0</v>
      </c>
      <c r="AN7" s="60">
        <f t="shared" si="32"/>
        <v>31</v>
      </c>
      <c r="AO7" s="60">
        <f t="shared" si="33"/>
        <v>0</v>
      </c>
      <c r="AP7" s="60">
        <f>ROUND(AO7*AN7*Input!$C$3/365,0)</f>
        <v>0</v>
      </c>
      <c r="AQ7" s="61">
        <f>IF($A7&lt;=Input!$C$6,0,IF('180M'!AM7&lt;'180M'!AO7,'180M'!AM7-AP7,'180M'!AO7))</f>
        <v>0</v>
      </c>
      <c r="AR7" s="61">
        <f t="shared" si="34"/>
        <v>0</v>
      </c>
      <c r="AS7" s="60">
        <f t="shared" si="35"/>
        <v>0</v>
      </c>
      <c r="AT7" s="193"/>
      <c r="AU7" s="169">
        <v>3</v>
      </c>
      <c r="AV7" s="1">
        <f t="shared" si="36"/>
        <v>45611</v>
      </c>
      <c r="AW7" s="60">
        <f>IF($X7&lt;Input!$H$88,IF($X7&lt;Input!$G$88,IF($X7&lt;Input!$F$88,IF($X7&lt;Input!$E$88,IF($X7&lt;Input!$D$88,Input!$C$94,Input!$D$94),Input!$E$94),Input!$F$94),Input!$G$94),Input!$H$94)</f>
        <v>0</v>
      </c>
      <c r="AX7" s="190">
        <f>IF($A7&lt;Input!$H$95,IF($A7&lt;Input!$G$95,IF($A7&lt;Input!$F$95,IF($A7&lt;Input!$E$95,IF($A7&lt;Input!$D$95,Input!$C$96,Input!$D$96),Input!$E$96),Input!$F$96),Input!$G$96),Input!$H$96)</f>
        <v>0.9</v>
      </c>
      <c r="AY7" s="60">
        <f t="shared" si="37"/>
        <v>0</v>
      </c>
      <c r="AZ7" s="60">
        <f t="shared" si="38"/>
        <v>31</v>
      </c>
      <c r="BA7" s="60">
        <f t="shared" si="39"/>
        <v>0</v>
      </c>
      <c r="BB7" s="60">
        <f>ROUND(BA7*AZ7*Input!$C$3/365,0)</f>
        <v>0</v>
      </c>
      <c r="BC7" s="61">
        <f>IF($A7&lt;=Input!$C$6,0,IF('180M'!AY7&lt;'180M'!BA7,'180M'!AY7-BB7,'180M'!BA7))</f>
        <v>0</v>
      </c>
      <c r="BD7" s="61">
        <f t="shared" si="40"/>
        <v>0</v>
      </c>
      <c r="BE7" s="60">
        <f t="shared" si="41"/>
        <v>0</v>
      </c>
      <c r="BF7" s="193"/>
      <c r="BG7" s="169">
        <v>3</v>
      </c>
      <c r="BH7" s="1">
        <f t="shared" si="42"/>
        <v>45611</v>
      </c>
      <c r="BI7" s="60">
        <f>IF($X7&lt;Input!$H$103,IF($X7&lt;Input!$G$103,IF($X7&lt;Input!$F$103,IF($X7&lt;Input!$E$103,IF($X7&lt;Input!$D$103,Input!$C$109,Input!$D$109),Input!$E$109),Input!$F$109),Input!$G$109),Input!$H$109)</f>
        <v>0</v>
      </c>
      <c r="BJ7" s="190">
        <f>IF($A7&lt;Input!$H$110,IF($A7&lt;Input!$G$110,IF($A7&lt;Input!$F$110,IF($A7&lt;Input!$E$110,IF($A7&lt;Input!$D$110,Input!$C$111,Input!$D$111),Input!$E$111),Input!$F$111),Input!$G$111),Input!$H$111)</f>
        <v>0.9</v>
      </c>
      <c r="BK7" s="60">
        <f t="shared" si="19"/>
        <v>0</v>
      </c>
      <c r="BL7" s="60">
        <f t="shared" si="43"/>
        <v>31</v>
      </c>
      <c r="BM7" s="60">
        <f t="shared" si="20"/>
        <v>0</v>
      </c>
      <c r="BN7" s="60">
        <f>ROUND(BM7*BL7*Input!$C$3/365,0)</f>
        <v>0</v>
      </c>
      <c r="BO7" s="61">
        <f>IF($A7&lt;=Input!$C$6,0,IF('180M'!BK7&lt;'180M'!BM7,'180M'!BK7-BN7,'180M'!BM7))</f>
        <v>0</v>
      </c>
      <c r="BP7" s="61">
        <f t="shared" si="21"/>
        <v>0</v>
      </c>
      <c r="BQ7" s="60">
        <f t="shared" si="22"/>
        <v>0</v>
      </c>
      <c r="BR7" s="198"/>
    </row>
    <row r="8" spans="1:70" x14ac:dyDescent="0.25">
      <c r="A8" s="169">
        <v>4</v>
      </c>
      <c r="B8" s="1">
        <f t="shared" si="23"/>
        <v>45641</v>
      </c>
      <c r="C8" s="60">
        <f t="shared" si="1"/>
        <v>16470000</v>
      </c>
      <c r="D8" s="60">
        <f t="shared" si="2"/>
        <v>14823000</v>
      </c>
      <c r="E8" s="60">
        <f t="shared" si="24"/>
        <v>30</v>
      </c>
      <c r="F8" s="60">
        <f t="shared" si="25"/>
        <v>1347467975.4979434</v>
      </c>
      <c r="G8" s="60">
        <f>ROUND(F8*E8*Input!$C$3/365,0)</f>
        <v>16612619</v>
      </c>
      <c r="H8" s="60">
        <f>IF($A8&lt;=Input!$C$6,0,IF('180M'!D8&lt;'180M'!F8,'180M'!D8-G8,'180M'!F8))</f>
        <v>-1789619</v>
      </c>
      <c r="I8" s="60">
        <f t="shared" si="26"/>
        <v>14823000</v>
      </c>
      <c r="J8" s="60">
        <f t="shared" si="27"/>
        <v>1349257594.4979434</v>
      </c>
      <c r="K8" s="203">
        <f>J8/Input!$K$5</f>
        <v>4.4975253149931449</v>
      </c>
      <c r="L8" s="232"/>
      <c r="M8" s="60">
        <f>IF($B8&lt;Input!$H$43,IF($B8&lt;Input!$G$43,IF($B8&lt;Input!$F$43,IF($B8&lt;Input!$E$43,IF($B8&lt;Input!$D$43,Input!$C$49,Input!$D$49),Input!$E$49),Input!$F$49),Input!$G$49),Input!$H$49)</f>
        <v>16470000</v>
      </c>
      <c r="N8" s="190">
        <f>IF($A8&lt;Input!$H$50,IF($A8&lt;Input!$G$50,IF($A8&lt;Input!$F$50,IF($A8&lt;Input!$E$50,IF($A8&lt;Input!$D$50,Input!$C$51,Input!$D$51),Input!$E$51),Input!$F$51),Input!$G$51),Input!$H$51)</f>
        <v>0.9</v>
      </c>
      <c r="O8" s="60">
        <f t="shared" si="0"/>
        <v>14823000</v>
      </c>
      <c r="P8" s="60">
        <f t="shared" si="3"/>
        <v>30</v>
      </c>
      <c r="Q8" s="60">
        <f t="shared" si="4"/>
        <v>1347467975.4979434</v>
      </c>
      <c r="R8" s="60">
        <f>ROUND(Q8*$P8*Input!$C$3/365,0)</f>
        <v>16612619</v>
      </c>
      <c r="S8" s="60">
        <f>IF(A8&lt;=Input!$C$6,0,IF('180M'!O8&lt;'180M'!Q8,'180M'!O8-R8,'180M'!Q8))</f>
        <v>-1789619</v>
      </c>
      <c r="T8" s="60">
        <f t="shared" si="5"/>
        <v>14823000</v>
      </c>
      <c r="U8" s="60">
        <f t="shared" si="6"/>
        <v>1349257594.4979434</v>
      </c>
      <c r="V8" s="193"/>
      <c r="W8" s="169">
        <v>4</v>
      </c>
      <c r="X8" s="1">
        <f t="shared" si="28"/>
        <v>45641</v>
      </c>
      <c r="Y8" s="60">
        <f>IF($X8&lt;Input!$H$58,IF($X8&lt;Input!$G$58,IF($X8&lt;Input!$F$58,IF($X8&lt;Input!$E$58,IF($X8&lt;Input!$D$58,Input!$C$64,Input!$D$64),Input!$E$64),Input!$F$64),Input!$G$64),Input!$H$64)</f>
        <v>0</v>
      </c>
      <c r="Z8" s="190">
        <f>IF($A8&lt;Input!$H$65,IF($A8&lt;Input!$G$65,IF($A8&lt;Input!$F$65,IF($A8&lt;Input!$E$65,IF($A8&lt;Input!$D$65,Input!$C$66,Input!$D$66),Input!$E$66),Input!$F$66),Input!$G$66),Input!$H$66)</f>
        <v>0.9</v>
      </c>
      <c r="AA8" s="60">
        <f t="shared" si="7"/>
        <v>0</v>
      </c>
      <c r="AB8" s="60">
        <f t="shared" si="29"/>
        <v>30</v>
      </c>
      <c r="AC8" s="60">
        <f t="shared" si="8"/>
        <v>0</v>
      </c>
      <c r="AD8" s="60">
        <f>ROUND(AC8*AB8*Input!$C$3/365,0)</f>
        <v>0</v>
      </c>
      <c r="AE8" s="61">
        <f>IF($A8&lt;=Input!$C$6,0,IF('180M'!AA8&lt;'180M'!AC8,'180M'!AA8-AD8,'180M'!AC8))</f>
        <v>0</v>
      </c>
      <c r="AF8" s="61">
        <f t="shared" si="9"/>
        <v>0</v>
      </c>
      <c r="AG8" s="60">
        <f t="shared" si="10"/>
        <v>0</v>
      </c>
      <c r="AH8" s="193"/>
      <c r="AI8" s="169">
        <v>4</v>
      </c>
      <c r="AJ8" s="1">
        <f t="shared" si="30"/>
        <v>45641</v>
      </c>
      <c r="AK8" s="60">
        <f>IF($X8&lt;Input!$H$73,IF($X8&lt;Input!$G$73,IF($X8&lt;Input!$F$73,IF($X8&lt;Input!$E$73,IF($X8&lt;Input!$D$73,Input!$C$79,Input!$D$79),Input!$E$79),Input!$F$79),Input!$G$79),Input!$H$79)</f>
        <v>0</v>
      </c>
      <c r="AL8" s="190">
        <f>IF($A8&lt;Input!$H$80,IF($A8&lt;Input!$G$80,IF($A8&lt;Input!$F$80,IF($A8&lt;Input!$E$80,IF($A8&lt;Input!$D$80,Input!$C$81,Input!$D$81),Input!$E$81),Input!$F$81),Input!$G$81),Input!$H$81)</f>
        <v>0.9</v>
      </c>
      <c r="AM8" s="60">
        <f t="shared" si="31"/>
        <v>0</v>
      </c>
      <c r="AN8" s="60">
        <f t="shared" si="32"/>
        <v>30</v>
      </c>
      <c r="AO8" s="60">
        <f t="shared" si="33"/>
        <v>0</v>
      </c>
      <c r="AP8" s="60">
        <f>ROUND(AO8*AN8*Input!$C$3/365,0)</f>
        <v>0</v>
      </c>
      <c r="AQ8" s="61">
        <f>IF($A8&lt;=Input!$C$6,0,IF('180M'!AM8&lt;'180M'!AO8,'180M'!AM8-AP8,'180M'!AO8))</f>
        <v>0</v>
      </c>
      <c r="AR8" s="61">
        <f t="shared" si="34"/>
        <v>0</v>
      </c>
      <c r="AS8" s="60">
        <f t="shared" si="35"/>
        <v>0</v>
      </c>
      <c r="AT8" s="193"/>
      <c r="AU8" s="169">
        <v>4</v>
      </c>
      <c r="AV8" s="1">
        <f t="shared" si="36"/>
        <v>45641</v>
      </c>
      <c r="AW8" s="60">
        <f>IF($X8&lt;Input!$H$88,IF($X8&lt;Input!$G$88,IF($X8&lt;Input!$F$88,IF($X8&lt;Input!$E$88,IF($X8&lt;Input!$D$88,Input!$C$94,Input!$D$94),Input!$E$94),Input!$F$94),Input!$G$94),Input!$H$94)</f>
        <v>0</v>
      </c>
      <c r="AX8" s="190">
        <f>IF($A8&lt;Input!$H$95,IF($A8&lt;Input!$G$95,IF($A8&lt;Input!$F$95,IF($A8&lt;Input!$E$95,IF($A8&lt;Input!$D$95,Input!$C$96,Input!$D$96),Input!$E$96),Input!$F$96),Input!$G$96),Input!$H$96)</f>
        <v>0.9</v>
      </c>
      <c r="AY8" s="60">
        <f t="shared" si="37"/>
        <v>0</v>
      </c>
      <c r="AZ8" s="60">
        <f t="shared" si="38"/>
        <v>30</v>
      </c>
      <c r="BA8" s="60">
        <f t="shared" si="39"/>
        <v>0</v>
      </c>
      <c r="BB8" s="60">
        <f>ROUND(BA8*AZ8*Input!$C$3/365,0)</f>
        <v>0</v>
      </c>
      <c r="BC8" s="61">
        <f>IF($A8&lt;=Input!$C$6,0,IF('180M'!AY8&lt;'180M'!BA8,'180M'!AY8-BB8,'180M'!BA8))</f>
        <v>0</v>
      </c>
      <c r="BD8" s="61">
        <f t="shared" si="40"/>
        <v>0</v>
      </c>
      <c r="BE8" s="60">
        <f t="shared" si="41"/>
        <v>0</v>
      </c>
      <c r="BF8" s="193"/>
      <c r="BG8" s="169">
        <v>4</v>
      </c>
      <c r="BH8" s="1">
        <f t="shared" si="42"/>
        <v>45641</v>
      </c>
      <c r="BI8" s="60">
        <f>IF($X8&lt;Input!$H$103,IF($X8&lt;Input!$G$103,IF($X8&lt;Input!$F$103,IF($X8&lt;Input!$E$103,IF($X8&lt;Input!$D$103,Input!$C$109,Input!$D$109),Input!$E$109),Input!$F$109),Input!$G$109),Input!$H$109)</f>
        <v>0</v>
      </c>
      <c r="BJ8" s="190">
        <f>IF($A8&lt;Input!$H$110,IF($A8&lt;Input!$G$110,IF($A8&lt;Input!$F$110,IF($A8&lt;Input!$E$110,IF($A8&lt;Input!$D$110,Input!$C$111,Input!$D$111),Input!$E$111),Input!$F$111),Input!$G$111),Input!$H$111)</f>
        <v>0.9</v>
      </c>
      <c r="BK8" s="60">
        <f t="shared" si="19"/>
        <v>0</v>
      </c>
      <c r="BL8" s="60">
        <f t="shared" si="43"/>
        <v>30</v>
      </c>
      <c r="BM8" s="60">
        <f t="shared" si="20"/>
        <v>0</v>
      </c>
      <c r="BN8" s="60">
        <f>ROUND(BM8*BL8*Input!$C$3/365,0)</f>
        <v>0</v>
      </c>
      <c r="BO8" s="61">
        <f>IF($A8&lt;=Input!$C$6,0,IF('180M'!BK8&lt;'180M'!BM8,'180M'!BK8-BN8,'180M'!BM8))</f>
        <v>0</v>
      </c>
      <c r="BP8" s="61">
        <f t="shared" si="21"/>
        <v>0</v>
      </c>
      <c r="BQ8" s="60">
        <f t="shared" si="22"/>
        <v>0</v>
      </c>
      <c r="BR8" s="198"/>
    </row>
    <row r="9" spans="1:70" x14ac:dyDescent="0.25">
      <c r="A9" s="169">
        <v>5</v>
      </c>
      <c r="B9" s="1">
        <f t="shared" si="23"/>
        <v>45672</v>
      </c>
      <c r="C9" s="60">
        <f t="shared" si="1"/>
        <v>16470000</v>
      </c>
      <c r="D9" s="60">
        <f t="shared" si="2"/>
        <v>14823000</v>
      </c>
      <c r="E9" s="60">
        <f t="shared" si="24"/>
        <v>31</v>
      </c>
      <c r="F9" s="60">
        <f t="shared" si="25"/>
        <v>1349257594.4979434</v>
      </c>
      <c r="G9" s="60">
        <f>ROUND(F9*E9*Input!$C$3/365,0)</f>
        <v>17189172</v>
      </c>
      <c r="H9" s="60">
        <f>IF($A9&lt;=Input!$C$6,0,IF('180M'!D9&lt;'180M'!F9,'180M'!D9-G9,'180M'!F9))</f>
        <v>-2366172</v>
      </c>
      <c r="I9" s="60">
        <f t="shared" si="26"/>
        <v>14823000</v>
      </c>
      <c r="J9" s="60">
        <f t="shared" si="27"/>
        <v>1351623766.4979434</v>
      </c>
      <c r="K9" s="203">
        <f>J9/Input!$K$5</f>
        <v>4.5054125549931445</v>
      </c>
      <c r="L9" s="232"/>
      <c r="M9" s="60">
        <f>IF($B9&lt;Input!$H$43,IF($B9&lt;Input!$G$43,IF($B9&lt;Input!$F$43,IF($B9&lt;Input!$E$43,IF($B9&lt;Input!$D$43,Input!$C$49,Input!$D$49),Input!$E$49),Input!$F$49),Input!$G$49),Input!$H$49)</f>
        <v>16470000</v>
      </c>
      <c r="N9" s="190">
        <f>IF($A9&lt;Input!$H$50,IF($A9&lt;Input!$G$50,IF($A9&lt;Input!$F$50,IF($A9&lt;Input!$E$50,IF($A9&lt;Input!$D$50,Input!$C$51,Input!$D$51),Input!$E$51),Input!$F$51),Input!$G$51),Input!$H$51)</f>
        <v>0.9</v>
      </c>
      <c r="O9" s="60">
        <f t="shared" si="0"/>
        <v>14823000</v>
      </c>
      <c r="P9" s="60">
        <f t="shared" si="3"/>
        <v>31</v>
      </c>
      <c r="Q9" s="60">
        <f t="shared" si="4"/>
        <v>1349257594.4979434</v>
      </c>
      <c r="R9" s="60">
        <f>ROUND(Q9*$P9*Input!$C$3/365,0)</f>
        <v>17189172</v>
      </c>
      <c r="S9" s="60">
        <f>IF(A9&lt;=Input!$C$6,0,IF('180M'!O9&lt;'180M'!Q9,'180M'!O9-R9,'180M'!Q9))</f>
        <v>-2366172</v>
      </c>
      <c r="T9" s="60">
        <f t="shared" si="5"/>
        <v>14823000</v>
      </c>
      <c r="U9" s="60">
        <f t="shared" si="6"/>
        <v>1351623766.4979434</v>
      </c>
      <c r="V9" s="193"/>
      <c r="W9" s="169">
        <v>5</v>
      </c>
      <c r="X9" s="1">
        <f t="shared" si="28"/>
        <v>45672</v>
      </c>
      <c r="Y9" s="60">
        <f>IF($X9&lt;Input!$H$58,IF($X9&lt;Input!$G$58,IF($X9&lt;Input!$F$58,IF($X9&lt;Input!$E$58,IF($X9&lt;Input!$D$58,Input!$C$64,Input!$D$64),Input!$E$64),Input!$F$64),Input!$G$64),Input!$H$64)</f>
        <v>0</v>
      </c>
      <c r="Z9" s="190">
        <f>IF($A9&lt;Input!$H$65,IF($A9&lt;Input!$G$65,IF($A9&lt;Input!$F$65,IF($A9&lt;Input!$E$65,IF($A9&lt;Input!$D$65,Input!$C$66,Input!$D$66),Input!$E$66),Input!$F$66),Input!$G$66),Input!$H$66)</f>
        <v>0.9</v>
      </c>
      <c r="AA9" s="60">
        <f t="shared" si="7"/>
        <v>0</v>
      </c>
      <c r="AB9" s="60">
        <f t="shared" si="29"/>
        <v>31</v>
      </c>
      <c r="AC9" s="60">
        <f t="shared" si="8"/>
        <v>0</v>
      </c>
      <c r="AD9" s="60">
        <f>ROUND(AC9*AB9*Input!$C$3/365,0)</f>
        <v>0</v>
      </c>
      <c r="AE9" s="61">
        <f>IF($A9&lt;=Input!$C$6,0,IF('180M'!AA9&lt;'180M'!AC9,'180M'!AA9-AD9,'180M'!AC9))</f>
        <v>0</v>
      </c>
      <c r="AF9" s="61">
        <f t="shared" si="9"/>
        <v>0</v>
      </c>
      <c r="AG9" s="60">
        <f t="shared" si="10"/>
        <v>0</v>
      </c>
      <c r="AH9" s="193"/>
      <c r="AI9" s="169">
        <v>5</v>
      </c>
      <c r="AJ9" s="1">
        <f t="shared" si="30"/>
        <v>45672</v>
      </c>
      <c r="AK9" s="60">
        <f>IF($X9&lt;Input!$H$73,IF($X9&lt;Input!$G$73,IF($X9&lt;Input!$F$73,IF($X9&lt;Input!$E$73,IF($X9&lt;Input!$D$73,Input!$C$79,Input!$D$79),Input!$E$79),Input!$F$79),Input!$G$79),Input!$H$79)</f>
        <v>0</v>
      </c>
      <c r="AL9" s="190">
        <f>IF($A9&lt;Input!$H$80,IF($A9&lt;Input!$G$80,IF($A9&lt;Input!$F$80,IF($A9&lt;Input!$E$80,IF($A9&lt;Input!$D$80,Input!$C$81,Input!$D$81),Input!$E$81),Input!$F$81),Input!$G$81),Input!$H$81)</f>
        <v>0.9</v>
      </c>
      <c r="AM9" s="60">
        <f t="shared" si="31"/>
        <v>0</v>
      </c>
      <c r="AN9" s="60">
        <f t="shared" si="32"/>
        <v>31</v>
      </c>
      <c r="AO9" s="60">
        <f t="shared" si="33"/>
        <v>0</v>
      </c>
      <c r="AP9" s="60">
        <f>ROUND(AO9*AN9*Input!$C$3/365,0)</f>
        <v>0</v>
      </c>
      <c r="AQ9" s="61">
        <f>IF($A9&lt;=Input!$C$6,0,IF('180M'!AM9&lt;'180M'!AO9,'180M'!AM9-AP9,'180M'!AO9))</f>
        <v>0</v>
      </c>
      <c r="AR9" s="61">
        <f t="shared" si="34"/>
        <v>0</v>
      </c>
      <c r="AS9" s="60">
        <f t="shared" si="35"/>
        <v>0</v>
      </c>
      <c r="AT9" s="193"/>
      <c r="AU9" s="169">
        <v>5</v>
      </c>
      <c r="AV9" s="1">
        <f t="shared" si="36"/>
        <v>45672</v>
      </c>
      <c r="AW9" s="60">
        <f>IF($X9&lt;Input!$H$88,IF($X9&lt;Input!$G$88,IF($X9&lt;Input!$F$88,IF($X9&lt;Input!$E$88,IF($X9&lt;Input!$D$88,Input!$C$94,Input!$D$94),Input!$E$94),Input!$F$94),Input!$G$94),Input!$H$94)</f>
        <v>0</v>
      </c>
      <c r="AX9" s="190">
        <f>IF($A9&lt;Input!$H$95,IF($A9&lt;Input!$G$95,IF($A9&lt;Input!$F$95,IF($A9&lt;Input!$E$95,IF($A9&lt;Input!$D$95,Input!$C$96,Input!$D$96),Input!$E$96),Input!$F$96),Input!$G$96),Input!$H$96)</f>
        <v>0.9</v>
      </c>
      <c r="AY9" s="60">
        <f t="shared" si="37"/>
        <v>0</v>
      </c>
      <c r="AZ9" s="60">
        <f t="shared" si="38"/>
        <v>31</v>
      </c>
      <c r="BA9" s="60">
        <f t="shared" si="39"/>
        <v>0</v>
      </c>
      <c r="BB9" s="60">
        <f>ROUND(BA9*AZ9*Input!$C$3/365,0)</f>
        <v>0</v>
      </c>
      <c r="BC9" s="61">
        <f>IF($A9&lt;=Input!$C$6,0,IF('180M'!AY9&lt;'180M'!BA9,'180M'!AY9-BB9,'180M'!BA9))</f>
        <v>0</v>
      </c>
      <c r="BD9" s="61">
        <f t="shared" si="40"/>
        <v>0</v>
      </c>
      <c r="BE9" s="60">
        <f t="shared" si="41"/>
        <v>0</v>
      </c>
      <c r="BF9" s="193"/>
      <c r="BG9" s="169">
        <v>5</v>
      </c>
      <c r="BH9" s="1">
        <f t="shared" si="42"/>
        <v>45672</v>
      </c>
      <c r="BI9" s="60">
        <f>IF($X9&lt;Input!$H$103,IF($X9&lt;Input!$G$103,IF($X9&lt;Input!$F$103,IF($X9&lt;Input!$E$103,IF($X9&lt;Input!$D$103,Input!$C$109,Input!$D$109),Input!$E$109),Input!$F$109),Input!$G$109),Input!$H$109)</f>
        <v>0</v>
      </c>
      <c r="BJ9" s="190">
        <f>IF($A9&lt;Input!$H$110,IF($A9&lt;Input!$G$110,IF($A9&lt;Input!$F$110,IF($A9&lt;Input!$E$110,IF($A9&lt;Input!$D$110,Input!$C$111,Input!$D$111),Input!$E$111),Input!$F$111),Input!$G$111),Input!$H$111)</f>
        <v>0.9</v>
      </c>
      <c r="BK9" s="60">
        <f t="shared" si="19"/>
        <v>0</v>
      </c>
      <c r="BL9" s="60">
        <f t="shared" si="43"/>
        <v>31</v>
      </c>
      <c r="BM9" s="60">
        <f t="shared" si="20"/>
        <v>0</v>
      </c>
      <c r="BN9" s="60">
        <f>ROUND(BM9*BL9*Input!$C$3/365,0)</f>
        <v>0</v>
      </c>
      <c r="BO9" s="61">
        <f>IF($A9&lt;=Input!$C$6,0,IF('180M'!BK9&lt;'180M'!BM9,'180M'!BK9-BN9,'180M'!BM9))</f>
        <v>0</v>
      </c>
      <c r="BP9" s="61">
        <f t="shared" si="21"/>
        <v>0</v>
      </c>
      <c r="BQ9" s="60">
        <f t="shared" si="22"/>
        <v>0</v>
      </c>
      <c r="BR9" s="198"/>
    </row>
    <row r="10" spans="1:70" x14ac:dyDescent="0.25">
      <c r="A10" s="169">
        <v>6</v>
      </c>
      <c r="B10" s="1">
        <f t="shared" si="23"/>
        <v>45703</v>
      </c>
      <c r="C10" s="60">
        <f t="shared" si="1"/>
        <v>16470000</v>
      </c>
      <c r="D10" s="60">
        <f t="shared" si="2"/>
        <v>14823000</v>
      </c>
      <c r="E10" s="60">
        <f t="shared" si="24"/>
        <v>31</v>
      </c>
      <c r="F10" s="60">
        <f t="shared" si="25"/>
        <v>1351623766.4979434</v>
      </c>
      <c r="G10" s="60">
        <f>ROUND(F10*E10*Input!$C$3/365,0)</f>
        <v>17219316</v>
      </c>
      <c r="H10" s="60">
        <f>IF($A10&lt;=Input!$C$6,0,IF('180M'!D10&lt;'180M'!F10,'180M'!D10-G10,'180M'!F10))</f>
        <v>-2396316</v>
      </c>
      <c r="I10" s="60">
        <f t="shared" si="26"/>
        <v>14823000</v>
      </c>
      <c r="J10" s="60">
        <f t="shared" si="27"/>
        <v>1354020082.4979434</v>
      </c>
      <c r="K10" s="203">
        <f>J10/Input!$K$5</f>
        <v>4.5134002749931446</v>
      </c>
      <c r="L10" s="232"/>
      <c r="M10" s="60">
        <f>IF($B10&lt;Input!$H$43,IF($B10&lt;Input!$G$43,IF($B10&lt;Input!$F$43,IF($B10&lt;Input!$E$43,IF($B10&lt;Input!$D$43,Input!$C$49,Input!$D$49),Input!$E$49),Input!$F$49),Input!$G$49),Input!$H$49)</f>
        <v>16470000</v>
      </c>
      <c r="N10" s="190">
        <f>IF($A10&lt;Input!$H$50,IF($A10&lt;Input!$G$50,IF($A10&lt;Input!$F$50,IF($A10&lt;Input!$E$50,IF($A10&lt;Input!$D$50,Input!$C$51,Input!$D$51),Input!$E$51),Input!$F$51),Input!$G$51),Input!$H$51)</f>
        <v>0.9</v>
      </c>
      <c r="O10" s="60">
        <f t="shared" si="0"/>
        <v>14823000</v>
      </c>
      <c r="P10" s="60">
        <f t="shared" si="3"/>
        <v>31</v>
      </c>
      <c r="Q10" s="60">
        <f t="shared" si="4"/>
        <v>1351623766.4979434</v>
      </c>
      <c r="R10" s="60">
        <f>ROUND(Q10*$P10*Input!$C$3/365,0)</f>
        <v>17219316</v>
      </c>
      <c r="S10" s="60">
        <f>IF(A10&lt;=Input!$C$6,0,IF('180M'!O10&lt;'180M'!Q10,'180M'!O10-R10,'180M'!Q10))</f>
        <v>-2396316</v>
      </c>
      <c r="T10" s="60">
        <f t="shared" si="5"/>
        <v>14823000</v>
      </c>
      <c r="U10" s="60">
        <f t="shared" si="6"/>
        <v>1354020082.4979434</v>
      </c>
      <c r="V10" s="193"/>
      <c r="W10" s="169">
        <v>6</v>
      </c>
      <c r="X10" s="1">
        <f t="shared" si="28"/>
        <v>45703</v>
      </c>
      <c r="Y10" s="60">
        <f>IF($X10&lt;Input!$H$58,IF($X10&lt;Input!$G$58,IF($X10&lt;Input!$F$58,IF($X10&lt;Input!$E$58,IF($X10&lt;Input!$D$58,Input!$C$64,Input!$D$64),Input!$E$64),Input!$F$64),Input!$G$64),Input!$H$64)</f>
        <v>0</v>
      </c>
      <c r="Z10" s="190">
        <f>IF($A10&lt;Input!$H$65,IF($A10&lt;Input!$G$65,IF($A10&lt;Input!$F$65,IF($A10&lt;Input!$E$65,IF($A10&lt;Input!$D$65,Input!$C$66,Input!$D$66),Input!$E$66),Input!$F$66),Input!$G$66),Input!$H$66)</f>
        <v>0.9</v>
      </c>
      <c r="AA10" s="60">
        <f t="shared" si="7"/>
        <v>0</v>
      </c>
      <c r="AB10" s="60">
        <f t="shared" si="29"/>
        <v>31</v>
      </c>
      <c r="AC10" s="60">
        <f t="shared" si="8"/>
        <v>0</v>
      </c>
      <c r="AD10" s="60">
        <f>ROUND(AC10*AB10*Input!$C$3/365,0)</f>
        <v>0</v>
      </c>
      <c r="AE10" s="61">
        <f>IF($A10&lt;=Input!$C$6,0,IF('180M'!AA10&lt;'180M'!AC10,'180M'!AA10-AD10,'180M'!AC10))</f>
        <v>0</v>
      </c>
      <c r="AF10" s="61">
        <f t="shared" si="9"/>
        <v>0</v>
      </c>
      <c r="AG10" s="60">
        <f t="shared" si="10"/>
        <v>0</v>
      </c>
      <c r="AH10" s="193"/>
      <c r="AI10" s="169">
        <v>6</v>
      </c>
      <c r="AJ10" s="1">
        <f t="shared" si="30"/>
        <v>45703</v>
      </c>
      <c r="AK10" s="60">
        <f>IF($X10&lt;Input!$H$73,IF($X10&lt;Input!$G$73,IF($X10&lt;Input!$F$73,IF($X10&lt;Input!$E$73,IF($X10&lt;Input!$D$73,Input!$C$79,Input!$D$79),Input!$E$79),Input!$F$79),Input!$G$79),Input!$H$79)</f>
        <v>0</v>
      </c>
      <c r="AL10" s="190">
        <f>IF($A10&lt;Input!$H$80,IF($A10&lt;Input!$G$80,IF($A10&lt;Input!$F$80,IF($A10&lt;Input!$E$80,IF($A10&lt;Input!$D$80,Input!$C$81,Input!$D$81),Input!$E$81),Input!$F$81),Input!$G$81),Input!$H$81)</f>
        <v>0.9</v>
      </c>
      <c r="AM10" s="60">
        <f t="shared" si="31"/>
        <v>0</v>
      </c>
      <c r="AN10" s="60">
        <f t="shared" si="32"/>
        <v>31</v>
      </c>
      <c r="AO10" s="60">
        <f t="shared" si="33"/>
        <v>0</v>
      </c>
      <c r="AP10" s="60">
        <f>ROUND(AO10*AN10*Input!$C$3/365,0)</f>
        <v>0</v>
      </c>
      <c r="AQ10" s="61">
        <f>IF($A10&lt;=Input!$C$6,0,IF('180M'!AM10&lt;'180M'!AO10,'180M'!AM10-AP10,'180M'!AO10))</f>
        <v>0</v>
      </c>
      <c r="AR10" s="61">
        <f t="shared" si="34"/>
        <v>0</v>
      </c>
      <c r="AS10" s="60">
        <f t="shared" si="35"/>
        <v>0</v>
      </c>
      <c r="AT10" s="193"/>
      <c r="AU10" s="169">
        <v>6</v>
      </c>
      <c r="AV10" s="1">
        <f t="shared" si="36"/>
        <v>45703</v>
      </c>
      <c r="AW10" s="60">
        <f>IF($X10&lt;Input!$H$88,IF($X10&lt;Input!$G$88,IF($X10&lt;Input!$F$88,IF($X10&lt;Input!$E$88,IF($X10&lt;Input!$D$88,Input!$C$94,Input!$D$94),Input!$E$94),Input!$F$94),Input!$G$94),Input!$H$94)</f>
        <v>0</v>
      </c>
      <c r="AX10" s="190">
        <f>IF($A10&lt;Input!$H$95,IF($A10&lt;Input!$G$95,IF($A10&lt;Input!$F$95,IF($A10&lt;Input!$E$95,IF($A10&lt;Input!$D$95,Input!$C$96,Input!$D$96),Input!$E$96),Input!$F$96),Input!$G$96),Input!$H$96)</f>
        <v>0.9</v>
      </c>
      <c r="AY10" s="60">
        <f t="shared" si="37"/>
        <v>0</v>
      </c>
      <c r="AZ10" s="60">
        <f t="shared" si="38"/>
        <v>31</v>
      </c>
      <c r="BA10" s="60">
        <f t="shared" si="39"/>
        <v>0</v>
      </c>
      <c r="BB10" s="60">
        <f>ROUND(BA10*AZ10*Input!$C$3/365,0)</f>
        <v>0</v>
      </c>
      <c r="BC10" s="61">
        <f>IF($A10&lt;=Input!$C$6,0,IF('180M'!AY10&lt;'180M'!BA10,'180M'!AY10-BB10,'180M'!BA10))</f>
        <v>0</v>
      </c>
      <c r="BD10" s="61">
        <f t="shared" si="40"/>
        <v>0</v>
      </c>
      <c r="BE10" s="60">
        <f t="shared" si="41"/>
        <v>0</v>
      </c>
      <c r="BF10" s="193"/>
      <c r="BG10" s="169">
        <v>6</v>
      </c>
      <c r="BH10" s="1">
        <f t="shared" si="42"/>
        <v>45703</v>
      </c>
      <c r="BI10" s="60">
        <f>IF($X10&lt;Input!$H$103,IF($X10&lt;Input!$G$103,IF($X10&lt;Input!$F$103,IF($X10&lt;Input!$E$103,IF($X10&lt;Input!$D$103,Input!$C$109,Input!$D$109),Input!$E$109),Input!$F$109),Input!$G$109),Input!$H$109)</f>
        <v>0</v>
      </c>
      <c r="BJ10" s="190">
        <f>IF($A10&lt;Input!$H$110,IF($A10&lt;Input!$G$110,IF($A10&lt;Input!$F$110,IF($A10&lt;Input!$E$110,IF($A10&lt;Input!$D$110,Input!$C$111,Input!$D$111),Input!$E$111),Input!$F$111),Input!$G$111),Input!$H$111)</f>
        <v>0.9</v>
      </c>
      <c r="BK10" s="60">
        <f t="shared" si="19"/>
        <v>0</v>
      </c>
      <c r="BL10" s="60">
        <f t="shared" si="43"/>
        <v>31</v>
      </c>
      <c r="BM10" s="60">
        <f t="shared" si="20"/>
        <v>0</v>
      </c>
      <c r="BN10" s="60">
        <f>ROUND(BM10*BL10*Input!$C$3/365,0)</f>
        <v>0</v>
      </c>
      <c r="BO10" s="61">
        <f>IF($A10&lt;=Input!$C$6,0,IF('180M'!BK10&lt;'180M'!BM10,'180M'!BK10-BN10,'180M'!BM10))</f>
        <v>0</v>
      </c>
      <c r="BP10" s="61">
        <f t="shared" si="21"/>
        <v>0</v>
      </c>
      <c r="BQ10" s="60">
        <f t="shared" si="22"/>
        <v>0</v>
      </c>
      <c r="BR10" s="198"/>
    </row>
    <row r="11" spans="1:70" x14ac:dyDescent="0.25">
      <c r="A11" s="169">
        <v>7</v>
      </c>
      <c r="B11" s="1">
        <f t="shared" si="23"/>
        <v>45731</v>
      </c>
      <c r="C11" s="60">
        <f t="shared" si="1"/>
        <v>16470000</v>
      </c>
      <c r="D11" s="60">
        <f t="shared" si="2"/>
        <v>14823000</v>
      </c>
      <c r="E11" s="60">
        <f t="shared" si="24"/>
        <v>28</v>
      </c>
      <c r="F11" s="60">
        <f t="shared" si="25"/>
        <v>1354020082.4979434</v>
      </c>
      <c r="G11" s="60">
        <f>ROUND(F11*E11*Input!$C$3/365,0)</f>
        <v>15580505</v>
      </c>
      <c r="H11" s="60">
        <f>IF($A11&lt;=Input!$C$6,0,IF('180M'!D11&lt;'180M'!F11,'180M'!D11-G11,'180M'!F11))</f>
        <v>-757505</v>
      </c>
      <c r="I11" s="60">
        <f t="shared" si="26"/>
        <v>14823000</v>
      </c>
      <c r="J11" s="60">
        <f t="shared" si="27"/>
        <v>1354777587.4979434</v>
      </c>
      <c r="K11" s="203">
        <f>J11/Input!$K$5</f>
        <v>4.5159252916598112</v>
      </c>
      <c r="L11" s="232"/>
      <c r="M11" s="60">
        <f>IF($B11&lt;Input!$H$43,IF($B11&lt;Input!$G$43,IF($B11&lt;Input!$F$43,IF($B11&lt;Input!$E$43,IF($B11&lt;Input!$D$43,Input!$C$49,Input!$D$49),Input!$E$49),Input!$F$49),Input!$G$49),Input!$H$49)</f>
        <v>16470000</v>
      </c>
      <c r="N11" s="190">
        <f>IF($A11&lt;Input!$H$50,IF($A11&lt;Input!$G$50,IF($A11&lt;Input!$F$50,IF($A11&lt;Input!$E$50,IF($A11&lt;Input!$D$50,Input!$C$51,Input!$D$51),Input!$E$51),Input!$F$51),Input!$G$51),Input!$H$51)</f>
        <v>0.9</v>
      </c>
      <c r="O11" s="60">
        <f t="shared" si="0"/>
        <v>14823000</v>
      </c>
      <c r="P11" s="60">
        <f t="shared" si="3"/>
        <v>28</v>
      </c>
      <c r="Q11" s="60">
        <f t="shared" si="4"/>
        <v>1354020082.4979434</v>
      </c>
      <c r="R11" s="60">
        <f>ROUND(Q11*$P11*Input!$C$3/365,0)</f>
        <v>15580505</v>
      </c>
      <c r="S11" s="60">
        <f>IF(A11&lt;=Input!$C$6,0,IF('180M'!O11&lt;'180M'!Q11,'180M'!O11-R11,'180M'!Q11))</f>
        <v>-757505</v>
      </c>
      <c r="T11" s="60">
        <f t="shared" si="5"/>
        <v>14823000</v>
      </c>
      <c r="U11" s="60">
        <f t="shared" si="6"/>
        <v>1354777587.4979434</v>
      </c>
      <c r="V11" s="193"/>
      <c r="W11" s="169">
        <v>7</v>
      </c>
      <c r="X11" s="1">
        <f t="shared" si="28"/>
        <v>45731</v>
      </c>
      <c r="Y11" s="60">
        <f>IF($X11&lt;Input!$H$58,IF($X11&lt;Input!$G$58,IF($X11&lt;Input!$F$58,IF($X11&lt;Input!$E$58,IF($X11&lt;Input!$D$58,Input!$C$64,Input!$D$64),Input!$E$64),Input!$F$64),Input!$G$64),Input!$H$64)</f>
        <v>0</v>
      </c>
      <c r="Z11" s="190">
        <f>IF($A11&lt;Input!$H$65,IF($A11&lt;Input!$G$65,IF($A11&lt;Input!$F$65,IF($A11&lt;Input!$E$65,IF($A11&lt;Input!$D$65,Input!$C$66,Input!$D$66),Input!$E$66),Input!$F$66),Input!$G$66),Input!$H$66)</f>
        <v>0.9</v>
      </c>
      <c r="AA11" s="60">
        <f t="shared" si="7"/>
        <v>0</v>
      </c>
      <c r="AB11" s="60">
        <f t="shared" si="29"/>
        <v>28</v>
      </c>
      <c r="AC11" s="60">
        <f t="shared" si="8"/>
        <v>0</v>
      </c>
      <c r="AD11" s="60">
        <f>ROUND(AC11*AB11*Input!$C$3/365,0)</f>
        <v>0</v>
      </c>
      <c r="AE11" s="61">
        <f>IF($A11&lt;=Input!$C$6,0,IF('180M'!AA11&lt;'180M'!AC11,'180M'!AA11-AD11,'180M'!AC11))</f>
        <v>0</v>
      </c>
      <c r="AF11" s="61">
        <f t="shared" si="9"/>
        <v>0</v>
      </c>
      <c r="AG11" s="60">
        <f t="shared" si="10"/>
        <v>0</v>
      </c>
      <c r="AH11" s="193"/>
      <c r="AI11" s="169">
        <v>7</v>
      </c>
      <c r="AJ11" s="1">
        <f t="shared" si="30"/>
        <v>45731</v>
      </c>
      <c r="AK11" s="60">
        <f>IF($X11&lt;Input!$H$73,IF($X11&lt;Input!$G$73,IF($X11&lt;Input!$F$73,IF($X11&lt;Input!$E$73,IF($X11&lt;Input!$D$73,Input!$C$79,Input!$D$79),Input!$E$79),Input!$F$79),Input!$G$79),Input!$H$79)</f>
        <v>0</v>
      </c>
      <c r="AL11" s="190">
        <f>IF($A11&lt;Input!$H$80,IF($A11&lt;Input!$G$80,IF($A11&lt;Input!$F$80,IF($A11&lt;Input!$E$80,IF($A11&lt;Input!$D$80,Input!$C$81,Input!$D$81),Input!$E$81),Input!$F$81),Input!$G$81),Input!$H$81)</f>
        <v>0.9</v>
      </c>
      <c r="AM11" s="60">
        <f t="shared" si="31"/>
        <v>0</v>
      </c>
      <c r="AN11" s="60">
        <f t="shared" si="32"/>
        <v>28</v>
      </c>
      <c r="AO11" s="60">
        <f t="shared" si="33"/>
        <v>0</v>
      </c>
      <c r="AP11" s="60">
        <f>ROUND(AO11*AN11*Input!$C$3/365,0)</f>
        <v>0</v>
      </c>
      <c r="AQ11" s="61">
        <f>IF($A11&lt;=Input!$C$6,0,IF('180M'!AM11&lt;'180M'!AO11,'180M'!AM11-AP11,'180M'!AO11))</f>
        <v>0</v>
      </c>
      <c r="AR11" s="61">
        <f t="shared" si="34"/>
        <v>0</v>
      </c>
      <c r="AS11" s="60">
        <f t="shared" si="35"/>
        <v>0</v>
      </c>
      <c r="AT11" s="193"/>
      <c r="AU11" s="169">
        <v>7</v>
      </c>
      <c r="AV11" s="1">
        <f t="shared" si="36"/>
        <v>45731</v>
      </c>
      <c r="AW11" s="60">
        <f>IF($X11&lt;Input!$H$88,IF($X11&lt;Input!$G$88,IF($X11&lt;Input!$F$88,IF($X11&lt;Input!$E$88,IF($X11&lt;Input!$D$88,Input!$C$94,Input!$D$94),Input!$E$94),Input!$F$94),Input!$G$94),Input!$H$94)</f>
        <v>0</v>
      </c>
      <c r="AX11" s="190">
        <f>IF($A11&lt;Input!$H$95,IF($A11&lt;Input!$G$95,IF($A11&lt;Input!$F$95,IF($A11&lt;Input!$E$95,IF($A11&lt;Input!$D$95,Input!$C$96,Input!$D$96),Input!$E$96),Input!$F$96),Input!$G$96),Input!$H$96)</f>
        <v>0.9</v>
      </c>
      <c r="AY11" s="60">
        <f t="shared" si="37"/>
        <v>0</v>
      </c>
      <c r="AZ11" s="60">
        <f t="shared" si="38"/>
        <v>28</v>
      </c>
      <c r="BA11" s="60">
        <f t="shared" si="39"/>
        <v>0</v>
      </c>
      <c r="BB11" s="60">
        <f>ROUND(BA11*AZ11*Input!$C$3/365,0)</f>
        <v>0</v>
      </c>
      <c r="BC11" s="61">
        <f>IF($A11&lt;=Input!$C$6,0,IF('180M'!AY11&lt;'180M'!BA11,'180M'!AY11-BB11,'180M'!BA11))</f>
        <v>0</v>
      </c>
      <c r="BD11" s="61">
        <f t="shared" si="40"/>
        <v>0</v>
      </c>
      <c r="BE11" s="60">
        <f t="shared" si="41"/>
        <v>0</v>
      </c>
      <c r="BF11" s="193"/>
      <c r="BG11" s="169">
        <v>7</v>
      </c>
      <c r="BH11" s="1">
        <f t="shared" si="42"/>
        <v>45731</v>
      </c>
      <c r="BI11" s="60">
        <f>IF($X11&lt;Input!$H$103,IF($X11&lt;Input!$G$103,IF($X11&lt;Input!$F$103,IF($X11&lt;Input!$E$103,IF($X11&lt;Input!$D$103,Input!$C$109,Input!$D$109),Input!$E$109),Input!$F$109),Input!$G$109),Input!$H$109)</f>
        <v>0</v>
      </c>
      <c r="BJ11" s="190">
        <f>IF($A11&lt;Input!$H$110,IF($A11&lt;Input!$G$110,IF($A11&lt;Input!$F$110,IF($A11&lt;Input!$E$110,IF($A11&lt;Input!$D$110,Input!$C$111,Input!$D$111),Input!$E$111),Input!$F$111),Input!$G$111),Input!$H$111)</f>
        <v>0.9</v>
      </c>
      <c r="BK11" s="60">
        <f t="shared" si="19"/>
        <v>0</v>
      </c>
      <c r="BL11" s="60">
        <f t="shared" si="43"/>
        <v>28</v>
      </c>
      <c r="BM11" s="60">
        <f t="shared" si="20"/>
        <v>0</v>
      </c>
      <c r="BN11" s="60">
        <f>ROUND(BM11*BL11*Input!$C$3/365,0)</f>
        <v>0</v>
      </c>
      <c r="BO11" s="61">
        <f>IF($A11&lt;=Input!$C$6,0,IF('180M'!BK11&lt;'180M'!BM11,'180M'!BK11-BN11,'180M'!BM11))</f>
        <v>0</v>
      </c>
      <c r="BP11" s="61">
        <f t="shared" si="21"/>
        <v>0</v>
      </c>
      <c r="BQ11" s="60">
        <f t="shared" si="22"/>
        <v>0</v>
      </c>
      <c r="BR11" s="198"/>
    </row>
    <row r="12" spans="1:70" x14ac:dyDescent="0.25">
      <c r="A12" s="169">
        <v>8</v>
      </c>
      <c r="B12" s="1">
        <f t="shared" si="23"/>
        <v>45762</v>
      </c>
      <c r="C12" s="60">
        <f t="shared" si="1"/>
        <v>16470000</v>
      </c>
      <c r="D12" s="60">
        <f t="shared" si="2"/>
        <v>14823000</v>
      </c>
      <c r="E12" s="60">
        <f t="shared" si="24"/>
        <v>31</v>
      </c>
      <c r="F12" s="60">
        <f t="shared" si="25"/>
        <v>1354777587.4979434</v>
      </c>
      <c r="G12" s="60">
        <f>ROUND(F12*E12*Input!$C$3/365,0)</f>
        <v>17259495</v>
      </c>
      <c r="H12" s="60">
        <f>IF($A12&lt;=Input!$C$6,0,IF('180M'!D12&lt;'180M'!F12,'180M'!D12-G12,'180M'!F12))</f>
        <v>-2436495</v>
      </c>
      <c r="I12" s="60">
        <f t="shared" si="26"/>
        <v>14823000</v>
      </c>
      <c r="J12" s="60">
        <f t="shared" si="27"/>
        <v>1357214082.4979434</v>
      </c>
      <c r="K12" s="203">
        <f>J12/Input!$K$5</f>
        <v>4.5240469416598117</v>
      </c>
      <c r="L12" s="232"/>
      <c r="M12" s="60">
        <f>IF($B12&lt;Input!$H$43,IF($B12&lt;Input!$G$43,IF($B12&lt;Input!$F$43,IF($B12&lt;Input!$E$43,IF($B12&lt;Input!$D$43,Input!$C$49,Input!$D$49),Input!$E$49),Input!$F$49),Input!$G$49),Input!$H$49)</f>
        <v>16470000</v>
      </c>
      <c r="N12" s="190">
        <f>IF($A12&lt;Input!$H$50,IF($A12&lt;Input!$G$50,IF($A12&lt;Input!$F$50,IF($A12&lt;Input!$E$50,IF($A12&lt;Input!$D$50,Input!$C$51,Input!$D$51),Input!$E$51),Input!$F$51),Input!$G$51),Input!$H$51)</f>
        <v>0.9</v>
      </c>
      <c r="O12" s="60">
        <f t="shared" si="0"/>
        <v>14823000</v>
      </c>
      <c r="P12" s="60">
        <f t="shared" si="3"/>
        <v>31</v>
      </c>
      <c r="Q12" s="60">
        <f t="shared" si="4"/>
        <v>1354777587.4979434</v>
      </c>
      <c r="R12" s="60">
        <f>ROUND(Q12*$P12*Input!$C$3/365,0)</f>
        <v>17259495</v>
      </c>
      <c r="S12" s="60">
        <f>IF(A12&lt;=Input!$C$6,0,IF('180M'!O12&lt;'180M'!Q12,'180M'!O12-R12,'180M'!Q12))</f>
        <v>-2436495</v>
      </c>
      <c r="T12" s="60">
        <f t="shared" si="5"/>
        <v>14823000</v>
      </c>
      <c r="U12" s="60">
        <f t="shared" si="6"/>
        <v>1357214082.4979434</v>
      </c>
      <c r="V12" s="193"/>
      <c r="W12" s="169">
        <v>8</v>
      </c>
      <c r="X12" s="1">
        <f t="shared" si="28"/>
        <v>45762</v>
      </c>
      <c r="Y12" s="60">
        <f>IF($X12&lt;Input!$H$58,IF($X12&lt;Input!$G$58,IF($X12&lt;Input!$F$58,IF($X12&lt;Input!$E$58,IF($X12&lt;Input!$D$58,Input!$C$64,Input!$D$64),Input!$E$64),Input!$F$64),Input!$G$64),Input!$H$64)</f>
        <v>0</v>
      </c>
      <c r="Z12" s="190">
        <f>IF($A12&lt;Input!$H$65,IF($A12&lt;Input!$G$65,IF($A12&lt;Input!$F$65,IF($A12&lt;Input!$E$65,IF($A12&lt;Input!$D$65,Input!$C$66,Input!$D$66),Input!$E$66),Input!$F$66),Input!$G$66),Input!$H$66)</f>
        <v>0.9</v>
      </c>
      <c r="AA12" s="60">
        <f t="shared" si="7"/>
        <v>0</v>
      </c>
      <c r="AB12" s="60">
        <f t="shared" si="29"/>
        <v>31</v>
      </c>
      <c r="AC12" s="60">
        <f t="shared" si="8"/>
        <v>0</v>
      </c>
      <c r="AD12" s="60">
        <f>ROUND(AC12*AB12*Input!$C$3/365,0)</f>
        <v>0</v>
      </c>
      <c r="AE12" s="61">
        <f>IF($A12&lt;=Input!$C$6,0,IF('180M'!AA12&lt;'180M'!AC12,'180M'!AA12-AD12,'180M'!AC12))</f>
        <v>0</v>
      </c>
      <c r="AF12" s="61">
        <f t="shared" si="9"/>
        <v>0</v>
      </c>
      <c r="AG12" s="60">
        <f t="shared" si="10"/>
        <v>0</v>
      </c>
      <c r="AH12" s="193"/>
      <c r="AI12" s="169">
        <v>8</v>
      </c>
      <c r="AJ12" s="1">
        <f t="shared" si="30"/>
        <v>45762</v>
      </c>
      <c r="AK12" s="60">
        <f>IF($X12&lt;Input!$H$73,IF($X12&lt;Input!$G$73,IF($X12&lt;Input!$F$73,IF($X12&lt;Input!$E$73,IF($X12&lt;Input!$D$73,Input!$C$79,Input!$D$79),Input!$E$79),Input!$F$79),Input!$G$79),Input!$H$79)</f>
        <v>0</v>
      </c>
      <c r="AL12" s="190">
        <f>IF($A12&lt;Input!$H$80,IF($A12&lt;Input!$G$80,IF($A12&lt;Input!$F$80,IF($A12&lt;Input!$E$80,IF($A12&lt;Input!$D$80,Input!$C$81,Input!$D$81),Input!$E$81),Input!$F$81),Input!$G$81),Input!$H$81)</f>
        <v>0.9</v>
      </c>
      <c r="AM12" s="60">
        <f t="shared" si="31"/>
        <v>0</v>
      </c>
      <c r="AN12" s="60">
        <f t="shared" si="32"/>
        <v>31</v>
      </c>
      <c r="AO12" s="60">
        <f t="shared" si="33"/>
        <v>0</v>
      </c>
      <c r="AP12" s="60">
        <f>ROUND(AO12*AN12*Input!$C$3/365,0)</f>
        <v>0</v>
      </c>
      <c r="AQ12" s="61">
        <f>IF($A12&lt;=Input!$C$6,0,IF('180M'!AM12&lt;'180M'!AO12,'180M'!AM12-AP12,'180M'!AO12))</f>
        <v>0</v>
      </c>
      <c r="AR12" s="61">
        <f t="shared" si="34"/>
        <v>0</v>
      </c>
      <c r="AS12" s="60">
        <f t="shared" si="35"/>
        <v>0</v>
      </c>
      <c r="AT12" s="193"/>
      <c r="AU12" s="169">
        <v>8</v>
      </c>
      <c r="AV12" s="1">
        <f t="shared" si="36"/>
        <v>45762</v>
      </c>
      <c r="AW12" s="60">
        <f>IF($X12&lt;Input!$H$88,IF($X12&lt;Input!$G$88,IF($X12&lt;Input!$F$88,IF($X12&lt;Input!$E$88,IF($X12&lt;Input!$D$88,Input!$C$94,Input!$D$94),Input!$E$94),Input!$F$94),Input!$G$94),Input!$H$94)</f>
        <v>0</v>
      </c>
      <c r="AX12" s="190">
        <f>IF($A12&lt;Input!$H$95,IF($A12&lt;Input!$G$95,IF($A12&lt;Input!$F$95,IF($A12&lt;Input!$E$95,IF($A12&lt;Input!$D$95,Input!$C$96,Input!$D$96),Input!$E$96),Input!$F$96),Input!$G$96),Input!$H$96)</f>
        <v>0.9</v>
      </c>
      <c r="AY12" s="60">
        <f t="shared" si="37"/>
        <v>0</v>
      </c>
      <c r="AZ12" s="60">
        <f t="shared" si="38"/>
        <v>31</v>
      </c>
      <c r="BA12" s="60">
        <f t="shared" si="39"/>
        <v>0</v>
      </c>
      <c r="BB12" s="60">
        <f>ROUND(BA12*AZ12*Input!$C$3/365,0)</f>
        <v>0</v>
      </c>
      <c r="BC12" s="61">
        <f>IF($A12&lt;=Input!$C$6,0,IF('180M'!AY12&lt;'180M'!BA12,'180M'!AY12-BB12,'180M'!BA12))</f>
        <v>0</v>
      </c>
      <c r="BD12" s="61">
        <f t="shared" si="40"/>
        <v>0</v>
      </c>
      <c r="BE12" s="60">
        <f t="shared" si="41"/>
        <v>0</v>
      </c>
      <c r="BF12" s="193"/>
      <c r="BG12" s="169">
        <v>8</v>
      </c>
      <c r="BH12" s="1">
        <f t="shared" si="42"/>
        <v>45762</v>
      </c>
      <c r="BI12" s="60">
        <f>IF($X12&lt;Input!$H$103,IF($X12&lt;Input!$G$103,IF($X12&lt;Input!$F$103,IF($X12&lt;Input!$E$103,IF($X12&lt;Input!$D$103,Input!$C$109,Input!$D$109),Input!$E$109),Input!$F$109),Input!$G$109),Input!$H$109)</f>
        <v>0</v>
      </c>
      <c r="BJ12" s="190">
        <f>IF($A12&lt;Input!$H$110,IF($A12&lt;Input!$G$110,IF($A12&lt;Input!$F$110,IF($A12&lt;Input!$E$110,IF($A12&lt;Input!$D$110,Input!$C$111,Input!$D$111),Input!$E$111),Input!$F$111),Input!$G$111),Input!$H$111)</f>
        <v>0.9</v>
      </c>
      <c r="BK12" s="60">
        <f t="shared" si="19"/>
        <v>0</v>
      </c>
      <c r="BL12" s="60">
        <f t="shared" si="43"/>
        <v>31</v>
      </c>
      <c r="BM12" s="60">
        <f t="shared" si="20"/>
        <v>0</v>
      </c>
      <c r="BN12" s="60">
        <f>ROUND(BM12*BL12*Input!$C$3/365,0)</f>
        <v>0</v>
      </c>
      <c r="BO12" s="61">
        <f>IF($A12&lt;=Input!$C$6,0,IF('180M'!BK12&lt;'180M'!BM12,'180M'!BK12-BN12,'180M'!BM12))</f>
        <v>0</v>
      </c>
      <c r="BP12" s="61">
        <f t="shared" si="21"/>
        <v>0</v>
      </c>
      <c r="BQ12" s="60">
        <f t="shared" si="22"/>
        <v>0</v>
      </c>
      <c r="BR12" s="198"/>
    </row>
    <row r="13" spans="1:70" x14ac:dyDescent="0.25">
      <c r="A13" s="169">
        <v>9</v>
      </c>
      <c r="B13" s="1">
        <f t="shared" si="23"/>
        <v>45792</v>
      </c>
      <c r="C13" s="60">
        <f t="shared" si="1"/>
        <v>16470000</v>
      </c>
      <c r="D13" s="60">
        <f t="shared" si="2"/>
        <v>14823000</v>
      </c>
      <c r="E13" s="60">
        <f t="shared" si="24"/>
        <v>30</v>
      </c>
      <c r="F13" s="60">
        <f t="shared" si="25"/>
        <v>1357214082.4979434</v>
      </c>
      <c r="G13" s="60">
        <f>ROUND(F13*E13*Input!$C$3/365,0)</f>
        <v>16732776</v>
      </c>
      <c r="H13" s="60">
        <f>IF($A13&lt;=Input!$C$6,0,IF('180M'!D13&lt;'180M'!F13,'180M'!D13-G13,'180M'!F13))</f>
        <v>-1909776</v>
      </c>
      <c r="I13" s="60">
        <f t="shared" si="26"/>
        <v>14823000</v>
      </c>
      <c r="J13" s="60">
        <f t="shared" si="27"/>
        <v>1359123858.4979434</v>
      </c>
      <c r="K13" s="203">
        <f>J13/Input!$K$5</f>
        <v>4.5304128616598112</v>
      </c>
      <c r="L13" s="232"/>
      <c r="M13" s="60">
        <f>IF($B13&lt;Input!$H$43,IF($B13&lt;Input!$G$43,IF($B13&lt;Input!$F$43,IF($B13&lt;Input!$E$43,IF($B13&lt;Input!$D$43,Input!$C$49,Input!$D$49),Input!$E$49),Input!$F$49),Input!$G$49),Input!$H$49)</f>
        <v>16470000</v>
      </c>
      <c r="N13" s="190">
        <f>IF($A13&lt;Input!$H$50,IF($A13&lt;Input!$G$50,IF($A13&lt;Input!$F$50,IF($A13&lt;Input!$E$50,IF($A13&lt;Input!$D$50,Input!$C$51,Input!$D$51),Input!$E$51),Input!$F$51),Input!$G$51),Input!$H$51)</f>
        <v>0.9</v>
      </c>
      <c r="O13" s="60">
        <f t="shared" si="0"/>
        <v>14823000</v>
      </c>
      <c r="P13" s="60">
        <f t="shared" si="3"/>
        <v>30</v>
      </c>
      <c r="Q13" s="60">
        <f t="shared" si="4"/>
        <v>1357214082.4979434</v>
      </c>
      <c r="R13" s="60">
        <f>ROUND(Q13*$P13*Input!$C$3/365,0)</f>
        <v>16732776</v>
      </c>
      <c r="S13" s="60">
        <f>IF(A13&lt;=Input!$C$6,0,IF('180M'!O13&lt;'180M'!Q13,'180M'!O13-R13,'180M'!Q13))</f>
        <v>-1909776</v>
      </c>
      <c r="T13" s="60">
        <f t="shared" si="5"/>
        <v>14823000</v>
      </c>
      <c r="U13" s="60">
        <f t="shared" si="6"/>
        <v>1359123858.4979434</v>
      </c>
      <c r="V13" s="193"/>
      <c r="W13" s="169">
        <v>9</v>
      </c>
      <c r="X13" s="1">
        <f t="shared" si="28"/>
        <v>45792</v>
      </c>
      <c r="Y13" s="60">
        <f>IF($X13&lt;Input!$H$58,IF($X13&lt;Input!$G$58,IF($X13&lt;Input!$F$58,IF($X13&lt;Input!$E$58,IF($X13&lt;Input!$D$58,Input!$C$64,Input!$D$64),Input!$E$64),Input!$F$64),Input!$G$64),Input!$H$64)</f>
        <v>0</v>
      </c>
      <c r="Z13" s="190">
        <f>IF($A13&lt;Input!$H$65,IF($A13&lt;Input!$G$65,IF($A13&lt;Input!$F$65,IF($A13&lt;Input!$E$65,IF($A13&lt;Input!$D$65,Input!$C$66,Input!$D$66),Input!$E$66),Input!$F$66),Input!$G$66),Input!$H$66)</f>
        <v>0.9</v>
      </c>
      <c r="AA13" s="60">
        <f t="shared" si="7"/>
        <v>0</v>
      </c>
      <c r="AB13" s="60">
        <f t="shared" si="29"/>
        <v>30</v>
      </c>
      <c r="AC13" s="60">
        <f t="shared" si="8"/>
        <v>0</v>
      </c>
      <c r="AD13" s="60">
        <f>ROUND(AC13*AB13*Input!$C$3/365,0)</f>
        <v>0</v>
      </c>
      <c r="AE13" s="61">
        <f>IF($A13&lt;=Input!$C$6,0,IF('180M'!AA13&lt;'180M'!AC13,'180M'!AA13-AD13,'180M'!AC13))</f>
        <v>0</v>
      </c>
      <c r="AF13" s="61">
        <f t="shared" si="9"/>
        <v>0</v>
      </c>
      <c r="AG13" s="60">
        <f t="shared" si="10"/>
        <v>0</v>
      </c>
      <c r="AH13" s="193"/>
      <c r="AI13" s="169">
        <v>9</v>
      </c>
      <c r="AJ13" s="1">
        <f t="shared" si="30"/>
        <v>45792</v>
      </c>
      <c r="AK13" s="60">
        <f>IF($X13&lt;Input!$H$73,IF($X13&lt;Input!$G$73,IF($X13&lt;Input!$F$73,IF($X13&lt;Input!$E$73,IF($X13&lt;Input!$D$73,Input!$C$79,Input!$D$79),Input!$E$79),Input!$F$79),Input!$G$79),Input!$H$79)</f>
        <v>0</v>
      </c>
      <c r="AL13" s="190">
        <f>IF($A13&lt;Input!$H$80,IF($A13&lt;Input!$G$80,IF($A13&lt;Input!$F$80,IF($A13&lt;Input!$E$80,IF($A13&lt;Input!$D$80,Input!$C$81,Input!$D$81),Input!$E$81),Input!$F$81),Input!$G$81),Input!$H$81)</f>
        <v>0.9</v>
      </c>
      <c r="AM13" s="60">
        <f t="shared" si="31"/>
        <v>0</v>
      </c>
      <c r="AN13" s="60">
        <f t="shared" si="32"/>
        <v>30</v>
      </c>
      <c r="AO13" s="60">
        <f t="shared" si="33"/>
        <v>0</v>
      </c>
      <c r="AP13" s="60">
        <f>ROUND(AO13*AN13*Input!$C$3/365,0)</f>
        <v>0</v>
      </c>
      <c r="AQ13" s="61">
        <f>IF($A13&lt;=Input!$C$6,0,IF('180M'!AM13&lt;'180M'!AO13,'180M'!AM13-AP13,'180M'!AO13))</f>
        <v>0</v>
      </c>
      <c r="AR13" s="61">
        <f t="shared" si="34"/>
        <v>0</v>
      </c>
      <c r="AS13" s="60">
        <f t="shared" si="35"/>
        <v>0</v>
      </c>
      <c r="AT13" s="193"/>
      <c r="AU13" s="169">
        <v>9</v>
      </c>
      <c r="AV13" s="1">
        <f t="shared" si="36"/>
        <v>45792</v>
      </c>
      <c r="AW13" s="60">
        <f>IF($X13&lt;Input!$H$88,IF($X13&lt;Input!$G$88,IF($X13&lt;Input!$F$88,IF($X13&lt;Input!$E$88,IF($X13&lt;Input!$D$88,Input!$C$94,Input!$D$94),Input!$E$94),Input!$F$94),Input!$G$94),Input!$H$94)</f>
        <v>0</v>
      </c>
      <c r="AX13" s="190">
        <f>IF($A13&lt;Input!$H$95,IF($A13&lt;Input!$G$95,IF($A13&lt;Input!$F$95,IF($A13&lt;Input!$E$95,IF($A13&lt;Input!$D$95,Input!$C$96,Input!$D$96),Input!$E$96),Input!$F$96),Input!$G$96),Input!$H$96)</f>
        <v>0.9</v>
      </c>
      <c r="AY13" s="60">
        <f t="shared" si="37"/>
        <v>0</v>
      </c>
      <c r="AZ13" s="60">
        <f t="shared" si="38"/>
        <v>30</v>
      </c>
      <c r="BA13" s="60">
        <f t="shared" si="39"/>
        <v>0</v>
      </c>
      <c r="BB13" s="60">
        <f>ROUND(BA13*AZ13*Input!$C$3/365,0)</f>
        <v>0</v>
      </c>
      <c r="BC13" s="61">
        <f>IF($A13&lt;=Input!$C$6,0,IF('180M'!AY13&lt;'180M'!BA13,'180M'!AY13-BB13,'180M'!BA13))</f>
        <v>0</v>
      </c>
      <c r="BD13" s="61">
        <f t="shared" si="40"/>
        <v>0</v>
      </c>
      <c r="BE13" s="60">
        <f t="shared" si="41"/>
        <v>0</v>
      </c>
      <c r="BF13" s="193"/>
      <c r="BG13" s="169">
        <v>9</v>
      </c>
      <c r="BH13" s="1">
        <f t="shared" si="42"/>
        <v>45792</v>
      </c>
      <c r="BI13" s="60">
        <f>IF($X13&lt;Input!$H$103,IF($X13&lt;Input!$G$103,IF($X13&lt;Input!$F$103,IF($X13&lt;Input!$E$103,IF($X13&lt;Input!$D$103,Input!$C$109,Input!$D$109),Input!$E$109),Input!$F$109),Input!$G$109),Input!$H$109)</f>
        <v>0</v>
      </c>
      <c r="BJ13" s="190">
        <f>IF($A13&lt;Input!$H$110,IF($A13&lt;Input!$G$110,IF($A13&lt;Input!$F$110,IF($A13&lt;Input!$E$110,IF($A13&lt;Input!$D$110,Input!$C$111,Input!$D$111),Input!$E$111),Input!$F$111),Input!$G$111),Input!$H$111)</f>
        <v>0.9</v>
      </c>
      <c r="BK13" s="60">
        <f t="shared" si="19"/>
        <v>0</v>
      </c>
      <c r="BL13" s="60">
        <f t="shared" si="43"/>
        <v>30</v>
      </c>
      <c r="BM13" s="60">
        <f t="shared" si="20"/>
        <v>0</v>
      </c>
      <c r="BN13" s="60">
        <f>ROUND(BM13*BL13*Input!$C$3/365,0)</f>
        <v>0</v>
      </c>
      <c r="BO13" s="61">
        <f>IF($A13&lt;=Input!$C$6,0,IF('180M'!BK13&lt;'180M'!BM13,'180M'!BK13-BN13,'180M'!BM13))</f>
        <v>0</v>
      </c>
      <c r="BP13" s="61">
        <f t="shared" si="21"/>
        <v>0</v>
      </c>
      <c r="BQ13" s="60">
        <f t="shared" si="22"/>
        <v>0</v>
      </c>
      <c r="BR13" s="198"/>
    </row>
    <row r="14" spans="1:70" x14ac:dyDescent="0.25">
      <c r="A14" s="169">
        <v>10</v>
      </c>
      <c r="B14" s="1">
        <f t="shared" si="23"/>
        <v>45823</v>
      </c>
      <c r="C14" s="60">
        <f t="shared" si="1"/>
        <v>16470000</v>
      </c>
      <c r="D14" s="60">
        <f t="shared" si="2"/>
        <v>14823000</v>
      </c>
      <c r="E14" s="60">
        <f t="shared" si="24"/>
        <v>31</v>
      </c>
      <c r="F14" s="60">
        <f t="shared" si="25"/>
        <v>1359123858.4979434</v>
      </c>
      <c r="G14" s="60">
        <f>ROUND(F14*E14*Input!$C$3/365,0)</f>
        <v>17314866</v>
      </c>
      <c r="H14" s="60">
        <f>IF($A14&lt;=Input!$C$6,0,IF('180M'!D14&lt;'180M'!F14,'180M'!D14-G14,'180M'!F14))</f>
        <v>-2491866</v>
      </c>
      <c r="I14" s="60">
        <f t="shared" si="26"/>
        <v>14823000</v>
      </c>
      <c r="J14" s="60">
        <f t="shared" si="27"/>
        <v>1361615724.4979434</v>
      </c>
      <c r="K14" s="203">
        <f>J14/Input!$K$5</f>
        <v>4.5387190816598117</v>
      </c>
      <c r="L14" s="232"/>
      <c r="M14" s="60">
        <f>IF($B14&lt;Input!$H$43,IF($B14&lt;Input!$G$43,IF($B14&lt;Input!$F$43,IF($B14&lt;Input!$E$43,IF($B14&lt;Input!$D$43,Input!$C$49,Input!$D$49),Input!$E$49),Input!$F$49),Input!$G$49),Input!$H$49)</f>
        <v>16470000</v>
      </c>
      <c r="N14" s="190">
        <f>IF($A14&lt;Input!$H$50,IF($A14&lt;Input!$G$50,IF($A14&lt;Input!$F$50,IF($A14&lt;Input!$E$50,IF($A14&lt;Input!$D$50,Input!$C$51,Input!$D$51),Input!$E$51),Input!$F$51),Input!$G$51),Input!$H$51)</f>
        <v>0.9</v>
      </c>
      <c r="O14" s="60">
        <f t="shared" si="0"/>
        <v>14823000</v>
      </c>
      <c r="P14" s="60">
        <f t="shared" si="3"/>
        <v>31</v>
      </c>
      <c r="Q14" s="60">
        <f t="shared" si="4"/>
        <v>1359123858.4979434</v>
      </c>
      <c r="R14" s="60">
        <f>ROUND(Q14*$P14*Input!$C$3/365,0)</f>
        <v>17314866</v>
      </c>
      <c r="S14" s="60">
        <f>IF(A14&lt;=Input!$C$6,0,IF('180M'!O14&lt;'180M'!Q14,'180M'!O14-R14,'180M'!Q14))</f>
        <v>-2491866</v>
      </c>
      <c r="T14" s="60">
        <f t="shared" si="5"/>
        <v>14823000</v>
      </c>
      <c r="U14" s="60">
        <f t="shared" si="6"/>
        <v>1361615724.4979434</v>
      </c>
      <c r="V14" s="193"/>
      <c r="W14" s="169">
        <v>10</v>
      </c>
      <c r="X14" s="1">
        <f t="shared" si="28"/>
        <v>45823</v>
      </c>
      <c r="Y14" s="60">
        <f>IF($X14&lt;Input!$H$58,IF($X14&lt;Input!$G$58,IF($X14&lt;Input!$F$58,IF($X14&lt;Input!$E$58,IF($X14&lt;Input!$D$58,Input!$C$64,Input!$D$64),Input!$E$64),Input!$F$64),Input!$G$64),Input!$H$64)</f>
        <v>0</v>
      </c>
      <c r="Z14" s="190">
        <f>IF($A14&lt;Input!$H$65,IF($A14&lt;Input!$G$65,IF($A14&lt;Input!$F$65,IF($A14&lt;Input!$E$65,IF($A14&lt;Input!$D$65,Input!$C$66,Input!$D$66),Input!$E$66),Input!$F$66),Input!$G$66),Input!$H$66)</f>
        <v>0.9</v>
      </c>
      <c r="AA14" s="60">
        <f t="shared" si="7"/>
        <v>0</v>
      </c>
      <c r="AB14" s="60">
        <f t="shared" si="29"/>
        <v>31</v>
      </c>
      <c r="AC14" s="60">
        <f t="shared" si="8"/>
        <v>0</v>
      </c>
      <c r="AD14" s="60">
        <f>ROUND(AC14*AB14*Input!$C$3/365,0)</f>
        <v>0</v>
      </c>
      <c r="AE14" s="61">
        <f>IF($A14&lt;=Input!$C$6,0,IF('180M'!AA14&lt;'180M'!AC14,'180M'!AA14-AD14,'180M'!AC14))</f>
        <v>0</v>
      </c>
      <c r="AF14" s="61">
        <f t="shared" si="9"/>
        <v>0</v>
      </c>
      <c r="AG14" s="60">
        <f t="shared" si="10"/>
        <v>0</v>
      </c>
      <c r="AH14" s="193"/>
      <c r="AI14" s="169">
        <v>10</v>
      </c>
      <c r="AJ14" s="1">
        <f t="shared" si="30"/>
        <v>45823</v>
      </c>
      <c r="AK14" s="60">
        <f>IF($X14&lt;Input!$H$73,IF($X14&lt;Input!$G$73,IF($X14&lt;Input!$F$73,IF($X14&lt;Input!$E$73,IF($X14&lt;Input!$D$73,Input!$C$79,Input!$D$79),Input!$E$79),Input!$F$79),Input!$G$79),Input!$H$79)</f>
        <v>0</v>
      </c>
      <c r="AL14" s="190">
        <f>IF($A14&lt;Input!$H$80,IF($A14&lt;Input!$G$80,IF($A14&lt;Input!$F$80,IF($A14&lt;Input!$E$80,IF($A14&lt;Input!$D$80,Input!$C$81,Input!$D$81),Input!$E$81),Input!$F$81),Input!$G$81),Input!$H$81)</f>
        <v>0.9</v>
      </c>
      <c r="AM14" s="60">
        <f t="shared" si="31"/>
        <v>0</v>
      </c>
      <c r="AN14" s="60">
        <f t="shared" si="32"/>
        <v>31</v>
      </c>
      <c r="AO14" s="60">
        <f t="shared" si="33"/>
        <v>0</v>
      </c>
      <c r="AP14" s="60">
        <f>ROUND(AO14*AN14*Input!$C$3/365,0)</f>
        <v>0</v>
      </c>
      <c r="AQ14" s="61">
        <f>IF($A14&lt;=Input!$C$6,0,IF('180M'!AM14&lt;'180M'!AO14,'180M'!AM14-AP14,'180M'!AO14))</f>
        <v>0</v>
      </c>
      <c r="AR14" s="61">
        <f t="shared" si="34"/>
        <v>0</v>
      </c>
      <c r="AS14" s="60">
        <f t="shared" si="35"/>
        <v>0</v>
      </c>
      <c r="AT14" s="193"/>
      <c r="AU14" s="169">
        <v>10</v>
      </c>
      <c r="AV14" s="1">
        <f t="shared" si="36"/>
        <v>45823</v>
      </c>
      <c r="AW14" s="60">
        <f>IF($X14&lt;Input!$H$88,IF($X14&lt;Input!$G$88,IF($X14&lt;Input!$F$88,IF($X14&lt;Input!$E$88,IF($X14&lt;Input!$D$88,Input!$C$94,Input!$D$94),Input!$E$94),Input!$F$94),Input!$G$94),Input!$H$94)</f>
        <v>0</v>
      </c>
      <c r="AX14" s="190">
        <f>IF($A14&lt;Input!$H$95,IF($A14&lt;Input!$G$95,IF($A14&lt;Input!$F$95,IF($A14&lt;Input!$E$95,IF($A14&lt;Input!$D$95,Input!$C$96,Input!$D$96),Input!$E$96),Input!$F$96),Input!$G$96),Input!$H$96)</f>
        <v>0.9</v>
      </c>
      <c r="AY14" s="60">
        <f t="shared" si="37"/>
        <v>0</v>
      </c>
      <c r="AZ14" s="60">
        <f t="shared" si="38"/>
        <v>31</v>
      </c>
      <c r="BA14" s="60">
        <f t="shared" si="39"/>
        <v>0</v>
      </c>
      <c r="BB14" s="60">
        <f>ROUND(BA14*AZ14*Input!$C$3/365,0)</f>
        <v>0</v>
      </c>
      <c r="BC14" s="61">
        <f>IF($A14&lt;=Input!$C$6,0,IF('180M'!AY14&lt;'180M'!BA14,'180M'!AY14-BB14,'180M'!BA14))</f>
        <v>0</v>
      </c>
      <c r="BD14" s="61">
        <f t="shared" si="40"/>
        <v>0</v>
      </c>
      <c r="BE14" s="60">
        <f t="shared" si="41"/>
        <v>0</v>
      </c>
      <c r="BF14" s="193"/>
      <c r="BG14" s="169">
        <v>10</v>
      </c>
      <c r="BH14" s="1">
        <f t="shared" si="42"/>
        <v>45823</v>
      </c>
      <c r="BI14" s="60">
        <f>IF($X14&lt;Input!$H$103,IF($X14&lt;Input!$G$103,IF($X14&lt;Input!$F$103,IF($X14&lt;Input!$E$103,IF($X14&lt;Input!$D$103,Input!$C$109,Input!$D$109),Input!$E$109),Input!$F$109),Input!$G$109),Input!$H$109)</f>
        <v>0</v>
      </c>
      <c r="BJ14" s="190">
        <f>IF($A14&lt;Input!$H$110,IF($A14&lt;Input!$G$110,IF($A14&lt;Input!$F$110,IF($A14&lt;Input!$E$110,IF($A14&lt;Input!$D$110,Input!$C$111,Input!$D$111),Input!$E$111),Input!$F$111),Input!$G$111),Input!$H$111)</f>
        <v>0.9</v>
      </c>
      <c r="BK14" s="60">
        <f t="shared" si="19"/>
        <v>0</v>
      </c>
      <c r="BL14" s="60">
        <f t="shared" si="43"/>
        <v>31</v>
      </c>
      <c r="BM14" s="60">
        <f t="shared" si="20"/>
        <v>0</v>
      </c>
      <c r="BN14" s="60">
        <f>ROUND(BM14*BL14*Input!$C$3/365,0)</f>
        <v>0</v>
      </c>
      <c r="BO14" s="61">
        <f>IF($A14&lt;=Input!$C$6,0,IF('180M'!BK14&lt;'180M'!BM14,'180M'!BK14-BN14,'180M'!BM14))</f>
        <v>0</v>
      </c>
      <c r="BP14" s="61">
        <f t="shared" si="21"/>
        <v>0</v>
      </c>
      <c r="BQ14" s="60">
        <f t="shared" si="22"/>
        <v>0</v>
      </c>
      <c r="BR14" s="198"/>
    </row>
    <row r="15" spans="1:70" x14ac:dyDescent="0.25">
      <c r="A15" s="169">
        <v>11</v>
      </c>
      <c r="B15" s="1">
        <f t="shared" si="23"/>
        <v>45853</v>
      </c>
      <c r="C15" s="60">
        <f t="shared" si="1"/>
        <v>16470000</v>
      </c>
      <c r="D15" s="60">
        <f t="shared" si="2"/>
        <v>14823000</v>
      </c>
      <c r="E15" s="60">
        <f t="shared" si="24"/>
        <v>30</v>
      </c>
      <c r="F15" s="60">
        <f t="shared" si="25"/>
        <v>1361615724.4979434</v>
      </c>
      <c r="G15" s="60">
        <f>ROUND(F15*E15*Input!$C$3/365,0)</f>
        <v>16787043</v>
      </c>
      <c r="H15" s="60">
        <f>IF($A15&lt;=Input!$C$6,0,IF('180M'!D15&lt;'180M'!F15,'180M'!D15-G15,'180M'!F15))</f>
        <v>-1964043</v>
      </c>
      <c r="I15" s="60">
        <f t="shared" si="26"/>
        <v>14823000</v>
      </c>
      <c r="J15" s="60">
        <f t="shared" si="27"/>
        <v>1363579767.4979434</v>
      </c>
      <c r="K15" s="203">
        <f>J15/Input!$K$5</f>
        <v>4.5452658916598114</v>
      </c>
      <c r="L15" s="232"/>
      <c r="M15" s="60">
        <f>IF($B15&lt;Input!$H$43,IF($B15&lt;Input!$G$43,IF($B15&lt;Input!$F$43,IF($B15&lt;Input!$E$43,IF($B15&lt;Input!$D$43,Input!$C$49,Input!$D$49),Input!$E$49),Input!$F$49),Input!$G$49),Input!$H$49)</f>
        <v>16470000</v>
      </c>
      <c r="N15" s="190">
        <f>IF($A15&lt;Input!$H$50,IF($A15&lt;Input!$G$50,IF($A15&lt;Input!$F$50,IF($A15&lt;Input!$E$50,IF($A15&lt;Input!$D$50,Input!$C$51,Input!$D$51),Input!$E$51),Input!$F$51),Input!$G$51),Input!$H$51)</f>
        <v>0.9</v>
      </c>
      <c r="O15" s="60">
        <f t="shared" si="0"/>
        <v>14823000</v>
      </c>
      <c r="P15" s="60">
        <f t="shared" si="3"/>
        <v>30</v>
      </c>
      <c r="Q15" s="60">
        <f t="shared" si="4"/>
        <v>1361615724.4979434</v>
      </c>
      <c r="R15" s="60">
        <f>ROUND(Q15*$P15*Input!$C$3/365,0)</f>
        <v>16787043</v>
      </c>
      <c r="S15" s="60">
        <f>IF(A15&lt;=Input!$C$6,0,IF('180M'!O15&lt;'180M'!Q15,'180M'!O15-R15,'180M'!Q15))</f>
        <v>-1964043</v>
      </c>
      <c r="T15" s="60">
        <f t="shared" si="5"/>
        <v>14823000</v>
      </c>
      <c r="U15" s="60">
        <f t="shared" si="6"/>
        <v>1363579767.4979434</v>
      </c>
      <c r="V15" s="193"/>
      <c r="W15" s="169">
        <v>11</v>
      </c>
      <c r="X15" s="1">
        <f t="shared" si="28"/>
        <v>45853</v>
      </c>
      <c r="Y15" s="60">
        <f>IF($X15&lt;Input!$H$58,IF($X15&lt;Input!$G$58,IF($X15&lt;Input!$F$58,IF($X15&lt;Input!$E$58,IF($X15&lt;Input!$D$58,Input!$C$64,Input!$D$64),Input!$E$64),Input!$F$64),Input!$G$64),Input!$H$64)</f>
        <v>0</v>
      </c>
      <c r="Z15" s="190">
        <f>IF($A15&lt;Input!$H$65,IF($A15&lt;Input!$G$65,IF($A15&lt;Input!$F$65,IF($A15&lt;Input!$E$65,IF($A15&lt;Input!$D$65,Input!$C$66,Input!$D$66),Input!$E$66),Input!$F$66),Input!$G$66),Input!$H$66)</f>
        <v>0.9</v>
      </c>
      <c r="AA15" s="60">
        <f t="shared" si="7"/>
        <v>0</v>
      </c>
      <c r="AB15" s="60">
        <f t="shared" si="29"/>
        <v>30</v>
      </c>
      <c r="AC15" s="60">
        <f t="shared" si="8"/>
        <v>0</v>
      </c>
      <c r="AD15" s="60">
        <f>ROUND(AC15*AB15*Input!$C$3/365,0)</f>
        <v>0</v>
      </c>
      <c r="AE15" s="61">
        <f>IF($A15&lt;=Input!$C$6,0,IF('180M'!AA15&lt;'180M'!AC15,'180M'!AA15-AD15,'180M'!AC15))</f>
        <v>0</v>
      </c>
      <c r="AF15" s="61">
        <f t="shared" si="9"/>
        <v>0</v>
      </c>
      <c r="AG15" s="60">
        <f t="shared" si="10"/>
        <v>0</v>
      </c>
      <c r="AH15" s="193"/>
      <c r="AI15" s="169">
        <v>11</v>
      </c>
      <c r="AJ15" s="1">
        <f t="shared" si="30"/>
        <v>45853</v>
      </c>
      <c r="AK15" s="60">
        <f>IF($X15&lt;Input!$H$73,IF($X15&lt;Input!$G$73,IF($X15&lt;Input!$F$73,IF($X15&lt;Input!$E$73,IF($X15&lt;Input!$D$73,Input!$C$79,Input!$D$79),Input!$E$79),Input!$F$79),Input!$G$79),Input!$H$79)</f>
        <v>0</v>
      </c>
      <c r="AL15" s="190">
        <f>IF($A15&lt;Input!$H$80,IF($A15&lt;Input!$G$80,IF($A15&lt;Input!$F$80,IF($A15&lt;Input!$E$80,IF($A15&lt;Input!$D$80,Input!$C$81,Input!$D$81),Input!$E$81),Input!$F$81),Input!$G$81),Input!$H$81)</f>
        <v>0.9</v>
      </c>
      <c r="AM15" s="60">
        <f t="shared" si="31"/>
        <v>0</v>
      </c>
      <c r="AN15" s="60">
        <f t="shared" si="32"/>
        <v>30</v>
      </c>
      <c r="AO15" s="60">
        <f t="shared" si="33"/>
        <v>0</v>
      </c>
      <c r="AP15" s="60">
        <f>ROUND(AO15*AN15*Input!$C$3/365,0)</f>
        <v>0</v>
      </c>
      <c r="AQ15" s="61">
        <f>IF($A15&lt;=Input!$C$6,0,IF('180M'!AM15&lt;'180M'!AO15,'180M'!AM15-AP15,'180M'!AO15))</f>
        <v>0</v>
      </c>
      <c r="AR15" s="61">
        <f t="shared" si="34"/>
        <v>0</v>
      </c>
      <c r="AS15" s="60">
        <f t="shared" si="35"/>
        <v>0</v>
      </c>
      <c r="AT15" s="193"/>
      <c r="AU15" s="169">
        <v>11</v>
      </c>
      <c r="AV15" s="1">
        <f t="shared" si="36"/>
        <v>45853</v>
      </c>
      <c r="AW15" s="60">
        <f>IF($X15&lt;Input!$H$88,IF($X15&lt;Input!$G$88,IF($X15&lt;Input!$F$88,IF($X15&lt;Input!$E$88,IF($X15&lt;Input!$D$88,Input!$C$94,Input!$D$94),Input!$E$94),Input!$F$94),Input!$G$94),Input!$H$94)</f>
        <v>0</v>
      </c>
      <c r="AX15" s="190">
        <f>IF($A15&lt;Input!$H$95,IF($A15&lt;Input!$G$95,IF($A15&lt;Input!$F$95,IF($A15&lt;Input!$E$95,IF($A15&lt;Input!$D$95,Input!$C$96,Input!$D$96),Input!$E$96),Input!$F$96),Input!$G$96),Input!$H$96)</f>
        <v>0.9</v>
      </c>
      <c r="AY15" s="60">
        <f t="shared" si="37"/>
        <v>0</v>
      </c>
      <c r="AZ15" s="60">
        <f t="shared" si="38"/>
        <v>30</v>
      </c>
      <c r="BA15" s="60">
        <f t="shared" si="39"/>
        <v>0</v>
      </c>
      <c r="BB15" s="60">
        <f>ROUND(BA15*AZ15*Input!$C$3/365,0)</f>
        <v>0</v>
      </c>
      <c r="BC15" s="61">
        <f>IF($A15&lt;=Input!$C$6,0,IF('180M'!AY15&lt;'180M'!BA15,'180M'!AY15-BB15,'180M'!BA15))</f>
        <v>0</v>
      </c>
      <c r="BD15" s="61">
        <f t="shared" si="40"/>
        <v>0</v>
      </c>
      <c r="BE15" s="60">
        <f t="shared" si="41"/>
        <v>0</v>
      </c>
      <c r="BF15" s="193"/>
      <c r="BG15" s="169">
        <v>11</v>
      </c>
      <c r="BH15" s="1">
        <f t="shared" si="42"/>
        <v>45853</v>
      </c>
      <c r="BI15" s="60">
        <f>IF($X15&lt;Input!$H$103,IF($X15&lt;Input!$G$103,IF($X15&lt;Input!$F$103,IF($X15&lt;Input!$E$103,IF($X15&lt;Input!$D$103,Input!$C$109,Input!$D$109),Input!$E$109),Input!$F$109),Input!$G$109),Input!$H$109)</f>
        <v>0</v>
      </c>
      <c r="BJ15" s="190">
        <f>IF($A15&lt;Input!$H$110,IF($A15&lt;Input!$G$110,IF($A15&lt;Input!$F$110,IF($A15&lt;Input!$E$110,IF($A15&lt;Input!$D$110,Input!$C$111,Input!$D$111),Input!$E$111),Input!$F$111),Input!$G$111),Input!$H$111)</f>
        <v>0.9</v>
      </c>
      <c r="BK15" s="60">
        <f t="shared" si="19"/>
        <v>0</v>
      </c>
      <c r="BL15" s="60">
        <f t="shared" si="43"/>
        <v>30</v>
      </c>
      <c r="BM15" s="60">
        <f t="shared" si="20"/>
        <v>0</v>
      </c>
      <c r="BN15" s="60">
        <f>ROUND(BM15*BL15*Input!$C$3/365,0)</f>
        <v>0</v>
      </c>
      <c r="BO15" s="61">
        <f>IF($A15&lt;=Input!$C$6,0,IF('180M'!BK15&lt;'180M'!BM15,'180M'!BK15-BN15,'180M'!BM15))</f>
        <v>0</v>
      </c>
      <c r="BP15" s="61">
        <f t="shared" si="21"/>
        <v>0</v>
      </c>
      <c r="BQ15" s="60">
        <f t="shared" si="22"/>
        <v>0</v>
      </c>
      <c r="BR15" s="198"/>
    </row>
    <row r="16" spans="1:70" x14ac:dyDescent="0.25">
      <c r="A16" s="169">
        <v>12</v>
      </c>
      <c r="B16" s="1">
        <f t="shared" si="23"/>
        <v>45884</v>
      </c>
      <c r="C16" s="60">
        <f t="shared" si="1"/>
        <v>16470000</v>
      </c>
      <c r="D16" s="60">
        <f t="shared" si="2"/>
        <v>14823000</v>
      </c>
      <c r="E16" s="60">
        <f t="shared" si="24"/>
        <v>31</v>
      </c>
      <c r="F16" s="60">
        <f t="shared" si="25"/>
        <v>1363579767.4979434</v>
      </c>
      <c r="G16" s="60">
        <f>ROUND(F16*E16*Input!$C$3/365,0)</f>
        <v>17371633</v>
      </c>
      <c r="H16" s="60">
        <f>IF($A16&lt;=Input!$C$6,0,IF('180M'!D16&lt;'180M'!F16,'180M'!D16-G16,'180M'!F16))</f>
        <v>-2548633</v>
      </c>
      <c r="I16" s="60">
        <f t="shared" si="26"/>
        <v>14823000</v>
      </c>
      <c r="J16" s="60">
        <f t="shared" si="27"/>
        <v>1366128400.4979434</v>
      </c>
      <c r="K16" s="203">
        <f>J16/Input!$K$5</f>
        <v>4.5537613349931449</v>
      </c>
      <c r="L16" s="232"/>
      <c r="M16" s="60">
        <f>IF($B16&lt;Input!$H$43,IF($B16&lt;Input!$G$43,IF($B16&lt;Input!$F$43,IF($B16&lt;Input!$E$43,IF($B16&lt;Input!$D$43,Input!$C$49,Input!$D$49),Input!$E$49),Input!$F$49),Input!$G$49),Input!$H$49)</f>
        <v>16470000</v>
      </c>
      <c r="N16" s="190">
        <f>IF($A16&lt;Input!$H$50,IF($A16&lt;Input!$G$50,IF($A16&lt;Input!$F$50,IF($A16&lt;Input!$E$50,IF($A16&lt;Input!$D$50,Input!$C$51,Input!$D$51),Input!$E$51),Input!$F$51),Input!$G$51),Input!$H$51)</f>
        <v>0.9</v>
      </c>
      <c r="O16" s="60">
        <f t="shared" si="0"/>
        <v>14823000</v>
      </c>
      <c r="P16" s="60">
        <f t="shared" si="3"/>
        <v>31</v>
      </c>
      <c r="Q16" s="60">
        <f t="shared" si="4"/>
        <v>1363579767.4979434</v>
      </c>
      <c r="R16" s="60">
        <f>ROUND(Q16*$P16*Input!$C$3/365,0)</f>
        <v>17371633</v>
      </c>
      <c r="S16" s="60">
        <f>IF(A16&lt;=Input!$C$6,0,IF('180M'!O16&lt;'180M'!Q16,'180M'!O16-R16,'180M'!Q16))</f>
        <v>-2548633</v>
      </c>
      <c r="T16" s="60">
        <f t="shared" si="5"/>
        <v>14823000</v>
      </c>
      <c r="U16" s="60">
        <f t="shared" si="6"/>
        <v>1366128400.4979434</v>
      </c>
      <c r="V16" s="193"/>
      <c r="W16" s="169">
        <v>12</v>
      </c>
      <c r="X16" s="1">
        <f t="shared" si="28"/>
        <v>45884</v>
      </c>
      <c r="Y16" s="60">
        <f>IF($X16&lt;Input!$H$58,IF($X16&lt;Input!$G$58,IF($X16&lt;Input!$F$58,IF($X16&lt;Input!$E$58,IF($X16&lt;Input!$D$58,Input!$C$64,Input!$D$64),Input!$E$64),Input!$F$64),Input!$G$64),Input!$H$64)</f>
        <v>0</v>
      </c>
      <c r="Z16" s="190">
        <f>IF($A16&lt;Input!$H$65,IF($A16&lt;Input!$G$65,IF($A16&lt;Input!$F$65,IF($A16&lt;Input!$E$65,IF($A16&lt;Input!$D$65,Input!$C$66,Input!$D$66),Input!$E$66),Input!$F$66),Input!$G$66),Input!$H$66)</f>
        <v>0.9</v>
      </c>
      <c r="AA16" s="60">
        <f t="shared" si="7"/>
        <v>0</v>
      </c>
      <c r="AB16" s="60">
        <f t="shared" si="29"/>
        <v>31</v>
      </c>
      <c r="AC16" s="60">
        <f t="shared" si="8"/>
        <v>0</v>
      </c>
      <c r="AD16" s="60">
        <f>ROUND(AC16*AB16*Input!$C$3/365,0)</f>
        <v>0</v>
      </c>
      <c r="AE16" s="61">
        <f>IF($A16&lt;=Input!$C$6,0,IF('180M'!AA16&lt;'180M'!AC16,'180M'!AA16-AD16,'180M'!AC16))</f>
        <v>0</v>
      </c>
      <c r="AF16" s="61">
        <f t="shared" si="9"/>
        <v>0</v>
      </c>
      <c r="AG16" s="60">
        <f t="shared" si="10"/>
        <v>0</v>
      </c>
      <c r="AH16" s="193"/>
      <c r="AI16" s="169">
        <v>12</v>
      </c>
      <c r="AJ16" s="1">
        <f t="shared" si="30"/>
        <v>45884</v>
      </c>
      <c r="AK16" s="60">
        <f>IF($X16&lt;Input!$H$73,IF($X16&lt;Input!$G$73,IF($X16&lt;Input!$F$73,IF($X16&lt;Input!$E$73,IF($X16&lt;Input!$D$73,Input!$C$79,Input!$D$79),Input!$E$79),Input!$F$79),Input!$G$79),Input!$H$79)</f>
        <v>0</v>
      </c>
      <c r="AL16" s="190">
        <f>IF($A16&lt;Input!$H$80,IF($A16&lt;Input!$G$80,IF($A16&lt;Input!$F$80,IF($A16&lt;Input!$E$80,IF($A16&lt;Input!$D$80,Input!$C$81,Input!$D$81),Input!$E$81),Input!$F$81),Input!$G$81),Input!$H$81)</f>
        <v>0.9</v>
      </c>
      <c r="AM16" s="60">
        <f t="shared" si="31"/>
        <v>0</v>
      </c>
      <c r="AN16" s="60">
        <f t="shared" si="32"/>
        <v>31</v>
      </c>
      <c r="AO16" s="60">
        <f t="shared" si="33"/>
        <v>0</v>
      </c>
      <c r="AP16" s="60">
        <f>ROUND(AO16*AN16*Input!$C$3/365,0)</f>
        <v>0</v>
      </c>
      <c r="AQ16" s="61">
        <f>IF($A16&lt;=Input!$C$6,0,IF('180M'!AM16&lt;'180M'!AO16,'180M'!AM16-AP16,'180M'!AO16))</f>
        <v>0</v>
      </c>
      <c r="AR16" s="61">
        <f t="shared" si="34"/>
        <v>0</v>
      </c>
      <c r="AS16" s="60">
        <f t="shared" si="35"/>
        <v>0</v>
      </c>
      <c r="AT16" s="193"/>
      <c r="AU16" s="169">
        <v>12</v>
      </c>
      <c r="AV16" s="1">
        <f t="shared" si="36"/>
        <v>45884</v>
      </c>
      <c r="AW16" s="60">
        <f>IF($X16&lt;Input!$H$88,IF($X16&lt;Input!$G$88,IF($X16&lt;Input!$F$88,IF($X16&lt;Input!$E$88,IF($X16&lt;Input!$D$88,Input!$C$94,Input!$D$94),Input!$E$94),Input!$F$94),Input!$G$94),Input!$H$94)</f>
        <v>0</v>
      </c>
      <c r="AX16" s="190">
        <f>IF($A16&lt;Input!$H$95,IF($A16&lt;Input!$G$95,IF($A16&lt;Input!$F$95,IF($A16&lt;Input!$E$95,IF($A16&lt;Input!$D$95,Input!$C$96,Input!$D$96),Input!$E$96),Input!$F$96),Input!$G$96),Input!$H$96)</f>
        <v>0.9</v>
      </c>
      <c r="AY16" s="60">
        <f t="shared" si="37"/>
        <v>0</v>
      </c>
      <c r="AZ16" s="60">
        <f t="shared" si="38"/>
        <v>31</v>
      </c>
      <c r="BA16" s="60">
        <f t="shared" si="39"/>
        <v>0</v>
      </c>
      <c r="BB16" s="60">
        <f>ROUND(BA16*AZ16*Input!$C$3/365,0)</f>
        <v>0</v>
      </c>
      <c r="BC16" s="61">
        <f>IF($A16&lt;=Input!$C$6,0,IF('180M'!AY16&lt;'180M'!BA16,'180M'!AY16-BB16,'180M'!BA16))</f>
        <v>0</v>
      </c>
      <c r="BD16" s="61">
        <f t="shared" si="40"/>
        <v>0</v>
      </c>
      <c r="BE16" s="60">
        <f t="shared" si="41"/>
        <v>0</v>
      </c>
      <c r="BF16" s="193"/>
      <c r="BG16" s="169">
        <v>12</v>
      </c>
      <c r="BH16" s="1">
        <f t="shared" si="42"/>
        <v>45884</v>
      </c>
      <c r="BI16" s="60">
        <f>IF($X16&lt;Input!$H$103,IF($X16&lt;Input!$G$103,IF($X16&lt;Input!$F$103,IF($X16&lt;Input!$E$103,IF($X16&lt;Input!$D$103,Input!$C$109,Input!$D$109),Input!$E$109),Input!$F$109),Input!$G$109),Input!$H$109)</f>
        <v>0</v>
      </c>
      <c r="BJ16" s="190">
        <f>IF($A16&lt;Input!$H$110,IF($A16&lt;Input!$G$110,IF($A16&lt;Input!$F$110,IF($A16&lt;Input!$E$110,IF($A16&lt;Input!$D$110,Input!$C$111,Input!$D$111),Input!$E$111),Input!$F$111),Input!$G$111),Input!$H$111)</f>
        <v>0.9</v>
      </c>
      <c r="BK16" s="60">
        <f t="shared" si="19"/>
        <v>0</v>
      </c>
      <c r="BL16" s="60">
        <f t="shared" si="43"/>
        <v>31</v>
      </c>
      <c r="BM16" s="60">
        <f t="shared" si="20"/>
        <v>0</v>
      </c>
      <c r="BN16" s="60">
        <f>ROUND(BM16*BL16*Input!$C$3/365,0)</f>
        <v>0</v>
      </c>
      <c r="BO16" s="61">
        <f>IF($A16&lt;=Input!$C$6,0,IF('180M'!BK16&lt;'180M'!BM16,'180M'!BK16-BN16,'180M'!BM16))</f>
        <v>0</v>
      </c>
      <c r="BP16" s="61">
        <f t="shared" si="21"/>
        <v>0</v>
      </c>
      <c r="BQ16" s="60">
        <f t="shared" si="22"/>
        <v>0</v>
      </c>
      <c r="BR16" s="198"/>
    </row>
    <row r="17" spans="1:70" x14ac:dyDescent="0.25">
      <c r="A17" s="169">
        <v>13</v>
      </c>
      <c r="B17" s="1">
        <f t="shared" si="23"/>
        <v>45915</v>
      </c>
      <c r="C17" s="60">
        <f t="shared" si="1"/>
        <v>16470000</v>
      </c>
      <c r="D17" s="60">
        <f t="shared" si="2"/>
        <v>14823000</v>
      </c>
      <c r="E17" s="60">
        <f t="shared" si="24"/>
        <v>31</v>
      </c>
      <c r="F17" s="60">
        <f t="shared" si="25"/>
        <v>1366128400.4979434</v>
      </c>
      <c r="G17" s="60">
        <f>ROUND(F17*E17*Input!$C$3/365,0)</f>
        <v>17404102</v>
      </c>
      <c r="H17" s="60">
        <f>IF($A17&lt;=Input!$C$6,0,IF('180M'!D17&lt;'180M'!F17,'180M'!D17-G17,'180M'!F17))</f>
        <v>-2581102</v>
      </c>
      <c r="I17" s="60">
        <f t="shared" si="26"/>
        <v>14823000</v>
      </c>
      <c r="J17" s="60">
        <f t="shared" si="27"/>
        <v>1368709502.4979434</v>
      </c>
      <c r="K17" s="203">
        <f>J17/Input!$K$5</f>
        <v>4.562365008326478</v>
      </c>
      <c r="L17" s="232"/>
      <c r="M17" s="60">
        <f>IF($B17&lt;Input!$H$43,IF($B17&lt;Input!$G$43,IF($B17&lt;Input!$F$43,IF($B17&lt;Input!$E$43,IF($B17&lt;Input!$D$43,Input!$C$49,Input!$D$49),Input!$E$49),Input!$F$49),Input!$G$49),Input!$H$49)</f>
        <v>16470000</v>
      </c>
      <c r="N17" s="190">
        <f>IF($A17&lt;Input!$H$50,IF($A17&lt;Input!$G$50,IF($A17&lt;Input!$F$50,IF($A17&lt;Input!$E$50,IF($A17&lt;Input!$D$50,Input!$C$51,Input!$D$51),Input!$E$51),Input!$F$51),Input!$G$51),Input!$H$51)</f>
        <v>0.9</v>
      </c>
      <c r="O17" s="60">
        <f t="shared" si="0"/>
        <v>14823000</v>
      </c>
      <c r="P17" s="60">
        <f t="shared" si="3"/>
        <v>31</v>
      </c>
      <c r="Q17" s="60">
        <f t="shared" si="4"/>
        <v>1366128400.4979434</v>
      </c>
      <c r="R17" s="60">
        <f>ROUND(Q17*$P17*Input!$C$3/365,0)</f>
        <v>17404102</v>
      </c>
      <c r="S17" s="60">
        <f>IF(A17&lt;=Input!$C$6,0,IF('180M'!O17&lt;'180M'!Q17,'180M'!O17-R17,'180M'!Q17))</f>
        <v>-2581102</v>
      </c>
      <c r="T17" s="60">
        <f t="shared" si="5"/>
        <v>14823000</v>
      </c>
      <c r="U17" s="60">
        <f t="shared" si="6"/>
        <v>1368709502.4979434</v>
      </c>
      <c r="V17" s="193"/>
      <c r="W17" s="169">
        <v>13</v>
      </c>
      <c r="X17" s="1">
        <f t="shared" si="28"/>
        <v>45915</v>
      </c>
      <c r="Y17" s="60">
        <f>IF($X17&lt;Input!$H$58,IF($X17&lt;Input!$G$58,IF($X17&lt;Input!$F$58,IF($X17&lt;Input!$E$58,IF($X17&lt;Input!$D$58,Input!$C$64,Input!$D$64),Input!$E$64),Input!$F$64),Input!$G$64),Input!$H$64)</f>
        <v>0</v>
      </c>
      <c r="Z17" s="190">
        <f>IF($A17&lt;Input!$H$65,IF($A17&lt;Input!$G$65,IF($A17&lt;Input!$F$65,IF($A17&lt;Input!$E$65,IF($A17&lt;Input!$D$65,Input!$C$66,Input!$D$66),Input!$E$66),Input!$F$66),Input!$G$66),Input!$H$66)</f>
        <v>0.9</v>
      </c>
      <c r="AA17" s="60">
        <f t="shared" si="7"/>
        <v>0</v>
      </c>
      <c r="AB17" s="60">
        <f t="shared" si="29"/>
        <v>31</v>
      </c>
      <c r="AC17" s="60">
        <f t="shared" si="8"/>
        <v>0</v>
      </c>
      <c r="AD17" s="60">
        <f>ROUND(AC17*AB17*Input!$C$3/365,0)</f>
        <v>0</v>
      </c>
      <c r="AE17" s="61">
        <f>IF($A17&lt;=Input!$C$6,0,IF('180M'!AA17&lt;'180M'!AC17,'180M'!AA17-AD17,'180M'!AC17))</f>
        <v>0</v>
      </c>
      <c r="AF17" s="61">
        <f t="shared" si="9"/>
        <v>0</v>
      </c>
      <c r="AG17" s="60">
        <f t="shared" si="10"/>
        <v>0</v>
      </c>
      <c r="AH17" s="193"/>
      <c r="AI17" s="169">
        <v>13</v>
      </c>
      <c r="AJ17" s="1">
        <f t="shared" si="30"/>
        <v>45915</v>
      </c>
      <c r="AK17" s="60">
        <f>IF($X17&lt;Input!$H$73,IF($X17&lt;Input!$G$73,IF($X17&lt;Input!$F$73,IF($X17&lt;Input!$E$73,IF($X17&lt;Input!$D$73,Input!$C$79,Input!$D$79),Input!$E$79),Input!$F$79),Input!$G$79),Input!$H$79)</f>
        <v>0</v>
      </c>
      <c r="AL17" s="190">
        <f>IF($A17&lt;Input!$H$80,IF($A17&lt;Input!$G$80,IF($A17&lt;Input!$F$80,IF($A17&lt;Input!$E$80,IF($A17&lt;Input!$D$80,Input!$C$81,Input!$D$81),Input!$E$81),Input!$F$81),Input!$G$81),Input!$H$81)</f>
        <v>0.9</v>
      </c>
      <c r="AM17" s="60">
        <f t="shared" si="31"/>
        <v>0</v>
      </c>
      <c r="AN17" s="60">
        <f t="shared" si="32"/>
        <v>31</v>
      </c>
      <c r="AO17" s="60">
        <f t="shared" si="33"/>
        <v>0</v>
      </c>
      <c r="AP17" s="60">
        <f>ROUND(AO17*AN17*Input!$C$3/365,0)</f>
        <v>0</v>
      </c>
      <c r="AQ17" s="61">
        <f>IF($A17&lt;=Input!$C$6,0,IF('180M'!AM17&lt;'180M'!AO17,'180M'!AM17-AP17,'180M'!AO17))</f>
        <v>0</v>
      </c>
      <c r="AR17" s="61">
        <f t="shared" si="34"/>
        <v>0</v>
      </c>
      <c r="AS17" s="60">
        <f t="shared" si="35"/>
        <v>0</v>
      </c>
      <c r="AT17" s="193"/>
      <c r="AU17" s="169">
        <v>13</v>
      </c>
      <c r="AV17" s="1">
        <f t="shared" si="36"/>
        <v>45915</v>
      </c>
      <c r="AW17" s="60">
        <f>IF($X17&lt;Input!$H$88,IF($X17&lt;Input!$G$88,IF($X17&lt;Input!$F$88,IF($X17&lt;Input!$E$88,IF($X17&lt;Input!$D$88,Input!$C$94,Input!$D$94),Input!$E$94),Input!$F$94),Input!$G$94),Input!$H$94)</f>
        <v>0</v>
      </c>
      <c r="AX17" s="190">
        <f>IF($A17&lt;Input!$H$95,IF($A17&lt;Input!$G$95,IF($A17&lt;Input!$F$95,IF($A17&lt;Input!$E$95,IF($A17&lt;Input!$D$95,Input!$C$96,Input!$D$96),Input!$E$96),Input!$F$96),Input!$G$96),Input!$H$96)</f>
        <v>0.9</v>
      </c>
      <c r="AY17" s="60">
        <f t="shared" si="37"/>
        <v>0</v>
      </c>
      <c r="AZ17" s="60">
        <f t="shared" si="38"/>
        <v>31</v>
      </c>
      <c r="BA17" s="60">
        <f t="shared" si="39"/>
        <v>0</v>
      </c>
      <c r="BB17" s="60">
        <f>ROUND(BA17*AZ17*Input!$C$3/365,0)</f>
        <v>0</v>
      </c>
      <c r="BC17" s="61">
        <f>IF($A17&lt;=Input!$C$6,0,IF('180M'!AY17&lt;'180M'!BA17,'180M'!AY17-BB17,'180M'!BA17))</f>
        <v>0</v>
      </c>
      <c r="BD17" s="61">
        <f t="shared" si="40"/>
        <v>0</v>
      </c>
      <c r="BE17" s="60">
        <f t="shared" si="41"/>
        <v>0</v>
      </c>
      <c r="BF17" s="193"/>
      <c r="BG17" s="169">
        <v>13</v>
      </c>
      <c r="BH17" s="1">
        <f t="shared" si="42"/>
        <v>45915</v>
      </c>
      <c r="BI17" s="60">
        <f>IF($X17&lt;Input!$H$103,IF($X17&lt;Input!$G$103,IF($X17&lt;Input!$F$103,IF($X17&lt;Input!$E$103,IF($X17&lt;Input!$D$103,Input!$C$109,Input!$D$109),Input!$E$109),Input!$F$109),Input!$G$109),Input!$H$109)</f>
        <v>0</v>
      </c>
      <c r="BJ17" s="190">
        <f>IF($A17&lt;Input!$H$110,IF($A17&lt;Input!$G$110,IF($A17&lt;Input!$F$110,IF($A17&lt;Input!$E$110,IF($A17&lt;Input!$D$110,Input!$C$111,Input!$D$111),Input!$E$111),Input!$F$111),Input!$G$111),Input!$H$111)</f>
        <v>0.9</v>
      </c>
      <c r="BK17" s="60">
        <f t="shared" si="19"/>
        <v>0</v>
      </c>
      <c r="BL17" s="60">
        <f t="shared" si="43"/>
        <v>31</v>
      </c>
      <c r="BM17" s="60">
        <f t="shared" si="20"/>
        <v>0</v>
      </c>
      <c r="BN17" s="60">
        <f>ROUND(BM17*BL17*Input!$C$3/365,0)</f>
        <v>0</v>
      </c>
      <c r="BO17" s="61">
        <f>IF($A17&lt;=Input!$C$6,0,IF('180M'!BK17&lt;'180M'!BM17,'180M'!BK17-BN17,'180M'!BM17))</f>
        <v>0</v>
      </c>
      <c r="BP17" s="61">
        <f t="shared" si="21"/>
        <v>0</v>
      </c>
      <c r="BQ17" s="60">
        <f t="shared" si="22"/>
        <v>0</v>
      </c>
      <c r="BR17" s="198"/>
    </row>
    <row r="18" spans="1:70" x14ac:dyDescent="0.25">
      <c r="A18" s="169">
        <v>14</v>
      </c>
      <c r="B18" s="1">
        <f t="shared" si="23"/>
        <v>45945</v>
      </c>
      <c r="C18" s="60">
        <f t="shared" si="1"/>
        <v>16470000</v>
      </c>
      <c r="D18" s="60">
        <f t="shared" si="2"/>
        <v>14823000</v>
      </c>
      <c r="E18" s="60">
        <f t="shared" si="24"/>
        <v>30</v>
      </c>
      <c r="F18" s="60">
        <f t="shared" si="25"/>
        <v>1368709502.4979434</v>
      </c>
      <c r="G18" s="60">
        <f>ROUND(F18*E18*Input!$C$3/365,0)</f>
        <v>16874501</v>
      </c>
      <c r="H18" s="60">
        <f>IF($A18&lt;=Input!$C$6,0,IF('180M'!D18&lt;'180M'!F18,'180M'!D18-G18,'180M'!F18))</f>
        <v>-2051501</v>
      </c>
      <c r="I18" s="60">
        <f t="shared" si="26"/>
        <v>14823000</v>
      </c>
      <c r="J18" s="60">
        <f t="shared" si="27"/>
        <v>1370761003.4979434</v>
      </c>
      <c r="K18" s="203">
        <f>J18/Input!$K$5</f>
        <v>4.5692033449931451</v>
      </c>
      <c r="L18" s="232"/>
      <c r="M18" s="60">
        <f>IF($B18&lt;Input!$H$43,IF($B18&lt;Input!$G$43,IF($B18&lt;Input!$F$43,IF($B18&lt;Input!$E$43,IF($B18&lt;Input!$D$43,Input!$C$49,Input!$D$49),Input!$E$49),Input!$F$49),Input!$G$49),Input!$H$49)</f>
        <v>16470000</v>
      </c>
      <c r="N18" s="190">
        <f>IF($A18&lt;Input!$H$50,IF($A18&lt;Input!$G$50,IF($A18&lt;Input!$F$50,IF($A18&lt;Input!$E$50,IF($A18&lt;Input!$D$50,Input!$C$51,Input!$D$51),Input!$E$51),Input!$F$51),Input!$G$51),Input!$H$51)</f>
        <v>0.9</v>
      </c>
      <c r="O18" s="60">
        <f t="shared" si="0"/>
        <v>14823000</v>
      </c>
      <c r="P18" s="60">
        <f t="shared" si="3"/>
        <v>30</v>
      </c>
      <c r="Q18" s="60">
        <f t="shared" si="4"/>
        <v>1368709502.4979434</v>
      </c>
      <c r="R18" s="60">
        <f>ROUND(Q18*$P18*Input!$C$3/365,0)</f>
        <v>16874501</v>
      </c>
      <c r="S18" s="60">
        <f>IF(A18&lt;=Input!$C$6,0,IF('180M'!O18&lt;'180M'!Q18,'180M'!O18-R18,'180M'!Q18))</f>
        <v>-2051501</v>
      </c>
      <c r="T18" s="60">
        <f t="shared" si="5"/>
        <v>14823000</v>
      </c>
      <c r="U18" s="60">
        <f t="shared" si="6"/>
        <v>1370761003.4979434</v>
      </c>
      <c r="V18" s="193"/>
      <c r="W18" s="169">
        <v>14</v>
      </c>
      <c r="X18" s="1">
        <f t="shared" si="28"/>
        <v>45945</v>
      </c>
      <c r="Y18" s="60">
        <f>IF($X18&lt;Input!$H$58,IF($X18&lt;Input!$G$58,IF($X18&lt;Input!$F$58,IF($X18&lt;Input!$E$58,IF($X18&lt;Input!$D$58,Input!$C$64,Input!$D$64),Input!$E$64),Input!$F$64),Input!$G$64),Input!$H$64)</f>
        <v>0</v>
      </c>
      <c r="Z18" s="190">
        <f>IF($A18&lt;Input!$H$65,IF($A18&lt;Input!$G$65,IF($A18&lt;Input!$F$65,IF($A18&lt;Input!$E$65,IF($A18&lt;Input!$D$65,Input!$C$66,Input!$D$66),Input!$E$66),Input!$F$66),Input!$G$66),Input!$H$66)</f>
        <v>0.9</v>
      </c>
      <c r="AA18" s="60">
        <f t="shared" si="7"/>
        <v>0</v>
      </c>
      <c r="AB18" s="60">
        <f t="shared" si="29"/>
        <v>30</v>
      </c>
      <c r="AC18" s="60">
        <f t="shared" si="8"/>
        <v>0</v>
      </c>
      <c r="AD18" s="60">
        <f>ROUND(AC18*AB18*Input!$C$3/365,0)</f>
        <v>0</v>
      </c>
      <c r="AE18" s="61">
        <f>IF($A18&lt;=Input!$C$6,0,IF('180M'!AA18&lt;'180M'!AC18,'180M'!AA18-AD18,'180M'!AC18))</f>
        <v>0</v>
      </c>
      <c r="AF18" s="61">
        <f t="shared" si="9"/>
        <v>0</v>
      </c>
      <c r="AG18" s="60">
        <f t="shared" si="10"/>
        <v>0</v>
      </c>
      <c r="AH18" s="193"/>
      <c r="AI18" s="169">
        <v>14</v>
      </c>
      <c r="AJ18" s="1">
        <f t="shared" si="30"/>
        <v>45945</v>
      </c>
      <c r="AK18" s="60">
        <f>IF($X18&lt;Input!$H$73,IF($X18&lt;Input!$G$73,IF($X18&lt;Input!$F$73,IF($X18&lt;Input!$E$73,IF($X18&lt;Input!$D$73,Input!$C$79,Input!$D$79),Input!$E$79),Input!$F$79),Input!$G$79),Input!$H$79)</f>
        <v>0</v>
      </c>
      <c r="AL18" s="190">
        <f>IF($A18&lt;Input!$H$80,IF($A18&lt;Input!$G$80,IF($A18&lt;Input!$F$80,IF($A18&lt;Input!$E$80,IF($A18&lt;Input!$D$80,Input!$C$81,Input!$D$81),Input!$E$81),Input!$F$81),Input!$G$81),Input!$H$81)</f>
        <v>0.9</v>
      </c>
      <c r="AM18" s="60">
        <f t="shared" si="31"/>
        <v>0</v>
      </c>
      <c r="AN18" s="60">
        <f t="shared" si="32"/>
        <v>30</v>
      </c>
      <c r="AO18" s="60">
        <f t="shared" si="33"/>
        <v>0</v>
      </c>
      <c r="AP18" s="60">
        <f>ROUND(AO18*AN18*Input!$C$3/365,0)</f>
        <v>0</v>
      </c>
      <c r="AQ18" s="61">
        <f>IF($A18&lt;=Input!$C$6,0,IF('180M'!AM18&lt;'180M'!AO18,'180M'!AM18-AP18,'180M'!AO18))</f>
        <v>0</v>
      </c>
      <c r="AR18" s="61">
        <f t="shared" si="34"/>
        <v>0</v>
      </c>
      <c r="AS18" s="60">
        <f t="shared" si="35"/>
        <v>0</v>
      </c>
      <c r="AT18" s="193"/>
      <c r="AU18" s="169">
        <v>14</v>
      </c>
      <c r="AV18" s="1">
        <f t="shared" si="36"/>
        <v>45945</v>
      </c>
      <c r="AW18" s="60">
        <f>IF($X18&lt;Input!$H$88,IF($X18&lt;Input!$G$88,IF($X18&lt;Input!$F$88,IF($X18&lt;Input!$E$88,IF($X18&lt;Input!$D$88,Input!$C$94,Input!$D$94),Input!$E$94),Input!$F$94),Input!$G$94),Input!$H$94)</f>
        <v>0</v>
      </c>
      <c r="AX18" s="190">
        <f>IF($A18&lt;Input!$H$95,IF($A18&lt;Input!$G$95,IF($A18&lt;Input!$F$95,IF($A18&lt;Input!$E$95,IF($A18&lt;Input!$D$95,Input!$C$96,Input!$D$96),Input!$E$96),Input!$F$96),Input!$G$96),Input!$H$96)</f>
        <v>0.9</v>
      </c>
      <c r="AY18" s="60">
        <f t="shared" si="37"/>
        <v>0</v>
      </c>
      <c r="AZ18" s="60">
        <f t="shared" si="38"/>
        <v>30</v>
      </c>
      <c r="BA18" s="60">
        <f t="shared" si="39"/>
        <v>0</v>
      </c>
      <c r="BB18" s="60">
        <f>ROUND(BA18*AZ18*Input!$C$3/365,0)</f>
        <v>0</v>
      </c>
      <c r="BC18" s="61">
        <f>IF($A18&lt;=Input!$C$6,0,IF('180M'!AY18&lt;'180M'!BA18,'180M'!AY18-BB18,'180M'!BA18))</f>
        <v>0</v>
      </c>
      <c r="BD18" s="61">
        <f t="shared" si="40"/>
        <v>0</v>
      </c>
      <c r="BE18" s="60">
        <f t="shared" si="41"/>
        <v>0</v>
      </c>
      <c r="BF18" s="193"/>
      <c r="BG18" s="169">
        <v>14</v>
      </c>
      <c r="BH18" s="1">
        <f t="shared" si="42"/>
        <v>45945</v>
      </c>
      <c r="BI18" s="60">
        <f>IF($X18&lt;Input!$H$103,IF($X18&lt;Input!$G$103,IF($X18&lt;Input!$F$103,IF($X18&lt;Input!$E$103,IF($X18&lt;Input!$D$103,Input!$C$109,Input!$D$109),Input!$E$109),Input!$F$109),Input!$G$109),Input!$H$109)</f>
        <v>0</v>
      </c>
      <c r="BJ18" s="190">
        <f>IF($A18&lt;Input!$H$110,IF($A18&lt;Input!$G$110,IF($A18&lt;Input!$F$110,IF($A18&lt;Input!$E$110,IF($A18&lt;Input!$D$110,Input!$C$111,Input!$D$111),Input!$E$111),Input!$F$111),Input!$G$111),Input!$H$111)</f>
        <v>0.9</v>
      </c>
      <c r="BK18" s="60">
        <f t="shared" si="19"/>
        <v>0</v>
      </c>
      <c r="BL18" s="60">
        <f t="shared" si="43"/>
        <v>30</v>
      </c>
      <c r="BM18" s="60">
        <f t="shared" si="20"/>
        <v>0</v>
      </c>
      <c r="BN18" s="60">
        <f>ROUND(BM18*BL18*Input!$C$3/365,0)</f>
        <v>0</v>
      </c>
      <c r="BO18" s="61">
        <f>IF($A18&lt;=Input!$C$6,0,IF('180M'!BK18&lt;'180M'!BM18,'180M'!BK18-BN18,'180M'!BM18))</f>
        <v>0</v>
      </c>
      <c r="BP18" s="61">
        <f t="shared" si="21"/>
        <v>0</v>
      </c>
      <c r="BQ18" s="60">
        <f t="shared" si="22"/>
        <v>0</v>
      </c>
      <c r="BR18" s="198"/>
    </row>
    <row r="19" spans="1:70" x14ac:dyDescent="0.25">
      <c r="A19" s="169">
        <v>15</v>
      </c>
      <c r="B19" s="1">
        <f t="shared" si="23"/>
        <v>45976</v>
      </c>
      <c r="C19" s="60">
        <f t="shared" si="1"/>
        <v>16470000</v>
      </c>
      <c r="D19" s="60">
        <f t="shared" si="2"/>
        <v>14823000</v>
      </c>
      <c r="E19" s="60">
        <f t="shared" si="24"/>
        <v>31</v>
      </c>
      <c r="F19" s="60">
        <f t="shared" si="25"/>
        <v>1370761003.4979434</v>
      </c>
      <c r="G19" s="60">
        <f>ROUND(F19*E19*Input!$C$3/365,0)</f>
        <v>17463120</v>
      </c>
      <c r="H19" s="60">
        <f>IF($A19&lt;=Input!$C$6,0,IF('180M'!D19&lt;'180M'!F19,'180M'!D19-G19,'180M'!F19))</f>
        <v>-2640120</v>
      </c>
      <c r="I19" s="60">
        <f t="shared" si="26"/>
        <v>14823000</v>
      </c>
      <c r="J19" s="60">
        <f t="shared" si="27"/>
        <v>1373401123.4979434</v>
      </c>
      <c r="K19" s="203">
        <f>J19/Input!$K$5</f>
        <v>4.5780037449931443</v>
      </c>
      <c r="L19" s="232"/>
      <c r="M19" s="60">
        <f>IF($B19&lt;Input!$H$43,IF($B19&lt;Input!$G$43,IF($B19&lt;Input!$F$43,IF($B19&lt;Input!$E$43,IF($B19&lt;Input!$D$43,Input!$C$49,Input!$D$49),Input!$E$49),Input!$F$49),Input!$G$49),Input!$H$49)</f>
        <v>16470000</v>
      </c>
      <c r="N19" s="190">
        <f>IF($A19&lt;Input!$H$50,IF($A19&lt;Input!$G$50,IF($A19&lt;Input!$F$50,IF($A19&lt;Input!$E$50,IF($A19&lt;Input!$D$50,Input!$C$51,Input!$D$51),Input!$E$51),Input!$F$51),Input!$G$51),Input!$H$51)</f>
        <v>0.9</v>
      </c>
      <c r="O19" s="60">
        <f t="shared" si="0"/>
        <v>14823000</v>
      </c>
      <c r="P19" s="60">
        <f t="shared" si="3"/>
        <v>31</v>
      </c>
      <c r="Q19" s="60">
        <f t="shared" si="4"/>
        <v>1370761003.4979434</v>
      </c>
      <c r="R19" s="60">
        <f>ROUND(Q19*$P19*Input!$C$3/365,0)</f>
        <v>17463120</v>
      </c>
      <c r="S19" s="60">
        <f>IF(A19&lt;=Input!$C$6,0,IF('180M'!O19&lt;'180M'!Q19,'180M'!O19-R19,'180M'!Q19))</f>
        <v>-2640120</v>
      </c>
      <c r="T19" s="60">
        <f t="shared" si="5"/>
        <v>14823000</v>
      </c>
      <c r="U19" s="60">
        <f t="shared" si="6"/>
        <v>1373401123.4979434</v>
      </c>
      <c r="V19" s="193"/>
      <c r="W19" s="169">
        <v>15</v>
      </c>
      <c r="X19" s="1">
        <f t="shared" si="28"/>
        <v>45976</v>
      </c>
      <c r="Y19" s="60">
        <f>IF($X19&lt;Input!$H$58,IF($X19&lt;Input!$G$58,IF($X19&lt;Input!$F$58,IF($X19&lt;Input!$E$58,IF($X19&lt;Input!$D$58,Input!$C$64,Input!$D$64),Input!$E$64),Input!$F$64),Input!$G$64),Input!$H$64)</f>
        <v>0</v>
      </c>
      <c r="Z19" s="190">
        <f>IF($A19&lt;Input!$H$65,IF($A19&lt;Input!$G$65,IF($A19&lt;Input!$F$65,IF($A19&lt;Input!$E$65,IF($A19&lt;Input!$D$65,Input!$C$66,Input!$D$66),Input!$E$66),Input!$F$66),Input!$G$66),Input!$H$66)</f>
        <v>0.9</v>
      </c>
      <c r="AA19" s="60">
        <f t="shared" si="7"/>
        <v>0</v>
      </c>
      <c r="AB19" s="60">
        <f t="shared" si="29"/>
        <v>31</v>
      </c>
      <c r="AC19" s="60">
        <f t="shared" si="8"/>
        <v>0</v>
      </c>
      <c r="AD19" s="60">
        <f>ROUND(AC19*AB19*Input!$C$3/365,0)</f>
        <v>0</v>
      </c>
      <c r="AE19" s="61">
        <f>IF($A19&lt;=Input!$C$6,0,IF('180M'!AA19&lt;'180M'!AC19,'180M'!AA19-AD19,'180M'!AC19))</f>
        <v>0</v>
      </c>
      <c r="AF19" s="61">
        <f t="shared" si="9"/>
        <v>0</v>
      </c>
      <c r="AG19" s="60">
        <f t="shared" si="10"/>
        <v>0</v>
      </c>
      <c r="AH19" s="193"/>
      <c r="AI19" s="169">
        <v>15</v>
      </c>
      <c r="AJ19" s="1">
        <f t="shared" si="30"/>
        <v>45976</v>
      </c>
      <c r="AK19" s="60">
        <f>IF($X19&lt;Input!$H$73,IF($X19&lt;Input!$G$73,IF($X19&lt;Input!$F$73,IF($X19&lt;Input!$E$73,IF($X19&lt;Input!$D$73,Input!$C$79,Input!$D$79),Input!$E$79),Input!$F$79),Input!$G$79),Input!$H$79)</f>
        <v>0</v>
      </c>
      <c r="AL19" s="190">
        <f>IF($A19&lt;Input!$H$80,IF($A19&lt;Input!$G$80,IF($A19&lt;Input!$F$80,IF($A19&lt;Input!$E$80,IF($A19&lt;Input!$D$80,Input!$C$81,Input!$D$81),Input!$E$81),Input!$F$81),Input!$G$81),Input!$H$81)</f>
        <v>0.9</v>
      </c>
      <c r="AM19" s="60">
        <f t="shared" si="31"/>
        <v>0</v>
      </c>
      <c r="AN19" s="60">
        <f t="shared" si="32"/>
        <v>31</v>
      </c>
      <c r="AO19" s="60">
        <f t="shared" si="33"/>
        <v>0</v>
      </c>
      <c r="AP19" s="60">
        <f>ROUND(AO19*AN19*Input!$C$3/365,0)</f>
        <v>0</v>
      </c>
      <c r="AQ19" s="61">
        <f>IF($A19&lt;=Input!$C$6,0,IF('180M'!AM19&lt;'180M'!AO19,'180M'!AM19-AP19,'180M'!AO19))</f>
        <v>0</v>
      </c>
      <c r="AR19" s="61">
        <f t="shared" si="34"/>
        <v>0</v>
      </c>
      <c r="AS19" s="60">
        <f t="shared" si="35"/>
        <v>0</v>
      </c>
      <c r="AT19" s="193"/>
      <c r="AU19" s="169">
        <v>15</v>
      </c>
      <c r="AV19" s="1">
        <f t="shared" si="36"/>
        <v>45976</v>
      </c>
      <c r="AW19" s="60">
        <f>IF($X19&lt;Input!$H$88,IF($X19&lt;Input!$G$88,IF($X19&lt;Input!$F$88,IF($X19&lt;Input!$E$88,IF($X19&lt;Input!$D$88,Input!$C$94,Input!$D$94),Input!$E$94),Input!$F$94),Input!$G$94),Input!$H$94)</f>
        <v>0</v>
      </c>
      <c r="AX19" s="190">
        <f>IF($A19&lt;Input!$H$95,IF($A19&lt;Input!$G$95,IF($A19&lt;Input!$F$95,IF($A19&lt;Input!$E$95,IF($A19&lt;Input!$D$95,Input!$C$96,Input!$D$96),Input!$E$96),Input!$F$96),Input!$G$96),Input!$H$96)</f>
        <v>0.9</v>
      </c>
      <c r="AY19" s="60">
        <f t="shared" si="37"/>
        <v>0</v>
      </c>
      <c r="AZ19" s="60">
        <f t="shared" si="38"/>
        <v>31</v>
      </c>
      <c r="BA19" s="60">
        <f t="shared" si="39"/>
        <v>0</v>
      </c>
      <c r="BB19" s="60">
        <f>ROUND(BA19*AZ19*Input!$C$3/365,0)</f>
        <v>0</v>
      </c>
      <c r="BC19" s="61">
        <f>IF($A19&lt;=Input!$C$6,0,IF('180M'!AY19&lt;'180M'!BA19,'180M'!AY19-BB19,'180M'!BA19))</f>
        <v>0</v>
      </c>
      <c r="BD19" s="61">
        <f t="shared" si="40"/>
        <v>0</v>
      </c>
      <c r="BE19" s="60">
        <f t="shared" si="41"/>
        <v>0</v>
      </c>
      <c r="BF19" s="193"/>
      <c r="BG19" s="169">
        <v>15</v>
      </c>
      <c r="BH19" s="1">
        <f t="shared" si="42"/>
        <v>45976</v>
      </c>
      <c r="BI19" s="60">
        <f>IF($X19&lt;Input!$H$103,IF($X19&lt;Input!$G$103,IF($X19&lt;Input!$F$103,IF($X19&lt;Input!$E$103,IF($X19&lt;Input!$D$103,Input!$C$109,Input!$D$109),Input!$E$109),Input!$F$109),Input!$G$109),Input!$H$109)</f>
        <v>0</v>
      </c>
      <c r="BJ19" s="190">
        <f>IF($A19&lt;Input!$H$110,IF($A19&lt;Input!$G$110,IF($A19&lt;Input!$F$110,IF($A19&lt;Input!$E$110,IF($A19&lt;Input!$D$110,Input!$C$111,Input!$D$111),Input!$E$111),Input!$F$111),Input!$G$111),Input!$H$111)</f>
        <v>0.9</v>
      </c>
      <c r="BK19" s="60">
        <f t="shared" si="19"/>
        <v>0</v>
      </c>
      <c r="BL19" s="60">
        <f t="shared" si="43"/>
        <v>31</v>
      </c>
      <c r="BM19" s="60">
        <f t="shared" si="20"/>
        <v>0</v>
      </c>
      <c r="BN19" s="60">
        <f>ROUND(BM19*BL19*Input!$C$3/365,0)</f>
        <v>0</v>
      </c>
      <c r="BO19" s="61">
        <f>IF($A19&lt;=Input!$C$6,0,IF('180M'!BK19&lt;'180M'!BM19,'180M'!BK19-BN19,'180M'!BM19))</f>
        <v>0</v>
      </c>
      <c r="BP19" s="61">
        <f t="shared" si="21"/>
        <v>0</v>
      </c>
      <c r="BQ19" s="60">
        <f t="shared" si="22"/>
        <v>0</v>
      </c>
      <c r="BR19" s="198"/>
    </row>
    <row r="20" spans="1:70" x14ac:dyDescent="0.25">
      <c r="A20" s="169">
        <v>16</v>
      </c>
      <c r="B20" s="1">
        <f t="shared" si="23"/>
        <v>46006</v>
      </c>
      <c r="C20" s="60">
        <f t="shared" si="1"/>
        <v>16470000</v>
      </c>
      <c r="D20" s="60">
        <f t="shared" si="2"/>
        <v>14823000</v>
      </c>
      <c r="E20" s="60">
        <f t="shared" si="24"/>
        <v>30</v>
      </c>
      <c r="F20" s="60">
        <f t="shared" si="25"/>
        <v>1373401123.4979434</v>
      </c>
      <c r="G20" s="60">
        <f>ROUND(F20*E20*Input!$C$3/365,0)</f>
        <v>16932343</v>
      </c>
      <c r="H20" s="60">
        <f>IF($A20&lt;=Input!$C$6,0,IF('180M'!D20&lt;'180M'!F20,'180M'!D20-G20,'180M'!F20))</f>
        <v>-2109343</v>
      </c>
      <c r="I20" s="60">
        <f t="shared" si="26"/>
        <v>14823000</v>
      </c>
      <c r="J20" s="60">
        <f t="shared" si="27"/>
        <v>1375510466.4979434</v>
      </c>
      <c r="K20" s="203">
        <f>J20/Input!$K$5</f>
        <v>4.5850348883264784</v>
      </c>
      <c r="L20" s="232"/>
      <c r="M20" s="60">
        <f>IF($B20&lt;Input!$H$43,IF($B20&lt;Input!$G$43,IF($B20&lt;Input!$F$43,IF($B20&lt;Input!$E$43,IF($B20&lt;Input!$D$43,Input!$C$49,Input!$D$49),Input!$E$49),Input!$F$49),Input!$G$49),Input!$H$49)</f>
        <v>16470000</v>
      </c>
      <c r="N20" s="190">
        <f>IF($A20&lt;Input!$H$50,IF($A20&lt;Input!$G$50,IF($A20&lt;Input!$F$50,IF($A20&lt;Input!$E$50,IF($A20&lt;Input!$D$50,Input!$C$51,Input!$D$51),Input!$E$51),Input!$F$51),Input!$G$51),Input!$H$51)</f>
        <v>0.9</v>
      </c>
      <c r="O20" s="60">
        <f t="shared" si="0"/>
        <v>14823000</v>
      </c>
      <c r="P20" s="60">
        <f t="shared" si="3"/>
        <v>30</v>
      </c>
      <c r="Q20" s="60">
        <f t="shared" si="4"/>
        <v>1373401123.4979434</v>
      </c>
      <c r="R20" s="60">
        <f>ROUND(Q20*$P20*Input!$C$3/365,0)</f>
        <v>16932343</v>
      </c>
      <c r="S20" s="60">
        <f>IF(A20&lt;=Input!$C$6,0,IF('180M'!O20&lt;'180M'!Q20,'180M'!O20-R20,'180M'!Q20))</f>
        <v>-2109343</v>
      </c>
      <c r="T20" s="60">
        <f t="shared" si="5"/>
        <v>14823000</v>
      </c>
      <c r="U20" s="60">
        <f t="shared" si="6"/>
        <v>1375510466.4979434</v>
      </c>
      <c r="V20" s="193"/>
      <c r="W20" s="169">
        <v>16</v>
      </c>
      <c r="X20" s="1">
        <f t="shared" si="28"/>
        <v>46006</v>
      </c>
      <c r="Y20" s="60">
        <f>IF($X20&lt;Input!$H$58,IF($X20&lt;Input!$G$58,IF($X20&lt;Input!$F$58,IF($X20&lt;Input!$E$58,IF($X20&lt;Input!$D$58,Input!$C$64,Input!$D$64),Input!$E$64),Input!$F$64),Input!$G$64),Input!$H$64)</f>
        <v>0</v>
      </c>
      <c r="Z20" s="190">
        <f>IF($A20&lt;Input!$H$65,IF($A20&lt;Input!$G$65,IF($A20&lt;Input!$F$65,IF($A20&lt;Input!$E$65,IF($A20&lt;Input!$D$65,Input!$C$66,Input!$D$66),Input!$E$66),Input!$F$66),Input!$G$66),Input!$H$66)</f>
        <v>0.9</v>
      </c>
      <c r="AA20" s="60">
        <f t="shared" si="7"/>
        <v>0</v>
      </c>
      <c r="AB20" s="60">
        <f t="shared" si="29"/>
        <v>30</v>
      </c>
      <c r="AC20" s="60">
        <f t="shared" si="8"/>
        <v>0</v>
      </c>
      <c r="AD20" s="60">
        <f>ROUND(AC20*AB20*Input!$C$3/365,0)</f>
        <v>0</v>
      </c>
      <c r="AE20" s="61">
        <f>IF($A20&lt;=Input!$C$6,0,IF('180M'!AA20&lt;'180M'!AC20,'180M'!AA20-AD20,'180M'!AC20))</f>
        <v>0</v>
      </c>
      <c r="AF20" s="61">
        <f t="shared" si="9"/>
        <v>0</v>
      </c>
      <c r="AG20" s="60">
        <f t="shared" si="10"/>
        <v>0</v>
      </c>
      <c r="AH20" s="193"/>
      <c r="AI20" s="169">
        <v>16</v>
      </c>
      <c r="AJ20" s="1">
        <f t="shared" si="30"/>
        <v>46006</v>
      </c>
      <c r="AK20" s="60">
        <f>IF($X20&lt;Input!$H$73,IF($X20&lt;Input!$G$73,IF($X20&lt;Input!$F$73,IF($X20&lt;Input!$E$73,IF($X20&lt;Input!$D$73,Input!$C$79,Input!$D$79),Input!$E$79),Input!$F$79),Input!$G$79),Input!$H$79)</f>
        <v>0</v>
      </c>
      <c r="AL20" s="190">
        <f>IF($A20&lt;Input!$H$80,IF($A20&lt;Input!$G$80,IF($A20&lt;Input!$F$80,IF($A20&lt;Input!$E$80,IF($A20&lt;Input!$D$80,Input!$C$81,Input!$D$81),Input!$E$81),Input!$F$81),Input!$G$81),Input!$H$81)</f>
        <v>0.9</v>
      </c>
      <c r="AM20" s="60">
        <f t="shared" si="31"/>
        <v>0</v>
      </c>
      <c r="AN20" s="60">
        <f t="shared" si="32"/>
        <v>30</v>
      </c>
      <c r="AO20" s="60">
        <f t="shared" si="33"/>
        <v>0</v>
      </c>
      <c r="AP20" s="60">
        <f>ROUND(AO20*AN20*Input!$C$3/365,0)</f>
        <v>0</v>
      </c>
      <c r="AQ20" s="61">
        <f>IF($A20&lt;=Input!$C$6,0,IF('180M'!AM20&lt;'180M'!AO20,'180M'!AM20-AP20,'180M'!AO20))</f>
        <v>0</v>
      </c>
      <c r="AR20" s="61">
        <f t="shared" si="34"/>
        <v>0</v>
      </c>
      <c r="AS20" s="60">
        <f t="shared" si="35"/>
        <v>0</v>
      </c>
      <c r="AT20" s="193"/>
      <c r="AU20" s="169">
        <v>16</v>
      </c>
      <c r="AV20" s="1">
        <f t="shared" si="36"/>
        <v>46006</v>
      </c>
      <c r="AW20" s="60">
        <f>IF($X20&lt;Input!$H$88,IF($X20&lt;Input!$G$88,IF($X20&lt;Input!$F$88,IF($X20&lt;Input!$E$88,IF($X20&lt;Input!$D$88,Input!$C$94,Input!$D$94),Input!$E$94),Input!$F$94),Input!$G$94),Input!$H$94)</f>
        <v>0</v>
      </c>
      <c r="AX20" s="190">
        <f>IF($A20&lt;Input!$H$95,IF($A20&lt;Input!$G$95,IF($A20&lt;Input!$F$95,IF($A20&lt;Input!$E$95,IF($A20&lt;Input!$D$95,Input!$C$96,Input!$D$96),Input!$E$96),Input!$F$96),Input!$G$96),Input!$H$96)</f>
        <v>0.9</v>
      </c>
      <c r="AY20" s="60">
        <f t="shared" si="37"/>
        <v>0</v>
      </c>
      <c r="AZ20" s="60">
        <f t="shared" si="38"/>
        <v>30</v>
      </c>
      <c r="BA20" s="60">
        <f t="shared" si="39"/>
        <v>0</v>
      </c>
      <c r="BB20" s="60">
        <f>ROUND(BA20*AZ20*Input!$C$3/365,0)</f>
        <v>0</v>
      </c>
      <c r="BC20" s="61">
        <f>IF($A20&lt;=Input!$C$6,0,IF('180M'!AY20&lt;'180M'!BA20,'180M'!AY20-BB20,'180M'!BA20))</f>
        <v>0</v>
      </c>
      <c r="BD20" s="61">
        <f t="shared" si="40"/>
        <v>0</v>
      </c>
      <c r="BE20" s="60">
        <f t="shared" si="41"/>
        <v>0</v>
      </c>
      <c r="BF20" s="193"/>
      <c r="BG20" s="169">
        <v>16</v>
      </c>
      <c r="BH20" s="1">
        <f t="shared" si="42"/>
        <v>46006</v>
      </c>
      <c r="BI20" s="60">
        <f>IF($X20&lt;Input!$H$103,IF($X20&lt;Input!$G$103,IF($X20&lt;Input!$F$103,IF($X20&lt;Input!$E$103,IF($X20&lt;Input!$D$103,Input!$C$109,Input!$D$109),Input!$E$109),Input!$F$109),Input!$G$109),Input!$H$109)</f>
        <v>0</v>
      </c>
      <c r="BJ20" s="190">
        <f>IF($A20&lt;Input!$H$110,IF($A20&lt;Input!$G$110,IF($A20&lt;Input!$F$110,IF($A20&lt;Input!$E$110,IF($A20&lt;Input!$D$110,Input!$C$111,Input!$D$111),Input!$E$111),Input!$F$111),Input!$G$111),Input!$H$111)</f>
        <v>0.9</v>
      </c>
      <c r="BK20" s="60">
        <f t="shared" si="19"/>
        <v>0</v>
      </c>
      <c r="BL20" s="60">
        <f t="shared" si="43"/>
        <v>30</v>
      </c>
      <c r="BM20" s="60">
        <f t="shared" si="20"/>
        <v>0</v>
      </c>
      <c r="BN20" s="60">
        <f>ROUND(BM20*BL20*Input!$C$3/365,0)</f>
        <v>0</v>
      </c>
      <c r="BO20" s="61">
        <f>IF($A20&lt;=Input!$C$6,0,IF('180M'!BK20&lt;'180M'!BM20,'180M'!BK20-BN20,'180M'!BM20))</f>
        <v>0</v>
      </c>
      <c r="BP20" s="61">
        <f t="shared" si="21"/>
        <v>0</v>
      </c>
      <c r="BQ20" s="60">
        <f t="shared" si="22"/>
        <v>0</v>
      </c>
      <c r="BR20" s="198"/>
    </row>
    <row r="21" spans="1:70" x14ac:dyDescent="0.25">
      <c r="A21" s="169">
        <v>17</v>
      </c>
      <c r="B21" s="1">
        <f t="shared" si="23"/>
        <v>46037</v>
      </c>
      <c r="C21" s="60">
        <f t="shared" si="1"/>
        <v>16470000</v>
      </c>
      <c r="D21" s="60">
        <f t="shared" si="2"/>
        <v>14823000</v>
      </c>
      <c r="E21" s="60">
        <f t="shared" si="24"/>
        <v>31</v>
      </c>
      <c r="F21" s="60">
        <f t="shared" si="25"/>
        <v>1375510466.4979434</v>
      </c>
      <c r="G21" s="60">
        <f>ROUND(F21*E21*Input!$C$3/365,0)</f>
        <v>17523626</v>
      </c>
      <c r="H21" s="60">
        <f>IF($A21&lt;=Input!$C$6,0,IF('180M'!D21&lt;'180M'!F21,'180M'!D21-G21,'180M'!F21))</f>
        <v>-2700626</v>
      </c>
      <c r="I21" s="60">
        <f t="shared" si="26"/>
        <v>14823000</v>
      </c>
      <c r="J21" s="60">
        <f t="shared" si="27"/>
        <v>1378211092.4979434</v>
      </c>
      <c r="K21" s="203">
        <f>J21/Input!$K$5</f>
        <v>4.5940369749931449</v>
      </c>
      <c r="L21" s="232"/>
      <c r="M21" s="60">
        <f>IF($B21&lt;Input!$H$43,IF($B21&lt;Input!$G$43,IF($B21&lt;Input!$F$43,IF($B21&lt;Input!$E$43,IF($B21&lt;Input!$D$43,Input!$C$49,Input!$D$49),Input!$E$49),Input!$F$49),Input!$G$49),Input!$H$49)</f>
        <v>16470000</v>
      </c>
      <c r="N21" s="190">
        <f>IF($A21&lt;Input!$H$50,IF($A21&lt;Input!$G$50,IF($A21&lt;Input!$F$50,IF($A21&lt;Input!$E$50,IF($A21&lt;Input!$D$50,Input!$C$51,Input!$D$51),Input!$E$51),Input!$F$51),Input!$G$51),Input!$H$51)</f>
        <v>0.9</v>
      </c>
      <c r="O21" s="60">
        <f t="shared" si="0"/>
        <v>14823000</v>
      </c>
      <c r="P21" s="60">
        <f t="shared" si="3"/>
        <v>31</v>
      </c>
      <c r="Q21" s="60">
        <f t="shared" si="4"/>
        <v>1375510466.4979434</v>
      </c>
      <c r="R21" s="60">
        <f>ROUND(Q21*$P21*Input!$C$3/365,0)</f>
        <v>17523626</v>
      </c>
      <c r="S21" s="60">
        <f>IF(A21&lt;=Input!$C$6,0,IF('180M'!O21&lt;'180M'!Q21,'180M'!O21-R21,'180M'!Q21))</f>
        <v>-2700626</v>
      </c>
      <c r="T21" s="60">
        <f t="shared" si="5"/>
        <v>14823000</v>
      </c>
      <c r="U21" s="60">
        <f t="shared" si="6"/>
        <v>1378211092.4979434</v>
      </c>
      <c r="V21" s="193"/>
      <c r="W21" s="169">
        <v>17</v>
      </c>
      <c r="X21" s="1">
        <f t="shared" si="28"/>
        <v>46037</v>
      </c>
      <c r="Y21" s="60">
        <f>IF($X21&lt;Input!$H$58,IF($X21&lt;Input!$G$58,IF($X21&lt;Input!$F$58,IF($X21&lt;Input!$E$58,IF($X21&lt;Input!$D$58,Input!$C$64,Input!$D$64),Input!$E$64),Input!$F$64),Input!$G$64),Input!$H$64)</f>
        <v>0</v>
      </c>
      <c r="Z21" s="190">
        <f>IF($A21&lt;Input!$H$65,IF($A21&lt;Input!$G$65,IF($A21&lt;Input!$F$65,IF($A21&lt;Input!$E$65,IF($A21&lt;Input!$D$65,Input!$C$66,Input!$D$66),Input!$E$66),Input!$F$66),Input!$G$66),Input!$H$66)</f>
        <v>0.9</v>
      </c>
      <c r="AA21" s="60">
        <f t="shared" si="7"/>
        <v>0</v>
      </c>
      <c r="AB21" s="60">
        <f t="shared" si="29"/>
        <v>31</v>
      </c>
      <c r="AC21" s="60">
        <f t="shared" si="8"/>
        <v>0</v>
      </c>
      <c r="AD21" s="60">
        <f>ROUND(AC21*AB21*Input!$C$3/365,0)</f>
        <v>0</v>
      </c>
      <c r="AE21" s="61">
        <f>IF($A21&lt;=Input!$C$6,0,IF('180M'!AA21&lt;'180M'!AC21,'180M'!AA21-AD21,'180M'!AC21))</f>
        <v>0</v>
      </c>
      <c r="AF21" s="61">
        <f t="shared" si="9"/>
        <v>0</v>
      </c>
      <c r="AG21" s="60">
        <f t="shared" si="10"/>
        <v>0</v>
      </c>
      <c r="AH21" s="193"/>
      <c r="AI21" s="169">
        <v>17</v>
      </c>
      <c r="AJ21" s="1">
        <f t="shared" si="30"/>
        <v>46037</v>
      </c>
      <c r="AK21" s="60">
        <f>IF($X21&lt;Input!$H$73,IF($X21&lt;Input!$G$73,IF($X21&lt;Input!$F$73,IF($X21&lt;Input!$E$73,IF($X21&lt;Input!$D$73,Input!$C$79,Input!$D$79),Input!$E$79),Input!$F$79),Input!$G$79),Input!$H$79)</f>
        <v>0</v>
      </c>
      <c r="AL21" s="190">
        <f>IF($A21&lt;Input!$H$80,IF($A21&lt;Input!$G$80,IF($A21&lt;Input!$F$80,IF($A21&lt;Input!$E$80,IF($A21&lt;Input!$D$80,Input!$C$81,Input!$D$81),Input!$E$81),Input!$F$81),Input!$G$81),Input!$H$81)</f>
        <v>0.9</v>
      </c>
      <c r="AM21" s="60">
        <f t="shared" si="31"/>
        <v>0</v>
      </c>
      <c r="AN21" s="60">
        <f t="shared" si="32"/>
        <v>31</v>
      </c>
      <c r="AO21" s="60">
        <f t="shared" si="33"/>
        <v>0</v>
      </c>
      <c r="AP21" s="60">
        <f>ROUND(AO21*AN21*Input!$C$3/365,0)</f>
        <v>0</v>
      </c>
      <c r="AQ21" s="61">
        <f>IF($A21&lt;=Input!$C$6,0,IF('180M'!AM21&lt;'180M'!AO21,'180M'!AM21-AP21,'180M'!AO21))</f>
        <v>0</v>
      </c>
      <c r="AR21" s="61">
        <f t="shared" si="34"/>
        <v>0</v>
      </c>
      <c r="AS21" s="60">
        <f t="shared" si="35"/>
        <v>0</v>
      </c>
      <c r="AT21" s="193"/>
      <c r="AU21" s="169">
        <v>17</v>
      </c>
      <c r="AV21" s="1">
        <f t="shared" si="36"/>
        <v>46037</v>
      </c>
      <c r="AW21" s="60">
        <f>IF($X21&lt;Input!$H$88,IF($X21&lt;Input!$G$88,IF($X21&lt;Input!$F$88,IF($X21&lt;Input!$E$88,IF($X21&lt;Input!$D$88,Input!$C$94,Input!$D$94),Input!$E$94),Input!$F$94),Input!$G$94),Input!$H$94)</f>
        <v>0</v>
      </c>
      <c r="AX21" s="190">
        <f>IF($A21&lt;Input!$H$95,IF($A21&lt;Input!$G$95,IF($A21&lt;Input!$F$95,IF($A21&lt;Input!$E$95,IF($A21&lt;Input!$D$95,Input!$C$96,Input!$D$96),Input!$E$96),Input!$F$96),Input!$G$96),Input!$H$96)</f>
        <v>0.9</v>
      </c>
      <c r="AY21" s="60">
        <f t="shared" si="37"/>
        <v>0</v>
      </c>
      <c r="AZ21" s="60">
        <f t="shared" si="38"/>
        <v>31</v>
      </c>
      <c r="BA21" s="60">
        <f t="shared" si="39"/>
        <v>0</v>
      </c>
      <c r="BB21" s="60">
        <f>ROUND(BA21*AZ21*Input!$C$3/365,0)</f>
        <v>0</v>
      </c>
      <c r="BC21" s="61">
        <f>IF($A21&lt;=Input!$C$6,0,IF('180M'!AY21&lt;'180M'!BA21,'180M'!AY21-BB21,'180M'!BA21))</f>
        <v>0</v>
      </c>
      <c r="BD21" s="61">
        <f t="shared" si="40"/>
        <v>0</v>
      </c>
      <c r="BE21" s="60">
        <f t="shared" si="41"/>
        <v>0</v>
      </c>
      <c r="BF21" s="193"/>
      <c r="BG21" s="169">
        <v>17</v>
      </c>
      <c r="BH21" s="1">
        <f t="shared" si="42"/>
        <v>46037</v>
      </c>
      <c r="BI21" s="60">
        <f>IF($X21&lt;Input!$H$103,IF($X21&lt;Input!$G$103,IF($X21&lt;Input!$F$103,IF($X21&lt;Input!$E$103,IF($X21&lt;Input!$D$103,Input!$C$109,Input!$D$109),Input!$E$109),Input!$F$109),Input!$G$109),Input!$H$109)</f>
        <v>0</v>
      </c>
      <c r="BJ21" s="190">
        <f>IF($A21&lt;Input!$H$110,IF($A21&lt;Input!$G$110,IF($A21&lt;Input!$F$110,IF($A21&lt;Input!$E$110,IF($A21&lt;Input!$D$110,Input!$C$111,Input!$D$111),Input!$E$111),Input!$F$111),Input!$G$111),Input!$H$111)</f>
        <v>0.9</v>
      </c>
      <c r="BK21" s="60">
        <f t="shared" si="19"/>
        <v>0</v>
      </c>
      <c r="BL21" s="60">
        <f t="shared" si="43"/>
        <v>31</v>
      </c>
      <c r="BM21" s="60">
        <f t="shared" si="20"/>
        <v>0</v>
      </c>
      <c r="BN21" s="60">
        <f>ROUND(BM21*BL21*Input!$C$3/365,0)</f>
        <v>0</v>
      </c>
      <c r="BO21" s="61">
        <f>IF($A21&lt;=Input!$C$6,0,IF('180M'!BK21&lt;'180M'!BM21,'180M'!BK21-BN21,'180M'!BM21))</f>
        <v>0</v>
      </c>
      <c r="BP21" s="61">
        <f t="shared" si="21"/>
        <v>0</v>
      </c>
      <c r="BQ21" s="60">
        <f t="shared" si="22"/>
        <v>0</v>
      </c>
      <c r="BR21" s="198"/>
    </row>
    <row r="22" spans="1:70" x14ac:dyDescent="0.25">
      <c r="A22" s="169">
        <v>18</v>
      </c>
      <c r="B22" s="1">
        <f t="shared" si="23"/>
        <v>46068</v>
      </c>
      <c r="C22" s="60">
        <f t="shared" si="1"/>
        <v>16470000</v>
      </c>
      <c r="D22" s="60">
        <f t="shared" si="2"/>
        <v>14823000</v>
      </c>
      <c r="E22" s="60">
        <f t="shared" si="24"/>
        <v>31</v>
      </c>
      <c r="F22" s="60">
        <f t="shared" si="25"/>
        <v>1378211092.4979434</v>
      </c>
      <c r="G22" s="60">
        <f>ROUND(F22*E22*Input!$C$3/365,0)</f>
        <v>17558032</v>
      </c>
      <c r="H22" s="60">
        <f>IF($A22&lt;=Input!$C$6,0,IF('180M'!D22&lt;'180M'!F22,'180M'!D22-G22,'180M'!F22))</f>
        <v>-2735032</v>
      </c>
      <c r="I22" s="60">
        <f t="shared" si="26"/>
        <v>14823000</v>
      </c>
      <c r="J22" s="60">
        <f t="shared" si="27"/>
        <v>1380946124.4979434</v>
      </c>
      <c r="K22" s="203">
        <f>J22/Input!$K$5</f>
        <v>4.6031537483264779</v>
      </c>
      <c r="L22" s="232"/>
      <c r="M22" s="60">
        <f>IF($B22&lt;Input!$H$43,IF($B22&lt;Input!$G$43,IF($B22&lt;Input!$F$43,IF($B22&lt;Input!$E$43,IF($B22&lt;Input!$D$43,Input!$C$49,Input!$D$49),Input!$E$49),Input!$F$49),Input!$G$49),Input!$H$49)</f>
        <v>16470000</v>
      </c>
      <c r="N22" s="190">
        <f>IF($A22&lt;Input!$H$50,IF($A22&lt;Input!$G$50,IF($A22&lt;Input!$F$50,IF($A22&lt;Input!$E$50,IF($A22&lt;Input!$D$50,Input!$C$51,Input!$D$51),Input!$E$51),Input!$F$51),Input!$G$51),Input!$H$51)</f>
        <v>0.9</v>
      </c>
      <c r="O22" s="60">
        <f t="shared" si="0"/>
        <v>14823000</v>
      </c>
      <c r="P22" s="60">
        <f t="shared" si="3"/>
        <v>31</v>
      </c>
      <c r="Q22" s="60">
        <f t="shared" si="4"/>
        <v>1378211092.4979434</v>
      </c>
      <c r="R22" s="60">
        <f>ROUND(Q22*$P22*Input!$C$3/365,0)</f>
        <v>17558032</v>
      </c>
      <c r="S22" s="60">
        <f>IF(A22&lt;=Input!$C$6,0,IF('180M'!O22&lt;'180M'!Q22,'180M'!O22-R22,'180M'!Q22))</f>
        <v>-2735032</v>
      </c>
      <c r="T22" s="60">
        <f t="shared" si="5"/>
        <v>14823000</v>
      </c>
      <c r="U22" s="60">
        <f t="shared" si="6"/>
        <v>1380946124.4979434</v>
      </c>
      <c r="V22" s="193"/>
      <c r="W22" s="169">
        <v>18</v>
      </c>
      <c r="X22" s="1">
        <f t="shared" si="28"/>
        <v>46068</v>
      </c>
      <c r="Y22" s="60">
        <f>IF($X22&lt;Input!$H$58,IF($X22&lt;Input!$G$58,IF($X22&lt;Input!$F$58,IF($X22&lt;Input!$E$58,IF($X22&lt;Input!$D$58,Input!$C$64,Input!$D$64),Input!$E$64),Input!$F$64),Input!$G$64),Input!$H$64)</f>
        <v>0</v>
      </c>
      <c r="Z22" s="190">
        <f>IF($A22&lt;Input!$H$65,IF($A22&lt;Input!$G$65,IF($A22&lt;Input!$F$65,IF($A22&lt;Input!$E$65,IF($A22&lt;Input!$D$65,Input!$C$66,Input!$D$66),Input!$E$66),Input!$F$66),Input!$G$66),Input!$H$66)</f>
        <v>0.9</v>
      </c>
      <c r="AA22" s="60">
        <f t="shared" si="7"/>
        <v>0</v>
      </c>
      <c r="AB22" s="60">
        <f t="shared" si="29"/>
        <v>31</v>
      </c>
      <c r="AC22" s="60">
        <f t="shared" si="8"/>
        <v>0</v>
      </c>
      <c r="AD22" s="60">
        <f>ROUND(AC22*AB22*Input!$C$3/365,0)</f>
        <v>0</v>
      </c>
      <c r="AE22" s="61">
        <f>IF($A22&lt;=Input!$C$6,0,IF('180M'!AA22&lt;'180M'!AC22,'180M'!AA22-AD22,'180M'!AC22))</f>
        <v>0</v>
      </c>
      <c r="AF22" s="61">
        <f t="shared" si="9"/>
        <v>0</v>
      </c>
      <c r="AG22" s="60">
        <f t="shared" si="10"/>
        <v>0</v>
      </c>
      <c r="AH22" s="193"/>
      <c r="AI22" s="169">
        <v>18</v>
      </c>
      <c r="AJ22" s="1">
        <f t="shared" si="30"/>
        <v>46068</v>
      </c>
      <c r="AK22" s="60">
        <f>IF($X22&lt;Input!$H$73,IF($X22&lt;Input!$G$73,IF($X22&lt;Input!$F$73,IF($X22&lt;Input!$E$73,IF($X22&lt;Input!$D$73,Input!$C$79,Input!$D$79),Input!$E$79),Input!$F$79),Input!$G$79),Input!$H$79)</f>
        <v>0</v>
      </c>
      <c r="AL22" s="190">
        <f>IF($A22&lt;Input!$H$80,IF($A22&lt;Input!$G$80,IF($A22&lt;Input!$F$80,IF($A22&lt;Input!$E$80,IF($A22&lt;Input!$D$80,Input!$C$81,Input!$D$81),Input!$E$81),Input!$F$81),Input!$G$81),Input!$H$81)</f>
        <v>0.9</v>
      </c>
      <c r="AM22" s="60">
        <f t="shared" si="31"/>
        <v>0</v>
      </c>
      <c r="AN22" s="60">
        <f t="shared" si="32"/>
        <v>31</v>
      </c>
      <c r="AO22" s="60">
        <f t="shared" si="33"/>
        <v>0</v>
      </c>
      <c r="AP22" s="60">
        <f>ROUND(AO22*AN22*Input!$C$3/365,0)</f>
        <v>0</v>
      </c>
      <c r="AQ22" s="61">
        <f>IF($A22&lt;=Input!$C$6,0,IF('180M'!AM22&lt;'180M'!AO22,'180M'!AM22-AP22,'180M'!AO22))</f>
        <v>0</v>
      </c>
      <c r="AR22" s="61">
        <f t="shared" si="34"/>
        <v>0</v>
      </c>
      <c r="AS22" s="60">
        <f t="shared" si="35"/>
        <v>0</v>
      </c>
      <c r="AT22" s="193"/>
      <c r="AU22" s="169">
        <v>18</v>
      </c>
      <c r="AV22" s="1">
        <f t="shared" si="36"/>
        <v>46068</v>
      </c>
      <c r="AW22" s="60">
        <f>IF($X22&lt;Input!$H$88,IF($X22&lt;Input!$G$88,IF($X22&lt;Input!$F$88,IF($X22&lt;Input!$E$88,IF($X22&lt;Input!$D$88,Input!$C$94,Input!$D$94),Input!$E$94),Input!$F$94),Input!$G$94),Input!$H$94)</f>
        <v>0</v>
      </c>
      <c r="AX22" s="190">
        <f>IF($A22&lt;Input!$H$95,IF($A22&lt;Input!$G$95,IF($A22&lt;Input!$F$95,IF($A22&lt;Input!$E$95,IF($A22&lt;Input!$D$95,Input!$C$96,Input!$D$96),Input!$E$96),Input!$F$96),Input!$G$96),Input!$H$96)</f>
        <v>0.9</v>
      </c>
      <c r="AY22" s="60">
        <f t="shared" si="37"/>
        <v>0</v>
      </c>
      <c r="AZ22" s="60">
        <f t="shared" si="38"/>
        <v>31</v>
      </c>
      <c r="BA22" s="60">
        <f t="shared" si="39"/>
        <v>0</v>
      </c>
      <c r="BB22" s="60">
        <f>ROUND(BA22*AZ22*Input!$C$3/365,0)</f>
        <v>0</v>
      </c>
      <c r="BC22" s="61">
        <f>IF($A22&lt;=Input!$C$6,0,IF('180M'!AY22&lt;'180M'!BA22,'180M'!AY22-BB22,'180M'!BA22))</f>
        <v>0</v>
      </c>
      <c r="BD22" s="61">
        <f t="shared" si="40"/>
        <v>0</v>
      </c>
      <c r="BE22" s="60">
        <f t="shared" si="41"/>
        <v>0</v>
      </c>
      <c r="BF22" s="193"/>
      <c r="BG22" s="169">
        <v>18</v>
      </c>
      <c r="BH22" s="1">
        <f t="shared" si="42"/>
        <v>46068</v>
      </c>
      <c r="BI22" s="60">
        <f>IF($X22&lt;Input!$H$103,IF($X22&lt;Input!$G$103,IF($X22&lt;Input!$F$103,IF($X22&lt;Input!$E$103,IF($X22&lt;Input!$D$103,Input!$C$109,Input!$D$109),Input!$E$109),Input!$F$109),Input!$G$109),Input!$H$109)</f>
        <v>0</v>
      </c>
      <c r="BJ22" s="190">
        <f>IF($A22&lt;Input!$H$110,IF($A22&lt;Input!$G$110,IF($A22&lt;Input!$F$110,IF($A22&lt;Input!$E$110,IF($A22&lt;Input!$D$110,Input!$C$111,Input!$D$111),Input!$E$111),Input!$F$111),Input!$G$111),Input!$H$111)</f>
        <v>0.9</v>
      </c>
      <c r="BK22" s="60">
        <f t="shared" si="19"/>
        <v>0</v>
      </c>
      <c r="BL22" s="60">
        <f t="shared" si="43"/>
        <v>31</v>
      </c>
      <c r="BM22" s="60">
        <f t="shared" si="20"/>
        <v>0</v>
      </c>
      <c r="BN22" s="60">
        <f>ROUND(BM22*BL22*Input!$C$3/365,0)</f>
        <v>0</v>
      </c>
      <c r="BO22" s="61">
        <f>IF($A22&lt;=Input!$C$6,0,IF('180M'!BK22&lt;'180M'!BM22,'180M'!BK22-BN22,'180M'!BM22))</f>
        <v>0</v>
      </c>
      <c r="BP22" s="61">
        <f t="shared" si="21"/>
        <v>0</v>
      </c>
      <c r="BQ22" s="60">
        <f t="shared" si="22"/>
        <v>0</v>
      </c>
      <c r="BR22" s="198"/>
    </row>
    <row r="23" spans="1:70" x14ac:dyDescent="0.25">
      <c r="A23" s="169">
        <v>19</v>
      </c>
      <c r="B23" s="1">
        <f t="shared" si="23"/>
        <v>46096</v>
      </c>
      <c r="C23" s="60">
        <f t="shared" si="1"/>
        <v>16470000</v>
      </c>
      <c r="D23" s="60">
        <f t="shared" si="2"/>
        <v>14823000</v>
      </c>
      <c r="E23" s="60">
        <f t="shared" si="24"/>
        <v>28</v>
      </c>
      <c r="F23" s="60">
        <f t="shared" si="25"/>
        <v>1380946124.4979434</v>
      </c>
      <c r="G23" s="60">
        <f>ROUND(F23*E23*Input!$C$3/365,0)</f>
        <v>15890339</v>
      </c>
      <c r="H23" s="60">
        <f>IF($A23&lt;=Input!$C$6,0,IF('180M'!D23&lt;'180M'!F23,'180M'!D23-G23,'180M'!F23))</f>
        <v>-1067339</v>
      </c>
      <c r="I23" s="60">
        <f t="shared" si="26"/>
        <v>14823000</v>
      </c>
      <c r="J23" s="60">
        <f t="shared" si="27"/>
        <v>1382013463.4979434</v>
      </c>
      <c r="K23" s="203">
        <f>J23/Input!$K$5</f>
        <v>4.6067115449931446</v>
      </c>
      <c r="L23" s="232"/>
      <c r="M23" s="60">
        <f>IF($B23&lt;Input!$H$43,IF($B23&lt;Input!$G$43,IF($B23&lt;Input!$F$43,IF($B23&lt;Input!$E$43,IF($B23&lt;Input!$D$43,Input!$C$49,Input!$D$49),Input!$E$49),Input!$F$49),Input!$G$49),Input!$H$49)</f>
        <v>16470000</v>
      </c>
      <c r="N23" s="190">
        <f>IF($A23&lt;Input!$H$50,IF($A23&lt;Input!$G$50,IF($A23&lt;Input!$F$50,IF($A23&lt;Input!$E$50,IF($A23&lt;Input!$D$50,Input!$C$51,Input!$D$51),Input!$E$51),Input!$F$51),Input!$G$51),Input!$H$51)</f>
        <v>0.9</v>
      </c>
      <c r="O23" s="60">
        <f t="shared" si="0"/>
        <v>14823000</v>
      </c>
      <c r="P23" s="60">
        <f t="shared" si="3"/>
        <v>28</v>
      </c>
      <c r="Q23" s="60">
        <f t="shared" si="4"/>
        <v>1380946124.4979434</v>
      </c>
      <c r="R23" s="60">
        <f>ROUND(Q23*$P23*Input!$C$3/365,0)</f>
        <v>15890339</v>
      </c>
      <c r="S23" s="60">
        <f>IF(A23&lt;=Input!$C$6,0,IF('180M'!O23&lt;'180M'!Q23,'180M'!O23-R23,'180M'!Q23))</f>
        <v>-1067339</v>
      </c>
      <c r="T23" s="60">
        <f t="shared" si="5"/>
        <v>14823000</v>
      </c>
      <c r="U23" s="60">
        <f t="shared" si="6"/>
        <v>1382013463.4979434</v>
      </c>
      <c r="V23" s="193"/>
      <c r="W23" s="169">
        <v>19</v>
      </c>
      <c r="X23" s="1">
        <f t="shared" si="28"/>
        <v>46096</v>
      </c>
      <c r="Y23" s="60">
        <f>IF($X23&lt;Input!$H$58,IF($X23&lt;Input!$G$58,IF($X23&lt;Input!$F$58,IF($X23&lt;Input!$E$58,IF($X23&lt;Input!$D$58,Input!$C$64,Input!$D$64),Input!$E$64),Input!$F$64),Input!$G$64),Input!$H$64)</f>
        <v>0</v>
      </c>
      <c r="Z23" s="190">
        <f>IF($A23&lt;Input!$H$65,IF($A23&lt;Input!$G$65,IF($A23&lt;Input!$F$65,IF($A23&lt;Input!$E$65,IF($A23&lt;Input!$D$65,Input!$C$66,Input!$D$66),Input!$E$66),Input!$F$66),Input!$G$66),Input!$H$66)</f>
        <v>0.9</v>
      </c>
      <c r="AA23" s="60">
        <f t="shared" si="7"/>
        <v>0</v>
      </c>
      <c r="AB23" s="60">
        <f t="shared" si="29"/>
        <v>28</v>
      </c>
      <c r="AC23" s="60">
        <f t="shared" si="8"/>
        <v>0</v>
      </c>
      <c r="AD23" s="60">
        <f>ROUND(AC23*AB23*Input!$C$3/365,0)</f>
        <v>0</v>
      </c>
      <c r="AE23" s="61">
        <f>IF($A23&lt;=Input!$C$6,0,IF('180M'!AA23&lt;'180M'!AC23,'180M'!AA23-AD23,'180M'!AC23))</f>
        <v>0</v>
      </c>
      <c r="AF23" s="61">
        <f t="shared" si="9"/>
        <v>0</v>
      </c>
      <c r="AG23" s="60">
        <f t="shared" si="10"/>
        <v>0</v>
      </c>
      <c r="AH23" s="193"/>
      <c r="AI23" s="169">
        <v>19</v>
      </c>
      <c r="AJ23" s="1">
        <f t="shared" si="30"/>
        <v>46096</v>
      </c>
      <c r="AK23" s="60">
        <f>IF($X23&lt;Input!$H$73,IF($X23&lt;Input!$G$73,IF($X23&lt;Input!$F$73,IF($X23&lt;Input!$E$73,IF($X23&lt;Input!$D$73,Input!$C$79,Input!$D$79),Input!$E$79),Input!$F$79),Input!$G$79),Input!$H$79)</f>
        <v>0</v>
      </c>
      <c r="AL23" s="190">
        <f>IF($A23&lt;Input!$H$80,IF($A23&lt;Input!$G$80,IF($A23&lt;Input!$F$80,IF($A23&lt;Input!$E$80,IF($A23&lt;Input!$D$80,Input!$C$81,Input!$D$81),Input!$E$81),Input!$F$81),Input!$G$81),Input!$H$81)</f>
        <v>0.9</v>
      </c>
      <c r="AM23" s="60">
        <f t="shared" si="31"/>
        <v>0</v>
      </c>
      <c r="AN23" s="60">
        <f t="shared" si="32"/>
        <v>28</v>
      </c>
      <c r="AO23" s="60">
        <f t="shared" si="33"/>
        <v>0</v>
      </c>
      <c r="AP23" s="60">
        <f>ROUND(AO23*AN23*Input!$C$3/365,0)</f>
        <v>0</v>
      </c>
      <c r="AQ23" s="61">
        <f>IF($A23&lt;=Input!$C$6,0,IF('180M'!AM23&lt;'180M'!AO23,'180M'!AM23-AP23,'180M'!AO23))</f>
        <v>0</v>
      </c>
      <c r="AR23" s="61">
        <f t="shared" si="34"/>
        <v>0</v>
      </c>
      <c r="AS23" s="60">
        <f t="shared" si="35"/>
        <v>0</v>
      </c>
      <c r="AT23" s="193"/>
      <c r="AU23" s="169">
        <v>19</v>
      </c>
      <c r="AV23" s="1">
        <f t="shared" si="36"/>
        <v>46096</v>
      </c>
      <c r="AW23" s="60">
        <f>IF($X23&lt;Input!$H$88,IF($X23&lt;Input!$G$88,IF($X23&lt;Input!$F$88,IF($X23&lt;Input!$E$88,IF($X23&lt;Input!$D$88,Input!$C$94,Input!$D$94),Input!$E$94),Input!$F$94),Input!$G$94),Input!$H$94)</f>
        <v>0</v>
      </c>
      <c r="AX23" s="190">
        <f>IF($A23&lt;Input!$H$95,IF($A23&lt;Input!$G$95,IF($A23&lt;Input!$F$95,IF($A23&lt;Input!$E$95,IF($A23&lt;Input!$D$95,Input!$C$96,Input!$D$96),Input!$E$96),Input!$F$96),Input!$G$96),Input!$H$96)</f>
        <v>0.9</v>
      </c>
      <c r="AY23" s="60">
        <f t="shared" si="37"/>
        <v>0</v>
      </c>
      <c r="AZ23" s="60">
        <f t="shared" si="38"/>
        <v>28</v>
      </c>
      <c r="BA23" s="60">
        <f t="shared" si="39"/>
        <v>0</v>
      </c>
      <c r="BB23" s="60">
        <f>ROUND(BA23*AZ23*Input!$C$3/365,0)</f>
        <v>0</v>
      </c>
      <c r="BC23" s="61">
        <f>IF($A23&lt;=Input!$C$6,0,IF('180M'!AY23&lt;'180M'!BA23,'180M'!AY23-BB23,'180M'!BA23))</f>
        <v>0</v>
      </c>
      <c r="BD23" s="61">
        <f t="shared" si="40"/>
        <v>0</v>
      </c>
      <c r="BE23" s="60">
        <f t="shared" si="41"/>
        <v>0</v>
      </c>
      <c r="BF23" s="193"/>
      <c r="BG23" s="169">
        <v>19</v>
      </c>
      <c r="BH23" s="1">
        <f t="shared" si="42"/>
        <v>46096</v>
      </c>
      <c r="BI23" s="60">
        <f>IF($X23&lt;Input!$H$103,IF($X23&lt;Input!$G$103,IF($X23&lt;Input!$F$103,IF($X23&lt;Input!$E$103,IF($X23&lt;Input!$D$103,Input!$C$109,Input!$D$109),Input!$E$109),Input!$F$109),Input!$G$109),Input!$H$109)</f>
        <v>0</v>
      </c>
      <c r="BJ23" s="190">
        <f>IF($A23&lt;Input!$H$110,IF($A23&lt;Input!$G$110,IF($A23&lt;Input!$F$110,IF($A23&lt;Input!$E$110,IF($A23&lt;Input!$D$110,Input!$C$111,Input!$D$111),Input!$E$111),Input!$F$111),Input!$G$111),Input!$H$111)</f>
        <v>0.9</v>
      </c>
      <c r="BK23" s="60">
        <f t="shared" si="19"/>
        <v>0</v>
      </c>
      <c r="BL23" s="60">
        <f t="shared" si="43"/>
        <v>28</v>
      </c>
      <c r="BM23" s="60">
        <f t="shared" si="20"/>
        <v>0</v>
      </c>
      <c r="BN23" s="60">
        <f>ROUND(BM23*BL23*Input!$C$3/365,0)</f>
        <v>0</v>
      </c>
      <c r="BO23" s="61">
        <f>IF($A23&lt;=Input!$C$6,0,IF('180M'!BK23&lt;'180M'!BM23,'180M'!BK23-BN23,'180M'!BM23))</f>
        <v>0</v>
      </c>
      <c r="BP23" s="61">
        <f t="shared" si="21"/>
        <v>0</v>
      </c>
      <c r="BQ23" s="60">
        <f t="shared" si="22"/>
        <v>0</v>
      </c>
      <c r="BR23" s="198"/>
    </row>
    <row r="24" spans="1:70" x14ac:dyDescent="0.25">
      <c r="A24" s="169">
        <v>20</v>
      </c>
      <c r="B24" s="1">
        <f t="shared" si="23"/>
        <v>46127</v>
      </c>
      <c r="C24" s="60">
        <f t="shared" si="1"/>
        <v>16470000</v>
      </c>
      <c r="D24" s="60">
        <f t="shared" si="2"/>
        <v>14823000</v>
      </c>
      <c r="E24" s="60">
        <f t="shared" si="24"/>
        <v>31</v>
      </c>
      <c r="F24" s="60">
        <f t="shared" si="25"/>
        <v>1382013463.4979434</v>
      </c>
      <c r="G24" s="60">
        <f>ROUND(F24*E24*Input!$C$3/365,0)</f>
        <v>17606473</v>
      </c>
      <c r="H24" s="60">
        <f>IF($A24&lt;=Input!$C$6,0,IF('180M'!D24&lt;'180M'!F24,'180M'!D24-G24,'180M'!F24))</f>
        <v>-2783473</v>
      </c>
      <c r="I24" s="60">
        <f t="shared" si="26"/>
        <v>14823000</v>
      </c>
      <c r="J24" s="60">
        <f t="shared" si="27"/>
        <v>1384796936.4979434</v>
      </c>
      <c r="K24" s="203">
        <f>J24/Input!$K$5</f>
        <v>4.6159897883264778</v>
      </c>
      <c r="L24" s="232"/>
      <c r="M24" s="60">
        <f>IF($B24&lt;Input!$H$43,IF($B24&lt;Input!$G$43,IF($B24&lt;Input!$F$43,IF($B24&lt;Input!$E$43,IF($B24&lt;Input!$D$43,Input!$C$49,Input!$D$49),Input!$E$49),Input!$F$49),Input!$G$49),Input!$H$49)</f>
        <v>16470000</v>
      </c>
      <c r="N24" s="190">
        <f>IF($A24&lt;Input!$H$50,IF($A24&lt;Input!$G$50,IF($A24&lt;Input!$F$50,IF($A24&lt;Input!$E$50,IF($A24&lt;Input!$D$50,Input!$C$51,Input!$D$51),Input!$E$51),Input!$F$51),Input!$G$51),Input!$H$51)</f>
        <v>0.9</v>
      </c>
      <c r="O24" s="60">
        <f t="shared" si="0"/>
        <v>14823000</v>
      </c>
      <c r="P24" s="60">
        <f t="shared" si="3"/>
        <v>31</v>
      </c>
      <c r="Q24" s="60">
        <f t="shared" si="4"/>
        <v>1382013463.4979434</v>
      </c>
      <c r="R24" s="60">
        <f>ROUND(Q24*$P24*Input!$C$3/365,0)</f>
        <v>17606473</v>
      </c>
      <c r="S24" s="60">
        <f>IF(A24&lt;=Input!$C$6,0,IF('180M'!O24&lt;'180M'!Q24,'180M'!O24-R24,'180M'!Q24))</f>
        <v>-2783473</v>
      </c>
      <c r="T24" s="60">
        <f t="shared" si="5"/>
        <v>14823000</v>
      </c>
      <c r="U24" s="60">
        <f t="shared" si="6"/>
        <v>1384796936.4979434</v>
      </c>
      <c r="V24" s="193"/>
      <c r="W24" s="169">
        <v>20</v>
      </c>
      <c r="X24" s="1">
        <f t="shared" si="28"/>
        <v>46127</v>
      </c>
      <c r="Y24" s="60">
        <f>IF($X24&lt;Input!$H$58,IF($X24&lt;Input!$G$58,IF($X24&lt;Input!$F$58,IF($X24&lt;Input!$E$58,IF($X24&lt;Input!$D$58,Input!$C$64,Input!$D$64),Input!$E$64),Input!$F$64),Input!$G$64),Input!$H$64)</f>
        <v>0</v>
      </c>
      <c r="Z24" s="190">
        <f>IF($A24&lt;Input!$H$65,IF($A24&lt;Input!$G$65,IF($A24&lt;Input!$F$65,IF($A24&lt;Input!$E$65,IF($A24&lt;Input!$D$65,Input!$C$66,Input!$D$66),Input!$E$66),Input!$F$66),Input!$G$66),Input!$H$66)</f>
        <v>0.9</v>
      </c>
      <c r="AA24" s="60">
        <f t="shared" si="7"/>
        <v>0</v>
      </c>
      <c r="AB24" s="60">
        <f t="shared" si="29"/>
        <v>31</v>
      </c>
      <c r="AC24" s="60">
        <f t="shared" si="8"/>
        <v>0</v>
      </c>
      <c r="AD24" s="60">
        <f>ROUND(AC24*AB24*Input!$C$3/365,0)</f>
        <v>0</v>
      </c>
      <c r="AE24" s="61">
        <f>IF($A24&lt;=Input!$C$6,0,IF('180M'!AA24&lt;'180M'!AC24,'180M'!AA24-AD24,'180M'!AC24))</f>
        <v>0</v>
      </c>
      <c r="AF24" s="61">
        <f t="shared" si="9"/>
        <v>0</v>
      </c>
      <c r="AG24" s="60">
        <f t="shared" si="10"/>
        <v>0</v>
      </c>
      <c r="AH24" s="193"/>
      <c r="AI24" s="169">
        <v>20</v>
      </c>
      <c r="AJ24" s="1">
        <f t="shared" si="30"/>
        <v>46127</v>
      </c>
      <c r="AK24" s="60">
        <f>IF($X24&lt;Input!$H$73,IF($X24&lt;Input!$G$73,IF($X24&lt;Input!$F$73,IF($X24&lt;Input!$E$73,IF($X24&lt;Input!$D$73,Input!$C$79,Input!$D$79),Input!$E$79),Input!$F$79),Input!$G$79),Input!$H$79)</f>
        <v>0</v>
      </c>
      <c r="AL24" s="190">
        <f>IF($A24&lt;Input!$H$80,IF($A24&lt;Input!$G$80,IF($A24&lt;Input!$F$80,IF($A24&lt;Input!$E$80,IF($A24&lt;Input!$D$80,Input!$C$81,Input!$D$81),Input!$E$81),Input!$F$81),Input!$G$81),Input!$H$81)</f>
        <v>0.9</v>
      </c>
      <c r="AM24" s="60">
        <f t="shared" si="31"/>
        <v>0</v>
      </c>
      <c r="AN24" s="60">
        <f t="shared" si="32"/>
        <v>31</v>
      </c>
      <c r="AO24" s="60">
        <f t="shared" si="33"/>
        <v>0</v>
      </c>
      <c r="AP24" s="60">
        <f>ROUND(AO24*AN24*Input!$C$3/365,0)</f>
        <v>0</v>
      </c>
      <c r="AQ24" s="61">
        <f>IF($A24&lt;=Input!$C$6,0,IF('180M'!AM24&lt;'180M'!AO24,'180M'!AM24-AP24,'180M'!AO24))</f>
        <v>0</v>
      </c>
      <c r="AR24" s="61">
        <f t="shared" si="34"/>
        <v>0</v>
      </c>
      <c r="AS24" s="60">
        <f t="shared" si="35"/>
        <v>0</v>
      </c>
      <c r="AT24" s="193"/>
      <c r="AU24" s="169">
        <v>20</v>
      </c>
      <c r="AV24" s="1">
        <f t="shared" si="36"/>
        <v>46127</v>
      </c>
      <c r="AW24" s="60">
        <f>IF($X24&lt;Input!$H$88,IF($X24&lt;Input!$G$88,IF($X24&lt;Input!$F$88,IF($X24&lt;Input!$E$88,IF($X24&lt;Input!$D$88,Input!$C$94,Input!$D$94),Input!$E$94),Input!$F$94),Input!$G$94),Input!$H$94)</f>
        <v>0</v>
      </c>
      <c r="AX24" s="190">
        <f>IF($A24&lt;Input!$H$95,IF($A24&lt;Input!$G$95,IF($A24&lt;Input!$F$95,IF($A24&lt;Input!$E$95,IF($A24&lt;Input!$D$95,Input!$C$96,Input!$D$96),Input!$E$96),Input!$F$96),Input!$G$96),Input!$H$96)</f>
        <v>0.9</v>
      </c>
      <c r="AY24" s="60">
        <f t="shared" si="37"/>
        <v>0</v>
      </c>
      <c r="AZ24" s="60">
        <f t="shared" si="38"/>
        <v>31</v>
      </c>
      <c r="BA24" s="60">
        <f t="shared" si="39"/>
        <v>0</v>
      </c>
      <c r="BB24" s="60">
        <f>ROUND(BA24*AZ24*Input!$C$3/365,0)</f>
        <v>0</v>
      </c>
      <c r="BC24" s="61">
        <f>IF($A24&lt;=Input!$C$6,0,IF('180M'!AY24&lt;'180M'!BA24,'180M'!AY24-BB24,'180M'!BA24))</f>
        <v>0</v>
      </c>
      <c r="BD24" s="61">
        <f t="shared" si="40"/>
        <v>0</v>
      </c>
      <c r="BE24" s="60">
        <f t="shared" si="41"/>
        <v>0</v>
      </c>
      <c r="BF24" s="193"/>
      <c r="BG24" s="169">
        <v>20</v>
      </c>
      <c r="BH24" s="1">
        <f t="shared" si="42"/>
        <v>46127</v>
      </c>
      <c r="BI24" s="60">
        <f>IF($X24&lt;Input!$H$103,IF($X24&lt;Input!$G$103,IF($X24&lt;Input!$F$103,IF($X24&lt;Input!$E$103,IF($X24&lt;Input!$D$103,Input!$C$109,Input!$D$109),Input!$E$109),Input!$F$109),Input!$G$109),Input!$H$109)</f>
        <v>0</v>
      </c>
      <c r="BJ24" s="190">
        <f>IF($A24&lt;Input!$H$110,IF($A24&lt;Input!$G$110,IF($A24&lt;Input!$F$110,IF($A24&lt;Input!$E$110,IF($A24&lt;Input!$D$110,Input!$C$111,Input!$D$111),Input!$E$111),Input!$F$111),Input!$G$111),Input!$H$111)</f>
        <v>0.9</v>
      </c>
      <c r="BK24" s="60">
        <f t="shared" si="19"/>
        <v>0</v>
      </c>
      <c r="BL24" s="60">
        <f t="shared" si="43"/>
        <v>31</v>
      </c>
      <c r="BM24" s="60">
        <f t="shared" si="20"/>
        <v>0</v>
      </c>
      <c r="BN24" s="60">
        <f>ROUND(BM24*BL24*Input!$C$3/365,0)</f>
        <v>0</v>
      </c>
      <c r="BO24" s="61">
        <f>IF($A24&lt;=Input!$C$6,0,IF('180M'!BK24&lt;'180M'!BM24,'180M'!BK24-BN24,'180M'!BM24))</f>
        <v>0</v>
      </c>
      <c r="BP24" s="61">
        <f t="shared" si="21"/>
        <v>0</v>
      </c>
      <c r="BQ24" s="60">
        <f t="shared" si="22"/>
        <v>0</v>
      </c>
      <c r="BR24" s="198"/>
    </row>
    <row r="25" spans="1:70" x14ac:dyDescent="0.25">
      <c r="A25" s="169">
        <v>21</v>
      </c>
      <c r="B25" s="1">
        <f t="shared" si="23"/>
        <v>46157</v>
      </c>
      <c r="C25" s="60">
        <f t="shared" si="1"/>
        <v>16470000</v>
      </c>
      <c r="D25" s="60">
        <f t="shared" si="2"/>
        <v>14823000</v>
      </c>
      <c r="E25" s="60">
        <f t="shared" si="24"/>
        <v>30</v>
      </c>
      <c r="F25" s="60">
        <f t="shared" si="25"/>
        <v>1384796936.4979434</v>
      </c>
      <c r="G25" s="60">
        <f>ROUND(F25*E25*Input!$C$3/365,0)</f>
        <v>17072839</v>
      </c>
      <c r="H25" s="60">
        <f>IF($A25&lt;=Input!$C$6,0,IF('180M'!D25&lt;'180M'!F25,'180M'!D25-G25,'180M'!F25))</f>
        <v>-2249839</v>
      </c>
      <c r="I25" s="60">
        <f t="shared" si="26"/>
        <v>14823000</v>
      </c>
      <c r="J25" s="60">
        <f t="shared" si="27"/>
        <v>1387046775.4979434</v>
      </c>
      <c r="K25" s="203">
        <f>J25/Input!$K$5</f>
        <v>4.6234892516598114</v>
      </c>
      <c r="L25" s="232"/>
      <c r="M25" s="60">
        <f>IF($B25&lt;Input!$H$43,IF($B25&lt;Input!$G$43,IF($B25&lt;Input!$F$43,IF($B25&lt;Input!$E$43,IF($B25&lt;Input!$D$43,Input!$C$49,Input!$D$49),Input!$E$49),Input!$F$49),Input!$G$49),Input!$H$49)</f>
        <v>16470000</v>
      </c>
      <c r="N25" s="190">
        <f>IF($A25&lt;Input!$H$50,IF($A25&lt;Input!$G$50,IF($A25&lt;Input!$F$50,IF($A25&lt;Input!$E$50,IF($A25&lt;Input!$D$50,Input!$C$51,Input!$D$51),Input!$E$51),Input!$F$51),Input!$G$51),Input!$H$51)</f>
        <v>0.9</v>
      </c>
      <c r="O25" s="60">
        <f t="shared" si="0"/>
        <v>14823000</v>
      </c>
      <c r="P25" s="60">
        <f t="shared" si="3"/>
        <v>30</v>
      </c>
      <c r="Q25" s="60">
        <f t="shared" si="4"/>
        <v>1384796936.4979434</v>
      </c>
      <c r="R25" s="60">
        <f>ROUND(Q25*$P25*Input!$C$3/365,0)</f>
        <v>17072839</v>
      </c>
      <c r="S25" s="60">
        <f>IF(A25&lt;=Input!$C$6,0,IF('180M'!O25&lt;'180M'!Q25,'180M'!O25-R25,'180M'!Q25))</f>
        <v>-2249839</v>
      </c>
      <c r="T25" s="60">
        <f t="shared" si="5"/>
        <v>14823000</v>
      </c>
      <c r="U25" s="60">
        <f t="shared" si="6"/>
        <v>1387046775.4979434</v>
      </c>
      <c r="V25" s="193"/>
      <c r="W25" s="169">
        <v>21</v>
      </c>
      <c r="X25" s="1">
        <f t="shared" si="28"/>
        <v>46157</v>
      </c>
      <c r="Y25" s="60">
        <f>IF($X25&lt;Input!$H$58,IF($X25&lt;Input!$G$58,IF($X25&lt;Input!$F$58,IF($X25&lt;Input!$E$58,IF($X25&lt;Input!$D$58,Input!$C$64,Input!$D$64),Input!$E$64),Input!$F$64),Input!$G$64),Input!$H$64)</f>
        <v>0</v>
      </c>
      <c r="Z25" s="190">
        <f>IF($A25&lt;Input!$H$65,IF($A25&lt;Input!$G$65,IF($A25&lt;Input!$F$65,IF($A25&lt;Input!$E$65,IF($A25&lt;Input!$D$65,Input!$C$66,Input!$D$66),Input!$E$66),Input!$F$66),Input!$G$66),Input!$H$66)</f>
        <v>0.9</v>
      </c>
      <c r="AA25" s="60">
        <f t="shared" si="7"/>
        <v>0</v>
      </c>
      <c r="AB25" s="60">
        <f t="shared" si="29"/>
        <v>30</v>
      </c>
      <c r="AC25" s="60">
        <f t="shared" si="8"/>
        <v>0</v>
      </c>
      <c r="AD25" s="60">
        <f>ROUND(AC25*AB25*Input!$C$3/365,0)</f>
        <v>0</v>
      </c>
      <c r="AE25" s="61">
        <f>IF($A25&lt;=Input!$C$6,0,IF('180M'!AA25&lt;'180M'!AC25,'180M'!AA25-AD25,'180M'!AC25))</f>
        <v>0</v>
      </c>
      <c r="AF25" s="61">
        <f t="shared" si="9"/>
        <v>0</v>
      </c>
      <c r="AG25" s="60">
        <f t="shared" si="10"/>
        <v>0</v>
      </c>
      <c r="AH25" s="193"/>
      <c r="AI25" s="169">
        <v>21</v>
      </c>
      <c r="AJ25" s="1">
        <f t="shared" si="30"/>
        <v>46157</v>
      </c>
      <c r="AK25" s="60">
        <f>IF($X25&lt;Input!$H$73,IF($X25&lt;Input!$G$73,IF($X25&lt;Input!$F$73,IF($X25&lt;Input!$E$73,IF($X25&lt;Input!$D$73,Input!$C$79,Input!$D$79),Input!$E$79),Input!$F$79),Input!$G$79),Input!$H$79)</f>
        <v>0</v>
      </c>
      <c r="AL25" s="190">
        <f>IF($A25&lt;Input!$H$80,IF($A25&lt;Input!$G$80,IF($A25&lt;Input!$F$80,IF($A25&lt;Input!$E$80,IF($A25&lt;Input!$D$80,Input!$C$81,Input!$D$81),Input!$E$81),Input!$F$81),Input!$G$81),Input!$H$81)</f>
        <v>0.9</v>
      </c>
      <c r="AM25" s="60">
        <f t="shared" si="31"/>
        <v>0</v>
      </c>
      <c r="AN25" s="60">
        <f t="shared" si="32"/>
        <v>30</v>
      </c>
      <c r="AO25" s="60">
        <f t="shared" si="33"/>
        <v>0</v>
      </c>
      <c r="AP25" s="60">
        <f>ROUND(AO25*AN25*Input!$C$3/365,0)</f>
        <v>0</v>
      </c>
      <c r="AQ25" s="61">
        <f>IF($A25&lt;=Input!$C$6,0,IF('180M'!AM25&lt;'180M'!AO25,'180M'!AM25-AP25,'180M'!AO25))</f>
        <v>0</v>
      </c>
      <c r="AR25" s="61">
        <f t="shared" si="34"/>
        <v>0</v>
      </c>
      <c r="AS25" s="60">
        <f t="shared" si="35"/>
        <v>0</v>
      </c>
      <c r="AT25" s="193"/>
      <c r="AU25" s="169">
        <v>21</v>
      </c>
      <c r="AV25" s="1">
        <f t="shared" si="36"/>
        <v>46157</v>
      </c>
      <c r="AW25" s="60">
        <f>IF($X25&lt;Input!$H$88,IF($X25&lt;Input!$G$88,IF($X25&lt;Input!$F$88,IF($X25&lt;Input!$E$88,IF($X25&lt;Input!$D$88,Input!$C$94,Input!$D$94),Input!$E$94),Input!$F$94),Input!$G$94),Input!$H$94)</f>
        <v>0</v>
      </c>
      <c r="AX25" s="190">
        <f>IF($A25&lt;Input!$H$95,IF($A25&lt;Input!$G$95,IF($A25&lt;Input!$F$95,IF($A25&lt;Input!$E$95,IF($A25&lt;Input!$D$95,Input!$C$96,Input!$D$96),Input!$E$96),Input!$F$96),Input!$G$96),Input!$H$96)</f>
        <v>0.9</v>
      </c>
      <c r="AY25" s="60">
        <f t="shared" si="37"/>
        <v>0</v>
      </c>
      <c r="AZ25" s="60">
        <f t="shared" si="38"/>
        <v>30</v>
      </c>
      <c r="BA25" s="60">
        <f t="shared" si="39"/>
        <v>0</v>
      </c>
      <c r="BB25" s="60">
        <f>ROUND(BA25*AZ25*Input!$C$3/365,0)</f>
        <v>0</v>
      </c>
      <c r="BC25" s="61">
        <f>IF($A25&lt;=Input!$C$6,0,IF('180M'!AY25&lt;'180M'!BA25,'180M'!AY25-BB25,'180M'!BA25))</f>
        <v>0</v>
      </c>
      <c r="BD25" s="61">
        <f t="shared" si="40"/>
        <v>0</v>
      </c>
      <c r="BE25" s="60">
        <f t="shared" si="41"/>
        <v>0</v>
      </c>
      <c r="BF25" s="193"/>
      <c r="BG25" s="169">
        <v>21</v>
      </c>
      <c r="BH25" s="1">
        <f t="shared" si="42"/>
        <v>46157</v>
      </c>
      <c r="BI25" s="60">
        <f>IF($X25&lt;Input!$H$103,IF($X25&lt;Input!$G$103,IF($X25&lt;Input!$F$103,IF($X25&lt;Input!$E$103,IF($X25&lt;Input!$D$103,Input!$C$109,Input!$D$109),Input!$E$109),Input!$F$109),Input!$G$109),Input!$H$109)</f>
        <v>0</v>
      </c>
      <c r="BJ25" s="190">
        <f>IF($A25&lt;Input!$H$110,IF($A25&lt;Input!$G$110,IF($A25&lt;Input!$F$110,IF($A25&lt;Input!$E$110,IF($A25&lt;Input!$D$110,Input!$C$111,Input!$D$111),Input!$E$111),Input!$F$111),Input!$G$111),Input!$H$111)</f>
        <v>0.9</v>
      </c>
      <c r="BK25" s="60">
        <f t="shared" si="19"/>
        <v>0</v>
      </c>
      <c r="BL25" s="60">
        <f t="shared" si="43"/>
        <v>30</v>
      </c>
      <c r="BM25" s="60">
        <f t="shared" si="20"/>
        <v>0</v>
      </c>
      <c r="BN25" s="60">
        <f>ROUND(BM25*BL25*Input!$C$3/365,0)</f>
        <v>0</v>
      </c>
      <c r="BO25" s="61">
        <f>IF($A25&lt;=Input!$C$6,0,IF('180M'!BK25&lt;'180M'!BM25,'180M'!BK25-BN25,'180M'!BM25))</f>
        <v>0</v>
      </c>
      <c r="BP25" s="61">
        <f t="shared" si="21"/>
        <v>0</v>
      </c>
      <c r="BQ25" s="60">
        <f t="shared" si="22"/>
        <v>0</v>
      </c>
      <c r="BR25" s="198"/>
    </row>
    <row r="26" spans="1:70" x14ac:dyDescent="0.25">
      <c r="A26" s="169">
        <v>22</v>
      </c>
      <c r="B26" s="1">
        <f t="shared" si="23"/>
        <v>46188</v>
      </c>
      <c r="C26" s="60">
        <f t="shared" si="1"/>
        <v>16470000</v>
      </c>
      <c r="D26" s="60">
        <f t="shared" si="2"/>
        <v>14823000</v>
      </c>
      <c r="E26" s="60">
        <f t="shared" si="24"/>
        <v>31</v>
      </c>
      <c r="F26" s="60">
        <f t="shared" si="25"/>
        <v>1387046775.4979434</v>
      </c>
      <c r="G26" s="60">
        <f>ROUND(F26*E26*Input!$C$3/365,0)</f>
        <v>17670596</v>
      </c>
      <c r="H26" s="60">
        <f>IF($A26&lt;=Input!$C$6,0,IF('180M'!D26&lt;'180M'!F26,'180M'!D26-G26,'180M'!F26))</f>
        <v>-2847596</v>
      </c>
      <c r="I26" s="60">
        <f t="shared" si="26"/>
        <v>14823000</v>
      </c>
      <c r="J26" s="60">
        <f t="shared" si="27"/>
        <v>1389894371.4979434</v>
      </c>
      <c r="K26" s="203">
        <f>J26/Input!$K$5</f>
        <v>4.6329812383264777</v>
      </c>
      <c r="L26" s="232"/>
      <c r="M26" s="60">
        <f>IF($B26&lt;Input!$H$43,IF($B26&lt;Input!$G$43,IF($B26&lt;Input!$F$43,IF($B26&lt;Input!$E$43,IF($B26&lt;Input!$D$43,Input!$C$49,Input!$D$49),Input!$E$49),Input!$F$49),Input!$G$49),Input!$H$49)</f>
        <v>16470000</v>
      </c>
      <c r="N26" s="190">
        <f>IF($A26&lt;Input!$H$50,IF($A26&lt;Input!$G$50,IF($A26&lt;Input!$F$50,IF($A26&lt;Input!$E$50,IF($A26&lt;Input!$D$50,Input!$C$51,Input!$D$51),Input!$E$51),Input!$F$51),Input!$G$51),Input!$H$51)</f>
        <v>0.9</v>
      </c>
      <c r="O26" s="60">
        <f t="shared" si="0"/>
        <v>14823000</v>
      </c>
      <c r="P26" s="60">
        <f t="shared" si="3"/>
        <v>31</v>
      </c>
      <c r="Q26" s="60">
        <f t="shared" si="4"/>
        <v>1387046775.4979434</v>
      </c>
      <c r="R26" s="60">
        <f>ROUND(Q26*$P26*Input!$C$3/365,0)</f>
        <v>17670596</v>
      </c>
      <c r="S26" s="60">
        <f>IF(A26&lt;=Input!$C$6,0,IF('180M'!O26&lt;'180M'!Q26,'180M'!O26-R26,'180M'!Q26))</f>
        <v>-2847596</v>
      </c>
      <c r="T26" s="60">
        <f t="shared" si="5"/>
        <v>14823000</v>
      </c>
      <c r="U26" s="60">
        <f t="shared" si="6"/>
        <v>1389894371.4979434</v>
      </c>
      <c r="V26" s="193"/>
      <c r="W26" s="169">
        <v>22</v>
      </c>
      <c r="X26" s="1">
        <f t="shared" si="28"/>
        <v>46188</v>
      </c>
      <c r="Y26" s="60">
        <f>IF($X26&lt;Input!$H$58,IF($X26&lt;Input!$G$58,IF($X26&lt;Input!$F$58,IF($X26&lt;Input!$E$58,IF($X26&lt;Input!$D$58,Input!$C$64,Input!$D$64),Input!$E$64),Input!$F$64),Input!$G$64),Input!$H$64)</f>
        <v>0</v>
      </c>
      <c r="Z26" s="190">
        <f>IF($A26&lt;Input!$H$65,IF($A26&lt;Input!$G$65,IF($A26&lt;Input!$F$65,IF($A26&lt;Input!$E$65,IF($A26&lt;Input!$D$65,Input!$C$66,Input!$D$66),Input!$E$66),Input!$F$66),Input!$G$66),Input!$H$66)</f>
        <v>0.9</v>
      </c>
      <c r="AA26" s="60">
        <f t="shared" si="7"/>
        <v>0</v>
      </c>
      <c r="AB26" s="60">
        <f t="shared" si="29"/>
        <v>31</v>
      </c>
      <c r="AC26" s="60">
        <f t="shared" si="8"/>
        <v>0</v>
      </c>
      <c r="AD26" s="60">
        <f>ROUND(AC26*AB26*Input!$C$3/365,0)</f>
        <v>0</v>
      </c>
      <c r="AE26" s="61">
        <f>IF($A26&lt;=Input!$C$6,0,IF('180M'!AA26&lt;'180M'!AC26,'180M'!AA26-AD26,'180M'!AC26))</f>
        <v>0</v>
      </c>
      <c r="AF26" s="61">
        <f t="shared" si="9"/>
        <v>0</v>
      </c>
      <c r="AG26" s="60">
        <f t="shared" si="10"/>
        <v>0</v>
      </c>
      <c r="AH26" s="193"/>
      <c r="AI26" s="169">
        <v>22</v>
      </c>
      <c r="AJ26" s="1">
        <f t="shared" si="30"/>
        <v>46188</v>
      </c>
      <c r="AK26" s="60">
        <f>IF($X26&lt;Input!$H$73,IF($X26&lt;Input!$G$73,IF($X26&lt;Input!$F$73,IF($X26&lt;Input!$E$73,IF($X26&lt;Input!$D$73,Input!$C$79,Input!$D$79),Input!$E$79),Input!$F$79),Input!$G$79),Input!$H$79)</f>
        <v>0</v>
      </c>
      <c r="AL26" s="190">
        <f>IF($A26&lt;Input!$H$80,IF($A26&lt;Input!$G$80,IF($A26&lt;Input!$F$80,IF($A26&lt;Input!$E$80,IF($A26&lt;Input!$D$80,Input!$C$81,Input!$D$81),Input!$E$81),Input!$F$81),Input!$G$81),Input!$H$81)</f>
        <v>0.9</v>
      </c>
      <c r="AM26" s="60">
        <f t="shared" si="31"/>
        <v>0</v>
      </c>
      <c r="AN26" s="60">
        <f t="shared" si="32"/>
        <v>31</v>
      </c>
      <c r="AO26" s="60">
        <f t="shared" si="33"/>
        <v>0</v>
      </c>
      <c r="AP26" s="60">
        <f>ROUND(AO26*AN26*Input!$C$3/365,0)</f>
        <v>0</v>
      </c>
      <c r="AQ26" s="61">
        <f>IF($A26&lt;=Input!$C$6,0,IF('180M'!AM26&lt;'180M'!AO26,'180M'!AM26-AP26,'180M'!AO26))</f>
        <v>0</v>
      </c>
      <c r="AR26" s="61">
        <f t="shared" si="34"/>
        <v>0</v>
      </c>
      <c r="AS26" s="60">
        <f t="shared" si="35"/>
        <v>0</v>
      </c>
      <c r="AT26" s="193"/>
      <c r="AU26" s="169">
        <v>22</v>
      </c>
      <c r="AV26" s="1">
        <f t="shared" si="36"/>
        <v>46188</v>
      </c>
      <c r="AW26" s="60">
        <f>IF($X26&lt;Input!$H$88,IF($X26&lt;Input!$G$88,IF($X26&lt;Input!$F$88,IF($X26&lt;Input!$E$88,IF($X26&lt;Input!$D$88,Input!$C$94,Input!$D$94),Input!$E$94),Input!$F$94),Input!$G$94),Input!$H$94)</f>
        <v>0</v>
      </c>
      <c r="AX26" s="190">
        <f>IF($A26&lt;Input!$H$95,IF($A26&lt;Input!$G$95,IF($A26&lt;Input!$F$95,IF($A26&lt;Input!$E$95,IF($A26&lt;Input!$D$95,Input!$C$96,Input!$D$96),Input!$E$96),Input!$F$96),Input!$G$96),Input!$H$96)</f>
        <v>0.9</v>
      </c>
      <c r="AY26" s="60">
        <f t="shared" si="37"/>
        <v>0</v>
      </c>
      <c r="AZ26" s="60">
        <f t="shared" si="38"/>
        <v>31</v>
      </c>
      <c r="BA26" s="60">
        <f t="shared" si="39"/>
        <v>0</v>
      </c>
      <c r="BB26" s="60">
        <f>ROUND(BA26*AZ26*Input!$C$3/365,0)</f>
        <v>0</v>
      </c>
      <c r="BC26" s="61">
        <f>IF($A26&lt;=Input!$C$6,0,IF('180M'!AY26&lt;'180M'!BA26,'180M'!AY26-BB26,'180M'!BA26))</f>
        <v>0</v>
      </c>
      <c r="BD26" s="61">
        <f t="shared" si="40"/>
        <v>0</v>
      </c>
      <c r="BE26" s="60">
        <f t="shared" si="41"/>
        <v>0</v>
      </c>
      <c r="BF26" s="193"/>
      <c r="BG26" s="169">
        <v>22</v>
      </c>
      <c r="BH26" s="1">
        <f t="shared" si="42"/>
        <v>46188</v>
      </c>
      <c r="BI26" s="60">
        <f>IF($X26&lt;Input!$H$103,IF($X26&lt;Input!$G$103,IF($X26&lt;Input!$F$103,IF($X26&lt;Input!$E$103,IF($X26&lt;Input!$D$103,Input!$C$109,Input!$D$109),Input!$E$109),Input!$F$109),Input!$G$109),Input!$H$109)</f>
        <v>0</v>
      </c>
      <c r="BJ26" s="190">
        <f>IF($A26&lt;Input!$H$110,IF($A26&lt;Input!$G$110,IF($A26&lt;Input!$F$110,IF($A26&lt;Input!$E$110,IF($A26&lt;Input!$D$110,Input!$C$111,Input!$D$111),Input!$E$111),Input!$F$111),Input!$G$111),Input!$H$111)</f>
        <v>0.9</v>
      </c>
      <c r="BK26" s="60">
        <f t="shared" si="19"/>
        <v>0</v>
      </c>
      <c r="BL26" s="60">
        <f t="shared" si="43"/>
        <v>31</v>
      </c>
      <c r="BM26" s="60">
        <f t="shared" si="20"/>
        <v>0</v>
      </c>
      <c r="BN26" s="60">
        <f>ROUND(BM26*BL26*Input!$C$3/365,0)</f>
        <v>0</v>
      </c>
      <c r="BO26" s="61">
        <f>IF($A26&lt;=Input!$C$6,0,IF('180M'!BK26&lt;'180M'!BM26,'180M'!BK26-BN26,'180M'!BM26))</f>
        <v>0</v>
      </c>
      <c r="BP26" s="61">
        <f t="shared" si="21"/>
        <v>0</v>
      </c>
      <c r="BQ26" s="60">
        <f t="shared" si="22"/>
        <v>0</v>
      </c>
      <c r="BR26" s="198"/>
    </row>
    <row r="27" spans="1:70" x14ac:dyDescent="0.25">
      <c r="A27" s="169">
        <v>23</v>
      </c>
      <c r="B27" s="1">
        <f t="shared" si="23"/>
        <v>46218</v>
      </c>
      <c r="C27" s="60">
        <f t="shared" si="1"/>
        <v>16470000</v>
      </c>
      <c r="D27" s="60">
        <f t="shared" si="2"/>
        <v>14823000</v>
      </c>
      <c r="E27" s="60">
        <f t="shared" si="24"/>
        <v>30</v>
      </c>
      <c r="F27" s="60">
        <f t="shared" si="25"/>
        <v>1389894371.4979434</v>
      </c>
      <c r="G27" s="60">
        <f>ROUND(F27*E27*Input!$C$3/365,0)</f>
        <v>17135684</v>
      </c>
      <c r="H27" s="60">
        <f>IF($A27&lt;=Input!$C$6,0,IF('180M'!D27&lt;'180M'!F27,'180M'!D27-G27,'180M'!F27))</f>
        <v>-2312684</v>
      </c>
      <c r="I27" s="60">
        <f t="shared" si="26"/>
        <v>14823000</v>
      </c>
      <c r="J27" s="60">
        <f t="shared" si="27"/>
        <v>1392207055.4979434</v>
      </c>
      <c r="K27" s="203">
        <f>J27/Input!$K$5</f>
        <v>4.6406901849931446</v>
      </c>
      <c r="L27" s="232"/>
      <c r="M27" s="60">
        <f>IF($B27&lt;Input!$H$43,IF($B27&lt;Input!$G$43,IF($B27&lt;Input!$F$43,IF($B27&lt;Input!$E$43,IF($B27&lt;Input!$D$43,Input!$C$49,Input!$D$49),Input!$E$49),Input!$F$49),Input!$G$49),Input!$H$49)</f>
        <v>16470000</v>
      </c>
      <c r="N27" s="190">
        <f>IF($A27&lt;Input!$H$50,IF($A27&lt;Input!$G$50,IF($A27&lt;Input!$F$50,IF($A27&lt;Input!$E$50,IF($A27&lt;Input!$D$50,Input!$C$51,Input!$D$51),Input!$E$51),Input!$F$51),Input!$G$51),Input!$H$51)</f>
        <v>0.9</v>
      </c>
      <c r="O27" s="60">
        <f t="shared" si="0"/>
        <v>14823000</v>
      </c>
      <c r="P27" s="60">
        <f t="shared" si="3"/>
        <v>30</v>
      </c>
      <c r="Q27" s="60">
        <f t="shared" si="4"/>
        <v>1389894371.4979434</v>
      </c>
      <c r="R27" s="60">
        <f>ROUND(Q27*$P27*Input!$C$3/365,0)</f>
        <v>17135684</v>
      </c>
      <c r="S27" s="60">
        <f>IF(A27&lt;=Input!$C$6,0,IF('180M'!O27&lt;'180M'!Q27,'180M'!O27-R27,'180M'!Q27))</f>
        <v>-2312684</v>
      </c>
      <c r="T27" s="60">
        <f t="shared" si="5"/>
        <v>14823000</v>
      </c>
      <c r="U27" s="60">
        <f t="shared" si="6"/>
        <v>1392207055.4979434</v>
      </c>
      <c r="V27" s="193"/>
      <c r="W27" s="169">
        <v>23</v>
      </c>
      <c r="X27" s="1">
        <f t="shared" si="28"/>
        <v>46218</v>
      </c>
      <c r="Y27" s="60">
        <f>IF($X27&lt;Input!$H$58,IF($X27&lt;Input!$G$58,IF($X27&lt;Input!$F$58,IF($X27&lt;Input!$E$58,IF($X27&lt;Input!$D$58,Input!$C$64,Input!$D$64),Input!$E$64),Input!$F$64),Input!$G$64),Input!$H$64)</f>
        <v>0</v>
      </c>
      <c r="Z27" s="190">
        <f>IF($A27&lt;Input!$H$65,IF($A27&lt;Input!$G$65,IF($A27&lt;Input!$F$65,IF($A27&lt;Input!$E$65,IF($A27&lt;Input!$D$65,Input!$C$66,Input!$D$66),Input!$E$66),Input!$F$66),Input!$G$66),Input!$H$66)</f>
        <v>0.9</v>
      </c>
      <c r="AA27" s="60">
        <f t="shared" si="7"/>
        <v>0</v>
      </c>
      <c r="AB27" s="60">
        <f t="shared" si="29"/>
        <v>30</v>
      </c>
      <c r="AC27" s="60">
        <f t="shared" si="8"/>
        <v>0</v>
      </c>
      <c r="AD27" s="60">
        <f>ROUND(AC27*AB27*Input!$C$3/365,0)</f>
        <v>0</v>
      </c>
      <c r="AE27" s="61">
        <f>IF($A27&lt;=Input!$C$6,0,IF('180M'!AA27&lt;'180M'!AC27,'180M'!AA27-AD27,'180M'!AC27))</f>
        <v>0</v>
      </c>
      <c r="AF27" s="61">
        <f t="shared" si="9"/>
        <v>0</v>
      </c>
      <c r="AG27" s="60">
        <f t="shared" si="10"/>
        <v>0</v>
      </c>
      <c r="AH27" s="193"/>
      <c r="AI27" s="169">
        <v>23</v>
      </c>
      <c r="AJ27" s="1">
        <f t="shared" si="30"/>
        <v>46218</v>
      </c>
      <c r="AK27" s="60">
        <f>IF($X27&lt;Input!$H$73,IF($X27&lt;Input!$G$73,IF($X27&lt;Input!$F$73,IF($X27&lt;Input!$E$73,IF($X27&lt;Input!$D$73,Input!$C$79,Input!$D$79),Input!$E$79),Input!$F$79),Input!$G$79),Input!$H$79)</f>
        <v>0</v>
      </c>
      <c r="AL27" s="190">
        <f>IF($A27&lt;Input!$H$80,IF($A27&lt;Input!$G$80,IF($A27&lt;Input!$F$80,IF($A27&lt;Input!$E$80,IF($A27&lt;Input!$D$80,Input!$C$81,Input!$D$81),Input!$E$81),Input!$F$81),Input!$G$81),Input!$H$81)</f>
        <v>0.9</v>
      </c>
      <c r="AM27" s="60">
        <f t="shared" si="31"/>
        <v>0</v>
      </c>
      <c r="AN27" s="60">
        <f t="shared" si="32"/>
        <v>30</v>
      </c>
      <c r="AO27" s="60">
        <f t="shared" si="33"/>
        <v>0</v>
      </c>
      <c r="AP27" s="60">
        <f>ROUND(AO27*AN27*Input!$C$3/365,0)</f>
        <v>0</v>
      </c>
      <c r="AQ27" s="61">
        <f>IF($A27&lt;=Input!$C$6,0,IF('180M'!AM27&lt;'180M'!AO27,'180M'!AM27-AP27,'180M'!AO27))</f>
        <v>0</v>
      </c>
      <c r="AR27" s="61">
        <f t="shared" si="34"/>
        <v>0</v>
      </c>
      <c r="AS27" s="60">
        <f t="shared" si="35"/>
        <v>0</v>
      </c>
      <c r="AT27" s="193"/>
      <c r="AU27" s="169">
        <v>23</v>
      </c>
      <c r="AV27" s="1">
        <f t="shared" si="36"/>
        <v>46218</v>
      </c>
      <c r="AW27" s="60">
        <f>IF($X27&lt;Input!$H$88,IF($X27&lt;Input!$G$88,IF($X27&lt;Input!$F$88,IF($X27&lt;Input!$E$88,IF($X27&lt;Input!$D$88,Input!$C$94,Input!$D$94),Input!$E$94),Input!$F$94),Input!$G$94),Input!$H$94)</f>
        <v>0</v>
      </c>
      <c r="AX27" s="190">
        <f>IF($A27&lt;Input!$H$95,IF($A27&lt;Input!$G$95,IF($A27&lt;Input!$F$95,IF($A27&lt;Input!$E$95,IF($A27&lt;Input!$D$95,Input!$C$96,Input!$D$96),Input!$E$96),Input!$F$96),Input!$G$96),Input!$H$96)</f>
        <v>0.9</v>
      </c>
      <c r="AY27" s="60">
        <f t="shared" si="37"/>
        <v>0</v>
      </c>
      <c r="AZ27" s="60">
        <f t="shared" si="38"/>
        <v>30</v>
      </c>
      <c r="BA27" s="60">
        <f t="shared" si="39"/>
        <v>0</v>
      </c>
      <c r="BB27" s="60">
        <f>ROUND(BA27*AZ27*Input!$C$3/365,0)</f>
        <v>0</v>
      </c>
      <c r="BC27" s="61">
        <f>IF($A27&lt;=Input!$C$6,0,IF('180M'!AY27&lt;'180M'!BA27,'180M'!AY27-BB27,'180M'!BA27))</f>
        <v>0</v>
      </c>
      <c r="BD27" s="61">
        <f t="shared" si="40"/>
        <v>0</v>
      </c>
      <c r="BE27" s="60">
        <f t="shared" si="41"/>
        <v>0</v>
      </c>
      <c r="BF27" s="193"/>
      <c r="BG27" s="169">
        <v>23</v>
      </c>
      <c r="BH27" s="1">
        <f t="shared" si="42"/>
        <v>46218</v>
      </c>
      <c r="BI27" s="60">
        <f>IF($X27&lt;Input!$H$103,IF($X27&lt;Input!$G$103,IF($X27&lt;Input!$F$103,IF($X27&lt;Input!$E$103,IF($X27&lt;Input!$D$103,Input!$C$109,Input!$D$109),Input!$E$109),Input!$F$109),Input!$G$109),Input!$H$109)</f>
        <v>0</v>
      </c>
      <c r="BJ27" s="190">
        <f>IF($A27&lt;Input!$H$110,IF($A27&lt;Input!$G$110,IF($A27&lt;Input!$F$110,IF($A27&lt;Input!$E$110,IF($A27&lt;Input!$D$110,Input!$C$111,Input!$D$111),Input!$E$111),Input!$F$111),Input!$G$111),Input!$H$111)</f>
        <v>0.9</v>
      </c>
      <c r="BK27" s="60">
        <f t="shared" si="19"/>
        <v>0</v>
      </c>
      <c r="BL27" s="60">
        <f t="shared" si="43"/>
        <v>30</v>
      </c>
      <c r="BM27" s="60">
        <f t="shared" si="20"/>
        <v>0</v>
      </c>
      <c r="BN27" s="60">
        <f>ROUND(BM27*BL27*Input!$C$3/365,0)</f>
        <v>0</v>
      </c>
      <c r="BO27" s="61">
        <f>IF($A27&lt;=Input!$C$6,0,IF('180M'!BK27&lt;'180M'!BM27,'180M'!BK27-BN27,'180M'!BM27))</f>
        <v>0</v>
      </c>
      <c r="BP27" s="61">
        <f t="shared" si="21"/>
        <v>0</v>
      </c>
      <c r="BQ27" s="60">
        <f t="shared" si="22"/>
        <v>0</v>
      </c>
      <c r="BR27" s="198"/>
    </row>
    <row r="28" spans="1:70" x14ac:dyDescent="0.25">
      <c r="A28" s="169">
        <v>24</v>
      </c>
      <c r="B28" s="1">
        <f t="shared" si="23"/>
        <v>46249</v>
      </c>
      <c r="C28" s="60">
        <f t="shared" si="1"/>
        <v>16470000</v>
      </c>
      <c r="D28" s="60">
        <f t="shared" si="2"/>
        <v>14823000</v>
      </c>
      <c r="E28" s="60">
        <f t="shared" si="24"/>
        <v>31</v>
      </c>
      <c r="F28" s="60">
        <f t="shared" si="25"/>
        <v>1392207055.4979434</v>
      </c>
      <c r="G28" s="60">
        <f>ROUND(F28*E28*Input!$C$3/365,0)</f>
        <v>17736336</v>
      </c>
      <c r="H28" s="60">
        <f>IF($A28&lt;=Input!$C$6,0,IF('180M'!D28&lt;'180M'!F28,'180M'!D28-G28,'180M'!F28))</f>
        <v>-2913336</v>
      </c>
      <c r="I28" s="60">
        <f t="shared" si="26"/>
        <v>14823000</v>
      </c>
      <c r="J28" s="60">
        <f t="shared" si="27"/>
        <v>1395120391.4979434</v>
      </c>
      <c r="K28" s="203">
        <f>J28/Input!$K$5</f>
        <v>4.650401304993145</v>
      </c>
      <c r="L28" s="232"/>
      <c r="M28" s="60">
        <f>IF($B28&lt;Input!$H$43,IF($B28&lt;Input!$G$43,IF($B28&lt;Input!$F$43,IF($B28&lt;Input!$E$43,IF($B28&lt;Input!$D$43,Input!$C$49,Input!$D$49),Input!$E$49),Input!$F$49),Input!$G$49),Input!$H$49)</f>
        <v>16470000</v>
      </c>
      <c r="N28" s="190">
        <f>IF($A28&lt;Input!$H$50,IF($A28&lt;Input!$G$50,IF($A28&lt;Input!$F$50,IF($A28&lt;Input!$E$50,IF($A28&lt;Input!$D$50,Input!$C$51,Input!$D$51),Input!$E$51),Input!$F$51),Input!$G$51),Input!$H$51)</f>
        <v>0.9</v>
      </c>
      <c r="O28" s="60">
        <f t="shared" si="0"/>
        <v>14823000</v>
      </c>
      <c r="P28" s="60">
        <f t="shared" si="3"/>
        <v>31</v>
      </c>
      <c r="Q28" s="60">
        <f t="shared" si="4"/>
        <v>1392207055.4979434</v>
      </c>
      <c r="R28" s="60">
        <f>ROUND(Q28*$P28*Input!$C$3/365,0)</f>
        <v>17736336</v>
      </c>
      <c r="S28" s="60">
        <f>IF(A28&lt;=Input!$C$6,0,IF('180M'!O28&lt;'180M'!Q28,'180M'!O28-R28,'180M'!Q28))</f>
        <v>-2913336</v>
      </c>
      <c r="T28" s="60">
        <f t="shared" si="5"/>
        <v>14823000</v>
      </c>
      <c r="U28" s="60">
        <f t="shared" si="6"/>
        <v>1395120391.4979434</v>
      </c>
      <c r="V28" s="193"/>
      <c r="W28" s="169">
        <v>24</v>
      </c>
      <c r="X28" s="1">
        <f t="shared" si="28"/>
        <v>46249</v>
      </c>
      <c r="Y28" s="60">
        <f>IF($X28&lt;Input!$H$58,IF($X28&lt;Input!$G$58,IF($X28&lt;Input!$F$58,IF($X28&lt;Input!$E$58,IF($X28&lt;Input!$D$58,Input!$C$64,Input!$D$64),Input!$E$64),Input!$F$64),Input!$G$64),Input!$H$64)</f>
        <v>0</v>
      </c>
      <c r="Z28" s="190">
        <f>IF($A28&lt;Input!$H$65,IF($A28&lt;Input!$G$65,IF($A28&lt;Input!$F$65,IF($A28&lt;Input!$E$65,IF($A28&lt;Input!$D$65,Input!$C$66,Input!$D$66),Input!$E$66),Input!$F$66),Input!$G$66),Input!$H$66)</f>
        <v>0.9</v>
      </c>
      <c r="AA28" s="60">
        <f t="shared" si="7"/>
        <v>0</v>
      </c>
      <c r="AB28" s="60">
        <f t="shared" si="29"/>
        <v>31</v>
      </c>
      <c r="AC28" s="60">
        <f t="shared" si="8"/>
        <v>0</v>
      </c>
      <c r="AD28" s="60">
        <f>ROUND(AC28*AB28*Input!$C$3/365,0)</f>
        <v>0</v>
      </c>
      <c r="AE28" s="61">
        <f>IF($A28&lt;=Input!$C$6,0,IF('180M'!AA28&lt;'180M'!AC28,'180M'!AA28-AD28,'180M'!AC28))</f>
        <v>0</v>
      </c>
      <c r="AF28" s="61">
        <f t="shared" si="9"/>
        <v>0</v>
      </c>
      <c r="AG28" s="60">
        <f t="shared" si="10"/>
        <v>0</v>
      </c>
      <c r="AH28" s="193"/>
      <c r="AI28" s="169">
        <v>24</v>
      </c>
      <c r="AJ28" s="1">
        <f t="shared" si="30"/>
        <v>46249</v>
      </c>
      <c r="AK28" s="60">
        <f>IF($X28&lt;Input!$H$73,IF($X28&lt;Input!$G$73,IF($X28&lt;Input!$F$73,IF($X28&lt;Input!$E$73,IF($X28&lt;Input!$D$73,Input!$C$79,Input!$D$79),Input!$E$79),Input!$F$79),Input!$G$79),Input!$H$79)</f>
        <v>0</v>
      </c>
      <c r="AL28" s="190">
        <f>IF($A28&lt;Input!$H$80,IF($A28&lt;Input!$G$80,IF($A28&lt;Input!$F$80,IF($A28&lt;Input!$E$80,IF($A28&lt;Input!$D$80,Input!$C$81,Input!$D$81),Input!$E$81),Input!$F$81),Input!$G$81),Input!$H$81)</f>
        <v>0.9</v>
      </c>
      <c r="AM28" s="60">
        <f t="shared" si="31"/>
        <v>0</v>
      </c>
      <c r="AN28" s="60">
        <f t="shared" si="32"/>
        <v>31</v>
      </c>
      <c r="AO28" s="60">
        <f t="shared" si="33"/>
        <v>0</v>
      </c>
      <c r="AP28" s="60">
        <f>ROUND(AO28*AN28*Input!$C$3/365,0)</f>
        <v>0</v>
      </c>
      <c r="AQ28" s="61">
        <f>IF($A28&lt;=Input!$C$6,0,IF('180M'!AM28&lt;'180M'!AO28,'180M'!AM28-AP28,'180M'!AO28))</f>
        <v>0</v>
      </c>
      <c r="AR28" s="61">
        <f t="shared" si="34"/>
        <v>0</v>
      </c>
      <c r="AS28" s="60">
        <f t="shared" si="35"/>
        <v>0</v>
      </c>
      <c r="AT28" s="193"/>
      <c r="AU28" s="169">
        <v>24</v>
      </c>
      <c r="AV28" s="1">
        <f t="shared" si="36"/>
        <v>46249</v>
      </c>
      <c r="AW28" s="60">
        <f>IF($X28&lt;Input!$H$88,IF($X28&lt;Input!$G$88,IF($X28&lt;Input!$F$88,IF($X28&lt;Input!$E$88,IF($X28&lt;Input!$D$88,Input!$C$94,Input!$D$94),Input!$E$94),Input!$F$94),Input!$G$94),Input!$H$94)</f>
        <v>0</v>
      </c>
      <c r="AX28" s="190">
        <f>IF($A28&lt;Input!$H$95,IF($A28&lt;Input!$G$95,IF($A28&lt;Input!$F$95,IF($A28&lt;Input!$E$95,IF($A28&lt;Input!$D$95,Input!$C$96,Input!$D$96),Input!$E$96),Input!$F$96),Input!$G$96),Input!$H$96)</f>
        <v>0.9</v>
      </c>
      <c r="AY28" s="60">
        <f t="shared" si="37"/>
        <v>0</v>
      </c>
      <c r="AZ28" s="60">
        <f t="shared" si="38"/>
        <v>31</v>
      </c>
      <c r="BA28" s="60">
        <f t="shared" si="39"/>
        <v>0</v>
      </c>
      <c r="BB28" s="60">
        <f>ROUND(BA28*AZ28*Input!$C$3/365,0)</f>
        <v>0</v>
      </c>
      <c r="BC28" s="61">
        <f>IF($A28&lt;=Input!$C$6,0,IF('180M'!AY28&lt;'180M'!BA28,'180M'!AY28-BB28,'180M'!BA28))</f>
        <v>0</v>
      </c>
      <c r="BD28" s="61">
        <f t="shared" si="40"/>
        <v>0</v>
      </c>
      <c r="BE28" s="60">
        <f t="shared" si="41"/>
        <v>0</v>
      </c>
      <c r="BF28" s="193"/>
      <c r="BG28" s="169">
        <v>24</v>
      </c>
      <c r="BH28" s="1">
        <f t="shared" si="42"/>
        <v>46249</v>
      </c>
      <c r="BI28" s="60">
        <f>IF($X28&lt;Input!$H$103,IF($X28&lt;Input!$G$103,IF($X28&lt;Input!$F$103,IF($X28&lt;Input!$E$103,IF($X28&lt;Input!$D$103,Input!$C$109,Input!$D$109),Input!$E$109),Input!$F$109),Input!$G$109),Input!$H$109)</f>
        <v>0</v>
      </c>
      <c r="BJ28" s="190">
        <f>IF($A28&lt;Input!$H$110,IF($A28&lt;Input!$G$110,IF($A28&lt;Input!$F$110,IF($A28&lt;Input!$E$110,IF($A28&lt;Input!$D$110,Input!$C$111,Input!$D$111),Input!$E$111),Input!$F$111),Input!$G$111),Input!$H$111)</f>
        <v>0.9</v>
      </c>
      <c r="BK28" s="60">
        <f t="shared" si="19"/>
        <v>0</v>
      </c>
      <c r="BL28" s="60">
        <f t="shared" si="43"/>
        <v>31</v>
      </c>
      <c r="BM28" s="60">
        <f t="shared" si="20"/>
        <v>0</v>
      </c>
      <c r="BN28" s="60">
        <f>ROUND(BM28*BL28*Input!$C$3/365,0)</f>
        <v>0</v>
      </c>
      <c r="BO28" s="61">
        <f>IF($A28&lt;=Input!$C$6,0,IF('180M'!BK28&lt;'180M'!BM28,'180M'!BK28-BN28,'180M'!BM28))</f>
        <v>0</v>
      </c>
      <c r="BP28" s="61">
        <f t="shared" si="21"/>
        <v>0</v>
      </c>
      <c r="BQ28" s="60">
        <f t="shared" si="22"/>
        <v>0</v>
      </c>
      <c r="BR28" s="198"/>
    </row>
    <row r="29" spans="1:70" x14ac:dyDescent="0.25">
      <c r="A29" s="169">
        <v>25</v>
      </c>
      <c r="B29" s="1">
        <f t="shared" si="23"/>
        <v>46280</v>
      </c>
      <c r="C29" s="60">
        <f t="shared" si="1"/>
        <v>16470000</v>
      </c>
      <c r="D29" s="60">
        <f t="shared" si="2"/>
        <v>14823000</v>
      </c>
      <c r="E29" s="60">
        <f t="shared" si="24"/>
        <v>31</v>
      </c>
      <c r="F29" s="60">
        <f t="shared" si="25"/>
        <v>1395120391.4979434</v>
      </c>
      <c r="G29" s="60">
        <f>ROUND(F29*E29*Input!$C$3/365,0)</f>
        <v>17773452</v>
      </c>
      <c r="H29" s="60">
        <f>IF($A29&lt;=Input!$C$6,0,IF('180M'!D29&lt;'180M'!F29,'180M'!D29-G29,'180M'!F29))</f>
        <v>-2950452</v>
      </c>
      <c r="I29" s="60">
        <f t="shared" si="26"/>
        <v>14823000</v>
      </c>
      <c r="J29" s="60">
        <f t="shared" si="27"/>
        <v>1398070843.4979434</v>
      </c>
      <c r="K29" s="203">
        <f>J29/Input!$K$5</f>
        <v>4.6602361449931449</v>
      </c>
      <c r="L29" s="232"/>
      <c r="M29" s="60">
        <f>IF($B29&lt;Input!$H$43,IF($B29&lt;Input!$G$43,IF($B29&lt;Input!$F$43,IF($B29&lt;Input!$E$43,IF($B29&lt;Input!$D$43,Input!$C$49,Input!$D$49),Input!$E$49),Input!$F$49),Input!$G$49),Input!$H$49)</f>
        <v>16470000</v>
      </c>
      <c r="N29" s="190">
        <f>IF($A29&lt;Input!$H$50,IF($A29&lt;Input!$G$50,IF($A29&lt;Input!$F$50,IF($A29&lt;Input!$E$50,IF($A29&lt;Input!$D$50,Input!$C$51,Input!$D$51),Input!$E$51),Input!$F$51),Input!$G$51),Input!$H$51)</f>
        <v>0.9</v>
      </c>
      <c r="O29" s="60">
        <f t="shared" si="0"/>
        <v>14823000</v>
      </c>
      <c r="P29" s="60">
        <f t="shared" si="3"/>
        <v>31</v>
      </c>
      <c r="Q29" s="60">
        <f t="shared" si="4"/>
        <v>1395120391.4979434</v>
      </c>
      <c r="R29" s="60">
        <f>ROUND(Q29*$P29*Input!$C$3/365,0)</f>
        <v>17773452</v>
      </c>
      <c r="S29" s="60">
        <f>IF(A29&lt;=Input!$C$6,0,IF('180M'!O29&lt;'180M'!Q29,'180M'!O29-R29,'180M'!Q29))</f>
        <v>-2950452</v>
      </c>
      <c r="T29" s="60">
        <f t="shared" si="5"/>
        <v>14823000</v>
      </c>
      <c r="U29" s="60">
        <f t="shared" si="6"/>
        <v>1398070843.4979434</v>
      </c>
      <c r="V29" s="193"/>
      <c r="W29" s="169">
        <v>25</v>
      </c>
      <c r="X29" s="1">
        <f t="shared" si="28"/>
        <v>46280</v>
      </c>
      <c r="Y29" s="60">
        <f>IF($X29&lt;Input!$H$58,IF($X29&lt;Input!$G$58,IF($X29&lt;Input!$F$58,IF($X29&lt;Input!$E$58,IF($X29&lt;Input!$D$58,Input!$C$64,Input!$D$64),Input!$E$64),Input!$F$64),Input!$G$64),Input!$H$64)</f>
        <v>0</v>
      </c>
      <c r="Z29" s="190">
        <f>IF($A29&lt;Input!$H$65,IF($A29&lt;Input!$G$65,IF($A29&lt;Input!$F$65,IF($A29&lt;Input!$E$65,IF($A29&lt;Input!$D$65,Input!$C$66,Input!$D$66),Input!$E$66),Input!$F$66),Input!$G$66),Input!$H$66)</f>
        <v>0.9</v>
      </c>
      <c r="AA29" s="60">
        <f t="shared" si="7"/>
        <v>0</v>
      </c>
      <c r="AB29" s="60">
        <f t="shared" si="29"/>
        <v>31</v>
      </c>
      <c r="AC29" s="60">
        <f t="shared" si="8"/>
        <v>0</v>
      </c>
      <c r="AD29" s="60">
        <f>ROUND(AC29*AB29*Input!$C$3/365,0)</f>
        <v>0</v>
      </c>
      <c r="AE29" s="61">
        <f>IF($A29&lt;=Input!$C$6,0,IF('180M'!AA29&lt;'180M'!AC29,'180M'!AA29-AD29,'180M'!AC29))</f>
        <v>0</v>
      </c>
      <c r="AF29" s="61">
        <f t="shared" si="9"/>
        <v>0</v>
      </c>
      <c r="AG29" s="60">
        <f t="shared" si="10"/>
        <v>0</v>
      </c>
      <c r="AH29" s="193"/>
      <c r="AI29" s="169">
        <v>25</v>
      </c>
      <c r="AJ29" s="1">
        <f t="shared" si="30"/>
        <v>46280</v>
      </c>
      <c r="AK29" s="60">
        <f>IF($X29&lt;Input!$H$73,IF($X29&lt;Input!$G$73,IF($X29&lt;Input!$F$73,IF($X29&lt;Input!$E$73,IF($X29&lt;Input!$D$73,Input!$C$79,Input!$D$79),Input!$E$79),Input!$F$79),Input!$G$79),Input!$H$79)</f>
        <v>0</v>
      </c>
      <c r="AL29" s="190">
        <f>IF($A29&lt;Input!$H$80,IF($A29&lt;Input!$G$80,IF($A29&lt;Input!$F$80,IF($A29&lt;Input!$E$80,IF($A29&lt;Input!$D$80,Input!$C$81,Input!$D$81),Input!$E$81),Input!$F$81),Input!$G$81),Input!$H$81)</f>
        <v>0.9</v>
      </c>
      <c r="AM29" s="60">
        <f t="shared" si="31"/>
        <v>0</v>
      </c>
      <c r="AN29" s="60">
        <f t="shared" si="32"/>
        <v>31</v>
      </c>
      <c r="AO29" s="60">
        <f t="shared" si="33"/>
        <v>0</v>
      </c>
      <c r="AP29" s="60">
        <f>ROUND(AO29*AN29*Input!$C$3/365,0)</f>
        <v>0</v>
      </c>
      <c r="AQ29" s="61">
        <f>IF($A29&lt;=Input!$C$6,0,IF('180M'!AM29&lt;'180M'!AO29,'180M'!AM29-AP29,'180M'!AO29))</f>
        <v>0</v>
      </c>
      <c r="AR29" s="61">
        <f t="shared" si="34"/>
        <v>0</v>
      </c>
      <c r="AS29" s="60">
        <f t="shared" si="35"/>
        <v>0</v>
      </c>
      <c r="AT29" s="193"/>
      <c r="AU29" s="169">
        <v>25</v>
      </c>
      <c r="AV29" s="1">
        <f t="shared" si="36"/>
        <v>46280</v>
      </c>
      <c r="AW29" s="60">
        <f>IF($X29&lt;Input!$H$88,IF($X29&lt;Input!$G$88,IF($X29&lt;Input!$F$88,IF($X29&lt;Input!$E$88,IF($X29&lt;Input!$D$88,Input!$C$94,Input!$D$94),Input!$E$94),Input!$F$94),Input!$G$94),Input!$H$94)</f>
        <v>0</v>
      </c>
      <c r="AX29" s="190">
        <f>IF($A29&lt;Input!$H$95,IF($A29&lt;Input!$G$95,IF($A29&lt;Input!$F$95,IF($A29&lt;Input!$E$95,IF($A29&lt;Input!$D$95,Input!$C$96,Input!$D$96),Input!$E$96),Input!$F$96),Input!$G$96),Input!$H$96)</f>
        <v>0.9</v>
      </c>
      <c r="AY29" s="60">
        <f t="shared" si="37"/>
        <v>0</v>
      </c>
      <c r="AZ29" s="60">
        <f t="shared" si="38"/>
        <v>31</v>
      </c>
      <c r="BA29" s="60">
        <f t="shared" si="39"/>
        <v>0</v>
      </c>
      <c r="BB29" s="60">
        <f>ROUND(BA29*AZ29*Input!$C$3/365,0)</f>
        <v>0</v>
      </c>
      <c r="BC29" s="61">
        <f>IF($A29&lt;=Input!$C$6,0,IF('180M'!AY29&lt;'180M'!BA29,'180M'!AY29-BB29,'180M'!BA29))</f>
        <v>0</v>
      </c>
      <c r="BD29" s="61">
        <f t="shared" si="40"/>
        <v>0</v>
      </c>
      <c r="BE29" s="60">
        <f t="shared" si="41"/>
        <v>0</v>
      </c>
      <c r="BF29" s="193"/>
      <c r="BG29" s="169">
        <v>25</v>
      </c>
      <c r="BH29" s="1">
        <f t="shared" si="42"/>
        <v>46280</v>
      </c>
      <c r="BI29" s="60">
        <f>IF($X29&lt;Input!$H$103,IF($X29&lt;Input!$G$103,IF($X29&lt;Input!$F$103,IF($X29&lt;Input!$E$103,IF($X29&lt;Input!$D$103,Input!$C$109,Input!$D$109),Input!$E$109),Input!$F$109),Input!$G$109),Input!$H$109)</f>
        <v>0</v>
      </c>
      <c r="BJ29" s="190">
        <f>IF($A29&lt;Input!$H$110,IF($A29&lt;Input!$G$110,IF($A29&lt;Input!$F$110,IF($A29&lt;Input!$E$110,IF($A29&lt;Input!$D$110,Input!$C$111,Input!$D$111),Input!$E$111),Input!$F$111),Input!$G$111),Input!$H$111)</f>
        <v>0.9</v>
      </c>
      <c r="BK29" s="60">
        <f t="shared" si="19"/>
        <v>0</v>
      </c>
      <c r="BL29" s="60">
        <f t="shared" si="43"/>
        <v>31</v>
      </c>
      <c r="BM29" s="60">
        <f t="shared" si="20"/>
        <v>0</v>
      </c>
      <c r="BN29" s="60">
        <f>ROUND(BM29*BL29*Input!$C$3/365,0)</f>
        <v>0</v>
      </c>
      <c r="BO29" s="61">
        <f>IF($A29&lt;=Input!$C$6,0,IF('180M'!BK29&lt;'180M'!BM29,'180M'!BK29-BN29,'180M'!BM29))</f>
        <v>0</v>
      </c>
      <c r="BP29" s="61">
        <f t="shared" si="21"/>
        <v>0</v>
      </c>
      <c r="BQ29" s="60">
        <f t="shared" si="22"/>
        <v>0</v>
      </c>
      <c r="BR29" s="198"/>
    </row>
    <row r="30" spans="1:70" x14ac:dyDescent="0.25">
      <c r="A30" s="169">
        <v>26</v>
      </c>
      <c r="B30" s="1">
        <f t="shared" si="23"/>
        <v>46310</v>
      </c>
      <c r="C30" s="60">
        <f t="shared" si="1"/>
        <v>16470000</v>
      </c>
      <c r="D30" s="60">
        <f t="shared" si="2"/>
        <v>14823000</v>
      </c>
      <c r="E30" s="60">
        <f t="shared" si="24"/>
        <v>30</v>
      </c>
      <c r="F30" s="60">
        <f t="shared" si="25"/>
        <v>1398070843.4979434</v>
      </c>
      <c r="G30" s="60">
        <f>ROUND(F30*E30*Input!$C$3/365,0)</f>
        <v>17236490</v>
      </c>
      <c r="H30" s="60">
        <f>IF($A30&lt;=Input!$C$6,0,IF('180M'!D30&lt;'180M'!F30,'180M'!D30-G30,'180M'!F30))</f>
        <v>-2413490</v>
      </c>
      <c r="I30" s="60">
        <f t="shared" si="26"/>
        <v>14823000</v>
      </c>
      <c r="J30" s="60">
        <f t="shared" si="27"/>
        <v>1400484333.4979434</v>
      </c>
      <c r="K30" s="203">
        <f>J30/Input!$K$5</f>
        <v>4.6682811116598115</v>
      </c>
      <c r="L30" s="232"/>
      <c r="M30" s="60">
        <f>IF($B30&lt;Input!$H$43,IF($B30&lt;Input!$G$43,IF($B30&lt;Input!$F$43,IF($B30&lt;Input!$E$43,IF($B30&lt;Input!$D$43,Input!$C$49,Input!$D$49),Input!$E$49),Input!$F$49),Input!$G$49),Input!$H$49)</f>
        <v>16470000</v>
      </c>
      <c r="N30" s="190">
        <f>IF($A30&lt;Input!$H$50,IF($A30&lt;Input!$G$50,IF($A30&lt;Input!$F$50,IF($A30&lt;Input!$E$50,IF($A30&lt;Input!$D$50,Input!$C$51,Input!$D$51),Input!$E$51),Input!$F$51),Input!$G$51),Input!$H$51)</f>
        <v>0.9</v>
      </c>
      <c r="O30" s="60">
        <f t="shared" si="0"/>
        <v>14823000</v>
      </c>
      <c r="P30" s="60">
        <f t="shared" si="3"/>
        <v>30</v>
      </c>
      <c r="Q30" s="60">
        <f t="shared" si="4"/>
        <v>1398070843.4979434</v>
      </c>
      <c r="R30" s="60">
        <f>ROUND(Q30*$P30*Input!$C$3/365,0)</f>
        <v>17236490</v>
      </c>
      <c r="S30" s="60">
        <f>IF(A30&lt;=Input!$C$6,0,IF('180M'!O30&lt;'180M'!Q30,'180M'!O30-R30,'180M'!Q30))</f>
        <v>-2413490</v>
      </c>
      <c r="T30" s="60">
        <f t="shared" si="5"/>
        <v>14823000</v>
      </c>
      <c r="U30" s="60">
        <f t="shared" si="6"/>
        <v>1400484333.4979434</v>
      </c>
      <c r="V30" s="193"/>
      <c r="W30" s="169">
        <v>26</v>
      </c>
      <c r="X30" s="1">
        <f t="shared" si="28"/>
        <v>46310</v>
      </c>
      <c r="Y30" s="60">
        <f>IF($X30&lt;Input!$H$58,IF($X30&lt;Input!$G$58,IF($X30&lt;Input!$F$58,IF($X30&lt;Input!$E$58,IF($X30&lt;Input!$D$58,Input!$C$64,Input!$D$64),Input!$E$64),Input!$F$64),Input!$G$64),Input!$H$64)</f>
        <v>0</v>
      </c>
      <c r="Z30" s="190">
        <f>IF($A30&lt;Input!$H$65,IF($A30&lt;Input!$G$65,IF($A30&lt;Input!$F$65,IF($A30&lt;Input!$E$65,IF($A30&lt;Input!$D$65,Input!$C$66,Input!$D$66),Input!$E$66),Input!$F$66),Input!$G$66),Input!$H$66)</f>
        <v>0.9</v>
      </c>
      <c r="AA30" s="60">
        <f t="shared" si="7"/>
        <v>0</v>
      </c>
      <c r="AB30" s="60">
        <f t="shared" si="29"/>
        <v>30</v>
      </c>
      <c r="AC30" s="60">
        <f t="shared" si="8"/>
        <v>0</v>
      </c>
      <c r="AD30" s="60">
        <f>ROUND(AC30*AB30*Input!$C$3/365,0)</f>
        <v>0</v>
      </c>
      <c r="AE30" s="61">
        <f>IF($A30&lt;=Input!$C$6,0,IF('180M'!AA30&lt;'180M'!AC30,'180M'!AA30-AD30,'180M'!AC30))</f>
        <v>0</v>
      </c>
      <c r="AF30" s="61">
        <f t="shared" si="9"/>
        <v>0</v>
      </c>
      <c r="AG30" s="60">
        <f t="shared" si="10"/>
        <v>0</v>
      </c>
      <c r="AH30" s="193"/>
      <c r="AI30" s="169">
        <v>26</v>
      </c>
      <c r="AJ30" s="1">
        <f t="shared" si="30"/>
        <v>46310</v>
      </c>
      <c r="AK30" s="60">
        <f>IF($X30&lt;Input!$H$73,IF($X30&lt;Input!$G$73,IF($X30&lt;Input!$F$73,IF($X30&lt;Input!$E$73,IF($X30&lt;Input!$D$73,Input!$C$79,Input!$D$79),Input!$E$79),Input!$F$79),Input!$G$79),Input!$H$79)</f>
        <v>0</v>
      </c>
      <c r="AL30" s="190">
        <f>IF($A30&lt;Input!$H$80,IF($A30&lt;Input!$G$80,IF($A30&lt;Input!$F$80,IF($A30&lt;Input!$E$80,IF($A30&lt;Input!$D$80,Input!$C$81,Input!$D$81),Input!$E$81),Input!$F$81),Input!$G$81),Input!$H$81)</f>
        <v>0.9</v>
      </c>
      <c r="AM30" s="60">
        <f t="shared" si="31"/>
        <v>0</v>
      </c>
      <c r="AN30" s="60">
        <f t="shared" si="32"/>
        <v>30</v>
      </c>
      <c r="AO30" s="60">
        <f t="shared" si="33"/>
        <v>0</v>
      </c>
      <c r="AP30" s="60">
        <f>ROUND(AO30*AN30*Input!$C$3/365,0)</f>
        <v>0</v>
      </c>
      <c r="AQ30" s="61">
        <f>IF($A30&lt;=Input!$C$6,0,IF('180M'!AM30&lt;'180M'!AO30,'180M'!AM30-AP30,'180M'!AO30))</f>
        <v>0</v>
      </c>
      <c r="AR30" s="61">
        <f t="shared" si="34"/>
        <v>0</v>
      </c>
      <c r="AS30" s="60">
        <f t="shared" si="35"/>
        <v>0</v>
      </c>
      <c r="AT30" s="193"/>
      <c r="AU30" s="169">
        <v>26</v>
      </c>
      <c r="AV30" s="1">
        <f t="shared" si="36"/>
        <v>46310</v>
      </c>
      <c r="AW30" s="60">
        <f>IF($X30&lt;Input!$H$88,IF($X30&lt;Input!$G$88,IF($X30&lt;Input!$F$88,IF($X30&lt;Input!$E$88,IF($X30&lt;Input!$D$88,Input!$C$94,Input!$D$94),Input!$E$94),Input!$F$94),Input!$G$94),Input!$H$94)</f>
        <v>0</v>
      </c>
      <c r="AX30" s="190">
        <f>IF($A30&lt;Input!$H$95,IF($A30&lt;Input!$G$95,IF($A30&lt;Input!$F$95,IF($A30&lt;Input!$E$95,IF($A30&lt;Input!$D$95,Input!$C$96,Input!$D$96),Input!$E$96),Input!$F$96),Input!$G$96),Input!$H$96)</f>
        <v>0.9</v>
      </c>
      <c r="AY30" s="60">
        <f t="shared" si="37"/>
        <v>0</v>
      </c>
      <c r="AZ30" s="60">
        <f t="shared" si="38"/>
        <v>30</v>
      </c>
      <c r="BA30" s="60">
        <f t="shared" si="39"/>
        <v>0</v>
      </c>
      <c r="BB30" s="60">
        <f>ROUND(BA30*AZ30*Input!$C$3/365,0)</f>
        <v>0</v>
      </c>
      <c r="BC30" s="61">
        <f>IF($A30&lt;=Input!$C$6,0,IF('180M'!AY30&lt;'180M'!BA30,'180M'!AY30-BB30,'180M'!BA30))</f>
        <v>0</v>
      </c>
      <c r="BD30" s="61">
        <f t="shared" si="40"/>
        <v>0</v>
      </c>
      <c r="BE30" s="60">
        <f t="shared" si="41"/>
        <v>0</v>
      </c>
      <c r="BF30" s="193"/>
      <c r="BG30" s="169">
        <v>26</v>
      </c>
      <c r="BH30" s="1">
        <f t="shared" si="42"/>
        <v>46310</v>
      </c>
      <c r="BI30" s="60">
        <f>IF($X30&lt;Input!$H$103,IF($X30&lt;Input!$G$103,IF($X30&lt;Input!$F$103,IF($X30&lt;Input!$E$103,IF($X30&lt;Input!$D$103,Input!$C$109,Input!$D$109),Input!$E$109),Input!$F$109),Input!$G$109),Input!$H$109)</f>
        <v>0</v>
      </c>
      <c r="BJ30" s="190">
        <f>IF($A30&lt;Input!$H$110,IF($A30&lt;Input!$G$110,IF($A30&lt;Input!$F$110,IF($A30&lt;Input!$E$110,IF($A30&lt;Input!$D$110,Input!$C$111,Input!$D$111),Input!$E$111),Input!$F$111),Input!$G$111),Input!$H$111)</f>
        <v>0.9</v>
      </c>
      <c r="BK30" s="60">
        <f t="shared" si="19"/>
        <v>0</v>
      </c>
      <c r="BL30" s="60">
        <f t="shared" si="43"/>
        <v>30</v>
      </c>
      <c r="BM30" s="60">
        <f t="shared" si="20"/>
        <v>0</v>
      </c>
      <c r="BN30" s="60">
        <f>ROUND(BM30*BL30*Input!$C$3/365,0)</f>
        <v>0</v>
      </c>
      <c r="BO30" s="61">
        <f>IF($A30&lt;=Input!$C$6,0,IF('180M'!BK30&lt;'180M'!BM30,'180M'!BK30-BN30,'180M'!BM30))</f>
        <v>0</v>
      </c>
      <c r="BP30" s="61">
        <f t="shared" si="21"/>
        <v>0</v>
      </c>
      <c r="BQ30" s="60">
        <f t="shared" si="22"/>
        <v>0</v>
      </c>
      <c r="BR30" s="198"/>
    </row>
    <row r="31" spans="1:70" x14ac:dyDescent="0.25">
      <c r="A31" s="169">
        <v>27</v>
      </c>
      <c r="B31" s="1">
        <f t="shared" si="23"/>
        <v>46341</v>
      </c>
      <c r="C31" s="60">
        <f t="shared" si="1"/>
        <v>16470000</v>
      </c>
      <c r="D31" s="60">
        <f t="shared" si="2"/>
        <v>14823000</v>
      </c>
      <c r="E31" s="60">
        <f t="shared" si="24"/>
        <v>31</v>
      </c>
      <c r="F31" s="60">
        <f t="shared" si="25"/>
        <v>1400484333.4979434</v>
      </c>
      <c r="G31" s="60">
        <f>ROUND(F31*E31*Input!$C$3/365,0)</f>
        <v>17841787</v>
      </c>
      <c r="H31" s="60">
        <f>IF($A31&lt;=Input!$C$6,0,IF('180M'!D31&lt;'180M'!F31,'180M'!D31-G31,'180M'!F31))</f>
        <v>-3018787</v>
      </c>
      <c r="I31" s="60">
        <f t="shared" si="26"/>
        <v>14823000</v>
      </c>
      <c r="J31" s="60">
        <f t="shared" si="27"/>
        <v>1403503120.4979434</v>
      </c>
      <c r="K31" s="203">
        <f>J31/Input!$K$5</f>
        <v>4.6783437349931445</v>
      </c>
      <c r="L31" s="232"/>
      <c r="M31" s="60">
        <f>IF($B31&lt;Input!$H$43,IF($B31&lt;Input!$G$43,IF($B31&lt;Input!$F$43,IF($B31&lt;Input!$E$43,IF($B31&lt;Input!$D$43,Input!$C$49,Input!$D$49),Input!$E$49),Input!$F$49),Input!$G$49),Input!$H$49)</f>
        <v>16470000</v>
      </c>
      <c r="N31" s="190">
        <f>IF($A31&lt;Input!$H$50,IF($A31&lt;Input!$G$50,IF($A31&lt;Input!$F$50,IF($A31&lt;Input!$E$50,IF($A31&lt;Input!$D$50,Input!$C$51,Input!$D$51),Input!$E$51),Input!$F$51),Input!$G$51),Input!$H$51)</f>
        <v>0.9</v>
      </c>
      <c r="O31" s="60">
        <f t="shared" si="0"/>
        <v>14823000</v>
      </c>
      <c r="P31" s="60">
        <f t="shared" si="3"/>
        <v>31</v>
      </c>
      <c r="Q31" s="60">
        <f t="shared" si="4"/>
        <v>1400484333.4979434</v>
      </c>
      <c r="R31" s="60">
        <f>ROUND(Q31*$P31*Input!$C$3/365,0)</f>
        <v>17841787</v>
      </c>
      <c r="S31" s="60">
        <f>IF(A31&lt;=Input!$C$6,0,IF('180M'!O31&lt;'180M'!Q31,'180M'!O31-R31,'180M'!Q31))</f>
        <v>-3018787</v>
      </c>
      <c r="T31" s="60">
        <f t="shared" si="5"/>
        <v>14823000</v>
      </c>
      <c r="U31" s="60">
        <f t="shared" si="6"/>
        <v>1403503120.4979434</v>
      </c>
      <c r="V31" s="193"/>
      <c r="W31" s="169">
        <v>27</v>
      </c>
      <c r="X31" s="1">
        <f t="shared" si="28"/>
        <v>46341</v>
      </c>
      <c r="Y31" s="60">
        <f>IF($X31&lt;Input!$H$58,IF($X31&lt;Input!$G$58,IF($X31&lt;Input!$F$58,IF($X31&lt;Input!$E$58,IF($X31&lt;Input!$D$58,Input!$C$64,Input!$D$64),Input!$E$64),Input!$F$64),Input!$G$64),Input!$H$64)</f>
        <v>0</v>
      </c>
      <c r="Z31" s="190">
        <f>IF($A31&lt;Input!$H$65,IF($A31&lt;Input!$G$65,IF($A31&lt;Input!$F$65,IF($A31&lt;Input!$E$65,IF($A31&lt;Input!$D$65,Input!$C$66,Input!$D$66),Input!$E$66),Input!$F$66),Input!$G$66),Input!$H$66)</f>
        <v>0.9</v>
      </c>
      <c r="AA31" s="60">
        <f t="shared" si="7"/>
        <v>0</v>
      </c>
      <c r="AB31" s="60">
        <f t="shared" si="29"/>
        <v>31</v>
      </c>
      <c r="AC31" s="60">
        <f t="shared" si="8"/>
        <v>0</v>
      </c>
      <c r="AD31" s="60">
        <f>ROUND(AC31*AB31*Input!$C$3/365,0)</f>
        <v>0</v>
      </c>
      <c r="AE31" s="61">
        <f>IF($A31&lt;=Input!$C$6,0,IF('180M'!AA31&lt;'180M'!AC31,'180M'!AA31-AD31,'180M'!AC31))</f>
        <v>0</v>
      </c>
      <c r="AF31" s="61">
        <f t="shared" si="9"/>
        <v>0</v>
      </c>
      <c r="AG31" s="60">
        <f t="shared" si="10"/>
        <v>0</v>
      </c>
      <c r="AH31" s="193"/>
      <c r="AI31" s="169">
        <v>27</v>
      </c>
      <c r="AJ31" s="1">
        <f t="shared" si="30"/>
        <v>46341</v>
      </c>
      <c r="AK31" s="60">
        <f>IF($X31&lt;Input!$H$73,IF($X31&lt;Input!$G$73,IF($X31&lt;Input!$F$73,IF($X31&lt;Input!$E$73,IF($X31&lt;Input!$D$73,Input!$C$79,Input!$D$79),Input!$E$79),Input!$F$79),Input!$G$79),Input!$H$79)</f>
        <v>0</v>
      </c>
      <c r="AL31" s="190">
        <f>IF($A31&lt;Input!$H$80,IF($A31&lt;Input!$G$80,IF($A31&lt;Input!$F$80,IF($A31&lt;Input!$E$80,IF($A31&lt;Input!$D$80,Input!$C$81,Input!$D$81),Input!$E$81),Input!$F$81),Input!$G$81),Input!$H$81)</f>
        <v>0.9</v>
      </c>
      <c r="AM31" s="60">
        <f t="shared" si="31"/>
        <v>0</v>
      </c>
      <c r="AN31" s="60">
        <f t="shared" si="32"/>
        <v>31</v>
      </c>
      <c r="AO31" s="60">
        <f t="shared" si="33"/>
        <v>0</v>
      </c>
      <c r="AP31" s="60">
        <f>ROUND(AO31*AN31*Input!$C$3/365,0)</f>
        <v>0</v>
      </c>
      <c r="AQ31" s="61">
        <f>IF($A31&lt;=Input!$C$6,0,IF('180M'!AM31&lt;'180M'!AO31,'180M'!AM31-AP31,'180M'!AO31))</f>
        <v>0</v>
      </c>
      <c r="AR31" s="61">
        <f t="shared" si="34"/>
        <v>0</v>
      </c>
      <c r="AS31" s="60">
        <f t="shared" si="35"/>
        <v>0</v>
      </c>
      <c r="AT31" s="193"/>
      <c r="AU31" s="169">
        <v>27</v>
      </c>
      <c r="AV31" s="1">
        <f t="shared" si="36"/>
        <v>46341</v>
      </c>
      <c r="AW31" s="60">
        <f>IF($X31&lt;Input!$H$88,IF($X31&lt;Input!$G$88,IF($X31&lt;Input!$F$88,IF($X31&lt;Input!$E$88,IF($X31&lt;Input!$D$88,Input!$C$94,Input!$D$94),Input!$E$94),Input!$F$94),Input!$G$94),Input!$H$94)</f>
        <v>0</v>
      </c>
      <c r="AX31" s="190">
        <f>IF($A31&lt;Input!$H$95,IF($A31&lt;Input!$G$95,IF($A31&lt;Input!$F$95,IF($A31&lt;Input!$E$95,IF($A31&lt;Input!$D$95,Input!$C$96,Input!$D$96),Input!$E$96),Input!$F$96),Input!$G$96),Input!$H$96)</f>
        <v>0.9</v>
      </c>
      <c r="AY31" s="60">
        <f t="shared" si="37"/>
        <v>0</v>
      </c>
      <c r="AZ31" s="60">
        <f t="shared" si="38"/>
        <v>31</v>
      </c>
      <c r="BA31" s="60">
        <f t="shared" si="39"/>
        <v>0</v>
      </c>
      <c r="BB31" s="60">
        <f>ROUND(BA31*AZ31*Input!$C$3/365,0)</f>
        <v>0</v>
      </c>
      <c r="BC31" s="61">
        <f>IF($A31&lt;=Input!$C$6,0,IF('180M'!AY31&lt;'180M'!BA31,'180M'!AY31-BB31,'180M'!BA31))</f>
        <v>0</v>
      </c>
      <c r="BD31" s="61">
        <f t="shared" si="40"/>
        <v>0</v>
      </c>
      <c r="BE31" s="60">
        <f t="shared" si="41"/>
        <v>0</v>
      </c>
      <c r="BF31" s="193"/>
      <c r="BG31" s="169">
        <v>27</v>
      </c>
      <c r="BH31" s="1">
        <f t="shared" si="42"/>
        <v>46341</v>
      </c>
      <c r="BI31" s="60">
        <f>IF($X31&lt;Input!$H$103,IF($X31&lt;Input!$G$103,IF($X31&lt;Input!$F$103,IF($X31&lt;Input!$E$103,IF($X31&lt;Input!$D$103,Input!$C$109,Input!$D$109),Input!$E$109),Input!$F$109),Input!$G$109),Input!$H$109)</f>
        <v>0</v>
      </c>
      <c r="BJ31" s="190">
        <f>IF($A31&lt;Input!$H$110,IF($A31&lt;Input!$G$110,IF($A31&lt;Input!$F$110,IF($A31&lt;Input!$E$110,IF($A31&lt;Input!$D$110,Input!$C$111,Input!$D$111),Input!$E$111),Input!$F$111),Input!$G$111),Input!$H$111)</f>
        <v>0.9</v>
      </c>
      <c r="BK31" s="60">
        <f t="shared" si="19"/>
        <v>0</v>
      </c>
      <c r="BL31" s="60">
        <f t="shared" si="43"/>
        <v>31</v>
      </c>
      <c r="BM31" s="60">
        <f t="shared" si="20"/>
        <v>0</v>
      </c>
      <c r="BN31" s="60">
        <f>ROUND(BM31*BL31*Input!$C$3/365,0)</f>
        <v>0</v>
      </c>
      <c r="BO31" s="61">
        <f>IF($A31&lt;=Input!$C$6,0,IF('180M'!BK31&lt;'180M'!BM31,'180M'!BK31-BN31,'180M'!BM31))</f>
        <v>0</v>
      </c>
      <c r="BP31" s="61">
        <f t="shared" si="21"/>
        <v>0</v>
      </c>
      <c r="BQ31" s="60">
        <f t="shared" si="22"/>
        <v>0</v>
      </c>
      <c r="BR31" s="198"/>
    </row>
    <row r="32" spans="1:70" x14ac:dyDescent="0.25">
      <c r="A32" s="169">
        <v>28</v>
      </c>
      <c r="B32" s="1">
        <f t="shared" si="23"/>
        <v>46371</v>
      </c>
      <c r="C32" s="60">
        <f t="shared" si="1"/>
        <v>16470000</v>
      </c>
      <c r="D32" s="60">
        <f t="shared" si="2"/>
        <v>14823000</v>
      </c>
      <c r="E32" s="60">
        <f t="shared" si="24"/>
        <v>30</v>
      </c>
      <c r="F32" s="60">
        <f t="shared" si="25"/>
        <v>1403503120.4979434</v>
      </c>
      <c r="G32" s="60">
        <f>ROUND(F32*E32*Input!$C$3/365,0)</f>
        <v>17303463</v>
      </c>
      <c r="H32" s="60">
        <f>IF($A32&lt;=Input!$C$6,0,IF('180M'!D32&lt;'180M'!F32,'180M'!D32-G32,'180M'!F32))</f>
        <v>-2480463</v>
      </c>
      <c r="I32" s="60">
        <f t="shared" si="26"/>
        <v>14823000</v>
      </c>
      <c r="J32" s="60">
        <f t="shared" si="27"/>
        <v>1405983583.4979434</v>
      </c>
      <c r="K32" s="203">
        <f>J32/Input!$K$5</f>
        <v>4.6866119449931443</v>
      </c>
      <c r="L32" s="232"/>
      <c r="M32" s="60">
        <f>IF($B32&lt;Input!$H$43,IF($B32&lt;Input!$G$43,IF($B32&lt;Input!$F$43,IF($B32&lt;Input!$E$43,IF($B32&lt;Input!$D$43,Input!$C$49,Input!$D$49),Input!$E$49),Input!$F$49),Input!$G$49),Input!$H$49)</f>
        <v>16470000</v>
      </c>
      <c r="N32" s="190">
        <f>IF($A32&lt;Input!$H$50,IF($A32&lt;Input!$G$50,IF($A32&lt;Input!$F$50,IF($A32&lt;Input!$E$50,IF($A32&lt;Input!$D$50,Input!$C$51,Input!$D$51),Input!$E$51),Input!$F$51),Input!$G$51),Input!$H$51)</f>
        <v>0.9</v>
      </c>
      <c r="O32" s="60">
        <f t="shared" si="0"/>
        <v>14823000</v>
      </c>
      <c r="P32" s="60">
        <f t="shared" si="3"/>
        <v>30</v>
      </c>
      <c r="Q32" s="60">
        <f t="shared" si="4"/>
        <v>1403503120.4979434</v>
      </c>
      <c r="R32" s="60">
        <f>ROUND(Q32*$P32*Input!$C$3/365,0)</f>
        <v>17303463</v>
      </c>
      <c r="S32" s="60">
        <f>IF(A32&lt;=Input!$C$6,0,IF('180M'!O32&lt;'180M'!Q32,'180M'!O32-R32,'180M'!Q32))</f>
        <v>-2480463</v>
      </c>
      <c r="T32" s="60">
        <f t="shared" si="5"/>
        <v>14823000</v>
      </c>
      <c r="U32" s="60">
        <f t="shared" si="6"/>
        <v>1405983583.4979434</v>
      </c>
      <c r="V32" s="193"/>
      <c r="W32" s="169">
        <v>28</v>
      </c>
      <c r="X32" s="1">
        <f t="shared" si="28"/>
        <v>46371</v>
      </c>
      <c r="Y32" s="60">
        <f>IF($X32&lt;Input!$H$58,IF($X32&lt;Input!$G$58,IF($X32&lt;Input!$F$58,IF($X32&lt;Input!$E$58,IF($X32&lt;Input!$D$58,Input!$C$64,Input!$D$64),Input!$E$64),Input!$F$64),Input!$G$64),Input!$H$64)</f>
        <v>0</v>
      </c>
      <c r="Z32" s="190">
        <f>IF($A32&lt;Input!$H$65,IF($A32&lt;Input!$G$65,IF($A32&lt;Input!$F$65,IF($A32&lt;Input!$E$65,IF($A32&lt;Input!$D$65,Input!$C$66,Input!$D$66),Input!$E$66),Input!$F$66),Input!$G$66),Input!$H$66)</f>
        <v>0.9</v>
      </c>
      <c r="AA32" s="60">
        <f t="shared" si="7"/>
        <v>0</v>
      </c>
      <c r="AB32" s="60">
        <f t="shared" si="29"/>
        <v>30</v>
      </c>
      <c r="AC32" s="60">
        <f t="shared" si="8"/>
        <v>0</v>
      </c>
      <c r="AD32" s="60">
        <f>ROUND(AC32*AB32*Input!$C$3/365,0)</f>
        <v>0</v>
      </c>
      <c r="AE32" s="61">
        <f>IF($A32&lt;=Input!$C$6,0,IF('180M'!AA32&lt;'180M'!AC32,'180M'!AA32-AD32,'180M'!AC32))</f>
        <v>0</v>
      </c>
      <c r="AF32" s="61">
        <f t="shared" si="9"/>
        <v>0</v>
      </c>
      <c r="AG32" s="60">
        <f t="shared" si="10"/>
        <v>0</v>
      </c>
      <c r="AH32" s="193"/>
      <c r="AI32" s="169">
        <v>28</v>
      </c>
      <c r="AJ32" s="1">
        <f t="shared" si="30"/>
        <v>46371</v>
      </c>
      <c r="AK32" s="60">
        <f>IF($X32&lt;Input!$H$73,IF($X32&lt;Input!$G$73,IF($X32&lt;Input!$F$73,IF($X32&lt;Input!$E$73,IF($X32&lt;Input!$D$73,Input!$C$79,Input!$D$79),Input!$E$79),Input!$F$79),Input!$G$79),Input!$H$79)</f>
        <v>0</v>
      </c>
      <c r="AL32" s="190">
        <f>IF($A32&lt;Input!$H$80,IF($A32&lt;Input!$G$80,IF($A32&lt;Input!$F$80,IF($A32&lt;Input!$E$80,IF($A32&lt;Input!$D$80,Input!$C$81,Input!$D$81),Input!$E$81),Input!$F$81),Input!$G$81),Input!$H$81)</f>
        <v>0.9</v>
      </c>
      <c r="AM32" s="60">
        <f t="shared" si="31"/>
        <v>0</v>
      </c>
      <c r="AN32" s="60">
        <f t="shared" si="32"/>
        <v>30</v>
      </c>
      <c r="AO32" s="60">
        <f t="shared" si="33"/>
        <v>0</v>
      </c>
      <c r="AP32" s="60">
        <f>ROUND(AO32*AN32*Input!$C$3/365,0)</f>
        <v>0</v>
      </c>
      <c r="AQ32" s="61">
        <f>IF($A32&lt;=Input!$C$6,0,IF('180M'!AM32&lt;'180M'!AO32,'180M'!AM32-AP32,'180M'!AO32))</f>
        <v>0</v>
      </c>
      <c r="AR32" s="61">
        <f t="shared" si="34"/>
        <v>0</v>
      </c>
      <c r="AS32" s="60">
        <f t="shared" si="35"/>
        <v>0</v>
      </c>
      <c r="AT32" s="193"/>
      <c r="AU32" s="169">
        <v>28</v>
      </c>
      <c r="AV32" s="1">
        <f t="shared" si="36"/>
        <v>46371</v>
      </c>
      <c r="AW32" s="60">
        <f>IF($X32&lt;Input!$H$88,IF($X32&lt;Input!$G$88,IF($X32&lt;Input!$F$88,IF($X32&lt;Input!$E$88,IF($X32&lt;Input!$D$88,Input!$C$94,Input!$D$94),Input!$E$94),Input!$F$94),Input!$G$94),Input!$H$94)</f>
        <v>0</v>
      </c>
      <c r="AX32" s="190">
        <f>IF($A32&lt;Input!$H$95,IF($A32&lt;Input!$G$95,IF($A32&lt;Input!$F$95,IF($A32&lt;Input!$E$95,IF($A32&lt;Input!$D$95,Input!$C$96,Input!$D$96),Input!$E$96),Input!$F$96),Input!$G$96),Input!$H$96)</f>
        <v>0.9</v>
      </c>
      <c r="AY32" s="60">
        <f t="shared" si="37"/>
        <v>0</v>
      </c>
      <c r="AZ32" s="60">
        <f t="shared" si="38"/>
        <v>30</v>
      </c>
      <c r="BA32" s="60">
        <f t="shared" si="39"/>
        <v>0</v>
      </c>
      <c r="BB32" s="60">
        <f>ROUND(BA32*AZ32*Input!$C$3/365,0)</f>
        <v>0</v>
      </c>
      <c r="BC32" s="61">
        <f>IF($A32&lt;=Input!$C$6,0,IF('180M'!AY32&lt;'180M'!BA32,'180M'!AY32-BB32,'180M'!BA32))</f>
        <v>0</v>
      </c>
      <c r="BD32" s="61">
        <f t="shared" si="40"/>
        <v>0</v>
      </c>
      <c r="BE32" s="60">
        <f t="shared" si="41"/>
        <v>0</v>
      </c>
      <c r="BF32" s="193"/>
      <c r="BG32" s="169">
        <v>28</v>
      </c>
      <c r="BH32" s="1">
        <f t="shared" si="42"/>
        <v>46371</v>
      </c>
      <c r="BI32" s="60">
        <f>IF($X32&lt;Input!$H$103,IF($X32&lt;Input!$G$103,IF($X32&lt;Input!$F$103,IF($X32&lt;Input!$E$103,IF($X32&lt;Input!$D$103,Input!$C$109,Input!$D$109),Input!$E$109),Input!$F$109),Input!$G$109),Input!$H$109)</f>
        <v>0</v>
      </c>
      <c r="BJ32" s="190">
        <f>IF($A32&lt;Input!$H$110,IF($A32&lt;Input!$G$110,IF($A32&lt;Input!$F$110,IF($A32&lt;Input!$E$110,IF($A32&lt;Input!$D$110,Input!$C$111,Input!$D$111),Input!$E$111),Input!$F$111),Input!$G$111),Input!$H$111)</f>
        <v>0.9</v>
      </c>
      <c r="BK32" s="60">
        <f t="shared" si="19"/>
        <v>0</v>
      </c>
      <c r="BL32" s="60">
        <f t="shared" si="43"/>
        <v>30</v>
      </c>
      <c r="BM32" s="60">
        <f t="shared" si="20"/>
        <v>0</v>
      </c>
      <c r="BN32" s="60">
        <f>ROUND(BM32*BL32*Input!$C$3/365,0)</f>
        <v>0</v>
      </c>
      <c r="BO32" s="61">
        <f>IF($A32&lt;=Input!$C$6,0,IF('180M'!BK32&lt;'180M'!BM32,'180M'!BK32-BN32,'180M'!BM32))</f>
        <v>0</v>
      </c>
      <c r="BP32" s="61">
        <f t="shared" si="21"/>
        <v>0</v>
      </c>
      <c r="BQ32" s="60">
        <f t="shared" si="22"/>
        <v>0</v>
      </c>
      <c r="BR32" s="198"/>
    </row>
    <row r="33" spans="1:70" x14ac:dyDescent="0.25">
      <c r="A33" s="169">
        <v>29</v>
      </c>
      <c r="B33" s="1">
        <f t="shared" si="23"/>
        <v>46402</v>
      </c>
      <c r="C33" s="60">
        <f t="shared" si="1"/>
        <v>16470000</v>
      </c>
      <c r="D33" s="60">
        <f t="shared" si="2"/>
        <v>14823000</v>
      </c>
      <c r="E33" s="60">
        <f t="shared" si="24"/>
        <v>31</v>
      </c>
      <c r="F33" s="60">
        <f t="shared" si="25"/>
        <v>1405983583.4979434</v>
      </c>
      <c r="G33" s="60">
        <f>ROUND(F33*E33*Input!$C$3/365,0)</f>
        <v>17911846</v>
      </c>
      <c r="H33" s="60">
        <f>IF($A33&lt;=Input!$C$6,0,IF('180M'!D33&lt;'180M'!F33,'180M'!D33-G33,'180M'!F33))</f>
        <v>-3088846</v>
      </c>
      <c r="I33" s="60">
        <f t="shared" si="26"/>
        <v>14823000</v>
      </c>
      <c r="J33" s="60">
        <f t="shared" si="27"/>
        <v>1409072429.4979434</v>
      </c>
      <c r="K33" s="203">
        <f>J33/Input!$K$5</f>
        <v>4.6969080983264782</v>
      </c>
      <c r="L33" s="232"/>
      <c r="M33" s="60">
        <f>IF($B33&lt;Input!$H$43,IF($B33&lt;Input!$G$43,IF($B33&lt;Input!$F$43,IF($B33&lt;Input!$E$43,IF($B33&lt;Input!$D$43,Input!$C$49,Input!$D$49),Input!$E$49),Input!$F$49),Input!$G$49),Input!$H$49)</f>
        <v>16470000</v>
      </c>
      <c r="N33" s="190">
        <f>IF($A33&lt;Input!$H$50,IF($A33&lt;Input!$G$50,IF($A33&lt;Input!$F$50,IF($A33&lt;Input!$E$50,IF($A33&lt;Input!$D$50,Input!$C$51,Input!$D$51),Input!$E$51),Input!$F$51),Input!$G$51),Input!$H$51)</f>
        <v>0.9</v>
      </c>
      <c r="O33" s="60">
        <f t="shared" si="0"/>
        <v>14823000</v>
      </c>
      <c r="P33" s="60">
        <f t="shared" si="3"/>
        <v>31</v>
      </c>
      <c r="Q33" s="60">
        <f t="shared" si="4"/>
        <v>1405983583.4979434</v>
      </c>
      <c r="R33" s="60">
        <f>ROUND(Q33*$P33*Input!$C$3/365,0)</f>
        <v>17911846</v>
      </c>
      <c r="S33" s="60">
        <f>IF(A33&lt;=Input!$C$6,0,IF('180M'!O33&lt;'180M'!Q33,'180M'!O33-R33,'180M'!Q33))</f>
        <v>-3088846</v>
      </c>
      <c r="T33" s="60">
        <f t="shared" si="5"/>
        <v>14823000</v>
      </c>
      <c r="U33" s="60">
        <f t="shared" si="6"/>
        <v>1409072429.4979434</v>
      </c>
      <c r="V33" s="193"/>
      <c r="W33" s="169">
        <v>29</v>
      </c>
      <c r="X33" s="1">
        <f t="shared" si="28"/>
        <v>46402</v>
      </c>
      <c r="Y33" s="60">
        <f>IF($X33&lt;Input!$H$58,IF($X33&lt;Input!$G$58,IF($X33&lt;Input!$F$58,IF($X33&lt;Input!$E$58,IF($X33&lt;Input!$D$58,Input!$C$64,Input!$D$64),Input!$E$64),Input!$F$64),Input!$G$64),Input!$H$64)</f>
        <v>0</v>
      </c>
      <c r="Z33" s="190">
        <f>IF($A33&lt;Input!$H$65,IF($A33&lt;Input!$G$65,IF($A33&lt;Input!$F$65,IF($A33&lt;Input!$E$65,IF($A33&lt;Input!$D$65,Input!$C$66,Input!$D$66),Input!$E$66),Input!$F$66),Input!$G$66),Input!$H$66)</f>
        <v>0.9</v>
      </c>
      <c r="AA33" s="60">
        <f t="shared" si="7"/>
        <v>0</v>
      </c>
      <c r="AB33" s="60">
        <f t="shared" si="29"/>
        <v>31</v>
      </c>
      <c r="AC33" s="60">
        <f t="shared" si="8"/>
        <v>0</v>
      </c>
      <c r="AD33" s="60">
        <f>ROUND(AC33*AB33*Input!$C$3/365,0)</f>
        <v>0</v>
      </c>
      <c r="AE33" s="61">
        <f>IF($A33&lt;=Input!$C$6,0,IF('180M'!AA33&lt;'180M'!AC33,'180M'!AA33-AD33,'180M'!AC33))</f>
        <v>0</v>
      </c>
      <c r="AF33" s="61">
        <f t="shared" si="9"/>
        <v>0</v>
      </c>
      <c r="AG33" s="60">
        <f t="shared" si="10"/>
        <v>0</v>
      </c>
      <c r="AH33" s="193"/>
      <c r="AI33" s="169">
        <v>29</v>
      </c>
      <c r="AJ33" s="1">
        <f t="shared" si="30"/>
        <v>46402</v>
      </c>
      <c r="AK33" s="60">
        <f>IF($X33&lt;Input!$H$73,IF($X33&lt;Input!$G$73,IF($X33&lt;Input!$F$73,IF($X33&lt;Input!$E$73,IF($X33&lt;Input!$D$73,Input!$C$79,Input!$D$79),Input!$E$79),Input!$F$79),Input!$G$79),Input!$H$79)</f>
        <v>0</v>
      </c>
      <c r="AL33" s="190">
        <f>IF($A33&lt;Input!$H$80,IF($A33&lt;Input!$G$80,IF($A33&lt;Input!$F$80,IF($A33&lt;Input!$E$80,IF($A33&lt;Input!$D$80,Input!$C$81,Input!$D$81),Input!$E$81),Input!$F$81),Input!$G$81),Input!$H$81)</f>
        <v>0.9</v>
      </c>
      <c r="AM33" s="60">
        <f t="shared" si="31"/>
        <v>0</v>
      </c>
      <c r="AN33" s="60">
        <f t="shared" si="32"/>
        <v>31</v>
      </c>
      <c r="AO33" s="60">
        <f t="shared" si="33"/>
        <v>0</v>
      </c>
      <c r="AP33" s="60">
        <f>ROUND(AO33*AN33*Input!$C$3/365,0)</f>
        <v>0</v>
      </c>
      <c r="AQ33" s="61">
        <f>IF($A33&lt;=Input!$C$6,0,IF('180M'!AM33&lt;'180M'!AO33,'180M'!AM33-AP33,'180M'!AO33))</f>
        <v>0</v>
      </c>
      <c r="AR33" s="61">
        <f t="shared" si="34"/>
        <v>0</v>
      </c>
      <c r="AS33" s="60">
        <f t="shared" si="35"/>
        <v>0</v>
      </c>
      <c r="AT33" s="193"/>
      <c r="AU33" s="169">
        <v>29</v>
      </c>
      <c r="AV33" s="1">
        <f t="shared" si="36"/>
        <v>46402</v>
      </c>
      <c r="AW33" s="60">
        <f>IF($X33&lt;Input!$H$88,IF($X33&lt;Input!$G$88,IF($X33&lt;Input!$F$88,IF($X33&lt;Input!$E$88,IF($X33&lt;Input!$D$88,Input!$C$94,Input!$D$94),Input!$E$94),Input!$F$94),Input!$G$94),Input!$H$94)</f>
        <v>0</v>
      </c>
      <c r="AX33" s="190">
        <f>IF($A33&lt;Input!$H$95,IF($A33&lt;Input!$G$95,IF($A33&lt;Input!$F$95,IF($A33&lt;Input!$E$95,IF($A33&lt;Input!$D$95,Input!$C$96,Input!$D$96),Input!$E$96),Input!$F$96),Input!$G$96),Input!$H$96)</f>
        <v>0.9</v>
      </c>
      <c r="AY33" s="60">
        <f t="shared" si="37"/>
        <v>0</v>
      </c>
      <c r="AZ33" s="60">
        <f t="shared" si="38"/>
        <v>31</v>
      </c>
      <c r="BA33" s="60">
        <f t="shared" si="39"/>
        <v>0</v>
      </c>
      <c r="BB33" s="60">
        <f>ROUND(BA33*AZ33*Input!$C$3/365,0)</f>
        <v>0</v>
      </c>
      <c r="BC33" s="61">
        <f>IF($A33&lt;=Input!$C$6,0,IF('180M'!AY33&lt;'180M'!BA33,'180M'!AY33-BB33,'180M'!BA33))</f>
        <v>0</v>
      </c>
      <c r="BD33" s="61">
        <f t="shared" si="40"/>
        <v>0</v>
      </c>
      <c r="BE33" s="60">
        <f t="shared" si="41"/>
        <v>0</v>
      </c>
      <c r="BF33" s="193"/>
      <c r="BG33" s="169">
        <v>29</v>
      </c>
      <c r="BH33" s="1">
        <f t="shared" si="42"/>
        <v>46402</v>
      </c>
      <c r="BI33" s="60">
        <f>IF($X33&lt;Input!$H$103,IF($X33&lt;Input!$G$103,IF($X33&lt;Input!$F$103,IF($X33&lt;Input!$E$103,IF($X33&lt;Input!$D$103,Input!$C$109,Input!$D$109),Input!$E$109),Input!$F$109),Input!$G$109),Input!$H$109)</f>
        <v>0</v>
      </c>
      <c r="BJ33" s="190">
        <f>IF($A33&lt;Input!$H$110,IF($A33&lt;Input!$G$110,IF($A33&lt;Input!$F$110,IF($A33&lt;Input!$E$110,IF($A33&lt;Input!$D$110,Input!$C$111,Input!$D$111),Input!$E$111),Input!$F$111),Input!$G$111),Input!$H$111)</f>
        <v>0.9</v>
      </c>
      <c r="BK33" s="60">
        <f t="shared" si="19"/>
        <v>0</v>
      </c>
      <c r="BL33" s="60">
        <f t="shared" si="43"/>
        <v>31</v>
      </c>
      <c r="BM33" s="60">
        <f t="shared" si="20"/>
        <v>0</v>
      </c>
      <c r="BN33" s="60">
        <f>ROUND(BM33*BL33*Input!$C$3/365,0)</f>
        <v>0</v>
      </c>
      <c r="BO33" s="61">
        <f>IF($A33&lt;=Input!$C$6,0,IF('180M'!BK33&lt;'180M'!BM33,'180M'!BK33-BN33,'180M'!BM33))</f>
        <v>0</v>
      </c>
      <c r="BP33" s="61">
        <f t="shared" si="21"/>
        <v>0</v>
      </c>
      <c r="BQ33" s="60">
        <f t="shared" si="22"/>
        <v>0</v>
      </c>
      <c r="BR33" s="198"/>
    </row>
    <row r="34" spans="1:70" x14ac:dyDescent="0.25">
      <c r="A34" s="169">
        <v>30</v>
      </c>
      <c r="B34" s="1">
        <f t="shared" si="23"/>
        <v>46433</v>
      </c>
      <c r="C34" s="60">
        <f t="shared" si="1"/>
        <v>16470000</v>
      </c>
      <c r="D34" s="60">
        <f t="shared" si="2"/>
        <v>14823000</v>
      </c>
      <c r="E34" s="60">
        <f t="shared" si="24"/>
        <v>31</v>
      </c>
      <c r="F34" s="60">
        <f t="shared" si="25"/>
        <v>1409072429.4979434</v>
      </c>
      <c r="G34" s="60">
        <f>ROUND(F34*E34*Input!$C$3/365,0)</f>
        <v>17951197</v>
      </c>
      <c r="H34" s="60">
        <f>IF($A34&lt;=Input!$C$6,0,IF('180M'!D34&lt;'180M'!F34,'180M'!D34-G34,'180M'!F34))</f>
        <v>-3128197</v>
      </c>
      <c r="I34" s="60">
        <f t="shared" si="26"/>
        <v>14823000</v>
      </c>
      <c r="J34" s="60">
        <f t="shared" si="27"/>
        <v>1412200626.4979434</v>
      </c>
      <c r="K34" s="203">
        <f>J34/Input!$K$5</f>
        <v>4.7073354216598116</v>
      </c>
      <c r="L34" s="232"/>
      <c r="M34" s="60">
        <f>IF($B34&lt;Input!$H$43,IF($B34&lt;Input!$G$43,IF($B34&lt;Input!$F$43,IF($B34&lt;Input!$E$43,IF($B34&lt;Input!$D$43,Input!$C$49,Input!$D$49),Input!$E$49),Input!$F$49),Input!$G$49),Input!$H$49)</f>
        <v>16470000</v>
      </c>
      <c r="N34" s="190">
        <f>IF($A34&lt;Input!$H$50,IF($A34&lt;Input!$G$50,IF($A34&lt;Input!$F$50,IF($A34&lt;Input!$E$50,IF($A34&lt;Input!$D$50,Input!$C$51,Input!$D$51),Input!$E$51),Input!$F$51),Input!$G$51),Input!$H$51)</f>
        <v>0.9</v>
      </c>
      <c r="O34" s="60">
        <f t="shared" si="0"/>
        <v>14823000</v>
      </c>
      <c r="P34" s="60">
        <f t="shared" si="3"/>
        <v>31</v>
      </c>
      <c r="Q34" s="60">
        <f t="shared" si="4"/>
        <v>1409072429.4979434</v>
      </c>
      <c r="R34" s="60">
        <f>ROUND(Q34*$P34*Input!$C$3/365,0)</f>
        <v>17951197</v>
      </c>
      <c r="S34" s="60">
        <f>IF(A34&lt;=Input!$C$6,0,IF('180M'!O34&lt;'180M'!Q34,'180M'!O34-R34,'180M'!Q34))</f>
        <v>-3128197</v>
      </c>
      <c r="T34" s="60">
        <f t="shared" si="5"/>
        <v>14823000</v>
      </c>
      <c r="U34" s="60">
        <f t="shared" si="6"/>
        <v>1412200626.4979434</v>
      </c>
      <c r="V34" s="193"/>
      <c r="W34" s="169">
        <v>30</v>
      </c>
      <c r="X34" s="1">
        <f t="shared" si="28"/>
        <v>46433</v>
      </c>
      <c r="Y34" s="60">
        <f>IF($X34&lt;Input!$H$58,IF($X34&lt;Input!$G$58,IF($X34&lt;Input!$F$58,IF($X34&lt;Input!$E$58,IF($X34&lt;Input!$D$58,Input!$C$64,Input!$D$64),Input!$E$64),Input!$F$64),Input!$G$64),Input!$H$64)</f>
        <v>0</v>
      </c>
      <c r="Z34" s="190">
        <f>IF($A34&lt;Input!$H$65,IF($A34&lt;Input!$G$65,IF($A34&lt;Input!$F$65,IF($A34&lt;Input!$E$65,IF($A34&lt;Input!$D$65,Input!$C$66,Input!$D$66),Input!$E$66),Input!$F$66),Input!$G$66),Input!$H$66)</f>
        <v>0.9</v>
      </c>
      <c r="AA34" s="60">
        <f t="shared" si="7"/>
        <v>0</v>
      </c>
      <c r="AB34" s="60">
        <f t="shared" si="29"/>
        <v>31</v>
      </c>
      <c r="AC34" s="60">
        <f t="shared" si="8"/>
        <v>0</v>
      </c>
      <c r="AD34" s="60">
        <f>ROUND(AC34*AB34*Input!$C$3/365,0)</f>
        <v>0</v>
      </c>
      <c r="AE34" s="61">
        <f>IF($A34&lt;=Input!$C$6,0,IF('180M'!AA34&lt;'180M'!AC34,'180M'!AA34-AD34,'180M'!AC34))</f>
        <v>0</v>
      </c>
      <c r="AF34" s="61">
        <f t="shared" si="9"/>
        <v>0</v>
      </c>
      <c r="AG34" s="60">
        <f t="shared" si="10"/>
        <v>0</v>
      </c>
      <c r="AH34" s="193"/>
      <c r="AI34" s="169">
        <v>30</v>
      </c>
      <c r="AJ34" s="1">
        <f t="shared" si="30"/>
        <v>46433</v>
      </c>
      <c r="AK34" s="60">
        <f>IF($X34&lt;Input!$H$73,IF($X34&lt;Input!$G$73,IF($X34&lt;Input!$F$73,IF($X34&lt;Input!$E$73,IF($X34&lt;Input!$D$73,Input!$C$79,Input!$D$79),Input!$E$79),Input!$F$79),Input!$G$79),Input!$H$79)</f>
        <v>0</v>
      </c>
      <c r="AL34" s="190">
        <f>IF($A34&lt;Input!$H$80,IF($A34&lt;Input!$G$80,IF($A34&lt;Input!$F$80,IF($A34&lt;Input!$E$80,IF($A34&lt;Input!$D$80,Input!$C$81,Input!$D$81),Input!$E$81),Input!$F$81),Input!$G$81),Input!$H$81)</f>
        <v>0.9</v>
      </c>
      <c r="AM34" s="60">
        <f t="shared" si="31"/>
        <v>0</v>
      </c>
      <c r="AN34" s="60">
        <f t="shared" si="32"/>
        <v>31</v>
      </c>
      <c r="AO34" s="60">
        <f t="shared" si="33"/>
        <v>0</v>
      </c>
      <c r="AP34" s="60">
        <f>ROUND(AO34*AN34*Input!$C$3/365,0)</f>
        <v>0</v>
      </c>
      <c r="AQ34" s="61">
        <f>IF($A34&lt;=Input!$C$6,0,IF('180M'!AM34&lt;'180M'!AO34,'180M'!AM34-AP34,'180M'!AO34))</f>
        <v>0</v>
      </c>
      <c r="AR34" s="61">
        <f t="shared" si="34"/>
        <v>0</v>
      </c>
      <c r="AS34" s="60">
        <f t="shared" si="35"/>
        <v>0</v>
      </c>
      <c r="AT34" s="193"/>
      <c r="AU34" s="169">
        <v>30</v>
      </c>
      <c r="AV34" s="1">
        <f t="shared" si="36"/>
        <v>46433</v>
      </c>
      <c r="AW34" s="60">
        <f>IF($X34&lt;Input!$H$88,IF($X34&lt;Input!$G$88,IF($X34&lt;Input!$F$88,IF($X34&lt;Input!$E$88,IF($X34&lt;Input!$D$88,Input!$C$94,Input!$D$94),Input!$E$94),Input!$F$94),Input!$G$94),Input!$H$94)</f>
        <v>0</v>
      </c>
      <c r="AX34" s="190">
        <f>IF($A34&lt;Input!$H$95,IF($A34&lt;Input!$G$95,IF($A34&lt;Input!$F$95,IF($A34&lt;Input!$E$95,IF($A34&lt;Input!$D$95,Input!$C$96,Input!$D$96),Input!$E$96),Input!$F$96),Input!$G$96),Input!$H$96)</f>
        <v>0.9</v>
      </c>
      <c r="AY34" s="60">
        <f t="shared" si="37"/>
        <v>0</v>
      </c>
      <c r="AZ34" s="60">
        <f t="shared" si="38"/>
        <v>31</v>
      </c>
      <c r="BA34" s="60">
        <f t="shared" si="39"/>
        <v>0</v>
      </c>
      <c r="BB34" s="60">
        <f>ROUND(BA34*AZ34*Input!$C$3/365,0)</f>
        <v>0</v>
      </c>
      <c r="BC34" s="61">
        <f>IF($A34&lt;=Input!$C$6,0,IF('180M'!AY34&lt;'180M'!BA34,'180M'!AY34-BB34,'180M'!BA34))</f>
        <v>0</v>
      </c>
      <c r="BD34" s="61">
        <f t="shared" si="40"/>
        <v>0</v>
      </c>
      <c r="BE34" s="60">
        <f t="shared" si="41"/>
        <v>0</v>
      </c>
      <c r="BF34" s="193"/>
      <c r="BG34" s="169">
        <v>30</v>
      </c>
      <c r="BH34" s="1">
        <f t="shared" si="42"/>
        <v>46433</v>
      </c>
      <c r="BI34" s="60">
        <f>IF($X34&lt;Input!$H$103,IF($X34&lt;Input!$G$103,IF($X34&lt;Input!$F$103,IF($X34&lt;Input!$E$103,IF($X34&lt;Input!$D$103,Input!$C$109,Input!$D$109),Input!$E$109),Input!$F$109),Input!$G$109),Input!$H$109)</f>
        <v>0</v>
      </c>
      <c r="BJ34" s="190">
        <f>IF($A34&lt;Input!$H$110,IF($A34&lt;Input!$G$110,IF($A34&lt;Input!$F$110,IF($A34&lt;Input!$E$110,IF($A34&lt;Input!$D$110,Input!$C$111,Input!$D$111),Input!$E$111),Input!$F$111),Input!$G$111),Input!$H$111)</f>
        <v>0.9</v>
      </c>
      <c r="BK34" s="60">
        <f t="shared" si="19"/>
        <v>0</v>
      </c>
      <c r="BL34" s="60">
        <f t="shared" si="43"/>
        <v>31</v>
      </c>
      <c r="BM34" s="60">
        <f t="shared" si="20"/>
        <v>0</v>
      </c>
      <c r="BN34" s="60">
        <f>ROUND(BM34*BL34*Input!$C$3/365,0)</f>
        <v>0</v>
      </c>
      <c r="BO34" s="61">
        <f>IF($A34&lt;=Input!$C$6,0,IF('180M'!BK34&lt;'180M'!BM34,'180M'!BK34-BN34,'180M'!BM34))</f>
        <v>0</v>
      </c>
      <c r="BP34" s="61">
        <f t="shared" si="21"/>
        <v>0</v>
      </c>
      <c r="BQ34" s="60">
        <f t="shared" si="22"/>
        <v>0</v>
      </c>
      <c r="BR34" s="198"/>
    </row>
    <row r="35" spans="1:70" x14ac:dyDescent="0.25">
      <c r="A35" s="169">
        <v>31</v>
      </c>
      <c r="B35" s="1">
        <f t="shared" si="23"/>
        <v>46461</v>
      </c>
      <c r="C35" s="60">
        <f t="shared" si="1"/>
        <v>16470000</v>
      </c>
      <c r="D35" s="60">
        <f t="shared" si="2"/>
        <v>14823000</v>
      </c>
      <c r="E35" s="60">
        <f t="shared" si="24"/>
        <v>28</v>
      </c>
      <c r="F35" s="60">
        <f t="shared" si="25"/>
        <v>1412200626.4979434</v>
      </c>
      <c r="G35" s="60">
        <f>ROUND(F35*E35*Input!$C$3/365,0)</f>
        <v>16249980</v>
      </c>
      <c r="H35" s="60">
        <f>IF($A35&lt;=Input!$C$6,0,IF('180M'!D35&lt;'180M'!F35,'180M'!D35-G35,'180M'!F35))</f>
        <v>-1426980</v>
      </c>
      <c r="I35" s="60">
        <f t="shared" si="26"/>
        <v>14823000</v>
      </c>
      <c r="J35" s="60">
        <f t="shared" si="27"/>
        <v>1413627606.4979434</v>
      </c>
      <c r="K35" s="203">
        <f>J35/Input!$K$5</f>
        <v>4.712092021659811</v>
      </c>
      <c r="L35" s="232"/>
      <c r="M35" s="60">
        <f>IF($B35&lt;Input!$H$43,IF($B35&lt;Input!$G$43,IF($B35&lt;Input!$F$43,IF($B35&lt;Input!$E$43,IF($B35&lt;Input!$D$43,Input!$C$49,Input!$D$49),Input!$E$49),Input!$F$49),Input!$G$49),Input!$H$49)</f>
        <v>16470000</v>
      </c>
      <c r="N35" s="190">
        <f>IF($A35&lt;Input!$H$50,IF($A35&lt;Input!$G$50,IF($A35&lt;Input!$F$50,IF($A35&lt;Input!$E$50,IF($A35&lt;Input!$D$50,Input!$C$51,Input!$D$51),Input!$E$51),Input!$F$51),Input!$G$51),Input!$H$51)</f>
        <v>0.9</v>
      </c>
      <c r="O35" s="60">
        <f t="shared" si="0"/>
        <v>14823000</v>
      </c>
      <c r="P35" s="60">
        <f t="shared" si="3"/>
        <v>28</v>
      </c>
      <c r="Q35" s="60">
        <f t="shared" si="4"/>
        <v>1412200626.4979434</v>
      </c>
      <c r="R35" s="60">
        <f>ROUND(Q35*$P35*Input!$C$3/365,0)</f>
        <v>16249980</v>
      </c>
      <c r="S35" s="60">
        <f>IF(A35&lt;=Input!$C$6,0,IF('180M'!O35&lt;'180M'!Q35,'180M'!O35-R35,'180M'!Q35))</f>
        <v>-1426980</v>
      </c>
      <c r="T35" s="60">
        <f t="shared" si="5"/>
        <v>14823000</v>
      </c>
      <c r="U35" s="60">
        <f t="shared" si="6"/>
        <v>1413627606.4979434</v>
      </c>
      <c r="V35" s="193"/>
      <c r="W35" s="169">
        <v>31</v>
      </c>
      <c r="X35" s="1">
        <f t="shared" si="28"/>
        <v>46461</v>
      </c>
      <c r="Y35" s="60">
        <f>IF($X35&lt;Input!$H$58,IF($X35&lt;Input!$G$58,IF($X35&lt;Input!$F$58,IF($X35&lt;Input!$E$58,IF($X35&lt;Input!$D$58,Input!$C$64,Input!$D$64),Input!$E$64),Input!$F$64),Input!$G$64),Input!$H$64)</f>
        <v>0</v>
      </c>
      <c r="Z35" s="190">
        <f>IF($A35&lt;Input!$H$65,IF($A35&lt;Input!$G$65,IF($A35&lt;Input!$F$65,IF($A35&lt;Input!$E$65,IF($A35&lt;Input!$D$65,Input!$C$66,Input!$D$66),Input!$E$66),Input!$F$66),Input!$G$66),Input!$H$66)</f>
        <v>0.9</v>
      </c>
      <c r="AA35" s="60">
        <f t="shared" si="7"/>
        <v>0</v>
      </c>
      <c r="AB35" s="60">
        <f t="shared" si="29"/>
        <v>28</v>
      </c>
      <c r="AC35" s="60">
        <f t="shared" si="8"/>
        <v>0</v>
      </c>
      <c r="AD35" s="60">
        <f>ROUND(AC35*AB35*Input!$C$3/365,0)</f>
        <v>0</v>
      </c>
      <c r="AE35" s="61">
        <f>IF($A35&lt;=Input!$C$6,0,IF('180M'!AA35&lt;'180M'!AC35,'180M'!AA35-AD35,'180M'!AC35))</f>
        <v>0</v>
      </c>
      <c r="AF35" s="61">
        <f t="shared" si="9"/>
        <v>0</v>
      </c>
      <c r="AG35" s="60">
        <f t="shared" si="10"/>
        <v>0</v>
      </c>
      <c r="AH35" s="193"/>
      <c r="AI35" s="169">
        <v>31</v>
      </c>
      <c r="AJ35" s="1">
        <f t="shared" si="30"/>
        <v>46461</v>
      </c>
      <c r="AK35" s="60">
        <f>IF($X35&lt;Input!$H$73,IF($X35&lt;Input!$G$73,IF($X35&lt;Input!$F$73,IF($X35&lt;Input!$E$73,IF($X35&lt;Input!$D$73,Input!$C$79,Input!$D$79),Input!$E$79),Input!$F$79),Input!$G$79),Input!$H$79)</f>
        <v>0</v>
      </c>
      <c r="AL35" s="190">
        <f>IF($A35&lt;Input!$H$80,IF($A35&lt;Input!$G$80,IF($A35&lt;Input!$F$80,IF($A35&lt;Input!$E$80,IF($A35&lt;Input!$D$80,Input!$C$81,Input!$D$81),Input!$E$81),Input!$F$81),Input!$G$81),Input!$H$81)</f>
        <v>0.9</v>
      </c>
      <c r="AM35" s="60">
        <f t="shared" si="31"/>
        <v>0</v>
      </c>
      <c r="AN35" s="60">
        <f t="shared" si="32"/>
        <v>28</v>
      </c>
      <c r="AO35" s="60">
        <f t="shared" si="33"/>
        <v>0</v>
      </c>
      <c r="AP35" s="60">
        <f>ROUND(AO35*AN35*Input!$C$3/365,0)</f>
        <v>0</v>
      </c>
      <c r="AQ35" s="61">
        <f>IF($A35&lt;=Input!$C$6,0,IF('180M'!AM35&lt;'180M'!AO35,'180M'!AM35-AP35,'180M'!AO35))</f>
        <v>0</v>
      </c>
      <c r="AR35" s="61">
        <f t="shared" si="34"/>
        <v>0</v>
      </c>
      <c r="AS35" s="60">
        <f t="shared" si="35"/>
        <v>0</v>
      </c>
      <c r="AT35" s="193"/>
      <c r="AU35" s="169">
        <v>31</v>
      </c>
      <c r="AV35" s="1">
        <f t="shared" si="36"/>
        <v>46461</v>
      </c>
      <c r="AW35" s="60">
        <f>IF($X35&lt;Input!$H$88,IF($X35&lt;Input!$G$88,IF($X35&lt;Input!$F$88,IF($X35&lt;Input!$E$88,IF($X35&lt;Input!$D$88,Input!$C$94,Input!$D$94),Input!$E$94),Input!$F$94),Input!$G$94),Input!$H$94)</f>
        <v>0</v>
      </c>
      <c r="AX35" s="190">
        <f>IF($A35&lt;Input!$H$95,IF($A35&lt;Input!$G$95,IF($A35&lt;Input!$F$95,IF($A35&lt;Input!$E$95,IF($A35&lt;Input!$D$95,Input!$C$96,Input!$D$96),Input!$E$96),Input!$F$96),Input!$G$96),Input!$H$96)</f>
        <v>0.9</v>
      </c>
      <c r="AY35" s="60">
        <f t="shared" si="37"/>
        <v>0</v>
      </c>
      <c r="AZ35" s="60">
        <f t="shared" si="38"/>
        <v>28</v>
      </c>
      <c r="BA35" s="60">
        <f t="shared" si="39"/>
        <v>0</v>
      </c>
      <c r="BB35" s="60">
        <f>ROUND(BA35*AZ35*Input!$C$3/365,0)</f>
        <v>0</v>
      </c>
      <c r="BC35" s="61">
        <f>IF($A35&lt;=Input!$C$6,0,IF('180M'!AY35&lt;'180M'!BA35,'180M'!AY35-BB35,'180M'!BA35))</f>
        <v>0</v>
      </c>
      <c r="BD35" s="61">
        <f t="shared" si="40"/>
        <v>0</v>
      </c>
      <c r="BE35" s="60">
        <f t="shared" si="41"/>
        <v>0</v>
      </c>
      <c r="BF35" s="193"/>
      <c r="BG35" s="169">
        <v>31</v>
      </c>
      <c r="BH35" s="1">
        <f t="shared" si="42"/>
        <v>46461</v>
      </c>
      <c r="BI35" s="60">
        <f>IF($X35&lt;Input!$H$103,IF($X35&lt;Input!$G$103,IF($X35&lt;Input!$F$103,IF($X35&lt;Input!$E$103,IF($X35&lt;Input!$D$103,Input!$C$109,Input!$D$109),Input!$E$109),Input!$F$109),Input!$G$109),Input!$H$109)</f>
        <v>0</v>
      </c>
      <c r="BJ35" s="190">
        <f>IF($A35&lt;Input!$H$110,IF($A35&lt;Input!$G$110,IF($A35&lt;Input!$F$110,IF($A35&lt;Input!$E$110,IF($A35&lt;Input!$D$110,Input!$C$111,Input!$D$111),Input!$E$111),Input!$F$111),Input!$G$111),Input!$H$111)</f>
        <v>0.9</v>
      </c>
      <c r="BK35" s="60">
        <f t="shared" si="19"/>
        <v>0</v>
      </c>
      <c r="BL35" s="60">
        <f t="shared" si="43"/>
        <v>28</v>
      </c>
      <c r="BM35" s="60">
        <f t="shared" si="20"/>
        <v>0</v>
      </c>
      <c r="BN35" s="60">
        <f>ROUND(BM35*BL35*Input!$C$3/365,0)</f>
        <v>0</v>
      </c>
      <c r="BO35" s="61">
        <f>IF($A35&lt;=Input!$C$6,0,IF('180M'!BK35&lt;'180M'!BM35,'180M'!BK35-BN35,'180M'!BM35))</f>
        <v>0</v>
      </c>
      <c r="BP35" s="61">
        <f t="shared" si="21"/>
        <v>0</v>
      </c>
      <c r="BQ35" s="60">
        <f t="shared" si="22"/>
        <v>0</v>
      </c>
      <c r="BR35" s="198"/>
    </row>
    <row r="36" spans="1:70" x14ac:dyDescent="0.25">
      <c r="A36" s="169">
        <v>32</v>
      </c>
      <c r="B36" s="1">
        <f t="shared" si="23"/>
        <v>46492</v>
      </c>
      <c r="C36" s="60">
        <f t="shared" si="1"/>
        <v>16470000</v>
      </c>
      <c r="D36" s="60">
        <f t="shared" si="2"/>
        <v>14823000</v>
      </c>
      <c r="E36" s="60">
        <f t="shared" si="24"/>
        <v>31</v>
      </c>
      <c r="F36" s="60">
        <f t="shared" si="25"/>
        <v>1413627606.4979434</v>
      </c>
      <c r="G36" s="60">
        <f>ROUND(F36*E36*Input!$C$3/365,0)</f>
        <v>18009228</v>
      </c>
      <c r="H36" s="60">
        <f>IF($A36&lt;=Input!$C$6,0,IF('180M'!D36&lt;'180M'!F36,'180M'!D36-G36,'180M'!F36))</f>
        <v>-3186228</v>
      </c>
      <c r="I36" s="60">
        <f t="shared" si="26"/>
        <v>14823000</v>
      </c>
      <c r="J36" s="60">
        <f t="shared" si="27"/>
        <v>1416813834.4979434</v>
      </c>
      <c r="K36" s="203">
        <f>J36/Input!$K$5</f>
        <v>4.7227127816598111</v>
      </c>
      <c r="L36" s="232"/>
      <c r="M36" s="60">
        <f>IF($B36&lt;Input!$H$43,IF($B36&lt;Input!$G$43,IF($B36&lt;Input!$F$43,IF($B36&lt;Input!$E$43,IF($B36&lt;Input!$D$43,Input!$C$49,Input!$D$49),Input!$E$49),Input!$F$49),Input!$G$49),Input!$H$49)</f>
        <v>16470000</v>
      </c>
      <c r="N36" s="190">
        <f>IF($A36&lt;Input!$H$50,IF($A36&lt;Input!$G$50,IF($A36&lt;Input!$F$50,IF($A36&lt;Input!$E$50,IF($A36&lt;Input!$D$50,Input!$C$51,Input!$D$51),Input!$E$51),Input!$F$51),Input!$G$51),Input!$H$51)</f>
        <v>0.9</v>
      </c>
      <c r="O36" s="60">
        <f t="shared" ref="O36:O67" si="44">M36*N36</f>
        <v>14823000</v>
      </c>
      <c r="P36" s="60">
        <f t="shared" si="3"/>
        <v>31</v>
      </c>
      <c r="Q36" s="60">
        <f t="shared" si="4"/>
        <v>1413627606.4979434</v>
      </c>
      <c r="R36" s="60">
        <f>ROUND(Q36*$P36*Input!$C$3/365,0)</f>
        <v>18009228</v>
      </c>
      <c r="S36" s="60">
        <f>IF(A36&lt;=Input!$C$6,0,IF('180M'!O36&lt;'180M'!Q36,'180M'!O36-R36,'180M'!Q36))</f>
        <v>-3186228</v>
      </c>
      <c r="T36" s="60">
        <f t="shared" si="5"/>
        <v>14823000</v>
      </c>
      <c r="U36" s="60">
        <f t="shared" si="6"/>
        <v>1416813834.4979434</v>
      </c>
      <c r="V36" s="193"/>
      <c r="W36" s="169">
        <v>32</v>
      </c>
      <c r="X36" s="1">
        <f t="shared" si="28"/>
        <v>46492</v>
      </c>
      <c r="Y36" s="60">
        <f>IF($X36&lt;Input!$H$58,IF($X36&lt;Input!$G$58,IF($X36&lt;Input!$F$58,IF($X36&lt;Input!$E$58,IF($X36&lt;Input!$D$58,Input!$C$64,Input!$D$64),Input!$E$64),Input!$F$64),Input!$G$64),Input!$H$64)</f>
        <v>0</v>
      </c>
      <c r="Z36" s="190">
        <f>IF($A36&lt;Input!$H$65,IF($A36&lt;Input!$G$65,IF($A36&lt;Input!$F$65,IF($A36&lt;Input!$E$65,IF($A36&lt;Input!$D$65,Input!$C$66,Input!$D$66),Input!$E$66),Input!$F$66),Input!$G$66),Input!$H$66)</f>
        <v>0.9</v>
      </c>
      <c r="AA36" s="60">
        <f t="shared" si="7"/>
        <v>0</v>
      </c>
      <c r="AB36" s="60">
        <f t="shared" si="29"/>
        <v>31</v>
      </c>
      <c r="AC36" s="60">
        <f t="shared" si="8"/>
        <v>0</v>
      </c>
      <c r="AD36" s="60">
        <f>ROUND(AC36*AB36*Input!$C$3/365,0)</f>
        <v>0</v>
      </c>
      <c r="AE36" s="61">
        <f>IF($A36&lt;=Input!$C$6,0,IF('180M'!AA36&lt;'180M'!AC36,'180M'!AA36-AD36,'180M'!AC36))</f>
        <v>0</v>
      </c>
      <c r="AF36" s="61">
        <f t="shared" si="9"/>
        <v>0</v>
      </c>
      <c r="AG36" s="60">
        <f t="shared" si="10"/>
        <v>0</v>
      </c>
      <c r="AH36" s="193"/>
      <c r="AI36" s="169">
        <v>32</v>
      </c>
      <c r="AJ36" s="1">
        <f t="shared" si="30"/>
        <v>46492</v>
      </c>
      <c r="AK36" s="60">
        <f>IF($X36&lt;Input!$H$73,IF($X36&lt;Input!$G$73,IF($X36&lt;Input!$F$73,IF($X36&lt;Input!$E$73,IF($X36&lt;Input!$D$73,Input!$C$79,Input!$D$79),Input!$E$79),Input!$F$79),Input!$G$79),Input!$H$79)</f>
        <v>0</v>
      </c>
      <c r="AL36" s="190">
        <f>IF($A36&lt;Input!$H$80,IF($A36&lt;Input!$G$80,IF($A36&lt;Input!$F$80,IF($A36&lt;Input!$E$80,IF($A36&lt;Input!$D$80,Input!$C$81,Input!$D$81),Input!$E$81),Input!$F$81),Input!$G$81),Input!$H$81)</f>
        <v>0.9</v>
      </c>
      <c r="AM36" s="60">
        <f t="shared" si="31"/>
        <v>0</v>
      </c>
      <c r="AN36" s="60">
        <f t="shared" si="32"/>
        <v>31</v>
      </c>
      <c r="AO36" s="60">
        <f t="shared" si="33"/>
        <v>0</v>
      </c>
      <c r="AP36" s="60">
        <f>ROUND(AO36*AN36*Input!$C$3/365,0)</f>
        <v>0</v>
      </c>
      <c r="AQ36" s="61">
        <f>IF($A36&lt;=Input!$C$6,0,IF('180M'!AM36&lt;'180M'!AO36,'180M'!AM36-AP36,'180M'!AO36))</f>
        <v>0</v>
      </c>
      <c r="AR36" s="61">
        <f t="shared" si="34"/>
        <v>0</v>
      </c>
      <c r="AS36" s="60">
        <f t="shared" si="35"/>
        <v>0</v>
      </c>
      <c r="AT36" s="193"/>
      <c r="AU36" s="169">
        <v>32</v>
      </c>
      <c r="AV36" s="1">
        <f t="shared" si="36"/>
        <v>46492</v>
      </c>
      <c r="AW36" s="60">
        <f>IF($X36&lt;Input!$H$88,IF($X36&lt;Input!$G$88,IF($X36&lt;Input!$F$88,IF($X36&lt;Input!$E$88,IF($X36&lt;Input!$D$88,Input!$C$94,Input!$D$94),Input!$E$94),Input!$F$94),Input!$G$94),Input!$H$94)</f>
        <v>0</v>
      </c>
      <c r="AX36" s="190">
        <f>IF($A36&lt;Input!$H$95,IF($A36&lt;Input!$G$95,IF($A36&lt;Input!$F$95,IF($A36&lt;Input!$E$95,IF($A36&lt;Input!$D$95,Input!$C$96,Input!$D$96),Input!$E$96),Input!$F$96),Input!$G$96),Input!$H$96)</f>
        <v>0.9</v>
      </c>
      <c r="AY36" s="60">
        <f t="shared" si="37"/>
        <v>0</v>
      </c>
      <c r="AZ36" s="60">
        <f t="shared" si="38"/>
        <v>31</v>
      </c>
      <c r="BA36" s="60">
        <f t="shared" si="39"/>
        <v>0</v>
      </c>
      <c r="BB36" s="60">
        <f>ROUND(BA36*AZ36*Input!$C$3/365,0)</f>
        <v>0</v>
      </c>
      <c r="BC36" s="61">
        <f>IF($A36&lt;=Input!$C$6,0,IF('180M'!AY36&lt;'180M'!BA36,'180M'!AY36-BB36,'180M'!BA36))</f>
        <v>0</v>
      </c>
      <c r="BD36" s="61">
        <f t="shared" si="40"/>
        <v>0</v>
      </c>
      <c r="BE36" s="60">
        <f t="shared" si="41"/>
        <v>0</v>
      </c>
      <c r="BF36" s="193"/>
      <c r="BG36" s="169">
        <v>32</v>
      </c>
      <c r="BH36" s="1">
        <f t="shared" si="42"/>
        <v>46492</v>
      </c>
      <c r="BI36" s="60">
        <f>IF($X36&lt;Input!$H$103,IF($X36&lt;Input!$G$103,IF($X36&lt;Input!$F$103,IF($X36&lt;Input!$E$103,IF($X36&lt;Input!$D$103,Input!$C$109,Input!$D$109),Input!$E$109),Input!$F$109),Input!$G$109),Input!$H$109)</f>
        <v>0</v>
      </c>
      <c r="BJ36" s="190">
        <f>IF($A36&lt;Input!$H$110,IF($A36&lt;Input!$G$110,IF($A36&lt;Input!$F$110,IF($A36&lt;Input!$E$110,IF($A36&lt;Input!$D$110,Input!$C$111,Input!$D$111),Input!$E$111),Input!$F$111),Input!$G$111),Input!$H$111)</f>
        <v>0.9</v>
      </c>
      <c r="BK36" s="60">
        <f t="shared" si="19"/>
        <v>0</v>
      </c>
      <c r="BL36" s="60">
        <f t="shared" si="43"/>
        <v>31</v>
      </c>
      <c r="BM36" s="60">
        <f t="shared" si="20"/>
        <v>0</v>
      </c>
      <c r="BN36" s="60">
        <f>ROUND(BM36*BL36*Input!$C$3/365,0)</f>
        <v>0</v>
      </c>
      <c r="BO36" s="61">
        <f>IF($A36&lt;=Input!$C$6,0,IF('180M'!BK36&lt;'180M'!BM36,'180M'!BK36-BN36,'180M'!BM36))</f>
        <v>0</v>
      </c>
      <c r="BP36" s="61">
        <f t="shared" si="21"/>
        <v>0</v>
      </c>
      <c r="BQ36" s="60">
        <f t="shared" si="22"/>
        <v>0</v>
      </c>
      <c r="BR36" s="198"/>
    </row>
    <row r="37" spans="1:70" x14ac:dyDescent="0.25">
      <c r="A37" s="169">
        <v>33</v>
      </c>
      <c r="B37" s="1">
        <f t="shared" si="23"/>
        <v>46522</v>
      </c>
      <c r="C37" s="60">
        <f t="shared" si="1"/>
        <v>16470000</v>
      </c>
      <c r="D37" s="60">
        <f t="shared" si="2"/>
        <v>14823000</v>
      </c>
      <c r="E37" s="60">
        <f t="shared" si="24"/>
        <v>30</v>
      </c>
      <c r="F37" s="60">
        <f t="shared" si="25"/>
        <v>1416813834.4979434</v>
      </c>
      <c r="G37" s="60">
        <f>ROUND(F37*E37*Input!$C$3/365,0)</f>
        <v>17467568</v>
      </c>
      <c r="H37" s="60">
        <f>IF($A37&lt;=Input!$C$6,0,IF('180M'!D37&lt;'180M'!F37,'180M'!D37-G37,'180M'!F37))</f>
        <v>-2644568</v>
      </c>
      <c r="I37" s="60">
        <f t="shared" si="26"/>
        <v>14823000</v>
      </c>
      <c r="J37" s="60">
        <f t="shared" si="27"/>
        <v>1419458402.4979434</v>
      </c>
      <c r="K37" s="203">
        <f>J37/Input!$K$5</f>
        <v>4.7315280083264781</v>
      </c>
      <c r="L37" s="232"/>
      <c r="M37" s="60">
        <f>IF($B37&lt;Input!$H$43,IF($B37&lt;Input!$G$43,IF($B37&lt;Input!$F$43,IF($B37&lt;Input!$E$43,IF($B37&lt;Input!$D$43,Input!$C$49,Input!$D$49),Input!$E$49),Input!$F$49),Input!$G$49),Input!$H$49)</f>
        <v>16470000</v>
      </c>
      <c r="N37" s="190">
        <f>IF($A37&lt;Input!$H$50,IF($A37&lt;Input!$G$50,IF($A37&lt;Input!$F$50,IF($A37&lt;Input!$E$50,IF($A37&lt;Input!$D$50,Input!$C$51,Input!$D$51),Input!$E$51),Input!$F$51),Input!$G$51),Input!$H$51)</f>
        <v>0.9</v>
      </c>
      <c r="O37" s="60">
        <f t="shared" si="44"/>
        <v>14823000</v>
      </c>
      <c r="P37" s="60">
        <f t="shared" ref="P37:P68" si="45">B37-B36</f>
        <v>30</v>
      </c>
      <c r="Q37" s="60">
        <f t="shared" si="4"/>
        <v>1416813834.4979434</v>
      </c>
      <c r="R37" s="60">
        <f>ROUND(Q37*$P37*Input!$C$3/365,0)</f>
        <v>17467568</v>
      </c>
      <c r="S37" s="60">
        <f>IF(A37&lt;=Input!$C$6,0,IF('180M'!O37&lt;'180M'!Q37,'180M'!O37-R37,'180M'!Q37))</f>
        <v>-2644568</v>
      </c>
      <c r="T37" s="60">
        <f t="shared" si="5"/>
        <v>14823000</v>
      </c>
      <c r="U37" s="60">
        <f t="shared" si="6"/>
        <v>1419458402.4979434</v>
      </c>
      <c r="V37" s="193"/>
      <c r="W37" s="169">
        <v>33</v>
      </c>
      <c r="X37" s="1">
        <f t="shared" si="28"/>
        <v>46522</v>
      </c>
      <c r="Y37" s="60">
        <f>IF($X37&lt;Input!$H$58,IF($X37&lt;Input!$G$58,IF($X37&lt;Input!$F$58,IF($X37&lt;Input!$E$58,IF($X37&lt;Input!$D$58,Input!$C$64,Input!$D$64),Input!$E$64),Input!$F$64),Input!$G$64),Input!$H$64)</f>
        <v>0</v>
      </c>
      <c r="Z37" s="190">
        <f>IF($A37&lt;Input!$H$65,IF($A37&lt;Input!$G$65,IF($A37&lt;Input!$F$65,IF($A37&lt;Input!$E$65,IF($A37&lt;Input!$D$65,Input!$C$66,Input!$D$66),Input!$E$66),Input!$F$66),Input!$G$66),Input!$H$66)</f>
        <v>0.9</v>
      </c>
      <c r="AA37" s="60">
        <f t="shared" si="7"/>
        <v>0</v>
      </c>
      <c r="AB37" s="60">
        <f t="shared" si="29"/>
        <v>30</v>
      </c>
      <c r="AC37" s="60">
        <f t="shared" si="8"/>
        <v>0</v>
      </c>
      <c r="AD37" s="60">
        <f>ROUND(AC37*AB37*Input!$C$3/365,0)</f>
        <v>0</v>
      </c>
      <c r="AE37" s="61">
        <f>IF($A37&lt;=Input!$C$6,0,IF('180M'!AA37&lt;'180M'!AC37,'180M'!AA37-AD37,'180M'!AC37))</f>
        <v>0</v>
      </c>
      <c r="AF37" s="61">
        <f t="shared" si="9"/>
        <v>0</v>
      </c>
      <c r="AG37" s="60">
        <f t="shared" si="10"/>
        <v>0</v>
      </c>
      <c r="AH37" s="193"/>
      <c r="AI37" s="169">
        <v>33</v>
      </c>
      <c r="AJ37" s="1">
        <f t="shared" si="30"/>
        <v>46522</v>
      </c>
      <c r="AK37" s="60">
        <f>IF($X37&lt;Input!$H$73,IF($X37&lt;Input!$G$73,IF($X37&lt;Input!$F$73,IF($X37&lt;Input!$E$73,IF($X37&lt;Input!$D$73,Input!$C$79,Input!$D$79),Input!$E$79),Input!$F$79),Input!$G$79),Input!$H$79)</f>
        <v>0</v>
      </c>
      <c r="AL37" s="190">
        <f>IF($A37&lt;Input!$H$80,IF($A37&lt;Input!$G$80,IF($A37&lt;Input!$F$80,IF($A37&lt;Input!$E$80,IF($A37&lt;Input!$D$80,Input!$C$81,Input!$D$81),Input!$E$81),Input!$F$81),Input!$G$81),Input!$H$81)</f>
        <v>0.9</v>
      </c>
      <c r="AM37" s="60">
        <f t="shared" si="31"/>
        <v>0</v>
      </c>
      <c r="AN37" s="60">
        <f t="shared" si="32"/>
        <v>30</v>
      </c>
      <c r="AO37" s="60">
        <f t="shared" si="33"/>
        <v>0</v>
      </c>
      <c r="AP37" s="60">
        <f>ROUND(AO37*AN37*Input!$C$3/365,0)</f>
        <v>0</v>
      </c>
      <c r="AQ37" s="61">
        <f>IF($A37&lt;=Input!$C$6,0,IF('180M'!AM37&lt;'180M'!AO37,'180M'!AM37-AP37,'180M'!AO37))</f>
        <v>0</v>
      </c>
      <c r="AR37" s="61">
        <f t="shared" si="34"/>
        <v>0</v>
      </c>
      <c r="AS37" s="60">
        <f t="shared" si="35"/>
        <v>0</v>
      </c>
      <c r="AT37" s="193"/>
      <c r="AU37" s="169">
        <v>33</v>
      </c>
      <c r="AV37" s="1">
        <f t="shared" si="36"/>
        <v>46522</v>
      </c>
      <c r="AW37" s="60">
        <f>IF($X37&lt;Input!$H$88,IF($X37&lt;Input!$G$88,IF($X37&lt;Input!$F$88,IF($X37&lt;Input!$E$88,IF($X37&lt;Input!$D$88,Input!$C$94,Input!$D$94),Input!$E$94),Input!$F$94),Input!$G$94),Input!$H$94)</f>
        <v>0</v>
      </c>
      <c r="AX37" s="190">
        <f>IF($A37&lt;Input!$H$95,IF($A37&lt;Input!$G$95,IF($A37&lt;Input!$F$95,IF($A37&lt;Input!$E$95,IF($A37&lt;Input!$D$95,Input!$C$96,Input!$D$96),Input!$E$96),Input!$F$96),Input!$G$96),Input!$H$96)</f>
        <v>0.9</v>
      </c>
      <c r="AY37" s="60">
        <f t="shared" si="37"/>
        <v>0</v>
      </c>
      <c r="AZ37" s="60">
        <f t="shared" si="38"/>
        <v>30</v>
      </c>
      <c r="BA37" s="60">
        <f t="shared" si="39"/>
        <v>0</v>
      </c>
      <c r="BB37" s="60">
        <f>ROUND(BA37*AZ37*Input!$C$3/365,0)</f>
        <v>0</v>
      </c>
      <c r="BC37" s="61">
        <f>IF($A37&lt;=Input!$C$6,0,IF('180M'!AY37&lt;'180M'!BA37,'180M'!AY37-BB37,'180M'!BA37))</f>
        <v>0</v>
      </c>
      <c r="BD37" s="61">
        <f t="shared" si="40"/>
        <v>0</v>
      </c>
      <c r="BE37" s="60">
        <f t="shared" si="41"/>
        <v>0</v>
      </c>
      <c r="BF37" s="193"/>
      <c r="BG37" s="169">
        <v>33</v>
      </c>
      <c r="BH37" s="1">
        <f t="shared" si="42"/>
        <v>46522</v>
      </c>
      <c r="BI37" s="60">
        <f>IF($X37&lt;Input!$H$103,IF($X37&lt;Input!$G$103,IF($X37&lt;Input!$F$103,IF($X37&lt;Input!$E$103,IF($X37&lt;Input!$D$103,Input!$C$109,Input!$D$109),Input!$E$109),Input!$F$109),Input!$G$109),Input!$H$109)</f>
        <v>0</v>
      </c>
      <c r="BJ37" s="190">
        <f>IF($A37&lt;Input!$H$110,IF($A37&lt;Input!$G$110,IF($A37&lt;Input!$F$110,IF($A37&lt;Input!$E$110,IF($A37&lt;Input!$D$110,Input!$C$111,Input!$D$111),Input!$E$111),Input!$F$111),Input!$G$111),Input!$H$111)</f>
        <v>0.9</v>
      </c>
      <c r="BK37" s="60">
        <f t="shared" si="19"/>
        <v>0</v>
      </c>
      <c r="BL37" s="60">
        <f t="shared" si="43"/>
        <v>30</v>
      </c>
      <c r="BM37" s="60">
        <f t="shared" si="20"/>
        <v>0</v>
      </c>
      <c r="BN37" s="60">
        <f>ROUND(BM37*BL37*Input!$C$3/365,0)</f>
        <v>0</v>
      </c>
      <c r="BO37" s="61">
        <f>IF($A37&lt;=Input!$C$6,0,IF('180M'!BK37&lt;'180M'!BM37,'180M'!BK37-BN37,'180M'!BM37))</f>
        <v>0</v>
      </c>
      <c r="BP37" s="61">
        <f t="shared" si="21"/>
        <v>0</v>
      </c>
      <c r="BQ37" s="60">
        <f t="shared" si="22"/>
        <v>0</v>
      </c>
      <c r="BR37" s="198"/>
    </row>
    <row r="38" spans="1:70" x14ac:dyDescent="0.25">
      <c r="A38" s="169">
        <v>34</v>
      </c>
      <c r="B38" s="1">
        <f t="shared" si="23"/>
        <v>46553</v>
      </c>
      <c r="C38" s="60">
        <f t="shared" si="1"/>
        <v>16470000</v>
      </c>
      <c r="D38" s="60">
        <f t="shared" si="2"/>
        <v>14823000</v>
      </c>
      <c r="E38" s="60">
        <f t="shared" si="24"/>
        <v>31</v>
      </c>
      <c r="F38" s="60">
        <f t="shared" si="25"/>
        <v>1419458402.4979434</v>
      </c>
      <c r="G38" s="60">
        <f>ROUND(F38*E38*Input!$C$3/365,0)</f>
        <v>18083511</v>
      </c>
      <c r="H38" s="60">
        <f>IF($A38&lt;=Input!$C$6,0,IF('180M'!D38&lt;'180M'!F38,'180M'!D38-G38,'180M'!F38))</f>
        <v>-3260511</v>
      </c>
      <c r="I38" s="60">
        <f t="shared" si="26"/>
        <v>14823000</v>
      </c>
      <c r="J38" s="60">
        <f t="shared" si="27"/>
        <v>1422718913.4979434</v>
      </c>
      <c r="K38" s="203">
        <f>J38/Input!$K$5</f>
        <v>4.742396378326478</v>
      </c>
      <c r="L38" s="232"/>
      <c r="M38" s="60">
        <f>IF($B38&lt;Input!$H$43,IF($B38&lt;Input!$G$43,IF($B38&lt;Input!$F$43,IF($B38&lt;Input!$E$43,IF($B38&lt;Input!$D$43,Input!$C$49,Input!$D$49),Input!$E$49),Input!$F$49),Input!$G$49),Input!$H$49)</f>
        <v>16470000</v>
      </c>
      <c r="N38" s="190">
        <f>IF($A38&lt;Input!$H$50,IF($A38&lt;Input!$G$50,IF($A38&lt;Input!$F$50,IF($A38&lt;Input!$E$50,IF($A38&lt;Input!$D$50,Input!$C$51,Input!$D$51),Input!$E$51),Input!$F$51),Input!$G$51),Input!$H$51)</f>
        <v>0.9</v>
      </c>
      <c r="O38" s="60">
        <f t="shared" si="44"/>
        <v>14823000</v>
      </c>
      <c r="P38" s="60">
        <f t="shared" si="45"/>
        <v>31</v>
      </c>
      <c r="Q38" s="60">
        <f t="shared" si="4"/>
        <v>1419458402.4979434</v>
      </c>
      <c r="R38" s="60">
        <f>ROUND(Q38*$P38*Input!$C$3/365,0)</f>
        <v>18083511</v>
      </c>
      <c r="S38" s="60">
        <f>IF(A38&lt;=Input!$C$6,0,IF('180M'!O38&lt;'180M'!Q38,'180M'!O38-R38,'180M'!Q38))</f>
        <v>-3260511</v>
      </c>
      <c r="T38" s="60">
        <f t="shared" si="5"/>
        <v>14823000</v>
      </c>
      <c r="U38" s="60">
        <f t="shared" si="6"/>
        <v>1422718913.4979434</v>
      </c>
      <c r="V38" s="193"/>
      <c r="W38" s="169">
        <v>34</v>
      </c>
      <c r="X38" s="1">
        <f t="shared" si="28"/>
        <v>46553</v>
      </c>
      <c r="Y38" s="60">
        <f>IF($X38&lt;Input!$H$58,IF($X38&lt;Input!$G$58,IF($X38&lt;Input!$F$58,IF($X38&lt;Input!$E$58,IF($X38&lt;Input!$D$58,Input!$C$64,Input!$D$64),Input!$E$64),Input!$F$64),Input!$G$64),Input!$H$64)</f>
        <v>0</v>
      </c>
      <c r="Z38" s="190">
        <f>IF($A38&lt;Input!$H$65,IF($A38&lt;Input!$G$65,IF($A38&lt;Input!$F$65,IF($A38&lt;Input!$E$65,IF($A38&lt;Input!$D$65,Input!$C$66,Input!$D$66),Input!$E$66),Input!$F$66),Input!$G$66),Input!$H$66)</f>
        <v>0.9</v>
      </c>
      <c r="AA38" s="60">
        <f t="shared" si="7"/>
        <v>0</v>
      </c>
      <c r="AB38" s="60">
        <f t="shared" si="29"/>
        <v>31</v>
      </c>
      <c r="AC38" s="60">
        <f t="shared" si="8"/>
        <v>0</v>
      </c>
      <c r="AD38" s="60">
        <f>ROUND(AC38*AB38*Input!$C$3/365,0)</f>
        <v>0</v>
      </c>
      <c r="AE38" s="61">
        <f>IF($A38&lt;=Input!$C$6,0,IF('180M'!AA38&lt;'180M'!AC38,'180M'!AA38-AD38,'180M'!AC38))</f>
        <v>0</v>
      </c>
      <c r="AF38" s="61">
        <f t="shared" si="9"/>
        <v>0</v>
      </c>
      <c r="AG38" s="60">
        <f t="shared" si="10"/>
        <v>0</v>
      </c>
      <c r="AH38" s="193"/>
      <c r="AI38" s="169">
        <v>34</v>
      </c>
      <c r="AJ38" s="1">
        <f t="shared" si="30"/>
        <v>46553</v>
      </c>
      <c r="AK38" s="60">
        <f>IF($X38&lt;Input!$H$73,IF($X38&lt;Input!$G$73,IF($X38&lt;Input!$F$73,IF($X38&lt;Input!$E$73,IF($X38&lt;Input!$D$73,Input!$C$79,Input!$D$79),Input!$E$79),Input!$F$79),Input!$G$79),Input!$H$79)</f>
        <v>0</v>
      </c>
      <c r="AL38" s="190">
        <f>IF($A38&lt;Input!$H$80,IF($A38&lt;Input!$G$80,IF($A38&lt;Input!$F$80,IF($A38&lt;Input!$E$80,IF($A38&lt;Input!$D$80,Input!$C$81,Input!$D$81),Input!$E$81),Input!$F$81),Input!$G$81),Input!$H$81)</f>
        <v>0.9</v>
      </c>
      <c r="AM38" s="60">
        <f t="shared" si="31"/>
        <v>0</v>
      </c>
      <c r="AN38" s="60">
        <f t="shared" si="32"/>
        <v>31</v>
      </c>
      <c r="AO38" s="60">
        <f t="shared" si="33"/>
        <v>0</v>
      </c>
      <c r="AP38" s="60">
        <f>ROUND(AO38*AN38*Input!$C$3/365,0)</f>
        <v>0</v>
      </c>
      <c r="AQ38" s="61">
        <f>IF($A38&lt;=Input!$C$6,0,IF('180M'!AM38&lt;'180M'!AO38,'180M'!AM38-AP38,'180M'!AO38))</f>
        <v>0</v>
      </c>
      <c r="AR38" s="61">
        <f t="shared" si="34"/>
        <v>0</v>
      </c>
      <c r="AS38" s="60">
        <f t="shared" si="35"/>
        <v>0</v>
      </c>
      <c r="AT38" s="193"/>
      <c r="AU38" s="169">
        <v>34</v>
      </c>
      <c r="AV38" s="1">
        <f t="shared" si="36"/>
        <v>46553</v>
      </c>
      <c r="AW38" s="60">
        <f>IF($X38&lt;Input!$H$88,IF($X38&lt;Input!$G$88,IF($X38&lt;Input!$F$88,IF($X38&lt;Input!$E$88,IF($X38&lt;Input!$D$88,Input!$C$94,Input!$D$94),Input!$E$94),Input!$F$94),Input!$G$94),Input!$H$94)</f>
        <v>0</v>
      </c>
      <c r="AX38" s="190">
        <f>IF($A38&lt;Input!$H$95,IF($A38&lt;Input!$G$95,IF($A38&lt;Input!$F$95,IF($A38&lt;Input!$E$95,IF($A38&lt;Input!$D$95,Input!$C$96,Input!$D$96),Input!$E$96),Input!$F$96),Input!$G$96),Input!$H$96)</f>
        <v>0.9</v>
      </c>
      <c r="AY38" s="60">
        <f t="shared" si="37"/>
        <v>0</v>
      </c>
      <c r="AZ38" s="60">
        <f t="shared" si="38"/>
        <v>31</v>
      </c>
      <c r="BA38" s="60">
        <f t="shared" si="39"/>
        <v>0</v>
      </c>
      <c r="BB38" s="60">
        <f>ROUND(BA38*AZ38*Input!$C$3/365,0)</f>
        <v>0</v>
      </c>
      <c r="BC38" s="61">
        <f>IF($A38&lt;=Input!$C$6,0,IF('180M'!AY38&lt;'180M'!BA38,'180M'!AY38-BB38,'180M'!BA38))</f>
        <v>0</v>
      </c>
      <c r="BD38" s="61">
        <f t="shared" si="40"/>
        <v>0</v>
      </c>
      <c r="BE38" s="60">
        <f t="shared" si="41"/>
        <v>0</v>
      </c>
      <c r="BF38" s="193"/>
      <c r="BG38" s="169">
        <v>34</v>
      </c>
      <c r="BH38" s="1">
        <f t="shared" si="42"/>
        <v>46553</v>
      </c>
      <c r="BI38" s="60">
        <f>IF($X38&lt;Input!$H$103,IF($X38&lt;Input!$G$103,IF($X38&lt;Input!$F$103,IF($X38&lt;Input!$E$103,IF($X38&lt;Input!$D$103,Input!$C$109,Input!$D$109),Input!$E$109),Input!$F$109),Input!$G$109),Input!$H$109)</f>
        <v>0</v>
      </c>
      <c r="BJ38" s="190">
        <f>IF($A38&lt;Input!$H$110,IF($A38&lt;Input!$G$110,IF($A38&lt;Input!$F$110,IF($A38&lt;Input!$E$110,IF($A38&lt;Input!$D$110,Input!$C$111,Input!$D$111),Input!$E$111),Input!$F$111),Input!$G$111),Input!$H$111)</f>
        <v>0.9</v>
      </c>
      <c r="BK38" s="60">
        <f t="shared" si="19"/>
        <v>0</v>
      </c>
      <c r="BL38" s="60">
        <f t="shared" si="43"/>
        <v>31</v>
      </c>
      <c r="BM38" s="60">
        <f t="shared" si="20"/>
        <v>0</v>
      </c>
      <c r="BN38" s="60">
        <f>ROUND(BM38*BL38*Input!$C$3/365,0)</f>
        <v>0</v>
      </c>
      <c r="BO38" s="61">
        <f>IF($A38&lt;=Input!$C$6,0,IF('180M'!BK38&lt;'180M'!BM38,'180M'!BK38-BN38,'180M'!BM38))</f>
        <v>0</v>
      </c>
      <c r="BP38" s="61">
        <f t="shared" si="21"/>
        <v>0</v>
      </c>
      <c r="BQ38" s="60">
        <f t="shared" si="22"/>
        <v>0</v>
      </c>
      <c r="BR38" s="198"/>
    </row>
    <row r="39" spans="1:70" x14ac:dyDescent="0.25">
      <c r="A39" s="169">
        <v>35</v>
      </c>
      <c r="B39" s="1">
        <f t="shared" si="23"/>
        <v>46583</v>
      </c>
      <c r="C39" s="60">
        <f t="shared" si="1"/>
        <v>16470000</v>
      </c>
      <c r="D39" s="60">
        <f t="shared" si="2"/>
        <v>14823000</v>
      </c>
      <c r="E39" s="60">
        <f t="shared" si="24"/>
        <v>30</v>
      </c>
      <c r="F39" s="60">
        <f t="shared" si="25"/>
        <v>1422718913.4979434</v>
      </c>
      <c r="G39" s="60">
        <f>ROUND(F39*E39*Input!$C$3/365,0)</f>
        <v>17540370</v>
      </c>
      <c r="H39" s="60">
        <f>IF($A39&lt;=Input!$C$6,0,IF('180M'!D39&lt;'180M'!F39,'180M'!D39-G39,'180M'!F39))</f>
        <v>-2717370</v>
      </c>
      <c r="I39" s="60">
        <f t="shared" si="26"/>
        <v>14823000</v>
      </c>
      <c r="J39" s="60">
        <f t="shared" si="27"/>
        <v>1425436283.4979434</v>
      </c>
      <c r="K39" s="203">
        <f>J39/Input!$K$5</f>
        <v>4.7514542783264782</v>
      </c>
      <c r="L39" s="232"/>
      <c r="M39" s="60">
        <f>IF($B39&lt;Input!$H$43,IF($B39&lt;Input!$G$43,IF($B39&lt;Input!$F$43,IF($B39&lt;Input!$E$43,IF($B39&lt;Input!$D$43,Input!$C$49,Input!$D$49),Input!$E$49),Input!$F$49),Input!$G$49),Input!$H$49)</f>
        <v>16470000</v>
      </c>
      <c r="N39" s="190">
        <f>IF($A39&lt;Input!$H$50,IF($A39&lt;Input!$G$50,IF($A39&lt;Input!$F$50,IF($A39&lt;Input!$E$50,IF($A39&lt;Input!$D$50,Input!$C$51,Input!$D$51),Input!$E$51),Input!$F$51),Input!$G$51),Input!$H$51)</f>
        <v>0.9</v>
      </c>
      <c r="O39" s="60">
        <f t="shared" si="44"/>
        <v>14823000</v>
      </c>
      <c r="P39" s="60">
        <f t="shared" si="45"/>
        <v>30</v>
      </c>
      <c r="Q39" s="60">
        <f t="shared" si="4"/>
        <v>1422718913.4979434</v>
      </c>
      <c r="R39" s="60">
        <f>ROUND(Q39*$P39*Input!$C$3/365,0)</f>
        <v>17540370</v>
      </c>
      <c r="S39" s="60">
        <f>IF(A39&lt;=Input!$C$6,0,IF('180M'!O39&lt;'180M'!Q39,'180M'!O39-R39,'180M'!Q39))</f>
        <v>-2717370</v>
      </c>
      <c r="T39" s="60">
        <f t="shared" si="5"/>
        <v>14823000</v>
      </c>
      <c r="U39" s="60">
        <f t="shared" si="6"/>
        <v>1425436283.4979434</v>
      </c>
      <c r="V39" s="193"/>
      <c r="W39" s="169">
        <v>35</v>
      </c>
      <c r="X39" s="1">
        <f t="shared" si="28"/>
        <v>46583</v>
      </c>
      <c r="Y39" s="60">
        <f>IF($X39&lt;Input!$H$58,IF($X39&lt;Input!$G$58,IF($X39&lt;Input!$F$58,IF($X39&lt;Input!$E$58,IF($X39&lt;Input!$D$58,Input!$C$64,Input!$D$64),Input!$E$64),Input!$F$64),Input!$G$64),Input!$H$64)</f>
        <v>0</v>
      </c>
      <c r="Z39" s="190">
        <f>IF($A39&lt;Input!$H$65,IF($A39&lt;Input!$G$65,IF($A39&lt;Input!$F$65,IF($A39&lt;Input!$E$65,IF($A39&lt;Input!$D$65,Input!$C$66,Input!$D$66),Input!$E$66),Input!$F$66),Input!$G$66),Input!$H$66)</f>
        <v>0.9</v>
      </c>
      <c r="AA39" s="60">
        <f t="shared" si="7"/>
        <v>0</v>
      </c>
      <c r="AB39" s="60">
        <f t="shared" si="29"/>
        <v>30</v>
      </c>
      <c r="AC39" s="60">
        <f t="shared" si="8"/>
        <v>0</v>
      </c>
      <c r="AD39" s="60">
        <f>ROUND(AC39*AB39*Input!$C$3/365,0)</f>
        <v>0</v>
      </c>
      <c r="AE39" s="61">
        <f>IF($A39&lt;=Input!$C$6,0,IF('180M'!AA39&lt;'180M'!AC39,'180M'!AA39-AD39,'180M'!AC39))</f>
        <v>0</v>
      </c>
      <c r="AF39" s="61">
        <f t="shared" si="9"/>
        <v>0</v>
      </c>
      <c r="AG39" s="60">
        <f t="shared" si="10"/>
        <v>0</v>
      </c>
      <c r="AH39" s="193"/>
      <c r="AI39" s="169">
        <v>35</v>
      </c>
      <c r="AJ39" s="1">
        <f t="shared" si="30"/>
        <v>46583</v>
      </c>
      <c r="AK39" s="60">
        <f>IF($X39&lt;Input!$H$73,IF($X39&lt;Input!$G$73,IF($X39&lt;Input!$F$73,IF($X39&lt;Input!$E$73,IF($X39&lt;Input!$D$73,Input!$C$79,Input!$D$79),Input!$E$79),Input!$F$79),Input!$G$79),Input!$H$79)</f>
        <v>0</v>
      </c>
      <c r="AL39" s="190">
        <f>IF($A39&lt;Input!$H$80,IF($A39&lt;Input!$G$80,IF($A39&lt;Input!$F$80,IF($A39&lt;Input!$E$80,IF($A39&lt;Input!$D$80,Input!$C$81,Input!$D$81),Input!$E$81),Input!$F$81),Input!$G$81),Input!$H$81)</f>
        <v>0.9</v>
      </c>
      <c r="AM39" s="60">
        <f t="shared" si="31"/>
        <v>0</v>
      </c>
      <c r="AN39" s="60">
        <f t="shared" si="32"/>
        <v>30</v>
      </c>
      <c r="AO39" s="60">
        <f t="shared" si="33"/>
        <v>0</v>
      </c>
      <c r="AP39" s="60">
        <f>ROUND(AO39*AN39*Input!$C$3/365,0)</f>
        <v>0</v>
      </c>
      <c r="AQ39" s="61">
        <f>IF($A39&lt;=Input!$C$6,0,IF('180M'!AM39&lt;'180M'!AO39,'180M'!AM39-AP39,'180M'!AO39))</f>
        <v>0</v>
      </c>
      <c r="AR39" s="61">
        <f t="shared" si="34"/>
        <v>0</v>
      </c>
      <c r="AS39" s="60">
        <f t="shared" si="35"/>
        <v>0</v>
      </c>
      <c r="AT39" s="193"/>
      <c r="AU39" s="169">
        <v>35</v>
      </c>
      <c r="AV39" s="1">
        <f t="shared" si="36"/>
        <v>46583</v>
      </c>
      <c r="AW39" s="60">
        <f>IF($X39&lt;Input!$H$88,IF($X39&lt;Input!$G$88,IF($X39&lt;Input!$F$88,IF($X39&lt;Input!$E$88,IF($X39&lt;Input!$D$88,Input!$C$94,Input!$D$94),Input!$E$94),Input!$F$94),Input!$G$94),Input!$H$94)</f>
        <v>0</v>
      </c>
      <c r="AX39" s="190">
        <f>IF($A39&lt;Input!$H$95,IF($A39&lt;Input!$G$95,IF($A39&lt;Input!$F$95,IF($A39&lt;Input!$E$95,IF($A39&lt;Input!$D$95,Input!$C$96,Input!$D$96),Input!$E$96),Input!$F$96),Input!$G$96),Input!$H$96)</f>
        <v>0.9</v>
      </c>
      <c r="AY39" s="60">
        <f t="shared" si="37"/>
        <v>0</v>
      </c>
      <c r="AZ39" s="60">
        <f t="shared" si="38"/>
        <v>30</v>
      </c>
      <c r="BA39" s="60">
        <f t="shared" si="39"/>
        <v>0</v>
      </c>
      <c r="BB39" s="60">
        <f>ROUND(BA39*AZ39*Input!$C$3/365,0)</f>
        <v>0</v>
      </c>
      <c r="BC39" s="61">
        <f>IF($A39&lt;=Input!$C$6,0,IF('180M'!AY39&lt;'180M'!BA39,'180M'!AY39-BB39,'180M'!BA39))</f>
        <v>0</v>
      </c>
      <c r="BD39" s="61">
        <f t="shared" si="40"/>
        <v>0</v>
      </c>
      <c r="BE39" s="60">
        <f t="shared" si="41"/>
        <v>0</v>
      </c>
      <c r="BF39" s="193"/>
      <c r="BG39" s="169">
        <v>35</v>
      </c>
      <c r="BH39" s="1">
        <f t="shared" si="42"/>
        <v>46583</v>
      </c>
      <c r="BI39" s="60">
        <f>IF($X39&lt;Input!$H$103,IF($X39&lt;Input!$G$103,IF($X39&lt;Input!$F$103,IF($X39&lt;Input!$E$103,IF($X39&lt;Input!$D$103,Input!$C$109,Input!$D$109),Input!$E$109),Input!$F$109),Input!$G$109),Input!$H$109)</f>
        <v>0</v>
      </c>
      <c r="BJ39" s="190">
        <f>IF($A39&lt;Input!$H$110,IF($A39&lt;Input!$G$110,IF($A39&lt;Input!$F$110,IF($A39&lt;Input!$E$110,IF($A39&lt;Input!$D$110,Input!$C$111,Input!$D$111),Input!$E$111),Input!$F$111),Input!$G$111),Input!$H$111)</f>
        <v>0.9</v>
      </c>
      <c r="BK39" s="60">
        <f t="shared" si="19"/>
        <v>0</v>
      </c>
      <c r="BL39" s="60">
        <f t="shared" si="43"/>
        <v>30</v>
      </c>
      <c r="BM39" s="60">
        <f t="shared" si="20"/>
        <v>0</v>
      </c>
      <c r="BN39" s="60">
        <f>ROUND(BM39*BL39*Input!$C$3/365,0)</f>
        <v>0</v>
      </c>
      <c r="BO39" s="61">
        <f>IF($A39&lt;=Input!$C$6,0,IF('180M'!BK39&lt;'180M'!BM39,'180M'!BK39-BN39,'180M'!BM39))</f>
        <v>0</v>
      </c>
      <c r="BP39" s="61">
        <f t="shared" si="21"/>
        <v>0</v>
      </c>
      <c r="BQ39" s="60">
        <f t="shared" si="22"/>
        <v>0</v>
      </c>
      <c r="BR39" s="198"/>
    </row>
    <row r="40" spans="1:70" x14ac:dyDescent="0.25">
      <c r="A40" s="169">
        <v>36</v>
      </c>
      <c r="B40" s="1">
        <f t="shared" si="23"/>
        <v>46614</v>
      </c>
      <c r="C40" s="60">
        <f t="shared" si="1"/>
        <v>16470000</v>
      </c>
      <c r="D40" s="60">
        <f t="shared" si="2"/>
        <v>14823000</v>
      </c>
      <c r="E40" s="60">
        <f t="shared" si="24"/>
        <v>31</v>
      </c>
      <c r="F40" s="60">
        <f t="shared" si="25"/>
        <v>1425436283.4979434</v>
      </c>
      <c r="G40" s="60">
        <f>ROUND(F40*E40*Input!$C$3/365,0)</f>
        <v>18159668</v>
      </c>
      <c r="H40" s="60">
        <f>IF($A40&lt;=Input!$C$6,0,IF('180M'!D40&lt;'180M'!F40,'180M'!D40-G40,'180M'!F40))</f>
        <v>-3336668</v>
      </c>
      <c r="I40" s="60">
        <f t="shared" si="26"/>
        <v>14823000</v>
      </c>
      <c r="J40" s="60">
        <f t="shared" si="27"/>
        <v>1428772951.4979434</v>
      </c>
      <c r="K40" s="203">
        <f>J40/Input!$K$5</f>
        <v>4.7625765049931443</v>
      </c>
      <c r="L40" s="232"/>
      <c r="M40" s="60">
        <f>IF($B40&lt;Input!$H$43,IF($B40&lt;Input!$G$43,IF($B40&lt;Input!$F$43,IF($B40&lt;Input!$E$43,IF($B40&lt;Input!$D$43,Input!$C$49,Input!$D$49),Input!$E$49),Input!$F$49),Input!$G$49),Input!$H$49)</f>
        <v>16470000</v>
      </c>
      <c r="N40" s="190">
        <f>IF($A40&lt;Input!$H$50,IF($A40&lt;Input!$G$50,IF($A40&lt;Input!$F$50,IF($A40&lt;Input!$E$50,IF($A40&lt;Input!$D$50,Input!$C$51,Input!$D$51),Input!$E$51),Input!$F$51),Input!$G$51),Input!$H$51)</f>
        <v>0.9</v>
      </c>
      <c r="O40" s="60">
        <f t="shared" si="44"/>
        <v>14823000</v>
      </c>
      <c r="P40" s="60">
        <f t="shared" si="45"/>
        <v>31</v>
      </c>
      <c r="Q40" s="60">
        <f t="shared" si="4"/>
        <v>1425436283.4979434</v>
      </c>
      <c r="R40" s="60">
        <f>ROUND(Q40*$P40*Input!$C$3/365,0)</f>
        <v>18159668</v>
      </c>
      <c r="S40" s="60">
        <f>IF(A40&lt;=Input!$C$6,0,IF('180M'!O40&lt;'180M'!Q40,'180M'!O40-R40,'180M'!Q40))</f>
        <v>-3336668</v>
      </c>
      <c r="T40" s="60">
        <f t="shared" si="5"/>
        <v>14823000</v>
      </c>
      <c r="U40" s="60">
        <f t="shared" si="6"/>
        <v>1428772951.4979434</v>
      </c>
      <c r="V40" s="193"/>
      <c r="W40" s="169">
        <v>36</v>
      </c>
      <c r="X40" s="1">
        <f t="shared" si="28"/>
        <v>46614</v>
      </c>
      <c r="Y40" s="60">
        <f>IF($X40&lt;Input!$H$58,IF($X40&lt;Input!$G$58,IF($X40&lt;Input!$F$58,IF($X40&lt;Input!$E$58,IF($X40&lt;Input!$D$58,Input!$C$64,Input!$D$64),Input!$E$64),Input!$F$64),Input!$G$64),Input!$H$64)</f>
        <v>0</v>
      </c>
      <c r="Z40" s="190">
        <f>IF($A40&lt;Input!$H$65,IF($A40&lt;Input!$G$65,IF($A40&lt;Input!$F$65,IF($A40&lt;Input!$E$65,IF($A40&lt;Input!$D$65,Input!$C$66,Input!$D$66),Input!$E$66),Input!$F$66),Input!$G$66),Input!$H$66)</f>
        <v>0.9</v>
      </c>
      <c r="AA40" s="60">
        <f t="shared" si="7"/>
        <v>0</v>
      </c>
      <c r="AB40" s="60">
        <f t="shared" si="29"/>
        <v>31</v>
      </c>
      <c r="AC40" s="60">
        <f t="shared" si="8"/>
        <v>0</v>
      </c>
      <c r="AD40" s="60">
        <f>ROUND(AC40*AB40*Input!$C$3/365,0)</f>
        <v>0</v>
      </c>
      <c r="AE40" s="61">
        <f>IF($A40&lt;=Input!$C$6,0,IF('180M'!AA40&lt;'180M'!AC40,'180M'!AA40-AD40,'180M'!AC40))</f>
        <v>0</v>
      </c>
      <c r="AF40" s="61">
        <f t="shared" si="9"/>
        <v>0</v>
      </c>
      <c r="AG40" s="60">
        <f t="shared" si="10"/>
        <v>0</v>
      </c>
      <c r="AH40" s="193"/>
      <c r="AI40" s="169">
        <v>36</v>
      </c>
      <c r="AJ40" s="1">
        <f t="shared" si="30"/>
        <v>46614</v>
      </c>
      <c r="AK40" s="60">
        <f>IF($X40&lt;Input!$H$73,IF($X40&lt;Input!$G$73,IF($X40&lt;Input!$F$73,IF($X40&lt;Input!$E$73,IF($X40&lt;Input!$D$73,Input!$C$79,Input!$D$79),Input!$E$79),Input!$F$79),Input!$G$79),Input!$H$79)</f>
        <v>0</v>
      </c>
      <c r="AL40" s="190">
        <f>IF($A40&lt;Input!$H$80,IF($A40&lt;Input!$G$80,IF($A40&lt;Input!$F$80,IF($A40&lt;Input!$E$80,IF($A40&lt;Input!$D$80,Input!$C$81,Input!$D$81),Input!$E$81),Input!$F$81),Input!$G$81),Input!$H$81)</f>
        <v>0.9</v>
      </c>
      <c r="AM40" s="60">
        <f t="shared" si="31"/>
        <v>0</v>
      </c>
      <c r="AN40" s="60">
        <f t="shared" si="32"/>
        <v>31</v>
      </c>
      <c r="AO40" s="60">
        <f t="shared" si="33"/>
        <v>0</v>
      </c>
      <c r="AP40" s="60">
        <f>ROUND(AO40*AN40*Input!$C$3/365,0)</f>
        <v>0</v>
      </c>
      <c r="AQ40" s="61">
        <f>IF($A40&lt;=Input!$C$6,0,IF('180M'!AM40&lt;'180M'!AO40,'180M'!AM40-AP40,'180M'!AO40))</f>
        <v>0</v>
      </c>
      <c r="AR40" s="61">
        <f t="shared" si="34"/>
        <v>0</v>
      </c>
      <c r="AS40" s="60">
        <f t="shared" si="35"/>
        <v>0</v>
      </c>
      <c r="AT40" s="193"/>
      <c r="AU40" s="169">
        <v>36</v>
      </c>
      <c r="AV40" s="1">
        <f t="shared" si="36"/>
        <v>46614</v>
      </c>
      <c r="AW40" s="60">
        <f>IF($X40&lt;Input!$H$88,IF($X40&lt;Input!$G$88,IF($X40&lt;Input!$F$88,IF($X40&lt;Input!$E$88,IF($X40&lt;Input!$D$88,Input!$C$94,Input!$D$94),Input!$E$94),Input!$F$94),Input!$G$94),Input!$H$94)</f>
        <v>0</v>
      </c>
      <c r="AX40" s="190">
        <f>IF($A40&lt;Input!$H$95,IF($A40&lt;Input!$G$95,IF($A40&lt;Input!$F$95,IF($A40&lt;Input!$E$95,IF($A40&lt;Input!$D$95,Input!$C$96,Input!$D$96),Input!$E$96),Input!$F$96),Input!$G$96),Input!$H$96)</f>
        <v>0.9</v>
      </c>
      <c r="AY40" s="60">
        <f t="shared" si="37"/>
        <v>0</v>
      </c>
      <c r="AZ40" s="60">
        <f t="shared" si="38"/>
        <v>31</v>
      </c>
      <c r="BA40" s="60">
        <f t="shared" si="39"/>
        <v>0</v>
      </c>
      <c r="BB40" s="60">
        <f>ROUND(BA40*AZ40*Input!$C$3/365,0)</f>
        <v>0</v>
      </c>
      <c r="BC40" s="61">
        <f>IF($A40&lt;=Input!$C$6,0,IF('180M'!AY40&lt;'180M'!BA40,'180M'!AY40-BB40,'180M'!BA40))</f>
        <v>0</v>
      </c>
      <c r="BD40" s="61">
        <f t="shared" si="40"/>
        <v>0</v>
      </c>
      <c r="BE40" s="60">
        <f t="shared" si="41"/>
        <v>0</v>
      </c>
      <c r="BF40" s="193"/>
      <c r="BG40" s="169">
        <v>36</v>
      </c>
      <c r="BH40" s="1">
        <f t="shared" si="42"/>
        <v>46614</v>
      </c>
      <c r="BI40" s="60">
        <f>IF($X40&lt;Input!$H$103,IF($X40&lt;Input!$G$103,IF($X40&lt;Input!$F$103,IF($X40&lt;Input!$E$103,IF($X40&lt;Input!$D$103,Input!$C$109,Input!$D$109),Input!$E$109),Input!$F$109),Input!$G$109),Input!$H$109)</f>
        <v>0</v>
      </c>
      <c r="BJ40" s="190">
        <f>IF($A40&lt;Input!$H$110,IF($A40&lt;Input!$G$110,IF($A40&lt;Input!$F$110,IF($A40&lt;Input!$E$110,IF($A40&lt;Input!$D$110,Input!$C$111,Input!$D$111),Input!$E$111),Input!$F$111),Input!$G$111),Input!$H$111)</f>
        <v>0.9</v>
      </c>
      <c r="BK40" s="60">
        <f t="shared" si="19"/>
        <v>0</v>
      </c>
      <c r="BL40" s="60">
        <f t="shared" si="43"/>
        <v>31</v>
      </c>
      <c r="BM40" s="60">
        <f t="shared" si="20"/>
        <v>0</v>
      </c>
      <c r="BN40" s="60">
        <f>ROUND(BM40*BL40*Input!$C$3/365,0)</f>
        <v>0</v>
      </c>
      <c r="BO40" s="61">
        <f>IF($A40&lt;=Input!$C$6,0,IF('180M'!BK40&lt;'180M'!BM40,'180M'!BK40-BN40,'180M'!BM40))</f>
        <v>0</v>
      </c>
      <c r="BP40" s="61">
        <f t="shared" si="21"/>
        <v>0</v>
      </c>
      <c r="BQ40" s="60">
        <f t="shared" si="22"/>
        <v>0</v>
      </c>
      <c r="BR40" s="198"/>
    </row>
    <row r="41" spans="1:70" x14ac:dyDescent="0.25">
      <c r="A41" s="169">
        <v>37</v>
      </c>
      <c r="B41" s="1">
        <f t="shared" si="23"/>
        <v>46645</v>
      </c>
      <c r="C41" s="60">
        <f t="shared" si="1"/>
        <v>18940500</v>
      </c>
      <c r="D41" s="60">
        <f t="shared" si="2"/>
        <v>17046450</v>
      </c>
      <c r="E41" s="60">
        <f t="shared" si="24"/>
        <v>31</v>
      </c>
      <c r="F41" s="60">
        <f t="shared" si="25"/>
        <v>1428772951.4979434</v>
      </c>
      <c r="G41" s="60">
        <f>ROUND(F41*E41*Input!$C$3/365,0)</f>
        <v>18202176</v>
      </c>
      <c r="H41" s="60">
        <f>IF($A41&lt;=Input!$C$6,0,IF('180M'!D41&lt;'180M'!F41,'180M'!D41-G41,'180M'!F41))</f>
        <v>-1155726</v>
      </c>
      <c r="I41" s="60">
        <f t="shared" si="26"/>
        <v>17046450</v>
      </c>
      <c r="J41" s="60">
        <f t="shared" si="27"/>
        <v>1429928677.4979434</v>
      </c>
      <c r="K41" s="203">
        <f>J41/Input!$K$5</f>
        <v>4.7664289249931446</v>
      </c>
      <c r="L41" s="232"/>
      <c r="M41" s="60">
        <f>IF($B41&lt;Input!$H$43,IF($B41&lt;Input!$G$43,IF($B41&lt;Input!$F$43,IF($B41&lt;Input!$E$43,IF($B41&lt;Input!$D$43,Input!$C$49,Input!$D$49),Input!$E$49),Input!$F$49),Input!$G$49),Input!$H$49)</f>
        <v>18940500</v>
      </c>
      <c r="N41" s="190">
        <f>IF($A41&lt;Input!$H$50,IF($A41&lt;Input!$G$50,IF($A41&lt;Input!$F$50,IF($A41&lt;Input!$E$50,IF($A41&lt;Input!$D$50,Input!$C$51,Input!$D$51),Input!$E$51),Input!$F$51),Input!$G$51),Input!$H$51)</f>
        <v>0.9</v>
      </c>
      <c r="O41" s="60">
        <f t="shared" si="44"/>
        <v>17046450</v>
      </c>
      <c r="P41" s="60">
        <f t="shared" si="45"/>
        <v>31</v>
      </c>
      <c r="Q41" s="60">
        <f t="shared" si="4"/>
        <v>1428772951.4979434</v>
      </c>
      <c r="R41" s="60">
        <f>ROUND(Q41*$P41*Input!$C$3/365,0)</f>
        <v>18202176</v>
      </c>
      <c r="S41" s="60">
        <f>IF(A41&lt;=Input!$C$6,0,IF('180M'!O41&lt;'180M'!Q41,'180M'!O41-R41,'180M'!Q41))</f>
        <v>-1155726</v>
      </c>
      <c r="T41" s="60">
        <f t="shared" si="5"/>
        <v>17046450</v>
      </c>
      <c r="U41" s="60">
        <f t="shared" si="6"/>
        <v>1429928677.4979434</v>
      </c>
      <c r="V41" s="193"/>
      <c r="W41" s="169">
        <v>37</v>
      </c>
      <c r="X41" s="1">
        <f t="shared" si="28"/>
        <v>46645</v>
      </c>
      <c r="Y41" s="60">
        <f>IF($X41&lt;Input!$H$58,IF($X41&lt;Input!$G$58,IF($X41&lt;Input!$F$58,IF($X41&lt;Input!$E$58,IF($X41&lt;Input!$D$58,Input!$C$64,Input!$D$64),Input!$E$64),Input!$F$64),Input!$G$64),Input!$H$64)</f>
        <v>0</v>
      </c>
      <c r="Z41" s="190">
        <f>IF($A41&lt;Input!$H$65,IF($A41&lt;Input!$G$65,IF($A41&lt;Input!$F$65,IF($A41&lt;Input!$E$65,IF($A41&lt;Input!$D$65,Input!$C$66,Input!$D$66),Input!$E$66),Input!$F$66),Input!$G$66),Input!$H$66)</f>
        <v>0.9</v>
      </c>
      <c r="AA41" s="60">
        <f t="shared" si="7"/>
        <v>0</v>
      </c>
      <c r="AB41" s="60">
        <f t="shared" si="29"/>
        <v>31</v>
      </c>
      <c r="AC41" s="60">
        <f t="shared" si="8"/>
        <v>0</v>
      </c>
      <c r="AD41" s="60">
        <f>ROUND(AC41*AB41*Input!$C$3/365,0)</f>
        <v>0</v>
      </c>
      <c r="AE41" s="61">
        <f>IF($A41&lt;=Input!$C$6,0,IF('180M'!AA41&lt;'180M'!AC41,'180M'!AA41-AD41,'180M'!AC41))</f>
        <v>0</v>
      </c>
      <c r="AF41" s="61">
        <f t="shared" si="9"/>
        <v>0</v>
      </c>
      <c r="AG41" s="60">
        <f t="shared" si="10"/>
        <v>0</v>
      </c>
      <c r="AH41" s="193"/>
      <c r="AI41" s="169">
        <v>37</v>
      </c>
      <c r="AJ41" s="1">
        <f t="shared" si="30"/>
        <v>46645</v>
      </c>
      <c r="AK41" s="60">
        <f>IF($X41&lt;Input!$H$73,IF($X41&lt;Input!$G$73,IF($X41&lt;Input!$F$73,IF($X41&lt;Input!$E$73,IF($X41&lt;Input!$D$73,Input!$C$79,Input!$D$79),Input!$E$79),Input!$F$79),Input!$G$79),Input!$H$79)</f>
        <v>0</v>
      </c>
      <c r="AL41" s="190">
        <f>IF($A41&lt;Input!$H$80,IF($A41&lt;Input!$G$80,IF($A41&lt;Input!$F$80,IF($A41&lt;Input!$E$80,IF($A41&lt;Input!$D$80,Input!$C$81,Input!$D$81),Input!$E$81),Input!$F$81),Input!$G$81),Input!$H$81)</f>
        <v>0.9</v>
      </c>
      <c r="AM41" s="60">
        <f t="shared" si="31"/>
        <v>0</v>
      </c>
      <c r="AN41" s="60">
        <f t="shared" si="32"/>
        <v>31</v>
      </c>
      <c r="AO41" s="60">
        <f t="shared" si="33"/>
        <v>0</v>
      </c>
      <c r="AP41" s="60">
        <f>ROUND(AO41*AN41*Input!$C$3/365,0)</f>
        <v>0</v>
      </c>
      <c r="AQ41" s="61">
        <f>IF($A41&lt;=Input!$C$6,0,IF('180M'!AM41&lt;'180M'!AO41,'180M'!AM41-AP41,'180M'!AO41))</f>
        <v>0</v>
      </c>
      <c r="AR41" s="61">
        <f t="shared" si="34"/>
        <v>0</v>
      </c>
      <c r="AS41" s="60">
        <f t="shared" si="35"/>
        <v>0</v>
      </c>
      <c r="AT41" s="193"/>
      <c r="AU41" s="169">
        <v>37</v>
      </c>
      <c r="AV41" s="1">
        <f t="shared" si="36"/>
        <v>46645</v>
      </c>
      <c r="AW41" s="60">
        <f>IF($X41&lt;Input!$H$88,IF($X41&lt;Input!$G$88,IF($X41&lt;Input!$F$88,IF($X41&lt;Input!$E$88,IF($X41&lt;Input!$D$88,Input!$C$94,Input!$D$94),Input!$E$94),Input!$F$94),Input!$G$94),Input!$H$94)</f>
        <v>0</v>
      </c>
      <c r="AX41" s="190">
        <f>IF($A41&lt;Input!$H$95,IF($A41&lt;Input!$G$95,IF($A41&lt;Input!$F$95,IF($A41&lt;Input!$E$95,IF($A41&lt;Input!$D$95,Input!$C$96,Input!$D$96),Input!$E$96),Input!$F$96),Input!$G$96),Input!$H$96)</f>
        <v>0.9</v>
      </c>
      <c r="AY41" s="60">
        <f t="shared" si="37"/>
        <v>0</v>
      </c>
      <c r="AZ41" s="60">
        <f t="shared" si="38"/>
        <v>31</v>
      </c>
      <c r="BA41" s="60">
        <f t="shared" si="39"/>
        <v>0</v>
      </c>
      <c r="BB41" s="60">
        <f>ROUND(BA41*AZ41*Input!$C$3/365,0)</f>
        <v>0</v>
      </c>
      <c r="BC41" s="61">
        <f>IF($A41&lt;=Input!$C$6,0,IF('180M'!AY41&lt;'180M'!BA41,'180M'!AY41-BB41,'180M'!BA41))</f>
        <v>0</v>
      </c>
      <c r="BD41" s="61">
        <f t="shared" si="40"/>
        <v>0</v>
      </c>
      <c r="BE41" s="60">
        <f t="shared" si="41"/>
        <v>0</v>
      </c>
      <c r="BF41" s="193"/>
      <c r="BG41" s="169">
        <v>37</v>
      </c>
      <c r="BH41" s="1">
        <f t="shared" si="42"/>
        <v>46645</v>
      </c>
      <c r="BI41" s="60">
        <f>IF($X41&lt;Input!$H$103,IF($X41&lt;Input!$G$103,IF($X41&lt;Input!$F$103,IF($X41&lt;Input!$E$103,IF($X41&lt;Input!$D$103,Input!$C$109,Input!$D$109),Input!$E$109),Input!$F$109),Input!$G$109),Input!$H$109)</f>
        <v>0</v>
      </c>
      <c r="BJ41" s="190">
        <f>IF($A41&lt;Input!$H$110,IF($A41&lt;Input!$G$110,IF($A41&lt;Input!$F$110,IF($A41&lt;Input!$E$110,IF($A41&lt;Input!$D$110,Input!$C$111,Input!$D$111),Input!$E$111),Input!$F$111),Input!$G$111),Input!$H$111)</f>
        <v>0.9</v>
      </c>
      <c r="BK41" s="60">
        <f t="shared" si="19"/>
        <v>0</v>
      </c>
      <c r="BL41" s="60">
        <f t="shared" si="43"/>
        <v>31</v>
      </c>
      <c r="BM41" s="60">
        <f t="shared" si="20"/>
        <v>0</v>
      </c>
      <c r="BN41" s="60">
        <f>ROUND(BM41*BL41*Input!$C$3/365,0)</f>
        <v>0</v>
      </c>
      <c r="BO41" s="61">
        <f>IF($A41&lt;=Input!$C$6,0,IF('180M'!BK41&lt;'180M'!BM41,'180M'!BK41-BN41,'180M'!BM41))</f>
        <v>0</v>
      </c>
      <c r="BP41" s="61">
        <f t="shared" si="21"/>
        <v>0</v>
      </c>
      <c r="BQ41" s="60">
        <f t="shared" si="22"/>
        <v>0</v>
      </c>
      <c r="BR41" s="198"/>
    </row>
    <row r="42" spans="1:70" x14ac:dyDescent="0.25">
      <c r="A42" s="169">
        <v>38</v>
      </c>
      <c r="B42" s="1">
        <f t="shared" si="23"/>
        <v>46675</v>
      </c>
      <c r="C42" s="60">
        <f t="shared" si="1"/>
        <v>18940500</v>
      </c>
      <c r="D42" s="60">
        <f t="shared" si="2"/>
        <v>17046450</v>
      </c>
      <c r="E42" s="60">
        <f t="shared" si="24"/>
        <v>30</v>
      </c>
      <c r="F42" s="60">
        <f t="shared" si="25"/>
        <v>1429928677.4979434</v>
      </c>
      <c r="G42" s="60">
        <f>ROUND(F42*E42*Input!$C$3/365,0)</f>
        <v>17629258</v>
      </c>
      <c r="H42" s="60">
        <f>IF($A42&lt;=Input!$C$6,0,IF('180M'!D42&lt;'180M'!F42,'180M'!D42-G42,'180M'!F42))</f>
        <v>-582808</v>
      </c>
      <c r="I42" s="60">
        <f t="shared" si="26"/>
        <v>17046450</v>
      </c>
      <c r="J42" s="60">
        <f t="shared" si="27"/>
        <v>1430511485.4979434</v>
      </c>
      <c r="K42" s="203">
        <f>J42/Input!$K$5</f>
        <v>4.7683716183264782</v>
      </c>
      <c r="L42" s="232"/>
      <c r="M42" s="60">
        <f>IF($B42&lt;Input!$H$43,IF($B42&lt;Input!$G$43,IF($B42&lt;Input!$F$43,IF($B42&lt;Input!$E$43,IF($B42&lt;Input!$D$43,Input!$C$49,Input!$D$49),Input!$E$49),Input!$F$49),Input!$G$49),Input!$H$49)</f>
        <v>18940500</v>
      </c>
      <c r="N42" s="190">
        <f>IF($A42&lt;Input!$H$50,IF($A42&lt;Input!$G$50,IF($A42&lt;Input!$F$50,IF($A42&lt;Input!$E$50,IF($A42&lt;Input!$D$50,Input!$C$51,Input!$D$51),Input!$E$51),Input!$F$51),Input!$G$51),Input!$H$51)</f>
        <v>0.9</v>
      </c>
      <c r="O42" s="60">
        <f t="shared" si="44"/>
        <v>17046450</v>
      </c>
      <c r="P42" s="60">
        <f t="shared" si="45"/>
        <v>30</v>
      </c>
      <c r="Q42" s="60">
        <f t="shared" si="4"/>
        <v>1429928677.4979434</v>
      </c>
      <c r="R42" s="60">
        <f>ROUND(Q42*$P42*Input!$C$3/365,0)</f>
        <v>17629258</v>
      </c>
      <c r="S42" s="60">
        <f>IF(A42&lt;=Input!$C$6,0,IF('180M'!O42&lt;'180M'!Q42,'180M'!O42-R42,'180M'!Q42))</f>
        <v>-582808</v>
      </c>
      <c r="T42" s="60">
        <f t="shared" si="5"/>
        <v>17046450</v>
      </c>
      <c r="U42" s="60">
        <f t="shared" si="6"/>
        <v>1430511485.4979434</v>
      </c>
      <c r="V42" s="193"/>
      <c r="W42" s="169">
        <v>38</v>
      </c>
      <c r="X42" s="1">
        <f t="shared" si="28"/>
        <v>46675</v>
      </c>
      <c r="Y42" s="60">
        <f>IF($X42&lt;Input!$H$58,IF($X42&lt;Input!$G$58,IF($X42&lt;Input!$F$58,IF($X42&lt;Input!$E$58,IF($X42&lt;Input!$D$58,Input!$C$64,Input!$D$64),Input!$E$64),Input!$F$64),Input!$G$64),Input!$H$64)</f>
        <v>0</v>
      </c>
      <c r="Z42" s="190">
        <f>IF($A42&lt;Input!$H$65,IF($A42&lt;Input!$G$65,IF($A42&lt;Input!$F$65,IF($A42&lt;Input!$E$65,IF($A42&lt;Input!$D$65,Input!$C$66,Input!$D$66),Input!$E$66),Input!$F$66),Input!$G$66),Input!$H$66)</f>
        <v>0.9</v>
      </c>
      <c r="AA42" s="60">
        <f t="shared" si="7"/>
        <v>0</v>
      </c>
      <c r="AB42" s="60">
        <f t="shared" si="29"/>
        <v>30</v>
      </c>
      <c r="AC42" s="60">
        <f t="shared" si="8"/>
        <v>0</v>
      </c>
      <c r="AD42" s="60">
        <f>ROUND(AC42*AB42*Input!$C$3/365,0)</f>
        <v>0</v>
      </c>
      <c r="AE42" s="61">
        <f>IF($A42&lt;=Input!$C$6,0,IF('180M'!AA42&lt;'180M'!AC42,'180M'!AA42-AD42,'180M'!AC42))</f>
        <v>0</v>
      </c>
      <c r="AF42" s="61">
        <f t="shared" si="9"/>
        <v>0</v>
      </c>
      <c r="AG42" s="60">
        <f t="shared" si="10"/>
        <v>0</v>
      </c>
      <c r="AH42" s="193"/>
      <c r="AI42" s="169">
        <v>38</v>
      </c>
      <c r="AJ42" s="1">
        <f t="shared" si="30"/>
        <v>46675</v>
      </c>
      <c r="AK42" s="60">
        <f>IF($X42&lt;Input!$H$73,IF($X42&lt;Input!$G$73,IF($X42&lt;Input!$F$73,IF($X42&lt;Input!$E$73,IF($X42&lt;Input!$D$73,Input!$C$79,Input!$D$79),Input!$E$79),Input!$F$79),Input!$G$79),Input!$H$79)</f>
        <v>0</v>
      </c>
      <c r="AL42" s="190">
        <f>IF($A42&lt;Input!$H$80,IF($A42&lt;Input!$G$80,IF($A42&lt;Input!$F$80,IF($A42&lt;Input!$E$80,IF($A42&lt;Input!$D$80,Input!$C$81,Input!$D$81),Input!$E$81),Input!$F$81),Input!$G$81),Input!$H$81)</f>
        <v>0.9</v>
      </c>
      <c r="AM42" s="60">
        <f t="shared" si="31"/>
        <v>0</v>
      </c>
      <c r="AN42" s="60">
        <f t="shared" si="32"/>
        <v>30</v>
      </c>
      <c r="AO42" s="60">
        <f t="shared" si="33"/>
        <v>0</v>
      </c>
      <c r="AP42" s="60">
        <f>ROUND(AO42*AN42*Input!$C$3/365,0)</f>
        <v>0</v>
      </c>
      <c r="AQ42" s="61">
        <f>IF($A42&lt;=Input!$C$6,0,IF('180M'!AM42&lt;'180M'!AO42,'180M'!AM42-AP42,'180M'!AO42))</f>
        <v>0</v>
      </c>
      <c r="AR42" s="61">
        <f t="shared" si="34"/>
        <v>0</v>
      </c>
      <c r="AS42" s="60">
        <f t="shared" si="35"/>
        <v>0</v>
      </c>
      <c r="AT42" s="193"/>
      <c r="AU42" s="169">
        <v>38</v>
      </c>
      <c r="AV42" s="1">
        <f t="shared" si="36"/>
        <v>46675</v>
      </c>
      <c r="AW42" s="60">
        <f>IF($X42&lt;Input!$H$88,IF($X42&lt;Input!$G$88,IF($X42&lt;Input!$F$88,IF($X42&lt;Input!$E$88,IF($X42&lt;Input!$D$88,Input!$C$94,Input!$D$94),Input!$E$94),Input!$F$94),Input!$G$94),Input!$H$94)</f>
        <v>0</v>
      </c>
      <c r="AX42" s="190">
        <f>IF($A42&lt;Input!$H$95,IF($A42&lt;Input!$G$95,IF($A42&lt;Input!$F$95,IF($A42&lt;Input!$E$95,IF($A42&lt;Input!$D$95,Input!$C$96,Input!$D$96),Input!$E$96),Input!$F$96),Input!$G$96),Input!$H$96)</f>
        <v>0.9</v>
      </c>
      <c r="AY42" s="60">
        <f t="shared" si="37"/>
        <v>0</v>
      </c>
      <c r="AZ42" s="60">
        <f t="shared" si="38"/>
        <v>30</v>
      </c>
      <c r="BA42" s="60">
        <f t="shared" si="39"/>
        <v>0</v>
      </c>
      <c r="BB42" s="60">
        <f>ROUND(BA42*AZ42*Input!$C$3/365,0)</f>
        <v>0</v>
      </c>
      <c r="BC42" s="61">
        <f>IF($A42&lt;=Input!$C$6,0,IF('180M'!AY42&lt;'180M'!BA42,'180M'!AY42-BB42,'180M'!BA42))</f>
        <v>0</v>
      </c>
      <c r="BD42" s="61">
        <f t="shared" si="40"/>
        <v>0</v>
      </c>
      <c r="BE42" s="60">
        <f t="shared" si="41"/>
        <v>0</v>
      </c>
      <c r="BF42" s="193"/>
      <c r="BG42" s="169">
        <v>38</v>
      </c>
      <c r="BH42" s="1">
        <f t="shared" si="42"/>
        <v>46675</v>
      </c>
      <c r="BI42" s="60">
        <f>IF($X42&lt;Input!$H$103,IF($X42&lt;Input!$G$103,IF($X42&lt;Input!$F$103,IF($X42&lt;Input!$E$103,IF($X42&lt;Input!$D$103,Input!$C$109,Input!$D$109),Input!$E$109),Input!$F$109),Input!$G$109),Input!$H$109)</f>
        <v>0</v>
      </c>
      <c r="BJ42" s="190">
        <f>IF($A42&lt;Input!$H$110,IF($A42&lt;Input!$G$110,IF($A42&lt;Input!$F$110,IF($A42&lt;Input!$E$110,IF($A42&lt;Input!$D$110,Input!$C$111,Input!$D$111),Input!$E$111),Input!$F$111),Input!$G$111),Input!$H$111)</f>
        <v>0.9</v>
      </c>
      <c r="BK42" s="60">
        <f t="shared" si="19"/>
        <v>0</v>
      </c>
      <c r="BL42" s="60">
        <f t="shared" si="43"/>
        <v>30</v>
      </c>
      <c r="BM42" s="60">
        <f t="shared" si="20"/>
        <v>0</v>
      </c>
      <c r="BN42" s="60">
        <f>ROUND(BM42*BL42*Input!$C$3/365,0)</f>
        <v>0</v>
      </c>
      <c r="BO42" s="61">
        <f>IF($A42&lt;=Input!$C$6,0,IF('180M'!BK42&lt;'180M'!BM42,'180M'!BK42-BN42,'180M'!BM42))</f>
        <v>0</v>
      </c>
      <c r="BP42" s="61">
        <f t="shared" si="21"/>
        <v>0</v>
      </c>
      <c r="BQ42" s="60">
        <f t="shared" si="22"/>
        <v>0</v>
      </c>
      <c r="BR42" s="198"/>
    </row>
    <row r="43" spans="1:70" x14ac:dyDescent="0.25">
      <c r="A43" s="169">
        <v>39</v>
      </c>
      <c r="B43" s="1">
        <f t="shared" si="23"/>
        <v>46706</v>
      </c>
      <c r="C43" s="60">
        <f t="shared" si="1"/>
        <v>18940500</v>
      </c>
      <c r="D43" s="60">
        <f t="shared" si="2"/>
        <v>17046450</v>
      </c>
      <c r="E43" s="60">
        <f t="shared" si="24"/>
        <v>31</v>
      </c>
      <c r="F43" s="60">
        <f t="shared" si="25"/>
        <v>1430511485.4979434</v>
      </c>
      <c r="G43" s="60">
        <f>ROUND(F43*E43*Input!$C$3/365,0)</f>
        <v>18224324</v>
      </c>
      <c r="H43" s="60">
        <f>IF($A43&lt;=Input!$C$6,0,IF('180M'!D43&lt;'180M'!F43,'180M'!D43-G43,'180M'!F43))</f>
        <v>-1177874</v>
      </c>
      <c r="I43" s="60">
        <f t="shared" si="26"/>
        <v>17046450</v>
      </c>
      <c r="J43" s="60">
        <f t="shared" si="27"/>
        <v>1431689359.4979434</v>
      </c>
      <c r="K43" s="203">
        <f>J43/Input!$K$5</f>
        <v>4.7722978649931447</v>
      </c>
      <c r="L43" s="232"/>
      <c r="M43" s="60">
        <f>IF($B43&lt;Input!$H$43,IF($B43&lt;Input!$G$43,IF($B43&lt;Input!$F$43,IF($B43&lt;Input!$E$43,IF($B43&lt;Input!$D$43,Input!$C$49,Input!$D$49),Input!$E$49),Input!$F$49),Input!$G$49),Input!$H$49)</f>
        <v>18940500</v>
      </c>
      <c r="N43" s="190">
        <f>IF($A43&lt;Input!$H$50,IF($A43&lt;Input!$G$50,IF($A43&lt;Input!$F$50,IF($A43&lt;Input!$E$50,IF($A43&lt;Input!$D$50,Input!$C$51,Input!$D$51),Input!$E$51),Input!$F$51),Input!$G$51),Input!$H$51)</f>
        <v>0.9</v>
      </c>
      <c r="O43" s="60">
        <f t="shared" si="44"/>
        <v>17046450</v>
      </c>
      <c r="P43" s="60">
        <f t="shared" si="45"/>
        <v>31</v>
      </c>
      <c r="Q43" s="60">
        <f t="shared" si="4"/>
        <v>1430511485.4979434</v>
      </c>
      <c r="R43" s="60">
        <f>ROUND(Q43*$P43*Input!$C$3/365,0)</f>
        <v>18224324</v>
      </c>
      <c r="S43" s="60">
        <f>IF(A43&lt;=Input!$C$6,0,IF('180M'!O43&lt;'180M'!Q43,'180M'!O43-R43,'180M'!Q43))</f>
        <v>-1177874</v>
      </c>
      <c r="T43" s="60">
        <f t="shared" si="5"/>
        <v>17046450</v>
      </c>
      <c r="U43" s="60">
        <f t="shared" si="6"/>
        <v>1431689359.4979434</v>
      </c>
      <c r="V43" s="193"/>
      <c r="W43" s="169">
        <v>39</v>
      </c>
      <c r="X43" s="1">
        <f t="shared" si="28"/>
        <v>46706</v>
      </c>
      <c r="Y43" s="60">
        <f>IF($X43&lt;Input!$H$58,IF($X43&lt;Input!$G$58,IF($X43&lt;Input!$F$58,IF($X43&lt;Input!$E$58,IF($X43&lt;Input!$D$58,Input!$C$64,Input!$D$64),Input!$E$64),Input!$F$64),Input!$G$64),Input!$H$64)</f>
        <v>0</v>
      </c>
      <c r="Z43" s="190">
        <f>IF($A43&lt;Input!$H$65,IF($A43&lt;Input!$G$65,IF($A43&lt;Input!$F$65,IF($A43&lt;Input!$E$65,IF($A43&lt;Input!$D$65,Input!$C$66,Input!$D$66),Input!$E$66),Input!$F$66),Input!$G$66),Input!$H$66)</f>
        <v>0.9</v>
      </c>
      <c r="AA43" s="60">
        <f t="shared" si="7"/>
        <v>0</v>
      </c>
      <c r="AB43" s="60">
        <f t="shared" si="29"/>
        <v>31</v>
      </c>
      <c r="AC43" s="60">
        <f t="shared" si="8"/>
        <v>0</v>
      </c>
      <c r="AD43" s="60">
        <f>ROUND(AC43*AB43*Input!$C$3/365,0)</f>
        <v>0</v>
      </c>
      <c r="AE43" s="61">
        <f>IF($A43&lt;=Input!$C$6,0,IF('180M'!AA43&lt;'180M'!AC43,'180M'!AA43-AD43,'180M'!AC43))</f>
        <v>0</v>
      </c>
      <c r="AF43" s="61">
        <f t="shared" si="9"/>
        <v>0</v>
      </c>
      <c r="AG43" s="60">
        <f t="shared" si="10"/>
        <v>0</v>
      </c>
      <c r="AH43" s="193"/>
      <c r="AI43" s="169">
        <v>39</v>
      </c>
      <c r="AJ43" s="1">
        <f t="shared" si="30"/>
        <v>46706</v>
      </c>
      <c r="AK43" s="60">
        <f>IF($X43&lt;Input!$H$73,IF($X43&lt;Input!$G$73,IF($X43&lt;Input!$F$73,IF($X43&lt;Input!$E$73,IF($X43&lt;Input!$D$73,Input!$C$79,Input!$D$79),Input!$E$79),Input!$F$79),Input!$G$79),Input!$H$79)</f>
        <v>0</v>
      </c>
      <c r="AL43" s="190">
        <f>IF($A43&lt;Input!$H$80,IF($A43&lt;Input!$G$80,IF($A43&lt;Input!$F$80,IF($A43&lt;Input!$E$80,IF($A43&lt;Input!$D$80,Input!$C$81,Input!$D$81),Input!$E$81),Input!$F$81),Input!$G$81),Input!$H$81)</f>
        <v>0.9</v>
      </c>
      <c r="AM43" s="60">
        <f t="shared" si="31"/>
        <v>0</v>
      </c>
      <c r="AN43" s="60">
        <f t="shared" si="32"/>
        <v>31</v>
      </c>
      <c r="AO43" s="60">
        <f t="shared" si="33"/>
        <v>0</v>
      </c>
      <c r="AP43" s="60">
        <f>ROUND(AO43*AN43*Input!$C$3/365,0)</f>
        <v>0</v>
      </c>
      <c r="AQ43" s="61">
        <f>IF($A43&lt;=Input!$C$6,0,IF('180M'!AM43&lt;'180M'!AO43,'180M'!AM43-AP43,'180M'!AO43))</f>
        <v>0</v>
      </c>
      <c r="AR43" s="61">
        <f t="shared" si="34"/>
        <v>0</v>
      </c>
      <c r="AS43" s="60">
        <f t="shared" si="35"/>
        <v>0</v>
      </c>
      <c r="AT43" s="193"/>
      <c r="AU43" s="169">
        <v>39</v>
      </c>
      <c r="AV43" s="1">
        <f t="shared" si="36"/>
        <v>46706</v>
      </c>
      <c r="AW43" s="60">
        <f>IF($X43&lt;Input!$H$88,IF($X43&lt;Input!$G$88,IF($X43&lt;Input!$F$88,IF($X43&lt;Input!$E$88,IF($X43&lt;Input!$D$88,Input!$C$94,Input!$D$94),Input!$E$94),Input!$F$94),Input!$G$94),Input!$H$94)</f>
        <v>0</v>
      </c>
      <c r="AX43" s="190">
        <f>IF($A43&lt;Input!$H$95,IF($A43&lt;Input!$G$95,IF($A43&lt;Input!$F$95,IF($A43&lt;Input!$E$95,IF($A43&lt;Input!$D$95,Input!$C$96,Input!$D$96),Input!$E$96),Input!$F$96),Input!$G$96),Input!$H$96)</f>
        <v>0.9</v>
      </c>
      <c r="AY43" s="60">
        <f t="shared" si="37"/>
        <v>0</v>
      </c>
      <c r="AZ43" s="60">
        <f t="shared" si="38"/>
        <v>31</v>
      </c>
      <c r="BA43" s="60">
        <f t="shared" si="39"/>
        <v>0</v>
      </c>
      <c r="BB43" s="60">
        <f>ROUND(BA43*AZ43*Input!$C$3/365,0)</f>
        <v>0</v>
      </c>
      <c r="BC43" s="61">
        <f>IF($A43&lt;=Input!$C$6,0,IF('180M'!AY43&lt;'180M'!BA43,'180M'!AY43-BB43,'180M'!BA43))</f>
        <v>0</v>
      </c>
      <c r="BD43" s="61">
        <f t="shared" si="40"/>
        <v>0</v>
      </c>
      <c r="BE43" s="60">
        <f t="shared" si="41"/>
        <v>0</v>
      </c>
      <c r="BF43" s="193"/>
      <c r="BG43" s="169">
        <v>39</v>
      </c>
      <c r="BH43" s="1">
        <f t="shared" si="42"/>
        <v>46706</v>
      </c>
      <c r="BI43" s="60">
        <f>IF($X43&lt;Input!$H$103,IF($X43&lt;Input!$G$103,IF($X43&lt;Input!$F$103,IF($X43&lt;Input!$E$103,IF($X43&lt;Input!$D$103,Input!$C$109,Input!$D$109),Input!$E$109),Input!$F$109),Input!$G$109),Input!$H$109)</f>
        <v>0</v>
      </c>
      <c r="BJ43" s="190">
        <f>IF($A43&lt;Input!$H$110,IF($A43&lt;Input!$G$110,IF($A43&lt;Input!$F$110,IF($A43&lt;Input!$E$110,IF($A43&lt;Input!$D$110,Input!$C$111,Input!$D$111),Input!$E$111),Input!$F$111),Input!$G$111),Input!$H$111)</f>
        <v>0.9</v>
      </c>
      <c r="BK43" s="60">
        <f t="shared" si="19"/>
        <v>0</v>
      </c>
      <c r="BL43" s="60">
        <f t="shared" si="43"/>
        <v>31</v>
      </c>
      <c r="BM43" s="60">
        <f t="shared" si="20"/>
        <v>0</v>
      </c>
      <c r="BN43" s="60">
        <f>ROUND(BM43*BL43*Input!$C$3/365,0)</f>
        <v>0</v>
      </c>
      <c r="BO43" s="61">
        <f>IF($A43&lt;=Input!$C$6,0,IF('180M'!BK43&lt;'180M'!BM43,'180M'!BK43-BN43,'180M'!BM43))</f>
        <v>0</v>
      </c>
      <c r="BP43" s="61">
        <f t="shared" si="21"/>
        <v>0</v>
      </c>
      <c r="BQ43" s="60">
        <f t="shared" si="22"/>
        <v>0</v>
      </c>
      <c r="BR43" s="198"/>
    </row>
    <row r="44" spans="1:70" x14ac:dyDescent="0.25">
      <c r="A44" s="169">
        <v>40</v>
      </c>
      <c r="B44" s="1">
        <f t="shared" si="23"/>
        <v>46736</v>
      </c>
      <c r="C44" s="60">
        <f t="shared" si="1"/>
        <v>18940500</v>
      </c>
      <c r="D44" s="60">
        <f t="shared" si="2"/>
        <v>17046450</v>
      </c>
      <c r="E44" s="60">
        <f t="shared" si="24"/>
        <v>30</v>
      </c>
      <c r="F44" s="60">
        <f t="shared" si="25"/>
        <v>1431689359.4979434</v>
      </c>
      <c r="G44" s="60">
        <f>ROUND(F44*E44*Input!$C$3/365,0)</f>
        <v>17650965</v>
      </c>
      <c r="H44" s="60">
        <f>IF($A44&lt;=Input!$C$6,0,IF('180M'!D44&lt;'180M'!F44,'180M'!D44-G44,'180M'!F44))</f>
        <v>-604515</v>
      </c>
      <c r="I44" s="60">
        <f t="shared" si="26"/>
        <v>17046450</v>
      </c>
      <c r="J44" s="60">
        <f t="shared" si="27"/>
        <v>1432293874.4979434</v>
      </c>
      <c r="K44" s="203">
        <f>J44/Input!$K$5</f>
        <v>4.7743129149931445</v>
      </c>
      <c r="L44" s="232"/>
      <c r="M44" s="60">
        <f>IF($B44&lt;Input!$H$43,IF($B44&lt;Input!$G$43,IF($B44&lt;Input!$F$43,IF($B44&lt;Input!$E$43,IF($B44&lt;Input!$D$43,Input!$C$49,Input!$D$49),Input!$E$49),Input!$F$49),Input!$G$49),Input!$H$49)</f>
        <v>18940500</v>
      </c>
      <c r="N44" s="190">
        <f>IF($A44&lt;Input!$H$50,IF($A44&lt;Input!$G$50,IF($A44&lt;Input!$F$50,IF($A44&lt;Input!$E$50,IF($A44&lt;Input!$D$50,Input!$C$51,Input!$D$51),Input!$E$51),Input!$F$51),Input!$G$51),Input!$H$51)</f>
        <v>0.9</v>
      </c>
      <c r="O44" s="60">
        <f t="shared" si="44"/>
        <v>17046450</v>
      </c>
      <c r="P44" s="60">
        <f t="shared" si="45"/>
        <v>30</v>
      </c>
      <c r="Q44" s="60">
        <f t="shared" si="4"/>
        <v>1431689359.4979434</v>
      </c>
      <c r="R44" s="60">
        <f>ROUND(Q44*$P44*Input!$C$3/365,0)</f>
        <v>17650965</v>
      </c>
      <c r="S44" s="60">
        <f>IF(A44&lt;=Input!$C$6,0,IF('180M'!O44&lt;'180M'!Q44,'180M'!O44-R44,'180M'!Q44))</f>
        <v>-604515</v>
      </c>
      <c r="T44" s="60">
        <f t="shared" si="5"/>
        <v>17046450</v>
      </c>
      <c r="U44" s="60">
        <f t="shared" si="6"/>
        <v>1432293874.4979434</v>
      </c>
      <c r="V44" s="193"/>
      <c r="W44" s="169">
        <v>40</v>
      </c>
      <c r="X44" s="1">
        <f t="shared" si="28"/>
        <v>46736</v>
      </c>
      <c r="Y44" s="60">
        <f>IF($X44&lt;Input!$H$58,IF($X44&lt;Input!$G$58,IF($X44&lt;Input!$F$58,IF($X44&lt;Input!$E$58,IF($X44&lt;Input!$D$58,Input!$C$64,Input!$D$64),Input!$E$64),Input!$F$64),Input!$G$64),Input!$H$64)</f>
        <v>0</v>
      </c>
      <c r="Z44" s="190">
        <f>IF($A44&lt;Input!$H$65,IF($A44&lt;Input!$G$65,IF($A44&lt;Input!$F$65,IF($A44&lt;Input!$E$65,IF($A44&lt;Input!$D$65,Input!$C$66,Input!$D$66),Input!$E$66),Input!$F$66),Input!$G$66),Input!$H$66)</f>
        <v>0.9</v>
      </c>
      <c r="AA44" s="60">
        <f t="shared" si="7"/>
        <v>0</v>
      </c>
      <c r="AB44" s="60">
        <f t="shared" si="29"/>
        <v>30</v>
      </c>
      <c r="AC44" s="60">
        <f t="shared" si="8"/>
        <v>0</v>
      </c>
      <c r="AD44" s="60">
        <f>ROUND(AC44*AB44*Input!$C$3/365,0)</f>
        <v>0</v>
      </c>
      <c r="AE44" s="61">
        <f>IF($A44&lt;=Input!$C$6,0,IF('180M'!AA44&lt;'180M'!AC44,'180M'!AA44-AD44,'180M'!AC44))</f>
        <v>0</v>
      </c>
      <c r="AF44" s="61">
        <f t="shared" si="9"/>
        <v>0</v>
      </c>
      <c r="AG44" s="60">
        <f t="shared" si="10"/>
        <v>0</v>
      </c>
      <c r="AH44" s="193"/>
      <c r="AI44" s="169">
        <v>40</v>
      </c>
      <c r="AJ44" s="1">
        <f t="shared" si="30"/>
        <v>46736</v>
      </c>
      <c r="AK44" s="60">
        <f>IF($X44&lt;Input!$H$73,IF($X44&lt;Input!$G$73,IF($X44&lt;Input!$F$73,IF($X44&lt;Input!$E$73,IF($X44&lt;Input!$D$73,Input!$C$79,Input!$D$79),Input!$E$79),Input!$F$79),Input!$G$79),Input!$H$79)</f>
        <v>0</v>
      </c>
      <c r="AL44" s="190">
        <f>IF($A44&lt;Input!$H$80,IF($A44&lt;Input!$G$80,IF($A44&lt;Input!$F$80,IF($A44&lt;Input!$E$80,IF($A44&lt;Input!$D$80,Input!$C$81,Input!$D$81),Input!$E$81),Input!$F$81),Input!$G$81),Input!$H$81)</f>
        <v>0.9</v>
      </c>
      <c r="AM44" s="60">
        <f t="shared" si="31"/>
        <v>0</v>
      </c>
      <c r="AN44" s="60">
        <f t="shared" si="32"/>
        <v>30</v>
      </c>
      <c r="AO44" s="60">
        <f t="shared" si="33"/>
        <v>0</v>
      </c>
      <c r="AP44" s="60">
        <f>ROUND(AO44*AN44*Input!$C$3/365,0)</f>
        <v>0</v>
      </c>
      <c r="AQ44" s="61">
        <f>IF($A44&lt;=Input!$C$6,0,IF('180M'!AM44&lt;'180M'!AO44,'180M'!AM44-AP44,'180M'!AO44))</f>
        <v>0</v>
      </c>
      <c r="AR44" s="61">
        <f t="shared" si="34"/>
        <v>0</v>
      </c>
      <c r="AS44" s="60">
        <f t="shared" si="35"/>
        <v>0</v>
      </c>
      <c r="AT44" s="193"/>
      <c r="AU44" s="169">
        <v>40</v>
      </c>
      <c r="AV44" s="1">
        <f t="shared" si="36"/>
        <v>46736</v>
      </c>
      <c r="AW44" s="60">
        <f>IF($X44&lt;Input!$H$88,IF($X44&lt;Input!$G$88,IF($X44&lt;Input!$F$88,IF($X44&lt;Input!$E$88,IF($X44&lt;Input!$D$88,Input!$C$94,Input!$D$94),Input!$E$94),Input!$F$94),Input!$G$94),Input!$H$94)</f>
        <v>0</v>
      </c>
      <c r="AX44" s="190">
        <f>IF($A44&lt;Input!$H$95,IF($A44&lt;Input!$G$95,IF($A44&lt;Input!$F$95,IF($A44&lt;Input!$E$95,IF($A44&lt;Input!$D$95,Input!$C$96,Input!$D$96),Input!$E$96),Input!$F$96),Input!$G$96),Input!$H$96)</f>
        <v>0.9</v>
      </c>
      <c r="AY44" s="60">
        <f t="shared" si="37"/>
        <v>0</v>
      </c>
      <c r="AZ44" s="60">
        <f t="shared" si="38"/>
        <v>30</v>
      </c>
      <c r="BA44" s="60">
        <f t="shared" si="39"/>
        <v>0</v>
      </c>
      <c r="BB44" s="60">
        <f>ROUND(BA44*AZ44*Input!$C$3/365,0)</f>
        <v>0</v>
      </c>
      <c r="BC44" s="61">
        <f>IF($A44&lt;=Input!$C$6,0,IF('180M'!AY44&lt;'180M'!BA44,'180M'!AY44-BB44,'180M'!BA44))</f>
        <v>0</v>
      </c>
      <c r="BD44" s="61">
        <f t="shared" si="40"/>
        <v>0</v>
      </c>
      <c r="BE44" s="60">
        <f t="shared" si="41"/>
        <v>0</v>
      </c>
      <c r="BF44" s="193"/>
      <c r="BG44" s="169">
        <v>40</v>
      </c>
      <c r="BH44" s="1">
        <f t="shared" si="42"/>
        <v>46736</v>
      </c>
      <c r="BI44" s="60">
        <f>IF($X44&lt;Input!$H$103,IF($X44&lt;Input!$G$103,IF($X44&lt;Input!$F$103,IF($X44&lt;Input!$E$103,IF($X44&lt;Input!$D$103,Input!$C$109,Input!$D$109),Input!$E$109),Input!$F$109),Input!$G$109),Input!$H$109)</f>
        <v>0</v>
      </c>
      <c r="BJ44" s="190">
        <f>IF($A44&lt;Input!$H$110,IF($A44&lt;Input!$G$110,IF($A44&lt;Input!$F$110,IF($A44&lt;Input!$E$110,IF($A44&lt;Input!$D$110,Input!$C$111,Input!$D$111),Input!$E$111),Input!$F$111),Input!$G$111),Input!$H$111)</f>
        <v>0.9</v>
      </c>
      <c r="BK44" s="60">
        <f t="shared" si="19"/>
        <v>0</v>
      </c>
      <c r="BL44" s="60">
        <f t="shared" si="43"/>
        <v>30</v>
      </c>
      <c r="BM44" s="60">
        <f t="shared" si="20"/>
        <v>0</v>
      </c>
      <c r="BN44" s="60">
        <f>ROUND(BM44*BL44*Input!$C$3/365,0)</f>
        <v>0</v>
      </c>
      <c r="BO44" s="61">
        <f>IF($A44&lt;=Input!$C$6,0,IF('180M'!BK44&lt;'180M'!BM44,'180M'!BK44-BN44,'180M'!BM44))</f>
        <v>0</v>
      </c>
      <c r="BP44" s="61">
        <f t="shared" si="21"/>
        <v>0</v>
      </c>
      <c r="BQ44" s="60">
        <f t="shared" si="22"/>
        <v>0</v>
      </c>
      <c r="BR44" s="198"/>
    </row>
    <row r="45" spans="1:70" x14ac:dyDescent="0.25">
      <c r="A45" s="169">
        <v>41</v>
      </c>
      <c r="B45" s="1">
        <f t="shared" si="23"/>
        <v>46767</v>
      </c>
      <c r="C45" s="60">
        <f t="shared" si="1"/>
        <v>18940500</v>
      </c>
      <c r="D45" s="60">
        <f t="shared" si="2"/>
        <v>17046450</v>
      </c>
      <c r="E45" s="60">
        <f t="shared" si="24"/>
        <v>31</v>
      </c>
      <c r="F45" s="60">
        <f t="shared" si="25"/>
        <v>1432293874.4979434</v>
      </c>
      <c r="G45" s="60">
        <f>ROUND(F45*E45*Input!$C$3/365,0)</f>
        <v>18247032</v>
      </c>
      <c r="H45" s="60">
        <f>IF($A45&lt;=Input!$C$6,0,IF('180M'!D45&lt;'180M'!F45,'180M'!D45-G45,'180M'!F45))</f>
        <v>-1200582</v>
      </c>
      <c r="I45" s="60">
        <f t="shared" si="26"/>
        <v>17046450</v>
      </c>
      <c r="J45" s="60">
        <f t="shared" si="27"/>
        <v>1433494456.4979434</v>
      </c>
      <c r="K45" s="203">
        <f>J45/Input!$K$5</f>
        <v>4.7783148549931447</v>
      </c>
      <c r="L45" s="232"/>
      <c r="M45" s="60">
        <f>IF($B45&lt;Input!$H$43,IF($B45&lt;Input!$G$43,IF($B45&lt;Input!$F$43,IF($B45&lt;Input!$E$43,IF($B45&lt;Input!$D$43,Input!$C$49,Input!$D$49),Input!$E$49),Input!$F$49),Input!$G$49),Input!$H$49)</f>
        <v>18940500</v>
      </c>
      <c r="N45" s="190">
        <f>IF($A45&lt;Input!$H$50,IF($A45&lt;Input!$G$50,IF($A45&lt;Input!$F$50,IF($A45&lt;Input!$E$50,IF($A45&lt;Input!$D$50,Input!$C$51,Input!$D$51),Input!$E$51),Input!$F$51),Input!$G$51),Input!$H$51)</f>
        <v>0.9</v>
      </c>
      <c r="O45" s="60">
        <f t="shared" si="44"/>
        <v>17046450</v>
      </c>
      <c r="P45" s="60">
        <f t="shared" si="45"/>
        <v>31</v>
      </c>
      <c r="Q45" s="60">
        <f t="shared" si="4"/>
        <v>1432293874.4979434</v>
      </c>
      <c r="R45" s="60">
        <f>ROUND(Q45*$P45*Input!$C$3/365,0)</f>
        <v>18247032</v>
      </c>
      <c r="S45" s="60">
        <f>IF(A45&lt;=Input!$C$6,0,IF('180M'!O45&lt;'180M'!Q45,'180M'!O45-R45,'180M'!Q45))</f>
        <v>-1200582</v>
      </c>
      <c r="T45" s="60">
        <f t="shared" si="5"/>
        <v>17046450</v>
      </c>
      <c r="U45" s="60">
        <f t="shared" si="6"/>
        <v>1433494456.4979434</v>
      </c>
      <c r="V45" s="193"/>
      <c r="W45" s="169">
        <v>41</v>
      </c>
      <c r="X45" s="1">
        <f t="shared" si="28"/>
        <v>46767</v>
      </c>
      <c r="Y45" s="60">
        <f>IF($X45&lt;Input!$H$58,IF($X45&lt;Input!$G$58,IF($X45&lt;Input!$F$58,IF($X45&lt;Input!$E$58,IF($X45&lt;Input!$D$58,Input!$C$64,Input!$D$64),Input!$E$64),Input!$F$64),Input!$G$64),Input!$H$64)</f>
        <v>0</v>
      </c>
      <c r="Z45" s="190">
        <f>IF($A45&lt;Input!$H$65,IF($A45&lt;Input!$G$65,IF($A45&lt;Input!$F$65,IF($A45&lt;Input!$E$65,IF($A45&lt;Input!$D$65,Input!$C$66,Input!$D$66),Input!$E$66),Input!$F$66),Input!$G$66),Input!$H$66)</f>
        <v>0.9</v>
      </c>
      <c r="AA45" s="60">
        <f t="shared" si="7"/>
        <v>0</v>
      </c>
      <c r="AB45" s="60">
        <f t="shared" si="29"/>
        <v>31</v>
      </c>
      <c r="AC45" s="60">
        <f t="shared" si="8"/>
        <v>0</v>
      </c>
      <c r="AD45" s="60">
        <f>ROUND(AC45*AB45*Input!$C$3/365,0)</f>
        <v>0</v>
      </c>
      <c r="AE45" s="61">
        <f>IF($A45&lt;=Input!$C$6,0,IF('180M'!AA45&lt;'180M'!AC45,'180M'!AA45-AD45,'180M'!AC45))</f>
        <v>0</v>
      </c>
      <c r="AF45" s="61">
        <f t="shared" si="9"/>
        <v>0</v>
      </c>
      <c r="AG45" s="60">
        <f t="shared" si="10"/>
        <v>0</v>
      </c>
      <c r="AH45" s="193"/>
      <c r="AI45" s="169">
        <v>41</v>
      </c>
      <c r="AJ45" s="1">
        <f t="shared" si="30"/>
        <v>46767</v>
      </c>
      <c r="AK45" s="60">
        <f>IF($X45&lt;Input!$H$73,IF($X45&lt;Input!$G$73,IF($X45&lt;Input!$F$73,IF($X45&lt;Input!$E$73,IF($X45&lt;Input!$D$73,Input!$C$79,Input!$D$79),Input!$E$79),Input!$F$79),Input!$G$79),Input!$H$79)</f>
        <v>0</v>
      </c>
      <c r="AL45" s="190">
        <f>IF($A45&lt;Input!$H$80,IF($A45&lt;Input!$G$80,IF($A45&lt;Input!$F$80,IF($A45&lt;Input!$E$80,IF($A45&lt;Input!$D$80,Input!$C$81,Input!$D$81),Input!$E$81),Input!$F$81),Input!$G$81),Input!$H$81)</f>
        <v>0.9</v>
      </c>
      <c r="AM45" s="60">
        <f t="shared" si="31"/>
        <v>0</v>
      </c>
      <c r="AN45" s="60">
        <f t="shared" si="32"/>
        <v>31</v>
      </c>
      <c r="AO45" s="60">
        <f t="shared" si="33"/>
        <v>0</v>
      </c>
      <c r="AP45" s="60">
        <f>ROUND(AO45*AN45*Input!$C$3/365,0)</f>
        <v>0</v>
      </c>
      <c r="AQ45" s="61">
        <f>IF($A45&lt;=Input!$C$6,0,IF('180M'!AM45&lt;'180M'!AO45,'180M'!AM45-AP45,'180M'!AO45))</f>
        <v>0</v>
      </c>
      <c r="AR45" s="61">
        <f t="shared" si="34"/>
        <v>0</v>
      </c>
      <c r="AS45" s="60">
        <f t="shared" si="35"/>
        <v>0</v>
      </c>
      <c r="AT45" s="193"/>
      <c r="AU45" s="169">
        <v>41</v>
      </c>
      <c r="AV45" s="1">
        <f t="shared" si="36"/>
        <v>46767</v>
      </c>
      <c r="AW45" s="60">
        <f>IF($X45&lt;Input!$H$88,IF($X45&lt;Input!$G$88,IF($X45&lt;Input!$F$88,IF($X45&lt;Input!$E$88,IF($X45&lt;Input!$D$88,Input!$C$94,Input!$D$94),Input!$E$94),Input!$F$94),Input!$G$94),Input!$H$94)</f>
        <v>0</v>
      </c>
      <c r="AX45" s="190">
        <f>IF($A45&lt;Input!$H$95,IF($A45&lt;Input!$G$95,IF($A45&lt;Input!$F$95,IF($A45&lt;Input!$E$95,IF($A45&lt;Input!$D$95,Input!$C$96,Input!$D$96),Input!$E$96),Input!$F$96),Input!$G$96),Input!$H$96)</f>
        <v>0.9</v>
      </c>
      <c r="AY45" s="60">
        <f t="shared" si="37"/>
        <v>0</v>
      </c>
      <c r="AZ45" s="60">
        <f t="shared" si="38"/>
        <v>31</v>
      </c>
      <c r="BA45" s="60">
        <f t="shared" si="39"/>
        <v>0</v>
      </c>
      <c r="BB45" s="60">
        <f>ROUND(BA45*AZ45*Input!$C$3/365,0)</f>
        <v>0</v>
      </c>
      <c r="BC45" s="61">
        <f>IF($A45&lt;=Input!$C$6,0,IF('180M'!AY45&lt;'180M'!BA45,'180M'!AY45-BB45,'180M'!BA45))</f>
        <v>0</v>
      </c>
      <c r="BD45" s="61">
        <f t="shared" si="40"/>
        <v>0</v>
      </c>
      <c r="BE45" s="60">
        <f t="shared" si="41"/>
        <v>0</v>
      </c>
      <c r="BF45" s="193"/>
      <c r="BG45" s="169">
        <v>41</v>
      </c>
      <c r="BH45" s="1">
        <f t="shared" si="42"/>
        <v>46767</v>
      </c>
      <c r="BI45" s="60">
        <f>IF($X45&lt;Input!$H$103,IF($X45&lt;Input!$G$103,IF($X45&lt;Input!$F$103,IF($X45&lt;Input!$E$103,IF($X45&lt;Input!$D$103,Input!$C$109,Input!$D$109),Input!$E$109),Input!$F$109),Input!$G$109),Input!$H$109)</f>
        <v>0</v>
      </c>
      <c r="BJ45" s="190">
        <f>IF($A45&lt;Input!$H$110,IF($A45&lt;Input!$G$110,IF($A45&lt;Input!$F$110,IF($A45&lt;Input!$E$110,IF($A45&lt;Input!$D$110,Input!$C$111,Input!$D$111),Input!$E$111),Input!$F$111),Input!$G$111),Input!$H$111)</f>
        <v>0.9</v>
      </c>
      <c r="BK45" s="60">
        <f t="shared" si="19"/>
        <v>0</v>
      </c>
      <c r="BL45" s="60">
        <f t="shared" si="43"/>
        <v>31</v>
      </c>
      <c r="BM45" s="60">
        <f t="shared" si="20"/>
        <v>0</v>
      </c>
      <c r="BN45" s="60">
        <f>ROUND(BM45*BL45*Input!$C$3/365,0)</f>
        <v>0</v>
      </c>
      <c r="BO45" s="61">
        <f>IF($A45&lt;=Input!$C$6,0,IF('180M'!BK45&lt;'180M'!BM45,'180M'!BK45-BN45,'180M'!BM45))</f>
        <v>0</v>
      </c>
      <c r="BP45" s="61">
        <f t="shared" si="21"/>
        <v>0</v>
      </c>
      <c r="BQ45" s="60">
        <f t="shared" si="22"/>
        <v>0</v>
      </c>
      <c r="BR45" s="198"/>
    </row>
    <row r="46" spans="1:70" x14ac:dyDescent="0.25">
      <c r="A46" s="169">
        <v>42</v>
      </c>
      <c r="B46" s="1">
        <f t="shared" si="23"/>
        <v>46798</v>
      </c>
      <c r="C46" s="60">
        <f t="shared" si="1"/>
        <v>18940500</v>
      </c>
      <c r="D46" s="60">
        <f t="shared" si="2"/>
        <v>17046450</v>
      </c>
      <c r="E46" s="60">
        <f t="shared" si="24"/>
        <v>31</v>
      </c>
      <c r="F46" s="60">
        <f t="shared" si="25"/>
        <v>1433494456.4979434</v>
      </c>
      <c r="G46" s="60">
        <f>ROUND(F46*E46*Input!$C$3/365,0)</f>
        <v>18262327</v>
      </c>
      <c r="H46" s="60">
        <f>IF($A46&lt;=Input!$C$6,0,IF('180M'!D46&lt;'180M'!F46,'180M'!D46-G46,'180M'!F46))</f>
        <v>-1215877</v>
      </c>
      <c r="I46" s="60">
        <f t="shared" si="26"/>
        <v>17046450</v>
      </c>
      <c r="J46" s="60">
        <f t="shared" si="27"/>
        <v>1434710333.4979434</v>
      </c>
      <c r="K46" s="203">
        <f>J46/Input!$K$5</f>
        <v>4.7823677783264777</v>
      </c>
      <c r="L46" s="232"/>
      <c r="M46" s="60">
        <f>IF($B46&lt;Input!$H$43,IF($B46&lt;Input!$G$43,IF($B46&lt;Input!$F$43,IF($B46&lt;Input!$E$43,IF($B46&lt;Input!$D$43,Input!$C$49,Input!$D$49),Input!$E$49),Input!$F$49),Input!$G$49),Input!$H$49)</f>
        <v>18940500</v>
      </c>
      <c r="N46" s="190">
        <f>IF($A46&lt;Input!$H$50,IF($A46&lt;Input!$G$50,IF($A46&lt;Input!$F$50,IF($A46&lt;Input!$E$50,IF($A46&lt;Input!$D$50,Input!$C$51,Input!$D$51),Input!$E$51),Input!$F$51),Input!$G$51),Input!$H$51)</f>
        <v>0.9</v>
      </c>
      <c r="O46" s="60">
        <f t="shared" si="44"/>
        <v>17046450</v>
      </c>
      <c r="P46" s="60">
        <f t="shared" si="45"/>
        <v>31</v>
      </c>
      <c r="Q46" s="60">
        <f t="shared" si="4"/>
        <v>1433494456.4979434</v>
      </c>
      <c r="R46" s="60">
        <f>ROUND(Q46*$P46*Input!$C$3/365,0)</f>
        <v>18262327</v>
      </c>
      <c r="S46" s="60">
        <f>IF(A46&lt;=Input!$C$6,0,IF('180M'!O46&lt;'180M'!Q46,'180M'!O46-R46,'180M'!Q46))</f>
        <v>-1215877</v>
      </c>
      <c r="T46" s="60">
        <f t="shared" si="5"/>
        <v>17046450</v>
      </c>
      <c r="U46" s="60">
        <f t="shared" si="6"/>
        <v>1434710333.4979434</v>
      </c>
      <c r="V46" s="193"/>
      <c r="W46" s="169">
        <v>42</v>
      </c>
      <c r="X46" s="1">
        <f t="shared" si="28"/>
        <v>46798</v>
      </c>
      <c r="Y46" s="60">
        <f>IF($X46&lt;Input!$H$58,IF($X46&lt;Input!$G$58,IF($X46&lt;Input!$F$58,IF($X46&lt;Input!$E$58,IF($X46&lt;Input!$D$58,Input!$C$64,Input!$D$64),Input!$E$64),Input!$F$64),Input!$G$64),Input!$H$64)</f>
        <v>0</v>
      </c>
      <c r="Z46" s="190">
        <f>IF($A46&lt;Input!$H$65,IF($A46&lt;Input!$G$65,IF($A46&lt;Input!$F$65,IF($A46&lt;Input!$E$65,IF($A46&lt;Input!$D$65,Input!$C$66,Input!$D$66),Input!$E$66),Input!$F$66),Input!$G$66),Input!$H$66)</f>
        <v>0.9</v>
      </c>
      <c r="AA46" s="60">
        <f t="shared" si="7"/>
        <v>0</v>
      </c>
      <c r="AB46" s="60">
        <f t="shared" si="29"/>
        <v>31</v>
      </c>
      <c r="AC46" s="60">
        <f t="shared" si="8"/>
        <v>0</v>
      </c>
      <c r="AD46" s="60">
        <f>ROUND(AC46*AB46*Input!$C$3/365,0)</f>
        <v>0</v>
      </c>
      <c r="AE46" s="61">
        <f>IF($A46&lt;=Input!$C$6,0,IF('180M'!AA46&lt;'180M'!AC46,'180M'!AA46-AD46,'180M'!AC46))</f>
        <v>0</v>
      </c>
      <c r="AF46" s="61">
        <f t="shared" si="9"/>
        <v>0</v>
      </c>
      <c r="AG46" s="60">
        <f t="shared" si="10"/>
        <v>0</v>
      </c>
      <c r="AH46" s="193"/>
      <c r="AI46" s="169">
        <v>42</v>
      </c>
      <c r="AJ46" s="1">
        <f t="shared" si="30"/>
        <v>46798</v>
      </c>
      <c r="AK46" s="60">
        <f>IF($X46&lt;Input!$H$73,IF($X46&lt;Input!$G$73,IF($X46&lt;Input!$F$73,IF($X46&lt;Input!$E$73,IF($X46&lt;Input!$D$73,Input!$C$79,Input!$D$79),Input!$E$79),Input!$F$79),Input!$G$79),Input!$H$79)</f>
        <v>0</v>
      </c>
      <c r="AL46" s="190">
        <f>IF($A46&lt;Input!$H$80,IF($A46&lt;Input!$G$80,IF($A46&lt;Input!$F$80,IF($A46&lt;Input!$E$80,IF($A46&lt;Input!$D$80,Input!$C$81,Input!$D$81),Input!$E$81),Input!$F$81),Input!$G$81),Input!$H$81)</f>
        <v>0.9</v>
      </c>
      <c r="AM46" s="60">
        <f t="shared" si="31"/>
        <v>0</v>
      </c>
      <c r="AN46" s="60">
        <f t="shared" si="32"/>
        <v>31</v>
      </c>
      <c r="AO46" s="60">
        <f t="shared" si="33"/>
        <v>0</v>
      </c>
      <c r="AP46" s="60">
        <f>ROUND(AO46*AN46*Input!$C$3/365,0)</f>
        <v>0</v>
      </c>
      <c r="AQ46" s="61">
        <f>IF($A46&lt;=Input!$C$6,0,IF('180M'!AM46&lt;'180M'!AO46,'180M'!AM46-AP46,'180M'!AO46))</f>
        <v>0</v>
      </c>
      <c r="AR46" s="61">
        <f t="shared" si="34"/>
        <v>0</v>
      </c>
      <c r="AS46" s="60">
        <f t="shared" si="35"/>
        <v>0</v>
      </c>
      <c r="AT46" s="193"/>
      <c r="AU46" s="169">
        <v>42</v>
      </c>
      <c r="AV46" s="1">
        <f t="shared" si="36"/>
        <v>46798</v>
      </c>
      <c r="AW46" s="60">
        <f>IF($X46&lt;Input!$H$88,IF($X46&lt;Input!$G$88,IF($X46&lt;Input!$F$88,IF($X46&lt;Input!$E$88,IF($X46&lt;Input!$D$88,Input!$C$94,Input!$D$94),Input!$E$94),Input!$F$94),Input!$G$94),Input!$H$94)</f>
        <v>0</v>
      </c>
      <c r="AX46" s="190">
        <f>IF($A46&lt;Input!$H$95,IF($A46&lt;Input!$G$95,IF($A46&lt;Input!$F$95,IF($A46&lt;Input!$E$95,IF($A46&lt;Input!$D$95,Input!$C$96,Input!$D$96),Input!$E$96),Input!$F$96),Input!$G$96),Input!$H$96)</f>
        <v>0.9</v>
      </c>
      <c r="AY46" s="60">
        <f t="shared" si="37"/>
        <v>0</v>
      </c>
      <c r="AZ46" s="60">
        <f t="shared" si="38"/>
        <v>31</v>
      </c>
      <c r="BA46" s="60">
        <f t="shared" si="39"/>
        <v>0</v>
      </c>
      <c r="BB46" s="60">
        <f>ROUND(BA46*AZ46*Input!$C$3/365,0)</f>
        <v>0</v>
      </c>
      <c r="BC46" s="61">
        <f>IF($A46&lt;=Input!$C$6,0,IF('180M'!AY46&lt;'180M'!BA46,'180M'!AY46-BB46,'180M'!BA46))</f>
        <v>0</v>
      </c>
      <c r="BD46" s="61">
        <f t="shared" si="40"/>
        <v>0</v>
      </c>
      <c r="BE46" s="60">
        <f t="shared" si="41"/>
        <v>0</v>
      </c>
      <c r="BF46" s="193"/>
      <c r="BG46" s="169">
        <v>42</v>
      </c>
      <c r="BH46" s="1">
        <f t="shared" si="42"/>
        <v>46798</v>
      </c>
      <c r="BI46" s="60">
        <f>IF($X46&lt;Input!$H$103,IF($X46&lt;Input!$G$103,IF($X46&lt;Input!$F$103,IF($X46&lt;Input!$E$103,IF($X46&lt;Input!$D$103,Input!$C$109,Input!$D$109),Input!$E$109),Input!$F$109),Input!$G$109),Input!$H$109)</f>
        <v>0</v>
      </c>
      <c r="BJ46" s="190">
        <f>IF($A46&lt;Input!$H$110,IF($A46&lt;Input!$G$110,IF($A46&lt;Input!$F$110,IF($A46&lt;Input!$E$110,IF($A46&lt;Input!$D$110,Input!$C$111,Input!$D$111),Input!$E$111),Input!$F$111),Input!$G$111),Input!$H$111)</f>
        <v>0.9</v>
      </c>
      <c r="BK46" s="60">
        <f t="shared" si="19"/>
        <v>0</v>
      </c>
      <c r="BL46" s="60">
        <f t="shared" si="43"/>
        <v>31</v>
      </c>
      <c r="BM46" s="60">
        <f t="shared" si="20"/>
        <v>0</v>
      </c>
      <c r="BN46" s="60">
        <f>ROUND(BM46*BL46*Input!$C$3/365,0)</f>
        <v>0</v>
      </c>
      <c r="BO46" s="61">
        <f>IF($A46&lt;=Input!$C$6,0,IF('180M'!BK46&lt;'180M'!BM46,'180M'!BK46-BN46,'180M'!BM46))</f>
        <v>0</v>
      </c>
      <c r="BP46" s="61">
        <f t="shared" si="21"/>
        <v>0</v>
      </c>
      <c r="BQ46" s="60">
        <f t="shared" si="22"/>
        <v>0</v>
      </c>
      <c r="BR46" s="198"/>
    </row>
    <row r="47" spans="1:70" x14ac:dyDescent="0.25">
      <c r="A47" s="169">
        <v>43</v>
      </c>
      <c r="B47" s="1">
        <f t="shared" si="23"/>
        <v>46827</v>
      </c>
      <c r="C47" s="60">
        <f t="shared" si="1"/>
        <v>18940500</v>
      </c>
      <c r="D47" s="60">
        <f t="shared" si="2"/>
        <v>17046450</v>
      </c>
      <c r="E47" s="60">
        <f t="shared" si="24"/>
        <v>29</v>
      </c>
      <c r="F47" s="60">
        <f t="shared" si="25"/>
        <v>1434710333.4979434</v>
      </c>
      <c r="G47" s="60">
        <f>ROUND(F47*E47*Input!$C$3/365,0)</f>
        <v>17098603</v>
      </c>
      <c r="H47" s="60">
        <f>IF($A47&lt;=Input!$C$6,0,IF('180M'!D47&lt;'180M'!F47,'180M'!D47-G47,'180M'!F47))</f>
        <v>-52153</v>
      </c>
      <c r="I47" s="60">
        <f t="shared" si="26"/>
        <v>17046450</v>
      </c>
      <c r="J47" s="60">
        <f t="shared" si="27"/>
        <v>1434762486.4979434</v>
      </c>
      <c r="K47" s="203">
        <f>J47/Input!$K$5</f>
        <v>4.7825416216598118</v>
      </c>
      <c r="L47" s="232"/>
      <c r="M47" s="60">
        <f>IF($B47&lt;Input!$H$43,IF($B47&lt;Input!$G$43,IF($B47&lt;Input!$F$43,IF($B47&lt;Input!$E$43,IF($B47&lt;Input!$D$43,Input!$C$49,Input!$D$49),Input!$E$49),Input!$F$49),Input!$G$49),Input!$H$49)</f>
        <v>18940500</v>
      </c>
      <c r="N47" s="190">
        <f>IF($A47&lt;Input!$H$50,IF($A47&lt;Input!$G$50,IF($A47&lt;Input!$F$50,IF($A47&lt;Input!$E$50,IF($A47&lt;Input!$D$50,Input!$C$51,Input!$D$51),Input!$E$51),Input!$F$51),Input!$G$51),Input!$H$51)</f>
        <v>0.9</v>
      </c>
      <c r="O47" s="60">
        <f t="shared" si="44"/>
        <v>17046450</v>
      </c>
      <c r="P47" s="60">
        <f t="shared" si="45"/>
        <v>29</v>
      </c>
      <c r="Q47" s="60">
        <f t="shared" si="4"/>
        <v>1434710333.4979434</v>
      </c>
      <c r="R47" s="60">
        <f>ROUND(Q47*$P47*Input!$C$3/365,0)</f>
        <v>17098603</v>
      </c>
      <c r="S47" s="60">
        <f>IF(A47&lt;=Input!$C$6,0,IF('180M'!O47&lt;'180M'!Q47,'180M'!O47-R47,'180M'!Q47))</f>
        <v>-52153</v>
      </c>
      <c r="T47" s="60">
        <f t="shared" si="5"/>
        <v>17046450</v>
      </c>
      <c r="U47" s="60">
        <f t="shared" si="6"/>
        <v>1434762486.4979434</v>
      </c>
      <c r="V47" s="193"/>
      <c r="W47" s="169">
        <v>43</v>
      </c>
      <c r="X47" s="1">
        <f t="shared" si="28"/>
        <v>46827</v>
      </c>
      <c r="Y47" s="60">
        <f>IF($X47&lt;Input!$H$58,IF($X47&lt;Input!$G$58,IF($X47&lt;Input!$F$58,IF($X47&lt;Input!$E$58,IF($X47&lt;Input!$D$58,Input!$C$64,Input!$D$64),Input!$E$64),Input!$F$64),Input!$G$64),Input!$H$64)</f>
        <v>0</v>
      </c>
      <c r="Z47" s="190">
        <f>IF($A47&lt;Input!$H$65,IF($A47&lt;Input!$G$65,IF($A47&lt;Input!$F$65,IF($A47&lt;Input!$E$65,IF($A47&lt;Input!$D$65,Input!$C$66,Input!$D$66),Input!$E$66),Input!$F$66),Input!$G$66),Input!$H$66)</f>
        <v>0.9</v>
      </c>
      <c r="AA47" s="60">
        <f t="shared" si="7"/>
        <v>0</v>
      </c>
      <c r="AB47" s="60">
        <f t="shared" si="29"/>
        <v>29</v>
      </c>
      <c r="AC47" s="60">
        <f t="shared" si="8"/>
        <v>0</v>
      </c>
      <c r="AD47" s="60">
        <f>ROUND(AC47*AB47*Input!$C$3/365,0)</f>
        <v>0</v>
      </c>
      <c r="AE47" s="61">
        <f>IF($A47&lt;=Input!$C$6,0,IF('180M'!AA47&lt;'180M'!AC47,'180M'!AA47-AD47,'180M'!AC47))</f>
        <v>0</v>
      </c>
      <c r="AF47" s="61">
        <f t="shared" si="9"/>
        <v>0</v>
      </c>
      <c r="AG47" s="60">
        <f t="shared" si="10"/>
        <v>0</v>
      </c>
      <c r="AH47" s="193"/>
      <c r="AI47" s="169">
        <v>43</v>
      </c>
      <c r="AJ47" s="1">
        <f t="shared" si="30"/>
        <v>46827</v>
      </c>
      <c r="AK47" s="60">
        <f>IF($X47&lt;Input!$H$73,IF($X47&lt;Input!$G$73,IF($X47&lt;Input!$F$73,IF($X47&lt;Input!$E$73,IF($X47&lt;Input!$D$73,Input!$C$79,Input!$D$79),Input!$E$79),Input!$F$79),Input!$G$79),Input!$H$79)</f>
        <v>0</v>
      </c>
      <c r="AL47" s="190">
        <f>IF($A47&lt;Input!$H$80,IF($A47&lt;Input!$G$80,IF($A47&lt;Input!$F$80,IF($A47&lt;Input!$E$80,IF($A47&lt;Input!$D$80,Input!$C$81,Input!$D$81),Input!$E$81),Input!$F$81),Input!$G$81),Input!$H$81)</f>
        <v>0.9</v>
      </c>
      <c r="AM47" s="60">
        <f t="shared" si="31"/>
        <v>0</v>
      </c>
      <c r="AN47" s="60">
        <f t="shared" si="32"/>
        <v>29</v>
      </c>
      <c r="AO47" s="60">
        <f t="shared" si="33"/>
        <v>0</v>
      </c>
      <c r="AP47" s="60">
        <f>ROUND(AO47*AN47*Input!$C$3/365,0)</f>
        <v>0</v>
      </c>
      <c r="AQ47" s="61">
        <f>IF($A47&lt;=Input!$C$6,0,IF('180M'!AM47&lt;'180M'!AO47,'180M'!AM47-AP47,'180M'!AO47))</f>
        <v>0</v>
      </c>
      <c r="AR47" s="61">
        <f t="shared" si="34"/>
        <v>0</v>
      </c>
      <c r="AS47" s="60">
        <f t="shared" si="35"/>
        <v>0</v>
      </c>
      <c r="AT47" s="193"/>
      <c r="AU47" s="169">
        <v>43</v>
      </c>
      <c r="AV47" s="1">
        <f t="shared" si="36"/>
        <v>46827</v>
      </c>
      <c r="AW47" s="60">
        <f>IF($X47&lt;Input!$H$88,IF($X47&lt;Input!$G$88,IF($X47&lt;Input!$F$88,IF($X47&lt;Input!$E$88,IF($X47&lt;Input!$D$88,Input!$C$94,Input!$D$94),Input!$E$94),Input!$F$94),Input!$G$94),Input!$H$94)</f>
        <v>0</v>
      </c>
      <c r="AX47" s="190">
        <f>IF($A47&lt;Input!$H$95,IF($A47&lt;Input!$G$95,IF($A47&lt;Input!$F$95,IF($A47&lt;Input!$E$95,IF($A47&lt;Input!$D$95,Input!$C$96,Input!$D$96),Input!$E$96),Input!$F$96),Input!$G$96),Input!$H$96)</f>
        <v>0.9</v>
      </c>
      <c r="AY47" s="60">
        <f t="shared" si="37"/>
        <v>0</v>
      </c>
      <c r="AZ47" s="60">
        <f t="shared" si="38"/>
        <v>29</v>
      </c>
      <c r="BA47" s="60">
        <f t="shared" si="39"/>
        <v>0</v>
      </c>
      <c r="BB47" s="60">
        <f>ROUND(BA47*AZ47*Input!$C$3/365,0)</f>
        <v>0</v>
      </c>
      <c r="BC47" s="61">
        <f>IF($A47&lt;=Input!$C$6,0,IF('180M'!AY47&lt;'180M'!BA47,'180M'!AY47-BB47,'180M'!BA47))</f>
        <v>0</v>
      </c>
      <c r="BD47" s="61">
        <f t="shared" si="40"/>
        <v>0</v>
      </c>
      <c r="BE47" s="60">
        <f t="shared" si="41"/>
        <v>0</v>
      </c>
      <c r="BF47" s="193"/>
      <c r="BG47" s="169">
        <v>43</v>
      </c>
      <c r="BH47" s="1">
        <f t="shared" si="42"/>
        <v>46827</v>
      </c>
      <c r="BI47" s="60">
        <f>IF($X47&lt;Input!$H$103,IF($X47&lt;Input!$G$103,IF($X47&lt;Input!$F$103,IF($X47&lt;Input!$E$103,IF($X47&lt;Input!$D$103,Input!$C$109,Input!$D$109),Input!$E$109),Input!$F$109),Input!$G$109),Input!$H$109)</f>
        <v>0</v>
      </c>
      <c r="BJ47" s="190">
        <f>IF($A47&lt;Input!$H$110,IF($A47&lt;Input!$G$110,IF($A47&lt;Input!$F$110,IF($A47&lt;Input!$E$110,IF($A47&lt;Input!$D$110,Input!$C$111,Input!$D$111),Input!$E$111),Input!$F$111),Input!$G$111),Input!$H$111)</f>
        <v>0.9</v>
      </c>
      <c r="BK47" s="60">
        <f t="shared" si="19"/>
        <v>0</v>
      </c>
      <c r="BL47" s="60">
        <f t="shared" si="43"/>
        <v>29</v>
      </c>
      <c r="BM47" s="60">
        <f t="shared" si="20"/>
        <v>0</v>
      </c>
      <c r="BN47" s="60">
        <f>ROUND(BM47*BL47*Input!$C$3/365,0)</f>
        <v>0</v>
      </c>
      <c r="BO47" s="61">
        <f>IF($A47&lt;=Input!$C$6,0,IF('180M'!BK47&lt;'180M'!BM47,'180M'!BK47-BN47,'180M'!BM47))</f>
        <v>0</v>
      </c>
      <c r="BP47" s="61">
        <f t="shared" si="21"/>
        <v>0</v>
      </c>
      <c r="BQ47" s="60">
        <f t="shared" si="22"/>
        <v>0</v>
      </c>
      <c r="BR47" s="198"/>
    </row>
    <row r="48" spans="1:70" x14ac:dyDescent="0.25">
      <c r="A48" s="169">
        <v>44</v>
      </c>
      <c r="B48" s="1">
        <f t="shared" si="23"/>
        <v>46858</v>
      </c>
      <c r="C48" s="60">
        <f t="shared" si="1"/>
        <v>18940500</v>
      </c>
      <c r="D48" s="60">
        <f t="shared" si="2"/>
        <v>17046450</v>
      </c>
      <c r="E48" s="60">
        <f t="shared" si="24"/>
        <v>31</v>
      </c>
      <c r="F48" s="60">
        <f t="shared" si="25"/>
        <v>1434762486.4979434</v>
      </c>
      <c r="G48" s="60">
        <f>ROUND(F48*E48*Input!$C$3/365,0)</f>
        <v>18278481</v>
      </c>
      <c r="H48" s="60">
        <f>IF($A48&lt;=Input!$C$6,0,IF('180M'!D48&lt;'180M'!F48,'180M'!D48-G48,'180M'!F48))</f>
        <v>-1232031</v>
      </c>
      <c r="I48" s="60">
        <f t="shared" si="26"/>
        <v>17046450</v>
      </c>
      <c r="J48" s="60">
        <f t="shared" si="27"/>
        <v>1435994517.4979434</v>
      </c>
      <c r="K48" s="203">
        <f>J48/Input!$K$5</f>
        <v>4.7866483916598117</v>
      </c>
      <c r="L48" s="232"/>
      <c r="M48" s="60">
        <f>IF($B48&lt;Input!$H$43,IF($B48&lt;Input!$G$43,IF($B48&lt;Input!$F$43,IF($B48&lt;Input!$E$43,IF($B48&lt;Input!$D$43,Input!$C$49,Input!$D$49),Input!$E$49),Input!$F$49),Input!$G$49),Input!$H$49)</f>
        <v>18940500</v>
      </c>
      <c r="N48" s="190">
        <f>IF($A48&lt;Input!$H$50,IF($A48&lt;Input!$G$50,IF($A48&lt;Input!$F$50,IF($A48&lt;Input!$E$50,IF($A48&lt;Input!$D$50,Input!$C$51,Input!$D$51),Input!$E$51),Input!$F$51),Input!$G$51),Input!$H$51)</f>
        <v>0.9</v>
      </c>
      <c r="O48" s="60">
        <f t="shared" si="44"/>
        <v>17046450</v>
      </c>
      <c r="P48" s="60">
        <f t="shared" si="45"/>
        <v>31</v>
      </c>
      <c r="Q48" s="60">
        <f t="shared" si="4"/>
        <v>1434762486.4979434</v>
      </c>
      <c r="R48" s="60">
        <f>ROUND(Q48*$P48*Input!$C$3/365,0)</f>
        <v>18278481</v>
      </c>
      <c r="S48" s="60">
        <f>IF(A48&lt;=Input!$C$6,0,IF('180M'!O48&lt;'180M'!Q48,'180M'!O48-R48,'180M'!Q48))</f>
        <v>-1232031</v>
      </c>
      <c r="T48" s="60">
        <f t="shared" si="5"/>
        <v>17046450</v>
      </c>
      <c r="U48" s="60">
        <f t="shared" si="6"/>
        <v>1435994517.4979434</v>
      </c>
      <c r="V48" s="193"/>
      <c r="W48" s="169">
        <v>44</v>
      </c>
      <c r="X48" s="1">
        <f t="shared" si="28"/>
        <v>46858</v>
      </c>
      <c r="Y48" s="60">
        <f>IF($X48&lt;Input!$H$58,IF($X48&lt;Input!$G$58,IF($X48&lt;Input!$F$58,IF($X48&lt;Input!$E$58,IF($X48&lt;Input!$D$58,Input!$C$64,Input!$D$64),Input!$E$64),Input!$F$64),Input!$G$64),Input!$H$64)</f>
        <v>0</v>
      </c>
      <c r="Z48" s="190">
        <f>IF($A48&lt;Input!$H$65,IF($A48&lt;Input!$G$65,IF($A48&lt;Input!$F$65,IF($A48&lt;Input!$E$65,IF($A48&lt;Input!$D$65,Input!$C$66,Input!$D$66),Input!$E$66),Input!$F$66),Input!$G$66),Input!$H$66)</f>
        <v>0.9</v>
      </c>
      <c r="AA48" s="60">
        <f t="shared" si="7"/>
        <v>0</v>
      </c>
      <c r="AB48" s="60">
        <f t="shared" si="29"/>
        <v>31</v>
      </c>
      <c r="AC48" s="60">
        <f t="shared" si="8"/>
        <v>0</v>
      </c>
      <c r="AD48" s="60">
        <f>ROUND(AC48*AB48*Input!$C$3/365,0)</f>
        <v>0</v>
      </c>
      <c r="AE48" s="61">
        <f>IF($A48&lt;=Input!$C$6,0,IF('180M'!AA48&lt;'180M'!AC48,'180M'!AA48-AD48,'180M'!AC48))</f>
        <v>0</v>
      </c>
      <c r="AF48" s="61">
        <f t="shared" si="9"/>
        <v>0</v>
      </c>
      <c r="AG48" s="60">
        <f t="shared" si="10"/>
        <v>0</v>
      </c>
      <c r="AH48" s="193"/>
      <c r="AI48" s="169">
        <v>44</v>
      </c>
      <c r="AJ48" s="1">
        <f t="shared" si="30"/>
        <v>46858</v>
      </c>
      <c r="AK48" s="60">
        <f>IF($X48&lt;Input!$H$73,IF($X48&lt;Input!$G$73,IF($X48&lt;Input!$F$73,IF($X48&lt;Input!$E$73,IF($X48&lt;Input!$D$73,Input!$C$79,Input!$D$79),Input!$E$79),Input!$F$79),Input!$G$79),Input!$H$79)</f>
        <v>0</v>
      </c>
      <c r="AL48" s="190">
        <f>IF($A48&lt;Input!$H$80,IF($A48&lt;Input!$G$80,IF($A48&lt;Input!$F$80,IF($A48&lt;Input!$E$80,IF($A48&lt;Input!$D$80,Input!$C$81,Input!$D$81),Input!$E$81),Input!$F$81),Input!$G$81),Input!$H$81)</f>
        <v>0.9</v>
      </c>
      <c r="AM48" s="60">
        <f t="shared" si="31"/>
        <v>0</v>
      </c>
      <c r="AN48" s="60">
        <f t="shared" si="32"/>
        <v>31</v>
      </c>
      <c r="AO48" s="60">
        <f t="shared" si="33"/>
        <v>0</v>
      </c>
      <c r="AP48" s="60">
        <f>ROUND(AO48*AN48*Input!$C$3/365,0)</f>
        <v>0</v>
      </c>
      <c r="AQ48" s="61">
        <f>IF($A48&lt;=Input!$C$6,0,IF('180M'!AM48&lt;'180M'!AO48,'180M'!AM48-AP48,'180M'!AO48))</f>
        <v>0</v>
      </c>
      <c r="AR48" s="61">
        <f t="shared" si="34"/>
        <v>0</v>
      </c>
      <c r="AS48" s="60">
        <f t="shared" si="35"/>
        <v>0</v>
      </c>
      <c r="AT48" s="193"/>
      <c r="AU48" s="169">
        <v>44</v>
      </c>
      <c r="AV48" s="1">
        <f t="shared" si="36"/>
        <v>46858</v>
      </c>
      <c r="AW48" s="60">
        <f>IF($X48&lt;Input!$H$88,IF($X48&lt;Input!$G$88,IF($X48&lt;Input!$F$88,IF($X48&lt;Input!$E$88,IF($X48&lt;Input!$D$88,Input!$C$94,Input!$D$94),Input!$E$94),Input!$F$94),Input!$G$94),Input!$H$94)</f>
        <v>0</v>
      </c>
      <c r="AX48" s="190">
        <f>IF($A48&lt;Input!$H$95,IF($A48&lt;Input!$G$95,IF($A48&lt;Input!$F$95,IF($A48&lt;Input!$E$95,IF($A48&lt;Input!$D$95,Input!$C$96,Input!$D$96),Input!$E$96),Input!$F$96),Input!$G$96),Input!$H$96)</f>
        <v>0.9</v>
      </c>
      <c r="AY48" s="60">
        <f t="shared" si="37"/>
        <v>0</v>
      </c>
      <c r="AZ48" s="60">
        <f t="shared" si="38"/>
        <v>31</v>
      </c>
      <c r="BA48" s="60">
        <f t="shared" si="39"/>
        <v>0</v>
      </c>
      <c r="BB48" s="60">
        <f>ROUND(BA48*AZ48*Input!$C$3/365,0)</f>
        <v>0</v>
      </c>
      <c r="BC48" s="61">
        <f>IF($A48&lt;=Input!$C$6,0,IF('180M'!AY48&lt;'180M'!BA48,'180M'!AY48-BB48,'180M'!BA48))</f>
        <v>0</v>
      </c>
      <c r="BD48" s="61">
        <f t="shared" si="40"/>
        <v>0</v>
      </c>
      <c r="BE48" s="60">
        <f t="shared" si="41"/>
        <v>0</v>
      </c>
      <c r="BF48" s="193"/>
      <c r="BG48" s="169">
        <v>44</v>
      </c>
      <c r="BH48" s="1">
        <f t="shared" si="42"/>
        <v>46858</v>
      </c>
      <c r="BI48" s="60">
        <f>IF($X48&lt;Input!$H$103,IF($X48&lt;Input!$G$103,IF($X48&lt;Input!$F$103,IF($X48&lt;Input!$E$103,IF($X48&lt;Input!$D$103,Input!$C$109,Input!$D$109),Input!$E$109),Input!$F$109),Input!$G$109),Input!$H$109)</f>
        <v>0</v>
      </c>
      <c r="BJ48" s="190">
        <f>IF($A48&lt;Input!$H$110,IF($A48&lt;Input!$G$110,IF($A48&lt;Input!$F$110,IF($A48&lt;Input!$E$110,IF($A48&lt;Input!$D$110,Input!$C$111,Input!$D$111),Input!$E$111),Input!$F$111),Input!$G$111),Input!$H$111)</f>
        <v>0.9</v>
      </c>
      <c r="BK48" s="60">
        <f t="shared" si="19"/>
        <v>0</v>
      </c>
      <c r="BL48" s="60">
        <f t="shared" si="43"/>
        <v>31</v>
      </c>
      <c r="BM48" s="60">
        <f t="shared" si="20"/>
        <v>0</v>
      </c>
      <c r="BN48" s="60">
        <f>ROUND(BM48*BL48*Input!$C$3/365,0)</f>
        <v>0</v>
      </c>
      <c r="BO48" s="61">
        <f>IF($A48&lt;=Input!$C$6,0,IF('180M'!BK48&lt;'180M'!BM48,'180M'!BK48-BN48,'180M'!BM48))</f>
        <v>0</v>
      </c>
      <c r="BP48" s="61">
        <f t="shared" si="21"/>
        <v>0</v>
      </c>
      <c r="BQ48" s="60">
        <f t="shared" si="22"/>
        <v>0</v>
      </c>
      <c r="BR48" s="198"/>
    </row>
    <row r="49" spans="1:70" x14ac:dyDescent="0.25">
      <c r="A49" s="169">
        <v>45</v>
      </c>
      <c r="B49" s="1">
        <f t="shared" si="23"/>
        <v>46888</v>
      </c>
      <c r="C49" s="60">
        <f t="shared" si="1"/>
        <v>18940500</v>
      </c>
      <c r="D49" s="60">
        <f t="shared" si="2"/>
        <v>17046450</v>
      </c>
      <c r="E49" s="60">
        <f t="shared" si="24"/>
        <v>30</v>
      </c>
      <c r="F49" s="60">
        <f t="shared" si="25"/>
        <v>1435994517.4979434</v>
      </c>
      <c r="G49" s="60">
        <f>ROUND(F49*E49*Input!$C$3/365,0)</f>
        <v>17704042</v>
      </c>
      <c r="H49" s="60">
        <f>IF($A49&lt;=Input!$C$6,0,IF('180M'!D49&lt;'180M'!F49,'180M'!D49-G49,'180M'!F49))</f>
        <v>-657592</v>
      </c>
      <c r="I49" s="60">
        <f t="shared" si="26"/>
        <v>17046450</v>
      </c>
      <c r="J49" s="60">
        <f t="shared" si="27"/>
        <v>1436652109.4979434</v>
      </c>
      <c r="K49" s="203">
        <f>J49/Input!$K$5</f>
        <v>4.7888403649931446</v>
      </c>
      <c r="L49" s="232"/>
      <c r="M49" s="60">
        <f>IF($B49&lt;Input!$H$43,IF($B49&lt;Input!$G$43,IF($B49&lt;Input!$F$43,IF($B49&lt;Input!$E$43,IF($B49&lt;Input!$D$43,Input!$C$49,Input!$D$49),Input!$E$49),Input!$F$49),Input!$G$49),Input!$H$49)</f>
        <v>18940500</v>
      </c>
      <c r="N49" s="190">
        <f>IF($A49&lt;Input!$H$50,IF($A49&lt;Input!$G$50,IF($A49&lt;Input!$F$50,IF($A49&lt;Input!$E$50,IF($A49&lt;Input!$D$50,Input!$C$51,Input!$D$51),Input!$E$51),Input!$F$51),Input!$G$51),Input!$H$51)</f>
        <v>0.9</v>
      </c>
      <c r="O49" s="60">
        <f t="shared" si="44"/>
        <v>17046450</v>
      </c>
      <c r="P49" s="60">
        <f t="shared" si="45"/>
        <v>30</v>
      </c>
      <c r="Q49" s="60">
        <f t="shared" si="4"/>
        <v>1435994517.4979434</v>
      </c>
      <c r="R49" s="60">
        <f>ROUND(Q49*$P49*Input!$C$3/365,0)</f>
        <v>17704042</v>
      </c>
      <c r="S49" s="60">
        <f>IF(A49&lt;=Input!$C$6,0,IF('180M'!O49&lt;'180M'!Q49,'180M'!O49-R49,'180M'!Q49))</f>
        <v>-657592</v>
      </c>
      <c r="T49" s="60">
        <f t="shared" si="5"/>
        <v>17046450</v>
      </c>
      <c r="U49" s="60">
        <f t="shared" si="6"/>
        <v>1436652109.4979434</v>
      </c>
      <c r="V49" s="193"/>
      <c r="W49" s="169">
        <v>45</v>
      </c>
      <c r="X49" s="1">
        <f t="shared" si="28"/>
        <v>46888</v>
      </c>
      <c r="Y49" s="60">
        <f>IF($X49&lt;Input!$H$58,IF($X49&lt;Input!$G$58,IF($X49&lt;Input!$F$58,IF($X49&lt;Input!$E$58,IF($X49&lt;Input!$D$58,Input!$C$64,Input!$D$64),Input!$E$64),Input!$F$64),Input!$G$64),Input!$H$64)</f>
        <v>0</v>
      </c>
      <c r="Z49" s="190">
        <f>IF($A49&lt;Input!$H$65,IF($A49&lt;Input!$G$65,IF($A49&lt;Input!$F$65,IF($A49&lt;Input!$E$65,IF($A49&lt;Input!$D$65,Input!$C$66,Input!$D$66),Input!$E$66),Input!$F$66),Input!$G$66),Input!$H$66)</f>
        <v>0.9</v>
      </c>
      <c r="AA49" s="60">
        <f t="shared" si="7"/>
        <v>0</v>
      </c>
      <c r="AB49" s="60">
        <f t="shared" si="29"/>
        <v>30</v>
      </c>
      <c r="AC49" s="60">
        <f t="shared" si="8"/>
        <v>0</v>
      </c>
      <c r="AD49" s="60">
        <f>ROUND(AC49*AB49*Input!$C$3/365,0)</f>
        <v>0</v>
      </c>
      <c r="AE49" s="61">
        <f>IF($A49&lt;=Input!$C$6,0,IF('180M'!AA49&lt;'180M'!AC49,'180M'!AA49-AD49,'180M'!AC49))</f>
        <v>0</v>
      </c>
      <c r="AF49" s="61">
        <f t="shared" si="9"/>
        <v>0</v>
      </c>
      <c r="AG49" s="60">
        <f t="shared" si="10"/>
        <v>0</v>
      </c>
      <c r="AH49" s="193"/>
      <c r="AI49" s="169">
        <v>45</v>
      </c>
      <c r="AJ49" s="1">
        <f t="shared" si="30"/>
        <v>46888</v>
      </c>
      <c r="AK49" s="60">
        <f>IF($X49&lt;Input!$H$73,IF($X49&lt;Input!$G$73,IF($X49&lt;Input!$F$73,IF($X49&lt;Input!$E$73,IF($X49&lt;Input!$D$73,Input!$C$79,Input!$D$79),Input!$E$79),Input!$F$79),Input!$G$79),Input!$H$79)</f>
        <v>0</v>
      </c>
      <c r="AL49" s="190">
        <f>IF($A49&lt;Input!$H$80,IF($A49&lt;Input!$G$80,IF($A49&lt;Input!$F$80,IF($A49&lt;Input!$E$80,IF($A49&lt;Input!$D$80,Input!$C$81,Input!$D$81),Input!$E$81),Input!$F$81),Input!$G$81),Input!$H$81)</f>
        <v>0.9</v>
      </c>
      <c r="AM49" s="60">
        <f t="shared" si="31"/>
        <v>0</v>
      </c>
      <c r="AN49" s="60">
        <f t="shared" si="32"/>
        <v>30</v>
      </c>
      <c r="AO49" s="60">
        <f t="shared" si="33"/>
        <v>0</v>
      </c>
      <c r="AP49" s="60">
        <f>ROUND(AO49*AN49*Input!$C$3/365,0)</f>
        <v>0</v>
      </c>
      <c r="AQ49" s="61">
        <f>IF($A49&lt;=Input!$C$6,0,IF('180M'!AM49&lt;'180M'!AO49,'180M'!AM49-AP49,'180M'!AO49))</f>
        <v>0</v>
      </c>
      <c r="AR49" s="61">
        <f t="shared" si="34"/>
        <v>0</v>
      </c>
      <c r="AS49" s="60">
        <f t="shared" si="35"/>
        <v>0</v>
      </c>
      <c r="AT49" s="193"/>
      <c r="AU49" s="169">
        <v>45</v>
      </c>
      <c r="AV49" s="1">
        <f t="shared" si="36"/>
        <v>46888</v>
      </c>
      <c r="AW49" s="60">
        <f>IF($X49&lt;Input!$H$88,IF($X49&lt;Input!$G$88,IF($X49&lt;Input!$F$88,IF($X49&lt;Input!$E$88,IF($X49&lt;Input!$D$88,Input!$C$94,Input!$D$94),Input!$E$94),Input!$F$94),Input!$G$94),Input!$H$94)</f>
        <v>0</v>
      </c>
      <c r="AX49" s="190">
        <f>IF($A49&lt;Input!$H$95,IF($A49&lt;Input!$G$95,IF($A49&lt;Input!$F$95,IF($A49&lt;Input!$E$95,IF($A49&lt;Input!$D$95,Input!$C$96,Input!$D$96),Input!$E$96),Input!$F$96),Input!$G$96),Input!$H$96)</f>
        <v>0.9</v>
      </c>
      <c r="AY49" s="60">
        <f t="shared" si="37"/>
        <v>0</v>
      </c>
      <c r="AZ49" s="60">
        <f t="shared" si="38"/>
        <v>30</v>
      </c>
      <c r="BA49" s="60">
        <f t="shared" si="39"/>
        <v>0</v>
      </c>
      <c r="BB49" s="60">
        <f>ROUND(BA49*AZ49*Input!$C$3/365,0)</f>
        <v>0</v>
      </c>
      <c r="BC49" s="61">
        <f>IF($A49&lt;=Input!$C$6,0,IF('180M'!AY49&lt;'180M'!BA49,'180M'!AY49-BB49,'180M'!BA49))</f>
        <v>0</v>
      </c>
      <c r="BD49" s="61">
        <f t="shared" si="40"/>
        <v>0</v>
      </c>
      <c r="BE49" s="60">
        <f t="shared" si="41"/>
        <v>0</v>
      </c>
      <c r="BF49" s="193"/>
      <c r="BG49" s="169">
        <v>45</v>
      </c>
      <c r="BH49" s="1">
        <f t="shared" si="42"/>
        <v>46888</v>
      </c>
      <c r="BI49" s="60">
        <f>IF($X49&lt;Input!$H$103,IF($X49&lt;Input!$G$103,IF($X49&lt;Input!$F$103,IF($X49&lt;Input!$E$103,IF($X49&lt;Input!$D$103,Input!$C$109,Input!$D$109),Input!$E$109),Input!$F$109),Input!$G$109),Input!$H$109)</f>
        <v>0</v>
      </c>
      <c r="BJ49" s="190">
        <f>IF($A49&lt;Input!$H$110,IF($A49&lt;Input!$G$110,IF($A49&lt;Input!$F$110,IF($A49&lt;Input!$E$110,IF($A49&lt;Input!$D$110,Input!$C$111,Input!$D$111),Input!$E$111),Input!$F$111),Input!$G$111),Input!$H$111)</f>
        <v>0.9</v>
      </c>
      <c r="BK49" s="60">
        <f t="shared" si="19"/>
        <v>0</v>
      </c>
      <c r="BL49" s="60">
        <f t="shared" si="43"/>
        <v>30</v>
      </c>
      <c r="BM49" s="60">
        <f t="shared" si="20"/>
        <v>0</v>
      </c>
      <c r="BN49" s="60">
        <f>ROUND(BM49*BL49*Input!$C$3/365,0)</f>
        <v>0</v>
      </c>
      <c r="BO49" s="61">
        <f>IF($A49&lt;=Input!$C$6,0,IF('180M'!BK49&lt;'180M'!BM49,'180M'!BK49-BN49,'180M'!BM49))</f>
        <v>0</v>
      </c>
      <c r="BP49" s="61">
        <f t="shared" si="21"/>
        <v>0</v>
      </c>
      <c r="BQ49" s="60">
        <f t="shared" si="22"/>
        <v>0</v>
      </c>
      <c r="BR49" s="198"/>
    </row>
    <row r="50" spans="1:70" x14ac:dyDescent="0.25">
      <c r="A50" s="169">
        <v>46</v>
      </c>
      <c r="B50" s="1">
        <f t="shared" si="23"/>
        <v>46919</v>
      </c>
      <c r="C50" s="60">
        <f t="shared" si="1"/>
        <v>18940500</v>
      </c>
      <c r="D50" s="60">
        <f t="shared" si="2"/>
        <v>17046450</v>
      </c>
      <c r="E50" s="60">
        <f t="shared" si="24"/>
        <v>31</v>
      </c>
      <c r="F50" s="60">
        <f t="shared" si="25"/>
        <v>1436652109.4979434</v>
      </c>
      <c r="G50" s="60">
        <f>ROUND(F50*E50*Input!$C$3/365,0)</f>
        <v>18302554</v>
      </c>
      <c r="H50" s="60">
        <f>IF($A50&lt;=Input!$C$6,0,IF('180M'!D50&lt;'180M'!F50,'180M'!D50-G50,'180M'!F50))</f>
        <v>-1256104</v>
      </c>
      <c r="I50" s="60">
        <f t="shared" si="26"/>
        <v>17046450</v>
      </c>
      <c r="J50" s="60">
        <f t="shared" si="27"/>
        <v>1437908213.4979434</v>
      </c>
      <c r="K50" s="203">
        <f>J50/Input!$K$5</f>
        <v>4.7930273783264781</v>
      </c>
      <c r="L50" s="232"/>
      <c r="M50" s="60">
        <f>IF($B50&lt;Input!$H$43,IF($B50&lt;Input!$G$43,IF($B50&lt;Input!$F$43,IF($B50&lt;Input!$E$43,IF($B50&lt;Input!$D$43,Input!$C$49,Input!$D$49),Input!$E$49),Input!$F$49),Input!$G$49),Input!$H$49)</f>
        <v>18940500</v>
      </c>
      <c r="N50" s="190">
        <f>IF($A50&lt;Input!$H$50,IF($A50&lt;Input!$G$50,IF($A50&lt;Input!$F$50,IF($A50&lt;Input!$E$50,IF($A50&lt;Input!$D$50,Input!$C$51,Input!$D$51),Input!$E$51),Input!$F$51),Input!$G$51),Input!$H$51)</f>
        <v>0.9</v>
      </c>
      <c r="O50" s="60">
        <f t="shared" si="44"/>
        <v>17046450</v>
      </c>
      <c r="P50" s="60">
        <f t="shared" si="45"/>
        <v>31</v>
      </c>
      <c r="Q50" s="60">
        <f t="shared" si="4"/>
        <v>1436652109.4979434</v>
      </c>
      <c r="R50" s="60">
        <f>ROUND(Q50*$P50*Input!$C$3/365,0)</f>
        <v>18302554</v>
      </c>
      <c r="S50" s="60">
        <f>IF(A50&lt;=Input!$C$6,0,IF('180M'!O50&lt;'180M'!Q50,'180M'!O50-R50,'180M'!Q50))</f>
        <v>-1256104</v>
      </c>
      <c r="T50" s="60">
        <f t="shared" si="5"/>
        <v>17046450</v>
      </c>
      <c r="U50" s="60">
        <f t="shared" si="6"/>
        <v>1437908213.4979434</v>
      </c>
      <c r="V50" s="193"/>
      <c r="W50" s="169">
        <v>46</v>
      </c>
      <c r="X50" s="1">
        <f t="shared" si="28"/>
        <v>46919</v>
      </c>
      <c r="Y50" s="60">
        <f>IF($X50&lt;Input!$H$58,IF($X50&lt;Input!$G$58,IF($X50&lt;Input!$F$58,IF($X50&lt;Input!$E$58,IF($X50&lt;Input!$D$58,Input!$C$64,Input!$D$64),Input!$E$64),Input!$F$64),Input!$G$64),Input!$H$64)</f>
        <v>0</v>
      </c>
      <c r="Z50" s="190">
        <f>IF($A50&lt;Input!$H$65,IF($A50&lt;Input!$G$65,IF($A50&lt;Input!$F$65,IF($A50&lt;Input!$E$65,IF($A50&lt;Input!$D$65,Input!$C$66,Input!$D$66),Input!$E$66),Input!$F$66),Input!$G$66),Input!$H$66)</f>
        <v>0.9</v>
      </c>
      <c r="AA50" s="60">
        <f t="shared" si="7"/>
        <v>0</v>
      </c>
      <c r="AB50" s="60">
        <f t="shared" si="29"/>
        <v>31</v>
      </c>
      <c r="AC50" s="60">
        <f t="shared" si="8"/>
        <v>0</v>
      </c>
      <c r="AD50" s="60">
        <f>ROUND(AC50*AB50*Input!$C$3/365,0)</f>
        <v>0</v>
      </c>
      <c r="AE50" s="61">
        <f>IF($A50&lt;=Input!$C$6,0,IF('180M'!AA50&lt;'180M'!AC50,'180M'!AA50-AD50,'180M'!AC50))</f>
        <v>0</v>
      </c>
      <c r="AF50" s="61">
        <f t="shared" si="9"/>
        <v>0</v>
      </c>
      <c r="AG50" s="60">
        <f t="shared" si="10"/>
        <v>0</v>
      </c>
      <c r="AH50" s="193"/>
      <c r="AI50" s="169">
        <v>46</v>
      </c>
      <c r="AJ50" s="1">
        <f t="shared" si="30"/>
        <v>46919</v>
      </c>
      <c r="AK50" s="60">
        <f>IF($X50&lt;Input!$H$73,IF($X50&lt;Input!$G$73,IF($X50&lt;Input!$F$73,IF($X50&lt;Input!$E$73,IF($X50&lt;Input!$D$73,Input!$C$79,Input!$D$79),Input!$E$79),Input!$F$79),Input!$G$79),Input!$H$79)</f>
        <v>0</v>
      </c>
      <c r="AL50" s="190">
        <f>IF($A50&lt;Input!$H$80,IF($A50&lt;Input!$G$80,IF($A50&lt;Input!$F$80,IF($A50&lt;Input!$E$80,IF($A50&lt;Input!$D$80,Input!$C$81,Input!$D$81),Input!$E$81),Input!$F$81),Input!$G$81),Input!$H$81)</f>
        <v>0.9</v>
      </c>
      <c r="AM50" s="60">
        <f t="shared" si="31"/>
        <v>0</v>
      </c>
      <c r="AN50" s="60">
        <f t="shared" si="32"/>
        <v>31</v>
      </c>
      <c r="AO50" s="60">
        <f t="shared" si="33"/>
        <v>0</v>
      </c>
      <c r="AP50" s="60">
        <f>ROUND(AO50*AN50*Input!$C$3/365,0)</f>
        <v>0</v>
      </c>
      <c r="AQ50" s="61">
        <f>IF($A50&lt;=Input!$C$6,0,IF('180M'!AM50&lt;'180M'!AO50,'180M'!AM50-AP50,'180M'!AO50))</f>
        <v>0</v>
      </c>
      <c r="AR50" s="61">
        <f t="shared" si="34"/>
        <v>0</v>
      </c>
      <c r="AS50" s="60">
        <f t="shared" si="35"/>
        <v>0</v>
      </c>
      <c r="AT50" s="193"/>
      <c r="AU50" s="169">
        <v>46</v>
      </c>
      <c r="AV50" s="1">
        <f t="shared" si="36"/>
        <v>46919</v>
      </c>
      <c r="AW50" s="60">
        <f>IF($X50&lt;Input!$H$88,IF($X50&lt;Input!$G$88,IF($X50&lt;Input!$F$88,IF($X50&lt;Input!$E$88,IF($X50&lt;Input!$D$88,Input!$C$94,Input!$D$94),Input!$E$94),Input!$F$94),Input!$G$94),Input!$H$94)</f>
        <v>0</v>
      </c>
      <c r="AX50" s="190">
        <f>IF($A50&lt;Input!$H$95,IF($A50&lt;Input!$G$95,IF($A50&lt;Input!$F$95,IF($A50&lt;Input!$E$95,IF($A50&lt;Input!$D$95,Input!$C$96,Input!$D$96),Input!$E$96),Input!$F$96),Input!$G$96),Input!$H$96)</f>
        <v>0.9</v>
      </c>
      <c r="AY50" s="60">
        <f t="shared" si="37"/>
        <v>0</v>
      </c>
      <c r="AZ50" s="60">
        <f t="shared" si="38"/>
        <v>31</v>
      </c>
      <c r="BA50" s="60">
        <f t="shared" si="39"/>
        <v>0</v>
      </c>
      <c r="BB50" s="60">
        <f>ROUND(BA50*AZ50*Input!$C$3/365,0)</f>
        <v>0</v>
      </c>
      <c r="BC50" s="61">
        <f>IF($A50&lt;=Input!$C$6,0,IF('180M'!AY50&lt;'180M'!BA50,'180M'!AY50-BB50,'180M'!BA50))</f>
        <v>0</v>
      </c>
      <c r="BD50" s="61">
        <f t="shared" si="40"/>
        <v>0</v>
      </c>
      <c r="BE50" s="60">
        <f t="shared" si="41"/>
        <v>0</v>
      </c>
      <c r="BF50" s="193"/>
      <c r="BG50" s="169">
        <v>46</v>
      </c>
      <c r="BH50" s="1">
        <f t="shared" si="42"/>
        <v>46919</v>
      </c>
      <c r="BI50" s="60">
        <f>IF($X50&lt;Input!$H$103,IF($X50&lt;Input!$G$103,IF($X50&lt;Input!$F$103,IF($X50&lt;Input!$E$103,IF($X50&lt;Input!$D$103,Input!$C$109,Input!$D$109),Input!$E$109),Input!$F$109),Input!$G$109),Input!$H$109)</f>
        <v>0</v>
      </c>
      <c r="BJ50" s="190">
        <f>IF($A50&lt;Input!$H$110,IF($A50&lt;Input!$G$110,IF($A50&lt;Input!$F$110,IF($A50&lt;Input!$E$110,IF($A50&lt;Input!$D$110,Input!$C$111,Input!$D$111),Input!$E$111),Input!$F$111),Input!$G$111),Input!$H$111)</f>
        <v>0.9</v>
      </c>
      <c r="BK50" s="60">
        <f t="shared" si="19"/>
        <v>0</v>
      </c>
      <c r="BL50" s="60">
        <f t="shared" si="43"/>
        <v>31</v>
      </c>
      <c r="BM50" s="60">
        <f t="shared" si="20"/>
        <v>0</v>
      </c>
      <c r="BN50" s="60">
        <f>ROUND(BM50*BL50*Input!$C$3/365,0)</f>
        <v>0</v>
      </c>
      <c r="BO50" s="61">
        <f>IF($A50&lt;=Input!$C$6,0,IF('180M'!BK50&lt;'180M'!BM50,'180M'!BK50-BN50,'180M'!BM50))</f>
        <v>0</v>
      </c>
      <c r="BP50" s="61">
        <f t="shared" si="21"/>
        <v>0</v>
      </c>
      <c r="BQ50" s="60">
        <f t="shared" si="22"/>
        <v>0</v>
      </c>
      <c r="BR50" s="198"/>
    </row>
    <row r="51" spans="1:70" x14ac:dyDescent="0.25">
      <c r="A51" s="169">
        <v>47</v>
      </c>
      <c r="B51" s="1">
        <f t="shared" si="23"/>
        <v>46949</v>
      </c>
      <c r="C51" s="60">
        <f t="shared" si="1"/>
        <v>18940500</v>
      </c>
      <c r="D51" s="60">
        <f t="shared" si="2"/>
        <v>17046450</v>
      </c>
      <c r="E51" s="60">
        <f t="shared" si="24"/>
        <v>30</v>
      </c>
      <c r="F51" s="60">
        <f t="shared" si="25"/>
        <v>1437908213.4979434</v>
      </c>
      <c r="G51" s="60">
        <f>ROUND(F51*E51*Input!$C$3/365,0)</f>
        <v>17727636</v>
      </c>
      <c r="H51" s="60">
        <f>IF($A51&lt;=Input!$C$6,0,IF('180M'!D51&lt;'180M'!F51,'180M'!D51-G51,'180M'!F51))</f>
        <v>-681186</v>
      </c>
      <c r="I51" s="60">
        <f t="shared" si="26"/>
        <v>17046450</v>
      </c>
      <c r="J51" s="60">
        <f t="shared" si="27"/>
        <v>1438589399.4979434</v>
      </c>
      <c r="K51" s="203">
        <f>J51/Input!$K$5</f>
        <v>4.7952979983264781</v>
      </c>
      <c r="L51" s="232"/>
      <c r="M51" s="60">
        <f>IF($B51&lt;Input!$H$43,IF($B51&lt;Input!$G$43,IF($B51&lt;Input!$F$43,IF($B51&lt;Input!$E$43,IF($B51&lt;Input!$D$43,Input!$C$49,Input!$D$49),Input!$E$49),Input!$F$49),Input!$G$49),Input!$H$49)</f>
        <v>18940500</v>
      </c>
      <c r="N51" s="190">
        <f>IF($A51&lt;Input!$H$50,IF($A51&lt;Input!$G$50,IF($A51&lt;Input!$F$50,IF($A51&lt;Input!$E$50,IF($A51&lt;Input!$D$50,Input!$C$51,Input!$D$51),Input!$E$51),Input!$F$51),Input!$G$51),Input!$H$51)</f>
        <v>0.9</v>
      </c>
      <c r="O51" s="60">
        <f t="shared" si="44"/>
        <v>17046450</v>
      </c>
      <c r="P51" s="60">
        <f t="shared" si="45"/>
        <v>30</v>
      </c>
      <c r="Q51" s="60">
        <f t="shared" si="4"/>
        <v>1437908213.4979434</v>
      </c>
      <c r="R51" s="60">
        <f>ROUND(Q51*$P51*Input!$C$3/365,0)</f>
        <v>17727636</v>
      </c>
      <c r="S51" s="60">
        <f>IF(A51&lt;=Input!$C$6,0,IF('180M'!O51&lt;'180M'!Q51,'180M'!O51-R51,'180M'!Q51))</f>
        <v>-681186</v>
      </c>
      <c r="T51" s="60">
        <f t="shared" si="5"/>
        <v>17046450</v>
      </c>
      <c r="U51" s="60">
        <f t="shared" si="6"/>
        <v>1438589399.4979434</v>
      </c>
      <c r="V51" s="193"/>
      <c r="W51" s="169">
        <v>47</v>
      </c>
      <c r="X51" s="1">
        <f t="shared" si="28"/>
        <v>46949</v>
      </c>
      <c r="Y51" s="60">
        <f>IF($X51&lt;Input!$H$58,IF($X51&lt;Input!$G$58,IF($X51&lt;Input!$F$58,IF($X51&lt;Input!$E$58,IF($X51&lt;Input!$D$58,Input!$C$64,Input!$D$64),Input!$E$64),Input!$F$64),Input!$G$64),Input!$H$64)</f>
        <v>0</v>
      </c>
      <c r="Z51" s="190">
        <f>IF($A51&lt;Input!$H$65,IF($A51&lt;Input!$G$65,IF($A51&lt;Input!$F$65,IF($A51&lt;Input!$E$65,IF($A51&lt;Input!$D$65,Input!$C$66,Input!$D$66),Input!$E$66),Input!$F$66),Input!$G$66),Input!$H$66)</f>
        <v>0.9</v>
      </c>
      <c r="AA51" s="60">
        <f t="shared" si="7"/>
        <v>0</v>
      </c>
      <c r="AB51" s="60">
        <f t="shared" si="29"/>
        <v>30</v>
      </c>
      <c r="AC51" s="60">
        <f t="shared" si="8"/>
        <v>0</v>
      </c>
      <c r="AD51" s="60">
        <f>ROUND(AC51*AB51*Input!$C$3/365,0)</f>
        <v>0</v>
      </c>
      <c r="AE51" s="61">
        <f>IF($A51&lt;=Input!$C$6,0,IF('180M'!AA51&lt;'180M'!AC51,'180M'!AA51-AD51,'180M'!AC51))</f>
        <v>0</v>
      </c>
      <c r="AF51" s="61">
        <f t="shared" si="9"/>
        <v>0</v>
      </c>
      <c r="AG51" s="60">
        <f t="shared" si="10"/>
        <v>0</v>
      </c>
      <c r="AH51" s="193"/>
      <c r="AI51" s="169">
        <v>47</v>
      </c>
      <c r="AJ51" s="1">
        <f t="shared" si="30"/>
        <v>46949</v>
      </c>
      <c r="AK51" s="60">
        <f>IF($X51&lt;Input!$H$73,IF($X51&lt;Input!$G$73,IF($X51&lt;Input!$F$73,IF($X51&lt;Input!$E$73,IF($X51&lt;Input!$D$73,Input!$C$79,Input!$D$79),Input!$E$79),Input!$F$79),Input!$G$79),Input!$H$79)</f>
        <v>0</v>
      </c>
      <c r="AL51" s="190">
        <f>IF($A51&lt;Input!$H$80,IF($A51&lt;Input!$G$80,IF($A51&lt;Input!$F$80,IF($A51&lt;Input!$E$80,IF($A51&lt;Input!$D$80,Input!$C$81,Input!$D$81),Input!$E$81),Input!$F$81),Input!$G$81),Input!$H$81)</f>
        <v>0.9</v>
      </c>
      <c r="AM51" s="60">
        <f t="shared" si="31"/>
        <v>0</v>
      </c>
      <c r="AN51" s="60">
        <f t="shared" si="32"/>
        <v>30</v>
      </c>
      <c r="AO51" s="60">
        <f t="shared" si="33"/>
        <v>0</v>
      </c>
      <c r="AP51" s="60">
        <f>ROUND(AO51*AN51*Input!$C$3/365,0)</f>
        <v>0</v>
      </c>
      <c r="AQ51" s="61">
        <f>IF($A51&lt;=Input!$C$6,0,IF('180M'!AM51&lt;'180M'!AO51,'180M'!AM51-AP51,'180M'!AO51))</f>
        <v>0</v>
      </c>
      <c r="AR51" s="61">
        <f t="shared" si="34"/>
        <v>0</v>
      </c>
      <c r="AS51" s="60">
        <f t="shared" si="35"/>
        <v>0</v>
      </c>
      <c r="AT51" s="193"/>
      <c r="AU51" s="169">
        <v>47</v>
      </c>
      <c r="AV51" s="1">
        <f t="shared" si="36"/>
        <v>46949</v>
      </c>
      <c r="AW51" s="60">
        <f>IF($X51&lt;Input!$H$88,IF($X51&lt;Input!$G$88,IF($X51&lt;Input!$F$88,IF($X51&lt;Input!$E$88,IF($X51&lt;Input!$D$88,Input!$C$94,Input!$D$94),Input!$E$94),Input!$F$94),Input!$G$94),Input!$H$94)</f>
        <v>0</v>
      </c>
      <c r="AX51" s="190">
        <f>IF($A51&lt;Input!$H$95,IF($A51&lt;Input!$G$95,IF($A51&lt;Input!$F$95,IF($A51&lt;Input!$E$95,IF($A51&lt;Input!$D$95,Input!$C$96,Input!$D$96),Input!$E$96),Input!$F$96),Input!$G$96),Input!$H$96)</f>
        <v>0.9</v>
      </c>
      <c r="AY51" s="60">
        <f t="shared" si="37"/>
        <v>0</v>
      </c>
      <c r="AZ51" s="60">
        <f t="shared" si="38"/>
        <v>30</v>
      </c>
      <c r="BA51" s="60">
        <f t="shared" si="39"/>
        <v>0</v>
      </c>
      <c r="BB51" s="60">
        <f>ROUND(BA51*AZ51*Input!$C$3/365,0)</f>
        <v>0</v>
      </c>
      <c r="BC51" s="61">
        <f>IF($A51&lt;=Input!$C$6,0,IF('180M'!AY51&lt;'180M'!BA51,'180M'!AY51-BB51,'180M'!BA51))</f>
        <v>0</v>
      </c>
      <c r="BD51" s="61">
        <f t="shared" si="40"/>
        <v>0</v>
      </c>
      <c r="BE51" s="60">
        <f t="shared" si="41"/>
        <v>0</v>
      </c>
      <c r="BF51" s="193"/>
      <c r="BG51" s="169">
        <v>47</v>
      </c>
      <c r="BH51" s="1">
        <f t="shared" si="42"/>
        <v>46949</v>
      </c>
      <c r="BI51" s="60">
        <f>IF($X51&lt;Input!$H$103,IF($X51&lt;Input!$G$103,IF($X51&lt;Input!$F$103,IF($X51&lt;Input!$E$103,IF($X51&lt;Input!$D$103,Input!$C$109,Input!$D$109),Input!$E$109),Input!$F$109),Input!$G$109),Input!$H$109)</f>
        <v>0</v>
      </c>
      <c r="BJ51" s="190">
        <f>IF($A51&lt;Input!$H$110,IF($A51&lt;Input!$G$110,IF($A51&lt;Input!$F$110,IF($A51&lt;Input!$E$110,IF($A51&lt;Input!$D$110,Input!$C$111,Input!$D$111),Input!$E$111),Input!$F$111),Input!$G$111),Input!$H$111)</f>
        <v>0.9</v>
      </c>
      <c r="BK51" s="60">
        <f t="shared" si="19"/>
        <v>0</v>
      </c>
      <c r="BL51" s="60">
        <f t="shared" si="43"/>
        <v>30</v>
      </c>
      <c r="BM51" s="60">
        <f t="shared" si="20"/>
        <v>0</v>
      </c>
      <c r="BN51" s="60">
        <f>ROUND(BM51*BL51*Input!$C$3/365,0)</f>
        <v>0</v>
      </c>
      <c r="BO51" s="61">
        <f>IF($A51&lt;=Input!$C$6,0,IF('180M'!BK51&lt;'180M'!BM51,'180M'!BK51-BN51,'180M'!BM51))</f>
        <v>0</v>
      </c>
      <c r="BP51" s="61">
        <f t="shared" si="21"/>
        <v>0</v>
      </c>
      <c r="BQ51" s="60">
        <f t="shared" si="22"/>
        <v>0</v>
      </c>
      <c r="BR51" s="198"/>
    </row>
    <row r="52" spans="1:70" x14ac:dyDescent="0.25">
      <c r="A52" s="169">
        <v>48</v>
      </c>
      <c r="B52" s="1">
        <f t="shared" si="23"/>
        <v>46980</v>
      </c>
      <c r="C52" s="60">
        <f t="shared" si="1"/>
        <v>18940500</v>
      </c>
      <c r="D52" s="60">
        <f t="shared" si="2"/>
        <v>17046450</v>
      </c>
      <c r="E52" s="60">
        <f t="shared" si="24"/>
        <v>31</v>
      </c>
      <c r="F52" s="60">
        <f t="shared" si="25"/>
        <v>1438589399.4979434</v>
      </c>
      <c r="G52" s="60">
        <f>ROUND(F52*E52*Input!$C$3/365,0)</f>
        <v>18327235</v>
      </c>
      <c r="H52" s="60">
        <f>IF($A52&lt;=Input!$C$6,0,IF('180M'!D52&lt;'180M'!F52,'180M'!D52-G52,'180M'!F52))</f>
        <v>-1280785</v>
      </c>
      <c r="I52" s="60">
        <f t="shared" si="26"/>
        <v>17046450</v>
      </c>
      <c r="J52" s="60">
        <f t="shared" si="27"/>
        <v>1439870184.4979434</v>
      </c>
      <c r="K52" s="203">
        <f>J52/Input!$K$5</f>
        <v>4.7995672816598116</v>
      </c>
      <c r="L52" s="232"/>
      <c r="M52" s="60">
        <f>IF($B52&lt;Input!$H$43,IF($B52&lt;Input!$G$43,IF($B52&lt;Input!$F$43,IF($B52&lt;Input!$E$43,IF($B52&lt;Input!$D$43,Input!$C$49,Input!$D$49),Input!$E$49),Input!$F$49),Input!$G$49),Input!$H$49)</f>
        <v>18940500</v>
      </c>
      <c r="N52" s="190">
        <f>IF($A52&lt;Input!$H$50,IF($A52&lt;Input!$G$50,IF($A52&lt;Input!$F$50,IF($A52&lt;Input!$E$50,IF($A52&lt;Input!$D$50,Input!$C$51,Input!$D$51),Input!$E$51),Input!$F$51),Input!$G$51),Input!$H$51)</f>
        <v>0.9</v>
      </c>
      <c r="O52" s="60">
        <f t="shared" si="44"/>
        <v>17046450</v>
      </c>
      <c r="P52" s="60">
        <f t="shared" si="45"/>
        <v>31</v>
      </c>
      <c r="Q52" s="60">
        <f t="shared" si="4"/>
        <v>1438589399.4979434</v>
      </c>
      <c r="R52" s="60">
        <f>ROUND(Q52*$P52*Input!$C$3/365,0)</f>
        <v>18327235</v>
      </c>
      <c r="S52" s="60">
        <f>IF(A52&lt;=Input!$C$6,0,IF('180M'!O52&lt;'180M'!Q52,'180M'!O52-R52,'180M'!Q52))</f>
        <v>-1280785</v>
      </c>
      <c r="T52" s="60">
        <f t="shared" si="5"/>
        <v>17046450</v>
      </c>
      <c r="U52" s="60">
        <f t="shared" si="6"/>
        <v>1439870184.4979434</v>
      </c>
      <c r="V52" s="193"/>
      <c r="W52" s="169">
        <v>48</v>
      </c>
      <c r="X52" s="1">
        <f t="shared" si="28"/>
        <v>46980</v>
      </c>
      <c r="Y52" s="60">
        <f>IF($X52&lt;Input!$H$58,IF($X52&lt;Input!$G$58,IF($X52&lt;Input!$F$58,IF($X52&lt;Input!$E$58,IF($X52&lt;Input!$D$58,Input!$C$64,Input!$D$64),Input!$E$64),Input!$F$64),Input!$G$64),Input!$H$64)</f>
        <v>0</v>
      </c>
      <c r="Z52" s="190">
        <f>IF($A52&lt;Input!$H$65,IF($A52&lt;Input!$G$65,IF($A52&lt;Input!$F$65,IF($A52&lt;Input!$E$65,IF($A52&lt;Input!$D$65,Input!$C$66,Input!$D$66),Input!$E$66),Input!$F$66),Input!$G$66),Input!$H$66)</f>
        <v>0.9</v>
      </c>
      <c r="AA52" s="60">
        <f t="shared" si="7"/>
        <v>0</v>
      </c>
      <c r="AB52" s="60">
        <f t="shared" si="29"/>
        <v>31</v>
      </c>
      <c r="AC52" s="60">
        <f t="shared" si="8"/>
        <v>0</v>
      </c>
      <c r="AD52" s="60">
        <f>ROUND(AC52*AB52*Input!$C$3/365,0)</f>
        <v>0</v>
      </c>
      <c r="AE52" s="61">
        <f>IF($A52&lt;=Input!$C$6,0,IF('180M'!AA52&lt;'180M'!AC52,'180M'!AA52-AD52,'180M'!AC52))</f>
        <v>0</v>
      </c>
      <c r="AF52" s="61">
        <f t="shared" si="9"/>
        <v>0</v>
      </c>
      <c r="AG52" s="60">
        <f t="shared" si="10"/>
        <v>0</v>
      </c>
      <c r="AH52" s="193"/>
      <c r="AI52" s="169">
        <v>48</v>
      </c>
      <c r="AJ52" s="1">
        <f t="shared" si="30"/>
        <v>46980</v>
      </c>
      <c r="AK52" s="60">
        <f>IF($X52&lt;Input!$H$73,IF($X52&lt;Input!$G$73,IF($X52&lt;Input!$F$73,IF($X52&lt;Input!$E$73,IF($X52&lt;Input!$D$73,Input!$C$79,Input!$D$79),Input!$E$79),Input!$F$79),Input!$G$79),Input!$H$79)</f>
        <v>0</v>
      </c>
      <c r="AL52" s="190">
        <f>IF($A52&lt;Input!$H$80,IF($A52&lt;Input!$G$80,IF($A52&lt;Input!$F$80,IF($A52&lt;Input!$E$80,IF($A52&lt;Input!$D$80,Input!$C$81,Input!$D$81),Input!$E$81),Input!$F$81),Input!$G$81),Input!$H$81)</f>
        <v>0.9</v>
      </c>
      <c r="AM52" s="60">
        <f t="shared" si="31"/>
        <v>0</v>
      </c>
      <c r="AN52" s="60">
        <f t="shared" si="32"/>
        <v>31</v>
      </c>
      <c r="AO52" s="60">
        <f t="shared" si="33"/>
        <v>0</v>
      </c>
      <c r="AP52" s="60">
        <f>ROUND(AO52*AN52*Input!$C$3/365,0)</f>
        <v>0</v>
      </c>
      <c r="AQ52" s="61">
        <f>IF($A52&lt;=Input!$C$6,0,IF('180M'!AM52&lt;'180M'!AO52,'180M'!AM52-AP52,'180M'!AO52))</f>
        <v>0</v>
      </c>
      <c r="AR52" s="61">
        <f t="shared" si="34"/>
        <v>0</v>
      </c>
      <c r="AS52" s="60">
        <f t="shared" si="35"/>
        <v>0</v>
      </c>
      <c r="AT52" s="193"/>
      <c r="AU52" s="169">
        <v>48</v>
      </c>
      <c r="AV52" s="1">
        <f t="shared" si="36"/>
        <v>46980</v>
      </c>
      <c r="AW52" s="60">
        <f>IF($X52&lt;Input!$H$88,IF($X52&lt;Input!$G$88,IF($X52&lt;Input!$F$88,IF($X52&lt;Input!$E$88,IF($X52&lt;Input!$D$88,Input!$C$94,Input!$D$94),Input!$E$94),Input!$F$94),Input!$G$94),Input!$H$94)</f>
        <v>0</v>
      </c>
      <c r="AX52" s="190">
        <f>IF($A52&lt;Input!$H$95,IF($A52&lt;Input!$G$95,IF($A52&lt;Input!$F$95,IF($A52&lt;Input!$E$95,IF($A52&lt;Input!$D$95,Input!$C$96,Input!$D$96),Input!$E$96),Input!$F$96),Input!$G$96),Input!$H$96)</f>
        <v>0.9</v>
      </c>
      <c r="AY52" s="60">
        <f t="shared" si="37"/>
        <v>0</v>
      </c>
      <c r="AZ52" s="60">
        <f t="shared" si="38"/>
        <v>31</v>
      </c>
      <c r="BA52" s="60">
        <f t="shared" si="39"/>
        <v>0</v>
      </c>
      <c r="BB52" s="60">
        <f>ROUND(BA52*AZ52*Input!$C$3/365,0)</f>
        <v>0</v>
      </c>
      <c r="BC52" s="61">
        <f>IF($A52&lt;=Input!$C$6,0,IF('180M'!AY52&lt;'180M'!BA52,'180M'!AY52-BB52,'180M'!BA52))</f>
        <v>0</v>
      </c>
      <c r="BD52" s="61">
        <f t="shared" si="40"/>
        <v>0</v>
      </c>
      <c r="BE52" s="60">
        <f t="shared" si="41"/>
        <v>0</v>
      </c>
      <c r="BF52" s="193"/>
      <c r="BG52" s="169">
        <v>48</v>
      </c>
      <c r="BH52" s="1">
        <f t="shared" si="42"/>
        <v>46980</v>
      </c>
      <c r="BI52" s="60">
        <f>IF($X52&lt;Input!$H$103,IF($X52&lt;Input!$G$103,IF($X52&lt;Input!$F$103,IF($X52&lt;Input!$E$103,IF($X52&lt;Input!$D$103,Input!$C$109,Input!$D$109),Input!$E$109),Input!$F$109),Input!$G$109),Input!$H$109)</f>
        <v>0</v>
      </c>
      <c r="BJ52" s="190">
        <f>IF($A52&lt;Input!$H$110,IF($A52&lt;Input!$G$110,IF($A52&lt;Input!$F$110,IF($A52&lt;Input!$E$110,IF($A52&lt;Input!$D$110,Input!$C$111,Input!$D$111),Input!$E$111),Input!$F$111),Input!$G$111),Input!$H$111)</f>
        <v>0.9</v>
      </c>
      <c r="BK52" s="60">
        <f t="shared" si="19"/>
        <v>0</v>
      </c>
      <c r="BL52" s="60">
        <f t="shared" si="43"/>
        <v>31</v>
      </c>
      <c r="BM52" s="60">
        <f t="shared" si="20"/>
        <v>0</v>
      </c>
      <c r="BN52" s="60">
        <f>ROUND(BM52*BL52*Input!$C$3/365,0)</f>
        <v>0</v>
      </c>
      <c r="BO52" s="61">
        <f>IF($A52&lt;=Input!$C$6,0,IF('180M'!BK52&lt;'180M'!BM52,'180M'!BK52-BN52,'180M'!BM52))</f>
        <v>0</v>
      </c>
      <c r="BP52" s="61">
        <f t="shared" si="21"/>
        <v>0</v>
      </c>
      <c r="BQ52" s="60">
        <f t="shared" si="22"/>
        <v>0</v>
      </c>
      <c r="BR52" s="198"/>
    </row>
    <row r="53" spans="1:70" x14ac:dyDescent="0.25">
      <c r="A53" s="169">
        <v>49</v>
      </c>
      <c r="B53" s="1">
        <f t="shared" si="23"/>
        <v>47011</v>
      </c>
      <c r="C53" s="60">
        <f t="shared" si="1"/>
        <v>18940500</v>
      </c>
      <c r="D53" s="60">
        <f t="shared" si="2"/>
        <v>17046450</v>
      </c>
      <c r="E53" s="60">
        <f t="shared" si="24"/>
        <v>31</v>
      </c>
      <c r="F53" s="60">
        <f t="shared" si="25"/>
        <v>1439870184.4979434</v>
      </c>
      <c r="G53" s="60">
        <f>ROUND(F53*E53*Input!$C$3/365,0)</f>
        <v>18343552</v>
      </c>
      <c r="H53" s="60">
        <f>IF($A53&lt;=Input!$C$6,0,IF('180M'!D53&lt;'180M'!F53,'180M'!D53-G53,'180M'!F53))</f>
        <v>-1297102</v>
      </c>
      <c r="I53" s="60">
        <f t="shared" si="26"/>
        <v>17046450</v>
      </c>
      <c r="J53" s="60">
        <f t="shared" si="27"/>
        <v>1441167286.4979434</v>
      </c>
      <c r="K53" s="203">
        <f>J53/Input!$K$5</f>
        <v>4.803890954993145</v>
      </c>
      <c r="L53" s="232"/>
      <c r="M53" s="60">
        <f>IF($B53&lt;Input!$H$43,IF($B53&lt;Input!$G$43,IF($B53&lt;Input!$F$43,IF($B53&lt;Input!$E$43,IF($B53&lt;Input!$D$43,Input!$C$49,Input!$D$49),Input!$E$49),Input!$F$49),Input!$G$49),Input!$H$49)</f>
        <v>18940500</v>
      </c>
      <c r="N53" s="190">
        <f>IF($A53&lt;Input!$H$50,IF($A53&lt;Input!$G$50,IF($A53&lt;Input!$F$50,IF($A53&lt;Input!$E$50,IF($A53&lt;Input!$D$50,Input!$C$51,Input!$D$51),Input!$E$51),Input!$F$51),Input!$G$51),Input!$H$51)</f>
        <v>0.9</v>
      </c>
      <c r="O53" s="60">
        <f t="shared" si="44"/>
        <v>17046450</v>
      </c>
      <c r="P53" s="60">
        <f t="shared" si="45"/>
        <v>31</v>
      </c>
      <c r="Q53" s="60">
        <f t="shared" si="4"/>
        <v>1439870184.4979434</v>
      </c>
      <c r="R53" s="60">
        <f>ROUND(Q53*$P53*Input!$C$3/365,0)</f>
        <v>18343552</v>
      </c>
      <c r="S53" s="60">
        <f>IF(A53&lt;=Input!$C$6,0,IF('180M'!O53&lt;'180M'!Q53,'180M'!O53-R53,'180M'!Q53))</f>
        <v>-1297102</v>
      </c>
      <c r="T53" s="60">
        <f t="shared" si="5"/>
        <v>17046450</v>
      </c>
      <c r="U53" s="60">
        <f t="shared" si="6"/>
        <v>1441167286.4979434</v>
      </c>
      <c r="V53" s="193"/>
      <c r="W53" s="169">
        <v>49</v>
      </c>
      <c r="X53" s="1">
        <f t="shared" si="28"/>
        <v>47011</v>
      </c>
      <c r="Y53" s="60">
        <f>IF($X53&lt;Input!$H$58,IF($X53&lt;Input!$G$58,IF($X53&lt;Input!$F$58,IF($X53&lt;Input!$E$58,IF($X53&lt;Input!$D$58,Input!$C$64,Input!$D$64),Input!$E$64),Input!$F$64),Input!$G$64),Input!$H$64)</f>
        <v>0</v>
      </c>
      <c r="Z53" s="190">
        <f>IF($A53&lt;Input!$H$65,IF($A53&lt;Input!$G$65,IF($A53&lt;Input!$F$65,IF($A53&lt;Input!$E$65,IF($A53&lt;Input!$D$65,Input!$C$66,Input!$D$66),Input!$E$66),Input!$F$66),Input!$G$66),Input!$H$66)</f>
        <v>0.9</v>
      </c>
      <c r="AA53" s="60">
        <f t="shared" si="7"/>
        <v>0</v>
      </c>
      <c r="AB53" s="60">
        <f t="shared" si="29"/>
        <v>31</v>
      </c>
      <c r="AC53" s="60">
        <f t="shared" si="8"/>
        <v>0</v>
      </c>
      <c r="AD53" s="60">
        <f>ROUND(AC53*AB53*Input!$C$3/365,0)</f>
        <v>0</v>
      </c>
      <c r="AE53" s="61">
        <f>IF($A53&lt;=Input!$C$6,0,IF('180M'!AA53&lt;'180M'!AC53,'180M'!AA53-AD53,'180M'!AC53))</f>
        <v>0</v>
      </c>
      <c r="AF53" s="61">
        <f t="shared" si="9"/>
        <v>0</v>
      </c>
      <c r="AG53" s="60">
        <f t="shared" si="10"/>
        <v>0</v>
      </c>
      <c r="AH53" s="193"/>
      <c r="AI53" s="169">
        <v>49</v>
      </c>
      <c r="AJ53" s="1">
        <f t="shared" si="30"/>
        <v>47011</v>
      </c>
      <c r="AK53" s="60">
        <f>IF($X53&lt;Input!$H$73,IF($X53&lt;Input!$G$73,IF($X53&lt;Input!$F$73,IF($X53&lt;Input!$E$73,IF($X53&lt;Input!$D$73,Input!$C$79,Input!$D$79),Input!$E$79),Input!$F$79),Input!$G$79),Input!$H$79)</f>
        <v>0</v>
      </c>
      <c r="AL53" s="190">
        <f>IF($A53&lt;Input!$H$80,IF($A53&lt;Input!$G$80,IF($A53&lt;Input!$F$80,IF($A53&lt;Input!$E$80,IF($A53&lt;Input!$D$80,Input!$C$81,Input!$D$81),Input!$E$81),Input!$F$81),Input!$G$81),Input!$H$81)</f>
        <v>0.9</v>
      </c>
      <c r="AM53" s="60">
        <f t="shared" si="31"/>
        <v>0</v>
      </c>
      <c r="AN53" s="60">
        <f t="shared" si="32"/>
        <v>31</v>
      </c>
      <c r="AO53" s="60">
        <f t="shared" si="33"/>
        <v>0</v>
      </c>
      <c r="AP53" s="60">
        <f>ROUND(AO53*AN53*Input!$C$3/365,0)</f>
        <v>0</v>
      </c>
      <c r="AQ53" s="61">
        <f>IF($A53&lt;=Input!$C$6,0,IF('180M'!AM53&lt;'180M'!AO53,'180M'!AM53-AP53,'180M'!AO53))</f>
        <v>0</v>
      </c>
      <c r="AR53" s="61">
        <f t="shared" si="34"/>
        <v>0</v>
      </c>
      <c r="AS53" s="60">
        <f t="shared" si="35"/>
        <v>0</v>
      </c>
      <c r="AT53" s="193"/>
      <c r="AU53" s="169">
        <v>49</v>
      </c>
      <c r="AV53" s="1">
        <f t="shared" si="36"/>
        <v>47011</v>
      </c>
      <c r="AW53" s="60">
        <f>IF($X53&lt;Input!$H$88,IF($X53&lt;Input!$G$88,IF($X53&lt;Input!$F$88,IF($X53&lt;Input!$E$88,IF($X53&lt;Input!$D$88,Input!$C$94,Input!$D$94),Input!$E$94),Input!$F$94),Input!$G$94),Input!$H$94)</f>
        <v>0</v>
      </c>
      <c r="AX53" s="190">
        <f>IF($A53&lt;Input!$H$95,IF($A53&lt;Input!$G$95,IF($A53&lt;Input!$F$95,IF($A53&lt;Input!$E$95,IF($A53&lt;Input!$D$95,Input!$C$96,Input!$D$96),Input!$E$96),Input!$F$96),Input!$G$96),Input!$H$96)</f>
        <v>0.9</v>
      </c>
      <c r="AY53" s="60">
        <f t="shared" si="37"/>
        <v>0</v>
      </c>
      <c r="AZ53" s="60">
        <f t="shared" si="38"/>
        <v>31</v>
      </c>
      <c r="BA53" s="60">
        <f t="shared" si="39"/>
        <v>0</v>
      </c>
      <c r="BB53" s="60">
        <f>ROUND(BA53*AZ53*Input!$C$3/365,0)</f>
        <v>0</v>
      </c>
      <c r="BC53" s="61">
        <f>IF($A53&lt;=Input!$C$6,0,IF('180M'!AY53&lt;'180M'!BA53,'180M'!AY53-BB53,'180M'!BA53))</f>
        <v>0</v>
      </c>
      <c r="BD53" s="61">
        <f t="shared" si="40"/>
        <v>0</v>
      </c>
      <c r="BE53" s="60">
        <f t="shared" si="41"/>
        <v>0</v>
      </c>
      <c r="BF53" s="193"/>
      <c r="BG53" s="169">
        <v>49</v>
      </c>
      <c r="BH53" s="1">
        <f t="shared" si="42"/>
        <v>47011</v>
      </c>
      <c r="BI53" s="60">
        <f>IF($X53&lt;Input!$H$103,IF($X53&lt;Input!$G$103,IF($X53&lt;Input!$F$103,IF($X53&lt;Input!$E$103,IF($X53&lt;Input!$D$103,Input!$C$109,Input!$D$109),Input!$E$109),Input!$F$109),Input!$G$109),Input!$H$109)</f>
        <v>0</v>
      </c>
      <c r="BJ53" s="190">
        <f>IF($A53&lt;Input!$H$110,IF($A53&lt;Input!$G$110,IF($A53&lt;Input!$F$110,IF($A53&lt;Input!$E$110,IF($A53&lt;Input!$D$110,Input!$C$111,Input!$D$111),Input!$E$111),Input!$F$111),Input!$G$111),Input!$H$111)</f>
        <v>0.9</v>
      </c>
      <c r="BK53" s="60">
        <f t="shared" si="19"/>
        <v>0</v>
      </c>
      <c r="BL53" s="60">
        <f t="shared" si="43"/>
        <v>31</v>
      </c>
      <c r="BM53" s="60">
        <f t="shared" si="20"/>
        <v>0</v>
      </c>
      <c r="BN53" s="60">
        <f>ROUND(BM53*BL53*Input!$C$3/365,0)</f>
        <v>0</v>
      </c>
      <c r="BO53" s="61">
        <f>IF($A53&lt;=Input!$C$6,0,IF('180M'!BK53&lt;'180M'!BM53,'180M'!BK53-BN53,'180M'!BM53))</f>
        <v>0</v>
      </c>
      <c r="BP53" s="61">
        <f t="shared" si="21"/>
        <v>0</v>
      </c>
      <c r="BQ53" s="60">
        <f t="shared" si="22"/>
        <v>0</v>
      </c>
      <c r="BR53" s="198"/>
    </row>
    <row r="54" spans="1:70" x14ac:dyDescent="0.25">
      <c r="A54" s="169">
        <v>50</v>
      </c>
      <c r="B54" s="1">
        <f t="shared" si="23"/>
        <v>47041</v>
      </c>
      <c r="C54" s="60">
        <f t="shared" si="1"/>
        <v>18940500</v>
      </c>
      <c r="D54" s="60">
        <f t="shared" si="2"/>
        <v>17046450</v>
      </c>
      <c r="E54" s="60">
        <f t="shared" si="24"/>
        <v>30</v>
      </c>
      <c r="F54" s="60">
        <f t="shared" si="25"/>
        <v>1441167286.4979434</v>
      </c>
      <c r="G54" s="60">
        <f>ROUND(F54*E54*Input!$C$3/365,0)</f>
        <v>17767816</v>
      </c>
      <c r="H54" s="60">
        <f>IF($A54&lt;=Input!$C$6,0,IF('180M'!D54&lt;'180M'!F54,'180M'!D54-G54,'180M'!F54))</f>
        <v>-721366</v>
      </c>
      <c r="I54" s="60">
        <f t="shared" si="26"/>
        <v>17046450</v>
      </c>
      <c r="J54" s="60">
        <f t="shared" si="27"/>
        <v>1441888652.4979434</v>
      </c>
      <c r="K54" s="203">
        <f>J54/Input!$K$5</f>
        <v>4.8062955083264782</v>
      </c>
      <c r="L54" s="232"/>
      <c r="M54" s="60">
        <f>IF($B54&lt;Input!$H$43,IF($B54&lt;Input!$G$43,IF($B54&lt;Input!$F$43,IF($B54&lt;Input!$E$43,IF($B54&lt;Input!$D$43,Input!$C$49,Input!$D$49),Input!$E$49),Input!$F$49),Input!$G$49),Input!$H$49)</f>
        <v>18940500</v>
      </c>
      <c r="N54" s="190">
        <f>IF($A54&lt;Input!$H$50,IF($A54&lt;Input!$G$50,IF($A54&lt;Input!$F$50,IF($A54&lt;Input!$E$50,IF($A54&lt;Input!$D$50,Input!$C$51,Input!$D$51),Input!$E$51),Input!$F$51),Input!$G$51),Input!$H$51)</f>
        <v>0.9</v>
      </c>
      <c r="O54" s="60">
        <f t="shared" si="44"/>
        <v>17046450</v>
      </c>
      <c r="P54" s="60">
        <f t="shared" si="45"/>
        <v>30</v>
      </c>
      <c r="Q54" s="60">
        <f t="shared" si="4"/>
        <v>1441167286.4979434</v>
      </c>
      <c r="R54" s="60">
        <f>ROUND(Q54*$P54*Input!$C$3/365,0)</f>
        <v>17767816</v>
      </c>
      <c r="S54" s="60">
        <f>IF(A54&lt;=Input!$C$6,0,IF('180M'!O54&lt;'180M'!Q54,'180M'!O54-R54,'180M'!Q54))</f>
        <v>-721366</v>
      </c>
      <c r="T54" s="60">
        <f t="shared" si="5"/>
        <v>17046450</v>
      </c>
      <c r="U54" s="60">
        <f t="shared" si="6"/>
        <v>1441888652.4979434</v>
      </c>
      <c r="V54" s="193"/>
      <c r="W54" s="169">
        <v>50</v>
      </c>
      <c r="X54" s="1">
        <f t="shared" si="28"/>
        <v>47041</v>
      </c>
      <c r="Y54" s="60">
        <f>IF($X54&lt;Input!$H$58,IF($X54&lt;Input!$G$58,IF($X54&lt;Input!$F$58,IF($X54&lt;Input!$E$58,IF($X54&lt;Input!$D$58,Input!$C$64,Input!$D$64),Input!$E$64),Input!$F$64),Input!$G$64),Input!$H$64)</f>
        <v>0</v>
      </c>
      <c r="Z54" s="190">
        <f>IF($A54&lt;Input!$H$65,IF($A54&lt;Input!$G$65,IF($A54&lt;Input!$F$65,IF($A54&lt;Input!$E$65,IF($A54&lt;Input!$D$65,Input!$C$66,Input!$D$66),Input!$E$66),Input!$F$66),Input!$G$66),Input!$H$66)</f>
        <v>0.9</v>
      </c>
      <c r="AA54" s="60">
        <f t="shared" si="7"/>
        <v>0</v>
      </c>
      <c r="AB54" s="60">
        <f t="shared" si="29"/>
        <v>30</v>
      </c>
      <c r="AC54" s="60">
        <f t="shared" si="8"/>
        <v>0</v>
      </c>
      <c r="AD54" s="60">
        <f>ROUND(AC54*AB54*Input!$C$3/365,0)</f>
        <v>0</v>
      </c>
      <c r="AE54" s="61">
        <f>IF($A54&lt;=Input!$C$6,0,IF('180M'!AA54&lt;'180M'!AC54,'180M'!AA54-AD54,'180M'!AC54))</f>
        <v>0</v>
      </c>
      <c r="AF54" s="61">
        <f t="shared" si="9"/>
        <v>0</v>
      </c>
      <c r="AG54" s="60">
        <f t="shared" si="10"/>
        <v>0</v>
      </c>
      <c r="AH54" s="193"/>
      <c r="AI54" s="169">
        <v>50</v>
      </c>
      <c r="AJ54" s="1">
        <f t="shared" si="30"/>
        <v>47041</v>
      </c>
      <c r="AK54" s="60">
        <f>IF($X54&lt;Input!$H$73,IF($X54&lt;Input!$G$73,IF($X54&lt;Input!$F$73,IF($X54&lt;Input!$E$73,IF($X54&lt;Input!$D$73,Input!$C$79,Input!$D$79),Input!$E$79),Input!$F$79),Input!$G$79),Input!$H$79)</f>
        <v>0</v>
      </c>
      <c r="AL54" s="190">
        <f>IF($A54&lt;Input!$H$80,IF($A54&lt;Input!$G$80,IF($A54&lt;Input!$F$80,IF($A54&lt;Input!$E$80,IF($A54&lt;Input!$D$80,Input!$C$81,Input!$D$81),Input!$E$81),Input!$F$81),Input!$G$81),Input!$H$81)</f>
        <v>0.9</v>
      </c>
      <c r="AM54" s="60">
        <f t="shared" si="31"/>
        <v>0</v>
      </c>
      <c r="AN54" s="60">
        <f t="shared" si="32"/>
        <v>30</v>
      </c>
      <c r="AO54" s="60">
        <f t="shared" si="33"/>
        <v>0</v>
      </c>
      <c r="AP54" s="60">
        <f>ROUND(AO54*AN54*Input!$C$3/365,0)</f>
        <v>0</v>
      </c>
      <c r="AQ54" s="61">
        <f>IF($A54&lt;=Input!$C$6,0,IF('180M'!AM54&lt;'180M'!AO54,'180M'!AM54-AP54,'180M'!AO54))</f>
        <v>0</v>
      </c>
      <c r="AR54" s="61">
        <f t="shared" si="34"/>
        <v>0</v>
      </c>
      <c r="AS54" s="60">
        <f t="shared" si="35"/>
        <v>0</v>
      </c>
      <c r="AT54" s="193"/>
      <c r="AU54" s="169">
        <v>50</v>
      </c>
      <c r="AV54" s="1">
        <f t="shared" si="36"/>
        <v>47041</v>
      </c>
      <c r="AW54" s="60">
        <f>IF($X54&lt;Input!$H$88,IF($X54&lt;Input!$G$88,IF($X54&lt;Input!$F$88,IF($X54&lt;Input!$E$88,IF($X54&lt;Input!$D$88,Input!$C$94,Input!$D$94),Input!$E$94),Input!$F$94),Input!$G$94),Input!$H$94)</f>
        <v>0</v>
      </c>
      <c r="AX54" s="190">
        <f>IF($A54&lt;Input!$H$95,IF($A54&lt;Input!$G$95,IF($A54&lt;Input!$F$95,IF($A54&lt;Input!$E$95,IF($A54&lt;Input!$D$95,Input!$C$96,Input!$D$96),Input!$E$96),Input!$F$96),Input!$G$96),Input!$H$96)</f>
        <v>0.9</v>
      </c>
      <c r="AY54" s="60">
        <f t="shared" si="37"/>
        <v>0</v>
      </c>
      <c r="AZ54" s="60">
        <f t="shared" si="38"/>
        <v>30</v>
      </c>
      <c r="BA54" s="60">
        <f t="shared" si="39"/>
        <v>0</v>
      </c>
      <c r="BB54" s="60">
        <f>ROUND(BA54*AZ54*Input!$C$3/365,0)</f>
        <v>0</v>
      </c>
      <c r="BC54" s="61">
        <f>IF($A54&lt;=Input!$C$6,0,IF('180M'!AY54&lt;'180M'!BA54,'180M'!AY54-BB54,'180M'!BA54))</f>
        <v>0</v>
      </c>
      <c r="BD54" s="61">
        <f t="shared" si="40"/>
        <v>0</v>
      </c>
      <c r="BE54" s="60">
        <f t="shared" si="41"/>
        <v>0</v>
      </c>
      <c r="BF54" s="193"/>
      <c r="BG54" s="169">
        <v>50</v>
      </c>
      <c r="BH54" s="1">
        <f t="shared" si="42"/>
        <v>47041</v>
      </c>
      <c r="BI54" s="60">
        <f>IF($X54&lt;Input!$H$103,IF($X54&lt;Input!$G$103,IF($X54&lt;Input!$F$103,IF($X54&lt;Input!$E$103,IF($X54&lt;Input!$D$103,Input!$C$109,Input!$D$109),Input!$E$109),Input!$F$109),Input!$G$109),Input!$H$109)</f>
        <v>0</v>
      </c>
      <c r="BJ54" s="190">
        <f>IF($A54&lt;Input!$H$110,IF($A54&lt;Input!$G$110,IF($A54&lt;Input!$F$110,IF($A54&lt;Input!$E$110,IF($A54&lt;Input!$D$110,Input!$C$111,Input!$D$111),Input!$E$111),Input!$F$111),Input!$G$111),Input!$H$111)</f>
        <v>0.9</v>
      </c>
      <c r="BK54" s="60">
        <f t="shared" si="19"/>
        <v>0</v>
      </c>
      <c r="BL54" s="60">
        <f t="shared" si="43"/>
        <v>30</v>
      </c>
      <c r="BM54" s="60">
        <f t="shared" si="20"/>
        <v>0</v>
      </c>
      <c r="BN54" s="60">
        <f>ROUND(BM54*BL54*Input!$C$3/365,0)</f>
        <v>0</v>
      </c>
      <c r="BO54" s="61">
        <f>IF($A54&lt;=Input!$C$6,0,IF('180M'!BK54&lt;'180M'!BM54,'180M'!BK54-BN54,'180M'!BM54))</f>
        <v>0</v>
      </c>
      <c r="BP54" s="61">
        <f t="shared" si="21"/>
        <v>0</v>
      </c>
      <c r="BQ54" s="60">
        <f t="shared" si="22"/>
        <v>0</v>
      </c>
      <c r="BR54" s="198"/>
    </row>
    <row r="55" spans="1:70" x14ac:dyDescent="0.25">
      <c r="A55" s="169">
        <v>51</v>
      </c>
      <c r="B55" s="1">
        <f t="shared" si="23"/>
        <v>47072</v>
      </c>
      <c r="C55" s="60">
        <f t="shared" si="1"/>
        <v>18940500</v>
      </c>
      <c r="D55" s="60">
        <f t="shared" si="2"/>
        <v>17046450</v>
      </c>
      <c r="E55" s="60">
        <f t="shared" si="24"/>
        <v>31</v>
      </c>
      <c r="F55" s="60">
        <f t="shared" si="25"/>
        <v>1441888652.4979434</v>
      </c>
      <c r="G55" s="60">
        <f>ROUND(F55*E55*Input!$C$3/365,0)</f>
        <v>18369266</v>
      </c>
      <c r="H55" s="60">
        <f>IF($A55&lt;=Input!$C$6,0,IF('180M'!D55&lt;'180M'!F55,'180M'!D55-G55,'180M'!F55))</f>
        <v>-1322816</v>
      </c>
      <c r="I55" s="60">
        <f t="shared" si="26"/>
        <v>17046450</v>
      </c>
      <c r="J55" s="60">
        <f t="shared" si="27"/>
        <v>1443211468.4979434</v>
      </c>
      <c r="K55" s="203">
        <f>J55/Input!$K$5</f>
        <v>4.8107048949931448</v>
      </c>
      <c r="L55" s="232"/>
      <c r="M55" s="60">
        <f>IF($B55&lt;Input!$H$43,IF($B55&lt;Input!$G$43,IF($B55&lt;Input!$F$43,IF($B55&lt;Input!$E$43,IF($B55&lt;Input!$D$43,Input!$C$49,Input!$D$49),Input!$E$49),Input!$F$49),Input!$G$49),Input!$H$49)</f>
        <v>18940500</v>
      </c>
      <c r="N55" s="190">
        <f>IF($A55&lt;Input!$H$50,IF($A55&lt;Input!$G$50,IF($A55&lt;Input!$F$50,IF($A55&lt;Input!$E$50,IF($A55&lt;Input!$D$50,Input!$C$51,Input!$D$51),Input!$E$51),Input!$F$51),Input!$G$51),Input!$H$51)</f>
        <v>0.9</v>
      </c>
      <c r="O55" s="60">
        <f t="shared" si="44"/>
        <v>17046450</v>
      </c>
      <c r="P55" s="60">
        <f t="shared" si="45"/>
        <v>31</v>
      </c>
      <c r="Q55" s="60">
        <f t="shared" si="4"/>
        <v>1441888652.4979434</v>
      </c>
      <c r="R55" s="60">
        <f>ROUND(Q55*$P55*Input!$C$3/365,0)</f>
        <v>18369266</v>
      </c>
      <c r="S55" s="60">
        <f>IF(A55&lt;=Input!$C$6,0,IF('180M'!O55&lt;'180M'!Q55,'180M'!O55-R55,'180M'!Q55))</f>
        <v>-1322816</v>
      </c>
      <c r="T55" s="60">
        <f t="shared" si="5"/>
        <v>17046450</v>
      </c>
      <c r="U55" s="60">
        <f t="shared" si="6"/>
        <v>1443211468.4979434</v>
      </c>
      <c r="V55" s="193"/>
      <c r="W55" s="169">
        <v>51</v>
      </c>
      <c r="X55" s="1">
        <f t="shared" si="28"/>
        <v>47072</v>
      </c>
      <c r="Y55" s="60">
        <f>IF($X55&lt;Input!$H$58,IF($X55&lt;Input!$G$58,IF($X55&lt;Input!$F$58,IF($X55&lt;Input!$E$58,IF($X55&lt;Input!$D$58,Input!$C$64,Input!$D$64),Input!$E$64),Input!$F$64),Input!$G$64),Input!$H$64)</f>
        <v>0</v>
      </c>
      <c r="Z55" s="190">
        <f>IF($A55&lt;Input!$H$65,IF($A55&lt;Input!$G$65,IF($A55&lt;Input!$F$65,IF($A55&lt;Input!$E$65,IF($A55&lt;Input!$D$65,Input!$C$66,Input!$D$66),Input!$E$66),Input!$F$66),Input!$G$66),Input!$H$66)</f>
        <v>0.9</v>
      </c>
      <c r="AA55" s="60">
        <f t="shared" si="7"/>
        <v>0</v>
      </c>
      <c r="AB55" s="60">
        <f t="shared" si="29"/>
        <v>31</v>
      </c>
      <c r="AC55" s="60">
        <f t="shared" si="8"/>
        <v>0</v>
      </c>
      <c r="AD55" s="60">
        <f>ROUND(AC55*AB55*Input!$C$3/365,0)</f>
        <v>0</v>
      </c>
      <c r="AE55" s="61">
        <f>IF($A55&lt;=Input!$C$6,0,IF('180M'!AA55&lt;'180M'!AC55,'180M'!AA55-AD55,'180M'!AC55))</f>
        <v>0</v>
      </c>
      <c r="AF55" s="61">
        <f t="shared" si="9"/>
        <v>0</v>
      </c>
      <c r="AG55" s="60">
        <f t="shared" si="10"/>
        <v>0</v>
      </c>
      <c r="AH55" s="193"/>
      <c r="AI55" s="169">
        <v>51</v>
      </c>
      <c r="AJ55" s="1">
        <f t="shared" si="30"/>
        <v>47072</v>
      </c>
      <c r="AK55" s="60">
        <f>IF($X55&lt;Input!$H$73,IF($X55&lt;Input!$G$73,IF($X55&lt;Input!$F$73,IF($X55&lt;Input!$E$73,IF($X55&lt;Input!$D$73,Input!$C$79,Input!$D$79),Input!$E$79),Input!$F$79),Input!$G$79),Input!$H$79)</f>
        <v>0</v>
      </c>
      <c r="AL55" s="190">
        <f>IF($A55&lt;Input!$H$80,IF($A55&lt;Input!$G$80,IF($A55&lt;Input!$F$80,IF($A55&lt;Input!$E$80,IF($A55&lt;Input!$D$80,Input!$C$81,Input!$D$81),Input!$E$81),Input!$F$81),Input!$G$81),Input!$H$81)</f>
        <v>0.9</v>
      </c>
      <c r="AM55" s="60">
        <f t="shared" si="31"/>
        <v>0</v>
      </c>
      <c r="AN55" s="60">
        <f t="shared" si="32"/>
        <v>31</v>
      </c>
      <c r="AO55" s="60">
        <f t="shared" si="33"/>
        <v>0</v>
      </c>
      <c r="AP55" s="60">
        <f>ROUND(AO55*AN55*Input!$C$3/365,0)</f>
        <v>0</v>
      </c>
      <c r="AQ55" s="61">
        <f>IF($A55&lt;=Input!$C$6,0,IF('180M'!AM55&lt;'180M'!AO55,'180M'!AM55-AP55,'180M'!AO55))</f>
        <v>0</v>
      </c>
      <c r="AR55" s="61">
        <f t="shared" si="34"/>
        <v>0</v>
      </c>
      <c r="AS55" s="60">
        <f t="shared" si="35"/>
        <v>0</v>
      </c>
      <c r="AT55" s="193"/>
      <c r="AU55" s="169">
        <v>51</v>
      </c>
      <c r="AV55" s="1">
        <f t="shared" si="36"/>
        <v>47072</v>
      </c>
      <c r="AW55" s="60">
        <f>IF($X55&lt;Input!$H$88,IF($X55&lt;Input!$G$88,IF($X55&lt;Input!$F$88,IF($X55&lt;Input!$E$88,IF($X55&lt;Input!$D$88,Input!$C$94,Input!$D$94),Input!$E$94),Input!$F$94),Input!$G$94),Input!$H$94)</f>
        <v>0</v>
      </c>
      <c r="AX55" s="190">
        <f>IF($A55&lt;Input!$H$95,IF($A55&lt;Input!$G$95,IF($A55&lt;Input!$F$95,IF($A55&lt;Input!$E$95,IF($A55&lt;Input!$D$95,Input!$C$96,Input!$D$96),Input!$E$96),Input!$F$96),Input!$G$96),Input!$H$96)</f>
        <v>0.9</v>
      </c>
      <c r="AY55" s="60">
        <f t="shared" si="37"/>
        <v>0</v>
      </c>
      <c r="AZ55" s="60">
        <f t="shared" si="38"/>
        <v>31</v>
      </c>
      <c r="BA55" s="60">
        <f t="shared" si="39"/>
        <v>0</v>
      </c>
      <c r="BB55" s="60">
        <f>ROUND(BA55*AZ55*Input!$C$3/365,0)</f>
        <v>0</v>
      </c>
      <c r="BC55" s="61">
        <f>IF($A55&lt;=Input!$C$6,0,IF('180M'!AY55&lt;'180M'!BA55,'180M'!AY55-BB55,'180M'!BA55))</f>
        <v>0</v>
      </c>
      <c r="BD55" s="61">
        <f t="shared" si="40"/>
        <v>0</v>
      </c>
      <c r="BE55" s="60">
        <f t="shared" si="41"/>
        <v>0</v>
      </c>
      <c r="BF55" s="193"/>
      <c r="BG55" s="169">
        <v>51</v>
      </c>
      <c r="BH55" s="1">
        <f t="shared" si="42"/>
        <v>47072</v>
      </c>
      <c r="BI55" s="60">
        <f>IF($X55&lt;Input!$H$103,IF($X55&lt;Input!$G$103,IF($X55&lt;Input!$F$103,IF($X55&lt;Input!$E$103,IF($X55&lt;Input!$D$103,Input!$C$109,Input!$D$109),Input!$E$109),Input!$F$109),Input!$G$109),Input!$H$109)</f>
        <v>0</v>
      </c>
      <c r="BJ55" s="190">
        <f>IF($A55&lt;Input!$H$110,IF($A55&lt;Input!$G$110,IF($A55&lt;Input!$F$110,IF($A55&lt;Input!$E$110,IF($A55&lt;Input!$D$110,Input!$C$111,Input!$D$111),Input!$E$111),Input!$F$111),Input!$G$111),Input!$H$111)</f>
        <v>0.9</v>
      </c>
      <c r="BK55" s="60">
        <f t="shared" si="19"/>
        <v>0</v>
      </c>
      <c r="BL55" s="60">
        <f t="shared" si="43"/>
        <v>31</v>
      </c>
      <c r="BM55" s="60">
        <f t="shared" si="20"/>
        <v>0</v>
      </c>
      <c r="BN55" s="60">
        <f>ROUND(BM55*BL55*Input!$C$3/365,0)</f>
        <v>0</v>
      </c>
      <c r="BO55" s="61">
        <f>IF($A55&lt;=Input!$C$6,0,IF('180M'!BK55&lt;'180M'!BM55,'180M'!BK55-BN55,'180M'!BM55))</f>
        <v>0</v>
      </c>
      <c r="BP55" s="61">
        <f t="shared" si="21"/>
        <v>0</v>
      </c>
      <c r="BQ55" s="60">
        <f t="shared" si="22"/>
        <v>0</v>
      </c>
      <c r="BR55" s="198"/>
    </row>
    <row r="56" spans="1:70" x14ac:dyDescent="0.25">
      <c r="A56" s="169">
        <v>52</v>
      </c>
      <c r="B56" s="1">
        <f t="shared" si="23"/>
        <v>47102</v>
      </c>
      <c r="C56" s="60">
        <f t="shared" si="1"/>
        <v>18940500</v>
      </c>
      <c r="D56" s="60">
        <f t="shared" si="2"/>
        <v>17046450</v>
      </c>
      <c r="E56" s="60">
        <f t="shared" si="24"/>
        <v>30</v>
      </c>
      <c r="F56" s="60">
        <f t="shared" si="25"/>
        <v>1443211468.4979434</v>
      </c>
      <c r="G56" s="60">
        <f>ROUND(F56*E56*Input!$C$3/365,0)</f>
        <v>17793018</v>
      </c>
      <c r="H56" s="60">
        <f>IF($A56&lt;=Input!$C$6,0,IF('180M'!D56&lt;'180M'!F56,'180M'!D56-G56,'180M'!F56))</f>
        <v>-746568</v>
      </c>
      <c r="I56" s="60">
        <f t="shared" si="26"/>
        <v>17046450</v>
      </c>
      <c r="J56" s="60">
        <f t="shared" si="27"/>
        <v>1443958036.4979434</v>
      </c>
      <c r="K56" s="203">
        <f>J56/Input!$K$5</f>
        <v>4.8131934549931445</v>
      </c>
      <c r="L56" s="232"/>
      <c r="M56" s="60">
        <f>IF($B56&lt;Input!$H$43,IF($B56&lt;Input!$G$43,IF($B56&lt;Input!$F$43,IF($B56&lt;Input!$E$43,IF($B56&lt;Input!$D$43,Input!$C$49,Input!$D$49),Input!$E$49),Input!$F$49),Input!$G$49),Input!$H$49)</f>
        <v>18940500</v>
      </c>
      <c r="N56" s="190">
        <f>IF($A56&lt;Input!$H$50,IF($A56&lt;Input!$G$50,IF($A56&lt;Input!$F$50,IF($A56&lt;Input!$E$50,IF($A56&lt;Input!$D$50,Input!$C$51,Input!$D$51),Input!$E$51),Input!$F$51),Input!$G$51),Input!$H$51)</f>
        <v>0.9</v>
      </c>
      <c r="O56" s="60">
        <f t="shared" si="44"/>
        <v>17046450</v>
      </c>
      <c r="P56" s="60">
        <f t="shared" si="45"/>
        <v>30</v>
      </c>
      <c r="Q56" s="60">
        <f t="shared" si="4"/>
        <v>1443211468.4979434</v>
      </c>
      <c r="R56" s="60">
        <f>ROUND(Q56*$P56*Input!$C$3/365,0)</f>
        <v>17793018</v>
      </c>
      <c r="S56" s="60">
        <f>IF(A56&lt;=Input!$C$6,0,IF('180M'!O56&lt;'180M'!Q56,'180M'!O56-R56,'180M'!Q56))</f>
        <v>-746568</v>
      </c>
      <c r="T56" s="60">
        <f t="shared" si="5"/>
        <v>17046450</v>
      </c>
      <c r="U56" s="60">
        <f t="shared" si="6"/>
        <v>1443958036.4979434</v>
      </c>
      <c r="V56" s="193"/>
      <c r="W56" s="169">
        <v>52</v>
      </c>
      <c r="X56" s="1">
        <f t="shared" si="28"/>
        <v>47102</v>
      </c>
      <c r="Y56" s="60">
        <f>IF($X56&lt;Input!$H$58,IF($X56&lt;Input!$G$58,IF($X56&lt;Input!$F$58,IF($X56&lt;Input!$E$58,IF($X56&lt;Input!$D$58,Input!$C$64,Input!$D$64),Input!$E$64),Input!$F$64),Input!$G$64),Input!$H$64)</f>
        <v>0</v>
      </c>
      <c r="Z56" s="190">
        <f>IF($A56&lt;Input!$H$65,IF($A56&lt;Input!$G$65,IF($A56&lt;Input!$F$65,IF($A56&lt;Input!$E$65,IF($A56&lt;Input!$D$65,Input!$C$66,Input!$D$66),Input!$E$66),Input!$F$66),Input!$G$66),Input!$H$66)</f>
        <v>0.9</v>
      </c>
      <c r="AA56" s="60">
        <f t="shared" si="7"/>
        <v>0</v>
      </c>
      <c r="AB56" s="60">
        <f t="shared" si="29"/>
        <v>30</v>
      </c>
      <c r="AC56" s="60">
        <f t="shared" si="8"/>
        <v>0</v>
      </c>
      <c r="AD56" s="60">
        <f>ROUND(AC56*AB56*Input!$C$3/365,0)</f>
        <v>0</v>
      </c>
      <c r="AE56" s="61">
        <f>IF($A56&lt;=Input!$C$6,0,IF('180M'!AA56&lt;'180M'!AC56,'180M'!AA56-AD56,'180M'!AC56))</f>
        <v>0</v>
      </c>
      <c r="AF56" s="61">
        <f t="shared" si="9"/>
        <v>0</v>
      </c>
      <c r="AG56" s="60">
        <f t="shared" si="10"/>
        <v>0</v>
      </c>
      <c r="AH56" s="193"/>
      <c r="AI56" s="169">
        <v>52</v>
      </c>
      <c r="AJ56" s="1">
        <f t="shared" si="30"/>
        <v>47102</v>
      </c>
      <c r="AK56" s="60">
        <f>IF($X56&lt;Input!$H$73,IF($X56&lt;Input!$G$73,IF($X56&lt;Input!$F$73,IF($X56&lt;Input!$E$73,IF($X56&lt;Input!$D$73,Input!$C$79,Input!$D$79),Input!$E$79),Input!$F$79),Input!$G$79),Input!$H$79)</f>
        <v>0</v>
      </c>
      <c r="AL56" s="190">
        <f>IF($A56&lt;Input!$H$80,IF($A56&lt;Input!$G$80,IF($A56&lt;Input!$F$80,IF($A56&lt;Input!$E$80,IF($A56&lt;Input!$D$80,Input!$C$81,Input!$D$81),Input!$E$81),Input!$F$81),Input!$G$81),Input!$H$81)</f>
        <v>0.9</v>
      </c>
      <c r="AM56" s="60">
        <f t="shared" si="31"/>
        <v>0</v>
      </c>
      <c r="AN56" s="60">
        <f t="shared" si="32"/>
        <v>30</v>
      </c>
      <c r="AO56" s="60">
        <f t="shared" si="33"/>
        <v>0</v>
      </c>
      <c r="AP56" s="60">
        <f>ROUND(AO56*AN56*Input!$C$3/365,0)</f>
        <v>0</v>
      </c>
      <c r="AQ56" s="61">
        <f>IF($A56&lt;=Input!$C$6,0,IF('180M'!AM56&lt;'180M'!AO56,'180M'!AM56-AP56,'180M'!AO56))</f>
        <v>0</v>
      </c>
      <c r="AR56" s="61">
        <f t="shared" si="34"/>
        <v>0</v>
      </c>
      <c r="AS56" s="60">
        <f t="shared" si="35"/>
        <v>0</v>
      </c>
      <c r="AT56" s="193"/>
      <c r="AU56" s="169">
        <v>52</v>
      </c>
      <c r="AV56" s="1">
        <f t="shared" si="36"/>
        <v>47102</v>
      </c>
      <c r="AW56" s="60">
        <f>IF($X56&lt;Input!$H$88,IF($X56&lt;Input!$G$88,IF($X56&lt;Input!$F$88,IF($X56&lt;Input!$E$88,IF($X56&lt;Input!$D$88,Input!$C$94,Input!$D$94),Input!$E$94),Input!$F$94),Input!$G$94),Input!$H$94)</f>
        <v>0</v>
      </c>
      <c r="AX56" s="190">
        <f>IF($A56&lt;Input!$H$95,IF($A56&lt;Input!$G$95,IF($A56&lt;Input!$F$95,IF($A56&lt;Input!$E$95,IF($A56&lt;Input!$D$95,Input!$C$96,Input!$D$96),Input!$E$96),Input!$F$96),Input!$G$96),Input!$H$96)</f>
        <v>0.9</v>
      </c>
      <c r="AY56" s="60">
        <f t="shared" si="37"/>
        <v>0</v>
      </c>
      <c r="AZ56" s="60">
        <f t="shared" si="38"/>
        <v>30</v>
      </c>
      <c r="BA56" s="60">
        <f t="shared" si="39"/>
        <v>0</v>
      </c>
      <c r="BB56" s="60">
        <f>ROUND(BA56*AZ56*Input!$C$3/365,0)</f>
        <v>0</v>
      </c>
      <c r="BC56" s="61">
        <f>IF($A56&lt;=Input!$C$6,0,IF('180M'!AY56&lt;'180M'!BA56,'180M'!AY56-BB56,'180M'!BA56))</f>
        <v>0</v>
      </c>
      <c r="BD56" s="61">
        <f t="shared" si="40"/>
        <v>0</v>
      </c>
      <c r="BE56" s="60">
        <f t="shared" si="41"/>
        <v>0</v>
      </c>
      <c r="BF56" s="193"/>
      <c r="BG56" s="169">
        <v>52</v>
      </c>
      <c r="BH56" s="1">
        <f t="shared" si="42"/>
        <v>47102</v>
      </c>
      <c r="BI56" s="60">
        <f>IF($X56&lt;Input!$H$103,IF($X56&lt;Input!$G$103,IF($X56&lt;Input!$F$103,IF($X56&lt;Input!$E$103,IF($X56&lt;Input!$D$103,Input!$C$109,Input!$D$109),Input!$E$109),Input!$F$109),Input!$G$109),Input!$H$109)</f>
        <v>0</v>
      </c>
      <c r="BJ56" s="190">
        <f>IF($A56&lt;Input!$H$110,IF($A56&lt;Input!$G$110,IF($A56&lt;Input!$F$110,IF($A56&lt;Input!$E$110,IF($A56&lt;Input!$D$110,Input!$C$111,Input!$D$111),Input!$E$111),Input!$F$111),Input!$G$111),Input!$H$111)</f>
        <v>0.9</v>
      </c>
      <c r="BK56" s="60">
        <f t="shared" si="19"/>
        <v>0</v>
      </c>
      <c r="BL56" s="60">
        <f t="shared" si="43"/>
        <v>30</v>
      </c>
      <c r="BM56" s="60">
        <f t="shared" si="20"/>
        <v>0</v>
      </c>
      <c r="BN56" s="60">
        <f>ROUND(BM56*BL56*Input!$C$3/365,0)</f>
        <v>0</v>
      </c>
      <c r="BO56" s="61">
        <f>IF($A56&lt;=Input!$C$6,0,IF('180M'!BK56&lt;'180M'!BM56,'180M'!BK56-BN56,'180M'!BM56))</f>
        <v>0</v>
      </c>
      <c r="BP56" s="61">
        <f t="shared" si="21"/>
        <v>0</v>
      </c>
      <c r="BQ56" s="60">
        <f t="shared" si="22"/>
        <v>0</v>
      </c>
      <c r="BR56" s="198"/>
    </row>
    <row r="57" spans="1:70" x14ac:dyDescent="0.25">
      <c r="A57" s="169">
        <v>53</v>
      </c>
      <c r="B57" s="1">
        <f t="shared" si="23"/>
        <v>47133</v>
      </c>
      <c r="C57" s="60">
        <f t="shared" si="1"/>
        <v>18940500</v>
      </c>
      <c r="D57" s="60">
        <f t="shared" si="2"/>
        <v>17046450</v>
      </c>
      <c r="E57" s="60">
        <f t="shared" si="24"/>
        <v>31</v>
      </c>
      <c r="F57" s="60">
        <f t="shared" si="25"/>
        <v>1443958036.4979434</v>
      </c>
      <c r="G57" s="60">
        <f>ROUND(F57*E57*Input!$C$3/365,0)</f>
        <v>18395630</v>
      </c>
      <c r="H57" s="60">
        <f>IF($A57&lt;=Input!$C$6,0,IF('180M'!D57&lt;'180M'!F57,'180M'!D57-G57,'180M'!F57))</f>
        <v>-1349180</v>
      </c>
      <c r="I57" s="60">
        <f t="shared" si="26"/>
        <v>17046450</v>
      </c>
      <c r="J57" s="60">
        <f t="shared" si="27"/>
        <v>1445307216.4979434</v>
      </c>
      <c r="K57" s="203">
        <f>J57/Input!$K$5</f>
        <v>4.8176907216598117</v>
      </c>
      <c r="L57" s="232"/>
      <c r="M57" s="60">
        <f>IF($B57&lt;Input!$H$43,IF($B57&lt;Input!$G$43,IF($B57&lt;Input!$F$43,IF($B57&lt;Input!$E$43,IF($B57&lt;Input!$D$43,Input!$C$49,Input!$D$49),Input!$E$49),Input!$F$49),Input!$G$49),Input!$H$49)</f>
        <v>18940500</v>
      </c>
      <c r="N57" s="190">
        <f>IF($A57&lt;Input!$H$50,IF($A57&lt;Input!$G$50,IF($A57&lt;Input!$F$50,IF($A57&lt;Input!$E$50,IF($A57&lt;Input!$D$50,Input!$C$51,Input!$D$51),Input!$E$51),Input!$F$51),Input!$G$51),Input!$H$51)</f>
        <v>0.9</v>
      </c>
      <c r="O57" s="60">
        <f t="shared" si="44"/>
        <v>17046450</v>
      </c>
      <c r="P57" s="60">
        <f t="shared" si="45"/>
        <v>31</v>
      </c>
      <c r="Q57" s="60">
        <f t="shared" si="4"/>
        <v>1443958036.4979434</v>
      </c>
      <c r="R57" s="60">
        <f>ROUND(Q57*$P57*Input!$C$3/365,0)</f>
        <v>18395630</v>
      </c>
      <c r="S57" s="60">
        <f>IF(A57&lt;=Input!$C$6,0,IF('180M'!O57&lt;'180M'!Q57,'180M'!O57-R57,'180M'!Q57))</f>
        <v>-1349180</v>
      </c>
      <c r="T57" s="60">
        <f t="shared" si="5"/>
        <v>17046450</v>
      </c>
      <c r="U57" s="60">
        <f t="shared" si="6"/>
        <v>1445307216.4979434</v>
      </c>
      <c r="V57" s="193"/>
      <c r="W57" s="169">
        <v>53</v>
      </c>
      <c r="X57" s="1">
        <f t="shared" si="28"/>
        <v>47133</v>
      </c>
      <c r="Y57" s="60">
        <f>IF($X57&lt;Input!$H$58,IF($X57&lt;Input!$G$58,IF($X57&lt;Input!$F$58,IF($X57&lt;Input!$E$58,IF($X57&lt;Input!$D$58,Input!$C$64,Input!$D$64),Input!$E$64),Input!$F$64),Input!$G$64),Input!$H$64)</f>
        <v>0</v>
      </c>
      <c r="Z57" s="190">
        <f>IF($A57&lt;Input!$H$65,IF($A57&lt;Input!$G$65,IF($A57&lt;Input!$F$65,IF($A57&lt;Input!$E$65,IF($A57&lt;Input!$D$65,Input!$C$66,Input!$D$66),Input!$E$66),Input!$F$66),Input!$G$66),Input!$H$66)</f>
        <v>0.9</v>
      </c>
      <c r="AA57" s="60">
        <f t="shared" si="7"/>
        <v>0</v>
      </c>
      <c r="AB57" s="60">
        <f t="shared" si="29"/>
        <v>31</v>
      </c>
      <c r="AC57" s="60">
        <f t="shared" si="8"/>
        <v>0</v>
      </c>
      <c r="AD57" s="60">
        <f>ROUND(AC57*AB57*Input!$C$3/365,0)</f>
        <v>0</v>
      </c>
      <c r="AE57" s="61">
        <f>IF($A57&lt;=Input!$C$6,0,IF('180M'!AA57&lt;'180M'!AC57,'180M'!AA57-AD57,'180M'!AC57))</f>
        <v>0</v>
      </c>
      <c r="AF57" s="61">
        <f t="shared" si="9"/>
        <v>0</v>
      </c>
      <c r="AG57" s="60">
        <f t="shared" si="10"/>
        <v>0</v>
      </c>
      <c r="AH57" s="193"/>
      <c r="AI57" s="169">
        <v>53</v>
      </c>
      <c r="AJ57" s="1">
        <f t="shared" si="30"/>
        <v>47133</v>
      </c>
      <c r="AK57" s="60">
        <f>IF($X57&lt;Input!$H$73,IF($X57&lt;Input!$G$73,IF($X57&lt;Input!$F$73,IF($X57&lt;Input!$E$73,IF($X57&lt;Input!$D$73,Input!$C$79,Input!$D$79),Input!$E$79),Input!$F$79),Input!$G$79),Input!$H$79)</f>
        <v>0</v>
      </c>
      <c r="AL57" s="190">
        <f>IF($A57&lt;Input!$H$80,IF($A57&lt;Input!$G$80,IF($A57&lt;Input!$F$80,IF($A57&lt;Input!$E$80,IF($A57&lt;Input!$D$80,Input!$C$81,Input!$D$81),Input!$E$81),Input!$F$81),Input!$G$81),Input!$H$81)</f>
        <v>0.9</v>
      </c>
      <c r="AM57" s="60">
        <f t="shared" si="31"/>
        <v>0</v>
      </c>
      <c r="AN57" s="60">
        <f t="shared" si="32"/>
        <v>31</v>
      </c>
      <c r="AO57" s="60">
        <f t="shared" si="33"/>
        <v>0</v>
      </c>
      <c r="AP57" s="60">
        <f>ROUND(AO57*AN57*Input!$C$3/365,0)</f>
        <v>0</v>
      </c>
      <c r="AQ57" s="61">
        <f>IF($A57&lt;=Input!$C$6,0,IF('180M'!AM57&lt;'180M'!AO57,'180M'!AM57-AP57,'180M'!AO57))</f>
        <v>0</v>
      </c>
      <c r="AR57" s="61">
        <f t="shared" si="34"/>
        <v>0</v>
      </c>
      <c r="AS57" s="60">
        <f t="shared" si="35"/>
        <v>0</v>
      </c>
      <c r="AT57" s="193"/>
      <c r="AU57" s="169">
        <v>53</v>
      </c>
      <c r="AV57" s="1">
        <f t="shared" si="36"/>
        <v>47133</v>
      </c>
      <c r="AW57" s="60">
        <f>IF($X57&lt;Input!$H$88,IF($X57&lt;Input!$G$88,IF($X57&lt;Input!$F$88,IF($X57&lt;Input!$E$88,IF($X57&lt;Input!$D$88,Input!$C$94,Input!$D$94),Input!$E$94),Input!$F$94),Input!$G$94),Input!$H$94)</f>
        <v>0</v>
      </c>
      <c r="AX57" s="190">
        <f>IF($A57&lt;Input!$H$95,IF($A57&lt;Input!$G$95,IF($A57&lt;Input!$F$95,IF($A57&lt;Input!$E$95,IF($A57&lt;Input!$D$95,Input!$C$96,Input!$D$96),Input!$E$96),Input!$F$96),Input!$G$96),Input!$H$96)</f>
        <v>0.9</v>
      </c>
      <c r="AY57" s="60">
        <f t="shared" si="37"/>
        <v>0</v>
      </c>
      <c r="AZ57" s="60">
        <f t="shared" si="38"/>
        <v>31</v>
      </c>
      <c r="BA57" s="60">
        <f t="shared" si="39"/>
        <v>0</v>
      </c>
      <c r="BB57" s="60">
        <f>ROUND(BA57*AZ57*Input!$C$3/365,0)</f>
        <v>0</v>
      </c>
      <c r="BC57" s="61">
        <f>IF($A57&lt;=Input!$C$6,0,IF('180M'!AY57&lt;'180M'!BA57,'180M'!AY57-BB57,'180M'!BA57))</f>
        <v>0</v>
      </c>
      <c r="BD57" s="61">
        <f t="shared" si="40"/>
        <v>0</v>
      </c>
      <c r="BE57" s="60">
        <f t="shared" si="41"/>
        <v>0</v>
      </c>
      <c r="BF57" s="193"/>
      <c r="BG57" s="169">
        <v>53</v>
      </c>
      <c r="BH57" s="1">
        <f t="shared" si="42"/>
        <v>47133</v>
      </c>
      <c r="BI57" s="60">
        <f>IF($X57&lt;Input!$H$103,IF($X57&lt;Input!$G$103,IF($X57&lt;Input!$F$103,IF($X57&lt;Input!$E$103,IF($X57&lt;Input!$D$103,Input!$C$109,Input!$D$109),Input!$E$109),Input!$F$109),Input!$G$109),Input!$H$109)</f>
        <v>0</v>
      </c>
      <c r="BJ57" s="190">
        <f>IF($A57&lt;Input!$H$110,IF($A57&lt;Input!$G$110,IF($A57&lt;Input!$F$110,IF($A57&lt;Input!$E$110,IF($A57&lt;Input!$D$110,Input!$C$111,Input!$D$111),Input!$E$111),Input!$F$111),Input!$G$111),Input!$H$111)</f>
        <v>0.9</v>
      </c>
      <c r="BK57" s="60">
        <f t="shared" si="19"/>
        <v>0</v>
      </c>
      <c r="BL57" s="60">
        <f t="shared" si="43"/>
        <v>31</v>
      </c>
      <c r="BM57" s="60">
        <f t="shared" si="20"/>
        <v>0</v>
      </c>
      <c r="BN57" s="60">
        <f>ROUND(BM57*BL57*Input!$C$3/365,0)</f>
        <v>0</v>
      </c>
      <c r="BO57" s="61">
        <f>IF($A57&lt;=Input!$C$6,0,IF('180M'!BK57&lt;'180M'!BM57,'180M'!BK57-BN57,'180M'!BM57))</f>
        <v>0</v>
      </c>
      <c r="BP57" s="61">
        <f t="shared" si="21"/>
        <v>0</v>
      </c>
      <c r="BQ57" s="60">
        <f t="shared" si="22"/>
        <v>0</v>
      </c>
      <c r="BR57" s="198"/>
    </row>
    <row r="58" spans="1:70" x14ac:dyDescent="0.25">
      <c r="A58" s="169">
        <v>54</v>
      </c>
      <c r="B58" s="1">
        <f t="shared" si="23"/>
        <v>47164</v>
      </c>
      <c r="C58" s="60">
        <f t="shared" si="1"/>
        <v>18940500</v>
      </c>
      <c r="D58" s="60">
        <f t="shared" si="2"/>
        <v>17046450</v>
      </c>
      <c r="E58" s="60">
        <f t="shared" si="24"/>
        <v>31</v>
      </c>
      <c r="F58" s="60">
        <f t="shared" si="25"/>
        <v>1445307216.4979434</v>
      </c>
      <c r="G58" s="60">
        <f>ROUND(F58*E58*Input!$C$3/365,0)</f>
        <v>18412818</v>
      </c>
      <c r="H58" s="60">
        <f>IF($A58&lt;=Input!$C$6,0,IF('180M'!D58&lt;'180M'!F58,'180M'!D58-G58,'180M'!F58))</f>
        <v>-1366368</v>
      </c>
      <c r="I58" s="60">
        <f t="shared" si="26"/>
        <v>17046450</v>
      </c>
      <c r="J58" s="60">
        <f t="shared" si="27"/>
        <v>1446673584.4979434</v>
      </c>
      <c r="K58" s="203">
        <f>J58/Input!$K$5</f>
        <v>4.8222452816598116</v>
      </c>
      <c r="L58" s="232"/>
      <c r="M58" s="60">
        <f>IF($B58&lt;Input!$H$43,IF($B58&lt;Input!$G$43,IF($B58&lt;Input!$F$43,IF($B58&lt;Input!$E$43,IF($B58&lt;Input!$D$43,Input!$C$49,Input!$D$49),Input!$E$49),Input!$F$49),Input!$G$49),Input!$H$49)</f>
        <v>18940500</v>
      </c>
      <c r="N58" s="190">
        <f>IF($A58&lt;Input!$H$50,IF($A58&lt;Input!$G$50,IF($A58&lt;Input!$F$50,IF($A58&lt;Input!$E$50,IF($A58&lt;Input!$D$50,Input!$C$51,Input!$D$51),Input!$E$51),Input!$F$51),Input!$G$51),Input!$H$51)</f>
        <v>0.9</v>
      </c>
      <c r="O58" s="60">
        <f t="shared" si="44"/>
        <v>17046450</v>
      </c>
      <c r="P58" s="60">
        <f t="shared" si="45"/>
        <v>31</v>
      </c>
      <c r="Q58" s="60">
        <f t="shared" si="4"/>
        <v>1445307216.4979434</v>
      </c>
      <c r="R58" s="60">
        <f>ROUND(Q58*$P58*Input!$C$3/365,0)</f>
        <v>18412818</v>
      </c>
      <c r="S58" s="60">
        <f>IF(A58&lt;=Input!$C$6,0,IF('180M'!O58&lt;'180M'!Q58,'180M'!O58-R58,'180M'!Q58))</f>
        <v>-1366368</v>
      </c>
      <c r="T58" s="60">
        <f t="shared" si="5"/>
        <v>17046450</v>
      </c>
      <c r="U58" s="60">
        <f t="shared" si="6"/>
        <v>1446673584.4979434</v>
      </c>
      <c r="V58" s="193"/>
      <c r="W58" s="169">
        <v>54</v>
      </c>
      <c r="X58" s="1">
        <f t="shared" si="28"/>
        <v>47164</v>
      </c>
      <c r="Y58" s="60">
        <f>IF($X58&lt;Input!$H$58,IF($X58&lt;Input!$G$58,IF($X58&lt;Input!$F$58,IF($X58&lt;Input!$E$58,IF($X58&lt;Input!$D$58,Input!$C$64,Input!$D$64),Input!$E$64),Input!$F$64),Input!$G$64),Input!$H$64)</f>
        <v>0</v>
      </c>
      <c r="Z58" s="190">
        <f>IF($A58&lt;Input!$H$65,IF($A58&lt;Input!$G$65,IF($A58&lt;Input!$F$65,IF($A58&lt;Input!$E$65,IF($A58&lt;Input!$D$65,Input!$C$66,Input!$D$66),Input!$E$66),Input!$F$66),Input!$G$66),Input!$H$66)</f>
        <v>0.9</v>
      </c>
      <c r="AA58" s="60">
        <f t="shared" si="7"/>
        <v>0</v>
      </c>
      <c r="AB58" s="60">
        <f t="shared" si="29"/>
        <v>31</v>
      </c>
      <c r="AC58" s="60">
        <f t="shared" si="8"/>
        <v>0</v>
      </c>
      <c r="AD58" s="60">
        <f>ROUND(AC58*AB58*Input!$C$3/365,0)</f>
        <v>0</v>
      </c>
      <c r="AE58" s="61">
        <f>IF($A58&lt;=Input!$C$6,0,IF('180M'!AA58&lt;'180M'!AC58,'180M'!AA58-AD58,'180M'!AC58))</f>
        <v>0</v>
      </c>
      <c r="AF58" s="61">
        <f t="shared" si="9"/>
        <v>0</v>
      </c>
      <c r="AG58" s="60">
        <f t="shared" si="10"/>
        <v>0</v>
      </c>
      <c r="AH58" s="193"/>
      <c r="AI58" s="169">
        <v>54</v>
      </c>
      <c r="AJ58" s="1">
        <f t="shared" si="30"/>
        <v>47164</v>
      </c>
      <c r="AK58" s="60">
        <f>IF($X58&lt;Input!$H$73,IF($X58&lt;Input!$G$73,IF($X58&lt;Input!$F$73,IF($X58&lt;Input!$E$73,IF($X58&lt;Input!$D$73,Input!$C$79,Input!$D$79),Input!$E$79),Input!$F$79),Input!$G$79),Input!$H$79)</f>
        <v>0</v>
      </c>
      <c r="AL58" s="190">
        <f>IF($A58&lt;Input!$H$80,IF($A58&lt;Input!$G$80,IF($A58&lt;Input!$F$80,IF($A58&lt;Input!$E$80,IF($A58&lt;Input!$D$80,Input!$C$81,Input!$D$81),Input!$E$81),Input!$F$81),Input!$G$81),Input!$H$81)</f>
        <v>0.9</v>
      </c>
      <c r="AM58" s="60">
        <f t="shared" si="31"/>
        <v>0</v>
      </c>
      <c r="AN58" s="60">
        <f t="shared" si="32"/>
        <v>31</v>
      </c>
      <c r="AO58" s="60">
        <f t="shared" si="33"/>
        <v>0</v>
      </c>
      <c r="AP58" s="60">
        <f>ROUND(AO58*AN58*Input!$C$3/365,0)</f>
        <v>0</v>
      </c>
      <c r="AQ58" s="61">
        <f>IF($A58&lt;=Input!$C$6,0,IF('180M'!AM58&lt;'180M'!AO58,'180M'!AM58-AP58,'180M'!AO58))</f>
        <v>0</v>
      </c>
      <c r="AR58" s="61">
        <f t="shared" si="34"/>
        <v>0</v>
      </c>
      <c r="AS58" s="60">
        <f t="shared" si="35"/>
        <v>0</v>
      </c>
      <c r="AT58" s="193"/>
      <c r="AU58" s="169">
        <v>54</v>
      </c>
      <c r="AV58" s="1">
        <f t="shared" si="36"/>
        <v>47164</v>
      </c>
      <c r="AW58" s="60">
        <f>IF($X58&lt;Input!$H$88,IF($X58&lt;Input!$G$88,IF($X58&lt;Input!$F$88,IF($X58&lt;Input!$E$88,IF($X58&lt;Input!$D$88,Input!$C$94,Input!$D$94),Input!$E$94),Input!$F$94),Input!$G$94),Input!$H$94)</f>
        <v>0</v>
      </c>
      <c r="AX58" s="190">
        <f>IF($A58&lt;Input!$H$95,IF($A58&lt;Input!$G$95,IF($A58&lt;Input!$F$95,IF($A58&lt;Input!$E$95,IF($A58&lt;Input!$D$95,Input!$C$96,Input!$D$96),Input!$E$96),Input!$F$96),Input!$G$96),Input!$H$96)</f>
        <v>0.9</v>
      </c>
      <c r="AY58" s="60">
        <f t="shared" si="37"/>
        <v>0</v>
      </c>
      <c r="AZ58" s="60">
        <f t="shared" si="38"/>
        <v>31</v>
      </c>
      <c r="BA58" s="60">
        <f t="shared" si="39"/>
        <v>0</v>
      </c>
      <c r="BB58" s="60">
        <f>ROUND(BA58*AZ58*Input!$C$3/365,0)</f>
        <v>0</v>
      </c>
      <c r="BC58" s="61">
        <f>IF($A58&lt;=Input!$C$6,0,IF('180M'!AY58&lt;'180M'!BA58,'180M'!AY58-BB58,'180M'!BA58))</f>
        <v>0</v>
      </c>
      <c r="BD58" s="61">
        <f t="shared" si="40"/>
        <v>0</v>
      </c>
      <c r="BE58" s="60">
        <f t="shared" si="41"/>
        <v>0</v>
      </c>
      <c r="BF58" s="193"/>
      <c r="BG58" s="169">
        <v>54</v>
      </c>
      <c r="BH58" s="1">
        <f t="shared" si="42"/>
        <v>47164</v>
      </c>
      <c r="BI58" s="60">
        <f>IF($X58&lt;Input!$H$103,IF($X58&lt;Input!$G$103,IF($X58&lt;Input!$F$103,IF($X58&lt;Input!$E$103,IF($X58&lt;Input!$D$103,Input!$C$109,Input!$D$109),Input!$E$109),Input!$F$109),Input!$G$109),Input!$H$109)</f>
        <v>0</v>
      </c>
      <c r="BJ58" s="190">
        <f>IF($A58&lt;Input!$H$110,IF($A58&lt;Input!$G$110,IF($A58&lt;Input!$F$110,IF($A58&lt;Input!$E$110,IF($A58&lt;Input!$D$110,Input!$C$111,Input!$D$111),Input!$E$111),Input!$F$111),Input!$G$111),Input!$H$111)</f>
        <v>0.9</v>
      </c>
      <c r="BK58" s="60">
        <f t="shared" si="19"/>
        <v>0</v>
      </c>
      <c r="BL58" s="60">
        <f t="shared" si="43"/>
        <v>31</v>
      </c>
      <c r="BM58" s="60">
        <f t="shared" si="20"/>
        <v>0</v>
      </c>
      <c r="BN58" s="60">
        <f>ROUND(BM58*BL58*Input!$C$3/365,0)</f>
        <v>0</v>
      </c>
      <c r="BO58" s="61">
        <f>IF($A58&lt;=Input!$C$6,0,IF('180M'!BK58&lt;'180M'!BM58,'180M'!BK58-BN58,'180M'!BM58))</f>
        <v>0</v>
      </c>
      <c r="BP58" s="61">
        <f t="shared" si="21"/>
        <v>0</v>
      </c>
      <c r="BQ58" s="60">
        <f t="shared" si="22"/>
        <v>0</v>
      </c>
      <c r="BR58" s="198"/>
    </row>
    <row r="59" spans="1:70" x14ac:dyDescent="0.25">
      <c r="A59" s="169">
        <v>55</v>
      </c>
      <c r="B59" s="1">
        <f t="shared" si="23"/>
        <v>47192</v>
      </c>
      <c r="C59" s="60">
        <f t="shared" si="1"/>
        <v>18940500</v>
      </c>
      <c r="D59" s="60">
        <f t="shared" si="2"/>
        <v>17046450</v>
      </c>
      <c r="E59" s="60">
        <f t="shared" si="24"/>
        <v>28</v>
      </c>
      <c r="F59" s="60">
        <f t="shared" si="25"/>
        <v>1446673584.4979434</v>
      </c>
      <c r="G59" s="60">
        <f>ROUND(F59*E59*Input!$C$3/365,0)</f>
        <v>16646655</v>
      </c>
      <c r="H59" s="60">
        <f>IF($A59&lt;=Input!$C$6,0,IF('180M'!D59&lt;'180M'!F59,'180M'!D59-G59,'180M'!F59))</f>
        <v>399795</v>
      </c>
      <c r="I59" s="60">
        <f t="shared" si="26"/>
        <v>17046450</v>
      </c>
      <c r="J59" s="60">
        <f t="shared" si="27"/>
        <v>1446273789.4979434</v>
      </c>
      <c r="K59" s="203">
        <f>J59/Input!$K$5</f>
        <v>4.8209126316598114</v>
      </c>
      <c r="L59" s="232"/>
      <c r="M59" s="60">
        <f>IF($B59&lt;Input!$H$43,IF($B59&lt;Input!$G$43,IF($B59&lt;Input!$F$43,IF($B59&lt;Input!$E$43,IF($B59&lt;Input!$D$43,Input!$C$49,Input!$D$49),Input!$E$49),Input!$F$49),Input!$G$49),Input!$H$49)</f>
        <v>18940500</v>
      </c>
      <c r="N59" s="190">
        <f>IF($A59&lt;Input!$H$50,IF($A59&lt;Input!$G$50,IF($A59&lt;Input!$F$50,IF($A59&lt;Input!$E$50,IF($A59&lt;Input!$D$50,Input!$C$51,Input!$D$51),Input!$E$51),Input!$F$51),Input!$G$51),Input!$H$51)</f>
        <v>0.9</v>
      </c>
      <c r="O59" s="60">
        <f t="shared" si="44"/>
        <v>17046450</v>
      </c>
      <c r="P59" s="60">
        <f t="shared" si="45"/>
        <v>28</v>
      </c>
      <c r="Q59" s="60">
        <f t="shared" si="4"/>
        <v>1446673584.4979434</v>
      </c>
      <c r="R59" s="60">
        <f>ROUND(Q59*$P59*Input!$C$3/365,0)</f>
        <v>16646655</v>
      </c>
      <c r="S59" s="60">
        <f>IF(A59&lt;=Input!$C$6,0,IF('180M'!O59&lt;'180M'!Q59,'180M'!O59-R59,'180M'!Q59))</f>
        <v>399795</v>
      </c>
      <c r="T59" s="60">
        <f t="shared" si="5"/>
        <v>17046450</v>
      </c>
      <c r="U59" s="60">
        <f t="shared" si="6"/>
        <v>1446273789.4979434</v>
      </c>
      <c r="V59" s="193"/>
      <c r="W59" s="169">
        <v>55</v>
      </c>
      <c r="X59" s="1">
        <f t="shared" si="28"/>
        <v>47192</v>
      </c>
      <c r="Y59" s="60">
        <f>IF($X59&lt;Input!$H$58,IF($X59&lt;Input!$G$58,IF($X59&lt;Input!$F$58,IF($X59&lt;Input!$E$58,IF($X59&lt;Input!$D$58,Input!$C$64,Input!$D$64),Input!$E$64),Input!$F$64),Input!$G$64),Input!$H$64)</f>
        <v>0</v>
      </c>
      <c r="Z59" s="190">
        <f>IF($A59&lt;Input!$H$65,IF($A59&lt;Input!$G$65,IF($A59&lt;Input!$F$65,IF($A59&lt;Input!$E$65,IF($A59&lt;Input!$D$65,Input!$C$66,Input!$D$66),Input!$E$66),Input!$F$66),Input!$G$66),Input!$H$66)</f>
        <v>0.9</v>
      </c>
      <c r="AA59" s="60">
        <f t="shared" si="7"/>
        <v>0</v>
      </c>
      <c r="AB59" s="60">
        <f t="shared" si="29"/>
        <v>28</v>
      </c>
      <c r="AC59" s="60">
        <f t="shared" si="8"/>
        <v>0</v>
      </c>
      <c r="AD59" s="60">
        <f>ROUND(AC59*AB59*Input!$C$3/365,0)</f>
        <v>0</v>
      </c>
      <c r="AE59" s="61">
        <f>IF($A59&lt;=Input!$C$6,0,IF('180M'!AA59&lt;'180M'!AC59,'180M'!AA59-AD59,'180M'!AC59))</f>
        <v>0</v>
      </c>
      <c r="AF59" s="61">
        <f t="shared" si="9"/>
        <v>0</v>
      </c>
      <c r="AG59" s="60">
        <f t="shared" si="10"/>
        <v>0</v>
      </c>
      <c r="AH59" s="193"/>
      <c r="AI59" s="169">
        <v>55</v>
      </c>
      <c r="AJ59" s="1">
        <f t="shared" si="30"/>
        <v>47192</v>
      </c>
      <c r="AK59" s="60">
        <f>IF($X59&lt;Input!$H$73,IF($X59&lt;Input!$G$73,IF($X59&lt;Input!$F$73,IF($X59&lt;Input!$E$73,IF($X59&lt;Input!$D$73,Input!$C$79,Input!$D$79),Input!$E$79),Input!$F$79),Input!$G$79),Input!$H$79)</f>
        <v>0</v>
      </c>
      <c r="AL59" s="190">
        <f>IF($A59&lt;Input!$H$80,IF($A59&lt;Input!$G$80,IF($A59&lt;Input!$F$80,IF($A59&lt;Input!$E$80,IF($A59&lt;Input!$D$80,Input!$C$81,Input!$D$81),Input!$E$81),Input!$F$81),Input!$G$81),Input!$H$81)</f>
        <v>0.9</v>
      </c>
      <c r="AM59" s="60">
        <f t="shared" si="31"/>
        <v>0</v>
      </c>
      <c r="AN59" s="60">
        <f t="shared" si="32"/>
        <v>28</v>
      </c>
      <c r="AO59" s="60">
        <f t="shared" si="33"/>
        <v>0</v>
      </c>
      <c r="AP59" s="60">
        <f>ROUND(AO59*AN59*Input!$C$3/365,0)</f>
        <v>0</v>
      </c>
      <c r="AQ59" s="61">
        <f>IF($A59&lt;=Input!$C$6,0,IF('180M'!AM59&lt;'180M'!AO59,'180M'!AM59-AP59,'180M'!AO59))</f>
        <v>0</v>
      </c>
      <c r="AR59" s="61">
        <f t="shared" si="34"/>
        <v>0</v>
      </c>
      <c r="AS59" s="60">
        <f t="shared" si="35"/>
        <v>0</v>
      </c>
      <c r="AT59" s="193"/>
      <c r="AU59" s="169">
        <v>55</v>
      </c>
      <c r="AV59" s="1">
        <f t="shared" si="36"/>
        <v>47192</v>
      </c>
      <c r="AW59" s="60">
        <f>IF($X59&lt;Input!$H$88,IF($X59&lt;Input!$G$88,IF($X59&lt;Input!$F$88,IF($X59&lt;Input!$E$88,IF($X59&lt;Input!$D$88,Input!$C$94,Input!$D$94),Input!$E$94),Input!$F$94),Input!$G$94),Input!$H$94)</f>
        <v>0</v>
      </c>
      <c r="AX59" s="190">
        <f>IF($A59&lt;Input!$H$95,IF($A59&lt;Input!$G$95,IF($A59&lt;Input!$F$95,IF($A59&lt;Input!$E$95,IF($A59&lt;Input!$D$95,Input!$C$96,Input!$D$96),Input!$E$96),Input!$F$96),Input!$G$96),Input!$H$96)</f>
        <v>0.9</v>
      </c>
      <c r="AY59" s="60">
        <f t="shared" si="37"/>
        <v>0</v>
      </c>
      <c r="AZ59" s="60">
        <f t="shared" si="38"/>
        <v>28</v>
      </c>
      <c r="BA59" s="60">
        <f t="shared" si="39"/>
        <v>0</v>
      </c>
      <c r="BB59" s="60">
        <f>ROUND(BA59*AZ59*Input!$C$3/365,0)</f>
        <v>0</v>
      </c>
      <c r="BC59" s="61">
        <f>IF($A59&lt;=Input!$C$6,0,IF('180M'!AY59&lt;'180M'!BA59,'180M'!AY59-BB59,'180M'!BA59))</f>
        <v>0</v>
      </c>
      <c r="BD59" s="61">
        <f t="shared" si="40"/>
        <v>0</v>
      </c>
      <c r="BE59" s="60">
        <f t="shared" si="41"/>
        <v>0</v>
      </c>
      <c r="BF59" s="193"/>
      <c r="BG59" s="169">
        <v>55</v>
      </c>
      <c r="BH59" s="1">
        <f t="shared" si="42"/>
        <v>47192</v>
      </c>
      <c r="BI59" s="60">
        <f>IF($X59&lt;Input!$H$103,IF($X59&lt;Input!$G$103,IF($X59&lt;Input!$F$103,IF($X59&lt;Input!$E$103,IF($X59&lt;Input!$D$103,Input!$C$109,Input!$D$109),Input!$E$109),Input!$F$109),Input!$G$109),Input!$H$109)</f>
        <v>0</v>
      </c>
      <c r="BJ59" s="190">
        <f>IF($A59&lt;Input!$H$110,IF($A59&lt;Input!$G$110,IF($A59&lt;Input!$F$110,IF($A59&lt;Input!$E$110,IF($A59&lt;Input!$D$110,Input!$C$111,Input!$D$111),Input!$E$111),Input!$F$111),Input!$G$111),Input!$H$111)</f>
        <v>0.9</v>
      </c>
      <c r="BK59" s="60">
        <f t="shared" si="19"/>
        <v>0</v>
      </c>
      <c r="BL59" s="60">
        <f t="shared" si="43"/>
        <v>28</v>
      </c>
      <c r="BM59" s="60">
        <f t="shared" si="20"/>
        <v>0</v>
      </c>
      <c r="BN59" s="60">
        <f>ROUND(BM59*BL59*Input!$C$3/365,0)</f>
        <v>0</v>
      </c>
      <c r="BO59" s="61">
        <f>IF($A59&lt;=Input!$C$6,0,IF('180M'!BK59&lt;'180M'!BM59,'180M'!BK59-BN59,'180M'!BM59))</f>
        <v>0</v>
      </c>
      <c r="BP59" s="61">
        <f t="shared" si="21"/>
        <v>0</v>
      </c>
      <c r="BQ59" s="60">
        <f t="shared" si="22"/>
        <v>0</v>
      </c>
      <c r="BR59" s="198"/>
    </row>
    <row r="60" spans="1:70" x14ac:dyDescent="0.25">
      <c r="A60" s="169">
        <v>56</v>
      </c>
      <c r="B60" s="1">
        <f t="shared" si="23"/>
        <v>47223</v>
      </c>
      <c r="C60" s="60">
        <f t="shared" si="1"/>
        <v>18940500</v>
      </c>
      <c r="D60" s="60">
        <f t="shared" si="2"/>
        <v>17046450</v>
      </c>
      <c r="E60" s="60">
        <f t="shared" si="24"/>
        <v>31</v>
      </c>
      <c r="F60" s="60">
        <f t="shared" si="25"/>
        <v>1446273789.4979434</v>
      </c>
      <c r="G60" s="60">
        <f>ROUND(F60*E60*Input!$C$3/365,0)</f>
        <v>18425132</v>
      </c>
      <c r="H60" s="60">
        <f>IF($A60&lt;=Input!$C$6,0,IF('180M'!D60&lt;'180M'!F60,'180M'!D60-G60,'180M'!F60))</f>
        <v>-1378682</v>
      </c>
      <c r="I60" s="60">
        <f t="shared" si="26"/>
        <v>17046450</v>
      </c>
      <c r="J60" s="60">
        <f t="shared" si="27"/>
        <v>1447652471.4979434</v>
      </c>
      <c r="K60" s="203">
        <f>J60/Input!$K$5</f>
        <v>4.8255082383264778</v>
      </c>
      <c r="L60" s="232"/>
      <c r="M60" s="60">
        <f>IF($B60&lt;Input!$H$43,IF($B60&lt;Input!$G$43,IF($B60&lt;Input!$F$43,IF($B60&lt;Input!$E$43,IF($B60&lt;Input!$D$43,Input!$C$49,Input!$D$49),Input!$E$49),Input!$F$49),Input!$G$49),Input!$H$49)</f>
        <v>18940500</v>
      </c>
      <c r="N60" s="190">
        <f>IF($A60&lt;Input!$H$50,IF($A60&lt;Input!$G$50,IF($A60&lt;Input!$F$50,IF($A60&lt;Input!$E$50,IF($A60&lt;Input!$D$50,Input!$C$51,Input!$D$51),Input!$E$51),Input!$F$51),Input!$G$51),Input!$H$51)</f>
        <v>0.9</v>
      </c>
      <c r="O60" s="60">
        <f t="shared" si="44"/>
        <v>17046450</v>
      </c>
      <c r="P60" s="60">
        <f t="shared" si="45"/>
        <v>31</v>
      </c>
      <c r="Q60" s="60">
        <f t="shared" si="4"/>
        <v>1446273789.4979434</v>
      </c>
      <c r="R60" s="60">
        <f>ROUND(Q60*$P60*Input!$C$3/365,0)</f>
        <v>18425132</v>
      </c>
      <c r="S60" s="60">
        <f>IF(A60&lt;=Input!$C$6,0,IF('180M'!O60&lt;'180M'!Q60,'180M'!O60-R60,'180M'!Q60))</f>
        <v>-1378682</v>
      </c>
      <c r="T60" s="60">
        <f t="shared" si="5"/>
        <v>17046450</v>
      </c>
      <c r="U60" s="60">
        <f t="shared" si="6"/>
        <v>1447652471.4979434</v>
      </c>
      <c r="V60" s="193"/>
      <c r="W60" s="169">
        <v>56</v>
      </c>
      <c r="X60" s="1">
        <f t="shared" si="28"/>
        <v>47223</v>
      </c>
      <c r="Y60" s="60">
        <f>IF($X60&lt;Input!$H$58,IF($X60&lt;Input!$G$58,IF($X60&lt;Input!$F$58,IF($X60&lt;Input!$E$58,IF($X60&lt;Input!$D$58,Input!$C$64,Input!$D$64),Input!$E$64),Input!$F$64),Input!$G$64),Input!$H$64)</f>
        <v>0</v>
      </c>
      <c r="Z60" s="190">
        <f>IF($A60&lt;Input!$H$65,IF($A60&lt;Input!$G$65,IF($A60&lt;Input!$F$65,IF($A60&lt;Input!$E$65,IF($A60&lt;Input!$D$65,Input!$C$66,Input!$D$66),Input!$E$66),Input!$F$66),Input!$G$66),Input!$H$66)</f>
        <v>0.9</v>
      </c>
      <c r="AA60" s="60">
        <f t="shared" si="7"/>
        <v>0</v>
      </c>
      <c r="AB60" s="60">
        <f t="shared" si="29"/>
        <v>31</v>
      </c>
      <c r="AC60" s="60">
        <f t="shared" si="8"/>
        <v>0</v>
      </c>
      <c r="AD60" s="60">
        <f>ROUND(AC60*AB60*Input!$C$3/365,0)</f>
        <v>0</v>
      </c>
      <c r="AE60" s="61">
        <f>IF($A60&lt;=Input!$C$6,0,IF('180M'!AA60&lt;'180M'!AC60,'180M'!AA60-AD60,'180M'!AC60))</f>
        <v>0</v>
      </c>
      <c r="AF60" s="61">
        <f t="shared" si="9"/>
        <v>0</v>
      </c>
      <c r="AG60" s="60">
        <f t="shared" si="10"/>
        <v>0</v>
      </c>
      <c r="AH60" s="193"/>
      <c r="AI60" s="169">
        <v>56</v>
      </c>
      <c r="AJ60" s="1">
        <f t="shared" si="30"/>
        <v>47223</v>
      </c>
      <c r="AK60" s="60">
        <f>IF($X60&lt;Input!$H$73,IF($X60&lt;Input!$G$73,IF($X60&lt;Input!$F$73,IF($X60&lt;Input!$E$73,IF($X60&lt;Input!$D$73,Input!$C$79,Input!$D$79),Input!$E$79),Input!$F$79),Input!$G$79),Input!$H$79)</f>
        <v>0</v>
      </c>
      <c r="AL60" s="190">
        <f>IF($A60&lt;Input!$H$80,IF($A60&lt;Input!$G$80,IF($A60&lt;Input!$F$80,IF($A60&lt;Input!$E$80,IF($A60&lt;Input!$D$80,Input!$C$81,Input!$D$81),Input!$E$81),Input!$F$81),Input!$G$81),Input!$H$81)</f>
        <v>0.9</v>
      </c>
      <c r="AM60" s="60">
        <f t="shared" si="31"/>
        <v>0</v>
      </c>
      <c r="AN60" s="60">
        <f t="shared" si="32"/>
        <v>31</v>
      </c>
      <c r="AO60" s="60">
        <f t="shared" si="33"/>
        <v>0</v>
      </c>
      <c r="AP60" s="60">
        <f>ROUND(AO60*AN60*Input!$C$3/365,0)</f>
        <v>0</v>
      </c>
      <c r="AQ60" s="61">
        <f>IF($A60&lt;=Input!$C$6,0,IF('180M'!AM60&lt;'180M'!AO60,'180M'!AM60-AP60,'180M'!AO60))</f>
        <v>0</v>
      </c>
      <c r="AR60" s="61">
        <f t="shared" si="34"/>
        <v>0</v>
      </c>
      <c r="AS60" s="60">
        <f t="shared" si="35"/>
        <v>0</v>
      </c>
      <c r="AT60" s="193"/>
      <c r="AU60" s="169">
        <v>56</v>
      </c>
      <c r="AV60" s="1">
        <f t="shared" si="36"/>
        <v>47223</v>
      </c>
      <c r="AW60" s="60">
        <f>IF($X60&lt;Input!$H$88,IF($X60&lt;Input!$G$88,IF($X60&lt;Input!$F$88,IF($X60&lt;Input!$E$88,IF($X60&lt;Input!$D$88,Input!$C$94,Input!$D$94),Input!$E$94),Input!$F$94),Input!$G$94),Input!$H$94)</f>
        <v>0</v>
      </c>
      <c r="AX60" s="190">
        <f>IF($A60&lt;Input!$H$95,IF($A60&lt;Input!$G$95,IF($A60&lt;Input!$F$95,IF($A60&lt;Input!$E$95,IF($A60&lt;Input!$D$95,Input!$C$96,Input!$D$96),Input!$E$96),Input!$F$96),Input!$G$96),Input!$H$96)</f>
        <v>0.9</v>
      </c>
      <c r="AY60" s="60">
        <f t="shared" si="37"/>
        <v>0</v>
      </c>
      <c r="AZ60" s="60">
        <f t="shared" si="38"/>
        <v>31</v>
      </c>
      <c r="BA60" s="60">
        <f t="shared" si="39"/>
        <v>0</v>
      </c>
      <c r="BB60" s="60">
        <f>ROUND(BA60*AZ60*Input!$C$3/365,0)</f>
        <v>0</v>
      </c>
      <c r="BC60" s="61">
        <f>IF($A60&lt;=Input!$C$6,0,IF('180M'!AY60&lt;'180M'!BA60,'180M'!AY60-BB60,'180M'!BA60))</f>
        <v>0</v>
      </c>
      <c r="BD60" s="61">
        <f t="shared" si="40"/>
        <v>0</v>
      </c>
      <c r="BE60" s="60">
        <f t="shared" si="41"/>
        <v>0</v>
      </c>
      <c r="BF60" s="193"/>
      <c r="BG60" s="169">
        <v>56</v>
      </c>
      <c r="BH60" s="1">
        <f t="shared" si="42"/>
        <v>47223</v>
      </c>
      <c r="BI60" s="60">
        <f>IF($X60&lt;Input!$H$103,IF($X60&lt;Input!$G$103,IF($X60&lt;Input!$F$103,IF($X60&lt;Input!$E$103,IF($X60&lt;Input!$D$103,Input!$C$109,Input!$D$109),Input!$E$109),Input!$F$109),Input!$G$109),Input!$H$109)</f>
        <v>0</v>
      </c>
      <c r="BJ60" s="190">
        <f>IF($A60&lt;Input!$H$110,IF($A60&lt;Input!$G$110,IF($A60&lt;Input!$F$110,IF($A60&lt;Input!$E$110,IF($A60&lt;Input!$D$110,Input!$C$111,Input!$D$111),Input!$E$111),Input!$F$111),Input!$G$111),Input!$H$111)</f>
        <v>0.9</v>
      </c>
      <c r="BK60" s="60">
        <f t="shared" si="19"/>
        <v>0</v>
      </c>
      <c r="BL60" s="60">
        <f t="shared" si="43"/>
        <v>31</v>
      </c>
      <c r="BM60" s="60">
        <f t="shared" si="20"/>
        <v>0</v>
      </c>
      <c r="BN60" s="60">
        <f>ROUND(BM60*BL60*Input!$C$3/365,0)</f>
        <v>0</v>
      </c>
      <c r="BO60" s="61">
        <f>IF($A60&lt;=Input!$C$6,0,IF('180M'!BK60&lt;'180M'!BM60,'180M'!BK60-BN60,'180M'!BM60))</f>
        <v>0</v>
      </c>
      <c r="BP60" s="61">
        <f t="shared" si="21"/>
        <v>0</v>
      </c>
      <c r="BQ60" s="60">
        <f t="shared" si="22"/>
        <v>0</v>
      </c>
      <c r="BR60" s="198"/>
    </row>
    <row r="61" spans="1:70" x14ac:dyDescent="0.25">
      <c r="A61" s="169">
        <v>57</v>
      </c>
      <c r="B61" s="1">
        <f t="shared" si="23"/>
        <v>47253</v>
      </c>
      <c r="C61" s="60">
        <f t="shared" si="1"/>
        <v>18940500</v>
      </c>
      <c r="D61" s="60">
        <f t="shared" si="2"/>
        <v>17046450</v>
      </c>
      <c r="E61" s="60">
        <f t="shared" si="24"/>
        <v>30</v>
      </c>
      <c r="F61" s="60">
        <f t="shared" si="25"/>
        <v>1447652471.4979434</v>
      </c>
      <c r="G61" s="60">
        <f>ROUND(F61*E61*Input!$C$3/365,0)</f>
        <v>17847770</v>
      </c>
      <c r="H61" s="60">
        <f>IF($A61&lt;=Input!$C$6,0,IF('180M'!D61&lt;'180M'!F61,'180M'!D61-G61,'180M'!F61))</f>
        <v>-801320</v>
      </c>
      <c r="I61" s="60">
        <f t="shared" si="26"/>
        <v>17046450</v>
      </c>
      <c r="J61" s="60">
        <f t="shared" si="27"/>
        <v>1448453791.4979434</v>
      </c>
      <c r="K61" s="203">
        <f>J61/Input!$K$5</f>
        <v>4.828179304993145</v>
      </c>
      <c r="L61" s="232"/>
      <c r="M61" s="60">
        <f>IF($B61&lt;Input!$H$43,IF($B61&lt;Input!$G$43,IF($B61&lt;Input!$F$43,IF($B61&lt;Input!$E$43,IF($B61&lt;Input!$D$43,Input!$C$49,Input!$D$49),Input!$E$49),Input!$F$49),Input!$G$49),Input!$H$49)</f>
        <v>18940500</v>
      </c>
      <c r="N61" s="190">
        <f>IF($A61&lt;Input!$H$50,IF($A61&lt;Input!$G$50,IF($A61&lt;Input!$F$50,IF($A61&lt;Input!$E$50,IF($A61&lt;Input!$D$50,Input!$C$51,Input!$D$51),Input!$E$51),Input!$F$51),Input!$G$51),Input!$H$51)</f>
        <v>0.9</v>
      </c>
      <c r="O61" s="60">
        <f t="shared" si="44"/>
        <v>17046450</v>
      </c>
      <c r="P61" s="60">
        <f t="shared" si="45"/>
        <v>30</v>
      </c>
      <c r="Q61" s="60">
        <f t="shared" si="4"/>
        <v>1447652471.4979434</v>
      </c>
      <c r="R61" s="60">
        <f>ROUND(Q61*$P61*Input!$C$3/365,0)</f>
        <v>17847770</v>
      </c>
      <c r="S61" s="60">
        <f>IF(A61&lt;=Input!$C$6,0,IF('180M'!O61&lt;'180M'!Q61,'180M'!O61-R61,'180M'!Q61))</f>
        <v>-801320</v>
      </c>
      <c r="T61" s="60">
        <f t="shared" si="5"/>
        <v>17046450</v>
      </c>
      <c r="U61" s="60">
        <f t="shared" si="6"/>
        <v>1448453791.4979434</v>
      </c>
      <c r="V61" s="193"/>
      <c r="W61" s="169">
        <v>57</v>
      </c>
      <c r="X61" s="1">
        <f t="shared" si="28"/>
        <v>47253</v>
      </c>
      <c r="Y61" s="60">
        <f>IF($X61&lt;Input!$H$58,IF($X61&lt;Input!$G$58,IF($X61&lt;Input!$F$58,IF($X61&lt;Input!$E$58,IF($X61&lt;Input!$D$58,Input!$C$64,Input!$D$64),Input!$E$64),Input!$F$64),Input!$G$64),Input!$H$64)</f>
        <v>0</v>
      </c>
      <c r="Z61" s="190">
        <f>IF($A61&lt;Input!$H$65,IF($A61&lt;Input!$G$65,IF($A61&lt;Input!$F$65,IF($A61&lt;Input!$E$65,IF($A61&lt;Input!$D$65,Input!$C$66,Input!$D$66),Input!$E$66),Input!$F$66),Input!$G$66),Input!$H$66)</f>
        <v>0.9</v>
      </c>
      <c r="AA61" s="60">
        <f t="shared" si="7"/>
        <v>0</v>
      </c>
      <c r="AB61" s="60">
        <f t="shared" si="29"/>
        <v>30</v>
      </c>
      <c r="AC61" s="60">
        <f t="shared" si="8"/>
        <v>0</v>
      </c>
      <c r="AD61" s="60">
        <f>ROUND(AC61*AB61*Input!$C$3/365,0)</f>
        <v>0</v>
      </c>
      <c r="AE61" s="61">
        <f>IF($A61&lt;=Input!$C$6,0,IF('180M'!AA61&lt;'180M'!AC61,'180M'!AA61-AD61,'180M'!AC61))</f>
        <v>0</v>
      </c>
      <c r="AF61" s="61">
        <f t="shared" si="9"/>
        <v>0</v>
      </c>
      <c r="AG61" s="60">
        <f t="shared" si="10"/>
        <v>0</v>
      </c>
      <c r="AH61" s="193"/>
      <c r="AI61" s="169">
        <v>57</v>
      </c>
      <c r="AJ61" s="1">
        <f t="shared" si="30"/>
        <v>47253</v>
      </c>
      <c r="AK61" s="60">
        <f>IF($X61&lt;Input!$H$73,IF($X61&lt;Input!$G$73,IF($X61&lt;Input!$F$73,IF($X61&lt;Input!$E$73,IF($X61&lt;Input!$D$73,Input!$C$79,Input!$D$79),Input!$E$79),Input!$F$79),Input!$G$79),Input!$H$79)</f>
        <v>0</v>
      </c>
      <c r="AL61" s="190">
        <f>IF($A61&lt;Input!$H$80,IF($A61&lt;Input!$G$80,IF($A61&lt;Input!$F$80,IF($A61&lt;Input!$E$80,IF($A61&lt;Input!$D$80,Input!$C$81,Input!$D$81),Input!$E$81),Input!$F$81),Input!$G$81),Input!$H$81)</f>
        <v>0.9</v>
      </c>
      <c r="AM61" s="60">
        <f t="shared" si="31"/>
        <v>0</v>
      </c>
      <c r="AN61" s="60">
        <f t="shared" si="32"/>
        <v>30</v>
      </c>
      <c r="AO61" s="60">
        <f t="shared" si="33"/>
        <v>0</v>
      </c>
      <c r="AP61" s="60">
        <f>ROUND(AO61*AN61*Input!$C$3/365,0)</f>
        <v>0</v>
      </c>
      <c r="AQ61" s="61">
        <f>IF($A61&lt;=Input!$C$6,0,IF('180M'!AM61&lt;'180M'!AO61,'180M'!AM61-AP61,'180M'!AO61))</f>
        <v>0</v>
      </c>
      <c r="AR61" s="61">
        <f t="shared" si="34"/>
        <v>0</v>
      </c>
      <c r="AS61" s="60">
        <f t="shared" si="35"/>
        <v>0</v>
      </c>
      <c r="AT61" s="193"/>
      <c r="AU61" s="169">
        <v>57</v>
      </c>
      <c r="AV61" s="1">
        <f t="shared" si="36"/>
        <v>47253</v>
      </c>
      <c r="AW61" s="60">
        <f>IF($X61&lt;Input!$H$88,IF($X61&lt;Input!$G$88,IF($X61&lt;Input!$F$88,IF($X61&lt;Input!$E$88,IF($X61&lt;Input!$D$88,Input!$C$94,Input!$D$94),Input!$E$94),Input!$F$94),Input!$G$94),Input!$H$94)</f>
        <v>0</v>
      </c>
      <c r="AX61" s="190">
        <f>IF($A61&lt;Input!$H$95,IF($A61&lt;Input!$G$95,IF($A61&lt;Input!$F$95,IF($A61&lt;Input!$E$95,IF($A61&lt;Input!$D$95,Input!$C$96,Input!$D$96),Input!$E$96),Input!$F$96),Input!$G$96),Input!$H$96)</f>
        <v>0.9</v>
      </c>
      <c r="AY61" s="60">
        <f t="shared" si="37"/>
        <v>0</v>
      </c>
      <c r="AZ61" s="60">
        <f t="shared" si="38"/>
        <v>30</v>
      </c>
      <c r="BA61" s="60">
        <f t="shared" si="39"/>
        <v>0</v>
      </c>
      <c r="BB61" s="60">
        <f>ROUND(BA61*AZ61*Input!$C$3/365,0)</f>
        <v>0</v>
      </c>
      <c r="BC61" s="61">
        <f>IF($A61&lt;=Input!$C$6,0,IF('180M'!AY61&lt;'180M'!BA61,'180M'!AY61-BB61,'180M'!BA61))</f>
        <v>0</v>
      </c>
      <c r="BD61" s="61">
        <f t="shared" si="40"/>
        <v>0</v>
      </c>
      <c r="BE61" s="60">
        <f t="shared" si="41"/>
        <v>0</v>
      </c>
      <c r="BF61" s="193"/>
      <c r="BG61" s="169">
        <v>57</v>
      </c>
      <c r="BH61" s="1">
        <f t="shared" si="42"/>
        <v>47253</v>
      </c>
      <c r="BI61" s="60">
        <f>IF($X61&lt;Input!$H$103,IF($X61&lt;Input!$G$103,IF($X61&lt;Input!$F$103,IF($X61&lt;Input!$E$103,IF($X61&lt;Input!$D$103,Input!$C$109,Input!$D$109),Input!$E$109),Input!$F$109),Input!$G$109),Input!$H$109)</f>
        <v>0</v>
      </c>
      <c r="BJ61" s="190">
        <f>IF($A61&lt;Input!$H$110,IF($A61&lt;Input!$G$110,IF($A61&lt;Input!$F$110,IF($A61&lt;Input!$E$110,IF($A61&lt;Input!$D$110,Input!$C$111,Input!$D$111),Input!$E$111),Input!$F$111),Input!$G$111),Input!$H$111)</f>
        <v>0.9</v>
      </c>
      <c r="BK61" s="60">
        <f t="shared" si="19"/>
        <v>0</v>
      </c>
      <c r="BL61" s="60">
        <f t="shared" si="43"/>
        <v>30</v>
      </c>
      <c r="BM61" s="60">
        <f t="shared" si="20"/>
        <v>0</v>
      </c>
      <c r="BN61" s="60">
        <f>ROUND(BM61*BL61*Input!$C$3/365,0)</f>
        <v>0</v>
      </c>
      <c r="BO61" s="61">
        <f>IF($A61&lt;=Input!$C$6,0,IF('180M'!BK61&lt;'180M'!BM61,'180M'!BK61-BN61,'180M'!BM61))</f>
        <v>0</v>
      </c>
      <c r="BP61" s="61">
        <f t="shared" si="21"/>
        <v>0</v>
      </c>
      <c r="BQ61" s="60">
        <f t="shared" si="22"/>
        <v>0</v>
      </c>
      <c r="BR61" s="198"/>
    </row>
    <row r="62" spans="1:70" x14ac:dyDescent="0.25">
      <c r="A62" s="169">
        <v>58</v>
      </c>
      <c r="B62" s="1">
        <f t="shared" si="23"/>
        <v>47284</v>
      </c>
      <c r="C62" s="60">
        <f t="shared" si="1"/>
        <v>18940500</v>
      </c>
      <c r="D62" s="60">
        <f t="shared" si="2"/>
        <v>17046450</v>
      </c>
      <c r="E62" s="60">
        <f t="shared" si="24"/>
        <v>31</v>
      </c>
      <c r="F62" s="60">
        <f t="shared" si="25"/>
        <v>1448453791.4979434</v>
      </c>
      <c r="G62" s="60">
        <f>ROUND(F62*E62*Input!$C$3/365,0)</f>
        <v>18452904</v>
      </c>
      <c r="H62" s="60">
        <f>IF($A62&lt;=Input!$C$6,0,IF('180M'!D62&lt;'180M'!F62,'180M'!D62-G62,'180M'!F62))</f>
        <v>-1406454</v>
      </c>
      <c r="I62" s="60">
        <f t="shared" si="26"/>
        <v>17046450</v>
      </c>
      <c r="J62" s="60">
        <f t="shared" si="27"/>
        <v>1449860245.4979434</v>
      </c>
      <c r="K62" s="203">
        <f>J62/Input!$K$5</f>
        <v>4.8328674849931446</v>
      </c>
      <c r="L62" s="232"/>
      <c r="M62" s="60">
        <f>IF($B62&lt;Input!$H$43,IF($B62&lt;Input!$G$43,IF($B62&lt;Input!$F$43,IF($B62&lt;Input!$E$43,IF($B62&lt;Input!$D$43,Input!$C$49,Input!$D$49),Input!$E$49),Input!$F$49),Input!$G$49),Input!$H$49)</f>
        <v>18940500</v>
      </c>
      <c r="N62" s="190">
        <f>IF($A62&lt;Input!$H$50,IF($A62&lt;Input!$G$50,IF($A62&lt;Input!$F$50,IF($A62&lt;Input!$E$50,IF($A62&lt;Input!$D$50,Input!$C$51,Input!$D$51),Input!$E$51),Input!$F$51),Input!$G$51),Input!$H$51)</f>
        <v>0.9</v>
      </c>
      <c r="O62" s="60">
        <f t="shared" si="44"/>
        <v>17046450</v>
      </c>
      <c r="P62" s="60">
        <f t="shared" si="45"/>
        <v>31</v>
      </c>
      <c r="Q62" s="60">
        <f t="shared" si="4"/>
        <v>1448453791.4979434</v>
      </c>
      <c r="R62" s="60">
        <f>ROUND(Q62*$P62*Input!$C$3/365,0)</f>
        <v>18452904</v>
      </c>
      <c r="S62" s="60">
        <f>IF(A62&lt;=Input!$C$6,0,IF('180M'!O62&lt;'180M'!Q62,'180M'!O62-R62,'180M'!Q62))</f>
        <v>-1406454</v>
      </c>
      <c r="T62" s="60">
        <f t="shared" si="5"/>
        <v>17046450</v>
      </c>
      <c r="U62" s="60">
        <f t="shared" si="6"/>
        <v>1449860245.4979434</v>
      </c>
      <c r="V62" s="193"/>
      <c r="W62" s="169">
        <v>58</v>
      </c>
      <c r="X62" s="1">
        <f t="shared" si="28"/>
        <v>47284</v>
      </c>
      <c r="Y62" s="60">
        <f>IF($X62&lt;Input!$H$58,IF($X62&lt;Input!$G$58,IF($X62&lt;Input!$F$58,IF($X62&lt;Input!$E$58,IF($X62&lt;Input!$D$58,Input!$C$64,Input!$D$64),Input!$E$64),Input!$F$64),Input!$G$64),Input!$H$64)</f>
        <v>0</v>
      </c>
      <c r="Z62" s="190">
        <f>IF($A62&lt;Input!$H$65,IF($A62&lt;Input!$G$65,IF($A62&lt;Input!$F$65,IF($A62&lt;Input!$E$65,IF($A62&lt;Input!$D$65,Input!$C$66,Input!$D$66),Input!$E$66),Input!$F$66),Input!$G$66),Input!$H$66)</f>
        <v>0.9</v>
      </c>
      <c r="AA62" s="60">
        <f t="shared" si="7"/>
        <v>0</v>
      </c>
      <c r="AB62" s="60">
        <f t="shared" si="29"/>
        <v>31</v>
      </c>
      <c r="AC62" s="60">
        <f t="shared" si="8"/>
        <v>0</v>
      </c>
      <c r="AD62" s="60">
        <f>ROUND(AC62*AB62*Input!$C$3/365,0)</f>
        <v>0</v>
      </c>
      <c r="AE62" s="61">
        <f>IF($A62&lt;=Input!$C$6,0,IF('180M'!AA62&lt;'180M'!AC62,'180M'!AA62-AD62,'180M'!AC62))</f>
        <v>0</v>
      </c>
      <c r="AF62" s="61">
        <f t="shared" si="9"/>
        <v>0</v>
      </c>
      <c r="AG62" s="60">
        <f t="shared" si="10"/>
        <v>0</v>
      </c>
      <c r="AH62" s="193"/>
      <c r="AI62" s="169">
        <v>58</v>
      </c>
      <c r="AJ62" s="1">
        <f t="shared" si="30"/>
        <v>47284</v>
      </c>
      <c r="AK62" s="60">
        <f>IF($X62&lt;Input!$H$73,IF($X62&lt;Input!$G$73,IF($X62&lt;Input!$F$73,IF($X62&lt;Input!$E$73,IF($X62&lt;Input!$D$73,Input!$C$79,Input!$D$79),Input!$E$79),Input!$F$79),Input!$G$79),Input!$H$79)</f>
        <v>0</v>
      </c>
      <c r="AL62" s="190">
        <f>IF($A62&lt;Input!$H$80,IF($A62&lt;Input!$G$80,IF($A62&lt;Input!$F$80,IF($A62&lt;Input!$E$80,IF($A62&lt;Input!$D$80,Input!$C$81,Input!$D$81),Input!$E$81),Input!$F$81),Input!$G$81),Input!$H$81)</f>
        <v>0.9</v>
      </c>
      <c r="AM62" s="60">
        <f t="shared" si="31"/>
        <v>0</v>
      </c>
      <c r="AN62" s="60">
        <f t="shared" si="32"/>
        <v>31</v>
      </c>
      <c r="AO62" s="60">
        <f t="shared" si="33"/>
        <v>0</v>
      </c>
      <c r="AP62" s="60">
        <f>ROUND(AO62*AN62*Input!$C$3/365,0)</f>
        <v>0</v>
      </c>
      <c r="AQ62" s="61">
        <f>IF($A62&lt;=Input!$C$6,0,IF('180M'!AM62&lt;'180M'!AO62,'180M'!AM62-AP62,'180M'!AO62))</f>
        <v>0</v>
      </c>
      <c r="AR62" s="61">
        <f t="shared" si="34"/>
        <v>0</v>
      </c>
      <c r="AS62" s="60">
        <f t="shared" si="35"/>
        <v>0</v>
      </c>
      <c r="AT62" s="193"/>
      <c r="AU62" s="169">
        <v>58</v>
      </c>
      <c r="AV62" s="1">
        <f t="shared" si="36"/>
        <v>47284</v>
      </c>
      <c r="AW62" s="60">
        <f>IF($X62&lt;Input!$H$88,IF($X62&lt;Input!$G$88,IF($X62&lt;Input!$F$88,IF($X62&lt;Input!$E$88,IF($X62&lt;Input!$D$88,Input!$C$94,Input!$D$94),Input!$E$94),Input!$F$94),Input!$G$94),Input!$H$94)</f>
        <v>0</v>
      </c>
      <c r="AX62" s="190">
        <f>IF($A62&lt;Input!$H$95,IF($A62&lt;Input!$G$95,IF($A62&lt;Input!$F$95,IF($A62&lt;Input!$E$95,IF($A62&lt;Input!$D$95,Input!$C$96,Input!$D$96),Input!$E$96),Input!$F$96),Input!$G$96),Input!$H$96)</f>
        <v>0.9</v>
      </c>
      <c r="AY62" s="60">
        <f t="shared" si="37"/>
        <v>0</v>
      </c>
      <c r="AZ62" s="60">
        <f t="shared" si="38"/>
        <v>31</v>
      </c>
      <c r="BA62" s="60">
        <f t="shared" si="39"/>
        <v>0</v>
      </c>
      <c r="BB62" s="60">
        <f>ROUND(BA62*AZ62*Input!$C$3/365,0)</f>
        <v>0</v>
      </c>
      <c r="BC62" s="61">
        <f>IF($A62&lt;=Input!$C$6,0,IF('180M'!AY62&lt;'180M'!BA62,'180M'!AY62-BB62,'180M'!BA62))</f>
        <v>0</v>
      </c>
      <c r="BD62" s="61">
        <f t="shared" si="40"/>
        <v>0</v>
      </c>
      <c r="BE62" s="60">
        <f t="shared" si="41"/>
        <v>0</v>
      </c>
      <c r="BF62" s="193"/>
      <c r="BG62" s="169">
        <v>58</v>
      </c>
      <c r="BH62" s="1">
        <f t="shared" si="42"/>
        <v>47284</v>
      </c>
      <c r="BI62" s="60">
        <f>IF($X62&lt;Input!$H$103,IF($X62&lt;Input!$G$103,IF($X62&lt;Input!$F$103,IF($X62&lt;Input!$E$103,IF($X62&lt;Input!$D$103,Input!$C$109,Input!$D$109),Input!$E$109),Input!$F$109),Input!$G$109),Input!$H$109)</f>
        <v>0</v>
      </c>
      <c r="BJ62" s="190">
        <f>IF($A62&lt;Input!$H$110,IF($A62&lt;Input!$G$110,IF($A62&lt;Input!$F$110,IF($A62&lt;Input!$E$110,IF($A62&lt;Input!$D$110,Input!$C$111,Input!$D$111),Input!$E$111),Input!$F$111),Input!$G$111),Input!$H$111)</f>
        <v>0.9</v>
      </c>
      <c r="BK62" s="60">
        <f t="shared" si="19"/>
        <v>0</v>
      </c>
      <c r="BL62" s="60">
        <f t="shared" si="43"/>
        <v>31</v>
      </c>
      <c r="BM62" s="60">
        <f t="shared" si="20"/>
        <v>0</v>
      </c>
      <c r="BN62" s="60">
        <f>ROUND(BM62*BL62*Input!$C$3/365,0)</f>
        <v>0</v>
      </c>
      <c r="BO62" s="61">
        <f>IF($A62&lt;=Input!$C$6,0,IF('180M'!BK62&lt;'180M'!BM62,'180M'!BK62-BN62,'180M'!BM62))</f>
        <v>0</v>
      </c>
      <c r="BP62" s="61">
        <f t="shared" si="21"/>
        <v>0</v>
      </c>
      <c r="BQ62" s="60">
        <f t="shared" si="22"/>
        <v>0</v>
      </c>
      <c r="BR62" s="198"/>
    </row>
    <row r="63" spans="1:70" x14ac:dyDescent="0.25">
      <c r="A63" s="169">
        <v>59</v>
      </c>
      <c r="B63" s="1">
        <f t="shared" si="23"/>
        <v>47314</v>
      </c>
      <c r="C63" s="60">
        <f t="shared" si="1"/>
        <v>18940500</v>
      </c>
      <c r="D63" s="60">
        <f t="shared" si="2"/>
        <v>17046450</v>
      </c>
      <c r="E63" s="60">
        <f t="shared" si="24"/>
        <v>30</v>
      </c>
      <c r="F63" s="60">
        <f t="shared" si="25"/>
        <v>1449860245.4979434</v>
      </c>
      <c r="G63" s="60">
        <f>ROUND(F63*E63*Input!$C$3/365,0)</f>
        <v>17874989</v>
      </c>
      <c r="H63" s="60">
        <f>IF($A63&lt;=Input!$C$6,0,IF('180M'!D63&lt;'180M'!F63,'180M'!D63-G63,'180M'!F63))</f>
        <v>-828539</v>
      </c>
      <c r="I63" s="60">
        <f t="shared" si="26"/>
        <v>17046450</v>
      </c>
      <c r="J63" s="60">
        <f t="shared" si="27"/>
        <v>1450688784.4979434</v>
      </c>
      <c r="K63" s="203">
        <f>J63/Input!$K$5</f>
        <v>4.835629281659811</v>
      </c>
      <c r="L63" s="232"/>
      <c r="M63" s="60">
        <f>IF($B63&lt;Input!$H$43,IF($B63&lt;Input!$G$43,IF($B63&lt;Input!$F$43,IF($B63&lt;Input!$E$43,IF($B63&lt;Input!$D$43,Input!$C$49,Input!$D$49),Input!$E$49),Input!$F$49),Input!$G$49),Input!$H$49)</f>
        <v>18940500</v>
      </c>
      <c r="N63" s="190">
        <f>IF($A63&lt;Input!$H$50,IF($A63&lt;Input!$G$50,IF($A63&lt;Input!$F$50,IF($A63&lt;Input!$E$50,IF($A63&lt;Input!$D$50,Input!$C$51,Input!$D$51),Input!$E$51),Input!$F$51),Input!$G$51),Input!$H$51)</f>
        <v>0.9</v>
      </c>
      <c r="O63" s="60">
        <f t="shared" si="44"/>
        <v>17046450</v>
      </c>
      <c r="P63" s="60">
        <f t="shared" si="45"/>
        <v>30</v>
      </c>
      <c r="Q63" s="60">
        <f t="shared" si="4"/>
        <v>1449860245.4979434</v>
      </c>
      <c r="R63" s="60">
        <f>ROUND(Q63*$P63*Input!$C$3/365,0)</f>
        <v>17874989</v>
      </c>
      <c r="S63" s="60">
        <f>IF(A63&lt;=Input!$C$6,0,IF('180M'!O63&lt;'180M'!Q63,'180M'!O63-R63,'180M'!Q63))</f>
        <v>-828539</v>
      </c>
      <c r="T63" s="60">
        <f t="shared" si="5"/>
        <v>17046450</v>
      </c>
      <c r="U63" s="60">
        <f t="shared" si="6"/>
        <v>1450688784.4979434</v>
      </c>
      <c r="V63" s="193"/>
      <c r="W63" s="169">
        <v>59</v>
      </c>
      <c r="X63" s="1">
        <f t="shared" si="28"/>
        <v>47314</v>
      </c>
      <c r="Y63" s="60">
        <f>IF($X63&lt;Input!$H$58,IF($X63&lt;Input!$G$58,IF($X63&lt;Input!$F$58,IF($X63&lt;Input!$E$58,IF($X63&lt;Input!$D$58,Input!$C$64,Input!$D$64),Input!$E$64),Input!$F$64),Input!$G$64),Input!$H$64)</f>
        <v>0</v>
      </c>
      <c r="Z63" s="190">
        <f>IF($A63&lt;Input!$H$65,IF($A63&lt;Input!$G$65,IF($A63&lt;Input!$F$65,IF($A63&lt;Input!$E$65,IF($A63&lt;Input!$D$65,Input!$C$66,Input!$D$66),Input!$E$66),Input!$F$66),Input!$G$66),Input!$H$66)</f>
        <v>0.9</v>
      </c>
      <c r="AA63" s="60">
        <f t="shared" si="7"/>
        <v>0</v>
      </c>
      <c r="AB63" s="60">
        <f t="shared" si="29"/>
        <v>30</v>
      </c>
      <c r="AC63" s="60">
        <f t="shared" si="8"/>
        <v>0</v>
      </c>
      <c r="AD63" s="60">
        <f>ROUND(AC63*AB63*Input!$C$3/365,0)</f>
        <v>0</v>
      </c>
      <c r="AE63" s="61">
        <f>IF($A63&lt;=Input!$C$6,0,IF('180M'!AA63&lt;'180M'!AC63,'180M'!AA63-AD63,'180M'!AC63))</f>
        <v>0</v>
      </c>
      <c r="AF63" s="61">
        <f t="shared" si="9"/>
        <v>0</v>
      </c>
      <c r="AG63" s="60">
        <f t="shared" si="10"/>
        <v>0</v>
      </c>
      <c r="AH63" s="193"/>
      <c r="AI63" s="169">
        <v>59</v>
      </c>
      <c r="AJ63" s="1">
        <f t="shared" si="30"/>
        <v>47314</v>
      </c>
      <c r="AK63" s="60">
        <f>IF($X63&lt;Input!$H$73,IF($X63&lt;Input!$G$73,IF($X63&lt;Input!$F$73,IF($X63&lt;Input!$E$73,IF($X63&lt;Input!$D$73,Input!$C$79,Input!$D$79),Input!$E$79),Input!$F$79),Input!$G$79),Input!$H$79)</f>
        <v>0</v>
      </c>
      <c r="AL63" s="190">
        <f>IF($A63&lt;Input!$H$80,IF($A63&lt;Input!$G$80,IF($A63&lt;Input!$F$80,IF($A63&lt;Input!$E$80,IF($A63&lt;Input!$D$80,Input!$C$81,Input!$D$81),Input!$E$81),Input!$F$81),Input!$G$81),Input!$H$81)</f>
        <v>0.9</v>
      </c>
      <c r="AM63" s="60">
        <f t="shared" si="31"/>
        <v>0</v>
      </c>
      <c r="AN63" s="60">
        <f t="shared" si="32"/>
        <v>30</v>
      </c>
      <c r="AO63" s="60">
        <f t="shared" si="33"/>
        <v>0</v>
      </c>
      <c r="AP63" s="60">
        <f>ROUND(AO63*AN63*Input!$C$3/365,0)</f>
        <v>0</v>
      </c>
      <c r="AQ63" s="61">
        <f>IF($A63&lt;=Input!$C$6,0,IF('180M'!AM63&lt;'180M'!AO63,'180M'!AM63-AP63,'180M'!AO63))</f>
        <v>0</v>
      </c>
      <c r="AR63" s="61">
        <f t="shared" si="34"/>
        <v>0</v>
      </c>
      <c r="AS63" s="60">
        <f t="shared" si="35"/>
        <v>0</v>
      </c>
      <c r="AT63" s="193"/>
      <c r="AU63" s="169">
        <v>59</v>
      </c>
      <c r="AV63" s="1">
        <f t="shared" si="36"/>
        <v>47314</v>
      </c>
      <c r="AW63" s="60">
        <f>IF($X63&lt;Input!$H$88,IF($X63&lt;Input!$G$88,IF($X63&lt;Input!$F$88,IF($X63&lt;Input!$E$88,IF($X63&lt;Input!$D$88,Input!$C$94,Input!$D$94),Input!$E$94),Input!$F$94),Input!$G$94),Input!$H$94)</f>
        <v>0</v>
      </c>
      <c r="AX63" s="190">
        <f>IF($A63&lt;Input!$H$95,IF($A63&lt;Input!$G$95,IF($A63&lt;Input!$F$95,IF($A63&lt;Input!$E$95,IF($A63&lt;Input!$D$95,Input!$C$96,Input!$D$96),Input!$E$96),Input!$F$96),Input!$G$96),Input!$H$96)</f>
        <v>0.9</v>
      </c>
      <c r="AY63" s="60">
        <f t="shared" si="37"/>
        <v>0</v>
      </c>
      <c r="AZ63" s="60">
        <f t="shared" si="38"/>
        <v>30</v>
      </c>
      <c r="BA63" s="60">
        <f t="shared" si="39"/>
        <v>0</v>
      </c>
      <c r="BB63" s="60">
        <f>ROUND(BA63*AZ63*Input!$C$3/365,0)</f>
        <v>0</v>
      </c>
      <c r="BC63" s="61">
        <f>IF($A63&lt;=Input!$C$6,0,IF('180M'!AY63&lt;'180M'!BA63,'180M'!AY63-BB63,'180M'!BA63))</f>
        <v>0</v>
      </c>
      <c r="BD63" s="61">
        <f t="shared" si="40"/>
        <v>0</v>
      </c>
      <c r="BE63" s="60">
        <f t="shared" si="41"/>
        <v>0</v>
      </c>
      <c r="BF63" s="193"/>
      <c r="BG63" s="169">
        <v>59</v>
      </c>
      <c r="BH63" s="1">
        <f t="shared" si="42"/>
        <v>47314</v>
      </c>
      <c r="BI63" s="60">
        <f>IF($X63&lt;Input!$H$103,IF($X63&lt;Input!$G$103,IF($X63&lt;Input!$F$103,IF($X63&lt;Input!$E$103,IF($X63&lt;Input!$D$103,Input!$C$109,Input!$D$109),Input!$E$109),Input!$F$109),Input!$G$109),Input!$H$109)</f>
        <v>0</v>
      </c>
      <c r="BJ63" s="190">
        <f>IF($A63&lt;Input!$H$110,IF($A63&lt;Input!$G$110,IF($A63&lt;Input!$F$110,IF($A63&lt;Input!$E$110,IF($A63&lt;Input!$D$110,Input!$C$111,Input!$D$111),Input!$E$111),Input!$F$111),Input!$G$111),Input!$H$111)</f>
        <v>0.9</v>
      </c>
      <c r="BK63" s="60">
        <f t="shared" si="19"/>
        <v>0</v>
      </c>
      <c r="BL63" s="60">
        <f t="shared" si="43"/>
        <v>30</v>
      </c>
      <c r="BM63" s="60">
        <f t="shared" si="20"/>
        <v>0</v>
      </c>
      <c r="BN63" s="60">
        <f>ROUND(BM63*BL63*Input!$C$3/365,0)</f>
        <v>0</v>
      </c>
      <c r="BO63" s="61">
        <f>IF($A63&lt;=Input!$C$6,0,IF('180M'!BK63&lt;'180M'!BM63,'180M'!BK63-BN63,'180M'!BM63))</f>
        <v>0</v>
      </c>
      <c r="BP63" s="61">
        <f t="shared" si="21"/>
        <v>0</v>
      </c>
      <c r="BQ63" s="60">
        <f t="shared" si="22"/>
        <v>0</v>
      </c>
      <c r="BR63" s="198"/>
    </row>
    <row r="64" spans="1:70" x14ac:dyDescent="0.25">
      <c r="A64" s="169">
        <v>60</v>
      </c>
      <c r="B64" s="1">
        <f t="shared" si="23"/>
        <v>47345</v>
      </c>
      <c r="C64" s="60">
        <f t="shared" si="1"/>
        <v>18940500</v>
      </c>
      <c r="D64" s="60">
        <f t="shared" si="2"/>
        <v>17046450</v>
      </c>
      <c r="E64" s="60">
        <f t="shared" si="24"/>
        <v>31</v>
      </c>
      <c r="F64" s="60">
        <f t="shared" si="25"/>
        <v>1450688784.4979434</v>
      </c>
      <c r="G64" s="60">
        <f>ROUND(F64*E64*Input!$C$3/365,0)</f>
        <v>18481378</v>
      </c>
      <c r="H64" s="60">
        <f>IF($A64&lt;=Input!$C$6,0,IF('180M'!D64&lt;'180M'!F64,'180M'!D64-G64,'180M'!F64))</f>
        <v>-1434928</v>
      </c>
      <c r="I64" s="60">
        <f t="shared" si="26"/>
        <v>17046450</v>
      </c>
      <c r="J64" s="60">
        <f t="shared" si="27"/>
        <v>1452123712.4979434</v>
      </c>
      <c r="K64" s="203">
        <f>J64/Input!$K$5</f>
        <v>4.8404123749931447</v>
      </c>
      <c r="L64" s="232"/>
      <c r="M64" s="60">
        <f>IF($B64&lt;Input!$H$43,IF($B64&lt;Input!$G$43,IF($B64&lt;Input!$F$43,IF($B64&lt;Input!$E$43,IF($B64&lt;Input!$D$43,Input!$C$49,Input!$D$49),Input!$E$49),Input!$F$49),Input!$G$49),Input!$H$49)</f>
        <v>18940500</v>
      </c>
      <c r="N64" s="190">
        <f>IF($A64&lt;Input!$H$50,IF($A64&lt;Input!$G$50,IF($A64&lt;Input!$F$50,IF($A64&lt;Input!$E$50,IF($A64&lt;Input!$D$50,Input!$C$51,Input!$D$51),Input!$E$51),Input!$F$51),Input!$G$51),Input!$H$51)</f>
        <v>0.9</v>
      </c>
      <c r="O64" s="60">
        <f t="shared" si="44"/>
        <v>17046450</v>
      </c>
      <c r="P64" s="60">
        <f t="shared" si="45"/>
        <v>31</v>
      </c>
      <c r="Q64" s="60">
        <f t="shared" si="4"/>
        <v>1450688784.4979434</v>
      </c>
      <c r="R64" s="60">
        <f>ROUND(Q64*$P64*Input!$C$3/365,0)</f>
        <v>18481378</v>
      </c>
      <c r="S64" s="60">
        <f>IF(A64&lt;=Input!$C$6,0,IF('180M'!O64&lt;'180M'!Q64,'180M'!O64-R64,'180M'!Q64))</f>
        <v>-1434928</v>
      </c>
      <c r="T64" s="60">
        <f t="shared" si="5"/>
        <v>17046450</v>
      </c>
      <c r="U64" s="60">
        <f t="shared" si="6"/>
        <v>1452123712.4979434</v>
      </c>
      <c r="V64" s="193"/>
      <c r="W64" s="169">
        <v>60</v>
      </c>
      <c r="X64" s="1">
        <f t="shared" si="28"/>
        <v>47345</v>
      </c>
      <c r="Y64" s="60">
        <f>IF($X64&lt;Input!$H$58,IF($X64&lt;Input!$G$58,IF($X64&lt;Input!$F$58,IF($X64&lt;Input!$E$58,IF($X64&lt;Input!$D$58,Input!$C$64,Input!$D$64),Input!$E$64),Input!$F$64),Input!$G$64),Input!$H$64)</f>
        <v>0</v>
      </c>
      <c r="Z64" s="190">
        <f>IF($A64&lt;Input!$H$65,IF($A64&lt;Input!$G$65,IF($A64&lt;Input!$F$65,IF($A64&lt;Input!$E$65,IF($A64&lt;Input!$D$65,Input!$C$66,Input!$D$66),Input!$E$66),Input!$F$66),Input!$G$66),Input!$H$66)</f>
        <v>0.9</v>
      </c>
      <c r="AA64" s="60">
        <f t="shared" si="7"/>
        <v>0</v>
      </c>
      <c r="AB64" s="60">
        <f t="shared" si="29"/>
        <v>31</v>
      </c>
      <c r="AC64" s="60">
        <f t="shared" si="8"/>
        <v>0</v>
      </c>
      <c r="AD64" s="60">
        <f>ROUND(AC64*AB64*Input!$C$3/365,0)</f>
        <v>0</v>
      </c>
      <c r="AE64" s="61">
        <f>IF($A64&lt;=Input!$C$6,0,IF('180M'!AA64&lt;'180M'!AC64,'180M'!AA64-AD64,'180M'!AC64))</f>
        <v>0</v>
      </c>
      <c r="AF64" s="61">
        <f t="shared" si="9"/>
        <v>0</v>
      </c>
      <c r="AG64" s="60">
        <f t="shared" si="10"/>
        <v>0</v>
      </c>
      <c r="AH64" s="193"/>
      <c r="AI64" s="169">
        <v>60</v>
      </c>
      <c r="AJ64" s="1">
        <f t="shared" si="30"/>
        <v>47345</v>
      </c>
      <c r="AK64" s="60">
        <f>IF($X64&lt;Input!$H$73,IF($X64&lt;Input!$G$73,IF($X64&lt;Input!$F$73,IF($X64&lt;Input!$E$73,IF($X64&lt;Input!$D$73,Input!$C$79,Input!$D$79),Input!$E$79),Input!$F$79),Input!$G$79),Input!$H$79)</f>
        <v>0</v>
      </c>
      <c r="AL64" s="190">
        <f>IF($A64&lt;Input!$H$80,IF($A64&lt;Input!$G$80,IF($A64&lt;Input!$F$80,IF($A64&lt;Input!$E$80,IF($A64&lt;Input!$D$80,Input!$C$81,Input!$D$81),Input!$E$81),Input!$F$81),Input!$G$81),Input!$H$81)</f>
        <v>0.9</v>
      </c>
      <c r="AM64" s="60">
        <f t="shared" si="31"/>
        <v>0</v>
      </c>
      <c r="AN64" s="60">
        <f t="shared" si="32"/>
        <v>31</v>
      </c>
      <c r="AO64" s="60">
        <f t="shared" si="33"/>
        <v>0</v>
      </c>
      <c r="AP64" s="60">
        <f>ROUND(AO64*AN64*Input!$C$3/365,0)</f>
        <v>0</v>
      </c>
      <c r="AQ64" s="61">
        <f>IF($A64&lt;=Input!$C$6,0,IF('180M'!AM64&lt;'180M'!AO64,'180M'!AM64-AP64,'180M'!AO64))</f>
        <v>0</v>
      </c>
      <c r="AR64" s="61">
        <f t="shared" si="34"/>
        <v>0</v>
      </c>
      <c r="AS64" s="60">
        <f t="shared" si="35"/>
        <v>0</v>
      </c>
      <c r="AT64" s="193"/>
      <c r="AU64" s="169">
        <v>60</v>
      </c>
      <c r="AV64" s="1">
        <f t="shared" si="36"/>
        <v>47345</v>
      </c>
      <c r="AW64" s="60">
        <f>IF($X64&lt;Input!$H$88,IF($X64&lt;Input!$G$88,IF($X64&lt;Input!$F$88,IF($X64&lt;Input!$E$88,IF($X64&lt;Input!$D$88,Input!$C$94,Input!$D$94),Input!$E$94),Input!$F$94),Input!$G$94),Input!$H$94)</f>
        <v>0</v>
      </c>
      <c r="AX64" s="190">
        <f>IF($A64&lt;Input!$H$95,IF($A64&lt;Input!$G$95,IF($A64&lt;Input!$F$95,IF($A64&lt;Input!$E$95,IF($A64&lt;Input!$D$95,Input!$C$96,Input!$D$96),Input!$E$96),Input!$F$96),Input!$G$96),Input!$H$96)</f>
        <v>0.9</v>
      </c>
      <c r="AY64" s="60">
        <f t="shared" si="37"/>
        <v>0</v>
      </c>
      <c r="AZ64" s="60">
        <f t="shared" si="38"/>
        <v>31</v>
      </c>
      <c r="BA64" s="60">
        <f t="shared" si="39"/>
        <v>0</v>
      </c>
      <c r="BB64" s="60">
        <f>ROUND(BA64*AZ64*Input!$C$3/365,0)</f>
        <v>0</v>
      </c>
      <c r="BC64" s="61">
        <f>IF($A64&lt;=Input!$C$6,0,IF('180M'!AY64&lt;'180M'!BA64,'180M'!AY64-BB64,'180M'!BA64))</f>
        <v>0</v>
      </c>
      <c r="BD64" s="61">
        <f t="shared" si="40"/>
        <v>0</v>
      </c>
      <c r="BE64" s="60">
        <f t="shared" si="41"/>
        <v>0</v>
      </c>
      <c r="BF64" s="193"/>
      <c r="BG64" s="169">
        <v>60</v>
      </c>
      <c r="BH64" s="1">
        <f t="shared" si="42"/>
        <v>47345</v>
      </c>
      <c r="BI64" s="60">
        <f>IF($X64&lt;Input!$H$103,IF($X64&lt;Input!$G$103,IF($X64&lt;Input!$F$103,IF($X64&lt;Input!$E$103,IF($X64&lt;Input!$D$103,Input!$C$109,Input!$D$109),Input!$E$109),Input!$F$109),Input!$G$109),Input!$H$109)</f>
        <v>0</v>
      </c>
      <c r="BJ64" s="190">
        <f>IF($A64&lt;Input!$H$110,IF($A64&lt;Input!$G$110,IF($A64&lt;Input!$F$110,IF($A64&lt;Input!$E$110,IF($A64&lt;Input!$D$110,Input!$C$111,Input!$D$111),Input!$E$111),Input!$F$111),Input!$G$111),Input!$H$111)</f>
        <v>0.9</v>
      </c>
      <c r="BK64" s="60">
        <f t="shared" si="19"/>
        <v>0</v>
      </c>
      <c r="BL64" s="60">
        <f t="shared" si="43"/>
        <v>31</v>
      </c>
      <c r="BM64" s="60">
        <f t="shared" si="20"/>
        <v>0</v>
      </c>
      <c r="BN64" s="60">
        <f>ROUND(BM64*BL64*Input!$C$3/365,0)</f>
        <v>0</v>
      </c>
      <c r="BO64" s="61">
        <f>IF($A64&lt;=Input!$C$6,0,IF('180M'!BK64&lt;'180M'!BM64,'180M'!BK64-BN64,'180M'!BM64))</f>
        <v>0</v>
      </c>
      <c r="BP64" s="61">
        <f t="shared" si="21"/>
        <v>0</v>
      </c>
      <c r="BQ64" s="60">
        <f t="shared" si="22"/>
        <v>0</v>
      </c>
      <c r="BR64" s="198"/>
    </row>
    <row r="65" spans="1:70" x14ac:dyDescent="0.25">
      <c r="A65" s="169">
        <v>61</v>
      </c>
      <c r="B65" s="1">
        <f t="shared" si="23"/>
        <v>47376</v>
      </c>
      <c r="C65" s="60">
        <f t="shared" si="1"/>
        <v>18940500</v>
      </c>
      <c r="D65" s="60">
        <f t="shared" si="2"/>
        <v>17046450</v>
      </c>
      <c r="E65" s="60">
        <f t="shared" si="24"/>
        <v>31</v>
      </c>
      <c r="F65" s="60">
        <f t="shared" si="25"/>
        <v>1452123712.4979434</v>
      </c>
      <c r="G65" s="60">
        <f>ROUND(F65*E65*Input!$C$3/365,0)</f>
        <v>18499658</v>
      </c>
      <c r="H65" s="60">
        <f>IF($A65&lt;=Input!$C$6,0,IF('180M'!D65&lt;'180M'!F65,'180M'!D65-G65,'180M'!F65))</f>
        <v>-1453208</v>
      </c>
      <c r="I65" s="60">
        <f t="shared" si="26"/>
        <v>17046450</v>
      </c>
      <c r="J65" s="60">
        <f t="shared" si="27"/>
        <v>1453576920.4979434</v>
      </c>
      <c r="K65" s="203">
        <f>J65/Input!$K$5</f>
        <v>4.8452564016598112</v>
      </c>
      <c r="L65" s="232"/>
      <c r="M65" s="60">
        <f>IF($B65&lt;Input!$H$43,IF($B65&lt;Input!$G$43,IF($B65&lt;Input!$F$43,IF($B65&lt;Input!$E$43,IF($B65&lt;Input!$D$43,Input!$C$49,Input!$D$49),Input!$E$49),Input!$F$49),Input!$G$49),Input!$H$49)</f>
        <v>18940500</v>
      </c>
      <c r="N65" s="190">
        <f>IF($A65&lt;Input!$H$50,IF($A65&lt;Input!$G$50,IF($A65&lt;Input!$F$50,IF($A65&lt;Input!$E$50,IF($A65&lt;Input!$D$50,Input!$C$51,Input!$D$51),Input!$E$51),Input!$F$51),Input!$G$51),Input!$H$51)</f>
        <v>0.9</v>
      </c>
      <c r="O65" s="60">
        <f t="shared" si="44"/>
        <v>17046450</v>
      </c>
      <c r="P65" s="60">
        <f t="shared" si="45"/>
        <v>31</v>
      </c>
      <c r="Q65" s="60">
        <f t="shared" si="4"/>
        <v>1452123712.4979434</v>
      </c>
      <c r="R65" s="60">
        <f>ROUND(Q65*$P65*Input!$C$3/365,0)</f>
        <v>18499658</v>
      </c>
      <c r="S65" s="60">
        <f>IF(A65&lt;=Input!$C$6,0,IF('180M'!O65&lt;'180M'!Q65,'180M'!O65-R65,'180M'!Q65))</f>
        <v>-1453208</v>
      </c>
      <c r="T65" s="60">
        <f t="shared" si="5"/>
        <v>17046450</v>
      </c>
      <c r="U65" s="60">
        <f t="shared" si="6"/>
        <v>1453576920.4979434</v>
      </c>
      <c r="V65" s="193"/>
      <c r="W65" s="169">
        <v>61</v>
      </c>
      <c r="X65" s="1">
        <f t="shared" si="28"/>
        <v>47376</v>
      </c>
      <c r="Y65" s="60">
        <f>IF($X65&lt;Input!$H$58,IF($X65&lt;Input!$G$58,IF($X65&lt;Input!$F$58,IF($X65&lt;Input!$E$58,IF($X65&lt;Input!$D$58,Input!$C$64,Input!$D$64),Input!$E$64),Input!$F$64),Input!$G$64),Input!$H$64)</f>
        <v>0</v>
      </c>
      <c r="Z65" s="190">
        <f>IF($A65&lt;Input!$H$65,IF($A65&lt;Input!$G$65,IF($A65&lt;Input!$F$65,IF($A65&lt;Input!$E$65,IF($A65&lt;Input!$D$65,Input!$C$66,Input!$D$66),Input!$E$66),Input!$F$66),Input!$G$66),Input!$H$66)</f>
        <v>0.9</v>
      </c>
      <c r="AA65" s="60">
        <f t="shared" si="7"/>
        <v>0</v>
      </c>
      <c r="AB65" s="60">
        <f t="shared" si="29"/>
        <v>31</v>
      </c>
      <c r="AC65" s="60">
        <f t="shared" si="8"/>
        <v>0</v>
      </c>
      <c r="AD65" s="60">
        <f>ROUND(AC65*AB65*Input!$C$3/365,0)</f>
        <v>0</v>
      </c>
      <c r="AE65" s="61">
        <f>IF($A65&lt;=Input!$C$6,0,IF('180M'!AA65&lt;'180M'!AC65,'180M'!AA65-AD65,'180M'!AC65))</f>
        <v>0</v>
      </c>
      <c r="AF65" s="61">
        <f t="shared" si="9"/>
        <v>0</v>
      </c>
      <c r="AG65" s="60">
        <f t="shared" si="10"/>
        <v>0</v>
      </c>
      <c r="AH65" s="193"/>
      <c r="AI65" s="169">
        <v>61</v>
      </c>
      <c r="AJ65" s="1">
        <f t="shared" si="30"/>
        <v>47376</v>
      </c>
      <c r="AK65" s="60">
        <f>IF($X65&lt;Input!$H$73,IF($X65&lt;Input!$G$73,IF($X65&lt;Input!$F$73,IF($X65&lt;Input!$E$73,IF($X65&lt;Input!$D$73,Input!$C$79,Input!$D$79),Input!$E$79),Input!$F$79),Input!$G$79),Input!$H$79)</f>
        <v>0</v>
      </c>
      <c r="AL65" s="190">
        <f>IF($A65&lt;Input!$H$80,IF($A65&lt;Input!$G$80,IF($A65&lt;Input!$F$80,IF($A65&lt;Input!$E$80,IF($A65&lt;Input!$D$80,Input!$C$81,Input!$D$81),Input!$E$81),Input!$F$81),Input!$G$81),Input!$H$81)</f>
        <v>0.9</v>
      </c>
      <c r="AM65" s="60">
        <f t="shared" si="31"/>
        <v>0</v>
      </c>
      <c r="AN65" s="60">
        <f t="shared" si="32"/>
        <v>31</v>
      </c>
      <c r="AO65" s="60">
        <f t="shared" si="33"/>
        <v>0</v>
      </c>
      <c r="AP65" s="60">
        <f>ROUND(AO65*AN65*Input!$C$3/365,0)</f>
        <v>0</v>
      </c>
      <c r="AQ65" s="61">
        <f>IF($A65&lt;=Input!$C$6,0,IF('180M'!AM65&lt;'180M'!AO65,'180M'!AM65-AP65,'180M'!AO65))</f>
        <v>0</v>
      </c>
      <c r="AR65" s="61">
        <f t="shared" si="34"/>
        <v>0</v>
      </c>
      <c r="AS65" s="60">
        <f t="shared" si="35"/>
        <v>0</v>
      </c>
      <c r="AT65" s="193"/>
      <c r="AU65" s="169">
        <v>61</v>
      </c>
      <c r="AV65" s="1">
        <f t="shared" si="36"/>
        <v>47376</v>
      </c>
      <c r="AW65" s="60">
        <f>IF($X65&lt;Input!$H$88,IF($X65&lt;Input!$G$88,IF($X65&lt;Input!$F$88,IF($X65&lt;Input!$E$88,IF($X65&lt;Input!$D$88,Input!$C$94,Input!$D$94),Input!$E$94),Input!$F$94),Input!$G$94),Input!$H$94)</f>
        <v>0</v>
      </c>
      <c r="AX65" s="190">
        <f>IF($A65&lt;Input!$H$95,IF($A65&lt;Input!$G$95,IF($A65&lt;Input!$F$95,IF($A65&lt;Input!$E$95,IF($A65&lt;Input!$D$95,Input!$C$96,Input!$D$96),Input!$E$96),Input!$F$96),Input!$G$96),Input!$H$96)</f>
        <v>0.9</v>
      </c>
      <c r="AY65" s="60">
        <f t="shared" si="37"/>
        <v>0</v>
      </c>
      <c r="AZ65" s="60">
        <f t="shared" si="38"/>
        <v>31</v>
      </c>
      <c r="BA65" s="60">
        <f t="shared" si="39"/>
        <v>0</v>
      </c>
      <c r="BB65" s="60">
        <f>ROUND(BA65*AZ65*Input!$C$3/365,0)</f>
        <v>0</v>
      </c>
      <c r="BC65" s="61">
        <f>IF($A65&lt;=Input!$C$6,0,IF('180M'!AY65&lt;'180M'!BA65,'180M'!AY65-BB65,'180M'!BA65))</f>
        <v>0</v>
      </c>
      <c r="BD65" s="61">
        <f t="shared" si="40"/>
        <v>0</v>
      </c>
      <c r="BE65" s="60">
        <f t="shared" si="41"/>
        <v>0</v>
      </c>
      <c r="BF65" s="193"/>
      <c r="BG65" s="169">
        <v>61</v>
      </c>
      <c r="BH65" s="1">
        <f t="shared" si="42"/>
        <v>47376</v>
      </c>
      <c r="BI65" s="60">
        <f>IF($X65&lt;Input!$H$103,IF($X65&lt;Input!$G$103,IF($X65&lt;Input!$F$103,IF($X65&lt;Input!$E$103,IF($X65&lt;Input!$D$103,Input!$C$109,Input!$D$109),Input!$E$109),Input!$F$109),Input!$G$109),Input!$H$109)</f>
        <v>0</v>
      </c>
      <c r="BJ65" s="190">
        <f>IF($A65&lt;Input!$H$110,IF($A65&lt;Input!$G$110,IF($A65&lt;Input!$F$110,IF($A65&lt;Input!$E$110,IF($A65&lt;Input!$D$110,Input!$C$111,Input!$D$111),Input!$E$111),Input!$F$111),Input!$G$111),Input!$H$111)</f>
        <v>0.9</v>
      </c>
      <c r="BK65" s="60">
        <f t="shared" si="19"/>
        <v>0</v>
      </c>
      <c r="BL65" s="60">
        <f t="shared" si="43"/>
        <v>31</v>
      </c>
      <c r="BM65" s="60">
        <f t="shared" si="20"/>
        <v>0</v>
      </c>
      <c r="BN65" s="60">
        <f>ROUND(BM65*BL65*Input!$C$3/365,0)</f>
        <v>0</v>
      </c>
      <c r="BO65" s="61">
        <f>IF($A65&lt;=Input!$C$6,0,IF('180M'!BK65&lt;'180M'!BM65,'180M'!BK65-BN65,'180M'!BM65))</f>
        <v>0</v>
      </c>
      <c r="BP65" s="61">
        <f t="shared" si="21"/>
        <v>0</v>
      </c>
      <c r="BQ65" s="60">
        <f t="shared" si="22"/>
        <v>0</v>
      </c>
      <c r="BR65" s="198"/>
    </row>
    <row r="66" spans="1:70" x14ac:dyDescent="0.25">
      <c r="A66" s="169">
        <v>62</v>
      </c>
      <c r="B66" s="1">
        <f t="shared" si="23"/>
        <v>47406</v>
      </c>
      <c r="C66" s="60">
        <f t="shared" si="1"/>
        <v>18940500</v>
      </c>
      <c r="D66" s="60">
        <f t="shared" si="2"/>
        <v>17046450</v>
      </c>
      <c r="E66" s="60">
        <f t="shared" si="24"/>
        <v>30</v>
      </c>
      <c r="F66" s="60">
        <f t="shared" si="25"/>
        <v>1453576920.4979434</v>
      </c>
      <c r="G66" s="60">
        <f>ROUND(F66*E66*Input!$C$3/365,0)</f>
        <v>17920811</v>
      </c>
      <c r="H66" s="60">
        <f>IF($A66&lt;=Input!$C$6,0,IF('180M'!D66&lt;'180M'!F66,'180M'!D66-G66,'180M'!F66))</f>
        <v>-874361</v>
      </c>
      <c r="I66" s="60">
        <f t="shared" si="26"/>
        <v>17046450</v>
      </c>
      <c r="J66" s="60">
        <f t="shared" si="27"/>
        <v>1454451281.4979434</v>
      </c>
      <c r="K66" s="203">
        <f>J66/Input!$K$5</f>
        <v>4.8481709383264784</v>
      </c>
      <c r="L66" s="232"/>
      <c r="M66" s="60">
        <f>IF($B66&lt;Input!$H$43,IF($B66&lt;Input!$G$43,IF($B66&lt;Input!$F$43,IF($B66&lt;Input!$E$43,IF($B66&lt;Input!$D$43,Input!$C$49,Input!$D$49),Input!$E$49),Input!$F$49),Input!$G$49),Input!$H$49)</f>
        <v>18940500</v>
      </c>
      <c r="N66" s="190">
        <f>IF($A66&lt;Input!$H$50,IF($A66&lt;Input!$G$50,IF($A66&lt;Input!$F$50,IF($A66&lt;Input!$E$50,IF($A66&lt;Input!$D$50,Input!$C$51,Input!$D$51),Input!$E$51),Input!$F$51),Input!$G$51),Input!$H$51)</f>
        <v>0.9</v>
      </c>
      <c r="O66" s="60">
        <f t="shared" si="44"/>
        <v>17046450</v>
      </c>
      <c r="P66" s="60">
        <f t="shared" si="45"/>
        <v>30</v>
      </c>
      <c r="Q66" s="60">
        <f t="shared" si="4"/>
        <v>1453576920.4979434</v>
      </c>
      <c r="R66" s="60">
        <f>ROUND(Q66*$P66*Input!$C$3/365,0)</f>
        <v>17920811</v>
      </c>
      <c r="S66" s="60">
        <f>IF(A66&lt;=Input!$C$6,0,IF('180M'!O66&lt;'180M'!Q66,'180M'!O66-R66,'180M'!Q66))</f>
        <v>-874361</v>
      </c>
      <c r="T66" s="60">
        <f t="shared" si="5"/>
        <v>17046450</v>
      </c>
      <c r="U66" s="60">
        <f t="shared" si="6"/>
        <v>1454451281.4979434</v>
      </c>
      <c r="V66" s="193"/>
      <c r="W66" s="169">
        <v>62</v>
      </c>
      <c r="X66" s="1">
        <f t="shared" si="28"/>
        <v>47406</v>
      </c>
      <c r="Y66" s="60">
        <f>IF($X66&lt;Input!$H$58,IF($X66&lt;Input!$G$58,IF($X66&lt;Input!$F$58,IF($X66&lt;Input!$E$58,IF($X66&lt;Input!$D$58,Input!$C$64,Input!$D$64),Input!$E$64),Input!$F$64),Input!$G$64),Input!$H$64)</f>
        <v>0</v>
      </c>
      <c r="Z66" s="190">
        <f>IF($A66&lt;Input!$H$65,IF($A66&lt;Input!$G$65,IF($A66&lt;Input!$F$65,IF($A66&lt;Input!$E$65,IF($A66&lt;Input!$D$65,Input!$C$66,Input!$D$66),Input!$E$66),Input!$F$66),Input!$G$66),Input!$H$66)</f>
        <v>0.9</v>
      </c>
      <c r="AA66" s="60">
        <f t="shared" si="7"/>
        <v>0</v>
      </c>
      <c r="AB66" s="60">
        <f t="shared" si="29"/>
        <v>30</v>
      </c>
      <c r="AC66" s="60">
        <f t="shared" si="8"/>
        <v>0</v>
      </c>
      <c r="AD66" s="60">
        <f>ROUND(AC66*AB66*Input!$C$3/365,0)</f>
        <v>0</v>
      </c>
      <c r="AE66" s="61">
        <f>IF($A66&lt;=Input!$C$6,0,IF('180M'!AA66&lt;'180M'!AC66,'180M'!AA66-AD66,'180M'!AC66))</f>
        <v>0</v>
      </c>
      <c r="AF66" s="61">
        <f t="shared" si="9"/>
        <v>0</v>
      </c>
      <c r="AG66" s="60">
        <f t="shared" si="10"/>
        <v>0</v>
      </c>
      <c r="AH66" s="193"/>
      <c r="AI66" s="169">
        <v>62</v>
      </c>
      <c r="AJ66" s="1">
        <f t="shared" si="30"/>
        <v>47406</v>
      </c>
      <c r="AK66" s="60">
        <f>IF($X66&lt;Input!$H$73,IF($X66&lt;Input!$G$73,IF($X66&lt;Input!$F$73,IF($X66&lt;Input!$E$73,IF($X66&lt;Input!$D$73,Input!$C$79,Input!$D$79),Input!$E$79),Input!$F$79),Input!$G$79),Input!$H$79)</f>
        <v>0</v>
      </c>
      <c r="AL66" s="190">
        <f>IF($A66&lt;Input!$H$80,IF($A66&lt;Input!$G$80,IF($A66&lt;Input!$F$80,IF($A66&lt;Input!$E$80,IF($A66&lt;Input!$D$80,Input!$C$81,Input!$D$81),Input!$E$81),Input!$F$81),Input!$G$81),Input!$H$81)</f>
        <v>0.9</v>
      </c>
      <c r="AM66" s="60">
        <f t="shared" si="31"/>
        <v>0</v>
      </c>
      <c r="AN66" s="60">
        <f t="shared" si="32"/>
        <v>30</v>
      </c>
      <c r="AO66" s="60">
        <f t="shared" si="33"/>
        <v>0</v>
      </c>
      <c r="AP66" s="60">
        <f>ROUND(AO66*AN66*Input!$C$3/365,0)</f>
        <v>0</v>
      </c>
      <c r="AQ66" s="61">
        <f>IF($A66&lt;=Input!$C$6,0,IF('180M'!AM66&lt;'180M'!AO66,'180M'!AM66-AP66,'180M'!AO66))</f>
        <v>0</v>
      </c>
      <c r="AR66" s="61">
        <f t="shared" si="34"/>
        <v>0</v>
      </c>
      <c r="AS66" s="60">
        <f t="shared" si="35"/>
        <v>0</v>
      </c>
      <c r="AT66" s="193"/>
      <c r="AU66" s="169">
        <v>62</v>
      </c>
      <c r="AV66" s="1">
        <f t="shared" si="36"/>
        <v>47406</v>
      </c>
      <c r="AW66" s="60">
        <f>IF($X66&lt;Input!$H$88,IF($X66&lt;Input!$G$88,IF($X66&lt;Input!$F$88,IF($X66&lt;Input!$E$88,IF($X66&lt;Input!$D$88,Input!$C$94,Input!$D$94),Input!$E$94),Input!$F$94),Input!$G$94),Input!$H$94)</f>
        <v>0</v>
      </c>
      <c r="AX66" s="190">
        <f>IF($A66&lt;Input!$H$95,IF($A66&lt;Input!$G$95,IF($A66&lt;Input!$F$95,IF($A66&lt;Input!$E$95,IF($A66&lt;Input!$D$95,Input!$C$96,Input!$D$96),Input!$E$96),Input!$F$96),Input!$G$96),Input!$H$96)</f>
        <v>0.9</v>
      </c>
      <c r="AY66" s="60">
        <f t="shared" si="37"/>
        <v>0</v>
      </c>
      <c r="AZ66" s="60">
        <f t="shared" si="38"/>
        <v>30</v>
      </c>
      <c r="BA66" s="60">
        <f t="shared" si="39"/>
        <v>0</v>
      </c>
      <c r="BB66" s="60">
        <f>ROUND(BA66*AZ66*Input!$C$3/365,0)</f>
        <v>0</v>
      </c>
      <c r="BC66" s="61">
        <f>IF($A66&lt;=Input!$C$6,0,IF('180M'!AY66&lt;'180M'!BA66,'180M'!AY66-BB66,'180M'!BA66))</f>
        <v>0</v>
      </c>
      <c r="BD66" s="61">
        <f t="shared" si="40"/>
        <v>0</v>
      </c>
      <c r="BE66" s="60">
        <f t="shared" si="41"/>
        <v>0</v>
      </c>
      <c r="BF66" s="193"/>
      <c r="BG66" s="169">
        <v>62</v>
      </c>
      <c r="BH66" s="1">
        <f t="shared" si="42"/>
        <v>47406</v>
      </c>
      <c r="BI66" s="60">
        <f>IF($X66&lt;Input!$H$103,IF($X66&lt;Input!$G$103,IF($X66&lt;Input!$F$103,IF($X66&lt;Input!$E$103,IF($X66&lt;Input!$D$103,Input!$C$109,Input!$D$109),Input!$E$109),Input!$F$109),Input!$G$109),Input!$H$109)</f>
        <v>0</v>
      </c>
      <c r="BJ66" s="190">
        <f>IF($A66&lt;Input!$H$110,IF($A66&lt;Input!$G$110,IF($A66&lt;Input!$F$110,IF($A66&lt;Input!$E$110,IF($A66&lt;Input!$D$110,Input!$C$111,Input!$D$111),Input!$E$111),Input!$F$111),Input!$G$111),Input!$H$111)</f>
        <v>0.9</v>
      </c>
      <c r="BK66" s="60">
        <f t="shared" si="19"/>
        <v>0</v>
      </c>
      <c r="BL66" s="60">
        <f t="shared" si="43"/>
        <v>30</v>
      </c>
      <c r="BM66" s="60">
        <f t="shared" si="20"/>
        <v>0</v>
      </c>
      <c r="BN66" s="60">
        <f>ROUND(BM66*BL66*Input!$C$3/365,0)</f>
        <v>0</v>
      </c>
      <c r="BO66" s="61">
        <f>IF($A66&lt;=Input!$C$6,0,IF('180M'!BK66&lt;'180M'!BM66,'180M'!BK66-BN66,'180M'!BM66))</f>
        <v>0</v>
      </c>
      <c r="BP66" s="61">
        <f t="shared" si="21"/>
        <v>0</v>
      </c>
      <c r="BQ66" s="60">
        <f t="shared" si="22"/>
        <v>0</v>
      </c>
      <c r="BR66" s="198"/>
    </row>
    <row r="67" spans="1:70" x14ac:dyDescent="0.25">
      <c r="A67" s="169">
        <v>63</v>
      </c>
      <c r="B67" s="1">
        <f t="shared" si="23"/>
        <v>47437</v>
      </c>
      <c r="C67" s="60">
        <f t="shared" si="1"/>
        <v>18940500</v>
      </c>
      <c r="D67" s="60">
        <f t="shared" si="2"/>
        <v>17046450</v>
      </c>
      <c r="E67" s="60">
        <f t="shared" si="24"/>
        <v>31</v>
      </c>
      <c r="F67" s="60">
        <f t="shared" si="25"/>
        <v>1454451281.4979434</v>
      </c>
      <c r="G67" s="60">
        <f>ROUND(F67*E67*Input!$C$3/365,0)</f>
        <v>18529311</v>
      </c>
      <c r="H67" s="60">
        <f>IF($A67&lt;=Input!$C$6,0,IF('180M'!D67&lt;'180M'!F67,'180M'!D67-G67,'180M'!F67))</f>
        <v>-1482861</v>
      </c>
      <c r="I67" s="60">
        <f t="shared" si="26"/>
        <v>17046450</v>
      </c>
      <c r="J67" s="60">
        <f t="shared" si="27"/>
        <v>1455934142.4979434</v>
      </c>
      <c r="K67" s="203">
        <f>J67/Input!$K$5</f>
        <v>4.8531138083264782</v>
      </c>
      <c r="L67" s="232"/>
      <c r="M67" s="60">
        <f>IF($B67&lt;Input!$H$43,IF($B67&lt;Input!$G$43,IF($B67&lt;Input!$F$43,IF($B67&lt;Input!$E$43,IF($B67&lt;Input!$D$43,Input!$C$49,Input!$D$49),Input!$E$49),Input!$F$49),Input!$G$49),Input!$H$49)</f>
        <v>18940500</v>
      </c>
      <c r="N67" s="190">
        <f>IF($A67&lt;Input!$H$50,IF($A67&lt;Input!$G$50,IF($A67&lt;Input!$F$50,IF($A67&lt;Input!$E$50,IF($A67&lt;Input!$D$50,Input!$C$51,Input!$D$51),Input!$E$51),Input!$F$51),Input!$G$51),Input!$H$51)</f>
        <v>0.9</v>
      </c>
      <c r="O67" s="60">
        <f t="shared" si="44"/>
        <v>17046450</v>
      </c>
      <c r="P67" s="60">
        <f t="shared" si="45"/>
        <v>31</v>
      </c>
      <c r="Q67" s="60">
        <f t="shared" si="4"/>
        <v>1454451281.4979434</v>
      </c>
      <c r="R67" s="60">
        <f>ROUND(Q67*$P67*Input!$C$3/365,0)</f>
        <v>18529311</v>
      </c>
      <c r="S67" s="60">
        <f>IF(A67&lt;=Input!$C$6,0,IF('180M'!O67&lt;'180M'!Q67,'180M'!O67-R67,'180M'!Q67))</f>
        <v>-1482861</v>
      </c>
      <c r="T67" s="60">
        <f t="shared" si="5"/>
        <v>17046450</v>
      </c>
      <c r="U67" s="60">
        <f t="shared" si="6"/>
        <v>1455934142.4979434</v>
      </c>
      <c r="V67" s="193"/>
      <c r="W67" s="169">
        <v>63</v>
      </c>
      <c r="X67" s="1">
        <f t="shared" si="28"/>
        <v>47437</v>
      </c>
      <c r="Y67" s="60">
        <f>IF($X67&lt;Input!$H$58,IF($X67&lt;Input!$G$58,IF($X67&lt;Input!$F$58,IF($X67&lt;Input!$E$58,IF($X67&lt;Input!$D$58,Input!$C$64,Input!$D$64),Input!$E$64),Input!$F$64),Input!$G$64),Input!$H$64)</f>
        <v>0</v>
      </c>
      <c r="Z67" s="190">
        <f>IF($A67&lt;Input!$H$65,IF($A67&lt;Input!$G$65,IF($A67&lt;Input!$F$65,IF($A67&lt;Input!$E$65,IF($A67&lt;Input!$D$65,Input!$C$66,Input!$D$66),Input!$E$66),Input!$F$66),Input!$G$66),Input!$H$66)</f>
        <v>0.9</v>
      </c>
      <c r="AA67" s="60">
        <f t="shared" si="7"/>
        <v>0</v>
      </c>
      <c r="AB67" s="60">
        <f t="shared" si="29"/>
        <v>31</v>
      </c>
      <c r="AC67" s="60">
        <f t="shared" si="8"/>
        <v>0</v>
      </c>
      <c r="AD67" s="60">
        <f>ROUND(AC67*AB67*Input!$C$3/365,0)</f>
        <v>0</v>
      </c>
      <c r="AE67" s="61">
        <f>IF($A67&lt;=Input!$C$6,0,IF('180M'!AA67&lt;'180M'!AC67,'180M'!AA67-AD67,'180M'!AC67))</f>
        <v>0</v>
      </c>
      <c r="AF67" s="61">
        <f t="shared" si="9"/>
        <v>0</v>
      </c>
      <c r="AG67" s="60">
        <f t="shared" si="10"/>
        <v>0</v>
      </c>
      <c r="AH67" s="193"/>
      <c r="AI67" s="169">
        <v>63</v>
      </c>
      <c r="AJ67" s="1">
        <f t="shared" si="30"/>
        <v>47437</v>
      </c>
      <c r="AK67" s="60">
        <f>IF($X67&lt;Input!$H$73,IF($X67&lt;Input!$G$73,IF($X67&lt;Input!$F$73,IF($X67&lt;Input!$E$73,IF($X67&lt;Input!$D$73,Input!$C$79,Input!$D$79),Input!$E$79),Input!$F$79),Input!$G$79),Input!$H$79)</f>
        <v>0</v>
      </c>
      <c r="AL67" s="190">
        <f>IF($A67&lt;Input!$H$80,IF($A67&lt;Input!$G$80,IF($A67&lt;Input!$F$80,IF($A67&lt;Input!$E$80,IF($A67&lt;Input!$D$80,Input!$C$81,Input!$D$81),Input!$E$81),Input!$F$81),Input!$G$81),Input!$H$81)</f>
        <v>0.9</v>
      </c>
      <c r="AM67" s="60">
        <f t="shared" si="31"/>
        <v>0</v>
      </c>
      <c r="AN67" s="60">
        <f t="shared" si="32"/>
        <v>31</v>
      </c>
      <c r="AO67" s="60">
        <f t="shared" si="33"/>
        <v>0</v>
      </c>
      <c r="AP67" s="60">
        <f>ROUND(AO67*AN67*Input!$C$3/365,0)</f>
        <v>0</v>
      </c>
      <c r="AQ67" s="61">
        <f>IF($A67&lt;=Input!$C$6,0,IF('180M'!AM67&lt;'180M'!AO67,'180M'!AM67-AP67,'180M'!AO67))</f>
        <v>0</v>
      </c>
      <c r="AR67" s="61">
        <f t="shared" si="34"/>
        <v>0</v>
      </c>
      <c r="AS67" s="60">
        <f t="shared" si="35"/>
        <v>0</v>
      </c>
      <c r="AT67" s="193"/>
      <c r="AU67" s="169">
        <v>63</v>
      </c>
      <c r="AV67" s="1">
        <f t="shared" si="36"/>
        <v>47437</v>
      </c>
      <c r="AW67" s="60">
        <f>IF($X67&lt;Input!$H$88,IF($X67&lt;Input!$G$88,IF($X67&lt;Input!$F$88,IF($X67&lt;Input!$E$88,IF($X67&lt;Input!$D$88,Input!$C$94,Input!$D$94),Input!$E$94),Input!$F$94),Input!$G$94),Input!$H$94)</f>
        <v>0</v>
      </c>
      <c r="AX67" s="190">
        <f>IF($A67&lt;Input!$H$95,IF($A67&lt;Input!$G$95,IF($A67&lt;Input!$F$95,IF($A67&lt;Input!$E$95,IF($A67&lt;Input!$D$95,Input!$C$96,Input!$D$96),Input!$E$96),Input!$F$96),Input!$G$96),Input!$H$96)</f>
        <v>0.9</v>
      </c>
      <c r="AY67" s="60">
        <f t="shared" si="37"/>
        <v>0</v>
      </c>
      <c r="AZ67" s="60">
        <f t="shared" si="38"/>
        <v>31</v>
      </c>
      <c r="BA67" s="60">
        <f t="shared" si="39"/>
        <v>0</v>
      </c>
      <c r="BB67" s="60">
        <f>ROUND(BA67*AZ67*Input!$C$3/365,0)</f>
        <v>0</v>
      </c>
      <c r="BC67" s="61">
        <f>IF($A67&lt;=Input!$C$6,0,IF('180M'!AY67&lt;'180M'!BA67,'180M'!AY67-BB67,'180M'!BA67))</f>
        <v>0</v>
      </c>
      <c r="BD67" s="61">
        <f t="shared" si="40"/>
        <v>0</v>
      </c>
      <c r="BE67" s="60">
        <f t="shared" si="41"/>
        <v>0</v>
      </c>
      <c r="BF67" s="193"/>
      <c r="BG67" s="169">
        <v>63</v>
      </c>
      <c r="BH67" s="1">
        <f t="shared" si="42"/>
        <v>47437</v>
      </c>
      <c r="BI67" s="60">
        <f>IF($X67&lt;Input!$H$103,IF($X67&lt;Input!$G$103,IF($X67&lt;Input!$F$103,IF($X67&lt;Input!$E$103,IF($X67&lt;Input!$D$103,Input!$C$109,Input!$D$109),Input!$E$109),Input!$F$109),Input!$G$109),Input!$H$109)</f>
        <v>0</v>
      </c>
      <c r="BJ67" s="190">
        <f>IF($A67&lt;Input!$H$110,IF($A67&lt;Input!$G$110,IF($A67&lt;Input!$F$110,IF($A67&lt;Input!$E$110,IF($A67&lt;Input!$D$110,Input!$C$111,Input!$D$111),Input!$E$111),Input!$F$111),Input!$G$111),Input!$H$111)</f>
        <v>0.9</v>
      </c>
      <c r="BK67" s="60">
        <f t="shared" si="19"/>
        <v>0</v>
      </c>
      <c r="BL67" s="60">
        <f t="shared" si="43"/>
        <v>31</v>
      </c>
      <c r="BM67" s="60">
        <f t="shared" si="20"/>
        <v>0</v>
      </c>
      <c r="BN67" s="60">
        <f>ROUND(BM67*BL67*Input!$C$3/365,0)</f>
        <v>0</v>
      </c>
      <c r="BO67" s="61">
        <f>IF($A67&lt;=Input!$C$6,0,IF('180M'!BK67&lt;'180M'!BM67,'180M'!BK67-BN67,'180M'!BM67))</f>
        <v>0</v>
      </c>
      <c r="BP67" s="61">
        <f t="shared" si="21"/>
        <v>0</v>
      </c>
      <c r="BQ67" s="60">
        <f t="shared" si="22"/>
        <v>0</v>
      </c>
      <c r="BR67" s="198"/>
    </row>
    <row r="68" spans="1:70" x14ac:dyDescent="0.25">
      <c r="A68" s="169">
        <v>64</v>
      </c>
      <c r="B68" s="1">
        <f t="shared" si="23"/>
        <v>47467</v>
      </c>
      <c r="C68" s="60">
        <f t="shared" si="1"/>
        <v>18940500</v>
      </c>
      <c r="D68" s="60">
        <f t="shared" si="2"/>
        <v>17046450</v>
      </c>
      <c r="E68" s="60">
        <f t="shared" si="24"/>
        <v>30</v>
      </c>
      <c r="F68" s="60">
        <f t="shared" si="25"/>
        <v>1455934142.4979434</v>
      </c>
      <c r="G68" s="60">
        <f>ROUND(F68*E68*Input!$C$3/365,0)</f>
        <v>17949873</v>
      </c>
      <c r="H68" s="60">
        <f>IF($A68&lt;=Input!$C$6,0,IF('180M'!D68&lt;'180M'!F68,'180M'!D68-G68,'180M'!F68))</f>
        <v>-903423</v>
      </c>
      <c r="I68" s="60">
        <f t="shared" si="26"/>
        <v>17046450</v>
      </c>
      <c r="J68" s="60">
        <f t="shared" si="27"/>
        <v>1456837565.4979434</v>
      </c>
      <c r="K68" s="203">
        <f>J68/Input!$K$5</f>
        <v>4.8561252183264783</v>
      </c>
      <c r="L68" s="232"/>
      <c r="M68" s="60">
        <f>IF($B68&lt;Input!$H$43,IF($B68&lt;Input!$G$43,IF($B68&lt;Input!$F$43,IF($B68&lt;Input!$E$43,IF($B68&lt;Input!$D$43,Input!$C$49,Input!$D$49),Input!$E$49),Input!$F$49),Input!$G$49),Input!$H$49)</f>
        <v>18940500</v>
      </c>
      <c r="N68" s="190">
        <f>IF($A68&lt;Input!$H$50,IF($A68&lt;Input!$G$50,IF($A68&lt;Input!$F$50,IF($A68&lt;Input!$E$50,IF($A68&lt;Input!$D$50,Input!$C$51,Input!$D$51),Input!$E$51),Input!$F$51),Input!$G$51),Input!$H$51)</f>
        <v>0.9</v>
      </c>
      <c r="O68" s="60">
        <f t="shared" ref="O68:O99" si="46">M68*N68</f>
        <v>17046450</v>
      </c>
      <c r="P68" s="60">
        <f t="shared" si="45"/>
        <v>30</v>
      </c>
      <c r="Q68" s="60">
        <f t="shared" si="4"/>
        <v>1455934142.4979434</v>
      </c>
      <c r="R68" s="60">
        <f>ROUND(Q68*$P68*Input!$C$3/365,0)</f>
        <v>17949873</v>
      </c>
      <c r="S68" s="60">
        <f>IF(A68&lt;=Input!$C$6,0,IF('180M'!O68&lt;'180M'!Q68,'180M'!O68-R68,'180M'!Q68))</f>
        <v>-903423</v>
      </c>
      <c r="T68" s="60">
        <f t="shared" si="5"/>
        <v>17046450</v>
      </c>
      <c r="U68" s="60">
        <f t="shared" si="6"/>
        <v>1456837565.4979434</v>
      </c>
      <c r="V68" s="193"/>
      <c r="W68" s="169">
        <v>64</v>
      </c>
      <c r="X68" s="1">
        <f t="shared" si="28"/>
        <v>47467</v>
      </c>
      <c r="Y68" s="60">
        <f>IF($X68&lt;Input!$H$58,IF($X68&lt;Input!$G$58,IF($X68&lt;Input!$F$58,IF($X68&lt;Input!$E$58,IF($X68&lt;Input!$D$58,Input!$C$64,Input!$D$64),Input!$E$64),Input!$F$64),Input!$G$64),Input!$H$64)</f>
        <v>0</v>
      </c>
      <c r="Z68" s="190">
        <f>IF($A68&lt;Input!$H$65,IF($A68&lt;Input!$G$65,IF($A68&lt;Input!$F$65,IF($A68&lt;Input!$E$65,IF($A68&lt;Input!$D$65,Input!$C$66,Input!$D$66),Input!$E$66),Input!$F$66),Input!$G$66),Input!$H$66)</f>
        <v>0.9</v>
      </c>
      <c r="AA68" s="60">
        <f t="shared" si="7"/>
        <v>0</v>
      </c>
      <c r="AB68" s="60">
        <f t="shared" si="29"/>
        <v>30</v>
      </c>
      <c r="AC68" s="60">
        <f t="shared" si="8"/>
        <v>0</v>
      </c>
      <c r="AD68" s="60">
        <f>ROUND(AC68*AB68*Input!$C$3/365,0)</f>
        <v>0</v>
      </c>
      <c r="AE68" s="61">
        <f>IF($A68&lt;=Input!$C$6,0,IF('180M'!AA68&lt;'180M'!AC68,'180M'!AA68-AD68,'180M'!AC68))</f>
        <v>0</v>
      </c>
      <c r="AF68" s="61">
        <f t="shared" si="9"/>
        <v>0</v>
      </c>
      <c r="AG68" s="60">
        <f t="shared" si="10"/>
        <v>0</v>
      </c>
      <c r="AH68" s="193"/>
      <c r="AI68" s="169">
        <v>64</v>
      </c>
      <c r="AJ68" s="1">
        <f t="shared" si="30"/>
        <v>47467</v>
      </c>
      <c r="AK68" s="60">
        <f>IF($X68&lt;Input!$H$73,IF($X68&lt;Input!$G$73,IF($X68&lt;Input!$F$73,IF($X68&lt;Input!$E$73,IF($X68&lt;Input!$D$73,Input!$C$79,Input!$D$79),Input!$E$79),Input!$F$79),Input!$G$79),Input!$H$79)</f>
        <v>0</v>
      </c>
      <c r="AL68" s="190">
        <f>IF($A68&lt;Input!$H$80,IF($A68&lt;Input!$G$80,IF($A68&lt;Input!$F$80,IF($A68&lt;Input!$E$80,IF($A68&lt;Input!$D$80,Input!$C$81,Input!$D$81),Input!$E$81),Input!$F$81),Input!$G$81),Input!$H$81)</f>
        <v>0.9</v>
      </c>
      <c r="AM68" s="60">
        <f t="shared" si="31"/>
        <v>0</v>
      </c>
      <c r="AN68" s="60">
        <f t="shared" si="32"/>
        <v>30</v>
      </c>
      <c r="AO68" s="60">
        <f t="shared" si="33"/>
        <v>0</v>
      </c>
      <c r="AP68" s="60">
        <f>ROUND(AO68*AN68*Input!$C$3/365,0)</f>
        <v>0</v>
      </c>
      <c r="AQ68" s="61">
        <f>IF($A68&lt;=Input!$C$6,0,IF('180M'!AM68&lt;'180M'!AO68,'180M'!AM68-AP68,'180M'!AO68))</f>
        <v>0</v>
      </c>
      <c r="AR68" s="61">
        <f t="shared" si="34"/>
        <v>0</v>
      </c>
      <c r="AS68" s="60">
        <f t="shared" si="35"/>
        <v>0</v>
      </c>
      <c r="AT68" s="193"/>
      <c r="AU68" s="169">
        <v>64</v>
      </c>
      <c r="AV68" s="1">
        <f t="shared" si="36"/>
        <v>47467</v>
      </c>
      <c r="AW68" s="60">
        <f>IF($X68&lt;Input!$H$88,IF($X68&lt;Input!$G$88,IF($X68&lt;Input!$F$88,IF($X68&lt;Input!$E$88,IF($X68&lt;Input!$D$88,Input!$C$94,Input!$D$94),Input!$E$94),Input!$F$94),Input!$G$94),Input!$H$94)</f>
        <v>0</v>
      </c>
      <c r="AX68" s="190">
        <f>IF($A68&lt;Input!$H$95,IF($A68&lt;Input!$G$95,IF($A68&lt;Input!$F$95,IF($A68&lt;Input!$E$95,IF($A68&lt;Input!$D$95,Input!$C$96,Input!$D$96),Input!$E$96),Input!$F$96),Input!$G$96),Input!$H$96)</f>
        <v>0.9</v>
      </c>
      <c r="AY68" s="60">
        <f t="shared" si="37"/>
        <v>0</v>
      </c>
      <c r="AZ68" s="60">
        <f t="shared" si="38"/>
        <v>30</v>
      </c>
      <c r="BA68" s="60">
        <f t="shared" si="39"/>
        <v>0</v>
      </c>
      <c r="BB68" s="60">
        <f>ROUND(BA68*AZ68*Input!$C$3/365,0)</f>
        <v>0</v>
      </c>
      <c r="BC68" s="61">
        <f>IF($A68&lt;=Input!$C$6,0,IF('180M'!AY68&lt;'180M'!BA68,'180M'!AY68-BB68,'180M'!BA68))</f>
        <v>0</v>
      </c>
      <c r="BD68" s="61">
        <f t="shared" si="40"/>
        <v>0</v>
      </c>
      <c r="BE68" s="60">
        <f t="shared" si="41"/>
        <v>0</v>
      </c>
      <c r="BF68" s="193"/>
      <c r="BG68" s="169">
        <v>64</v>
      </c>
      <c r="BH68" s="1">
        <f t="shared" si="42"/>
        <v>47467</v>
      </c>
      <c r="BI68" s="60">
        <f>IF($X68&lt;Input!$H$103,IF($X68&lt;Input!$G$103,IF($X68&lt;Input!$F$103,IF($X68&lt;Input!$E$103,IF($X68&lt;Input!$D$103,Input!$C$109,Input!$D$109),Input!$E$109),Input!$F$109),Input!$G$109),Input!$H$109)</f>
        <v>0</v>
      </c>
      <c r="BJ68" s="190">
        <f>IF($A68&lt;Input!$H$110,IF($A68&lt;Input!$G$110,IF($A68&lt;Input!$F$110,IF($A68&lt;Input!$E$110,IF($A68&lt;Input!$D$110,Input!$C$111,Input!$D$111),Input!$E$111),Input!$F$111),Input!$G$111),Input!$H$111)</f>
        <v>0.9</v>
      </c>
      <c r="BK68" s="60">
        <f t="shared" si="19"/>
        <v>0</v>
      </c>
      <c r="BL68" s="60">
        <f t="shared" si="43"/>
        <v>30</v>
      </c>
      <c r="BM68" s="60">
        <f t="shared" si="20"/>
        <v>0</v>
      </c>
      <c r="BN68" s="60">
        <f>ROUND(BM68*BL68*Input!$C$3/365,0)</f>
        <v>0</v>
      </c>
      <c r="BO68" s="61">
        <f>IF($A68&lt;=Input!$C$6,0,IF('180M'!BK68&lt;'180M'!BM68,'180M'!BK68-BN68,'180M'!BM68))</f>
        <v>0</v>
      </c>
      <c r="BP68" s="61">
        <f t="shared" si="21"/>
        <v>0</v>
      </c>
      <c r="BQ68" s="60">
        <f t="shared" si="22"/>
        <v>0</v>
      </c>
      <c r="BR68" s="198"/>
    </row>
    <row r="69" spans="1:70" x14ac:dyDescent="0.25">
      <c r="A69" s="169">
        <v>65</v>
      </c>
      <c r="B69" s="1">
        <f t="shared" si="23"/>
        <v>47498</v>
      </c>
      <c r="C69" s="60">
        <f t="shared" ref="C69:C132" si="47">M69+Y69+AK69+AW69+BI69</f>
        <v>18940500</v>
      </c>
      <c r="D69" s="60">
        <f t="shared" ref="D69:D132" si="48">O69+AA69+AM69+AY69+BK69</f>
        <v>17046450</v>
      </c>
      <c r="E69" s="60">
        <f t="shared" si="24"/>
        <v>31</v>
      </c>
      <c r="F69" s="60">
        <f t="shared" si="25"/>
        <v>1456837565.4979434</v>
      </c>
      <c r="G69" s="60">
        <f>ROUND(F69*E69*Input!$C$3/365,0)</f>
        <v>18559711</v>
      </c>
      <c r="H69" s="60">
        <f>IF($A69&lt;=Input!$C$6,0,IF('180M'!D69&lt;'180M'!F69,'180M'!D69-G69,'180M'!F69))</f>
        <v>-1513261</v>
      </c>
      <c r="I69" s="60">
        <f t="shared" si="26"/>
        <v>17046450</v>
      </c>
      <c r="J69" s="60">
        <f t="shared" si="27"/>
        <v>1458350826.4979434</v>
      </c>
      <c r="K69" s="203">
        <f>J69/Input!$K$5</f>
        <v>4.8611694216598114</v>
      </c>
      <c r="L69" s="232"/>
      <c r="M69" s="60">
        <f>IF($B69&lt;Input!$H$43,IF($B69&lt;Input!$G$43,IF($B69&lt;Input!$F$43,IF($B69&lt;Input!$E$43,IF($B69&lt;Input!$D$43,Input!$C$49,Input!$D$49),Input!$E$49),Input!$F$49),Input!$G$49),Input!$H$49)</f>
        <v>18940500</v>
      </c>
      <c r="N69" s="190">
        <f>IF($A69&lt;Input!$H$50,IF($A69&lt;Input!$G$50,IF($A69&lt;Input!$F$50,IF($A69&lt;Input!$E$50,IF($A69&lt;Input!$D$50,Input!$C$51,Input!$D$51),Input!$E$51),Input!$F$51),Input!$G$51),Input!$H$51)</f>
        <v>0.9</v>
      </c>
      <c r="O69" s="60">
        <f t="shared" si="46"/>
        <v>17046450</v>
      </c>
      <c r="P69" s="60">
        <f t="shared" ref="P69:P100" si="49">B69-B68</f>
        <v>31</v>
      </c>
      <c r="Q69" s="60">
        <f t="shared" ref="Q69:Q132" si="50">U68</f>
        <v>1456837565.4979434</v>
      </c>
      <c r="R69" s="60">
        <f>ROUND(Q69*$P69*Input!$C$3/365,0)</f>
        <v>18559711</v>
      </c>
      <c r="S69" s="60">
        <f>IF(A69&lt;=Input!$C$6,0,IF('180M'!O69&lt;'180M'!Q69,'180M'!O69-R69,'180M'!Q69))</f>
        <v>-1513261</v>
      </c>
      <c r="T69" s="60">
        <f t="shared" ref="T69:T132" si="51">R69+S69</f>
        <v>17046450</v>
      </c>
      <c r="U69" s="60">
        <f t="shared" ref="U69:U132" si="52">U68-S69</f>
        <v>1458350826.4979434</v>
      </c>
      <c r="V69" s="193"/>
      <c r="W69" s="169">
        <v>65</v>
      </c>
      <c r="X69" s="1">
        <f t="shared" si="28"/>
        <v>47498</v>
      </c>
      <c r="Y69" s="60">
        <f>IF($X69&lt;Input!$H$58,IF($X69&lt;Input!$G$58,IF($X69&lt;Input!$F$58,IF($X69&lt;Input!$E$58,IF($X69&lt;Input!$D$58,Input!$C$64,Input!$D$64),Input!$E$64),Input!$F$64),Input!$G$64),Input!$H$64)</f>
        <v>0</v>
      </c>
      <c r="Z69" s="190">
        <f>IF($A69&lt;Input!$H$65,IF($A69&lt;Input!$G$65,IF($A69&lt;Input!$F$65,IF($A69&lt;Input!$E$65,IF($A69&lt;Input!$D$65,Input!$C$66,Input!$D$66),Input!$E$66),Input!$F$66),Input!$G$66),Input!$H$66)</f>
        <v>0.9</v>
      </c>
      <c r="AA69" s="60">
        <f t="shared" ref="AA69:AA132" si="53">Y69*Z69</f>
        <v>0</v>
      </c>
      <c r="AB69" s="60">
        <f t="shared" si="29"/>
        <v>31</v>
      </c>
      <c r="AC69" s="60">
        <f t="shared" ref="AC69:AC132" si="54">AG68</f>
        <v>0</v>
      </c>
      <c r="AD69" s="60">
        <f>ROUND(AC69*AB69*Input!$C$3/365,0)</f>
        <v>0</v>
      </c>
      <c r="AE69" s="61">
        <f>IF($A69&lt;=Input!$C$6,0,IF('180M'!AA69&lt;'180M'!AC69,'180M'!AA69-AD69,'180M'!AC69))</f>
        <v>0</v>
      </c>
      <c r="AF69" s="61">
        <f t="shared" ref="AF69:AF132" si="55">AD69+AE69</f>
        <v>0</v>
      </c>
      <c r="AG69" s="60">
        <f t="shared" ref="AG69:AG132" si="56">AG68-AE69</f>
        <v>0</v>
      </c>
      <c r="AH69" s="193"/>
      <c r="AI69" s="169">
        <v>65</v>
      </c>
      <c r="AJ69" s="1">
        <f t="shared" si="30"/>
        <v>47498</v>
      </c>
      <c r="AK69" s="60">
        <f>IF($X69&lt;Input!$H$73,IF($X69&lt;Input!$G$73,IF($X69&lt;Input!$F$73,IF($X69&lt;Input!$E$73,IF($X69&lt;Input!$D$73,Input!$C$79,Input!$D$79),Input!$E$79),Input!$F$79),Input!$G$79),Input!$H$79)</f>
        <v>0</v>
      </c>
      <c r="AL69" s="190">
        <f>IF($A69&lt;Input!$H$80,IF($A69&lt;Input!$G$80,IF($A69&lt;Input!$F$80,IF($A69&lt;Input!$E$80,IF($A69&lt;Input!$D$80,Input!$C$81,Input!$D$81),Input!$E$81),Input!$F$81),Input!$G$81),Input!$H$81)</f>
        <v>0.9</v>
      </c>
      <c r="AM69" s="60">
        <f t="shared" si="31"/>
        <v>0</v>
      </c>
      <c r="AN69" s="60">
        <f t="shared" si="32"/>
        <v>31</v>
      </c>
      <c r="AO69" s="60">
        <f t="shared" si="33"/>
        <v>0</v>
      </c>
      <c r="AP69" s="60">
        <f>ROUND(AO69*AN69*Input!$C$3/365,0)</f>
        <v>0</v>
      </c>
      <c r="AQ69" s="61">
        <f>IF($A69&lt;=Input!$C$6,0,IF('180M'!AM69&lt;'180M'!AO69,'180M'!AM69-AP69,'180M'!AO69))</f>
        <v>0</v>
      </c>
      <c r="AR69" s="61">
        <f t="shared" si="34"/>
        <v>0</v>
      </c>
      <c r="AS69" s="60">
        <f t="shared" si="35"/>
        <v>0</v>
      </c>
      <c r="AT69" s="193"/>
      <c r="AU69" s="169">
        <v>65</v>
      </c>
      <c r="AV69" s="1">
        <f t="shared" si="36"/>
        <v>47498</v>
      </c>
      <c r="AW69" s="60">
        <f>IF($X69&lt;Input!$H$88,IF($X69&lt;Input!$G$88,IF($X69&lt;Input!$F$88,IF($X69&lt;Input!$E$88,IF($X69&lt;Input!$D$88,Input!$C$94,Input!$D$94),Input!$E$94),Input!$F$94),Input!$G$94),Input!$H$94)</f>
        <v>0</v>
      </c>
      <c r="AX69" s="190">
        <f>IF($A69&lt;Input!$H$95,IF($A69&lt;Input!$G$95,IF($A69&lt;Input!$F$95,IF($A69&lt;Input!$E$95,IF($A69&lt;Input!$D$95,Input!$C$96,Input!$D$96),Input!$E$96),Input!$F$96),Input!$G$96),Input!$H$96)</f>
        <v>0.9</v>
      </c>
      <c r="AY69" s="60">
        <f t="shared" si="37"/>
        <v>0</v>
      </c>
      <c r="AZ69" s="60">
        <f t="shared" si="38"/>
        <v>31</v>
      </c>
      <c r="BA69" s="60">
        <f t="shared" si="39"/>
        <v>0</v>
      </c>
      <c r="BB69" s="60">
        <f>ROUND(BA69*AZ69*Input!$C$3/365,0)</f>
        <v>0</v>
      </c>
      <c r="BC69" s="61">
        <f>IF($A69&lt;=Input!$C$6,0,IF('180M'!AY69&lt;'180M'!BA69,'180M'!AY69-BB69,'180M'!BA69))</f>
        <v>0</v>
      </c>
      <c r="BD69" s="61">
        <f t="shared" si="40"/>
        <v>0</v>
      </c>
      <c r="BE69" s="60">
        <f t="shared" si="41"/>
        <v>0</v>
      </c>
      <c r="BF69" s="193"/>
      <c r="BG69" s="169">
        <v>65</v>
      </c>
      <c r="BH69" s="1">
        <f t="shared" si="42"/>
        <v>47498</v>
      </c>
      <c r="BI69" s="60">
        <f>IF($X69&lt;Input!$H$103,IF($X69&lt;Input!$G$103,IF($X69&lt;Input!$F$103,IF($X69&lt;Input!$E$103,IF($X69&lt;Input!$D$103,Input!$C$109,Input!$D$109),Input!$E$109),Input!$F$109),Input!$G$109),Input!$H$109)</f>
        <v>0</v>
      </c>
      <c r="BJ69" s="190">
        <f>IF($A69&lt;Input!$H$110,IF($A69&lt;Input!$G$110,IF($A69&lt;Input!$F$110,IF($A69&lt;Input!$E$110,IF($A69&lt;Input!$D$110,Input!$C$111,Input!$D$111),Input!$E$111),Input!$F$111),Input!$G$111),Input!$H$111)</f>
        <v>0.9</v>
      </c>
      <c r="BK69" s="60">
        <f t="shared" ref="BK69:BK132" si="57">BI69*BJ69</f>
        <v>0</v>
      </c>
      <c r="BL69" s="60">
        <f t="shared" si="43"/>
        <v>31</v>
      </c>
      <c r="BM69" s="60">
        <f t="shared" ref="BM69:BM132" si="58">BQ68</f>
        <v>0</v>
      </c>
      <c r="BN69" s="60">
        <f>ROUND(BM69*BL69*Input!$C$3/365,0)</f>
        <v>0</v>
      </c>
      <c r="BO69" s="61">
        <f>IF($A69&lt;=Input!$C$6,0,IF('180M'!BK69&lt;'180M'!BM69,'180M'!BK69-BN69,'180M'!BM69))</f>
        <v>0</v>
      </c>
      <c r="BP69" s="61">
        <f t="shared" ref="BP69:BP132" si="59">BN69+BO69</f>
        <v>0</v>
      </c>
      <c r="BQ69" s="60">
        <f t="shared" ref="BQ69:BQ132" si="60">BQ68-BO69</f>
        <v>0</v>
      </c>
      <c r="BR69" s="198"/>
    </row>
    <row r="70" spans="1:70" x14ac:dyDescent="0.25">
      <c r="A70" s="169">
        <v>66</v>
      </c>
      <c r="B70" s="1">
        <f t="shared" ref="B70:B133" si="61">EDATE(B69,1)</f>
        <v>47529</v>
      </c>
      <c r="C70" s="60">
        <f t="shared" si="47"/>
        <v>18940500</v>
      </c>
      <c r="D70" s="60">
        <f t="shared" si="48"/>
        <v>17046450</v>
      </c>
      <c r="E70" s="60">
        <f t="shared" ref="E70:E133" si="62">B70-B69</f>
        <v>31</v>
      </c>
      <c r="F70" s="60">
        <f t="shared" ref="F70:F133" si="63">J69</f>
        <v>1458350826.4979434</v>
      </c>
      <c r="G70" s="60">
        <f>ROUND(F70*E70*Input!$C$3/365,0)</f>
        <v>18578990</v>
      </c>
      <c r="H70" s="60">
        <f>IF($A70&lt;=Input!$C$6,0,IF('180M'!D70&lt;'180M'!F70,'180M'!D70-G70,'180M'!F70))</f>
        <v>-1532540</v>
      </c>
      <c r="I70" s="60">
        <f t="shared" ref="I70:I133" si="64">G70+H70</f>
        <v>17046450</v>
      </c>
      <c r="J70" s="60">
        <f t="shared" ref="J70:J133" si="65">J69-H70</f>
        <v>1459883366.4979434</v>
      </c>
      <c r="K70" s="203">
        <f>J70/Input!$K$5</f>
        <v>4.8662778883264783</v>
      </c>
      <c r="L70" s="232"/>
      <c r="M70" s="60">
        <f>IF($B70&lt;Input!$H$43,IF($B70&lt;Input!$G$43,IF($B70&lt;Input!$F$43,IF($B70&lt;Input!$E$43,IF($B70&lt;Input!$D$43,Input!$C$49,Input!$D$49),Input!$E$49),Input!$F$49),Input!$G$49),Input!$H$49)</f>
        <v>18940500</v>
      </c>
      <c r="N70" s="190">
        <f>IF($A70&lt;Input!$H$50,IF($A70&lt;Input!$G$50,IF($A70&lt;Input!$F$50,IF($A70&lt;Input!$E$50,IF($A70&lt;Input!$D$50,Input!$C$51,Input!$D$51),Input!$E$51),Input!$F$51),Input!$G$51),Input!$H$51)</f>
        <v>0.9</v>
      </c>
      <c r="O70" s="60">
        <f t="shared" si="46"/>
        <v>17046450</v>
      </c>
      <c r="P70" s="60">
        <f t="shared" si="49"/>
        <v>31</v>
      </c>
      <c r="Q70" s="60">
        <f t="shared" si="50"/>
        <v>1458350826.4979434</v>
      </c>
      <c r="R70" s="60">
        <f>ROUND(Q70*$P70*Input!$C$3/365,0)</f>
        <v>18578990</v>
      </c>
      <c r="S70" s="60">
        <f>IF(A70&lt;=Input!$C$6,0,IF('180M'!O70&lt;'180M'!Q70,'180M'!O70-R70,'180M'!Q70))</f>
        <v>-1532540</v>
      </c>
      <c r="T70" s="60">
        <f t="shared" si="51"/>
        <v>17046450</v>
      </c>
      <c r="U70" s="60">
        <f t="shared" si="52"/>
        <v>1459883366.4979434</v>
      </c>
      <c r="V70" s="193"/>
      <c r="W70" s="169">
        <v>66</v>
      </c>
      <c r="X70" s="1">
        <f t="shared" ref="X70:X133" si="66">EDATE(X69,1)</f>
        <v>47529</v>
      </c>
      <c r="Y70" s="60">
        <f>IF($X70&lt;Input!$H$58,IF($X70&lt;Input!$G$58,IF($X70&lt;Input!$F$58,IF($X70&lt;Input!$E$58,IF($X70&lt;Input!$D$58,Input!$C$64,Input!$D$64),Input!$E$64),Input!$F$64),Input!$G$64),Input!$H$64)</f>
        <v>0</v>
      </c>
      <c r="Z70" s="190">
        <f>IF($A70&lt;Input!$H$65,IF($A70&lt;Input!$G$65,IF($A70&lt;Input!$F$65,IF($A70&lt;Input!$E$65,IF($A70&lt;Input!$D$65,Input!$C$66,Input!$D$66),Input!$E$66),Input!$F$66),Input!$G$66),Input!$H$66)</f>
        <v>0.9</v>
      </c>
      <c r="AA70" s="60">
        <f t="shared" si="53"/>
        <v>0</v>
      </c>
      <c r="AB70" s="60">
        <f t="shared" ref="AB70:AB133" si="67">X70-X69</f>
        <v>31</v>
      </c>
      <c r="AC70" s="60">
        <f t="shared" si="54"/>
        <v>0</v>
      </c>
      <c r="AD70" s="60">
        <f>ROUND(AC70*AB70*Input!$C$3/365,0)</f>
        <v>0</v>
      </c>
      <c r="AE70" s="61">
        <f>IF($A70&lt;=Input!$C$6,0,IF('180M'!AA70&lt;'180M'!AC70,'180M'!AA70-AD70,'180M'!AC70))</f>
        <v>0</v>
      </c>
      <c r="AF70" s="61">
        <f t="shared" si="55"/>
        <v>0</v>
      </c>
      <c r="AG70" s="60">
        <f t="shared" si="56"/>
        <v>0</v>
      </c>
      <c r="AH70" s="193"/>
      <c r="AI70" s="169">
        <v>66</v>
      </c>
      <c r="AJ70" s="1">
        <f t="shared" ref="AJ70:AJ133" si="68">EDATE(AJ69,1)</f>
        <v>47529</v>
      </c>
      <c r="AK70" s="60">
        <f>IF($X70&lt;Input!$H$73,IF($X70&lt;Input!$G$73,IF($X70&lt;Input!$F$73,IF($X70&lt;Input!$E$73,IF($X70&lt;Input!$D$73,Input!$C$79,Input!$D$79),Input!$E$79),Input!$F$79),Input!$G$79),Input!$H$79)</f>
        <v>0</v>
      </c>
      <c r="AL70" s="190">
        <f>IF($A70&lt;Input!$H$80,IF($A70&lt;Input!$G$80,IF($A70&lt;Input!$F$80,IF($A70&lt;Input!$E$80,IF($A70&lt;Input!$D$80,Input!$C$81,Input!$D$81),Input!$E$81),Input!$F$81),Input!$G$81),Input!$H$81)</f>
        <v>0.9</v>
      </c>
      <c r="AM70" s="60">
        <f t="shared" ref="AM70:AM133" si="69">AK70*AL70</f>
        <v>0</v>
      </c>
      <c r="AN70" s="60">
        <f t="shared" ref="AN70:AN133" si="70">AJ70-AJ69</f>
        <v>31</v>
      </c>
      <c r="AO70" s="60">
        <f t="shared" ref="AO70:AO133" si="71">AS69</f>
        <v>0</v>
      </c>
      <c r="AP70" s="60">
        <f>ROUND(AO70*AN70*Input!$C$3/365,0)</f>
        <v>0</v>
      </c>
      <c r="AQ70" s="61">
        <f>IF($A70&lt;=Input!$C$6,0,IF('180M'!AM70&lt;'180M'!AO70,'180M'!AM70-AP70,'180M'!AO70))</f>
        <v>0</v>
      </c>
      <c r="AR70" s="61">
        <f t="shared" ref="AR70:AR133" si="72">AP70+AQ70</f>
        <v>0</v>
      </c>
      <c r="AS70" s="60">
        <f t="shared" ref="AS70:AS133" si="73">AS69-AQ70</f>
        <v>0</v>
      </c>
      <c r="AT70" s="193"/>
      <c r="AU70" s="169">
        <v>66</v>
      </c>
      <c r="AV70" s="1">
        <f t="shared" ref="AV70:AV133" si="74">EDATE(AV69,1)</f>
        <v>47529</v>
      </c>
      <c r="AW70" s="60">
        <f>IF($X70&lt;Input!$H$88,IF($X70&lt;Input!$G$88,IF($X70&lt;Input!$F$88,IF($X70&lt;Input!$E$88,IF($X70&lt;Input!$D$88,Input!$C$94,Input!$D$94),Input!$E$94),Input!$F$94),Input!$G$94),Input!$H$94)</f>
        <v>0</v>
      </c>
      <c r="AX70" s="190">
        <f>IF($A70&lt;Input!$H$95,IF($A70&lt;Input!$G$95,IF($A70&lt;Input!$F$95,IF($A70&lt;Input!$E$95,IF($A70&lt;Input!$D$95,Input!$C$96,Input!$D$96),Input!$E$96),Input!$F$96),Input!$G$96),Input!$H$96)</f>
        <v>0.9</v>
      </c>
      <c r="AY70" s="60">
        <f t="shared" ref="AY70:AY133" si="75">AW70*AX70</f>
        <v>0</v>
      </c>
      <c r="AZ70" s="60">
        <f t="shared" ref="AZ70:AZ133" si="76">AV70-AV69</f>
        <v>31</v>
      </c>
      <c r="BA70" s="60">
        <f t="shared" ref="BA70:BA133" si="77">BE69</f>
        <v>0</v>
      </c>
      <c r="BB70" s="60">
        <f>ROUND(BA70*AZ70*Input!$C$3/365,0)</f>
        <v>0</v>
      </c>
      <c r="BC70" s="61">
        <f>IF($A70&lt;=Input!$C$6,0,IF('180M'!AY70&lt;'180M'!BA70,'180M'!AY70-BB70,'180M'!BA70))</f>
        <v>0</v>
      </c>
      <c r="BD70" s="61">
        <f t="shared" ref="BD70:BD133" si="78">BB70+BC70</f>
        <v>0</v>
      </c>
      <c r="BE70" s="60">
        <f t="shared" ref="BE70:BE133" si="79">BE69-BC70</f>
        <v>0</v>
      </c>
      <c r="BF70" s="193"/>
      <c r="BG70" s="169">
        <v>66</v>
      </c>
      <c r="BH70" s="1">
        <f t="shared" ref="BH70:BH133" si="80">EDATE(BH69,1)</f>
        <v>47529</v>
      </c>
      <c r="BI70" s="60">
        <f>IF($X70&lt;Input!$H$103,IF($X70&lt;Input!$G$103,IF($X70&lt;Input!$F$103,IF($X70&lt;Input!$E$103,IF($X70&lt;Input!$D$103,Input!$C$109,Input!$D$109),Input!$E$109),Input!$F$109),Input!$G$109),Input!$H$109)</f>
        <v>0</v>
      </c>
      <c r="BJ70" s="190">
        <f>IF($A70&lt;Input!$H$110,IF($A70&lt;Input!$G$110,IF($A70&lt;Input!$F$110,IF($A70&lt;Input!$E$110,IF($A70&lt;Input!$D$110,Input!$C$111,Input!$D$111),Input!$E$111),Input!$F$111),Input!$G$111),Input!$H$111)</f>
        <v>0.9</v>
      </c>
      <c r="BK70" s="60">
        <f t="shared" si="57"/>
        <v>0</v>
      </c>
      <c r="BL70" s="60">
        <f t="shared" ref="BL70:BL133" si="81">BH70-BH69</f>
        <v>31</v>
      </c>
      <c r="BM70" s="60">
        <f t="shared" si="58"/>
        <v>0</v>
      </c>
      <c r="BN70" s="60">
        <f>ROUND(BM70*BL70*Input!$C$3/365,0)</f>
        <v>0</v>
      </c>
      <c r="BO70" s="61">
        <f>IF($A70&lt;=Input!$C$6,0,IF('180M'!BK70&lt;'180M'!BM70,'180M'!BK70-BN70,'180M'!BM70))</f>
        <v>0</v>
      </c>
      <c r="BP70" s="61">
        <f t="shared" si="59"/>
        <v>0</v>
      </c>
      <c r="BQ70" s="60">
        <f t="shared" si="60"/>
        <v>0</v>
      </c>
      <c r="BR70" s="198"/>
    </row>
    <row r="71" spans="1:70" x14ac:dyDescent="0.25">
      <c r="A71" s="169">
        <v>67</v>
      </c>
      <c r="B71" s="1">
        <f t="shared" si="61"/>
        <v>47557</v>
      </c>
      <c r="C71" s="60">
        <f t="shared" si="47"/>
        <v>18940500</v>
      </c>
      <c r="D71" s="60">
        <f t="shared" si="48"/>
        <v>17046450</v>
      </c>
      <c r="E71" s="60">
        <f t="shared" si="62"/>
        <v>28</v>
      </c>
      <c r="F71" s="60">
        <f t="shared" si="63"/>
        <v>1459883366.4979434</v>
      </c>
      <c r="G71" s="60">
        <f>ROUND(F71*E71*Input!$C$3/365,0)</f>
        <v>16798658</v>
      </c>
      <c r="H71" s="60">
        <f>IF($A71&lt;=Input!$C$6,0,IF('180M'!D71&lt;'180M'!F71,'180M'!D71-G71,'180M'!F71))</f>
        <v>247792</v>
      </c>
      <c r="I71" s="60">
        <f t="shared" si="64"/>
        <v>17046450</v>
      </c>
      <c r="J71" s="60">
        <f t="shared" si="65"/>
        <v>1459635574.4979434</v>
      </c>
      <c r="K71" s="203">
        <f>J71/Input!$K$5</f>
        <v>4.8654519149931446</v>
      </c>
      <c r="L71" s="232"/>
      <c r="M71" s="60">
        <f>IF($B71&lt;Input!$H$43,IF($B71&lt;Input!$G$43,IF($B71&lt;Input!$F$43,IF($B71&lt;Input!$E$43,IF($B71&lt;Input!$D$43,Input!$C$49,Input!$D$49),Input!$E$49),Input!$F$49),Input!$G$49),Input!$H$49)</f>
        <v>18940500</v>
      </c>
      <c r="N71" s="190">
        <f>IF($A71&lt;Input!$H$50,IF($A71&lt;Input!$G$50,IF($A71&lt;Input!$F$50,IF($A71&lt;Input!$E$50,IF($A71&lt;Input!$D$50,Input!$C$51,Input!$D$51),Input!$E$51),Input!$F$51),Input!$G$51),Input!$H$51)</f>
        <v>0.9</v>
      </c>
      <c r="O71" s="60">
        <f t="shared" si="46"/>
        <v>17046450</v>
      </c>
      <c r="P71" s="60">
        <f t="shared" si="49"/>
        <v>28</v>
      </c>
      <c r="Q71" s="60">
        <f t="shared" si="50"/>
        <v>1459883366.4979434</v>
      </c>
      <c r="R71" s="60">
        <f>ROUND(Q71*$P71*Input!$C$3/365,0)</f>
        <v>16798658</v>
      </c>
      <c r="S71" s="60">
        <f>IF(A71&lt;=Input!$C$6,0,IF('180M'!O71&lt;'180M'!Q71,'180M'!O71-R71,'180M'!Q71))</f>
        <v>247792</v>
      </c>
      <c r="T71" s="60">
        <f t="shared" si="51"/>
        <v>17046450</v>
      </c>
      <c r="U71" s="60">
        <f t="shared" si="52"/>
        <v>1459635574.4979434</v>
      </c>
      <c r="V71" s="193"/>
      <c r="W71" s="169">
        <v>67</v>
      </c>
      <c r="X71" s="1">
        <f t="shared" si="66"/>
        <v>47557</v>
      </c>
      <c r="Y71" s="60">
        <f>IF($X71&lt;Input!$H$58,IF($X71&lt;Input!$G$58,IF($X71&lt;Input!$F$58,IF($X71&lt;Input!$E$58,IF($X71&lt;Input!$D$58,Input!$C$64,Input!$D$64),Input!$E$64),Input!$F$64),Input!$G$64),Input!$H$64)</f>
        <v>0</v>
      </c>
      <c r="Z71" s="190">
        <f>IF($A71&lt;Input!$H$65,IF($A71&lt;Input!$G$65,IF($A71&lt;Input!$F$65,IF($A71&lt;Input!$E$65,IF($A71&lt;Input!$D$65,Input!$C$66,Input!$D$66),Input!$E$66),Input!$F$66),Input!$G$66),Input!$H$66)</f>
        <v>0.9</v>
      </c>
      <c r="AA71" s="60">
        <f t="shared" si="53"/>
        <v>0</v>
      </c>
      <c r="AB71" s="60">
        <f t="shared" si="67"/>
        <v>28</v>
      </c>
      <c r="AC71" s="60">
        <f t="shared" si="54"/>
        <v>0</v>
      </c>
      <c r="AD71" s="60">
        <f>ROUND(AC71*AB71*Input!$C$3/365,0)</f>
        <v>0</v>
      </c>
      <c r="AE71" s="61">
        <f>IF($A71&lt;=Input!$C$6,0,IF('180M'!AA71&lt;'180M'!AC71,'180M'!AA71-AD71,'180M'!AC71))</f>
        <v>0</v>
      </c>
      <c r="AF71" s="61">
        <f t="shared" si="55"/>
        <v>0</v>
      </c>
      <c r="AG71" s="60">
        <f t="shared" si="56"/>
        <v>0</v>
      </c>
      <c r="AH71" s="193"/>
      <c r="AI71" s="169">
        <v>67</v>
      </c>
      <c r="AJ71" s="1">
        <f t="shared" si="68"/>
        <v>47557</v>
      </c>
      <c r="AK71" s="60">
        <f>IF($X71&lt;Input!$H$73,IF($X71&lt;Input!$G$73,IF($X71&lt;Input!$F$73,IF($X71&lt;Input!$E$73,IF($X71&lt;Input!$D$73,Input!$C$79,Input!$D$79),Input!$E$79),Input!$F$79),Input!$G$79),Input!$H$79)</f>
        <v>0</v>
      </c>
      <c r="AL71" s="190">
        <f>IF($A71&lt;Input!$H$80,IF($A71&lt;Input!$G$80,IF($A71&lt;Input!$F$80,IF($A71&lt;Input!$E$80,IF($A71&lt;Input!$D$80,Input!$C$81,Input!$D$81),Input!$E$81),Input!$F$81),Input!$G$81),Input!$H$81)</f>
        <v>0.9</v>
      </c>
      <c r="AM71" s="60">
        <f t="shared" si="69"/>
        <v>0</v>
      </c>
      <c r="AN71" s="60">
        <f t="shared" si="70"/>
        <v>28</v>
      </c>
      <c r="AO71" s="60">
        <f t="shared" si="71"/>
        <v>0</v>
      </c>
      <c r="AP71" s="60">
        <f>ROUND(AO71*AN71*Input!$C$3/365,0)</f>
        <v>0</v>
      </c>
      <c r="AQ71" s="61">
        <f>IF($A71&lt;=Input!$C$6,0,IF('180M'!AM71&lt;'180M'!AO71,'180M'!AM71-AP71,'180M'!AO71))</f>
        <v>0</v>
      </c>
      <c r="AR71" s="61">
        <f t="shared" si="72"/>
        <v>0</v>
      </c>
      <c r="AS71" s="60">
        <f t="shared" si="73"/>
        <v>0</v>
      </c>
      <c r="AT71" s="193"/>
      <c r="AU71" s="169">
        <v>67</v>
      </c>
      <c r="AV71" s="1">
        <f t="shared" si="74"/>
        <v>47557</v>
      </c>
      <c r="AW71" s="60">
        <f>IF($X71&lt;Input!$H$88,IF($X71&lt;Input!$G$88,IF($X71&lt;Input!$F$88,IF($X71&lt;Input!$E$88,IF($X71&lt;Input!$D$88,Input!$C$94,Input!$D$94),Input!$E$94),Input!$F$94),Input!$G$94),Input!$H$94)</f>
        <v>0</v>
      </c>
      <c r="AX71" s="190">
        <f>IF($A71&lt;Input!$H$95,IF($A71&lt;Input!$G$95,IF($A71&lt;Input!$F$95,IF($A71&lt;Input!$E$95,IF($A71&lt;Input!$D$95,Input!$C$96,Input!$D$96),Input!$E$96),Input!$F$96),Input!$G$96),Input!$H$96)</f>
        <v>0.9</v>
      </c>
      <c r="AY71" s="60">
        <f t="shared" si="75"/>
        <v>0</v>
      </c>
      <c r="AZ71" s="60">
        <f t="shared" si="76"/>
        <v>28</v>
      </c>
      <c r="BA71" s="60">
        <f t="shared" si="77"/>
        <v>0</v>
      </c>
      <c r="BB71" s="60">
        <f>ROUND(BA71*AZ71*Input!$C$3/365,0)</f>
        <v>0</v>
      </c>
      <c r="BC71" s="61">
        <f>IF($A71&lt;=Input!$C$6,0,IF('180M'!AY71&lt;'180M'!BA71,'180M'!AY71-BB71,'180M'!BA71))</f>
        <v>0</v>
      </c>
      <c r="BD71" s="61">
        <f t="shared" si="78"/>
        <v>0</v>
      </c>
      <c r="BE71" s="60">
        <f t="shared" si="79"/>
        <v>0</v>
      </c>
      <c r="BF71" s="193"/>
      <c r="BG71" s="169">
        <v>67</v>
      </c>
      <c r="BH71" s="1">
        <f t="shared" si="80"/>
        <v>47557</v>
      </c>
      <c r="BI71" s="60">
        <f>IF($X71&lt;Input!$H$103,IF($X71&lt;Input!$G$103,IF($X71&lt;Input!$F$103,IF($X71&lt;Input!$E$103,IF($X71&lt;Input!$D$103,Input!$C$109,Input!$D$109),Input!$E$109),Input!$F$109),Input!$G$109),Input!$H$109)</f>
        <v>0</v>
      </c>
      <c r="BJ71" s="190">
        <f>IF($A71&lt;Input!$H$110,IF($A71&lt;Input!$G$110,IF($A71&lt;Input!$F$110,IF($A71&lt;Input!$E$110,IF($A71&lt;Input!$D$110,Input!$C$111,Input!$D$111),Input!$E$111),Input!$F$111),Input!$G$111),Input!$H$111)</f>
        <v>0.9</v>
      </c>
      <c r="BK71" s="60">
        <f t="shared" si="57"/>
        <v>0</v>
      </c>
      <c r="BL71" s="60">
        <f t="shared" si="81"/>
        <v>28</v>
      </c>
      <c r="BM71" s="60">
        <f t="shared" si="58"/>
        <v>0</v>
      </c>
      <c r="BN71" s="60">
        <f>ROUND(BM71*BL71*Input!$C$3/365,0)</f>
        <v>0</v>
      </c>
      <c r="BO71" s="61">
        <f>IF($A71&lt;=Input!$C$6,0,IF('180M'!BK71&lt;'180M'!BM71,'180M'!BK71-BN71,'180M'!BM71))</f>
        <v>0</v>
      </c>
      <c r="BP71" s="61">
        <f t="shared" si="59"/>
        <v>0</v>
      </c>
      <c r="BQ71" s="60">
        <f t="shared" si="60"/>
        <v>0</v>
      </c>
      <c r="BR71" s="198"/>
    </row>
    <row r="72" spans="1:70" x14ac:dyDescent="0.25">
      <c r="A72" s="169">
        <v>68</v>
      </c>
      <c r="B72" s="1">
        <f t="shared" si="61"/>
        <v>47588</v>
      </c>
      <c r="C72" s="60">
        <f t="shared" si="47"/>
        <v>18940500</v>
      </c>
      <c r="D72" s="60">
        <f t="shared" si="48"/>
        <v>17046450</v>
      </c>
      <c r="E72" s="60">
        <f t="shared" si="62"/>
        <v>31</v>
      </c>
      <c r="F72" s="60">
        <f t="shared" si="63"/>
        <v>1459635574.4979434</v>
      </c>
      <c r="G72" s="60">
        <f>ROUND(F72*E72*Input!$C$3/365,0)</f>
        <v>18595357</v>
      </c>
      <c r="H72" s="60">
        <f>IF($A72&lt;=Input!$C$6,0,IF('180M'!D72&lt;'180M'!F72,'180M'!D72-G72,'180M'!F72))</f>
        <v>-1548907</v>
      </c>
      <c r="I72" s="60">
        <f t="shared" si="64"/>
        <v>17046450</v>
      </c>
      <c r="J72" s="60">
        <f t="shared" si="65"/>
        <v>1461184481.4979434</v>
      </c>
      <c r="K72" s="203">
        <f>J72/Input!$K$5</f>
        <v>4.8706149383264776</v>
      </c>
      <c r="L72" s="232"/>
      <c r="M72" s="60">
        <f>IF($B72&lt;Input!$H$43,IF($B72&lt;Input!$G$43,IF($B72&lt;Input!$F$43,IF($B72&lt;Input!$E$43,IF($B72&lt;Input!$D$43,Input!$C$49,Input!$D$49),Input!$E$49),Input!$F$49),Input!$G$49),Input!$H$49)</f>
        <v>18940500</v>
      </c>
      <c r="N72" s="190">
        <f>IF($A72&lt;Input!$H$50,IF($A72&lt;Input!$G$50,IF($A72&lt;Input!$F$50,IF($A72&lt;Input!$E$50,IF($A72&lt;Input!$D$50,Input!$C$51,Input!$D$51),Input!$E$51),Input!$F$51),Input!$G$51),Input!$H$51)</f>
        <v>0.9</v>
      </c>
      <c r="O72" s="60">
        <f t="shared" si="46"/>
        <v>17046450</v>
      </c>
      <c r="P72" s="60">
        <f t="shared" si="49"/>
        <v>31</v>
      </c>
      <c r="Q72" s="60">
        <f t="shared" si="50"/>
        <v>1459635574.4979434</v>
      </c>
      <c r="R72" s="60">
        <f>ROUND(Q72*$P72*Input!$C$3/365,0)</f>
        <v>18595357</v>
      </c>
      <c r="S72" s="60">
        <f>IF(A72&lt;=Input!$C$6,0,IF('180M'!O72&lt;'180M'!Q72,'180M'!O72-R72,'180M'!Q72))</f>
        <v>-1548907</v>
      </c>
      <c r="T72" s="60">
        <f t="shared" si="51"/>
        <v>17046450</v>
      </c>
      <c r="U72" s="60">
        <f t="shared" si="52"/>
        <v>1461184481.4979434</v>
      </c>
      <c r="V72" s="193"/>
      <c r="W72" s="169">
        <v>68</v>
      </c>
      <c r="X72" s="1">
        <f t="shared" si="66"/>
        <v>47588</v>
      </c>
      <c r="Y72" s="60">
        <f>IF($X72&lt;Input!$H$58,IF($X72&lt;Input!$G$58,IF($X72&lt;Input!$F$58,IF($X72&lt;Input!$E$58,IF($X72&lt;Input!$D$58,Input!$C$64,Input!$D$64),Input!$E$64),Input!$F$64),Input!$G$64),Input!$H$64)</f>
        <v>0</v>
      </c>
      <c r="Z72" s="190">
        <f>IF($A72&lt;Input!$H$65,IF($A72&lt;Input!$G$65,IF($A72&lt;Input!$F$65,IF($A72&lt;Input!$E$65,IF($A72&lt;Input!$D$65,Input!$C$66,Input!$D$66),Input!$E$66),Input!$F$66),Input!$G$66),Input!$H$66)</f>
        <v>0.9</v>
      </c>
      <c r="AA72" s="60">
        <f t="shared" si="53"/>
        <v>0</v>
      </c>
      <c r="AB72" s="60">
        <f t="shared" si="67"/>
        <v>31</v>
      </c>
      <c r="AC72" s="60">
        <f t="shared" si="54"/>
        <v>0</v>
      </c>
      <c r="AD72" s="60">
        <f>ROUND(AC72*AB72*Input!$C$3/365,0)</f>
        <v>0</v>
      </c>
      <c r="AE72" s="61">
        <f>IF($A72&lt;=Input!$C$6,0,IF('180M'!AA72&lt;'180M'!AC72,'180M'!AA72-AD72,'180M'!AC72))</f>
        <v>0</v>
      </c>
      <c r="AF72" s="61">
        <f t="shared" si="55"/>
        <v>0</v>
      </c>
      <c r="AG72" s="60">
        <f t="shared" si="56"/>
        <v>0</v>
      </c>
      <c r="AH72" s="193"/>
      <c r="AI72" s="169">
        <v>68</v>
      </c>
      <c r="AJ72" s="1">
        <f t="shared" si="68"/>
        <v>47588</v>
      </c>
      <c r="AK72" s="60">
        <f>IF($X72&lt;Input!$H$73,IF($X72&lt;Input!$G$73,IF($X72&lt;Input!$F$73,IF($X72&lt;Input!$E$73,IF($X72&lt;Input!$D$73,Input!$C$79,Input!$D$79),Input!$E$79),Input!$F$79),Input!$G$79),Input!$H$79)</f>
        <v>0</v>
      </c>
      <c r="AL72" s="190">
        <f>IF($A72&lt;Input!$H$80,IF($A72&lt;Input!$G$80,IF($A72&lt;Input!$F$80,IF($A72&lt;Input!$E$80,IF($A72&lt;Input!$D$80,Input!$C$81,Input!$D$81),Input!$E$81),Input!$F$81),Input!$G$81),Input!$H$81)</f>
        <v>0.9</v>
      </c>
      <c r="AM72" s="60">
        <f t="shared" si="69"/>
        <v>0</v>
      </c>
      <c r="AN72" s="60">
        <f t="shared" si="70"/>
        <v>31</v>
      </c>
      <c r="AO72" s="60">
        <f t="shared" si="71"/>
        <v>0</v>
      </c>
      <c r="AP72" s="60">
        <f>ROUND(AO72*AN72*Input!$C$3/365,0)</f>
        <v>0</v>
      </c>
      <c r="AQ72" s="61">
        <f>IF($A72&lt;=Input!$C$6,0,IF('180M'!AM72&lt;'180M'!AO72,'180M'!AM72-AP72,'180M'!AO72))</f>
        <v>0</v>
      </c>
      <c r="AR72" s="61">
        <f t="shared" si="72"/>
        <v>0</v>
      </c>
      <c r="AS72" s="60">
        <f t="shared" si="73"/>
        <v>0</v>
      </c>
      <c r="AT72" s="193"/>
      <c r="AU72" s="169">
        <v>68</v>
      </c>
      <c r="AV72" s="1">
        <f t="shared" si="74"/>
        <v>47588</v>
      </c>
      <c r="AW72" s="60">
        <f>IF($X72&lt;Input!$H$88,IF($X72&lt;Input!$G$88,IF($X72&lt;Input!$F$88,IF($X72&lt;Input!$E$88,IF($X72&lt;Input!$D$88,Input!$C$94,Input!$D$94),Input!$E$94),Input!$F$94),Input!$G$94),Input!$H$94)</f>
        <v>0</v>
      </c>
      <c r="AX72" s="190">
        <f>IF($A72&lt;Input!$H$95,IF($A72&lt;Input!$G$95,IF($A72&lt;Input!$F$95,IF($A72&lt;Input!$E$95,IF($A72&lt;Input!$D$95,Input!$C$96,Input!$D$96),Input!$E$96),Input!$F$96),Input!$G$96),Input!$H$96)</f>
        <v>0.9</v>
      </c>
      <c r="AY72" s="60">
        <f t="shared" si="75"/>
        <v>0</v>
      </c>
      <c r="AZ72" s="60">
        <f t="shared" si="76"/>
        <v>31</v>
      </c>
      <c r="BA72" s="60">
        <f t="shared" si="77"/>
        <v>0</v>
      </c>
      <c r="BB72" s="60">
        <f>ROUND(BA72*AZ72*Input!$C$3/365,0)</f>
        <v>0</v>
      </c>
      <c r="BC72" s="61">
        <f>IF($A72&lt;=Input!$C$6,0,IF('180M'!AY72&lt;'180M'!BA72,'180M'!AY72-BB72,'180M'!BA72))</f>
        <v>0</v>
      </c>
      <c r="BD72" s="61">
        <f t="shared" si="78"/>
        <v>0</v>
      </c>
      <c r="BE72" s="60">
        <f t="shared" si="79"/>
        <v>0</v>
      </c>
      <c r="BF72" s="193"/>
      <c r="BG72" s="169">
        <v>68</v>
      </c>
      <c r="BH72" s="1">
        <f t="shared" si="80"/>
        <v>47588</v>
      </c>
      <c r="BI72" s="60">
        <f>IF($X72&lt;Input!$H$103,IF($X72&lt;Input!$G$103,IF($X72&lt;Input!$F$103,IF($X72&lt;Input!$E$103,IF($X72&lt;Input!$D$103,Input!$C$109,Input!$D$109),Input!$E$109),Input!$F$109),Input!$G$109),Input!$H$109)</f>
        <v>0</v>
      </c>
      <c r="BJ72" s="190">
        <f>IF($A72&lt;Input!$H$110,IF($A72&lt;Input!$G$110,IF($A72&lt;Input!$F$110,IF($A72&lt;Input!$E$110,IF($A72&lt;Input!$D$110,Input!$C$111,Input!$D$111),Input!$E$111),Input!$F$111),Input!$G$111),Input!$H$111)</f>
        <v>0.9</v>
      </c>
      <c r="BK72" s="60">
        <f t="shared" si="57"/>
        <v>0</v>
      </c>
      <c r="BL72" s="60">
        <f t="shared" si="81"/>
        <v>31</v>
      </c>
      <c r="BM72" s="60">
        <f t="shared" si="58"/>
        <v>0</v>
      </c>
      <c r="BN72" s="60">
        <f>ROUND(BM72*BL72*Input!$C$3/365,0)</f>
        <v>0</v>
      </c>
      <c r="BO72" s="61">
        <f>IF($A72&lt;=Input!$C$6,0,IF('180M'!BK72&lt;'180M'!BM72,'180M'!BK72-BN72,'180M'!BM72))</f>
        <v>0</v>
      </c>
      <c r="BP72" s="61">
        <f t="shared" si="59"/>
        <v>0</v>
      </c>
      <c r="BQ72" s="60">
        <f t="shared" si="60"/>
        <v>0</v>
      </c>
      <c r="BR72" s="198"/>
    </row>
    <row r="73" spans="1:70" x14ac:dyDescent="0.25">
      <c r="A73" s="169">
        <v>69</v>
      </c>
      <c r="B73" s="1">
        <f t="shared" si="61"/>
        <v>47618</v>
      </c>
      <c r="C73" s="60">
        <f t="shared" si="47"/>
        <v>18940500</v>
      </c>
      <c r="D73" s="60">
        <f t="shared" si="48"/>
        <v>17046450</v>
      </c>
      <c r="E73" s="60">
        <f t="shared" si="62"/>
        <v>30</v>
      </c>
      <c r="F73" s="60">
        <f t="shared" si="63"/>
        <v>1461184481.4979434</v>
      </c>
      <c r="G73" s="60">
        <f>ROUND(F73*E73*Input!$C$3/365,0)</f>
        <v>18014603</v>
      </c>
      <c r="H73" s="60">
        <f>IF($A73&lt;=Input!$C$6,0,IF('180M'!D73&lt;'180M'!F73,'180M'!D73-G73,'180M'!F73))</f>
        <v>-968153</v>
      </c>
      <c r="I73" s="60">
        <f t="shared" si="64"/>
        <v>17046450</v>
      </c>
      <c r="J73" s="60">
        <f t="shared" si="65"/>
        <v>1462152634.4979434</v>
      </c>
      <c r="K73" s="203">
        <f>J73/Input!$K$5</f>
        <v>4.8738421149931446</v>
      </c>
      <c r="L73" s="232"/>
      <c r="M73" s="60">
        <f>IF($B73&lt;Input!$H$43,IF($B73&lt;Input!$G$43,IF($B73&lt;Input!$F$43,IF($B73&lt;Input!$E$43,IF($B73&lt;Input!$D$43,Input!$C$49,Input!$D$49),Input!$E$49),Input!$F$49),Input!$G$49),Input!$H$49)</f>
        <v>18940500</v>
      </c>
      <c r="N73" s="190">
        <f>IF($A73&lt;Input!$H$50,IF($A73&lt;Input!$G$50,IF($A73&lt;Input!$F$50,IF($A73&lt;Input!$E$50,IF($A73&lt;Input!$D$50,Input!$C$51,Input!$D$51),Input!$E$51),Input!$F$51),Input!$G$51),Input!$H$51)</f>
        <v>0.9</v>
      </c>
      <c r="O73" s="60">
        <f t="shared" si="46"/>
        <v>17046450</v>
      </c>
      <c r="P73" s="60">
        <f t="shared" si="49"/>
        <v>30</v>
      </c>
      <c r="Q73" s="60">
        <f t="shared" si="50"/>
        <v>1461184481.4979434</v>
      </c>
      <c r="R73" s="60">
        <f>ROUND(Q73*$P73*Input!$C$3/365,0)</f>
        <v>18014603</v>
      </c>
      <c r="S73" s="60">
        <f>IF(A73&lt;=Input!$C$6,0,IF('180M'!O73&lt;'180M'!Q73,'180M'!O73-R73,'180M'!Q73))</f>
        <v>-968153</v>
      </c>
      <c r="T73" s="60">
        <f t="shared" si="51"/>
        <v>17046450</v>
      </c>
      <c r="U73" s="60">
        <f t="shared" si="52"/>
        <v>1462152634.4979434</v>
      </c>
      <c r="V73" s="193"/>
      <c r="W73" s="169">
        <v>69</v>
      </c>
      <c r="X73" s="1">
        <f t="shared" si="66"/>
        <v>47618</v>
      </c>
      <c r="Y73" s="60">
        <f>IF($X73&lt;Input!$H$58,IF($X73&lt;Input!$G$58,IF($X73&lt;Input!$F$58,IF($X73&lt;Input!$E$58,IF($X73&lt;Input!$D$58,Input!$C$64,Input!$D$64),Input!$E$64),Input!$F$64),Input!$G$64),Input!$H$64)</f>
        <v>0</v>
      </c>
      <c r="Z73" s="190">
        <f>IF($A73&lt;Input!$H$65,IF($A73&lt;Input!$G$65,IF($A73&lt;Input!$F$65,IF($A73&lt;Input!$E$65,IF($A73&lt;Input!$D$65,Input!$C$66,Input!$D$66),Input!$E$66),Input!$F$66),Input!$G$66),Input!$H$66)</f>
        <v>0.9</v>
      </c>
      <c r="AA73" s="60">
        <f t="shared" si="53"/>
        <v>0</v>
      </c>
      <c r="AB73" s="60">
        <f t="shared" si="67"/>
        <v>30</v>
      </c>
      <c r="AC73" s="60">
        <f t="shared" si="54"/>
        <v>0</v>
      </c>
      <c r="AD73" s="60">
        <f>ROUND(AC73*AB73*Input!$C$3/365,0)</f>
        <v>0</v>
      </c>
      <c r="AE73" s="61">
        <f>IF($A73&lt;=Input!$C$6,0,IF('180M'!AA73&lt;'180M'!AC73,'180M'!AA73-AD73,'180M'!AC73))</f>
        <v>0</v>
      </c>
      <c r="AF73" s="61">
        <f t="shared" si="55"/>
        <v>0</v>
      </c>
      <c r="AG73" s="60">
        <f t="shared" si="56"/>
        <v>0</v>
      </c>
      <c r="AH73" s="193"/>
      <c r="AI73" s="169">
        <v>69</v>
      </c>
      <c r="AJ73" s="1">
        <f t="shared" si="68"/>
        <v>47618</v>
      </c>
      <c r="AK73" s="60">
        <f>IF($X73&lt;Input!$H$73,IF($X73&lt;Input!$G$73,IF($X73&lt;Input!$F$73,IF($X73&lt;Input!$E$73,IF($X73&lt;Input!$D$73,Input!$C$79,Input!$D$79),Input!$E$79),Input!$F$79),Input!$G$79),Input!$H$79)</f>
        <v>0</v>
      </c>
      <c r="AL73" s="190">
        <f>IF($A73&lt;Input!$H$80,IF($A73&lt;Input!$G$80,IF($A73&lt;Input!$F$80,IF($A73&lt;Input!$E$80,IF($A73&lt;Input!$D$80,Input!$C$81,Input!$D$81),Input!$E$81),Input!$F$81),Input!$G$81),Input!$H$81)</f>
        <v>0.9</v>
      </c>
      <c r="AM73" s="60">
        <f t="shared" si="69"/>
        <v>0</v>
      </c>
      <c r="AN73" s="60">
        <f t="shared" si="70"/>
        <v>30</v>
      </c>
      <c r="AO73" s="60">
        <f t="shared" si="71"/>
        <v>0</v>
      </c>
      <c r="AP73" s="60">
        <f>ROUND(AO73*AN73*Input!$C$3/365,0)</f>
        <v>0</v>
      </c>
      <c r="AQ73" s="61">
        <f>IF($A73&lt;=Input!$C$6,0,IF('180M'!AM73&lt;'180M'!AO73,'180M'!AM73-AP73,'180M'!AO73))</f>
        <v>0</v>
      </c>
      <c r="AR73" s="61">
        <f t="shared" si="72"/>
        <v>0</v>
      </c>
      <c r="AS73" s="60">
        <f t="shared" si="73"/>
        <v>0</v>
      </c>
      <c r="AT73" s="193"/>
      <c r="AU73" s="169">
        <v>69</v>
      </c>
      <c r="AV73" s="1">
        <f t="shared" si="74"/>
        <v>47618</v>
      </c>
      <c r="AW73" s="60">
        <f>IF($X73&lt;Input!$H$88,IF($X73&lt;Input!$G$88,IF($X73&lt;Input!$F$88,IF($X73&lt;Input!$E$88,IF($X73&lt;Input!$D$88,Input!$C$94,Input!$D$94),Input!$E$94),Input!$F$94),Input!$G$94),Input!$H$94)</f>
        <v>0</v>
      </c>
      <c r="AX73" s="190">
        <f>IF($A73&lt;Input!$H$95,IF($A73&lt;Input!$G$95,IF($A73&lt;Input!$F$95,IF($A73&lt;Input!$E$95,IF($A73&lt;Input!$D$95,Input!$C$96,Input!$D$96),Input!$E$96),Input!$F$96),Input!$G$96),Input!$H$96)</f>
        <v>0.9</v>
      </c>
      <c r="AY73" s="60">
        <f t="shared" si="75"/>
        <v>0</v>
      </c>
      <c r="AZ73" s="60">
        <f t="shared" si="76"/>
        <v>30</v>
      </c>
      <c r="BA73" s="60">
        <f t="shared" si="77"/>
        <v>0</v>
      </c>
      <c r="BB73" s="60">
        <f>ROUND(BA73*AZ73*Input!$C$3/365,0)</f>
        <v>0</v>
      </c>
      <c r="BC73" s="61">
        <f>IF($A73&lt;=Input!$C$6,0,IF('180M'!AY73&lt;'180M'!BA73,'180M'!AY73-BB73,'180M'!BA73))</f>
        <v>0</v>
      </c>
      <c r="BD73" s="61">
        <f t="shared" si="78"/>
        <v>0</v>
      </c>
      <c r="BE73" s="60">
        <f t="shared" si="79"/>
        <v>0</v>
      </c>
      <c r="BF73" s="193"/>
      <c r="BG73" s="169">
        <v>69</v>
      </c>
      <c r="BH73" s="1">
        <f t="shared" si="80"/>
        <v>47618</v>
      </c>
      <c r="BI73" s="60">
        <f>IF($X73&lt;Input!$H$103,IF($X73&lt;Input!$G$103,IF($X73&lt;Input!$F$103,IF($X73&lt;Input!$E$103,IF($X73&lt;Input!$D$103,Input!$C$109,Input!$D$109),Input!$E$109),Input!$F$109),Input!$G$109),Input!$H$109)</f>
        <v>0</v>
      </c>
      <c r="BJ73" s="190">
        <f>IF($A73&lt;Input!$H$110,IF($A73&lt;Input!$G$110,IF($A73&lt;Input!$F$110,IF($A73&lt;Input!$E$110,IF($A73&lt;Input!$D$110,Input!$C$111,Input!$D$111),Input!$E$111),Input!$F$111),Input!$G$111),Input!$H$111)</f>
        <v>0.9</v>
      </c>
      <c r="BK73" s="60">
        <f t="shared" si="57"/>
        <v>0</v>
      </c>
      <c r="BL73" s="60">
        <f t="shared" si="81"/>
        <v>30</v>
      </c>
      <c r="BM73" s="60">
        <f t="shared" si="58"/>
        <v>0</v>
      </c>
      <c r="BN73" s="60">
        <f>ROUND(BM73*BL73*Input!$C$3/365,0)</f>
        <v>0</v>
      </c>
      <c r="BO73" s="61">
        <f>IF($A73&lt;=Input!$C$6,0,IF('180M'!BK73&lt;'180M'!BM73,'180M'!BK73-BN73,'180M'!BM73))</f>
        <v>0</v>
      </c>
      <c r="BP73" s="61">
        <f t="shared" si="59"/>
        <v>0</v>
      </c>
      <c r="BQ73" s="60">
        <f t="shared" si="60"/>
        <v>0</v>
      </c>
      <c r="BR73" s="198"/>
    </row>
    <row r="74" spans="1:70" x14ac:dyDescent="0.25">
      <c r="A74" s="169">
        <v>70</v>
      </c>
      <c r="B74" s="1">
        <f t="shared" si="61"/>
        <v>47649</v>
      </c>
      <c r="C74" s="60">
        <f t="shared" si="47"/>
        <v>18940500</v>
      </c>
      <c r="D74" s="60">
        <f t="shared" si="48"/>
        <v>17046450</v>
      </c>
      <c r="E74" s="60">
        <f t="shared" si="62"/>
        <v>31</v>
      </c>
      <c r="F74" s="60">
        <f t="shared" si="63"/>
        <v>1462152634.4979434</v>
      </c>
      <c r="G74" s="60">
        <f>ROUND(F74*E74*Input!$C$3/365,0)</f>
        <v>18627424</v>
      </c>
      <c r="H74" s="60">
        <f>IF($A74&lt;=Input!$C$6,0,IF('180M'!D74&lt;'180M'!F74,'180M'!D74-G74,'180M'!F74))</f>
        <v>-1580974</v>
      </c>
      <c r="I74" s="60">
        <f t="shared" si="64"/>
        <v>17046450</v>
      </c>
      <c r="J74" s="60">
        <f t="shared" si="65"/>
        <v>1463733608.4979434</v>
      </c>
      <c r="K74" s="203">
        <f>J74/Input!$K$5</f>
        <v>4.8791120283264782</v>
      </c>
      <c r="L74" s="232"/>
      <c r="M74" s="60">
        <f>IF($B74&lt;Input!$H$43,IF($B74&lt;Input!$G$43,IF($B74&lt;Input!$F$43,IF($B74&lt;Input!$E$43,IF($B74&lt;Input!$D$43,Input!$C$49,Input!$D$49),Input!$E$49),Input!$F$49),Input!$G$49),Input!$H$49)</f>
        <v>18940500</v>
      </c>
      <c r="N74" s="190">
        <f>IF($A74&lt;Input!$H$50,IF($A74&lt;Input!$G$50,IF($A74&lt;Input!$F$50,IF($A74&lt;Input!$E$50,IF($A74&lt;Input!$D$50,Input!$C$51,Input!$D$51),Input!$E$51),Input!$F$51),Input!$G$51),Input!$H$51)</f>
        <v>0.9</v>
      </c>
      <c r="O74" s="60">
        <f t="shared" si="46"/>
        <v>17046450</v>
      </c>
      <c r="P74" s="60">
        <f t="shared" si="49"/>
        <v>31</v>
      </c>
      <c r="Q74" s="60">
        <f t="shared" si="50"/>
        <v>1462152634.4979434</v>
      </c>
      <c r="R74" s="60">
        <f>ROUND(Q74*$P74*Input!$C$3/365,0)</f>
        <v>18627424</v>
      </c>
      <c r="S74" s="60">
        <f>IF(A74&lt;=Input!$C$6,0,IF('180M'!O74&lt;'180M'!Q74,'180M'!O74-R74,'180M'!Q74))</f>
        <v>-1580974</v>
      </c>
      <c r="T74" s="60">
        <f t="shared" si="51"/>
        <v>17046450</v>
      </c>
      <c r="U74" s="60">
        <f t="shared" si="52"/>
        <v>1463733608.4979434</v>
      </c>
      <c r="V74" s="193"/>
      <c r="W74" s="169">
        <v>70</v>
      </c>
      <c r="X74" s="1">
        <f t="shared" si="66"/>
        <v>47649</v>
      </c>
      <c r="Y74" s="60">
        <f>IF($X74&lt;Input!$H$58,IF($X74&lt;Input!$G$58,IF($X74&lt;Input!$F$58,IF($X74&lt;Input!$E$58,IF($X74&lt;Input!$D$58,Input!$C$64,Input!$D$64),Input!$E$64),Input!$F$64),Input!$G$64),Input!$H$64)</f>
        <v>0</v>
      </c>
      <c r="Z74" s="190">
        <f>IF($A74&lt;Input!$H$65,IF($A74&lt;Input!$G$65,IF($A74&lt;Input!$F$65,IF($A74&lt;Input!$E$65,IF($A74&lt;Input!$D$65,Input!$C$66,Input!$D$66),Input!$E$66),Input!$F$66),Input!$G$66),Input!$H$66)</f>
        <v>0.9</v>
      </c>
      <c r="AA74" s="60">
        <f t="shared" si="53"/>
        <v>0</v>
      </c>
      <c r="AB74" s="60">
        <f t="shared" si="67"/>
        <v>31</v>
      </c>
      <c r="AC74" s="60">
        <f t="shared" si="54"/>
        <v>0</v>
      </c>
      <c r="AD74" s="60">
        <f>ROUND(AC74*AB74*Input!$C$3/365,0)</f>
        <v>0</v>
      </c>
      <c r="AE74" s="61">
        <f>IF($A74&lt;=Input!$C$6,0,IF('180M'!AA74&lt;'180M'!AC74,'180M'!AA74-AD74,'180M'!AC74))</f>
        <v>0</v>
      </c>
      <c r="AF74" s="61">
        <f t="shared" si="55"/>
        <v>0</v>
      </c>
      <c r="AG74" s="60">
        <f t="shared" si="56"/>
        <v>0</v>
      </c>
      <c r="AH74" s="193"/>
      <c r="AI74" s="169">
        <v>70</v>
      </c>
      <c r="AJ74" s="1">
        <f t="shared" si="68"/>
        <v>47649</v>
      </c>
      <c r="AK74" s="60">
        <f>IF($X74&lt;Input!$H$73,IF($X74&lt;Input!$G$73,IF($X74&lt;Input!$F$73,IF($X74&lt;Input!$E$73,IF($X74&lt;Input!$D$73,Input!$C$79,Input!$D$79),Input!$E$79),Input!$F$79),Input!$G$79),Input!$H$79)</f>
        <v>0</v>
      </c>
      <c r="AL74" s="190">
        <f>IF($A74&lt;Input!$H$80,IF($A74&lt;Input!$G$80,IF($A74&lt;Input!$F$80,IF($A74&lt;Input!$E$80,IF($A74&lt;Input!$D$80,Input!$C$81,Input!$D$81),Input!$E$81),Input!$F$81),Input!$G$81),Input!$H$81)</f>
        <v>0.9</v>
      </c>
      <c r="AM74" s="60">
        <f t="shared" si="69"/>
        <v>0</v>
      </c>
      <c r="AN74" s="60">
        <f t="shared" si="70"/>
        <v>31</v>
      </c>
      <c r="AO74" s="60">
        <f t="shared" si="71"/>
        <v>0</v>
      </c>
      <c r="AP74" s="60">
        <f>ROUND(AO74*AN74*Input!$C$3/365,0)</f>
        <v>0</v>
      </c>
      <c r="AQ74" s="61">
        <f>IF($A74&lt;=Input!$C$6,0,IF('180M'!AM74&lt;'180M'!AO74,'180M'!AM74-AP74,'180M'!AO74))</f>
        <v>0</v>
      </c>
      <c r="AR74" s="61">
        <f t="shared" si="72"/>
        <v>0</v>
      </c>
      <c r="AS74" s="60">
        <f t="shared" si="73"/>
        <v>0</v>
      </c>
      <c r="AT74" s="193"/>
      <c r="AU74" s="169">
        <v>70</v>
      </c>
      <c r="AV74" s="1">
        <f t="shared" si="74"/>
        <v>47649</v>
      </c>
      <c r="AW74" s="60">
        <f>IF($X74&lt;Input!$H$88,IF($X74&lt;Input!$G$88,IF($X74&lt;Input!$F$88,IF($X74&lt;Input!$E$88,IF($X74&lt;Input!$D$88,Input!$C$94,Input!$D$94),Input!$E$94),Input!$F$94),Input!$G$94),Input!$H$94)</f>
        <v>0</v>
      </c>
      <c r="AX74" s="190">
        <f>IF($A74&lt;Input!$H$95,IF($A74&lt;Input!$G$95,IF($A74&lt;Input!$F$95,IF($A74&lt;Input!$E$95,IF($A74&lt;Input!$D$95,Input!$C$96,Input!$D$96),Input!$E$96),Input!$F$96),Input!$G$96),Input!$H$96)</f>
        <v>0.9</v>
      </c>
      <c r="AY74" s="60">
        <f t="shared" si="75"/>
        <v>0</v>
      </c>
      <c r="AZ74" s="60">
        <f t="shared" si="76"/>
        <v>31</v>
      </c>
      <c r="BA74" s="60">
        <f t="shared" si="77"/>
        <v>0</v>
      </c>
      <c r="BB74" s="60">
        <f>ROUND(BA74*AZ74*Input!$C$3/365,0)</f>
        <v>0</v>
      </c>
      <c r="BC74" s="61">
        <f>IF($A74&lt;=Input!$C$6,0,IF('180M'!AY74&lt;'180M'!BA74,'180M'!AY74-BB74,'180M'!BA74))</f>
        <v>0</v>
      </c>
      <c r="BD74" s="61">
        <f t="shared" si="78"/>
        <v>0</v>
      </c>
      <c r="BE74" s="60">
        <f t="shared" si="79"/>
        <v>0</v>
      </c>
      <c r="BF74" s="193"/>
      <c r="BG74" s="169">
        <v>70</v>
      </c>
      <c r="BH74" s="1">
        <f t="shared" si="80"/>
        <v>47649</v>
      </c>
      <c r="BI74" s="60">
        <f>IF($X74&lt;Input!$H$103,IF($X74&lt;Input!$G$103,IF($X74&lt;Input!$F$103,IF($X74&lt;Input!$E$103,IF($X74&lt;Input!$D$103,Input!$C$109,Input!$D$109),Input!$E$109),Input!$F$109),Input!$G$109),Input!$H$109)</f>
        <v>0</v>
      </c>
      <c r="BJ74" s="190">
        <f>IF($A74&lt;Input!$H$110,IF($A74&lt;Input!$G$110,IF($A74&lt;Input!$F$110,IF($A74&lt;Input!$E$110,IF($A74&lt;Input!$D$110,Input!$C$111,Input!$D$111),Input!$E$111),Input!$F$111),Input!$G$111),Input!$H$111)</f>
        <v>0.9</v>
      </c>
      <c r="BK74" s="60">
        <f t="shared" si="57"/>
        <v>0</v>
      </c>
      <c r="BL74" s="60">
        <f t="shared" si="81"/>
        <v>31</v>
      </c>
      <c r="BM74" s="60">
        <f t="shared" si="58"/>
        <v>0</v>
      </c>
      <c r="BN74" s="60">
        <f>ROUND(BM74*BL74*Input!$C$3/365,0)</f>
        <v>0</v>
      </c>
      <c r="BO74" s="61">
        <f>IF($A74&lt;=Input!$C$6,0,IF('180M'!BK74&lt;'180M'!BM74,'180M'!BK74-BN74,'180M'!BM74))</f>
        <v>0</v>
      </c>
      <c r="BP74" s="61">
        <f t="shared" si="59"/>
        <v>0</v>
      </c>
      <c r="BQ74" s="60">
        <f t="shared" si="60"/>
        <v>0</v>
      </c>
      <c r="BR74" s="198"/>
    </row>
    <row r="75" spans="1:70" x14ac:dyDescent="0.25">
      <c r="A75" s="169">
        <v>71</v>
      </c>
      <c r="B75" s="1">
        <f t="shared" si="61"/>
        <v>47679</v>
      </c>
      <c r="C75" s="60">
        <f t="shared" si="47"/>
        <v>18940500</v>
      </c>
      <c r="D75" s="60">
        <f t="shared" si="48"/>
        <v>17046450</v>
      </c>
      <c r="E75" s="60">
        <f t="shared" si="62"/>
        <v>30</v>
      </c>
      <c r="F75" s="60">
        <f t="shared" si="63"/>
        <v>1463733608.4979434</v>
      </c>
      <c r="G75" s="60">
        <f>ROUND(F75*E75*Input!$C$3/365,0)</f>
        <v>18046031</v>
      </c>
      <c r="H75" s="60">
        <f>IF($A75&lt;=Input!$C$6,0,IF('180M'!D75&lt;'180M'!F75,'180M'!D75-G75,'180M'!F75))</f>
        <v>-999581</v>
      </c>
      <c r="I75" s="60">
        <f t="shared" si="64"/>
        <v>17046450</v>
      </c>
      <c r="J75" s="60">
        <f t="shared" si="65"/>
        <v>1464733189.4979434</v>
      </c>
      <c r="K75" s="203">
        <f>J75/Input!$K$5</f>
        <v>4.8824439649931444</v>
      </c>
      <c r="L75" s="232"/>
      <c r="M75" s="60">
        <f>IF($B75&lt;Input!$H$43,IF($B75&lt;Input!$G$43,IF($B75&lt;Input!$F$43,IF($B75&lt;Input!$E$43,IF($B75&lt;Input!$D$43,Input!$C$49,Input!$D$49),Input!$E$49),Input!$F$49),Input!$G$49),Input!$H$49)</f>
        <v>18940500</v>
      </c>
      <c r="N75" s="190">
        <f>IF($A75&lt;Input!$H$50,IF($A75&lt;Input!$G$50,IF($A75&lt;Input!$F$50,IF($A75&lt;Input!$E$50,IF($A75&lt;Input!$D$50,Input!$C$51,Input!$D$51),Input!$E$51),Input!$F$51),Input!$G$51),Input!$H$51)</f>
        <v>0.9</v>
      </c>
      <c r="O75" s="60">
        <f t="shared" si="46"/>
        <v>17046450</v>
      </c>
      <c r="P75" s="60">
        <f t="shared" si="49"/>
        <v>30</v>
      </c>
      <c r="Q75" s="60">
        <f t="shared" si="50"/>
        <v>1463733608.4979434</v>
      </c>
      <c r="R75" s="60">
        <f>ROUND(Q75*$P75*Input!$C$3/365,0)</f>
        <v>18046031</v>
      </c>
      <c r="S75" s="60">
        <f>IF(A75&lt;=Input!$C$6,0,IF('180M'!O75&lt;'180M'!Q75,'180M'!O75-R75,'180M'!Q75))</f>
        <v>-999581</v>
      </c>
      <c r="T75" s="60">
        <f t="shared" si="51"/>
        <v>17046450</v>
      </c>
      <c r="U75" s="60">
        <f t="shared" si="52"/>
        <v>1464733189.4979434</v>
      </c>
      <c r="V75" s="193"/>
      <c r="W75" s="169">
        <v>71</v>
      </c>
      <c r="X75" s="1">
        <f t="shared" si="66"/>
        <v>47679</v>
      </c>
      <c r="Y75" s="60">
        <f>IF($X75&lt;Input!$H$58,IF($X75&lt;Input!$G$58,IF($X75&lt;Input!$F$58,IF($X75&lt;Input!$E$58,IF($X75&lt;Input!$D$58,Input!$C$64,Input!$D$64),Input!$E$64),Input!$F$64),Input!$G$64),Input!$H$64)</f>
        <v>0</v>
      </c>
      <c r="Z75" s="190">
        <f>IF($A75&lt;Input!$H$65,IF($A75&lt;Input!$G$65,IF($A75&lt;Input!$F$65,IF($A75&lt;Input!$E$65,IF($A75&lt;Input!$D$65,Input!$C$66,Input!$D$66),Input!$E$66),Input!$F$66),Input!$G$66),Input!$H$66)</f>
        <v>0.9</v>
      </c>
      <c r="AA75" s="60">
        <f t="shared" si="53"/>
        <v>0</v>
      </c>
      <c r="AB75" s="60">
        <f t="shared" si="67"/>
        <v>30</v>
      </c>
      <c r="AC75" s="60">
        <f t="shared" si="54"/>
        <v>0</v>
      </c>
      <c r="AD75" s="60">
        <f>ROUND(AC75*AB75*Input!$C$3/365,0)</f>
        <v>0</v>
      </c>
      <c r="AE75" s="61">
        <f>IF($A75&lt;=Input!$C$6,0,IF('180M'!AA75&lt;'180M'!AC75,'180M'!AA75-AD75,'180M'!AC75))</f>
        <v>0</v>
      </c>
      <c r="AF75" s="61">
        <f t="shared" si="55"/>
        <v>0</v>
      </c>
      <c r="AG75" s="60">
        <f t="shared" si="56"/>
        <v>0</v>
      </c>
      <c r="AH75" s="193"/>
      <c r="AI75" s="169">
        <v>71</v>
      </c>
      <c r="AJ75" s="1">
        <f t="shared" si="68"/>
        <v>47679</v>
      </c>
      <c r="AK75" s="60">
        <f>IF($X75&lt;Input!$H$73,IF($X75&lt;Input!$G$73,IF($X75&lt;Input!$F$73,IF($X75&lt;Input!$E$73,IF($X75&lt;Input!$D$73,Input!$C$79,Input!$D$79),Input!$E$79),Input!$F$79),Input!$G$79),Input!$H$79)</f>
        <v>0</v>
      </c>
      <c r="AL75" s="190">
        <f>IF($A75&lt;Input!$H$80,IF($A75&lt;Input!$G$80,IF($A75&lt;Input!$F$80,IF($A75&lt;Input!$E$80,IF($A75&lt;Input!$D$80,Input!$C$81,Input!$D$81),Input!$E$81),Input!$F$81),Input!$G$81),Input!$H$81)</f>
        <v>0.9</v>
      </c>
      <c r="AM75" s="60">
        <f t="shared" si="69"/>
        <v>0</v>
      </c>
      <c r="AN75" s="60">
        <f t="shared" si="70"/>
        <v>30</v>
      </c>
      <c r="AO75" s="60">
        <f t="shared" si="71"/>
        <v>0</v>
      </c>
      <c r="AP75" s="60">
        <f>ROUND(AO75*AN75*Input!$C$3/365,0)</f>
        <v>0</v>
      </c>
      <c r="AQ75" s="61">
        <f>IF($A75&lt;=Input!$C$6,0,IF('180M'!AM75&lt;'180M'!AO75,'180M'!AM75-AP75,'180M'!AO75))</f>
        <v>0</v>
      </c>
      <c r="AR75" s="61">
        <f t="shared" si="72"/>
        <v>0</v>
      </c>
      <c r="AS75" s="60">
        <f t="shared" si="73"/>
        <v>0</v>
      </c>
      <c r="AT75" s="193"/>
      <c r="AU75" s="169">
        <v>71</v>
      </c>
      <c r="AV75" s="1">
        <f t="shared" si="74"/>
        <v>47679</v>
      </c>
      <c r="AW75" s="60">
        <f>IF($X75&lt;Input!$H$88,IF($X75&lt;Input!$G$88,IF($X75&lt;Input!$F$88,IF($X75&lt;Input!$E$88,IF($X75&lt;Input!$D$88,Input!$C$94,Input!$D$94),Input!$E$94),Input!$F$94),Input!$G$94),Input!$H$94)</f>
        <v>0</v>
      </c>
      <c r="AX75" s="190">
        <f>IF($A75&lt;Input!$H$95,IF($A75&lt;Input!$G$95,IF($A75&lt;Input!$F$95,IF($A75&lt;Input!$E$95,IF($A75&lt;Input!$D$95,Input!$C$96,Input!$D$96),Input!$E$96),Input!$F$96),Input!$G$96),Input!$H$96)</f>
        <v>0.9</v>
      </c>
      <c r="AY75" s="60">
        <f t="shared" si="75"/>
        <v>0</v>
      </c>
      <c r="AZ75" s="60">
        <f t="shared" si="76"/>
        <v>30</v>
      </c>
      <c r="BA75" s="60">
        <f t="shared" si="77"/>
        <v>0</v>
      </c>
      <c r="BB75" s="60">
        <f>ROUND(BA75*AZ75*Input!$C$3/365,0)</f>
        <v>0</v>
      </c>
      <c r="BC75" s="61">
        <f>IF($A75&lt;=Input!$C$6,0,IF('180M'!AY75&lt;'180M'!BA75,'180M'!AY75-BB75,'180M'!BA75))</f>
        <v>0</v>
      </c>
      <c r="BD75" s="61">
        <f t="shared" si="78"/>
        <v>0</v>
      </c>
      <c r="BE75" s="60">
        <f t="shared" si="79"/>
        <v>0</v>
      </c>
      <c r="BF75" s="193"/>
      <c r="BG75" s="169">
        <v>71</v>
      </c>
      <c r="BH75" s="1">
        <f t="shared" si="80"/>
        <v>47679</v>
      </c>
      <c r="BI75" s="60">
        <f>IF($X75&lt;Input!$H$103,IF($X75&lt;Input!$G$103,IF($X75&lt;Input!$F$103,IF($X75&lt;Input!$E$103,IF($X75&lt;Input!$D$103,Input!$C$109,Input!$D$109),Input!$E$109),Input!$F$109),Input!$G$109),Input!$H$109)</f>
        <v>0</v>
      </c>
      <c r="BJ75" s="190">
        <f>IF($A75&lt;Input!$H$110,IF($A75&lt;Input!$G$110,IF($A75&lt;Input!$F$110,IF($A75&lt;Input!$E$110,IF($A75&lt;Input!$D$110,Input!$C$111,Input!$D$111),Input!$E$111),Input!$F$111),Input!$G$111),Input!$H$111)</f>
        <v>0.9</v>
      </c>
      <c r="BK75" s="60">
        <f t="shared" si="57"/>
        <v>0</v>
      </c>
      <c r="BL75" s="60">
        <f t="shared" si="81"/>
        <v>30</v>
      </c>
      <c r="BM75" s="60">
        <f t="shared" si="58"/>
        <v>0</v>
      </c>
      <c r="BN75" s="60">
        <f>ROUND(BM75*BL75*Input!$C$3/365,0)</f>
        <v>0</v>
      </c>
      <c r="BO75" s="61">
        <f>IF($A75&lt;=Input!$C$6,0,IF('180M'!BK75&lt;'180M'!BM75,'180M'!BK75-BN75,'180M'!BM75))</f>
        <v>0</v>
      </c>
      <c r="BP75" s="61">
        <f t="shared" si="59"/>
        <v>0</v>
      </c>
      <c r="BQ75" s="60">
        <f t="shared" si="60"/>
        <v>0</v>
      </c>
      <c r="BR75" s="198"/>
    </row>
    <row r="76" spans="1:70" x14ac:dyDescent="0.25">
      <c r="A76" s="169">
        <v>72</v>
      </c>
      <c r="B76" s="1">
        <f t="shared" si="61"/>
        <v>47710</v>
      </c>
      <c r="C76" s="60">
        <f t="shared" si="47"/>
        <v>18940500</v>
      </c>
      <c r="D76" s="60">
        <f t="shared" si="48"/>
        <v>17046450</v>
      </c>
      <c r="E76" s="60">
        <f t="shared" si="62"/>
        <v>31</v>
      </c>
      <c r="F76" s="60">
        <f t="shared" si="63"/>
        <v>1464733189.4979434</v>
      </c>
      <c r="G76" s="60">
        <f>ROUND(F76*E76*Input!$C$3/365,0)</f>
        <v>18660300</v>
      </c>
      <c r="H76" s="60">
        <f>IF($A76&lt;=Input!$C$6,0,IF('180M'!D76&lt;'180M'!F76,'180M'!D76-G76,'180M'!F76))</f>
        <v>-1613850</v>
      </c>
      <c r="I76" s="60">
        <f t="shared" si="64"/>
        <v>17046450</v>
      </c>
      <c r="J76" s="60">
        <f t="shared" si="65"/>
        <v>1466347039.4979434</v>
      </c>
      <c r="K76" s="203">
        <f>J76/Input!$K$5</f>
        <v>4.8878234649931445</v>
      </c>
      <c r="L76" s="232"/>
      <c r="M76" s="60">
        <f>IF($B76&lt;Input!$H$43,IF($B76&lt;Input!$G$43,IF($B76&lt;Input!$F$43,IF($B76&lt;Input!$E$43,IF($B76&lt;Input!$D$43,Input!$C$49,Input!$D$49),Input!$E$49),Input!$F$49),Input!$G$49),Input!$H$49)</f>
        <v>18940500</v>
      </c>
      <c r="N76" s="190">
        <f>IF($A76&lt;Input!$H$50,IF($A76&lt;Input!$G$50,IF($A76&lt;Input!$F$50,IF($A76&lt;Input!$E$50,IF($A76&lt;Input!$D$50,Input!$C$51,Input!$D$51),Input!$E$51),Input!$F$51),Input!$G$51),Input!$H$51)</f>
        <v>0.9</v>
      </c>
      <c r="O76" s="60">
        <f t="shared" si="46"/>
        <v>17046450</v>
      </c>
      <c r="P76" s="60">
        <f t="shared" si="49"/>
        <v>31</v>
      </c>
      <c r="Q76" s="60">
        <f t="shared" si="50"/>
        <v>1464733189.4979434</v>
      </c>
      <c r="R76" s="60">
        <f>ROUND(Q76*$P76*Input!$C$3/365,0)</f>
        <v>18660300</v>
      </c>
      <c r="S76" s="60">
        <f>IF(A76&lt;=Input!$C$6,0,IF('180M'!O76&lt;'180M'!Q76,'180M'!O76-R76,'180M'!Q76))</f>
        <v>-1613850</v>
      </c>
      <c r="T76" s="60">
        <f t="shared" si="51"/>
        <v>17046450</v>
      </c>
      <c r="U76" s="60">
        <f t="shared" si="52"/>
        <v>1466347039.4979434</v>
      </c>
      <c r="V76" s="193"/>
      <c r="W76" s="169">
        <v>72</v>
      </c>
      <c r="X76" s="1">
        <f t="shared" si="66"/>
        <v>47710</v>
      </c>
      <c r="Y76" s="60">
        <f>IF($X76&lt;Input!$H$58,IF($X76&lt;Input!$G$58,IF($X76&lt;Input!$F$58,IF($X76&lt;Input!$E$58,IF($X76&lt;Input!$D$58,Input!$C$64,Input!$D$64),Input!$E$64),Input!$F$64),Input!$G$64),Input!$H$64)</f>
        <v>0</v>
      </c>
      <c r="Z76" s="190">
        <f>IF($A76&lt;Input!$H$65,IF($A76&lt;Input!$G$65,IF($A76&lt;Input!$F$65,IF($A76&lt;Input!$E$65,IF($A76&lt;Input!$D$65,Input!$C$66,Input!$D$66),Input!$E$66),Input!$F$66),Input!$G$66),Input!$H$66)</f>
        <v>0.9</v>
      </c>
      <c r="AA76" s="60">
        <f t="shared" si="53"/>
        <v>0</v>
      </c>
      <c r="AB76" s="60">
        <f t="shared" si="67"/>
        <v>31</v>
      </c>
      <c r="AC76" s="60">
        <f t="shared" si="54"/>
        <v>0</v>
      </c>
      <c r="AD76" s="60">
        <f>ROUND(AC76*AB76*Input!$C$3/365,0)</f>
        <v>0</v>
      </c>
      <c r="AE76" s="61">
        <f>IF($A76&lt;=Input!$C$6,0,IF('180M'!AA76&lt;'180M'!AC76,'180M'!AA76-AD76,'180M'!AC76))</f>
        <v>0</v>
      </c>
      <c r="AF76" s="61">
        <f t="shared" si="55"/>
        <v>0</v>
      </c>
      <c r="AG76" s="60">
        <f t="shared" si="56"/>
        <v>0</v>
      </c>
      <c r="AH76" s="193"/>
      <c r="AI76" s="169">
        <v>72</v>
      </c>
      <c r="AJ76" s="1">
        <f t="shared" si="68"/>
        <v>47710</v>
      </c>
      <c r="AK76" s="60">
        <f>IF($X76&lt;Input!$H$73,IF($X76&lt;Input!$G$73,IF($X76&lt;Input!$F$73,IF($X76&lt;Input!$E$73,IF($X76&lt;Input!$D$73,Input!$C$79,Input!$D$79),Input!$E$79),Input!$F$79),Input!$G$79),Input!$H$79)</f>
        <v>0</v>
      </c>
      <c r="AL76" s="190">
        <f>IF($A76&lt;Input!$H$80,IF($A76&lt;Input!$G$80,IF($A76&lt;Input!$F$80,IF($A76&lt;Input!$E$80,IF($A76&lt;Input!$D$80,Input!$C$81,Input!$D$81),Input!$E$81),Input!$F$81),Input!$G$81),Input!$H$81)</f>
        <v>0.9</v>
      </c>
      <c r="AM76" s="60">
        <f t="shared" si="69"/>
        <v>0</v>
      </c>
      <c r="AN76" s="60">
        <f t="shared" si="70"/>
        <v>31</v>
      </c>
      <c r="AO76" s="60">
        <f t="shared" si="71"/>
        <v>0</v>
      </c>
      <c r="AP76" s="60">
        <f>ROUND(AO76*AN76*Input!$C$3/365,0)</f>
        <v>0</v>
      </c>
      <c r="AQ76" s="61">
        <f>IF($A76&lt;=Input!$C$6,0,IF('180M'!AM76&lt;'180M'!AO76,'180M'!AM76-AP76,'180M'!AO76))</f>
        <v>0</v>
      </c>
      <c r="AR76" s="61">
        <f t="shared" si="72"/>
        <v>0</v>
      </c>
      <c r="AS76" s="60">
        <f t="shared" si="73"/>
        <v>0</v>
      </c>
      <c r="AT76" s="193"/>
      <c r="AU76" s="169">
        <v>72</v>
      </c>
      <c r="AV76" s="1">
        <f t="shared" si="74"/>
        <v>47710</v>
      </c>
      <c r="AW76" s="60">
        <f>IF($X76&lt;Input!$H$88,IF($X76&lt;Input!$G$88,IF($X76&lt;Input!$F$88,IF($X76&lt;Input!$E$88,IF($X76&lt;Input!$D$88,Input!$C$94,Input!$D$94),Input!$E$94),Input!$F$94),Input!$G$94),Input!$H$94)</f>
        <v>0</v>
      </c>
      <c r="AX76" s="190">
        <f>IF($A76&lt;Input!$H$95,IF($A76&lt;Input!$G$95,IF($A76&lt;Input!$F$95,IF($A76&lt;Input!$E$95,IF($A76&lt;Input!$D$95,Input!$C$96,Input!$D$96),Input!$E$96),Input!$F$96),Input!$G$96),Input!$H$96)</f>
        <v>0.9</v>
      </c>
      <c r="AY76" s="60">
        <f t="shared" si="75"/>
        <v>0</v>
      </c>
      <c r="AZ76" s="60">
        <f t="shared" si="76"/>
        <v>31</v>
      </c>
      <c r="BA76" s="60">
        <f t="shared" si="77"/>
        <v>0</v>
      </c>
      <c r="BB76" s="60">
        <f>ROUND(BA76*AZ76*Input!$C$3/365,0)</f>
        <v>0</v>
      </c>
      <c r="BC76" s="61">
        <f>IF($A76&lt;=Input!$C$6,0,IF('180M'!AY76&lt;'180M'!BA76,'180M'!AY76-BB76,'180M'!BA76))</f>
        <v>0</v>
      </c>
      <c r="BD76" s="61">
        <f t="shared" si="78"/>
        <v>0</v>
      </c>
      <c r="BE76" s="60">
        <f t="shared" si="79"/>
        <v>0</v>
      </c>
      <c r="BF76" s="193"/>
      <c r="BG76" s="169">
        <v>72</v>
      </c>
      <c r="BH76" s="1">
        <f t="shared" si="80"/>
        <v>47710</v>
      </c>
      <c r="BI76" s="60">
        <f>IF($X76&lt;Input!$H$103,IF($X76&lt;Input!$G$103,IF($X76&lt;Input!$F$103,IF($X76&lt;Input!$E$103,IF($X76&lt;Input!$D$103,Input!$C$109,Input!$D$109),Input!$E$109),Input!$F$109),Input!$G$109),Input!$H$109)</f>
        <v>0</v>
      </c>
      <c r="BJ76" s="190">
        <f>IF($A76&lt;Input!$H$110,IF($A76&lt;Input!$G$110,IF($A76&lt;Input!$F$110,IF($A76&lt;Input!$E$110,IF($A76&lt;Input!$D$110,Input!$C$111,Input!$D$111),Input!$E$111),Input!$F$111),Input!$G$111),Input!$H$111)</f>
        <v>0.9</v>
      </c>
      <c r="BK76" s="60">
        <f t="shared" si="57"/>
        <v>0</v>
      </c>
      <c r="BL76" s="60">
        <f t="shared" si="81"/>
        <v>31</v>
      </c>
      <c r="BM76" s="60">
        <f t="shared" si="58"/>
        <v>0</v>
      </c>
      <c r="BN76" s="60">
        <f>ROUND(BM76*BL76*Input!$C$3/365,0)</f>
        <v>0</v>
      </c>
      <c r="BO76" s="61">
        <f>IF($A76&lt;=Input!$C$6,0,IF('180M'!BK76&lt;'180M'!BM76,'180M'!BK76-BN76,'180M'!BM76))</f>
        <v>0</v>
      </c>
      <c r="BP76" s="61">
        <f t="shared" si="59"/>
        <v>0</v>
      </c>
      <c r="BQ76" s="60">
        <f t="shared" si="60"/>
        <v>0</v>
      </c>
      <c r="BR76" s="198"/>
    </row>
    <row r="77" spans="1:70" x14ac:dyDescent="0.25">
      <c r="A77" s="169">
        <v>73</v>
      </c>
      <c r="B77" s="1">
        <f t="shared" si="61"/>
        <v>47741</v>
      </c>
      <c r="C77" s="60">
        <f t="shared" si="47"/>
        <v>21781574.999999996</v>
      </c>
      <c r="D77" s="60">
        <f t="shared" si="48"/>
        <v>19603417.499999996</v>
      </c>
      <c r="E77" s="60">
        <f t="shared" si="62"/>
        <v>31</v>
      </c>
      <c r="F77" s="60">
        <f t="shared" si="63"/>
        <v>1466347039.4979434</v>
      </c>
      <c r="G77" s="60">
        <f>ROUND(F77*E77*Input!$C$3/365,0)</f>
        <v>18680860</v>
      </c>
      <c r="H77" s="60">
        <f>IF($A77&lt;=Input!$C$6,0,IF('180M'!D77&lt;'180M'!F77,'180M'!D77-G77,'180M'!F77))</f>
        <v>922557.49999999627</v>
      </c>
      <c r="I77" s="60">
        <f t="shared" si="64"/>
        <v>19603417.499999996</v>
      </c>
      <c r="J77" s="60">
        <f t="shared" si="65"/>
        <v>1465424481.9979434</v>
      </c>
      <c r="K77" s="203">
        <f>J77/Input!$K$5</f>
        <v>4.884748273326478</v>
      </c>
      <c r="L77" s="232"/>
      <c r="M77" s="60">
        <f>IF($B77&lt;Input!$H$43,IF($B77&lt;Input!$G$43,IF($B77&lt;Input!$F$43,IF($B77&lt;Input!$E$43,IF($B77&lt;Input!$D$43,Input!$C$49,Input!$D$49),Input!$E$49),Input!$F$49),Input!$G$49),Input!$H$49)</f>
        <v>21781574.999999996</v>
      </c>
      <c r="N77" s="190">
        <f>IF($A77&lt;Input!$H$50,IF($A77&lt;Input!$G$50,IF($A77&lt;Input!$F$50,IF($A77&lt;Input!$E$50,IF($A77&lt;Input!$D$50,Input!$C$51,Input!$D$51),Input!$E$51),Input!$F$51),Input!$G$51),Input!$H$51)</f>
        <v>0.9</v>
      </c>
      <c r="O77" s="60">
        <f t="shared" si="46"/>
        <v>19603417.499999996</v>
      </c>
      <c r="P77" s="60">
        <f t="shared" si="49"/>
        <v>31</v>
      </c>
      <c r="Q77" s="60">
        <f t="shared" si="50"/>
        <v>1466347039.4979434</v>
      </c>
      <c r="R77" s="60">
        <f>ROUND(Q77*$P77*Input!$C$3/365,0)</f>
        <v>18680860</v>
      </c>
      <c r="S77" s="60">
        <f>IF(A77&lt;=Input!$C$6,0,IF('180M'!O77&lt;'180M'!Q77,'180M'!O77-R77,'180M'!Q77))</f>
        <v>922557.49999999627</v>
      </c>
      <c r="T77" s="60">
        <f t="shared" si="51"/>
        <v>19603417.499999996</v>
      </c>
      <c r="U77" s="60">
        <f t="shared" si="52"/>
        <v>1465424481.9979434</v>
      </c>
      <c r="V77" s="193"/>
      <c r="W77" s="169">
        <v>73</v>
      </c>
      <c r="X77" s="1">
        <f t="shared" si="66"/>
        <v>47741</v>
      </c>
      <c r="Y77" s="60">
        <f>IF($X77&lt;Input!$H$58,IF($X77&lt;Input!$G$58,IF($X77&lt;Input!$F$58,IF($X77&lt;Input!$E$58,IF($X77&lt;Input!$D$58,Input!$C$64,Input!$D$64),Input!$E$64),Input!$F$64),Input!$G$64),Input!$H$64)</f>
        <v>0</v>
      </c>
      <c r="Z77" s="190">
        <f>IF($A77&lt;Input!$H$65,IF($A77&lt;Input!$G$65,IF($A77&lt;Input!$F$65,IF($A77&lt;Input!$E$65,IF($A77&lt;Input!$D$65,Input!$C$66,Input!$D$66),Input!$E$66),Input!$F$66),Input!$G$66),Input!$H$66)</f>
        <v>0.9</v>
      </c>
      <c r="AA77" s="60">
        <f t="shared" si="53"/>
        <v>0</v>
      </c>
      <c r="AB77" s="60">
        <f t="shared" si="67"/>
        <v>31</v>
      </c>
      <c r="AC77" s="60">
        <f t="shared" si="54"/>
        <v>0</v>
      </c>
      <c r="AD77" s="60">
        <f>ROUND(AC77*AB77*Input!$C$3/365,0)</f>
        <v>0</v>
      </c>
      <c r="AE77" s="61">
        <f>IF($A77&lt;=Input!$C$6,0,IF('180M'!AA77&lt;'180M'!AC77,'180M'!AA77-AD77,'180M'!AC77))</f>
        <v>0</v>
      </c>
      <c r="AF77" s="61">
        <f t="shared" si="55"/>
        <v>0</v>
      </c>
      <c r="AG77" s="60">
        <f t="shared" si="56"/>
        <v>0</v>
      </c>
      <c r="AH77" s="193"/>
      <c r="AI77" s="169">
        <v>73</v>
      </c>
      <c r="AJ77" s="1">
        <f t="shared" si="68"/>
        <v>47741</v>
      </c>
      <c r="AK77" s="60">
        <f>IF($X77&lt;Input!$H$73,IF($X77&lt;Input!$G$73,IF($X77&lt;Input!$F$73,IF($X77&lt;Input!$E$73,IF($X77&lt;Input!$D$73,Input!$C$79,Input!$D$79),Input!$E$79),Input!$F$79),Input!$G$79),Input!$H$79)</f>
        <v>0</v>
      </c>
      <c r="AL77" s="190">
        <f>IF($A77&lt;Input!$H$80,IF($A77&lt;Input!$G$80,IF($A77&lt;Input!$F$80,IF($A77&lt;Input!$E$80,IF($A77&lt;Input!$D$80,Input!$C$81,Input!$D$81),Input!$E$81),Input!$F$81),Input!$G$81),Input!$H$81)</f>
        <v>0.9</v>
      </c>
      <c r="AM77" s="60">
        <f t="shared" si="69"/>
        <v>0</v>
      </c>
      <c r="AN77" s="60">
        <f t="shared" si="70"/>
        <v>31</v>
      </c>
      <c r="AO77" s="60">
        <f t="shared" si="71"/>
        <v>0</v>
      </c>
      <c r="AP77" s="60">
        <f>ROUND(AO77*AN77*Input!$C$3/365,0)</f>
        <v>0</v>
      </c>
      <c r="AQ77" s="61">
        <f>IF($A77&lt;=Input!$C$6,0,IF('180M'!AM77&lt;'180M'!AO77,'180M'!AM77-AP77,'180M'!AO77))</f>
        <v>0</v>
      </c>
      <c r="AR77" s="61">
        <f t="shared" si="72"/>
        <v>0</v>
      </c>
      <c r="AS77" s="60">
        <f t="shared" si="73"/>
        <v>0</v>
      </c>
      <c r="AT77" s="193"/>
      <c r="AU77" s="169">
        <v>73</v>
      </c>
      <c r="AV77" s="1">
        <f t="shared" si="74"/>
        <v>47741</v>
      </c>
      <c r="AW77" s="60">
        <f>IF($X77&lt;Input!$H$88,IF($X77&lt;Input!$G$88,IF($X77&lt;Input!$F$88,IF($X77&lt;Input!$E$88,IF($X77&lt;Input!$D$88,Input!$C$94,Input!$D$94),Input!$E$94),Input!$F$94),Input!$G$94),Input!$H$94)</f>
        <v>0</v>
      </c>
      <c r="AX77" s="190">
        <f>IF($A77&lt;Input!$H$95,IF($A77&lt;Input!$G$95,IF($A77&lt;Input!$F$95,IF($A77&lt;Input!$E$95,IF($A77&lt;Input!$D$95,Input!$C$96,Input!$D$96),Input!$E$96),Input!$F$96),Input!$G$96),Input!$H$96)</f>
        <v>0.9</v>
      </c>
      <c r="AY77" s="60">
        <f t="shared" si="75"/>
        <v>0</v>
      </c>
      <c r="AZ77" s="60">
        <f t="shared" si="76"/>
        <v>31</v>
      </c>
      <c r="BA77" s="60">
        <f t="shared" si="77"/>
        <v>0</v>
      </c>
      <c r="BB77" s="60">
        <f>ROUND(BA77*AZ77*Input!$C$3/365,0)</f>
        <v>0</v>
      </c>
      <c r="BC77" s="61">
        <f>IF($A77&lt;=Input!$C$6,0,IF('180M'!AY77&lt;'180M'!BA77,'180M'!AY77-BB77,'180M'!BA77))</f>
        <v>0</v>
      </c>
      <c r="BD77" s="61">
        <f t="shared" si="78"/>
        <v>0</v>
      </c>
      <c r="BE77" s="60">
        <f t="shared" si="79"/>
        <v>0</v>
      </c>
      <c r="BF77" s="193"/>
      <c r="BG77" s="169">
        <v>73</v>
      </c>
      <c r="BH77" s="1">
        <f t="shared" si="80"/>
        <v>47741</v>
      </c>
      <c r="BI77" s="60">
        <f>IF($X77&lt;Input!$H$103,IF($X77&lt;Input!$G$103,IF($X77&lt;Input!$F$103,IF($X77&lt;Input!$E$103,IF($X77&lt;Input!$D$103,Input!$C$109,Input!$D$109),Input!$E$109),Input!$F$109),Input!$G$109),Input!$H$109)</f>
        <v>0</v>
      </c>
      <c r="BJ77" s="190">
        <f>IF($A77&lt;Input!$H$110,IF($A77&lt;Input!$G$110,IF($A77&lt;Input!$F$110,IF($A77&lt;Input!$E$110,IF($A77&lt;Input!$D$110,Input!$C$111,Input!$D$111),Input!$E$111),Input!$F$111),Input!$G$111),Input!$H$111)</f>
        <v>0.9</v>
      </c>
      <c r="BK77" s="60">
        <f t="shared" si="57"/>
        <v>0</v>
      </c>
      <c r="BL77" s="60">
        <f t="shared" si="81"/>
        <v>31</v>
      </c>
      <c r="BM77" s="60">
        <f t="shared" si="58"/>
        <v>0</v>
      </c>
      <c r="BN77" s="60">
        <f>ROUND(BM77*BL77*Input!$C$3/365,0)</f>
        <v>0</v>
      </c>
      <c r="BO77" s="61">
        <f>IF($A77&lt;=Input!$C$6,0,IF('180M'!BK77&lt;'180M'!BM77,'180M'!BK77-BN77,'180M'!BM77))</f>
        <v>0</v>
      </c>
      <c r="BP77" s="61">
        <f t="shared" si="59"/>
        <v>0</v>
      </c>
      <c r="BQ77" s="60">
        <f t="shared" si="60"/>
        <v>0</v>
      </c>
      <c r="BR77" s="198"/>
    </row>
    <row r="78" spans="1:70" x14ac:dyDescent="0.25">
      <c r="A78" s="169">
        <v>74</v>
      </c>
      <c r="B78" s="1">
        <f t="shared" si="61"/>
        <v>47771</v>
      </c>
      <c r="C78" s="60">
        <f t="shared" si="47"/>
        <v>21781574.999999996</v>
      </c>
      <c r="D78" s="60">
        <f t="shared" si="48"/>
        <v>19603417.499999996</v>
      </c>
      <c r="E78" s="60">
        <f t="shared" si="62"/>
        <v>30</v>
      </c>
      <c r="F78" s="60">
        <f t="shared" si="63"/>
        <v>1465424481.9979434</v>
      </c>
      <c r="G78" s="60">
        <f>ROUND(F78*E78*Input!$C$3/365,0)</f>
        <v>18066877</v>
      </c>
      <c r="H78" s="60">
        <f>IF($A78&lt;=Input!$C$6,0,IF('180M'!D78&lt;'180M'!F78,'180M'!D78-G78,'180M'!F78))</f>
        <v>1536540.4999999963</v>
      </c>
      <c r="I78" s="60">
        <f t="shared" si="64"/>
        <v>19603417.499999996</v>
      </c>
      <c r="J78" s="60">
        <f t="shared" si="65"/>
        <v>1463887941.4979434</v>
      </c>
      <c r="K78" s="203">
        <f>J78/Input!$K$5</f>
        <v>4.8796264716598117</v>
      </c>
      <c r="L78" s="232"/>
      <c r="M78" s="60">
        <f>IF($B78&lt;Input!$H$43,IF($B78&lt;Input!$G$43,IF($B78&lt;Input!$F$43,IF($B78&lt;Input!$E$43,IF($B78&lt;Input!$D$43,Input!$C$49,Input!$D$49),Input!$E$49),Input!$F$49),Input!$G$49),Input!$H$49)</f>
        <v>21781574.999999996</v>
      </c>
      <c r="N78" s="190">
        <f>IF($A78&lt;Input!$H$50,IF($A78&lt;Input!$G$50,IF($A78&lt;Input!$F$50,IF($A78&lt;Input!$E$50,IF($A78&lt;Input!$D$50,Input!$C$51,Input!$D$51),Input!$E$51),Input!$F$51),Input!$G$51),Input!$H$51)</f>
        <v>0.9</v>
      </c>
      <c r="O78" s="60">
        <f t="shared" si="46"/>
        <v>19603417.499999996</v>
      </c>
      <c r="P78" s="60">
        <f t="shared" si="49"/>
        <v>30</v>
      </c>
      <c r="Q78" s="60">
        <f t="shared" si="50"/>
        <v>1465424481.9979434</v>
      </c>
      <c r="R78" s="60">
        <f>ROUND(Q78*$P78*Input!$C$3/365,0)</f>
        <v>18066877</v>
      </c>
      <c r="S78" s="60">
        <f>IF(A78&lt;=Input!$C$6,0,IF('180M'!O78&lt;'180M'!Q78,'180M'!O78-R78,'180M'!Q78))</f>
        <v>1536540.4999999963</v>
      </c>
      <c r="T78" s="60">
        <f t="shared" si="51"/>
        <v>19603417.499999996</v>
      </c>
      <c r="U78" s="60">
        <f t="shared" si="52"/>
        <v>1463887941.4979434</v>
      </c>
      <c r="V78" s="193"/>
      <c r="W78" s="169">
        <v>74</v>
      </c>
      <c r="X78" s="1">
        <f t="shared" si="66"/>
        <v>47771</v>
      </c>
      <c r="Y78" s="60">
        <f>IF($X78&lt;Input!$H$58,IF($X78&lt;Input!$G$58,IF($X78&lt;Input!$F$58,IF($X78&lt;Input!$E$58,IF($X78&lt;Input!$D$58,Input!$C$64,Input!$D$64),Input!$E$64),Input!$F$64),Input!$G$64),Input!$H$64)</f>
        <v>0</v>
      </c>
      <c r="Z78" s="190">
        <f>IF($A78&lt;Input!$H$65,IF($A78&lt;Input!$G$65,IF($A78&lt;Input!$F$65,IF($A78&lt;Input!$E$65,IF($A78&lt;Input!$D$65,Input!$C$66,Input!$D$66),Input!$E$66),Input!$F$66),Input!$G$66),Input!$H$66)</f>
        <v>0.9</v>
      </c>
      <c r="AA78" s="60">
        <f t="shared" si="53"/>
        <v>0</v>
      </c>
      <c r="AB78" s="60">
        <f t="shared" si="67"/>
        <v>30</v>
      </c>
      <c r="AC78" s="60">
        <f t="shared" si="54"/>
        <v>0</v>
      </c>
      <c r="AD78" s="60">
        <f>ROUND(AC78*AB78*Input!$C$3/365,0)</f>
        <v>0</v>
      </c>
      <c r="AE78" s="61">
        <f>IF($A78&lt;=Input!$C$6,0,IF('180M'!AA78&lt;'180M'!AC78,'180M'!AA78-AD78,'180M'!AC78))</f>
        <v>0</v>
      </c>
      <c r="AF78" s="61">
        <f t="shared" si="55"/>
        <v>0</v>
      </c>
      <c r="AG78" s="60">
        <f t="shared" si="56"/>
        <v>0</v>
      </c>
      <c r="AH78" s="193"/>
      <c r="AI78" s="169">
        <v>74</v>
      </c>
      <c r="AJ78" s="1">
        <f t="shared" si="68"/>
        <v>47771</v>
      </c>
      <c r="AK78" s="60">
        <f>IF($X78&lt;Input!$H$73,IF($X78&lt;Input!$G$73,IF($X78&lt;Input!$F$73,IF($X78&lt;Input!$E$73,IF($X78&lt;Input!$D$73,Input!$C$79,Input!$D$79),Input!$E$79),Input!$F$79),Input!$G$79),Input!$H$79)</f>
        <v>0</v>
      </c>
      <c r="AL78" s="190">
        <f>IF($A78&lt;Input!$H$80,IF($A78&lt;Input!$G$80,IF($A78&lt;Input!$F$80,IF($A78&lt;Input!$E$80,IF($A78&lt;Input!$D$80,Input!$C$81,Input!$D$81),Input!$E$81),Input!$F$81),Input!$G$81),Input!$H$81)</f>
        <v>0.9</v>
      </c>
      <c r="AM78" s="60">
        <f t="shared" si="69"/>
        <v>0</v>
      </c>
      <c r="AN78" s="60">
        <f t="shared" si="70"/>
        <v>30</v>
      </c>
      <c r="AO78" s="60">
        <f t="shared" si="71"/>
        <v>0</v>
      </c>
      <c r="AP78" s="60">
        <f>ROUND(AO78*AN78*Input!$C$3/365,0)</f>
        <v>0</v>
      </c>
      <c r="AQ78" s="61">
        <f>IF($A78&lt;=Input!$C$6,0,IF('180M'!AM78&lt;'180M'!AO78,'180M'!AM78-AP78,'180M'!AO78))</f>
        <v>0</v>
      </c>
      <c r="AR78" s="61">
        <f t="shared" si="72"/>
        <v>0</v>
      </c>
      <c r="AS78" s="60">
        <f t="shared" si="73"/>
        <v>0</v>
      </c>
      <c r="AT78" s="193"/>
      <c r="AU78" s="169">
        <v>74</v>
      </c>
      <c r="AV78" s="1">
        <f t="shared" si="74"/>
        <v>47771</v>
      </c>
      <c r="AW78" s="60">
        <f>IF($X78&lt;Input!$H$88,IF($X78&lt;Input!$G$88,IF($X78&lt;Input!$F$88,IF($X78&lt;Input!$E$88,IF($X78&lt;Input!$D$88,Input!$C$94,Input!$D$94),Input!$E$94),Input!$F$94),Input!$G$94),Input!$H$94)</f>
        <v>0</v>
      </c>
      <c r="AX78" s="190">
        <f>IF($A78&lt;Input!$H$95,IF($A78&lt;Input!$G$95,IF($A78&lt;Input!$F$95,IF($A78&lt;Input!$E$95,IF($A78&lt;Input!$D$95,Input!$C$96,Input!$D$96),Input!$E$96),Input!$F$96),Input!$G$96),Input!$H$96)</f>
        <v>0.9</v>
      </c>
      <c r="AY78" s="60">
        <f t="shared" si="75"/>
        <v>0</v>
      </c>
      <c r="AZ78" s="60">
        <f t="shared" si="76"/>
        <v>30</v>
      </c>
      <c r="BA78" s="60">
        <f t="shared" si="77"/>
        <v>0</v>
      </c>
      <c r="BB78" s="60">
        <f>ROUND(BA78*AZ78*Input!$C$3/365,0)</f>
        <v>0</v>
      </c>
      <c r="BC78" s="61">
        <f>IF($A78&lt;=Input!$C$6,0,IF('180M'!AY78&lt;'180M'!BA78,'180M'!AY78-BB78,'180M'!BA78))</f>
        <v>0</v>
      </c>
      <c r="BD78" s="61">
        <f t="shared" si="78"/>
        <v>0</v>
      </c>
      <c r="BE78" s="60">
        <f t="shared" si="79"/>
        <v>0</v>
      </c>
      <c r="BF78" s="193"/>
      <c r="BG78" s="169">
        <v>74</v>
      </c>
      <c r="BH78" s="1">
        <f t="shared" si="80"/>
        <v>47771</v>
      </c>
      <c r="BI78" s="60">
        <f>IF($X78&lt;Input!$H$103,IF($X78&lt;Input!$G$103,IF($X78&lt;Input!$F$103,IF($X78&lt;Input!$E$103,IF($X78&lt;Input!$D$103,Input!$C$109,Input!$D$109),Input!$E$109),Input!$F$109),Input!$G$109),Input!$H$109)</f>
        <v>0</v>
      </c>
      <c r="BJ78" s="190">
        <f>IF($A78&lt;Input!$H$110,IF($A78&lt;Input!$G$110,IF($A78&lt;Input!$F$110,IF($A78&lt;Input!$E$110,IF($A78&lt;Input!$D$110,Input!$C$111,Input!$D$111),Input!$E$111),Input!$F$111),Input!$G$111),Input!$H$111)</f>
        <v>0.9</v>
      </c>
      <c r="BK78" s="60">
        <f t="shared" si="57"/>
        <v>0</v>
      </c>
      <c r="BL78" s="60">
        <f t="shared" si="81"/>
        <v>30</v>
      </c>
      <c r="BM78" s="60">
        <f t="shared" si="58"/>
        <v>0</v>
      </c>
      <c r="BN78" s="60">
        <f>ROUND(BM78*BL78*Input!$C$3/365,0)</f>
        <v>0</v>
      </c>
      <c r="BO78" s="61">
        <f>IF($A78&lt;=Input!$C$6,0,IF('180M'!BK78&lt;'180M'!BM78,'180M'!BK78-BN78,'180M'!BM78))</f>
        <v>0</v>
      </c>
      <c r="BP78" s="61">
        <f t="shared" si="59"/>
        <v>0</v>
      </c>
      <c r="BQ78" s="60">
        <f t="shared" si="60"/>
        <v>0</v>
      </c>
      <c r="BR78" s="198"/>
    </row>
    <row r="79" spans="1:70" x14ac:dyDescent="0.25">
      <c r="A79" s="169">
        <v>75</v>
      </c>
      <c r="B79" s="1">
        <f t="shared" si="61"/>
        <v>47802</v>
      </c>
      <c r="C79" s="60">
        <f t="shared" si="47"/>
        <v>21781574.999999996</v>
      </c>
      <c r="D79" s="60">
        <f t="shared" si="48"/>
        <v>19603417.499999996</v>
      </c>
      <c r="E79" s="60">
        <f t="shared" si="62"/>
        <v>31</v>
      </c>
      <c r="F79" s="60">
        <f t="shared" si="63"/>
        <v>1463887941.4979434</v>
      </c>
      <c r="G79" s="60">
        <f>ROUND(F79*E79*Input!$C$3/365,0)</f>
        <v>18649531</v>
      </c>
      <c r="H79" s="60">
        <f>IF($A79&lt;=Input!$C$6,0,IF('180M'!D79&lt;'180M'!F79,'180M'!D79-G79,'180M'!F79))</f>
        <v>953886.49999999627</v>
      </c>
      <c r="I79" s="60">
        <f t="shared" si="64"/>
        <v>19603417.499999996</v>
      </c>
      <c r="J79" s="60">
        <f t="shared" si="65"/>
        <v>1462934054.9979434</v>
      </c>
      <c r="K79" s="203">
        <f>J79/Input!$K$5</f>
        <v>4.8764468499931448</v>
      </c>
      <c r="L79" s="232"/>
      <c r="M79" s="60">
        <f>IF($B79&lt;Input!$H$43,IF($B79&lt;Input!$G$43,IF($B79&lt;Input!$F$43,IF($B79&lt;Input!$E$43,IF($B79&lt;Input!$D$43,Input!$C$49,Input!$D$49),Input!$E$49),Input!$F$49),Input!$G$49),Input!$H$49)</f>
        <v>21781574.999999996</v>
      </c>
      <c r="N79" s="190">
        <f>IF($A79&lt;Input!$H$50,IF($A79&lt;Input!$G$50,IF($A79&lt;Input!$F$50,IF($A79&lt;Input!$E$50,IF($A79&lt;Input!$D$50,Input!$C$51,Input!$D$51),Input!$E$51),Input!$F$51),Input!$G$51),Input!$H$51)</f>
        <v>0.9</v>
      </c>
      <c r="O79" s="60">
        <f t="shared" si="46"/>
        <v>19603417.499999996</v>
      </c>
      <c r="P79" s="60">
        <f t="shared" si="49"/>
        <v>31</v>
      </c>
      <c r="Q79" s="60">
        <f t="shared" si="50"/>
        <v>1463887941.4979434</v>
      </c>
      <c r="R79" s="60">
        <f>ROUND(Q79*$P79*Input!$C$3/365,0)</f>
        <v>18649531</v>
      </c>
      <c r="S79" s="60">
        <f>IF(A79&lt;=Input!$C$6,0,IF('180M'!O79&lt;'180M'!Q79,'180M'!O79-R79,'180M'!Q79))</f>
        <v>953886.49999999627</v>
      </c>
      <c r="T79" s="60">
        <f t="shared" si="51"/>
        <v>19603417.499999996</v>
      </c>
      <c r="U79" s="60">
        <f t="shared" si="52"/>
        <v>1462934054.9979434</v>
      </c>
      <c r="V79" s="193"/>
      <c r="W79" s="169">
        <v>75</v>
      </c>
      <c r="X79" s="1">
        <f t="shared" si="66"/>
        <v>47802</v>
      </c>
      <c r="Y79" s="60">
        <f>IF($X79&lt;Input!$H$58,IF($X79&lt;Input!$G$58,IF($X79&lt;Input!$F$58,IF($X79&lt;Input!$E$58,IF($X79&lt;Input!$D$58,Input!$C$64,Input!$D$64),Input!$E$64),Input!$F$64),Input!$G$64),Input!$H$64)</f>
        <v>0</v>
      </c>
      <c r="Z79" s="190">
        <f>IF($A79&lt;Input!$H$65,IF($A79&lt;Input!$G$65,IF($A79&lt;Input!$F$65,IF($A79&lt;Input!$E$65,IF($A79&lt;Input!$D$65,Input!$C$66,Input!$D$66),Input!$E$66),Input!$F$66),Input!$G$66),Input!$H$66)</f>
        <v>0.9</v>
      </c>
      <c r="AA79" s="60">
        <f t="shared" si="53"/>
        <v>0</v>
      </c>
      <c r="AB79" s="60">
        <f t="shared" si="67"/>
        <v>31</v>
      </c>
      <c r="AC79" s="60">
        <f t="shared" si="54"/>
        <v>0</v>
      </c>
      <c r="AD79" s="60">
        <f>ROUND(AC79*AB79*Input!$C$3/365,0)</f>
        <v>0</v>
      </c>
      <c r="AE79" s="61">
        <f>IF($A79&lt;=Input!$C$6,0,IF('180M'!AA79&lt;'180M'!AC79,'180M'!AA79-AD79,'180M'!AC79))</f>
        <v>0</v>
      </c>
      <c r="AF79" s="61">
        <f t="shared" si="55"/>
        <v>0</v>
      </c>
      <c r="AG79" s="60">
        <f t="shared" si="56"/>
        <v>0</v>
      </c>
      <c r="AH79" s="193"/>
      <c r="AI79" s="169">
        <v>75</v>
      </c>
      <c r="AJ79" s="1">
        <f t="shared" si="68"/>
        <v>47802</v>
      </c>
      <c r="AK79" s="60">
        <f>IF($X79&lt;Input!$H$73,IF($X79&lt;Input!$G$73,IF($X79&lt;Input!$F$73,IF($X79&lt;Input!$E$73,IF($X79&lt;Input!$D$73,Input!$C$79,Input!$D$79),Input!$E$79),Input!$F$79),Input!$G$79),Input!$H$79)</f>
        <v>0</v>
      </c>
      <c r="AL79" s="190">
        <f>IF($A79&lt;Input!$H$80,IF($A79&lt;Input!$G$80,IF($A79&lt;Input!$F$80,IF($A79&lt;Input!$E$80,IF($A79&lt;Input!$D$80,Input!$C$81,Input!$D$81),Input!$E$81),Input!$F$81),Input!$G$81),Input!$H$81)</f>
        <v>0.9</v>
      </c>
      <c r="AM79" s="60">
        <f t="shared" si="69"/>
        <v>0</v>
      </c>
      <c r="AN79" s="60">
        <f t="shared" si="70"/>
        <v>31</v>
      </c>
      <c r="AO79" s="60">
        <f t="shared" si="71"/>
        <v>0</v>
      </c>
      <c r="AP79" s="60">
        <f>ROUND(AO79*AN79*Input!$C$3/365,0)</f>
        <v>0</v>
      </c>
      <c r="AQ79" s="61">
        <f>IF($A79&lt;=Input!$C$6,0,IF('180M'!AM79&lt;'180M'!AO79,'180M'!AM79-AP79,'180M'!AO79))</f>
        <v>0</v>
      </c>
      <c r="AR79" s="61">
        <f t="shared" si="72"/>
        <v>0</v>
      </c>
      <c r="AS79" s="60">
        <f t="shared" si="73"/>
        <v>0</v>
      </c>
      <c r="AT79" s="193"/>
      <c r="AU79" s="169">
        <v>75</v>
      </c>
      <c r="AV79" s="1">
        <f t="shared" si="74"/>
        <v>47802</v>
      </c>
      <c r="AW79" s="60">
        <f>IF($X79&lt;Input!$H$88,IF($X79&lt;Input!$G$88,IF($X79&lt;Input!$F$88,IF($X79&lt;Input!$E$88,IF($X79&lt;Input!$D$88,Input!$C$94,Input!$D$94),Input!$E$94),Input!$F$94),Input!$G$94),Input!$H$94)</f>
        <v>0</v>
      </c>
      <c r="AX79" s="190">
        <f>IF($A79&lt;Input!$H$95,IF($A79&lt;Input!$G$95,IF($A79&lt;Input!$F$95,IF($A79&lt;Input!$E$95,IF($A79&lt;Input!$D$95,Input!$C$96,Input!$D$96),Input!$E$96),Input!$F$96),Input!$G$96),Input!$H$96)</f>
        <v>0.9</v>
      </c>
      <c r="AY79" s="60">
        <f t="shared" si="75"/>
        <v>0</v>
      </c>
      <c r="AZ79" s="60">
        <f t="shared" si="76"/>
        <v>31</v>
      </c>
      <c r="BA79" s="60">
        <f t="shared" si="77"/>
        <v>0</v>
      </c>
      <c r="BB79" s="60">
        <f>ROUND(BA79*AZ79*Input!$C$3/365,0)</f>
        <v>0</v>
      </c>
      <c r="BC79" s="61">
        <f>IF($A79&lt;=Input!$C$6,0,IF('180M'!AY79&lt;'180M'!BA79,'180M'!AY79-BB79,'180M'!BA79))</f>
        <v>0</v>
      </c>
      <c r="BD79" s="61">
        <f t="shared" si="78"/>
        <v>0</v>
      </c>
      <c r="BE79" s="60">
        <f t="shared" si="79"/>
        <v>0</v>
      </c>
      <c r="BF79" s="193"/>
      <c r="BG79" s="169">
        <v>75</v>
      </c>
      <c r="BH79" s="1">
        <f t="shared" si="80"/>
        <v>47802</v>
      </c>
      <c r="BI79" s="60">
        <f>IF($X79&lt;Input!$H$103,IF($X79&lt;Input!$G$103,IF($X79&lt;Input!$F$103,IF($X79&lt;Input!$E$103,IF($X79&lt;Input!$D$103,Input!$C$109,Input!$D$109),Input!$E$109),Input!$F$109),Input!$G$109),Input!$H$109)</f>
        <v>0</v>
      </c>
      <c r="BJ79" s="190">
        <f>IF($A79&lt;Input!$H$110,IF($A79&lt;Input!$G$110,IF($A79&lt;Input!$F$110,IF($A79&lt;Input!$E$110,IF($A79&lt;Input!$D$110,Input!$C$111,Input!$D$111),Input!$E$111),Input!$F$111),Input!$G$111),Input!$H$111)</f>
        <v>0.9</v>
      </c>
      <c r="BK79" s="60">
        <f t="shared" si="57"/>
        <v>0</v>
      </c>
      <c r="BL79" s="60">
        <f t="shared" si="81"/>
        <v>31</v>
      </c>
      <c r="BM79" s="60">
        <f t="shared" si="58"/>
        <v>0</v>
      </c>
      <c r="BN79" s="60">
        <f>ROUND(BM79*BL79*Input!$C$3/365,0)</f>
        <v>0</v>
      </c>
      <c r="BO79" s="61">
        <f>IF($A79&lt;=Input!$C$6,0,IF('180M'!BK79&lt;'180M'!BM79,'180M'!BK79-BN79,'180M'!BM79))</f>
        <v>0</v>
      </c>
      <c r="BP79" s="61">
        <f t="shared" si="59"/>
        <v>0</v>
      </c>
      <c r="BQ79" s="60">
        <f t="shared" si="60"/>
        <v>0</v>
      </c>
      <c r="BR79" s="198"/>
    </row>
    <row r="80" spans="1:70" x14ac:dyDescent="0.25">
      <c r="A80" s="169">
        <v>76</v>
      </c>
      <c r="B80" s="1">
        <f t="shared" si="61"/>
        <v>47832</v>
      </c>
      <c r="C80" s="60">
        <f t="shared" si="47"/>
        <v>21781574.999999996</v>
      </c>
      <c r="D80" s="60">
        <f t="shared" si="48"/>
        <v>19603417.499999996</v>
      </c>
      <c r="E80" s="60">
        <f t="shared" si="62"/>
        <v>30</v>
      </c>
      <c r="F80" s="60">
        <f t="shared" si="63"/>
        <v>1462934054.9979434</v>
      </c>
      <c r="G80" s="60">
        <f>ROUND(F80*E80*Input!$C$3/365,0)</f>
        <v>18036173</v>
      </c>
      <c r="H80" s="60">
        <f>IF($A80&lt;=Input!$C$6,0,IF('180M'!D80&lt;'180M'!F80,'180M'!D80-G80,'180M'!F80))</f>
        <v>1567244.4999999963</v>
      </c>
      <c r="I80" s="60">
        <f t="shared" si="64"/>
        <v>19603417.499999996</v>
      </c>
      <c r="J80" s="60">
        <f t="shared" si="65"/>
        <v>1461366810.4979434</v>
      </c>
      <c r="K80" s="203">
        <f>J80/Input!$K$5</f>
        <v>4.8712227016598115</v>
      </c>
      <c r="L80" s="232"/>
      <c r="M80" s="60">
        <f>IF($B80&lt;Input!$H$43,IF($B80&lt;Input!$G$43,IF($B80&lt;Input!$F$43,IF($B80&lt;Input!$E$43,IF($B80&lt;Input!$D$43,Input!$C$49,Input!$D$49),Input!$E$49),Input!$F$49),Input!$G$49),Input!$H$49)</f>
        <v>21781574.999999996</v>
      </c>
      <c r="N80" s="190">
        <f>IF($A80&lt;Input!$H$50,IF($A80&lt;Input!$G$50,IF($A80&lt;Input!$F$50,IF($A80&lt;Input!$E$50,IF($A80&lt;Input!$D$50,Input!$C$51,Input!$D$51),Input!$E$51),Input!$F$51),Input!$G$51),Input!$H$51)</f>
        <v>0.9</v>
      </c>
      <c r="O80" s="60">
        <f t="shared" si="46"/>
        <v>19603417.499999996</v>
      </c>
      <c r="P80" s="60">
        <f t="shared" si="49"/>
        <v>30</v>
      </c>
      <c r="Q80" s="60">
        <f t="shared" si="50"/>
        <v>1462934054.9979434</v>
      </c>
      <c r="R80" s="60">
        <f>ROUND(Q80*$P80*Input!$C$3/365,0)</f>
        <v>18036173</v>
      </c>
      <c r="S80" s="60">
        <f>IF(A80&lt;=Input!$C$6,0,IF('180M'!O80&lt;'180M'!Q80,'180M'!O80-R80,'180M'!Q80))</f>
        <v>1567244.4999999963</v>
      </c>
      <c r="T80" s="60">
        <f t="shared" si="51"/>
        <v>19603417.499999996</v>
      </c>
      <c r="U80" s="60">
        <f t="shared" si="52"/>
        <v>1461366810.4979434</v>
      </c>
      <c r="V80" s="193"/>
      <c r="W80" s="169">
        <v>76</v>
      </c>
      <c r="X80" s="1">
        <f t="shared" si="66"/>
        <v>47832</v>
      </c>
      <c r="Y80" s="60">
        <f>IF($X80&lt;Input!$H$58,IF($X80&lt;Input!$G$58,IF($X80&lt;Input!$F$58,IF($X80&lt;Input!$E$58,IF($X80&lt;Input!$D$58,Input!$C$64,Input!$D$64),Input!$E$64),Input!$F$64),Input!$G$64),Input!$H$64)</f>
        <v>0</v>
      </c>
      <c r="Z80" s="190">
        <f>IF($A80&lt;Input!$H$65,IF($A80&lt;Input!$G$65,IF($A80&lt;Input!$F$65,IF($A80&lt;Input!$E$65,IF($A80&lt;Input!$D$65,Input!$C$66,Input!$D$66),Input!$E$66),Input!$F$66),Input!$G$66),Input!$H$66)</f>
        <v>0.9</v>
      </c>
      <c r="AA80" s="60">
        <f t="shared" si="53"/>
        <v>0</v>
      </c>
      <c r="AB80" s="60">
        <f t="shared" si="67"/>
        <v>30</v>
      </c>
      <c r="AC80" s="60">
        <f t="shared" si="54"/>
        <v>0</v>
      </c>
      <c r="AD80" s="60">
        <f>ROUND(AC80*AB80*Input!$C$3/365,0)</f>
        <v>0</v>
      </c>
      <c r="AE80" s="61">
        <f>IF($A80&lt;=Input!$C$6,0,IF('180M'!AA80&lt;'180M'!AC80,'180M'!AA80-AD80,'180M'!AC80))</f>
        <v>0</v>
      </c>
      <c r="AF80" s="61">
        <f t="shared" si="55"/>
        <v>0</v>
      </c>
      <c r="AG80" s="60">
        <f t="shared" si="56"/>
        <v>0</v>
      </c>
      <c r="AH80" s="193"/>
      <c r="AI80" s="169">
        <v>76</v>
      </c>
      <c r="AJ80" s="1">
        <f t="shared" si="68"/>
        <v>47832</v>
      </c>
      <c r="AK80" s="60">
        <f>IF($X80&lt;Input!$H$73,IF($X80&lt;Input!$G$73,IF($X80&lt;Input!$F$73,IF($X80&lt;Input!$E$73,IF($X80&lt;Input!$D$73,Input!$C$79,Input!$D$79),Input!$E$79),Input!$F$79),Input!$G$79),Input!$H$79)</f>
        <v>0</v>
      </c>
      <c r="AL80" s="190">
        <f>IF($A80&lt;Input!$H$80,IF($A80&lt;Input!$G$80,IF($A80&lt;Input!$F$80,IF($A80&lt;Input!$E$80,IF($A80&lt;Input!$D$80,Input!$C$81,Input!$D$81),Input!$E$81),Input!$F$81),Input!$G$81),Input!$H$81)</f>
        <v>0.9</v>
      </c>
      <c r="AM80" s="60">
        <f t="shared" si="69"/>
        <v>0</v>
      </c>
      <c r="AN80" s="60">
        <f t="shared" si="70"/>
        <v>30</v>
      </c>
      <c r="AO80" s="60">
        <f t="shared" si="71"/>
        <v>0</v>
      </c>
      <c r="AP80" s="60">
        <f>ROUND(AO80*AN80*Input!$C$3/365,0)</f>
        <v>0</v>
      </c>
      <c r="AQ80" s="61">
        <f>IF($A80&lt;=Input!$C$6,0,IF('180M'!AM80&lt;'180M'!AO80,'180M'!AM80-AP80,'180M'!AO80))</f>
        <v>0</v>
      </c>
      <c r="AR80" s="61">
        <f t="shared" si="72"/>
        <v>0</v>
      </c>
      <c r="AS80" s="60">
        <f t="shared" si="73"/>
        <v>0</v>
      </c>
      <c r="AT80" s="193"/>
      <c r="AU80" s="169">
        <v>76</v>
      </c>
      <c r="AV80" s="1">
        <f t="shared" si="74"/>
        <v>47832</v>
      </c>
      <c r="AW80" s="60">
        <f>IF($X80&lt;Input!$H$88,IF($X80&lt;Input!$G$88,IF($X80&lt;Input!$F$88,IF($X80&lt;Input!$E$88,IF($X80&lt;Input!$D$88,Input!$C$94,Input!$D$94),Input!$E$94),Input!$F$94),Input!$G$94),Input!$H$94)</f>
        <v>0</v>
      </c>
      <c r="AX80" s="190">
        <f>IF($A80&lt;Input!$H$95,IF($A80&lt;Input!$G$95,IF($A80&lt;Input!$F$95,IF($A80&lt;Input!$E$95,IF($A80&lt;Input!$D$95,Input!$C$96,Input!$D$96),Input!$E$96),Input!$F$96),Input!$G$96),Input!$H$96)</f>
        <v>0.9</v>
      </c>
      <c r="AY80" s="60">
        <f t="shared" si="75"/>
        <v>0</v>
      </c>
      <c r="AZ80" s="60">
        <f t="shared" si="76"/>
        <v>30</v>
      </c>
      <c r="BA80" s="60">
        <f t="shared" si="77"/>
        <v>0</v>
      </c>
      <c r="BB80" s="60">
        <f>ROUND(BA80*AZ80*Input!$C$3/365,0)</f>
        <v>0</v>
      </c>
      <c r="BC80" s="61">
        <f>IF($A80&lt;=Input!$C$6,0,IF('180M'!AY80&lt;'180M'!BA80,'180M'!AY80-BB80,'180M'!BA80))</f>
        <v>0</v>
      </c>
      <c r="BD80" s="61">
        <f t="shared" si="78"/>
        <v>0</v>
      </c>
      <c r="BE80" s="60">
        <f t="shared" si="79"/>
        <v>0</v>
      </c>
      <c r="BF80" s="193"/>
      <c r="BG80" s="169">
        <v>76</v>
      </c>
      <c r="BH80" s="1">
        <f t="shared" si="80"/>
        <v>47832</v>
      </c>
      <c r="BI80" s="60">
        <f>IF($X80&lt;Input!$H$103,IF($X80&lt;Input!$G$103,IF($X80&lt;Input!$F$103,IF($X80&lt;Input!$E$103,IF($X80&lt;Input!$D$103,Input!$C$109,Input!$D$109),Input!$E$109),Input!$F$109),Input!$G$109),Input!$H$109)</f>
        <v>0</v>
      </c>
      <c r="BJ80" s="190">
        <f>IF($A80&lt;Input!$H$110,IF($A80&lt;Input!$G$110,IF($A80&lt;Input!$F$110,IF($A80&lt;Input!$E$110,IF($A80&lt;Input!$D$110,Input!$C$111,Input!$D$111),Input!$E$111),Input!$F$111),Input!$G$111),Input!$H$111)</f>
        <v>0.9</v>
      </c>
      <c r="BK80" s="60">
        <f t="shared" si="57"/>
        <v>0</v>
      </c>
      <c r="BL80" s="60">
        <f t="shared" si="81"/>
        <v>30</v>
      </c>
      <c r="BM80" s="60">
        <f t="shared" si="58"/>
        <v>0</v>
      </c>
      <c r="BN80" s="60">
        <f>ROUND(BM80*BL80*Input!$C$3/365,0)</f>
        <v>0</v>
      </c>
      <c r="BO80" s="61">
        <f>IF($A80&lt;=Input!$C$6,0,IF('180M'!BK80&lt;'180M'!BM80,'180M'!BK80-BN80,'180M'!BM80))</f>
        <v>0</v>
      </c>
      <c r="BP80" s="61">
        <f t="shared" si="59"/>
        <v>0</v>
      </c>
      <c r="BQ80" s="60">
        <f t="shared" si="60"/>
        <v>0</v>
      </c>
      <c r="BR80" s="198"/>
    </row>
    <row r="81" spans="1:70" x14ac:dyDescent="0.25">
      <c r="A81" s="169">
        <v>77</v>
      </c>
      <c r="B81" s="1">
        <f t="shared" si="61"/>
        <v>47863</v>
      </c>
      <c r="C81" s="60">
        <f t="shared" si="47"/>
        <v>21781574.999999996</v>
      </c>
      <c r="D81" s="60">
        <f t="shared" si="48"/>
        <v>19603417.499999996</v>
      </c>
      <c r="E81" s="60">
        <f t="shared" si="62"/>
        <v>31</v>
      </c>
      <c r="F81" s="60">
        <f t="shared" si="63"/>
        <v>1461366810.4979434</v>
      </c>
      <c r="G81" s="60">
        <f>ROUND(F81*E81*Input!$C$3/365,0)</f>
        <v>18617413</v>
      </c>
      <c r="H81" s="60">
        <f>IF($A81&lt;=Input!$C$6,0,IF('180M'!D81&lt;'180M'!F81,'180M'!D81-G81,'180M'!F81))</f>
        <v>986004.49999999627</v>
      </c>
      <c r="I81" s="60">
        <f t="shared" si="64"/>
        <v>19603417.499999996</v>
      </c>
      <c r="J81" s="60">
        <f t="shared" si="65"/>
        <v>1460380805.9979434</v>
      </c>
      <c r="K81" s="203">
        <f>J81/Input!$K$5</f>
        <v>4.8679360199931443</v>
      </c>
      <c r="L81" s="232"/>
      <c r="M81" s="60">
        <f>IF($B81&lt;Input!$H$43,IF($B81&lt;Input!$G$43,IF($B81&lt;Input!$F$43,IF($B81&lt;Input!$E$43,IF($B81&lt;Input!$D$43,Input!$C$49,Input!$D$49),Input!$E$49),Input!$F$49),Input!$G$49),Input!$H$49)</f>
        <v>21781574.999999996</v>
      </c>
      <c r="N81" s="190">
        <f>IF($A81&lt;Input!$H$50,IF($A81&lt;Input!$G$50,IF($A81&lt;Input!$F$50,IF($A81&lt;Input!$E$50,IF($A81&lt;Input!$D$50,Input!$C$51,Input!$D$51),Input!$E$51),Input!$F$51),Input!$G$51),Input!$H$51)</f>
        <v>0.9</v>
      </c>
      <c r="O81" s="60">
        <f t="shared" si="46"/>
        <v>19603417.499999996</v>
      </c>
      <c r="P81" s="60">
        <f t="shared" si="49"/>
        <v>31</v>
      </c>
      <c r="Q81" s="60">
        <f t="shared" si="50"/>
        <v>1461366810.4979434</v>
      </c>
      <c r="R81" s="60">
        <f>ROUND(Q81*$P81*Input!$C$3/365,0)</f>
        <v>18617413</v>
      </c>
      <c r="S81" s="60">
        <f>IF(A81&lt;=Input!$C$6,0,IF('180M'!O81&lt;'180M'!Q81,'180M'!O81-R81,'180M'!Q81))</f>
        <v>986004.49999999627</v>
      </c>
      <c r="T81" s="60">
        <f t="shared" si="51"/>
        <v>19603417.499999996</v>
      </c>
      <c r="U81" s="60">
        <f t="shared" si="52"/>
        <v>1460380805.9979434</v>
      </c>
      <c r="V81" s="193"/>
      <c r="W81" s="169">
        <v>77</v>
      </c>
      <c r="X81" s="1">
        <f t="shared" si="66"/>
        <v>47863</v>
      </c>
      <c r="Y81" s="60">
        <f>IF($X81&lt;Input!$H$58,IF($X81&lt;Input!$G$58,IF($X81&lt;Input!$F$58,IF($X81&lt;Input!$E$58,IF($X81&lt;Input!$D$58,Input!$C$64,Input!$D$64),Input!$E$64),Input!$F$64),Input!$G$64),Input!$H$64)</f>
        <v>0</v>
      </c>
      <c r="Z81" s="190">
        <f>IF($A81&lt;Input!$H$65,IF($A81&lt;Input!$G$65,IF($A81&lt;Input!$F$65,IF($A81&lt;Input!$E$65,IF($A81&lt;Input!$D$65,Input!$C$66,Input!$D$66),Input!$E$66),Input!$F$66),Input!$G$66),Input!$H$66)</f>
        <v>0.9</v>
      </c>
      <c r="AA81" s="60">
        <f t="shared" si="53"/>
        <v>0</v>
      </c>
      <c r="AB81" s="60">
        <f t="shared" si="67"/>
        <v>31</v>
      </c>
      <c r="AC81" s="60">
        <f t="shared" si="54"/>
        <v>0</v>
      </c>
      <c r="AD81" s="60">
        <f>ROUND(AC81*AB81*Input!$C$3/365,0)</f>
        <v>0</v>
      </c>
      <c r="AE81" s="61">
        <f>IF($A81&lt;=Input!$C$6,0,IF('180M'!AA81&lt;'180M'!AC81,'180M'!AA81-AD81,'180M'!AC81))</f>
        <v>0</v>
      </c>
      <c r="AF81" s="61">
        <f t="shared" si="55"/>
        <v>0</v>
      </c>
      <c r="AG81" s="60">
        <f t="shared" si="56"/>
        <v>0</v>
      </c>
      <c r="AH81" s="193"/>
      <c r="AI81" s="169">
        <v>77</v>
      </c>
      <c r="AJ81" s="1">
        <f t="shared" si="68"/>
        <v>47863</v>
      </c>
      <c r="AK81" s="60">
        <f>IF($X81&lt;Input!$H$73,IF($X81&lt;Input!$G$73,IF($X81&lt;Input!$F$73,IF($X81&lt;Input!$E$73,IF($X81&lt;Input!$D$73,Input!$C$79,Input!$D$79),Input!$E$79),Input!$F$79),Input!$G$79),Input!$H$79)</f>
        <v>0</v>
      </c>
      <c r="AL81" s="190">
        <f>IF($A81&lt;Input!$H$80,IF($A81&lt;Input!$G$80,IF($A81&lt;Input!$F$80,IF($A81&lt;Input!$E$80,IF($A81&lt;Input!$D$80,Input!$C$81,Input!$D$81),Input!$E$81),Input!$F$81),Input!$G$81),Input!$H$81)</f>
        <v>0.9</v>
      </c>
      <c r="AM81" s="60">
        <f t="shared" si="69"/>
        <v>0</v>
      </c>
      <c r="AN81" s="60">
        <f t="shared" si="70"/>
        <v>31</v>
      </c>
      <c r="AO81" s="60">
        <f t="shared" si="71"/>
        <v>0</v>
      </c>
      <c r="AP81" s="60">
        <f>ROUND(AO81*AN81*Input!$C$3/365,0)</f>
        <v>0</v>
      </c>
      <c r="AQ81" s="61">
        <f>IF($A81&lt;=Input!$C$6,0,IF('180M'!AM81&lt;'180M'!AO81,'180M'!AM81-AP81,'180M'!AO81))</f>
        <v>0</v>
      </c>
      <c r="AR81" s="61">
        <f t="shared" si="72"/>
        <v>0</v>
      </c>
      <c r="AS81" s="60">
        <f t="shared" si="73"/>
        <v>0</v>
      </c>
      <c r="AT81" s="193"/>
      <c r="AU81" s="169">
        <v>77</v>
      </c>
      <c r="AV81" s="1">
        <f t="shared" si="74"/>
        <v>47863</v>
      </c>
      <c r="AW81" s="60">
        <f>IF($X81&lt;Input!$H$88,IF($X81&lt;Input!$G$88,IF($X81&lt;Input!$F$88,IF($X81&lt;Input!$E$88,IF($X81&lt;Input!$D$88,Input!$C$94,Input!$D$94),Input!$E$94),Input!$F$94),Input!$G$94),Input!$H$94)</f>
        <v>0</v>
      </c>
      <c r="AX81" s="190">
        <f>IF($A81&lt;Input!$H$95,IF($A81&lt;Input!$G$95,IF($A81&lt;Input!$F$95,IF($A81&lt;Input!$E$95,IF($A81&lt;Input!$D$95,Input!$C$96,Input!$D$96),Input!$E$96),Input!$F$96),Input!$G$96),Input!$H$96)</f>
        <v>0.9</v>
      </c>
      <c r="AY81" s="60">
        <f t="shared" si="75"/>
        <v>0</v>
      </c>
      <c r="AZ81" s="60">
        <f t="shared" si="76"/>
        <v>31</v>
      </c>
      <c r="BA81" s="60">
        <f t="shared" si="77"/>
        <v>0</v>
      </c>
      <c r="BB81" s="60">
        <f>ROUND(BA81*AZ81*Input!$C$3/365,0)</f>
        <v>0</v>
      </c>
      <c r="BC81" s="61">
        <f>IF($A81&lt;=Input!$C$6,0,IF('180M'!AY81&lt;'180M'!BA81,'180M'!AY81-BB81,'180M'!BA81))</f>
        <v>0</v>
      </c>
      <c r="BD81" s="61">
        <f t="shared" si="78"/>
        <v>0</v>
      </c>
      <c r="BE81" s="60">
        <f t="shared" si="79"/>
        <v>0</v>
      </c>
      <c r="BF81" s="193"/>
      <c r="BG81" s="169">
        <v>77</v>
      </c>
      <c r="BH81" s="1">
        <f t="shared" si="80"/>
        <v>47863</v>
      </c>
      <c r="BI81" s="60">
        <f>IF($X81&lt;Input!$H$103,IF($X81&lt;Input!$G$103,IF($X81&lt;Input!$F$103,IF($X81&lt;Input!$E$103,IF($X81&lt;Input!$D$103,Input!$C$109,Input!$D$109),Input!$E$109),Input!$F$109),Input!$G$109),Input!$H$109)</f>
        <v>0</v>
      </c>
      <c r="BJ81" s="190">
        <f>IF($A81&lt;Input!$H$110,IF($A81&lt;Input!$G$110,IF($A81&lt;Input!$F$110,IF($A81&lt;Input!$E$110,IF($A81&lt;Input!$D$110,Input!$C$111,Input!$D$111),Input!$E$111),Input!$F$111),Input!$G$111),Input!$H$111)</f>
        <v>0.9</v>
      </c>
      <c r="BK81" s="60">
        <f t="shared" si="57"/>
        <v>0</v>
      </c>
      <c r="BL81" s="60">
        <f t="shared" si="81"/>
        <v>31</v>
      </c>
      <c r="BM81" s="60">
        <f t="shared" si="58"/>
        <v>0</v>
      </c>
      <c r="BN81" s="60">
        <f>ROUND(BM81*BL81*Input!$C$3/365,0)</f>
        <v>0</v>
      </c>
      <c r="BO81" s="61">
        <f>IF($A81&lt;=Input!$C$6,0,IF('180M'!BK81&lt;'180M'!BM81,'180M'!BK81-BN81,'180M'!BM81))</f>
        <v>0</v>
      </c>
      <c r="BP81" s="61">
        <f t="shared" si="59"/>
        <v>0</v>
      </c>
      <c r="BQ81" s="60">
        <f t="shared" si="60"/>
        <v>0</v>
      </c>
      <c r="BR81" s="198"/>
    </row>
    <row r="82" spans="1:70" x14ac:dyDescent="0.25">
      <c r="A82" s="169">
        <v>78</v>
      </c>
      <c r="B82" s="1">
        <f t="shared" si="61"/>
        <v>47894</v>
      </c>
      <c r="C82" s="60">
        <f t="shared" si="47"/>
        <v>21781574.999999996</v>
      </c>
      <c r="D82" s="60">
        <f t="shared" si="48"/>
        <v>19603417.499999996</v>
      </c>
      <c r="E82" s="60">
        <f t="shared" si="62"/>
        <v>31</v>
      </c>
      <c r="F82" s="60">
        <f t="shared" si="63"/>
        <v>1460380805.9979434</v>
      </c>
      <c r="G82" s="60">
        <f>ROUND(F82*E82*Input!$C$3/365,0)</f>
        <v>18604851</v>
      </c>
      <c r="H82" s="60">
        <f>IF($A82&lt;=Input!$C$6,0,IF('180M'!D82&lt;'180M'!F82,'180M'!D82-G82,'180M'!F82))</f>
        <v>998566.49999999627</v>
      </c>
      <c r="I82" s="60">
        <f t="shared" si="64"/>
        <v>19603417.499999996</v>
      </c>
      <c r="J82" s="60">
        <f t="shared" si="65"/>
        <v>1459382239.4979434</v>
      </c>
      <c r="K82" s="203">
        <f>J82/Input!$K$5</f>
        <v>4.8646074649931448</v>
      </c>
      <c r="L82" s="232"/>
      <c r="M82" s="60">
        <f>IF($B82&lt;Input!$H$43,IF($B82&lt;Input!$G$43,IF($B82&lt;Input!$F$43,IF($B82&lt;Input!$E$43,IF($B82&lt;Input!$D$43,Input!$C$49,Input!$D$49),Input!$E$49),Input!$F$49),Input!$G$49),Input!$H$49)</f>
        <v>21781574.999999996</v>
      </c>
      <c r="N82" s="190">
        <f>IF($A82&lt;Input!$H$50,IF($A82&lt;Input!$G$50,IF($A82&lt;Input!$F$50,IF($A82&lt;Input!$E$50,IF($A82&lt;Input!$D$50,Input!$C$51,Input!$D$51),Input!$E$51),Input!$F$51),Input!$G$51),Input!$H$51)</f>
        <v>0.9</v>
      </c>
      <c r="O82" s="60">
        <f t="shared" si="46"/>
        <v>19603417.499999996</v>
      </c>
      <c r="P82" s="60">
        <f t="shared" si="49"/>
        <v>31</v>
      </c>
      <c r="Q82" s="60">
        <f t="shared" si="50"/>
        <v>1460380805.9979434</v>
      </c>
      <c r="R82" s="60">
        <f>ROUND(Q82*$P82*Input!$C$3/365,0)</f>
        <v>18604851</v>
      </c>
      <c r="S82" s="60">
        <f>IF(A82&lt;=Input!$C$6,0,IF('180M'!O82&lt;'180M'!Q82,'180M'!O82-R82,'180M'!Q82))</f>
        <v>998566.49999999627</v>
      </c>
      <c r="T82" s="60">
        <f t="shared" si="51"/>
        <v>19603417.499999996</v>
      </c>
      <c r="U82" s="60">
        <f t="shared" si="52"/>
        <v>1459382239.4979434</v>
      </c>
      <c r="V82" s="193"/>
      <c r="W82" s="169">
        <v>78</v>
      </c>
      <c r="X82" s="1">
        <f t="shared" si="66"/>
        <v>47894</v>
      </c>
      <c r="Y82" s="60">
        <f>IF($X82&lt;Input!$H$58,IF($X82&lt;Input!$G$58,IF($X82&lt;Input!$F$58,IF($X82&lt;Input!$E$58,IF($X82&lt;Input!$D$58,Input!$C$64,Input!$D$64),Input!$E$64),Input!$F$64),Input!$G$64),Input!$H$64)</f>
        <v>0</v>
      </c>
      <c r="Z82" s="190">
        <f>IF($A82&lt;Input!$H$65,IF($A82&lt;Input!$G$65,IF($A82&lt;Input!$F$65,IF($A82&lt;Input!$E$65,IF($A82&lt;Input!$D$65,Input!$C$66,Input!$D$66),Input!$E$66),Input!$F$66),Input!$G$66),Input!$H$66)</f>
        <v>0.9</v>
      </c>
      <c r="AA82" s="60">
        <f t="shared" si="53"/>
        <v>0</v>
      </c>
      <c r="AB82" s="60">
        <f t="shared" si="67"/>
        <v>31</v>
      </c>
      <c r="AC82" s="60">
        <f t="shared" si="54"/>
        <v>0</v>
      </c>
      <c r="AD82" s="60">
        <f>ROUND(AC82*AB82*Input!$C$3/365,0)</f>
        <v>0</v>
      </c>
      <c r="AE82" s="61">
        <f>IF($A82&lt;=Input!$C$6,0,IF('180M'!AA82&lt;'180M'!AC82,'180M'!AA82-AD82,'180M'!AC82))</f>
        <v>0</v>
      </c>
      <c r="AF82" s="61">
        <f t="shared" si="55"/>
        <v>0</v>
      </c>
      <c r="AG82" s="60">
        <f t="shared" si="56"/>
        <v>0</v>
      </c>
      <c r="AH82" s="193"/>
      <c r="AI82" s="169">
        <v>78</v>
      </c>
      <c r="AJ82" s="1">
        <f t="shared" si="68"/>
        <v>47894</v>
      </c>
      <c r="AK82" s="60">
        <f>IF($X82&lt;Input!$H$73,IF($X82&lt;Input!$G$73,IF($X82&lt;Input!$F$73,IF($X82&lt;Input!$E$73,IF($X82&lt;Input!$D$73,Input!$C$79,Input!$D$79),Input!$E$79),Input!$F$79),Input!$G$79),Input!$H$79)</f>
        <v>0</v>
      </c>
      <c r="AL82" s="190">
        <f>IF($A82&lt;Input!$H$80,IF($A82&lt;Input!$G$80,IF($A82&lt;Input!$F$80,IF($A82&lt;Input!$E$80,IF($A82&lt;Input!$D$80,Input!$C$81,Input!$D$81),Input!$E$81),Input!$F$81),Input!$G$81),Input!$H$81)</f>
        <v>0.9</v>
      </c>
      <c r="AM82" s="60">
        <f t="shared" si="69"/>
        <v>0</v>
      </c>
      <c r="AN82" s="60">
        <f t="shared" si="70"/>
        <v>31</v>
      </c>
      <c r="AO82" s="60">
        <f t="shared" si="71"/>
        <v>0</v>
      </c>
      <c r="AP82" s="60">
        <f>ROUND(AO82*AN82*Input!$C$3/365,0)</f>
        <v>0</v>
      </c>
      <c r="AQ82" s="61">
        <f>IF($A82&lt;=Input!$C$6,0,IF('180M'!AM82&lt;'180M'!AO82,'180M'!AM82-AP82,'180M'!AO82))</f>
        <v>0</v>
      </c>
      <c r="AR82" s="61">
        <f t="shared" si="72"/>
        <v>0</v>
      </c>
      <c r="AS82" s="60">
        <f t="shared" si="73"/>
        <v>0</v>
      </c>
      <c r="AT82" s="193"/>
      <c r="AU82" s="169">
        <v>78</v>
      </c>
      <c r="AV82" s="1">
        <f t="shared" si="74"/>
        <v>47894</v>
      </c>
      <c r="AW82" s="60">
        <f>IF($X82&lt;Input!$H$88,IF($X82&lt;Input!$G$88,IF($X82&lt;Input!$F$88,IF($X82&lt;Input!$E$88,IF($X82&lt;Input!$D$88,Input!$C$94,Input!$D$94),Input!$E$94),Input!$F$94),Input!$G$94),Input!$H$94)</f>
        <v>0</v>
      </c>
      <c r="AX82" s="190">
        <f>IF($A82&lt;Input!$H$95,IF($A82&lt;Input!$G$95,IF($A82&lt;Input!$F$95,IF($A82&lt;Input!$E$95,IF($A82&lt;Input!$D$95,Input!$C$96,Input!$D$96),Input!$E$96),Input!$F$96),Input!$G$96),Input!$H$96)</f>
        <v>0.9</v>
      </c>
      <c r="AY82" s="60">
        <f t="shared" si="75"/>
        <v>0</v>
      </c>
      <c r="AZ82" s="60">
        <f t="shared" si="76"/>
        <v>31</v>
      </c>
      <c r="BA82" s="60">
        <f t="shared" si="77"/>
        <v>0</v>
      </c>
      <c r="BB82" s="60">
        <f>ROUND(BA82*AZ82*Input!$C$3/365,0)</f>
        <v>0</v>
      </c>
      <c r="BC82" s="61">
        <f>IF($A82&lt;=Input!$C$6,0,IF('180M'!AY82&lt;'180M'!BA82,'180M'!AY82-BB82,'180M'!BA82))</f>
        <v>0</v>
      </c>
      <c r="BD82" s="61">
        <f t="shared" si="78"/>
        <v>0</v>
      </c>
      <c r="BE82" s="60">
        <f t="shared" si="79"/>
        <v>0</v>
      </c>
      <c r="BF82" s="193"/>
      <c r="BG82" s="169">
        <v>78</v>
      </c>
      <c r="BH82" s="1">
        <f t="shared" si="80"/>
        <v>47894</v>
      </c>
      <c r="BI82" s="60">
        <f>IF($X82&lt;Input!$H$103,IF($X82&lt;Input!$G$103,IF($X82&lt;Input!$F$103,IF($X82&lt;Input!$E$103,IF($X82&lt;Input!$D$103,Input!$C$109,Input!$D$109),Input!$E$109),Input!$F$109),Input!$G$109),Input!$H$109)</f>
        <v>0</v>
      </c>
      <c r="BJ82" s="190">
        <f>IF($A82&lt;Input!$H$110,IF($A82&lt;Input!$G$110,IF($A82&lt;Input!$F$110,IF($A82&lt;Input!$E$110,IF($A82&lt;Input!$D$110,Input!$C$111,Input!$D$111),Input!$E$111),Input!$F$111),Input!$G$111),Input!$H$111)</f>
        <v>0.9</v>
      </c>
      <c r="BK82" s="60">
        <f t="shared" si="57"/>
        <v>0</v>
      </c>
      <c r="BL82" s="60">
        <f t="shared" si="81"/>
        <v>31</v>
      </c>
      <c r="BM82" s="60">
        <f t="shared" si="58"/>
        <v>0</v>
      </c>
      <c r="BN82" s="60">
        <f>ROUND(BM82*BL82*Input!$C$3/365,0)</f>
        <v>0</v>
      </c>
      <c r="BO82" s="61">
        <f>IF($A82&lt;=Input!$C$6,0,IF('180M'!BK82&lt;'180M'!BM82,'180M'!BK82-BN82,'180M'!BM82))</f>
        <v>0</v>
      </c>
      <c r="BP82" s="61">
        <f t="shared" si="59"/>
        <v>0</v>
      </c>
      <c r="BQ82" s="60">
        <f t="shared" si="60"/>
        <v>0</v>
      </c>
      <c r="BR82" s="198"/>
    </row>
    <row r="83" spans="1:70" x14ac:dyDescent="0.25">
      <c r="A83" s="169">
        <v>79</v>
      </c>
      <c r="B83" s="1">
        <f t="shared" si="61"/>
        <v>47922</v>
      </c>
      <c r="C83" s="60">
        <f t="shared" si="47"/>
        <v>21781574.999999996</v>
      </c>
      <c r="D83" s="60">
        <f t="shared" si="48"/>
        <v>19603417.499999996</v>
      </c>
      <c r="E83" s="60">
        <f t="shared" si="62"/>
        <v>28</v>
      </c>
      <c r="F83" s="60">
        <f t="shared" si="63"/>
        <v>1459382239.4979434</v>
      </c>
      <c r="G83" s="60">
        <f>ROUND(F83*E83*Input!$C$3/365,0)</f>
        <v>16792892</v>
      </c>
      <c r="H83" s="60">
        <f>IF($A83&lt;=Input!$C$6,0,IF('180M'!D83&lt;'180M'!F83,'180M'!D83-G83,'180M'!F83))</f>
        <v>2810525.4999999963</v>
      </c>
      <c r="I83" s="60">
        <f t="shared" si="64"/>
        <v>19603417.499999996</v>
      </c>
      <c r="J83" s="60">
        <f t="shared" si="65"/>
        <v>1456571713.9979434</v>
      </c>
      <c r="K83" s="203">
        <f>J83/Input!$K$5</f>
        <v>4.8552390466598112</v>
      </c>
      <c r="L83" s="232"/>
      <c r="M83" s="60">
        <f>IF($B83&lt;Input!$H$43,IF($B83&lt;Input!$G$43,IF($B83&lt;Input!$F$43,IF($B83&lt;Input!$E$43,IF($B83&lt;Input!$D$43,Input!$C$49,Input!$D$49),Input!$E$49),Input!$F$49),Input!$G$49),Input!$H$49)</f>
        <v>21781574.999999996</v>
      </c>
      <c r="N83" s="190">
        <f>IF($A83&lt;Input!$H$50,IF($A83&lt;Input!$G$50,IF($A83&lt;Input!$F$50,IF($A83&lt;Input!$E$50,IF($A83&lt;Input!$D$50,Input!$C$51,Input!$D$51),Input!$E$51),Input!$F$51),Input!$G$51),Input!$H$51)</f>
        <v>0.9</v>
      </c>
      <c r="O83" s="60">
        <f t="shared" si="46"/>
        <v>19603417.499999996</v>
      </c>
      <c r="P83" s="60">
        <f t="shared" si="49"/>
        <v>28</v>
      </c>
      <c r="Q83" s="60">
        <f t="shared" si="50"/>
        <v>1459382239.4979434</v>
      </c>
      <c r="R83" s="60">
        <f>ROUND(Q83*$P83*Input!$C$3/365,0)</f>
        <v>16792892</v>
      </c>
      <c r="S83" s="60">
        <f>IF(A83&lt;=Input!$C$6,0,IF('180M'!O83&lt;'180M'!Q83,'180M'!O83-R83,'180M'!Q83))</f>
        <v>2810525.4999999963</v>
      </c>
      <c r="T83" s="60">
        <f t="shared" si="51"/>
        <v>19603417.499999996</v>
      </c>
      <c r="U83" s="60">
        <f t="shared" si="52"/>
        <v>1456571713.9979434</v>
      </c>
      <c r="V83" s="193"/>
      <c r="W83" s="169">
        <v>79</v>
      </c>
      <c r="X83" s="1">
        <f t="shared" si="66"/>
        <v>47922</v>
      </c>
      <c r="Y83" s="60">
        <f>IF($X83&lt;Input!$H$58,IF($X83&lt;Input!$G$58,IF($X83&lt;Input!$F$58,IF($X83&lt;Input!$E$58,IF($X83&lt;Input!$D$58,Input!$C$64,Input!$D$64),Input!$E$64),Input!$F$64),Input!$G$64),Input!$H$64)</f>
        <v>0</v>
      </c>
      <c r="Z83" s="190">
        <f>IF($A83&lt;Input!$H$65,IF($A83&lt;Input!$G$65,IF($A83&lt;Input!$F$65,IF($A83&lt;Input!$E$65,IF($A83&lt;Input!$D$65,Input!$C$66,Input!$D$66),Input!$E$66),Input!$F$66),Input!$G$66),Input!$H$66)</f>
        <v>0.9</v>
      </c>
      <c r="AA83" s="60">
        <f t="shared" si="53"/>
        <v>0</v>
      </c>
      <c r="AB83" s="60">
        <f t="shared" si="67"/>
        <v>28</v>
      </c>
      <c r="AC83" s="60">
        <f t="shared" si="54"/>
        <v>0</v>
      </c>
      <c r="AD83" s="60">
        <f>ROUND(AC83*AB83*Input!$C$3/365,0)</f>
        <v>0</v>
      </c>
      <c r="AE83" s="61">
        <f>IF($A83&lt;=Input!$C$6,0,IF('180M'!AA83&lt;'180M'!AC83,'180M'!AA83-AD83,'180M'!AC83))</f>
        <v>0</v>
      </c>
      <c r="AF83" s="61">
        <f t="shared" si="55"/>
        <v>0</v>
      </c>
      <c r="AG83" s="60">
        <f t="shared" si="56"/>
        <v>0</v>
      </c>
      <c r="AH83" s="193"/>
      <c r="AI83" s="169">
        <v>79</v>
      </c>
      <c r="AJ83" s="1">
        <f t="shared" si="68"/>
        <v>47922</v>
      </c>
      <c r="AK83" s="60">
        <f>IF($X83&lt;Input!$H$73,IF($X83&lt;Input!$G$73,IF($X83&lt;Input!$F$73,IF($X83&lt;Input!$E$73,IF($X83&lt;Input!$D$73,Input!$C$79,Input!$D$79),Input!$E$79),Input!$F$79),Input!$G$79),Input!$H$79)</f>
        <v>0</v>
      </c>
      <c r="AL83" s="190">
        <f>IF($A83&lt;Input!$H$80,IF($A83&lt;Input!$G$80,IF($A83&lt;Input!$F$80,IF($A83&lt;Input!$E$80,IF($A83&lt;Input!$D$80,Input!$C$81,Input!$D$81),Input!$E$81),Input!$F$81),Input!$G$81),Input!$H$81)</f>
        <v>0.9</v>
      </c>
      <c r="AM83" s="60">
        <f t="shared" si="69"/>
        <v>0</v>
      </c>
      <c r="AN83" s="60">
        <f t="shared" si="70"/>
        <v>28</v>
      </c>
      <c r="AO83" s="60">
        <f t="shared" si="71"/>
        <v>0</v>
      </c>
      <c r="AP83" s="60">
        <f>ROUND(AO83*AN83*Input!$C$3/365,0)</f>
        <v>0</v>
      </c>
      <c r="AQ83" s="61">
        <f>IF($A83&lt;=Input!$C$6,0,IF('180M'!AM83&lt;'180M'!AO83,'180M'!AM83-AP83,'180M'!AO83))</f>
        <v>0</v>
      </c>
      <c r="AR83" s="61">
        <f t="shared" si="72"/>
        <v>0</v>
      </c>
      <c r="AS83" s="60">
        <f t="shared" si="73"/>
        <v>0</v>
      </c>
      <c r="AT83" s="193"/>
      <c r="AU83" s="169">
        <v>79</v>
      </c>
      <c r="AV83" s="1">
        <f t="shared" si="74"/>
        <v>47922</v>
      </c>
      <c r="AW83" s="60">
        <f>IF($X83&lt;Input!$H$88,IF($X83&lt;Input!$G$88,IF($X83&lt;Input!$F$88,IF($X83&lt;Input!$E$88,IF($X83&lt;Input!$D$88,Input!$C$94,Input!$D$94),Input!$E$94),Input!$F$94),Input!$G$94),Input!$H$94)</f>
        <v>0</v>
      </c>
      <c r="AX83" s="190">
        <f>IF($A83&lt;Input!$H$95,IF($A83&lt;Input!$G$95,IF($A83&lt;Input!$F$95,IF($A83&lt;Input!$E$95,IF($A83&lt;Input!$D$95,Input!$C$96,Input!$D$96),Input!$E$96),Input!$F$96),Input!$G$96),Input!$H$96)</f>
        <v>0.9</v>
      </c>
      <c r="AY83" s="60">
        <f t="shared" si="75"/>
        <v>0</v>
      </c>
      <c r="AZ83" s="60">
        <f t="shared" si="76"/>
        <v>28</v>
      </c>
      <c r="BA83" s="60">
        <f t="shared" si="77"/>
        <v>0</v>
      </c>
      <c r="BB83" s="60">
        <f>ROUND(BA83*AZ83*Input!$C$3/365,0)</f>
        <v>0</v>
      </c>
      <c r="BC83" s="61">
        <f>IF($A83&lt;=Input!$C$6,0,IF('180M'!AY83&lt;'180M'!BA83,'180M'!AY83-BB83,'180M'!BA83))</f>
        <v>0</v>
      </c>
      <c r="BD83" s="61">
        <f t="shared" si="78"/>
        <v>0</v>
      </c>
      <c r="BE83" s="60">
        <f t="shared" si="79"/>
        <v>0</v>
      </c>
      <c r="BF83" s="193"/>
      <c r="BG83" s="169">
        <v>79</v>
      </c>
      <c r="BH83" s="1">
        <f t="shared" si="80"/>
        <v>47922</v>
      </c>
      <c r="BI83" s="60">
        <f>IF($X83&lt;Input!$H$103,IF($X83&lt;Input!$G$103,IF($X83&lt;Input!$F$103,IF($X83&lt;Input!$E$103,IF($X83&lt;Input!$D$103,Input!$C$109,Input!$D$109),Input!$E$109),Input!$F$109),Input!$G$109),Input!$H$109)</f>
        <v>0</v>
      </c>
      <c r="BJ83" s="190">
        <f>IF($A83&lt;Input!$H$110,IF($A83&lt;Input!$G$110,IF($A83&lt;Input!$F$110,IF($A83&lt;Input!$E$110,IF($A83&lt;Input!$D$110,Input!$C$111,Input!$D$111),Input!$E$111),Input!$F$111),Input!$G$111),Input!$H$111)</f>
        <v>0.9</v>
      </c>
      <c r="BK83" s="60">
        <f t="shared" si="57"/>
        <v>0</v>
      </c>
      <c r="BL83" s="60">
        <f t="shared" si="81"/>
        <v>28</v>
      </c>
      <c r="BM83" s="60">
        <f t="shared" si="58"/>
        <v>0</v>
      </c>
      <c r="BN83" s="60">
        <f>ROUND(BM83*BL83*Input!$C$3/365,0)</f>
        <v>0</v>
      </c>
      <c r="BO83" s="61">
        <f>IF($A83&lt;=Input!$C$6,0,IF('180M'!BK83&lt;'180M'!BM83,'180M'!BK83-BN83,'180M'!BM83))</f>
        <v>0</v>
      </c>
      <c r="BP83" s="61">
        <f t="shared" si="59"/>
        <v>0</v>
      </c>
      <c r="BQ83" s="60">
        <f t="shared" si="60"/>
        <v>0</v>
      </c>
      <c r="BR83" s="198"/>
    </row>
    <row r="84" spans="1:70" x14ac:dyDescent="0.25">
      <c r="A84" s="169">
        <v>80</v>
      </c>
      <c r="B84" s="1">
        <f t="shared" si="61"/>
        <v>47953</v>
      </c>
      <c r="C84" s="60">
        <f t="shared" si="47"/>
        <v>21781574.999999996</v>
      </c>
      <c r="D84" s="60">
        <f t="shared" si="48"/>
        <v>19603417.499999996</v>
      </c>
      <c r="E84" s="60">
        <f t="shared" si="62"/>
        <v>31</v>
      </c>
      <c r="F84" s="60">
        <f t="shared" si="63"/>
        <v>1456571713.9979434</v>
      </c>
      <c r="G84" s="60">
        <f>ROUND(F84*E84*Input!$C$3/365,0)</f>
        <v>18556325</v>
      </c>
      <c r="H84" s="60">
        <f>IF($A84&lt;=Input!$C$6,0,IF('180M'!D84&lt;'180M'!F84,'180M'!D84-G84,'180M'!F84))</f>
        <v>1047092.4999999963</v>
      </c>
      <c r="I84" s="60">
        <f t="shared" si="64"/>
        <v>19603417.499999996</v>
      </c>
      <c r="J84" s="60">
        <f t="shared" si="65"/>
        <v>1455524621.4979434</v>
      </c>
      <c r="K84" s="203">
        <f>J84/Input!$K$5</f>
        <v>4.8517487383264779</v>
      </c>
      <c r="L84" s="232"/>
      <c r="M84" s="60">
        <f>IF($B84&lt;Input!$H$43,IF($B84&lt;Input!$G$43,IF($B84&lt;Input!$F$43,IF($B84&lt;Input!$E$43,IF($B84&lt;Input!$D$43,Input!$C$49,Input!$D$49),Input!$E$49),Input!$F$49),Input!$G$49),Input!$H$49)</f>
        <v>21781574.999999996</v>
      </c>
      <c r="N84" s="190">
        <f>IF($A84&lt;Input!$H$50,IF($A84&lt;Input!$G$50,IF($A84&lt;Input!$F$50,IF($A84&lt;Input!$E$50,IF($A84&lt;Input!$D$50,Input!$C$51,Input!$D$51),Input!$E$51),Input!$F$51),Input!$G$51),Input!$H$51)</f>
        <v>0.9</v>
      </c>
      <c r="O84" s="60">
        <f t="shared" si="46"/>
        <v>19603417.499999996</v>
      </c>
      <c r="P84" s="60">
        <f t="shared" si="49"/>
        <v>31</v>
      </c>
      <c r="Q84" s="60">
        <f t="shared" si="50"/>
        <v>1456571713.9979434</v>
      </c>
      <c r="R84" s="60">
        <f>ROUND(Q84*$P84*Input!$C$3/365,0)</f>
        <v>18556325</v>
      </c>
      <c r="S84" s="60">
        <f>IF(A84&lt;=Input!$C$6,0,IF('180M'!O84&lt;'180M'!Q84,'180M'!O84-R84,'180M'!Q84))</f>
        <v>1047092.4999999963</v>
      </c>
      <c r="T84" s="60">
        <f t="shared" si="51"/>
        <v>19603417.499999996</v>
      </c>
      <c r="U84" s="60">
        <f t="shared" si="52"/>
        <v>1455524621.4979434</v>
      </c>
      <c r="V84" s="193"/>
      <c r="W84" s="169">
        <v>80</v>
      </c>
      <c r="X84" s="1">
        <f t="shared" si="66"/>
        <v>47953</v>
      </c>
      <c r="Y84" s="60">
        <f>IF($X84&lt;Input!$H$58,IF($X84&lt;Input!$G$58,IF($X84&lt;Input!$F$58,IF($X84&lt;Input!$E$58,IF($X84&lt;Input!$D$58,Input!$C$64,Input!$D$64),Input!$E$64),Input!$F$64),Input!$G$64),Input!$H$64)</f>
        <v>0</v>
      </c>
      <c r="Z84" s="190">
        <f>IF($A84&lt;Input!$H$65,IF($A84&lt;Input!$G$65,IF($A84&lt;Input!$F$65,IF($A84&lt;Input!$E$65,IF($A84&lt;Input!$D$65,Input!$C$66,Input!$D$66),Input!$E$66),Input!$F$66),Input!$G$66),Input!$H$66)</f>
        <v>0.9</v>
      </c>
      <c r="AA84" s="60">
        <f t="shared" si="53"/>
        <v>0</v>
      </c>
      <c r="AB84" s="60">
        <f t="shared" si="67"/>
        <v>31</v>
      </c>
      <c r="AC84" s="60">
        <f t="shared" si="54"/>
        <v>0</v>
      </c>
      <c r="AD84" s="60">
        <f>ROUND(AC84*AB84*Input!$C$3/365,0)</f>
        <v>0</v>
      </c>
      <c r="AE84" s="61">
        <f>IF($A84&lt;=Input!$C$6,0,IF('180M'!AA84&lt;'180M'!AC84,'180M'!AA84-AD84,'180M'!AC84))</f>
        <v>0</v>
      </c>
      <c r="AF84" s="61">
        <f t="shared" si="55"/>
        <v>0</v>
      </c>
      <c r="AG84" s="60">
        <f t="shared" si="56"/>
        <v>0</v>
      </c>
      <c r="AH84" s="193"/>
      <c r="AI84" s="169">
        <v>80</v>
      </c>
      <c r="AJ84" s="1">
        <f t="shared" si="68"/>
        <v>47953</v>
      </c>
      <c r="AK84" s="60">
        <f>IF($X84&lt;Input!$H$73,IF($X84&lt;Input!$G$73,IF($X84&lt;Input!$F$73,IF($X84&lt;Input!$E$73,IF($X84&lt;Input!$D$73,Input!$C$79,Input!$D$79),Input!$E$79),Input!$F$79),Input!$G$79),Input!$H$79)</f>
        <v>0</v>
      </c>
      <c r="AL84" s="190">
        <f>IF($A84&lt;Input!$H$80,IF($A84&lt;Input!$G$80,IF($A84&lt;Input!$F$80,IF($A84&lt;Input!$E$80,IF($A84&lt;Input!$D$80,Input!$C$81,Input!$D$81),Input!$E$81),Input!$F$81),Input!$G$81),Input!$H$81)</f>
        <v>0.9</v>
      </c>
      <c r="AM84" s="60">
        <f t="shared" si="69"/>
        <v>0</v>
      </c>
      <c r="AN84" s="60">
        <f t="shared" si="70"/>
        <v>31</v>
      </c>
      <c r="AO84" s="60">
        <f t="shared" si="71"/>
        <v>0</v>
      </c>
      <c r="AP84" s="60">
        <f>ROUND(AO84*AN84*Input!$C$3/365,0)</f>
        <v>0</v>
      </c>
      <c r="AQ84" s="61">
        <f>IF($A84&lt;=Input!$C$6,0,IF('180M'!AM84&lt;'180M'!AO84,'180M'!AM84-AP84,'180M'!AO84))</f>
        <v>0</v>
      </c>
      <c r="AR84" s="61">
        <f t="shared" si="72"/>
        <v>0</v>
      </c>
      <c r="AS84" s="60">
        <f t="shared" si="73"/>
        <v>0</v>
      </c>
      <c r="AT84" s="193"/>
      <c r="AU84" s="169">
        <v>80</v>
      </c>
      <c r="AV84" s="1">
        <f t="shared" si="74"/>
        <v>47953</v>
      </c>
      <c r="AW84" s="60">
        <f>IF($X84&lt;Input!$H$88,IF($X84&lt;Input!$G$88,IF($X84&lt;Input!$F$88,IF($X84&lt;Input!$E$88,IF($X84&lt;Input!$D$88,Input!$C$94,Input!$D$94),Input!$E$94),Input!$F$94),Input!$G$94),Input!$H$94)</f>
        <v>0</v>
      </c>
      <c r="AX84" s="190">
        <f>IF($A84&lt;Input!$H$95,IF($A84&lt;Input!$G$95,IF($A84&lt;Input!$F$95,IF($A84&lt;Input!$E$95,IF($A84&lt;Input!$D$95,Input!$C$96,Input!$D$96),Input!$E$96),Input!$F$96),Input!$G$96),Input!$H$96)</f>
        <v>0.9</v>
      </c>
      <c r="AY84" s="60">
        <f t="shared" si="75"/>
        <v>0</v>
      </c>
      <c r="AZ84" s="60">
        <f t="shared" si="76"/>
        <v>31</v>
      </c>
      <c r="BA84" s="60">
        <f t="shared" si="77"/>
        <v>0</v>
      </c>
      <c r="BB84" s="60">
        <f>ROUND(BA84*AZ84*Input!$C$3/365,0)</f>
        <v>0</v>
      </c>
      <c r="BC84" s="61">
        <f>IF($A84&lt;=Input!$C$6,0,IF('180M'!AY84&lt;'180M'!BA84,'180M'!AY84-BB84,'180M'!BA84))</f>
        <v>0</v>
      </c>
      <c r="BD84" s="61">
        <f t="shared" si="78"/>
        <v>0</v>
      </c>
      <c r="BE84" s="60">
        <f t="shared" si="79"/>
        <v>0</v>
      </c>
      <c r="BF84" s="193"/>
      <c r="BG84" s="169">
        <v>80</v>
      </c>
      <c r="BH84" s="1">
        <f t="shared" si="80"/>
        <v>47953</v>
      </c>
      <c r="BI84" s="60">
        <f>IF($X84&lt;Input!$H$103,IF($X84&lt;Input!$G$103,IF($X84&lt;Input!$F$103,IF($X84&lt;Input!$E$103,IF($X84&lt;Input!$D$103,Input!$C$109,Input!$D$109),Input!$E$109),Input!$F$109),Input!$G$109),Input!$H$109)</f>
        <v>0</v>
      </c>
      <c r="BJ84" s="190">
        <f>IF($A84&lt;Input!$H$110,IF($A84&lt;Input!$G$110,IF($A84&lt;Input!$F$110,IF($A84&lt;Input!$E$110,IF($A84&lt;Input!$D$110,Input!$C$111,Input!$D$111),Input!$E$111),Input!$F$111),Input!$G$111),Input!$H$111)</f>
        <v>0.9</v>
      </c>
      <c r="BK84" s="60">
        <f t="shared" si="57"/>
        <v>0</v>
      </c>
      <c r="BL84" s="60">
        <f t="shared" si="81"/>
        <v>31</v>
      </c>
      <c r="BM84" s="60">
        <f t="shared" si="58"/>
        <v>0</v>
      </c>
      <c r="BN84" s="60">
        <f>ROUND(BM84*BL84*Input!$C$3/365,0)</f>
        <v>0</v>
      </c>
      <c r="BO84" s="61">
        <f>IF($A84&lt;=Input!$C$6,0,IF('180M'!BK84&lt;'180M'!BM84,'180M'!BK84-BN84,'180M'!BM84))</f>
        <v>0</v>
      </c>
      <c r="BP84" s="61">
        <f t="shared" si="59"/>
        <v>0</v>
      </c>
      <c r="BQ84" s="60">
        <f t="shared" si="60"/>
        <v>0</v>
      </c>
      <c r="BR84" s="198"/>
    </row>
    <row r="85" spans="1:70" x14ac:dyDescent="0.25">
      <c r="A85" s="169">
        <v>81</v>
      </c>
      <c r="B85" s="1">
        <f t="shared" si="61"/>
        <v>47983</v>
      </c>
      <c r="C85" s="60">
        <f t="shared" si="47"/>
        <v>21781574.999999996</v>
      </c>
      <c r="D85" s="60">
        <f t="shared" si="48"/>
        <v>19603417.499999996</v>
      </c>
      <c r="E85" s="60">
        <f t="shared" si="62"/>
        <v>30</v>
      </c>
      <c r="F85" s="60">
        <f t="shared" si="63"/>
        <v>1455524621.4979434</v>
      </c>
      <c r="G85" s="60">
        <f>ROUND(F85*E85*Input!$C$3/365,0)</f>
        <v>17944824</v>
      </c>
      <c r="H85" s="60">
        <f>IF($A85&lt;=Input!$C$6,0,IF('180M'!D85&lt;'180M'!F85,'180M'!D85-G85,'180M'!F85))</f>
        <v>1658593.4999999963</v>
      </c>
      <c r="I85" s="60">
        <f t="shared" si="64"/>
        <v>19603417.499999996</v>
      </c>
      <c r="J85" s="60">
        <f t="shared" si="65"/>
        <v>1453866027.9979434</v>
      </c>
      <c r="K85" s="203">
        <f>J85/Input!$K$5</f>
        <v>4.8462200933264779</v>
      </c>
      <c r="L85" s="232"/>
      <c r="M85" s="60">
        <f>IF($B85&lt;Input!$H$43,IF($B85&lt;Input!$G$43,IF($B85&lt;Input!$F$43,IF($B85&lt;Input!$E$43,IF($B85&lt;Input!$D$43,Input!$C$49,Input!$D$49),Input!$E$49),Input!$F$49),Input!$G$49),Input!$H$49)</f>
        <v>21781574.999999996</v>
      </c>
      <c r="N85" s="190">
        <f>IF($A85&lt;Input!$H$50,IF($A85&lt;Input!$G$50,IF($A85&lt;Input!$F$50,IF($A85&lt;Input!$E$50,IF($A85&lt;Input!$D$50,Input!$C$51,Input!$D$51),Input!$E$51),Input!$F$51),Input!$G$51),Input!$H$51)</f>
        <v>0.9</v>
      </c>
      <c r="O85" s="60">
        <f t="shared" si="46"/>
        <v>19603417.499999996</v>
      </c>
      <c r="P85" s="60">
        <f t="shared" si="49"/>
        <v>30</v>
      </c>
      <c r="Q85" s="60">
        <f t="shared" si="50"/>
        <v>1455524621.4979434</v>
      </c>
      <c r="R85" s="60">
        <f>ROUND(Q85*$P85*Input!$C$3/365,0)</f>
        <v>17944824</v>
      </c>
      <c r="S85" s="60">
        <f>IF(A85&lt;=Input!$C$6,0,IF('180M'!O85&lt;'180M'!Q85,'180M'!O85-R85,'180M'!Q85))</f>
        <v>1658593.4999999963</v>
      </c>
      <c r="T85" s="60">
        <f t="shared" si="51"/>
        <v>19603417.499999996</v>
      </c>
      <c r="U85" s="60">
        <f t="shared" si="52"/>
        <v>1453866027.9979434</v>
      </c>
      <c r="V85" s="193"/>
      <c r="W85" s="169">
        <v>81</v>
      </c>
      <c r="X85" s="1">
        <f t="shared" si="66"/>
        <v>47983</v>
      </c>
      <c r="Y85" s="60">
        <f>IF($X85&lt;Input!$H$58,IF($X85&lt;Input!$G$58,IF($X85&lt;Input!$F$58,IF($X85&lt;Input!$E$58,IF($X85&lt;Input!$D$58,Input!$C$64,Input!$D$64),Input!$E$64),Input!$F$64),Input!$G$64),Input!$H$64)</f>
        <v>0</v>
      </c>
      <c r="Z85" s="190">
        <f>IF($A85&lt;Input!$H$65,IF($A85&lt;Input!$G$65,IF($A85&lt;Input!$F$65,IF($A85&lt;Input!$E$65,IF($A85&lt;Input!$D$65,Input!$C$66,Input!$D$66),Input!$E$66),Input!$F$66),Input!$G$66),Input!$H$66)</f>
        <v>0.9</v>
      </c>
      <c r="AA85" s="60">
        <f t="shared" si="53"/>
        <v>0</v>
      </c>
      <c r="AB85" s="60">
        <f t="shared" si="67"/>
        <v>30</v>
      </c>
      <c r="AC85" s="60">
        <f t="shared" si="54"/>
        <v>0</v>
      </c>
      <c r="AD85" s="60">
        <f>ROUND(AC85*AB85*Input!$C$3/365,0)</f>
        <v>0</v>
      </c>
      <c r="AE85" s="61">
        <f>IF($A85&lt;=Input!$C$6,0,IF('180M'!AA85&lt;'180M'!AC85,'180M'!AA85-AD85,'180M'!AC85))</f>
        <v>0</v>
      </c>
      <c r="AF85" s="61">
        <f t="shared" si="55"/>
        <v>0</v>
      </c>
      <c r="AG85" s="60">
        <f t="shared" si="56"/>
        <v>0</v>
      </c>
      <c r="AH85" s="193"/>
      <c r="AI85" s="169">
        <v>81</v>
      </c>
      <c r="AJ85" s="1">
        <f t="shared" si="68"/>
        <v>47983</v>
      </c>
      <c r="AK85" s="60">
        <f>IF($X85&lt;Input!$H$73,IF($X85&lt;Input!$G$73,IF($X85&lt;Input!$F$73,IF($X85&lt;Input!$E$73,IF($X85&lt;Input!$D$73,Input!$C$79,Input!$D$79),Input!$E$79),Input!$F$79),Input!$G$79),Input!$H$79)</f>
        <v>0</v>
      </c>
      <c r="AL85" s="190">
        <f>IF($A85&lt;Input!$H$80,IF($A85&lt;Input!$G$80,IF($A85&lt;Input!$F$80,IF($A85&lt;Input!$E$80,IF($A85&lt;Input!$D$80,Input!$C$81,Input!$D$81),Input!$E$81),Input!$F$81),Input!$G$81),Input!$H$81)</f>
        <v>0.9</v>
      </c>
      <c r="AM85" s="60">
        <f t="shared" si="69"/>
        <v>0</v>
      </c>
      <c r="AN85" s="60">
        <f t="shared" si="70"/>
        <v>30</v>
      </c>
      <c r="AO85" s="60">
        <f t="shared" si="71"/>
        <v>0</v>
      </c>
      <c r="AP85" s="60">
        <f>ROUND(AO85*AN85*Input!$C$3/365,0)</f>
        <v>0</v>
      </c>
      <c r="AQ85" s="61">
        <f>IF($A85&lt;=Input!$C$6,0,IF('180M'!AM85&lt;'180M'!AO85,'180M'!AM85-AP85,'180M'!AO85))</f>
        <v>0</v>
      </c>
      <c r="AR85" s="61">
        <f t="shared" si="72"/>
        <v>0</v>
      </c>
      <c r="AS85" s="60">
        <f t="shared" si="73"/>
        <v>0</v>
      </c>
      <c r="AT85" s="193"/>
      <c r="AU85" s="169">
        <v>81</v>
      </c>
      <c r="AV85" s="1">
        <f t="shared" si="74"/>
        <v>47983</v>
      </c>
      <c r="AW85" s="60">
        <f>IF($X85&lt;Input!$H$88,IF($X85&lt;Input!$G$88,IF($X85&lt;Input!$F$88,IF($X85&lt;Input!$E$88,IF($X85&lt;Input!$D$88,Input!$C$94,Input!$D$94),Input!$E$94),Input!$F$94),Input!$G$94),Input!$H$94)</f>
        <v>0</v>
      </c>
      <c r="AX85" s="190">
        <f>IF($A85&lt;Input!$H$95,IF($A85&lt;Input!$G$95,IF($A85&lt;Input!$F$95,IF($A85&lt;Input!$E$95,IF($A85&lt;Input!$D$95,Input!$C$96,Input!$D$96),Input!$E$96),Input!$F$96),Input!$G$96),Input!$H$96)</f>
        <v>0.9</v>
      </c>
      <c r="AY85" s="60">
        <f t="shared" si="75"/>
        <v>0</v>
      </c>
      <c r="AZ85" s="60">
        <f t="shared" si="76"/>
        <v>30</v>
      </c>
      <c r="BA85" s="60">
        <f t="shared" si="77"/>
        <v>0</v>
      </c>
      <c r="BB85" s="60">
        <f>ROUND(BA85*AZ85*Input!$C$3/365,0)</f>
        <v>0</v>
      </c>
      <c r="BC85" s="61">
        <f>IF($A85&lt;=Input!$C$6,0,IF('180M'!AY85&lt;'180M'!BA85,'180M'!AY85-BB85,'180M'!BA85))</f>
        <v>0</v>
      </c>
      <c r="BD85" s="61">
        <f t="shared" si="78"/>
        <v>0</v>
      </c>
      <c r="BE85" s="60">
        <f t="shared" si="79"/>
        <v>0</v>
      </c>
      <c r="BF85" s="193"/>
      <c r="BG85" s="169">
        <v>81</v>
      </c>
      <c r="BH85" s="1">
        <f t="shared" si="80"/>
        <v>47983</v>
      </c>
      <c r="BI85" s="60">
        <f>IF($X85&lt;Input!$H$103,IF($X85&lt;Input!$G$103,IF($X85&lt;Input!$F$103,IF($X85&lt;Input!$E$103,IF($X85&lt;Input!$D$103,Input!$C$109,Input!$D$109),Input!$E$109),Input!$F$109),Input!$G$109),Input!$H$109)</f>
        <v>0</v>
      </c>
      <c r="BJ85" s="190">
        <f>IF($A85&lt;Input!$H$110,IF($A85&lt;Input!$G$110,IF($A85&lt;Input!$F$110,IF($A85&lt;Input!$E$110,IF($A85&lt;Input!$D$110,Input!$C$111,Input!$D$111),Input!$E$111),Input!$F$111),Input!$G$111),Input!$H$111)</f>
        <v>0.9</v>
      </c>
      <c r="BK85" s="60">
        <f t="shared" si="57"/>
        <v>0</v>
      </c>
      <c r="BL85" s="60">
        <f t="shared" si="81"/>
        <v>30</v>
      </c>
      <c r="BM85" s="60">
        <f t="shared" si="58"/>
        <v>0</v>
      </c>
      <c r="BN85" s="60">
        <f>ROUND(BM85*BL85*Input!$C$3/365,0)</f>
        <v>0</v>
      </c>
      <c r="BO85" s="61">
        <f>IF($A85&lt;=Input!$C$6,0,IF('180M'!BK85&lt;'180M'!BM85,'180M'!BK85-BN85,'180M'!BM85))</f>
        <v>0</v>
      </c>
      <c r="BP85" s="61">
        <f t="shared" si="59"/>
        <v>0</v>
      </c>
      <c r="BQ85" s="60">
        <f t="shared" si="60"/>
        <v>0</v>
      </c>
      <c r="BR85" s="198"/>
    </row>
    <row r="86" spans="1:70" x14ac:dyDescent="0.25">
      <c r="A86" s="169">
        <v>82</v>
      </c>
      <c r="B86" s="1">
        <f t="shared" si="61"/>
        <v>48014</v>
      </c>
      <c r="C86" s="60">
        <f t="shared" si="47"/>
        <v>21781574.999999996</v>
      </c>
      <c r="D86" s="60">
        <f t="shared" si="48"/>
        <v>19603417.499999996</v>
      </c>
      <c r="E86" s="60">
        <f t="shared" si="62"/>
        <v>31</v>
      </c>
      <c r="F86" s="60">
        <f t="shared" si="63"/>
        <v>1453866027.9979434</v>
      </c>
      <c r="G86" s="60">
        <f>ROUND(F86*E86*Input!$C$3/365,0)</f>
        <v>18521855</v>
      </c>
      <c r="H86" s="60">
        <f>IF($A86&lt;=Input!$C$6,0,IF('180M'!D86&lt;'180M'!F86,'180M'!D86-G86,'180M'!F86))</f>
        <v>1081562.4999999963</v>
      </c>
      <c r="I86" s="60">
        <f t="shared" si="64"/>
        <v>19603417.499999996</v>
      </c>
      <c r="J86" s="60">
        <f t="shared" si="65"/>
        <v>1452784465.4979434</v>
      </c>
      <c r="K86" s="203">
        <f>J86/Input!$K$5</f>
        <v>4.8426148849931447</v>
      </c>
      <c r="L86" s="232"/>
      <c r="M86" s="60">
        <f>IF($B86&lt;Input!$H$43,IF($B86&lt;Input!$G$43,IF($B86&lt;Input!$F$43,IF($B86&lt;Input!$E$43,IF($B86&lt;Input!$D$43,Input!$C$49,Input!$D$49),Input!$E$49),Input!$F$49),Input!$G$49),Input!$H$49)</f>
        <v>21781574.999999996</v>
      </c>
      <c r="N86" s="190">
        <f>IF($A86&lt;Input!$H$50,IF($A86&lt;Input!$G$50,IF($A86&lt;Input!$F$50,IF($A86&lt;Input!$E$50,IF($A86&lt;Input!$D$50,Input!$C$51,Input!$D$51),Input!$E$51),Input!$F$51),Input!$G$51),Input!$H$51)</f>
        <v>0.9</v>
      </c>
      <c r="O86" s="60">
        <f t="shared" si="46"/>
        <v>19603417.499999996</v>
      </c>
      <c r="P86" s="60">
        <f t="shared" si="49"/>
        <v>31</v>
      </c>
      <c r="Q86" s="60">
        <f t="shared" si="50"/>
        <v>1453866027.9979434</v>
      </c>
      <c r="R86" s="60">
        <f>ROUND(Q86*$P86*Input!$C$3/365,0)</f>
        <v>18521855</v>
      </c>
      <c r="S86" s="60">
        <f>IF(A86&lt;=Input!$C$6,0,IF('180M'!O86&lt;'180M'!Q86,'180M'!O86-R86,'180M'!Q86))</f>
        <v>1081562.4999999963</v>
      </c>
      <c r="T86" s="60">
        <f t="shared" si="51"/>
        <v>19603417.499999996</v>
      </c>
      <c r="U86" s="60">
        <f t="shared" si="52"/>
        <v>1452784465.4979434</v>
      </c>
      <c r="V86" s="193"/>
      <c r="W86" s="169">
        <v>82</v>
      </c>
      <c r="X86" s="1">
        <f t="shared" si="66"/>
        <v>48014</v>
      </c>
      <c r="Y86" s="60">
        <f>IF($X86&lt;Input!$H$58,IF($X86&lt;Input!$G$58,IF($X86&lt;Input!$F$58,IF($X86&lt;Input!$E$58,IF($X86&lt;Input!$D$58,Input!$C$64,Input!$D$64),Input!$E$64),Input!$F$64),Input!$G$64),Input!$H$64)</f>
        <v>0</v>
      </c>
      <c r="Z86" s="190">
        <f>IF($A86&lt;Input!$H$65,IF($A86&lt;Input!$G$65,IF($A86&lt;Input!$F$65,IF($A86&lt;Input!$E$65,IF($A86&lt;Input!$D$65,Input!$C$66,Input!$D$66),Input!$E$66),Input!$F$66),Input!$G$66),Input!$H$66)</f>
        <v>0.9</v>
      </c>
      <c r="AA86" s="60">
        <f t="shared" si="53"/>
        <v>0</v>
      </c>
      <c r="AB86" s="60">
        <f t="shared" si="67"/>
        <v>31</v>
      </c>
      <c r="AC86" s="60">
        <f t="shared" si="54"/>
        <v>0</v>
      </c>
      <c r="AD86" s="60">
        <f>ROUND(AC86*AB86*Input!$C$3/365,0)</f>
        <v>0</v>
      </c>
      <c r="AE86" s="61">
        <f>IF($A86&lt;=Input!$C$6,0,IF('180M'!AA86&lt;'180M'!AC86,'180M'!AA86-AD86,'180M'!AC86))</f>
        <v>0</v>
      </c>
      <c r="AF86" s="61">
        <f t="shared" si="55"/>
        <v>0</v>
      </c>
      <c r="AG86" s="60">
        <f t="shared" si="56"/>
        <v>0</v>
      </c>
      <c r="AH86" s="193"/>
      <c r="AI86" s="169">
        <v>82</v>
      </c>
      <c r="AJ86" s="1">
        <f t="shared" si="68"/>
        <v>48014</v>
      </c>
      <c r="AK86" s="60">
        <f>IF($X86&lt;Input!$H$73,IF($X86&lt;Input!$G$73,IF($X86&lt;Input!$F$73,IF($X86&lt;Input!$E$73,IF($X86&lt;Input!$D$73,Input!$C$79,Input!$D$79),Input!$E$79),Input!$F$79),Input!$G$79),Input!$H$79)</f>
        <v>0</v>
      </c>
      <c r="AL86" s="190">
        <f>IF($A86&lt;Input!$H$80,IF($A86&lt;Input!$G$80,IF($A86&lt;Input!$F$80,IF($A86&lt;Input!$E$80,IF($A86&lt;Input!$D$80,Input!$C$81,Input!$D$81),Input!$E$81),Input!$F$81),Input!$G$81),Input!$H$81)</f>
        <v>0.9</v>
      </c>
      <c r="AM86" s="60">
        <f t="shared" si="69"/>
        <v>0</v>
      </c>
      <c r="AN86" s="60">
        <f t="shared" si="70"/>
        <v>31</v>
      </c>
      <c r="AO86" s="60">
        <f t="shared" si="71"/>
        <v>0</v>
      </c>
      <c r="AP86" s="60">
        <f>ROUND(AO86*AN86*Input!$C$3/365,0)</f>
        <v>0</v>
      </c>
      <c r="AQ86" s="61">
        <f>IF($A86&lt;=Input!$C$6,0,IF('180M'!AM86&lt;'180M'!AO86,'180M'!AM86-AP86,'180M'!AO86))</f>
        <v>0</v>
      </c>
      <c r="AR86" s="61">
        <f t="shared" si="72"/>
        <v>0</v>
      </c>
      <c r="AS86" s="60">
        <f t="shared" si="73"/>
        <v>0</v>
      </c>
      <c r="AT86" s="193"/>
      <c r="AU86" s="169">
        <v>82</v>
      </c>
      <c r="AV86" s="1">
        <f t="shared" si="74"/>
        <v>48014</v>
      </c>
      <c r="AW86" s="60">
        <f>IF($X86&lt;Input!$H$88,IF($X86&lt;Input!$G$88,IF($X86&lt;Input!$F$88,IF($X86&lt;Input!$E$88,IF($X86&lt;Input!$D$88,Input!$C$94,Input!$D$94),Input!$E$94),Input!$F$94),Input!$G$94),Input!$H$94)</f>
        <v>0</v>
      </c>
      <c r="AX86" s="190">
        <f>IF($A86&lt;Input!$H$95,IF($A86&lt;Input!$G$95,IF($A86&lt;Input!$F$95,IF($A86&lt;Input!$E$95,IF($A86&lt;Input!$D$95,Input!$C$96,Input!$D$96),Input!$E$96),Input!$F$96),Input!$G$96),Input!$H$96)</f>
        <v>0.9</v>
      </c>
      <c r="AY86" s="60">
        <f t="shared" si="75"/>
        <v>0</v>
      </c>
      <c r="AZ86" s="60">
        <f t="shared" si="76"/>
        <v>31</v>
      </c>
      <c r="BA86" s="60">
        <f t="shared" si="77"/>
        <v>0</v>
      </c>
      <c r="BB86" s="60">
        <f>ROUND(BA86*AZ86*Input!$C$3/365,0)</f>
        <v>0</v>
      </c>
      <c r="BC86" s="61">
        <f>IF($A86&lt;=Input!$C$6,0,IF('180M'!AY86&lt;'180M'!BA86,'180M'!AY86-BB86,'180M'!BA86))</f>
        <v>0</v>
      </c>
      <c r="BD86" s="61">
        <f t="shared" si="78"/>
        <v>0</v>
      </c>
      <c r="BE86" s="60">
        <f t="shared" si="79"/>
        <v>0</v>
      </c>
      <c r="BF86" s="193"/>
      <c r="BG86" s="169">
        <v>82</v>
      </c>
      <c r="BH86" s="1">
        <f t="shared" si="80"/>
        <v>48014</v>
      </c>
      <c r="BI86" s="60">
        <f>IF($X86&lt;Input!$H$103,IF($X86&lt;Input!$G$103,IF($X86&lt;Input!$F$103,IF($X86&lt;Input!$E$103,IF($X86&lt;Input!$D$103,Input!$C$109,Input!$D$109),Input!$E$109),Input!$F$109),Input!$G$109),Input!$H$109)</f>
        <v>0</v>
      </c>
      <c r="BJ86" s="190">
        <f>IF($A86&lt;Input!$H$110,IF($A86&lt;Input!$G$110,IF($A86&lt;Input!$F$110,IF($A86&lt;Input!$E$110,IF($A86&lt;Input!$D$110,Input!$C$111,Input!$D$111),Input!$E$111),Input!$F$111),Input!$G$111),Input!$H$111)</f>
        <v>0.9</v>
      </c>
      <c r="BK86" s="60">
        <f t="shared" si="57"/>
        <v>0</v>
      </c>
      <c r="BL86" s="60">
        <f t="shared" si="81"/>
        <v>31</v>
      </c>
      <c r="BM86" s="60">
        <f t="shared" si="58"/>
        <v>0</v>
      </c>
      <c r="BN86" s="60">
        <f>ROUND(BM86*BL86*Input!$C$3/365,0)</f>
        <v>0</v>
      </c>
      <c r="BO86" s="61">
        <f>IF($A86&lt;=Input!$C$6,0,IF('180M'!BK86&lt;'180M'!BM86,'180M'!BK86-BN86,'180M'!BM86))</f>
        <v>0</v>
      </c>
      <c r="BP86" s="61">
        <f t="shared" si="59"/>
        <v>0</v>
      </c>
      <c r="BQ86" s="60">
        <f t="shared" si="60"/>
        <v>0</v>
      </c>
      <c r="BR86" s="198"/>
    </row>
    <row r="87" spans="1:70" x14ac:dyDescent="0.25">
      <c r="A87" s="169">
        <v>83</v>
      </c>
      <c r="B87" s="1">
        <f t="shared" si="61"/>
        <v>48044</v>
      </c>
      <c r="C87" s="60">
        <f t="shared" si="47"/>
        <v>21781574.999999996</v>
      </c>
      <c r="D87" s="60">
        <f t="shared" si="48"/>
        <v>19603417.499999996</v>
      </c>
      <c r="E87" s="60">
        <f t="shared" si="62"/>
        <v>30</v>
      </c>
      <c r="F87" s="60">
        <f t="shared" si="63"/>
        <v>1452784465.4979434</v>
      </c>
      <c r="G87" s="60">
        <f>ROUND(F87*E87*Input!$C$3/365,0)</f>
        <v>17911041</v>
      </c>
      <c r="H87" s="60">
        <f>IF($A87&lt;=Input!$C$6,0,IF('180M'!D87&lt;'180M'!F87,'180M'!D87-G87,'180M'!F87))</f>
        <v>1692376.4999999963</v>
      </c>
      <c r="I87" s="60">
        <f t="shared" si="64"/>
        <v>19603417.499999996</v>
      </c>
      <c r="J87" s="60">
        <f t="shared" si="65"/>
        <v>1451092088.9979434</v>
      </c>
      <c r="K87" s="203">
        <f>J87/Input!$K$5</f>
        <v>4.8369736299931443</v>
      </c>
      <c r="L87" s="232"/>
      <c r="M87" s="60">
        <f>IF($B87&lt;Input!$H$43,IF($B87&lt;Input!$G$43,IF($B87&lt;Input!$F$43,IF($B87&lt;Input!$E$43,IF($B87&lt;Input!$D$43,Input!$C$49,Input!$D$49),Input!$E$49),Input!$F$49),Input!$G$49),Input!$H$49)</f>
        <v>21781574.999999996</v>
      </c>
      <c r="N87" s="190">
        <f>IF($A87&lt;Input!$H$50,IF($A87&lt;Input!$G$50,IF($A87&lt;Input!$F$50,IF($A87&lt;Input!$E$50,IF($A87&lt;Input!$D$50,Input!$C$51,Input!$D$51),Input!$E$51),Input!$F$51),Input!$G$51),Input!$H$51)</f>
        <v>0.9</v>
      </c>
      <c r="O87" s="60">
        <f t="shared" si="46"/>
        <v>19603417.499999996</v>
      </c>
      <c r="P87" s="60">
        <f t="shared" si="49"/>
        <v>30</v>
      </c>
      <c r="Q87" s="60">
        <f t="shared" si="50"/>
        <v>1452784465.4979434</v>
      </c>
      <c r="R87" s="60">
        <f>ROUND(Q87*$P87*Input!$C$3/365,0)</f>
        <v>17911041</v>
      </c>
      <c r="S87" s="60">
        <f>IF(A87&lt;=Input!$C$6,0,IF('180M'!O87&lt;'180M'!Q87,'180M'!O87-R87,'180M'!Q87))</f>
        <v>1692376.4999999963</v>
      </c>
      <c r="T87" s="60">
        <f t="shared" si="51"/>
        <v>19603417.499999996</v>
      </c>
      <c r="U87" s="60">
        <f t="shared" si="52"/>
        <v>1451092088.9979434</v>
      </c>
      <c r="V87" s="193"/>
      <c r="W87" s="169">
        <v>83</v>
      </c>
      <c r="X87" s="1">
        <f t="shared" si="66"/>
        <v>48044</v>
      </c>
      <c r="Y87" s="60">
        <f>IF($X87&lt;Input!$H$58,IF($X87&lt;Input!$G$58,IF($X87&lt;Input!$F$58,IF($X87&lt;Input!$E$58,IF($X87&lt;Input!$D$58,Input!$C$64,Input!$D$64),Input!$E$64),Input!$F$64),Input!$G$64),Input!$H$64)</f>
        <v>0</v>
      </c>
      <c r="Z87" s="190">
        <f>IF($A87&lt;Input!$H$65,IF($A87&lt;Input!$G$65,IF($A87&lt;Input!$F$65,IF($A87&lt;Input!$E$65,IF($A87&lt;Input!$D$65,Input!$C$66,Input!$D$66),Input!$E$66),Input!$F$66),Input!$G$66),Input!$H$66)</f>
        <v>0.9</v>
      </c>
      <c r="AA87" s="60">
        <f t="shared" si="53"/>
        <v>0</v>
      </c>
      <c r="AB87" s="60">
        <f t="shared" si="67"/>
        <v>30</v>
      </c>
      <c r="AC87" s="60">
        <f t="shared" si="54"/>
        <v>0</v>
      </c>
      <c r="AD87" s="60">
        <f>ROUND(AC87*AB87*Input!$C$3/365,0)</f>
        <v>0</v>
      </c>
      <c r="AE87" s="61">
        <f>IF($A87&lt;=Input!$C$6,0,IF('180M'!AA87&lt;'180M'!AC87,'180M'!AA87-AD87,'180M'!AC87))</f>
        <v>0</v>
      </c>
      <c r="AF87" s="61">
        <f t="shared" si="55"/>
        <v>0</v>
      </c>
      <c r="AG87" s="60">
        <f t="shared" si="56"/>
        <v>0</v>
      </c>
      <c r="AH87" s="193"/>
      <c r="AI87" s="169">
        <v>83</v>
      </c>
      <c r="AJ87" s="1">
        <f t="shared" si="68"/>
        <v>48044</v>
      </c>
      <c r="AK87" s="60">
        <f>IF($X87&lt;Input!$H$73,IF($X87&lt;Input!$G$73,IF($X87&lt;Input!$F$73,IF($X87&lt;Input!$E$73,IF($X87&lt;Input!$D$73,Input!$C$79,Input!$D$79),Input!$E$79),Input!$F$79),Input!$G$79),Input!$H$79)</f>
        <v>0</v>
      </c>
      <c r="AL87" s="190">
        <f>IF($A87&lt;Input!$H$80,IF($A87&lt;Input!$G$80,IF($A87&lt;Input!$F$80,IF($A87&lt;Input!$E$80,IF($A87&lt;Input!$D$80,Input!$C$81,Input!$D$81),Input!$E$81),Input!$F$81),Input!$G$81),Input!$H$81)</f>
        <v>0.9</v>
      </c>
      <c r="AM87" s="60">
        <f t="shared" si="69"/>
        <v>0</v>
      </c>
      <c r="AN87" s="60">
        <f t="shared" si="70"/>
        <v>30</v>
      </c>
      <c r="AO87" s="60">
        <f t="shared" si="71"/>
        <v>0</v>
      </c>
      <c r="AP87" s="60">
        <f>ROUND(AO87*AN87*Input!$C$3/365,0)</f>
        <v>0</v>
      </c>
      <c r="AQ87" s="61">
        <f>IF($A87&lt;=Input!$C$6,0,IF('180M'!AM87&lt;'180M'!AO87,'180M'!AM87-AP87,'180M'!AO87))</f>
        <v>0</v>
      </c>
      <c r="AR87" s="61">
        <f t="shared" si="72"/>
        <v>0</v>
      </c>
      <c r="AS87" s="60">
        <f t="shared" si="73"/>
        <v>0</v>
      </c>
      <c r="AT87" s="193"/>
      <c r="AU87" s="169">
        <v>83</v>
      </c>
      <c r="AV87" s="1">
        <f t="shared" si="74"/>
        <v>48044</v>
      </c>
      <c r="AW87" s="60">
        <f>IF($X87&lt;Input!$H$88,IF($X87&lt;Input!$G$88,IF($X87&lt;Input!$F$88,IF($X87&lt;Input!$E$88,IF($X87&lt;Input!$D$88,Input!$C$94,Input!$D$94),Input!$E$94),Input!$F$94),Input!$G$94),Input!$H$94)</f>
        <v>0</v>
      </c>
      <c r="AX87" s="190">
        <f>IF($A87&lt;Input!$H$95,IF($A87&lt;Input!$G$95,IF($A87&lt;Input!$F$95,IF($A87&lt;Input!$E$95,IF($A87&lt;Input!$D$95,Input!$C$96,Input!$D$96),Input!$E$96),Input!$F$96),Input!$G$96),Input!$H$96)</f>
        <v>0.9</v>
      </c>
      <c r="AY87" s="60">
        <f t="shared" si="75"/>
        <v>0</v>
      </c>
      <c r="AZ87" s="60">
        <f t="shared" si="76"/>
        <v>30</v>
      </c>
      <c r="BA87" s="60">
        <f t="shared" si="77"/>
        <v>0</v>
      </c>
      <c r="BB87" s="60">
        <f>ROUND(BA87*AZ87*Input!$C$3/365,0)</f>
        <v>0</v>
      </c>
      <c r="BC87" s="61">
        <f>IF($A87&lt;=Input!$C$6,0,IF('180M'!AY87&lt;'180M'!BA87,'180M'!AY87-BB87,'180M'!BA87))</f>
        <v>0</v>
      </c>
      <c r="BD87" s="61">
        <f t="shared" si="78"/>
        <v>0</v>
      </c>
      <c r="BE87" s="60">
        <f t="shared" si="79"/>
        <v>0</v>
      </c>
      <c r="BF87" s="193"/>
      <c r="BG87" s="169">
        <v>83</v>
      </c>
      <c r="BH87" s="1">
        <f t="shared" si="80"/>
        <v>48044</v>
      </c>
      <c r="BI87" s="60">
        <f>IF($X87&lt;Input!$H$103,IF($X87&lt;Input!$G$103,IF($X87&lt;Input!$F$103,IF($X87&lt;Input!$E$103,IF($X87&lt;Input!$D$103,Input!$C$109,Input!$D$109),Input!$E$109),Input!$F$109),Input!$G$109),Input!$H$109)</f>
        <v>0</v>
      </c>
      <c r="BJ87" s="190">
        <f>IF($A87&lt;Input!$H$110,IF($A87&lt;Input!$G$110,IF($A87&lt;Input!$F$110,IF($A87&lt;Input!$E$110,IF($A87&lt;Input!$D$110,Input!$C$111,Input!$D$111),Input!$E$111),Input!$F$111),Input!$G$111),Input!$H$111)</f>
        <v>0.9</v>
      </c>
      <c r="BK87" s="60">
        <f t="shared" si="57"/>
        <v>0</v>
      </c>
      <c r="BL87" s="60">
        <f t="shared" si="81"/>
        <v>30</v>
      </c>
      <c r="BM87" s="60">
        <f t="shared" si="58"/>
        <v>0</v>
      </c>
      <c r="BN87" s="60">
        <f>ROUND(BM87*BL87*Input!$C$3/365,0)</f>
        <v>0</v>
      </c>
      <c r="BO87" s="61">
        <f>IF($A87&lt;=Input!$C$6,0,IF('180M'!BK87&lt;'180M'!BM87,'180M'!BK87-BN87,'180M'!BM87))</f>
        <v>0</v>
      </c>
      <c r="BP87" s="61">
        <f t="shared" si="59"/>
        <v>0</v>
      </c>
      <c r="BQ87" s="60">
        <f t="shared" si="60"/>
        <v>0</v>
      </c>
      <c r="BR87" s="198"/>
    </row>
    <row r="88" spans="1:70" x14ac:dyDescent="0.25">
      <c r="A88" s="169">
        <v>84</v>
      </c>
      <c r="B88" s="1">
        <f t="shared" si="61"/>
        <v>48075</v>
      </c>
      <c r="C88" s="60">
        <f t="shared" si="47"/>
        <v>21781574.999999996</v>
      </c>
      <c r="D88" s="60">
        <f t="shared" si="48"/>
        <v>19603417.499999996</v>
      </c>
      <c r="E88" s="60">
        <f t="shared" si="62"/>
        <v>31</v>
      </c>
      <c r="F88" s="60">
        <f t="shared" si="63"/>
        <v>1451092088.9979434</v>
      </c>
      <c r="G88" s="60">
        <f>ROUND(F88*E88*Input!$C$3/365,0)</f>
        <v>18486516</v>
      </c>
      <c r="H88" s="60">
        <f>IF($A88&lt;=Input!$C$6,0,IF('180M'!D88&lt;'180M'!F88,'180M'!D88-G88,'180M'!F88))</f>
        <v>1116901.4999999963</v>
      </c>
      <c r="I88" s="60">
        <f t="shared" si="64"/>
        <v>19603417.499999996</v>
      </c>
      <c r="J88" s="60">
        <f t="shared" si="65"/>
        <v>1449975187.4979434</v>
      </c>
      <c r="K88" s="203">
        <f>J88/Input!$K$5</f>
        <v>4.8332506249931448</v>
      </c>
      <c r="L88" s="232"/>
      <c r="M88" s="60">
        <f>IF($B88&lt;Input!$H$43,IF($B88&lt;Input!$G$43,IF($B88&lt;Input!$F$43,IF($B88&lt;Input!$E$43,IF($B88&lt;Input!$D$43,Input!$C$49,Input!$D$49),Input!$E$49),Input!$F$49),Input!$G$49),Input!$H$49)</f>
        <v>21781574.999999996</v>
      </c>
      <c r="N88" s="190">
        <f>IF($A88&lt;Input!$H$50,IF($A88&lt;Input!$G$50,IF($A88&lt;Input!$F$50,IF($A88&lt;Input!$E$50,IF($A88&lt;Input!$D$50,Input!$C$51,Input!$D$51),Input!$E$51),Input!$F$51),Input!$G$51),Input!$H$51)</f>
        <v>0.9</v>
      </c>
      <c r="O88" s="60">
        <f t="shared" si="46"/>
        <v>19603417.499999996</v>
      </c>
      <c r="P88" s="60">
        <f t="shared" si="49"/>
        <v>31</v>
      </c>
      <c r="Q88" s="60">
        <f t="shared" si="50"/>
        <v>1451092088.9979434</v>
      </c>
      <c r="R88" s="60">
        <f>ROUND(Q88*$P88*Input!$C$3/365,0)</f>
        <v>18486516</v>
      </c>
      <c r="S88" s="60">
        <f>IF(A88&lt;=Input!$C$6,0,IF('180M'!O88&lt;'180M'!Q88,'180M'!O88-R88,'180M'!Q88))</f>
        <v>1116901.4999999963</v>
      </c>
      <c r="T88" s="60">
        <f t="shared" si="51"/>
        <v>19603417.499999996</v>
      </c>
      <c r="U88" s="60">
        <f t="shared" si="52"/>
        <v>1449975187.4979434</v>
      </c>
      <c r="V88" s="193"/>
      <c r="W88" s="169">
        <v>84</v>
      </c>
      <c r="X88" s="1">
        <f t="shared" si="66"/>
        <v>48075</v>
      </c>
      <c r="Y88" s="60">
        <f>IF($X88&lt;Input!$H$58,IF($X88&lt;Input!$G$58,IF($X88&lt;Input!$F$58,IF($X88&lt;Input!$E$58,IF($X88&lt;Input!$D$58,Input!$C$64,Input!$D$64),Input!$E$64),Input!$F$64),Input!$G$64),Input!$H$64)</f>
        <v>0</v>
      </c>
      <c r="Z88" s="190">
        <f>IF($A88&lt;Input!$H$65,IF($A88&lt;Input!$G$65,IF($A88&lt;Input!$F$65,IF($A88&lt;Input!$E$65,IF($A88&lt;Input!$D$65,Input!$C$66,Input!$D$66),Input!$E$66),Input!$F$66),Input!$G$66),Input!$H$66)</f>
        <v>0.9</v>
      </c>
      <c r="AA88" s="60">
        <f t="shared" si="53"/>
        <v>0</v>
      </c>
      <c r="AB88" s="60">
        <f t="shared" si="67"/>
        <v>31</v>
      </c>
      <c r="AC88" s="60">
        <f t="shared" si="54"/>
        <v>0</v>
      </c>
      <c r="AD88" s="60">
        <f>ROUND(AC88*AB88*Input!$C$3/365,0)</f>
        <v>0</v>
      </c>
      <c r="AE88" s="61">
        <f>IF($A88&lt;=Input!$C$6,0,IF('180M'!AA88&lt;'180M'!AC88,'180M'!AA88-AD88,'180M'!AC88))</f>
        <v>0</v>
      </c>
      <c r="AF88" s="61">
        <f t="shared" si="55"/>
        <v>0</v>
      </c>
      <c r="AG88" s="60">
        <f t="shared" si="56"/>
        <v>0</v>
      </c>
      <c r="AH88" s="193"/>
      <c r="AI88" s="169">
        <v>84</v>
      </c>
      <c r="AJ88" s="1">
        <f t="shared" si="68"/>
        <v>48075</v>
      </c>
      <c r="AK88" s="60">
        <f>IF($X88&lt;Input!$H$73,IF($X88&lt;Input!$G$73,IF($X88&lt;Input!$F$73,IF($X88&lt;Input!$E$73,IF($X88&lt;Input!$D$73,Input!$C$79,Input!$D$79),Input!$E$79),Input!$F$79),Input!$G$79),Input!$H$79)</f>
        <v>0</v>
      </c>
      <c r="AL88" s="190">
        <f>IF($A88&lt;Input!$H$80,IF($A88&lt;Input!$G$80,IF($A88&lt;Input!$F$80,IF($A88&lt;Input!$E$80,IF($A88&lt;Input!$D$80,Input!$C$81,Input!$D$81),Input!$E$81),Input!$F$81),Input!$G$81),Input!$H$81)</f>
        <v>0.9</v>
      </c>
      <c r="AM88" s="60">
        <f t="shared" si="69"/>
        <v>0</v>
      </c>
      <c r="AN88" s="60">
        <f t="shared" si="70"/>
        <v>31</v>
      </c>
      <c r="AO88" s="60">
        <f t="shared" si="71"/>
        <v>0</v>
      </c>
      <c r="AP88" s="60">
        <f>ROUND(AO88*AN88*Input!$C$3/365,0)</f>
        <v>0</v>
      </c>
      <c r="AQ88" s="61">
        <f>IF($A88&lt;=Input!$C$6,0,IF('180M'!AM88&lt;'180M'!AO88,'180M'!AM88-AP88,'180M'!AO88))</f>
        <v>0</v>
      </c>
      <c r="AR88" s="61">
        <f t="shared" si="72"/>
        <v>0</v>
      </c>
      <c r="AS88" s="60">
        <f t="shared" si="73"/>
        <v>0</v>
      </c>
      <c r="AT88" s="193"/>
      <c r="AU88" s="169">
        <v>84</v>
      </c>
      <c r="AV88" s="1">
        <f t="shared" si="74"/>
        <v>48075</v>
      </c>
      <c r="AW88" s="60">
        <f>IF($X88&lt;Input!$H$88,IF($X88&lt;Input!$G$88,IF($X88&lt;Input!$F$88,IF($X88&lt;Input!$E$88,IF($X88&lt;Input!$D$88,Input!$C$94,Input!$D$94),Input!$E$94),Input!$F$94),Input!$G$94),Input!$H$94)</f>
        <v>0</v>
      </c>
      <c r="AX88" s="190">
        <f>IF($A88&lt;Input!$H$95,IF($A88&lt;Input!$G$95,IF($A88&lt;Input!$F$95,IF($A88&lt;Input!$E$95,IF($A88&lt;Input!$D$95,Input!$C$96,Input!$D$96),Input!$E$96),Input!$F$96),Input!$G$96),Input!$H$96)</f>
        <v>0.9</v>
      </c>
      <c r="AY88" s="60">
        <f t="shared" si="75"/>
        <v>0</v>
      </c>
      <c r="AZ88" s="60">
        <f t="shared" si="76"/>
        <v>31</v>
      </c>
      <c r="BA88" s="60">
        <f t="shared" si="77"/>
        <v>0</v>
      </c>
      <c r="BB88" s="60">
        <f>ROUND(BA88*AZ88*Input!$C$3/365,0)</f>
        <v>0</v>
      </c>
      <c r="BC88" s="61">
        <f>IF($A88&lt;=Input!$C$6,0,IF('180M'!AY88&lt;'180M'!BA88,'180M'!AY88-BB88,'180M'!BA88))</f>
        <v>0</v>
      </c>
      <c r="BD88" s="61">
        <f t="shared" si="78"/>
        <v>0</v>
      </c>
      <c r="BE88" s="60">
        <f t="shared" si="79"/>
        <v>0</v>
      </c>
      <c r="BF88" s="193"/>
      <c r="BG88" s="169">
        <v>84</v>
      </c>
      <c r="BH88" s="1">
        <f t="shared" si="80"/>
        <v>48075</v>
      </c>
      <c r="BI88" s="60">
        <f>IF($X88&lt;Input!$H$103,IF($X88&lt;Input!$G$103,IF($X88&lt;Input!$F$103,IF($X88&lt;Input!$E$103,IF($X88&lt;Input!$D$103,Input!$C$109,Input!$D$109),Input!$E$109),Input!$F$109),Input!$G$109),Input!$H$109)</f>
        <v>0</v>
      </c>
      <c r="BJ88" s="190">
        <f>IF($A88&lt;Input!$H$110,IF($A88&lt;Input!$G$110,IF($A88&lt;Input!$F$110,IF($A88&lt;Input!$E$110,IF($A88&lt;Input!$D$110,Input!$C$111,Input!$D$111),Input!$E$111),Input!$F$111),Input!$G$111),Input!$H$111)</f>
        <v>0.9</v>
      </c>
      <c r="BK88" s="60">
        <f t="shared" si="57"/>
        <v>0</v>
      </c>
      <c r="BL88" s="60">
        <f t="shared" si="81"/>
        <v>31</v>
      </c>
      <c r="BM88" s="60">
        <f t="shared" si="58"/>
        <v>0</v>
      </c>
      <c r="BN88" s="60">
        <f>ROUND(BM88*BL88*Input!$C$3/365,0)</f>
        <v>0</v>
      </c>
      <c r="BO88" s="61">
        <f>IF($A88&lt;=Input!$C$6,0,IF('180M'!BK88&lt;'180M'!BM88,'180M'!BK88-BN88,'180M'!BM88))</f>
        <v>0</v>
      </c>
      <c r="BP88" s="61">
        <f t="shared" si="59"/>
        <v>0</v>
      </c>
      <c r="BQ88" s="60">
        <f t="shared" si="60"/>
        <v>0</v>
      </c>
      <c r="BR88" s="198"/>
    </row>
    <row r="89" spans="1:70" x14ac:dyDescent="0.25">
      <c r="A89" s="169">
        <v>85</v>
      </c>
      <c r="B89" s="1">
        <f t="shared" si="61"/>
        <v>48106</v>
      </c>
      <c r="C89" s="60">
        <f t="shared" si="47"/>
        <v>21781574.999999996</v>
      </c>
      <c r="D89" s="60">
        <f t="shared" si="48"/>
        <v>19603417.499999996</v>
      </c>
      <c r="E89" s="60">
        <f t="shared" si="62"/>
        <v>31</v>
      </c>
      <c r="F89" s="60">
        <f t="shared" si="63"/>
        <v>1449975187.4979434</v>
      </c>
      <c r="G89" s="60">
        <f>ROUND(F89*E89*Input!$C$3/365,0)</f>
        <v>18472287</v>
      </c>
      <c r="H89" s="60">
        <f>IF($A89&lt;=Input!$C$6,0,IF('180M'!D89&lt;'180M'!F89,'180M'!D89-G89,'180M'!F89))</f>
        <v>1131130.4999999963</v>
      </c>
      <c r="I89" s="60">
        <f t="shared" si="64"/>
        <v>19603417.499999996</v>
      </c>
      <c r="J89" s="60">
        <f t="shared" si="65"/>
        <v>1448844056.9979434</v>
      </c>
      <c r="K89" s="203">
        <f>J89/Input!$K$5</f>
        <v>4.829480189993145</v>
      </c>
      <c r="L89" s="232"/>
      <c r="M89" s="60">
        <f>IF($B89&lt;Input!$H$43,IF($B89&lt;Input!$G$43,IF($B89&lt;Input!$F$43,IF($B89&lt;Input!$E$43,IF($B89&lt;Input!$D$43,Input!$C$49,Input!$D$49),Input!$E$49),Input!$F$49),Input!$G$49),Input!$H$49)</f>
        <v>21781574.999999996</v>
      </c>
      <c r="N89" s="190">
        <f>IF($A89&lt;Input!$H$50,IF($A89&lt;Input!$G$50,IF($A89&lt;Input!$F$50,IF($A89&lt;Input!$E$50,IF($A89&lt;Input!$D$50,Input!$C$51,Input!$D$51),Input!$E$51),Input!$F$51),Input!$G$51),Input!$H$51)</f>
        <v>0.9</v>
      </c>
      <c r="O89" s="60">
        <f t="shared" si="46"/>
        <v>19603417.499999996</v>
      </c>
      <c r="P89" s="60">
        <f t="shared" si="49"/>
        <v>31</v>
      </c>
      <c r="Q89" s="60">
        <f t="shared" si="50"/>
        <v>1449975187.4979434</v>
      </c>
      <c r="R89" s="60">
        <f>ROUND(Q89*$P89*Input!$C$3/365,0)</f>
        <v>18472287</v>
      </c>
      <c r="S89" s="60">
        <f>IF(A89&lt;=Input!$C$6,0,IF('180M'!O89&lt;'180M'!Q89,'180M'!O89-R89,'180M'!Q89))</f>
        <v>1131130.4999999963</v>
      </c>
      <c r="T89" s="60">
        <f t="shared" si="51"/>
        <v>19603417.499999996</v>
      </c>
      <c r="U89" s="60">
        <f t="shared" si="52"/>
        <v>1448844056.9979434</v>
      </c>
      <c r="V89" s="193"/>
      <c r="W89" s="169">
        <v>85</v>
      </c>
      <c r="X89" s="1">
        <f t="shared" si="66"/>
        <v>48106</v>
      </c>
      <c r="Y89" s="60">
        <f>IF($X89&lt;Input!$H$58,IF($X89&lt;Input!$G$58,IF($X89&lt;Input!$F$58,IF($X89&lt;Input!$E$58,IF($X89&lt;Input!$D$58,Input!$C$64,Input!$D$64),Input!$E$64),Input!$F$64),Input!$G$64),Input!$H$64)</f>
        <v>0</v>
      </c>
      <c r="Z89" s="190">
        <f>IF($A89&lt;Input!$H$65,IF($A89&lt;Input!$G$65,IF($A89&lt;Input!$F$65,IF($A89&lt;Input!$E$65,IF($A89&lt;Input!$D$65,Input!$C$66,Input!$D$66),Input!$E$66),Input!$F$66),Input!$G$66),Input!$H$66)</f>
        <v>0.9</v>
      </c>
      <c r="AA89" s="60">
        <f t="shared" si="53"/>
        <v>0</v>
      </c>
      <c r="AB89" s="60">
        <f t="shared" si="67"/>
        <v>31</v>
      </c>
      <c r="AC89" s="60">
        <f t="shared" si="54"/>
        <v>0</v>
      </c>
      <c r="AD89" s="60">
        <f>ROUND(AC89*AB89*Input!$C$3/365,0)</f>
        <v>0</v>
      </c>
      <c r="AE89" s="61">
        <f>IF($A89&lt;=Input!$C$6,0,IF('180M'!AA89&lt;'180M'!AC89,'180M'!AA89-AD89,'180M'!AC89))</f>
        <v>0</v>
      </c>
      <c r="AF89" s="61">
        <f t="shared" si="55"/>
        <v>0</v>
      </c>
      <c r="AG89" s="60">
        <f t="shared" si="56"/>
        <v>0</v>
      </c>
      <c r="AH89" s="193"/>
      <c r="AI89" s="169">
        <v>85</v>
      </c>
      <c r="AJ89" s="1">
        <f t="shared" si="68"/>
        <v>48106</v>
      </c>
      <c r="AK89" s="60">
        <f>IF($X89&lt;Input!$H$73,IF($X89&lt;Input!$G$73,IF($X89&lt;Input!$F$73,IF($X89&lt;Input!$E$73,IF($X89&lt;Input!$D$73,Input!$C$79,Input!$D$79),Input!$E$79),Input!$F$79),Input!$G$79),Input!$H$79)</f>
        <v>0</v>
      </c>
      <c r="AL89" s="190">
        <f>IF($A89&lt;Input!$H$80,IF($A89&lt;Input!$G$80,IF($A89&lt;Input!$F$80,IF($A89&lt;Input!$E$80,IF($A89&lt;Input!$D$80,Input!$C$81,Input!$D$81),Input!$E$81),Input!$F$81),Input!$G$81),Input!$H$81)</f>
        <v>0.9</v>
      </c>
      <c r="AM89" s="60">
        <f t="shared" si="69"/>
        <v>0</v>
      </c>
      <c r="AN89" s="60">
        <f t="shared" si="70"/>
        <v>31</v>
      </c>
      <c r="AO89" s="60">
        <f t="shared" si="71"/>
        <v>0</v>
      </c>
      <c r="AP89" s="60">
        <f>ROUND(AO89*AN89*Input!$C$3/365,0)</f>
        <v>0</v>
      </c>
      <c r="AQ89" s="61">
        <f>IF($A89&lt;=Input!$C$6,0,IF('180M'!AM89&lt;'180M'!AO89,'180M'!AM89-AP89,'180M'!AO89))</f>
        <v>0</v>
      </c>
      <c r="AR89" s="61">
        <f t="shared" si="72"/>
        <v>0</v>
      </c>
      <c r="AS89" s="60">
        <f t="shared" si="73"/>
        <v>0</v>
      </c>
      <c r="AT89" s="193"/>
      <c r="AU89" s="169">
        <v>85</v>
      </c>
      <c r="AV89" s="1">
        <f t="shared" si="74"/>
        <v>48106</v>
      </c>
      <c r="AW89" s="60">
        <f>IF($X89&lt;Input!$H$88,IF($X89&lt;Input!$G$88,IF($X89&lt;Input!$F$88,IF($X89&lt;Input!$E$88,IF($X89&lt;Input!$D$88,Input!$C$94,Input!$D$94),Input!$E$94),Input!$F$94),Input!$G$94),Input!$H$94)</f>
        <v>0</v>
      </c>
      <c r="AX89" s="190">
        <f>IF($A89&lt;Input!$H$95,IF($A89&lt;Input!$G$95,IF($A89&lt;Input!$F$95,IF($A89&lt;Input!$E$95,IF($A89&lt;Input!$D$95,Input!$C$96,Input!$D$96),Input!$E$96),Input!$F$96),Input!$G$96),Input!$H$96)</f>
        <v>0.9</v>
      </c>
      <c r="AY89" s="60">
        <f t="shared" si="75"/>
        <v>0</v>
      </c>
      <c r="AZ89" s="60">
        <f t="shared" si="76"/>
        <v>31</v>
      </c>
      <c r="BA89" s="60">
        <f t="shared" si="77"/>
        <v>0</v>
      </c>
      <c r="BB89" s="60">
        <f>ROUND(BA89*AZ89*Input!$C$3/365,0)</f>
        <v>0</v>
      </c>
      <c r="BC89" s="61">
        <f>IF($A89&lt;=Input!$C$6,0,IF('180M'!AY89&lt;'180M'!BA89,'180M'!AY89-BB89,'180M'!BA89))</f>
        <v>0</v>
      </c>
      <c r="BD89" s="61">
        <f t="shared" si="78"/>
        <v>0</v>
      </c>
      <c r="BE89" s="60">
        <f t="shared" si="79"/>
        <v>0</v>
      </c>
      <c r="BF89" s="193"/>
      <c r="BG89" s="169">
        <v>85</v>
      </c>
      <c r="BH89" s="1">
        <f t="shared" si="80"/>
        <v>48106</v>
      </c>
      <c r="BI89" s="60">
        <f>IF($X89&lt;Input!$H$103,IF($X89&lt;Input!$G$103,IF($X89&lt;Input!$F$103,IF($X89&lt;Input!$E$103,IF($X89&lt;Input!$D$103,Input!$C$109,Input!$D$109),Input!$E$109),Input!$F$109),Input!$G$109),Input!$H$109)</f>
        <v>0</v>
      </c>
      <c r="BJ89" s="190">
        <f>IF($A89&lt;Input!$H$110,IF($A89&lt;Input!$G$110,IF($A89&lt;Input!$F$110,IF($A89&lt;Input!$E$110,IF($A89&lt;Input!$D$110,Input!$C$111,Input!$D$111),Input!$E$111),Input!$F$111),Input!$G$111),Input!$H$111)</f>
        <v>0.9</v>
      </c>
      <c r="BK89" s="60">
        <f t="shared" si="57"/>
        <v>0</v>
      </c>
      <c r="BL89" s="60">
        <f t="shared" si="81"/>
        <v>31</v>
      </c>
      <c r="BM89" s="60">
        <f t="shared" si="58"/>
        <v>0</v>
      </c>
      <c r="BN89" s="60">
        <f>ROUND(BM89*BL89*Input!$C$3/365,0)</f>
        <v>0</v>
      </c>
      <c r="BO89" s="61">
        <f>IF($A89&lt;=Input!$C$6,0,IF('180M'!BK89&lt;'180M'!BM89,'180M'!BK89-BN89,'180M'!BM89))</f>
        <v>0</v>
      </c>
      <c r="BP89" s="61">
        <f t="shared" si="59"/>
        <v>0</v>
      </c>
      <c r="BQ89" s="60">
        <f t="shared" si="60"/>
        <v>0</v>
      </c>
      <c r="BR89" s="198"/>
    </row>
    <row r="90" spans="1:70" x14ac:dyDescent="0.25">
      <c r="A90" s="169">
        <v>86</v>
      </c>
      <c r="B90" s="1">
        <f t="shared" si="61"/>
        <v>48136</v>
      </c>
      <c r="C90" s="60">
        <f t="shared" si="47"/>
        <v>21781574.999999996</v>
      </c>
      <c r="D90" s="60">
        <f t="shared" si="48"/>
        <v>19603417.499999996</v>
      </c>
      <c r="E90" s="60">
        <f t="shared" si="62"/>
        <v>30</v>
      </c>
      <c r="F90" s="60">
        <f t="shared" si="63"/>
        <v>1448844056.9979434</v>
      </c>
      <c r="G90" s="60">
        <f>ROUND(F90*E90*Input!$C$3/365,0)</f>
        <v>17862461</v>
      </c>
      <c r="H90" s="60">
        <f>IF($A90&lt;=Input!$C$6,0,IF('180M'!D90&lt;'180M'!F90,'180M'!D90-G90,'180M'!F90))</f>
        <v>1740956.4999999963</v>
      </c>
      <c r="I90" s="60">
        <f t="shared" si="64"/>
        <v>19603417.499999996</v>
      </c>
      <c r="J90" s="60">
        <f t="shared" si="65"/>
        <v>1447103100.4979434</v>
      </c>
      <c r="K90" s="203">
        <f>J90/Input!$K$5</f>
        <v>4.8236770016598109</v>
      </c>
      <c r="L90" s="232"/>
      <c r="M90" s="60">
        <f>IF($B90&lt;Input!$H$43,IF($B90&lt;Input!$G$43,IF($B90&lt;Input!$F$43,IF($B90&lt;Input!$E$43,IF($B90&lt;Input!$D$43,Input!$C$49,Input!$D$49),Input!$E$49),Input!$F$49),Input!$G$49),Input!$H$49)</f>
        <v>21781574.999999996</v>
      </c>
      <c r="N90" s="190">
        <f>IF($A90&lt;Input!$H$50,IF($A90&lt;Input!$G$50,IF($A90&lt;Input!$F$50,IF($A90&lt;Input!$E$50,IF($A90&lt;Input!$D$50,Input!$C$51,Input!$D$51),Input!$E$51),Input!$F$51),Input!$G$51),Input!$H$51)</f>
        <v>0.9</v>
      </c>
      <c r="O90" s="60">
        <f t="shared" si="46"/>
        <v>19603417.499999996</v>
      </c>
      <c r="P90" s="60">
        <f t="shared" si="49"/>
        <v>30</v>
      </c>
      <c r="Q90" s="60">
        <f t="shared" si="50"/>
        <v>1448844056.9979434</v>
      </c>
      <c r="R90" s="60">
        <f>ROUND(Q90*$P90*Input!$C$3/365,0)</f>
        <v>17862461</v>
      </c>
      <c r="S90" s="60">
        <f>IF(A90&lt;=Input!$C$6,0,IF('180M'!O90&lt;'180M'!Q90,'180M'!O90-R90,'180M'!Q90))</f>
        <v>1740956.4999999963</v>
      </c>
      <c r="T90" s="60">
        <f t="shared" si="51"/>
        <v>19603417.499999996</v>
      </c>
      <c r="U90" s="60">
        <f t="shared" si="52"/>
        <v>1447103100.4979434</v>
      </c>
      <c r="V90" s="193"/>
      <c r="W90" s="169">
        <v>86</v>
      </c>
      <c r="X90" s="1">
        <f t="shared" si="66"/>
        <v>48136</v>
      </c>
      <c r="Y90" s="60">
        <f>IF($X90&lt;Input!$H$58,IF($X90&lt;Input!$G$58,IF($X90&lt;Input!$F$58,IF($X90&lt;Input!$E$58,IF($X90&lt;Input!$D$58,Input!$C$64,Input!$D$64),Input!$E$64),Input!$F$64),Input!$G$64),Input!$H$64)</f>
        <v>0</v>
      </c>
      <c r="Z90" s="190">
        <f>IF($A90&lt;Input!$H$65,IF($A90&lt;Input!$G$65,IF($A90&lt;Input!$F$65,IF($A90&lt;Input!$E$65,IF($A90&lt;Input!$D$65,Input!$C$66,Input!$D$66),Input!$E$66),Input!$F$66),Input!$G$66),Input!$H$66)</f>
        <v>0.9</v>
      </c>
      <c r="AA90" s="60">
        <f t="shared" si="53"/>
        <v>0</v>
      </c>
      <c r="AB90" s="60">
        <f t="shared" si="67"/>
        <v>30</v>
      </c>
      <c r="AC90" s="60">
        <f t="shared" si="54"/>
        <v>0</v>
      </c>
      <c r="AD90" s="60">
        <f>ROUND(AC90*AB90*Input!$C$3/365,0)</f>
        <v>0</v>
      </c>
      <c r="AE90" s="61">
        <f>IF($A90&lt;=Input!$C$6,0,IF('180M'!AA90&lt;'180M'!AC90,'180M'!AA90-AD90,'180M'!AC90))</f>
        <v>0</v>
      </c>
      <c r="AF90" s="61">
        <f t="shared" si="55"/>
        <v>0</v>
      </c>
      <c r="AG90" s="60">
        <f t="shared" si="56"/>
        <v>0</v>
      </c>
      <c r="AH90" s="193"/>
      <c r="AI90" s="169">
        <v>86</v>
      </c>
      <c r="AJ90" s="1">
        <f t="shared" si="68"/>
        <v>48136</v>
      </c>
      <c r="AK90" s="60">
        <f>IF($X90&lt;Input!$H$73,IF($X90&lt;Input!$G$73,IF($X90&lt;Input!$F$73,IF($X90&lt;Input!$E$73,IF($X90&lt;Input!$D$73,Input!$C$79,Input!$D$79),Input!$E$79),Input!$F$79),Input!$G$79),Input!$H$79)</f>
        <v>0</v>
      </c>
      <c r="AL90" s="190">
        <f>IF($A90&lt;Input!$H$80,IF($A90&lt;Input!$G$80,IF($A90&lt;Input!$F$80,IF($A90&lt;Input!$E$80,IF($A90&lt;Input!$D$80,Input!$C$81,Input!$D$81),Input!$E$81),Input!$F$81),Input!$G$81),Input!$H$81)</f>
        <v>0.9</v>
      </c>
      <c r="AM90" s="60">
        <f t="shared" si="69"/>
        <v>0</v>
      </c>
      <c r="AN90" s="60">
        <f t="shared" si="70"/>
        <v>30</v>
      </c>
      <c r="AO90" s="60">
        <f t="shared" si="71"/>
        <v>0</v>
      </c>
      <c r="AP90" s="60">
        <f>ROUND(AO90*AN90*Input!$C$3/365,0)</f>
        <v>0</v>
      </c>
      <c r="AQ90" s="61">
        <f>IF($A90&lt;=Input!$C$6,0,IF('180M'!AM90&lt;'180M'!AO90,'180M'!AM90-AP90,'180M'!AO90))</f>
        <v>0</v>
      </c>
      <c r="AR90" s="61">
        <f t="shared" si="72"/>
        <v>0</v>
      </c>
      <c r="AS90" s="60">
        <f t="shared" si="73"/>
        <v>0</v>
      </c>
      <c r="AT90" s="193"/>
      <c r="AU90" s="169">
        <v>86</v>
      </c>
      <c r="AV90" s="1">
        <f t="shared" si="74"/>
        <v>48136</v>
      </c>
      <c r="AW90" s="60">
        <f>IF($X90&lt;Input!$H$88,IF($X90&lt;Input!$G$88,IF($X90&lt;Input!$F$88,IF($X90&lt;Input!$E$88,IF($X90&lt;Input!$D$88,Input!$C$94,Input!$D$94),Input!$E$94),Input!$F$94),Input!$G$94),Input!$H$94)</f>
        <v>0</v>
      </c>
      <c r="AX90" s="190">
        <f>IF($A90&lt;Input!$H$95,IF($A90&lt;Input!$G$95,IF($A90&lt;Input!$F$95,IF($A90&lt;Input!$E$95,IF($A90&lt;Input!$D$95,Input!$C$96,Input!$D$96),Input!$E$96),Input!$F$96),Input!$G$96),Input!$H$96)</f>
        <v>0.9</v>
      </c>
      <c r="AY90" s="60">
        <f t="shared" si="75"/>
        <v>0</v>
      </c>
      <c r="AZ90" s="60">
        <f t="shared" si="76"/>
        <v>30</v>
      </c>
      <c r="BA90" s="60">
        <f t="shared" si="77"/>
        <v>0</v>
      </c>
      <c r="BB90" s="60">
        <f>ROUND(BA90*AZ90*Input!$C$3/365,0)</f>
        <v>0</v>
      </c>
      <c r="BC90" s="61">
        <f>IF($A90&lt;=Input!$C$6,0,IF('180M'!AY90&lt;'180M'!BA90,'180M'!AY90-BB90,'180M'!BA90))</f>
        <v>0</v>
      </c>
      <c r="BD90" s="61">
        <f t="shared" si="78"/>
        <v>0</v>
      </c>
      <c r="BE90" s="60">
        <f t="shared" si="79"/>
        <v>0</v>
      </c>
      <c r="BF90" s="193"/>
      <c r="BG90" s="169">
        <v>86</v>
      </c>
      <c r="BH90" s="1">
        <f t="shared" si="80"/>
        <v>48136</v>
      </c>
      <c r="BI90" s="60">
        <f>IF($X90&lt;Input!$H$103,IF($X90&lt;Input!$G$103,IF($X90&lt;Input!$F$103,IF($X90&lt;Input!$E$103,IF($X90&lt;Input!$D$103,Input!$C$109,Input!$D$109),Input!$E$109),Input!$F$109),Input!$G$109),Input!$H$109)</f>
        <v>0</v>
      </c>
      <c r="BJ90" s="190">
        <f>IF($A90&lt;Input!$H$110,IF($A90&lt;Input!$G$110,IF($A90&lt;Input!$F$110,IF($A90&lt;Input!$E$110,IF($A90&lt;Input!$D$110,Input!$C$111,Input!$D$111),Input!$E$111),Input!$F$111),Input!$G$111),Input!$H$111)</f>
        <v>0.9</v>
      </c>
      <c r="BK90" s="60">
        <f t="shared" si="57"/>
        <v>0</v>
      </c>
      <c r="BL90" s="60">
        <f t="shared" si="81"/>
        <v>30</v>
      </c>
      <c r="BM90" s="60">
        <f t="shared" si="58"/>
        <v>0</v>
      </c>
      <c r="BN90" s="60">
        <f>ROUND(BM90*BL90*Input!$C$3/365,0)</f>
        <v>0</v>
      </c>
      <c r="BO90" s="61">
        <f>IF($A90&lt;=Input!$C$6,0,IF('180M'!BK90&lt;'180M'!BM90,'180M'!BK90-BN90,'180M'!BM90))</f>
        <v>0</v>
      </c>
      <c r="BP90" s="61">
        <f t="shared" si="59"/>
        <v>0</v>
      </c>
      <c r="BQ90" s="60">
        <f t="shared" si="60"/>
        <v>0</v>
      </c>
      <c r="BR90" s="198"/>
    </row>
    <row r="91" spans="1:70" x14ac:dyDescent="0.25">
      <c r="A91" s="169">
        <v>87</v>
      </c>
      <c r="B91" s="1">
        <f t="shared" si="61"/>
        <v>48167</v>
      </c>
      <c r="C91" s="60">
        <f t="shared" si="47"/>
        <v>21781574.999999996</v>
      </c>
      <c r="D91" s="60">
        <f t="shared" si="48"/>
        <v>19603417.499999996</v>
      </c>
      <c r="E91" s="60">
        <f t="shared" si="62"/>
        <v>31</v>
      </c>
      <c r="F91" s="60">
        <f t="shared" si="63"/>
        <v>1447103100.4979434</v>
      </c>
      <c r="G91" s="60">
        <f>ROUND(F91*E91*Input!$C$3/365,0)</f>
        <v>18435697</v>
      </c>
      <c r="H91" s="60">
        <f>IF($A91&lt;=Input!$C$6,0,IF('180M'!D91&lt;'180M'!F91,'180M'!D91-G91,'180M'!F91))</f>
        <v>1167720.4999999963</v>
      </c>
      <c r="I91" s="60">
        <f t="shared" si="64"/>
        <v>19603417.499999996</v>
      </c>
      <c r="J91" s="60">
        <f t="shared" si="65"/>
        <v>1445935379.9979434</v>
      </c>
      <c r="K91" s="203">
        <f>J91/Input!$K$5</f>
        <v>4.8197845999931443</v>
      </c>
      <c r="L91" s="232"/>
      <c r="M91" s="60">
        <f>IF($B91&lt;Input!$H$43,IF($B91&lt;Input!$G$43,IF($B91&lt;Input!$F$43,IF($B91&lt;Input!$E$43,IF($B91&lt;Input!$D$43,Input!$C$49,Input!$D$49),Input!$E$49),Input!$F$49),Input!$G$49),Input!$H$49)</f>
        <v>21781574.999999996</v>
      </c>
      <c r="N91" s="190">
        <f>IF($A91&lt;Input!$H$50,IF($A91&lt;Input!$G$50,IF($A91&lt;Input!$F$50,IF($A91&lt;Input!$E$50,IF($A91&lt;Input!$D$50,Input!$C$51,Input!$D$51),Input!$E$51),Input!$F$51),Input!$G$51),Input!$H$51)</f>
        <v>0.9</v>
      </c>
      <c r="O91" s="60">
        <f t="shared" si="46"/>
        <v>19603417.499999996</v>
      </c>
      <c r="P91" s="60">
        <f t="shared" si="49"/>
        <v>31</v>
      </c>
      <c r="Q91" s="60">
        <f t="shared" si="50"/>
        <v>1447103100.4979434</v>
      </c>
      <c r="R91" s="60">
        <f>ROUND(Q91*$P91*Input!$C$3/365,0)</f>
        <v>18435697</v>
      </c>
      <c r="S91" s="60">
        <f>IF(A91&lt;=Input!$C$6,0,IF('180M'!O91&lt;'180M'!Q91,'180M'!O91-R91,'180M'!Q91))</f>
        <v>1167720.4999999963</v>
      </c>
      <c r="T91" s="60">
        <f t="shared" si="51"/>
        <v>19603417.499999996</v>
      </c>
      <c r="U91" s="60">
        <f t="shared" si="52"/>
        <v>1445935379.9979434</v>
      </c>
      <c r="V91" s="193"/>
      <c r="W91" s="169">
        <v>87</v>
      </c>
      <c r="X91" s="1">
        <f t="shared" si="66"/>
        <v>48167</v>
      </c>
      <c r="Y91" s="60">
        <f>IF($X91&lt;Input!$H$58,IF($X91&lt;Input!$G$58,IF($X91&lt;Input!$F$58,IF($X91&lt;Input!$E$58,IF($X91&lt;Input!$D$58,Input!$C$64,Input!$D$64),Input!$E$64),Input!$F$64),Input!$G$64),Input!$H$64)</f>
        <v>0</v>
      </c>
      <c r="Z91" s="190">
        <f>IF($A91&lt;Input!$H$65,IF($A91&lt;Input!$G$65,IF($A91&lt;Input!$F$65,IF($A91&lt;Input!$E$65,IF($A91&lt;Input!$D$65,Input!$C$66,Input!$D$66),Input!$E$66),Input!$F$66),Input!$G$66),Input!$H$66)</f>
        <v>0.9</v>
      </c>
      <c r="AA91" s="60">
        <f t="shared" si="53"/>
        <v>0</v>
      </c>
      <c r="AB91" s="60">
        <f t="shared" si="67"/>
        <v>31</v>
      </c>
      <c r="AC91" s="60">
        <f t="shared" si="54"/>
        <v>0</v>
      </c>
      <c r="AD91" s="60">
        <f>ROUND(AC91*AB91*Input!$C$3/365,0)</f>
        <v>0</v>
      </c>
      <c r="AE91" s="61">
        <f>IF($A91&lt;=Input!$C$6,0,IF('180M'!AA91&lt;'180M'!AC91,'180M'!AA91-AD91,'180M'!AC91))</f>
        <v>0</v>
      </c>
      <c r="AF91" s="61">
        <f t="shared" si="55"/>
        <v>0</v>
      </c>
      <c r="AG91" s="60">
        <f t="shared" si="56"/>
        <v>0</v>
      </c>
      <c r="AH91" s="193"/>
      <c r="AI91" s="169">
        <v>87</v>
      </c>
      <c r="AJ91" s="1">
        <f t="shared" si="68"/>
        <v>48167</v>
      </c>
      <c r="AK91" s="60">
        <f>IF($X91&lt;Input!$H$73,IF($X91&lt;Input!$G$73,IF($X91&lt;Input!$F$73,IF($X91&lt;Input!$E$73,IF($X91&lt;Input!$D$73,Input!$C$79,Input!$D$79),Input!$E$79),Input!$F$79),Input!$G$79),Input!$H$79)</f>
        <v>0</v>
      </c>
      <c r="AL91" s="190">
        <f>IF($A91&lt;Input!$H$80,IF($A91&lt;Input!$G$80,IF($A91&lt;Input!$F$80,IF($A91&lt;Input!$E$80,IF($A91&lt;Input!$D$80,Input!$C$81,Input!$D$81),Input!$E$81),Input!$F$81),Input!$G$81),Input!$H$81)</f>
        <v>0.9</v>
      </c>
      <c r="AM91" s="60">
        <f t="shared" si="69"/>
        <v>0</v>
      </c>
      <c r="AN91" s="60">
        <f t="shared" si="70"/>
        <v>31</v>
      </c>
      <c r="AO91" s="60">
        <f t="shared" si="71"/>
        <v>0</v>
      </c>
      <c r="AP91" s="60">
        <f>ROUND(AO91*AN91*Input!$C$3/365,0)</f>
        <v>0</v>
      </c>
      <c r="AQ91" s="61">
        <f>IF($A91&lt;=Input!$C$6,0,IF('180M'!AM91&lt;'180M'!AO91,'180M'!AM91-AP91,'180M'!AO91))</f>
        <v>0</v>
      </c>
      <c r="AR91" s="61">
        <f t="shared" si="72"/>
        <v>0</v>
      </c>
      <c r="AS91" s="60">
        <f t="shared" si="73"/>
        <v>0</v>
      </c>
      <c r="AT91" s="193"/>
      <c r="AU91" s="169">
        <v>87</v>
      </c>
      <c r="AV91" s="1">
        <f t="shared" si="74"/>
        <v>48167</v>
      </c>
      <c r="AW91" s="60">
        <f>IF($X91&lt;Input!$H$88,IF($X91&lt;Input!$G$88,IF($X91&lt;Input!$F$88,IF($X91&lt;Input!$E$88,IF($X91&lt;Input!$D$88,Input!$C$94,Input!$D$94),Input!$E$94),Input!$F$94),Input!$G$94),Input!$H$94)</f>
        <v>0</v>
      </c>
      <c r="AX91" s="190">
        <f>IF($A91&lt;Input!$H$95,IF($A91&lt;Input!$G$95,IF($A91&lt;Input!$F$95,IF($A91&lt;Input!$E$95,IF($A91&lt;Input!$D$95,Input!$C$96,Input!$D$96),Input!$E$96),Input!$F$96),Input!$G$96),Input!$H$96)</f>
        <v>0.9</v>
      </c>
      <c r="AY91" s="60">
        <f t="shared" si="75"/>
        <v>0</v>
      </c>
      <c r="AZ91" s="60">
        <f t="shared" si="76"/>
        <v>31</v>
      </c>
      <c r="BA91" s="60">
        <f t="shared" si="77"/>
        <v>0</v>
      </c>
      <c r="BB91" s="60">
        <f>ROUND(BA91*AZ91*Input!$C$3/365,0)</f>
        <v>0</v>
      </c>
      <c r="BC91" s="61">
        <f>IF($A91&lt;=Input!$C$6,0,IF('180M'!AY91&lt;'180M'!BA91,'180M'!AY91-BB91,'180M'!BA91))</f>
        <v>0</v>
      </c>
      <c r="BD91" s="61">
        <f t="shared" si="78"/>
        <v>0</v>
      </c>
      <c r="BE91" s="60">
        <f t="shared" si="79"/>
        <v>0</v>
      </c>
      <c r="BF91" s="193"/>
      <c r="BG91" s="169">
        <v>87</v>
      </c>
      <c r="BH91" s="1">
        <f t="shared" si="80"/>
        <v>48167</v>
      </c>
      <c r="BI91" s="60">
        <f>IF($X91&lt;Input!$H$103,IF($X91&lt;Input!$G$103,IF($X91&lt;Input!$F$103,IF($X91&lt;Input!$E$103,IF($X91&lt;Input!$D$103,Input!$C$109,Input!$D$109),Input!$E$109),Input!$F$109),Input!$G$109),Input!$H$109)</f>
        <v>0</v>
      </c>
      <c r="BJ91" s="190">
        <f>IF($A91&lt;Input!$H$110,IF($A91&lt;Input!$G$110,IF($A91&lt;Input!$F$110,IF($A91&lt;Input!$E$110,IF($A91&lt;Input!$D$110,Input!$C$111,Input!$D$111),Input!$E$111),Input!$F$111),Input!$G$111),Input!$H$111)</f>
        <v>0.9</v>
      </c>
      <c r="BK91" s="60">
        <f t="shared" si="57"/>
        <v>0</v>
      </c>
      <c r="BL91" s="60">
        <f t="shared" si="81"/>
        <v>31</v>
      </c>
      <c r="BM91" s="60">
        <f t="shared" si="58"/>
        <v>0</v>
      </c>
      <c r="BN91" s="60">
        <f>ROUND(BM91*BL91*Input!$C$3/365,0)</f>
        <v>0</v>
      </c>
      <c r="BO91" s="61">
        <f>IF($A91&lt;=Input!$C$6,0,IF('180M'!BK91&lt;'180M'!BM91,'180M'!BK91-BN91,'180M'!BM91))</f>
        <v>0</v>
      </c>
      <c r="BP91" s="61">
        <f t="shared" si="59"/>
        <v>0</v>
      </c>
      <c r="BQ91" s="60">
        <f t="shared" si="60"/>
        <v>0</v>
      </c>
      <c r="BR91" s="198"/>
    </row>
    <row r="92" spans="1:70" x14ac:dyDescent="0.25">
      <c r="A92" s="169">
        <v>88</v>
      </c>
      <c r="B92" s="1">
        <f t="shared" si="61"/>
        <v>48197</v>
      </c>
      <c r="C92" s="60">
        <f t="shared" si="47"/>
        <v>21781574.999999996</v>
      </c>
      <c r="D92" s="60">
        <f t="shared" si="48"/>
        <v>19603417.499999996</v>
      </c>
      <c r="E92" s="60">
        <f t="shared" si="62"/>
        <v>30</v>
      </c>
      <c r="F92" s="60">
        <f t="shared" si="63"/>
        <v>1445935379.9979434</v>
      </c>
      <c r="G92" s="60">
        <f>ROUND(F92*E92*Input!$C$3/365,0)</f>
        <v>17826601</v>
      </c>
      <c r="H92" s="60">
        <f>IF($A92&lt;=Input!$C$6,0,IF('180M'!D92&lt;'180M'!F92,'180M'!D92-G92,'180M'!F92))</f>
        <v>1776816.4999999963</v>
      </c>
      <c r="I92" s="60">
        <f t="shared" si="64"/>
        <v>19603417.499999996</v>
      </c>
      <c r="J92" s="60">
        <f t="shared" si="65"/>
        <v>1444158563.4979434</v>
      </c>
      <c r="K92" s="203">
        <f>J92/Input!$K$5</f>
        <v>4.8138618783264784</v>
      </c>
      <c r="L92" s="232"/>
      <c r="M92" s="60">
        <f>IF($B92&lt;Input!$H$43,IF($B92&lt;Input!$G$43,IF($B92&lt;Input!$F$43,IF($B92&lt;Input!$E$43,IF($B92&lt;Input!$D$43,Input!$C$49,Input!$D$49),Input!$E$49),Input!$F$49),Input!$G$49),Input!$H$49)</f>
        <v>21781574.999999996</v>
      </c>
      <c r="N92" s="190">
        <f>IF($A92&lt;Input!$H$50,IF($A92&lt;Input!$G$50,IF($A92&lt;Input!$F$50,IF($A92&lt;Input!$E$50,IF($A92&lt;Input!$D$50,Input!$C$51,Input!$D$51),Input!$E$51),Input!$F$51),Input!$G$51),Input!$H$51)</f>
        <v>0.9</v>
      </c>
      <c r="O92" s="60">
        <f t="shared" si="46"/>
        <v>19603417.499999996</v>
      </c>
      <c r="P92" s="60">
        <f t="shared" si="49"/>
        <v>30</v>
      </c>
      <c r="Q92" s="60">
        <f t="shared" si="50"/>
        <v>1445935379.9979434</v>
      </c>
      <c r="R92" s="60">
        <f>ROUND(Q92*$P92*Input!$C$3/365,0)</f>
        <v>17826601</v>
      </c>
      <c r="S92" s="60">
        <f>IF(A92&lt;=Input!$C$6,0,IF('180M'!O92&lt;'180M'!Q92,'180M'!O92-R92,'180M'!Q92))</f>
        <v>1776816.4999999963</v>
      </c>
      <c r="T92" s="60">
        <f t="shared" si="51"/>
        <v>19603417.499999996</v>
      </c>
      <c r="U92" s="60">
        <f t="shared" si="52"/>
        <v>1444158563.4979434</v>
      </c>
      <c r="V92" s="193"/>
      <c r="W92" s="169">
        <v>88</v>
      </c>
      <c r="X92" s="1">
        <f t="shared" si="66"/>
        <v>48197</v>
      </c>
      <c r="Y92" s="60">
        <f>IF($X92&lt;Input!$H$58,IF($X92&lt;Input!$G$58,IF($X92&lt;Input!$F$58,IF($X92&lt;Input!$E$58,IF($X92&lt;Input!$D$58,Input!$C$64,Input!$D$64),Input!$E$64),Input!$F$64),Input!$G$64),Input!$H$64)</f>
        <v>0</v>
      </c>
      <c r="Z92" s="190">
        <f>IF($A92&lt;Input!$H$65,IF($A92&lt;Input!$G$65,IF($A92&lt;Input!$F$65,IF($A92&lt;Input!$E$65,IF($A92&lt;Input!$D$65,Input!$C$66,Input!$D$66),Input!$E$66),Input!$F$66),Input!$G$66),Input!$H$66)</f>
        <v>0.9</v>
      </c>
      <c r="AA92" s="60">
        <f t="shared" si="53"/>
        <v>0</v>
      </c>
      <c r="AB92" s="60">
        <f t="shared" si="67"/>
        <v>30</v>
      </c>
      <c r="AC92" s="60">
        <f t="shared" si="54"/>
        <v>0</v>
      </c>
      <c r="AD92" s="60">
        <f>ROUND(AC92*AB92*Input!$C$3/365,0)</f>
        <v>0</v>
      </c>
      <c r="AE92" s="61">
        <f>IF($A92&lt;=Input!$C$6,0,IF('180M'!AA92&lt;'180M'!AC92,'180M'!AA92-AD92,'180M'!AC92))</f>
        <v>0</v>
      </c>
      <c r="AF92" s="61">
        <f t="shared" si="55"/>
        <v>0</v>
      </c>
      <c r="AG92" s="60">
        <f t="shared" si="56"/>
        <v>0</v>
      </c>
      <c r="AH92" s="193"/>
      <c r="AI92" s="169">
        <v>88</v>
      </c>
      <c r="AJ92" s="1">
        <f t="shared" si="68"/>
        <v>48197</v>
      </c>
      <c r="AK92" s="60">
        <f>IF($X92&lt;Input!$H$73,IF($X92&lt;Input!$G$73,IF($X92&lt;Input!$F$73,IF($X92&lt;Input!$E$73,IF($X92&lt;Input!$D$73,Input!$C$79,Input!$D$79),Input!$E$79),Input!$F$79),Input!$G$79),Input!$H$79)</f>
        <v>0</v>
      </c>
      <c r="AL92" s="190">
        <f>IF($A92&lt;Input!$H$80,IF($A92&lt;Input!$G$80,IF($A92&lt;Input!$F$80,IF($A92&lt;Input!$E$80,IF($A92&lt;Input!$D$80,Input!$C$81,Input!$D$81),Input!$E$81),Input!$F$81),Input!$G$81),Input!$H$81)</f>
        <v>0.9</v>
      </c>
      <c r="AM92" s="60">
        <f t="shared" si="69"/>
        <v>0</v>
      </c>
      <c r="AN92" s="60">
        <f t="shared" si="70"/>
        <v>30</v>
      </c>
      <c r="AO92" s="60">
        <f t="shared" si="71"/>
        <v>0</v>
      </c>
      <c r="AP92" s="60">
        <f>ROUND(AO92*AN92*Input!$C$3/365,0)</f>
        <v>0</v>
      </c>
      <c r="AQ92" s="61">
        <f>IF($A92&lt;=Input!$C$6,0,IF('180M'!AM92&lt;'180M'!AO92,'180M'!AM92-AP92,'180M'!AO92))</f>
        <v>0</v>
      </c>
      <c r="AR92" s="61">
        <f t="shared" si="72"/>
        <v>0</v>
      </c>
      <c r="AS92" s="60">
        <f t="shared" si="73"/>
        <v>0</v>
      </c>
      <c r="AT92" s="193"/>
      <c r="AU92" s="169">
        <v>88</v>
      </c>
      <c r="AV92" s="1">
        <f t="shared" si="74"/>
        <v>48197</v>
      </c>
      <c r="AW92" s="60">
        <f>IF($X92&lt;Input!$H$88,IF($X92&lt;Input!$G$88,IF($X92&lt;Input!$F$88,IF($X92&lt;Input!$E$88,IF($X92&lt;Input!$D$88,Input!$C$94,Input!$D$94),Input!$E$94),Input!$F$94),Input!$G$94),Input!$H$94)</f>
        <v>0</v>
      </c>
      <c r="AX92" s="190">
        <f>IF($A92&lt;Input!$H$95,IF($A92&lt;Input!$G$95,IF($A92&lt;Input!$F$95,IF($A92&lt;Input!$E$95,IF($A92&lt;Input!$D$95,Input!$C$96,Input!$D$96),Input!$E$96),Input!$F$96),Input!$G$96),Input!$H$96)</f>
        <v>0.9</v>
      </c>
      <c r="AY92" s="60">
        <f t="shared" si="75"/>
        <v>0</v>
      </c>
      <c r="AZ92" s="60">
        <f t="shared" si="76"/>
        <v>30</v>
      </c>
      <c r="BA92" s="60">
        <f t="shared" si="77"/>
        <v>0</v>
      </c>
      <c r="BB92" s="60">
        <f>ROUND(BA92*AZ92*Input!$C$3/365,0)</f>
        <v>0</v>
      </c>
      <c r="BC92" s="61">
        <f>IF($A92&lt;=Input!$C$6,0,IF('180M'!AY92&lt;'180M'!BA92,'180M'!AY92-BB92,'180M'!BA92))</f>
        <v>0</v>
      </c>
      <c r="BD92" s="61">
        <f t="shared" si="78"/>
        <v>0</v>
      </c>
      <c r="BE92" s="60">
        <f t="shared" si="79"/>
        <v>0</v>
      </c>
      <c r="BF92" s="193"/>
      <c r="BG92" s="169">
        <v>88</v>
      </c>
      <c r="BH92" s="1">
        <f t="shared" si="80"/>
        <v>48197</v>
      </c>
      <c r="BI92" s="60">
        <f>IF($X92&lt;Input!$H$103,IF($X92&lt;Input!$G$103,IF($X92&lt;Input!$F$103,IF($X92&lt;Input!$E$103,IF($X92&lt;Input!$D$103,Input!$C$109,Input!$D$109),Input!$E$109),Input!$F$109),Input!$G$109),Input!$H$109)</f>
        <v>0</v>
      </c>
      <c r="BJ92" s="190">
        <f>IF($A92&lt;Input!$H$110,IF($A92&lt;Input!$G$110,IF($A92&lt;Input!$F$110,IF($A92&lt;Input!$E$110,IF($A92&lt;Input!$D$110,Input!$C$111,Input!$D$111),Input!$E$111),Input!$F$111),Input!$G$111),Input!$H$111)</f>
        <v>0.9</v>
      </c>
      <c r="BK92" s="60">
        <f t="shared" si="57"/>
        <v>0</v>
      </c>
      <c r="BL92" s="60">
        <f t="shared" si="81"/>
        <v>30</v>
      </c>
      <c r="BM92" s="60">
        <f t="shared" si="58"/>
        <v>0</v>
      </c>
      <c r="BN92" s="60">
        <f>ROUND(BM92*BL92*Input!$C$3/365,0)</f>
        <v>0</v>
      </c>
      <c r="BO92" s="61">
        <f>IF($A92&lt;=Input!$C$6,0,IF('180M'!BK92&lt;'180M'!BM92,'180M'!BK92-BN92,'180M'!BM92))</f>
        <v>0</v>
      </c>
      <c r="BP92" s="61">
        <f t="shared" si="59"/>
        <v>0</v>
      </c>
      <c r="BQ92" s="60">
        <f t="shared" si="60"/>
        <v>0</v>
      </c>
      <c r="BR92" s="198"/>
    </row>
    <row r="93" spans="1:70" x14ac:dyDescent="0.25">
      <c r="A93" s="169">
        <v>89</v>
      </c>
      <c r="B93" s="1">
        <f t="shared" si="61"/>
        <v>48228</v>
      </c>
      <c r="C93" s="60">
        <f t="shared" si="47"/>
        <v>21781574.999999996</v>
      </c>
      <c r="D93" s="60">
        <f t="shared" si="48"/>
        <v>19603417.499999996</v>
      </c>
      <c r="E93" s="60">
        <f t="shared" si="62"/>
        <v>31</v>
      </c>
      <c r="F93" s="60">
        <f t="shared" si="63"/>
        <v>1444158563.4979434</v>
      </c>
      <c r="G93" s="60">
        <f>ROUND(F93*E93*Input!$C$3/365,0)</f>
        <v>18398184</v>
      </c>
      <c r="H93" s="60">
        <f>IF($A93&lt;=Input!$C$6,0,IF('180M'!D93&lt;'180M'!F93,'180M'!D93-G93,'180M'!F93))</f>
        <v>1205233.4999999963</v>
      </c>
      <c r="I93" s="60">
        <f t="shared" si="64"/>
        <v>19603417.499999996</v>
      </c>
      <c r="J93" s="60">
        <f t="shared" si="65"/>
        <v>1442953329.9979434</v>
      </c>
      <c r="K93" s="203">
        <f>J93/Input!$K$5</f>
        <v>4.8098444333264778</v>
      </c>
      <c r="L93" s="232"/>
      <c r="M93" s="60">
        <f>IF($B93&lt;Input!$H$43,IF($B93&lt;Input!$G$43,IF($B93&lt;Input!$F$43,IF($B93&lt;Input!$E$43,IF($B93&lt;Input!$D$43,Input!$C$49,Input!$D$49),Input!$E$49),Input!$F$49),Input!$G$49),Input!$H$49)</f>
        <v>21781574.999999996</v>
      </c>
      <c r="N93" s="190">
        <f>IF($A93&lt;Input!$H$50,IF($A93&lt;Input!$G$50,IF($A93&lt;Input!$F$50,IF($A93&lt;Input!$E$50,IF($A93&lt;Input!$D$50,Input!$C$51,Input!$D$51),Input!$E$51),Input!$F$51),Input!$G$51),Input!$H$51)</f>
        <v>0.9</v>
      </c>
      <c r="O93" s="60">
        <f t="shared" si="46"/>
        <v>19603417.499999996</v>
      </c>
      <c r="P93" s="60">
        <f t="shared" si="49"/>
        <v>31</v>
      </c>
      <c r="Q93" s="60">
        <f t="shared" si="50"/>
        <v>1444158563.4979434</v>
      </c>
      <c r="R93" s="60">
        <f>ROUND(Q93*$P93*Input!$C$3/365,0)</f>
        <v>18398184</v>
      </c>
      <c r="S93" s="60">
        <f>IF(A93&lt;=Input!$C$6,0,IF('180M'!O93&lt;'180M'!Q93,'180M'!O93-R93,'180M'!Q93))</f>
        <v>1205233.4999999963</v>
      </c>
      <c r="T93" s="60">
        <f t="shared" si="51"/>
        <v>19603417.499999996</v>
      </c>
      <c r="U93" s="60">
        <f t="shared" si="52"/>
        <v>1442953329.9979434</v>
      </c>
      <c r="V93" s="193"/>
      <c r="W93" s="169">
        <v>89</v>
      </c>
      <c r="X93" s="1">
        <f t="shared" si="66"/>
        <v>48228</v>
      </c>
      <c r="Y93" s="60">
        <f>IF($X93&lt;Input!$H$58,IF($X93&lt;Input!$G$58,IF($X93&lt;Input!$F$58,IF($X93&lt;Input!$E$58,IF($X93&lt;Input!$D$58,Input!$C$64,Input!$D$64),Input!$E$64),Input!$F$64),Input!$G$64),Input!$H$64)</f>
        <v>0</v>
      </c>
      <c r="Z93" s="190">
        <f>IF($A93&lt;Input!$H$65,IF($A93&lt;Input!$G$65,IF($A93&lt;Input!$F$65,IF($A93&lt;Input!$E$65,IF($A93&lt;Input!$D$65,Input!$C$66,Input!$D$66),Input!$E$66),Input!$F$66),Input!$G$66),Input!$H$66)</f>
        <v>0.9</v>
      </c>
      <c r="AA93" s="60">
        <f t="shared" si="53"/>
        <v>0</v>
      </c>
      <c r="AB93" s="60">
        <f t="shared" si="67"/>
        <v>31</v>
      </c>
      <c r="AC93" s="60">
        <f t="shared" si="54"/>
        <v>0</v>
      </c>
      <c r="AD93" s="60">
        <f>ROUND(AC93*AB93*Input!$C$3/365,0)</f>
        <v>0</v>
      </c>
      <c r="AE93" s="61">
        <f>IF($A93&lt;=Input!$C$6,0,IF('180M'!AA93&lt;'180M'!AC93,'180M'!AA93-AD93,'180M'!AC93))</f>
        <v>0</v>
      </c>
      <c r="AF93" s="61">
        <f t="shared" si="55"/>
        <v>0</v>
      </c>
      <c r="AG93" s="60">
        <f t="shared" si="56"/>
        <v>0</v>
      </c>
      <c r="AH93" s="193"/>
      <c r="AI93" s="169">
        <v>89</v>
      </c>
      <c r="AJ93" s="1">
        <f t="shared" si="68"/>
        <v>48228</v>
      </c>
      <c r="AK93" s="60">
        <f>IF($X93&lt;Input!$H$73,IF($X93&lt;Input!$G$73,IF($X93&lt;Input!$F$73,IF($X93&lt;Input!$E$73,IF($X93&lt;Input!$D$73,Input!$C$79,Input!$D$79),Input!$E$79),Input!$F$79),Input!$G$79),Input!$H$79)</f>
        <v>0</v>
      </c>
      <c r="AL93" s="190">
        <f>IF($A93&lt;Input!$H$80,IF($A93&lt;Input!$G$80,IF($A93&lt;Input!$F$80,IF($A93&lt;Input!$E$80,IF($A93&lt;Input!$D$80,Input!$C$81,Input!$D$81),Input!$E$81),Input!$F$81),Input!$G$81),Input!$H$81)</f>
        <v>0.9</v>
      </c>
      <c r="AM93" s="60">
        <f t="shared" si="69"/>
        <v>0</v>
      </c>
      <c r="AN93" s="60">
        <f t="shared" si="70"/>
        <v>31</v>
      </c>
      <c r="AO93" s="60">
        <f t="shared" si="71"/>
        <v>0</v>
      </c>
      <c r="AP93" s="60">
        <f>ROUND(AO93*AN93*Input!$C$3/365,0)</f>
        <v>0</v>
      </c>
      <c r="AQ93" s="61">
        <f>IF($A93&lt;=Input!$C$6,0,IF('180M'!AM93&lt;'180M'!AO93,'180M'!AM93-AP93,'180M'!AO93))</f>
        <v>0</v>
      </c>
      <c r="AR93" s="61">
        <f t="shared" si="72"/>
        <v>0</v>
      </c>
      <c r="AS93" s="60">
        <f t="shared" si="73"/>
        <v>0</v>
      </c>
      <c r="AT93" s="193"/>
      <c r="AU93" s="169">
        <v>89</v>
      </c>
      <c r="AV93" s="1">
        <f t="shared" si="74"/>
        <v>48228</v>
      </c>
      <c r="AW93" s="60">
        <f>IF($X93&lt;Input!$H$88,IF($X93&lt;Input!$G$88,IF($X93&lt;Input!$F$88,IF($X93&lt;Input!$E$88,IF($X93&lt;Input!$D$88,Input!$C$94,Input!$D$94),Input!$E$94),Input!$F$94),Input!$G$94),Input!$H$94)</f>
        <v>0</v>
      </c>
      <c r="AX93" s="190">
        <f>IF($A93&lt;Input!$H$95,IF($A93&lt;Input!$G$95,IF($A93&lt;Input!$F$95,IF($A93&lt;Input!$E$95,IF($A93&lt;Input!$D$95,Input!$C$96,Input!$D$96),Input!$E$96),Input!$F$96),Input!$G$96),Input!$H$96)</f>
        <v>0.9</v>
      </c>
      <c r="AY93" s="60">
        <f t="shared" si="75"/>
        <v>0</v>
      </c>
      <c r="AZ93" s="60">
        <f t="shared" si="76"/>
        <v>31</v>
      </c>
      <c r="BA93" s="60">
        <f t="shared" si="77"/>
        <v>0</v>
      </c>
      <c r="BB93" s="60">
        <f>ROUND(BA93*AZ93*Input!$C$3/365,0)</f>
        <v>0</v>
      </c>
      <c r="BC93" s="61">
        <f>IF($A93&lt;=Input!$C$6,0,IF('180M'!AY93&lt;'180M'!BA93,'180M'!AY93-BB93,'180M'!BA93))</f>
        <v>0</v>
      </c>
      <c r="BD93" s="61">
        <f t="shared" si="78"/>
        <v>0</v>
      </c>
      <c r="BE93" s="60">
        <f t="shared" si="79"/>
        <v>0</v>
      </c>
      <c r="BF93" s="193"/>
      <c r="BG93" s="169">
        <v>89</v>
      </c>
      <c r="BH93" s="1">
        <f t="shared" si="80"/>
        <v>48228</v>
      </c>
      <c r="BI93" s="60">
        <f>IF($X93&lt;Input!$H$103,IF($X93&lt;Input!$G$103,IF($X93&lt;Input!$F$103,IF($X93&lt;Input!$E$103,IF($X93&lt;Input!$D$103,Input!$C$109,Input!$D$109),Input!$E$109),Input!$F$109),Input!$G$109),Input!$H$109)</f>
        <v>0</v>
      </c>
      <c r="BJ93" s="190">
        <f>IF($A93&lt;Input!$H$110,IF($A93&lt;Input!$G$110,IF($A93&lt;Input!$F$110,IF($A93&lt;Input!$E$110,IF($A93&lt;Input!$D$110,Input!$C$111,Input!$D$111),Input!$E$111),Input!$F$111),Input!$G$111),Input!$H$111)</f>
        <v>0.9</v>
      </c>
      <c r="BK93" s="60">
        <f t="shared" si="57"/>
        <v>0</v>
      </c>
      <c r="BL93" s="60">
        <f t="shared" si="81"/>
        <v>31</v>
      </c>
      <c r="BM93" s="60">
        <f t="shared" si="58"/>
        <v>0</v>
      </c>
      <c r="BN93" s="60">
        <f>ROUND(BM93*BL93*Input!$C$3/365,0)</f>
        <v>0</v>
      </c>
      <c r="BO93" s="61">
        <f>IF($A93&lt;=Input!$C$6,0,IF('180M'!BK93&lt;'180M'!BM93,'180M'!BK93-BN93,'180M'!BM93))</f>
        <v>0</v>
      </c>
      <c r="BP93" s="61">
        <f t="shared" si="59"/>
        <v>0</v>
      </c>
      <c r="BQ93" s="60">
        <f t="shared" si="60"/>
        <v>0</v>
      </c>
      <c r="BR93" s="198"/>
    </row>
    <row r="94" spans="1:70" x14ac:dyDescent="0.25">
      <c r="A94" s="169">
        <v>90</v>
      </c>
      <c r="B94" s="1">
        <f t="shared" si="61"/>
        <v>48259</v>
      </c>
      <c r="C94" s="60">
        <f t="shared" si="47"/>
        <v>21781574.999999996</v>
      </c>
      <c r="D94" s="60">
        <f t="shared" si="48"/>
        <v>19603417.499999996</v>
      </c>
      <c r="E94" s="60">
        <f t="shared" si="62"/>
        <v>31</v>
      </c>
      <c r="F94" s="60">
        <f t="shared" si="63"/>
        <v>1442953329.9979434</v>
      </c>
      <c r="G94" s="60">
        <f>ROUND(F94*E94*Input!$C$3/365,0)</f>
        <v>18382830</v>
      </c>
      <c r="H94" s="60">
        <f>IF($A94&lt;=Input!$C$6,0,IF('180M'!D94&lt;'180M'!F94,'180M'!D94-G94,'180M'!F94))</f>
        <v>1220587.4999999963</v>
      </c>
      <c r="I94" s="60">
        <f t="shared" si="64"/>
        <v>19603417.499999996</v>
      </c>
      <c r="J94" s="60">
        <f t="shared" si="65"/>
        <v>1441732742.4979434</v>
      </c>
      <c r="K94" s="203">
        <f>J94/Input!$K$5</f>
        <v>4.8057758083264783</v>
      </c>
      <c r="L94" s="232"/>
      <c r="M94" s="60">
        <f>IF($B94&lt;Input!$H$43,IF($B94&lt;Input!$G$43,IF($B94&lt;Input!$F$43,IF($B94&lt;Input!$E$43,IF($B94&lt;Input!$D$43,Input!$C$49,Input!$D$49),Input!$E$49),Input!$F$49),Input!$G$49),Input!$H$49)</f>
        <v>21781574.999999996</v>
      </c>
      <c r="N94" s="190">
        <f>IF($A94&lt;Input!$H$50,IF($A94&lt;Input!$G$50,IF($A94&lt;Input!$F$50,IF($A94&lt;Input!$E$50,IF($A94&lt;Input!$D$50,Input!$C$51,Input!$D$51),Input!$E$51),Input!$F$51),Input!$G$51),Input!$H$51)</f>
        <v>0.9</v>
      </c>
      <c r="O94" s="60">
        <f t="shared" si="46"/>
        <v>19603417.499999996</v>
      </c>
      <c r="P94" s="60">
        <f t="shared" si="49"/>
        <v>31</v>
      </c>
      <c r="Q94" s="60">
        <f t="shared" si="50"/>
        <v>1442953329.9979434</v>
      </c>
      <c r="R94" s="60">
        <f>ROUND(Q94*$P94*Input!$C$3/365,0)</f>
        <v>18382830</v>
      </c>
      <c r="S94" s="60">
        <f>IF(A94&lt;=Input!$C$6,0,IF('180M'!O94&lt;'180M'!Q94,'180M'!O94-R94,'180M'!Q94))</f>
        <v>1220587.4999999963</v>
      </c>
      <c r="T94" s="60">
        <f t="shared" si="51"/>
        <v>19603417.499999996</v>
      </c>
      <c r="U94" s="60">
        <f t="shared" si="52"/>
        <v>1441732742.4979434</v>
      </c>
      <c r="V94" s="193"/>
      <c r="W94" s="169">
        <v>90</v>
      </c>
      <c r="X94" s="1">
        <f t="shared" si="66"/>
        <v>48259</v>
      </c>
      <c r="Y94" s="60">
        <f>IF($X94&lt;Input!$H$58,IF($X94&lt;Input!$G$58,IF($X94&lt;Input!$F$58,IF($X94&lt;Input!$E$58,IF($X94&lt;Input!$D$58,Input!$C$64,Input!$D$64),Input!$E$64),Input!$F$64),Input!$G$64),Input!$H$64)</f>
        <v>0</v>
      </c>
      <c r="Z94" s="190">
        <f>IF($A94&lt;Input!$H$65,IF($A94&lt;Input!$G$65,IF($A94&lt;Input!$F$65,IF($A94&lt;Input!$E$65,IF($A94&lt;Input!$D$65,Input!$C$66,Input!$D$66),Input!$E$66),Input!$F$66),Input!$G$66),Input!$H$66)</f>
        <v>0.9</v>
      </c>
      <c r="AA94" s="60">
        <f t="shared" si="53"/>
        <v>0</v>
      </c>
      <c r="AB94" s="60">
        <f t="shared" si="67"/>
        <v>31</v>
      </c>
      <c r="AC94" s="60">
        <f t="shared" si="54"/>
        <v>0</v>
      </c>
      <c r="AD94" s="60">
        <f>ROUND(AC94*AB94*Input!$C$3/365,0)</f>
        <v>0</v>
      </c>
      <c r="AE94" s="61">
        <f>IF($A94&lt;=Input!$C$6,0,IF('180M'!AA94&lt;'180M'!AC94,'180M'!AA94-AD94,'180M'!AC94))</f>
        <v>0</v>
      </c>
      <c r="AF94" s="61">
        <f t="shared" si="55"/>
        <v>0</v>
      </c>
      <c r="AG94" s="60">
        <f t="shared" si="56"/>
        <v>0</v>
      </c>
      <c r="AH94" s="193"/>
      <c r="AI94" s="169">
        <v>90</v>
      </c>
      <c r="AJ94" s="1">
        <f t="shared" si="68"/>
        <v>48259</v>
      </c>
      <c r="AK94" s="60">
        <f>IF($X94&lt;Input!$H$73,IF($X94&lt;Input!$G$73,IF($X94&lt;Input!$F$73,IF($X94&lt;Input!$E$73,IF($X94&lt;Input!$D$73,Input!$C$79,Input!$D$79),Input!$E$79),Input!$F$79),Input!$G$79),Input!$H$79)</f>
        <v>0</v>
      </c>
      <c r="AL94" s="190">
        <f>IF($A94&lt;Input!$H$80,IF($A94&lt;Input!$G$80,IF($A94&lt;Input!$F$80,IF($A94&lt;Input!$E$80,IF($A94&lt;Input!$D$80,Input!$C$81,Input!$D$81),Input!$E$81),Input!$F$81),Input!$G$81),Input!$H$81)</f>
        <v>0.9</v>
      </c>
      <c r="AM94" s="60">
        <f t="shared" si="69"/>
        <v>0</v>
      </c>
      <c r="AN94" s="60">
        <f t="shared" si="70"/>
        <v>31</v>
      </c>
      <c r="AO94" s="60">
        <f t="shared" si="71"/>
        <v>0</v>
      </c>
      <c r="AP94" s="60">
        <f>ROUND(AO94*AN94*Input!$C$3/365,0)</f>
        <v>0</v>
      </c>
      <c r="AQ94" s="61">
        <f>IF($A94&lt;=Input!$C$6,0,IF('180M'!AM94&lt;'180M'!AO94,'180M'!AM94-AP94,'180M'!AO94))</f>
        <v>0</v>
      </c>
      <c r="AR94" s="61">
        <f t="shared" si="72"/>
        <v>0</v>
      </c>
      <c r="AS94" s="60">
        <f t="shared" si="73"/>
        <v>0</v>
      </c>
      <c r="AT94" s="193"/>
      <c r="AU94" s="169">
        <v>90</v>
      </c>
      <c r="AV94" s="1">
        <f t="shared" si="74"/>
        <v>48259</v>
      </c>
      <c r="AW94" s="60">
        <f>IF($X94&lt;Input!$H$88,IF($X94&lt;Input!$G$88,IF($X94&lt;Input!$F$88,IF($X94&lt;Input!$E$88,IF($X94&lt;Input!$D$88,Input!$C$94,Input!$D$94),Input!$E$94),Input!$F$94),Input!$G$94),Input!$H$94)</f>
        <v>0</v>
      </c>
      <c r="AX94" s="190">
        <f>IF($A94&lt;Input!$H$95,IF($A94&lt;Input!$G$95,IF($A94&lt;Input!$F$95,IF($A94&lt;Input!$E$95,IF($A94&lt;Input!$D$95,Input!$C$96,Input!$D$96),Input!$E$96),Input!$F$96),Input!$G$96),Input!$H$96)</f>
        <v>0.9</v>
      </c>
      <c r="AY94" s="60">
        <f t="shared" si="75"/>
        <v>0</v>
      </c>
      <c r="AZ94" s="60">
        <f t="shared" si="76"/>
        <v>31</v>
      </c>
      <c r="BA94" s="60">
        <f t="shared" si="77"/>
        <v>0</v>
      </c>
      <c r="BB94" s="60">
        <f>ROUND(BA94*AZ94*Input!$C$3/365,0)</f>
        <v>0</v>
      </c>
      <c r="BC94" s="61">
        <f>IF($A94&lt;=Input!$C$6,0,IF('180M'!AY94&lt;'180M'!BA94,'180M'!AY94-BB94,'180M'!BA94))</f>
        <v>0</v>
      </c>
      <c r="BD94" s="61">
        <f t="shared" si="78"/>
        <v>0</v>
      </c>
      <c r="BE94" s="60">
        <f t="shared" si="79"/>
        <v>0</v>
      </c>
      <c r="BF94" s="193"/>
      <c r="BG94" s="169">
        <v>90</v>
      </c>
      <c r="BH94" s="1">
        <f t="shared" si="80"/>
        <v>48259</v>
      </c>
      <c r="BI94" s="60">
        <f>IF($X94&lt;Input!$H$103,IF($X94&lt;Input!$G$103,IF($X94&lt;Input!$F$103,IF($X94&lt;Input!$E$103,IF($X94&lt;Input!$D$103,Input!$C$109,Input!$D$109),Input!$E$109),Input!$F$109),Input!$G$109),Input!$H$109)</f>
        <v>0</v>
      </c>
      <c r="BJ94" s="190">
        <f>IF($A94&lt;Input!$H$110,IF($A94&lt;Input!$G$110,IF($A94&lt;Input!$F$110,IF($A94&lt;Input!$E$110,IF($A94&lt;Input!$D$110,Input!$C$111,Input!$D$111),Input!$E$111),Input!$F$111),Input!$G$111),Input!$H$111)</f>
        <v>0.9</v>
      </c>
      <c r="BK94" s="60">
        <f t="shared" si="57"/>
        <v>0</v>
      </c>
      <c r="BL94" s="60">
        <f t="shared" si="81"/>
        <v>31</v>
      </c>
      <c r="BM94" s="60">
        <f t="shared" si="58"/>
        <v>0</v>
      </c>
      <c r="BN94" s="60">
        <f>ROUND(BM94*BL94*Input!$C$3/365,0)</f>
        <v>0</v>
      </c>
      <c r="BO94" s="61">
        <f>IF($A94&lt;=Input!$C$6,0,IF('180M'!BK94&lt;'180M'!BM94,'180M'!BK94-BN94,'180M'!BM94))</f>
        <v>0</v>
      </c>
      <c r="BP94" s="61">
        <f t="shared" si="59"/>
        <v>0</v>
      </c>
      <c r="BQ94" s="60">
        <f t="shared" si="60"/>
        <v>0</v>
      </c>
      <c r="BR94" s="198"/>
    </row>
    <row r="95" spans="1:70" x14ac:dyDescent="0.25">
      <c r="A95" s="169">
        <v>91</v>
      </c>
      <c r="B95" s="1">
        <f t="shared" si="61"/>
        <v>48288</v>
      </c>
      <c r="C95" s="60">
        <f t="shared" si="47"/>
        <v>21781574.999999996</v>
      </c>
      <c r="D95" s="60">
        <f t="shared" si="48"/>
        <v>19603417.499999996</v>
      </c>
      <c r="E95" s="60">
        <f t="shared" si="62"/>
        <v>29</v>
      </c>
      <c r="F95" s="60">
        <f t="shared" si="63"/>
        <v>1441732742.4979434</v>
      </c>
      <c r="G95" s="60">
        <f>ROUND(F95*E95*Input!$C$3/365,0)</f>
        <v>17182294</v>
      </c>
      <c r="H95" s="60">
        <f>IF($A95&lt;=Input!$C$6,0,IF('180M'!D95&lt;'180M'!F95,'180M'!D95-G95,'180M'!F95))</f>
        <v>2421123.4999999963</v>
      </c>
      <c r="I95" s="60">
        <f t="shared" si="64"/>
        <v>19603417.499999996</v>
      </c>
      <c r="J95" s="60">
        <f t="shared" si="65"/>
        <v>1439311618.9979434</v>
      </c>
      <c r="K95" s="203">
        <f>J95/Input!$K$5</f>
        <v>4.7977053966598113</v>
      </c>
      <c r="L95" s="232"/>
      <c r="M95" s="60">
        <f>IF($B95&lt;Input!$H$43,IF($B95&lt;Input!$G$43,IF($B95&lt;Input!$F$43,IF($B95&lt;Input!$E$43,IF($B95&lt;Input!$D$43,Input!$C$49,Input!$D$49),Input!$E$49),Input!$F$49),Input!$G$49),Input!$H$49)</f>
        <v>21781574.999999996</v>
      </c>
      <c r="N95" s="190">
        <f>IF($A95&lt;Input!$H$50,IF($A95&lt;Input!$G$50,IF($A95&lt;Input!$F$50,IF($A95&lt;Input!$E$50,IF($A95&lt;Input!$D$50,Input!$C$51,Input!$D$51),Input!$E$51),Input!$F$51),Input!$G$51),Input!$H$51)</f>
        <v>0.9</v>
      </c>
      <c r="O95" s="60">
        <f t="shared" si="46"/>
        <v>19603417.499999996</v>
      </c>
      <c r="P95" s="60">
        <f t="shared" si="49"/>
        <v>29</v>
      </c>
      <c r="Q95" s="60">
        <f t="shared" si="50"/>
        <v>1441732742.4979434</v>
      </c>
      <c r="R95" s="60">
        <f>ROUND(Q95*$P95*Input!$C$3/365,0)</f>
        <v>17182294</v>
      </c>
      <c r="S95" s="60">
        <f>IF(A95&lt;=Input!$C$6,0,IF('180M'!O95&lt;'180M'!Q95,'180M'!O95-R95,'180M'!Q95))</f>
        <v>2421123.4999999963</v>
      </c>
      <c r="T95" s="60">
        <f t="shared" si="51"/>
        <v>19603417.499999996</v>
      </c>
      <c r="U95" s="60">
        <f t="shared" si="52"/>
        <v>1439311618.9979434</v>
      </c>
      <c r="V95" s="193"/>
      <c r="W95" s="169">
        <v>91</v>
      </c>
      <c r="X95" s="1">
        <f t="shared" si="66"/>
        <v>48288</v>
      </c>
      <c r="Y95" s="60">
        <f>IF($X95&lt;Input!$H$58,IF($X95&lt;Input!$G$58,IF($X95&lt;Input!$F$58,IF($X95&lt;Input!$E$58,IF($X95&lt;Input!$D$58,Input!$C$64,Input!$D$64),Input!$E$64),Input!$F$64),Input!$G$64),Input!$H$64)</f>
        <v>0</v>
      </c>
      <c r="Z95" s="190">
        <f>IF($A95&lt;Input!$H$65,IF($A95&lt;Input!$G$65,IF($A95&lt;Input!$F$65,IF($A95&lt;Input!$E$65,IF($A95&lt;Input!$D$65,Input!$C$66,Input!$D$66),Input!$E$66),Input!$F$66),Input!$G$66),Input!$H$66)</f>
        <v>0.9</v>
      </c>
      <c r="AA95" s="60">
        <f t="shared" si="53"/>
        <v>0</v>
      </c>
      <c r="AB95" s="60">
        <f t="shared" si="67"/>
        <v>29</v>
      </c>
      <c r="AC95" s="60">
        <f t="shared" si="54"/>
        <v>0</v>
      </c>
      <c r="AD95" s="60">
        <f>ROUND(AC95*AB95*Input!$C$3/365,0)</f>
        <v>0</v>
      </c>
      <c r="AE95" s="61">
        <f>IF($A95&lt;=Input!$C$6,0,IF('180M'!AA95&lt;'180M'!AC95,'180M'!AA95-AD95,'180M'!AC95))</f>
        <v>0</v>
      </c>
      <c r="AF95" s="61">
        <f t="shared" si="55"/>
        <v>0</v>
      </c>
      <c r="AG95" s="60">
        <f t="shared" si="56"/>
        <v>0</v>
      </c>
      <c r="AH95" s="193"/>
      <c r="AI95" s="169">
        <v>91</v>
      </c>
      <c r="AJ95" s="1">
        <f t="shared" si="68"/>
        <v>48288</v>
      </c>
      <c r="AK95" s="60">
        <f>IF($X95&lt;Input!$H$73,IF($X95&lt;Input!$G$73,IF($X95&lt;Input!$F$73,IF($X95&lt;Input!$E$73,IF($X95&lt;Input!$D$73,Input!$C$79,Input!$D$79),Input!$E$79),Input!$F$79),Input!$G$79),Input!$H$79)</f>
        <v>0</v>
      </c>
      <c r="AL95" s="190">
        <f>IF($A95&lt;Input!$H$80,IF($A95&lt;Input!$G$80,IF($A95&lt;Input!$F$80,IF($A95&lt;Input!$E$80,IF($A95&lt;Input!$D$80,Input!$C$81,Input!$D$81),Input!$E$81),Input!$F$81),Input!$G$81),Input!$H$81)</f>
        <v>0.9</v>
      </c>
      <c r="AM95" s="60">
        <f t="shared" si="69"/>
        <v>0</v>
      </c>
      <c r="AN95" s="60">
        <f t="shared" si="70"/>
        <v>29</v>
      </c>
      <c r="AO95" s="60">
        <f t="shared" si="71"/>
        <v>0</v>
      </c>
      <c r="AP95" s="60">
        <f>ROUND(AO95*AN95*Input!$C$3/365,0)</f>
        <v>0</v>
      </c>
      <c r="AQ95" s="61">
        <f>IF($A95&lt;=Input!$C$6,0,IF('180M'!AM95&lt;'180M'!AO95,'180M'!AM95-AP95,'180M'!AO95))</f>
        <v>0</v>
      </c>
      <c r="AR95" s="61">
        <f t="shared" si="72"/>
        <v>0</v>
      </c>
      <c r="AS95" s="60">
        <f t="shared" si="73"/>
        <v>0</v>
      </c>
      <c r="AT95" s="193"/>
      <c r="AU95" s="169">
        <v>91</v>
      </c>
      <c r="AV95" s="1">
        <f t="shared" si="74"/>
        <v>48288</v>
      </c>
      <c r="AW95" s="60">
        <f>IF($X95&lt;Input!$H$88,IF($X95&lt;Input!$G$88,IF($X95&lt;Input!$F$88,IF($X95&lt;Input!$E$88,IF($X95&lt;Input!$D$88,Input!$C$94,Input!$D$94),Input!$E$94),Input!$F$94),Input!$G$94),Input!$H$94)</f>
        <v>0</v>
      </c>
      <c r="AX95" s="190">
        <f>IF($A95&lt;Input!$H$95,IF($A95&lt;Input!$G$95,IF($A95&lt;Input!$F$95,IF($A95&lt;Input!$E$95,IF($A95&lt;Input!$D$95,Input!$C$96,Input!$D$96),Input!$E$96),Input!$F$96),Input!$G$96),Input!$H$96)</f>
        <v>0.9</v>
      </c>
      <c r="AY95" s="60">
        <f t="shared" si="75"/>
        <v>0</v>
      </c>
      <c r="AZ95" s="60">
        <f t="shared" si="76"/>
        <v>29</v>
      </c>
      <c r="BA95" s="60">
        <f t="shared" si="77"/>
        <v>0</v>
      </c>
      <c r="BB95" s="60">
        <f>ROUND(BA95*AZ95*Input!$C$3/365,0)</f>
        <v>0</v>
      </c>
      <c r="BC95" s="61">
        <f>IF($A95&lt;=Input!$C$6,0,IF('180M'!AY95&lt;'180M'!BA95,'180M'!AY95-BB95,'180M'!BA95))</f>
        <v>0</v>
      </c>
      <c r="BD95" s="61">
        <f t="shared" si="78"/>
        <v>0</v>
      </c>
      <c r="BE95" s="60">
        <f t="shared" si="79"/>
        <v>0</v>
      </c>
      <c r="BF95" s="193"/>
      <c r="BG95" s="169">
        <v>91</v>
      </c>
      <c r="BH95" s="1">
        <f t="shared" si="80"/>
        <v>48288</v>
      </c>
      <c r="BI95" s="60">
        <f>IF($X95&lt;Input!$H$103,IF($X95&lt;Input!$G$103,IF($X95&lt;Input!$F$103,IF($X95&lt;Input!$E$103,IF($X95&lt;Input!$D$103,Input!$C$109,Input!$D$109),Input!$E$109),Input!$F$109),Input!$G$109),Input!$H$109)</f>
        <v>0</v>
      </c>
      <c r="BJ95" s="190">
        <f>IF($A95&lt;Input!$H$110,IF($A95&lt;Input!$G$110,IF($A95&lt;Input!$F$110,IF($A95&lt;Input!$E$110,IF($A95&lt;Input!$D$110,Input!$C$111,Input!$D$111),Input!$E$111),Input!$F$111),Input!$G$111),Input!$H$111)</f>
        <v>0.9</v>
      </c>
      <c r="BK95" s="60">
        <f t="shared" si="57"/>
        <v>0</v>
      </c>
      <c r="BL95" s="60">
        <f t="shared" si="81"/>
        <v>29</v>
      </c>
      <c r="BM95" s="60">
        <f t="shared" si="58"/>
        <v>0</v>
      </c>
      <c r="BN95" s="60">
        <f>ROUND(BM95*BL95*Input!$C$3/365,0)</f>
        <v>0</v>
      </c>
      <c r="BO95" s="61">
        <f>IF($A95&lt;=Input!$C$6,0,IF('180M'!BK95&lt;'180M'!BM95,'180M'!BK95-BN95,'180M'!BM95))</f>
        <v>0</v>
      </c>
      <c r="BP95" s="61">
        <f t="shared" si="59"/>
        <v>0</v>
      </c>
      <c r="BQ95" s="60">
        <f t="shared" si="60"/>
        <v>0</v>
      </c>
      <c r="BR95" s="198"/>
    </row>
    <row r="96" spans="1:70" x14ac:dyDescent="0.25">
      <c r="A96" s="169">
        <v>92</v>
      </c>
      <c r="B96" s="1">
        <f t="shared" si="61"/>
        <v>48319</v>
      </c>
      <c r="C96" s="60">
        <f t="shared" si="47"/>
        <v>21781574.999999996</v>
      </c>
      <c r="D96" s="60">
        <f t="shared" si="48"/>
        <v>19603417.499999996</v>
      </c>
      <c r="E96" s="60">
        <f t="shared" si="62"/>
        <v>31</v>
      </c>
      <c r="F96" s="60">
        <f t="shared" si="63"/>
        <v>1439311618.9979434</v>
      </c>
      <c r="G96" s="60">
        <f>ROUND(F96*E96*Input!$C$3/365,0)</f>
        <v>18336436</v>
      </c>
      <c r="H96" s="60">
        <f>IF($A96&lt;=Input!$C$6,0,IF('180M'!D96&lt;'180M'!F96,'180M'!D96-G96,'180M'!F96))</f>
        <v>1266981.4999999963</v>
      </c>
      <c r="I96" s="60">
        <f t="shared" si="64"/>
        <v>19603417.499999996</v>
      </c>
      <c r="J96" s="60">
        <f t="shared" si="65"/>
        <v>1438044637.4979434</v>
      </c>
      <c r="K96" s="203">
        <f>J96/Input!$K$5</f>
        <v>4.7934821249931447</v>
      </c>
      <c r="L96" s="232"/>
      <c r="M96" s="60">
        <f>IF($B96&lt;Input!$H$43,IF($B96&lt;Input!$G$43,IF($B96&lt;Input!$F$43,IF($B96&lt;Input!$E$43,IF($B96&lt;Input!$D$43,Input!$C$49,Input!$D$49),Input!$E$49),Input!$F$49),Input!$G$49),Input!$H$49)</f>
        <v>21781574.999999996</v>
      </c>
      <c r="N96" s="190">
        <f>IF($A96&lt;Input!$H$50,IF($A96&lt;Input!$G$50,IF($A96&lt;Input!$F$50,IF($A96&lt;Input!$E$50,IF($A96&lt;Input!$D$50,Input!$C$51,Input!$D$51),Input!$E$51),Input!$F$51),Input!$G$51),Input!$H$51)</f>
        <v>0.9</v>
      </c>
      <c r="O96" s="60">
        <f t="shared" si="46"/>
        <v>19603417.499999996</v>
      </c>
      <c r="P96" s="60">
        <f t="shared" si="49"/>
        <v>31</v>
      </c>
      <c r="Q96" s="60">
        <f t="shared" si="50"/>
        <v>1439311618.9979434</v>
      </c>
      <c r="R96" s="60">
        <f>ROUND(Q96*$P96*Input!$C$3/365,0)</f>
        <v>18336436</v>
      </c>
      <c r="S96" s="60">
        <f>IF(A96&lt;=Input!$C$6,0,IF('180M'!O96&lt;'180M'!Q96,'180M'!O96-R96,'180M'!Q96))</f>
        <v>1266981.4999999963</v>
      </c>
      <c r="T96" s="60">
        <f t="shared" si="51"/>
        <v>19603417.499999996</v>
      </c>
      <c r="U96" s="60">
        <f t="shared" si="52"/>
        <v>1438044637.4979434</v>
      </c>
      <c r="V96" s="193"/>
      <c r="W96" s="169">
        <v>92</v>
      </c>
      <c r="X96" s="1">
        <f t="shared" si="66"/>
        <v>48319</v>
      </c>
      <c r="Y96" s="60">
        <f>IF($X96&lt;Input!$H$58,IF($X96&lt;Input!$G$58,IF($X96&lt;Input!$F$58,IF($X96&lt;Input!$E$58,IF($X96&lt;Input!$D$58,Input!$C$64,Input!$D$64),Input!$E$64),Input!$F$64),Input!$G$64),Input!$H$64)</f>
        <v>0</v>
      </c>
      <c r="Z96" s="190">
        <f>IF($A96&lt;Input!$H$65,IF($A96&lt;Input!$G$65,IF($A96&lt;Input!$F$65,IF($A96&lt;Input!$E$65,IF($A96&lt;Input!$D$65,Input!$C$66,Input!$D$66),Input!$E$66),Input!$F$66),Input!$G$66),Input!$H$66)</f>
        <v>0.9</v>
      </c>
      <c r="AA96" s="60">
        <f t="shared" si="53"/>
        <v>0</v>
      </c>
      <c r="AB96" s="60">
        <f t="shared" si="67"/>
        <v>31</v>
      </c>
      <c r="AC96" s="60">
        <f t="shared" si="54"/>
        <v>0</v>
      </c>
      <c r="AD96" s="60">
        <f>ROUND(AC96*AB96*Input!$C$3/365,0)</f>
        <v>0</v>
      </c>
      <c r="AE96" s="61">
        <f>IF($A96&lt;=Input!$C$6,0,IF('180M'!AA96&lt;'180M'!AC96,'180M'!AA96-AD96,'180M'!AC96))</f>
        <v>0</v>
      </c>
      <c r="AF96" s="61">
        <f t="shared" si="55"/>
        <v>0</v>
      </c>
      <c r="AG96" s="60">
        <f t="shared" si="56"/>
        <v>0</v>
      </c>
      <c r="AH96" s="193"/>
      <c r="AI96" s="169">
        <v>92</v>
      </c>
      <c r="AJ96" s="1">
        <f t="shared" si="68"/>
        <v>48319</v>
      </c>
      <c r="AK96" s="60">
        <f>IF($X96&lt;Input!$H$73,IF($X96&lt;Input!$G$73,IF($X96&lt;Input!$F$73,IF($X96&lt;Input!$E$73,IF($X96&lt;Input!$D$73,Input!$C$79,Input!$D$79),Input!$E$79),Input!$F$79),Input!$G$79),Input!$H$79)</f>
        <v>0</v>
      </c>
      <c r="AL96" s="190">
        <f>IF($A96&lt;Input!$H$80,IF($A96&lt;Input!$G$80,IF($A96&lt;Input!$F$80,IF($A96&lt;Input!$E$80,IF($A96&lt;Input!$D$80,Input!$C$81,Input!$D$81),Input!$E$81),Input!$F$81),Input!$G$81),Input!$H$81)</f>
        <v>0.9</v>
      </c>
      <c r="AM96" s="60">
        <f t="shared" si="69"/>
        <v>0</v>
      </c>
      <c r="AN96" s="60">
        <f t="shared" si="70"/>
        <v>31</v>
      </c>
      <c r="AO96" s="60">
        <f t="shared" si="71"/>
        <v>0</v>
      </c>
      <c r="AP96" s="60">
        <f>ROUND(AO96*AN96*Input!$C$3/365,0)</f>
        <v>0</v>
      </c>
      <c r="AQ96" s="61">
        <f>IF($A96&lt;=Input!$C$6,0,IF('180M'!AM96&lt;'180M'!AO96,'180M'!AM96-AP96,'180M'!AO96))</f>
        <v>0</v>
      </c>
      <c r="AR96" s="61">
        <f t="shared" si="72"/>
        <v>0</v>
      </c>
      <c r="AS96" s="60">
        <f t="shared" si="73"/>
        <v>0</v>
      </c>
      <c r="AT96" s="193"/>
      <c r="AU96" s="169">
        <v>92</v>
      </c>
      <c r="AV96" s="1">
        <f t="shared" si="74"/>
        <v>48319</v>
      </c>
      <c r="AW96" s="60">
        <f>IF($X96&lt;Input!$H$88,IF($X96&lt;Input!$G$88,IF($X96&lt;Input!$F$88,IF($X96&lt;Input!$E$88,IF($X96&lt;Input!$D$88,Input!$C$94,Input!$D$94),Input!$E$94),Input!$F$94),Input!$G$94),Input!$H$94)</f>
        <v>0</v>
      </c>
      <c r="AX96" s="190">
        <f>IF($A96&lt;Input!$H$95,IF($A96&lt;Input!$G$95,IF($A96&lt;Input!$F$95,IF($A96&lt;Input!$E$95,IF($A96&lt;Input!$D$95,Input!$C$96,Input!$D$96),Input!$E$96),Input!$F$96),Input!$G$96),Input!$H$96)</f>
        <v>0.9</v>
      </c>
      <c r="AY96" s="60">
        <f t="shared" si="75"/>
        <v>0</v>
      </c>
      <c r="AZ96" s="60">
        <f t="shared" si="76"/>
        <v>31</v>
      </c>
      <c r="BA96" s="60">
        <f t="shared" si="77"/>
        <v>0</v>
      </c>
      <c r="BB96" s="60">
        <f>ROUND(BA96*AZ96*Input!$C$3/365,0)</f>
        <v>0</v>
      </c>
      <c r="BC96" s="61">
        <f>IF($A96&lt;=Input!$C$6,0,IF('180M'!AY96&lt;'180M'!BA96,'180M'!AY96-BB96,'180M'!BA96))</f>
        <v>0</v>
      </c>
      <c r="BD96" s="61">
        <f t="shared" si="78"/>
        <v>0</v>
      </c>
      <c r="BE96" s="60">
        <f t="shared" si="79"/>
        <v>0</v>
      </c>
      <c r="BF96" s="193"/>
      <c r="BG96" s="169">
        <v>92</v>
      </c>
      <c r="BH96" s="1">
        <f t="shared" si="80"/>
        <v>48319</v>
      </c>
      <c r="BI96" s="60">
        <f>IF($X96&lt;Input!$H$103,IF($X96&lt;Input!$G$103,IF($X96&lt;Input!$F$103,IF($X96&lt;Input!$E$103,IF($X96&lt;Input!$D$103,Input!$C$109,Input!$D$109),Input!$E$109),Input!$F$109),Input!$G$109),Input!$H$109)</f>
        <v>0</v>
      </c>
      <c r="BJ96" s="190">
        <f>IF($A96&lt;Input!$H$110,IF($A96&lt;Input!$G$110,IF($A96&lt;Input!$F$110,IF($A96&lt;Input!$E$110,IF($A96&lt;Input!$D$110,Input!$C$111,Input!$D$111),Input!$E$111),Input!$F$111),Input!$G$111),Input!$H$111)</f>
        <v>0.9</v>
      </c>
      <c r="BK96" s="60">
        <f t="shared" si="57"/>
        <v>0</v>
      </c>
      <c r="BL96" s="60">
        <f t="shared" si="81"/>
        <v>31</v>
      </c>
      <c r="BM96" s="60">
        <f t="shared" si="58"/>
        <v>0</v>
      </c>
      <c r="BN96" s="60">
        <f>ROUND(BM96*BL96*Input!$C$3/365,0)</f>
        <v>0</v>
      </c>
      <c r="BO96" s="61">
        <f>IF($A96&lt;=Input!$C$6,0,IF('180M'!BK96&lt;'180M'!BM96,'180M'!BK96-BN96,'180M'!BM96))</f>
        <v>0</v>
      </c>
      <c r="BP96" s="61">
        <f t="shared" si="59"/>
        <v>0</v>
      </c>
      <c r="BQ96" s="60">
        <f t="shared" si="60"/>
        <v>0</v>
      </c>
      <c r="BR96" s="198"/>
    </row>
    <row r="97" spans="1:70" x14ac:dyDescent="0.25">
      <c r="A97" s="169">
        <v>93</v>
      </c>
      <c r="B97" s="1">
        <f t="shared" si="61"/>
        <v>48349</v>
      </c>
      <c r="C97" s="60">
        <f t="shared" si="47"/>
        <v>21781574.999999996</v>
      </c>
      <c r="D97" s="60">
        <f t="shared" si="48"/>
        <v>19603417.499999996</v>
      </c>
      <c r="E97" s="60">
        <f t="shared" si="62"/>
        <v>30</v>
      </c>
      <c r="F97" s="60">
        <f t="shared" si="63"/>
        <v>1438044637.4979434</v>
      </c>
      <c r="G97" s="60">
        <f>ROUND(F97*E97*Input!$C$3/365,0)</f>
        <v>17729317</v>
      </c>
      <c r="H97" s="60">
        <f>IF($A97&lt;=Input!$C$6,0,IF('180M'!D97&lt;'180M'!F97,'180M'!D97-G97,'180M'!F97))</f>
        <v>1874100.4999999963</v>
      </c>
      <c r="I97" s="60">
        <f t="shared" si="64"/>
        <v>19603417.499999996</v>
      </c>
      <c r="J97" s="60">
        <f t="shared" si="65"/>
        <v>1436170536.9979434</v>
      </c>
      <c r="K97" s="203">
        <f>J97/Input!$K$5</f>
        <v>4.7872351233264778</v>
      </c>
      <c r="L97" s="232"/>
      <c r="M97" s="60">
        <f>IF($B97&lt;Input!$H$43,IF($B97&lt;Input!$G$43,IF($B97&lt;Input!$F$43,IF($B97&lt;Input!$E$43,IF($B97&lt;Input!$D$43,Input!$C$49,Input!$D$49),Input!$E$49),Input!$F$49),Input!$G$49),Input!$H$49)</f>
        <v>21781574.999999996</v>
      </c>
      <c r="N97" s="190">
        <f>IF($A97&lt;Input!$H$50,IF($A97&lt;Input!$G$50,IF($A97&lt;Input!$F$50,IF($A97&lt;Input!$E$50,IF($A97&lt;Input!$D$50,Input!$C$51,Input!$D$51),Input!$E$51),Input!$F$51),Input!$G$51),Input!$H$51)</f>
        <v>0.9</v>
      </c>
      <c r="O97" s="60">
        <f t="shared" si="46"/>
        <v>19603417.499999996</v>
      </c>
      <c r="P97" s="60">
        <f t="shared" si="49"/>
        <v>30</v>
      </c>
      <c r="Q97" s="60">
        <f t="shared" si="50"/>
        <v>1438044637.4979434</v>
      </c>
      <c r="R97" s="60">
        <f>ROUND(Q97*$P97*Input!$C$3/365,0)</f>
        <v>17729317</v>
      </c>
      <c r="S97" s="60">
        <f>IF(A97&lt;=Input!$C$6,0,IF('180M'!O97&lt;'180M'!Q97,'180M'!O97-R97,'180M'!Q97))</f>
        <v>1874100.4999999963</v>
      </c>
      <c r="T97" s="60">
        <f t="shared" si="51"/>
        <v>19603417.499999996</v>
      </c>
      <c r="U97" s="60">
        <f t="shared" si="52"/>
        <v>1436170536.9979434</v>
      </c>
      <c r="V97" s="193"/>
      <c r="W97" s="169">
        <v>93</v>
      </c>
      <c r="X97" s="1">
        <f t="shared" si="66"/>
        <v>48349</v>
      </c>
      <c r="Y97" s="60">
        <f>IF($X97&lt;Input!$H$58,IF($X97&lt;Input!$G$58,IF($X97&lt;Input!$F$58,IF($X97&lt;Input!$E$58,IF($X97&lt;Input!$D$58,Input!$C$64,Input!$D$64),Input!$E$64),Input!$F$64),Input!$G$64),Input!$H$64)</f>
        <v>0</v>
      </c>
      <c r="Z97" s="190">
        <f>IF($A97&lt;Input!$H$65,IF($A97&lt;Input!$G$65,IF($A97&lt;Input!$F$65,IF($A97&lt;Input!$E$65,IF($A97&lt;Input!$D$65,Input!$C$66,Input!$D$66),Input!$E$66),Input!$F$66),Input!$G$66),Input!$H$66)</f>
        <v>0.9</v>
      </c>
      <c r="AA97" s="60">
        <f t="shared" si="53"/>
        <v>0</v>
      </c>
      <c r="AB97" s="60">
        <f t="shared" si="67"/>
        <v>30</v>
      </c>
      <c r="AC97" s="60">
        <f t="shared" si="54"/>
        <v>0</v>
      </c>
      <c r="AD97" s="60">
        <f>ROUND(AC97*AB97*Input!$C$3/365,0)</f>
        <v>0</v>
      </c>
      <c r="AE97" s="61">
        <f>IF($A97&lt;=Input!$C$6,0,IF('180M'!AA97&lt;'180M'!AC97,'180M'!AA97-AD97,'180M'!AC97))</f>
        <v>0</v>
      </c>
      <c r="AF97" s="61">
        <f t="shared" si="55"/>
        <v>0</v>
      </c>
      <c r="AG97" s="60">
        <f t="shared" si="56"/>
        <v>0</v>
      </c>
      <c r="AH97" s="193"/>
      <c r="AI97" s="169">
        <v>93</v>
      </c>
      <c r="AJ97" s="1">
        <f t="shared" si="68"/>
        <v>48349</v>
      </c>
      <c r="AK97" s="60">
        <f>IF($X97&lt;Input!$H$73,IF($X97&lt;Input!$G$73,IF($X97&lt;Input!$F$73,IF($X97&lt;Input!$E$73,IF($X97&lt;Input!$D$73,Input!$C$79,Input!$D$79),Input!$E$79),Input!$F$79),Input!$G$79),Input!$H$79)</f>
        <v>0</v>
      </c>
      <c r="AL97" s="190">
        <f>IF($A97&lt;Input!$H$80,IF($A97&lt;Input!$G$80,IF($A97&lt;Input!$F$80,IF($A97&lt;Input!$E$80,IF($A97&lt;Input!$D$80,Input!$C$81,Input!$D$81),Input!$E$81),Input!$F$81),Input!$G$81),Input!$H$81)</f>
        <v>0.9</v>
      </c>
      <c r="AM97" s="60">
        <f t="shared" si="69"/>
        <v>0</v>
      </c>
      <c r="AN97" s="60">
        <f t="shared" si="70"/>
        <v>30</v>
      </c>
      <c r="AO97" s="60">
        <f t="shared" si="71"/>
        <v>0</v>
      </c>
      <c r="AP97" s="60">
        <f>ROUND(AO97*AN97*Input!$C$3/365,0)</f>
        <v>0</v>
      </c>
      <c r="AQ97" s="61">
        <f>IF($A97&lt;=Input!$C$6,0,IF('180M'!AM97&lt;'180M'!AO97,'180M'!AM97-AP97,'180M'!AO97))</f>
        <v>0</v>
      </c>
      <c r="AR97" s="61">
        <f t="shared" si="72"/>
        <v>0</v>
      </c>
      <c r="AS97" s="60">
        <f t="shared" si="73"/>
        <v>0</v>
      </c>
      <c r="AT97" s="193"/>
      <c r="AU97" s="169">
        <v>93</v>
      </c>
      <c r="AV97" s="1">
        <f t="shared" si="74"/>
        <v>48349</v>
      </c>
      <c r="AW97" s="60">
        <f>IF($X97&lt;Input!$H$88,IF($X97&lt;Input!$G$88,IF($X97&lt;Input!$F$88,IF($X97&lt;Input!$E$88,IF($X97&lt;Input!$D$88,Input!$C$94,Input!$D$94),Input!$E$94),Input!$F$94),Input!$G$94),Input!$H$94)</f>
        <v>0</v>
      </c>
      <c r="AX97" s="190">
        <f>IF($A97&lt;Input!$H$95,IF($A97&lt;Input!$G$95,IF($A97&lt;Input!$F$95,IF($A97&lt;Input!$E$95,IF($A97&lt;Input!$D$95,Input!$C$96,Input!$D$96),Input!$E$96),Input!$F$96),Input!$G$96),Input!$H$96)</f>
        <v>0.9</v>
      </c>
      <c r="AY97" s="60">
        <f t="shared" si="75"/>
        <v>0</v>
      </c>
      <c r="AZ97" s="60">
        <f t="shared" si="76"/>
        <v>30</v>
      </c>
      <c r="BA97" s="60">
        <f t="shared" si="77"/>
        <v>0</v>
      </c>
      <c r="BB97" s="60">
        <f>ROUND(BA97*AZ97*Input!$C$3/365,0)</f>
        <v>0</v>
      </c>
      <c r="BC97" s="61">
        <f>IF($A97&lt;=Input!$C$6,0,IF('180M'!AY97&lt;'180M'!BA97,'180M'!AY97-BB97,'180M'!BA97))</f>
        <v>0</v>
      </c>
      <c r="BD97" s="61">
        <f t="shared" si="78"/>
        <v>0</v>
      </c>
      <c r="BE97" s="60">
        <f t="shared" si="79"/>
        <v>0</v>
      </c>
      <c r="BF97" s="193"/>
      <c r="BG97" s="169">
        <v>93</v>
      </c>
      <c r="BH97" s="1">
        <f t="shared" si="80"/>
        <v>48349</v>
      </c>
      <c r="BI97" s="60">
        <f>IF($X97&lt;Input!$H$103,IF($X97&lt;Input!$G$103,IF($X97&lt;Input!$F$103,IF($X97&lt;Input!$E$103,IF($X97&lt;Input!$D$103,Input!$C$109,Input!$D$109),Input!$E$109),Input!$F$109),Input!$G$109),Input!$H$109)</f>
        <v>0</v>
      </c>
      <c r="BJ97" s="190">
        <f>IF($A97&lt;Input!$H$110,IF($A97&lt;Input!$G$110,IF($A97&lt;Input!$F$110,IF($A97&lt;Input!$E$110,IF($A97&lt;Input!$D$110,Input!$C$111,Input!$D$111),Input!$E$111),Input!$F$111),Input!$G$111),Input!$H$111)</f>
        <v>0.9</v>
      </c>
      <c r="BK97" s="60">
        <f t="shared" si="57"/>
        <v>0</v>
      </c>
      <c r="BL97" s="60">
        <f t="shared" si="81"/>
        <v>30</v>
      </c>
      <c r="BM97" s="60">
        <f t="shared" si="58"/>
        <v>0</v>
      </c>
      <c r="BN97" s="60">
        <f>ROUND(BM97*BL97*Input!$C$3/365,0)</f>
        <v>0</v>
      </c>
      <c r="BO97" s="61">
        <f>IF($A97&lt;=Input!$C$6,0,IF('180M'!BK97&lt;'180M'!BM97,'180M'!BK97-BN97,'180M'!BM97))</f>
        <v>0</v>
      </c>
      <c r="BP97" s="61">
        <f t="shared" si="59"/>
        <v>0</v>
      </c>
      <c r="BQ97" s="60">
        <f t="shared" si="60"/>
        <v>0</v>
      </c>
      <c r="BR97" s="198"/>
    </row>
    <row r="98" spans="1:70" x14ac:dyDescent="0.25">
      <c r="A98" s="169">
        <v>94</v>
      </c>
      <c r="B98" s="1">
        <f t="shared" si="61"/>
        <v>48380</v>
      </c>
      <c r="C98" s="60">
        <f t="shared" si="47"/>
        <v>21781574.999999996</v>
      </c>
      <c r="D98" s="60">
        <f t="shared" si="48"/>
        <v>19603417.499999996</v>
      </c>
      <c r="E98" s="60">
        <f t="shared" si="62"/>
        <v>31</v>
      </c>
      <c r="F98" s="60">
        <f t="shared" si="63"/>
        <v>1436170536.9979434</v>
      </c>
      <c r="G98" s="60">
        <f>ROUND(F98*E98*Input!$C$3/365,0)</f>
        <v>18296419</v>
      </c>
      <c r="H98" s="60">
        <f>IF($A98&lt;=Input!$C$6,0,IF('180M'!D98&lt;'180M'!F98,'180M'!D98-G98,'180M'!F98))</f>
        <v>1306998.4999999963</v>
      </c>
      <c r="I98" s="60">
        <f t="shared" si="64"/>
        <v>19603417.499999996</v>
      </c>
      <c r="J98" s="60">
        <f t="shared" si="65"/>
        <v>1434863538.4979434</v>
      </c>
      <c r="K98" s="203">
        <f>J98/Input!$K$5</f>
        <v>4.782878461659811</v>
      </c>
      <c r="L98" s="232"/>
      <c r="M98" s="60">
        <f>IF($B98&lt;Input!$H$43,IF($B98&lt;Input!$G$43,IF($B98&lt;Input!$F$43,IF($B98&lt;Input!$E$43,IF($B98&lt;Input!$D$43,Input!$C$49,Input!$D$49),Input!$E$49),Input!$F$49),Input!$G$49),Input!$H$49)</f>
        <v>21781574.999999996</v>
      </c>
      <c r="N98" s="190">
        <f>IF($A98&lt;Input!$H$50,IF($A98&lt;Input!$G$50,IF($A98&lt;Input!$F$50,IF($A98&lt;Input!$E$50,IF($A98&lt;Input!$D$50,Input!$C$51,Input!$D$51),Input!$E$51),Input!$F$51),Input!$G$51),Input!$H$51)</f>
        <v>0.9</v>
      </c>
      <c r="O98" s="60">
        <f t="shared" si="46"/>
        <v>19603417.499999996</v>
      </c>
      <c r="P98" s="60">
        <f t="shared" si="49"/>
        <v>31</v>
      </c>
      <c r="Q98" s="60">
        <f t="shared" si="50"/>
        <v>1436170536.9979434</v>
      </c>
      <c r="R98" s="60">
        <f>ROUND(Q98*$P98*Input!$C$3/365,0)</f>
        <v>18296419</v>
      </c>
      <c r="S98" s="60">
        <f>IF(A98&lt;=Input!$C$6,0,IF('180M'!O98&lt;'180M'!Q98,'180M'!O98-R98,'180M'!Q98))</f>
        <v>1306998.4999999963</v>
      </c>
      <c r="T98" s="60">
        <f t="shared" si="51"/>
        <v>19603417.499999996</v>
      </c>
      <c r="U98" s="60">
        <f t="shared" si="52"/>
        <v>1434863538.4979434</v>
      </c>
      <c r="V98" s="193"/>
      <c r="W98" s="169">
        <v>94</v>
      </c>
      <c r="X98" s="1">
        <f t="shared" si="66"/>
        <v>48380</v>
      </c>
      <c r="Y98" s="60">
        <f>IF($X98&lt;Input!$H$58,IF($X98&lt;Input!$G$58,IF($X98&lt;Input!$F$58,IF($X98&lt;Input!$E$58,IF($X98&lt;Input!$D$58,Input!$C$64,Input!$D$64),Input!$E$64),Input!$F$64),Input!$G$64),Input!$H$64)</f>
        <v>0</v>
      </c>
      <c r="Z98" s="190">
        <f>IF($A98&lt;Input!$H$65,IF($A98&lt;Input!$G$65,IF($A98&lt;Input!$F$65,IF($A98&lt;Input!$E$65,IF($A98&lt;Input!$D$65,Input!$C$66,Input!$D$66),Input!$E$66),Input!$F$66),Input!$G$66),Input!$H$66)</f>
        <v>0.9</v>
      </c>
      <c r="AA98" s="60">
        <f t="shared" si="53"/>
        <v>0</v>
      </c>
      <c r="AB98" s="60">
        <f t="shared" si="67"/>
        <v>31</v>
      </c>
      <c r="AC98" s="60">
        <f t="shared" si="54"/>
        <v>0</v>
      </c>
      <c r="AD98" s="60">
        <f>ROUND(AC98*AB98*Input!$C$3/365,0)</f>
        <v>0</v>
      </c>
      <c r="AE98" s="61">
        <f>IF($A98&lt;=Input!$C$6,0,IF('180M'!AA98&lt;'180M'!AC98,'180M'!AA98-AD98,'180M'!AC98))</f>
        <v>0</v>
      </c>
      <c r="AF98" s="61">
        <f t="shared" si="55"/>
        <v>0</v>
      </c>
      <c r="AG98" s="60">
        <f t="shared" si="56"/>
        <v>0</v>
      </c>
      <c r="AH98" s="193"/>
      <c r="AI98" s="169">
        <v>94</v>
      </c>
      <c r="AJ98" s="1">
        <f t="shared" si="68"/>
        <v>48380</v>
      </c>
      <c r="AK98" s="60">
        <f>IF($X98&lt;Input!$H$73,IF($X98&lt;Input!$G$73,IF($X98&lt;Input!$F$73,IF($X98&lt;Input!$E$73,IF($X98&lt;Input!$D$73,Input!$C$79,Input!$D$79),Input!$E$79),Input!$F$79),Input!$G$79),Input!$H$79)</f>
        <v>0</v>
      </c>
      <c r="AL98" s="190">
        <f>IF($A98&lt;Input!$H$80,IF($A98&lt;Input!$G$80,IF($A98&lt;Input!$F$80,IF($A98&lt;Input!$E$80,IF($A98&lt;Input!$D$80,Input!$C$81,Input!$D$81),Input!$E$81),Input!$F$81),Input!$G$81),Input!$H$81)</f>
        <v>0.9</v>
      </c>
      <c r="AM98" s="60">
        <f t="shared" si="69"/>
        <v>0</v>
      </c>
      <c r="AN98" s="60">
        <f t="shared" si="70"/>
        <v>31</v>
      </c>
      <c r="AO98" s="60">
        <f t="shared" si="71"/>
        <v>0</v>
      </c>
      <c r="AP98" s="60">
        <f>ROUND(AO98*AN98*Input!$C$3/365,0)</f>
        <v>0</v>
      </c>
      <c r="AQ98" s="61">
        <f>IF($A98&lt;=Input!$C$6,0,IF('180M'!AM98&lt;'180M'!AO98,'180M'!AM98-AP98,'180M'!AO98))</f>
        <v>0</v>
      </c>
      <c r="AR98" s="61">
        <f t="shared" si="72"/>
        <v>0</v>
      </c>
      <c r="AS98" s="60">
        <f t="shared" si="73"/>
        <v>0</v>
      </c>
      <c r="AT98" s="193"/>
      <c r="AU98" s="169">
        <v>94</v>
      </c>
      <c r="AV98" s="1">
        <f t="shared" si="74"/>
        <v>48380</v>
      </c>
      <c r="AW98" s="60">
        <f>IF($X98&lt;Input!$H$88,IF($X98&lt;Input!$G$88,IF($X98&lt;Input!$F$88,IF($X98&lt;Input!$E$88,IF($X98&lt;Input!$D$88,Input!$C$94,Input!$D$94),Input!$E$94),Input!$F$94),Input!$G$94),Input!$H$94)</f>
        <v>0</v>
      </c>
      <c r="AX98" s="190">
        <f>IF($A98&lt;Input!$H$95,IF($A98&lt;Input!$G$95,IF($A98&lt;Input!$F$95,IF($A98&lt;Input!$E$95,IF($A98&lt;Input!$D$95,Input!$C$96,Input!$D$96),Input!$E$96),Input!$F$96),Input!$G$96),Input!$H$96)</f>
        <v>0.9</v>
      </c>
      <c r="AY98" s="60">
        <f t="shared" si="75"/>
        <v>0</v>
      </c>
      <c r="AZ98" s="60">
        <f t="shared" si="76"/>
        <v>31</v>
      </c>
      <c r="BA98" s="60">
        <f t="shared" si="77"/>
        <v>0</v>
      </c>
      <c r="BB98" s="60">
        <f>ROUND(BA98*AZ98*Input!$C$3/365,0)</f>
        <v>0</v>
      </c>
      <c r="BC98" s="61">
        <f>IF($A98&lt;=Input!$C$6,0,IF('180M'!AY98&lt;'180M'!BA98,'180M'!AY98-BB98,'180M'!BA98))</f>
        <v>0</v>
      </c>
      <c r="BD98" s="61">
        <f t="shared" si="78"/>
        <v>0</v>
      </c>
      <c r="BE98" s="60">
        <f t="shared" si="79"/>
        <v>0</v>
      </c>
      <c r="BF98" s="193"/>
      <c r="BG98" s="169">
        <v>94</v>
      </c>
      <c r="BH98" s="1">
        <f t="shared" si="80"/>
        <v>48380</v>
      </c>
      <c r="BI98" s="60">
        <f>IF($X98&lt;Input!$H$103,IF($X98&lt;Input!$G$103,IF($X98&lt;Input!$F$103,IF($X98&lt;Input!$E$103,IF($X98&lt;Input!$D$103,Input!$C$109,Input!$D$109),Input!$E$109),Input!$F$109),Input!$G$109),Input!$H$109)</f>
        <v>0</v>
      </c>
      <c r="BJ98" s="190">
        <f>IF($A98&lt;Input!$H$110,IF($A98&lt;Input!$G$110,IF($A98&lt;Input!$F$110,IF($A98&lt;Input!$E$110,IF($A98&lt;Input!$D$110,Input!$C$111,Input!$D$111),Input!$E$111),Input!$F$111),Input!$G$111),Input!$H$111)</f>
        <v>0.9</v>
      </c>
      <c r="BK98" s="60">
        <f t="shared" si="57"/>
        <v>0</v>
      </c>
      <c r="BL98" s="60">
        <f t="shared" si="81"/>
        <v>31</v>
      </c>
      <c r="BM98" s="60">
        <f t="shared" si="58"/>
        <v>0</v>
      </c>
      <c r="BN98" s="60">
        <f>ROUND(BM98*BL98*Input!$C$3/365,0)</f>
        <v>0</v>
      </c>
      <c r="BO98" s="61">
        <f>IF($A98&lt;=Input!$C$6,0,IF('180M'!BK98&lt;'180M'!BM98,'180M'!BK98-BN98,'180M'!BM98))</f>
        <v>0</v>
      </c>
      <c r="BP98" s="61">
        <f t="shared" si="59"/>
        <v>0</v>
      </c>
      <c r="BQ98" s="60">
        <f t="shared" si="60"/>
        <v>0</v>
      </c>
      <c r="BR98" s="198"/>
    </row>
    <row r="99" spans="1:70" x14ac:dyDescent="0.25">
      <c r="A99" s="169">
        <v>95</v>
      </c>
      <c r="B99" s="1">
        <f t="shared" si="61"/>
        <v>48410</v>
      </c>
      <c r="C99" s="60">
        <f t="shared" si="47"/>
        <v>21781574.999999996</v>
      </c>
      <c r="D99" s="60">
        <f t="shared" si="48"/>
        <v>19603417.499999996</v>
      </c>
      <c r="E99" s="60">
        <f t="shared" si="62"/>
        <v>30</v>
      </c>
      <c r="F99" s="60">
        <f t="shared" si="63"/>
        <v>1434863538.4979434</v>
      </c>
      <c r="G99" s="60">
        <f>ROUND(F99*E99*Input!$C$3/365,0)</f>
        <v>17690098</v>
      </c>
      <c r="H99" s="60">
        <f>IF($A99&lt;=Input!$C$6,0,IF('180M'!D99&lt;'180M'!F99,'180M'!D99-G99,'180M'!F99))</f>
        <v>1913319.4999999963</v>
      </c>
      <c r="I99" s="60">
        <f t="shared" si="64"/>
        <v>19603417.499999996</v>
      </c>
      <c r="J99" s="60">
        <f t="shared" si="65"/>
        <v>1432950218.9979434</v>
      </c>
      <c r="K99" s="203">
        <f>J99/Input!$K$5</f>
        <v>4.7765007299931446</v>
      </c>
      <c r="L99" s="232"/>
      <c r="M99" s="60">
        <f>IF($B99&lt;Input!$H$43,IF($B99&lt;Input!$G$43,IF($B99&lt;Input!$F$43,IF($B99&lt;Input!$E$43,IF($B99&lt;Input!$D$43,Input!$C$49,Input!$D$49),Input!$E$49),Input!$F$49),Input!$G$49),Input!$H$49)</f>
        <v>21781574.999999996</v>
      </c>
      <c r="N99" s="190">
        <f>IF($A99&lt;Input!$H$50,IF($A99&lt;Input!$G$50,IF($A99&lt;Input!$F$50,IF($A99&lt;Input!$E$50,IF($A99&lt;Input!$D$50,Input!$C$51,Input!$D$51),Input!$E$51),Input!$F$51),Input!$G$51),Input!$H$51)</f>
        <v>0.9</v>
      </c>
      <c r="O99" s="60">
        <f t="shared" si="46"/>
        <v>19603417.499999996</v>
      </c>
      <c r="P99" s="60">
        <f t="shared" si="49"/>
        <v>30</v>
      </c>
      <c r="Q99" s="60">
        <f t="shared" si="50"/>
        <v>1434863538.4979434</v>
      </c>
      <c r="R99" s="60">
        <f>ROUND(Q99*$P99*Input!$C$3/365,0)</f>
        <v>17690098</v>
      </c>
      <c r="S99" s="60">
        <f>IF(A99&lt;=Input!$C$6,0,IF('180M'!O99&lt;'180M'!Q99,'180M'!O99-R99,'180M'!Q99))</f>
        <v>1913319.4999999963</v>
      </c>
      <c r="T99" s="60">
        <f t="shared" si="51"/>
        <v>19603417.499999996</v>
      </c>
      <c r="U99" s="60">
        <f t="shared" si="52"/>
        <v>1432950218.9979434</v>
      </c>
      <c r="V99" s="193"/>
      <c r="W99" s="169">
        <v>95</v>
      </c>
      <c r="X99" s="1">
        <f t="shared" si="66"/>
        <v>48410</v>
      </c>
      <c r="Y99" s="60">
        <f>IF($X99&lt;Input!$H$58,IF($X99&lt;Input!$G$58,IF($X99&lt;Input!$F$58,IF($X99&lt;Input!$E$58,IF($X99&lt;Input!$D$58,Input!$C$64,Input!$D$64),Input!$E$64),Input!$F$64),Input!$G$64),Input!$H$64)</f>
        <v>0</v>
      </c>
      <c r="Z99" s="190">
        <f>IF($A99&lt;Input!$H$65,IF($A99&lt;Input!$G$65,IF($A99&lt;Input!$F$65,IF($A99&lt;Input!$E$65,IF($A99&lt;Input!$D$65,Input!$C$66,Input!$D$66),Input!$E$66),Input!$F$66),Input!$G$66),Input!$H$66)</f>
        <v>0.9</v>
      </c>
      <c r="AA99" s="60">
        <f t="shared" si="53"/>
        <v>0</v>
      </c>
      <c r="AB99" s="60">
        <f t="shared" si="67"/>
        <v>30</v>
      </c>
      <c r="AC99" s="60">
        <f t="shared" si="54"/>
        <v>0</v>
      </c>
      <c r="AD99" s="60">
        <f>ROUND(AC99*AB99*Input!$C$3/365,0)</f>
        <v>0</v>
      </c>
      <c r="AE99" s="61">
        <f>IF($A99&lt;=Input!$C$6,0,IF('180M'!AA99&lt;'180M'!AC99,'180M'!AA99-AD99,'180M'!AC99))</f>
        <v>0</v>
      </c>
      <c r="AF99" s="61">
        <f t="shared" si="55"/>
        <v>0</v>
      </c>
      <c r="AG99" s="60">
        <f t="shared" si="56"/>
        <v>0</v>
      </c>
      <c r="AH99" s="193"/>
      <c r="AI99" s="169">
        <v>95</v>
      </c>
      <c r="AJ99" s="1">
        <f t="shared" si="68"/>
        <v>48410</v>
      </c>
      <c r="AK99" s="60">
        <f>IF($X99&lt;Input!$H$73,IF($X99&lt;Input!$G$73,IF($X99&lt;Input!$F$73,IF($X99&lt;Input!$E$73,IF($X99&lt;Input!$D$73,Input!$C$79,Input!$D$79),Input!$E$79),Input!$F$79),Input!$G$79),Input!$H$79)</f>
        <v>0</v>
      </c>
      <c r="AL99" s="190">
        <f>IF($A99&lt;Input!$H$80,IF($A99&lt;Input!$G$80,IF($A99&lt;Input!$F$80,IF($A99&lt;Input!$E$80,IF($A99&lt;Input!$D$80,Input!$C$81,Input!$D$81),Input!$E$81),Input!$F$81),Input!$G$81),Input!$H$81)</f>
        <v>0.9</v>
      </c>
      <c r="AM99" s="60">
        <f t="shared" si="69"/>
        <v>0</v>
      </c>
      <c r="AN99" s="60">
        <f t="shared" si="70"/>
        <v>30</v>
      </c>
      <c r="AO99" s="60">
        <f t="shared" si="71"/>
        <v>0</v>
      </c>
      <c r="AP99" s="60">
        <f>ROUND(AO99*AN99*Input!$C$3/365,0)</f>
        <v>0</v>
      </c>
      <c r="AQ99" s="61">
        <f>IF($A99&lt;=Input!$C$6,0,IF('180M'!AM99&lt;'180M'!AO99,'180M'!AM99-AP99,'180M'!AO99))</f>
        <v>0</v>
      </c>
      <c r="AR99" s="61">
        <f t="shared" si="72"/>
        <v>0</v>
      </c>
      <c r="AS99" s="60">
        <f t="shared" si="73"/>
        <v>0</v>
      </c>
      <c r="AT99" s="193"/>
      <c r="AU99" s="169">
        <v>95</v>
      </c>
      <c r="AV99" s="1">
        <f t="shared" si="74"/>
        <v>48410</v>
      </c>
      <c r="AW99" s="60">
        <f>IF($X99&lt;Input!$H$88,IF($X99&lt;Input!$G$88,IF($X99&lt;Input!$F$88,IF($X99&lt;Input!$E$88,IF($X99&lt;Input!$D$88,Input!$C$94,Input!$D$94),Input!$E$94),Input!$F$94),Input!$G$94),Input!$H$94)</f>
        <v>0</v>
      </c>
      <c r="AX99" s="190">
        <f>IF($A99&lt;Input!$H$95,IF($A99&lt;Input!$G$95,IF($A99&lt;Input!$F$95,IF($A99&lt;Input!$E$95,IF($A99&lt;Input!$D$95,Input!$C$96,Input!$D$96),Input!$E$96),Input!$F$96),Input!$G$96),Input!$H$96)</f>
        <v>0.9</v>
      </c>
      <c r="AY99" s="60">
        <f t="shared" si="75"/>
        <v>0</v>
      </c>
      <c r="AZ99" s="60">
        <f t="shared" si="76"/>
        <v>30</v>
      </c>
      <c r="BA99" s="60">
        <f t="shared" si="77"/>
        <v>0</v>
      </c>
      <c r="BB99" s="60">
        <f>ROUND(BA99*AZ99*Input!$C$3/365,0)</f>
        <v>0</v>
      </c>
      <c r="BC99" s="61">
        <f>IF($A99&lt;=Input!$C$6,0,IF('180M'!AY99&lt;'180M'!BA99,'180M'!AY99-BB99,'180M'!BA99))</f>
        <v>0</v>
      </c>
      <c r="BD99" s="61">
        <f t="shared" si="78"/>
        <v>0</v>
      </c>
      <c r="BE99" s="60">
        <f t="shared" si="79"/>
        <v>0</v>
      </c>
      <c r="BF99" s="193"/>
      <c r="BG99" s="169">
        <v>95</v>
      </c>
      <c r="BH99" s="1">
        <f t="shared" si="80"/>
        <v>48410</v>
      </c>
      <c r="BI99" s="60">
        <f>IF($X99&lt;Input!$H$103,IF($X99&lt;Input!$G$103,IF($X99&lt;Input!$F$103,IF($X99&lt;Input!$E$103,IF($X99&lt;Input!$D$103,Input!$C$109,Input!$D$109),Input!$E$109),Input!$F$109),Input!$G$109),Input!$H$109)</f>
        <v>0</v>
      </c>
      <c r="BJ99" s="190">
        <f>IF($A99&lt;Input!$H$110,IF($A99&lt;Input!$G$110,IF($A99&lt;Input!$F$110,IF($A99&lt;Input!$E$110,IF($A99&lt;Input!$D$110,Input!$C$111,Input!$D$111),Input!$E$111),Input!$F$111),Input!$G$111),Input!$H$111)</f>
        <v>0.9</v>
      </c>
      <c r="BK99" s="60">
        <f t="shared" si="57"/>
        <v>0</v>
      </c>
      <c r="BL99" s="60">
        <f t="shared" si="81"/>
        <v>30</v>
      </c>
      <c r="BM99" s="60">
        <f t="shared" si="58"/>
        <v>0</v>
      </c>
      <c r="BN99" s="60">
        <f>ROUND(BM99*BL99*Input!$C$3/365,0)</f>
        <v>0</v>
      </c>
      <c r="BO99" s="61">
        <f>IF($A99&lt;=Input!$C$6,0,IF('180M'!BK99&lt;'180M'!BM99,'180M'!BK99-BN99,'180M'!BM99))</f>
        <v>0</v>
      </c>
      <c r="BP99" s="61">
        <f t="shared" si="59"/>
        <v>0</v>
      </c>
      <c r="BQ99" s="60">
        <f t="shared" si="60"/>
        <v>0</v>
      </c>
      <c r="BR99" s="198"/>
    </row>
    <row r="100" spans="1:70" x14ac:dyDescent="0.25">
      <c r="A100" s="169">
        <v>96</v>
      </c>
      <c r="B100" s="1">
        <f t="shared" si="61"/>
        <v>48441</v>
      </c>
      <c r="C100" s="60">
        <f t="shared" si="47"/>
        <v>21781574.999999996</v>
      </c>
      <c r="D100" s="60">
        <f t="shared" si="48"/>
        <v>19603417.499999996</v>
      </c>
      <c r="E100" s="60">
        <f t="shared" si="62"/>
        <v>31</v>
      </c>
      <c r="F100" s="60">
        <f t="shared" si="63"/>
        <v>1432950218.9979434</v>
      </c>
      <c r="G100" s="60">
        <f>ROUND(F100*E100*Input!$C$3/365,0)</f>
        <v>18255393</v>
      </c>
      <c r="H100" s="60">
        <f>IF($A100&lt;=Input!$C$6,0,IF('180M'!D100&lt;'180M'!F100,'180M'!D100-G100,'180M'!F100))</f>
        <v>1348024.4999999963</v>
      </c>
      <c r="I100" s="60">
        <f t="shared" si="64"/>
        <v>19603417.499999996</v>
      </c>
      <c r="J100" s="60">
        <f t="shared" si="65"/>
        <v>1431602194.4979434</v>
      </c>
      <c r="K100" s="203">
        <f>J100/Input!$K$5</f>
        <v>4.7720073149931448</v>
      </c>
      <c r="L100" s="232"/>
      <c r="M100" s="60">
        <f>IF($B100&lt;Input!$H$43,IF($B100&lt;Input!$G$43,IF($B100&lt;Input!$F$43,IF($B100&lt;Input!$E$43,IF($B100&lt;Input!$D$43,Input!$C$49,Input!$D$49),Input!$E$49),Input!$F$49),Input!$G$49),Input!$H$49)</f>
        <v>21781574.999999996</v>
      </c>
      <c r="N100" s="190">
        <f>IF($A100&lt;Input!$H$50,IF($A100&lt;Input!$G$50,IF($A100&lt;Input!$F$50,IF($A100&lt;Input!$E$50,IF($A100&lt;Input!$D$50,Input!$C$51,Input!$D$51),Input!$E$51),Input!$F$51),Input!$G$51),Input!$H$51)</f>
        <v>0.9</v>
      </c>
      <c r="O100" s="60">
        <f t="shared" ref="O100:O131" si="82">M100*N100</f>
        <v>19603417.499999996</v>
      </c>
      <c r="P100" s="60">
        <f t="shared" si="49"/>
        <v>31</v>
      </c>
      <c r="Q100" s="60">
        <f t="shared" si="50"/>
        <v>1432950218.9979434</v>
      </c>
      <c r="R100" s="60">
        <f>ROUND(Q100*$P100*Input!$C$3/365,0)</f>
        <v>18255393</v>
      </c>
      <c r="S100" s="60">
        <f>IF(A100&lt;=Input!$C$6,0,IF('180M'!O100&lt;'180M'!Q100,'180M'!O100-R100,'180M'!Q100))</f>
        <v>1348024.4999999963</v>
      </c>
      <c r="T100" s="60">
        <f t="shared" si="51"/>
        <v>19603417.499999996</v>
      </c>
      <c r="U100" s="60">
        <f t="shared" si="52"/>
        <v>1431602194.4979434</v>
      </c>
      <c r="V100" s="193"/>
      <c r="W100" s="169">
        <v>96</v>
      </c>
      <c r="X100" s="1">
        <f t="shared" si="66"/>
        <v>48441</v>
      </c>
      <c r="Y100" s="60">
        <f>IF($X100&lt;Input!$H$58,IF($X100&lt;Input!$G$58,IF($X100&lt;Input!$F$58,IF($X100&lt;Input!$E$58,IF($X100&lt;Input!$D$58,Input!$C$64,Input!$D$64),Input!$E$64),Input!$F$64),Input!$G$64),Input!$H$64)</f>
        <v>0</v>
      </c>
      <c r="Z100" s="190">
        <f>IF($A100&lt;Input!$H$65,IF($A100&lt;Input!$G$65,IF($A100&lt;Input!$F$65,IF($A100&lt;Input!$E$65,IF($A100&lt;Input!$D$65,Input!$C$66,Input!$D$66),Input!$E$66),Input!$F$66),Input!$G$66),Input!$H$66)</f>
        <v>0.9</v>
      </c>
      <c r="AA100" s="60">
        <f t="shared" si="53"/>
        <v>0</v>
      </c>
      <c r="AB100" s="60">
        <f t="shared" si="67"/>
        <v>31</v>
      </c>
      <c r="AC100" s="60">
        <f t="shared" si="54"/>
        <v>0</v>
      </c>
      <c r="AD100" s="60">
        <f>ROUND(AC100*AB100*Input!$C$3/365,0)</f>
        <v>0</v>
      </c>
      <c r="AE100" s="61">
        <f>IF($A100&lt;=Input!$C$6,0,IF('180M'!AA100&lt;'180M'!AC100,'180M'!AA100-AD100,'180M'!AC100))</f>
        <v>0</v>
      </c>
      <c r="AF100" s="61">
        <f t="shared" si="55"/>
        <v>0</v>
      </c>
      <c r="AG100" s="60">
        <f t="shared" si="56"/>
        <v>0</v>
      </c>
      <c r="AH100" s="193"/>
      <c r="AI100" s="169">
        <v>96</v>
      </c>
      <c r="AJ100" s="1">
        <f t="shared" si="68"/>
        <v>48441</v>
      </c>
      <c r="AK100" s="60">
        <f>IF($X100&lt;Input!$H$73,IF($X100&lt;Input!$G$73,IF($X100&lt;Input!$F$73,IF($X100&lt;Input!$E$73,IF($X100&lt;Input!$D$73,Input!$C$79,Input!$D$79),Input!$E$79),Input!$F$79),Input!$G$79),Input!$H$79)</f>
        <v>0</v>
      </c>
      <c r="AL100" s="190">
        <f>IF($A100&lt;Input!$H$80,IF($A100&lt;Input!$G$80,IF($A100&lt;Input!$F$80,IF($A100&lt;Input!$E$80,IF($A100&lt;Input!$D$80,Input!$C$81,Input!$D$81),Input!$E$81),Input!$F$81),Input!$G$81),Input!$H$81)</f>
        <v>0.9</v>
      </c>
      <c r="AM100" s="60">
        <f t="shared" si="69"/>
        <v>0</v>
      </c>
      <c r="AN100" s="60">
        <f t="shared" si="70"/>
        <v>31</v>
      </c>
      <c r="AO100" s="60">
        <f t="shared" si="71"/>
        <v>0</v>
      </c>
      <c r="AP100" s="60">
        <f>ROUND(AO100*AN100*Input!$C$3/365,0)</f>
        <v>0</v>
      </c>
      <c r="AQ100" s="61">
        <f>IF($A100&lt;=Input!$C$6,0,IF('180M'!AM100&lt;'180M'!AO100,'180M'!AM100-AP100,'180M'!AO100))</f>
        <v>0</v>
      </c>
      <c r="AR100" s="61">
        <f t="shared" si="72"/>
        <v>0</v>
      </c>
      <c r="AS100" s="60">
        <f t="shared" si="73"/>
        <v>0</v>
      </c>
      <c r="AT100" s="193"/>
      <c r="AU100" s="169">
        <v>96</v>
      </c>
      <c r="AV100" s="1">
        <f t="shared" si="74"/>
        <v>48441</v>
      </c>
      <c r="AW100" s="60">
        <f>IF($X100&lt;Input!$H$88,IF($X100&lt;Input!$G$88,IF($X100&lt;Input!$F$88,IF($X100&lt;Input!$E$88,IF($X100&lt;Input!$D$88,Input!$C$94,Input!$D$94),Input!$E$94),Input!$F$94),Input!$G$94),Input!$H$94)</f>
        <v>0</v>
      </c>
      <c r="AX100" s="190">
        <f>IF($A100&lt;Input!$H$95,IF($A100&lt;Input!$G$95,IF($A100&lt;Input!$F$95,IF($A100&lt;Input!$E$95,IF($A100&lt;Input!$D$95,Input!$C$96,Input!$D$96),Input!$E$96),Input!$F$96),Input!$G$96),Input!$H$96)</f>
        <v>0.9</v>
      </c>
      <c r="AY100" s="60">
        <f t="shared" si="75"/>
        <v>0</v>
      </c>
      <c r="AZ100" s="60">
        <f t="shared" si="76"/>
        <v>31</v>
      </c>
      <c r="BA100" s="60">
        <f t="shared" si="77"/>
        <v>0</v>
      </c>
      <c r="BB100" s="60">
        <f>ROUND(BA100*AZ100*Input!$C$3/365,0)</f>
        <v>0</v>
      </c>
      <c r="BC100" s="61">
        <f>IF($A100&lt;=Input!$C$6,0,IF('180M'!AY100&lt;'180M'!BA100,'180M'!AY100-BB100,'180M'!BA100))</f>
        <v>0</v>
      </c>
      <c r="BD100" s="61">
        <f t="shared" si="78"/>
        <v>0</v>
      </c>
      <c r="BE100" s="60">
        <f t="shared" si="79"/>
        <v>0</v>
      </c>
      <c r="BF100" s="193"/>
      <c r="BG100" s="169">
        <v>96</v>
      </c>
      <c r="BH100" s="1">
        <f t="shared" si="80"/>
        <v>48441</v>
      </c>
      <c r="BI100" s="60">
        <f>IF($X100&lt;Input!$H$103,IF($X100&lt;Input!$G$103,IF($X100&lt;Input!$F$103,IF($X100&lt;Input!$E$103,IF($X100&lt;Input!$D$103,Input!$C$109,Input!$D$109),Input!$E$109),Input!$F$109),Input!$G$109),Input!$H$109)</f>
        <v>0</v>
      </c>
      <c r="BJ100" s="190">
        <f>IF($A100&lt;Input!$H$110,IF($A100&lt;Input!$G$110,IF($A100&lt;Input!$F$110,IF($A100&lt;Input!$E$110,IF($A100&lt;Input!$D$110,Input!$C$111,Input!$D$111),Input!$E$111),Input!$F$111),Input!$G$111),Input!$H$111)</f>
        <v>0.9</v>
      </c>
      <c r="BK100" s="60">
        <f t="shared" si="57"/>
        <v>0</v>
      </c>
      <c r="BL100" s="60">
        <f t="shared" si="81"/>
        <v>31</v>
      </c>
      <c r="BM100" s="60">
        <f t="shared" si="58"/>
        <v>0</v>
      </c>
      <c r="BN100" s="60">
        <f>ROUND(BM100*BL100*Input!$C$3/365,0)</f>
        <v>0</v>
      </c>
      <c r="BO100" s="61">
        <f>IF($A100&lt;=Input!$C$6,0,IF('180M'!BK100&lt;'180M'!BM100,'180M'!BK100-BN100,'180M'!BM100))</f>
        <v>0</v>
      </c>
      <c r="BP100" s="61">
        <f t="shared" si="59"/>
        <v>0</v>
      </c>
      <c r="BQ100" s="60">
        <f t="shared" si="60"/>
        <v>0</v>
      </c>
      <c r="BR100" s="198"/>
    </row>
    <row r="101" spans="1:70" x14ac:dyDescent="0.25">
      <c r="A101" s="169">
        <v>97</v>
      </c>
      <c r="B101" s="1">
        <f t="shared" si="61"/>
        <v>48472</v>
      </c>
      <c r="C101" s="60">
        <f t="shared" si="47"/>
        <v>21781574.999999996</v>
      </c>
      <c r="D101" s="60">
        <f t="shared" si="48"/>
        <v>19603417.499999996</v>
      </c>
      <c r="E101" s="60">
        <f t="shared" si="62"/>
        <v>31</v>
      </c>
      <c r="F101" s="60">
        <f t="shared" si="63"/>
        <v>1431602194.4979434</v>
      </c>
      <c r="G101" s="60">
        <f>ROUND(F101*E101*Input!$C$3/365,0)</f>
        <v>18238220</v>
      </c>
      <c r="H101" s="60">
        <f>IF($A101&lt;=Input!$C$6,0,IF('180M'!D101&lt;'180M'!F101,'180M'!D101-G101,'180M'!F101))</f>
        <v>1365197.4999999963</v>
      </c>
      <c r="I101" s="60">
        <f t="shared" si="64"/>
        <v>19603417.499999996</v>
      </c>
      <c r="J101" s="60">
        <f t="shared" si="65"/>
        <v>1430236996.9979434</v>
      </c>
      <c r="K101" s="203">
        <f>J101/Input!$K$5</f>
        <v>4.7674566566598111</v>
      </c>
      <c r="L101" s="232"/>
      <c r="M101" s="60">
        <f>IF($B101&lt;Input!$H$43,IF($B101&lt;Input!$G$43,IF($B101&lt;Input!$F$43,IF($B101&lt;Input!$E$43,IF($B101&lt;Input!$D$43,Input!$C$49,Input!$D$49),Input!$E$49),Input!$F$49),Input!$G$49),Input!$H$49)</f>
        <v>21781574.999999996</v>
      </c>
      <c r="N101" s="190">
        <f>IF($A101&lt;Input!$H$50,IF($A101&lt;Input!$G$50,IF($A101&lt;Input!$F$50,IF($A101&lt;Input!$E$50,IF($A101&lt;Input!$D$50,Input!$C$51,Input!$D$51),Input!$E$51),Input!$F$51),Input!$G$51),Input!$H$51)</f>
        <v>0.9</v>
      </c>
      <c r="O101" s="60">
        <f t="shared" si="82"/>
        <v>19603417.499999996</v>
      </c>
      <c r="P101" s="60">
        <f t="shared" ref="P101:P132" si="83">B101-B100</f>
        <v>31</v>
      </c>
      <c r="Q101" s="60">
        <f t="shared" si="50"/>
        <v>1431602194.4979434</v>
      </c>
      <c r="R101" s="60">
        <f>ROUND(Q101*$P101*Input!$C$3/365,0)</f>
        <v>18238220</v>
      </c>
      <c r="S101" s="60">
        <f>IF(A101&lt;=Input!$C$6,0,IF('180M'!O101&lt;'180M'!Q101,'180M'!O101-R101,'180M'!Q101))</f>
        <v>1365197.4999999963</v>
      </c>
      <c r="T101" s="60">
        <f t="shared" si="51"/>
        <v>19603417.499999996</v>
      </c>
      <c r="U101" s="60">
        <f t="shared" si="52"/>
        <v>1430236996.9979434</v>
      </c>
      <c r="V101" s="193"/>
      <c r="W101" s="169">
        <v>97</v>
      </c>
      <c r="X101" s="1">
        <f t="shared" si="66"/>
        <v>48472</v>
      </c>
      <c r="Y101" s="60">
        <f>IF($X101&lt;Input!$H$58,IF($X101&lt;Input!$G$58,IF($X101&lt;Input!$F$58,IF($X101&lt;Input!$E$58,IF($X101&lt;Input!$D$58,Input!$C$64,Input!$D$64),Input!$E$64),Input!$F$64),Input!$G$64),Input!$H$64)</f>
        <v>0</v>
      </c>
      <c r="Z101" s="190">
        <f>IF($A101&lt;Input!$H$65,IF($A101&lt;Input!$G$65,IF($A101&lt;Input!$F$65,IF($A101&lt;Input!$E$65,IF($A101&lt;Input!$D$65,Input!$C$66,Input!$D$66),Input!$E$66),Input!$F$66),Input!$G$66),Input!$H$66)</f>
        <v>0.9</v>
      </c>
      <c r="AA101" s="60">
        <f t="shared" si="53"/>
        <v>0</v>
      </c>
      <c r="AB101" s="60">
        <f t="shared" si="67"/>
        <v>31</v>
      </c>
      <c r="AC101" s="60">
        <f t="shared" si="54"/>
        <v>0</v>
      </c>
      <c r="AD101" s="60">
        <f>ROUND(AC101*AB101*Input!$C$3/365,0)</f>
        <v>0</v>
      </c>
      <c r="AE101" s="61">
        <f>IF($A101&lt;=Input!$C$6,0,IF('180M'!AA101&lt;'180M'!AC101,'180M'!AA101-AD101,'180M'!AC101))</f>
        <v>0</v>
      </c>
      <c r="AF101" s="61">
        <f t="shared" si="55"/>
        <v>0</v>
      </c>
      <c r="AG101" s="60">
        <f t="shared" si="56"/>
        <v>0</v>
      </c>
      <c r="AH101" s="193"/>
      <c r="AI101" s="169">
        <v>97</v>
      </c>
      <c r="AJ101" s="1">
        <f t="shared" si="68"/>
        <v>48472</v>
      </c>
      <c r="AK101" s="60">
        <f>IF($X101&lt;Input!$H$73,IF($X101&lt;Input!$G$73,IF($X101&lt;Input!$F$73,IF($X101&lt;Input!$E$73,IF($X101&lt;Input!$D$73,Input!$C$79,Input!$D$79),Input!$E$79),Input!$F$79),Input!$G$79),Input!$H$79)</f>
        <v>0</v>
      </c>
      <c r="AL101" s="190">
        <f>IF($A101&lt;Input!$H$80,IF($A101&lt;Input!$G$80,IF($A101&lt;Input!$F$80,IF($A101&lt;Input!$E$80,IF($A101&lt;Input!$D$80,Input!$C$81,Input!$D$81),Input!$E$81),Input!$F$81),Input!$G$81),Input!$H$81)</f>
        <v>0.9</v>
      </c>
      <c r="AM101" s="60">
        <f t="shared" si="69"/>
        <v>0</v>
      </c>
      <c r="AN101" s="60">
        <f t="shared" si="70"/>
        <v>31</v>
      </c>
      <c r="AO101" s="60">
        <f t="shared" si="71"/>
        <v>0</v>
      </c>
      <c r="AP101" s="60">
        <f>ROUND(AO101*AN101*Input!$C$3/365,0)</f>
        <v>0</v>
      </c>
      <c r="AQ101" s="61">
        <f>IF($A101&lt;=Input!$C$6,0,IF('180M'!AM101&lt;'180M'!AO101,'180M'!AM101-AP101,'180M'!AO101))</f>
        <v>0</v>
      </c>
      <c r="AR101" s="61">
        <f t="shared" si="72"/>
        <v>0</v>
      </c>
      <c r="AS101" s="60">
        <f t="shared" si="73"/>
        <v>0</v>
      </c>
      <c r="AT101" s="193"/>
      <c r="AU101" s="169">
        <v>97</v>
      </c>
      <c r="AV101" s="1">
        <f t="shared" si="74"/>
        <v>48472</v>
      </c>
      <c r="AW101" s="60">
        <f>IF($X101&lt;Input!$H$88,IF($X101&lt;Input!$G$88,IF($X101&lt;Input!$F$88,IF($X101&lt;Input!$E$88,IF($X101&lt;Input!$D$88,Input!$C$94,Input!$D$94),Input!$E$94),Input!$F$94),Input!$G$94),Input!$H$94)</f>
        <v>0</v>
      </c>
      <c r="AX101" s="190">
        <f>IF($A101&lt;Input!$H$95,IF($A101&lt;Input!$G$95,IF($A101&lt;Input!$F$95,IF($A101&lt;Input!$E$95,IF($A101&lt;Input!$D$95,Input!$C$96,Input!$D$96),Input!$E$96),Input!$F$96),Input!$G$96),Input!$H$96)</f>
        <v>0.9</v>
      </c>
      <c r="AY101" s="60">
        <f t="shared" si="75"/>
        <v>0</v>
      </c>
      <c r="AZ101" s="60">
        <f t="shared" si="76"/>
        <v>31</v>
      </c>
      <c r="BA101" s="60">
        <f t="shared" si="77"/>
        <v>0</v>
      </c>
      <c r="BB101" s="60">
        <f>ROUND(BA101*AZ101*Input!$C$3/365,0)</f>
        <v>0</v>
      </c>
      <c r="BC101" s="61">
        <f>IF($A101&lt;=Input!$C$6,0,IF('180M'!AY101&lt;'180M'!BA101,'180M'!AY101-BB101,'180M'!BA101))</f>
        <v>0</v>
      </c>
      <c r="BD101" s="61">
        <f t="shared" si="78"/>
        <v>0</v>
      </c>
      <c r="BE101" s="60">
        <f t="shared" si="79"/>
        <v>0</v>
      </c>
      <c r="BF101" s="193"/>
      <c r="BG101" s="169">
        <v>97</v>
      </c>
      <c r="BH101" s="1">
        <f t="shared" si="80"/>
        <v>48472</v>
      </c>
      <c r="BI101" s="60">
        <f>IF($X101&lt;Input!$H$103,IF($X101&lt;Input!$G$103,IF($X101&lt;Input!$F$103,IF($X101&lt;Input!$E$103,IF($X101&lt;Input!$D$103,Input!$C$109,Input!$D$109),Input!$E$109),Input!$F$109),Input!$G$109),Input!$H$109)</f>
        <v>0</v>
      </c>
      <c r="BJ101" s="190">
        <f>IF($A101&lt;Input!$H$110,IF($A101&lt;Input!$G$110,IF($A101&lt;Input!$F$110,IF($A101&lt;Input!$E$110,IF($A101&lt;Input!$D$110,Input!$C$111,Input!$D$111),Input!$E$111),Input!$F$111),Input!$G$111),Input!$H$111)</f>
        <v>0.9</v>
      </c>
      <c r="BK101" s="60">
        <f t="shared" si="57"/>
        <v>0</v>
      </c>
      <c r="BL101" s="60">
        <f t="shared" si="81"/>
        <v>31</v>
      </c>
      <c r="BM101" s="60">
        <f t="shared" si="58"/>
        <v>0</v>
      </c>
      <c r="BN101" s="60">
        <f>ROUND(BM101*BL101*Input!$C$3/365,0)</f>
        <v>0</v>
      </c>
      <c r="BO101" s="61">
        <f>IF($A101&lt;=Input!$C$6,0,IF('180M'!BK101&lt;'180M'!BM101,'180M'!BK101-BN101,'180M'!BM101))</f>
        <v>0</v>
      </c>
      <c r="BP101" s="61">
        <f t="shared" si="59"/>
        <v>0</v>
      </c>
      <c r="BQ101" s="60">
        <f t="shared" si="60"/>
        <v>0</v>
      </c>
      <c r="BR101" s="198"/>
    </row>
    <row r="102" spans="1:70" x14ac:dyDescent="0.25">
      <c r="A102" s="169">
        <v>98</v>
      </c>
      <c r="B102" s="1">
        <f t="shared" si="61"/>
        <v>48502</v>
      </c>
      <c r="C102" s="60">
        <f t="shared" si="47"/>
        <v>21781574.999999996</v>
      </c>
      <c r="D102" s="60">
        <f t="shared" si="48"/>
        <v>19603417.499999996</v>
      </c>
      <c r="E102" s="60">
        <f t="shared" si="62"/>
        <v>30</v>
      </c>
      <c r="F102" s="60">
        <f t="shared" si="63"/>
        <v>1430236996.9979434</v>
      </c>
      <c r="G102" s="60">
        <f>ROUND(F102*E102*Input!$C$3/365,0)</f>
        <v>17633059</v>
      </c>
      <c r="H102" s="60">
        <f>IF($A102&lt;=Input!$C$6,0,IF('180M'!D102&lt;'180M'!F102,'180M'!D102-G102,'180M'!F102))</f>
        <v>1970358.4999999963</v>
      </c>
      <c r="I102" s="60">
        <f t="shared" si="64"/>
        <v>19603417.499999996</v>
      </c>
      <c r="J102" s="60">
        <f t="shared" si="65"/>
        <v>1428266638.4979434</v>
      </c>
      <c r="K102" s="203">
        <f>J102/Input!$K$5</f>
        <v>4.7608887949931447</v>
      </c>
      <c r="L102" s="232"/>
      <c r="M102" s="60">
        <f>IF($B102&lt;Input!$H$43,IF($B102&lt;Input!$G$43,IF($B102&lt;Input!$F$43,IF($B102&lt;Input!$E$43,IF($B102&lt;Input!$D$43,Input!$C$49,Input!$D$49),Input!$E$49),Input!$F$49),Input!$G$49),Input!$H$49)</f>
        <v>21781574.999999996</v>
      </c>
      <c r="N102" s="190">
        <f>IF($A102&lt;Input!$H$50,IF($A102&lt;Input!$G$50,IF($A102&lt;Input!$F$50,IF($A102&lt;Input!$E$50,IF($A102&lt;Input!$D$50,Input!$C$51,Input!$D$51),Input!$E$51),Input!$F$51),Input!$G$51),Input!$H$51)</f>
        <v>0.9</v>
      </c>
      <c r="O102" s="60">
        <f t="shared" si="82"/>
        <v>19603417.499999996</v>
      </c>
      <c r="P102" s="60">
        <f t="shared" si="83"/>
        <v>30</v>
      </c>
      <c r="Q102" s="60">
        <f t="shared" si="50"/>
        <v>1430236996.9979434</v>
      </c>
      <c r="R102" s="60">
        <f>ROUND(Q102*$P102*Input!$C$3/365,0)</f>
        <v>17633059</v>
      </c>
      <c r="S102" s="60">
        <f>IF(A102&lt;=Input!$C$6,0,IF('180M'!O102&lt;'180M'!Q102,'180M'!O102-R102,'180M'!Q102))</f>
        <v>1970358.4999999963</v>
      </c>
      <c r="T102" s="60">
        <f t="shared" si="51"/>
        <v>19603417.499999996</v>
      </c>
      <c r="U102" s="60">
        <f t="shared" si="52"/>
        <v>1428266638.4979434</v>
      </c>
      <c r="V102" s="193"/>
      <c r="W102" s="169">
        <v>98</v>
      </c>
      <c r="X102" s="1">
        <f t="shared" si="66"/>
        <v>48502</v>
      </c>
      <c r="Y102" s="60">
        <f>IF($X102&lt;Input!$H$58,IF($X102&lt;Input!$G$58,IF($X102&lt;Input!$F$58,IF($X102&lt;Input!$E$58,IF($X102&lt;Input!$D$58,Input!$C$64,Input!$D$64),Input!$E$64),Input!$F$64),Input!$G$64),Input!$H$64)</f>
        <v>0</v>
      </c>
      <c r="Z102" s="190">
        <f>IF($A102&lt;Input!$H$65,IF($A102&lt;Input!$G$65,IF($A102&lt;Input!$F$65,IF($A102&lt;Input!$E$65,IF($A102&lt;Input!$D$65,Input!$C$66,Input!$D$66),Input!$E$66),Input!$F$66),Input!$G$66),Input!$H$66)</f>
        <v>0.9</v>
      </c>
      <c r="AA102" s="60">
        <f t="shared" si="53"/>
        <v>0</v>
      </c>
      <c r="AB102" s="60">
        <f t="shared" si="67"/>
        <v>30</v>
      </c>
      <c r="AC102" s="60">
        <f t="shared" si="54"/>
        <v>0</v>
      </c>
      <c r="AD102" s="60">
        <f>ROUND(AC102*AB102*Input!$C$3/365,0)</f>
        <v>0</v>
      </c>
      <c r="AE102" s="61">
        <f>IF($A102&lt;=Input!$C$6,0,IF('180M'!AA102&lt;'180M'!AC102,'180M'!AA102-AD102,'180M'!AC102))</f>
        <v>0</v>
      </c>
      <c r="AF102" s="61">
        <f t="shared" si="55"/>
        <v>0</v>
      </c>
      <c r="AG102" s="60">
        <f t="shared" si="56"/>
        <v>0</v>
      </c>
      <c r="AH102" s="193"/>
      <c r="AI102" s="169">
        <v>98</v>
      </c>
      <c r="AJ102" s="1">
        <f t="shared" si="68"/>
        <v>48502</v>
      </c>
      <c r="AK102" s="60">
        <f>IF($X102&lt;Input!$H$73,IF($X102&lt;Input!$G$73,IF($X102&lt;Input!$F$73,IF($X102&lt;Input!$E$73,IF($X102&lt;Input!$D$73,Input!$C$79,Input!$D$79),Input!$E$79),Input!$F$79),Input!$G$79),Input!$H$79)</f>
        <v>0</v>
      </c>
      <c r="AL102" s="190">
        <f>IF($A102&lt;Input!$H$80,IF($A102&lt;Input!$G$80,IF($A102&lt;Input!$F$80,IF($A102&lt;Input!$E$80,IF($A102&lt;Input!$D$80,Input!$C$81,Input!$D$81),Input!$E$81),Input!$F$81),Input!$G$81),Input!$H$81)</f>
        <v>0.9</v>
      </c>
      <c r="AM102" s="60">
        <f t="shared" si="69"/>
        <v>0</v>
      </c>
      <c r="AN102" s="60">
        <f t="shared" si="70"/>
        <v>30</v>
      </c>
      <c r="AO102" s="60">
        <f t="shared" si="71"/>
        <v>0</v>
      </c>
      <c r="AP102" s="60">
        <f>ROUND(AO102*AN102*Input!$C$3/365,0)</f>
        <v>0</v>
      </c>
      <c r="AQ102" s="61">
        <f>IF($A102&lt;=Input!$C$6,0,IF('180M'!AM102&lt;'180M'!AO102,'180M'!AM102-AP102,'180M'!AO102))</f>
        <v>0</v>
      </c>
      <c r="AR102" s="61">
        <f t="shared" si="72"/>
        <v>0</v>
      </c>
      <c r="AS102" s="60">
        <f t="shared" si="73"/>
        <v>0</v>
      </c>
      <c r="AT102" s="193"/>
      <c r="AU102" s="169">
        <v>98</v>
      </c>
      <c r="AV102" s="1">
        <f t="shared" si="74"/>
        <v>48502</v>
      </c>
      <c r="AW102" s="60">
        <f>IF($X102&lt;Input!$H$88,IF($X102&lt;Input!$G$88,IF($X102&lt;Input!$F$88,IF($X102&lt;Input!$E$88,IF($X102&lt;Input!$D$88,Input!$C$94,Input!$D$94),Input!$E$94),Input!$F$94),Input!$G$94),Input!$H$94)</f>
        <v>0</v>
      </c>
      <c r="AX102" s="190">
        <f>IF($A102&lt;Input!$H$95,IF($A102&lt;Input!$G$95,IF($A102&lt;Input!$F$95,IF($A102&lt;Input!$E$95,IF($A102&lt;Input!$D$95,Input!$C$96,Input!$D$96),Input!$E$96),Input!$F$96),Input!$G$96),Input!$H$96)</f>
        <v>0.9</v>
      </c>
      <c r="AY102" s="60">
        <f t="shared" si="75"/>
        <v>0</v>
      </c>
      <c r="AZ102" s="60">
        <f t="shared" si="76"/>
        <v>30</v>
      </c>
      <c r="BA102" s="60">
        <f t="shared" si="77"/>
        <v>0</v>
      </c>
      <c r="BB102" s="60">
        <f>ROUND(BA102*AZ102*Input!$C$3/365,0)</f>
        <v>0</v>
      </c>
      <c r="BC102" s="61">
        <f>IF($A102&lt;=Input!$C$6,0,IF('180M'!AY102&lt;'180M'!BA102,'180M'!AY102-BB102,'180M'!BA102))</f>
        <v>0</v>
      </c>
      <c r="BD102" s="61">
        <f t="shared" si="78"/>
        <v>0</v>
      </c>
      <c r="BE102" s="60">
        <f t="shared" si="79"/>
        <v>0</v>
      </c>
      <c r="BF102" s="193"/>
      <c r="BG102" s="169">
        <v>98</v>
      </c>
      <c r="BH102" s="1">
        <f t="shared" si="80"/>
        <v>48502</v>
      </c>
      <c r="BI102" s="60">
        <f>IF($X102&lt;Input!$H$103,IF($X102&lt;Input!$G$103,IF($X102&lt;Input!$F$103,IF($X102&lt;Input!$E$103,IF($X102&lt;Input!$D$103,Input!$C$109,Input!$D$109),Input!$E$109),Input!$F$109),Input!$G$109),Input!$H$109)</f>
        <v>0</v>
      </c>
      <c r="BJ102" s="190">
        <f>IF($A102&lt;Input!$H$110,IF($A102&lt;Input!$G$110,IF($A102&lt;Input!$F$110,IF($A102&lt;Input!$E$110,IF($A102&lt;Input!$D$110,Input!$C$111,Input!$D$111),Input!$E$111),Input!$F$111),Input!$G$111),Input!$H$111)</f>
        <v>0.9</v>
      </c>
      <c r="BK102" s="60">
        <f t="shared" si="57"/>
        <v>0</v>
      </c>
      <c r="BL102" s="60">
        <f t="shared" si="81"/>
        <v>30</v>
      </c>
      <c r="BM102" s="60">
        <f t="shared" si="58"/>
        <v>0</v>
      </c>
      <c r="BN102" s="60">
        <f>ROUND(BM102*BL102*Input!$C$3/365,0)</f>
        <v>0</v>
      </c>
      <c r="BO102" s="61">
        <f>IF($A102&lt;=Input!$C$6,0,IF('180M'!BK102&lt;'180M'!BM102,'180M'!BK102-BN102,'180M'!BM102))</f>
        <v>0</v>
      </c>
      <c r="BP102" s="61">
        <f t="shared" si="59"/>
        <v>0</v>
      </c>
      <c r="BQ102" s="60">
        <f t="shared" si="60"/>
        <v>0</v>
      </c>
      <c r="BR102" s="198"/>
    </row>
    <row r="103" spans="1:70" x14ac:dyDescent="0.25">
      <c r="A103" s="169">
        <v>99</v>
      </c>
      <c r="B103" s="1">
        <f t="shared" si="61"/>
        <v>48533</v>
      </c>
      <c r="C103" s="60">
        <f t="shared" si="47"/>
        <v>21781574.999999996</v>
      </c>
      <c r="D103" s="60">
        <f t="shared" si="48"/>
        <v>19603417.499999996</v>
      </c>
      <c r="E103" s="60">
        <f t="shared" si="62"/>
        <v>31</v>
      </c>
      <c r="F103" s="60">
        <f t="shared" si="63"/>
        <v>1428266638.4979434</v>
      </c>
      <c r="G103" s="60">
        <f>ROUND(F103*E103*Input!$C$3/365,0)</f>
        <v>18195726</v>
      </c>
      <c r="H103" s="60">
        <f>IF($A103&lt;=Input!$C$6,0,IF('180M'!D103&lt;'180M'!F103,'180M'!D103-G103,'180M'!F103))</f>
        <v>1407691.4999999963</v>
      </c>
      <c r="I103" s="60">
        <f t="shared" si="64"/>
        <v>19603417.499999996</v>
      </c>
      <c r="J103" s="60">
        <f t="shared" si="65"/>
        <v>1426858946.9979434</v>
      </c>
      <c r="K103" s="203">
        <f>J103/Input!$K$5</f>
        <v>4.7561964899931448</v>
      </c>
      <c r="L103" s="232"/>
      <c r="M103" s="60">
        <f>IF($B103&lt;Input!$H$43,IF($B103&lt;Input!$G$43,IF($B103&lt;Input!$F$43,IF($B103&lt;Input!$E$43,IF($B103&lt;Input!$D$43,Input!$C$49,Input!$D$49),Input!$E$49),Input!$F$49),Input!$G$49),Input!$H$49)</f>
        <v>21781574.999999996</v>
      </c>
      <c r="N103" s="190">
        <f>IF($A103&lt;Input!$H$50,IF($A103&lt;Input!$G$50,IF($A103&lt;Input!$F$50,IF($A103&lt;Input!$E$50,IF($A103&lt;Input!$D$50,Input!$C$51,Input!$D$51),Input!$E$51),Input!$F$51),Input!$G$51),Input!$H$51)</f>
        <v>0.9</v>
      </c>
      <c r="O103" s="60">
        <f t="shared" si="82"/>
        <v>19603417.499999996</v>
      </c>
      <c r="P103" s="60">
        <f t="shared" si="83"/>
        <v>31</v>
      </c>
      <c r="Q103" s="60">
        <f t="shared" si="50"/>
        <v>1428266638.4979434</v>
      </c>
      <c r="R103" s="60">
        <f>ROUND(Q103*$P103*Input!$C$3/365,0)</f>
        <v>18195726</v>
      </c>
      <c r="S103" s="60">
        <f>IF(A103&lt;=Input!$C$6,0,IF('180M'!O103&lt;'180M'!Q103,'180M'!O103-R103,'180M'!Q103))</f>
        <v>1407691.4999999963</v>
      </c>
      <c r="T103" s="60">
        <f t="shared" si="51"/>
        <v>19603417.499999996</v>
      </c>
      <c r="U103" s="60">
        <f t="shared" si="52"/>
        <v>1426858946.9979434</v>
      </c>
      <c r="V103" s="193"/>
      <c r="W103" s="169">
        <v>99</v>
      </c>
      <c r="X103" s="1">
        <f t="shared" si="66"/>
        <v>48533</v>
      </c>
      <c r="Y103" s="60">
        <f>IF($X103&lt;Input!$H$58,IF($X103&lt;Input!$G$58,IF($X103&lt;Input!$F$58,IF($X103&lt;Input!$E$58,IF($X103&lt;Input!$D$58,Input!$C$64,Input!$D$64),Input!$E$64),Input!$F$64),Input!$G$64),Input!$H$64)</f>
        <v>0</v>
      </c>
      <c r="Z103" s="190">
        <f>IF($A103&lt;Input!$H$65,IF($A103&lt;Input!$G$65,IF($A103&lt;Input!$F$65,IF($A103&lt;Input!$E$65,IF($A103&lt;Input!$D$65,Input!$C$66,Input!$D$66),Input!$E$66),Input!$F$66),Input!$G$66),Input!$H$66)</f>
        <v>0.9</v>
      </c>
      <c r="AA103" s="60">
        <f t="shared" si="53"/>
        <v>0</v>
      </c>
      <c r="AB103" s="60">
        <f t="shared" si="67"/>
        <v>31</v>
      </c>
      <c r="AC103" s="60">
        <f t="shared" si="54"/>
        <v>0</v>
      </c>
      <c r="AD103" s="60">
        <f>ROUND(AC103*AB103*Input!$C$3/365,0)</f>
        <v>0</v>
      </c>
      <c r="AE103" s="61">
        <f>IF($A103&lt;=Input!$C$6,0,IF('180M'!AA103&lt;'180M'!AC103,'180M'!AA103-AD103,'180M'!AC103))</f>
        <v>0</v>
      </c>
      <c r="AF103" s="61">
        <f t="shared" si="55"/>
        <v>0</v>
      </c>
      <c r="AG103" s="60">
        <f t="shared" si="56"/>
        <v>0</v>
      </c>
      <c r="AH103" s="193"/>
      <c r="AI103" s="169">
        <v>99</v>
      </c>
      <c r="AJ103" s="1">
        <f t="shared" si="68"/>
        <v>48533</v>
      </c>
      <c r="AK103" s="60">
        <f>IF($X103&lt;Input!$H$73,IF($X103&lt;Input!$G$73,IF($X103&lt;Input!$F$73,IF($X103&lt;Input!$E$73,IF($X103&lt;Input!$D$73,Input!$C$79,Input!$D$79),Input!$E$79),Input!$F$79),Input!$G$79),Input!$H$79)</f>
        <v>0</v>
      </c>
      <c r="AL103" s="190">
        <f>IF($A103&lt;Input!$H$80,IF($A103&lt;Input!$G$80,IF($A103&lt;Input!$F$80,IF($A103&lt;Input!$E$80,IF($A103&lt;Input!$D$80,Input!$C$81,Input!$D$81),Input!$E$81),Input!$F$81),Input!$G$81),Input!$H$81)</f>
        <v>0.9</v>
      </c>
      <c r="AM103" s="60">
        <f t="shared" si="69"/>
        <v>0</v>
      </c>
      <c r="AN103" s="60">
        <f t="shared" si="70"/>
        <v>31</v>
      </c>
      <c r="AO103" s="60">
        <f t="shared" si="71"/>
        <v>0</v>
      </c>
      <c r="AP103" s="60">
        <f>ROUND(AO103*AN103*Input!$C$3/365,0)</f>
        <v>0</v>
      </c>
      <c r="AQ103" s="61">
        <f>IF($A103&lt;=Input!$C$6,0,IF('180M'!AM103&lt;'180M'!AO103,'180M'!AM103-AP103,'180M'!AO103))</f>
        <v>0</v>
      </c>
      <c r="AR103" s="61">
        <f t="shared" si="72"/>
        <v>0</v>
      </c>
      <c r="AS103" s="60">
        <f t="shared" si="73"/>
        <v>0</v>
      </c>
      <c r="AT103" s="193"/>
      <c r="AU103" s="169">
        <v>99</v>
      </c>
      <c r="AV103" s="1">
        <f t="shared" si="74"/>
        <v>48533</v>
      </c>
      <c r="AW103" s="60">
        <f>IF($X103&lt;Input!$H$88,IF($X103&lt;Input!$G$88,IF($X103&lt;Input!$F$88,IF($X103&lt;Input!$E$88,IF($X103&lt;Input!$D$88,Input!$C$94,Input!$D$94),Input!$E$94),Input!$F$94),Input!$G$94),Input!$H$94)</f>
        <v>0</v>
      </c>
      <c r="AX103" s="190">
        <f>IF($A103&lt;Input!$H$95,IF($A103&lt;Input!$G$95,IF($A103&lt;Input!$F$95,IF($A103&lt;Input!$E$95,IF($A103&lt;Input!$D$95,Input!$C$96,Input!$D$96),Input!$E$96),Input!$F$96),Input!$G$96),Input!$H$96)</f>
        <v>0.9</v>
      </c>
      <c r="AY103" s="60">
        <f t="shared" si="75"/>
        <v>0</v>
      </c>
      <c r="AZ103" s="60">
        <f t="shared" si="76"/>
        <v>31</v>
      </c>
      <c r="BA103" s="60">
        <f t="shared" si="77"/>
        <v>0</v>
      </c>
      <c r="BB103" s="60">
        <f>ROUND(BA103*AZ103*Input!$C$3/365,0)</f>
        <v>0</v>
      </c>
      <c r="BC103" s="61">
        <f>IF($A103&lt;=Input!$C$6,0,IF('180M'!AY103&lt;'180M'!BA103,'180M'!AY103-BB103,'180M'!BA103))</f>
        <v>0</v>
      </c>
      <c r="BD103" s="61">
        <f t="shared" si="78"/>
        <v>0</v>
      </c>
      <c r="BE103" s="60">
        <f t="shared" si="79"/>
        <v>0</v>
      </c>
      <c r="BF103" s="193"/>
      <c r="BG103" s="169">
        <v>99</v>
      </c>
      <c r="BH103" s="1">
        <f t="shared" si="80"/>
        <v>48533</v>
      </c>
      <c r="BI103" s="60">
        <f>IF($X103&lt;Input!$H$103,IF($X103&lt;Input!$G$103,IF($X103&lt;Input!$F$103,IF($X103&lt;Input!$E$103,IF($X103&lt;Input!$D$103,Input!$C$109,Input!$D$109),Input!$E$109),Input!$F$109),Input!$G$109),Input!$H$109)</f>
        <v>0</v>
      </c>
      <c r="BJ103" s="190">
        <f>IF($A103&lt;Input!$H$110,IF($A103&lt;Input!$G$110,IF($A103&lt;Input!$F$110,IF($A103&lt;Input!$E$110,IF($A103&lt;Input!$D$110,Input!$C$111,Input!$D$111),Input!$E$111),Input!$F$111),Input!$G$111),Input!$H$111)</f>
        <v>0.9</v>
      </c>
      <c r="BK103" s="60">
        <f t="shared" si="57"/>
        <v>0</v>
      </c>
      <c r="BL103" s="60">
        <f t="shared" si="81"/>
        <v>31</v>
      </c>
      <c r="BM103" s="60">
        <f t="shared" si="58"/>
        <v>0</v>
      </c>
      <c r="BN103" s="60">
        <f>ROUND(BM103*BL103*Input!$C$3/365,0)</f>
        <v>0</v>
      </c>
      <c r="BO103" s="61">
        <f>IF($A103&lt;=Input!$C$6,0,IF('180M'!BK103&lt;'180M'!BM103,'180M'!BK103-BN103,'180M'!BM103))</f>
        <v>0</v>
      </c>
      <c r="BP103" s="61">
        <f t="shared" si="59"/>
        <v>0</v>
      </c>
      <c r="BQ103" s="60">
        <f t="shared" si="60"/>
        <v>0</v>
      </c>
      <c r="BR103" s="198"/>
    </row>
    <row r="104" spans="1:70" x14ac:dyDescent="0.25">
      <c r="A104" s="169">
        <v>100</v>
      </c>
      <c r="B104" s="1">
        <f t="shared" si="61"/>
        <v>48563</v>
      </c>
      <c r="C104" s="60">
        <f t="shared" si="47"/>
        <v>21781574.999999996</v>
      </c>
      <c r="D104" s="60">
        <f t="shared" si="48"/>
        <v>19603417.499999996</v>
      </c>
      <c r="E104" s="60">
        <f t="shared" si="62"/>
        <v>30</v>
      </c>
      <c r="F104" s="60">
        <f t="shared" si="63"/>
        <v>1426858946.9979434</v>
      </c>
      <c r="G104" s="60">
        <f>ROUND(F104*E104*Input!$C$3/365,0)</f>
        <v>17591412</v>
      </c>
      <c r="H104" s="60">
        <f>IF($A104&lt;=Input!$C$6,0,IF('180M'!D104&lt;'180M'!F104,'180M'!D104-G104,'180M'!F104))</f>
        <v>2012005.4999999963</v>
      </c>
      <c r="I104" s="60">
        <f t="shared" si="64"/>
        <v>19603417.499999996</v>
      </c>
      <c r="J104" s="60">
        <f t="shared" si="65"/>
        <v>1424846941.4979434</v>
      </c>
      <c r="K104" s="203">
        <f>J104/Input!$K$5</f>
        <v>4.7494898049931447</v>
      </c>
      <c r="L104" s="232"/>
      <c r="M104" s="60">
        <f>IF($B104&lt;Input!$H$43,IF($B104&lt;Input!$G$43,IF($B104&lt;Input!$F$43,IF($B104&lt;Input!$E$43,IF($B104&lt;Input!$D$43,Input!$C$49,Input!$D$49),Input!$E$49),Input!$F$49),Input!$G$49),Input!$H$49)</f>
        <v>21781574.999999996</v>
      </c>
      <c r="N104" s="190">
        <f>IF($A104&lt;Input!$H$50,IF($A104&lt;Input!$G$50,IF($A104&lt;Input!$F$50,IF($A104&lt;Input!$E$50,IF($A104&lt;Input!$D$50,Input!$C$51,Input!$D$51),Input!$E$51),Input!$F$51),Input!$G$51),Input!$H$51)</f>
        <v>0.9</v>
      </c>
      <c r="O104" s="60">
        <f t="shared" si="82"/>
        <v>19603417.499999996</v>
      </c>
      <c r="P104" s="60">
        <f t="shared" si="83"/>
        <v>30</v>
      </c>
      <c r="Q104" s="60">
        <f t="shared" si="50"/>
        <v>1426858946.9979434</v>
      </c>
      <c r="R104" s="60">
        <f>ROUND(Q104*$P104*Input!$C$3/365,0)</f>
        <v>17591412</v>
      </c>
      <c r="S104" s="60">
        <f>IF(A104&lt;=Input!$C$6,0,IF('180M'!O104&lt;'180M'!Q104,'180M'!O104-R104,'180M'!Q104))</f>
        <v>2012005.4999999963</v>
      </c>
      <c r="T104" s="60">
        <f t="shared" si="51"/>
        <v>19603417.499999996</v>
      </c>
      <c r="U104" s="60">
        <f t="shared" si="52"/>
        <v>1424846941.4979434</v>
      </c>
      <c r="V104" s="193"/>
      <c r="W104" s="169">
        <v>100</v>
      </c>
      <c r="X104" s="1">
        <f t="shared" si="66"/>
        <v>48563</v>
      </c>
      <c r="Y104" s="60">
        <f>IF($X104&lt;Input!$H$58,IF($X104&lt;Input!$G$58,IF($X104&lt;Input!$F$58,IF($X104&lt;Input!$E$58,IF($X104&lt;Input!$D$58,Input!$C$64,Input!$D$64),Input!$E$64),Input!$F$64),Input!$G$64),Input!$H$64)</f>
        <v>0</v>
      </c>
      <c r="Z104" s="190">
        <f>IF($A104&lt;Input!$H$65,IF($A104&lt;Input!$G$65,IF($A104&lt;Input!$F$65,IF($A104&lt;Input!$E$65,IF($A104&lt;Input!$D$65,Input!$C$66,Input!$D$66),Input!$E$66),Input!$F$66),Input!$G$66),Input!$H$66)</f>
        <v>0.9</v>
      </c>
      <c r="AA104" s="60">
        <f t="shared" si="53"/>
        <v>0</v>
      </c>
      <c r="AB104" s="60">
        <f t="shared" si="67"/>
        <v>30</v>
      </c>
      <c r="AC104" s="60">
        <f t="shared" si="54"/>
        <v>0</v>
      </c>
      <c r="AD104" s="60">
        <f>ROUND(AC104*AB104*Input!$C$3/365,0)</f>
        <v>0</v>
      </c>
      <c r="AE104" s="61">
        <f>IF($A104&lt;=Input!$C$6,0,IF('180M'!AA104&lt;'180M'!AC104,'180M'!AA104-AD104,'180M'!AC104))</f>
        <v>0</v>
      </c>
      <c r="AF104" s="61">
        <f t="shared" si="55"/>
        <v>0</v>
      </c>
      <c r="AG104" s="60">
        <f t="shared" si="56"/>
        <v>0</v>
      </c>
      <c r="AH104" s="193"/>
      <c r="AI104" s="169">
        <v>100</v>
      </c>
      <c r="AJ104" s="1">
        <f t="shared" si="68"/>
        <v>48563</v>
      </c>
      <c r="AK104" s="60">
        <f>IF($X104&lt;Input!$H$73,IF($X104&lt;Input!$G$73,IF($X104&lt;Input!$F$73,IF($X104&lt;Input!$E$73,IF($X104&lt;Input!$D$73,Input!$C$79,Input!$D$79),Input!$E$79),Input!$F$79),Input!$G$79),Input!$H$79)</f>
        <v>0</v>
      </c>
      <c r="AL104" s="190">
        <f>IF($A104&lt;Input!$H$80,IF($A104&lt;Input!$G$80,IF($A104&lt;Input!$F$80,IF($A104&lt;Input!$E$80,IF($A104&lt;Input!$D$80,Input!$C$81,Input!$D$81),Input!$E$81),Input!$F$81),Input!$G$81),Input!$H$81)</f>
        <v>0.9</v>
      </c>
      <c r="AM104" s="60">
        <f t="shared" si="69"/>
        <v>0</v>
      </c>
      <c r="AN104" s="60">
        <f t="shared" si="70"/>
        <v>30</v>
      </c>
      <c r="AO104" s="60">
        <f t="shared" si="71"/>
        <v>0</v>
      </c>
      <c r="AP104" s="60">
        <f>ROUND(AO104*AN104*Input!$C$3/365,0)</f>
        <v>0</v>
      </c>
      <c r="AQ104" s="61">
        <f>IF($A104&lt;=Input!$C$6,0,IF('180M'!AM104&lt;'180M'!AO104,'180M'!AM104-AP104,'180M'!AO104))</f>
        <v>0</v>
      </c>
      <c r="AR104" s="61">
        <f t="shared" si="72"/>
        <v>0</v>
      </c>
      <c r="AS104" s="60">
        <f t="shared" si="73"/>
        <v>0</v>
      </c>
      <c r="AT104" s="193"/>
      <c r="AU104" s="169">
        <v>100</v>
      </c>
      <c r="AV104" s="1">
        <f t="shared" si="74"/>
        <v>48563</v>
      </c>
      <c r="AW104" s="60">
        <f>IF($X104&lt;Input!$H$88,IF($X104&lt;Input!$G$88,IF($X104&lt;Input!$F$88,IF($X104&lt;Input!$E$88,IF($X104&lt;Input!$D$88,Input!$C$94,Input!$D$94),Input!$E$94),Input!$F$94),Input!$G$94),Input!$H$94)</f>
        <v>0</v>
      </c>
      <c r="AX104" s="190">
        <f>IF($A104&lt;Input!$H$95,IF($A104&lt;Input!$G$95,IF($A104&lt;Input!$F$95,IF($A104&lt;Input!$E$95,IF($A104&lt;Input!$D$95,Input!$C$96,Input!$D$96),Input!$E$96),Input!$F$96),Input!$G$96),Input!$H$96)</f>
        <v>0.9</v>
      </c>
      <c r="AY104" s="60">
        <f t="shared" si="75"/>
        <v>0</v>
      </c>
      <c r="AZ104" s="60">
        <f t="shared" si="76"/>
        <v>30</v>
      </c>
      <c r="BA104" s="60">
        <f t="shared" si="77"/>
        <v>0</v>
      </c>
      <c r="BB104" s="60">
        <f>ROUND(BA104*AZ104*Input!$C$3/365,0)</f>
        <v>0</v>
      </c>
      <c r="BC104" s="61">
        <f>IF($A104&lt;=Input!$C$6,0,IF('180M'!AY104&lt;'180M'!BA104,'180M'!AY104-BB104,'180M'!BA104))</f>
        <v>0</v>
      </c>
      <c r="BD104" s="61">
        <f t="shared" si="78"/>
        <v>0</v>
      </c>
      <c r="BE104" s="60">
        <f t="shared" si="79"/>
        <v>0</v>
      </c>
      <c r="BF104" s="193"/>
      <c r="BG104" s="169">
        <v>100</v>
      </c>
      <c r="BH104" s="1">
        <f t="shared" si="80"/>
        <v>48563</v>
      </c>
      <c r="BI104" s="60">
        <f>IF($X104&lt;Input!$H$103,IF($X104&lt;Input!$G$103,IF($X104&lt;Input!$F$103,IF($X104&lt;Input!$E$103,IF($X104&lt;Input!$D$103,Input!$C$109,Input!$D$109),Input!$E$109),Input!$F$109),Input!$G$109),Input!$H$109)</f>
        <v>0</v>
      </c>
      <c r="BJ104" s="190">
        <f>IF($A104&lt;Input!$H$110,IF($A104&lt;Input!$G$110,IF($A104&lt;Input!$F$110,IF($A104&lt;Input!$E$110,IF($A104&lt;Input!$D$110,Input!$C$111,Input!$D$111),Input!$E$111),Input!$F$111),Input!$G$111),Input!$H$111)</f>
        <v>0.9</v>
      </c>
      <c r="BK104" s="60">
        <f t="shared" si="57"/>
        <v>0</v>
      </c>
      <c r="BL104" s="60">
        <f t="shared" si="81"/>
        <v>30</v>
      </c>
      <c r="BM104" s="60">
        <f t="shared" si="58"/>
        <v>0</v>
      </c>
      <c r="BN104" s="60">
        <f>ROUND(BM104*BL104*Input!$C$3/365,0)</f>
        <v>0</v>
      </c>
      <c r="BO104" s="61">
        <f>IF($A104&lt;=Input!$C$6,0,IF('180M'!BK104&lt;'180M'!BM104,'180M'!BK104-BN104,'180M'!BM104))</f>
        <v>0</v>
      </c>
      <c r="BP104" s="61">
        <f t="shared" si="59"/>
        <v>0</v>
      </c>
      <c r="BQ104" s="60">
        <f t="shared" si="60"/>
        <v>0</v>
      </c>
      <c r="BR104" s="198"/>
    </row>
    <row r="105" spans="1:70" x14ac:dyDescent="0.25">
      <c r="A105" s="169">
        <v>101</v>
      </c>
      <c r="B105" s="1">
        <f t="shared" si="61"/>
        <v>48594</v>
      </c>
      <c r="C105" s="60">
        <f t="shared" si="47"/>
        <v>21781574.999999996</v>
      </c>
      <c r="D105" s="60">
        <f t="shared" si="48"/>
        <v>19603417.499999996</v>
      </c>
      <c r="E105" s="60">
        <f t="shared" si="62"/>
        <v>31</v>
      </c>
      <c r="F105" s="60">
        <f t="shared" si="63"/>
        <v>1424846941.4979434</v>
      </c>
      <c r="G105" s="60">
        <f>ROUND(F105*E105*Input!$C$3/365,0)</f>
        <v>18152160</v>
      </c>
      <c r="H105" s="60">
        <f>IF($A105&lt;=Input!$C$6,0,IF('180M'!D105&lt;'180M'!F105,'180M'!D105-G105,'180M'!F105))</f>
        <v>1451257.4999999963</v>
      </c>
      <c r="I105" s="60">
        <f t="shared" si="64"/>
        <v>19603417.499999996</v>
      </c>
      <c r="J105" s="60">
        <f t="shared" si="65"/>
        <v>1423395683.9979434</v>
      </c>
      <c r="K105" s="203">
        <f>J105/Input!$K$5</f>
        <v>4.7446522799931445</v>
      </c>
      <c r="L105" s="232"/>
      <c r="M105" s="60">
        <f>IF($B105&lt;Input!$H$43,IF($B105&lt;Input!$G$43,IF($B105&lt;Input!$F$43,IF($B105&lt;Input!$E$43,IF($B105&lt;Input!$D$43,Input!$C$49,Input!$D$49),Input!$E$49),Input!$F$49),Input!$G$49),Input!$H$49)</f>
        <v>21781574.999999996</v>
      </c>
      <c r="N105" s="190">
        <f>IF($A105&lt;Input!$H$50,IF($A105&lt;Input!$G$50,IF($A105&lt;Input!$F$50,IF($A105&lt;Input!$E$50,IF($A105&lt;Input!$D$50,Input!$C$51,Input!$D$51),Input!$E$51),Input!$F$51),Input!$G$51),Input!$H$51)</f>
        <v>0.9</v>
      </c>
      <c r="O105" s="60">
        <f t="shared" si="82"/>
        <v>19603417.499999996</v>
      </c>
      <c r="P105" s="60">
        <f t="shared" si="83"/>
        <v>31</v>
      </c>
      <c r="Q105" s="60">
        <f t="shared" si="50"/>
        <v>1424846941.4979434</v>
      </c>
      <c r="R105" s="60">
        <f>ROUND(Q105*$P105*Input!$C$3/365,0)</f>
        <v>18152160</v>
      </c>
      <c r="S105" s="60">
        <f>IF(A105&lt;=Input!$C$6,0,IF('180M'!O105&lt;'180M'!Q105,'180M'!O105-R105,'180M'!Q105))</f>
        <v>1451257.4999999963</v>
      </c>
      <c r="T105" s="60">
        <f t="shared" si="51"/>
        <v>19603417.499999996</v>
      </c>
      <c r="U105" s="60">
        <f t="shared" si="52"/>
        <v>1423395683.9979434</v>
      </c>
      <c r="V105" s="193"/>
      <c r="W105" s="169">
        <v>101</v>
      </c>
      <c r="X105" s="1">
        <f t="shared" si="66"/>
        <v>48594</v>
      </c>
      <c r="Y105" s="60">
        <f>IF($X105&lt;Input!$H$58,IF($X105&lt;Input!$G$58,IF($X105&lt;Input!$F$58,IF($X105&lt;Input!$E$58,IF($X105&lt;Input!$D$58,Input!$C$64,Input!$D$64),Input!$E$64),Input!$F$64),Input!$G$64),Input!$H$64)</f>
        <v>0</v>
      </c>
      <c r="Z105" s="190">
        <f>IF($A105&lt;Input!$H$65,IF($A105&lt;Input!$G$65,IF($A105&lt;Input!$F$65,IF($A105&lt;Input!$E$65,IF($A105&lt;Input!$D$65,Input!$C$66,Input!$D$66),Input!$E$66),Input!$F$66),Input!$G$66),Input!$H$66)</f>
        <v>0.9</v>
      </c>
      <c r="AA105" s="60">
        <f t="shared" si="53"/>
        <v>0</v>
      </c>
      <c r="AB105" s="60">
        <f t="shared" si="67"/>
        <v>31</v>
      </c>
      <c r="AC105" s="60">
        <f t="shared" si="54"/>
        <v>0</v>
      </c>
      <c r="AD105" s="60">
        <f>ROUND(AC105*AB105*Input!$C$3/365,0)</f>
        <v>0</v>
      </c>
      <c r="AE105" s="61">
        <f>IF($A105&lt;=Input!$C$6,0,IF('180M'!AA105&lt;'180M'!AC105,'180M'!AA105-AD105,'180M'!AC105))</f>
        <v>0</v>
      </c>
      <c r="AF105" s="61">
        <f t="shared" si="55"/>
        <v>0</v>
      </c>
      <c r="AG105" s="60">
        <f t="shared" si="56"/>
        <v>0</v>
      </c>
      <c r="AH105" s="193"/>
      <c r="AI105" s="169">
        <v>101</v>
      </c>
      <c r="AJ105" s="1">
        <f t="shared" si="68"/>
        <v>48594</v>
      </c>
      <c r="AK105" s="60">
        <f>IF($X105&lt;Input!$H$73,IF($X105&lt;Input!$G$73,IF($X105&lt;Input!$F$73,IF($X105&lt;Input!$E$73,IF($X105&lt;Input!$D$73,Input!$C$79,Input!$D$79),Input!$E$79),Input!$F$79),Input!$G$79),Input!$H$79)</f>
        <v>0</v>
      </c>
      <c r="AL105" s="190">
        <f>IF($A105&lt;Input!$H$80,IF($A105&lt;Input!$G$80,IF($A105&lt;Input!$F$80,IF($A105&lt;Input!$E$80,IF($A105&lt;Input!$D$80,Input!$C$81,Input!$D$81),Input!$E$81),Input!$F$81),Input!$G$81),Input!$H$81)</f>
        <v>0.9</v>
      </c>
      <c r="AM105" s="60">
        <f t="shared" si="69"/>
        <v>0</v>
      </c>
      <c r="AN105" s="60">
        <f t="shared" si="70"/>
        <v>31</v>
      </c>
      <c r="AO105" s="60">
        <f t="shared" si="71"/>
        <v>0</v>
      </c>
      <c r="AP105" s="60">
        <f>ROUND(AO105*AN105*Input!$C$3/365,0)</f>
        <v>0</v>
      </c>
      <c r="AQ105" s="61">
        <f>IF($A105&lt;=Input!$C$6,0,IF('180M'!AM105&lt;'180M'!AO105,'180M'!AM105-AP105,'180M'!AO105))</f>
        <v>0</v>
      </c>
      <c r="AR105" s="61">
        <f t="shared" si="72"/>
        <v>0</v>
      </c>
      <c r="AS105" s="60">
        <f t="shared" si="73"/>
        <v>0</v>
      </c>
      <c r="AT105" s="193"/>
      <c r="AU105" s="169">
        <v>101</v>
      </c>
      <c r="AV105" s="1">
        <f t="shared" si="74"/>
        <v>48594</v>
      </c>
      <c r="AW105" s="60">
        <f>IF($X105&lt;Input!$H$88,IF($X105&lt;Input!$G$88,IF($X105&lt;Input!$F$88,IF($X105&lt;Input!$E$88,IF($X105&lt;Input!$D$88,Input!$C$94,Input!$D$94),Input!$E$94),Input!$F$94),Input!$G$94),Input!$H$94)</f>
        <v>0</v>
      </c>
      <c r="AX105" s="190">
        <f>IF($A105&lt;Input!$H$95,IF($A105&lt;Input!$G$95,IF($A105&lt;Input!$F$95,IF($A105&lt;Input!$E$95,IF($A105&lt;Input!$D$95,Input!$C$96,Input!$D$96),Input!$E$96),Input!$F$96),Input!$G$96),Input!$H$96)</f>
        <v>0.9</v>
      </c>
      <c r="AY105" s="60">
        <f t="shared" si="75"/>
        <v>0</v>
      </c>
      <c r="AZ105" s="60">
        <f t="shared" si="76"/>
        <v>31</v>
      </c>
      <c r="BA105" s="60">
        <f t="shared" si="77"/>
        <v>0</v>
      </c>
      <c r="BB105" s="60">
        <f>ROUND(BA105*AZ105*Input!$C$3/365,0)</f>
        <v>0</v>
      </c>
      <c r="BC105" s="61">
        <f>IF($A105&lt;=Input!$C$6,0,IF('180M'!AY105&lt;'180M'!BA105,'180M'!AY105-BB105,'180M'!BA105))</f>
        <v>0</v>
      </c>
      <c r="BD105" s="61">
        <f t="shared" si="78"/>
        <v>0</v>
      </c>
      <c r="BE105" s="60">
        <f t="shared" si="79"/>
        <v>0</v>
      </c>
      <c r="BF105" s="193"/>
      <c r="BG105" s="169">
        <v>101</v>
      </c>
      <c r="BH105" s="1">
        <f t="shared" si="80"/>
        <v>48594</v>
      </c>
      <c r="BI105" s="60">
        <f>IF($X105&lt;Input!$H$103,IF($X105&lt;Input!$G$103,IF($X105&lt;Input!$F$103,IF($X105&lt;Input!$E$103,IF($X105&lt;Input!$D$103,Input!$C$109,Input!$D$109),Input!$E$109),Input!$F$109),Input!$G$109),Input!$H$109)</f>
        <v>0</v>
      </c>
      <c r="BJ105" s="190">
        <f>IF($A105&lt;Input!$H$110,IF($A105&lt;Input!$G$110,IF($A105&lt;Input!$F$110,IF($A105&lt;Input!$E$110,IF($A105&lt;Input!$D$110,Input!$C$111,Input!$D$111),Input!$E$111),Input!$F$111),Input!$G$111),Input!$H$111)</f>
        <v>0.9</v>
      </c>
      <c r="BK105" s="60">
        <f t="shared" si="57"/>
        <v>0</v>
      </c>
      <c r="BL105" s="60">
        <f t="shared" si="81"/>
        <v>31</v>
      </c>
      <c r="BM105" s="60">
        <f t="shared" si="58"/>
        <v>0</v>
      </c>
      <c r="BN105" s="60">
        <f>ROUND(BM105*BL105*Input!$C$3/365,0)</f>
        <v>0</v>
      </c>
      <c r="BO105" s="61">
        <f>IF($A105&lt;=Input!$C$6,0,IF('180M'!BK105&lt;'180M'!BM105,'180M'!BK105-BN105,'180M'!BM105))</f>
        <v>0</v>
      </c>
      <c r="BP105" s="61">
        <f t="shared" si="59"/>
        <v>0</v>
      </c>
      <c r="BQ105" s="60">
        <f t="shared" si="60"/>
        <v>0</v>
      </c>
      <c r="BR105" s="198"/>
    </row>
    <row r="106" spans="1:70" x14ac:dyDescent="0.25">
      <c r="A106" s="169">
        <v>102</v>
      </c>
      <c r="B106" s="1">
        <f t="shared" si="61"/>
        <v>48625</v>
      </c>
      <c r="C106" s="60">
        <f t="shared" si="47"/>
        <v>21781574.999999996</v>
      </c>
      <c r="D106" s="60">
        <f t="shared" si="48"/>
        <v>19603417.499999996</v>
      </c>
      <c r="E106" s="60">
        <f t="shared" si="62"/>
        <v>31</v>
      </c>
      <c r="F106" s="60">
        <f t="shared" si="63"/>
        <v>1423395683.9979434</v>
      </c>
      <c r="G106" s="60">
        <f>ROUND(F106*E106*Input!$C$3/365,0)</f>
        <v>18133671</v>
      </c>
      <c r="H106" s="60">
        <f>IF($A106&lt;=Input!$C$6,0,IF('180M'!D106&lt;'180M'!F106,'180M'!D106-G106,'180M'!F106))</f>
        <v>1469746.4999999963</v>
      </c>
      <c r="I106" s="60">
        <f t="shared" si="64"/>
        <v>19603417.499999996</v>
      </c>
      <c r="J106" s="60">
        <f t="shared" si="65"/>
        <v>1421925937.4979434</v>
      </c>
      <c r="K106" s="203">
        <f>J106/Input!$K$5</f>
        <v>4.7397531249931451</v>
      </c>
      <c r="L106" s="232"/>
      <c r="M106" s="60">
        <f>IF($B106&lt;Input!$H$43,IF($B106&lt;Input!$G$43,IF($B106&lt;Input!$F$43,IF($B106&lt;Input!$E$43,IF($B106&lt;Input!$D$43,Input!$C$49,Input!$D$49),Input!$E$49),Input!$F$49),Input!$G$49),Input!$H$49)</f>
        <v>21781574.999999996</v>
      </c>
      <c r="N106" s="190">
        <f>IF($A106&lt;Input!$H$50,IF($A106&lt;Input!$G$50,IF($A106&lt;Input!$F$50,IF($A106&lt;Input!$E$50,IF($A106&lt;Input!$D$50,Input!$C$51,Input!$D$51),Input!$E$51),Input!$F$51),Input!$G$51),Input!$H$51)</f>
        <v>0.9</v>
      </c>
      <c r="O106" s="60">
        <f t="shared" si="82"/>
        <v>19603417.499999996</v>
      </c>
      <c r="P106" s="60">
        <f t="shared" si="83"/>
        <v>31</v>
      </c>
      <c r="Q106" s="60">
        <f t="shared" si="50"/>
        <v>1423395683.9979434</v>
      </c>
      <c r="R106" s="60">
        <f>ROUND(Q106*$P106*Input!$C$3/365,0)</f>
        <v>18133671</v>
      </c>
      <c r="S106" s="60">
        <f>IF(A106&lt;=Input!$C$6,0,IF('180M'!O106&lt;'180M'!Q106,'180M'!O106-R106,'180M'!Q106))</f>
        <v>1469746.4999999963</v>
      </c>
      <c r="T106" s="60">
        <f t="shared" si="51"/>
        <v>19603417.499999996</v>
      </c>
      <c r="U106" s="60">
        <f t="shared" si="52"/>
        <v>1421925937.4979434</v>
      </c>
      <c r="V106" s="193"/>
      <c r="W106" s="169">
        <v>102</v>
      </c>
      <c r="X106" s="1">
        <f t="shared" si="66"/>
        <v>48625</v>
      </c>
      <c r="Y106" s="60">
        <f>IF($X106&lt;Input!$H$58,IF($X106&lt;Input!$G$58,IF($X106&lt;Input!$F$58,IF($X106&lt;Input!$E$58,IF($X106&lt;Input!$D$58,Input!$C$64,Input!$D$64),Input!$E$64),Input!$F$64),Input!$G$64),Input!$H$64)</f>
        <v>0</v>
      </c>
      <c r="Z106" s="190">
        <f>IF($A106&lt;Input!$H$65,IF($A106&lt;Input!$G$65,IF($A106&lt;Input!$F$65,IF($A106&lt;Input!$E$65,IF($A106&lt;Input!$D$65,Input!$C$66,Input!$D$66),Input!$E$66),Input!$F$66),Input!$G$66),Input!$H$66)</f>
        <v>0.9</v>
      </c>
      <c r="AA106" s="60">
        <f t="shared" si="53"/>
        <v>0</v>
      </c>
      <c r="AB106" s="60">
        <f t="shared" si="67"/>
        <v>31</v>
      </c>
      <c r="AC106" s="60">
        <f t="shared" si="54"/>
        <v>0</v>
      </c>
      <c r="AD106" s="60">
        <f>ROUND(AC106*AB106*Input!$C$3/365,0)</f>
        <v>0</v>
      </c>
      <c r="AE106" s="61">
        <f>IF($A106&lt;=Input!$C$6,0,IF('180M'!AA106&lt;'180M'!AC106,'180M'!AA106-AD106,'180M'!AC106))</f>
        <v>0</v>
      </c>
      <c r="AF106" s="61">
        <f t="shared" si="55"/>
        <v>0</v>
      </c>
      <c r="AG106" s="60">
        <f t="shared" si="56"/>
        <v>0</v>
      </c>
      <c r="AH106" s="193"/>
      <c r="AI106" s="169">
        <v>102</v>
      </c>
      <c r="AJ106" s="1">
        <f t="shared" si="68"/>
        <v>48625</v>
      </c>
      <c r="AK106" s="60">
        <f>IF($X106&lt;Input!$H$73,IF($X106&lt;Input!$G$73,IF($X106&lt;Input!$F$73,IF($X106&lt;Input!$E$73,IF($X106&lt;Input!$D$73,Input!$C$79,Input!$D$79),Input!$E$79),Input!$F$79),Input!$G$79),Input!$H$79)</f>
        <v>0</v>
      </c>
      <c r="AL106" s="190">
        <f>IF($A106&lt;Input!$H$80,IF($A106&lt;Input!$G$80,IF($A106&lt;Input!$F$80,IF($A106&lt;Input!$E$80,IF($A106&lt;Input!$D$80,Input!$C$81,Input!$D$81),Input!$E$81),Input!$F$81),Input!$G$81),Input!$H$81)</f>
        <v>0.9</v>
      </c>
      <c r="AM106" s="60">
        <f t="shared" si="69"/>
        <v>0</v>
      </c>
      <c r="AN106" s="60">
        <f t="shared" si="70"/>
        <v>31</v>
      </c>
      <c r="AO106" s="60">
        <f t="shared" si="71"/>
        <v>0</v>
      </c>
      <c r="AP106" s="60">
        <f>ROUND(AO106*AN106*Input!$C$3/365,0)</f>
        <v>0</v>
      </c>
      <c r="AQ106" s="61">
        <f>IF($A106&lt;=Input!$C$6,0,IF('180M'!AM106&lt;'180M'!AO106,'180M'!AM106-AP106,'180M'!AO106))</f>
        <v>0</v>
      </c>
      <c r="AR106" s="61">
        <f t="shared" si="72"/>
        <v>0</v>
      </c>
      <c r="AS106" s="60">
        <f t="shared" si="73"/>
        <v>0</v>
      </c>
      <c r="AT106" s="193"/>
      <c r="AU106" s="169">
        <v>102</v>
      </c>
      <c r="AV106" s="1">
        <f t="shared" si="74"/>
        <v>48625</v>
      </c>
      <c r="AW106" s="60">
        <f>IF($X106&lt;Input!$H$88,IF($X106&lt;Input!$G$88,IF($X106&lt;Input!$F$88,IF($X106&lt;Input!$E$88,IF($X106&lt;Input!$D$88,Input!$C$94,Input!$D$94),Input!$E$94),Input!$F$94),Input!$G$94),Input!$H$94)</f>
        <v>0</v>
      </c>
      <c r="AX106" s="190">
        <f>IF($A106&lt;Input!$H$95,IF($A106&lt;Input!$G$95,IF($A106&lt;Input!$F$95,IF($A106&lt;Input!$E$95,IF($A106&lt;Input!$D$95,Input!$C$96,Input!$D$96),Input!$E$96),Input!$F$96),Input!$G$96),Input!$H$96)</f>
        <v>0.9</v>
      </c>
      <c r="AY106" s="60">
        <f t="shared" si="75"/>
        <v>0</v>
      </c>
      <c r="AZ106" s="60">
        <f t="shared" si="76"/>
        <v>31</v>
      </c>
      <c r="BA106" s="60">
        <f t="shared" si="77"/>
        <v>0</v>
      </c>
      <c r="BB106" s="60">
        <f>ROUND(BA106*AZ106*Input!$C$3/365,0)</f>
        <v>0</v>
      </c>
      <c r="BC106" s="61">
        <f>IF($A106&lt;=Input!$C$6,0,IF('180M'!AY106&lt;'180M'!BA106,'180M'!AY106-BB106,'180M'!BA106))</f>
        <v>0</v>
      </c>
      <c r="BD106" s="61">
        <f t="shared" si="78"/>
        <v>0</v>
      </c>
      <c r="BE106" s="60">
        <f t="shared" si="79"/>
        <v>0</v>
      </c>
      <c r="BF106" s="193"/>
      <c r="BG106" s="169">
        <v>102</v>
      </c>
      <c r="BH106" s="1">
        <f t="shared" si="80"/>
        <v>48625</v>
      </c>
      <c r="BI106" s="60">
        <f>IF($X106&lt;Input!$H$103,IF($X106&lt;Input!$G$103,IF($X106&lt;Input!$F$103,IF($X106&lt;Input!$E$103,IF($X106&lt;Input!$D$103,Input!$C$109,Input!$D$109),Input!$E$109),Input!$F$109),Input!$G$109),Input!$H$109)</f>
        <v>0</v>
      </c>
      <c r="BJ106" s="190">
        <f>IF($A106&lt;Input!$H$110,IF($A106&lt;Input!$G$110,IF($A106&lt;Input!$F$110,IF($A106&lt;Input!$E$110,IF($A106&lt;Input!$D$110,Input!$C$111,Input!$D$111),Input!$E$111),Input!$F$111),Input!$G$111),Input!$H$111)</f>
        <v>0.9</v>
      </c>
      <c r="BK106" s="60">
        <f t="shared" si="57"/>
        <v>0</v>
      </c>
      <c r="BL106" s="60">
        <f t="shared" si="81"/>
        <v>31</v>
      </c>
      <c r="BM106" s="60">
        <f t="shared" si="58"/>
        <v>0</v>
      </c>
      <c r="BN106" s="60">
        <f>ROUND(BM106*BL106*Input!$C$3/365,0)</f>
        <v>0</v>
      </c>
      <c r="BO106" s="61">
        <f>IF($A106&lt;=Input!$C$6,0,IF('180M'!BK106&lt;'180M'!BM106,'180M'!BK106-BN106,'180M'!BM106))</f>
        <v>0</v>
      </c>
      <c r="BP106" s="61">
        <f t="shared" si="59"/>
        <v>0</v>
      </c>
      <c r="BQ106" s="60">
        <f t="shared" si="60"/>
        <v>0</v>
      </c>
      <c r="BR106" s="198"/>
    </row>
    <row r="107" spans="1:70" x14ac:dyDescent="0.25">
      <c r="A107" s="169">
        <v>103</v>
      </c>
      <c r="B107" s="1">
        <f t="shared" si="61"/>
        <v>48653</v>
      </c>
      <c r="C107" s="60">
        <f t="shared" si="47"/>
        <v>21781574.999999996</v>
      </c>
      <c r="D107" s="60">
        <f t="shared" si="48"/>
        <v>19603417.499999996</v>
      </c>
      <c r="E107" s="60">
        <f t="shared" si="62"/>
        <v>28</v>
      </c>
      <c r="F107" s="60">
        <f t="shared" si="63"/>
        <v>1421925937.4979434</v>
      </c>
      <c r="G107" s="60">
        <f>ROUND(F107*E107*Input!$C$3/365,0)</f>
        <v>16361887</v>
      </c>
      <c r="H107" s="60">
        <f>IF($A107&lt;=Input!$C$6,0,IF('180M'!D107&lt;'180M'!F107,'180M'!D107-G107,'180M'!F107))</f>
        <v>3241530.4999999963</v>
      </c>
      <c r="I107" s="60">
        <f t="shared" si="64"/>
        <v>19603417.499999996</v>
      </c>
      <c r="J107" s="60">
        <f t="shared" si="65"/>
        <v>1418684406.9979434</v>
      </c>
      <c r="K107" s="203">
        <f>J107/Input!$K$5</f>
        <v>4.7289480233264776</v>
      </c>
      <c r="L107" s="232"/>
      <c r="M107" s="60">
        <f>IF($B107&lt;Input!$H$43,IF($B107&lt;Input!$G$43,IF($B107&lt;Input!$F$43,IF($B107&lt;Input!$E$43,IF($B107&lt;Input!$D$43,Input!$C$49,Input!$D$49),Input!$E$49),Input!$F$49),Input!$G$49),Input!$H$49)</f>
        <v>21781574.999999996</v>
      </c>
      <c r="N107" s="190">
        <f>IF($A107&lt;Input!$H$50,IF($A107&lt;Input!$G$50,IF($A107&lt;Input!$F$50,IF($A107&lt;Input!$E$50,IF($A107&lt;Input!$D$50,Input!$C$51,Input!$D$51),Input!$E$51),Input!$F$51),Input!$G$51),Input!$H$51)</f>
        <v>0.9</v>
      </c>
      <c r="O107" s="60">
        <f t="shared" si="82"/>
        <v>19603417.499999996</v>
      </c>
      <c r="P107" s="60">
        <f t="shared" si="83"/>
        <v>28</v>
      </c>
      <c r="Q107" s="60">
        <f t="shared" si="50"/>
        <v>1421925937.4979434</v>
      </c>
      <c r="R107" s="60">
        <f>ROUND(Q107*$P107*Input!$C$3/365,0)</f>
        <v>16361887</v>
      </c>
      <c r="S107" s="60">
        <f>IF(A107&lt;=Input!$C$6,0,IF('180M'!O107&lt;'180M'!Q107,'180M'!O107-R107,'180M'!Q107))</f>
        <v>3241530.4999999963</v>
      </c>
      <c r="T107" s="60">
        <f t="shared" si="51"/>
        <v>19603417.499999996</v>
      </c>
      <c r="U107" s="60">
        <f t="shared" si="52"/>
        <v>1418684406.9979434</v>
      </c>
      <c r="V107" s="193"/>
      <c r="W107" s="169">
        <v>103</v>
      </c>
      <c r="X107" s="1">
        <f t="shared" si="66"/>
        <v>48653</v>
      </c>
      <c r="Y107" s="60">
        <f>IF($X107&lt;Input!$H$58,IF($X107&lt;Input!$G$58,IF($X107&lt;Input!$F$58,IF($X107&lt;Input!$E$58,IF($X107&lt;Input!$D$58,Input!$C$64,Input!$D$64),Input!$E$64),Input!$F$64),Input!$G$64),Input!$H$64)</f>
        <v>0</v>
      </c>
      <c r="Z107" s="190">
        <f>IF($A107&lt;Input!$H$65,IF($A107&lt;Input!$G$65,IF($A107&lt;Input!$F$65,IF($A107&lt;Input!$E$65,IF($A107&lt;Input!$D$65,Input!$C$66,Input!$D$66),Input!$E$66),Input!$F$66),Input!$G$66),Input!$H$66)</f>
        <v>0.9</v>
      </c>
      <c r="AA107" s="60">
        <f t="shared" si="53"/>
        <v>0</v>
      </c>
      <c r="AB107" s="60">
        <f t="shared" si="67"/>
        <v>28</v>
      </c>
      <c r="AC107" s="60">
        <f t="shared" si="54"/>
        <v>0</v>
      </c>
      <c r="AD107" s="60">
        <f>ROUND(AC107*AB107*Input!$C$3/365,0)</f>
        <v>0</v>
      </c>
      <c r="AE107" s="61">
        <f>IF($A107&lt;=Input!$C$6,0,IF('180M'!AA107&lt;'180M'!AC107,'180M'!AA107-AD107,'180M'!AC107))</f>
        <v>0</v>
      </c>
      <c r="AF107" s="61">
        <f t="shared" si="55"/>
        <v>0</v>
      </c>
      <c r="AG107" s="60">
        <f t="shared" si="56"/>
        <v>0</v>
      </c>
      <c r="AH107" s="193"/>
      <c r="AI107" s="169">
        <v>103</v>
      </c>
      <c r="AJ107" s="1">
        <f t="shared" si="68"/>
        <v>48653</v>
      </c>
      <c r="AK107" s="60">
        <f>IF($X107&lt;Input!$H$73,IF($X107&lt;Input!$G$73,IF($X107&lt;Input!$F$73,IF($X107&lt;Input!$E$73,IF($X107&lt;Input!$D$73,Input!$C$79,Input!$D$79),Input!$E$79),Input!$F$79),Input!$G$79),Input!$H$79)</f>
        <v>0</v>
      </c>
      <c r="AL107" s="190">
        <f>IF($A107&lt;Input!$H$80,IF($A107&lt;Input!$G$80,IF($A107&lt;Input!$F$80,IF($A107&lt;Input!$E$80,IF($A107&lt;Input!$D$80,Input!$C$81,Input!$D$81),Input!$E$81),Input!$F$81),Input!$G$81),Input!$H$81)</f>
        <v>0.9</v>
      </c>
      <c r="AM107" s="60">
        <f t="shared" si="69"/>
        <v>0</v>
      </c>
      <c r="AN107" s="60">
        <f t="shared" si="70"/>
        <v>28</v>
      </c>
      <c r="AO107" s="60">
        <f t="shared" si="71"/>
        <v>0</v>
      </c>
      <c r="AP107" s="60">
        <f>ROUND(AO107*AN107*Input!$C$3/365,0)</f>
        <v>0</v>
      </c>
      <c r="AQ107" s="61">
        <f>IF($A107&lt;=Input!$C$6,0,IF('180M'!AM107&lt;'180M'!AO107,'180M'!AM107-AP107,'180M'!AO107))</f>
        <v>0</v>
      </c>
      <c r="AR107" s="61">
        <f t="shared" si="72"/>
        <v>0</v>
      </c>
      <c r="AS107" s="60">
        <f t="shared" si="73"/>
        <v>0</v>
      </c>
      <c r="AT107" s="193"/>
      <c r="AU107" s="169">
        <v>103</v>
      </c>
      <c r="AV107" s="1">
        <f t="shared" si="74"/>
        <v>48653</v>
      </c>
      <c r="AW107" s="60">
        <f>IF($X107&lt;Input!$H$88,IF($X107&lt;Input!$G$88,IF($X107&lt;Input!$F$88,IF($X107&lt;Input!$E$88,IF($X107&lt;Input!$D$88,Input!$C$94,Input!$D$94),Input!$E$94),Input!$F$94),Input!$G$94),Input!$H$94)</f>
        <v>0</v>
      </c>
      <c r="AX107" s="190">
        <f>IF($A107&lt;Input!$H$95,IF($A107&lt;Input!$G$95,IF($A107&lt;Input!$F$95,IF($A107&lt;Input!$E$95,IF($A107&lt;Input!$D$95,Input!$C$96,Input!$D$96),Input!$E$96),Input!$F$96),Input!$G$96),Input!$H$96)</f>
        <v>0.9</v>
      </c>
      <c r="AY107" s="60">
        <f t="shared" si="75"/>
        <v>0</v>
      </c>
      <c r="AZ107" s="60">
        <f t="shared" si="76"/>
        <v>28</v>
      </c>
      <c r="BA107" s="60">
        <f t="shared" si="77"/>
        <v>0</v>
      </c>
      <c r="BB107" s="60">
        <f>ROUND(BA107*AZ107*Input!$C$3/365,0)</f>
        <v>0</v>
      </c>
      <c r="BC107" s="61">
        <f>IF($A107&lt;=Input!$C$6,0,IF('180M'!AY107&lt;'180M'!BA107,'180M'!AY107-BB107,'180M'!BA107))</f>
        <v>0</v>
      </c>
      <c r="BD107" s="61">
        <f t="shared" si="78"/>
        <v>0</v>
      </c>
      <c r="BE107" s="60">
        <f t="shared" si="79"/>
        <v>0</v>
      </c>
      <c r="BF107" s="193"/>
      <c r="BG107" s="169">
        <v>103</v>
      </c>
      <c r="BH107" s="1">
        <f t="shared" si="80"/>
        <v>48653</v>
      </c>
      <c r="BI107" s="60">
        <f>IF($X107&lt;Input!$H$103,IF($X107&lt;Input!$G$103,IF($X107&lt;Input!$F$103,IF($X107&lt;Input!$E$103,IF($X107&lt;Input!$D$103,Input!$C$109,Input!$D$109),Input!$E$109),Input!$F$109),Input!$G$109),Input!$H$109)</f>
        <v>0</v>
      </c>
      <c r="BJ107" s="190">
        <f>IF($A107&lt;Input!$H$110,IF($A107&lt;Input!$G$110,IF($A107&lt;Input!$F$110,IF($A107&lt;Input!$E$110,IF($A107&lt;Input!$D$110,Input!$C$111,Input!$D$111),Input!$E$111),Input!$F$111),Input!$G$111),Input!$H$111)</f>
        <v>0.9</v>
      </c>
      <c r="BK107" s="60">
        <f t="shared" si="57"/>
        <v>0</v>
      </c>
      <c r="BL107" s="60">
        <f t="shared" si="81"/>
        <v>28</v>
      </c>
      <c r="BM107" s="60">
        <f t="shared" si="58"/>
        <v>0</v>
      </c>
      <c r="BN107" s="60">
        <f>ROUND(BM107*BL107*Input!$C$3/365,0)</f>
        <v>0</v>
      </c>
      <c r="BO107" s="61">
        <f>IF($A107&lt;=Input!$C$6,0,IF('180M'!BK107&lt;'180M'!BM107,'180M'!BK107-BN107,'180M'!BM107))</f>
        <v>0</v>
      </c>
      <c r="BP107" s="61">
        <f t="shared" si="59"/>
        <v>0</v>
      </c>
      <c r="BQ107" s="60">
        <f t="shared" si="60"/>
        <v>0</v>
      </c>
      <c r="BR107" s="198"/>
    </row>
    <row r="108" spans="1:70" x14ac:dyDescent="0.25">
      <c r="A108" s="169">
        <v>104</v>
      </c>
      <c r="B108" s="1">
        <f t="shared" si="61"/>
        <v>48684</v>
      </c>
      <c r="C108" s="60">
        <f t="shared" si="47"/>
        <v>21781574.999999996</v>
      </c>
      <c r="D108" s="60">
        <f t="shared" si="48"/>
        <v>19603417.499999996</v>
      </c>
      <c r="E108" s="60">
        <f t="shared" si="62"/>
        <v>31</v>
      </c>
      <c r="F108" s="60">
        <f t="shared" si="63"/>
        <v>1418684406.9979434</v>
      </c>
      <c r="G108" s="60">
        <f>ROUND(F108*E108*Input!$C$3/365,0)</f>
        <v>18073651</v>
      </c>
      <c r="H108" s="60">
        <f>IF($A108&lt;=Input!$C$6,0,IF('180M'!D108&lt;'180M'!F108,'180M'!D108-G108,'180M'!F108))</f>
        <v>1529766.4999999963</v>
      </c>
      <c r="I108" s="60">
        <f t="shared" si="64"/>
        <v>19603417.499999996</v>
      </c>
      <c r="J108" s="60">
        <f t="shared" si="65"/>
        <v>1417154640.4979434</v>
      </c>
      <c r="K108" s="203">
        <f>J108/Input!$K$5</f>
        <v>4.7238488016598117</v>
      </c>
      <c r="L108" s="232"/>
      <c r="M108" s="60">
        <f>IF($B108&lt;Input!$H$43,IF($B108&lt;Input!$G$43,IF($B108&lt;Input!$F$43,IF($B108&lt;Input!$E$43,IF($B108&lt;Input!$D$43,Input!$C$49,Input!$D$49),Input!$E$49),Input!$F$49),Input!$G$49),Input!$H$49)</f>
        <v>21781574.999999996</v>
      </c>
      <c r="N108" s="190">
        <f>IF($A108&lt;Input!$H$50,IF($A108&lt;Input!$G$50,IF($A108&lt;Input!$F$50,IF($A108&lt;Input!$E$50,IF($A108&lt;Input!$D$50,Input!$C$51,Input!$D$51),Input!$E$51),Input!$F$51),Input!$G$51),Input!$H$51)</f>
        <v>0.9</v>
      </c>
      <c r="O108" s="60">
        <f t="shared" si="82"/>
        <v>19603417.499999996</v>
      </c>
      <c r="P108" s="60">
        <f t="shared" si="83"/>
        <v>31</v>
      </c>
      <c r="Q108" s="60">
        <f t="shared" si="50"/>
        <v>1418684406.9979434</v>
      </c>
      <c r="R108" s="60">
        <f>ROUND(Q108*$P108*Input!$C$3/365,0)</f>
        <v>18073651</v>
      </c>
      <c r="S108" s="60">
        <f>IF(A108&lt;=Input!$C$6,0,IF('180M'!O108&lt;'180M'!Q108,'180M'!O108-R108,'180M'!Q108))</f>
        <v>1529766.4999999963</v>
      </c>
      <c r="T108" s="60">
        <f t="shared" si="51"/>
        <v>19603417.499999996</v>
      </c>
      <c r="U108" s="60">
        <f t="shared" si="52"/>
        <v>1417154640.4979434</v>
      </c>
      <c r="V108" s="193"/>
      <c r="W108" s="169">
        <v>104</v>
      </c>
      <c r="X108" s="1">
        <f t="shared" si="66"/>
        <v>48684</v>
      </c>
      <c r="Y108" s="60">
        <f>IF($X108&lt;Input!$H$58,IF($X108&lt;Input!$G$58,IF($X108&lt;Input!$F$58,IF($X108&lt;Input!$E$58,IF($X108&lt;Input!$D$58,Input!$C$64,Input!$D$64),Input!$E$64),Input!$F$64),Input!$G$64),Input!$H$64)</f>
        <v>0</v>
      </c>
      <c r="Z108" s="190">
        <f>IF($A108&lt;Input!$H$65,IF($A108&lt;Input!$G$65,IF($A108&lt;Input!$F$65,IF($A108&lt;Input!$E$65,IF($A108&lt;Input!$D$65,Input!$C$66,Input!$D$66),Input!$E$66),Input!$F$66),Input!$G$66),Input!$H$66)</f>
        <v>0.9</v>
      </c>
      <c r="AA108" s="60">
        <f t="shared" si="53"/>
        <v>0</v>
      </c>
      <c r="AB108" s="60">
        <f t="shared" si="67"/>
        <v>31</v>
      </c>
      <c r="AC108" s="60">
        <f t="shared" si="54"/>
        <v>0</v>
      </c>
      <c r="AD108" s="60">
        <f>ROUND(AC108*AB108*Input!$C$3/365,0)</f>
        <v>0</v>
      </c>
      <c r="AE108" s="61">
        <f>IF($A108&lt;=Input!$C$6,0,IF('180M'!AA108&lt;'180M'!AC108,'180M'!AA108-AD108,'180M'!AC108))</f>
        <v>0</v>
      </c>
      <c r="AF108" s="61">
        <f t="shared" si="55"/>
        <v>0</v>
      </c>
      <c r="AG108" s="60">
        <f t="shared" si="56"/>
        <v>0</v>
      </c>
      <c r="AH108" s="193"/>
      <c r="AI108" s="169">
        <v>104</v>
      </c>
      <c r="AJ108" s="1">
        <f t="shared" si="68"/>
        <v>48684</v>
      </c>
      <c r="AK108" s="60">
        <f>IF($X108&lt;Input!$H$73,IF($X108&lt;Input!$G$73,IF($X108&lt;Input!$F$73,IF($X108&lt;Input!$E$73,IF($X108&lt;Input!$D$73,Input!$C$79,Input!$D$79),Input!$E$79),Input!$F$79),Input!$G$79),Input!$H$79)</f>
        <v>0</v>
      </c>
      <c r="AL108" s="190">
        <f>IF($A108&lt;Input!$H$80,IF($A108&lt;Input!$G$80,IF($A108&lt;Input!$F$80,IF($A108&lt;Input!$E$80,IF($A108&lt;Input!$D$80,Input!$C$81,Input!$D$81),Input!$E$81),Input!$F$81),Input!$G$81),Input!$H$81)</f>
        <v>0.9</v>
      </c>
      <c r="AM108" s="60">
        <f t="shared" si="69"/>
        <v>0</v>
      </c>
      <c r="AN108" s="60">
        <f t="shared" si="70"/>
        <v>31</v>
      </c>
      <c r="AO108" s="60">
        <f t="shared" si="71"/>
        <v>0</v>
      </c>
      <c r="AP108" s="60">
        <f>ROUND(AO108*AN108*Input!$C$3/365,0)</f>
        <v>0</v>
      </c>
      <c r="AQ108" s="61">
        <f>IF($A108&lt;=Input!$C$6,0,IF('180M'!AM108&lt;'180M'!AO108,'180M'!AM108-AP108,'180M'!AO108))</f>
        <v>0</v>
      </c>
      <c r="AR108" s="61">
        <f t="shared" si="72"/>
        <v>0</v>
      </c>
      <c r="AS108" s="60">
        <f t="shared" si="73"/>
        <v>0</v>
      </c>
      <c r="AT108" s="193"/>
      <c r="AU108" s="169">
        <v>104</v>
      </c>
      <c r="AV108" s="1">
        <f t="shared" si="74"/>
        <v>48684</v>
      </c>
      <c r="AW108" s="60">
        <f>IF($X108&lt;Input!$H$88,IF($X108&lt;Input!$G$88,IF($X108&lt;Input!$F$88,IF($X108&lt;Input!$E$88,IF($X108&lt;Input!$D$88,Input!$C$94,Input!$D$94),Input!$E$94),Input!$F$94),Input!$G$94),Input!$H$94)</f>
        <v>0</v>
      </c>
      <c r="AX108" s="190">
        <f>IF($A108&lt;Input!$H$95,IF($A108&lt;Input!$G$95,IF($A108&lt;Input!$F$95,IF($A108&lt;Input!$E$95,IF($A108&lt;Input!$D$95,Input!$C$96,Input!$D$96),Input!$E$96),Input!$F$96),Input!$G$96),Input!$H$96)</f>
        <v>0.9</v>
      </c>
      <c r="AY108" s="60">
        <f t="shared" si="75"/>
        <v>0</v>
      </c>
      <c r="AZ108" s="60">
        <f t="shared" si="76"/>
        <v>31</v>
      </c>
      <c r="BA108" s="60">
        <f t="shared" si="77"/>
        <v>0</v>
      </c>
      <c r="BB108" s="60">
        <f>ROUND(BA108*AZ108*Input!$C$3/365,0)</f>
        <v>0</v>
      </c>
      <c r="BC108" s="61">
        <f>IF($A108&lt;=Input!$C$6,0,IF('180M'!AY108&lt;'180M'!BA108,'180M'!AY108-BB108,'180M'!BA108))</f>
        <v>0</v>
      </c>
      <c r="BD108" s="61">
        <f t="shared" si="78"/>
        <v>0</v>
      </c>
      <c r="BE108" s="60">
        <f t="shared" si="79"/>
        <v>0</v>
      </c>
      <c r="BF108" s="193"/>
      <c r="BG108" s="169">
        <v>104</v>
      </c>
      <c r="BH108" s="1">
        <f t="shared" si="80"/>
        <v>48684</v>
      </c>
      <c r="BI108" s="60">
        <f>IF($X108&lt;Input!$H$103,IF($X108&lt;Input!$G$103,IF($X108&lt;Input!$F$103,IF($X108&lt;Input!$E$103,IF($X108&lt;Input!$D$103,Input!$C$109,Input!$D$109),Input!$E$109),Input!$F$109),Input!$G$109),Input!$H$109)</f>
        <v>0</v>
      </c>
      <c r="BJ108" s="190">
        <f>IF($A108&lt;Input!$H$110,IF($A108&lt;Input!$G$110,IF($A108&lt;Input!$F$110,IF($A108&lt;Input!$E$110,IF($A108&lt;Input!$D$110,Input!$C$111,Input!$D$111),Input!$E$111),Input!$F$111),Input!$G$111),Input!$H$111)</f>
        <v>0.9</v>
      </c>
      <c r="BK108" s="60">
        <f t="shared" si="57"/>
        <v>0</v>
      </c>
      <c r="BL108" s="60">
        <f t="shared" si="81"/>
        <v>31</v>
      </c>
      <c r="BM108" s="60">
        <f t="shared" si="58"/>
        <v>0</v>
      </c>
      <c r="BN108" s="60">
        <f>ROUND(BM108*BL108*Input!$C$3/365,0)</f>
        <v>0</v>
      </c>
      <c r="BO108" s="61">
        <f>IF($A108&lt;=Input!$C$6,0,IF('180M'!BK108&lt;'180M'!BM108,'180M'!BK108-BN108,'180M'!BM108))</f>
        <v>0</v>
      </c>
      <c r="BP108" s="61">
        <f t="shared" si="59"/>
        <v>0</v>
      </c>
      <c r="BQ108" s="60">
        <f t="shared" si="60"/>
        <v>0</v>
      </c>
      <c r="BR108" s="198"/>
    </row>
    <row r="109" spans="1:70" x14ac:dyDescent="0.25">
      <c r="A109" s="169">
        <v>105</v>
      </c>
      <c r="B109" s="1">
        <f t="shared" si="61"/>
        <v>48714</v>
      </c>
      <c r="C109" s="60">
        <f t="shared" si="47"/>
        <v>21781574.999999996</v>
      </c>
      <c r="D109" s="60">
        <f t="shared" si="48"/>
        <v>19603417.499999996</v>
      </c>
      <c r="E109" s="60">
        <f t="shared" si="62"/>
        <v>30</v>
      </c>
      <c r="F109" s="60">
        <f t="shared" si="63"/>
        <v>1417154640.4979434</v>
      </c>
      <c r="G109" s="60">
        <f>ROUND(F109*E109*Input!$C$3/365,0)</f>
        <v>17471770</v>
      </c>
      <c r="H109" s="60">
        <f>IF($A109&lt;=Input!$C$6,0,IF('180M'!D109&lt;'180M'!F109,'180M'!D109-G109,'180M'!F109))</f>
        <v>2131647.4999999963</v>
      </c>
      <c r="I109" s="60">
        <f t="shared" si="64"/>
        <v>19603417.499999996</v>
      </c>
      <c r="J109" s="60">
        <f t="shared" si="65"/>
        <v>1415022992.9979434</v>
      </c>
      <c r="K109" s="203">
        <f>J109/Input!$K$5</f>
        <v>4.7167433099931451</v>
      </c>
      <c r="L109" s="232"/>
      <c r="M109" s="60">
        <f>IF($B109&lt;Input!$H$43,IF($B109&lt;Input!$G$43,IF($B109&lt;Input!$F$43,IF($B109&lt;Input!$E$43,IF($B109&lt;Input!$D$43,Input!$C$49,Input!$D$49),Input!$E$49),Input!$F$49),Input!$G$49),Input!$H$49)</f>
        <v>21781574.999999996</v>
      </c>
      <c r="N109" s="190">
        <f>IF($A109&lt;Input!$H$50,IF($A109&lt;Input!$G$50,IF($A109&lt;Input!$F$50,IF($A109&lt;Input!$E$50,IF($A109&lt;Input!$D$50,Input!$C$51,Input!$D$51),Input!$E$51),Input!$F$51),Input!$G$51),Input!$H$51)</f>
        <v>0.9</v>
      </c>
      <c r="O109" s="60">
        <f t="shared" si="82"/>
        <v>19603417.499999996</v>
      </c>
      <c r="P109" s="60">
        <f t="shared" si="83"/>
        <v>30</v>
      </c>
      <c r="Q109" s="60">
        <f t="shared" si="50"/>
        <v>1417154640.4979434</v>
      </c>
      <c r="R109" s="60">
        <f>ROUND(Q109*$P109*Input!$C$3/365,0)</f>
        <v>17471770</v>
      </c>
      <c r="S109" s="60">
        <f>IF(A109&lt;=Input!$C$6,0,IF('180M'!O109&lt;'180M'!Q109,'180M'!O109-R109,'180M'!Q109))</f>
        <v>2131647.4999999963</v>
      </c>
      <c r="T109" s="60">
        <f t="shared" si="51"/>
        <v>19603417.499999996</v>
      </c>
      <c r="U109" s="60">
        <f t="shared" si="52"/>
        <v>1415022992.9979434</v>
      </c>
      <c r="V109" s="193"/>
      <c r="W109" s="169">
        <v>105</v>
      </c>
      <c r="X109" s="1">
        <f t="shared" si="66"/>
        <v>48714</v>
      </c>
      <c r="Y109" s="60">
        <f>IF($X109&lt;Input!$H$58,IF($X109&lt;Input!$G$58,IF($X109&lt;Input!$F$58,IF($X109&lt;Input!$E$58,IF($X109&lt;Input!$D$58,Input!$C$64,Input!$D$64),Input!$E$64),Input!$F$64),Input!$G$64),Input!$H$64)</f>
        <v>0</v>
      </c>
      <c r="Z109" s="190">
        <f>IF($A109&lt;Input!$H$65,IF($A109&lt;Input!$G$65,IF($A109&lt;Input!$F$65,IF($A109&lt;Input!$E$65,IF($A109&lt;Input!$D$65,Input!$C$66,Input!$D$66),Input!$E$66),Input!$F$66),Input!$G$66),Input!$H$66)</f>
        <v>0.9</v>
      </c>
      <c r="AA109" s="60">
        <f t="shared" si="53"/>
        <v>0</v>
      </c>
      <c r="AB109" s="60">
        <f t="shared" si="67"/>
        <v>30</v>
      </c>
      <c r="AC109" s="60">
        <f t="shared" si="54"/>
        <v>0</v>
      </c>
      <c r="AD109" s="60">
        <f>ROUND(AC109*AB109*Input!$C$3/365,0)</f>
        <v>0</v>
      </c>
      <c r="AE109" s="61">
        <f>IF($A109&lt;=Input!$C$6,0,IF('180M'!AA109&lt;'180M'!AC109,'180M'!AA109-AD109,'180M'!AC109))</f>
        <v>0</v>
      </c>
      <c r="AF109" s="61">
        <f t="shared" si="55"/>
        <v>0</v>
      </c>
      <c r="AG109" s="60">
        <f t="shared" si="56"/>
        <v>0</v>
      </c>
      <c r="AH109" s="193"/>
      <c r="AI109" s="169">
        <v>105</v>
      </c>
      <c r="AJ109" s="1">
        <f t="shared" si="68"/>
        <v>48714</v>
      </c>
      <c r="AK109" s="60">
        <f>IF($X109&lt;Input!$H$73,IF($X109&lt;Input!$G$73,IF($X109&lt;Input!$F$73,IF($X109&lt;Input!$E$73,IF($X109&lt;Input!$D$73,Input!$C$79,Input!$D$79),Input!$E$79),Input!$F$79),Input!$G$79),Input!$H$79)</f>
        <v>0</v>
      </c>
      <c r="AL109" s="190">
        <f>IF($A109&lt;Input!$H$80,IF($A109&lt;Input!$G$80,IF($A109&lt;Input!$F$80,IF($A109&lt;Input!$E$80,IF($A109&lt;Input!$D$80,Input!$C$81,Input!$D$81),Input!$E$81),Input!$F$81),Input!$G$81),Input!$H$81)</f>
        <v>0.9</v>
      </c>
      <c r="AM109" s="60">
        <f t="shared" si="69"/>
        <v>0</v>
      </c>
      <c r="AN109" s="60">
        <f t="shared" si="70"/>
        <v>30</v>
      </c>
      <c r="AO109" s="60">
        <f t="shared" si="71"/>
        <v>0</v>
      </c>
      <c r="AP109" s="60">
        <f>ROUND(AO109*AN109*Input!$C$3/365,0)</f>
        <v>0</v>
      </c>
      <c r="AQ109" s="61">
        <f>IF($A109&lt;=Input!$C$6,0,IF('180M'!AM109&lt;'180M'!AO109,'180M'!AM109-AP109,'180M'!AO109))</f>
        <v>0</v>
      </c>
      <c r="AR109" s="61">
        <f t="shared" si="72"/>
        <v>0</v>
      </c>
      <c r="AS109" s="60">
        <f t="shared" si="73"/>
        <v>0</v>
      </c>
      <c r="AT109" s="193"/>
      <c r="AU109" s="169">
        <v>105</v>
      </c>
      <c r="AV109" s="1">
        <f t="shared" si="74"/>
        <v>48714</v>
      </c>
      <c r="AW109" s="60">
        <f>IF($X109&lt;Input!$H$88,IF($X109&lt;Input!$G$88,IF($X109&lt;Input!$F$88,IF($X109&lt;Input!$E$88,IF($X109&lt;Input!$D$88,Input!$C$94,Input!$D$94),Input!$E$94),Input!$F$94),Input!$G$94),Input!$H$94)</f>
        <v>0</v>
      </c>
      <c r="AX109" s="190">
        <f>IF($A109&lt;Input!$H$95,IF($A109&lt;Input!$G$95,IF($A109&lt;Input!$F$95,IF($A109&lt;Input!$E$95,IF($A109&lt;Input!$D$95,Input!$C$96,Input!$D$96),Input!$E$96),Input!$F$96),Input!$G$96),Input!$H$96)</f>
        <v>0.9</v>
      </c>
      <c r="AY109" s="60">
        <f t="shared" si="75"/>
        <v>0</v>
      </c>
      <c r="AZ109" s="60">
        <f t="shared" si="76"/>
        <v>30</v>
      </c>
      <c r="BA109" s="60">
        <f t="shared" si="77"/>
        <v>0</v>
      </c>
      <c r="BB109" s="60">
        <f>ROUND(BA109*AZ109*Input!$C$3/365,0)</f>
        <v>0</v>
      </c>
      <c r="BC109" s="61">
        <f>IF($A109&lt;=Input!$C$6,0,IF('180M'!AY109&lt;'180M'!BA109,'180M'!AY109-BB109,'180M'!BA109))</f>
        <v>0</v>
      </c>
      <c r="BD109" s="61">
        <f t="shared" si="78"/>
        <v>0</v>
      </c>
      <c r="BE109" s="60">
        <f t="shared" si="79"/>
        <v>0</v>
      </c>
      <c r="BF109" s="193"/>
      <c r="BG109" s="169">
        <v>105</v>
      </c>
      <c r="BH109" s="1">
        <f t="shared" si="80"/>
        <v>48714</v>
      </c>
      <c r="BI109" s="60">
        <f>IF($X109&lt;Input!$H$103,IF($X109&lt;Input!$G$103,IF($X109&lt;Input!$F$103,IF($X109&lt;Input!$E$103,IF($X109&lt;Input!$D$103,Input!$C$109,Input!$D$109),Input!$E$109),Input!$F$109),Input!$G$109),Input!$H$109)</f>
        <v>0</v>
      </c>
      <c r="BJ109" s="190">
        <f>IF($A109&lt;Input!$H$110,IF($A109&lt;Input!$G$110,IF($A109&lt;Input!$F$110,IF($A109&lt;Input!$E$110,IF($A109&lt;Input!$D$110,Input!$C$111,Input!$D$111),Input!$E$111),Input!$F$111),Input!$G$111),Input!$H$111)</f>
        <v>0.9</v>
      </c>
      <c r="BK109" s="60">
        <f t="shared" si="57"/>
        <v>0</v>
      </c>
      <c r="BL109" s="60">
        <f t="shared" si="81"/>
        <v>30</v>
      </c>
      <c r="BM109" s="60">
        <f t="shared" si="58"/>
        <v>0</v>
      </c>
      <c r="BN109" s="60">
        <f>ROUND(BM109*BL109*Input!$C$3/365,0)</f>
        <v>0</v>
      </c>
      <c r="BO109" s="61">
        <f>IF($A109&lt;=Input!$C$6,0,IF('180M'!BK109&lt;'180M'!BM109,'180M'!BK109-BN109,'180M'!BM109))</f>
        <v>0</v>
      </c>
      <c r="BP109" s="61">
        <f t="shared" si="59"/>
        <v>0</v>
      </c>
      <c r="BQ109" s="60">
        <f t="shared" si="60"/>
        <v>0</v>
      </c>
      <c r="BR109" s="198"/>
    </row>
    <row r="110" spans="1:70" x14ac:dyDescent="0.25">
      <c r="A110" s="169">
        <v>106</v>
      </c>
      <c r="B110" s="1">
        <f t="shared" si="61"/>
        <v>48745</v>
      </c>
      <c r="C110" s="60">
        <f t="shared" si="47"/>
        <v>21781574.999999996</v>
      </c>
      <c r="D110" s="60">
        <f t="shared" si="48"/>
        <v>19603417.499999996</v>
      </c>
      <c r="E110" s="60">
        <f t="shared" si="62"/>
        <v>31</v>
      </c>
      <c r="F110" s="60">
        <f t="shared" si="63"/>
        <v>1415022992.9979434</v>
      </c>
      <c r="G110" s="60">
        <f>ROUND(F110*E110*Input!$C$3/365,0)</f>
        <v>18027005</v>
      </c>
      <c r="H110" s="60">
        <f>IF($A110&lt;=Input!$C$6,0,IF('180M'!D110&lt;'180M'!F110,'180M'!D110-G110,'180M'!F110))</f>
        <v>1576412.4999999963</v>
      </c>
      <c r="I110" s="60">
        <f t="shared" si="64"/>
        <v>19603417.499999996</v>
      </c>
      <c r="J110" s="60">
        <f t="shared" si="65"/>
        <v>1413446580.4979434</v>
      </c>
      <c r="K110" s="203">
        <f>J110/Input!$K$5</f>
        <v>4.711488601659811</v>
      </c>
      <c r="L110" s="232"/>
      <c r="M110" s="60">
        <f>IF($B110&lt;Input!$H$43,IF($B110&lt;Input!$G$43,IF($B110&lt;Input!$F$43,IF($B110&lt;Input!$E$43,IF($B110&lt;Input!$D$43,Input!$C$49,Input!$D$49),Input!$E$49),Input!$F$49),Input!$G$49),Input!$H$49)</f>
        <v>21781574.999999996</v>
      </c>
      <c r="N110" s="190">
        <f>IF($A110&lt;Input!$H$50,IF($A110&lt;Input!$G$50,IF($A110&lt;Input!$F$50,IF($A110&lt;Input!$E$50,IF($A110&lt;Input!$D$50,Input!$C$51,Input!$D$51),Input!$E$51),Input!$F$51),Input!$G$51),Input!$H$51)</f>
        <v>0.9</v>
      </c>
      <c r="O110" s="60">
        <f t="shared" si="82"/>
        <v>19603417.499999996</v>
      </c>
      <c r="P110" s="60">
        <f t="shared" si="83"/>
        <v>31</v>
      </c>
      <c r="Q110" s="60">
        <f t="shared" si="50"/>
        <v>1415022992.9979434</v>
      </c>
      <c r="R110" s="60">
        <f>ROUND(Q110*$P110*Input!$C$3/365,0)</f>
        <v>18027005</v>
      </c>
      <c r="S110" s="60">
        <f>IF(A110&lt;=Input!$C$6,0,IF('180M'!O110&lt;'180M'!Q110,'180M'!O110-R110,'180M'!Q110))</f>
        <v>1576412.4999999963</v>
      </c>
      <c r="T110" s="60">
        <f t="shared" si="51"/>
        <v>19603417.499999996</v>
      </c>
      <c r="U110" s="60">
        <f t="shared" si="52"/>
        <v>1413446580.4979434</v>
      </c>
      <c r="V110" s="193"/>
      <c r="W110" s="169">
        <v>106</v>
      </c>
      <c r="X110" s="1">
        <f t="shared" si="66"/>
        <v>48745</v>
      </c>
      <c r="Y110" s="60">
        <f>IF($X110&lt;Input!$H$58,IF($X110&lt;Input!$G$58,IF($X110&lt;Input!$F$58,IF($X110&lt;Input!$E$58,IF($X110&lt;Input!$D$58,Input!$C$64,Input!$D$64),Input!$E$64),Input!$F$64),Input!$G$64),Input!$H$64)</f>
        <v>0</v>
      </c>
      <c r="Z110" s="190">
        <f>IF($A110&lt;Input!$H$65,IF($A110&lt;Input!$G$65,IF($A110&lt;Input!$F$65,IF($A110&lt;Input!$E$65,IF($A110&lt;Input!$D$65,Input!$C$66,Input!$D$66),Input!$E$66),Input!$F$66),Input!$G$66),Input!$H$66)</f>
        <v>0.9</v>
      </c>
      <c r="AA110" s="60">
        <f t="shared" si="53"/>
        <v>0</v>
      </c>
      <c r="AB110" s="60">
        <f t="shared" si="67"/>
        <v>31</v>
      </c>
      <c r="AC110" s="60">
        <f t="shared" si="54"/>
        <v>0</v>
      </c>
      <c r="AD110" s="60">
        <f>ROUND(AC110*AB110*Input!$C$3/365,0)</f>
        <v>0</v>
      </c>
      <c r="AE110" s="61">
        <f>IF($A110&lt;=Input!$C$6,0,IF('180M'!AA110&lt;'180M'!AC110,'180M'!AA110-AD110,'180M'!AC110))</f>
        <v>0</v>
      </c>
      <c r="AF110" s="61">
        <f t="shared" si="55"/>
        <v>0</v>
      </c>
      <c r="AG110" s="60">
        <f t="shared" si="56"/>
        <v>0</v>
      </c>
      <c r="AH110" s="193"/>
      <c r="AI110" s="169">
        <v>106</v>
      </c>
      <c r="AJ110" s="1">
        <f t="shared" si="68"/>
        <v>48745</v>
      </c>
      <c r="AK110" s="60">
        <f>IF($X110&lt;Input!$H$73,IF($X110&lt;Input!$G$73,IF($X110&lt;Input!$F$73,IF($X110&lt;Input!$E$73,IF($X110&lt;Input!$D$73,Input!$C$79,Input!$D$79),Input!$E$79),Input!$F$79),Input!$G$79),Input!$H$79)</f>
        <v>0</v>
      </c>
      <c r="AL110" s="190">
        <f>IF($A110&lt;Input!$H$80,IF($A110&lt;Input!$G$80,IF($A110&lt;Input!$F$80,IF($A110&lt;Input!$E$80,IF($A110&lt;Input!$D$80,Input!$C$81,Input!$D$81),Input!$E$81),Input!$F$81),Input!$G$81),Input!$H$81)</f>
        <v>0.9</v>
      </c>
      <c r="AM110" s="60">
        <f t="shared" si="69"/>
        <v>0</v>
      </c>
      <c r="AN110" s="60">
        <f t="shared" si="70"/>
        <v>31</v>
      </c>
      <c r="AO110" s="60">
        <f t="shared" si="71"/>
        <v>0</v>
      </c>
      <c r="AP110" s="60">
        <f>ROUND(AO110*AN110*Input!$C$3/365,0)</f>
        <v>0</v>
      </c>
      <c r="AQ110" s="61">
        <f>IF($A110&lt;=Input!$C$6,0,IF('180M'!AM110&lt;'180M'!AO110,'180M'!AM110-AP110,'180M'!AO110))</f>
        <v>0</v>
      </c>
      <c r="AR110" s="61">
        <f t="shared" si="72"/>
        <v>0</v>
      </c>
      <c r="AS110" s="60">
        <f t="shared" si="73"/>
        <v>0</v>
      </c>
      <c r="AT110" s="193"/>
      <c r="AU110" s="169">
        <v>106</v>
      </c>
      <c r="AV110" s="1">
        <f t="shared" si="74"/>
        <v>48745</v>
      </c>
      <c r="AW110" s="60">
        <f>IF($X110&lt;Input!$H$88,IF($X110&lt;Input!$G$88,IF($X110&lt;Input!$F$88,IF($X110&lt;Input!$E$88,IF($X110&lt;Input!$D$88,Input!$C$94,Input!$D$94),Input!$E$94),Input!$F$94),Input!$G$94),Input!$H$94)</f>
        <v>0</v>
      </c>
      <c r="AX110" s="190">
        <f>IF($A110&lt;Input!$H$95,IF($A110&lt;Input!$G$95,IF($A110&lt;Input!$F$95,IF($A110&lt;Input!$E$95,IF($A110&lt;Input!$D$95,Input!$C$96,Input!$D$96),Input!$E$96),Input!$F$96),Input!$G$96),Input!$H$96)</f>
        <v>0.9</v>
      </c>
      <c r="AY110" s="60">
        <f t="shared" si="75"/>
        <v>0</v>
      </c>
      <c r="AZ110" s="60">
        <f t="shared" si="76"/>
        <v>31</v>
      </c>
      <c r="BA110" s="60">
        <f t="shared" si="77"/>
        <v>0</v>
      </c>
      <c r="BB110" s="60">
        <f>ROUND(BA110*AZ110*Input!$C$3/365,0)</f>
        <v>0</v>
      </c>
      <c r="BC110" s="61">
        <f>IF($A110&lt;=Input!$C$6,0,IF('180M'!AY110&lt;'180M'!BA110,'180M'!AY110-BB110,'180M'!BA110))</f>
        <v>0</v>
      </c>
      <c r="BD110" s="61">
        <f t="shared" si="78"/>
        <v>0</v>
      </c>
      <c r="BE110" s="60">
        <f t="shared" si="79"/>
        <v>0</v>
      </c>
      <c r="BF110" s="193"/>
      <c r="BG110" s="169">
        <v>106</v>
      </c>
      <c r="BH110" s="1">
        <f t="shared" si="80"/>
        <v>48745</v>
      </c>
      <c r="BI110" s="60">
        <f>IF($X110&lt;Input!$H$103,IF($X110&lt;Input!$G$103,IF($X110&lt;Input!$F$103,IF($X110&lt;Input!$E$103,IF($X110&lt;Input!$D$103,Input!$C$109,Input!$D$109),Input!$E$109),Input!$F$109),Input!$G$109),Input!$H$109)</f>
        <v>0</v>
      </c>
      <c r="BJ110" s="190">
        <f>IF($A110&lt;Input!$H$110,IF($A110&lt;Input!$G$110,IF($A110&lt;Input!$F$110,IF($A110&lt;Input!$E$110,IF($A110&lt;Input!$D$110,Input!$C$111,Input!$D$111),Input!$E$111),Input!$F$111),Input!$G$111),Input!$H$111)</f>
        <v>0.9</v>
      </c>
      <c r="BK110" s="60">
        <f t="shared" si="57"/>
        <v>0</v>
      </c>
      <c r="BL110" s="60">
        <f t="shared" si="81"/>
        <v>31</v>
      </c>
      <c r="BM110" s="60">
        <f t="shared" si="58"/>
        <v>0</v>
      </c>
      <c r="BN110" s="60">
        <f>ROUND(BM110*BL110*Input!$C$3/365,0)</f>
        <v>0</v>
      </c>
      <c r="BO110" s="61">
        <f>IF($A110&lt;=Input!$C$6,0,IF('180M'!BK110&lt;'180M'!BM110,'180M'!BK110-BN110,'180M'!BM110))</f>
        <v>0</v>
      </c>
      <c r="BP110" s="61">
        <f t="shared" si="59"/>
        <v>0</v>
      </c>
      <c r="BQ110" s="60">
        <f t="shared" si="60"/>
        <v>0</v>
      </c>
      <c r="BR110" s="198"/>
    </row>
    <row r="111" spans="1:70" x14ac:dyDescent="0.25">
      <c r="A111" s="169">
        <v>107</v>
      </c>
      <c r="B111" s="1">
        <f t="shared" si="61"/>
        <v>48775</v>
      </c>
      <c r="C111" s="60">
        <f t="shared" si="47"/>
        <v>21781574.999999996</v>
      </c>
      <c r="D111" s="60">
        <f t="shared" si="48"/>
        <v>19603417.499999996</v>
      </c>
      <c r="E111" s="60">
        <f t="shared" si="62"/>
        <v>30</v>
      </c>
      <c r="F111" s="60">
        <f t="shared" si="63"/>
        <v>1413446580.4979434</v>
      </c>
      <c r="G111" s="60">
        <f>ROUND(F111*E111*Input!$C$3/365,0)</f>
        <v>17426054</v>
      </c>
      <c r="H111" s="60">
        <f>IF($A111&lt;=Input!$C$6,0,IF('180M'!D111&lt;'180M'!F111,'180M'!D111-G111,'180M'!F111))</f>
        <v>2177363.4999999963</v>
      </c>
      <c r="I111" s="60">
        <f t="shared" si="64"/>
        <v>19603417.499999996</v>
      </c>
      <c r="J111" s="60">
        <f t="shared" si="65"/>
        <v>1411269216.9979434</v>
      </c>
      <c r="K111" s="203">
        <f>J111/Input!$K$5</f>
        <v>4.7042307233264777</v>
      </c>
      <c r="L111" s="232"/>
      <c r="M111" s="60">
        <f>IF($B111&lt;Input!$H$43,IF($B111&lt;Input!$G$43,IF($B111&lt;Input!$F$43,IF($B111&lt;Input!$E$43,IF($B111&lt;Input!$D$43,Input!$C$49,Input!$D$49),Input!$E$49),Input!$F$49),Input!$G$49),Input!$H$49)</f>
        <v>21781574.999999996</v>
      </c>
      <c r="N111" s="190">
        <f>IF($A111&lt;Input!$H$50,IF($A111&lt;Input!$G$50,IF($A111&lt;Input!$F$50,IF($A111&lt;Input!$E$50,IF($A111&lt;Input!$D$50,Input!$C$51,Input!$D$51),Input!$E$51),Input!$F$51),Input!$G$51),Input!$H$51)</f>
        <v>0.9</v>
      </c>
      <c r="O111" s="60">
        <f t="shared" si="82"/>
        <v>19603417.499999996</v>
      </c>
      <c r="P111" s="60">
        <f t="shared" si="83"/>
        <v>30</v>
      </c>
      <c r="Q111" s="60">
        <f t="shared" si="50"/>
        <v>1413446580.4979434</v>
      </c>
      <c r="R111" s="60">
        <f>ROUND(Q111*$P111*Input!$C$3/365,0)</f>
        <v>17426054</v>
      </c>
      <c r="S111" s="60">
        <f>IF(A111&lt;=Input!$C$6,0,IF('180M'!O111&lt;'180M'!Q111,'180M'!O111-R111,'180M'!Q111))</f>
        <v>2177363.4999999963</v>
      </c>
      <c r="T111" s="60">
        <f t="shared" si="51"/>
        <v>19603417.499999996</v>
      </c>
      <c r="U111" s="60">
        <f t="shared" si="52"/>
        <v>1411269216.9979434</v>
      </c>
      <c r="V111" s="193"/>
      <c r="W111" s="169">
        <v>107</v>
      </c>
      <c r="X111" s="1">
        <f t="shared" si="66"/>
        <v>48775</v>
      </c>
      <c r="Y111" s="60">
        <f>IF($X111&lt;Input!$H$58,IF($X111&lt;Input!$G$58,IF($X111&lt;Input!$F$58,IF($X111&lt;Input!$E$58,IF($X111&lt;Input!$D$58,Input!$C$64,Input!$D$64),Input!$E$64),Input!$F$64),Input!$G$64),Input!$H$64)</f>
        <v>0</v>
      </c>
      <c r="Z111" s="190">
        <f>IF($A111&lt;Input!$H$65,IF($A111&lt;Input!$G$65,IF($A111&lt;Input!$F$65,IF($A111&lt;Input!$E$65,IF($A111&lt;Input!$D$65,Input!$C$66,Input!$D$66),Input!$E$66),Input!$F$66),Input!$G$66),Input!$H$66)</f>
        <v>0.9</v>
      </c>
      <c r="AA111" s="60">
        <f t="shared" si="53"/>
        <v>0</v>
      </c>
      <c r="AB111" s="60">
        <f t="shared" si="67"/>
        <v>30</v>
      </c>
      <c r="AC111" s="60">
        <f t="shared" si="54"/>
        <v>0</v>
      </c>
      <c r="AD111" s="60">
        <f>ROUND(AC111*AB111*Input!$C$3/365,0)</f>
        <v>0</v>
      </c>
      <c r="AE111" s="61">
        <f>IF($A111&lt;=Input!$C$6,0,IF('180M'!AA111&lt;'180M'!AC111,'180M'!AA111-AD111,'180M'!AC111))</f>
        <v>0</v>
      </c>
      <c r="AF111" s="61">
        <f t="shared" si="55"/>
        <v>0</v>
      </c>
      <c r="AG111" s="60">
        <f t="shared" si="56"/>
        <v>0</v>
      </c>
      <c r="AH111" s="193"/>
      <c r="AI111" s="169">
        <v>107</v>
      </c>
      <c r="AJ111" s="1">
        <f t="shared" si="68"/>
        <v>48775</v>
      </c>
      <c r="AK111" s="60">
        <f>IF($X111&lt;Input!$H$73,IF($X111&lt;Input!$G$73,IF($X111&lt;Input!$F$73,IF($X111&lt;Input!$E$73,IF($X111&lt;Input!$D$73,Input!$C$79,Input!$D$79),Input!$E$79),Input!$F$79),Input!$G$79),Input!$H$79)</f>
        <v>0</v>
      </c>
      <c r="AL111" s="190">
        <f>IF($A111&lt;Input!$H$80,IF($A111&lt;Input!$G$80,IF($A111&lt;Input!$F$80,IF($A111&lt;Input!$E$80,IF($A111&lt;Input!$D$80,Input!$C$81,Input!$D$81),Input!$E$81),Input!$F$81),Input!$G$81),Input!$H$81)</f>
        <v>0.9</v>
      </c>
      <c r="AM111" s="60">
        <f t="shared" si="69"/>
        <v>0</v>
      </c>
      <c r="AN111" s="60">
        <f t="shared" si="70"/>
        <v>30</v>
      </c>
      <c r="AO111" s="60">
        <f t="shared" si="71"/>
        <v>0</v>
      </c>
      <c r="AP111" s="60">
        <f>ROUND(AO111*AN111*Input!$C$3/365,0)</f>
        <v>0</v>
      </c>
      <c r="AQ111" s="61">
        <f>IF($A111&lt;=Input!$C$6,0,IF('180M'!AM111&lt;'180M'!AO111,'180M'!AM111-AP111,'180M'!AO111))</f>
        <v>0</v>
      </c>
      <c r="AR111" s="61">
        <f t="shared" si="72"/>
        <v>0</v>
      </c>
      <c r="AS111" s="60">
        <f t="shared" si="73"/>
        <v>0</v>
      </c>
      <c r="AT111" s="193"/>
      <c r="AU111" s="169">
        <v>107</v>
      </c>
      <c r="AV111" s="1">
        <f t="shared" si="74"/>
        <v>48775</v>
      </c>
      <c r="AW111" s="60">
        <f>IF($X111&lt;Input!$H$88,IF($X111&lt;Input!$G$88,IF($X111&lt;Input!$F$88,IF($X111&lt;Input!$E$88,IF($X111&lt;Input!$D$88,Input!$C$94,Input!$D$94),Input!$E$94),Input!$F$94),Input!$G$94),Input!$H$94)</f>
        <v>0</v>
      </c>
      <c r="AX111" s="190">
        <f>IF($A111&lt;Input!$H$95,IF($A111&lt;Input!$G$95,IF($A111&lt;Input!$F$95,IF($A111&lt;Input!$E$95,IF($A111&lt;Input!$D$95,Input!$C$96,Input!$D$96),Input!$E$96),Input!$F$96),Input!$G$96),Input!$H$96)</f>
        <v>0.9</v>
      </c>
      <c r="AY111" s="60">
        <f t="shared" si="75"/>
        <v>0</v>
      </c>
      <c r="AZ111" s="60">
        <f t="shared" si="76"/>
        <v>30</v>
      </c>
      <c r="BA111" s="60">
        <f t="shared" si="77"/>
        <v>0</v>
      </c>
      <c r="BB111" s="60">
        <f>ROUND(BA111*AZ111*Input!$C$3/365,0)</f>
        <v>0</v>
      </c>
      <c r="BC111" s="61">
        <f>IF($A111&lt;=Input!$C$6,0,IF('180M'!AY111&lt;'180M'!BA111,'180M'!AY111-BB111,'180M'!BA111))</f>
        <v>0</v>
      </c>
      <c r="BD111" s="61">
        <f t="shared" si="78"/>
        <v>0</v>
      </c>
      <c r="BE111" s="60">
        <f t="shared" si="79"/>
        <v>0</v>
      </c>
      <c r="BF111" s="193"/>
      <c r="BG111" s="169">
        <v>107</v>
      </c>
      <c r="BH111" s="1">
        <f t="shared" si="80"/>
        <v>48775</v>
      </c>
      <c r="BI111" s="60">
        <f>IF($X111&lt;Input!$H$103,IF($X111&lt;Input!$G$103,IF($X111&lt;Input!$F$103,IF($X111&lt;Input!$E$103,IF($X111&lt;Input!$D$103,Input!$C$109,Input!$D$109),Input!$E$109),Input!$F$109),Input!$G$109),Input!$H$109)</f>
        <v>0</v>
      </c>
      <c r="BJ111" s="190">
        <f>IF($A111&lt;Input!$H$110,IF($A111&lt;Input!$G$110,IF($A111&lt;Input!$F$110,IF($A111&lt;Input!$E$110,IF($A111&lt;Input!$D$110,Input!$C$111,Input!$D$111),Input!$E$111),Input!$F$111),Input!$G$111),Input!$H$111)</f>
        <v>0.9</v>
      </c>
      <c r="BK111" s="60">
        <f t="shared" si="57"/>
        <v>0</v>
      </c>
      <c r="BL111" s="60">
        <f t="shared" si="81"/>
        <v>30</v>
      </c>
      <c r="BM111" s="60">
        <f t="shared" si="58"/>
        <v>0</v>
      </c>
      <c r="BN111" s="60">
        <f>ROUND(BM111*BL111*Input!$C$3/365,0)</f>
        <v>0</v>
      </c>
      <c r="BO111" s="61">
        <f>IF($A111&lt;=Input!$C$6,0,IF('180M'!BK111&lt;'180M'!BM111,'180M'!BK111-BN111,'180M'!BM111))</f>
        <v>0</v>
      </c>
      <c r="BP111" s="61">
        <f t="shared" si="59"/>
        <v>0</v>
      </c>
      <c r="BQ111" s="60">
        <f t="shared" si="60"/>
        <v>0</v>
      </c>
      <c r="BR111" s="198"/>
    </row>
    <row r="112" spans="1:70" x14ac:dyDescent="0.25">
      <c r="A112" s="169">
        <v>108</v>
      </c>
      <c r="B112" s="1">
        <f t="shared" si="61"/>
        <v>48806</v>
      </c>
      <c r="C112" s="60">
        <f t="shared" si="47"/>
        <v>21781574.999999996</v>
      </c>
      <c r="D112" s="60">
        <f t="shared" si="48"/>
        <v>19603417.499999996</v>
      </c>
      <c r="E112" s="60">
        <f t="shared" si="62"/>
        <v>31</v>
      </c>
      <c r="F112" s="60">
        <f t="shared" si="63"/>
        <v>1411269216.9979434</v>
      </c>
      <c r="G112" s="60">
        <f>ROUND(F112*E112*Input!$C$3/365,0)</f>
        <v>17979183</v>
      </c>
      <c r="H112" s="60">
        <f>IF($A112&lt;=Input!$C$6,0,IF('180M'!D112&lt;'180M'!F112,'180M'!D112-G112,'180M'!F112))</f>
        <v>1624234.4999999963</v>
      </c>
      <c r="I112" s="60">
        <f t="shared" si="64"/>
        <v>19603417.499999996</v>
      </c>
      <c r="J112" s="60">
        <f t="shared" si="65"/>
        <v>1409644982.4979434</v>
      </c>
      <c r="K112" s="203">
        <f>J112/Input!$K$5</f>
        <v>4.698816608326478</v>
      </c>
      <c r="L112" s="232"/>
      <c r="M112" s="60">
        <f>IF($B112&lt;Input!$H$43,IF($B112&lt;Input!$G$43,IF($B112&lt;Input!$F$43,IF($B112&lt;Input!$E$43,IF($B112&lt;Input!$D$43,Input!$C$49,Input!$D$49),Input!$E$49),Input!$F$49),Input!$G$49),Input!$H$49)</f>
        <v>21781574.999999996</v>
      </c>
      <c r="N112" s="190">
        <f>IF($A112&lt;Input!$H$50,IF($A112&lt;Input!$G$50,IF($A112&lt;Input!$F$50,IF($A112&lt;Input!$E$50,IF($A112&lt;Input!$D$50,Input!$C$51,Input!$D$51),Input!$E$51),Input!$F$51),Input!$G$51),Input!$H$51)</f>
        <v>0.9</v>
      </c>
      <c r="O112" s="60">
        <f t="shared" si="82"/>
        <v>19603417.499999996</v>
      </c>
      <c r="P112" s="60">
        <f t="shared" si="83"/>
        <v>31</v>
      </c>
      <c r="Q112" s="60">
        <f t="shared" si="50"/>
        <v>1411269216.9979434</v>
      </c>
      <c r="R112" s="60">
        <f>ROUND(Q112*$P112*Input!$C$3/365,0)</f>
        <v>17979183</v>
      </c>
      <c r="S112" s="60">
        <f>IF(A112&lt;=Input!$C$6,0,IF('180M'!O112&lt;'180M'!Q112,'180M'!O112-R112,'180M'!Q112))</f>
        <v>1624234.4999999963</v>
      </c>
      <c r="T112" s="60">
        <f t="shared" si="51"/>
        <v>19603417.499999996</v>
      </c>
      <c r="U112" s="60">
        <f t="shared" si="52"/>
        <v>1409644982.4979434</v>
      </c>
      <c r="V112" s="193"/>
      <c r="W112" s="169">
        <v>108</v>
      </c>
      <c r="X112" s="1">
        <f t="shared" si="66"/>
        <v>48806</v>
      </c>
      <c r="Y112" s="60">
        <f>IF($X112&lt;Input!$H$58,IF($X112&lt;Input!$G$58,IF($X112&lt;Input!$F$58,IF($X112&lt;Input!$E$58,IF($X112&lt;Input!$D$58,Input!$C$64,Input!$D$64),Input!$E$64),Input!$F$64),Input!$G$64),Input!$H$64)</f>
        <v>0</v>
      </c>
      <c r="Z112" s="190">
        <f>IF($A112&lt;Input!$H$65,IF($A112&lt;Input!$G$65,IF($A112&lt;Input!$F$65,IF($A112&lt;Input!$E$65,IF($A112&lt;Input!$D$65,Input!$C$66,Input!$D$66),Input!$E$66),Input!$F$66),Input!$G$66),Input!$H$66)</f>
        <v>0.9</v>
      </c>
      <c r="AA112" s="60">
        <f t="shared" si="53"/>
        <v>0</v>
      </c>
      <c r="AB112" s="60">
        <f t="shared" si="67"/>
        <v>31</v>
      </c>
      <c r="AC112" s="60">
        <f t="shared" si="54"/>
        <v>0</v>
      </c>
      <c r="AD112" s="60">
        <f>ROUND(AC112*AB112*Input!$C$3/365,0)</f>
        <v>0</v>
      </c>
      <c r="AE112" s="61">
        <f>IF($A112&lt;=Input!$C$6,0,IF('180M'!AA112&lt;'180M'!AC112,'180M'!AA112-AD112,'180M'!AC112))</f>
        <v>0</v>
      </c>
      <c r="AF112" s="61">
        <f t="shared" si="55"/>
        <v>0</v>
      </c>
      <c r="AG112" s="60">
        <f t="shared" si="56"/>
        <v>0</v>
      </c>
      <c r="AH112" s="193"/>
      <c r="AI112" s="169">
        <v>108</v>
      </c>
      <c r="AJ112" s="1">
        <f t="shared" si="68"/>
        <v>48806</v>
      </c>
      <c r="AK112" s="60">
        <f>IF($X112&lt;Input!$H$73,IF($X112&lt;Input!$G$73,IF($X112&lt;Input!$F$73,IF($X112&lt;Input!$E$73,IF($X112&lt;Input!$D$73,Input!$C$79,Input!$D$79),Input!$E$79),Input!$F$79),Input!$G$79),Input!$H$79)</f>
        <v>0</v>
      </c>
      <c r="AL112" s="190">
        <f>IF($A112&lt;Input!$H$80,IF($A112&lt;Input!$G$80,IF($A112&lt;Input!$F$80,IF($A112&lt;Input!$E$80,IF($A112&lt;Input!$D$80,Input!$C$81,Input!$D$81),Input!$E$81),Input!$F$81),Input!$G$81),Input!$H$81)</f>
        <v>0.9</v>
      </c>
      <c r="AM112" s="60">
        <f t="shared" si="69"/>
        <v>0</v>
      </c>
      <c r="AN112" s="60">
        <f t="shared" si="70"/>
        <v>31</v>
      </c>
      <c r="AO112" s="60">
        <f t="shared" si="71"/>
        <v>0</v>
      </c>
      <c r="AP112" s="60">
        <f>ROUND(AO112*AN112*Input!$C$3/365,0)</f>
        <v>0</v>
      </c>
      <c r="AQ112" s="61">
        <f>IF($A112&lt;=Input!$C$6,0,IF('180M'!AM112&lt;'180M'!AO112,'180M'!AM112-AP112,'180M'!AO112))</f>
        <v>0</v>
      </c>
      <c r="AR112" s="61">
        <f t="shared" si="72"/>
        <v>0</v>
      </c>
      <c r="AS112" s="60">
        <f t="shared" si="73"/>
        <v>0</v>
      </c>
      <c r="AT112" s="193"/>
      <c r="AU112" s="169">
        <v>108</v>
      </c>
      <c r="AV112" s="1">
        <f t="shared" si="74"/>
        <v>48806</v>
      </c>
      <c r="AW112" s="60">
        <f>IF($X112&lt;Input!$H$88,IF($X112&lt;Input!$G$88,IF($X112&lt;Input!$F$88,IF($X112&lt;Input!$E$88,IF($X112&lt;Input!$D$88,Input!$C$94,Input!$D$94),Input!$E$94),Input!$F$94),Input!$G$94),Input!$H$94)</f>
        <v>0</v>
      </c>
      <c r="AX112" s="190">
        <f>IF($A112&lt;Input!$H$95,IF($A112&lt;Input!$G$95,IF($A112&lt;Input!$F$95,IF($A112&lt;Input!$E$95,IF($A112&lt;Input!$D$95,Input!$C$96,Input!$D$96),Input!$E$96),Input!$F$96),Input!$G$96),Input!$H$96)</f>
        <v>0.9</v>
      </c>
      <c r="AY112" s="60">
        <f t="shared" si="75"/>
        <v>0</v>
      </c>
      <c r="AZ112" s="60">
        <f t="shared" si="76"/>
        <v>31</v>
      </c>
      <c r="BA112" s="60">
        <f t="shared" si="77"/>
        <v>0</v>
      </c>
      <c r="BB112" s="60">
        <f>ROUND(BA112*AZ112*Input!$C$3/365,0)</f>
        <v>0</v>
      </c>
      <c r="BC112" s="61">
        <f>IF($A112&lt;=Input!$C$6,0,IF('180M'!AY112&lt;'180M'!BA112,'180M'!AY112-BB112,'180M'!BA112))</f>
        <v>0</v>
      </c>
      <c r="BD112" s="61">
        <f t="shared" si="78"/>
        <v>0</v>
      </c>
      <c r="BE112" s="60">
        <f t="shared" si="79"/>
        <v>0</v>
      </c>
      <c r="BF112" s="193"/>
      <c r="BG112" s="169">
        <v>108</v>
      </c>
      <c r="BH112" s="1">
        <f t="shared" si="80"/>
        <v>48806</v>
      </c>
      <c r="BI112" s="60">
        <f>IF($X112&lt;Input!$H$103,IF($X112&lt;Input!$G$103,IF($X112&lt;Input!$F$103,IF($X112&lt;Input!$E$103,IF($X112&lt;Input!$D$103,Input!$C$109,Input!$D$109),Input!$E$109),Input!$F$109),Input!$G$109),Input!$H$109)</f>
        <v>0</v>
      </c>
      <c r="BJ112" s="190">
        <f>IF($A112&lt;Input!$H$110,IF($A112&lt;Input!$G$110,IF($A112&lt;Input!$F$110,IF($A112&lt;Input!$E$110,IF($A112&lt;Input!$D$110,Input!$C$111,Input!$D$111),Input!$E$111),Input!$F$111),Input!$G$111),Input!$H$111)</f>
        <v>0.9</v>
      </c>
      <c r="BK112" s="60">
        <f t="shared" si="57"/>
        <v>0</v>
      </c>
      <c r="BL112" s="60">
        <f t="shared" si="81"/>
        <v>31</v>
      </c>
      <c r="BM112" s="60">
        <f t="shared" si="58"/>
        <v>0</v>
      </c>
      <c r="BN112" s="60">
        <f>ROUND(BM112*BL112*Input!$C$3/365,0)</f>
        <v>0</v>
      </c>
      <c r="BO112" s="61">
        <f>IF($A112&lt;=Input!$C$6,0,IF('180M'!BK112&lt;'180M'!BM112,'180M'!BK112-BN112,'180M'!BM112))</f>
        <v>0</v>
      </c>
      <c r="BP112" s="61">
        <f t="shared" si="59"/>
        <v>0</v>
      </c>
      <c r="BQ112" s="60">
        <f t="shared" si="60"/>
        <v>0</v>
      </c>
      <c r="BR112" s="198"/>
    </row>
    <row r="113" spans="1:70" x14ac:dyDescent="0.25">
      <c r="A113" s="169">
        <v>109</v>
      </c>
      <c r="B113" s="1">
        <f t="shared" si="61"/>
        <v>48837</v>
      </c>
      <c r="C113" s="60">
        <f t="shared" si="47"/>
        <v>33127052.878124986</v>
      </c>
      <c r="D113" s="60">
        <f t="shared" si="48"/>
        <v>29814347.590312488</v>
      </c>
      <c r="E113" s="60">
        <f t="shared" si="62"/>
        <v>31</v>
      </c>
      <c r="F113" s="60">
        <f t="shared" si="63"/>
        <v>1409644982.4979434</v>
      </c>
      <c r="G113" s="60">
        <f>ROUND(F113*E113*Input!$C$3/365,0)</f>
        <v>17958491</v>
      </c>
      <c r="H113" s="60">
        <f>IF($A113&lt;=Input!$C$6,0,IF('180M'!D113&lt;'180M'!F113,'180M'!D113-G113,'180M'!F113))</f>
        <v>11855856.590312488</v>
      </c>
      <c r="I113" s="60">
        <f t="shared" si="64"/>
        <v>29814347.590312488</v>
      </c>
      <c r="J113" s="60">
        <f t="shared" si="65"/>
        <v>1397789125.9076309</v>
      </c>
      <c r="K113" s="203">
        <f>J113/Input!$K$5</f>
        <v>4.6592970863587695</v>
      </c>
      <c r="L113" s="232"/>
      <c r="M113" s="60">
        <f>IF($B113&lt;Input!$H$43,IF($B113&lt;Input!$G$43,IF($B113&lt;Input!$F$43,IF($B113&lt;Input!$E$43,IF($B113&lt;Input!$D$43,Input!$C$49,Input!$D$49),Input!$E$49),Input!$F$49),Input!$G$49),Input!$H$49)</f>
        <v>33127052.878124986</v>
      </c>
      <c r="N113" s="190">
        <f>IF($A113&lt;Input!$H$50,IF($A113&lt;Input!$G$50,IF($A113&lt;Input!$F$50,IF($A113&lt;Input!$E$50,IF($A113&lt;Input!$D$50,Input!$C$51,Input!$D$51),Input!$E$51),Input!$F$51),Input!$G$51),Input!$H$51)</f>
        <v>0.9</v>
      </c>
      <c r="O113" s="60">
        <f t="shared" si="82"/>
        <v>29814347.590312488</v>
      </c>
      <c r="P113" s="60">
        <f t="shared" si="83"/>
        <v>31</v>
      </c>
      <c r="Q113" s="60">
        <f t="shared" si="50"/>
        <v>1409644982.4979434</v>
      </c>
      <c r="R113" s="60">
        <f>ROUND(Q113*$P113*Input!$C$3/365,0)</f>
        <v>17958491</v>
      </c>
      <c r="S113" s="60">
        <f>IF(A113&lt;=Input!$C$6,0,IF('180M'!O113&lt;'180M'!Q113,'180M'!O113-R113,'180M'!Q113))</f>
        <v>11855856.590312488</v>
      </c>
      <c r="T113" s="60">
        <f t="shared" si="51"/>
        <v>29814347.590312488</v>
      </c>
      <c r="U113" s="60">
        <f t="shared" si="52"/>
        <v>1397789125.9076309</v>
      </c>
      <c r="V113" s="193"/>
      <c r="W113" s="169">
        <v>109</v>
      </c>
      <c r="X113" s="1">
        <f t="shared" si="66"/>
        <v>48837</v>
      </c>
      <c r="Y113" s="60">
        <f>IF($X113&lt;Input!$H$58,IF($X113&lt;Input!$G$58,IF($X113&lt;Input!$F$58,IF($X113&lt;Input!$E$58,IF($X113&lt;Input!$D$58,Input!$C$64,Input!$D$64),Input!$E$64),Input!$F$64),Input!$G$64),Input!$H$64)</f>
        <v>0</v>
      </c>
      <c r="Z113" s="190">
        <f>IF($A113&lt;Input!$H$65,IF($A113&lt;Input!$G$65,IF($A113&lt;Input!$F$65,IF($A113&lt;Input!$E$65,IF($A113&lt;Input!$D$65,Input!$C$66,Input!$D$66),Input!$E$66),Input!$F$66),Input!$G$66),Input!$H$66)</f>
        <v>0.9</v>
      </c>
      <c r="AA113" s="60">
        <f t="shared" si="53"/>
        <v>0</v>
      </c>
      <c r="AB113" s="60">
        <f t="shared" si="67"/>
        <v>31</v>
      </c>
      <c r="AC113" s="60">
        <f t="shared" si="54"/>
        <v>0</v>
      </c>
      <c r="AD113" s="60">
        <f>ROUND(AC113*AB113*Input!$C$3/365,0)</f>
        <v>0</v>
      </c>
      <c r="AE113" s="61">
        <f>IF($A113&lt;=Input!$C$6,0,IF('180M'!AA113&lt;'180M'!AC113,'180M'!AA113-AD113,'180M'!AC113))</f>
        <v>0</v>
      </c>
      <c r="AF113" s="61">
        <f t="shared" si="55"/>
        <v>0</v>
      </c>
      <c r="AG113" s="60">
        <f t="shared" si="56"/>
        <v>0</v>
      </c>
      <c r="AH113" s="193"/>
      <c r="AI113" s="169">
        <v>109</v>
      </c>
      <c r="AJ113" s="1">
        <f t="shared" si="68"/>
        <v>48837</v>
      </c>
      <c r="AK113" s="60">
        <f>IF($X113&lt;Input!$H$73,IF($X113&lt;Input!$G$73,IF($X113&lt;Input!$F$73,IF($X113&lt;Input!$E$73,IF($X113&lt;Input!$D$73,Input!$C$79,Input!$D$79),Input!$E$79),Input!$F$79),Input!$G$79),Input!$H$79)</f>
        <v>0</v>
      </c>
      <c r="AL113" s="190">
        <f>IF($A113&lt;Input!$H$80,IF($A113&lt;Input!$G$80,IF($A113&lt;Input!$F$80,IF($A113&lt;Input!$E$80,IF($A113&lt;Input!$D$80,Input!$C$81,Input!$D$81),Input!$E$81),Input!$F$81),Input!$G$81),Input!$H$81)</f>
        <v>0.9</v>
      </c>
      <c r="AM113" s="60">
        <f t="shared" si="69"/>
        <v>0</v>
      </c>
      <c r="AN113" s="60">
        <f t="shared" si="70"/>
        <v>31</v>
      </c>
      <c r="AO113" s="60">
        <f t="shared" si="71"/>
        <v>0</v>
      </c>
      <c r="AP113" s="60">
        <f>ROUND(AO113*AN113*Input!$C$3/365,0)</f>
        <v>0</v>
      </c>
      <c r="AQ113" s="61">
        <f>IF($A113&lt;=Input!$C$6,0,IF('180M'!AM113&lt;'180M'!AO113,'180M'!AM113-AP113,'180M'!AO113))</f>
        <v>0</v>
      </c>
      <c r="AR113" s="61">
        <f t="shared" si="72"/>
        <v>0</v>
      </c>
      <c r="AS113" s="60">
        <f t="shared" si="73"/>
        <v>0</v>
      </c>
      <c r="AT113" s="193"/>
      <c r="AU113" s="169">
        <v>109</v>
      </c>
      <c r="AV113" s="1">
        <f t="shared" si="74"/>
        <v>48837</v>
      </c>
      <c r="AW113" s="60">
        <f>IF($X113&lt;Input!$H$88,IF($X113&lt;Input!$G$88,IF($X113&lt;Input!$F$88,IF($X113&lt;Input!$E$88,IF($X113&lt;Input!$D$88,Input!$C$94,Input!$D$94),Input!$E$94),Input!$F$94),Input!$G$94),Input!$H$94)</f>
        <v>0</v>
      </c>
      <c r="AX113" s="190">
        <f>IF($A113&lt;Input!$H$95,IF($A113&lt;Input!$G$95,IF($A113&lt;Input!$F$95,IF($A113&lt;Input!$E$95,IF($A113&lt;Input!$D$95,Input!$C$96,Input!$D$96),Input!$E$96),Input!$F$96),Input!$G$96),Input!$H$96)</f>
        <v>0.9</v>
      </c>
      <c r="AY113" s="60">
        <f t="shared" si="75"/>
        <v>0</v>
      </c>
      <c r="AZ113" s="60">
        <f t="shared" si="76"/>
        <v>31</v>
      </c>
      <c r="BA113" s="60">
        <f t="shared" si="77"/>
        <v>0</v>
      </c>
      <c r="BB113" s="60">
        <f>ROUND(BA113*AZ113*Input!$C$3/365,0)</f>
        <v>0</v>
      </c>
      <c r="BC113" s="61">
        <f>IF($A113&lt;=Input!$C$6,0,IF('180M'!AY113&lt;'180M'!BA113,'180M'!AY113-BB113,'180M'!BA113))</f>
        <v>0</v>
      </c>
      <c r="BD113" s="61">
        <f t="shared" si="78"/>
        <v>0</v>
      </c>
      <c r="BE113" s="60">
        <f t="shared" si="79"/>
        <v>0</v>
      </c>
      <c r="BF113" s="193"/>
      <c r="BG113" s="169">
        <v>109</v>
      </c>
      <c r="BH113" s="1">
        <f t="shared" si="80"/>
        <v>48837</v>
      </c>
      <c r="BI113" s="60">
        <f>IF($X113&lt;Input!$H$103,IF($X113&lt;Input!$G$103,IF($X113&lt;Input!$F$103,IF($X113&lt;Input!$E$103,IF($X113&lt;Input!$D$103,Input!$C$109,Input!$D$109),Input!$E$109),Input!$F$109),Input!$G$109),Input!$H$109)</f>
        <v>0</v>
      </c>
      <c r="BJ113" s="190">
        <f>IF($A113&lt;Input!$H$110,IF($A113&lt;Input!$G$110,IF($A113&lt;Input!$F$110,IF($A113&lt;Input!$E$110,IF($A113&lt;Input!$D$110,Input!$C$111,Input!$D$111),Input!$E$111),Input!$F$111),Input!$G$111),Input!$H$111)</f>
        <v>0.9</v>
      </c>
      <c r="BK113" s="60">
        <f t="shared" si="57"/>
        <v>0</v>
      </c>
      <c r="BL113" s="60">
        <f t="shared" si="81"/>
        <v>31</v>
      </c>
      <c r="BM113" s="60">
        <f t="shared" si="58"/>
        <v>0</v>
      </c>
      <c r="BN113" s="60">
        <f>ROUND(BM113*BL113*Input!$C$3/365,0)</f>
        <v>0</v>
      </c>
      <c r="BO113" s="61">
        <f>IF($A113&lt;=Input!$C$6,0,IF('180M'!BK113&lt;'180M'!BM113,'180M'!BK113-BN113,'180M'!BM113))</f>
        <v>0</v>
      </c>
      <c r="BP113" s="61">
        <f t="shared" si="59"/>
        <v>0</v>
      </c>
      <c r="BQ113" s="60">
        <f t="shared" si="60"/>
        <v>0</v>
      </c>
      <c r="BR113" s="198"/>
    </row>
    <row r="114" spans="1:70" x14ac:dyDescent="0.25">
      <c r="A114" s="169">
        <v>110</v>
      </c>
      <c r="B114" s="1">
        <f t="shared" si="61"/>
        <v>48867</v>
      </c>
      <c r="C114" s="60">
        <f t="shared" si="47"/>
        <v>33127052.878124986</v>
      </c>
      <c r="D114" s="60">
        <f t="shared" si="48"/>
        <v>29814347.590312488</v>
      </c>
      <c r="E114" s="60">
        <f t="shared" si="62"/>
        <v>30</v>
      </c>
      <c r="F114" s="60">
        <f t="shared" si="63"/>
        <v>1397789125.9076309</v>
      </c>
      <c r="G114" s="60">
        <f>ROUND(F114*E114*Input!$C$3/365,0)</f>
        <v>17233017</v>
      </c>
      <c r="H114" s="60">
        <f>IF($A114&lt;=Input!$C$6,0,IF('180M'!D114&lt;'180M'!F114,'180M'!D114-G114,'180M'!F114))</f>
        <v>12581330.590312488</v>
      </c>
      <c r="I114" s="60">
        <f t="shared" si="64"/>
        <v>29814347.590312488</v>
      </c>
      <c r="J114" s="60">
        <f t="shared" si="65"/>
        <v>1385207795.3173184</v>
      </c>
      <c r="K114" s="203">
        <f>J114/Input!$K$5</f>
        <v>4.6173593177243948</v>
      </c>
      <c r="L114" s="232"/>
      <c r="M114" s="60">
        <f>IF($B114&lt;Input!$H$43,IF($B114&lt;Input!$G$43,IF($B114&lt;Input!$F$43,IF($B114&lt;Input!$E$43,IF($B114&lt;Input!$D$43,Input!$C$49,Input!$D$49),Input!$E$49),Input!$F$49),Input!$G$49),Input!$H$49)</f>
        <v>33127052.878124986</v>
      </c>
      <c r="N114" s="190">
        <f>IF($A114&lt;Input!$H$50,IF($A114&lt;Input!$G$50,IF($A114&lt;Input!$F$50,IF($A114&lt;Input!$E$50,IF($A114&lt;Input!$D$50,Input!$C$51,Input!$D$51),Input!$E$51),Input!$F$51),Input!$G$51),Input!$H$51)</f>
        <v>0.9</v>
      </c>
      <c r="O114" s="60">
        <f t="shared" si="82"/>
        <v>29814347.590312488</v>
      </c>
      <c r="P114" s="60">
        <f t="shared" si="83"/>
        <v>30</v>
      </c>
      <c r="Q114" s="60">
        <f t="shared" si="50"/>
        <v>1397789125.9076309</v>
      </c>
      <c r="R114" s="60">
        <f>ROUND(Q114*$P114*Input!$C$3/365,0)</f>
        <v>17233017</v>
      </c>
      <c r="S114" s="60">
        <f>IF(A114&lt;=Input!$C$6,0,IF('180M'!O114&lt;'180M'!Q114,'180M'!O114-R114,'180M'!Q114))</f>
        <v>12581330.590312488</v>
      </c>
      <c r="T114" s="60">
        <f t="shared" si="51"/>
        <v>29814347.590312488</v>
      </c>
      <c r="U114" s="60">
        <f t="shared" si="52"/>
        <v>1385207795.3173184</v>
      </c>
      <c r="V114" s="193"/>
      <c r="W114" s="169">
        <v>110</v>
      </c>
      <c r="X114" s="1">
        <f t="shared" si="66"/>
        <v>48867</v>
      </c>
      <c r="Y114" s="60">
        <f>IF($X114&lt;Input!$H$58,IF($X114&lt;Input!$G$58,IF($X114&lt;Input!$F$58,IF($X114&lt;Input!$E$58,IF($X114&lt;Input!$D$58,Input!$C$64,Input!$D$64),Input!$E$64),Input!$F$64),Input!$G$64),Input!$H$64)</f>
        <v>0</v>
      </c>
      <c r="Z114" s="190">
        <f>IF($A114&lt;Input!$H$65,IF($A114&lt;Input!$G$65,IF($A114&lt;Input!$F$65,IF($A114&lt;Input!$E$65,IF($A114&lt;Input!$D$65,Input!$C$66,Input!$D$66),Input!$E$66),Input!$F$66),Input!$G$66),Input!$H$66)</f>
        <v>0.9</v>
      </c>
      <c r="AA114" s="60">
        <f t="shared" si="53"/>
        <v>0</v>
      </c>
      <c r="AB114" s="60">
        <f t="shared" si="67"/>
        <v>30</v>
      </c>
      <c r="AC114" s="60">
        <f t="shared" si="54"/>
        <v>0</v>
      </c>
      <c r="AD114" s="60">
        <f>ROUND(AC114*AB114*Input!$C$3/365,0)</f>
        <v>0</v>
      </c>
      <c r="AE114" s="61">
        <f>IF($A114&lt;=Input!$C$6,0,IF('180M'!AA114&lt;'180M'!AC114,'180M'!AA114-AD114,'180M'!AC114))</f>
        <v>0</v>
      </c>
      <c r="AF114" s="61">
        <f t="shared" si="55"/>
        <v>0</v>
      </c>
      <c r="AG114" s="60">
        <f t="shared" si="56"/>
        <v>0</v>
      </c>
      <c r="AH114" s="193"/>
      <c r="AI114" s="169">
        <v>110</v>
      </c>
      <c r="AJ114" s="1">
        <f t="shared" si="68"/>
        <v>48867</v>
      </c>
      <c r="AK114" s="60">
        <f>IF($X114&lt;Input!$H$73,IF($X114&lt;Input!$G$73,IF($X114&lt;Input!$F$73,IF($X114&lt;Input!$E$73,IF($X114&lt;Input!$D$73,Input!$C$79,Input!$D$79),Input!$E$79),Input!$F$79),Input!$G$79),Input!$H$79)</f>
        <v>0</v>
      </c>
      <c r="AL114" s="190">
        <f>IF($A114&lt;Input!$H$80,IF($A114&lt;Input!$G$80,IF($A114&lt;Input!$F$80,IF($A114&lt;Input!$E$80,IF($A114&lt;Input!$D$80,Input!$C$81,Input!$D$81),Input!$E$81),Input!$F$81),Input!$G$81),Input!$H$81)</f>
        <v>0.9</v>
      </c>
      <c r="AM114" s="60">
        <f t="shared" si="69"/>
        <v>0</v>
      </c>
      <c r="AN114" s="60">
        <f t="shared" si="70"/>
        <v>30</v>
      </c>
      <c r="AO114" s="60">
        <f t="shared" si="71"/>
        <v>0</v>
      </c>
      <c r="AP114" s="60">
        <f>ROUND(AO114*AN114*Input!$C$3/365,0)</f>
        <v>0</v>
      </c>
      <c r="AQ114" s="61">
        <f>IF($A114&lt;=Input!$C$6,0,IF('180M'!AM114&lt;'180M'!AO114,'180M'!AM114-AP114,'180M'!AO114))</f>
        <v>0</v>
      </c>
      <c r="AR114" s="61">
        <f t="shared" si="72"/>
        <v>0</v>
      </c>
      <c r="AS114" s="60">
        <f t="shared" si="73"/>
        <v>0</v>
      </c>
      <c r="AT114" s="193"/>
      <c r="AU114" s="169">
        <v>110</v>
      </c>
      <c r="AV114" s="1">
        <f t="shared" si="74"/>
        <v>48867</v>
      </c>
      <c r="AW114" s="60">
        <f>IF($X114&lt;Input!$H$88,IF($X114&lt;Input!$G$88,IF($X114&lt;Input!$F$88,IF($X114&lt;Input!$E$88,IF($X114&lt;Input!$D$88,Input!$C$94,Input!$D$94),Input!$E$94),Input!$F$94),Input!$G$94),Input!$H$94)</f>
        <v>0</v>
      </c>
      <c r="AX114" s="190">
        <f>IF($A114&lt;Input!$H$95,IF($A114&lt;Input!$G$95,IF($A114&lt;Input!$F$95,IF($A114&lt;Input!$E$95,IF($A114&lt;Input!$D$95,Input!$C$96,Input!$D$96),Input!$E$96),Input!$F$96),Input!$G$96),Input!$H$96)</f>
        <v>0.9</v>
      </c>
      <c r="AY114" s="60">
        <f t="shared" si="75"/>
        <v>0</v>
      </c>
      <c r="AZ114" s="60">
        <f t="shared" si="76"/>
        <v>30</v>
      </c>
      <c r="BA114" s="60">
        <f t="shared" si="77"/>
        <v>0</v>
      </c>
      <c r="BB114" s="60">
        <f>ROUND(BA114*AZ114*Input!$C$3/365,0)</f>
        <v>0</v>
      </c>
      <c r="BC114" s="61">
        <f>IF($A114&lt;=Input!$C$6,0,IF('180M'!AY114&lt;'180M'!BA114,'180M'!AY114-BB114,'180M'!BA114))</f>
        <v>0</v>
      </c>
      <c r="BD114" s="61">
        <f t="shared" si="78"/>
        <v>0</v>
      </c>
      <c r="BE114" s="60">
        <f t="shared" si="79"/>
        <v>0</v>
      </c>
      <c r="BF114" s="193"/>
      <c r="BG114" s="169">
        <v>110</v>
      </c>
      <c r="BH114" s="1">
        <f t="shared" si="80"/>
        <v>48867</v>
      </c>
      <c r="BI114" s="60">
        <f>IF($X114&lt;Input!$H$103,IF($X114&lt;Input!$G$103,IF($X114&lt;Input!$F$103,IF($X114&lt;Input!$E$103,IF($X114&lt;Input!$D$103,Input!$C$109,Input!$D$109),Input!$E$109),Input!$F$109),Input!$G$109),Input!$H$109)</f>
        <v>0</v>
      </c>
      <c r="BJ114" s="190">
        <f>IF($A114&lt;Input!$H$110,IF($A114&lt;Input!$G$110,IF($A114&lt;Input!$F$110,IF($A114&lt;Input!$E$110,IF($A114&lt;Input!$D$110,Input!$C$111,Input!$D$111),Input!$E$111),Input!$F$111),Input!$G$111),Input!$H$111)</f>
        <v>0.9</v>
      </c>
      <c r="BK114" s="60">
        <f t="shared" si="57"/>
        <v>0</v>
      </c>
      <c r="BL114" s="60">
        <f t="shared" si="81"/>
        <v>30</v>
      </c>
      <c r="BM114" s="60">
        <f t="shared" si="58"/>
        <v>0</v>
      </c>
      <c r="BN114" s="60">
        <f>ROUND(BM114*BL114*Input!$C$3/365,0)</f>
        <v>0</v>
      </c>
      <c r="BO114" s="61">
        <f>IF($A114&lt;=Input!$C$6,0,IF('180M'!BK114&lt;'180M'!BM114,'180M'!BK114-BN114,'180M'!BM114))</f>
        <v>0</v>
      </c>
      <c r="BP114" s="61">
        <f t="shared" si="59"/>
        <v>0</v>
      </c>
      <c r="BQ114" s="60">
        <f t="shared" si="60"/>
        <v>0</v>
      </c>
      <c r="BR114" s="198"/>
    </row>
    <row r="115" spans="1:70" x14ac:dyDescent="0.25">
      <c r="A115" s="169">
        <v>111</v>
      </c>
      <c r="B115" s="1">
        <f t="shared" si="61"/>
        <v>48898</v>
      </c>
      <c r="C115" s="60">
        <f t="shared" si="47"/>
        <v>33127052.878124986</v>
      </c>
      <c r="D115" s="60">
        <f t="shared" si="48"/>
        <v>29814347.590312488</v>
      </c>
      <c r="E115" s="60">
        <f t="shared" si="62"/>
        <v>31</v>
      </c>
      <c r="F115" s="60">
        <f t="shared" si="63"/>
        <v>1385207795.3173184</v>
      </c>
      <c r="G115" s="60">
        <f>ROUND(F115*E115*Input!$C$3/365,0)</f>
        <v>17647168</v>
      </c>
      <c r="H115" s="60">
        <f>IF($A115&lt;=Input!$C$6,0,IF('180M'!D115&lt;'180M'!F115,'180M'!D115-G115,'180M'!F115))</f>
        <v>12167179.590312488</v>
      </c>
      <c r="I115" s="60">
        <f t="shared" si="64"/>
        <v>29814347.590312488</v>
      </c>
      <c r="J115" s="60">
        <f t="shared" si="65"/>
        <v>1373040615.727006</v>
      </c>
      <c r="K115" s="203">
        <f>J115/Input!$K$5</f>
        <v>4.5768020524233535</v>
      </c>
      <c r="L115" s="232"/>
      <c r="M115" s="60">
        <f>IF($B115&lt;Input!$H$43,IF($B115&lt;Input!$G$43,IF($B115&lt;Input!$F$43,IF($B115&lt;Input!$E$43,IF($B115&lt;Input!$D$43,Input!$C$49,Input!$D$49),Input!$E$49),Input!$F$49),Input!$G$49),Input!$H$49)</f>
        <v>33127052.878124986</v>
      </c>
      <c r="N115" s="190">
        <f>IF($A115&lt;Input!$H$50,IF($A115&lt;Input!$G$50,IF($A115&lt;Input!$F$50,IF($A115&lt;Input!$E$50,IF($A115&lt;Input!$D$50,Input!$C$51,Input!$D$51),Input!$E$51),Input!$F$51),Input!$G$51),Input!$H$51)</f>
        <v>0.9</v>
      </c>
      <c r="O115" s="60">
        <f t="shared" si="82"/>
        <v>29814347.590312488</v>
      </c>
      <c r="P115" s="60">
        <f t="shared" si="83"/>
        <v>31</v>
      </c>
      <c r="Q115" s="60">
        <f t="shared" si="50"/>
        <v>1385207795.3173184</v>
      </c>
      <c r="R115" s="60">
        <f>ROUND(Q115*$P115*Input!$C$3/365,0)</f>
        <v>17647168</v>
      </c>
      <c r="S115" s="60">
        <f>IF(A115&lt;=Input!$C$6,0,IF('180M'!O115&lt;'180M'!Q115,'180M'!O115-R115,'180M'!Q115))</f>
        <v>12167179.590312488</v>
      </c>
      <c r="T115" s="60">
        <f t="shared" si="51"/>
        <v>29814347.590312488</v>
      </c>
      <c r="U115" s="60">
        <f t="shared" si="52"/>
        <v>1373040615.727006</v>
      </c>
      <c r="V115" s="193"/>
      <c r="W115" s="169">
        <v>111</v>
      </c>
      <c r="X115" s="1">
        <f t="shared" si="66"/>
        <v>48898</v>
      </c>
      <c r="Y115" s="60">
        <f>IF($X115&lt;Input!$H$58,IF($X115&lt;Input!$G$58,IF($X115&lt;Input!$F$58,IF($X115&lt;Input!$E$58,IF($X115&lt;Input!$D$58,Input!$C$64,Input!$D$64),Input!$E$64),Input!$F$64),Input!$G$64),Input!$H$64)</f>
        <v>0</v>
      </c>
      <c r="Z115" s="190">
        <f>IF($A115&lt;Input!$H$65,IF($A115&lt;Input!$G$65,IF($A115&lt;Input!$F$65,IF($A115&lt;Input!$E$65,IF($A115&lt;Input!$D$65,Input!$C$66,Input!$D$66),Input!$E$66),Input!$F$66),Input!$G$66),Input!$H$66)</f>
        <v>0.9</v>
      </c>
      <c r="AA115" s="60">
        <f t="shared" si="53"/>
        <v>0</v>
      </c>
      <c r="AB115" s="60">
        <f t="shared" si="67"/>
        <v>31</v>
      </c>
      <c r="AC115" s="60">
        <f t="shared" si="54"/>
        <v>0</v>
      </c>
      <c r="AD115" s="60">
        <f>ROUND(AC115*AB115*Input!$C$3/365,0)</f>
        <v>0</v>
      </c>
      <c r="AE115" s="61">
        <f>IF($A115&lt;=Input!$C$6,0,IF('180M'!AA115&lt;'180M'!AC115,'180M'!AA115-AD115,'180M'!AC115))</f>
        <v>0</v>
      </c>
      <c r="AF115" s="61">
        <f t="shared" si="55"/>
        <v>0</v>
      </c>
      <c r="AG115" s="60">
        <f t="shared" si="56"/>
        <v>0</v>
      </c>
      <c r="AH115" s="193"/>
      <c r="AI115" s="169">
        <v>111</v>
      </c>
      <c r="AJ115" s="1">
        <f t="shared" si="68"/>
        <v>48898</v>
      </c>
      <c r="AK115" s="60">
        <f>IF($X115&lt;Input!$H$73,IF($X115&lt;Input!$G$73,IF($X115&lt;Input!$F$73,IF($X115&lt;Input!$E$73,IF($X115&lt;Input!$D$73,Input!$C$79,Input!$D$79),Input!$E$79),Input!$F$79),Input!$G$79),Input!$H$79)</f>
        <v>0</v>
      </c>
      <c r="AL115" s="190">
        <f>IF($A115&lt;Input!$H$80,IF($A115&lt;Input!$G$80,IF($A115&lt;Input!$F$80,IF($A115&lt;Input!$E$80,IF($A115&lt;Input!$D$80,Input!$C$81,Input!$D$81),Input!$E$81),Input!$F$81),Input!$G$81),Input!$H$81)</f>
        <v>0.9</v>
      </c>
      <c r="AM115" s="60">
        <f t="shared" si="69"/>
        <v>0</v>
      </c>
      <c r="AN115" s="60">
        <f t="shared" si="70"/>
        <v>31</v>
      </c>
      <c r="AO115" s="60">
        <f t="shared" si="71"/>
        <v>0</v>
      </c>
      <c r="AP115" s="60">
        <f>ROUND(AO115*AN115*Input!$C$3/365,0)</f>
        <v>0</v>
      </c>
      <c r="AQ115" s="61">
        <f>IF($A115&lt;=Input!$C$6,0,IF('180M'!AM115&lt;'180M'!AO115,'180M'!AM115-AP115,'180M'!AO115))</f>
        <v>0</v>
      </c>
      <c r="AR115" s="61">
        <f t="shared" si="72"/>
        <v>0</v>
      </c>
      <c r="AS115" s="60">
        <f t="shared" si="73"/>
        <v>0</v>
      </c>
      <c r="AT115" s="193"/>
      <c r="AU115" s="169">
        <v>111</v>
      </c>
      <c r="AV115" s="1">
        <f t="shared" si="74"/>
        <v>48898</v>
      </c>
      <c r="AW115" s="60">
        <f>IF($X115&lt;Input!$H$88,IF($X115&lt;Input!$G$88,IF($X115&lt;Input!$F$88,IF($X115&lt;Input!$E$88,IF($X115&lt;Input!$D$88,Input!$C$94,Input!$D$94),Input!$E$94),Input!$F$94),Input!$G$94),Input!$H$94)</f>
        <v>0</v>
      </c>
      <c r="AX115" s="190">
        <f>IF($A115&lt;Input!$H$95,IF($A115&lt;Input!$G$95,IF($A115&lt;Input!$F$95,IF($A115&lt;Input!$E$95,IF($A115&lt;Input!$D$95,Input!$C$96,Input!$D$96),Input!$E$96),Input!$F$96),Input!$G$96),Input!$H$96)</f>
        <v>0.9</v>
      </c>
      <c r="AY115" s="60">
        <f t="shared" si="75"/>
        <v>0</v>
      </c>
      <c r="AZ115" s="60">
        <f t="shared" si="76"/>
        <v>31</v>
      </c>
      <c r="BA115" s="60">
        <f t="shared" si="77"/>
        <v>0</v>
      </c>
      <c r="BB115" s="60">
        <f>ROUND(BA115*AZ115*Input!$C$3/365,0)</f>
        <v>0</v>
      </c>
      <c r="BC115" s="61">
        <f>IF($A115&lt;=Input!$C$6,0,IF('180M'!AY115&lt;'180M'!BA115,'180M'!AY115-BB115,'180M'!BA115))</f>
        <v>0</v>
      </c>
      <c r="BD115" s="61">
        <f t="shared" si="78"/>
        <v>0</v>
      </c>
      <c r="BE115" s="60">
        <f t="shared" si="79"/>
        <v>0</v>
      </c>
      <c r="BF115" s="193"/>
      <c r="BG115" s="169">
        <v>111</v>
      </c>
      <c r="BH115" s="1">
        <f t="shared" si="80"/>
        <v>48898</v>
      </c>
      <c r="BI115" s="60">
        <f>IF($X115&lt;Input!$H$103,IF($X115&lt;Input!$G$103,IF($X115&lt;Input!$F$103,IF($X115&lt;Input!$E$103,IF($X115&lt;Input!$D$103,Input!$C$109,Input!$D$109),Input!$E$109),Input!$F$109),Input!$G$109),Input!$H$109)</f>
        <v>0</v>
      </c>
      <c r="BJ115" s="190">
        <f>IF($A115&lt;Input!$H$110,IF($A115&lt;Input!$G$110,IF($A115&lt;Input!$F$110,IF($A115&lt;Input!$E$110,IF($A115&lt;Input!$D$110,Input!$C$111,Input!$D$111),Input!$E$111),Input!$F$111),Input!$G$111),Input!$H$111)</f>
        <v>0.9</v>
      </c>
      <c r="BK115" s="60">
        <f t="shared" si="57"/>
        <v>0</v>
      </c>
      <c r="BL115" s="60">
        <f t="shared" si="81"/>
        <v>31</v>
      </c>
      <c r="BM115" s="60">
        <f t="shared" si="58"/>
        <v>0</v>
      </c>
      <c r="BN115" s="60">
        <f>ROUND(BM115*BL115*Input!$C$3/365,0)</f>
        <v>0</v>
      </c>
      <c r="BO115" s="61">
        <f>IF($A115&lt;=Input!$C$6,0,IF('180M'!BK115&lt;'180M'!BM115,'180M'!BK115-BN115,'180M'!BM115))</f>
        <v>0</v>
      </c>
      <c r="BP115" s="61">
        <f t="shared" si="59"/>
        <v>0</v>
      </c>
      <c r="BQ115" s="60">
        <f t="shared" si="60"/>
        <v>0</v>
      </c>
      <c r="BR115" s="198"/>
    </row>
    <row r="116" spans="1:70" x14ac:dyDescent="0.25">
      <c r="A116" s="169">
        <v>112</v>
      </c>
      <c r="B116" s="1">
        <f t="shared" si="61"/>
        <v>48928</v>
      </c>
      <c r="C116" s="60">
        <f t="shared" si="47"/>
        <v>33127052.878124986</v>
      </c>
      <c r="D116" s="60">
        <f t="shared" si="48"/>
        <v>29814347.590312488</v>
      </c>
      <c r="E116" s="60">
        <f t="shared" si="62"/>
        <v>30</v>
      </c>
      <c r="F116" s="60">
        <f t="shared" si="63"/>
        <v>1373040615.727006</v>
      </c>
      <c r="G116" s="60">
        <f>ROUND(F116*E116*Input!$C$3/365,0)</f>
        <v>16927898</v>
      </c>
      <c r="H116" s="60">
        <f>IF($A116&lt;=Input!$C$6,0,IF('180M'!D116&lt;'180M'!F116,'180M'!D116-G116,'180M'!F116))</f>
        <v>12886449.590312488</v>
      </c>
      <c r="I116" s="60">
        <f t="shared" si="64"/>
        <v>29814347.590312488</v>
      </c>
      <c r="J116" s="60">
        <f t="shared" si="65"/>
        <v>1360154166.1366935</v>
      </c>
      <c r="K116" s="203">
        <f>J116/Input!$K$5</f>
        <v>4.5338472204556446</v>
      </c>
      <c r="L116" s="232"/>
      <c r="M116" s="60">
        <f>IF($B116&lt;Input!$H$43,IF($B116&lt;Input!$G$43,IF($B116&lt;Input!$F$43,IF($B116&lt;Input!$E$43,IF($B116&lt;Input!$D$43,Input!$C$49,Input!$D$49),Input!$E$49),Input!$F$49),Input!$G$49),Input!$H$49)</f>
        <v>33127052.878124986</v>
      </c>
      <c r="N116" s="190">
        <f>IF($A116&lt;Input!$H$50,IF($A116&lt;Input!$G$50,IF($A116&lt;Input!$F$50,IF($A116&lt;Input!$E$50,IF($A116&lt;Input!$D$50,Input!$C$51,Input!$D$51),Input!$E$51),Input!$F$51),Input!$G$51),Input!$H$51)</f>
        <v>0.9</v>
      </c>
      <c r="O116" s="60">
        <f t="shared" si="82"/>
        <v>29814347.590312488</v>
      </c>
      <c r="P116" s="60">
        <f t="shared" si="83"/>
        <v>30</v>
      </c>
      <c r="Q116" s="60">
        <f t="shared" si="50"/>
        <v>1373040615.727006</v>
      </c>
      <c r="R116" s="60">
        <f>ROUND(Q116*$P116*Input!$C$3/365,0)</f>
        <v>16927898</v>
      </c>
      <c r="S116" s="60">
        <f>IF(A116&lt;=Input!$C$6,0,IF('180M'!O116&lt;'180M'!Q116,'180M'!O116-R116,'180M'!Q116))</f>
        <v>12886449.590312488</v>
      </c>
      <c r="T116" s="60">
        <f t="shared" si="51"/>
        <v>29814347.590312488</v>
      </c>
      <c r="U116" s="60">
        <f t="shared" si="52"/>
        <v>1360154166.1366935</v>
      </c>
      <c r="V116" s="193"/>
      <c r="W116" s="169">
        <v>112</v>
      </c>
      <c r="X116" s="1">
        <f t="shared" si="66"/>
        <v>48928</v>
      </c>
      <c r="Y116" s="60">
        <f>IF($X116&lt;Input!$H$58,IF($X116&lt;Input!$G$58,IF($X116&lt;Input!$F$58,IF($X116&lt;Input!$E$58,IF($X116&lt;Input!$D$58,Input!$C$64,Input!$D$64),Input!$E$64),Input!$F$64),Input!$G$64),Input!$H$64)</f>
        <v>0</v>
      </c>
      <c r="Z116" s="190">
        <f>IF($A116&lt;Input!$H$65,IF($A116&lt;Input!$G$65,IF($A116&lt;Input!$F$65,IF($A116&lt;Input!$E$65,IF($A116&lt;Input!$D$65,Input!$C$66,Input!$D$66),Input!$E$66),Input!$F$66),Input!$G$66),Input!$H$66)</f>
        <v>0.9</v>
      </c>
      <c r="AA116" s="60">
        <f t="shared" si="53"/>
        <v>0</v>
      </c>
      <c r="AB116" s="60">
        <f t="shared" si="67"/>
        <v>30</v>
      </c>
      <c r="AC116" s="60">
        <f t="shared" si="54"/>
        <v>0</v>
      </c>
      <c r="AD116" s="60">
        <f>ROUND(AC116*AB116*Input!$C$3/365,0)</f>
        <v>0</v>
      </c>
      <c r="AE116" s="61">
        <f>IF($A116&lt;=Input!$C$6,0,IF('180M'!AA116&lt;'180M'!AC116,'180M'!AA116-AD116,'180M'!AC116))</f>
        <v>0</v>
      </c>
      <c r="AF116" s="61">
        <f t="shared" si="55"/>
        <v>0</v>
      </c>
      <c r="AG116" s="60">
        <f t="shared" si="56"/>
        <v>0</v>
      </c>
      <c r="AH116" s="193"/>
      <c r="AI116" s="169">
        <v>112</v>
      </c>
      <c r="AJ116" s="1">
        <f t="shared" si="68"/>
        <v>48928</v>
      </c>
      <c r="AK116" s="60">
        <f>IF($X116&lt;Input!$H$73,IF($X116&lt;Input!$G$73,IF($X116&lt;Input!$F$73,IF($X116&lt;Input!$E$73,IF($X116&lt;Input!$D$73,Input!$C$79,Input!$D$79),Input!$E$79),Input!$F$79),Input!$G$79),Input!$H$79)</f>
        <v>0</v>
      </c>
      <c r="AL116" s="190">
        <f>IF($A116&lt;Input!$H$80,IF($A116&lt;Input!$G$80,IF($A116&lt;Input!$F$80,IF($A116&lt;Input!$E$80,IF($A116&lt;Input!$D$80,Input!$C$81,Input!$D$81),Input!$E$81),Input!$F$81),Input!$G$81),Input!$H$81)</f>
        <v>0.9</v>
      </c>
      <c r="AM116" s="60">
        <f t="shared" si="69"/>
        <v>0</v>
      </c>
      <c r="AN116" s="60">
        <f t="shared" si="70"/>
        <v>30</v>
      </c>
      <c r="AO116" s="60">
        <f t="shared" si="71"/>
        <v>0</v>
      </c>
      <c r="AP116" s="60">
        <f>ROUND(AO116*AN116*Input!$C$3/365,0)</f>
        <v>0</v>
      </c>
      <c r="AQ116" s="61">
        <f>IF($A116&lt;=Input!$C$6,0,IF('180M'!AM116&lt;'180M'!AO116,'180M'!AM116-AP116,'180M'!AO116))</f>
        <v>0</v>
      </c>
      <c r="AR116" s="61">
        <f t="shared" si="72"/>
        <v>0</v>
      </c>
      <c r="AS116" s="60">
        <f t="shared" si="73"/>
        <v>0</v>
      </c>
      <c r="AT116" s="193"/>
      <c r="AU116" s="169">
        <v>112</v>
      </c>
      <c r="AV116" s="1">
        <f t="shared" si="74"/>
        <v>48928</v>
      </c>
      <c r="AW116" s="60">
        <f>IF($X116&lt;Input!$H$88,IF($X116&lt;Input!$G$88,IF($X116&lt;Input!$F$88,IF($X116&lt;Input!$E$88,IF($X116&lt;Input!$D$88,Input!$C$94,Input!$D$94),Input!$E$94),Input!$F$94),Input!$G$94),Input!$H$94)</f>
        <v>0</v>
      </c>
      <c r="AX116" s="190">
        <f>IF($A116&lt;Input!$H$95,IF($A116&lt;Input!$G$95,IF($A116&lt;Input!$F$95,IF($A116&lt;Input!$E$95,IF($A116&lt;Input!$D$95,Input!$C$96,Input!$D$96),Input!$E$96),Input!$F$96),Input!$G$96),Input!$H$96)</f>
        <v>0.9</v>
      </c>
      <c r="AY116" s="60">
        <f t="shared" si="75"/>
        <v>0</v>
      </c>
      <c r="AZ116" s="60">
        <f t="shared" si="76"/>
        <v>30</v>
      </c>
      <c r="BA116" s="60">
        <f t="shared" si="77"/>
        <v>0</v>
      </c>
      <c r="BB116" s="60">
        <f>ROUND(BA116*AZ116*Input!$C$3/365,0)</f>
        <v>0</v>
      </c>
      <c r="BC116" s="61">
        <f>IF($A116&lt;=Input!$C$6,0,IF('180M'!AY116&lt;'180M'!BA116,'180M'!AY116-BB116,'180M'!BA116))</f>
        <v>0</v>
      </c>
      <c r="BD116" s="61">
        <f t="shared" si="78"/>
        <v>0</v>
      </c>
      <c r="BE116" s="60">
        <f t="shared" si="79"/>
        <v>0</v>
      </c>
      <c r="BF116" s="193"/>
      <c r="BG116" s="169">
        <v>112</v>
      </c>
      <c r="BH116" s="1">
        <f t="shared" si="80"/>
        <v>48928</v>
      </c>
      <c r="BI116" s="60">
        <f>IF($X116&lt;Input!$H$103,IF($X116&lt;Input!$G$103,IF($X116&lt;Input!$F$103,IF($X116&lt;Input!$E$103,IF($X116&lt;Input!$D$103,Input!$C$109,Input!$D$109),Input!$E$109),Input!$F$109),Input!$G$109),Input!$H$109)</f>
        <v>0</v>
      </c>
      <c r="BJ116" s="190">
        <f>IF($A116&lt;Input!$H$110,IF($A116&lt;Input!$G$110,IF($A116&lt;Input!$F$110,IF($A116&lt;Input!$E$110,IF($A116&lt;Input!$D$110,Input!$C$111,Input!$D$111),Input!$E$111),Input!$F$111),Input!$G$111),Input!$H$111)</f>
        <v>0.9</v>
      </c>
      <c r="BK116" s="60">
        <f t="shared" si="57"/>
        <v>0</v>
      </c>
      <c r="BL116" s="60">
        <f t="shared" si="81"/>
        <v>30</v>
      </c>
      <c r="BM116" s="60">
        <f t="shared" si="58"/>
        <v>0</v>
      </c>
      <c r="BN116" s="60">
        <f>ROUND(BM116*BL116*Input!$C$3/365,0)</f>
        <v>0</v>
      </c>
      <c r="BO116" s="61">
        <f>IF($A116&lt;=Input!$C$6,0,IF('180M'!BK116&lt;'180M'!BM116,'180M'!BK116-BN116,'180M'!BM116))</f>
        <v>0</v>
      </c>
      <c r="BP116" s="61">
        <f t="shared" si="59"/>
        <v>0</v>
      </c>
      <c r="BQ116" s="60">
        <f t="shared" si="60"/>
        <v>0</v>
      </c>
      <c r="BR116" s="198"/>
    </row>
    <row r="117" spans="1:70" x14ac:dyDescent="0.25">
      <c r="A117" s="169">
        <v>113</v>
      </c>
      <c r="B117" s="1">
        <f t="shared" si="61"/>
        <v>48959</v>
      </c>
      <c r="C117" s="60">
        <f t="shared" si="47"/>
        <v>33127052.878124986</v>
      </c>
      <c r="D117" s="60">
        <f t="shared" si="48"/>
        <v>29814347.590312488</v>
      </c>
      <c r="E117" s="60">
        <f t="shared" si="62"/>
        <v>31</v>
      </c>
      <c r="F117" s="60">
        <f t="shared" si="63"/>
        <v>1360154166.1366935</v>
      </c>
      <c r="G117" s="60">
        <f>ROUND(F117*E117*Input!$C$3/365,0)</f>
        <v>17327991</v>
      </c>
      <c r="H117" s="60">
        <f>IF($A117&lt;=Input!$C$6,0,IF('180M'!D117&lt;'180M'!F117,'180M'!D117-G117,'180M'!F117))</f>
        <v>12486356.590312488</v>
      </c>
      <c r="I117" s="60">
        <f t="shared" si="64"/>
        <v>29814347.590312488</v>
      </c>
      <c r="J117" s="60">
        <f t="shared" si="65"/>
        <v>1347667809.546381</v>
      </c>
      <c r="K117" s="203">
        <f>J117/Input!$K$5</f>
        <v>4.4922260318212697</v>
      </c>
      <c r="L117" s="232"/>
      <c r="M117" s="60">
        <f>IF($B117&lt;Input!$H$43,IF($B117&lt;Input!$G$43,IF($B117&lt;Input!$F$43,IF($B117&lt;Input!$E$43,IF($B117&lt;Input!$D$43,Input!$C$49,Input!$D$49),Input!$E$49),Input!$F$49),Input!$G$49),Input!$H$49)</f>
        <v>33127052.878124986</v>
      </c>
      <c r="N117" s="190">
        <f>IF($A117&lt;Input!$H$50,IF($A117&lt;Input!$G$50,IF($A117&lt;Input!$F$50,IF($A117&lt;Input!$E$50,IF($A117&lt;Input!$D$50,Input!$C$51,Input!$D$51),Input!$E$51),Input!$F$51),Input!$G$51),Input!$H$51)</f>
        <v>0.9</v>
      </c>
      <c r="O117" s="60">
        <f t="shared" si="82"/>
        <v>29814347.590312488</v>
      </c>
      <c r="P117" s="60">
        <f t="shared" si="83"/>
        <v>31</v>
      </c>
      <c r="Q117" s="60">
        <f t="shared" si="50"/>
        <v>1360154166.1366935</v>
      </c>
      <c r="R117" s="60">
        <f>ROUND(Q117*$P117*Input!$C$3/365,0)</f>
        <v>17327991</v>
      </c>
      <c r="S117" s="60">
        <f>IF(A117&lt;=Input!$C$6,0,IF('180M'!O117&lt;'180M'!Q117,'180M'!O117-R117,'180M'!Q117))</f>
        <v>12486356.590312488</v>
      </c>
      <c r="T117" s="60">
        <f t="shared" si="51"/>
        <v>29814347.590312488</v>
      </c>
      <c r="U117" s="60">
        <f t="shared" si="52"/>
        <v>1347667809.546381</v>
      </c>
      <c r="V117" s="193"/>
      <c r="W117" s="169">
        <v>113</v>
      </c>
      <c r="X117" s="1">
        <f t="shared" si="66"/>
        <v>48959</v>
      </c>
      <c r="Y117" s="60">
        <f>IF($X117&lt;Input!$H$58,IF($X117&lt;Input!$G$58,IF($X117&lt;Input!$F$58,IF($X117&lt;Input!$E$58,IF($X117&lt;Input!$D$58,Input!$C$64,Input!$D$64),Input!$E$64),Input!$F$64),Input!$G$64),Input!$H$64)</f>
        <v>0</v>
      </c>
      <c r="Z117" s="190">
        <f>IF($A117&lt;Input!$H$65,IF($A117&lt;Input!$G$65,IF($A117&lt;Input!$F$65,IF($A117&lt;Input!$E$65,IF($A117&lt;Input!$D$65,Input!$C$66,Input!$D$66),Input!$E$66),Input!$F$66),Input!$G$66),Input!$H$66)</f>
        <v>0.9</v>
      </c>
      <c r="AA117" s="60">
        <f t="shared" si="53"/>
        <v>0</v>
      </c>
      <c r="AB117" s="60">
        <f t="shared" si="67"/>
        <v>31</v>
      </c>
      <c r="AC117" s="60">
        <f t="shared" si="54"/>
        <v>0</v>
      </c>
      <c r="AD117" s="60">
        <f>ROUND(AC117*AB117*Input!$C$3/365,0)</f>
        <v>0</v>
      </c>
      <c r="AE117" s="61">
        <f>IF($A117&lt;=Input!$C$6,0,IF('180M'!AA117&lt;'180M'!AC117,'180M'!AA117-AD117,'180M'!AC117))</f>
        <v>0</v>
      </c>
      <c r="AF117" s="61">
        <f t="shared" si="55"/>
        <v>0</v>
      </c>
      <c r="AG117" s="60">
        <f t="shared" si="56"/>
        <v>0</v>
      </c>
      <c r="AH117" s="193"/>
      <c r="AI117" s="169">
        <v>113</v>
      </c>
      <c r="AJ117" s="1">
        <f t="shared" si="68"/>
        <v>48959</v>
      </c>
      <c r="AK117" s="60">
        <f>IF($X117&lt;Input!$H$73,IF($X117&lt;Input!$G$73,IF($X117&lt;Input!$F$73,IF($X117&lt;Input!$E$73,IF($X117&lt;Input!$D$73,Input!$C$79,Input!$D$79),Input!$E$79),Input!$F$79),Input!$G$79),Input!$H$79)</f>
        <v>0</v>
      </c>
      <c r="AL117" s="190">
        <f>IF($A117&lt;Input!$H$80,IF($A117&lt;Input!$G$80,IF($A117&lt;Input!$F$80,IF($A117&lt;Input!$E$80,IF($A117&lt;Input!$D$80,Input!$C$81,Input!$D$81),Input!$E$81),Input!$F$81),Input!$G$81),Input!$H$81)</f>
        <v>0.9</v>
      </c>
      <c r="AM117" s="60">
        <f t="shared" si="69"/>
        <v>0</v>
      </c>
      <c r="AN117" s="60">
        <f t="shared" si="70"/>
        <v>31</v>
      </c>
      <c r="AO117" s="60">
        <f t="shared" si="71"/>
        <v>0</v>
      </c>
      <c r="AP117" s="60">
        <f>ROUND(AO117*AN117*Input!$C$3/365,0)</f>
        <v>0</v>
      </c>
      <c r="AQ117" s="61">
        <f>IF($A117&lt;=Input!$C$6,0,IF('180M'!AM117&lt;'180M'!AO117,'180M'!AM117-AP117,'180M'!AO117))</f>
        <v>0</v>
      </c>
      <c r="AR117" s="61">
        <f t="shared" si="72"/>
        <v>0</v>
      </c>
      <c r="AS117" s="60">
        <f t="shared" si="73"/>
        <v>0</v>
      </c>
      <c r="AT117" s="193"/>
      <c r="AU117" s="169">
        <v>113</v>
      </c>
      <c r="AV117" s="1">
        <f t="shared" si="74"/>
        <v>48959</v>
      </c>
      <c r="AW117" s="60">
        <f>IF($X117&lt;Input!$H$88,IF($X117&lt;Input!$G$88,IF($X117&lt;Input!$F$88,IF($X117&lt;Input!$E$88,IF($X117&lt;Input!$D$88,Input!$C$94,Input!$D$94),Input!$E$94),Input!$F$94),Input!$G$94),Input!$H$94)</f>
        <v>0</v>
      </c>
      <c r="AX117" s="190">
        <f>IF($A117&lt;Input!$H$95,IF($A117&lt;Input!$G$95,IF($A117&lt;Input!$F$95,IF($A117&lt;Input!$E$95,IF($A117&lt;Input!$D$95,Input!$C$96,Input!$D$96),Input!$E$96),Input!$F$96),Input!$G$96),Input!$H$96)</f>
        <v>0.9</v>
      </c>
      <c r="AY117" s="60">
        <f t="shared" si="75"/>
        <v>0</v>
      </c>
      <c r="AZ117" s="60">
        <f t="shared" si="76"/>
        <v>31</v>
      </c>
      <c r="BA117" s="60">
        <f t="shared" si="77"/>
        <v>0</v>
      </c>
      <c r="BB117" s="60">
        <f>ROUND(BA117*AZ117*Input!$C$3/365,0)</f>
        <v>0</v>
      </c>
      <c r="BC117" s="61">
        <f>IF($A117&lt;=Input!$C$6,0,IF('180M'!AY117&lt;'180M'!BA117,'180M'!AY117-BB117,'180M'!BA117))</f>
        <v>0</v>
      </c>
      <c r="BD117" s="61">
        <f t="shared" si="78"/>
        <v>0</v>
      </c>
      <c r="BE117" s="60">
        <f t="shared" si="79"/>
        <v>0</v>
      </c>
      <c r="BF117" s="193"/>
      <c r="BG117" s="169">
        <v>113</v>
      </c>
      <c r="BH117" s="1">
        <f t="shared" si="80"/>
        <v>48959</v>
      </c>
      <c r="BI117" s="60">
        <f>IF($X117&lt;Input!$H$103,IF($X117&lt;Input!$G$103,IF($X117&lt;Input!$F$103,IF($X117&lt;Input!$E$103,IF($X117&lt;Input!$D$103,Input!$C$109,Input!$D$109),Input!$E$109),Input!$F$109),Input!$G$109),Input!$H$109)</f>
        <v>0</v>
      </c>
      <c r="BJ117" s="190">
        <f>IF($A117&lt;Input!$H$110,IF($A117&lt;Input!$G$110,IF($A117&lt;Input!$F$110,IF($A117&lt;Input!$E$110,IF($A117&lt;Input!$D$110,Input!$C$111,Input!$D$111),Input!$E$111),Input!$F$111),Input!$G$111),Input!$H$111)</f>
        <v>0.9</v>
      </c>
      <c r="BK117" s="60">
        <f t="shared" si="57"/>
        <v>0</v>
      </c>
      <c r="BL117" s="60">
        <f t="shared" si="81"/>
        <v>31</v>
      </c>
      <c r="BM117" s="60">
        <f t="shared" si="58"/>
        <v>0</v>
      </c>
      <c r="BN117" s="60">
        <f>ROUND(BM117*BL117*Input!$C$3/365,0)</f>
        <v>0</v>
      </c>
      <c r="BO117" s="61">
        <f>IF($A117&lt;=Input!$C$6,0,IF('180M'!BK117&lt;'180M'!BM117,'180M'!BK117-BN117,'180M'!BM117))</f>
        <v>0</v>
      </c>
      <c r="BP117" s="61">
        <f t="shared" si="59"/>
        <v>0</v>
      </c>
      <c r="BQ117" s="60">
        <f t="shared" si="60"/>
        <v>0</v>
      </c>
      <c r="BR117" s="198"/>
    </row>
    <row r="118" spans="1:70" x14ac:dyDescent="0.25">
      <c r="A118" s="169">
        <v>114</v>
      </c>
      <c r="B118" s="1">
        <f t="shared" si="61"/>
        <v>48990</v>
      </c>
      <c r="C118" s="60">
        <f t="shared" si="47"/>
        <v>33127052.878124986</v>
      </c>
      <c r="D118" s="60">
        <f t="shared" si="48"/>
        <v>29814347.590312488</v>
      </c>
      <c r="E118" s="60">
        <f t="shared" si="62"/>
        <v>31</v>
      </c>
      <c r="F118" s="60">
        <f t="shared" si="63"/>
        <v>1347667809.546381</v>
      </c>
      <c r="G118" s="60">
        <f>ROUND(F118*E118*Input!$C$3/365,0)</f>
        <v>17168919</v>
      </c>
      <c r="H118" s="60">
        <f>IF($A118&lt;=Input!$C$6,0,IF('180M'!D118&lt;'180M'!F118,'180M'!D118-G118,'180M'!F118))</f>
        <v>12645428.590312488</v>
      </c>
      <c r="I118" s="60">
        <f t="shared" si="64"/>
        <v>29814347.590312488</v>
      </c>
      <c r="J118" s="60">
        <f t="shared" si="65"/>
        <v>1335022380.9560685</v>
      </c>
      <c r="K118" s="203">
        <f>J118/Input!$K$5</f>
        <v>4.450074603186895</v>
      </c>
      <c r="L118" s="232"/>
      <c r="M118" s="60">
        <f>IF($B118&lt;Input!$H$43,IF($B118&lt;Input!$G$43,IF($B118&lt;Input!$F$43,IF($B118&lt;Input!$E$43,IF($B118&lt;Input!$D$43,Input!$C$49,Input!$D$49),Input!$E$49),Input!$F$49),Input!$G$49),Input!$H$49)</f>
        <v>33127052.878124986</v>
      </c>
      <c r="N118" s="190">
        <f>IF($A118&lt;Input!$H$50,IF($A118&lt;Input!$G$50,IF($A118&lt;Input!$F$50,IF($A118&lt;Input!$E$50,IF($A118&lt;Input!$D$50,Input!$C$51,Input!$D$51),Input!$E$51),Input!$F$51),Input!$G$51),Input!$H$51)</f>
        <v>0.9</v>
      </c>
      <c r="O118" s="60">
        <f t="shared" si="82"/>
        <v>29814347.590312488</v>
      </c>
      <c r="P118" s="60">
        <f t="shared" si="83"/>
        <v>31</v>
      </c>
      <c r="Q118" s="60">
        <f t="shared" si="50"/>
        <v>1347667809.546381</v>
      </c>
      <c r="R118" s="60">
        <f>ROUND(Q118*$P118*Input!$C$3/365,0)</f>
        <v>17168919</v>
      </c>
      <c r="S118" s="60">
        <f>IF(A118&lt;=Input!$C$6,0,IF('180M'!O118&lt;'180M'!Q118,'180M'!O118-R118,'180M'!Q118))</f>
        <v>12645428.590312488</v>
      </c>
      <c r="T118" s="60">
        <f t="shared" si="51"/>
        <v>29814347.590312488</v>
      </c>
      <c r="U118" s="60">
        <f t="shared" si="52"/>
        <v>1335022380.9560685</v>
      </c>
      <c r="V118" s="193"/>
      <c r="W118" s="169">
        <v>114</v>
      </c>
      <c r="X118" s="1">
        <f t="shared" si="66"/>
        <v>48990</v>
      </c>
      <c r="Y118" s="60">
        <f>IF($X118&lt;Input!$H$58,IF($X118&lt;Input!$G$58,IF($X118&lt;Input!$F$58,IF($X118&lt;Input!$E$58,IF($X118&lt;Input!$D$58,Input!$C$64,Input!$D$64),Input!$E$64),Input!$F$64),Input!$G$64),Input!$H$64)</f>
        <v>0</v>
      </c>
      <c r="Z118" s="190">
        <f>IF($A118&lt;Input!$H$65,IF($A118&lt;Input!$G$65,IF($A118&lt;Input!$F$65,IF($A118&lt;Input!$E$65,IF($A118&lt;Input!$D$65,Input!$C$66,Input!$D$66),Input!$E$66),Input!$F$66),Input!$G$66),Input!$H$66)</f>
        <v>0.9</v>
      </c>
      <c r="AA118" s="60">
        <f t="shared" si="53"/>
        <v>0</v>
      </c>
      <c r="AB118" s="60">
        <f t="shared" si="67"/>
        <v>31</v>
      </c>
      <c r="AC118" s="60">
        <f t="shared" si="54"/>
        <v>0</v>
      </c>
      <c r="AD118" s="60">
        <f>ROUND(AC118*AB118*Input!$C$3/365,0)</f>
        <v>0</v>
      </c>
      <c r="AE118" s="61">
        <f>IF($A118&lt;=Input!$C$6,0,IF('180M'!AA118&lt;'180M'!AC118,'180M'!AA118-AD118,'180M'!AC118))</f>
        <v>0</v>
      </c>
      <c r="AF118" s="61">
        <f t="shared" si="55"/>
        <v>0</v>
      </c>
      <c r="AG118" s="60">
        <f t="shared" si="56"/>
        <v>0</v>
      </c>
      <c r="AH118" s="193"/>
      <c r="AI118" s="169">
        <v>114</v>
      </c>
      <c r="AJ118" s="1">
        <f t="shared" si="68"/>
        <v>48990</v>
      </c>
      <c r="AK118" s="60">
        <f>IF($X118&lt;Input!$H$73,IF($X118&lt;Input!$G$73,IF($X118&lt;Input!$F$73,IF($X118&lt;Input!$E$73,IF($X118&lt;Input!$D$73,Input!$C$79,Input!$D$79),Input!$E$79),Input!$F$79),Input!$G$79),Input!$H$79)</f>
        <v>0</v>
      </c>
      <c r="AL118" s="190">
        <f>IF($A118&lt;Input!$H$80,IF($A118&lt;Input!$G$80,IF($A118&lt;Input!$F$80,IF($A118&lt;Input!$E$80,IF($A118&lt;Input!$D$80,Input!$C$81,Input!$D$81),Input!$E$81),Input!$F$81),Input!$G$81),Input!$H$81)</f>
        <v>0.9</v>
      </c>
      <c r="AM118" s="60">
        <f t="shared" si="69"/>
        <v>0</v>
      </c>
      <c r="AN118" s="60">
        <f t="shared" si="70"/>
        <v>31</v>
      </c>
      <c r="AO118" s="60">
        <f t="shared" si="71"/>
        <v>0</v>
      </c>
      <c r="AP118" s="60">
        <f>ROUND(AO118*AN118*Input!$C$3/365,0)</f>
        <v>0</v>
      </c>
      <c r="AQ118" s="61">
        <f>IF($A118&lt;=Input!$C$6,0,IF('180M'!AM118&lt;'180M'!AO118,'180M'!AM118-AP118,'180M'!AO118))</f>
        <v>0</v>
      </c>
      <c r="AR118" s="61">
        <f t="shared" si="72"/>
        <v>0</v>
      </c>
      <c r="AS118" s="60">
        <f t="shared" si="73"/>
        <v>0</v>
      </c>
      <c r="AT118" s="193"/>
      <c r="AU118" s="169">
        <v>114</v>
      </c>
      <c r="AV118" s="1">
        <f t="shared" si="74"/>
        <v>48990</v>
      </c>
      <c r="AW118" s="60">
        <f>IF($X118&lt;Input!$H$88,IF($X118&lt;Input!$G$88,IF($X118&lt;Input!$F$88,IF($X118&lt;Input!$E$88,IF($X118&lt;Input!$D$88,Input!$C$94,Input!$D$94),Input!$E$94),Input!$F$94),Input!$G$94),Input!$H$94)</f>
        <v>0</v>
      </c>
      <c r="AX118" s="190">
        <f>IF($A118&lt;Input!$H$95,IF($A118&lt;Input!$G$95,IF($A118&lt;Input!$F$95,IF($A118&lt;Input!$E$95,IF($A118&lt;Input!$D$95,Input!$C$96,Input!$D$96),Input!$E$96),Input!$F$96),Input!$G$96),Input!$H$96)</f>
        <v>0.9</v>
      </c>
      <c r="AY118" s="60">
        <f t="shared" si="75"/>
        <v>0</v>
      </c>
      <c r="AZ118" s="60">
        <f t="shared" si="76"/>
        <v>31</v>
      </c>
      <c r="BA118" s="60">
        <f t="shared" si="77"/>
        <v>0</v>
      </c>
      <c r="BB118" s="60">
        <f>ROUND(BA118*AZ118*Input!$C$3/365,0)</f>
        <v>0</v>
      </c>
      <c r="BC118" s="61">
        <f>IF($A118&lt;=Input!$C$6,0,IF('180M'!AY118&lt;'180M'!BA118,'180M'!AY118-BB118,'180M'!BA118))</f>
        <v>0</v>
      </c>
      <c r="BD118" s="61">
        <f t="shared" si="78"/>
        <v>0</v>
      </c>
      <c r="BE118" s="60">
        <f t="shared" si="79"/>
        <v>0</v>
      </c>
      <c r="BF118" s="193"/>
      <c r="BG118" s="169">
        <v>114</v>
      </c>
      <c r="BH118" s="1">
        <f t="shared" si="80"/>
        <v>48990</v>
      </c>
      <c r="BI118" s="60">
        <f>IF($X118&lt;Input!$H$103,IF($X118&lt;Input!$G$103,IF($X118&lt;Input!$F$103,IF($X118&lt;Input!$E$103,IF($X118&lt;Input!$D$103,Input!$C$109,Input!$D$109),Input!$E$109),Input!$F$109),Input!$G$109),Input!$H$109)</f>
        <v>0</v>
      </c>
      <c r="BJ118" s="190">
        <f>IF($A118&lt;Input!$H$110,IF($A118&lt;Input!$G$110,IF($A118&lt;Input!$F$110,IF($A118&lt;Input!$E$110,IF($A118&lt;Input!$D$110,Input!$C$111,Input!$D$111),Input!$E$111),Input!$F$111),Input!$G$111),Input!$H$111)</f>
        <v>0.9</v>
      </c>
      <c r="BK118" s="60">
        <f t="shared" si="57"/>
        <v>0</v>
      </c>
      <c r="BL118" s="60">
        <f t="shared" si="81"/>
        <v>31</v>
      </c>
      <c r="BM118" s="60">
        <f t="shared" si="58"/>
        <v>0</v>
      </c>
      <c r="BN118" s="60">
        <f>ROUND(BM118*BL118*Input!$C$3/365,0)</f>
        <v>0</v>
      </c>
      <c r="BO118" s="61">
        <f>IF($A118&lt;=Input!$C$6,0,IF('180M'!BK118&lt;'180M'!BM118,'180M'!BK118-BN118,'180M'!BM118))</f>
        <v>0</v>
      </c>
      <c r="BP118" s="61">
        <f t="shared" si="59"/>
        <v>0</v>
      </c>
      <c r="BQ118" s="60">
        <f t="shared" si="60"/>
        <v>0</v>
      </c>
      <c r="BR118" s="198"/>
    </row>
    <row r="119" spans="1:70" x14ac:dyDescent="0.25">
      <c r="A119" s="169">
        <v>115</v>
      </c>
      <c r="B119" s="1">
        <f t="shared" si="61"/>
        <v>49018</v>
      </c>
      <c r="C119" s="60">
        <f t="shared" si="47"/>
        <v>33127052.878124986</v>
      </c>
      <c r="D119" s="60">
        <f t="shared" si="48"/>
        <v>29814347.590312488</v>
      </c>
      <c r="E119" s="60">
        <f t="shared" si="62"/>
        <v>28</v>
      </c>
      <c r="F119" s="60">
        <f t="shared" si="63"/>
        <v>1335022380.9560685</v>
      </c>
      <c r="G119" s="60">
        <f>ROUND(F119*E119*Input!$C$3/365,0)</f>
        <v>15361901</v>
      </c>
      <c r="H119" s="60">
        <f>IF($A119&lt;=Input!$C$6,0,IF('180M'!D119&lt;'180M'!F119,'180M'!D119-G119,'180M'!F119))</f>
        <v>14452446.590312488</v>
      </c>
      <c r="I119" s="60">
        <f t="shared" si="64"/>
        <v>29814347.590312488</v>
      </c>
      <c r="J119" s="60">
        <f t="shared" si="65"/>
        <v>1320569934.365756</v>
      </c>
      <c r="K119" s="203">
        <f>J119/Input!$K$5</f>
        <v>4.4018997812191865</v>
      </c>
      <c r="L119" s="232"/>
      <c r="M119" s="60">
        <f>IF($B119&lt;Input!$H$43,IF($B119&lt;Input!$G$43,IF($B119&lt;Input!$F$43,IF($B119&lt;Input!$E$43,IF($B119&lt;Input!$D$43,Input!$C$49,Input!$D$49),Input!$E$49),Input!$F$49),Input!$G$49),Input!$H$49)</f>
        <v>33127052.878124986</v>
      </c>
      <c r="N119" s="190">
        <f>IF($A119&lt;Input!$H$50,IF($A119&lt;Input!$G$50,IF($A119&lt;Input!$F$50,IF($A119&lt;Input!$E$50,IF($A119&lt;Input!$D$50,Input!$C$51,Input!$D$51),Input!$E$51),Input!$F$51),Input!$G$51),Input!$H$51)</f>
        <v>0.9</v>
      </c>
      <c r="O119" s="60">
        <f t="shared" si="82"/>
        <v>29814347.590312488</v>
      </c>
      <c r="P119" s="60">
        <f t="shared" si="83"/>
        <v>28</v>
      </c>
      <c r="Q119" s="60">
        <f t="shared" si="50"/>
        <v>1335022380.9560685</v>
      </c>
      <c r="R119" s="60">
        <f>ROUND(Q119*$P119*Input!$C$3/365,0)</f>
        <v>15361901</v>
      </c>
      <c r="S119" s="60">
        <f>IF(A119&lt;=Input!$C$6,0,IF('180M'!O119&lt;'180M'!Q119,'180M'!O119-R119,'180M'!Q119))</f>
        <v>14452446.590312488</v>
      </c>
      <c r="T119" s="60">
        <f t="shared" si="51"/>
        <v>29814347.590312488</v>
      </c>
      <c r="U119" s="60">
        <f t="shared" si="52"/>
        <v>1320569934.365756</v>
      </c>
      <c r="V119" s="193"/>
      <c r="W119" s="169">
        <v>115</v>
      </c>
      <c r="X119" s="1">
        <f t="shared" si="66"/>
        <v>49018</v>
      </c>
      <c r="Y119" s="60">
        <f>IF($X119&lt;Input!$H$58,IF($X119&lt;Input!$G$58,IF($X119&lt;Input!$F$58,IF($X119&lt;Input!$E$58,IF($X119&lt;Input!$D$58,Input!$C$64,Input!$D$64),Input!$E$64),Input!$F$64),Input!$G$64),Input!$H$64)</f>
        <v>0</v>
      </c>
      <c r="Z119" s="190">
        <f>IF($A119&lt;Input!$H$65,IF($A119&lt;Input!$G$65,IF($A119&lt;Input!$F$65,IF($A119&lt;Input!$E$65,IF($A119&lt;Input!$D$65,Input!$C$66,Input!$D$66),Input!$E$66),Input!$F$66),Input!$G$66),Input!$H$66)</f>
        <v>0.9</v>
      </c>
      <c r="AA119" s="60">
        <f t="shared" si="53"/>
        <v>0</v>
      </c>
      <c r="AB119" s="60">
        <f t="shared" si="67"/>
        <v>28</v>
      </c>
      <c r="AC119" s="60">
        <f t="shared" si="54"/>
        <v>0</v>
      </c>
      <c r="AD119" s="60">
        <f>ROUND(AC119*AB119*Input!$C$3/365,0)</f>
        <v>0</v>
      </c>
      <c r="AE119" s="61">
        <f>IF($A119&lt;=Input!$C$6,0,IF('180M'!AA119&lt;'180M'!AC119,'180M'!AA119-AD119,'180M'!AC119))</f>
        <v>0</v>
      </c>
      <c r="AF119" s="61">
        <f t="shared" si="55"/>
        <v>0</v>
      </c>
      <c r="AG119" s="60">
        <f t="shared" si="56"/>
        <v>0</v>
      </c>
      <c r="AH119" s="193"/>
      <c r="AI119" s="169">
        <v>115</v>
      </c>
      <c r="AJ119" s="1">
        <f t="shared" si="68"/>
        <v>49018</v>
      </c>
      <c r="AK119" s="60">
        <f>IF($X119&lt;Input!$H$73,IF($X119&lt;Input!$G$73,IF($X119&lt;Input!$F$73,IF($X119&lt;Input!$E$73,IF($X119&lt;Input!$D$73,Input!$C$79,Input!$D$79),Input!$E$79),Input!$F$79),Input!$G$79),Input!$H$79)</f>
        <v>0</v>
      </c>
      <c r="AL119" s="190">
        <f>IF($A119&lt;Input!$H$80,IF($A119&lt;Input!$G$80,IF($A119&lt;Input!$F$80,IF($A119&lt;Input!$E$80,IF($A119&lt;Input!$D$80,Input!$C$81,Input!$D$81),Input!$E$81),Input!$F$81),Input!$G$81),Input!$H$81)</f>
        <v>0.9</v>
      </c>
      <c r="AM119" s="60">
        <f t="shared" si="69"/>
        <v>0</v>
      </c>
      <c r="AN119" s="60">
        <f t="shared" si="70"/>
        <v>28</v>
      </c>
      <c r="AO119" s="60">
        <f t="shared" si="71"/>
        <v>0</v>
      </c>
      <c r="AP119" s="60">
        <f>ROUND(AO119*AN119*Input!$C$3/365,0)</f>
        <v>0</v>
      </c>
      <c r="AQ119" s="61">
        <f>IF($A119&lt;=Input!$C$6,0,IF('180M'!AM119&lt;'180M'!AO119,'180M'!AM119-AP119,'180M'!AO119))</f>
        <v>0</v>
      </c>
      <c r="AR119" s="61">
        <f t="shared" si="72"/>
        <v>0</v>
      </c>
      <c r="AS119" s="60">
        <f t="shared" si="73"/>
        <v>0</v>
      </c>
      <c r="AT119" s="193"/>
      <c r="AU119" s="169">
        <v>115</v>
      </c>
      <c r="AV119" s="1">
        <f t="shared" si="74"/>
        <v>49018</v>
      </c>
      <c r="AW119" s="60">
        <f>IF($X119&lt;Input!$H$88,IF($X119&lt;Input!$G$88,IF($X119&lt;Input!$F$88,IF($X119&lt;Input!$E$88,IF($X119&lt;Input!$D$88,Input!$C$94,Input!$D$94),Input!$E$94),Input!$F$94),Input!$G$94),Input!$H$94)</f>
        <v>0</v>
      </c>
      <c r="AX119" s="190">
        <f>IF($A119&lt;Input!$H$95,IF($A119&lt;Input!$G$95,IF($A119&lt;Input!$F$95,IF($A119&lt;Input!$E$95,IF($A119&lt;Input!$D$95,Input!$C$96,Input!$D$96),Input!$E$96),Input!$F$96),Input!$G$96),Input!$H$96)</f>
        <v>0.9</v>
      </c>
      <c r="AY119" s="60">
        <f t="shared" si="75"/>
        <v>0</v>
      </c>
      <c r="AZ119" s="60">
        <f t="shared" si="76"/>
        <v>28</v>
      </c>
      <c r="BA119" s="60">
        <f t="shared" si="77"/>
        <v>0</v>
      </c>
      <c r="BB119" s="60">
        <f>ROUND(BA119*AZ119*Input!$C$3/365,0)</f>
        <v>0</v>
      </c>
      <c r="BC119" s="61">
        <f>IF($A119&lt;=Input!$C$6,0,IF('180M'!AY119&lt;'180M'!BA119,'180M'!AY119-BB119,'180M'!BA119))</f>
        <v>0</v>
      </c>
      <c r="BD119" s="61">
        <f t="shared" si="78"/>
        <v>0</v>
      </c>
      <c r="BE119" s="60">
        <f t="shared" si="79"/>
        <v>0</v>
      </c>
      <c r="BF119" s="193"/>
      <c r="BG119" s="169">
        <v>115</v>
      </c>
      <c r="BH119" s="1">
        <f t="shared" si="80"/>
        <v>49018</v>
      </c>
      <c r="BI119" s="60">
        <f>IF($X119&lt;Input!$H$103,IF($X119&lt;Input!$G$103,IF($X119&lt;Input!$F$103,IF($X119&lt;Input!$E$103,IF($X119&lt;Input!$D$103,Input!$C$109,Input!$D$109),Input!$E$109),Input!$F$109),Input!$G$109),Input!$H$109)</f>
        <v>0</v>
      </c>
      <c r="BJ119" s="190">
        <f>IF($A119&lt;Input!$H$110,IF($A119&lt;Input!$G$110,IF($A119&lt;Input!$F$110,IF($A119&lt;Input!$E$110,IF($A119&lt;Input!$D$110,Input!$C$111,Input!$D$111),Input!$E$111),Input!$F$111),Input!$G$111),Input!$H$111)</f>
        <v>0.9</v>
      </c>
      <c r="BK119" s="60">
        <f t="shared" si="57"/>
        <v>0</v>
      </c>
      <c r="BL119" s="60">
        <f t="shared" si="81"/>
        <v>28</v>
      </c>
      <c r="BM119" s="60">
        <f t="shared" si="58"/>
        <v>0</v>
      </c>
      <c r="BN119" s="60">
        <f>ROUND(BM119*BL119*Input!$C$3/365,0)</f>
        <v>0</v>
      </c>
      <c r="BO119" s="61">
        <f>IF($A119&lt;=Input!$C$6,0,IF('180M'!BK119&lt;'180M'!BM119,'180M'!BK119-BN119,'180M'!BM119))</f>
        <v>0</v>
      </c>
      <c r="BP119" s="61">
        <f t="shared" si="59"/>
        <v>0</v>
      </c>
      <c r="BQ119" s="60">
        <f t="shared" si="60"/>
        <v>0</v>
      </c>
      <c r="BR119" s="198"/>
    </row>
    <row r="120" spans="1:70" x14ac:dyDescent="0.25">
      <c r="A120" s="169">
        <v>116</v>
      </c>
      <c r="B120" s="1">
        <f t="shared" si="61"/>
        <v>49049</v>
      </c>
      <c r="C120" s="60">
        <f t="shared" si="47"/>
        <v>33127052.878124986</v>
      </c>
      <c r="D120" s="60">
        <f t="shared" si="48"/>
        <v>29814347.590312488</v>
      </c>
      <c r="E120" s="60">
        <f t="shared" si="62"/>
        <v>31</v>
      </c>
      <c r="F120" s="60">
        <f t="shared" si="63"/>
        <v>1320569934.365756</v>
      </c>
      <c r="G120" s="60">
        <f>ROUND(F120*E120*Input!$C$3/365,0)</f>
        <v>16823699</v>
      </c>
      <c r="H120" s="60">
        <f>IF($A120&lt;=Input!$C$6,0,IF('180M'!D120&lt;'180M'!F120,'180M'!D120-G120,'180M'!F120))</f>
        <v>12990648.590312488</v>
      </c>
      <c r="I120" s="60">
        <f t="shared" si="64"/>
        <v>29814347.590312488</v>
      </c>
      <c r="J120" s="60">
        <f t="shared" si="65"/>
        <v>1307579285.7754436</v>
      </c>
      <c r="K120" s="203">
        <f>J120/Input!$K$5</f>
        <v>4.3585976192514782</v>
      </c>
      <c r="L120" s="232"/>
      <c r="M120" s="60">
        <f>IF($B120&lt;Input!$H$43,IF($B120&lt;Input!$G$43,IF($B120&lt;Input!$F$43,IF($B120&lt;Input!$E$43,IF($B120&lt;Input!$D$43,Input!$C$49,Input!$D$49),Input!$E$49),Input!$F$49),Input!$G$49),Input!$H$49)</f>
        <v>33127052.878124986</v>
      </c>
      <c r="N120" s="190">
        <f>IF($A120&lt;Input!$H$50,IF($A120&lt;Input!$G$50,IF($A120&lt;Input!$F$50,IF($A120&lt;Input!$E$50,IF($A120&lt;Input!$D$50,Input!$C$51,Input!$D$51),Input!$E$51),Input!$F$51),Input!$G$51),Input!$H$51)</f>
        <v>0.9</v>
      </c>
      <c r="O120" s="60">
        <f t="shared" si="82"/>
        <v>29814347.590312488</v>
      </c>
      <c r="P120" s="60">
        <f t="shared" si="83"/>
        <v>31</v>
      </c>
      <c r="Q120" s="60">
        <f t="shared" si="50"/>
        <v>1320569934.365756</v>
      </c>
      <c r="R120" s="60">
        <f>ROUND(Q120*$P120*Input!$C$3/365,0)</f>
        <v>16823699</v>
      </c>
      <c r="S120" s="60">
        <f>IF(A120&lt;=Input!$C$6,0,IF('180M'!O120&lt;'180M'!Q120,'180M'!O120-R120,'180M'!Q120))</f>
        <v>12990648.590312488</v>
      </c>
      <c r="T120" s="60">
        <f t="shared" si="51"/>
        <v>29814347.590312488</v>
      </c>
      <c r="U120" s="60">
        <f t="shared" si="52"/>
        <v>1307579285.7754436</v>
      </c>
      <c r="V120" s="193"/>
      <c r="W120" s="169">
        <v>116</v>
      </c>
      <c r="X120" s="1">
        <f t="shared" si="66"/>
        <v>49049</v>
      </c>
      <c r="Y120" s="60">
        <f>IF($X120&lt;Input!$H$58,IF($X120&lt;Input!$G$58,IF($X120&lt;Input!$F$58,IF($X120&lt;Input!$E$58,IF($X120&lt;Input!$D$58,Input!$C$64,Input!$D$64),Input!$E$64),Input!$F$64),Input!$G$64),Input!$H$64)</f>
        <v>0</v>
      </c>
      <c r="Z120" s="190">
        <f>IF($A120&lt;Input!$H$65,IF($A120&lt;Input!$G$65,IF($A120&lt;Input!$F$65,IF($A120&lt;Input!$E$65,IF($A120&lt;Input!$D$65,Input!$C$66,Input!$D$66),Input!$E$66),Input!$F$66),Input!$G$66),Input!$H$66)</f>
        <v>0.9</v>
      </c>
      <c r="AA120" s="60">
        <f t="shared" si="53"/>
        <v>0</v>
      </c>
      <c r="AB120" s="60">
        <f t="shared" si="67"/>
        <v>31</v>
      </c>
      <c r="AC120" s="60">
        <f t="shared" si="54"/>
        <v>0</v>
      </c>
      <c r="AD120" s="60">
        <f>ROUND(AC120*AB120*Input!$C$3/365,0)</f>
        <v>0</v>
      </c>
      <c r="AE120" s="61">
        <f>IF($A120&lt;=Input!$C$6,0,IF('180M'!AA120&lt;'180M'!AC120,'180M'!AA120-AD120,'180M'!AC120))</f>
        <v>0</v>
      </c>
      <c r="AF120" s="61">
        <f t="shared" si="55"/>
        <v>0</v>
      </c>
      <c r="AG120" s="60">
        <f t="shared" si="56"/>
        <v>0</v>
      </c>
      <c r="AH120" s="193"/>
      <c r="AI120" s="169">
        <v>116</v>
      </c>
      <c r="AJ120" s="1">
        <f t="shared" si="68"/>
        <v>49049</v>
      </c>
      <c r="AK120" s="60">
        <f>IF($X120&lt;Input!$H$73,IF($X120&lt;Input!$G$73,IF($X120&lt;Input!$F$73,IF($X120&lt;Input!$E$73,IF($X120&lt;Input!$D$73,Input!$C$79,Input!$D$79),Input!$E$79),Input!$F$79),Input!$G$79),Input!$H$79)</f>
        <v>0</v>
      </c>
      <c r="AL120" s="190">
        <f>IF($A120&lt;Input!$H$80,IF($A120&lt;Input!$G$80,IF($A120&lt;Input!$F$80,IF($A120&lt;Input!$E$80,IF($A120&lt;Input!$D$80,Input!$C$81,Input!$D$81),Input!$E$81),Input!$F$81),Input!$G$81),Input!$H$81)</f>
        <v>0.9</v>
      </c>
      <c r="AM120" s="60">
        <f t="shared" si="69"/>
        <v>0</v>
      </c>
      <c r="AN120" s="60">
        <f t="shared" si="70"/>
        <v>31</v>
      </c>
      <c r="AO120" s="60">
        <f t="shared" si="71"/>
        <v>0</v>
      </c>
      <c r="AP120" s="60">
        <f>ROUND(AO120*AN120*Input!$C$3/365,0)</f>
        <v>0</v>
      </c>
      <c r="AQ120" s="61">
        <f>IF($A120&lt;=Input!$C$6,0,IF('180M'!AM120&lt;'180M'!AO120,'180M'!AM120-AP120,'180M'!AO120))</f>
        <v>0</v>
      </c>
      <c r="AR120" s="61">
        <f t="shared" si="72"/>
        <v>0</v>
      </c>
      <c r="AS120" s="60">
        <f t="shared" si="73"/>
        <v>0</v>
      </c>
      <c r="AT120" s="193"/>
      <c r="AU120" s="169">
        <v>116</v>
      </c>
      <c r="AV120" s="1">
        <f t="shared" si="74"/>
        <v>49049</v>
      </c>
      <c r="AW120" s="60">
        <f>IF($X120&lt;Input!$H$88,IF($X120&lt;Input!$G$88,IF($X120&lt;Input!$F$88,IF($X120&lt;Input!$E$88,IF($X120&lt;Input!$D$88,Input!$C$94,Input!$D$94),Input!$E$94),Input!$F$94),Input!$G$94),Input!$H$94)</f>
        <v>0</v>
      </c>
      <c r="AX120" s="190">
        <f>IF($A120&lt;Input!$H$95,IF($A120&lt;Input!$G$95,IF($A120&lt;Input!$F$95,IF($A120&lt;Input!$E$95,IF($A120&lt;Input!$D$95,Input!$C$96,Input!$D$96),Input!$E$96),Input!$F$96),Input!$G$96),Input!$H$96)</f>
        <v>0.9</v>
      </c>
      <c r="AY120" s="60">
        <f t="shared" si="75"/>
        <v>0</v>
      </c>
      <c r="AZ120" s="60">
        <f t="shared" si="76"/>
        <v>31</v>
      </c>
      <c r="BA120" s="60">
        <f t="shared" si="77"/>
        <v>0</v>
      </c>
      <c r="BB120" s="60">
        <f>ROUND(BA120*AZ120*Input!$C$3/365,0)</f>
        <v>0</v>
      </c>
      <c r="BC120" s="61">
        <f>IF($A120&lt;=Input!$C$6,0,IF('180M'!AY120&lt;'180M'!BA120,'180M'!AY120-BB120,'180M'!BA120))</f>
        <v>0</v>
      </c>
      <c r="BD120" s="61">
        <f t="shared" si="78"/>
        <v>0</v>
      </c>
      <c r="BE120" s="60">
        <f t="shared" si="79"/>
        <v>0</v>
      </c>
      <c r="BF120" s="193"/>
      <c r="BG120" s="169">
        <v>116</v>
      </c>
      <c r="BH120" s="1">
        <f t="shared" si="80"/>
        <v>49049</v>
      </c>
      <c r="BI120" s="60">
        <f>IF($X120&lt;Input!$H$103,IF($X120&lt;Input!$G$103,IF($X120&lt;Input!$F$103,IF($X120&lt;Input!$E$103,IF($X120&lt;Input!$D$103,Input!$C$109,Input!$D$109),Input!$E$109),Input!$F$109),Input!$G$109),Input!$H$109)</f>
        <v>0</v>
      </c>
      <c r="BJ120" s="190">
        <f>IF($A120&lt;Input!$H$110,IF($A120&lt;Input!$G$110,IF($A120&lt;Input!$F$110,IF($A120&lt;Input!$E$110,IF($A120&lt;Input!$D$110,Input!$C$111,Input!$D$111),Input!$E$111),Input!$F$111),Input!$G$111),Input!$H$111)</f>
        <v>0.9</v>
      </c>
      <c r="BK120" s="60">
        <f t="shared" si="57"/>
        <v>0</v>
      </c>
      <c r="BL120" s="60">
        <f t="shared" si="81"/>
        <v>31</v>
      </c>
      <c r="BM120" s="60">
        <f t="shared" si="58"/>
        <v>0</v>
      </c>
      <c r="BN120" s="60">
        <f>ROUND(BM120*BL120*Input!$C$3/365,0)</f>
        <v>0</v>
      </c>
      <c r="BO120" s="61">
        <f>IF($A120&lt;=Input!$C$6,0,IF('180M'!BK120&lt;'180M'!BM120,'180M'!BK120-BN120,'180M'!BM120))</f>
        <v>0</v>
      </c>
      <c r="BP120" s="61">
        <f t="shared" si="59"/>
        <v>0</v>
      </c>
      <c r="BQ120" s="60">
        <f t="shared" si="60"/>
        <v>0</v>
      </c>
      <c r="BR120" s="198"/>
    </row>
    <row r="121" spans="1:70" x14ac:dyDescent="0.25">
      <c r="A121" s="169">
        <v>117</v>
      </c>
      <c r="B121" s="1">
        <f t="shared" si="61"/>
        <v>49079</v>
      </c>
      <c r="C121" s="60">
        <f t="shared" si="47"/>
        <v>33127052.878124986</v>
      </c>
      <c r="D121" s="60">
        <f t="shared" si="48"/>
        <v>29814347.590312488</v>
      </c>
      <c r="E121" s="60">
        <f t="shared" si="62"/>
        <v>30</v>
      </c>
      <c r="F121" s="60">
        <f t="shared" si="63"/>
        <v>1307579285.7754436</v>
      </c>
      <c r="G121" s="60">
        <f>ROUND(F121*E121*Input!$C$3/365,0)</f>
        <v>16120841</v>
      </c>
      <c r="H121" s="60">
        <f>IF($A121&lt;=Input!$C$6,0,IF('180M'!D121&lt;'180M'!F121,'180M'!D121-G121,'180M'!F121))</f>
        <v>13693506.590312488</v>
      </c>
      <c r="I121" s="60">
        <f t="shared" si="64"/>
        <v>29814347.590312488</v>
      </c>
      <c r="J121" s="60">
        <f t="shared" si="65"/>
        <v>1293885779.1851311</v>
      </c>
      <c r="K121" s="203">
        <f>J121/Input!$K$5</f>
        <v>4.3129525972837701</v>
      </c>
      <c r="L121" s="232"/>
      <c r="M121" s="60">
        <f>IF($B121&lt;Input!$H$43,IF($B121&lt;Input!$G$43,IF($B121&lt;Input!$F$43,IF($B121&lt;Input!$E$43,IF($B121&lt;Input!$D$43,Input!$C$49,Input!$D$49),Input!$E$49),Input!$F$49),Input!$G$49),Input!$H$49)</f>
        <v>33127052.878124986</v>
      </c>
      <c r="N121" s="190">
        <f>IF($A121&lt;Input!$H$50,IF($A121&lt;Input!$G$50,IF($A121&lt;Input!$F$50,IF($A121&lt;Input!$E$50,IF($A121&lt;Input!$D$50,Input!$C$51,Input!$D$51),Input!$E$51),Input!$F$51),Input!$G$51),Input!$H$51)</f>
        <v>0.9</v>
      </c>
      <c r="O121" s="60">
        <f t="shared" si="82"/>
        <v>29814347.590312488</v>
      </c>
      <c r="P121" s="60">
        <f t="shared" si="83"/>
        <v>30</v>
      </c>
      <c r="Q121" s="60">
        <f t="shared" si="50"/>
        <v>1307579285.7754436</v>
      </c>
      <c r="R121" s="60">
        <f>ROUND(Q121*$P121*Input!$C$3/365,0)</f>
        <v>16120841</v>
      </c>
      <c r="S121" s="60">
        <f>IF(A121&lt;=Input!$C$6,0,IF('180M'!O121&lt;'180M'!Q121,'180M'!O121-R121,'180M'!Q121))</f>
        <v>13693506.590312488</v>
      </c>
      <c r="T121" s="60">
        <f t="shared" si="51"/>
        <v>29814347.590312488</v>
      </c>
      <c r="U121" s="60">
        <f t="shared" si="52"/>
        <v>1293885779.1851311</v>
      </c>
      <c r="V121" s="193"/>
      <c r="W121" s="169">
        <v>117</v>
      </c>
      <c r="X121" s="1">
        <f t="shared" si="66"/>
        <v>49079</v>
      </c>
      <c r="Y121" s="60">
        <f>IF($X121&lt;Input!$H$58,IF($X121&lt;Input!$G$58,IF($X121&lt;Input!$F$58,IF($X121&lt;Input!$E$58,IF($X121&lt;Input!$D$58,Input!$C$64,Input!$D$64),Input!$E$64),Input!$F$64),Input!$G$64),Input!$H$64)</f>
        <v>0</v>
      </c>
      <c r="Z121" s="190">
        <f>IF($A121&lt;Input!$H$65,IF($A121&lt;Input!$G$65,IF($A121&lt;Input!$F$65,IF($A121&lt;Input!$E$65,IF($A121&lt;Input!$D$65,Input!$C$66,Input!$D$66),Input!$E$66),Input!$F$66),Input!$G$66),Input!$H$66)</f>
        <v>0.9</v>
      </c>
      <c r="AA121" s="60">
        <f t="shared" si="53"/>
        <v>0</v>
      </c>
      <c r="AB121" s="60">
        <f t="shared" si="67"/>
        <v>30</v>
      </c>
      <c r="AC121" s="60">
        <f t="shared" si="54"/>
        <v>0</v>
      </c>
      <c r="AD121" s="60">
        <f>ROUND(AC121*AB121*Input!$C$3/365,0)</f>
        <v>0</v>
      </c>
      <c r="AE121" s="61">
        <f>IF($A121&lt;=Input!$C$6,0,IF('180M'!AA121&lt;'180M'!AC121,'180M'!AA121-AD121,'180M'!AC121))</f>
        <v>0</v>
      </c>
      <c r="AF121" s="61">
        <f t="shared" si="55"/>
        <v>0</v>
      </c>
      <c r="AG121" s="60">
        <f t="shared" si="56"/>
        <v>0</v>
      </c>
      <c r="AH121" s="193"/>
      <c r="AI121" s="169">
        <v>117</v>
      </c>
      <c r="AJ121" s="1">
        <f t="shared" si="68"/>
        <v>49079</v>
      </c>
      <c r="AK121" s="60">
        <f>IF($X121&lt;Input!$H$73,IF($X121&lt;Input!$G$73,IF($X121&lt;Input!$F$73,IF($X121&lt;Input!$E$73,IF($X121&lt;Input!$D$73,Input!$C$79,Input!$D$79),Input!$E$79),Input!$F$79),Input!$G$79),Input!$H$79)</f>
        <v>0</v>
      </c>
      <c r="AL121" s="190">
        <f>IF($A121&lt;Input!$H$80,IF($A121&lt;Input!$G$80,IF($A121&lt;Input!$F$80,IF($A121&lt;Input!$E$80,IF($A121&lt;Input!$D$80,Input!$C$81,Input!$D$81),Input!$E$81),Input!$F$81),Input!$G$81),Input!$H$81)</f>
        <v>0.9</v>
      </c>
      <c r="AM121" s="60">
        <f t="shared" si="69"/>
        <v>0</v>
      </c>
      <c r="AN121" s="60">
        <f t="shared" si="70"/>
        <v>30</v>
      </c>
      <c r="AO121" s="60">
        <f t="shared" si="71"/>
        <v>0</v>
      </c>
      <c r="AP121" s="60">
        <f>ROUND(AO121*AN121*Input!$C$3/365,0)</f>
        <v>0</v>
      </c>
      <c r="AQ121" s="61">
        <f>IF($A121&lt;=Input!$C$6,0,IF('180M'!AM121&lt;'180M'!AO121,'180M'!AM121-AP121,'180M'!AO121))</f>
        <v>0</v>
      </c>
      <c r="AR121" s="61">
        <f t="shared" si="72"/>
        <v>0</v>
      </c>
      <c r="AS121" s="60">
        <f t="shared" si="73"/>
        <v>0</v>
      </c>
      <c r="AT121" s="193"/>
      <c r="AU121" s="169">
        <v>117</v>
      </c>
      <c r="AV121" s="1">
        <f t="shared" si="74"/>
        <v>49079</v>
      </c>
      <c r="AW121" s="60">
        <f>IF($X121&lt;Input!$H$88,IF($X121&lt;Input!$G$88,IF($X121&lt;Input!$F$88,IF($X121&lt;Input!$E$88,IF($X121&lt;Input!$D$88,Input!$C$94,Input!$D$94),Input!$E$94),Input!$F$94),Input!$G$94),Input!$H$94)</f>
        <v>0</v>
      </c>
      <c r="AX121" s="190">
        <f>IF($A121&lt;Input!$H$95,IF($A121&lt;Input!$G$95,IF($A121&lt;Input!$F$95,IF($A121&lt;Input!$E$95,IF($A121&lt;Input!$D$95,Input!$C$96,Input!$D$96),Input!$E$96),Input!$F$96),Input!$G$96),Input!$H$96)</f>
        <v>0.9</v>
      </c>
      <c r="AY121" s="60">
        <f t="shared" si="75"/>
        <v>0</v>
      </c>
      <c r="AZ121" s="60">
        <f t="shared" si="76"/>
        <v>30</v>
      </c>
      <c r="BA121" s="60">
        <f t="shared" si="77"/>
        <v>0</v>
      </c>
      <c r="BB121" s="60">
        <f>ROUND(BA121*AZ121*Input!$C$3/365,0)</f>
        <v>0</v>
      </c>
      <c r="BC121" s="61">
        <f>IF($A121&lt;=Input!$C$6,0,IF('180M'!AY121&lt;'180M'!BA121,'180M'!AY121-BB121,'180M'!BA121))</f>
        <v>0</v>
      </c>
      <c r="BD121" s="61">
        <f t="shared" si="78"/>
        <v>0</v>
      </c>
      <c r="BE121" s="60">
        <f t="shared" si="79"/>
        <v>0</v>
      </c>
      <c r="BF121" s="193"/>
      <c r="BG121" s="169">
        <v>117</v>
      </c>
      <c r="BH121" s="1">
        <f t="shared" si="80"/>
        <v>49079</v>
      </c>
      <c r="BI121" s="60">
        <f>IF($X121&lt;Input!$H$103,IF($X121&lt;Input!$G$103,IF($X121&lt;Input!$F$103,IF($X121&lt;Input!$E$103,IF($X121&lt;Input!$D$103,Input!$C$109,Input!$D$109),Input!$E$109),Input!$F$109),Input!$G$109),Input!$H$109)</f>
        <v>0</v>
      </c>
      <c r="BJ121" s="190">
        <f>IF($A121&lt;Input!$H$110,IF($A121&lt;Input!$G$110,IF($A121&lt;Input!$F$110,IF($A121&lt;Input!$E$110,IF($A121&lt;Input!$D$110,Input!$C$111,Input!$D$111),Input!$E$111),Input!$F$111),Input!$G$111),Input!$H$111)</f>
        <v>0.9</v>
      </c>
      <c r="BK121" s="60">
        <f t="shared" si="57"/>
        <v>0</v>
      </c>
      <c r="BL121" s="60">
        <f t="shared" si="81"/>
        <v>30</v>
      </c>
      <c r="BM121" s="60">
        <f t="shared" si="58"/>
        <v>0</v>
      </c>
      <c r="BN121" s="60">
        <f>ROUND(BM121*BL121*Input!$C$3/365,0)</f>
        <v>0</v>
      </c>
      <c r="BO121" s="61">
        <f>IF($A121&lt;=Input!$C$6,0,IF('180M'!BK121&lt;'180M'!BM121,'180M'!BK121-BN121,'180M'!BM121))</f>
        <v>0</v>
      </c>
      <c r="BP121" s="61">
        <f t="shared" si="59"/>
        <v>0</v>
      </c>
      <c r="BQ121" s="60">
        <f t="shared" si="60"/>
        <v>0</v>
      </c>
      <c r="BR121" s="198"/>
    </row>
    <row r="122" spans="1:70" x14ac:dyDescent="0.25">
      <c r="A122" s="169">
        <v>118</v>
      </c>
      <c r="B122" s="1">
        <f t="shared" si="61"/>
        <v>49110</v>
      </c>
      <c r="C122" s="60">
        <f t="shared" si="47"/>
        <v>33127052.878124986</v>
      </c>
      <c r="D122" s="60">
        <f t="shared" si="48"/>
        <v>29814347.590312488</v>
      </c>
      <c r="E122" s="60">
        <f t="shared" si="62"/>
        <v>31</v>
      </c>
      <c r="F122" s="60">
        <f t="shared" si="63"/>
        <v>1293885779.1851311</v>
      </c>
      <c r="G122" s="60">
        <f>ROUND(F122*E122*Input!$C$3/365,0)</f>
        <v>16483750</v>
      </c>
      <c r="H122" s="60">
        <f>IF($A122&lt;=Input!$C$6,0,IF('180M'!D122&lt;'180M'!F122,'180M'!D122-G122,'180M'!F122))</f>
        <v>13330597.590312488</v>
      </c>
      <c r="I122" s="60">
        <f t="shared" si="64"/>
        <v>29814347.590312488</v>
      </c>
      <c r="J122" s="60">
        <f t="shared" si="65"/>
        <v>1280555181.5948186</v>
      </c>
      <c r="K122" s="203">
        <f>J122/Input!$K$5</f>
        <v>4.2685172719827289</v>
      </c>
      <c r="L122" s="232"/>
      <c r="M122" s="60">
        <f>IF($B122&lt;Input!$H$43,IF($B122&lt;Input!$G$43,IF($B122&lt;Input!$F$43,IF($B122&lt;Input!$E$43,IF($B122&lt;Input!$D$43,Input!$C$49,Input!$D$49),Input!$E$49),Input!$F$49),Input!$G$49),Input!$H$49)</f>
        <v>33127052.878124986</v>
      </c>
      <c r="N122" s="190">
        <f>IF($A122&lt;Input!$H$50,IF($A122&lt;Input!$G$50,IF($A122&lt;Input!$F$50,IF($A122&lt;Input!$E$50,IF($A122&lt;Input!$D$50,Input!$C$51,Input!$D$51),Input!$E$51),Input!$F$51),Input!$G$51),Input!$H$51)</f>
        <v>0.9</v>
      </c>
      <c r="O122" s="60">
        <f t="shared" si="82"/>
        <v>29814347.590312488</v>
      </c>
      <c r="P122" s="60">
        <f t="shared" si="83"/>
        <v>31</v>
      </c>
      <c r="Q122" s="60">
        <f t="shared" si="50"/>
        <v>1293885779.1851311</v>
      </c>
      <c r="R122" s="60">
        <f>ROUND(Q122*$P122*Input!$C$3/365,0)</f>
        <v>16483750</v>
      </c>
      <c r="S122" s="60">
        <f>IF(A122&lt;=Input!$C$6,0,IF('180M'!O122&lt;'180M'!Q122,'180M'!O122-R122,'180M'!Q122))</f>
        <v>13330597.590312488</v>
      </c>
      <c r="T122" s="60">
        <f t="shared" si="51"/>
        <v>29814347.590312488</v>
      </c>
      <c r="U122" s="60">
        <f t="shared" si="52"/>
        <v>1280555181.5948186</v>
      </c>
      <c r="V122" s="193"/>
      <c r="W122" s="169">
        <v>118</v>
      </c>
      <c r="X122" s="1">
        <f t="shared" si="66"/>
        <v>49110</v>
      </c>
      <c r="Y122" s="60">
        <f>IF($X122&lt;Input!$H$58,IF($X122&lt;Input!$G$58,IF($X122&lt;Input!$F$58,IF($X122&lt;Input!$E$58,IF($X122&lt;Input!$D$58,Input!$C$64,Input!$D$64),Input!$E$64),Input!$F$64),Input!$G$64),Input!$H$64)</f>
        <v>0</v>
      </c>
      <c r="Z122" s="190">
        <f>IF($A122&lt;Input!$H$65,IF($A122&lt;Input!$G$65,IF($A122&lt;Input!$F$65,IF($A122&lt;Input!$E$65,IF($A122&lt;Input!$D$65,Input!$C$66,Input!$D$66),Input!$E$66),Input!$F$66),Input!$G$66),Input!$H$66)</f>
        <v>0.9</v>
      </c>
      <c r="AA122" s="60">
        <f t="shared" si="53"/>
        <v>0</v>
      </c>
      <c r="AB122" s="60">
        <f t="shared" si="67"/>
        <v>31</v>
      </c>
      <c r="AC122" s="60">
        <f t="shared" si="54"/>
        <v>0</v>
      </c>
      <c r="AD122" s="60">
        <f>ROUND(AC122*AB122*Input!$C$3/365,0)</f>
        <v>0</v>
      </c>
      <c r="AE122" s="61">
        <f>IF($A122&lt;=Input!$C$6,0,IF('180M'!AA122&lt;'180M'!AC122,'180M'!AA122-AD122,'180M'!AC122))</f>
        <v>0</v>
      </c>
      <c r="AF122" s="61">
        <f t="shared" si="55"/>
        <v>0</v>
      </c>
      <c r="AG122" s="60">
        <f t="shared" si="56"/>
        <v>0</v>
      </c>
      <c r="AH122" s="193"/>
      <c r="AI122" s="169">
        <v>118</v>
      </c>
      <c r="AJ122" s="1">
        <f t="shared" si="68"/>
        <v>49110</v>
      </c>
      <c r="AK122" s="60">
        <f>IF($X122&lt;Input!$H$73,IF($X122&lt;Input!$G$73,IF($X122&lt;Input!$F$73,IF($X122&lt;Input!$E$73,IF($X122&lt;Input!$D$73,Input!$C$79,Input!$D$79),Input!$E$79),Input!$F$79),Input!$G$79),Input!$H$79)</f>
        <v>0</v>
      </c>
      <c r="AL122" s="190">
        <f>IF($A122&lt;Input!$H$80,IF($A122&lt;Input!$G$80,IF($A122&lt;Input!$F$80,IF($A122&lt;Input!$E$80,IF($A122&lt;Input!$D$80,Input!$C$81,Input!$D$81),Input!$E$81),Input!$F$81),Input!$G$81),Input!$H$81)</f>
        <v>0.9</v>
      </c>
      <c r="AM122" s="60">
        <f t="shared" si="69"/>
        <v>0</v>
      </c>
      <c r="AN122" s="60">
        <f t="shared" si="70"/>
        <v>31</v>
      </c>
      <c r="AO122" s="60">
        <f t="shared" si="71"/>
        <v>0</v>
      </c>
      <c r="AP122" s="60">
        <f>ROUND(AO122*AN122*Input!$C$3/365,0)</f>
        <v>0</v>
      </c>
      <c r="AQ122" s="61">
        <f>IF($A122&lt;=Input!$C$6,0,IF('180M'!AM122&lt;'180M'!AO122,'180M'!AM122-AP122,'180M'!AO122))</f>
        <v>0</v>
      </c>
      <c r="AR122" s="61">
        <f t="shared" si="72"/>
        <v>0</v>
      </c>
      <c r="AS122" s="60">
        <f t="shared" si="73"/>
        <v>0</v>
      </c>
      <c r="AT122" s="193"/>
      <c r="AU122" s="169">
        <v>118</v>
      </c>
      <c r="AV122" s="1">
        <f t="shared" si="74"/>
        <v>49110</v>
      </c>
      <c r="AW122" s="60">
        <f>IF($X122&lt;Input!$H$88,IF($X122&lt;Input!$G$88,IF($X122&lt;Input!$F$88,IF($X122&lt;Input!$E$88,IF($X122&lt;Input!$D$88,Input!$C$94,Input!$D$94),Input!$E$94),Input!$F$94),Input!$G$94),Input!$H$94)</f>
        <v>0</v>
      </c>
      <c r="AX122" s="190">
        <f>IF($A122&lt;Input!$H$95,IF($A122&lt;Input!$G$95,IF($A122&lt;Input!$F$95,IF($A122&lt;Input!$E$95,IF($A122&lt;Input!$D$95,Input!$C$96,Input!$D$96),Input!$E$96),Input!$F$96),Input!$G$96),Input!$H$96)</f>
        <v>0.9</v>
      </c>
      <c r="AY122" s="60">
        <f t="shared" si="75"/>
        <v>0</v>
      </c>
      <c r="AZ122" s="60">
        <f t="shared" si="76"/>
        <v>31</v>
      </c>
      <c r="BA122" s="60">
        <f t="shared" si="77"/>
        <v>0</v>
      </c>
      <c r="BB122" s="60">
        <f>ROUND(BA122*AZ122*Input!$C$3/365,0)</f>
        <v>0</v>
      </c>
      <c r="BC122" s="61">
        <f>IF($A122&lt;=Input!$C$6,0,IF('180M'!AY122&lt;'180M'!BA122,'180M'!AY122-BB122,'180M'!BA122))</f>
        <v>0</v>
      </c>
      <c r="BD122" s="61">
        <f t="shared" si="78"/>
        <v>0</v>
      </c>
      <c r="BE122" s="60">
        <f t="shared" si="79"/>
        <v>0</v>
      </c>
      <c r="BF122" s="193"/>
      <c r="BG122" s="169">
        <v>118</v>
      </c>
      <c r="BH122" s="1">
        <f t="shared" si="80"/>
        <v>49110</v>
      </c>
      <c r="BI122" s="60">
        <f>IF($X122&lt;Input!$H$103,IF($X122&lt;Input!$G$103,IF($X122&lt;Input!$F$103,IF($X122&lt;Input!$E$103,IF($X122&lt;Input!$D$103,Input!$C$109,Input!$D$109),Input!$E$109),Input!$F$109),Input!$G$109),Input!$H$109)</f>
        <v>0</v>
      </c>
      <c r="BJ122" s="190">
        <f>IF($A122&lt;Input!$H$110,IF($A122&lt;Input!$G$110,IF($A122&lt;Input!$F$110,IF($A122&lt;Input!$E$110,IF($A122&lt;Input!$D$110,Input!$C$111,Input!$D$111),Input!$E$111),Input!$F$111),Input!$G$111),Input!$H$111)</f>
        <v>0.9</v>
      </c>
      <c r="BK122" s="60">
        <f t="shared" si="57"/>
        <v>0</v>
      </c>
      <c r="BL122" s="60">
        <f t="shared" si="81"/>
        <v>31</v>
      </c>
      <c r="BM122" s="60">
        <f t="shared" si="58"/>
        <v>0</v>
      </c>
      <c r="BN122" s="60">
        <f>ROUND(BM122*BL122*Input!$C$3/365,0)</f>
        <v>0</v>
      </c>
      <c r="BO122" s="61">
        <f>IF($A122&lt;=Input!$C$6,0,IF('180M'!BK122&lt;'180M'!BM122,'180M'!BK122-BN122,'180M'!BM122))</f>
        <v>0</v>
      </c>
      <c r="BP122" s="61">
        <f t="shared" si="59"/>
        <v>0</v>
      </c>
      <c r="BQ122" s="60">
        <f t="shared" si="60"/>
        <v>0</v>
      </c>
      <c r="BR122" s="198"/>
    </row>
    <row r="123" spans="1:70" x14ac:dyDescent="0.25">
      <c r="A123" s="169">
        <v>119</v>
      </c>
      <c r="B123" s="1">
        <f t="shared" si="61"/>
        <v>49140</v>
      </c>
      <c r="C123" s="60">
        <f t="shared" si="47"/>
        <v>33127052.878124986</v>
      </c>
      <c r="D123" s="60">
        <f t="shared" si="48"/>
        <v>29814347.590312488</v>
      </c>
      <c r="E123" s="60">
        <f t="shared" si="62"/>
        <v>30</v>
      </c>
      <c r="F123" s="60">
        <f t="shared" si="63"/>
        <v>1280555181.5948186</v>
      </c>
      <c r="G123" s="60">
        <f>ROUND(F123*E123*Input!$C$3/365,0)</f>
        <v>15787667</v>
      </c>
      <c r="H123" s="60">
        <f>IF($A123&lt;=Input!$C$6,0,IF('180M'!D123&lt;'180M'!F123,'180M'!D123-G123,'180M'!F123))</f>
        <v>14026680.590312488</v>
      </c>
      <c r="I123" s="60">
        <f t="shared" si="64"/>
        <v>29814347.590312488</v>
      </c>
      <c r="J123" s="60">
        <f t="shared" si="65"/>
        <v>1266528501.0045061</v>
      </c>
      <c r="K123" s="203">
        <f>J123/Input!$K$5</f>
        <v>4.2217616700150202</v>
      </c>
      <c r="L123" s="232"/>
      <c r="M123" s="60">
        <f>IF($B123&lt;Input!$H$43,IF($B123&lt;Input!$G$43,IF($B123&lt;Input!$F$43,IF($B123&lt;Input!$E$43,IF($B123&lt;Input!$D$43,Input!$C$49,Input!$D$49),Input!$E$49),Input!$F$49),Input!$G$49),Input!$H$49)</f>
        <v>33127052.878124986</v>
      </c>
      <c r="N123" s="190">
        <f>IF($A123&lt;Input!$H$50,IF($A123&lt;Input!$G$50,IF($A123&lt;Input!$F$50,IF($A123&lt;Input!$E$50,IF($A123&lt;Input!$D$50,Input!$C$51,Input!$D$51),Input!$E$51),Input!$F$51),Input!$G$51),Input!$H$51)</f>
        <v>0.9</v>
      </c>
      <c r="O123" s="60">
        <f t="shared" si="82"/>
        <v>29814347.590312488</v>
      </c>
      <c r="P123" s="60">
        <f t="shared" si="83"/>
        <v>30</v>
      </c>
      <c r="Q123" s="60">
        <f t="shared" si="50"/>
        <v>1280555181.5948186</v>
      </c>
      <c r="R123" s="60">
        <f>ROUND(Q123*$P123*Input!$C$3/365,0)</f>
        <v>15787667</v>
      </c>
      <c r="S123" s="60">
        <f>IF(A123&lt;=Input!$C$6,0,IF('180M'!O123&lt;'180M'!Q123,'180M'!O123-R123,'180M'!Q123))</f>
        <v>14026680.590312488</v>
      </c>
      <c r="T123" s="60">
        <f t="shared" si="51"/>
        <v>29814347.590312488</v>
      </c>
      <c r="U123" s="60">
        <f t="shared" si="52"/>
        <v>1266528501.0045061</v>
      </c>
      <c r="V123" s="193"/>
      <c r="W123" s="169">
        <v>119</v>
      </c>
      <c r="X123" s="1">
        <f t="shared" si="66"/>
        <v>49140</v>
      </c>
      <c r="Y123" s="60">
        <f>IF($X123&lt;Input!$H$58,IF($X123&lt;Input!$G$58,IF($X123&lt;Input!$F$58,IF($X123&lt;Input!$E$58,IF($X123&lt;Input!$D$58,Input!$C$64,Input!$D$64),Input!$E$64),Input!$F$64),Input!$G$64),Input!$H$64)</f>
        <v>0</v>
      </c>
      <c r="Z123" s="190">
        <f>IF($A123&lt;Input!$H$65,IF($A123&lt;Input!$G$65,IF($A123&lt;Input!$F$65,IF($A123&lt;Input!$E$65,IF($A123&lt;Input!$D$65,Input!$C$66,Input!$D$66),Input!$E$66),Input!$F$66),Input!$G$66),Input!$H$66)</f>
        <v>0.9</v>
      </c>
      <c r="AA123" s="60">
        <f t="shared" si="53"/>
        <v>0</v>
      </c>
      <c r="AB123" s="60">
        <f t="shared" si="67"/>
        <v>30</v>
      </c>
      <c r="AC123" s="60">
        <f t="shared" si="54"/>
        <v>0</v>
      </c>
      <c r="AD123" s="60">
        <f>ROUND(AC123*AB123*Input!$C$3/365,0)</f>
        <v>0</v>
      </c>
      <c r="AE123" s="61">
        <f>IF($A123&lt;=Input!$C$6,0,IF('180M'!AA123&lt;'180M'!AC123,'180M'!AA123-AD123,'180M'!AC123))</f>
        <v>0</v>
      </c>
      <c r="AF123" s="61">
        <f t="shared" si="55"/>
        <v>0</v>
      </c>
      <c r="AG123" s="60">
        <f t="shared" si="56"/>
        <v>0</v>
      </c>
      <c r="AH123" s="193"/>
      <c r="AI123" s="169">
        <v>119</v>
      </c>
      <c r="AJ123" s="1">
        <f t="shared" si="68"/>
        <v>49140</v>
      </c>
      <c r="AK123" s="60">
        <f>IF($X123&lt;Input!$H$73,IF($X123&lt;Input!$G$73,IF($X123&lt;Input!$F$73,IF($X123&lt;Input!$E$73,IF($X123&lt;Input!$D$73,Input!$C$79,Input!$D$79),Input!$E$79),Input!$F$79),Input!$G$79),Input!$H$79)</f>
        <v>0</v>
      </c>
      <c r="AL123" s="190">
        <f>IF($A123&lt;Input!$H$80,IF($A123&lt;Input!$G$80,IF($A123&lt;Input!$F$80,IF($A123&lt;Input!$E$80,IF($A123&lt;Input!$D$80,Input!$C$81,Input!$D$81),Input!$E$81),Input!$F$81),Input!$G$81),Input!$H$81)</f>
        <v>0.9</v>
      </c>
      <c r="AM123" s="60">
        <f t="shared" si="69"/>
        <v>0</v>
      </c>
      <c r="AN123" s="60">
        <f t="shared" si="70"/>
        <v>30</v>
      </c>
      <c r="AO123" s="60">
        <f t="shared" si="71"/>
        <v>0</v>
      </c>
      <c r="AP123" s="60">
        <f>ROUND(AO123*AN123*Input!$C$3/365,0)</f>
        <v>0</v>
      </c>
      <c r="AQ123" s="61">
        <f>IF($A123&lt;=Input!$C$6,0,IF('180M'!AM123&lt;'180M'!AO123,'180M'!AM123-AP123,'180M'!AO123))</f>
        <v>0</v>
      </c>
      <c r="AR123" s="61">
        <f t="shared" si="72"/>
        <v>0</v>
      </c>
      <c r="AS123" s="60">
        <f t="shared" si="73"/>
        <v>0</v>
      </c>
      <c r="AT123" s="193"/>
      <c r="AU123" s="169">
        <v>119</v>
      </c>
      <c r="AV123" s="1">
        <f t="shared" si="74"/>
        <v>49140</v>
      </c>
      <c r="AW123" s="60">
        <f>IF($X123&lt;Input!$H$88,IF($X123&lt;Input!$G$88,IF($X123&lt;Input!$F$88,IF($X123&lt;Input!$E$88,IF($X123&lt;Input!$D$88,Input!$C$94,Input!$D$94),Input!$E$94),Input!$F$94),Input!$G$94),Input!$H$94)</f>
        <v>0</v>
      </c>
      <c r="AX123" s="190">
        <f>IF($A123&lt;Input!$H$95,IF($A123&lt;Input!$G$95,IF($A123&lt;Input!$F$95,IF($A123&lt;Input!$E$95,IF($A123&lt;Input!$D$95,Input!$C$96,Input!$D$96),Input!$E$96),Input!$F$96),Input!$G$96),Input!$H$96)</f>
        <v>0.9</v>
      </c>
      <c r="AY123" s="60">
        <f t="shared" si="75"/>
        <v>0</v>
      </c>
      <c r="AZ123" s="60">
        <f t="shared" si="76"/>
        <v>30</v>
      </c>
      <c r="BA123" s="60">
        <f t="shared" si="77"/>
        <v>0</v>
      </c>
      <c r="BB123" s="60">
        <f>ROUND(BA123*AZ123*Input!$C$3/365,0)</f>
        <v>0</v>
      </c>
      <c r="BC123" s="61">
        <f>IF($A123&lt;=Input!$C$6,0,IF('180M'!AY123&lt;'180M'!BA123,'180M'!AY123-BB123,'180M'!BA123))</f>
        <v>0</v>
      </c>
      <c r="BD123" s="61">
        <f t="shared" si="78"/>
        <v>0</v>
      </c>
      <c r="BE123" s="60">
        <f t="shared" si="79"/>
        <v>0</v>
      </c>
      <c r="BF123" s="193"/>
      <c r="BG123" s="169">
        <v>119</v>
      </c>
      <c r="BH123" s="1">
        <f t="shared" si="80"/>
        <v>49140</v>
      </c>
      <c r="BI123" s="60">
        <f>IF($X123&lt;Input!$H$103,IF($X123&lt;Input!$G$103,IF($X123&lt;Input!$F$103,IF($X123&lt;Input!$E$103,IF($X123&lt;Input!$D$103,Input!$C$109,Input!$D$109),Input!$E$109),Input!$F$109),Input!$G$109),Input!$H$109)</f>
        <v>0</v>
      </c>
      <c r="BJ123" s="190">
        <f>IF($A123&lt;Input!$H$110,IF($A123&lt;Input!$G$110,IF($A123&lt;Input!$F$110,IF($A123&lt;Input!$E$110,IF($A123&lt;Input!$D$110,Input!$C$111,Input!$D$111),Input!$E$111),Input!$F$111),Input!$G$111),Input!$H$111)</f>
        <v>0.9</v>
      </c>
      <c r="BK123" s="60">
        <f t="shared" si="57"/>
        <v>0</v>
      </c>
      <c r="BL123" s="60">
        <f t="shared" si="81"/>
        <v>30</v>
      </c>
      <c r="BM123" s="60">
        <f t="shared" si="58"/>
        <v>0</v>
      </c>
      <c r="BN123" s="60">
        <f>ROUND(BM123*BL123*Input!$C$3/365,0)</f>
        <v>0</v>
      </c>
      <c r="BO123" s="61">
        <f>IF($A123&lt;=Input!$C$6,0,IF('180M'!BK123&lt;'180M'!BM123,'180M'!BK123-BN123,'180M'!BM123))</f>
        <v>0</v>
      </c>
      <c r="BP123" s="61">
        <f t="shared" si="59"/>
        <v>0</v>
      </c>
      <c r="BQ123" s="60">
        <f t="shared" si="60"/>
        <v>0</v>
      </c>
      <c r="BR123" s="198"/>
    </row>
    <row r="124" spans="1:70" x14ac:dyDescent="0.25">
      <c r="A124" s="169">
        <v>120</v>
      </c>
      <c r="B124" s="1">
        <f t="shared" si="61"/>
        <v>49171</v>
      </c>
      <c r="C124" s="60">
        <f t="shared" si="47"/>
        <v>33127052.878124986</v>
      </c>
      <c r="D124" s="60">
        <f t="shared" si="48"/>
        <v>29814347.590312488</v>
      </c>
      <c r="E124" s="60">
        <f t="shared" si="62"/>
        <v>31</v>
      </c>
      <c r="F124" s="60">
        <f t="shared" si="63"/>
        <v>1266528501.0045061</v>
      </c>
      <c r="G124" s="60">
        <f>ROUND(F124*E124*Input!$C$3/365,0)</f>
        <v>16135226</v>
      </c>
      <c r="H124" s="60">
        <f>IF($A124&lt;=Input!$C$6,0,IF('180M'!D124&lt;'180M'!F124,'180M'!D124-G124,'180M'!F124))</f>
        <v>13679121.590312488</v>
      </c>
      <c r="I124" s="60">
        <f t="shared" si="64"/>
        <v>29814347.590312488</v>
      </c>
      <c r="J124" s="60">
        <f t="shared" si="65"/>
        <v>1252849379.4141936</v>
      </c>
      <c r="K124" s="203">
        <f>J124/Input!$K$5</f>
        <v>4.1761645980473121</v>
      </c>
      <c r="L124" s="232"/>
      <c r="M124" s="60">
        <f>IF($B124&lt;Input!$H$43,IF($B124&lt;Input!$G$43,IF($B124&lt;Input!$F$43,IF($B124&lt;Input!$E$43,IF($B124&lt;Input!$D$43,Input!$C$49,Input!$D$49),Input!$E$49),Input!$F$49),Input!$G$49),Input!$H$49)</f>
        <v>33127052.878124986</v>
      </c>
      <c r="N124" s="190">
        <f>IF($A124&lt;Input!$H$50,IF($A124&lt;Input!$G$50,IF($A124&lt;Input!$F$50,IF($A124&lt;Input!$E$50,IF($A124&lt;Input!$D$50,Input!$C$51,Input!$D$51),Input!$E$51),Input!$F$51),Input!$G$51),Input!$H$51)</f>
        <v>0.9</v>
      </c>
      <c r="O124" s="60">
        <f t="shared" si="82"/>
        <v>29814347.590312488</v>
      </c>
      <c r="P124" s="60">
        <f t="shared" si="83"/>
        <v>31</v>
      </c>
      <c r="Q124" s="60">
        <f t="shared" si="50"/>
        <v>1266528501.0045061</v>
      </c>
      <c r="R124" s="60">
        <f>ROUND(Q124*$P124*Input!$C$3/365,0)</f>
        <v>16135226</v>
      </c>
      <c r="S124" s="60">
        <f>IF(A124&lt;=Input!$C$6,0,IF('180M'!O124&lt;'180M'!Q124,'180M'!O124-R124,'180M'!Q124))</f>
        <v>13679121.590312488</v>
      </c>
      <c r="T124" s="60">
        <f t="shared" si="51"/>
        <v>29814347.590312488</v>
      </c>
      <c r="U124" s="60">
        <f t="shared" si="52"/>
        <v>1252849379.4141936</v>
      </c>
      <c r="V124" s="193"/>
      <c r="W124" s="169">
        <v>120</v>
      </c>
      <c r="X124" s="1">
        <f t="shared" si="66"/>
        <v>49171</v>
      </c>
      <c r="Y124" s="60">
        <f>IF($X124&lt;Input!$H$58,IF($X124&lt;Input!$G$58,IF($X124&lt;Input!$F$58,IF($X124&lt;Input!$E$58,IF($X124&lt;Input!$D$58,Input!$C$64,Input!$D$64),Input!$E$64),Input!$F$64),Input!$G$64),Input!$H$64)</f>
        <v>0</v>
      </c>
      <c r="Z124" s="190">
        <f>IF($A124&lt;Input!$H$65,IF($A124&lt;Input!$G$65,IF($A124&lt;Input!$F$65,IF($A124&lt;Input!$E$65,IF($A124&lt;Input!$D$65,Input!$C$66,Input!$D$66),Input!$E$66),Input!$F$66),Input!$G$66),Input!$H$66)</f>
        <v>0.9</v>
      </c>
      <c r="AA124" s="60">
        <f t="shared" si="53"/>
        <v>0</v>
      </c>
      <c r="AB124" s="60">
        <f t="shared" si="67"/>
        <v>31</v>
      </c>
      <c r="AC124" s="60">
        <f t="shared" si="54"/>
        <v>0</v>
      </c>
      <c r="AD124" s="60">
        <f>ROUND(AC124*AB124*Input!$C$3/365,0)</f>
        <v>0</v>
      </c>
      <c r="AE124" s="61">
        <f>IF($A124&lt;=Input!$C$6,0,IF('180M'!AA124&lt;'180M'!AC124,'180M'!AA124-AD124,'180M'!AC124))</f>
        <v>0</v>
      </c>
      <c r="AF124" s="61">
        <f t="shared" si="55"/>
        <v>0</v>
      </c>
      <c r="AG124" s="60">
        <f t="shared" si="56"/>
        <v>0</v>
      </c>
      <c r="AH124" s="193"/>
      <c r="AI124" s="169">
        <v>120</v>
      </c>
      <c r="AJ124" s="1">
        <f t="shared" si="68"/>
        <v>49171</v>
      </c>
      <c r="AK124" s="60">
        <f>IF($X124&lt;Input!$H$73,IF($X124&lt;Input!$G$73,IF($X124&lt;Input!$F$73,IF($X124&lt;Input!$E$73,IF($X124&lt;Input!$D$73,Input!$C$79,Input!$D$79),Input!$E$79),Input!$F$79),Input!$G$79),Input!$H$79)</f>
        <v>0</v>
      </c>
      <c r="AL124" s="190">
        <f>IF($A124&lt;Input!$H$80,IF($A124&lt;Input!$G$80,IF($A124&lt;Input!$F$80,IF($A124&lt;Input!$E$80,IF($A124&lt;Input!$D$80,Input!$C$81,Input!$D$81),Input!$E$81),Input!$F$81),Input!$G$81),Input!$H$81)</f>
        <v>0.9</v>
      </c>
      <c r="AM124" s="60">
        <f t="shared" si="69"/>
        <v>0</v>
      </c>
      <c r="AN124" s="60">
        <f t="shared" si="70"/>
        <v>31</v>
      </c>
      <c r="AO124" s="60">
        <f t="shared" si="71"/>
        <v>0</v>
      </c>
      <c r="AP124" s="60">
        <f>ROUND(AO124*AN124*Input!$C$3/365,0)</f>
        <v>0</v>
      </c>
      <c r="AQ124" s="61">
        <f>IF($A124&lt;=Input!$C$6,0,IF('180M'!AM124&lt;'180M'!AO124,'180M'!AM124-AP124,'180M'!AO124))</f>
        <v>0</v>
      </c>
      <c r="AR124" s="61">
        <f t="shared" si="72"/>
        <v>0</v>
      </c>
      <c r="AS124" s="60">
        <f t="shared" si="73"/>
        <v>0</v>
      </c>
      <c r="AT124" s="193"/>
      <c r="AU124" s="169">
        <v>120</v>
      </c>
      <c r="AV124" s="1">
        <f t="shared" si="74"/>
        <v>49171</v>
      </c>
      <c r="AW124" s="60">
        <f>IF($X124&lt;Input!$H$88,IF($X124&lt;Input!$G$88,IF($X124&lt;Input!$F$88,IF($X124&lt;Input!$E$88,IF($X124&lt;Input!$D$88,Input!$C$94,Input!$D$94),Input!$E$94),Input!$F$94),Input!$G$94),Input!$H$94)</f>
        <v>0</v>
      </c>
      <c r="AX124" s="190">
        <f>IF($A124&lt;Input!$H$95,IF($A124&lt;Input!$G$95,IF($A124&lt;Input!$F$95,IF($A124&lt;Input!$E$95,IF($A124&lt;Input!$D$95,Input!$C$96,Input!$D$96),Input!$E$96),Input!$F$96),Input!$G$96),Input!$H$96)</f>
        <v>0.9</v>
      </c>
      <c r="AY124" s="60">
        <f t="shared" si="75"/>
        <v>0</v>
      </c>
      <c r="AZ124" s="60">
        <f t="shared" si="76"/>
        <v>31</v>
      </c>
      <c r="BA124" s="60">
        <f t="shared" si="77"/>
        <v>0</v>
      </c>
      <c r="BB124" s="60">
        <f>ROUND(BA124*AZ124*Input!$C$3/365,0)</f>
        <v>0</v>
      </c>
      <c r="BC124" s="61">
        <f>IF($A124&lt;=Input!$C$6,0,IF('180M'!AY124&lt;'180M'!BA124,'180M'!AY124-BB124,'180M'!BA124))</f>
        <v>0</v>
      </c>
      <c r="BD124" s="61">
        <f t="shared" si="78"/>
        <v>0</v>
      </c>
      <c r="BE124" s="60">
        <f t="shared" si="79"/>
        <v>0</v>
      </c>
      <c r="BF124" s="193"/>
      <c r="BG124" s="169">
        <v>120</v>
      </c>
      <c r="BH124" s="1">
        <f t="shared" si="80"/>
        <v>49171</v>
      </c>
      <c r="BI124" s="60">
        <f>IF($X124&lt;Input!$H$103,IF($X124&lt;Input!$G$103,IF($X124&lt;Input!$F$103,IF($X124&lt;Input!$E$103,IF($X124&lt;Input!$D$103,Input!$C$109,Input!$D$109),Input!$E$109),Input!$F$109),Input!$G$109),Input!$H$109)</f>
        <v>0</v>
      </c>
      <c r="BJ124" s="190">
        <f>IF($A124&lt;Input!$H$110,IF($A124&lt;Input!$G$110,IF($A124&lt;Input!$F$110,IF($A124&lt;Input!$E$110,IF($A124&lt;Input!$D$110,Input!$C$111,Input!$D$111),Input!$E$111),Input!$F$111),Input!$G$111),Input!$H$111)</f>
        <v>0.9</v>
      </c>
      <c r="BK124" s="60">
        <f t="shared" si="57"/>
        <v>0</v>
      </c>
      <c r="BL124" s="60">
        <f t="shared" si="81"/>
        <v>31</v>
      </c>
      <c r="BM124" s="60">
        <f t="shared" si="58"/>
        <v>0</v>
      </c>
      <c r="BN124" s="60">
        <f>ROUND(BM124*BL124*Input!$C$3/365,0)</f>
        <v>0</v>
      </c>
      <c r="BO124" s="61">
        <f>IF($A124&lt;=Input!$C$6,0,IF('180M'!BK124&lt;'180M'!BM124,'180M'!BK124-BN124,'180M'!BM124))</f>
        <v>0</v>
      </c>
      <c r="BP124" s="61">
        <f t="shared" si="59"/>
        <v>0</v>
      </c>
      <c r="BQ124" s="60">
        <f t="shared" si="60"/>
        <v>0</v>
      </c>
      <c r="BR124" s="198"/>
    </row>
    <row r="125" spans="1:70" x14ac:dyDescent="0.25">
      <c r="A125" s="169">
        <v>121</v>
      </c>
      <c r="B125" s="1">
        <f t="shared" si="61"/>
        <v>49202</v>
      </c>
      <c r="C125" s="60">
        <f t="shared" si="47"/>
        <v>33127052.878124986</v>
      </c>
      <c r="D125" s="60">
        <f t="shared" si="48"/>
        <v>29814347.590312488</v>
      </c>
      <c r="E125" s="60">
        <f t="shared" si="62"/>
        <v>31</v>
      </c>
      <c r="F125" s="60">
        <f t="shared" si="63"/>
        <v>1252849379.4141936</v>
      </c>
      <c r="G125" s="60">
        <f>ROUND(F125*E125*Input!$C$3/365,0)</f>
        <v>15960958</v>
      </c>
      <c r="H125" s="60">
        <f>IF($A125&lt;=Input!$C$6,0,IF('180M'!D125&lt;'180M'!F125,'180M'!D125-G125,'180M'!F125))</f>
        <v>13853389.590312488</v>
      </c>
      <c r="I125" s="60">
        <f t="shared" si="64"/>
        <v>29814347.590312488</v>
      </c>
      <c r="J125" s="60">
        <f t="shared" si="65"/>
        <v>1238995989.8238811</v>
      </c>
      <c r="K125" s="203">
        <f>J125/Input!$K$5</f>
        <v>4.1299866327462702</v>
      </c>
      <c r="L125" s="232"/>
      <c r="M125" s="60">
        <f>IF($B125&lt;Input!$H$43,IF($B125&lt;Input!$G$43,IF($B125&lt;Input!$F$43,IF($B125&lt;Input!$E$43,IF($B125&lt;Input!$D$43,Input!$C$49,Input!$D$49),Input!$E$49),Input!$F$49),Input!$G$49),Input!$H$49)</f>
        <v>33127052.878124986</v>
      </c>
      <c r="N125" s="190">
        <f>IF($A125&lt;Input!$H$50,IF($A125&lt;Input!$G$50,IF($A125&lt;Input!$F$50,IF($A125&lt;Input!$E$50,IF($A125&lt;Input!$D$50,Input!$C$51,Input!$D$51),Input!$E$51),Input!$F$51),Input!$G$51),Input!$H$51)</f>
        <v>0.9</v>
      </c>
      <c r="O125" s="60">
        <f t="shared" si="82"/>
        <v>29814347.590312488</v>
      </c>
      <c r="P125" s="60">
        <f t="shared" si="83"/>
        <v>31</v>
      </c>
      <c r="Q125" s="60">
        <f t="shared" si="50"/>
        <v>1252849379.4141936</v>
      </c>
      <c r="R125" s="60">
        <f>ROUND(Q125*$P125*Input!$C$3/365,0)</f>
        <v>15960958</v>
      </c>
      <c r="S125" s="60">
        <f>IF(A125&lt;=Input!$C$6,0,IF('180M'!O125&lt;'180M'!Q125,'180M'!O125-R125,'180M'!Q125))</f>
        <v>13853389.590312488</v>
      </c>
      <c r="T125" s="60">
        <f t="shared" si="51"/>
        <v>29814347.590312488</v>
      </c>
      <c r="U125" s="60">
        <f t="shared" si="52"/>
        <v>1238995989.8238811</v>
      </c>
      <c r="V125" s="193"/>
      <c r="W125" s="169">
        <v>121</v>
      </c>
      <c r="X125" s="1">
        <f t="shared" si="66"/>
        <v>49202</v>
      </c>
      <c r="Y125" s="60">
        <f>IF($X125&lt;Input!$H$58,IF($X125&lt;Input!$G$58,IF($X125&lt;Input!$F$58,IF($X125&lt;Input!$E$58,IF($X125&lt;Input!$D$58,Input!$C$64,Input!$D$64),Input!$E$64),Input!$F$64),Input!$G$64),Input!$H$64)</f>
        <v>0</v>
      </c>
      <c r="Z125" s="190">
        <f>IF($A125&lt;Input!$H$65,IF($A125&lt;Input!$G$65,IF($A125&lt;Input!$F$65,IF($A125&lt;Input!$E$65,IF($A125&lt;Input!$D$65,Input!$C$66,Input!$D$66),Input!$E$66),Input!$F$66),Input!$G$66),Input!$H$66)</f>
        <v>0.9</v>
      </c>
      <c r="AA125" s="60">
        <f t="shared" si="53"/>
        <v>0</v>
      </c>
      <c r="AB125" s="60">
        <f t="shared" si="67"/>
        <v>31</v>
      </c>
      <c r="AC125" s="60">
        <f t="shared" si="54"/>
        <v>0</v>
      </c>
      <c r="AD125" s="60">
        <f>ROUND(AC125*AB125*Input!$C$3/365,0)</f>
        <v>0</v>
      </c>
      <c r="AE125" s="61">
        <f>IF($A125&lt;=Input!$C$6,0,IF('180M'!AA125&lt;'180M'!AC125,'180M'!AA125-AD125,'180M'!AC125))</f>
        <v>0</v>
      </c>
      <c r="AF125" s="61">
        <f t="shared" si="55"/>
        <v>0</v>
      </c>
      <c r="AG125" s="60">
        <f t="shared" si="56"/>
        <v>0</v>
      </c>
      <c r="AH125" s="193"/>
      <c r="AI125" s="169">
        <v>121</v>
      </c>
      <c r="AJ125" s="1">
        <f t="shared" si="68"/>
        <v>49202</v>
      </c>
      <c r="AK125" s="60">
        <f>IF($X125&lt;Input!$H$73,IF($X125&lt;Input!$G$73,IF($X125&lt;Input!$F$73,IF($X125&lt;Input!$E$73,IF($X125&lt;Input!$D$73,Input!$C$79,Input!$D$79),Input!$E$79),Input!$F$79),Input!$G$79),Input!$H$79)</f>
        <v>0</v>
      </c>
      <c r="AL125" s="190">
        <f>IF($A125&lt;Input!$H$80,IF($A125&lt;Input!$G$80,IF($A125&lt;Input!$F$80,IF($A125&lt;Input!$E$80,IF($A125&lt;Input!$D$80,Input!$C$81,Input!$D$81),Input!$E$81),Input!$F$81),Input!$G$81),Input!$H$81)</f>
        <v>0.9</v>
      </c>
      <c r="AM125" s="60">
        <f t="shared" si="69"/>
        <v>0</v>
      </c>
      <c r="AN125" s="60">
        <f t="shared" si="70"/>
        <v>31</v>
      </c>
      <c r="AO125" s="60">
        <f t="shared" si="71"/>
        <v>0</v>
      </c>
      <c r="AP125" s="60">
        <f>ROUND(AO125*AN125*Input!$C$3/365,0)</f>
        <v>0</v>
      </c>
      <c r="AQ125" s="61">
        <f>IF($A125&lt;=Input!$C$6,0,IF('180M'!AM125&lt;'180M'!AO125,'180M'!AM125-AP125,'180M'!AO125))</f>
        <v>0</v>
      </c>
      <c r="AR125" s="61">
        <f t="shared" si="72"/>
        <v>0</v>
      </c>
      <c r="AS125" s="60">
        <f t="shared" si="73"/>
        <v>0</v>
      </c>
      <c r="AT125" s="193"/>
      <c r="AU125" s="169">
        <v>121</v>
      </c>
      <c r="AV125" s="1">
        <f t="shared" si="74"/>
        <v>49202</v>
      </c>
      <c r="AW125" s="60">
        <f>IF($X125&lt;Input!$H$88,IF($X125&lt;Input!$G$88,IF($X125&lt;Input!$F$88,IF($X125&lt;Input!$E$88,IF($X125&lt;Input!$D$88,Input!$C$94,Input!$D$94),Input!$E$94),Input!$F$94),Input!$G$94),Input!$H$94)</f>
        <v>0</v>
      </c>
      <c r="AX125" s="190">
        <f>IF($A125&lt;Input!$H$95,IF($A125&lt;Input!$G$95,IF($A125&lt;Input!$F$95,IF($A125&lt;Input!$E$95,IF($A125&lt;Input!$D$95,Input!$C$96,Input!$D$96),Input!$E$96),Input!$F$96),Input!$G$96),Input!$H$96)</f>
        <v>0.9</v>
      </c>
      <c r="AY125" s="60">
        <f t="shared" si="75"/>
        <v>0</v>
      </c>
      <c r="AZ125" s="60">
        <f t="shared" si="76"/>
        <v>31</v>
      </c>
      <c r="BA125" s="60">
        <f t="shared" si="77"/>
        <v>0</v>
      </c>
      <c r="BB125" s="60">
        <f>ROUND(BA125*AZ125*Input!$C$3/365,0)</f>
        <v>0</v>
      </c>
      <c r="BC125" s="61">
        <f>IF($A125&lt;=Input!$C$6,0,IF('180M'!AY125&lt;'180M'!BA125,'180M'!AY125-BB125,'180M'!BA125))</f>
        <v>0</v>
      </c>
      <c r="BD125" s="61">
        <f t="shared" si="78"/>
        <v>0</v>
      </c>
      <c r="BE125" s="60">
        <f t="shared" si="79"/>
        <v>0</v>
      </c>
      <c r="BF125" s="193"/>
      <c r="BG125" s="169">
        <v>121</v>
      </c>
      <c r="BH125" s="1">
        <f t="shared" si="80"/>
        <v>49202</v>
      </c>
      <c r="BI125" s="60">
        <f>IF($X125&lt;Input!$H$103,IF($X125&lt;Input!$G$103,IF($X125&lt;Input!$F$103,IF($X125&lt;Input!$E$103,IF($X125&lt;Input!$D$103,Input!$C$109,Input!$D$109),Input!$E$109),Input!$F$109),Input!$G$109),Input!$H$109)</f>
        <v>0</v>
      </c>
      <c r="BJ125" s="190">
        <f>IF($A125&lt;Input!$H$110,IF($A125&lt;Input!$G$110,IF($A125&lt;Input!$F$110,IF($A125&lt;Input!$E$110,IF($A125&lt;Input!$D$110,Input!$C$111,Input!$D$111),Input!$E$111),Input!$F$111),Input!$G$111),Input!$H$111)</f>
        <v>0.9</v>
      </c>
      <c r="BK125" s="60">
        <f t="shared" si="57"/>
        <v>0</v>
      </c>
      <c r="BL125" s="60">
        <f t="shared" si="81"/>
        <v>31</v>
      </c>
      <c r="BM125" s="60">
        <f t="shared" si="58"/>
        <v>0</v>
      </c>
      <c r="BN125" s="60">
        <f>ROUND(BM125*BL125*Input!$C$3/365,0)</f>
        <v>0</v>
      </c>
      <c r="BO125" s="61">
        <f>IF($A125&lt;=Input!$C$6,0,IF('180M'!BK125&lt;'180M'!BM125,'180M'!BK125-BN125,'180M'!BM125))</f>
        <v>0</v>
      </c>
      <c r="BP125" s="61">
        <f t="shared" si="59"/>
        <v>0</v>
      </c>
      <c r="BQ125" s="60">
        <f t="shared" si="60"/>
        <v>0</v>
      </c>
      <c r="BR125" s="198"/>
    </row>
    <row r="126" spans="1:70" x14ac:dyDescent="0.25">
      <c r="A126" s="169">
        <v>122</v>
      </c>
      <c r="B126" s="1">
        <f t="shared" si="61"/>
        <v>49232</v>
      </c>
      <c r="C126" s="60">
        <f t="shared" si="47"/>
        <v>33127052.878124986</v>
      </c>
      <c r="D126" s="60">
        <f t="shared" si="48"/>
        <v>29814347.590312488</v>
      </c>
      <c r="E126" s="60">
        <f t="shared" si="62"/>
        <v>30</v>
      </c>
      <c r="F126" s="60">
        <f t="shared" si="63"/>
        <v>1238995989.8238811</v>
      </c>
      <c r="G126" s="60">
        <f>ROUND(F126*E126*Input!$C$3/365,0)</f>
        <v>15275293</v>
      </c>
      <c r="H126" s="60">
        <f>IF($A126&lt;=Input!$C$6,0,IF('180M'!D126&lt;'180M'!F126,'180M'!D126-G126,'180M'!F126))</f>
        <v>14539054.590312488</v>
      </c>
      <c r="I126" s="60">
        <f t="shared" si="64"/>
        <v>29814347.590312488</v>
      </c>
      <c r="J126" s="60">
        <f t="shared" si="65"/>
        <v>1224456935.2335687</v>
      </c>
      <c r="K126" s="203">
        <f>J126/Input!$K$5</f>
        <v>4.0815231174452293</v>
      </c>
      <c r="L126" s="232"/>
      <c r="M126" s="60">
        <f>IF($B126&lt;Input!$H$43,IF($B126&lt;Input!$G$43,IF($B126&lt;Input!$F$43,IF($B126&lt;Input!$E$43,IF($B126&lt;Input!$D$43,Input!$C$49,Input!$D$49),Input!$E$49),Input!$F$49),Input!$G$49),Input!$H$49)</f>
        <v>33127052.878124986</v>
      </c>
      <c r="N126" s="190">
        <f>IF($A126&lt;Input!$H$50,IF($A126&lt;Input!$G$50,IF($A126&lt;Input!$F$50,IF($A126&lt;Input!$E$50,IF($A126&lt;Input!$D$50,Input!$C$51,Input!$D$51),Input!$E$51),Input!$F$51),Input!$G$51),Input!$H$51)</f>
        <v>0.9</v>
      </c>
      <c r="O126" s="60">
        <f t="shared" si="82"/>
        <v>29814347.590312488</v>
      </c>
      <c r="P126" s="60">
        <f t="shared" si="83"/>
        <v>30</v>
      </c>
      <c r="Q126" s="60">
        <f t="shared" si="50"/>
        <v>1238995989.8238811</v>
      </c>
      <c r="R126" s="60">
        <f>ROUND(Q126*$P126*Input!$C$3/365,0)</f>
        <v>15275293</v>
      </c>
      <c r="S126" s="60">
        <f>IF(A126&lt;=Input!$C$6,0,IF('180M'!O126&lt;'180M'!Q126,'180M'!O126-R126,'180M'!Q126))</f>
        <v>14539054.590312488</v>
      </c>
      <c r="T126" s="60">
        <f t="shared" si="51"/>
        <v>29814347.590312488</v>
      </c>
      <c r="U126" s="60">
        <f t="shared" si="52"/>
        <v>1224456935.2335687</v>
      </c>
      <c r="V126" s="193"/>
      <c r="W126" s="169">
        <v>122</v>
      </c>
      <c r="X126" s="1">
        <f t="shared" si="66"/>
        <v>49232</v>
      </c>
      <c r="Y126" s="60">
        <f>IF($X126&lt;Input!$H$58,IF($X126&lt;Input!$G$58,IF($X126&lt;Input!$F$58,IF($X126&lt;Input!$E$58,IF($X126&lt;Input!$D$58,Input!$C$64,Input!$D$64),Input!$E$64),Input!$F$64),Input!$G$64),Input!$H$64)</f>
        <v>0</v>
      </c>
      <c r="Z126" s="190">
        <f>IF($A126&lt;Input!$H$65,IF($A126&lt;Input!$G$65,IF($A126&lt;Input!$F$65,IF($A126&lt;Input!$E$65,IF($A126&lt;Input!$D$65,Input!$C$66,Input!$D$66),Input!$E$66),Input!$F$66),Input!$G$66),Input!$H$66)</f>
        <v>0.9</v>
      </c>
      <c r="AA126" s="60">
        <f t="shared" si="53"/>
        <v>0</v>
      </c>
      <c r="AB126" s="60">
        <f t="shared" si="67"/>
        <v>30</v>
      </c>
      <c r="AC126" s="60">
        <f t="shared" si="54"/>
        <v>0</v>
      </c>
      <c r="AD126" s="60">
        <f>ROUND(AC126*AB126*Input!$C$3/365,0)</f>
        <v>0</v>
      </c>
      <c r="AE126" s="61">
        <f>IF($A126&lt;=Input!$C$6,0,IF('180M'!AA126&lt;'180M'!AC126,'180M'!AA126-AD126,'180M'!AC126))</f>
        <v>0</v>
      </c>
      <c r="AF126" s="61">
        <f t="shared" si="55"/>
        <v>0</v>
      </c>
      <c r="AG126" s="60">
        <f t="shared" si="56"/>
        <v>0</v>
      </c>
      <c r="AH126" s="193"/>
      <c r="AI126" s="169">
        <v>122</v>
      </c>
      <c r="AJ126" s="1">
        <f t="shared" si="68"/>
        <v>49232</v>
      </c>
      <c r="AK126" s="60">
        <f>IF($X126&lt;Input!$H$73,IF($X126&lt;Input!$G$73,IF($X126&lt;Input!$F$73,IF($X126&lt;Input!$E$73,IF($X126&lt;Input!$D$73,Input!$C$79,Input!$D$79),Input!$E$79),Input!$F$79),Input!$G$79),Input!$H$79)</f>
        <v>0</v>
      </c>
      <c r="AL126" s="190">
        <f>IF($A126&lt;Input!$H$80,IF($A126&lt;Input!$G$80,IF($A126&lt;Input!$F$80,IF($A126&lt;Input!$E$80,IF($A126&lt;Input!$D$80,Input!$C$81,Input!$D$81),Input!$E$81),Input!$F$81),Input!$G$81),Input!$H$81)</f>
        <v>0.9</v>
      </c>
      <c r="AM126" s="60">
        <f t="shared" si="69"/>
        <v>0</v>
      </c>
      <c r="AN126" s="60">
        <f t="shared" si="70"/>
        <v>30</v>
      </c>
      <c r="AO126" s="60">
        <f t="shared" si="71"/>
        <v>0</v>
      </c>
      <c r="AP126" s="60">
        <f>ROUND(AO126*AN126*Input!$C$3/365,0)</f>
        <v>0</v>
      </c>
      <c r="AQ126" s="61">
        <f>IF($A126&lt;=Input!$C$6,0,IF('180M'!AM126&lt;'180M'!AO126,'180M'!AM126-AP126,'180M'!AO126))</f>
        <v>0</v>
      </c>
      <c r="AR126" s="61">
        <f t="shared" si="72"/>
        <v>0</v>
      </c>
      <c r="AS126" s="60">
        <f t="shared" si="73"/>
        <v>0</v>
      </c>
      <c r="AT126" s="193"/>
      <c r="AU126" s="169">
        <v>122</v>
      </c>
      <c r="AV126" s="1">
        <f t="shared" si="74"/>
        <v>49232</v>
      </c>
      <c r="AW126" s="60">
        <f>IF($X126&lt;Input!$H$88,IF($X126&lt;Input!$G$88,IF($X126&lt;Input!$F$88,IF($X126&lt;Input!$E$88,IF($X126&lt;Input!$D$88,Input!$C$94,Input!$D$94),Input!$E$94),Input!$F$94),Input!$G$94),Input!$H$94)</f>
        <v>0</v>
      </c>
      <c r="AX126" s="190">
        <f>IF($A126&lt;Input!$H$95,IF($A126&lt;Input!$G$95,IF($A126&lt;Input!$F$95,IF($A126&lt;Input!$E$95,IF($A126&lt;Input!$D$95,Input!$C$96,Input!$D$96),Input!$E$96),Input!$F$96),Input!$G$96),Input!$H$96)</f>
        <v>0.9</v>
      </c>
      <c r="AY126" s="60">
        <f t="shared" si="75"/>
        <v>0</v>
      </c>
      <c r="AZ126" s="60">
        <f t="shared" si="76"/>
        <v>30</v>
      </c>
      <c r="BA126" s="60">
        <f t="shared" si="77"/>
        <v>0</v>
      </c>
      <c r="BB126" s="60">
        <f>ROUND(BA126*AZ126*Input!$C$3/365,0)</f>
        <v>0</v>
      </c>
      <c r="BC126" s="61">
        <f>IF($A126&lt;=Input!$C$6,0,IF('180M'!AY126&lt;'180M'!BA126,'180M'!AY126-BB126,'180M'!BA126))</f>
        <v>0</v>
      </c>
      <c r="BD126" s="61">
        <f t="shared" si="78"/>
        <v>0</v>
      </c>
      <c r="BE126" s="60">
        <f t="shared" si="79"/>
        <v>0</v>
      </c>
      <c r="BF126" s="193"/>
      <c r="BG126" s="169">
        <v>122</v>
      </c>
      <c r="BH126" s="1">
        <f t="shared" si="80"/>
        <v>49232</v>
      </c>
      <c r="BI126" s="60">
        <f>IF($X126&lt;Input!$H$103,IF($X126&lt;Input!$G$103,IF($X126&lt;Input!$F$103,IF($X126&lt;Input!$E$103,IF($X126&lt;Input!$D$103,Input!$C$109,Input!$D$109),Input!$E$109),Input!$F$109),Input!$G$109),Input!$H$109)</f>
        <v>0</v>
      </c>
      <c r="BJ126" s="190">
        <f>IF($A126&lt;Input!$H$110,IF($A126&lt;Input!$G$110,IF($A126&lt;Input!$F$110,IF($A126&lt;Input!$E$110,IF($A126&lt;Input!$D$110,Input!$C$111,Input!$D$111),Input!$E$111),Input!$F$111),Input!$G$111),Input!$H$111)</f>
        <v>0.9</v>
      </c>
      <c r="BK126" s="60">
        <f t="shared" si="57"/>
        <v>0</v>
      </c>
      <c r="BL126" s="60">
        <f t="shared" si="81"/>
        <v>30</v>
      </c>
      <c r="BM126" s="60">
        <f t="shared" si="58"/>
        <v>0</v>
      </c>
      <c r="BN126" s="60">
        <f>ROUND(BM126*BL126*Input!$C$3/365,0)</f>
        <v>0</v>
      </c>
      <c r="BO126" s="61">
        <f>IF($A126&lt;=Input!$C$6,0,IF('180M'!BK126&lt;'180M'!BM126,'180M'!BK126-BN126,'180M'!BM126))</f>
        <v>0</v>
      </c>
      <c r="BP126" s="61">
        <f t="shared" si="59"/>
        <v>0</v>
      </c>
      <c r="BQ126" s="60">
        <f t="shared" si="60"/>
        <v>0</v>
      </c>
      <c r="BR126" s="198"/>
    </row>
    <row r="127" spans="1:70" x14ac:dyDescent="0.25">
      <c r="A127" s="169">
        <v>123</v>
      </c>
      <c r="B127" s="1">
        <f t="shared" si="61"/>
        <v>49263</v>
      </c>
      <c r="C127" s="60">
        <f t="shared" si="47"/>
        <v>33127052.878124986</v>
      </c>
      <c r="D127" s="60">
        <f t="shared" si="48"/>
        <v>29814347.590312488</v>
      </c>
      <c r="E127" s="60">
        <f t="shared" si="62"/>
        <v>31</v>
      </c>
      <c r="F127" s="60">
        <f t="shared" si="63"/>
        <v>1224456935.2335687</v>
      </c>
      <c r="G127" s="60">
        <f>ROUND(F127*E127*Input!$C$3/365,0)</f>
        <v>15599246</v>
      </c>
      <c r="H127" s="60">
        <f>IF($A127&lt;=Input!$C$6,0,IF('180M'!D127&lt;'180M'!F127,'180M'!D127-G127,'180M'!F127))</f>
        <v>14215101.590312488</v>
      </c>
      <c r="I127" s="60">
        <f t="shared" si="64"/>
        <v>29814347.590312488</v>
      </c>
      <c r="J127" s="60">
        <f t="shared" si="65"/>
        <v>1210241833.6432562</v>
      </c>
      <c r="K127" s="203">
        <f>J127/Input!$K$5</f>
        <v>4.0341394454775203</v>
      </c>
      <c r="L127" s="232"/>
      <c r="M127" s="60">
        <f>IF($B127&lt;Input!$H$43,IF($B127&lt;Input!$G$43,IF($B127&lt;Input!$F$43,IF($B127&lt;Input!$E$43,IF($B127&lt;Input!$D$43,Input!$C$49,Input!$D$49),Input!$E$49),Input!$F$49),Input!$G$49),Input!$H$49)</f>
        <v>33127052.878124986</v>
      </c>
      <c r="N127" s="190">
        <f>IF($A127&lt;Input!$H$50,IF($A127&lt;Input!$G$50,IF($A127&lt;Input!$F$50,IF($A127&lt;Input!$E$50,IF($A127&lt;Input!$D$50,Input!$C$51,Input!$D$51),Input!$E$51),Input!$F$51),Input!$G$51),Input!$H$51)</f>
        <v>0.9</v>
      </c>
      <c r="O127" s="60">
        <f t="shared" si="82"/>
        <v>29814347.590312488</v>
      </c>
      <c r="P127" s="60">
        <f t="shared" si="83"/>
        <v>31</v>
      </c>
      <c r="Q127" s="60">
        <f t="shared" si="50"/>
        <v>1224456935.2335687</v>
      </c>
      <c r="R127" s="60">
        <f>ROUND(Q127*$P127*Input!$C$3/365,0)</f>
        <v>15599246</v>
      </c>
      <c r="S127" s="60">
        <f>IF(A127&lt;=Input!$C$6,0,IF('180M'!O127&lt;'180M'!Q127,'180M'!O127-R127,'180M'!Q127))</f>
        <v>14215101.590312488</v>
      </c>
      <c r="T127" s="60">
        <f t="shared" si="51"/>
        <v>29814347.590312488</v>
      </c>
      <c r="U127" s="60">
        <f t="shared" si="52"/>
        <v>1210241833.6432562</v>
      </c>
      <c r="V127" s="193"/>
      <c r="W127" s="169">
        <v>123</v>
      </c>
      <c r="X127" s="1">
        <f t="shared" si="66"/>
        <v>49263</v>
      </c>
      <c r="Y127" s="60">
        <f>IF($X127&lt;Input!$H$58,IF($X127&lt;Input!$G$58,IF($X127&lt;Input!$F$58,IF($X127&lt;Input!$E$58,IF($X127&lt;Input!$D$58,Input!$C$64,Input!$D$64),Input!$E$64),Input!$F$64),Input!$G$64),Input!$H$64)</f>
        <v>0</v>
      </c>
      <c r="Z127" s="190">
        <f>IF($A127&lt;Input!$H$65,IF($A127&lt;Input!$G$65,IF($A127&lt;Input!$F$65,IF($A127&lt;Input!$E$65,IF($A127&lt;Input!$D$65,Input!$C$66,Input!$D$66),Input!$E$66),Input!$F$66),Input!$G$66),Input!$H$66)</f>
        <v>0.9</v>
      </c>
      <c r="AA127" s="60">
        <f t="shared" si="53"/>
        <v>0</v>
      </c>
      <c r="AB127" s="60">
        <f t="shared" si="67"/>
        <v>31</v>
      </c>
      <c r="AC127" s="60">
        <f t="shared" si="54"/>
        <v>0</v>
      </c>
      <c r="AD127" s="60">
        <f>ROUND(AC127*AB127*Input!$C$3/365,0)</f>
        <v>0</v>
      </c>
      <c r="AE127" s="61">
        <f>IF($A127&lt;=Input!$C$6,0,IF('180M'!AA127&lt;'180M'!AC127,'180M'!AA127-AD127,'180M'!AC127))</f>
        <v>0</v>
      </c>
      <c r="AF127" s="61">
        <f t="shared" si="55"/>
        <v>0</v>
      </c>
      <c r="AG127" s="60">
        <f t="shared" si="56"/>
        <v>0</v>
      </c>
      <c r="AH127" s="193"/>
      <c r="AI127" s="169">
        <v>123</v>
      </c>
      <c r="AJ127" s="1">
        <f t="shared" si="68"/>
        <v>49263</v>
      </c>
      <c r="AK127" s="60">
        <f>IF($X127&lt;Input!$H$73,IF($X127&lt;Input!$G$73,IF($X127&lt;Input!$F$73,IF($X127&lt;Input!$E$73,IF($X127&lt;Input!$D$73,Input!$C$79,Input!$D$79),Input!$E$79),Input!$F$79),Input!$G$79),Input!$H$79)</f>
        <v>0</v>
      </c>
      <c r="AL127" s="190">
        <f>IF($A127&lt;Input!$H$80,IF($A127&lt;Input!$G$80,IF($A127&lt;Input!$F$80,IF($A127&lt;Input!$E$80,IF($A127&lt;Input!$D$80,Input!$C$81,Input!$D$81),Input!$E$81),Input!$F$81),Input!$G$81),Input!$H$81)</f>
        <v>0.9</v>
      </c>
      <c r="AM127" s="60">
        <f t="shared" si="69"/>
        <v>0</v>
      </c>
      <c r="AN127" s="60">
        <f t="shared" si="70"/>
        <v>31</v>
      </c>
      <c r="AO127" s="60">
        <f t="shared" si="71"/>
        <v>0</v>
      </c>
      <c r="AP127" s="60">
        <f>ROUND(AO127*AN127*Input!$C$3/365,0)</f>
        <v>0</v>
      </c>
      <c r="AQ127" s="61">
        <f>IF($A127&lt;=Input!$C$6,0,IF('180M'!AM127&lt;'180M'!AO127,'180M'!AM127-AP127,'180M'!AO127))</f>
        <v>0</v>
      </c>
      <c r="AR127" s="61">
        <f t="shared" si="72"/>
        <v>0</v>
      </c>
      <c r="AS127" s="60">
        <f t="shared" si="73"/>
        <v>0</v>
      </c>
      <c r="AT127" s="193"/>
      <c r="AU127" s="169">
        <v>123</v>
      </c>
      <c r="AV127" s="1">
        <f t="shared" si="74"/>
        <v>49263</v>
      </c>
      <c r="AW127" s="60">
        <f>IF($X127&lt;Input!$H$88,IF($X127&lt;Input!$G$88,IF($X127&lt;Input!$F$88,IF($X127&lt;Input!$E$88,IF($X127&lt;Input!$D$88,Input!$C$94,Input!$D$94),Input!$E$94),Input!$F$94),Input!$G$94),Input!$H$94)</f>
        <v>0</v>
      </c>
      <c r="AX127" s="190">
        <f>IF($A127&lt;Input!$H$95,IF($A127&lt;Input!$G$95,IF($A127&lt;Input!$F$95,IF($A127&lt;Input!$E$95,IF($A127&lt;Input!$D$95,Input!$C$96,Input!$D$96),Input!$E$96),Input!$F$96),Input!$G$96),Input!$H$96)</f>
        <v>0.9</v>
      </c>
      <c r="AY127" s="60">
        <f t="shared" si="75"/>
        <v>0</v>
      </c>
      <c r="AZ127" s="60">
        <f t="shared" si="76"/>
        <v>31</v>
      </c>
      <c r="BA127" s="60">
        <f t="shared" si="77"/>
        <v>0</v>
      </c>
      <c r="BB127" s="60">
        <f>ROUND(BA127*AZ127*Input!$C$3/365,0)</f>
        <v>0</v>
      </c>
      <c r="BC127" s="61">
        <f>IF($A127&lt;=Input!$C$6,0,IF('180M'!AY127&lt;'180M'!BA127,'180M'!AY127-BB127,'180M'!BA127))</f>
        <v>0</v>
      </c>
      <c r="BD127" s="61">
        <f t="shared" si="78"/>
        <v>0</v>
      </c>
      <c r="BE127" s="60">
        <f t="shared" si="79"/>
        <v>0</v>
      </c>
      <c r="BF127" s="193"/>
      <c r="BG127" s="169">
        <v>123</v>
      </c>
      <c r="BH127" s="1">
        <f t="shared" si="80"/>
        <v>49263</v>
      </c>
      <c r="BI127" s="60">
        <f>IF($X127&lt;Input!$H$103,IF($X127&lt;Input!$G$103,IF($X127&lt;Input!$F$103,IF($X127&lt;Input!$E$103,IF($X127&lt;Input!$D$103,Input!$C$109,Input!$D$109),Input!$E$109),Input!$F$109),Input!$G$109),Input!$H$109)</f>
        <v>0</v>
      </c>
      <c r="BJ127" s="190">
        <f>IF($A127&lt;Input!$H$110,IF($A127&lt;Input!$G$110,IF($A127&lt;Input!$F$110,IF($A127&lt;Input!$E$110,IF($A127&lt;Input!$D$110,Input!$C$111,Input!$D$111),Input!$E$111),Input!$F$111),Input!$G$111),Input!$H$111)</f>
        <v>0.9</v>
      </c>
      <c r="BK127" s="60">
        <f t="shared" si="57"/>
        <v>0</v>
      </c>
      <c r="BL127" s="60">
        <f t="shared" si="81"/>
        <v>31</v>
      </c>
      <c r="BM127" s="60">
        <f t="shared" si="58"/>
        <v>0</v>
      </c>
      <c r="BN127" s="60">
        <f>ROUND(BM127*BL127*Input!$C$3/365,0)</f>
        <v>0</v>
      </c>
      <c r="BO127" s="61">
        <f>IF($A127&lt;=Input!$C$6,0,IF('180M'!BK127&lt;'180M'!BM127,'180M'!BK127-BN127,'180M'!BM127))</f>
        <v>0</v>
      </c>
      <c r="BP127" s="61">
        <f t="shared" si="59"/>
        <v>0</v>
      </c>
      <c r="BQ127" s="60">
        <f t="shared" si="60"/>
        <v>0</v>
      </c>
      <c r="BR127" s="198"/>
    </row>
    <row r="128" spans="1:70" x14ac:dyDescent="0.25">
      <c r="A128" s="169">
        <v>124</v>
      </c>
      <c r="B128" s="1">
        <f t="shared" si="61"/>
        <v>49293</v>
      </c>
      <c r="C128" s="60">
        <f t="shared" si="47"/>
        <v>33127052.878124986</v>
      </c>
      <c r="D128" s="60">
        <f t="shared" si="48"/>
        <v>29814347.590312488</v>
      </c>
      <c r="E128" s="60">
        <f t="shared" si="62"/>
        <v>30</v>
      </c>
      <c r="F128" s="60">
        <f t="shared" si="63"/>
        <v>1210241833.6432562</v>
      </c>
      <c r="G128" s="60">
        <f>ROUND(F128*E128*Input!$C$3/365,0)</f>
        <v>14920790</v>
      </c>
      <c r="H128" s="60">
        <f>IF($A128&lt;=Input!$C$6,0,IF('180M'!D128&lt;'180M'!F128,'180M'!D128-G128,'180M'!F128))</f>
        <v>14893557.590312488</v>
      </c>
      <c r="I128" s="60">
        <f t="shared" si="64"/>
        <v>29814347.590312488</v>
      </c>
      <c r="J128" s="60">
        <f t="shared" si="65"/>
        <v>1195348276.0529437</v>
      </c>
      <c r="K128" s="203">
        <f>J128/Input!$K$5</f>
        <v>3.9844942535098125</v>
      </c>
      <c r="L128" s="232"/>
      <c r="M128" s="60">
        <f>IF($B128&lt;Input!$H$43,IF($B128&lt;Input!$G$43,IF($B128&lt;Input!$F$43,IF($B128&lt;Input!$E$43,IF($B128&lt;Input!$D$43,Input!$C$49,Input!$D$49),Input!$E$49),Input!$F$49),Input!$G$49),Input!$H$49)</f>
        <v>33127052.878124986</v>
      </c>
      <c r="N128" s="190">
        <f>IF($A128&lt;Input!$H$50,IF($A128&lt;Input!$G$50,IF($A128&lt;Input!$F$50,IF($A128&lt;Input!$E$50,IF($A128&lt;Input!$D$50,Input!$C$51,Input!$D$51),Input!$E$51),Input!$F$51),Input!$G$51),Input!$H$51)</f>
        <v>0.9</v>
      </c>
      <c r="O128" s="60">
        <f t="shared" si="82"/>
        <v>29814347.590312488</v>
      </c>
      <c r="P128" s="60">
        <f t="shared" si="83"/>
        <v>30</v>
      </c>
      <c r="Q128" s="60">
        <f t="shared" si="50"/>
        <v>1210241833.6432562</v>
      </c>
      <c r="R128" s="60">
        <f>ROUND(Q128*$P128*Input!$C$3/365,0)</f>
        <v>14920790</v>
      </c>
      <c r="S128" s="60">
        <f>IF(A128&lt;=Input!$C$6,0,IF('180M'!O128&lt;'180M'!Q128,'180M'!O128-R128,'180M'!Q128))</f>
        <v>14893557.590312488</v>
      </c>
      <c r="T128" s="60">
        <f t="shared" si="51"/>
        <v>29814347.590312488</v>
      </c>
      <c r="U128" s="60">
        <f t="shared" si="52"/>
        <v>1195348276.0529437</v>
      </c>
      <c r="V128" s="193"/>
      <c r="W128" s="169">
        <v>124</v>
      </c>
      <c r="X128" s="1">
        <f t="shared" si="66"/>
        <v>49293</v>
      </c>
      <c r="Y128" s="60">
        <f>IF($X128&lt;Input!$H$58,IF($X128&lt;Input!$G$58,IF($X128&lt;Input!$F$58,IF($X128&lt;Input!$E$58,IF($X128&lt;Input!$D$58,Input!$C$64,Input!$D$64),Input!$E$64),Input!$F$64),Input!$G$64),Input!$H$64)</f>
        <v>0</v>
      </c>
      <c r="Z128" s="190">
        <f>IF($A128&lt;Input!$H$65,IF($A128&lt;Input!$G$65,IF($A128&lt;Input!$F$65,IF($A128&lt;Input!$E$65,IF($A128&lt;Input!$D$65,Input!$C$66,Input!$D$66),Input!$E$66),Input!$F$66),Input!$G$66),Input!$H$66)</f>
        <v>0.9</v>
      </c>
      <c r="AA128" s="60">
        <f t="shared" si="53"/>
        <v>0</v>
      </c>
      <c r="AB128" s="60">
        <f t="shared" si="67"/>
        <v>30</v>
      </c>
      <c r="AC128" s="60">
        <f t="shared" si="54"/>
        <v>0</v>
      </c>
      <c r="AD128" s="60">
        <f>ROUND(AC128*AB128*Input!$C$3/365,0)</f>
        <v>0</v>
      </c>
      <c r="AE128" s="61">
        <f>IF($A128&lt;=Input!$C$6,0,IF('180M'!AA128&lt;'180M'!AC128,'180M'!AA128-AD128,'180M'!AC128))</f>
        <v>0</v>
      </c>
      <c r="AF128" s="61">
        <f t="shared" si="55"/>
        <v>0</v>
      </c>
      <c r="AG128" s="60">
        <f t="shared" si="56"/>
        <v>0</v>
      </c>
      <c r="AH128" s="193"/>
      <c r="AI128" s="169">
        <v>124</v>
      </c>
      <c r="AJ128" s="1">
        <f t="shared" si="68"/>
        <v>49293</v>
      </c>
      <c r="AK128" s="60">
        <f>IF($X128&lt;Input!$H$73,IF($X128&lt;Input!$G$73,IF($X128&lt;Input!$F$73,IF($X128&lt;Input!$E$73,IF($X128&lt;Input!$D$73,Input!$C$79,Input!$D$79),Input!$E$79),Input!$F$79),Input!$G$79),Input!$H$79)</f>
        <v>0</v>
      </c>
      <c r="AL128" s="190">
        <f>IF($A128&lt;Input!$H$80,IF($A128&lt;Input!$G$80,IF($A128&lt;Input!$F$80,IF($A128&lt;Input!$E$80,IF($A128&lt;Input!$D$80,Input!$C$81,Input!$D$81),Input!$E$81),Input!$F$81),Input!$G$81),Input!$H$81)</f>
        <v>0.9</v>
      </c>
      <c r="AM128" s="60">
        <f t="shared" si="69"/>
        <v>0</v>
      </c>
      <c r="AN128" s="60">
        <f t="shared" si="70"/>
        <v>30</v>
      </c>
      <c r="AO128" s="60">
        <f t="shared" si="71"/>
        <v>0</v>
      </c>
      <c r="AP128" s="60">
        <f>ROUND(AO128*AN128*Input!$C$3/365,0)</f>
        <v>0</v>
      </c>
      <c r="AQ128" s="61">
        <f>IF($A128&lt;=Input!$C$6,0,IF('180M'!AM128&lt;'180M'!AO128,'180M'!AM128-AP128,'180M'!AO128))</f>
        <v>0</v>
      </c>
      <c r="AR128" s="61">
        <f t="shared" si="72"/>
        <v>0</v>
      </c>
      <c r="AS128" s="60">
        <f t="shared" si="73"/>
        <v>0</v>
      </c>
      <c r="AT128" s="193"/>
      <c r="AU128" s="169">
        <v>124</v>
      </c>
      <c r="AV128" s="1">
        <f t="shared" si="74"/>
        <v>49293</v>
      </c>
      <c r="AW128" s="60">
        <f>IF($X128&lt;Input!$H$88,IF($X128&lt;Input!$G$88,IF($X128&lt;Input!$F$88,IF($X128&lt;Input!$E$88,IF($X128&lt;Input!$D$88,Input!$C$94,Input!$D$94),Input!$E$94),Input!$F$94),Input!$G$94),Input!$H$94)</f>
        <v>0</v>
      </c>
      <c r="AX128" s="190">
        <f>IF($A128&lt;Input!$H$95,IF($A128&lt;Input!$G$95,IF($A128&lt;Input!$F$95,IF($A128&lt;Input!$E$95,IF($A128&lt;Input!$D$95,Input!$C$96,Input!$D$96),Input!$E$96),Input!$F$96),Input!$G$96),Input!$H$96)</f>
        <v>0.9</v>
      </c>
      <c r="AY128" s="60">
        <f t="shared" si="75"/>
        <v>0</v>
      </c>
      <c r="AZ128" s="60">
        <f t="shared" si="76"/>
        <v>30</v>
      </c>
      <c r="BA128" s="60">
        <f t="shared" si="77"/>
        <v>0</v>
      </c>
      <c r="BB128" s="60">
        <f>ROUND(BA128*AZ128*Input!$C$3/365,0)</f>
        <v>0</v>
      </c>
      <c r="BC128" s="61">
        <f>IF($A128&lt;=Input!$C$6,0,IF('180M'!AY128&lt;'180M'!BA128,'180M'!AY128-BB128,'180M'!BA128))</f>
        <v>0</v>
      </c>
      <c r="BD128" s="61">
        <f t="shared" si="78"/>
        <v>0</v>
      </c>
      <c r="BE128" s="60">
        <f t="shared" si="79"/>
        <v>0</v>
      </c>
      <c r="BF128" s="193"/>
      <c r="BG128" s="169">
        <v>124</v>
      </c>
      <c r="BH128" s="1">
        <f t="shared" si="80"/>
        <v>49293</v>
      </c>
      <c r="BI128" s="60">
        <f>IF($X128&lt;Input!$H$103,IF($X128&lt;Input!$G$103,IF($X128&lt;Input!$F$103,IF($X128&lt;Input!$E$103,IF($X128&lt;Input!$D$103,Input!$C$109,Input!$D$109),Input!$E$109),Input!$F$109),Input!$G$109),Input!$H$109)</f>
        <v>0</v>
      </c>
      <c r="BJ128" s="190">
        <f>IF($A128&lt;Input!$H$110,IF($A128&lt;Input!$G$110,IF($A128&lt;Input!$F$110,IF($A128&lt;Input!$E$110,IF($A128&lt;Input!$D$110,Input!$C$111,Input!$D$111),Input!$E$111),Input!$F$111),Input!$G$111),Input!$H$111)</f>
        <v>0.9</v>
      </c>
      <c r="BK128" s="60">
        <f t="shared" si="57"/>
        <v>0</v>
      </c>
      <c r="BL128" s="60">
        <f t="shared" si="81"/>
        <v>30</v>
      </c>
      <c r="BM128" s="60">
        <f t="shared" si="58"/>
        <v>0</v>
      </c>
      <c r="BN128" s="60">
        <f>ROUND(BM128*BL128*Input!$C$3/365,0)</f>
        <v>0</v>
      </c>
      <c r="BO128" s="61">
        <f>IF($A128&lt;=Input!$C$6,0,IF('180M'!BK128&lt;'180M'!BM128,'180M'!BK128-BN128,'180M'!BM128))</f>
        <v>0</v>
      </c>
      <c r="BP128" s="61">
        <f t="shared" si="59"/>
        <v>0</v>
      </c>
      <c r="BQ128" s="60">
        <f t="shared" si="60"/>
        <v>0</v>
      </c>
      <c r="BR128" s="198"/>
    </row>
    <row r="129" spans="1:70" x14ac:dyDescent="0.25">
      <c r="A129" s="169">
        <v>125</v>
      </c>
      <c r="B129" s="1">
        <f t="shared" si="61"/>
        <v>49324</v>
      </c>
      <c r="C129" s="60">
        <f t="shared" si="47"/>
        <v>33127052.878124986</v>
      </c>
      <c r="D129" s="60">
        <f t="shared" si="48"/>
        <v>29814347.590312488</v>
      </c>
      <c r="E129" s="60">
        <f t="shared" si="62"/>
        <v>31</v>
      </c>
      <c r="F129" s="60">
        <f t="shared" si="63"/>
        <v>1195348276.0529437</v>
      </c>
      <c r="G129" s="60">
        <f>ROUND(F129*E129*Input!$C$3/365,0)</f>
        <v>15228410</v>
      </c>
      <c r="H129" s="60">
        <f>IF($A129&lt;=Input!$C$6,0,IF('180M'!D129&lt;'180M'!F129,'180M'!D129-G129,'180M'!F129))</f>
        <v>14585937.590312488</v>
      </c>
      <c r="I129" s="60">
        <f t="shared" si="64"/>
        <v>29814347.590312488</v>
      </c>
      <c r="J129" s="60">
        <f t="shared" si="65"/>
        <v>1180762338.4626312</v>
      </c>
      <c r="K129" s="203">
        <f>J129/Input!$K$5</f>
        <v>3.9358744615421042</v>
      </c>
      <c r="L129" s="232"/>
      <c r="M129" s="60">
        <f>IF($B129&lt;Input!$H$43,IF($B129&lt;Input!$G$43,IF($B129&lt;Input!$F$43,IF($B129&lt;Input!$E$43,IF($B129&lt;Input!$D$43,Input!$C$49,Input!$D$49),Input!$E$49),Input!$F$49),Input!$G$49),Input!$H$49)</f>
        <v>33127052.878124986</v>
      </c>
      <c r="N129" s="190">
        <f>IF($A129&lt;Input!$H$50,IF($A129&lt;Input!$G$50,IF($A129&lt;Input!$F$50,IF($A129&lt;Input!$E$50,IF($A129&lt;Input!$D$50,Input!$C$51,Input!$D$51),Input!$E$51),Input!$F$51),Input!$G$51),Input!$H$51)</f>
        <v>0.9</v>
      </c>
      <c r="O129" s="60">
        <f t="shared" si="82"/>
        <v>29814347.590312488</v>
      </c>
      <c r="P129" s="60">
        <f t="shared" si="83"/>
        <v>31</v>
      </c>
      <c r="Q129" s="60">
        <f t="shared" si="50"/>
        <v>1195348276.0529437</v>
      </c>
      <c r="R129" s="60">
        <f>ROUND(Q129*$P129*Input!$C$3/365,0)</f>
        <v>15228410</v>
      </c>
      <c r="S129" s="60">
        <f>IF(A129&lt;=Input!$C$6,0,IF('180M'!O129&lt;'180M'!Q129,'180M'!O129-R129,'180M'!Q129))</f>
        <v>14585937.590312488</v>
      </c>
      <c r="T129" s="60">
        <f t="shared" si="51"/>
        <v>29814347.590312488</v>
      </c>
      <c r="U129" s="60">
        <f t="shared" si="52"/>
        <v>1180762338.4626312</v>
      </c>
      <c r="V129" s="193"/>
      <c r="W129" s="169">
        <v>125</v>
      </c>
      <c r="X129" s="1">
        <f t="shared" si="66"/>
        <v>49324</v>
      </c>
      <c r="Y129" s="60">
        <f>IF($X129&lt;Input!$H$58,IF($X129&lt;Input!$G$58,IF($X129&lt;Input!$F$58,IF($X129&lt;Input!$E$58,IF($X129&lt;Input!$D$58,Input!$C$64,Input!$D$64),Input!$E$64),Input!$F$64),Input!$G$64),Input!$H$64)</f>
        <v>0</v>
      </c>
      <c r="Z129" s="190">
        <f>IF($A129&lt;Input!$H$65,IF($A129&lt;Input!$G$65,IF($A129&lt;Input!$F$65,IF($A129&lt;Input!$E$65,IF($A129&lt;Input!$D$65,Input!$C$66,Input!$D$66),Input!$E$66),Input!$F$66),Input!$G$66),Input!$H$66)</f>
        <v>0.9</v>
      </c>
      <c r="AA129" s="60">
        <f t="shared" si="53"/>
        <v>0</v>
      </c>
      <c r="AB129" s="60">
        <f t="shared" si="67"/>
        <v>31</v>
      </c>
      <c r="AC129" s="60">
        <f t="shared" si="54"/>
        <v>0</v>
      </c>
      <c r="AD129" s="60">
        <f>ROUND(AC129*AB129*Input!$C$3/365,0)</f>
        <v>0</v>
      </c>
      <c r="AE129" s="61">
        <f>IF($A129&lt;=Input!$C$6,0,IF('180M'!AA129&lt;'180M'!AC129,'180M'!AA129-AD129,'180M'!AC129))</f>
        <v>0</v>
      </c>
      <c r="AF129" s="61">
        <f t="shared" si="55"/>
        <v>0</v>
      </c>
      <c r="AG129" s="60">
        <f t="shared" si="56"/>
        <v>0</v>
      </c>
      <c r="AH129" s="193"/>
      <c r="AI129" s="169">
        <v>125</v>
      </c>
      <c r="AJ129" s="1">
        <f t="shared" si="68"/>
        <v>49324</v>
      </c>
      <c r="AK129" s="60">
        <f>IF($X129&lt;Input!$H$73,IF($X129&lt;Input!$G$73,IF($X129&lt;Input!$F$73,IF($X129&lt;Input!$E$73,IF($X129&lt;Input!$D$73,Input!$C$79,Input!$D$79),Input!$E$79),Input!$F$79),Input!$G$79),Input!$H$79)</f>
        <v>0</v>
      </c>
      <c r="AL129" s="190">
        <f>IF($A129&lt;Input!$H$80,IF($A129&lt;Input!$G$80,IF($A129&lt;Input!$F$80,IF($A129&lt;Input!$E$80,IF($A129&lt;Input!$D$80,Input!$C$81,Input!$D$81),Input!$E$81),Input!$F$81),Input!$G$81),Input!$H$81)</f>
        <v>0.9</v>
      </c>
      <c r="AM129" s="60">
        <f t="shared" si="69"/>
        <v>0</v>
      </c>
      <c r="AN129" s="60">
        <f t="shared" si="70"/>
        <v>31</v>
      </c>
      <c r="AO129" s="60">
        <f t="shared" si="71"/>
        <v>0</v>
      </c>
      <c r="AP129" s="60">
        <f>ROUND(AO129*AN129*Input!$C$3/365,0)</f>
        <v>0</v>
      </c>
      <c r="AQ129" s="61">
        <f>IF($A129&lt;=Input!$C$6,0,IF('180M'!AM129&lt;'180M'!AO129,'180M'!AM129-AP129,'180M'!AO129))</f>
        <v>0</v>
      </c>
      <c r="AR129" s="61">
        <f t="shared" si="72"/>
        <v>0</v>
      </c>
      <c r="AS129" s="60">
        <f t="shared" si="73"/>
        <v>0</v>
      </c>
      <c r="AT129" s="193"/>
      <c r="AU129" s="169">
        <v>125</v>
      </c>
      <c r="AV129" s="1">
        <f t="shared" si="74"/>
        <v>49324</v>
      </c>
      <c r="AW129" s="60">
        <f>IF($X129&lt;Input!$H$88,IF($X129&lt;Input!$G$88,IF($X129&lt;Input!$F$88,IF($X129&lt;Input!$E$88,IF($X129&lt;Input!$D$88,Input!$C$94,Input!$D$94),Input!$E$94),Input!$F$94),Input!$G$94),Input!$H$94)</f>
        <v>0</v>
      </c>
      <c r="AX129" s="190">
        <f>IF($A129&lt;Input!$H$95,IF($A129&lt;Input!$G$95,IF($A129&lt;Input!$F$95,IF($A129&lt;Input!$E$95,IF($A129&lt;Input!$D$95,Input!$C$96,Input!$D$96),Input!$E$96),Input!$F$96),Input!$G$96),Input!$H$96)</f>
        <v>0.9</v>
      </c>
      <c r="AY129" s="60">
        <f t="shared" si="75"/>
        <v>0</v>
      </c>
      <c r="AZ129" s="60">
        <f t="shared" si="76"/>
        <v>31</v>
      </c>
      <c r="BA129" s="60">
        <f t="shared" si="77"/>
        <v>0</v>
      </c>
      <c r="BB129" s="60">
        <f>ROUND(BA129*AZ129*Input!$C$3/365,0)</f>
        <v>0</v>
      </c>
      <c r="BC129" s="61">
        <f>IF($A129&lt;=Input!$C$6,0,IF('180M'!AY129&lt;'180M'!BA129,'180M'!AY129-BB129,'180M'!BA129))</f>
        <v>0</v>
      </c>
      <c r="BD129" s="61">
        <f t="shared" si="78"/>
        <v>0</v>
      </c>
      <c r="BE129" s="60">
        <f t="shared" si="79"/>
        <v>0</v>
      </c>
      <c r="BF129" s="193"/>
      <c r="BG129" s="169">
        <v>125</v>
      </c>
      <c r="BH129" s="1">
        <f t="shared" si="80"/>
        <v>49324</v>
      </c>
      <c r="BI129" s="60">
        <f>IF($X129&lt;Input!$H$103,IF($X129&lt;Input!$G$103,IF($X129&lt;Input!$F$103,IF($X129&lt;Input!$E$103,IF($X129&lt;Input!$D$103,Input!$C$109,Input!$D$109),Input!$E$109),Input!$F$109),Input!$G$109),Input!$H$109)</f>
        <v>0</v>
      </c>
      <c r="BJ129" s="190">
        <f>IF($A129&lt;Input!$H$110,IF($A129&lt;Input!$G$110,IF($A129&lt;Input!$F$110,IF($A129&lt;Input!$E$110,IF($A129&lt;Input!$D$110,Input!$C$111,Input!$D$111),Input!$E$111),Input!$F$111),Input!$G$111),Input!$H$111)</f>
        <v>0.9</v>
      </c>
      <c r="BK129" s="60">
        <f t="shared" si="57"/>
        <v>0</v>
      </c>
      <c r="BL129" s="60">
        <f t="shared" si="81"/>
        <v>31</v>
      </c>
      <c r="BM129" s="60">
        <f t="shared" si="58"/>
        <v>0</v>
      </c>
      <c r="BN129" s="60">
        <f>ROUND(BM129*BL129*Input!$C$3/365,0)</f>
        <v>0</v>
      </c>
      <c r="BO129" s="61">
        <f>IF($A129&lt;=Input!$C$6,0,IF('180M'!BK129&lt;'180M'!BM129,'180M'!BK129-BN129,'180M'!BM129))</f>
        <v>0</v>
      </c>
      <c r="BP129" s="61">
        <f t="shared" si="59"/>
        <v>0</v>
      </c>
      <c r="BQ129" s="60">
        <f t="shared" si="60"/>
        <v>0</v>
      </c>
      <c r="BR129" s="198"/>
    </row>
    <row r="130" spans="1:70" x14ac:dyDescent="0.25">
      <c r="A130" s="169">
        <v>126</v>
      </c>
      <c r="B130" s="1">
        <f t="shared" si="61"/>
        <v>49355</v>
      </c>
      <c r="C130" s="60">
        <f t="shared" si="47"/>
        <v>33127052.878124986</v>
      </c>
      <c r="D130" s="60">
        <f t="shared" si="48"/>
        <v>29814347.590312488</v>
      </c>
      <c r="E130" s="60">
        <f t="shared" si="62"/>
        <v>31</v>
      </c>
      <c r="F130" s="60">
        <f t="shared" si="63"/>
        <v>1180762338.4626312</v>
      </c>
      <c r="G130" s="60">
        <f>ROUND(F130*E130*Input!$C$3/365,0)</f>
        <v>15042589</v>
      </c>
      <c r="H130" s="60">
        <f>IF($A130&lt;=Input!$C$6,0,IF('180M'!D130&lt;'180M'!F130,'180M'!D130-G130,'180M'!F130))</f>
        <v>14771758.590312488</v>
      </c>
      <c r="I130" s="60">
        <f t="shared" si="64"/>
        <v>29814347.590312488</v>
      </c>
      <c r="J130" s="60">
        <f t="shared" si="65"/>
        <v>1165990579.8723187</v>
      </c>
      <c r="K130" s="203">
        <f>J130/Input!$K$5</f>
        <v>3.8866352662410626</v>
      </c>
      <c r="L130" s="232"/>
      <c r="M130" s="60">
        <f>IF($B130&lt;Input!$H$43,IF($B130&lt;Input!$G$43,IF($B130&lt;Input!$F$43,IF($B130&lt;Input!$E$43,IF($B130&lt;Input!$D$43,Input!$C$49,Input!$D$49),Input!$E$49),Input!$F$49),Input!$G$49),Input!$H$49)</f>
        <v>33127052.878124986</v>
      </c>
      <c r="N130" s="190">
        <f>IF($A130&lt;Input!$H$50,IF($A130&lt;Input!$G$50,IF($A130&lt;Input!$F$50,IF($A130&lt;Input!$E$50,IF($A130&lt;Input!$D$50,Input!$C$51,Input!$D$51),Input!$E$51),Input!$F$51),Input!$G$51),Input!$H$51)</f>
        <v>0.9</v>
      </c>
      <c r="O130" s="60">
        <f t="shared" si="82"/>
        <v>29814347.590312488</v>
      </c>
      <c r="P130" s="60">
        <f t="shared" si="83"/>
        <v>31</v>
      </c>
      <c r="Q130" s="60">
        <f t="shared" si="50"/>
        <v>1180762338.4626312</v>
      </c>
      <c r="R130" s="60">
        <f>ROUND(Q130*$P130*Input!$C$3/365,0)</f>
        <v>15042589</v>
      </c>
      <c r="S130" s="60">
        <f>IF(A130&lt;=Input!$C$6,0,IF('180M'!O130&lt;'180M'!Q130,'180M'!O130-R130,'180M'!Q130))</f>
        <v>14771758.590312488</v>
      </c>
      <c r="T130" s="60">
        <f t="shared" si="51"/>
        <v>29814347.590312488</v>
      </c>
      <c r="U130" s="60">
        <f t="shared" si="52"/>
        <v>1165990579.8723187</v>
      </c>
      <c r="V130" s="193"/>
      <c r="W130" s="169">
        <v>126</v>
      </c>
      <c r="X130" s="1">
        <f t="shared" si="66"/>
        <v>49355</v>
      </c>
      <c r="Y130" s="60">
        <f>IF($X130&lt;Input!$H$58,IF($X130&lt;Input!$G$58,IF($X130&lt;Input!$F$58,IF($X130&lt;Input!$E$58,IF($X130&lt;Input!$D$58,Input!$C$64,Input!$D$64),Input!$E$64),Input!$F$64),Input!$G$64),Input!$H$64)</f>
        <v>0</v>
      </c>
      <c r="Z130" s="190">
        <f>IF($A130&lt;Input!$H$65,IF($A130&lt;Input!$G$65,IF($A130&lt;Input!$F$65,IF($A130&lt;Input!$E$65,IF($A130&lt;Input!$D$65,Input!$C$66,Input!$D$66),Input!$E$66),Input!$F$66),Input!$G$66),Input!$H$66)</f>
        <v>0.9</v>
      </c>
      <c r="AA130" s="60">
        <f t="shared" si="53"/>
        <v>0</v>
      </c>
      <c r="AB130" s="60">
        <f t="shared" si="67"/>
        <v>31</v>
      </c>
      <c r="AC130" s="60">
        <f t="shared" si="54"/>
        <v>0</v>
      </c>
      <c r="AD130" s="60">
        <f>ROUND(AC130*AB130*Input!$C$3/365,0)</f>
        <v>0</v>
      </c>
      <c r="AE130" s="61">
        <f>IF($A130&lt;=Input!$C$6,0,IF('180M'!AA130&lt;'180M'!AC130,'180M'!AA130-AD130,'180M'!AC130))</f>
        <v>0</v>
      </c>
      <c r="AF130" s="61">
        <f t="shared" si="55"/>
        <v>0</v>
      </c>
      <c r="AG130" s="60">
        <f t="shared" si="56"/>
        <v>0</v>
      </c>
      <c r="AH130" s="193"/>
      <c r="AI130" s="169">
        <v>126</v>
      </c>
      <c r="AJ130" s="1">
        <f t="shared" si="68"/>
        <v>49355</v>
      </c>
      <c r="AK130" s="60">
        <f>IF($X130&lt;Input!$H$73,IF($X130&lt;Input!$G$73,IF($X130&lt;Input!$F$73,IF($X130&lt;Input!$E$73,IF($X130&lt;Input!$D$73,Input!$C$79,Input!$D$79),Input!$E$79),Input!$F$79),Input!$G$79),Input!$H$79)</f>
        <v>0</v>
      </c>
      <c r="AL130" s="190">
        <f>IF($A130&lt;Input!$H$80,IF($A130&lt;Input!$G$80,IF($A130&lt;Input!$F$80,IF($A130&lt;Input!$E$80,IF($A130&lt;Input!$D$80,Input!$C$81,Input!$D$81),Input!$E$81),Input!$F$81),Input!$G$81),Input!$H$81)</f>
        <v>0.9</v>
      </c>
      <c r="AM130" s="60">
        <f t="shared" si="69"/>
        <v>0</v>
      </c>
      <c r="AN130" s="60">
        <f t="shared" si="70"/>
        <v>31</v>
      </c>
      <c r="AO130" s="60">
        <f t="shared" si="71"/>
        <v>0</v>
      </c>
      <c r="AP130" s="60">
        <f>ROUND(AO130*AN130*Input!$C$3/365,0)</f>
        <v>0</v>
      </c>
      <c r="AQ130" s="61">
        <f>IF($A130&lt;=Input!$C$6,0,IF('180M'!AM130&lt;'180M'!AO130,'180M'!AM130-AP130,'180M'!AO130))</f>
        <v>0</v>
      </c>
      <c r="AR130" s="61">
        <f t="shared" si="72"/>
        <v>0</v>
      </c>
      <c r="AS130" s="60">
        <f t="shared" si="73"/>
        <v>0</v>
      </c>
      <c r="AT130" s="193"/>
      <c r="AU130" s="169">
        <v>126</v>
      </c>
      <c r="AV130" s="1">
        <f t="shared" si="74"/>
        <v>49355</v>
      </c>
      <c r="AW130" s="60">
        <f>IF($X130&lt;Input!$H$88,IF($X130&lt;Input!$G$88,IF($X130&lt;Input!$F$88,IF($X130&lt;Input!$E$88,IF($X130&lt;Input!$D$88,Input!$C$94,Input!$D$94),Input!$E$94),Input!$F$94),Input!$G$94),Input!$H$94)</f>
        <v>0</v>
      </c>
      <c r="AX130" s="190">
        <f>IF($A130&lt;Input!$H$95,IF($A130&lt;Input!$G$95,IF($A130&lt;Input!$F$95,IF($A130&lt;Input!$E$95,IF($A130&lt;Input!$D$95,Input!$C$96,Input!$D$96),Input!$E$96),Input!$F$96),Input!$G$96),Input!$H$96)</f>
        <v>0.9</v>
      </c>
      <c r="AY130" s="60">
        <f t="shared" si="75"/>
        <v>0</v>
      </c>
      <c r="AZ130" s="60">
        <f t="shared" si="76"/>
        <v>31</v>
      </c>
      <c r="BA130" s="60">
        <f t="shared" si="77"/>
        <v>0</v>
      </c>
      <c r="BB130" s="60">
        <f>ROUND(BA130*AZ130*Input!$C$3/365,0)</f>
        <v>0</v>
      </c>
      <c r="BC130" s="61">
        <f>IF($A130&lt;=Input!$C$6,0,IF('180M'!AY130&lt;'180M'!BA130,'180M'!AY130-BB130,'180M'!BA130))</f>
        <v>0</v>
      </c>
      <c r="BD130" s="61">
        <f t="shared" si="78"/>
        <v>0</v>
      </c>
      <c r="BE130" s="60">
        <f t="shared" si="79"/>
        <v>0</v>
      </c>
      <c r="BF130" s="193"/>
      <c r="BG130" s="169">
        <v>126</v>
      </c>
      <c r="BH130" s="1">
        <f t="shared" si="80"/>
        <v>49355</v>
      </c>
      <c r="BI130" s="60">
        <f>IF($X130&lt;Input!$H$103,IF($X130&lt;Input!$G$103,IF($X130&lt;Input!$F$103,IF($X130&lt;Input!$E$103,IF($X130&lt;Input!$D$103,Input!$C$109,Input!$D$109),Input!$E$109),Input!$F$109),Input!$G$109),Input!$H$109)</f>
        <v>0</v>
      </c>
      <c r="BJ130" s="190">
        <f>IF($A130&lt;Input!$H$110,IF($A130&lt;Input!$G$110,IF($A130&lt;Input!$F$110,IF($A130&lt;Input!$E$110,IF($A130&lt;Input!$D$110,Input!$C$111,Input!$D$111),Input!$E$111),Input!$F$111),Input!$G$111),Input!$H$111)</f>
        <v>0.9</v>
      </c>
      <c r="BK130" s="60">
        <f t="shared" si="57"/>
        <v>0</v>
      </c>
      <c r="BL130" s="60">
        <f t="shared" si="81"/>
        <v>31</v>
      </c>
      <c r="BM130" s="60">
        <f t="shared" si="58"/>
        <v>0</v>
      </c>
      <c r="BN130" s="60">
        <f>ROUND(BM130*BL130*Input!$C$3/365,0)</f>
        <v>0</v>
      </c>
      <c r="BO130" s="61">
        <f>IF($A130&lt;=Input!$C$6,0,IF('180M'!BK130&lt;'180M'!BM130,'180M'!BK130-BN130,'180M'!BM130))</f>
        <v>0</v>
      </c>
      <c r="BP130" s="61">
        <f t="shared" si="59"/>
        <v>0</v>
      </c>
      <c r="BQ130" s="60">
        <f t="shared" si="60"/>
        <v>0</v>
      </c>
      <c r="BR130" s="198"/>
    </row>
    <row r="131" spans="1:70" x14ac:dyDescent="0.25">
      <c r="A131" s="169">
        <v>127</v>
      </c>
      <c r="B131" s="1">
        <f t="shared" si="61"/>
        <v>49383</v>
      </c>
      <c r="C131" s="60">
        <f t="shared" si="47"/>
        <v>33127052.878124986</v>
      </c>
      <c r="D131" s="60">
        <f t="shared" si="48"/>
        <v>29814347.590312488</v>
      </c>
      <c r="E131" s="60">
        <f t="shared" si="62"/>
        <v>28</v>
      </c>
      <c r="F131" s="60">
        <f t="shared" si="63"/>
        <v>1165990579.8723187</v>
      </c>
      <c r="G131" s="60">
        <f>ROUND(F131*E131*Input!$C$3/365,0)</f>
        <v>13416878</v>
      </c>
      <c r="H131" s="60">
        <f>IF($A131&lt;=Input!$C$6,0,IF('180M'!D131&lt;'180M'!F131,'180M'!D131-G131,'180M'!F131))</f>
        <v>16397469.590312488</v>
      </c>
      <c r="I131" s="60">
        <f t="shared" si="64"/>
        <v>29814347.590312488</v>
      </c>
      <c r="J131" s="60">
        <f t="shared" si="65"/>
        <v>1149593110.2820063</v>
      </c>
      <c r="K131" s="203">
        <f>J131/Input!$K$5</f>
        <v>3.8319770342733541</v>
      </c>
      <c r="L131" s="232"/>
      <c r="M131" s="60">
        <f>IF($B131&lt;Input!$H$43,IF($B131&lt;Input!$G$43,IF($B131&lt;Input!$F$43,IF($B131&lt;Input!$E$43,IF($B131&lt;Input!$D$43,Input!$C$49,Input!$D$49),Input!$E$49),Input!$F$49),Input!$G$49),Input!$H$49)</f>
        <v>33127052.878124986</v>
      </c>
      <c r="N131" s="190">
        <f>IF($A131&lt;Input!$H$50,IF($A131&lt;Input!$G$50,IF($A131&lt;Input!$F$50,IF($A131&lt;Input!$E$50,IF($A131&lt;Input!$D$50,Input!$C$51,Input!$D$51),Input!$E$51),Input!$F$51),Input!$G$51),Input!$H$51)</f>
        <v>0.9</v>
      </c>
      <c r="O131" s="60">
        <f t="shared" si="82"/>
        <v>29814347.590312488</v>
      </c>
      <c r="P131" s="60">
        <f t="shared" si="83"/>
        <v>28</v>
      </c>
      <c r="Q131" s="60">
        <f t="shared" si="50"/>
        <v>1165990579.8723187</v>
      </c>
      <c r="R131" s="60">
        <f>ROUND(Q131*$P131*Input!$C$3/365,0)</f>
        <v>13416878</v>
      </c>
      <c r="S131" s="60">
        <f>IF(A131&lt;=Input!$C$6,0,IF('180M'!O131&lt;'180M'!Q131,'180M'!O131-R131,'180M'!Q131))</f>
        <v>16397469.590312488</v>
      </c>
      <c r="T131" s="60">
        <f t="shared" si="51"/>
        <v>29814347.590312488</v>
      </c>
      <c r="U131" s="60">
        <f t="shared" si="52"/>
        <v>1149593110.2820063</v>
      </c>
      <c r="V131" s="193"/>
      <c r="W131" s="169">
        <v>127</v>
      </c>
      <c r="X131" s="1">
        <f t="shared" si="66"/>
        <v>49383</v>
      </c>
      <c r="Y131" s="60">
        <f>IF($X131&lt;Input!$H$58,IF($X131&lt;Input!$G$58,IF($X131&lt;Input!$F$58,IF($X131&lt;Input!$E$58,IF($X131&lt;Input!$D$58,Input!$C$64,Input!$D$64),Input!$E$64),Input!$F$64),Input!$G$64),Input!$H$64)</f>
        <v>0</v>
      </c>
      <c r="Z131" s="190">
        <f>IF($A131&lt;Input!$H$65,IF($A131&lt;Input!$G$65,IF($A131&lt;Input!$F$65,IF($A131&lt;Input!$E$65,IF($A131&lt;Input!$D$65,Input!$C$66,Input!$D$66),Input!$E$66),Input!$F$66),Input!$G$66),Input!$H$66)</f>
        <v>0.9</v>
      </c>
      <c r="AA131" s="60">
        <f t="shared" si="53"/>
        <v>0</v>
      </c>
      <c r="AB131" s="60">
        <f t="shared" si="67"/>
        <v>28</v>
      </c>
      <c r="AC131" s="60">
        <f t="shared" si="54"/>
        <v>0</v>
      </c>
      <c r="AD131" s="60">
        <f>ROUND(AC131*AB131*Input!$C$3/365,0)</f>
        <v>0</v>
      </c>
      <c r="AE131" s="61">
        <f>IF($A131&lt;=Input!$C$6,0,IF('180M'!AA131&lt;'180M'!AC131,'180M'!AA131-AD131,'180M'!AC131))</f>
        <v>0</v>
      </c>
      <c r="AF131" s="61">
        <f t="shared" si="55"/>
        <v>0</v>
      </c>
      <c r="AG131" s="60">
        <f t="shared" si="56"/>
        <v>0</v>
      </c>
      <c r="AH131" s="193"/>
      <c r="AI131" s="169">
        <v>127</v>
      </c>
      <c r="AJ131" s="1">
        <f t="shared" si="68"/>
        <v>49383</v>
      </c>
      <c r="AK131" s="60">
        <f>IF($X131&lt;Input!$H$73,IF($X131&lt;Input!$G$73,IF($X131&lt;Input!$F$73,IF($X131&lt;Input!$E$73,IF($X131&lt;Input!$D$73,Input!$C$79,Input!$D$79),Input!$E$79),Input!$F$79),Input!$G$79),Input!$H$79)</f>
        <v>0</v>
      </c>
      <c r="AL131" s="190">
        <f>IF($A131&lt;Input!$H$80,IF($A131&lt;Input!$G$80,IF($A131&lt;Input!$F$80,IF($A131&lt;Input!$E$80,IF($A131&lt;Input!$D$80,Input!$C$81,Input!$D$81),Input!$E$81),Input!$F$81),Input!$G$81),Input!$H$81)</f>
        <v>0.9</v>
      </c>
      <c r="AM131" s="60">
        <f t="shared" si="69"/>
        <v>0</v>
      </c>
      <c r="AN131" s="60">
        <f t="shared" si="70"/>
        <v>28</v>
      </c>
      <c r="AO131" s="60">
        <f t="shared" si="71"/>
        <v>0</v>
      </c>
      <c r="AP131" s="60">
        <f>ROUND(AO131*AN131*Input!$C$3/365,0)</f>
        <v>0</v>
      </c>
      <c r="AQ131" s="61">
        <f>IF($A131&lt;=Input!$C$6,0,IF('180M'!AM131&lt;'180M'!AO131,'180M'!AM131-AP131,'180M'!AO131))</f>
        <v>0</v>
      </c>
      <c r="AR131" s="61">
        <f t="shared" si="72"/>
        <v>0</v>
      </c>
      <c r="AS131" s="60">
        <f t="shared" si="73"/>
        <v>0</v>
      </c>
      <c r="AT131" s="193"/>
      <c r="AU131" s="169">
        <v>127</v>
      </c>
      <c r="AV131" s="1">
        <f t="shared" si="74"/>
        <v>49383</v>
      </c>
      <c r="AW131" s="60">
        <f>IF($X131&lt;Input!$H$88,IF($X131&lt;Input!$G$88,IF($X131&lt;Input!$F$88,IF($X131&lt;Input!$E$88,IF($X131&lt;Input!$D$88,Input!$C$94,Input!$D$94),Input!$E$94),Input!$F$94),Input!$G$94),Input!$H$94)</f>
        <v>0</v>
      </c>
      <c r="AX131" s="190">
        <f>IF($A131&lt;Input!$H$95,IF($A131&lt;Input!$G$95,IF($A131&lt;Input!$F$95,IF($A131&lt;Input!$E$95,IF($A131&lt;Input!$D$95,Input!$C$96,Input!$D$96),Input!$E$96),Input!$F$96),Input!$G$96),Input!$H$96)</f>
        <v>0.9</v>
      </c>
      <c r="AY131" s="60">
        <f t="shared" si="75"/>
        <v>0</v>
      </c>
      <c r="AZ131" s="60">
        <f t="shared" si="76"/>
        <v>28</v>
      </c>
      <c r="BA131" s="60">
        <f t="shared" si="77"/>
        <v>0</v>
      </c>
      <c r="BB131" s="60">
        <f>ROUND(BA131*AZ131*Input!$C$3/365,0)</f>
        <v>0</v>
      </c>
      <c r="BC131" s="61">
        <f>IF($A131&lt;=Input!$C$6,0,IF('180M'!AY131&lt;'180M'!BA131,'180M'!AY131-BB131,'180M'!BA131))</f>
        <v>0</v>
      </c>
      <c r="BD131" s="61">
        <f t="shared" si="78"/>
        <v>0</v>
      </c>
      <c r="BE131" s="60">
        <f t="shared" si="79"/>
        <v>0</v>
      </c>
      <c r="BF131" s="193"/>
      <c r="BG131" s="169">
        <v>127</v>
      </c>
      <c r="BH131" s="1">
        <f t="shared" si="80"/>
        <v>49383</v>
      </c>
      <c r="BI131" s="60">
        <f>IF($X131&lt;Input!$H$103,IF($X131&lt;Input!$G$103,IF($X131&lt;Input!$F$103,IF($X131&lt;Input!$E$103,IF($X131&lt;Input!$D$103,Input!$C$109,Input!$D$109),Input!$E$109),Input!$F$109),Input!$G$109),Input!$H$109)</f>
        <v>0</v>
      </c>
      <c r="BJ131" s="190">
        <f>IF($A131&lt;Input!$H$110,IF($A131&lt;Input!$G$110,IF($A131&lt;Input!$F$110,IF($A131&lt;Input!$E$110,IF($A131&lt;Input!$D$110,Input!$C$111,Input!$D$111),Input!$E$111),Input!$F$111),Input!$G$111),Input!$H$111)</f>
        <v>0.9</v>
      </c>
      <c r="BK131" s="60">
        <f t="shared" si="57"/>
        <v>0</v>
      </c>
      <c r="BL131" s="60">
        <f t="shared" si="81"/>
        <v>28</v>
      </c>
      <c r="BM131" s="60">
        <f t="shared" si="58"/>
        <v>0</v>
      </c>
      <c r="BN131" s="60">
        <f>ROUND(BM131*BL131*Input!$C$3/365,0)</f>
        <v>0</v>
      </c>
      <c r="BO131" s="61">
        <f>IF($A131&lt;=Input!$C$6,0,IF('180M'!BK131&lt;'180M'!BM131,'180M'!BK131-BN131,'180M'!BM131))</f>
        <v>0</v>
      </c>
      <c r="BP131" s="61">
        <f t="shared" si="59"/>
        <v>0</v>
      </c>
      <c r="BQ131" s="60">
        <f t="shared" si="60"/>
        <v>0</v>
      </c>
      <c r="BR131" s="198"/>
    </row>
    <row r="132" spans="1:70" x14ac:dyDescent="0.25">
      <c r="A132" s="169">
        <v>128</v>
      </c>
      <c r="B132" s="1">
        <f t="shared" si="61"/>
        <v>49414</v>
      </c>
      <c r="C132" s="60">
        <f t="shared" si="47"/>
        <v>33127052.878124986</v>
      </c>
      <c r="D132" s="60">
        <f t="shared" si="48"/>
        <v>29814347.590312488</v>
      </c>
      <c r="E132" s="60">
        <f t="shared" si="62"/>
        <v>31</v>
      </c>
      <c r="F132" s="60">
        <f t="shared" si="63"/>
        <v>1149593110.2820063</v>
      </c>
      <c r="G132" s="60">
        <f>ROUND(F132*E132*Input!$C$3/365,0)</f>
        <v>14645501</v>
      </c>
      <c r="H132" s="60">
        <f>IF($A132&lt;=Input!$C$6,0,IF('180M'!D132&lt;'180M'!F132,'180M'!D132-G132,'180M'!F132))</f>
        <v>15168846.590312488</v>
      </c>
      <c r="I132" s="60">
        <f t="shared" si="64"/>
        <v>29814347.590312488</v>
      </c>
      <c r="J132" s="60">
        <f t="shared" si="65"/>
        <v>1134424263.6916938</v>
      </c>
      <c r="K132" s="203">
        <f>J132/Input!$K$5</f>
        <v>3.7814142123056458</v>
      </c>
      <c r="L132" s="232"/>
      <c r="M132" s="60">
        <f>IF($B132&lt;Input!$H$43,IF($B132&lt;Input!$G$43,IF($B132&lt;Input!$F$43,IF($B132&lt;Input!$E$43,IF($B132&lt;Input!$D$43,Input!$C$49,Input!$D$49),Input!$E$49),Input!$F$49),Input!$G$49),Input!$H$49)</f>
        <v>33127052.878124986</v>
      </c>
      <c r="N132" s="190">
        <f>IF($A132&lt;Input!$H$50,IF($A132&lt;Input!$G$50,IF($A132&lt;Input!$F$50,IF($A132&lt;Input!$E$50,IF($A132&lt;Input!$D$50,Input!$C$51,Input!$D$51),Input!$E$51),Input!$F$51),Input!$G$51),Input!$H$51)</f>
        <v>0.9</v>
      </c>
      <c r="O132" s="60">
        <f t="shared" ref="O132:O163" si="84">M132*N132</f>
        <v>29814347.590312488</v>
      </c>
      <c r="P132" s="60">
        <f t="shared" si="83"/>
        <v>31</v>
      </c>
      <c r="Q132" s="60">
        <f t="shared" si="50"/>
        <v>1149593110.2820063</v>
      </c>
      <c r="R132" s="60">
        <f>ROUND(Q132*$P132*Input!$C$3/365,0)</f>
        <v>14645501</v>
      </c>
      <c r="S132" s="60">
        <f>IF(A132&lt;=Input!$C$6,0,IF('180M'!O132&lt;'180M'!Q132,'180M'!O132-R132,'180M'!Q132))</f>
        <v>15168846.590312488</v>
      </c>
      <c r="T132" s="60">
        <f t="shared" si="51"/>
        <v>29814347.590312488</v>
      </c>
      <c r="U132" s="60">
        <f t="shared" si="52"/>
        <v>1134424263.6916938</v>
      </c>
      <c r="V132" s="193"/>
      <c r="W132" s="169">
        <v>128</v>
      </c>
      <c r="X132" s="1">
        <f t="shared" si="66"/>
        <v>49414</v>
      </c>
      <c r="Y132" s="60">
        <f>IF($X132&lt;Input!$H$58,IF($X132&lt;Input!$G$58,IF($X132&lt;Input!$F$58,IF($X132&lt;Input!$E$58,IF($X132&lt;Input!$D$58,Input!$C$64,Input!$D$64),Input!$E$64),Input!$F$64),Input!$G$64),Input!$H$64)</f>
        <v>0</v>
      </c>
      <c r="Z132" s="190">
        <f>IF($A132&lt;Input!$H$65,IF($A132&lt;Input!$G$65,IF($A132&lt;Input!$F$65,IF($A132&lt;Input!$E$65,IF($A132&lt;Input!$D$65,Input!$C$66,Input!$D$66),Input!$E$66),Input!$F$66),Input!$G$66),Input!$H$66)</f>
        <v>0.9</v>
      </c>
      <c r="AA132" s="60">
        <f t="shared" si="53"/>
        <v>0</v>
      </c>
      <c r="AB132" s="60">
        <f t="shared" si="67"/>
        <v>31</v>
      </c>
      <c r="AC132" s="60">
        <f t="shared" si="54"/>
        <v>0</v>
      </c>
      <c r="AD132" s="60">
        <f>ROUND(AC132*AB132*Input!$C$3/365,0)</f>
        <v>0</v>
      </c>
      <c r="AE132" s="61">
        <f>IF($A132&lt;=Input!$C$6,0,IF('180M'!AA132&lt;'180M'!AC132,'180M'!AA132-AD132,'180M'!AC132))</f>
        <v>0</v>
      </c>
      <c r="AF132" s="61">
        <f t="shared" si="55"/>
        <v>0</v>
      </c>
      <c r="AG132" s="60">
        <f t="shared" si="56"/>
        <v>0</v>
      </c>
      <c r="AH132" s="193"/>
      <c r="AI132" s="169">
        <v>128</v>
      </c>
      <c r="AJ132" s="1">
        <f t="shared" si="68"/>
        <v>49414</v>
      </c>
      <c r="AK132" s="60">
        <f>IF($X132&lt;Input!$H$73,IF($X132&lt;Input!$G$73,IF($X132&lt;Input!$F$73,IF($X132&lt;Input!$E$73,IF($X132&lt;Input!$D$73,Input!$C$79,Input!$D$79),Input!$E$79),Input!$F$79),Input!$G$79),Input!$H$79)</f>
        <v>0</v>
      </c>
      <c r="AL132" s="190">
        <f>IF($A132&lt;Input!$H$80,IF($A132&lt;Input!$G$80,IF($A132&lt;Input!$F$80,IF($A132&lt;Input!$E$80,IF($A132&lt;Input!$D$80,Input!$C$81,Input!$D$81),Input!$E$81),Input!$F$81),Input!$G$81),Input!$H$81)</f>
        <v>0.9</v>
      </c>
      <c r="AM132" s="60">
        <f t="shared" si="69"/>
        <v>0</v>
      </c>
      <c r="AN132" s="60">
        <f t="shared" si="70"/>
        <v>31</v>
      </c>
      <c r="AO132" s="60">
        <f t="shared" si="71"/>
        <v>0</v>
      </c>
      <c r="AP132" s="60">
        <f>ROUND(AO132*AN132*Input!$C$3/365,0)</f>
        <v>0</v>
      </c>
      <c r="AQ132" s="61">
        <f>IF($A132&lt;=Input!$C$6,0,IF('180M'!AM132&lt;'180M'!AO132,'180M'!AM132-AP132,'180M'!AO132))</f>
        <v>0</v>
      </c>
      <c r="AR132" s="61">
        <f t="shared" si="72"/>
        <v>0</v>
      </c>
      <c r="AS132" s="60">
        <f t="shared" si="73"/>
        <v>0</v>
      </c>
      <c r="AT132" s="193"/>
      <c r="AU132" s="169">
        <v>128</v>
      </c>
      <c r="AV132" s="1">
        <f t="shared" si="74"/>
        <v>49414</v>
      </c>
      <c r="AW132" s="60">
        <f>IF($X132&lt;Input!$H$88,IF($X132&lt;Input!$G$88,IF($X132&lt;Input!$F$88,IF($X132&lt;Input!$E$88,IF($X132&lt;Input!$D$88,Input!$C$94,Input!$D$94),Input!$E$94),Input!$F$94),Input!$G$94),Input!$H$94)</f>
        <v>0</v>
      </c>
      <c r="AX132" s="190">
        <f>IF($A132&lt;Input!$H$95,IF($A132&lt;Input!$G$95,IF($A132&lt;Input!$F$95,IF($A132&lt;Input!$E$95,IF($A132&lt;Input!$D$95,Input!$C$96,Input!$D$96),Input!$E$96),Input!$F$96),Input!$G$96),Input!$H$96)</f>
        <v>0.9</v>
      </c>
      <c r="AY132" s="60">
        <f t="shared" si="75"/>
        <v>0</v>
      </c>
      <c r="AZ132" s="60">
        <f t="shared" si="76"/>
        <v>31</v>
      </c>
      <c r="BA132" s="60">
        <f t="shared" si="77"/>
        <v>0</v>
      </c>
      <c r="BB132" s="60">
        <f>ROUND(BA132*AZ132*Input!$C$3/365,0)</f>
        <v>0</v>
      </c>
      <c r="BC132" s="61">
        <f>IF($A132&lt;=Input!$C$6,0,IF('180M'!AY132&lt;'180M'!BA132,'180M'!AY132-BB132,'180M'!BA132))</f>
        <v>0</v>
      </c>
      <c r="BD132" s="61">
        <f t="shared" si="78"/>
        <v>0</v>
      </c>
      <c r="BE132" s="60">
        <f t="shared" si="79"/>
        <v>0</v>
      </c>
      <c r="BF132" s="193"/>
      <c r="BG132" s="169">
        <v>128</v>
      </c>
      <c r="BH132" s="1">
        <f t="shared" si="80"/>
        <v>49414</v>
      </c>
      <c r="BI132" s="60">
        <f>IF($X132&lt;Input!$H$103,IF($X132&lt;Input!$G$103,IF($X132&lt;Input!$F$103,IF($X132&lt;Input!$E$103,IF($X132&lt;Input!$D$103,Input!$C$109,Input!$D$109),Input!$E$109),Input!$F$109),Input!$G$109),Input!$H$109)</f>
        <v>0</v>
      </c>
      <c r="BJ132" s="190">
        <f>IF($A132&lt;Input!$H$110,IF($A132&lt;Input!$G$110,IF($A132&lt;Input!$F$110,IF($A132&lt;Input!$E$110,IF($A132&lt;Input!$D$110,Input!$C$111,Input!$D$111),Input!$E$111),Input!$F$111),Input!$G$111),Input!$H$111)</f>
        <v>0.9</v>
      </c>
      <c r="BK132" s="60">
        <f t="shared" si="57"/>
        <v>0</v>
      </c>
      <c r="BL132" s="60">
        <f t="shared" si="81"/>
        <v>31</v>
      </c>
      <c r="BM132" s="60">
        <f t="shared" si="58"/>
        <v>0</v>
      </c>
      <c r="BN132" s="60">
        <f>ROUND(BM132*BL132*Input!$C$3/365,0)</f>
        <v>0</v>
      </c>
      <c r="BO132" s="61">
        <f>IF($A132&lt;=Input!$C$6,0,IF('180M'!BK132&lt;'180M'!BM132,'180M'!BK132-BN132,'180M'!BM132))</f>
        <v>0</v>
      </c>
      <c r="BP132" s="61">
        <f t="shared" si="59"/>
        <v>0</v>
      </c>
      <c r="BQ132" s="60">
        <f t="shared" si="60"/>
        <v>0</v>
      </c>
      <c r="BR132" s="198"/>
    </row>
    <row r="133" spans="1:70" x14ac:dyDescent="0.25">
      <c r="A133" s="169">
        <v>129</v>
      </c>
      <c r="B133" s="1">
        <f t="shared" si="61"/>
        <v>49444</v>
      </c>
      <c r="C133" s="60">
        <f t="shared" ref="C133:C184" si="85">M133+Y133+AK133+AW133+BI133</f>
        <v>33127052.878124986</v>
      </c>
      <c r="D133" s="60">
        <f t="shared" ref="D133:D184" si="86">O133+AA133+AM133+AY133+BK133</f>
        <v>29814347.590312488</v>
      </c>
      <c r="E133" s="60">
        <f t="shared" si="62"/>
        <v>30</v>
      </c>
      <c r="F133" s="60">
        <f t="shared" si="63"/>
        <v>1134424263.6916938</v>
      </c>
      <c r="G133" s="60">
        <f>ROUND(F133*E133*Input!$C$3/365,0)</f>
        <v>13986053</v>
      </c>
      <c r="H133" s="60">
        <f>IF($A133&lt;=Input!$C$6,0,IF('180M'!D133&lt;'180M'!F133,'180M'!D133-G133,'180M'!F133))</f>
        <v>15828294.590312488</v>
      </c>
      <c r="I133" s="60">
        <f t="shared" si="64"/>
        <v>29814347.590312488</v>
      </c>
      <c r="J133" s="60">
        <f t="shared" si="65"/>
        <v>1118595969.1013813</v>
      </c>
      <c r="K133" s="203">
        <f>J133/Input!$K$5</f>
        <v>3.7286532303379376</v>
      </c>
      <c r="L133" s="232"/>
      <c r="M133" s="60">
        <f>IF($B133&lt;Input!$H$43,IF($B133&lt;Input!$G$43,IF($B133&lt;Input!$F$43,IF($B133&lt;Input!$E$43,IF($B133&lt;Input!$D$43,Input!$C$49,Input!$D$49),Input!$E$49),Input!$F$49),Input!$G$49),Input!$H$49)</f>
        <v>33127052.878124986</v>
      </c>
      <c r="N133" s="190">
        <f>IF($A133&lt;Input!$H$50,IF($A133&lt;Input!$G$50,IF($A133&lt;Input!$F$50,IF($A133&lt;Input!$E$50,IF($A133&lt;Input!$D$50,Input!$C$51,Input!$D$51),Input!$E$51),Input!$F$51),Input!$G$51),Input!$H$51)</f>
        <v>0.9</v>
      </c>
      <c r="O133" s="60">
        <f t="shared" si="84"/>
        <v>29814347.590312488</v>
      </c>
      <c r="P133" s="60">
        <f t="shared" ref="P133:P164" si="87">B133-B132</f>
        <v>30</v>
      </c>
      <c r="Q133" s="60">
        <f t="shared" ref="Q133:Q184" si="88">U132</f>
        <v>1134424263.6916938</v>
      </c>
      <c r="R133" s="60">
        <f>ROUND(Q133*$P133*Input!$C$3/365,0)</f>
        <v>13986053</v>
      </c>
      <c r="S133" s="60">
        <f>IF(A133&lt;=Input!$C$6,0,IF('180M'!O133&lt;'180M'!Q133,'180M'!O133-R133,'180M'!Q133))</f>
        <v>15828294.590312488</v>
      </c>
      <c r="T133" s="60">
        <f t="shared" ref="T133:T184" si="89">R133+S133</f>
        <v>29814347.590312488</v>
      </c>
      <c r="U133" s="60">
        <f t="shared" ref="U133:U184" si="90">U132-S133</f>
        <v>1118595969.1013813</v>
      </c>
      <c r="V133" s="193"/>
      <c r="W133" s="169">
        <v>129</v>
      </c>
      <c r="X133" s="1">
        <f t="shared" si="66"/>
        <v>49444</v>
      </c>
      <c r="Y133" s="60">
        <f>IF($X133&lt;Input!$H$58,IF($X133&lt;Input!$G$58,IF($X133&lt;Input!$F$58,IF($X133&lt;Input!$E$58,IF($X133&lt;Input!$D$58,Input!$C$64,Input!$D$64),Input!$E$64),Input!$F$64),Input!$G$64),Input!$H$64)</f>
        <v>0</v>
      </c>
      <c r="Z133" s="190">
        <f>IF($A133&lt;Input!$H$65,IF($A133&lt;Input!$G$65,IF($A133&lt;Input!$F$65,IF($A133&lt;Input!$E$65,IF($A133&lt;Input!$D$65,Input!$C$66,Input!$D$66),Input!$E$66),Input!$F$66),Input!$G$66),Input!$H$66)</f>
        <v>0.9</v>
      </c>
      <c r="AA133" s="60">
        <f t="shared" ref="AA133:AA184" si="91">Y133*Z133</f>
        <v>0</v>
      </c>
      <c r="AB133" s="60">
        <f t="shared" si="67"/>
        <v>30</v>
      </c>
      <c r="AC133" s="60">
        <f t="shared" ref="AC133:AC184" si="92">AG132</f>
        <v>0</v>
      </c>
      <c r="AD133" s="60">
        <f>ROUND(AC133*AB133*Input!$C$3/365,0)</f>
        <v>0</v>
      </c>
      <c r="AE133" s="61">
        <f>IF($A133&lt;=Input!$C$6,0,IF('180M'!AA133&lt;'180M'!AC133,'180M'!AA133-AD133,'180M'!AC133))</f>
        <v>0</v>
      </c>
      <c r="AF133" s="61">
        <f t="shared" ref="AF133:AF184" si="93">AD133+AE133</f>
        <v>0</v>
      </c>
      <c r="AG133" s="60">
        <f t="shared" ref="AG133:AG184" si="94">AG132-AE133</f>
        <v>0</v>
      </c>
      <c r="AH133" s="193"/>
      <c r="AI133" s="169">
        <v>129</v>
      </c>
      <c r="AJ133" s="1">
        <f t="shared" si="68"/>
        <v>49444</v>
      </c>
      <c r="AK133" s="60">
        <f>IF($X133&lt;Input!$H$73,IF($X133&lt;Input!$G$73,IF($X133&lt;Input!$F$73,IF($X133&lt;Input!$E$73,IF($X133&lt;Input!$D$73,Input!$C$79,Input!$D$79),Input!$E$79),Input!$F$79),Input!$G$79),Input!$H$79)</f>
        <v>0</v>
      </c>
      <c r="AL133" s="190">
        <f>IF($A133&lt;Input!$H$80,IF($A133&lt;Input!$G$80,IF($A133&lt;Input!$F$80,IF($A133&lt;Input!$E$80,IF($A133&lt;Input!$D$80,Input!$C$81,Input!$D$81),Input!$E$81),Input!$F$81),Input!$G$81),Input!$H$81)</f>
        <v>0.9</v>
      </c>
      <c r="AM133" s="60">
        <f t="shared" si="69"/>
        <v>0</v>
      </c>
      <c r="AN133" s="60">
        <f t="shared" si="70"/>
        <v>30</v>
      </c>
      <c r="AO133" s="60">
        <f t="shared" si="71"/>
        <v>0</v>
      </c>
      <c r="AP133" s="60">
        <f>ROUND(AO133*AN133*Input!$C$3/365,0)</f>
        <v>0</v>
      </c>
      <c r="AQ133" s="61">
        <f>IF($A133&lt;=Input!$C$6,0,IF('180M'!AM133&lt;'180M'!AO133,'180M'!AM133-AP133,'180M'!AO133))</f>
        <v>0</v>
      </c>
      <c r="AR133" s="61">
        <f t="shared" si="72"/>
        <v>0</v>
      </c>
      <c r="AS133" s="60">
        <f t="shared" si="73"/>
        <v>0</v>
      </c>
      <c r="AT133" s="193"/>
      <c r="AU133" s="169">
        <v>129</v>
      </c>
      <c r="AV133" s="1">
        <f t="shared" si="74"/>
        <v>49444</v>
      </c>
      <c r="AW133" s="60">
        <f>IF($X133&lt;Input!$H$88,IF($X133&lt;Input!$G$88,IF($X133&lt;Input!$F$88,IF($X133&lt;Input!$E$88,IF($X133&lt;Input!$D$88,Input!$C$94,Input!$D$94),Input!$E$94),Input!$F$94),Input!$G$94),Input!$H$94)</f>
        <v>0</v>
      </c>
      <c r="AX133" s="190">
        <f>IF($A133&lt;Input!$H$95,IF($A133&lt;Input!$G$95,IF($A133&lt;Input!$F$95,IF($A133&lt;Input!$E$95,IF($A133&lt;Input!$D$95,Input!$C$96,Input!$D$96),Input!$E$96),Input!$F$96),Input!$G$96),Input!$H$96)</f>
        <v>0.9</v>
      </c>
      <c r="AY133" s="60">
        <f t="shared" si="75"/>
        <v>0</v>
      </c>
      <c r="AZ133" s="60">
        <f t="shared" si="76"/>
        <v>30</v>
      </c>
      <c r="BA133" s="60">
        <f t="shared" si="77"/>
        <v>0</v>
      </c>
      <c r="BB133" s="60">
        <f>ROUND(BA133*AZ133*Input!$C$3/365,0)</f>
        <v>0</v>
      </c>
      <c r="BC133" s="61">
        <f>IF($A133&lt;=Input!$C$6,0,IF('180M'!AY133&lt;'180M'!BA133,'180M'!AY133-BB133,'180M'!BA133))</f>
        <v>0</v>
      </c>
      <c r="BD133" s="61">
        <f t="shared" si="78"/>
        <v>0</v>
      </c>
      <c r="BE133" s="60">
        <f t="shared" si="79"/>
        <v>0</v>
      </c>
      <c r="BF133" s="193"/>
      <c r="BG133" s="169">
        <v>129</v>
      </c>
      <c r="BH133" s="1">
        <f t="shared" si="80"/>
        <v>49444</v>
      </c>
      <c r="BI133" s="60">
        <f>IF($X133&lt;Input!$H$103,IF($X133&lt;Input!$G$103,IF($X133&lt;Input!$F$103,IF($X133&lt;Input!$E$103,IF($X133&lt;Input!$D$103,Input!$C$109,Input!$D$109),Input!$E$109),Input!$F$109),Input!$G$109),Input!$H$109)</f>
        <v>0</v>
      </c>
      <c r="BJ133" s="190">
        <f>IF($A133&lt;Input!$H$110,IF($A133&lt;Input!$G$110,IF($A133&lt;Input!$F$110,IF($A133&lt;Input!$E$110,IF($A133&lt;Input!$D$110,Input!$C$111,Input!$D$111),Input!$E$111),Input!$F$111),Input!$G$111),Input!$H$111)</f>
        <v>0.9</v>
      </c>
      <c r="BK133" s="60">
        <f t="shared" ref="BK133:BK184" si="95">BI133*BJ133</f>
        <v>0</v>
      </c>
      <c r="BL133" s="60">
        <f t="shared" si="81"/>
        <v>30</v>
      </c>
      <c r="BM133" s="60">
        <f t="shared" ref="BM133:BM184" si="96">BQ132</f>
        <v>0</v>
      </c>
      <c r="BN133" s="60">
        <f>ROUND(BM133*BL133*Input!$C$3/365,0)</f>
        <v>0</v>
      </c>
      <c r="BO133" s="61">
        <f>IF($A133&lt;=Input!$C$6,0,IF('180M'!BK133&lt;'180M'!BM133,'180M'!BK133-BN133,'180M'!BM133))</f>
        <v>0</v>
      </c>
      <c r="BP133" s="61">
        <f t="shared" ref="BP133:BP184" si="97">BN133+BO133</f>
        <v>0</v>
      </c>
      <c r="BQ133" s="60">
        <f t="shared" ref="BQ133:BQ184" si="98">BQ132-BO133</f>
        <v>0</v>
      </c>
      <c r="BR133" s="198"/>
    </row>
    <row r="134" spans="1:70" x14ac:dyDescent="0.25">
      <c r="A134" s="169">
        <v>130</v>
      </c>
      <c r="B134" s="1">
        <f t="shared" ref="B134:B184" si="99">EDATE(B133,1)</f>
        <v>49475</v>
      </c>
      <c r="C134" s="60">
        <f t="shared" si="85"/>
        <v>33127052.878124986</v>
      </c>
      <c r="D134" s="60">
        <f t="shared" si="86"/>
        <v>29814347.590312488</v>
      </c>
      <c r="E134" s="60">
        <f t="shared" ref="E134:E184" si="100">B134-B133</f>
        <v>31</v>
      </c>
      <c r="F134" s="60">
        <f t="shared" ref="F134:F184" si="101">J133</f>
        <v>1118595969.1013813</v>
      </c>
      <c r="G134" s="60">
        <f>ROUND(F134*E134*Input!$C$3/365,0)</f>
        <v>14250606</v>
      </c>
      <c r="H134" s="60">
        <f>IF($A134&lt;=Input!$C$6,0,IF('180M'!D134&lt;'180M'!F134,'180M'!D134-G134,'180M'!F134))</f>
        <v>15563741.590312488</v>
      </c>
      <c r="I134" s="60">
        <f t="shared" ref="I134:I184" si="102">G134+H134</f>
        <v>29814347.590312488</v>
      </c>
      <c r="J134" s="60">
        <f t="shared" ref="J134:J184" si="103">J133-H134</f>
        <v>1103032227.5110688</v>
      </c>
      <c r="K134" s="203">
        <f>J134/Input!$K$5</f>
        <v>3.676774091703563</v>
      </c>
      <c r="L134" s="232"/>
      <c r="M134" s="60">
        <f>IF($B134&lt;Input!$H$43,IF($B134&lt;Input!$G$43,IF($B134&lt;Input!$F$43,IF($B134&lt;Input!$E$43,IF($B134&lt;Input!$D$43,Input!$C$49,Input!$D$49),Input!$E$49),Input!$F$49),Input!$G$49),Input!$H$49)</f>
        <v>33127052.878124986</v>
      </c>
      <c r="N134" s="190">
        <f>IF($A134&lt;Input!$H$50,IF($A134&lt;Input!$G$50,IF($A134&lt;Input!$F$50,IF($A134&lt;Input!$E$50,IF($A134&lt;Input!$D$50,Input!$C$51,Input!$D$51),Input!$E$51),Input!$F$51),Input!$G$51),Input!$H$51)</f>
        <v>0.9</v>
      </c>
      <c r="O134" s="60">
        <f t="shared" si="84"/>
        <v>29814347.590312488</v>
      </c>
      <c r="P134" s="60">
        <f t="shared" si="87"/>
        <v>31</v>
      </c>
      <c r="Q134" s="60">
        <f t="shared" si="88"/>
        <v>1118595969.1013813</v>
      </c>
      <c r="R134" s="60">
        <f>ROUND(Q134*$P134*Input!$C$3/365,0)</f>
        <v>14250606</v>
      </c>
      <c r="S134" s="60">
        <f>IF(A134&lt;=Input!$C$6,0,IF('180M'!O134&lt;'180M'!Q134,'180M'!O134-R134,'180M'!Q134))</f>
        <v>15563741.590312488</v>
      </c>
      <c r="T134" s="60">
        <f t="shared" si="89"/>
        <v>29814347.590312488</v>
      </c>
      <c r="U134" s="60">
        <f t="shared" si="90"/>
        <v>1103032227.5110688</v>
      </c>
      <c r="V134" s="193"/>
      <c r="W134" s="169">
        <v>130</v>
      </c>
      <c r="X134" s="1">
        <f t="shared" ref="X134:X184" si="104">EDATE(X133,1)</f>
        <v>49475</v>
      </c>
      <c r="Y134" s="60">
        <f>IF($X134&lt;Input!$H$58,IF($X134&lt;Input!$G$58,IF($X134&lt;Input!$F$58,IF($X134&lt;Input!$E$58,IF($X134&lt;Input!$D$58,Input!$C$64,Input!$D$64),Input!$E$64),Input!$F$64),Input!$G$64),Input!$H$64)</f>
        <v>0</v>
      </c>
      <c r="Z134" s="190">
        <f>IF($A134&lt;Input!$H$65,IF($A134&lt;Input!$G$65,IF($A134&lt;Input!$F$65,IF($A134&lt;Input!$E$65,IF($A134&lt;Input!$D$65,Input!$C$66,Input!$D$66),Input!$E$66),Input!$F$66),Input!$G$66),Input!$H$66)</f>
        <v>0.9</v>
      </c>
      <c r="AA134" s="60">
        <f t="shared" si="91"/>
        <v>0</v>
      </c>
      <c r="AB134" s="60">
        <f t="shared" ref="AB134:AB184" si="105">X134-X133</f>
        <v>31</v>
      </c>
      <c r="AC134" s="60">
        <f t="shared" si="92"/>
        <v>0</v>
      </c>
      <c r="AD134" s="60">
        <f>ROUND(AC134*AB134*Input!$C$3/365,0)</f>
        <v>0</v>
      </c>
      <c r="AE134" s="61">
        <f>IF($A134&lt;=Input!$C$6,0,IF('180M'!AA134&lt;'180M'!AC134,'180M'!AA134-AD134,'180M'!AC134))</f>
        <v>0</v>
      </c>
      <c r="AF134" s="61">
        <f t="shared" si="93"/>
        <v>0</v>
      </c>
      <c r="AG134" s="60">
        <f t="shared" si="94"/>
        <v>0</v>
      </c>
      <c r="AH134" s="193"/>
      <c r="AI134" s="169">
        <v>130</v>
      </c>
      <c r="AJ134" s="1">
        <f t="shared" ref="AJ134:AJ184" si="106">EDATE(AJ133,1)</f>
        <v>49475</v>
      </c>
      <c r="AK134" s="60">
        <f>IF($X134&lt;Input!$H$73,IF($X134&lt;Input!$G$73,IF($X134&lt;Input!$F$73,IF($X134&lt;Input!$E$73,IF($X134&lt;Input!$D$73,Input!$C$79,Input!$D$79),Input!$E$79),Input!$F$79),Input!$G$79),Input!$H$79)</f>
        <v>0</v>
      </c>
      <c r="AL134" s="190">
        <f>IF($A134&lt;Input!$H$80,IF($A134&lt;Input!$G$80,IF($A134&lt;Input!$F$80,IF($A134&lt;Input!$E$80,IF($A134&lt;Input!$D$80,Input!$C$81,Input!$D$81),Input!$E$81),Input!$F$81),Input!$G$81),Input!$H$81)</f>
        <v>0.9</v>
      </c>
      <c r="AM134" s="60">
        <f t="shared" ref="AM134:AM184" si="107">AK134*AL134</f>
        <v>0</v>
      </c>
      <c r="AN134" s="60">
        <f t="shared" ref="AN134:AN184" si="108">AJ134-AJ133</f>
        <v>31</v>
      </c>
      <c r="AO134" s="60">
        <f t="shared" ref="AO134:AO184" si="109">AS133</f>
        <v>0</v>
      </c>
      <c r="AP134" s="60">
        <f>ROUND(AO134*AN134*Input!$C$3/365,0)</f>
        <v>0</v>
      </c>
      <c r="AQ134" s="61">
        <f>IF($A134&lt;=Input!$C$6,0,IF('180M'!AM134&lt;'180M'!AO134,'180M'!AM134-AP134,'180M'!AO134))</f>
        <v>0</v>
      </c>
      <c r="AR134" s="61">
        <f t="shared" ref="AR134:AR184" si="110">AP134+AQ134</f>
        <v>0</v>
      </c>
      <c r="AS134" s="60">
        <f t="shared" ref="AS134:AS184" si="111">AS133-AQ134</f>
        <v>0</v>
      </c>
      <c r="AT134" s="193"/>
      <c r="AU134" s="169">
        <v>130</v>
      </c>
      <c r="AV134" s="1">
        <f t="shared" ref="AV134:AV184" si="112">EDATE(AV133,1)</f>
        <v>49475</v>
      </c>
      <c r="AW134" s="60">
        <f>IF($X134&lt;Input!$H$88,IF($X134&lt;Input!$G$88,IF($X134&lt;Input!$F$88,IF($X134&lt;Input!$E$88,IF($X134&lt;Input!$D$88,Input!$C$94,Input!$D$94),Input!$E$94),Input!$F$94),Input!$G$94),Input!$H$94)</f>
        <v>0</v>
      </c>
      <c r="AX134" s="190">
        <f>IF($A134&lt;Input!$H$95,IF($A134&lt;Input!$G$95,IF($A134&lt;Input!$F$95,IF($A134&lt;Input!$E$95,IF($A134&lt;Input!$D$95,Input!$C$96,Input!$D$96),Input!$E$96),Input!$F$96),Input!$G$96),Input!$H$96)</f>
        <v>0.9</v>
      </c>
      <c r="AY134" s="60">
        <f t="shared" ref="AY134:AY184" si="113">AW134*AX134</f>
        <v>0</v>
      </c>
      <c r="AZ134" s="60">
        <f t="shared" ref="AZ134:AZ184" si="114">AV134-AV133</f>
        <v>31</v>
      </c>
      <c r="BA134" s="60">
        <f t="shared" ref="BA134:BA184" si="115">BE133</f>
        <v>0</v>
      </c>
      <c r="BB134" s="60">
        <f>ROUND(BA134*AZ134*Input!$C$3/365,0)</f>
        <v>0</v>
      </c>
      <c r="BC134" s="61">
        <f>IF($A134&lt;=Input!$C$6,0,IF('180M'!AY134&lt;'180M'!BA134,'180M'!AY134-BB134,'180M'!BA134))</f>
        <v>0</v>
      </c>
      <c r="BD134" s="61">
        <f t="shared" ref="BD134:BD184" si="116">BB134+BC134</f>
        <v>0</v>
      </c>
      <c r="BE134" s="60">
        <f t="shared" ref="BE134:BE184" si="117">BE133-BC134</f>
        <v>0</v>
      </c>
      <c r="BF134" s="193"/>
      <c r="BG134" s="169">
        <v>130</v>
      </c>
      <c r="BH134" s="1">
        <f t="shared" ref="BH134:BH184" si="118">EDATE(BH133,1)</f>
        <v>49475</v>
      </c>
      <c r="BI134" s="60">
        <f>IF($X134&lt;Input!$H$103,IF($X134&lt;Input!$G$103,IF($X134&lt;Input!$F$103,IF($X134&lt;Input!$E$103,IF($X134&lt;Input!$D$103,Input!$C$109,Input!$D$109),Input!$E$109),Input!$F$109),Input!$G$109),Input!$H$109)</f>
        <v>0</v>
      </c>
      <c r="BJ134" s="190">
        <f>IF($A134&lt;Input!$H$110,IF($A134&lt;Input!$G$110,IF($A134&lt;Input!$F$110,IF($A134&lt;Input!$E$110,IF($A134&lt;Input!$D$110,Input!$C$111,Input!$D$111),Input!$E$111),Input!$F$111),Input!$G$111),Input!$H$111)</f>
        <v>0.9</v>
      </c>
      <c r="BK134" s="60">
        <f t="shared" si="95"/>
        <v>0</v>
      </c>
      <c r="BL134" s="60">
        <f t="shared" ref="BL134:BL184" si="119">BH134-BH133</f>
        <v>31</v>
      </c>
      <c r="BM134" s="60">
        <f t="shared" si="96"/>
        <v>0</v>
      </c>
      <c r="BN134" s="60">
        <f>ROUND(BM134*BL134*Input!$C$3/365,0)</f>
        <v>0</v>
      </c>
      <c r="BO134" s="61">
        <f>IF($A134&lt;=Input!$C$6,0,IF('180M'!BK134&lt;'180M'!BM134,'180M'!BK134-BN134,'180M'!BM134))</f>
        <v>0</v>
      </c>
      <c r="BP134" s="61">
        <f t="shared" si="97"/>
        <v>0</v>
      </c>
      <c r="BQ134" s="60">
        <f t="shared" si="98"/>
        <v>0</v>
      </c>
      <c r="BR134" s="198"/>
    </row>
    <row r="135" spans="1:70" x14ac:dyDescent="0.25">
      <c r="A135" s="169">
        <v>131</v>
      </c>
      <c r="B135" s="1">
        <f t="shared" si="99"/>
        <v>49505</v>
      </c>
      <c r="C135" s="60">
        <f t="shared" si="85"/>
        <v>33127052.878124986</v>
      </c>
      <c r="D135" s="60">
        <f t="shared" si="86"/>
        <v>29814347.590312488</v>
      </c>
      <c r="E135" s="60">
        <f t="shared" si="100"/>
        <v>30</v>
      </c>
      <c r="F135" s="60">
        <f t="shared" si="101"/>
        <v>1103032227.5110688</v>
      </c>
      <c r="G135" s="60">
        <f>ROUND(F135*E135*Input!$C$3/365,0)</f>
        <v>13599027</v>
      </c>
      <c r="H135" s="60">
        <f>IF($A135&lt;=Input!$C$6,0,IF('180M'!D135&lt;'180M'!F135,'180M'!D135-G135,'180M'!F135))</f>
        <v>16215320.590312488</v>
      </c>
      <c r="I135" s="60">
        <f t="shared" si="102"/>
        <v>29814347.590312488</v>
      </c>
      <c r="J135" s="60">
        <f t="shared" si="103"/>
        <v>1086816906.9207563</v>
      </c>
      <c r="K135" s="203">
        <f>J135/Input!$K$5</f>
        <v>3.6227230230691876</v>
      </c>
      <c r="L135" s="232"/>
      <c r="M135" s="60">
        <f>IF($B135&lt;Input!$H$43,IF($B135&lt;Input!$G$43,IF($B135&lt;Input!$F$43,IF($B135&lt;Input!$E$43,IF($B135&lt;Input!$D$43,Input!$C$49,Input!$D$49),Input!$E$49),Input!$F$49),Input!$G$49),Input!$H$49)</f>
        <v>33127052.878124986</v>
      </c>
      <c r="N135" s="190">
        <f>IF($A135&lt;Input!$H$50,IF($A135&lt;Input!$G$50,IF($A135&lt;Input!$F$50,IF($A135&lt;Input!$E$50,IF($A135&lt;Input!$D$50,Input!$C$51,Input!$D$51),Input!$E$51),Input!$F$51),Input!$G$51),Input!$H$51)</f>
        <v>0.9</v>
      </c>
      <c r="O135" s="60">
        <f t="shared" si="84"/>
        <v>29814347.590312488</v>
      </c>
      <c r="P135" s="60">
        <f t="shared" si="87"/>
        <v>30</v>
      </c>
      <c r="Q135" s="60">
        <f t="shared" si="88"/>
        <v>1103032227.5110688</v>
      </c>
      <c r="R135" s="60">
        <f>ROUND(Q135*$P135*Input!$C$3/365,0)</f>
        <v>13599027</v>
      </c>
      <c r="S135" s="60">
        <f>IF(A135&lt;=Input!$C$6,0,IF('180M'!O135&lt;'180M'!Q135,'180M'!O135-R135,'180M'!Q135))</f>
        <v>16215320.590312488</v>
      </c>
      <c r="T135" s="60">
        <f t="shared" si="89"/>
        <v>29814347.590312488</v>
      </c>
      <c r="U135" s="60">
        <f t="shared" si="90"/>
        <v>1086816906.9207563</v>
      </c>
      <c r="V135" s="193"/>
      <c r="W135" s="169">
        <v>131</v>
      </c>
      <c r="X135" s="1">
        <f t="shared" si="104"/>
        <v>49505</v>
      </c>
      <c r="Y135" s="60">
        <f>IF($X135&lt;Input!$H$58,IF($X135&lt;Input!$G$58,IF($X135&lt;Input!$F$58,IF($X135&lt;Input!$E$58,IF($X135&lt;Input!$D$58,Input!$C$64,Input!$D$64),Input!$E$64),Input!$F$64),Input!$G$64),Input!$H$64)</f>
        <v>0</v>
      </c>
      <c r="Z135" s="190">
        <f>IF($A135&lt;Input!$H$65,IF($A135&lt;Input!$G$65,IF($A135&lt;Input!$F$65,IF($A135&lt;Input!$E$65,IF($A135&lt;Input!$D$65,Input!$C$66,Input!$D$66),Input!$E$66),Input!$F$66),Input!$G$66),Input!$H$66)</f>
        <v>0.9</v>
      </c>
      <c r="AA135" s="60">
        <f t="shared" si="91"/>
        <v>0</v>
      </c>
      <c r="AB135" s="60">
        <f t="shared" si="105"/>
        <v>30</v>
      </c>
      <c r="AC135" s="60">
        <f t="shared" si="92"/>
        <v>0</v>
      </c>
      <c r="AD135" s="60">
        <f>ROUND(AC135*AB135*Input!$C$3/365,0)</f>
        <v>0</v>
      </c>
      <c r="AE135" s="61">
        <f>IF($A135&lt;=Input!$C$6,0,IF('180M'!AA135&lt;'180M'!AC135,'180M'!AA135-AD135,'180M'!AC135))</f>
        <v>0</v>
      </c>
      <c r="AF135" s="61">
        <f t="shared" si="93"/>
        <v>0</v>
      </c>
      <c r="AG135" s="60">
        <f t="shared" si="94"/>
        <v>0</v>
      </c>
      <c r="AH135" s="193"/>
      <c r="AI135" s="169">
        <v>131</v>
      </c>
      <c r="AJ135" s="1">
        <f t="shared" si="106"/>
        <v>49505</v>
      </c>
      <c r="AK135" s="60">
        <f>IF($X135&lt;Input!$H$73,IF($X135&lt;Input!$G$73,IF($X135&lt;Input!$F$73,IF($X135&lt;Input!$E$73,IF($X135&lt;Input!$D$73,Input!$C$79,Input!$D$79),Input!$E$79),Input!$F$79),Input!$G$79),Input!$H$79)</f>
        <v>0</v>
      </c>
      <c r="AL135" s="190">
        <f>IF($A135&lt;Input!$H$80,IF($A135&lt;Input!$G$80,IF($A135&lt;Input!$F$80,IF($A135&lt;Input!$E$80,IF($A135&lt;Input!$D$80,Input!$C$81,Input!$D$81),Input!$E$81),Input!$F$81),Input!$G$81),Input!$H$81)</f>
        <v>0.9</v>
      </c>
      <c r="AM135" s="60">
        <f t="shared" si="107"/>
        <v>0</v>
      </c>
      <c r="AN135" s="60">
        <f t="shared" si="108"/>
        <v>30</v>
      </c>
      <c r="AO135" s="60">
        <f t="shared" si="109"/>
        <v>0</v>
      </c>
      <c r="AP135" s="60">
        <f>ROUND(AO135*AN135*Input!$C$3/365,0)</f>
        <v>0</v>
      </c>
      <c r="AQ135" s="61">
        <f>IF($A135&lt;=Input!$C$6,0,IF('180M'!AM135&lt;'180M'!AO135,'180M'!AM135-AP135,'180M'!AO135))</f>
        <v>0</v>
      </c>
      <c r="AR135" s="61">
        <f t="shared" si="110"/>
        <v>0</v>
      </c>
      <c r="AS135" s="60">
        <f t="shared" si="111"/>
        <v>0</v>
      </c>
      <c r="AT135" s="193"/>
      <c r="AU135" s="169">
        <v>131</v>
      </c>
      <c r="AV135" s="1">
        <f t="shared" si="112"/>
        <v>49505</v>
      </c>
      <c r="AW135" s="60">
        <f>IF($X135&lt;Input!$H$88,IF($X135&lt;Input!$G$88,IF($X135&lt;Input!$F$88,IF($X135&lt;Input!$E$88,IF($X135&lt;Input!$D$88,Input!$C$94,Input!$D$94),Input!$E$94),Input!$F$94),Input!$G$94),Input!$H$94)</f>
        <v>0</v>
      </c>
      <c r="AX135" s="190">
        <f>IF($A135&lt;Input!$H$95,IF($A135&lt;Input!$G$95,IF($A135&lt;Input!$F$95,IF($A135&lt;Input!$E$95,IF($A135&lt;Input!$D$95,Input!$C$96,Input!$D$96),Input!$E$96),Input!$F$96),Input!$G$96),Input!$H$96)</f>
        <v>0.9</v>
      </c>
      <c r="AY135" s="60">
        <f t="shared" si="113"/>
        <v>0</v>
      </c>
      <c r="AZ135" s="60">
        <f t="shared" si="114"/>
        <v>30</v>
      </c>
      <c r="BA135" s="60">
        <f t="shared" si="115"/>
        <v>0</v>
      </c>
      <c r="BB135" s="60">
        <f>ROUND(BA135*AZ135*Input!$C$3/365,0)</f>
        <v>0</v>
      </c>
      <c r="BC135" s="61">
        <f>IF($A135&lt;=Input!$C$6,0,IF('180M'!AY135&lt;'180M'!BA135,'180M'!AY135-BB135,'180M'!BA135))</f>
        <v>0</v>
      </c>
      <c r="BD135" s="61">
        <f t="shared" si="116"/>
        <v>0</v>
      </c>
      <c r="BE135" s="60">
        <f t="shared" si="117"/>
        <v>0</v>
      </c>
      <c r="BF135" s="193"/>
      <c r="BG135" s="169">
        <v>131</v>
      </c>
      <c r="BH135" s="1">
        <f t="shared" si="118"/>
        <v>49505</v>
      </c>
      <c r="BI135" s="60">
        <f>IF($X135&lt;Input!$H$103,IF($X135&lt;Input!$G$103,IF($X135&lt;Input!$F$103,IF($X135&lt;Input!$E$103,IF($X135&lt;Input!$D$103,Input!$C$109,Input!$D$109),Input!$E$109),Input!$F$109),Input!$G$109),Input!$H$109)</f>
        <v>0</v>
      </c>
      <c r="BJ135" s="190">
        <f>IF($A135&lt;Input!$H$110,IF($A135&lt;Input!$G$110,IF($A135&lt;Input!$F$110,IF($A135&lt;Input!$E$110,IF($A135&lt;Input!$D$110,Input!$C$111,Input!$D$111),Input!$E$111),Input!$F$111),Input!$G$111),Input!$H$111)</f>
        <v>0.9</v>
      </c>
      <c r="BK135" s="60">
        <f t="shared" si="95"/>
        <v>0</v>
      </c>
      <c r="BL135" s="60">
        <f t="shared" si="119"/>
        <v>30</v>
      </c>
      <c r="BM135" s="60">
        <f t="shared" si="96"/>
        <v>0</v>
      </c>
      <c r="BN135" s="60">
        <f>ROUND(BM135*BL135*Input!$C$3/365,0)</f>
        <v>0</v>
      </c>
      <c r="BO135" s="61">
        <f>IF($A135&lt;=Input!$C$6,0,IF('180M'!BK135&lt;'180M'!BM135,'180M'!BK135-BN135,'180M'!BM135))</f>
        <v>0</v>
      </c>
      <c r="BP135" s="61">
        <f t="shared" si="97"/>
        <v>0</v>
      </c>
      <c r="BQ135" s="60">
        <f t="shared" si="98"/>
        <v>0</v>
      </c>
      <c r="BR135" s="198"/>
    </row>
    <row r="136" spans="1:70" x14ac:dyDescent="0.25">
      <c r="A136" s="169">
        <v>132</v>
      </c>
      <c r="B136" s="1">
        <f t="shared" si="99"/>
        <v>49536</v>
      </c>
      <c r="C136" s="60">
        <f t="shared" si="85"/>
        <v>33127052.878124986</v>
      </c>
      <c r="D136" s="60">
        <f t="shared" si="86"/>
        <v>29814347.590312488</v>
      </c>
      <c r="E136" s="60">
        <f t="shared" si="100"/>
        <v>31</v>
      </c>
      <c r="F136" s="60">
        <f t="shared" si="101"/>
        <v>1086816906.9207563</v>
      </c>
      <c r="G136" s="60">
        <f>ROUND(F136*E136*Input!$C$3/365,0)</f>
        <v>13845750</v>
      </c>
      <c r="H136" s="60">
        <f>IF($A136&lt;=Input!$C$6,0,IF('180M'!D136&lt;'180M'!F136,'180M'!D136-G136,'180M'!F136))</f>
        <v>15968597.590312488</v>
      </c>
      <c r="I136" s="60">
        <f t="shared" si="102"/>
        <v>29814347.590312488</v>
      </c>
      <c r="J136" s="60">
        <f t="shared" si="103"/>
        <v>1070848309.3304439</v>
      </c>
      <c r="K136" s="203">
        <f>J136/Input!$K$5</f>
        <v>3.5694943644348127</v>
      </c>
      <c r="L136" s="232"/>
      <c r="M136" s="60">
        <f>IF($B136&lt;Input!$H$43,IF($B136&lt;Input!$G$43,IF($B136&lt;Input!$F$43,IF($B136&lt;Input!$E$43,IF($B136&lt;Input!$D$43,Input!$C$49,Input!$D$49),Input!$E$49),Input!$F$49),Input!$G$49),Input!$H$49)</f>
        <v>33127052.878124986</v>
      </c>
      <c r="N136" s="190">
        <f>IF($A136&lt;Input!$H$50,IF($A136&lt;Input!$G$50,IF($A136&lt;Input!$F$50,IF($A136&lt;Input!$E$50,IF($A136&lt;Input!$D$50,Input!$C$51,Input!$D$51),Input!$E$51),Input!$F$51),Input!$G$51),Input!$H$51)</f>
        <v>0.9</v>
      </c>
      <c r="O136" s="60">
        <f t="shared" si="84"/>
        <v>29814347.590312488</v>
      </c>
      <c r="P136" s="60">
        <f t="shared" si="87"/>
        <v>31</v>
      </c>
      <c r="Q136" s="60">
        <f t="shared" si="88"/>
        <v>1086816906.9207563</v>
      </c>
      <c r="R136" s="60">
        <f>ROUND(Q136*$P136*Input!$C$3/365,0)</f>
        <v>13845750</v>
      </c>
      <c r="S136" s="60">
        <f>IF(A136&lt;=Input!$C$6,0,IF('180M'!O136&lt;'180M'!Q136,'180M'!O136-R136,'180M'!Q136))</f>
        <v>15968597.590312488</v>
      </c>
      <c r="T136" s="60">
        <f t="shared" si="89"/>
        <v>29814347.590312488</v>
      </c>
      <c r="U136" s="60">
        <f t="shared" si="90"/>
        <v>1070848309.3304439</v>
      </c>
      <c r="V136" s="193"/>
      <c r="W136" s="169">
        <v>132</v>
      </c>
      <c r="X136" s="1">
        <f t="shared" si="104"/>
        <v>49536</v>
      </c>
      <c r="Y136" s="60">
        <f>IF($X136&lt;Input!$H$58,IF($X136&lt;Input!$G$58,IF($X136&lt;Input!$F$58,IF($X136&lt;Input!$E$58,IF($X136&lt;Input!$D$58,Input!$C$64,Input!$D$64),Input!$E$64),Input!$F$64),Input!$G$64),Input!$H$64)</f>
        <v>0</v>
      </c>
      <c r="Z136" s="190">
        <f>IF($A136&lt;Input!$H$65,IF($A136&lt;Input!$G$65,IF($A136&lt;Input!$F$65,IF($A136&lt;Input!$E$65,IF($A136&lt;Input!$D$65,Input!$C$66,Input!$D$66),Input!$E$66),Input!$F$66),Input!$G$66),Input!$H$66)</f>
        <v>0.9</v>
      </c>
      <c r="AA136" s="60">
        <f t="shared" si="91"/>
        <v>0</v>
      </c>
      <c r="AB136" s="60">
        <f t="shared" si="105"/>
        <v>31</v>
      </c>
      <c r="AC136" s="60">
        <f t="shared" si="92"/>
        <v>0</v>
      </c>
      <c r="AD136" s="60">
        <f>ROUND(AC136*AB136*Input!$C$3/365,0)</f>
        <v>0</v>
      </c>
      <c r="AE136" s="61">
        <f>IF($A136&lt;=Input!$C$6,0,IF('180M'!AA136&lt;'180M'!AC136,'180M'!AA136-AD136,'180M'!AC136))</f>
        <v>0</v>
      </c>
      <c r="AF136" s="61">
        <f t="shared" si="93"/>
        <v>0</v>
      </c>
      <c r="AG136" s="60">
        <f t="shared" si="94"/>
        <v>0</v>
      </c>
      <c r="AH136" s="193"/>
      <c r="AI136" s="169">
        <v>132</v>
      </c>
      <c r="AJ136" s="1">
        <f t="shared" si="106"/>
        <v>49536</v>
      </c>
      <c r="AK136" s="60">
        <f>IF($X136&lt;Input!$H$73,IF($X136&lt;Input!$G$73,IF($X136&lt;Input!$F$73,IF($X136&lt;Input!$E$73,IF($X136&lt;Input!$D$73,Input!$C$79,Input!$D$79),Input!$E$79),Input!$F$79),Input!$G$79),Input!$H$79)</f>
        <v>0</v>
      </c>
      <c r="AL136" s="190">
        <f>IF($A136&lt;Input!$H$80,IF($A136&lt;Input!$G$80,IF($A136&lt;Input!$F$80,IF($A136&lt;Input!$E$80,IF($A136&lt;Input!$D$80,Input!$C$81,Input!$D$81),Input!$E$81),Input!$F$81),Input!$G$81),Input!$H$81)</f>
        <v>0.9</v>
      </c>
      <c r="AM136" s="60">
        <f t="shared" si="107"/>
        <v>0</v>
      </c>
      <c r="AN136" s="60">
        <f t="shared" si="108"/>
        <v>31</v>
      </c>
      <c r="AO136" s="60">
        <f t="shared" si="109"/>
        <v>0</v>
      </c>
      <c r="AP136" s="60">
        <f>ROUND(AO136*AN136*Input!$C$3/365,0)</f>
        <v>0</v>
      </c>
      <c r="AQ136" s="61">
        <f>IF($A136&lt;=Input!$C$6,0,IF('180M'!AM136&lt;'180M'!AO136,'180M'!AM136-AP136,'180M'!AO136))</f>
        <v>0</v>
      </c>
      <c r="AR136" s="61">
        <f t="shared" si="110"/>
        <v>0</v>
      </c>
      <c r="AS136" s="60">
        <f t="shared" si="111"/>
        <v>0</v>
      </c>
      <c r="AT136" s="193"/>
      <c r="AU136" s="169">
        <v>132</v>
      </c>
      <c r="AV136" s="1">
        <f t="shared" si="112"/>
        <v>49536</v>
      </c>
      <c r="AW136" s="60">
        <f>IF($X136&lt;Input!$H$88,IF($X136&lt;Input!$G$88,IF($X136&lt;Input!$F$88,IF($X136&lt;Input!$E$88,IF($X136&lt;Input!$D$88,Input!$C$94,Input!$D$94),Input!$E$94),Input!$F$94),Input!$G$94),Input!$H$94)</f>
        <v>0</v>
      </c>
      <c r="AX136" s="190">
        <f>IF($A136&lt;Input!$H$95,IF($A136&lt;Input!$G$95,IF($A136&lt;Input!$F$95,IF($A136&lt;Input!$E$95,IF($A136&lt;Input!$D$95,Input!$C$96,Input!$D$96),Input!$E$96),Input!$F$96),Input!$G$96),Input!$H$96)</f>
        <v>0.9</v>
      </c>
      <c r="AY136" s="60">
        <f t="shared" si="113"/>
        <v>0</v>
      </c>
      <c r="AZ136" s="60">
        <f t="shared" si="114"/>
        <v>31</v>
      </c>
      <c r="BA136" s="60">
        <f t="shared" si="115"/>
        <v>0</v>
      </c>
      <c r="BB136" s="60">
        <f>ROUND(BA136*AZ136*Input!$C$3/365,0)</f>
        <v>0</v>
      </c>
      <c r="BC136" s="61">
        <f>IF($A136&lt;=Input!$C$6,0,IF('180M'!AY136&lt;'180M'!BA136,'180M'!AY136-BB136,'180M'!BA136))</f>
        <v>0</v>
      </c>
      <c r="BD136" s="61">
        <f t="shared" si="116"/>
        <v>0</v>
      </c>
      <c r="BE136" s="60">
        <f t="shared" si="117"/>
        <v>0</v>
      </c>
      <c r="BF136" s="193"/>
      <c r="BG136" s="169">
        <v>132</v>
      </c>
      <c r="BH136" s="1">
        <f t="shared" si="118"/>
        <v>49536</v>
      </c>
      <c r="BI136" s="60">
        <f>IF($X136&lt;Input!$H$103,IF($X136&lt;Input!$G$103,IF($X136&lt;Input!$F$103,IF($X136&lt;Input!$E$103,IF($X136&lt;Input!$D$103,Input!$C$109,Input!$D$109),Input!$E$109),Input!$F$109),Input!$G$109),Input!$H$109)</f>
        <v>0</v>
      </c>
      <c r="BJ136" s="190">
        <f>IF($A136&lt;Input!$H$110,IF($A136&lt;Input!$G$110,IF($A136&lt;Input!$F$110,IF($A136&lt;Input!$E$110,IF($A136&lt;Input!$D$110,Input!$C$111,Input!$D$111),Input!$E$111),Input!$F$111),Input!$G$111),Input!$H$111)</f>
        <v>0.9</v>
      </c>
      <c r="BK136" s="60">
        <f t="shared" si="95"/>
        <v>0</v>
      </c>
      <c r="BL136" s="60">
        <f t="shared" si="119"/>
        <v>31</v>
      </c>
      <c r="BM136" s="60">
        <f t="shared" si="96"/>
        <v>0</v>
      </c>
      <c r="BN136" s="60">
        <f>ROUND(BM136*BL136*Input!$C$3/365,0)</f>
        <v>0</v>
      </c>
      <c r="BO136" s="61">
        <f>IF($A136&lt;=Input!$C$6,0,IF('180M'!BK136&lt;'180M'!BM136,'180M'!BK136-BN136,'180M'!BM136))</f>
        <v>0</v>
      </c>
      <c r="BP136" s="61">
        <f t="shared" si="97"/>
        <v>0</v>
      </c>
      <c r="BQ136" s="60">
        <f t="shared" si="98"/>
        <v>0</v>
      </c>
      <c r="BR136" s="198"/>
    </row>
    <row r="137" spans="1:70" x14ac:dyDescent="0.25">
      <c r="A137" s="169">
        <v>133</v>
      </c>
      <c r="B137" s="1">
        <f t="shared" si="99"/>
        <v>49567</v>
      </c>
      <c r="C137" s="60">
        <f t="shared" si="85"/>
        <v>33127052.878124986</v>
      </c>
      <c r="D137" s="60">
        <f t="shared" si="86"/>
        <v>29814347.590312488</v>
      </c>
      <c r="E137" s="60">
        <f t="shared" si="100"/>
        <v>31</v>
      </c>
      <c r="F137" s="60">
        <f t="shared" si="101"/>
        <v>1070848309.3304439</v>
      </c>
      <c r="G137" s="60">
        <f>ROUND(F137*E137*Input!$C$3/365,0)</f>
        <v>13642314</v>
      </c>
      <c r="H137" s="60">
        <f>IF($A137&lt;=Input!$C$6,0,IF('180M'!D137&lt;'180M'!F137,'180M'!D137-G137,'180M'!F137))</f>
        <v>16172033.590312488</v>
      </c>
      <c r="I137" s="60">
        <f t="shared" si="102"/>
        <v>29814347.590312488</v>
      </c>
      <c r="J137" s="60">
        <f t="shared" si="103"/>
        <v>1054676275.7401314</v>
      </c>
      <c r="K137" s="203">
        <f>J137/Input!$K$5</f>
        <v>3.515587585800438</v>
      </c>
      <c r="L137" s="232"/>
      <c r="M137" s="60">
        <f>IF($B137&lt;Input!$H$43,IF($B137&lt;Input!$G$43,IF($B137&lt;Input!$F$43,IF($B137&lt;Input!$E$43,IF($B137&lt;Input!$D$43,Input!$C$49,Input!$D$49),Input!$E$49),Input!$F$49),Input!$G$49),Input!$H$49)</f>
        <v>33127052.878124986</v>
      </c>
      <c r="N137" s="190">
        <f>IF($A137&lt;Input!$H$50,IF($A137&lt;Input!$G$50,IF($A137&lt;Input!$F$50,IF($A137&lt;Input!$E$50,IF($A137&lt;Input!$D$50,Input!$C$51,Input!$D$51),Input!$E$51),Input!$F$51),Input!$G$51),Input!$H$51)</f>
        <v>0.9</v>
      </c>
      <c r="O137" s="60">
        <f t="shared" si="84"/>
        <v>29814347.590312488</v>
      </c>
      <c r="P137" s="60">
        <f t="shared" si="87"/>
        <v>31</v>
      </c>
      <c r="Q137" s="60">
        <f t="shared" si="88"/>
        <v>1070848309.3304439</v>
      </c>
      <c r="R137" s="60">
        <f>ROUND(Q137*$P137*Input!$C$3/365,0)</f>
        <v>13642314</v>
      </c>
      <c r="S137" s="60">
        <f>IF(A137&lt;=Input!$C$6,0,IF('180M'!O137&lt;'180M'!Q137,'180M'!O137-R137,'180M'!Q137))</f>
        <v>16172033.590312488</v>
      </c>
      <c r="T137" s="60">
        <f t="shared" si="89"/>
        <v>29814347.590312488</v>
      </c>
      <c r="U137" s="60">
        <f t="shared" si="90"/>
        <v>1054676275.7401314</v>
      </c>
      <c r="V137" s="193"/>
      <c r="W137" s="169">
        <v>133</v>
      </c>
      <c r="X137" s="1">
        <f t="shared" si="104"/>
        <v>49567</v>
      </c>
      <c r="Y137" s="60">
        <f>IF($X137&lt;Input!$H$58,IF($X137&lt;Input!$G$58,IF($X137&lt;Input!$F$58,IF($X137&lt;Input!$E$58,IF($X137&lt;Input!$D$58,Input!$C$64,Input!$D$64),Input!$E$64),Input!$F$64),Input!$G$64),Input!$H$64)</f>
        <v>0</v>
      </c>
      <c r="Z137" s="190">
        <f>IF($A137&lt;Input!$H$65,IF($A137&lt;Input!$G$65,IF($A137&lt;Input!$F$65,IF($A137&lt;Input!$E$65,IF($A137&lt;Input!$D$65,Input!$C$66,Input!$D$66),Input!$E$66),Input!$F$66),Input!$G$66),Input!$H$66)</f>
        <v>0.9</v>
      </c>
      <c r="AA137" s="60">
        <f t="shared" si="91"/>
        <v>0</v>
      </c>
      <c r="AB137" s="60">
        <f t="shared" si="105"/>
        <v>31</v>
      </c>
      <c r="AC137" s="60">
        <f t="shared" si="92"/>
        <v>0</v>
      </c>
      <c r="AD137" s="60">
        <f>ROUND(AC137*AB137*Input!$C$3/365,0)</f>
        <v>0</v>
      </c>
      <c r="AE137" s="61">
        <f>IF($A137&lt;=Input!$C$6,0,IF('180M'!AA137&lt;'180M'!AC137,'180M'!AA137-AD137,'180M'!AC137))</f>
        <v>0</v>
      </c>
      <c r="AF137" s="61">
        <f t="shared" si="93"/>
        <v>0</v>
      </c>
      <c r="AG137" s="60">
        <f t="shared" si="94"/>
        <v>0</v>
      </c>
      <c r="AH137" s="193"/>
      <c r="AI137" s="169">
        <v>133</v>
      </c>
      <c r="AJ137" s="1">
        <f t="shared" si="106"/>
        <v>49567</v>
      </c>
      <c r="AK137" s="60">
        <f>IF($X137&lt;Input!$H$73,IF($X137&lt;Input!$G$73,IF($X137&lt;Input!$F$73,IF($X137&lt;Input!$E$73,IF($X137&lt;Input!$D$73,Input!$C$79,Input!$D$79),Input!$E$79),Input!$F$79),Input!$G$79),Input!$H$79)</f>
        <v>0</v>
      </c>
      <c r="AL137" s="190">
        <f>IF($A137&lt;Input!$H$80,IF($A137&lt;Input!$G$80,IF($A137&lt;Input!$F$80,IF($A137&lt;Input!$E$80,IF($A137&lt;Input!$D$80,Input!$C$81,Input!$D$81),Input!$E$81),Input!$F$81),Input!$G$81),Input!$H$81)</f>
        <v>0.9</v>
      </c>
      <c r="AM137" s="60">
        <f t="shared" si="107"/>
        <v>0</v>
      </c>
      <c r="AN137" s="60">
        <f t="shared" si="108"/>
        <v>31</v>
      </c>
      <c r="AO137" s="60">
        <f t="shared" si="109"/>
        <v>0</v>
      </c>
      <c r="AP137" s="60">
        <f>ROUND(AO137*AN137*Input!$C$3/365,0)</f>
        <v>0</v>
      </c>
      <c r="AQ137" s="61">
        <f>IF($A137&lt;=Input!$C$6,0,IF('180M'!AM137&lt;'180M'!AO137,'180M'!AM137-AP137,'180M'!AO137))</f>
        <v>0</v>
      </c>
      <c r="AR137" s="61">
        <f t="shared" si="110"/>
        <v>0</v>
      </c>
      <c r="AS137" s="60">
        <f t="shared" si="111"/>
        <v>0</v>
      </c>
      <c r="AT137" s="193"/>
      <c r="AU137" s="169">
        <v>133</v>
      </c>
      <c r="AV137" s="1">
        <f t="shared" si="112"/>
        <v>49567</v>
      </c>
      <c r="AW137" s="60">
        <f>IF($X137&lt;Input!$H$88,IF($X137&lt;Input!$G$88,IF($X137&lt;Input!$F$88,IF($X137&lt;Input!$E$88,IF($X137&lt;Input!$D$88,Input!$C$94,Input!$D$94),Input!$E$94),Input!$F$94),Input!$G$94),Input!$H$94)</f>
        <v>0</v>
      </c>
      <c r="AX137" s="190">
        <f>IF($A137&lt;Input!$H$95,IF($A137&lt;Input!$G$95,IF($A137&lt;Input!$F$95,IF($A137&lt;Input!$E$95,IF($A137&lt;Input!$D$95,Input!$C$96,Input!$D$96),Input!$E$96),Input!$F$96),Input!$G$96),Input!$H$96)</f>
        <v>0.9</v>
      </c>
      <c r="AY137" s="60">
        <f t="shared" si="113"/>
        <v>0</v>
      </c>
      <c r="AZ137" s="60">
        <f t="shared" si="114"/>
        <v>31</v>
      </c>
      <c r="BA137" s="60">
        <f t="shared" si="115"/>
        <v>0</v>
      </c>
      <c r="BB137" s="60">
        <f>ROUND(BA137*AZ137*Input!$C$3/365,0)</f>
        <v>0</v>
      </c>
      <c r="BC137" s="61">
        <f>IF($A137&lt;=Input!$C$6,0,IF('180M'!AY137&lt;'180M'!BA137,'180M'!AY137-BB137,'180M'!BA137))</f>
        <v>0</v>
      </c>
      <c r="BD137" s="61">
        <f t="shared" si="116"/>
        <v>0</v>
      </c>
      <c r="BE137" s="60">
        <f t="shared" si="117"/>
        <v>0</v>
      </c>
      <c r="BF137" s="193"/>
      <c r="BG137" s="169">
        <v>133</v>
      </c>
      <c r="BH137" s="1">
        <f t="shared" si="118"/>
        <v>49567</v>
      </c>
      <c r="BI137" s="60">
        <f>IF($X137&lt;Input!$H$103,IF($X137&lt;Input!$G$103,IF($X137&lt;Input!$F$103,IF($X137&lt;Input!$E$103,IF($X137&lt;Input!$D$103,Input!$C$109,Input!$D$109),Input!$E$109),Input!$F$109),Input!$G$109),Input!$H$109)</f>
        <v>0</v>
      </c>
      <c r="BJ137" s="190">
        <f>IF($A137&lt;Input!$H$110,IF($A137&lt;Input!$G$110,IF($A137&lt;Input!$F$110,IF($A137&lt;Input!$E$110,IF($A137&lt;Input!$D$110,Input!$C$111,Input!$D$111),Input!$E$111),Input!$F$111),Input!$G$111),Input!$H$111)</f>
        <v>0.9</v>
      </c>
      <c r="BK137" s="60">
        <f t="shared" si="95"/>
        <v>0</v>
      </c>
      <c r="BL137" s="60">
        <f t="shared" si="119"/>
        <v>31</v>
      </c>
      <c r="BM137" s="60">
        <f t="shared" si="96"/>
        <v>0</v>
      </c>
      <c r="BN137" s="60">
        <f>ROUND(BM137*BL137*Input!$C$3/365,0)</f>
        <v>0</v>
      </c>
      <c r="BO137" s="61">
        <f>IF($A137&lt;=Input!$C$6,0,IF('180M'!BK137&lt;'180M'!BM137,'180M'!BK137-BN137,'180M'!BM137))</f>
        <v>0</v>
      </c>
      <c r="BP137" s="61">
        <f t="shared" si="97"/>
        <v>0</v>
      </c>
      <c r="BQ137" s="60">
        <f t="shared" si="98"/>
        <v>0</v>
      </c>
      <c r="BR137" s="198"/>
    </row>
    <row r="138" spans="1:70" x14ac:dyDescent="0.25">
      <c r="A138" s="169">
        <v>134</v>
      </c>
      <c r="B138" s="1">
        <f t="shared" si="99"/>
        <v>49597</v>
      </c>
      <c r="C138" s="60">
        <f t="shared" si="85"/>
        <v>33127052.878124986</v>
      </c>
      <c r="D138" s="60">
        <f t="shared" si="86"/>
        <v>29814347.590312488</v>
      </c>
      <c r="E138" s="60">
        <f t="shared" si="100"/>
        <v>30</v>
      </c>
      <c r="F138" s="60">
        <f t="shared" si="101"/>
        <v>1054676275.7401314</v>
      </c>
      <c r="G138" s="60">
        <f>ROUND(F138*E138*Input!$C$3/365,0)</f>
        <v>13002858</v>
      </c>
      <c r="H138" s="60">
        <f>IF($A138&lt;=Input!$C$6,0,IF('180M'!D138&lt;'180M'!F138,'180M'!D138-G138,'180M'!F138))</f>
        <v>16811489.590312488</v>
      </c>
      <c r="I138" s="60">
        <f t="shared" si="102"/>
        <v>29814347.590312488</v>
      </c>
      <c r="J138" s="60">
        <f t="shared" si="103"/>
        <v>1037864786.1498189</v>
      </c>
      <c r="K138" s="203">
        <f>J138/Input!$K$5</f>
        <v>3.4595492871660629</v>
      </c>
      <c r="L138" s="232"/>
      <c r="M138" s="60">
        <f>IF($B138&lt;Input!$H$43,IF($B138&lt;Input!$G$43,IF($B138&lt;Input!$F$43,IF($B138&lt;Input!$E$43,IF($B138&lt;Input!$D$43,Input!$C$49,Input!$D$49),Input!$E$49),Input!$F$49),Input!$G$49),Input!$H$49)</f>
        <v>33127052.878124986</v>
      </c>
      <c r="N138" s="190">
        <f>IF($A138&lt;Input!$H$50,IF($A138&lt;Input!$G$50,IF($A138&lt;Input!$F$50,IF($A138&lt;Input!$E$50,IF($A138&lt;Input!$D$50,Input!$C$51,Input!$D$51),Input!$E$51),Input!$F$51),Input!$G$51),Input!$H$51)</f>
        <v>0.9</v>
      </c>
      <c r="O138" s="60">
        <f t="shared" si="84"/>
        <v>29814347.590312488</v>
      </c>
      <c r="P138" s="60">
        <f t="shared" si="87"/>
        <v>30</v>
      </c>
      <c r="Q138" s="60">
        <f t="shared" si="88"/>
        <v>1054676275.7401314</v>
      </c>
      <c r="R138" s="60">
        <f>ROUND(Q138*$P138*Input!$C$3/365,0)</f>
        <v>13002858</v>
      </c>
      <c r="S138" s="60">
        <f>IF(A138&lt;=Input!$C$6,0,IF('180M'!O138&lt;'180M'!Q138,'180M'!O138-R138,'180M'!Q138))</f>
        <v>16811489.590312488</v>
      </c>
      <c r="T138" s="60">
        <f t="shared" si="89"/>
        <v>29814347.590312488</v>
      </c>
      <c r="U138" s="60">
        <f t="shared" si="90"/>
        <v>1037864786.1498189</v>
      </c>
      <c r="V138" s="193"/>
      <c r="W138" s="169">
        <v>134</v>
      </c>
      <c r="X138" s="1">
        <f t="shared" si="104"/>
        <v>49597</v>
      </c>
      <c r="Y138" s="60">
        <f>IF($X138&lt;Input!$H$58,IF($X138&lt;Input!$G$58,IF($X138&lt;Input!$F$58,IF($X138&lt;Input!$E$58,IF($X138&lt;Input!$D$58,Input!$C$64,Input!$D$64),Input!$E$64),Input!$F$64),Input!$G$64),Input!$H$64)</f>
        <v>0</v>
      </c>
      <c r="Z138" s="190">
        <f>IF($A138&lt;Input!$H$65,IF($A138&lt;Input!$G$65,IF($A138&lt;Input!$F$65,IF($A138&lt;Input!$E$65,IF($A138&lt;Input!$D$65,Input!$C$66,Input!$D$66),Input!$E$66),Input!$F$66),Input!$G$66),Input!$H$66)</f>
        <v>0.9</v>
      </c>
      <c r="AA138" s="60">
        <f t="shared" si="91"/>
        <v>0</v>
      </c>
      <c r="AB138" s="60">
        <f t="shared" si="105"/>
        <v>30</v>
      </c>
      <c r="AC138" s="60">
        <f t="shared" si="92"/>
        <v>0</v>
      </c>
      <c r="AD138" s="60">
        <f>ROUND(AC138*AB138*Input!$C$3/365,0)</f>
        <v>0</v>
      </c>
      <c r="AE138" s="61">
        <f>IF($A138&lt;=Input!$C$6,0,IF('180M'!AA138&lt;'180M'!AC138,'180M'!AA138-AD138,'180M'!AC138))</f>
        <v>0</v>
      </c>
      <c r="AF138" s="61">
        <f t="shared" si="93"/>
        <v>0</v>
      </c>
      <c r="AG138" s="60">
        <f t="shared" si="94"/>
        <v>0</v>
      </c>
      <c r="AH138" s="193"/>
      <c r="AI138" s="169">
        <v>134</v>
      </c>
      <c r="AJ138" s="1">
        <f t="shared" si="106"/>
        <v>49597</v>
      </c>
      <c r="AK138" s="60">
        <f>IF($X138&lt;Input!$H$73,IF($X138&lt;Input!$G$73,IF($X138&lt;Input!$F$73,IF($X138&lt;Input!$E$73,IF($X138&lt;Input!$D$73,Input!$C$79,Input!$D$79),Input!$E$79),Input!$F$79),Input!$G$79),Input!$H$79)</f>
        <v>0</v>
      </c>
      <c r="AL138" s="190">
        <f>IF($A138&lt;Input!$H$80,IF($A138&lt;Input!$G$80,IF($A138&lt;Input!$F$80,IF($A138&lt;Input!$E$80,IF($A138&lt;Input!$D$80,Input!$C$81,Input!$D$81),Input!$E$81),Input!$F$81),Input!$G$81),Input!$H$81)</f>
        <v>0.9</v>
      </c>
      <c r="AM138" s="60">
        <f t="shared" si="107"/>
        <v>0</v>
      </c>
      <c r="AN138" s="60">
        <f t="shared" si="108"/>
        <v>30</v>
      </c>
      <c r="AO138" s="60">
        <f t="shared" si="109"/>
        <v>0</v>
      </c>
      <c r="AP138" s="60">
        <f>ROUND(AO138*AN138*Input!$C$3/365,0)</f>
        <v>0</v>
      </c>
      <c r="AQ138" s="61">
        <f>IF($A138&lt;=Input!$C$6,0,IF('180M'!AM138&lt;'180M'!AO138,'180M'!AM138-AP138,'180M'!AO138))</f>
        <v>0</v>
      </c>
      <c r="AR138" s="61">
        <f t="shared" si="110"/>
        <v>0</v>
      </c>
      <c r="AS138" s="60">
        <f t="shared" si="111"/>
        <v>0</v>
      </c>
      <c r="AT138" s="193"/>
      <c r="AU138" s="169">
        <v>134</v>
      </c>
      <c r="AV138" s="1">
        <f t="shared" si="112"/>
        <v>49597</v>
      </c>
      <c r="AW138" s="60">
        <f>IF($X138&lt;Input!$H$88,IF($X138&lt;Input!$G$88,IF($X138&lt;Input!$F$88,IF($X138&lt;Input!$E$88,IF($X138&lt;Input!$D$88,Input!$C$94,Input!$D$94),Input!$E$94),Input!$F$94),Input!$G$94),Input!$H$94)</f>
        <v>0</v>
      </c>
      <c r="AX138" s="190">
        <f>IF($A138&lt;Input!$H$95,IF($A138&lt;Input!$G$95,IF($A138&lt;Input!$F$95,IF($A138&lt;Input!$E$95,IF($A138&lt;Input!$D$95,Input!$C$96,Input!$D$96),Input!$E$96),Input!$F$96),Input!$G$96),Input!$H$96)</f>
        <v>0.9</v>
      </c>
      <c r="AY138" s="60">
        <f t="shared" si="113"/>
        <v>0</v>
      </c>
      <c r="AZ138" s="60">
        <f t="shared" si="114"/>
        <v>30</v>
      </c>
      <c r="BA138" s="60">
        <f t="shared" si="115"/>
        <v>0</v>
      </c>
      <c r="BB138" s="60">
        <f>ROUND(BA138*AZ138*Input!$C$3/365,0)</f>
        <v>0</v>
      </c>
      <c r="BC138" s="61">
        <f>IF($A138&lt;=Input!$C$6,0,IF('180M'!AY138&lt;'180M'!BA138,'180M'!AY138-BB138,'180M'!BA138))</f>
        <v>0</v>
      </c>
      <c r="BD138" s="61">
        <f t="shared" si="116"/>
        <v>0</v>
      </c>
      <c r="BE138" s="60">
        <f t="shared" si="117"/>
        <v>0</v>
      </c>
      <c r="BF138" s="193"/>
      <c r="BG138" s="169">
        <v>134</v>
      </c>
      <c r="BH138" s="1">
        <f t="shared" si="118"/>
        <v>49597</v>
      </c>
      <c r="BI138" s="60">
        <f>IF($X138&lt;Input!$H$103,IF($X138&lt;Input!$G$103,IF($X138&lt;Input!$F$103,IF($X138&lt;Input!$E$103,IF($X138&lt;Input!$D$103,Input!$C$109,Input!$D$109),Input!$E$109),Input!$F$109),Input!$G$109),Input!$H$109)</f>
        <v>0</v>
      </c>
      <c r="BJ138" s="190">
        <f>IF($A138&lt;Input!$H$110,IF($A138&lt;Input!$G$110,IF($A138&lt;Input!$F$110,IF($A138&lt;Input!$E$110,IF($A138&lt;Input!$D$110,Input!$C$111,Input!$D$111),Input!$E$111),Input!$F$111),Input!$G$111),Input!$H$111)</f>
        <v>0.9</v>
      </c>
      <c r="BK138" s="60">
        <f t="shared" si="95"/>
        <v>0</v>
      </c>
      <c r="BL138" s="60">
        <f t="shared" si="119"/>
        <v>30</v>
      </c>
      <c r="BM138" s="60">
        <f t="shared" si="96"/>
        <v>0</v>
      </c>
      <c r="BN138" s="60">
        <f>ROUND(BM138*BL138*Input!$C$3/365,0)</f>
        <v>0</v>
      </c>
      <c r="BO138" s="61">
        <f>IF($A138&lt;=Input!$C$6,0,IF('180M'!BK138&lt;'180M'!BM138,'180M'!BK138-BN138,'180M'!BM138))</f>
        <v>0</v>
      </c>
      <c r="BP138" s="61">
        <f t="shared" si="97"/>
        <v>0</v>
      </c>
      <c r="BQ138" s="60">
        <f t="shared" si="98"/>
        <v>0</v>
      </c>
      <c r="BR138" s="198"/>
    </row>
    <row r="139" spans="1:70" x14ac:dyDescent="0.25">
      <c r="A139" s="169">
        <v>135</v>
      </c>
      <c r="B139" s="1">
        <f t="shared" si="99"/>
        <v>49628</v>
      </c>
      <c r="C139" s="60">
        <f t="shared" si="85"/>
        <v>33127052.878124986</v>
      </c>
      <c r="D139" s="60">
        <f t="shared" si="86"/>
        <v>29814347.590312488</v>
      </c>
      <c r="E139" s="60">
        <f t="shared" si="100"/>
        <v>31</v>
      </c>
      <c r="F139" s="60">
        <f t="shared" si="101"/>
        <v>1037864786.1498189</v>
      </c>
      <c r="G139" s="60">
        <f>ROUND(F139*E139*Input!$C$3/365,0)</f>
        <v>13222113</v>
      </c>
      <c r="H139" s="60">
        <f>IF($A139&lt;=Input!$C$6,0,IF('180M'!D139&lt;'180M'!F139,'180M'!D139-G139,'180M'!F139))</f>
        <v>16592234.590312488</v>
      </c>
      <c r="I139" s="60">
        <f t="shared" si="102"/>
        <v>29814347.590312488</v>
      </c>
      <c r="J139" s="60">
        <f t="shared" si="103"/>
        <v>1021272551.5595064</v>
      </c>
      <c r="K139" s="203">
        <f>J139/Input!$K$5</f>
        <v>3.4042418385316879</v>
      </c>
      <c r="L139" s="232"/>
      <c r="M139" s="60">
        <f>IF($B139&lt;Input!$H$43,IF($B139&lt;Input!$G$43,IF($B139&lt;Input!$F$43,IF($B139&lt;Input!$E$43,IF($B139&lt;Input!$D$43,Input!$C$49,Input!$D$49),Input!$E$49),Input!$F$49),Input!$G$49),Input!$H$49)</f>
        <v>33127052.878124986</v>
      </c>
      <c r="N139" s="190">
        <f>IF($A139&lt;Input!$H$50,IF($A139&lt;Input!$G$50,IF($A139&lt;Input!$F$50,IF($A139&lt;Input!$E$50,IF($A139&lt;Input!$D$50,Input!$C$51,Input!$D$51),Input!$E$51),Input!$F$51),Input!$G$51),Input!$H$51)</f>
        <v>0.9</v>
      </c>
      <c r="O139" s="60">
        <f t="shared" si="84"/>
        <v>29814347.590312488</v>
      </c>
      <c r="P139" s="60">
        <f t="shared" si="87"/>
        <v>31</v>
      </c>
      <c r="Q139" s="60">
        <f t="shared" si="88"/>
        <v>1037864786.1498189</v>
      </c>
      <c r="R139" s="60">
        <f>ROUND(Q139*$P139*Input!$C$3/365,0)</f>
        <v>13222113</v>
      </c>
      <c r="S139" s="60">
        <f>IF(A139&lt;=Input!$C$6,0,IF('180M'!O139&lt;'180M'!Q139,'180M'!O139-R139,'180M'!Q139))</f>
        <v>16592234.590312488</v>
      </c>
      <c r="T139" s="60">
        <f t="shared" si="89"/>
        <v>29814347.590312488</v>
      </c>
      <c r="U139" s="60">
        <f t="shared" si="90"/>
        <v>1021272551.5595064</v>
      </c>
      <c r="V139" s="193"/>
      <c r="W139" s="169">
        <v>135</v>
      </c>
      <c r="X139" s="1">
        <f t="shared" si="104"/>
        <v>49628</v>
      </c>
      <c r="Y139" s="60">
        <f>IF($X139&lt;Input!$H$58,IF($X139&lt;Input!$G$58,IF($X139&lt;Input!$F$58,IF($X139&lt;Input!$E$58,IF($X139&lt;Input!$D$58,Input!$C$64,Input!$D$64),Input!$E$64),Input!$F$64),Input!$G$64),Input!$H$64)</f>
        <v>0</v>
      </c>
      <c r="Z139" s="190">
        <f>IF($A139&lt;Input!$H$65,IF($A139&lt;Input!$G$65,IF($A139&lt;Input!$F$65,IF($A139&lt;Input!$E$65,IF($A139&lt;Input!$D$65,Input!$C$66,Input!$D$66),Input!$E$66),Input!$F$66),Input!$G$66),Input!$H$66)</f>
        <v>0.9</v>
      </c>
      <c r="AA139" s="60">
        <f t="shared" si="91"/>
        <v>0</v>
      </c>
      <c r="AB139" s="60">
        <f t="shared" si="105"/>
        <v>31</v>
      </c>
      <c r="AC139" s="60">
        <f t="shared" si="92"/>
        <v>0</v>
      </c>
      <c r="AD139" s="60">
        <f>ROUND(AC139*AB139*Input!$C$3/365,0)</f>
        <v>0</v>
      </c>
      <c r="AE139" s="61">
        <f>IF($A139&lt;=Input!$C$6,0,IF('180M'!AA139&lt;'180M'!AC139,'180M'!AA139-AD139,'180M'!AC139))</f>
        <v>0</v>
      </c>
      <c r="AF139" s="61">
        <f t="shared" si="93"/>
        <v>0</v>
      </c>
      <c r="AG139" s="60">
        <f t="shared" si="94"/>
        <v>0</v>
      </c>
      <c r="AH139" s="193"/>
      <c r="AI139" s="169">
        <v>135</v>
      </c>
      <c r="AJ139" s="1">
        <f t="shared" si="106"/>
        <v>49628</v>
      </c>
      <c r="AK139" s="60">
        <f>IF($X139&lt;Input!$H$73,IF($X139&lt;Input!$G$73,IF($X139&lt;Input!$F$73,IF($X139&lt;Input!$E$73,IF($X139&lt;Input!$D$73,Input!$C$79,Input!$D$79),Input!$E$79),Input!$F$79),Input!$G$79),Input!$H$79)</f>
        <v>0</v>
      </c>
      <c r="AL139" s="190">
        <f>IF($A139&lt;Input!$H$80,IF($A139&lt;Input!$G$80,IF($A139&lt;Input!$F$80,IF($A139&lt;Input!$E$80,IF($A139&lt;Input!$D$80,Input!$C$81,Input!$D$81),Input!$E$81),Input!$F$81),Input!$G$81),Input!$H$81)</f>
        <v>0.9</v>
      </c>
      <c r="AM139" s="60">
        <f t="shared" si="107"/>
        <v>0</v>
      </c>
      <c r="AN139" s="60">
        <f t="shared" si="108"/>
        <v>31</v>
      </c>
      <c r="AO139" s="60">
        <f t="shared" si="109"/>
        <v>0</v>
      </c>
      <c r="AP139" s="60">
        <f>ROUND(AO139*AN139*Input!$C$3/365,0)</f>
        <v>0</v>
      </c>
      <c r="AQ139" s="61">
        <f>IF($A139&lt;=Input!$C$6,0,IF('180M'!AM139&lt;'180M'!AO139,'180M'!AM139-AP139,'180M'!AO139))</f>
        <v>0</v>
      </c>
      <c r="AR139" s="61">
        <f t="shared" si="110"/>
        <v>0</v>
      </c>
      <c r="AS139" s="60">
        <f t="shared" si="111"/>
        <v>0</v>
      </c>
      <c r="AT139" s="193"/>
      <c r="AU139" s="169">
        <v>135</v>
      </c>
      <c r="AV139" s="1">
        <f t="shared" si="112"/>
        <v>49628</v>
      </c>
      <c r="AW139" s="60">
        <f>IF($X139&lt;Input!$H$88,IF($X139&lt;Input!$G$88,IF($X139&lt;Input!$F$88,IF($X139&lt;Input!$E$88,IF($X139&lt;Input!$D$88,Input!$C$94,Input!$D$94),Input!$E$94),Input!$F$94),Input!$G$94),Input!$H$94)</f>
        <v>0</v>
      </c>
      <c r="AX139" s="190">
        <f>IF($A139&lt;Input!$H$95,IF($A139&lt;Input!$G$95,IF($A139&lt;Input!$F$95,IF($A139&lt;Input!$E$95,IF($A139&lt;Input!$D$95,Input!$C$96,Input!$D$96),Input!$E$96),Input!$F$96),Input!$G$96),Input!$H$96)</f>
        <v>0.9</v>
      </c>
      <c r="AY139" s="60">
        <f t="shared" si="113"/>
        <v>0</v>
      </c>
      <c r="AZ139" s="60">
        <f t="shared" si="114"/>
        <v>31</v>
      </c>
      <c r="BA139" s="60">
        <f t="shared" si="115"/>
        <v>0</v>
      </c>
      <c r="BB139" s="60">
        <f>ROUND(BA139*AZ139*Input!$C$3/365,0)</f>
        <v>0</v>
      </c>
      <c r="BC139" s="61">
        <f>IF($A139&lt;=Input!$C$6,0,IF('180M'!AY139&lt;'180M'!BA139,'180M'!AY139-BB139,'180M'!BA139))</f>
        <v>0</v>
      </c>
      <c r="BD139" s="61">
        <f t="shared" si="116"/>
        <v>0</v>
      </c>
      <c r="BE139" s="60">
        <f t="shared" si="117"/>
        <v>0</v>
      </c>
      <c r="BF139" s="193"/>
      <c r="BG139" s="169">
        <v>135</v>
      </c>
      <c r="BH139" s="1">
        <f t="shared" si="118"/>
        <v>49628</v>
      </c>
      <c r="BI139" s="60">
        <f>IF($X139&lt;Input!$H$103,IF($X139&lt;Input!$G$103,IF($X139&lt;Input!$F$103,IF($X139&lt;Input!$E$103,IF($X139&lt;Input!$D$103,Input!$C$109,Input!$D$109),Input!$E$109),Input!$F$109),Input!$G$109),Input!$H$109)</f>
        <v>0</v>
      </c>
      <c r="BJ139" s="190">
        <f>IF($A139&lt;Input!$H$110,IF($A139&lt;Input!$G$110,IF($A139&lt;Input!$F$110,IF($A139&lt;Input!$E$110,IF($A139&lt;Input!$D$110,Input!$C$111,Input!$D$111),Input!$E$111),Input!$F$111),Input!$G$111),Input!$H$111)</f>
        <v>0.9</v>
      </c>
      <c r="BK139" s="60">
        <f t="shared" si="95"/>
        <v>0</v>
      </c>
      <c r="BL139" s="60">
        <f t="shared" si="119"/>
        <v>31</v>
      </c>
      <c r="BM139" s="60">
        <f t="shared" si="96"/>
        <v>0</v>
      </c>
      <c r="BN139" s="60">
        <f>ROUND(BM139*BL139*Input!$C$3/365,0)</f>
        <v>0</v>
      </c>
      <c r="BO139" s="61">
        <f>IF($A139&lt;=Input!$C$6,0,IF('180M'!BK139&lt;'180M'!BM139,'180M'!BK139-BN139,'180M'!BM139))</f>
        <v>0</v>
      </c>
      <c r="BP139" s="61">
        <f t="shared" si="97"/>
        <v>0</v>
      </c>
      <c r="BQ139" s="60">
        <f t="shared" si="98"/>
        <v>0</v>
      </c>
      <c r="BR139" s="198"/>
    </row>
    <row r="140" spans="1:70" x14ac:dyDescent="0.25">
      <c r="A140" s="169">
        <v>136</v>
      </c>
      <c r="B140" s="1">
        <f t="shared" si="99"/>
        <v>49658</v>
      </c>
      <c r="C140" s="60">
        <f t="shared" si="85"/>
        <v>33127052.878124986</v>
      </c>
      <c r="D140" s="60">
        <f t="shared" si="86"/>
        <v>29814347.590312488</v>
      </c>
      <c r="E140" s="60">
        <f t="shared" si="100"/>
        <v>30</v>
      </c>
      <c r="F140" s="60">
        <f t="shared" si="101"/>
        <v>1021272551.5595064</v>
      </c>
      <c r="G140" s="60">
        <f>ROUND(F140*E140*Input!$C$3/365,0)</f>
        <v>12591031</v>
      </c>
      <c r="H140" s="60">
        <f>IF($A140&lt;=Input!$C$6,0,IF('180M'!D140&lt;'180M'!F140,'180M'!D140-G140,'180M'!F140))</f>
        <v>17223316.590312488</v>
      </c>
      <c r="I140" s="60">
        <f t="shared" si="102"/>
        <v>29814347.590312488</v>
      </c>
      <c r="J140" s="60">
        <f t="shared" si="103"/>
        <v>1004049234.9691939</v>
      </c>
      <c r="K140" s="203">
        <f>J140/Input!$K$5</f>
        <v>3.3468307832306463</v>
      </c>
      <c r="L140" s="232"/>
      <c r="M140" s="60">
        <f>IF($B140&lt;Input!$H$43,IF($B140&lt;Input!$G$43,IF($B140&lt;Input!$F$43,IF($B140&lt;Input!$E$43,IF($B140&lt;Input!$D$43,Input!$C$49,Input!$D$49),Input!$E$49),Input!$F$49),Input!$G$49),Input!$H$49)</f>
        <v>33127052.878124986</v>
      </c>
      <c r="N140" s="190">
        <f>IF($A140&lt;Input!$H$50,IF($A140&lt;Input!$G$50,IF($A140&lt;Input!$F$50,IF($A140&lt;Input!$E$50,IF($A140&lt;Input!$D$50,Input!$C$51,Input!$D$51),Input!$E$51),Input!$F$51),Input!$G$51),Input!$H$51)</f>
        <v>0.9</v>
      </c>
      <c r="O140" s="60">
        <f t="shared" si="84"/>
        <v>29814347.590312488</v>
      </c>
      <c r="P140" s="60">
        <f t="shared" si="87"/>
        <v>30</v>
      </c>
      <c r="Q140" s="60">
        <f t="shared" si="88"/>
        <v>1021272551.5595064</v>
      </c>
      <c r="R140" s="60">
        <f>ROUND(Q140*$P140*Input!$C$3/365,0)</f>
        <v>12591031</v>
      </c>
      <c r="S140" s="60">
        <f>IF(A140&lt;=Input!$C$6,0,IF('180M'!O140&lt;'180M'!Q140,'180M'!O140-R140,'180M'!Q140))</f>
        <v>17223316.590312488</v>
      </c>
      <c r="T140" s="60">
        <f t="shared" si="89"/>
        <v>29814347.590312488</v>
      </c>
      <c r="U140" s="60">
        <f t="shared" si="90"/>
        <v>1004049234.9691939</v>
      </c>
      <c r="V140" s="193"/>
      <c r="W140" s="169">
        <v>136</v>
      </c>
      <c r="X140" s="1">
        <f t="shared" si="104"/>
        <v>49658</v>
      </c>
      <c r="Y140" s="60">
        <f>IF($X140&lt;Input!$H$58,IF($X140&lt;Input!$G$58,IF($X140&lt;Input!$F$58,IF($X140&lt;Input!$E$58,IF($X140&lt;Input!$D$58,Input!$C$64,Input!$D$64),Input!$E$64),Input!$F$64),Input!$G$64),Input!$H$64)</f>
        <v>0</v>
      </c>
      <c r="Z140" s="190">
        <f>IF($A140&lt;Input!$H$65,IF($A140&lt;Input!$G$65,IF($A140&lt;Input!$F$65,IF($A140&lt;Input!$E$65,IF($A140&lt;Input!$D$65,Input!$C$66,Input!$D$66),Input!$E$66),Input!$F$66),Input!$G$66),Input!$H$66)</f>
        <v>0.9</v>
      </c>
      <c r="AA140" s="60">
        <f t="shared" si="91"/>
        <v>0</v>
      </c>
      <c r="AB140" s="60">
        <f t="shared" si="105"/>
        <v>30</v>
      </c>
      <c r="AC140" s="60">
        <f t="shared" si="92"/>
        <v>0</v>
      </c>
      <c r="AD140" s="60">
        <f>ROUND(AC140*AB140*Input!$C$3/365,0)</f>
        <v>0</v>
      </c>
      <c r="AE140" s="61">
        <f>IF($A140&lt;=Input!$C$6,0,IF('180M'!AA140&lt;'180M'!AC140,'180M'!AA140-AD140,'180M'!AC140))</f>
        <v>0</v>
      </c>
      <c r="AF140" s="61">
        <f t="shared" si="93"/>
        <v>0</v>
      </c>
      <c r="AG140" s="60">
        <f t="shared" si="94"/>
        <v>0</v>
      </c>
      <c r="AH140" s="193"/>
      <c r="AI140" s="169">
        <v>136</v>
      </c>
      <c r="AJ140" s="1">
        <f t="shared" si="106"/>
        <v>49658</v>
      </c>
      <c r="AK140" s="60">
        <f>IF($X140&lt;Input!$H$73,IF($X140&lt;Input!$G$73,IF($X140&lt;Input!$F$73,IF($X140&lt;Input!$E$73,IF($X140&lt;Input!$D$73,Input!$C$79,Input!$D$79),Input!$E$79),Input!$F$79),Input!$G$79),Input!$H$79)</f>
        <v>0</v>
      </c>
      <c r="AL140" s="190">
        <f>IF($A140&lt;Input!$H$80,IF($A140&lt;Input!$G$80,IF($A140&lt;Input!$F$80,IF($A140&lt;Input!$E$80,IF($A140&lt;Input!$D$80,Input!$C$81,Input!$D$81),Input!$E$81),Input!$F$81),Input!$G$81),Input!$H$81)</f>
        <v>0.9</v>
      </c>
      <c r="AM140" s="60">
        <f t="shared" si="107"/>
        <v>0</v>
      </c>
      <c r="AN140" s="60">
        <f t="shared" si="108"/>
        <v>30</v>
      </c>
      <c r="AO140" s="60">
        <f t="shared" si="109"/>
        <v>0</v>
      </c>
      <c r="AP140" s="60">
        <f>ROUND(AO140*AN140*Input!$C$3/365,0)</f>
        <v>0</v>
      </c>
      <c r="AQ140" s="61">
        <f>IF($A140&lt;=Input!$C$6,0,IF('180M'!AM140&lt;'180M'!AO140,'180M'!AM140-AP140,'180M'!AO140))</f>
        <v>0</v>
      </c>
      <c r="AR140" s="61">
        <f t="shared" si="110"/>
        <v>0</v>
      </c>
      <c r="AS140" s="60">
        <f t="shared" si="111"/>
        <v>0</v>
      </c>
      <c r="AT140" s="193"/>
      <c r="AU140" s="169">
        <v>136</v>
      </c>
      <c r="AV140" s="1">
        <f t="shared" si="112"/>
        <v>49658</v>
      </c>
      <c r="AW140" s="60">
        <f>IF($X140&lt;Input!$H$88,IF($X140&lt;Input!$G$88,IF($X140&lt;Input!$F$88,IF($X140&lt;Input!$E$88,IF($X140&lt;Input!$D$88,Input!$C$94,Input!$D$94),Input!$E$94),Input!$F$94),Input!$G$94),Input!$H$94)</f>
        <v>0</v>
      </c>
      <c r="AX140" s="190">
        <f>IF($A140&lt;Input!$H$95,IF($A140&lt;Input!$G$95,IF($A140&lt;Input!$F$95,IF($A140&lt;Input!$E$95,IF($A140&lt;Input!$D$95,Input!$C$96,Input!$D$96),Input!$E$96),Input!$F$96),Input!$G$96),Input!$H$96)</f>
        <v>0.9</v>
      </c>
      <c r="AY140" s="60">
        <f t="shared" si="113"/>
        <v>0</v>
      </c>
      <c r="AZ140" s="60">
        <f t="shared" si="114"/>
        <v>30</v>
      </c>
      <c r="BA140" s="60">
        <f t="shared" si="115"/>
        <v>0</v>
      </c>
      <c r="BB140" s="60">
        <f>ROUND(BA140*AZ140*Input!$C$3/365,0)</f>
        <v>0</v>
      </c>
      <c r="BC140" s="61">
        <f>IF($A140&lt;=Input!$C$6,0,IF('180M'!AY140&lt;'180M'!BA140,'180M'!AY140-BB140,'180M'!BA140))</f>
        <v>0</v>
      </c>
      <c r="BD140" s="61">
        <f t="shared" si="116"/>
        <v>0</v>
      </c>
      <c r="BE140" s="60">
        <f t="shared" si="117"/>
        <v>0</v>
      </c>
      <c r="BF140" s="193"/>
      <c r="BG140" s="169">
        <v>136</v>
      </c>
      <c r="BH140" s="1">
        <f t="shared" si="118"/>
        <v>49658</v>
      </c>
      <c r="BI140" s="60">
        <f>IF($X140&lt;Input!$H$103,IF($X140&lt;Input!$G$103,IF($X140&lt;Input!$F$103,IF($X140&lt;Input!$E$103,IF($X140&lt;Input!$D$103,Input!$C$109,Input!$D$109),Input!$E$109),Input!$F$109),Input!$G$109),Input!$H$109)</f>
        <v>0</v>
      </c>
      <c r="BJ140" s="190">
        <f>IF($A140&lt;Input!$H$110,IF($A140&lt;Input!$G$110,IF($A140&lt;Input!$F$110,IF($A140&lt;Input!$E$110,IF($A140&lt;Input!$D$110,Input!$C$111,Input!$D$111),Input!$E$111),Input!$F$111),Input!$G$111),Input!$H$111)</f>
        <v>0.9</v>
      </c>
      <c r="BK140" s="60">
        <f t="shared" si="95"/>
        <v>0</v>
      </c>
      <c r="BL140" s="60">
        <f t="shared" si="119"/>
        <v>30</v>
      </c>
      <c r="BM140" s="60">
        <f t="shared" si="96"/>
        <v>0</v>
      </c>
      <c r="BN140" s="60">
        <f>ROUND(BM140*BL140*Input!$C$3/365,0)</f>
        <v>0</v>
      </c>
      <c r="BO140" s="61">
        <f>IF($A140&lt;=Input!$C$6,0,IF('180M'!BK140&lt;'180M'!BM140,'180M'!BK140-BN140,'180M'!BM140))</f>
        <v>0</v>
      </c>
      <c r="BP140" s="61">
        <f t="shared" si="97"/>
        <v>0</v>
      </c>
      <c r="BQ140" s="60">
        <f t="shared" si="98"/>
        <v>0</v>
      </c>
      <c r="BR140" s="198"/>
    </row>
    <row r="141" spans="1:70" x14ac:dyDescent="0.25">
      <c r="A141" s="169">
        <v>137</v>
      </c>
      <c r="B141" s="1">
        <f t="shared" si="99"/>
        <v>49689</v>
      </c>
      <c r="C141" s="60">
        <f t="shared" si="85"/>
        <v>33127052.878124986</v>
      </c>
      <c r="D141" s="60">
        <f t="shared" si="86"/>
        <v>29814347.590312488</v>
      </c>
      <c r="E141" s="60">
        <f t="shared" si="100"/>
        <v>31</v>
      </c>
      <c r="F141" s="60">
        <f t="shared" si="101"/>
        <v>1004049234.9691939</v>
      </c>
      <c r="G141" s="60">
        <f>ROUND(F141*E141*Input!$C$3/365,0)</f>
        <v>12791312</v>
      </c>
      <c r="H141" s="60">
        <f>IF($A141&lt;=Input!$C$6,0,IF('180M'!D141&lt;'180M'!F141,'180M'!D141-G141,'180M'!F141))</f>
        <v>17023035.590312488</v>
      </c>
      <c r="I141" s="60">
        <f t="shared" si="102"/>
        <v>29814347.590312488</v>
      </c>
      <c r="J141" s="60">
        <f t="shared" si="103"/>
        <v>987026199.37888145</v>
      </c>
      <c r="K141" s="203">
        <f>J141/Input!$K$5</f>
        <v>3.2900873312629382</v>
      </c>
      <c r="L141" s="232"/>
      <c r="M141" s="60">
        <f>IF($B141&lt;Input!$H$43,IF($B141&lt;Input!$G$43,IF($B141&lt;Input!$F$43,IF($B141&lt;Input!$E$43,IF($B141&lt;Input!$D$43,Input!$C$49,Input!$D$49),Input!$E$49),Input!$F$49),Input!$G$49),Input!$H$49)</f>
        <v>33127052.878124986</v>
      </c>
      <c r="N141" s="190">
        <f>IF($A141&lt;Input!$H$50,IF($A141&lt;Input!$G$50,IF($A141&lt;Input!$F$50,IF($A141&lt;Input!$E$50,IF($A141&lt;Input!$D$50,Input!$C$51,Input!$D$51),Input!$E$51),Input!$F$51),Input!$G$51),Input!$H$51)</f>
        <v>0.9</v>
      </c>
      <c r="O141" s="60">
        <f t="shared" si="84"/>
        <v>29814347.590312488</v>
      </c>
      <c r="P141" s="60">
        <f t="shared" si="87"/>
        <v>31</v>
      </c>
      <c r="Q141" s="60">
        <f t="shared" si="88"/>
        <v>1004049234.9691939</v>
      </c>
      <c r="R141" s="60">
        <f>ROUND(Q141*$P141*Input!$C$3/365,0)</f>
        <v>12791312</v>
      </c>
      <c r="S141" s="60">
        <f>IF(A141&lt;=Input!$C$6,0,IF('180M'!O141&lt;'180M'!Q141,'180M'!O141-R141,'180M'!Q141))</f>
        <v>17023035.590312488</v>
      </c>
      <c r="T141" s="60">
        <f t="shared" si="89"/>
        <v>29814347.590312488</v>
      </c>
      <c r="U141" s="60">
        <f t="shared" si="90"/>
        <v>987026199.37888145</v>
      </c>
      <c r="V141" s="193"/>
      <c r="W141" s="169">
        <v>137</v>
      </c>
      <c r="X141" s="1">
        <f t="shared" si="104"/>
        <v>49689</v>
      </c>
      <c r="Y141" s="60">
        <f>IF($X141&lt;Input!$H$58,IF($X141&lt;Input!$G$58,IF($X141&lt;Input!$F$58,IF($X141&lt;Input!$E$58,IF($X141&lt;Input!$D$58,Input!$C$64,Input!$D$64),Input!$E$64),Input!$F$64),Input!$G$64),Input!$H$64)</f>
        <v>0</v>
      </c>
      <c r="Z141" s="190">
        <f>IF($A141&lt;Input!$H$65,IF($A141&lt;Input!$G$65,IF($A141&lt;Input!$F$65,IF($A141&lt;Input!$E$65,IF($A141&lt;Input!$D$65,Input!$C$66,Input!$D$66),Input!$E$66),Input!$F$66),Input!$G$66),Input!$H$66)</f>
        <v>0.9</v>
      </c>
      <c r="AA141" s="60">
        <f t="shared" si="91"/>
        <v>0</v>
      </c>
      <c r="AB141" s="60">
        <f t="shared" si="105"/>
        <v>31</v>
      </c>
      <c r="AC141" s="60">
        <f t="shared" si="92"/>
        <v>0</v>
      </c>
      <c r="AD141" s="60">
        <f>ROUND(AC141*AB141*Input!$C$3/365,0)</f>
        <v>0</v>
      </c>
      <c r="AE141" s="61">
        <f>IF($A141&lt;=Input!$C$6,0,IF('180M'!AA141&lt;'180M'!AC141,'180M'!AA141-AD141,'180M'!AC141))</f>
        <v>0</v>
      </c>
      <c r="AF141" s="61">
        <f t="shared" si="93"/>
        <v>0</v>
      </c>
      <c r="AG141" s="60">
        <f t="shared" si="94"/>
        <v>0</v>
      </c>
      <c r="AH141" s="193"/>
      <c r="AI141" s="169">
        <v>137</v>
      </c>
      <c r="AJ141" s="1">
        <f t="shared" si="106"/>
        <v>49689</v>
      </c>
      <c r="AK141" s="60">
        <f>IF($X141&lt;Input!$H$73,IF($X141&lt;Input!$G$73,IF($X141&lt;Input!$F$73,IF($X141&lt;Input!$E$73,IF($X141&lt;Input!$D$73,Input!$C$79,Input!$D$79),Input!$E$79),Input!$F$79),Input!$G$79),Input!$H$79)</f>
        <v>0</v>
      </c>
      <c r="AL141" s="190">
        <f>IF($A141&lt;Input!$H$80,IF($A141&lt;Input!$G$80,IF($A141&lt;Input!$F$80,IF($A141&lt;Input!$E$80,IF($A141&lt;Input!$D$80,Input!$C$81,Input!$D$81),Input!$E$81),Input!$F$81),Input!$G$81),Input!$H$81)</f>
        <v>0.9</v>
      </c>
      <c r="AM141" s="60">
        <f t="shared" si="107"/>
        <v>0</v>
      </c>
      <c r="AN141" s="60">
        <f t="shared" si="108"/>
        <v>31</v>
      </c>
      <c r="AO141" s="60">
        <f t="shared" si="109"/>
        <v>0</v>
      </c>
      <c r="AP141" s="60">
        <f>ROUND(AO141*AN141*Input!$C$3/365,0)</f>
        <v>0</v>
      </c>
      <c r="AQ141" s="61">
        <f>IF($A141&lt;=Input!$C$6,0,IF('180M'!AM141&lt;'180M'!AO141,'180M'!AM141-AP141,'180M'!AO141))</f>
        <v>0</v>
      </c>
      <c r="AR141" s="61">
        <f t="shared" si="110"/>
        <v>0</v>
      </c>
      <c r="AS141" s="60">
        <f t="shared" si="111"/>
        <v>0</v>
      </c>
      <c r="AT141" s="193"/>
      <c r="AU141" s="169">
        <v>137</v>
      </c>
      <c r="AV141" s="1">
        <f t="shared" si="112"/>
        <v>49689</v>
      </c>
      <c r="AW141" s="60">
        <f>IF($X141&lt;Input!$H$88,IF($X141&lt;Input!$G$88,IF($X141&lt;Input!$F$88,IF($X141&lt;Input!$E$88,IF($X141&lt;Input!$D$88,Input!$C$94,Input!$D$94),Input!$E$94),Input!$F$94),Input!$G$94),Input!$H$94)</f>
        <v>0</v>
      </c>
      <c r="AX141" s="190">
        <f>IF($A141&lt;Input!$H$95,IF($A141&lt;Input!$G$95,IF($A141&lt;Input!$F$95,IF($A141&lt;Input!$E$95,IF($A141&lt;Input!$D$95,Input!$C$96,Input!$D$96),Input!$E$96),Input!$F$96),Input!$G$96),Input!$H$96)</f>
        <v>0.9</v>
      </c>
      <c r="AY141" s="60">
        <f t="shared" si="113"/>
        <v>0</v>
      </c>
      <c r="AZ141" s="60">
        <f t="shared" si="114"/>
        <v>31</v>
      </c>
      <c r="BA141" s="60">
        <f t="shared" si="115"/>
        <v>0</v>
      </c>
      <c r="BB141" s="60">
        <f>ROUND(BA141*AZ141*Input!$C$3/365,0)</f>
        <v>0</v>
      </c>
      <c r="BC141" s="61">
        <f>IF($A141&lt;=Input!$C$6,0,IF('180M'!AY141&lt;'180M'!BA141,'180M'!AY141-BB141,'180M'!BA141))</f>
        <v>0</v>
      </c>
      <c r="BD141" s="61">
        <f t="shared" si="116"/>
        <v>0</v>
      </c>
      <c r="BE141" s="60">
        <f t="shared" si="117"/>
        <v>0</v>
      </c>
      <c r="BF141" s="193"/>
      <c r="BG141" s="169">
        <v>137</v>
      </c>
      <c r="BH141" s="1">
        <f t="shared" si="118"/>
        <v>49689</v>
      </c>
      <c r="BI141" s="60">
        <f>IF($X141&lt;Input!$H$103,IF($X141&lt;Input!$G$103,IF($X141&lt;Input!$F$103,IF($X141&lt;Input!$E$103,IF($X141&lt;Input!$D$103,Input!$C$109,Input!$D$109),Input!$E$109),Input!$F$109),Input!$G$109),Input!$H$109)</f>
        <v>0</v>
      </c>
      <c r="BJ141" s="190">
        <f>IF($A141&lt;Input!$H$110,IF($A141&lt;Input!$G$110,IF($A141&lt;Input!$F$110,IF($A141&lt;Input!$E$110,IF($A141&lt;Input!$D$110,Input!$C$111,Input!$D$111),Input!$E$111),Input!$F$111),Input!$G$111),Input!$H$111)</f>
        <v>0.9</v>
      </c>
      <c r="BK141" s="60">
        <f t="shared" si="95"/>
        <v>0</v>
      </c>
      <c r="BL141" s="60">
        <f t="shared" si="119"/>
        <v>31</v>
      </c>
      <c r="BM141" s="60">
        <f t="shared" si="96"/>
        <v>0</v>
      </c>
      <c r="BN141" s="60">
        <f>ROUND(BM141*BL141*Input!$C$3/365,0)</f>
        <v>0</v>
      </c>
      <c r="BO141" s="61">
        <f>IF($A141&lt;=Input!$C$6,0,IF('180M'!BK141&lt;'180M'!BM141,'180M'!BK141-BN141,'180M'!BM141))</f>
        <v>0</v>
      </c>
      <c r="BP141" s="61">
        <f t="shared" si="97"/>
        <v>0</v>
      </c>
      <c r="BQ141" s="60">
        <f t="shared" si="98"/>
        <v>0</v>
      </c>
      <c r="BR141" s="198"/>
    </row>
    <row r="142" spans="1:70" x14ac:dyDescent="0.25">
      <c r="A142" s="169">
        <v>138</v>
      </c>
      <c r="B142" s="1">
        <f t="shared" si="99"/>
        <v>49720</v>
      </c>
      <c r="C142" s="60">
        <f t="shared" si="85"/>
        <v>33127052.878124986</v>
      </c>
      <c r="D142" s="60">
        <f t="shared" si="86"/>
        <v>29814347.590312488</v>
      </c>
      <c r="E142" s="60">
        <f t="shared" si="100"/>
        <v>31</v>
      </c>
      <c r="F142" s="60">
        <f t="shared" si="101"/>
        <v>987026199.37888145</v>
      </c>
      <c r="G142" s="60">
        <f>ROUND(F142*E142*Input!$C$3/365,0)</f>
        <v>12574443</v>
      </c>
      <c r="H142" s="60">
        <f>IF($A142&lt;=Input!$C$6,0,IF('180M'!D142&lt;'180M'!F142,'180M'!D142-G142,'180M'!F142))</f>
        <v>17239904.590312488</v>
      </c>
      <c r="I142" s="60">
        <f t="shared" si="102"/>
        <v>29814347.590312488</v>
      </c>
      <c r="J142" s="60">
        <f t="shared" si="103"/>
        <v>969786294.78856897</v>
      </c>
      <c r="K142" s="203">
        <f>J142/Input!$K$5</f>
        <v>3.2326209826285632</v>
      </c>
      <c r="L142" s="232"/>
      <c r="M142" s="60">
        <f>IF($B142&lt;Input!$H$43,IF($B142&lt;Input!$G$43,IF($B142&lt;Input!$F$43,IF($B142&lt;Input!$E$43,IF($B142&lt;Input!$D$43,Input!$C$49,Input!$D$49),Input!$E$49),Input!$F$49),Input!$G$49),Input!$H$49)</f>
        <v>33127052.878124986</v>
      </c>
      <c r="N142" s="190">
        <f>IF($A142&lt;Input!$H$50,IF($A142&lt;Input!$G$50,IF($A142&lt;Input!$F$50,IF($A142&lt;Input!$E$50,IF($A142&lt;Input!$D$50,Input!$C$51,Input!$D$51),Input!$E$51),Input!$F$51),Input!$G$51),Input!$H$51)</f>
        <v>0.9</v>
      </c>
      <c r="O142" s="60">
        <f t="shared" si="84"/>
        <v>29814347.590312488</v>
      </c>
      <c r="P142" s="60">
        <f t="shared" si="87"/>
        <v>31</v>
      </c>
      <c r="Q142" s="60">
        <f t="shared" si="88"/>
        <v>987026199.37888145</v>
      </c>
      <c r="R142" s="60">
        <f>ROUND(Q142*$P142*Input!$C$3/365,0)</f>
        <v>12574443</v>
      </c>
      <c r="S142" s="60">
        <f>IF(A142&lt;=Input!$C$6,0,IF('180M'!O142&lt;'180M'!Q142,'180M'!O142-R142,'180M'!Q142))</f>
        <v>17239904.590312488</v>
      </c>
      <c r="T142" s="60">
        <f t="shared" si="89"/>
        <v>29814347.590312488</v>
      </c>
      <c r="U142" s="60">
        <f t="shared" si="90"/>
        <v>969786294.78856897</v>
      </c>
      <c r="V142" s="193"/>
      <c r="W142" s="169">
        <v>138</v>
      </c>
      <c r="X142" s="1">
        <f t="shared" si="104"/>
        <v>49720</v>
      </c>
      <c r="Y142" s="60">
        <f>IF($X142&lt;Input!$H$58,IF($X142&lt;Input!$G$58,IF($X142&lt;Input!$F$58,IF($X142&lt;Input!$E$58,IF($X142&lt;Input!$D$58,Input!$C$64,Input!$D$64),Input!$E$64),Input!$F$64),Input!$G$64),Input!$H$64)</f>
        <v>0</v>
      </c>
      <c r="Z142" s="190">
        <f>IF($A142&lt;Input!$H$65,IF($A142&lt;Input!$G$65,IF($A142&lt;Input!$F$65,IF($A142&lt;Input!$E$65,IF($A142&lt;Input!$D$65,Input!$C$66,Input!$D$66),Input!$E$66),Input!$F$66),Input!$G$66),Input!$H$66)</f>
        <v>0.9</v>
      </c>
      <c r="AA142" s="60">
        <f t="shared" si="91"/>
        <v>0</v>
      </c>
      <c r="AB142" s="60">
        <f t="shared" si="105"/>
        <v>31</v>
      </c>
      <c r="AC142" s="60">
        <f t="shared" si="92"/>
        <v>0</v>
      </c>
      <c r="AD142" s="60">
        <f>ROUND(AC142*AB142*Input!$C$3/365,0)</f>
        <v>0</v>
      </c>
      <c r="AE142" s="61">
        <f>IF($A142&lt;=Input!$C$6,0,IF('180M'!AA142&lt;'180M'!AC142,'180M'!AA142-AD142,'180M'!AC142))</f>
        <v>0</v>
      </c>
      <c r="AF142" s="61">
        <f t="shared" si="93"/>
        <v>0</v>
      </c>
      <c r="AG142" s="60">
        <f t="shared" si="94"/>
        <v>0</v>
      </c>
      <c r="AH142" s="193"/>
      <c r="AI142" s="169">
        <v>138</v>
      </c>
      <c r="AJ142" s="1">
        <f t="shared" si="106"/>
        <v>49720</v>
      </c>
      <c r="AK142" s="60">
        <f>IF($X142&lt;Input!$H$73,IF($X142&lt;Input!$G$73,IF($X142&lt;Input!$F$73,IF($X142&lt;Input!$E$73,IF($X142&lt;Input!$D$73,Input!$C$79,Input!$D$79),Input!$E$79),Input!$F$79),Input!$G$79),Input!$H$79)</f>
        <v>0</v>
      </c>
      <c r="AL142" s="190">
        <f>IF($A142&lt;Input!$H$80,IF($A142&lt;Input!$G$80,IF($A142&lt;Input!$F$80,IF($A142&lt;Input!$E$80,IF($A142&lt;Input!$D$80,Input!$C$81,Input!$D$81),Input!$E$81),Input!$F$81),Input!$G$81),Input!$H$81)</f>
        <v>0.9</v>
      </c>
      <c r="AM142" s="60">
        <f t="shared" si="107"/>
        <v>0</v>
      </c>
      <c r="AN142" s="60">
        <f t="shared" si="108"/>
        <v>31</v>
      </c>
      <c r="AO142" s="60">
        <f t="shared" si="109"/>
        <v>0</v>
      </c>
      <c r="AP142" s="60">
        <f>ROUND(AO142*AN142*Input!$C$3/365,0)</f>
        <v>0</v>
      </c>
      <c r="AQ142" s="61">
        <f>IF($A142&lt;=Input!$C$6,0,IF('180M'!AM142&lt;'180M'!AO142,'180M'!AM142-AP142,'180M'!AO142))</f>
        <v>0</v>
      </c>
      <c r="AR142" s="61">
        <f t="shared" si="110"/>
        <v>0</v>
      </c>
      <c r="AS142" s="60">
        <f t="shared" si="111"/>
        <v>0</v>
      </c>
      <c r="AT142" s="193"/>
      <c r="AU142" s="169">
        <v>138</v>
      </c>
      <c r="AV142" s="1">
        <f t="shared" si="112"/>
        <v>49720</v>
      </c>
      <c r="AW142" s="60">
        <f>IF($X142&lt;Input!$H$88,IF($X142&lt;Input!$G$88,IF($X142&lt;Input!$F$88,IF($X142&lt;Input!$E$88,IF($X142&lt;Input!$D$88,Input!$C$94,Input!$D$94),Input!$E$94),Input!$F$94),Input!$G$94),Input!$H$94)</f>
        <v>0</v>
      </c>
      <c r="AX142" s="190">
        <f>IF($A142&lt;Input!$H$95,IF($A142&lt;Input!$G$95,IF($A142&lt;Input!$F$95,IF($A142&lt;Input!$E$95,IF($A142&lt;Input!$D$95,Input!$C$96,Input!$D$96),Input!$E$96),Input!$F$96),Input!$G$96),Input!$H$96)</f>
        <v>0.9</v>
      </c>
      <c r="AY142" s="60">
        <f t="shared" si="113"/>
        <v>0</v>
      </c>
      <c r="AZ142" s="60">
        <f t="shared" si="114"/>
        <v>31</v>
      </c>
      <c r="BA142" s="60">
        <f t="shared" si="115"/>
        <v>0</v>
      </c>
      <c r="BB142" s="60">
        <f>ROUND(BA142*AZ142*Input!$C$3/365,0)</f>
        <v>0</v>
      </c>
      <c r="BC142" s="61">
        <f>IF($A142&lt;=Input!$C$6,0,IF('180M'!AY142&lt;'180M'!BA142,'180M'!AY142-BB142,'180M'!BA142))</f>
        <v>0</v>
      </c>
      <c r="BD142" s="61">
        <f t="shared" si="116"/>
        <v>0</v>
      </c>
      <c r="BE142" s="60">
        <f t="shared" si="117"/>
        <v>0</v>
      </c>
      <c r="BF142" s="193"/>
      <c r="BG142" s="169">
        <v>138</v>
      </c>
      <c r="BH142" s="1">
        <f t="shared" si="118"/>
        <v>49720</v>
      </c>
      <c r="BI142" s="60">
        <f>IF($X142&lt;Input!$H$103,IF($X142&lt;Input!$G$103,IF($X142&lt;Input!$F$103,IF($X142&lt;Input!$E$103,IF($X142&lt;Input!$D$103,Input!$C$109,Input!$D$109),Input!$E$109),Input!$F$109),Input!$G$109),Input!$H$109)</f>
        <v>0</v>
      </c>
      <c r="BJ142" s="190">
        <f>IF($A142&lt;Input!$H$110,IF($A142&lt;Input!$G$110,IF($A142&lt;Input!$F$110,IF($A142&lt;Input!$E$110,IF($A142&lt;Input!$D$110,Input!$C$111,Input!$D$111),Input!$E$111),Input!$F$111),Input!$G$111),Input!$H$111)</f>
        <v>0.9</v>
      </c>
      <c r="BK142" s="60">
        <f t="shared" si="95"/>
        <v>0</v>
      </c>
      <c r="BL142" s="60">
        <f t="shared" si="119"/>
        <v>31</v>
      </c>
      <c r="BM142" s="60">
        <f t="shared" si="96"/>
        <v>0</v>
      </c>
      <c r="BN142" s="60">
        <f>ROUND(BM142*BL142*Input!$C$3/365,0)</f>
        <v>0</v>
      </c>
      <c r="BO142" s="61">
        <f>IF($A142&lt;=Input!$C$6,0,IF('180M'!BK142&lt;'180M'!BM142,'180M'!BK142-BN142,'180M'!BM142))</f>
        <v>0</v>
      </c>
      <c r="BP142" s="61">
        <f t="shared" si="97"/>
        <v>0</v>
      </c>
      <c r="BQ142" s="60">
        <f t="shared" si="98"/>
        <v>0</v>
      </c>
      <c r="BR142" s="198"/>
    </row>
    <row r="143" spans="1:70" x14ac:dyDescent="0.25">
      <c r="A143" s="169">
        <v>139</v>
      </c>
      <c r="B143" s="1">
        <f t="shared" si="99"/>
        <v>49749</v>
      </c>
      <c r="C143" s="60">
        <f t="shared" si="85"/>
        <v>33127052.878124986</v>
      </c>
      <c r="D143" s="60">
        <f t="shared" si="86"/>
        <v>29814347.590312488</v>
      </c>
      <c r="E143" s="60">
        <f t="shared" si="100"/>
        <v>29</v>
      </c>
      <c r="F143" s="60">
        <f t="shared" si="101"/>
        <v>969786294.78856897</v>
      </c>
      <c r="G143" s="60">
        <f>ROUND(F143*E143*Input!$C$3/365,0)</f>
        <v>11557727</v>
      </c>
      <c r="H143" s="60">
        <f>IF($A143&lt;=Input!$C$6,0,IF('180M'!D143&lt;'180M'!F143,'180M'!D143-G143,'180M'!F143))</f>
        <v>18256620.590312488</v>
      </c>
      <c r="I143" s="60">
        <f t="shared" si="102"/>
        <v>29814347.590312488</v>
      </c>
      <c r="J143" s="60">
        <f t="shared" si="103"/>
        <v>951529674.19825649</v>
      </c>
      <c r="K143" s="203">
        <f>J143/Input!$K$5</f>
        <v>3.1717655806608551</v>
      </c>
      <c r="L143" s="232"/>
      <c r="M143" s="60">
        <f>IF($B143&lt;Input!$H$43,IF($B143&lt;Input!$G$43,IF($B143&lt;Input!$F$43,IF($B143&lt;Input!$E$43,IF($B143&lt;Input!$D$43,Input!$C$49,Input!$D$49),Input!$E$49),Input!$F$49),Input!$G$49),Input!$H$49)</f>
        <v>33127052.878124986</v>
      </c>
      <c r="N143" s="190">
        <f>IF($A143&lt;Input!$H$50,IF($A143&lt;Input!$G$50,IF($A143&lt;Input!$F$50,IF($A143&lt;Input!$E$50,IF($A143&lt;Input!$D$50,Input!$C$51,Input!$D$51),Input!$E$51),Input!$F$51),Input!$G$51),Input!$H$51)</f>
        <v>0.9</v>
      </c>
      <c r="O143" s="60">
        <f t="shared" si="84"/>
        <v>29814347.590312488</v>
      </c>
      <c r="P143" s="60">
        <f t="shared" si="87"/>
        <v>29</v>
      </c>
      <c r="Q143" s="60">
        <f t="shared" si="88"/>
        <v>969786294.78856897</v>
      </c>
      <c r="R143" s="60">
        <f>ROUND(Q143*$P143*Input!$C$3/365,0)</f>
        <v>11557727</v>
      </c>
      <c r="S143" s="60">
        <f>IF(A143&lt;=Input!$C$6,0,IF('180M'!O143&lt;'180M'!Q143,'180M'!O143-R143,'180M'!Q143))</f>
        <v>18256620.590312488</v>
      </c>
      <c r="T143" s="60">
        <f t="shared" si="89"/>
        <v>29814347.590312488</v>
      </c>
      <c r="U143" s="60">
        <f t="shared" si="90"/>
        <v>951529674.19825649</v>
      </c>
      <c r="V143" s="193"/>
      <c r="W143" s="169">
        <v>139</v>
      </c>
      <c r="X143" s="1">
        <f t="shared" si="104"/>
        <v>49749</v>
      </c>
      <c r="Y143" s="60">
        <f>IF($X143&lt;Input!$H$58,IF($X143&lt;Input!$G$58,IF($X143&lt;Input!$F$58,IF($X143&lt;Input!$E$58,IF($X143&lt;Input!$D$58,Input!$C$64,Input!$D$64),Input!$E$64),Input!$F$64),Input!$G$64),Input!$H$64)</f>
        <v>0</v>
      </c>
      <c r="Z143" s="190">
        <f>IF($A143&lt;Input!$H$65,IF($A143&lt;Input!$G$65,IF($A143&lt;Input!$F$65,IF($A143&lt;Input!$E$65,IF($A143&lt;Input!$D$65,Input!$C$66,Input!$D$66),Input!$E$66),Input!$F$66),Input!$G$66),Input!$H$66)</f>
        <v>0.9</v>
      </c>
      <c r="AA143" s="60">
        <f t="shared" si="91"/>
        <v>0</v>
      </c>
      <c r="AB143" s="60">
        <f t="shared" si="105"/>
        <v>29</v>
      </c>
      <c r="AC143" s="60">
        <f t="shared" si="92"/>
        <v>0</v>
      </c>
      <c r="AD143" s="60">
        <f>ROUND(AC143*AB143*Input!$C$3/365,0)</f>
        <v>0</v>
      </c>
      <c r="AE143" s="61">
        <f>IF($A143&lt;=Input!$C$6,0,IF('180M'!AA143&lt;'180M'!AC143,'180M'!AA143-AD143,'180M'!AC143))</f>
        <v>0</v>
      </c>
      <c r="AF143" s="61">
        <f t="shared" si="93"/>
        <v>0</v>
      </c>
      <c r="AG143" s="60">
        <f t="shared" si="94"/>
        <v>0</v>
      </c>
      <c r="AH143" s="193"/>
      <c r="AI143" s="169">
        <v>139</v>
      </c>
      <c r="AJ143" s="1">
        <f t="shared" si="106"/>
        <v>49749</v>
      </c>
      <c r="AK143" s="60">
        <f>IF($X143&lt;Input!$H$73,IF($X143&lt;Input!$G$73,IF($X143&lt;Input!$F$73,IF($X143&lt;Input!$E$73,IF($X143&lt;Input!$D$73,Input!$C$79,Input!$D$79),Input!$E$79),Input!$F$79),Input!$G$79),Input!$H$79)</f>
        <v>0</v>
      </c>
      <c r="AL143" s="190">
        <f>IF($A143&lt;Input!$H$80,IF($A143&lt;Input!$G$80,IF($A143&lt;Input!$F$80,IF($A143&lt;Input!$E$80,IF($A143&lt;Input!$D$80,Input!$C$81,Input!$D$81),Input!$E$81),Input!$F$81),Input!$G$81),Input!$H$81)</f>
        <v>0.9</v>
      </c>
      <c r="AM143" s="60">
        <f t="shared" si="107"/>
        <v>0</v>
      </c>
      <c r="AN143" s="60">
        <f t="shared" si="108"/>
        <v>29</v>
      </c>
      <c r="AO143" s="60">
        <f t="shared" si="109"/>
        <v>0</v>
      </c>
      <c r="AP143" s="60">
        <f>ROUND(AO143*AN143*Input!$C$3/365,0)</f>
        <v>0</v>
      </c>
      <c r="AQ143" s="61">
        <f>IF($A143&lt;=Input!$C$6,0,IF('180M'!AM143&lt;'180M'!AO143,'180M'!AM143-AP143,'180M'!AO143))</f>
        <v>0</v>
      </c>
      <c r="AR143" s="61">
        <f t="shared" si="110"/>
        <v>0</v>
      </c>
      <c r="AS143" s="60">
        <f t="shared" si="111"/>
        <v>0</v>
      </c>
      <c r="AT143" s="193"/>
      <c r="AU143" s="169">
        <v>139</v>
      </c>
      <c r="AV143" s="1">
        <f t="shared" si="112"/>
        <v>49749</v>
      </c>
      <c r="AW143" s="60">
        <f>IF($X143&lt;Input!$H$88,IF($X143&lt;Input!$G$88,IF($X143&lt;Input!$F$88,IF($X143&lt;Input!$E$88,IF($X143&lt;Input!$D$88,Input!$C$94,Input!$D$94),Input!$E$94),Input!$F$94),Input!$G$94),Input!$H$94)</f>
        <v>0</v>
      </c>
      <c r="AX143" s="190">
        <f>IF($A143&lt;Input!$H$95,IF($A143&lt;Input!$G$95,IF($A143&lt;Input!$F$95,IF($A143&lt;Input!$E$95,IF($A143&lt;Input!$D$95,Input!$C$96,Input!$D$96),Input!$E$96),Input!$F$96),Input!$G$96),Input!$H$96)</f>
        <v>0.9</v>
      </c>
      <c r="AY143" s="60">
        <f t="shared" si="113"/>
        <v>0</v>
      </c>
      <c r="AZ143" s="60">
        <f t="shared" si="114"/>
        <v>29</v>
      </c>
      <c r="BA143" s="60">
        <f t="shared" si="115"/>
        <v>0</v>
      </c>
      <c r="BB143" s="60">
        <f>ROUND(BA143*AZ143*Input!$C$3/365,0)</f>
        <v>0</v>
      </c>
      <c r="BC143" s="61">
        <f>IF($A143&lt;=Input!$C$6,0,IF('180M'!AY143&lt;'180M'!BA143,'180M'!AY143-BB143,'180M'!BA143))</f>
        <v>0</v>
      </c>
      <c r="BD143" s="61">
        <f t="shared" si="116"/>
        <v>0</v>
      </c>
      <c r="BE143" s="60">
        <f t="shared" si="117"/>
        <v>0</v>
      </c>
      <c r="BF143" s="193"/>
      <c r="BG143" s="169">
        <v>139</v>
      </c>
      <c r="BH143" s="1">
        <f t="shared" si="118"/>
        <v>49749</v>
      </c>
      <c r="BI143" s="60">
        <f>IF($X143&lt;Input!$H$103,IF($X143&lt;Input!$G$103,IF($X143&lt;Input!$F$103,IF($X143&lt;Input!$E$103,IF($X143&lt;Input!$D$103,Input!$C$109,Input!$D$109),Input!$E$109),Input!$F$109),Input!$G$109),Input!$H$109)</f>
        <v>0</v>
      </c>
      <c r="BJ143" s="190">
        <f>IF($A143&lt;Input!$H$110,IF($A143&lt;Input!$G$110,IF($A143&lt;Input!$F$110,IF($A143&lt;Input!$E$110,IF($A143&lt;Input!$D$110,Input!$C$111,Input!$D$111),Input!$E$111),Input!$F$111),Input!$G$111),Input!$H$111)</f>
        <v>0.9</v>
      </c>
      <c r="BK143" s="60">
        <f t="shared" si="95"/>
        <v>0</v>
      </c>
      <c r="BL143" s="60">
        <f t="shared" si="119"/>
        <v>29</v>
      </c>
      <c r="BM143" s="60">
        <f t="shared" si="96"/>
        <v>0</v>
      </c>
      <c r="BN143" s="60">
        <f>ROUND(BM143*BL143*Input!$C$3/365,0)</f>
        <v>0</v>
      </c>
      <c r="BO143" s="61">
        <f>IF($A143&lt;=Input!$C$6,0,IF('180M'!BK143&lt;'180M'!BM143,'180M'!BK143-BN143,'180M'!BM143))</f>
        <v>0</v>
      </c>
      <c r="BP143" s="61">
        <f t="shared" si="97"/>
        <v>0</v>
      </c>
      <c r="BQ143" s="60">
        <f t="shared" si="98"/>
        <v>0</v>
      </c>
      <c r="BR143" s="198"/>
    </row>
    <row r="144" spans="1:70" x14ac:dyDescent="0.25">
      <c r="A144" s="169">
        <v>140</v>
      </c>
      <c r="B144" s="1">
        <f t="shared" si="99"/>
        <v>49780</v>
      </c>
      <c r="C144" s="60">
        <f t="shared" si="85"/>
        <v>33127052.878124986</v>
      </c>
      <c r="D144" s="60">
        <f t="shared" si="86"/>
        <v>29814347.590312488</v>
      </c>
      <c r="E144" s="60">
        <f t="shared" si="100"/>
        <v>31</v>
      </c>
      <c r="F144" s="60">
        <f t="shared" si="101"/>
        <v>951529674.19825649</v>
      </c>
      <c r="G144" s="60">
        <f>ROUND(F144*E144*Input!$C$3/365,0)</f>
        <v>12122227</v>
      </c>
      <c r="H144" s="60">
        <f>IF($A144&lt;=Input!$C$6,0,IF('180M'!D144&lt;'180M'!F144,'180M'!D144-G144,'180M'!F144))</f>
        <v>17692120.590312488</v>
      </c>
      <c r="I144" s="60">
        <f t="shared" si="102"/>
        <v>29814347.590312488</v>
      </c>
      <c r="J144" s="60">
        <f t="shared" si="103"/>
        <v>933837553.60794401</v>
      </c>
      <c r="K144" s="203">
        <f>J144/Input!$K$5</f>
        <v>3.1127918453598133</v>
      </c>
      <c r="L144" s="232"/>
      <c r="M144" s="60">
        <f>IF($B144&lt;Input!$H$43,IF($B144&lt;Input!$G$43,IF($B144&lt;Input!$F$43,IF($B144&lt;Input!$E$43,IF($B144&lt;Input!$D$43,Input!$C$49,Input!$D$49),Input!$E$49),Input!$F$49),Input!$G$49),Input!$H$49)</f>
        <v>33127052.878124986</v>
      </c>
      <c r="N144" s="190">
        <f>IF($A144&lt;Input!$H$50,IF($A144&lt;Input!$G$50,IF($A144&lt;Input!$F$50,IF($A144&lt;Input!$E$50,IF($A144&lt;Input!$D$50,Input!$C$51,Input!$D$51),Input!$E$51),Input!$F$51),Input!$G$51),Input!$H$51)</f>
        <v>0.9</v>
      </c>
      <c r="O144" s="60">
        <f t="shared" si="84"/>
        <v>29814347.590312488</v>
      </c>
      <c r="P144" s="60">
        <f t="shared" si="87"/>
        <v>31</v>
      </c>
      <c r="Q144" s="60">
        <f t="shared" si="88"/>
        <v>951529674.19825649</v>
      </c>
      <c r="R144" s="60">
        <f>ROUND(Q144*$P144*Input!$C$3/365,0)</f>
        <v>12122227</v>
      </c>
      <c r="S144" s="60">
        <f>IF(A144&lt;=Input!$C$6,0,IF('180M'!O144&lt;'180M'!Q144,'180M'!O144-R144,'180M'!Q144))</f>
        <v>17692120.590312488</v>
      </c>
      <c r="T144" s="60">
        <f t="shared" si="89"/>
        <v>29814347.590312488</v>
      </c>
      <c r="U144" s="60">
        <f t="shared" si="90"/>
        <v>933837553.60794401</v>
      </c>
      <c r="V144" s="193"/>
      <c r="W144" s="169">
        <v>140</v>
      </c>
      <c r="X144" s="1">
        <f t="shared" si="104"/>
        <v>49780</v>
      </c>
      <c r="Y144" s="60">
        <f>IF($X144&lt;Input!$H$58,IF($X144&lt;Input!$G$58,IF($X144&lt;Input!$F$58,IF($X144&lt;Input!$E$58,IF($X144&lt;Input!$D$58,Input!$C$64,Input!$D$64),Input!$E$64),Input!$F$64),Input!$G$64),Input!$H$64)</f>
        <v>0</v>
      </c>
      <c r="Z144" s="190">
        <f>IF($A144&lt;Input!$H$65,IF($A144&lt;Input!$G$65,IF($A144&lt;Input!$F$65,IF($A144&lt;Input!$E$65,IF($A144&lt;Input!$D$65,Input!$C$66,Input!$D$66),Input!$E$66),Input!$F$66),Input!$G$66),Input!$H$66)</f>
        <v>0.9</v>
      </c>
      <c r="AA144" s="60">
        <f t="shared" si="91"/>
        <v>0</v>
      </c>
      <c r="AB144" s="60">
        <f t="shared" si="105"/>
        <v>31</v>
      </c>
      <c r="AC144" s="60">
        <f t="shared" si="92"/>
        <v>0</v>
      </c>
      <c r="AD144" s="60">
        <f>ROUND(AC144*AB144*Input!$C$3/365,0)</f>
        <v>0</v>
      </c>
      <c r="AE144" s="61">
        <f>IF($A144&lt;=Input!$C$6,0,IF('180M'!AA144&lt;'180M'!AC144,'180M'!AA144-AD144,'180M'!AC144))</f>
        <v>0</v>
      </c>
      <c r="AF144" s="61">
        <f t="shared" si="93"/>
        <v>0</v>
      </c>
      <c r="AG144" s="60">
        <f t="shared" si="94"/>
        <v>0</v>
      </c>
      <c r="AH144" s="193"/>
      <c r="AI144" s="169">
        <v>140</v>
      </c>
      <c r="AJ144" s="1">
        <f t="shared" si="106"/>
        <v>49780</v>
      </c>
      <c r="AK144" s="60">
        <f>IF($X144&lt;Input!$H$73,IF($X144&lt;Input!$G$73,IF($X144&lt;Input!$F$73,IF($X144&lt;Input!$E$73,IF($X144&lt;Input!$D$73,Input!$C$79,Input!$D$79),Input!$E$79),Input!$F$79),Input!$G$79),Input!$H$79)</f>
        <v>0</v>
      </c>
      <c r="AL144" s="190">
        <f>IF($A144&lt;Input!$H$80,IF($A144&lt;Input!$G$80,IF($A144&lt;Input!$F$80,IF($A144&lt;Input!$E$80,IF($A144&lt;Input!$D$80,Input!$C$81,Input!$D$81),Input!$E$81),Input!$F$81),Input!$G$81),Input!$H$81)</f>
        <v>0.9</v>
      </c>
      <c r="AM144" s="60">
        <f t="shared" si="107"/>
        <v>0</v>
      </c>
      <c r="AN144" s="60">
        <f t="shared" si="108"/>
        <v>31</v>
      </c>
      <c r="AO144" s="60">
        <f t="shared" si="109"/>
        <v>0</v>
      </c>
      <c r="AP144" s="60">
        <f>ROUND(AO144*AN144*Input!$C$3/365,0)</f>
        <v>0</v>
      </c>
      <c r="AQ144" s="61">
        <f>IF($A144&lt;=Input!$C$6,0,IF('180M'!AM144&lt;'180M'!AO144,'180M'!AM144-AP144,'180M'!AO144))</f>
        <v>0</v>
      </c>
      <c r="AR144" s="61">
        <f t="shared" si="110"/>
        <v>0</v>
      </c>
      <c r="AS144" s="60">
        <f t="shared" si="111"/>
        <v>0</v>
      </c>
      <c r="AT144" s="193"/>
      <c r="AU144" s="169">
        <v>140</v>
      </c>
      <c r="AV144" s="1">
        <f t="shared" si="112"/>
        <v>49780</v>
      </c>
      <c r="AW144" s="60">
        <f>IF($X144&lt;Input!$H$88,IF($X144&lt;Input!$G$88,IF($X144&lt;Input!$F$88,IF($X144&lt;Input!$E$88,IF($X144&lt;Input!$D$88,Input!$C$94,Input!$D$94),Input!$E$94),Input!$F$94),Input!$G$94),Input!$H$94)</f>
        <v>0</v>
      </c>
      <c r="AX144" s="190">
        <f>IF($A144&lt;Input!$H$95,IF($A144&lt;Input!$G$95,IF($A144&lt;Input!$F$95,IF($A144&lt;Input!$E$95,IF($A144&lt;Input!$D$95,Input!$C$96,Input!$D$96),Input!$E$96),Input!$F$96),Input!$G$96),Input!$H$96)</f>
        <v>0.9</v>
      </c>
      <c r="AY144" s="60">
        <f t="shared" si="113"/>
        <v>0</v>
      </c>
      <c r="AZ144" s="60">
        <f t="shared" si="114"/>
        <v>31</v>
      </c>
      <c r="BA144" s="60">
        <f t="shared" si="115"/>
        <v>0</v>
      </c>
      <c r="BB144" s="60">
        <f>ROUND(BA144*AZ144*Input!$C$3/365,0)</f>
        <v>0</v>
      </c>
      <c r="BC144" s="61">
        <f>IF($A144&lt;=Input!$C$6,0,IF('180M'!AY144&lt;'180M'!BA144,'180M'!AY144-BB144,'180M'!BA144))</f>
        <v>0</v>
      </c>
      <c r="BD144" s="61">
        <f t="shared" si="116"/>
        <v>0</v>
      </c>
      <c r="BE144" s="60">
        <f t="shared" si="117"/>
        <v>0</v>
      </c>
      <c r="BF144" s="193"/>
      <c r="BG144" s="169">
        <v>140</v>
      </c>
      <c r="BH144" s="1">
        <f t="shared" si="118"/>
        <v>49780</v>
      </c>
      <c r="BI144" s="60">
        <f>IF($X144&lt;Input!$H$103,IF($X144&lt;Input!$G$103,IF($X144&lt;Input!$F$103,IF($X144&lt;Input!$E$103,IF($X144&lt;Input!$D$103,Input!$C$109,Input!$D$109),Input!$E$109),Input!$F$109),Input!$G$109),Input!$H$109)</f>
        <v>0</v>
      </c>
      <c r="BJ144" s="190">
        <f>IF($A144&lt;Input!$H$110,IF($A144&lt;Input!$G$110,IF($A144&lt;Input!$F$110,IF($A144&lt;Input!$E$110,IF($A144&lt;Input!$D$110,Input!$C$111,Input!$D$111),Input!$E$111),Input!$F$111),Input!$G$111),Input!$H$111)</f>
        <v>0.9</v>
      </c>
      <c r="BK144" s="60">
        <f t="shared" si="95"/>
        <v>0</v>
      </c>
      <c r="BL144" s="60">
        <f t="shared" si="119"/>
        <v>31</v>
      </c>
      <c r="BM144" s="60">
        <f t="shared" si="96"/>
        <v>0</v>
      </c>
      <c r="BN144" s="60">
        <f>ROUND(BM144*BL144*Input!$C$3/365,0)</f>
        <v>0</v>
      </c>
      <c r="BO144" s="61">
        <f>IF($A144&lt;=Input!$C$6,0,IF('180M'!BK144&lt;'180M'!BM144,'180M'!BK144-BN144,'180M'!BM144))</f>
        <v>0</v>
      </c>
      <c r="BP144" s="61">
        <f t="shared" si="97"/>
        <v>0</v>
      </c>
      <c r="BQ144" s="60">
        <f t="shared" si="98"/>
        <v>0</v>
      </c>
      <c r="BR144" s="198"/>
    </row>
    <row r="145" spans="1:70" x14ac:dyDescent="0.25">
      <c r="A145" s="169">
        <v>141</v>
      </c>
      <c r="B145" s="1">
        <f t="shared" si="99"/>
        <v>49810</v>
      </c>
      <c r="C145" s="60">
        <f t="shared" si="85"/>
        <v>33127052.878124986</v>
      </c>
      <c r="D145" s="60">
        <f t="shared" si="86"/>
        <v>29814347.590312488</v>
      </c>
      <c r="E145" s="60">
        <f t="shared" si="100"/>
        <v>30</v>
      </c>
      <c r="F145" s="60">
        <f t="shared" si="101"/>
        <v>933837553.60794401</v>
      </c>
      <c r="G145" s="60">
        <f>ROUND(F145*E145*Input!$C$3/365,0)</f>
        <v>11513066</v>
      </c>
      <c r="H145" s="60">
        <f>IF($A145&lt;=Input!$C$6,0,IF('180M'!D145&lt;'180M'!F145,'180M'!D145-G145,'180M'!F145))</f>
        <v>18301281.590312488</v>
      </c>
      <c r="I145" s="60">
        <f t="shared" si="102"/>
        <v>29814347.590312488</v>
      </c>
      <c r="J145" s="60">
        <f t="shared" si="103"/>
        <v>915536272.01763153</v>
      </c>
      <c r="K145" s="203">
        <f>J145/Input!$K$5</f>
        <v>3.0517875733921049</v>
      </c>
      <c r="L145" s="232"/>
      <c r="M145" s="60">
        <f>IF($B145&lt;Input!$H$43,IF($B145&lt;Input!$G$43,IF($B145&lt;Input!$F$43,IF($B145&lt;Input!$E$43,IF($B145&lt;Input!$D$43,Input!$C$49,Input!$D$49),Input!$E$49),Input!$F$49),Input!$G$49),Input!$H$49)</f>
        <v>33127052.878124986</v>
      </c>
      <c r="N145" s="190">
        <f>IF($A145&lt;Input!$H$50,IF($A145&lt;Input!$G$50,IF($A145&lt;Input!$F$50,IF($A145&lt;Input!$E$50,IF($A145&lt;Input!$D$50,Input!$C$51,Input!$D$51),Input!$E$51),Input!$F$51),Input!$G$51),Input!$H$51)</f>
        <v>0.9</v>
      </c>
      <c r="O145" s="60">
        <f t="shared" si="84"/>
        <v>29814347.590312488</v>
      </c>
      <c r="P145" s="60">
        <f t="shared" si="87"/>
        <v>30</v>
      </c>
      <c r="Q145" s="60">
        <f t="shared" si="88"/>
        <v>933837553.60794401</v>
      </c>
      <c r="R145" s="60">
        <f>ROUND(Q145*$P145*Input!$C$3/365,0)</f>
        <v>11513066</v>
      </c>
      <c r="S145" s="60">
        <f>IF(A145&lt;=Input!$C$6,0,IF('180M'!O145&lt;'180M'!Q145,'180M'!O145-R145,'180M'!Q145))</f>
        <v>18301281.590312488</v>
      </c>
      <c r="T145" s="60">
        <f t="shared" si="89"/>
        <v>29814347.590312488</v>
      </c>
      <c r="U145" s="60">
        <f t="shared" si="90"/>
        <v>915536272.01763153</v>
      </c>
      <c r="V145" s="193"/>
      <c r="W145" s="169">
        <v>141</v>
      </c>
      <c r="X145" s="1">
        <f t="shared" si="104"/>
        <v>49810</v>
      </c>
      <c r="Y145" s="60">
        <f>IF($X145&lt;Input!$H$58,IF($X145&lt;Input!$G$58,IF($X145&lt;Input!$F$58,IF($X145&lt;Input!$E$58,IF($X145&lt;Input!$D$58,Input!$C$64,Input!$D$64),Input!$E$64),Input!$F$64),Input!$G$64),Input!$H$64)</f>
        <v>0</v>
      </c>
      <c r="Z145" s="190">
        <f>IF($A145&lt;Input!$H$65,IF($A145&lt;Input!$G$65,IF($A145&lt;Input!$F$65,IF($A145&lt;Input!$E$65,IF($A145&lt;Input!$D$65,Input!$C$66,Input!$D$66),Input!$E$66),Input!$F$66),Input!$G$66),Input!$H$66)</f>
        <v>0.9</v>
      </c>
      <c r="AA145" s="60">
        <f t="shared" si="91"/>
        <v>0</v>
      </c>
      <c r="AB145" s="60">
        <f t="shared" si="105"/>
        <v>30</v>
      </c>
      <c r="AC145" s="60">
        <f t="shared" si="92"/>
        <v>0</v>
      </c>
      <c r="AD145" s="60">
        <f>ROUND(AC145*AB145*Input!$C$3/365,0)</f>
        <v>0</v>
      </c>
      <c r="AE145" s="61">
        <f>IF($A145&lt;=Input!$C$6,0,IF('180M'!AA145&lt;'180M'!AC145,'180M'!AA145-AD145,'180M'!AC145))</f>
        <v>0</v>
      </c>
      <c r="AF145" s="61">
        <f t="shared" si="93"/>
        <v>0</v>
      </c>
      <c r="AG145" s="60">
        <f t="shared" si="94"/>
        <v>0</v>
      </c>
      <c r="AH145" s="193"/>
      <c r="AI145" s="169">
        <v>141</v>
      </c>
      <c r="AJ145" s="1">
        <f t="shared" si="106"/>
        <v>49810</v>
      </c>
      <c r="AK145" s="60">
        <f>IF($X145&lt;Input!$H$73,IF($X145&lt;Input!$G$73,IF($X145&lt;Input!$F$73,IF($X145&lt;Input!$E$73,IF($X145&lt;Input!$D$73,Input!$C$79,Input!$D$79),Input!$E$79),Input!$F$79),Input!$G$79),Input!$H$79)</f>
        <v>0</v>
      </c>
      <c r="AL145" s="190">
        <f>IF($A145&lt;Input!$H$80,IF($A145&lt;Input!$G$80,IF($A145&lt;Input!$F$80,IF($A145&lt;Input!$E$80,IF($A145&lt;Input!$D$80,Input!$C$81,Input!$D$81),Input!$E$81),Input!$F$81),Input!$G$81),Input!$H$81)</f>
        <v>0.9</v>
      </c>
      <c r="AM145" s="60">
        <f t="shared" si="107"/>
        <v>0</v>
      </c>
      <c r="AN145" s="60">
        <f t="shared" si="108"/>
        <v>30</v>
      </c>
      <c r="AO145" s="60">
        <f t="shared" si="109"/>
        <v>0</v>
      </c>
      <c r="AP145" s="60">
        <f>ROUND(AO145*AN145*Input!$C$3/365,0)</f>
        <v>0</v>
      </c>
      <c r="AQ145" s="61">
        <f>IF($A145&lt;=Input!$C$6,0,IF('180M'!AM145&lt;'180M'!AO145,'180M'!AM145-AP145,'180M'!AO145))</f>
        <v>0</v>
      </c>
      <c r="AR145" s="61">
        <f t="shared" si="110"/>
        <v>0</v>
      </c>
      <c r="AS145" s="60">
        <f t="shared" si="111"/>
        <v>0</v>
      </c>
      <c r="AT145" s="193"/>
      <c r="AU145" s="169">
        <v>141</v>
      </c>
      <c r="AV145" s="1">
        <f t="shared" si="112"/>
        <v>49810</v>
      </c>
      <c r="AW145" s="60">
        <f>IF($X145&lt;Input!$H$88,IF($X145&lt;Input!$G$88,IF($X145&lt;Input!$F$88,IF($X145&lt;Input!$E$88,IF($X145&lt;Input!$D$88,Input!$C$94,Input!$D$94),Input!$E$94),Input!$F$94),Input!$G$94),Input!$H$94)</f>
        <v>0</v>
      </c>
      <c r="AX145" s="190">
        <f>IF($A145&lt;Input!$H$95,IF($A145&lt;Input!$G$95,IF($A145&lt;Input!$F$95,IF($A145&lt;Input!$E$95,IF($A145&lt;Input!$D$95,Input!$C$96,Input!$D$96),Input!$E$96),Input!$F$96),Input!$G$96),Input!$H$96)</f>
        <v>0.9</v>
      </c>
      <c r="AY145" s="60">
        <f t="shared" si="113"/>
        <v>0</v>
      </c>
      <c r="AZ145" s="60">
        <f t="shared" si="114"/>
        <v>30</v>
      </c>
      <c r="BA145" s="60">
        <f t="shared" si="115"/>
        <v>0</v>
      </c>
      <c r="BB145" s="60">
        <f>ROUND(BA145*AZ145*Input!$C$3/365,0)</f>
        <v>0</v>
      </c>
      <c r="BC145" s="61">
        <f>IF($A145&lt;=Input!$C$6,0,IF('180M'!AY145&lt;'180M'!BA145,'180M'!AY145-BB145,'180M'!BA145))</f>
        <v>0</v>
      </c>
      <c r="BD145" s="61">
        <f t="shared" si="116"/>
        <v>0</v>
      </c>
      <c r="BE145" s="60">
        <f t="shared" si="117"/>
        <v>0</v>
      </c>
      <c r="BF145" s="193"/>
      <c r="BG145" s="169">
        <v>141</v>
      </c>
      <c r="BH145" s="1">
        <f t="shared" si="118"/>
        <v>49810</v>
      </c>
      <c r="BI145" s="60">
        <f>IF($X145&lt;Input!$H$103,IF($X145&lt;Input!$G$103,IF($X145&lt;Input!$F$103,IF($X145&lt;Input!$E$103,IF($X145&lt;Input!$D$103,Input!$C$109,Input!$D$109),Input!$E$109),Input!$F$109),Input!$G$109),Input!$H$109)</f>
        <v>0</v>
      </c>
      <c r="BJ145" s="190">
        <f>IF($A145&lt;Input!$H$110,IF($A145&lt;Input!$G$110,IF($A145&lt;Input!$F$110,IF($A145&lt;Input!$E$110,IF($A145&lt;Input!$D$110,Input!$C$111,Input!$D$111),Input!$E$111),Input!$F$111),Input!$G$111),Input!$H$111)</f>
        <v>0.9</v>
      </c>
      <c r="BK145" s="60">
        <f t="shared" si="95"/>
        <v>0</v>
      </c>
      <c r="BL145" s="60">
        <f t="shared" si="119"/>
        <v>30</v>
      </c>
      <c r="BM145" s="60">
        <f t="shared" si="96"/>
        <v>0</v>
      </c>
      <c r="BN145" s="60">
        <f>ROUND(BM145*BL145*Input!$C$3/365,0)</f>
        <v>0</v>
      </c>
      <c r="BO145" s="61">
        <f>IF($A145&lt;=Input!$C$6,0,IF('180M'!BK145&lt;'180M'!BM145,'180M'!BK145-BN145,'180M'!BM145))</f>
        <v>0</v>
      </c>
      <c r="BP145" s="61">
        <f t="shared" si="97"/>
        <v>0</v>
      </c>
      <c r="BQ145" s="60">
        <f t="shared" si="98"/>
        <v>0</v>
      </c>
      <c r="BR145" s="198"/>
    </row>
    <row r="146" spans="1:70" x14ac:dyDescent="0.25">
      <c r="A146" s="169">
        <v>142</v>
      </c>
      <c r="B146" s="1">
        <f t="shared" si="99"/>
        <v>49841</v>
      </c>
      <c r="C146" s="60">
        <f t="shared" si="85"/>
        <v>33127052.878124986</v>
      </c>
      <c r="D146" s="60">
        <f t="shared" si="86"/>
        <v>29814347.590312488</v>
      </c>
      <c r="E146" s="60">
        <f t="shared" si="100"/>
        <v>31</v>
      </c>
      <c r="F146" s="60">
        <f t="shared" si="101"/>
        <v>915536272.01763153</v>
      </c>
      <c r="G146" s="60">
        <f>ROUND(F146*E146*Input!$C$3/365,0)</f>
        <v>11663681</v>
      </c>
      <c r="H146" s="60">
        <f>IF($A146&lt;=Input!$C$6,0,IF('180M'!D146&lt;'180M'!F146,'180M'!D146-G146,'180M'!F146))</f>
        <v>18150666.590312488</v>
      </c>
      <c r="I146" s="60">
        <f t="shared" si="102"/>
        <v>29814347.590312488</v>
      </c>
      <c r="J146" s="60">
        <f t="shared" si="103"/>
        <v>897385605.42731905</v>
      </c>
      <c r="K146" s="203">
        <f>J146/Input!$K$5</f>
        <v>2.9912853514243967</v>
      </c>
      <c r="L146" s="232"/>
      <c r="M146" s="60">
        <f>IF($B146&lt;Input!$H$43,IF($B146&lt;Input!$G$43,IF($B146&lt;Input!$F$43,IF($B146&lt;Input!$E$43,IF($B146&lt;Input!$D$43,Input!$C$49,Input!$D$49),Input!$E$49),Input!$F$49),Input!$G$49),Input!$H$49)</f>
        <v>33127052.878124986</v>
      </c>
      <c r="N146" s="190">
        <f>IF($A146&lt;Input!$H$50,IF($A146&lt;Input!$G$50,IF($A146&lt;Input!$F$50,IF($A146&lt;Input!$E$50,IF($A146&lt;Input!$D$50,Input!$C$51,Input!$D$51),Input!$E$51),Input!$F$51),Input!$G$51),Input!$H$51)</f>
        <v>0.9</v>
      </c>
      <c r="O146" s="60">
        <f t="shared" si="84"/>
        <v>29814347.590312488</v>
      </c>
      <c r="P146" s="60">
        <f t="shared" si="87"/>
        <v>31</v>
      </c>
      <c r="Q146" s="60">
        <f t="shared" si="88"/>
        <v>915536272.01763153</v>
      </c>
      <c r="R146" s="60">
        <f>ROUND(Q146*$P146*Input!$C$3/365,0)</f>
        <v>11663681</v>
      </c>
      <c r="S146" s="60">
        <f>IF(A146&lt;=Input!$C$6,0,IF('180M'!O146&lt;'180M'!Q146,'180M'!O146-R146,'180M'!Q146))</f>
        <v>18150666.590312488</v>
      </c>
      <c r="T146" s="60">
        <f t="shared" si="89"/>
        <v>29814347.590312488</v>
      </c>
      <c r="U146" s="60">
        <f t="shared" si="90"/>
        <v>897385605.42731905</v>
      </c>
      <c r="V146" s="193"/>
      <c r="W146" s="169">
        <v>142</v>
      </c>
      <c r="X146" s="1">
        <f t="shared" si="104"/>
        <v>49841</v>
      </c>
      <c r="Y146" s="60">
        <f>IF($X146&lt;Input!$H$58,IF($X146&lt;Input!$G$58,IF($X146&lt;Input!$F$58,IF($X146&lt;Input!$E$58,IF($X146&lt;Input!$D$58,Input!$C$64,Input!$D$64),Input!$E$64),Input!$F$64),Input!$G$64),Input!$H$64)</f>
        <v>0</v>
      </c>
      <c r="Z146" s="190">
        <f>IF($A146&lt;Input!$H$65,IF($A146&lt;Input!$G$65,IF($A146&lt;Input!$F$65,IF($A146&lt;Input!$E$65,IF($A146&lt;Input!$D$65,Input!$C$66,Input!$D$66),Input!$E$66),Input!$F$66),Input!$G$66),Input!$H$66)</f>
        <v>0.9</v>
      </c>
      <c r="AA146" s="60">
        <f t="shared" si="91"/>
        <v>0</v>
      </c>
      <c r="AB146" s="60">
        <f t="shared" si="105"/>
        <v>31</v>
      </c>
      <c r="AC146" s="60">
        <f t="shared" si="92"/>
        <v>0</v>
      </c>
      <c r="AD146" s="60">
        <f>ROUND(AC146*AB146*Input!$C$3/365,0)</f>
        <v>0</v>
      </c>
      <c r="AE146" s="61">
        <f>IF($A146&lt;=Input!$C$6,0,IF('180M'!AA146&lt;'180M'!AC146,'180M'!AA146-AD146,'180M'!AC146))</f>
        <v>0</v>
      </c>
      <c r="AF146" s="61">
        <f t="shared" si="93"/>
        <v>0</v>
      </c>
      <c r="AG146" s="60">
        <f t="shared" si="94"/>
        <v>0</v>
      </c>
      <c r="AH146" s="193"/>
      <c r="AI146" s="169">
        <v>142</v>
      </c>
      <c r="AJ146" s="1">
        <f t="shared" si="106"/>
        <v>49841</v>
      </c>
      <c r="AK146" s="60">
        <f>IF($X146&lt;Input!$H$73,IF($X146&lt;Input!$G$73,IF($X146&lt;Input!$F$73,IF($X146&lt;Input!$E$73,IF($X146&lt;Input!$D$73,Input!$C$79,Input!$D$79),Input!$E$79),Input!$F$79),Input!$G$79),Input!$H$79)</f>
        <v>0</v>
      </c>
      <c r="AL146" s="190">
        <f>IF($A146&lt;Input!$H$80,IF($A146&lt;Input!$G$80,IF($A146&lt;Input!$F$80,IF($A146&lt;Input!$E$80,IF($A146&lt;Input!$D$80,Input!$C$81,Input!$D$81),Input!$E$81),Input!$F$81),Input!$G$81),Input!$H$81)</f>
        <v>0.9</v>
      </c>
      <c r="AM146" s="60">
        <f t="shared" si="107"/>
        <v>0</v>
      </c>
      <c r="AN146" s="60">
        <f t="shared" si="108"/>
        <v>31</v>
      </c>
      <c r="AO146" s="60">
        <f t="shared" si="109"/>
        <v>0</v>
      </c>
      <c r="AP146" s="60">
        <f>ROUND(AO146*AN146*Input!$C$3/365,0)</f>
        <v>0</v>
      </c>
      <c r="AQ146" s="61">
        <f>IF($A146&lt;=Input!$C$6,0,IF('180M'!AM146&lt;'180M'!AO146,'180M'!AM146-AP146,'180M'!AO146))</f>
        <v>0</v>
      </c>
      <c r="AR146" s="61">
        <f t="shared" si="110"/>
        <v>0</v>
      </c>
      <c r="AS146" s="60">
        <f t="shared" si="111"/>
        <v>0</v>
      </c>
      <c r="AT146" s="193"/>
      <c r="AU146" s="169">
        <v>142</v>
      </c>
      <c r="AV146" s="1">
        <f t="shared" si="112"/>
        <v>49841</v>
      </c>
      <c r="AW146" s="60">
        <f>IF($X146&lt;Input!$H$88,IF($X146&lt;Input!$G$88,IF($X146&lt;Input!$F$88,IF($X146&lt;Input!$E$88,IF($X146&lt;Input!$D$88,Input!$C$94,Input!$D$94),Input!$E$94),Input!$F$94),Input!$G$94),Input!$H$94)</f>
        <v>0</v>
      </c>
      <c r="AX146" s="190">
        <f>IF($A146&lt;Input!$H$95,IF($A146&lt;Input!$G$95,IF($A146&lt;Input!$F$95,IF($A146&lt;Input!$E$95,IF($A146&lt;Input!$D$95,Input!$C$96,Input!$D$96),Input!$E$96),Input!$F$96),Input!$G$96),Input!$H$96)</f>
        <v>0.9</v>
      </c>
      <c r="AY146" s="60">
        <f t="shared" si="113"/>
        <v>0</v>
      </c>
      <c r="AZ146" s="60">
        <f t="shared" si="114"/>
        <v>31</v>
      </c>
      <c r="BA146" s="60">
        <f t="shared" si="115"/>
        <v>0</v>
      </c>
      <c r="BB146" s="60">
        <f>ROUND(BA146*AZ146*Input!$C$3/365,0)</f>
        <v>0</v>
      </c>
      <c r="BC146" s="61">
        <f>IF($A146&lt;=Input!$C$6,0,IF('180M'!AY146&lt;'180M'!BA146,'180M'!AY146-BB146,'180M'!BA146))</f>
        <v>0</v>
      </c>
      <c r="BD146" s="61">
        <f t="shared" si="116"/>
        <v>0</v>
      </c>
      <c r="BE146" s="60">
        <f t="shared" si="117"/>
        <v>0</v>
      </c>
      <c r="BF146" s="193"/>
      <c r="BG146" s="169">
        <v>142</v>
      </c>
      <c r="BH146" s="1">
        <f t="shared" si="118"/>
        <v>49841</v>
      </c>
      <c r="BI146" s="60">
        <f>IF($X146&lt;Input!$H$103,IF($X146&lt;Input!$G$103,IF($X146&lt;Input!$F$103,IF($X146&lt;Input!$E$103,IF($X146&lt;Input!$D$103,Input!$C$109,Input!$D$109),Input!$E$109),Input!$F$109),Input!$G$109),Input!$H$109)</f>
        <v>0</v>
      </c>
      <c r="BJ146" s="190">
        <f>IF($A146&lt;Input!$H$110,IF($A146&lt;Input!$G$110,IF($A146&lt;Input!$F$110,IF($A146&lt;Input!$E$110,IF($A146&lt;Input!$D$110,Input!$C$111,Input!$D$111),Input!$E$111),Input!$F$111),Input!$G$111),Input!$H$111)</f>
        <v>0.9</v>
      </c>
      <c r="BK146" s="60">
        <f t="shared" si="95"/>
        <v>0</v>
      </c>
      <c r="BL146" s="60">
        <f t="shared" si="119"/>
        <v>31</v>
      </c>
      <c r="BM146" s="60">
        <f t="shared" si="96"/>
        <v>0</v>
      </c>
      <c r="BN146" s="60">
        <f>ROUND(BM146*BL146*Input!$C$3/365,0)</f>
        <v>0</v>
      </c>
      <c r="BO146" s="61">
        <f>IF($A146&lt;=Input!$C$6,0,IF('180M'!BK146&lt;'180M'!BM146,'180M'!BK146-BN146,'180M'!BM146))</f>
        <v>0</v>
      </c>
      <c r="BP146" s="61">
        <f t="shared" si="97"/>
        <v>0</v>
      </c>
      <c r="BQ146" s="60">
        <f t="shared" si="98"/>
        <v>0</v>
      </c>
      <c r="BR146" s="198"/>
    </row>
    <row r="147" spans="1:70" x14ac:dyDescent="0.25">
      <c r="A147" s="169">
        <v>143</v>
      </c>
      <c r="B147" s="1">
        <f t="shared" si="99"/>
        <v>49871</v>
      </c>
      <c r="C147" s="60">
        <f t="shared" si="85"/>
        <v>33127052.878124986</v>
      </c>
      <c r="D147" s="60">
        <f t="shared" si="86"/>
        <v>29814347.590312488</v>
      </c>
      <c r="E147" s="60">
        <f t="shared" si="100"/>
        <v>30</v>
      </c>
      <c r="F147" s="60">
        <f t="shared" si="101"/>
        <v>897385605.42731905</v>
      </c>
      <c r="G147" s="60">
        <f>ROUND(F147*E147*Input!$C$3/365,0)</f>
        <v>11063658</v>
      </c>
      <c r="H147" s="60">
        <f>IF($A147&lt;=Input!$C$6,0,IF('180M'!D147&lt;'180M'!F147,'180M'!D147-G147,'180M'!F147))</f>
        <v>18750689.590312488</v>
      </c>
      <c r="I147" s="60">
        <f t="shared" si="102"/>
        <v>29814347.590312488</v>
      </c>
      <c r="J147" s="60">
        <f t="shared" si="103"/>
        <v>878634915.83700657</v>
      </c>
      <c r="K147" s="203">
        <f>J147/Input!$K$5</f>
        <v>2.9287830527900218</v>
      </c>
      <c r="L147" s="232"/>
      <c r="M147" s="60">
        <f>IF($B147&lt;Input!$H$43,IF($B147&lt;Input!$G$43,IF($B147&lt;Input!$F$43,IF($B147&lt;Input!$E$43,IF($B147&lt;Input!$D$43,Input!$C$49,Input!$D$49),Input!$E$49),Input!$F$49),Input!$G$49),Input!$H$49)</f>
        <v>33127052.878124986</v>
      </c>
      <c r="N147" s="190">
        <f>IF($A147&lt;Input!$H$50,IF($A147&lt;Input!$G$50,IF($A147&lt;Input!$F$50,IF($A147&lt;Input!$E$50,IF($A147&lt;Input!$D$50,Input!$C$51,Input!$D$51),Input!$E$51),Input!$F$51),Input!$G$51),Input!$H$51)</f>
        <v>0.9</v>
      </c>
      <c r="O147" s="60">
        <f t="shared" si="84"/>
        <v>29814347.590312488</v>
      </c>
      <c r="P147" s="60">
        <f t="shared" si="87"/>
        <v>30</v>
      </c>
      <c r="Q147" s="60">
        <f t="shared" si="88"/>
        <v>897385605.42731905</v>
      </c>
      <c r="R147" s="60">
        <f>ROUND(Q147*$P147*Input!$C$3/365,0)</f>
        <v>11063658</v>
      </c>
      <c r="S147" s="60">
        <f>IF(A147&lt;=Input!$C$6,0,IF('180M'!O147&lt;'180M'!Q147,'180M'!O147-R147,'180M'!Q147))</f>
        <v>18750689.590312488</v>
      </c>
      <c r="T147" s="60">
        <f t="shared" si="89"/>
        <v>29814347.590312488</v>
      </c>
      <c r="U147" s="60">
        <f t="shared" si="90"/>
        <v>878634915.83700657</v>
      </c>
      <c r="V147" s="193"/>
      <c r="W147" s="169">
        <v>143</v>
      </c>
      <c r="X147" s="1">
        <f t="shared" si="104"/>
        <v>49871</v>
      </c>
      <c r="Y147" s="60">
        <f>IF($X147&lt;Input!$H$58,IF($X147&lt;Input!$G$58,IF($X147&lt;Input!$F$58,IF($X147&lt;Input!$E$58,IF($X147&lt;Input!$D$58,Input!$C$64,Input!$D$64),Input!$E$64),Input!$F$64),Input!$G$64),Input!$H$64)</f>
        <v>0</v>
      </c>
      <c r="Z147" s="190">
        <f>IF($A147&lt;Input!$H$65,IF($A147&lt;Input!$G$65,IF($A147&lt;Input!$F$65,IF($A147&lt;Input!$E$65,IF($A147&lt;Input!$D$65,Input!$C$66,Input!$D$66),Input!$E$66),Input!$F$66),Input!$G$66),Input!$H$66)</f>
        <v>0.9</v>
      </c>
      <c r="AA147" s="60">
        <f t="shared" si="91"/>
        <v>0</v>
      </c>
      <c r="AB147" s="60">
        <f t="shared" si="105"/>
        <v>30</v>
      </c>
      <c r="AC147" s="60">
        <f t="shared" si="92"/>
        <v>0</v>
      </c>
      <c r="AD147" s="60">
        <f>ROUND(AC147*AB147*Input!$C$3/365,0)</f>
        <v>0</v>
      </c>
      <c r="AE147" s="61">
        <f>IF($A147&lt;=Input!$C$6,0,IF('180M'!AA147&lt;'180M'!AC147,'180M'!AA147-AD147,'180M'!AC147))</f>
        <v>0</v>
      </c>
      <c r="AF147" s="61">
        <f t="shared" si="93"/>
        <v>0</v>
      </c>
      <c r="AG147" s="60">
        <f t="shared" si="94"/>
        <v>0</v>
      </c>
      <c r="AH147" s="193"/>
      <c r="AI147" s="169">
        <v>143</v>
      </c>
      <c r="AJ147" s="1">
        <f t="shared" si="106"/>
        <v>49871</v>
      </c>
      <c r="AK147" s="60">
        <f>IF($X147&lt;Input!$H$73,IF($X147&lt;Input!$G$73,IF($X147&lt;Input!$F$73,IF($X147&lt;Input!$E$73,IF($X147&lt;Input!$D$73,Input!$C$79,Input!$D$79),Input!$E$79),Input!$F$79),Input!$G$79),Input!$H$79)</f>
        <v>0</v>
      </c>
      <c r="AL147" s="190">
        <f>IF($A147&lt;Input!$H$80,IF($A147&lt;Input!$G$80,IF($A147&lt;Input!$F$80,IF($A147&lt;Input!$E$80,IF($A147&lt;Input!$D$80,Input!$C$81,Input!$D$81),Input!$E$81),Input!$F$81),Input!$G$81),Input!$H$81)</f>
        <v>0.9</v>
      </c>
      <c r="AM147" s="60">
        <f t="shared" si="107"/>
        <v>0</v>
      </c>
      <c r="AN147" s="60">
        <f t="shared" si="108"/>
        <v>30</v>
      </c>
      <c r="AO147" s="60">
        <f t="shared" si="109"/>
        <v>0</v>
      </c>
      <c r="AP147" s="60">
        <f>ROUND(AO147*AN147*Input!$C$3/365,0)</f>
        <v>0</v>
      </c>
      <c r="AQ147" s="61">
        <f>IF($A147&lt;=Input!$C$6,0,IF('180M'!AM147&lt;'180M'!AO147,'180M'!AM147-AP147,'180M'!AO147))</f>
        <v>0</v>
      </c>
      <c r="AR147" s="61">
        <f t="shared" si="110"/>
        <v>0</v>
      </c>
      <c r="AS147" s="60">
        <f t="shared" si="111"/>
        <v>0</v>
      </c>
      <c r="AT147" s="193"/>
      <c r="AU147" s="169">
        <v>143</v>
      </c>
      <c r="AV147" s="1">
        <f t="shared" si="112"/>
        <v>49871</v>
      </c>
      <c r="AW147" s="60">
        <f>IF($X147&lt;Input!$H$88,IF($X147&lt;Input!$G$88,IF($X147&lt;Input!$F$88,IF($X147&lt;Input!$E$88,IF($X147&lt;Input!$D$88,Input!$C$94,Input!$D$94),Input!$E$94),Input!$F$94),Input!$G$94),Input!$H$94)</f>
        <v>0</v>
      </c>
      <c r="AX147" s="190">
        <f>IF($A147&lt;Input!$H$95,IF($A147&lt;Input!$G$95,IF($A147&lt;Input!$F$95,IF($A147&lt;Input!$E$95,IF($A147&lt;Input!$D$95,Input!$C$96,Input!$D$96),Input!$E$96),Input!$F$96),Input!$G$96),Input!$H$96)</f>
        <v>0.9</v>
      </c>
      <c r="AY147" s="60">
        <f t="shared" si="113"/>
        <v>0</v>
      </c>
      <c r="AZ147" s="60">
        <f t="shared" si="114"/>
        <v>30</v>
      </c>
      <c r="BA147" s="60">
        <f t="shared" si="115"/>
        <v>0</v>
      </c>
      <c r="BB147" s="60">
        <f>ROUND(BA147*AZ147*Input!$C$3/365,0)</f>
        <v>0</v>
      </c>
      <c r="BC147" s="61">
        <f>IF($A147&lt;=Input!$C$6,0,IF('180M'!AY147&lt;'180M'!BA147,'180M'!AY147-BB147,'180M'!BA147))</f>
        <v>0</v>
      </c>
      <c r="BD147" s="61">
        <f t="shared" si="116"/>
        <v>0</v>
      </c>
      <c r="BE147" s="60">
        <f t="shared" si="117"/>
        <v>0</v>
      </c>
      <c r="BF147" s="193"/>
      <c r="BG147" s="169">
        <v>143</v>
      </c>
      <c r="BH147" s="1">
        <f t="shared" si="118"/>
        <v>49871</v>
      </c>
      <c r="BI147" s="60">
        <f>IF($X147&lt;Input!$H$103,IF($X147&lt;Input!$G$103,IF($X147&lt;Input!$F$103,IF($X147&lt;Input!$E$103,IF($X147&lt;Input!$D$103,Input!$C$109,Input!$D$109),Input!$E$109),Input!$F$109),Input!$G$109),Input!$H$109)</f>
        <v>0</v>
      </c>
      <c r="BJ147" s="190">
        <f>IF($A147&lt;Input!$H$110,IF($A147&lt;Input!$G$110,IF($A147&lt;Input!$F$110,IF($A147&lt;Input!$E$110,IF($A147&lt;Input!$D$110,Input!$C$111,Input!$D$111),Input!$E$111),Input!$F$111),Input!$G$111),Input!$H$111)</f>
        <v>0.9</v>
      </c>
      <c r="BK147" s="60">
        <f t="shared" si="95"/>
        <v>0</v>
      </c>
      <c r="BL147" s="60">
        <f t="shared" si="119"/>
        <v>30</v>
      </c>
      <c r="BM147" s="60">
        <f t="shared" si="96"/>
        <v>0</v>
      </c>
      <c r="BN147" s="60">
        <f>ROUND(BM147*BL147*Input!$C$3/365,0)</f>
        <v>0</v>
      </c>
      <c r="BO147" s="61">
        <f>IF($A147&lt;=Input!$C$6,0,IF('180M'!BK147&lt;'180M'!BM147,'180M'!BK147-BN147,'180M'!BM147))</f>
        <v>0</v>
      </c>
      <c r="BP147" s="61">
        <f t="shared" si="97"/>
        <v>0</v>
      </c>
      <c r="BQ147" s="60">
        <f t="shared" si="98"/>
        <v>0</v>
      </c>
      <c r="BR147" s="198"/>
    </row>
    <row r="148" spans="1:70" x14ac:dyDescent="0.25">
      <c r="A148" s="169">
        <v>144</v>
      </c>
      <c r="B148" s="1">
        <f t="shared" si="99"/>
        <v>49902</v>
      </c>
      <c r="C148" s="60">
        <f t="shared" si="85"/>
        <v>33127052.878124986</v>
      </c>
      <c r="D148" s="60">
        <f t="shared" si="86"/>
        <v>29814347.590312488</v>
      </c>
      <c r="E148" s="60">
        <f t="shared" si="100"/>
        <v>31</v>
      </c>
      <c r="F148" s="60">
        <f t="shared" si="101"/>
        <v>878634915.83700657</v>
      </c>
      <c r="G148" s="60">
        <f>ROUND(F148*E148*Input!$C$3/365,0)</f>
        <v>11193568</v>
      </c>
      <c r="H148" s="60">
        <f>IF($A148&lt;=Input!$C$6,0,IF('180M'!D148&lt;'180M'!F148,'180M'!D148-G148,'180M'!F148))</f>
        <v>18620779.590312488</v>
      </c>
      <c r="I148" s="60">
        <f t="shared" si="102"/>
        <v>29814347.590312488</v>
      </c>
      <c r="J148" s="60">
        <f t="shared" si="103"/>
        <v>860014136.24669409</v>
      </c>
      <c r="K148" s="203">
        <f>J148/Input!$K$5</f>
        <v>2.8667137874889801</v>
      </c>
      <c r="L148" s="232"/>
      <c r="M148" s="60">
        <f>IF($B148&lt;Input!$H$43,IF($B148&lt;Input!$G$43,IF($B148&lt;Input!$F$43,IF($B148&lt;Input!$E$43,IF($B148&lt;Input!$D$43,Input!$C$49,Input!$D$49),Input!$E$49),Input!$F$49),Input!$G$49),Input!$H$49)</f>
        <v>33127052.878124986</v>
      </c>
      <c r="N148" s="190">
        <f>IF($A148&lt;Input!$H$50,IF($A148&lt;Input!$G$50,IF($A148&lt;Input!$F$50,IF($A148&lt;Input!$E$50,IF($A148&lt;Input!$D$50,Input!$C$51,Input!$D$51),Input!$E$51),Input!$F$51),Input!$G$51),Input!$H$51)</f>
        <v>0.9</v>
      </c>
      <c r="O148" s="60">
        <f t="shared" si="84"/>
        <v>29814347.590312488</v>
      </c>
      <c r="P148" s="60">
        <f t="shared" si="87"/>
        <v>31</v>
      </c>
      <c r="Q148" s="60">
        <f t="shared" si="88"/>
        <v>878634915.83700657</v>
      </c>
      <c r="R148" s="60">
        <f>ROUND(Q148*$P148*Input!$C$3/365,0)</f>
        <v>11193568</v>
      </c>
      <c r="S148" s="60">
        <f>IF(A148&lt;=Input!$C$6,0,IF('180M'!O148&lt;'180M'!Q148,'180M'!O148-R148,'180M'!Q148))</f>
        <v>18620779.590312488</v>
      </c>
      <c r="T148" s="60">
        <f t="shared" si="89"/>
        <v>29814347.590312488</v>
      </c>
      <c r="U148" s="60">
        <f t="shared" si="90"/>
        <v>860014136.24669409</v>
      </c>
      <c r="V148" s="193"/>
      <c r="W148" s="169">
        <v>144</v>
      </c>
      <c r="X148" s="1">
        <f t="shared" si="104"/>
        <v>49902</v>
      </c>
      <c r="Y148" s="60">
        <f>IF($X148&lt;Input!$H$58,IF($X148&lt;Input!$G$58,IF($X148&lt;Input!$F$58,IF($X148&lt;Input!$E$58,IF($X148&lt;Input!$D$58,Input!$C$64,Input!$D$64),Input!$E$64),Input!$F$64),Input!$G$64),Input!$H$64)</f>
        <v>0</v>
      </c>
      <c r="Z148" s="190">
        <f>IF($A148&lt;Input!$H$65,IF($A148&lt;Input!$G$65,IF($A148&lt;Input!$F$65,IF($A148&lt;Input!$E$65,IF($A148&lt;Input!$D$65,Input!$C$66,Input!$D$66),Input!$E$66),Input!$F$66),Input!$G$66),Input!$H$66)</f>
        <v>0.9</v>
      </c>
      <c r="AA148" s="60">
        <f t="shared" si="91"/>
        <v>0</v>
      </c>
      <c r="AB148" s="60">
        <f t="shared" si="105"/>
        <v>31</v>
      </c>
      <c r="AC148" s="60">
        <f t="shared" si="92"/>
        <v>0</v>
      </c>
      <c r="AD148" s="60">
        <f>ROUND(AC148*AB148*Input!$C$3/365,0)</f>
        <v>0</v>
      </c>
      <c r="AE148" s="61">
        <f>IF($A148&lt;=Input!$C$6,0,IF('180M'!AA148&lt;'180M'!AC148,'180M'!AA148-AD148,'180M'!AC148))</f>
        <v>0</v>
      </c>
      <c r="AF148" s="61">
        <f t="shared" si="93"/>
        <v>0</v>
      </c>
      <c r="AG148" s="60">
        <f t="shared" si="94"/>
        <v>0</v>
      </c>
      <c r="AH148" s="193"/>
      <c r="AI148" s="169">
        <v>144</v>
      </c>
      <c r="AJ148" s="1">
        <f t="shared" si="106"/>
        <v>49902</v>
      </c>
      <c r="AK148" s="60">
        <f>IF($X148&lt;Input!$H$73,IF($X148&lt;Input!$G$73,IF($X148&lt;Input!$F$73,IF($X148&lt;Input!$E$73,IF($X148&lt;Input!$D$73,Input!$C$79,Input!$D$79),Input!$E$79),Input!$F$79),Input!$G$79),Input!$H$79)</f>
        <v>0</v>
      </c>
      <c r="AL148" s="190">
        <f>IF($A148&lt;Input!$H$80,IF($A148&lt;Input!$G$80,IF($A148&lt;Input!$F$80,IF($A148&lt;Input!$E$80,IF($A148&lt;Input!$D$80,Input!$C$81,Input!$D$81),Input!$E$81),Input!$F$81),Input!$G$81),Input!$H$81)</f>
        <v>0.9</v>
      </c>
      <c r="AM148" s="60">
        <f t="shared" si="107"/>
        <v>0</v>
      </c>
      <c r="AN148" s="60">
        <f t="shared" si="108"/>
        <v>31</v>
      </c>
      <c r="AO148" s="60">
        <f t="shared" si="109"/>
        <v>0</v>
      </c>
      <c r="AP148" s="60">
        <f>ROUND(AO148*AN148*Input!$C$3/365,0)</f>
        <v>0</v>
      </c>
      <c r="AQ148" s="61">
        <f>IF($A148&lt;=Input!$C$6,0,IF('180M'!AM148&lt;'180M'!AO148,'180M'!AM148-AP148,'180M'!AO148))</f>
        <v>0</v>
      </c>
      <c r="AR148" s="61">
        <f t="shared" si="110"/>
        <v>0</v>
      </c>
      <c r="AS148" s="60">
        <f t="shared" si="111"/>
        <v>0</v>
      </c>
      <c r="AT148" s="193"/>
      <c r="AU148" s="169">
        <v>144</v>
      </c>
      <c r="AV148" s="1">
        <f t="shared" si="112"/>
        <v>49902</v>
      </c>
      <c r="AW148" s="60">
        <f>IF($X148&lt;Input!$H$88,IF($X148&lt;Input!$G$88,IF($X148&lt;Input!$F$88,IF($X148&lt;Input!$E$88,IF($X148&lt;Input!$D$88,Input!$C$94,Input!$D$94),Input!$E$94),Input!$F$94),Input!$G$94),Input!$H$94)</f>
        <v>0</v>
      </c>
      <c r="AX148" s="190">
        <f>IF($A148&lt;Input!$H$95,IF($A148&lt;Input!$G$95,IF($A148&lt;Input!$F$95,IF($A148&lt;Input!$E$95,IF($A148&lt;Input!$D$95,Input!$C$96,Input!$D$96),Input!$E$96),Input!$F$96),Input!$G$96),Input!$H$96)</f>
        <v>0.9</v>
      </c>
      <c r="AY148" s="60">
        <f t="shared" si="113"/>
        <v>0</v>
      </c>
      <c r="AZ148" s="60">
        <f t="shared" si="114"/>
        <v>31</v>
      </c>
      <c r="BA148" s="60">
        <f t="shared" si="115"/>
        <v>0</v>
      </c>
      <c r="BB148" s="60">
        <f>ROUND(BA148*AZ148*Input!$C$3/365,0)</f>
        <v>0</v>
      </c>
      <c r="BC148" s="61">
        <f>IF($A148&lt;=Input!$C$6,0,IF('180M'!AY148&lt;'180M'!BA148,'180M'!AY148-BB148,'180M'!BA148))</f>
        <v>0</v>
      </c>
      <c r="BD148" s="61">
        <f t="shared" si="116"/>
        <v>0</v>
      </c>
      <c r="BE148" s="60">
        <f t="shared" si="117"/>
        <v>0</v>
      </c>
      <c r="BF148" s="193"/>
      <c r="BG148" s="169">
        <v>144</v>
      </c>
      <c r="BH148" s="1">
        <f t="shared" si="118"/>
        <v>49902</v>
      </c>
      <c r="BI148" s="60">
        <f>IF($X148&lt;Input!$H$103,IF($X148&lt;Input!$G$103,IF($X148&lt;Input!$F$103,IF($X148&lt;Input!$E$103,IF($X148&lt;Input!$D$103,Input!$C$109,Input!$D$109),Input!$E$109),Input!$F$109),Input!$G$109),Input!$H$109)</f>
        <v>0</v>
      </c>
      <c r="BJ148" s="190">
        <f>IF($A148&lt;Input!$H$110,IF($A148&lt;Input!$G$110,IF($A148&lt;Input!$F$110,IF($A148&lt;Input!$E$110,IF($A148&lt;Input!$D$110,Input!$C$111,Input!$D$111),Input!$E$111),Input!$F$111),Input!$G$111),Input!$H$111)</f>
        <v>0.9</v>
      </c>
      <c r="BK148" s="60">
        <f t="shared" si="95"/>
        <v>0</v>
      </c>
      <c r="BL148" s="60">
        <f t="shared" si="119"/>
        <v>31</v>
      </c>
      <c r="BM148" s="60">
        <f t="shared" si="96"/>
        <v>0</v>
      </c>
      <c r="BN148" s="60">
        <f>ROUND(BM148*BL148*Input!$C$3/365,0)</f>
        <v>0</v>
      </c>
      <c r="BO148" s="61">
        <f>IF($A148&lt;=Input!$C$6,0,IF('180M'!BK148&lt;'180M'!BM148,'180M'!BK148-BN148,'180M'!BM148))</f>
        <v>0</v>
      </c>
      <c r="BP148" s="61">
        <f t="shared" si="97"/>
        <v>0</v>
      </c>
      <c r="BQ148" s="60">
        <f t="shared" si="98"/>
        <v>0</v>
      </c>
      <c r="BR148" s="198"/>
    </row>
    <row r="149" spans="1:70" x14ac:dyDescent="0.25">
      <c r="A149" s="169">
        <v>145</v>
      </c>
      <c r="B149" s="1">
        <f t="shared" si="99"/>
        <v>49933</v>
      </c>
      <c r="C149" s="60">
        <f t="shared" si="85"/>
        <v>33127052.878124986</v>
      </c>
      <c r="D149" s="60">
        <f t="shared" si="86"/>
        <v>29814347.590312488</v>
      </c>
      <c r="E149" s="60">
        <f t="shared" si="100"/>
        <v>31</v>
      </c>
      <c r="F149" s="60">
        <f t="shared" si="101"/>
        <v>860014136.24669409</v>
      </c>
      <c r="G149" s="60">
        <f>ROUND(F149*E149*Input!$C$3/365,0)</f>
        <v>10956344</v>
      </c>
      <c r="H149" s="60">
        <f>IF($A149&lt;=Input!$C$6,0,IF('180M'!D149&lt;'180M'!F149,'180M'!D149-G149,'180M'!F149))</f>
        <v>18858003.590312488</v>
      </c>
      <c r="I149" s="60">
        <f t="shared" si="102"/>
        <v>29814347.590312488</v>
      </c>
      <c r="J149" s="60">
        <f t="shared" si="103"/>
        <v>841156132.65638161</v>
      </c>
      <c r="K149" s="203">
        <f>J149/Input!$K$5</f>
        <v>2.8038537755212722</v>
      </c>
      <c r="L149" s="232"/>
      <c r="M149" s="60">
        <f>IF($B149&lt;Input!$H$43,IF($B149&lt;Input!$G$43,IF($B149&lt;Input!$F$43,IF($B149&lt;Input!$E$43,IF($B149&lt;Input!$D$43,Input!$C$49,Input!$D$49),Input!$E$49),Input!$F$49),Input!$G$49),Input!$H$49)</f>
        <v>33127052.878124986</v>
      </c>
      <c r="N149" s="190">
        <f>IF($A149&lt;Input!$H$50,IF($A149&lt;Input!$G$50,IF($A149&lt;Input!$F$50,IF($A149&lt;Input!$E$50,IF($A149&lt;Input!$D$50,Input!$C$51,Input!$D$51),Input!$E$51),Input!$F$51),Input!$G$51),Input!$H$51)</f>
        <v>0.9</v>
      </c>
      <c r="O149" s="60">
        <f t="shared" si="84"/>
        <v>29814347.590312488</v>
      </c>
      <c r="P149" s="60">
        <f t="shared" si="87"/>
        <v>31</v>
      </c>
      <c r="Q149" s="60">
        <f t="shared" si="88"/>
        <v>860014136.24669409</v>
      </c>
      <c r="R149" s="60">
        <f>ROUND(Q149*$P149*Input!$C$3/365,0)</f>
        <v>10956344</v>
      </c>
      <c r="S149" s="60">
        <f>IF(A149&lt;=Input!$C$6,0,IF('180M'!O149&lt;'180M'!Q149,'180M'!O149-R149,'180M'!Q149))</f>
        <v>18858003.590312488</v>
      </c>
      <c r="T149" s="60">
        <f t="shared" si="89"/>
        <v>29814347.590312488</v>
      </c>
      <c r="U149" s="60">
        <f t="shared" si="90"/>
        <v>841156132.65638161</v>
      </c>
      <c r="V149" s="193"/>
      <c r="W149" s="169">
        <v>145</v>
      </c>
      <c r="X149" s="1">
        <f t="shared" si="104"/>
        <v>49933</v>
      </c>
      <c r="Y149" s="60">
        <f>IF($X149&lt;Input!$H$58,IF($X149&lt;Input!$G$58,IF($X149&lt;Input!$F$58,IF($X149&lt;Input!$E$58,IF($X149&lt;Input!$D$58,Input!$C$64,Input!$D$64),Input!$E$64),Input!$F$64),Input!$G$64),Input!$H$64)</f>
        <v>0</v>
      </c>
      <c r="Z149" s="190">
        <f>IF($A149&lt;Input!$H$65,IF($A149&lt;Input!$G$65,IF($A149&lt;Input!$F$65,IF($A149&lt;Input!$E$65,IF($A149&lt;Input!$D$65,Input!$C$66,Input!$D$66),Input!$E$66),Input!$F$66),Input!$G$66),Input!$H$66)</f>
        <v>0.9</v>
      </c>
      <c r="AA149" s="60">
        <f t="shared" si="91"/>
        <v>0</v>
      </c>
      <c r="AB149" s="60">
        <f t="shared" si="105"/>
        <v>31</v>
      </c>
      <c r="AC149" s="60">
        <f t="shared" si="92"/>
        <v>0</v>
      </c>
      <c r="AD149" s="60">
        <f>ROUND(AC149*AB149*Input!$C$3/365,0)</f>
        <v>0</v>
      </c>
      <c r="AE149" s="61">
        <f>IF($A149&lt;=Input!$C$6,0,IF('180M'!AA149&lt;'180M'!AC149,'180M'!AA149-AD149,'180M'!AC149))</f>
        <v>0</v>
      </c>
      <c r="AF149" s="61">
        <f t="shared" si="93"/>
        <v>0</v>
      </c>
      <c r="AG149" s="60">
        <f t="shared" si="94"/>
        <v>0</v>
      </c>
      <c r="AH149" s="193"/>
      <c r="AI149" s="169">
        <v>145</v>
      </c>
      <c r="AJ149" s="1">
        <f t="shared" si="106"/>
        <v>49933</v>
      </c>
      <c r="AK149" s="60">
        <f>IF($X149&lt;Input!$H$73,IF($X149&lt;Input!$G$73,IF($X149&lt;Input!$F$73,IF($X149&lt;Input!$E$73,IF($X149&lt;Input!$D$73,Input!$C$79,Input!$D$79),Input!$E$79),Input!$F$79),Input!$G$79),Input!$H$79)</f>
        <v>0</v>
      </c>
      <c r="AL149" s="190">
        <f>IF($A149&lt;Input!$H$80,IF($A149&lt;Input!$G$80,IF($A149&lt;Input!$F$80,IF($A149&lt;Input!$E$80,IF($A149&lt;Input!$D$80,Input!$C$81,Input!$D$81),Input!$E$81),Input!$F$81),Input!$G$81),Input!$H$81)</f>
        <v>0.9</v>
      </c>
      <c r="AM149" s="60">
        <f t="shared" si="107"/>
        <v>0</v>
      </c>
      <c r="AN149" s="60">
        <f t="shared" si="108"/>
        <v>31</v>
      </c>
      <c r="AO149" s="60">
        <f t="shared" si="109"/>
        <v>0</v>
      </c>
      <c r="AP149" s="60">
        <f>ROUND(AO149*AN149*Input!$C$3/365,0)</f>
        <v>0</v>
      </c>
      <c r="AQ149" s="61">
        <f>IF($A149&lt;=Input!$C$6,0,IF('180M'!AM149&lt;'180M'!AO149,'180M'!AM149-AP149,'180M'!AO149))</f>
        <v>0</v>
      </c>
      <c r="AR149" s="61">
        <f t="shared" si="110"/>
        <v>0</v>
      </c>
      <c r="AS149" s="60">
        <f t="shared" si="111"/>
        <v>0</v>
      </c>
      <c r="AT149" s="193"/>
      <c r="AU149" s="169">
        <v>145</v>
      </c>
      <c r="AV149" s="1">
        <f t="shared" si="112"/>
        <v>49933</v>
      </c>
      <c r="AW149" s="60">
        <f>IF($X149&lt;Input!$H$88,IF($X149&lt;Input!$G$88,IF($X149&lt;Input!$F$88,IF($X149&lt;Input!$E$88,IF($X149&lt;Input!$D$88,Input!$C$94,Input!$D$94),Input!$E$94),Input!$F$94),Input!$G$94),Input!$H$94)</f>
        <v>0</v>
      </c>
      <c r="AX149" s="190">
        <f>IF($A149&lt;Input!$H$95,IF($A149&lt;Input!$G$95,IF($A149&lt;Input!$F$95,IF($A149&lt;Input!$E$95,IF($A149&lt;Input!$D$95,Input!$C$96,Input!$D$96),Input!$E$96),Input!$F$96),Input!$G$96),Input!$H$96)</f>
        <v>0.9</v>
      </c>
      <c r="AY149" s="60">
        <f t="shared" si="113"/>
        <v>0</v>
      </c>
      <c r="AZ149" s="60">
        <f t="shared" si="114"/>
        <v>31</v>
      </c>
      <c r="BA149" s="60">
        <f t="shared" si="115"/>
        <v>0</v>
      </c>
      <c r="BB149" s="60">
        <f>ROUND(BA149*AZ149*Input!$C$3/365,0)</f>
        <v>0</v>
      </c>
      <c r="BC149" s="61">
        <f>IF($A149&lt;=Input!$C$6,0,IF('180M'!AY149&lt;'180M'!BA149,'180M'!AY149-BB149,'180M'!BA149))</f>
        <v>0</v>
      </c>
      <c r="BD149" s="61">
        <f t="shared" si="116"/>
        <v>0</v>
      </c>
      <c r="BE149" s="60">
        <f t="shared" si="117"/>
        <v>0</v>
      </c>
      <c r="BF149" s="193"/>
      <c r="BG149" s="169">
        <v>145</v>
      </c>
      <c r="BH149" s="1">
        <f t="shared" si="118"/>
        <v>49933</v>
      </c>
      <c r="BI149" s="60">
        <f>IF($X149&lt;Input!$H$103,IF($X149&lt;Input!$G$103,IF($X149&lt;Input!$F$103,IF($X149&lt;Input!$E$103,IF($X149&lt;Input!$D$103,Input!$C$109,Input!$D$109),Input!$E$109),Input!$F$109),Input!$G$109),Input!$H$109)</f>
        <v>0</v>
      </c>
      <c r="BJ149" s="190">
        <f>IF($A149&lt;Input!$H$110,IF($A149&lt;Input!$G$110,IF($A149&lt;Input!$F$110,IF($A149&lt;Input!$E$110,IF($A149&lt;Input!$D$110,Input!$C$111,Input!$D$111),Input!$E$111),Input!$F$111),Input!$G$111),Input!$H$111)</f>
        <v>0.9</v>
      </c>
      <c r="BK149" s="60">
        <f t="shared" si="95"/>
        <v>0</v>
      </c>
      <c r="BL149" s="60">
        <f t="shared" si="119"/>
        <v>31</v>
      </c>
      <c r="BM149" s="60">
        <f t="shared" si="96"/>
        <v>0</v>
      </c>
      <c r="BN149" s="60">
        <f>ROUND(BM149*BL149*Input!$C$3/365,0)</f>
        <v>0</v>
      </c>
      <c r="BO149" s="61">
        <f>IF($A149&lt;=Input!$C$6,0,IF('180M'!BK149&lt;'180M'!BM149,'180M'!BK149-BN149,'180M'!BM149))</f>
        <v>0</v>
      </c>
      <c r="BP149" s="61">
        <f t="shared" si="97"/>
        <v>0</v>
      </c>
      <c r="BQ149" s="60">
        <f t="shared" si="98"/>
        <v>0</v>
      </c>
      <c r="BR149" s="198"/>
    </row>
    <row r="150" spans="1:70" x14ac:dyDescent="0.25">
      <c r="A150" s="169">
        <v>146</v>
      </c>
      <c r="B150" s="1">
        <f t="shared" si="99"/>
        <v>49963</v>
      </c>
      <c r="C150" s="60">
        <f t="shared" si="85"/>
        <v>33127052.878124986</v>
      </c>
      <c r="D150" s="60">
        <f t="shared" si="86"/>
        <v>29814347.590312488</v>
      </c>
      <c r="E150" s="60">
        <f t="shared" si="100"/>
        <v>30</v>
      </c>
      <c r="F150" s="60">
        <f t="shared" si="101"/>
        <v>841156132.65638161</v>
      </c>
      <c r="G150" s="60">
        <f>ROUND(F150*E150*Input!$C$3/365,0)</f>
        <v>10370418</v>
      </c>
      <c r="H150" s="60">
        <f>IF($A150&lt;=Input!$C$6,0,IF('180M'!D150&lt;'180M'!F150,'180M'!D150-G150,'180M'!F150))</f>
        <v>19443929.590312488</v>
      </c>
      <c r="I150" s="60">
        <f t="shared" si="102"/>
        <v>29814347.590312488</v>
      </c>
      <c r="J150" s="60">
        <f t="shared" si="103"/>
        <v>821712203.06606913</v>
      </c>
      <c r="K150" s="203">
        <f>J150/Input!$K$5</f>
        <v>2.7390406768868969</v>
      </c>
      <c r="L150" s="232"/>
      <c r="M150" s="60">
        <f>IF($B150&lt;Input!$H$43,IF($B150&lt;Input!$G$43,IF($B150&lt;Input!$F$43,IF($B150&lt;Input!$E$43,IF($B150&lt;Input!$D$43,Input!$C$49,Input!$D$49),Input!$E$49),Input!$F$49),Input!$G$49),Input!$H$49)</f>
        <v>33127052.878124986</v>
      </c>
      <c r="N150" s="190">
        <f>IF($A150&lt;Input!$H$50,IF($A150&lt;Input!$G$50,IF($A150&lt;Input!$F$50,IF($A150&lt;Input!$E$50,IF($A150&lt;Input!$D$50,Input!$C$51,Input!$D$51),Input!$E$51),Input!$F$51),Input!$G$51),Input!$H$51)</f>
        <v>0.9</v>
      </c>
      <c r="O150" s="60">
        <f t="shared" si="84"/>
        <v>29814347.590312488</v>
      </c>
      <c r="P150" s="60">
        <f t="shared" si="87"/>
        <v>30</v>
      </c>
      <c r="Q150" s="60">
        <f t="shared" si="88"/>
        <v>841156132.65638161</v>
      </c>
      <c r="R150" s="60">
        <f>ROUND(Q150*$P150*Input!$C$3/365,0)</f>
        <v>10370418</v>
      </c>
      <c r="S150" s="60">
        <f>IF(A150&lt;=Input!$C$6,0,IF('180M'!O150&lt;'180M'!Q150,'180M'!O150-R150,'180M'!Q150))</f>
        <v>19443929.590312488</v>
      </c>
      <c r="T150" s="60">
        <f t="shared" si="89"/>
        <v>29814347.590312488</v>
      </c>
      <c r="U150" s="60">
        <f t="shared" si="90"/>
        <v>821712203.06606913</v>
      </c>
      <c r="V150" s="193"/>
      <c r="W150" s="169">
        <v>146</v>
      </c>
      <c r="X150" s="1">
        <f t="shared" si="104"/>
        <v>49963</v>
      </c>
      <c r="Y150" s="60">
        <f>IF($X150&lt;Input!$H$58,IF($X150&lt;Input!$G$58,IF($X150&lt;Input!$F$58,IF($X150&lt;Input!$E$58,IF($X150&lt;Input!$D$58,Input!$C$64,Input!$D$64),Input!$E$64),Input!$F$64),Input!$G$64),Input!$H$64)</f>
        <v>0</v>
      </c>
      <c r="Z150" s="190">
        <f>IF($A150&lt;Input!$H$65,IF($A150&lt;Input!$G$65,IF($A150&lt;Input!$F$65,IF($A150&lt;Input!$E$65,IF($A150&lt;Input!$D$65,Input!$C$66,Input!$D$66),Input!$E$66),Input!$F$66),Input!$G$66),Input!$H$66)</f>
        <v>0.9</v>
      </c>
      <c r="AA150" s="60">
        <f t="shared" si="91"/>
        <v>0</v>
      </c>
      <c r="AB150" s="60">
        <f t="shared" si="105"/>
        <v>30</v>
      </c>
      <c r="AC150" s="60">
        <f t="shared" si="92"/>
        <v>0</v>
      </c>
      <c r="AD150" s="60">
        <f>ROUND(AC150*AB150*Input!$C$3/365,0)</f>
        <v>0</v>
      </c>
      <c r="AE150" s="61">
        <f>IF($A150&lt;=Input!$C$6,0,IF('180M'!AA150&lt;'180M'!AC150,'180M'!AA150-AD150,'180M'!AC150))</f>
        <v>0</v>
      </c>
      <c r="AF150" s="61">
        <f t="shared" si="93"/>
        <v>0</v>
      </c>
      <c r="AG150" s="60">
        <f t="shared" si="94"/>
        <v>0</v>
      </c>
      <c r="AH150" s="193"/>
      <c r="AI150" s="169">
        <v>146</v>
      </c>
      <c r="AJ150" s="1">
        <f t="shared" si="106"/>
        <v>49963</v>
      </c>
      <c r="AK150" s="60">
        <f>IF($X150&lt;Input!$H$73,IF($X150&lt;Input!$G$73,IF($X150&lt;Input!$F$73,IF($X150&lt;Input!$E$73,IF($X150&lt;Input!$D$73,Input!$C$79,Input!$D$79),Input!$E$79),Input!$F$79),Input!$G$79),Input!$H$79)</f>
        <v>0</v>
      </c>
      <c r="AL150" s="190">
        <f>IF($A150&lt;Input!$H$80,IF($A150&lt;Input!$G$80,IF($A150&lt;Input!$F$80,IF($A150&lt;Input!$E$80,IF($A150&lt;Input!$D$80,Input!$C$81,Input!$D$81),Input!$E$81),Input!$F$81),Input!$G$81),Input!$H$81)</f>
        <v>0.9</v>
      </c>
      <c r="AM150" s="60">
        <f t="shared" si="107"/>
        <v>0</v>
      </c>
      <c r="AN150" s="60">
        <f t="shared" si="108"/>
        <v>30</v>
      </c>
      <c r="AO150" s="60">
        <f t="shared" si="109"/>
        <v>0</v>
      </c>
      <c r="AP150" s="60">
        <f>ROUND(AO150*AN150*Input!$C$3/365,0)</f>
        <v>0</v>
      </c>
      <c r="AQ150" s="61">
        <f>IF($A150&lt;=Input!$C$6,0,IF('180M'!AM150&lt;'180M'!AO150,'180M'!AM150-AP150,'180M'!AO150))</f>
        <v>0</v>
      </c>
      <c r="AR150" s="61">
        <f t="shared" si="110"/>
        <v>0</v>
      </c>
      <c r="AS150" s="60">
        <f t="shared" si="111"/>
        <v>0</v>
      </c>
      <c r="AT150" s="193"/>
      <c r="AU150" s="169">
        <v>146</v>
      </c>
      <c r="AV150" s="1">
        <f t="shared" si="112"/>
        <v>49963</v>
      </c>
      <c r="AW150" s="60">
        <f>IF($X150&lt;Input!$H$88,IF($X150&lt;Input!$G$88,IF($X150&lt;Input!$F$88,IF($X150&lt;Input!$E$88,IF($X150&lt;Input!$D$88,Input!$C$94,Input!$D$94),Input!$E$94),Input!$F$94),Input!$G$94),Input!$H$94)</f>
        <v>0</v>
      </c>
      <c r="AX150" s="190">
        <f>IF($A150&lt;Input!$H$95,IF($A150&lt;Input!$G$95,IF($A150&lt;Input!$F$95,IF($A150&lt;Input!$E$95,IF($A150&lt;Input!$D$95,Input!$C$96,Input!$D$96),Input!$E$96),Input!$F$96),Input!$G$96),Input!$H$96)</f>
        <v>0.9</v>
      </c>
      <c r="AY150" s="60">
        <f t="shared" si="113"/>
        <v>0</v>
      </c>
      <c r="AZ150" s="60">
        <f t="shared" si="114"/>
        <v>30</v>
      </c>
      <c r="BA150" s="60">
        <f t="shared" si="115"/>
        <v>0</v>
      </c>
      <c r="BB150" s="60">
        <f>ROUND(BA150*AZ150*Input!$C$3/365,0)</f>
        <v>0</v>
      </c>
      <c r="BC150" s="61">
        <f>IF($A150&lt;=Input!$C$6,0,IF('180M'!AY150&lt;'180M'!BA150,'180M'!AY150-BB150,'180M'!BA150))</f>
        <v>0</v>
      </c>
      <c r="BD150" s="61">
        <f t="shared" si="116"/>
        <v>0</v>
      </c>
      <c r="BE150" s="60">
        <f t="shared" si="117"/>
        <v>0</v>
      </c>
      <c r="BF150" s="193"/>
      <c r="BG150" s="169">
        <v>146</v>
      </c>
      <c r="BH150" s="1">
        <f t="shared" si="118"/>
        <v>49963</v>
      </c>
      <c r="BI150" s="60">
        <f>IF($X150&lt;Input!$H$103,IF($X150&lt;Input!$G$103,IF($X150&lt;Input!$F$103,IF($X150&lt;Input!$E$103,IF($X150&lt;Input!$D$103,Input!$C$109,Input!$D$109),Input!$E$109),Input!$F$109),Input!$G$109),Input!$H$109)</f>
        <v>0</v>
      </c>
      <c r="BJ150" s="190">
        <f>IF($A150&lt;Input!$H$110,IF($A150&lt;Input!$G$110,IF($A150&lt;Input!$F$110,IF($A150&lt;Input!$E$110,IF($A150&lt;Input!$D$110,Input!$C$111,Input!$D$111),Input!$E$111),Input!$F$111),Input!$G$111),Input!$H$111)</f>
        <v>0.9</v>
      </c>
      <c r="BK150" s="60">
        <f t="shared" si="95"/>
        <v>0</v>
      </c>
      <c r="BL150" s="60">
        <f t="shared" si="119"/>
        <v>30</v>
      </c>
      <c r="BM150" s="60">
        <f t="shared" si="96"/>
        <v>0</v>
      </c>
      <c r="BN150" s="60">
        <f>ROUND(BM150*BL150*Input!$C$3/365,0)</f>
        <v>0</v>
      </c>
      <c r="BO150" s="61">
        <f>IF($A150&lt;=Input!$C$6,0,IF('180M'!BK150&lt;'180M'!BM150,'180M'!BK150-BN150,'180M'!BM150))</f>
        <v>0</v>
      </c>
      <c r="BP150" s="61">
        <f t="shared" si="97"/>
        <v>0</v>
      </c>
      <c r="BQ150" s="60">
        <f t="shared" si="98"/>
        <v>0</v>
      </c>
      <c r="BR150" s="198"/>
    </row>
    <row r="151" spans="1:70" x14ac:dyDescent="0.25">
      <c r="A151" s="169">
        <v>147</v>
      </c>
      <c r="B151" s="1">
        <f t="shared" si="99"/>
        <v>49994</v>
      </c>
      <c r="C151" s="60">
        <f t="shared" si="85"/>
        <v>33127052.878124986</v>
      </c>
      <c r="D151" s="60">
        <f t="shared" si="86"/>
        <v>29814347.590312488</v>
      </c>
      <c r="E151" s="60">
        <f t="shared" si="100"/>
        <v>31</v>
      </c>
      <c r="F151" s="60">
        <f t="shared" si="101"/>
        <v>821712203.06606913</v>
      </c>
      <c r="G151" s="60">
        <f>ROUND(F151*E151*Input!$C$3/365,0)</f>
        <v>10468388</v>
      </c>
      <c r="H151" s="60">
        <f>IF($A151&lt;=Input!$C$6,0,IF('180M'!D151&lt;'180M'!F151,'180M'!D151-G151,'180M'!F151))</f>
        <v>19345959.590312488</v>
      </c>
      <c r="I151" s="60">
        <f t="shared" si="102"/>
        <v>29814347.590312488</v>
      </c>
      <c r="J151" s="60">
        <f t="shared" si="103"/>
        <v>802366243.47575665</v>
      </c>
      <c r="K151" s="203">
        <f>J151/Input!$K$5</f>
        <v>2.6745541449191887</v>
      </c>
      <c r="L151" s="232"/>
      <c r="M151" s="60">
        <f>IF($B151&lt;Input!$H$43,IF($B151&lt;Input!$G$43,IF($B151&lt;Input!$F$43,IF($B151&lt;Input!$E$43,IF($B151&lt;Input!$D$43,Input!$C$49,Input!$D$49),Input!$E$49),Input!$F$49),Input!$G$49),Input!$H$49)</f>
        <v>33127052.878124986</v>
      </c>
      <c r="N151" s="190">
        <f>IF($A151&lt;Input!$H$50,IF($A151&lt;Input!$G$50,IF($A151&lt;Input!$F$50,IF($A151&lt;Input!$E$50,IF($A151&lt;Input!$D$50,Input!$C$51,Input!$D$51),Input!$E$51),Input!$F$51),Input!$G$51),Input!$H$51)</f>
        <v>0.9</v>
      </c>
      <c r="O151" s="60">
        <f t="shared" si="84"/>
        <v>29814347.590312488</v>
      </c>
      <c r="P151" s="60">
        <f t="shared" si="87"/>
        <v>31</v>
      </c>
      <c r="Q151" s="60">
        <f t="shared" si="88"/>
        <v>821712203.06606913</v>
      </c>
      <c r="R151" s="60">
        <f>ROUND(Q151*$P151*Input!$C$3/365,0)</f>
        <v>10468388</v>
      </c>
      <c r="S151" s="60">
        <f>IF(A151&lt;=Input!$C$6,0,IF('180M'!O151&lt;'180M'!Q151,'180M'!O151-R151,'180M'!Q151))</f>
        <v>19345959.590312488</v>
      </c>
      <c r="T151" s="60">
        <f t="shared" si="89"/>
        <v>29814347.590312488</v>
      </c>
      <c r="U151" s="60">
        <f t="shared" si="90"/>
        <v>802366243.47575665</v>
      </c>
      <c r="V151" s="193"/>
      <c r="W151" s="169">
        <v>147</v>
      </c>
      <c r="X151" s="1">
        <f t="shared" si="104"/>
        <v>49994</v>
      </c>
      <c r="Y151" s="60">
        <f>IF($X151&lt;Input!$H$58,IF($X151&lt;Input!$G$58,IF($X151&lt;Input!$F$58,IF($X151&lt;Input!$E$58,IF($X151&lt;Input!$D$58,Input!$C$64,Input!$D$64),Input!$E$64),Input!$F$64),Input!$G$64),Input!$H$64)</f>
        <v>0</v>
      </c>
      <c r="Z151" s="190">
        <f>IF($A151&lt;Input!$H$65,IF($A151&lt;Input!$G$65,IF($A151&lt;Input!$F$65,IF($A151&lt;Input!$E$65,IF($A151&lt;Input!$D$65,Input!$C$66,Input!$D$66),Input!$E$66),Input!$F$66),Input!$G$66),Input!$H$66)</f>
        <v>0.9</v>
      </c>
      <c r="AA151" s="60">
        <f t="shared" si="91"/>
        <v>0</v>
      </c>
      <c r="AB151" s="60">
        <f t="shared" si="105"/>
        <v>31</v>
      </c>
      <c r="AC151" s="60">
        <f t="shared" si="92"/>
        <v>0</v>
      </c>
      <c r="AD151" s="60">
        <f>ROUND(AC151*AB151*Input!$C$3/365,0)</f>
        <v>0</v>
      </c>
      <c r="AE151" s="61">
        <f>IF($A151&lt;=Input!$C$6,0,IF('180M'!AA151&lt;'180M'!AC151,'180M'!AA151-AD151,'180M'!AC151))</f>
        <v>0</v>
      </c>
      <c r="AF151" s="61">
        <f t="shared" si="93"/>
        <v>0</v>
      </c>
      <c r="AG151" s="60">
        <f t="shared" si="94"/>
        <v>0</v>
      </c>
      <c r="AH151" s="193"/>
      <c r="AI151" s="169">
        <v>147</v>
      </c>
      <c r="AJ151" s="1">
        <f t="shared" si="106"/>
        <v>49994</v>
      </c>
      <c r="AK151" s="60">
        <f>IF($X151&lt;Input!$H$73,IF($X151&lt;Input!$G$73,IF($X151&lt;Input!$F$73,IF($X151&lt;Input!$E$73,IF($X151&lt;Input!$D$73,Input!$C$79,Input!$D$79),Input!$E$79),Input!$F$79),Input!$G$79),Input!$H$79)</f>
        <v>0</v>
      </c>
      <c r="AL151" s="190">
        <f>IF($A151&lt;Input!$H$80,IF($A151&lt;Input!$G$80,IF($A151&lt;Input!$F$80,IF($A151&lt;Input!$E$80,IF($A151&lt;Input!$D$80,Input!$C$81,Input!$D$81),Input!$E$81),Input!$F$81),Input!$G$81),Input!$H$81)</f>
        <v>0.9</v>
      </c>
      <c r="AM151" s="60">
        <f t="shared" si="107"/>
        <v>0</v>
      </c>
      <c r="AN151" s="60">
        <f t="shared" si="108"/>
        <v>31</v>
      </c>
      <c r="AO151" s="60">
        <f t="shared" si="109"/>
        <v>0</v>
      </c>
      <c r="AP151" s="60">
        <f>ROUND(AO151*AN151*Input!$C$3/365,0)</f>
        <v>0</v>
      </c>
      <c r="AQ151" s="61">
        <f>IF($A151&lt;=Input!$C$6,0,IF('180M'!AM151&lt;'180M'!AO151,'180M'!AM151-AP151,'180M'!AO151))</f>
        <v>0</v>
      </c>
      <c r="AR151" s="61">
        <f t="shared" si="110"/>
        <v>0</v>
      </c>
      <c r="AS151" s="60">
        <f t="shared" si="111"/>
        <v>0</v>
      </c>
      <c r="AT151" s="193"/>
      <c r="AU151" s="169">
        <v>147</v>
      </c>
      <c r="AV151" s="1">
        <f t="shared" si="112"/>
        <v>49994</v>
      </c>
      <c r="AW151" s="60">
        <f>IF($X151&lt;Input!$H$88,IF($X151&lt;Input!$G$88,IF($X151&lt;Input!$F$88,IF($X151&lt;Input!$E$88,IF($X151&lt;Input!$D$88,Input!$C$94,Input!$D$94),Input!$E$94),Input!$F$94),Input!$G$94),Input!$H$94)</f>
        <v>0</v>
      </c>
      <c r="AX151" s="190">
        <f>IF($A151&lt;Input!$H$95,IF($A151&lt;Input!$G$95,IF($A151&lt;Input!$F$95,IF($A151&lt;Input!$E$95,IF($A151&lt;Input!$D$95,Input!$C$96,Input!$D$96),Input!$E$96),Input!$F$96),Input!$G$96),Input!$H$96)</f>
        <v>0.9</v>
      </c>
      <c r="AY151" s="60">
        <f t="shared" si="113"/>
        <v>0</v>
      </c>
      <c r="AZ151" s="60">
        <f t="shared" si="114"/>
        <v>31</v>
      </c>
      <c r="BA151" s="60">
        <f t="shared" si="115"/>
        <v>0</v>
      </c>
      <c r="BB151" s="60">
        <f>ROUND(BA151*AZ151*Input!$C$3/365,0)</f>
        <v>0</v>
      </c>
      <c r="BC151" s="61">
        <f>IF($A151&lt;=Input!$C$6,0,IF('180M'!AY151&lt;'180M'!BA151,'180M'!AY151-BB151,'180M'!BA151))</f>
        <v>0</v>
      </c>
      <c r="BD151" s="61">
        <f t="shared" si="116"/>
        <v>0</v>
      </c>
      <c r="BE151" s="60">
        <f t="shared" si="117"/>
        <v>0</v>
      </c>
      <c r="BF151" s="193"/>
      <c r="BG151" s="169">
        <v>147</v>
      </c>
      <c r="BH151" s="1">
        <f t="shared" si="118"/>
        <v>49994</v>
      </c>
      <c r="BI151" s="60">
        <f>IF($X151&lt;Input!$H$103,IF($X151&lt;Input!$G$103,IF($X151&lt;Input!$F$103,IF($X151&lt;Input!$E$103,IF($X151&lt;Input!$D$103,Input!$C$109,Input!$D$109),Input!$E$109),Input!$F$109),Input!$G$109),Input!$H$109)</f>
        <v>0</v>
      </c>
      <c r="BJ151" s="190">
        <f>IF($A151&lt;Input!$H$110,IF($A151&lt;Input!$G$110,IF($A151&lt;Input!$F$110,IF($A151&lt;Input!$E$110,IF($A151&lt;Input!$D$110,Input!$C$111,Input!$D$111),Input!$E$111),Input!$F$111),Input!$G$111),Input!$H$111)</f>
        <v>0.9</v>
      </c>
      <c r="BK151" s="60">
        <f t="shared" si="95"/>
        <v>0</v>
      </c>
      <c r="BL151" s="60">
        <f t="shared" si="119"/>
        <v>31</v>
      </c>
      <c r="BM151" s="60">
        <f t="shared" si="96"/>
        <v>0</v>
      </c>
      <c r="BN151" s="60">
        <f>ROUND(BM151*BL151*Input!$C$3/365,0)</f>
        <v>0</v>
      </c>
      <c r="BO151" s="61">
        <f>IF($A151&lt;=Input!$C$6,0,IF('180M'!BK151&lt;'180M'!BM151,'180M'!BK151-BN151,'180M'!BM151))</f>
        <v>0</v>
      </c>
      <c r="BP151" s="61">
        <f t="shared" si="97"/>
        <v>0</v>
      </c>
      <c r="BQ151" s="60">
        <f t="shared" si="98"/>
        <v>0</v>
      </c>
      <c r="BR151" s="198"/>
    </row>
    <row r="152" spans="1:70" x14ac:dyDescent="0.25">
      <c r="A152" s="169">
        <v>148</v>
      </c>
      <c r="B152" s="1">
        <f t="shared" si="99"/>
        <v>50024</v>
      </c>
      <c r="C152" s="60">
        <f t="shared" si="85"/>
        <v>33127052.878124986</v>
      </c>
      <c r="D152" s="60">
        <f t="shared" si="86"/>
        <v>29814347.590312488</v>
      </c>
      <c r="E152" s="60">
        <f t="shared" si="100"/>
        <v>30</v>
      </c>
      <c r="F152" s="60">
        <f t="shared" si="101"/>
        <v>802366243.47575665</v>
      </c>
      <c r="G152" s="60">
        <f>ROUND(F152*E152*Input!$C$3/365,0)</f>
        <v>9892187</v>
      </c>
      <c r="H152" s="60">
        <f>IF($A152&lt;=Input!$C$6,0,IF('180M'!D152&lt;'180M'!F152,'180M'!D152-G152,'180M'!F152))</f>
        <v>19922160.590312488</v>
      </c>
      <c r="I152" s="60">
        <f t="shared" si="102"/>
        <v>29814347.590312488</v>
      </c>
      <c r="J152" s="60">
        <f t="shared" si="103"/>
        <v>782444082.88544416</v>
      </c>
      <c r="K152" s="203">
        <f>J152/Input!$K$5</f>
        <v>2.6081469429514805</v>
      </c>
      <c r="L152" s="232"/>
      <c r="M152" s="60">
        <f>IF($B152&lt;Input!$H$43,IF($B152&lt;Input!$G$43,IF($B152&lt;Input!$F$43,IF($B152&lt;Input!$E$43,IF($B152&lt;Input!$D$43,Input!$C$49,Input!$D$49),Input!$E$49),Input!$F$49),Input!$G$49),Input!$H$49)</f>
        <v>33127052.878124986</v>
      </c>
      <c r="N152" s="190">
        <f>IF($A152&lt;Input!$H$50,IF($A152&lt;Input!$G$50,IF($A152&lt;Input!$F$50,IF($A152&lt;Input!$E$50,IF($A152&lt;Input!$D$50,Input!$C$51,Input!$D$51),Input!$E$51),Input!$F$51),Input!$G$51),Input!$H$51)</f>
        <v>0.9</v>
      </c>
      <c r="O152" s="60">
        <f t="shared" si="84"/>
        <v>29814347.590312488</v>
      </c>
      <c r="P152" s="60">
        <f t="shared" si="87"/>
        <v>30</v>
      </c>
      <c r="Q152" s="60">
        <f t="shared" si="88"/>
        <v>802366243.47575665</v>
      </c>
      <c r="R152" s="60">
        <f>ROUND(Q152*$P152*Input!$C$3/365,0)</f>
        <v>9892187</v>
      </c>
      <c r="S152" s="60">
        <f>IF(A152&lt;=Input!$C$6,0,IF('180M'!O152&lt;'180M'!Q152,'180M'!O152-R152,'180M'!Q152))</f>
        <v>19922160.590312488</v>
      </c>
      <c r="T152" s="60">
        <f t="shared" si="89"/>
        <v>29814347.590312488</v>
      </c>
      <c r="U152" s="60">
        <f t="shared" si="90"/>
        <v>782444082.88544416</v>
      </c>
      <c r="V152" s="193"/>
      <c r="W152" s="169">
        <v>148</v>
      </c>
      <c r="X152" s="1">
        <f t="shared" si="104"/>
        <v>50024</v>
      </c>
      <c r="Y152" s="60">
        <f>IF($X152&lt;Input!$H$58,IF($X152&lt;Input!$G$58,IF($X152&lt;Input!$F$58,IF($X152&lt;Input!$E$58,IF($X152&lt;Input!$D$58,Input!$C$64,Input!$D$64),Input!$E$64),Input!$F$64),Input!$G$64),Input!$H$64)</f>
        <v>0</v>
      </c>
      <c r="Z152" s="190">
        <f>IF($A152&lt;Input!$H$65,IF($A152&lt;Input!$G$65,IF($A152&lt;Input!$F$65,IF($A152&lt;Input!$E$65,IF($A152&lt;Input!$D$65,Input!$C$66,Input!$D$66),Input!$E$66),Input!$F$66),Input!$G$66),Input!$H$66)</f>
        <v>0.9</v>
      </c>
      <c r="AA152" s="60">
        <f t="shared" si="91"/>
        <v>0</v>
      </c>
      <c r="AB152" s="60">
        <f t="shared" si="105"/>
        <v>30</v>
      </c>
      <c r="AC152" s="60">
        <f t="shared" si="92"/>
        <v>0</v>
      </c>
      <c r="AD152" s="60">
        <f>ROUND(AC152*AB152*Input!$C$3/365,0)</f>
        <v>0</v>
      </c>
      <c r="AE152" s="61">
        <f>IF($A152&lt;=Input!$C$6,0,IF('180M'!AA152&lt;'180M'!AC152,'180M'!AA152-AD152,'180M'!AC152))</f>
        <v>0</v>
      </c>
      <c r="AF152" s="61">
        <f t="shared" si="93"/>
        <v>0</v>
      </c>
      <c r="AG152" s="60">
        <f t="shared" si="94"/>
        <v>0</v>
      </c>
      <c r="AH152" s="193"/>
      <c r="AI152" s="169">
        <v>148</v>
      </c>
      <c r="AJ152" s="1">
        <f t="shared" si="106"/>
        <v>50024</v>
      </c>
      <c r="AK152" s="60">
        <f>IF($X152&lt;Input!$H$73,IF($X152&lt;Input!$G$73,IF($X152&lt;Input!$F$73,IF($X152&lt;Input!$E$73,IF($X152&lt;Input!$D$73,Input!$C$79,Input!$D$79),Input!$E$79),Input!$F$79),Input!$G$79),Input!$H$79)</f>
        <v>0</v>
      </c>
      <c r="AL152" s="190">
        <f>IF($A152&lt;Input!$H$80,IF($A152&lt;Input!$G$80,IF($A152&lt;Input!$F$80,IF($A152&lt;Input!$E$80,IF($A152&lt;Input!$D$80,Input!$C$81,Input!$D$81),Input!$E$81),Input!$F$81),Input!$G$81),Input!$H$81)</f>
        <v>0.9</v>
      </c>
      <c r="AM152" s="60">
        <f t="shared" si="107"/>
        <v>0</v>
      </c>
      <c r="AN152" s="60">
        <f t="shared" si="108"/>
        <v>30</v>
      </c>
      <c r="AO152" s="60">
        <f t="shared" si="109"/>
        <v>0</v>
      </c>
      <c r="AP152" s="60">
        <f>ROUND(AO152*AN152*Input!$C$3/365,0)</f>
        <v>0</v>
      </c>
      <c r="AQ152" s="61">
        <f>IF($A152&lt;=Input!$C$6,0,IF('180M'!AM152&lt;'180M'!AO152,'180M'!AM152-AP152,'180M'!AO152))</f>
        <v>0</v>
      </c>
      <c r="AR152" s="61">
        <f t="shared" si="110"/>
        <v>0</v>
      </c>
      <c r="AS152" s="60">
        <f t="shared" si="111"/>
        <v>0</v>
      </c>
      <c r="AT152" s="193"/>
      <c r="AU152" s="169">
        <v>148</v>
      </c>
      <c r="AV152" s="1">
        <f t="shared" si="112"/>
        <v>50024</v>
      </c>
      <c r="AW152" s="60">
        <f>IF($X152&lt;Input!$H$88,IF($X152&lt;Input!$G$88,IF($X152&lt;Input!$F$88,IF($X152&lt;Input!$E$88,IF($X152&lt;Input!$D$88,Input!$C$94,Input!$D$94),Input!$E$94),Input!$F$94),Input!$G$94),Input!$H$94)</f>
        <v>0</v>
      </c>
      <c r="AX152" s="190">
        <f>IF($A152&lt;Input!$H$95,IF($A152&lt;Input!$G$95,IF($A152&lt;Input!$F$95,IF($A152&lt;Input!$E$95,IF($A152&lt;Input!$D$95,Input!$C$96,Input!$D$96),Input!$E$96),Input!$F$96),Input!$G$96),Input!$H$96)</f>
        <v>0.9</v>
      </c>
      <c r="AY152" s="60">
        <f t="shared" si="113"/>
        <v>0</v>
      </c>
      <c r="AZ152" s="60">
        <f t="shared" si="114"/>
        <v>30</v>
      </c>
      <c r="BA152" s="60">
        <f t="shared" si="115"/>
        <v>0</v>
      </c>
      <c r="BB152" s="60">
        <f>ROUND(BA152*AZ152*Input!$C$3/365,0)</f>
        <v>0</v>
      </c>
      <c r="BC152" s="61">
        <f>IF($A152&lt;=Input!$C$6,0,IF('180M'!AY152&lt;'180M'!BA152,'180M'!AY152-BB152,'180M'!BA152))</f>
        <v>0</v>
      </c>
      <c r="BD152" s="61">
        <f t="shared" si="116"/>
        <v>0</v>
      </c>
      <c r="BE152" s="60">
        <f t="shared" si="117"/>
        <v>0</v>
      </c>
      <c r="BF152" s="193"/>
      <c r="BG152" s="169">
        <v>148</v>
      </c>
      <c r="BH152" s="1">
        <f t="shared" si="118"/>
        <v>50024</v>
      </c>
      <c r="BI152" s="60">
        <f>IF($X152&lt;Input!$H$103,IF($X152&lt;Input!$G$103,IF($X152&lt;Input!$F$103,IF($X152&lt;Input!$E$103,IF($X152&lt;Input!$D$103,Input!$C$109,Input!$D$109),Input!$E$109),Input!$F$109),Input!$G$109),Input!$H$109)</f>
        <v>0</v>
      </c>
      <c r="BJ152" s="190">
        <f>IF($A152&lt;Input!$H$110,IF($A152&lt;Input!$G$110,IF($A152&lt;Input!$F$110,IF($A152&lt;Input!$E$110,IF($A152&lt;Input!$D$110,Input!$C$111,Input!$D$111),Input!$E$111),Input!$F$111),Input!$G$111),Input!$H$111)</f>
        <v>0.9</v>
      </c>
      <c r="BK152" s="60">
        <f t="shared" si="95"/>
        <v>0</v>
      </c>
      <c r="BL152" s="60">
        <f t="shared" si="119"/>
        <v>30</v>
      </c>
      <c r="BM152" s="60">
        <f t="shared" si="96"/>
        <v>0</v>
      </c>
      <c r="BN152" s="60">
        <f>ROUND(BM152*BL152*Input!$C$3/365,0)</f>
        <v>0</v>
      </c>
      <c r="BO152" s="61">
        <f>IF($A152&lt;=Input!$C$6,0,IF('180M'!BK152&lt;'180M'!BM152,'180M'!BK152-BN152,'180M'!BM152))</f>
        <v>0</v>
      </c>
      <c r="BP152" s="61">
        <f t="shared" si="97"/>
        <v>0</v>
      </c>
      <c r="BQ152" s="60">
        <f t="shared" si="98"/>
        <v>0</v>
      </c>
      <c r="BR152" s="198"/>
    </row>
    <row r="153" spans="1:70" x14ac:dyDescent="0.25">
      <c r="A153" s="169">
        <v>149</v>
      </c>
      <c r="B153" s="1">
        <f t="shared" si="99"/>
        <v>50055</v>
      </c>
      <c r="C153" s="60">
        <f t="shared" si="85"/>
        <v>33127052.878124986</v>
      </c>
      <c r="D153" s="60">
        <f t="shared" si="86"/>
        <v>29814347.590312488</v>
      </c>
      <c r="E153" s="60">
        <f t="shared" si="100"/>
        <v>31</v>
      </c>
      <c r="F153" s="60">
        <f t="shared" si="101"/>
        <v>782444082.88544416</v>
      </c>
      <c r="G153" s="60">
        <f>ROUND(F153*E153*Input!$C$3/365,0)</f>
        <v>9968123</v>
      </c>
      <c r="H153" s="60">
        <f>IF($A153&lt;=Input!$C$6,0,IF('180M'!D153&lt;'180M'!F153,'180M'!D153-G153,'180M'!F153))</f>
        <v>19846224.590312488</v>
      </c>
      <c r="I153" s="60">
        <f t="shared" si="102"/>
        <v>29814347.590312488</v>
      </c>
      <c r="J153" s="60">
        <f t="shared" si="103"/>
        <v>762597858.29513168</v>
      </c>
      <c r="K153" s="203">
        <f>J153/Input!$K$5</f>
        <v>2.5419928609837723</v>
      </c>
      <c r="L153" s="232"/>
      <c r="M153" s="60">
        <f>IF($B153&lt;Input!$H$43,IF($B153&lt;Input!$G$43,IF($B153&lt;Input!$F$43,IF($B153&lt;Input!$E$43,IF($B153&lt;Input!$D$43,Input!$C$49,Input!$D$49),Input!$E$49),Input!$F$49),Input!$G$49),Input!$H$49)</f>
        <v>33127052.878124986</v>
      </c>
      <c r="N153" s="190">
        <f>IF($A153&lt;Input!$H$50,IF($A153&lt;Input!$G$50,IF($A153&lt;Input!$F$50,IF($A153&lt;Input!$E$50,IF($A153&lt;Input!$D$50,Input!$C$51,Input!$D$51),Input!$E$51),Input!$F$51),Input!$G$51),Input!$H$51)</f>
        <v>0.9</v>
      </c>
      <c r="O153" s="60">
        <f t="shared" si="84"/>
        <v>29814347.590312488</v>
      </c>
      <c r="P153" s="60">
        <f t="shared" si="87"/>
        <v>31</v>
      </c>
      <c r="Q153" s="60">
        <f t="shared" si="88"/>
        <v>782444082.88544416</v>
      </c>
      <c r="R153" s="60">
        <f>ROUND(Q153*$P153*Input!$C$3/365,0)</f>
        <v>9968123</v>
      </c>
      <c r="S153" s="60">
        <f>IF(A153&lt;=Input!$C$6,0,IF('180M'!O153&lt;'180M'!Q153,'180M'!O153-R153,'180M'!Q153))</f>
        <v>19846224.590312488</v>
      </c>
      <c r="T153" s="60">
        <f t="shared" si="89"/>
        <v>29814347.590312488</v>
      </c>
      <c r="U153" s="60">
        <f t="shared" si="90"/>
        <v>762597858.29513168</v>
      </c>
      <c r="V153" s="193"/>
      <c r="W153" s="169">
        <v>149</v>
      </c>
      <c r="X153" s="1">
        <f t="shared" si="104"/>
        <v>50055</v>
      </c>
      <c r="Y153" s="60">
        <f>IF($X153&lt;Input!$H$58,IF($X153&lt;Input!$G$58,IF($X153&lt;Input!$F$58,IF($X153&lt;Input!$E$58,IF($X153&lt;Input!$D$58,Input!$C$64,Input!$D$64),Input!$E$64),Input!$F$64),Input!$G$64),Input!$H$64)</f>
        <v>0</v>
      </c>
      <c r="Z153" s="190">
        <f>IF($A153&lt;Input!$H$65,IF($A153&lt;Input!$G$65,IF($A153&lt;Input!$F$65,IF($A153&lt;Input!$E$65,IF($A153&lt;Input!$D$65,Input!$C$66,Input!$D$66),Input!$E$66),Input!$F$66),Input!$G$66),Input!$H$66)</f>
        <v>0.9</v>
      </c>
      <c r="AA153" s="60">
        <f t="shared" si="91"/>
        <v>0</v>
      </c>
      <c r="AB153" s="60">
        <f t="shared" si="105"/>
        <v>31</v>
      </c>
      <c r="AC153" s="60">
        <f t="shared" si="92"/>
        <v>0</v>
      </c>
      <c r="AD153" s="60">
        <f>ROUND(AC153*AB153*Input!$C$3/365,0)</f>
        <v>0</v>
      </c>
      <c r="AE153" s="61">
        <f>IF($A153&lt;=Input!$C$6,0,IF('180M'!AA153&lt;'180M'!AC153,'180M'!AA153-AD153,'180M'!AC153))</f>
        <v>0</v>
      </c>
      <c r="AF153" s="61">
        <f t="shared" si="93"/>
        <v>0</v>
      </c>
      <c r="AG153" s="60">
        <f t="shared" si="94"/>
        <v>0</v>
      </c>
      <c r="AH153" s="193"/>
      <c r="AI153" s="169">
        <v>149</v>
      </c>
      <c r="AJ153" s="1">
        <f t="shared" si="106"/>
        <v>50055</v>
      </c>
      <c r="AK153" s="60">
        <f>IF($X153&lt;Input!$H$73,IF($X153&lt;Input!$G$73,IF($X153&lt;Input!$F$73,IF($X153&lt;Input!$E$73,IF($X153&lt;Input!$D$73,Input!$C$79,Input!$D$79),Input!$E$79),Input!$F$79),Input!$G$79),Input!$H$79)</f>
        <v>0</v>
      </c>
      <c r="AL153" s="190">
        <f>IF($A153&lt;Input!$H$80,IF($A153&lt;Input!$G$80,IF($A153&lt;Input!$F$80,IF($A153&lt;Input!$E$80,IF($A153&lt;Input!$D$80,Input!$C$81,Input!$D$81),Input!$E$81),Input!$F$81),Input!$G$81),Input!$H$81)</f>
        <v>0.9</v>
      </c>
      <c r="AM153" s="60">
        <f t="shared" si="107"/>
        <v>0</v>
      </c>
      <c r="AN153" s="60">
        <f t="shared" si="108"/>
        <v>31</v>
      </c>
      <c r="AO153" s="60">
        <f t="shared" si="109"/>
        <v>0</v>
      </c>
      <c r="AP153" s="60">
        <f>ROUND(AO153*AN153*Input!$C$3/365,0)</f>
        <v>0</v>
      </c>
      <c r="AQ153" s="61">
        <f>IF($A153&lt;=Input!$C$6,0,IF('180M'!AM153&lt;'180M'!AO153,'180M'!AM153-AP153,'180M'!AO153))</f>
        <v>0</v>
      </c>
      <c r="AR153" s="61">
        <f t="shared" si="110"/>
        <v>0</v>
      </c>
      <c r="AS153" s="60">
        <f t="shared" si="111"/>
        <v>0</v>
      </c>
      <c r="AT153" s="193"/>
      <c r="AU153" s="169">
        <v>149</v>
      </c>
      <c r="AV153" s="1">
        <f t="shared" si="112"/>
        <v>50055</v>
      </c>
      <c r="AW153" s="60">
        <f>IF($X153&lt;Input!$H$88,IF($X153&lt;Input!$G$88,IF($X153&lt;Input!$F$88,IF($X153&lt;Input!$E$88,IF($X153&lt;Input!$D$88,Input!$C$94,Input!$D$94),Input!$E$94),Input!$F$94),Input!$G$94),Input!$H$94)</f>
        <v>0</v>
      </c>
      <c r="AX153" s="190">
        <f>IF($A153&lt;Input!$H$95,IF($A153&lt;Input!$G$95,IF($A153&lt;Input!$F$95,IF($A153&lt;Input!$E$95,IF($A153&lt;Input!$D$95,Input!$C$96,Input!$D$96),Input!$E$96),Input!$F$96),Input!$G$96),Input!$H$96)</f>
        <v>0.9</v>
      </c>
      <c r="AY153" s="60">
        <f t="shared" si="113"/>
        <v>0</v>
      </c>
      <c r="AZ153" s="60">
        <f t="shared" si="114"/>
        <v>31</v>
      </c>
      <c r="BA153" s="60">
        <f t="shared" si="115"/>
        <v>0</v>
      </c>
      <c r="BB153" s="60">
        <f>ROUND(BA153*AZ153*Input!$C$3/365,0)</f>
        <v>0</v>
      </c>
      <c r="BC153" s="61">
        <f>IF($A153&lt;=Input!$C$6,0,IF('180M'!AY153&lt;'180M'!BA153,'180M'!AY153-BB153,'180M'!BA153))</f>
        <v>0</v>
      </c>
      <c r="BD153" s="61">
        <f t="shared" si="116"/>
        <v>0</v>
      </c>
      <c r="BE153" s="60">
        <f t="shared" si="117"/>
        <v>0</v>
      </c>
      <c r="BF153" s="193"/>
      <c r="BG153" s="169">
        <v>149</v>
      </c>
      <c r="BH153" s="1">
        <f t="shared" si="118"/>
        <v>50055</v>
      </c>
      <c r="BI153" s="60">
        <f>IF($X153&lt;Input!$H$103,IF($X153&lt;Input!$G$103,IF($X153&lt;Input!$F$103,IF($X153&lt;Input!$E$103,IF($X153&lt;Input!$D$103,Input!$C$109,Input!$D$109),Input!$E$109),Input!$F$109),Input!$G$109),Input!$H$109)</f>
        <v>0</v>
      </c>
      <c r="BJ153" s="190">
        <f>IF($A153&lt;Input!$H$110,IF($A153&lt;Input!$G$110,IF($A153&lt;Input!$F$110,IF($A153&lt;Input!$E$110,IF($A153&lt;Input!$D$110,Input!$C$111,Input!$D$111),Input!$E$111),Input!$F$111),Input!$G$111),Input!$H$111)</f>
        <v>0.9</v>
      </c>
      <c r="BK153" s="60">
        <f t="shared" si="95"/>
        <v>0</v>
      </c>
      <c r="BL153" s="60">
        <f t="shared" si="119"/>
        <v>31</v>
      </c>
      <c r="BM153" s="60">
        <f t="shared" si="96"/>
        <v>0</v>
      </c>
      <c r="BN153" s="60">
        <f>ROUND(BM153*BL153*Input!$C$3/365,0)</f>
        <v>0</v>
      </c>
      <c r="BO153" s="61">
        <f>IF($A153&lt;=Input!$C$6,0,IF('180M'!BK153&lt;'180M'!BM153,'180M'!BK153-BN153,'180M'!BM153))</f>
        <v>0</v>
      </c>
      <c r="BP153" s="61">
        <f t="shared" si="97"/>
        <v>0</v>
      </c>
      <c r="BQ153" s="60">
        <f t="shared" si="98"/>
        <v>0</v>
      </c>
      <c r="BR153" s="198"/>
    </row>
    <row r="154" spans="1:70" x14ac:dyDescent="0.25">
      <c r="A154" s="169">
        <v>150</v>
      </c>
      <c r="B154" s="1">
        <f t="shared" si="99"/>
        <v>50086</v>
      </c>
      <c r="C154" s="60">
        <f t="shared" si="85"/>
        <v>33127052.878124986</v>
      </c>
      <c r="D154" s="60">
        <f t="shared" si="86"/>
        <v>29814347.590312488</v>
      </c>
      <c r="E154" s="60">
        <f t="shared" si="100"/>
        <v>31</v>
      </c>
      <c r="F154" s="60">
        <f t="shared" si="101"/>
        <v>762597858.29513168</v>
      </c>
      <c r="G154" s="60">
        <f>ROUND(F154*E154*Input!$C$3/365,0)</f>
        <v>9715288</v>
      </c>
      <c r="H154" s="60">
        <f>IF($A154&lt;=Input!$C$6,0,IF('180M'!D154&lt;'180M'!F154,'180M'!D154-G154,'180M'!F154))</f>
        <v>20099059.590312488</v>
      </c>
      <c r="I154" s="60">
        <f t="shared" si="102"/>
        <v>29814347.590312488</v>
      </c>
      <c r="J154" s="60">
        <f t="shared" si="103"/>
        <v>742498798.7048192</v>
      </c>
      <c r="K154" s="203">
        <f>J154/Input!$K$5</f>
        <v>2.4749959956827308</v>
      </c>
      <c r="L154" s="232"/>
      <c r="M154" s="60">
        <f>IF($B154&lt;Input!$H$43,IF($B154&lt;Input!$G$43,IF($B154&lt;Input!$F$43,IF($B154&lt;Input!$E$43,IF($B154&lt;Input!$D$43,Input!$C$49,Input!$D$49),Input!$E$49),Input!$F$49),Input!$G$49),Input!$H$49)</f>
        <v>33127052.878124986</v>
      </c>
      <c r="N154" s="190">
        <f>IF($A154&lt;Input!$H$50,IF($A154&lt;Input!$G$50,IF($A154&lt;Input!$F$50,IF($A154&lt;Input!$E$50,IF($A154&lt;Input!$D$50,Input!$C$51,Input!$D$51),Input!$E$51),Input!$F$51),Input!$G$51),Input!$H$51)</f>
        <v>0.9</v>
      </c>
      <c r="O154" s="60">
        <f t="shared" si="84"/>
        <v>29814347.590312488</v>
      </c>
      <c r="P154" s="60">
        <f t="shared" si="87"/>
        <v>31</v>
      </c>
      <c r="Q154" s="60">
        <f t="shared" si="88"/>
        <v>762597858.29513168</v>
      </c>
      <c r="R154" s="60">
        <f>ROUND(Q154*$P154*Input!$C$3/365,0)</f>
        <v>9715288</v>
      </c>
      <c r="S154" s="60">
        <f>IF(A154&lt;=Input!$C$6,0,IF('180M'!O154&lt;'180M'!Q154,'180M'!O154-R154,'180M'!Q154))</f>
        <v>20099059.590312488</v>
      </c>
      <c r="T154" s="60">
        <f t="shared" si="89"/>
        <v>29814347.590312488</v>
      </c>
      <c r="U154" s="60">
        <f t="shared" si="90"/>
        <v>742498798.7048192</v>
      </c>
      <c r="V154" s="193"/>
      <c r="W154" s="169">
        <v>150</v>
      </c>
      <c r="X154" s="1">
        <f t="shared" si="104"/>
        <v>50086</v>
      </c>
      <c r="Y154" s="60">
        <f>IF($X154&lt;Input!$H$58,IF($X154&lt;Input!$G$58,IF($X154&lt;Input!$F$58,IF($X154&lt;Input!$E$58,IF($X154&lt;Input!$D$58,Input!$C$64,Input!$D$64),Input!$E$64),Input!$F$64),Input!$G$64),Input!$H$64)</f>
        <v>0</v>
      </c>
      <c r="Z154" s="190">
        <f>IF($A154&lt;Input!$H$65,IF($A154&lt;Input!$G$65,IF($A154&lt;Input!$F$65,IF($A154&lt;Input!$E$65,IF($A154&lt;Input!$D$65,Input!$C$66,Input!$D$66),Input!$E$66),Input!$F$66),Input!$G$66),Input!$H$66)</f>
        <v>0.9</v>
      </c>
      <c r="AA154" s="60">
        <f t="shared" si="91"/>
        <v>0</v>
      </c>
      <c r="AB154" s="60">
        <f t="shared" si="105"/>
        <v>31</v>
      </c>
      <c r="AC154" s="60">
        <f t="shared" si="92"/>
        <v>0</v>
      </c>
      <c r="AD154" s="60">
        <f>ROUND(AC154*AB154*Input!$C$3/365,0)</f>
        <v>0</v>
      </c>
      <c r="AE154" s="61">
        <f>IF($A154&lt;=Input!$C$6,0,IF('180M'!AA154&lt;'180M'!AC154,'180M'!AA154-AD154,'180M'!AC154))</f>
        <v>0</v>
      </c>
      <c r="AF154" s="61">
        <f t="shared" si="93"/>
        <v>0</v>
      </c>
      <c r="AG154" s="60">
        <f t="shared" si="94"/>
        <v>0</v>
      </c>
      <c r="AH154" s="193"/>
      <c r="AI154" s="169">
        <v>150</v>
      </c>
      <c r="AJ154" s="1">
        <f t="shared" si="106"/>
        <v>50086</v>
      </c>
      <c r="AK154" s="60">
        <f>IF($X154&lt;Input!$H$73,IF($X154&lt;Input!$G$73,IF($X154&lt;Input!$F$73,IF($X154&lt;Input!$E$73,IF($X154&lt;Input!$D$73,Input!$C$79,Input!$D$79),Input!$E$79),Input!$F$79),Input!$G$79),Input!$H$79)</f>
        <v>0</v>
      </c>
      <c r="AL154" s="190">
        <f>IF($A154&lt;Input!$H$80,IF($A154&lt;Input!$G$80,IF($A154&lt;Input!$F$80,IF($A154&lt;Input!$E$80,IF($A154&lt;Input!$D$80,Input!$C$81,Input!$D$81),Input!$E$81),Input!$F$81),Input!$G$81),Input!$H$81)</f>
        <v>0.9</v>
      </c>
      <c r="AM154" s="60">
        <f t="shared" si="107"/>
        <v>0</v>
      </c>
      <c r="AN154" s="60">
        <f t="shared" si="108"/>
        <v>31</v>
      </c>
      <c r="AO154" s="60">
        <f t="shared" si="109"/>
        <v>0</v>
      </c>
      <c r="AP154" s="60">
        <f>ROUND(AO154*AN154*Input!$C$3/365,0)</f>
        <v>0</v>
      </c>
      <c r="AQ154" s="61">
        <f>IF($A154&lt;=Input!$C$6,0,IF('180M'!AM154&lt;'180M'!AO154,'180M'!AM154-AP154,'180M'!AO154))</f>
        <v>0</v>
      </c>
      <c r="AR154" s="61">
        <f t="shared" si="110"/>
        <v>0</v>
      </c>
      <c r="AS154" s="60">
        <f t="shared" si="111"/>
        <v>0</v>
      </c>
      <c r="AT154" s="193"/>
      <c r="AU154" s="169">
        <v>150</v>
      </c>
      <c r="AV154" s="1">
        <f t="shared" si="112"/>
        <v>50086</v>
      </c>
      <c r="AW154" s="60">
        <f>IF($X154&lt;Input!$H$88,IF($X154&lt;Input!$G$88,IF($X154&lt;Input!$F$88,IF($X154&lt;Input!$E$88,IF($X154&lt;Input!$D$88,Input!$C$94,Input!$D$94),Input!$E$94),Input!$F$94),Input!$G$94),Input!$H$94)</f>
        <v>0</v>
      </c>
      <c r="AX154" s="190">
        <f>IF($A154&lt;Input!$H$95,IF($A154&lt;Input!$G$95,IF($A154&lt;Input!$F$95,IF($A154&lt;Input!$E$95,IF($A154&lt;Input!$D$95,Input!$C$96,Input!$D$96),Input!$E$96),Input!$F$96),Input!$G$96),Input!$H$96)</f>
        <v>0.9</v>
      </c>
      <c r="AY154" s="60">
        <f t="shared" si="113"/>
        <v>0</v>
      </c>
      <c r="AZ154" s="60">
        <f t="shared" si="114"/>
        <v>31</v>
      </c>
      <c r="BA154" s="60">
        <f t="shared" si="115"/>
        <v>0</v>
      </c>
      <c r="BB154" s="60">
        <f>ROUND(BA154*AZ154*Input!$C$3/365,0)</f>
        <v>0</v>
      </c>
      <c r="BC154" s="61">
        <f>IF($A154&lt;=Input!$C$6,0,IF('180M'!AY154&lt;'180M'!BA154,'180M'!AY154-BB154,'180M'!BA154))</f>
        <v>0</v>
      </c>
      <c r="BD154" s="61">
        <f t="shared" si="116"/>
        <v>0</v>
      </c>
      <c r="BE154" s="60">
        <f t="shared" si="117"/>
        <v>0</v>
      </c>
      <c r="BF154" s="193"/>
      <c r="BG154" s="169">
        <v>150</v>
      </c>
      <c r="BH154" s="1">
        <f t="shared" si="118"/>
        <v>50086</v>
      </c>
      <c r="BI154" s="60">
        <f>IF($X154&lt;Input!$H$103,IF($X154&lt;Input!$G$103,IF($X154&lt;Input!$F$103,IF($X154&lt;Input!$E$103,IF($X154&lt;Input!$D$103,Input!$C$109,Input!$D$109),Input!$E$109),Input!$F$109),Input!$G$109),Input!$H$109)</f>
        <v>0</v>
      </c>
      <c r="BJ154" s="190">
        <f>IF($A154&lt;Input!$H$110,IF($A154&lt;Input!$G$110,IF($A154&lt;Input!$F$110,IF($A154&lt;Input!$E$110,IF($A154&lt;Input!$D$110,Input!$C$111,Input!$D$111),Input!$E$111),Input!$F$111),Input!$G$111),Input!$H$111)</f>
        <v>0.9</v>
      </c>
      <c r="BK154" s="60">
        <f t="shared" si="95"/>
        <v>0</v>
      </c>
      <c r="BL154" s="60">
        <f t="shared" si="119"/>
        <v>31</v>
      </c>
      <c r="BM154" s="60">
        <f t="shared" si="96"/>
        <v>0</v>
      </c>
      <c r="BN154" s="60">
        <f>ROUND(BM154*BL154*Input!$C$3/365,0)</f>
        <v>0</v>
      </c>
      <c r="BO154" s="61">
        <f>IF($A154&lt;=Input!$C$6,0,IF('180M'!BK154&lt;'180M'!BM154,'180M'!BK154-BN154,'180M'!BM154))</f>
        <v>0</v>
      </c>
      <c r="BP154" s="61">
        <f t="shared" si="97"/>
        <v>0</v>
      </c>
      <c r="BQ154" s="60">
        <f t="shared" si="98"/>
        <v>0</v>
      </c>
      <c r="BR154" s="198"/>
    </row>
    <row r="155" spans="1:70" x14ac:dyDescent="0.25">
      <c r="A155" s="169">
        <v>151</v>
      </c>
      <c r="B155" s="1">
        <f t="shared" si="99"/>
        <v>50114</v>
      </c>
      <c r="C155" s="60">
        <f t="shared" si="85"/>
        <v>33127052.878124986</v>
      </c>
      <c r="D155" s="60">
        <f t="shared" si="86"/>
        <v>29814347.590312488</v>
      </c>
      <c r="E155" s="60">
        <f t="shared" si="100"/>
        <v>28</v>
      </c>
      <c r="F155" s="60">
        <f t="shared" si="101"/>
        <v>742498798.7048192</v>
      </c>
      <c r="G155" s="60">
        <f>ROUND(F155*E155*Input!$C$3/365,0)</f>
        <v>8543822</v>
      </c>
      <c r="H155" s="60">
        <f>IF($A155&lt;=Input!$C$6,0,IF('180M'!D155&lt;'180M'!F155,'180M'!D155-G155,'180M'!F155))</f>
        <v>21270525.590312488</v>
      </c>
      <c r="I155" s="60">
        <f t="shared" si="102"/>
        <v>29814347.590312488</v>
      </c>
      <c r="J155" s="60">
        <f t="shared" si="103"/>
        <v>721228273.11450672</v>
      </c>
      <c r="K155" s="203">
        <f>J155/Input!$K$5</f>
        <v>2.4040942437150226</v>
      </c>
      <c r="L155" s="232"/>
      <c r="M155" s="60">
        <f>IF($B155&lt;Input!$H$43,IF($B155&lt;Input!$G$43,IF($B155&lt;Input!$F$43,IF($B155&lt;Input!$E$43,IF($B155&lt;Input!$D$43,Input!$C$49,Input!$D$49),Input!$E$49),Input!$F$49),Input!$G$49),Input!$H$49)</f>
        <v>33127052.878124986</v>
      </c>
      <c r="N155" s="190">
        <f>IF($A155&lt;Input!$H$50,IF($A155&lt;Input!$G$50,IF($A155&lt;Input!$F$50,IF($A155&lt;Input!$E$50,IF($A155&lt;Input!$D$50,Input!$C$51,Input!$D$51),Input!$E$51),Input!$F$51),Input!$G$51),Input!$H$51)</f>
        <v>0.9</v>
      </c>
      <c r="O155" s="60">
        <f t="shared" si="84"/>
        <v>29814347.590312488</v>
      </c>
      <c r="P155" s="60">
        <f t="shared" si="87"/>
        <v>28</v>
      </c>
      <c r="Q155" s="60">
        <f t="shared" si="88"/>
        <v>742498798.7048192</v>
      </c>
      <c r="R155" s="60">
        <f>ROUND(Q155*$P155*Input!$C$3/365,0)</f>
        <v>8543822</v>
      </c>
      <c r="S155" s="60">
        <f>IF(A155&lt;=Input!$C$6,0,IF('180M'!O155&lt;'180M'!Q155,'180M'!O155-R155,'180M'!Q155))</f>
        <v>21270525.590312488</v>
      </c>
      <c r="T155" s="60">
        <f t="shared" si="89"/>
        <v>29814347.590312488</v>
      </c>
      <c r="U155" s="60">
        <f t="shared" si="90"/>
        <v>721228273.11450672</v>
      </c>
      <c r="V155" s="193"/>
      <c r="W155" s="169">
        <v>151</v>
      </c>
      <c r="X155" s="1">
        <f t="shared" si="104"/>
        <v>50114</v>
      </c>
      <c r="Y155" s="60">
        <f>IF($X155&lt;Input!$H$58,IF($X155&lt;Input!$G$58,IF($X155&lt;Input!$F$58,IF($X155&lt;Input!$E$58,IF($X155&lt;Input!$D$58,Input!$C$64,Input!$D$64),Input!$E$64),Input!$F$64),Input!$G$64),Input!$H$64)</f>
        <v>0</v>
      </c>
      <c r="Z155" s="190">
        <f>IF($A155&lt;Input!$H$65,IF($A155&lt;Input!$G$65,IF($A155&lt;Input!$F$65,IF($A155&lt;Input!$E$65,IF($A155&lt;Input!$D$65,Input!$C$66,Input!$D$66),Input!$E$66),Input!$F$66),Input!$G$66),Input!$H$66)</f>
        <v>0.9</v>
      </c>
      <c r="AA155" s="60">
        <f t="shared" si="91"/>
        <v>0</v>
      </c>
      <c r="AB155" s="60">
        <f t="shared" si="105"/>
        <v>28</v>
      </c>
      <c r="AC155" s="60">
        <f t="shared" si="92"/>
        <v>0</v>
      </c>
      <c r="AD155" s="60">
        <f>ROUND(AC155*AB155*Input!$C$3/365,0)</f>
        <v>0</v>
      </c>
      <c r="AE155" s="61">
        <f>IF($A155&lt;=Input!$C$6,0,IF('180M'!AA155&lt;'180M'!AC155,'180M'!AA155-AD155,'180M'!AC155))</f>
        <v>0</v>
      </c>
      <c r="AF155" s="61">
        <f t="shared" si="93"/>
        <v>0</v>
      </c>
      <c r="AG155" s="60">
        <f t="shared" si="94"/>
        <v>0</v>
      </c>
      <c r="AH155" s="193"/>
      <c r="AI155" s="169">
        <v>151</v>
      </c>
      <c r="AJ155" s="1">
        <f t="shared" si="106"/>
        <v>50114</v>
      </c>
      <c r="AK155" s="60">
        <f>IF($X155&lt;Input!$H$73,IF($X155&lt;Input!$G$73,IF($X155&lt;Input!$F$73,IF($X155&lt;Input!$E$73,IF($X155&lt;Input!$D$73,Input!$C$79,Input!$D$79),Input!$E$79),Input!$F$79),Input!$G$79),Input!$H$79)</f>
        <v>0</v>
      </c>
      <c r="AL155" s="190">
        <f>IF($A155&lt;Input!$H$80,IF($A155&lt;Input!$G$80,IF($A155&lt;Input!$F$80,IF($A155&lt;Input!$E$80,IF($A155&lt;Input!$D$80,Input!$C$81,Input!$D$81),Input!$E$81),Input!$F$81),Input!$G$81),Input!$H$81)</f>
        <v>0.9</v>
      </c>
      <c r="AM155" s="60">
        <f t="shared" si="107"/>
        <v>0</v>
      </c>
      <c r="AN155" s="60">
        <f t="shared" si="108"/>
        <v>28</v>
      </c>
      <c r="AO155" s="60">
        <f t="shared" si="109"/>
        <v>0</v>
      </c>
      <c r="AP155" s="60">
        <f>ROUND(AO155*AN155*Input!$C$3/365,0)</f>
        <v>0</v>
      </c>
      <c r="AQ155" s="61">
        <f>IF($A155&lt;=Input!$C$6,0,IF('180M'!AM155&lt;'180M'!AO155,'180M'!AM155-AP155,'180M'!AO155))</f>
        <v>0</v>
      </c>
      <c r="AR155" s="61">
        <f t="shared" si="110"/>
        <v>0</v>
      </c>
      <c r="AS155" s="60">
        <f t="shared" si="111"/>
        <v>0</v>
      </c>
      <c r="AT155" s="193"/>
      <c r="AU155" s="169">
        <v>151</v>
      </c>
      <c r="AV155" s="1">
        <f t="shared" si="112"/>
        <v>50114</v>
      </c>
      <c r="AW155" s="60">
        <f>IF($X155&lt;Input!$H$88,IF($X155&lt;Input!$G$88,IF($X155&lt;Input!$F$88,IF($X155&lt;Input!$E$88,IF($X155&lt;Input!$D$88,Input!$C$94,Input!$D$94),Input!$E$94),Input!$F$94),Input!$G$94),Input!$H$94)</f>
        <v>0</v>
      </c>
      <c r="AX155" s="190">
        <f>IF($A155&lt;Input!$H$95,IF($A155&lt;Input!$G$95,IF($A155&lt;Input!$F$95,IF($A155&lt;Input!$E$95,IF($A155&lt;Input!$D$95,Input!$C$96,Input!$D$96),Input!$E$96),Input!$F$96),Input!$G$96),Input!$H$96)</f>
        <v>0.9</v>
      </c>
      <c r="AY155" s="60">
        <f t="shared" si="113"/>
        <v>0</v>
      </c>
      <c r="AZ155" s="60">
        <f t="shared" si="114"/>
        <v>28</v>
      </c>
      <c r="BA155" s="60">
        <f t="shared" si="115"/>
        <v>0</v>
      </c>
      <c r="BB155" s="60">
        <f>ROUND(BA155*AZ155*Input!$C$3/365,0)</f>
        <v>0</v>
      </c>
      <c r="BC155" s="61">
        <f>IF($A155&lt;=Input!$C$6,0,IF('180M'!AY155&lt;'180M'!BA155,'180M'!AY155-BB155,'180M'!BA155))</f>
        <v>0</v>
      </c>
      <c r="BD155" s="61">
        <f t="shared" si="116"/>
        <v>0</v>
      </c>
      <c r="BE155" s="60">
        <f t="shared" si="117"/>
        <v>0</v>
      </c>
      <c r="BF155" s="193"/>
      <c r="BG155" s="169">
        <v>151</v>
      </c>
      <c r="BH155" s="1">
        <f t="shared" si="118"/>
        <v>50114</v>
      </c>
      <c r="BI155" s="60">
        <f>IF($X155&lt;Input!$H$103,IF($X155&lt;Input!$G$103,IF($X155&lt;Input!$F$103,IF($X155&lt;Input!$E$103,IF($X155&lt;Input!$D$103,Input!$C$109,Input!$D$109),Input!$E$109),Input!$F$109),Input!$G$109),Input!$H$109)</f>
        <v>0</v>
      </c>
      <c r="BJ155" s="190">
        <f>IF($A155&lt;Input!$H$110,IF($A155&lt;Input!$G$110,IF($A155&lt;Input!$F$110,IF($A155&lt;Input!$E$110,IF($A155&lt;Input!$D$110,Input!$C$111,Input!$D$111),Input!$E$111),Input!$F$111),Input!$G$111),Input!$H$111)</f>
        <v>0.9</v>
      </c>
      <c r="BK155" s="60">
        <f t="shared" si="95"/>
        <v>0</v>
      </c>
      <c r="BL155" s="60">
        <f t="shared" si="119"/>
        <v>28</v>
      </c>
      <c r="BM155" s="60">
        <f t="shared" si="96"/>
        <v>0</v>
      </c>
      <c r="BN155" s="60">
        <f>ROUND(BM155*BL155*Input!$C$3/365,0)</f>
        <v>0</v>
      </c>
      <c r="BO155" s="61">
        <f>IF($A155&lt;=Input!$C$6,0,IF('180M'!BK155&lt;'180M'!BM155,'180M'!BK155-BN155,'180M'!BM155))</f>
        <v>0</v>
      </c>
      <c r="BP155" s="61">
        <f t="shared" si="97"/>
        <v>0</v>
      </c>
      <c r="BQ155" s="60">
        <f t="shared" si="98"/>
        <v>0</v>
      </c>
      <c r="BR155" s="198"/>
    </row>
    <row r="156" spans="1:70" x14ac:dyDescent="0.25">
      <c r="A156" s="169">
        <v>152</v>
      </c>
      <c r="B156" s="1">
        <f t="shared" si="99"/>
        <v>50145</v>
      </c>
      <c r="C156" s="60">
        <f t="shared" si="85"/>
        <v>33127052.878124986</v>
      </c>
      <c r="D156" s="60">
        <f t="shared" si="86"/>
        <v>29814347.590312488</v>
      </c>
      <c r="E156" s="60">
        <f t="shared" si="100"/>
        <v>31</v>
      </c>
      <c r="F156" s="60">
        <f t="shared" si="101"/>
        <v>721228273.11450672</v>
      </c>
      <c r="G156" s="60">
        <f>ROUND(F156*E156*Input!$C$3/365,0)</f>
        <v>9188251</v>
      </c>
      <c r="H156" s="60">
        <f>IF($A156&lt;=Input!$C$6,0,IF('180M'!D156&lt;'180M'!F156,'180M'!D156-G156,'180M'!F156))</f>
        <v>20626096.590312488</v>
      </c>
      <c r="I156" s="60">
        <f t="shared" si="102"/>
        <v>29814347.590312488</v>
      </c>
      <c r="J156" s="60">
        <f t="shared" si="103"/>
        <v>700602176.52419424</v>
      </c>
      <c r="K156" s="203">
        <f>J156/Input!$K$5</f>
        <v>2.3353405884139806</v>
      </c>
      <c r="L156" s="232"/>
      <c r="M156" s="60">
        <f>IF($B156&lt;Input!$H$43,IF($B156&lt;Input!$G$43,IF($B156&lt;Input!$F$43,IF($B156&lt;Input!$E$43,IF($B156&lt;Input!$D$43,Input!$C$49,Input!$D$49),Input!$E$49),Input!$F$49),Input!$G$49),Input!$H$49)</f>
        <v>33127052.878124986</v>
      </c>
      <c r="N156" s="190">
        <f>IF($A156&lt;Input!$H$50,IF($A156&lt;Input!$G$50,IF($A156&lt;Input!$F$50,IF($A156&lt;Input!$E$50,IF($A156&lt;Input!$D$50,Input!$C$51,Input!$D$51),Input!$E$51),Input!$F$51),Input!$G$51),Input!$H$51)</f>
        <v>0.9</v>
      </c>
      <c r="O156" s="60">
        <f t="shared" si="84"/>
        <v>29814347.590312488</v>
      </c>
      <c r="P156" s="60">
        <f t="shared" si="87"/>
        <v>31</v>
      </c>
      <c r="Q156" s="60">
        <f t="shared" si="88"/>
        <v>721228273.11450672</v>
      </c>
      <c r="R156" s="60">
        <f>ROUND(Q156*$P156*Input!$C$3/365,0)</f>
        <v>9188251</v>
      </c>
      <c r="S156" s="60">
        <f>IF(A156&lt;=Input!$C$6,0,IF('180M'!O156&lt;'180M'!Q156,'180M'!O156-R156,'180M'!Q156))</f>
        <v>20626096.590312488</v>
      </c>
      <c r="T156" s="60">
        <f t="shared" si="89"/>
        <v>29814347.590312488</v>
      </c>
      <c r="U156" s="60">
        <f t="shared" si="90"/>
        <v>700602176.52419424</v>
      </c>
      <c r="V156" s="193"/>
      <c r="W156" s="169">
        <v>152</v>
      </c>
      <c r="X156" s="1">
        <f t="shared" si="104"/>
        <v>50145</v>
      </c>
      <c r="Y156" s="60">
        <f>IF($X156&lt;Input!$H$58,IF($X156&lt;Input!$G$58,IF($X156&lt;Input!$F$58,IF($X156&lt;Input!$E$58,IF($X156&lt;Input!$D$58,Input!$C$64,Input!$D$64),Input!$E$64),Input!$F$64),Input!$G$64),Input!$H$64)</f>
        <v>0</v>
      </c>
      <c r="Z156" s="190">
        <f>IF($A156&lt;Input!$H$65,IF($A156&lt;Input!$G$65,IF($A156&lt;Input!$F$65,IF($A156&lt;Input!$E$65,IF($A156&lt;Input!$D$65,Input!$C$66,Input!$D$66),Input!$E$66),Input!$F$66),Input!$G$66),Input!$H$66)</f>
        <v>0.9</v>
      </c>
      <c r="AA156" s="60">
        <f t="shared" si="91"/>
        <v>0</v>
      </c>
      <c r="AB156" s="60">
        <f t="shared" si="105"/>
        <v>31</v>
      </c>
      <c r="AC156" s="60">
        <f t="shared" si="92"/>
        <v>0</v>
      </c>
      <c r="AD156" s="60">
        <f>ROUND(AC156*AB156*Input!$C$3/365,0)</f>
        <v>0</v>
      </c>
      <c r="AE156" s="61">
        <f>IF($A156&lt;=Input!$C$6,0,IF('180M'!AA156&lt;'180M'!AC156,'180M'!AA156-AD156,'180M'!AC156))</f>
        <v>0</v>
      </c>
      <c r="AF156" s="61">
        <f t="shared" si="93"/>
        <v>0</v>
      </c>
      <c r="AG156" s="60">
        <f t="shared" si="94"/>
        <v>0</v>
      </c>
      <c r="AH156" s="193"/>
      <c r="AI156" s="169">
        <v>152</v>
      </c>
      <c r="AJ156" s="1">
        <f t="shared" si="106"/>
        <v>50145</v>
      </c>
      <c r="AK156" s="60">
        <f>IF($X156&lt;Input!$H$73,IF($X156&lt;Input!$G$73,IF($X156&lt;Input!$F$73,IF($X156&lt;Input!$E$73,IF($X156&lt;Input!$D$73,Input!$C$79,Input!$D$79),Input!$E$79),Input!$F$79),Input!$G$79),Input!$H$79)</f>
        <v>0</v>
      </c>
      <c r="AL156" s="190">
        <f>IF($A156&lt;Input!$H$80,IF($A156&lt;Input!$G$80,IF($A156&lt;Input!$F$80,IF($A156&lt;Input!$E$80,IF($A156&lt;Input!$D$80,Input!$C$81,Input!$D$81),Input!$E$81),Input!$F$81),Input!$G$81),Input!$H$81)</f>
        <v>0.9</v>
      </c>
      <c r="AM156" s="60">
        <f t="shared" si="107"/>
        <v>0</v>
      </c>
      <c r="AN156" s="60">
        <f t="shared" si="108"/>
        <v>31</v>
      </c>
      <c r="AO156" s="60">
        <f t="shared" si="109"/>
        <v>0</v>
      </c>
      <c r="AP156" s="60">
        <f>ROUND(AO156*AN156*Input!$C$3/365,0)</f>
        <v>0</v>
      </c>
      <c r="AQ156" s="61">
        <f>IF($A156&lt;=Input!$C$6,0,IF('180M'!AM156&lt;'180M'!AO156,'180M'!AM156-AP156,'180M'!AO156))</f>
        <v>0</v>
      </c>
      <c r="AR156" s="61">
        <f t="shared" si="110"/>
        <v>0</v>
      </c>
      <c r="AS156" s="60">
        <f t="shared" si="111"/>
        <v>0</v>
      </c>
      <c r="AT156" s="193"/>
      <c r="AU156" s="169">
        <v>152</v>
      </c>
      <c r="AV156" s="1">
        <f t="shared" si="112"/>
        <v>50145</v>
      </c>
      <c r="AW156" s="60">
        <f>IF($X156&lt;Input!$H$88,IF($X156&lt;Input!$G$88,IF($X156&lt;Input!$F$88,IF($X156&lt;Input!$E$88,IF($X156&lt;Input!$D$88,Input!$C$94,Input!$D$94),Input!$E$94),Input!$F$94),Input!$G$94),Input!$H$94)</f>
        <v>0</v>
      </c>
      <c r="AX156" s="190">
        <f>IF($A156&lt;Input!$H$95,IF($A156&lt;Input!$G$95,IF($A156&lt;Input!$F$95,IF($A156&lt;Input!$E$95,IF($A156&lt;Input!$D$95,Input!$C$96,Input!$D$96),Input!$E$96),Input!$F$96),Input!$G$96),Input!$H$96)</f>
        <v>0.9</v>
      </c>
      <c r="AY156" s="60">
        <f t="shared" si="113"/>
        <v>0</v>
      </c>
      <c r="AZ156" s="60">
        <f t="shared" si="114"/>
        <v>31</v>
      </c>
      <c r="BA156" s="60">
        <f t="shared" si="115"/>
        <v>0</v>
      </c>
      <c r="BB156" s="60">
        <f>ROUND(BA156*AZ156*Input!$C$3/365,0)</f>
        <v>0</v>
      </c>
      <c r="BC156" s="61">
        <f>IF($A156&lt;=Input!$C$6,0,IF('180M'!AY156&lt;'180M'!BA156,'180M'!AY156-BB156,'180M'!BA156))</f>
        <v>0</v>
      </c>
      <c r="BD156" s="61">
        <f t="shared" si="116"/>
        <v>0</v>
      </c>
      <c r="BE156" s="60">
        <f t="shared" si="117"/>
        <v>0</v>
      </c>
      <c r="BF156" s="193"/>
      <c r="BG156" s="169">
        <v>152</v>
      </c>
      <c r="BH156" s="1">
        <f t="shared" si="118"/>
        <v>50145</v>
      </c>
      <c r="BI156" s="60">
        <f>IF($X156&lt;Input!$H$103,IF($X156&lt;Input!$G$103,IF($X156&lt;Input!$F$103,IF($X156&lt;Input!$E$103,IF($X156&lt;Input!$D$103,Input!$C$109,Input!$D$109),Input!$E$109),Input!$F$109),Input!$G$109),Input!$H$109)</f>
        <v>0</v>
      </c>
      <c r="BJ156" s="190">
        <f>IF($A156&lt;Input!$H$110,IF($A156&lt;Input!$G$110,IF($A156&lt;Input!$F$110,IF($A156&lt;Input!$E$110,IF($A156&lt;Input!$D$110,Input!$C$111,Input!$D$111),Input!$E$111),Input!$F$111),Input!$G$111),Input!$H$111)</f>
        <v>0.9</v>
      </c>
      <c r="BK156" s="60">
        <f t="shared" si="95"/>
        <v>0</v>
      </c>
      <c r="BL156" s="60">
        <f t="shared" si="119"/>
        <v>31</v>
      </c>
      <c r="BM156" s="60">
        <f t="shared" si="96"/>
        <v>0</v>
      </c>
      <c r="BN156" s="60">
        <f>ROUND(BM156*BL156*Input!$C$3/365,0)</f>
        <v>0</v>
      </c>
      <c r="BO156" s="61">
        <f>IF($A156&lt;=Input!$C$6,0,IF('180M'!BK156&lt;'180M'!BM156,'180M'!BK156-BN156,'180M'!BM156))</f>
        <v>0</v>
      </c>
      <c r="BP156" s="61">
        <f t="shared" si="97"/>
        <v>0</v>
      </c>
      <c r="BQ156" s="60">
        <f t="shared" si="98"/>
        <v>0</v>
      </c>
      <c r="BR156" s="198"/>
    </row>
    <row r="157" spans="1:70" x14ac:dyDescent="0.25">
      <c r="A157" s="169">
        <v>153</v>
      </c>
      <c r="B157" s="1">
        <f t="shared" si="99"/>
        <v>50175</v>
      </c>
      <c r="C157" s="60">
        <f t="shared" si="85"/>
        <v>33127052.878124986</v>
      </c>
      <c r="D157" s="60">
        <f t="shared" si="86"/>
        <v>29814347.590312488</v>
      </c>
      <c r="E157" s="60">
        <f t="shared" si="100"/>
        <v>30</v>
      </c>
      <c r="F157" s="60">
        <f t="shared" si="101"/>
        <v>700602176.52419424</v>
      </c>
      <c r="G157" s="60">
        <f>ROUND(F157*E157*Input!$C$3/365,0)</f>
        <v>8637561</v>
      </c>
      <c r="H157" s="60">
        <f>IF($A157&lt;=Input!$C$6,0,IF('180M'!D157&lt;'180M'!F157,'180M'!D157-G157,'180M'!F157))</f>
        <v>21176786.590312488</v>
      </c>
      <c r="I157" s="60">
        <f t="shared" si="102"/>
        <v>29814347.590312488</v>
      </c>
      <c r="J157" s="60">
        <f t="shared" si="103"/>
        <v>679425389.93388176</v>
      </c>
      <c r="K157" s="203">
        <f>J157/Input!$K$5</f>
        <v>2.264751299779606</v>
      </c>
      <c r="L157" s="232"/>
      <c r="M157" s="60">
        <f>IF($B157&lt;Input!$H$43,IF($B157&lt;Input!$G$43,IF($B157&lt;Input!$F$43,IF($B157&lt;Input!$E$43,IF($B157&lt;Input!$D$43,Input!$C$49,Input!$D$49),Input!$E$49),Input!$F$49),Input!$G$49),Input!$H$49)</f>
        <v>33127052.878124986</v>
      </c>
      <c r="N157" s="190">
        <f>IF($A157&lt;Input!$H$50,IF($A157&lt;Input!$G$50,IF($A157&lt;Input!$F$50,IF($A157&lt;Input!$E$50,IF($A157&lt;Input!$D$50,Input!$C$51,Input!$D$51),Input!$E$51),Input!$F$51),Input!$G$51),Input!$H$51)</f>
        <v>0.9</v>
      </c>
      <c r="O157" s="60">
        <f t="shared" si="84"/>
        <v>29814347.590312488</v>
      </c>
      <c r="P157" s="60">
        <f t="shared" si="87"/>
        <v>30</v>
      </c>
      <c r="Q157" s="60">
        <f t="shared" si="88"/>
        <v>700602176.52419424</v>
      </c>
      <c r="R157" s="60">
        <f>ROUND(Q157*$P157*Input!$C$3/365,0)</f>
        <v>8637561</v>
      </c>
      <c r="S157" s="60">
        <f>IF(A157&lt;=Input!$C$6,0,IF('180M'!O157&lt;'180M'!Q157,'180M'!O157-R157,'180M'!Q157))</f>
        <v>21176786.590312488</v>
      </c>
      <c r="T157" s="60">
        <f t="shared" si="89"/>
        <v>29814347.590312488</v>
      </c>
      <c r="U157" s="60">
        <f t="shared" si="90"/>
        <v>679425389.93388176</v>
      </c>
      <c r="V157" s="193"/>
      <c r="W157" s="169">
        <v>153</v>
      </c>
      <c r="X157" s="1">
        <f t="shared" si="104"/>
        <v>50175</v>
      </c>
      <c r="Y157" s="60">
        <f>IF($X157&lt;Input!$H$58,IF($X157&lt;Input!$G$58,IF($X157&lt;Input!$F$58,IF($X157&lt;Input!$E$58,IF($X157&lt;Input!$D$58,Input!$C$64,Input!$D$64),Input!$E$64),Input!$F$64),Input!$G$64),Input!$H$64)</f>
        <v>0</v>
      </c>
      <c r="Z157" s="190">
        <f>IF($A157&lt;Input!$H$65,IF($A157&lt;Input!$G$65,IF($A157&lt;Input!$F$65,IF($A157&lt;Input!$E$65,IF($A157&lt;Input!$D$65,Input!$C$66,Input!$D$66),Input!$E$66),Input!$F$66),Input!$G$66),Input!$H$66)</f>
        <v>0.9</v>
      </c>
      <c r="AA157" s="60">
        <f t="shared" si="91"/>
        <v>0</v>
      </c>
      <c r="AB157" s="60">
        <f t="shared" si="105"/>
        <v>30</v>
      </c>
      <c r="AC157" s="60">
        <f t="shared" si="92"/>
        <v>0</v>
      </c>
      <c r="AD157" s="60">
        <f>ROUND(AC157*AB157*Input!$C$3/365,0)</f>
        <v>0</v>
      </c>
      <c r="AE157" s="61">
        <f>IF($A157&lt;=Input!$C$6,0,IF('180M'!AA157&lt;'180M'!AC157,'180M'!AA157-AD157,'180M'!AC157))</f>
        <v>0</v>
      </c>
      <c r="AF157" s="61">
        <f t="shared" si="93"/>
        <v>0</v>
      </c>
      <c r="AG157" s="60">
        <f t="shared" si="94"/>
        <v>0</v>
      </c>
      <c r="AH157" s="193"/>
      <c r="AI157" s="169">
        <v>153</v>
      </c>
      <c r="AJ157" s="1">
        <f t="shared" si="106"/>
        <v>50175</v>
      </c>
      <c r="AK157" s="60">
        <f>IF($X157&lt;Input!$H$73,IF($X157&lt;Input!$G$73,IF($X157&lt;Input!$F$73,IF($X157&lt;Input!$E$73,IF($X157&lt;Input!$D$73,Input!$C$79,Input!$D$79),Input!$E$79),Input!$F$79),Input!$G$79),Input!$H$79)</f>
        <v>0</v>
      </c>
      <c r="AL157" s="190">
        <f>IF($A157&lt;Input!$H$80,IF($A157&lt;Input!$G$80,IF($A157&lt;Input!$F$80,IF($A157&lt;Input!$E$80,IF($A157&lt;Input!$D$80,Input!$C$81,Input!$D$81),Input!$E$81),Input!$F$81),Input!$G$81),Input!$H$81)</f>
        <v>0.9</v>
      </c>
      <c r="AM157" s="60">
        <f t="shared" si="107"/>
        <v>0</v>
      </c>
      <c r="AN157" s="60">
        <f t="shared" si="108"/>
        <v>30</v>
      </c>
      <c r="AO157" s="60">
        <f t="shared" si="109"/>
        <v>0</v>
      </c>
      <c r="AP157" s="60">
        <f>ROUND(AO157*AN157*Input!$C$3/365,0)</f>
        <v>0</v>
      </c>
      <c r="AQ157" s="61">
        <f>IF($A157&lt;=Input!$C$6,0,IF('180M'!AM157&lt;'180M'!AO157,'180M'!AM157-AP157,'180M'!AO157))</f>
        <v>0</v>
      </c>
      <c r="AR157" s="61">
        <f t="shared" si="110"/>
        <v>0</v>
      </c>
      <c r="AS157" s="60">
        <f t="shared" si="111"/>
        <v>0</v>
      </c>
      <c r="AT157" s="193"/>
      <c r="AU157" s="169">
        <v>153</v>
      </c>
      <c r="AV157" s="1">
        <f t="shared" si="112"/>
        <v>50175</v>
      </c>
      <c r="AW157" s="60">
        <f>IF($X157&lt;Input!$H$88,IF($X157&lt;Input!$G$88,IF($X157&lt;Input!$F$88,IF($X157&lt;Input!$E$88,IF($X157&lt;Input!$D$88,Input!$C$94,Input!$D$94),Input!$E$94),Input!$F$94),Input!$G$94),Input!$H$94)</f>
        <v>0</v>
      </c>
      <c r="AX157" s="190">
        <f>IF($A157&lt;Input!$H$95,IF($A157&lt;Input!$G$95,IF($A157&lt;Input!$F$95,IF($A157&lt;Input!$E$95,IF($A157&lt;Input!$D$95,Input!$C$96,Input!$D$96),Input!$E$96),Input!$F$96),Input!$G$96),Input!$H$96)</f>
        <v>0.9</v>
      </c>
      <c r="AY157" s="60">
        <f t="shared" si="113"/>
        <v>0</v>
      </c>
      <c r="AZ157" s="60">
        <f t="shared" si="114"/>
        <v>30</v>
      </c>
      <c r="BA157" s="60">
        <f t="shared" si="115"/>
        <v>0</v>
      </c>
      <c r="BB157" s="60">
        <f>ROUND(BA157*AZ157*Input!$C$3/365,0)</f>
        <v>0</v>
      </c>
      <c r="BC157" s="61">
        <f>IF($A157&lt;=Input!$C$6,0,IF('180M'!AY157&lt;'180M'!BA157,'180M'!AY157-BB157,'180M'!BA157))</f>
        <v>0</v>
      </c>
      <c r="BD157" s="61">
        <f t="shared" si="116"/>
        <v>0</v>
      </c>
      <c r="BE157" s="60">
        <f t="shared" si="117"/>
        <v>0</v>
      </c>
      <c r="BF157" s="193"/>
      <c r="BG157" s="169">
        <v>153</v>
      </c>
      <c r="BH157" s="1">
        <f t="shared" si="118"/>
        <v>50175</v>
      </c>
      <c r="BI157" s="60">
        <f>IF($X157&lt;Input!$H$103,IF($X157&lt;Input!$G$103,IF($X157&lt;Input!$F$103,IF($X157&lt;Input!$E$103,IF($X157&lt;Input!$D$103,Input!$C$109,Input!$D$109),Input!$E$109),Input!$F$109),Input!$G$109),Input!$H$109)</f>
        <v>0</v>
      </c>
      <c r="BJ157" s="190">
        <f>IF($A157&lt;Input!$H$110,IF($A157&lt;Input!$G$110,IF($A157&lt;Input!$F$110,IF($A157&lt;Input!$E$110,IF($A157&lt;Input!$D$110,Input!$C$111,Input!$D$111),Input!$E$111),Input!$F$111),Input!$G$111),Input!$H$111)</f>
        <v>0.9</v>
      </c>
      <c r="BK157" s="60">
        <f t="shared" si="95"/>
        <v>0</v>
      </c>
      <c r="BL157" s="60">
        <f t="shared" si="119"/>
        <v>30</v>
      </c>
      <c r="BM157" s="60">
        <f t="shared" si="96"/>
        <v>0</v>
      </c>
      <c r="BN157" s="60">
        <f>ROUND(BM157*BL157*Input!$C$3/365,0)</f>
        <v>0</v>
      </c>
      <c r="BO157" s="61">
        <f>IF($A157&lt;=Input!$C$6,0,IF('180M'!BK157&lt;'180M'!BM157,'180M'!BK157-BN157,'180M'!BM157))</f>
        <v>0</v>
      </c>
      <c r="BP157" s="61">
        <f t="shared" si="97"/>
        <v>0</v>
      </c>
      <c r="BQ157" s="60">
        <f t="shared" si="98"/>
        <v>0</v>
      </c>
      <c r="BR157" s="198"/>
    </row>
    <row r="158" spans="1:70" x14ac:dyDescent="0.25">
      <c r="A158" s="169">
        <v>154</v>
      </c>
      <c r="B158" s="1">
        <f t="shared" si="99"/>
        <v>50206</v>
      </c>
      <c r="C158" s="60">
        <f t="shared" si="85"/>
        <v>33127052.878124986</v>
      </c>
      <c r="D158" s="60">
        <f t="shared" si="86"/>
        <v>29814347.590312488</v>
      </c>
      <c r="E158" s="60">
        <f t="shared" si="100"/>
        <v>31</v>
      </c>
      <c r="F158" s="60">
        <f t="shared" si="101"/>
        <v>679425389.93388176</v>
      </c>
      <c r="G158" s="60">
        <f>ROUND(F158*E158*Input!$C$3/365,0)</f>
        <v>8655693</v>
      </c>
      <c r="H158" s="60">
        <f>IF($A158&lt;=Input!$C$6,0,IF('180M'!D158&lt;'180M'!F158,'180M'!D158-G158,'180M'!F158))</f>
        <v>21158654.590312488</v>
      </c>
      <c r="I158" s="60">
        <f t="shared" si="102"/>
        <v>29814347.590312488</v>
      </c>
      <c r="J158" s="60">
        <f t="shared" si="103"/>
        <v>658266735.34356928</v>
      </c>
      <c r="K158" s="203">
        <f>J158/Input!$K$5</f>
        <v>2.1942224511452308</v>
      </c>
      <c r="L158" s="232"/>
      <c r="M158" s="60">
        <f>IF($B158&lt;Input!$H$43,IF($B158&lt;Input!$G$43,IF($B158&lt;Input!$F$43,IF($B158&lt;Input!$E$43,IF($B158&lt;Input!$D$43,Input!$C$49,Input!$D$49),Input!$E$49),Input!$F$49),Input!$G$49),Input!$H$49)</f>
        <v>33127052.878124986</v>
      </c>
      <c r="N158" s="190">
        <f>IF($A158&lt;Input!$H$50,IF($A158&lt;Input!$G$50,IF($A158&lt;Input!$F$50,IF($A158&lt;Input!$E$50,IF($A158&lt;Input!$D$50,Input!$C$51,Input!$D$51),Input!$E$51),Input!$F$51),Input!$G$51),Input!$H$51)</f>
        <v>0.9</v>
      </c>
      <c r="O158" s="60">
        <f t="shared" si="84"/>
        <v>29814347.590312488</v>
      </c>
      <c r="P158" s="60">
        <f t="shared" si="87"/>
        <v>31</v>
      </c>
      <c r="Q158" s="60">
        <f t="shared" si="88"/>
        <v>679425389.93388176</v>
      </c>
      <c r="R158" s="60">
        <f>ROUND(Q158*$P158*Input!$C$3/365,0)</f>
        <v>8655693</v>
      </c>
      <c r="S158" s="60">
        <f>IF(A158&lt;=Input!$C$6,0,IF('180M'!O158&lt;'180M'!Q158,'180M'!O158-R158,'180M'!Q158))</f>
        <v>21158654.590312488</v>
      </c>
      <c r="T158" s="60">
        <f t="shared" si="89"/>
        <v>29814347.590312488</v>
      </c>
      <c r="U158" s="60">
        <f t="shared" si="90"/>
        <v>658266735.34356928</v>
      </c>
      <c r="V158" s="193"/>
      <c r="W158" s="169">
        <v>154</v>
      </c>
      <c r="X158" s="1">
        <f t="shared" si="104"/>
        <v>50206</v>
      </c>
      <c r="Y158" s="60">
        <f>IF($X158&lt;Input!$H$58,IF($X158&lt;Input!$G$58,IF($X158&lt;Input!$F$58,IF($X158&lt;Input!$E$58,IF($X158&lt;Input!$D$58,Input!$C$64,Input!$D$64),Input!$E$64),Input!$F$64),Input!$G$64),Input!$H$64)</f>
        <v>0</v>
      </c>
      <c r="Z158" s="190">
        <f>IF($A158&lt;Input!$H$65,IF($A158&lt;Input!$G$65,IF($A158&lt;Input!$F$65,IF($A158&lt;Input!$E$65,IF($A158&lt;Input!$D$65,Input!$C$66,Input!$D$66),Input!$E$66),Input!$F$66),Input!$G$66),Input!$H$66)</f>
        <v>0.9</v>
      </c>
      <c r="AA158" s="60">
        <f t="shared" si="91"/>
        <v>0</v>
      </c>
      <c r="AB158" s="60">
        <f t="shared" si="105"/>
        <v>31</v>
      </c>
      <c r="AC158" s="60">
        <f t="shared" si="92"/>
        <v>0</v>
      </c>
      <c r="AD158" s="60">
        <f>ROUND(AC158*AB158*Input!$C$3/365,0)</f>
        <v>0</v>
      </c>
      <c r="AE158" s="61">
        <f>IF($A158&lt;=Input!$C$6,0,IF('180M'!AA158&lt;'180M'!AC158,'180M'!AA158-AD158,'180M'!AC158))</f>
        <v>0</v>
      </c>
      <c r="AF158" s="61">
        <f t="shared" si="93"/>
        <v>0</v>
      </c>
      <c r="AG158" s="60">
        <f t="shared" si="94"/>
        <v>0</v>
      </c>
      <c r="AH158" s="193"/>
      <c r="AI158" s="169">
        <v>154</v>
      </c>
      <c r="AJ158" s="1">
        <f t="shared" si="106"/>
        <v>50206</v>
      </c>
      <c r="AK158" s="60">
        <f>IF($X158&lt;Input!$H$73,IF($X158&lt;Input!$G$73,IF($X158&lt;Input!$F$73,IF($X158&lt;Input!$E$73,IF($X158&lt;Input!$D$73,Input!$C$79,Input!$D$79),Input!$E$79),Input!$F$79),Input!$G$79),Input!$H$79)</f>
        <v>0</v>
      </c>
      <c r="AL158" s="190">
        <f>IF($A158&lt;Input!$H$80,IF($A158&lt;Input!$G$80,IF($A158&lt;Input!$F$80,IF($A158&lt;Input!$E$80,IF($A158&lt;Input!$D$80,Input!$C$81,Input!$D$81),Input!$E$81),Input!$F$81),Input!$G$81),Input!$H$81)</f>
        <v>0.9</v>
      </c>
      <c r="AM158" s="60">
        <f t="shared" si="107"/>
        <v>0</v>
      </c>
      <c r="AN158" s="60">
        <f t="shared" si="108"/>
        <v>31</v>
      </c>
      <c r="AO158" s="60">
        <f t="shared" si="109"/>
        <v>0</v>
      </c>
      <c r="AP158" s="60">
        <f>ROUND(AO158*AN158*Input!$C$3/365,0)</f>
        <v>0</v>
      </c>
      <c r="AQ158" s="61">
        <f>IF($A158&lt;=Input!$C$6,0,IF('180M'!AM158&lt;'180M'!AO158,'180M'!AM158-AP158,'180M'!AO158))</f>
        <v>0</v>
      </c>
      <c r="AR158" s="61">
        <f t="shared" si="110"/>
        <v>0</v>
      </c>
      <c r="AS158" s="60">
        <f t="shared" si="111"/>
        <v>0</v>
      </c>
      <c r="AT158" s="193"/>
      <c r="AU158" s="169">
        <v>154</v>
      </c>
      <c r="AV158" s="1">
        <f t="shared" si="112"/>
        <v>50206</v>
      </c>
      <c r="AW158" s="60">
        <f>IF($X158&lt;Input!$H$88,IF($X158&lt;Input!$G$88,IF($X158&lt;Input!$F$88,IF($X158&lt;Input!$E$88,IF($X158&lt;Input!$D$88,Input!$C$94,Input!$D$94),Input!$E$94),Input!$F$94),Input!$G$94),Input!$H$94)</f>
        <v>0</v>
      </c>
      <c r="AX158" s="190">
        <f>IF($A158&lt;Input!$H$95,IF($A158&lt;Input!$G$95,IF($A158&lt;Input!$F$95,IF($A158&lt;Input!$E$95,IF($A158&lt;Input!$D$95,Input!$C$96,Input!$D$96),Input!$E$96),Input!$F$96),Input!$G$96),Input!$H$96)</f>
        <v>0.9</v>
      </c>
      <c r="AY158" s="60">
        <f t="shared" si="113"/>
        <v>0</v>
      </c>
      <c r="AZ158" s="60">
        <f t="shared" si="114"/>
        <v>31</v>
      </c>
      <c r="BA158" s="60">
        <f t="shared" si="115"/>
        <v>0</v>
      </c>
      <c r="BB158" s="60">
        <f>ROUND(BA158*AZ158*Input!$C$3/365,0)</f>
        <v>0</v>
      </c>
      <c r="BC158" s="61">
        <f>IF($A158&lt;=Input!$C$6,0,IF('180M'!AY158&lt;'180M'!BA158,'180M'!AY158-BB158,'180M'!BA158))</f>
        <v>0</v>
      </c>
      <c r="BD158" s="61">
        <f t="shared" si="116"/>
        <v>0</v>
      </c>
      <c r="BE158" s="60">
        <f t="shared" si="117"/>
        <v>0</v>
      </c>
      <c r="BF158" s="193"/>
      <c r="BG158" s="169">
        <v>154</v>
      </c>
      <c r="BH158" s="1">
        <f t="shared" si="118"/>
        <v>50206</v>
      </c>
      <c r="BI158" s="60">
        <f>IF($X158&lt;Input!$H$103,IF($X158&lt;Input!$G$103,IF($X158&lt;Input!$F$103,IF($X158&lt;Input!$E$103,IF($X158&lt;Input!$D$103,Input!$C$109,Input!$D$109),Input!$E$109),Input!$F$109),Input!$G$109),Input!$H$109)</f>
        <v>0</v>
      </c>
      <c r="BJ158" s="190">
        <f>IF($A158&lt;Input!$H$110,IF($A158&lt;Input!$G$110,IF($A158&lt;Input!$F$110,IF($A158&lt;Input!$E$110,IF($A158&lt;Input!$D$110,Input!$C$111,Input!$D$111),Input!$E$111),Input!$F$111),Input!$G$111),Input!$H$111)</f>
        <v>0.9</v>
      </c>
      <c r="BK158" s="60">
        <f t="shared" si="95"/>
        <v>0</v>
      </c>
      <c r="BL158" s="60">
        <f t="shared" si="119"/>
        <v>31</v>
      </c>
      <c r="BM158" s="60">
        <f t="shared" si="96"/>
        <v>0</v>
      </c>
      <c r="BN158" s="60">
        <f>ROUND(BM158*BL158*Input!$C$3/365,0)</f>
        <v>0</v>
      </c>
      <c r="BO158" s="61">
        <f>IF($A158&lt;=Input!$C$6,0,IF('180M'!BK158&lt;'180M'!BM158,'180M'!BK158-BN158,'180M'!BM158))</f>
        <v>0</v>
      </c>
      <c r="BP158" s="61">
        <f t="shared" si="97"/>
        <v>0</v>
      </c>
      <c r="BQ158" s="60">
        <f t="shared" si="98"/>
        <v>0</v>
      </c>
      <c r="BR158" s="198"/>
    </row>
    <row r="159" spans="1:70" x14ac:dyDescent="0.25">
      <c r="A159" s="169">
        <v>155</v>
      </c>
      <c r="B159" s="1">
        <f t="shared" si="99"/>
        <v>50236</v>
      </c>
      <c r="C159" s="60">
        <f t="shared" si="85"/>
        <v>33127052.878124986</v>
      </c>
      <c r="D159" s="60">
        <f t="shared" si="86"/>
        <v>29814347.590312488</v>
      </c>
      <c r="E159" s="60">
        <f t="shared" si="100"/>
        <v>30</v>
      </c>
      <c r="F159" s="60">
        <f t="shared" si="101"/>
        <v>658266735.34356928</v>
      </c>
      <c r="G159" s="60">
        <f>ROUND(F159*E159*Input!$C$3/365,0)</f>
        <v>8115617</v>
      </c>
      <c r="H159" s="60">
        <f>IF($A159&lt;=Input!$C$6,0,IF('180M'!D159&lt;'180M'!F159,'180M'!D159-G159,'180M'!F159))</f>
        <v>21698730.590312488</v>
      </c>
      <c r="I159" s="60">
        <f t="shared" si="102"/>
        <v>29814347.590312488</v>
      </c>
      <c r="J159" s="60">
        <f t="shared" si="103"/>
        <v>636568004.7532568</v>
      </c>
      <c r="K159" s="203">
        <f>J159/Input!$K$5</f>
        <v>2.1218933491775225</v>
      </c>
      <c r="L159" s="232"/>
      <c r="M159" s="60">
        <f>IF($B159&lt;Input!$H$43,IF($B159&lt;Input!$G$43,IF($B159&lt;Input!$F$43,IF($B159&lt;Input!$E$43,IF($B159&lt;Input!$D$43,Input!$C$49,Input!$D$49),Input!$E$49),Input!$F$49),Input!$G$49),Input!$H$49)</f>
        <v>33127052.878124986</v>
      </c>
      <c r="N159" s="190">
        <f>IF($A159&lt;Input!$H$50,IF($A159&lt;Input!$G$50,IF($A159&lt;Input!$F$50,IF($A159&lt;Input!$E$50,IF($A159&lt;Input!$D$50,Input!$C$51,Input!$D$51),Input!$E$51),Input!$F$51),Input!$G$51),Input!$H$51)</f>
        <v>0.9</v>
      </c>
      <c r="O159" s="60">
        <f t="shared" si="84"/>
        <v>29814347.590312488</v>
      </c>
      <c r="P159" s="60">
        <f t="shared" si="87"/>
        <v>30</v>
      </c>
      <c r="Q159" s="60">
        <f t="shared" si="88"/>
        <v>658266735.34356928</v>
      </c>
      <c r="R159" s="60">
        <f>ROUND(Q159*$P159*Input!$C$3/365,0)</f>
        <v>8115617</v>
      </c>
      <c r="S159" s="60">
        <f>IF(A159&lt;=Input!$C$6,0,IF('180M'!O159&lt;'180M'!Q159,'180M'!O159-R159,'180M'!Q159))</f>
        <v>21698730.590312488</v>
      </c>
      <c r="T159" s="60">
        <f t="shared" si="89"/>
        <v>29814347.590312488</v>
      </c>
      <c r="U159" s="60">
        <f t="shared" si="90"/>
        <v>636568004.7532568</v>
      </c>
      <c r="V159" s="193"/>
      <c r="W159" s="169">
        <v>155</v>
      </c>
      <c r="X159" s="1">
        <f t="shared" si="104"/>
        <v>50236</v>
      </c>
      <c r="Y159" s="60">
        <f>IF($X159&lt;Input!$H$58,IF($X159&lt;Input!$G$58,IF($X159&lt;Input!$F$58,IF($X159&lt;Input!$E$58,IF($X159&lt;Input!$D$58,Input!$C$64,Input!$D$64),Input!$E$64),Input!$F$64),Input!$G$64),Input!$H$64)</f>
        <v>0</v>
      </c>
      <c r="Z159" s="190">
        <f>IF($A159&lt;Input!$H$65,IF($A159&lt;Input!$G$65,IF($A159&lt;Input!$F$65,IF($A159&lt;Input!$E$65,IF($A159&lt;Input!$D$65,Input!$C$66,Input!$D$66),Input!$E$66),Input!$F$66),Input!$G$66),Input!$H$66)</f>
        <v>0.9</v>
      </c>
      <c r="AA159" s="60">
        <f t="shared" si="91"/>
        <v>0</v>
      </c>
      <c r="AB159" s="60">
        <f t="shared" si="105"/>
        <v>30</v>
      </c>
      <c r="AC159" s="60">
        <f t="shared" si="92"/>
        <v>0</v>
      </c>
      <c r="AD159" s="60">
        <f>ROUND(AC159*AB159*Input!$C$3/365,0)</f>
        <v>0</v>
      </c>
      <c r="AE159" s="61">
        <f>IF($A159&lt;=Input!$C$6,0,IF('180M'!AA159&lt;'180M'!AC159,'180M'!AA159-AD159,'180M'!AC159))</f>
        <v>0</v>
      </c>
      <c r="AF159" s="61">
        <f t="shared" si="93"/>
        <v>0</v>
      </c>
      <c r="AG159" s="60">
        <f t="shared" si="94"/>
        <v>0</v>
      </c>
      <c r="AH159" s="193"/>
      <c r="AI159" s="169">
        <v>155</v>
      </c>
      <c r="AJ159" s="1">
        <f t="shared" si="106"/>
        <v>50236</v>
      </c>
      <c r="AK159" s="60">
        <f>IF($X159&lt;Input!$H$73,IF($X159&lt;Input!$G$73,IF($X159&lt;Input!$F$73,IF($X159&lt;Input!$E$73,IF($X159&lt;Input!$D$73,Input!$C$79,Input!$D$79),Input!$E$79),Input!$F$79),Input!$G$79),Input!$H$79)</f>
        <v>0</v>
      </c>
      <c r="AL159" s="190">
        <f>IF($A159&lt;Input!$H$80,IF($A159&lt;Input!$G$80,IF($A159&lt;Input!$F$80,IF($A159&lt;Input!$E$80,IF($A159&lt;Input!$D$80,Input!$C$81,Input!$D$81),Input!$E$81),Input!$F$81),Input!$G$81),Input!$H$81)</f>
        <v>0.9</v>
      </c>
      <c r="AM159" s="60">
        <f t="shared" si="107"/>
        <v>0</v>
      </c>
      <c r="AN159" s="60">
        <f t="shared" si="108"/>
        <v>30</v>
      </c>
      <c r="AO159" s="60">
        <f t="shared" si="109"/>
        <v>0</v>
      </c>
      <c r="AP159" s="60">
        <f>ROUND(AO159*AN159*Input!$C$3/365,0)</f>
        <v>0</v>
      </c>
      <c r="AQ159" s="61">
        <f>IF($A159&lt;=Input!$C$6,0,IF('180M'!AM159&lt;'180M'!AO159,'180M'!AM159-AP159,'180M'!AO159))</f>
        <v>0</v>
      </c>
      <c r="AR159" s="61">
        <f t="shared" si="110"/>
        <v>0</v>
      </c>
      <c r="AS159" s="60">
        <f t="shared" si="111"/>
        <v>0</v>
      </c>
      <c r="AT159" s="193"/>
      <c r="AU159" s="169">
        <v>155</v>
      </c>
      <c r="AV159" s="1">
        <f t="shared" si="112"/>
        <v>50236</v>
      </c>
      <c r="AW159" s="60">
        <f>IF($X159&lt;Input!$H$88,IF($X159&lt;Input!$G$88,IF($X159&lt;Input!$F$88,IF($X159&lt;Input!$E$88,IF($X159&lt;Input!$D$88,Input!$C$94,Input!$D$94),Input!$E$94),Input!$F$94),Input!$G$94),Input!$H$94)</f>
        <v>0</v>
      </c>
      <c r="AX159" s="190">
        <f>IF($A159&lt;Input!$H$95,IF($A159&lt;Input!$G$95,IF($A159&lt;Input!$F$95,IF($A159&lt;Input!$E$95,IF($A159&lt;Input!$D$95,Input!$C$96,Input!$D$96),Input!$E$96),Input!$F$96),Input!$G$96),Input!$H$96)</f>
        <v>0.9</v>
      </c>
      <c r="AY159" s="60">
        <f t="shared" si="113"/>
        <v>0</v>
      </c>
      <c r="AZ159" s="60">
        <f t="shared" si="114"/>
        <v>30</v>
      </c>
      <c r="BA159" s="60">
        <f t="shared" si="115"/>
        <v>0</v>
      </c>
      <c r="BB159" s="60">
        <f>ROUND(BA159*AZ159*Input!$C$3/365,0)</f>
        <v>0</v>
      </c>
      <c r="BC159" s="61">
        <f>IF($A159&lt;=Input!$C$6,0,IF('180M'!AY159&lt;'180M'!BA159,'180M'!AY159-BB159,'180M'!BA159))</f>
        <v>0</v>
      </c>
      <c r="BD159" s="61">
        <f t="shared" si="116"/>
        <v>0</v>
      </c>
      <c r="BE159" s="60">
        <f t="shared" si="117"/>
        <v>0</v>
      </c>
      <c r="BF159" s="193"/>
      <c r="BG159" s="169">
        <v>155</v>
      </c>
      <c r="BH159" s="1">
        <f t="shared" si="118"/>
        <v>50236</v>
      </c>
      <c r="BI159" s="60">
        <f>IF($X159&lt;Input!$H$103,IF($X159&lt;Input!$G$103,IF($X159&lt;Input!$F$103,IF($X159&lt;Input!$E$103,IF($X159&lt;Input!$D$103,Input!$C$109,Input!$D$109),Input!$E$109),Input!$F$109),Input!$G$109),Input!$H$109)</f>
        <v>0</v>
      </c>
      <c r="BJ159" s="190">
        <f>IF($A159&lt;Input!$H$110,IF($A159&lt;Input!$G$110,IF($A159&lt;Input!$F$110,IF($A159&lt;Input!$E$110,IF($A159&lt;Input!$D$110,Input!$C$111,Input!$D$111),Input!$E$111),Input!$F$111),Input!$G$111),Input!$H$111)</f>
        <v>0.9</v>
      </c>
      <c r="BK159" s="60">
        <f t="shared" si="95"/>
        <v>0</v>
      </c>
      <c r="BL159" s="60">
        <f t="shared" si="119"/>
        <v>30</v>
      </c>
      <c r="BM159" s="60">
        <f t="shared" si="96"/>
        <v>0</v>
      </c>
      <c r="BN159" s="60">
        <f>ROUND(BM159*BL159*Input!$C$3/365,0)</f>
        <v>0</v>
      </c>
      <c r="BO159" s="61">
        <f>IF($A159&lt;=Input!$C$6,0,IF('180M'!BK159&lt;'180M'!BM159,'180M'!BK159-BN159,'180M'!BM159))</f>
        <v>0</v>
      </c>
      <c r="BP159" s="61">
        <f t="shared" si="97"/>
        <v>0</v>
      </c>
      <c r="BQ159" s="60">
        <f t="shared" si="98"/>
        <v>0</v>
      </c>
      <c r="BR159" s="198"/>
    </row>
    <row r="160" spans="1:70" x14ac:dyDescent="0.25">
      <c r="A160" s="169">
        <v>156</v>
      </c>
      <c r="B160" s="1">
        <f t="shared" si="99"/>
        <v>50267</v>
      </c>
      <c r="C160" s="60">
        <f t="shared" si="85"/>
        <v>33127052.878124986</v>
      </c>
      <c r="D160" s="60">
        <f t="shared" si="86"/>
        <v>29814347.590312488</v>
      </c>
      <c r="E160" s="60">
        <f t="shared" si="100"/>
        <v>31</v>
      </c>
      <c r="F160" s="60">
        <f t="shared" si="101"/>
        <v>636568004.7532568</v>
      </c>
      <c r="G160" s="60">
        <f>ROUND(F160*E160*Input!$C$3/365,0)</f>
        <v>8109702</v>
      </c>
      <c r="H160" s="60">
        <f>IF($A160&lt;=Input!$C$6,0,IF('180M'!D160&lt;'180M'!F160,'180M'!D160-G160,'180M'!F160))</f>
        <v>21704645.590312488</v>
      </c>
      <c r="I160" s="60">
        <f t="shared" si="102"/>
        <v>29814347.590312488</v>
      </c>
      <c r="J160" s="60">
        <f t="shared" si="103"/>
        <v>614863359.16294432</v>
      </c>
      <c r="K160" s="203">
        <f>J160/Input!$K$5</f>
        <v>2.0495445305431477</v>
      </c>
      <c r="L160" s="232"/>
      <c r="M160" s="60">
        <f>IF($B160&lt;Input!$H$43,IF($B160&lt;Input!$G$43,IF($B160&lt;Input!$F$43,IF($B160&lt;Input!$E$43,IF($B160&lt;Input!$D$43,Input!$C$49,Input!$D$49),Input!$E$49),Input!$F$49),Input!$G$49),Input!$H$49)</f>
        <v>33127052.878124986</v>
      </c>
      <c r="N160" s="190">
        <f>IF($A160&lt;Input!$H$50,IF($A160&lt;Input!$G$50,IF($A160&lt;Input!$F$50,IF($A160&lt;Input!$E$50,IF($A160&lt;Input!$D$50,Input!$C$51,Input!$D$51),Input!$E$51),Input!$F$51),Input!$G$51),Input!$H$51)</f>
        <v>0.9</v>
      </c>
      <c r="O160" s="60">
        <f t="shared" si="84"/>
        <v>29814347.590312488</v>
      </c>
      <c r="P160" s="60">
        <f t="shared" si="87"/>
        <v>31</v>
      </c>
      <c r="Q160" s="60">
        <f t="shared" si="88"/>
        <v>636568004.7532568</v>
      </c>
      <c r="R160" s="60">
        <f>ROUND(Q160*$P160*Input!$C$3/365,0)</f>
        <v>8109702</v>
      </c>
      <c r="S160" s="60">
        <f>IF(A160&lt;=Input!$C$6,0,IF('180M'!O160&lt;'180M'!Q160,'180M'!O160-R160,'180M'!Q160))</f>
        <v>21704645.590312488</v>
      </c>
      <c r="T160" s="60">
        <f t="shared" si="89"/>
        <v>29814347.590312488</v>
      </c>
      <c r="U160" s="60">
        <f t="shared" si="90"/>
        <v>614863359.16294432</v>
      </c>
      <c r="V160" s="193"/>
      <c r="W160" s="169">
        <v>156</v>
      </c>
      <c r="X160" s="1">
        <f t="shared" si="104"/>
        <v>50267</v>
      </c>
      <c r="Y160" s="60">
        <f>IF($X160&lt;Input!$H$58,IF($X160&lt;Input!$G$58,IF($X160&lt;Input!$F$58,IF($X160&lt;Input!$E$58,IF($X160&lt;Input!$D$58,Input!$C$64,Input!$D$64),Input!$E$64),Input!$F$64),Input!$G$64),Input!$H$64)</f>
        <v>0</v>
      </c>
      <c r="Z160" s="190">
        <f>IF($A160&lt;Input!$H$65,IF($A160&lt;Input!$G$65,IF($A160&lt;Input!$F$65,IF($A160&lt;Input!$E$65,IF($A160&lt;Input!$D$65,Input!$C$66,Input!$D$66),Input!$E$66),Input!$F$66),Input!$G$66),Input!$H$66)</f>
        <v>0.9</v>
      </c>
      <c r="AA160" s="60">
        <f t="shared" si="91"/>
        <v>0</v>
      </c>
      <c r="AB160" s="60">
        <f t="shared" si="105"/>
        <v>31</v>
      </c>
      <c r="AC160" s="60">
        <f t="shared" si="92"/>
        <v>0</v>
      </c>
      <c r="AD160" s="60">
        <f>ROUND(AC160*AB160*Input!$C$3/365,0)</f>
        <v>0</v>
      </c>
      <c r="AE160" s="61">
        <f>IF($A160&lt;=Input!$C$6,0,IF('180M'!AA160&lt;'180M'!AC160,'180M'!AA160-AD160,'180M'!AC160))</f>
        <v>0</v>
      </c>
      <c r="AF160" s="61">
        <f t="shared" si="93"/>
        <v>0</v>
      </c>
      <c r="AG160" s="60">
        <f t="shared" si="94"/>
        <v>0</v>
      </c>
      <c r="AH160" s="193"/>
      <c r="AI160" s="169">
        <v>156</v>
      </c>
      <c r="AJ160" s="1">
        <f t="shared" si="106"/>
        <v>50267</v>
      </c>
      <c r="AK160" s="60">
        <f>IF($X160&lt;Input!$H$73,IF($X160&lt;Input!$G$73,IF($X160&lt;Input!$F$73,IF($X160&lt;Input!$E$73,IF($X160&lt;Input!$D$73,Input!$C$79,Input!$D$79),Input!$E$79),Input!$F$79),Input!$G$79),Input!$H$79)</f>
        <v>0</v>
      </c>
      <c r="AL160" s="190">
        <f>IF($A160&lt;Input!$H$80,IF($A160&lt;Input!$G$80,IF($A160&lt;Input!$F$80,IF($A160&lt;Input!$E$80,IF($A160&lt;Input!$D$80,Input!$C$81,Input!$D$81),Input!$E$81),Input!$F$81),Input!$G$81),Input!$H$81)</f>
        <v>0.9</v>
      </c>
      <c r="AM160" s="60">
        <f t="shared" si="107"/>
        <v>0</v>
      </c>
      <c r="AN160" s="60">
        <f t="shared" si="108"/>
        <v>31</v>
      </c>
      <c r="AO160" s="60">
        <f t="shared" si="109"/>
        <v>0</v>
      </c>
      <c r="AP160" s="60">
        <f>ROUND(AO160*AN160*Input!$C$3/365,0)</f>
        <v>0</v>
      </c>
      <c r="AQ160" s="61">
        <f>IF($A160&lt;=Input!$C$6,0,IF('180M'!AM160&lt;'180M'!AO160,'180M'!AM160-AP160,'180M'!AO160))</f>
        <v>0</v>
      </c>
      <c r="AR160" s="61">
        <f t="shared" si="110"/>
        <v>0</v>
      </c>
      <c r="AS160" s="60">
        <f t="shared" si="111"/>
        <v>0</v>
      </c>
      <c r="AT160" s="193"/>
      <c r="AU160" s="169">
        <v>156</v>
      </c>
      <c r="AV160" s="1">
        <f t="shared" si="112"/>
        <v>50267</v>
      </c>
      <c r="AW160" s="60">
        <f>IF($X160&lt;Input!$H$88,IF($X160&lt;Input!$G$88,IF($X160&lt;Input!$F$88,IF($X160&lt;Input!$E$88,IF($X160&lt;Input!$D$88,Input!$C$94,Input!$D$94),Input!$E$94),Input!$F$94),Input!$G$94),Input!$H$94)</f>
        <v>0</v>
      </c>
      <c r="AX160" s="190">
        <f>IF($A160&lt;Input!$H$95,IF($A160&lt;Input!$G$95,IF($A160&lt;Input!$F$95,IF($A160&lt;Input!$E$95,IF($A160&lt;Input!$D$95,Input!$C$96,Input!$D$96),Input!$E$96),Input!$F$96),Input!$G$96),Input!$H$96)</f>
        <v>0.9</v>
      </c>
      <c r="AY160" s="60">
        <f t="shared" si="113"/>
        <v>0</v>
      </c>
      <c r="AZ160" s="60">
        <f t="shared" si="114"/>
        <v>31</v>
      </c>
      <c r="BA160" s="60">
        <f t="shared" si="115"/>
        <v>0</v>
      </c>
      <c r="BB160" s="60">
        <f>ROUND(BA160*AZ160*Input!$C$3/365,0)</f>
        <v>0</v>
      </c>
      <c r="BC160" s="61">
        <f>IF($A160&lt;=Input!$C$6,0,IF('180M'!AY160&lt;'180M'!BA160,'180M'!AY160-BB160,'180M'!BA160))</f>
        <v>0</v>
      </c>
      <c r="BD160" s="61">
        <f t="shared" si="116"/>
        <v>0</v>
      </c>
      <c r="BE160" s="60">
        <f t="shared" si="117"/>
        <v>0</v>
      </c>
      <c r="BF160" s="193"/>
      <c r="BG160" s="169">
        <v>156</v>
      </c>
      <c r="BH160" s="1">
        <f t="shared" si="118"/>
        <v>50267</v>
      </c>
      <c r="BI160" s="60">
        <f>IF($X160&lt;Input!$H$103,IF($X160&lt;Input!$G$103,IF($X160&lt;Input!$F$103,IF($X160&lt;Input!$E$103,IF($X160&lt;Input!$D$103,Input!$C$109,Input!$D$109),Input!$E$109),Input!$F$109),Input!$G$109),Input!$H$109)</f>
        <v>0</v>
      </c>
      <c r="BJ160" s="190">
        <f>IF($A160&lt;Input!$H$110,IF($A160&lt;Input!$G$110,IF($A160&lt;Input!$F$110,IF($A160&lt;Input!$E$110,IF($A160&lt;Input!$D$110,Input!$C$111,Input!$D$111),Input!$E$111),Input!$F$111),Input!$G$111),Input!$H$111)</f>
        <v>0.9</v>
      </c>
      <c r="BK160" s="60">
        <f t="shared" si="95"/>
        <v>0</v>
      </c>
      <c r="BL160" s="60">
        <f t="shared" si="119"/>
        <v>31</v>
      </c>
      <c r="BM160" s="60">
        <f t="shared" si="96"/>
        <v>0</v>
      </c>
      <c r="BN160" s="60">
        <f>ROUND(BM160*BL160*Input!$C$3/365,0)</f>
        <v>0</v>
      </c>
      <c r="BO160" s="61">
        <f>IF($A160&lt;=Input!$C$6,0,IF('180M'!BK160&lt;'180M'!BM160,'180M'!BK160-BN160,'180M'!BM160))</f>
        <v>0</v>
      </c>
      <c r="BP160" s="61">
        <f t="shared" si="97"/>
        <v>0</v>
      </c>
      <c r="BQ160" s="60">
        <f t="shared" si="98"/>
        <v>0</v>
      </c>
      <c r="BR160" s="198"/>
    </row>
    <row r="161" spans="1:70" x14ac:dyDescent="0.25">
      <c r="A161" s="169">
        <v>157</v>
      </c>
      <c r="B161" s="1">
        <f t="shared" si="99"/>
        <v>50298</v>
      </c>
      <c r="C161" s="60">
        <f t="shared" si="85"/>
        <v>33127052.878124986</v>
      </c>
      <c r="D161" s="60">
        <f t="shared" si="86"/>
        <v>29814347.590312488</v>
      </c>
      <c r="E161" s="60">
        <f t="shared" si="100"/>
        <v>31</v>
      </c>
      <c r="F161" s="60">
        <f t="shared" si="101"/>
        <v>614863359.16294432</v>
      </c>
      <c r="G161" s="60">
        <f>ROUND(F161*E161*Input!$C$3/365,0)</f>
        <v>7833191</v>
      </c>
      <c r="H161" s="60">
        <f>IF($A161&lt;=Input!$C$6,0,IF('180M'!D161&lt;'180M'!F161,'180M'!D161-G161,'180M'!F161))</f>
        <v>21981156.590312488</v>
      </c>
      <c r="I161" s="60">
        <f t="shared" si="102"/>
        <v>29814347.590312488</v>
      </c>
      <c r="J161" s="60">
        <f t="shared" si="103"/>
        <v>592882202.57263184</v>
      </c>
      <c r="K161" s="203">
        <f>J161/Input!$K$5</f>
        <v>1.9762740085754396</v>
      </c>
      <c r="L161" s="232"/>
      <c r="M161" s="60">
        <f>IF($B161&lt;Input!$H$43,IF($B161&lt;Input!$G$43,IF($B161&lt;Input!$F$43,IF($B161&lt;Input!$E$43,IF($B161&lt;Input!$D$43,Input!$C$49,Input!$D$49),Input!$E$49),Input!$F$49),Input!$G$49),Input!$H$49)</f>
        <v>33127052.878124986</v>
      </c>
      <c r="N161" s="190">
        <f>IF($A161&lt;Input!$H$50,IF($A161&lt;Input!$G$50,IF($A161&lt;Input!$F$50,IF($A161&lt;Input!$E$50,IF($A161&lt;Input!$D$50,Input!$C$51,Input!$D$51),Input!$E$51),Input!$F$51),Input!$G$51),Input!$H$51)</f>
        <v>0.9</v>
      </c>
      <c r="O161" s="60">
        <f t="shared" si="84"/>
        <v>29814347.590312488</v>
      </c>
      <c r="P161" s="60">
        <f t="shared" si="87"/>
        <v>31</v>
      </c>
      <c r="Q161" s="60">
        <f t="shared" si="88"/>
        <v>614863359.16294432</v>
      </c>
      <c r="R161" s="60">
        <f>ROUND(Q161*$P161*Input!$C$3/365,0)</f>
        <v>7833191</v>
      </c>
      <c r="S161" s="60">
        <f>IF(A161&lt;=Input!$C$6,0,IF('180M'!O161&lt;'180M'!Q161,'180M'!O161-R161,'180M'!Q161))</f>
        <v>21981156.590312488</v>
      </c>
      <c r="T161" s="60">
        <f t="shared" si="89"/>
        <v>29814347.590312488</v>
      </c>
      <c r="U161" s="60">
        <f t="shared" si="90"/>
        <v>592882202.57263184</v>
      </c>
      <c r="V161" s="193"/>
      <c r="W161" s="169">
        <v>157</v>
      </c>
      <c r="X161" s="1">
        <f t="shared" si="104"/>
        <v>50298</v>
      </c>
      <c r="Y161" s="60">
        <f>IF($X161&lt;Input!$H$58,IF($X161&lt;Input!$G$58,IF($X161&lt;Input!$F$58,IF($X161&lt;Input!$E$58,IF($X161&lt;Input!$D$58,Input!$C$64,Input!$D$64),Input!$E$64),Input!$F$64),Input!$G$64),Input!$H$64)</f>
        <v>0</v>
      </c>
      <c r="Z161" s="190">
        <f>IF($A161&lt;Input!$H$65,IF($A161&lt;Input!$G$65,IF($A161&lt;Input!$F$65,IF($A161&lt;Input!$E$65,IF($A161&lt;Input!$D$65,Input!$C$66,Input!$D$66),Input!$E$66),Input!$F$66),Input!$G$66),Input!$H$66)</f>
        <v>0.9</v>
      </c>
      <c r="AA161" s="60">
        <f t="shared" si="91"/>
        <v>0</v>
      </c>
      <c r="AB161" s="60">
        <f t="shared" si="105"/>
        <v>31</v>
      </c>
      <c r="AC161" s="60">
        <f t="shared" si="92"/>
        <v>0</v>
      </c>
      <c r="AD161" s="60">
        <f>ROUND(AC161*AB161*Input!$C$3/365,0)</f>
        <v>0</v>
      </c>
      <c r="AE161" s="61">
        <f>IF($A161&lt;=Input!$C$6,0,IF('180M'!AA161&lt;'180M'!AC161,'180M'!AA161-AD161,'180M'!AC161))</f>
        <v>0</v>
      </c>
      <c r="AF161" s="61">
        <f t="shared" si="93"/>
        <v>0</v>
      </c>
      <c r="AG161" s="60">
        <f t="shared" si="94"/>
        <v>0</v>
      </c>
      <c r="AH161" s="193"/>
      <c r="AI161" s="169">
        <v>157</v>
      </c>
      <c r="AJ161" s="1">
        <f t="shared" si="106"/>
        <v>50298</v>
      </c>
      <c r="AK161" s="60">
        <f>IF($X161&lt;Input!$H$73,IF($X161&lt;Input!$G$73,IF($X161&lt;Input!$F$73,IF($X161&lt;Input!$E$73,IF($X161&lt;Input!$D$73,Input!$C$79,Input!$D$79),Input!$E$79),Input!$F$79),Input!$G$79),Input!$H$79)</f>
        <v>0</v>
      </c>
      <c r="AL161" s="190">
        <f>IF($A161&lt;Input!$H$80,IF($A161&lt;Input!$G$80,IF($A161&lt;Input!$F$80,IF($A161&lt;Input!$E$80,IF($A161&lt;Input!$D$80,Input!$C$81,Input!$D$81),Input!$E$81),Input!$F$81),Input!$G$81),Input!$H$81)</f>
        <v>0.9</v>
      </c>
      <c r="AM161" s="60">
        <f t="shared" si="107"/>
        <v>0</v>
      </c>
      <c r="AN161" s="60">
        <f t="shared" si="108"/>
        <v>31</v>
      </c>
      <c r="AO161" s="60">
        <f t="shared" si="109"/>
        <v>0</v>
      </c>
      <c r="AP161" s="60">
        <f>ROUND(AO161*AN161*Input!$C$3/365,0)</f>
        <v>0</v>
      </c>
      <c r="AQ161" s="61">
        <f>IF($A161&lt;=Input!$C$6,0,IF('180M'!AM161&lt;'180M'!AO161,'180M'!AM161-AP161,'180M'!AO161))</f>
        <v>0</v>
      </c>
      <c r="AR161" s="61">
        <f t="shared" si="110"/>
        <v>0</v>
      </c>
      <c r="AS161" s="60">
        <f t="shared" si="111"/>
        <v>0</v>
      </c>
      <c r="AT161" s="193"/>
      <c r="AU161" s="169">
        <v>157</v>
      </c>
      <c r="AV161" s="1">
        <f t="shared" si="112"/>
        <v>50298</v>
      </c>
      <c r="AW161" s="60">
        <f>IF($X161&lt;Input!$H$88,IF($X161&lt;Input!$G$88,IF($X161&lt;Input!$F$88,IF($X161&lt;Input!$E$88,IF($X161&lt;Input!$D$88,Input!$C$94,Input!$D$94),Input!$E$94),Input!$F$94),Input!$G$94),Input!$H$94)</f>
        <v>0</v>
      </c>
      <c r="AX161" s="190">
        <f>IF($A161&lt;Input!$H$95,IF($A161&lt;Input!$G$95,IF($A161&lt;Input!$F$95,IF($A161&lt;Input!$E$95,IF($A161&lt;Input!$D$95,Input!$C$96,Input!$D$96),Input!$E$96),Input!$F$96),Input!$G$96),Input!$H$96)</f>
        <v>0.9</v>
      </c>
      <c r="AY161" s="60">
        <f t="shared" si="113"/>
        <v>0</v>
      </c>
      <c r="AZ161" s="60">
        <f t="shared" si="114"/>
        <v>31</v>
      </c>
      <c r="BA161" s="60">
        <f t="shared" si="115"/>
        <v>0</v>
      </c>
      <c r="BB161" s="60">
        <f>ROUND(BA161*AZ161*Input!$C$3/365,0)</f>
        <v>0</v>
      </c>
      <c r="BC161" s="61">
        <f>IF($A161&lt;=Input!$C$6,0,IF('180M'!AY161&lt;'180M'!BA161,'180M'!AY161-BB161,'180M'!BA161))</f>
        <v>0</v>
      </c>
      <c r="BD161" s="61">
        <f t="shared" si="116"/>
        <v>0</v>
      </c>
      <c r="BE161" s="60">
        <f t="shared" si="117"/>
        <v>0</v>
      </c>
      <c r="BF161" s="193"/>
      <c r="BG161" s="169">
        <v>157</v>
      </c>
      <c r="BH161" s="1">
        <f t="shared" si="118"/>
        <v>50298</v>
      </c>
      <c r="BI161" s="60">
        <f>IF($X161&lt;Input!$H$103,IF($X161&lt;Input!$G$103,IF($X161&lt;Input!$F$103,IF($X161&lt;Input!$E$103,IF($X161&lt;Input!$D$103,Input!$C$109,Input!$D$109),Input!$E$109),Input!$F$109),Input!$G$109),Input!$H$109)</f>
        <v>0</v>
      </c>
      <c r="BJ161" s="190">
        <f>IF($A161&lt;Input!$H$110,IF($A161&lt;Input!$G$110,IF($A161&lt;Input!$F$110,IF($A161&lt;Input!$E$110,IF($A161&lt;Input!$D$110,Input!$C$111,Input!$D$111),Input!$E$111),Input!$F$111),Input!$G$111),Input!$H$111)</f>
        <v>0.9</v>
      </c>
      <c r="BK161" s="60">
        <f t="shared" si="95"/>
        <v>0</v>
      </c>
      <c r="BL161" s="60">
        <f t="shared" si="119"/>
        <v>31</v>
      </c>
      <c r="BM161" s="60">
        <f t="shared" si="96"/>
        <v>0</v>
      </c>
      <c r="BN161" s="60">
        <f>ROUND(BM161*BL161*Input!$C$3/365,0)</f>
        <v>0</v>
      </c>
      <c r="BO161" s="61">
        <f>IF($A161&lt;=Input!$C$6,0,IF('180M'!BK161&lt;'180M'!BM161,'180M'!BK161-BN161,'180M'!BM161))</f>
        <v>0</v>
      </c>
      <c r="BP161" s="61">
        <f t="shared" si="97"/>
        <v>0</v>
      </c>
      <c r="BQ161" s="60">
        <f t="shared" si="98"/>
        <v>0</v>
      </c>
      <c r="BR161" s="198"/>
    </row>
    <row r="162" spans="1:70" x14ac:dyDescent="0.25">
      <c r="A162" s="169">
        <v>158</v>
      </c>
      <c r="B162" s="1">
        <f t="shared" si="99"/>
        <v>50328</v>
      </c>
      <c r="C162" s="60">
        <f t="shared" si="85"/>
        <v>33127052.878124986</v>
      </c>
      <c r="D162" s="60">
        <f t="shared" si="86"/>
        <v>29814347.590312488</v>
      </c>
      <c r="E162" s="60">
        <f t="shared" si="100"/>
        <v>30</v>
      </c>
      <c r="F162" s="60">
        <f t="shared" si="101"/>
        <v>592882202.57263184</v>
      </c>
      <c r="G162" s="60">
        <f>ROUND(F162*E162*Input!$C$3/365,0)</f>
        <v>7309507</v>
      </c>
      <c r="H162" s="60">
        <f>IF($A162&lt;=Input!$C$6,0,IF('180M'!D162&lt;'180M'!F162,'180M'!D162-G162,'180M'!F162))</f>
        <v>22504840.590312488</v>
      </c>
      <c r="I162" s="60">
        <f t="shared" si="102"/>
        <v>29814347.590312488</v>
      </c>
      <c r="J162" s="60">
        <f t="shared" si="103"/>
        <v>570377361.98231936</v>
      </c>
      <c r="K162" s="203">
        <f>J162/Input!$K$5</f>
        <v>1.9012578732743979</v>
      </c>
      <c r="L162" s="232"/>
      <c r="M162" s="60">
        <f>IF($B162&lt;Input!$H$43,IF($B162&lt;Input!$G$43,IF($B162&lt;Input!$F$43,IF($B162&lt;Input!$E$43,IF($B162&lt;Input!$D$43,Input!$C$49,Input!$D$49),Input!$E$49),Input!$F$49),Input!$G$49),Input!$H$49)</f>
        <v>33127052.878124986</v>
      </c>
      <c r="N162" s="190">
        <f>IF($A162&lt;Input!$H$50,IF($A162&lt;Input!$G$50,IF($A162&lt;Input!$F$50,IF($A162&lt;Input!$E$50,IF($A162&lt;Input!$D$50,Input!$C$51,Input!$D$51),Input!$E$51),Input!$F$51),Input!$G$51),Input!$H$51)</f>
        <v>0.9</v>
      </c>
      <c r="O162" s="60">
        <f t="shared" si="84"/>
        <v>29814347.590312488</v>
      </c>
      <c r="P162" s="60">
        <f t="shared" si="87"/>
        <v>30</v>
      </c>
      <c r="Q162" s="60">
        <f t="shared" si="88"/>
        <v>592882202.57263184</v>
      </c>
      <c r="R162" s="60">
        <f>ROUND(Q162*$P162*Input!$C$3/365,0)</f>
        <v>7309507</v>
      </c>
      <c r="S162" s="60">
        <f>IF(A162&lt;=Input!$C$6,0,IF('180M'!O162&lt;'180M'!Q162,'180M'!O162-R162,'180M'!Q162))</f>
        <v>22504840.590312488</v>
      </c>
      <c r="T162" s="60">
        <f t="shared" si="89"/>
        <v>29814347.590312488</v>
      </c>
      <c r="U162" s="60">
        <f t="shared" si="90"/>
        <v>570377361.98231936</v>
      </c>
      <c r="V162" s="193"/>
      <c r="W162" s="169">
        <v>158</v>
      </c>
      <c r="X162" s="1">
        <f t="shared" si="104"/>
        <v>50328</v>
      </c>
      <c r="Y162" s="60">
        <f>IF($X162&lt;Input!$H$58,IF($X162&lt;Input!$G$58,IF($X162&lt;Input!$F$58,IF($X162&lt;Input!$E$58,IF($X162&lt;Input!$D$58,Input!$C$64,Input!$D$64),Input!$E$64),Input!$F$64),Input!$G$64),Input!$H$64)</f>
        <v>0</v>
      </c>
      <c r="Z162" s="190">
        <f>IF($A162&lt;Input!$H$65,IF($A162&lt;Input!$G$65,IF($A162&lt;Input!$F$65,IF($A162&lt;Input!$E$65,IF($A162&lt;Input!$D$65,Input!$C$66,Input!$D$66),Input!$E$66),Input!$F$66),Input!$G$66),Input!$H$66)</f>
        <v>0.9</v>
      </c>
      <c r="AA162" s="60">
        <f t="shared" si="91"/>
        <v>0</v>
      </c>
      <c r="AB162" s="60">
        <f t="shared" si="105"/>
        <v>30</v>
      </c>
      <c r="AC162" s="60">
        <f t="shared" si="92"/>
        <v>0</v>
      </c>
      <c r="AD162" s="60">
        <f>ROUND(AC162*AB162*Input!$C$3/365,0)</f>
        <v>0</v>
      </c>
      <c r="AE162" s="61">
        <f>IF($A162&lt;=Input!$C$6,0,IF('180M'!AA162&lt;'180M'!AC162,'180M'!AA162-AD162,'180M'!AC162))</f>
        <v>0</v>
      </c>
      <c r="AF162" s="61">
        <f t="shared" si="93"/>
        <v>0</v>
      </c>
      <c r="AG162" s="60">
        <f t="shared" si="94"/>
        <v>0</v>
      </c>
      <c r="AH162" s="193"/>
      <c r="AI162" s="169">
        <v>158</v>
      </c>
      <c r="AJ162" s="1">
        <f t="shared" si="106"/>
        <v>50328</v>
      </c>
      <c r="AK162" s="60">
        <f>IF($X162&lt;Input!$H$73,IF($X162&lt;Input!$G$73,IF($X162&lt;Input!$F$73,IF($X162&lt;Input!$E$73,IF($X162&lt;Input!$D$73,Input!$C$79,Input!$D$79),Input!$E$79),Input!$F$79),Input!$G$79),Input!$H$79)</f>
        <v>0</v>
      </c>
      <c r="AL162" s="190">
        <f>IF($A162&lt;Input!$H$80,IF($A162&lt;Input!$G$80,IF($A162&lt;Input!$F$80,IF($A162&lt;Input!$E$80,IF($A162&lt;Input!$D$80,Input!$C$81,Input!$D$81),Input!$E$81),Input!$F$81),Input!$G$81),Input!$H$81)</f>
        <v>0.9</v>
      </c>
      <c r="AM162" s="60">
        <f t="shared" si="107"/>
        <v>0</v>
      </c>
      <c r="AN162" s="60">
        <f t="shared" si="108"/>
        <v>30</v>
      </c>
      <c r="AO162" s="60">
        <f t="shared" si="109"/>
        <v>0</v>
      </c>
      <c r="AP162" s="60">
        <f>ROUND(AO162*AN162*Input!$C$3/365,0)</f>
        <v>0</v>
      </c>
      <c r="AQ162" s="61">
        <f>IF($A162&lt;=Input!$C$6,0,IF('180M'!AM162&lt;'180M'!AO162,'180M'!AM162-AP162,'180M'!AO162))</f>
        <v>0</v>
      </c>
      <c r="AR162" s="61">
        <f t="shared" si="110"/>
        <v>0</v>
      </c>
      <c r="AS162" s="60">
        <f t="shared" si="111"/>
        <v>0</v>
      </c>
      <c r="AT162" s="193"/>
      <c r="AU162" s="169">
        <v>158</v>
      </c>
      <c r="AV162" s="1">
        <f t="shared" si="112"/>
        <v>50328</v>
      </c>
      <c r="AW162" s="60">
        <f>IF($X162&lt;Input!$H$88,IF($X162&lt;Input!$G$88,IF($X162&lt;Input!$F$88,IF($X162&lt;Input!$E$88,IF($X162&lt;Input!$D$88,Input!$C$94,Input!$D$94),Input!$E$94),Input!$F$94),Input!$G$94),Input!$H$94)</f>
        <v>0</v>
      </c>
      <c r="AX162" s="190">
        <f>IF($A162&lt;Input!$H$95,IF($A162&lt;Input!$G$95,IF($A162&lt;Input!$F$95,IF($A162&lt;Input!$E$95,IF($A162&lt;Input!$D$95,Input!$C$96,Input!$D$96),Input!$E$96),Input!$F$96),Input!$G$96),Input!$H$96)</f>
        <v>0.9</v>
      </c>
      <c r="AY162" s="60">
        <f t="shared" si="113"/>
        <v>0</v>
      </c>
      <c r="AZ162" s="60">
        <f t="shared" si="114"/>
        <v>30</v>
      </c>
      <c r="BA162" s="60">
        <f t="shared" si="115"/>
        <v>0</v>
      </c>
      <c r="BB162" s="60">
        <f>ROUND(BA162*AZ162*Input!$C$3/365,0)</f>
        <v>0</v>
      </c>
      <c r="BC162" s="61">
        <f>IF($A162&lt;=Input!$C$6,0,IF('180M'!AY162&lt;'180M'!BA162,'180M'!AY162-BB162,'180M'!BA162))</f>
        <v>0</v>
      </c>
      <c r="BD162" s="61">
        <f t="shared" si="116"/>
        <v>0</v>
      </c>
      <c r="BE162" s="60">
        <f t="shared" si="117"/>
        <v>0</v>
      </c>
      <c r="BF162" s="193"/>
      <c r="BG162" s="169">
        <v>158</v>
      </c>
      <c r="BH162" s="1">
        <f t="shared" si="118"/>
        <v>50328</v>
      </c>
      <c r="BI162" s="60">
        <f>IF($X162&lt;Input!$H$103,IF($X162&lt;Input!$G$103,IF($X162&lt;Input!$F$103,IF($X162&lt;Input!$E$103,IF($X162&lt;Input!$D$103,Input!$C$109,Input!$D$109),Input!$E$109),Input!$F$109),Input!$G$109),Input!$H$109)</f>
        <v>0</v>
      </c>
      <c r="BJ162" s="190">
        <f>IF($A162&lt;Input!$H$110,IF($A162&lt;Input!$G$110,IF($A162&lt;Input!$F$110,IF($A162&lt;Input!$E$110,IF($A162&lt;Input!$D$110,Input!$C$111,Input!$D$111),Input!$E$111),Input!$F$111),Input!$G$111),Input!$H$111)</f>
        <v>0.9</v>
      </c>
      <c r="BK162" s="60">
        <f t="shared" si="95"/>
        <v>0</v>
      </c>
      <c r="BL162" s="60">
        <f t="shared" si="119"/>
        <v>30</v>
      </c>
      <c r="BM162" s="60">
        <f t="shared" si="96"/>
        <v>0</v>
      </c>
      <c r="BN162" s="60">
        <f>ROUND(BM162*BL162*Input!$C$3/365,0)</f>
        <v>0</v>
      </c>
      <c r="BO162" s="61">
        <f>IF($A162&lt;=Input!$C$6,0,IF('180M'!BK162&lt;'180M'!BM162,'180M'!BK162-BN162,'180M'!BM162))</f>
        <v>0</v>
      </c>
      <c r="BP162" s="61">
        <f t="shared" si="97"/>
        <v>0</v>
      </c>
      <c r="BQ162" s="60">
        <f t="shared" si="98"/>
        <v>0</v>
      </c>
      <c r="BR162" s="198"/>
    </row>
    <row r="163" spans="1:70" x14ac:dyDescent="0.25">
      <c r="A163" s="169">
        <v>159</v>
      </c>
      <c r="B163" s="1">
        <f t="shared" si="99"/>
        <v>50359</v>
      </c>
      <c r="C163" s="60">
        <f t="shared" si="85"/>
        <v>33127052.878124986</v>
      </c>
      <c r="D163" s="60">
        <f t="shared" si="86"/>
        <v>29814347.590312488</v>
      </c>
      <c r="E163" s="60">
        <f t="shared" si="100"/>
        <v>31</v>
      </c>
      <c r="F163" s="60">
        <f t="shared" si="101"/>
        <v>570377361.98231936</v>
      </c>
      <c r="G163" s="60">
        <f>ROUND(F163*E163*Input!$C$3/365,0)</f>
        <v>7266451</v>
      </c>
      <c r="H163" s="60">
        <f>IF($A163&lt;=Input!$C$6,0,IF('180M'!D163&lt;'180M'!F163,'180M'!D163-G163,'180M'!F163))</f>
        <v>22547896.590312488</v>
      </c>
      <c r="I163" s="60">
        <f t="shared" si="102"/>
        <v>29814347.590312488</v>
      </c>
      <c r="J163" s="60">
        <f t="shared" si="103"/>
        <v>547829465.39200687</v>
      </c>
      <c r="K163" s="203">
        <f>J163/Input!$K$5</f>
        <v>1.8260982179733563</v>
      </c>
      <c r="L163" s="232"/>
      <c r="M163" s="60">
        <f>IF($B163&lt;Input!$H$43,IF($B163&lt;Input!$G$43,IF($B163&lt;Input!$F$43,IF($B163&lt;Input!$E$43,IF($B163&lt;Input!$D$43,Input!$C$49,Input!$D$49),Input!$E$49),Input!$F$49),Input!$G$49),Input!$H$49)</f>
        <v>33127052.878124986</v>
      </c>
      <c r="N163" s="190">
        <f>IF($A163&lt;Input!$H$50,IF($A163&lt;Input!$G$50,IF($A163&lt;Input!$F$50,IF($A163&lt;Input!$E$50,IF($A163&lt;Input!$D$50,Input!$C$51,Input!$D$51),Input!$E$51),Input!$F$51),Input!$G$51),Input!$H$51)</f>
        <v>0.9</v>
      </c>
      <c r="O163" s="60">
        <f t="shared" si="84"/>
        <v>29814347.590312488</v>
      </c>
      <c r="P163" s="60">
        <f t="shared" si="87"/>
        <v>31</v>
      </c>
      <c r="Q163" s="60">
        <f t="shared" si="88"/>
        <v>570377361.98231936</v>
      </c>
      <c r="R163" s="60">
        <f>ROUND(Q163*$P163*Input!$C$3/365,0)</f>
        <v>7266451</v>
      </c>
      <c r="S163" s="60">
        <f>IF(A163&lt;=Input!$C$6,0,IF('180M'!O163&lt;'180M'!Q163,'180M'!O163-R163,'180M'!Q163))</f>
        <v>22547896.590312488</v>
      </c>
      <c r="T163" s="60">
        <f t="shared" si="89"/>
        <v>29814347.590312488</v>
      </c>
      <c r="U163" s="60">
        <f t="shared" si="90"/>
        <v>547829465.39200687</v>
      </c>
      <c r="V163" s="193"/>
      <c r="W163" s="169">
        <v>159</v>
      </c>
      <c r="X163" s="1">
        <f t="shared" si="104"/>
        <v>50359</v>
      </c>
      <c r="Y163" s="60">
        <f>IF($X163&lt;Input!$H$58,IF($X163&lt;Input!$G$58,IF($X163&lt;Input!$F$58,IF($X163&lt;Input!$E$58,IF($X163&lt;Input!$D$58,Input!$C$64,Input!$D$64),Input!$E$64),Input!$F$64),Input!$G$64),Input!$H$64)</f>
        <v>0</v>
      </c>
      <c r="Z163" s="190">
        <f>IF($A163&lt;Input!$H$65,IF($A163&lt;Input!$G$65,IF($A163&lt;Input!$F$65,IF($A163&lt;Input!$E$65,IF($A163&lt;Input!$D$65,Input!$C$66,Input!$D$66),Input!$E$66),Input!$F$66),Input!$G$66),Input!$H$66)</f>
        <v>0.9</v>
      </c>
      <c r="AA163" s="60">
        <f t="shared" si="91"/>
        <v>0</v>
      </c>
      <c r="AB163" s="60">
        <f t="shared" si="105"/>
        <v>31</v>
      </c>
      <c r="AC163" s="60">
        <f t="shared" si="92"/>
        <v>0</v>
      </c>
      <c r="AD163" s="60">
        <f>ROUND(AC163*AB163*Input!$C$3/365,0)</f>
        <v>0</v>
      </c>
      <c r="AE163" s="61">
        <f>IF($A163&lt;=Input!$C$6,0,IF('180M'!AA163&lt;'180M'!AC163,'180M'!AA163-AD163,'180M'!AC163))</f>
        <v>0</v>
      </c>
      <c r="AF163" s="61">
        <f t="shared" si="93"/>
        <v>0</v>
      </c>
      <c r="AG163" s="60">
        <f t="shared" si="94"/>
        <v>0</v>
      </c>
      <c r="AH163" s="193"/>
      <c r="AI163" s="169">
        <v>159</v>
      </c>
      <c r="AJ163" s="1">
        <f t="shared" si="106"/>
        <v>50359</v>
      </c>
      <c r="AK163" s="60">
        <f>IF($X163&lt;Input!$H$73,IF($X163&lt;Input!$G$73,IF($X163&lt;Input!$F$73,IF($X163&lt;Input!$E$73,IF($X163&lt;Input!$D$73,Input!$C$79,Input!$D$79),Input!$E$79),Input!$F$79),Input!$G$79),Input!$H$79)</f>
        <v>0</v>
      </c>
      <c r="AL163" s="190">
        <f>IF($A163&lt;Input!$H$80,IF($A163&lt;Input!$G$80,IF($A163&lt;Input!$F$80,IF($A163&lt;Input!$E$80,IF($A163&lt;Input!$D$80,Input!$C$81,Input!$D$81),Input!$E$81),Input!$F$81),Input!$G$81),Input!$H$81)</f>
        <v>0.9</v>
      </c>
      <c r="AM163" s="60">
        <f t="shared" si="107"/>
        <v>0</v>
      </c>
      <c r="AN163" s="60">
        <f t="shared" si="108"/>
        <v>31</v>
      </c>
      <c r="AO163" s="60">
        <f t="shared" si="109"/>
        <v>0</v>
      </c>
      <c r="AP163" s="60">
        <f>ROUND(AO163*AN163*Input!$C$3/365,0)</f>
        <v>0</v>
      </c>
      <c r="AQ163" s="61">
        <f>IF($A163&lt;=Input!$C$6,0,IF('180M'!AM163&lt;'180M'!AO163,'180M'!AM163-AP163,'180M'!AO163))</f>
        <v>0</v>
      </c>
      <c r="AR163" s="61">
        <f t="shared" si="110"/>
        <v>0</v>
      </c>
      <c r="AS163" s="60">
        <f t="shared" si="111"/>
        <v>0</v>
      </c>
      <c r="AT163" s="193"/>
      <c r="AU163" s="169">
        <v>159</v>
      </c>
      <c r="AV163" s="1">
        <f t="shared" si="112"/>
        <v>50359</v>
      </c>
      <c r="AW163" s="60">
        <f>IF($X163&lt;Input!$H$88,IF($X163&lt;Input!$G$88,IF($X163&lt;Input!$F$88,IF($X163&lt;Input!$E$88,IF($X163&lt;Input!$D$88,Input!$C$94,Input!$D$94),Input!$E$94),Input!$F$94),Input!$G$94),Input!$H$94)</f>
        <v>0</v>
      </c>
      <c r="AX163" s="190">
        <f>IF($A163&lt;Input!$H$95,IF($A163&lt;Input!$G$95,IF($A163&lt;Input!$F$95,IF($A163&lt;Input!$E$95,IF($A163&lt;Input!$D$95,Input!$C$96,Input!$D$96),Input!$E$96),Input!$F$96),Input!$G$96),Input!$H$96)</f>
        <v>0.9</v>
      </c>
      <c r="AY163" s="60">
        <f t="shared" si="113"/>
        <v>0</v>
      </c>
      <c r="AZ163" s="60">
        <f t="shared" si="114"/>
        <v>31</v>
      </c>
      <c r="BA163" s="60">
        <f t="shared" si="115"/>
        <v>0</v>
      </c>
      <c r="BB163" s="60">
        <f>ROUND(BA163*AZ163*Input!$C$3/365,0)</f>
        <v>0</v>
      </c>
      <c r="BC163" s="61">
        <f>IF($A163&lt;=Input!$C$6,0,IF('180M'!AY163&lt;'180M'!BA163,'180M'!AY163-BB163,'180M'!BA163))</f>
        <v>0</v>
      </c>
      <c r="BD163" s="61">
        <f t="shared" si="116"/>
        <v>0</v>
      </c>
      <c r="BE163" s="60">
        <f t="shared" si="117"/>
        <v>0</v>
      </c>
      <c r="BF163" s="193"/>
      <c r="BG163" s="169">
        <v>159</v>
      </c>
      <c r="BH163" s="1">
        <f t="shared" si="118"/>
        <v>50359</v>
      </c>
      <c r="BI163" s="60">
        <f>IF($X163&lt;Input!$H$103,IF($X163&lt;Input!$G$103,IF($X163&lt;Input!$F$103,IF($X163&lt;Input!$E$103,IF($X163&lt;Input!$D$103,Input!$C$109,Input!$D$109),Input!$E$109),Input!$F$109),Input!$G$109),Input!$H$109)</f>
        <v>0</v>
      </c>
      <c r="BJ163" s="190">
        <f>IF($A163&lt;Input!$H$110,IF($A163&lt;Input!$G$110,IF($A163&lt;Input!$F$110,IF($A163&lt;Input!$E$110,IF($A163&lt;Input!$D$110,Input!$C$111,Input!$D$111),Input!$E$111),Input!$F$111),Input!$G$111),Input!$H$111)</f>
        <v>0.9</v>
      </c>
      <c r="BK163" s="60">
        <f t="shared" si="95"/>
        <v>0</v>
      </c>
      <c r="BL163" s="60">
        <f t="shared" si="119"/>
        <v>31</v>
      </c>
      <c r="BM163" s="60">
        <f t="shared" si="96"/>
        <v>0</v>
      </c>
      <c r="BN163" s="60">
        <f>ROUND(BM163*BL163*Input!$C$3/365,0)</f>
        <v>0</v>
      </c>
      <c r="BO163" s="61">
        <f>IF($A163&lt;=Input!$C$6,0,IF('180M'!BK163&lt;'180M'!BM163,'180M'!BK163-BN163,'180M'!BM163))</f>
        <v>0</v>
      </c>
      <c r="BP163" s="61">
        <f t="shared" si="97"/>
        <v>0</v>
      </c>
      <c r="BQ163" s="60">
        <f t="shared" si="98"/>
        <v>0</v>
      </c>
      <c r="BR163" s="198"/>
    </row>
    <row r="164" spans="1:70" x14ac:dyDescent="0.25">
      <c r="A164" s="169">
        <v>160</v>
      </c>
      <c r="B164" s="1">
        <f t="shared" si="99"/>
        <v>50389</v>
      </c>
      <c r="C164" s="60">
        <f t="shared" si="85"/>
        <v>33127052.878124986</v>
      </c>
      <c r="D164" s="60">
        <f t="shared" si="86"/>
        <v>29814347.590312488</v>
      </c>
      <c r="E164" s="60">
        <f t="shared" si="100"/>
        <v>30</v>
      </c>
      <c r="F164" s="60">
        <f t="shared" si="101"/>
        <v>547829465.39200687</v>
      </c>
      <c r="G164" s="60">
        <f>ROUND(F164*E164*Input!$C$3/365,0)</f>
        <v>6754062</v>
      </c>
      <c r="H164" s="60">
        <f>IF($A164&lt;=Input!$C$6,0,IF('180M'!D164&lt;'180M'!F164,'180M'!D164-G164,'180M'!F164))</f>
        <v>23060285.590312488</v>
      </c>
      <c r="I164" s="60">
        <f t="shared" si="102"/>
        <v>29814347.590312488</v>
      </c>
      <c r="J164" s="60">
        <f t="shared" si="103"/>
        <v>524769179.80169439</v>
      </c>
      <c r="K164" s="203">
        <f>J164/Input!$K$5</f>
        <v>1.7492305993389814</v>
      </c>
      <c r="L164" s="232"/>
      <c r="M164" s="60">
        <f>IF($B164&lt;Input!$H$43,IF($B164&lt;Input!$G$43,IF($B164&lt;Input!$F$43,IF($B164&lt;Input!$E$43,IF($B164&lt;Input!$D$43,Input!$C$49,Input!$D$49),Input!$E$49),Input!$F$49),Input!$G$49),Input!$H$49)</f>
        <v>33127052.878124986</v>
      </c>
      <c r="N164" s="190">
        <f>IF($A164&lt;Input!$H$50,IF($A164&lt;Input!$G$50,IF($A164&lt;Input!$F$50,IF($A164&lt;Input!$E$50,IF($A164&lt;Input!$D$50,Input!$C$51,Input!$D$51),Input!$E$51),Input!$F$51),Input!$G$51),Input!$H$51)</f>
        <v>0.9</v>
      </c>
      <c r="O164" s="60">
        <f t="shared" ref="O164:O184" si="120">M164*N164</f>
        <v>29814347.590312488</v>
      </c>
      <c r="P164" s="60">
        <f t="shared" si="87"/>
        <v>30</v>
      </c>
      <c r="Q164" s="60">
        <f t="shared" si="88"/>
        <v>547829465.39200687</v>
      </c>
      <c r="R164" s="60">
        <f>ROUND(Q164*$P164*Input!$C$3/365,0)</f>
        <v>6754062</v>
      </c>
      <c r="S164" s="60">
        <f>IF(A164&lt;=Input!$C$6,0,IF('180M'!O164&lt;'180M'!Q164,'180M'!O164-R164,'180M'!Q164))</f>
        <v>23060285.590312488</v>
      </c>
      <c r="T164" s="60">
        <f t="shared" si="89"/>
        <v>29814347.590312488</v>
      </c>
      <c r="U164" s="60">
        <f t="shared" si="90"/>
        <v>524769179.80169439</v>
      </c>
      <c r="V164" s="193"/>
      <c r="W164" s="169">
        <v>160</v>
      </c>
      <c r="X164" s="1">
        <f t="shared" si="104"/>
        <v>50389</v>
      </c>
      <c r="Y164" s="60">
        <f>IF($X164&lt;Input!$H$58,IF($X164&lt;Input!$G$58,IF($X164&lt;Input!$F$58,IF($X164&lt;Input!$E$58,IF($X164&lt;Input!$D$58,Input!$C$64,Input!$D$64),Input!$E$64),Input!$F$64),Input!$G$64),Input!$H$64)</f>
        <v>0</v>
      </c>
      <c r="Z164" s="190">
        <f>IF($A164&lt;Input!$H$65,IF($A164&lt;Input!$G$65,IF($A164&lt;Input!$F$65,IF($A164&lt;Input!$E$65,IF($A164&lt;Input!$D$65,Input!$C$66,Input!$D$66),Input!$E$66),Input!$F$66),Input!$G$66),Input!$H$66)</f>
        <v>0.9</v>
      </c>
      <c r="AA164" s="60">
        <f t="shared" si="91"/>
        <v>0</v>
      </c>
      <c r="AB164" s="60">
        <f t="shared" si="105"/>
        <v>30</v>
      </c>
      <c r="AC164" s="60">
        <f t="shared" si="92"/>
        <v>0</v>
      </c>
      <c r="AD164" s="60">
        <f>ROUND(AC164*AB164*Input!$C$3/365,0)</f>
        <v>0</v>
      </c>
      <c r="AE164" s="61">
        <f>IF($A164&lt;=Input!$C$6,0,IF('180M'!AA164&lt;'180M'!AC164,'180M'!AA164-AD164,'180M'!AC164))</f>
        <v>0</v>
      </c>
      <c r="AF164" s="61">
        <f t="shared" si="93"/>
        <v>0</v>
      </c>
      <c r="AG164" s="60">
        <f t="shared" si="94"/>
        <v>0</v>
      </c>
      <c r="AH164" s="193"/>
      <c r="AI164" s="169">
        <v>160</v>
      </c>
      <c r="AJ164" s="1">
        <f t="shared" si="106"/>
        <v>50389</v>
      </c>
      <c r="AK164" s="60">
        <f>IF($X164&lt;Input!$H$73,IF($X164&lt;Input!$G$73,IF($X164&lt;Input!$F$73,IF($X164&lt;Input!$E$73,IF($X164&lt;Input!$D$73,Input!$C$79,Input!$D$79),Input!$E$79),Input!$F$79),Input!$G$79),Input!$H$79)</f>
        <v>0</v>
      </c>
      <c r="AL164" s="190">
        <f>IF($A164&lt;Input!$H$80,IF($A164&lt;Input!$G$80,IF($A164&lt;Input!$F$80,IF($A164&lt;Input!$E$80,IF($A164&lt;Input!$D$80,Input!$C$81,Input!$D$81),Input!$E$81),Input!$F$81),Input!$G$81),Input!$H$81)</f>
        <v>0.9</v>
      </c>
      <c r="AM164" s="60">
        <f t="shared" si="107"/>
        <v>0</v>
      </c>
      <c r="AN164" s="60">
        <f t="shared" si="108"/>
        <v>30</v>
      </c>
      <c r="AO164" s="60">
        <f t="shared" si="109"/>
        <v>0</v>
      </c>
      <c r="AP164" s="60">
        <f>ROUND(AO164*AN164*Input!$C$3/365,0)</f>
        <v>0</v>
      </c>
      <c r="AQ164" s="61">
        <f>IF($A164&lt;=Input!$C$6,0,IF('180M'!AM164&lt;'180M'!AO164,'180M'!AM164-AP164,'180M'!AO164))</f>
        <v>0</v>
      </c>
      <c r="AR164" s="61">
        <f t="shared" si="110"/>
        <v>0</v>
      </c>
      <c r="AS164" s="60">
        <f t="shared" si="111"/>
        <v>0</v>
      </c>
      <c r="AT164" s="193"/>
      <c r="AU164" s="169">
        <v>160</v>
      </c>
      <c r="AV164" s="1">
        <f t="shared" si="112"/>
        <v>50389</v>
      </c>
      <c r="AW164" s="60">
        <f>IF($X164&lt;Input!$H$88,IF($X164&lt;Input!$G$88,IF($X164&lt;Input!$F$88,IF($X164&lt;Input!$E$88,IF($X164&lt;Input!$D$88,Input!$C$94,Input!$D$94),Input!$E$94),Input!$F$94),Input!$G$94),Input!$H$94)</f>
        <v>0</v>
      </c>
      <c r="AX164" s="190">
        <f>IF($A164&lt;Input!$H$95,IF($A164&lt;Input!$G$95,IF($A164&lt;Input!$F$95,IF($A164&lt;Input!$E$95,IF($A164&lt;Input!$D$95,Input!$C$96,Input!$D$96),Input!$E$96),Input!$F$96),Input!$G$96),Input!$H$96)</f>
        <v>0.9</v>
      </c>
      <c r="AY164" s="60">
        <f t="shared" si="113"/>
        <v>0</v>
      </c>
      <c r="AZ164" s="60">
        <f t="shared" si="114"/>
        <v>30</v>
      </c>
      <c r="BA164" s="60">
        <f t="shared" si="115"/>
        <v>0</v>
      </c>
      <c r="BB164" s="60">
        <f>ROUND(BA164*AZ164*Input!$C$3/365,0)</f>
        <v>0</v>
      </c>
      <c r="BC164" s="61">
        <f>IF($A164&lt;=Input!$C$6,0,IF('180M'!AY164&lt;'180M'!BA164,'180M'!AY164-BB164,'180M'!BA164))</f>
        <v>0</v>
      </c>
      <c r="BD164" s="61">
        <f t="shared" si="116"/>
        <v>0</v>
      </c>
      <c r="BE164" s="60">
        <f t="shared" si="117"/>
        <v>0</v>
      </c>
      <c r="BF164" s="193"/>
      <c r="BG164" s="169">
        <v>160</v>
      </c>
      <c r="BH164" s="1">
        <f t="shared" si="118"/>
        <v>50389</v>
      </c>
      <c r="BI164" s="60">
        <f>IF($X164&lt;Input!$H$103,IF($X164&lt;Input!$G$103,IF($X164&lt;Input!$F$103,IF($X164&lt;Input!$E$103,IF($X164&lt;Input!$D$103,Input!$C$109,Input!$D$109),Input!$E$109),Input!$F$109),Input!$G$109),Input!$H$109)</f>
        <v>0</v>
      </c>
      <c r="BJ164" s="190">
        <f>IF($A164&lt;Input!$H$110,IF($A164&lt;Input!$G$110,IF($A164&lt;Input!$F$110,IF($A164&lt;Input!$E$110,IF($A164&lt;Input!$D$110,Input!$C$111,Input!$D$111),Input!$E$111),Input!$F$111),Input!$G$111),Input!$H$111)</f>
        <v>0.9</v>
      </c>
      <c r="BK164" s="60">
        <f t="shared" si="95"/>
        <v>0</v>
      </c>
      <c r="BL164" s="60">
        <f t="shared" si="119"/>
        <v>30</v>
      </c>
      <c r="BM164" s="60">
        <f t="shared" si="96"/>
        <v>0</v>
      </c>
      <c r="BN164" s="60">
        <f>ROUND(BM164*BL164*Input!$C$3/365,0)</f>
        <v>0</v>
      </c>
      <c r="BO164" s="61">
        <f>IF($A164&lt;=Input!$C$6,0,IF('180M'!BK164&lt;'180M'!BM164,'180M'!BK164-BN164,'180M'!BM164))</f>
        <v>0</v>
      </c>
      <c r="BP164" s="61">
        <f t="shared" si="97"/>
        <v>0</v>
      </c>
      <c r="BQ164" s="60">
        <f t="shared" si="98"/>
        <v>0</v>
      </c>
      <c r="BR164" s="198"/>
    </row>
    <row r="165" spans="1:70" x14ac:dyDescent="0.25">
      <c r="A165" s="169">
        <v>161</v>
      </c>
      <c r="B165" s="1">
        <f t="shared" si="99"/>
        <v>50420</v>
      </c>
      <c r="C165" s="60">
        <f t="shared" si="85"/>
        <v>33127052.878124986</v>
      </c>
      <c r="D165" s="60">
        <f t="shared" si="86"/>
        <v>29814347.590312488</v>
      </c>
      <c r="E165" s="60">
        <f t="shared" si="100"/>
        <v>31</v>
      </c>
      <c r="F165" s="60">
        <f t="shared" si="101"/>
        <v>524769179.80169439</v>
      </c>
      <c r="G165" s="60">
        <f>ROUND(F165*E165*Input!$C$3/365,0)</f>
        <v>6685416</v>
      </c>
      <c r="H165" s="60">
        <f>IF($A165&lt;=Input!$C$6,0,IF('180M'!D165&lt;'180M'!F165,'180M'!D165-G165,'180M'!F165))</f>
        <v>23128931.590312488</v>
      </c>
      <c r="I165" s="60">
        <f t="shared" si="102"/>
        <v>29814347.590312488</v>
      </c>
      <c r="J165" s="60">
        <f t="shared" si="103"/>
        <v>501640248.21138191</v>
      </c>
      <c r="K165" s="203">
        <f>J165/Input!$K$5</f>
        <v>1.6721341607046063</v>
      </c>
      <c r="L165" s="232"/>
      <c r="M165" s="60">
        <f>IF($B165&lt;Input!$H$43,IF($B165&lt;Input!$G$43,IF($B165&lt;Input!$F$43,IF($B165&lt;Input!$E$43,IF($B165&lt;Input!$D$43,Input!$C$49,Input!$D$49),Input!$E$49),Input!$F$49),Input!$G$49),Input!$H$49)</f>
        <v>33127052.878124986</v>
      </c>
      <c r="N165" s="190">
        <f>IF($A165&lt;Input!$H$50,IF($A165&lt;Input!$G$50,IF($A165&lt;Input!$F$50,IF($A165&lt;Input!$E$50,IF($A165&lt;Input!$D$50,Input!$C$51,Input!$D$51),Input!$E$51),Input!$F$51),Input!$G$51),Input!$H$51)</f>
        <v>0.9</v>
      </c>
      <c r="O165" s="60">
        <f t="shared" si="120"/>
        <v>29814347.590312488</v>
      </c>
      <c r="P165" s="60">
        <f t="shared" ref="P165:P184" si="121">B165-B164</f>
        <v>31</v>
      </c>
      <c r="Q165" s="60">
        <f t="shared" si="88"/>
        <v>524769179.80169439</v>
      </c>
      <c r="R165" s="60">
        <f>ROUND(Q165*$P165*Input!$C$3/365,0)</f>
        <v>6685416</v>
      </c>
      <c r="S165" s="60">
        <f>IF(A165&lt;=Input!$C$6,0,IF('180M'!O165&lt;'180M'!Q165,'180M'!O165-R165,'180M'!Q165))</f>
        <v>23128931.590312488</v>
      </c>
      <c r="T165" s="60">
        <f t="shared" si="89"/>
        <v>29814347.590312488</v>
      </c>
      <c r="U165" s="60">
        <f t="shared" si="90"/>
        <v>501640248.21138191</v>
      </c>
      <c r="V165" s="193"/>
      <c r="W165" s="169">
        <v>161</v>
      </c>
      <c r="X165" s="1">
        <f t="shared" si="104"/>
        <v>50420</v>
      </c>
      <c r="Y165" s="60">
        <f>IF($X165&lt;Input!$H$58,IF($X165&lt;Input!$G$58,IF($X165&lt;Input!$F$58,IF($X165&lt;Input!$E$58,IF($X165&lt;Input!$D$58,Input!$C$64,Input!$D$64),Input!$E$64),Input!$F$64),Input!$G$64),Input!$H$64)</f>
        <v>0</v>
      </c>
      <c r="Z165" s="190">
        <f>IF($A165&lt;Input!$H$65,IF($A165&lt;Input!$G$65,IF($A165&lt;Input!$F$65,IF($A165&lt;Input!$E$65,IF($A165&lt;Input!$D$65,Input!$C$66,Input!$D$66),Input!$E$66),Input!$F$66),Input!$G$66),Input!$H$66)</f>
        <v>0.9</v>
      </c>
      <c r="AA165" s="60">
        <f t="shared" si="91"/>
        <v>0</v>
      </c>
      <c r="AB165" s="60">
        <f t="shared" si="105"/>
        <v>31</v>
      </c>
      <c r="AC165" s="60">
        <f t="shared" si="92"/>
        <v>0</v>
      </c>
      <c r="AD165" s="60">
        <f>ROUND(AC165*AB165*Input!$C$3/365,0)</f>
        <v>0</v>
      </c>
      <c r="AE165" s="61">
        <f>IF($A165&lt;=Input!$C$6,0,IF('180M'!AA165&lt;'180M'!AC165,'180M'!AA165-AD165,'180M'!AC165))</f>
        <v>0</v>
      </c>
      <c r="AF165" s="61">
        <f t="shared" si="93"/>
        <v>0</v>
      </c>
      <c r="AG165" s="60">
        <f t="shared" si="94"/>
        <v>0</v>
      </c>
      <c r="AH165" s="193"/>
      <c r="AI165" s="169">
        <v>161</v>
      </c>
      <c r="AJ165" s="1">
        <f t="shared" si="106"/>
        <v>50420</v>
      </c>
      <c r="AK165" s="60">
        <f>IF($X165&lt;Input!$H$73,IF($X165&lt;Input!$G$73,IF($X165&lt;Input!$F$73,IF($X165&lt;Input!$E$73,IF($X165&lt;Input!$D$73,Input!$C$79,Input!$D$79),Input!$E$79),Input!$F$79),Input!$G$79),Input!$H$79)</f>
        <v>0</v>
      </c>
      <c r="AL165" s="190">
        <f>IF($A165&lt;Input!$H$80,IF($A165&lt;Input!$G$80,IF($A165&lt;Input!$F$80,IF($A165&lt;Input!$E$80,IF($A165&lt;Input!$D$80,Input!$C$81,Input!$D$81),Input!$E$81),Input!$F$81),Input!$G$81),Input!$H$81)</f>
        <v>0.9</v>
      </c>
      <c r="AM165" s="60">
        <f t="shared" si="107"/>
        <v>0</v>
      </c>
      <c r="AN165" s="60">
        <f t="shared" si="108"/>
        <v>31</v>
      </c>
      <c r="AO165" s="60">
        <f t="shared" si="109"/>
        <v>0</v>
      </c>
      <c r="AP165" s="60">
        <f>ROUND(AO165*AN165*Input!$C$3/365,0)</f>
        <v>0</v>
      </c>
      <c r="AQ165" s="61">
        <f>IF($A165&lt;=Input!$C$6,0,IF('180M'!AM165&lt;'180M'!AO165,'180M'!AM165-AP165,'180M'!AO165))</f>
        <v>0</v>
      </c>
      <c r="AR165" s="61">
        <f t="shared" si="110"/>
        <v>0</v>
      </c>
      <c r="AS165" s="60">
        <f t="shared" si="111"/>
        <v>0</v>
      </c>
      <c r="AT165" s="193"/>
      <c r="AU165" s="169">
        <v>161</v>
      </c>
      <c r="AV165" s="1">
        <f t="shared" si="112"/>
        <v>50420</v>
      </c>
      <c r="AW165" s="60">
        <f>IF($X165&lt;Input!$H$88,IF($X165&lt;Input!$G$88,IF($X165&lt;Input!$F$88,IF($X165&lt;Input!$E$88,IF($X165&lt;Input!$D$88,Input!$C$94,Input!$D$94),Input!$E$94),Input!$F$94),Input!$G$94),Input!$H$94)</f>
        <v>0</v>
      </c>
      <c r="AX165" s="190">
        <f>IF($A165&lt;Input!$H$95,IF($A165&lt;Input!$G$95,IF($A165&lt;Input!$F$95,IF($A165&lt;Input!$E$95,IF($A165&lt;Input!$D$95,Input!$C$96,Input!$D$96),Input!$E$96),Input!$F$96),Input!$G$96),Input!$H$96)</f>
        <v>0.9</v>
      </c>
      <c r="AY165" s="60">
        <f t="shared" si="113"/>
        <v>0</v>
      </c>
      <c r="AZ165" s="60">
        <f t="shared" si="114"/>
        <v>31</v>
      </c>
      <c r="BA165" s="60">
        <f t="shared" si="115"/>
        <v>0</v>
      </c>
      <c r="BB165" s="60">
        <f>ROUND(BA165*AZ165*Input!$C$3/365,0)</f>
        <v>0</v>
      </c>
      <c r="BC165" s="61">
        <f>IF($A165&lt;=Input!$C$6,0,IF('180M'!AY165&lt;'180M'!BA165,'180M'!AY165-BB165,'180M'!BA165))</f>
        <v>0</v>
      </c>
      <c r="BD165" s="61">
        <f t="shared" si="116"/>
        <v>0</v>
      </c>
      <c r="BE165" s="60">
        <f t="shared" si="117"/>
        <v>0</v>
      </c>
      <c r="BF165" s="193"/>
      <c r="BG165" s="169">
        <v>161</v>
      </c>
      <c r="BH165" s="1">
        <f t="shared" si="118"/>
        <v>50420</v>
      </c>
      <c r="BI165" s="60">
        <f>IF($X165&lt;Input!$H$103,IF($X165&lt;Input!$G$103,IF($X165&lt;Input!$F$103,IF($X165&lt;Input!$E$103,IF($X165&lt;Input!$D$103,Input!$C$109,Input!$D$109),Input!$E$109),Input!$F$109),Input!$G$109),Input!$H$109)</f>
        <v>0</v>
      </c>
      <c r="BJ165" s="190">
        <f>IF($A165&lt;Input!$H$110,IF($A165&lt;Input!$G$110,IF($A165&lt;Input!$F$110,IF($A165&lt;Input!$E$110,IF($A165&lt;Input!$D$110,Input!$C$111,Input!$D$111),Input!$E$111),Input!$F$111),Input!$G$111),Input!$H$111)</f>
        <v>0.9</v>
      </c>
      <c r="BK165" s="60">
        <f t="shared" si="95"/>
        <v>0</v>
      </c>
      <c r="BL165" s="60">
        <f t="shared" si="119"/>
        <v>31</v>
      </c>
      <c r="BM165" s="60">
        <f t="shared" si="96"/>
        <v>0</v>
      </c>
      <c r="BN165" s="60">
        <f>ROUND(BM165*BL165*Input!$C$3/365,0)</f>
        <v>0</v>
      </c>
      <c r="BO165" s="61">
        <f>IF($A165&lt;=Input!$C$6,0,IF('180M'!BK165&lt;'180M'!BM165,'180M'!BK165-BN165,'180M'!BM165))</f>
        <v>0</v>
      </c>
      <c r="BP165" s="61">
        <f t="shared" si="97"/>
        <v>0</v>
      </c>
      <c r="BQ165" s="60">
        <f t="shared" si="98"/>
        <v>0</v>
      </c>
      <c r="BR165" s="198"/>
    </row>
    <row r="166" spans="1:70" x14ac:dyDescent="0.25">
      <c r="A166" s="169">
        <v>162</v>
      </c>
      <c r="B166" s="1">
        <f t="shared" si="99"/>
        <v>50451</v>
      </c>
      <c r="C166" s="60">
        <f t="shared" si="85"/>
        <v>33127052.878124986</v>
      </c>
      <c r="D166" s="60">
        <f t="shared" si="86"/>
        <v>29814347.590312488</v>
      </c>
      <c r="E166" s="60">
        <f t="shared" si="100"/>
        <v>31</v>
      </c>
      <c r="F166" s="60">
        <f t="shared" si="101"/>
        <v>501640248.21138191</v>
      </c>
      <c r="G166" s="60">
        <f>ROUND(F166*E166*Input!$C$3/365,0)</f>
        <v>6390759</v>
      </c>
      <c r="H166" s="60">
        <f>IF($A166&lt;=Input!$C$6,0,IF('180M'!D166&lt;'180M'!F166,'180M'!D166-G166,'180M'!F166))</f>
        <v>23423588.590312488</v>
      </c>
      <c r="I166" s="60">
        <f t="shared" si="102"/>
        <v>29814347.590312488</v>
      </c>
      <c r="J166" s="60">
        <f t="shared" si="103"/>
        <v>478216659.62106943</v>
      </c>
      <c r="K166" s="203">
        <f>J166/Input!$K$5</f>
        <v>1.5940555320702314</v>
      </c>
      <c r="L166" s="232"/>
      <c r="M166" s="60">
        <f>IF($B166&lt;Input!$H$43,IF($B166&lt;Input!$G$43,IF($B166&lt;Input!$F$43,IF($B166&lt;Input!$E$43,IF($B166&lt;Input!$D$43,Input!$C$49,Input!$D$49),Input!$E$49),Input!$F$49),Input!$G$49),Input!$H$49)</f>
        <v>33127052.878124986</v>
      </c>
      <c r="N166" s="190">
        <f>IF($A166&lt;Input!$H$50,IF($A166&lt;Input!$G$50,IF($A166&lt;Input!$F$50,IF($A166&lt;Input!$E$50,IF($A166&lt;Input!$D$50,Input!$C$51,Input!$D$51),Input!$E$51),Input!$F$51),Input!$G$51),Input!$H$51)</f>
        <v>0.9</v>
      </c>
      <c r="O166" s="60">
        <f t="shared" si="120"/>
        <v>29814347.590312488</v>
      </c>
      <c r="P166" s="60">
        <f t="shared" si="121"/>
        <v>31</v>
      </c>
      <c r="Q166" s="60">
        <f t="shared" si="88"/>
        <v>501640248.21138191</v>
      </c>
      <c r="R166" s="60">
        <f>ROUND(Q166*$P166*Input!$C$3/365,0)</f>
        <v>6390759</v>
      </c>
      <c r="S166" s="60">
        <f>IF(A166&lt;=Input!$C$6,0,IF('180M'!O166&lt;'180M'!Q166,'180M'!O166-R166,'180M'!Q166))</f>
        <v>23423588.590312488</v>
      </c>
      <c r="T166" s="60">
        <f t="shared" si="89"/>
        <v>29814347.590312488</v>
      </c>
      <c r="U166" s="60">
        <f t="shared" si="90"/>
        <v>478216659.62106943</v>
      </c>
      <c r="V166" s="193"/>
      <c r="W166" s="169">
        <v>162</v>
      </c>
      <c r="X166" s="1">
        <f t="shared" si="104"/>
        <v>50451</v>
      </c>
      <c r="Y166" s="60">
        <f>IF($X166&lt;Input!$H$58,IF($X166&lt;Input!$G$58,IF($X166&lt;Input!$F$58,IF($X166&lt;Input!$E$58,IF($X166&lt;Input!$D$58,Input!$C$64,Input!$D$64),Input!$E$64),Input!$F$64),Input!$G$64),Input!$H$64)</f>
        <v>0</v>
      </c>
      <c r="Z166" s="190">
        <f>IF($A166&lt;Input!$H$65,IF($A166&lt;Input!$G$65,IF($A166&lt;Input!$F$65,IF($A166&lt;Input!$E$65,IF($A166&lt;Input!$D$65,Input!$C$66,Input!$D$66),Input!$E$66),Input!$F$66),Input!$G$66),Input!$H$66)</f>
        <v>0.9</v>
      </c>
      <c r="AA166" s="60">
        <f t="shared" si="91"/>
        <v>0</v>
      </c>
      <c r="AB166" s="60">
        <f t="shared" si="105"/>
        <v>31</v>
      </c>
      <c r="AC166" s="60">
        <f t="shared" si="92"/>
        <v>0</v>
      </c>
      <c r="AD166" s="60">
        <f>ROUND(AC166*AB166*Input!$C$3/365,0)</f>
        <v>0</v>
      </c>
      <c r="AE166" s="61">
        <f>IF($A166&lt;=Input!$C$6,0,IF('180M'!AA166&lt;'180M'!AC166,'180M'!AA166-AD166,'180M'!AC166))</f>
        <v>0</v>
      </c>
      <c r="AF166" s="61">
        <f t="shared" si="93"/>
        <v>0</v>
      </c>
      <c r="AG166" s="60">
        <f t="shared" si="94"/>
        <v>0</v>
      </c>
      <c r="AH166" s="193"/>
      <c r="AI166" s="169">
        <v>162</v>
      </c>
      <c r="AJ166" s="1">
        <f t="shared" si="106"/>
        <v>50451</v>
      </c>
      <c r="AK166" s="60">
        <f>IF($X166&lt;Input!$H$73,IF($X166&lt;Input!$G$73,IF($X166&lt;Input!$F$73,IF($X166&lt;Input!$E$73,IF($X166&lt;Input!$D$73,Input!$C$79,Input!$D$79),Input!$E$79),Input!$F$79),Input!$G$79),Input!$H$79)</f>
        <v>0</v>
      </c>
      <c r="AL166" s="190">
        <f>IF($A166&lt;Input!$H$80,IF($A166&lt;Input!$G$80,IF($A166&lt;Input!$F$80,IF($A166&lt;Input!$E$80,IF($A166&lt;Input!$D$80,Input!$C$81,Input!$D$81),Input!$E$81),Input!$F$81),Input!$G$81),Input!$H$81)</f>
        <v>0.9</v>
      </c>
      <c r="AM166" s="60">
        <f t="shared" si="107"/>
        <v>0</v>
      </c>
      <c r="AN166" s="60">
        <f t="shared" si="108"/>
        <v>31</v>
      </c>
      <c r="AO166" s="60">
        <f t="shared" si="109"/>
        <v>0</v>
      </c>
      <c r="AP166" s="60">
        <f>ROUND(AO166*AN166*Input!$C$3/365,0)</f>
        <v>0</v>
      </c>
      <c r="AQ166" s="61">
        <f>IF($A166&lt;=Input!$C$6,0,IF('180M'!AM166&lt;'180M'!AO166,'180M'!AM166-AP166,'180M'!AO166))</f>
        <v>0</v>
      </c>
      <c r="AR166" s="61">
        <f t="shared" si="110"/>
        <v>0</v>
      </c>
      <c r="AS166" s="60">
        <f t="shared" si="111"/>
        <v>0</v>
      </c>
      <c r="AT166" s="193"/>
      <c r="AU166" s="169">
        <v>162</v>
      </c>
      <c r="AV166" s="1">
        <f t="shared" si="112"/>
        <v>50451</v>
      </c>
      <c r="AW166" s="60">
        <f>IF($X166&lt;Input!$H$88,IF($X166&lt;Input!$G$88,IF($X166&lt;Input!$F$88,IF($X166&lt;Input!$E$88,IF($X166&lt;Input!$D$88,Input!$C$94,Input!$D$94),Input!$E$94),Input!$F$94),Input!$G$94),Input!$H$94)</f>
        <v>0</v>
      </c>
      <c r="AX166" s="190">
        <f>IF($A166&lt;Input!$H$95,IF($A166&lt;Input!$G$95,IF($A166&lt;Input!$F$95,IF($A166&lt;Input!$E$95,IF($A166&lt;Input!$D$95,Input!$C$96,Input!$D$96),Input!$E$96),Input!$F$96),Input!$G$96),Input!$H$96)</f>
        <v>0.9</v>
      </c>
      <c r="AY166" s="60">
        <f t="shared" si="113"/>
        <v>0</v>
      </c>
      <c r="AZ166" s="60">
        <f t="shared" si="114"/>
        <v>31</v>
      </c>
      <c r="BA166" s="60">
        <f t="shared" si="115"/>
        <v>0</v>
      </c>
      <c r="BB166" s="60">
        <f>ROUND(BA166*AZ166*Input!$C$3/365,0)</f>
        <v>0</v>
      </c>
      <c r="BC166" s="61">
        <f>IF($A166&lt;=Input!$C$6,0,IF('180M'!AY166&lt;'180M'!BA166,'180M'!AY166-BB166,'180M'!BA166))</f>
        <v>0</v>
      </c>
      <c r="BD166" s="61">
        <f t="shared" si="116"/>
        <v>0</v>
      </c>
      <c r="BE166" s="60">
        <f t="shared" si="117"/>
        <v>0</v>
      </c>
      <c r="BF166" s="193"/>
      <c r="BG166" s="169">
        <v>162</v>
      </c>
      <c r="BH166" s="1">
        <f t="shared" si="118"/>
        <v>50451</v>
      </c>
      <c r="BI166" s="60">
        <f>IF($X166&lt;Input!$H$103,IF($X166&lt;Input!$G$103,IF($X166&lt;Input!$F$103,IF($X166&lt;Input!$E$103,IF($X166&lt;Input!$D$103,Input!$C$109,Input!$D$109),Input!$E$109),Input!$F$109),Input!$G$109),Input!$H$109)</f>
        <v>0</v>
      </c>
      <c r="BJ166" s="190">
        <f>IF($A166&lt;Input!$H$110,IF($A166&lt;Input!$G$110,IF($A166&lt;Input!$F$110,IF($A166&lt;Input!$E$110,IF($A166&lt;Input!$D$110,Input!$C$111,Input!$D$111),Input!$E$111),Input!$F$111),Input!$G$111),Input!$H$111)</f>
        <v>0.9</v>
      </c>
      <c r="BK166" s="60">
        <f t="shared" si="95"/>
        <v>0</v>
      </c>
      <c r="BL166" s="60">
        <f t="shared" si="119"/>
        <v>31</v>
      </c>
      <c r="BM166" s="60">
        <f t="shared" si="96"/>
        <v>0</v>
      </c>
      <c r="BN166" s="60">
        <f>ROUND(BM166*BL166*Input!$C$3/365,0)</f>
        <v>0</v>
      </c>
      <c r="BO166" s="61">
        <f>IF($A166&lt;=Input!$C$6,0,IF('180M'!BK166&lt;'180M'!BM166,'180M'!BK166-BN166,'180M'!BM166))</f>
        <v>0</v>
      </c>
      <c r="BP166" s="61">
        <f t="shared" si="97"/>
        <v>0</v>
      </c>
      <c r="BQ166" s="60">
        <f t="shared" si="98"/>
        <v>0</v>
      </c>
      <c r="BR166" s="198"/>
    </row>
    <row r="167" spans="1:70" x14ac:dyDescent="0.25">
      <c r="A167" s="169">
        <v>163</v>
      </c>
      <c r="B167" s="1">
        <f t="shared" si="99"/>
        <v>50479</v>
      </c>
      <c r="C167" s="60">
        <f t="shared" si="85"/>
        <v>33127052.878124986</v>
      </c>
      <c r="D167" s="60">
        <f t="shared" si="86"/>
        <v>29814347.590312488</v>
      </c>
      <c r="E167" s="60">
        <f t="shared" si="100"/>
        <v>28</v>
      </c>
      <c r="F167" s="60">
        <f t="shared" si="101"/>
        <v>478216659.62106943</v>
      </c>
      <c r="G167" s="60">
        <f>ROUND(F167*E167*Input!$C$3/365,0)</f>
        <v>5502767</v>
      </c>
      <c r="H167" s="60">
        <f>IF($A167&lt;=Input!$C$6,0,IF('180M'!D167&lt;'180M'!F167,'180M'!D167-G167,'180M'!F167))</f>
        <v>24311580.590312488</v>
      </c>
      <c r="I167" s="60">
        <f t="shared" si="102"/>
        <v>29814347.590312488</v>
      </c>
      <c r="J167" s="60">
        <f t="shared" si="103"/>
        <v>453905079.03075695</v>
      </c>
      <c r="K167" s="203">
        <f>J167/Input!$K$5</f>
        <v>1.5130169301025231</v>
      </c>
      <c r="L167" s="232"/>
      <c r="M167" s="60">
        <f>IF($B167&lt;Input!$H$43,IF($B167&lt;Input!$G$43,IF($B167&lt;Input!$F$43,IF($B167&lt;Input!$E$43,IF($B167&lt;Input!$D$43,Input!$C$49,Input!$D$49),Input!$E$49),Input!$F$49),Input!$G$49),Input!$H$49)</f>
        <v>33127052.878124986</v>
      </c>
      <c r="N167" s="190">
        <f>IF($A167&lt;Input!$H$50,IF($A167&lt;Input!$G$50,IF($A167&lt;Input!$F$50,IF($A167&lt;Input!$E$50,IF($A167&lt;Input!$D$50,Input!$C$51,Input!$D$51),Input!$E$51),Input!$F$51),Input!$G$51),Input!$H$51)</f>
        <v>0.9</v>
      </c>
      <c r="O167" s="60">
        <f t="shared" si="120"/>
        <v>29814347.590312488</v>
      </c>
      <c r="P167" s="60">
        <f t="shared" si="121"/>
        <v>28</v>
      </c>
      <c r="Q167" s="60">
        <f t="shared" si="88"/>
        <v>478216659.62106943</v>
      </c>
      <c r="R167" s="60">
        <f>ROUND(Q167*$P167*Input!$C$3/365,0)</f>
        <v>5502767</v>
      </c>
      <c r="S167" s="60">
        <f>IF(A167&lt;=Input!$C$6,0,IF('180M'!O167&lt;'180M'!Q167,'180M'!O167-R167,'180M'!Q167))</f>
        <v>24311580.590312488</v>
      </c>
      <c r="T167" s="60">
        <f t="shared" si="89"/>
        <v>29814347.590312488</v>
      </c>
      <c r="U167" s="60">
        <f t="shared" si="90"/>
        <v>453905079.03075695</v>
      </c>
      <c r="V167" s="193"/>
      <c r="W167" s="169">
        <v>163</v>
      </c>
      <c r="X167" s="1">
        <f t="shared" si="104"/>
        <v>50479</v>
      </c>
      <c r="Y167" s="60">
        <f>IF($X167&lt;Input!$H$58,IF($X167&lt;Input!$G$58,IF($X167&lt;Input!$F$58,IF($X167&lt;Input!$E$58,IF($X167&lt;Input!$D$58,Input!$C$64,Input!$D$64),Input!$E$64),Input!$F$64),Input!$G$64),Input!$H$64)</f>
        <v>0</v>
      </c>
      <c r="Z167" s="190">
        <f>IF($A167&lt;Input!$H$65,IF($A167&lt;Input!$G$65,IF($A167&lt;Input!$F$65,IF($A167&lt;Input!$E$65,IF($A167&lt;Input!$D$65,Input!$C$66,Input!$D$66),Input!$E$66),Input!$F$66),Input!$G$66),Input!$H$66)</f>
        <v>0.9</v>
      </c>
      <c r="AA167" s="60">
        <f t="shared" si="91"/>
        <v>0</v>
      </c>
      <c r="AB167" s="60">
        <f t="shared" si="105"/>
        <v>28</v>
      </c>
      <c r="AC167" s="60">
        <f t="shared" si="92"/>
        <v>0</v>
      </c>
      <c r="AD167" s="60">
        <f>ROUND(AC167*AB167*Input!$C$3/365,0)</f>
        <v>0</v>
      </c>
      <c r="AE167" s="61">
        <f>IF($A167&lt;=Input!$C$6,0,IF('180M'!AA167&lt;'180M'!AC167,'180M'!AA167-AD167,'180M'!AC167))</f>
        <v>0</v>
      </c>
      <c r="AF167" s="61">
        <f t="shared" si="93"/>
        <v>0</v>
      </c>
      <c r="AG167" s="60">
        <f t="shared" si="94"/>
        <v>0</v>
      </c>
      <c r="AH167" s="193"/>
      <c r="AI167" s="169">
        <v>163</v>
      </c>
      <c r="AJ167" s="1">
        <f t="shared" si="106"/>
        <v>50479</v>
      </c>
      <c r="AK167" s="60">
        <f>IF($X167&lt;Input!$H$73,IF($X167&lt;Input!$G$73,IF($X167&lt;Input!$F$73,IF($X167&lt;Input!$E$73,IF($X167&lt;Input!$D$73,Input!$C$79,Input!$D$79),Input!$E$79),Input!$F$79),Input!$G$79),Input!$H$79)</f>
        <v>0</v>
      </c>
      <c r="AL167" s="190">
        <f>IF($A167&lt;Input!$H$80,IF($A167&lt;Input!$G$80,IF($A167&lt;Input!$F$80,IF($A167&lt;Input!$E$80,IF($A167&lt;Input!$D$80,Input!$C$81,Input!$D$81),Input!$E$81),Input!$F$81),Input!$G$81),Input!$H$81)</f>
        <v>0.9</v>
      </c>
      <c r="AM167" s="60">
        <f t="shared" si="107"/>
        <v>0</v>
      </c>
      <c r="AN167" s="60">
        <f t="shared" si="108"/>
        <v>28</v>
      </c>
      <c r="AO167" s="60">
        <f t="shared" si="109"/>
        <v>0</v>
      </c>
      <c r="AP167" s="60">
        <f>ROUND(AO167*AN167*Input!$C$3/365,0)</f>
        <v>0</v>
      </c>
      <c r="AQ167" s="61">
        <f>IF($A167&lt;=Input!$C$6,0,IF('180M'!AM167&lt;'180M'!AO167,'180M'!AM167-AP167,'180M'!AO167))</f>
        <v>0</v>
      </c>
      <c r="AR167" s="61">
        <f t="shared" si="110"/>
        <v>0</v>
      </c>
      <c r="AS167" s="60">
        <f t="shared" si="111"/>
        <v>0</v>
      </c>
      <c r="AT167" s="193"/>
      <c r="AU167" s="169">
        <v>163</v>
      </c>
      <c r="AV167" s="1">
        <f t="shared" si="112"/>
        <v>50479</v>
      </c>
      <c r="AW167" s="60">
        <f>IF($X167&lt;Input!$H$88,IF($X167&lt;Input!$G$88,IF($X167&lt;Input!$F$88,IF($X167&lt;Input!$E$88,IF($X167&lt;Input!$D$88,Input!$C$94,Input!$D$94),Input!$E$94),Input!$F$94),Input!$G$94),Input!$H$94)</f>
        <v>0</v>
      </c>
      <c r="AX167" s="190">
        <f>IF($A167&lt;Input!$H$95,IF($A167&lt;Input!$G$95,IF($A167&lt;Input!$F$95,IF($A167&lt;Input!$E$95,IF($A167&lt;Input!$D$95,Input!$C$96,Input!$D$96),Input!$E$96),Input!$F$96),Input!$G$96),Input!$H$96)</f>
        <v>0.9</v>
      </c>
      <c r="AY167" s="60">
        <f t="shared" si="113"/>
        <v>0</v>
      </c>
      <c r="AZ167" s="60">
        <f t="shared" si="114"/>
        <v>28</v>
      </c>
      <c r="BA167" s="60">
        <f t="shared" si="115"/>
        <v>0</v>
      </c>
      <c r="BB167" s="60">
        <f>ROUND(BA167*AZ167*Input!$C$3/365,0)</f>
        <v>0</v>
      </c>
      <c r="BC167" s="61">
        <f>IF($A167&lt;=Input!$C$6,0,IF('180M'!AY167&lt;'180M'!BA167,'180M'!AY167-BB167,'180M'!BA167))</f>
        <v>0</v>
      </c>
      <c r="BD167" s="61">
        <f t="shared" si="116"/>
        <v>0</v>
      </c>
      <c r="BE167" s="60">
        <f t="shared" si="117"/>
        <v>0</v>
      </c>
      <c r="BF167" s="193"/>
      <c r="BG167" s="169">
        <v>163</v>
      </c>
      <c r="BH167" s="1">
        <f t="shared" si="118"/>
        <v>50479</v>
      </c>
      <c r="BI167" s="60">
        <f>IF($X167&lt;Input!$H$103,IF($X167&lt;Input!$G$103,IF($X167&lt;Input!$F$103,IF($X167&lt;Input!$E$103,IF($X167&lt;Input!$D$103,Input!$C$109,Input!$D$109),Input!$E$109),Input!$F$109),Input!$G$109),Input!$H$109)</f>
        <v>0</v>
      </c>
      <c r="BJ167" s="190">
        <f>IF($A167&lt;Input!$H$110,IF($A167&lt;Input!$G$110,IF($A167&lt;Input!$F$110,IF($A167&lt;Input!$E$110,IF($A167&lt;Input!$D$110,Input!$C$111,Input!$D$111),Input!$E$111),Input!$F$111),Input!$G$111),Input!$H$111)</f>
        <v>0.9</v>
      </c>
      <c r="BK167" s="60">
        <f t="shared" si="95"/>
        <v>0</v>
      </c>
      <c r="BL167" s="60">
        <f t="shared" si="119"/>
        <v>28</v>
      </c>
      <c r="BM167" s="60">
        <f t="shared" si="96"/>
        <v>0</v>
      </c>
      <c r="BN167" s="60">
        <f>ROUND(BM167*BL167*Input!$C$3/365,0)</f>
        <v>0</v>
      </c>
      <c r="BO167" s="61">
        <f>IF($A167&lt;=Input!$C$6,0,IF('180M'!BK167&lt;'180M'!BM167,'180M'!BK167-BN167,'180M'!BM167))</f>
        <v>0</v>
      </c>
      <c r="BP167" s="61">
        <f t="shared" si="97"/>
        <v>0</v>
      </c>
      <c r="BQ167" s="60">
        <f t="shared" si="98"/>
        <v>0</v>
      </c>
      <c r="BR167" s="198"/>
    </row>
    <row r="168" spans="1:70" x14ac:dyDescent="0.25">
      <c r="A168" s="169">
        <v>164</v>
      </c>
      <c r="B168" s="1">
        <f t="shared" si="99"/>
        <v>50510</v>
      </c>
      <c r="C168" s="60">
        <f t="shared" si="85"/>
        <v>33127052.878124986</v>
      </c>
      <c r="D168" s="60">
        <f t="shared" si="86"/>
        <v>29814347.590312488</v>
      </c>
      <c r="E168" s="60">
        <f t="shared" si="100"/>
        <v>31</v>
      </c>
      <c r="F168" s="60">
        <f t="shared" si="101"/>
        <v>453905079.03075695</v>
      </c>
      <c r="G168" s="60">
        <f>ROUND(F168*E168*Input!$C$3/365,0)</f>
        <v>5782626</v>
      </c>
      <c r="H168" s="60">
        <f>IF($A168&lt;=Input!$C$6,0,IF('180M'!D168&lt;'180M'!F168,'180M'!D168-G168,'180M'!F168))</f>
        <v>24031721.590312488</v>
      </c>
      <c r="I168" s="60">
        <f t="shared" si="102"/>
        <v>29814347.590312488</v>
      </c>
      <c r="J168" s="60">
        <f t="shared" si="103"/>
        <v>429873357.44044447</v>
      </c>
      <c r="K168" s="203">
        <f>J168/Input!$K$5</f>
        <v>1.4329111914681483</v>
      </c>
      <c r="L168" s="232"/>
      <c r="M168" s="60">
        <f>IF($B168&lt;Input!$H$43,IF($B168&lt;Input!$G$43,IF($B168&lt;Input!$F$43,IF($B168&lt;Input!$E$43,IF($B168&lt;Input!$D$43,Input!$C$49,Input!$D$49),Input!$E$49),Input!$F$49),Input!$G$49),Input!$H$49)</f>
        <v>33127052.878124986</v>
      </c>
      <c r="N168" s="190">
        <f>IF($A168&lt;Input!$H$50,IF($A168&lt;Input!$G$50,IF($A168&lt;Input!$F$50,IF($A168&lt;Input!$E$50,IF($A168&lt;Input!$D$50,Input!$C$51,Input!$D$51),Input!$E$51),Input!$F$51),Input!$G$51),Input!$H$51)</f>
        <v>0.9</v>
      </c>
      <c r="O168" s="60">
        <f t="shared" si="120"/>
        <v>29814347.590312488</v>
      </c>
      <c r="P168" s="60">
        <f t="shared" si="121"/>
        <v>31</v>
      </c>
      <c r="Q168" s="60">
        <f t="shared" si="88"/>
        <v>453905079.03075695</v>
      </c>
      <c r="R168" s="60">
        <f>ROUND(Q168*$P168*Input!$C$3/365,0)</f>
        <v>5782626</v>
      </c>
      <c r="S168" s="60">
        <f>IF(A168&lt;=Input!$C$6,0,IF('180M'!O168&lt;'180M'!Q168,'180M'!O168-R168,'180M'!Q168))</f>
        <v>24031721.590312488</v>
      </c>
      <c r="T168" s="60">
        <f t="shared" si="89"/>
        <v>29814347.590312488</v>
      </c>
      <c r="U168" s="60">
        <f t="shared" si="90"/>
        <v>429873357.44044447</v>
      </c>
      <c r="V168" s="193"/>
      <c r="W168" s="169">
        <v>164</v>
      </c>
      <c r="X168" s="1">
        <f t="shared" si="104"/>
        <v>50510</v>
      </c>
      <c r="Y168" s="60">
        <f>IF($X168&lt;Input!$H$58,IF($X168&lt;Input!$G$58,IF($X168&lt;Input!$F$58,IF($X168&lt;Input!$E$58,IF($X168&lt;Input!$D$58,Input!$C$64,Input!$D$64),Input!$E$64),Input!$F$64),Input!$G$64),Input!$H$64)</f>
        <v>0</v>
      </c>
      <c r="Z168" s="190">
        <f>IF($A168&lt;Input!$H$65,IF($A168&lt;Input!$G$65,IF($A168&lt;Input!$F$65,IF($A168&lt;Input!$E$65,IF($A168&lt;Input!$D$65,Input!$C$66,Input!$D$66),Input!$E$66),Input!$F$66),Input!$G$66),Input!$H$66)</f>
        <v>0.9</v>
      </c>
      <c r="AA168" s="60">
        <f t="shared" si="91"/>
        <v>0</v>
      </c>
      <c r="AB168" s="60">
        <f t="shared" si="105"/>
        <v>31</v>
      </c>
      <c r="AC168" s="60">
        <f t="shared" si="92"/>
        <v>0</v>
      </c>
      <c r="AD168" s="60">
        <f>ROUND(AC168*AB168*Input!$C$3/365,0)</f>
        <v>0</v>
      </c>
      <c r="AE168" s="61">
        <f>IF($A168&lt;=Input!$C$6,0,IF('180M'!AA168&lt;'180M'!AC168,'180M'!AA168-AD168,'180M'!AC168))</f>
        <v>0</v>
      </c>
      <c r="AF168" s="61">
        <f t="shared" si="93"/>
        <v>0</v>
      </c>
      <c r="AG168" s="60">
        <f t="shared" si="94"/>
        <v>0</v>
      </c>
      <c r="AH168" s="193"/>
      <c r="AI168" s="169">
        <v>164</v>
      </c>
      <c r="AJ168" s="1">
        <f t="shared" si="106"/>
        <v>50510</v>
      </c>
      <c r="AK168" s="60">
        <f>IF($X168&lt;Input!$H$73,IF($X168&lt;Input!$G$73,IF($X168&lt;Input!$F$73,IF($X168&lt;Input!$E$73,IF($X168&lt;Input!$D$73,Input!$C$79,Input!$D$79),Input!$E$79),Input!$F$79),Input!$G$79),Input!$H$79)</f>
        <v>0</v>
      </c>
      <c r="AL168" s="190">
        <f>IF($A168&lt;Input!$H$80,IF($A168&lt;Input!$G$80,IF($A168&lt;Input!$F$80,IF($A168&lt;Input!$E$80,IF($A168&lt;Input!$D$80,Input!$C$81,Input!$D$81),Input!$E$81),Input!$F$81),Input!$G$81),Input!$H$81)</f>
        <v>0.9</v>
      </c>
      <c r="AM168" s="60">
        <f t="shared" si="107"/>
        <v>0</v>
      </c>
      <c r="AN168" s="60">
        <f t="shared" si="108"/>
        <v>31</v>
      </c>
      <c r="AO168" s="60">
        <f t="shared" si="109"/>
        <v>0</v>
      </c>
      <c r="AP168" s="60">
        <f>ROUND(AO168*AN168*Input!$C$3/365,0)</f>
        <v>0</v>
      </c>
      <c r="AQ168" s="61">
        <f>IF($A168&lt;=Input!$C$6,0,IF('180M'!AM168&lt;'180M'!AO168,'180M'!AM168-AP168,'180M'!AO168))</f>
        <v>0</v>
      </c>
      <c r="AR168" s="61">
        <f t="shared" si="110"/>
        <v>0</v>
      </c>
      <c r="AS168" s="60">
        <f t="shared" si="111"/>
        <v>0</v>
      </c>
      <c r="AT168" s="193"/>
      <c r="AU168" s="169">
        <v>164</v>
      </c>
      <c r="AV168" s="1">
        <f t="shared" si="112"/>
        <v>50510</v>
      </c>
      <c r="AW168" s="60">
        <f>IF($X168&lt;Input!$H$88,IF($X168&lt;Input!$G$88,IF($X168&lt;Input!$F$88,IF($X168&lt;Input!$E$88,IF($X168&lt;Input!$D$88,Input!$C$94,Input!$D$94),Input!$E$94),Input!$F$94),Input!$G$94),Input!$H$94)</f>
        <v>0</v>
      </c>
      <c r="AX168" s="190">
        <f>IF($A168&lt;Input!$H$95,IF($A168&lt;Input!$G$95,IF($A168&lt;Input!$F$95,IF($A168&lt;Input!$E$95,IF($A168&lt;Input!$D$95,Input!$C$96,Input!$D$96),Input!$E$96),Input!$F$96),Input!$G$96),Input!$H$96)</f>
        <v>0.9</v>
      </c>
      <c r="AY168" s="60">
        <f t="shared" si="113"/>
        <v>0</v>
      </c>
      <c r="AZ168" s="60">
        <f t="shared" si="114"/>
        <v>31</v>
      </c>
      <c r="BA168" s="60">
        <f t="shared" si="115"/>
        <v>0</v>
      </c>
      <c r="BB168" s="60">
        <f>ROUND(BA168*AZ168*Input!$C$3/365,0)</f>
        <v>0</v>
      </c>
      <c r="BC168" s="61">
        <f>IF($A168&lt;=Input!$C$6,0,IF('180M'!AY168&lt;'180M'!BA168,'180M'!AY168-BB168,'180M'!BA168))</f>
        <v>0</v>
      </c>
      <c r="BD168" s="61">
        <f t="shared" si="116"/>
        <v>0</v>
      </c>
      <c r="BE168" s="60">
        <f t="shared" si="117"/>
        <v>0</v>
      </c>
      <c r="BF168" s="193"/>
      <c r="BG168" s="169">
        <v>164</v>
      </c>
      <c r="BH168" s="1">
        <f t="shared" si="118"/>
        <v>50510</v>
      </c>
      <c r="BI168" s="60">
        <f>IF($X168&lt;Input!$H$103,IF($X168&lt;Input!$G$103,IF($X168&lt;Input!$F$103,IF($X168&lt;Input!$E$103,IF($X168&lt;Input!$D$103,Input!$C$109,Input!$D$109),Input!$E$109),Input!$F$109),Input!$G$109),Input!$H$109)</f>
        <v>0</v>
      </c>
      <c r="BJ168" s="190">
        <f>IF($A168&lt;Input!$H$110,IF($A168&lt;Input!$G$110,IF($A168&lt;Input!$F$110,IF($A168&lt;Input!$E$110,IF($A168&lt;Input!$D$110,Input!$C$111,Input!$D$111),Input!$E$111),Input!$F$111),Input!$G$111),Input!$H$111)</f>
        <v>0.9</v>
      </c>
      <c r="BK168" s="60">
        <f t="shared" si="95"/>
        <v>0</v>
      </c>
      <c r="BL168" s="60">
        <f t="shared" si="119"/>
        <v>31</v>
      </c>
      <c r="BM168" s="60">
        <f t="shared" si="96"/>
        <v>0</v>
      </c>
      <c r="BN168" s="60">
        <f>ROUND(BM168*BL168*Input!$C$3/365,0)</f>
        <v>0</v>
      </c>
      <c r="BO168" s="61">
        <f>IF($A168&lt;=Input!$C$6,0,IF('180M'!BK168&lt;'180M'!BM168,'180M'!BK168-BN168,'180M'!BM168))</f>
        <v>0</v>
      </c>
      <c r="BP168" s="61">
        <f t="shared" si="97"/>
        <v>0</v>
      </c>
      <c r="BQ168" s="60">
        <f t="shared" si="98"/>
        <v>0</v>
      </c>
      <c r="BR168" s="198"/>
    </row>
    <row r="169" spans="1:70" x14ac:dyDescent="0.25">
      <c r="A169" s="169">
        <v>165</v>
      </c>
      <c r="B169" s="1">
        <f t="shared" si="99"/>
        <v>50540</v>
      </c>
      <c r="C169" s="60">
        <f t="shared" si="85"/>
        <v>33127052.878124986</v>
      </c>
      <c r="D169" s="60">
        <f t="shared" si="86"/>
        <v>29814347.590312488</v>
      </c>
      <c r="E169" s="60">
        <f t="shared" si="100"/>
        <v>30</v>
      </c>
      <c r="F169" s="60">
        <f t="shared" si="101"/>
        <v>429873357.44044447</v>
      </c>
      <c r="G169" s="60">
        <f>ROUND(F169*E169*Input!$C$3/365,0)</f>
        <v>5299809</v>
      </c>
      <c r="H169" s="60">
        <f>IF($A169&lt;=Input!$C$6,0,IF('180M'!D169&lt;'180M'!F169,'180M'!D169-G169,'180M'!F169))</f>
        <v>24514538.590312488</v>
      </c>
      <c r="I169" s="60">
        <f t="shared" si="102"/>
        <v>29814347.590312488</v>
      </c>
      <c r="J169" s="60">
        <f t="shared" si="103"/>
        <v>405358818.85013199</v>
      </c>
      <c r="K169" s="203">
        <f>J169/Input!$K$5</f>
        <v>1.3511960628337734</v>
      </c>
      <c r="L169" s="232"/>
      <c r="M169" s="60">
        <f>IF($B169&lt;Input!$H$43,IF($B169&lt;Input!$G$43,IF($B169&lt;Input!$F$43,IF($B169&lt;Input!$E$43,IF($B169&lt;Input!$D$43,Input!$C$49,Input!$D$49),Input!$E$49),Input!$F$49),Input!$G$49),Input!$H$49)</f>
        <v>33127052.878124986</v>
      </c>
      <c r="N169" s="190">
        <f>IF($A169&lt;Input!$H$50,IF($A169&lt;Input!$G$50,IF($A169&lt;Input!$F$50,IF($A169&lt;Input!$E$50,IF($A169&lt;Input!$D$50,Input!$C$51,Input!$D$51),Input!$E$51),Input!$F$51),Input!$G$51),Input!$H$51)</f>
        <v>0.9</v>
      </c>
      <c r="O169" s="60">
        <f t="shared" si="120"/>
        <v>29814347.590312488</v>
      </c>
      <c r="P169" s="60">
        <f t="shared" si="121"/>
        <v>30</v>
      </c>
      <c r="Q169" s="60">
        <f t="shared" si="88"/>
        <v>429873357.44044447</v>
      </c>
      <c r="R169" s="60">
        <f>ROUND(Q169*$P169*Input!$C$3/365,0)</f>
        <v>5299809</v>
      </c>
      <c r="S169" s="60">
        <f>IF(A169&lt;=Input!$C$6,0,IF('180M'!O169&lt;'180M'!Q169,'180M'!O169-R169,'180M'!Q169))</f>
        <v>24514538.590312488</v>
      </c>
      <c r="T169" s="60">
        <f t="shared" si="89"/>
        <v>29814347.590312488</v>
      </c>
      <c r="U169" s="60">
        <f t="shared" si="90"/>
        <v>405358818.85013199</v>
      </c>
      <c r="V169" s="193"/>
      <c r="W169" s="169">
        <v>165</v>
      </c>
      <c r="X169" s="1">
        <f t="shared" si="104"/>
        <v>50540</v>
      </c>
      <c r="Y169" s="60">
        <f>IF($X169&lt;Input!$H$58,IF($X169&lt;Input!$G$58,IF($X169&lt;Input!$F$58,IF($X169&lt;Input!$E$58,IF($X169&lt;Input!$D$58,Input!$C$64,Input!$D$64),Input!$E$64),Input!$F$64),Input!$G$64),Input!$H$64)</f>
        <v>0</v>
      </c>
      <c r="Z169" s="190">
        <f>IF($A169&lt;Input!$H$65,IF($A169&lt;Input!$G$65,IF($A169&lt;Input!$F$65,IF($A169&lt;Input!$E$65,IF($A169&lt;Input!$D$65,Input!$C$66,Input!$D$66),Input!$E$66),Input!$F$66),Input!$G$66),Input!$H$66)</f>
        <v>0.9</v>
      </c>
      <c r="AA169" s="60">
        <f t="shared" si="91"/>
        <v>0</v>
      </c>
      <c r="AB169" s="60">
        <f t="shared" si="105"/>
        <v>30</v>
      </c>
      <c r="AC169" s="60">
        <f t="shared" si="92"/>
        <v>0</v>
      </c>
      <c r="AD169" s="60">
        <f>ROUND(AC169*AB169*Input!$C$3/365,0)</f>
        <v>0</v>
      </c>
      <c r="AE169" s="61">
        <f>IF($A169&lt;=Input!$C$6,0,IF('180M'!AA169&lt;'180M'!AC169,'180M'!AA169-AD169,'180M'!AC169))</f>
        <v>0</v>
      </c>
      <c r="AF169" s="61">
        <f t="shared" si="93"/>
        <v>0</v>
      </c>
      <c r="AG169" s="60">
        <f t="shared" si="94"/>
        <v>0</v>
      </c>
      <c r="AH169" s="193"/>
      <c r="AI169" s="169">
        <v>165</v>
      </c>
      <c r="AJ169" s="1">
        <f t="shared" si="106"/>
        <v>50540</v>
      </c>
      <c r="AK169" s="60">
        <f>IF($X169&lt;Input!$H$73,IF($X169&lt;Input!$G$73,IF($X169&lt;Input!$F$73,IF($X169&lt;Input!$E$73,IF($X169&lt;Input!$D$73,Input!$C$79,Input!$D$79),Input!$E$79),Input!$F$79),Input!$G$79),Input!$H$79)</f>
        <v>0</v>
      </c>
      <c r="AL169" s="190">
        <f>IF($A169&lt;Input!$H$80,IF($A169&lt;Input!$G$80,IF($A169&lt;Input!$F$80,IF($A169&lt;Input!$E$80,IF($A169&lt;Input!$D$80,Input!$C$81,Input!$D$81),Input!$E$81),Input!$F$81),Input!$G$81),Input!$H$81)</f>
        <v>0.9</v>
      </c>
      <c r="AM169" s="60">
        <f t="shared" si="107"/>
        <v>0</v>
      </c>
      <c r="AN169" s="60">
        <f t="shared" si="108"/>
        <v>30</v>
      </c>
      <c r="AO169" s="60">
        <f t="shared" si="109"/>
        <v>0</v>
      </c>
      <c r="AP169" s="60">
        <f>ROUND(AO169*AN169*Input!$C$3/365,0)</f>
        <v>0</v>
      </c>
      <c r="AQ169" s="61">
        <f>IF($A169&lt;=Input!$C$6,0,IF('180M'!AM169&lt;'180M'!AO169,'180M'!AM169-AP169,'180M'!AO169))</f>
        <v>0</v>
      </c>
      <c r="AR169" s="61">
        <f t="shared" si="110"/>
        <v>0</v>
      </c>
      <c r="AS169" s="60">
        <f t="shared" si="111"/>
        <v>0</v>
      </c>
      <c r="AT169" s="193"/>
      <c r="AU169" s="169">
        <v>165</v>
      </c>
      <c r="AV169" s="1">
        <f t="shared" si="112"/>
        <v>50540</v>
      </c>
      <c r="AW169" s="60">
        <f>IF($X169&lt;Input!$H$88,IF($X169&lt;Input!$G$88,IF($X169&lt;Input!$F$88,IF($X169&lt;Input!$E$88,IF($X169&lt;Input!$D$88,Input!$C$94,Input!$D$94),Input!$E$94),Input!$F$94),Input!$G$94),Input!$H$94)</f>
        <v>0</v>
      </c>
      <c r="AX169" s="190">
        <f>IF($A169&lt;Input!$H$95,IF($A169&lt;Input!$G$95,IF($A169&lt;Input!$F$95,IF($A169&lt;Input!$E$95,IF($A169&lt;Input!$D$95,Input!$C$96,Input!$D$96),Input!$E$96),Input!$F$96),Input!$G$96),Input!$H$96)</f>
        <v>0.9</v>
      </c>
      <c r="AY169" s="60">
        <f t="shared" si="113"/>
        <v>0</v>
      </c>
      <c r="AZ169" s="60">
        <f t="shared" si="114"/>
        <v>30</v>
      </c>
      <c r="BA169" s="60">
        <f t="shared" si="115"/>
        <v>0</v>
      </c>
      <c r="BB169" s="60">
        <f>ROUND(BA169*AZ169*Input!$C$3/365,0)</f>
        <v>0</v>
      </c>
      <c r="BC169" s="61">
        <f>IF($A169&lt;=Input!$C$6,0,IF('180M'!AY169&lt;'180M'!BA169,'180M'!AY169-BB169,'180M'!BA169))</f>
        <v>0</v>
      </c>
      <c r="BD169" s="61">
        <f t="shared" si="116"/>
        <v>0</v>
      </c>
      <c r="BE169" s="60">
        <f t="shared" si="117"/>
        <v>0</v>
      </c>
      <c r="BF169" s="193"/>
      <c r="BG169" s="169">
        <v>165</v>
      </c>
      <c r="BH169" s="1">
        <f t="shared" si="118"/>
        <v>50540</v>
      </c>
      <c r="BI169" s="60">
        <f>IF($X169&lt;Input!$H$103,IF($X169&lt;Input!$G$103,IF($X169&lt;Input!$F$103,IF($X169&lt;Input!$E$103,IF($X169&lt;Input!$D$103,Input!$C$109,Input!$D$109),Input!$E$109),Input!$F$109),Input!$G$109),Input!$H$109)</f>
        <v>0</v>
      </c>
      <c r="BJ169" s="190">
        <f>IF($A169&lt;Input!$H$110,IF($A169&lt;Input!$G$110,IF($A169&lt;Input!$F$110,IF($A169&lt;Input!$E$110,IF($A169&lt;Input!$D$110,Input!$C$111,Input!$D$111),Input!$E$111),Input!$F$111),Input!$G$111),Input!$H$111)</f>
        <v>0.9</v>
      </c>
      <c r="BK169" s="60">
        <f t="shared" si="95"/>
        <v>0</v>
      </c>
      <c r="BL169" s="60">
        <f t="shared" si="119"/>
        <v>30</v>
      </c>
      <c r="BM169" s="60">
        <f t="shared" si="96"/>
        <v>0</v>
      </c>
      <c r="BN169" s="60">
        <f>ROUND(BM169*BL169*Input!$C$3/365,0)</f>
        <v>0</v>
      </c>
      <c r="BO169" s="61">
        <f>IF($A169&lt;=Input!$C$6,0,IF('180M'!BK169&lt;'180M'!BM169,'180M'!BK169-BN169,'180M'!BM169))</f>
        <v>0</v>
      </c>
      <c r="BP169" s="61">
        <f t="shared" si="97"/>
        <v>0</v>
      </c>
      <c r="BQ169" s="60">
        <f t="shared" si="98"/>
        <v>0</v>
      </c>
      <c r="BR169" s="198"/>
    </row>
    <row r="170" spans="1:70" x14ac:dyDescent="0.25">
      <c r="A170" s="169">
        <v>166</v>
      </c>
      <c r="B170" s="1">
        <f t="shared" si="99"/>
        <v>50571</v>
      </c>
      <c r="C170" s="60">
        <f t="shared" si="85"/>
        <v>33127052.878124986</v>
      </c>
      <c r="D170" s="60">
        <f t="shared" si="86"/>
        <v>29814347.590312488</v>
      </c>
      <c r="E170" s="60">
        <f t="shared" si="100"/>
        <v>31</v>
      </c>
      <c r="F170" s="60">
        <f t="shared" si="101"/>
        <v>405358818.85013199</v>
      </c>
      <c r="G170" s="60">
        <f>ROUND(F170*E170*Input!$C$3/365,0)</f>
        <v>5164160</v>
      </c>
      <c r="H170" s="60">
        <f>IF($A170&lt;=Input!$C$6,0,IF('180M'!D170&lt;'180M'!F170,'180M'!D170-G170,'180M'!F170))</f>
        <v>24650187.590312488</v>
      </c>
      <c r="I170" s="60">
        <f t="shared" si="102"/>
        <v>29814347.590312488</v>
      </c>
      <c r="J170" s="60">
        <f t="shared" si="103"/>
        <v>380708631.25981951</v>
      </c>
      <c r="K170" s="203">
        <f>J170/Input!$K$5</f>
        <v>1.269028770866065</v>
      </c>
      <c r="L170" s="232"/>
      <c r="M170" s="60">
        <f>IF($B170&lt;Input!$H$43,IF($B170&lt;Input!$G$43,IF($B170&lt;Input!$F$43,IF($B170&lt;Input!$E$43,IF($B170&lt;Input!$D$43,Input!$C$49,Input!$D$49),Input!$E$49),Input!$F$49),Input!$G$49),Input!$H$49)</f>
        <v>33127052.878124986</v>
      </c>
      <c r="N170" s="190">
        <f>IF($A170&lt;Input!$H$50,IF($A170&lt;Input!$G$50,IF($A170&lt;Input!$F$50,IF($A170&lt;Input!$E$50,IF($A170&lt;Input!$D$50,Input!$C$51,Input!$D$51),Input!$E$51),Input!$F$51),Input!$G$51),Input!$H$51)</f>
        <v>0.9</v>
      </c>
      <c r="O170" s="60">
        <f t="shared" si="120"/>
        <v>29814347.590312488</v>
      </c>
      <c r="P170" s="60">
        <f t="shared" si="121"/>
        <v>31</v>
      </c>
      <c r="Q170" s="60">
        <f t="shared" si="88"/>
        <v>405358818.85013199</v>
      </c>
      <c r="R170" s="60">
        <f>ROUND(Q170*$P170*Input!$C$3/365,0)</f>
        <v>5164160</v>
      </c>
      <c r="S170" s="60">
        <f>IF(A170&lt;=Input!$C$6,0,IF('180M'!O170&lt;'180M'!Q170,'180M'!O170-R170,'180M'!Q170))</f>
        <v>24650187.590312488</v>
      </c>
      <c r="T170" s="60">
        <f t="shared" si="89"/>
        <v>29814347.590312488</v>
      </c>
      <c r="U170" s="60">
        <f t="shared" si="90"/>
        <v>380708631.25981951</v>
      </c>
      <c r="V170" s="193"/>
      <c r="W170" s="169">
        <v>166</v>
      </c>
      <c r="X170" s="1">
        <f t="shared" si="104"/>
        <v>50571</v>
      </c>
      <c r="Y170" s="60">
        <f>IF($X170&lt;Input!$H$58,IF($X170&lt;Input!$G$58,IF($X170&lt;Input!$F$58,IF($X170&lt;Input!$E$58,IF($X170&lt;Input!$D$58,Input!$C$64,Input!$D$64),Input!$E$64),Input!$F$64),Input!$G$64),Input!$H$64)</f>
        <v>0</v>
      </c>
      <c r="Z170" s="190">
        <f>IF($A170&lt;Input!$H$65,IF($A170&lt;Input!$G$65,IF($A170&lt;Input!$F$65,IF($A170&lt;Input!$E$65,IF($A170&lt;Input!$D$65,Input!$C$66,Input!$D$66),Input!$E$66),Input!$F$66),Input!$G$66),Input!$H$66)</f>
        <v>0.9</v>
      </c>
      <c r="AA170" s="60">
        <f t="shared" si="91"/>
        <v>0</v>
      </c>
      <c r="AB170" s="60">
        <f t="shared" si="105"/>
        <v>31</v>
      </c>
      <c r="AC170" s="60">
        <f t="shared" si="92"/>
        <v>0</v>
      </c>
      <c r="AD170" s="60">
        <f>ROUND(AC170*AB170*Input!$C$3/365,0)</f>
        <v>0</v>
      </c>
      <c r="AE170" s="61">
        <f>IF($A170&lt;=Input!$C$6,0,IF('180M'!AA170&lt;'180M'!AC170,'180M'!AA170-AD170,'180M'!AC170))</f>
        <v>0</v>
      </c>
      <c r="AF170" s="61">
        <f t="shared" si="93"/>
        <v>0</v>
      </c>
      <c r="AG170" s="60">
        <f t="shared" si="94"/>
        <v>0</v>
      </c>
      <c r="AH170" s="193"/>
      <c r="AI170" s="169">
        <v>166</v>
      </c>
      <c r="AJ170" s="1">
        <f t="shared" si="106"/>
        <v>50571</v>
      </c>
      <c r="AK170" s="60">
        <f>IF($X170&lt;Input!$H$73,IF($X170&lt;Input!$G$73,IF($X170&lt;Input!$F$73,IF($X170&lt;Input!$E$73,IF($X170&lt;Input!$D$73,Input!$C$79,Input!$D$79),Input!$E$79),Input!$F$79),Input!$G$79),Input!$H$79)</f>
        <v>0</v>
      </c>
      <c r="AL170" s="190">
        <f>IF($A170&lt;Input!$H$80,IF($A170&lt;Input!$G$80,IF($A170&lt;Input!$F$80,IF($A170&lt;Input!$E$80,IF($A170&lt;Input!$D$80,Input!$C$81,Input!$D$81),Input!$E$81),Input!$F$81),Input!$G$81),Input!$H$81)</f>
        <v>0.9</v>
      </c>
      <c r="AM170" s="60">
        <f t="shared" si="107"/>
        <v>0</v>
      </c>
      <c r="AN170" s="60">
        <f t="shared" si="108"/>
        <v>31</v>
      </c>
      <c r="AO170" s="60">
        <f t="shared" si="109"/>
        <v>0</v>
      </c>
      <c r="AP170" s="60">
        <f>ROUND(AO170*AN170*Input!$C$3/365,0)</f>
        <v>0</v>
      </c>
      <c r="AQ170" s="61">
        <f>IF($A170&lt;=Input!$C$6,0,IF('180M'!AM170&lt;'180M'!AO170,'180M'!AM170-AP170,'180M'!AO170))</f>
        <v>0</v>
      </c>
      <c r="AR170" s="61">
        <f t="shared" si="110"/>
        <v>0</v>
      </c>
      <c r="AS170" s="60">
        <f t="shared" si="111"/>
        <v>0</v>
      </c>
      <c r="AT170" s="193"/>
      <c r="AU170" s="169">
        <v>166</v>
      </c>
      <c r="AV170" s="1">
        <f t="shared" si="112"/>
        <v>50571</v>
      </c>
      <c r="AW170" s="60">
        <f>IF($X170&lt;Input!$H$88,IF($X170&lt;Input!$G$88,IF($X170&lt;Input!$F$88,IF($X170&lt;Input!$E$88,IF($X170&lt;Input!$D$88,Input!$C$94,Input!$D$94),Input!$E$94),Input!$F$94),Input!$G$94),Input!$H$94)</f>
        <v>0</v>
      </c>
      <c r="AX170" s="190">
        <f>IF($A170&lt;Input!$H$95,IF($A170&lt;Input!$G$95,IF($A170&lt;Input!$F$95,IF($A170&lt;Input!$E$95,IF($A170&lt;Input!$D$95,Input!$C$96,Input!$D$96),Input!$E$96),Input!$F$96),Input!$G$96),Input!$H$96)</f>
        <v>0.9</v>
      </c>
      <c r="AY170" s="60">
        <f t="shared" si="113"/>
        <v>0</v>
      </c>
      <c r="AZ170" s="60">
        <f t="shared" si="114"/>
        <v>31</v>
      </c>
      <c r="BA170" s="60">
        <f t="shared" si="115"/>
        <v>0</v>
      </c>
      <c r="BB170" s="60">
        <f>ROUND(BA170*AZ170*Input!$C$3/365,0)</f>
        <v>0</v>
      </c>
      <c r="BC170" s="61">
        <f>IF($A170&lt;=Input!$C$6,0,IF('180M'!AY170&lt;'180M'!BA170,'180M'!AY170-BB170,'180M'!BA170))</f>
        <v>0</v>
      </c>
      <c r="BD170" s="61">
        <f t="shared" si="116"/>
        <v>0</v>
      </c>
      <c r="BE170" s="60">
        <f t="shared" si="117"/>
        <v>0</v>
      </c>
      <c r="BF170" s="193"/>
      <c r="BG170" s="169">
        <v>166</v>
      </c>
      <c r="BH170" s="1">
        <f t="shared" si="118"/>
        <v>50571</v>
      </c>
      <c r="BI170" s="60">
        <f>IF($X170&lt;Input!$H$103,IF($X170&lt;Input!$G$103,IF($X170&lt;Input!$F$103,IF($X170&lt;Input!$E$103,IF($X170&lt;Input!$D$103,Input!$C$109,Input!$D$109),Input!$E$109),Input!$F$109),Input!$G$109),Input!$H$109)</f>
        <v>0</v>
      </c>
      <c r="BJ170" s="190">
        <f>IF($A170&lt;Input!$H$110,IF($A170&lt;Input!$G$110,IF($A170&lt;Input!$F$110,IF($A170&lt;Input!$E$110,IF($A170&lt;Input!$D$110,Input!$C$111,Input!$D$111),Input!$E$111),Input!$F$111),Input!$G$111),Input!$H$111)</f>
        <v>0.9</v>
      </c>
      <c r="BK170" s="60">
        <f t="shared" si="95"/>
        <v>0</v>
      </c>
      <c r="BL170" s="60">
        <f t="shared" si="119"/>
        <v>31</v>
      </c>
      <c r="BM170" s="60">
        <f t="shared" si="96"/>
        <v>0</v>
      </c>
      <c r="BN170" s="60">
        <f>ROUND(BM170*BL170*Input!$C$3/365,0)</f>
        <v>0</v>
      </c>
      <c r="BO170" s="61">
        <f>IF($A170&lt;=Input!$C$6,0,IF('180M'!BK170&lt;'180M'!BM170,'180M'!BK170-BN170,'180M'!BM170))</f>
        <v>0</v>
      </c>
      <c r="BP170" s="61">
        <f t="shared" si="97"/>
        <v>0</v>
      </c>
      <c r="BQ170" s="60">
        <f t="shared" si="98"/>
        <v>0</v>
      </c>
      <c r="BR170" s="198"/>
    </row>
    <row r="171" spans="1:70" x14ac:dyDescent="0.25">
      <c r="A171" s="169">
        <v>167</v>
      </c>
      <c r="B171" s="1">
        <f t="shared" si="99"/>
        <v>50601</v>
      </c>
      <c r="C171" s="60">
        <f t="shared" si="85"/>
        <v>33127052.878124986</v>
      </c>
      <c r="D171" s="60">
        <f t="shared" si="86"/>
        <v>29814347.590312488</v>
      </c>
      <c r="E171" s="60">
        <f t="shared" si="100"/>
        <v>30</v>
      </c>
      <c r="F171" s="60">
        <f t="shared" si="101"/>
        <v>380708631.25981951</v>
      </c>
      <c r="G171" s="60">
        <f>ROUND(F171*E171*Input!$C$3/365,0)</f>
        <v>4693668</v>
      </c>
      <c r="H171" s="60">
        <f>IF($A171&lt;=Input!$C$6,0,IF('180M'!D171&lt;'180M'!F171,'180M'!D171-G171,'180M'!F171))</f>
        <v>25120679.590312488</v>
      </c>
      <c r="I171" s="60">
        <f t="shared" si="102"/>
        <v>29814347.590312488</v>
      </c>
      <c r="J171" s="60">
        <f t="shared" si="103"/>
        <v>355587951.66950703</v>
      </c>
      <c r="K171" s="203">
        <f>J171/Input!$K$5</f>
        <v>1.1852931722316902</v>
      </c>
      <c r="L171" s="232"/>
      <c r="M171" s="60">
        <f>IF($B171&lt;Input!$H$43,IF($B171&lt;Input!$G$43,IF($B171&lt;Input!$F$43,IF($B171&lt;Input!$E$43,IF($B171&lt;Input!$D$43,Input!$C$49,Input!$D$49),Input!$E$49),Input!$F$49),Input!$G$49),Input!$H$49)</f>
        <v>33127052.878124986</v>
      </c>
      <c r="N171" s="190">
        <f>IF($A171&lt;Input!$H$50,IF($A171&lt;Input!$G$50,IF($A171&lt;Input!$F$50,IF($A171&lt;Input!$E$50,IF($A171&lt;Input!$D$50,Input!$C$51,Input!$D$51),Input!$E$51),Input!$F$51),Input!$G$51),Input!$H$51)</f>
        <v>0.9</v>
      </c>
      <c r="O171" s="60">
        <f t="shared" si="120"/>
        <v>29814347.590312488</v>
      </c>
      <c r="P171" s="60">
        <f t="shared" si="121"/>
        <v>30</v>
      </c>
      <c r="Q171" s="60">
        <f t="shared" si="88"/>
        <v>380708631.25981951</v>
      </c>
      <c r="R171" s="60">
        <f>ROUND(Q171*$P171*Input!$C$3/365,0)</f>
        <v>4693668</v>
      </c>
      <c r="S171" s="60">
        <f>IF(A171&lt;=Input!$C$6,0,IF('180M'!O171&lt;'180M'!Q171,'180M'!O171-R171,'180M'!Q171))</f>
        <v>25120679.590312488</v>
      </c>
      <c r="T171" s="60">
        <f t="shared" si="89"/>
        <v>29814347.590312488</v>
      </c>
      <c r="U171" s="60">
        <f t="shared" si="90"/>
        <v>355587951.66950703</v>
      </c>
      <c r="V171" s="193"/>
      <c r="W171" s="169">
        <v>167</v>
      </c>
      <c r="X171" s="1">
        <f t="shared" si="104"/>
        <v>50601</v>
      </c>
      <c r="Y171" s="60">
        <f>IF($X171&lt;Input!$H$58,IF($X171&lt;Input!$G$58,IF($X171&lt;Input!$F$58,IF($X171&lt;Input!$E$58,IF($X171&lt;Input!$D$58,Input!$C$64,Input!$D$64),Input!$E$64),Input!$F$64),Input!$G$64),Input!$H$64)</f>
        <v>0</v>
      </c>
      <c r="Z171" s="190">
        <f>IF($A171&lt;Input!$H$65,IF($A171&lt;Input!$G$65,IF($A171&lt;Input!$F$65,IF($A171&lt;Input!$E$65,IF($A171&lt;Input!$D$65,Input!$C$66,Input!$D$66),Input!$E$66),Input!$F$66),Input!$G$66),Input!$H$66)</f>
        <v>0.9</v>
      </c>
      <c r="AA171" s="60">
        <f t="shared" si="91"/>
        <v>0</v>
      </c>
      <c r="AB171" s="60">
        <f t="shared" si="105"/>
        <v>30</v>
      </c>
      <c r="AC171" s="60">
        <f t="shared" si="92"/>
        <v>0</v>
      </c>
      <c r="AD171" s="60">
        <f>ROUND(AC171*AB171*Input!$C$3/365,0)</f>
        <v>0</v>
      </c>
      <c r="AE171" s="61">
        <f>IF($A171&lt;=Input!$C$6,0,IF('180M'!AA171&lt;'180M'!AC171,'180M'!AA171-AD171,'180M'!AC171))</f>
        <v>0</v>
      </c>
      <c r="AF171" s="61">
        <f t="shared" si="93"/>
        <v>0</v>
      </c>
      <c r="AG171" s="60">
        <f t="shared" si="94"/>
        <v>0</v>
      </c>
      <c r="AH171" s="193"/>
      <c r="AI171" s="169">
        <v>167</v>
      </c>
      <c r="AJ171" s="1">
        <f t="shared" si="106"/>
        <v>50601</v>
      </c>
      <c r="AK171" s="60">
        <f>IF($X171&lt;Input!$H$73,IF($X171&lt;Input!$G$73,IF($X171&lt;Input!$F$73,IF($X171&lt;Input!$E$73,IF($X171&lt;Input!$D$73,Input!$C$79,Input!$D$79),Input!$E$79),Input!$F$79),Input!$G$79),Input!$H$79)</f>
        <v>0</v>
      </c>
      <c r="AL171" s="190">
        <f>IF($A171&lt;Input!$H$80,IF($A171&lt;Input!$G$80,IF($A171&lt;Input!$F$80,IF($A171&lt;Input!$E$80,IF($A171&lt;Input!$D$80,Input!$C$81,Input!$D$81),Input!$E$81),Input!$F$81),Input!$G$81),Input!$H$81)</f>
        <v>0.9</v>
      </c>
      <c r="AM171" s="60">
        <f t="shared" si="107"/>
        <v>0</v>
      </c>
      <c r="AN171" s="60">
        <f t="shared" si="108"/>
        <v>30</v>
      </c>
      <c r="AO171" s="60">
        <f t="shared" si="109"/>
        <v>0</v>
      </c>
      <c r="AP171" s="60">
        <f>ROUND(AO171*AN171*Input!$C$3/365,0)</f>
        <v>0</v>
      </c>
      <c r="AQ171" s="61">
        <f>IF($A171&lt;=Input!$C$6,0,IF('180M'!AM171&lt;'180M'!AO171,'180M'!AM171-AP171,'180M'!AO171))</f>
        <v>0</v>
      </c>
      <c r="AR171" s="61">
        <f t="shared" si="110"/>
        <v>0</v>
      </c>
      <c r="AS171" s="60">
        <f t="shared" si="111"/>
        <v>0</v>
      </c>
      <c r="AT171" s="193"/>
      <c r="AU171" s="169">
        <v>167</v>
      </c>
      <c r="AV171" s="1">
        <f t="shared" si="112"/>
        <v>50601</v>
      </c>
      <c r="AW171" s="60">
        <f>IF($X171&lt;Input!$H$88,IF($X171&lt;Input!$G$88,IF($X171&lt;Input!$F$88,IF($X171&lt;Input!$E$88,IF($X171&lt;Input!$D$88,Input!$C$94,Input!$D$94),Input!$E$94),Input!$F$94),Input!$G$94),Input!$H$94)</f>
        <v>0</v>
      </c>
      <c r="AX171" s="190">
        <f>IF($A171&lt;Input!$H$95,IF($A171&lt;Input!$G$95,IF($A171&lt;Input!$F$95,IF($A171&lt;Input!$E$95,IF($A171&lt;Input!$D$95,Input!$C$96,Input!$D$96),Input!$E$96),Input!$F$96),Input!$G$96),Input!$H$96)</f>
        <v>0.9</v>
      </c>
      <c r="AY171" s="60">
        <f t="shared" si="113"/>
        <v>0</v>
      </c>
      <c r="AZ171" s="60">
        <f t="shared" si="114"/>
        <v>30</v>
      </c>
      <c r="BA171" s="60">
        <f t="shared" si="115"/>
        <v>0</v>
      </c>
      <c r="BB171" s="60">
        <f>ROUND(BA171*AZ171*Input!$C$3/365,0)</f>
        <v>0</v>
      </c>
      <c r="BC171" s="61">
        <f>IF($A171&lt;=Input!$C$6,0,IF('180M'!AY171&lt;'180M'!BA171,'180M'!AY171-BB171,'180M'!BA171))</f>
        <v>0</v>
      </c>
      <c r="BD171" s="61">
        <f t="shared" si="116"/>
        <v>0</v>
      </c>
      <c r="BE171" s="60">
        <f t="shared" si="117"/>
        <v>0</v>
      </c>
      <c r="BF171" s="193"/>
      <c r="BG171" s="169">
        <v>167</v>
      </c>
      <c r="BH171" s="1">
        <f t="shared" si="118"/>
        <v>50601</v>
      </c>
      <c r="BI171" s="60">
        <f>IF($X171&lt;Input!$H$103,IF($X171&lt;Input!$G$103,IF($X171&lt;Input!$F$103,IF($X171&lt;Input!$E$103,IF($X171&lt;Input!$D$103,Input!$C$109,Input!$D$109),Input!$E$109),Input!$F$109),Input!$G$109),Input!$H$109)</f>
        <v>0</v>
      </c>
      <c r="BJ171" s="190">
        <f>IF($A171&lt;Input!$H$110,IF($A171&lt;Input!$G$110,IF($A171&lt;Input!$F$110,IF($A171&lt;Input!$E$110,IF($A171&lt;Input!$D$110,Input!$C$111,Input!$D$111),Input!$E$111),Input!$F$111),Input!$G$111),Input!$H$111)</f>
        <v>0.9</v>
      </c>
      <c r="BK171" s="60">
        <f t="shared" si="95"/>
        <v>0</v>
      </c>
      <c r="BL171" s="60">
        <f t="shared" si="119"/>
        <v>30</v>
      </c>
      <c r="BM171" s="60">
        <f t="shared" si="96"/>
        <v>0</v>
      </c>
      <c r="BN171" s="60">
        <f>ROUND(BM171*BL171*Input!$C$3/365,0)</f>
        <v>0</v>
      </c>
      <c r="BO171" s="61">
        <f>IF($A171&lt;=Input!$C$6,0,IF('180M'!BK171&lt;'180M'!BM171,'180M'!BK171-BN171,'180M'!BM171))</f>
        <v>0</v>
      </c>
      <c r="BP171" s="61">
        <f t="shared" si="97"/>
        <v>0</v>
      </c>
      <c r="BQ171" s="60">
        <f t="shared" si="98"/>
        <v>0</v>
      </c>
      <c r="BR171" s="198"/>
    </row>
    <row r="172" spans="1:70" x14ac:dyDescent="0.25">
      <c r="A172" s="169">
        <v>168</v>
      </c>
      <c r="B172" s="1">
        <f t="shared" si="99"/>
        <v>50632</v>
      </c>
      <c r="C172" s="60">
        <f t="shared" si="85"/>
        <v>33127052.878124986</v>
      </c>
      <c r="D172" s="60">
        <f t="shared" si="86"/>
        <v>29814347.590312488</v>
      </c>
      <c r="E172" s="60">
        <f t="shared" si="100"/>
        <v>31</v>
      </c>
      <c r="F172" s="60">
        <f t="shared" si="101"/>
        <v>355587951.66950703</v>
      </c>
      <c r="G172" s="60">
        <f>ROUND(F172*E172*Input!$C$3/365,0)</f>
        <v>4530093</v>
      </c>
      <c r="H172" s="60">
        <f>IF($A172&lt;=Input!$C$6,0,IF('180M'!D172&lt;'180M'!F172,'180M'!D172-G172,'180M'!F172))</f>
        <v>25284254.590312488</v>
      </c>
      <c r="I172" s="60">
        <f t="shared" si="102"/>
        <v>29814347.590312488</v>
      </c>
      <c r="J172" s="60">
        <f t="shared" si="103"/>
        <v>330303697.07919455</v>
      </c>
      <c r="K172" s="203">
        <f>J172/Input!$K$5</f>
        <v>1.101012323597315</v>
      </c>
      <c r="L172" s="232"/>
      <c r="M172" s="60">
        <f>IF($B172&lt;Input!$H$43,IF($B172&lt;Input!$G$43,IF($B172&lt;Input!$F$43,IF($B172&lt;Input!$E$43,IF($B172&lt;Input!$D$43,Input!$C$49,Input!$D$49),Input!$E$49),Input!$F$49),Input!$G$49),Input!$H$49)</f>
        <v>33127052.878124986</v>
      </c>
      <c r="N172" s="190">
        <f>IF($A172&lt;Input!$H$50,IF($A172&lt;Input!$G$50,IF($A172&lt;Input!$F$50,IF($A172&lt;Input!$E$50,IF($A172&lt;Input!$D$50,Input!$C$51,Input!$D$51),Input!$E$51),Input!$F$51),Input!$G$51),Input!$H$51)</f>
        <v>0.9</v>
      </c>
      <c r="O172" s="60">
        <f t="shared" si="120"/>
        <v>29814347.590312488</v>
      </c>
      <c r="P172" s="60">
        <f t="shared" si="121"/>
        <v>31</v>
      </c>
      <c r="Q172" s="60">
        <f t="shared" si="88"/>
        <v>355587951.66950703</v>
      </c>
      <c r="R172" s="60">
        <f>ROUND(Q172*$P172*Input!$C$3/365,0)</f>
        <v>4530093</v>
      </c>
      <c r="S172" s="60">
        <f>IF(A172&lt;=Input!$C$6,0,IF('180M'!O172&lt;'180M'!Q172,'180M'!O172-R172,'180M'!Q172))</f>
        <v>25284254.590312488</v>
      </c>
      <c r="T172" s="60">
        <f t="shared" si="89"/>
        <v>29814347.590312488</v>
      </c>
      <c r="U172" s="60">
        <f t="shared" si="90"/>
        <v>330303697.07919455</v>
      </c>
      <c r="V172" s="193"/>
      <c r="W172" s="169">
        <v>168</v>
      </c>
      <c r="X172" s="1">
        <f t="shared" si="104"/>
        <v>50632</v>
      </c>
      <c r="Y172" s="60">
        <f>IF($X172&lt;Input!$H$58,IF($X172&lt;Input!$G$58,IF($X172&lt;Input!$F$58,IF($X172&lt;Input!$E$58,IF($X172&lt;Input!$D$58,Input!$C$64,Input!$D$64),Input!$E$64),Input!$F$64),Input!$G$64),Input!$H$64)</f>
        <v>0</v>
      </c>
      <c r="Z172" s="190">
        <f>IF($A172&lt;Input!$H$65,IF($A172&lt;Input!$G$65,IF($A172&lt;Input!$F$65,IF($A172&lt;Input!$E$65,IF($A172&lt;Input!$D$65,Input!$C$66,Input!$D$66),Input!$E$66),Input!$F$66),Input!$G$66),Input!$H$66)</f>
        <v>0.9</v>
      </c>
      <c r="AA172" s="60">
        <f t="shared" si="91"/>
        <v>0</v>
      </c>
      <c r="AB172" s="60">
        <f t="shared" si="105"/>
        <v>31</v>
      </c>
      <c r="AC172" s="60">
        <f t="shared" si="92"/>
        <v>0</v>
      </c>
      <c r="AD172" s="60">
        <f>ROUND(AC172*AB172*Input!$C$3/365,0)</f>
        <v>0</v>
      </c>
      <c r="AE172" s="61">
        <f>IF($A172&lt;=Input!$C$6,0,IF('180M'!AA172&lt;'180M'!AC172,'180M'!AA172-AD172,'180M'!AC172))</f>
        <v>0</v>
      </c>
      <c r="AF172" s="61">
        <f t="shared" si="93"/>
        <v>0</v>
      </c>
      <c r="AG172" s="60">
        <f t="shared" si="94"/>
        <v>0</v>
      </c>
      <c r="AH172" s="193"/>
      <c r="AI172" s="169">
        <v>168</v>
      </c>
      <c r="AJ172" s="1">
        <f t="shared" si="106"/>
        <v>50632</v>
      </c>
      <c r="AK172" s="60">
        <f>IF($X172&lt;Input!$H$73,IF($X172&lt;Input!$G$73,IF($X172&lt;Input!$F$73,IF($X172&lt;Input!$E$73,IF($X172&lt;Input!$D$73,Input!$C$79,Input!$D$79),Input!$E$79),Input!$F$79),Input!$G$79),Input!$H$79)</f>
        <v>0</v>
      </c>
      <c r="AL172" s="190">
        <f>IF($A172&lt;Input!$H$80,IF($A172&lt;Input!$G$80,IF($A172&lt;Input!$F$80,IF($A172&lt;Input!$E$80,IF($A172&lt;Input!$D$80,Input!$C$81,Input!$D$81),Input!$E$81),Input!$F$81),Input!$G$81),Input!$H$81)</f>
        <v>0.9</v>
      </c>
      <c r="AM172" s="60">
        <f t="shared" si="107"/>
        <v>0</v>
      </c>
      <c r="AN172" s="60">
        <f t="shared" si="108"/>
        <v>31</v>
      </c>
      <c r="AO172" s="60">
        <f t="shared" si="109"/>
        <v>0</v>
      </c>
      <c r="AP172" s="60">
        <f>ROUND(AO172*AN172*Input!$C$3/365,0)</f>
        <v>0</v>
      </c>
      <c r="AQ172" s="61">
        <f>IF($A172&lt;=Input!$C$6,0,IF('180M'!AM172&lt;'180M'!AO172,'180M'!AM172-AP172,'180M'!AO172))</f>
        <v>0</v>
      </c>
      <c r="AR172" s="61">
        <f t="shared" si="110"/>
        <v>0</v>
      </c>
      <c r="AS172" s="60">
        <f t="shared" si="111"/>
        <v>0</v>
      </c>
      <c r="AT172" s="193"/>
      <c r="AU172" s="169">
        <v>168</v>
      </c>
      <c r="AV172" s="1">
        <f t="shared" si="112"/>
        <v>50632</v>
      </c>
      <c r="AW172" s="60">
        <f>IF($X172&lt;Input!$H$88,IF($X172&lt;Input!$G$88,IF($X172&lt;Input!$F$88,IF($X172&lt;Input!$E$88,IF($X172&lt;Input!$D$88,Input!$C$94,Input!$D$94),Input!$E$94),Input!$F$94),Input!$G$94),Input!$H$94)</f>
        <v>0</v>
      </c>
      <c r="AX172" s="190">
        <f>IF($A172&lt;Input!$H$95,IF($A172&lt;Input!$G$95,IF($A172&lt;Input!$F$95,IF($A172&lt;Input!$E$95,IF($A172&lt;Input!$D$95,Input!$C$96,Input!$D$96),Input!$E$96),Input!$F$96),Input!$G$96),Input!$H$96)</f>
        <v>0.9</v>
      </c>
      <c r="AY172" s="60">
        <f t="shared" si="113"/>
        <v>0</v>
      </c>
      <c r="AZ172" s="60">
        <f t="shared" si="114"/>
        <v>31</v>
      </c>
      <c r="BA172" s="60">
        <f t="shared" si="115"/>
        <v>0</v>
      </c>
      <c r="BB172" s="60">
        <f>ROUND(BA172*AZ172*Input!$C$3/365,0)</f>
        <v>0</v>
      </c>
      <c r="BC172" s="61">
        <f>IF($A172&lt;=Input!$C$6,0,IF('180M'!AY172&lt;'180M'!BA172,'180M'!AY172-BB172,'180M'!BA172))</f>
        <v>0</v>
      </c>
      <c r="BD172" s="61">
        <f t="shared" si="116"/>
        <v>0</v>
      </c>
      <c r="BE172" s="60">
        <f t="shared" si="117"/>
        <v>0</v>
      </c>
      <c r="BF172" s="193"/>
      <c r="BG172" s="169">
        <v>168</v>
      </c>
      <c r="BH172" s="1">
        <f t="shared" si="118"/>
        <v>50632</v>
      </c>
      <c r="BI172" s="60">
        <f>IF($X172&lt;Input!$H$103,IF($X172&lt;Input!$G$103,IF($X172&lt;Input!$F$103,IF($X172&lt;Input!$E$103,IF($X172&lt;Input!$D$103,Input!$C$109,Input!$D$109),Input!$E$109),Input!$F$109),Input!$G$109),Input!$H$109)</f>
        <v>0</v>
      </c>
      <c r="BJ172" s="190">
        <f>IF($A172&lt;Input!$H$110,IF($A172&lt;Input!$G$110,IF($A172&lt;Input!$F$110,IF($A172&lt;Input!$E$110,IF($A172&lt;Input!$D$110,Input!$C$111,Input!$D$111),Input!$E$111),Input!$F$111),Input!$G$111),Input!$H$111)</f>
        <v>0.9</v>
      </c>
      <c r="BK172" s="60">
        <f t="shared" si="95"/>
        <v>0</v>
      </c>
      <c r="BL172" s="60">
        <f t="shared" si="119"/>
        <v>31</v>
      </c>
      <c r="BM172" s="60">
        <f t="shared" si="96"/>
        <v>0</v>
      </c>
      <c r="BN172" s="60">
        <f>ROUND(BM172*BL172*Input!$C$3/365,0)</f>
        <v>0</v>
      </c>
      <c r="BO172" s="61">
        <f>IF($A172&lt;=Input!$C$6,0,IF('180M'!BK172&lt;'180M'!BM172,'180M'!BK172-BN172,'180M'!BM172))</f>
        <v>0</v>
      </c>
      <c r="BP172" s="61">
        <f t="shared" si="97"/>
        <v>0</v>
      </c>
      <c r="BQ172" s="60">
        <f t="shared" si="98"/>
        <v>0</v>
      </c>
      <c r="BR172" s="198"/>
    </row>
    <row r="173" spans="1:70" x14ac:dyDescent="0.25">
      <c r="A173" s="169">
        <v>169</v>
      </c>
      <c r="B173" s="1">
        <f t="shared" si="99"/>
        <v>50663</v>
      </c>
      <c r="C173" s="60">
        <f t="shared" si="85"/>
        <v>33127052.878124986</v>
      </c>
      <c r="D173" s="60">
        <f t="shared" si="86"/>
        <v>29814347.590312488</v>
      </c>
      <c r="E173" s="60">
        <f t="shared" si="100"/>
        <v>31</v>
      </c>
      <c r="F173" s="60">
        <f t="shared" si="101"/>
        <v>330303697.07919455</v>
      </c>
      <c r="G173" s="60">
        <f>ROUND(F173*E173*Input!$C$3/365,0)</f>
        <v>4207979</v>
      </c>
      <c r="H173" s="60">
        <f>IF($A173&lt;=Input!$C$6,0,IF('180M'!D173&lt;'180M'!F173,'180M'!D173-G173,'180M'!F173))</f>
        <v>25606368.590312488</v>
      </c>
      <c r="I173" s="60">
        <f t="shared" si="102"/>
        <v>29814347.590312488</v>
      </c>
      <c r="J173" s="60">
        <f t="shared" si="103"/>
        <v>304697328.48888206</v>
      </c>
      <c r="K173" s="203">
        <f>J173/Input!$K$5</f>
        <v>1.015657761629607</v>
      </c>
      <c r="L173" s="232"/>
      <c r="M173" s="60">
        <f>IF($B173&lt;Input!$H$43,IF($B173&lt;Input!$G$43,IF($B173&lt;Input!$F$43,IF($B173&lt;Input!$E$43,IF($B173&lt;Input!$D$43,Input!$C$49,Input!$D$49),Input!$E$49),Input!$F$49),Input!$G$49),Input!$H$49)</f>
        <v>33127052.878124986</v>
      </c>
      <c r="N173" s="190">
        <f>IF($A173&lt;Input!$H$50,IF($A173&lt;Input!$G$50,IF($A173&lt;Input!$F$50,IF($A173&lt;Input!$E$50,IF($A173&lt;Input!$D$50,Input!$C$51,Input!$D$51),Input!$E$51),Input!$F$51),Input!$G$51),Input!$H$51)</f>
        <v>0.9</v>
      </c>
      <c r="O173" s="60">
        <f t="shared" si="120"/>
        <v>29814347.590312488</v>
      </c>
      <c r="P173" s="60">
        <f t="shared" si="121"/>
        <v>31</v>
      </c>
      <c r="Q173" s="60">
        <f t="shared" si="88"/>
        <v>330303697.07919455</v>
      </c>
      <c r="R173" s="60">
        <f>ROUND(Q173*$P173*Input!$C$3/365,0)</f>
        <v>4207979</v>
      </c>
      <c r="S173" s="60">
        <f>IF(A173&lt;=Input!$C$6,0,IF('180M'!O173&lt;'180M'!Q173,'180M'!O173-R173,'180M'!Q173))</f>
        <v>25606368.590312488</v>
      </c>
      <c r="T173" s="60">
        <f t="shared" si="89"/>
        <v>29814347.590312488</v>
      </c>
      <c r="U173" s="60">
        <f t="shared" si="90"/>
        <v>304697328.48888206</v>
      </c>
      <c r="V173" s="193"/>
      <c r="W173" s="169">
        <v>169</v>
      </c>
      <c r="X173" s="1">
        <f t="shared" si="104"/>
        <v>50663</v>
      </c>
      <c r="Y173" s="60">
        <f>IF($X173&lt;Input!$H$58,IF($X173&lt;Input!$G$58,IF($X173&lt;Input!$F$58,IF($X173&lt;Input!$E$58,IF($X173&lt;Input!$D$58,Input!$C$64,Input!$D$64),Input!$E$64),Input!$F$64),Input!$G$64),Input!$H$64)</f>
        <v>0</v>
      </c>
      <c r="Z173" s="190">
        <f>IF($A173&lt;Input!$H$65,IF($A173&lt;Input!$G$65,IF($A173&lt;Input!$F$65,IF($A173&lt;Input!$E$65,IF($A173&lt;Input!$D$65,Input!$C$66,Input!$D$66),Input!$E$66),Input!$F$66),Input!$G$66),Input!$H$66)</f>
        <v>0.9</v>
      </c>
      <c r="AA173" s="60">
        <f t="shared" si="91"/>
        <v>0</v>
      </c>
      <c r="AB173" s="60">
        <f t="shared" si="105"/>
        <v>31</v>
      </c>
      <c r="AC173" s="60">
        <f t="shared" si="92"/>
        <v>0</v>
      </c>
      <c r="AD173" s="60">
        <f>ROUND(AC173*AB173*Input!$C$3/365,0)</f>
        <v>0</v>
      </c>
      <c r="AE173" s="61">
        <f>IF($A173&lt;=Input!$C$6,0,IF('180M'!AA173&lt;'180M'!AC173,'180M'!AA173-AD173,'180M'!AC173))</f>
        <v>0</v>
      </c>
      <c r="AF173" s="61">
        <f t="shared" si="93"/>
        <v>0</v>
      </c>
      <c r="AG173" s="60">
        <f t="shared" si="94"/>
        <v>0</v>
      </c>
      <c r="AH173" s="193"/>
      <c r="AI173" s="169">
        <v>169</v>
      </c>
      <c r="AJ173" s="1">
        <f t="shared" si="106"/>
        <v>50663</v>
      </c>
      <c r="AK173" s="60">
        <f>IF($X173&lt;Input!$H$73,IF($X173&lt;Input!$G$73,IF($X173&lt;Input!$F$73,IF($X173&lt;Input!$E$73,IF($X173&lt;Input!$D$73,Input!$C$79,Input!$D$79),Input!$E$79),Input!$F$79),Input!$G$79),Input!$H$79)</f>
        <v>0</v>
      </c>
      <c r="AL173" s="190">
        <f>IF($A173&lt;Input!$H$80,IF($A173&lt;Input!$G$80,IF($A173&lt;Input!$F$80,IF($A173&lt;Input!$E$80,IF($A173&lt;Input!$D$80,Input!$C$81,Input!$D$81),Input!$E$81),Input!$F$81),Input!$G$81),Input!$H$81)</f>
        <v>0.9</v>
      </c>
      <c r="AM173" s="60">
        <f t="shared" si="107"/>
        <v>0</v>
      </c>
      <c r="AN173" s="60">
        <f t="shared" si="108"/>
        <v>31</v>
      </c>
      <c r="AO173" s="60">
        <f t="shared" si="109"/>
        <v>0</v>
      </c>
      <c r="AP173" s="60">
        <f>ROUND(AO173*AN173*Input!$C$3/365,0)</f>
        <v>0</v>
      </c>
      <c r="AQ173" s="61">
        <f>IF($A173&lt;=Input!$C$6,0,IF('180M'!AM173&lt;'180M'!AO173,'180M'!AM173-AP173,'180M'!AO173))</f>
        <v>0</v>
      </c>
      <c r="AR173" s="61">
        <f t="shared" si="110"/>
        <v>0</v>
      </c>
      <c r="AS173" s="60">
        <f t="shared" si="111"/>
        <v>0</v>
      </c>
      <c r="AT173" s="193"/>
      <c r="AU173" s="169">
        <v>169</v>
      </c>
      <c r="AV173" s="1">
        <f t="shared" si="112"/>
        <v>50663</v>
      </c>
      <c r="AW173" s="60">
        <f>IF($X173&lt;Input!$H$88,IF($X173&lt;Input!$G$88,IF($X173&lt;Input!$F$88,IF($X173&lt;Input!$E$88,IF($X173&lt;Input!$D$88,Input!$C$94,Input!$D$94),Input!$E$94),Input!$F$94),Input!$G$94),Input!$H$94)</f>
        <v>0</v>
      </c>
      <c r="AX173" s="190">
        <f>IF($A173&lt;Input!$H$95,IF($A173&lt;Input!$G$95,IF($A173&lt;Input!$F$95,IF($A173&lt;Input!$E$95,IF($A173&lt;Input!$D$95,Input!$C$96,Input!$D$96),Input!$E$96),Input!$F$96),Input!$G$96),Input!$H$96)</f>
        <v>0.9</v>
      </c>
      <c r="AY173" s="60">
        <f t="shared" si="113"/>
        <v>0</v>
      </c>
      <c r="AZ173" s="60">
        <f t="shared" si="114"/>
        <v>31</v>
      </c>
      <c r="BA173" s="60">
        <f t="shared" si="115"/>
        <v>0</v>
      </c>
      <c r="BB173" s="60">
        <f>ROUND(BA173*AZ173*Input!$C$3/365,0)</f>
        <v>0</v>
      </c>
      <c r="BC173" s="61">
        <f>IF($A173&lt;=Input!$C$6,0,IF('180M'!AY173&lt;'180M'!BA173,'180M'!AY173-BB173,'180M'!BA173))</f>
        <v>0</v>
      </c>
      <c r="BD173" s="61">
        <f t="shared" si="116"/>
        <v>0</v>
      </c>
      <c r="BE173" s="60">
        <f t="shared" si="117"/>
        <v>0</v>
      </c>
      <c r="BF173" s="193"/>
      <c r="BG173" s="169">
        <v>169</v>
      </c>
      <c r="BH173" s="1">
        <f t="shared" si="118"/>
        <v>50663</v>
      </c>
      <c r="BI173" s="60">
        <f>IF($X173&lt;Input!$H$103,IF($X173&lt;Input!$G$103,IF($X173&lt;Input!$F$103,IF($X173&lt;Input!$E$103,IF($X173&lt;Input!$D$103,Input!$C$109,Input!$D$109),Input!$E$109),Input!$F$109),Input!$G$109),Input!$H$109)</f>
        <v>0</v>
      </c>
      <c r="BJ173" s="190">
        <f>IF($A173&lt;Input!$H$110,IF($A173&lt;Input!$G$110,IF($A173&lt;Input!$F$110,IF($A173&lt;Input!$E$110,IF($A173&lt;Input!$D$110,Input!$C$111,Input!$D$111),Input!$E$111),Input!$F$111),Input!$G$111),Input!$H$111)</f>
        <v>0.9</v>
      </c>
      <c r="BK173" s="60">
        <f t="shared" si="95"/>
        <v>0</v>
      </c>
      <c r="BL173" s="60">
        <f t="shared" si="119"/>
        <v>31</v>
      </c>
      <c r="BM173" s="60">
        <f t="shared" si="96"/>
        <v>0</v>
      </c>
      <c r="BN173" s="60">
        <f>ROUND(BM173*BL173*Input!$C$3/365,0)</f>
        <v>0</v>
      </c>
      <c r="BO173" s="61">
        <f>IF($A173&lt;=Input!$C$6,0,IF('180M'!BK173&lt;'180M'!BM173,'180M'!BK173-BN173,'180M'!BM173))</f>
        <v>0</v>
      </c>
      <c r="BP173" s="61">
        <f t="shared" si="97"/>
        <v>0</v>
      </c>
      <c r="BQ173" s="60">
        <f t="shared" si="98"/>
        <v>0</v>
      </c>
      <c r="BR173" s="198"/>
    </row>
    <row r="174" spans="1:70" x14ac:dyDescent="0.25">
      <c r="A174" s="169">
        <v>170</v>
      </c>
      <c r="B174" s="1">
        <f t="shared" si="99"/>
        <v>50693</v>
      </c>
      <c r="C174" s="60">
        <f t="shared" si="85"/>
        <v>33127052.878124986</v>
      </c>
      <c r="D174" s="60">
        <f t="shared" si="86"/>
        <v>29814347.590312488</v>
      </c>
      <c r="E174" s="60">
        <f t="shared" si="100"/>
        <v>30</v>
      </c>
      <c r="F174" s="60">
        <f t="shared" si="101"/>
        <v>304697328.48888206</v>
      </c>
      <c r="G174" s="60">
        <f>ROUND(F174*E174*Input!$C$3/365,0)</f>
        <v>3756542</v>
      </c>
      <c r="H174" s="60">
        <f>IF($A174&lt;=Input!$C$6,0,IF('180M'!D174&lt;'180M'!F174,'180M'!D174-G174,'180M'!F174))</f>
        <v>26057805.590312488</v>
      </c>
      <c r="I174" s="60">
        <f t="shared" si="102"/>
        <v>29814347.590312488</v>
      </c>
      <c r="J174" s="60">
        <f t="shared" si="103"/>
        <v>278639522.89856958</v>
      </c>
      <c r="K174" s="203">
        <f>J174/Input!$K$5</f>
        <v>0.92879840966189864</v>
      </c>
      <c r="L174" s="232"/>
      <c r="M174" s="60">
        <f>IF($B174&lt;Input!$H$43,IF($B174&lt;Input!$G$43,IF($B174&lt;Input!$F$43,IF($B174&lt;Input!$E$43,IF($B174&lt;Input!$D$43,Input!$C$49,Input!$D$49),Input!$E$49),Input!$F$49),Input!$G$49),Input!$H$49)</f>
        <v>33127052.878124986</v>
      </c>
      <c r="N174" s="190">
        <f>IF($A174&lt;Input!$H$50,IF($A174&lt;Input!$G$50,IF($A174&lt;Input!$F$50,IF($A174&lt;Input!$E$50,IF($A174&lt;Input!$D$50,Input!$C$51,Input!$D$51),Input!$E$51),Input!$F$51),Input!$G$51),Input!$H$51)</f>
        <v>0.9</v>
      </c>
      <c r="O174" s="60">
        <f t="shared" si="120"/>
        <v>29814347.590312488</v>
      </c>
      <c r="P174" s="60">
        <f t="shared" si="121"/>
        <v>30</v>
      </c>
      <c r="Q174" s="60">
        <f t="shared" si="88"/>
        <v>304697328.48888206</v>
      </c>
      <c r="R174" s="60">
        <f>ROUND(Q174*$P174*Input!$C$3/365,0)</f>
        <v>3756542</v>
      </c>
      <c r="S174" s="60">
        <f>IF(A174&lt;=Input!$C$6,0,IF('180M'!O174&lt;'180M'!Q174,'180M'!O174-R174,'180M'!Q174))</f>
        <v>26057805.590312488</v>
      </c>
      <c r="T174" s="60">
        <f t="shared" si="89"/>
        <v>29814347.590312488</v>
      </c>
      <c r="U174" s="60">
        <f t="shared" si="90"/>
        <v>278639522.89856958</v>
      </c>
      <c r="V174" s="193"/>
      <c r="W174" s="169">
        <v>170</v>
      </c>
      <c r="X174" s="1">
        <f t="shared" si="104"/>
        <v>50693</v>
      </c>
      <c r="Y174" s="60">
        <f>IF($X174&lt;Input!$H$58,IF($X174&lt;Input!$G$58,IF($X174&lt;Input!$F$58,IF($X174&lt;Input!$E$58,IF($X174&lt;Input!$D$58,Input!$C$64,Input!$D$64),Input!$E$64),Input!$F$64),Input!$G$64),Input!$H$64)</f>
        <v>0</v>
      </c>
      <c r="Z174" s="190">
        <f>IF($A174&lt;Input!$H$65,IF($A174&lt;Input!$G$65,IF($A174&lt;Input!$F$65,IF($A174&lt;Input!$E$65,IF($A174&lt;Input!$D$65,Input!$C$66,Input!$D$66),Input!$E$66),Input!$F$66),Input!$G$66),Input!$H$66)</f>
        <v>0.9</v>
      </c>
      <c r="AA174" s="60">
        <f t="shared" si="91"/>
        <v>0</v>
      </c>
      <c r="AB174" s="60">
        <f t="shared" si="105"/>
        <v>30</v>
      </c>
      <c r="AC174" s="60">
        <f t="shared" si="92"/>
        <v>0</v>
      </c>
      <c r="AD174" s="60">
        <f>ROUND(AC174*AB174*Input!$C$3/365,0)</f>
        <v>0</v>
      </c>
      <c r="AE174" s="61">
        <f>IF($A174&lt;=Input!$C$6,0,IF('180M'!AA174&lt;'180M'!AC174,'180M'!AA174-AD174,'180M'!AC174))</f>
        <v>0</v>
      </c>
      <c r="AF174" s="61">
        <f t="shared" si="93"/>
        <v>0</v>
      </c>
      <c r="AG174" s="60">
        <f t="shared" si="94"/>
        <v>0</v>
      </c>
      <c r="AH174" s="193"/>
      <c r="AI174" s="169">
        <v>170</v>
      </c>
      <c r="AJ174" s="1">
        <f t="shared" si="106"/>
        <v>50693</v>
      </c>
      <c r="AK174" s="60">
        <f>IF($X174&lt;Input!$H$73,IF($X174&lt;Input!$G$73,IF($X174&lt;Input!$F$73,IF($X174&lt;Input!$E$73,IF($X174&lt;Input!$D$73,Input!$C$79,Input!$D$79),Input!$E$79),Input!$F$79),Input!$G$79),Input!$H$79)</f>
        <v>0</v>
      </c>
      <c r="AL174" s="190">
        <f>IF($A174&lt;Input!$H$80,IF($A174&lt;Input!$G$80,IF($A174&lt;Input!$F$80,IF($A174&lt;Input!$E$80,IF($A174&lt;Input!$D$80,Input!$C$81,Input!$D$81),Input!$E$81),Input!$F$81),Input!$G$81),Input!$H$81)</f>
        <v>0.9</v>
      </c>
      <c r="AM174" s="60">
        <f t="shared" si="107"/>
        <v>0</v>
      </c>
      <c r="AN174" s="60">
        <f t="shared" si="108"/>
        <v>30</v>
      </c>
      <c r="AO174" s="60">
        <f t="shared" si="109"/>
        <v>0</v>
      </c>
      <c r="AP174" s="60">
        <f>ROUND(AO174*AN174*Input!$C$3/365,0)</f>
        <v>0</v>
      </c>
      <c r="AQ174" s="61">
        <f>IF($A174&lt;=Input!$C$6,0,IF('180M'!AM174&lt;'180M'!AO174,'180M'!AM174-AP174,'180M'!AO174))</f>
        <v>0</v>
      </c>
      <c r="AR174" s="61">
        <f t="shared" si="110"/>
        <v>0</v>
      </c>
      <c r="AS174" s="60">
        <f t="shared" si="111"/>
        <v>0</v>
      </c>
      <c r="AT174" s="193"/>
      <c r="AU174" s="169">
        <v>170</v>
      </c>
      <c r="AV174" s="1">
        <f t="shared" si="112"/>
        <v>50693</v>
      </c>
      <c r="AW174" s="60">
        <f>IF($X174&lt;Input!$H$88,IF($X174&lt;Input!$G$88,IF($X174&lt;Input!$F$88,IF($X174&lt;Input!$E$88,IF($X174&lt;Input!$D$88,Input!$C$94,Input!$D$94),Input!$E$94),Input!$F$94),Input!$G$94),Input!$H$94)</f>
        <v>0</v>
      </c>
      <c r="AX174" s="190">
        <f>IF($A174&lt;Input!$H$95,IF($A174&lt;Input!$G$95,IF($A174&lt;Input!$F$95,IF($A174&lt;Input!$E$95,IF($A174&lt;Input!$D$95,Input!$C$96,Input!$D$96),Input!$E$96),Input!$F$96),Input!$G$96),Input!$H$96)</f>
        <v>0.9</v>
      </c>
      <c r="AY174" s="60">
        <f t="shared" si="113"/>
        <v>0</v>
      </c>
      <c r="AZ174" s="60">
        <f t="shared" si="114"/>
        <v>30</v>
      </c>
      <c r="BA174" s="60">
        <f t="shared" si="115"/>
        <v>0</v>
      </c>
      <c r="BB174" s="60">
        <f>ROUND(BA174*AZ174*Input!$C$3/365,0)</f>
        <v>0</v>
      </c>
      <c r="BC174" s="61">
        <f>IF($A174&lt;=Input!$C$6,0,IF('180M'!AY174&lt;'180M'!BA174,'180M'!AY174-BB174,'180M'!BA174))</f>
        <v>0</v>
      </c>
      <c r="BD174" s="61">
        <f t="shared" si="116"/>
        <v>0</v>
      </c>
      <c r="BE174" s="60">
        <f t="shared" si="117"/>
        <v>0</v>
      </c>
      <c r="BF174" s="193"/>
      <c r="BG174" s="169">
        <v>170</v>
      </c>
      <c r="BH174" s="1">
        <f t="shared" si="118"/>
        <v>50693</v>
      </c>
      <c r="BI174" s="60">
        <f>IF($X174&lt;Input!$H$103,IF($X174&lt;Input!$G$103,IF($X174&lt;Input!$F$103,IF($X174&lt;Input!$E$103,IF($X174&lt;Input!$D$103,Input!$C$109,Input!$D$109),Input!$E$109),Input!$F$109),Input!$G$109),Input!$H$109)</f>
        <v>0</v>
      </c>
      <c r="BJ174" s="190">
        <f>IF($A174&lt;Input!$H$110,IF($A174&lt;Input!$G$110,IF($A174&lt;Input!$F$110,IF($A174&lt;Input!$E$110,IF($A174&lt;Input!$D$110,Input!$C$111,Input!$D$111),Input!$E$111),Input!$F$111),Input!$G$111),Input!$H$111)</f>
        <v>0.9</v>
      </c>
      <c r="BK174" s="60">
        <f t="shared" si="95"/>
        <v>0</v>
      </c>
      <c r="BL174" s="60">
        <f t="shared" si="119"/>
        <v>30</v>
      </c>
      <c r="BM174" s="60">
        <f t="shared" si="96"/>
        <v>0</v>
      </c>
      <c r="BN174" s="60">
        <f>ROUND(BM174*BL174*Input!$C$3/365,0)</f>
        <v>0</v>
      </c>
      <c r="BO174" s="61">
        <f>IF($A174&lt;=Input!$C$6,0,IF('180M'!BK174&lt;'180M'!BM174,'180M'!BK174-BN174,'180M'!BM174))</f>
        <v>0</v>
      </c>
      <c r="BP174" s="61">
        <f t="shared" si="97"/>
        <v>0</v>
      </c>
      <c r="BQ174" s="60">
        <f t="shared" si="98"/>
        <v>0</v>
      </c>
      <c r="BR174" s="198"/>
    </row>
    <row r="175" spans="1:70" x14ac:dyDescent="0.25">
      <c r="A175" s="169">
        <v>171</v>
      </c>
      <c r="B175" s="1">
        <f t="shared" si="99"/>
        <v>50724</v>
      </c>
      <c r="C175" s="60">
        <f t="shared" si="85"/>
        <v>33127052.878124986</v>
      </c>
      <c r="D175" s="60">
        <f t="shared" si="86"/>
        <v>29814347.590312488</v>
      </c>
      <c r="E175" s="60">
        <f t="shared" si="100"/>
        <v>31</v>
      </c>
      <c r="F175" s="60">
        <f t="shared" si="101"/>
        <v>278639522.89856958</v>
      </c>
      <c r="G175" s="60">
        <f>ROUND(F175*E175*Input!$C$3/365,0)</f>
        <v>3549791</v>
      </c>
      <c r="H175" s="60">
        <f>IF($A175&lt;=Input!$C$6,0,IF('180M'!D175&lt;'180M'!F175,'180M'!D175-G175,'180M'!F175))</f>
        <v>26264556.590312488</v>
      </c>
      <c r="I175" s="60">
        <f t="shared" si="102"/>
        <v>29814347.590312488</v>
      </c>
      <c r="J175" s="60">
        <f t="shared" si="103"/>
        <v>252374966.3082571</v>
      </c>
      <c r="K175" s="203">
        <f>J175/Input!$K$5</f>
        <v>0.84124988769419029</v>
      </c>
      <c r="L175" s="232"/>
      <c r="M175" s="60">
        <f>IF($B175&lt;Input!$H$43,IF($B175&lt;Input!$G$43,IF($B175&lt;Input!$F$43,IF($B175&lt;Input!$E$43,IF($B175&lt;Input!$D$43,Input!$C$49,Input!$D$49),Input!$E$49),Input!$F$49),Input!$G$49),Input!$H$49)</f>
        <v>33127052.878124986</v>
      </c>
      <c r="N175" s="190">
        <f>IF($A175&lt;Input!$H$50,IF($A175&lt;Input!$G$50,IF($A175&lt;Input!$F$50,IF($A175&lt;Input!$E$50,IF($A175&lt;Input!$D$50,Input!$C$51,Input!$D$51),Input!$E$51),Input!$F$51),Input!$G$51),Input!$H$51)</f>
        <v>0.9</v>
      </c>
      <c r="O175" s="60">
        <f t="shared" si="120"/>
        <v>29814347.590312488</v>
      </c>
      <c r="P175" s="60">
        <f t="shared" si="121"/>
        <v>31</v>
      </c>
      <c r="Q175" s="60">
        <f t="shared" si="88"/>
        <v>278639522.89856958</v>
      </c>
      <c r="R175" s="60">
        <f>ROUND(Q175*$P175*Input!$C$3/365,0)</f>
        <v>3549791</v>
      </c>
      <c r="S175" s="60">
        <f>IF(A175&lt;=Input!$C$6,0,IF('180M'!O175&lt;'180M'!Q175,'180M'!O175-R175,'180M'!Q175))</f>
        <v>26264556.590312488</v>
      </c>
      <c r="T175" s="60">
        <f t="shared" si="89"/>
        <v>29814347.590312488</v>
      </c>
      <c r="U175" s="60">
        <f t="shared" si="90"/>
        <v>252374966.3082571</v>
      </c>
      <c r="V175" s="193"/>
      <c r="W175" s="169">
        <v>171</v>
      </c>
      <c r="X175" s="1">
        <f t="shared" si="104"/>
        <v>50724</v>
      </c>
      <c r="Y175" s="60">
        <f>IF($X175&lt;Input!$H$58,IF($X175&lt;Input!$G$58,IF($X175&lt;Input!$F$58,IF($X175&lt;Input!$E$58,IF($X175&lt;Input!$D$58,Input!$C$64,Input!$D$64),Input!$E$64),Input!$F$64),Input!$G$64),Input!$H$64)</f>
        <v>0</v>
      </c>
      <c r="Z175" s="190">
        <f>IF($A175&lt;Input!$H$65,IF($A175&lt;Input!$G$65,IF($A175&lt;Input!$F$65,IF($A175&lt;Input!$E$65,IF($A175&lt;Input!$D$65,Input!$C$66,Input!$D$66),Input!$E$66),Input!$F$66),Input!$G$66),Input!$H$66)</f>
        <v>0.9</v>
      </c>
      <c r="AA175" s="60">
        <f t="shared" si="91"/>
        <v>0</v>
      </c>
      <c r="AB175" s="60">
        <f t="shared" si="105"/>
        <v>31</v>
      </c>
      <c r="AC175" s="60">
        <f t="shared" si="92"/>
        <v>0</v>
      </c>
      <c r="AD175" s="60">
        <f>ROUND(AC175*AB175*Input!$C$3/365,0)</f>
        <v>0</v>
      </c>
      <c r="AE175" s="61">
        <f>IF($A175&lt;=Input!$C$6,0,IF('180M'!AA175&lt;'180M'!AC175,'180M'!AA175-AD175,'180M'!AC175))</f>
        <v>0</v>
      </c>
      <c r="AF175" s="61">
        <f t="shared" si="93"/>
        <v>0</v>
      </c>
      <c r="AG175" s="60">
        <f t="shared" si="94"/>
        <v>0</v>
      </c>
      <c r="AH175" s="193"/>
      <c r="AI175" s="169">
        <v>171</v>
      </c>
      <c r="AJ175" s="1">
        <f t="shared" si="106"/>
        <v>50724</v>
      </c>
      <c r="AK175" s="60">
        <f>IF($X175&lt;Input!$H$73,IF($X175&lt;Input!$G$73,IF($X175&lt;Input!$F$73,IF($X175&lt;Input!$E$73,IF($X175&lt;Input!$D$73,Input!$C$79,Input!$D$79),Input!$E$79),Input!$F$79),Input!$G$79),Input!$H$79)</f>
        <v>0</v>
      </c>
      <c r="AL175" s="190">
        <f>IF($A175&lt;Input!$H$80,IF($A175&lt;Input!$G$80,IF($A175&lt;Input!$F$80,IF($A175&lt;Input!$E$80,IF($A175&lt;Input!$D$80,Input!$C$81,Input!$D$81),Input!$E$81),Input!$F$81),Input!$G$81),Input!$H$81)</f>
        <v>0.9</v>
      </c>
      <c r="AM175" s="60">
        <f t="shared" si="107"/>
        <v>0</v>
      </c>
      <c r="AN175" s="60">
        <f t="shared" si="108"/>
        <v>31</v>
      </c>
      <c r="AO175" s="60">
        <f t="shared" si="109"/>
        <v>0</v>
      </c>
      <c r="AP175" s="60">
        <f>ROUND(AO175*AN175*Input!$C$3/365,0)</f>
        <v>0</v>
      </c>
      <c r="AQ175" s="61">
        <f>IF($A175&lt;=Input!$C$6,0,IF('180M'!AM175&lt;'180M'!AO175,'180M'!AM175-AP175,'180M'!AO175))</f>
        <v>0</v>
      </c>
      <c r="AR175" s="61">
        <f t="shared" si="110"/>
        <v>0</v>
      </c>
      <c r="AS175" s="60">
        <f t="shared" si="111"/>
        <v>0</v>
      </c>
      <c r="AT175" s="193"/>
      <c r="AU175" s="169">
        <v>171</v>
      </c>
      <c r="AV175" s="1">
        <f t="shared" si="112"/>
        <v>50724</v>
      </c>
      <c r="AW175" s="60">
        <f>IF($X175&lt;Input!$H$88,IF($X175&lt;Input!$G$88,IF($X175&lt;Input!$F$88,IF($X175&lt;Input!$E$88,IF($X175&lt;Input!$D$88,Input!$C$94,Input!$D$94),Input!$E$94),Input!$F$94),Input!$G$94),Input!$H$94)</f>
        <v>0</v>
      </c>
      <c r="AX175" s="190">
        <f>IF($A175&lt;Input!$H$95,IF($A175&lt;Input!$G$95,IF($A175&lt;Input!$F$95,IF($A175&lt;Input!$E$95,IF($A175&lt;Input!$D$95,Input!$C$96,Input!$D$96),Input!$E$96),Input!$F$96),Input!$G$96),Input!$H$96)</f>
        <v>0.9</v>
      </c>
      <c r="AY175" s="60">
        <f t="shared" si="113"/>
        <v>0</v>
      </c>
      <c r="AZ175" s="60">
        <f t="shared" si="114"/>
        <v>31</v>
      </c>
      <c r="BA175" s="60">
        <f t="shared" si="115"/>
        <v>0</v>
      </c>
      <c r="BB175" s="60">
        <f>ROUND(BA175*AZ175*Input!$C$3/365,0)</f>
        <v>0</v>
      </c>
      <c r="BC175" s="61">
        <f>IF($A175&lt;=Input!$C$6,0,IF('180M'!AY175&lt;'180M'!BA175,'180M'!AY175-BB175,'180M'!BA175))</f>
        <v>0</v>
      </c>
      <c r="BD175" s="61">
        <f t="shared" si="116"/>
        <v>0</v>
      </c>
      <c r="BE175" s="60">
        <f t="shared" si="117"/>
        <v>0</v>
      </c>
      <c r="BF175" s="193"/>
      <c r="BG175" s="169">
        <v>171</v>
      </c>
      <c r="BH175" s="1">
        <f t="shared" si="118"/>
        <v>50724</v>
      </c>
      <c r="BI175" s="60">
        <f>IF($X175&lt;Input!$H$103,IF($X175&lt;Input!$G$103,IF($X175&lt;Input!$F$103,IF($X175&lt;Input!$E$103,IF($X175&lt;Input!$D$103,Input!$C$109,Input!$D$109),Input!$E$109),Input!$F$109),Input!$G$109),Input!$H$109)</f>
        <v>0</v>
      </c>
      <c r="BJ175" s="190">
        <f>IF($A175&lt;Input!$H$110,IF($A175&lt;Input!$G$110,IF($A175&lt;Input!$F$110,IF($A175&lt;Input!$E$110,IF($A175&lt;Input!$D$110,Input!$C$111,Input!$D$111),Input!$E$111),Input!$F$111),Input!$G$111),Input!$H$111)</f>
        <v>0.9</v>
      </c>
      <c r="BK175" s="60">
        <f t="shared" si="95"/>
        <v>0</v>
      </c>
      <c r="BL175" s="60">
        <f t="shared" si="119"/>
        <v>31</v>
      </c>
      <c r="BM175" s="60">
        <f t="shared" si="96"/>
        <v>0</v>
      </c>
      <c r="BN175" s="60">
        <f>ROUND(BM175*BL175*Input!$C$3/365,0)</f>
        <v>0</v>
      </c>
      <c r="BO175" s="61">
        <f>IF($A175&lt;=Input!$C$6,0,IF('180M'!BK175&lt;'180M'!BM175,'180M'!BK175-BN175,'180M'!BM175))</f>
        <v>0</v>
      </c>
      <c r="BP175" s="61">
        <f t="shared" si="97"/>
        <v>0</v>
      </c>
      <c r="BQ175" s="60">
        <f t="shared" si="98"/>
        <v>0</v>
      </c>
      <c r="BR175" s="198"/>
    </row>
    <row r="176" spans="1:70" x14ac:dyDescent="0.25">
      <c r="A176" s="169">
        <v>172</v>
      </c>
      <c r="B176" s="1">
        <f t="shared" si="99"/>
        <v>50754</v>
      </c>
      <c r="C176" s="60">
        <f t="shared" si="85"/>
        <v>33127052.878124986</v>
      </c>
      <c r="D176" s="60">
        <f t="shared" si="86"/>
        <v>29814347.590312488</v>
      </c>
      <c r="E176" s="60">
        <f t="shared" si="100"/>
        <v>30</v>
      </c>
      <c r="F176" s="60">
        <f t="shared" si="101"/>
        <v>252374966.3082571</v>
      </c>
      <c r="G176" s="60">
        <f>ROUND(F176*E176*Input!$C$3/365,0)</f>
        <v>3111472</v>
      </c>
      <c r="H176" s="60">
        <f>IF($A176&lt;=Input!$C$6,0,IF('180M'!D176&lt;'180M'!F176,'180M'!D176-G176,'180M'!F176))</f>
        <v>26702875.590312488</v>
      </c>
      <c r="I176" s="60">
        <f t="shared" si="102"/>
        <v>29814347.590312488</v>
      </c>
      <c r="J176" s="60">
        <f t="shared" si="103"/>
        <v>225672090.71794462</v>
      </c>
      <c r="K176" s="203">
        <f>J176/Input!$K$5</f>
        <v>0.75224030239314876</v>
      </c>
      <c r="L176" s="232"/>
      <c r="M176" s="60">
        <f>IF($B176&lt;Input!$H$43,IF($B176&lt;Input!$G$43,IF($B176&lt;Input!$F$43,IF($B176&lt;Input!$E$43,IF($B176&lt;Input!$D$43,Input!$C$49,Input!$D$49),Input!$E$49),Input!$F$49),Input!$G$49),Input!$H$49)</f>
        <v>33127052.878124986</v>
      </c>
      <c r="N176" s="190">
        <f>IF($A176&lt;Input!$H$50,IF($A176&lt;Input!$G$50,IF($A176&lt;Input!$F$50,IF($A176&lt;Input!$E$50,IF($A176&lt;Input!$D$50,Input!$C$51,Input!$D$51),Input!$E$51),Input!$F$51),Input!$G$51),Input!$H$51)</f>
        <v>0.9</v>
      </c>
      <c r="O176" s="60">
        <f t="shared" si="120"/>
        <v>29814347.590312488</v>
      </c>
      <c r="P176" s="60">
        <f t="shared" si="121"/>
        <v>30</v>
      </c>
      <c r="Q176" s="60">
        <f t="shared" si="88"/>
        <v>252374966.3082571</v>
      </c>
      <c r="R176" s="60">
        <f>ROUND(Q176*$P176*Input!$C$3/365,0)</f>
        <v>3111472</v>
      </c>
      <c r="S176" s="60">
        <f>IF(A176&lt;=Input!$C$6,0,IF('180M'!O176&lt;'180M'!Q176,'180M'!O176-R176,'180M'!Q176))</f>
        <v>26702875.590312488</v>
      </c>
      <c r="T176" s="60">
        <f t="shared" si="89"/>
        <v>29814347.590312488</v>
      </c>
      <c r="U176" s="60">
        <f t="shared" si="90"/>
        <v>225672090.71794462</v>
      </c>
      <c r="V176" s="193"/>
      <c r="W176" s="169">
        <v>172</v>
      </c>
      <c r="X176" s="1">
        <f t="shared" si="104"/>
        <v>50754</v>
      </c>
      <c r="Y176" s="60">
        <f>IF($X176&lt;Input!$H$58,IF($X176&lt;Input!$G$58,IF($X176&lt;Input!$F$58,IF($X176&lt;Input!$E$58,IF($X176&lt;Input!$D$58,Input!$C$64,Input!$D$64),Input!$E$64),Input!$F$64),Input!$G$64),Input!$H$64)</f>
        <v>0</v>
      </c>
      <c r="Z176" s="190">
        <f>IF($A176&lt;Input!$H$65,IF($A176&lt;Input!$G$65,IF($A176&lt;Input!$F$65,IF($A176&lt;Input!$E$65,IF($A176&lt;Input!$D$65,Input!$C$66,Input!$D$66),Input!$E$66),Input!$F$66),Input!$G$66),Input!$H$66)</f>
        <v>0.9</v>
      </c>
      <c r="AA176" s="60">
        <f t="shared" si="91"/>
        <v>0</v>
      </c>
      <c r="AB176" s="60">
        <f t="shared" si="105"/>
        <v>30</v>
      </c>
      <c r="AC176" s="60">
        <f t="shared" si="92"/>
        <v>0</v>
      </c>
      <c r="AD176" s="60">
        <f>ROUND(AC176*AB176*Input!$C$3/365,0)</f>
        <v>0</v>
      </c>
      <c r="AE176" s="61">
        <f>IF($A176&lt;=Input!$C$6,0,IF('180M'!AA176&lt;'180M'!AC176,'180M'!AA176-AD176,'180M'!AC176))</f>
        <v>0</v>
      </c>
      <c r="AF176" s="61">
        <f t="shared" si="93"/>
        <v>0</v>
      </c>
      <c r="AG176" s="60">
        <f t="shared" si="94"/>
        <v>0</v>
      </c>
      <c r="AH176" s="193"/>
      <c r="AI176" s="169">
        <v>172</v>
      </c>
      <c r="AJ176" s="1">
        <f t="shared" si="106"/>
        <v>50754</v>
      </c>
      <c r="AK176" s="60">
        <f>IF($X176&lt;Input!$H$73,IF($X176&lt;Input!$G$73,IF($X176&lt;Input!$F$73,IF($X176&lt;Input!$E$73,IF($X176&lt;Input!$D$73,Input!$C$79,Input!$D$79),Input!$E$79),Input!$F$79),Input!$G$79),Input!$H$79)</f>
        <v>0</v>
      </c>
      <c r="AL176" s="190">
        <f>IF($A176&lt;Input!$H$80,IF($A176&lt;Input!$G$80,IF($A176&lt;Input!$F$80,IF($A176&lt;Input!$E$80,IF($A176&lt;Input!$D$80,Input!$C$81,Input!$D$81),Input!$E$81),Input!$F$81),Input!$G$81),Input!$H$81)</f>
        <v>0.9</v>
      </c>
      <c r="AM176" s="60">
        <f t="shared" si="107"/>
        <v>0</v>
      </c>
      <c r="AN176" s="60">
        <f t="shared" si="108"/>
        <v>30</v>
      </c>
      <c r="AO176" s="60">
        <f t="shared" si="109"/>
        <v>0</v>
      </c>
      <c r="AP176" s="60">
        <f>ROUND(AO176*AN176*Input!$C$3/365,0)</f>
        <v>0</v>
      </c>
      <c r="AQ176" s="61">
        <f>IF($A176&lt;=Input!$C$6,0,IF('180M'!AM176&lt;'180M'!AO176,'180M'!AM176-AP176,'180M'!AO176))</f>
        <v>0</v>
      </c>
      <c r="AR176" s="61">
        <f t="shared" si="110"/>
        <v>0</v>
      </c>
      <c r="AS176" s="60">
        <f t="shared" si="111"/>
        <v>0</v>
      </c>
      <c r="AT176" s="193"/>
      <c r="AU176" s="169">
        <v>172</v>
      </c>
      <c r="AV176" s="1">
        <f t="shared" si="112"/>
        <v>50754</v>
      </c>
      <c r="AW176" s="60">
        <f>IF($X176&lt;Input!$H$88,IF($X176&lt;Input!$G$88,IF($X176&lt;Input!$F$88,IF($X176&lt;Input!$E$88,IF($X176&lt;Input!$D$88,Input!$C$94,Input!$D$94),Input!$E$94),Input!$F$94),Input!$G$94),Input!$H$94)</f>
        <v>0</v>
      </c>
      <c r="AX176" s="190">
        <f>IF($A176&lt;Input!$H$95,IF($A176&lt;Input!$G$95,IF($A176&lt;Input!$F$95,IF($A176&lt;Input!$E$95,IF($A176&lt;Input!$D$95,Input!$C$96,Input!$D$96),Input!$E$96),Input!$F$96),Input!$G$96),Input!$H$96)</f>
        <v>0.9</v>
      </c>
      <c r="AY176" s="60">
        <f t="shared" si="113"/>
        <v>0</v>
      </c>
      <c r="AZ176" s="60">
        <f t="shared" si="114"/>
        <v>30</v>
      </c>
      <c r="BA176" s="60">
        <f t="shared" si="115"/>
        <v>0</v>
      </c>
      <c r="BB176" s="60">
        <f>ROUND(BA176*AZ176*Input!$C$3/365,0)</f>
        <v>0</v>
      </c>
      <c r="BC176" s="61">
        <f>IF($A176&lt;=Input!$C$6,0,IF('180M'!AY176&lt;'180M'!BA176,'180M'!AY176-BB176,'180M'!BA176))</f>
        <v>0</v>
      </c>
      <c r="BD176" s="61">
        <f t="shared" si="116"/>
        <v>0</v>
      </c>
      <c r="BE176" s="60">
        <f t="shared" si="117"/>
        <v>0</v>
      </c>
      <c r="BF176" s="193"/>
      <c r="BG176" s="169">
        <v>172</v>
      </c>
      <c r="BH176" s="1">
        <f t="shared" si="118"/>
        <v>50754</v>
      </c>
      <c r="BI176" s="60">
        <f>IF($X176&lt;Input!$H$103,IF($X176&lt;Input!$G$103,IF($X176&lt;Input!$F$103,IF($X176&lt;Input!$E$103,IF($X176&lt;Input!$D$103,Input!$C$109,Input!$D$109),Input!$E$109),Input!$F$109),Input!$G$109),Input!$H$109)</f>
        <v>0</v>
      </c>
      <c r="BJ176" s="190">
        <f>IF($A176&lt;Input!$H$110,IF($A176&lt;Input!$G$110,IF($A176&lt;Input!$F$110,IF($A176&lt;Input!$E$110,IF($A176&lt;Input!$D$110,Input!$C$111,Input!$D$111),Input!$E$111),Input!$F$111),Input!$G$111),Input!$H$111)</f>
        <v>0.9</v>
      </c>
      <c r="BK176" s="60">
        <f t="shared" si="95"/>
        <v>0</v>
      </c>
      <c r="BL176" s="60">
        <f t="shared" si="119"/>
        <v>30</v>
      </c>
      <c r="BM176" s="60">
        <f t="shared" si="96"/>
        <v>0</v>
      </c>
      <c r="BN176" s="60">
        <f>ROUND(BM176*BL176*Input!$C$3/365,0)</f>
        <v>0</v>
      </c>
      <c r="BO176" s="61">
        <f>IF($A176&lt;=Input!$C$6,0,IF('180M'!BK176&lt;'180M'!BM176,'180M'!BK176-BN176,'180M'!BM176))</f>
        <v>0</v>
      </c>
      <c r="BP176" s="61">
        <f t="shared" si="97"/>
        <v>0</v>
      </c>
      <c r="BQ176" s="60">
        <f t="shared" si="98"/>
        <v>0</v>
      </c>
      <c r="BR176" s="198"/>
    </row>
    <row r="177" spans="1:70" x14ac:dyDescent="0.25">
      <c r="A177" s="169">
        <v>173</v>
      </c>
      <c r="B177" s="1">
        <f t="shared" si="99"/>
        <v>50785</v>
      </c>
      <c r="C177" s="60">
        <f t="shared" si="85"/>
        <v>33127052.878124986</v>
      </c>
      <c r="D177" s="60">
        <f t="shared" si="86"/>
        <v>29814347.590312488</v>
      </c>
      <c r="E177" s="60">
        <f t="shared" si="100"/>
        <v>31</v>
      </c>
      <c r="F177" s="60">
        <f t="shared" si="101"/>
        <v>225672090.71794462</v>
      </c>
      <c r="G177" s="60">
        <f>ROUND(F177*E177*Input!$C$3/365,0)</f>
        <v>2875001</v>
      </c>
      <c r="H177" s="60">
        <f>IF($A177&lt;=Input!$C$6,0,IF('180M'!D177&lt;'180M'!F177,'180M'!D177-G177,'180M'!F177))</f>
        <v>26939346.590312488</v>
      </c>
      <c r="I177" s="60">
        <f t="shared" si="102"/>
        <v>29814347.590312488</v>
      </c>
      <c r="J177" s="60">
        <f t="shared" si="103"/>
        <v>198732744.12763214</v>
      </c>
      <c r="K177" s="203">
        <f>J177/Input!$K$5</f>
        <v>0.66244248042544052</v>
      </c>
      <c r="L177" s="232"/>
      <c r="M177" s="60">
        <f>IF($B177&lt;Input!$H$43,IF($B177&lt;Input!$G$43,IF($B177&lt;Input!$F$43,IF($B177&lt;Input!$E$43,IF($B177&lt;Input!$D$43,Input!$C$49,Input!$D$49),Input!$E$49),Input!$F$49),Input!$G$49),Input!$H$49)</f>
        <v>33127052.878124986</v>
      </c>
      <c r="N177" s="190">
        <f>IF($A177&lt;Input!$H$50,IF($A177&lt;Input!$G$50,IF($A177&lt;Input!$F$50,IF($A177&lt;Input!$E$50,IF($A177&lt;Input!$D$50,Input!$C$51,Input!$D$51),Input!$E$51),Input!$F$51),Input!$G$51),Input!$H$51)</f>
        <v>0.9</v>
      </c>
      <c r="O177" s="60">
        <f t="shared" si="120"/>
        <v>29814347.590312488</v>
      </c>
      <c r="P177" s="60">
        <f t="shared" si="121"/>
        <v>31</v>
      </c>
      <c r="Q177" s="60">
        <f t="shared" si="88"/>
        <v>225672090.71794462</v>
      </c>
      <c r="R177" s="60">
        <f>ROUND(Q177*$P177*Input!$C$3/365,0)</f>
        <v>2875001</v>
      </c>
      <c r="S177" s="60">
        <f>IF(A177&lt;=Input!$C$6,0,IF('180M'!O177&lt;'180M'!Q177,'180M'!O177-R177,'180M'!Q177))</f>
        <v>26939346.590312488</v>
      </c>
      <c r="T177" s="60">
        <f t="shared" si="89"/>
        <v>29814347.590312488</v>
      </c>
      <c r="U177" s="60">
        <f t="shared" si="90"/>
        <v>198732744.12763214</v>
      </c>
      <c r="V177" s="193"/>
      <c r="W177" s="169">
        <v>173</v>
      </c>
      <c r="X177" s="1">
        <f t="shared" si="104"/>
        <v>50785</v>
      </c>
      <c r="Y177" s="60">
        <f>IF($X177&lt;Input!$H$58,IF($X177&lt;Input!$G$58,IF($X177&lt;Input!$F$58,IF($X177&lt;Input!$E$58,IF($X177&lt;Input!$D$58,Input!$C$64,Input!$D$64),Input!$E$64),Input!$F$64),Input!$G$64),Input!$H$64)</f>
        <v>0</v>
      </c>
      <c r="Z177" s="190">
        <f>IF($A177&lt;Input!$H$65,IF($A177&lt;Input!$G$65,IF($A177&lt;Input!$F$65,IF($A177&lt;Input!$E$65,IF($A177&lt;Input!$D$65,Input!$C$66,Input!$D$66),Input!$E$66),Input!$F$66),Input!$G$66),Input!$H$66)</f>
        <v>0.9</v>
      </c>
      <c r="AA177" s="60">
        <f t="shared" si="91"/>
        <v>0</v>
      </c>
      <c r="AB177" s="60">
        <f t="shared" si="105"/>
        <v>31</v>
      </c>
      <c r="AC177" s="60">
        <f t="shared" si="92"/>
        <v>0</v>
      </c>
      <c r="AD177" s="60">
        <f>ROUND(AC177*AB177*Input!$C$3/365,0)</f>
        <v>0</v>
      </c>
      <c r="AE177" s="61">
        <f>IF($A177&lt;=Input!$C$6,0,IF('180M'!AA177&lt;'180M'!AC177,'180M'!AA177-AD177,'180M'!AC177))</f>
        <v>0</v>
      </c>
      <c r="AF177" s="61">
        <f t="shared" si="93"/>
        <v>0</v>
      </c>
      <c r="AG177" s="60">
        <f t="shared" si="94"/>
        <v>0</v>
      </c>
      <c r="AH177" s="193"/>
      <c r="AI177" s="169">
        <v>173</v>
      </c>
      <c r="AJ177" s="1">
        <f t="shared" si="106"/>
        <v>50785</v>
      </c>
      <c r="AK177" s="60">
        <f>IF($X177&lt;Input!$H$73,IF($X177&lt;Input!$G$73,IF($X177&lt;Input!$F$73,IF($X177&lt;Input!$E$73,IF($X177&lt;Input!$D$73,Input!$C$79,Input!$D$79),Input!$E$79),Input!$F$79),Input!$G$79),Input!$H$79)</f>
        <v>0</v>
      </c>
      <c r="AL177" s="190">
        <f>IF($A177&lt;Input!$H$80,IF($A177&lt;Input!$G$80,IF($A177&lt;Input!$F$80,IF($A177&lt;Input!$E$80,IF($A177&lt;Input!$D$80,Input!$C$81,Input!$D$81),Input!$E$81),Input!$F$81),Input!$G$81),Input!$H$81)</f>
        <v>0.9</v>
      </c>
      <c r="AM177" s="60">
        <f t="shared" si="107"/>
        <v>0</v>
      </c>
      <c r="AN177" s="60">
        <f t="shared" si="108"/>
        <v>31</v>
      </c>
      <c r="AO177" s="60">
        <f t="shared" si="109"/>
        <v>0</v>
      </c>
      <c r="AP177" s="60">
        <f>ROUND(AO177*AN177*Input!$C$3/365,0)</f>
        <v>0</v>
      </c>
      <c r="AQ177" s="61">
        <f>IF($A177&lt;=Input!$C$6,0,IF('180M'!AM177&lt;'180M'!AO177,'180M'!AM177-AP177,'180M'!AO177))</f>
        <v>0</v>
      </c>
      <c r="AR177" s="61">
        <f t="shared" si="110"/>
        <v>0</v>
      </c>
      <c r="AS177" s="60">
        <f t="shared" si="111"/>
        <v>0</v>
      </c>
      <c r="AT177" s="193"/>
      <c r="AU177" s="169">
        <v>173</v>
      </c>
      <c r="AV177" s="1">
        <f t="shared" si="112"/>
        <v>50785</v>
      </c>
      <c r="AW177" s="60">
        <f>IF($X177&lt;Input!$H$88,IF($X177&lt;Input!$G$88,IF($X177&lt;Input!$F$88,IF($X177&lt;Input!$E$88,IF($X177&lt;Input!$D$88,Input!$C$94,Input!$D$94),Input!$E$94),Input!$F$94),Input!$G$94),Input!$H$94)</f>
        <v>0</v>
      </c>
      <c r="AX177" s="190">
        <f>IF($A177&lt;Input!$H$95,IF($A177&lt;Input!$G$95,IF($A177&lt;Input!$F$95,IF($A177&lt;Input!$E$95,IF($A177&lt;Input!$D$95,Input!$C$96,Input!$D$96),Input!$E$96),Input!$F$96),Input!$G$96),Input!$H$96)</f>
        <v>0.9</v>
      </c>
      <c r="AY177" s="60">
        <f t="shared" si="113"/>
        <v>0</v>
      </c>
      <c r="AZ177" s="60">
        <f t="shared" si="114"/>
        <v>31</v>
      </c>
      <c r="BA177" s="60">
        <f t="shared" si="115"/>
        <v>0</v>
      </c>
      <c r="BB177" s="60">
        <f>ROUND(BA177*AZ177*Input!$C$3/365,0)</f>
        <v>0</v>
      </c>
      <c r="BC177" s="61">
        <f>IF($A177&lt;=Input!$C$6,0,IF('180M'!AY177&lt;'180M'!BA177,'180M'!AY177-BB177,'180M'!BA177))</f>
        <v>0</v>
      </c>
      <c r="BD177" s="61">
        <f t="shared" si="116"/>
        <v>0</v>
      </c>
      <c r="BE177" s="60">
        <f t="shared" si="117"/>
        <v>0</v>
      </c>
      <c r="BF177" s="193"/>
      <c r="BG177" s="169">
        <v>173</v>
      </c>
      <c r="BH177" s="1">
        <f t="shared" si="118"/>
        <v>50785</v>
      </c>
      <c r="BI177" s="60">
        <f>IF($X177&lt;Input!$H$103,IF($X177&lt;Input!$G$103,IF($X177&lt;Input!$F$103,IF($X177&lt;Input!$E$103,IF($X177&lt;Input!$D$103,Input!$C$109,Input!$D$109),Input!$E$109),Input!$F$109),Input!$G$109),Input!$H$109)</f>
        <v>0</v>
      </c>
      <c r="BJ177" s="190">
        <f>IF($A177&lt;Input!$H$110,IF($A177&lt;Input!$G$110,IF($A177&lt;Input!$F$110,IF($A177&lt;Input!$E$110,IF($A177&lt;Input!$D$110,Input!$C$111,Input!$D$111),Input!$E$111),Input!$F$111),Input!$G$111),Input!$H$111)</f>
        <v>0.9</v>
      </c>
      <c r="BK177" s="60">
        <f t="shared" si="95"/>
        <v>0</v>
      </c>
      <c r="BL177" s="60">
        <f t="shared" si="119"/>
        <v>31</v>
      </c>
      <c r="BM177" s="60">
        <f t="shared" si="96"/>
        <v>0</v>
      </c>
      <c r="BN177" s="60">
        <f>ROUND(BM177*BL177*Input!$C$3/365,0)</f>
        <v>0</v>
      </c>
      <c r="BO177" s="61">
        <f>IF($A177&lt;=Input!$C$6,0,IF('180M'!BK177&lt;'180M'!BM177,'180M'!BK177-BN177,'180M'!BM177))</f>
        <v>0</v>
      </c>
      <c r="BP177" s="61">
        <f t="shared" si="97"/>
        <v>0</v>
      </c>
      <c r="BQ177" s="60">
        <f t="shared" si="98"/>
        <v>0</v>
      </c>
      <c r="BR177" s="198"/>
    </row>
    <row r="178" spans="1:70" x14ac:dyDescent="0.25">
      <c r="A178" s="169">
        <v>174</v>
      </c>
      <c r="B178" s="1">
        <f t="shared" si="99"/>
        <v>50816</v>
      </c>
      <c r="C178" s="60">
        <f t="shared" si="85"/>
        <v>33127052.878124986</v>
      </c>
      <c r="D178" s="60">
        <f t="shared" si="86"/>
        <v>29814347.590312488</v>
      </c>
      <c r="E178" s="60">
        <f t="shared" si="100"/>
        <v>31</v>
      </c>
      <c r="F178" s="60">
        <f t="shared" si="101"/>
        <v>198732744.12763214</v>
      </c>
      <c r="G178" s="60">
        <f>ROUND(F178*E178*Input!$C$3/365,0)</f>
        <v>2531801</v>
      </c>
      <c r="H178" s="60">
        <f>IF($A178&lt;=Input!$C$6,0,IF('180M'!D178&lt;'180M'!F178,'180M'!D178-G178,'180M'!F178))</f>
        <v>27282546.590312488</v>
      </c>
      <c r="I178" s="60">
        <f t="shared" si="102"/>
        <v>29814347.590312488</v>
      </c>
      <c r="J178" s="60">
        <f t="shared" si="103"/>
        <v>171450197.53731966</v>
      </c>
      <c r="K178" s="203">
        <f>J178/Input!$K$5</f>
        <v>0.57150065845773224</v>
      </c>
      <c r="L178" s="232"/>
      <c r="M178" s="60">
        <f>IF($B178&lt;Input!$H$43,IF($B178&lt;Input!$G$43,IF($B178&lt;Input!$F$43,IF($B178&lt;Input!$E$43,IF($B178&lt;Input!$D$43,Input!$C$49,Input!$D$49),Input!$E$49),Input!$F$49),Input!$G$49),Input!$H$49)</f>
        <v>33127052.878124986</v>
      </c>
      <c r="N178" s="190">
        <f>IF($A178&lt;Input!$H$50,IF($A178&lt;Input!$G$50,IF($A178&lt;Input!$F$50,IF($A178&lt;Input!$E$50,IF($A178&lt;Input!$D$50,Input!$C$51,Input!$D$51),Input!$E$51),Input!$F$51),Input!$G$51),Input!$H$51)</f>
        <v>0.9</v>
      </c>
      <c r="O178" s="60">
        <f t="shared" si="120"/>
        <v>29814347.590312488</v>
      </c>
      <c r="P178" s="60">
        <f t="shared" si="121"/>
        <v>31</v>
      </c>
      <c r="Q178" s="60">
        <f t="shared" si="88"/>
        <v>198732744.12763214</v>
      </c>
      <c r="R178" s="60">
        <f>ROUND(Q178*$P178*Input!$C$3/365,0)</f>
        <v>2531801</v>
      </c>
      <c r="S178" s="60">
        <f>IF(A178&lt;=Input!$C$6,0,IF('180M'!O178&lt;'180M'!Q178,'180M'!O178-R178,'180M'!Q178))</f>
        <v>27282546.590312488</v>
      </c>
      <c r="T178" s="60">
        <f t="shared" si="89"/>
        <v>29814347.590312488</v>
      </c>
      <c r="U178" s="60">
        <f t="shared" si="90"/>
        <v>171450197.53731966</v>
      </c>
      <c r="V178" s="193"/>
      <c r="W178" s="169">
        <v>174</v>
      </c>
      <c r="X178" s="1">
        <f t="shared" si="104"/>
        <v>50816</v>
      </c>
      <c r="Y178" s="60">
        <f>IF($X178&lt;Input!$H$58,IF($X178&lt;Input!$G$58,IF($X178&lt;Input!$F$58,IF($X178&lt;Input!$E$58,IF($X178&lt;Input!$D$58,Input!$C$64,Input!$D$64),Input!$E$64),Input!$F$64),Input!$G$64),Input!$H$64)</f>
        <v>0</v>
      </c>
      <c r="Z178" s="190">
        <f>IF($A178&lt;Input!$H$65,IF($A178&lt;Input!$G$65,IF($A178&lt;Input!$F$65,IF($A178&lt;Input!$E$65,IF($A178&lt;Input!$D$65,Input!$C$66,Input!$D$66),Input!$E$66),Input!$F$66),Input!$G$66),Input!$H$66)</f>
        <v>0.9</v>
      </c>
      <c r="AA178" s="60">
        <f t="shared" si="91"/>
        <v>0</v>
      </c>
      <c r="AB178" s="60">
        <f t="shared" si="105"/>
        <v>31</v>
      </c>
      <c r="AC178" s="60">
        <f t="shared" si="92"/>
        <v>0</v>
      </c>
      <c r="AD178" s="60">
        <f>ROUND(AC178*AB178*Input!$C$3/365,0)</f>
        <v>0</v>
      </c>
      <c r="AE178" s="61">
        <f>IF($A178&lt;=Input!$C$6,0,IF('180M'!AA178&lt;'180M'!AC178,'180M'!AA178-AD178,'180M'!AC178))</f>
        <v>0</v>
      </c>
      <c r="AF178" s="61">
        <f t="shared" si="93"/>
        <v>0</v>
      </c>
      <c r="AG178" s="60">
        <f t="shared" si="94"/>
        <v>0</v>
      </c>
      <c r="AH178" s="193"/>
      <c r="AI178" s="169">
        <v>174</v>
      </c>
      <c r="AJ178" s="1">
        <f t="shared" si="106"/>
        <v>50816</v>
      </c>
      <c r="AK178" s="60">
        <f>IF($X178&lt;Input!$H$73,IF($X178&lt;Input!$G$73,IF($X178&lt;Input!$F$73,IF($X178&lt;Input!$E$73,IF($X178&lt;Input!$D$73,Input!$C$79,Input!$D$79),Input!$E$79),Input!$F$79),Input!$G$79),Input!$H$79)</f>
        <v>0</v>
      </c>
      <c r="AL178" s="190">
        <f>IF($A178&lt;Input!$H$80,IF($A178&lt;Input!$G$80,IF($A178&lt;Input!$F$80,IF($A178&lt;Input!$E$80,IF($A178&lt;Input!$D$80,Input!$C$81,Input!$D$81),Input!$E$81),Input!$F$81),Input!$G$81),Input!$H$81)</f>
        <v>0.9</v>
      </c>
      <c r="AM178" s="60">
        <f t="shared" si="107"/>
        <v>0</v>
      </c>
      <c r="AN178" s="60">
        <f t="shared" si="108"/>
        <v>31</v>
      </c>
      <c r="AO178" s="60">
        <f t="shared" si="109"/>
        <v>0</v>
      </c>
      <c r="AP178" s="60">
        <f>ROUND(AO178*AN178*Input!$C$3/365,0)</f>
        <v>0</v>
      </c>
      <c r="AQ178" s="61">
        <f>IF($A178&lt;=Input!$C$6,0,IF('180M'!AM178&lt;'180M'!AO178,'180M'!AM178-AP178,'180M'!AO178))</f>
        <v>0</v>
      </c>
      <c r="AR178" s="61">
        <f t="shared" si="110"/>
        <v>0</v>
      </c>
      <c r="AS178" s="60">
        <f t="shared" si="111"/>
        <v>0</v>
      </c>
      <c r="AT178" s="193"/>
      <c r="AU178" s="169">
        <v>174</v>
      </c>
      <c r="AV178" s="1">
        <f t="shared" si="112"/>
        <v>50816</v>
      </c>
      <c r="AW178" s="60">
        <f>IF($X178&lt;Input!$H$88,IF($X178&lt;Input!$G$88,IF($X178&lt;Input!$F$88,IF($X178&lt;Input!$E$88,IF($X178&lt;Input!$D$88,Input!$C$94,Input!$D$94),Input!$E$94),Input!$F$94),Input!$G$94),Input!$H$94)</f>
        <v>0</v>
      </c>
      <c r="AX178" s="190">
        <f>IF($A178&lt;Input!$H$95,IF($A178&lt;Input!$G$95,IF($A178&lt;Input!$F$95,IF($A178&lt;Input!$E$95,IF($A178&lt;Input!$D$95,Input!$C$96,Input!$D$96),Input!$E$96),Input!$F$96),Input!$G$96),Input!$H$96)</f>
        <v>0.9</v>
      </c>
      <c r="AY178" s="60">
        <f t="shared" si="113"/>
        <v>0</v>
      </c>
      <c r="AZ178" s="60">
        <f t="shared" si="114"/>
        <v>31</v>
      </c>
      <c r="BA178" s="60">
        <f t="shared" si="115"/>
        <v>0</v>
      </c>
      <c r="BB178" s="60">
        <f>ROUND(BA178*AZ178*Input!$C$3/365,0)</f>
        <v>0</v>
      </c>
      <c r="BC178" s="61">
        <f>IF($A178&lt;=Input!$C$6,0,IF('180M'!AY178&lt;'180M'!BA178,'180M'!AY178-BB178,'180M'!BA178))</f>
        <v>0</v>
      </c>
      <c r="BD178" s="61">
        <f t="shared" si="116"/>
        <v>0</v>
      </c>
      <c r="BE178" s="60">
        <f t="shared" si="117"/>
        <v>0</v>
      </c>
      <c r="BF178" s="193"/>
      <c r="BG178" s="169">
        <v>174</v>
      </c>
      <c r="BH178" s="1">
        <f t="shared" si="118"/>
        <v>50816</v>
      </c>
      <c r="BI178" s="60">
        <f>IF($X178&lt;Input!$H$103,IF($X178&lt;Input!$G$103,IF($X178&lt;Input!$F$103,IF($X178&lt;Input!$E$103,IF($X178&lt;Input!$D$103,Input!$C$109,Input!$D$109),Input!$E$109),Input!$F$109),Input!$G$109),Input!$H$109)</f>
        <v>0</v>
      </c>
      <c r="BJ178" s="190">
        <f>IF($A178&lt;Input!$H$110,IF($A178&lt;Input!$G$110,IF($A178&lt;Input!$F$110,IF($A178&lt;Input!$E$110,IF($A178&lt;Input!$D$110,Input!$C$111,Input!$D$111),Input!$E$111),Input!$F$111),Input!$G$111),Input!$H$111)</f>
        <v>0.9</v>
      </c>
      <c r="BK178" s="60">
        <f t="shared" si="95"/>
        <v>0</v>
      </c>
      <c r="BL178" s="60">
        <f t="shared" si="119"/>
        <v>31</v>
      </c>
      <c r="BM178" s="60">
        <f t="shared" si="96"/>
        <v>0</v>
      </c>
      <c r="BN178" s="60">
        <f>ROUND(BM178*BL178*Input!$C$3/365,0)</f>
        <v>0</v>
      </c>
      <c r="BO178" s="61">
        <f>IF($A178&lt;=Input!$C$6,0,IF('180M'!BK178&lt;'180M'!BM178,'180M'!BK178-BN178,'180M'!BM178))</f>
        <v>0</v>
      </c>
      <c r="BP178" s="61">
        <f t="shared" si="97"/>
        <v>0</v>
      </c>
      <c r="BQ178" s="60">
        <f t="shared" si="98"/>
        <v>0</v>
      </c>
      <c r="BR178" s="198"/>
    </row>
    <row r="179" spans="1:70" x14ac:dyDescent="0.25">
      <c r="A179" s="169">
        <v>175</v>
      </c>
      <c r="B179" s="1">
        <f t="shared" si="99"/>
        <v>50844</v>
      </c>
      <c r="C179" s="60">
        <f t="shared" si="85"/>
        <v>33127052.878124986</v>
      </c>
      <c r="D179" s="60">
        <f t="shared" si="86"/>
        <v>29814347.590312488</v>
      </c>
      <c r="E179" s="60">
        <f t="shared" si="100"/>
        <v>28</v>
      </c>
      <c r="F179" s="60">
        <f t="shared" si="101"/>
        <v>171450197.53731966</v>
      </c>
      <c r="G179" s="60">
        <f>ROUND(F179*E179*Input!$C$3/365,0)</f>
        <v>1972852</v>
      </c>
      <c r="H179" s="60">
        <f>IF($A179&lt;=Input!$C$6,0,IF('180M'!D179&lt;'180M'!F179,'180M'!D179-G179,'180M'!F179))</f>
        <v>27841495.590312488</v>
      </c>
      <c r="I179" s="60">
        <f t="shared" si="102"/>
        <v>29814347.590312488</v>
      </c>
      <c r="J179" s="60">
        <f t="shared" si="103"/>
        <v>143608701.94700718</v>
      </c>
      <c r="K179" s="203">
        <f>J179/Input!$K$5</f>
        <v>0.47869567315669059</v>
      </c>
      <c r="L179" s="232"/>
      <c r="M179" s="60">
        <f>IF($B179&lt;Input!$H$43,IF($B179&lt;Input!$G$43,IF($B179&lt;Input!$F$43,IF($B179&lt;Input!$E$43,IF($B179&lt;Input!$D$43,Input!$C$49,Input!$D$49),Input!$E$49),Input!$F$49),Input!$G$49),Input!$H$49)</f>
        <v>33127052.878124986</v>
      </c>
      <c r="N179" s="190">
        <f>IF($A179&lt;Input!$H$50,IF($A179&lt;Input!$G$50,IF($A179&lt;Input!$F$50,IF($A179&lt;Input!$E$50,IF($A179&lt;Input!$D$50,Input!$C$51,Input!$D$51),Input!$E$51),Input!$F$51),Input!$G$51),Input!$H$51)</f>
        <v>0.9</v>
      </c>
      <c r="O179" s="60">
        <f t="shared" si="120"/>
        <v>29814347.590312488</v>
      </c>
      <c r="P179" s="60">
        <f t="shared" si="121"/>
        <v>28</v>
      </c>
      <c r="Q179" s="60">
        <f t="shared" si="88"/>
        <v>171450197.53731966</v>
      </c>
      <c r="R179" s="60">
        <f>ROUND(Q179*$P179*Input!$C$3/365,0)</f>
        <v>1972852</v>
      </c>
      <c r="S179" s="60">
        <f>IF(A179&lt;=Input!$C$6,0,IF('180M'!O179&lt;'180M'!Q179,'180M'!O179-R179,'180M'!Q179))</f>
        <v>27841495.590312488</v>
      </c>
      <c r="T179" s="60">
        <f t="shared" si="89"/>
        <v>29814347.590312488</v>
      </c>
      <c r="U179" s="60">
        <f t="shared" si="90"/>
        <v>143608701.94700718</v>
      </c>
      <c r="V179" s="193"/>
      <c r="W179" s="169">
        <v>175</v>
      </c>
      <c r="X179" s="1">
        <f t="shared" si="104"/>
        <v>50844</v>
      </c>
      <c r="Y179" s="60">
        <f>IF($X179&lt;Input!$H$58,IF($X179&lt;Input!$G$58,IF($X179&lt;Input!$F$58,IF($X179&lt;Input!$E$58,IF($X179&lt;Input!$D$58,Input!$C$64,Input!$D$64),Input!$E$64),Input!$F$64),Input!$G$64),Input!$H$64)</f>
        <v>0</v>
      </c>
      <c r="Z179" s="190">
        <f>IF($A179&lt;Input!$H$65,IF($A179&lt;Input!$G$65,IF($A179&lt;Input!$F$65,IF($A179&lt;Input!$E$65,IF($A179&lt;Input!$D$65,Input!$C$66,Input!$D$66),Input!$E$66),Input!$F$66),Input!$G$66),Input!$H$66)</f>
        <v>0.9</v>
      </c>
      <c r="AA179" s="60">
        <f t="shared" si="91"/>
        <v>0</v>
      </c>
      <c r="AB179" s="60">
        <f t="shared" si="105"/>
        <v>28</v>
      </c>
      <c r="AC179" s="60">
        <f t="shared" si="92"/>
        <v>0</v>
      </c>
      <c r="AD179" s="60">
        <f>ROUND(AC179*AB179*Input!$C$3/365,0)</f>
        <v>0</v>
      </c>
      <c r="AE179" s="61">
        <f>IF($A179&lt;=Input!$C$6,0,IF('180M'!AA179&lt;'180M'!AC179,'180M'!AA179-AD179,'180M'!AC179))</f>
        <v>0</v>
      </c>
      <c r="AF179" s="61">
        <f t="shared" si="93"/>
        <v>0</v>
      </c>
      <c r="AG179" s="60">
        <f t="shared" si="94"/>
        <v>0</v>
      </c>
      <c r="AH179" s="193"/>
      <c r="AI179" s="169">
        <v>175</v>
      </c>
      <c r="AJ179" s="1">
        <f t="shared" si="106"/>
        <v>50844</v>
      </c>
      <c r="AK179" s="60">
        <f>IF($X179&lt;Input!$H$73,IF($X179&lt;Input!$G$73,IF($X179&lt;Input!$F$73,IF($X179&lt;Input!$E$73,IF($X179&lt;Input!$D$73,Input!$C$79,Input!$D$79),Input!$E$79),Input!$F$79),Input!$G$79),Input!$H$79)</f>
        <v>0</v>
      </c>
      <c r="AL179" s="190">
        <f>IF($A179&lt;Input!$H$80,IF($A179&lt;Input!$G$80,IF($A179&lt;Input!$F$80,IF($A179&lt;Input!$E$80,IF($A179&lt;Input!$D$80,Input!$C$81,Input!$D$81),Input!$E$81),Input!$F$81),Input!$G$81),Input!$H$81)</f>
        <v>0.9</v>
      </c>
      <c r="AM179" s="60">
        <f t="shared" si="107"/>
        <v>0</v>
      </c>
      <c r="AN179" s="60">
        <f t="shared" si="108"/>
        <v>28</v>
      </c>
      <c r="AO179" s="60">
        <f t="shared" si="109"/>
        <v>0</v>
      </c>
      <c r="AP179" s="60">
        <f>ROUND(AO179*AN179*Input!$C$3/365,0)</f>
        <v>0</v>
      </c>
      <c r="AQ179" s="61">
        <f>IF($A179&lt;=Input!$C$6,0,IF('180M'!AM179&lt;'180M'!AO179,'180M'!AM179-AP179,'180M'!AO179))</f>
        <v>0</v>
      </c>
      <c r="AR179" s="61">
        <f t="shared" si="110"/>
        <v>0</v>
      </c>
      <c r="AS179" s="60">
        <f t="shared" si="111"/>
        <v>0</v>
      </c>
      <c r="AT179" s="193"/>
      <c r="AU179" s="169">
        <v>175</v>
      </c>
      <c r="AV179" s="1">
        <f t="shared" si="112"/>
        <v>50844</v>
      </c>
      <c r="AW179" s="60">
        <f>IF($X179&lt;Input!$H$88,IF($X179&lt;Input!$G$88,IF($X179&lt;Input!$F$88,IF($X179&lt;Input!$E$88,IF($X179&lt;Input!$D$88,Input!$C$94,Input!$D$94),Input!$E$94),Input!$F$94),Input!$G$94),Input!$H$94)</f>
        <v>0</v>
      </c>
      <c r="AX179" s="190">
        <f>IF($A179&lt;Input!$H$95,IF($A179&lt;Input!$G$95,IF($A179&lt;Input!$F$95,IF($A179&lt;Input!$E$95,IF($A179&lt;Input!$D$95,Input!$C$96,Input!$D$96),Input!$E$96),Input!$F$96),Input!$G$96),Input!$H$96)</f>
        <v>0.9</v>
      </c>
      <c r="AY179" s="60">
        <f t="shared" si="113"/>
        <v>0</v>
      </c>
      <c r="AZ179" s="60">
        <f t="shared" si="114"/>
        <v>28</v>
      </c>
      <c r="BA179" s="60">
        <f t="shared" si="115"/>
        <v>0</v>
      </c>
      <c r="BB179" s="60">
        <f>ROUND(BA179*AZ179*Input!$C$3/365,0)</f>
        <v>0</v>
      </c>
      <c r="BC179" s="61">
        <f>IF($A179&lt;=Input!$C$6,0,IF('180M'!AY179&lt;'180M'!BA179,'180M'!AY179-BB179,'180M'!BA179))</f>
        <v>0</v>
      </c>
      <c r="BD179" s="61">
        <f t="shared" si="116"/>
        <v>0</v>
      </c>
      <c r="BE179" s="60">
        <f t="shared" si="117"/>
        <v>0</v>
      </c>
      <c r="BF179" s="193"/>
      <c r="BG179" s="169">
        <v>175</v>
      </c>
      <c r="BH179" s="1">
        <f t="shared" si="118"/>
        <v>50844</v>
      </c>
      <c r="BI179" s="60">
        <f>IF($X179&lt;Input!$H$103,IF($X179&lt;Input!$G$103,IF($X179&lt;Input!$F$103,IF($X179&lt;Input!$E$103,IF($X179&lt;Input!$D$103,Input!$C$109,Input!$D$109),Input!$E$109),Input!$F$109),Input!$G$109),Input!$H$109)</f>
        <v>0</v>
      </c>
      <c r="BJ179" s="190">
        <f>IF($A179&lt;Input!$H$110,IF($A179&lt;Input!$G$110,IF($A179&lt;Input!$F$110,IF($A179&lt;Input!$E$110,IF($A179&lt;Input!$D$110,Input!$C$111,Input!$D$111),Input!$E$111),Input!$F$111),Input!$G$111),Input!$H$111)</f>
        <v>0.9</v>
      </c>
      <c r="BK179" s="60">
        <f t="shared" si="95"/>
        <v>0</v>
      </c>
      <c r="BL179" s="60">
        <f t="shared" si="119"/>
        <v>28</v>
      </c>
      <c r="BM179" s="60">
        <f t="shared" si="96"/>
        <v>0</v>
      </c>
      <c r="BN179" s="60">
        <f>ROUND(BM179*BL179*Input!$C$3/365,0)</f>
        <v>0</v>
      </c>
      <c r="BO179" s="61">
        <f>IF($A179&lt;=Input!$C$6,0,IF('180M'!BK179&lt;'180M'!BM179,'180M'!BK179-BN179,'180M'!BM179))</f>
        <v>0</v>
      </c>
      <c r="BP179" s="61">
        <f t="shared" si="97"/>
        <v>0</v>
      </c>
      <c r="BQ179" s="60">
        <f t="shared" si="98"/>
        <v>0</v>
      </c>
      <c r="BR179" s="198"/>
    </row>
    <row r="180" spans="1:70" x14ac:dyDescent="0.25">
      <c r="A180" s="169">
        <v>176</v>
      </c>
      <c r="B180" s="1">
        <f t="shared" si="99"/>
        <v>50875</v>
      </c>
      <c r="C180" s="60">
        <f t="shared" si="85"/>
        <v>33127052.878124986</v>
      </c>
      <c r="D180" s="60">
        <f t="shared" si="86"/>
        <v>29814347.590312488</v>
      </c>
      <c r="E180" s="60">
        <f t="shared" si="100"/>
        <v>31</v>
      </c>
      <c r="F180" s="60">
        <f t="shared" si="101"/>
        <v>143608701.94700718</v>
      </c>
      <c r="G180" s="60">
        <f>ROUND(F180*E180*Input!$C$3/365,0)</f>
        <v>1829536</v>
      </c>
      <c r="H180" s="60">
        <f>IF($A180&lt;=Input!$C$6,0,IF('180M'!D180&lt;'180M'!F180,'180M'!D180-G180,'180M'!F180))</f>
        <v>27984811.590312488</v>
      </c>
      <c r="I180" s="60">
        <f t="shared" si="102"/>
        <v>29814347.590312488</v>
      </c>
      <c r="J180" s="60">
        <f t="shared" si="103"/>
        <v>115623890.3566947</v>
      </c>
      <c r="K180" s="203">
        <f>J180/Input!$K$5</f>
        <v>0.38541296785564899</v>
      </c>
      <c r="L180" s="232"/>
      <c r="M180" s="60">
        <f>IF($B180&lt;Input!$H$43,IF($B180&lt;Input!$G$43,IF($B180&lt;Input!$F$43,IF($B180&lt;Input!$E$43,IF($B180&lt;Input!$D$43,Input!$C$49,Input!$D$49),Input!$E$49),Input!$F$49),Input!$G$49),Input!$H$49)</f>
        <v>33127052.878124986</v>
      </c>
      <c r="N180" s="190">
        <f>IF($A180&lt;Input!$H$50,IF($A180&lt;Input!$G$50,IF($A180&lt;Input!$F$50,IF($A180&lt;Input!$E$50,IF($A180&lt;Input!$D$50,Input!$C$51,Input!$D$51),Input!$E$51),Input!$F$51),Input!$G$51),Input!$H$51)</f>
        <v>0.9</v>
      </c>
      <c r="O180" s="60">
        <f t="shared" si="120"/>
        <v>29814347.590312488</v>
      </c>
      <c r="P180" s="60">
        <f t="shared" si="121"/>
        <v>31</v>
      </c>
      <c r="Q180" s="60">
        <f t="shared" si="88"/>
        <v>143608701.94700718</v>
      </c>
      <c r="R180" s="60">
        <f>ROUND(Q180*$P180*Input!$C$3/365,0)</f>
        <v>1829536</v>
      </c>
      <c r="S180" s="60">
        <f>IF(A180&lt;=Input!$C$6,0,IF('180M'!O180&lt;'180M'!Q180,'180M'!O180-R180,'180M'!Q180))</f>
        <v>27984811.590312488</v>
      </c>
      <c r="T180" s="60">
        <f t="shared" si="89"/>
        <v>29814347.590312488</v>
      </c>
      <c r="U180" s="60">
        <f t="shared" si="90"/>
        <v>115623890.3566947</v>
      </c>
      <c r="V180" s="193"/>
      <c r="W180" s="169">
        <v>176</v>
      </c>
      <c r="X180" s="1">
        <f t="shared" si="104"/>
        <v>50875</v>
      </c>
      <c r="Y180" s="60">
        <f>IF($X180&lt;Input!$H$58,IF($X180&lt;Input!$G$58,IF($X180&lt;Input!$F$58,IF($X180&lt;Input!$E$58,IF($X180&lt;Input!$D$58,Input!$C$64,Input!$D$64),Input!$E$64),Input!$F$64),Input!$G$64),Input!$H$64)</f>
        <v>0</v>
      </c>
      <c r="Z180" s="190">
        <f>IF($A180&lt;Input!$H$65,IF($A180&lt;Input!$G$65,IF($A180&lt;Input!$F$65,IF($A180&lt;Input!$E$65,IF($A180&lt;Input!$D$65,Input!$C$66,Input!$D$66),Input!$E$66),Input!$F$66),Input!$G$66),Input!$H$66)</f>
        <v>0.9</v>
      </c>
      <c r="AA180" s="60">
        <f t="shared" si="91"/>
        <v>0</v>
      </c>
      <c r="AB180" s="60">
        <f t="shared" si="105"/>
        <v>31</v>
      </c>
      <c r="AC180" s="60">
        <f t="shared" si="92"/>
        <v>0</v>
      </c>
      <c r="AD180" s="60">
        <f>ROUND(AC180*AB180*Input!$C$3/365,0)</f>
        <v>0</v>
      </c>
      <c r="AE180" s="61">
        <f>IF($A180&lt;=Input!$C$6,0,IF('180M'!AA180&lt;'180M'!AC180,'180M'!AA180-AD180,'180M'!AC180))</f>
        <v>0</v>
      </c>
      <c r="AF180" s="61">
        <f t="shared" si="93"/>
        <v>0</v>
      </c>
      <c r="AG180" s="60">
        <f t="shared" si="94"/>
        <v>0</v>
      </c>
      <c r="AH180" s="193"/>
      <c r="AI180" s="169">
        <v>176</v>
      </c>
      <c r="AJ180" s="1">
        <f t="shared" si="106"/>
        <v>50875</v>
      </c>
      <c r="AK180" s="60">
        <f>IF($X180&lt;Input!$H$73,IF($X180&lt;Input!$G$73,IF($X180&lt;Input!$F$73,IF($X180&lt;Input!$E$73,IF($X180&lt;Input!$D$73,Input!$C$79,Input!$D$79),Input!$E$79),Input!$F$79),Input!$G$79),Input!$H$79)</f>
        <v>0</v>
      </c>
      <c r="AL180" s="190">
        <f>IF($A180&lt;Input!$H$80,IF($A180&lt;Input!$G$80,IF($A180&lt;Input!$F$80,IF($A180&lt;Input!$E$80,IF($A180&lt;Input!$D$80,Input!$C$81,Input!$D$81),Input!$E$81),Input!$F$81),Input!$G$81),Input!$H$81)</f>
        <v>0.9</v>
      </c>
      <c r="AM180" s="60">
        <f t="shared" si="107"/>
        <v>0</v>
      </c>
      <c r="AN180" s="60">
        <f t="shared" si="108"/>
        <v>31</v>
      </c>
      <c r="AO180" s="60">
        <f t="shared" si="109"/>
        <v>0</v>
      </c>
      <c r="AP180" s="60">
        <f>ROUND(AO180*AN180*Input!$C$3/365,0)</f>
        <v>0</v>
      </c>
      <c r="AQ180" s="61">
        <f>IF($A180&lt;=Input!$C$6,0,IF('180M'!AM180&lt;'180M'!AO180,'180M'!AM180-AP180,'180M'!AO180))</f>
        <v>0</v>
      </c>
      <c r="AR180" s="61">
        <f t="shared" si="110"/>
        <v>0</v>
      </c>
      <c r="AS180" s="60">
        <f t="shared" si="111"/>
        <v>0</v>
      </c>
      <c r="AT180" s="193"/>
      <c r="AU180" s="169">
        <v>176</v>
      </c>
      <c r="AV180" s="1">
        <f t="shared" si="112"/>
        <v>50875</v>
      </c>
      <c r="AW180" s="60">
        <f>IF($X180&lt;Input!$H$88,IF($X180&lt;Input!$G$88,IF($X180&lt;Input!$F$88,IF($X180&lt;Input!$E$88,IF($X180&lt;Input!$D$88,Input!$C$94,Input!$D$94),Input!$E$94),Input!$F$94),Input!$G$94),Input!$H$94)</f>
        <v>0</v>
      </c>
      <c r="AX180" s="190">
        <f>IF($A180&lt;Input!$H$95,IF($A180&lt;Input!$G$95,IF($A180&lt;Input!$F$95,IF($A180&lt;Input!$E$95,IF($A180&lt;Input!$D$95,Input!$C$96,Input!$D$96),Input!$E$96),Input!$F$96),Input!$G$96),Input!$H$96)</f>
        <v>0.9</v>
      </c>
      <c r="AY180" s="60">
        <f t="shared" si="113"/>
        <v>0</v>
      </c>
      <c r="AZ180" s="60">
        <f t="shared" si="114"/>
        <v>31</v>
      </c>
      <c r="BA180" s="60">
        <f t="shared" si="115"/>
        <v>0</v>
      </c>
      <c r="BB180" s="60">
        <f>ROUND(BA180*AZ180*Input!$C$3/365,0)</f>
        <v>0</v>
      </c>
      <c r="BC180" s="61">
        <f>IF($A180&lt;=Input!$C$6,0,IF('180M'!AY180&lt;'180M'!BA180,'180M'!AY180-BB180,'180M'!BA180))</f>
        <v>0</v>
      </c>
      <c r="BD180" s="61">
        <f t="shared" si="116"/>
        <v>0</v>
      </c>
      <c r="BE180" s="60">
        <f t="shared" si="117"/>
        <v>0</v>
      </c>
      <c r="BF180" s="193"/>
      <c r="BG180" s="169">
        <v>176</v>
      </c>
      <c r="BH180" s="1">
        <f t="shared" si="118"/>
        <v>50875</v>
      </c>
      <c r="BI180" s="60">
        <f>IF($X180&lt;Input!$H$103,IF($X180&lt;Input!$G$103,IF($X180&lt;Input!$F$103,IF($X180&lt;Input!$E$103,IF($X180&lt;Input!$D$103,Input!$C$109,Input!$D$109),Input!$E$109),Input!$F$109),Input!$G$109),Input!$H$109)</f>
        <v>0</v>
      </c>
      <c r="BJ180" s="190">
        <f>IF($A180&lt;Input!$H$110,IF($A180&lt;Input!$G$110,IF($A180&lt;Input!$F$110,IF($A180&lt;Input!$E$110,IF($A180&lt;Input!$D$110,Input!$C$111,Input!$D$111),Input!$E$111),Input!$F$111),Input!$G$111),Input!$H$111)</f>
        <v>0.9</v>
      </c>
      <c r="BK180" s="60">
        <f t="shared" si="95"/>
        <v>0</v>
      </c>
      <c r="BL180" s="60">
        <f t="shared" si="119"/>
        <v>31</v>
      </c>
      <c r="BM180" s="60">
        <f t="shared" si="96"/>
        <v>0</v>
      </c>
      <c r="BN180" s="60">
        <f>ROUND(BM180*BL180*Input!$C$3/365,0)</f>
        <v>0</v>
      </c>
      <c r="BO180" s="61">
        <f>IF($A180&lt;=Input!$C$6,0,IF('180M'!BK180&lt;'180M'!BM180,'180M'!BK180-BN180,'180M'!BM180))</f>
        <v>0</v>
      </c>
      <c r="BP180" s="61">
        <f t="shared" si="97"/>
        <v>0</v>
      </c>
      <c r="BQ180" s="60">
        <f t="shared" si="98"/>
        <v>0</v>
      </c>
      <c r="BR180" s="198"/>
    </row>
    <row r="181" spans="1:70" x14ac:dyDescent="0.25">
      <c r="A181" s="169">
        <v>177</v>
      </c>
      <c r="B181" s="1">
        <f t="shared" si="99"/>
        <v>50905</v>
      </c>
      <c r="C181" s="60">
        <f t="shared" si="85"/>
        <v>33127052.878124986</v>
      </c>
      <c r="D181" s="60">
        <f t="shared" si="86"/>
        <v>29814347.590312488</v>
      </c>
      <c r="E181" s="60">
        <f t="shared" si="100"/>
        <v>30</v>
      </c>
      <c r="F181" s="60">
        <f t="shared" si="101"/>
        <v>115623890.3566947</v>
      </c>
      <c r="G181" s="60">
        <f>ROUND(F181*E181*Input!$C$3/365,0)</f>
        <v>1425500</v>
      </c>
      <c r="H181" s="60">
        <f>IF($A181&lt;=Input!$C$6,0,IF('180M'!D181&lt;'180M'!F181,'180M'!D181-G181,'180M'!F181))</f>
        <v>28388847.590312488</v>
      </c>
      <c r="I181" s="60">
        <f t="shared" si="102"/>
        <v>29814347.590312488</v>
      </c>
      <c r="J181" s="60">
        <f t="shared" si="103"/>
        <v>87235042.766382217</v>
      </c>
      <c r="K181" s="203">
        <f>J181/Input!$K$5</f>
        <v>0.29078347588794073</v>
      </c>
      <c r="L181" s="232"/>
      <c r="M181" s="60">
        <f>IF($B181&lt;Input!$H$43,IF($B181&lt;Input!$G$43,IF($B181&lt;Input!$F$43,IF($B181&lt;Input!$E$43,IF($B181&lt;Input!$D$43,Input!$C$49,Input!$D$49),Input!$E$49),Input!$F$49),Input!$G$49),Input!$H$49)</f>
        <v>33127052.878124986</v>
      </c>
      <c r="N181" s="190">
        <f>IF($A181&lt;Input!$H$50,IF($A181&lt;Input!$G$50,IF($A181&lt;Input!$F$50,IF($A181&lt;Input!$E$50,IF($A181&lt;Input!$D$50,Input!$C$51,Input!$D$51),Input!$E$51),Input!$F$51),Input!$G$51),Input!$H$51)</f>
        <v>0.9</v>
      </c>
      <c r="O181" s="60">
        <f t="shared" si="120"/>
        <v>29814347.590312488</v>
      </c>
      <c r="P181" s="60">
        <f t="shared" si="121"/>
        <v>30</v>
      </c>
      <c r="Q181" s="60">
        <f t="shared" si="88"/>
        <v>115623890.3566947</v>
      </c>
      <c r="R181" s="60">
        <f>ROUND(Q181*$P181*Input!$C$3/365,0)</f>
        <v>1425500</v>
      </c>
      <c r="S181" s="60">
        <f>IF(A181&lt;=Input!$C$6,0,IF('180M'!O181&lt;'180M'!Q181,'180M'!O181-R181,'180M'!Q181))</f>
        <v>28388847.590312488</v>
      </c>
      <c r="T181" s="60">
        <f t="shared" si="89"/>
        <v>29814347.590312488</v>
      </c>
      <c r="U181" s="60">
        <f t="shared" si="90"/>
        <v>87235042.766382217</v>
      </c>
      <c r="V181" s="193"/>
      <c r="W181" s="169">
        <v>177</v>
      </c>
      <c r="X181" s="1">
        <f t="shared" si="104"/>
        <v>50905</v>
      </c>
      <c r="Y181" s="60">
        <f>IF($X181&lt;Input!$H$58,IF($X181&lt;Input!$G$58,IF($X181&lt;Input!$F$58,IF($X181&lt;Input!$E$58,IF($X181&lt;Input!$D$58,Input!$C$64,Input!$D$64),Input!$E$64),Input!$F$64),Input!$G$64),Input!$H$64)</f>
        <v>0</v>
      </c>
      <c r="Z181" s="190">
        <f>IF($A181&lt;Input!$H$65,IF($A181&lt;Input!$G$65,IF($A181&lt;Input!$F$65,IF($A181&lt;Input!$E$65,IF($A181&lt;Input!$D$65,Input!$C$66,Input!$D$66),Input!$E$66),Input!$F$66),Input!$G$66),Input!$H$66)</f>
        <v>0.9</v>
      </c>
      <c r="AA181" s="60">
        <f t="shared" si="91"/>
        <v>0</v>
      </c>
      <c r="AB181" s="60">
        <f t="shared" si="105"/>
        <v>30</v>
      </c>
      <c r="AC181" s="60">
        <f t="shared" si="92"/>
        <v>0</v>
      </c>
      <c r="AD181" s="60">
        <f>ROUND(AC181*AB181*Input!$C$3/365,0)</f>
        <v>0</v>
      </c>
      <c r="AE181" s="61">
        <f>IF($A181&lt;=Input!$C$6,0,IF('180M'!AA181&lt;'180M'!AC181,'180M'!AA181-AD181,'180M'!AC181))</f>
        <v>0</v>
      </c>
      <c r="AF181" s="61">
        <f t="shared" si="93"/>
        <v>0</v>
      </c>
      <c r="AG181" s="60">
        <f t="shared" si="94"/>
        <v>0</v>
      </c>
      <c r="AH181" s="193"/>
      <c r="AI181" s="169">
        <v>177</v>
      </c>
      <c r="AJ181" s="1">
        <f t="shared" si="106"/>
        <v>50905</v>
      </c>
      <c r="AK181" s="60">
        <f>IF($X181&lt;Input!$H$73,IF($X181&lt;Input!$G$73,IF($X181&lt;Input!$F$73,IF($X181&lt;Input!$E$73,IF($X181&lt;Input!$D$73,Input!$C$79,Input!$D$79),Input!$E$79),Input!$F$79),Input!$G$79),Input!$H$79)</f>
        <v>0</v>
      </c>
      <c r="AL181" s="190">
        <f>IF($A181&lt;Input!$H$80,IF($A181&lt;Input!$G$80,IF($A181&lt;Input!$F$80,IF($A181&lt;Input!$E$80,IF($A181&lt;Input!$D$80,Input!$C$81,Input!$D$81),Input!$E$81),Input!$F$81),Input!$G$81),Input!$H$81)</f>
        <v>0.9</v>
      </c>
      <c r="AM181" s="60">
        <f t="shared" si="107"/>
        <v>0</v>
      </c>
      <c r="AN181" s="60">
        <f t="shared" si="108"/>
        <v>30</v>
      </c>
      <c r="AO181" s="60">
        <f t="shared" si="109"/>
        <v>0</v>
      </c>
      <c r="AP181" s="60">
        <f>ROUND(AO181*AN181*Input!$C$3/365,0)</f>
        <v>0</v>
      </c>
      <c r="AQ181" s="61">
        <f>IF($A181&lt;=Input!$C$6,0,IF('180M'!AM181&lt;'180M'!AO181,'180M'!AM181-AP181,'180M'!AO181))</f>
        <v>0</v>
      </c>
      <c r="AR181" s="61">
        <f t="shared" si="110"/>
        <v>0</v>
      </c>
      <c r="AS181" s="60">
        <f t="shared" si="111"/>
        <v>0</v>
      </c>
      <c r="AT181" s="193"/>
      <c r="AU181" s="169">
        <v>177</v>
      </c>
      <c r="AV181" s="1">
        <f t="shared" si="112"/>
        <v>50905</v>
      </c>
      <c r="AW181" s="60">
        <f>IF($X181&lt;Input!$H$88,IF($X181&lt;Input!$G$88,IF($X181&lt;Input!$F$88,IF($X181&lt;Input!$E$88,IF($X181&lt;Input!$D$88,Input!$C$94,Input!$D$94),Input!$E$94),Input!$F$94),Input!$G$94),Input!$H$94)</f>
        <v>0</v>
      </c>
      <c r="AX181" s="190">
        <f>IF($A181&lt;Input!$H$95,IF($A181&lt;Input!$G$95,IF($A181&lt;Input!$F$95,IF($A181&lt;Input!$E$95,IF($A181&lt;Input!$D$95,Input!$C$96,Input!$D$96),Input!$E$96),Input!$F$96),Input!$G$96),Input!$H$96)</f>
        <v>0.9</v>
      </c>
      <c r="AY181" s="60">
        <f t="shared" si="113"/>
        <v>0</v>
      </c>
      <c r="AZ181" s="60">
        <f t="shared" si="114"/>
        <v>30</v>
      </c>
      <c r="BA181" s="60">
        <f t="shared" si="115"/>
        <v>0</v>
      </c>
      <c r="BB181" s="60">
        <f>ROUND(BA181*AZ181*Input!$C$3/365,0)</f>
        <v>0</v>
      </c>
      <c r="BC181" s="61">
        <f>IF($A181&lt;=Input!$C$6,0,IF('180M'!AY181&lt;'180M'!BA181,'180M'!AY181-BB181,'180M'!BA181))</f>
        <v>0</v>
      </c>
      <c r="BD181" s="61">
        <f t="shared" si="116"/>
        <v>0</v>
      </c>
      <c r="BE181" s="60">
        <f t="shared" si="117"/>
        <v>0</v>
      </c>
      <c r="BF181" s="193"/>
      <c r="BG181" s="169">
        <v>177</v>
      </c>
      <c r="BH181" s="1">
        <f t="shared" si="118"/>
        <v>50905</v>
      </c>
      <c r="BI181" s="60">
        <f>IF($X181&lt;Input!$H$103,IF($X181&lt;Input!$G$103,IF($X181&lt;Input!$F$103,IF($X181&lt;Input!$E$103,IF($X181&lt;Input!$D$103,Input!$C$109,Input!$D$109),Input!$E$109),Input!$F$109),Input!$G$109),Input!$H$109)</f>
        <v>0</v>
      </c>
      <c r="BJ181" s="190">
        <f>IF($A181&lt;Input!$H$110,IF($A181&lt;Input!$G$110,IF($A181&lt;Input!$F$110,IF($A181&lt;Input!$E$110,IF($A181&lt;Input!$D$110,Input!$C$111,Input!$D$111),Input!$E$111),Input!$F$111),Input!$G$111),Input!$H$111)</f>
        <v>0.9</v>
      </c>
      <c r="BK181" s="60">
        <f t="shared" si="95"/>
        <v>0</v>
      </c>
      <c r="BL181" s="60">
        <f t="shared" si="119"/>
        <v>30</v>
      </c>
      <c r="BM181" s="60">
        <f t="shared" si="96"/>
        <v>0</v>
      </c>
      <c r="BN181" s="60">
        <f>ROUND(BM181*BL181*Input!$C$3/365,0)</f>
        <v>0</v>
      </c>
      <c r="BO181" s="61">
        <f>IF($A181&lt;=Input!$C$6,0,IF('180M'!BK181&lt;'180M'!BM181,'180M'!BK181-BN181,'180M'!BM181))</f>
        <v>0</v>
      </c>
      <c r="BP181" s="61">
        <f t="shared" si="97"/>
        <v>0</v>
      </c>
      <c r="BQ181" s="60">
        <f t="shared" si="98"/>
        <v>0</v>
      </c>
      <c r="BR181" s="198"/>
    </row>
    <row r="182" spans="1:70" x14ac:dyDescent="0.25">
      <c r="A182" s="169">
        <v>178</v>
      </c>
      <c r="B182" s="1">
        <f t="shared" si="99"/>
        <v>50936</v>
      </c>
      <c r="C182" s="60">
        <f t="shared" si="85"/>
        <v>33127052.878124986</v>
      </c>
      <c r="D182" s="60">
        <f t="shared" si="86"/>
        <v>29814347.590312488</v>
      </c>
      <c r="E182" s="60">
        <f t="shared" si="100"/>
        <v>31</v>
      </c>
      <c r="F182" s="60">
        <f t="shared" si="101"/>
        <v>87235042.766382217</v>
      </c>
      <c r="G182" s="60">
        <f>ROUND(F182*E182*Input!$C$3/365,0)</f>
        <v>1111351</v>
      </c>
      <c r="H182" s="60">
        <f>IF($A182&lt;=Input!$C$6,0,IF('180M'!D182&lt;'180M'!F182,'180M'!D182-G182,'180M'!F182))</f>
        <v>28702996.590312488</v>
      </c>
      <c r="I182" s="60">
        <f t="shared" si="102"/>
        <v>29814347.590312488</v>
      </c>
      <c r="J182" s="60">
        <f t="shared" si="103"/>
        <v>58532046.176069729</v>
      </c>
      <c r="K182" s="203">
        <f>J182/Input!$K$5</f>
        <v>0.1951068205868991</v>
      </c>
      <c r="L182" s="232"/>
      <c r="M182" s="60">
        <f>IF($B182&lt;Input!$H$43,IF($B182&lt;Input!$G$43,IF($B182&lt;Input!$F$43,IF($B182&lt;Input!$E$43,IF($B182&lt;Input!$D$43,Input!$C$49,Input!$D$49),Input!$E$49),Input!$F$49),Input!$G$49),Input!$H$49)</f>
        <v>33127052.878124986</v>
      </c>
      <c r="N182" s="190">
        <f>IF($A182&lt;Input!$H$50,IF($A182&lt;Input!$G$50,IF($A182&lt;Input!$F$50,IF($A182&lt;Input!$E$50,IF($A182&lt;Input!$D$50,Input!$C$51,Input!$D$51),Input!$E$51),Input!$F$51),Input!$G$51),Input!$H$51)</f>
        <v>0.9</v>
      </c>
      <c r="O182" s="60">
        <f t="shared" si="120"/>
        <v>29814347.590312488</v>
      </c>
      <c r="P182" s="60">
        <f t="shared" si="121"/>
        <v>31</v>
      </c>
      <c r="Q182" s="60">
        <f t="shared" si="88"/>
        <v>87235042.766382217</v>
      </c>
      <c r="R182" s="60">
        <f>ROUND(Q182*$P182*Input!$C$3/365,0)</f>
        <v>1111351</v>
      </c>
      <c r="S182" s="60">
        <f>IF(A182&lt;=Input!$C$6,0,IF('180M'!O182&lt;'180M'!Q182,'180M'!O182-R182,'180M'!Q182))</f>
        <v>28702996.590312488</v>
      </c>
      <c r="T182" s="60">
        <f t="shared" si="89"/>
        <v>29814347.590312488</v>
      </c>
      <c r="U182" s="60">
        <f t="shared" si="90"/>
        <v>58532046.176069729</v>
      </c>
      <c r="V182" s="193"/>
      <c r="W182" s="169">
        <v>178</v>
      </c>
      <c r="X182" s="1">
        <f t="shared" si="104"/>
        <v>50936</v>
      </c>
      <c r="Y182" s="60">
        <f>IF($X182&lt;Input!$H$58,IF($X182&lt;Input!$G$58,IF($X182&lt;Input!$F$58,IF($X182&lt;Input!$E$58,IF($X182&lt;Input!$D$58,Input!$C$64,Input!$D$64),Input!$E$64),Input!$F$64),Input!$G$64),Input!$H$64)</f>
        <v>0</v>
      </c>
      <c r="Z182" s="190">
        <f>IF($A182&lt;Input!$H$65,IF($A182&lt;Input!$G$65,IF($A182&lt;Input!$F$65,IF($A182&lt;Input!$E$65,IF($A182&lt;Input!$D$65,Input!$C$66,Input!$D$66),Input!$E$66),Input!$F$66),Input!$G$66),Input!$H$66)</f>
        <v>0.9</v>
      </c>
      <c r="AA182" s="60">
        <f t="shared" si="91"/>
        <v>0</v>
      </c>
      <c r="AB182" s="60">
        <f t="shared" si="105"/>
        <v>31</v>
      </c>
      <c r="AC182" s="60">
        <f t="shared" si="92"/>
        <v>0</v>
      </c>
      <c r="AD182" s="60">
        <f>ROUND(AC182*AB182*Input!$C$3/365,0)</f>
        <v>0</v>
      </c>
      <c r="AE182" s="61">
        <f>IF($A182&lt;=Input!$C$6,0,IF('180M'!AA182&lt;'180M'!AC182,'180M'!AA182-AD182,'180M'!AC182))</f>
        <v>0</v>
      </c>
      <c r="AF182" s="61">
        <f t="shared" si="93"/>
        <v>0</v>
      </c>
      <c r="AG182" s="60">
        <f t="shared" si="94"/>
        <v>0</v>
      </c>
      <c r="AH182" s="193"/>
      <c r="AI182" s="169">
        <v>178</v>
      </c>
      <c r="AJ182" s="1">
        <f t="shared" si="106"/>
        <v>50936</v>
      </c>
      <c r="AK182" s="60">
        <f>IF($X182&lt;Input!$H$73,IF($X182&lt;Input!$G$73,IF($X182&lt;Input!$F$73,IF($X182&lt;Input!$E$73,IF($X182&lt;Input!$D$73,Input!$C$79,Input!$D$79),Input!$E$79),Input!$F$79),Input!$G$79),Input!$H$79)</f>
        <v>0</v>
      </c>
      <c r="AL182" s="190">
        <f>IF($A182&lt;Input!$H$80,IF($A182&lt;Input!$G$80,IF($A182&lt;Input!$F$80,IF($A182&lt;Input!$E$80,IF($A182&lt;Input!$D$80,Input!$C$81,Input!$D$81),Input!$E$81),Input!$F$81),Input!$G$81),Input!$H$81)</f>
        <v>0.9</v>
      </c>
      <c r="AM182" s="60">
        <f t="shared" si="107"/>
        <v>0</v>
      </c>
      <c r="AN182" s="60">
        <f t="shared" si="108"/>
        <v>31</v>
      </c>
      <c r="AO182" s="60">
        <f t="shared" si="109"/>
        <v>0</v>
      </c>
      <c r="AP182" s="60">
        <f>ROUND(AO182*AN182*Input!$C$3/365,0)</f>
        <v>0</v>
      </c>
      <c r="AQ182" s="61">
        <f>IF($A182&lt;=Input!$C$6,0,IF('180M'!AM182&lt;'180M'!AO182,'180M'!AM182-AP182,'180M'!AO182))</f>
        <v>0</v>
      </c>
      <c r="AR182" s="61">
        <f t="shared" si="110"/>
        <v>0</v>
      </c>
      <c r="AS182" s="60">
        <f t="shared" si="111"/>
        <v>0</v>
      </c>
      <c r="AT182" s="193"/>
      <c r="AU182" s="169">
        <v>178</v>
      </c>
      <c r="AV182" s="1">
        <f t="shared" si="112"/>
        <v>50936</v>
      </c>
      <c r="AW182" s="60">
        <f>IF($X182&lt;Input!$H$88,IF($X182&lt;Input!$G$88,IF($X182&lt;Input!$F$88,IF($X182&lt;Input!$E$88,IF($X182&lt;Input!$D$88,Input!$C$94,Input!$D$94),Input!$E$94),Input!$F$94),Input!$G$94),Input!$H$94)</f>
        <v>0</v>
      </c>
      <c r="AX182" s="190">
        <f>IF($A182&lt;Input!$H$95,IF($A182&lt;Input!$G$95,IF($A182&lt;Input!$F$95,IF($A182&lt;Input!$E$95,IF($A182&lt;Input!$D$95,Input!$C$96,Input!$D$96),Input!$E$96),Input!$F$96),Input!$G$96),Input!$H$96)</f>
        <v>0.9</v>
      </c>
      <c r="AY182" s="60">
        <f t="shared" si="113"/>
        <v>0</v>
      </c>
      <c r="AZ182" s="60">
        <f t="shared" si="114"/>
        <v>31</v>
      </c>
      <c r="BA182" s="60">
        <f t="shared" si="115"/>
        <v>0</v>
      </c>
      <c r="BB182" s="60">
        <f>ROUND(BA182*AZ182*Input!$C$3/365,0)</f>
        <v>0</v>
      </c>
      <c r="BC182" s="61">
        <f>IF($A182&lt;=Input!$C$6,0,IF('180M'!AY182&lt;'180M'!BA182,'180M'!AY182-BB182,'180M'!BA182))</f>
        <v>0</v>
      </c>
      <c r="BD182" s="61">
        <f t="shared" si="116"/>
        <v>0</v>
      </c>
      <c r="BE182" s="60">
        <f t="shared" si="117"/>
        <v>0</v>
      </c>
      <c r="BF182" s="193"/>
      <c r="BG182" s="169">
        <v>178</v>
      </c>
      <c r="BH182" s="1">
        <f t="shared" si="118"/>
        <v>50936</v>
      </c>
      <c r="BI182" s="60">
        <f>IF($X182&lt;Input!$H$103,IF($X182&lt;Input!$G$103,IF($X182&lt;Input!$F$103,IF($X182&lt;Input!$E$103,IF($X182&lt;Input!$D$103,Input!$C$109,Input!$D$109),Input!$E$109),Input!$F$109),Input!$G$109),Input!$H$109)</f>
        <v>0</v>
      </c>
      <c r="BJ182" s="190">
        <f>IF($A182&lt;Input!$H$110,IF($A182&lt;Input!$G$110,IF($A182&lt;Input!$F$110,IF($A182&lt;Input!$E$110,IF($A182&lt;Input!$D$110,Input!$C$111,Input!$D$111),Input!$E$111),Input!$F$111),Input!$G$111),Input!$H$111)</f>
        <v>0.9</v>
      </c>
      <c r="BK182" s="60">
        <f t="shared" si="95"/>
        <v>0</v>
      </c>
      <c r="BL182" s="60">
        <f t="shared" si="119"/>
        <v>31</v>
      </c>
      <c r="BM182" s="60">
        <f t="shared" si="96"/>
        <v>0</v>
      </c>
      <c r="BN182" s="60">
        <f>ROUND(BM182*BL182*Input!$C$3/365,0)</f>
        <v>0</v>
      </c>
      <c r="BO182" s="61">
        <f>IF($A182&lt;=Input!$C$6,0,IF('180M'!BK182&lt;'180M'!BM182,'180M'!BK182-BN182,'180M'!BM182))</f>
        <v>0</v>
      </c>
      <c r="BP182" s="61">
        <f t="shared" si="97"/>
        <v>0</v>
      </c>
      <c r="BQ182" s="60">
        <f t="shared" si="98"/>
        <v>0</v>
      </c>
      <c r="BR182" s="198"/>
    </row>
    <row r="183" spans="1:70" x14ac:dyDescent="0.25">
      <c r="A183" s="169">
        <v>179</v>
      </c>
      <c r="B183" s="1">
        <f t="shared" si="99"/>
        <v>50966</v>
      </c>
      <c r="C183" s="60">
        <f t="shared" si="85"/>
        <v>33127052.878124986</v>
      </c>
      <c r="D183" s="60">
        <f t="shared" si="86"/>
        <v>29814347.590312488</v>
      </c>
      <c r="E183" s="60">
        <f t="shared" si="100"/>
        <v>30</v>
      </c>
      <c r="F183" s="60">
        <f t="shared" si="101"/>
        <v>58532046.176069729</v>
      </c>
      <c r="G183" s="60">
        <f>ROUND(F183*E183*Input!$C$3/365,0)</f>
        <v>721628</v>
      </c>
      <c r="H183" s="60">
        <f>IF($A183&lt;=Input!$C$6,0,IF('180M'!D183&lt;'180M'!F183,'180M'!D183-G183,'180M'!F183))</f>
        <v>29092719.590312488</v>
      </c>
      <c r="I183" s="60">
        <f t="shared" si="102"/>
        <v>29814347.590312488</v>
      </c>
      <c r="J183" s="60">
        <f t="shared" si="103"/>
        <v>29439326.585757241</v>
      </c>
      <c r="K183" s="203">
        <f>J183/Input!$K$5</f>
        <v>9.8131088619190801E-2</v>
      </c>
      <c r="L183" s="232"/>
      <c r="M183" s="60">
        <f>IF($B183&lt;Input!$H$43,IF($B183&lt;Input!$G$43,IF($B183&lt;Input!$F$43,IF($B183&lt;Input!$E$43,IF($B183&lt;Input!$D$43,Input!$C$49,Input!$D$49),Input!$E$49),Input!$F$49),Input!$G$49),Input!$H$49)</f>
        <v>33127052.878124986</v>
      </c>
      <c r="N183" s="190">
        <f>IF($A183&lt;Input!$H$50,IF($A183&lt;Input!$G$50,IF($A183&lt;Input!$F$50,IF($A183&lt;Input!$E$50,IF($A183&lt;Input!$D$50,Input!$C$51,Input!$D$51),Input!$E$51),Input!$F$51),Input!$G$51),Input!$H$51)</f>
        <v>0.9</v>
      </c>
      <c r="O183" s="60">
        <f t="shared" si="120"/>
        <v>29814347.590312488</v>
      </c>
      <c r="P183" s="60">
        <f t="shared" si="121"/>
        <v>30</v>
      </c>
      <c r="Q183" s="60">
        <f t="shared" si="88"/>
        <v>58532046.176069729</v>
      </c>
      <c r="R183" s="60">
        <f>ROUND(Q183*$P183*Input!$C$3/365,0)</f>
        <v>721628</v>
      </c>
      <c r="S183" s="60">
        <f>IF(A183&lt;=Input!$C$6,0,IF('180M'!O183&lt;'180M'!Q183,'180M'!O183-R183,'180M'!Q183))</f>
        <v>29092719.590312488</v>
      </c>
      <c r="T183" s="60">
        <f t="shared" si="89"/>
        <v>29814347.590312488</v>
      </c>
      <c r="U183" s="60">
        <f t="shared" si="90"/>
        <v>29439326.585757241</v>
      </c>
      <c r="V183" s="193"/>
      <c r="W183" s="169">
        <v>179</v>
      </c>
      <c r="X183" s="1">
        <f t="shared" si="104"/>
        <v>50966</v>
      </c>
      <c r="Y183" s="60">
        <f>IF($X183&lt;Input!$H$58,IF($X183&lt;Input!$G$58,IF($X183&lt;Input!$F$58,IF($X183&lt;Input!$E$58,IF($X183&lt;Input!$D$58,Input!$C$64,Input!$D$64),Input!$E$64),Input!$F$64),Input!$G$64),Input!$H$64)</f>
        <v>0</v>
      </c>
      <c r="Z183" s="190">
        <f>IF($A183&lt;Input!$H$65,IF($A183&lt;Input!$G$65,IF($A183&lt;Input!$F$65,IF($A183&lt;Input!$E$65,IF($A183&lt;Input!$D$65,Input!$C$66,Input!$D$66),Input!$E$66),Input!$F$66),Input!$G$66),Input!$H$66)</f>
        <v>0.9</v>
      </c>
      <c r="AA183" s="60">
        <f t="shared" si="91"/>
        <v>0</v>
      </c>
      <c r="AB183" s="60">
        <f t="shared" si="105"/>
        <v>30</v>
      </c>
      <c r="AC183" s="60">
        <f t="shared" si="92"/>
        <v>0</v>
      </c>
      <c r="AD183" s="60">
        <f>ROUND(AC183*AB183*Input!$C$3/365,0)</f>
        <v>0</v>
      </c>
      <c r="AE183" s="61">
        <f>IF($A183&lt;=Input!$C$6,0,IF('180M'!AA183&lt;'180M'!AC183,'180M'!AA183-AD183,'180M'!AC183))</f>
        <v>0</v>
      </c>
      <c r="AF183" s="61">
        <f t="shared" si="93"/>
        <v>0</v>
      </c>
      <c r="AG183" s="60">
        <f t="shared" si="94"/>
        <v>0</v>
      </c>
      <c r="AH183" s="193"/>
      <c r="AI183" s="169">
        <v>179</v>
      </c>
      <c r="AJ183" s="1">
        <f t="shared" si="106"/>
        <v>50966</v>
      </c>
      <c r="AK183" s="60">
        <f>IF($X183&lt;Input!$H$73,IF($X183&lt;Input!$G$73,IF($X183&lt;Input!$F$73,IF($X183&lt;Input!$E$73,IF($X183&lt;Input!$D$73,Input!$C$79,Input!$D$79),Input!$E$79),Input!$F$79),Input!$G$79),Input!$H$79)</f>
        <v>0</v>
      </c>
      <c r="AL183" s="190">
        <f>IF($A183&lt;Input!$H$80,IF($A183&lt;Input!$G$80,IF($A183&lt;Input!$F$80,IF($A183&lt;Input!$E$80,IF($A183&lt;Input!$D$80,Input!$C$81,Input!$D$81),Input!$E$81),Input!$F$81),Input!$G$81),Input!$H$81)</f>
        <v>0.9</v>
      </c>
      <c r="AM183" s="60">
        <f t="shared" si="107"/>
        <v>0</v>
      </c>
      <c r="AN183" s="60">
        <f t="shared" si="108"/>
        <v>30</v>
      </c>
      <c r="AO183" s="60">
        <f t="shared" si="109"/>
        <v>0</v>
      </c>
      <c r="AP183" s="60">
        <f>ROUND(AO183*AN183*Input!$C$3/365,0)</f>
        <v>0</v>
      </c>
      <c r="AQ183" s="61">
        <f>IF($A183&lt;=Input!$C$6,0,IF('180M'!AM183&lt;'180M'!AO183,'180M'!AM183-AP183,'180M'!AO183))</f>
        <v>0</v>
      </c>
      <c r="AR183" s="61">
        <f t="shared" si="110"/>
        <v>0</v>
      </c>
      <c r="AS183" s="60">
        <f t="shared" si="111"/>
        <v>0</v>
      </c>
      <c r="AT183" s="193"/>
      <c r="AU183" s="169">
        <v>179</v>
      </c>
      <c r="AV183" s="1">
        <f t="shared" si="112"/>
        <v>50966</v>
      </c>
      <c r="AW183" s="60">
        <f>IF($X183&lt;Input!$H$88,IF($X183&lt;Input!$G$88,IF($X183&lt;Input!$F$88,IF($X183&lt;Input!$E$88,IF($X183&lt;Input!$D$88,Input!$C$94,Input!$D$94),Input!$E$94),Input!$F$94),Input!$G$94),Input!$H$94)</f>
        <v>0</v>
      </c>
      <c r="AX183" s="190">
        <f>IF($A183&lt;Input!$H$95,IF($A183&lt;Input!$G$95,IF($A183&lt;Input!$F$95,IF($A183&lt;Input!$E$95,IF($A183&lt;Input!$D$95,Input!$C$96,Input!$D$96),Input!$E$96),Input!$F$96),Input!$G$96),Input!$H$96)</f>
        <v>0.9</v>
      </c>
      <c r="AY183" s="60">
        <f t="shared" si="113"/>
        <v>0</v>
      </c>
      <c r="AZ183" s="60">
        <f t="shared" si="114"/>
        <v>30</v>
      </c>
      <c r="BA183" s="60">
        <f t="shared" si="115"/>
        <v>0</v>
      </c>
      <c r="BB183" s="60">
        <f>ROUND(BA183*AZ183*Input!$C$3/365,0)</f>
        <v>0</v>
      </c>
      <c r="BC183" s="61">
        <f>IF($A183&lt;=Input!$C$6,0,IF('180M'!AY183&lt;'180M'!BA183,'180M'!AY183-BB183,'180M'!BA183))</f>
        <v>0</v>
      </c>
      <c r="BD183" s="61">
        <f t="shared" si="116"/>
        <v>0</v>
      </c>
      <c r="BE183" s="60">
        <f t="shared" si="117"/>
        <v>0</v>
      </c>
      <c r="BF183" s="193"/>
      <c r="BG183" s="169">
        <v>179</v>
      </c>
      <c r="BH183" s="1">
        <f t="shared" si="118"/>
        <v>50966</v>
      </c>
      <c r="BI183" s="60">
        <f>IF($X183&lt;Input!$H$103,IF($X183&lt;Input!$G$103,IF($X183&lt;Input!$F$103,IF($X183&lt;Input!$E$103,IF($X183&lt;Input!$D$103,Input!$C$109,Input!$D$109),Input!$E$109),Input!$F$109),Input!$G$109),Input!$H$109)</f>
        <v>0</v>
      </c>
      <c r="BJ183" s="190">
        <f>IF($A183&lt;Input!$H$110,IF($A183&lt;Input!$G$110,IF($A183&lt;Input!$F$110,IF($A183&lt;Input!$E$110,IF($A183&lt;Input!$D$110,Input!$C$111,Input!$D$111),Input!$E$111),Input!$F$111),Input!$G$111),Input!$H$111)</f>
        <v>0.9</v>
      </c>
      <c r="BK183" s="60">
        <f t="shared" si="95"/>
        <v>0</v>
      </c>
      <c r="BL183" s="60">
        <f t="shared" si="119"/>
        <v>30</v>
      </c>
      <c r="BM183" s="60">
        <f t="shared" si="96"/>
        <v>0</v>
      </c>
      <c r="BN183" s="60">
        <f>ROUND(BM183*BL183*Input!$C$3/365,0)</f>
        <v>0</v>
      </c>
      <c r="BO183" s="61">
        <f>IF($A183&lt;=Input!$C$6,0,IF('180M'!BK183&lt;'180M'!BM183,'180M'!BK183-BN183,'180M'!BM183))</f>
        <v>0</v>
      </c>
      <c r="BP183" s="61">
        <f t="shared" si="97"/>
        <v>0</v>
      </c>
      <c r="BQ183" s="60">
        <f t="shared" si="98"/>
        <v>0</v>
      </c>
      <c r="BR183" s="198"/>
    </row>
    <row r="184" spans="1:70" x14ac:dyDescent="0.25">
      <c r="A184" s="169">
        <v>180</v>
      </c>
      <c r="B184" s="1">
        <f t="shared" si="99"/>
        <v>50997</v>
      </c>
      <c r="C184" s="60">
        <f t="shared" si="85"/>
        <v>33127052.878124986</v>
      </c>
      <c r="D184" s="60">
        <f t="shared" si="86"/>
        <v>29814347.590312488</v>
      </c>
      <c r="E184" s="60">
        <f t="shared" si="100"/>
        <v>31</v>
      </c>
      <c r="F184" s="60">
        <f t="shared" si="101"/>
        <v>29439326.585757241</v>
      </c>
      <c r="G184" s="60">
        <f>ROUND(F184*E184*Input!$C$3/365,0)</f>
        <v>375049</v>
      </c>
      <c r="H184" s="60">
        <f>IF($A184&lt;=Input!$C$6,0,IF('180M'!D184&lt;'180M'!F184,'180M'!D184-G184,'180M'!F184))</f>
        <v>29439326.585757241</v>
      </c>
      <c r="I184" s="60">
        <f t="shared" si="102"/>
        <v>29814375.585757241</v>
      </c>
      <c r="J184" s="60">
        <f t="shared" si="103"/>
        <v>0</v>
      </c>
      <c r="K184" s="203">
        <f>J184/Input!$K$5</f>
        <v>0</v>
      </c>
      <c r="L184" s="232"/>
      <c r="M184" s="60">
        <f>IF($B184&lt;Input!$H$43,IF($B184&lt;Input!$G$43,IF($B184&lt;Input!$F$43,IF($B184&lt;Input!$E$43,IF($B184&lt;Input!$D$43,Input!$C$49,Input!$D$49),Input!$E$49),Input!$F$49),Input!$G$49),Input!$H$49)</f>
        <v>33127052.878124986</v>
      </c>
      <c r="N184" s="190">
        <f>IF($A184&lt;Input!$H$50,IF($A184&lt;Input!$G$50,IF($A184&lt;Input!$F$50,IF($A184&lt;Input!$E$50,IF($A184&lt;Input!$D$50,Input!$C$51,Input!$D$51),Input!$E$51),Input!$F$51),Input!$G$51),Input!$H$51)</f>
        <v>0.9</v>
      </c>
      <c r="O184" s="60">
        <f t="shared" si="120"/>
        <v>29814347.590312488</v>
      </c>
      <c r="P184" s="60">
        <f t="shared" si="121"/>
        <v>31</v>
      </c>
      <c r="Q184" s="60">
        <f t="shared" si="88"/>
        <v>29439326.585757241</v>
      </c>
      <c r="R184" s="60">
        <f>ROUND(Q184*$P184*Input!$C$3/365,0)</f>
        <v>375049</v>
      </c>
      <c r="S184" s="60">
        <f>IF(A184&lt;=Input!$C$6,0,IF('180M'!O184&lt;'180M'!Q184,'180M'!O184-R184,'180M'!Q184))</f>
        <v>29439326.585757241</v>
      </c>
      <c r="T184" s="60">
        <f t="shared" si="89"/>
        <v>29814375.585757241</v>
      </c>
      <c r="U184" s="60">
        <f t="shared" si="90"/>
        <v>0</v>
      </c>
      <c r="V184" s="193"/>
      <c r="W184" s="169">
        <v>180</v>
      </c>
      <c r="X184" s="1">
        <f t="shared" si="104"/>
        <v>50997</v>
      </c>
      <c r="Y184" s="60">
        <f>IF($X184&lt;Input!$H$58,IF($X184&lt;Input!$G$58,IF($X184&lt;Input!$F$58,IF($X184&lt;Input!$E$58,IF($X184&lt;Input!$D$58,Input!$C$64,Input!$D$64),Input!$E$64),Input!$F$64),Input!$G$64),Input!$H$64)</f>
        <v>0</v>
      </c>
      <c r="Z184" s="190">
        <f>IF($A184&lt;Input!$H$65,IF($A184&lt;Input!$G$65,IF($A184&lt;Input!$F$65,IF($A184&lt;Input!$E$65,IF($A184&lt;Input!$D$65,Input!$C$66,Input!$D$66),Input!$E$66),Input!$F$66),Input!$G$66),Input!$H$66)</f>
        <v>0.9</v>
      </c>
      <c r="AA184" s="60">
        <f t="shared" si="91"/>
        <v>0</v>
      </c>
      <c r="AB184" s="60">
        <f t="shared" si="105"/>
        <v>31</v>
      </c>
      <c r="AC184" s="60">
        <f t="shared" si="92"/>
        <v>0</v>
      </c>
      <c r="AD184" s="60">
        <f>ROUND(AC184*AB184*Input!$C$3/365,0)</f>
        <v>0</v>
      </c>
      <c r="AE184" s="61">
        <f>IF($A184&lt;=Input!$C$6,0,IF('180M'!AA184&lt;'180M'!AC184,'180M'!AA184-AD184,'180M'!AC184))</f>
        <v>0</v>
      </c>
      <c r="AF184" s="61">
        <f t="shared" si="93"/>
        <v>0</v>
      </c>
      <c r="AG184" s="60">
        <f t="shared" si="94"/>
        <v>0</v>
      </c>
      <c r="AH184" s="193"/>
      <c r="AI184" s="169">
        <v>180</v>
      </c>
      <c r="AJ184" s="1">
        <f t="shared" si="106"/>
        <v>50997</v>
      </c>
      <c r="AK184" s="60">
        <f>IF($X184&lt;Input!$H$73,IF($X184&lt;Input!$G$73,IF($X184&lt;Input!$F$73,IF($X184&lt;Input!$E$73,IF($X184&lt;Input!$D$73,Input!$C$79,Input!$D$79),Input!$E$79),Input!$F$79),Input!$G$79),Input!$H$79)</f>
        <v>0</v>
      </c>
      <c r="AL184" s="190">
        <f>IF($A184&lt;Input!$H$80,IF($A184&lt;Input!$G$80,IF($A184&lt;Input!$F$80,IF($A184&lt;Input!$E$80,IF($A184&lt;Input!$D$80,Input!$C$81,Input!$D$81),Input!$E$81),Input!$F$81),Input!$G$81),Input!$H$81)</f>
        <v>0.9</v>
      </c>
      <c r="AM184" s="60">
        <f t="shared" si="107"/>
        <v>0</v>
      </c>
      <c r="AN184" s="60">
        <f t="shared" si="108"/>
        <v>31</v>
      </c>
      <c r="AO184" s="60">
        <f t="shared" si="109"/>
        <v>0</v>
      </c>
      <c r="AP184" s="60">
        <f>ROUND(AO184*AN184*Input!$C$3/365,0)</f>
        <v>0</v>
      </c>
      <c r="AQ184" s="61">
        <f>IF($A184&lt;=Input!$C$6,0,IF('180M'!AM184&lt;'180M'!AO184,'180M'!AM184-AP184,'180M'!AO184))</f>
        <v>0</v>
      </c>
      <c r="AR184" s="61">
        <f t="shared" si="110"/>
        <v>0</v>
      </c>
      <c r="AS184" s="60">
        <f t="shared" si="111"/>
        <v>0</v>
      </c>
      <c r="AT184" s="193"/>
      <c r="AU184" s="169">
        <v>180</v>
      </c>
      <c r="AV184" s="1">
        <f t="shared" si="112"/>
        <v>50997</v>
      </c>
      <c r="AW184" s="60">
        <f>IF($X184&lt;Input!$H$88,IF($X184&lt;Input!$G$88,IF($X184&lt;Input!$F$88,IF($X184&lt;Input!$E$88,IF($X184&lt;Input!$D$88,Input!$C$94,Input!$D$94),Input!$E$94),Input!$F$94),Input!$G$94),Input!$H$94)</f>
        <v>0</v>
      </c>
      <c r="AX184" s="190">
        <f>IF($A184&lt;Input!$H$95,IF($A184&lt;Input!$G$95,IF($A184&lt;Input!$F$95,IF($A184&lt;Input!$E$95,IF($A184&lt;Input!$D$95,Input!$C$96,Input!$D$96),Input!$E$96),Input!$F$96),Input!$G$96),Input!$H$96)</f>
        <v>0.9</v>
      </c>
      <c r="AY184" s="60">
        <f t="shared" si="113"/>
        <v>0</v>
      </c>
      <c r="AZ184" s="60">
        <f t="shared" si="114"/>
        <v>31</v>
      </c>
      <c r="BA184" s="60">
        <f t="shared" si="115"/>
        <v>0</v>
      </c>
      <c r="BB184" s="60">
        <f>ROUND(BA184*AZ184*Input!$C$3/365,0)</f>
        <v>0</v>
      </c>
      <c r="BC184" s="61">
        <f>IF($A184&lt;=Input!$C$6,0,IF('180M'!AY184&lt;'180M'!BA184,'180M'!AY184-BB184,'180M'!BA184))</f>
        <v>0</v>
      </c>
      <c r="BD184" s="61">
        <f t="shared" si="116"/>
        <v>0</v>
      </c>
      <c r="BE184" s="60">
        <f t="shared" si="117"/>
        <v>0</v>
      </c>
      <c r="BF184" s="193"/>
      <c r="BG184" s="169">
        <v>180</v>
      </c>
      <c r="BH184" s="1">
        <f t="shared" si="118"/>
        <v>50997</v>
      </c>
      <c r="BI184" s="60">
        <f>IF($X184&lt;Input!$H$103,IF($X184&lt;Input!$G$103,IF($X184&lt;Input!$F$103,IF($X184&lt;Input!$E$103,IF($X184&lt;Input!$D$103,Input!$C$109,Input!$D$109),Input!$E$109),Input!$F$109),Input!$G$109),Input!$H$109)</f>
        <v>0</v>
      </c>
      <c r="BJ184" s="190">
        <f>IF($A184&lt;Input!$H$110,IF($A184&lt;Input!$G$110,IF($A184&lt;Input!$F$110,IF($A184&lt;Input!$E$110,IF($A184&lt;Input!$D$110,Input!$C$111,Input!$D$111),Input!$E$111),Input!$F$111),Input!$G$111),Input!$H$111)</f>
        <v>0.9</v>
      </c>
      <c r="BK184" s="60">
        <f t="shared" si="95"/>
        <v>0</v>
      </c>
      <c r="BL184" s="60">
        <f t="shared" si="119"/>
        <v>31</v>
      </c>
      <c r="BM184" s="60">
        <f t="shared" si="96"/>
        <v>0</v>
      </c>
      <c r="BN184" s="60">
        <f>ROUND(BM184*BL184*Input!$C$3/365,0)</f>
        <v>0</v>
      </c>
      <c r="BO184" s="61">
        <f>IF($A184&lt;=Input!$C$6,0,IF('180M'!BK184&lt;'180M'!BM184,'180M'!BK184-BN184,'180M'!BM184))</f>
        <v>0</v>
      </c>
      <c r="BP184" s="61">
        <f t="shared" si="97"/>
        <v>0</v>
      </c>
      <c r="BQ184" s="60">
        <f t="shared" si="98"/>
        <v>0</v>
      </c>
      <c r="BR184" s="198"/>
    </row>
  </sheetData>
  <sheetProtection algorithmName="SHA-512" hashValue="hI44C8NO4htai2E+wS4mY+QrpggEQtmp/lgAKTlTeat/GojbENH1DLp+kbc6UWVAXHNhq9RCqDeS718JIyXLVw==" saltValue="ff2wNROQvvWCAkv7T1Iylg==" spinCount="100000" sheet="1" formatCells="0" formatColumns="0" formatRows="0" pivotTables="0"/>
  <mergeCells count="7">
    <mergeCell ref="W3:AF3"/>
    <mergeCell ref="AJ3:AR3"/>
    <mergeCell ref="A3:I3"/>
    <mergeCell ref="A1:BR1"/>
    <mergeCell ref="M3:T3"/>
    <mergeCell ref="AU3:BD3"/>
    <mergeCell ref="BG3:BP3"/>
  </mergeCells>
  <conditionalFormatting sqref="N4:N184">
    <cfRule type="expression" dxfId="37" priority="17">
      <formula>N3&lt;&gt;N4</formula>
    </cfRule>
  </conditionalFormatting>
  <conditionalFormatting sqref="AL4:AL184">
    <cfRule type="expression" dxfId="36" priority="9">
      <formula>AL4&lt;&gt;AL3</formula>
    </cfRule>
  </conditionalFormatting>
  <conditionalFormatting sqref="Z4:Z184">
    <cfRule type="expression" dxfId="35" priority="6">
      <formula>Z4&lt;&gt;Z3</formula>
    </cfRule>
  </conditionalFormatting>
  <conditionalFormatting sqref="AX4:AX184">
    <cfRule type="expression" dxfId="34" priority="5">
      <formula>AX4&lt;&gt;AX3</formula>
    </cfRule>
  </conditionalFormatting>
  <conditionalFormatting sqref="BJ4:BJ184">
    <cfRule type="expression" dxfId="33" priority="3">
      <formula>BJ4&lt;&gt;BJ3</formula>
    </cfRule>
  </conditionalFormatting>
  <conditionalFormatting sqref="H4:H184">
    <cfRule type="cellIs" dxfId="32" priority="1" operator="lessThan">
      <formula>0</formula>
    </cfRule>
    <cfRule type="cellIs" dxfId="31" priority="2" operator="lessThan">
      <formula>0</formula>
    </cfRule>
  </conditionalFormatting>
  <dataValidations count="1">
    <dataValidation type="custom" errorStyle="warning" allowBlank="1" showInputMessage="1" showErrorMessage="1" errorTitle="Sanction amount too high" error="Check negative values in principal run off and modify discounting factor / lower the loan amount" sqref="BC4:BC184 AE4:AE184 AQ4:AQ184 BO4:BO184" xr:uid="{A1D55447-6365-4C58-829B-65B62B014623}">
      <formula1>"&lt;0"</formula1>
    </dataValidation>
  </dataValidation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1CD1F-057F-4D0F-9EE2-C87C82163C74}">
  <sheetPr codeName="Sheet14"/>
  <dimension ref="A1:BR184"/>
  <sheetViews>
    <sheetView zoomScale="87" zoomScaleNormal="87" workbookViewId="0">
      <selection activeCell="BR3" sqref="BR3"/>
    </sheetView>
  </sheetViews>
  <sheetFormatPr defaultRowHeight="15" x14ac:dyDescent="0.25"/>
  <cols>
    <col min="1" max="1" width="5.7109375" style="51" bestFit="1" customWidth="1"/>
    <col min="2" max="2" width="10" style="51" bestFit="1" customWidth="1"/>
    <col min="3" max="3" width="14.140625" style="51" customWidth="1"/>
    <col min="4" max="4" width="12.85546875" style="51" bestFit="1" customWidth="1"/>
    <col min="5" max="5" width="5.5703125" style="51" bestFit="1" customWidth="1"/>
    <col min="6" max="6" width="14" style="51" bestFit="1" customWidth="1"/>
    <col min="7" max="7" width="11.42578125" style="51" bestFit="1" customWidth="1"/>
    <col min="8" max="8" width="12" style="51" bestFit="1" customWidth="1"/>
    <col min="9" max="9" width="10" style="51" customWidth="1"/>
    <col min="10" max="10" width="14" style="51" bestFit="1" customWidth="1"/>
    <col min="11" max="11" width="10" style="51" customWidth="1"/>
    <col min="12" max="12" width="2" style="51" customWidth="1"/>
    <col min="13" max="13" width="10" style="51" bestFit="1" customWidth="1"/>
    <col min="14" max="14" width="7.5703125" style="51" bestFit="1" customWidth="1"/>
    <col min="15" max="15" width="10" style="51" customWidth="1"/>
    <col min="16" max="16" width="5.140625" style="51" bestFit="1" customWidth="1"/>
    <col min="17" max="17" width="14" style="51" bestFit="1" customWidth="1"/>
    <col min="18" max="18" width="11.42578125" style="51" bestFit="1" customWidth="1"/>
    <col min="19" max="19" width="12" style="51" bestFit="1" customWidth="1"/>
    <col min="20" max="20" width="10" style="51" bestFit="1" customWidth="1"/>
    <col min="21" max="21" width="14" style="51" bestFit="1" customWidth="1"/>
    <col min="22" max="22" width="0.5703125" style="194" customWidth="1"/>
    <col min="23" max="23" width="5.85546875" style="171" bestFit="1" customWidth="1"/>
    <col min="24" max="24" width="10" style="51" bestFit="1" customWidth="1"/>
    <col min="25" max="25" width="9" style="51" customWidth="1"/>
    <col min="26" max="26" width="7.5703125" style="51" bestFit="1" customWidth="1"/>
    <col min="27" max="27" width="9" style="51" customWidth="1"/>
    <col min="28" max="28" width="5.5703125" style="51" bestFit="1" customWidth="1"/>
    <col min="29" max="29" width="14" style="51" bestFit="1" customWidth="1"/>
    <col min="30" max="30" width="11.42578125" style="51" bestFit="1" customWidth="1"/>
    <col min="31" max="31" width="11" style="51" bestFit="1" customWidth="1"/>
    <col min="32" max="32" width="9.140625" style="51" bestFit="1" customWidth="1"/>
    <col min="33" max="33" width="14" style="51" bestFit="1" customWidth="1"/>
    <col min="34" max="34" width="1.28515625" style="194" customWidth="1"/>
    <col min="35" max="35" width="5.85546875" style="51" bestFit="1" customWidth="1"/>
    <col min="36" max="37" width="10" style="51" bestFit="1" customWidth="1"/>
    <col min="38" max="38" width="7.5703125" style="51" bestFit="1" customWidth="1"/>
    <col min="39" max="39" width="10" style="51" bestFit="1" customWidth="1"/>
    <col min="40" max="40" width="5.5703125" style="51" bestFit="1" customWidth="1"/>
    <col min="41" max="41" width="14" style="51" bestFit="1" customWidth="1"/>
    <col min="42" max="42" width="11.42578125" style="51" bestFit="1" customWidth="1"/>
    <col min="43" max="43" width="11" style="51" bestFit="1" customWidth="1"/>
    <col min="44" max="44" width="9.140625" style="51" bestFit="1" customWidth="1"/>
    <col min="45" max="45" width="14" style="51" bestFit="1" customWidth="1"/>
    <col min="46" max="46" width="1.5703125" style="194" customWidth="1"/>
    <col min="47" max="47" width="5.85546875" style="51" bestFit="1" customWidth="1"/>
    <col min="48" max="48" width="10" style="51" customWidth="1"/>
    <col min="49" max="49" width="9" style="51" bestFit="1" customWidth="1"/>
    <col min="50" max="50" width="7.5703125" style="51" bestFit="1" customWidth="1"/>
    <col min="51" max="51" width="10" style="51" customWidth="1"/>
    <col min="52" max="52" width="5.5703125" style="51" bestFit="1" customWidth="1"/>
    <col min="53" max="53" width="14" style="51" bestFit="1" customWidth="1"/>
    <col min="54" max="54" width="11.42578125" style="51" bestFit="1" customWidth="1"/>
    <col min="55" max="55" width="11" style="51" bestFit="1" customWidth="1"/>
    <col min="56" max="56" width="9.140625" style="51" bestFit="1" customWidth="1"/>
    <col min="57" max="57" width="14" style="51" bestFit="1" customWidth="1"/>
    <col min="58" max="58" width="2" style="194" customWidth="1"/>
    <col min="59" max="59" width="5.85546875" style="51" bestFit="1" customWidth="1"/>
    <col min="60" max="60" width="10" style="51" bestFit="1" customWidth="1"/>
    <col min="61" max="61" width="9" style="51" bestFit="1" customWidth="1"/>
    <col min="62" max="62" width="7.5703125" style="51" bestFit="1" customWidth="1"/>
    <col min="63" max="63" width="9" style="51" bestFit="1" customWidth="1"/>
    <col min="64" max="64" width="5.5703125" style="51" bestFit="1" customWidth="1"/>
    <col min="65" max="65" width="14" style="51" bestFit="1" customWidth="1"/>
    <col min="66" max="66" width="11.42578125" style="51" bestFit="1" customWidth="1"/>
    <col min="67" max="67" width="11" style="51" bestFit="1" customWidth="1"/>
    <col min="68" max="68" width="9.140625" style="51" customWidth="1"/>
    <col min="69" max="69" width="19.140625" style="51" bestFit="1" customWidth="1"/>
    <col min="70" max="70" width="2.28515625" style="194" customWidth="1"/>
    <col min="71" max="16384" width="9.140625" style="51"/>
  </cols>
  <sheetData>
    <row r="1" spans="1:70" x14ac:dyDescent="0.25">
      <c r="A1" s="346" t="s">
        <v>35</v>
      </c>
      <c r="B1" s="346"/>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c r="AI1" s="346"/>
      <c r="AJ1" s="346"/>
      <c r="AK1" s="346"/>
      <c r="AL1" s="346"/>
      <c r="AM1" s="346"/>
      <c r="AN1" s="346"/>
      <c r="AO1" s="346"/>
      <c r="AP1" s="346"/>
      <c r="AQ1" s="346"/>
      <c r="AR1" s="346"/>
      <c r="AS1" s="346"/>
      <c r="AT1" s="346"/>
      <c r="AU1" s="346"/>
      <c r="AV1" s="346"/>
      <c r="AW1" s="346"/>
      <c r="AX1" s="346"/>
      <c r="AY1" s="346"/>
      <c r="AZ1" s="346"/>
      <c r="BA1" s="346"/>
      <c r="BB1" s="346"/>
      <c r="BC1" s="346"/>
      <c r="BD1" s="346"/>
      <c r="BE1" s="346"/>
      <c r="BF1" s="346"/>
      <c r="BG1" s="346"/>
      <c r="BH1" s="346"/>
      <c r="BI1" s="346"/>
      <c r="BJ1" s="346"/>
      <c r="BK1" s="346"/>
      <c r="BL1" s="346"/>
      <c r="BM1" s="346"/>
      <c r="BN1" s="346"/>
      <c r="BO1" s="346"/>
      <c r="BP1" s="346"/>
      <c r="BQ1" s="346"/>
      <c r="BR1" s="346"/>
    </row>
    <row r="2" spans="1:70" ht="69" customHeight="1" x14ac:dyDescent="0.25">
      <c r="A2" s="57" t="s">
        <v>20</v>
      </c>
      <c r="B2" s="58" t="s">
        <v>0</v>
      </c>
      <c r="C2" s="229" t="s">
        <v>150</v>
      </c>
      <c r="D2" s="58" t="s">
        <v>151</v>
      </c>
      <c r="E2" s="59" t="s">
        <v>4</v>
      </c>
      <c r="F2" s="59" t="s">
        <v>29</v>
      </c>
      <c r="G2" s="59" t="s">
        <v>2</v>
      </c>
      <c r="H2" s="59" t="s">
        <v>19</v>
      </c>
      <c r="I2" s="59" t="s">
        <v>27</v>
      </c>
      <c r="J2" s="59" t="s">
        <v>1</v>
      </c>
      <c r="K2" s="59" t="s">
        <v>32</v>
      </c>
      <c r="L2" s="230"/>
      <c r="M2" s="59" t="s">
        <v>146</v>
      </c>
      <c r="N2" s="59" t="s">
        <v>147</v>
      </c>
      <c r="O2" s="59" t="s">
        <v>148</v>
      </c>
      <c r="P2" s="59" t="s">
        <v>4</v>
      </c>
      <c r="Q2" s="59" t="s">
        <v>29</v>
      </c>
      <c r="R2" s="59" t="s">
        <v>2</v>
      </c>
      <c r="S2" s="59" t="s">
        <v>143</v>
      </c>
      <c r="T2" s="59" t="s">
        <v>27</v>
      </c>
      <c r="U2" s="59" t="s">
        <v>1</v>
      </c>
      <c r="V2" s="192"/>
      <c r="W2" s="58" t="s">
        <v>149</v>
      </c>
      <c r="X2" s="58" t="s">
        <v>0</v>
      </c>
      <c r="Y2" s="59" t="s">
        <v>146</v>
      </c>
      <c r="Z2" s="59" t="s">
        <v>147</v>
      </c>
      <c r="AA2" s="59" t="s">
        <v>148</v>
      </c>
      <c r="AB2" s="59" t="s">
        <v>4</v>
      </c>
      <c r="AC2" s="59" t="s">
        <v>29</v>
      </c>
      <c r="AD2" s="59" t="s">
        <v>2</v>
      </c>
      <c r="AE2" s="59" t="s">
        <v>143</v>
      </c>
      <c r="AF2" s="59" t="s">
        <v>27</v>
      </c>
      <c r="AG2" s="59" t="s">
        <v>1</v>
      </c>
      <c r="AH2" s="192"/>
      <c r="AI2" s="58" t="s">
        <v>149</v>
      </c>
      <c r="AJ2" s="58" t="s">
        <v>0</v>
      </c>
      <c r="AK2" s="59" t="s">
        <v>146</v>
      </c>
      <c r="AL2" s="59" t="s">
        <v>147</v>
      </c>
      <c r="AM2" s="59" t="s">
        <v>148</v>
      </c>
      <c r="AN2" s="59" t="s">
        <v>4</v>
      </c>
      <c r="AO2" s="59" t="s">
        <v>29</v>
      </c>
      <c r="AP2" s="59" t="s">
        <v>2</v>
      </c>
      <c r="AQ2" s="59" t="s">
        <v>143</v>
      </c>
      <c r="AR2" s="59" t="s">
        <v>27</v>
      </c>
      <c r="AS2" s="59" t="s">
        <v>1</v>
      </c>
      <c r="AT2" s="192"/>
      <c r="AU2" s="58" t="s">
        <v>149</v>
      </c>
      <c r="AV2" s="58" t="s">
        <v>0</v>
      </c>
      <c r="AW2" s="59" t="s">
        <v>146</v>
      </c>
      <c r="AX2" s="59" t="s">
        <v>147</v>
      </c>
      <c r="AY2" s="59" t="s">
        <v>148</v>
      </c>
      <c r="AZ2" s="59" t="s">
        <v>4</v>
      </c>
      <c r="BA2" s="59" t="s">
        <v>29</v>
      </c>
      <c r="BB2" s="59" t="s">
        <v>2</v>
      </c>
      <c r="BC2" s="59" t="s">
        <v>143</v>
      </c>
      <c r="BD2" s="59" t="s">
        <v>27</v>
      </c>
      <c r="BE2" s="59" t="s">
        <v>1</v>
      </c>
      <c r="BF2" s="192"/>
      <c r="BG2" s="58" t="s">
        <v>149</v>
      </c>
      <c r="BH2" s="58" t="s">
        <v>0</v>
      </c>
      <c r="BI2" s="59" t="s">
        <v>146</v>
      </c>
      <c r="BJ2" s="59" t="s">
        <v>147</v>
      </c>
      <c r="BK2" s="59" t="s">
        <v>148</v>
      </c>
      <c r="BL2" s="59" t="s">
        <v>4</v>
      </c>
      <c r="BM2" s="59" t="s">
        <v>29</v>
      </c>
      <c r="BN2" s="59" t="s">
        <v>2</v>
      </c>
      <c r="BO2" s="59" t="s">
        <v>143</v>
      </c>
      <c r="BP2" s="59" t="s">
        <v>27</v>
      </c>
      <c r="BQ2" s="59" t="s">
        <v>1</v>
      </c>
      <c r="BR2" s="192"/>
    </row>
    <row r="3" spans="1:70" s="171" customFormat="1" ht="22.5" customHeight="1" x14ac:dyDescent="0.25">
      <c r="A3" s="343" t="s">
        <v>153</v>
      </c>
      <c r="B3" s="344"/>
      <c r="C3" s="344"/>
      <c r="D3" s="344"/>
      <c r="E3" s="344"/>
      <c r="F3" s="344"/>
      <c r="G3" s="344"/>
      <c r="H3" s="344"/>
      <c r="I3" s="345"/>
      <c r="J3" s="246">
        <v>1000000000</v>
      </c>
      <c r="K3" s="191"/>
      <c r="L3" s="231"/>
      <c r="M3" s="340" t="str">
        <f>Input!A39</f>
        <v>Lessee1- ABC</v>
      </c>
      <c r="N3" s="341"/>
      <c r="O3" s="341"/>
      <c r="P3" s="341"/>
      <c r="Q3" s="341"/>
      <c r="R3" s="341"/>
      <c r="S3" s="341"/>
      <c r="T3" s="341"/>
      <c r="U3" s="247">
        <v>1000000000</v>
      </c>
      <c r="V3" s="192"/>
      <c r="W3" s="340" t="str">
        <f>Input!A54</f>
        <v>Lessee2- DEF</v>
      </c>
      <c r="X3" s="341"/>
      <c r="Y3" s="341"/>
      <c r="Z3" s="341"/>
      <c r="AA3" s="341"/>
      <c r="AB3" s="341"/>
      <c r="AC3" s="341"/>
      <c r="AD3" s="341"/>
      <c r="AE3" s="341"/>
      <c r="AF3" s="342"/>
      <c r="AG3" s="248">
        <v>-2.0159378051757813</v>
      </c>
      <c r="AH3" s="192"/>
      <c r="AI3" s="170"/>
      <c r="AJ3" s="340" t="str">
        <f>Input!A69</f>
        <v>Lessee3- GHI</v>
      </c>
      <c r="AK3" s="341"/>
      <c r="AL3" s="341"/>
      <c r="AM3" s="341"/>
      <c r="AN3" s="341"/>
      <c r="AO3" s="341"/>
      <c r="AP3" s="341"/>
      <c r="AQ3" s="341"/>
      <c r="AR3" s="342"/>
      <c r="AS3" s="248">
        <v>-2.0159378051757813</v>
      </c>
      <c r="AT3" s="192"/>
      <c r="AU3" s="340" t="str">
        <f>Input!A84</f>
        <v>Lessee4- JKL</v>
      </c>
      <c r="AV3" s="341"/>
      <c r="AW3" s="341"/>
      <c r="AX3" s="341"/>
      <c r="AY3" s="341"/>
      <c r="AZ3" s="341"/>
      <c r="BA3" s="341"/>
      <c r="BB3" s="341"/>
      <c r="BC3" s="341"/>
      <c r="BD3" s="342"/>
      <c r="BE3" s="248">
        <v>-2.0159378051757813</v>
      </c>
      <c r="BF3" s="192"/>
      <c r="BG3" s="340" t="str">
        <f>Input!A99</f>
        <v>Lessee5- MNO</v>
      </c>
      <c r="BH3" s="341"/>
      <c r="BI3" s="341"/>
      <c r="BJ3" s="341"/>
      <c r="BK3" s="341"/>
      <c r="BL3" s="341"/>
      <c r="BM3" s="341"/>
      <c r="BN3" s="341"/>
      <c r="BO3" s="341"/>
      <c r="BP3" s="342"/>
      <c r="BQ3" s="248">
        <v>-2.0159378051757813</v>
      </c>
      <c r="BR3" s="245"/>
    </row>
    <row r="4" spans="1:70" x14ac:dyDescent="0.25">
      <c r="A4" s="169">
        <v>0</v>
      </c>
      <c r="B4" s="1">
        <f>IF(Input!C5=15,IF(DAY(Input!C4)&lt;15,DATE(YEAR((Input!C4)),MONTH(Input!C4),15),IF(DAY(Input!C4)=15,Input!C4,DATE(YEAR((Input!C4)),MONTH(Input!C4)+1,15))),IF(DAY(Input!C4)&lt;5,DATE(YEAR((Input!C4)),MONTH(Input!C4),5),IF(DAY(Input!C4)=5,Input!C4,DATE(YEAR((Input!C4)),MONTH(Input!C4)+1,5))))</f>
        <v>45519</v>
      </c>
      <c r="C4" s="60">
        <f>M4+Y4+AK4+AW4+BI4</f>
        <v>16470000</v>
      </c>
      <c r="D4" s="60">
        <f>O4+AA4+AM4+AY4+BK4</f>
        <v>14823000</v>
      </c>
      <c r="E4" s="60">
        <f>B4-Input!$C$4</f>
        <v>15</v>
      </c>
      <c r="F4" s="60">
        <f>J3</f>
        <v>1000000000</v>
      </c>
      <c r="G4" s="60">
        <f>ROUND(F4*E4*Input!$C$3/365,0)</f>
        <v>6164384</v>
      </c>
      <c r="H4" s="60">
        <f>IF($A4&lt;=Input!$C$6,0,IF('144M'!D4&lt;'144M'!F4,'144M'!F4-G4,'144M'!F4))</f>
        <v>0</v>
      </c>
      <c r="I4" s="60">
        <f>G4+H4</f>
        <v>6164384</v>
      </c>
      <c r="J4" s="60">
        <f>J3-H4</f>
        <v>1000000000</v>
      </c>
      <c r="K4" s="202">
        <f>J4/Input!$K$5</f>
        <v>3.3333333333333335</v>
      </c>
      <c r="L4" s="232"/>
      <c r="M4" s="60">
        <f>IF($B4&lt;Input!$H$43,IF($B4&lt;Input!$G$43,IF($B4&lt;Input!$F$43,IF($B4&lt;Input!$E$43,IF($B4&lt;Input!$D$43,Input!$C$49,Input!$D$49),Input!$E$49),Input!$F$49),Input!$G$49),Input!$H$49)</f>
        <v>16470000</v>
      </c>
      <c r="N4" s="190">
        <f>IF($A4&lt;Input!$H$50,IF($A4&lt;Input!$G$50,IF($A4&lt;Input!$F$50,IF($A4&lt;Input!$E$50,IF($A4&lt;Input!$D$50,Input!$C$51,Input!$D$51),Input!$E$51),Input!$F$51),Input!$G$51),Input!$H$51)</f>
        <v>0.9</v>
      </c>
      <c r="O4" s="60">
        <f t="shared" ref="O4:O35" si="0">M4*N4</f>
        <v>14823000</v>
      </c>
      <c r="P4" s="60">
        <f>B4-Input!$C$4</f>
        <v>15</v>
      </c>
      <c r="Q4" s="60">
        <f>U3</f>
        <v>1000000000</v>
      </c>
      <c r="R4" s="60">
        <f>ROUND(Q4*P4*Input!$C$3/365,0)</f>
        <v>6164384</v>
      </c>
      <c r="S4" s="60">
        <f>IF($A4&lt;=Input!$C$6,0,IF('144M'!O4&lt;'144M'!Q4,'144M'!Q4-R4,'144M'!Q4))</f>
        <v>0</v>
      </c>
      <c r="T4" s="60">
        <f>R4+S4</f>
        <v>6164384</v>
      </c>
      <c r="U4" s="60">
        <f>U3-S4</f>
        <v>1000000000</v>
      </c>
      <c r="V4" s="193"/>
      <c r="W4" s="169">
        <v>0</v>
      </c>
      <c r="X4" s="1">
        <f>IF(Input!C5=15,IF(DAY(Input!C4)&lt;15,DATE(YEAR((Input!C4)),MONTH(Input!C4),15),IF(DAY(Input!C4)=15,Input!C4,DATE(YEAR((Input!C4)),MONTH(Input!C4)+1,15))),IF(DAY(Input!C4)&lt;5,DATE(YEAR((Input!C4)),MONTH(Input!C4),5),IF(DAY(Input!C4)=5,Input!C4,DATE(YEAR((Input!C4)),MONTH(Input!C4)+1,5))))</f>
        <v>45519</v>
      </c>
      <c r="Y4" s="60">
        <f>IF($X4&lt;Input!$H$58,IF($X4&lt;Input!$G$58,IF($X4&lt;Input!$F$58,IF($X4&lt;Input!$E$58,IF($X4&lt;Input!$D$58,Input!$C$64,Input!$D$64),Input!$E$64),Input!$F$64),Input!$G$64),Input!$H$64)</f>
        <v>0</v>
      </c>
      <c r="Z4" s="190">
        <f>IF($A4&lt;Input!$H$65,IF($A4&lt;Input!$G$65,IF($A4&lt;Input!$F$65,IF($A4&lt;Input!$E$65,IF($A4&lt;Input!$D$65,Input!$C$66,Input!$D$66),Input!$E$66),Input!$F$66),Input!$G$66),Input!$H$66)</f>
        <v>0.9</v>
      </c>
      <c r="AA4" s="60">
        <f>Y4*Z4</f>
        <v>0</v>
      </c>
      <c r="AB4" s="60">
        <f>X4-Input!$C$4</f>
        <v>15</v>
      </c>
      <c r="AC4" s="60">
        <f>AG3</f>
        <v>-2.0159378051757813</v>
      </c>
      <c r="AD4" s="60">
        <f>ROUND(AC4*AB4*Input!$C$3/365,0)</f>
        <v>0</v>
      </c>
      <c r="AE4" s="61">
        <f>IF($A4&lt;=Input!$C$6,0,IF('144M'!AA4&lt;'144M'!AC4,'144M'!AA4-AD4,'144M'!AC4))</f>
        <v>0</v>
      </c>
      <c r="AF4" s="61">
        <f>AD4+AE4</f>
        <v>0</v>
      </c>
      <c r="AG4" s="60">
        <f>AG3-AE4</f>
        <v>-2.0159378051757813</v>
      </c>
      <c r="AH4" s="193"/>
      <c r="AI4" s="169">
        <v>0</v>
      </c>
      <c r="AJ4" s="1">
        <f>IF(Input!C5=15,IF(DAY(Input!C4)&lt;15,DATE(YEAR((Input!C4)),MONTH(Input!C4),15),IF(DAY(Input!C4)=15,Input!C4,DATE(YEAR((Input!C4)),MONTH(Input!C4)+1,15))),IF(DAY(Input!C4)&lt;5,DATE(YEAR((Input!C4)),MONTH(Input!C4),5),IF(DAY(Input!C4)=5,Input!C4,DATE(YEAR((Input!C4)),MONTH(Input!C4)+1,5))))</f>
        <v>45519</v>
      </c>
      <c r="AK4" s="60">
        <f>IF($X4&lt;Input!$H$73,IF($X4&lt;Input!$G$73,IF($X4&lt;Input!$F$73,IF($X4&lt;Input!$E$73,IF($X4&lt;Input!$D$73,Input!$C$79,Input!$D$79),Input!$E$79),Input!$F$79),Input!$G$79),Input!$H$79)</f>
        <v>0</v>
      </c>
      <c r="AL4" s="190">
        <f>IF($A4&lt;Input!$H$80,IF($A4&lt;Input!$G$80,IF($A4&lt;Input!$F$80,IF($A4&lt;Input!$E$80,IF($A4&lt;Input!$D$80,Input!$C$81,Input!$D$81),Input!$E$81),Input!$F$81),Input!$G$81),Input!$H$81)</f>
        <v>0.9</v>
      </c>
      <c r="AM4" s="60">
        <f>AK4*AL4</f>
        <v>0</v>
      </c>
      <c r="AN4" s="60">
        <f>AJ4-Input!$C$4</f>
        <v>15</v>
      </c>
      <c r="AO4" s="60">
        <f>AS3</f>
        <v>-2.0159378051757813</v>
      </c>
      <c r="AP4" s="60">
        <f>ROUND(AO4*AN4*Input!$C$3/365,0)</f>
        <v>0</v>
      </c>
      <c r="AQ4" s="61">
        <f>IF($A4&lt;=Input!$C$6,0,IF('144M'!AM4&lt;'144M'!AO4,'144M'!AM4-AP4,'144M'!AO4))</f>
        <v>0</v>
      </c>
      <c r="AR4" s="61">
        <f>AP4+AQ4</f>
        <v>0</v>
      </c>
      <c r="AS4" s="60">
        <f>AS3-AQ4</f>
        <v>-2.0159378051757813</v>
      </c>
      <c r="AT4" s="193"/>
      <c r="AU4" s="169">
        <v>0</v>
      </c>
      <c r="AV4" s="1">
        <f>IF(Input!C5=15,IF(DAY(Input!C4)&lt;15,DATE(YEAR((Input!C4)),MONTH(Input!C4),15),IF(DAY(Input!C4)=15,Input!C4,DATE(YEAR((Input!C4)),MONTH(Input!C4)+1,15))),IF(DAY(Input!C4)&lt;5,DATE(YEAR((Input!C4)),MONTH(Input!C4),5),IF(DAY(Input!C4)=5,Input!C4,DATE(YEAR((Input!C4)),MONTH(Input!C4)+1,5))))</f>
        <v>45519</v>
      </c>
      <c r="AW4" s="60">
        <f>IF($X4&lt;Input!$H$88,IF($X4&lt;Input!$G$88,IF($X4&lt;Input!$F$88,IF($X4&lt;Input!$E$88,IF($X4&lt;Input!$D$88,Input!$C$94,Input!$D$94),Input!$E$94),Input!$F$94),Input!$G$94),Input!$H$94)</f>
        <v>0</v>
      </c>
      <c r="AX4" s="190">
        <f>IF($A4&lt;Input!$H$95,IF($A4&lt;Input!$G$95,IF($A4&lt;Input!$F$95,IF($A4&lt;Input!$E$95,IF($A4&lt;Input!$D$95,Input!$C$96,Input!$D$96),Input!$E$96),Input!$F$96),Input!$G$96),Input!$H$96)</f>
        <v>0.9</v>
      </c>
      <c r="AY4" s="60">
        <f>AW4*AX4</f>
        <v>0</v>
      </c>
      <c r="AZ4" s="60">
        <f>AV4-Input!$C$4</f>
        <v>15</v>
      </c>
      <c r="BA4" s="60">
        <f>BE3</f>
        <v>-2.0159378051757813</v>
      </c>
      <c r="BB4" s="60">
        <f>ROUND(BA4*AZ4*Input!$C$3/365,0)</f>
        <v>0</v>
      </c>
      <c r="BC4" s="61">
        <f>IF($A4&lt;=Input!$C$6,0,IF('144M'!AY4&lt;'144M'!BA4,'144M'!AY4-BB4,'144M'!BA4))</f>
        <v>0</v>
      </c>
      <c r="BD4" s="61">
        <f>BB4+BC4</f>
        <v>0</v>
      </c>
      <c r="BE4" s="60">
        <f>BE3-BC4</f>
        <v>-2.0159378051757813</v>
      </c>
      <c r="BF4" s="193"/>
      <c r="BG4" s="169">
        <v>0</v>
      </c>
      <c r="BH4" s="1">
        <f>IF(Input!C5=15,IF(DAY(Input!C4)&lt;15,DATE(YEAR((Input!C4)),MONTH(Input!C4),15),IF(DAY(Input!C4)=15,Input!C4,DATE(YEAR((Input!C4)),MONTH(Input!C4)+1,15))),IF(DAY(Input!C4)&lt;5,DATE(YEAR((Input!C4)),MONTH(Input!C4),5),IF(DAY(Input!C4)=5,Input!C4,DATE(YEAR((Input!C4)),MONTH(Input!C4)+1,5))))</f>
        <v>45519</v>
      </c>
      <c r="BI4" s="60">
        <f>IF($X4&lt;Input!$H$103,IF($X4&lt;Input!$G$103,IF($X4&lt;Input!$F$103,IF($X4&lt;Input!$E$103,IF($X4&lt;Input!$D$103,Input!$C$109,Input!$D$109),Input!$E$109),Input!$F$109),Input!$G$109),Input!$H$109)</f>
        <v>0</v>
      </c>
      <c r="BJ4" s="190">
        <f>IF($A4&lt;Input!$H$110,IF($A4&lt;Input!$G$110,IF($A4&lt;Input!$F$110,IF($A4&lt;Input!$E$110,IF($A4&lt;Input!$D$110,Input!$C$111,Input!$D$111),Input!$E$111),Input!$F$111),Input!$G$111),Input!$H$111)</f>
        <v>0.9</v>
      </c>
      <c r="BK4" s="60">
        <f>BI4*BJ4</f>
        <v>0</v>
      </c>
      <c r="BL4" s="60">
        <f>BH4-Input!$C$4</f>
        <v>15</v>
      </c>
      <c r="BM4" s="60">
        <f>BQ3</f>
        <v>-2.0159378051757813</v>
      </c>
      <c r="BN4" s="60">
        <f>ROUND(BM4*BL4*Input!$C$3/365,0)</f>
        <v>0</v>
      </c>
      <c r="BO4" s="61">
        <f>IF($A4&lt;=Input!$C$6,0,IF('144M'!BK4&lt;'144M'!BM4,'144M'!BK4-BN4,'144M'!BM4))</f>
        <v>0</v>
      </c>
      <c r="BP4" s="61">
        <f>BN4+BO4</f>
        <v>0</v>
      </c>
      <c r="BQ4" s="60">
        <f>BQ3-BO4</f>
        <v>-2.0159378051757813</v>
      </c>
      <c r="BR4" s="198"/>
    </row>
    <row r="5" spans="1:70" x14ac:dyDescent="0.25">
      <c r="A5" s="169">
        <v>1</v>
      </c>
      <c r="B5" s="1">
        <f>EDATE(B4,1)</f>
        <v>45550</v>
      </c>
      <c r="C5" s="60">
        <f t="shared" ref="C5:C68" si="1">M5+Y5+AK5+AW5+BI5</f>
        <v>16470000</v>
      </c>
      <c r="D5" s="60">
        <f t="shared" ref="D5:D68" si="2">O5+AA5+AM5+AY5+BK5</f>
        <v>14823000</v>
      </c>
      <c r="E5" s="60">
        <f>B5-B4</f>
        <v>31</v>
      </c>
      <c r="F5" s="60">
        <f>J4</f>
        <v>1000000000</v>
      </c>
      <c r="G5" s="60">
        <f>ROUND(F5*E5*Input!$C$3/365,0)</f>
        <v>12739726</v>
      </c>
      <c r="H5" s="60">
        <f>IF($A5&lt;=Input!$C$6,0,IF('144M'!D5&lt;'144M'!F5,'144M'!D5-G5,'144M'!F5))</f>
        <v>2083274</v>
      </c>
      <c r="I5" s="60">
        <f>G5+H5</f>
        <v>14823000</v>
      </c>
      <c r="J5" s="60">
        <f>J4-H5</f>
        <v>997916726</v>
      </c>
      <c r="K5" s="202">
        <f>J5/Input!$K$5</f>
        <v>3.3263890866666666</v>
      </c>
      <c r="L5" s="232"/>
      <c r="M5" s="60">
        <f>IF($B5&lt;Input!$H$43,IF($B5&lt;Input!$G$43,IF($B5&lt;Input!$F$43,IF($B5&lt;Input!$E$43,IF($B5&lt;Input!$D$43,Input!$C$49,Input!$D$49),Input!$E$49),Input!$F$49),Input!$G$49),Input!$H$49)</f>
        <v>16470000</v>
      </c>
      <c r="N5" s="190">
        <f>IF($A5&lt;Input!$H$50,IF($A5&lt;Input!$G$50,IF($A5&lt;Input!$F$50,IF($A5&lt;Input!$E$50,IF($A5&lt;Input!$D$50,Input!$C$51,Input!$D$51),Input!$E$51),Input!$F$51),Input!$G$51),Input!$H$51)</f>
        <v>0.9</v>
      </c>
      <c r="O5" s="60">
        <f t="shared" si="0"/>
        <v>14823000</v>
      </c>
      <c r="P5" s="60">
        <f t="shared" ref="P5:P36" si="3">B5-B4</f>
        <v>31</v>
      </c>
      <c r="Q5" s="60">
        <f t="shared" ref="Q5:Q68" si="4">U4</f>
        <v>1000000000</v>
      </c>
      <c r="R5" s="60">
        <f>ROUND(Q5*$P5*Input!$C$3/365,0)</f>
        <v>12739726</v>
      </c>
      <c r="S5" s="60">
        <f>IF(A5&lt;=Input!$C$6,0,IF('144M'!O5&lt;'144M'!Q5,'144M'!O5-R5,'144M'!Q5))</f>
        <v>2083274</v>
      </c>
      <c r="T5" s="60">
        <f t="shared" ref="T5:T68" si="5">R5+S5</f>
        <v>14823000</v>
      </c>
      <c r="U5" s="60">
        <f t="shared" ref="U5:U68" si="6">U4-S5</f>
        <v>997916726</v>
      </c>
      <c r="V5" s="193"/>
      <c r="W5" s="169">
        <v>1</v>
      </c>
      <c r="X5" s="1">
        <f>EDATE(X4,1)</f>
        <v>45550</v>
      </c>
      <c r="Y5" s="60">
        <f>IF($X5&lt;Input!$H$58,IF($X5&lt;Input!$G$58,IF($X5&lt;Input!$F$58,IF($X5&lt;Input!$E$58,IF($X5&lt;Input!$D$58,Input!$C$64,Input!$D$64),Input!$E$64),Input!$F$64),Input!$G$64),Input!$H$64)</f>
        <v>0</v>
      </c>
      <c r="Z5" s="190">
        <f>IF($A5&lt;Input!$H$65,IF($A5&lt;Input!$G$65,IF($A5&lt;Input!$F$65,IF($A5&lt;Input!$E$65,IF($A5&lt;Input!$D$65,Input!$C$66,Input!$D$66),Input!$E$66),Input!$F$66),Input!$G$66),Input!$H$66)</f>
        <v>0.9</v>
      </c>
      <c r="AA5" s="60">
        <f t="shared" ref="AA5:AA68" si="7">Y5*Z5</f>
        <v>0</v>
      </c>
      <c r="AB5" s="60">
        <f>X5-X4</f>
        <v>31</v>
      </c>
      <c r="AC5" s="60">
        <f t="shared" ref="AC5:AC68" si="8">AG4</f>
        <v>-2.0159378051757813</v>
      </c>
      <c r="AD5" s="60">
        <f>ROUND(AC5*AB5*Input!$C$3/365,0)</f>
        <v>0</v>
      </c>
      <c r="AE5" s="61">
        <f>IF($A5&lt;=Input!$C$6,0,IF('144M'!AA5&lt;'144M'!AC5,'144M'!AA5-AD5,'144M'!AC5))</f>
        <v>-2.0159378051757813</v>
      </c>
      <c r="AF5" s="61">
        <f t="shared" ref="AF5:AF68" si="9">AD5+AE5</f>
        <v>-2.0159378051757813</v>
      </c>
      <c r="AG5" s="60">
        <f t="shared" ref="AG5:AG68" si="10">AG4-AE5</f>
        <v>0</v>
      </c>
      <c r="AH5" s="193"/>
      <c r="AI5" s="169">
        <v>1</v>
      </c>
      <c r="AJ5" s="1">
        <f>EDATE(AJ4,1)</f>
        <v>45550</v>
      </c>
      <c r="AK5" s="60">
        <f>IF($X5&lt;Input!$H$73,IF($X5&lt;Input!$G$73,IF($X5&lt;Input!$F$73,IF($X5&lt;Input!$E$73,IF($X5&lt;Input!$D$73,Input!$C$79,Input!$D$79),Input!$E$79),Input!$F$79),Input!$G$79),Input!$H$79)</f>
        <v>0</v>
      </c>
      <c r="AL5" s="190">
        <f>IF($A5&lt;Input!$H$80,IF($A5&lt;Input!$G$80,IF($A5&lt;Input!$F$80,IF($A5&lt;Input!$E$80,IF($A5&lt;Input!$D$80,Input!$C$81,Input!$D$81),Input!$E$81),Input!$F$81),Input!$G$81),Input!$H$81)</f>
        <v>0.9</v>
      </c>
      <c r="AM5" s="60">
        <f t="shared" ref="AM5:AM68" si="11">AK5*AL5</f>
        <v>0</v>
      </c>
      <c r="AN5" s="60">
        <f>AJ5-AJ4</f>
        <v>31</v>
      </c>
      <c r="AO5" s="60">
        <f t="shared" ref="AO5:AO68" si="12">AS4</f>
        <v>-2.0159378051757813</v>
      </c>
      <c r="AP5" s="60">
        <f>ROUND(AO5*AN5*Input!$C$3/365,0)</f>
        <v>0</v>
      </c>
      <c r="AQ5" s="61">
        <f>IF($A5&lt;=Input!$C$6,0,IF('144M'!AM5&lt;'144M'!AO5,'144M'!AM5-AP5,'144M'!AO5))</f>
        <v>-2.0159378051757813</v>
      </c>
      <c r="AR5" s="61">
        <f t="shared" ref="AR5:AR68" si="13">AP5+AQ5</f>
        <v>-2.0159378051757813</v>
      </c>
      <c r="AS5" s="60">
        <f t="shared" ref="AS5:AS68" si="14">AS4-AQ5</f>
        <v>0</v>
      </c>
      <c r="AT5" s="193"/>
      <c r="AU5" s="169">
        <v>1</v>
      </c>
      <c r="AV5" s="1">
        <f>EDATE(AV4,1)</f>
        <v>45550</v>
      </c>
      <c r="AW5" s="60">
        <f>IF($X5&lt;Input!$H$88,IF($X5&lt;Input!$G$88,IF($X5&lt;Input!$F$88,IF($X5&lt;Input!$E$88,IF($X5&lt;Input!$D$88,Input!$C$94,Input!$D$94),Input!$E$94),Input!$F$94),Input!$G$94),Input!$H$94)</f>
        <v>0</v>
      </c>
      <c r="AX5" s="190">
        <f>IF($A5&lt;Input!$H$95,IF($A5&lt;Input!$G$95,IF($A5&lt;Input!$F$95,IF($A5&lt;Input!$E$95,IF($A5&lt;Input!$D$95,Input!$C$96,Input!$D$96),Input!$E$96),Input!$F$96),Input!$G$96),Input!$H$96)</f>
        <v>0.9</v>
      </c>
      <c r="AY5" s="60">
        <f t="shared" ref="AY5:AY68" si="15">AW5*AX5</f>
        <v>0</v>
      </c>
      <c r="AZ5" s="60">
        <f>AV5-AV4</f>
        <v>31</v>
      </c>
      <c r="BA5" s="60">
        <f t="shared" ref="BA5:BA68" si="16">BE4</f>
        <v>-2.0159378051757813</v>
      </c>
      <c r="BB5" s="60">
        <f>ROUND(BA5*AZ5*Input!$C$3/365,0)</f>
        <v>0</v>
      </c>
      <c r="BC5" s="61">
        <f>IF($A5&lt;=Input!$C$6,0,IF('144M'!AY5&lt;'144M'!BA5,'144M'!AY5-BB5,'144M'!BA5))</f>
        <v>-2.0159378051757813</v>
      </c>
      <c r="BD5" s="61">
        <f t="shared" ref="BD5:BD68" si="17">BB5+BC5</f>
        <v>-2.0159378051757813</v>
      </c>
      <c r="BE5" s="60">
        <f t="shared" ref="BE5:BE68" si="18">BE4-BC5</f>
        <v>0</v>
      </c>
      <c r="BF5" s="193"/>
      <c r="BG5" s="169">
        <v>1</v>
      </c>
      <c r="BH5" s="1">
        <f>EDATE(BH4,1)</f>
        <v>45550</v>
      </c>
      <c r="BI5" s="60">
        <f>IF($X5&lt;Input!$H$103,IF($X5&lt;Input!$G$103,IF($X5&lt;Input!$F$103,IF($X5&lt;Input!$E$103,IF($X5&lt;Input!$D$103,Input!$C$109,Input!$D$109),Input!$E$109),Input!$F$109),Input!$G$109),Input!$H$109)</f>
        <v>0</v>
      </c>
      <c r="BJ5" s="190">
        <f>IF($A5&lt;Input!$H$110,IF($A5&lt;Input!$G$110,IF($A5&lt;Input!$F$110,IF($A5&lt;Input!$E$110,IF($A5&lt;Input!$D$110,Input!$C$111,Input!$D$111),Input!$E$111),Input!$F$111),Input!$G$111),Input!$H$111)</f>
        <v>0.9</v>
      </c>
      <c r="BK5" s="60">
        <f t="shared" ref="BK5:BK68" si="19">BI5*BJ5</f>
        <v>0</v>
      </c>
      <c r="BL5" s="60">
        <f>BH5-BH4</f>
        <v>31</v>
      </c>
      <c r="BM5" s="60">
        <f t="shared" ref="BM5:BM68" si="20">BQ4</f>
        <v>-2.0159378051757813</v>
      </c>
      <c r="BN5" s="60">
        <f>ROUND(BM5*BL5*Input!$C$3/365,0)</f>
        <v>0</v>
      </c>
      <c r="BO5" s="61">
        <f>IF($A5&lt;=Input!$C$6,0,IF('144M'!BK5&lt;'144M'!BM5,'144M'!BK5-BN5,'144M'!BM5))</f>
        <v>-2.0159378051757813</v>
      </c>
      <c r="BP5" s="61">
        <f t="shared" ref="BP5:BP68" si="21">BN5+BO5</f>
        <v>-2.0159378051757813</v>
      </c>
      <c r="BQ5" s="60">
        <f t="shared" ref="BQ5:BQ68" si="22">BQ4-BO5</f>
        <v>0</v>
      </c>
      <c r="BR5" s="198"/>
    </row>
    <row r="6" spans="1:70" x14ac:dyDescent="0.25">
      <c r="A6" s="169">
        <v>2</v>
      </c>
      <c r="B6" s="1">
        <f t="shared" ref="B6:B69" si="23">EDATE(B5,1)</f>
        <v>45580</v>
      </c>
      <c r="C6" s="60">
        <f t="shared" si="1"/>
        <v>16470000</v>
      </c>
      <c r="D6" s="60">
        <f t="shared" si="2"/>
        <v>14823000</v>
      </c>
      <c r="E6" s="60">
        <f t="shared" ref="E6:E69" si="24">B6-B5</f>
        <v>30</v>
      </c>
      <c r="F6" s="60">
        <f t="shared" ref="F6:F69" si="25">J5</f>
        <v>997916726</v>
      </c>
      <c r="G6" s="60">
        <f>ROUND(F6*E6*Input!$C$3/365,0)</f>
        <v>12303083</v>
      </c>
      <c r="H6" s="60">
        <f>IF($A6&lt;=Input!$C$6,0,IF('144M'!D6&lt;'144M'!F6,'144M'!D6-G6,'144M'!F6))</f>
        <v>2519917</v>
      </c>
      <c r="I6" s="60">
        <f t="shared" ref="I6:I69" si="26">G6+H6</f>
        <v>14823000</v>
      </c>
      <c r="J6" s="60">
        <f t="shared" ref="J6:J69" si="27">J5-H6</f>
        <v>995396809</v>
      </c>
      <c r="K6" s="202">
        <f>J6/Input!$K$5</f>
        <v>3.3179893633333335</v>
      </c>
      <c r="L6" s="232"/>
      <c r="M6" s="60">
        <f>IF($B6&lt;Input!$H$43,IF($B6&lt;Input!$G$43,IF($B6&lt;Input!$F$43,IF($B6&lt;Input!$E$43,IF($B6&lt;Input!$D$43,Input!$C$49,Input!$D$49),Input!$E$49),Input!$F$49),Input!$G$49),Input!$H$49)</f>
        <v>16470000</v>
      </c>
      <c r="N6" s="190">
        <f>IF($A6&lt;Input!$H$50,IF($A6&lt;Input!$G$50,IF($A6&lt;Input!$F$50,IF($A6&lt;Input!$E$50,IF($A6&lt;Input!$D$50,Input!$C$51,Input!$D$51),Input!$E$51),Input!$F$51),Input!$G$51),Input!$H$51)</f>
        <v>0.9</v>
      </c>
      <c r="O6" s="60">
        <f t="shared" si="0"/>
        <v>14823000</v>
      </c>
      <c r="P6" s="60">
        <f t="shared" si="3"/>
        <v>30</v>
      </c>
      <c r="Q6" s="60">
        <f t="shared" si="4"/>
        <v>997916726</v>
      </c>
      <c r="R6" s="60">
        <f>ROUND(Q6*$P6*Input!$C$3/365,0)</f>
        <v>12303083</v>
      </c>
      <c r="S6" s="60">
        <f>IF(A6&lt;=Input!$C$6,0,IF('144M'!O6&lt;'144M'!Q6,'144M'!O6-R6,'144M'!Q6))</f>
        <v>2519917</v>
      </c>
      <c r="T6" s="60">
        <f t="shared" si="5"/>
        <v>14823000</v>
      </c>
      <c r="U6" s="60">
        <f t="shared" si="6"/>
        <v>995396809</v>
      </c>
      <c r="V6" s="193"/>
      <c r="W6" s="169">
        <v>2</v>
      </c>
      <c r="X6" s="1">
        <f t="shared" ref="X6:X69" si="28">EDATE(X5,1)</f>
        <v>45580</v>
      </c>
      <c r="Y6" s="60">
        <f>IF($X6&lt;Input!$H$58,IF($X6&lt;Input!$G$58,IF($X6&lt;Input!$F$58,IF($X6&lt;Input!$E$58,IF($X6&lt;Input!$D$58,Input!$C$64,Input!$D$64),Input!$E$64),Input!$F$64),Input!$G$64),Input!$H$64)</f>
        <v>0</v>
      </c>
      <c r="Z6" s="190">
        <f>IF($A6&lt;Input!$H$65,IF($A6&lt;Input!$G$65,IF($A6&lt;Input!$F$65,IF($A6&lt;Input!$E$65,IF($A6&lt;Input!$D$65,Input!$C$66,Input!$D$66),Input!$E$66),Input!$F$66),Input!$G$66),Input!$H$66)</f>
        <v>0.9</v>
      </c>
      <c r="AA6" s="60">
        <f t="shared" si="7"/>
        <v>0</v>
      </c>
      <c r="AB6" s="60">
        <f t="shared" ref="AB6:AB69" si="29">X6-X5</f>
        <v>30</v>
      </c>
      <c r="AC6" s="60">
        <f t="shared" si="8"/>
        <v>0</v>
      </c>
      <c r="AD6" s="60">
        <f>ROUND(AC6*AB6*Input!$C$3/365,0)</f>
        <v>0</v>
      </c>
      <c r="AE6" s="61">
        <f>IF($A6&lt;=Input!$C$6,0,IF('144M'!AA6&lt;'144M'!AC6,'144M'!AA6-AD6,'144M'!AC6))</f>
        <v>0</v>
      </c>
      <c r="AF6" s="61">
        <f t="shared" si="9"/>
        <v>0</v>
      </c>
      <c r="AG6" s="60">
        <f t="shared" si="10"/>
        <v>0</v>
      </c>
      <c r="AH6" s="193"/>
      <c r="AI6" s="169">
        <v>2</v>
      </c>
      <c r="AJ6" s="1">
        <f t="shared" ref="AJ6:AJ69" si="30">EDATE(AJ5,1)</f>
        <v>45580</v>
      </c>
      <c r="AK6" s="60">
        <f>IF($X6&lt;Input!$H$73,IF($X6&lt;Input!$G$73,IF($X6&lt;Input!$F$73,IF($X6&lt;Input!$E$73,IF($X6&lt;Input!$D$73,Input!$C$79,Input!$D$79),Input!$E$79),Input!$F$79),Input!$G$79),Input!$H$79)</f>
        <v>0</v>
      </c>
      <c r="AL6" s="190">
        <f>IF($A6&lt;Input!$H$80,IF($A6&lt;Input!$G$80,IF($A6&lt;Input!$F$80,IF($A6&lt;Input!$E$80,IF($A6&lt;Input!$D$80,Input!$C$81,Input!$D$81),Input!$E$81),Input!$F$81),Input!$G$81),Input!$H$81)</f>
        <v>0.9</v>
      </c>
      <c r="AM6" s="60">
        <f t="shared" si="11"/>
        <v>0</v>
      </c>
      <c r="AN6" s="60">
        <f t="shared" ref="AN6:AN69" si="31">AJ6-AJ5</f>
        <v>30</v>
      </c>
      <c r="AO6" s="60">
        <f t="shared" si="12"/>
        <v>0</v>
      </c>
      <c r="AP6" s="60">
        <f>ROUND(AO6*AN6*Input!$C$3/365,0)</f>
        <v>0</v>
      </c>
      <c r="AQ6" s="61">
        <f>IF($A6&lt;=Input!$C$6,0,IF('144M'!AM6&lt;'144M'!AO6,'144M'!AM6-AP6,'144M'!AO6))</f>
        <v>0</v>
      </c>
      <c r="AR6" s="61">
        <f t="shared" si="13"/>
        <v>0</v>
      </c>
      <c r="AS6" s="60">
        <f t="shared" si="14"/>
        <v>0</v>
      </c>
      <c r="AT6" s="193"/>
      <c r="AU6" s="169">
        <v>2</v>
      </c>
      <c r="AV6" s="1">
        <f t="shared" ref="AV6:AV69" si="32">EDATE(AV5,1)</f>
        <v>45580</v>
      </c>
      <c r="AW6" s="60">
        <f>IF($X6&lt;Input!$H$88,IF($X6&lt;Input!$G$88,IF($X6&lt;Input!$F$88,IF($X6&lt;Input!$E$88,IF($X6&lt;Input!$D$88,Input!$C$94,Input!$D$94),Input!$E$94),Input!$F$94),Input!$G$94),Input!$H$94)</f>
        <v>0</v>
      </c>
      <c r="AX6" s="190">
        <f>IF($A6&lt;Input!$H$95,IF($A6&lt;Input!$G$95,IF($A6&lt;Input!$F$95,IF($A6&lt;Input!$E$95,IF($A6&lt;Input!$D$95,Input!$C$96,Input!$D$96),Input!$E$96),Input!$F$96),Input!$G$96),Input!$H$96)</f>
        <v>0.9</v>
      </c>
      <c r="AY6" s="60">
        <f t="shared" si="15"/>
        <v>0</v>
      </c>
      <c r="AZ6" s="60">
        <f t="shared" ref="AZ6:AZ69" si="33">AV6-AV5</f>
        <v>30</v>
      </c>
      <c r="BA6" s="60">
        <f t="shared" si="16"/>
        <v>0</v>
      </c>
      <c r="BB6" s="60">
        <f>ROUND(BA6*AZ6*Input!$C$3/365,0)</f>
        <v>0</v>
      </c>
      <c r="BC6" s="61">
        <f>IF($A6&lt;=Input!$C$6,0,IF('144M'!AY6&lt;'144M'!BA6,'144M'!AY6-BB6,'144M'!BA6))</f>
        <v>0</v>
      </c>
      <c r="BD6" s="61">
        <f t="shared" si="17"/>
        <v>0</v>
      </c>
      <c r="BE6" s="60">
        <f t="shared" si="18"/>
        <v>0</v>
      </c>
      <c r="BF6" s="193"/>
      <c r="BG6" s="169">
        <v>2</v>
      </c>
      <c r="BH6" s="1">
        <f t="shared" ref="BH6:BH69" si="34">EDATE(BH5,1)</f>
        <v>45580</v>
      </c>
      <c r="BI6" s="60">
        <f>IF($X6&lt;Input!$H$103,IF($X6&lt;Input!$G$103,IF($X6&lt;Input!$F$103,IF($X6&lt;Input!$E$103,IF($X6&lt;Input!$D$103,Input!$C$109,Input!$D$109),Input!$E$109),Input!$F$109),Input!$G$109),Input!$H$109)</f>
        <v>0</v>
      </c>
      <c r="BJ6" s="190">
        <f>IF($A6&lt;Input!$H$110,IF($A6&lt;Input!$G$110,IF($A6&lt;Input!$F$110,IF($A6&lt;Input!$E$110,IF($A6&lt;Input!$D$110,Input!$C$111,Input!$D$111),Input!$E$111),Input!$F$111),Input!$G$111),Input!$H$111)</f>
        <v>0.9</v>
      </c>
      <c r="BK6" s="60">
        <f t="shared" si="19"/>
        <v>0</v>
      </c>
      <c r="BL6" s="60">
        <f t="shared" ref="BL6:BL69" si="35">BH6-BH5</f>
        <v>30</v>
      </c>
      <c r="BM6" s="60">
        <f t="shared" si="20"/>
        <v>0</v>
      </c>
      <c r="BN6" s="60">
        <f>ROUND(BM6*BL6*Input!$C$3/365,0)</f>
        <v>0</v>
      </c>
      <c r="BO6" s="61">
        <f>IF($A6&lt;=Input!$C$6,0,IF('144M'!BK6&lt;'144M'!BM6,'144M'!BK6-BN6,'144M'!BM6))</f>
        <v>0</v>
      </c>
      <c r="BP6" s="61">
        <f t="shared" si="21"/>
        <v>0</v>
      </c>
      <c r="BQ6" s="60">
        <f t="shared" si="22"/>
        <v>0</v>
      </c>
      <c r="BR6" s="198"/>
    </row>
    <row r="7" spans="1:70" x14ac:dyDescent="0.25">
      <c r="A7" s="169">
        <v>3</v>
      </c>
      <c r="B7" s="1">
        <f t="shared" si="23"/>
        <v>45611</v>
      </c>
      <c r="C7" s="60">
        <f t="shared" si="1"/>
        <v>16470000</v>
      </c>
      <c r="D7" s="60">
        <f t="shared" si="2"/>
        <v>14823000</v>
      </c>
      <c r="E7" s="60">
        <f t="shared" si="24"/>
        <v>31</v>
      </c>
      <c r="F7" s="60">
        <f t="shared" si="25"/>
        <v>995396809</v>
      </c>
      <c r="G7" s="60">
        <f>ROUND(F7*E7*Input!$C$3/365,0)</f>
        <v>12681083</v>
      </c>
      <c r="H7" s="60">
        <f>IF($A7&lt;=Input!$C$6,0,IF('144M'!D7&lt;'144M'!F7,'144M'!D7-G7,'144M'!F7))</f>
        <v>2141917</v>
      </c>
      <c r="I7" s="60">
        <f t="shared" si="26"/>
        <v>14823000</v>
      </c>
      <c r="J7" s="60">
        <f t="shared" si="27"/>
        <v>993254892</v>
      </c>
      <c r="K7" s="202">
        <f>J7/Input!$K$5</f>
        <v>3.3108496399999998</v>
      </c>
      <c r="L7" s="232"/>
      <c r="M7" s="60">
        <f>IF($B7&lt;Input!$H$43,IF($B7&lt;Input!$G$43,IF($B7&lt;Input!$F$43,IF($B7&lt;Input!$E$43,IF($B7&lt;Input!$D$43,Input!$C$49,Input!$D$49),Input!$E$49),Input!$F$49),Input!$G$49),Input!$H$49)</f>
        <v>16470000</v>
      </c>
      <c r="N7" s="190">
        <f>IF($A7&lt;Input!$H$50,IF($A7&lt;Input!$G$50,IF($A7&lt;Input!$F$50,IF($A7&lt;Input!$E$50,IF($A7&lt;Input!$D$50,Input!$C$51,Input!$D$51),Input!$E$51),Input!$F$51),Input!$G$51),Input!$H$51)</f>
        <v>0.9</v>
      </c>
      <c r="O7" s="60">
        <f t="shared" si="0"/>
        <v>14823000</v>
      </c>
      <c r="P7" s="60">
        <f t="shared" si="3"/>
        <v>31</v>
      </c>
      <c r="Q7" s="60">
        <f t="shared" si="4"/>
        <v>995396809</v>
      </c>
      <c r="R7" s="60">
        <f>ROUND(Q7*$P7*Input!$C$3/365,0)</f>
        <v>12681083</v>
      </c>
      <c r="S7" s="60">
        <f>IF(A7&lt;=Input!$C$6,0,IF('144M'!O7&lt;'144M'!Q7,'144M'!O7-R7,'144M'!Q7))</f>
        <v>2141917</v>
      </c>
      <c r="T7" s="60">
        <f t="shared" si="5"/>
        <v>14823000</v>
      </c>
      <c r="U7" s="60">
        <f t="shared" si="6"/>
        <v>993254892</v>
      </c>
      <c r="V7" s="193"/>
      <c r="W7" s="169">
        <v>3</v>
      </c>
      <c r="X7" s="1">
        <f t="shared" si="28"/>
        <v>45611</v>
      </c>
      <c r="Y7" s="60">
        <f>IF($X7&lt;Input!$H$58,IF($X7&lt;Input!$G$58,IF($X7&lt;Input!$F$58,IF($X7&lt;Input!$E$58,IF($X7&lt;Input!$D$58,Input!$C$64,Input!$D$64),Input!$E$64),Input!$F$64),Input!$G$64),Input!$H$64)</f>
        <v>0</v>
      </c>
      <c r="Z7" s="190">
        <f>IF($A7&lt;Input!$H$65,IF($A7&lt;Input!$G$65,IF($A7&lt;Input!$F$65,IF($A7&lt;Input!$E$65,IF($A7&lt;Input!$D$65,Input!$C$66,Input!$D$66),Input!$E$66),Input!$F$66),Input!$G$66),Input!$H$66)</f>
        <v>0.9</v>
      </c>
      <c r="AA7" s="60">
        <f t="shared" si="7"/>
        <v>0</v>
      </c>
      <c r="AB7" s="60">
        <f t="shared" si="29"/>
        <v>31</v>
      </c>
      <c r="AC7" s="60">
        <f t="shared" si="8"/>
        <v>0</v>
      </c>
      <c r="AD7" s="60">
        <f>ROUND(AC7*AB7*Input!$C$3/365,0)</f>
        <v>0</v>
      </c>
      <c r="AE7" s="61">
        <f>IF($A7&lt;=Input!$C$6,0,IF('144M'!AA7&lt;'144M'!AC7,'144M'!AA7-AD7,'144M'!AC7))</f>
        <v>0</v>
      </c>
      <c r="AF7" s="61">
        <f t="shared" si="9"/>
        <v>0</v>
      </c>
      <c r="AG7" s="60">
        <f t="shared" si="10"/>
        <v>0</v>
      </c>
      <c r="AH7" s="193"/>
      <c r="AI7" s="169">
        <v>3</v>
      </c>
      <c r="AJ7" s="1">
        <f t="shared" si="30"/>
        <v>45611</v>
      </c>
      <c r="AK7" s="60">
        <f>IF($X7&lt;Input!$H$73,IF($X7&lt;Input!$G$73,IF($X7&lt;Input!$F$73,IF($X7&lt;Input!$E$73,IF($X7&lt;Input!$D$73,Input!$C$79,Input!$D$79),Input!$E$79),Input!$F$79),Input!$G$79),Input!$H$79)</f>
        <v>0</v>
      </c>
      <c r="AL7" s="190">
        <f>IF($A7&lt;Input!$H$80,IF($A7&lt;Input!$G$80,IF($A7&lt;Input!$F$80,IF($A7&lt;Input!$E$80,IF($A7&lt;Input!$D$80,Input!$C$81,Input!$D$81),Input!$E$81),Input!$F$81),Input!$G$81),Input!$H$81)</f>
        <v>0.9</v>
      </c>
      <c r="AM7" s="60">
        <f t="shared" si="11"/>
        <v>0</v>
      </c>
      <c r="AN7" s="60">
        <f t="shared" si="31"/>
        <v>31</v>
      </c>
      <c r="AO7" s="60">
        <f t="shared" si="12"/>
        <v>0</v>
      </c>
      <c r="AP7" s="60">
        <f>ROUND(AO7*AN7*Input!$C$3/365,0)</f>
        <v>0</v>
      </c>
      <c r="AQ7" s="61">
        <f>IF($A7&lt;=Input!$C$6,0,IF('144M'!AM7&lt;'144M'!AO7,'144M'!AM7-AP7,'144M'!AO7))</f>
        <v>0</v>
      </c>
      <c r="AR7" s="61">
        <f t="shared" si="13"/>
        <v>0</v>
      </c>
      <c r="AS7" s="60">
        <f t="shared" si="14"/>
        <v>0</v>
      </c>
      <c r="AT7" s="193"/>
      <c r="AU7" s="169">
        <v>3</v>
      </c>
      <c r="AV7" s="1">
        <f t="shared" si="32"/>
        <v>45611</v>
      </c>
      <c r="AW7" s="60">
        <f>IF($X7&lt;Input!$H$88,IF($X7&lt;Input!$G$88,IF($X7&lt;Input!$F$88,IF($X7&lt;Input!$E$88,IF($X7&lt;Input!$D$88,Input!$C$94,Input!$D$94),Input!$E$94),Input!$F$94),Input!$G$94),Input!$H$94)</f>
        <v>0</v>
      </c>
      <c r="AX7" s="190">
        <f>IF($A7&lt;Input!$H$95,IF($A7&lt;Input!$G$95,IF($A7&lt;Input!$F$95,IF($A7&lt;Input!$E$95,IF($A7&lt;Input!$D$95,Input!$C$96,Input!$D$96),Input!$E$96),Input!$F$96),Input!$G$96),Input!$H$96)</f>
        <v>0.9</v>
      </c>
      <c r="AY7" s="60">
        <f t="shared" si="15"/>
        <v>0</v>
      </c>
      <c r="AZ7" s="60">
        <f t="shared" si="33"/>
        <v>31</v>
      </c>
      <c r="BA7" s="60">
        <f t="shared" si="16"/>
        <v>0</v>
      </c>
      <c r="BB7" s="60">
        <f>ROUND(BA7*AZ7*Input!$C$3/365,0)</f>
        <v>0</v>
      </c>
      <c r="BC7" s="61">
        <f>IF($A7&lt;=Input!$C$6,0,IF('144M'!AY7&lt;'144M'!BA7,'144M'!AY7-BB7,'144M'!BA7))</f>
        <v>0</v>
      </c>
      <c r="BD7" s="61">
        <f t="shared" si="17"/>
        <v>0</v>
      </c>
      <c r="BE7" s="60">
        <f t="shared" si="18"/>
        <v>0</v>
      </c>
      <c r="BF7" s="193"/>
      <c r="BG7" s="169">
        <v>3</v>
      </c>
      <c r="BH7" s="1">
        <f t="shared" si="34"/>
        <v>45611</v>
      </c>
      <c r="BI7" s="60">
        <f>IF($X7&lt;Input!$H$103,IF($X7&lt;Input!$G$103,IF($X7&lt;Input!$F$103,IF($X7&lt;Input!$E$103,IF($X7&lt;Input!$D$103,Input!$C$109,Input!$D$109),Input!$E$109),Input!$F$109),Input!$G$109),Input!$H$109)</f>
        <v>0</v>
      </c>
      <c r="BJ7" s="190">
        <f>IF($A7&lt;Input!$H$110,IF($A7&lt;Input!$G$110,IF($A7&lt;Input!$F$110,IF($A7&lt;Input!$E$110,IF($A7&lt;Input!$D$110,Input!$C$111,Input!$D$111),Input!$E$111),Input!$F$111),Input!$G$111),Input!$H$111)</f>
        <v>0.9</v>
      </c>
      <c r="BK7" s="60">
        <f t="shared" si="19"/>
        <v>0</v>
      </c>
      <c r="BL7" s="60">
        <f t="shared" si="35"/>
        <v>31</v>
      </c>
      <c r="BM7" s="60">
        <f t="shared" si="20"/>
        <v>0</v>
      </c>
      <c r="BN7" s="60">
        <f>ROUND(BM7*BL7*Input!$C$3/365,0)</f>
        <v>0</v>
      </c>
      <c r="BO7" s="61">
        <f>IF($A7&lt;=Input!$C$6,0,IF('144M'!BK7&lt;'144M'!BM7,'144M'!BK7-BN7,'144M'!BM7))</f>
        <v>0</v>
      </c>
      <c r="BP7" s="61">
        <f t="shared" si="21"/>
        <v>0</v>
      </c>
      <c r="BQ7" s="60">
        <f t="shared" si="22"/>
        <v>0</v>
      </c>
      <c r="BR7" s="198"/>
    </row>
    <row r="8" spans="1:70" x14ac:dyDescent="0.25">
      <c r="A8" s="169">
        <v>4</v>
      </c>
      <c r="B8" s="1">
        <f t="shared" si="23"/>
        <v>45641</v>
      </c>
      <c r="C8" s="60">
        <f t="shared" si="1"/>
        <v>16470000</v>
      </c>
      <c r="D8" s="60">
        <f t="shared" si="2"/>
        <v>14823000</v>
      </c>
      <c r="E8" s="60">
        <f t="shared" si="24"/>
        <v>30</v>
      </c>
      <c r="F8" s="60">
        <f t="shared" si="25"/>
        <v>993254892</v>
      </c>
      <c r="G8" s="60">
        <f>ROUND(F8*E8*Input!$C$3/365,0)</f>
        <v>12245608</v>
      </c>
      <c r="H8" s="60">
        <f>IF($A8&lt;=Input!$C$6,0,IF('144M'!D8&lt;'144M'!F8,'144M'!D8-G8,'144M'!F8))</f>
        <v>2577392</v>
      </c>
      <c r="I8" s="60">
        <f t="shared" si="26"/>
        <v>14823000</v>
      </c>
      <c r="J8" s="60">
        <f t="shared" si="27"/>
        <v>990677500</v>
      </c>
      <c r="K8" s="202">
        <f>J8/Input!$K$5</f>
        <v>3.3022583333333335</v>
      </c>
      <c r="L8" s="232"/>
      <c r="M8" s="60">
        <f>IF($B8&lt;Input!$H$43,IF($B8&lt;Input!$G$43,IF($B8&lt;Input!$F$43,IF($B8&lt;Input!$E$43,IF($B8&lt;Input!$D$43,Input!$C$49,Input!$D$49),Input!$E$49),Input!$F$49),Input!$G$49),Input!$H$49)</f>
        <v>16470000</v>
      </c>
      <c r="N8" s="190">
        <f>IF($A8&lt;Input!$H$50,IF($A8&lt;Input!$G$50,IF($A8&lt;Input!$F$50,IF($A8&lt;Input!$E$50,IF($A8&lt;Input!$D$50,Input!$C$51,Input!$D$51),Input!$E$51),Input!$F$51),Input!$G$51),Input!$H$51)</f>
        <v>0.9</v>
      </c>
      <c r="O8" s="60">
        <f t="shared" si="0"/>
        <v>14823000</v>
      </c>
      <c r="P8" s="60">
        <f t="shared" si="3"/>
        <v>30</v>
      </c>
      <c r="Q8" s="60">
        <f t="shared" si="4"/>
        <v>993254892</v>
      </c>
      <c r="R8" s="60">
        <f>ROUND(Q8*$P8*Input!$C$3/365,0)</f>
        <v>12245608</v>
      </c>
      <c r="S8" s="60">
        <f>IF(A8&lt;=Input!$C$6,0,IF('144M'!O8&lt;'144M'!Q8,'144M'!O8-R8,'144M'!Q8))</f>
        <v>2577392</v>
      </c>
      <c r="T8" s="60">
        <f t="shared" si="5"/>
        <v>14823000</v>
      </c>
      <c r="U8" s="60">
        <f t="shared" si="6"/>
        <v>990677500</v>
      </c>
      <c r="V8" s="193"/>
      <c r="W8" s="169">
        <v>4</v>
      </c>
      <c r="X8" s="1">
        <f t="shared" si="28"/>
        <v>45641</v>
      </c>
      <c r="Y8" s="60">
        <f>IF($X8&lt;Input!$H$58,IF($X8&lt;Input!$G$58,IF($X8&lt;Input!$F$58,IF($X8&lt;Input!$E$58,IF($X8&lt;Input!$D$58,Input!$C$64,Input!$D$64),Input!$E$64),Input!$F$64),Input!$G$64),Input!$H$64)</f>
        <v>0</v>
      </c>
      <c r="Z8" s="190">
        <f>IF($A8&lt;Input!$H$65,IF($A8&lt;Input!$G$65,IF($A8&lt;Input!$F$65,IF($A8&lt;Input!$E$65,IF($A8&lt;Input!$D$65,Input!$C$66,Input!$D$66),Input!$E$66),Input!$F$66),Input!$G$66),Input!$H$66)</f>
        <v>0.9</v>
      </c>
      <c r="AA8" s="60">
        <f t="shared" si="7"/>
        <v>0</v>
      </c>
      <c r="AB8" s="60">
        <f t="shared" si="29"/>
        <v>30</v>
      </c>
      <c r="AC8" s="60">
        <f t="shared" si="8"/>
        <v>0</v>
      </c>
      <c r="AD8" s="60">
        <f>ROUND(AC8*AB8*Input!$C$3/365,0)</f>
        <v>0</v>
      </c>
      <c r="AE8" s="61">
        <f>IF($A8&lt;=Input!$C$6,0,IF('144M'!AA8&lt;'144M'!AC8,'144M'!AA8-AD8,'144M'!AC8))</f>
        <v>0</v>
      </c>
      <c r="AF8" s="61">
        <f t="shared" si="9"/>
        <v>0</v>
      </c>
      <c r="AG8" s="60">
        <f t="shared" si="10"/>
        <v>0</v>
      </c>
      <c r="AH8" s="193"/>
      <c r="AI8" s="169">
        <v>4</v>
      </c>
      <c r="AJ8" s="1">
        <f t="shared" si="30"/>
        <v>45641</v>
      </c>
      <c r="AK8" s="60">
        <f>IF($X8&lt;Input!$H$73,IF($X8&lt;Input!$G$73,IF($X8&lt;Input!$F$73,IF($X8&lt;Input!$E$73,IF($X8&lt;Input!$D$73,Input!$C$79,Input!$D$79),Input!$E$79),Input!$F$79),Input!$G$79),Input!$H$79)</f>
        <v>0</v>
      </c>
      <c r="AL8" s="190">
        <f>IF($A8&lt;Input!$H$80,IF($A8&lt;Input!$G$80,IF($A8&lt;Input!$F$80,IF($A8&lt;Input!$E$80,IF($A8&lt;Input!$D$80,Input!$C$81,Input!$D$81),Input!$E$81),Input!$F$81),Input!$G$81),Input!$H$81)</f>
        <v>0.9</v>
      </c>
      <c r="AM8" s="60">
        <f t="shared" si="11"/>
        <v>0</v>
      </c>
      <c r="AN8" s="60">
        <f t="shared" si="31"/>
        <v>30</v>
      </c>
      <c r="AO8" s="60">
        <f t="shared" si="12"/>
        <v>0</v>
      </c>
      <c r="AP8" s="60">
        <f>ROUND(AO8*AN8*Input!$C$3/365,0)</f>
        <v>0</v>
      </c>
      <c r="AQ8" s="61">
        <f>IF($A8&lt;=Input!$C$6,0,IF('144M'!AM8&lt;'144M'!AO8,'144M'!AM8-AP8,'144M'!AO8))</f>
        <v>0</v>
      </c>
      <c r="AR8" s="61">
        <f t="shared" si="13"/>
        <v>0</v>
      </c>
      <c r="AS8" s="60">
        <f t="shared" si="14"/>
        <v>0</v>
      </c>
      <c r="AT8" s="193"/>
      <c r="AU8" s="169">
        <v>4</v>
      </c>
      <c r="AV8" s="1">
        <f t="shared" si="32"/>
        <v>45641</v>
      </c>
      <c r="AW8" s="60">
        <f>IF($X8&lt;Input!$H$88,IF($X8&lt;Input!$G$88,IF($X8&lt;Input!$F$88,IF($X8&lt;Input!$E$88,IF($X8&lt;Input!$D$88,Input!$C$94,Input!$D$94),Input!$E$94),Input!$F$94),Input!$G$94),Input!$H$94)</f>
        <v>0</v>
      </c>
      <c r="AX8" s="190">
        <f>IF($A8&lt;Input!$H$95,IF($A8&lt;Input!$G$95,IF($A8&lt;Input!$F$95,IF($A8&lt;Input!$E$95,IF($A8&lt;Input!$D$95,Input!$C$96,Input!$D$96),Input!$E$96),Input!$F$96),Input!$G$96),Input!$H$96)</f>
        <v>0.9</v>
      </c>
      <c r="AY8" s="60">
        <f t="shared" si="15"/>
        <v>0</v>
      </c>
      <c r="AZ8" s="60">
        <f t="shared" si="33"/>
        <v>30</v>
      </c>
      <c r="BA8" s="60">
        <f t="shared" si="16"/>
        <v>0</v>
      </c>
      <c r="BB8" s="60">
        <f>ROUND(BA8*AZ8*Input!$C$3/365,0)</f>
        <v>0</v>
      </c>
      <c r="BC8" s="61">
        <f>IF($A8&lt;=Input!$C$6,0,IF('144M'!AY8&lt;'144M'!BA8,'144M'!AY8-BB8,'144M'!BA8))</f>
        <v>0</v>
      </c>
      <c r="BD8" s="61">
        <f t="shared" si="17"/>
        <v>0</v>
      </c>
      <c r="BE8" s="60">
        <f t="shared" si="18"/>
        <v>0</v>
      </c>
      <c r="BF8" s="193"/>
      <c r="BG8" s="169">
        <v>4</v>
      </c>
      <c r="BH8" s="1">
        <f t="shared" si="34"/>
        <v>45641</v>
      </c>
      <c r="BI8" s="60">
        <f>IF($X8&lt;Input!$H$103,IF($X8&lt;Input!$G$103,IF($X8&lt;Input!$F$103,IF($X8&lt;Input!$E$103,IF($X8&lt;Input!$D$103,Input!$C$109,Input!$D$109),Input!$E$109),Input!$F$109),Input!$G$109),Input!$H$109)</f>
        <v>0</v>
      </c>
      <c r="BJ8" s="190">
        <f>IF($A8&lt;Input!$H$110,IF($A8&lt;Input!$G$110,IF($A8&lt;Input!$F$110,IF($A8&lt;Input!$E$110,IF($A8&lt;Input!$D$110,Input!$C$111,Input!$D$111),Input!$E$111),Input!$F$111),Input!$G$111),Input!$H$111)</f>
        <v>0.9</v>
      </c>
      <c r="BK8" s="60">
        <f t="shared" si="19"/>
        <v>0</v>
      </c>
      <c r="BL8" s="60">
        <f t="shared" si="35"/>
        <v>30</v>
      </c>
      <c r="BM8" s="60">
        <f t="shared" si="20"/>
        <v>0</v>
      </c>
      <c r="BN8" s="60">
        <f>ROUND(BM8*BL8*Input!$C$3/365,0)</f>
        <v>0</v>
      </c>
      <c r="BO8" s="61">
        <f>IF($A8&lt;=Input!$C$6,0,IF('144M'!BK8&lt;'144M'!BM8,'144M'!BK8-BN8,'144M'!BM8))</f>
        <v>0</v>
      </c>
      <c r="BP8" s="61">
        <f t="shared" si="21"/>
        <v>0</v>
      </c>
      <c r="BQ8" s="60">
        <f t="shared" si="22"/>
        <v>0</v>
      </c>
      <c r="BR8" s="198"/>
    </row>
    <row r="9" spans="1:70" x14ac:dyDescent="0.25">
      <c r="A9" s="169">
        <v>5</v>
      </c>
      <c r="B9" s="1">
        <f t="shared" si="23"/>
        <v>45672</v>
      </c>
      <c r="C9" s="60">
        <f t="shared" si="1"/>
        <v>16470000</v>
      </c>
      <c r="D9" s="60">
        <f t="shared" si="2"/>
        <v>14823000</v>
      </c>
      <c r="E9" s="60">
        <f t="shared" si="24"/>
        <v>31</v>
      </c>
      <c r="F9" s="60">
        <f t="shared" si="25"/>
        <v>990677500</v>
      </c>
      <c r="G9" s="60">
        <f>ROUND(F9*E9*Input!$C$3/365,0)</f>
        <v>12620960</v>
      </c>
      <c r="H9" s="60">
        <f>IF($A9&lt;=Input!$C$6,0,IF('144M'!D9&lt;'144M'!F9,'144M'!D9-G9,'144M'!F9))</f>
        <v>2202040</v>
      </c>
      <c r="I9" s="60">
        <f t="shared" si="26"/>
        <v>14823000</v>
      </c>
      <c r="J9" s="60">
        <f t="shared" si="27"/>
        <v>988475460</v>
      </c>
      <c r="K9" s="202">
        <f>J9/Input!$K$5</f>
        <v>3.2949182000000001</v>
      </c>
      <c r="L9" s="232"/>
      <c r="M9" s="60">
        <f>IF($B9&lt;Input!$H$43,IF($B9&lt;Input!$G$43,IF($B9&lt;Input!$F$43,IF($B9&lt;Input!$E$43,IF($B9&lt;Input!$D$43,Input!$C$49,Input!$D$49),Input!$E$49),Input!$F$49),Input!$G$49),Input!$H$49)</f>
        <v>16470000</v>
      </c>
      <c r="N9" s="190">
        <f>IF($A9&lt;Input!$H$50,IF($A9&lt;Input!$G$50,IF($A9&lt;Input!$F$50,IF($A9&lt;Input!$E$50,IF($A9&lt;Input!$D$50,Input!$C$51,Input!$D$51),Input!$E$51),Input!$F$51),Input!$G$51),Input!$H$51)</f>
        <v>0.9</v>
      </c>
      <c r="O9" s="60">
        <f t="shared" si="0"/>
        <v>14823000</v>
      </c>
      <c r="P9" s="60">
        <f t="shared" si="3"/>
        <v>31</v>
      </c>
      <c r="Q9" s="60">
        <f t="shared" si="4"/>
        <v>990677500</v>
      </c>
      <c r="R9" s="60">
        <f>ROUND(Q9*$P9*Input!$C$3/365,0)</f>
        <v>12620960</v>
      </c>
      <c r="S9" s="60">
        <f>IF(A9&lt;=Input!$C$6,0,IF('144M'!O9&lt;'144M'!Q9,'144M'!O9-R9,'144M'!Q9))</f>
        <v>2202040</v>
      </c>
      <c r="T9" s="60">
        <f t="shared" si="5"/>
        <v>14823000</v>
      </c>
      <c r="U9" s="60">
        <f t="shared" si="6"/>
        <v>988475460</v>
      </c>
      <c r="V9" s="193"/>
      <c r="W9" s="169">
        <v>5</v>
      </c>
      <c r="X9" s="1">
        <f t="shared" si="28"/>
        <v>45672</v>
      </c>
      <c r="Y9" s="60">
        <f>IF($X9&lt;Input!$H$58,IF($X9&lt;Input!$G$58,IF($X9&lt;Input!$F$58,IF($X9&lt;Input!$E$58,IF($X9&lt;Input!$D$58,Input!$C$64,Input!$D$64),Input!$E$64),Input!$F$64),Input!$G$64),Input!$H$64)</f>
        <v>0</v>
      </c>
      <c r="Z9" s="190">
        <f>IF($A9&lt;Input!$H$65,IF($A9&lt;Input!$G$65,IF($A9&lt;Input!$F$65,IF($A9&lt;Input!$E$65,IF($A9&lt;Input!$D$65,Input!$C$66,Input!$D$66),Input!$E$66),Input!$F$66),Input!$G$66),Input!$H$66)</f>
        <v>0.9</v>
      </c>
      <c r="AA9" s="60">
        <f t="shared" si="7"/>
        <v>0</v>
      </c>
      <c r="AB9" s="60">
        <f t="shared" si="29"/>
        <v>31</v>
      </c>
      <c r="AC9" s="60">
        <f t="shared" si="8"/>
        <v>0</v>
      </c>
      <c r="AD9" s="60">
        <f>ROUND(AC9*AB9*Input!$C$3/365,0)</f>
        <v>0</v>
      </c>
      <c r="AE9" s="61">
        <f>IF($A9&lt;=Input!$C$6,0,IF('144M'!AA9&lt;'144M'!AC9,'144M'!AA9-AD9,'144M'!AC9))</f>
        <v>0</v>
      </c>
      <c r="AF9" s="61">
        <f t="shared" si="9"/>
        <v>0</v>
      </c>
      <c r="AG9" s="60">
        <f t="shared" si="10"/>
        <v>0</v>
      </c>
      <c r="AH9" s="193"/>
      <c r="AI9" s="169">
        <v>5</v>
      </c>
      <c r="AJ9" s="1">
        <f t="shared" si="30"/>
        <v>45672</v>
      </c>
      <c r="AK9" s="60">
        <f>IF($X9&lt;Input!$H$73,IF($X9&lt;Input!$G$73,IF($X9&lt;Input!$F$73,IF($X9&lt;Input!$E$73,IF($X9&lt;Input!$D$73,Input!$C$79,Input!$D$79),Input!$E$79),Input!$F$79),Input!$G$79),Input!$H$79)</f>
        <v>0</v>
      </c>
      <c r="AL9" s="190">
        <f>IF($A9&lt;Input!$H$80,IF($A9&lt;Input!$G$80,IF($A9&lt;Input!$F$80,IF($A9&lt;Input!$E$80,IF($A9&lt;Input!$D$80,Input!$C$81,Input!$D$81),Input!$E$81),Input!$F$81),Input!$G$81),Input!$H$81)</f>
        <v>0.9</v>
      </c>
      <c r="AM9" s="60">
        <f t="shared" si="11"/>
        <v>0</v>
      </c>
      <c r="AN9" s="60">
        <f t="shared" si="31"/>
        <v>31</v>
      </c>
      <c r="AO9" s="60">
        <f t="shared" si="12"/>
        <v>0</v>
      </c>
      <c r="AP9" s="60">
        <f>ROUND(AO9*AN9*Input!$C$3/365,0)</f>
        <v>0</v>
      </c>
      <c r="AQ9" s="61">
        <f>IF($A9&lt;=Input!$C$6,0,IF('144M'!AM9&lt;'144M'!AO9,'144M'!AM9-AP9,'144M'!AO9))</f>
        <v>0</v>
      </c>
      <c r="AR9" s="61">
        <f t="shared" si="13"/>
        <v>0</v>
      </c>
      <c r="AS9" s="60">
        <f t="shared" si="14"/>
        <v>0</v>
      </c>
      <c r="AT9" s="193"/>
      <c r="AU9" s="169">
        <v>5</v>
      </c>
      <c r="AV9" s="1">
        <f t="shared" si="32"/>
        <v>45672</v>
      </c>
      <c r="AW9" s="60">
        <f>IF($X9&lt;Input!$H$88,IF($X9&lt;Input!$G$88,IF($X9&lt;Input!$F$88,IF($X9&lt;Input!$E$88,IF($X9&lt;Input!$D$88,Input!$C$94,Input!$D$94),Input!$E$94),Input!$F$94),Input!$G$94),Input!$H$94)</f>
        <v>0</v>
      </c>
      <c r="AX9" s="190">
        <f>IF($A9&lt;Input!$H$95,IF($A9&lt;Input!$G$95,IF($A9&lt;Input!$F$95,IF($A9&lt;Input!$E$95,IF($A9&lt;Input!$D$95,Input!$C$96,Input!$D$96),Input!$E$96),Input!$F$96),Input!$G$96),Input!$H$96)</f>
        <v>0.9</v>
      </c>
      <c r="AY9" s="60">
        <f t="shared" si="15"/>
        <v>0</v>
      </c>
      <c r="AZ9" s="60">
        <f t="shared" si="33"/>
        <v>31</v>
      </c>
      <c r="BA9" s="60">
        <f t="shared" si="16"/>
        <v>0</v>
      </c>
      <c r="BB9" s="60">
        <f>ROUND(BA9*AZ9*Input!$C$3/365,0)</f>
        <v>0</v>
      </c>
      <c r="BC9" s="61">
        <f>IF($A9&lt;=Input!$C$6,0,IF('144M'!AY9&lt;'144M'!BA9,'144M'!AY9-BB9,'144M'!BA9))</f>
        <v>0</v>
      </c>
      <c r="BD9" s="61">
        <f t="shared" si="17"/>
        <v>0</v>
      </c>
      <c r="BE9" s="60">
        <f t="shared" si="18"/>
        <v>0</v>
      </c>
      <c r="BF9" s="193"/>
      <c r="BG9" s="169">
        <v>5</v>
      </c>
      <c r="BH9" s="1">
        <f t="shared" si="34"/>
        <v>45672</v>
      </c>
      <c r="BI9" s="60">
        <f>IF($X9&lt;Input!$H$103,IF($X9&lt;Input!$G$103,IF($X9&lt;Input!$F$103,IF($X9&lt;Input!$E$103,IF($X9&lt;Input!$D$103,Input!$C$109,Input!$D$109),Input!$E$109),Input!$F$109),Input!$G$109),Input!$H$109)</f>
        <v>0</v>
      </c>
      <c r="BJ9" s="190">
        <f>IF($A9&lt;Input!$H$110,IF($A9&lt;Input!$G$110,IF($A9&lt;Input!$F$110,IF($A9&lt;Input!$E$110,IF($A9&lt;Input!$D$110,Input!$C$111,Input!$D$111),Input!$E$111),Input!$F$111),Input!$G$111),Input!$H$111)</f>
        <v>0.9</v>
      </c>
      <c r="BK9" s="60">
        <f t="shared" si="19"/>
        <v>0</v>
      </c>
      <c r="BL9" s="60">
        <f t="shared" si="35"/>
        <v>31</v>
      </c>
      <c r="BM9" s="60">
        <f t="shared" si="20"/>
        <v>0</v>
      </c>
      <c r="BN9" s="60">
        <f>ROUND(BM9*BL9*Input!$C$3/365,0)</f>
        <v>0</v>
      </c>
      <c r="BO9" s="61">
        <f>IF($A9&lt;=Input!$C$6,0,IF('144M'!BK9&lt;'144M'!BM9,'144M'!BK9-BN9,'144M'!BM9))</f>
        <v>0</v>
      </c>
      <c r="BP9" s="61">
        <f t="shared" si="21"/>
        <v>0</v>
      </c>
      <c r="BQ9" s="60">
        <f t="shared" si="22"/>
        <v>0</v>
      </c>
      <c r="BR9" s="198"/>
    </row>
    <row r="10" spans="1:70" x14ac:dyDescent="0.25">
      <c r="A10" s="169">
        <v>6</v>
      </c>
      <c r="B10" s="1">
        <f t="shared" si="23"/>
        <v>45703</v>
      </c>
      <c r="C10" s="60">
        <f t="shared" si="1"/>
        <v>16470000</v>
      </c>
      <c r="D10" s="60">
        <f t="shared" si="2"/>
        <v>14823000</v>
      </c>
      <c r="E10" s="60">
        <f t="shared" si="24"/>
        <v>31</v>
      </c>
      <c r="F10" s="60">
        <f t="shared" si="25"/>
        <v>988475460</v>
      </c>
      <c r="G10" s="60">
        <f>ROUND(F10*E10*Input!$C$3/365,0)</f>
        <v>12592907</v>
      </c>
      <c r="H10" s="60">
        <f>IF($A10&lt;=Input!$C$6,0,IF('144M'!D10&lt;'144M'!F10,'144M'!D10-G10,'144M'!F10))</f>
        <v>2230093</v>
      </c>
      <c r="I10" s="60">
        <f t="shared" si="26"/>
        <v>14823000</v>
      </c>
      <c r="J10" s="60">
        <f t="shared" si="27"/>
        <v>986245367</v>
      </c>
      <c r="K10" s="202">
        <f>J10/Input!$K$5</f>
        <v>3.2874845566666666</v>
      </c>
      <c r="L10" s="232"/>
      <c r="M10" s="60">
        <f>IF($B10&lt;Input!$H$43,IF($B10&lt;Input!$G$43,IF($B10&lt;Input!$F$43,IF($B10&lt;Input!$E$43,IF($B10&lt;Input!$D$43,Input!$C$49,Input!$D$49),Input!$E$49),Input!$F$49),Input!$G$49),Input!$H$49)</f>
        <v>16470000</v>
      </c>
      <c r="N10" s="190">
        <f>IF($A10&lt;Input!$H$50,IF($A10&lt;Input!$G$50,IF($A10&lt;Input!$F$50,IF($A10&lt;Input!$E$50,IF($A10&lt;Input!$D$50,Input!$C$51,Input!$D$51),Input!$E$51),Input!$F$51),Input!$G$51),Input!$H$51)</f>
        <v>0.9</v>
      </c>
      <c r="O10" s="60">
        <f t="shared" si="0"/>
        <v>14823000</v>
      </c>
      <c r="P10" s="60">
        <f t="shared" si="3"/>
        <v>31</v>
      </c>
      <c r="Q10" s="60">
        <f t="shared" si="4"/>
        <v>988475460</v>
      </c>
      <c r="R10" s="60">
        <f>ROUND(Q10*$P10*Input!$C$3/365,0)</f>
        <v>12592907</v>
      </c>
      <c r="S10" s="60">
        <f>IF(A10&lt;=Input!$C$6,0,IF('144M'!O10&lt;'144M'!Q10,'144M'!O10-R10,'144M'!Q10))</f>
        <v>2230093</v>
      </c>
      <c r="T10" s="60">
        <f t="shared" si="5"/>
        <v>14823000</v>
      </c>
      <c r="U10" s="60">
        <f t="shared" si="6"/>
        <v>986245367</v>
      </c>
      <c r="V10" s="193"/>
      <c r="W10" s="169">
        <v>6</v>
      </c>
      <c r="X10" s="1">
        <f t="shared" si="28"/>
        <v>45703</v>
      </c>
      <c r="Y10" s="60">
        <f>IF($X10&lt;Input!$H$58,IF($X10&lt;Input!$G$58,IF($X10&lt;Input!$F$58,IF($X10&lt;Input!$E$58,IF($X10&lt;Input!$D$58,Input!$C$64,Input!$D$64),Input!$E$64),Input!$F$64),Input!$G$64),Input!$H$64)</f>
        <v>0</v>
      </c>
      <c r="Z10" s="190">
        <f>IF($A10&lt;Input!$H$65,IF($A10&lt;Input!$G$65,IF($A10&lt;Input!$F$65,IF($A10&lt;Input!$E$65,IF($A10&lt;Input!$D$65,Input!$C$66,Input!$D$66),Input!$E$66),Input!$F$66),Input!$G$66),Input!$H$66)</f>
        <v>0.9</v>
      </c>
      <c r="AA10" s="60">
        <f t="shared" si="7"/>
        <v>0</v>
      </c>
      <c r="AB10" s="60">
        <f t="shared" si="29"/>
        <v>31</v>
      </c>
      <c r="AC10" s="60">
        <f t="shared" si="8"/>
        <v>0</v>
      </c>
      <c r="AD10" s="60">
        <f>ROUND(AC10*AB10*Input!$C$3/365,0)</f>
        <v>0</v>
      </c>
      <c r="AE10" s="61">
        <f>IF($A10&lt;=Input!$C$6,0,IF('144M'!AA10&lt;'144M'!AC10,'144M'!AA10-AD10,'144M'!AC10))</f>
        <v>0</v>
      </c>
      <c r="AF10" s="61">
        <f t="shared" si="9"/>
        <v>0</v>
      </c>
      <c r="AG10" s="60">
        <f t="shared" si="10"/>
        <v>0</v>
      </c>
      <c r="AH10" s="193"/>
      <c r="AI10" s="169">
        <v>6</v>
      </c>
      <c r="AJ10" s="1">
        <f t="shared" si="30"/>
        <v>45703</v>
      </c>
      <c r="AK10" s="60">
        <f>IF($X10&lt;Input!$H$73,IF($X10&lt;Input!$G$73,IF($X10&lt;Input!$F$73,IF($X10&lt;Input!$E$73,IF($X10&lt;Input!$D$73,Input!$C$79,Input!$D$79),Input!$E$79),Input!$F$79),Input!$G$79),Input!$H$79)</f>
        <v>0</v>
      </c>
      <c r="AL10" s="190">
        <f>IF($A10&lt;Input!$H$80,IF($A10&lt;Input!$G$80,IF($A10&lt;Input!$F$80,IF($A10&lt;Input!$E$80,IF($A10&lt;Input!$D$80,Input!$C$81,Input!$D$81),Input!$E$81),Input!$F$81),Input!$G$81),Input!$H$81)</f>
        <v>0.9</v>
      </c>
      <c r="AM10" s="60">
        <f t="shared" si="11"/>
        <v>0</v>
      </c>
      <c r="AN10" s="60">
        <f t="shared" si="31"/>
        <v>31</v>
      </c>
      <c r="AO10" s="60">
        <f t="shared" si="12"/>
        <v>0</v>
      </c>
      <c r="AP10" s="60">
        <f>ROUND(AO10*AN10*Input!$C$3/365,0)</f>
        <v>0</v>
      </c>
      <c r="AQ10" s="61">
        <f>IF($A10&lt;=Input!$C$6,0,IF('144M'!AM10&lt;'144M'!AO10,'144M'!AM10-AP10,'144M'!AO10))</f>
        <v>0</v>
      </c>
      <c r="AR10" s="61">
        <f t="shared" si="13"/>
        <v>0</v>
      </c>
      <c r="AS10" s="60">
        <f t="shared" si="14"/>
        <v>0</v>
      </c>
      <c r="AT10" s="193"/>
      <c r="AU10" s="169">
        <v>6</v>
      </c>
      <c r="AV10" s="1">
        <f t="shared" si="32"/>
        <v>45703</v>
      </c>
      <c r="AW10" s="60">
        <f>IF($X10&lt;Input!$H$88,IF($X10&lt;Input!$G$88,IF($X10&lt;Input!$F$88,IF($X10&lt;Input!$E$88,IF($X10&lt;Input!$D$88,Input!$C$94,Input!$D$94),Input!$E$94),Input!$F$94),Input!$G$94),Input!$H$94)</f>
        <v>0</v>
      </c>
      <c r="AX10" s="190">
        <f>IF($A10&lt;Input!$H$95,IF($A10&lt;Input!$G$95,IF($A10&lt;Input!$F$95,IF($A10&lt;Input!$E$95,IF($A10&lt;Input!$D$95,Input!$C$96,Input!$D$96),Input!$E$96),Input!$F$96),Input!$G$96),Input!$H$96)</f>
        <v>0.9</v>
      </c>
      <c r="AY10" s="60">
        <f t="shared" si="15"/>
        <v>0</v>
      </c>
      <c r="AZ10" s="60">
        <f t="shared" si="33"/>
        <v>31</v>
      </c>
      <c r="BA10" s="60">
        <f t="shared" si="16"/>
        <v>0</v>
      </c>
      <c r="BB10" s="60">
        <f>ROUND(BA10*AZ10*Input!$C$3/365,0)</f>
        <v>0</v>
      </c>
      <c r="BC10" s="61">
        <f>IF($A10&lt;=Input!$C$6,0,IF('144M'!AY10&lt;'144M'!BA10,'144M'!AY10-BB10,'144M'!BA10))</f>
        <v>0</v>
      </c>
      <c r="BD10" s="61">
        <f t="shared" si="17"/>
        <v>0</v>
      </c>
      <c r="BE10" s="60">
        <f t="shared" si="18"/>
        <v>0</v>
      </c>
      <c r="BF10" s="193"/>
      <c r="BG10" s="169">
        <v>6</v>
      </c>
      <c r="BH10" s="1">
        <f t="shared" si="34"/>
        <v>45703</v>
      </c>
      <c r="BI10" s="60">
        <f>IF($X10&lt;Input!$H$103,IF($X10&lt;Input!$G$103,IF($X10&lt;Input!$F$103,IF($X10&lt;Input!$E$103,IF($X10&lt;Input!$D$103,Input!$C$109,Input!$D$109),Input!$E$109),Input!$F$109),Input!$G$109),Input!$H$109)</f>
        <v>0</v>
      </c>
      <c r="BJ10" s="190">
        <f>IF($A10&lt;Input!$H$110,IF($A10&lt;Input!$G$110,IF($A10&lt;Input!$F$110,IF($A10&lt;Input!$E$110,IF($A10&lt;Input!$D$110,Input!$C$111,Input!$D$111),Input!$E$111),Input!$F$111),Input!$G$111),Input!$H$111)</f>
        <v>0.9</v>
      </c>
      <c r="BK10" s="60">
        <f t="shared" si="19"/>
        <v>0</v>
      </c>
      <c r="BL10" s="60">
        <f t="shared" si="35"/>
        <v>31</v>
      </c>
      <c r="BM10" s="60">
        <f t="shared" si="20"/>
        <v>0</v>
      </c>
      <c r="BN10" s="60">
        <f>ROUND(BM10*BL10*Input!$C$3/365,0)</f>
        <v>0</v>
      </c>
      <c r="BO10" s="61">
        <f>IF($A10&lt;=Input!$C$6,0,IF('144M'!BK10&lt;'144M'!BM10,'144M'!BK10-BN10,'144M'!BM10))</f>
        <v>0</v>
      </c>
      <c r="BP10" s="61">
        <f t="shared" si="21"/>
        <v>0</v>
      </c>
      <c r="BQ10" s="60">
        <f t="shared" si="22"/>
        <v>0</v>
      </c>
      <c r="BR10" s="198"/>
    </row>
    <row r="11" spans="1:70" x14ac:dyDescent="0.25">
      <c r="A11" s="169">
        <v>7</v>
      </c>
      <c r="B11" s="1">
        <f t="shared" si="23"/>
        <v>45731</v>
      </c>
      <c r="C11" s="60">
        <f t="shared" si="1"/>
        <v>16470000</v>
      </c>
      <c r="D11" s="60">
        <f t="shared" si="2"/>
        <v>14823000</v>
      </c>
      <c r="E11" s="60">
        <f t="shared" si="24"/>
        <v>28</v>
      </c>
      <c r="F11" s="60">
        <f t="shared" si="25"/>
        <v>986245367</v>
      </c>
      <c r="G11" s="60">
        <f>ROUND(F11*E11*Input!$C$3/365,0)</f>
        <v>11348577</v>
      </c>
      <c r="H11" s="60">
        <f>IF($A11&lt;=Input!$C$6,0,IF('144M'!D11&lt;'144M'!F11,'144M'!D11-G11,'144M'!F11))</f>
        <v>3474423</v>
      </c>
      <c r="I11" s="60">
        <f t="shared" si="26"/>
        <v>14823000</v>
      </c>
      <c r="J11" s="60">
        <f t="shared" si="27"/>
        <v>982770944</v>
      </c>
      <c r="K11" s="202">
        <f>J11/Input!$K$5</f>
        <v>3.2759031466666668</v>
      </c>
      <c r="L11" s="232"/>
      <c r="M11" s="60">
        <f>IF($B11&lt;Input!$H$43,IF($B11&lt;Input!$G$43,IF($B11&lt;Input!$F$43,IF($B11&lt;Input!$E$43,IF($B11&lt;Input!$D$43,Input!$C$49,Input!$D$49),Input!$E$49),Input!$F$49),Input!$G$49),Input!$H$49)</f>
        <v>16470000</v>
      </c>
      <c r="N11" s="190">
        <f>IF($A11&lt;Input!$H$50,IF($A11&lt;Input!$G$50,IF($A11&lt;Input!$F$50,IF($A11&lt;Input!$E$50,IF($A11&lt;Input!$D$50,Input!$C$51,Input!$D$51),Input!$E$51),Input!$F$51),Input!$G$51),Input!$H$51)</f>
        <v>0.9</v>
      </c>
      <c r="O11" s="60">
        <f t="shared" si="0"/>
        <v>14823000</v>
      </c>
      <c r="P11" s="60">
        <f t="shared" si="3"/>
        <v>28</v>
      </c>
      <c r="Q11" s="60">
        <f t="shared" si="4"/>
        <v>986245367</v>
      </c>
      <c r="R11" s="60">
        <f>ROUND(Q11*$P11*Input!$C$3/365,0)</f>
        <v>11348577</v>
      </c>
      <c r="S11" s="60">
        <f>IF(A11&lt;=Input!$C$6,0,IF('144M'!O11&lt;'144M'!Q11,'144M'!O11-R11,'144M'!Q11))</f>
        <v>3474423</v>
      </c>
      <c r="T11" s="60">
        <f t="shared" si="5"/>
        <v>14823000</v>
      </c>
      <c r="U11" s="60">
        <f t="shared" si="6"/>
        <v>982770944</v>
      </c>
      <c r="V11" s="193"/>
      <c r="W11" s="169">
        <v>7</v>
      </c>
      <c r="X11" s="1">
        <f t="shared" si="28"/>
        <v>45731</v>
      </c>
      <c r="Y11" s="60">
        <f>IF($X11&lt;Input!$H$58,IF($X11&lt;Input!$G$58,IF($X11&lt;Input!$F$58,IF($X11&lt;Input!$E$58,IF($X11&lt;Input!$D$58,Input!$C$64,Input!$D$64),Input!$E$64),Input!$F$64),Input!$G$64),Input!$H$64)</f>
        <v>0</v>
      </c>
      <c r="Z11" s="190">
        <f>IF($A11&lt;Input!$H$65,IF($A11&lt;Input!$G$65,IF($A11&lt;Input!$F$65,IF($A11&lt;Input!$E$65,IF($A11&lt;Input!$D$65,Input!$C$66,Input!$D$66),Input!$E$66),Input!$F$66),Input!$G$66),Input!$H$66)</f>
        <v>0.9</v>
      </c>
      <c r="AA11" s="60">
        <f t="shared" si="7"/>
        <v>0</v>
      </c>
      <c r="AB11" s="60">
        <f t="shared" si="29"/>
        <v>28</v>
      </c>
      <c r="AC11" s="60">
        <f t="shared" si="8"/>
        <v>0</v>
      </c>
      <c r="AD11" s="60">
        <f>ROUND(AC11*AB11*Input!$C$3/365,0)</f>
        <v>0</v>
      </c>
      <c r="AE11" s="61">
        <f>IF($A11&lt;=Input!$C$6,0,IF('144M'!AA11&lt;'144M'!AC11,'144M'!AA11-AD11,'144M'!AC11))</f>
        <v>0</v>
      </c>
      <c r="AF11" s="61">
        <f t="shared" si="9"/>
        <v>0</v>
      </c>
      <c r="AG11" s="60">
        <f t="shared" si="10"/>
        <v>0</v>
      </c>
      <c r="AH11" s="193"/>
      <c r="AI11" s="169">
        <v>7</v>
      </c>
      <c r="AJ11" s="1">
        <f t="shared" si="30"/>
        <v>45731</v>
      </c>
      <c r="AK11" s="60">
        <f>IF($X11&lt;Input!$H$73,IF($X11&lt;Input!$G$73,IF($X11&lt;Input!$F$73,IF($X11&lt;Input!$E$73,IF($X11&lt;Input!$D$73,Input!$C$79,Input!$D$79),Input!$E$79),Input!$F$79),Input!$G$79),Input!$H$79)</f>
        <v>0</v>
      </c>
      <c r="AL11" s="190">
        <f>IF($A11&lt;Input!$H$80,IF($A11&lt;Input!$G$80,IF($A11&lt;Input!$F$80,IF($A11&lt;Input!$E$80,IF($A11&lt;Input!$D$80,Input!$C$81,Input!$D$81),Input!$E$81),Input!$F$81),Input!$G$81),Input!$H$81)</f>
        <v>0.9</v>
      </c>
      <c r="AM11" s="60">
        <f t="shared" si="11"/>
        <v>0</v>
      </c>
      <c r="AN11" s="60">
        <f t="shared" si="31"/>
        <v>28</v>
      </c>
      <c r="AO11" s="60">
        <f t="shared" si="12"/>
        <v>0</v>
      </c>
      <c r="AP11" s="60">
        <f>ROUND(AO11*AN11*Input!$C$3/365,0)</f>
        <v>0</v>
      </c>
      <c r="AQ11" s="61">
        <f>IF($A11&lt;=Input!$C$6,0,IF('144M'!AM11&lt;'144M'!AO11,'144M'!AM11-AP11,'144M'!AO11))</f>
        <v>0</v>
      </c>
      <c r="AR11" s="61">
        <f t="shared" si="13"/>
        <v>0</v>
      </c>
      <c r="AS11" s="60">
        <f t="shared" si="14"/>
        <v>0</v>
      </c>
      <c r="AT11" s="193"/>
      <c r="AU11" s="169">
        <v>7</v>
      </c>
      <c r="AV11" s="1">
        <f t="shared" si="32"/>
        <v>45731</v>
      </c>
      <c r="AW11" s="60">
        <f>IF($X11&lt;Input!$H$88,IF($X11&lt;Input!$G$88,IF($X11&lt;Input!$F$88,IF($X11&lt;Input!$E$88,IF($X11&lt;Input!$D$88,Input!$C$94,Input!$D$94),Input!$E$94),Input!$F$94),Input!$G$94),Input!$H$94)</f>
        <v>0</v>
      </c>
      <c r="AX11" s="190">
        <f>IF($A11&lt;Input!$H$95,IF($A11&lt;Input!$G$95,IF($A11&lt;Input!$F$95,IF($A11&lt;Input!$E$95,IF($A11&lt;Input!$D$95,Input!$C$96,Input!$D$96),Input!$E$96),Input!$F$96),Input!$G$96),Input!$H$96)</f>
        <v>0.9</v>
      </c>
      <c r="AY11" s="60">
        <f t="shared" si="15"/>
        <v>0</v>
      </c>
      <c r="AZ11" s="60">
        <f t="shared" si="33"/>
        <v>28</v>
      </c>
      <c r="BA11" s="60">
        <f t="shared" si="16"/>
        <v>0</v>
      </c>
      <c r="BB11" s="60">
        <f>ROUND(BA11*AZ11*Input!$C$3/365,0)</f>
        <v>0</v>
      </c>
      <c r="BC11" s="61">
        <f>IF($A11&lt;=Input!$C$6,0,IF('144M'!AY11&lt;'144M'!BA11,'144M'!AY11-BB11,'144M'!BA11))</f>
        <v>0</v>
      </c>
      <c r="BD11" s="61">
        <f t="shared" si="17"/>
        <v>0</v>
      </c>
      <c r="BE11" s="60">
        <f t="shared" si="18"/>
        <v>0</v>
      </c>
      <c r="BF11" s="193"/>
      <c r="BG11" s="169">
        <v>7</v>
      </c>
      <c r="BH11" s="1">
        <f t="shared" si="34"/>
        <v>45731</v>
      </c>
      <c r="BI11" s="60">
        <f>IF($X11&lt;Input!$H$103,IF($X11&lt;Input!$G$103,IF($X11&lt;Input!$F$103,IF($X11&lt;Input!$E$103,IF($X11&lt;Input!$D$103,Input!$C$109,Input!$D$109),Input!$E$109),Input!$F$109),Input!$G$109),Input!$H$109)</f>
        <v>0</v>
      </c>
      <c r="BJ11" s="190">
        <f>IF($A11&lt;Input!$H$110,IF($A11&lt;Input!$G$110,IF($A11&lt;Input!$F$110,IF($A11&lt;Input!$E$110,IF($A11&lt;Input!$D$110,Input!$C$111,Input!$D$111),Input!$E$111),Input!$F$111),Input!$G$111),Input!$H$111)</f>
        <v>0.9</v>
      </c>
      <c r="BK11" s="60">
        <f t="shared" si="19"/>
        <v>0</v>
      </c>
      <c r="BL11" s="60">
        <f t="shared" si="35"/>
        <v>28</v>
      </c>
      <c r="BM11" s="60">
        <f t="shared" si="20"/>
        <v>0</v>
      </c>
      <c r="BN11" s="60">
        <f>ROUND(BM11*BL11*Input!$C$3/365,0)</f>
        <v>0</v>
      </c>
      <c r="BO11" s="61">
        <f>IF($A11&lt;=Input!$C$6,0,IF('144M'!BK11&lt;'144M'!BM11,'144M'!BK11-BN11,'144M'!BM11))</f>
        <v>0</v>
      </c>
      <c r="BP11" s="61">
        <f t="shared" si="21"/>
        <v>0</v>
      </c>
      <c r="BQ11" s="60">
        <f t="shared" si="22"/>
        <v>0</v>
      </c>
      <c r="BR11" s="198"/>
    </row>
    <row r="12" spans="1:70" x14ac:dyDescent="0.25">
      <c r="A12" s="169">
        <v>8</v>
      </c>
      <c r="B12" s="1">
        <f t="shared" si="23"/>
        <v>45762</v>
      </c>
      <c r="C12" s="60">
        <f t="shared" si="1"/>
        <v>16470000</v>
      </c>
      <c r="D12" s="60">
        <f t="shared" si="2"/>
        <v>14823000</v>
      </c>
      <c r="E12" s="60">
        <f t="shared" si="24"/>
        <v>31</v>
      </c>
      <c r="F12" s="60">
        <f t="shared" si="25"/>
        <v>982770944</v>
      </c>
      <c r="G12" s="60">
        <f>ROUND(F12*E12*Input!$C$3/365,0)</f>
        <v>12520233</v>
      </c>
      <c r="H12" s="60">
        <f>IF($A12&lt;=Input!$C$6,0,IF('144M'!D12&lt;'144M'!F12,'144M'!D12-G12,'144M'!F12))</f>
        <v>2302767</v>
      </c>
      <c r="I12" s="60">
        <f t="shared" si="26"/>
        <v>14823000</v>
      </c>
      <c r="J12" s="60">
        <f t="shared" si="27"/>
        <v>980468177</v>
      </c>
      <c r="K12" s="202">
        <f>J12/Input!$K$5</f>
        <v>3.2682272566666666</v>
      </c>
      <c r="L12" s="232"/>
      <c r="M12" s="60">
        <f>IF($B12&lt;Input!$H$43,IF($B12&lt;Input!$G$43,IF($B12&lt;Input!$F$43,IF($B12&lt;Input!$E$43,IF($B12&lt;Input!$D$43,Input!$C$49,Input!$D$49),Input!$E$49),Input!$F$49),Input!$G$49),Input!$H$49)</f>
        <v>16470000</v>
      </c>
      <c r="N12" s="190">
        <f>IF($A12&lt;Input!$H$50,IF($A12&lt;Input!$G$50,IF($A12&lt;Input!$F$50,IF($A12&lt;Input!$E$50,IF($A12&lt;Input!$D$50,Input!$C$51,Input!$D$51),Input!$E$51),Input!$F$51),Input!$G$51),Input!$H$51)</f>
        <v>0.9</v>
      </c>
      <c r="O12" s="60">
        <f t="shared" si="0"/>
        <v>14823000</v>
      </c>
      <c r="P12" s="60">
        <f t="shared" si="3"/>
        <v>31</v>
      </c>
      <c r="Q12" s="60">
        <f t="shared" si="4"/>
        <v>982770944</v>
      </c>
      <c r="R12" s="60">
        <f>ROUND(Q12*$P12*Input!$C$3/365,0)</f>
        <v>12520233</v>
      </c>
      <c r="S12" s="60">
        <f>IF(A12&lt;=Input!$C$6,0,IF('144M'!O12&lt;'144M'!Q12,'144M'!O12-R12,'144M'!Q12))</f>
        <v>2302767</v>
      </c>
      <c r="T12" s="60">
        <f t="shared" si="5"/>
        <v>14823000</v>
      </c>
      <c r="U12" s="60">
        <f t="shared" si="6"/>
        <v>980468177</v>
      </c>
      <c r="V12" s="193"/>
      <c r="W12" s="169">
        <v>8</v>
      </c>
      <c r="X12" s="1">
        <f t="shared" si="28"/>
        <v>45762</v>
      </c>
      <c r="Y12" s="60">
        <f>IF($X12&lt;Input!$H$58,IF($X12&lt;Input!$G$58,IF($X12&lt;Input!$F$58,IF($X12&lt;Input!$E$58,IF($X12&lt;Input!$D$58,Input!$C$64,Input!$D$64),Input!$E$64),Input!$F$64),Input!$G$64),Input!$H$64)</f>
        <v>0</v>
      </c>
      <c r="Z12" s="190">
        <f>IF($A12&lt;Input!$H$65,IF($A12&lt;Input!$G$65,IF($A12&lt;Input!$F$65,IF($A12&lt;Input!$E$65,IF($A12&lt;Input!$D$65,Input!$C$66,Input!$D$66),Input!$E$66),Input!$F$66),Input!$G$66),Input!$H$66)</f>
        <v>0.9</v>
      </c>
      <c r="AA12" s="60">
        <f t="shared" si="7"/>
        <v>0</v>
      </c>
      <c r="AB12" s="60">
        <f t="shared" si="29"/>
        <v>31</v>
      </c>
      <c r="AC12" s="60">
        <f t="shared" si="8"/>
        <v>0</v>
      </c>
      <c r="AD12" s="60">
        <f>ROUND(AC12*AB12*Input!$C$3/365,0)</f>
        <v>0</v>
      </c>
      <c r="AE12" s="61">
        <f>IF($A12&lt;=Input!$C$6,0,IF('144M'!AA12&lt;'144M'!AC12,'144M'!AA12-AD12,'144M'!AC12))</f>
        <v>0</v>
      </c>
      <c r="AF12" s="61">
        <f t="shared" si="9"/>
        <v>0</v>
      </c>
      <c r="AG12" s="60">
        <f t="shared" si="10"/>
        <v>0</v>
      </c>
      <c r="AH12" s="193"/>
      <c r="AI12" s="169">
        <v>8</v>
      </c>
      <c r="AJ12" s="1">
        <f t="shared" si="30"/>
        <v>45762</v>
      </c>
      <c r="AK12" s="60">
        <f>IF($X12&lt;Input!$H$73,IF($X12&lt;Input!$G$73,IF($X12&lt;Input!$F$73,IF($X12&lt;Input!$E$73,IF($X12&lt;Input!$D$73,Input!$C$79,Input!$D$79),Input!$E$79),Input!$F$79),Input!$G$79),Input!$H$79)</f>
        <v>0</v>
      </c>
      <c r="AL12" s="190">
        <f>IF($A12&lt;Input!$H$80,IF($A12&lt;Input!$G$80,IF($A12&lt;Input!$F$80,IF($A12&lt;Input!$E$80,IF($A12&lt;Input!$D$80,Input!$C$81,Input!$D$81),Input!$E$81),Input!$F$81),Input!$G$81),Input!$H$81)</f>
        <v>0.9</v>
      </c>
      <c r="AM12" s="60">
        <f t="shared" si="11"/>
        <v>0</v>
      </c>
      <c r="AN12" s="60">
        <f t="shared" si="31"/>
        <v>31</v>
      </c>
      <c r="AO12" s="60">
        <f t="shared" si="12"/>
        <v>0</v>
      </c>
      <c r="AP12" s="60">
        <f>ROUND(AO12*AN12*Input!$C$3/365,0)</f>
        <v>0</v>
      </c>
      <c r="AQ12" s="61">
        <f>IF($A12&lt;=Input!$C$6,0,IF('144M'!AM12&lt;'144M'!AO12,'144M'!AM12-AP12,'144M'!AO12))</f>
        <v>0</v>
      </c>
      <c r="AR12" s="61">
        <f t="shared" si="13"/>
        <v>0</v>
      </c>
      <c r="AS12" s="60">
        <f t="shared" si="14"/>
        <v>0</v>
      </c>
      <c r="AT12" s="193"/>
      <c r="AU12" s="169">
        <v>8</v>
      </c>
      <c r="AV12" s="1">
        <f t="shared" si="32"/>
        <v>45762</v>
      </c>
      <c r="AW12" s="60">
        <f>IF($X12&lt;Input!$H$88,IF($X12&lt;Input!$G$88,IF($X12&lt;Input!$F$88,IF($X12&lt;Input!$E$88,IF($X12&lt;Input!$D$88,Input!$C$94,Input!$D$94),Input!$E$94),Input!$F$94),Input!$G$94),Input!$H$94)</f>
        <v>0</v>
      </c>
      <c r="AX12" s="190">
        <f>IF($A12&lt;Input!$H$95,IF($A12&lt;Input!$G$95,IF($A12&lt;Input!$F$95,IF($A12&lt;Input!$E$95,IF($A12&lt;Input!$D$95,Input!$C$96,Input!$D$96),Input!$E$96),Input!$F$96),Input!$G$96),Input!$H$96)</f>
        <v>0.9</v>
      </c>
      <c r="AY12" s="60">
        <f t="shared" si="15"/>
        <v>0</v>
      </c>
      <c r="AZ12" s="60">
        <f t="shared" si="33"/>
        <v>31</v>
      </c>
      <c r="BA12" s="60">
        <f t="shared" si="16"/>
        <v>0</v>
      </c>
      <c r="BB12" s="60">
        <f>ROUND(BA12*AZ12*Input!$C$3/365,0)</f>
        <v>0</v>
      </c>
      <c r="BC12" s="61">
        <f>IF($A12&lt;=Input!$C$6,0,IF('144M'!AY12&lt;'144M'!BA12,'144M'!AY12-BB12,'144M'!BA12))</f>
        <v>0</v>
      </c>
      <c r="BD12" s="61">
        <f t="shared" si="17"/>
        <v>0</v>
      </c>
      <c r="BE12" s="60">
        <f t="shared" si="18"/>
        <v>0</v>
      </c>
      <c r="BF12" s="193"/>
      <c r="BG12" s="169">
        <v>8</v>
      </c>
      <c r="BH12" s="1">
        <f t="shared" si="34"/>
        <v>45762</v>
      </c>
      <c r="BI12" s="60">
        <f>IF($X12&lt;Input!$H$103,IF($X12&lt;Input!$G$103,IF($X12&lt;Input!$F$103,IF($X12&lt;Input!$E$103,IF($X12&lt;Input!$D$103,Input!$C$109,Input!$D$109),Input!$E$109),Input!$F$109),Input!$G$109),Input!$H$109)</f>
        <v>0</v>
      </c>
      <c r="BJ12" s="190">
        <f>IF($A12&lt;Input!$H$110,IF($A12&lt;Input!$G$110,IF($A12&lt;Input!$F$110,IF($A12&lt;Input!$E$110,IF($A12&lt;Input!$D$110,Input!$C$111,Input!$D$111),Input!$E$111),Input!$F$111),Input!$G$111),Input!$H$111)</f>
        <v>0.9</v>
      </c>
      <c r="BK12" s="60">
        <f t="shared" si="19"/>
        <v>0</v>
      </c>
      <c r="BL12" s="60">
        <f t="shared" si="35"/>
        <v>31</v>
      </c>
      <c r="BM12" s="60">
        <f t="shared" si="20"/>
        <v>0</v>
      </c>
      <c r="BN12" s="60">
        <f>ROUND(BM12*BL12*Input!$C$3/365,0)</f>
        <v>0</v>
      </c>
      <c r="BO12" s="61">
        <f>IF($A12&lt;=Input!$C$6,0,IF('144M'!BK12&lt;'144M'!BM12,'144M'!BK12-BN12,'144M'!BM12))</f>
        <v>0</v>
      </c>
      <c r="BP12" s="61">
        <f t="shared" si="21"/>
        <v>0</v>
      </c>
      <c r="BQ12" s="60">
        <f t="shared" si="22"/>
        <v>0</v>
      </c>
      <c r="BR12" s="198"/>
    </row>
    <row r="13" spans="1:70" x14ac:dyDescent="0.25">
      <c r="A13" s="169">
        <v>9</v>
      </c>
      <c r="B13" s="1">
        <f t="shared" si="23"/>
        <v>45792</v>
      </c>
      <c r="C13" s="60">
        <f t="shared" si="1"/>
        <v>16470000</v>
      </c>
      <c r="D13" s="60">
        <f t="shared" si="2"/>
        <v>14823000</v>
      </c>
      <c r="E13" s="60">
        <f t="shared" si="24"/>
        <v>30</v>
      </c>
      <c r="F13" s="60">
        <f t="shared" si="25"/>
        <v>980468177</v>
      </c>
      <c r="G13" s="60">
        <f>ROUND(F13*E13*Input!$C$3/365,0)</f>
        <v>12087964</v>
      </c>
      <c r="H13" s="60">
        <f>IF($A13&lt;=Input!$C$6,0,IF('144M'!D13&lt;'144M'!F13,'144M'!D13-G13,'144M'!F13))</f>
        <v>2735036</v>
      </c>
      <c r="I13" s="60">
        <f t="shared" si="26"/>
        <v>14823000</v>
      </c>
      <c r="J13" s="60">
        <f t="shared" si="27"/>
        <v>977733141</v>
      </c>
      <c r="K13" s="202">
        <f>J13/Input!$K$5</f>
        <v>3.25911047</v>
      </c>
      <c r="L13" s="232"/>
      <c r="M13" s="60">
        <f>IF($B13&lt;Input!$H$43,IF($B13&lt;Input!$G$43,IF($B13&lt;Input!$F$43,IF($B13&lt;Input!$E$43,IF($B13&lt;Input!$D$43,Input!$C$49,Input!$D$49),Input!$E$49),Input!$F$49),Input!$G$49),Input!$H$49)</f>
        <v>16470000</v>
      </c>
      <c r="N13" s="190">
        <f>IF($A13&lt;Input!$H$50,IF($A13&lt;Input!$G$50,IF($A13&lt;Input!$F$50,IF($A13&lt;Input!$E$50,IF($A13&lt;Input!$D$50,Input!$C$51,Input!$D$51),Input!$E$51),Input!$F$51),Input!$G$51),Input!$H$51)</f>
        <v>0.9</v>
      </c>
      <c r="O13" s="60">
        <f t="shared" si="0"/>
        <v>14823000</v>
      </c>
      <c r="P13" s="60">
        <f t="shared" si="3"/>
        <v>30</v>
      </c>
      <c r="Q13" s="60">
        <f t="shared" si="4"/>
        <v>980468177</v>
      </c>
      <c r="R13" s="60">
        <f>ROUND(Q13*$P13*Input!$C$3/365,0)</f>
        <v>12087964</v>
      </c>
      <c r="S13" s="60">
        <f>IF(A13&lt;=Input!$C$6,0,IF('144M'!O13&lt;'144M'!Q13,'144M'!O13-R13,'144M'!Q13))</f>
        <v>2735036</v>
      </c>
      <c r="T13" s="60">
        <f t="shared" si="5"/>
        <v>14823000</v>
      </c>
      <c r="U13" s="60">
        <f t="shared" si="6"/>
        <v>977733141</v>
      </c>
      <c r="V13" s="193"/>
      <c r="W13" s="169">
        <v>9</v>
      </c>
      <c r="X13" s="1">
        <f t="shared" si="28"/>
        <v>45792</v>
      </c>
      <c r="Y13" s="60">
        <f>IF($X13&lt;Input!$H$58,IF($X13&lt;Input!$G$58,IF($X13&lt;Input!$F$58,IF($X13&lt;Input!$E$58,IF($X13&lt;Input!$D$58,Input!$C$64,Input!$D$64),Input!$E$64),Input!$F$64),Input!$G$64),Input!$H$64)</f>
        <v>0</v>
      </c>
      <c r="Z13" s="190">
        <f>IF($A13&lt;Input!$H$65,IF($A13&lt;Input!$G$65,IF($A13&lt;Input!$F$65,IF($A13&lt;Input!$E$65,IF($A13&lt;Input!$D$65,Input!$C$66,Input!$D$66),Input!$E$66),Input!$F$66),Input!$G$66),Input!$H$66)</f>
        <v>0.9</v>
      </c>
      <c r="AA13" s="60">
        <f t="shared" si="7"/>
        <v>0</v>
      </c>
      <c r="AB13" s="60">
        <f t="shared" si="29"/>
        <v>30</v>
      </c>
      <c r="AC13" s="60">
        <f t="shared" si="8"/>
        <v>0</v>
      </c>
      <c r="AD13" s="60">
        <f>ROUND(AC13*AB13*Input!$C$3/365,0)</f>
        <v>0</v>
      </c>
      <c r="AE13" s="61">
        <f>IF($A13&lt;=Input!$C$6,0,IF('144M'!AA13&lt;'144M'!AC13,'144M'!AA13-AD13,'144M'!AC13))</f>
        <v>0</v>
      </c>
      <c r="AF13" s="61">
        <f t="shared" si="9"/>
        <v>0</v>
      </c>
      <c r="AG13" s="60">
        <f t="shared" si="10"/>
        <v>0</v>
      </c>
      <c r="AH13" s="193"/>
      <c r="AI13" s="169">
        <v>9</v>
      </c>
      <c r="AJ13" s="1">
        <f t="shared" si="30"/>
        <v>45792</v>
      </c>
      <c r="AK13" s="60">
        <f>IF($X13&lt;Input!$H$73,IF($X13&lt;Input!$G$73,IF($X13&lt;Input!$F$73,IF($X13&lt;Input!$E$73,IF($X13&lt;Input!$D$73,Input!$C$79,Input!$D$79),Input!$E$79),Input!$F$79),Input!$G$79),Input!$H$79)</f>
        <v>0</v>
      </c>
      <c r="AL13" s="190">
        <f>IF($A13&lt;Input!$H$80,IF($A13&lt;Input!$G$80,IF($A13&lt;Input!$F$80,IF($A13&lt;Input!$E$80,IF($A13&lt;Input!$D$80,Input!$C$81,Input!$D$81),Input!$E$81),Input!$F$81),Input!$G$81),Input!$H$81)</f>
        <v>0.9</v>
      </c>
      <c r="AM13" s="60">
        <f t="shared" si="11"/>
        <v>0</v>
      </c>
      <c r="AN13" s="60">
        <f t="shared" si="31"/>
        <v>30</v>
      </c>
      <c r="AO13" s="60">
        <f t="shared" si="12"/>
        <v>0</v>
      </c>
      <c r="AP13" s="60">
        <f>ROUND(AO13*AN13*Input!$C$3/365,0)</f>
        <v>0</v>
      </c>
      <c r="AQ13" s="61">
        <f>IF($A13&lt;=Input!$C$6,0,IF('144M'!AM13&lt;'144M'!AO13,'144M'!AM13-AP13,'144M'!AO13))</f>
        <v>0</v>
      </c>
      <c r="AR13" s="61">
        <f t="shared" si="13"/>
        <v>0</v>
      </c>
      <c r="AS13" s="60">
        <f t="shared" si="14"/>
        <v>0</v>
      </c>
      <c r="AT13" s="193"/>
      <c r="AU13" s="169">
        <v>9</v>
      </c>
      <c r="AV13" s="1">
        <f t="shared" si="32"/>
        <v>45792</v>
      </c>
      <c r="AW13" s="60">
        <f>IF($X13&lt;Input!$H$88,IF($X13&lt;Input!$G$88,IF($X13&lt;Input!$F$88,IF($X13&lt;Input!$E$88,IF($X13&lt;Input!$D$88,Input!$C$94,Input!$D$94),Input!$E$94),Input!$F$94),Input!$G$94),Input!$H$94)</f>
        <v>0</v>
      </c>
      <c r="AX13" s="190">
        <f>IF($A13&lt;Input!$H$95,IF($A13&lt;Input!$G$95,IF($A13&lt;Input!$F$95,IF($A13&lt;Input!$E$95,IF($A13&lt;Input!$D$95,Input!$C$96,Input!$D$96),Input!$E$96),Input!$F$96),Input!$G$96),Input!$H$96)</f>
        <v>0.9</v>
      </c>
      <c r="AY13" s="60">
        <f t="shared" si="15"/>
        <v>0</v>
      </c>
      <c r="AZ13" s="60">
        <f t="shared" si="33"/>
        <v>30</v>
      </c>
      <c r="BA13" s="60">
        <f t="shared" si="16"/>
        <v>0</v>
      </c>
      <c r="BB13" s="60">
        <f>ROUND(BA13*AZ13*Input!$C$3/365,0)</f>
        <v>0</v>
      </c>
      <c r="BC13" s="61">
        <f>IF($A13&lt;=Input!$C$6,0,IF('144M'!AY13&lt;'144M'!BA13,'144M'!AY13-BB13,'144M'!BA13))</f>
        <v>0</v>
      </c>
      <c r="BD13" s="61">
        <f t="shared" si="17"/>
        <v>0</v>
      </c>
      <c r="BE13" s="60">
        <f t="shared" si="18"/>
        <v>0</v>
      </c>
      <c r="BF13" s="193"/>
      <c r="BG13" s="169">
        <v>9</v>
      </c>
      <c r="BH13" s="1">
        <f t="shared" si="34"/>
        <v>45792</v>
      </c>
      <c r="BI13" s="60">
        <f>IF($X13&lt;Input!$H$103,IF($X13&lt;Input!$G$103,IF($X13&lt;Input!$F$103,IF($X13&lt;Input!$E$103,IF($X13&lt;Input!$D$103,Input!$C$109,Input!$D$109),Input!$E$109),Input!$F$109),Input!$G$109),Input!$H$109)</f>
        <v>0</v>
      </c>
      <c r="BJ13" s="190">
        <f>IF($A13&lt;Input!$H$110,IF($A13&lt;Input!$G$110,IF($A13&lt;Input!$F$110,IF($A13&lt;Input!$E$110,IF($A13&lt;Input!$D$110,Input!$C$111,Input!$D$111),Input!$E$111),Input!$F$111),Input!$G$111),Input!$H$111)</f>
        <v>0.9</v>
      </c>
      <c r="BK13" s="60">
        <f t="shared" si="19"/>
        <v>0</v>
      </c>
      <c r="BL13" s="60">
        <f t="shared" si="35"/>
        <v>30</v>
      </c>
      <c r="BM13" s="60">
        <f t="shared" si="20"/>
        <v>0</v>
      </c>
      <c r="BN13" s="60">
        <f>ROUND(BM13*BL13*Input!$C$3/365,0)</f>
        <v>0</v>
      </c>
      <c r="BO13" s="61">
        <f>IF($A13&lt;=Input!$C$6,0,IF('144M'!BK13&lt;'144M'!BM13,'144M'!BK13-BN13,'144M'!BM13))</f>
        <v>0</v>
      </c>
      <c r="BP13" s="61">
        <f t="shared" si="21"/>
        <v>0</v>
      </c>
      <c r="BQ13" s="60">
        <f t="shared" si="22"/>
        <v>0</v>
      </c>
      <c r="BR13" s="198"/>
    </row>
    <row r="14" spans="1:70" x14ac:dyDescent="0.25">
      <c r="A14" s="169">
        <v>10</v>
      </c>
      <c r="B14" s="1">
        <f t="shared" si="23"/>
        <v>45823</v>
      </c>
      <c r="C14" s="60">
        <f t="shared" si="1"/>
        <v>16470000</v>
      </c>
      <c r="D14" s="60">
        <f t="shared" si="2"/>
        <v>14823000</v>
      </c>
      <c r="E14" s="60">
        <f t="shared" si="24"/>
        <v>31</v>
      </c>
      <c r="F14" s="60">
        <f t="shared" si="25"/>
        <v>977733141</v>
      </c>
      <c r="G14" s="60">
        <f>ROUND(F14*E14*Input!$C$3/365,0)</f>
        <v>12456052</v>
      </c>
      <c r="H14" s="60">
        <f>IF($A14&lt;=Input!$C$6,0,IF('144M'!D14&lt;'144M'!F14,'144M'!D14-G14,'144M'!F14))</f>
        <v>2366948</v>
      </c>
      <c r="I14" s="60">
        <f t="shared" si="26"/>
        <v>14823000</v>
      </c>
      <c r="J14" s="60">
        <f t="shared" si="27"/>
        <v>975366193</v>
      </c>
      <c r="K14" s="202">
        <f>J14/Input!$K$5</f>
        <v>3.2512206433333333</v>
      </c>
      <c r="L14" s="232"/>
      <c r="M14" s="60">
        <f>IF($B14&lt;Input!$H$43,IF($B14&lt;Input!$G$43,IF($B14&lt;Input!$F$43,IF($B14&lt;Input!$E$43,IF($B14&lt;Input!$D$43,Input!$C$49,Input!$D$49),Input!$E$49),Input!$F$49),Input!$G$49),Input!$H$49)</f>
        <v>16470000</v>
      </c>
      <c r="N14" s="190">
        <f>IF($A14&lt;Input!$H$50,IF($A14&lt;Input!$G$50,IF($A14&lt;Input!$F$50,IF($A14&lt;Input!$E$50,IF($A14&lt;Input!$D$50,Input!$C$51,Input!$D$51),Input!$E$51),Input!$F$51),Input!$G$51),Input!$H$51)</f>
        <v>0.9</v>
      </c>
      <c r="O14" s="60">
        <f t="shared" si="0"/>
        <v>14823000</v>
      </c>
      <c r="P14" s="60">
        <f t="shared" si="3"/>
        <v>31</v>
      </c>
      <c r="Q14" s="60">
        <f t="shared" si="4"/>
        <v>977733141</v>
      </c>
      <c r="R14" s="60">
        <f>ROUND(Q14*$P14*Input!$C$3/365,0)</f>
        <v>12456052</v>
      </c>
      <c r="S14" s="60">
        <f>IF(A14&lt;=Input!$C$6,0,IF('144M'!O14&lt;'144M'!Q14,'144M'!O14-R14,'144M'!Q14))</f>
        <v>2366948</v>
      </c>
      <c r="T14" s="60">
        <f t="shared" si="5"/>
        <v>14823000</v>
      </c>
      <c r="U14" s="60">
        <f t="shared" si="6"/>
        <v>975366193</v>
      </c>
      <c r="V14" s="193"/>
      <c r="W14" s="169">
        <v>10</v>
      </c>
      <c r="X14" s="1">
        <f t="shared" si="28"/>
        <v>45823</v>
      </c>
      <c r="Y14" s="60">
        <f>IF($X14&lt;Input!$H$58,IF($X14&lt;Input!$G$58,IF($X14&lt;Input!$F$58,IF($X14&lt;Input!$E$58,IF($X14&lt;Input!$D$58,Input!$C$64,Input!$D$64),Input!$E$64),Input!$F$64),Input!$G$64),Input!$H$64)</f>
        <v>0</v>
      </c>
      <c r="Z14" s="190">
        <f>IF($A14&lt;Input!$H$65,IF($A14&lt;Input!$G$65,IF($A14&lt;Input!$F$65,IF($A14&lt;Input!$E$65,IF($A14&lt;Input!$D$65,Input!$C$66,Input!$D$66),Input!$E$66),Input!$F$66),Input!$G$66),Input!$H$66)</f>
        <v>0.9</v>
      </c>
      <c r="AA14" s="60">
        <f t="shared" si="7"/>
        <v>0</v>
      </c>
      <c r="AB14" s="60">
        <f t="shared" si="29"/>
        <v>31</v>
      </c>
      <c r="AC14" s="60">
        <f t="shared" si="8"/>
        <v>0</v>
      </c>
      <c r="AD14" s="60">
        <f>ROUND(AC14*AB14*Input!$C$3/365,0)</f>
        <v>0</v>
      </c>
      <c r="AE14" s="61">
        <f>IF($A14&lt;=Input!$C$6,0,IF('144M'!AA14&lt;'144M'!AC14,'144M'!AA14-AD14,'144M'!AC14))</f>
        <v>0</v>
      </c>
      <c r="AF14" s="61">
        <f t="shared" si="9"/>
        <v>0</v>
      </c>
      <c r="AG14" s="60">
        <f t="shared" si="10"/>
        <v>0</v>
      </c>
      <c r="AH14" s="193"/>
      <c r="AI14" s="169">
        <v>10</v>
      </c>
      <c r="AJ14" s="1">
        <f t="shared" si="30"/>
        <v>45823</v>
      </c>
      <c r="AK14" s="60">
        <f>IF($X14&lt;Input!$H$73,IF($X14&lt;Input!$G$73,IF($X14&lt;Input!$F$73,IF($X14&lt;Input!$E$73,IF($X14&lt;Input!$D$73,Input!$C$79,Input!$D$79),Input!$E$79),Input!$F$79),Input!$G$79),Input!$H$79)</f>
        <v>0</v>
      </c>
      <c r="AL14" s="190">
        <f>IF($A14&lt;Input!$H$80,IF($A14&lt;Input!$G$80,IF($A14&lt;Input!$F$80,IF($A14&lt;Input!$E$80,IF($A14&lt;Input!$D$80,Input!$C$81,Input!$D$81),Input!$E$81),Input!$F$81),Input!$G$81),Input!$H$81)</f>
        <v>0.9</v>
      </c>
      <c r="AM14" s="60">
        <f t="shared" si="11"/>
        <v>0</v>
      </c>
      <c r="AN14" s="60">
        <f t="shared" si="31"/>
        <v>31</v>
      </c>
      <c r="AO14" s="60">
        <f t="shared" si="12"/>
        <v>0</v>
      </c>
      <c r="AP14" s="60">
        <f>ROUND(AO14*AN14*Input!$C$3/365,0)</f>
        <v>0</v>
      </c>
      <c r="AQ14" s="61">
        <f>IF($A14&lt;=Input!$C$6,0,IF('144M'!AM14&lt;'144M'!AO14,'144M'!AM14-AP14,'144M'!AO14))</f>
        <v>0</v>
      </c>
      <c r="AR14" s="61">
        <f t="shared" si="13"/>
        <v>0</v>
      </c>
      <c r="AS14" s="60">
        <f t="shared" si="14"/>
        <v>0</v>
      </c>
      <c r="AT14" s="193"/>
      <c r="AU14" s="169">
        <v>10</v>
      </c>
      <c r="AV14" s="1">
        <f t="shared" si="32"/>
        <v>45823</v>
      </c>
      <c r="AW14" s="60">
        <f>IF($X14&lt;Input!$H$88,IF($X14&lt;Input!$G$88,IF($X14&lt;Input!$F$88,IF($X14&lt;Input!$E$88,IF($X14&lt;Input!$D$88,Input!$C$94,Input!$D$94),Input!$E$94),Input!$F$94),Input!$G$94),Input!$H$94)</f>
        <v>0</v>
      </c>
      <c r="AX14" s="190">
        <f>IF($A14&lt;Input!$H$95,IF($A14&lt;Input!$G$95,IF($A14&lt;Input!$F$95,IF($A14&lt;Input!$E$95,IF($A14&lt;Input!$D$95,Input!$C$96,Input!$D$96),Input!$E$96),Input!$F$96),Input!$G$96),Input!$H$96)</f>
        <v>0.9</v>
      </c>
      <c r="AY14" s="60">
        <f t="shared" si="15"/>
        <v>0</v>
      </c>
      <c r="AZ14" s="60">
        <f t="shared" si="33"/>
        <v>31</v>
      </c>
      <c r="BA14" s="60">
        <f t="shared" si="16"/>
        <v>0</v>
      </c>
      <c r="BB14" s="60">
        <f>ROUND(BA14*AZ14*Input!$C$3/365,0)</f>
        <v>0</v>
      </c>
      <c r="BC14" s="61">
        <f>IF($A14&lt;=Input!$C$6,0,IF('144M'!AY14&lt;'144M'!BA14,'144M'!AY14-BB14,'144M'!BA14))</f>
        <v>0</v>
      </c>
      <c r="BD14" s="61">
        <f t="shared" si="17"/>
        <v>0</v>
      </c>
      <c r="BE14" s="60">
        <f t="shared" si="18"/>
        <v>0</v>
      </c>
      <c r="BF14" s="193"/>
      <c r="BG14" s="169">
        <v>10</v>
      </c>
      <c r="BH14" s="1">
        <f t="shared" si="34"/>
        <v>45823</v>
      </c>
      <c r="BI14" s="60">
        <f>IF($X14&lt;Input!$H$103,IF($X14&lt;Input!$G$103,IF($X14&lt;Input!$F$103,IF($X14&lt;Input!$E$103,IF($X14&lt;Input!$D$103,Input!$C$109,Input!$D$109),Input!$E$109),Input!$F$109),Input!$G$109),Input!$H$109)</f>
        <v>0</v>
      </c>
      <c r="BJ14" s="190">
        <f>IF($A14&lt;Input!$H$110,IF($A14&lt;Input!$G$110,IF($A14&lt;Input!$F$110,IF($A14&lt;Input!$E$110,IF($A14&lt;Input!$D$110,Input!$C$111,Input!$D$111),Input!$E$111),Input!$F$111),Input!$G$111),Input!$H$111)</f>
        <v>0.9</v>
      </c>
      <c r="BK14" s="60">
        <f t="shared" si="19"/>
        <v>0</v>
      </c>
      <c r="BL14" s="60">
        <f t="shared" si="35"/>
        <v>31</v>
      </c>
      <c r="BM14" s="60">
        <f t="shared" si="20"/>
        <v>0</v>
      </c>
      <c r="BN14" s="60">
        <f>ROUND(BM14*BL14*Input!$C$3/365,0)</f>
        <v>0</v>
      </c>
      <c r="BO14" s="61">
        <f>IF($A14&lt;=Input!$C$6,0,IF('144M'!BK14&lt;'144M'!BM14,'144M'!BK14-BN14,'144M'!BM14))</f>
        <v>0</v>
      </c>
      <c r="BP14" s="61">
        <f t="shared" si="21"/>
        <v>0</v>
      </c>
      <c r="BQ14" s="60">
        <f t="shared" si="22"/>
        <v>0</v>
      </c>
      <c r="BR14" s="198"/>
    </row>
    <row r="15" spans="1:70" x14ac:dyDescent="0.25">
      <c r="A15" s="169">
        <v>11</v>
      </c>
      <c r="B15" s="1">
        <f t="shared" si="23"/>
        <v>45853</v>
      </c>
      <c r="C15" s="60">
        <f t="shared" si="1"/>
        <v>16470000</v>
      </c>
      <c r="D15" s="60">
        <f t="shared" si="2"/>
        <v>14823000</v>
      </c>
      <c r="E15" s="60">
        <f t="shared" si="24"/>
        <v>30</v>
      </c>
      <c r="F15" s="60">
        <f t="shared" si="25"/>
        <v>975366193</v>
      </c>
      <c r="G15" s="60">
        <f>ROUND(F15*E15*Input!$C$3/365,0)</f>
        <v>12025063</v>
      </c>
      <c r="H15" s="60">
        <f>IF($A15&lt;=Input!$C$6,0,IF('144M'!D15&lt;'144M'!F15,'144M'!D15-G15,'144M'!F15))</f>
        <v>2797937</v>
      </c>
      <c r="I15" s="60">
        <f t="shared" si="26"/>
        <v>14823000</v>
      </c>
      <c r="J15" s="60">
        <f t="shared" si="27"/>
        <v>972568256</v>
      </c>
      <c r="K15" s="202">
        <f>J15/Input!$K$5</f>
        <v>3.2418941866666668</v>
      </c>
      <c r="L15" s="232"/>
      <c r="M15" s="60">
        <f>IF($B15&lt;Input!$H$43,IF($B15&lt;Input!$G$43,IF($B15&lt;Input!$F$43,IF($B15&lt;Input!$E$43,IF($B15&lt;Input!$D$43,Input!$C$49,Input!$D$49),Input!$E$49),Input!$F$49),Input!$G$49),Input!$H$49)</f>
        <v>16470000</v>
      </c>
      <c r="N15" s="190">
        <f>IF($A15&lt;Input!$H$50,IF($A15&lt;Input!$G$50,IF($A15&lt;Input!$F$50,IF($A15&lt;Input!$E$50,IF($A15&lt;Input!$D$50,Input!$C$51,Input!$D$51),Input!$E$51),Input!$F$51),Input!$G$51),Input!$H$51)</f>
        <v>0.9</v>
      </c>
      <c r="O15" s="60">
        <f t="shared" si="0"/>
        <v>14823000</v>
      </c>
      <c r="P15" s="60">
        <f t="shared" si="3"/>
        <v>30</v>
      </c>
      <c r="Q15" s="60">
        <f t="shared" si="4"/>
        <v>975366193</v>
      </c>
      <c r="R15" s="60">
        <f>ROUND(Q15*$P15*Input!$C$3/365,0)</f>
        <v>12025063</v>
      </c>
      <c r="S15" s="60">
        <f>IF(A15&lt;=Input!$C$6,0,IF('144M'!O15&lt;'144M'!Q15,'144M'!O15-R15,'144M'!Q15))</f>
        <v>2797937</v>
      </c>
      <c r="T15" s="60">
        <f t="shared" si="5"/>
        <v>14823000</v>
      </c>
      <c r="U15" s="60">
        <f t="shared" si="6"/>
        <v>972568256</v>
      </c>
      <c r="V15" s="193"/>
      <c r="W15" s="169">
        <v>11</v>
      </c>
      <c r="X15" s="1">
        <f t="shared" si="28"/>
        <v>45853</v>
      </c>
      <c r="Y15" s="60">
        <f>IF($X15&lt;Input!$H$58,IF($X15&lt;Input!$G$58,IF($X15&lt;Input!$F$58,IF($X15&lt;Input!$E$58,IF($X15&lt;Input!$D$58,Input!$C$64,Input!$D$64),Input!$E$64),Input!$F$64),Input!$G$64),Input!$H$64)</f>
        <v>0</v>
      </c>
      <c r="Z15" s="190">
        <f>IF($A15&lt;Input!$H$65,IF($A15&lt;Input!$G$65,IF($A15&lt;Input!$F$65,IF($A15&lt;Input!$E$65,IF($A15&lt;Input!$D$65,Input!$C$66,Input!$D$66),Input!$E$66),Input!$F$66),Input!$G$66),Input!$H$66)</f>
        <v>0.9</v>
      </c>
      <c r="AA15" s="60">
        <f t="shared" si="7"/>
        <v>0</v>
      </c>
      <c r="AB15" s="60">
        <f t="shared" si="29"/>
        <v>30</v>
      </c>
      <c r="AC15" s="60">
        <f t="shared" si="8"/>
        <v>0</v>
      </c>
      <c r="AD15" s="60">
        <f>ROUND(AC15*AB15*Input!$C$3/365,0)</f>
        <v>0</v>
      </c>
      <c r="AE15" s="61">
        <f>IF($A15&lt;=Input!$C$6,0,IF('144M'!AA15&lt;'144M'!AC15,'144M'!AA15-AD15,'144M'!AC15))</f>
        <v>0</v>
      </c>
      <c r="AF15" s="61">
        <f t="shared" si="9"/>
        <v>0</v>
      </c>
      <c r="AG15" s="60">
        <f t="shared" si="10"/>
        <v>0</v>
      </c>
      <c r="AH15" s="193"/>
      <c r="AI15" s="169">
        <v>11</v>
      </c>
      <c r="AJ15" s="1">
        <f t="shared" si="30"/>
        <v>45853</v>
      </c>
      <c r="AK15" s="60">
        <f>IF($X15&lt;Input!$H$73,IF($X15&lt;Input!$G$73,IF($X15&lt;Input!$F$73,IF($X15&lt;Input!$E$73,IF($X15&lt;Input!$D$73,Input!$C$79,Input!$D$79),Input!$E$79),Input!$F$79),Input!$G$79),Input!$H$79)</f>
        <v>0</v>
      </c>
      <c r="AL15" s="190">
        <f>IF($A15&lt;Input!$H$80,IF($A15&lt;Input!$G$80,IF($A15&lt;Input!$F$80,IF($A15&lt;Input!$E$80,IF($A15&lt;Input!$D$80,Input!$C$81,Input!$D$81),Input!$E$81),Input!$F$81),Input!$G$81),Input!$H$81)</f>
        <v>0.9</v>
      </c>
      <c r="AM15" s="60">
        <f t="shared" si="11"/>
        <v>0</v>
      </c>
      <c r="AN15" s="60">
        <f t="shared" si="31"/>
        <v>30</v>
      </c>
      <c r="AO15" s="60">
        <f t="shared" si="12"/>
        <v>0</v>
      </c>
      <c r="AP15" s="60">
        <f>ROUND(AO15*AN15*Input!$C$3/365,0)</f>
        <v>0</v>
      </c>
      <c r="AQ15" s="61">
        <f>IF($A15&lt;=Input!$C$6,0,IF('144M'!AM15&lt;'144M'!AO15,'144M'!AM15-AP15,'144M'!AO15))</f>
        <v>0</v>
      </c>
      <c r="AR15" s="61">
        <f t="shared" si="13"/>
        <v>0</v>
      </c>
      <c r="AS15" s="60">
        <f t="shared" si="14"/>
        <v>0</v>
      </c>
      <c r="AT15" s="193"/>
      <c r="AU15" s="169">
        <v>11</v>
      </c>
      <c r="AV15" s="1">
        <f t="shared" si="32"/>
        <v>45853</v>
      </c>
      <c r="AW15" s="60">
        <f>IF($X15&lt;Input!$H$88,IF($X15&lt;Input!$G$88,IF($X15&lt;Input!$F$88,IF($X15&lt;Input!$E$88,IF($X15&lt;Input!$D$88,Input!$C$94,Input!$D$94),Input!$E$94),Input!$F$94),Input!$G$94),Input!$H$94)</f>
        <v>0</v>
      </c>
      <c r="AX15" s="190">
        <f>IF($A15&lt;Input!$H$95,IF($A15&lt;Input!$G$95,IF($A15&lt;Input!$F$95,IF($A15&lt;Input!$E$95,IF($A15&lt;Input!$D$95,Input!$C$96,Input!$D$96),Input!$E$96),Input!$F$96),Input!$G$96),Input!$H$96)</f>
        <v>0.9</v>
      </c>
      <c r="AY15" s="60">
        <f t="shared" si="15"/>
        <v>0</v>
      </c>
      <c r="AZ15" s="60">
        <f t="shared" si="33"/>
        <v>30</v>
      </c>
      <c r="BA15" s="60">
        <f t="shared" si="16"/>
        <v>0</v>
      </c>
      <c r="BB15" s="60">
        <f>ROUND(BA15*AZ15*Input!$C$3/365,0)</f>
        <v>0</v>
      </c>
      <c r="BC15" s="61">
        <f>IF($A15&lt;=Input!$C$6,0,IF('144M'!AY15&lt;'144M'!BA15,'144M'!AY15-BB15,'144M'!BA15))</f>
        <v>0</v>
      </c>
      <c r="BD15" s="61">
        <f t="shared" si="17"/>
        <v>0</v>
      </c>
      <c r="BE15" s="60">
        <f t="shared" si="18"/>
        <v>0</v>
      </c>
      <c r="BF15" s="193"/>
      <c r="BG15" s="169">
        <v>11</v>
      </c>
      <c r="BH15" s="1">
        <f t="shared" si="34"/>
        <v>45853</v>
      </c>
      <c r="BI15" s="60">
        <f>IF($X15&lt;Input!$H$103,IF($X15&lt;Input!$G$103,IF($X15&lt;Input!$F$103,IF($X15&lt;Input!$E$103,IF($X15&lt;Input!$D$103,Input!$C$109,Input!$D$109),Input!$E$109),Input!$F$109),Input!$G$109),Input!$H$109)</f>
        <v>0</v>
      </c>
      <c r="BJ15" s="190">
        <f>IF($A15&lt;Input!$H$110,IF($A15&lt;Input!$G$110,IF($A15&lt;Input!$F$110,IF($A15&lt;Input!$E$110,IF($A15&lt;Input!$D$110,Input!$C$111,Input!$D$111),Input!$E$111),Input!$F$111),Input!$G$111),Input!$H$111)</f>
        <v>0.9</v>
      </c>
      <c r="BK15" s="60">
        <f t="shared" si="19"/>
        <v>0</v>
      </c>
      <c r="BL15" s="60">
        <f t="shared" si="35"/>
        <v>30</v>
      </c>
      <c r="BM15" s="60">
        <f t="shared" si="20"/>
        <v>0</v>
      </c>
      <c r="BN15" s="60">
        <f>ROUND(BM15*BL15*Input!$C$3/365,0)</f>
        <v>0</v>
      </c>
      <c r="BO15" s="61">
        <f>IF($A15&lt;=Input!$C$6,0,IF('144M'!BK15&lt;'144M'!BM15,'144M'!BK15-BN15,'144M'!BM15))</f>
        <v>0</v>
      </c>
      <c r="BP15" s="61">
        <f t="shared" si="21"/>
        <v>0</v>
      </c>
      <c r="BQ15" s="60">
        <f t="shared" si="22"/>
        <v>0</v>
      </c>
      <c r="BR15" s="198"/>
    </row>
    <row r="16" spans="1:70" x14ac:dyDescent="0.25">
      <c r="A16" s="169">
        <v>12</v>
      </c>
      <c r="B16" s="1">
        <f t="shared" si="23"/>
        <v>45884</v>
      </c>
      <c r="C16" s="60">
        <f t="shared" si="1"/>
        <v>16470000</v>
      </c>
      <c r="D16" s="60">
        <f t="shared" si="2"/>
        <v>14823000</v>
      </c>
      <c r="E16" s="60">
        <f t="shared" si="24"/>
        <v>31</v>
      </c>
      <c r="F16" s="60">
        <f t="shared" si="25"/>
        <v>972568256</v>
      </c>
      <c r="G16" s="60">
        <f>ROUND(F16*E16*Input!$C$3/365,0)</f>
        <v>12390253</v>
      </c>
      <c r="H16" s="60">
        <f>IF($A16&lt;=Input!$C$6,0,IF('144M'!D16&lt;'144M'!F16,'144M'!D16-G16,'144M'!F16))</f>
        <v>2432747</v>
      </c>
      <c r="I16" s="60">
        <f t="shared" si="26"/>
        <v>14823000</v>
      </c>
      <c r="J16" s="60">
        <f t="shared" si="27"/>
        <v>970135509</v>
      </c>
      <c r="K16" s="202">
        <f>J16/Input!$K$5</f>
        <v>3.2337850299999999</v>
      </c>
      <c r="L16" s="232"/>
      <c r="M16" s="60">
        <f>IF($B16&lt;Input!$H$43,IF($B16&lt;Input!$G$43,IF($B16&lt;Input!$F$43,IF($B16&lt;Input!$E$43,IF($B16&lt;Input!$D$43,Input!$C$49,Input!$D$49),Input!$E$49),Input!$F$49),Input!$G$49),Input!$H$49)</f>
        <v>16470000</v>
      </c>
      <c r="N16" s="190">
        <f>IF($A16&lt;Input!$H$50,IF($A16&lt;Input!$G$50,IF($A16&lt;Input!$F$50,IF($A16&lt;Input!$E$50,IF($A16&lt;Input!$D$50,Input!$C$51,Input!$D$51),Input!$E$51),Input!$F$51),Input!$G$51),Input!$H$51)</f>
        <v>0.9</v>
      </c>
      <c r="O16" s="60">
        <f t="shared" si="0"/>
        <v>14823000</v>
      </c>
      <c r="P16" s="60">
        <f t="shared" si="3"/>
        <v>31</v>
      </c>
      <c r="Q16" s="60">
        <f t="shared" si="4"/>
        <v>972568256</v>
      </c>
      <c r="R16" s="60">
        <f>ROUND(Q16*$P16*Input!$C$3/365,0)</f>
        <v>12390253</v>
      </c>
      <c r="S16" s="60">
        <f>IF(A16&lt;=Input!$C$6,0,IF('144M'!O16&lt;'144M'!Q16,'144M'!O16-R16,'144M'!Q16))</f>
        <v>2432747</v>
      </c>
      <c r="T16" s="60">
        <f t="shared" si="5"/>
        <v>14823000</v>
      </c>
      <c r="U16" s="60">
        <f t="shared" si="6"/>
        <v>970135509</v>
      </c>
      <c r="V16" s="193"/>
      <c r="W16" s="169">
        <v>12</v>
      </c>
      <c r="X16" s="1">
        <f t="shared" si="28"/>
        <v>45884</v>
      </c>
      <c r="Y16" s="60">
        <f>IF($X16&lt;Input!$H$58,IF($X16&lt;Input!$G$58,IF($X16&lt;Input!$F$58,IF($X16&lt;Input!$E$58,IF($X16&lt;Input!$D$58,Input!$C$64,Input!$D$64),Input!$E$64),Input!$F$64),Input!$G$64),Input!$H$64)</f>
        <v>0</v>
      </c>
      <c r="Z16" s="190">
        <f>IF($A16&lt;Input!$H$65,IF($A16&lt;Input!$G$65,IF($A16&lt;Input!$F$65,IF($A16&lt;Input!$E$65,IF($A16&lt;Input!$D$65,Input!$C$66,Input!$D$66),Input!$E$66),Input!$F$66),Input!$G$66),Input!$H$66)</f>
        <v>0.9</v>
      </c>
      <c r="AA16" s="60">
        <f t="shared" si="7"/>
        <v>0</v>
      </c>
      <c r="AB16" s="60">
        <f t="shared" si="29"/>
        <v>31</v>
      </c>
      <c r="AC16" s="60">
        <f t="shared" si="8"/>
        <v>0</v>
      </c>
      <c r="AD16" s="60">
        <f>ROUND(AC16*AB16*Input!$C$3/365,0)</f>
        <v>0</v>
      </c>
      <c r="AE16" s="61">
        <f>IF($A16&lt;=Input!$C$6,0,IF('144M'!AA16&lt;'144M'!AC16,'144M'!AA16-AD16,'144M'!AC16))</f>
        <v>0</v>
      </c>
      <c r="AF16" s="61">
        <f t="shared" si="9"/>
        <v>0</v>
      </c>
      <c r="AG16" s="60">
        <f t="shared" si="10"/>
        <v>0</v>
      </c>
      <c r="AH16" s="193"/>
      <c r="AI16" s="169">
        <v>12</v>
      </c>
      <c r="AJ16" s="1">
        <f t="shared" si="30"/>
        <v>45884</v>
      </c>
      <c r="AK16" s="60">
        <f>IF($X16&lt;Input!$H$73,IF($X16&lt;Input!$G$73,IF($X16&lt;Input!$F$73,IF($X16&lt;Input!$E$73,IF($X16&lt;Input!$D$73,Input!$C$79,Input!$D$79),Input!$E$79),Input!$F$79),Input!$G$79),Input!$H$79)</f>
        <v>0</v>
      </c>
      <c r="AL16" s="190">
        <f>IF($A16&lt;Input!$H$80,IF($A16&lt;Input!$G$80,IF($A16&lt;Input!$F$80,IF($A16&lt;Input!$E$80,IF($A16&lt;Input!$D$80,Input!$C$81,Input!$D$81),Input!$E$81),Input!$F$81),Input!$G$81),Input!$H$81)</f>
        <v>0.9</v>
      </c>
      <c r="AM16" s="60">
        <f t="shared" si="11"/>
        <v>0</v>
      </c>
      <c r="AN16" s="60">
        <f t="shared" si="31"/>
        <v>31</v>
      </c>
      <c r="AO16" s="60">
        <f t="shared" si="12"/>
        <v>0</v>
      </c>
      <c r="AP16" s="60">
        <f>ROUND(AO16*AN16*Input!$C$3/365,0)</f>
        <v>0</v>
      </c>
      <c r="AQ16" s="61">
        <f>IF($A16&lt;=Input!$C$6,0,IF('144M'!AM16&lt;'144M'!AO16,'144M'!AM16-AP16,'144M'!AO16))</f>
        <v>0</v>
      </c>
      <c r="AR16" s="61">
        <f t="shared" si="13"/>
        <v>0</v>
      </c>
      <c r="AS16" s="60">
        <f t="shared" si="14"/>
        <v>0</v>
      </c>
      <c r="AT16" s="193"/>
      <c r="AU16" s="169">
        <v>12</v>
      </c>
      <c r="AV16" s="1">
        <f t="shared" si="32"/>
        <v>45884</v>
      </c>
      <c r="AW16" s="60">
        <f>IF($X16&lt;Input!$H$88,IF($X16&lt;Input!$G$88,IF($X16&lt;Input!$F$88,IF($X16&lt;Input!$E$88,IF($X16&lt;Input!$D$88,Input!$C$94,Input!$D$94),Input!$E$94),Input!$F$94),Input!$G$94),Input!$H$94)</f>
        <v>0</v>
      </c>
      <c r="AX16" s="190">
        <f>IF($A16&lt;Input!$H$95,IF($A16&lt;Input!$G$95,IF($A16&lt;Input!$F$95,IF($A16&lt;Input!$E$95,IF($A16&lt;Input!$D$95,Input!$C$96,Input!$D$96),Input!$E$96),Input!$F$96),Input!$G$96),Input!$H$96)</f>
        <v>0.9</v>
      </c>
      <c r="AY16" s="60">
        <f t="shared" si="15"/>
        <v>0</v>
      </c>
      <c r="AZ16" s="60">
        <f t="shared" si="33"/>
        <v>31</v>
      </c>
      <c r="BA16" s="60">
        <f t="shared" si="16"/>
        <v>0</v>
      </c>
      <c r="BB16" s="60">
        <f>ROUND(BA16*AZ16*Input!$C$3/365,0)</f>
        <v>0</v>
      </c>
      <c r="BC16" s="61">
        <f>IF($A16&lt;=Input!$C$6,0,IF('144M'!AY16&lt;'144M'!BA16,'144M'!AY16-BB16,'144M'!BA16))</f>
        <v>0</v>
      </c>
      <c r="BD16" s="61">
        <f t="shared" si="17"/>
        <v>0</v>
      </c>
      <c r="BE16" s="60">
        <f t="shared" si="18"/>
        <v>0</v>
      </c>
      <c r="BF16" s="193"/>
      <c r="BG16" s="169">
        <v>12</v>
      </c>
      <c r="BH16" s="1">
        <f t="shared" si="34"/>
        <v>45884</v>
      </c>
      <c r="BI16" s="60">
        <f>IF($X16&lt;Input!$H$103,IF($X16&lt;Input!$G$103,IF($X16&lt;Input!$F$103,IF($X16&lt;Input!$E$103,IF($X16&lt;Input!$D$103,Input!$C$109,Input!$D$109),Input!$E$109),Input!$F$109),Input!$G$109),Input!$H$109)</f>
        <v>0</v>
      </c>
      <c r="BJ16" s="190">
        <f>IF($A16&lt;Input!$H$110,IF($A16&lt;Input!$G$110,IF($A16&lt;Input!$F$110,IF($A16&lt;Input!$E$110,IF($A16&lt;Input!$D$110,Input!$C$111,Input!$D$111),Input!$E$111),Input!$F$111),Input!$G$111),Input!$H$111)</f>
        <v>0.9</v>
      </c>
      <c r="BK16" s="60">
        <f t="shared" si="19"/>
        <v>0</v>
      </c>
      <c r="BL16" s="60">
        <f t="shared" si="35"/>
        <v>31</v>
      </c>
      <c r="BM16" s="60">
        <f t="shared" si="20"/>
        <v>0</v>
      </c>
      <c r="BN16" s="60">
        <f>ROUND(BM16*BL16*Input!$C$3/365,0)</f>
        <v>0</v>
      </c>
      <c r="BO16" s="61">
        <f>IF($A16&lt;=Input!$C$6,0,IF('144M'!BK16&lt;'144M'!BM16,'144M'!BK16-BN16,'144M'!BM16))</f>
        <v>0</v>
      </c>
      <c r="BP16" s="61">
        <f t="shared" si="21"/>
        <v>0</v>
      </c>
      <c r="BQ16" s="60">
        <f t="shared" si="22"/>
        <v>0</v>
      </c>
      <c r="BR16" s="198"/>
    </row>
    <row r="17" spans="1:70" x14ac:dyDescent="0.25">
      <c r="A17" s="169">
        <v>13</v>
      </c>
      <c r="B17" s="1">
        <f t="shared" si="23"/>
        <v>45915</v>
      </c>
      <c r="C17" s="60">
        <f t="shared" si="1"/>
        <v>16470000</v>
      </c>
      <c r="D17" s="60">
        <f t="shared" si="2"/>
        <v>14823000</v>
      </c>
      <c r="E17" s="60">
        <f t="shared" si="24"/>
        <v>31</v>
      </c>
      <c r="F17" s="60">
        <f t="shared" si="25"/>
        <v>970135509</v>
      </c>
      <c r="G17" s="60">
        <f>ROUND(F17*E17*Input!$C$3/365,0)</f>
        <v>12359261</v>
      </c>
      <c r="H17" s="60">
        <f>IF($A17&lt;=Input!$C$6,0,IF('144M'!D17&lt;'144M'!F17,'144M'!D17-G17,'144M'!F17))</f>
        <v>2463739</v>
      </c>
      <c r="I17" s="60">
        <f t="shared" si="26"/>
        <v>14823000</v>
      </c>
      <c r="J17" s="60">
        <f t="shared" si="27"/>
        <v>967671770</v>
      </c>
      <c r="K17" s="202">
        <f>J17/Input!$K$5</f>
        <v>3.2255725666666666</v>
      </c>
      <c r="L17" s="232"/>
      <c r="M17" s="60">
        <f>IF($B17&lt;Input!$H$43,IF($B17&lt;Input!$G$43,IF($B17&lt;Input!$F$43,IF($B17&lt;Input!$E$43,IF($B17&lt;Input!$D$43,Input!$C$49,Input!$D$49),Input!$E$49),Input!$F$49),Input!$G$49),Input!$H$49)</f>
        <v>16470000</v>
      </c>
      <c r="N17" s="190">
        <f>IF($A17&lt;Input!$H$50,IF($A17&lt;Input!$G$50,IF($A17&lt;Input!$F$50,IF($A17&lt;Input!$E$50,IF($A17&lt;Input!$D$50,Input!$C$51,Input!$D$51),Input!$E$51),Input!$F$51),Input!$G$51),Input!$H$51)</f>
        <v>0.9</v>
      </c>
      <c r="O17" s="60">
        <f t="shared" si="0"/>
        <v>14823000</v>
      </c>
      <c r="P17" s="60">
        <f t="shared" si="3"/>
        <v>31</v>
      </c>
      <c r="Q17" s="60">
        <f t="shared" si="4"/>
        <v>970135509</v>
      </c>
      <c r="R17" s="60">
        <f>ROUND(Q17*$P17*Input!$C$3/365,0)</f>
        <v>12359261</v>
      </c>
      <c r="S17" s="60">
        <f>IF(A17&lt;=Input!$C$6,0,IF('144M'!O17&lt;'144M'!Q17,'144M'!O17-R17,'144M'!Q17))</f>
        <v>2463739</v>
      </c>
      <c r="T17" s="60">
        <f t="shared" si="5"/>
        <v>14823000</v>
      </c>
      <c r="U17" s="60">
        <f t="shared" si="6"/>
        <v>967671770</v>
      </c>
      <c r="V17" s="193"/>
      <c r="W17" s="169">
        <v>13</v>
      </c>
      <c r="X17" s="1">
        <f t="shared" si="28"/>
        <v>45915</v>
      </c>
      <c r="Y17" s="60">
        <f>IF($X17&lt;Input!$H$58,IF($X17&lt;Input!$G$58,IF($X17&lt;Input!$F$58,IF($X17&lt;Input!$E$58,IF($X17&lt;Input!$D$58,Input!$C$64,Input!$D$64),Input!$E$64),Input!$F$64),Input!$G$64),Input!$H$64)</f>
        <v>0</v>
      </c>
      <c r="Z17" s="190">
        <f>IF($A17&lt;Input!$H$65,IF($A17&lt;Input!$G$65,IF($A17&lt;Input!$F$65,IF($A17&lt;Input!$E$65,IF($A17&lt;Input!$D$65,Input!$C$66,Input!$D$66),Input!$E$66),Input!$F$66),Input!$G$66),Input!$H$66)</f>
        <v>0.9</v>
      </c>
      <c r="AA17" s="60">
        <f t="shared" si="7"/>
        <v>0</v>
      </c>
      <c r="AB17" s="60">
        <f t="shared" si="29"/>
        <v>31</v>
      </c>
      <c r="AC17" s="60">
        <f t="shared" si="8"/>
        <v>0</v>
      </c>
      <c r="AD17" s="60">
        <f>ROUND(AC17*AB17*Input!$C$3/365,0)</f>
        <v>0</v>
      </c>
      <c r="AE17" s="61">
        <f>IF($A17&lt;=Input!$C$6,0,IF('144M'!AA17&lt;'144M'!AC17,'144M'!AA17-AD17,'144M'!AC17))</f>
        <v>0</v>
      </c>
      <c r="AF17" s="61">
        <f t="shared" si="9"/>
        <v>0</v>
      </c>
      <c r="AG17" s="60">
        <f t="shared" si="10"/>
        <v>0</v>
      </c>
      <c r="AH17" s="193"/>
      <c r="AI17" s="169">
        <v>13</v>
      </c>
      <c r="AJ17" s="1">
        <f t="shared" si="30"/>
        <v>45915</v>
      </c>
      <c r="AK17" s="60">
        <f>IF($X17&lt;Input!$H$73,IF($X17&lt;Input!$G$73,IF($X17&lt;Input!$F$73,IF($X17&lt;Input!$E$73,IF($X17&lt;Input!$D$73,Input!$C$79,Input!$D$79),Input!$E$79),Input!$F$79),Input!$G$79),Input!$H$79)</f>
        <v>0</v>
      </c>
      <c r="AL17" s="190">
        <f>IF($A17&lt;Input!$H$80,IF($A17&lt;Input!$G$80,IF($A17&lt;Input!$F$80,IF($A17&lt;Input!$E$80,IF($A17&lt;Input!$D$80,Input!$C$81,Input!$D$81),Input!$E$81),Input!$F$81),Input!$G$81),Input!$H$81)</f>
        <v>0.9</v>
      </c>
      <c r="AM17" s="60">
        <f t="shared" si="11"/>
        <v>0</v>
      </c>
      <c r="AN17" s="60">
        <f t="shared" si="31"/>
        <v>31</v>
      </c>
      <c r="AO17" s="60">
        <f t="shared" si="12"/>
        <v>0</v>
      </c>
      <c r="AP17" s="60">
        <f>ROUND(AO17*AN17*Input!$C$3/365,0)</f>
        <v>0</v>
      </c>
      <c r="AQ17" s="61">
        <f>IF($A17&lt;=Input!$C$6,0,IF('144M'!AM17&lt;'144M'!AO17,'144M'!AM17-AP17,'144M'!AO17))</f>
        <v>0</v>
      </c>
      <c r="AR17" s="61">
        <f t="shared" si="13"/>
        <v>0</v>
      </c>
      <c r="AS17" s="60">
        <f t="shared" si="14"/>
        <v>0</v>
      </c>
      <c r="AT17" s="193"/>
      <c r="AU17" s="169">
        <v>13</v>
      </c>
      <c r="AV17" s="1">
        <f t="shared" si="32"/>
        <v>45915</v>
      </c>
      <c r="AW17" s="60">
        <f>IF($X17&lt;Input!$H$88,IF($X17&lt;Input!$G$88,IF($X17&lt;Input!$F$88,IF($X17&lt;Input!$E$88,IF($X17&lt;Input!$D$88,Input!$C$94,Input!$D$94),Input!$E$94),Input!$F$94),Input!$G$94),Input!$H$94)</f>
        <v>0</v>
      </c>
      <c r="AX17" s="190">
        <f>IF($A17&lt;Input!$H$95,IF($A17&lt;Input!$G$95,IF($A17&lt;Input!$F$95,IF($A17&lt;Input!$E$95,IF($A17&lt;Input!$D$95,Input!$C$96,Input!$D$96),Input!$E$96),Input!$F$96),Input!$G$96),Input!$H$96)</f>
        <v>0.9</v>
      </c>
      <c r="AY17" s="60">
        <f t="shared" si="15"/>
        <v>0</v>
      </c>
      <c r="AZ17" s="60">
        <f t="shared" si="33"/>
        <v>31</v>
      </c>
      <c r="BA17" s="60">
        <f t="shared" si="16"/>
        <v>0</v>
      </c>
      <c r="BB17" s="60">
        <f>ROUND(BA17*AZ17*Input!$C$3/365,0)</f>
        <v>0</v>
      </c>
      <c r="BC17" s="61">
        <f>IF($A17&lt;=Input!$C$6,0,IF('144M'!AY17&lt;'144M'!BA17,'144M'!AY17-BB17,'144M'!BA17))</f>
        <v>0</v>
      </c>
      <c r="BD17" s="61">
        <f t="shared" si="17"/>
        <v>0</v>
      </c>
      <c r="BE17" s="60">
        <f t="shared" si="18"/>
        <v>0</v>
      </c>
      <c r="BF17" s="193"/>
      <c r="BG17" s="169">
        <v>13</v>
      </c>
      <c r="BH17" s="1">
        <f t="shared" si="34"/>
        <v>45915</v>
      </c>
      <c r="BI17" s="60">
        <f>IF($X17&lt;Input!$H$103,IF($X17&lt;Input!$G$103,IF($X17&lt;Input!$F$103,IF($X17&lt;Input!$E$103,IF($X17&lt;Input!$D$103,Input!$C$109,Input!$D$109),Input!$E$109),Input!$F$109),Input!$G$109),Input!$H$109)</f>
        <v>0</v>
      </c>
      <c r="BJ17" s="190">
        <f>IF($A17&lt;Input!$H$110,IF($A17&lt;Input!$G$110,IF($A17&lt;Input!$F$110,IF($A17&lt;Input!$E$110,IF($A17&lt;Input!$D$110,Input!$C$111,Input!$D$111),Input!$E$111),Input!$F$111),Input!$G$111),Input!$H$111)</f>
        <v>0.9</v>
      </c>
      <c r="BK17" s="60">
        <f t="shared" si="19"/>
        <v>0</v>
      </c>
      <c r="BL17" s="60">
        <f t="shared" si="35"/>
        <v>31</v>
      </c>
      <c r="BM17" s="60">
        <f t="shared" si="20"/>
        <v>0</v>
      </c>
      <c r="BN17" s="60">
        <f>ROUND(BM17*BL17*Input!$C$3/365,0)</f>
        <v>0</v>
      </c>
      <c r="BO17" s="61">
        <f>IF($A17&lt;=Input!$C$6,0,IF('144M'!BK17&lt;'144M'!BM17,'144M'!BK17-BN17,'144M'!BM17))</f>
        <v>0</v>
      </c>
      <c r="BP17" s="61">
        <f t="shared" si="21"/>
        <v>0</v>
      </c>
      <c r="BQ17" s="60">
        <f t="shared" si="22"/>
        <v>0</v>
      </c>
      <c r="BR17" s="198"/>
    </row>
    <row r="18" spans="1:70" x14ac:dyDescent="0.25">
      <c r="A18" s="169">
        <v>14</v>
      </c>
      <c r="B18" s="1">
        <f t="shared" si="23"/>
        <v>45945</v>
      </c>
      <c r="C18" s="60">
        <f t="shared" si="1"/>
        <v>16470000</v>
      </c>
      <c r="D18" s="60">
        <f t="shared" si="2"/>
        <v>14823000</v>
      </c>
      <c r="E18" s="60">
        <f t="shared" si="24"/>
        <v>30</v>
      </c>
      <c r="F18" s="60">
        <f t="shared" si="25"/>
        <v>967671770</v>
      </c>
      <c r="G18" s="60">
        <f>ROUND(F18*E18*Input!$C$3/365,0)</f>
        <v>11930200</v>
      </c>
      <c r="H18" s="60">
        <f>IF($A18&lt;=Input!$C$6,0,IF('144M'!D18&lt;'144M'!F18,'144M'!D18-G18,'144M'!F18))</f>
        <v>2892800</v>
      </c>
      <c r="I18" s="60">
        <f t="shared" si="26"/>
        <v>14823000</v>
      </c>
      <c r="J18" s="60">
        <f t="shared" si="27"/>
        <v>964778970</v>
      </c>
      <c r="K18" s="202">
        <f>J18/Input!$K$5</f>
        <v>3.2159298999999999</v>
      </c>
      <c r="L18" s="232"/>
      <c r="M18" s="60">
        <f>IF($B18&lt;Input!$H$43,IF($B18&lt;Input!$G$43,IF($B18&lt;Input!$F$43,IF($B18&lt;Input!$E$43,IF($B18&lt;Input!$D$43,Input!$C$49,Input!$D$49),Input!$E$49),Input!$F$49),Input!$G$49),Input!$H$49)</f>
        <v>16470000</v>
      </c>
      <c r="N18" s="190">
        <f>IF($A18&lt;Input!$H$50,IF($A18&lt;Input!$G$50,IF($A18&lt;Input!$F$50,IF($A18&lt;Input!$E$50,IF($A18&lt;Input!$D$50,Input!$C$51,Input!$D$51),Input!$E$51),Input!$F$51),Input!$G$51),Input!$H$51)</f>
        <v>0.9</v>
      </c>
      <c r="O18" s="60">
        <f t="shared" si="0"/>
        <v>14823000</v>
      </c>
      <c r="P18" s="60">
        <f t="shared" si="3"/>
        <v>30</v>
      </c>
      <c r="Q18" s="60">
        <f t="shared" si="4"/>
        <v>967671770</v>
      </c>
      <c r="R18" s="60">
        <f>ROUND(Q18*$P18*Input!$C$3/365,0)</f>
        <v>11930200</v>
      </c>
      <c r="S18" s="60">
        <f>IF(A18&lt;=Input!$C$6,0,IF('144M'!O18&lt;'144M'!Q18,'144M'!O18-R18,'144M'!Q18))</f>
        <v>2892800</v>
      </c>
      <c r="T18" s="60">
        <f t="shared" si="5"/>
        <v>14823000</v>
      </c>
      <c r="U18" s="60">
        <f t="shared" si="6"/>
        <v>964778970</v>
      </c>
      <c r="V18" s="193"/>
      <c r="W18" s="169">
        <v>14</v>
      </c>
      <c r="X18" s="1">
        <f t="shared" si="28"/>
        <v>45945</v>
      </c>
      <c r="Y18" s="60">
        <f>IF($X18&lt;Input!$H$58,IF($X18&lt;Input!$G$58,IF($X18&lt;Input!$F$58,IF($X18&lt;Input!$E$58,IF($X18&lt;Input!$D$58,Input!$C$64,Input!$D$64),Input!$E$64),Input!$F$64),Input!$G$64),Input!$H$64)</f>
        <v>0</v>
      </c>
      <c r="Z18" s="190">
        <f>IF($A18&lt;Input!$H$65,IF($A18&lt;Input!$G$65,IF($A18&lt;Input!$F$65,IF($A18&lt;Input!$E$65,IF($A18&lt;Input!$D$65,Input!$C$66,Input!$D$66),Input!$E$66),Input!$F$66),Input!$G$66),Input!$H$66)</f>
        <v>0.9</v>
      </c>
      <c r="AA18" s="60">
        <f t="shared" si="7"/>
        <v>0</v>
      </c>
      <c r="AB18" s="60">
        <f t="shared" si="29"/>
        <v>30</v>
      </c>
      <c r="AC18" s="60">
        <f t="shared" si="8"/>
        <v>0</v>
      </c>
      <c r="AD18" s="60">
        <f>ROUND(AC18*AB18*Input!$C$3/365,0)</f>
        <v>0</v>
      </c>
      <c r="AE18" s="61">
        <f>IF($A18&lt;=Input!$C$6,0,IF('144M'!AA18&lt;'144M'!AC18,'144M'!AA18-AD18,'144M'!AC18))</f>
        <v>0</v>
      </c>
      <c r="AF18" s="61">
        <f t="shared" si="9"/>
        <v>0</v>
      </c>
      <c r="AG18" s="60">
        <f t="shared" si="10"/>
        <v>0</v>
      </c>
      <c r="AH18" s="193"/>
      <c r="AI18" s="169">
        <v>14</v>
      </c>
      <c r="AJ18" s="1">
        <f t="shared" si="30"/>
        <v>45945</v>
      </c>
      <c r="AK18" s="60">
        <f>IF($X18&lt;Input!$H$73,IF($X18&lt;Input!$G$73,IF($X18&lt;Input!$F$73,IF($X18&lt;Input!$E$73,IF($X18&lt;Input!$D$73,Input!$C$79,Input!$D$79),Input!$E$79),Input!$F$79),Input!$G$79),Input!$H$79)</f>
        <v>0</v>
      </c>
      <c r="AL18" s="190">
        <f>IF($A18&lt;Input!$H$80,IF($A18&lt;Input!$G$80,IF($A18&lt;Input!$F$80,IF($A18&lt;Input!$E$80,IF($A18&lt;Input!$D$80,Input!$C$81,Input!$D$81),Input!$E$81),Input!$F$81),Input!$G$81),Input!$H$81)</f>
        <v>0.9</v>
      </c>
      <c r="AM18" s="60">
        <f t="shared" si="11"/>
        <v>0</v>
      </c>
      <c r="AN18" s="60">
        <f t="shared" si="31"/>
        <v>30</v>
      </c>
      <c r="AO18" s="60">
        <f t="shared" si="12"/>
        <v>0</v>
      </c>
      <c r="AP18" s="60">
        <f>ROUND(AO18*AN18*Input!$C$3/365,0)</f>
        <v>0</v>
      </c>
      <c r="AQ18" s="61">
        <f>IF($A18&lt;=Input!$C$6,0,IF('144M'!AM18&lt;'144M'!AO18,'144M'!AM18-AP18,'144M'!AO18))</f>
        <v>0</v>
      </c>
      <c r="AR18" s="61">
        <f t="shared" si="13"/>
        <v>0</v>
      </c>
      <c r="AS18" s="60">
        <f t="shared" si="14"/>
        <v>0</v>
      </c>
      <c r="AT18" s="193"/>
      <c r="AU18" s="169">
        <v>14</v>
      </c>
      <c r="AV18" s="1">
        <f t="shared" si="32"/>
        <v>45945</v>
      </c>
      <c r="AW18" s="60">
        <f>IF($X18&lt;Input!$H$88,IF($X18&lt;Input!$G$88,IF($X18&lt;Input!$F$88,IF($X18&lt;Input!$E$88,IF($X18&lt;Input!$D$88,Input!$C$94,Input!$D$94),Input!$E$94),Input!$F$94),Input!$G$94),Input!$H$94)</f>
        <v>0</v>
      </c>
      <c r="AX18" s="190">
        <f>IF($A18&lt;Input!$H$95,IF($A18&lt;Input!$G$95,IF($A18&lt;Input!$F$95,IF($A18&lt;Input!$E$95,IF($A18&lt;Input!$D$95,Input!$C$96,Input!$D$96),Input!$E$96),Input!$F$96),Input!$G$96),Input!$H$96)</f>
        <v>0.9</v>
      </c>
      <c r="AY18" s="60">
        <f t="shared" si="15"/>
        <v>0</v>
      </c>
      <c r="AZ18" s="60">
        <f t="shared" si="33"/>
        <v>30</v>
      </c>
      <c r="BA18" s="60">
        <f t="shared" si="16"/>
        <v>0</v>
      </c>
      <c r="BB18" s="60">
        <f>ROUND(BA18*AZ18*Input!$C$3/365,0)</f>
        <v>0</v>
      </c>
      <c r="BC18" s="61">
        <f>IF($A18&lt;=Input!$C$6,0,IF('144M'!AY18&lt;'144M'!BA18,'144M'!AY18-BB18,'144M'!BA18))</f>
        <v>0</v>
      </c>
      <c r="BD18" s="61">
        <f t="shared" si="17"/>
        <v>0</v>
      </c>
      <c r="BE18" s="60">
        <f t="shared" si="18"/>
        <v>0</v>
      </c>
      <c r="BF18" s="193"/>
      <c r="BG18" s="169">
        <v>14</v>
      </c>
      <c r="BH18" s="1">
        <f t="shared" si="34"/>
        <v>45945</v>
      </c>
      <c r="BI18" s="60">
        <f>IF($X18&lt;Input!$H$103,IF($X18&lt;Input!$G$103,IF($X18&lt;Input!$F$103,IF($X18&lt;Input!$E$103,IF($X18&lt;Input!$D$103,Input!$C$109,Input!$D$109),Input!$E$109),Input!$F$109),Input!$G$109),Input!$H$109)</f>
        <v>0</v>
      </c>
      <c r="BJ18" s="190">
        <f>IF($A18&lt;Input!$H$110,IF($A18&lt;Input!$G$110,IF($A18&lt;Input!$F$110,IF($A18&lt;Input!$E$110,IF($A18&lt;Input!$D$110,Input!$C$111,Input!$D$111),Input!$E$111),Input!$F$111),Input!$G$111),Input!$H$111)</f>
        <v>0.9</v>
      </c>
      <c r="BK18" s="60">
        <f t="shared" si="19"/>
        <v>0</v>
      </c>
      <c r="BL18" s="60">
        <f t="shared" si="35"/>
        <v>30</v>
      </c>
      <c r="BM18" s="60">
        <f t="shared" si="20"/>
        <v>0</v>
      </c>
      <c r="BN18" s="60">
        <f>ROUND(BM18*BL18*Input!$C$3/365,0)</f>
        <v>0</v>
      </c>
      <c r="BO18" s="61">
        <f>IF($A18&lt;=Input!$C$6,0,IF('144M'!BK18&lt;'144M'!BM18,'144M'!BK18-BN18,'144M'!BM18))</f>
        <v>0</v>
      </c>
      <c r="BP18" s="61">
        <f t="shared" si="21"/>
        <v>0</v>
      </c>
      <c r="BQ18" s="60">
        <f t="shared" si="22"/>
        <v>0</v>
      </c>
      <c r="BR18" s="198"/>
    </row>
    <row r="19" spans="1:70" x14ac:dyDescent="0.25">
      <c r="A19" s="169">
        <v>15</v>
      </c>
      <c r="B19" s="1">
        <f t="shared" si="23"/>
        <v>45976</v>
      </c>
      <c r="C19" s="60">
        <f t="shared" si="1"/>
        <v>16470000</v>
      </c>
      <c r="D19" s="60">
        <f t="shared" si="2"/>
        <v>14823000</v>
      </c>
      <c r="E19" s="60">
        <f t="shared" si="24"/>
        <v>31</v>
      </c>
      <c r="F19" s="60">
        <f t="shared" si="25"/>
        <v>964778970</v>
      </c>
      <c r="G19" s="60">
        <f>ROUND(F19*E19*Input!$C$3/365,0)</f>
        <v>12291020</v>
      </c>
      <c r="H19" s="60">
        <f>IF($A19&lt;=Input!$C$6,0,IF('144M'!D19&lt;'144M'!F19,'144M'!D19-G19,'144M'!F19))</f>
        <v>2531980</v>
      </c>
      <c r="I19" s="60">
        <f t="shared" si="26"/>
        <v>14823000</v>
      </c>
      <c r="J19" s="60">
        <f t="shared" si="27"/>
        <v>962246990</v>
      </c>
      <c r="K19" s="202">
        <f>J19/Input!$K$5</f>
        <v>3.2074899666666665</v>
      </c>
      <c r="L19" s="232"/>
      <c r="M19" s="60">
        <f>IF($B19&lt;Input!$H$43,IF($B19&lt;Input!$G$43,IF($B19&lt;Input!$F$43,IF($B19&lt;Input!$E$43,IF($B19&lt;Input!$D$43,Input!$C$49,Input!$D$49),Input!$E$49),Input!$F$49),Input!$G$49),Input!$H$49)</f>
        <v>16470000</v>
      </c>
      <c r="N19" s="190">
        <f>IF($A19&lt;Input!$H$50,IF($A19&lt;Input!$G$50,IF($A19&lt;Input!$F$50,IF($A19&lt;Input!$E$50,IF($A19&lt;Input!$D$50,Input!$C$51,Input!$D$51),Input!$E$51),Input!$F$51),Input!$G$51),Input!$H$51)</f>
        <v>0.9</v>
      </c>
      <c r="O19" s="60">
        <f t="shared" si="0"/>
        <v>14823000</v>
      </c>
      <c r="P19" s="60">
        <f t="shared" si="3"/>
        <v>31</v>
      </c>
      <c r="Q19" s="60">
        <f t="shared" si="4"/>
        <v>964778970</v>
      </c>
      <c r="R19" s="60">
        <f>ROUND(Q19*$P19*Input!$C$3/365,0)</f>
        <v>12291020</v>
      </c>
      <c r="S19" s="60">
        <f>IF(A19&lt;=Input!$C$6,0,IF('144M'!O19&lt;'144M'!Q19,'144M'!O19-R19,'144M'!Q19))</f>
        <v>2531980</v>
      </c>
      <c r="T19" s="60">
        <f t="shared" si="5"/>
        <v>14823000</v>
      </c>
      <c r="U19" s="60">
        <f t="shared" si="6"/>
        <v>962246990</v>
      </c>
      <c r="V19" s="193"/>
      <c r="W19" s="169">
        <v>15</v>
      </c>
      <c r="X19" s="1">
        <f t="shared" si="28"/>
        <v>45976</v>
      </c>
      <c r="Y19" s="60">
        <f>IF($X19&lt;Input!$H$58,IF($X19&lt;Input!$G$58,IF($X19&lt;Input!$F$58,IF($X19&lt;Input!$E$58,IF($X19&lt;Input!$D$58,Input!$C$64,Input!$D$64),Input!$E$64),Input!$F$64),Input!$G$64),Input!$H$64)</f>
        <v>0</v>
      </c>
      <c r="Z19" s="190">
        <f>IF($A19&lt;Input!$H$65,IF($A19&lt;Input!$G$65,IF($A19&lt;Input!$F$65,IF($A19&lt;Input!$E$65,IF($A19&lt;Input!$D$65,Input!$C$66,Input!$D$66),Input!$E$66),Input!$F$66),Input!$G$66),Input!$H$66)</f>
        <v>0.9</v>
      </c>
      <c r="AA19" s="60">
        <f t="shared" si="7"/>
        <v>0</v>
      </c>
      <c r="AB19" s="60">
        <f t="shared" si="29"/>
        <v>31</v>
      </c>
      <c r="AC19" s="60">
        <f t="shared" si="8"/>
        <v>0</v>
      </c>
      <c r="AD19" s="60">
        <f>ROUND(AC19*AB19*Input!$C$3/365,0)</f>
        <v>0</v>
      </c>
      <c r="AE19" s="61">
        <f>IF($A19&lt;=Input!$C$6,0,IF('144M'!AA19&lt;'144M'!AC19,'144M'!AA19-AD19,'144M'!AC19))</f>
        <v>0</v>
      </c>
      <c r="AF19" s="61">
        <f t="shared" si="9"/>
        <v>0</v>
      </c>
      <c r="AG19" s="60">
        <f t="shared" si="10"/>
        <v>0</v>
      </c>
      <c r="AH19" s="193"/>
      <c r="AI19" s="169">
        <v>15</v>
      </c>
      <c r="AJ19" s="1">
        <f t="shared" si="30"/>
        <v>45976</v>
      </c>
      <c r="AK19" s="60">
        <f>IF($X19&lt;Input!$H$73,IF($X19&lt;Input!$G$73,IF($X19&lt;Input!$F$73,IF($X19&lt;Input!$E$73,IF($X19&lt;Input!$D$73,Input!$C$79,Input!$D$79),Input!$E$79),Input!$F$79),Input!$G$79),Input!$H$79)</f>
        <v>0</v>
      </c>
      <c r="AL19" s="190">
        <f>IF($A19&lt;Input!$H$80,IF($A19&lt;Input!$G$80,IF($A19&lt;Input!$F$80,IF($A19&lt;Input!$E$80,IF($A19&lt;Input!$D$80,Input!$C$81,Input!$D$81),Input!$E$81),Input!$F$81),Input!$G$81),Input!$H$81)</f>
        <v>0.9</v>
      </c>
      <c r="AM19" s="60">
        <f t="shared" si="11"/>
        <v>0</v>
      </c>
      <c r="AN19" s="60">
        <f t="shared" si="31"/>
        <v>31</v>
      </c>
      <c r="AO19" s="60">
        <f t="shared" si="12"/>
        <v>0</v>
      </c>
      <c r="AP19" s="60">
        <f>ROUND(AO19*AN19*Input!$C$3/365,0)</f>
        <v>0</v>
      </c>
      <c r="AQ19" s="61">
        <f>IF($A19&lt;=Input!$C$6,0,IF('144M'!AM19&lt;'144M'!AO19,'144M'!AM19-AP19,'144M'!AO19))</f>
        <v>0</v>
      </c>
      <c r="AR19" s="61">
        <f t="shared" si="13"/>
        <v>0</v>
      </c>
      <c r="AS19" s="60">
        <f t="shared" si="14"/>
        <v>0</v>
      </c>
      <c r="AT19" s="193"/>
      <c r="AU19" s="169">
        <v>15</v>
      </c>
      <c r="AV19" s="1">
        <f t="shared" si="32"/>
        <v>45976</v>
      </c>
      <c r="AW19" s="60">
        <f>IF($X19&lt;Input!$H$88,IF($X19&lt;Input!$G$88,IF($X19&lt;Input!$F$88,IF($X19&lt;Input!$E$88,IF($X19&lt;Input!$D$88,Input!$C$94,Input!$D$94),Input!$E$94),Input!$F$94),Input!$G$94),Input!$H$94)</f>
        <v>0</v>
      </c>
      <c r="AX19" s="190">
        <f>IF($A19&lt;Input!$H$95,IF($A19&lt;Input!$G$95,IF($A19&lt;Input!$F$95,IF($A19&lt;Input!$E$95,IF($A19&lt;Input!$D$95,Input!$C$96,Input!$D$96),Input!$E$96),Input!$F$96),Input!$G$96),Input!$H$96)</f>
        <v>0.9</v>
      </c>
      <c r="AY19" s="60">
        <f t="shared" si="15"/>
        <v>0</v>
      </c>
      <c r="AZ19" s="60">
        <f t="shared" si="33"/>
        <v>31</v>
      </c>
      <c r="BA19" s="60">
        <f t="shared" si="16"/>
        <v>0</v>
      </c>
      <c r="BB19" s="60">
        <f>ROUND(BA19*AZ19*Input!$C$3/365,0)</f>
        <v>0</v>
      </c>
      <c r="BC19" s="61">
        <f>IF($A19&lt;=Input!$C$6,0,IF('144M'!AY19&lt;'144M'!BA19,'144M'!AY19-BB19,'144M'!BA19))</f>
        <v>0</v>
      </c>
      <c r="BD19" s="61">
        <f t="shared" si="17"/>
        <v>0</v>
      </c>
      <c r="BE19" s="60">
        <f t="shared" si="18"/>
        <v>0</v>
      </c>
      <c r="BF19" s="193"/>
      <c r="BG19" s="169">
        <v>15</v>
      </c>
      <c r="BH19" s="1">
        <f t="shared" si="34"/>
        <v>45976</v>
      </c>
      <c r="BI19" s="60">
        <f>IF($X19&lt;Input!$H$103,IF($X19&lt;Input!$G$103,IF($X19&lt;Input!$F$103,IF($X19&lt;Input!$E$103,IF($X19&lt;Input!$D$103,Input!$C$109,Input!$D$109),Input!$E$109),Input!$F$109),Input!$G$109),Input!$H$109)</f>
        <v>0</v>
      </c>
      <c r="BJ19" s="190">
        <f>IF($A19&lt;Input!$H$110,IF($A19&lt;Input!$G$110,IF($A19&lt;Input!$F$110,IF($A19&lt;Input!$E$110,IF($A19&lt;Input!$D$110,Input!$C$111,Input!$D$111),Input!$E$111),Input!$F$111),Input!$G$111),Input!$H$111)</f>
        <v>0.9</v>
      </c>
      <c r="BK19" s="60">
        <f t="shared" si="19"/>
        <v>0</v>
      </c>
      <c r="BL19" s="60">
        <f t="shared" si="35"/>
        <v>31</v>
      </c>
      <c r="BM19" s="60">
        <f t="shared" si="20"/>
        <v>0</v>
      </c>
      <c r="BN19" s="60">
        <f>ROUND(BM19*BL19*Input!$C$3/365,0)</f>
        <v>0</v>
      </c>
      <c r="BO19" s="61">
        <f>IF($A19&lt;=Input!$C$6,0,IF('144M'!BK19&lt;'144M'!BM19,'144M'!BK19-BN19,'144M'!BM19))</f>
        <v>0</v>
      </c>
      <c r="BP19" s="61">
        <f t="shared" si="21"/>
        <v>0</v>
      </c>
      <c r="BQ19" s="60">
        <f t="shared" si="22"/>
        <v>0</v>
      </c>
      <c r="BR19" s="198"/>
    </row>
    <row r="20" spans="1:70" x14ac:dyDescent="0.25">
      <c r="A20" s="169">
        <v>16</v>
      </c>
      <c r="B20" s="1">
        <f t="shared" si="23"/>
        <v>46006</v>
      </c>
      <c r="C20" s="60">
        <f t="shared" si="1"/>
        <v>16470000</v>
      </c>
      <c r="D20" s="60">
        <f t="shared" si="2"/>
        <v>14823000</v>
      </c>
      <c r="E20" s="60">
        <f t="shared" si="24"/>
        <v>30</v>
      </c>
      <c r="F20" s="60">
        <f t="shared" si="25"/>
        <v>962246990</v>
      </c>
      <c r="G20" s="60">
        <f>ROUND(F20*E20*Input!$C$3/365,0)</f>
        <v>11863319</v>
      </c>
      <c r="H20" s="60">
        <f>IF($A20&lt;=Input!$C$6,0,IF('144M'!D20&lt;'144M'!F20,'144M'!D20-G20,'144M'!F20))</f>
        <v>2959681</v>
      </c>
      <c r="I20" s="60">
        <f t="shared" si="26"/>
        <v>14823000</v>
      </c>
      <c r="J20" s="60">
        <f t="shared" si="27"/>
        <v>959287309</v>
      </c>
      <c r="K20" s="202">
        <f>J20/Input!$K$5</f>
        <v>3.1976243633333334</v>
      </c>
      <c r="L20" s="232"/>
      <c r="M20" s="60">
        <f>IF($B20&lt;Input!$H$43,IF($B20&lt;Input!$G$43,IF($B20&lt;Input!$F$43,IF($B20&lt;Input!$E$43,IF($B20&lt;Input!$D$43,Input!$C$49,Input!$D$49),Input!$E$49),Input!$F$49),Input!$G$49),Input!$H$49)</f>
        <v>16470000</v>
      </c>
      <c r="N20" s="190">
        <f>IF($A20&lt;Input!$H$50,IF($A20&lt;Input!$G$50,IF($A20&lt;Input!$F$50,IF($A20&lt;Input!$E$50,IF($A20&lt;Input!$D$50,Input!$C$51,Input!$D$51),Input!$E$51),Input!$F$51),Input!$G$51),Input!$H$51)</f>
        <v>0.9</v>
      </c>
      <c r="O20" s="60">
        <f t="shared" si="0"/>
        <v>14823000</v>
      </c>
      <c r="P20" s="60">
        <f t="shared" si="3"/>
        <v>30</v>
      </c>
      <c r="Q20" s="60">
        <f t="shared" si="4"/>
        <v>962246990</v>
      </c>
      <c r="R20" s="60">
        <f>ROUND(Q20*$P20*Input!$C$3/365,0)</f>
        <v>11863319</v>
      </c>
      <c r="S20" s="60">
        <f>IF(A20&lt;=Input!$C$6,0,IF('144M'!O20&lt;'144M'!Q20,'144M'!O20-R20,'144M'!Q20))</f>
        <v>2959681</v>
      </c>
      <c r="T20" s="60">
        <f t="shared" si="5"/>
        <v>14823000</v>
      </c>
      <c r="U20" s="60">
        <f t="shared" si="6"/>
        <v>959287309</v>
      </c>
      <c r="V20" s="193"/>
      <c r="W20" s="169">
        <v>16</v>
      </c>
      <c r="X20" s="1">
        <f t="shared" si="28"/>
        <v>46006</v>
      </c>
      <c r="Y20" s="60">
        <f>IF($X20&lt;Input!$H$58,IF($X20&lt;Input!$G$58,IF($X20&lt;Input!$F$58,IF($X20&lt;Input!$E$58,IF($X20&lt;Input!$D$58,Input!$C$64,Input!$D$64),Input!$E$64),Input!$F$64),Input!$G$64),Input!$H$64)</f>
        <v>0</v>
      </c>
      <c r="Z20" s="190">
        <f>IF($A20&lt;Input!$H$65,IF($A20&lt;Input!$G$65,IF($A20&lt;Input!$F$65,IF($A20&lt;Input!$E$65,IF($A20&lt;Input!$D$65,Input!$C$66,Input!$D$66),Input!$E$66),Input!$F$66),Input!$G$66),Input!$H$66)</f>
        <v>0.9</v>
      </c>
      <c r="AA20" s="60">
        <f t="shared" si="7"/>
        <v>0</v>
      </c>
      <c r="AB20" s="60">
        <f t="shared" si="29"/>
        <v>30</v>
      </c>
      <c r="AC20" s="60">
        <f t="shared" si="8"/>
        <v>0</v>
      </c>
      <c r="AD20" s="60">
        <f>ROUND(AC20*AB20*Input!$C$3/365,0)</f>
        <v>0</v>
      </c>
      <c r="AE20" s="61">
        <f>IF($A20&lt;=Input!$C$6,0,IF('144M'!AA20&lt;'144M'!AC20,'144M'!AA20-AD20,'144M'!AC20))</f>
        <v>0</v>
      </c>
      <c r="AF20" s="61">
        <f t="shared" si="9"/>
        <v>0</v>
      </c>
      <c r="AG20" s="60">
        <f t="shared" si="10"/>
        <v>0</v>
      </c>
      <c r="AH20" s="193"/>
      <c r="AI20" s="169">
        <v>16</v>
      </c>
      <c r="AJ20" s="1">
        <f t="shared" si="30"/>
        <v>46006</v>
      </c>
      <c r="AK20" s="60">
        <f>IF($X20&lt;Input!$H$73,IF($X20&lt;Input!$G$73,IF($X20&lt;Input!$F$73,IF($X20&lt;Input!$E$73,IF($X20&lt;Input!$D$73,Input!$C$79,Input!$D$79),Input!$E$79),Input!$F$79),Input!$G$79),Input!$H$79)</f>
        <v>0</v>
      </c>
      <c r="AL20" s="190">
        <f>IF($A20&lt;Input!$H$80,IF($A20&lt;Input!$G$80,IF($A20&lt;Input!$F$80,IF($A20&lt;Input!$E$80,IF($A20&lt;Input!$D$80,Input!$C$81,Input!$D$81),Input!$E$81),Input!$F$81),Input!$G$81),Input!$H$81)</f>
        <v>0.9</v>
      </c>
      <c r="AM20" s="60">
        <f t="shared" si="11"/>
        <v>0</v>
      </c>
      <c r="AN20" s="60">
        <f t="shared" si="31"/>
        <v>30</v>
      </c>
      <c r="AO20" s="60">
        <f t="shared" si="12"/>
        <v>0</v>
      </c>
      <c r="AP20" s="60">
        <f>ROUND(AO20*AN20*Input!$C$3/365,0)</f>
        <v>0</v>
      </c>
      <c r="AQ20" s="61">
        <f>IF($A20&lt;=Input!$C$6,0,IF('144M'!AM20&lt;'144M'!AO20,'144M'!AM20-AP20,'144M'!AO20))</f>
        <v>0</v>
      </c>
      <c r="AR20" s="61">
        <f t="shared" si="13"/>
        <v>0</v>
      </c>
      <c r="AS20" s="60">
        <f t="shared" si="14"/>
        <v>0</v>
      </c>
      <c r="AT20" s="193"/>
      <c r="AU20" s="169">
        <v>16</v>
      </c>
      <c r="AV20" s="1">
        <f t="shared" si="32"/>
        <v>46006</v>
      </c>
      <c r="AW20" s="60">
        <f>IF($X20&lt;Input!$H$88,IF($X20&lt;Input!$G$88,IF($X20&lt;Input!$F$88,IF($X20&lt;Input!$E$88,IF($X20&lt;Input!$D$88,Input!$C$94,Input!$D$94),Input!$E$94),Input!$F$94),Input!$G$94),Input!$H$94)</f>
        <v>0</v>
      </c>
      <c r="AX20" s="190">
        <f>IF($A20&lt;Input!$H$95,IF($A20&lt;Input!$G$95,IF($A20&lt;Input!$F$95,IF($A20&lt;Input!$E$95,IF($A20&lt;Input!$D$95,Input!$C$96,Input!$D$96),Input!$E$96),Input!$F$96),Input!$G$96),Input!$H$96)</f>
        <v>0.9</v>
      </c>
      <c r="AY20" s="60">
        <f t="shared" si="15"/>
        <v>0</v>
      </c>
      <c r="AZ20" s="60">
        <f t="shared" si="33"/>
        <v>30</v>
      </c>
      <c r="BA20" s="60">
        <f t="shared" si="16"/>
        <v>0</v>
      </c>
      <c r="BB20" s="60">
        <f>ROUND(BA20*AZ20*Input!$C$3/365,0)</f>
        <v>0</v>
      </c>
      <c r="BC20" s="61">
        <f>IF($A20&lt;=Input!$C$6,0,IF('144M'!AY20&lt;'144M'!BA20,'144M'!AY20-BB20,'144M'!BA20))</f>
        <v>0</v>
      </c>
      <c r="BD20" s="61">
        <f t="shared" si="17"/>
        <v>0</v>
      </c>
      <c r="BE20" s="60">
        <f t="shared" si="18"/>
        <v>0</v>
      </c>
      <c r="BF20" s="193"/>
      <c r="BG20" s="169">
        <v>16</v>
      </c>
      <c r="BH20" s="1">
        <f t="shared" si="34"/>
        <v>46006</v>
      </c>
      <c r="BI20" s="60">
        <f>IF($X20&lt;Input!$H$103,IF($X20&lt;Input!$G$103,IF($X20&lt;Input!$F$103,IF($X20&lt;Input!$E$103,IF($X20&lt;Input!$D$103,Input!$C$109,Input!$D$109),Input!$E$109),Input!$F$109),Input!$G$109),Input!$H$109)</f>
        <v>0</v>
      </c>
      <c r="BJ20" s="190">
        <f>IF($A20&lt;Input!$H$110,IF($A20&lt;Input!$G$110,IF($A20&lt;Input!$F$110,IF($A20&lt;Input!$E$110,IF($A20&lt;Input!$D$110,Input!$C$111,Input!$D$111),Input!$E$111),Input!$F$111),Input!$G$111),Input!$H$111)</f>
        <v>0.9</v>
      </c>
      <c r="BK20" s="60">
        <f t="shared" si="19"/>
        <v>0</v>
      </c>
      <c r="BL20" s="60">
        <f t="shared" si="35"/>
        <v>30</v>
      </c>
      <c r="BM20" s="60">
        <f t="shared" si="20"/>
        <v>0</v>
      </c>
      <c r="BN20" s="60">
        <f>ROUND(BM20*BL20*Input!$C$3/365,0)</f>
        <v>0</v>
      </c>
      <c r="BO20" s="61">
        <f>IF($A20&lt;=Input!$C$6,0,IF('144M'!BK20&lt;'144M'!BM20,'144M'!BK20-BN20,'144M'!BM20))</f>
        <v>0</v>
      </c>
      <c r="BP20" s="61">
        <f t="shared" si="21"/>
        <v>0</v>
      </c>
      <c r="BQ20" s="60">
        <f t="shared" si="22"/>
        <v>0</v>
      </c>
      <c r="BR20" s="198"/>
    </row>
    <row r="21" spans="1:70" x14ac:dyDescent="0.25">
      <c r="A21" s="169">
        <v>17</v>
      </c>
      <c r="B21" s="1">
        <f t="shared" si="23"/>
        <v>46037</v>
      </c>
      <c r="C21" s="60">
        <f t="shared" si="1"/>
        <v>16470000</v>
      </c>
      <c r="D21" s="60">
        <f t="shared" si="2"/>
        <v>14823000</v>
      </c>
      <c r="E21" s="60">
        <f t="shared" si="24"/>
        <v>31</v>
      </c>
      <c r="F21" s="60">
        <f t="shared" si="25"/>
        <v>959287309</v>
      </c>
      <c r="G21" s="60">
        <f>ROUND(F21*E21*Input!$C$3/365,0)</f>
        <v>12221057</v>
      </c>
      <c r="H21" s="60">
        <f>IF($A21&lt;=Input!$C$6,0,IF('144M'!D21&lt;'144M'!F21,'144M'!D21-G21,'144M'!F21))</f>
        <v>2601943</v>
      </c>
      <c r="I21" s="60">
        <f t="shared" si="26"/>
        <v>14823000</v>
      </c>
      <c r="J21" s="60">
        <f t="shared" si="27"/>
        <v>956685366</v>
      </c>
      <c r="K21" s="202">
        <f>J21/Input!$K$5</f>
        <v>3.1889512199999999</v>
      </c>
      <c r="L21" s="232"/>
      <c r="M21" s="60">
        <f>IF($B21&lt;Input!$H$43,IF($B21&lt;Input!$G$43,IF($B21&lt;Input!$F$43,IF($B21&lt;Input!$E$43,IF($B21&lt;Input!$D$43,Input!$C$49,Input!$D$49),Input!$E$49),Input!$F$49),Input!$G$49),Input!$H$49)</f>
        <v>16470000</v>
      </c>
      <c r="N21" s="190">
        <f>IF($A21&lt;Input!$H$50,IF($A21&lt;Input!$G$50,IF($A21&lt;Input!$F$50,IF($A21&lt;Input!$E$50,IF($A21&lt;Input!$D$50,Input!$C$51,Input!$D$51),Input!$E$51),Input!$F$51),Input!$G$51),Input!$H$51)</f>
        <v>0.9</v>
      </c>
      <c r="O21" s="60">
        <f t="shared" si="0"/>
        <v>14823000</v>
      </c>
      <c r="P21" s="60">
        <f t="shared" si="3"/>
        <v>31</v>
      </c>
      <c r="Q21" s="60">
        <f t="shared" si="4"/>
        <v>959287309</v>
      </c>
      <c r="R21" s="60">
        <f>ROUND(Q21*$P21*Input!$C$3/365,0)</f>
        <v>12221057</v>
      </c>
      <c r="S21" s="60">
        <f>IF(A21&lt;=Input!$C$6,0,IF('144M'!O21&lt;'144M'!Q21,'144M'!O21-R21,'144M'!Q21))</f>
        <v>2601943</v>
      </c>
      <c r="T21" s="60">
        <f t="shared" si="5"/>
        <v>14823000</v>
      </c>
      <c r="U21" s="60">
        <f t="shared" si="6"/>
        <v>956685366</v>
      </c>
      <c r="V21" s="193"/>
      <c r="W21" s="169">
        <v>17</v>
      </c>
      <c r="X21" s="1">
        <f t="shared" si="28"/>
        <v>46037</v>
      </c>
      <c r="Y21" s="60">
        <f>IF($X21&lt;Input!$H$58,IF($X21&lt;Input!$G$58,IF($X21&lt;Input!$F$58,IF($X21&lt;Input!$E$58,IF($X21&lt;Input!$D$58,Input!$C$64,Input!$D$64),Input!$E$64),Input!$F$64),Input!$G$64),Input!$H$64)</f>
        <v>0</v>
      </c>
      <c r="Z21" s="190">
        <f>IF($A21&lt;Input!$H$65,IF($A21&lt;Input!$G$65,IF($A21&lt;Input!$F$65,IF($A21&lt;Input!$E$65,IF($A21&lt;Input!$D$65,Input!$C$66,Input!$D$66),Input!$E$66),Input!$F$66),Input!$G$66),Input!$H$66)</f>
        <v>0.9</v>
      </c>
      <c r="AA21" s="60">
        <f t="shared" si="7"/>
        <v>0</v>
      </c>
      <c r="AB21" s="60">
        <f t="shared" si="29"/>
        <v>31</v>
      </c>
      <c r="AC21" s="60">
        <f t="shared" si="8"/>
        <v>0</v>
      </c>
      <c r="AD21" s="60">
        <f>ROUND(AC21*AB21*Input!$C$3/365,0)</f>
        <v>0</v>
      </c>
      <c r="AE21" s="61">
        <f>IF($A21&lt;=Input!$C$6,0,IF('144M'!AA21&lt;'144M'!AC21,'144M'!AA21-AD21,'144M'!AC21))</f>
        <v>0</v>
      </c>
      <c r="AF21" s="61">
        <f t="shared" si="9"/>
        <v>0</v>
      </c>
      <c r="AG21" s="60">
        <f t="shared" si="10"/>
        <v>0</v>
      </c>
      <c r="AH21" s="193"/>
      <c r="AI21" s="169">
        <v>17</v>
      </c>
      <c r="AJ21" s="1">
        <f t="shared" si="30"/>
        <v>46037</v>
      </c>
      <c r="AK21" s="60">
        <f>IF($X21&lt;Input!$H$73,IF($X21&lt;Input!$G$73,IF($X21&lt;Input!$F$73,IF($X21&lt;Input!$E$73,IF($X21&lt;Input!$D$73,Input!$C$79,Input!$D$79),Input!$E$79),Input!$F$79),Input!$G$79),Input!$H$79)</f>
        <v>0</v>
      </c>
      <c r="AL21" s="190">
        <f>IF($A21&lt;Input!$H$80,IF($A21&lt;Input!$G$80,IF($A21&lt;Input!$F$80,IF($A21&lt;Input!$E$80,IF($A21&lt;Input!$D$80,Input!$C$81,Input!$D$81),Input!$E$81),Input!$F$81),Input!$G$81),Input!$H$81)</f>
        <v>0.9</v>
      </c>
      <c r="AM21" s="60">
        <f t="shared" si="11"/>
        <v>0</v>
      </c>
      <c r="AN21" s="60">
        <f t="shared" si="31"/>
        <v>31</v>
      </c>
      <c r="AO21" s="60">
        <f t="shared" si="12"/>
        <v>0</v>
      </c>
      <c r="AP21" s="60">
        <f>ROUND(AO21*AN21*Input!$C$3/365,0)</f>
        <v>0</v>
      </c>
      <c r="AQ21" s="61">
        <f>IF($A21&lt;=Input!$C$6,0,IF('144M'!AM21&lt;'144M'!AO21,'144M'!AM21-AP21,'144M'!AO21))</f>
        <v>0</v>
      </c>
      <c r="AR21" s="61">
        <f t="shared" si="13"/>
        <v>0</v>
      </c>
      <c r="AS21" s="60">
        <f t="shared" si="14"/>
        <v>0</v>
      </c>
      <c r="AT21" s="193"/>
      <c r="AU21" s="169">
        <v>17</v>
      </c>
      <c r="AV21" s="1">
        <f t="shared" si="32"/>
        <v>46037</v>
      </c>
      <c r="AW21" s="60">
        <f>IF($X21&lt;Input!$H$88,IF($X21&lt;Input!$G$88,IF($X21&lt;Input!$F$88,IF($X21&lt;Input!$E$88,IF($X21&lt;Input!$D$88,Input!$C$94,Input!$D$94),Input!$E$94),Input!$F$94),Input!$G$94),Input!$H$94)</f>
        <v>0</v>
      </c>
      <c r="AX21" s="190">
        <f>IF($A21&lt;Input!$H$95,IF($A21&lt;Input!$G$95,IF($A21&lt;Input!$F$95,IF($A21&lt;Input!$E$95,IF($A21&lt;Input!$D$95,Input!$C$96,Input!$D$96),Input!$E$96),Input!$F$96),Input!$G$96),Input!$H$96)</f>
        <v>0.9</v>
      </c>
      <c r="AY21" s="60">
        <f t="shared" si="15"/>
        <v>0</v>
      </c>
      <c r="AZ21" s="60">
        <f t="shared" si="33"/>
        <v>31</v>
      </c>
      <c r="BA21" s="60">
        <f t="shared" si="16"/>
        <v>0</v>
      </c>
      <c r="BB21" s="60">
        <f>ROUND(BA21*AZ21*Input!$C$3/365,0)</f>
        <v>0</v>
      </c>
      <c r="BC21" s="61">
        <f>IF($A21&lt;=Input!$C$6,0,IF('144M'!AY21&lt;'144M'!BA21,'144M'!AY21-BB21,'144M'!BA21))</f>
        <v>0</v>
      </c>
      <c r="BD21" s="61">
        <f t="shared" si="17"/>
        <v>0</v>
      </c>
      <c r="BE21" s="60">
        <f t="shared" si="18"/>
        <v>0</v>
      </c>
      <c r="BF21" s="193"/>
      <c r="BG21" s="169">
        <v>17</v>
      </c>
      <c r="BH21" s="1">
        <f t="shared" si="34"/>
        <v>46037</v>
      </c>
      <c r="BI21" s="60">
        <f>IF($X21&lt;Input!$H$103,IF($X21&lt;Input!$G$103,IF($X21&lt;Input!$F$103,IF($X21&lt;Input!$E$103,IF($X21&lt;Input!$D$103,Input!$C$109,Input!$D$109),Input!$E$109),Input!$F$109),Input!$G$109),Input!$H$109)</f>
        <v>0</v>
      </c>
      <c r="BJ21" s="190">
        <f>IF($A21&lt;Input!$H$110,IF($A21&lt;Input!$G$110,IF($A21&lt;Input!$F$110,IF($A21&lt;Input!$E$110,IF($A21&lt;Input!$D$110,Input!$C$111,Input!$D$111),Input!$E$111),Input!$F$111),Input!$G$111),Input!$H$111)</f>
        <v>0.9</v>
      </c>
      <c r="BK21" s="60">
        <f t="shared" si="19"/>
        <v>0</v>
      </c>
      <c r="BL21" s="60">
        <f t="shared" si="35"/>
        <v>31</v>
      </c>
      <c r="BM21" s="60">
        <f t="shared" si="20"/>
        <v>0</v>
      </c>
      <c r="BN21" s="60">
        <f>ROUND(BM21*BL21*Input!$C$3/365,0)</f>
        <v>0</v>
      </c>
      <c r="BO21" s="61">
        <f>IF($A21&lt;=Input!$C$6,0,IF('144M'!BK21&lt;'144M'!BM21,'144M'!BK21-BN21,'144M'!BM21))</f>
        <v>0</v>
      </c>
      <c r="BP21" s="61">
        <f t="shared" si="21"/>
        <v>0</v>
      </c>
      <c r="BQ21" s="60">
        <f t="shared" si="22"/>
        <v>0</v>
      </c>
      <c r="BR21" s="198"/>
    </row>
    <row r="22" spans="1:70" x14ac:dyDescent="0.25">
      <c r="A22" s="169">
        <v>18</v>
      </c>
      <c r="B22" s="1">
        <f t="shared" si="23"/>
        <v>46068</v>
      </c>
      <c r="C22" s="60">
        <f t="shared" si="1"/>
        <v>16470000</v>
      </c>
      <c r="D22" s="60">
        <f t="shared" si="2"/>
        <v>14823000</v>
      </c>
      <c r="E22" s="60">
        <f t="shared" si="24"/>
        <v>31</v>
      </c>
      <c r="F22" s="60">
        <f t="shared" si="25"/>
        <v>956685366</v>
      </c>
      <c r="G22" s="60">
        <f>ROUND(F22*E22*Input!$C$3/365,0)</f>
        <v>12187909</v>
      </c>
      <c r="H22" s="60">
        <f>IF($A22&lt;=Input!$C$6,0,IF('144M'!D22&lt;'144M'!F22,'144M'!D22-G22,'144M'!F22))</f>
        <v>2635091</v>
      </c>
      <c r="I22" s="60">
        <f t="shared" si="26"/>
        <v>14823000</v>
      </c>
      <c r="J22" s="60">
        <f t="shared" si="27"/>
        <v>954050275</v>
      </c>
      <c r="K22" s="202">
        <f>J22/Input!$K$5</f>
        <v>3.1801675833333332</v>
      </c>
      <c r="L22" s="232"/>
      <c r="M22" s="60">
        <f>IF($B22&lt;Input!$H$43,IF($B22&lt;Input!$G$43,IF($B22&lt;Input!$F$43,IF($B22&lt;Input!$E$43,IF($B22&lt;Input!$D$43,Input!$C$49,Input!$D$49),Input!$E$49),Input!$F$49),Input!$G$49),Input!$H$49)</f>
        <v>16470000</v>
      </c>
      <c r="N22" s="190">
        <f>IF($A22&lt;Input!$H$50,IF($A22&lt;Input!$G$50,IF($A22&lt;Input!$F$50,IF($A22&lt;Input!$E$50,IF($A22&lt;Input!$D$50,Input!$C$51,Input!$D$51),Input!$E$51),Input!$F$51),Input!$G$51),Input!$H$51)</f>
        <v>0.9</v>
      </c>
      <c r="O22" s="60">
        <f t="shared" si="0"/>
        <v>14823000</v>
      </c>
      <c r="P22" s="60">
        <f t="shared" si="3"/>
        <v>31</v>
      </c>
      <c r="Q22" s="60">
        <f t="shared" si="4"/>
        <v>956685366</v>
      </c>
      <c r="R22" s="60">
        <f>ROUND(Q22*$P22*Input!$C$3/365,0)</f>
        <v>12187909</v>
      </c>
      <c r="S22" s="60">
        <f>IF(A22&lt;=Input!$C$6,0,IF('144M'!O22&lt;'144M'!Q22,'144M'!O22-R22,'144M'!Q22))</f>
        <v>2635091</v>
      </c>
      <c r="T22" s="60">
        <f t="shared" si="5"/>
        <v>14823000</v>
      </c>
      <c r="U22" s="60">
        <f t="shared" si="6"/>
        <v>954050275</v>
      </c>
      <c r="V22" s="193"/>
      <c r="W22" s="169">
        <v>18</v>
      </c>
      <c r="X22" s="1">
        <f t="shared" si="28"/>
        <v>46068</v>
      </c>
      <c r="Y22" s="60">
        <f>IF($X22&lt;Input!$H$58,IF($X22&lt;Input!$G$58,IF($X22&lt;Input!$F$58,IF($X22&lt;Input!$E$58,IF($X22&lt;Input!$D$58,Input!$C$64,Input!$D$64),Input!$E$64),Input!$F$64),Input!$G$64),Input!$H$64)</f>
        <v>0</v>
      </c>
      <c r="Z22" s="190">
        <f>IF($A22&lt;Input!$H$65,IF($A22&lt;Input!$G$65,IF($A22&lt;Input!$F$65,IF($A22&lt;Input!$E$65,IF($A22&lt;Input!$D$65,Input!$C$66,Input!$D$66),Input!$E$66),Input!$F$66),Input!$G$66),Input!$H$66)</f>
        <v>0.9</v>
      </c>
      <c r="AA22" s="60">
        <f t="shared" si="7"/>
        <v>0</v>
      </c>
      <c r="AB22" s="60">
        <f t="shared" si="29"/>
        <v>31</v>
      </c>
      <c r="AC22" s="60">
        <f t="shared" si="8"/>
        <v>0</v>
      </c>
      <c r="AD22" s="60">
        <f>ROUND(AC22*AB22*Input!$C$3/365,0)</f>
        <v>0</v>
      </c>
      <c r="AE22" s="61">
        <f>IF($A22&lt;=Input!$C$6,0,IF('144M'!AA22&lt;'144M'!AC22,'144M'!AA22-AD22,'144M'!AC22))</f>
        <v>0</v>
      </c>
      <c r="AF22" s="61">
        <f t="shared" si="9"/>
        <v>0</v>
      </c>
      <c r="AG22" s="60">
        <f t="shared" si="10"/>
        <v>0</v>
      </c>
      <c r="AH22" s="193"/>
      <c r="AI22" s="169">
        <v>18</v>
      </c>
      <c r="AJ22" s="1">
        <f t="shared" si="30"/>
        <v>46068</v>
      </c>
      <c r="AK22" s="60">
        <f>IF($X22&lt;Input!$H$73,IF($X22&lt;Input!$G$73,IF($X22&lt;Input!$F$73,IF($X22&lt;Input!$E$73,IF($X22&lt;Input!$D$73,Input!$C$79,Input!$D$79),Input!$E$79),Input!$F$79),Input!$G$79),Input!$H$79)</f>
        <v>0</v>
      </c>
      <c r="AL22" s="190">
        <f>IF($A22&lt;Input!$H$80,IF($A22&lt;Input!$G$80,IF($A22&lt;Input!$F$80,IF($A22&lt;Input!$E$80,IF($A22&lt;Input!$D$80,Input!$C$81,Input!$D$81),Input!$E$81),Input!$F$81),Input!$G$81),Input!$H$81)</f>
        <v>0.9</v>
      </c>
      <c r="AM22" s="60">
        <f t="shared" si="11"/>
        <v>0</v>
      </c>
      <c r="AN22" s="60">
        <f t="shared" si="31"/>
        <v>31</v>
      </c>
      <c r="AO22" s="60">
        <f t="shared" si="12"/>
        <v>0</v>
      </c>
      <c r="AP22" s="60">
        <f>ROUND(AO22*AN22*Input!$C$3/365,0)</f>
        <v>0</v>
      </c>
      <c r="AQ22" s="61">
        <f>IF($A22&lt;=Input!$C$6,0,IF('144M'!AM22&lt;'144M'!AO22,'144M'!AM22-AP22,'144M'!AO22))</f>
        <v>0</v>
      </c>
      <c r="AR22" s="61">
        <f t="shared" si="13"/>
        <v>0</v>
      </c>
      <c r="AS22" s="60">
        <f t="shared" si="14"/>
        <v>0</v>
      </c>
      <c r="AT22" s="193"/>
      <c r="AU22" s="169">
        <v>18</v>
      </c>
      <c r="AV22" s="1">
        <f t="shared" si="32"/>
        <v>46068</v>
      </c>
      <c r="AW22" s="60">
        <f>IF($X22&lt;Input!$H$88,IF($X22&lt;Input!$G$88,IF($X22&lt;Input!$F$88,IF($X22&lt;Input!$E$88,IF($X22&lt;Input!$D$88,Input!$C$94,Input!$D$94),Input!$E$94),Input!$F$94),Input!$G$94),Input!$H$94)</f>
        <v>0</v>
      </c>
      <c r="AX22" s="190">
        <f>IF($A22&lt;Input!$H$95,IF($A22&lt;Input!$G$95,IF($A22&lt;Input!$F$95,IF($A22&lt;Input!$E$95,IF($A22&lt;Input!$D$95,Input!$C$96,Input!$D$96),Input!$E$96),Input!$F$96),Input!$G$96),Input!$H$96)</f>
        <v>0.9</v>
      </c>
      <c r="AY22" s="60">
        <f t="shared" si="15"/>
        <v>0</v>
      </c>
      <c r="AZ22" s="60">
        <f t="shared" si="33"/>
        <v>31</v>
      </c>
      <c r="BA22" s="60">
        <f t="shared" si="16"/>
        <v>0</v>
      </c>
      <c r="BB22" s="60">
        <f>ROUND(BA22*AZ22*Input!$C$3/365,0)</f>
        <v>0</v>
      </c>
      <c r="BC22" s="61">
        <f>IF($A22&lt;=Input!$C$6,0,IF('144M'!AY22&lt;'144M'!BA22,'144M'!AY22-BB22,'144M'!BA22))</f>
        <v>0</v>
      </c>
      <c r="BD22" s="61">
        <f t="shared" si="17"/>
        <v>0</v>
      </c>
      <c r="BE22" s="60">
        <f t="shared" si="18"/>
        <v>0</v>
      </c>
      <c r="BF22" s="193"/>
      <c r="BG22" s="169">
        <v>18</v>
      </c>
      <c r="BH22" s="1">
        <f t="shared" si="34"/>
        <v>46068</v>
      </c>
      <c r="BI22" s="60">
        <f>IF($X22&lt;Input!$H$103,IF($X22&lt;Input!$G$103,IF($X22&lt;Input!$F$103,IF($X22&lt;Input!$E$103,IF($X22&lt;Input!$D$103,Input!$C$109,Input!$D$109),Input!$E$109),Input!$F$109),Input!$G$109),Input!$H$109)</f>
        <v>0</v>
      </c>
      <c r="BJ22" s="190">
        <f>IF($A22&lt;Input!$H$110,IF($A22&lt;Input!$G$110,IF($A22&lt;Input!$F$110,IF($A22&lt;Input!$E$110,IF($A22&lt;Input!$D$110,Input!$C$111,Input!$D$111),Input!$E$111),Input!$F$111),Input!$G$111),Input!$H$111)</f>
        <v>0.9</v>
      </c>
      <c r="BK22" s="60">
        <f t="shared" si="19"/>
        <v>0</v>
      </c>
      <c r="BL22" s="60">
        <f t="shared" si="35"/>
        <v>31</v>
      </c>
      <c r="BM22" s="60">
        <f t="shared" si="20"/>
        <v>0</v>
      </c>
      <c r="BN22" s="60">
        <f>ROUND(BM22*BL22*Input!$C$3/365,0)</f>
        <v>0</v>
      </c>
      <c r="BO22" s="61">
        <f>IF($A22&lt;=Input!$C$6,0,IF('144M'!BK22&lt;'144M'!BM22,'144M'!BK22-BN22,'144M'!BM22))</f>
        <v>0</v>
      </c>
      <c r="BP22" s="61">
        <f t="shared" si="21"/>
        <v>0</v>
      </c>
      <c r="BQ22" s="60">
        <f t="shared" si="22"/>
        <v>0</v>
      </c>
      <c r="BR22" s="198"/>
    </row>
    <row r="23" spans="1:70" x14ac:dyDescent="0.25">
      <c r="A23" s="169">
        <v>19</v>
      </c>
      <c r="B23" s="1">
        <f t="shared" si="23"/>
        <v>46096</v>
      </c>
      <c r="C23" s="60">
        <f t="shared" si="1"/>
        <v>16470000</v>
      </c>
      <c r="D23" s="60">
        <f t="shared" si="2"/>
        <v>14823000</v>
      </c>
      <c r="E23" s="60">
        <f t="shared" si="24"/>
        <v>28</v>
      </c>
      <c r="F23" s="60">
        <f t="shared" si="25"/>
        <v>954050275</v>
      </c>
      <c r="G23" s="60">
        <f>ROUND(F23*E23*Input!$C$3/365,0)</f>
        <v>10978113</v>
      </c>
      <c r="H23" s="60">
        <f>IF($A23&lt;=Input!$C$6,0,IF('144M'!D23&lt;'144M'!F23,'144M'!D23-G23,'144M'!F23))</f>
        <v>3844887</v>
      </c>
      <c r="I23" s="60">
        <f t="shared" si="26"/>
        <v>14823000</v>
      </c>
      <c r="J23" s="60">
        <f t="shared" si="27"/>
        <v>950205388</v>
      </c>
      <c r="K23" s="202">
        <f>J23/Input!$K$5</f>
        <v>3.1673512933333332</v>
      </c>
      <c r="L23" s="232"/>
      <c r="M23" s="60">
        <f>IF($B23&lt;Input!$H$43,IF($B23&lt;Input!$G$43,IF($B23&lt;Input!$F$43,IF($B23&lt;Input!$E$43,IF($B23&lt;Input!$D$43,Input!$C$49,Input!$D$49),Input!$E$49),Input!$F$49),Input!$G$49),Input!$H$49)</f>
        <v>16470000</v>
      </c>
      <c r="N23" s="190">
        <f>IF($A23&lt;Input!$H$50,IF($A23&lt;Input!$G$50,IF($A23&lt;Input!$F$50,IF($A23&lt;Input!$E$50,IF($A23&lt;Input!$D$50,Input!$C$51,Input!$D$51),Input!$E$51),Input!$F$51),Input!$G$51),Input!$H$51)</f>
        <v>0.9</v>
      </c>
      <c r="O23" s="60">
        <f t="shared" si="0"/>
        <v>14823000</v>
      </c>
      <c r="P23" s="60">
        <f t="shared" si="3"/>
        <v>28</v>
      </c>
      <c r="Q23" s="60">
        <f t="shared" si="4"/>
        <v>954050275</v>
      </c>
      <c r="R23" s="60">
        <f>ROUND(Q23*$P23*Input!$C$3/365,0)</f>
        <v>10978113</v>
      </c>
      <c r="S23" s="60">
        <f>IF(A23&lt;=Input!$C$6,0,IF('144M'!O23&lt;'144M'!Q23,'144M'!O23-R23,'144M'!Q23))</f>
        <v>3844887</v>
      </c>
      <c r="T23" s="60">
        <f t="shared" si="5"/>
        <v>14823000</v>
      </c>
      <c r="U23" s="60">
        <f t="shared" si="6"/>
        <v>950205388</v>
      </c>
      <c r="V23" s="193"/>
      <c r="W23" s="169">
        <v>19</v>
      </c>
      <c r="X23" s="1">
        <f t="shared" si="28"/>
        <v>46096</v>
      </c>
      <c r="Y23" s="60">
        <f>IF($X23&lt;Input!$H$58,IF($X23&lt;Input!$G$58,IF($X23&lt;Input!$F$58,IF($X23&lt;Input!$E$58,IF($X23&lt;Input!$D$58,Input!$C$64,Input!$D$64),Input!$E$64),Input!$F$64),Input!$G$64),Input!$H$64)</f>
        <v>0</v>
      </c>
      <c r="Z23" s="190">
        <f>IF($A23&lt;Input!$H$65,IF($A23&lt;Input!$G$65,IF($A23&lt;Input!$F$65,IF($A23&lt;Input!$E$65,IF($A23&lt;Input!$D$65,Input!$C$66,Input!$D$66),Input!$E$66),Input!$F$66),Input!$G$66),Input!$H$66)</f>
        <v>0.9</v>
      </c>
      <c r="AA23" s="60">
        <f t="shared" si="7"/>
        <v>0</v>
      </c>
      <c r="AB23" s="60">
        <f t="shared" si="29"/>
        <v>28</v>
      </c>
      <c r="AC23" s="60">
        <f t="shared" si="8"/>
        <v>0</v>
      </c>
      <c r="AD23" s="60">
        <f>ROUND(AC23*AB23*Input!$C$3/365,0)</f>
        <v>0</v>
      </c>
      <c r="AE23" s="61">
        <f>IF($A23&lt;=Input!$C$6,0,IF('144M'!AA23&lt;'144M'!AC23,'144M'!AA23-AD23,'144M'!AC23))</f>
        <v>0</v>
      </c>
      <c r="AF23" s="61">
        <f t="shared" si="9"/>
        <v>0</v>
      </c>
      <c r="AG23" s="60">
        <f t="shared" si="10"/>
        <v>0</v>
      </c>
      <c r="AH23" s="193"/>
      <c r="AI23" s="169">
        <v>19</v>
      </c>
      <c r="AJ23" s="1">
        <f t="shared" si="30"/>
        <v>46096</v>
      </c>
      <c r="AK23" s="60">
        <f>IF($X23&lt;Input!$H$73,IF($X23&lt;Input!$G$73,IF($X23&lt;Input!$F$73,IF($X23&lt;Input!$E$73,IF($X23&lt;Input!$D$73,Input!$C$79,Input!$D$79),Input!$E$79),Input!$F$79),Input!$G$79),Input!$H$79)</f>
        <v>0</v>
      </c>
      <c r="AL23" s="190">
        <f>IF($A23&lt;Input!$H$80,IF($A23&lt;Input!$G$80,IF($A23&lt;Input!$F$80,IF($A23&lt;Input!$E$80,IF($A23&lt;Input!$D$80,Input!$C$81,Input!$D$81),Input!$E$81),Input!$F$81),Input!$G$81),Input!$H$81)</f>
        <v>0.9</v>
      </c>
      <c r="AM23" s="60">
        <f t="shared" si="11"/>
        <v>0</v>
      </c>
      <c r="AN23" s="60">
        <f t="shared" si="31"/>
        <v>28</v>
      </c>
      <c r="AO23" s="60">
        <f t="shared" si="12"/>
        <v>0</v>
      </c>
      <c r="AP23" s="60">
        <f>ROUND(AO23*AN23*Input!$C$3/365,0)</f>
        <v>0</v>
      </c>
      <c r="AQ23" s="61">
        <f>IF($A23&lt;=Input!$C$6,0,IF('144M'!AM23&lt;'144M'!AO23,'144M'!AM23-AP23,'144M'!AO23))</f>
        <v>0</v>
      </c>
      <c r="AR23" s="61">
        <f t="shared" si="13"/>
        <v>0</v>
      </c>
      <c r="AS23" s="60">
        <f t="shared" si="14"/>
        <v>0</v>
      </c>
      <c r="AT23" s="193"/>
      <c r="AU23" s="169">
        <v>19</v>
      </c>
      <c r="AV23" s="1">
        <f t="shared" si="32"/>
        <v>46096</v>
      </c>
      <c r="AW23" s="60">
        <f>IF($X23&lt;Input!$H$88,IF($X23&lt;Input!$G$88,IF($X23&lt;Input!$F$88,IF($X23&lt;Input!$E$88,IF($X23&lt;Input!$D$88,Input!$C$94,Input!$D$94),Input!$E$94),Input!$F$94),Input!$G$94),Input!$H$94)</f>
        <v>0</v>
      </c>
      <c r="AX23" s="190">
        <f>IF($A23&lt;Input!$H$95,IF($A23&lt;Input!$G$95,IF($A23&lt;Input!$F$95,IF($A23&lt;Input!$E$95,IF($A23&lt;Input!$D$95,Input!$C$96,Input!$D$96),Input!$E$96),Input!$F$96),Input!$G$96),Input!$H$96)</f>
        <v>0.9</v>
      </c>
      <c r="AY23" s="60">
        <f t="shared" si="15"/>
        <v>0</v>
      </c>
      <c r="AZ23" s="60">
        <f t="shared" si="33"/>
        <v>28</v>
      </c>
      <c r="BA23" s="60">
        <f t="shared" si="16"/>
        <v>0</v>
      </c>
      <c r="BB23" s="60">
        <f>ROUND(BA23*AZ23*Input!$C$3/365,0)</f>
        <v>0</v>
      </c>
      <c r="BC23" s="61">
        <f>IF($A23&lt;=Input!$C$6,0,IF('144M'!AY23&lt;'144M'!BA23,'144M'!AY23-BB23,'144M'!BA23))</f>
        <v>0</v>
      </c>
      <c r="BD23" s="61">
        <f t="shared" si="17"/>
        <v>0</v>
      </c>
      <c r="BE23" s="60">
        <f t="shared" si="18"/>
        <v>0</v>
      </c>
      <c r="BF23" s="193"/>
      <c r="BG23" s="169">
        <v>19</v>
      </c>
      <c r="BH23" s="1">
        <f t="shared" si="34"/>
        <v>46096</v>
      </c>
      <c r="BI23" s="60">
        <f>IF($X23&lt;Input!$H$103,IF($X23&lt;Input!$G$103,IF($X23&lt;Input!$F$103,IF($X23&lt;Input!$E$103,IF($X23&lt;Input!$D$103,Input!$C$109,Input!$D$109),Input!$E$109),Input!$F$109),Input!$G$109),Input!$H$109)</f>
        <v>0</v>
      </c>
      <c r="BJ23" s="190">
        <f>IF($A23&lt;Input!$H$110,IF($A23&lt;Input!$G$110,IF($A23&lt;Input!$F$110,IF($A23&lt;Input!$E$110,IF($A23&lt;Input!$D$110,Input!$C$111,Input!$D$111),Input!$E$111),Input!$F$111),Input!$G$111),Input!$H$111)</f>
        <v>0.9</v>
      </c>
      <c r="BK23" s="60">
        <f t="shared" si="19"/>
        <v>0</v>
      </c>
      <c r="BL23" s="60">
        <f t="shared" si="35"/>
        <v>28</v>
      </c>
      <c r="BM23" s="60">
        <f t="shared" si="20"/>
        <v>0</v>
      </c>
      <c r="BN23" s="60">
        <f>ROUND(BM23*BL23*Input!$C$3/365,0)</f>
        <v>0</v>
      </c>
      <c r="BO23" s="61">
        <f>IF($A23&lt;=Input!$C$6,0,IF('144M'!BK23&lt;'144M'!BM23,'144M'!BK23-BN23,'144M'!BM23))</f>
        <v>0</v>
      </c>
      <c r="BP23" s="61">
        <f t="shared" si="21"/>
        <v>0</v>
      </c>
      <c r="BQ23" s="60">
        <f t="shared" si="22"/>
        <v>0</v>
      </c>
      <c r="BR23" s="198"/>
    </row>
    <row r="24" spans="1:70" x14ac:dyDescent="0.25">
      <c r="A24" s="169">
        <v>20</v>
      </c>
      <c r="B24" s="1">
        <f t="shared" si="23"/>
        <v>46127</v>
      </c>
      <c r="C24" s="60">
        <f t="shared" si="1"/>
        <v>16470000</v>
      </c>
      <c r="D24" s="60">
        <f t="shared" si="2"/>
        <v>14823000</v>
      </c>
      <c r="E24" s="60">
        <f t="shared" si="24"/>
        <v>31</v>
      </c>
      <c r="F24" s="60">
        <f t="shared" si="25"/>
        <v>950205388</v>
      </c>
      <c r="G24" s="60">
        <f>ROUND(F24*E24*Input!$C$3/365,0)</f>
        <v>12105356</v>
      </c>
      <c r="H24" s="60">
        <f>IF($A24&lt;=Input!$C$6,0,IF('144M'!D24&lt;'144M'!F24,'144M'!D24-G24,'144M'!F24))</f>
        <v>2717644</v>
      </c>
      <c r="I24" s="60">
        <f t="shared" si="26"/>
        <v>14823000</v>
      </c>
      <c r="J24" s="60">
        <f t="shared" si="27"/>
        <v>947487744</v>
      </c>
      <c r="K24" s="202">
        <f>J24/Input!$K$5</f>
        <v>3.1582924800000001</v>
      </c>
      <c r="L24" s="232"/>
      <c r="M24" s="60">
        <f>IF($B24&lt;Input!$H$43,IF($B24&lt;Input!$G$43,IF($B24&lt;Input!$F$43,IF($B24&lt;Input!$E$43,IF($B24&lt;Input!$D$43,Input!$C$49,Input!$D$49),Input!$E$49),Input!$F$49),Input!$G$49),Input!$H$49)</f>
        <v>16470000</v>
      </c>
      <c r="N24" s="190">
        <f>IF($A24&lt;Input!$H$50,IF($A24&lt;Input!$G$50,IF($A24&lt;Input!$F$50,IF($A24&lt;Input!$E$50,IF($A24&lt;Input!$D$50,Input!$C$51,Input!$D$51),Input!$E$51),Input!$F$51),Input!$G$51),Input!$H$51)</f>
        <v>0.9</v>
      </c>
      <c r="O24" s="60">
        <f t="shared" si="0"/>
        <v>14823000</v>
      </c>
      <c r="P24" s="60">
        <f t="shared" si="3"/>
        <v>31</v>
      </c>
      <c r="Q24" s="60">
        <f t="shared" si="4"/>
        <v>950205388</v>
      </c>
      <c r="R24" s="60">
        <f>ROUND(Q24*$P24*Input!$C$3/365,0)</f>
        <v>12105356</v>
      </c>
      <c r="S24" s="60">
        <f>IF(A24&lt;=Input!$C$6,0,IF('144M'!O24&lt;'144M'!Q24,'144M'!O24-R24,'144M'!Q24))</f>
        <v>2717644</v>
      </c>
      <c r="T24" s="60">
        <f t="shared" si="5"/>
        <v>14823000</v>
      </c>
      <c r="U24" s="60">
        <f t="shared" si="6"/>
        <v>947487744</v>
      </c>
      <c r="V24" s="193"/>
      <c r="W24" s="169">
        <v>20</v>
      </c>
      <c r="X24" s="1">
        <f t="shared" si="28"/>
        <v>46127</v>
      </c>
      <c r="Y24" s="60">
        <f>IF($X24&lt;Input!$H$58,IF($X24&lt;Input!$G$58,IF($X24&lt;Input!$F$58,IF($X24&lt;Input!$E$58,IF($X24&lt;Input!$D$58,Input!$C$64,Input!$D$64),Input!$E$64),Input!$F$64),Input!$G$64),Input!$H$64)</f>
        <v>0</v>
      </c>
      <c r="Z24" s="190">
        <f>IF($A24&lt;Input!$H$65,IF($A24&lt;Input!$G$65,IF($A24&lt;Input!$F$65,IF($A24&lt;Input!$E$65,IF($A24&lt;Input!$D$65,Input!$C$66,Input!$D$66),Input!$E$66),Input!$F$66),Input!$G$66),Input!$H$66)</f>
        <v>0.9</v>
      </c>
      <c r="AA24" s="60">
        <f t="shared" si="7"/>
        <v>0</v>
      </c>
      <c r="AB24" s="60">
        <f t="shared" si="29"/>
        <v>31</v>
      </c>
      <c r="AC24" s="60">
        <f t="shared" si="8"/>
        <v>0</v>
      </c>
      <c r="AD24" s="60">
        <f>ROUND(AC24*AB24*Input!$C$3/365,0)</f>
        <v>0</v>
      </c>
      <c r="AE24" s="61">
        <f>IF($A24&lt;=Input!$C$6,0,IF('144M'!AA24&lt;'144M'!AC24,'144M'!AA24-AD24,'144M'!AC24))</f>
        <v>0</v>
      </c>
      <c r="AF24" s="61">
        <f t="shared" si="9"/>
        <v>0</v>
      </c>
      <c r="AG24" s="60">
        <f t="shared" si="10"/>
        <v>0</v>
      </c>
      <c r="AH24" s="193"/>
      <c r="AI24" s="169">
        <v>20</v>
      </c>
      <c r="AJ24" s="1">
        <f t="shared" si="30"/>
        <v>46127</v>
      </c>
      <c r="AK24" s="60">
        <f>IF($X24&lt;Input!$H$73,IF($X24&lt;Input!$G$73,IF($X24&lt;Input!$F$73,IF($X24&lt;Input!$E$73,IF($X24&lt;Input!$D$73,Input!$C$79,Input!$D$79),Input!$E$79),Input!$F$79),Input!$G$79),Input!$H$79)</f>
        <v>0</v>
      </c>
      <c r="AL24" s="190">
        <f>IF($A24&lt;Input!$H$80,IF($A24&lt;Input!$G$80,IF($A24&lt;Input!$F$80,IF($A24&lt;Input!$E$80,IF($A24&lt;Input!$D$80,Input!$C$81,Input!$D$81),Input!$E$81),Input!$F$81),Input!$G$81),Input!$H$81)</f>
        <v>0.9</v>
      </c>
      <c r="AM24" s="60">
        <f t="shared" si="11"/>
        <v>0</v>
      </c>
      <c r="AN24" s="60">
        <f t="shared" si="31"/>
        <v>31</v>
      </c>
      <c r="AO24" s="60">
        <f t="shared" si="12"/>
        <v>0</v>
      </c>
      <c r="AP24" s="60">
        <f>ROUND(AO24*AN24*Input!$C$3/365,0)</f>
        <v>0</v>
      </c>
      <c r="AQ24" s="61">
        <f>IF($A24&lt;=Input!$C$6,0,IF('144M'!AM24&lt;'144M'!AO24,'144M'!AM24-AP24,'144M'!AO24))</f>
        <v>0</v>
      </c>
      <c r="AR24" s="61">
        <f t="shared" si="13"/>
        <v>0</v>
      </c>
      <c r="AS24" s="60">
        <f t="shared" si="14"/>
        <v>0</v>
      </c>
      <c r="AT24" s="193"/>
      <c r="AU24" s="169">
        <v>20</v>
      </c>
      <c r="AV24" s="1">
        <f t="shared" si="32"/>
        <v>46127</v>
      </c>
      <c r="AW24" s="60">
        <f>IF($X24&lt;Input!$H$88,IF($X24&lt;Input!$G$88,IF($X24&lt;Input!$F$88,IF($X24&lt;Input!$E$88,IF($X24&lt;Input!$D$88,Input!$C$94,Input!$D$94),Input!$E$94),Input!$F$94),Input!$G$94),Input!$H$94)</f>
        <v>0</v>
      </c>
      <c r="AX24" s="190">
        <f>IF($A24&lt;Input!$H$95,IF($A24&lt;Input!$G$95,IF($A24&lt;Input!$F$95,IF($A24&lt;Input!$E$95,IF($A24&lt;Input!$D$95,Input!$C$96,Input!$D$96),Input!$E$96),Input!$F$96),Input!$G$96),Input!$H$96)</f>
        <v>0.9</v>
      </c>
      <c r="AY24" s="60">
        <f t="shared" si="15"/>
        <v>0</v>
      </c>
      <c r="AZ24" s="60">
        <f t="shared" si="33"/>
        <v>31</v>
      </c>
      <c r="BA24" s="60">
        <f t="shared" si="16"/>
        <v>0</v>
      </c>
      <c r="BB24" s="60">
        <f>ROUND(BA24*AZ24*Input!$C$3/365,0)</f>
        <v>0</v>
      </c>
      <c r="BC24" s="61">
        <f>IF($A24&lt;=Input!$C$6,0,IF('144M'!AY24&lt;'144M'!BA24,'144M'!AY24-BB24,'144M'!BA24))</f>
        <v>0</v>
      </c>
      <c r="BD24" s="61">
        <f t="shared" si="17"/>
        <v>0</v>
      </c>
      <c r="BE24" s="60">
        <f t="shared" si="18"/>
        <v>0</v>
      </c>
      <c r="BF24" s="193"/>
      <c r="BG24" s="169">
        <v>20</v>
      </c>
      <c r="BH24" s="1">
        <f t="shared" si="34"/>
        <v>46127</v>
      </c>
      <c r="BI24" s="60">
        <f>IF($X24&lt;Input!$H$103,IF($X24&lt;Input!$G$103,IF($X24&lt;Input!$F$103,IF($X24&lt;Input!$E$103,IF($X24&lt;Input!$D$103,Input!$C$109,Input!$D$109),Input!$E$109),Input!$F$109),Input!$G$109),Input!$H$109)</f>
        <v>0</v>
      </c>
      <c r="BJ24" s="190">
        <f>IF($A24&lt;Input!$H$110,IF($A24&lt;Input!$G$110,IF($A24&lt;Input!$F$110,IF($A24&lt;Input!$E$110,IF($A24&lt;Input!$D$110,Input!$C$111,Input!$D$111),Input!$E$111),Input!$F$111),Input!$G$111),Input!$H$111)</f>
        <v>0.9</v>
      </c>
      <c r="BK24" s="60">
        <f t="shared" si="19"/>
        <v>0</v>
      </c>
      <c r="BL24" s="60">
        <f t="shared" si="35"/>
        <v>31</v>
      </c>
      <c r="BM24" s="60">
        <f t="shared" si="20"/>
        <v>0</v>
      </c>
      <c r="BN24" s="60">
        <f>ROUND(BM24*BL24*Input!$C$3/365,0)</f>
        <v>0</v>
      </c>
      <c r="BO24" s="61">
        <f>IF($A24&lt;=Input!$C$6,0,IF('144M'!BK24&lt;'144M'!BM24,'144M'!BK24-BN24,'144M'!BM24))</f>
        <v>0</v>
      </c>
      <c r="BP24" s="61">
        <f t="shared" si="21"/>
        <v>0</v>
      </c>
      <c r="BQ24" s="60">
        <f t="shared" si="22"/>
        <v>0</v>
      </c>
      <c r="BR24" s="198"/>
    </row>
    <row r="25" spans="1:70" x14ac:dyDescent="0.25">
      <c r="A25" s="169">
        <v>21</v>
      </c>
      <c r="B25" s="1">
        <f t="shared" si="23"/>
        <v>46157</v>
      </c>
      <c r="C25" s="60">
        <f t="shared" si="1"/>
        <v>16470000</v>
      </c>
      <c r="D25" s="60">
        <f t="shared" si="2"/>
        <v>14823000</v>
      </c>
      <c r="E25" s="60">
        <f t="shared" si="24"/>
        <v>30</v>
      </c>
      <c r="F25" s="60">
        <f t="shared" si="25"/>
        <v>947487744</v>
      </c>
      <c r="G25" s="60">
        <f>ROUND(F25*E25*Input!$C$3/365,0)</f>
        <v>11681356</v>
      </c>
      <c r="H25" s="60">
        <f>IF($A25&lt;=Input!$C$6,0,IF('144M'!D25&lt;'144M'!F25,'144M'!D25-G25,'144M'!F25))</f>
        <v>3141644</v>
      </c>
      <c r="I25" s="60">
        <f t="shared" si="26"/>
        <v>14823000</v>
      </c>
      <c r="J25" s="60">
        <f t="shared" si="27"/>
        <v>944346100</v>
      </c>
      <c r="K25" s="202">
        <f>J25/Input!$K$5</f>
        <v>3.1478203333333332</v>
      </c>
      <c r="L25" s="232"/>
      <c r="M25" s="60">
        <f>IF($B25&lt;Input!$H$43,IF($B25&lt;Input!$G$43,IF($B25&lt;Input!$F$43,IF($B25&lt;Input!$E$43,IF($B25&lt;Input!$D$43,Input!$C$49,Input!$D$49),Input!$E$49),Input!$F$49),Input!$G$49),Input!$H$49)</f>
        <v>16470000</v>
      </c>
      <c r="N25" s="190">
        <f>IF($A25&lt;Input!$H$50,IF($A25&lt;Input!$G$50,IF($A25&lt;Input!$F$50,IF($A25&lt;Input!$E$50,IF($A25&lt;Input!$D$50,Input!$C$51,Input!$D$51),Input!$E$51),Input!$F$51),Input!$G$51),Input!$H$51)</f>
        <v>0.9</v>
      </c>
      <c r="O25" s="60">
        <f t="shared" si="0"/>
        <v>14823000</v>
      </c>
      <c r="P25" s="60">
        <f t="shared" si="3"/>
        <v>30</v>
      </c>
      <c r="Q25" s="60">
        <f t="shared" si="4"/>
        <v>947487744</v>
      </c>
      <c r="R25" s="60">
        <f>ROUND(Q25*$P25*Input!$C$3/365,0)</f>
        <v>11681356</v>
      </c>
      <c r="S25" s="60">
        <f>IF(A25&lt;=Input!$C$6,0,IF('144M'!O25&lt;'144M'!Q25,'144M'!O25-R25,'144M'!Q25))</f>
        <v>3141644</v>
      </c>
      <c r="T25" s="60">
        <f t="shared" si="5"/>
        <v>14823000</v>
      </c>
      <c r="U25" s="60">
        <f t="shared" si="6"/>
        <v>944346100</v>
      </c>
      <c r="V25" s="193"/>
      <c r="W25" s="169">
        <v>21</v>
      </c>
      <c r="X25" s="1">
        <f t="shared" si="28"/>
        <v>46157</v>
      </c>
      <c r="Y25" s="60">
        <f>IF($X25&lt;Input!$H$58,IF($X25&lt;Input!$G$58,IF($X25&lt;Input!$F$58,IF($X25&lt;Input!$E$58,IF($X25&lt;Input!$D$58,Input!$C$64,Input!$D$64),Input!$E$64),Input!$F$64),Input!$G$64),Input!$H$64)</f>
        <v>0</v>
      </c>
      <c r="Z25" s="190">
        <f>IF($A25&lt;Input!$H$65,IF($A25&lt;Input!$G$65,IF($A25&lt;Input!$F$65,IF($A25&lt;Input!$E$65,IF($A25&lt;Input!$D$65,Input!$C$66,Input!$D$66),Input!$E$66),Input!$F$66),Input!$G$66),Input!$H$66)</f>
        <v>0.9</v>
      </c>
      <c r="AA25" s="60">
        <f t="shared" si="7"/>
        <v>0</v>
      </c>
      <c r="AB25" s="60">
        <f t="shared" si="29"/>
        <v>30</v>
      </c>
      <c r="AC25" s="60">
        <f t="shared" si="8"/>
        <v>0</v>
      </c>
      <c r="AD25" s="60">
        <f>ROUND(AC25*AB25*Input!$C$3/365,0)</f>
        <v>0</v>
      </c>
      <c r="AE25" s="61">
        <f>IF($A25&lt;=Input!$C$6,0,IF('144M'!AA25&lt;'144M'!AC25,'144M'!AA25-AD25,'144M'!AC25))</f>
        <v>0</v>
      </c>
      <c r="AF25" s="61">
        <f t="shared" si="9"/>
        <v>0</v>
      </c>
      <c r="AG25" s="60">
        <f t="shared" si="10"/>
        <v>0</v>
      </c>
      <c r="AH25" s="193"/>
      <c r="AI25" s="169">
        <v>21</v>
      </c>
      <c r="AJ25" s="1">
        <f t="shared" si="30"/>
        <v>46157</v>
      </c>
      <c r="AK25" s="60">
        <f>IF($X25&lt;Input!$H$73,IF($X25&lt;Input!$G$73,IF($X25&lt;Input!$F$73,IF($X25&lt;Input!$E$73,IF($X25&lt;Input!$D$73,Input!$C$79,Input!$D$79),Input!$E$79),Input!$F$79),Input!$G$79),Input!$H$79)</f>
        <v>0</v>
      </c>
      <c r="AL25" s="190">
        <f>IF($A25&lt;Input!$H$80,IF($A25&lt;Input!$G$80,IF($A25&lt;Input!$F$80,IF($A25&lt;Input!$E$80,IF($A25&lt;Input!$D$80,Input!$C$81,Input!$D$81),Input!$E$81),Input!$F$81),Input!$G$81),Input!$H$81)</f>
        <v>0.9</v>
      </c>
      <c r="AM25" s="60">
        <f t="shared" si="11"/>
        <v>0</v>
      </c>
      <c r="AN25" s="60">
        <f t="shared" si="31"/>
        <v>30</v>
      </c>
      <c r="AO25" s="60">
        <f t="shared" si="12"/>
        <v>0</v>
      </c>
      <c r="AP25" s="60">
        <f>ROUND(AO25*AN25*Input!$C$3/365,0)</f>
        <v>0</v>
      </c>
      <c r="AQ25" s="61">
        <f>IF($A25&lt;=Input!$C$6,0,IF('144M'!AM25&lt;'144M'!AO25,'144M'!AM25-AP25,'144M'!AO25))</f>
        <v>0</v>
      </c>
      <c r="AR25" s="61">
        <f t="shared" si="13"/>
        <v>0</v>
      </c>
      <c r="AS25" s="60">
        <f t="shared" si="14"/>
        <v>0</v>
      </c>
      <c r="AT25" s="193"/>
      <c r="AU25" s="169">
        <v>21</v>
      </c>
      <c r="AV25" s="1">
        <f t="shared" si="32"/>
        <v>46157</v>
      </c>
      <c r="AW25" s="60">
        <f>IF($X25&lt;Input!$H$88,IF($X25&lt;Input!$G$88,IF($X25&lt;Input!$F$88,IF($X25&lt;Input!$E$88,IF($X25&lt;Input!$D$88,Input!$C$94,Input!$D$94),Input!$E$94),Input!$F$94),Input!$G$94),Input!$H$94)</f>
        <v>0</v>
      </c>
      <c r="AX25" s="190">
        <f>IF($A25&lt;Input!$H$95,IF($A25&lt;Input!$G$95,IF($A25&lt;Input!$F$95,IF($A25&lt;Input!$E$95,IF($A25&lt;Input!$D$95,Input!$C$96,Input!$D$96),Input!$E$96),Input!$F$96),Input!$G$96),Input!$H$96)</f>
        <v>0.9</v>
      </c>
      <c r="AY25" s="60">
        <f t="shared" si="15"/>
        <v>0</v>
      </c>
      <c r="AZ25" s="60">
        <f t="shared" si="33"/>
        <v>30</v>
      </c>
      <c r="BA25" s="60">
        <f t="shared" si="16"/>
        <v>0</v>
      </c>
      <c r="BB25" s="60">
        <f>ROUND(BA25*AZ25*Input!$C$3/365,0)</f>
        <v>0</v>
      </c>
      <c r="BC25" s="61">
        <f>IF($A25&lt;=Input!$C$6,0,IF('144M'!AY25&lt;'144M'!BA25,'144M'!AY25-BB25,'144M'!BA25))</f>
        <v>0</v>
      </c>
      <c r="BD25" s="61">
        <f t="shared" si="17"/>
        <v>0</v>
      </c>
      <c r="BE25" s="60">
        <f t="shared" si="18"/>
        <v>0</v>
      </c>
      <c r="BF25" s="193"/>
      <c r="BG25" s="169">
        <v>21</v>
      </c>
      <c r="BH25" s="1">
        <f t="shared" si="34"/>
        <v>46157</v>
      </c>
      <c r="BI25" s="60">
        <f>IF($X25&lt;Input!$H$103,IF($X25&lt;Input!$G$103,IF($X25&lt;Input!$F$103,IF($X25&lt;Input!$E$103,IF($X25&lt;Input!$D$103,Input!$C$109,Input!$D$109),Input!$E$109),Input!$F$109),Input!$G$109),Input!$H$109)</f>
        <v>0</v>
      </c>
      <c r="BJ25" s="190">
        <f>IF($A25&lt;Input!$H$110,IF($A25&lt;Input!$G$110,IF($A25&lt;Input!$F$110,IF($A25&lt;Input!$E$110,IF($A25&lt;Input!$D$110,Input!$C$111,Input!$D$111),Input!$E$111),Input!$F$111),Input!$G$111),Input!$H$111)</f>
        <v>0.9</v>
      </c>
      <c r="BK25" s="60">
        <f t="shared" si="19"/>
        <v>0</v>
      </c>
      <c r="BL25" s="60">
        <f t="shared" si="35"/>
        <v>30</v>
      </c>
      <c r="BM25" s="60">
        <f t="shared" si="20"/>
        <v>0</v>
      </c>
      <c r="BN25" s="60">
        <f>ROUND(BM25*BL25*Input!$C$3/365,0)</f>
        <v>0</v>
      </c>
      <c r="BO25" s="61">
        <f>IF($A25&lt;=Input!$C$6,0,IF('144M'!BK25&lt;'144M'!BM25,'144M'!BK25-BN25,'144M'!BM25))</f>
        <v>0</v>
      </c>
      <c r="BP25" s="61">
        <f t="shared" si="21"/>
        <v>0</v>
      </c>
      <c r="BQ25" s="60">
        <f t="shared" si="22"/>
        <v>0</v>
      </c>
      <c r="BR25" s="198"/>
    </row>
    <row r="26" spans="1:70" x14ac:dyDescent="0.25">
      <c r="A26" s="169">
        <v>22</v>
      </c>
      <c r="B26" s="1">
        <f t="shared" si="23"/>
        <v>46188</v>
      </c>
      <c r="C26" s="60">
        <f t="shared" si="1"/>
        <v>16470000</v>
      </c>
      <c r="D26" s="60">
        <f t="shared" si="2"/>
        <v>14823000</v>
      </c>
      <c r="E26" s="60">
        <f t="shared" si="24"/>
        <v>31</v>
      </c>
      <c r="F26" s="60">
        <f t="shared" si="25"/>
        <v>944346100</v>
      </c>
      <c r="G26" s="60">
        <f>ROUND(F26*E26*Input!$C$3/365,0)</f>
        <v>12030711</v>
      </c>
      <c r="H26" s="60">
        <f>IF($A26&lt;=Input!$C$6,0,IF('144M'!D26&lt;'144M'!F26,'144M'!D26-G26,'144M'!F26))</f>
        <v>2792289</v>
      </c>
      <c r="I26" s="60">
        <f t="shared" si="26"/>
        <v>14823000</v>
      </c>
      <c r="J26" s="60">
        <f t="shared" si="27"/>
        <v>941553811</v>
      </c>
      <c r="K26" s="202">
        <f>J26/Input!$K$5</f>
        <v>3.1385127033333333</v>
      </c>
      <c r="L26" s="232"/>
      <c r="M26" s="60">
        <f>IF($B26&lt;Input!$H$43,IF($B26&lt;Input!$G$43,IF($B26&lt;Input!$F$43,IF($B26&lt;Input!$E$43,IF($B26&lt;Input!$D$43,Input!$C$49,Input!$D$49),Input!$E$49),Input!$F$49),Input!$G$49),Input!$H$49)</f>
        <v>16470000</v>
      </c>
      <c r="N26" s="190">
        <f>IF($A26&lt;Input!$H$50,IF($A26&lt;Input!$G$50,IF($A26&lt;Input!$F$50,IF($A26&lt;Input!$E$50,IF($A26&lt;Input!$D$50,Input!$C$51,Input!$D$51),Input!$E$51),Input!$F$51),Input!$G$51),Input!$H$51)</f>
        <v>0.9</v>
      </c>
      <c r="O26" s="60">
        <f t="shared" si="0"/>
        <v>14823000</v>
      </c>
      <c r="P26" s="60">
        <f t="shared" si="3"/>
        <v>31</v>
      </c>
      <c r="Q26" s="60">
        <f t="shared" si="4"/>
        <v>944346100</v>
      </c>
      <c r="R26" s="60">
        <f>ROUND(Q26*$P26*Input!$C$3/365,0)</f>
        <v>12030711</v>
      </c>
      <c r="S26" s="60">
        <f>IF(A26&lt;=Input!$C$6,0,IF('144M'!O26&lt;'144M'!Q26,'144M'!O26-R26,'144M'!Q26))</f>
        <v>2792289</v>
      </c>
      <c r="T26" s="60">
        <f t="shared" si="5"/>
        <v>14823000</v>
      </c>
      <c r="U26" s="60">
        <f t="shared" si="6"/>
        <v>941553811</v>
      </c>
      <c r="V26" s="193"/>
      <c r="W26" s="169">
        <v>22</v>
      </c>
      <c r="X26" s="1">
        <f t="shared" si="28"/>
        <v>46188</v>
      </c>
      <c r="Y26" s="60">
        <f>IF($X26&lt;Input!$H$58,IF($X26&lt;Input!$G$58,IF($X26&lt;Input!$F$58,IF($X26&lt;Input!$E$58,IF($X26&lt;Input!$D$58,Input!$C$64,Input!$D$64),Input!$E$64),Input!$F$64),Input!$G$64),Input!$H$64)</f>
        <v>0</v>
      </c>
      <c r="Z26" s="190">
        <f>IF($A26&lt;Input!$H$65,IF($A26&lt;Input!$G$65,IF($A26&lt;Input!$F$65,IF($A26&lt;Input!$E$65,IF($A26&lt;Input!$D$65,Input!$C$66,Input!$D$66),Input!$E$66),Input!$F$66),Input!$G$66),Input!$H$66)</f>
        <v>0.9</v>
      </c>
      <c r="AA26" s="60">
        <f t="shared" si="7"/>
        <v>0</v>
      </c>
      <c r="AB26" s="60">
        <f t="shared" si="29"/>
        <v>31</v>
      </c>
      <c r="AC26" s="60">
        <f t="shared" si="8"/>
        <v>0</v>
      </c>
      <c r="AD26" s="60">
        <f>ROUND(AC26*AB26*Input!$C$3/365,0)</f>
        <v>0</v>
      </c>
      <c r="AE26" s="61">
        <f>IF($A26&lt;=Input!$C$6,0,IF('144M'!AA26&lt;'144M'!AC26,'144M'!AA26-AD26,'144M'!AC26))</f>
        <v>0</v>
      </c>
      <c r="AF26" s="61">
        <f t="shared" si="9"/>
        <v>0</v>
      </c>
      <c r="AG26" s="60">
        <f t="shared" si="10"/>
        <v>0</v>
      </c>
      <c r="AH26" s="193"/>
      <c r="AI26" s="169">
        <v>22</v>
      </c>
      <c r="AJ26" s="1">
        <f t="shared" si="30"/>
        <v>46188</v>
      </c>
      <c r="AK26" s="60">
        <f>IF($X26&lt;Input!$H$73,IF($X26&lt;Input!$G$73,IF($X26&lt;Input!$F$73,IF($X26&lt;Input!$E$73,IF($X26&lt;Input!$D$73,Input!$C$79,Input!$D$79),Input!$E$79),Input!$F$79),Input!$G$79),Input!$H$79)</f>
        <v>0</v>
      </c>
      <c r="AL26" s="190">
        <f>IF($A26&lt;Input!$H$80,IF($A26&lt;Input!$G$80,IF($A26&lt;Input!$F$80,IF($A26&lt;Input!$E$80,IF($A26&lt;Input!$D$80,Input!$C$81,Input!$D$81),Input!$E$81),Input!$F$81),Input!$G$81),Input!$H$81)</f>
        <v>0.9</v>
      </c>
      <c r="AM26" s="60">
        <f t="shared" si="11"/>
        <v>0</v>
      </c>
      <c r="AN26" s="60">
        <f t="shared" si="31"/>
        <v>31</v>
      </c>
      <c r="AO26" s="60">
        <f t="shared" si="12"/>
        <v>0</v>
      </c>
      <c r="AP26" s="60">
        <f>ROUND(AO26*AN26*Input!$C$3/365,0)</f>
        <v>0</v>
      </c>
      <c r="AQ26" s="61">
        <f>IF($A26&lt;=Input!$C$6,0,IF('144M'!AM26&lt;'144M'!AO26,'144M'!AM26-AP26,'144M'!AO26))</f>
        <v>0</v>
      </c>
      <c r="AR26" s="61">
        <f t="shared" si="13"/>
        <v>0</v>
      </c>
      <c r="AS26" s="60">
        <f t="shared" si="14"/>
        <v>0</v>
      </c>
      <c r="AT26" s="193"/>
      <c r="AU26" s="169">
        <v>22</v>
      </c>
      <c r="AV26" s="1">
        <f t="shared" si="32"/>
        <v>46188</v>
      </c>
      <c r="AW26" s="60">
        <f>IF($X26&lt;Input!$H$88,IF($X26&lt;Input!$G$88,IF($X26&lt;Input!$F$88,IF($X26&lt;Input!$E$88,IF($X26&lt;Input!$D$88,Input!$C$94,Input!$D$94),Input!$E$94),Input!$F$94),Input!$G$94),Input!$H$94)</f>
        <v>0</v>
      </c>
      <c r="AX26" s="190">
        <f>IF($A26&lt;Input!$H$95,IF($A26&lt;Input!$G$95,IF($A26&lt;Input!$F$95,IF($A26&lt;Input!$E$95,IF($A26&lt;Input!$D$95,Input!$C$96,Input!$D$96),Input!$E$96),Input!$F$96),Input!$G$96),Input!$H$96)</f>
        <v>0.9</v>
      </c>
      <c r="AY26" s="60">
        <f t="shared" si="15"/>
        <v>0</v>
      </c>
      <c r="AZ26" s="60">
        <f t="shared" si="33"/>
        <v>31</v>
      </c>
      <c r="BA26" s="60">
        <f t="shared" si="16"/>
        <v>0</v>
      </c>
      <c r="BB26" s="60">
        <f>ROUND(BA26*AZ26*Input!$C$3/365,0)</f>
        <v>0</v>
      </c>
      <c r="BC26" s="61">
        <f>IF($A26&lt;=Input!$C$6,0,IF('144M'!AY26&lt;'144M'!BA26,'144M'!AY26-BB26,'144M'!BA26))</f>
        <v>0</v>
      </c>
      <c r="BD26" s="61">
        <f t="shared" si="17"/>
        <v>0</v>
      </c>
      <c r="BE26" s="60">
        <f t="shared" si="18"/>
        <v>0</v>
      </c>
      <c r="BF26" s="193"/>
      <c r="BG26" s="169">
        <v>22</v>
      </c>
      <c r="BH26" s="1">
        <f t="shared" si="34"/>
        <v>46188</v>
      </c>
      <c r="BI26" s="60">
        <f>IF($X26&lt;Input!$H$103,IF($X26&lt;Input!$G$103,IF($X26&lt;Input!$F$103,IF($X26&lt;Input!$E$103,IF($X26&lt;Input!$D$103,Input!$C$109,Input!$D$109),Input!$E$109),Input!$F$109),Input!$G$109),Input!$H$109)</f>
        <v>0</v>
      </c>
      <c r="BJ26" s="190">
        <f>IF($A26&lt;Input!$H$110,IF($A26&lt;Input!$G$110,IF($A26&lt;Input!$F$110,IF($A26&lt;Input!$E$110,IF($A26&lt;Input!$D$110,Input!$C$111,Input!$D$111),Input!$E$111),Input!$F$111),Input!$G$111),Input!$H$111)</f>
        <v>0.9</v>
      </c>
      <c r="BK26" s="60">
        <f t="shared" si="19"/>
        <v>0</v>
      </c>
      <c r="BL26" s="60">
        <f t="shared" si="35"/>
        <v>31</v>
      </c>
      <c r="BM26" s="60">
        <f t="shared" si="20"/>
        <v>0</v>
      </c>
      <c r="BN26" s="60">
        <f>ROUND(BM26*BL26*Input!$C$3/365,0)</f>
        <v>0</v>
      </c>
      <c r="BO26" s="61">
        <f>IF($A26&lt;=Input!$C$6,0,IF('144M'!BK26&lt;'144M'!BM26,'144M'!BK26-BN26,'144M'!BM26))</f>
        <v>0</v>
      </c>
      <c r="BP26" s="61">
        <f t="shared" si="21"/>
        <v>0</v>
      </c>
      <c r="BQ26" s="60">
        <f t="shared" si="22"/>
        <v>0</v>
      </c>
      <c r="BR26" s="198"/>
    </row>
    <row r="27" spans="1:70" x14ac:dyDescent="0.25">
      <c r="A27" s="169">
        <v>23</v>
      </c>
      <c r="B27" s="1">
        <f t="shared" si="23"/>
        <v>46218</v>
      </c>
      <c r="C27" s="60">
        <f t="shared" si="1"/>
        <v>16470000</v>
      </c>
      <c r="D27" s="60">
        <f t="shared" si="2"/>
        <v>14823000</v>
      </c>
      <c r="E27" s="60">
        <f t="shared" si="24"/>
        <v>30</v>
      </c>
      <c r="F27" s="60">
        <f t="shared" si="25"/>
        <v>941553811</v>
      </c>
      <c r="G27" s="60">
        <f>ROUND(F27*E27*Input!$C$3/365,0)</f>
        <v>11608198</v>
      </c>
      <c r="H27" s="60">
        <f>IF($A27&lt;=Input!$C$6,0,IF('144M'!D27&lt;'144M'!F27,'144M'!D27-G27,'144M'!F27))</f>
        <v>3214802</v>
      </c>
      <c r="I27" s="60">
        <f t="shared" si="26"/>
        <v>14823000</v>
      </c>
      <c r="J27" s="60">
        <f t="shared" si="27"/>
        <v>938339009</v>
      </c>
      <c r="K27" s="202">
        <f>J27/Input!$K$5</f>
        <v>3.1277966966666666</v>
      </c>
      <c r="L27" s="232"/>
      <c r="M27" s="60">
        <f>IF($B27&lt;Input!$H$43,IF($B27&lt;Input!$G$43,IF($B27&lt;Input!$F$43,IF($B27&lt;Input!$E$43,IF($B27&lt;Input!$D$43,Input!$C$49,Input!$D$49),Input!$E$49),Input!$F$49),Input!$G$49),Input!$H$49)</f>
        <v>16470000</v>
      </c>
      <c r="N27" s="190">
        <f>IF($A27&lt;Input!$H$50,IF($A27&lt;Input!$G$50,IF($A27&lt;Input!$F$50,IF($A27&lt;Input!$E$50,IF($A27&lt;Input!$D$50,Input!$C$51,Input!$D$51),Input!$E$51),Input!$F$51),Input!$G$51),Input!$H$51)</f>
        <v>0.9</v>
      </c>
      <c r="O27" s="60">
        <f t="shared" si="0"/>
        <v>14823000</v>
      </c>
      <c r="P27" s="60">
        <f t="shared" si="3"/>
        <v>30</v>
      </c>
      <c r="Q27" s="60">
        <f t="shared" si="4"/>
        <v>941553811</v>
      </c>
      <c r="R27" s="60">
        <f>ROUND(Q27*$P27*Input!$C$3/365,0)</f>
        <v>11608198</v>
      </c>
      <c r="S27" s="60">
        <f>IF(A27&lt;=Input!$C$6,0,IF('144M'!O27&lt;'144M'!Q27,'144M'!O27-R27,'144M'!Q27))</f>
        <v>3214802</v>
      </c>
      <c r="T27" s="60">
        <f t="shared" si="5"/>
        <v>14823000</v>
      </c>
      <c r="U27" s="60">
        <f t="shared" si="6"/>
        <v>938339009</v>
      </c>
      <c r="V27" s="193"/>
      <c r="W27" s="169">
        <v>23</v>
      </c>
      <c r="X27" s="1">
        <f t="shared" si="28"/>
        <v>46218</v>
      </c>
      <c r="Y27" s="60">
        <f>IF($X27&lt;Input!$H$58,IF($X27&lt;Input!$G$58,IF($X27&lt;Input!$F$58,IF($X27&lt;Input!$E$58,IF($X27&lt;Input!$D$58,Input!$C$64,Input!$D$64),Input!$E$64),Input!$F$64),Input!$G$64),Input!$H$64)</f>
        <v>0</v>
      </c>
      <c r="Z27" s="190">
        <f>IF($A27&lt;Input!$H$65,IF($A27&lt;Input!$G$65,IF($A27&lt;Input!$F$65,IF($A27&lt;Input!$E$65,IF($A27&lt;Input!$D$65,Input!$C$66,Input!$D$66),Input!$E$66),Input!$F$66),Input!$G$66),Input!$H$66)</f>
        <v>0.9</v>
      </c>
      <c r="AA27" s="60">
        <f t="shared" si="7"/>
        <v>0</v>
      </c>
      <c r="AB27" s="60">
        <f t="shared" si="29"/>
        <v>30</v>
      </c>
      <c r="AC27" s="60">
        <f t="shared" si="8"/>
        <v>0</v>
      </c>
      <c r="AD27" s="60">
        <f>ROUND(AC27*AB27*Input!$C$3/365,0)</f>
        <v>0</v>
      </c>
      <c r="AE27" s="61">
        <f>IF($A27&lt;=Input!$C$6,0,IF('144M'!AA27&lt;'144M'!AC27,'144M'!AA27-AD27,'144M'!AC27))</f>
        <v>0</v>
      </c>
      <c r="AF27" s="61">
        <f t="shared" si="9"/>
        <v>0</v>
      </c>
      <c r="AG27" s="60">
        <f t="shared" si="10"/>
        <v>0</v>
      </c>
      <c r="AH27" s="193"/>
      <c r="AI27" s="169">
        <v>23</v>
      </c>
      <c r="AJ27" s="1">
        <f t="shared" si="30"/>
        <v>46218</v>
      </c>
      <c r="AK27" s="60">
        <f>IF($X27&lt;Input!$H$73,IF($X27&lt;Input!$G$73,IF($X27&lt;Input!$F$73,IF($X27&lt;Input!$E$73,IF($X27&lt;Input!$D$73,Input!$C$79,Input!$D$79),Input!$E$79),Input!$F$79),Input!$G$79),Input!$H$79)</f>
        <v>0</v>
      </c>
      <c r="AL27" s="190">
        <f>IF($A27&lt;Input!$H$80,IF($A27&lt;Input!$G$80,IF($A27&lt;Input!$F$80,IF($A27&lt;Input!$E$80,IF($A27&lt;Input!$D$80,Input!$C$81,Input!$D$81),Input!$E$81),Input!$F$81),Input!$G$81),Input!$H$81)</f>
        <v>0.9</v>
      </c>
      <c r="AM27" s="60">
        <f t="shared" si="11"/>
        <v>0</v>
      </c>
      <c r="AN27" s="60">
        <f t="shared" si="31"/>
        <v>30</v>
      </c>
      <c r="AO27" s="60">
        <f t="shared" si="12"/>
        <v>0</v>
      </c>
      <c r="AP27" s="60">
        <f>ROUND(AO27*AN27*Input!$C$3/365,0)</f>
        <v>0</v>
      </c>
      <c r="AQ27" s="61">
        <f>IF($A27&lt;=Input!$C$6,0,IF('144M'!AM27&lt;'144M'!AO27,'144M'!AM27-AP27,'144M'!AO27))</f>
        <v>0</v>
      </c>
      <c r="AR27" s="61">
        <f t="shared" si="13"/>
        <v>0</v>
      </c>
      <c r="AS27" s="60">
        <f t="shared" si="14"/>
        <v>0</v>
      </c>
      <c r="AT27" s="193"/>
      <c r="AU27" s="169">
        <v>23</v>
      </c>
      <c r="AV27" s="1">
        <f t="shared" si="32"/>
        <v>46218</v>
      </c>
      <c r="AW27" s="60">
        <f>IF($X27&lt;Input!$H$88,IF($X27&lt;Input!$G$88,IF($X27&lt;Input!$F$88,IF($X27&lt;Input!$E$88,IF($X27&lt;Input!$D$88,Input!$C$94,Input!$D$94),Input!$E$94),Input!$F$94),Input!$G$94),Input!$H$94)</f>
        <v>0</v>
      </c>
      <c r="AX27" s="190">
        <f>IF($A27&lt;Input!$H$95,IF($A27&lt;Input!$G$95,IF($A27&lt;Input!$F$95,IF($A27&lt;Input!$E$95,IF($A27&lt;Input!$D$95,Input!$C$96,Input!$D$96),Input!$E$96),Input!$F$96),Input!$G$96),Input!$H$96)</f>
        <v>0.9</v>
      </c>
      <c r="AY27" s="60">
        <f t="shared" si="15"/>
        <v>0</v>
      </c>
      <c r="AZ27" s="60">
        <f t="shared" si="33"/>
        <v>30</v>
      </c>
      <c r="BA27" s="60">
        <f t="shared" si="16"/>
        <v>0</v>
      </c>
      <c r="BB27" s="60">
        <f>ROUND(BA27*AZ27*Input!$C$3/365,0)</f>
        <v>0</v>
      </c>
      <c r="BC27" s="61">
        <f>IF($A27&lt;=Input!$C$6,0,IF('144M'!AY27&lt;'144M'!BA27,'144M'!AY27-BB27,'144M'!BA27))</f>
        <v>0</v>
      </c>
      <c r="BD27" s="61">
        <f t="shared" si="17"/>
        <v>0</v>
      </c>
      <c r="BE27" s="60">
        <f t="shared" si="18"/>
        <v>0</v>
      </c>
      <c r="BF27" s="193"/>
      <c r="BG27" s="169">
        <v>23</v>
      </c>
      <c r="BH27" s="1">
        <f t="shared" si="34"/>
        <v>46218</v>
      </c>
      <c r="BI27" s="60">
        <f>IF($X27&lt;Input!$H$103,IF($X27&lt;Input!$G$103,IF($X27&lt;Input!$F$103,IF($X27&lt;Input!$E$103,IF($X27&lt;Input!$D$103,Input!$C$109,Input!$D$109),Input!$E$109),Input!$F$109),Input!$G$109),Input!$H$109)</f>
        <v>0</v>
      </c>
      <c r="BJ27" s="190">
        <f>IF($A27&lt;Input!$H$110,IF($A27&lt;Input!$G$110,IF($A27&lt;Input!$F$110,IF($A27&lt;Input!$E$110,IF($A27&lt;Input!$D$110,Input!$C$111,Input!$D$111),Input!$E$111),Input!$F$111),Input!$G$111),Input!$H$111)</f>
        <v>0.9</v>
      </c>
      <c r="BK27" s="60">
        <f t="shared" si="19"/>
        <v>0</v>
      </c>
      <c r="BL27" s="60">
        <f t="shared" si="35"/>
        <v>30</v>
      </c>
      <c r="BM27" s="60">
        <f t="shared" si="20"/>
        <v>0</v>
      </c>
      <c r="BN27" s="60">
        <f>ROUND(BM27*BL27*Input!$C$3/365,0)</f>
        <v>0</v>
      </c>
      <c r="BO27" s="61">
        <f>IF($A27&lt;=Input!$C$6,0,IF('144M'!BK27&lt;'144M'!BM27,'144M'!BK27-BN27,'144M'!BM27))</f>
        <v>0</v>
      </c>
      <c r="BP27" s="61">
        <f t="shared" si="21"/>
        <v>0</v>
      </c>
      <c r="BQ27" s="60">
        <f t="shared" si="22"/>
        <v>0</v>
      </c>
      <c r="BR27" s="198"/>
    </row>
    <row r="28" spans="1:70" x14ac:dyDescent="0.25">
      <c r="A28" s="169">
        <v>24</v>
      </c>
      <c r="B28" s="1">
        <f t="shared" si="23"/>
        <v>46249</v>
      </c>
      <c r="C28" s="60">
        <f t="shared" si="1"/>
        <v>16470000</v>
      </c>
      <c r="D28" s="60">
        <f t="shared" si="2"/>
        <v>14823000</v>
      </c>
      <c r="E28" s="60">
        <f t="shared" si="24"/>
        <v>31</v>
      </c>
      <c r="F28" s="60">
        <f t="shared" si="25"/>
        <v>938339009</v>
      </c>
      <c r="G28" s="60">
        <f>ROUND(F28*E28*Input!$C$3/365,0)</f>
        <v>11954182</v>
      </c>
      <c r="H28" s="60">
        <f>IF($A28&lt;=Input!$C$6,0,IF('144M'!D28&lt;'144M'!F28,'144M'!D28-G28,'144M'!F28))</f>
        <v>2868818</v>
      </c>
      <c r="I28" s="60">
        <f t="shared" si="26"/>
        <v>14823000</v>
      </c>
      <c r="J28" s="60">
        <f t="shared" si="27"/>
        <v>935470191</v>
      </c>
      <c r="K28" s="202">
        <f>J28/Input!$K$5</f>
        <v>3.1182339699999999</v>
      </c>
      <c r="L28" s="232"/>
      <c r="M28" s="60">
        <f>IF($B28&lt;Input!$H$43,IF($B28&lt;Input!$G$43,IF($B28&lt;Input!$F$43,IF($B28&lt;Input!$E$43,IF($B28&lt;Input!$D$43,Input!$C$49,Input!$D$49),Input!$E$49),Input!$F$49),Input!$G$49),Input!$H$49)</f>
        <v>16470000</v>
      </c>
      <c r="N28" s="190">
        <f>IF($A28&lt;Input!$H$50,IF($A28&lt;Input!$G$50,IF($A28&lt;Input!$F$50,IF($A28&lt;Input!$E$50,IF($A28&lt;Input!$D$50,Input!$C$51,Input!$D$51),Input!$E$51),Input!$F$51),Input!$G$51),Input!$H$51)</f>
        <v>0.9</v>
      </c>
      <c r="O28" s="60">
        <f t="shared" si="0"/>
        <v>14823000</v>
      </c>
      <c r="P28" s="60">
        <f t="shared" si="3"/>
        <v>31</v>
      </c>
      <c r="Q28" s="60">
        <f t="shared" si="4"/>
        <v>938339009</v>
      </c>
      <c r="R28" s="60">
        <f>ROUND(Q28*$P28*Input!$C$3/365,0)</f>
        <v>11954182</v>
      </c>
      <c r="S28" s="60">
        <f>IF(A28&lt;=Input!$C$6,0,IF('144M'!O28&lt;'144M'!Q28,'144M'!O28-R28,'144M'!Q28))</f>
        <v>2868818</v>
      </c>
      <c r="T28" s="60">
        <f t="shared" si="5"/>
        <v>14823000</v>
      </c>
      <c r="U28" s="60">
        <f t="shared" si="6"/>
        <v>935470191</v>
      </c>
      <c r="V28" s="193"/>
      <c r="W28" s="169">
        <v>24</v>
      </c>
      <c r="X28" s="1">
        <f t="shared" si="28"/>
        <v>46249</v>
      </c>
      <c r="Y28" s="60">
        <f>IF($X28&lt;Input!$H$58,IF($X28&lt;Input!$G$58,IF($X28&lt;Input!$F$58,IF($X28&lt;Input!$E$58,IF($X28&lt;Input!$D$58,Input!$C$64,Input!$D$64),Input!$E$64),Input!$F$64),Input!$G$64),Input!$H$64)</f>
        <v>0</v>
      </c>
      <c r="Z28" s="190">
        <f>IF($A28&lt;Input!$H$65,IF($A28&lt;Input!$G$65,IF($A28&lt;Input!$F$65,IF($A28&lt;Input!$E$65,IF($A28&lt;Input!$D$65,Input!$C$66,Input!$D$66),Input!$E$66),Input!$F$66),Input!$G$66),Input!$H$66)</f>
        <v>0.9</v>
      </c>
      <c r="AA28" s="60">
        <f t="shared" si="7"/>
        <v>0</v>
      </c>
      <c r="AB28" s="60">
        <f t="shared" si="29"/>
        <v>31</v>
      </c>
      <c r="AC28" s="60">
        <f t="shared" si="8"/>
        <v>0</v>
      </c>
      <c r="AD28" s="60">
        <f>ROUND(AC28*AB28*Input!$C$3/365,0)</f>
        <v>0</v>
      </c>
      <c r="AE28" s="61">
        <f>IF($A28&lt;=Input!$C$6,0,IF('144M'!AA28&lt;'144M'!AC28,'144M'!AA28-AD28,'144M'!AC28))</f>
        <v>0</v>
      </c>
      <c r="AF28" s="61">
        <f t="shared" si="9"/>
        <v>0</v>
      </c>
      <c r="AG28" s="60">
        <f t="shared" si="10"/>
        <v>0</v>
      </c>
      <c r="AH28" s="193"/>
      <c r="AI28" s="169">
        <v>24</v>
      </c>
      <c r="AJ28" s="1">
        <f t="shared" si="30"/>
        <v>46249</v>
      </c>
      <c r="AK28" s="60">
        <f>IF($X28&lt;Input!$H$73,IF($X28&lt;Input!$G$73,IF($X28&lt;Input!$F$73,IF($X28&lt;Input!$E$73,IF($X28&lt;Input!$D$73,Input!$C$79,Input!$D$79),Input!$E$79),Input!$F$79),Input!$G$79),Input!$H$79)</f>
        <v>0</v>
      </c>
      <c r="AL28" s="190">
        <f>IF($A28&lt;Input!$H$80,IF($A28&lt;Input!$G$80,IF($A28&lt;Input!$F$80,IF($A28&lt;Input!$E$80,IF($A28&lt;Input!$D$80,Input!$C$81,Input!$D$81),Input!$E$81),Input!$F$81),Input!$G$81),Input!$H$81)</f>
        <v>0.9</v>
      </c>
      <c r="AM28" s="60">
        <f t="shared" si="11"/>
        <v>0</v>
      </c>
      <c r="AN28" s="60">
        <f t="shared" si="31"/>
        <v>31</v>
      </c>
      <c r="AO28" s="60">
        <f t="shared" si="12"/>
        <v>0</v>
      </c>
      <c r="AP28" s="60">
        <f>ROUND(AO28*AN28*Input!$C$3/365,0)</f>
        <v>0</v>
      </c>
      <c r="AQ28" s="61">
        <f>IF($A28&lt;=Input!$C$6,0,IF('144M'!AM28&lt;'144M'!AO28,'144M'!AM28-AP28,'144M'!AO28))</f>
        <v>0</v>
      </c>
      <c r="AR28" s="61">
        <f t="shared" si="13"/>
        <v>0</v>
      </c>
      <c r="AS28" s="60">
        <f t="shared" si="14"/>
        <v>0</v>
      </c>
      <c r="AT28" s="193"/>
      <c r="AU28" s="169">
        <v>24</v>
      </c>
      <c r="AV28" s="1">
        <f t="shared" si="32"/>
        <v>46249</v>
      </c>
      <c r="AW28" s="60">
        <f>IF($X28&lt;Input!$H$88,IF($X28&lt;Input!$G$88,IF($X28&lt;Input!$F$88,IF($X28&lt;Input!$E$88,IF($X28&lt;Input!$D$88,Input!$C$94,Input!$D$94),Input!$E$94),Input!$F$94),Input!$G$94),Input!$H$94)</f>
        <v>0</v>
      </c>
      <c r="AX28" s="190">
        <f>IF($A28&lt;Input!$H$95,IF($A28&lt;Input!$G$95,IF($A28&lt;Input!$F$95,IF($A28&lt;Input!$E$95,IF($A28&lt;Input!$D$95,Input!$C$96,Input!$D$96),Input!$E$96),Input!$F$96),Input!$G$96),Input!$H$96)</f>
        <v>0.9</v>
      </c>
      <c r="AY28" s="60">
        <f t="shared" si="15"/>
        <v>0</v>
      </c>
      <c r="AZ28" s="60">
        <f t="shared" si="33"/>
        <v>31</v>
      </c>
      <c r="BA28" s="60">
        <f t="shared" si="16"/>
        <v>0</v>
      </c>
      <c r="BB28" s="60">
        <f>ROUND(BA28*AZ28*Input!$C$3/365,0)</f>
        <v>0</v>
      </c>
      <c r="BC28" s="61">
        <f>IF($A28&lt;=Input!$C$6,0,IF('144M'!AY28&lt;'144M'!BA28,'144M'!AY28-BB28,'144M'!BA28))</f>
        <v>0</v>
      </c>
      <c r="BD28" s="61">
        <f t="shared" si="17"/>
        <v>0</v>
      </c>
      <c r="BE28" s="60">
        <f t="shared" si="18"/>
        <v>0</v>
      </c>
      <c r="BF28" s="193"/>
      <c r="BG28" s="169">
        <v>24</v>
      </c>
      <c r="BH28" s="1">
        <f t="shared" si="34"/>
        <v>46249</v>
      </c>
      <c r="BI28" s="60">
        <f>IF($X28&lt;Input!$H$103,IF($X28&lt;Input!$G$103,IF($X28&lt;Input!$F$103,IF($X28&lt;Input!$E$103,IF($X28&lt;Input!$D$103,Input!$C$109,Input!$D$109),Input!$E$109),Input!$F$109),Input!$G$109),Input!$H$109)</f>
        <v>0</v>
      </c>
      <c r="BJ28" s="190">
        <f>IF($A28&lt;Input!$H$110,IF($A28&lt;Input!$G$110,IF($A28&lt;Input!$F$110,IF($A28&lt;Input!$E$110,IF($A28&lt;Input!$D$110,Input!$C$111,Input!$D$111),Input!$E$111),Input!$F$111),Input!$G$111),Input!$H$111)</f>
        <v>0.9</v>
      </c>
      <c r="BK28" s="60">
        <f t="shared" si="19"/>
        <v>0</v>
      </c>
      <c r="BL28" s="60">
        <f t="shared" si="35"/>
        <v>31</v>
      </c>
      <c r="BM28" s="60">
        <f t="shared" si="20"/>
        <v>0</v>
      </c>
      <c r="BN28" s="60">
        <f>ROUND(BM28*BL28*Input!$C$3/365,0)</f>
        <v>0</v>
      </c>
      <c r="BO28" s="61">
        <f>IF($A28&lt;=Input!$C$6,0,IF('144M'!BK28&lt;'144M'!BM28,'144M'!BK28-BN28,'144M'!BM28))</f>
        <v>0</v>
      </c>
      <c r="BP28" s="61">
        <f t="shared" si="21"/>
        <v>0</v>
      </c>
      <c r="BQ28" s="60">
        <f t="shared" si="22"/>
        <v>0</v>
      </c>
      <c r="BR28" s="198"/>
    </row>
    <row r="29" spans="1:70" x14ac:dyDescent="0.25">
      <c r="A29" s="169">
        <v>25</v>
      </c>
      <c r="B29" s="1">
        <f t="shared" si="23"/>
        <v>46280</v>
      </c>
      <c r="C29" s="60">
        <f t="shared" si="1"/>
        <v>16470000</v>
      </c>
      <c r="D29" s="60">
        <f t="shared" si="2"/>
        <v>14823000</v>
      </c>
      <c r="E29" s="60">
        <f t="shared" si="24"/>
        <v>31</v>
      </c>
      <c r="F29" s="60">
        <f t="shared" si="25"/>
        <v>935470191</v>
      </c>
      <c r="G29" s="60">
        <f>ROUND(F29*E29*Input!$C$3/365,0)</f>
        <v>11917634</v>
      </c>
      <c r="H29" s="60">
        <f>IF($A29&lt;=Input!$C$6,0,IF('144M'!D29&lt;'144M'!F29,'144M'!D29-G29,'144M'!F29))</f>
        <v>2905366</v>
      </c>
      <c r="I29" s="60">
        <f t="shared" si="26"/>
        <v>14823000</v>
      </c>
      <c r="J29" s="60">
        <f t="shared" si="27"/>
        <v>932564825</v>
      </c>
      <c r="K29" s="202">
        <f>J29/Input!$K$5</f>
        <v>3.1085494166666665</v>
      </c>
      <c r="L29" s="232"/>
      <c r="M29" s="60">
        <f>IF($B29&lt;Input!$H$43,IF($B29&lt;Input!$G$43,IF($B29&lt;Input!$F$43,IF($B29&lt;Input!$E$43,IF($B29&lt;Input!$D$43,Input!$C$49,Input!$D$49),Input!$E$49),Input!$F$49),Input!$G$49),Input!$H$49)</f>
        <v>16470000</v>
      </c>
      <c r="N29" s="190">
        <f>IF($A29&lt;Input!$H$50,IF($A29&lt;Input!$G$50,IF($A29&lt;Input!$F$50,IF($A29&lt;Input!$E$50,IF($A29&lt;Input!$D$50,Input!$C$51,Input!$D$51),Input!$E$51),Input!$F$51),Input!$G$51),Input!$H$51)</f>
        <v>0.9</v>
      </c>
      <c r="O29" s="60">
        <f t="shared" si="0"/>
        <v>14823000</v>
      </c>
      <c r="P29" s="60">
        <f t="shared" si="3"/>
        <v>31</v>
      </c>
      <c r="Q29" s="60">
        <f t="shared" si="4"/>
        <v>935470191</v>
      </c>
      <c r="R29" s="60">
        <f>ROUND(Q29*$P29*Input!$C$3/365,0)</f>
        <v>11917634</v>
      </c>
      <c r="S29" s="60">
        <f>IF(A29&lt;=Input!$C$6,0,IF('144M'!O29&lt;'144M'!Q29,'144M'!O29-R29,'144M'!Q29))</f>
        <v>2905366</v>
      </c>
      <c r="T29" s="60">
        <f t="shared" si="5"/>
        <v>14823000</v>
      </c>
      <c r="U29" s="60">
        <f t="shared" si="6"/>
        <v>932564825</v>
      </c>
      <c r="V29" s="193"/>
      <c r="W29" s="169">
        <v>25</v>
      </c>
      <c r="X29" s="1">
        <f t="shared" si="28"/>
        <v>46280</v>
      </c>
      <c r="Y29" s="60">
        <f>IF($X29&lt;Input!$H$58,IF($X29&lt;Input!$G$58,IF($X29&lt;Input!$F$58,IF($X29&lt;Input!$E$58,IF($X29&lt;Input!$D$58,Input!$C$64,Input!$D$64),Input!$E$64),Input!$F$64),Input!$G$64),Input!$H$64)</f>
        <v>0</v>
      </c>
      <c r="Z29" s="190">
        <f>IF($A29&lt;Input!$H$65,IF($A29&lt;Input!$G$65,IF($A29&lt;Input!$F$65,IF($A29&lt;Input!$E$65,IF($A29&lt;Input!$D$65,Input!$C$66,Input!$D$66),Input!$E$66),Input!$F$66),Input!$G$66),Input!$H$66)</f>
        <v>0.9</v>
      </c>
      <c r="AA29" s="60">
        <f t="shared" si="7"/>
        <v>0</v>
      </c>
      <c r="AB29" s="60">
        <f t="shared" si="29"/>
        <v>31</v>
      </c>
      <c r="AC29" s="60">
        <f t="shared" si="8"/>
        <v>0</v>
      </c>
      <c r="AD29" s="60">
        <f>ROUND(AC29*AB29*Input!$C$3/365,0)</f>
        <v>0</v>
      </c>
      <c r="AE29" s="61">
        <f>IF($A29&lt;=Input!$C$6,0,IF('144M'!AA29&lt;'144M'!AC29,'144M'!AA29-AD29,'144M'!AC29))</f>
        <v>0</v>
      </c>
      <c r="AF29" s="61">
        <f t="shared" si="9"/>
        <v>0</v>
      </c>
      <c r="AG29" s="60">
        <f t="shared" si="10"/>
        <v>0</v>
      </c>
      <c r="AH29" s="193"/>
      <c r="AI29" s="169">
        <v>25</v>
      </c>
      <c r="AJ29" s="1">
        <f t="shared" si="30"/>
        <v>46280</v>
      </c>
      <c r="AK29" s="60">
        <f>IF($X29&lt;Input!$H$73,IF($X29&lt;Input!$G$73,IF($X29&lt;Input!$F$73,IF($X29&lt;Input!$E$73,IF($X29&lt;Input!$D$73,Input!$C$79,Input!$D$79),Input!$E$79),Input!$F$79),Input!$G$79),Input!$H$79)</f>
        <v>0</v>
      </c>
      <c r="AL29" s="190">
        <f>IF($A29&lt;Input!$H$80,IF($A29&lt;Input!$G$80,IF($A29&lt;Input!$F$80,IF($A29&lt;Input!$E$80,IF($A29&lt;Input!$D$80,Input!$C$81,Input!$D$81),Input!$E$81),Input!$F$81),Input!$G$81),Input!$H$81)</f>
        <v>0.9</v>
      </c>
      <c r="AM29" s="60">
        <f t="shared" si="11"/>
        <v>0</v>
      </c>
      <c r="AN29" s="60">
        <f t="shared" si="31"/>
        <v>31</v>
      </c>
      <c r="AO29" s="60">
        <f t="shared" si="12"/>
        <v>0</v>
      </c>
      <c r="AP29" s="60">
        <f>ROUND(AO29*AN29*Input!$C$3/365,0)</f>
        <v>0</v>
      </c>
      <c r="AQ29" s="61">
        <f>IF($A29&lt;=Input!$C$6,0,IF('144M'!AM29&lt;'144M'!AO29,'144M'!AM29-AP29,'144M'!AO29))</f>
        <v>0</v>
      </c>
      <c r="AR29" s="61">
        <f t="shared" si="13"/>
        <v>0</v>
      </c>
      <c r="AS29" s="60">
        <f t="shared" si="14"/>
        <v>0</v>
      </c>
      <c r="AT29" s="193"/>
      <c r="AU29" s="169">
        <v>25</v>
      </c>
      <c r="AV29" s="1">
        <f t="shared" si="32"/>
        <v>46280</v>
      </c>
      <c r="AW29" s="60">
        <f>IF($X29&lt;Input!$H$88,IF($X29&lt;Input!$G$88,IF($X29&lt;Input!$F$88,IF($X29&lt;Input!$E$88,IF($X29&lt;Input!$D$88,Input!$C$94,Input!$D$94),Input!$E$94),Input!$F$94),Input!$G$94),Input!$H$94)</f>
        <v>0</v>
      </c>
      <c r="AX29" s="190">
        <f>IF($A29&lt;Input!$H$95,IF($A29&lt;Input!$G$95,IF($A29&lt;Input!$F$95,IF($A29&lt;Input!$E$95,IF($A29&lt;Input!$D$95,Input!$C$96,Input!$D$96),Input!$E$96),Input!$F$96),Input!$G$96),Input!$H$96)</f>
        <v>0.9</v>
      </c>
      <c r="AY29" s="60">
        <f t="shared" si="15"/>
        <v>0</v>
      </c>
      <c r="AZ29" s="60">
        <f t="shared" si="33"/>
        <v>31</v>
      </c>
      <c r="BA29" s="60">
        <f t="shared" si="16"/>
        <v>0</v>
      </c>
      <c r="BB29" s="60">
        <f>ROUND(BA29*AZ29*Input!$C$3/365,0)</f>
        <v>0</v>
      </c>
      <c r="BC29" s="61">
        <f>IF($A29&lt;=Input!$C$6,0,IF('144M'!AY29&lt;'144M'!BA29,'144M'!AY29-BB29,'144M'!BA29))</f>
        <v>0</v>
      </c>
      <c r="BD29" s="61">
        <f t="shared" si="17"/>
        <v>0</v>
      </c>
      <c r="BE29" s="60">
        <f t="shared" si="18"/>
        <v>0</v>
      </c>
      <c r="BF29" s="193"/>
      <c r="BG29" s="169">
        <v>25</v>
      </c>
      <c r="BH29" s="1">
        <f t="shared" si="34"/>
        <v>46280</v>
      </c>
      <c r="BI29" s="60">
        <f>IF($X29&lt;Input!$H$103,IF($X29&lt;Input!$G$103,IF($X29&lt;Input!$F$103,IF($X29&lt;Input!$E$103,IF($X29&lt;Input!$D$103,Input!$C$109,Input!$D$109),Input!$E$109),Input!$F$109),Input!$G$109),Input!$H$109)</f>
        <v>0</v>
      </c>
      <c r="BJ29" s="190">
        <f>IF($A29&lt;Input!$H$110,IF($A29&lt;Input!$G$110,IF($A29&lt;Input!$F$110,IF($A29&lt;Input!$E$110,IF($A29&lt;Input!$D$110,Input!$C$111,Input!$D$111),Input!$E$111),Input!$F$111),Input!$G$111),Input!$H$111)</f>
        <v>0.9</v>
      </c>
      <c r="BK29" s="60">
        <f t="shared" si="19"/>
        <v>0</v>
      </c>
      <c r="BL29" s="60">
        <f t="shared" si="35"/>
        <v>31</v>
      </c>
      <c r="BM29" s="60">
        <f t="shared" si="20"/>
        <v>0</v>
      </c>
      <c r="BN29" s="60">
        <f>ROUND(BM29*BL29*Input!$C$3/365,0)</f>
        <v>0</v>
      </c>
      <c r="BO29" s="61">
        <f>IF($A29&lt;=Input!$C$6,0,IF('144M'!BK29&lt;'144M'!BM29,'144M'!BK29-BN29,'144M'!BM29))</f>
        <v>0</v>
      </c>
      <c r="BP29" s="61">
        <f t="shared" si="21"/>
        <v>0</v>
      </c>
      <c r="BQ29" s="60">
        <f t="shared" si="22"/>
        <v>0</v>
      </c>
      <c r="BR29" s="198"/>
    </row>
    <row r="30" spans="1:70" x14ac:dyDescent="0.25">
      <c r="A30" s="169">
        <v>26</v>
      </c>
      <c r="B30" s="1">
        <f t="shared" si="23"/>
        <v>46310</v>
      </c>
      <c r="C30" s="60">
        <f t="shared" si="1"/>
        <v>16470000</v>
      </c>
      <c r="D30" s="60">
        <f t="shared" si="2"/>
        <v>14823000</v>
      </c>
      <c r="E30" s="60">
        <f t="shared" si="24"/>
        <v>30</v>
      </c>
      <c r="F30" s="60">
        <f t="shared" si="25"/>
        <v>932564825</v>
      </c>
      <c r="G30" s="60">
        <f>ROUND(F30*E30*Input!$C$3/365,0)</f>
        <v>11497375</v>
      </c>
      <c r="H30" s="60">
        <f>IF($A30&lt;=Input!$C$6,0,IF('144M'!D30&lt;'144M'!F30,'144M'!D30-G30,'144M'!F30))</f>
        <v>3325625</v>
      </c>
      <c r="I30" s="60">
        <f t="shared" si="26"/>
        <v>14823000</v>
      </c>
      <c r="J30" s="60">
        <f t="shared" si="27"/>
        <v>929239200</v>
      </c>
      <c r="K30" s="202">
        <f>J30/Input!$K$5</f>
        <v>3.097464</v>
      </c>
      <c r="L30" s="232"/>
      <c r="M30" s="60">
        <f>IF($B30&lt;Input!$H$43,IF($B30&lt;Input!$G$43,IF($B30&lt;Input!$F$43,IF($B30&lt;Input!$E$43,IF($B30&lt;Input!$D$43,Input!$C$49,Input!$D$49),Input!$E$49),Input!$F$49),Input!$G$49),Input!$H$49)</f>
        <v>16470000</v>
      </c>
      <c r="N30" s="190">
        <f>IF($A30&lt;Input!$H$50,IF($A30&lt;Input!$G$50,IF($A30&lt;Input!$F$50,IF($A30&lt;Input!$E$50,IF($A30&lt;Input!$D$50,Input!$C$51,Input!$D$51),Input!$E$51),Input!$F$51),Input!$G$51),Input!$H$51)</f>
        <v>0.9</v>
      </c>
      <c r="O30" s="60">
        <f t="shared" si="0"/>
        <v>14823000</v>
      </c>
      <c r="P30" s="60">
        <f t="shared" si="3"/>
        <v>30</v>
      </c>
      <c r="Q30" s="60">
        <f t="shared" si="4"/>
        <v>932564825</v>
      </c>
      <c r="R30" s="60">
        <f>ROUND(Q30*$P30*Input!$C$3/365,0)</f>
        <v>11497375</v>
      </c>
      <c r="S30" s="60">
        <f>IF(A30&lt;=Input!$C$6,0,IF('144M'!O30&lt;'144M'!Q30,'144M'!O30-R30,'144M'!Q30))</f>
        <v>3325625</v>
      </c>
      <c r="T30" s="60">
        <f t="shared" si="5"/>
        <v>14823000</v>
      </c>
      <c r="U30" s="60">
        <f t="shared" si="6"/>
        <v>929239200</v>
      </c>
      <c r="V30" s="193"/>
      <c r="W30" s="169">
        <v>26</v>
      </c>
      <c r="X30" s="1">
        <f t="shared" si="28"/>
        <v>46310</v>
      </c>
      <c r="Y30" s="60">
        <f>IF($X30&lt;Input!$H$58,IF($X30&lt;Input!$G$58,IF($X30&lt;Input!$F$58,IF($X30&lt;Input!$E$58,IF($X30&lt;Input!$D$58,Input!$C$64,Input!$D$64),Input!$E$64),Input!$F$64),Input!$G$64),Input!$H$64)</f>
        <v>0</v>
      </c>
      <c r="Z30" s="190">
        <f>IF($A30&lt;Input!$H$65,IF($A30&lt;Input!$G$65,IF($A30&lt;Input!$F$65,IF($A30&lt;Input!$E$65,IF($A30&lt;Input!$D$65,Input!$C$66,Input!$D$66),Input!$E$66),Input!$F$66),Input!$G$66),Input!$H$66)</f>
        <v>0.9</v>
      </c>
      <c r="AA30" s="60">
        <f t="shared" si="7"/>
        <v>0</v>
      </c>
      <c r="AB30" s="60">
        <f t="shared" si="29"/>
        <v>30</v>
      </c>
      <c r="AC30" s="60">
        <f t="shared" si="8"/>
        <v>0</v>
      </c>
      <c r="AD30" s="60">
        <f>ROUND(AC30*AB30*Input!$C$3/365,0)</f>
        <v>0</v>
      </c>
      <c r="AE30" s="61">
        <f>IF($A30&lt;=Input!$C$6,0,IF('144M'!AA30&lt;'144M'!AC30,'144M'!AA30-AD30,'144M'!AC30))</f>
        <v>0</v>
      </c>
      <c r="AF30" s="61">
        <f t="shared" si="9"/>
        <v>0</v>
      </c>
      <c r="AG30" s="60">
        <f t="shared" si="10"/>
        <v>0</v>
      </c>
      <c r="AH30" s="193"/>
      <c r="AI30" s="169">
        <v>26</v>
      </c>
      <c r="AJ30" s="1">
        <f t="shared" si="30"/>
        <v>46310</v>
      </c>
      <c r="AK30" s="60">
        <f>IF($X30&lt;Input!$H$73,IF($X30&lt;Input!$G$73,IF($X30&lt;Input!$F$73,IF($X30&lt;Input!$E$73,IF($X30&lt;Input!$D$73,Input!$C$79,Input!$D$79),Input!$E$79),Input!$F$79),Input!$G$79),Input!$H$79)</f>
        <v>0</v>
      </c>
      <c r="AL30" s="190">
        <f>IF($A30&lt;Input!$H$80,IF($A30&lt;Input!$G$80,IF($A30&lt;Input!$F$80,IF($A30&lt;Input!$E$80,IF($A30&lt;Input!$D$80,Input!$C$81,Input!$D$81),Input!$E$81),Input!$F$81),Input!$G$81),Input!$H$81)</f>
        <v>0.9</v>
      </c>
      <c r="AM30" s="60">
        <f t="shared" si="11"/>
        <v>0</v>
      </c>
      <c r="AN30" s="60">
        <f t="shared" si="31"/>
        <v>30</v>
      </c>
      <c r="AO30" s="60">
        <f t="shared" si="12"/>
        <v>0</v>
      </c>
      <c r="AP30" s="60">
        <f>ROUND(AO30*AN30*Input!$C$3/365,0)</f>
        <v>0</v>
      </c>
      <c r="AQ30" s="61">
        <f>IF($A30&lt;=Input!$C$6,0,IF('144M'!AM30&lt;'144M'!AO30,'144M'!AM30-AP30,'144M'!AO30))</f>
        <v>0</v>
      </c>
      <c r="AR30" s="61">
        <f t="shared" si="13"/>
        <v>0</v>
      </c>
      <c r="AS30" s="60">
        <f t="shared" si="14"/>
        <v>0</v>
      </c>
      <c r="AT30" s="193"/>
      <c r="AU30" s="169">
        <v>26</v>
      </c>
      <c r="AV30" s="1">
        <f t="shared" si="32"/>
        <v>46310</v>
      </c>
      <c r="AW30" s="60">
        <f>IF($X30&lt;Input!$H$88,IF($X30&lt;Input!$G$88,IF($X30&lt;Input!$F$88,IF($X30&lt;Input!$E$88,IF($X30&lt;Input!$D$88,Input!$C$94,Input!$D$94),Input!$E$94),Input!$F$94),Input!$G$94),Input!$H$94)</f>
        <v>0</v>
      </c>
      <c r="AX30" s="190">
        <f>IF($A30&lt;Input!$H$95,IF($A30&lt;Input!$G$95,IF($A30&lt;Input!$F$95,IF($A30&lt;Input!$E$95,IF($A30&lt;Input!$D$95,Input!$C$96,Input!$D$96),Input!$E$96),Input!$F$96),Input!$G$96),Input!$H$96)</f>
        <v>0.9</v>
      </c>
      <c r="AY30" s="60">
        <f t="shared" si="15"/>
        <v>0</v>
      </c>
      <c r="AZ30" s="60">
        <f t="shared" si="33"/>
        <v>30</v>
      </c>
      <c r="BA30" s="60">
        <f t="shared" si="16"/>
        <v>0</v>
      </c>
      <c r="BB30" s="60">
        <f>ROUND(BA30*AZ30*Input!$C$3/365,0)</f>
        <v>0</v>
      </c>
      <c r="BC30" s="61">
        <f>IF($A30&lt;=Input!$C$6,0,IF('144M'!AY30&lt;'144M'!BA30,'144M'!AY30-BB30,'144M'!BA30))</f>
        <v>0</v>
      </c>
      <c r="BD30" s="61">
        <f t="shared" si="17"/>
        <v>0</v>
      </c>
      <c r="BE30" s="60">
        <f t="shared" si="18"/>
        <v>0</v>
      </c>
      <c r="BF30" s="193"/>
      <c r="BG30" s="169">
        <v>26</v>
      </c>
      <c r="BH30" s="1">
        <f t="shared" si="34"/>
        <v>46310</v>
      </c>
      <c r="BI30" s="60">
        <f>IF($X30&lt;Input!$H$103,IF($X30&lt;Input!$G$103,IF($X30&lt;Input!$F$103,IF($X30&lt;Input!$E$103,IF($X30&lt;Input!$D$103,Input!$C$109,Input!$D$109),Input!$E$109),Input!$F$109),Input!$G$109),Input!$H$109)</f>
        <v>0</v>
      </c>
      <c r="BJ30" s="190">
        <f>IF($A30&lt;Input!$H$110,IF($A30&lt;Input!$G$110,IF($A30&lt;Input!$F$110,IF($A30&lt;Input!$E$110,IF($A30&lt;Input!$D$110,Input!$C$111,Input!$D$111),Input!$E$111),Input!$F$111),Input!$G$111),Input!$H$111)</f>
        <v>0.9</v>
      </c>
      <c r="BK30" s="60">
        <f t="shared" si="19"/>
        <v>0</v>
      </c>
      <c r="BL30" s="60">
        <f t="shared" si="35"/>
        <v>30</v>
      </c>
      <c r="BM30" s="60">
        <f t="shared" si="20"/>
        <v>0</v>
      </c>
      <c r="BN30" s="60">
        <f>ROUND(BM30*BL30*Input!$C$3/365,0)</f>
        <v>0</v>
      </c>
      <c r="BO30" s="61">
        <f>IF($A30&lt;=Input!$C$6,0,IF('144M'!BK30&lt;'144M'!BM30,'144M'!BK30-BN30,'144M'!BM30))</f>
        <v>0</v>
      </c>
      <c r="BP30" s="61">
        <f t="shared" si="21"/>
        <v>0</v>
      </c>
      <c r="BQ30" s="60">
        <f t="shared" si="22"/>
        <v>0</v>
      </c>
      <c r="BR30" s="198"/>
    </row>
    <row r="31" spans="1:70" x14ac:dyDescent="0.25">
      <c r="A31" s="169">
        <v>27</v>
      </c>
      <c r="B31" s="1">
        <f t="shared" si="23"/>
        <v>46341</v>
      </c>
      <c r="C31" s="60">
        <f t="shared" si="1"/>
        <v>16470000</v>
      </c>
      <c r="D31" s="60">
        <f t="shared" si="2"/>
        <v>14823000</v>
      </c>
      <c r="E31" s="60">
        <f t="shared" si="24"/>
        <v>31</v>
      </c>
      <c r="F31" s="60">
        <f t="shared" si="25"/>
        <v>929239200</v>
      </c>
      <c r="G31" s="60">
        <f>ROUND(F31*E31*Input!$C$3/365,0)</f>
        <v>11838253</v>
      </c>
      <c r="H31" s="60">
        <f>IF($A31&lt;=Input!$C$6,0,IF('144M'!D31&lt;'144M'!F31,'144M'!D31-G31,'144M'!F31))</f>
        <v>2984747</v>
      </c>
      <c r="I31" s="60">
        <f t="shared" si="26"/>
        <v>14823000</v>
      </c>
      <c r="J31" s="60">
        <f t="shared" si="27"/>
        <v>926254453</v>
      </c>
      <c r="K31" s="202">
        <f>J31/Input!$K$5</f>
        <v>3.0875148433333335</v>
      </c>
      <c r="L31" s="232"/>
      <c r="M31" s="60">
        <f>IF($B31&lt;Input!$H$43,IF($B31&lt;Input!$G$43,IF($B31&lt;Input!$F$43,IF($B31&lt;Input!$E$43,IF($B31&lt;Input!$D$43,Input!$C$49,Input!$D$49),Input!$E$49),Input!$F$49),Input!$G$49),Input!$H$49)</f>
        <v>16470000</v>
      </c>
      <c r="N31" s="190">
        <f>IF($A31&lt;Input!$H$50,IF($A31&lt;Input!$G$50,IF($A31&lt;Input!$F$50,IF($A31&lt;Input!$E$50,IF($A31&lt;Input!$D$50,Input!$C$51,Input!$D$51),Input!$E$51),Input!$F$51),Input!$G$51),Input!$H$51)</f>
        <v>0.9</v>
      </c>
      <c r="O31" s="60">
        <f t="shared" si="0"/>
        <v>14823000</v>
      </c>
      <c r="P31" s="60">
        <f t="shared" si="3"/>
        <v>31</v>
      </c>
      <c r="Q31" s="60">
        <f t="shared" si="4"/>
        <v>929239200</v>
      </c>
      <c r="R31" s="60">
        <f>ROUND(Q31*$P31*Input!$C$3/365,0)</f>
        <v>11838253</v>
      </c>
      <c r="S31" s="60">
        <f>IF(A31&lt;=Input!$C$6,0,IF('144M'!O31&lt;'144M'!Q31,'144M'!O31-R31,'144M'!Q31))</f>
        <v>2984747</v>
      </c>
      <c r="T31" s="60">
        <f t="shared" si="5"/>
        <v>14823000</v>
      </c>
      <c r="U31" s="60">
        <f t="shared" si="6"/>
        <v>926254453</v>
      </c>
      <c r="V31" s="193"/>
      <c r="W31" s="169">
        <v>27</v>
      </c>
      <c r="X31" s="1">
        <f t="shared" si="28"/>
        <v>46341</v>
      </c>
      <c r="Y31" s="60">
        <f>IF($X31&lt;Input!$H$58,IF($X31&lt;Input!$G$58,IF($X31&lt;Input!$F$58,IF($X31&lt;Input!$E$58,IF($X31&lt;Input!$D$58,Input!$C$64,Input!$D$64),Input!$E$64),Input!$F$64),Input!$G$64),Input!$H$64)</f>
        <v>0</v>
      </c>
      <c r="Z31" s="190">
        <f>IF($A31&lt;Input!$H$65,IF($A31&lt;Input!$G$65,IF($A31&lt;Input!$F$65,IF($A31&lt;Input!$E$65,IF($A31&lt;Input!$D$65,Input!$C$66,Input!$D$66),Input!$E$66),Input!$F$66),Input!$G$66),Input!$H$66)</f>
        <v>0.9</v>
      </c>
      <c r="AA31" s="60">
        <f t="shared" si="7"/>
        <v>0</v>
      </c>
      <c r="AB31" s="60">
        <f t="shared" si="29"/>
        <v>31</v>
      </c>
      <c r="AC31" s="60">
        <f t="shared" si="8"/>
        <v>0</v>
      </c>
      <c r="AD31" s="60">
        <f>ROUND(AC31*AB31*Input!$C$3/365,0)</f>
        <v>0</v>
      </c>
      <c r="AE31" s="61">
        <f>IF($A31&lt;=Input!$C$6,0,IF('144M'!AA31&lt;'144M'!AC31,'144M'!AA31-AD31,'144M'!AC31))</f>
        <v>0</v>
      </c>
      <c r="AF31" s="61">
        <f t="shared" si="9"/>
        <v>0</v>
      </c>
      <c r="AG31" s="60">
        <f t="shared" si="10"/>
        <v>0</v>
      </c>
      <c r="AH31" s="193"/>
      <c r="AI31" s="169">
        <v>27</v>
      </c>
      <c r="AJ31" s="1">
        <f t="shared" si="30"/>
        <v>46341</v>
      </c>
      <c r="AK31" s="60">
        <f>IF($X31&lt;Input!$H$73,IF($X31&lt;Input!$G$73,IF($X31&lt;Input!$F$73,IF($X31&lt;Input!$E$73,IF($X31&lt;Input!$D$73,Input!$C$79,Input!$D$79),Input!$E$79),Input!$F$79),Input!$G$79),Input!$H$79)</f>
        <v>0</v>
      </c>
      <c r="AL31" s="190">
        <f>IF($A31&lt;Input!$H$80,IF($A31&lt;Input!$G$80,IF($A31&lt;Input!$F$80,IF($A31&lt;Input!$E$80,IF($A31&lt;Input!$D$80,Input!$C$81,Input!$D$81),Input!$E$81),Input!$F$81),Input!$G$81),Input!$H$81)</f>
        <v>0.9</v>
      </c>
      <c r="AM31" s="60">
        <f t="shared" si="11"/>
        <v>0</v>
      </c>
      <c r="AN31" s="60">
        <f t="shared" si="31"/>
        <v>31</v>
      </c>
      <c r="AO31" s="60">
        <f t="shared" si="12"/>
        <v>0</v>
      </c>
      <c r="AP31" s="60">
        <f>ROUND(AO31*AN31*Input!$C$3/365,0)</f>
        <v>0</v>
      </c>
      <c r="AQ31" s="61">
        <f>IF($A31&lt;=Input!$C$6,0,IF('144M'!AM31&lt;'144M'!AO31,'144M'!AM31-AP31,'144M'!AO31))</f>
        <v>0</v>
      </c>
      <c r="AR31" s="61">
        <f t="shared" si="13"/>
        <v>0</v>
      </c>
      <c r="AS31" s="60">
        <f t="shared" si="14"/>
        <v>0</v>
      </c>
      <c r="AT31" s="193"/>
      <c r="AU31" s="169">
        <v>27</v>
      </c>
      <c r="AV31" s="1">
        <f t="shared" si="32"/>
        <v>46341</v>
      </c>
      <c r="AW31" s="60">
        <f>IF($X31&lt;Input!$H$88,IF($X31&lt;Input!$G$88,IF($X31&lt;Input!$F$88,IF($X31&lt;Input!$E$88,IF($X31&lt;Input!$D$88,Input!$C$94,Input!$D$94),Input!$E$94),Input!$F$94),Input!$G$94),Input!$H$94)</f>
        <v>0</v>
      </c>
      <c r="AX31" s="190">
        <f>IF($A31&lt;Input!$H$95,IF($A31&lt;Input!$G$95,IF($A31&lt;Input!$F$95,IF($A31&lt;Input!$E$95,IF($A31&lt;Input!$D$95,Input!$C$96,Input!$D$96),Input!$E$96),Input!$F$96),Input!$G$96),Input!$H$96)</f>
        <v>0.9</v>
      </c>
      <c r="AY31" s="60">
        <f t="shared" si="15"/>
        <v>0</v>
      </c>
      <c r="AZ31" s="60">
        <f t="shared" si="33"/>
        <v>31</v>
      </c>
      <c r="BA31" s="60">
        <f t="shared" si="16"/>
        <v>0</v>
      </c>
      <c r="BB31" s="60">
        <f>ROUND(BA31*AZ31*Input!$C$3/365,0)</f>
        <v>0</v>
      </c>
      <c r="BC31" s="61">
        <f>IF($A31&lt;=Input!$C$6,0,IF('144M'!AY31&lt;'144M'!BA31,'144M'!AY31-BB31,'144M'!BA31))</f>
        <v>0</v>
      </c>
      <c r="BD31" s="61">
        <f t="shared" si="17"/>
        <v>0</v>
      </c>
      <c r="BE31" s="60">
        <f t="shared" si="18"/>
        <v>0</v>
      </c>
      <c r="BF31" s="193"/>
      <c r="BG31" s="169">
        <v>27</v>
      </c>
      <c r="BH31" s="1">
        <f t="shared" si="34"/>
        <v>46341</v>
      </c>
      <c r="BI31" s="60">
        <f>IF($X31&lt;Input!$H$103,IF($X31&lt;Input!$G$103,IF($X31&lt;Input!$F$103,IF($X31&lt;Input!$E$103,IF($X31&lt;Input!$D$103,Input!$C$109,Input!$D$109),Input!$E$109),Input!$F$109),Input!$G$109),Input!$H$109)</f>
        <v>0</v>
      </c>
      <c r="BJ31" s="190">
        <f>IF($A31&lt;Input!$H$110,IF($A31&lt;Input!$G$110,IF($A31&lt;Input!$F$110,IF($A31&lt;Input!$E$110,IF($A31&lt;Input!$D$110,Input!$C$111,Input!$D$111),Input!$E$111),Input!$F$111),Input!$G$111),Input!$H$111)</f>
        <v>0.9</v>
      </c>
      <c r="BK31" s="60">
        <f t="shared" si="19"/>
        <v>0</v>
      </c>
      <c r="BL31" s="60">
        <f t="shared" si="35"/>
        <v>31</v>
      </c>
      <c r="BM31" s="60">
        <f t="shared" si="20"/>
        <v>0</v>
      </c>
      <c r="BN31" s="60">
        <f>ROUND(BM31*BL31*Input!$C$3/365,0)</f>
        <v>0</v>
      </c>
      <c r="BO31" s="61">
        <f>IF($A31&lt;=Input!$C$6,0,IF('144M'!BK31&lt;'144M'!BM31,'144M'!BK31-BN31,'144M'!BM31))</f>
        <v>0</v>
      </c>
      <c r="BP31" s="61">
        <f t="shared" si="21"/>
        <v>0</v>
      </c>
      <c r="BQ31" s="60">
        <f t="shared" si="22"/>
        <v>0</v>
      </c>
      <c r="BR31" s="198"/>
    </row>
    <row r="32" spans="1:70" x14ac:dyDescent="0.25">
      <c r="A32" s="169">
        <v>28</v>
      </c>
      <c r="B32" s="1">
        <f t="shared" si="23"/>
        <v>46371</v>
      </c>
      <c r="C32" s="60">
        <f t="shared" si="1"/>
        <v>16470000</v>
      </c>
      <c r="D32" s="60">
        <f t="shared" si="2"/>
        <v>14823000</v>
      </c>
      <c r="E32" s="60">
        <f t="shared" si="24"/>
        <v>30</v>
      </c>
      <c r="F32" s="60">
        <f t="shared" si="25"/>
        <v>926254453</v>
      </c>
      <c r="G32" s="60">
        <f>ROUND(F32*E32*Input!$C$3/365,0)</f>
        <v>11419575</v>
      </c>
      <c r="H32" s="60">
        <f>IF($A32&lt;=Input!$C$6,0,IF('144M'!D32&lt;'144M'!F32,'144M'!D32-G32,'144M'!F32))</f>
        <v>3403425</v>
      </c>
      <c r="I32" s="60">
        <f t="shared" si="26"/>
        <v>14823000</v>
      </c>
      <c r="J32" s="60">
        <f t="shared" si="27"/>
        <v>922851028</v>
      </c>
      <c r="K32" s="202">
        <f>J32/Input!$K$5</f>
        <v>3.0761700933333334</v>
      </c>
      <c r="L32" s="232"/>
      <c r="M32" s="60">
        <f>IF($B32&lt;Input!$H$43,IF($B32&lt;Input!$G$43,IF($B32&lt;Input!$F$43,IF($B32&lt;Input!$E$43,IF($B32&lt;Input!$D$43,Input!$C$49,Input!$D$49),Input!$E$49),Input!$F$49),Input!$G$49),Input!$H$49)</f>
        <v>16470000</v>
      </c>
      <c r="N32" s="190">
        <f>IF($A32&lt;Input!$H$50,IF($A32&lt;Input!$G$50,IF($A32&lt;Input!$F$50,IF($A32&lt;Input!$E$50,IF($A32&lt;Input!$D$50,Input!$C$51,Input!$D$51),Input!$E$51),Input!$F$51),Input!$G$51),Input!$H$51)</f>
        <v>0.9</v>
      </c>
      <c r="O32" s="60">
        <f t="shared" si="0"/>
        <v>14823000</v>
      </c>
      <c r="P32" s="60">
        <f t="shared" si="3"/>
        <v>30</v>
      </c>
      <c r="Q32" s="60">
        <f t="shared" si="4"/>
        <v>926254453</v>
      </c>
      <c r="R32" s="60">
        <f>ROUND(Q32*$P32*Input!$C$3/365,0)</f>
        <v>11419575</v>
      </c>
      <c r="S32" s="60">
        <f>IF(A32&lt;=Input!$C$6,0,IF('144M'!O32&lt;'144M'!Q32,'144M'!O32-R32,'144M'!Q32))</f>
        <v>3403425</v>
      </c>
      <c r="T32" s="60">
        <f t="shared" si="5"/>
        <v>14823000</v>
      </c>
      <c r="U32" s="60">
        <f t="shared" si="6"/>
        <v>922851028</v>
      </c>
      <c r="V32" s="193"/>
      <c r="W32" s="169">
        <v>28</v>
      </c>
      <c r="X32" s="1">
        <f t="shared" si="28"/>
        <v>46371</v>
      </c>
      <c r="Y32" s="60">
        <f>IF($X32&lt;Input!$H$58,IF($X32&lt;Input!$G$58,IF($X32&lt;Input!$F$58,IF($X32&lt;Input!$E$58,IF($X32&lt;Input!$D$58,Input!$C$64,Input!$D$64),Input!$E$64),Input!$F$64),Input!$G$64),Input!$H$64)</f>
        <v>0</v>
      </c>
      <c r="Z32" s="190">
        <f>IF($A32&lt;Input!$H$65,IF($A32&lt;Input!$G$65,IF($A32&lt;Input!$F$65,IF($A32&lt;Input!$E$65,IF($A32&lt;Input!$D$65,Input!$C$66,Input!$D$66),Input!$E$66),Input!$F$66),Input!$G$66),Input!$H$66)</f>
        <v>0.9</v>
      </c>
      <c r="AA32" s="60">
        <f t="shared" si="7"/>
        <v>0</v>
      </c>
      <c r="AB32" s="60">
        <f t="shared" si="29"/>
        <v>30</v>
      </c>
      <c r="AC32" s="60">
        <f t="shared" si="8"/>
        <v>0</v>
      </c>
      <c r="AD32" s="60">
        <f>ROUND(AC32*AB32*Input!$C$3/365,0)</f>
        <v>0</v>
      </c>
      <c r="AE32" s="61">
        <f>IF($A32&lt;=Input!$C$6,0,IF('144M'!AA32&lt;'144M'!AC32,'144M'!AA32-AD32,'144M'!AC32))</f>
        <v>0</v>
      </c>
      <c r="AF32" s="61">
        <f t="shared" si="9"/>
        <v>0</v>
      </c>
      <c r="AG32" s="60">
        <f t="shared" si="10"/>
        <v>0</v>
      </c>
      <c r="AH32" s="193"/>
      <c r="AI32" s="169">
        <v>28</v>
      </c>
      <c r="AJ32" s="1">
        <f t="shared" si="30"/>
        <v>46371</v>
      </c>
      <c r="AK32" s="60">
        <f>IF($X32&lt;Input!$H$73,IF($X32&lt;Input!$G$73,IF($X32&lt;Input!$F$73,IF($X32&lt;Input!$E$73,IF($X32&lt;Input!$D$73,Input!$C$79,Input!$D$79),Input!$E$79),Input!$F$79),Input!$G$79),Input!$H$79)</f>
        <v>0</v>
      </c>
      <c r="AL32" s="190">
        <f>IF($A32&lt;Input!$H$80,IF($A32&lt;Input!$G$80,IF($A32&lt;Input!$F$80,IF($A32&lt;Input!$E$80,IF($A32&lt;Input!$D$80,Input!$C$81,Input!$D$81),Input!$E$81),Input!$F$81),Input!$G$81),Input!$H$81)</f>
        <v>0.9</v>
      </c>
      <c r="AM32" s="60">
        <f t="shared" si="11"/>
        <v>0</v>
      </c>
      <c r="AN32" s="60">
        <f t="shared" si="31"/>
        <v>30</v>
      </c>
      <c r="AO32" s="60">
        <f t="shared" si="12"/>
        <v>0</v>
      </c>
      <c r="AP32" s="60">
        <f>ROUND(AO32*AN32*Input!$C$3/365,0)</f>
        <v>0</v>
      </c>
      <c r="AQ32" s="61">
        <f>IF($A32&lt;=Input!$C$6,0,IF('144M'!AM32&lt;'144M'!AO32,'144M'!AM32-AP32,'144M'!AO32))</f>
        <v>0</v>
      </c>
      <c r="AR32" s="61">
        <f t="shared" si="13"/>
        <v>0</v>
      </c>
      <c r="AS32" s="60">
        <f t="shared" si="14"/>
        <v>0</v>
      </c>
      <c r="AT32" s="193"/>
      <c r="AU32" s="169">
        <v>28</v>
      </c>
      <c r="AV32" s="1">
        <f t="shared" si="32"/>
        <v>46371</v>
      </c>
      <c r="AW32" s="60">
        <f>IF($X32&lt;Input!$H$88,IF($X32&lt;Input!$G$88,IF($X32&lt;Input!$F$88,IF($X32&lt;Input!$E$88,IF($X32&lt;Input!$D$88,Input!$C$94,Input!$D$94),Input!$E$94),Input!$F$94),Input!$G$94),Input!$H$94)</f>
        <v>0</v>
      </c>
      <c r="AX32" s="190">
        <f>IF($A32&lt;Input!$H$95,IF($A32&lt;Input!$G$95,IF($A32&lt;Input!$F$95,IF($A32&lt;Input!$E$95,IF($A32&lt;Input!$D$95,Input!$C$96,Input!$D$96),Input!$E$96),Input!$F$96),Input!$G$96),Input!$H$96)</f>
        <v>0.9</v>
      </c>
      <c r="AY32" s="60">
        <f t="shared" si="15"/>
        <v>0</v>
      </c>
      <c r="AZ32" s="60">
        <f t="shared" si="33"/>
        <v>30</v>
      </c>
      <c r="BA32" s="60">
        <f t="shared" si="16"/>
        <v>0</v>
      </c>
      <c r="BB32" s="60">
        <f>ROUND(BA32*AZ32*Input!$C$3/365,0)</f>
        <v>0</v>
      </c>
      <c r="BC32" s="61">
        <f>IF($A32&lt;=Input!$C$6,0,IF('144M'!AY32&lt;'144M'!BA32,'144M'!AY32-BB32,'144M'!BA32))</f>
        <v>0</v>
      </c>
      <c r="BD32" s="61">
        <f t="shared" si="17"/>
        <v>0</v>
      </c>
      <c r="BE32" s="60">
        <f t="shared" si="18"/>
        <v>0</v>
      </c>
      <c r="BF32" s="193"/>
      <c r="BG32" s="169">
        <v>28</v>
      </c>
      <c r="BH32" s="1">
        <f t="shared" si="34"/>
        <v>46371</v>
      </c>
      <c r="BI32" s="60">
        <f>IF($X32&lt;Input!$H$103,IF($X32&lt;Input!$G$103,IF($X32&lt;Input!$F$103,IF($X32&lt;Input!$E$103,IF($X32&lt;Input!$D$103,Input!$C$109,Input!$D$109),Input!$E$109),Input!$F$109),Input!$G$109),Input!$H$109)</f>
        <v>0</v>
      </c>
      <c r="BJ32" s="190">
        <f>IF($A32&lt;Input!$H$110,IF($A32&lt;Input!$G$110,IF($A32&lt;Input!$F$110,IF($A32&lt;Input!$E$110,IF($A32&lt;Input!$D$110,Input!$C$111,Input!$D$111),Input!$E$111),Input!$F$111),Input!$G$111),Input!$H$111)</f>
        <v>0.9</v>
      </c>
      <c r="BK32" s="60">
        <f t="shared" si="19"/>
        <v>0</v>
      </c>
      <c r="BL32" s="60">
        <f t="shared" si="35"/>
        <v>30</v>
      </c>
      <c r="BM32" s="60">
        <f t="shared" si="20"/>
        <v>0</v>
      </c>
      <c r="BN32" s="60">
        <f>ROUND(BM32*BL32*Input!$C$3/365,0)</f>
        <v>0</v>
      </c>
      <c r="BO32" s="61">
        <f>IF($A32&lt;=Input!$C$6,0,IF('144M'!BK32&lt;'144M'!BM32,'144M'!BK32-BN32,'144M'!BM32))</f>
        <v>0</v>
      </c>
      <c r="BP32" s="61">
        <f t="shared" si="21"/>
        <v>0</v>
      </c>
      <c r="BQ32" s="60">
        <f t="shared" si="22"/>
        <v>0</v>
      </c>
      <c r="BR32" s="198"/>
    </row>
    <row r="33" spans="1:70" x14ac:dyDescent="0.25">
      <c r="A33" s="169">
        <v>29</v>
      </c>
      <c r="B33" s="1">
        <f t="shared" si="23"/>
        <v>46402</v>
      </c>
      <c r="C33" s="60">
        <f t="shared" si="1"/>
        <v>16470000</v>
      </c>
      <c r="D33" s="60">
        <f t="shared" si="2"/>
        <v>14823000</v>
      </c>
      <c r="E33" s="60">
        <f t="shared" si="24"/>
        <v>31</v>
      </c>
      <c r="F33" s="60">
        <f t="shared" si="25"/>
        <v>922851028</v>
      </c>
      <c r="G33" s="60">
        <f>ROUND(F33*E33*Input!$C$3/365,0)</f>
        <v>11756869</v>
      </c>
      <c r="H33" s="60">
        <f>IF($A33&lt;=Input!$C$6,0,IF('144M'!D33&lt;'144M'!F33,'144M'!D33-G33,'144M'!F33))</f>
        <v>3066131</v>
      </c>
      <c r="I33" s="60">
        <f t="shared" si="26"/>
        <v>14823000</v>
      </c>
      <c r="J33" s="60">
        <f t="shared" si="27"/>
        <v>919784897</v>
      </c>
      <c r="K33" s="202">
        <f>J33/Input!$K$5</f>
        <v>3.0659496566666666</v>
      </c>
      <c r="L33" s="232"/>
      <c r="M33" s="60">
        <f>IF($B33&lt;Input!$H$43,IF($B33&lt;Input!$G$43,IF($B33&lt;Input!$F$43,IF($B33&lt;Input!$E$43,IF($B33&lt;Input!$D$43,Input!$C$49,Input!$D$49),Input!$E$49),Input!$F$49),Input!$G$49),Input!$H$49)</f>
        <v>16470000</v>
      </c>
      <c r="N33" s="190">
        <f>IF($A33&lt;Input!$H$50,IF($A33&lt;Input!$G$50,IF($A33&lt;Input!$F$50,IF($A33&lt;Input!$E$50,IF($A33&lt;Input!$D$50,Input!$C$51,Input!$D$51),Input!$E$51),Input!$F$51),Input!$G$51),Input!$H$51)</f>
        <v>0.9</v>
      </c>
      <c r="O33" s="60">
        <f t="shared" si="0"/>
        <v>14823000</v>
      </c>
      <c r="P33" s="60">
        <f t="shared" si="3"/>
        <v>31</v>
      </c>
      <c r="Q33" s="60">
        <f t="shared" si="4"/>
        <v>922851028</v>
      </c>
      <c r="R33" s="60">
        <f>ROUND(Q33*$P33*Input!$C$3/365,0)</f>
        <v>11756869</v>
      </c>
      <c r="S33" s="60">
        <f>IF(A33&lt;=Input!$C$6,0,IF('144M'!O33&lt;'144M'!Q33,'144M'!O33-R33,'144M'!Q33))</f>
        <v>3066131</v>
      </c>
      <c r="T33" s="60">
        <f t="shared" si="5"/>
        <v>14823000</v>
      </c>
      <c r="U33" s="60">
        <f t="shared" si="6"/>
        <v>919784897</v>
      </c>
      <c r="V33" s="193"/>
      <c r="W33" s="169">
        <v>29</v>
      </c>
      <c r="X33" s="1">
        <f t="shared" si="28"/>
        <v>46402</v>
      </c>
      <c r="Y33" s="60">
        <f>IF($X33&lt;Input!$H$58,IF($X33&lt;Input!$G$58,IF($X33&lt;Input!$F$58,IF($X33&lt;Input!$E$58,IF($X33&lt;Input!$D$58,Input!$C$64,Input!$D$64),Input!$E$64),Input!$F$64),Input!$G$64),Input!$H$64)</f>
        <v>0</v>
      </c>
      <c r="Z33" s="190">
        <f>IF($A33&lt;Input!$H$65,IF($A33&lt;Input!$G$65,IF($A33&lt;Input!$F$65,IF($A33&lt;Input!$E$65,IF($A33&lt;Input!$D$65,Input!$C$66,Input!$D$66),Input!$E$66),Input!$F$66),Input!$G$66),Input!$H$66)</f>
        <v>0.9</v>
      </c>
      <c r="AA33" s="60">
        <f t="shared" si="7"/>
        <v>0</v>
      </c>
      <c r="AB33" s="60">
        <f t="shared" si="29"/>
        <v>31</v>
      </c>
      <c r="AC33" s="60">
        <f t="shared" si="8"/>
        <v>0</v>
      </c>
      <c r="AD33" s="60">
        <f>ROUND(AC33*AB33*Input!$C$3/365,0)</f>
        <v>0</v>
      </c>
      <c r="AE33" s="61">
        <f>IF($A33&lt;=Input!$C$6,0,IF('144M'!AA33&lt;'144M'!AC33,'144M'!AA33-AD33,'144M'!AC33))</f>
        <v>0</v>
      </c>
      <c r="AF33" s="61">
        <f t="shared" si="9"/>
        <v>0</v>
      </c>
      <c r="AG33" s="60">
        <f t="shared" si="10"/>
        <v>0</v>
      </c>
      <c r="AH33" s="193"/>
      <c r="AI33" s="169">
        <v>29</v>
      </c>
      <c r="AJ33" s="1">
        <f t="shared" si="30"/>
        <v>46402</v>
      </c>
      <c r="AK33" s="60">
        <f>IF($X33&lt;Input!$H$73,IF($X33&lt;Input!$G$73,IF($X33&lt;Input!$F$73,IF($X33&lt;Input!$E$73,IF($X33&lt;Input!$D$73,Input!$C$79,Input!$D$79),Input!$E$79),Input!$F$79),Input!$G$79),Input!$H$79)</f>
        <v>0</v>
      </c>
      <c r="AL33" s="190">
        <f>IF($A33&lt;Input!$H$80,IF($A33&lt;Input!$G$80,IF($A33&lt;Input!$F$80,IF($A33&lt;Input!$E$80,IF($A33&lt;Input!$D$80,Input!$C$81,Input!$D$81),Input!$E$81),Input!$F$81),Input!$G$81),Input!$H$81)</f>
        <v>0.9</v>
      </c>
      <c r="AM33" s="60">
        <f t="shared" si="11"/>
        <v>0</v>
      </c>
      <c r="AN33" s="60">
        <f t="shared" si="31"/>
        <v>31</v>
      </c>
      <c r="AO33" s="60">
        <f t="shared" si="12"/>
        <v>0</v>
      </c>
      <c r="AP33" s="60">
        <f>ROUND(AO33*AN33*Input!$C$3/365,0)</f>
        <v>0</v>
      </c>
      <c r="AQ33" s="61">
        <f>IF($A33&lt;=Input!$C$6,0,IF('144M'!AM33&lt;'144M'!AO33,'144M'!AM33-AP33,'144M'!AO33))</f>
        <v>0</v>
      </c>
      <c r="AR33" s="61">
        <f t="shared" si="13"/>
        <v>0</v>
      </c>
      <c r="AS33" s="60">
        <f t="shared" si="14"/>
        <v>0</v>
      </c>
      <c r="AT33" s="193"/>
      <c r="AU33" s="169">
        <v>29</v>
      </c>
      <c r="AV33" s="1">
        <f t="shared" si="32"/>
        <v>46402</v>
      </c>
      <c r="AW33" s="60">
        <f>IF($X33&lt;Input!$H$88,IF($X33&lt;Input!$G$88,IF($X33&lt;Input!$F$88,IF($X33&lt;Input!$E$88,IF($X33&lt;Input!$D$88,Input!$C$94,Input!$D$94),Input!$E$94),Input!$F$94),Input!$G$94),Input!$H$94)</f>
        <v>0</v>
      </c>
      <c r="AX33" s="190">
        <f>IF($A33&lt;Input!$H$95,IF($A33&lt;Input!$G$95,IF($A33&lt;Input!$F$95,IF($A33&lt;Input!$E$95,IF($A33&lt;Input!$D$95,Input!$C$96,Input!$D$96),Input!$E$96),Input!$F$96),Input!$G$96),Input!$H$96)</f>
        <v>0.9</v>
      </c>
      <c r="AY33" s="60">
        <f t="shared" si="15"/>
        <v>0</v>
      </c>
      <c r="AZ33" s="60">
        <f t="shared" si="33"/>
        <v>31</v>
      </c>
      <c r="BA33" s="60">
        <f t="shared" si="16"/>
        <v>0</v>
      </c>
      <c r="BB33" s="60">
        <f>ROUND(BA33*AZ33*Input!$C$3/365,0)</f>
        <v>0</v>
      </c>
      <c r="BC33" s="61">
        <f>IF($A33&lt;=Input!$C$6,0,IF('144M'!AY33&lt;'144M'!BA33,'144M'!AY33-BB33,'144M'!BA33))</f>
        <v>0</v>
      </c>
      <c r="BD33" s="61">
        <f t="shared" si="17"/>
        <v>0</v>
      </c>
      <c r="BE33" s="60">
        <f t="shared" si="18"/>
        <v>0</v>
      </c>
      <c r="BF33" s="193"/>
      <c r="BG33" s="169">
        <v>29</v>
      </c>
      <c r="BH33" s="1">
        <f t="shared" si="34"/>
        <v>46402</v>
      </c>
      <c r="BI33" s="60">
        <f>IF($X33&lt;Input!$H$103,IF($X33&lt;Input!$G$103,IF($X33&lt;Input!$F$103,IF($X33&lt;Input!$E$103,IF($X33&lt;Input!$D$103,Input!$C$109,Input!$D$109),Input!$E$109),Input!$F$109),Input!$G$109),Input!$H$109)</f>
        <v>0</v>
      </c>
      <c r="BJ33" s="190">
        <f>IF($A33&lt;Input!$H$110,IF($A33&lt;Input!$G$110,IF($A33&lt;Input!$F$110,IF($A33&lt;Input!$E$110,IF($A33&lt;Input!$D$110,Input!$C$111,Input!$D$111),Input!$E$111),Input!$F$111),Input!$G$111),Input!$H$111)</f>
        <v>0.9</v>
      </c>
      <c r="BK33" s="60">
        <f t="shared" si="19"/>
        <v>0</v>
      </c>
      <c r="BL33" s="60">
        <f t="shared" si="35"/>
        <v>31</v>
      </c>
      <c r="BM33" s="60">
        <f t="shared" si="20"/>
        <v>0</v>
      </c>
      <c r="BN33" s="60">
        <f>ROUND(BM33*BL33*Input!$C$3/365,0)</f>
        <v>0</v>
      </c>
      <c r="BO33" s="61">
        <f>IF($A33&lt;=Input!$C$6,0,IF('144M'!BK33&lt;'144M'!BM33,'144M'!BK33-BN33,'144M'!BM33))</f>
        <v>0</v>
      </c>
      <c r="BP33" s="61">
        <f t="shared" si="21"/>
        <v>0</v>
      </c>
      <c r="BQ33" s="60">
        <f t="shared" si="22"/>
        <v>0</v>
      </c>
      <c r="BR33" s="198"/>
    </row>
    <row r="34" spans="1:70" x14ac:dyDescent="0.25">
      <c r="A34" s="169">
        <v>30</v>
      </c>
      <c r="B34" s="1">
        <f t="shared" si="23"/>
        <v>46433</v>
      </c>
      <c r="C34" s="60">
        <f t="shared" si="1"/>
        <v>16470000</v>
      </c>
      <c r="D34" s="60">
        <f t="shared" si="2"/>
        <v>14823000</v>
      </c>
      <c r="E34" s="60">
        <f t="shared" si="24"/>
        <v>31</v>
      </c>
      <c r="F34" s="60">
        <f t="shared" si="25"/>
        <v>919784897</v>
      </c>
      <c r="G34" s="60">
        <f>ROUND(F34*E34*Input!$C$3/365,0)</f>
        <v>11717808</v>
      </c>
      <c r="H34" s="60">
        <f>IF($A34&lt;=Input!$C$6,0,IF('144M'!D34&lt;'144M'!F34,'144M'!D34-G34,'144M'!F34))</f>
        <v>3105192</v>
      </c>
      <c r="I34" s="60">
        <f t="shared" si="26"/>
        <v>14823000</v>
      </c>
      <c r="J34" s="60">
        <f t="shared" si="27"/>
        <v>916679705</v>
      </c>
      <c r="K34" s="202">
        <f>J34/Input!$K$5</f>
        <v>3.0555990166666667</v>
      </c>
      <c r="L34" s="232"/>
      <c r="M34" s="60">
        <f>IF($B34&lt;Input!$H$43,IF($B34&lt;Input!$G$43,IF($B34&lt;Input!$F$43,IF($B34&lt;Input!$E$43,IF($B34&lt;Input!$D$43,Input!$C$49,Input!$D$49),Input!$E$49),Input!$F$49),Input!$G$49),Input!$H$49)</f>
        <v>16470000</v>
      </c>
      <c r="N34" s="190">
        <f>IF($A34&lt;Input!$H$50,IF($A34&lt;Input!$G$50,IF($A34&lt;Input!$F$50,IF($A34&lt;Input!$E$50,IF($A34&lt;Input!$D$50,Input!$C$51,Input!$D$51),Input!$E$51),Input!$F$51),Input!$G$51),Input!$H$51)</f>
        <v>0.9</v>
      </c>
      <c r="O34" s="60">
        <f t="shared" si="0"/>
        <v>14823000</v>
      </c>
      <c r="P34" s="60">
        <f t="shared" si="3"/>
        <v>31</v>
      </c>
      <c r="Q34" s="60">
        <f t="shared" si="4"/>
        <v>919784897</v>
      </c>
      <c r="R34" s="60">
        <f>ROUND(Q34*$P34*Input!$C$3/365,0)</f>
        <v>11717808</v>
      </c>
      <c r="S34" s="60">
        <f>IF(A34&lt;=Input!$C$6,0,IF('144M'!O34&lt;'144M'!Q34,'144M'!O34-R34,'144M'!Q34))</f>
        <v>3105192</v>
      </c>
      <c r="T34" s="60">
        <f t="shared" si="5"/>
        <v>14823000</v>
      </c>
      <c r="U34" s="60">
        <f t="shared" si="6"/>
        <v>916679705</v>
      </c>
      <c r="V34" s="193"/>
      <c r="W34" s="169">
        <v>30</v>
      </c>
      <c r="X34" s="1">
        <f t="shared" si="28"/>
        <v>46433</v>
      </c>
      <c r="Y34" s="60">
        <f>IF($X34&lt;Input!$H$58,IF($X34&lt;Input!$G$58,IF($X34&lt;Input!$F$58,IF($X34&lt;Input!$E$58,IF($X34&lt;Input!$D$58,Input!$C$64,Input!$D$64),Input!$E$64),Input!$F$64),Input!$G$64),Input!$H$64)</f>
        <v>0</v>
      </c>
      <c r="Z34" s="190">
        <f>IF($A34&lt;Input!$H$65,IF($A34&lt;Input!$G$65,IF($A34&lt;Input!$F$65,IF($A34&lt;Input!$E$65,IF($A34&lt;Input!$D$65,Input!$C$66,Input!$D$66),Input!$E$66),Input!$F$66),Input!$G$66),Input!$H$66)</f>
        <v>0.9</v>
      </c>
      <c r="AA34" s="60">
        <f t="shared" si="7"/>
        <v>0</v>
      </c>
      <c r="AB34" s="60">
        <f t="shared" si="29"/>
        <v>31</v>
      </c>
      <c r="AC34" s="60">
        <f t="shared" si="8"/>
        <v>0</v>
      </c>
      <c r="AD34" s="60">
        <f>ROUND(AC34*AB34*Input!$C$3/365,0)</f>
        <v>0</v>
      </c>
      <c r="AE34" s="61">
        <f>IF($A34&lt;=Input!$C$6,0,IF('144M'!AA34&lt;'144M'!AC34,'144M'!AA34-AD34,'144M'!AC34))</f>
        <v>0</v>
      </c>
      <c r="AF34" s="61">
        <f t="shared" si="9"/>
        <v>0</v>
      </c>
      <c r="AG34" s="60">
        <f t="shared" si="10"/>
        <v>0</v>
      </c>
      <c r="AH34" s="193"/>
      <c r="AI34" s="169">
        <v>30</v>
      </c>
      <c r="AJ34" s="1">
        <f t="shared" si="30"/>
        <v>46433</v>
      </c>
      <c r="AK34" s="60">
        <f>IF($X34&lt;Input!$H$73,IF($X34&lt;Input!$G$73,IF($X34&lt;Input!$F$73,IF($X34&lt;Input!$E$73,IF($X34&lt;Input!$D$73,Input!$C$79,Input!$D$79),Input!$E$79),Input!$F$79),Input!$G$79),Input!$H$79)</f>
        <v>0</v>
      </c>
      <c r="AL34" s="190">
        <f>IF($A34&lt;Input!$H$80,IF($A34&lt;Input!$G$80,IF($A34&lt;Input!$F$80,IF($A34&lt;Input!$E$80,IF($A34&lt;Input!$D$80,Input!$C$81,Input!$D$81),Input!$E$81),Input!$F$81),Input!$G$81),Input!$H$81)</f>
        <v>0.9</v>
      </c>
      <c r="AM34" s="60">
        <f t="shared" si="11"/>
        <v>0</v>
      </c>
      <c r="AN34" s="60">
        <f t="shared" si="31"/>
        <v>31</v>
      </c>
      <c r="AO34" s="60">
        <f t="shared" si="12"/>
        <v>0</v>
      </c>
      <c r="AP34" s="60">
        <f>ROUND(AO34*AN34*Input!$C$3/365,0)</f>
        <v>0</v>
      </c>
      <c r="AQ34" s="61">
        <f>IF($A34&lt;=Input!$C$6,0,IF('144M'!AM34&lt;'144M'!AO34,'144M'!AM34-AP34,'144M'!AO34))</f>
        <v>0</v>
      </c>
      <c r="AR34" s="61">
        <f t="shared" si="13"/>
        <v>0</v>
      </c>
      <c r="AS34" s="60">
        <f t="shared" si="14"/>
        <v>0</v>
      </c>
      <c r="AT34" s="193"/>
      <c r="AU34" s="169">
        <v>30</v>
      </c>
      <c r="AV34" s="1">
        <f t="shared" si="32"/>
        <v>46433</v>
      </c>
      <c r="AW34" s="60">
        <f>IF($X34&lt;Input!$H$88,IF($X34&lt;Input!$G$88,IF($X34&lt;Input!$F$88,IF($X34&lt;Input!$E$88,IF($X34&lt;Input!$D$88,Input!$C$94,Input!$D$94),Input!$E$94),Input!$F$94),Input!$G$94),Input!$H$94)</f>
        <v>0</v>
      </c>
      <c r="AX34" s="190">
        <f>IF($A34&lt;Input!$H$95,IF($A34&lt;Input!$G$95,IF($A34&lt;Input!$F$95,IF($A34&lt;Input!$E$95,IF($A34&lt;Input!$D$95,Input!$C$96,Input!$D$96),Input!$E$96),Input!$F$96),Input!$G$96),Input!$H$96)</f>
        <v>0.9</v>
      </c>
      <c r="AY34" s="60">
        <f t="shared" si="15"/>
        <v>0</v>
      </c>
      <c r="AZ34" s="60">
        <f t="shared" si="33"/>
        <v>31</v>
      </c>
      <c r="BA34" s="60">
        <f t="shared" si="16"/>
        <v>0</v>
      </c>
      <c r="BB34" s="60">
        <f>ROUND(BA34*AZ34*Input!$C$3/365,0)</f>
        <v>0</v>
      </c>
      <c r="BC34" s="61">
        <f>IF($A34&lt;=Input!$C$6,0,IF('144M'!AY34&lt;'144M'!BA34,'144M'!AY34-BB34,'144M'!BA34))</f>
        <v>0</v>
      </c>
      <c r="BD34" s="61">
        <f t="shared" si="17"/>
        <v>0</v>
      </c>
      <c r="BE34" s="60">
        <f t="shared" si="18"/>
        <v>0</v>
      </c>
      <c r="BF34" s="193"/>
      <c r="BG34" s="169">
        <v>30</v>
      </c>
      <c r="BH34" s="1">
        <f t="shared" si="34"/>
        <v>46433</v>
      </c>
      <c r="BI34" s="60">
        <f>IF($X34&lt;Input!$H$103,IF($X34&lt;Input!$G$103,IF($X34&lt;Input!$F$103,IF($X34&lt;Input!$E$103,IF($X34&lt;Input!$D$103,Input!$C$109,Input!$D$109),Input!$E$109),Input!$F$109),Input!$G$109),Input!$H$109)</f>
        <v>0</v>
      </c>
      <c r="BJ34" s="190">
        <f>IF($A34&lt;Input!$H$110,IF($A34&lt;Input!$G$110,IF($A34&lt;Input!$F$110,IF($A34&lt;Input!$E$110,IF($A34&lt;Input!$D$110,Input!$C$111,Input!$D$111),Input!$E$111),Input!$F$111),Input!$G$111),Input!$H$111)</f>
        <v>0.9</v>
      </c>
      <c r="BK34" s="60">
        <f t="shared" si="19"/>
        <v>0</v>
      </c>
      <c r="BL34" s="60">
        <f t="shared" si="35"/>
        <v>31</v>
      </c>
      <c r="BM34" s="60">
        <f t="shared" si="20"/>
        <v>0</v>
      </c>
      <c r="BN34" s="60">
        <f>ROUND(BM34*BL34*Input!$C$3/365,0)</f>
        <v>0</v>
      </c>
      <c r="BO34" s="61">
        <f>IF($A34&lt;=Input!$C$6,0,IF('144M'!BK34&lt;'144M'!BM34,'144M'!BK34-BN34,'144M'!BM34))</f>
        <v>0</v>
      </c>
      <c r="BP34" s="61">
        <f t="shared" si="21"/>
        <v>0</v>
      </c>
      <c r="BQ34" s="60">
        <f t="shared" si="22"/>
        <v>0</v>
      </c>
      <c r="BR34" s="198"/>
    </row>
    <row r="35" spans="1:70" x14ac:dyDescent="0.25">
      <c r="A35" s="169">
        <v>31</v>
      </c>
      <c r="B35" s="1">
        <f t="shared" si="23"/>
        <v>46461</v>
      </c>
      <c r="C35" s="60">
        <f t="shared" si="1"/>
        <v>16470000</v>
      </c>
      <c r="D35" s="60">
        <f t="shared" si="2"/>
        <v>14823000</v>
      </c>
      <c r="E35" s="60">
        <f t="shared" si="24"/>
        <v>28</v>
      </c>
      <c r="F35" s="60">
        <f t="shared" si="25"/>
        <v>916679705</v>
      </c>
      <c r="G35" s="60">
        <f>ROUND(F35*E35*Input!$C$3/365,0)</f>
        <v>10548095</v>
      </c>
      <c r="H35" s="60">
        <f>IF($A35&lt;=Input!$C$6,0,IF('144M'!D35&lt;'144M'!F35,'144M'!D35-G35,'144M'!F35))</f>
        <v>4274905</v>
      </c>
      <c r="I35" s="60">
        <f t="shared" si="26"/>
        <v>14823000</v>
      </c>
      <c r="J35" s="60">
        <f t="shared" si="27"/>
        <v>912404800</v>
      </c>
      <c r="K35" s="202">
        <f>J35/Input!$K$5</f>
        <v>3.0413493333333332</v>
      </c>
      <c r="L35" s="232"/>
      <c r="M35" s="60">
        <f>IF($B35&lt;Input!$H$43,IF($B35&lt;Input!$G$43,IF($B35&lt;Input!$F$43,IF($B35&lt;Input!$E$43,IF($B35&lt;Input!$D$43,Input!$C$49,Input!$D$49),Input!$E$49),Input!$F$49),Input!$G$49),Input!$H$49)</f>
        <v>16470000</v>
      </c>
      <c r="N35" s="190">
        <f>IF($A35&lt;Input!$H$50,IF($A35&lt;Input!$G$50,IF($A35&lt;Input!$F$50,IF($A35&lt;Input!$E$50,IF($A35&lt;Input!$D$50,Input!$C$51,Input!$D$51),Input!$E$51),Input!$F$51),Input!$G$51),Input!$H$51)</f>
        <v>0.9</v>
      </c>
      <c r="O35" s="60">
        <f t="shared" si="0"/>
        <v>14823000</v>
      </c>
      <c r="P35" s="60">
        <f t="shared" si="3"/>
        <v>28</v>
      </c>
      <c r="Q35" s="60">
        <f t="shared" si="4"/>
        <v>916679705</v>
      </c>
      <c r="R35" s="60">
        <f>ROUND(Q35*$P35*Input!$C$3/365,0)</f>
        <v>10548095</v>
      </c>
      <c r="S35" s="60">
        <f>IF(A35&lt;=Input!$C$6,0,IF('144M'!O35&lt;'144M'!Q35,'144M'!O35-R35,'144M'!Q35))</f>
        <v>4274905</v>
      </c>
      <c r="T35" s="60">
        <f t="shared" si="5"/>
        <v>14823000</v>
      </c>
      <c r="U35" s="60">
        <f t="shared" si="6"/>
        <v>912404800</v>
      </c>
      <c r="V35" s="193"/>
      <c r="W35" s="169">
        <v>31</v>
      </c>
      <c r="X35" s="1">
        <f t="shared" si="28"/>
        <v>46461</v>
      </c>
      <c r="Y35" s="60">
        <f>IF($X35&lt;Input!$H$58,IF($X35&lt;Input!$G$58,IF($X35&lt;Input!$F$58,IF($X35&lt;Input!$E$58,IF($X35&lt;Input!$D$58,Input!$C$64,Input!$D$64),Input!$E$64),Input!$F$64),Input!$G$64),Input!$H$64)</f>
        <v>0</v>
      </c>
      <c r="Z35" s="190">
        <f>IF($A35&lt;Input!$H$65,IF($A35&lt;Input!$G$65,IF($A35&lt;Input!$F$65,IF($A35&lt;Input!$E$65,IF($A35&lt;Input!$D$65,Input!$C$66,Input!$D$66),Input!$E$66),Input!$F$66),Input!$G$66),Input!$H$66)</f>
        <v>0.9</v>
      </c>
      <c r="AA35" s="60">
        <f t="shared" si="7"/>
        <v>0</v>
      </c>
      <c r="AB35" s="60">
        <f t="shared" si="29"/>
        <v>28</v>
      </c>
      <c r="AC35" s="60">
        <f t="shared" si="8"/>
        <v>0</v>
      </c>
      <c r="AD35" s="60">
        <f>ROUND(AC35*AB35*Input!$C$3/365,0)</f>
        <v>0</v>
      </c>
      <c r="AE35" s="61">
        <f>IF($A35&lt;=Input!$C$6,0,IF('144M'!AA35&lt;'144M'!AC35,'144M'!AA35-AD35,'144M'!AC35))</f>
        <v>0</v>
      </c>
      <c r="AF35" s="61">
        <f t="shared" si="9"/>
        <v>0</v>
      </c>
      <c r="AG35" s="60">
        <f t="shared" si="10"/>
        <v>0</v>
      </c>
      <c r="AH35" s="193"/>
      <c r="AI35" s="169">
        <v>31</v>
      </c>
      <c r="AJ35" s="1">
        <f t="shared" si="30"/>
        <v>46461</v>
      </c>
      <c r="AK35" s="60">
        <f>IF($X35&lt;Input!$H$73,IF($X35&lt;Input!$G$73,IF($X35&lt;Input!$F$73,IF($X35&lt;Input!$E$73,IF($X35&lt;Input!$D$73,Input!$C$79,Input!$D$79),Input!$E$79),Input!$F$79),Input!$G$79),Input!$H$79)</f>
        <v>0</v>
      </c>
      <c r="AL35" s="190">
        <f>IF($A35&lt;Input!$H$80,IF($A35&lt;Input!$G$80,IF($A35&lt;Input!$F$80,IF($A35&lt;Input!$E$80,IF($A35&lt;Input!$D$80,Input!$C$81,Input!$D$81),Input!$E$81),Input!$F$81),Input!$G$81),Input!$H$81)</f>
        <v>0.9</v>
      </c>
      <c r="AM35" s="60">
        <f t="shared" si="11"/>
        <v>0</v>
      </c>
      <c r="AN35" s="60">
        <f t="shared" si="31"/>
        <v>28</v>
      </c>
      <c r="AO35" s="60">
        <f t="shared" si="12"/>
        <v>0</v>
      </c>
      <c r="AP35" s="60">
        <f>ROUND(AO35*AN35*Input!$C$3/365,0)</f>
        <v>0</v>
      </c>
      <c r="AQ35" s="61">
        <f>IF($A35&lt;=Input!$C$6,0,IF('144M'!AM35&lt;'144M'!AO35,'144M'!AM35-AP35,'144M'!AO35))</f>
        <v>0</v>
      </c>
      <c r="AR35" s="61">
        <f t="shared" si="13"/>
        <v>0</v>
      </c>
      <c r="AS35" s="60">
        <f t="shared" si="14"/>
        <v>0</v>
      </c>
      <c r="AT35" s="193"/>
      <c r="AU35" s="169">
        <v>31</v>
      </c>
      <c r="AV35" s="1">
        <f t="shared" si="32"/>
        <v>46461</v>
      </c>
      <c r="AW35" s="60">
        <f>IF($X35&lt;Input!$H$88,IF($X35&lt;Input!$G$88,IF($X35&lt;Input!$F$88,IF($X35&lt;Input!$E$88,IF($X35&lt;Input!$D$88,Input!$C$94,Input!$D$94),Input!$E$94),Input!$F$94),Input!$G$94),Input!$H$94)</f>
        <v>0</v>
      </c>
      <c r="AX35" s="190">
        <f>IF($A35&lt;Input!$H$95,IF($A35&lt;Input!$G$95,IF($A35&lt;Input!$F$95,IF($A35&lt;Input!$E$95,IF($A35&lt;Input!$D$95,Input!$C$96,Input!$D$96),Input!$E$96),Input!$F$96),Input!$G$96),Input!$H$96)</f>
        <v>0.9</v>
      </c>
      <c r="AY35" s="60">
        <f t="shared" si="15"/>
        <v>0</v>
      </c>
      <c r="AZ35" s="60">
        <f t="shared" si="33"/>
        <v>28</v>
      </c>
      <c r="BA35" s="60">
        <f t="shared" si="16"/>
        <v>0</v>
      </c>
      <c r="BB35" s="60">
        <f>ROUND(BA35*AZ35*Input!$C$3/365,0)</f>
        <v>0</v>
      </c>
      <c r="BC35" s="61">
        <f>IF($A35&lt;=Input!$C$6,0,IF('144M'!AY35&lt;'144M'!BA35,'144M'!AY35-BB35,'144M'!BA35))</f>
        <v>0</v>
      </c>
      <c r="BD35" s="61">
        <f t="shared" si="17"/>
        <v>0</v>
      </c>
      <c r="BE35" s="60">
        <f t="shared" si="18"/>
        <v>0</v>
      </c>
      <c r="BF35" s="193"/>
      <c r="BG35" s="169">
        <v>31</v>
      </c>
      <c r="BH35" s="1">
        <f t="shared" si="34"/>
        <v>46461</v>
      </c>
      <c r="BI35" s="60">
        <f>IF($X35&lt;Input!$H$103,IF($X35&lt;Input!$G$103,IF($X35&lt;Input!$F$103,IF($X35&lt;Input!$E$103,IF($X35&lt;Input!$D$103,Input!$C$109,Input!$D$109),Input!$E$109),Input!$F$109),Input!$G$109),Input!$H$109)</f>
        <v>0</v>
      </c>
      <c r="BJ35" s="190">
        <f>IF($A35&lt;Input!$H$110,IF($A35&lt;Input!$G$110,IF($A35&lt;Input!$F$110,IF($A35&lt;Input!$E$110,IF($A35&lt;Input!$D$110,Input!$C$111,Input!$D$111),Input!$E$111),Input!$F$111),Input!$G$111),Input!$H$111)</f>
        <v>0.9</v>
      </c>
      <c r="BK35" s="60">
        <f t="shared" si="19"/>
        <v>0</v>
      </c>
      <c r="BL35" s="60">
        <f t="shared" si="35"/>
        <v>28</v>
      </c>
      <c r="BM35" s="60">
        <f t="shared" si="20"/>
        <v>0</v>
      </c>
      <c r="BN35" s="60">
        <f>ROUND(BM35*BL35*Input!$C$3/365,0)</f>
        <v>0</v>
      </c>
      <c r="BO35" s="61">
        <f>IF($A35&lt;=Input!$C$6,0,IF('144M'!BK35&lt;'144M'!BM35,'144M'!BK35-BN35,'144M'!BM35))</f>
        <v>0</v>
      </c>
      <c r="BP35" s="61">
        <f t="shared" si="21"/>
        <v>0</v>
      </c>
      <c r="BQ35" s="60">
        <f t="shared" si="22"/>
        <v>0</v>
      </c>
      <c r="BR35" s="198"/>
    </row>
    <row r="36" spans="1:70" x14ac:dyDescent="0.25">
      <c r="A36" s="169">
        <v>32</v>
      </c>
      <c r="B36" s="1">
        <f t="shared" si="23"/>
        <v>46492</v>
      </c>
      <c r="C36" s="60">
        <f t="shared" si="1"/>
        <v>16470000</v>
      </c>
      <c r="D36" s="60">
        <f t="shared" si="2"/>
        <v>14823000</v>
      </c>
      <c r="E36" s="60">
        <f t="shared" si="24"/>
        <v>31</v>
      </c>
      <c r="F36" s="60">
        <f t="shared" si="25"/>
        <v>912404800</v>
      </c>
      <c r="G36" s="60">
        <f>ROUND(F36*E36*Input!$C$3/365,0)</f>
        <v>11623787</v>
      </c>
      <c r="H36" s="60">
        <f>IF($A36&lt;=Input!$C$6,0,IF('144M'!D36&lt;'144M'!F36,'144M'!D36-G36,'144M'!F36))</f>
        <v>3199213</v>
      </c>
      <c r="I36" s="60">
        <f t="shared" si="26"/>
        <v>14823000</v>
      </c>
      <c r="J36" s="60">
        <f t="shared" si="27"/>
        <v>909205587</v>
      </c>
      <c r="K36" s="202">
        <f>J36/Input!$K$5</f>
        <v>3.0306852900000001</v>
      </c>
      <c r="L36" s="232"/>
      <c r="M36" s="60">
        <f>IF($B36&lt;Input!$H$43,IF($B36&lt;Input!$G$43,IF($B36&lt;Input!$F$43,IF($B36&lt;Input!$E$43,IF($B36&lt;Input!$D$43,Input!$C$49,Input!$D$49),Input!$E$49),Input!$F$49),Input!$G$49),Input!$H$49)</f>
        <v>16470000</v>
      </c>
      <c r="N36" s="190">
        <f>IF($A36&lt;Input!$H$50,IF($A36&lt;Input!$G$50,IF($A36&lt;Input!$F$50,IF($A36&lt;Input!$E$50,IF($A36&lt;Input!$D$50,Input!$C$51,Input!$D$51),Input!$E$51),Input!$F$51),Input!$G$51),Input!$H$51)</f>
        <v>0.9</v>
      </c>
      <c r="O36" s="60">
        <f t="shared" ref="O36:O67" si="36">M36*N36</f>
        <v>14823000</v>
      </c>
      <c r="P36" s="60">
        <f t="shared" si="3"/>
        <v>31</v>
      </c>
      <c r="Q36" s="60">
        <f t="shared" si="4"/>
        <v>912404800</v>
      </c>
      <c r="R36" s="60">
        <f>ROUND(Q36*$P36*Input!$C$3/365,0)</f>
        <v>11623787</v>
      </c>
      <c r="S36" s="60">
        <f>IF(A36&lt;=Input!$C$6,0,IF('144M'!O36&lt;'144M'!Q36,'144M'!O36-R36,'144M'!Q36))</f>
        <v>3199213</v>
      </c>
      <c r="T36" s="60">
        <f t="shared" si="5"/>
        <v>14823000</v>
      </c>
      <c r="U36" s="60">
        <f t="shared" si="6"/>
        <v>909205587</v>
      </c>
      <c r="V36" s="193"/>
      <c r="W36" s="169">
        <v>32</v>
      </c>
      <c r="X36" s="1">
        <f t="shared" si="28"/>
        <v>46492</v>
      </c>
      <c r="Y36" s="60">
        <f>IF($X36&lt;Input!$H$58,IF($X36&lt;Input!$G$58,IF($X36&lt;Input!$F$58,IF($X36&lt;Input!$E$58,IF($X36&lt;Input!$D$58,Input!$C$64,Input!$D$64),Input!$E$64),Input!$F$64),Input!$G$64),Input!$H$64)</f>
        <v>0</v>
      </c>
      <c r="Z36" s="190">
        <f>IF($A36&lt;Input!$H$65,IF($A36&lt;Input!$G$65,IF($A36&lt;Input!$F$65,IF($A36&lt;Input!$E$65,IF($A36&lt;Input!$D$65,Input!$C$66,Input!$D$66),Input!$E$66),Input!$F$66),Input!$G$66),Input!$H$66)</f>
        <v>0.9</v>
      </c>
      <c r="AA36" s="60">
        <f t="shared" si="7"/>
        <v>0</v>
      </c>
      <c r="AB36" s="60">
        <f t="shared" si="29"/>
        <v>31</v>
      </c>
      <c r="AC36" s="60">
        <f t="shared" si="8"/>
        <v>0</v>
      </c>
      <c r="AD36" s="60">
        <f>ROUND(AC36*AB36*Input!$C$3/365,0)</f>
        <v>0</v>
      </c>
      <c r="AE36" s="61">
        <f>IF($A36&lt;=Input!$C$6,0,IF('144M'!AA36&lt;'144M'!AC36,'144M'!AA36-AD36,'144M'!AC36))</f>
        <v>0</v>
      </c>
      <c r="AF36" s="61">
        <f t="shared" si="9"/>
        <v>0</v>
      </c>
      <c r="AG36" s="60">
        <f t="shared" si="10"/>
        <v>0</v>
      </c>
      <c r="AH36" s="193"/>
      <c r="AI36" s="169">
        <v>32</v>
      </c>
      <c r="AJ36" s="1">
        <f t="shared" si="30"/>
        <v>46492</v>
      </c>
      <c r="AK36" s="60">
        <f>IF($X36&lt;Input!$H$73,IF($X36&lt;Input!$G$73,IF($X36&lt;Input!$F$73,IF($X36&lt;Input!$E$73,IF($X36&lt;Input!$D$73,Input!$C$79,Input!$D$79),Input!$E$79),Input!$F$79),Input!$G$79),Input!$H$79)</f>
        <v>0</v>
      </c>
      <c r="AL36" s="190">
        <f>IF($A36&lt;Input!$H$80,IF($A36&lt;Input!$G$80,IF($A36&lt;Input!$F$80,IF($A36&lt;Input!$E$80,IF($A36&lt;Input!$D$80,Input!$C$81,Input!$D$81),Input!$E$81),Input!$F$81),Input!$G$81),Input!$H$81)</f>
        <v>0.9</v>
      </c>
      <c r="AM36" s="60">
        <f t="shared" si="11"/>
        <v>0</v>
      </c>
      <c r="AN36" s="60">
        <f t="shared" si="31"/>
        <v>31</v>
      </c>
      <c r="AO36" s="60">
        <f t="shared" si="12"/>
        <v>0</v>
      </c>
      <c r="AP36" s="60">
        <f>ROUND(AO36*AN36*Input!$C$3/365,0)</f>
        <v>0</v>
      </c>
      <c r="AQ36" s="61">
        <f>IF($A36&lt;=Input!$C$6,0,IF('144M'!AM36&lt;'144M'!AO36,'144M'!AM36-AP36,'144M'!AO36))</f>
        <v>0</v>
      </c>
      <c r="AR36" s="61">
        <f t="shared" si="13"/>
        <v>0</v>
      </c>
      <c r="AS36" s="60">
        <f t="shared" si="14"/>
        <v>0</v>
      </c>
      <c r="AT36" s="193"/>
      <c r="AU36" s="169">
        <v>32</v>
      </c>
      <c r="AV36" s="1">
        <f t="shared" si="32"/>
        <v>46492</v>
      </c>
      <c r="AW36" s="60">
        <f>IF($X36&lt;Input!$H$88,IF($X36&lt;Input!$G$88,IF($X36&lt;Input!$F$88,IF($X36&lt;Input!$E$88,IF($X36&lt;Input!$D$88,Input!$C$94,Input!$D$94),Input!$E$94),Input!$F$94),Input!$G$94),Input!$H$94)</f>
        <v>0</v>
      </c>
      <c r="AX36" s="190">
        <f>IF($A36&lt;Input!$H$95,IF($A36&lt;Input!$G$95,IF($A36&lt;Input!$F$95,IF($A36&lt;Input!$E$95,IF($A36&lt;Input!$D$95,Input!$C$96,Input!$D$96),Input!$E$96),Input!$F$96),Input!$G$96),Input!$H$96)</f>
        <v>0.9</v>
      </c>
      <c r="AY36" s="60">
        <f t="shared" si="15"/>
        <v>0</v>
      </c>
      <c r="AZ36" s="60">
        <f t="shared" si="33"/>
        <v>31</v>
      </c>
      <c r="BA36" s="60">
        <f t="shared" si="16"/>
        <v>0</v>
      </c>
      <c r="BB36" s="60">
        <f>ROUND(BA36*AZ36*Input!$C$3/365,0)</f>
        <v>0</v>
      </c>
      <c r="BC36" s="61">
        <f>IF($A36&lt;=Input!$C$6,0,IF('144M'!AY36&lt;'144M'!BA36,'144M'!AY36-BB36,'144M'!BA36))</f>
        <v>0</v>
      </c>
      <c r="BD36" s="61">
        <f t="shared" si="17"/>
        <v>0</v>
      </c>
      <c r="BE36" s="60">
        <f t="shared" si="18"/>
        <v>0</v>
      </c>
      <c r="BF36" s="193"/>
      <c r="BG36" s="169">
        <v>32</v>
      </c>
      <c r="BH36" s="1">
        <f t="shared" si="34"/>
        <v>46492</v>
      </c>
      <c r="BI36" s="60">
        <f>IF($X36&lt;Input!$H$103,IF($X36&lt;Input!$G$103,IF($X36&lt;Input!$F$103,IF($X36&lt;Input!$E$103,IF($X36&lt;Input!$D$103,Input!$C$109,Input!$D$109),Input!$E$109),Input!$F$109),Input!$G$109),Input!$H$109)</f>
        <v>0</v>
      </c>
      <c r="BJ36" s="190">
        <f>IF($A36&lt;Input!$H$110,IF($A36&lt;Input!$G$110,IF($A36&lt;Input!$F$110,IF($A36&lt;Input!$E$110,IF($A36&lt;Input!$D$110,Input!$C$111,Input!$D$111),Input!$E$111),Input!$F$111),Input!$G$111),Input!$H$111)</f>
        <v>0.9</v>
      </c>
      <c r="BK36" s="60">
        <f t="shared" si="19"/>
        <v>0</v>
      </c>
      <c r="BL36" s="60">
        <f t="shared" si="35"/>
        <v>31</v>
      </c>
      <c r="BM36" s="60">
        <f t="shared" si="20"/>
        <v>0</v>
      </c>
      <c r="BN36" s="60">
        <f>ROUND(BM36*BL36*Input!$C$3/365,0)</f>
        <v>0</v>
      </c>
      <c r="BO36" s="61">
        <f>IF($A36&lt;=Input!$C$6,0,IF('144M'!BK36&lt;'144M'!BM36,'144M'!BK36-BN36,'144M'!BM36))</f>
        <v>0</v>
      </c>
      <c r="BP36" s="61">
        <f t="shared" si="21"/>
        <v>0</v>
      </c>
      <c r="BQ36" s="60">
        <f t="shared" si="22"/>
        <v>0</v>
      </c>
      <c r="BR36" s="198"/>
    </row>
    <row r="37" spans="1:70" x14ac:dyDescent="0.25">
      <c r="A37" s="169">
        <v>33</v>
      </c>
      <c r="B37" s="1">
        <f t="shared" si="23"/>
        <v>46522</v>
      </c>
      <c r="C37" s="60">
        <f t="shared" si="1"/>
        <v>16470000</v>
      </c>
      <c r="D37" s="60">
        <f t="shared" si="2"/>
        <v>14823000</v>
      </c>
      <c r="E37" s="60">
        <f t="shared" si="24"/>
        <v>30</v>
      </c>
      <c r="F37" s="60">
        <f t="shared" si="25"/>
        <v>909205587</v>
      </c>
      <c r="G37" s="60">
        <f>ROUND(F37*E37*Input!$C$3/365,0)</f>
        <v>11209384</v>
      </c>
      <c r="H37" s="60">
        <f>IF($A37&lt;=Input!$C$6,0,IF('144M'!D37&lt;'144M'!F37,'144M'!D37-G37,'144M'!F37))</f>
        <v>3613616</v>
      </c>
      <c r="I37" s="60">
        <f t="shared" si="26"/>
        <v>14823000</v>
      </c>
      <c r="J37" s="60">
        <f t="shared" si="27"/>
        <v>905591971</v>
      </c>
      <c r="K37" s="202">
        <f>J37/Input!$K$5</f>
        <v>3.0186399033333333</v>
      </c>
      <c r="L37" s="232"/>
      <c r="M37" s="60">
        <f>IF($B37&lt;Input!$H$43,IF($B37&lt;Input!$G$43,IF($B37&lt;Input!$F$43,IF($B37&lt;Input!$E$43,IF($B37&lt;Input!$D$43,Input!$C$49,Input!$D$49),Input!$E$49),Input!$F$49),Input!$G$49),Input!$H$49)</f>
        <v>16470000</v>
      </c>
      <c r="N37" s="190">
        <f>IF($A37&lt;Input!$H$50,IF($A37&lt;Input!$G$50,IF($A37&lt;Input!$F$50,IF($A37&lt;Input!$E$50,IF($A37&lt;Input!$D$50,Input!$C$51,Input!$D$51),Input!$E$51),Input!$F$51),Input!$G$51),Input!$H$51)</f>
        <v>0.9</v>
      </c>
      <c r="O37" s="60">
        <f t="shared" si="36"/>
        <v>14823000</v>
      </c>
      <c r="P37" s="60">
        <f t="shared" ref="P37:P68" si="37">B37-B36</f>
        <v>30</v>
      </c>
      <c r="Q37" s="60">
        <f t="shared" si="4"/>
        <v>909205587</v>
      </c>
      <c r="R37" s="60">
        <f>ROUND(Q37*$P37*Input!$C$3/365,0)</f>
        <v>11209384</v>
      </c>
      <c r="S37" s="60">
        <f>IF(A37&lt;=Input!$C$6,0,IF('144M'!O37&lt;'144M'!Q37,'144M'!O37-R37,'144M'!Q37))</f>
        <v>3613616</v>
      </c>
      <c r="T37" s="60">
        <f t="shared" si="5"/>
        <v>14823000</v>
      </c>
      <c r="U37" s="60">
        <f t="shared" si="6"/>
        <v>905591971</v>
      </c>
      <c r="V37" s="193"/>
      <c r="W37" s="169">
        <v>33</v>
      </c>
      <c r="X37" s="1">
        <f t="shared" si="28"/>
        <v>46522</v>
      </c>
      <c r="Y37" s="60">
        <f>IF($X37&lt;Input!$H$58,IF($X37&lt;Input!$G$58,IF($X37&lt;Input!$F$58,IF($X37&lt;Input!$E$58,IF($X37&lt;Input!$D$58,Input!$C$64,Input!$D$64),Input!$E$64),Input!$F$64),Input!$G$64),Input!$H$64)</f>
        <v>0</v>
      </c>
      <c r="Z37" s="190">
        <f>IF($A37&lt;Input!$H$65,IF($A37&lt;Input!$G$65,IF($A37&lt;Input!$F$65,IF($A37&lt;Input!$E$65,IF($A37&lt;Input!$D$65,Input!$C$66,Input!$D$66),Input!$E$66),Input!$F$66),Input!$G$66),Input!$H$66)</f>
        <v>0.9</v>
      </c>
      <c r="AA37" s="60">
        <f t="shared" si="7"/>
        <v>0</v>
      </c>
      <c r="AB37" s="60">
        <f t="shared" si="29"/>
        <v>30</v>
      </c>
      <c r="AC37" s="60">
        <f t="shared" si="8"/>
        <v>0</v>
      </c>
      <c r="AD37" s="60">
        <f>ROUND(AC37*AB37*Input!$C$3/365,0)</f>
        <v>0</v>
      </c>
      <c r="AE37" s="61">
        <f>IF($A37&lt;=Input!$C$6,0,IF('144M'!AA37&lt;'144M'!AC37,'144M'!AA37-AD37,'144M'!AC37))</f>
        <v>0</v>
      </c>
      <c r="AF37" s="61">
        <f t="shared" si="9"/>
        <v>0</v>
      </c>
      <c r="AG37" s="60">
        <f t="shared" si="10"/>
        <v>0</v>
      </c>
      <c r="AH37" s="193"/>
      <c r="AI37" s="169">
        <v>33</v>
      </c>
      <c r="AJ37" s="1">
        <f t="shared" si="30"/>
        <v>46522</v>
      </c>
      <c r="AK37" s="60">
        <f>IF($X37&lt;Input!$H$73,IF($X37&lt;Input!$G$73,IF($X37&lt;Input!$F$73,IF($X37&lt;Input!$E$73,IF($X37&lt;Input!$D$73,Input!$C$79,Input!$D$79),Input!$E$79),Input!$F$79),Input!$G$79),Input!$H$79)</f>
        <v>0</v>
      </c>
      <c r="AL37" s="190">
        <f>IF($A37&lt;Input!$H$80,IF($A37&lt;Input!$G$80,IF($A37&lt;Input!$F$80,IF($A37&lt;Input!$E$80,IF($A37&lt;Input!$D$80,Input!$C$81,Input!$D$81),Input!$E$81),Input!$F$81),Input!$G$81),Input!$H$81)</f>
        <v>0.9</v>
      </c>
      <c r="AM37" s="60">
        <f t="shared" si="11"/>
        <v>0</v>
      </c>
      <c r="AN37" s="60">
        <f t="shared" si="31"/>
        <v>30</v>
      </c>
      <c r="AO37" s="60">
        <f t="shared" si="12"/>
        <v>0</v>
      </c>
      <c r="AP37" s="60">
        <f>ROUND(AO37*AN37*Input!$C$3/365,0)</f>
        <v>0</v>
      </c>
      <c r="AQ37" s="61">
        <f>IF($A37&lt;=Input!$C$6,0,IF('144M'!AM37&lt;'144M'!AO37,'144M'!AM37-AP37,'144M'!AO37))</f>
        <v>0</v>
      </c>
      <c r="AR37" s="61">
        <f t="shared" si="13"/>
        <v>0</v>
      </c>
      <c r="AS37" s="60">
        <f t="shared" si="14"/>
        <v>0</v>
      </c>
      <c r="AT37" s="193"/>
      <c r="AU37" s="169">
        <v>33</v>
      </c>
      <c r="AV37" s="1">
        <f t="shared" si="32"/>
        <v>46522</v>
      </c>
      <c r="AW37" s="60">
        <f>IF($X37&lt;Input!$H$88,IF($X37&lt;Input!$G$88,IF($X37&lt;Input!$F$88,IF($X37&lt;Input!$E$88,IF($X37&lt;Input!$D$88,Input!$C$94,Input!$D$94),Input!$E$94),Input!$F$94),Input!$G$94),Input!$H$94)</f>
        <v>0</v>
      </c>
      <c r="AX37" s="190">
        <f>IF($A37&lt;Input!$H$95,IF($A37&lt;Input!$G$95,IF($A37&lt;Input!$F$95,IF($A37&lt;Input!$E$95,IF($A37&lt;Input!$D$95,Input!$C$96,Input!$D$96),Input!$E$96),Input!$F$96),Input!$G$96),Input!$H$96)</f>
        <v>0.9</v>
      </c>
      <c r="AY37" s="60">
        <f t="shared" si="15"/>
        <v>0</v>
      </c>
      <c r="AZ37" s="60">
        <f t="shared" si="33"/>
        <v>30</v>
      </c>
      <c r="BA37" s="60">
        <f t="shared" si="16"/>
        <v>0</v>
      </c>
      <c r="BB37" s="60">
        <f>ROUND(BA37*AZ37*Input!$C$3/365,0)</f>
        <v>0</v>
      </c>
      <c r="BC37" s="61">
        <f>IF($A37&lt;=Input!$C$6,0,IF('144M'!AY37&lt;'144M'!BA37,'144M'!AY37-BB37,'144M'!BA37))</f>
        <v>0</v>
      </c>
      <c r="BD37" s="61">
        <f t="shared" si="17"/>
        <v>0</v>
      </c>
      <c r="BE37" s="60">
        <f t="shared" si="18"/>
        <v>0</v>
      </c>
      <c r="BF37" s="193"/>
      <c r="BG37" s="169">
        <v>33</v>
      </c>
      <c r="BH37" s="1">
        <f t="shared" si="34"/>
        <v>46522</v>
      </c>
      <c r="BI37" s="60">
        <f>IF($X37&lt;Input!$H$103,IF($X37&lt;Input!$G$103,IF($X37&lt;Input!$F$103,IF($X37&lt;Input!$E$103,IF($X37&lt;Input!$D$103,Input!$C$109,Input!$D$109),Input!$E$109),Input!$F$109),Input!$G$109),Input!$H$109)</f>
        <v>0</v>
      </c>
      <c r="BJ37" s="190">
        <f>IF($A37&lt;Input!$H$110,IF($A37&lt;Input!$G$110,IF($A37&lt;Input!$F$110,IF($A37&lt;Input!$E$110,IF($A37&lt;Input!$D$110,Input!$C$111,Input!$D$111),Input!$E$111),Input!$F$111),Input!$G$111),Input!$H$111)</f>
        <v>0.9</v>
      </c>
      <c r="BK37" s="60">
        <f t="shared" si="19"/>
        <v>0</v>
      </c>
      <c r="BL37" s="60">
        <f t="shared" si="35"/>
        <v>30</v>
      </c>
      <c r="BM37" s="60">
        <f t="shared" si="20"/>
        <v>0</v>
      </c>
      <c r="BN37" s="60">
        <f>ROUND(BM37*BL37*Input!$C$3/365,0)</f>
        <v>0</v>
      </c>
      <c r="BO37" s="61">
        <f>IF($A37&lt;=Input!$C$6,0,IF('144M'!BK37&lt;'144M'!BM37,'144M'!BK37-BN37,'144M'!BM37))</f>
        <v>0</v>
      </c>
      <c r="BP37" s="61">
        <f t="shared" si="21"/>
        <v>0</v>
      </c>
      <c r="BQ37" s="60">
        <f t="shared" si="22"/>
        <v>0</v>
      </c>
      <c r="BR37" s="198"/>
    </row>
    <row r="38" spans="1:70" x14ac:dyDescent="0.25">
      <c r="A38" s="169">
        <v>34</v>
      </c>
      <c r="B38" s="1">
        <f t="shared" si="23"/>
        <v>46553</v>
      </c>
      <c r="C38" s="60">
        <f t="shared" si="1"/>
        <v>16470000</v>
      </c>
      <c r="D38" s="60">
        <f t="shared" si="2"/>
        <v>14823000</v>
      </c>
      <c r="E38" s="60">
        <f t="shared" si="24"/>
        <v>31</v>
      </c>
      <c r="F38" s="60">
        <f t="shared" si="25"/>
        <v>905591971</v>
      </c>
      <c r="G38" s="60">
        <f>ROUND(F38*E38*Input!$C$3/365,0)</f>
        <v>11536994</v>
      </c>
      <c r="H38" s="60">
        <f>IF($A38&lt;=Input!$C$6,0,IF('144M'!D38&lt;'144M'!F38,'144M'!D38-G38,'144M'!F38))</f>
        <v>3286006</v>
      </c>
      <c r="I38" s="60">
        <f t="shared" si="26"/>
        <v>14823000</v>
      </c>
      <c r="J38" s="60">
        <f t="shared" si="27"/>
        <v>902305965</v>
      </c>
      <c r="K38" s="202">
        <f>J38/Input!$K$5</f>
        <v>3.0076865499999998</v>
      </c>
      <c r="L38" s="232"/>
      <c r="M38" s="60">
        <f>IF($B38&lt;Input!$H$43,IF($B38&lt;Input!$G$43,IF($B38&lt;Input!$F$43,IF($B38&lt;Input!$E$43,IF($B38&lt;Input!$D$43,Input!$C$49,Input!$D$49),Input!$E$49),Input!$F$49),Input!$G$49),Input!$H$49)</f>
        <v>16470000</v>
      </c>
      <c r="N38" s="190">
        <f>IF($A38&lt;Input!$H$50,IF($A38&lt;Input!$G$50,IF($A38&lt;Input!$F$50,IF($A38&lt;Input!$E$50,IF($A38&lt;Input!$D$50,Input!$C$51,Input!$D$51),Input!$E$51),Input!$F$51),Input!$G$51),Input!$H$51)</f>
        <v>0.9</v>
      </c>
      <c r="O38" s="60">
        <f t="shared" si="36"/>
        <v>14823000</v>
      </c>
      <c r="P38" s="60">
        <f t="shared" si="37"/>
        <v>31</v>
      </c>
      <c r="Q38" s="60">
        <f t="shared" si="4"/>
        <v>905591971</v>
      </c>
      <c r="R38" s="60">
        <f>ROUND(Q38*$P38*Input!$C$3/365,0)</f>
        <v>11536994</v>
      </c>
      <c r="S38" s="60">
        <f>IF(A38&lt;=Input!$C$6,0,IF('144M'!O38&lt;'144M'!Q38,'144M'!O38-R38,'144M'!Q38))</f>
        <v>3286006</v>
      </c>
      <c r="T38" s="60">
        <f t="shared" si="5"/>
        <v>14823000</v>
      </c>
      <c r="U38" s="60">
        <f t="shared" si="6"/>
        <v>902305965</v>
      </c>
      <c r="V38" s="193"/>
      <c r="W38" s="169">
        <v>34</v>
      </c>
      <c r="X38" s="1">
        <f t="shared" si="28"/>
        <v>46553</v>
      </c>
      <c r="Y38" s="60">
        <f>IF($X38&lt;Input!$H$58,IF($X38&lt;Input!$G$58,IF($X38&lt;Input!$F$58,IF($X38&lt;Input!$E$58,IF($X38&lt;Input!$D$58,Input!$C$64,Input!$D$64),Input!$E$64),Input!$F$64),Input!$G$64),Input!$H$64)</f>
        <v>0</v>
      </c>
      <c r="Z38" s="190">
        <f>IF($A38&lt;Input!$H$65,IF($A38&lt;Input!$G$65,IF($A38&lt;Input!$F$65,IF($A38&lt;Input!$E$65,IF($A38&lt;Input!$D$65,Input!$C$66,Input!$D$66),Input!$E$66),Input!$F$66),Input!$G$66),Input!$H$66)</f>
        <v>0.9</v>
      </c>
      <c r="AA38" s="60">
        <f t="shared" si="7"/>
        <v>0</v>
      </c>
      <c r="AB38" s="60">
        <f t="shared" si="29"/>
        <v>31</v>
      </c>
      <c r="AC38" s="60">
        <f t="shared" si="8"/>
        <v>0</v>
      </c>
      <c r="AD38" s="60">
        <f>ROUND(AC38*AB38*Input!$C$3/365,0)</f>
        <v>0</v>
      </c>
      <c r="AE38" s="61">
        <f>IF($A38&lt;=Input!$C$6,0,IF('144M'!AA38&lt;'144M'!AC38,'144M'!AA38-AD38,'144M'!AC38))</f>
        <v>0</v>
      </c>
      <c r="AF38" s="61">
        <f t="shared" si="9"/>
        <v>0</v>
      </c>
      <c r="AG38" s="60">
        <f t="shared" si="10"/>
        <v>0</v>
      </c>
      <c r="AH38" s="193"/>
      <c r="AI38" s="169">
        <v>34</v>
      </c>
      <c r="AJ38" s="1">
        <f t="shared" si="30"/>
        <v>46553</v>
      </c>
      <c r="AK38" s="60">
        <f>IF($X38&lt;Input!$H$73,IF($X38&lt;Input!$G$73,IF($X38&lt;Input!$F$73,IF($X38&lt;Input!$E$73,IF($X38&lt;Input!$D$73,Input!$C$79,Input!$D$79),Input!$E$79),Input!$F$79),Input!$G$79),Input!$H$79)</f>
        <v>0</v>
      </c>
      <c r="AL38" s="190">
        <f>IF($A38&lt;Input!$H$80,IF($A38&lt;Input!$G$80,IF($A38&lt;Input!$F$80,IF($A38&lt;Input!$E$80,IF($A38&lt;Input!$D$80,Input!$C$81,Input!$D$81),Input!$E$81),Input!$F$81),Input!$G$81),Input!$H$81)</f>
        <v>0.9</v>
      </c>
      <c r="AM38" s="60">
        <f t="shared" si="11"/>
        <v>0</v>
      </c>
      <c r="AN38" s="60">
        <f t="shared" si="31"/>
        <v>31</v>
      </c>
      <c r="AO38" s="60">
        <f t="shared" si="12"/>
        <v>0</v>
      </c>
      <c r="AP38" s="60">
        <f>ROUND(AO38*AN38*Input!$C$3/365,0)</f>
        <v>0</v>
      </c>
      <c r="AQ38" s="61">
        <f>IF($A38&lt;=Input!$C$6,0,IF('144M'!AM38&lt;'144M'!AO38,'144M'!AM38-AP38,'144M'!AO38))</f>
        <v>0</v>
      </c>
      <c r="AR38" s="61">
        <f t="shared" si="13"/>
        <v>0</v>
      </c>
      <c r="AS38" s="60">
        <f t="shared" si="14"/>
        <v>0</v>
      </c>
      <c r="AT38" s="193"/>
      <c r="AU38" s="169">
        <v>34</v>
      </c>
      <c r="AV38" s="1">
        <f t="shared" si="32"/>
        <v>46553</v>
      </c>
      <c r="AW38" s="60">
        <f>IF($X38&lt;Input!$H$88,IF($X38&lt;Input!$G$88,IF($X38&lt;Input!$F$88,IF($X38&lt;Input!$E$88,IF($X38&lt;Input!$D$88,Input!$C$94,Input!$D$94),Input!$E$94),Input!$F$94),Input!$G$94),Input!$H$94)</f>
        <v>0</v>
      </c>
      <c r="AX38" s="190">
        <f>IF($A38&lt;Input!$H$95,IF($A38&lt;Input!$G$95,IF($A38&lt;Input!$F$95,IF($A38&lt;Input!$E$95,IF($A38&lt;Input!$D$95,Input!$C$96,Input!$D$96),Input!$E$96),Input!$F$96),Input!$G$96),Input!$H$96)</f>
        <v>0.9</v>
      </c>
      <c r="AY38" s="60">
        <f t="shared" si="15"/>
        <v>0</v>
      </c>
      <c r="AZ38" s="60">
        <f t="shared" si="33"/>
        <v>31</v>
      </c>
      <c r="BA38" s="60">
        <f t="shared" si="16"/>
        <v>0</v>
      </c>
      <c r="BB38" s="60">
        <f>ROUND(BA38*AZ38*Input!$C$3/365,0)</f>
        <v>0</v>
      </c>
      <c r="BC38" s="61">
        <f>IF($A38&lt;=Input!$C$6,0,IF('144M'!AY38&lt;'144M'!BA38,'144M'!AY38-BB38,'144M'!BA38))</f>
        <v>0</v>
      </c>
      <c r="BD38" s="61">
        <f t="shared" si="17"/>
        <v>0</v>
      </c>
      <c r="BE38" s="60">
        <f t="shared" si="18"/>
        <v>0</v>
      </c>
      <c r="BF38" s="193"/>
      <c r="BG38" s="169">
        <v>34</v>
      </c>
      <c r="BH38" s="1">
        <f t="shared" si="34"/>
        <v>46553</v>
      </c>
      <c r="BI38" s="60">
        <f>IF($X38&lt;Input!$H$103,IF($X38&lt;Input!$G$103,IF($X38&lt;Input!$F$103,IF($X38&lt;Input!$E$103,IF($X38&lt;Input!$D$103,Input!$C$109,Input!$D$109),Input!$E$109),Input!$F$109),Input!$G$109),Input!$H$109)</f>
        <v>0</v>
      </c>
      <c r="BJ38" s="190">
        <f>IF($A38&lt;Input!$H$110,IF($A38&lt;Input!$G$110,IF($A38&lt;Input!$F$110,IF($A38&lt;Input!$E$110,IF($A38&lt;Input!$D$110,Input!$C$111,Input!$D$111),Input!$E$111),Input!$F$111),Input!$G$111),Input!$H$111)</f>
        <v>0.9</v>
      </c>
      <c r="BK38" s="60">
        <f t="shared" si="19"/>
        <v>0</v>
      </c>
      <c r="BL38" s="60">
        <f t="shared" si="35"/>
        <v>31</v>
      </c>
      <c r="BM38" s="60">
        <f t="shared" si="20"/>
        <v>0</v>
      </c>
      <c r="BN38" s="60">
        <f>ROUND(BM38*BL38*Input!$C$3/365,0)</f>
        <v>0</v>
      </c>
      <c r="BO38" s="61">
        <f>IF($A38&lt;=Input!$C$6,0,IF('144M'!BK38&lt;'144M'!BM38,'144M'!BK38-BN38,'144M'!BM38))</f>
        <v>0</v>
      </c>
      <c r="BP38" s="61">
        <f t="shared" si="21"/>
        <v>0</v>
      </c>
      <c r="BQ38" s="60">
        <f t="shared" si="22"/>
        <v>0</v>
      </c>
      <c r="BR38" s="198"/>
    </row>
    <row r="39" spans="1:70" x14ac:dyDescent="0.25">
      <c r="A39" s="169">
        <v>35</v>
      </c>
      <c r="B39" s="1">
        <f t="shared" si="23"/>
        <v>46583</v>
      </c>
      <c r="C39" s="60">
        <f t="shared" si="1"/>
        <v>16470000</v>
      </c>
      <c r="D39" s="60">
        <f t="shared" si="2"/>
        <v>14823000</v>
      </c>
      <c r="E39" s="60">
        <f t="shared" si="24"/>
        <v>30</v>
      </c>
      <c r="F39" s="60">
        <f t="shared" si="25"/>
        <v>902305965</v>
      </c>
      <c r="G39" s="60">
        <f>ROUND(F39*E39*Input!$C$3/365,0)</f>
        <v>11124320</v>
      </c>
      <c r="H39" s="60">
        <f>IF($A39&lt;=Input!$C$6,0,IF('144M'!D39&lt;'144M'!F39,'144M'!D39-G39,'144M'!F39))</f>
        <v>3698680</v>
      </c>
      <c r="I39" s="60">
        <f t="shared" si="26"/>
        <v>14823000</v>
      </c>
      <c r="J39" s="60">
        <f t="shared" si="27"/>
        <v>898607285</v>
      </c>
      <c r="K39" s="202">
        <f>J39/Input!$K$5</f>
        <v>2.9953576166666664</v>
      </c>
      <c r="L39" s="232"/>
      <c r="M39" s="60">
        <f>IF($B39&lt;Input!$H$43,IF($B39&lt;Input!$G$43,IF($B39&lt;Input!$F$43,IF($B39&lt;Input!$E$43,IF($B39&lt;Input!$D$43,Input!$C$49,Input!$D$49),Input!$E$49),Input!$F$49),Input!$G$49),Input!$H$49)</f>
        <v>16470000</v>
      </c>
      <c r="N39" s="190">
        <f>IF($A39&lt;Input!$H$50,IF($A39&lt;Input!$G$50,IF($A39&lt;Input!$F$50,IF($A39&lt;Input!$E$50,IF($A39&lt;Input!$D$50,Input!$C$51,Input!$D$51),Input!$E$51),Input!$F$51),Input!$G$51),Input!$H$51)</f>
        <v>0.9</v>
      </c>
      <c r="O39" s="60">
        <f t="shared" si="36"/>
        <v>14823000</v>
      </c>
      <c r="P39" s="60">
        <f t="shared" si="37"/>
        <v>30</v>
      </c>
      <c r="Q39" s="60">
        <f t="shared" si="4"/>
        <v>902305965</v>
      </c>
      <c r="R39" s="60">
        <f>ROUND(Q39*$P39*Input!$C$3/365,0)</f>
        <v>11124320</v>
      </c>
      <c r="S39" s="60">
        <f>IF(A39&lt;=Input!$C$6,0,IF('144M'!O39&lt;'144M'!Q39,'144M'!O39-R39,'144M'!Q39))</f>
        <v>3698680</v>
      </c>
      <c r="T39" s="60">
        <f t="shared" si="5"/>
        <v>14823000</v>
      </c>
      <c r="U39" s="60">
        <f t="shared" si="6"/>
        <v>898607285</v>
      </c>
      <c r="V39" s="193"/>
      <c r="W39" s="169">
        <v>35</v>
      </c>
      <c r="X39" s="1">
        <f t="shared" si="28"/>
        <v>46583</v>
      </c>
      <c r="Y39" s="60">
        <f>IF($X39&lt;Input!$H$58,IF($X39&lt;Input!$G$58,IF($X39&lt;Input!$F$58,IF($X39&lt;Input!$E$58,IF($X39&lt;Input!$D$58,Input!$C$64,Input!$D$64),Input!$E$64),Input!$F$64),Input!$G$64),Input!$H$64)</f>
        <v>0</v>
      </c>
      <c r="Z39" s="190">
        <f>IF($A39&lt;Input!$H$65,IF($A39&lt;Input!$G$65,IF($A39&lt;Input!$F$65,IF($A39&lt;Input!$E$65,IF($A39&lt;Input!$D$65,Input!$C$66,Input!$D$66),Input!$E$66),Input!$F$66),Input!$G$66),Input!$H$66)</f>
        <v>0.9</v>
      </c>
      <c r="AA39" s="60">
        <f t="shared" si="7"/>
        <v>0</v>
      </c>
      <c r="AB39" s="60">
        <f t="shared" si="29"/>
        <v>30</v>
      </c>
      <c r="AC39" s="60">
        <f t="shared" si="8"/>
        <v>0</v>
      </c>
      <c r="AD39" s="60">
        <f>ROUND(AC39*AB39*Input!$C$3/365,0)</f>
        <v>0</v>
      </c>
      <c r="AE39" s="61">
        <f>IF($A39&lt;=Input!$C$6,0,IF('144M'!AA39&lt;'144M'!AC39,'144M'!AA39-AD39,'144M'!AC39))</f>
        <v>0</v>
      </c>
      <c r="AF39" s="61">
        <f t="shared" si="9"/>
        <v>0</v>
      </c>
      <c r="AG39" s="60">
        <f t="shared" si="10"/>
        <v>0</v>
      </c>
      <c r="AH39" s="193"/>
      <c r="AI39" s="169">
        <v>35</v>
      </c>
      <c r="AJ39" s="1">
        <f t="shared" si="30"/>
        <v>46583</v>
      </c>
      <c r="AK39" s="60">
        <f>IF($X39&lt;Input!$H$73,IF($X39&lt;Input!$G$73,IF($X39&lt;Input!$F$73,IF($X39&lt;Input!$E$73,IF($X39&lt;Input!$D$73,Input!$C$79,Input!$D$79),Input!$E$79),Input!$F$79),Input!$G$79),Input!$H$79)</f>
        <v>0</v>
      </c>
      <c r="AL39" s="190">
        <f>IF($A39&lt;Input!$H$80,IF($A39&lt;Input!$G$80,IF($A39&lt;Input!$F$80,IF($A39&lt;Input!$E$80,IF($A39&lt;Input!$D$80,Input!$C$81,Input!$D$81),Input!$E$81),Input!$F$81),Input!$G$81),Input!$H$81)</f>
        <v>0.9</v>
      </c>
      <c r="AM39" s="60">
        <f t="shared" si="11"/>
        <v>0</v>
      </c>
      <c r="AN39" s="60">
        <f t="shared" si="31"/>
        <v>30</v>
      </c>
      <c r="AO39" s="60">
        <f t="shared" si="12"/>
        <v>0</v>
      </c>
      <c r="AP39" s="60">
        <f>ROUND(AO39*AN39*Input!$C$3/365,0)</f>
        <v>0</v>
      </c>
      <c r="AQ39" s="61">
        <f>IF($A39&lt;=Input!$C$6,0,IF('144M'!AM39&lt;'144M'!AO39,'144M'!AM39-AP39,'144M'!AO39))</f>
        <v>0</v>
      </c>
      <c r="AR39" s="61">
        <f t="shared" si="13"/>
        <v>0</v>
      </c>
      <c r="AS39" s="60">
        <f t="shared" si="14"/>
        <v>0</v>
      </c>
      <c r="AT39" s="193"/>
      <c r="AU39" s="169">
        <v>35</v>
      </c>
      <c r="AV39" s="1">
        <f t="shared" si="32"/>
        <v>46583</v>
      </c>
      <c r="AW39" s="60">
        <f>IF($X39&lt;Input!$H$88,IF($X39&lt;Input!$G$88,IF($X39&lt;Input!$F$88,IF($X39&lt;Input!$E$88,IF($X39&lt;Input!$D$88,Input!$C$94,Input!$D$94),Input!$E$94),Input!$F$94),Input!$G$94),Input!$H$94)</f>
        <v>0</v>
      </c>
      <c r="AX39" s="190">
        <f>IF($A39&lt;Input!$H$95,IF($A39&lt;Input!$G$95,IF($A39&lt;Input!$F$95,IF($A39&lt;Input!$E$95,IF($A39&lt;Input!$D$95,Input!$C$96,Input!$D$96),Input!$E$96),Input!$F$96),Input!$G$96),Input!$H$96)</f>
        <v>0.9</v>
      </c>
      <c r="AY39" s="60">
        <f t="shared" si="15"/>
        <v>0</v>
      </c>
      <c r="AZ39" s="60">
        <f t="shared" si="33"/>
        <v>30</v>
      </c>
      <c r="BA39" s="60">
        <f t="shared" si="16"/>
        <v>0</v>
      </c>
      <c r="BB39" s="60">
        <f>ROUND(BA39*AZ39*Input!$C$3/365,0)</f>
        <v>0</v>
      </c>
      <c r="BC39" s="61">
        <f>IF($A39&lt;=Input!$C$6,0,IF('144M'!AY39&lt;'144M'!BA39,'144M'!AY39-BB39,'144M'!BA39))</f>
        <v>0</v>
      </c>
      <c r="BD39" s="61">
        <f t="shared" si="17"/>
        <v>0</v>
      </c>
      <c r="BE39" s="60">
        <f t="shared" si="18"/>
        <v>0</v>
      </c>
      <c r="BF39" s="193"/>
      <c r="BG39" s="169">
        <v>35</v>
      </c>
      <c r="BH39" s="1">
        <f t="shared" si="34"/>
        <v>46583</v>
      </c>
      <c r="BI39" s="60">
        <f>IF($X39&lt;Input!$H$103,IF($X39&lt;Input!$G$103,IF($X39&lt;Input!$F$103,IF($X39&lt;Input!$E$103,IF($X39&lt;Input!$D$103,Input!$C$109,Input!$D$109),Input!$E$109),Input!$F$109),Input!$G$109),Input!$H$109)</f>
        <v>0</v>
      </c>
      <c r="BJ39" s="190">
        <f>IF($A39&lt;Input!$H$110,IF($A39&lt;Input!$G$110,IF($A39&lt;Input!$F$110,IF($A39&lt;Input!$E$110,IF($A39&lt;Input!$D$110,Input!$C$111,Input!$D$111),Input!$E$111),Input!$F$111),Input!$G$111),Input!$H$111)</f>
        <v>0.9</v>
      </c>
      <c r="BK39" s="60">
        <f t="shared" si="19"/>
        <v>0</v>
      </c>
      <c r="BL39" s="60">
        <f t="shared" si="35"/>
        <v>30</v>
      </c>
      <c r="BM39" s="60">
        <f t="shared" si="20"/>
        <v>0</v>
      </c>
      <c r="BN39" s="60">
        <f>ROUND(BM39*BL39*Input!$C$3/365,0)</f>
        <v>0</v>
      </c>
      <c r="BO39" s="61">
        <f>IF($A39&lt;=Input!$C$6,0,IF('144M'!BK39&lt;'144M'!BM39,'144M'!BK39-BN39,'144M'!BM39))</f>
        <v>0</v>
      </c>
      <c r="BP39" s="61">
        <f t="shared" si="21"/>
        <v>0</v>
      </c>
      <c r="BQ39" s="60">
        <f t="shared" si="22"/>
        <v>0</v>
      </c>
      <c r="BR39" s="198"/>
    </row>
    <row r="40" spans="1:70" x14ac:dyDescent="0.25">
      <c r="A40" s="169">
        <v>36</v>
      </c>
      <c r="B40" s="1">
        <f t="shared" si="23"/>
        <v>46614</v>
      </c>
      <c r="C40" s="60">
        <f t="shared" si="1"/>
        <v>16470000</v>
      </c>
      <c r="D40" s="60">
        <f t="shared" si="2"/>
        <v>14823000</v>
      </c>
      <c r="E40" s="60">
        <f t="shared" si="24"/>
        <v>31</v>
      </c>
      <c r="F40" s="60">
        <f t="shared" si="25"/>
        <v>898607285</v>
      </c>
      <c r="G40" s="60">
        <f>ROUND(F40*E40*Input!$C$3/365,0)</f>
        <v>11448011</v>
      </c>
      <c r="H40" s="60">
        <f>IF($A40&lt;=Input!$C$6,0,IF('144M'!D40&lt;'144M'!F40,'144M'!D40-G40,'144M'!F40))</f>
        <v>3374989</v>
      </c>
      <c r="I40" s="60">
        <f t="shared" si="26"/>
        <v>14823000</v>
      </c>
      <c r="J40" s="60">
        <f t="shared" si="27"/>
        <v>895232296</v>
      </c>
      <c r="K40" s="202">
        <f>J40/Input!$K$5</f>
        <v>2.9841076533333335</v>
      </c>
      <c r="L40" s="232"/>
      <c r="M40" s="60">
        <f>IF($B40&lt;Input!$H$43,IF($B40&lt;Input!$G$43,IF($B40&lt;Input!$F$43,IF($B40&lt;Input!$E$43,IF($B40&lt;Input!$D$43,Input!$C$49,Input!$D$49),Input!$E$49),Input!$F$49),Input!$G$49),Input!$H$49)</f>
        <v>16470000</v>
      </c>
      <c r="N40" s="190">
        <f>IF($A40&lt;Input!$H$50,IF($A40&lt;Input!$G$50,IF($A40&lt;Input!$F$50,IF($A40&lt;Input!$E$50,IF($A40&lt;Input!$D$50,Input!$C$51,Input!$D$51),Input!$E$51),Input!$F$51),Input!$G$51),Input!$H$51)</f>
        <v>0.9</v>
      </c>
      <c r="O40" s="60">
        <f t="shared" si="36"/>
        <v>14823000</v>
      </c>
      <c r="P40" s="60">
        <f t="shared" si="37"/>
        <v>31</v>
      </c>
      <c r="Q40" s="60">
        <f t="shared" si="4"/>
        <v>898607285</v>
      </c>
      <c r="R40" s="60">
        <f>ROUND(Q40*$P40*Input!$C$3/365,0)</f>
        <v>11448011</v>
      </c>
      <c r="S40" s="60">
        <f>IF(A40&lt;=Input!$C$6,0,IF('144M'!O40&lt;'144M'!Q40,'144M'!O40-R40,'144M'!Q40))</f>
        <v>3374989</v>
      </c>
      <c r="T40" s="60">
        <f t="shared" si="5"/>
        <v>14823000</v>
      </c>
      <c r="U40" s="60">
        <f t="shared" si="6"/>
        <v>895232296</v>
      </c>
      <c r="V40" s="193"/>
      <c r="W40" s="169">
        <v>36</v>
      </c>
      <c r="X40" s="1">
        <f t="shared" si="28"/>
        <v>46614</v>
      </c>
      <c r="Y40" s="60">
        <f>IF($X40&lt;Input!$H$58,IF($X40&lt;Input!$G$58,IF($X40&lt;Input!$F$58,IF($X40&lt;Input!$E$58,IF($X40&lt;Input!$D$58,Input!$C$64,Input!$D$64),Input!$E$64),Input!$F$64),Input!$G$64),Input!$H$64)</f>
        <v>0</v>
      </c>
      <c r="Z40" s="190">
        <f>IF($A40&lt;Input!$H$65,IF($A40&lt;Input!$G$65,IF($A40&lt;Input!$F$65,IF($A40&lt;Input!$E$65,IF($A40&lt;Input!$D$65,Input!$C$66,Input!$D$66),Input!$E$66),Input!$F$66),Input!$G$66),Input!$H$66)</f>
        <v>0.9</v>
      </c>
      <c r="AA40" s="60">
        <f t="shared" si="7"/>
        <v>0</v>
      </c>
      <c r="AB40" s="60">
        <f t="shared" si="29"/>
        <v>31</v>
      </c>
      <c r="AC40" s="60">
        <f t="shared" si="8"/>
        <v>0</v>
      </c>
      <c r="AD40" s="60">
        <f>ROUND(AC40*AB40*Input!$C$3/365,0)</f>
        <v>0</v>
      </c>
      <c r="AE40" s="61">
        <f>IF($A40&lt;=Input!$C$6,0,IF('144M'!AA40&lt;'144M'!AC40,'144M'!AA40-AD40,'144M'!AC40))</f>
        <v>0</v>
      </c>
      <c r="AF40" s="61">
        <f t="shared" si="9"/>
        <v>0</v>
      </c>
      <c r="AG40" s="60">
        <f t="shared" si="10"/>
        <v>0</v>
      </c>
      <c r="AH40" s="193"/>
      <c r="AI40" s="169">
        <v>36</v>
      </c>
      <c r="AJ40" s="1">
        <f t="shared" si="30"/>
        <v>46614</v>
      </c>
      <c r="AK40" s="60">
        <f>IF($X40&lt;Input!$H$73,IF($X40&lt;Input!$G$73,IF($X40&lt;Input!$F$73,IF($X40&lt;Input!$E$73,IF($X40&lt;Input!$D$73,Input!$C$79,Input!$D$79),Input!$E$79),Input!$F$79),Input!$G$79),Input!$H$79)</f>
        <v>0</v>
      </c>
      <c r="AL40" s="190">
        <f>IF($A40&lt;Input!$H$80,IF($A40&lt;Input!$G$80,IF($A40&lt;Input!$F$80,IF($A40&lt;Input!$E$80,IF($A40&lt;Input!$D$80,Input!$C$81,Input!$D$81),Input!$E$81),Input!$F$81),Input!$G$81),Input!$H$81)</f>
        <v>0.9</v>
      </c>
      <c r="AM40" s="60">
        <f t="shared" si="11"/>
        <v>0</v>
      </c>
      <c r="AN40" s="60">
        <f t="shared" si="31"/>
        <v>31</v>
      </c>
      <c r="AO40" s="60">
        <f t="shared" si="12"/>
        <v>0</v>
      </c>
      <c r="AP40" s="60">
        <f>ROUND(AO40*AN40*Input!$C$3/365,0)</f>
        <v>0</v>
      </c>
      <c r="AQ40" s="61">
        <f>IF($A40&lt;=Input!$C$6,0,IF('144M'!AM40&lt;'144M'!AO40,'144M'!AM40-AP40,'144M'!AO40))</f>
        <v>0</v>
      </c>
      <c r="AR40" s="61">
        <f t="shared" si="13"/>
        <v>0</v>
      </c>
      <c r="AS40" s="60">
        <f t="shared" si="14"/>
        <v>0</v>
      </c>
      <c r="AT40" s="193"/>
      <c r="AU40" s="169">
        <v>36</v>
      </c>
      <c r="AV40" s="1">
        <f t="shared" si="32"/>
        <v>46614</v>
      </c>
      <c r="AW40" s="60">
        <f>IF($X40&lt;Input!$H$88,IF($X40&lt;Input!$G$88,IF($X40&lt;Input!$F$88,IF($X40&lt;Input!$E$88,IF($X40&lt;Input!$D$88,Input!$C$94,Input!$D$94),Input!$E$94),Input!$F$94),Input!$G$94),Input!$H$94)</f>
        <v>0</v>
      </c>
      <c r="AX40" s="190">
        <f>IF($A40&lt;Input!$H$95,IF($A40&lt;Input!$G$95,IF($A40&lt;Input!$F$95,IF($A40&lt;Input!$E$95,IF($A40&lt;Input!$D$95,Input!$C$96,Input!$D$96),Input!$E$96),Input!$F$96),Input!$G$96),Input!$H$96)</f>
        <v>0.9</v>
      </c>
      <c r="AY40" s="60">
        <f t="shared" si="15"/>
        <v>0</v>
      </c>
      <c r="AZ40" s="60">
        <f t="shared" si="33"/>
        <v>31</v>
      </c>
      <c r="BA40" s="60">
        <f t="shared" si="16"/>
        <v>0</v>
      </c>
      <c r="BB40" s="60">
        <f>ROUND(BA40*AZ40*Input!$C$3/365,0)</f>
        <v>0</v>
      </c>
      <c r="BC40" s="61">
        <f>IF($A40&lt;=Input!$C$6,0,IF('144M'!AY40&lt;'144M'!BA40,'144M'!AY40-BB40,'144M'!BA40))</f>
        <v>0</v>
      </c>
      <c r="BD40" s="61">
        <f t="shared" si="17"/>
        <v>0</v>
      </c>
      <c r="BE40" s="60">
        <f t="shared" si="18"/>
        <v>0</v>
      </c>
      <c r="BF40" s="193"/>
      <c r="BG40" s="169">
        <v>36</v>
      </c>
      <c r="BH40" s="1">
        <f t="shared" si="34"/>
        <v>46614</v>
      </c>
      <c r="BI40" s="60">
        <f>IF($X40&lt;Input!$H$103,IF($X40&lt;Input!$G$103,IF($X40&lt;Input!$F$103,IF($X40&lt;Input!$E$103,IF($X40&lt;Input!$D$103,Input!$C$109,Input!$D$109),Input!$E$109),Input!$F$109),Input!$G$109),Input!$H$109)</f>
        <v>0</v>
      </c>
      <c r="BJ40" s="190">
        <f>IF($A40&lt;Input!$H$110,IF($A40&lt;Input!$G$110,IF($A40&lt;Input!$F$110,IF($A40&lt;Input!$E$110,IF($A40&lt;Input!$D$110,Input!$C$111,Input!$D$111),Input!$E$111),Input!$F$111),Input!$G$111),Input!$H$111)</f>
        <v>0.9</v>
      </c>
      <c r="BK40" s="60">
        <f t="shared" si="19"/>
        <v>0</v>
      </c>
      <c r="BL40" s="60">
        <f t="shared" si="35"/>
        <v>31</v>
      </c>
      <c r="BM40" s="60">
        <f t="shared" si="20"/>
        <v>0</v>
      </c>
      <c r="BN40" s="60">
        <f>ROUND(BM40*BL40*Input!$C$3/365,0)</f>
        <v>0</v>
      </c>
      <c r="BO40" s="61">
        <f>IF($A40&lt;=Input!$C$6,0,IF('144M'!BK40&lt;'144M'!BM40,'144M'!BK40-BN40,'144M'!BM40))</f>
        <v>0</v>
      </c>
      <c r="BP40" s="61">
        <f t="shared" si="21"/>
        <v>0</v>
      </c>
      <c r="BQ40" s="60">
        <f t="shared" si="22"/>
        <v>0</v>
      </c>
      <c r="BR40" s="198"/>
    </row>
    <row r="41" spans="1:70" x14ac:dyDescent="0.25">
      <c r="A41" s="169">
        <v>37</v>
      </c>
      <c r="B41" s="1">
        <f t="shared" si="23"/>
        <v>46645</v>
      </c>
      <c r="C41" s="60">
        <f t="shared" si="1"/>
        <v>18940500</v>
      </c>
      <c r="D41" s="60">
        <f t="shared" si="2"/>
        <v>17046450</v>
      </c>
      <c r="E41" s="60">
        <f t="shared" si="24"/>
        <v>31</v>
      </c>
      <c r="F41" s="60">
        <f t="shared" si="25"/>
        <v>895232296</v>
      </c>
      <c r="G41" s="60">
        <f>ROUND(F41*E41*Input!$C$3/365,0)</f>
        <v>11405014</v>
      </c>
      <c r="H41" s="60">
        <f>IF($A41&lt;=Input!$C$6,0,IF('144M'!D41&lt;'144M'!F41,'144M'!D41-G41,'144M'!F41))</f>
        <v>5641436</v>
      </c>
      <c r="I41" s="60">
        <f t="shared" si="26"/>
        <v>17046450</v>
      </c>
      <c r="J41" s="60">
        <f t="shared" si="27"/>
        <v>889590860</v>
      </c>
      <c r="K41" s="202">
        <f>J41/Input!$K$5</f>
        <v>2.9653028666666668</v>
      </c>
      <c r="L41" s="232"/>
      <c r="M41" s="60">
        <f>IF($B41&lt;Input!$H$43,IF($B41&lt;Input!$G$43,IF($B41&lt;Input!$F$43,IF($B41&lt;Input!$E$43,IF($B41&lt;Input!$D$43,Input!$C$49,Input!$D$49),Input!$E$49),Input!$F$49),Input!$G$49),Input!$H$49)</f>
        <v>18940500</v>
      </c>
      <c r="N41" s="190">
        <f>IF($A41&lt;Input!$H$50,IF($A41&lt;Input!$G$50,IF($A41&lt;Input!$F$50,IF($A41&lt;Input!$E$50,IF($A41&lt;Input!$D$50,Input!$C$51,Input!$D$51),Input!$E$51),Input!$F$51),Input!$G$51),Input!$H$51)</f>
        <v>0.9</v>
      </c>
      <c r="O41" s="60">
        <f t="shared" si="36"/>
        <v>17046450</v>
      </c>
      <c r="P41" s="60">
        <f t="shared" si="37"/>
        <v>31</v>
      </c>
      <c r="Q41" s="60">
        <f t="shared" si="4"/>
        <v>895232296</v>
      </c>
      <c r="R41" s="60">
        <f>ROUND(Q41*$P41*Input!$C$3/365,0)</f>
        <v>11405014</v>
      </c>
      <c r="S41" s="60">
        <f>IF(A41&lt;=Input!$C$6,0,IF('144M'!O41&lt;'144M'!Q41,'144M'!O41-R41,'144M'!Q41))</f>
        <v>5641436</v>
      </c>
      <c r="T41" s="60">
        <f t="shared" si="5"/>
        <v>17046450</v>
      </c>
      <c r="U41" s="60">
        <f t="shared" si="6"/>
        <v>889590860</v>
      </c>
      <c r="V41" s="193"/>
      <c r="W41" s="169">
        <v>37</v>
      </c>
      <c r="X41" s="1">
        <f t="shared" si="28"/>
        <v>46645</v>
      </c>
      <c r="Y41" s="60">
        <f>IF($X41&lt;Input!$H$58,IF($X41&lt;Input!$G$58,IF($X41&lt;Input!$F$58,IF($X41&lt;Input!$E$58,IF($X41&lt;Input!$D$58,Input!$C$64,Input!$D$64),Input!$E$64),Input!$F$64),Input!$G$64),Input!$H$64)</f>
        <v>0</v>
      </c>
      <c r="Z41" s="190">
        <f>IF($A41&lt;Input!$H$65,IF($A41&lt;Input!$G$65,IF($A41&lt;Input!$F$65,IF($A41&lt;Input!$E$65,IF($A41&lt;Input!$D$65,Input!$C$66,Input!$D$66),Input!$E$66),Input!$F$66),Input!$G$66),Input!$H$66)</f>
        <v>0.9</v>
      </c>
      <c r="AA41" s="60">
        <f t="shared" si="7"/>
        <v>0</v>
      </c>
      <c r="AB41" s="60">
        <f t="shared" si="29"/>
        <v>31</v>
      </c>
      <c r="AC41" s="60">
        <f t="shared" si="8"/>
        <v>0</v>
      </c>
      <c r="AD41" s="60">
        <f>ROUND(AC41*AB41*Input!$C$3/365,0)</f>
        <v>0</v>
      </c>
      <c r="AE41" s="61">
        <f>IF($A41&lt;=Input!$C$6,0,IF('144M'!AA41&lt;'144M'!AC41,'144M'!AA41-AD41,'144M'!AC41))</f>
        <v>0</v>
      </c>
      <c r="AF41" s="61">
        <f t="shared" si="9"/>
        <v>0</v>
      </c>
      <c r="AG41" s="60">
        <f t="shared" si="10"/>
        <v>0</v>
      </c>
      <c r="AH41" s="193"/>
      <c r="AI41" s="169">
        <v>37</v>
      </c>
      <c r="AJ41" s="1">
        <f t="shared" si="30"/>
        <v>46645</v>
      </c>
      <c r="AK41" s="60">
        <f>IF($X41&lt;Input!$H$73,IF($X41&lt;Input!$G$73,IF($X41&lt;Input!$F$73,IF($X41&lt;Input!$E$73,IF($X41&lt;Input!$D$73,Input!$C$79,Input!$D$79),Input!$E$79),Input!$F$79),Input!$G$79),Input!$H$79)</f>
        <v>0</v>
      </c>
      <c r="AL41" s="190">
        <f>IF($A41&lt;Input!$H$80,IF($A41&lt;Input!$G$80,IF($A41&lt;Input!$F$80,IF($A41&lt;Input!$E$80,IF($A41&lt;Input!$D$80,Input!$C$81,Input!$D$81),Input!$E$81),Input!$F$81),Input!$G$81),Input!$H$81)</f>
        <v>0.9</v>
      </c>
      <c r="AM41" s="60">
        <f t="shared" si="11"/>
        <v>0</v>
      </c>
      <c r="AN41" s="60">
        <f t="shared" si="31"/>
        <v>31</v>
      </c>
      <c r="AO41" s="60">
        <f t="shared" si="12"/>
        <v>0</v>
      </c>
      <c r="AP41" s="60">
        <f>ROUND(AO41*AN41*Input!$C$3/365,0)</f>
        <v>0</v>
      </c>
      <c r="AQ41" s="61">
        <f>IF($A41&lt;=Input!$C$6,0,IF('144M'!AM41&lt;'144M'!AO41,'144M'!AM41-AP41,'144M'!AO41))</f>
        <v>0</v>
      </c>
      <c r="AR41" s="61">
        <f t="shared" si="13"/>
        <v>0</v>
      </c>
      <c r="AS41" s="60">
        <f t="shared" si="14"/>
        <v>0</v>
      </c>
      <c r="AT41" s="193"/>
      <c r="AU41" s="169">
        <v>37</v>
      </c>
      <c r="AV41" s="1">
        <f t="shared" si="32"/>
        <v>46645</v>
      </c>
      <c r="AW41" s="60">
        <f>IF($X41&lt;Input!$H$88,IF($X41&lt;Input!$G$88,IF($X41&lt;Input!$F$88,IF($X41&lt;Input!$E$88,IF($X41&lt;Input!$D$88,Input!$C$94,Input!$D$94),Input!$E$94),Input!$F$94),Input!$G$94),Input!$H$94)</f>
        <v>0</v>
      </c>
      <c r="AX41" s="190">
        <f>IF($A41&lt;Input!$H$95,IF($A41&lt;Input!$G$95,IF($A41&lt;Input!$F$95,IF($A41&lt;Input!$E$95,IF($A41&lt;Input!$D$95,Input!$C$96,Input!$D$96),Input!$E$96),Input!$F$96),Input!$G$96),Input!$H$96)</f>
        <v>0.9</v>
      </c>
      <c r="AY41" s="60">
        <f t="shared" si="15"/>
        <v>0</v>
      </c>
      <c r="AZ41" s="60">
        <f t="shared" si="33"/>
        <v>31</v>
      </c>
      <c r="BA41" s="60">
        <f t="shared" si="16"/>
        <v>0</v>
      </c>
      <c r="BB41" s="60">
        <f>ROUND(BA41*AZ41*Input!$C$3/365,0)</f>
        <v>0</v>
      </c>
      <c r="BC41" s="61">
        <f>IF($A41&lt;=Input!$C$6,0,IF('144M'!AY41&lt;'144M'!BA41,'144M'!AY41-BB41,'144M'!BA41))</f>
        <v>0</v>
      </c>
      <c r="BD41" s="61">
        <f t="shared" si="17"/>
        <v>0</v>
      </c>
      <c r="BE41" s="60">
        <f t="shared" si="18"/>
        <v>0</v>
      </c>
      <c r="BF41" s="193"/>
      <c r="BG41" s="169">
        <v>37</v>
      </c>
      <c r="BH41" s="1">
        <f t="shared" si="34"/>
        <v>46645</v>
      </c>
      <c r="BI41" s="60">
        <f>IF($X41&lt;Input!$H$103,IF($X41&lt;Input!$G$103,IF($X41&lt;Input!$F$103,IF($X41&lt;Input!$E$103,IF($X41&lt;Input!$D$103,Input!$C$109,Input!$D$109),Input!$E$109),Input!$F$109),Input!$G$109),Input!$H$109)</f>
        <v>0</v>
      </c>
      <c r="BJ41" s="190">
        <f>IF($A41&lt;Input!$H$110,IF($A41&lt;Input!$G$110,IF($A41&lt;Input!$F$110,IF($A41&lt;Input!$E$110,IF($A41&lt;Input!$D$110,Input!$C$111,Input!$D$111),Input!$E$111),Input!$F$111),Input!$G$111),Input!$H$111)</f>
        <v>0.9</v>
      </c>
      <c r="BK41" s="60">
        <f t="shared" si="19"/>
        <v>0</v>
      </c>
      <c r="BL41" s="60">
        <f t="shared" si="35"/>
        <v>31</v>
      </c>
      <c r="BM41" s="60">
        <f t="shared" si="20"/>
        <v>0</v>
      </c>
      <c r="BN41" s="60">
        <f>ROUND(BM41*BL41*Input!$C$3/365,0)</f>
        <v>0</v>
      </c>
      <c r="BO41" s="61">
        <f>IF($A41&lt;=Input!$C$6,0,IF('144M'!BK41&lt;'144M'!BM41,'144M'!BK41-BN41,'144M'!BM41))</f>
        <v>0</v>
      </c>
      <c r="BP41" s="61">
        <f t="shared" si="21"/>
        <v>0</v>
      </c>
      <c r="BQ41" s="60">
        <f t="shared" si="22"/>
        <v>0</v>
      </c>
      <c r="BR41" s="198"/>
    </row>
    <row r="42" spans="1:70" x14ac:dyDescent="0.25">
      <c r="A42" s="169">
        <v>38</v>
      </c>
      <c r="B42" s="1">
        <f t="shared" si="23"/>
        <v>46675</v>
      </c>
      <c r="C42" s="60">
        <f t="shared" si="1"/>
        <v>18940500</v>
      </c>
      <c r="D42" s="60">
        <f t="shared" si="2"/>
        <v>17046450</v>
      </c>
      <c r="E42" s="60">
        <f t="shared" si="24"/>
        <v>30</v>
      </c>
      <c r="F42" s="60">
        <f t="shared" si="25"/>
        <v>889590860</v>
      </c>
      <c r="G42" s="60">
        <f>ROUND(F42*E42*Input!$C$3/365,0)</f>
        <v>10967559</v>
      </c>
      <c r="H42" s="60">
        <f>IF($A42&lt;=Input!$C$6,0,IF('144M'!D42&lt;'144M'!F42,'144M'!D42-G42,'144M'!F42))</f>
        <v>6078891</v>
      </c>
      <c r="I42" s="60">
        <f t="shared" si="26"/>
        <v>17046450</v>
      </c>
      <c r="J42" s="60">
        <f t="shared" si="27"/>
        <v>883511969</v>
      </c>
      <c r="K42" s="202">
        <f>J42/Input!$K$5</f>
        <v>2.9450398966666667</v>
      </c>
      <c r="L42" s="232"/>
      <c r="M42" s="60">
        <f>IF($B42&lt;Input!$H$43,IF($B42&lt;Input!$G$43,IF($B42&lt;Input!$F$43,IF($B42&lt;Input!$E$43,IF($B42&lt;Input!$D$43,Input!$C$49,Input!$D$49),Input!$E$49),Input!$F$49),Input!$G$49),Input!$H$49)</f>
        <v>18940500</v>
      </c>
      <c r="N42" s="190">
        <f>IF($A42&lt;Input!$H$50,IF($A42&lt;Input!$G$50,IF($A42&lt;Input!$F$50,IF($A42&lt;Input!$E$50,IF($A42&lt;Input!$D$50,Input!$C$51,Input!$D$51),Input!$E$51),Input!$F$51),Input!$G$51),Input!$H$51)</f>
        <v>0.9</v>
      </c>
      <c r="O42" s="60">
        <f t="shared" si="36"/>
        <v>17046450</v>
      </c>
      <c r="P42" s="60">
        <f t="shared" si="37"/>
        <v>30</v>
      </c>
      <c r="Q42" s="60">
        <f t="shared" si="4"/>
        <v>889590860</v>
      </c>
      <c r="R42" s="60">
        <f>ROUND(Q42*$P42*Input!$C$3/365,0)</f>
        <v>10967559</v>
      </c>
      <c r="S42" s="60">
        <f>IF(A42&lt;=Input!$C$6,0,IF('144M'!O42&lt;'144M'!Q42,'144M'!O42-R42,'144M'!Q42))</f>
        <v>6078891</v>
      </c>
      <c r="T42" s="60">
        <f t="shared" si="5"/>
        <v>17046450</v>
      </c>
      <c r="U42" s="60">
        <f t="shared" si="6"/>
        <v>883511969</v>
      </c>
      <c r="V42" s="193"/>
      <c r="W42" s="169">
        <v>38</v>
      </c>
      <c r="X42" s="1">
        <f t="shared" si="28"/>
        <v>46675</v>
      </c>
      <c r="Y42" s="60">
        <f>IF($X42&lt;Input!$H$58,IF($X42&lt;Input!$G$58,IF($X42&lt;Input!$F$58,IF($X42&lt;Input!$E$58,IF($X42&lt;Input!$D$58,Input!$C$64,Input!$D$64),Input!$E$64),Input!$F$64),Input!$G$64),Input!$H$64)</f>
        <v>0</v>
      </c>
      <c r="Z42" s="190">
        <f>IF($A42&lt;Input!$H$65,IF($A42&lt;Input!$G$65,IF($A42&lt;Input!$F$65,IF($A42&lt;Input!$E$65,IF($A42&lt;Input!$D$65,Input!$C$66,Input!$D$66),Input!$E$66),Input!$F$66),Input!$G$66),Input!$H$66)</f>
        <v>0.9</v>
      </c>
      <c r="AA42" s="60">
        <f t="shared" si="7"/>
        <v>0</v>
      </c>
      <c r="AB42" s="60">
        <f t="shared" si="29"/>
        <v>30</v>
      </c>
      <c r="AC42" s="60">
        <f t="shared" si="8"/>
        <v>0</v>
      </c>
      <c r="AD42" s="60">
        <f>ROUND(AC42*AB42*Input!$C$3/365,0)</f>
        <v>0</v>
      </c>
      <c r="AE42" s="61">
        <f>IF($A42&lt;=Input!$C$6,0,IF('144M'!AA42&lt;'144M'!AC42,'144M'!AA42-AD42,'144M'!AC42))</f>
        <v>0</v>
      </c>
      <c r="AF42" s="61">
        <f t="shared" si="9"/>
        <v>0</v>
      </c>
      <c r="AG42" s="60">
        <f t="shared" si="10"/>
        <v>0</v>
      </c>
      <c r="AH42" s="193"/>
      <c r="AI42" s="169">
        <v>38</v>
      </c>
      <c r="AJ42" s="1">
        <f t="shared" si="30"/>
        <v>46675</v>
      </c>
      <c r="AK42" s="60">
        <f>IF($X42&lt;Input!$H$73,IF($X42&lt;Input!$G$73,IF($X42&lt;Input!$F$73,IF($X42&lt;Input!$E$73,IF($X42&lt;Input!$D$73,Input!$C$79,Input!$D$79),Input!$E$79),Input!$F$79),Input!$G$79),Input!$H$79)</f>
        <v>0</v>
      </c>
      <c r="AL42" s="190">
        <f>IF($A42&lt;Input!$H$80,IF($A42&lt;Input!$G$80,IF($A42&lt;Input!$F$80,IF($A42&lt;Input!$E$80,IF($A42&lt;Input!$D$80,Input!$C$81,Input!$D$81),Input!$E$81),Input!$F$81),Input!$G$81),Input!$H$81)</f>
        <v>0.9</v>
      </c>
      <c r="AM42" s="60">
        <f t="shared" si="11"/>
        <v>0</v>
      </c>
      <c r="AN42" s="60">
        <f t="shared" si="31"/>
        <v>30</v>
      </c>
      <c r="AO42" s="60">
        <f t="shared" si="12"/>
        <v>0</v>
      </c>
      <c r="AP42" s="60">
        <f>ROUND(AO42*AN42*Input!$C$3/365,0)</f>
        <v>0</v>
      </c>
      <c r="AQ42" s="61">
        <f>IF($A42&lt;=Input!$C$6,0,IF('144M'!AM42&lt;'144M'!AO42,'144M'!AM42-AP42,'144M'!AO42))</f>
        <v>0</v>
      </c>
      <c r="AR42" s="61">
        <f t="shared" si="13"/>
        <v>0</v>
      </c>
      <c r="AS42" s="60">
        <f t="shared" si="14"/>
        <v>0</v>
      </c>
      <c r="AT42" s="193"/>
      <c r="AU42" s="169">
        <v>38</v>
      </c>
      <c r="AV42" s="1">
        <f t="shared" si="32"/>
        <v>46675</v>
      </c>
      <c r="AW42" s="60">
        <f>IF($X42&lt;Input!$H$88,IF($X42&lt;Input!$G$88,IF($X42&lt;Input!$F$88,IF($X42&lt;Input!$E$88,IF($X42&lt;Input!$D$88,Input!$C$94,Input!$D$94),Input!$E$94),Input!$F$94),Input!$G$94),Input!$H$94)</f>
        <v>0</v>
      </c>
      <c r="AX42" s="190">
        <f>IF($A42&lt;Input!$H$95,IF($A42&lt;Input!$G$95,IF($A42&lt;Input!$F$95,IF($A42&lt;Input!$E$95,IF($A42&lt;Input!$D$95,Input!$C$96,Input!$D$96),Input!$E$96),Input!$F$96),Input!$G$96),Input!$H$96)</f>
        <v>0.9</v>
      </c>
      <c r="AY42" s="60">
        <f t="shared" si="15"/>
        <v>0</v>
      </c>
      <c r="AZ42" s="60">
        <f t="shared" si="33"/>
        <v>30</v>
      </c>
      <c r="BA42" s="60">
        <f t="shared" si="16"/>
        <v>0</v>
      </c>
      <c r="BB42" s="60">
        <f>ROUND(BA42*AZ42*Input!$C$3/365,0)</f>
        <v>0</v>
      </c>
      <c r="BC42" s="61">
        <f>IF($A42&lt;=Input!$C$6,0,IF('144M'!AY42&lt;'144M'!BA42,'144M'!AY42-BB42,'144M'!BA42))</f>
        <v>0</v>
      </c>
      <c r="BD42" s="61">
        <f t="shared" si="17"/>
        <v>0</v>
      </c>
      <c r="BE42" s="60">
        <f t="shared" si="18"/>
        <v>0</v>
      </c>
      <c r="BF42" s="193"/>
      <c r="BG42" s="169">
        <v>38</v>
      </c>
      <c r="BH42" s="1">
        <f t="shared" si="34"/>
        <v>46675</v>
      </c>
      <c r="BI42" s="60">
        <f>IF($X42&lt;Input!$H$103,IF($X42&lt;Input!$G$103,IF($X42&lt;Input!$F$103,IF($X42&lt;Input!$E$103,IF($X42&lt;Input!$D$103,Input!$C$109,Input!$D$109),Input!$E$109),Input!$F$109),Input!$G$109),Input!$H$109)</f>
        <v>0</v>
      </c>
      <c r="BJ42" s="190">
        <f>IF($A42&lt;Input!$H$110,IF($A42&lt;Input!$G$110,IF($A42&lt;Input!$F$110,IF($A42&lt;Input!$E$110,IF($A42&lt;Input!$D$110,Input!$C$111,Input!$D$111),Input!$E$111),Input!$F$111),Input!$G$111),Input!$H$111)</f>
        <v>0.9</v>
      </c>
      <c r="BK42" s="60">
        <f t="shared" si="19"/>
        <v>0</v>
      </c>
      <c r="BL42" s="60">
        <f t="shared" si="35"/>
        <v>30</v>
      </c>
      <c r="BM42" s="60">
        <f t="shared" si="20"/>
        <v>0</v>
      </c>
      <c r="BN42" s="60">
        <f>ROUND(BM42*BL42*Input!$C$3/365,0)</f>
        <v>0</v>
      </c>
      <c r="BO42" s="61">
        <f>IF($A42&lt;=Input!$C$6,0,IF('144M'!BK42&lt;'144M'!BM42,'144M'!BK42-BN42,'144M'!BM42))</f>
        <v>0</v>
      </c>
      <c r="BP42" s="61">
        <f t="shared" si="21"/>
        <v>0</v>
      </c>
      <c r="BQ42" s="60">
        <f t="shared" si="22"/>
        <v>0</v>
      </c>
      <c r="BR42" s="198"/>
    </row>
    <row r="43" spans="1:70" x14ac:dyDescent="0.25">
      <c r="A43" s="169">
        <v>39</v>
      </c>
      <c r="B43" s="1">
        <f t="shared" si="23"/>
        <v>46706</v>
      </c>
      <c r="C43" s="60">
        <f t="shared" si="1"/>
        <v>18940500</v>
      </c>
      <c r="D43" s="60">
        <f t="shared" si="2"/>
        <v>17046450</v>
      </c>
      <c r="E43" s="60">
        <f t="shared" si="24"/>
        <v>31</v>
      </c>
      <c r="F43" s="60">
        <f t="shared" si="25"/>
        <v>883511969</v>
      </c>
      <c r="G43" s="60">
        <f>ROUND(F43*E43*Input!$C$3/365,0)</f>
        <v>11255700</v>
      </c>
      <c r="H43" s="60">
        <f>IF($A43&lt;=Input!$C$6,0,IF('144M'!D43&lt;'144M'!F43,'144M'!D43-G43,'144M'!F43))</f>
        <v>5790750</v>
      </c>
      <c r="I43" s="60">
        <f t="shared" si="26"/>
        <v>17046450</v>
      </c>
      <c r="J43" s="60">
        <f t="shared" si="27"/>
        <v>877721219</v>
      </c>
      <c r="K43" s="202">
        <f>J43/Input!$K$5</f>
        <v>2.9257373966666669</v>
      </c>
      <c r="L43" s="232"/>
      <c r="M43" s="60">
        <f>IF($B43&lt;Input!$H$43,IF($B43&lt;Input!$G$43,IF($B43&lt;Input!$F$43,IF($B43&lt;Input!$E$43,IF($B43&lt;Input!$D$43,Input!$C$49,Input!$D$49),Input!$E$49),Input!$F$49),Input!$G$49),Input!$H$49)</f>
        <v>18940500</v>
      </c>
      <c r="N43" s="190">
        <f>IF($A43&lt;Input!$H$50,IF($A43&lt;Input!$G$50,IF($A43&lt;Input!$F$50,IF($A43&lt;Input!$E$50,IF($A43&lt;Input!$D$50,Input!$C$51,Input!$D$51),Input!$E$51),Input!$F$51),Input!$G$51),Input!$H$51)</f>
        <v>0.9</v>
      </c>
      <c r="O43" s="60">
        <f t="shared" si="36"/>
        <v>17046450</v>
      </c>
      <c r="P43" s="60">
        <f t="shared" si="37"/>
        <v>31</v>
      </c>
      <c r="Q43" s="60">
        <f t="shared" si="4"/>
        <v>883511969</v>
      </c>
      <c r="R43" s="60">
        <f>ROUND(Q43*$P43*Input!$C$3/365,0)</f>
        <v>11255700</v>
      </c>
      <c r="S43" s="60">
        <f>IF(A43&lt;=Input!$C$6,0,IF('144M'!O43&lt;'144M'!Q43,'144M'!O43-R43,'144M'!Q43))</f>
        <v>5790750</v>
      </c>
      <c r="T43" s="60">
        <f t="shared" si="5"/>
        <v>17046450</v>
      </c>
      <c r="U43" s="60">
        <f t="shared" si="6"/>
        <v>877721219</v>
      </c>
      <c r="V43" s="193"/>
      <c r="W43" s="169">
        <v>39</v>
      </c>
      <c r="X43" s="1">
        <f t="shared" si="28"/>
        <v>46706</v>
      </c>
      <c r="Y43" s="60">
        <f>IF($X43&lt;Input!$H$58,IF($X43&lt;Input!$G$58,IF($X43&lt;Input!$F$58,IF($X43&lt;Input!$E$58,IF($X43&lt;Input!$D$58,Input!$C$64,Input!$D$64),Input!$E$64),Input!$F$64),Input!$G$64),Input!$H$64)</f>
        <v>0</v>
      </c>
      <c r="Z43" s="190">
        <f>IF($A43&lt;Input!$H$65,IF($A43&lt;Input!$G$65,IF($A43&lt;Input!$F$65,IF($A43&lt;Input!$E$65,IF($A43&lt;Input!$D$65,Input!$C$66,Input!$D$66),Input!$E$66),Input!$F$66),Input!$G$66),Input!$H$66)</f>
        <v>0.9</v>
      </c>
      <c r="AA43" s="60">
        <f t="shared" si="7"/>
        <v>0</v>
      </c>
      <c r="AB43" s="60">
        <f t="shared" si="29"/>
        <v>31</v>
      </c>
      <c r="AC43" s="60">
        <f t="shared" si="8"/>
        <v>0</v>
      </c>
      <c r="AD43" s="60">
        <f>ROUND(AC43*AB43*Input!$C$3/365,0)</f>
        <v>0</v>
      </c>
      <c r="AE43" s="61">
        <f>IF($A43&lt;=Input!$C$6,0,IF('144M'!AA43&lt;'144M'!AC43,'144M'!AA43-AD43,'144M'!AC43))</f>
        <v>0</v>
      </c>
      <c r="AF43" s="61">
        <f t="shared" si="9"/>
        <v>0</v>
      </c>
      <c r="AG43" s="60">
        <f t="shared" si="10"/>
        <v>0</v>
      </c>
      <c r="AH43" s="193"/>
      <c r="AI43" s="169">
        <v>39</v>
      </c>
      <c r="AJ43" s="1">
        <f t="shared" si="30"/>
        <v>46706</v>
      </c>
      <c r="AK43" s="60">
        <f>IF($X43&lt;Input!$H$73,IF($X43&lt;Input!$G$73,IF($X43&lt;Input!$F$73,IF($X43&lt;Input!$E$73,IF($X43&lt;Input!$D$73,Input!$C$79,Input!$D$79),Input!$E$79),Input!$F$79),Input!$G$79),Input!$H$79)</f>
        <v>0</v>
      </c>
      <c r="AL43" s="190">
        <f>IF($A43&lt;Input!$H$80,IF($A43&lt;Input!$G$80,IF($A43&lt;Input!$F$80,IF($A43&lt;Input!$E$80,IF($A43&lt;Input!$D$80,Input!$C$81,Input!$D$81),Input!$E$81),Input!$F$81),Input!$G$81),Input!$H$81)</f>
        <v>0.9</v>
      </c>
      <c r="AM43" s="60">
        <f t="shared" si="11"/>
        <v>0</v>
      </c>
      <c r="AN43" s="60">
        <f t="shared" si="31"/>
        <v>31</v>
      </c>
      <c r="AO43" s="60">
        <f t="shared" si="12"/>
        <v>0</v>
      </c>
      <c r="AP43" s="60">
        <f>ROUND(AO43*AN43*Input!$C$3/365,0)</f>
        <v>0</v>
      </c>
      <c r="AQ43" s="61">
        <f>IF($A43&lt;=Input!$C$6,0,IF('144M'!AM43&lt;'144M'!AO43,'144M'!AM43-AP43,'144M'!AO43))</f>
        <v>0</v>
      </c>
      <c r="AR43" s="61">
        <f t="shared" si="13"/>
        <v>0</v>
      </c>
      <c r="AS43" s="60">
        <f t="shared" si="14"/>
        <v>0</v>
      </c>
      <c r="AT43" s="193"/>
      <c r="AU43" s="169">
        <v>39</v>
      </c>
      <c r="AV43" s="1">
        <f t="shared" si="32"/>
        <v>46706</v>
      </c>
      <c r="AW43" s="60">
        <f>IF($X43&lt;Input!$H$88,IF($X43&lt;Input!$G$88,IF($X43&lt;Input!$F$88,IF($X43&lt;Input!$E$88,IF($X43&lt;Input!$D$88,Input!$C$94,Input!$D$94),Input!$E$94),Input!$F$94),Input!$G$94),Input!$H$94)</f>
        <v>0</v>
      </c>
      <c r="AX43" s="190">
        <f>IF($A43&lt;Input!$H$95,IF($A43&lt;Input!$G$95,IF($A43&lt;Input!$F$95,IF($A43&lt;Input!$E$95,IF($A43&lt;Input!$D$95,Input!$C$96,Input!$D$96),Input!$E$96),Input!$F$96),Input!$G$96),Input!$H$96)</f>
        <v>0.9</v>
      </c>
      <c r="AY43" s="60">
        <f t="shared" si="15"/>
        <v>0</v>
      </c>
      <c r="AZ43" s="60">
        <f t="shared" si="33"/>
        <v>31</v>
      </c>
      <c r="BA43" s="60">
        <f t="shared" si="16"/>
        <v>0</v>
      </c>
      <c r="BB43" s="60">
        <f>ROUND(BA43*AZ43*Input!$C$3/365,0)</f>
        <v>0</v>
      </c>
      <c r="BC43" s="61">
        <f>IF($A43&lt;=Input!$C$6,0,IF('144M'!AY43&lt;'144M'!BA43,'144M'!AY43-BB43,'144M'!BA43))</f>
        <v>0</v>
      </c>
      <c r="BD43" s="61">
        <f t="shared" si="17"/>
        <v>0</v>
      </c>
      <c r="BE43" s="60">
        <f t="shared" si="18"/>
        <v>0</v>
      </c>
      <c r="BF43" s="193"/>
      <c r="BG43" s="169">
        <v>39</v>
      </c>
      <c r="BH43" s="1">
        <f t="shared" si="34"/>
        <v>46706</v>
      </c>
      <c r="BI43" s="60">
        <f>IF($X43&lt;Input!$H$103,IF($X43&lt;Input!$G$103,IF($X43&lt;Input!$F$103,IF($X43&lt;Input!$E$103,IF($X43&lt;Input!$D$103,Input!$C$109,Input!$D$109),Input!$E$109),Input!$F$109),Input!$G$109),Input!$H$109)</f>
        <v>0</v>
      </c>
      <c r="BJ43" s="190">
        <f>IF($A43&lt;Input!$H$110,IF($A43&lt;Input!$G$110,IF($A43&lt;Input!$F$110,IF($A43&lt;Input!$E$110,IF($A43&lt;Input!$D$110,Input!$C$111,Input!$D$111),Input!$E$111),Input!$F$111),Input!$G$111),Input!$H$111)</f>
        <v>0.9</v>
      </c>
      <c r="BK43" s="60">
        <f t="shared" si="19"/>
        <v>0</v>
      </c>
      <c r="BL43" s="60">
        <f t="shared" si="35"/>
        <v>31</v>
      </c>
      <c r="BM43" s="60">
        <f t="shared" si="20"/>
        <v>0</v>
      </c>
      <c r="BN43" s="60">
        <f>ROUND(BM43*BL43*Input!$C$3/365,0)</f>
        <v>0</v>
      </c>
      <c r="BO43" s="61">
        <f>IF($A43&lt;=Input!$C$6,0,IF('144M'!BK43&lt;'144M'!BM43,'144M'!BK43-BN43,'144M'!BM43))</f>
        <v>0</v>
      </c>
      <c r="BP43" s="61">
        <f t="shared" si="21"/>
        <v>0</v>
      </c>
      <c r="BQ43" s="60">
        <f t="shared" si="22"/>
        <v>0</v>
      </c>
      <c r="BR43" s="198"/>
    </row>
    <row r="44" spans="1:70" x14ac:dyDescent="0.25">
      <c r="A44" s="169">
        <v>40</v>
      </c>
      <c r="B44" s="1">
        <f t="shared" si="23"/>
        <v>46736</v>
      </c>
      <c r="C44" s="60">
        <f t="shared" si="1"/>
        <v>18940500</v>
      </c>
      <c r="D44" s="60">
        <f t="shared" si="2"/>
        <v>17046450</v>
      </c>
      <c r="E44" s="60">
        <f t="shared" si="24"/>
        <v>30</v>
      </c>
      <c r="F44" s="60">
        <f t="shared" si="25"/>
        <v>877721219</v>
      </c>
      <c r="G44" s="60">
        <f>ROUND(F44*E44*Input!$C$3/365,0)</f>
        <v>10821221</v>
      </c>
      <c r="H44" s="60">
        <f>IF($A44&lt;=Input!$C$6,0,IF('144M'!D44&lt;'144M'!F44,'144M'!D44-G44,'144M'!F44))</f>
        <v>6225229</v>
      </c>
      <c r="I44" s="60">
        <f t="shared" si="26"/>
        <v>17046450</v>
      </c>
      <c r="J44" s="60">
        <f t="shared" si="27"/>
        <v>871495990</v>
      </c>
      <c r="K44" s="202">
        <f>J44/Input!$K$5</f>
        <v>2.9049866333333334</v>
      </c>
      <c r="L44" s="232"/>
      <c r="M44" s="60">
        <f>IF($B44&lt;Input!$H$43,IF($B44&lt;Input!$G$43,IF($B44&lt;Input!$F$43,IF($B44&lt;Input!$E$43,IF($B44&lt;Input!$D$43,Input!$C$49,Input!$D$49),Input!$E$49),Input!$F$49),Input!$G$49),Input!$H$49)</f>
        <v>18940500</v>
      </c>
      <c r="N44" s="190">
        <f>IF($A44&lt;Input!$H$50,IF($A44&lt;Input!$G$50,IF($A44&lt;Input!$F$50,IF($A44&lt;Input!$E$50,IF($A44&lt;Input!$D$50,Input!$C$51,Input!$D$51),Input!$E$51),Input!$F$51),Input!$G$51),Input!$H$51)</f>
        <v>0.9</v>
      </c>
      <c r="O44" s="60">
        <f t="shared" si="36"/>
        <v>17046450</v>
      </c>
      <c r="P44" s="60">
        <f t="shared" si="37"/>
        <v>30</v>
      </c>
      <c r="Q44" s="60">
        <f t="shared" si="4"/>
        <v>877721219</v>
      </c>
      <c r="R44" s="60">
        <f>ROUND(Q44*$P44*Input!$C$3/365,0)</f>
        <v>10821221</v>
      </c>
      <c r="S44" s="60">
        <f>IF(A44&lt;=Input!$C$6,0,IF('144M'!O44&lt;'144M'!Q44,'144M'!O44-R44,'144M'!Q44))</f>
        <v>6225229</v>
      </c>
      <c r="T44" s="60">
        <f t="shared" si="5"/>
        <v>17046450</v>
      </c>
      <c r="U44" s="60">
        <f t="shared" si="6"/>
        <v>871495990</v>
      </c>
      <c r="V44" s="193"/>
      <c r="W44" s="169">
        <v>40</v>
      </c>
      <c r="X44" s="1">
        <f t="shared" si="28"/>
        <v>46736</v>
      </c>
      <c r="Y44" s="60">
        <f>IF($X44&lt;Input!$H$58,IF($X44&lt;Input!$G$58,IF($X44&lt;Input!$F$58,IF($X44&lt;Input!$E$58,IF($X44&lt;Input!$D$58,Input!$C$64,Input!$D$64),Input!$E$64),Input!$F$64),Input!$G$64),Input!$H$64)</f>
        <v>0</v>
      </c>
      <c r="Z44" s="190">
        <f>IF($A44&lt;Input!$H$65,IF($A44&lt;Input!$G$65,IF($A44&lt;Input!$F$65,IF($A44&lt;Input!$E$65,IF($A44&lt;Input!$D$65,Input!$C$66,Input!$D$66),Input!$E$66),Input!$F$66),Input!$G$66),Input!$H$66)</f>
        <v>0.9</v>
      </c>
      <c r="AA44" s="60">
        <f t="shared" si="7"/>
        <v>0</v>
      </c>
      <c r="AB44" s="60">
        <f t="shared" si="29"/>
        <v>30</v>
      </c>
      <c r="AC44" s="60">
        <f t="shared" si="8"/>
        <v>0</v>
      </c>
      <c r="AD44" s="60">
        <f>ROUND(AC44*AB44*Input!$C$3/365,0)</f>
        <v>0</v>
      </c>
      <c r="AE44" s="61">
        <f>IF($A44&lt;=Input!$C$6,0,IF('144M'!AA44&lt;'144M'!AC44,'144M'!AA44-AD44,'144M'!AC44))</f>
        <v>0</v>
      </c>
      <c r="AF44" s="61">
        <f t="shared" si="9"/>
        <v>0</v>
      </c>
      <c r="AG44" s="60">
        <f t="shared" si="10"/>
        <v>0</v>
      </c>
      <c r="AH44" s="193"/>
      <c r="AI44" s="169">
        <v>40</v>
      </c>
      <c r="AJ44" s="1">
        <f t="shared" si="30"/>
        <v>46736</v>
      </c>
      <c r="AK44" s="60">
        <f>IF($X44&lt;Input!$H$73,IF($X44&lt;Input!$G$73,IF($X44&lt;Input!$F$73,IF($X44&lt;Input!$E$73,IF($X44&lt;Input!$D$73,Input!$C$79,Input!$D$79),Input!$E$79),Input!$F$79),Input!$G$79),Input!$H$79)</f>
        <v>0</v>
      </c>
      <c r="AL44" s="190">
        <f>IF($A44&lt;Input!$H$80,IF($A44&lt;Input!$G$80,IF($A44&lt;Input!$F$80,IF($A44&lt;Input!$E$80,IF($A44&lt;Input!$D$80,Input!$C$81,Input!$D$81),Input!$E$81),Input!$F$81),Input!$G$81),Input!$H$81)</f>
        <v>0.9</v>
      </c>
      <c r="AM44" s="60">
        <f t="shared" si="11"/>
        <v>0</v>
      </c>
      <c r="AN44" s="60">
        <f t="shared" si="31"/>
        <v>30</v>
      </c>
      <c r="AO44" s="60">
        <f t="shared" si="12"/>
        <v>0</v>
      </c>
      <c r="AP44" s="60">
        <f>ROUND(AO44*AN44*Input!$C$3/365,0)</f>
        <v>0</v>
      </c>
      <c r="AQ44" s="61">
        <f>IF($A44&lt;=Input!$C$6,0,IF('144M'!AM44&lt;'144M'!AO44,'144M'!AM44-AP44,'144M'!AO44))</f>
        <v>0</v>
      </c>
      <c r="AR44" s="61">
        <f t="shared" si="13"/>
        <v>0</v>
      </c>
      <c r="AS44" s="60">
        <f t="shared" si="14"/>
        <v>0</v>
      </c>
      <c r="AT44" s="193"/>
      <c r="AU44" s="169">
        <v>40</v>
      </c>
      <c r="AV44" s="1">
        <f t="shared" si="32"/>
        <v>46736</v>
      </c>
      <c r="AW44" s="60">
        <f>IF($X44&lt;Input!$H$88,IF($X44&lt;Input!$G$88,IF($X44&lt;Input!$F$88,IF($X44&lt;Input!$E$88,IF($X44&lt;Input!$D$88,Input!$C$94,Input!$D$94),Input!$E$94),Input!$F$94),Input!$G$94),Input!$H$94)</f>
        <v>0</v>
      </c>
      <c r="AX44" s="190">
        <f>IF($A44&lt;Input!$H$95,IF($A44&lt;Input!$G$95,IF($A44&lt;Input!$F$95,IF($A44&lt;Input!$E$95,IF($A44&lt;Input!$D$95,Input!$C$96,Input!$D$96),Input!$E$96),Input!$F$96),Input!$G$96),Input!$H$96)</f>
        <v>0.9</v>
      </c>
      <c r="AY44" s="60">
        <f t="shared" si="15"/>
        <v>0</v>
      </c>
      <c r="AZ44" s="60">
        <f t="shared" si="33"/>
        <v>30</v>
      </c>
      <c r="BA44" s="60">
        <f t="shared" si="16"/>
        <v>0</v>
      </c>
      <c r="BB44" s="60">
        <f>ROUND(BA44*AZ44*Input!$C$3/365,0)</f>
        <v>0</v>
      </c>
      <c r="BC44" s="61">
        <f>IF($A44&lt;=Input!$C$6,0,IF('144M'!AY44&lt;'144M'!BA44,'144M'!AY44-BB44,'144M'!BA44))</f>
        <v>0</v>
      </c>
      <c r="BD44" s="61">
        <f t="shared" si="17"/>
        <v>0</v>
      </c>
      <c r="BE44" s="60">
        <f t="shared" si="18"/>
        <v>0</v>
      </c>
      <c r="BF44" s="193"/>
      <c r="BG44" s="169">
        <v>40</v>
      </c>
      <c r="BH44" s="1">
        <f t="shared" si="34"/>
        <v>46736</v>
      </c>
      <c r="BI44" s="60">
        <f>IF($X44&lt;Input!$H$103,IF($X44&lt;Input!$G$103,IF($X44&lt;Input!$F$103,IF($X44&lt;Input!$E$103,IF($X44&lt;Input!$D$103,Input!$C$109,Input!$D$109),Input!$E$109),Input!$F$109),Input!$G$109),Input!$H$109)</f>
        <v>0</v>
      </c>
      <c r="BJ44" s="190">
        <f>IF($A44&lt;Input!$H$110,IF($A44&lt;Input!$G$110,IF($A44&lt;Input!$F$110,IF($A44&lt;Input!$E$110,IF($A44&lt;Input!$D$110,Input!$C$111,Input!$D$111),Input!$E$111),Input!$F$111),Input!$G$111),Input!$H$111)</f>
        <v>0.9</v>
      </c>
      <c r="BK44" s="60">
        <f t="shared" si="19"/>
        <v>0</v>
      </c>
      <c r="BL44" s="60">
        <f t="shared" si="35"/>
        <v>30</v>
      </c>
      <c r="BM44" s="60">
        <f t="shared" si="20"/>
        <v>0</v>
      </c>
      <c r="BN44" s="60">
        <f>ROUND(BM44*BL44*Input!$C$3/365,0)</f>
        <v>0</v>
      </c>
      <c r="BO44" s="61">
        <f>IF($A44&lt;=Input!$C$6,0,IF('144M'!BK44&lt;'144M'!BM44,'144M'!BK44-BN44,'144M'!BM44))</f>
        <v>0</v>
      </c>
      <c r="BP44" s="61">
        <f t="shared" si="21"/>
        <v>0</v>
      </c>
      <c r="BQ44" s="60">
        <f t="shared" si="22"/>
        <v>0</v>
      </c>
      <c r="BR44" s="198"/>
    </row>
    <row r="45" spans="1:70" x14ac:dyDescent="0.25">
      <c r="A45" s="169">
        <v>41</v>
      </c>
      <c r="B45" s="1">
        <f t="shared" si="23"/>
        <v>46767</v>
      </c>
      <c r="C45" s="60">
        <f t="shared" si="1"/>
        <v>18940500</v>
      </c>
      <c r="D45" s="60">
        <f t="shared" si="2"/>
        <v>17046450</v>
      </c>
      <c r="E45" s="60">
        <f t="shared" si="24"/>
        <v>31</v>
      </c>
      <c r="F45" s="60">
        <f t="shared" si="25"/>
        <v>871495990</v>
      </c>
      <c r="G45" s="60">
        <f>ROUND(F45*E45*Input!$C$3/365,0)</f>
        <v>11102620</v>
      </c>
      <c r="H45" s="60">
        <f>IF($A45&lt;=Input!$C$6,0,IF('144M'!D45&lt;'144M'!F45,'144M'!D45-G45,'144M'!F45))</f>
        <v>5943830</v>
      </c>
      <c r="I45" s="60">
        <f t="shared" si="26"/>
        <v>17046450</v>
      </c>
      <c r="J45" s="60">
        <f t="shared" si="27"/>
        <v>865552160</v>
      </c>
      <c r="K45" s="202">
        <f>J45/Input!$K$5</f>
        <v>2.8851738666666669</v>
      </c>
      <c r="L45" s="232"/>
      <c r="M45" s="60">
        <f>IF($B45&lt;Input!$H$43,IF($B45&lt;Input!$G$43,IF($B45&lt;Input!$F$43,IF($B45&lt;Input!$E$43,IF($B45&lt;Input!$D$43,Input!$C$49,Input!$D$49),Input!$E$49),Input!$F$49),Input!$G$49),Input!$H$49)</f>
        <v>18940500</v>
      </c>
      <c r="N45" s="190">
        <f>IF($A45&lt;Input!$H$50,IF($A45&lt;Input!$G$50,IF($A45&lt;Input!$F$50,IF($A45&lt;Input!$E$50,IF($A45&lt;Input!$D$50,Input!$C$51,Input!$D$51),Input!$E$51),Input!$F$51),Input!$G$51),Input!$H$51)</f>
        <v>0.9</v>
      </c>
      <c r="O45" s="60">
        <f t="shared" si="36"/>
        <v>17046450</v>
      </c>
      <c r="P45" s="60">
        <f t="shared" si="37"/>
        <v>31</v>
      </c>
      <c r="Q45" s="60">
        <f t="shared" si="4"/>
        <v>871495990</v>
      </c>
      <c r="R45" s="60">
        <f>ROUND(Q45*$P45*Input!$C$3/365,0)</f>
        <v>11102620</v>
      </c>
      <c r="S45" s="60">
        <f>IF(A45&lt;=Input!$C$6,0,IF('144M'!O45&lt;'144M'!Q45,'144M'!O45-R45,'144M'!Q45))</f>
        <v>5943830</v>
      </c>
      <c r="T45" s="60">
        <f t="shared" si="5"/>
        <v>17046450</v>
      </c>
      <c r="U45" s="60">
        <f t="shared" si="6"/>
        <v>865552160</v>
      </c>
      <c r="V45" s="193"/>
      <c r="W45" s="169">
        <v>41</v>
      </c>
      <c r="X45" s="1">
        <f t="shared" si="28"/>
        <v>46767</v>
      </c>
      <c r="Y45" s="60">
        <f>IF($X45&lt;Input!$H$58,IF($X45&lt;Input!$G$58,IF($X45&lt;Input!$F$58,IF($X45&lt;Input!$E$58,IF($X45&lt;Input!$D$58,Input!$C$64,Input!$D$64),Input!$E$64),Input!$F$64),Input!$G$64),Input!$H$64)</f>
        <v>0</v>
      </c>
      <c r="Z45" s="190">
        <f>IF($A45&lt;Input!$H$65,IF($A45&lt;Input!$G$65,IF($A45&lt;Input!$F$65,IF($A45&lt;Input!$E$65,IF($A45&lt;Input!$D$65,Input!$C$66,Input!$D$66),Input!$E$66),Input!$F$66),Input!$G$66),Input!$H$66)</f>
        <v>0.9</v>
      </c>
      <c r="AA45" s="60">
        <f t="shared" si="7"/>
        <v>0</v>
      </c>
      <c r="AB45" s="60">
        <f t="shared" si="29"/>
        <v>31</v>
      </c>
      <c r="AC45" s="60">
        <f t="shared" si="8"/>
        <v>0</v>
      </c>
      <c r="AD45" s="60">
        <f>ROUND(AC45*AB45*Input!$C$3/365,0)</f>
        <v>0</v>
      </c>
      <c r="AE45" s="61">
        <f>IF($A45&lt;=Input!$C$6,0,IF('144M'!AA45&lt;'144M'!AC45,'144M'!AA45-AD45,'144M'!AC45))</f>
        <v>0</v>
      </c>
      <c r="AF45" s="61">
        <f t="shared" si="9"/>
        <v>0</v>
      </c>
      <c r="AG45" s="60">
        <f t="shared" si="10"/>
        <v>0</v>
      </c>
      <c r="AH45" s="193"/>
      <c r="AI45" s="169">
        <v>41</v>
      </c>
      <c r="AJ45" s="1">
        <f t="shared" si="30"/>
        <v>46767</v>
      </c>
      <c r="AK45" s="60">
        <f>IF($X45&lt;Input!$H$73,IF($X45&lt;Input!$G$73,IF($X45&lt;Input!$F$73,IF($X45&lt;Input!$E$73,IF($X45&lt;Input!$D$73,Input!$C$79,Input!$D$79),Input!$E$79),Input!$F$79),Input!$G$79),Input!$H$79)</f>
        <v>0</v>
      </c>
      <c r="AL45" s="190">
        <f>IF($A45&lt;Input!$H$80,IF($A45&lt;Input!$G$80,IF($A45&lt;Input!$F$80,IF($A45&lt;Input!$E$80,IF($A45&lt;Input!$D$80,Input!$C$81,Input!$D$81),Input!$E$81),Input!$F$81),Input!$G$81),Input!$H$81)</f>
        <v>0.9</v>
      </c>
      <c r="AM45" s="60">
        <f t="shared" si="11"/>
        <v>0</v>
      </c>
      <c r="AN45" s="60">
        <f t="shared" si="31"/>
        <v>31</v>
      </c>
      <c r="AO45" s="60">
        <f t="shared" si="12"/>
        <v>0</v>
      </c>
      <c r="AP45" s="60">
        <f>ROUND(AO45*AN45*Input!$C$3/365,0)</f>
        <v>0</v>
      </c>
      <c r="AQ45" s="61">
        <f>IF($A45&lt;=Input!$C$6,0,IF('144M'!AM45&lt;'144M'!AO45,'144M'!AM45-AP45,'144M'!AO45))</f>
        <v>0</v>
      </c>
      <c r="AR45" s="61">
        <f t="shared" si="13"/>
        <v>0</v>
      </c>
      <c r="AS45" s="60">
        <f t="shared" si="14"/>
        <v>0</v>
      </c>
      <c r="AT45" s="193"/>
      <c r="AU45" s="169">
        <v>41</v>
      </c>
      <c r="AV45" s="1">
        <f t="shared" si="32"/>
        <v>46767</v>
      </c>
      <c r="AW45" s="60">
        <f>IF($X45&lt;Input!$H$88,IF($X45&lt;Input!$G$88,IF($X45&lt;Input!$F$88,IF($X45&lt;Input!$E$88,IF($X45&lt;Input!$D$88,Input!$C$94,Input!$D$94),Input!$E$94),Input!$F$94),Input!$G$94),Input!$H$94)</f>
        <v>0</v>
      </c>
      <c r="AX45" s="190">
        <f>IF($A45&lt;Input!$H$95,IF($A45&lt;Input!$G$95,IF($A45&lt;Input!$F$95,IF($A45&lt;Input!$E$95,IF($A45&lt;Input!$D$95,Input!$C$96,Input!$D$96),Input!$E$96),Input!$F$96),Input!$G$96),Input!$H$96)</f>
        <v>0.9</v>
      </c>
      <c r="AY45" s="60">
        <f t="shared" si="15"/>
        <v>0</v>
      </c>
      <c r="AZ45" s="60">
        <f t="shared" si="33"/>
        <v>31</v>
      </c>
      <c r="BA45" s="60">
        <f t="shared" si="16"/>
        <v>0</v>
      </c>
      <c r="BB45" s="60">
        <f>ROUND(BA45*AZ45*Input!$C$3/365,0)</f>
        <v>0</v>
      </c>
      <c r="BC45" s="61">
        <f>IF($A45&lt;=Input!$C$6,0,IF('144M'!AY45&lt;'144M'!BA45,'144M'!AY45-BB45,'144M'!BA45))</f>
        <v>0</v>
      </c>
      <c r="BD45" s="61">
        <f t="shared" si="17"/>
        <v>0</v>
      </c>
      <c r="BE45" s="60">
        <f t="shared" si="18"/>
        <v>0</v>
      </c>
      <c r="BF45" s="193"/>
      <c r="BG45" s="169">
        <v>41</v>
      </c>
      <c r="BH45" s="1">
        <f t="shared" si="34"/>
        <v>46767</v>
      </c>
      <c r="BI45" s="60">
        <f>IF($X45&lt;Input!$H$103,IF($X45&lt;Input!$G$103,IF($X45&lt;Input!$F$103,IF($X45&lt;Input!$E$103,IF($X45&lt;Input!$D$103,Input!$C$109,Input!$D$109),Input!$E$109),Input!$F$109),Input!$G$109),Input!$H$109)</f>
        <v>0</v>
      </c>
      <c r="BJ45" s="190">
        <f>IF($A45&lt;Input!$H$110,IF($A45&lt;Input!$G$110,IF($A45&lt;Input!$F$110,IF($A45&lt;Input!$E$110,IF($A45&lt;Input!$D$110,Input!$C$111,Input!$D$111),Input!$E$111),Input!$F$111),Input!$G$111),Input!$H$111)</f>
        <v>0.9</v>
      </c>
      <c r="BK45" s="60">
        <f t="shared" si="19"/>
        <v>0</v>
      </c>
      <c r="BL45" s="60">
        <f t="shared" si="35"/>
        <v>31</v>
      </c>
      <c r="BM45" s="60">
        <f t="shared" si="20"/>
        <v>0</v>
      </c>
      <c r="BN45" s="60">
        <f>ROUND(BM45*BL45*Input!$C$3/365,0)</f>
        <v>0</v>
      </c>
      <c r="BO45" s="61">
        <f>IF($A45&lt;=Input!$C$6,0,IF('144M'!BK45&lt;'144M'!BM45,'144M'!BK45-BN45,'144M'!BM45))</f>
        <v>0</v>
      </c>
      <c r="BP45" s="61">
        <f t="shared" si="21"/>
        <v>0</v>
      </c>
      <c r="BQ45" s="60">
        <f t="shared" si="22"/>
        <v>0</v>
      </c>
      <c r="BR45" s="198"/>
    </row>
    <row r="46" spans="1:70" x14ac:dyDescent="0.25">
      <c r="A46" s="169">
        <v>42</v>
      </c>
      <c r="B46" s="1">
        <f t="shared" si="23"/>
        <v>46798</v>
      </c>
      <c r="C46" s="60">
        <f t="shared" si="1"/>
        <v>18940500</v>
      </c>
      <c r="D46" s="60">
        <f t="shared" si="2"/>
        <v>17046450</v>
      </c>
      <c r="E46" s="60">
        <f t="shared" si="24"/>
        <v>31</v>
      </c>
      <c r="F46" s="60">
        <f t="shared" si="25"/>
        <v>865552160</v>
      </c>
      <c r="G46" s="60">
        <f>ROUND(F46*E46*Input!$C$3/365,0)</f>
        <v>11026897</v>
      </c>
      <c r="H46" s="60">
        <f>IF($A46&lt;=Input!$C$6,0,IF('144M'!D46&lt;'144M'!F46,'144M'!D46-G46,'144M'!F46))</f>
        <v>6019553</v>
      </c>
      <c r="I46" s="60">
        <f t="shared" si="26"/>
        <v>17046450</v>
      </c>
      <c r="J46" s="60">
        <f t="shared" si="27"/>
        <v>859532607</v>
      </c>
      <c r="K46" s="202">
        <f>J46/Input!$K$5</f>
        <v>2.86510869</v>
      </c>
      <c r="L46" s="232"/>
      <c r="M46" s="60">
        <f>IF($B46&lt;Input!$H$43,IF($B46&lt;Input!$G$43,IF($B46&lt;Input!$F$43,IF($B46&lt;Input!$E$43,IF($B46&lt;Input!$D$43,Input!$C$49,Input!$D$49),Input!$E$49),Input!$F$49),Input!$G$49),Input!$H$49)</f>
        <v>18940500</v>
      </c>
      <c r="N46" s="190">
        <f>IF($A46&lt;Input!$H$50,IF($A46&lt;Input!$G$50,IF($A46&lt;Input!$F$50,IF($A46&lt;Input!$E$50,IF($A46&lt;Input!$D$50,Input!$C$51,Input!$D$51),Input!$E$51),Input!$F$51),Input!$G$51),Input!$H$51)</f>
        <v>0.9</v>
      </c>
      <c r="O46" s="60">
        <f t="shared" si="36"/>
        <v>17046450</v>
      </c>
      <c r="P46" s="60">
        <f t="shared" si="37"/>
        <v>31</v>
      </c>
      <c r="Q46" s="60">
        <f t="shared" si="4"/>
        <v>865552160</v>
      </c>
      <c r="R46" s="60">
        <f>ROUND(Q46*$P46*Input!$C$3/365,0)</f>
        <v>11026897</v>
      </c>
      <c r="S46" s="60">
        <f>IF(A46&lt;=Input!$C$6,0,IF('144M'!O46&lt;'144M'!Q46,'144M'!O46-R46,'144M'!Q46))</f>
        <v>6019553</v>
      </c>
      <c r="T46" s="60">
        <f t="shared" si="5"/>
        <v>17046450</v>
      </c>
      <c r="U46" s="60">
        <f t="shared" si="6"/>
        <v>859532607</v>
      </c>
      <c r="V46" s="193"/>
      <c r="W46" s="169">
        <v>42</v>
      </c>
      <c r="X46" s="1">
        <f t="shared" si="28"/>
        <v>46798</v>
      </c>
      <c r="Y46" s="60">
        <f>IF($X46&lt;Input!$H$58,IF($X46&lt;Input!$G$58,IF($X46&lt;Input!$F$58,IF($X46&lt;Input!$E$58,IF($X46&lt;Input!$D$58,Input!$C$64,Input!$D$64),Input!$E$64),Input!$F$64),Input!$G$64),Input!$H$64)</f>
        <v>0</v>
      </c>
      <c r="Z46" s="190">
        <f>IF($A46&lt;Input!$H$65,IF($A46&lt;Input!$G$65,IF($A46&lt;Input!$F$65,IF($A46&lt;Input!$E$65,IF($A46&lt;Input!$D$65,Input!$C$66,Input!$D$66),Input!$E$66),Input!$F$66),Input!$G$66),Input!$H$66)</f>
        <v>0.9</v>
      </c>
      <c r="AA46" s="60">
        <f t="shared" si="7"/>
        <v>0</v>
      </c>
      <c r="AB46" s="60">
        <f t="shared" si="29"/>
        <v>31</v>
      </c>
      <c r="AC46" s="60">
        <f t="shared" si="8"/>
        <v>0</v>
      </c>
      <c r="AD46" s="60">
        <f>ROUND(AC46*AB46*Input!$C$3/365,0)</f>
        <v>0</v>
      </c>
      <c r="AE46" s="61">
        <f>IF($A46&lt;=Input!$C$6,0,IF('144M'!AA46&lt;'144M'!AC46,'144M'!AA46-AD46,'144M'!AC46))</f>
        <v>0</v>
      </c>
      <c r="AF46" s="61">
        <f t="shared" si="9"/>
        <v>0</v>
      </c>
      <c r="AG46" s="60">
        <f t="shared" si="10"/>
        <v>0</v>
      </c>
      <c r="AH46" s="193"/>
      <c r="AI46" s="169">
        <v>42</v>
      </c>
      <c r="AJ46" s="1">
        <f t="shared" si="30"/>
        <v>46798</v>
      </c>
      <c r="AK46" s="60">
        <f>IF($X46&lt;Input!$H$73,IF($X46&lt;Input!$G$73,IF($X46&lt;Input!$F$73,IF($X46&lt;Input!$E$73,IF($X46&lt;Input!$D$73,Input!$C$79,Input!$D$79),Input!$E$79),Input!$F$79),Input!$G$79),Input!$H$79)</f>
        <v>0</v>
      </c>
      <c r="AL46" s="190">
        <f>IF($A46&lt;Input!$H$80,IF($A46&lt;Input!$G$80,IF($A46&lt;Input!$F$80,IF($A46&lt;Input!$E$80,IF($A46&lt;Input!$D$80,Input!$C$81,Input!$D$81),Input!$E$81),Input!$F$81),Input!$G$81),Input!$H$81)</f>
        <v>0.9</v>
      </c>
      <c r="AM46" s="60">
        <f t="shared" si="11"/>
        <v>0</v>
      </c>
      <c r="AN46" s="60">
        <f t="shared" si="31"/>
        <v>31</v>
      </c>
      <c r="AO46" s="60">
        <f t="shared" si="12"/>
        <v>0</v>
      </c>
      <c r="AP46" s="60">
        <f>ROUND(AO46*AN46*Input!$C$3/365,0)</f>
        <v>0</v>
      </c>
      <c r="AQ46" s="61">
        <f>IF($A46&lt;=Input!$C$6,0,IF('144M'!AM46&lt;'144M'!AO46,'144M'!AM46-AP46,'144M'!AO46))</f>
        <v>0</v>
      </c>
      <c r="AR46" s="61">
        <f t="shared" si="13"/>
        <v>0</v>
      </c>
      <c r="AS46" s="60">
        <f t="shared" si="14"/>
        <v>0</v>
      </c>
      <c r="AT46" s="193"/>
      <c r="AU46" s="169">
        <v>42</v>
      </c>
      <c r="AV46" s="1">
        <f t="shared" si="32"/>
        <v>46798</v>
      </c>
      <c r="AW46" s="60">
        <f>IF($X46&lt;Input!$H$88,IF($X46&lt;Input!$G$88,IF($X46&lt;Input!$F$88,IF($X46&lt;Input!$E$88,IF($X46&lt;Input!$D$88,Input!$C$94,Input!$D$94),Input!$E$94),Input!$F$94),Input!$G$94),Input!$H$94)</f>
        <v>0</v>
      </c>
      <c r="AX46" s="190">
        <f>IF($A46&lt;Input!$H$95,IF($A46&lt;Input!$G$95,IF($A46&lt;Input!$F$95,IF($A46&lt;Input!$E$95,IF($A46&lt;Input!$D$95,Input!$C$96,Input!$D$96),Input!$E$96),Input!$F$96),Input!$G$96),Input!$H$96)</f>
        <v>0.9</v>
      </c>
      <c r="AY46" s="60">
        <f t="shared" si="15"/>
        <v>0</v>
      </c>
      <c r="AZ46" s="60">
        <f t="shared" si="33"/>
        <v>31</v>
      </c>
      <c r="BA46" s="60">
        <f t="shared" si="16"/>
        <v>0</v>
      </c>
      <c r="BB46" s="60">
        <f>ROUND(BA46*AZ46*Input!$C$3/365,0)</f>
        <v>0</v>
      </c>
      <c r="BC46" s="61">
        <f>IF($A46&lt;=Input!$C$6,0,IF('144M'!AY46&lt;'144M'!BA46,'144M'!AY46-BB46,'144M'!BA46))</f>
        <v>0</v>
      </c>
      <c r="BD46" s="61">
        <f t="shared" si="17"/>
        <v>0</v>
      </c>
      <c r="BE46" s="60">
        <f t="shared" si="18"/>
        <v>0</v>
      </c>
      <c r="BF46" s="193"/>
      <c r="BG46" s="169">
        <v>42</v>
      </c>
      <c r="BH46" s="1">
        <f t="shared" si="34"/>
        <v>46798</v>
      </c>
      <c r="BI46" s="60">
        <f>IF($X46&lt;Input!$H$103,IF($X46&lt;Input!$G$103,IF($X46&lt;Input!$F$103,IF($X46&lt;Input!$E$103,IF($X46&lt;Input!$D$103,Input!$C$109,Input!$D$109),Input!$E$109),Input!$F$109),Input!$G$109),Input!$H$109)</f>
        <v>0</v>
      </c>
      <c r="BJ46" s="190">
        <f>IF($A46&lt;Input!$H$110,IF($A46&lt;Input!$G$110,IF($A46&lt;Input!$F$110,IF($A46&lt;Input!$E$110,IF($A46&lt;Input!$D$110,Input!$C$111,Input!$D$111),Input!$E$111),Input!$F$111),Input!$G$111),Input!$H$111)</f>
        <v>0.9</v>
      </c>
      <c r="BK46" s="60">
        <f t="shared" si="19"/>
        <v>0</v>
      </c>
      <c r="BL46" s="60">
        <f t="shared" si="35"/>
        <v>31</v>
      </c>
      <c r="BM46" s="60">
        <f t="shared" si="20"/>
        <v>0</v>
      </c>
      <c r="BN46" s="60">
        <f>ROUND(BM46*BL46*Input!$C$3/365,0)</f>
        <v>0</v>
      </c>
      <c r="BO46" s="61">
        <f>IF($A46&lt;=Input!$C$6,0,IF('144M'!BK46&lt;'144M'!BM46,'144M'!BK46-BN46,'144M'!BM46))</f>
        <v>0</v>
      </c>
      <c r="BP46" s="61">
        <f t="shared" si="21"/>
        <v>0</v>
      </c>
      <c r="BQ46" s="60">
        <f t="shared" si="22"/>
        <v>0</v>
      </c>
      <c r="BR46" s="198"/>
    </row>
    <row r="47" spans="1:70" x14ac:dyDescent="0.25">
      <c r="A47" s="169">
        <v>43</v>
      </c>
      <c r="B47" s="1">
        <f t="shared" si="23"/>
        <v>46827</v>
      </c>
      <c r="C47" s="60">
        <f t="shared" si="1"/>
        <v>18940500</v>
      </c>
      <c r="D47" s="60">
        <f t="shared" si="2"/>
        <v>17046450</v>
      </c>
      <c r="E47" s="60">
        <f t="shared" si="24"/>
        <v>29</v>
      </c>
      <c r="F47" s="60">
        <f t="shared" si="25"/>
        <v>859532607</v>
      </c>
      <c r="G47" s="60">
        <f>ROUND(F47*E47*Input!$C$3/365,0)</f>
        <v>10243745</v>
      </c>
      <c r="H47" s="60">
        <f>IF($A47&lt;=Input!$C$6,0,IF('144M'!D47&lt;'144M'!F47,'144M'!D47-G47,'144M'!F47))</f>
        <v>6802705</v>
      </c>
      <c r="I47" s="60">
        <f t="shared" si="26"/>
        <v>17046450</v>
      </c>
      <c r="J47" s="60">
        <f t="shared" si="27"/>
        <v>852729902</v>
      </c>
      <c r="K47" s="202">
        <f>J47/Input!$K$5</f>
        <v>2.8424330066666665</v>
      </c>
      <c r="L47" s="232"/>
      <c r="M47" s="60">
        <f>IF($B47&lt;Input!$H$43,IF($B47&lt;Input!$G$43,IF($B47&lt;Input!$F$43,IF($B47&lt;Input!$E$43,IF($B47&lt;Input!$D$43,Input!$C$49,Input!$D$49),Input!$E$49),Input!$F$49),Input!$G$49),Input!$H$49)</f>
        <v>18940500</v>
      </c>
      <c r="N47" s="190">
        <f>IF($A47&lt;Input!$H$50,IF($A47&lt;Input!$G$50,IF($A47&lt;Input!$F$50,IF($A47&lt;Input!$E$50,IF($A47&lt;Input!$D$50,Input!$C$51,Input!$D$51),Input!$E$51),Input!$F$51),Input!$G$51),Input!$H$51)</f>
        <v>0.9</v>
      </c>
      <c r="O47" s="60">
        <f t="shared" si="36"/>
        <v>17046450</v>
      </c>
      <c r="P47" s="60">
        <f t="shared" si="37"/>
        <v>29</v>
      </c>
      <c r="Q47" s="60">
        <f t="shared" si="4"/>
        <v>859532607</v>
      </c>
      <c r="R47" s="60">
        <f>ROUND(Q47*$P47*Input!$C$3/365,0)</f>
        <v>10243745</v>
      </c>
      <c r="S47" s="60">
        <f>IF(A47&lt;=Input!$C$6,0,IF('144M'!O47&lt;'144M'!Q47,'144M'!O47-R47,'144M'!Q47))</f>
        <v>6802705</v>
      </c>
      <c r="T47" s="60">
        <f t="shared" si="5"/>
        <v>17046450</v>
      </c>
      <c r="U47" s="60">
        <f t="shared" si="6"/>
        <v>852729902</v>
      </c>
      <c r="V47" s="193"/>
      <c r="W47" s="169">
        <v>43</v>
      </c>
      <c r="X47" s="1">
        <f t="shared" si="28"/>
        <v>46827</v>
      </c>
      <c r="Y47" s="60">
        <f>IF($X47&lt;Input!$H$58,IF($X47&lt;Input!$G$58,IF($X47&lt;Input!$F$58,IF($X47&lt;Input!$E$58,IF($X47&lt;Input!$D$58,Input!$C$64,Input!$D$64),Input!$E$64),Input!$F$64),Input!$G$64),Input!$H$64)</f>
        <v>0</v>
      </c>
      <c r="Z47" s="190">
        <f>IF($A47&lt;Input!$H$65,IF($A47&lt;Input!$G$65,IF($A47&lt;Input!$F$65,IF($A47&lt;Input!$E$65,IF($A47&lt;Input!$D$65,Input!$C$66,Input!$D$66),Input!$E$66),Input!$F$66),Input!$G$66),Input!$H$66)</f>
        <v>0.9</v>
      </c>
      <c r="AA47" s="60">
        <f t="shared" si="7"/>
        <v>0</v>
      </c>
      <c r="AB47" s="60">
        <f t="shared" si="29"/>
        <v>29</v>
      </c>
      <c r="AC47" s="60">
        <f t="shared" si="8"/>
        <v>0</v>
      </c>
      <c r="AD47" s="60">
        <f>ROUND(AC47*AB47*Input!$C$3/365,0)</f>
        <v>0</v>
      </c>
      <c r="AE47" s="61">
        <f>IF($A47&lt;=Input!$C$6,0,IF('144M'!AA47&lt;'144M'!AC47,'144M'!AA47-AD47,'144M'!AC47))</f>
        <v>0</v>
      </c>
      <c r="AF47" s="61">
        <f t="shared" si="9"/>
        <v>0</v>
      </c>
      <c r="AG47" s="60">
        <f t="shared" si="10"/>
        <v>0</v>
      </c>
      <c r="AH47" s="193"/>
      <c r="AI47" s="169">
        <v>43</v>
      </c>
      <c r="AJ47" s="1">
        <f t="shared" si="30"/>
        <v>46827</v>
      </c>
      <c r="AK47" s="60">
        <f>IF($X47&lt;Input!$H$73,IF($X47&lt;Input!$G$73,IF($X47&lt;Input!$F$73,IF($X47&lt;Input!$E$73,IF($X47&lt;Input!$D$73,Input!$C$79,Input!$D$79),Input!$E$79),Input!$F$79),Input!$G$79),Input!$H$79)</f>
        <v>0</v>
      </c>
      <c r="AL47" s="190">
        <f>IF($A47&lt;Input!$H$80,IF($A47&lt;Input!$G$80,IF($A47&lt;Input!$F$80,IF($A47&lt;Input!$E$80,IF($A47&lt;Input!$D$80,Input!$C$81,Input!$D$81),Input!$E$81),Input!$F$81),Input!$G$81),Input!$H$81)</f>
        <v>0.9</v>
      </c>
      <c r="AM47" s="60">
        <f t="shared" si="11"/>
        <v>0</v>
      </c>
      <c r="AN47" s="60">
        <f t="shared" si="31"/>
        <v>29</v>
      </c>
      <c r="AO47" s="60">
        <f t="shared" si="12"/>
        <v>0</v>
      </c>
      <c r="AP47" s="60">
        <f>ROUND(AO47*AN47*Input!$C$3/365,0)</f>
        <v>0</v>
      </c>
      <c r="AQ47" s="61">
        <f>IF($A47&lt;=Input!$C$6,0,IF('144M'!AM47&lt;'144M'!AO47,'144M'!AM47-AP47,'144M'!AO47))</f>
        <v>0</v>
      </c>
      <c r="AR47" s="61">
        <f t="shared" si="13"/>
        <v>0</v>
      </c>
      <c r="AS47" s="60">
        <f t="shared" si="14"/>
        <v>0</v>
      </c>
      <c r="AT47" s="193"/>
      <c r="AU47" s="169">
        <v>43</v>
      </c>
      <c r="AV47" s="1">
        <f t="shared" si="32"/>
        <v>46827</v>
      </c>
      <c r="AW47" s="60">
        <f>IF($X47&lt;Input!$H$88,IF($X47&lt;Input!$G$88,IF($X47&lt;Input!$F$88,IF($X47&lt;Input!$E$88,IF($X47&lt;Input!$D$88,Input!$C$94,Input!$D$94),Input!$E$94),Input!$F$94),Input!$G$94),Input!$H$94)</f>
        <v>0</v>
      </c>
      <c r="AX47" s="190">
        <f>IF($A47&lt;Input!$H$95,IF($A47&lt;Input!$G$95,IF($A47&lt;Input!$F$95,IF($A47&lt;Input!$E$95,IF($A47&lt;Input!$D$95,Input!$C$96,Input!$D$96),Input!$E$96),Input!$F$96),Input!$G$96),Input!$H$96)</f>
        <v>0.9</v>
      </c>
      <c r="AY47" s="60">
        <f t="shared" si="15"/>
        <v>0</v>
      </c>
      <c r="AZ47" s="60">
        <f t="shared" si="33"/>
        <v>29</v>
      </c>
      <c r="BA47" s="60">
        <f t="shared" si="16"/>
        <v>0</v>
      </c>
      <c r="BB47" s="60">
        <f>ROUND(BA47*AZ47*Input!$C$3/365,0)</f>
        <v>0</v>
      </c>
      <c r="BC47" s="61">
        <f>IF($A47&lt;=Input!$C$6,0,IF('144M'!AY47&lt;'144M'!BA47,'144M'!AY47-BB47,'144M'!BA47))</f>
        <v>0</v>
      </c>
      <c r="BD47" s="61">
        <f t="shared" si="17"/>
        <v>0</v>
      </c>
      <c r="BE47" s="60">
        <f t="shared" si="18"/>
        <v>0</v>
      </c>
      <c r="BF47" s="193"/>
      <c r="BG47" s="169">
        <v>43</v>
      </c>
      <c r="BH47" s="1">
        <f t="shared" si="34"/>
        <v>46827</v>
      </c>
      <c r="BI47" s="60">
        <f>IF($X47&lt;Input!$H$103,IF($X47&lt;Input!$G$103,IF($X47&lt;Input!$F$103,IF($X47&lt;Input!$E$103,IF($X47&lt;Input!$D$103,Input!$C$109,Input!$D$109),Input!$E$109),Input!$F$109),Input!$G$109),Input!$H$109)</f>
        <v>0</v>
      </c>
      <c r="BJ47" s="190">
        <f>IF($A47&lt;Input!$H$110,IF($A47&lt;Input!$G$110,IF($A47&lt;Input!$F$110,IF($A47&lt;Input!$E$110,IF($A47&lt;Input!$D$110,Input!$C$111,Input!$D$111),Input!$E$111),Input!$F$111),Input!$G$111),Input!$H$111)</f>
        <v>0.9</v>
      </c>
      <c r="BK47" s="60">
        <f t="shared" si="19"/>
        <v>0</v>
      </c>
      <c r="BL47" s="60">
        <f t="shared" si="35"/>
        <v>29</v>
      </c>
      <c r="BM47" s="60">
        <f t="shared" si="20"/>
        <v>0</v>
      </c>
      <c r="BN47" s="60">
        <f>ROUND(BM47*BL47*Input!$C$3/365,0)</f>
        <v>0</v>
      </c>
      <c r="BO47" s="61">
        <f>IF($A47&lt;=Input!$C$6,0,IF('144M'!BK47&lt;'144M'!BM47,'144M'!BK47-BN47,'144M'!BM47))</f>
        <v>0</v>
      </c>
      <c r="BP47" s="61">
        <f t="shared" si="21"/>
        <v>0</v>
      </c>
      <c r="BQ47" s="60">
        <f t="shared" si="22"/>
        <v>0</v>
      </c>
      <c r="BR47" s="198"/>
    </row>
    <row r="48" spans="1:70" x14ac:dyDescent="0.25">
      <c r="A48" s="169">
        <v>44</v>
      </c>
      <c r="B48" s="1">
        <f t="shared" si="23"/>
        <v>46858</v>
      </c>
      <c r="C48" s="60">
        <f t="shared" si="1"/>
        <v>18940500</v>
      </c>
      <c r="D48" s="60">
        <f t="shared" si="2"/>
        <v>17046450</v>
      </c>
      <c r="E48" s="60">
        <f t="shared" si="24"/>
        <v>31</v>
      </c>
      <c r="F48" s="60">
        <f t="shared" si="25"/>
        <v>852729902</v>
      </c>
      <c r="G48" s="60">
        <f>ROUND(F48*E48*Input!$C$3/365,0)</f>
        <v>10863545</v>
      </c>
      <c r="H48" s="60">
        <f>IF($A48&lt;=Input!$C$6,0,IF('144M'!D48&lt;'144M'!F48,'144M'!D48-G48,'144M'!F48))</f>
        <v>6182905</v>
      </c>
      <c r="I48" s="60">
        <f t="shared" si="26"/>
        <v>17046450</v>
      </c>
      <c r="J48" s="60">
        <f t="shared" si="27"/>
        <v>846546997</v>
      </c>
      <c r="K48" s="202">
        <f>J48/Input!$K$5</f>
        <v>2.8218233233333332</v>
      </c>
      <c r="L48" s="232"/>
      <c r="M48" s="60">
        <f>IF($B48&lt;Input!$H$43,IF($B48&lt;Input!$G$43,IF($B48&lt;Input!$F$43,IF($B48&lt;Input!$E$43,IF($B48&lt;Input!$D$43,Input!$C$49,Input!$D$49),Input!$E$49),Input!$F$49),Input!$G$49),Input!$H$49)</f>
        <v>18940500</v>
      </c>
      <c r="N48" s="190">
        <f>IF($A48&lt;Input!$H$50,IF($A48&lt;Input!$G$50,IF($A48&lt;Input!$F$50,IF($A48&lt;Input!$E$50,IF($A48&lt;Input!$D$50,Input!$C$51,Input!$D$51),Input!$E$51),Input!$F$51),Input!$G$51),Input!$H$51)</f>
        <v>0.9</v>
      </c>
      <c r="O48" s="60">
        <f t="shared" si="36"/>
        <v>17046450</v>
      </c>
      <c r="P48" s="60">
        <f t="shared" si="37"/>
        <v>31</v>
      </c>
      <c r="Q48" s="60">
        <f t="shared" si="4"/>
        <v>852729902</v>
      </c>
      <c r="R48" s="60">
        <f>ROUND(Q48*$P48*Input!$C$3/365,0)</f>
        <v>10863545</v>
      </c>
      <c r="S48" s="60">
        <f>IF(A48&lt;=Input!$C$6,0,IF('144M'!O48&lt;'144M'!Q48,'144M'!O48-R48,'144M'!Q48))</f>
        <v>6182905</v>
      </c>
      <c r="T48" s="60">
        <f t="shared" si="5"/>
        <v>17046450</v>
      </c>
      <c r="U48" s="60">
        <f t="shared" si="6"/>
        <v>846546997</v>
      </c>
      <c r="V48" s="193"/>
      <c r="W48" s="169">
        <v>44</v>
      </c>
      <c r="X48" s="1">
        <f t="shared" si="28"/>
        <v>46858</v>
      </c>
      <c r="Y48" s="60">
        <f>IF($X48&lt;Input!$H$58,IF($X48&lt;Input!$G$58,IF($X48&lt;Input!$F$58,IF($X48&lt;Input!$E$58,IF($X48&lt;Input!$D$58,Input!$C$64,Input!$D$64),Input!$E$64),Input!$F$64),Input!$G$64),Input!$H$64)</f>
        <v>0</v>
      </c>
      <c r="Z48" s="190">
        <f>IF($A48&lt;Input!$H$65,IF($A48&lt;Input!$G$65,IF($A48&lt;Input!$F$65,IF($A48&lt;Input!$E$65,IF($A48&lt;Input!$D$65,Input!$C$66,Input!$D$66),Input!$E$66),Input!$F$66),Input!$G$66),Input!$H$66)</f>
        <v>0.9</v>
      </c>
      <c r="AA48" s="60">
        <f t="shared" si="7"/>
        <v>0</v>
      </c>
      <c r="AB48" s="60">
        <f t="shared" si="29"/>
        <v>31</v>
      </c>
      <c r="AC48" s="60">
        <f t="shared" si="8"/>
        <v>0</v>
      </c>
      <c r="AD48" s="60">
        <f>ROUND(AC48*AB48*Input!$C$3/365,0)</f>
        <v>0</v>
      </c>
      <c r="AE48" s="61">
        <f>IF($A48&lt;=Input!$C$6,0,IF('144M'!AA48&lt;'144M'!AC48,'144M'!AA48-AD48,'144M'!AC48))</f>
        <v>0</v>
      </c>
      <c r="AF48" s="61">
        <f t="shared" si="9"/>
        <v>0</v>
      </c>
      <c r="AG48" s="60">
        <f t="shared" si="10"/>
        <v>0</v>
      </c>
      <c r="AH48" s="193"/>
      <c r="AI48" s="169">
        <v>44</v>
      </c>
      <c r="AJ48" s="1">
        <f t="shared" si="30"/>
        <v>46858</v>
      </c>
      <c r="AK48" s="60">
        <f>IF($X48&lt;Input!$H$73,IF($X48&lt;Input!$G$73,IF($X48&lt;Input!$F$73,IF($X48&lt;Input!$E$73,IF($X48&lt;Input!$D$73,Input!$C$79,Input!$D$79),Input!$E$79),Input!$F$79),Input!$G$79),Input!$H$79)</f>
        <v>0</v>
      </c>
      <c r="AL48" s="190">
        <f>IF($A48&lt;Input!$H$80,IF($A48&lt;Input!$G$80,IF($A48&lt;Input!$F$80,IF($A48&lt;Input!$E$80,IF($A48&lt;Input!$D$80,Input!$C$81,Input!$D$81),Input!$E$81),Input!$F$81),Input!$G$81),Input!$H$81)</f>
        <v>0.9</v>
      </c>
      <c r="AM48" s="60">
        <f t="shared" si="11"/>
        <v>0</v>
      </c>
      <c r="AN48" s="60">
        <f t="shared" si="31"/>
        <v>31</v>
      </c>
      <c r="AO48" s="60">
        <f t="shared" si="12"/>
        <v>0</v>
      </c>
      <c r="AP48" s="60">
        <f>ROUND(AO48*AN48*Input!$C$3/365,0)</f>
        <v>0</v>
      </c>
      <c r="AQ48" s="61">
        <f>IF($A48&lt;=Input!$C$6,0,IF('144M'!AM48&lt;'144M'!AO48,'144M'!AM48-AP48,'144M'!AO48))</f>
        <v>0</v>
      </c>
      <c r="AR48" s="61">
        <f t="shared" si="13"/>
        <v>0</v>
      </c>
      <c r="AS48" s="60">
        <f t="shared" si="14"/>
        <v>0</v>
      </c>
      <c r="AT48" s="193"/>
      <c r="AU48" s="169">
        <v>44</v>
      </c>
      <c r="AV48" s="1">
        <f t="shared" si="32"/>
        <v>46858</v>
      </c>
      <c r="AW48" s="60">
        <f>IF($X48&lt;Input!$H$88,IF($X48&lt;Input!$G$88,IF($X48&lt;Input!$F$88,IF($X48&lt;Input!$E$88,IF($X48&lt;Input!$D$88,Input!$C$94,Input!$D$94),Input!$E$94),Input!$F$94),Input!$G$94),Input!$H$94)</f>
        <v>0</v>
      </c>
      <c r="AX48" s="190">
        <f>IF($A48&lt;Input!$H$95,IF($A48&lt;Input!$G$95,IF($A48&lt;Input!$F$95,IF($A48&lt;Input!$E$95,IF($A48&lt;Input!$D$95,Input!$C$96,Input!$D$96),Input!$E$96),Input!$F$96),Input!$G$96),Input!$H$96)</f>
        <v>0.9</v>
      </c>
      <c r="AY48" s="60">
        <f t="shared" si="15"/>
        <v>0</v>
      </c>
      <c r="AZ48" s="60">
        <f t="shared" si="33"/>
        <v>31</v>
      </c>
      <c r="BA48" s="60">
        <f t="shared" si="16"/>
        <v>0</v>
      </c>
      <c r="BB48" s="60">
        <f>ROUND(BA48*AZ48*Input!$C$3/365,0)</f>
        <v>0</v>
      </c>
      <c r="BC48" s="61">
        <f>IF($A48&lt;=Input!$C$6,0,IF('144M'!AY48&lt;'144M'!BA48,'144M'!AY48-BB48,'144M'!BA48))</f>
        <v>0</v>
      </c>
      <c r="BD48" s="61">
        <f t="shared" si="17"/>
        <v>0</v>
      </c>
      <c r="BE48" s="60">
        <f t="shared" si="18"/>
        <v>0</v>
      </c>
      <c r="BF48" s="193"/>
      <c r="BG48" s="169">
        <v>44</v>
      </c>
      <c r="BH48" s="1">
        <f t="shared" si="34"/>
        <v>46858</v>
      </c>
      <c r="BI48" s="60">
        <f>IF($X48&lt;Input!$H$103,IF($X48&lt;Input!$G$103,IF($X48&lt;Input!$F$103,IF($X48&lt;Input!$E$103,IF($X48&lt;Input!$D$103,Input!$C$109,Input!$D$109),Input!$E$109),Input!$F$109),Input!$G$109),Input!$H$109)</f>
        <v>0</v>
      </c>
      <c r="BJ48" s="190">
        <f>IF($A48&lt;Input!$H$110,IF($A48&lt;Input!$G$110,IF($A48&lt;Input!$F$110,IF($A48&lt;Input!$E$110,IF($A48&lt;Input!$D$110,Input!$C$111,Input!$D$111),Input!$E$111),Input!$F$111),Input!$G$111),Input!$H$111)</f>
        <v>0.9</v>
      </c>
      <c r="BK48" s="60">
        <f t="shared" si="19"/>
        <v>0</v>
      </c>
      <c r="BL48" s="60">
        <f t="shared" si="35"/>
        <v>31</v>
      </c>
      <c r="BM48" s="60">
        <f t="shared" si="20"/>
        <v>0</v>
      </c>
      <c r="BN48" s="60">
        <f>ROUND(BM48*BL48*Input!$C$3/365,0)</f>
        <v>0</v>
      </c>
      <c r="BO48" s="61">
        <f>IF($A48&lt;=Input!$C$6,0,IF('144M'!BK48&lt;'144M'!BM48,'144M'!BK48-BN48,'144M'!BM48))</f>
        <v>0</v>
      </c>
      <c r="BP48" s="61">
        <f t="shared" si="21"/>
        <v>0</v>
      </c>
      <c r="BQ48" s="60">
        <f t="shared" si="22"/>
        <v>0</v>
      </c>
      <c r="BR48" s="198"/>
    </row>
    <row r="49" spans="1:70" x14ac:dyDescent="0.25">
      <c r="A49" s="169">
        <v>45</v>
      </c>
      <c r="B49" s="1">
        <f t="shared" si="23"/>
        <v>46888</v>
      </c>
      <c r="C49" s="60">
        <f t="shared" si="1"/>
        <v>18940500</v>
      </c>
      <c r="D49" s="60">
        <f t="shared" si="2"/>
        <v>17046450</v>
      </c>
      <c r="E49" s="60">
        <f t="shared" si="24"/>
        <v>30</v>
      </c>
      <c r="F49" s="60">
        <f t="shared" si="25"/>
        <v>846546997</v>
      </c>
      <c r="G49" s="60">
        <f>ROUND(F49*E49*Input!$C$3/365,0)</f>
        <v>10436881</v>
      </c>
      <c r="H49" s="60">
        <f>IF($A49&lt;=Input!$C$6,0,IF('144M'!D49&lt;'144M'!F49,'144M'!D49-G49,'144M'!F49))</f>
        <v>6609569</v>
      </c>
      <c r="I49" s="60">
        <f t="shared" si="26"/>
        <v>17046450</v>
      </c>
      <c r="J49" s="60">
        <f t="shared" si="27"/>
        <v>839937428</v>
      </c>
      <c r="K49" s="202">
        <f>J49/Input!$K$5</f>
        <v>2.7997914266666668</v>
      </c>
      <c r="L49" s="232"/>
      <c r="M49" s="60">
        <f>IF($B49&lt;Input!$H$43,IF($B49&lt;Input!$G$43,IF($B49&lt;Input!$F$43,IF($B49&lt;Input!$E$43,IF($B49&lt;Input!$D$43,Input!$C$49,Input!$D$49),Input!$E$49),Input!$F$49),Input!$G$49),Input!$H$49)</f>
        <v>18940500</v>
      </c>
      <c r="N49" s="190">
        <f>IF($A49&lt;Input!$H$50,IF($A49&lt;Input!$G$50,IF($A49&lt;Input!$F$50,IF($A49&lt;Input!$E$50,IF($A49&lt;Input!$D$50,Input!$C$51,Input!$D$51),Input!$E$51),Input!$F$51),Input!$G$51),Input!$H$51)</f>
        <v>0.9</v>
      </c>
      <c r="O49" s="60">
        <f t="shared" si="36"/>
        <v>17046450</v>
      </c>
      <c r="P49" s="60">
        <f t="shared" si="37"/>
        <v>30</v>
      </c>
      <c r="Q49" s="60">
        <f t="shared" si="4"/>
        <v>846546997</v>
      </c>
      <c r="R49" s="60">
        <f>ROUND(Q49*$P49*Input!$C$3/365,0)</f>
        <v>10436881</v>
      </c>
      <c r="S49" s="60">
        <f>IF(A49&lt;=Input!$C$6,0,IF('144M'!O49&lt;'144M'!Q49,'144M'!O49-R49,'144M'!Q49))</f>
        <v>6609569</v>
      </c>
      <c r="T49" s="60">
        <f t="shared" si="5"/>
        <v>17046450</v>
      </c>
      <c r="U49" s="60">
        <f t="shared" si="6"/>
        <v>839937428</v>
      </c>
      <c r="V49" s="193"/>
      <c r="W49" s="169">
        <v>45</v>
      </c>
      <c r="X49" s="1">
        <f t="shared" si="28"/>
        <v>46888</v>
      </c>
      <c r="Y49" s="60">
        <f>IF($X49&lt;Input!$H$58,IF($X49&lt;Input!$G$58,IF($X49&lt;Input!$F$58,IF($X49&lt;Input!$E$58,IF($X49&lt;Input!$D$58,Input!$C$64,Input!$D$64),Input!$E$64),Input!$F$64),Input!$G$64),Input!$H$64)</f>
        <v>0</v>
      </c>
      <c r="Z49" s="190">
        <f>IF($A49&lt;Input!$H$65,IF($A49&lt;Input!$G$65,IF($A49&lt;Input!$F$65,IF($A49&lt;Input!$E$65,IF($A49&lt;Input!$D$65,Input!$C$66,Input!$D$66),Input!$E$66),Input!$F$66),Input!$G$66),Input!$H$66)</f>
        <v>0.9</v>
      </c>
      <c r="AA49" s="60">
        <f t="shared" si="7"/>
        <v>0</v>
      </c>
      <c r="AB49" s="60">
        <f t="shared" si="29"/>
        <v>30</v>
      </c>
      <c r="AC49" s="60">
        <f t="shared" si="8"/>
        <v>0</v>
      </c>
      <c r="AD49" s="60">
        <f>ROUND(AC49*AB49*Input!$C$3/365,0)</f>
        <v>0</v>
      </c>
      <c r="AE49" s="61">
        <f>IF($A49&lt;=Input!$C$6,0,IF('144M'!AA49&lt;'144M'!AC49,'144M'!AA49-AD49,'144M'!AC49))</f>
        <v>0</v>
      </c>
      <c r="AF49" s="61">
        <f t="shared" si="9"/>
        <v>0</v>
      </c>
      <c r="AG49" s="60">
        <f t="shared" si="10"/>
        <v>0</v>
      </c>
      <c r="AH49" s="193"/>
      <c r="AI49" s="169">
        <v>45</v>
      </c>
      <c r="AJ49" s="1">
        <f t="shared" si="30"/>
        <v>46888</v>
      </c>
      <c r="AK49" s="60">
        <f>IF($X49&lt;Input!$H$73,IF($X49&lt;Input!$G$73,IF($X49&lt;Input!$F$73,IF($X49&lt;Input!$E$73,IF($X49&lt;Input!$D$73,Input!$C$79,Input!$D$79),Input!$E$79),Input!$F$79),Input!$G$79),Input!$H$79)</f>
        <v>0</v>
      </c>
      <c r="AL49" s="190">
        <f>IF($A49&lt;Input!$H$80,IF($A49&lt;Input!$G$80,IF($A49&lt;Input!$F$80,IF($A49&lt;Input!$E$80,IF($A49&lt;Input!$D$80,Input!$C$81,Input!$D$81),Input!$E$81),Input!$F$81),Input!$G$81),Input!$H$81)</f>
        <v>0.9</v>
      </c>
      <c r="AM49" s="60">
        <f t="shared" si="11"/>
        <v>0</v>
      </c>
      <c r="AN49" s="60">
        <f t="shared" si="31"/>
        <v>30</v>
      </c>
      <c r="AO49" s="60">
        <f t="shared" si="12"/>
        <v>0</v>
      </c>
      <c r="AP49" s="60">
        <f>ROUND(AO49*AN49*Input!$C$3/365,0)</f>
        <v>0</v>
      </c>
      <c r="AQ49" s="61">
        <f>IF($A49&lt;=Input!$C$6,0,IF('144M'!AM49&lt;'144M'!AO49,'144M'!AM49-AP49,'144M'!AO49))</f>
        <v>0</v>
      </c>
      <c r="AR49" s="61">
        <f t="shared" si="13"/>
        <v>0</v>
      </c>
      <c r="AS49" s="60">
        <f t="shared" si="14"/>
        <v>0</v>
      </c>
      <c r="AT49" s="193"/>
      <c r="AU49" s="169">
        <v>45</v>
      </c>
      <c r="AV49" s="1">
        <f t="shared" si="32"/>
        <v>46888</v>
      </c>
      <c r="AW49" s="60">
        <f>IF($X49&lt;Input!$H$88,IF($X49&lt;Input!$G$88,IF($X49&lt;Input!$F$88,IF($X49&lt;Input!$E$88,IF($X49&lt;Input!$D$88,Input!$C$94,Input!$D$94),Input!$E$94),Input!$F$94),Input!$G$94),Input!$H$94)</f>
        <v>0</v>
      </c>
      <c r="AX49" s="190">
        <f>IF($A49&lt;Input!$H$95,IF($A49&lt;Input!$G$95,IF($A49&lt;Input!$F$95,IF($A49&lt;Input!$E$95,IF($A49&lt;Input!$D$95,Input!$C$96,Input!$D$96),Input!$E$96),Input!$F$96),Input!$G$96),Input!$H$96)</f>
        <v>0.9</v>
      </c>
      <c r="AY49" s="60">
        <f t="shared" si="15"/>
        <v>0</v>
      </c>
      <c r="AZ49" s="60">
        <f t="shared" si="33"/>
        <v>30</v>
      </c>
      <c r="BA49" s="60">
        <f t="shared" si="16"/>
        <v>0</v>
      </c>
      <c r="BB49" s="60">
        <f>ROUND(BA49*AZ49*Input!$C$3/365,0)</f>
        <v>0</v>
      </c>
      <c r="BC49" s="61">
        <f>IF($A49&lt;=Input!$C$6,0,IF('144M'!AY49&lt;'144M'!BA49,'144M'!AY49-BB49,'144M'!BA49))</f>
        <v>0</v>
      </c>
      <c r="BD49" s="61">
        <f t="shared" si="17"/>
        <v>0</v>
      </c>
      <c r="BE49" s="60">
        <f t="shared" si="18"/>
        <v>0</v>
      </c>
      <c r="BF49" s="193"/>
      <c r="BG49" s="169">
        <v>45</v>
      </c>
      <c r="BH49" s="1">
        <f t="shared" si="34"/>
        <v>46888</v>
      </c>
      <c r="BI49" s="60">
        <f>IF($X49&lt;Input!$H$103,IF($X49&lt;Input!$G$103,IF($X49&lt;Input!$F$103,IF($X49&lt;Input!$E$103,IF($X49&lt;Input!$D$103,Input!$C$109,Input!$D$109),Input!$E$109),Input!$F$109),Input!$G$109),Input!$H$109)</f>
        <v>0</v>
      </c>
      <c r="BJ49" s="190">
        <f>IF($A49&lt;Input!$H$110,IF($A49&lt;Input!$G$110,IF($A49&lt;Input!$F$110,IF($A49&lt;Input!$E$110,IF($A49&lt;Input!$D$110,Input!$C$111,Input!$D$111),Input!$E$111),Input!$F$111),Input!$G$111),Input!$H$111)</f>
        <v>0.9</v>
      </c>
      <c r="BK49" s="60">
        <f t="shared" si="19"/>
        <v>0</v>
      </c>
      <c r="BL49" s="60">
        <f t="shared" si="35"/>
        <v>30</v>
      </c>
      <c r="BM49" s="60">
        <f t="shared" si="20"/>
        <v>0</v>
      </c>
      <c r="BN49" s="60">
        <f>ROUND(BM49*BL49*Input!$C$3/365,0)</f>
        <v>0</v>
      </c>
      <c r="BO49" s="61">
        <f>IF($A49&lt;=Input!$C$6,0,IF('144M'!BK49&lt;'144M'!BM49,'144M'!BK49-BN49,'144M'!BM49))</f>
        <v>0</v>
      </c>
      <c r="BP49" s="61">
        <f t="shared" si="21"/>
        <v>0</v>
      </c>
      <c r="BQ49" s="60">
        <f t="shared" si="22"/>
        <v>0</v>
      </c>
      <c r="BR49" s="198"/>
    </row>
    <row r="50" spans="1:70" x14ac:dyDescent="0.25">
      <c r="A50" s="169">
        <v>46</v>
      </c>
      <c r="B50" s="1">
        <f t="shared" si="23"/>
        <v>46919</v>
      </c>
      <c r="C50" s="60">
        <f t="shared" si="1"/>
        <v>18940500</v>
      </c>
      <c r="D50" s="60">
        <f t="shared" si="2"/>
        <v>17046450</v>
      </c>
      <c r="E50" s="60">
        <f t="shared" si="24"/>
        <v>31</v>
      </c>
      <c r="F50" s="60">
        <f t="shared" si="25"/>
        <v>839937428</v>
      </c>
      <c r="G50" s="60">
        <f>ROUND(F50*E50*Input!$C$3/365,0)</f>
        <v>10700573</v>
      </c>
      <c r="H50" s="60">
        <f>IF($A50&lt;=Input!$C$6,0,IF('144M'!D50&lt;'144M'!F50,'144M'!D50-G50,'144M'!F50))</f>
        <v>6345877</v>
      </c>
      <c r="I50" s="60">
        <f t="shared" si="26"/>
        <v>17046450</v>
      </c>
      <c r="J50" s="60">
        <f t="shared" si="27"/>
        <v>833591551</v>
      </c>
      <c r="K50" s="202">
        <f>J50/Input!$K$5</f>
        <v>2.7786385033333332</v>
      </c>
      <c r="L50" s="232"/>
      <c r="M50" s="60">
        <f>IF($B50&lt;Input!$H$43,IF($B50&lt;Input!$G$43,IF($B50&lt;Input!$F$43,IF($B50&lt;Input!$E$43,IF($B50&lt;Input!$D$43,Input!$C$49,Input!$D$49),Input!$E$49),Input!$F$49),Input!$G$49),Input!$H$49)</f>
        <v>18940500</v>
      </c>
      <c r="N50" s="190">
        <f>IF($A50&lt;Input!$H$50,IF($A50&lt;Input!$G$50,IF($A50&lt;Input!$F$50,IF($A50&lt;Input!$E$50,IF($A50&lt;Input!$D$50,Input!$C$51,Input!$D$51),Input!$E$51),Input!$F$51),Input!$G$51),Input!$H$51)</f>
        <v>0.9</v>
      </c>
      <c r="O50" s="60">
        <f t="shared" si="36"/>
        <v>17046450</v>
      </c>
      <c r="P50" s="60">
        <f t="shared" si="37"/>
        <v>31</v>
      </c>
      <c r="Q50" s="60">
        <f t="shared" si="4"/>
        <v>839937428</v>
      </c>
      <c r="R50" s="60">
        <f>ROUND(Q50*$P50*Input!$C$3/365,0)</f>
        <v>10700573</v>
      </c>
      <c r="S50" s="60">
        <f>IF(A50&lt;=Input!$C$6,0,IF('144M'!O50&lt;'144M'!Q50,'144M'!O50-R50,'144M'!Q50))</f>
        <v>6345877</v>
      </c>
      <c r="T50" s="60">
        <f t="shared" si="5"/>
        <v>17046450</v>
      </c>
      <c r="U50" s="60">
        <f t="shared" si="6"/>
        <v>833591551</v>
      </c>
      <c r="V50" s="193"/>
      <c r="W50" s="169">
        <v>46</v>
      </c>
      <c r="X50" s="1">
        <f t="shared" si="28"/>
        <v>46919</v>
      </c>
      <c r="Y50" s="60">
        <f>IF($X50&lt;Input!$H$58,IF($X50&lt;Input!$G$58,IF($X50&lt;Input!$F$58,IF($X50&lt;Input!$E$58,IF($X50&lt;Input!$D$58,Input!$C$64,Input!$D$64),Input!$E$64),Input!$F$64),Input!$G$64),Input!$H$64)</f>
        <v>0</v>
      </c>
      <c r="Z50" s="190">
        <f>IF($A50&lt;Input!$H$65,IF($A50&lt;Input!$G$65,IF($A50&lt;Input!$F$65,IF($A50&lt;Input!$E$65,IF($A50&lt;Input!$D$65,Input!$C$66,Input!$D$66),Input!$E$66),Input!$F$66),Input!$G$66),Input!$H$66)</f>
        <v>0.9</v>
      </c>
      <c r="AA50" s="60">
        <f t="shared" si="7"/>
        <v>0</v>
      </c>
      <c r="AB50" s="60">
        <f t="shared" si="29"/>
        <v>31</v>
      </c>
      <c r="AC50" s="60">
        <f t="shared" si="8"/>
        <v>0</v>
      </c>
      <c r="AD50" s="60">
        <f>ROUND(AC50*AB50*Input!$C$3/365,0)</f>
        <v>0</v>
      </c>
      <c r="AE50" s="61">
        <f>IF($A50&lt;=Input!$C$6,0,IF('144M'!AA50&lt;'144M'!AC50,'144M'!AA50-AD50,'144M'!AC50))</f>
        <v>0</v>
      </c>
      <c r="AF50" s="61">
        <f t="shared" si="9"/>
        <v>0</v>
      </c>
      <c r="AG50" s="60">
        <f t="shared" si="10"/>
        <v>0</v>
      </c>
      <c r="AH50" s="193"/>
      <c r="AI50" s="169">
        <v>46</v>
      </c>
      <c r="AJ50" s="1">
        <f t="shared" si="30"/>
        <v>46919</v>
      </c>
      <c r="AK50" s="60">
        <f>IF($X50&lt;Input!$H$73,IF($X50&lt;Input!$G$73,IF($X50&lt;Input!$F$73,IF($X50&lt;Input!$E$73,IF($X50&lt;Input!$D$73,Input!$C$79,Input!$D$79),Input!$E$79),Input!$F$79),Input!$G$79),Input!$H$79)</f>
        <v>0</v>
      </c>
      <c r="AL50" s="190">
        <f>IF($A50&lt;Input!$H$80,IF($A50&lt;Input!$G$80,IF($A50&lt;Input!$F$80,IF($A50&lt;Input!$E$80,IF($A50&lt;Input!$D$80,Input!$C$81,Input!$D$81),Input!$E$81),Input!$F$81),Input!$G$81),Input!$H$81)</f>
        <v>0.9</v>
      </c>
      <c r="AM50" s="60">
        <f t="shared" si="11"/>
        <v>0</v>
      </c>
      <c r="AN50" s="60">
        <f t="shared" si="31"/>
        <v>31</v>
      </c>
      <c r="AO50" s="60">
        <f t="shared" si="12"/>
        <v>0</v>
      </c>
      <c r="AP50" s="60">
        <f>ROUND(AO50*AN50*Input!$C$3/365,0)</f>
        <v>0</v>
      </c>
      <c r="AQ50" s="61">
        <f>IF($A50&lt;=Input!$C$6,0,IF('144M'!AM50&lt;'144M'!AO50,'144M'!AM50-AP50,'144M'!AO50))</f>
        <v>0</v>
      </c>
      <c r="AR50" s="61">
        <f t="shared" si="13"/>
        <v>0</v>
      </c>
      <c r="AS50" s="60">
        <f t="shared" si="14"/>
        <v>0</v>
      </c>
      <c r="AT50" s="193"/>
      <c r="AU50" s="169">
        <v>46</v>
      </c>
      <c r="AV50" s="1">
        <f t="shared" si="32"/>
        <v>46919</v>
      </c>
      <c r="AW50" s="60">
        <f>IF($X50&lt;Input!$H$88,IF($X50&lt;Input!$G$88,IF($X50&lt;Input!$F$88,IF($X50&lt;Input!$E$88,IF($X50&lt;Input!$D$88,Input!$C$94,Input!$D$94),Input!$E$94),Input!$F$94),Input!$G$94),Input!$H$94)</f>
        <v>0</v>
      </c>
      <c r="AX50" s="190">
        <f>IF($A50&lt;Input!$H$95,IF($A50&lt;Input!$G$95,IF($A50&lt;Input!$F$95,IF($A50&lt;Input!$E$95,IF($A50&lt;Input!$D$95,Input!$C$96,Input!$D$96),Input!$E$96),Input!$F$96),Input!$G$96),Input!$H$96)</f>
        <v>0.9</v>
      </c>
      <c r="AY50" s="60">
        <f t="shared" si="15"/>
        <v>0</v>
      </c>
      <c r="AZ50" s="60">
        <f t="shared" si="33"/>
        <v>31</v>
      </c>
      <c r="BA50" s="60">
        <f t="shared" si="16"/>
        <v>0</v>
      </c>
      <c r="BB50" s="60">
        <f>ROUND(BA50*AZ50*Input!$C$3/365,0)</f>
        <v>0</v>
      </c>
      <c r="BC50" s="61">
        <f>IF($A50&lt;=Input!$C$6,0,IF('144M'!AY50&lt;'144M'!BA50,'144M'!AY50-BB50,'144M'!BA50))</f>
        <v>0</v>
      </c>
      <c r="BD50" s="61">
        <f t="shared" si="17"/>
        <v>0</v>
      </c>
      <c r="BE50" s="60">
        <f t="shared" si="18"/>
        <v>0</v>
      </c>
      <c r="BF50" s="193"/>
      <c r="BG50" s="169">
        <v>46</v>
      </c>
      <c r="BH50" s="1">
        <f t="shared" si="34"/>
        <v>46919</v>
      </c>
      <c r="BI50" s="60">
        <f>IF($X50&lt;Input!$H$103,IF($X50&lt;Input!$G$103,IF($X50&lt;Input!$F$103,IF($X50&lt;Input!$E$103,IF($X50&lt;Input!$D$103,Input!$C$109,Input!$D$109),Input!$E$109),Input!$F$109),Input!$G$109),Input!$H$109)</f>
        <v>0</v>
      </c>
      <c r="BJ50" s="190">
        <f>IF($A50&lt;Input!$H$110,IF($A50&lt;Input!$G$110,IF($A50&lt;Input!$F$110,IF($A50&lt;Input!$E$110,IF($A50&lt;Input!$D$110,Input!$C$111,Input!$D$111),Input!$E$111),Input!$F$111),Input!$G$111),Input!$H$111)</f>
        <v>0.9</v>
      </c>
      <c r="BK50" s="60">
        <f t="shared" si="19"/>
        <v>0</v>
      </c>
      <c r="BL50" s="60">
        <f t="shared" si="35"/>
        <v>31</v>
      </c>
      <c r="BM50" s="60">
        <f t="shared" si="20"/>
        <v>0</v>
      </c>
      <c r="BN50" s="60">
        <f>ROUND(BM50*BL50*Input!$C$3/365,0)</f>
        <v>0</v>
      </c>
      <c r="BO50" s="61">
        <f>IF($A50&lt;=Input!$C$6,0,IF('144M'!BK50&lt;'144M'!BM50,'144M'!BK50-BN50,'144M'!BM50))</f>
        <v>0</v>
      </c>
      <c r="BP50" s="61">
        <f t="shared" si="21"/>
        <v>0</v>
      </c>
      <c r="BQ50" s="60">
        <f t="shared" si="22"/>
        <v>0</v>
      </c>
      <c r="BR50" s="198"/>
    </row>
    <row r="51" spans="1:70" x14ac:dyDescent="0.25">
      <c r="A51" s="169">
        <v>47</v>
      </c>
      <c r="B51" s="1">
        <f t="shared" si="23"/>
        <v>46949</v>
      </c>
      <c r="C51" s="60">
        <f t="shared" si="1"/>
        <v>18940500</v>
      </c>
      <c r="D51" s="60">
        <f t="shared" si="2"/>
        <v>17046450</v>
      </c>
      <c r="E51" s="60">
        <f t="shared" si="24"/>
        <v>30</v>
      </c>
      <c r="F51" s="60">
        <f t="shared" si="25"/>
        <v>833591551</v>
      </c>
      <c r="G51" s="60">
        <f>ROUND(F51*E51*Input!$C$3/365,0)</f>
        <v>10277156</v>
      </c>
      <c r="H51" s="60">
        <f>IF($A51&lt;=Input!$C$6,0,IF('144M'!D51&lt;'144M'!F51,'144M'!D51-G51,'144M'!F51))</f>
        <v>6769294</v>
      </c>
      <c r="I51" s="60">
        <f t="shared" si="26"/>
        <v>17046450</v>
      </c>
      <c r="J51" s="60">
        <f t="shared" si="27"/>
        <v>826822257</v>
      </c>
      <c r="K51" s="202">
        <f>J51/Input!$K$5</f>
        <v>2.7560741900000001</v>
      </c>
      <c r="L51" s="232"/>
      <c r="M51" s="60">
        <f>IF($B51&lt;Input!$H$43,IF($B51&lt;Input!$G$43,IF($B51&lt;Input!$F$43,IF($B51&lt;Input!$E$43,IF($B51&lt;Input!$D$43,Input!$C$49,Input!$D$49),Input!$E$49),Input!$F$49),Input!$G$49),Input!$H$49)</f>
        <v>18940500</v>
      </c>
      <c r="N51" s="190">
        <f>IF($A51&lt;Input!$H$50,IF($A51&lt;Input!$G$50,IF($A51&lt;Input!$F$50,IF($A51&lt;Input!$E$50,IF($A51&lt;Input!$D$50,Input!$C$51,Input!$D$51),Input!$E$51),Input!$F$51),Input!$G$51),Input!$H$51)</f>
        <v>0.9</v>
      </c>
      <c r="O51" s="60">
        <f t="shared" si="36"/>
        <v>17046450</v>
      </c>
      <c r="P51" s="60">
        <f t="shared" si="37"/>
        <v>30</v>
      </c>
      <c r="Q51" s="60">
        <f t="shared" si="4"/>
        <v>833591551</v>
      </c>
      <c r="R51" s="60">
        <f>ROUND(Q51*$P51*Input!$C$3/365,0)</f>
        <v>10277156</v>
      </c>
      <c r="S51" s="60">
        <f>IF(A51&lt;=Input!$C$6,0,IF('144M'!O51&lt;'144M'!Q51,'144M'!O51-R51,'144M'!Q51))</f>
        <v>6769294</v>
      </c>
      <c r="T51" s="60">
        <f t="shared" si="5"/>
        <v>17046450</v>
      </c>
      <c r="U51" s="60">
        <f t="shared" si="6"/>
        <v>826822257</v>
      </c>
      <c r="V51" s="193"/>
      <c r="W51" s="169">
        <v>47</v>
      </c>
      <c r="X51" s="1">
        <f t="shared" si="28"/>
        <v>46949</v>
      </c>
      <c r="Y51" s="60">
        <f>IF($X51&lt;Input!$H$58,IF($X51&lt;Input!$G$58,IF($X51&lt;Input!$F$58,IF($X51&lt;Input!$E$58,IF($X51&lt;Input!$D$58,Input!$C$64,Input!$D$64),Input!$E$64),Input!$F$64),Input!$G$64),Input!$H$64)</f>
        <v>0</v>
      </c>
      <c r="Z51" s="190">
        <f>IF($A51&lt;Input!$H$65,IF($A51&lt;Input!$G$65,IF($A51&lt;Input!$F$65,IF($A51&lt;Input!$E$65,IF($A51&lt;Input!$D$65,Input!$C$66,Input!$D$66),Input!$E$66),Input!$F$66),Input!$G$66),Input!$H$66)</f>
        <v>0.9</v>
      </c>
      <c r="AA51" s="60">
        <f t="shared" si="7"/>
        <v>0</v>
      </c>
      <c r="AB51" s="60">
        <f t="shared" si="29"/>
        <v>30</v>
      </c>
      <c r="AC51" s="60">
        <f t="shared" si="8"/>
        <v>0</v>
      </c>
      <c r="AD51" s="60">
        <f>ROUND(AC51*AB51*Input!$C$3/365,0)</f>
        <v>0</v>
      </c>
      <c r="AE51" s="61">
        <f>IF($A51&lt;=Input!$C$6,0,IF('144M'!AA51&lt;'144M'!AC51,'144M'!AA51-AD51,'144M'!AC51))</f>
        <v>0</v>
      </c>
      <c r="AF51" s="61">
        <f t="shared" si="9"/>
        <v>0</v>
      </c>
      <c r="AG51" s="60">
        <f t="shared" si="10"/>
        <v>0</v>
      </c>
      <c r="AH51" s="193"/>
      <c r="AI51" s="169">
        <v>47</v>
      </c>
      <c r="AJ51" s="1">
        <f t="shared" si="30"/>
        <v>46949</v>
      </c>
      <c r="AK51" s="60">
        <f>IF($X51&lt;Input!$H$73,IF($X51&lt;Input!$G$73,IF($X51&lt;Input!$F$73,IF($X51&lt;Input!$E$73,IF($X51&lt;Input!$D$73,Input!$C$79,Input!$D$79),Input!$E$79),Input!$F$79),Input!$G$79),Input!$H$79)</f>
        <v>0</v>
      </c>
      <c r="AL51" s="190">
        <f>IF($A51&lt;Input!$H$80,IF($A51&lt;Input!$G$80,IF($A51&lt;Input!$F$80,IF($A51&lt;Input!$E$80,IF($A51&lt;Input!$D$80,Input!$C$81,Input!$D$81),Input!$E$81),Input!$F$81),Input!$G$81),Input!$H$81)</f>
        <v>0.9</v>
      </c>
      <c r="AM51" s="60">
        <f t="shared" si="11"/>
        <v>0</v>
      </c>
      <c r="AN51" s="60">
        <f t="shared" si="31"/>
        <v>30</v>
      </c>
      <c r="AO51" s="60">
        <f t="shared" si="12"/>
        <v>0</v>
      </c>
      <c r="AP51" s="60">
        <f>ROUND(AO51*AN51*Input!$C$3/365,0)</f>
        <v>0</v>
      </c>
      <c r="AQ51" s="61">
        <f>IF($A51&lt;=Input!$C$6,0,IF('144M'!AM51&lt;'144M'!AO51,'144M'!AM51-AP51,'144M'!AO51))</f>
        <v>0</v>
      </c>
      <c r="AR51" s="61">
        <f t="shared" si="13"/>
        <v>0</v>
      </c>
      <c r="AS51" s="60">
        <f t="shared" si="14"/>
        <v>0</v>
      </c>
      <c r="AT51" s="193"/>
      <c r="AU51" s="169">
        <v>47</v>
      </c>
      <c r="AV51" s="1">
        <f t="shared" si="32"/>
        <v>46949</v>
      </c>
      <c r="AW51" s="60">
        <f>IF($X51&lt;Input!$H$88,IF($X51&lt;Input!$G$88,IF($X51&lt;Input!$F$88,IF($X51&lt;Input!$E$88,IF($X51&lt;Input!$D$88,Input!$C$94,Input!$D$94),Input!$E$94),Input!$F$94),Input!$G$94),Input!$H$94)</f>
        <v>0</v>
      </c>
      <c r="AX51" s="190">
        <f>IF($A51&lt;Input!$H$95,IF($A51&lt;Input!$G$95,IF($A51&lt;Input!$F$95,IF($A51&lt;Input!$E$95,IF($A51&lt;Input!$D$95,Input!$C$96,Input!$D$96),Input!$E$96),Input!$F$96),Input!$G$96),Input!$H$96)</f>
        <v>0.9</v>
      </c>
      <c r="AY51" s="60">
        <f t="shared" si="15"/>
        <v>0</v>
      </c>
      <c r="AZ51" s="60">
        <f t="shared" si="33"/>
        <v>30</v>
      </c>
      <c r="BA51" s="60">
        <f t="shared" si="16"/>
        <v>0</v>
      </c>
      <c r="BB51" s="60">
        <f>ROUND(BA51*AZ51*Input!$C$3/365,0)</f>
        <v>0</v>
      </c>
      <c r="BC51" s="61">
        <f>IF($A51&lt;=Input!$C$6,0,IF('144M'!AY51&lt;'144M'!BA51,'144M'!AY51-BB51,'144M'!BA51))</f>
        <v>0</v>
      </c>
      <c r="BD51" s="61">
        <f t="shared" si="17"/>
        <v>0</v>
      </c>
      <c r="BE51" s="60">
        <f t="shared" si="18"/>
        <v>0</v>
      </c>
      <c r="BF51" s="193"/>
      <c r="BG51" s="169">
        <v>47</v>
      </c>
      <c r="BH51" s="1">
        <f t="shared" si="34"/>
        <v>46949</v>
      </c>
      <c r="BI51" s="60">
        <f>IF($X51&lt;Input!$H$103,IF($X51&lt;Input!$G$103,IF($X51&lt;Input!$F$103,IF($X51&lt;Input!$E$103,IF($X51&lt;Input!$D$103,Input!$C$109,Input!$D$109),Input!$E$109),Input!$F$109),Input!$G$109),Input!$H$109)</f>
        <v>0</v>
      </c>
      <c r="BJ51" s="190">
        <f>IF($A51&lt;Input!$H$110,IF($A51&lt;Input!$G$110,IF($A51&lt;Input!$F$110,IF($A51&lt;Input!$E$110,IF($A51&lt;Input!$D$110,Input!$C$111,Input!$D$111),Input!$E$111),Input!$F$111),Input!$G$111),Input!$H$111)</f>
        <v>0.9</v>
      </c>
      <c r="BK51" s="60">
        <f t="shared" si="19"/>
        <v>0</v>
      </c>
      <c r="BL51" s="60">
        <f t="shared" si="35"/>
        <v>30</v>
      </c>
      <c r="BM51" s="60">
        <f t="shared" si="20"/>
        <v>0</v>
      </c>
      <c r="BN51" s="60">
        <f>ROUND(BM51*BL51*Input!$C$3/365,0)</f>
        <v>0</v>
      </c>
      <c r="BO51" s="61">
        <f>IF($A51&lt;=Input!$C$6,0,IF('144M'!BK51&lt;'144M'!BM51,'144M'!BK51-BN51,'144M'!BM51))</f>
        <v>0</v>
      </c>
      <c r="BP51" s="61">
        <f t="shared" si="21"/>
        <v>0</v>
      </c>
      <c r="BQ51" s="60">
        <f t="shared" si="22"/>
        <v>0</v>
      </c>
      <c r="BR51" s="198"/>
    </row>
    <row r="52" spans="1:70" x14ac:dyDescent="0.25">
      <c r="A52" s="169">
        <v>48</v>
      </c>
      <c r="B52" s="1">
        <f t="shared" si="23"/>
        <v>46980</v>
      </c>
      <c r="C52" s="60">
        <f t="shared" si="1"/>
        <v>18940500</v>
      </c>
      <c r="D52" s="60">
        <f t="shared" si="2"/>
        <v>17046450</v>
      </c>
      <c r="E52" s="60">
        <f t="shared" si="24"/>
        <v>31</v>
      </c>
      <c r="F52" s="60">
        <f t="shared" si="25"/>
        <v>826822257</v>
      </c>
      <c r="G52" s="60">
        <f>ROUND(F52*E52*Input!$C$3/365,0)</f>
        <v>10533489</v>
      </c>
      <c r="H52" s="60">
        <f>IF($A52&lt;=Input!$C$6,0,IF('144M'!D52&lt;'144M'!F52,'144M'!D52-G52,'144M'!F52))</f>
        <v>6512961</v>
      </c>
      <c r="I52" s="60">
        <f t="shared" si="26"/>
        <v>17046450</v>
      </c>
      <c r="J52" s="60">
        <f t="shared" si="27"/>
        <v>820309296</v>
      </c>
      <c r="K52" s="202">
        <f>J52/Input!$K$5</f>
        <v>2.7343643200000001</v>
      </c>
      <c r="L52" s="232"/>
      <c r="M52" s="60">
        <f>IF($B52&lt;Input!$H$43,IF($B52&lt;Input!$G$43,IF($B52&lt;Input!$F$43,IF($B52&lt;Input!$E$43,IF($B52&lt;Input!$D$43,Input!$C$49,Input!$D$49),Input!$E$49),Input!$F$49),Input!$G$49),Input!$H$49)</f>
        <v>18940500</v>
      </c>
      <c r="N52" s="190">
        <f>IF($A52&lt;Input!$H$50,IF($A52&lt;Input!$G$50,IF($A52&lt;Input!$F$50,IF($A52&lt;Input!$E$50,IF($A52&lt;Input!$D$50,Input!$C$51,Input!$D$51),Input!$E$51),Input!$F$51),Input!$G$51),Input!$H$51)</f>
        <v>0.9</v>
      </c>
      <c r="O52" s="60">
        <f t="shared" si="36"/>
        <v>17046450</v>
      </c>
      <c r="P52" s="60">
        <f t="shared" si="37"/>
        <v>31</v>
      </c>
      <c r="Q52" s="60">
        <f t="shared" si="4"/>
        <v>826822257</v>
      </c>
      <c r="R52" s="60">
        <f>ROUND(Q52*$P52*Input!$C$3/365,0)</f>
        <v>10533489</v>
      </c>
      <c r="S52" s="60">
        <f>IF(A52&lt;=Input!$C$6,0,IF('144M'!O52&lt;'144M'!Q52,'144M'!O52-R52,'144M'!Q52))</f>
        <v>6512961</v>
      </c>
      <c r="T52" s="60">
        <f t="shared" si="5"/>
        <v>17046450</v>
      </c>
      <c r="U52" s="60">
        <f t="shared" si="6"/>
        <v>820309296</v>
      </c>
      <c r="V52" s="193"/>
      <c r="W52" s="169">
        <v>48</v>
      </c>
      <c r="X52" s="1">
        <f t="shared" si="28"/>
        <v>46980</v>
      </c>
      <c r="Y52" s="60">
        <f>IF($X52&lt;Input!$H$58,IF($X52&lt;Input!$G$58,IF($X52&lt;Input!$F$58,IF($X52&lt;Input!$E$58,IF($X52&lt;Input!$D$58,Input!$C$64,Input!$D$64),Input!$E$64),Input!$F$64),Input!$G$64),Input!$H$64)</f>
        <v>0</v>
      </c>
      <c r="Z52" s="190">
        <f>IF($A52&lt;Input!$H$65,IF($A52&lt;Input!$G$65,IF($A52&lt;Input!$F$65,IF($A52&lt;Input!$E$65,IF($A52&lt;Input!$D$65,Input!$C$66,Input!$D$66),Input!$E$66),Input!$F$66),Input!$G$66),Input!$H$66)</f>
        <v>0.9</v>
      </c>
      <c r="AA52" s="60">
        <f t="shared" si="7"/>
        <v>0</v>
      </c>
      <c r="AB52" s="60">
        <f t="shared" si="29"/>
        <v>31</v>
      </c>
      <c r="AC52" s="60">
        <f t="shared" si="8"/>
        <v>0</v>
      </c>
      <c r="AD52" s="60">
        <f>ROUND(AC52*AB52*Input!$C$3/365,0)</f>
        <v>0</v>
      </c>
      <c r="AE52" s="61">
        <f>IF($A52&lt;=Input!$C$6,0,IF('144M'!AA52&lt;'144M'!AC52,'144M'!AA52-AD52,'144M'!AC52))</f>
        <v>0</v>
      </c>
      <c r="AF52" s="61">
        <f t="shared" si="9"/>
        <v>0</v>
      </c>
      <c r="AG52" s="60">
        <f t="shared" si="10"/>
        <v>0</v>
      </c>
      <c r="AH52" s="193"/>
      <c r="AI52" s="169">
        <v>48</v>
      </c>
      <c r="AJ52" s="1">
        <f t="shared" si="30"/>
        <v>46980</v>
      </c>
      <c r="AK52" s="60">
        <f>IF($X52&lt;Input!$H$73,IF($X52&lt;Input!$G$73,IF($X52&lt;Input!$F$73,IF($X52&lt;Input!$E$73,IF($X52&lt;Input!$D$73,Input!$C$79,Input!$D$79),Input!$E$79),Input!$F$79),Input!$G$79),Input!$H$79)</f>
        <v>0</v>
      </c>
      <c r="AL52" s="190">
        <f>IF($A52&lt;Input!$H$80,IF($A52&lt;Input!$G$80,IF($A52&lt;Input!$F$80,IF($A52&lt;Input!$E$80,IF($A52&lt;Input!$D$80,Input!$C$81,Input!$D$81),Input!$E$81),Input!$F$81),Input!$G$81),Input!$H$81)</f>
        <v>0.9</v>
      </c>
      <c r="AM52" s="60">
        <f t="shared" si="11"/>
        <v>0</v>
      </c>
      <c r="AN52" s="60">
        <f t="shared" si="31"/>
        <v>31</v>
      </c>
      <c r="AO52" s="60">
        <f t="shared" si="12"/>
        <v>0</v>
      </c>
      <c r="AP52" s="60">
        <f>ROUND(AO52*AN52*Input!$C$3/365,0)</f>
        <v>0</v>
      </c>
      <c r="AQ52" s="61">
        <f>IF($A52&lt;=Input!$C$6,0,IF('144M'!AM52&lt;'144M'!AO52,'144M'!AM52-AP52,'144M'!AO52))</f>
        <v>0</v>
      </c>
      <c r="AR52" s="61">
        <f t="shared" si="13"/>
        <v>0</v>
      </c>
      <c r="AS52" s="60">
        <f t="shared" si="14"/>
        <v>0</v>
      </c>
      <c r="AT52" s="193"/>
      <c r="AU52" s="169">
        <v>48</v>
      </c>
      <c r="AV52" s="1">
        <f t="shared" si="32"/>
        <v>46980</v>
      </c>
      <c r="AW52" s="60">
        <f>IF($X52&lt;Input!$H$88,IF($X52&lt;Input!$G$88,IF($X52&lt;Input!$F$88,IF($X52&lt;Input!$E$88,IF($X52&lt;Input!$D$88,Input!$C$94,Input!$D$94),Input!$E$94),Input!$F$94),Input!$G$94),Input!$H$94)</f>
        <v>0</v>
      </c>
      <c r="AX52" s="190">
        <f>IF($A52&lt;Input!$H$95,IF($A52&lt;Input!$G$95,IF($A52&lt;Input!$F$95,IF($A52&lt;Input!$E$95,IF($A52&lt;Input!$D$95,Input!$C$96,Input!$D$96),Input!$E$96),Input!$F$96),Input!$G$96),Input!$H$96)</f>
        <v>0.9</v>
      </c>
      <c r="AY52" s="60">
        <f t="shared" si="15"/>
        <v>0</v>
      </c>
      <c r="AZ52" s="60">
        <f t="shared" si="33"/>
        <v>31</v>
      </c>
      <c r="BA52" s="60">
        <f t="shared" si="16"/>
        <v>0</v>
      </c>
      <c r="BB52" s="60">
        <f>ROUND(BA52*AZ52*Input!$C$3/365,0)</f>
        <v>0</v>
      </c>
      <c r="BC52" s="61">
        <f>IF($A52&lt;=Input!$C$6,0,IF('144M'!AY52&lt;'144M'!BA52,'144M'!AY52-BB52,'144M'!BA52))</f>
        <v>0</v>
      </c>
      <c r="BD52" s="61">
        <f t="shared" si="17"/>
        <v>0</v>
      </c>
      <c r="BE52" s="60">
        <f t="shared" si="18"/>
        <v>0</v>
      </c>
      <c r="BF52" s="193"/>
      <c r="BG52" s="169">
        <v>48</v>
      </c>
      <c r="BH52" s="1">
        <f t="shared" si="34"/>
        <v>46980</v>
      </c>
      <c r="BI52" s="60">
        <f>IF($X52&lt;Input!$H$103,IF($X52&lt;Input!$G$103,IF($X52&lt;Input!$F$103,IF($X52&lt;Input!$E$103,IF($X52&lt;Input!$D$103,Input!$C$109,Input!$D$109),Input!$E$109),Input!$F$109),Input!$G$109),Input!$H$109)</f>
        <v>0</v>
      </c>
      <c r="BJ52" s="190">
        <f>IF($A52&lt;Input!$H$110,IF($A52&lt;Input!$G$110,IF($A52&lt;Input!$F$110,IF($A52&lt;Input!$E$110,IF($A52&lt;Input!$D$110,Input!$C$111,Input!$D$111),Input!$E$111),Input!$F$111),Input!$G$111),Input!$H$111)</f>
        <v>0.9</v>
      </c>
      <c r="BK52" s="60">
        <f t="shared" si="19"/>
        <v>0</v>
      </c>
      <c r="BL52" s="60">
        <f t="shared" si="35"/>
        <v>31</v>
      </c>
      <c r="BM52" s="60">
        <f t="shared" si="20"/>
        <v>0</v>
      </c>
      <c r="BN52" s="60">
        <f>ROUND(BM52*BL52*Input!$C$3/365,0)</f>
        <v>0</v>
      </c>
      <c r="BO52" s="61">
        <f>IF($A52&lt;=Input!$C$6,0,IF('144M'!BK52&lt;'144M'!BM52,'144M'!BK52-BN52,'144M'!BM52))</f>
        <v>0</v>
      </c>
      <c r="BP52" s="61">
        <f t="shared" si="21"/>
        <v>0</v>
      </c>
      <c r="BQ52" s="60">
        <f t="shared" si="22"/>
        <v>0</v>
      </c>
      <c r="BR52" s="198"/>
    </row>
    <row r="53" spans="1:70" x14ac:dyDescent="0.25">
      <c r="A53" s="169">
        <v>49</v>
      </c>
      <c r="B53" s="1">
        <f t="shared" si="23"/>
        <v>47011</v>
      </c>
      <c r="C53" s="60">
        <f t="shared" si="1"/>
        <v>18940500</v>
      </c>
      <c r="D53" s="60">
        <f t="shared" si="2"/>
        <v>17046450</v>
      </c>
      <c r="E53" s="60">
        <f t="shared" si="24"/>
        <v>31</v>
      </c>
      <c r="F53" s="60">
        <f t="shared" si="25"/>
        <v>820309296</v>
      </c>
      <c r="G53" s="60">
        <f>ROUND(F53*E53*Input!$C$3/365,0)</f>
        <v>10450516</v>
      </c>
      <c r="H53" s="60">
        <f>IF($A53&lt;=Input!$C$6,0,IF('144M'!D53&lt;'144M'!F53,'144M'!D53-G53,'144M'!F53))</f>
        <v>6595934</v>
      </c>
      <c r="I53" s="60">
        <f t="shared" si="26"/>
        <v>17046450</v>
      </c>
      <c r="J53" s="60">
        <f t="shared" si="27"/>
        <v>813713362</v>
      </c>
      <c r="K53" s="202">
        <f>J53/Input!$K$5</f>
        <v>2.7123778733333332</v>
      </c>
      <c r="L53" s="232"/>
      <c r="M53" s="60">
        <f>IF($B53&lt;Input!$H$43,IF($B53&lt;Input!$G$43,IF($B53&lt;Input!$F$43,IF($B53&lt;Input!$E$43,IF($B53&lt;Input!$D$43,Input!$C$49,Input!$D$49),Input!$E$49),Input!$F$49),Input!$G$49),Input!$H$49)</f>
        <v>18940500</v>
      </c>
      <c r="N53" s="190">
        <f>IF($A53&lt;Input!$H$50,IF($A53&lt;Input!$G$50,IF($A53&lt;Input!$F$50,IF($A53&lt;Input!$E$50,IF($A53&lt;Input!$D$50,Input!$C$51,Input!$D$51),Input!$E$51),Input!$F$51),Input!$G$51),Input!$H$51)</f>
        <v>0.9</v>
      </c>
      <c r="O53" s="60">
        <f t="shared" si="36"/>
        <v>17046450</v>
      </c>
      <c r="P53" s="60">
        <f t="shared" si="37"/>
        <v>31</v>
      </c>
      <c r="Q53" s="60">
        <f t="shared" si="4"/>
        <v>820309296</v>
      </c>
      <c r="R53" s="60">
        <f>ROUND(Q53*$P53*Input!$C$3/365,0)</f>
        <v>10450516</v>
      </c>
      <c r="S53" s="60">
        <f>IF(A53&lt;=Input!$C$6,0,IF('144M'!O53&lt;'144M'!Q53,'144M'!O53-R53,'144M'!Q53))</f>
        <v>6595934</v>
      </c>
      <c r="T53" s="60">
        <f t="shared" si="5"/>
        <v>17046450</v>
      </c>
      <c r="U53" s="60">
        <f t="shared" si="6"/>
        <v>813713362</v>
      </c>
      <c r="V53" s="193"/>
      <c r="W53" s="169">
        <v>49</v>
      </c>
      <c r="X53" s="1">
        <f t="shared" si="28"/>
        <v>47011</v>
      </c>
      <c r="Y53" s="60">
        <f>IF($X53&lt;Input!$H$58,IF($X53&lt;Input!$G$58,IF($X53&lt;Input!$F$58,IF($X53&lt;Input!$E$58,IF($X53&lt;Input!$D$58,Input!$C$64,Input!$D$64),Input!$E$64),Input!$F$64),Input!$G$64),Input!$H$64)</f>
        <v>0</v>
      </c>
      <c r="Z53" s="190">
        <f>IF($A53&lt;Input!$H$65,IF($A53&lt;Input!$G$65,IF($A53&lt;Input!$F$65,IF($A53&lt;Input!$E$65,IF($A53&lt;Input!$D$65,Input!$C$66,Input!$D$66),Input!$E$66),Input!$F$66),Input!$G$66),Input!$H$66)</f>
        <v>0.9</v>
      </c>
      <c r="AA53" s="60">
        <f t="shared" si="7"/>
        <v>0</v>
      </c>
      <c r="AB53" s="60">
        <f t="shared" si="29"/>
        <v>31</v>
      </c>
      <c r="AC53" s="60">
        <f t="shared" si="8"/>
        <v>0</v>
      </c>
      <c r="AD53" s="60">
        <f>ROUND(AC53*AB53*Input!$C$3/365,0)</f>
        <v>0</v>
      </c>
      <c r="AE53" s="61">
        <f>IF($A53&lt;=Input!$C$6,0,IF('144M'!AA53&lt;'144M'!AC53,'144M'!AA53-AD53,'144M'!AC53))</f>
        <v>0</v>
      </c>
      <c r="AF53" s="61">
        <f t="shared" si="9"/>
        <v>0</v>
      </c>
      <c r="AG53" s="60">
        <f t="shared" si="10"/>
        <v>0</v>
      </c>
      <c r="AH53" s="193"/>
      <c r="AI53" s="169">
        <v>49</v>
      </c>
      <c r="AJ53" s="1">
        <f t="shared" si="30"/>
        <v>47011</v>
      </c>
      <c r="AK53" s="60">
        <f>IF($X53&lt;Input!$H$73,IF($X53&lt;Input!$G$73,IF($X53&lt;Input!$F$73,IF($X53&lt;Input!$E$73,IF($X53&lt;Input!$D$73,Input!$C$79,Input!$D$79),Input!$E$79),Input!$F$79),Input!$G$79),Input!$H$79)</f>
        <v>0</v>
      </c>
      <c r="AL53" s="190">
        <f>IF($A53&lt;Input!$H$80,IF($A53&lt;Input!$G$80,IF($A53&lt;Input!$F$80,IF($A53&lt;Input!$E$80,IF($A53&lt;Input!$D$80,Input!$C$81,Input!$D$81),Input!$E$81),Input!$F$81),Input!$G$81),Input!$H$81)</f>
        <v>0.9</v>
      </c>
      <c r="AM53" s="60">
        <f t="shared" si="11"/>
        <v>0</v>
      </c>
      <c r="AN53" s="60">
        <f t="shared" si="31"/>
        <v>31</v>
      </c>
      <c r="AO53" s="60">
        <f t="shared" si="12"/>
        <v>0</v>
      </c>
      <c r="AP53" s="60">
        <f>ROUND(AO53*AN53*Input!$C$3/365,0)</f>
        <v>0</v>
      </c>
      <c r="AQ53" s="61">
        <f>IF($A53&lt;=Input!$C$6,0,IF('144M'!AM53&lt;'144M'!AO53,'144M'!AM53-AP53,'144M'!AO53))</f>
        <v>0</v>
      </c>
      <c r="AR53" s="61">
        <f t="shared" si="13"/>
        <v>0</v>
      </c>
      <c r="AS53" s="60">
        <f t="shared" si="14"/>
        <v>0</v>
      </c>
      <c r="AT53" s="193"/>
      <c r="AU53" s="169">
        <v>49</v>
      </c>
      <c r="AV53" s="1">
        <f t="shared" si="32"/>
        <v>47011</v>
      </c>
      <c r="AW53" s="60">
        <f>IF($X53&lt;Input!$H$88,IF($X53&lt;Input!$G$88,IF($X53&lt;Input!$F$88,IF($X53&lt;Input!$E$88,IF($X53&lt;Input!$D$88,Input!$C$94,Input!$D$94),Input!$E$94),Input!$F$94),Input!$G$94),Input!$H$94)</f>
        <v>0</v>
      </c>
      <c r="AX53" s="190">
        <f>IF($A53&lt;Input!$H$95,IF($A53&lt;Input!$G$95,IF($A53&lt;Input!$F$95,IF($A53&lt;Input!$E$95,IF($A53&lt;Input!$D$95,Input!$C$96,Input!$D$96),Input!$E$96),Input!$F$96),Input!$G$96),Input!$H$96)</f>
        <v>0.9</v>
      </c>
      <c r="AY53" s="60">
        <f t="shared" si="15"/>
        <v>0</v>
      </c>
      <c r="AZ53" s="60">
        <f t="shared" si="33"/>
        <v>31</v>
      </c>
      <c r="BA53" s="60">
        <f t="shared" si="16"/>
        <v>0</v>
      </c>
      <c r="BB53" s="60">
        <f>ROUND(BA53*AZ53*Input!$C$3/365,0)</f>
        <v>0</v>
      </c>
      <c r="BC53" s="61">
        <f>IF($A53&lt;=Input!$C$6,0,IF('144M'!AY53&lt;'144M'!BA53,'144M'!AY53-BB53,'144M'!BA53))</f>
        <v>0</v>
      </c>
      <c r="BD53" s="61">
        <f t="shared" si="17"/>
        <v>0</v>
      </c>
      <c r="BE53" s="60">
        <f t="shared" si="18"/>
        <v>0</v>
      </c>
      <c r="BF53" s="193"/>
      <c r="BG53" s="169">
        <v>49</v>
      </c>
      <c r="BH53" s="1">
        <f t="shared" si="34"/>
        <v>47011</v>
      </c>
      <c r="BI53" s="60">
        <f>IF($X53&lt;Input!$H$103,IF($X53&lt;Input!$G$103,IF($X53&lt;Input!$F$103,IF($X53&lt;Input!$E$103,IF($X53&lt;Input!$D$103,Input!$C$109,Input!$D$109),Input!$E$109),Input!$F$109),Input!$G$109),Input!$H$109)</f>
        <v>0</v>
      </c>
      <c r="BJ53" s="190">
        <f>IF($A53&lt;Input!$H$110,IF($A53&lt;Input!$G$110,IF($A53&lt;Input!$F$110,IF($A53&lt;Input!$E$110,IF($A53&lt;Input!$D$110,Input!$C$111,Input!$D$111),Input!$E$111),Input!$F$111),Input!$G$111),Input!$H$111)</f>
        <v>0.9</v>
      </c>
      <c r="BK53" s="60">
        <f t="shared" si="19"/>
        <v>0</v>
      </c>
      <c r="BL53" s="60">
        <f t="shared" si="35"/>
        <v>31</v>
      </c>
      <c r="BM53" s="60">
        <f t="shared" si="20"/>
        <v>0</v>
      </c>
      <c r="BN53" s="60">
        <f>ROUND(BM53*BL53*Input!$C$3/365,0)</f>
        <v>0</v>
      </c>
      <c r="BO53" s="61">
        <f>IF($A53&lt;=Input!$C$6,0,IF('144M'!BK53&lt;'144M'!BM53,'144M'!BK53-BN53,'144M'!BM53))</f>
        <v>0</v>
      </c>
      <c r="BP53" s="61">
        <f t="shared" si="21"/>
        <v>0</v>
      </c>
      <c r="BQ53" s="60">
        <f t="shared" si="22"/>
        <v>0</v>
      </c>
      <c r="BR53" s="198"/>
    </row>
    <row r="54" spans="1:70" x14ac:dyDescent="0.25">
      <c r="A54" s="169">
        <v>50</v>
      </c>
      <c r="B54" s="1">
        <f t="shared" si="23"/>
        <v>47041</v>
      </c>
      <c r="C54" s="60">
        <f t="shared" si="1"/>
        <v>18940500</v>
      </c>
      <c r="D54" s="60">
        <f t="shared" si="2"/>
        <v>17046450</v>
      </c>
      <c r="E54" s="60">
        <f t="shared" si="24"/>
        <v>30</v>
      </c>
      <c r="F54" s="60">
        <f t="shared" si="25"/>
        <v>813713362</v>
      </c>
      <c r="G54" s="60">
        <f>ROUND(F54*E54*Input!$C$3/365,0)</f>
        <v>10032083</v>
      </c>
      <c r="H54" s="60">
        <f>IF($A54&lt;=Input!$C$6,0,IF('144M'!D54&lt;'144M'!F54,'144M'!D54-G54,'144M'!F54))</f>
        <v>7014367</v>
      </c>
      <c r="I54" s="60">
        <f t="shared" si="26"/>
        <v>17046450</v>
      </c>
      <c r="J54" s="60">
        <f t="shared" si="27"/>
        <v>806698995</v>
      </c>
      <c r="K54" s="202">
        <f>J54/Input!$K$5</f>
        <v>2.68899665</v>
      </c>
      <c r="L54" s="232"/>
      <c r="M54" s="60">
        <f>IF($B54&lt;Input!$H$43,IF($B54&lt;Input!$G$43,IF($B54&lt;Input!$F$43,IF($B54&lt;Input!$E$43,IF($B54&lt;Input!$D$43,Input!$C$49,Input!$D$49),Input!$E$49),Input!$F$49),Input!$G$49),Input!$H$49)</f>
        <v>18940500</v>
      </c>
      <c r="N54" s="190">
        <f>IF($A54&lt;Input!$H$50,IF($A54&lt;Input!$G$50,IF($A54&lt;Input!$F$50,IF($A54&lt;Input!$E$50,IF($A54&lt;Input!$D$50,Input!$C$51,Input!$D$51),Input!$E$51),Input!$F$51),Input!$G$51),Input!$H$51)</f>
        <v>0.9</v>
      </c>
      <c r="O54" s="60">
        <f t="shared" si="36"/>
        <v>17046450</v>
      </c>
      <c r="P54" s="60">
        <f t="shared" si="37"/>
        <v>30</v>
      </c>
      <c r="Q54" s="60">
        <f t="shared" si="4"/>
        <v>813713362</v>
      </c>
      <c r="R54" s="60">
        <f>ROUND(Q54*$P54*Input!$C$3/365,0)</f>
        <v>10032083</v>
      </c>
      <c r="S54" s="60">
        <f>IF(A54&lt;=Input!$C$6,0,IF('144M'!O54&lt;'144M'!Q54,'144M'!O54-R54,'144M'!Q54))</f>
        <v>7014367</v>
      </c>
      <c r="T54" s="60">
        <f t="shared" si="5"/>
        <v>17046450</v>
      </c>
      <c r="U54" s="60">
        <f t="shared" si="6"/>
        <v>806698995</v>
      </c>
      <c r="V54" s="193"/>
      <c r="W54" s="169">
        <v>50</v>
      </c>
      <c r="X54" s="1">
        <f t="shared" si="28"/>
        <v>47041</v>
      </c>
      <c r="Y54" s="60">
        <f>IF($X54&lt;Input!$H$58,IF($X54&lt;Input!$G$58,IF($X54&lt;Input!$F$58,IF($X54&lt;Input!$E$58,IF($X54&lt;Input!$D$58,Input!$C$64,Input!$D$64),Input!$E$64),Input!$F$64),Input!$G$64),Input!$H$64)</f>
        <v>0</v>
      </c>
      <c r="Z54" s="190">
        <f>IF($A54&lt;Input!$H$65,IF($A54&lt;Input!$G$65,IF($A54&lt;Input!$F$65,IF($A54&lt;Input!$E$65,IF($A54&lt;Input!$D$65,Input!$C$66,Input!$D$66),Input!$E$66),Input!$F$66),Input!$G$66),Input!$H$66)</f>
        <v>0.9</v>
      </c>
      <c r="AA54" s="60">
        <f t="shared" si="7"/>
        <v>0</v>
      </c>
      <c r="AB54" s="60">
        <f t="shared" si="29"/>
        <v>30</v>
      </c>
      <c r="AC54" s="60">
        <f t="shared" si="8"/>
        <v>0</v>
      </c>
      <c r="AD54" s="60">
        <f>ROUND(AC54*AB54*Input!$C$3/365,0)</f>
        <v>0</v>
      </c>
      <c r="AE54" s="61">
        <f>IF($A54&lt;=Input!$C$6,0,IF('144M'!AA54&lt;'144M'!AC54,'144M'!AA54-AD54,'144M'!AC54))</f>
        <v>0</v>
      </c>
      <c r="AF54" s="61">
        <f t="shared" si="9"/>
        <v>0</v>
      </c>
      <c r="AG54" s="60">
        <f t="shared" si="10"/>
        <v>0</v>
      </c>
      <c r="AH54" s="193"/>
      <c r="AI54" s="169">
        <v>50</v>
      </c>
      <c r="AJ54" s="1">
        <f t="shared" si="30"/>
        <v>47041</v>
      </c>
      <c r="AK54" s="60">
        <f>IF($X54&lt;Input!$H$73,IF($X54&lt;Input!$G$73,IF($X54&lt;Input!$F$73,IF($X54&lt;Input!$E$73,IF($X54&lt;Input!$D$73,Input!$C$79,Input!$D$79),Input!$E$79),Input!$F$79),Input!$G$79),Input!$H$79)</f>
        <v>0</v>
      </c>
      <c r="AL54" s="190">
        <f>IF($A54&lt;Input!$H$80,IF($A54&lt;Input!$G$80,IF($A54&lt;Input!$F$80,IF($A54&lt;Input!$E$80,IF($A54&lt;Input!$D$80,Input!$C$81,Input!$D$81),Input!$E$81),Input!$F$81),Input!$G$81),Input!$H$81)</f>
        <v>0.9</v>
      </c>
      <c r="AM54" s="60">
        <f t="shared" si="11"/>
        <v>0</v>
      </c>
      <c r="AN54" s="60">
        <f t="shared" si="31"/>
        <v>30</v>
      </c>
      <c r="AO54" s="60">
        <f t="shared" si="12"/>
        <v>0</v>
      </c>
      <c r="AP54" s="60">
        <f>ROUND(AO54*AN54*Input!$C$3/365,0)</f>
        <v>0</v>
      </c>
      <c r="AQ54" s="61">
        <f>IF($A54&lt;=Input!$C$6,0,IF('144M'!AM54&lt;'144M'!AO54,'144M'!AM54-AP54,'144M'!AO54))</f>
        <v>0</v>
      </c>
      <c r="AR54" s="61">
        <f t="shared" si="13"/>
        <v>0</v>
      </c>
      <c r="AS54" s="60">
        <f t="shared" si="14"/>
        <v>0</v>
      </c>
      <c r="AT54" s="193"/>
      <c r="AU54" s="169">
        <v>50</v>
      </c>
      <c r="AV54" s="1">
        <f t="shared" si="32"/>
        <v>47041</v>
      </c>
      <c r="AW54" s="60">
        <f>IF($X54&lt;Input!$H$88,IF($X54&lt;Input!$G$88,IF($X54&lt;Input!$F$88,IF($X54&lt;Input!$E$88,IF($X54&lt;Input!$D$88,Input!$C$94,Input!$D$94),Input!$E$94),Input!$F$94),Input!$G$94),Input!$H$94)</f>
        <v>0</v>
      </c>
      <c r="AX54" s="190">
        <f>IF($A54&lt;Input!$H$95,IF($A54&lt;Input!$G$95,IF($A54&lt;Input!$F$95,IF($A54&lt;Input!$E$95,IF($A54&lt;Input!$D$95,Input!$C$96,Input!$D$96),Input!$E$96),Input!$F$96),Input!$G$96),Input!$H$96)</f>
        <v>0.9</v>
      </c>
      <c r="AY54" s="60">
        <f t="shared" si="15"/>
        <v>0</v>
      </c>
      <c r="AZ54" s="60">
        <f t="shared" si="33"/>
        <v>30</v>
      </c>
      <c r="BA54" s="60">
        <f t="shared" si="16"/>
        <v>0</v>
      </c>
      <c r="BB54" s="60">
        <f>ROUND(BA54*AZ54*Input!$C$3/365,0)</f>
        <v>0</v>
      </c>
      <c r="BC54" s="61">
        <f>IF($A54&lt;=Input!$C$6,0,IF('144M'!AY54&lt;'144M'!BA54,'144M'!AY54-BB54,'144M'!BA54))</f>
        <v>0</v>
      </c>
      <c r="BD54" s="61">
        <f t="shared" si="17"/>
        <v>0</v>
      </c>
      <c r="BE54" s="60">
        <f t="shared" si="18"/>
        <v>0</v>
      </c>
      <c r="BF54" s="193"/>
      <c r="BG54" s="169">
        <v>50</v>
      </c>
      <c r="BH54" s="1">
        <f t="shared" si="34"/>
        <v>47041</v>
      </c>
      <c r="BI54" s="60">
        <f>IF($X54&lt;Input!$H$103,IF($X54&lt;Input!$G$103,IF($X54&lt;Input!$F$103,IF($X54&lt;Input!$E$103,IF($X54&lt;Input!$D$103,Input!$C$109,Input!$D$109),Input!$E$109),Input!$F$109),Input!$G$109),Input!$H$109)</f>
        <v>0</v>
      </c>
      <c r="BJ54" s="190">
        <f>IF($A54&lt;Input!$H$110,IF($A54&lt;Input!$G$110,IF($A54&lt;Input!$F$110,IF($A54&lt;Input!$E$110,IF($A54&lt;Input!$D$110,Input!$C$111,Input!$D$111),Input!$E$111),Input!$F$111),Input!$G$111),Input!$H$111)</f>
        <v>0.9</v>
      </c>
      <c r="BK54" s="60">
        <f t="shared" si="19"/>
        <v>0</v>
      </c>
      <c r="BL54" s="60">
        <f t="shared" si="35"/>
        <v>30</v>
      </c>
      <c r="BM54" s="60">
        <f t="shared" si="20"/>
        <v>0</v>
      </c>
      <c r="BN54" s="60">
        <f>ROUND(BM54*BL54*Input!$C$3/365,0)</f>
        <v>0</v>
      </c>
      <c r="BO54" s="61">
        <f>IF($A54&lt;=Input!$C$6,0,IF('144M'!BK54&lt;'144M'!BM54,'144M'!BK54-BN54,'144M'!BM54))</f>
        <v>0</v>
      </c>
      <c r="BP54" s="61">
        <f t="shared" si="21"/>
        <v>0</v>
      </c>
      <c r="BQ54" s="60">
        <f t="shared" si="22"/>
        <v>0</v>
      </c>
      <c r="BR54" s="198"/>
    </row>
    <row r="55" spans="1:70" x14ac:dyDescent="0.25">
      <c r="A55" s="169">
        <v>51</v>
      </c>
      <c r="B55" s="1">
        <f t="shared" si="23"/>
        <v>47072</v>
      </c>
      <c r="C55" s="60">
        <f t="shared" si="1"/>
        <v>18940500</v>
      </c>
      <c r="D55" s="60">
        <f t="shared" si="2"/>
        <v>17046450</v>
      </c>
      <c r="E55" s="60">
        <f t="shared" si="24"/>
        <v>31</v>
      </c>
      <c r="F55" s="60">
        <f t="shared" si="25"/>
        <v>806698995</v>
      </c>
      <c r="G55" s="60">
        <f>ROUND(F55*E55*Input!$C$3/365,0)</f>
        <v>10277124</v>
      </c>
      <c r="H55" s="60">
        <f>IF($A55&lt;=Input!$C$6,0,IF('144M'!D55&lt;'144M'!F55,'144M'!D55-G55,'144M'!F55))</f>
        <v>6769326</v>
      </c>
      <c r="I55" s="60">
        <f t="shared" si="26"/>
        <v>17046450</v>
      </c>
      <c r="J55" s="60">
        <f t="shared" si="27"/>
        <v>799929669</v>
      </c>
      <c r="K55" s="202">
        <f>J55/Input!$K$5</f>
        <v>2.6664322299999998</v>
      </c>
      <c r="L55" s="232"/>
      <c r="M55" s="60">
        <f>IF($B55&lt;Input!$H$43,IF($B55&lt;Input!$G$43,IF($B55&lt;Input!$F$43,IF($B55&lt;Input!$E$43,IF($B55&lt;Input!$D$43,Input!$C$49,Input!$D$49),Input!$E$49),Input!$F$49),Input!$G$49),Input!$H$49)</f>
        <v>18940500</v>
      </c>
      <c r="N55" s="190">
        <f>IF($A55&lt;Input!$H$50,IF($A55&lt;Input!$G$50,IF($A55&lt;Input!$F$50,IF($A55&lt;Input!$E$50,IF($A55&lt;Input!$D$50,Input!$C$51,Input!$D$51),Input!$E$51),Input!$F$51),Input!$G$51),Input!$H$51)</f>
        <v>0.9</v>
      </c>
      <c r="O55" s="60">
        <f t="shared" si="36"/>
        <v>17046450</v>
      </c>
      <c r="P55" s="60">
        <f t="shared" si="37"/>
        <v>31</v>
      </c>
      <c r="Q55" s="60">
        <f t="shared" si="4"/>
        <v>806698995</v>
      </c>
      <c r="R55" s="60">
        <f>ROUND(Q55*$P55*Input!$C$3/365,0)</f>
        <v>10277124</v>
      </c>
      <c r="S55" s="60">
        <f>IF(A55&lt;=Input!$C$6,0,IF('144M'!O55&lt;'144M'!Q55,'144M'!O55-R55,'144M'!Q55))</f>
        <v>6769326</v>
      </c>
      <c r="T55" s="60">
        <f t="shared" si="5"/>
        <v>17046450</v>
      </c>
      <c r="U55" s="60">
        <f t="shared" si="6"/>
        <v>799929669</v>
      </c>
      <c r="V55" s="193"/>
      <c r="W55" s="169">
        <v>51</v>
      </c>
      <c r="X55" s="1">
        <f t="shared" si="28"/>
        <v>47072</v>
      </c>
      <c r="Y55" s="60">
        <f>IF($X55&lt;Input!$H$58,IF($X55&lt;Input!$G$58,IF($X55&lt;Input!$F$58,IF($X55&lt;Input!$E$58,IF($X55&lt;Input!$D$58,Input!$C$64,Input!$D$64),Input!$E$64),Input!$F$64),Input!$G$64),Input!$H$64)</f>
        <v>0</v>
      </c>
      <c r="Z55" s="190">
        <f>IF($A55&lt;Input!$H$65,IF($A55&lt;Input!$G$65,IF($A55&lt;Input!$F$65,IF($A55&lt;Input!$E$65,IF($A55&lt;Input!$D$65,Input!$C$66,Input!$D$66),Input!$E$66),Input!$F$66),Input!$G$66),Input!$H$66)</f>
        <v>0.9</v>
      </c>
      <c r="AA55" s="60">
        <f t="shared" si="7"/>
        <v>0</v>
      </c>
      <c r="AB55" s="60">
        <f t="shared" si="29"/>
        <v>31</v>
      </c>
      <c r="AC55" s="60">
        <f t="shared" si="8"/>
        <v>0</v>
      </c>
      <c r="AD55" s="60">
        <f>ROUND(AC55*AB55*Input!$C$3/365,0)</f>
        <v>0</v>
      </c>
      <c r="AE55" s="61">
        <f>IF($A55&lt;=Input!$C$6,0,IF('144M'!AA55&lt;'144M'!AC55,'144M'!AA55-AD55,'144M'!AC55))</f>
        <v>0</v>
      </c>
      <c r="AF55" s="61">
        <f t="shared" si="9"/>
        <v>0</v>
      </c>
      <c r="AG55" s="60">
        <f t="shared" si="10"/>
        <v>0</v>
      </c>
      <c r="AH55" s="193"/>
      <c r="AI55" s="169">
        <v>51</v>
      </c>
      <c r="AJ55" s="1">
        <f t="shared" si="30"/>
        <v>47072</v>
      </c>
      <c r="AK55" s="60">
        <f>IF($X55&lt;Input!$H$73,IF($X55&lt;Input!$G$73,IF($X55&lt;Input!$F$73,IF($X55&lt;Input!$E$73,IF($X55&lt;Input!$D$73,Input!$C$79,Input!$D$79),Input!$E$79),Input!$F$79),Input!$G$79),Input!$H$79)</f>
        <v>0</v>
      </c>
      <c r="AL55" s="190">
        <f>IF($A55&lt;Input!$H$80,IF($A55&lt;Input!$G$80,IF($A55&lt;Input!$F$80,IF($A55&lt;Input!$E$80,IF($A55&lt;Input!$D$80,Input!$C$81,Input!$D$81),Input!$E$81),Input!$F$81),Input!$G$81),Input!$H$81)</f>
        <v>0.9</v>
      </c>
      <c r="AM55" s="60">
        <f t="shared" si="11"/>
        <v>0</v>
      </c>
      <c r="AN55" s="60">
        <f t="shared" si="31"/>
        <v>31</v>
      </c>
      <c r="AO55" s="60">
        <f t="shared" si="12"/>
        <v>0</v>
      </c>
      <c r="AP55" s="60">
        <f>ROUND(AO55*AN55*Input!$C$3/365,0)</f>
        <v>0</v>
      </c>
      <c r="AQ55" s="61">
        <f>IF($A55&lt;=Input!$C$6,0,IF('144M'!AM55&lt;'144M'!AO55,'144M'!AM55-AP55,'144M'!AO55))</f>
        <v>0</v>
      </c>
      <c r="AR55" s="61">
        <f t="shared" si="13"/>
        <v>0</v>
      </c>
      <c r="AS55" s="60">
        <f t="shared" si="14"/>
        <v>0</v>
      </c>
      <c r="AT55" s="193"/>
      <c r="AU55" s="169">
        <v>51</v>
      </c>
      <c r="AV55" s="1">
        <f t="shared" si="32"/>
        <v>47072</v>
      </c>
      <c r="AW55" s="60">
        <f>IF($X55&lt;Input!$H$88,IF($X55&lt;Input!$G$88,IF($X55&lt;Input!$F$88,IF($X55&lt;Input!$E$88,IF($X55&lt;Input!$D$88,Input!$C$94,Input!$D$94),Input!$E$94),Input!$F$94),Input!$G$94),Input!$H$94)</f>
        <v>0</v>
      </c>
      <c r="AX55" s="190">
        <f>IF($A55&lt;Input!$H$95,IF($A55&lt;Input!$G$95,IF($A55&lt;Input!$F$95,IF($A55&lt;Input!$E$95,IF($A55&lt;Input!$D$95,Input!$C$96,Input!$D$96),Input!$E$96),Input!$F$96),Input!$G$96),Input!$H$96)</f>
        <v>0.9</v>
      </c>
      <c r="AY55" s="60">
        <f t="shared" si="15"/>
        <v>0</v>
      </c>
      <c r="AZ55" s="60">
        <f t="shared" si="33"/>
        <v>31</v>
      </c>
      <c r="BA55" s="60">
        <f t="shared" si="16"/>
        <v>0</v>
      </c>
      <c r="BB55" s="60">
        <f>ROUND(BA55*AZ55*Input!$C$3/365,0)</f>
        <v>0</v>
      </c>
      <c r="BC55" s="61">
        <f>IF($A55&lt;=Input!$C$6,0,IF('144M'!AY55&lt;'144M'!BA55,'144M'!AY55-BB55,'144M'!BA55))</f>
        <v>0</v>
      </c>
      <c r="BD55" s="61">
        <f t="shared" si="17"/>
        <v>0</v>
      </c>
      <c r="BE55" s="60">
        <f t="shared" si="18"/>
        <v>0</v>
      </c>
      <c r="BF55" s="193"/>
      <c r="BG55" s="169">
        <v>51</v>
      </c>
      <c r="BH55" s="1">
        <f t="shared" si="34"/>
        <v>47072</v>
      </c>
      <c r="BI55" s="60">
        <f>IF($X55&lt;Input!$H$103,IF($X55&lt;Input!$G$103,IF($X55&lt;Input!$F$103,IF($X55&lt;Input!$E$103,IF($X55&lt;Input!$D$103,Input!$C$109,Input!$D$109),Input!$E$109),Input!$F$109),Input!$G$109),Input!$H$109)</f>
        <v>0</v>
      </c>
      <c r="BJ55" s="190">
        <f>IF($A55&lt;Input!$H$110,IF($A55&lt;Input!$G$110,IF($A55&lt;Input!$F$110,IF($A55&lt;Input!$E$110,IF($A55&lt;Input!$D$110,Input!$C$111,Input!$D$111),Input!$E$111),Input!$F$111),Input!$G$111),Input!$H$111)</f>
        <v>0.9</v>
      </c>
      <c r="BK55" s="60">
        <f t="shared" si="19"/>
        <v>0</v>
      </c>
      <c r="BL55" s="60">
        <f t="shared" si="35"/>
        <v>31</v>
      </c>
      <c r="BM55" s="60">
        <f t="shared" si="20"/>
        <v>0</v>
      </c>
      <c r="BN55" s="60">
        <f>ROUND(BM55*BL55*Input!$C$3/365,0)</f>
        <v>0</v>
      </c>
      <c r="BO55" s="61">
        <f>IF($A55&lt;=Input!$C$6,0,IF('144M'!BK55&lt;'144M'!BM55,'144M'!BK55-BN55,'144M'!BM55))</f>
        <v>0</v>
      </c>
      <c r="BP55" s="61">
        <f t="shared" si="21"/>
        <v>0</v>
      </c>
      <c r="BQ55" s="60">
        <f t="shared" si="22"/>
        <v>0</v>
      </c>
      <c r="BR55" s="198"/>
    </row>
    <row r="56" spans="1:70" x14ac:dyDescent="0.25">
      <c r="A56" s="169">
        <v>52</v>
      </c>
      <c r="B56" s="1">
        <f t="shared" si="23"/>
        <v>47102</v>
      </c>
      <c r="C56" s="60">
        <f t="shared" si="1"/>
        <v>18940500</v>
      </c>
      <c r="D56" s="60">
        <f t="shared" si="2"/>
        <v>17046450</v>
      </c>
      <c r="E56" s="60">
        <f t="shared" si="24"/>
        <v>30</v>
      </c>
      <c r="F56" s="60">
        <f t="shared" si="25"/>
        <v>799929669</v>
      </c>
      <c r="G56" s="60">
        <f>ROUND(F56*E56*Input!$C$3/365,0)</f>
        <v>9862147</v>
      </c>
      <c r="H56" s="60">
        <f>IF($A56&lt;=Input!$C$6,0,IF('144M'!D56&lt;'144M'!F56,'144M'!D56-G56,'144M'!F56))</f>
        <v>7184303</v>
      </c>
      <c r="I56" s="60">
        <f t="shared" si="26"/>
        <v>17046450</v>
      </c>
      <c r="J56" s="60">
        <f t="shared" si="27"/>
        <v>792745366</v>
      </c>
      <c r="K56" s="202">
        <f>J56/Input!$K$5</f>
        <v>2.6424845533333334</v>
      </c>
      <c r="L56" s="232"/>
      <c r="M56" s="60">
        <f>IF($B56&lt;Input!$H$43,IF($B56&lt;Input!$G$43,IF($B56&lt;Input!$F$43,IF($B56&lt;Input!$E$43,IF($B56&lt;Input!$D$43,Input!$C$49,Input!$D$49),Input!$E$49),Input!$F$49),Input!$G$49),Input!$H$49)</f>
        <v>18940500</v>
      </c>
      <c r="N56" s="190">
        <f>IF($A56&lt;Input!$H$50,IF($A56&lt;Input!$G$50,IF($A56&lt;Input!$F$50,IF($A56&lt;Input!$E$50,IF($A56&lt;Input!$D$50,Input!$C$51,Input!$D$51),Input!$E$51),Input!$F$51),Input!$G$51),Input!$H$51)</f>
        <v>0.9</v>
      </c>
      <c r="O56" s="60">
        <f t="shared" si="36"/>
        <v>17046450</v>
      </c>
      <c r="P56" s="60">
        <f t="shared" si="37"/>
        <v>30</v>
      </c>
      <c r="Q56" s="60">
        <f t="shared" si="4"/>
        <v>799929669</v>
      </c>
      <c r="R56" s="60">
        <f>ROUND(Q56*$P56*Input!$C$3/365,0)</f>
        <v>9862147</v>
      </c>
      <c r="S56" s="60">
        <f>IF(A56&lt;=Input!$C$6,0,IF('144M'!O56&lt;'144M'!Q56,'144M'!O56-R56,'144M'!Q56))</f>
        <v>7184303</v>
      </c>
      <c r="T56" s="60">
        <f t="shared" si="5"/>
        <v>17046450</v>
      </c>
      <c r="U56" s="60">
        <f t="shared" si="6"/>
        <v>792745366</v>
      </c>
      <c r="V56" s="193"/>
      <c r="W56" s="169">
        <v>52</v>
      </c>
      <c r="X56" s="1">
        <f t="shared" si="28"/>
        <v>47102</v>
      </c>
      <c r="Y56" s="60">
        <f>IF($X56&lt;Input!$H$58,IF($X56&lt;Input!$G$58,IF($X56&lt;Input!$F$58,IF($X56&lt;Input!$E$58,IF($X56&lt;Input!$D$58,Input!$C$64,Input!$D$64),Input!$E$64),Input!$F$64),Input!$G$64),Input!$H$64)</f>
        <v>0</v>
      </c>
      <c r="Z56" s="190">
        <f>IF($A56&lt;Input!$H$65,IF($A56&lt;Input!$G$65,IF($A56&lt;Input!$F$65,IF($A56&lt;Input!$E$65,IF($A56&lt;Input!$D$65,Input!$C$66,Input!$D$66),Input!$E$66),Input!$F$66),Input!$G$66),Input!$H$66)</f>
        <v>0.9</v>
      </c>
      <c r="AA56" s="60">
        <f t="shared" si="7"/>
        <v>0</v>
      </c>
      <c r="AB56" s="60">
        <f t="shared" si="29"/>
        <v>30</v>
      </c>
      <c r="AC56" s="60">
        <f t="shared" si="8"/>
        <v>0</v>
      </c>
      <c r="AD56" s="60">
        <f>ROUND(AC56*AB56*Input!$C$3/365,0)</f>
        <v>0</v>
      </c>
      <c r="AE56" s="61">
        <f>IF($A56&lt;=Input!$C$6,0,IF('144M'!AA56&lt;'144M'!AC56,'144M'!AA56-AD56,'144M'!AC56))</f>
        <v>0</v>
      </c>
      <c r="AF56" s="61">
        <f t="shared" si="9"/>
        <v>0</v>
      </c>
      <c r="AG56" s="60">
        <f t="shared" si="10"/>
        <v>0</v>
      </c>
      <c r="AH56" s="193"/>
      <c r="AI56" s="169">
        <v>52</v>
      </c>
      <c r="AJ56" s="1">
        <f t="shared" si="30"/>
        <v>47102</v>
      </c>
      <c r="AK56" s="60">
        <f>IF($X56&lt;Input!$H$73,IF($X56&lt;Input!$G$73,IF($X56&lt;Input!$F$73,IF($X56&lt;Input!$E$73,IF($X56&lt;Input!$D$73,Input!$C$79,Input!$D$79),Input!$E$79),Input!$F$79),Input!$G$79),Input!$H$79)</f>
        <v>0</v>
      </c>
      <c r="AL56" s="190">
        <f>IF($A56&lt;Input!$H$80,IF($A56&lt;Input!$G$80,IF($A56&lt;Input!$F$80,IF($A56&lt;Input!$E$80,IF($A56&lt;Input!$D$80,Input!$C$81,Input!$D$81),Input!$E$81),Input!$F$81),Input!$G$81),Input!$H$81)</f>
        <v>0.9</v>
      </c>
      <c r="AM56" s="60">
        <f t="shared" si="11"/>
        <v>0</v>
      </c>
      <c r="AN56" s="60">
        <f t="shared" si="31"/>
        <v>30</v>
      </c>
      <c r="AO56" s="60">
        <f t="shared" si="12"/>
        <v>0</v>
      </c>
      <c r="AP56" s="60">
        <f>ROUND(AO56*AN56*Input!$C$3/365,0)</f>
        <v>0</v>
      </c>
      <c r="AQ56" s="61">
        <f>IF($A56&lt;=Input!$C$6,0,IF('144M'!AM56&lt;'144M'!AO56,'144M'!AM56-AP56,'144M'!AO56))</f>
        <v>0</v>
      </c>
      <c r="AR56" s="61">
        <f t="shared" si="13"/>
        <v>0</v>
      </c>
      <c r="AS56" s="60">
        <f t="shared" si="14"/>
        <v>0</v>
      </c>
      <c r="AT56" s="193"/>
      <c r="AU56" s="169">
        <v>52</v>
      </c>
      <c r="AV56" s="1">
        <f t="shared" si="32"/>
        <v>47102</v>
      </c>
      <c r="AW56" s="60">
        <f>IF($X56&lt;Input!$H$88,IF($X56&lt;Input!$G$88,IF($X56&lt;Input!$F$88,IF($X56&lt;Input!$E$88,IF($X56&lt;Input!$D$88,Input!$C$94,Input!$D$94),Input!$E$94),Input!$F$94),Input!$G$94),Input!$H$94)</f>
        <v>0</v>
      </c>
      <c r="AX56" s="190">
        <f>IF($A56&lt;Input!$H$95,IF($A56&lt;Input!$G$95,IF($A56&lt;Input!$F$95,IF($A56&lt;Input!$E$95,IF($A56&lt;Input!$D$95,Input!$C$96,Input!$D$96),Input!$E$96),Input!$F$96),Input!$G$96),Input!$H$96)</f>
        <v>0.9</v>
      </c>
      <c r="AY56" s="60">
        <f t="shared" si="15"/>
        <v>0</v>
      </c>
      <c r="AZ56" s="60">
        <f t="shared" si="33"/>
        <v>30</v>
      </c>
      <c r="BA56" s="60">
        <f t="shared" si="16"/>
        <v>0</v>
      </c>
      <c r="BB56" s="60">
        <f>ROUND(BA56*AZ56*Input!$C$3/365,0)</f>
        <v>0</v>
      </c>
      <c r="BC56" s="61">
        <f>IF($A56&lt;=Input!$C$6,0,IF('144M'!AY56&lt;'144M'!BA56,'144M'!AY56-BB56,'144M'!BA56))</f>
        <v>0</v>
      </c>
      <c r="BD56" s="61">
        <f t="shared" si="17"/>
        <v>0</v>
      </c>
      <c r="BE56" s="60">
        <f t="shared" si="18"/>
        <v>0</v>
      </c>
      <c r="BF56" s="193"/>
      <c r="BG56" s="169">
        <v>52</v>
      </c>
      <c r="BH56" s="1">
        <f t="shared" si="34"/>
        <v>47102</v>
      </c>
      <c r="BI56" s="60">
        <f>IF($X56&lt;Input!$H$103,IF($X56&lt;Input!$G$103,IF($X56&lt;Input!$F$103,IF($X56&lt;Input!$E$103,IF($X56&lt;Input!$D$103,Input!$C$109,Input!$D$109),Input!$E$109),Input!$F$109),Input!$G$109),Input!$H$109)</f>
        <v>0</v>
      </c>
      <c r="BJ56" s="190">
        <f>IF($A56&lt;Input!$H$110,IF($A56&lt;Input!$G$110,IF($A56&lt;Input!$F$110,IF($A56&lt;Input!$E$110,IF($A56&lt;Input!$D$110,Input!$C$111,Input!$D$111),Input!$E$111),Input!$F$111),Input!$G$111),Input!$H$111)</f>
        <v>0.9</v>
      </c>
      <c r="BK56" s="60">
        <f t="shared" si="19"/>
        <v>0</v>
      </c>
      <c r="BL56" s="60">
        <f t="shared" si="35"/>
        <v>30</v>
      </c>
      <c r="BM56" s="60">
        <f t="shared" si="20"/>
        <v>0</v>
      </c>
      <c r="BN56" s="60">
        <f>ROUND(BM56*BL56*Input!$C$3/365,0)</f>
        <v>0</v>
      </c>
      <c r="BO56" s="61">
        <f>IF($A56&lt;=Input!$C$6,0,IF('144M'!BK56&lt;'144M'!BM56,'144M'!BK56-BN56,'144M'!BM56))</f>
        <v>0</v>
      </c>
      <c r="BP56" s="61">
        <f t="shared" si="21"/>
        <v>0</v>
      </c>
      <c r="BQ56" s="60">
        <f t="shared" si="22"/>
        <v>0</v>
      </c>
      <c r="BR56" s="198"/>
    </row>
    <row r="57" spans="1:70" x14ac:dyDescent="0.25">
      <c r="A57" s="169">
        <v>53</v>
      </c>
      <c r="B57" s="1">
        <f t="shared" si="23"/>
        <v>47133</v>
      </c>
      <c r="C57" s="60">
        <f t="shared" si="1"/>
        <v>18940500</v>
      </c>
      <c r="D57" s="60">
        <f t="shared" si="2"/>
        <v>17046450</v>
      </c>
      <c r="E57" s="60">
        <f t="shared" si="24"/>
        <v>31</v>
      </c>
      <c r="F57" s="60">
        <f t="shared" si="25"/>
        <v>792745366</v>
      </c>
      <c r="G57" s="60">
        <f>ROUND(F57*E57*Input!$C$3/365,0)</f>
        <v>10099359</v>
      </c>
      <c r="H57" s="60">
        <f>IF($A57&lt;=Input!$C$6,0,IF('144M'!D57&lt;'144M'!F57,'144M'!D57-G57,'144M'!F57))</f>
        <v>6947091</v>
      </c>
      <c r="I57" s="60">
        <f t="shared" si="26"/>
        <v>17046450</v>
      </c>
      <c r="J57" s="60">
        <f t="shared" si="27"/>
        <v>785798275</v>
      </c>
      <c r="K57" s="202">
        <f>J57/Input!$K$5</f>
        <v>2.6193275833333334</v>
      </c>
      <c r="L57" s="232"/>
      <c r="M57" s="60">
        <f>IF($B57&lt;Input!$H$43,IF($B57&lt;Input!$G$43,IF($B57&lt;Input!$F$43,IF($B57&lt;Input!$E$43,IF($B57&lt;Input!$D$43,Input!$C$49,Input!$D$49),Input!$E$49),Input!$F$49),Input!$G$49),Input!$H$49)</f>
        <v>18940500</v>
      </c>
      <c r="N57" s="190">
        <f>IF($A57&lt;Input!$H$50,IF($A57&lt;Input!$G$50,IF($A57&lt;Input!$F$50,IF($A57&lt;Input!$E$50,IF($A57&lt;Input!$D$50,Input!$C$51,Input!$D$51),Input!$E$51),Input!$F$51),Input!$G$51),Input!$H$51)</f>
        <v>0.9</v>
      </c>
      <c r="O57" s="60">
        <f t="shared" si="36"/>
        <v>17046450</v>
      </c>
      <c r="P57" s="60">
        <f t="shared" si="37"/>
        <v>31</v>
      </c>
      <c r="Q57" s="60">
        <f t="shared" si="4"/>
        <v>792745366</v>
      </c>
      <c r="R57" s="60">
        <f>ROUND(Q57*$P57*Input!$C$3/365,0)</f>
        <v>10099359</v>
      </c>
      <c r="S57" s="60">
        <f>IF(A57&lt;=Input!$C$6,0,IF('144M'!O57&lt;'144M'!Q57,'144M'!O57-R57,'144M'!Q57))</f>
        <v>6947091</v>
      </c>
      <c r="T57" s="60">
        <f t="shared" si="5"/>
        <v>17046450</v>
      </c>
      <c r="U57" s="60">
        <f t="shared" si="6"/>
        <v>785798275</v>
      </c>
      <c r="V57" s="193"/>
      <c r="W57" s="169">
        <v>53</v>
      </c>
      <c r="X57" s="1">
        <f t="shared" si="28"/>
        <v>47133</v>
      </c>
      <c r="Y57" s="60">
        <f>IF($X57&lt;Input!$H$58,IF($X57&lt;Input!$G$58,IF($X57&lt;Input!$F$58,IF($X57&lt;Input!$E$58,IF($X57&lt;Input!$D$58,Input!$C$64,Input!$D$64),Input!$E$64),Input!$F$64),Input!$G$64),Input!$H$64)</f>
        <v>0</v>
      </c>
      <c r="Z57" s="190">
        <f>IF($A57&lt;Input!$H$65,IF($A57&lt;Input!$G$65,IF($A57&lt;Input!$F$65,IF($A57&lt;Input!$E$65,IF($A57&lt;Input!$D$65,Input!$C$66,Input!$D$66),Input!$E$66),Input!$F$66),Input!$G$66),Input!$H$66)</f>
        <v>0.9</v>
      </c>
      <c r="AA57" s="60">
        <f t="shared" si="7"/>
        <v>0</v>
      </c>
      <c r="AB57" s="60">
        <f t="shared" si="29"/>
        <v>31</v>
      </c>
      <c r="AC57" s="60">
        <f t="shared" si="8"/>
        <v>0</v>
      </c>
      <c r="AD57" s="60">
        <f>ROUND(AC57*AB57*Input!$C$3/365,0)</f>
        <v>0</v>
      </c>
      <c r="AE57" s="61">
        <f>IF($A57&lt;=Input!$C$6,0,IF('144M'!AA57&lt;'144M'!AC57,'144M'!AA57-AD57,'144M'!AC57))</f>
        <v>0</v>
      </c>
      <c r="AF57" s="61">
        <f t="shared" si="9"/>
        <v>0</v>
      </c>
      <c r="AG57" s="60">
        <f t="shared" si="10"/>
        <v>0</v>
      </c>
      <c r="AH57" s="193"/>
      <c r="AI57" s="169">
        <v>53</v>
      </c>
      <c r="AJ57" s="1">
        <f t="shared" si="30"/>
        <v>47133</v>
      </c>
      <c r="AK57" s="60">
        <f>IF($X57&lt;Input!$H$73,IF($X57&lt;Input!$G$73,IF($X57&lt;Input!$F$73,IF($X57&lt;Input!$E$73,IF($X57&lt;Input!$D$73,Input!$C$79,Input!$D$79),Input!$E$79),Input!$F$79),Input!$G$79),Input!$H$79)</f>
        <v>0</v>
      </c>
      <c r="AL57" s="190">
        <f>IF($A57&lt;Input!$H$80,IF($A57&lt;Input!$G$80,IF($A57&lt;Input!$F$80,IF($A57&lt;Input!$E$80,IF($A57&lt;Input!$D$80,Input!$C$81,Input!$D$81),Input!$E$81),Input!$F$81),Input!$G$81),Input!$H$81)</f>
        <v>0.9</v>
      </c>
      <c r="AM57" s="60">
        <f t="shared" si="11"/>
        <v>0</v>
      </c>
      <c r="AN57" s="60">
        <f t="shared" si="31"/>
        <v>31</v>
      </c>
      <c r="AO57" s="60">
        <f t="shared" si="12"/>
        <v>0</v>
      </c>
      <c r="AP57" s="60">
        <f>ROUND(AO57*AN57*Input!$C$3/365,0)</f>
        <v>0</v>
      </c>
      <c r="AQ57" s="61">
        <f>IF($A57&lt;=Input!$C$6,0,IF('144M'!AM57&lt;'144M'!AO57,'144M'!AM57-AP57,'144M'!AO57))</f>
        <v>0</v>
      </c>
      <c r="AR57" s="61">
        <f t="shared" si="13"/>
        <v>0</v>
      </c>
      <c r="AS57" s="60">
        <f t="shared" si="14"/>
        <v>0</v>
      </c>
      <c r="AT57" s="193"/>
      <c r="AU57" s="169">
        <v>53</v>
      </c>
      <c r="AV57" s="1">
        <f t="shared" si="32"/>
        <v>47133</v>
      </c>
      <c r="AW57" s="60">
        <f>IF($X57&lt;Input!$H$88,IF($X57&lt;Input!$G$88,IF($X57&lt;Input!$F$88,IF($X57&lt;Input!$E$88,IF($X57&lt;Input!$D$88,Input!$C$94,Input!$D$94),Input!$E$94),Input!$F$94),Input!$G$94),Input!$H$94)</f>
        <v>0</v>
      </c>
      <c r="AX57" s="190">
        <f>IF($A57&lt;Input!$H$95,IF($A57&lt;Input!$G$95,IF($A57&lt;Input!$F$95,IF($A57&lt;Input!$E$95,IF($A57&lt;Input!$D$95,Input!$C$96,Input!$D$96),Input!$E$96),Input!$F$96),Input!$G$96),Input!$H$96)</f>
        <v>0.9</v>
      </c>
      <c r="AY57" s="60">
        <f t="shared" si="15"/>
        <v>0</v>
      </c>
      <c r="AZ57" s="60">
        <f t="shared" si="33"/>
        <v>31</v>
      </c>
      <c r="BA57" s="60">
        <f t="shared" si="16"/>
        <v>0</v>
      </c>
      <c r="BB57" s="60">
        <f>ROUND(BA57*AZ57*Input!$C$3/365,0)</f>
        <v>0</v>
      </c>
      <c r="BC57" s="61">
        <f>IF($A57&lt;=Input!$C$6,0,IF('144M'!AY57&lt;'144M'!BA57,'144M'!AY57-BB57,'144M'!BA57))</f>
        <v>0</v>
      </c>
      <c r="BD57" s="61">
        <f t="shared" si="17"/>
        <v>0</v>
      </c>
      <c r="BE57" s="60">
        <f t="shared" si="18"/>
        <v>0</v>
      </c>
      <c r="BF57" s="193"/>
      <c r="BG57" s="169">
        <v>53</v>
      </c>
      <c r="BH57" s="1">
        <f t="shared" si="34"/>
        <v>47133</v>
      </c>
      <c r="BI57" s="60">
        <f>IF($X57&lt;Input!$H$103,IF($X57&lt;Input!$G$103,IF($X57&lt;Input!$F$103,IF($X57&lt;Input!$E$103,IF($X57&lt;Input!$D$103,Input!$C$109,Input!$D$109),Input!$E$109),Input!$F$109),Input!$G$109),Input!$H$109)</f>
        <v>0</v>
      </c>
      <c r="BJ57" s="190">
        <f>IF($A57&lt;Input!$H$110,IF($A57&lt;Input!$G$110,IF($A57&lt;Input!$F$110,IF($A57&lt;Input!$E$110,IF($A57&lt;Input!$D$110,Input!$C$111,Input!$D$111),Input!$E$111),Input!$F$111),Input!$G$111),Input!$H$111)</f>
        <v>0.9</v>
      </c>
      <c r="BK57" s="60">
        <f t="shared" si="19"/>
        <v>0</v>
      </c>
      <c r="BL57" s="60">
        <f t="shared" si="35"/>
        <v>31</v>
      </c>
      <c r="BM57" s="60">
        <f t="shared" si="20"/>
        <v>0</v>
      </c>
      <c r="BN57" s="60">
        <f>ROUND(BM57*BL57*Input!$C$3/365,0)</f>
        <v>0</v>
      </c>
      <c r="BO57" s="61">
        <f>IF($A57&lt;=Input!$C$6,0,IF('144M'!BK57&lt;'144M'!BM57,'144M'!BK57-BN57,'144M'!BM57))</f>
        <v>0</v>
      </c>
      <c r="BP57" s="61">
        <f t="shared" si="21"/>
        <v>0</v>
      </c>
      <c r="BQ57" s="60">
        <f t="shared" si="22"/>
        <v>0</v>
      </c>
      <c r="BR57" s="198"/>
    </row>
    <row r="58" spans="1:70" x14ac:dyDescent="0.25">
      <c r="A58" s="169">
        <v>54</v>
      </c>
      <c r="B58" s="1">
        <f t="shared" si="23"/>
        <v>47164</v>
      </c>
      <c r="C58" s="60">
        <f t="shared" si="1"/>
        <v>18940500</v>
      </c>
      <c r="D58" s="60">
        <f t="shared" si="2"/>
        <v>17046450</v>
      </c>
      <c r="E58" s="60">
        <f t="shared" si="24"/>
        <v>31</v>
      </c>
      <c r="F58" s="60">
        <f t="shared" si="25"/>
        <v>785798275</v>
      </c>
      <c r="G58" s="60">
        <f>ROUND(F58*E58*Input!$C$3/365,0)</f>
        <v>10010855</v>
      </c>
      <c r="H58" s="60">
        <f>IF($A58&lt;=Input!$C$6,0,IF('144M'!D58&lt;'144M'!F58,'144M'!D58-G58,'144M'!F58))</f>
        <v>7035595</v>
      </c>
      <c r="I58" s="60">
        <f t="shared" si="26"/>
        <v>17046450</v>
      </c>
      <c r="J58" s="60">
        <f t="shared" si="27"/>
        <v>778762680</v>
      </c>
      <c r="K58" s="202">
        <f>J58/Input!$K$5</f>
        <v>2.5958755999999998</v>
      </c>
      <c r="L58" s="232"/>
      <c r="M58" s="60">
        <f>IF($B58&lt;Input!$H$43,IF($B58&lt;Input!$G$43,IF($B58&lt;Input!$F$43,IF($B58&lt;Input!$E$43,IF($B58&lt;Input!$D$43,Input!$C$49,Input!$D$49),Input!$E$49),Input!$F$49),Input!$G$49),Input!$H$49)</f>
        <v>18940500</v>
      </c>
      <c r="N58" s="190">
        <f>IF($A58&lt;Input!$H$50,IF($A58&lt;Input!$G$50,IF($A58&lt;Input!$F$50,IF($A58&lt;Input!$E$50,IF($A58&lt;Input!$D$50,Input!$C$51,Input!$D$51),Input!$E$51),Input!$F$51),Input!$G$51),Input!$H$51)</f>
        <v>0.9</v>
      </c>
      <c r="O58" s="60">
        <f t="shared" si="36"/>
        <v>17046450</v>
      </c>
      <c r="P58" s="60">
        <f t="shared" si="37"/>
        <v>31</v>
      </c>
      <c r="Q58" s="60">
        <f t="shared" si="4"/>
        <v>785798275</v>
      </c>
      <c r="R58" s="60">
        <f>ROUND(Q58*$P58*Input!$C$3/365,0)</f>
        <v>10010855</v>
      </c>
      <c r="S58" s="60">
        <f>IF(A58&lt;=Input!$C$6,0,IF('144M'!O58&lt;'144M'!Q58,'144M'!O58-R58,'144M'!Q58))</f>
        <v>7035595</v>
      </c>
      <c r="T58" s="60">
        <f t="shared" si="5"/>
        <v>17046450</v>
      </c>
      <c r="U58" s="60">
        <f t="shared" si="6"/>
        <v>778762680</v>
      </c>
      <c r="V58" s="193"/>
      <c r="W58" s="169">
        <v>54</v>
      </c>
      <c r="X58" s="1">
        <f t="shared" si="28"/>
        <v>47164</v>
      </c>
      <c r="Y58" s="60">
        <f>IF($X58&lt;Input!$H$58,IF($X58&lt;Input!$G$58,IF($X58&lt;Input!$F$58,IF($X58&lt;Input!$E$58,IF($X58&lt;Input!$D$58,Input!$C$64,Input!$D$64),Input!$E$64),Input!$F$64),Input!$G$64),Input!$H$64)</f>
        <v>0</v>
      </c>
      <c r="Z58" s="190">
        <f>IF($A58&lt;Input!$H$65,IF($A58&lt;Input!$G$65,IF($A58&lt;Input!$F$65,IF($A58&lt;Input!$E$65,IF($A58&lt;Input!$D$65,Input!$C$66,Input!$D$66),Input!$E$66),Input!$F$66),Input!$G$66),Input!$H$66)</f>
        <v>0.9</v>
      </c>
      <c r="AA58" s="60">
        <f t="shared" si="7"/>
        <v>0</v>
      </c>
      <c r="AB58" s="60">
        <f t="shared" si="29"/>
        <v>31</v>
      </c>
      <c r="AC58" s="60">
        <f t="shared" si="8"/>
        <v>0</v>
      </c>
      <c r="AD58" s="60">
        <f>ROUND(AC58*AB58*Input!$C$3/365,0)</f>
        <v>0</v>
      </c>
      <c r="AE58" s="61">
        <f>IF($A58&lt;=Input!$C$6,0,IF('144M'!AA58&lt;'144M'!AC58,'144M'!AA58-AD58,'144M'!AC58))</f>
        <v>0</v>
      </c>
      <c r="AF58" s="61">
        <f t="shared" si="9"/>
        <v>0</v>
      </c>
      <c r="AG58" s="60">
        <f t="shared" si="10"/>
        <v>0</v>
      </c>
      <c r="AH58" s="193"/>
      <c r="AI58" s="169">
        <v>54</v>
      </c>
      <c r="AJ58" s="1">
        <f t="shared" si="30"/>
        <v>47164</v>
      </c>
      <c r="AK58" s="60">
        <f>IF($X58&lt;Input!$H$73,IF($X58&lt;Input!$G$73,IF($X58&lt;Input!$F$73,IF($X58&lt;Input!$E$73,IF($X58&lt;Input!$D$73,Input!$C$79,Input!$D$79),Input!$E$79),Input!$F$79),Input!$G$79),Input!$H$79)</f>
        <v>0</v>
      </c>
      <c r="AL58" s="190">
        <f>IF($A58&lt;Input!$H$80,IF($A58&lt;Input!$G$80,IF($A58&lt;Input!$F$80,IF($A58&lt;Input!$E$80,IF($A58&lt;Input!$D$80,Input!$C$81,Input!$D$81),Input!$E$81),Input!$F$81),Input!$G$81),Input!$H$81)</f>
        <v>0.9</v>
      </c>
      <c r="AM58" s="60">
        <f t="shared" si="11"/>
        <v>0</v>
      </c>
      <c r="AN58" s="60">
        <f t="shared" si="31"/>
        <v>31</v>
      </c>
      <c r="AO58" s="60">
        <f t="shared" si="12"/>
        <v>0</v>
      </c>
      <c r="AP58" s="60">
        <f>ROUND(AO58*AN58*Input!$C$3/365,0)</f>
        <v>0</v>
      </c>
      <c r="AQ58" s="61">
        <f>IF($A58&lt;=Input!$C$6,0,IF('144M'!AM58&lt;'144M'!AO58,'144M'!AM58-AP58,'144M'!AO58))</f>
        <v>0</v>
      </c>
      <c r="AR58" s="61">
        <f t="shared" si="13"/>
        <v>0</v>
      </c>
      <c r="AS58" s="60">
        <f t="shared" si="14"/>
        <v>0</v>
      </c>
      <c r="AT58" s="193"/>
      <c r="AU58" s="169">
        <v>54</v>
      </c>
      <c r="AV58" s="1">
        <f t="shared" si="32"/>
        <v>47164</v>
      </c>
      <c r="AW58" s="60">
        <f>IF($X58&lt;Input!$H$88,IF($X58&lt;Input!$G$88,IF($X58&lt;Input!$F$88,IF($X58&lt;Input!$E$88,IF($X58&lt;Input!$D$88,Input!$C$94,Input!$D$94),Input!$E$94),Input!$F$94),Input!$G$94),Input!$H$94)</f>
        <v>0</v>
      </c>
      <c r="AX58" s="190">
        <f>IF($A58&lt;Input!$H$95,IF($A58&lt;Input!$G$95,IF($A58&lt;Input!$F$95,IF($A58&lt;Input!$E$95,IF($A58&lt;Input!$D$95,Input!$C$96,Input!$D$96),Input!$E$96),Input!$F$96),Input!$G$96),Input!$H$96)</f>
        <v>0.9</v>
      </c>
      <c r="AY58" s="60">
        <f t="shared" si="15"/>
        <v>0</v>
      </c>
      <c r="AZ58" s="60">
        <f t="shared" si="33"/>
        <v>31</v>
      </c>
      <c r="BA58" s="60">
        <f t="shared" si="16"/>
        <v>0</v>
      </c>
      <c r="BB58" s="60">
        <f>ROUND(BA58*AZ58*Input!$C$3/365,0)</f>
        <v>0</v>
      </c>
      <c r="BC58" s="61">
        <f>IF($A58&lt;=Input!$C$6,0,IF('144M'!AY58&lt;'144M'!BA58,'144M'!AY58-BB58,'144M'!BA58))</f>
        <v>0</v>
      </c>
      <c r="BD58" s="61">
        <f t="shared" si="17"/>
        <v>0</v>
      </c>
      <c r="BE58" s="60">
        <f t="shared" si="18"/>
        <v>0</v>
      </c>
      <c r="BF58" s="193"/>
      <c r="BG58" s="169">
        <v>54</v>
      </c>
      <c r="BH58" s="1">
        <f t="shared" si="34"/>
        <v>47164</v>
      </c>
      <c r="BI58" s="60">
        <f>IF($X58&lt;Input!$H$103,IF($X58&lt;Input!$G$103,IF($X58&lt;Input!$F$103,IF($X58&lt;Input!$E$103,IF($X58&lt;Input!$D$103,Input!$C$109,Input!$D$109),Input!$E$109),Input!$F$109),Input!$G$109),Input!$H$109)</f>
        <v>0</v>
      </c>
      <c r="BJ58" s="190">
        <f>IF($A58&lt;Input!$H$110,IF($A58&lt;Input!$G$110,IF($A58&lt;Input!$F$110,IF($A58&lt;Input!$E$110,IF($A58&lt;Input!$D$110,Input!$C$111,Input!$D$111),Input!$E$111),Input!$F$111),Input!$G$111),Input!$H$111)</f>
        <v>0.9</v>
      </c>
      <c r="BK58" s="60">
        <f t="shared" si="19"/>
        <v>0</v>
      </c>
      <c r="BL58" s="60">
        <f t="shared" si="35"/>
        <v>31</v>
      </c>
      <c r="BM58" s="60">
        <f t="shared" si="20"/>
        <v>0</v>
      </c>
      <c r="BN58" s="60">
        <f>ROUND(BM58*BL58*Input!$C$3/365,0)</f>
        <v>0</v>
      </c>
      <c r="BO58" s="61">
        <f>IF($A58&lt;=Input!$C$6,0,IF('144M'!BK58&lt;'144M'!BM58,'144M'!BK58-BN58,'144M'!BM58))</f>
        <v>0</v>
      </c>
      <c r="BP58" s="61">
        <f t="shared" si="21"/>
        <v>0</v>
      </c>
      <c r="BQ58" s="60">
        <f t="shared" si="22"/>
        <v>0</v>
      </c>
      <c r="BR58" s="198"/>
    </row>
    <row r="59" spans="1:70" x14ac:dyDescent="0.25">
      <c r="A59" s="169">
        <v>55</v>
      </c>
      <c r="B59" s="1">
        <f t="shared" si="23"/>
        <v>47192</v>
      </c>
      <c r="C59" s="60">
        <f t="shared" si="1"/>
        <v>18940500</v>
      </c>
      <c r="D59" s="60">
        <f t="shared" si="2"/>
        <v>17046450</v>
      </c>
      <c r="E59" s="60">
        <f t="shared" si="24"/>
        <v>28</v>
      </c>
      <c r="F59" s="60">
        <f t="shared" si="25"/>
        <v>778762680</v>
      </c>
      <c r="G59" s="60">
        <f>ROUND(F59*E59*Input!$C$3/365,0)</f>
        <v>8961105</v>
      </c>
      <c r="H59" s="60">
        <f>IF($A59&lt;=Input!$C$6,0,IF('144M'!D59&lt;'144M'!F59,'144M'!D59-G59,'144M'!F59))</f>
        <v>8085345</v>
      </c>
      <c r="I59" s="60">
        <f t="shared" si="26"/>
        <v>17046450</v>
      </c>
      <c r="J59" s="60">
        <f t="shared" si="27"/>
        <v>770677335</v>
      </c>
      <c r="K59" s="202">
        <f>J59/Input!$K$5</f>
        <v>2.5689244499999999</v>
      </c>
      <c r="L59" s="232"/>
      <c r="M59" s="60">
        <f>IF($B59&lt;Input!$H$43,IF($B59&lt;Input!$G$43,IF($B59&lt;Input!$F$43,IF($B59&lt;Input!$E$43,IF($B59&lt;Input!$D$43,Input!$C$49,Input!$D$49),Input!$E$49),Input!$F$49),Input!$G$49),Input!$H$49)</f>
        <v>18940500</v>
      </c>
      <c r="N59" s="190">
        <f>IF($A59&lt;Input!$H$50,IF($A59&lt;Input!$G$50,IF($A59&lt;Input!$F$50,IF($A59&lt;Input!$E$50,IF($A59&lt;Input!$D$50,Input!$C$51,Input!$D$51),Input!$E$51),Input!$F$51),Input!$G$51),Input!$H$51)</f>
        <v>0.9</v>
      </c>
      <c r="O59" s="60">
        <f t="shared" si="36"/>
        <v>17046450</v>
      </c>
      <c r="P59" s="60">
        <f t="shared" si="37"/>
        <v>28</v>
      </c>
      <c r="Q59" s="60">
        <f t="shared" si="4"/>
        <v>778762680</v>
      </c>
      <c r="R59" s="60">
        <f>ROUND(Q59*$P59*Input!$C$3/365,0)</f>
        <v>8961105</v>
      </c>
      <c r="S59" s="60">
        <f>IF(A59&lt;=Input!$C$6,0,IF('144M'!O59&lt;'144M'!Q59,'144M'!O59-R59,'144M'!Q59))</f>
        <v>8085345</v>
      </c>
      <c r="T59" s="60">
        <f t="shared" si="5"/>
        <v>17046450</v>
      </c>
      <c r="U59" s="60">
        <f t="shared" si="6"/>
        <v>770677335</v>
      </c>
      <c r="V59" s="193"/>
      <c r="W59" s="169">
        <v>55</v>
      </c>
      <c r="X59" s="1">
        <f t="shared" si="28"/>
        <v>47192</v>
      </c>
      <c r="Y59" s="60">
        <f>IF($X59&lt;Input!$H$58,IF($X59&lt;Input!$G$58,IF($X59&lt;Input!$F$58,IF($X59&lt;Input!$E$58,IF($X59&lt;Input!$D$58,Input!$C$64,Input!$D$64),Input!$E$64),Input!$F$64),Input!$G$64),Input!$H$64)</f>
        <v>0</v>
      </c>
      <c r="Z59" s="190">
        <f>IF($A59&lt;Input!$H$65,IF($A59&lt;Input!$G$65,IF($A59&lt;Input!$F$65,IF($A59&lt;Input!$E$65,IF($A59&lt;Input!$D$65,Input!$C$66,Input!$D$66),Input!$E$66),Input!$F$66),Input!$G$66),Input!$H$66)</f>
        <v>0.9</v>
      </c>
      <c r="AA59" s="60">
        <f t="shared" si="7"/>
        <v>0</v>
      </c>
      <c r="AB59" s="60">
        <f t="shared" si="29"/>
        <v>28</v>
      </c>
      <c r="AC59" s="60">
        <f t="shared" si="8"/>
        <v>0</v>
      </c>
      <c r="AD59" s="60">
        <f>ROUND(AC59*AB59*Input!$C$3/365,0)</f>
        <v>0</v>
      </c>
      <c r="AE59" s="61">
        <f>IF($A59&lt;=Input!$C$6,0,IF('144M'!AA59&lt;'144M'!AC59,'144M'!AA59-AD59,'144M'!AC59))</f>
        <v>0</v>
      </c>
      <c r="AF59" s="61">
        <f t="shared" si="9"/>
        <v>0</v>
      </c>
      <c r="AG59" s="60">
        <f t="shared" si="10"/>
        <v>0</v>
      </c>
      <c r="AH59" s="193"/>
      <c r="AI59" s="169">
        <v>55</v>
      </c>
      <c r="AJ59" s="1">
        <f t="shared" si="30"/>
        <v>47192</v>
      </c>
      <c r="AK59" s="60">
        <f>IF($X59&lt;Input!$H$73,IF($X59&lt;Input!$G$73,IF($X59&lt;Input!$F$73,IF($X59&lt;Input!$E$73,IF($X59&lt;Input!$D$73,Input!$C$79,Input!$D$79),Input!$E$79),Input!$F$79),Input!$G$79),Input!$H$79)</f>
        <v>0</v>
      </c>
      <c r="AL59" s="190">
        <f>IF($A59&lt;Input!$H$80,IF($A59&lt;Input!$G$80,IF($A59&lt;Input!$F$80,IF($A59&lt;Input!$E$80,IF($A59&lt;Input!$D$80,Input!$C$81,Input!$D$81),Input!$E$81),Input!$F$81),Input!$G$81),Input!$H$81)</f>
        <v>0.9</v>
      </c>
      <c r="AM59" s="60">
        <f t="shared" si="11"/>
        <v>0</v>
      </c>
      <c r="AN59" s="60">
        <f t="shared" si="31"/>
        <v>28</v>
      </c>
      <c r="AO59" s="60">
        <f t="shared" si="12"/>
        <v>0</v>
      </c>
      <c r="AP59" s="60">
        <f>ROUND(AO59*AN59*Input!$C$3/365,0)</f>
        <v>0</v>
      </c>
      <c r="AQ59" s="61">
        <f>IF($A59&lt;=Input!$C$6,0,IF('144M'!AM59&lt;'144M'!AO59,'144M'!AM59-AP59,'144M'!AO59))</f>
        <v>0</v>
      </c>
      <c r="AR59" s="61">
        <f t="shared" si="13"/>
        <v>0</v>
      </c>
      <c r="AS59" s="60">
        <f t="shared" si="14"/>
        <v>0</v>
      </c>
      <c r="AT59" s="193"/>
      <c r="AU59" s="169">
        <v>55</v>
      </c>
      <c r="AV59" s="1">
        <f t="shared" si="32"/>
        <v>47192</v>
      </c>
      <c r="AW59" s="60">
        <f>IF($X59&lt;Input!$H$88,IF($X59&lt;Input!$G$88,IF($X59&lt;Input!$F$88,IF($X59&lt;Input!$E$88,IF($X59&lt;Input!$D$88,Input!$C$94,Input!$D$94),Input!$E$94),Input!$F$94),Input!$G$94),Input!$H$94)</f>
        <v>0</v>
      </c>
      <c r="AX59" s="190">
        <f>IF($A59&lt;Input!$H$95,IF($A59&lt;Input!$G$95,IF($A59&lt;Input!$F$95,IF($A59&lt;Input!$E$95,IF($A59&lt;Input!$D$95,Input!$C$96,Input!$D$96),Input!$E$96),Input!$F$96),Input!$G$96),Input!$H$96)</f>
        <v>0.9</v>
      </c>
      <c r="AY59" s="60">
        <f t="shared" si="15"/>
        <v>0</v>
      </c>
      <c r="AZ59" s="60">
        <f t="shared" si="33"/>
        <v>28</v>
      </c>
      <c r="BA59" s="60">
        <f t="shared" si="16"/>
        <v>0</v>
      </c>
      <c r="BB59" s="60">
        <f>ROUND(BA59*AZ59*Input!$C$3/365,0)</f>
        <v>0</v>
      </c>
      <c r="BC59" s="61">
        <f>IF($A59&lt;=Input!$C$6,0,IF('144M'!AY59&lt;'144M'!BA59,'144M'!AY59-BB59,'144M'!BA59))</f>
        <v>0</v>
      </c>
      <c r="BD59" s="61">
        <f t="shared" si="17"/>
        <v>0</v>
      </c>
      <c r="BE59" s="60">
        <f t="shared" si="18"/>
        <v>0</v>
      </c>
      <c r="BF59" s="193"/>
      <c r="BG59" s="169">
        <v>55</v>
      </c>
      <c r="BH59" s="1">
        <f t="shared" si="34"/>
        <v>47192</v>
      </c>
      <c r="BI59" s="60">
        <f>IF($X59&lt;Input!$H$103,IF($X59&lt;Input!$G$103,IF($X59&lt;Input!$F$103,IF($X59&lt;Input!$E$103,IF($X59&lt;Input!$D$103,Input!$C$109,Input!$D$109),Input!$E$109),Input!$F$109),Input!$G$109),Input!$H$109)</f>
        <v>0</v>
      </c>
      <c r="BJ59" s="190">
        <f>IF($A59&lt;Input!$H$110,IF($A59&lt;Input!$G$110,IF($A59&lt;Input!$F$110,IF($A59&lt;Input!$E$110,IF($A59&lt;Input!$D$110,Input!$C$111,Input!$D$111),Input!$E$111),Input!$F$111),Input!$G$111),Input!$H$111)</f>
        <v>0.9</v>
      </c>
      <c r="BK59" s="60">
        <f t="shared" si="19"/>
        <v>0</v>
      </c>
      <c r="BL59" s="60">
        <f t="shared" si="35"/>
        <v>28</v>
      </c>
      <c r="BM59" s="60">
        <f t="shared" si="20"/>
        <v>0</v>
      </c>
      <c r="BN59" s="60">
        <f>ROUND(BM59*BL59*Input!$C$3/365,0)</f>
        <v>0</v>
      </c>
      <c r="BO59" s="61">
        <f>IF($A59&lt;=Input!$C$6,0,IF('144M'!BK59&lt;'144M'!BM59,'144M'!BK59-BN59,'144M'!BM59))</f>
        <v>0</v>
      </c>
      <c r="BP59" s="61">
        <f t="shared" si="21"/>
        <v>0</v>
      </c>
      <c r="BQ59" s="60">
        <f t="shared" si="22"/>
        <v>0</v>
      </c>
      <c r="BR59" s="198"/>
    </row>
    <row r="60" spans="1:70" x14ac:dyDescent="0.25">
      <c r="A60" s="169">
        <v>56</v>
      </c>
      <c r="B60" s="1">
        <f t="shared" si="23"/>
        <v>47223</v>
      </c>
      <c r="C60" s="60">
        <f t="shared" si="1"/>
        <v>18940500</v>
      </c>
      <c r="D60" s="60">
        <f t="shared" si="2"/>
        <v>17046450</v>
      </c>
      <c r="E60" s="60">
        <f t="shared" si="24"/>
        <v>31</v>
      </c>
      <c r="F60" s="60">
        <f t="shared" si="25"/>
        <v>770677335</v>
      </c>
      <c r="G60" s="60">
        <f>ROUND(F60*E60*Input!$C$3/365,0)</f>
        <v>9818218</v>
      </c>
      <c r="H60" s="60">
        <f>IF($A60&lt;=Input!$C$6,0,IF('144M'!D60&lt;'144M'!F60,'144M'!D60-G60,'144M'!F60))</f>
        <v>7228232</v>
      </c>
      <c r="I60" s="60">
        <f t="shared" si="26"/>
        <v>17046450</v>
      </c>
      <c r="J60" s="60">
        <f t="shared" si="27"/>
        <v>763449103</v>
      </c>
      <c r="K60" s="202">
        <f>J60/Input!$K$5</f>
        <v>2.5448303433333335</v>
      </c>
      <c r="L60" s="232"/>
      <c r="M60" s="60">
        <f>IF($B60&lt;Input!$H$43,IF($B60&lt;Input!$G$43,IF($B60&lt;Input!$F$43,IF($B60&lt;Input!$E$43,IF($B60&lt;Input!$D$43,Input!$C$49,Input!$D$49),Input!$E$49),Input!$F$49),Input!$G$49),Input!$H$49)</f>
        <v>18940500</v>
      </c>
      <c r="N60" s="190">
        <f>IF($A60&lt;Input!$H$50,IF($A60&lt;Input!$G$50,IF($A60&lt;Input!$F$50,IF($A60&lt;Input!$E$50,IF($A60&lt;Input!$D$50,Input!$C$51,Input!$D$51),Input!$E$51),Input!$F$51),Input!$G$51),Input!$H$51)</f>
        <v>0.9</v>
      </c>
      <c r="O60" s="60">
        <f t="shared" si="36"/>
        <v>17046450</v>
      </c>
      <c r="P60" s="60">
        <f t="shared" si="37"/>
        <v>31</v>
      </c>
      <c r="Q60" s="60">
        <f t="shared" si="4"/>
        <v>770677335</v>
      </c>
      <c r="R60" s="60">
        <f>ROUND(Q60*$P60*Input!$C$3/365,0)</f>
        <v>9818218</v>
      </c>
      <c r="S60" s="60">
        <f>IF(A60&lt;=Input!$C$6,0,IF('144M'!O60&lt;'144M'!Q60,'144M'!O60-R60,'144M'!Q60))</f>
        <v>7228232</v>
      </c>
      <c r="T60" s="60">
        <f t="shared" si="5"/>
        <v>17046450</v>
      </c>
      <c r="U60" s="60">
        <f t="shared" si="6"/>
        <v>763449103</v>
      </c>
      <c r="V60" s="193"/>
      <c r="W60" s="169">
        <v>56</v>
      </c>
      <c r="X60" s="1">
        <f t="shared" si="28"/>
        <v>47223</v>
      </c>
      <c r="Y60" s="60">
        <f>IF($X60&lt;Input!$H$58,IF($X60&lt;Input!$G$58,IF($X60&lt;Input!$F$58,IF($X60&lt;Input!$E$58,IF($X60&lt;Input!$D$58,Input!$C$64,Input!$D$64),Input!$E$64),Input!$F$64),Input!$G$64),Input!$H$64)</f>
        <v>0</v>
      </c>
      <c r="Z60" s="190">
        <f>IF($A60&lt;Input!$H$65,IF($A60&lt;Input!$G$65,IF($A60&lt;Input!$F$65,IF($A60&lt;Input!$E$65,IF($A60&lt;Input!$D$65,Input!$C$66,Input!$D$66),Input!$E$66),Input!$F$66),Input!$G$66),Input!$H$66)</f>
        <v>0.9</v>
      </c>
      <c r="AA60" s="60">
        <f t="shared" si="7"/>
        <v>0</v>
      </c>
      <c r="AB60" s="60">
        <f t="shared" si="29"/>
        <v>31</v>
      </c>
      <c r="AC60" s="60">
        <f t="shared" si="8"/>
        <v>0</v>
      </c>
      <c r="AD60" s="60">
        <f>ROUND(AC60*AB60*Input!$C$3/365,0)</f>
        <v>0</v>
      </c>
      <c r="AE60" s="61">
        <f>IF($A60&lt;=Input!$C$6,0,IF('144M'!AA60&lt;'144M'!AC60,'144M'!AA60-AD60,'144M'!AC60))</f>
        <v>0</v>
      </c>
      <c r="AF60" s="61">
        <f t="shared" si="9"/>
        <v>0</v>
      </c>
      <c r="AG60" s="60">
        <f t="shared" si="10"/>
        <v>0</v>
      </c>
      <c r="AH60" s="193"/>
      <c r="AI60" s="169">
        <v>56</v>
      </c>
      <c r="AJ60" s="1">
        <f t="shared" si="30"/>
        <v>47223</v>
      </c>
      <c r="AK60" s="60">
        <f>IF($X60&lt;Input!$H$73,IF($X60&lt;Input!$G$73,IF($X60&lt;Input!$F$73,IF($X60&lt;Input!$E$73,IF($X60&lt;Input!$D$73,Input!$C$79,Input!$D$79),Input!$E$79),Input!$F$79),Input!$G$79),Input!$H$79)</f>
        <v>0</v>
      </c>
      <c r="AL60" s="190">
        <f>IF($A60&lt;Input!$H$80,IF($A60&lt;Input!$G$80,IF($A60&lt;Input!$F$80,IF($A60&lt;Input!$E$80,IF($A60&lt;Input!$D$80,Input!$C$81,Input!$D$81),Input!$E$81),Input!$F$81),Input!$G$81),Input!$H$81)</f>
        <v>0.9</v>
      </c>
      <c r="AM60" s="60">
        <f t="shared" si="11"/>
        <v>0</v>
      </c>
      <c r="AN60" s="60">
        <f t="shared" si="31"/>
        <v>31</v>
      </c>
      <c r="AO60" s="60">
        <f t="shared" si="12"/>
        <v>0</v>
      </c>
      <c r="AP60" s="60">
        <f>ROUND(AO60*AN60*Input!$C$3/365,0)</f>
        <v>0</v>
      </c>
      <c r="AQ60" s="61">
        <f>IF($A60&lt;=Input!$C$6,0,IF('144M'!AM60&lt;'144M'!AO60,'144M'!AM60-AP60,'144M'!AO60))</f>
        <v>0</v>
      </c>
      <c r="AR60" s="61">
        <f t="shared" si="13"/>
        <v>0</v>
      </c>
      <c r="AS60" s="60">
        <f t="shared" si="14"/>
        <v>0</v>
      </c>
      <c r="AT60" s="193"/>
      <c r="AU60" s="169">
        <v>56</v>
      </c>
      <c r="AV60" s="1">
        <f t="shared" si="32"/>
        <v>47223</v>
      </c>
      <c r="AW60" s="60">
        <f>IF($X60&lt;Input!$H$88,IF($X60&lt;Input!$G$88,IF($X60&lt;Input!$F$88,IF($X60&lt;Input!$E$88,IF($X60&lt;Input!$D$88,Input!$C$94,Input!$D$94),Input!$E$94),Input!$F$94),Input!$G$94),Input!$H$94)</f>
        <v>0</v>
      </c>
      <c r="AX60" s="190">
        <f>IF($A60&lt;Input!$H$95,IF($A60&lt;Input!$G$95,IF($A60&lt;Input!$F$95,IF($A60&lt;Input!$E$95,IF($A60&lt;Input!$D$95,Input!$C$96,Input!$D$96),Input!$E$96),Input!$F$96),Input!$G$96),Input!$H$96)</f>
        <v>0.9</v>
      </c>
      <c r="AY60" s="60">
        <f t="shared" si="15"/>
        <v>0</v>
      </c>
      <c r="AZ60" s="60">
        <f t="shared" si="33"/>
        <v>31</v>
      </c>
      <c r="BA60" s="60">
        <f t="shared" si="16"/>
        <v>0</v>
      </c>
      <c r="BB60" s="60">
        <f>ROUND(BA60*AZ60*Input!$C$3/365,0)</f>
        <v>0</v>
      </c>
      <c r="BC60" s="61">
        <f>IF($A60&lt;=Input!$C$6,0,IF('144M'!AY60&lt;'144M'!BA60,'144M'!AY60-BB60,'144M'!BA60))</f>
        <v>0</v>
      </c>
      <c r="BD60" s="61">
        <f t="shared" si="17"/>
        <v>0</v>
      </c>
      <c r="BE60" s="60">
        <f t="shared" si="18"/>
        <v>0</v>
      </c>
      <c r="BF60" s="193"/>
      <c r="BG60" s="169">
        <v>56</v>
      </c>
      <c r="BH60" s="1">
        <f t="shared" si="34"/>
        <v>47223</v>
      </c>
      <c r="BI60" s="60">
        <f>IF($X60&lt;Input!$H$103,IF($X60&lt;Input!$G$103,IF($X60&lt;Input!$F$103,IF($X60&lt;Input!$E$103,IF($X60&lt;Input!$D$103,Input!$C$109,Input!$D$109),Input!$E$109),Input!$F$109),Input!$G$109),Input!$H$109)</f>
        <v>0</v>
      </c>
      <c r="BJ60" s="190">
        <f>IF($A60&lt;Input!$H$110,IF($A60&lt;Input!$G$110,IF($A60&lt;Input!$F$110,IF($A60&lt;Input!$E$110,IF($A60&lt;Input!$D$110,Input!$C$111,Input!$D$111),Input!$E$111),Input!$F$111),Input!$G$111),Input!$H$111)</f>
        <v>0.9</v>
      </c>
      <c r="BK60" s="60">
        <f t="shared" si="19"/>
        <v>0</v>
      </c>
      <c r="BL60" s="60">
        <f t="shared" si="35"/>
        <v>31</v>
      </c>
      <c r="BM60" s="60">
        <f t="shared" si="20"/>
        <v>0</v>
      </c>
      <c r="BN60" s="60">
        <f>ROUND(BM60*BL60*Input!$C$3/365,0)</f>
        <v>0</v>
      </c>
      <c r="BO60" s="61">
        <f>IF($A60&lt;=Input!$C$6,0,IF('144M'!BK60&lt;'144M'!BM60,'144M'!BK60-BN60,'144M'!BM60))</f>
        <v>0</v>
      </c>
      <c r="BP60" s="61">
        <f t="shared" si="21"/>
        <v>0</v>
      </c>
      <c r="BQ60" s="60">
        <f t="shared" si="22"/>
        <v>0</v>
      </c>
      <c r="BR60" s="198"/>
    </row>
    <row r="61" spans="1:70" x14ac:dyDescent="0.25">
      <c r="A61" s="169">
        <v>57</v>
      </c>
      <c r="B61" s="1">
        <f t="shared" si="23"/>
        <v>47253</v>
      </c>
      <c r="C61" s="60">
        <f t="shared" si="1"/>
        <v>18940500</v>
      </c>
      <c r="D61" s="60">
        <f t="shared" si="2"/>
        <v>17046450</v>
      </c>
      <c r="E61" s="60">
        <f t="shared" si="24"/>
        <v>30</v>
      </c>
      <c r="F61" s="60">
        <f t="shared" si="25"/>
        <v>763449103</v>
      </c>
      <c r="G61" s="60">
        <f>ROUND(F61*E61*Input!$C$3/365,0)</f>
        <v>9412386</v>
      </c>
      <c r="H61" s="60">
        <f>IF($A61&lt;=Input!$C$6,0,IF('144M'!D61&lt;'144M'!F61,'144M'!D61-G61,'144M'!F61))</f>
        <v>7634064</v>
      </c>
      <c r="I61" s="60">
        <f t="shared" si="26"/>
        <v>17046450</v>
      </c>
      <c r="J61" s="60">
        <f t="shared" si="27"/>
        <v>755815039</v>
      </c>
      <c r="K61" s="202">
        <f>J61/Input!$K$5</f>
        <v>2.5193834633333334</v>
      </c>
      <c r="L61" s="232"/>
      <c r="M61" s="60">
        <f>IF($B61&lt;Input!$H$43,IF($B61&lt;Input!$G$43,IF($B61&lt;Input!$F$43,IF($B61&lt;Input!$E$43,IF($B61&lt;Input!$D$43,Input!$C$49,Input!$D$49),Input!$E$49),Input!$F$49),Input!$G$49),Input!$H$49)</f>
        <v>18940500</v>
      </c>
      <c r="N61" s="190">
        <f>IF($A61&lt;Input!$H$50,IF($A61&lt;Input!$G$50,IF($A61&lt;Input!$F$50,IF($A61&lt;Input!$E$50,IF($A61&lt;Input!$D$50,Input!$C$51,Input!$D$51),Input!$E$51),Input!$F$51),Input!$G$51),Input!$H$51)</f>
        <v>0.9</v>
      </c>
      <c r="O61" s="60">
        <f t="shared" si="36"/>
        <v>17046450</v>
      </c>
      <c r="P61" s="60">
        <f t="shared" si="37"/>
        <v>30</v>
      </c>
      <c r="Q61" s="60">
        <f t="shared" si="4"/>
        <v>763449103</v>
      </c>
      <c r="R61" s="60">
        <f>ROUND(Q61*$P61*Input!$C$3/365,0)</f>
        <v>9412386</v>
      </c>
      <c r="S61" s="60">
        <f>IF(A61&lt;=Input!$C$6,0,IF('144M'!O61&lt;'144M'!Q61,'144M'!O61-R61,'144M'!Q61))</f>
        <v>7634064</v>
      </c>
      <c r="T61" s="60">
        <f t="shared" si="5"/>
        <v>17046450</v>
      </c>
      <c r="U61" s="60">
        <f t="shared" si="6"/>
        <v>755815039</v>
      </c>
      <c r="V61" s="193"/>
      <c r="W61" s="169">
        <v>57</v>
      </c>
      <c r="X61" s="1">
        <f t="shared" si="28"/>
        <v>47253</v>
      </c>
      <c r="Y61" s="60">
        <f>IF($X61&lt;Input!$H$58,IF($X61&lt;Input!$G$58,IF($X61&lt;Input!$F$58,IF($X61&lt;Input!$E$58,IF($X61&lt;Input!$D$58,Input!$C$64,Input!$D$64),Input!$E$64),Input!$F$64),Input!$G$64),Input!$H$64)</f>
        <v>0</v>
      </c>
      <c r="Z61" s="190">
        <f>IF($A61&lt;Input!$H$65,IF($A61&lt;Input!$G$65,IF($A61&lt;Input!$F$65,IF($A61&lt;Input!$E$65,IF($A61&lt;Input!$D$65,Input!$C$66,Input!$D$66),Input!$E$66),Input!$F$66),Input!$G$66),Input!$H$66)</f>
        <v>0.9</v>
      </c>
      <c r="AA61" s="60">
        <f t="shared" si="7"/>
        <v>0</v>
      </c>
      <c r="AB61" s="60">
        <f t="shared" si="29"/>
        <v>30</v>
      </c>
      <c r="AC61" s="60">
        <f t="shared" si="8"/>
        <v>0</v>
      </c>
      <c r="AD61" s="60">
        <f>ROUND(AC61*AB61*Input!$C$3/365,0)</f>
        <v>0</v>
      </c>
      <c r="AE61" s="61">
        <f>IF($A61&lt;=Input!$C$6,0,IF('144M'!AA61&lt;'144M'!AC61,'144M'!AA61-AD61,'144M'!AC61))</f>
        <v>0</v>
      </c>
      <c r="AF61" s="61">
        <f t="shared" si="9"/>
        <v>0</v>
      </c>
      <c r="AG61" s="60">
        <f t="shared" si="10"/>
        <v>0</v>
      </c>
      <c r="AH61" s="193"/>
      <c r="AI61" s="169">
        <v>57</v>
      </c>
      <c r="AJ61" s="1">
        <f t="shared" si="30"/>
        <v>47253</v>
      </c>
      <c r="AK61" s="60">
        <f>IF($X61&lt;Input!$H$73,IF($X61&lt;Input!$G$73,IF($X61&lt;Input!$F$73,IF($X61&lt;Input!$E$73,IF($X61&lt;Input!$D$73,Input!$C$79,Input!$D$79),Input!$E$79),Input!$F$79),Input!$G$79),Input!$H$79)</f>
        <v>0</v>
      </c>
      <c r="AL61" s="190">
        <f>IF($A61&lt;Input!$H$80,IF($A61&lt;Input!$G$80,IF($A61&lt;Input!$F$80,IF($A61&lt;Input!$E$80,IF($A61&lt;Input!$D$80,Input!$C$81,Input!$D$81),Input!$E$81),Input!$F$81),Input!$G$81),Input!$H$81)</f>
        <v>0.9</v>
      </c>
      <c r="AM61" s="60">
        <f t="shared" si="11"/>
        <v>0</v>
      </c>
      <c r="AN61" s="60">
        <f t="shared" si="31"/>
        <v>30</v>
      </c>
      <c r="AO61" s="60">
        <f t="shared" si="12"/>
        <v>0</v>
      </c>
      <c r="AP61" s="60">
        <f>ROUND(AO61*AN61*Input!$C$3/365,0)</f>
        <v>0</v>
      </c>
      <c r="AQ61" s="61">
        <f>IF($A61&lt;=Input!$C$6,0,IF('144M'!AM61&lt;'144M'!AO61,'144M'!AM61-AP61,'144M'!AO61))</f>
        <v>0</v>
      </c>
      <c r="AR61" s="61">
        <f t="shared" si="13"/>
        <v>0</v>
      </c>
      <c r="AS61" s="60">
        <f t="shared" si="14"/>
        <v>0</v>
      </c>
      <c r="AT61" s="193"/>
      <c r="AU61" s="169">
        <v>57</v>
      </c>
      <c r="AV61" s="1">
        <f t="shared" si="32"/>
        <v>47253</v>
      </c>
      <c r="AW61" s="60">
        <f>IF($X61&lt;Input!$H$88,IF($X61&lt;Input!$G$88,IF($X61&lt;Input!$F$88,IF($X61&lt;Input!$E$88,IF($X61&lt;Input!$D$88,Input!$C$94,Input!$D$94),Input!$E$94),Input!$F$94),Input!$G$94),Input!$H$94)</f>
        <v>0</v>
      </c>
      <c r="AX61" s="190">
        <f>IF($A61&lt;Input!$H$95,IF($A61&lt;Input!$G$95,IF($A61&lt;Input!$F$95,IF($A61&lt;Input!$E$95,IF($A61&lt;Input!$D$95,Input!$C$96,Input!$D$96),Input!$E$96),Input!$F$96),Input!$G$96),Input!$H$96)</f>
        <v>0.9</v>
      </c>
      <c r="AY61" s="60">
        <f t="shared" si="15"/>
        <v>0</v>
      </c>
      <c r="AZ61" s="60">
        <f t="shared" si="33"/>
        <v>30</v>
      </c>
      <c r="BA61" s="60">
        <f t="shared" si="16"/>
        <v>0</v>
      </c>
      <c r="BB61" s="60">
        <f>ROUND(BA61*AZ61*Input!$C$3/365,0)</f>
        <v>0</v>
      </c>
      <c r="BC61" s="61">
        <f>IF($A61&lt;=Input!$C$6,0,IF('144M'!AY61&lt;'144M'!BA61,'144M'!AY61-BB61,'144M'!BA61))</f>
        <v>0</v>
      </c>
      <c r="BD61" s="61">
        <f t="shared" si="17"/>
        <v>0</v>
      </c>
      <c r="BE61" s="60">
        <f t="shared" si="18"/>
        <v>0</v>
      </c>
      <c r="BF61" s="193"/>
      <c r="BG61" s="169">
        <v>57</v>
      </c>
      <c r="BH61" s="1">
        <f t="shared" si="34"/>
        <v>47253</v>
      </c>
      <c r="BI61" s="60">
        <f>IF($X61&lt;Input!$H$103,IF($X61&lt;Input!$G$103,IF($X61&lt;Input!$F$103,IF($X61&lt;Input!$E$103,IF($X61&lt;Input!$D$103,Input!$C$109,Input!$D$109),Input!$E$109),Input!$F$109),Input!$G$109),Input!$H$109)</f>
        <v>0</v>
      </c>
      <c r="BJ61" s="190">
        <f>IF($A61&lt;Input!$H$110,IF($A61&lt;Input!$G$110,IF($A61&lt;Input!$F$110,IF($A61&lt;Input!$E$110,IF($A61&lt;Input!$D$110,Input!$C$111,Input!$D$111),Input!$E$111),Input!$F$111),Input!$G$111),Input!$H$111)</f>
        <v>0.9</v>
      </c>
      <c r="BK61" s="60">
        <f t="shared" si="19"/>
        <v>0</v>
      </c>
      <c r="BL61" s="60">
        <f t="shared" si="35"/>
        <v>30</v>
      </c>
      <c r="BM61" s="60">
        <f t="shared" si="20"/>
        <v>0</v>
      </c>
      <c r="BN61" s="60">
        <f>ROUND(BM61*BL61*Input!$C$3/365,0)</f>
        <v>0</v>
      </c>
      <c r="BO61" s="61">
        <f>IF($A61&lt;=Input!$C$6,0,IF('144M'!BK61&lt;'144M'!BM61,'144M'!BK61-BN61,'144M'!BM61))</f>
        <v>0</v>
      </c>
      <c r="BP61" s="61">
        <f t="shared" si="21"/>
        <v>0</v>
      </c>
      <c r="BQ61" s="60">
        <f t="shared" si="22"/>
        <v>0</v>
      </c>
      <c r="BR61" s="198"/>
    </row>
    <row r="62" spans="1:70" x14ac:dyDescent="0.25">
      <c r="A62" s="169">
        <v>58</v>
      </c>
      <c r="B62" s="1">
        <f t="shared" si="23"/>
        <v>47284</v>
      </c>
      <c r="C62" s="60">
        <f t="shared" si="1"/>
        <v>18940500</v>
      </c>
      <c r="D62" s="60">
        <f t="shared" si="2"/>
        <v>17046450</v>
      </c>
      <c r="E62" s="60">
        <f t="shared" si="24"/>
        <v>31</v>
      </c>
      <c r="F62" s="60">
        <f t="shared" si="25"/>
        <v>755815039</v>
      </c>
      <c r="G62" s="60">
        <f>ROUND(F62*E62*Input!$C$3/365,0)</f>
        <v>9628877</v>
      </c>
      <c r="H62" s="60">
        <f>IF($A62&lt;=Input!$C$6,0,IF('144M'!D62&lt;'144M'!F62,'144M'!D62-G62,'144M'!F62))</f>
        <v>7417573</v>
      </c>
      <c r="I62" s="60">
        <f t="shared" si="26"/>
        <v>17046450</v>
      </c>
      <c r="J62" s="60">
        <f t="shared" si="27"/>
        <v>748397466</v>
      </c>
      <c r="K62" s="202">
        <f>J62/Input!$K$5</f>
        <v>2.4946582199999998</v>
      </c>
      <c r="L62" s="232"/>
      <c r="M62" s="60">
        <f>IF($B62&lt;Input!$H$43,IF($B62&lt;Input!$G$43,IF($B62&lt;Input!$F$43,IF($B62&lt;Input!$E$43,IF($B62&lt;Input!$D$43,Input!$C$49,Input!$D$49),Input!$E$49),Input!$F$49),Input!$G$49),Input!$H$49)</f>
        <v>18940500</v>
      </c>
      <c r="N62" s="190">
        <f>IF($A62&lt;Input!$H$50,IF($A62&lt;Input!$G$50,IF($A62&lt;Input!$F$50,IF($A62&lt;Input!$E$50,IF($A62&lt;Input!$D$50,Input!$C$51,Input!$D$51),Input!$E$51),Input!$F$51),Input!$G$51),Input!$H$51)</f>
        <v>0.9</v>
      </c>
      <c r="O62" s="60">
        <f t="shared" si="36"/>
        <v>17046450</v>
      </c>
      <c r="P62" s="60">
        <f t="shared" si="37"/>
        <v>31</v>
      </c>
      <c r="Q62" s="60">
        <f t="shared" si="4"/>
        <v>755815039</v>
      </c>
      <c r="R62" s="60">
        <f>ROUND(Q62*$P62*Input!$C$3/365,0)</f>
        <v>9628877</v>
      </c>
      <c r="S62" s="60">
        <f>IF(A62&lt;=Input!$C$6,0,IF('144M'!O62&lt;'144M'!Q62,'144M'!O62-R62,'144M'!Q62))</f>
        <v>7417573</v>
      </c>
      <c r="T62" s="60">
        <f t="shared" si="5"/>
        <v>17046450</v>
      </c>
      <c r="U62" s="60">
        <f t="shared" si="6"/>
        <v>748397466</v>
      </c>
      <c r="V62" s="193"/>
      <c r="W62" s="169">
        <v>58</v>
      </c>
      <c r="X62" s="1">
        <f t="shared" si="28"/>
        <v>47284</v>
      </c>
      <c r="Y62" s="60">
        <f>IF($X62&lt;Input!$H$58,IF($X62&lt;Input!$G$58,IF($X62&lt;Input!$F$58,IF($X62&lt;Input!$E$58,IF($X62&lt;Input!$D$58,Input!$C$64,Input!$D$64),Input!$E$64),Input!$F$64),Input!$G$64),Input!$H$64)</f>
        <v>0</v>
      </c>
      <c r="Z62" s="190">
        <f>IF($A62&lt;Input!$H$65,IF($A62&lt;Input!$G$65,IF($A62&lt;Input!$F$65,IF($A62&lt;Input!$E$65,IF($A62&lt;Input!$D$65,Input!$C$66,Input!$D$66),Input!$E$66),Input!$F$66),Input!$G$66),Input!$H$66)</f>
        <v>0.9</v>
      </c>
      <c r="AA62" s="60">
        <f t="shared" si="7"/>
        <v>0</v>
      </c>
      <c r="AB62" s="60">
        <f t="shared" si="29"/>
        <v>31</v>
      </c>
      <c r="AC62" s="60">
        <f t="shared" si="8"/>
        <v>0</v>
      </c>
      <c r="AD62" s="60">
        <f>ROUND(AC62*AB62*Input!$C$3/365,0)</f>
        <v>0</v>
      </c>
      <c r="AE62" s="61">
        <f>IF($A62&lt;=Input!$C$6,0,IF('144M'!AA62&lt;'144M'!AC62,'144M'!AA62-AD62,'144M'!AC62))</f>
        <v>0</v>
      </c>
      <c r="AF62" s="61">
        <f t="shared" si="9"/>
        <v>0</v>
      </c>
      <c r="AG62" s="60">
        <f t="shared" si="10"/>
        <v>0</v>
      </c>
      <c r="AH62" s="193"/>
      <c r="AI62" s="169">
        <v>58</v>
      </c>
      <c r="AJ62" s="1">
        <f t="shared" si="30"/>
        <v>47284</v>
      </c>
      <c r="AK62" s="60">
        <f>IF($X62&lt;Input!$H$73,IF($X62&lt;Input!$G$73,IF($X62&lt;Input!$F$73,IF($X62&lt;Input!$E$73,IF($X62&lt;Input!$D$73,Input!$C$79,Input!$D$79),Input!$E$79),Input!$F$79),Input!$G$79),Input!$H$79)</f>
        <v>0</v>
      </c>
      <c r="AL62" s="190">
        <f>IF($A62&lt;Input!$H$80,IF($A62&lt;Input!$G$80,IF($A62&lt;Input!$F$80,IF($A62&lt;Input!$E$80,IF($A62&lt;Input!$D$80,Input!$C$81,Input!$D$81),Input!$E$81),Input!$F$81),Input!$G$81),Input!$H$81)</f>
        <v>0.9</v>
      </c>
      <c r="AM62" s="60">
        <f t="shared" si="11"/>
        <v>0</v>
      </c>
      <c r="AN62" s="60">
        <f t="shared" si="31"/>
        <v>31</v>
      </c>
      <c r="AO62" s="60">
        <f t="shared" si="12"/>
        <v>0</v>
      </c>
      <c r="AP62" s="60">
        <f>ROUND(AO62*AN62*Input!$C$3/365,0)</f>
        <v>0</v>
      </c>
      <c r="AQ62" s="61">
        <f>IF($A62&lt;=Input!$C$6,0,IF('144M'!AM62&lt;'144M'!AO62,'144M'!AM62-AP62,'144M'!AO62))</f>
        <v>0</v>
      </c>
      <c r="AR62" s="61">
        <f t="shared" si="13"/>
        <v>0</v>
      </c>
      <c r="AS62" s="60">
        <f t="shared" si="14"/>
        <v>0</v>
      </c>
      <c r="AT62" s="193"/>
      <c r="AU62" s="169">
        <v>58</v>
      </c>
      <c r="AV62" s="1">
        <f t="shared" si="32"/>
        <v>47284</v>
      </c>
      <c r="AW62" s="60">
        <f>IF($X62&lt;Input!$H$88,IF($X62&lt;Input!$G$88,IF($X62&lt;Input!$F$88,IF($X62&lt;Input!$E$88,IF($X62&lt;Input!$D$88,Input!$C$94,Input!$D$94),Input!$E$94),Input!$F$94),Input!$G$94),Input!$H$94)</f>
        <v>0</v>
      </c>
      <c r="AX62" s="190">
        <f>IF($A62&lt;Input!$H$95,IF($A62&lt;Input!$G$95,IF($A62&lt;Input!$F$95,IF($A62&lt;Input!$E$95,IF($A62&lt;Input!$D$95,Input!$C$96,Input!$D$96),Input!$E$96),Input!$F$96),Input!$G$96),Input!$H$96)</f>
        <v>0.9</v>
      </c>
      <c r="AY62" s="60">
        <f t="shared" si="15"/>
        <v>0</v>
      </c>
      <c r="AZ62" s="60">
        <f t="shared" si="33"/>
        <v>31</v>
      </c>
      <c r="BA62" s="60">
        <f t="shared" si="16"/>
        <v>0</v>
      </c>
      <c r="BB62" s="60">
        <f>ROUND(BA62*AZ62*Input!$C$3/365,0)</f>
        <v>0</v>
      </c>
      <c r="BC62" s="61">
        <f>IF($A62&lt;=Input!$C$6,0,IF('144M'!AY62&lt;'144M'!BA62,'144M'!AY62-BB62,'144M'!BA62))</f>
        <v>0</v>
      </c>
      <c r="BD62" s="61">
        <f t="shared" si="17"/>
        <v>0</v>
      </c>
      <c r="BE62" s="60">
        <f t="shared" si="18"/>
        <v>0</v>
      </c>
      <c r="BF62" s="193"/>
      <c r="BG62" s="169">
        <v>58</v>
      </c>
      <c r="BH62" s="1">
        <f t="shared" si="34"/>
        <v>47284</v>
      </c>
      <c r="BI62" s="60">
        <f>IF($X62&lt;Input!$H$103,IF($X62&lt;Input!$G$103,IF($X62&lt;Input!$F$103,IF($X62&lt;Input!$E$103,IF($X62&lt;Input!$D$103,Input!$C$109,Input!$D$109),Input!$E$109),Input!$F$109),Input!$G$109),Input!$H$109)</f>
        <v>0</v>
      </c>
      <c r="BJ62" s="190">
        <f>IF($A62&lt;Input!$H$110,IF($A62&lt;Input!$G$110,IF($A62&lt;Input!$F$110,IF($A62&lt;Input!$E$110,IF($A62&lt;Input!$D$110,Input!$C$111,Input!$D$111),Input!$E$111),Input!$F$111),Input!$G$111),Input!$H$111)</f>
        <v>0.9</v>
      </c>
      <c r="BK62" s="60">
        <f t="shared" si="19"/>
        <v>0</v>
      </c>
      <c r="BL62" s="60">
        <f t="shared" si="35"/>
        <v>31</v>
      </c>
      <c r="BM62" s="60">
        <f t="shared" si="20"/>
        <v>0</v>
      </c>
      <c r="BN62" s="60">
        <f>ROUND(BM62*BL62*Input!$C$3/365,0)</f>
        <v>0</v>
      </c>
      <c r="BO62" s="61">
        <f>IF($A62&lt;=Input!$C$6,0,IF('144M'!BK62&lt;'144M'!BM62,'144M'!BK62-BN62,'144M'!BM62))</f>
        <v>0</v>
      </c>
      <c r="BP62" s="61">
        <f t="shared" si="21"/>
        <v>0</v>
      </c>
      <c r="BQ62" s="60">
        <f t="shared" si="22"/>
        <v>0</v>
      </c>
      <c r="BR62" s="198"/>
    </row>
    <row r="63" spans="1:70" x14ac:dyDescent="0.25">
      <c r="A63" s="169">
        <v>59</v>
      </c>
      <c r="B63" s="1">
        <f t="shared" si="23"/>
        <v>47314</v>
      </c>
      <c r="C63" s="60">
        <f t="shared" si="1"/>
        <v>18940500</v>
      </c>
      <c r="D63" s="60">
        <f t="shared" si="2"/>
        <v>17046450</v>
      </c>
      <c r="E63" s="60">
        <f t="shared" si="24"/>
        <v>30</v>
      </c>
      <c r="F63" s="60">
        <f t="shared" si="25"/>
        <v>748397466</v>
      </c>
      <c r="G63" s="60">
        <f>ROUND(F63*E63*Input!$C$3/365,0)</f>
        <v>9226818</v>
      </c>
      <c r="H63" s="60">
        <f>IF($A63&lt;=Input!$C$6,0,IF('144M'!D63&lt;'144M'!F63,'144M'!D63-G63,'144M'!F63))</f>
        <v>7819632</v>
      </c>
      <c r="I63" s="60">
        <f t="shared" si="26"/>
        <v>17046450</v>
      </c>
      <c r="J63" s="60">
        <f t="shared" si="27"/>
        <v>740577834</v>
      </c>
      <c r="K63" s="202">
        <f>J63/Input!$K$5</f>
        <v>2.4685927799999998</v>
      </c>
      <c r="L63" s="232"/>
      <c r="M63" s="60">
        <f>IF($B63&lt;Input!$H$43,IF($B63&lt;Input!$G$43,IF($B63&lt;Input!$F$43,IF($B63&lt;Input!$E$43,IF($B63&lt;Input!$D$43,Input!$C$49,Input!$D$49),Input!$E$49),Input!$F$49),Input!$G$49),Input!$H$49)</f>
        <v>18940500</v>
      </c>
      <c r="N63" s="190">
        <f>IF($A63&lt;Input!$H$50,IF($A63&lt;Input!$G$50,IF($A63&lt;Input!$F$50,IF($A63&lt;Input!$E$50,IF($A63&lt;Input!$D$50,Input!$C$51,Input!$D$51),Input!$E$51),Input!$F$51),Input!$G$51),Input!$H$51)</f>
        <v>0.9</v>
      </c>
      <c r="O63" s="60">
        <f t="shared" si="36"/>
        <v>17046450</v>
      </c>
      <c r="P63" s="60">
        <f t="shared" si="37"/>
        <v>30</v>
      </c>
      <c r="Q63" s="60">
        <f t="shared" si="4"/>
        <v>748397466</v>
      </c>
      <c r="R63" s="60">
        <f>ROUND(Q63*$P63*Input!$C$3/365,0)</f>
        <v>9226818</v>
      </c>
      <c r="S63" s="60">
        <f>IF(A63&lt;=Input!$C$6,0,IF('144M'!O63&lt;'144M'!Q63,'144M'!O63-R63,'144M'!Q63))</f>
        <v>7819632</v>
      </c>
      <c r="T63" s="60">
        <f t="shared" si="5"/>
        <v>17046450</v>
      </c>
      <c r="U63" s="60">
        <f t="shared" si="6"/>
        <v>740577834</v>
      </c>
      <c r="V63" s="193"/>
      <c r="W63" s="169">
        <v>59</v>
      </c>
      <c r="X63" s="1">
        <f t="shared" si="28"/>
        <v>47314</v>
      </c>
      <c r="Y63" s="60">
        <f>IF($X63&lt;Input!$H$58,IF($X63&lt;Input!$G$58,IF($X63&lt;Input!$F$58,IF($X63&lt;Input!$E$58,IF($X63&lt;Input!$D$58,Input!$C$64,Input!$D$64),Input!$E$64),Input!$F$64),Input!$G$64),Input!$H$64)</f>
        <v>0</v>
      </c>
      <c r="Z63" s="190">
        <f>IF($A63&lt;Input!$H$65,IF($A63&lt;Input!$G$65,IF($A63&lt;Input!$F$65,IF($A63&lt;Input!$E$65,IF($A63&lt;Input!$D$65,Input!$C$66,Input!$D$66),Input!$E$66),Input!$F$66),Input!$G$66),Input!$H$66)</f>
        <v>0.9</v>
      </c>
      <c r="AA63" s="60">
        <f t="shared" si="7"/>
        <v>0</v>
      </c>
      <c r="AB63" s="60">
        <f t="shared" si="29"/>
        <v>30</v>
      </c>
      <c r="AC63" s="60">
        <f t="shared" si="8"/>
        <v>0</v>
      </c>
      <c r="AD63" s="60">
        <f>ROUND(AC63*AB63*Input!$C$3/365,0)</f>
        <v>0</v>
      </c>
      <c r="AE63" s="61">
        <f>IF($A63&lt;=Input!$C$6,0,IF('144M'!AA63&lt;'144M'!AC63,'144M'!AA63-AD63,'144M'!AC63))</f>
        <v>0</v>
      </c>
      <c r="AF63" s="61">
        <f t="shared" si="9"/>
        <v>0</v>
      </c>
      <c r="AG63" s="60">
        <f t="shared" si="10"/>
        <v>0</v>
      </c>
      <c r="AH63" s="193"/>
      <c r="AI63" s="169">
        <v>59</v>
      </c>
      <c r="AJ63" s="1">
        <f t="shared" si="30"/>
        <v>47314</v>
      </c>
      <c r="AK63" s="60">
        <f>IF($X63&lt;Input!$H$73,IF($X63&lt;Input!$G$73,IF($X63&lt;Input!$F$73,IF($X63&lt;Input!$E$73,IF($X63&lt;Input!$D$73,Input!$C$79,Input!$D$79),Input!$E$79),Input!$F$79),Input!$G$79),Input!$H$79)</f>
        <v>0</v>
      </c>
      <c r="AL63" s="190">
        <f>IF($A63&lt;Input!$H$80,IF($A63&lt;Input!$G$80,IF($A63&lt;Input!$F$80,IF($A63&lt;Input!$E$80,IF($A63&lt;Input!$D$80,Input!$C$81,Input!$D$81),Input!$E$81),Input!$F$81),Input!$G$81),Input!$H$81)</f>
        <v>0.9</v>
      </c>
      <c r="AM63" s="60">
        <f t="shared" si="11"/>
        <v>0</v>
      </c>
      <c r="AN63" s="60">
        <f t="shared" si="31"/>
        <v>30</v>
      </c>
      <c r="AO63" s="60">
        <f t="shared" si="12"/>
        <v>0</v>
      </c>
      <c r="AP63" s="60">
        <f>ROUND(AO63*AN63*Input!$C$3/365,0)</f>
        <v>0</v>
      </c>
      <c r="AQ63" s="61">
        <f>IF($A63&lt;=Input!$C$6,0,IF('144M'!AM63&lt;'144M'!AO63,'144M'!AM63-AP63,'144M'!AO63))</f>
        <v>0</v>
      </c>
      <c r="AR63" s="61">
        <f t="shared" si="13"/>
        <v>0</v>
      </c>
      <c r="AS63" s="60">
        <f t="shared" si="14"/>
        <v>0</v>
      </c>
      <c r="AT63" s="193"/>
      <c r="AU63" s="169">
        <v>59</v>
      </c>
      <c r="AV63" s="1">
        <f t="shared" si="32"/>
        <v>47314</v>
      </c>
      <c r="AW63" s="60">
        <f>IF($X63&lt;Input!$H$88,IF($X63&lt;Input!$G$88,IF($X63&lt;Input!$F$88,IF($X63&lt;Input!$E$88,IF($X63&lt;Input!$D$88,Input!$C$94,Input!$D$94),Input!$E$94),Input!$F$94),Input!$G$94),Input!$H$94)</f>
        <v>0</v>
      </c>
      <c r="AX63" s="190">
        <f>IF($A63&lt;Input!$H$95,IF($A63&lt;Input!$G$95,IF($A63&lt;Input!$F$95,IF($A63&lt;Input!$E$95,IF($A63&lt;Input!$D$95,Input!$C$96,Input!$D$96),Input!$E$96),Input!$F$96),Input!$G$96),Input!$H$96)</f>
        <v>0.9</v>
      </c>
      <c r="AY63" s="60">
        <f t="shared" si="15"/>
        <v>0</v>
      </c>
      <c r="AZ63" s="60">
        <f t="shared" si="33"/>
        <v>30</v>
      </c>
      <c r="BA63" s="60">
        <f t="shared" si="16"/>
        <v>0</v>
      </c>
      <c r="BB63" s="60">
        <f>ROUND(BA63*AZ63*Input!$C$3/365,0)</f>
        <v>0</v>
      </c>
      <c r="BC63" s="61">
        <f>IF($A63&lt;=Input!$C$6,0,IF('144M'!AY63&lt;'144M'!BA63,'144M'!AY63-BB63,'144M'!BA63))</f>
        <v>0</v>
      </c>
      <c r="BD63" s="61">
        <f t="shared" si="17"/>
        <v>0</v>
      </c>
      <c r="BE63" s="60">
        <f t="shared" si="18"/>
        <v>0</v>
      </c>
      <c r="BF63" s="193"/>
      <c r="BG63" s="169">
        <v>59</v>
      </c>
      <c r="BH63" s="1">
        <f t="shared" si="34"/>
        <v>47314</v>
      </c>
      <c r="BI63" s="60">
        <f>IF($X63&lt;Input!$H$103,IF($X63&lt;Input!$G$103,IF($X63&lt;Input!$F$103,IF($X63&lt;Input!$E$103,IF($X63&lt;Input!$D$103,Input!$C$109,Input!$D$109),Input!$E$109),Input!$F$109),Input!$G$109),Input!$H$109)</f>
        <v>0</v>
      </c>
      <c r="BJ63" s="190">
        <f>IF($A63&lt;Input!$H$110,IF($A63&lt;Input!$G$110,IF($A63&lt;Input!$F$110,IF($A63&lt;Input!$E$110,IF($A63&lt;Input!$D$110,Input!$C$111,Input!$D$111),Input!$E$111),Input!$F$111),Input!$G$111),Input!$H$111)</f>
        <v>0.9</v>
      </c>
      <c r="BK63" s="60">
        <f t="shared" si="19"/>
        <v>0</v>
      </c>
      <c r="BL63" s="60">
        <f t="shared" si="35"/>
        <v>30</v>
      </c>
      <c r="BM63" s="60">
        <f t="shared" si="20"/>
        <v>0</v>
      </c>
      <c r="BN63" s="60">
        <f>ROUND(BM63*BL63*Input!$C$3/365,0)</f>
        <v>0</v>
      </c>
      <c r="BO63" s="61">
        <f>IF($A63&lt;=Input!$C$6,0,IF('144M'!BK63&lt;'144M'!BM63,'144M'!BK63-BN63,'144M'!BM63))</f>
        <v>0</v>
      </c>
      <c r="BP63" s="61">
        <f t="shared" si="21"/>
        <v>0</v>
      </c>
      <c r="BQ63" s="60">
        <f t="shared" si="22"/>
        <v>0</v>
      </c>
      <c r="BR63" s="198"/>
    </row>
    <row r="64" spans="1:70" x14ac:dyDescent="0.25">
      <c r="A64" s="169">
        <v>60</v>
      </c>
      <c r="B64" s="1">
        <f t="shared" si="23"/>
        <v>47345</v>
      </c>
      <c r="C64" s="60">
        <f t="shared" si="1"/>
        <v>18940500</v>
      </c>
      <c r="D64" s="60">
        <f t="shared" si="2"/>
        <v>17046450</v>
      </c>
      <c r="E64" s="60">
        <f t="shared" si="24"/>
        <v>31</v>
      </c>
      <c r="F64" s="60">
        <f t="shared" si="25"/>
        <v>740577834</v>
      </c>
      <c r="G64" s="60">
        <f>ROUND(F64*E64*Input!$C$3/365,0)</f>
        <v>9434759</v>
      </c>
      <c r="H64" s="60">
        <f>IF($A64&lt;=Input!$C$6,0,IF('144M'!D64&lt;'144M'!F64,'144M'!D64-G64,'144M'!F64))</f>
        <v>7611691</v>
      </c>
      <c r="I64" s="60">
        <f t="shared" si="26"/>
        <v>17046450</v>
      </c>
      <c r="J64" s="60">
        <f t="shared" si="27"/>
        <v>732966143</v>
      </c>
      <c r="K64" s="202">
        <f>J64/Input!$K$5</f>
        <v>2.4432204766666668</v>
      </c>
      <c r="L64" s="232"/>
      <c r="M64" s="60">
        <f>IF($B64&lt;Input!$H$43,IF($B64&lt;Input!$G$43,IF($B64&lt;Input!$F$43,IF($B64&lt;Input!$E$43,IF($B64&lt;Input!$D$43,Input!$C$49,Input!$D$49),Input!$E$49),Input!$F$49),Input!$G$49),Input!$H$49)</f>
        <v>18940500</v>
      </c>
      <c r="N64" s="190">
        <f>IF($A64&lt;Input!$H$50,IF($A64&lt;Input!$G$50,IF($A64&lt;Input!$F$50,IF($A64&lt;Input!$E$50,IF($A64&lt;Input!$D$50,Input!$C$51,Input!$D$51),Input!$E$51),Input!$F$51),Input!$G$51),Input!$H$51)</f>
        <v>0.9</v>
      </c>
      <c r="O64" s="60">
        <f t="shared" si="36"/>
        <v>17046450</v>
      </c>
      <c r="P64" s="60">
        <f t="shared" si="37"/>
        <v>31</v>
      </c>
      <c r="Q64" s="60">
        <f t="shared" si="4"/>
        <v>740577834</v>
      </c>
      <c r="R64" s="60">
        <f>ROUND(Q64*$P64*Input!$C$3/365,0)</f>
        <v>9434759</v>
      </c>
      <c r="S64" s="60">
        <f>IF(A64&lt;=Input!$C$6,0,IF('144M'!O64&lt;'144M'!Q64,'144M'!O64-R64,'144M'!Q64))</f>
        <v>7611691</v>
      </c>
      <c r="T64" s="60">
        <f t="shared" si="5"/>
        <v>17046450</v>
      </c>
      <c r="U64" s="60">
        <f t="shared" si="6"/>
        <v>732966143</v>
      </c>
      <c r="V64" s="193"/>
      <c r="W64" s="169">
        <v>60</v>
      </c>
      <c r="X64" s="1">
        <f t="shared" si="28"/>
        <v>47345</v>
      </c>
      <c r="Y64" s="60">
        <f>IF($X64&lt;Input!$H$58,IF($X64&lt;Input!$G$58,IF($X64&lt;Input!$F$58,IF($X64&lt;Input!$E$58,IF($X64&lt;Input!$D$58,Input!$C$64,Input!$D$64),Input!$E$64),Input!$F$64),Input!$G$64),Input!$H$64)</f>
        <v>0</v>
      </c>
      <c r="Z64" s="190">
        <f>IF($A64&lt;Input!$H$65,IF($A64&lt;Input!$G$65,IF($A64&lt;Input!$F$65,IF($A64&lt;Input!$E$65,IF($A64&lt;Input!$D$65,Input!$C$66,Input!$D$66),Input!$E$66),Input!$F$66),Input!$G$66),Input!$H$66)</f>
        <v>0.9</v>
      </c>
      <c r="AA64" s="60">
        <f t="shared" si="7"/>
        <v>0</v>
      </c>
      <c r="AB64" s="60">
        <f t="shared" si="29"/>
        <v>31</v>
      </c>
      <c r="AC64" s="60">
        <f t="shared" si="8"/>
        <v>0</v>
      </c>
      <c r="AD64" s="60">
        <f>ROUND(AC64*AB64*Input!$C$3/365,0)</f>
        <v>0</v>
      </c>
      <c r="AE64" s="61">
        <f>IF($A64&lt;=Input!$C$6,0,IF('144M'!AA64&lt;'144M'!AC64,'144M'!AA64-AD64,'144M'!AC64))</f>
        <v>0</v>
      </c>
      <c r="AF64" s="61">
        <f t="shared" si="9"/>
        <v>0</v>
      </c>
      <c r="AG64" s="60">
        <f t="shared" si="10"/>
        <v>0</v>
      </c>
      <c r="AH64" s="193"/>
      <c r="AI64" s="169">
        <v>60</v>
      </c>
      <c r="AJ64" s="1">
        <f t="shared" si="30"/>
        <v>47345</v>
      </c>
      <c r="AK64" s="60">
        <f>IF($X64&lt;Input!$H$73,IF($X64&lt;Input!$G$73,IF($X64&lt;Input!$F$73,IF($X64&lt;Input!$E$73,IF($X64&lt;Input!$D$73,Input!$C$79,Input!$D$79),Input!$E$79),Input!$F$79),Input!$G$79),Input!$H$79)</f>
        <v>0</v>
      </c>
      <c r="AL64" s="190">
        <f>IF($A64&lt;Input!$H$80,IF($A64&lt;Input!$G$80,IF($A64&lt;Input!$F$80,IF($A64&lt;Input!$E$80,IF($A64&lt;Input!$D$80,Input!$C$81,Input!$D$81),Input!$E$81),Input!$F$81),Input!$G$81),Input!$H$81)</f>
        <v>0.9</v>
      </c>
      <c r="AM64" s="60">
        <f t="shared" si="11"/>
        <v>0</v>
      </c>
      <c r="AN64" s="60">
        <f t="shared" si="31"/>
        <v>31</v>
      </c>
      <c r="AO64" s="60">
        <f t="shared" si="12"/>
        <v>0</v>
      </c>
      <c r="AP64" s="60">
        <f>ROUND(AO64*AN64*Input!$C$3/365,0)</f>
        <v>0</v>
      </c>
      <c r="AQ64" s="61">
        <f>IF($A64&lt;=Input!$C$6,0,IF('144M'!AM64&lt;'144M'!AO64,'144M'!AM64-AP64,'144M'!AO64))</f>
        <v>0</v>
      </c>
      <c r="AR64" s="61">
        <f t="shared" si="13"/>
        <v>0</v>
      </c>
      <c r="AS64" s="60">
        <f t="shared" si="14"/>
        <v>0</v>
      </c>
      <c r="AT64" s="193"/>
      <c r="AU64" s="169">
        <v>60</v>
      </c>
      <c r="AV64" s="1">
        <f t="shared" si="32"/>
        <v>47345</v>
      </c>
      <c r="AW64" s="60">
        <f>IF($X64&lt;Input!$H$88,IF($X64&lt;Input!$G$88,IF($X64&lt;Input!$F$88,IF($X64&lt;Input!$E$88,IF($X64&lt;Input!$D$88,Input!$C$94,Input!$D$94),Input!$E$94),Input!$F$94),Input!$G$94),Input!$H$94)</f>
        <v>0</v>
      </c>
      <c r="AX64" s="190">
        <f>IF($A64&lt;Input!$H$95,IF($A64&lt;Input!$G$95,IF($A64&lt;Input!$F$95,IF($A64&lt;Input!$E$95,IF($A64&lt;Input!$D$95,Input!$C$96,Input!$D$96),Input!$E$96),Input!$F$96),Input!$G$96),Input!$H$96)</f>
        <v>0.9</v>
      </c>
      <c r="AY64" s="60">
        <f t="shared" si="15"/>
        <v>0</v>
      </c>
      <c r="AZ64" s="60">
        <f t="shared" si="33"/>
        <v>31</v>
      </c>
      <c r="BA64" s="60">
        <f t="shared" si="16"/>
        <v>0</v>
      </c>
      <c r="BB64" s="60">
        <f>ROUND(BA64*AZ64*Input!$C$3/365,0)</f>
        <v>0</v>
      </c>
      <c r="BC64" s="61">
        <f>IF($A64&lt;=Input!$C$6,0,IF('144M'!AY64&lt;'144M'!BA64,'144M'!AY64-BB64,'144M'!BA64))</f>
        <v>0</v>
      </c>
      <c r="BD64" s="61">
        <f t="shared" si="17"/>
        <v>0</v>
      </c>
      <c r="BE64" s="60">
        <f t="shared" si="18"/>
        <v>0</v>
      </c>
      <c r="BF64" s="193"/>
      <c r="BG64" s="169">
        <v>60</v>
      </c>
      <c r="BH64" s="1">
        <f t="shared" si="34"/>
        <v>47345</v>
      </c>
      <c r="BI64" s="60">
        <f>IF($X64&lt;Input!$H$103,IF($X64&lt;Input!$G$103,IF($X64&lt;Input!$F$103,IF($X64&lt;Input!$E$103,IF($X64&lt;Input!$D$103,Input!$C$109,Input!$D$109),Input!$E$109),Input!$F$109),Input!$G$109),Input!$H$109)</f>
        <v>0</v>
      </c>
      <c r="BJ64" s="190">
        <f>IF($A64&lt;Input!$H$110,IF($A64&lt;Input!$G$110,IF($A64&lt;Input!$F$110,IF($A64&lt;Input!$E$110,IF($A64&lt;Input!$D$110,Input!$C$111,Input!$D$111),Input!$E$111),Input!$F$111),Input!$G$111),Input!$H$111)</f>
        <v>0.9</v>
      </c>
      <c r="BK64" s="60">
        <f t="shared" si="19"/>
        <v>0</v>
      </c>
      <c r="BL64" s="60">
        <f t="shared" si="35"/>
        <v>31</v>
      </c>
      <c r="BM64" s="60">
        <f t="shared" si="20"/>
        <v>0</v>
      </c>
      <c r="BN64" s="60">
        <f>ROUND(BM64*BL64*Input!$C$3/365,0)</f>
        <v>0</v>
      </c>
      <c r="BO64" s="61">
        <f>IF($A64&lt;=Input!$C$6,0,IF('144M'!BK64&lt;'144M'!BM64,'144M'!BK64-BN64,'144M'!BM64))</f>
        <v>0</v>
      </c>
      <c r="BP64" s="61">
        <f t="shared" si="21"/>
        <v>0</v>
      </c>
      <c r="BQ64" s="60">
        <f t="shared" si="22"/>
        <v>0</v>
      </c>
      <c r="BR64" s="198"/>
    </row>
    <row r="65" spans="1:70" x14ac:dyDescent="0.25">
      <c r="A65" s="169">
        <v>61</v>
      </c>
      <c r="B65" s="1">
        <f t="shared" si="23"/>
        <v>47376</v>
      </c>
      <c r="C65" s="60">
        <f t="shared" si="1"/>
        <v>18940500</v>
      </c>
      <c r="D65" s="60">
        <f t="shared" si="2"/>
        <v>17046450</v>
      </c>
      <c r="E65" s="60">
        <f t="shared" si="24"/>
        <v>31</v>
      </c>
      <c r="F65" s="60">
        <f t="shared" si="25"/>
        <v>732966143</v>
      </c>
      <c r="G65" s="60">
        <f>ROUND(F65*E65*Input!$C$3/365,0)</f>
        <v>9337788</v>
      </c>
      <c r="H65" s="60">
        <f>IF($A65&lt;=Input!$C$6,0,IF('144M'!D65&lt;'144M'!F65,'144M'!D65-G65,'144M'!F65))</f>
        <v>7708662</v>
      </c>
      <c r="I65" s="60">
        <f t="shared" si="26"/>
        <v>17046450</v>
      </c>
      <c r="J65" s="60">
        <f t="shared" si="27"/>
        <v>725257481</v>
      </c>
      <c r="K65" s="202">
        <f>J65/Input!$K$5</f>
        <v>2.4175249366666667</v>
      </c>
      <c r="L65" s="232"/>
      <c r="M65" s="60">
        <f>IF($B65&lt;Input!$H$43,IF($B65&lt;Input!$G$43,IF($B65&lt;Input!$F$43,IF($B65&lt;Input!$E$43,IF($B65&lt;Input!$D$43,Input!$C$49,Input!$D$49),Input!$E$49),Input!$F$49),Input!$G$49),Input!$H$49)</f>
        <v>18940500</v>
      </c>
      <c r="N65" s="190">
        <f>IF($A65&lt;Input!$H$50,IF($A65&lt;Input!$G$50,IF($A65&lt;Input!$F$50,IF($A65&lt;Input!$E$50,IF($A65&lt;Input!$D$50,Input!$C$51,Input!$D$51),Input!$E$51),Input!$F$51),Input!$G$51),Input!$H$51)</f>
        <v>0.9</v>
      </c>
      <c r="O65" s="60">
        <f t="shared" si="36"/>
        <v>17046450</v>
      </c>
      <c r="P65" s="60">
        <f t="shared" si="37"/>
        <v>31</v>
      </c>
      <c r="Q65" s="60">
        <f t="shared" si="4"/>
        <v>732966143</v>
      </c>
      <c r="R65" s="60">
        <f>ROUND(Q65*$P65*Input!$C$3/365,0)</f>
        <v>9337788</v>
      </c>
      <c r="S65" s="60">
        <f>IF(A65&lt;=Input!$C$6,0,IF('144M'!O65&lt;'144M'!Q65,'144M'!O65-R65,'144M'!Q65))</f>
        <v>7708662</v>
      </c>
      <c r="T65" s="60">
        <f t="shared" si="5"/>
        <v>17046450</v>
      </c>
      <c r="U65" s="60">
        <f t="shared" si="6"/>
        <v>725257481</v>
      </c>
      <c r="V65" s="193"/>
      <c r="W65" s="169">
        <v>61</v>
      </c>
      <c r="X65" s="1">
        <f t="shared" si="28"/>
        <v>47376</v>
      </c>
      <c r="Y65" s="60">
        <f>IF($X65&lt;Input!$H$58,IF($X65&lt;Input!$G$58,IF($X65&lt;Input!$F$58,IF($X65&lt;Input!$E$58,IF($X65&lt;Input!$D$58,Input!$C$64,Input!$D$64),Input!$E$64),Input!$F$64),Input!$G$64),Input!$H$64)</f>
        <v>0</v>
      </c>
      <c r="Z65" s="190">
        <f>IF($A65&lt;Input!$H$65,IF($A65&lt;Input!$G$65,IF($A65&lt;Input!$F$65,IF($A65&lt;Input!$E$65,IF($A65&lt;Input!$D$65,Input!$C$66,Input!$D$66),Input!$E$66),Input!$F$66),Input!$G$66),Input!$H$66)</f>
        <v>0.9</v>
      </c>
      <c r="AA65" s="60">
        <f t="shared" si="7"/>
        <v>0</v>
      </c>
      <c r="AB65" s="60">
        <f t="shared" si="29"/>
        <v>31</v>
      </c>
      <c r="AC65" s="60">
        <f t="shared" si="8"/>
        <v>0</v>
      </c>
      <c r="AD65" s="60">
        <f>ROUND(AC65*AB65*Input!$C$3/365,0)</f>
        <v>0</v>
      </c>
      <c r="AE65" s="61">
        <f>IF($A65&lt;=Input!$C$6,0,IF('144M'!AA65&lt;'144M'!AC65,'144M'!AA65-AD65,'144M'!AC65))</f>
        <v>0</v>
      </c>
      <c r="AF65" s="61">
        <f t="shared" si="9"/>
        <v>0</v>
      </c>
      <c r="AG65" s="60">
        <f t="shared" si="10"/>
        <v>0</v>
      </c>
      <c r="AH65" s="193"/>
      <c r="AI65" s="169">
        <v>61</v>
      </c>
      <c r="AJ65" s="1">
        <f t="shared" si="30"/>
        <v>47376</v>
      </c>
      <c r="AK65" s="60">
        <f>IF($X65&lt;Input!$H$73,IF($X65&lt;Input!$G$73,IF($X65&lt;Input!$F$73,IF($X65&lt;Input!$E$73,IF($X65&lt;Input!$D$73,Input!$C$79,Input!$D$79),Input!$E$79),Input!$F$79),Input!$G$79),Input!$H$79)</f>
        <v>0</v>
      </c>
      <c r="AL65" s="190">
        <f>IF($A65&lt;Input!$H$80,IF($A65&lt;Input!$G$80,IF($A65&lt;Input!$F$80,IF($A65&lt;Input!$E$80,IF($A65&lt;Input!$D$80,Input!$C$81,Input!$D$81),Input!$E$81),Input!$F$81),Input!$G$81),Input!$H$81)</f>
        <v>0.9</v>
      </c>
      <c r="AM65" s="60">
        <f t="shared" si="11"/>
        <v>0</v>
      </c>
      <c r="AN65" s="60">
        <f t="shared" si="31"/>
        <v>31</v>
      </c>
      <c r="AO65" s="60">
        <f t="shared" si="12"/>
        <v>0</v>
      </c>
      <c r="AP65" s="60">
        <f>ROUND(AO65*AN65*Input!$C$3/365,0)</f>
        <v>0</v>
      </c>
      <c r="AQ65" s="61">
        <f>IF($A65&lt;=Input!$C$6,0,IF('144M'!AM65&lt;'144M'!AO65,'144M'!AM65-AP65,'144M'!AO65))</f>
        <v>0</v>
      </c>
      <c r="AR65" s="61">
        <f t="shared" si="13"/>
        <v>0</v>
      </c>
      <c r="AS65" s="60">
        <f t="shared" si="14"/>
        <v>0</v>
      </c>
      <c r="AT65" s="193"/>
      <c r="AU65" s="169">
        <v>61</v>
      </c>
      <c r="AV65" s="1">
        <f t="shared" si="32"/>
        <v>47376</v>
      </c>
      <c r="AW65" s="60">
        <f>IF($X65&lt;Input!$H$88,IF($X65&lt;Input!$G$88,IF($X65&lt;Input!$F$88,IF($X65&lt;Input!$E$88,IF($X65&lt;Input!$D$88,Input!$C$94,Input!$D$94),Input!$E$94),Input!$F$94),Input!$G$94),Input!$H$94)</f>
        <v>0</v>
      </c>
      <c r="AX65" s="190">
        <f>IF($A65&lt;Input!$H$95,IF($A65&lt;Input!$G$95,IF($A65&lt;Input!$F$95,IF($A65&lt;Input!$E$95,IF($A65&lt;Input!$D$95,Input!$C$96,Input!$D$96),Input!$E$96),Input!$F$96),Input!$G$96),Input!$H$96)</f>
        <v>0.9</v>
      </c>
      <c r="AY65" s="60">
        <f t="shared" si="15"/>
        <v>0</v>
      </c>
      <c r="AZ65" s="60">
        <f t="shared" si="33"/>
        <v>31</v>
      </c>
      <c r="BA65" s="60">
        <f t="shared" si="16"/>
        <v>0</v>
      </c>
      <c r="BB65" s="60">
        <f>ROUND(BA65*AZ65*Input!$C$3/365,0)</f>
        <v>0</v>
      </c>
      <c r="BC65" s="61">
        <f>IF($A65&lt;=Input!$C$6,0,IF('144M'!AY65&lt;'144M'!BA65,'144M'!AY65-BB65,'144M'!BA65))</f>
        <v>0</v>
      </c>
      <c r="BD65" s="61">
        <f t="shared" si="17"/>
        <v>0</v>
      </c>
      <c r="BE65" s="60">
        <f t="shared" si="18"/>
        <v>0</v>
      </c>
      <c r="BF65" s="193"/>
      <c r="BG65" s="169">
        <v>61</v>
      </c>
      <c r="BH65" s="1">
        <f t="shared" si="34"/>
        <v>47376</v>
      </c>
      <c r="BI65" s="60">
        <f>IF($X65&lt;Input!$H$103,IF($X65&lt;Input!$G$103,IF($X65&lt;Input!$F$103,IF($X65&lt;Input!$E$103,IF($X65&lt;Input!$D$103,Input!$C$109,Input!$D$109),Input!$E$109),Input!$F$109),Input!$G$109),Input!$H$109)</f>
        <v>0</v>
      </c>
      <c r="BJ65" s="190">
        <f>IF($A65&lt;Input!$H$110,IF($A65&lt;Input!$G$110,IF($A65&lt;Input!$F$110,IF($A65&lt;Input!$E$110,IF($A65&lt;Input!$D$110,Input!$C$111,Input!$D$111),Input!$E$111),Input!$F$111),Input!$G$111),Input!$H$111)</f>
        <v>0.9</v>
      </c>
      <c r="BK65" s="60">
        <f t="shared" si="19"/>
        <v>0</v>
      </c>
      <c r="BL65" s="60">
        <f t="shared" si="35"/>
        <v>31</v>
      </c>
      <c r="BM65" s="60">
        <f t="shared" si="20"/>
        <v>0</v>
      </c>
      <c r="BN65" s="60">
        <f>ROUND(BM65*BL65*Input!$C$3/365,0)</f>
        <v>0</v>
      </c>
      <c r="BO65" s="61">
        <f>IF($A65&lt;=Input!$C$6,0,IF('144M'!BK65&lt;'144M'!BM65,'144M'!BK65-BN65,'144M'!BM65))</f>
        <v>0</v>
      </c>
      <c r="BP65" s="61">
        <f t="shared" si="21"/>
        <v>0</v>
      </c>
      <c r="BQ65" s="60">
        <f t="shared" si="22"/>
        <v>0</v>
      </c>
      <c r="BR65" s="198"/>
    </row>
    <row r="66" spans="1:70" x14ac:dyDescent="0.25">
      <c r="A66" s="169">
        <v>62</v>
      </c>
      <c r="B66" s="1">
        <f t="shared" si="23"/>
        <v>47406</v>
      </c>
      <c r="C66" s="60">
        <f t="shared" si="1"/>
        <v>18940500</v>
      </c>
      <c r="D66" s="60">
        <f t="shared" si="2"/>
        <v>17046450</v>
      </c>
      <c r="E66" s="60">
        <f t="shared" si="24"/>
        <v>30</v>
      </c>
      <c r="F66" s="60">
        <f t="shared" si="25"/>
        <v>725257481</v>
      </c>
      <c r="G66" s="60">
        <f>ROUND(F66*E66*Input!$C$3/365,0)</f>
        <v>8941531</v>
      </c>
      <c r="H66" s="60">
        <f>IF($A66&lt;=Input!$C$6,0,IF('144M'!D66&lt;'144M'!F66,'144M'!D66-G66,'144M'!F66))</f>
        <v>8104919</v>
      </c>
      <c r="I66" s="60">
        <f t="shared" si="26"/>
        <v>17046450</v>
      </c>
      <c r="J66" s="60">
        <f t="shared" si="27"/>
        <v>717152562</v>
      </c>
      <c r="K66" s="202">
        <f>J66/Input!$K$5</f>
        <v>2.3905085399999999</v>
      </c>
      <c r="L66" s="232"/>
      <c r="M66" s="60">
        <f>IF($B66&lt;Input!$H$43,IF($B66&lt;Input!$G$43,IF($B66&lt;Input!$F$43,IF($B66&lt;Input!$E$43,IF($B66&lt;Input!$D$43,Input!$C$49,Input!$D$49),Input!$E$49),Input!$F$49),Input!$G$49),Input!$H$49)</f>
        <v>18940500</v>
      </c>
      <c r="N66" s="190">
        <f>IF($A66&lt;Input!$H$50,IF($A66&lt;Input!$G$50,IF($A66&lt;Input!$F$50,IF($A66&lt;Input!$E$50,IF($A66&lt;Input!$D$50,Input!$C$51,Input!$D$51),Input!$E$51),Input!$F$51),Input!$G$51),Input!$H$51)</f>
        <v>0.9</v>
      </c>
      <c r="O66" s="60">
        <f t="shared" si="36"/>
        <v>17046450</v>
      </c>
      <c r="P66" s="60">
        <f t="shared" si="37"/>
        <v>30</v>
      </c>
      <c r="Q66" s="60">
        <f t="shared" si="4"/>
        <v>725257481</v>
      </c>
      <c r="R66" s="60">
        <f>ROUND(Q66*$P66*Input!$C$3/365,0)</f>
        <v>8941531</v>
      </c>
      <c r="S66" s="60">
        <f>IF(A66&lt;=Input!$C$6,0,IF('144M'!O66&lt;'144M'!Q66,'144M'!O66-R66,'144M'!Q66))</f>
        <v>8104919</v>
      </c>
      <c r="T66" s="60">
        <f t="shared" si="5"/>
        <v>17046450</v>
      </c>
      <c r="U66" s="60">
        <f t="shared" si="6"/>
        <v>717152562</v>
      </c>
      <c r="V66" s="193"/>
      <c r="W66" s="169">
        <v>62</v>
      </c>
      <c r="X66" s="1">
        <f t="shared" si="28"/>
        <v>47406</v>
      </c>
      <c r="Y66" s="60">
        <f>IF($X66&lt;Input!$H$58,IF($X66&lt;Input!$G$58,IF($X66&lt;Input!$F$58,IF($X66&lt;Input!$E$58,IF($X66&lt;Input!$D$58,Input!$C$64,Input!$D$64),Input!$E$64),Input!$F$64),Input!$G$64),Input!$H$64)</f>
        <v>0</v>
      </c>
      <c r="Z66" s="190">
        <f>IF($A66&lt;Input!$H$65,IF($A66&lt;Input!$G$65,IF($A66&lt;Input!$F$65,IF($A66&lt;Input!$E$65,IF($A66&lt;Input!$D$65,Input!$C$66,Input!$D$66),Input!$E$66),Input!$F$66),Input!$G$66),Input!$H$66)</f>
        <v>0.9</v>
      </c>
      <c r="AA66" s="60">
        <f t="shared" si="7"/>
        <v>0</v>
      </c>
      <c r="AB66" s="60">
        <f t="shared" si="29"/>
        <v>30</v>
      </c>
      <c r="AC66" s="60">
        <f t="shared" si="8"/>
        <v>0</v>
      </c>
      <c r="AD66" s="60">
        <f>ROUND(AC66*AB66*Input!$C$3/365,0)</f>
        <v>0</v>
      </c>
      <c r="AE66" s="61">
        <f>IF($A66&lt;=Input!$C$6,0,IF('144M'!AA66&lt;'144M'!AC66,'144M'!AA66-AD66,'144M'!AC66))</f>
        <v>0</v>
      </c>
      <c r="AF66" s="61">
        <f t="shared" si="9"/>
        <v>0</v>
      </c>
      <c r="AG66" s="60">
        <f t="shared" si="10"/>
        <v>0</v>
      </c>
      <c r="AH66" s="193"/>
      <c r="AI66" s="169">
        <v>62</v>
      </c>
      <c r="AJ66" s="1">
        <f t="shared" si="30"/>
        <v>47406</v>
      </c>
      <c r="AK66" s="60">
        <f>IF($X66&lt;Input!$H$73,IF($X66&lt;Input!$G$73,IF($X66&lt;Input!$F$73,IF($X66&lt;Input!$E$73,IF($X66&lt;Input!$D$73,Input!$C$79,Input!$D$79),Input!$E$79),Input!$F$79),Input!$G$79),Input!$H$79)</f>
        <v>0</v>
      </c>
      <c r="AL66" s="190">
        <f>IF($A66&lt;Input!$H$80,IF($A66&lt;Input!$G$80,IF($A66&lt;Input!$F$80,IF($A66&lt;Input!$E$80,IF($A66&lt;Input!$D$80,Input!$C$81,Input!$D$81),Input!$E$81),Input!$F$81),Input!$G$81),Input!$H$81)</f>
        <v>0.9</v>
      </c>
      <c r="AM66" s="60">
        <f t="shared" si="11"/>
        <v>0</v>
      </c>
      <c r="AN66" s="60">
        <f t="shared" si="31"/>
        <v>30</v>
      </c>
      <c r="AO66" s="60">
        <f t="shared" si="12"/>
        <v>0</v>
      </c>
      <c r="AP66" s="60">
        <f>ROUND(AO66*AN66*Input!$C$3/365,0)</f>
        <v>0</v>
      </c>
      <c r="AQ66" s="61">
        <f>IF($A66&lt;=Input!$C$6,0,IF('144M'!AM66&lt;'144M'!AO66,'144M'!AM66-AP66,'144M'!AO66))</f>
        <v>0</v>
      </c>
      <c r="AR66" s="61">
        <f t="shared" si="13"/>
        <v>0</v>
      </c>
      <c r="AS66" s="60">
        <f t="shared" si="14"/>
        <v>0</v>
      </c>
      <c r="AT66" s="193"/>
      <c r="AU66" s="169">
        <v>62</v>
      </c>
      <c r="AV66" s="1">
        <f t="shared" si="32"/>
        <v>47406</v>
      </c>
      <c r="AW66" s="60">
        <f>IF($X66&lt;Input!$H$88,IF($X66&lt;Input!$G$88,IF($X66&lt;Input!$F$88,IF($X66&lt;Input!$E$88,IF($X66&lt;Input!$D$88,Input!$C$94,Input!$D$94),Input!$E$94),Input!$F$94),Input!$G$94),Input!$H$94)</f>
        <v>0</v>
      </c>
      <c r="AX66" s="190">
        <f>IF($A66&lt;Input!$H$95,IF($A66&lt;Input!$G$95,IF($A66&lt;Input!$F$95,IF($A66&lt;Input!$E$95,IF($A66&lt;Input!$D$95,Input!$C$96,Input!$D$96),Input!$E$96),Input!$F$96),Input!$G$96),Input!$H$96)</f>
        <v>0.9</v>
      </c>
      <c r="AY66" s="60">
        <f t="shared" si="15"/>
        <v>0</v>
      </c>
      <c r="AZ66" s="60">
        <f t="shared" si="33"/>
        <v>30</v>
      </c>
      <c r="BA66" s="60">
        <f t="shared" si="16"/>
        <v>0</v>
      </c>
      <c r="BB66" s="60">
        <f>ROUND(BA66*AZ66*Input!$C$3/365,0)</f>
        <v>0</v>
      </c>
      <c r="BC66" s="61">
        <f>IF($A66&lt;=Input!$C$6,0,IF('144M'!AY66&lt;'144M'!BA66,'144M'!AY66-BB66,'144M'!BA66))</f>
        <v>0</v>
      </c>
      <c r="BD66" s="61">
        <f t="shared" si="17"/>
        <v>0</v>
      </c>
      <c r="BE66" s="60">
        <f t="shared" si="18"/>
        <v>0</v>
      </c>
      <c r="BF66" s="193"/>
      <c r="BG66" s="169">
        <v>62</v>
      </c>
      <c r="BH66" s="1">
        <f t="shared" si="34"/>
        <v>47406</v>
      </c>
      <c r="BI66" s="60">
        <f>IF($X66&lt;Input!$H$103,IF($X66&lt;Input!$G$103,IF($X66&lt;Input!$F$103,IF($X66&lt;Input!$E$103,IF($X66&lt;Input!$D$103,Input!$C$109,Input!$D$109),Input!$E$109),Input!$F$109),Input!$G$109),Input!$H$109)</f>
        <v>0</v>
      </c>
      <c r="BJ66" s="190">
        <f>IF($A66&lt;Input!$H$110,IF($A66&lt;Input!$G$110,IF($A66&lt;Input!$F$110,IF($A66&lt;Input!$E$110,IF($A66&lt;Input!$D$110,Input!$C$111,Input!$D$111),Input!$E$111),Input!$F$111),Input!$G$111),Input!$H$111)</f>
        <v>0.9</v>
      </c>
      <c r="BK66" s="60">
        <f t="shared" si="19"/>
        <v>0</v>
      </c>
      <c r="BL66" s="60">
        <f t="shared" si="35"/>
        <v>30</v>
      </c>
      <c r="BM66" s="60">
        <f t="shared" si="20"/>
        <v>0</v>
      </c>
      <c r="BN66" s="60">
        <f>ROUND(BM66*BL66*Input!$C$3/365,0)</f>
        <v>0</v>
      </c>
      <c r="BO66" s="61">
        <f>IF($A66&lt;=Input!$C$6,0,IF('144M'!BK66&lt;'144M'!BM66,'144M'!BK66-BN66,'144M'!BM66))</f>
        <v>0</v>
      </c>
      <c r="BP66" s="61">
        <f t="shared" si="21"/>
        <v>0</v>
      </c>
      <c r="BQ66" s="60">
        <f t="shared" si="22"/>
        <v>0</v>
      </c>
      <c r="BR66" s="198"/>
    </row>
    <row r="67" spans="1:70" x14ac:dyDescent="0.25">
      <c r="A67" s="169">
        <v>63</v>
      </c>
      <c r="B67" s="1">
        <f t="shared" si="23"/>
        <v>47437</v>
      </c>
      <c r="C67" s="60">
        <f t="shared" si="1"/>
        <v>18940500</v>
      </c>
      <c r="D67" s="60">
        <f t="shared" si="2"/>
        <v>17046450</v>
      </c>
      <c r="E67" s="60">
        <f t="shared" si="24"/>
        <v>31</v>
      </c>
      <c r="F67" s="60">
        <f t="shared" si="25"/>
        <v>717152562</v>
      </c>
      <c r="G67" s="60">
        <f>ROUND(F67*E67*Input!$C$3/365,0)</f>
        <v>9136327</v>
      </c>
      <c r="H67" s="60">
        <f>IF($A67&lt;=Input!$C$6,0,IF('144M'!D67&lt;'144M'!F67,'144M'!D67-G67,'144M'!F67))</f>
        <v>7910123</v>
      </c>
      <c r="I67" s="60">
        <f t="shared" si="26"/>
        <v>17046450</v>
      </c>
      <c r="J67" s="60">
        <f t="shared" si="27"/>
        <v>709242439</v>
      </c>
      <c r="K67" s="202">
        <f>J67/Input!$K$5</f>
        <v>2.3641414633333335</v>
      </c>
      <c r="L67" s="232"/>
      <c r="M67" s="60">
        <f>IF($B67&lt;Input!$H$43,IF($B67&lt;Input!$G$43,IF($B67&lt;Input!$F$43,IF($B67&lt;Input!$E$43,IF($B67&lt;Input!$D$43,Input!$C$49,Input!$D$49),Input!$E$49),Input!$F$49),Input!$G$49),Input!$H$49)</f>
        <v>18940500</v>
      </c>
      <c r="N67" s="190">
        <f>IF($A67&lt;Input!$H$50,IF($A67&lt;Input!$G$50,IF($A67&lt;Input!$F$50,IF($A67&lt;Input!$E$50,IF($A67&lt;Input!$D$50,Input!$C$51,Input!$D$51),Input!$E$51),Input!$F$51),Input!$G$51),Input!$H$51)</f>
        <v>0.9</v>
      </c>
      <c r="O67" s="60">
        <f t="shared" si="36"/>
        <v>17046450</v>
      </c>
      <c r="P67" s="60">
        <f t="shared" si="37"/>
        <v>31</v>
      </c>
      <c r="Q67" s="60">
        <f t="shared" si="4"/>
        <v>717152562</v>
      </c>
      <c r="R67" s="60">
        <f>ROUND(Q67*$P67*Input!$C$3/365,0)</f>
        <v>9136327</v>
      </c>
      <c r="S67" s="60">
        <f>IF(A67&lt;=Input!$C$6,0,IF('144M'!O67&lt;'144M'!Q67,'144M'!O67-R67,'144M'!Q67))</f>
        <v>7910123</v>
      </c>
      <c r="T67" s="60">
        <f t="shared" si="5"/>
        <v>17046450</v>
      </c>
      <c r="U67" s="60">
        <f t="shared" si="6"/>
        <v>709242439</v>
      </c>
      <c r="V67" s="193"/>
      <c r="W67" s="169">
        <v>63</v>
      </c>
      <c r="X67" s="1">
        <f t="shared" si="28"/>
        <v>47437</v>
      </c>
      <c r="Y67" s="60">
        <f>IF($X67&lt;Input!$H$58,IF($X67&lt;Input!$G$58,IF($X67&lt;Input!$F$58,IF($X67&lt;Input!$E$58,IF($X67&lt;Input!$D$58,Input!$C$64,Input!$D$64),Input!$E$64),Input!$F$64),Input!$G$64),Input!$H$64)</f>
        <v>0</v>
      </c>
      <c r="Z67" s="190">
        <f>IF($A67&lt;Input!$H$65,IF($A67&lt;Input!$G$65,IF($A67&lt;Input!$F$65,IF($A67&lt;Input!$E$65,IF($A67&lt;Input!$D$65,Input!$C$66,Input!$D$66),Input!$E$66),Input!$F$66),Input!$G$66),Input!$H$66)</f>
        <v>0.9</v>
      </c>
      <c r="AA67" s="60">
        <f t="shared" si="7"/>
        <v>0</v>
      </c>
      <c r="AB67" s="60">
        <f t="shared" si="29"/>
        <v>31</v>
      </c>
      <c r="AC67" s="60">
        <f t="shared" si="8"/>
        <v>0</v>
      </c>
      <c r="AD67" s="60">
        <f>ROUND(AC67*AB67*Input!$C$3/365,0)</f>
        <v>0</v>
      </c>
      <c r="AE67" s="61">
        <f>IF($A67&lt;=Input!$C$6,0,IF('144M'!AA67&lt;'144M'!AC67,'144M'!AA67-AD67,'144M'!AC67))</f>
        <v>0</v>
      </c>
      <c r="AF67" s="61">
        <f t="shared" si="9"/>
        <v>0</v>
      </c>
      <c r="AG67" s="60">
        <f t="shared" si="10"/>
        <v>0</v>
      </c>
      <c r="AH67" s="193"/>
      <c r="AI67" s="169">
        <v>63</v>
      </c>
      <c r="AJ67" s="1">
        <f t="shared" si="30"/>
        <v>47437</v>
      </c>
      <c r="AK67" s="60">
        <f>IF($X67&lt;Input!$H$73,IF($X67&lt;Input!$G$73,IF($X67&lt;Input!$F$73,IF($X67&lt;Input!$E$73,IF($X67&lt;Input!$D$73,Input!$C$79,Input!$D$79),Input!$E$79),Input!$F$79),Input!$G$79),Input!$H$79)</f>
        <v>0</v>
      </c>
      <c r="AL67" s="190">
        <f>IF($A67&lt;Input!$H$80,IF($A67&lt;Input!$G$80,IF($A67&lt;Input!$F$80,IF($A67&lt;Input!$E$80,IF($A67&lt;Input!$D$80,Input!$C$81,Input!$D$81),Input!$E$81),Input!$F$81),Input!$G$81),Input!$H$81)</f>
        <v>0.9</v>
      </c>
      <c r="AM67" s="60">
        <f t="shared" si="11"/>
        <v>0</v>
      </c>
      <c r="AN67" s="60">
        <f t="shared" si="31"/>
        <v>31</v>
      </c>
      <c r="AO67" s="60">
        <f t="shared" si="12"/>
        <v>0</v>
      </c>
      <c r="AP67" s="60">
        <f>ROUND(AO67*AN67*Input!$C$3/365,0)</f>
        <v>0</v>
      </c>
      <c r="AQ67" s="61">
        <f>IF($A67&lt;=Input!$C$6,0,IF('144M'!AM67&lt;'144M'!AO67,'144M'!AM67-AP67,'144M'!AO67))</f>
        <v>0</v>
      </c>
      <c r="AR67" s="61">
        <f t="shared" si="13"/>
        <v>0</v>
      </c>
      <c r="AS67" s="60">
        <f t="shared" si="14"/>
        <v>0</v>
      </c>
      <c r="AT67" s="193"/>
      <c r="AU67" s="169">
        <v>63</v>
      </c>
      <c r="AV67" s="1">
        <f t="shared" si="32"/>
        <v>47437</v>
      </c>
      <c r="AW67" s="60">
        <f>IF($X67&lt;Input!$H$88,IF($X67&lt;Input!$G$88,IF($X67&lt;Input!$F$88,IF($X67&lt;Input!$E$88,IF($X67&lt;Input!$D$88,Input!$C$94,Input!$D$94),Input!$E$94),Input!$F$94),Input!$G$94),Input!$H$94)</f>
        <v>0</v>
      </c>
      <c r="AX67" s="190">
        <f>IF($A67&lt;Input!$H$95,IF($A67&lt;Input!$G$95,IF($A67&lt;Input!$F$95,IF($A67&lt;Input!$E$95,IF($A67&lt;Input!$D$95,Input!$C$96,Input!$D$96),Input!$E$96),Input!$F$96),Input!$G$96),Input!$H$96)</f>
        <v>0.9</v>
      </c>
      <c r="AY67" s="60">
        <f t="shared" si="15"/>
        <v>0</v>
      </c>
      <c r="AZ67" s="60">
        <f t="shared" si="33"/>
        <v>31</v>
      </c>
      <c r="BA67" s="60">
        <f t="shared" si="16"/>
        <v>0</v>
      </c>
      <c r="BB67" s="60">
        <f>ROUND(BA67*AZ67*Input!$C$3/365,0)</f>
        <v>0</v>
      </c>
      <c r="BC67" s="61">
        <f>IF($A67&lt;=Input!$C$6,0,IF('144M'!AY67&lt;'144M'!BA67,'144M'!AY67-BB67,'144M'!BA67))</f>
        <v>0</v>
      </c>
      <c r="BD67" s="61">
        <f t="shared" si="17"/>
        <v>0</v>
      </c>
      <c r="BE67" s="60">
        <f t="shared" si="18"/>
        <v>0</v>
      </c>
      <c r="BF67" s="193"/>
      <c r="BG67" s="169">
        <v>63</v>
      </c>
      <c r="BH67" s="1">
        <f t="shared" si="34"/>
        <v>47437</v>
      </c>
      <c r="BI67" s="60">
        <f>IF($X67&lt;Input!$H$103,IF($X67&lt;Input!$G$103,IF($X67&lt;Input!$F$103,IF($X67&lt;Input!$E$103,IF($X67&lt;Input!$D$103,Input!$C$109,Input!$D$109),Input!$E$109),Input!$F$109),Input!$G$109),Input!$H$109)</f>
        <v>0</v>
      </c>
      <c r="BJ67" s="190">
        <f>IF($A67&lt;Input!$H$110,IF($A67&lt;Input!$G$110,IF($A67&lt;Input!$F$110,IF($A67&lt;Input!$E$110,IF($A67&lt;Input!$D$110,Input!$C$111,Input!$D$111),Input!$E$111),Input!$F$111),Input!$G$111),Input!$H$111)</f>
        <v>0.9</v>
      </c>
      <c r="BK67" s="60">
        <f t="shared" si="19"/>
        <v>0</v>
      </c>
      <c r="BL67" s="60">
        <f t="shared" si="35"/>
        <v>31</v>
      </c>
      <c r="BM67" s="60">
        <f t="shared" si="20"/>
        <v>0</v>
      </c>
      <c r="BN67" s="60">
        <f>ROUND(BM67*BL67*Input!$C$3/365,0)</f>
        <v>0</v>
      </c>
      <c r="BO67" s="61">
        <f>IF($A67&lt;=Input!$C$6,0,IF('144M'!BK67&lt;'144M'!BM67,'144M'!BK67-BN67,'144M'!BM67))</f>
        <v>0</v>
      </c>
      <c r="BP67" s="61">
        <f t="shared" si="21"/>
        <v>0</v>
      </c>
      <c r="BQ67" s="60">
        <f t="shared" si="22"/>
        <v>0</v>
      </c>
      <c r="BR67" s="198"/>
    </row>
    <row r="68" spans="1:70" x14ac:dyDescent="0.25">
      <c r="A68" s="169">
        <v>64</v>
      </c>
      <c r="B68" s="1">
        <f t="shared" si="23"/>
        <v>47467</v>
      </c>
      <c r="C68" s="60">
        <f t="shared" si="1"/>
        <v>18940500</v>
      </c>
      <c r="D68" s="60">
        <f t="shared" si="2"/>
        <v>17046450</v>
      </c>
      <c r="E68" s="60">
        <f t="shared" si="24"/>
        <v>30</v>
      </c>
      <c r="F68" s="60">
        <f t="shared" si="25"/>
        <v>709242439</v>
      </c>
      <c r="G68" s="60">
        <f>ROUND(F68*E68*Input!$C$3/365,0)</f>
        <v>8744085</v>
      </c>
      <c r="H68" s="60">
        <f>IF($A68&lt;=Input!$C$6,0,IF('144M'!D68&lt;'144M'!F68,'144M'!D68-G68,'144M'!F68))</f>
        <v>8302365</v>
      </c>
      <c r="I68" s="60">
        <f t="shared" si="26"/>
        <v>17046450</v>
      </c>
      <c r="J68" s="60">
        <f t="shared" si="27"/>
        <v>700940074</v>
      </c>
      <c r="K68" s="202">
        <f>J68/Input!$K$5</f>
        <v>2.3364669133333331</v>
      </c>
      <c r="L68" s="232"/>
      <c r="M68" s="60">
        <f>IF($B68&lt;Input!$H$43,IF($B68&lt;Input!$G$43,IF($B68&lt;Input!$F$43,IF($B68&lt;Input!$E$43,IF($B68&lt;Input!$D$43,Input!$C$49,Input!$D$49),Input!$E$49),Input!$F$49),Input!$G$49),Input!$H$49)</f>
        <v>18940500</v>
      </c>
      <c r="N68" s="190">
        <f>IF($A68&lt;Input!$H$50,IF($A68&lt;Input!$G$50,IF($A68&lt;Input!$F$50,IF($A68&lt;Input!$E$50,IF($A68&lt;Input!$D$50,Input!$C$51,Input!$D$51),Input!$E$51),Input!$F$51),Input!$G$51),Input!$H$51)</f>
        <v>0.9</v>
      </c>
      <c r="O68" s="60">
        <f t="shared" ref="O68:O99" si="38">M68*N68</f>
        <v>17046450</v>
      </c>
      <c r="P68" s="60">
        <f t="shared" si="37"/>
        <v>30</v>
      </c>
      <c r="Q68" s="60">
        <f t="shared" si="4"/>
        <v>709242439</v>
      </c>
      <c r="R68" s="60">
        <f>ROUND(Q68*$P68*Input!$C$3/365,0)</f>
        <v>8744085</v>
      </c>
      <c r="S68" s="60">
        <f>IF(A68&lt;=Input!$C$6,0,IF('144M'!O68&lt;'144M'!Q68,'144M'!O68-R68,'144M'!Q68))</f>
        <v>8302365</v>
      </c>
      <c r="T68" s="60">
        <f t="shared" si="5"/>
        <v>17046450</v>
      </c>
      <c r="U68" s="60">
        <f t="shared" si="6"/>
        <v>700940074</v>
      </c>
      <c r="V68" s="193"/>
      <c r="W68" s="169">
        <v>64</v>
      </c>
      <c r="X68" s="1">
        <f t="shared" si="28"/>
        <v>47467</v>
      </c>
      <c r="Y68" s="60">
        <f>IF($X68&lt;Input!$H$58,IF($X68&lt;Input!$G$58,IF($X68&lt;Input!$F$58,IF($X68&lt;Input!$E$58,IF($X68&lt;Input!$D$58,Input!$C$64,Input!$D$64),Input!$E$64),Input!$F$64),Input!$G$64),Input!$H$64)</f>
        <v>0</v>
      </c>
      <c r="Z68" s="190">
        <f>IF($A68&lt;Input!$H$65,IF($A68&lt;Input!$G$65,IF($A68&lt;Input!$F$65,IF($A68&lt;Input!$E$65,IF($A68&lt;Input!$D$65,Input!$C$66,Input!$D$66),Input!$E$66),Input!$F$66),Input!$G$66),Input!$H$66)</f>
        <v>0.9</v>
      </c>
      <c r="AA68" s="60">
        <f t="shared" si="7"/>
        <v>0</v>
      </c>
      <c r="AB68" s="60">
        <f t="shared" si="29"/>
        <v>30</v>
      </c>
      <c r="AC68" s="60">
        <f t="shared" si="8"/>
        <v>0</v>
      </c>
      <c r="AD68" s="60">
        <f>ROUND(AC68*AB68*Input!$C$3/365,0)</f>
        <v>0</v>
      </c>
      <c r="AE68" s="61">
        <f>IF($A68&lt;=Input!$C$6,0,IF('144M'!AA68&lt;'144M'!AC68,'144M'!AA68-AD68,'144M'!AC68))</f>
        <v>0</v>
      </c>
      <c r="AF68" s="61">
        <f t="shared" si="9"/>
        <v>0</v>
      </c>
      <c r="AG68" s="60">
        <f t="shared" si="10"/>
        <v>0</v>
      </c>
      <c r="AH68" s="193"/>
      <c r="AI68" s="169">
        <v>64</v>
      </c>
      <c r="AJ68" s="1">
        <f t="shared" si="30"/>
        <v>47467</v>
      </c>
      <c r="AK68" s="60">
        <f>IF($X68&lt;Input!$H$73,IF($X68&lt;Input!$G$73,IF($X68&lt;Input!$F$73,IF($X68&lt;Input!$E$73,IF($X68&lt;Input!$D$73,Input!$C$79,Input!$D$79),Input!$E$79),Input!$F$79),Input!$G$79),Input!$H$79)</f>
        <v>0</v>
      </c>
      <c r="AL68" s="190">
        <f>IF($A68&lt;Input!$H$80,IF($A68&lt;Input!$G$80,IF($A68&lt;Input!$F$80,IF($A68&lt;Input!$E$80,IF($A68&lt;Input!$D$80,Input!$C$81,Input!$D$81),Input!$E$81),Input!$F$81),Input!$G$81),Input!$H$81)</f>
        <v>0.9</v>
      </c>
      <c r="AM68" s="60">
        <f t="shared" si="11"/>
        <v>0</v>
      </c>
      <c r="AN68" s="60">
        <f t="shared" si="31"/>
        <v>30</v>
      </c>
      <c r="AO68" s="60">
        <f t="shared" si="12"/>
        <v>0</v>
      </c>
      <c r="AP68" s="60">
        <f>ROUND(AO68*AN68*Input!$C$3/365,0)</f>
        <v>0</v>
      </c>
      <c r="AQ68" s="61">
        <f>IF($A68&lt;=Input!$C$6,0,IF('144M'!AM68&lt;'144M'!AO68,'144M'!AM68-AP68,'144M'!AO68))</f>
        <v>0</v>
      </c>
      <c r="AR68" s="61">
        <f t="shared" si="13"/>
        <v>0</v>
      </c>
      <c r="AS68" s="60">
        <f t="shared" si="14"/>
        <v>0</v>
      </c>
      <c r="AT68" s="193"/>
      <c r="AU68" s="169">
        <v>64</v>
      </c>
      <c r="AV68" s="1">
        <f t="shared" si="32"/>
        <v>47467</v>
      </c>
      <c r="AW68" s="60">
        <f>IF($X68&lt;Input!$H$88,IF($X68&lt;Input!$G$88,IF($X68&lt;Input!$F$88,IF($X68&lt;Input!$E$88,IF($X68&lt;Input!$D$88,Input!$C$94,Input!$D$94),Input!$E$94),Input!$F$94),Input!$G$94),Input!$H$94)</f>
        <v>0</v>
      </c>
      <c r="AX68" s="190">
        <f>IF($A68&lt;Input!$H$95,IF($A68&lt;Input!$G$95,IF($A68&lt;Input!$F$95,IF($A68&lt;Input!$E$95,IF($A68&lt;Input!$D$95,Input!$C$96,Input!$D$96),Input!$E$96),Input!$F$96),Input!$G$96),Input!$H$96)</f>
        <v>0.9</v>
      </c>
      <c r="AY68" s="60">
        <f t="shared" si="15"/>
        <v>0</v>
      </c>
      <c r="AZ68" s="60">
        <f t="shared" si="33"/>
        <v>30</v>
      </c>
      <c r="BA68" s="60">
        <f t="shared" si="16"/>
        <v>0</v>
      </c>
      <c r="BB68" s="60">
        <f>ROUND(BA68*AZ68*Input!$C$3/365,0)</f>
        <v>0</v>
      </c>
      <c r="BC68" s="61">
        <f>IF($A68&lt;=Input!$C$6,0,IF('144M'!AY68&lt;'144M'!BA68,'144M'!AY68-BB68,'144M'!BA68))</f>
        <v>0</v>
      </c>
      <c r="BD68" s="61">
        <f t="shared" si="17"/>
        <v>0</v>
      </c>
      <c r="BE68" s="60">
        <f t="shared" si="18"/>
        <v>0</v>
      </c>
      <c r="BF68" s="193"/>
      <c r="BG68" s="169">
        <v>64</v>
      </c>
      <c r="BH68" s="1">
        <f t="shared" si="34"/>
        <v>47467</v>
      </c>
      <c r="BI68" s="60">
        <f>IF($X68&lt;Input!$H$103,IF($X68&lt;Input!$G$103,IF($X68&lt;Input!$F$103,IF($X68&lt;Input!$E$103,IF($X68&lt;Input!$D$103,Input!$C$109,Input!$D$109),Input!$E$109),Input!$F$109),Input!$G$109),Input!$H$109)</f>
        <v>0</v>
      </c>
      <c r="BJ68" s="190">
        <f>IF($A68&lt;Input!$H$110,IF($A68&lt;Input!$G$110,IF($A68&lt;Input!$F$110,IF($A68&lt;Input!$E$110,IF($A68&lt;Input!$D$110,Input!$C$111,Input!$D$111),Input!$E$111),Input!$F$111),Input!$G$111),Input!$H$111)</f>
        <v>0.9</v>
      </c>
      <c r="BK68" s="60">
        <f t="shared" si="19"/>
        <v>0</v>
      </c>
      <c r="BL68" s="60">
        <f t="shared" si="35"/>
        <v>30</v>
      </c>
      <c r="BM68" s="60">
        <f t="shared" si="20"/>
        <v>0</v>
      </c>
      <c r="BN68" s="60">
        <f>ROUND(BM68*BL68*Input!$C$3/365,0)</f>
        <v>0</v>
      </c>
      <c r="BO68" s="61">
        <f>IF($A68&lt;=Input!$C$6,0,IF('144M'!BK68&lt;'144M'!BM68,'144M'!BK68-BN68,'144M'!BM68))</f>
        <v>0</v>
      </c>
      <c r="BP68" s="61">
        <f t="shared" si="21"/>
        <v>0</v>
      </c>
      <c r="BQ68" s="60">
        <f t="shared" si="22"/>
        <v>0</v>
      </c>
      <c r="BR68" s="198"/>
    </row>
    <row r="69" spans="1:70" x14ac:dyDescent="0.25">
      <c r="A69" s="169">
        <v>65</v>
      </c>
      <c r="B69" s="1">
        <f t="shared" si="23"/>
        <v>47498</v>
      </c>
      <c r="C69" s="60">
        <f t="shared" ref="C69:C132" si="39">M69+Y69+AK69+AW69+BI69</f>
        <v>18940500</v>
      </c>
      <c r="D69" s="60">
        <f t="shared" ref="D69:D132" si="40">O69+AA69+AM69+AY69+BK69</f>
        <v>17046450</v>
      </c>
      <c r="E69" s="60">
        <f t="shared" si="24"/>
        <v>31</v>
      </c>
      <c r="F69" s="60">
        <f t="shared" si="25"/>
        <v>700940074</v>
      </c>
      <c r="G69" s="60">
        <f>ROUND(F69*E69*Input!$C$3/365,0)</f>
        <v>8929785</v>
      </c>
      <c r="H69" s="60">
        <f>IF($A69&lt;=Input!$C$6,0,IF('144M'!D69&lt;'144M'!F69,'144M'!D69-G69,'144M'!F69))</f>
        <v>8116665</v>
      </c>
      <c r="I69" s="60">
        <f t="shared" si="26"/>
        <v>17046450</v>
      </c>
      <c r="J69" s="60">
        <f t="shared" si="27"/>
        <v>692823409</v>
      </c>
      <c r="K69" s="202">
        <f>J69/Input!$K$5</f>
        <v>2.3094113633333335</v>
      </c>
      <c r="L69" s="232"/>
      <c r="M69" s="60">
        <f>IF($B69&lt;Input!$H$43,IF($B69&lt;Input!$G$43,IF($B69&lt;Input!$F$43,IF($B69&lt;Input!$E$43,IF($B69&lt;Input!$D$43,Input!$C$49,Input!$D$49),Input!$E$49),Input!$F$49),Input!$G$49),Input!$H$49)</f>
        <v>18940500</v>
      </c>
      <c r="N69" s="190">
        <f>IF($A69&lt;Input!$H$50,IF($A69&lt;Input!$G$50,IF($A69&lt;Input!$F$50,IF($A69&lt;Input!$E$50,IF($A69&lt;Input!$D$50,Input!$C$51,Input!$D$51),Input!$E$51),Input!$F$51),Input!$G$51),Input!$H$51)</f>
        <v>0.9</v>
      </c>
      <c r="O69" s="60">
        <f t="shared" si="38"/>
        <v>17046450</v>
      </c>
      <c r="P69" s="60">
        <f t="shared" ref="P69:P100" si="41">B69-B68</f>
        <v>31</v>
      </c>
      <c r="Q69" s="60">
        <f t="shared" ref="Q69:Q132" si="42">U68</f>
        <v>700940074</v>
      </c>
      <c r="R69" s="60">
        <f>ROUND(Q69*$P69*Input!$C$3/365,0)</f>
        <v>8929785</v>
      </c>
      <c r="S69" s="60">
        <f>IF(A69&lt;=Input!$C$6,0,IF('144M'!O69&lt;'144M'!Q69,'144M'!O69-R69,'144M'!Q69))</f>
        <v>8116665</v>
      </c>
      <c r="T69" s="60">
        <f t="shared" ref="T69:T132" si="43">R69+S69</f>
        <v>17046450</v>
      </c>
      <c r="U69" s="60">
        <f t="shared" ref="U69:U132" si="44">U68-S69</f>
        <v>692823409</v>
      </c>
      <c r="V69" s="193"/>
      <c r="W69" s="169">
        <v>65</v>
      </c>
      <c r="X69" s="1">
        <f t="shared" si="28"/>
        <v>47498</v>
      </c>
      <c r="Y69" s="60">
        <f>IF($X69&lt;Input!$H$58,IF($X69&lt;Input!$G$58,IF($X69&lt;Input!$F$58,IF($X69&lt;Input!$E$58,IF($X69&lt;Input!$D$58,Input!$C$64,Input!$D$64),Input!$E$64),Input!$F$64),Input!$G$64),Input!$H$64)</f>
        <v>0</v>
      </c>
      <c r="Z69" s="190">
        <f>IF($A69&lt;Input!$H$65,IF($A69&lt;Input!$G$65,IF($A69&lt;Input!$F$65,IF($A69&lt;Input!$E$65,IF($A69&lt;Input!$D$65,Input!$C$66,Input!$D$66),Input!$E$66),Input!$F$66),Input!$G$66),Input!$H$66)</f>
        <v>0.9</v>
      </c>
      <c r="AA69" s="60">
        <f t="shared" ref="AA69:AA132" si="45">Y69*Z69</f>
        <v>0</v>
      </c>
      <c r="AB69" s="60">
        <f t="shared" si="29"/>
        <v>31</v>
      </c>
      <c r="AC69" s="60">
        <f t="shared" ref="AC69:AC132" si="46">AG68</f>
        <v>0</v>
      </c>
      <c r="AD69" s="60">
        <f>ROUND(AC69*AB69*Input!$C$3/365,0)</f>
        <v>0</v>
      </c>
      <c r="AE69" s="61">
        <f>IF($A69&lt;=Input!$C$6,0,IF('144M'!AA69&lt;'144M'!AC69,'144M'!AA69-AD69,'144M'!AC69))</f>
        <v>0</v>
      </c>
      <c r="AF69" s="61">
        <f t="shared" ref="AF69:AF132" si="47">AD69+AE69</f>
        <v>0</v>
      </c>
      <c r="AG69" s="60">
        <f t="shared" ref="AG69:AG132" si="48">AG68-AE69</f>
        <v>0</v>
      </c>
      <c r="AH69" s="193"/>
      <c r="AI69" s="169">
        <v>65</v>
      </c>
      <c r="AJ69" s="1">
        <f t="shared" si="30"/>
        <v>47498</v>
      </c>
      <c r="AK69" s="60">
        <f>IF($X69&lt;Input!$H$73,IF($X69&lt;Input!$G$73,IF($X69&lt;Input!$F$73,IF($X69&lt;Input!$E$73,IF($X69&lt;Input!$D$73,Input!$C$79,Input!$D$79),Input!$E$79),Input!$F$79),Input!$G$79),Input!$H$79)</f>
        <v>0</v>
      </c>
      <c r="AL69" s="190">
        <f>IF($A69&lt;Input!$H$80,IF($A69&lt;Input!$G$80,IF($A69&lt;Input!$F$80,IF($A69&lt;Input!$E$80,IF($A69&lt;Input!$D$80,Input!$C$81,Input!$D$81),Input!$E$81),Input!$F$81),Input!$G$81),Input!$H$81)</f>
        <v>0.9</v>
      </c>
      <c r="AM69" s="60">
        <f t="shared" ref="AM69:AM132" si="49">AK69*AL69</f>
        <v>0</v>
      </c>
      <c r="AN69" s="60">
        <f t="shared" si="31"/>
        <v>31</v>
      </c>
      <c r="AO69" s="60">
        <f t="shared" ref="AO69:AO132" si="50">AS68</f>
        <v>0</v>
      </c>
      <c r="AP69" s="60">
        <f>ROUND(AO69*AN69*Input!$C$3/365,0)</f>
        <v>0</v>
      </c>
      <c r="AQ69" s="61">
        <f>IF($A69&lt;=Input!$C$6,0,IF('144M'!AM69&lt;'144M'!AO69,'144M'!AM69-AP69,'144M'!AO69))</f>
        <v>0</v>
      </c>
      <c r="AR69" s="61">
        <f t="shared" ref="AR69:AR132" si="51">AP69+AQ69</f>
        <v>0</v>
      </c>
      <c r="AS69" s="60">
        <f t="shared" ref="AS69:AS132" si="52">AS68-AQ69</f>
        <v>0</v>
      </c>
      <c r="AT69" s="193"/>
      <c r="AU69" s="169">
        <v>65</v>
      </c>
      <c r="AV69" s="1">
        <f t="shared" si="32"/>
        <v>47498</v>
      </c>
      <c r="AW69" s="60">
        <f>IF($X69&lt;Input!$H$88,IF($X69&lt;Input!$G$88,IF($X69&lt;Input!$F$88,IF($X69&lt;Input!$E$88,IF($X69&lt;Input!$D$88,Input!$C$94,Input!$D$94),Input!$E$94),Input!$F$94),Input!$G$94),Input!$H$94)</f>
        <v>0</v>
      </c>
      <c r="AX69" s="190">
        <f>IF($A69&lt;Input!$H$95,IF($A69&lt;Input!$G$95,IF($A69&lt;Input!$F$95,IF($A69&lt;Input!$E$95,IF($A69&lt;Input!$D$95,Input!$C$96,Input!$D$96),Input!$E$96),Input!$F$96),Input!$G$96),Input!$H$96)</f>
        <v>0.9</v>
      </c>
      <c r="AY69" s="60">
        <f t="shared" ref="AY69:AY132" si="53">AW69*AX69</f>
        <v>0</v>
      </c>
      <c r="AZ69" s="60">
        <f t="shared" si="33"/>
        <v>31</v>
      </c>
      <c r="BA69" s="60">
        <f t="shared" ref="BA69:BA132" si="54">BE68</f>
        <v>0</v>
      </c>
      <c r="BB69" s="60">
        <f>ROUND(BA69*AZ69*Input!$C$3/365,0)</f>
        <v>0</v>
      </c>
      <c r="BC69" s="61">
        <f>IF($A69&lt;=Input!$C$6,0,IF('144M'!AY69&lt;'144M'!BA69,'144M'!AY69-BB69,'144M'!BA69))</f>
        <v>0</v>
      </c>
      <c r="BD69" s="61">
        <f t="shared" ref="BD69:BD132" si="55">BB69+BC69</f>
        <v>0</v>
      </c>
      <c r="BE69" s="60">
        <f t="shared" ref="BE69:BE132" si="56">BE68-BC69</f>
        <v>0</v>
      </c>
      <c r="BF69" s="193"/>
      <c r="BG69" s="169">
        <v>65</v>
      </c>
      <c r="BH69" s="1">
        <f t="shared" si="34"/>
        <v>47498</v>
      </c>
      <c r="BI69" s="60">
        <f>IF($X69&lt;Input!$H$103,IF($X69&lt;Input!$G$103,IF($X69&lt;Input!$F$103,IF($X69&lt;Input!$E$103,IF($X69&lt;Input!$D$103,Input!$C$109,Input!$D$109),Input!$E$109),Input!$F$109),Input!$G$109),Input!$H$109)</f>
        <v>0</v>
      </c>
      <c r="BJ69" s="190">
        <f>IF($A69&lt;Input!$H$110,IF($A69&lt;Input!$G$110,IF($A69&lt;Input!$F$110,IF($A69&lt;Input!$E$110,IF($A69&lt;Input!$D$110,Input!$C$111,Input!$D$111),Input!$E$111),Input!$F$111),Input!$G$111),Input!$H$111)</f>
        <v>0.9</v>
      </c>
      <c r="BK69" s="60">
        <f t="shared" ref="BK69:BK132" si="57">BI69*BJ69</f>
        <v>0</v>
      </c>
      <c r="BL69" s="60">
        <f t="shared" si="35"/>
        <v>31</v>
      </c>
      <c r="BM69" s="60">
        <f t="shared" ref="BM69:BM132" si="58">BQ68</f>
        <v>0</v>
      </c>
      <c r="BN69" s="60">
        <f>ROUND(BM69*BL69*Input!$C$3/365,0)</f>
        <v>0</v>
      </c>
      <c r="BO69" s="61">
        <f>IF($A69&lt;=Input!$C$6,0,IF('144M'!BK69&lt;'144M'!BM69,'144M'!BK69-BN69,'144M'!BM69))</f>
        <v>0</v>
      </c>
      <c r="BP69" s="61">
        <f t="shared" ref="BP69:BP132" si="59">BN69+BO69</f>
        <v>0</v>
      </c>
      <c r="BQ69" s="60">
        <f t="shared" ref="BQ69:BQ132" si="60">BQ68-BO69</f>
        <v>0</v>
      </c>
      <c r="BR69" s="198"/>
    </row>
    <row r="70" spans="1:70" x14ac:dyDescent="0.25">
      <c r="A70" s="169">
        <v>66</v>
      </c>
      <c r="B70" s="1">
        <f t="shared" ref="B70:B133" si="61">EDATE(B69,1)</f>
        <v>47529</v>
      </c>
      <c r="C70" s="60">
        <f t="shared" si="39"/>
        <v>18940500</v>
      </c>
      <c r="D70" s="60">
        <f t="shared" si="40"/>
        <v>17046450</v>
      </c>
      <c r="E70" s="60">
        <f t="shared" ref="E70:E133" si="62">B70-B69</f>
        <v>31</v>
      </c>
      <c r="F70" s="60">
        <f t="shared" ref="F70:F133" si="63">J69</f>
        <v>692823409</v>
      </c>
      <c r="G70" s="60">
        <f>ROUND(F70*E70*Input!$C$3/365,0)</f>
        <v>8826380</v>
      </c>
      <c r="H70" s="60">
        <f>IF($A70&lt;=Input!$C$6,0,IF('144M'!D70&lt;'144M'!F70,'144M'!D70-G70,'144M'!F70))</f>
        <v>8220070</v>
      </c>
      <c r="I70" s="60">
        <f t="shared" ref="I70:I133" si="64">G70+H70</f>
        <v>17046450</v>
      </c>
      <c r="J70" s="60">
        <f t="shared" ref="J70:J133" si="65">J69-H70</f>
        <v>684603339</v>
      </c>
      <c r="K70" s="202">
        <f>J70/Input!$K$5</f>
        <v>2.2820111299999999</v>
      </c>
      <c r="L70" s="232"/>
      <c r="M70" s="60">
        <f>IF($B70&lt;Input!$H$43,IF($B70&lt;Input!$G$43,IF($B70&lt;Input!$F$43,IF($B70&lt;Input!$E$43,IF($B70&lt;Input!$D$43,Input!$C$49,Input!$D$49),Input!$E$49),Input!$F$49),Input!$G$49),Input!$H$49)</f>
        <v>18940500</v>
      </c>
      <c r="N70" s="190">
        <f>IF($A70&lt;Input!$H$50,IF($A70&lt;Input!$G$50,IF($A70&lt;Input!$F$50,IF($A70&lt;Input!$E$50,IF($A70&lt;Input!$D$50,Input!$C$51,Input!$D$51),Input!$E$51),Input!$F$51),Input!$G$51),Input!$H$51)</f>
        <v>0.9</v>
      </c>
      <c r="O70" s="60">
        <f t="shared" si="38"/>
        <v>17046450</v>
      </c>
      <c r="P70" s="60">
        <f t="shared" si="41"/>
        <v>31</v>
      </c>
      <c r="Q70" s="60">
        <f t="shared" si="42"/>
        <v>692823409</v>
      </c>
      <c r="R70" s="60">
        <f>ROUND(Q70*$P70*Input!$C$3/365,0)</f>
        <v>8826380</v>
      </c>
      <c r="S70" s="60">
        <f>IF(A70&lt;=Input!$C$6,0,IF('144M'!O70&lt;'144M'!Q70,'144M'!O70-R70,'144M'!Q70))</f>
        <v>8220070</v>
      </c>
      <c r="T70" s="60">
        <f t="shared" si="43"/>
        <v>17046450</v>
      </c>
      <c r="U70" s="60">
        <f t="shared" si="44"/>
        <v>684603339</v>
      </c>
      <c r="V70" s="193"/>
      <c r="W70" s="169">
        <v>66</v>
      </c>
      <c r="X70" s="1">
        <f t="shared" ref="X70:X133" si="66">EDATE(X69,1)</f>
        <v>47529</v>
      </c>
      <c r="Y70" s="60">
        <f>IF($X70&lt;Input!$H$58,IF($X70&lt;Input!$G$58,IF($X70&lt;Input!$F$58,IF($X70&lt;Input!$E$58,IF($X70&lt;Input!$D$58,Input!$C$64,Input!$D$64),Input!$E$64),Input!$F$64),Input!$G$64),Input!$H$64)</f>
        <v>0</v>
      </c>
      <c r="Z70" s="190">
        <f>IF($A70&lt;Input!$H$65,IF($A70&lt;Input!$G$65,IF($A70&lt;Input!$F$65,IF($A70&lt;Input!$E$65,IF($A70&lt;Input!$D$65,Input!$C$66,Input!$D$66),Input!$E$66),Input!$F$66),Input!$G$66),Input!$H$66)</f>
        <v>0.9</v>
      </c>
      <c r="AA70" s="60">
        <f t="shared" si="45"/>
        <v>0</v>
      </c>
      <c r="AB70" s="60">
        <f t="shared" ref="AB70:AB133" si="67">X70-X69</f>
        <v>31</v>
      </c>
      <c r="AC70" s="60">
        <f t="shared" si="46"/>
        <v>0</v>
      </c>
      <c r="AD70" s="60">
        <f>ROUND(AC70*AB70*Input!$C$3/365,0)</f>
        <v>0</v>
      </c>
      <c r="AE70" s="61">
        <f>IF($A70&lt;=Input!$C$6,0,IF('144M'!AA70&lt;'144M'!AC70,'144M'!AA70-AD70,'144M'!AC70))</f>
        <v>0</v>
      </c>
      <c r="AF70" s="61">
        <f t="shared" si="47"/>
        <v>0</v>
      </c>
      <c r="AG70" s="60">
        <f t="shared" si="48"/>
        <v>0</v>
      </c>
      <c r="AH70" s="193"/>
      <c r="AI70" s="169">
        <v>66</v>
      </c>
      <c r="AJ70" s="1">
        <f t="shared" ref="AJ70:AJ133" si="68">EDATE(AJ69,1)</f>
        <v>47529</v>
      </c>
      <c r="AK70" s="60">
        <f>IF($X70&lt;Input!$H$73,IF($X70&lt;Input!$G$73,IF($X70&lt;Input!$F$73,IF($X70&lt;Input!$E$73,IF($X70&lt;Input!$D$73,Input!$C$79,Input!$D$79),Input!$E$79),Input!$F$79),Input!$G$79),Input!$H$79)</f>
        <v>0</v>
      </c>
      <c r="AL70" s="190">
        <f>IF($A70&lt;Input!$H$80,IF($A70&lt;Input!$G$80,IF($A70&lt;Input!$F$80,IF($A70&lt;Input!$E$80,IF($A70&lt;Input!$D$80,Input!$C$81,Input!$D$81),Input!$E$81),Input!$F$81),Input!$G$81),Input!$H$81)</f>
        <v>0.9</v>
      </c>
      <c r="AM70" s="60">
        <f t="shared" si="49"/>
        <v>0</v>
      </c>
      <c r="AN70" s="60">
        <f t="shared" ref="AN70:AN133" si="69">AJ70-AJ69</f>
        <v>31</v>
      </c>
      <c r="AO70" s="60">
        <f t="shared" si="50"/>
        <v>0</v>
      </c>
      <c r="AP70" s="60">
        <f>ROUND(AO70*AN70*Input!$C$3/365,0)</f>
        <v>0</v>
      </c>
      <c r="AQ70" s="61">
        <f>IF($A70&lt;=Input!$C$6,0,IF('144M'!AM70&lt;'144M'!AO70,'144M'!AM70-AP70,'144M'!AO70))</f>
        <v>0</v>
      </c>
      <c r="AR70" s="61">
        <f t="shared" si="51"/>
        <v>0</v>
      </c>
      <c r="AS70" s="60">
        <f t="shared" si="52"/>
        <v>0</v>
      </c>
      <c r="AT70" s="193"/>
      <c r="AU70" s="169">
        <v>66</v>
      </c>
      <c r="AV70" s="1">
        <f t="shared" ref="AV70:AV133" si="70">EDATE(AV69,1)</f>
        <v>47529</v>
      </c>
      <c r="AW70" s="60">
        <f>IF($X70&lt;Input!$H$88,IF($X70&lt;Input!$G$88,IF($X70&lt;Input!$F$88,IF($X70&lt;Input!$E$88,IF($X70&lt;Input!$D$88,Input!$C$94,Input!$D$94),Input!$E$94),Input!$F$94),Input!$G$94),Input!$H$94)</f>
        <v>0</v>
      </c>
      <c r="AX70" s="190">
        <f>IF($A70&lt;Input!$H$95,IF($A70&lt;Input!$G$95,IF($A70&lt;Input!$F$95,IF($A70&lt;Input!$E$95,IF($A70&lt;Input!$D$95,Input!$C$96,Input!$D$96),Input!$E$96),Input!$F$96),Input!$G$96),Input!$H$96)</f>
        <v>0.9</v>
      </c>
      <c r="AY70" s="60">
        <f t="shared" si="53"/>
        <v>0</v>
      </c>
      <c r="AZ70" s="60">
        <f t="shared" ref="AZ70:AZ133" si="71">AV70-AV69</f>
        <v>31</v>
      </c>
      <c r="BA70" s="60">
        <f t="shared" si="54"/>
        <v>0</v>
      </c>
      <c r="BB70" s="60">
        <f>ROUND(BA70*AZ70*Input!$C$3/365,0)</f>
        <v>0</v>
      </c>
      <c r="BC70" s="61">
        <f>IF($A70&lt;=Input!$C$6,0,IF('144M'!AY70&lt;'144M'!BA70,'144M'!AY70-BB70,'144M'!BA70))</f>
        <v>0</v>
      </c>
      <c r="BD70" s="61">
        <f t="shared" si="55"/>
        <v>0</v>
      </c>
      <c r="BE70" s="60">
        <f t="shared" si="56"/>
        <v>0</v>
      </c>
      <c r="BF70" s="193"/>
      <c r="BG70" s="169">
        <v>66</v>
      </c>
      <c r="BH70" s="1">
        <f t="shared" ref="BH70:BH133" si="72">EDATE(BH69,1)</f>
        <v>47529</v>
      </c>
      <c r="BI70" s="60">
        <f>IF($X70&lt;Input!$H$103,IF($X70&lt;Input!$G$103,IF($X70&lt;Input!$F$103,IF($X70&lt;Input!$E$103,IF($X70&lt;Input!$D$103,Input!$C$109,Input!$D$109),Input!$E$109),Input!$F$109),Input!$G$109),Input!$H$109)</f>
        <v>0</v>
      </c>
      <c r="BJ70" s="190">
        <f>IF($A70&lt;Input!$H$110,IF($A70&lt;Input!$G$110,IF($A70&lt;Input!$F$110,IF($A70&lt;Input!$E$110,IF($A70&lt;Input!$D$110,Input!$C$111,Input!$D$111),Input!$E$111),Input!$F$111),Input!$G$111),Input!$H$111)</f>
        <v>0.9</v>
      </c>
      <c r="BK70" s="60">
        <f t="shared" si="57"/>
        <v>0</v>
      </c>
      <c r="BL70" s="60">
        <f t="shared" ref="BL70:BL133" si="73">BH70-BH69</f>
        <v>31</v>
      </c>
      <c r="BM70" s="60">
        <f t="shared" si="58"/>
        <v>0</v>
      </c>
      <c r="BN70" s="60">
        <f>ROUND(BM70*BL70*Input!$C$3/365,0)</f>
        <v>0</v>
      </c>
      <c r="BO70" s="61">
        <f>IF($A70&lt;=Input!$C$6,0,IF('144M'!BK70&lt;'144M'!BM70,'144M'!BK70-BN70,'144M'!BM70))</f>
        <v>0</v>
      </c>
      <c r="BP70" s="61">
        <f t="shared" si="59"/>
        <v>0</v>
      </c>
      <c r="BQ70" s="60">
        <f t="shared" si="60"/>
        <v>0</v>
      </c>
      <c r="BR70" s="198"/>
    </row>
    <row r="71" spans="1:70" x14ac:dyDescent="0.25">
      <c r="A71" s="169">
        <v>67</v>
      </c>
      <c r="B71" s="1">
        <f t="shared" si="61"/>
        <v>47557</v>
      </c>
      <c r="C71" s="60">
        <f t="shared" si="39"/>
        <v>18940500</v>
      </c>
      <c r="D71" s="60">
        <f t="shared" si="40"/>
        <v>17046450</v>
      </c>
      <c r="E71" s="60">
        <f t="shared" si="62"/>
        <v>28</v>
      </c>
      <c r="F71" s="60">
        <f t="shared" si="63"/>
        <v>684603339</v>
      </c>
      <c r="G71" s="60">
        <f>ROUND(F71*E71*Input!$C$3/365,0)</f>
        <v>7877627</v>
      </c>
      <c r="H71" s="60">
        <f>IF($A71&lt;=Input!$C$6,0,IF('144M'!D71&lt;'144M'!F71,'144M'!D71-G71,'144M'!F71))</f>
        <v>9168823</v>
      </c>
      <c r="I71" s="60">
        <f t="shared" si="64"/>
        <v>17046450</v>
      </c>
      <c r="J71" s="60">
        <f t="shared" si="65"/>
        <v>675434516</v>
      </c>
      <c r="K71" s="202">
        <f>J71/Input!$K$5</f>
        <v>2.2514483866666666</v>
      </c>
      <c r="L71" s="232"/>
      <c r="M71" s="60">
        <f>IF($B71&lt;Input!$H$43,IF($B71&lt;Input!$G$43,IF($B71&lt;Input!$F$43,IF($B71&lt;Input!$E$43,IF($B71&lt;Input!$D$43,Input!$C$49,Input!$D$49),Input!$E$49),Input!$F$49),Input!$G$49),Input!$H$49)</f>
        <v>18940500</v>
      </c>
      <c r="N71" s="190">
        <f>IF($A71&lt;Input!$H$50,IF($A71&lt;Input!$G$50,IF($A71&lt;Input!$F$50,IF($A71&lt;Input!$E$50,IF($A71&lt;Input!$D$50,Input!$C$51,Input!$D$51),Input!$E$51),Input!$F$51),Input!$G$51),Input!$H$51)</f>
        <v>0.9</v>
      </c>
      <c r="O71" s="60">
        <f t="shared" si="38"/>
        <v>17046450</v>
      </c>
      <c r="P71" s="60">
        <f t="shared" si="41"/>
        <v>28</v>
      </c>
      <c r="Q71" s="60">
        <f t="shared" si="42"/>
        <v>684603339</v>
      </c>
      <c r="R71" s="60">
        <f>ROUND(Q71*$P71*Input!$C$3/365,0)</f>
        <v>7877627</v>
      </c>
      <c r="S71" s="60">
        <f>IF(A71&lt;=Input!$C$6,0,IF('144M'!O71&lt;'144M'!Q71,'144M'!O71-R71,'144M'!Q71))</f>
        <v>9168823</v>
      </c>
      <c r="T71" s="60">
        <f t="shared" si="43"/>
        <v>17046450</v>
      </c>
      <c r="U71" s="60">
        <f t="shared" si="44"/>
        <v>675434516</v>
      </c>
      <c r="V71" s="193"/>
      <c r="W71" s="169">
        <v>67</v>
      </c>
      <c r="X71" s="1">
        <f t="shared" si="66"/>
        <v>47557</v>
      </c>
      <c r="Y71" s="60">
        <f>IF($X71&lt;Input!$H$58,IF($X71&lt;Input!$G$58,IF($X71&lt;Input!$F$58,IF($X71&lt;Input!$E$58,IF($X71&lt;Input!$D$58,Input!$C$64,Input!$D$64),Input!$E$64),Input!$F$64),Input!$G$64),Input!$H$64)</f>
        <v>0</v>
      </c>
      <c r="Z71" s="190">
        <f>IF($A71&lt;Input!$H$65,IF($A71&lt;Input!$G$65,IF($A71&lt;Input!$F$65,IF($A71&lt;Input!$E$65,IF($A71&lt;Input!$D$65,Input!$C$66,Input!$D$66),Input!$E$66),Input!$F$66),Input!$G$66),Input!$H$66)</f>
        <v>0.9</v>
      </c>
      <c r="AA71" s="60">
        <f t="shared" si="45"/>
        <v>0</v>
      </c>
      <c r="AB71" s="60">
        <f t="shared" si="67"/>
        <v>28</v>
      </c>
      <c r="AC71" s="60">
        <f t="shared" si="46"/>
        <v>0</v>
      </c>
      <c r="AD71" s="60">
        <f>ROUND(AC71*AB71*Input!$C$3/365,0)</f>
        <v>0</v>
      </c>
      <c r="AE71" s="61">
        <f>IF($A71&lt;=Input!$C$6,0,IF('144M'!AA71&lt;'144M'!AC71,'144M'!AA71-AD71,'144M'!AC71))</f>
        <v>0</v>
      </c>
      <c r="AF71" s="61">
        <f t="shared" si="47"/>
        <v>0</v>
      </c>
      <c r="AG71" s="60">
        <f t="shared" si="48"/>
        <v>0</v>
      </c>
      <c r="AH71" s="193"/>
      <c r="AI71" s="169">
        <v>67</v>
      </c>
      <c r="AJ71" s="1">
        <f t="shared" si="68"/>
        <v>47557</v>
      </c>
      <c r="AK71" s="60">
        <f>IF($X71&lt;Input!$H$73,IF($X71&lt;Input!$G$73,IF($X71&lt;Input!$F$73,IF($X71&lt;Input!$E$73,IF($X71&lt;Input!$D$73,Input!$C$79,Input!$D$79),Input!$E$79),Input!$F$79),Input!$G$79),Input!$H$79)</f>
        <v>0</v>
      </c>
      <c r="AL71" s="190">
        <f>IF($A71&lt;Input!$H$80,IF($A71&lt;Input!$G$80,IF($A71&lt;Input!$F$80,IF($A71&lt;Input!$E$80,IF($A71&lt;Input!$D$80,Input!$C$81,Input!$D$81),Input!$E$81),Input!$F$81),Input!$G$81),Input!$H$81)</f>
        <v>0.9</v>
      </c>
      <c r="AM71" s="60">
        <f t="shared" si="49"/>
        <v>0</v>
      </c>
      <c r="AN71" s="60">
        <f t="shared" si="69"/>
        <v>28</v>
      </c>
      <c r="AO71" s="60">
        <f t="shared" si="50"/>
        <v>0</v>
      </c>
      <c r="AP71" s="60">
        <f>ROUND(AO71*AN71*Input!$C$3/365,0)</f>
        <v>0</v>
      </c>
      <c r="AQ71" s="61">
        <f>IF($A71&lt;=Input!$C$6,0,IF('144M'!AM71&lt;'144M'!AO71,'144M'!AM71-AP71,'144M'!AO71))</f>
        <v>0</v>
      </c>
      <c r="AR71" s="61">
        <f t="shared" si="51"/>
        <v>0</v>
      </c>
      <c r="AS71" s="60">
        <f t="shared" si="52"/>
        <v>0</v>
      </c>
      <c r="AT71" s="193"/>
      <c r="AU71" s="169">
        <v>67</v>
      </c>
      <c r="AV71" s="1">
        <f t="shared" si="70"/>
        <v>47557</v>
      </c>
      <c r="AW71" s="60">
        <f>IF($X71&lt;Input!$H$88,IF($X71&lt;Input!$G$88,IF($X71&lt;Input!$F$88,IF($X71&lt;Input!$E$88,IF($X71&lt;Input!$D$88,Input!$C$94,Input!$D$94),Input!$E$94),Input!$F$94),Input!$G$94),Input!$H$94)</f>
        <v>0</v>
      </c>
      <c r="AX71" s="190">
        <f>IF($A71&lt;Input!$H$95,IF($A71&lt;Input!$G$95,IF($A71&lt;Input!$F$95,IF($A71&lt;Input!$E$95,IF($A71&lt;Input!$D$95,Input!$C$96,Input!$D$96),Input!$E$96),Input!$F$96),Input!$G$96),Input!$H$96)</f>
        <v>0.9</v>
      </c>
      <c r="AY71" s="60">
        <f t="shared" si="53"/>
        <v>0</v>
      </c>
      <c r="AZ71" s="60">
        <f t="shared" si="71"/>
        <v>28</v>
      </c>
      <c r="BA71" s="60">
        <f t="shared" si="54"/>
        <v>0</v>
      </c>
      <c r="BB71" s="60">
        <f>ROUND(BA71*AZ71*Input!$C$3/365,0)</f>
        <v>0</v>
      </c>
      <c r="BC71" s="61">
        <f>IF($A71&lt;=Input!$C$6,0,IF('144M'!AY71&lt;'144M'!BA71,'144M'!AY71-BB71,'144M'!BA71))</f>
        <v>0</v>
      </c>
      <c r="BD71" s="61">
        <f t="shared" si="55"/>
        <v>0</v>
      </c>
      <c r="BE71" s="60">
        <f t="shared" si="56"/>
        <v>0</v>
      </c>
      <c r="BF71" s="193"/>
      <c r="BG71" s="169">
        <v>67</v>
      </c>
      <c r="BH71" s="1">
        <f t="shared" si="72"/>
        <v>47557</v>
      </c>
      <c r="BI71" s="60">
        <f>IF($X71&lt;Input!$H$103,IF($X71&lt;Input!$G$103,IF($X71&lt;Input!$F$103,IF($X71&lt;Input!$E$103,IF($X71&lt;Input!$D$103,Input!$C$109,Input!$D$109),Input!$E$109),Input!$F$109),Input!$G$109),Input!$H$109)</f>
        <v>0</v>
      </c>
      <c r="BJ71" s="190">
        <f>IF($A71&lt;Input!$H$110,IF($A71&lt;Input!$G$110,IF($A71&lt;Input!$F$110,IF($A71&lt;Input!$E$110,IF($A71&lt;Input!$D$110,Input!$C$111,Input!$D$111),Input!$E$111),Input!$F$111),Input!$G$111),Input!$H$111)</f>
        <v>0.9</v>
      </c>
      <c r="BK71" s="60">
        <f t="shared" si="57"/>
        <v>0</v>
      </c>
      <c r="BL71" s="60">
        <f t="shared" si="73"/>
        <v>28</v>
      </c>
      <c r="BM71" s="60">
        <f t="shared" si="58"/>
        <v>0</v>
      </c>
      <c r="BN71" s="60">
        <f>ROUND(BM71*BL71*Input!$C$3/365,0)</f>
        <v>0</v>
      </c>
      <c r="BO71" s="61">
        <f>IF($A71&lt;=Input!$C$6,0,IF('144M'!BK71&lt;'144M'!BM71,'144M'!BK71-BN71,'144M'!BM71))</f>
        <v>0</v>
      </c>
      <c r="BP71" s="61">
        <f t="shared" si="59"/>
        <v>0</v>
      </c>
      <c r="BQ71" s="60">
        <f t="shared" si="60"/>
        <v>0</v>
      </c>
      <c r="BR71" s="198"/>
    </row>
    <row r="72" spans="1:70" x14ac:dyDescent="0.25">
      <c r="A72" s="169">
        <v>68</v>
      </c>
      <c r="B72" s="1">
        <f t="shared" si="61"/>
        <v>47588</v>
      </c>
      <c r="C72" s="60">
        <f t="shared" si="39"/>
        <v>18940500</v>
      </c>
      <c r="D72" s="60">
        <f t="shared" si="40"/>
        <v>17046450</v>
      </c>
      <c r="E72" s="60">
        <f t="shared" si="62"/>
        <v>31</v>
      </c>
      <c r="F72" s="60">
        <f t="shared" si="63"/>
        <v>675434516</v>
      </c>
      <c r="G72" s="60">
        <f>ROUND(F72*E72*Input!$C$3/365,0)</f>
        <v>8604851</v>
      </c>
      <c r="H72" s="60">
        <f>IF($A72&lt;=Input!$C$6,0,IF('144M'!D72&lt;'144M'!F72,'144M'!D72-G72,'144M'!F72))</f>
        <v>8441599</v>
      </c>
      <c r="I72" s="60">
        <f t="shared" si="64"/>
        <v>17046450</v>
      </c>
      <c r="J72" s="60">
        <f t="shared" si="65"/>
        <v>666992917</v>
      </c>
      <c r="K72" s="202">
        <f>J72/Input!$K$5</f>
        <v>2.2233097233333332</v>
      </c>
      <c r="L72" s="232"/>
      <c r="M72" s="60">
        <f>IF($B72&lt;Input!$H$43,IF($B72&lt;Input!$G$43,IF($B72&lt;Input!$F$43,IF($B72&lt;Input!$E$43,IF($B72&lt;Input!$D$43,Input!$C$49,Input!$D$49),Input!$E$49),Input!$F$49),Input!$G$49),Input!$H$49)</f>
        <v>18940500</v>
      </c>
      <c r="N72" s="190">
        <f>IF($A72&lt;Input!$H$50,IF($A72&lt;Input!$G$50,IF($A72&lt;Input!$F$50,IF($A72&lt;Input!$E$50,IF($A72&lt;Input!$D$50,Input!$C$51,Input!$D$51),Input!$E$51),Input!$F$51),Input!$G$51),Input!$H$51)</f>
        <v>0.9</v>
      </c>
      <c r="O72" s="60">
        <f t="shared" si="38"/>
        <v>17046450</v>
      </c>
      <c r="P72" s="60">
        <f t="shared" si="41"/>
        <v>31</v>
      </c>
      <c r="Q72" s="60">
        <f t="shared" si="42"/>
        <v>675434516</v>
      </c>
      <c r="R72" s="60">
        <f>ROUND(Q72*$P72*Input!$C$3/365,0)</f>
        <v>8604851</v>
      </c>
      <c r="S72" s="60">
        <f>IF(A72&lt;=Input!$C$6,0,IF('144M'!O72&lt;'144M'!Q72,'144M'!O72-R72,'144M'!Q72))</f>
        <v>8441599</v>
      </c>
      <c r="T72" s="60">
        <f t="shared" si="43"/>
        <v>17046450</v>
      </c>
      <c r="U72" s="60">
        <f t="shared" si="44"/>
        <v>666992917</v>
      </c>
      <c r="V72" s="193"/>
      <c r="W72" s="169">
        <v>68</v>
      </c>
      <c r="X72" s="1">
        <f t="shared" si="66"/>
        <v>47588</v>
      </c>
      <c r="Y72" s="60">
        <f>IF($X72&lt;Input!$H$58,IF($X72&lt;Input!$G$58,IF($X72&lt;Input!$F$58,IF($X72&lt;Input!$E$58,IF($X72&lt;Input!$D$58,Input!$C$64,Input!$D$64),Input!$E$64),Input!$F$64),Input!$G$64),Input!$H$64)</f>
        <v>0</v>
      </c>
      <c r="Z72" s="190">
        <f>IF($A72&lt;Input!$H$65,IF($A72&lt;Input!$G$65,IF($A72&lt;Input!$F$65,IF($A72&lt;Input!$E$65,IF($A72&lt;Input!$D$65,Input!$C$66,Input!$D$66),Input!$E$66),Input!$F$66),Input!$G$66),Input!$H$66)</f>
        <v>0.9</v>
      </c>
      <c r="AA72" s="60">
        <f t="shared" si="45"/>
        <v>0</v>
      </c>
      <c r="AB72" s="60">
        <f t="shared" si="67"/>
        <v>31</v>
      </c>
      <c r="AC72" s="60">
        <f t="shared" si="46"/>
        <v>0</v>
      </c>
      <c r="AD72" s="60">
        <f>ROUND(AC72*AB72*Input!$C$3/365,0)</f>
        <v>0</v>
      </c>
      <c r="AE72" s="61">
        <f>IF($A72&lt;=Input!$C$6,0,IF('144M'!AA72&lt;'144M'!AC72,'144M'!AA72-AD72,'144M'!AC72))</f>
        <v>0</v>
      </c>
      <c r="AF72" s="61">
        <f t="shared" si="47"/>
        <v>0</v>
      </c>
      <c r="AG72" s="60">
        <f t="shared" si="48"/>
        <v>0</v>
      </c>
      <c r="AH72" s="193"/>
      <c r="AI72" s="169">
        <v>68</v>
      </c>
      <c r="AJ72" s="1">
        <f t="shared" si="68"/>
        <v>47588</v>
      </c>
      <c r="AK72" s="60">
        <f>IF($X72&lt;Input!$H$73,IF($X72&lt;Input!$G$73,IF($X72&lt;Input!$F$73,IF($X72&lt;Input!$E$73,IF($X72&lt;Input!$D$73,Input!$C$79,Input!$D$79),Input!$E$79),Input!$F$79),Input!$G$79),Input!$H$79)</f>
        <v>0</v>
      </c>
      <c r="AL72" s="190">
        <f>IF($A72&lt;Input!$H$80,IF($A72&lt;Input!$G$80,IF($A72&lt;Input!$F$80,IF($A72&lt;Input!$E$80,IF($A72&lt;Input!$D$80,Input!$C$81,Input!$D$81),Input!$E$81),Input!$F$81),Input!$G$81),Input!$H$81)</f>
        <v>0.9</v>
      </c>
      <c r="AM72" s="60">
        <f t="shared" si="49"/>
        <v>0</v>
      </c>
      <c r="AN72" s="60">
        <f t="shared" si="69"/>
        <v>31</v>
      </c>
      <c r="AO72" s="60">
        <f t="shared" si="50"/>
        <v>0</v>
      </c>
      <c r="AP72" s="60">
        <f>ROUND(AO72*AN72*Input!$C$3/365,0)</f>
        <v>0</v>
      </c>
      <c r="AQ72" s="61">
        <f>IF($A72&lt;=Input!$C$6,0,IF('144M'!AM72&lt;'144M'!AO72,'144M'!AM72-AP72,'144M'!AO72))</f>
        <v>0</v>
      </c>
      <c r="AR72" s="61">
        <f t="shared" si="51"/>
        <v>0</v>
      </c>
      <c r="AS72" s="60">
        <f t="shared" si="52"/>
        <v>0</v>
      </c>
      <c r="AT72" s="193"/>
      <c r="AU72" s="169">
        <v>68</v>
      </c>
      <c r="AV72" s="1">
        <f t="shared" si="70"/>
        <v>47588</v>
      </c>
      <c r="AW72" s="60">
        <f>IF($X72&lt;Input!$H$88,IF($X72&lt;Input!$G$88,IF($X72&lt;Input!$F$88,IF($X72&lt;Input!$E$88,IF($X72&lt;Input!$D$88,Input!$C$94,Input!$D$94),Input!$E$94),Input!$F$94),Input!$G$94),Input!$H$94)</f>
        <v>0</v>
      </c>
      <c r="AX72" s="190">
        <f>IF($A72&lt;Input!$H$95,IF($A72&lt;Input!$G$95,IF($A72&lt;Input!$F$95,IF($A72&lt;Input!$E$95,IF($A72&lt;Input!$D$95,Input!$C$96,Input!$D$96),Input!$E$96),Input!$F$96),Input!$G$96),Input!$H$96)</f>
        <v>0.9</v>
      </c>
      <c r="AY72" s="60">
        <f t="shared" si="53"/>
        <v>0</v>
      </c>
      <c r="AZ72" s="60">
        <f t="shared" si="71"/>
        <v>31</v>
      </c>
      <c r="BA72" s="60">
        <f t="shared" si="54"/>
        <v>0</v>
      </c>
      <c r="BB72" s="60">
        <f>ROUND(BA72*AZ72*Input!$C$3/365,0)</f>
        <v>0</v>
      </c>
      <c r="BC72" s="61">
        <f>IF($A72&lt;=Input!$C$6,0,IF('144M'!AY72&lt;'144M'!BA72,'144M'!AY72-BB72,'144M'!BA72))</f>
        <v>0</v>
      </c>
      <c r="BD72" s="61">
        <f t="shared" si="55"/>
        <v>0</v>
      </c>
      <c r="BE72" s="60">
        <f t="shared" si="56"/>
        <v>0</v>
      </c>
      <c r="BF72" s="193"/>
      <c r="BG72" s="169">
        <v>68</v>
      </c>
      <c r="BH72" s="1">
        <f t="shared" si="72"/>
        <v>47588</v>
      </c>
      <c r="BI72" s="60">
        <f>IF($X72&lt;Input!$H$103,IF($X72&lt;Input!$G$103,IF($X72&lt;Input!$F$103,IF($X72&lt;Input!$E$103,IF($X72&lt;Input!$D$103,Input!$C$109,Input!$D$109),Input!$E$109),Input!$F$109),Input!$G$109),Input!$H$109)</f>
        <v>0</v>
      </c>
      <c r="BJ72" s="190">
        <f>IF($A72&lt;Input!$H$110,IF($A72&lt;Input!$G$110,IF($A72&lt;Input!$F$110,IF($A72&lt;Input!$E$110,IF($A72&lt;Input!$D$110,Input!$C$111,Input!$D$111),Input!$E$111),Input!$F$111),Input!$G$111),Input!$H$111)</f>
        <v>0.9</v>
      </c>
      <c r="BK72" s="60">
        <f t="shared" si="57"/>
        <v>0</v>
      </c>
      <c r="BL72" s="60">
        <f t="shared" si="73"/>
        <v>31</v>
      </c>
      <c r="BM72" s="60">
        <f t="shared" si="58"/>
        <v>0</v>
      </c>
      <c r="BN72" s="60">
        <f>ROUND(BM72*BL72*Input!$C$3/365,0)</f>
        <v>0</v>
      </c>
      <c r="BO72" s="61">
        <f>IF($A72&lt;=Input!$C$6,0,IF('144M'!BK72&lt;'144M'!BM72,'144M'!BK72-BN72,'144M'!BM72))</f>
        <v>0</v>
      </c>
      <c r="BP72" s="61">
        <f t="shared" si="59"/>
        <v>0</v>
      </c>
      <c r="BQ72" s="60">
        <f t="shared" si="60"/>
        <v>0</v>
      </c>
      <c r="BR72" s="198"/>
    </row>
    <row r="73" spans="1:70" x14ac:dyDescent="0.25">
      <c r="A73" s="169">
        <v>69</v>
      </c>
      <c r="B73" s="1">
        <f t="shared" si="61"/>
        <v>47618</v>
      </c>
      <c r="C73" s="60">
        <f t="shared" si="39"/>
        <v>18940500</v>
      </c>
      <c r="D73" s="60">
        <f t="shared" si="40"/>
        <v>17046450</v>
      </c>
      <c r="E73" s="60">
        <f t="shared" si="62"/>
        <v>30</v>
      </c>
      <c r="F73" s="60">
        <f t="shared" si="63"/>
        <v>666992917</v>
      </c>
      <c r="G73" s="60">
        <f>ROUND(F73*E73*Input!$C$3/365,0)</f>
        <v>8223200</v>
      </c>
      <c r="H73" s="60">
        <f>IF($A73&lt;=Input!$C$6,0,IF('144M'!D73&lt;'144M'!F73,'144M'!D73-G73,'144M'!F73))</f>
        <v>8823250</v>
      </c>
      <c r="I73" s="60">
        <f t="shared" si="64"/>
        <v>17046450</v>
      </c>
      <c r="J73" s="60">
        <f t="shared" si="65"/>
        <v>658169667</v>
      </c>
      <c r="K73" s="202">
        <f>J73/Input!$K$5</f>
        <v>2.1938988899999998</v>
      </c>
      <c r="L73" s="232"/>
      <c r="M73" s="60">
        <f>IF($B73&lt;Input!$H$43,IF($B73&lt;Input!$G$43,IF($B73&lt;Input!$F$43,IF($B73&lt;Input!$E$43,IF($B73&lt;Input!$D$43,Input!$C$49,Input!$D$49),Input!$E$49),Input!$F$49),Input!$G$49),Input!$H$49)</f>
        <v>18940500</v>
      </c>
      <c r="N73" s="190">
        <f>IF($A73&lt;Input!$H$50,IF($A73&lt;Input!$G$50,IF($A73&lt;Input!$F$50,IF($A73&lt;Input!$E$50,IF($A73&lt;Input!$D$50,Input!$C$51,Input!$D$51),Input!$E$51),Input!$F$51),Input!$G$51),Input!$H$51)</f>
        <v>0.9</v>
      </c>
      <c r="O73" s="60">
        <f t="shared" si="38"/>
        <v>17046450</v>
      </c>
      <c r="P73" s="60">
        <f t="shared" si="41"/>
        <v>30</v>
      </c>
      <c r="Q73" s="60">
        <f t="shared" si="42"/>
        <v>666992917</v>
      </c>
      <c r="R73" s="60">
        <f>ROUND(Q73*$P73*Input!$C$3/365,0)</f>
        <v>8223200</v>
      </c>
      <c r="S73" s="60">
        <f>IF(A73&lt;=Input!$C$6,0,IF('144M'!O73&lt;'144M'!Q73,'144M'!O73-R73,'144M'!Q73))</f>
        <v>8823250</v>
      </c>
      <c r="T73" s="60">
        <f t="shared" si="43"/>
        <v>17046450</v>
      </c>
      <c r="U73" s="60">
        <f t="shared" si="44"/>
        <v>658169667</v>
      </c>
      <c r="V73" s="193"/>
      <c r="W73" s="169">
        <v>69</v>
      </c>
      <c r="X73" s="1">
        <f t="shared" si="66"/>
        <v>47618</v>
      </c>
      <c r="Y73" s="60">
        <f>IF($X73&lt;Input!$H$58,IF($X73&lt;Input!$G$58,IF($X73&lt;Input!$F$58,IF($X73&lt;Input!$E$58,IF($X73&lt;Input!$D$58,Input!$C$64,Input!$D$64),Input!$E$64),Input!$F$64),Input!$G$64),Input!$H$64)</f>
        <v>0</v>
      </c>
      <c r="Z73" s="190">
        <f>IF($A73&lt;Input!$H$65,IF($A73&lt;Input!$G$65,IF($A73&lt;Input!$F$65,IF($A73&lt;Input!$E$65,IF($A73&lt;Input!$D$65,Input!$C$66,Input!$D$66),Input!$E$66),Input!$F$66),Input!$G$66),Input!$H$66)</f>
        <v>0.9</v>
      </c>
      <c r="AA73" s="60">
        <f t="shared" si="45"/>
        <v>0</v>
      </c>
      <c r="AB73" s="60">
        <f t="shared" si="67"/>
        <v>30</v>
      </c>
      <c r="AC73" s="60">
        <f t="shared" si="46"/>
        <v>0</v>
      </c>
      <c r="AD73" s="60">
        <f>ROUND(AC73*AB73*Input!$C$3/365,0)</f>
        <v>0</v>
      </c>
      <c r="AE73" s="61">
        <f>IF($A73&lt;=Input!$C$6,0,IF('144M'!AA73&lt;'144M'!AC73,'144M'!AA73-AD73,'144M'!AC73))</f>
        <v>0</v>
      </c>
      <c r="AF73" s="61">
        <f t="shared" si="47"/>
        <v>0</v>
      </c>
      <c r="AG73" s="60">
        <f t="shared" si="48"/>
        <v>0</v>
      </c>
      <c r="AH73" s="193"/>
      <c r="AI73" s="169">
        <v>69</v>
      </c>
      <c r="AJ73" s="1">
        <f t="shared" si="68"/>
        <v>47618</v>
      </c>
      <c r="AK73" s="60">
        <f>IF($X73&lt;Input!$H$73,IF($X73&lt;Input!$G$73,IF($X73&lt;Input!$F$73,IF($X73&lt;Input!$E$73,IF($X73&lt;Input!$D$73,Input!$C$79,Input!$D$79),Input!$E$79),Input!$F$79),Input!$G$79),Input!$H$79)</f>
        <v>0</v>
      </c>
      <c r="AL73" s="190">
        <f>IF($A73&lt;Input!$H$80,IF($A73&lt;Input!$G$80,IF($A73&lt;Input!$F$80,IF($A73&lt;Input!$E$80,IF($A73&lt;Input!$D$80,Input!$C$81,Input!$D$81),Input!$E$81),Input!$F$81),Input!$G$81),Input!$H$81)</f>
        <v>0.9</v>
      </c>
      <c r="AM73" s="60">
        <f t="shared" si="49"/>
        <v>0</v>
      </c>
      <c r="AN73" s="60">
        <f t="shared" si="69"/>
        <v>30</v>
      </c>
      <c r="AO73" s="60">
        <f t="shared" si="50"/>
        <v>0</v>
      </c>
      <c r="AP73" s="60">
        <f>ROUND(AO73*AN73*Input!$C$3/365,0)</f>
        <v>0</v>
      </c>
      <c r="AQ73" s="61">
        <f>IF($A73&lt;=Input!$C$6,0,IF('144M'!AM73&lt;'144M'!AO73,'144M'!AM73-AP73,'144M'!AO73))</f>
        <v>0</v>
      </c>
      <c r="AR73" s="61">
        <f t="shared" si="51"/>
        <v>0</v>
      </c>
      <c r="AS73" s="60">
        <f t="shared" si="52"/>
        <v>0</v>
      </c>
      <c r="AT73" s="193"/>
      <c r="AU73" s="169">
        <v>69</v>
      </c>
      <c r="AV73" s="1">
        <f t="shared" si="70"/>
        <v>47618</v>
      </c>
      <c r="AW73" s="60">
        <f>IF($X73&lt;Input!$H$88,IF($X73&lt;Input!$G$88,IF($X73&lt;Input!$F$88,IF($X73&lt;Input!$E$88,IF($X73&lt;Input!$D$88,Input!$C$94,Input!$D$94),Input!$E$94),Input!$F$94),Input!$G$94),Input!$H$94)</f>
        <v>0</v>
      </c>
      <c r="AX73" s="190">
        <f>IF($A73&lt;Input!$H$95,IF($A73&lt;Input!$G$95,IF($A73&lt;Input!$F$95,IF($A73&lt;Input!$E$95,IF($A73&lt;Input!$D$95,Input!$C$96,Input!$D$96),Input!$E$96),Input!$F$96),Input!$G$96),Input!$H$96)</f>
        <v>0.9</v>
      </c>
      <c r="AY73" s="60">
        <f t="shared" si="53"/>
        <v>0</v>
      </c>
      <c r="AZ73" s="60">
        <f t="shared" si="71"/>
        <v>30</v>
      </c>
      <c r="BA73" s="60">
        <f t="shared" si="54"/>
        <v>0</v>
      </c>
      <c r="BB73" s="60">
        <f>ROUND(BA73*AZ73*Input!$C$3/365,0)</f>
        <v>0</v>
      </c>
      <c r="BC73" s="61">
        <f>IF($A73&lt;=Input!$C$6,0,IF('144M'!AY73&lt;'144M'!BA73,'144M'!AY73-BB73,'144M'!BA73))</f>
        <v>0</v>
      </c>
      <c r="BD73" s="61">
        <f t="shared" si="55"/>
        <v>0</v>
      </c>
      <c r="BE73" s="60">
        <f t="shared" si="56"/>
        <v>0</v>
      </c>
      <c r="BF73" s="193"/>
      <c r="BG73" s="169">
        <v>69</v>
      </c>
      <c r="BH73" s="1">
        <f t="shared" si="72"/>
        <v>47618</v>
      </c>
      <c r="BI73" s="60">
        <f>IF($X73&lt;Input!$H$103,IF($X73&lt;Input!$G$103,IF($X73&lt;Input!$F$103,IF($X73&lt;Input!$E$103,IF($X73&lt;Input!$D$103,Input!$C$109,Input!$D$109),Input!$E$109),Input!$F$109),Input!$G$109),Input!$H$109)</f>
        <v>0</v>
      </c>
      <c r="BJ73" s="190">
        <f>IF($A73&lt;Input!$H$110,IF($A73&lt;Input!$G$110,IF($A73&lt;Input!$F$110,IF($A73&lt;Input!$E$110,IF($A73&lt;Input!$D$110,Input!$C$111,Input!$D$111),Input!$E$111),Input!$F$111),Input!$G$111),Input!$H$111)</f>
        <v>0.9</v>
      </c>
      <c r="BK73" s="60">
        <f t="shared" si="57"/>
        <v>0</v>
      </c>
      <c r="BL73" s="60">
        <f t="shared" si="73"/>
        <v>30</v>
      </c>
      <c r="BM73" s="60">
        <f t="shared" si="58"/>
        <v>0</v>
      </c>
      <c r="BN73" s="60">
        <f>ROUND(BM73*BL73*Input!$C$3/365,0)</f>
        <v>0</v>
      </c>
      <c r="BO73" s="61">
        <f>IF($A73&lt;=Input!$C$6,0,IF('144M'!BK73&lt;'144M'!BM73,'144M'!BK73-BN73,'144M'!BM73))</f>
        <v>0</v>
      </c>
      <c r="BP73" s="61">
        <f t="shared" si="59"/>
        <v>0</v>
      </c>
      <c r="BQ73" s="60">
        <f t="shared" si="60"/>
        <v>0</v>
      </c>
      <c r="BR73" s="198"/>
    </row>
    <row r="74" spans="1:70" x14ac:dyDescent="0.25">
      <c r="A74" s="169">
        <v>70</v>
      </c>
      <c r="B74" s="1">
        <f t="shared" si="61"/>
        <v>47649</v>
      </c>
      <c r="C74" s="60">
        <f t="shared" si="39"/>
        <v>18940500</v>
      </c>
      <c r="D74" s="60">
        <f t="shared" si="40"/>
        <v>17046450</v>
      </c>
      <c r="E74" s="60">
        <f t="shared" si="62"/>
        <v>31</v>
      </c>
      <c r="F74" s="60">
        <f t="shared" si="63"/>
        <v>658169667</v>
      </c>
      <c r="G74" s="60">
        <f>ROUND(F74*E74*Input!$C$3/365,0)</f>
        <v>8384901</v>
      </c>
      <c r="H74" s="60">
        <f>IF($A74&lt;=Input!$C$6,0,IF('144M'!D74&lt;'144M'!F74,'144M'!D74-G74,'144M'!F74))</f>
        <v>8661549</v>
      </c>
      <c r="I74" s="60">
        <f t="shared" si="64"/>
        <v>17046450</v>
      </c>
      <c r="J74" s="60">
        <f t="shared" si="65"/>
        <v>649508118</v>
      </c>
      <c r="K74" s="202">
        <f>J74/Input!$K$5</f>
        <v>2.1650270599999999</v>
      </c>
      <c r="L74" s="232"/>
      <c r="M74" s="60">
        <f>IF($B74&lt;Input!$H$43,IF($B74&lt;Input!$G$43,IF($B74&lt;Input!$F$43,IF($B74&lt;Input!$E$43,IF($B74&lt;Input!$D$43,Input!$C$49,Input!$D$49),Input!$E$49),Input!$F$49),Input!$G$49),Input!$H$49)</f>
        <v>18940500</v>
      </c>
      <c r="N74" s="190">
        <f>IF($A74&lt;Input!$H$50,IF($A74&lt;Input!$G$50,IF($A74&lt;Input!$F$50,IF($A74&lt;Input!$E$50,IF($A74&lt;Input!$D$50,Input!$C$51,Input!$D$51),Input!$E$51),Input!$F$51),Input!$G$51),Input!$H$51)</f>
        <v>0.9</v>
      </c>
      <c r="O74" s="60">
        <f t="shared" si="38"/>
        <v>17046450</v>
      </c>
      <c r="P74" s="60">
        <f t="shared" si="41"/>
        <v>31</v>
      </c>
      <c r="Q74" s="60">
        <f t="shared" si="42"/>
        <v>658169667</v>
      </c>
      <c r="R74" s="60">
        <f>ROUND(Q74*$P74*Input!$C$3/365,0)</f>
        <v>8384901</v>
      </c>
      <c r="S74" s="60">
        <f>IF(A74&lt;=Input!$C$6,0,IF('144M'!O74&lt;'144M'!Q74,'144M'!O74-R74,'144M'!Q74))</f>
        <v>8661549</v>
      </c>
      <c r="T74" s="60">
        <f t="shared" si="43"/>
        <v>17046450</v>
      </c>
      <c r="U74" s="60">
        <f t="shared" si="44"/>
        <v>649508118</v>
      </c>
      <c r="V74" s="193"/>
      <c r="W74" s="169">
        <v>70</v>
      </c>
      <c r="X74" s="1">
        <f t="shared" si="66"/>
        <v>47649</v>
      </c>
      <c r="Y74" s="60">
        <f>IF($X74&lt;Input!$H$58,IF($X74&lt;Input!$G$58,IF($X74&lt;Input!$F$58,IF($X74&lt;Input!$E$58,IF($X74&lt;Input!$D$58,Input!$C$64,Input!$D$64),Input!$E$64),Input!$F$64),Input!$G$64),Input!$H$64)</f>
        <v>0</v>
      </c>
      <c r="Z74" s="190">
        <f>IF($A74&lt;Input!$H$65,IF($A74&lt;Input!$G$65,IF($A74&lt;Input!$F$65,IF($A74&lt;Input!$E$65,IF($A74&lt;Input!$D$65,Input!$C$66,Input!$D$66),Input!$E$66),Input!$F$66),Input!$G$66),Input!$H$66)</f>
        <v>0.9</v>
      </c>
      <c r="AA74" s="60">
        <f t="shared" si="45"/>
        <v>0</v>
      </c>
      <c r="AB74" s="60">
        <f t="shared" si="67"/>
        <v>31</v>
      </c>
      <c r="AC74" s="60">
        <f t="shared" si="46"/>
        <v>0</v>
      </c>
      <c r="AD74" s="60">
        <f>ROUND(AC74*AB74*Input!$C$3/365,0)</f>
        <v>0</v>
      </c>
      <c r="AE74" s="61">
        <f>IF($A74&lt;=Input!$C$6,0,IF('144M'!AA74&lt;'144M'!AC74,'144M'!AA74-AD74,'144M'!AC74))</f>
        <v>0</v>
      </c>
      <c r="AF74" s="61">
        <f t="shared" si="47"/>
        <v>0</v>
      </c>
      <c r="AG74" s="60">
        <f t="shared" si="48"/>
        <v>0</v>
      </c>
      <c r="AH74" s="193"/>
      <c r="AI74" s="169">
        <v>70</v>
      </c>
      <c r="AJ74" s="1">
        <f t="shared" si="68"/>
        <v>47649</v>
      </c>
      <c r="AK74" s="60">
        <f>IF($X74&lt;Input!$H$73,IF($X74&lt;Input!$G$73,IF($X74&lt;Input!$F$73,IF($X74&lt;Input!$E$73,IF($X74&lt;Input!$D$73,Input!$C$79,Input!$D$79),Input!$E$79),Input!$F$79),Input!$G$79),Input!$H$79)</f>
        <v>0</v>
      </c>
      <c r="AL74" s="190">
        <f>IF($A74&lt;Input!$H$80,IF($A74&lt;Input!$G$80,IF($A74&lt;Input!$F$80,IF($A74&lt;Input!$E$80,IF($A74&lt;Input!$D$80,Input!$C$81,Input!$D$81),Input!$E$81),Input!$F$81),Input!$G$81),Input!$H$81)</f>
        <v>0.9</v>
      </c>
      <c r="AM74" s="60">
        <f t="shared" si="49"/>
        <v>0</v>
      </c>
      <c r="AN74" s="60">
        <f t="shared" si="69"/>
        <v>31</v>
      </c>
      <c r="AO74" s="60">
        <f t="shared" si="50"/>
        <v>0</v>
      </c>
      <c r="AP74" s="60">
        <f>ROUND(AO74*AN74*Input!$C$3/365,0)</f>
        <v>0</v>
      </c>
      <c r="AQ74" s="61">
        <f>IF($A74&lt;=Input!$C$6,0,IF('144M'!AM74&lt;'144M'!AO74,'144M'!AM74-AP74,'144M'!AO74))</f>
        <v>0</v>
      </c>
      <c r="AR74" s="61">
        <f t="shared" si="51"/>
        <v>0</v>
      </c>
      <c r="AS74" s="60">
        <f t="shared" si="52"/>
        <v>0</v>
      </c>
      <c r="AT74" s="193"/>
      <c r="AU74" s="169">
        <v>70</v>
      </c>
      <c r="AV74" s="1">
        <f t="shared" si="70"/>
        <v>47649</v>
      </c>
      <c r="AW74" s="60">
        <f>IF($X74&lt;Input!$H$88,IF($X74&lt;Input!$G$88,IF($X74&lt;Input!$F$88,IF($X74&lt;Input!$E$88,IF($X74&lt;Input!$D$88,Input!$C$94,Input!$D$94),Input!$E$94),Input!$F$94),Input!$G$94),Input!$H$94)</f>
        <v>0</v>
      </c>
      <c r="AX74" s="190">
        <f>IF($A74&lt;Input!$H$95,IF($A74&lt;Input!$G$95,IF($A74&lt;Input!$F$95,IF($A74&lt;Input!$E$95,IF($A74&lt;Input!$D$95,Input!$C$96,Input!$D$96),Input!$E$96),Input!$F$96),Input!$G$96),Input!$H$96)</f>
        <v>0.9</v>
      </c>
      <c r="AY74" s="60">
        <f t="shared" si="53"/>
        <v>0</v>
      </c>
      <c r="AZ74" s="60">
        <f t="shared" si="71"/>
        <v>31</v>
      </c>
      <c r="BA74" s="60">
        <f t="shared" si="54"/>
        <v>0</v>
      </c>
      <c r="BB74" s="60">
        <f>ROUND(BA74*AZ74*Input!$C$3/365,0)</f>
        <v>0</v>
      </c>
      <c r="BC74" s="61">
        <f>IF($A74&lt;=Input!$C$6,0,IF('144M'!AY74&lt;'144M'!BA74,'144M'!AY74-BB74,'144M'!BA74))</f>
        <v>0</v>
      </c>
      <c r="BD74" s="61">
        <f t="shared" si="55"/>
        <v>0</v>
      </c>
      <c r="BE74" s="60">
        <f t="shared" si="56"/>
        <v>0</v>
      </c>
      <c r="BF74" s="193"/>
      <c r="BG74" s="169">
        <v>70</v>
      </c>
      <c r="BH74" s="1">
        <f t="shared" si="72"/>
        <v>47649</v>
      </c>
      <c r="BI74" s="60">
        <f>IF($X74&lt;Input!$H$103,IF($X74&lt;Input!$G$103,IF($X74&lt;Input!$F$103,IF($X74&lt;Input!$E$103,IF($X74&lt;Input!$D$103,Input!$C$109,Input!$D$109),Input!$E$109),Input!$F$109),Input!$G$109),Input!$H$109)</f>
        <v>0</v>
      </c>
      <c r="BJ74" s="190">
        <f>IF($A74&lt;Input!$H$110,IF($A74&lt;Input!$G$110,IF($A74&lt;Input!$F$110,IF($A74&lt;Input!$E$110,IF($A74&lt;Input!$D$110,Input!$C$111,Input!$D$111),Input!$E$111),Input!$F$111),Input!$G$111),Input!$H$111)</f>
        <v>0.9</v>
      </c>
      <c r="BK74" s="60">
        <f t="shared" si="57"/>
        <v>0</v>
      </c>
      <c r="BL74" s="60">
        <f t="shared" si="73"/>
        <v>31</v>
      </c>
      <c r="BM74" s="60">
        <f t="shared" si="58"/>
        <v>0</v>
      </c>
      <c r="BN74" s="60">
        <f>ROUND(BM74*BL74*Input!$C$3/365,0)</f>
        <v>0</v>
      </c>
      <c r="BO74" s="61">
        <f>IF($A74&lt;=Input!$C$6,0,IF('144M'!BK74&lt;'144M'!BM74,'144M'!BK74-BN74,'144M'!BM74))</f>
        <v>0</v>
      </c>
      <c r="BP74" s="61">
        <f t="shared" si="59"/>
        <v>0</v>
      </c>
      <c r="BQ74" s="60">
        <f t="shared" si="60"/>
        <v>0</v>
      </c>
      <c r="BR74" s="198"/>
    </row>
    <row r="75" spans="1:70" x14ac:dyDescent="0.25">
      <c r="A75" s="169">
        <v>71</v>
      </c>
      <c r="B75" s="1">
        <f t="shared" si="61"/>
        <v>47679</v>
      </c>
      <c r="C75" s="60">
        <f t="shared" si="39"/>
        <v>18940500</v>
      </c>
      <c r="D75" s="60">
        <f t="shared" si="40"/>
        <v>17046450</v>
      </c>
      <c r="E75" s="60">
        <f t="shared" si="62"/>
        <v>30</v>
      </c>
      <c r="F75" s="60">
        <f t="shared" si="63"/>
        <v>649508118</v>
      </c>
      <c r="G75" s="60">
        <f>ROUND(F75*E75*Input!$C$3/365,0)</f>
        <v>8007634</v>
      </c>
      <c r="H75" s="60">
        <f>IF($A75&lt;=Input!$C$6,0,IF('144M'!D75&lt;'144M'!F75,'144M'!D75-G75,'144M'!F75))</f>
        <v>9038816</v>
      </c>
      <c r="I75" s="60">
        <f t="shared" si="64"/>
        <v>17046450</v>
      </c>
      <c r="J75" s="60">
        <f t="shared" si="65"/>
        <v>640469302</v>
      </c>
      <c r="K75" s="202">
        <f>J75/Input!$K$5</f>
        <v>2.1348976733333331</v>
      </c>
      <c r="L75" s="232"/>
      <c r="M75" s="60">
        <f>IF($B75&lt;Input!$H$43,IF($B75&lt;Input!$G$43,IF($B75&lt;Input!$F$43,IF($B75&lt;Input!$E$43,IF($B75&lt;Input!$D$43,Input!$C$49,Input!$D$49),Input!$E$49),Input!$F$49),Input!$G$49),Input!$H$49)</f>
        <v>18940500</v>
      </c>
      <c r="N75" s="190">
        <f>IF($A75&lt;Input!$H$50,IF($A75&lt;Input!$G$50,IF($A75&lt;Input!$F$50,IF($A75&lt;Input!$E$50,IF($A75&lt;Input!$D$50,Input!$C$51,Input!$D$51),Input!$E$51),Input!$F$51),Input!$G$51),Input!$H$51)</f>
        <v>0.9</v>
      </c>
      <c r="O75" s="60">
        <f t="shared" si="38"/>
        <v>17046450</v>
      </c>
      <c r="P75" s="60">
        <f t="shared" si="41"/>
        <v>30</v>
      </c>
      <c r="Q75" s="60">
        <f t="shared" si="42"/>
        <v>649508118</v>
      </c>
      <c r="R75" s="60">
        <f>ROUND(Q75*$P75*Input!$C$3/365,0)</f>
        <v>8007634</v>
      </c>
      <c r="S75" s="60">
        <f>IF(A75&lt;=Input!$C$6,0,IF('144M'!O75&lt;'144M'!Q75,'144M'!O75-R75,'144M'!Q75))</f>
        <v>9038816</v>
      </c>
      <c r="T75" s="60">
        <f t="shared" si="43"/>
        <v>17046450</v>
      </c>
      <c r="U75" s="60">
        <f t="shared" si="44"/>
        <v>640469302</v>
      </c>
      <c r="V75" s="193"/>
      <c r="W75" s="169">
        <v>71</v>
      </c>
      <c r="X75" s="1">
        <f t="shared" si="66"/>
        <v>47679</v>
      </c>
      <c r="Y75" s="60">
        <f>IF($X75&lt;Input!$H$58,IF($X75&lt;Input!$G$58,IF($X75&lt;Input!$F$58,IF($X75&lt;Input!$E$58,IF($X75&lt;Input!$D$58,Input!$C$64,Input!$D$64),Input!$E$64),Input!$F$64),Input!$G$64),Input!$H$64)</f>
        <v>0</v>
      </c>
      <c r="Z75" s="190">
        <f>IF($A75&lt;Input!$H$65,IF($A75&lt;Input!$G$65,IF($A75&lt;Input!$F$65,IF($A75&lt;Input!$E$65,IF($A75&lt;Input!$D$65,Input!$C$66,Input!$D$66),Input!$E$66),Input!$F$66),Input!$G$66),Input!$H$66)</f>
        <v>0.9</v>
      </c>
      <c r="AA75" s="60">
        <f t="shared" si="45"/>
        <v>0</v>
      </c>
      <c r="AB75" s="60">
        <f t="shared" si="67"/>
        <v>30</v>
      </c>
      <c r="AC75" s="60">
        <f t="shared" si="46"/>
        <v>0</v>
      </c>
      <c r="AD75" s="60">
        <f>ROUND(AC75*AB75*Input!$C$3/365,0)</f>
        <v>0</v>
      </c>
      <c r="AE75" s="61">
        <f>IF($A75&lt;=Input!$C$6,0,IF('144M'!AA75&lt;'144M'!AC75,'144M'!AA75-AD75,'144M'!AC75))</f>
        <v>0</v>
      </c>
      <c r="AF75" s="61">
        <f t="shared" si="47"/>
        <v>0</v>
      </c>
      <c r="AG75" s="60">
        <f t="shared" si="48"/>
        <v>0</v>
      </c>
      <c r="AH75" s="193"/>
      <c r="AI75" s="169">
        <v>71</v>
      </c>
      <c r="AJ75" s="1">
        <f t="shared" si="68"/>
        <v>47679</v>
      </c>
      <c r="AK75" s="60">
        <f>IF($X75&lt;Input!$H$73,IF($X75&lt;Input!$G$73,IF($X75&lt;Input!$F$73,IF($X75&lt;Input!$E$73,IF($X75&lt;Input!$D$73,Input!$C$79,Input!$D$79),Input!$E$79),Input!$F$79),Input!$G$79),Input!$H$79)</f>
        <v>0</v>
      </c>
      <c r="AL75" s="190">
        <f>IF($A75&lt;Input!$H$80,IF($A75&lt;Input!$G$80,IF($A75&lt;Input!$F$80,IF($A75&lt;Input!$E$80,IF($A75&lt;Input!$D$80,Input!$C$81,Input!$D$81),Input!$E$81),Input!$F$81),Input!$G$81),Input!$H$81)</f>
        <v>0.9</v>
      </c>
      <c r="AM75" s="60">
        <f t="shared" si="49"/>
        <v>0</v>
      </c>
      <c r="AN75" s="60">
        <f t="shared" si="69"/>
        <v>30</v>
      </c>
      <c r="AO75" s="60">
        <f t="shared" si="50"/>
        <v>0</v>
      </c>
      <c r="AP75" s="60">
        <f>ROUND(AO75*AN75*Input!$C$3/365,0)</f>
        <v>0</v>
      </c>
      <c r="AQ75" s="61">
        <f>IF($A75&lt;=Input!$C$6,0,IF('144M'!AM75&lt;'144M'!AO75,'144M'!AM75-AP75,'144M'!AO75))</f>
        <v>0</v>
      </c>
      <c r="AR75" s="61">
        <f t="shared" si="51"/>
        <v>0</v>
      </c>
      <c r="AS75" s="60">
        <f t="shared" si="52"/>
        <v>0</v>
      </c>
      <c r="AT75" s="193"/>
      <c r="AU75" s="169">
        <v>71</v>
      </c>
      <c r="AV75" s="1">
        <f t="shared" si="70"/>
        <v>47679</v>
      </c>
      <c r="AW75" s="60">
        <f>IF($X75&lt;Input!$H$88,IF($X75&lt;Input!$G$88,IF($X75&lt;Input!$F$88,IF($X75&lt;Input!$E$88,IF($X75&lt;Input!$D$88,Input!$C$94,Input!$D$94),Input!$E$94),Input!$F$94),Input!$G$94),Input!$H$94)</f>
        <v>0</v>
      </c>
      <c r="AX75" s="190">
        <f>IF($A75&lt;Input!$H$95,IF($A75&lt;Input!$G$95,IF($A75&lt;Input!$F$95,IF($A75&lt;Input!$E$95,IF($A75&lt;Input!$D$95,Input!$C$96,Input!$D$96),Input!$E$96),Input!$F$96),Input!$G$96),Input!$H$96)</f>
        <v>0.9</v>
      </c>
      <c r="AY75" s="60">
        <f t="shared" si="53"/>
        <v>0</v>
      </c>
      <c r="AZ75" s="60">
        <f t="shared" si="71"/>
        <v>30</v>
      </c>
      <c r="BA75" s="60">
        <f t="shared" si="54"/>
        <v>0</v>
      </c>
      <c r="BB75" s="60">
        <f>ROUND(BA75*AZ75*Input!$C$3/365,0)</f>
        <v>0</v>
      </c>
      <c r="BC75" s="61">
        <f>IF($A75&lt;=Input!$C$6,0,IF('144M'!AY75&lt;'144M'!BA75,'144M'!AY75-BB75,'144M'!BA75))</f>
        <v>0</v>
      </c>
      <c r="BD75" s="61">
        <f t="shared" si="55"/>
        <v>0</v>
      </c>
      <c r="BE75" s="60">
        <f t="shared" si="56"/>
        <v>0</v>
      </c>
      <c r="BF75" s="193"/>
      <c r="BG75" s="169">
        <v>71</v>
      </c>
      <c r="BH75" s="1">
        <f t="shared" si="72"/>
        <v>47679</v>
      </c>
      <c r="BI75" s="60">
        <f>IF($X75&lt;Input!$H$103,IF($X75&lt;Input!$G$103,IF($X75&lt;Input!$F$103,IF($X75&lt;Input!$E$103,IF($X75&lt;Input!$D$103,Input!$C$109,Input!$D$109),Input!$E$109),Input!$F$109),Input!$G$109),Input!$H$109)</f>
        <v>0</v>
      </c>
      <c r="BJ75" s="190">
        <f>IF($A75&lt;Input!$H$110,IF($A75&lt;Input!$G$110,IF($A75&lt;Input!$F$110,IF($A75&lt;Input!$E$110,IF($A75&lt;Input!$D$110,Input!$C$111,Input!$D$111),Input!$E$111),Input!$F$111),Input!$G$111),Input!$H$111)</f>
        <v>0.9</v>
      </c>
      <c r="BK75" s="60">
        <f t="shared" si="57"/>
        <v>0</v>
      </c>
      <c r="BL75" s="60">
        <f t="shared" si="73"/>
        <v>30</v>
      </c>
      <c r="BM75" s="60">
        <f t="shared" si="58"/>
        <v>0</v>
      </c>
      <c r="BN75" s="60">
        <f>ROUND(BM75*BL75*Input!$C$3/365,0)</f>
        <v>0</v>
      </c>
      <c r="BO75" s="61">
        <f>IF($A75&lt;=Input!$C$6,0,IF('144M'!BK75&lt;'144M'!BM75,'144M'!BK75-BN75,'144M'!BM75))</f>
        <v>0</v>
      </c>
      <c r="BP75" s="61">
        <f t="shared" si="59"/>
        <v>0</v>
      </c>
      <c r="BQ75" s="60">
        <f t="shared" si="60"/>
        <v>0</v>
      </c>
      <c r="BR75" s="198"/>
    </row>
    <row r="76" spans="1:70" x14ac:dyDescent="0.25">
      <c r="A76" s="169">
        <v>72</v>
      </c>
      <c r="B76" s="1">
        <f t="shared" si="61"/>
        <v>47710</v>
      </c>
      <c r="C76" s="60">
        <f t="shared" si="39"/>
        <v>18940500</v>
      </c>
      <c r="D76" s="60">
        <f t="shared" si="40"/>
        <v>17046450</v>
      </c>
      <c r="E76" s="60">
        <f t="shared" si="62"/>
        <v>31</v>
      </c>
      <c r="F76" s="60">
        <f t="shared" si="63"/>
        <v>640469302</v>
      </c>
      <c r="G76" s="60">
        <f>ROUND(F76*E76*Input!$C$3/365,0)</f>
        <v>8159403</v>
      </c>
      <c r="H76" s="60">
        <f>IF($A76&lt;=Input!$C$6,0,IF('144M'!D76&lt;'144M'!F76,'144M'!D76-G76,'144M'!F76))</f>
        <v>8887047</v>
      </c>
      <c r="I76" s="60">
        <f t="shared" si="64"/>
        <v>17046450</v>
      </c>
      <c r="J76" s="60">
        <f t="shared" si="65"/>
        <v>631582255</v>
      </c>
      <c r="K76" s="202">
        <f>J76/Input!$K$5</f>
        <v>2.1052741833333335</v>
      </c>
      <c r="L76" s="232"/>
      <c r="M76" s="60">
        <f>IF($B76&lt;Input!$H$43,IF($B76&lt;Input!$G$43,IF($B76&lt;Input!$F$43,IF($B76&lt;Input!$E$43,IF($B76&lt;Input!$D$43,Input!$C$49,Input!$D$49),Input!$E$49),Input!$F$49),Input!$G$49),Input!$H$49)</f>
        <v>18940500</v>
      </c>
      <c r="N76" s="190">
        <f>IF($A76&lt;Input!$H$50,IF($A76&lt;Input!$G$50,IF($A76&lt;Input!$F$50,IF($A76&lt;Input!$E$50,IF($A76&lt;Input!$D$50,Input!$C$51,Input!$D$51),Input!$E$51),Input!$F$51),Input!$G$51),Input!$H$51)</f>
        <v>0.9</v>
      </c>
      <c r="O76" s="60">
        <f t="shared" si="38"/>
        <v>17046450</v>
      </c>
      <c r="P76" s="60">
        <f t="shared" si="41"/>
        <v>31</v>
      </c>
      <c r="Q76" s="60">
        <f t="shared" si="42"/>
        <v>640469302</v>
      </c>
      <c r="R76" s="60">
        <f>ROUND(Q76*$P76*Input!$C$3/365,0)</f>
        <v>8159403</v>
      </c>
      <c r="S76" s="60">
        <f>IF(A76&lt;=Input!$C$6,0,IF('144M'!O76&lt;'144M'!Q76,'144M'!O76-R76,'144M'!Q76))</f>
        <v>8887047</v>
      </c>
      <c r="T76" s="60">
        <f t="shared" si="43"/>
        <v>17046450</v>
      </c>
      <c r="U76" s="60">
        <f t="shared" si="44"/>
        <v>631582255</v>
      </c>
      <c r="V76" s="193"/>
      <c r="W76" s="169">
        <v>72</v>
      </c>
      <c r="X76" s="1">
        <f t="shared" si="66"/>
        <v>47710</v>
      </c>
      <c r="Y76" s="60">
        <f>IF($X76&lt;Input!$H$58,IF($X76&lt;Input!$G$58,IF($X76&lt;Input!$F$58,IF($X76&lt;Input!$E$58,IF($X76&lt;Input!$D$58,Input!$C$64,Input!$D$64),Input!$E$64),Input!$F$64),Input!$G$64),Input!$H$64)</f>
        <v>0</v>
      </c>
      <c r="Z76" s="190">
        <f>IF($A76&lt;Input!$H$65,IF($A76&lt;Input!$G$65,IF($A76&lt;Input!$F$65,IF($A76&lt;Input!$E$65,IF($A76&lt;Input!$D$65,Input!$C$66,Input!$D$66),Input!$E$66),Input!$F$66),Input!$G$66),Input!$H$66)</f>
        <v>0.9</v>
      </c>
      <c r="AA76" s="60">
        <f t="shared" si="45"/>
        <v>0</v>
      </c>
      <c r="AB76" s="60">
        <f t="shared" si="67"/>
        <v>31</v>
      </c>
      <c r="AC76" s="60">
        <f t="shared" si="46"/>
        <v>0</v>
      </c>
      <c r="AD76" s="60">
        <f>ROUND(AC76*AB76*Input!$C$3/365,0)</f>
        <v>0</v>
      </c>
      <c r="AE76" s="61">
        <f>IF($A76&lt;=Input!$C$6,0,IF('144M'!AA76&lt;'144M'!AC76,'144M'!AA76-AD76,'144M'!AC76))</f>
        <v>0</v>
      </c>
      <c r="AF76" s="61">
        <f t="shared" si="47"/>
        <v>0</v>
      </c>
      <c r="AG76" s="60">
        <f t="shared" si="48"/>
        <v>0</v>
      </c>
      <c r="AH76" s="193"/>
      <c r="AI76" s="169">
        <v>72</v>
      </c>
      <c r="AJ76" s="1">
        <f t="shared" si="68"/>
        <v>47710</v>
      </c>
      <c r="AK76" s="60">
        <f>IF($X76&lt;Input!$H$73,IF($X76&lt;Input!$G$73,IF($X76&lt;Input!$F$73,IF($X76&lt;Input!$E$73,IF($X76&lt;Input!$D$73,Input!$C$79,Input!$D$79),Input!$E$79),Input!$F$79),Input!$G$79),Input!$H$79)</f>
        <v>0</v>
      </c>
      <c r="AL76" s="190">
        <f>IF($A76&lt;Input!$H$80,IF($A76&lt;Input!$G$80,IF($A76&lt;Input!$F$80,IF($A76&lt;Input!$E$80,IF($A76&lt;Input!$D$80,Input!$C$81,Input!$D$81),Input!$E$81),Input!$F$81),Input!$G$81),Input!$H$81)</f>
        <v>0.9</v>
      </c>
      <c r="AM76" s="60">
        <f t="shared" si="49"/>
        <v>0</v>
      </c>
      <c r="AN76" s="60">
        <f t="shared" si="69"/>
        <v>31</v>
      </c>
      <c r="AO76" s="60">
        <f t="shared" si="50"/>
        <v>0</v>
      </c>
      <c r="AP76" s="60">
        <f>ROUND(AO76*AN76*Input!$C$3/365,0)</f>
        <v>0</v>
      </c>
      <c r="AQ76" s="61">
        <f>IF($A76&lt;=Input!$C$6,0,IF('144M'!AM76&lt;'144M'!AO76,'144M'!AM76-AP76,'144M'!AO76))</f>
        <v>0</v>
      </c>
      <c r="AR76" s="61">
        <f t="shared" si="51"/>
        <v>0</v>
      </c>
      <c r="AS76" s="60">
        <f t="shared" si="52"/>
        <v>0</v>
      </c>
      <c r="AT76" s="193"/>
      <c r="AU76" s="169">
        <v>72</v>
      </c>
      <c r="AV76" s="1">
        <f t="shared" si="70"/>
        <v>47710</v>
      </c>
      <c r="AW76" s="60">
        <f>IF($X76&lt;Input!$H$88,IF($X76&lt;Input!$G$88,IF($X76&lt;Input!$F$88,IF($X76&lt;Input!$E$88,IF($X76&lt;Input!$D$88,Input!$C$94,Input!$D$94),Input!$E$94),Input!$F$94),Input!$G$94),Input!$H$94)</f>
        <v>0</v>
      </c>
      <c r="AX76" s="190">
        <f>IF($A76&lt;Input!$H$95,IF($A76&lt;Input!$G$95,IF($A76&lt;Input!$F$95,IF($A76&lt;Input!$E$95,IF($A76&lt;Input!$D$95,Input!$C$96,Input!$D$96),Input!$E$96),Input!$F$96),Input!$G$96),Input!$H$96)</f>
        <v>0.9</v>
      </c>
      <c r="AY76" s="60">
        <f t="shared" si="53"/>
        <v>0</v>
      </c>
      <c r="AZ76" s="60">
        <f t="shared" si="71"/>
        <v>31</v>
      </c>
      <c r="BA76" s="60">
        <f t="shared" si="54"/>
        <v>0</v>
      </c>
      <c r="BB76" s="60">
        <f>ROUND(BA76*AZ76*Input!$C$3/365,0)</f>
        <v>0</v>
      </c>
      <c r="BC76" s="61">
        <f>IF($A76&lt;=Input!$C$6,0,IF('144M'!AY76&lt;'144M'!BA76,'144M'!AY76-BB76,'144M'!BA76))</f>
        <v>0</v>
      </c>
      <c r="BD76" s="61">
        <f t="shared" si="55"/>
        <v>0</v>
      </c>
      <c r="BE76" s="60">
        <f t="shared" si="56"/>
        <v>0</v>
      </c>
      <c r="BF76" s="193"/>
      <c r="BG76" s="169">
        <v>72</v>
      </c>
      <c r="BH76" s="1">
        <f t="shared" si="72"/>
        <v>47710</v>
      </c>
      <c r="BI76" s="60">
        <f>IF($X76&lt;Input!$H$103,IF($X76&lt;Input!$G$103,IF($X76&lt;Input!$F$103,IF($X76&lt;Input!$E$103,IF($X76&lt;Input!$D$103,Input!$C$109,Input!$D$109),Input!$E$109),Input!$F$109),Input!$G$109),Input!$H$109)</f>
        <v>0</v>
      </c>
      <c r="BJ76" s="190">
        <f>IF($A76&lt;Input!$H$110,IF($A76&lt;Input!$G$110,IF($A76&lt;Input!$F$110,IF($A76&lt;Input!$E$110,IF($A76&lt;Input!$D$110,Input!$C$111,Input!$D$111),Input!$E$111),Input!$F$111),Input!$G$111),Input!$H$111)</f>
        <v>0.9</v>
      </c>
      <c r="BK76" s="60">
        <f t="shared" si="57"/>
        <v>0</v>
      </c>
      <c r="BL76" s="60">
        <f t="shared" si="73"/>
        <v>31</v>
      </c>
      <c r="BM76" s="60">
        <f t="shared" si="58"/>
        <v>0</v>
      </c>
      <c r="BN76" s="60">
        <f>ROUND(BM76*BL76*Input!$C$3/365,0)</f>
        <v>0</v>
      </c>
      <c r="BO76" s="61">
        <f>IF($A76&lt;=Input!$C$6,0,IF('144M'!BK76&lt;'144M'!BM76,'144M'!BK76-BN76,'144M'!BM76))</f>
        <v>0</v>
      </c>
      <c r="BP76" s="61">
        <f t="shared" si="59"/>
        <v>0</v>
      </c>
      <c r="BQ76" s="60">
        <f t="shared" si="60"/>
        <v>0</v>
      </c>
      <c r="BR76" s="198"/>
    </row>
    <row r="77" spans="1:70" x14ac:dyDescent="0.25">
      <c r="A77" s="169">
        <v>73</v>
      </c>
      <c r="B77" s="1">
        <f t="shared" si="61"/>
        <v>47741</v>
      </c>
      <c r="C77" s="60">
        <f t="shared" si="39"/>
        <v>21781574.999999996</v>
      </c>
      <c r="D77" s="60">
        <f t="shared" si="40"/>
        <v>19603417.499999996</v>
      </c>
      <c r="E77" s="60">
        <f t="shared" si="62"/>
        <v>31</v>
      </c>
      <c r="F77" s="60">
        <f t="shared" si="63"/>
        <v>631582255</v>
      </c>
      <c r="G77" s="60">
        <f>ROUND(F77*E77*Input!$C$3/365,0)</f>
        <v>8046185</v>
      </c>
      <c r="H77" s="60">
        <f>IF($A77&lt;=Input!$C$6,0,IF('144M'!D77&lt;'144M'!F77,'144M'!D77-G77,'144M'!F77))</f>
        <v>11557232.499999996</v>
      </c>
      <c r="I77" s="60">
        <f t="shared" si="64"/>
        <v>19603417.499999996</v>
      </c>
      <c r="J77" s="60">
        <f t="shared" si="65"/>
        <v>620025022.5</v>
      </c>
      <c r="K77" s="202">
        <f>J77/Input!$K$5</f>
        <v>2.0667500749999999</v>
      </c>
      <c r="L77" s="232"/>
      <c r="M77" s="60">
        <f>IF($B77&lt;Input!$H$43,IF($B77&lt;Input!$G$43,IF($B77&lt;Input!$F$43,IF($B77&lt;Input!$E$43,IF($B77&lt;Input!$D$43,Input!$C$49,Input!$D$49),Input!$E$49),Input!$F$49),Input!$G$49),Input!$H$49)</f>
        <v>21781574.999999996</v>
      </c>
      <c r="N77" s="190">
        <f>IF($A77&lt;Input!$H$50,IF($A77&lt;Input!$G$50,IF($A77&lt;Input!$F$50,IF($A77&lt;Input!$E$50,IF($A77&lt;Input!$D$50,Input!$C$51,Input!$D$51),Input!$E$51),Input!$F$51),Input!$G$51),Input!$H$51)</f>
        <v>0.9</v>
      </c>
      <c r="O77" s="60">
        <f t="shared" si="38"/>
        <v>19603417.499999996</v>
      </c>
      <c r="P77" s="60">
        <f t="shared" si="41"/>
        <v>31</v>
      </c>
      <c r="Q77" s="60">
        <f t="shared" si="42"/>
        <v>631582255</v>
      </c>
      <c r="R77" s="60">
        <f>ROUND(Q77*$P77*Input!$C$3/365,0)</f>
        <v>8046185</v>
      </c>
      <c r="S77" s="60">
        <f>IF(A77&lt;=Input!$C$6,0,IF('144M'!O77&lt;'144M'!Q77,'144M'!O77-R77,'144M'!Q77))</f>
        <v>11557232.499999996</v>
      </c>
      <c r="T77" s="60">
        <f t="shared" si="43"/>
        <v>19603417.499999996</v>
      </c>
      <c r="U77" s="60">
        <f t="shared" si="44"/>
        <v>620025022.5</v>
      </c>
      <c r="V77" s="193"/>
      <c r="W77" s="169">
        <v>73</v>
      </c>
      <c r="X77" s="1">
        <f t="shared" si="66"/>
        <v>47741</v>
      </c>
      <c r="Y77" s="60">
        <f>IF($X77&lt;Input!$H$58,IF($X77&lt;Input!$G$58,IF($X77&lt;Input!$F$58,IF($X77&lt;Input!$E$58,IF($X77&lt;Input!$D$58,Input!$C$64,Input!$D$64),Input!$E$64),Input!$F$64),Input!$G$64),Input!$H$64)</f>
        <v>0</v>
      </c>
      <c r="Z77" s="190">
        <f>IF($A77&lt;Input!$H$65,IF($A77&lt;Input!$G$65,IF($A77&lt;Input!$F$65,IF($A77&lt;Input!$E$65,IF($A77&lt;Input!$D$65,Input!$C$66,Input!$D$66),Input!$E$66),Input!$F$66),Input!$G$66),Input!$H$66)</f>
        <v>0.9</v>
      </c>
      <c r="AA77" s="60">
        <f t="shared" si="45"/>
        <v>0</v>
      </c>
      <c r="AB77" s="60">
        <f t="shared" si="67"/>
        <v>31</v>
      </c>
      <c r="AC77" s="60">
        <f t="shared" si="46"/>
        <v>0</v>
      </c>
      <c r="AD77" s="60">
        <f>ROUND(AC77*AB77*Input!$C$3/365,0)</f>
        <v>0</v>
      </c>
      <c r="AE77" s="61">
        <f>IF($A77&lt;=Input!$C$6,0,IF('144M'!AA77&lt;'144M'!AC77,'144M'!AA77-AD77,'144M'!AC77))</f>
        <v>0</v>
      </c>
      <c r="AF77" s="61">
        <f t="shared" si="47"/>
        <v>0</v>
      </c>
      <c r="AG77" s="60">
        <f t="shared" si="48"/>
        <v>0</v>
      </c>
      <c r="AH77" s="193"/>
      <c r="AI77" s="169">
        <v>73</v>
      </c>
      <c r="AJ77" s="1">
        <f t="shared" si="68"/>
        <v>47741</v>
      </c>
      <c r="AK77" s="60">
        <f>IF($X77&lt;Input!$H$73,IF($X77&lt;Input!$G$73,IF($X77&lt;Input!$F$73,IF($X77&lt;Input!$E$73,IF($X77&lt;Input!$D$73,Input!$C$79,Input!$D$79),Input!$E$79),Input!$F$79),Input!$G$79),Input!$H$79)</f>
        <v>0</v>
      </c>
      <c r="AL77" s="190">
        <f>IF($A77&lt;Input!$H$80,IF($A77&lt;Input!$G$80,IF($A77&lt;Input!$F$80,IF($A77&lt;Input!$E$80,IF($A77&lt;Input!$D$80,Input!$C$81,Input!$D$81),Input!$E$81),Input!$F$81),Input!$G$81),Input!$H$81)</f>
        <v>0.9</v>
      </c>
      <c r="AM77" s="60">
        <f t="shared" si="49"/>
        <v>0</v>
      </c>
      <c r="AN77" s="60">
        <f t="shared" si="69"/>
        <v>31</v>
      </c>
      <c r="AO77" s="60">
        <f t="shared" si="50"/>
        <v>0</v>
      </c>
      <c r="AP77" s="60">
        <f>ROUND(AO77*AN77*Input!$C$3/365,0)</f>
        <v>0</v>
      </c>
      <c r="AQ77" s="61">
        <f>IF($A77&lt;=Input!$C$6,0,IF('144M'!AM77&lt;'144M'!AO77,'144M'!AM77-AP77,'144M'!AO77))</f>
        <v>0</v>
      </c>
      <c r="AR77" s="61">
        <f t="shared" si="51"/>
        <v>0</v>
      </c>
      <c r="AS77" s="60">
        <f t="shared" si="52"/>
        <v>0</v>
      </c>
      <c r="AT77" s="193"/>
      <c r="AU77" s="169">
        <v>73</v>
      </c>
      <c r="AV77" s="1">
        <f t="shared" si="70"/>
        <v>47741</v>
      </c>
      <c r="AW77" s="60">
        <f>IF($X77&lt;Input!$H$88,IF($X77&lt;Input!$G$88,IF($X77&lt;Input!$F$88,IF($X77&lt;Input!$E$88,IF($X77&lt;Input!$D$88,Input!$C$94,Input!$D$94),Input!$E$94),Input!$F$94),Input!$G$94),Input!$H$94)</f>
        <v>0</v>
      </c>
      <c r="AX77" s="190">
        <f>IF($A77&lt;Input!$H$95,IF($A77&lt;Input!$G$95,IF($A77&lt;Input!$F$95,IF($A77&lt;Input!$E$95,IF($A77&lt;Input!$D$95,Input!$C$96,Input!$D$96),Input!$E$96),Input!$F$96),Input!$G$96),Input!$H$96)</f>
        <v>0.9</v>
      </c>
      <c r="AY77" s="60">
        <f t="shared" si="53"/>
        <v>0</v>
      </c>
      <c r="AZ77" s="60">
        <f t="shared" si="71"/>
        <v>31</v>
      </c>
      <c r="BA77" s="60">
        <f t="shared" si="54"/>
        <v>0</v>
      </c>
      <c r="BB77" s="60">
        <f>ROUND(BA77*AZ77*Input!$C$3/365,0)</f>
        <v>0</v>
      </c>
      <c r="BC77" s="61">
        <f>IF($A77&lt;=Input!$C$6,0,IF('144M'!AY77&lt;'144M'!BA77,'144M'!AY77-BB77,'144M'!BA77))</f>
        <v>0</v>
      </c>
      <c r="BD77" s="61">
        <f t="shared" si="55"/>
        <v>0</v>
      </c>
      <c r="BE77" s="60">
        <f t="shared" si="56"/>
        <v>0</v>
      </c>
      <c r="BF77" s="193"/>
      <c r="BG77" s="169">
        <v>73</v>
      </c>
      <c r="BH77" s="1">
        <f t="shared" si="72"/>
        <v>47741</v>
      </c>
      <c r="BI77" s="60">
        <f>IF($X77&lt;Input!$H$103,IF($X77&lt;Input!$G$103,IF($X77&lt;Input!$F$103,IF($X77&lt;Input!$E$103,IF($X77&lt;Input!$D$103,Input!$C$109,Input!$D$109),Input!$E$109),Input!$F$109),Input!$G$109),Input!$H$109)</f>
        <v>0</v>
      </c>
      <c r="BJ77" s="190">
        <f>IF($A77&lt;Input!$H$110,IF($A77&lt;Input!$G$110,IF($A77&lt;Input!$F$110,IF($A77&lt;Input!$E$110,IF($A77&lt;Input!$D$110,Input!$C$111,Input!$D$111),Input!$E$111),Input!$F$111),Input!$G$111),Input!$H$111)</f>
        <v>0.9</v>
      </c>
      <c r="BK77" s="60">
        <f t="shared" si="57"/>
        <v>0</v>
      </c>
      <c r="BL77" s="60">
        <f t="shared" si="73"/>
        <v>31</v>
      </c>
      <c r="BM77" s="60">
        <f t="shared" si="58"/>
        <v>0</v>
      </c>
      <c r="BN77" s="60">
        <f>ROUND(BM77*BL77*Input!$C$3/365,0)</f>
        <v>0</v>
      </c>
      <c r="BO77" s="61">
        <f>IF($A77&lt;=Input!$C$6,0,IF('144M'!BK77&lt;'144M'!BM77,'144M'!BK77-BN77,'144M'!BM77))</f>
        <v>0</v>
      </c>
      <c r="BP77" s="61">
        <f t="shared" si="59"/>
        <v>0</v>
      </c>
      <c r="BQ77" s="60">
        <f t="shared" si="60"/>
        <v>0</v>
      </c>
      <c r="BR77" s="198"/>
    </row>
    <row r="78" spans="1:70" x14ac:dyDescent="0.25">
      <c r="A78" s="169">
        <v>74</v>
      </c>
      <c r="B78" s="1">
        <f t="shared" si="61"/>
        <v>47771</v>
      </c>
      <c r="C78" s="60">
        <f t="shared" si="39"/>
        <v>21781574.999999996</v>
      </c>
      <c r="D78" s="60">
        <f t="shared" si="40"/>
        <v>19603417.499999996</v>
      </c>
      <c r="E78" s="60">
        <f t="shared" si="62"/>
        <v>30</v>
      </c>
      <c r="F78" s="60">
        <f t="shared" si="63"/>
        <v>620025022.5</v>
      </c>
      <c r="G78" s="60">
        <f>ROUND(F78*E78*Input!$C$3/365,0)</f>
        <v>7644144</v>
      </c>
      <c r="H78" s="60">
        <f>IF($A78&lt;=Input!$C$6,0,IF('144M'!D78&lt;'144M'!F78,'144M'!D78-G78,'144M'!F78))</f>
        <v>11959273.499999996</v>
      </c>
      <c r="I78" s="60">
        <f t="shared" si="64"/>
        <v>19603417.499999996</v>
      </c>
      <c r="J78" s="60">
        <f t="shared" si="65"/>
        <v>608065749</v>
      </c>
      <c r="K78" s="202">
        <f>J78/Input!$K$5</f>
        <v>2.0268858299999999</v>
      </c>
      <c r="L78" s="232"/>
      <c r="M78" s="60">
        <f>IF($B78&lt;Input!$H$43,IF($B78&lt;Input!$G$43,IF($B78&lt;Input!$F$43,IF($B78&lt;Input!$E$43,IF($B78&lt;Input!$D$43,Input!$C$49,Input!$D$49),Input!$E$49),Input!$F$49),Input!$G$49),Input!$H$49)</f>
        <v>21781574.999999996</v>
      </c>
      <c r="N78" s="190">
        <f>IF($A78&lt;Input!$H$50,IF($A78&lt;Input!$G$50,IF($A78&lt;Input!$F$50,IF($A78&lt;Input!$E$50,IF($A78&lt;Input!$D$50,Input!$C$51,Input!$D$51),Input!$E$51),Input!$F$51),Input!$G$51),Input!$H$51)</f>
        <v>0.9</v>
      </c>
      <c r="O78" s="60">
        <f t="shared" si="38"/>
        <v>19603417.499999996</v>
      </c>
      <c r="P78" s="60">
        <f t="shared" si="41"/>
        <v>30</v>
      </c>
      <c r="Q78" s="60">
        <f t="shared" si="42"/>
        <v>620025022.5</v>
      </c>
      <c r="R78" s="60">
        <f>ROUND(Q78*$P78*Input!$C$3/365,0)</f>
        <v>7644144</v>
      </c>
      <c r="S78" s="60">
        <f>IF(A78&lt;=Input!$C$6,0,IF('144M'!O78&lt;'144M'!Q78,'144M'!O78-R78,'144M'!Q78))</f>
        <v>11959273.499999996</v>
      </c>
      <c r="T78" s="60">
        <f t="shared" si="43"/>
        <v>19603417.499999996</v>
      </c>
      <c r="U78" s="60">
        <f t="shared" si="44"/>
        <v>608065749</v>
      </c>
      <c r="V78" s="193"/>
      <c r="W78" s="169">
        <v>74</v>
      </c>
      <c r="X78" s="1">
        <f t="shared" si="66"/>
        <v>47771</v>
      </c>
      <c r="Y78" s="60">
        <f>IF($X78&lt;Input!$H$58,IF($X78&lt;Input!$G$58,IF($X78&lt;Input!$F$58,IF($X78&lt;Input!$E$58,IF($X78&lt;Input!$D$58,Input!$C$64,Input!$D$64),Input!$E$64),Input!$F$64),Input!$G$64),Input!$H$64)</f>
        <v>0</v>
      </c>
      <c r="Z78" s="190">
        <f>IF($A78&lt;Input!$H$65,IF($A78&lt;Input!$G$65,IF($A78&lt;Input!$F$65,IF($A78&lt;Input!$E$65,IF($A78&lt;Input!$D$65,Input!$C$66,Input!$D$66),Input!$E$66),Input!$F$66),Input!$G$66),Input!$H$66)</f>
        <v>0.9</v>
      </c>
      <c r="AA78" s="60">
        <f t="shared" si="45"/>
        <v>0</v>
      </c>
      <c r="AB78" s="60">
        <f t="shared" si="67"/>
        <v>30</v>
      </c>
      <c r="AC78" s="60">
        <f t="shared" si="46"/>
        <v>0</v>
      </c>
      <c r="AD78" s="60">
        <f>ROUND(AC78*AB78*Input!$C$3/365,0)</f>
        <v>0</v>
      </c>
      <c r="AE78" s="61">
        <f>IF($A78&lt;=Input!$C$6,0,IF('144M'!AA78&lt;'144M'!AC78,'144M'!AA78-AD78,'144M'!AC78))</f>
        <v>0</v>
      </c>
      <c r="AF78" s="61">
        <f t="shared" si="47"/>
        <v>0</v>
      </c>
      <c r="AG78" s="60">
        <f t="shared" si="48"/>
        <v>0</v>
      </c>
      <c r="AH78" s="193"/>
      <c r="AI78" s="169">
        <v>74</v>
      </c>
      <c r="AJ78" s="1">
        <f t="shared" si="68"/>
        <v>47771</v>
      </c>
      <c r="AK78" s="60">
        <f>IF($X78&lt;Input!$H$73,IF($X78&lt;Input!$G$73,IF($X78&lt;Input!$F$73,IF($X78&lt;Input!$E$73,IF($X78&lt;Input!$D$73,Input!$C$79,Input!$D$79),Input!$E$79),Input!$F$79),Input!$G$79),Input!$H$79)</f>
        <v>0</v>
      </c>
      <c r="AL78" s="190">
        <f>IF($A78&lt;Input!$H$80,IF($A78&lt;Input!$G$80,IF($A78&lt;Input!$F$80,IF($A78&lt;Input!$E$80,IF($A78&lt;Input!$D$80,Input!$C$81,Input!$D$81),Input!$E$81),Input!$F$81),Input!$G$81),Input!$H$81)</f>
        <v>0.9</v>
      </c>
      <c r="AM78" s="60">
        <f t="shared" si="49"/>
        <v>0</v>
      </c>
      <c r="AN78" s="60">
        <f t="shared" si="69"/>
        <v>30</v>
      </c>
      <c r="AO78" s="60">
        <f t="shared" si="50"/>
        <v>0</v>
      </c>
      <c r="AP78" s="60">
        <f>ROUND(AO78*AN78*Input!$C$3/365,0)</f>
        <v>0</v>
      </c>
      <c r="AQ78" s="61">
        <f>IF($A78&lt;=Input!$C$6,0,IF('144M'!AM78&lt;'144M'!AO78,'144M'!AM78-AP78,'144M'!AO78))</f>
        <v>0</v>
      </c>
      <c r="AR78" s="61">
        <f t="shared" si="51"/>
        <v>0</v>
      </c>
      <c r="AS78" s="60">
        <f t="shared" si="52"/>
        <v>0</v>
      </c>
      <c r="AT78" s="193"/>
      <c r="AU78" s="169">
        <v>74</v>
      </c>
      <c r="AV78" s="1">
        <f t="shared" si="70"/>
        <v>47771</v>
      </c>
      <c r="AW78" s="60">
        <f>IF($X78&lt;Input!$H$88,IF($X78&lt;Input!$G$88,IF($X78&lt;Input!$F$88,IF($X78&lt;Input!$E$88,IF($X78&lt;Input!$D$88,Input!$C$94,Input!$D$94),Input!$E$94),Input!$F$94),Input!$G$94),Input!$H$94)</f>
        <v>0</v>
      </c>
      <c r="AX78" s="190">
        <f>IF($A78&lt;Input!$H$95,IF($A78&lt;Input!$G$95,IF($A78&lt;Input!$F$95,IF($A78&lt;Input!$E$95,IF($A78&lt;Input!$D$95,Input!$C$96,Input!$D$96),Input!$E$96),Input!$F$96),Input!$G$96),Input!$H$96)</f>
        <v>0.9</v>
      </c>
      <c r="AY78" s="60">
        <f t="shared" si="53"/>
        <v>0</v>
      </c>
      <c r="AZ78" s="60">
        <f t="shared" si="71"/>
        <v>30</v>
      </c>
      <c r="BA78" s="60">
        <f t="shared" si="54"/>
        <v>0</v>
      </c>
      <c r="BB78" s="60">
        <f>ROUND(BA78*AZ78*Input!$C$3/365,0)</f>
        <v>0</v>
      </c>
      <c r="BC78" s="61">
        <f>IF($A78&lt;=Input!$C$6,0,IF('144M'!AY78&lt;'144M'!BA78,'144M'!AY78-BB78,'144M'!BA78))</f>
        <v>0</v>
      </c>
      <c r="BD78" s="61">
        <f t="shared" si="55"/>
        <v>0</v>
      </c>
      <c r="BE78" s="60">
        <f t="shared" si="56"/>
        <v>0</v>
      </c>
      <c r="BF78" s="193"/>
      <c r="BG78" s="169">
        <v>74</v>
      </c>
      <c r="BH78" s="1">
        <f t="shared" si="72"/>
        <v>47771</v>
      </c>
      <c r="BI78" s="60">
        <f>IF($X78&lt;Input!$H$103,IF($X78&lt;Input!$G$103,IF($X78&lt;Input!$F$103,IF($X78&lt;Input!$E$103,IF($X78&lt;Input!$D$103,Input!$C$109,Input!$D$109),Input!$E$109),Input!$F$109),Input!$G$109),Input!$H$109)</f>
        <v>0</v>
      </c>
      <c r="BJ78" s="190">
        <f>IF($A78&lt;Input!$H$110,IF($A78&lt;Input!$G$110,IF($A78&lt;Input!$F$110,IF($A78&lt;Input!$E$110,IF($A78&lt;Input!$D$110,Input!$C$111,Input!$D$111),Input!$E$111),Input!$F$111),Input!$G$111),Input!$H$111)</f>
        <v>0.9</v>
      </c>
      <c r="BK78" s="60">
        <f t="shared" si="57"/>
        <v>0</v>
      </c>
      <c r="BL78" s="60">
        <f t="shared" si="73"/>
        <v>30</v>
      </c>
      <c r="BM78" s="60">
        <f t="shared" si="58"/>
        <v>0</v>
      </c>
      <c r="BN78" s="60">
        <f>ROUND(BM78*BL78*Input!$C$3/365,0)</f>
        <v>0</v>
      </c>
      <c r="BO78" s="61">
        <f>IF($A78&lt;=Input!$C$6,0,IF('144M'!BK78&lt;'144M'!BM78,'144M'!BK78-BN78,'144M'!BM78))</f>
        <v>0</v>
      </c>
      <c r="BP78" s="61">
        <f t="shared" si="59"/>
        <v>0</v>
      </c>
      <c r="BQ78" s="60">
        <f t="shared" si="60"/>
        <v>0</v>
      </c>
      <c r="BR78" s="198"/>
    </row>
    <row r="79" spans="1:70" x14ac:dyDescent="0.25">
      <c r="A79" s="169">
        <v>75</v>
      </c>
      <c r="B79" s="1">
        <f t="shared" si="61"/>
        <v>47802</v>
      </c>
      <c r="C79" s="60">
        <f t="shared" si="39"/>
        <v>21781574.999999996</v>
      </c>
      <c r="D79" s="60">
        <f t="shared" si="40"/>
        <v>19603417.499999996</v>
      </c>
      <c r="E79" s="60">
        <f t="shared" si="62"/>
        <v>31</v>
      </c>
      <c r="F79" s="60">
        <f t="shared" si="63"/>
        <v>608065749</v>
      </c>
      <c r="G79" s="60">
        <f>ROUND(F79*E79*Input!$C$3/365,0)</f>
        <v>7746591</v>
      </c>
      <c r="H79" s="60">
        <f>IF($A79&lt;=Input!$C$6,0,IF('144M'!D79&lt;'144M'!F79,'144M'!D79-G79,'144M'!F79))</f>
        <v>11856826.499999996</v>
      </c>
      <c r="I79" s="60">
        <f t="shared" si="64"/>
        <v>19603417.499999996</v>
      </c>
      <c r="J79" s="60">
        <f t="shared" si="65"/>
        <v>596208922.5</v>
      </c>
      <c r="K79" s="202">
        <f>J79/Input!$K$5</f>
        <v>1.987363075</v>
      </c>
      <c r="L79" s="232"/>
      <c r="M79" s="60">
        <f>IF($B79&lt;Input!$H$43,IF($B79&lt;Input!$G$43,IF($B79&lt;Input!$F$43,IF($B79&lt;Input!$E$43,IF($B79&lt;Input!$D$43,Input!$C$49,Input!$D$49),Input!$E$49),Input!$F$49),Input!$G$49),Input!$H$49)</f>
        <v>21781574.999999996</v>
      </c>
      <c r="N79" s="190">
        <f>IF($A79&lt;Input!$H$50,IF($A79&lt;Input!$G$50,IF($A79&lt;Input!$F$50,IF($A79&lt;Input!$E$50,IF($A79&lt;Input!$D$50,Input!$C$51,Input!$D$51),Input!$E$51),Input!$F$51),Input!$G$51),Input!$H$51)</f>
        <v>0.9</v>
      </c>
      <c r="O79" s="60">
        <f t="shared" si="38"/>
        <v>19603417.499999996</v>
      </c>
      <c r="P79" s="60">
        <f t="shared" si="41"/>
        <v>31</v>
      </c>
      <c r="Q79" s="60">
        <f t="shared" si="42"/>
        <v>608065749</v>
      </c>
      <c r="R79" s="60">
        <f>ROUND(Q79*$P79*Input!$C$3/365,0)</f>
        <v>7746591</v>
      </c>
      <c r="S79" s="60">
        <f>IF(A79&lt;=Input!$C$6,0,IF('144M'!O79&lt;'144M'!Q79,'144M'!O79-R79,'144M'!Q79))</f>
        <v>11856826.499999996</v>
      </c>
      <c r="T79" s="60">
        <f t="shared" si="43"/>
        <v>19603417.499999996</v>
      </c>
      <c r="U79" s="60">
        <f t="shared" si="44"/>
        <v>596208922.5</v>
      </c>
      <c r="V79" s="193"/>
      <c r="W79" s="169">
        <v>75</v>
      </c>
      <c r="X79" s="1">
        <f t="shared" si="66"/>
        <v>47802</v>
      </c>
      <c r="Y79" s="60">
        <f>IF($X79&lt;Input!$H$58,IF($X79&lt;Input!$G$58,IF($X79&lt;Input!$F$58,IF($X79&lt;Input!$E$58,IF($X79&lt;Input!$D$58,Input!$C$64,Input!$D$64),Input!$E$64),Input!$F$64),Input!$G$64),Input!$H$64)</f>
        <v>0</v>
      </c>
      <c r="Z79" s="190">
        <f>IF($A79&lt;Input!$H$65,IF($A79&lt;Input!$G$65,IF($A79&lt;Input!$F$65,IF($A79&lt;Input!$E$65,IF($A79&lt;Input!$D$65,Input!$C$66,Input!$D$66),Input!$E$66),Input!$F$66),Input!$G$66),Input!$H$66)</f>
        <v>0.9</v>
      </c>
      <c r="AA79" s="60">
        <f t="shared" si="45"/>
        <v>0</v>
      </c>
      <c r="AB79" s="60">
        <f t="shared" si="67"/>
        <v>31</v>
      </c>
      <c r="AC79" s="60">
        <f t="shared" si="46"/>
        <v>0</v>
      </c>
      <c r="AD79" s="60">
        <f>ROUND(AC79*AB79*Input!$C$3/365,0)</f>
        <v>0</v>
      </c>
      <c r="AE79" s="61">
        <f>IF($A79&lt;=Input!$C$6,0,IF('144M'!AA79&lt;'144M'!AC79,'144M'!AA79-AD79,'144M'!AC79))</f>
        <v>0</v>
      </c>
      <c r="AF79" s="61">
        <f t="shared" si="47"/>
        <v>0</v>
      </c>
      <c r="AG79" s="60">
        <f t="shared" si="48"/>
        <v>0</v>
      </c>
      <c r="AH79" s="193"/>
      <c r="AI79" s="169">
        <v>75</v>
      </c>
      <c r="AJ79" s="1">
        <f t="shared" si="68"/>
        <v>47802</v>
      </c>
      <c r="AK79" s="60">
        <f>IF($X79&lt;Input!$H$73,IF($X79&lt;Input!$G$73,IF($X79&lt;Input!$F$73,IF($X79&lt;Input!$E$73,IF($X79&lt;Input!$D$73,Input!$C$79,Input!$D$79),Input!$E$79),Input!$F$79),Input!$G$79),Input!$H$79)</f>
        <v>0</v>
      </c>
      <c r="AL79" s="190">
        <f>IF($A79&lt;Input!$H$80,IF($A79&lt;Input!$G$80,IF($A79&lt;Input!$F$80,IF($A79&lt;Input!$E$80,IF($A79&lt;Input!$D$80,Input!$C$81,Input!$D$81),Input!$E$81),Input!$F$81),Input!$G$81),Input!$H$81)</f>
        <v>0.9</v>
      </c>
      <c r="AM79" s="60">
        <f t="shared" si="49"/>
        <v>0</v>
      </c>
      <c r="AN79" s="60">
        <f t="shared" si="69"/>
        <v>31</v>
      </c>
      <c r="AO79" s="60">
        <f t="shared" si="50"/>
        <v>0</v>
      </c>
      <c r="AP79" s="60">
        <f>ROUND(AO79*AN79*Input!$C$3/365,0)</f>
        <v>0</v>
      </c>
      <c r="AQ79" s="61">
        <f>IF($A79&lt;=Input!$C$6,0,IF('144M'!AM79&lt;'144M'!AO79,'144M'!AM79-AP79,'144M'!AO79))</f>
        <v>0</v>
      </c>
      <c r="AR79" s="61">
        <f t="shared" si="51"/>
        <v>0</v>
      </c>
      <c r="AS79" s="60">
        <f t="shared" si="52"/>
        <v>0</v>
      </c>
      <c r="AT79" s="193"/>
      <c r="AU79" s="169">
        <v>75</v>
      </c>
      <c r="AV79" s="1">
        <f t="shared" si="70"/>
        <v>47802</v>
      </c>
      <c r="AW79" s="60">
        <f>IF($X79&lt;Input!$H$88,IF($X79&lt;Input!$G$88,IF($X79&lt;Input!$F$88,IF($X79&lt;Input!$E$88,IF($X79&lt;Input!$D$88,Input!$C$94,Input!$D$94),Input!$E$94),Input!$F$94),Input!$G$94),Input!$H$94)</f>
        <v>0</v>
      </c>
      <c r="AX79" s="190">
        <f>IF($A79&lt;Input!$H$95,IF($A79&lt;Input!$G$95,IF($A79&lt;Input!$F$95,IF($A79&lt;Input!$E$95,IF($A79&lt;Input!$D$95,Input!$C$96,Input!$D$96),Input!$E$96),Input!$F$96),Input!$G$96),Input!$H$96)</f>
        <v>0.9</v>
      </c>
      <c r="AY79" s="60">
        <f t="shared" si="53"/>
        <v>0</v>
      </c>
      <c r="AZ79" s="60">
        <f t="shared" si="71"/>
        <v>31</v>
      </c>
      <c r="BA79" s="60">
        <f t="shared" si="54"/>
        <v>0</v>
      </c>
      <c r="BB79" s="60">
        <f>ROUND(BA79*AZ79*Input!$C$3/365,0)</f>
        <v>0</v>
      </c>
      <c r="BC79" s="61">
        <f>IF($A79&lt;=Input!$C$6,0,IF('144M'!AY79&lt;'144M'!BA79,'144M'!AY79-BB79,'144M'!BA79))</f>
        <v>0</v>
      </c>
      <c r="BD79" s="61">
        <f t="shared" si="55"/>
        <v>0</v>
      </c>
      <c r="BE79" s="60">
        <f t="shared" si="56"/>
        <v>0</v>
      </c>
      <c r="BF79" s="193"/>
      <c r="BG79" s="169">
        <v>75</v>
      </c>
      <c r="BH79" s="1">
        <f t="shared" si="72"/>
        <v>47802</v>
      </c>
      <c r="BI79" s="60">
        <f>IF($X79&lt;Input!$H$103,IF($X79&lt;Input!$G$103,IF($X79&lt;Input!$F$103,IF($X79&lt;Input!$E$103,IF($X79&lt;Input!$D$103,Input!$C$109,Input!$D$109),Input!$E$109),Input!$F$109),Input!$G$109),Input!$H$109)</f>
        <v>0</v>
      </c>
      <c r="BJ79" s="190">
        <f>IF($A79&lt;Input!$H$110,IF($A79&lt;Input!$G$110,IF($A79&lt;Input!$F$110,IF($A79&lt;Input!$E$110,IF($A79&lt;Input!$D$110,Input!$C$111,Input!$D$111),Input!$E$111),Input!$F$111),Input!$G$111),Input!$H$111)</f>
        <v>0.9</v>
      </c>
      <c r="BK79" s="60">
        <f t="shared" si="57"/>
        <v>0</v>
      </c>
      <c r="BL79" s="60">
        <f t="shared" si="73"/>
        <v>31</v>
      </c>
      <c r="BM79" s="60">
        <f t="shared" si="58"/>
        <v>0</v>
      </c>
      <c r="BN79" s="60">
        <f>ROUND(BM79*BL79*Input!$C$3/365,0)</f>
        <v>0</v>
      </c>
      <c r="BO79" s="61">
        <f>IF($A79&lt;=Input!$C$6,0,IF('144M'!BK79&lt;'144M'!BM79,'144M'!BK79-BN79,'144M'!BM79))</f>
        <v>0</v>
      </c>
      <c r="BP79" s="61">
        <f t="shared" si="59"/>
        <v>0</v>
      </c>
      <c r="BQ79" s="60">
        <f t="shared" si="60"/>
        <v>0</v>
      </c>
      <c r="BR79" s="198"/>
    </row>
    <row r="80" spans="1:70" x14ac:dyDescent="0.25">
      <c r="A80" s="169">
        <v>76</v>
      </c>
      <c r="B80" s="1">
        <f t="shared" si="61"/>
        <v>47832</v>
      </c>
      <c r="C80" s="60">
        <f t="shared" si="39"/>
        <v>21781574.999999996</v>
      </c>
      <c r="D80" s="60">
        <f t="shared" si="40"/>
        <v>19603417.499999996</v>
      </c>
      <c r="E80" s="60">
        <f t="shared" si="62"/>
        <v>30</v>
      </c>
      <c r="F80" s="60">
        <f t="shared" si="63"/>
        <v>596208922.5</v>
      </c>
      <c r="G80" s="60">
        <f>ROUND(F80*E80*Input!$C$3/365,0)</f>
        <v>7350521</v>
      </c>
      <c r="H80" s="60">
        <f>IF($A80&lt;=Input!$C$6,0,IF('144M'!D80&lt;'144M'!F80,'144M'!D80-G80,'144M'!F80))</f>
        <v>12252896.499999996</v>
      </c>
      <c r="I80" s="60">
        <f t="shared" si="64"/>
        <v>19603417.499999996</v>
      </c>
      <c r="J80" s="60">
        <f t="shared" si="65"/>
        <v>583956026</v>
      </c>
      <c r="K80" s="202">
        <f>J80/Input!$K$5</f>
        <v>1.9465200866666668</v>
      </c>
      <c r="L80" s="232"/>
      <c r="M80" s="60">
        <f>IF($B80&lt;Input!$H$43,IF($B80&lt;Input!$G$43,IF($B80&lt;Input!$F$43,IF($B80&lt;Input!$E$43,IF($B80&lt;Input!$D$43,Input!$C$49,Input!$D$49),Input!$E$49),Input!$F$49),Input!$G$49),Input!$H$49)</f>
        <v>21781574.999999996</v>
      </c>
      <c r="N80" s="190">
        <f>IF($A80&lt;Input!$H$50,IF($A80&lt;Input!$G$50,IF($A80&lt;Input!$F$50,IF($A80&lt;Input!$E$50,IF($A80&lt;Input!$D$50,Input!$C$51,Input!$D$51),Input!$E$51),Input!$F$51),Input!$G$51),Input!$H$51)</f>
        <v>0.9</v>
      </c>
      <c r="O80" s="60">
        <f t="shared" si="38"/>
        <v>19603417.499999996</v>
      </c>
      <c r="P80" s="60">
        <f t="shared" si="41"/>
        <v>30</v>
      </c>
      <c r="Q80" s="60">
        <f t="shared" si="42"/>
        <v>596208922.5</v>
      </c>
      <c r="R80" s="60">
        <f>ROUND(Q80*$P80*Input!$C$3/365,0)</f>
        <v>7350521</v>
      </c>
      <c r="S80" s="60">
        <f>IF(A80&lt;=Input!$C$6,0,IF('144M'!O80&lt;'144M'!Q80,'144M'!O80-R80,'144M'!Q80))</f>
        <v>12252896.499999996</v>
      </c>
      <c r="T80" s="60">
        <f t="shared" si="43"/>
        <v>19603417.499999996</v>
      </c>
      <c r="U80" s="60">
        <f t="shared" si="44"/>
        <v>583956026</v>
      </c>
      <c r="V80" s="193"/>
      <c r="W80" s="169">
        <v>76</v>
      </c>
      <c r="X80" s="1">
        <f t="shared" si="66"/>
        <v>47832</v>
      </c>
      <c r="Y80" s="60">
        <f>IF($X80&lt;Input!$H$58,IF($X80&lt;Input!$G$58,IF($X80&lt;Input!$F$58,IF($X80&lt;Input!$E$58,IF($X80&lt;Input!$D$58,Input!$C$64,Input!$D$64),Input!$E$64),Input!$F$64),Input!$G$64),Input!$H$64)</f>
        <v>0</v>
      </c>
      <c r="Z80" s="190">
        <f>IF($A80&lt;Input!$H$65,IF($A80&lt;Input!$G$65,IF($A80&lt;Input!$F$65,IF($A80&lt;Input!$E$65,IF($A80&lt;Input!$D$65,Input!$C$66,Input!$D$66),Input!$E$66),Input!$F$66),Input!$G$66),Input!$H$66)</f>
        <v>0.9</v>
      </c>
      <c r="AA80" s="60">
        <f t="shared" si="45"/>
        <v>0</v>
      </c>
      <c r="AB80" s="60">
        <f t="shared" si="67"/>
        <v>30</v>
      </c>
      <c r="AC80" s="60">
        <f t="shared" si="46"/>
        <v>0</v>
      </c>
      <c r="AD80" s="60">
        <f>ROUND(AC80*AB80*Input!$C$3/365,0)</f>
        <v>0</v>
      </c>
      <c r="AE80" s="61">
        <f>IF($A80&lt;=Input!$C$6,0,IF('144M'!AA80&lt;'144M'!AC80,'144M'!AA80-AD80,'144M'!AC80))</f>
        <v>0</v>
      </c>
      <c r="AF80" s="61">
        <f t="shared" si="47"/>
        <v>0</v>
      </c>
      <c r="AG80" s="60">
        <f t="shared" si="48"/>
        <v>0</v>
      </c>
      <c r="AH80" s="193"/>
      <c r="AI80" s="169">
        <v>76</v>
      </c>
      <c r="AJ80" s="1">
        <f t="shared" si="68"/>
        <v>47832</v>
      </c>
      <c r="AK80" s="60">
        <f>IF($X80&lt;Input!$H$73,IF($X80&lt;Input!$G$73,IF($X80&lt;Input!$F$73,IF($X80&lt;Input!$E$73,IF($X80&lt;Input!$D$73,Input!$C$79,Input!$D$79),Input!$E$79),Input!$F$79),Input!$G$79),Input!$H$79)</f>
        <v>0</v>
      </c>
      <c r="AL80" s="190">
        <f>IF($A80&lt;Input!$H$80,IF($A80&lt;Input!$G$80,IF($A80&lt;Input!$F$80,IF($A80&lt;Input!$E$80,IF($A80&lt;Input!$D$80,Input!$C$81,Input!$D$81),Input!$E$81),Input!$F$81),Input!$G$81),Input!$H$81)</f>
        <v>0.9</v>
      </c>
      <c r="AM80" s="60">
        <f t="shared" si="49"/>
        <v>0</v>
      </c>
      <c r="AN80" s="60">
        <f t="shared" si="69"/>
        <v>30</v>
      </c>
      <c r="AO80" s="60">
        <f t="shared" si="50"/>
        <v>0</v>
      </c>
      <c r="AP80" s="60">
        <f>ROUND(AO80*AN80*Input!$C$3/365,0)</f>
        <v>0</v>
      </c>
      <c r="AQ80" s="61">
        <f>IF($A80&lt;=Input!$C$6,0,IF('144M'!AM80&lt;'144M'!AO80,'144M'!AM80-AP80,'144M'!AO80))</f>
        <v>0</v>
      </c>
      <c r="AR80" s="61">
        <f t="shared" si="51"/>
        <v>0</v>
      </c>
      <c r="AS80" s="60">
        <f t="shared" si="52"/>
        <v>0</v>
      </c>
      <c r="AT80" s="193"/>
      <c r="AU80" s="169">
        <v>76</v>
      </c>
      <c r="AV80" s="1">
        <f t="shared" si="70"/>
        <v>47832</v>
      </c>
      <c r="AW80" s="60">
        <f>IF($X80&lt;Input!$H$88,IF($X80&lt;Input!$G$88,IF($X80&lt;Input!$F$88,IF($X80&lt;Input!$E$88,IF($X80&lt;Input!$D$88,Input!$C$94,Input!$D$94),Input!$E$94),Input!$F$94),Input!$G$94),Input!$H$94)</f>
        <v>0</v>
      </c>
      <c r="AX80" s="190">
        <f>IF($A80&lt;Input!$H$95,IF($A80&lt;Input!$G$95,IF($A80&lt;Input!$F$95,IF($A80&lt;Input!$E$95,IF($A80&lt;Input!$D$95,Input!$C$96,Input!$D$96),Input!$E$96),Input!$F$96),Input!$G$96),Input!$H$96)</f>
        <v>0.9</v>
      </c>
      <c r="AY80" s="60">
        <f t="shared" si="53"/>
        <v>0</v>
      </c>
      <c r="AZ80" s="60">
        <f t="shared" si="71"/>
        <v>30</v>
      </c>
      <c r="BA80" s="60">
        <f t="shared" si="54"/>
        <v>0</v>
      </c>
      <c r="BB80" s="60">
        <f>ROUND(BA80*AZ80*Input!$C$3/365,0)</f>
        <v>0</v>
      </c>
      <c r="BC80" s="61">
        <f>IF($A80&lt;=Input!$C$6,0,IF('144M'!AY80&lt;'144M'!BA80,'144M'!AY80-BB80,'144M'!BA80))</f>
        <v>0</v>
      </c>
      <c r="BD80" s="61">
        <f t="shared" si="55"/>
        <v>0</v>
      </c>
      <c r="BE80" s="60">
        <f t="shared" si="56"/>
        <v>0</v>
      </c>
      <c r="BF80" s="193"/>
      <c r="BG80" s="169">
        <v>76</v>
      </c>
      <c r="BH80" s="1">
        <f t="shared" si="72"/>
        <v>47832</v>
      </c>
      <c r="BI80" s="60">
        <f>IF($X80&lt;Input!$H$103,IF($X80&lt;Input!$G$103,IF($X80&lt;Input!$F$103,IF($X80&lt;Input!$E$103,IF($X80&lt;Input!$D$103,Input!$C$109,Input!$D$109),Input!$E$109),Input!$F$109),Input!$G$109),Input!$H$109)</f>
        <v>0</v>
      </c>
      <c r="BJ80" s="190">
        <f>IF($A80&lt;Input!$H$110,IF($A80&lt;Input!$G$110,IF($A80&lt;Input!$F$110,IF($A80&lt;Input!$E$110,IF($A80&lt;Input!$D$110,Input!$C$111,Input!$D$111),Input!$E$111),Input!$F$111),Input!$G$111),Input!$H$111)</f>
        <v>0.9</v>
      </c>
      <c r="BK80" s="60">
        <f t="shared" si="57"/>
        <v>0</v>
      </c>
      <c r="BL80" s="60">
        <f t="shared" si="73"/>
        <v>30</v>
      </c>
      <c r="BM80" s="60">
        <f t="shared" si="58"/>
        <v>0</v>
      </c>
      <c r="BN80" s="60">
        <f>ROUND(BM80*BL80*Input!$C$3/365,0)</f>
        <v>0</v>
      </c>
      <c r="BO80" s="61">
        <f>IF($A80&lt;=Input!$C$6,0,IF('144M'!BK80&lt;'144M'!BM80,'144M'!BK80-BN80,'144M'!BM80))</f>
        <v>0</v>
      </c>
      <c r="BP80" s="61">
        <f t="shared" si="59"/>
        <v>0</v>
      </c>
      <c r="BQ80" s="60">
        <f t="shared" si="60"/>
        <v>0</v>
      </c>
      <c r="BR80" s="198"/>
    </row>
    <row r="81" spans="1:70" x14ac:dyDescent="0.25">
      <c r="A81" s="169">
        <v>77</v>
      </c>
      <c r="B81" s="1">
        <f t="shared" si="61"/>
        <v>47863</v>
      </c>
      <c r="C81" s="60">
        <f t="shared" si="39"/>
        <v>21781574.999999996</v>
      </c>
      <c r="D81" s="60">
        <f t="shared" si="40"/>
        <v>19603417.499999996</v>
      </c>
      <c r="E81" s="60">
        <f t="shared" si="62"/>
        <v>31</v>
      </c>
      <c r="F81" s="60">
        <f t="shared" si="63"/>
        <v>583956026</v>
      </c>
      <c r="G81" s="60">
        <f>ROUND(F81*E81*Input!$C$3/365,0)</f>
        <v>7439440</v>
      </c>
      <c r="H81" s="60">
        <f>IF($A81&lt;=Input!$C$6,0,IF('144M'!D81&lt;'144M'!F81,'144M'!D81-G81,'144M'!F81))</f>
        <v>12163977.499999996</v>
      </c>
      <c r="I81" s="60">
        <f t="shared" si="64"/>
        <v>19603417.499999996</v>
      </c>
      <c r="J81" s="60">
        <f t="shared" si="65"/>
        <v>571792048.5</v>
      </c>
      <c r="K81" s="202">
        <f>J81/Input!$K$5</f>
        <v>1.905973495</v>
      </c>
      <c r="L81" s="232"/>
      <c r="M81" s="60">
        <f>IF($B81&lt;Input!$H$43,IF($B81&lt;Input!$G$43,IF($B81&lt;Input!$F$43,IF($B81&lt;Input!$E$43,IF($B81&lt;Input!$D$43,Input!$C$49,Input!$D$49),Input!$E$49),Input!$F$49),Input!$G$49),Input!$H$49)</f>
        <v>21781574.999999996</v>
      </c>
      <c r="N81" s="190">
        <f>IF($A81&lt;Input!$H$50,IF($A81&lt;Input!$G$50,IF($A81&lt;Input!$F$50,IF($A81&lt;Input!$E$50,IF($A81&lt;Input!$D$50,Input!$C$51,Input!$D$51),Input!$E$51),Input!$F$51),Input!$G$51),Input!$H$51)</f>
        <v>0.9</v>
      </c>
      <c r="O81" s="60">
        <f t="shared" si="38"/>
        <v>19603417.499999996</v>
      </c>
      <c r="P81" s="60">
        <f t="shared" si="41"/>
        <v>31</v>
      </c>
      <c r="Q81" s="60">
        <f t="shared" si="42"/>
        <v>583956026</v>
      </c>
      <c r="R81" s="60">
        <f>ROUND(Q81*$P81*Input!$C$3/365,0)</f>
        <v>7439440</v>
      </c>
      <c r="S81" s="60">
        <f>IF(A81&lt;=Input!$C$6,0,IF('144M'!O81&lt;'144M'!Q81,'144M'!O81-R81,'144M'!Q81))</f>
        <v>12163977.499999996</v>
      </c>
      <c r="T81" s="60">
        <f t="shared" si="43"/>
        <v>19603417.499999996</v>
      </c>
      <c r="U81" s="60">
        <f t="shared" si="44"/>
        <v>571792048.5</v>
      </c>
      <c r="V81" s="193"/>
      <c r="W81" s="169">
        <v>77</v>
      </c>
      <c r="X81" s="1">
        <f t="shared" si="66"/>
        <v>47863</v>
      </c>
      <c r="Y81" s="60">
        <f>IF($X81&lt;Input!$H$58,IF($X81&lt;Input!$G$58,IF($X81&lt;Input!$F$58,IF($X81&lt;Input!$E$58,IF($X81&lt;Input!$D$58,Input!$C$64,Input!$D$64),Input!$E$64),Input!$F$64),Input!$G$64),Input!$H$64)</f>
        <v>0</v>
      </c>
      <c r="Z81" s="190">
        <f>IF($A81&lt;Input!$H$65,IF($A81&lt;Input!$G$65,IF($A81&lt;Input!$F$65,IF($A81&lt;Input!$E$65,IF($A81&lt;Input!$D$65,Input!$C$66,Input!$D$66),Input!$E$66),Input!$F$66),Input!$G$66),Input!$H$66)</f>
        <v>0.9</v>
      </c>
      <c r="AA81" s="60">
        <f t="shared" si="45"/>
        <v>0</v>
      </c>
      <c r="AB81" s="60">
        <f t="shared" si="67"/>
        <v>31</v>
      </c>
      <c r="AC81" s="60">
        <f t="shared" si="46"/>
        <v>0</v>
      </c>
      <c r="AD81" s="60">
        <f>ROUND(AC81*AB81*Input!$C$3/365,0)</f>
        <v>0</v>
      </c>
      <c r="AE81" s="61">
        <f>IF($A81&lt;=Input!$C$6,0,IF('144M'!AA81&lt;'144M'!AC81,'144M'!AA81-AD81,'144M'!AC81))</f>
        <v>0</v>
      </c>
      <c r="AF81" s="61">
        <f t="shared" si="47"/>
        <v>0</v>
      </c>
      <c r="AG81" s="60">
        <f t="shared" si="48"/>
        <v>0</v>
      </c>
      <c r="AH81" s="193"/>
      <c r="AI81" s="169">
        <v>77</v>
      </c>
      <c r="AJ81" s="1">
        <f t="shared" si="68"/>
        <v>47863</v>
      </c>
      <c r="AK81" s="60">
        <f>IF($X81&lt;Input!$H$73,IF($X81&lt;Input!$G$73,IF($X81&lt;Input!$F$73,IF($X81&lt;Input!$E$73,IF($X81&lt;Input!$D$73,Input!$C$79,Input!$D$79),Input!$E$79),Input!$F$79),Input!$G$79),Input!$H$79)</f>
        <v>0</v>
      </c>
      <c r="AL81" s="190">
        <f>IF($A81&lt;Input!$H$80,IF($A81&lt;Input!$G$80,IF($A81&lt;Input!$F$80,IF($A81&lt;Input!$E$80,IF($A81&lt;Input!$D$80,Input!$C$81,Input!$D$81),Input!$E$81),Input!$F$81),Input!$G$81),Input!$H$81)</f>
        <v>0.9</v>
      </c>
      <c r="AM81" s="60">
        <f t="shared" si="49"/>
        <v>0</v>
      </c>
      <c r="AN81" s="60">
        <f t="shared" si="69"/>
        <v>31</v>
      </c>
      <c r="AO81" s="60">
        <f t="shared" si="50"/>
        <v>0</v>
      </c>
      <c r="AP81" s="60">
        <f>ROUND(AO81*AN81*Input!$C$3/365,0)</f>
        <v>0</v>
      </c>
      <c r="AQ81" s="61">
        <f>IF($A81&lt;=Input!$C$6,0,IF('144M'!AM81&lt;'144M'!AO81,'144M'!AM81-AP81,'144M'!AO81))</f>
        <v>0</v>
      </c>
      <c r="AR81" s="61">
        <f t="shared" si="51"/>
        <v>0</v>
      </c>
      <c r="AS81" s="60">
        <f t="shared" si="52"/>
        <v>0</v>
      </c>
      <c r="AT81" s="193"/>
      <c r="AU81" s="169">
        <v>77</v>
      </c>
      <c r="AV81" s="1">
        <f t="shared" si="70"/>
        <v>47863</v>
      </c>
      <c r="AW81" s="60">
        <f>IF($X81&lt;Input!$H$88,IF($X81&lt;Input!$G$88,IF($X81&lt;Input!$F$88,IF($X81&lt;Input!$E$88,IF($X81&lt;Input!$D$88,Input!$C$94,Input!$D$94),Input!$E$94),Input!$F$94),Input!$G$94),Input!$H$94)</f>
        <v>0</v>
      </c>
      <c r="AX81" s="190">
        <f>IF($A81&lt;Input!$H$95,IF($A81&lt;Input!$G$95,IF($A81&lt;Input!$F$95,IF($A81&lt;Input!$E$95,IF($A81&lt;Input!$D$95,Input!$C$96,Input!$D$96),Input!$E$96),Input!$F$96),Input!$G$96),Input!$H$96)</f>
        <v>0.9</v>
      </c>
      <c r="AY81" s="60">
        <f t="shared" si="53"/>
        <v>0</v>
      </c>
      <c r="AZ81" s="60">
        <f t="shared" si="71"/>
        <v>31</v>
      </c>
      <c r="BA81" s="60">
        <f t="shared" si="54"/>
        <v>0</v>
      </c>
      <c r="BB81" s="60">
        <f>ROUND(BA81*AZ81*Input!$C$3/365,0)</f>
        <v>0</v>
      </c>
      <c r="BC81" s="61">
        <f>IF($A81&lt;=Input!$C$6,0,IF('144M'!AY81&lt;'144M'!BA81,'144M'!AY81-BB81,'144M'!BA81))</f>
        <v>0</v>
      </c>
      <c r="BD81" s="61">
        <f t="shared" si="55"/>
        <v>0</v>
      </c>
      <c r="BE81" s="60">
        <f t="shared" si="56"/>
        <v>0</v>
      </c>
      <c r="BF81" s="193"/>
      <c r="BG81" s="169">
        <v>77</v>
      </c>
      <c r="BH81" s="1">
        <f t="shared" si="72"/>
        <v>47863</v>
      </c>
      <c r="BI81" s="60">
        <f>IF($X81&lt;Input!$H$103,IF($X81&lt;Input!$G$103,IF($X81&lt;Input!$F$103,IF($X81&lt;Input!$E$103,IF($X81&lt;Input!$D$103,Input!$C$109,Input!$D$109),Input!$E$109),Input!$F$109),Input!$G$109),Input!$H$109)</f>
        <v>0</v>
      </c>
      <c r="BJ81" s="190">
        <f>IF($A81&lt;Input!$H$110,IF($A81&lt;Input!$G$110,IF($A81&lt;Input!$F$110,IF($A81&lt;Input!$E$110,IF($A81&lt;Input!$D$110,Input!$C$111,Input!$D$111),Input!$E$111),Input!$F$111),Input!$G$111),Input!$H$111)</f>
        <v>0.9</v>
      </c>
      <c r="BK81" s="60">
        <f t="shared" si="57"/>
        <v>0</v>
      </c>
      <c r="BL81" s="60">
        <f t="shared" si="73"/>
        <v>31</v>
      </c>
      <c r="BM81" s="60">
        <f t="shared" si="58"/>
        <v>0</v>
      </c>
      <c r="BN81" s="60">
        <f>ROUND(BM81*BL81*Input!$C$3/365,0)</f>
        <v>0</v>
      </c>
      <c r="BO81" s="61">
        <f>IF($A81&lt;=Input!$C$6,0,IF('144M'!BK81&lt;'144M'!BM81,'144M'!BK81-BN81,'144M'!BM81))</f>
        <v>0</v>
      </c>
      <c r="BP81" s="61">
        <f t="shared" si="59"/>
        <v>0</v>
      </c>
      <c r="BQ81" s="60">
        <f t="shared" si="60"/>
        <v>0</v>
      </c>
      <c r="BR81" s="198"/>
    </row>
    <row r="82" spans="1:70" x14ac:dyDescent="0.25">
      <c r="A82" s="169">
        <v>78</v>
      </c>
      <c r="B82" s="1">
        <f t="shared" si="61"/>
        <v>47894</v>
      </c>
      <c r="C82" s="60">
        <f t="shared" si="39"/>
        <v>21781574.999999996</v>
      </c>
      <c r="D82" s="60">
        <f t="shared" si="40"/>
        <v>19603417.499999996</v>
      </c>
      <c r="E82" s="60">
        <f t="shared" si="62"/>
        <v>31</v>
      </c>
      <c r="F82" s="60">
        <f t="shared" si="63"/>
        <v>571792048.5</v>
      </c>
      <c r="G82" s="60">
        <f>ROUND(F82*E82*Input!$C$3/365,0)</f>
        <v>7284474</v>
      </c>
      <c r="H82" s="60">
        <f>IF($A82&lt;=Input!$C$6,0,IF('144M'!D82&lt;'144M'!F82,'144M'!D82-G82,'144M'!F82))</f>
        <v>12318943.499999996</v>
      </c>
      <c r="I82" s="60">
        <f t="shared" si="64"/>
        <v>19603417.499999996</v>
      </c>
      <c r="J82" s="60">
        <f t="shared" si="65"/>
        <v>559473105</v>
      </c>
      <c r="K82" s="202">
        <f>J82/Input!$K$5</f>
        <v>1.8649103499999999</v>
      </c>
      <c r="L82" s="232"/>
      <c r="M82" s="60">
        <f>IF($B82&lt;Input!$H$43,IF($B82&lt;Input!$G$43,IF($B82&lt;Input!$F$43,IF($B82&lt;Input!$E$43,IF($B82&lt;Input!$D$43,Input!$C$49,Input!$D$49),Input!$E$49),Input!$F$49),Input!$G$49),Input!$H$49)</f>
        <v>21781574.999999996</v>
      </c>
      <c r="N82" s="190">
        <f>IF($A82&lt;Input!$H$50,IF($A82&lt;Input!$G$50,IF($A82&lt;Input!$F$50,IF($A82&lt;Input!$E$50,IF($A82&lt;Input!$D$50,Input!$C$51,Input!$D$51),Input!$E$51),Input!$F$51),Input!$G$51),Input!$H$51)</f>
        <v>0.9</v>
      </c>
      <c r="O82" s="60">
        <f t="shared" si="38"/>
        <v>19603417.499999996</v>
      </c>
      <c r="P82" s="60">
        <f t="shared" si="41"/>
        <v>31</v>
      </c>
      <c r="Q82" s="60">
        <f t="shared" si="42"/>
        <v>571792048.5</v>
      </c>
      <c r="R82" s="60">
        <f>ROUND(Q82*$P82*Input!$C$3/365,0)</f>
        <v>7284474</v>
      </c>
      <c r="S82" s="60">
        <f>IF(A82&lt;=Input!$C$6,0,IF('144M'!O82&lt;'144M'!Q82,'144M'!O82-R82,'144M'!Q82))</f>
        <v>12318943.499999996</v>
      </c>
      <c r="T82" s="60">
        <f t="shared" si="43"/>
        <v>19603417.499999996</v>
      </c>
      <c r="U82" s="60">
        <f t="shared" si="44"/>
        <v>559473105</v>
      </c>
      <c r="V82" s="193"/>
      <c r="W82" s="169">
        <v>78</v>
      </c>
      <c r="X82" s="1">
        <f t="shared" si="66"/>
        <v>47894</v>
      </c>
      <c r="Y82" s="60">
        <f>IF($X82&lt;Input!$H$58,IF($X82&lt;Input!$G$58,IF($X82&lt;Input!$F$58,IF($X82&lt;Input!$E$58,IF($X82&lt;Input!$D$58,Input!$C$64,Input!$D$64),Input!$E$64),Input!$F$64),Input!$G$64),Input!$H$64)</f>
        <v>0</v>
      </c>
      <c r="Z82" s="190">
        <f>IF($A82&lt;Input!$H$65,IF($A82&lt;Input!$G$65,IF($A82&lt;Input!$F$65,IF($A82&lt;Input!$E$65,IF($A82&lt;Input!$D$65,Input!$C$66,Input!$D$66),Input!$E$66),Input!$F$66),Input!$G$66),Input!$H$66)</f>
        <v>0.9</v>
      </c>
      <c r="AA82" s="60">
        <f t="shared" si="45"/>
        <v>0</v>
      </c>
      <c r="AB82" s="60">
        <f t="shared" si="67"/>
        <v>31</v>
      </c>
      <c r="AC82" s="60">
        <f t="shared" si="46"/>
        <v>0</v>
      </c>
      <c r="AD82" s="60">
        <f>ROUND(AC82*AB82*Input!$C$3/365,0)</f>
        <v>0</v>
      </c>
      <c r="AE82" s="61">
        <f>IF($A82&lt;=Input!$C$6,0,IF('144M'!AA82&lt;'144M'!AC82,'144M'!AA82-AD82,'144M'!AC82))</f>
        <v>0</v>
      </c>
      <c r="AF82" s="61">
        <f t="shared" si="47"/>
        <v>0</v>
      </c>
      <c r="AG82" s="60">
        <f t="shared" si="48"/>
        <v>0</v>
      </c>
      <c r="AH82" s="193"/>
      <c r="AI82" s="169">
        <v>78</v>
      </c>
      <c r="AJ82" s="1">
        <f t="shared" si="68"/>
        <v>47894</v>
      </c>
      <c r="AK82" s="60">
        <f>IF($X82&lt;Input!$H$73,IF($X82&lt;Input!$G$73,IF($X82&lt;Input!$F$73,IF($X82&lt;Input!$E$73,IF($X82&lt;Input!$D$73,Input!$C$79,Input!$D$79),Input!$E$79),Input!$F$79),Input!$G$79),Input!$H$79)</f>
        <v>0</v>
      </c>
      <c r="AL82" s="190">
        <f>IF($A82&lt;Input!$H$80,IF($A82&lt;Input!$G$80,IF($A82&lt;Input!$F$80,IF($A82&lt;Input!$E$80,IF($A82&lt;Input!$D$80,Input!$C$81,Input!$D$81),Input!$E$81),Input!$F$81),Input!$G$81),Input!$H$81)</f>
        <v>0.9</v>
      </c>
      <c r="AM82" s="60">
        <f t="shared" si="49"/>
        <v>0</v>
      </c>
      <c r="AN82" s="60">
        <f t="shared" si="69"/>
        <v>31</v>
      </c>
      <c r="AO82" s="60">
        <f t="shared" si="50"/>
        <v>0</v>
      </c>
      <c r="AP82" s="60">
        <f>ROUND(AO82*AN82*Input!$C$3/365,0)</f>
        <v>0</v>
      </c>
      <c r="AQ82" s="61">
        <f>IF($A82&lt;=Input!$C$6,0,IF('144M'!AM82&lt;'144M'!AO82,'144M'!AM82-AP82,'144M'!AO82))</f>
        <v>0</v>
      </c>
      <c r="AR82" s="61">
        <f t="shared" si="51"/>
        <v>0</v>
      </c>
      <c r="AS82" s="60">
        <f t="shared" si="52"/>
        <v>0</v>
      </c>
      <c r="AT82" s="193"/>
      <c r="AU82" s="169">
        <v>78</v>
      </c>
      <c r="AV82" s="1">
        <f t="shared" si="70"/>
        <v>47894</v>
      </c>
      <c r="AW82" s="60">
        <f>IF($X82&lt;Input!$H$88,IF($X82&lt;Input!$G$88,IF($X82&lt;Input!$F$88,IF($X82&lt;Input!$E$88,IF($X82&lt;Input!$D$88,Input!$C$94,Input!$D$94),Input!$E$94),Input!$F$94),Input!$G$94),Input!$H$94)</f>
        <v>0</v>
      </c>
      <c r="AX82" s="190">
        <f>IF($A82&lt;Input!$H$95,IF($A82&lt;Input!$G$95,IF($A82&lt;Input!$F$95,IF($A82&lt;Input!$E$95,IF($A82&lt;Input!$D$95,Input!$C$96,Input!$D$96),Input!$E$96),Input!$F$96),Input!$G$96),Input!$H$96)</f>
        <v>0.9</v>
      </c>
      <c r="AY82" s="60">
        <f t="shared" si="53"/>
        <v>0</v>
      </c>
      <c r="AZ82" s="60">
        <f t="shared" si="71"/>
        <v>31</v>
      </c>
      <c r="BA82" s="60">
        <f t="shared" si="54"/>
        <v>0</v>
      </c>
      <c r="BB82" s="60">
        <f>ROUND(BA82*AZ82*Input!$C$3/365,0)</f>
        <v>0</v>
      </c>
      <c r="BC82" s="61">
        <f>IF($A82&lt;=Input!$C$6,0,IF('144M'!AY82&lt;'144M'!BA82,'144M'!AY82-BB82,'144M'!BA82))</f>
        <v>0</v>
      </c>
      <c r="BD82" s="61">
        <f t="shared" si="55"/>
        <v>0</v>
      </c>
      <c r="BE82" s="60">
        <f t="shared" si="56"/>
        <v>0</v>
      </c>
      <c r="BF82" s="193"/>
      <c r="BG82" s="169">
        <v>78</v>
      </c>
      <c r="BH82" s="1">
        <f t="shared" si="72"/>
        <v>47894</v>
      </c>
      <c r="BI82" s="60">
        <f>IF($X82&lt;Input!$H$103,IF($X82&lt;Input!$G$103,IF($X82&lt;Input!$F$103,IF($X82&lt;Input!$E$103,IF($X82&lt;Input!$D$103,Input!$C$109,Input!$D$109),Input!$E$109),Input!$F$109),Input!$G$109),Input!$H$109)</f>
        <v>0</v>
      </c>
      <c r="BJ82" s="190">
        <f>IF($A82&lt;Input!$H$110,IF($A82&lt;Input!$G$110,IF($A82&lt;Input!$F$110,IF($A82&lt;Input!$E$110,IF($A82&lt;Input!$D$110,Input!$C$111,Input!$D$111),Input!$E$111),Input!$F$111),Input!$G$111),Input!$H$111)</f>
        <v>0.9</v>
      </c>
      <c r="BK82" s="60">
        <f t="shared" si="57"/>
        <v>0</v>
      </c>
      <c r="BL82" s="60">
        <f t="shared" si="73"/>
        <v>31</v>
      </c>
      <c r="BM82" s="60">
        <f t="shared" si="58"/>
        <v>0</v>
      </c>
      <c r="BN82" s="60">
        <f>ROUND(BM82*BL82*Input!$C$3/365,0)</f>
        <v>0</v>
      </c>
      <c r="BO82" s="61">
        <f>IF($A82&lt;=Input!$C$6,0,IF('144M'!BK82&lt;'144M'!BM82,'144M'!BK82-BN82,'144M'!BM82))</f>
        <v>0</v>
      </c>
      <c r="BP82" s="61">
        <f t="shared" si="59"/>
        <v>0</v>
      </c>
      <c r="BQ82" s="60">
        <f t="shared" si="60"/>
        <v>0</v>
      </c>
      <c r="BR82" s="198"/>
    </row>
    <row r="83" spans="1:70" x14ac:dyDescent="0.25">
      <c r="A83" s="169">
        <v>79</v>
      </c>
      <c r="B83" s="1">
        <f t="shared" si="61"/>
        <v>47922</v>
      </c>
      <c r="C83" s="60">
        <f t="shared" si="39"/>
        <v>21781574.999999996</v>
      </c>
      <c r="D83" s="60">
        <f t="shared" si="40"/>
        <v>19603417.499999996</v>
      </c>
      <c r="E83" s="60">
        <f t="shared" si="62"/>
        <v>28</v>
      </c>
      <c r="F83" s="60">
        <f t="shared" si="63"/>
        <v>559473105</v>
      </c>
      <c r="G83" s="60">
        <f>ROUND(F83*E83*Input!$C$3/365,0)</f>
        <v>6437773</v>
      </c>
      <c r="H83" s="60">
        <f>IF($A83&lt;=Input!$C$6,0,IF('144M'!D83&lt;'144M'!F83,'144M'!D83-G83,'144M'!F83))</f>
        <v>13165644.499999996</v>
      </c>
      <c r="I83" s="60">
        <f t="shared" si="64"/>
        <v>19603417.499999996</v>
      </c>
      <c r="J83" s="60">
        <f t="shared" si="65"/>
        <v>546307460.5</v>
      </c>
      <c r="K83" s="202">
        <f>J83/Input!$K$5</f>
        <v>1.8210248683333334</v>
      </c>
      <c r="L83" s="232"/>
      <c r="M83" s="60">
        <f>IF($B83&lt;Input!$H$43,IF($B83&lt;Input!$G$43,IF($B83&lt;Input!$F$43,IF($B83&lt;Input!$E$43,IF($B83&lt;Input!$D$43,Input!$C$49,Input!$D$49),Input!$E$49),Input!$F$49),Input!$G$49),Input!$H$49)</f>
        <v>21781574.999999996</v>
      </c>
      <c r="N83" s="190">
        <f>IF($A83&lt;Input!$H$50,IF($A83&lt;Input!$G$50,IF($A83&lt;Input!$F$50,IF($A83&lt;Input!$E$50,IF($A83&lt;Input!$D$50,Input!$C$51,Input!$D$51),Input!$E$51),Input!$F$51),Input!$G$51),Input!$H$51)</f>
        <v>0.9</v>
      </c>
      <c r="O83" s="60">
        <f t="shared" si="38"/>
        <v>19603417.499999996</v>
      </c>
      <c r="P83" s="60">
        <f t="shared" si="41"/>
        <v>28</v>
      </c>
      <c r="Q83" s="60">
        <f t="shared" si="42"/>
        <v>559473105</v>
      </c>
      <c r="R83" s="60">
        <f>ROUND(Q83*$P83*Input!$C$3/365,0)</f>
        <v>6437773</v>
      </c>
      <c r="S83" s="60">
        <f>IF(A83&lt;=Input!$C$6,0,IF('144M'!O83&lt;'144M'!Q83,'144M'!O83-R83,'144M'!Q83))</f>
        <v>13165644.499999996</v>
      </c>
      <c r="T83" s="60">
        <f t="shared" si="43"/>
        <v>19603417.499999996</v>
      </c>
      <c r="U83" s="60">
        <f t="shared" si="44"/>
        <v>546307460.5</v>
      </c>
      <c r="V83" s="193"/>
      <c r="W83" s="169">
        <v>79</v>
      </c>
      <c r="X83" s="1">
        <f t="shared" si="66"/>
        <v>47922</v>
      </c>
      <c r="Y83" s="60">
        <f>IF($X83&lt;Input!$H$58,IF($X83&lt;Input!$G$58,IF($X83&lt;Input!$F$58,IF($X83&lt;Input!$E$58,IF($X83&lt;Input!$D$58,Input!$C$64,Input!$D$64),Input!$E$64),Input!$F$64),Input!$G$64),Input!$H$64)</f>
        <v>0</v>
      </c>
      <c r="Z83" s="190">
        <f>IF($A83&lt;Input!$H$65,IF($A83&lt;Input!$G$65,IF($A83&lt;Input!$F$65,IF($A83&lt;Input!$E$65,IF($A83&lt;Input!$D$65,Input!$C$66,Input!$D$66),Input!$E$66),Input!$F$66),Input!$G$66),Input!$H$66)</f>
        <v>0.9</v>
      </c>
      <c r="AA83" s="60">
        <f t="shared" si="45"/>
        <v>0</v>
      </c>
      <c r="AB83" s="60">
        <f t="shared" si="67"/>
        <v>28</v>
      </c>
      <c r="AC83" s="60">
        <f t="shared" si="46"/>
        <v>0</v>
      </c>
      <c r="AD83" s="60">
        <f>ROUND(AC83*AB83*Input!$C$3/365,0)</f>
        <v>0</v>
      </c>
      <c r="AE83" s="61">
        <f>IF($A83&lt;=Input!$C$6,0,IF('144M'!AA83&lt;'144M'!AC83,'144M'!AA83-AD83,'144M'!AC83))</f>
        <v>0</v>
      </c>
      <c r="AF83" s="61">
        <f t="shared" si="47"/>
        <v>0</v>
      </c>
      <c r="AG83" s="60">
        <f t="shared" si="48"/>
        <v>0</v>
      </c>
      <c r="AH83" s="193"/>
      <c r="AI83" s="169">
        <v>79</v>
      </c>
      <c r="AJ83" s="1">
        <f t="shared" si="68"/>
        <v>47922</v>
      </c>
      <c r="AK83" s="60">
        <f>IF($X83&lt;Input!$H$73,IF($X83&lt;Input!$G$73,IF($X83&lt;Input!$F$73,IF($X83&lt;Input!$E$73,IF($X83&lt;Input!$D$73,Input!$C$79,Input!$D$79),Input!$E$79),Input!$F$79),Input!$G$79),Input!$H$79)</f>
        <v>0</v>
      </c>
      <c r="AL83" s="190">
        <f>IF($A83&lt;Input!$H$80,IF($A83&lt;Input!$G$80,IF($A83&lt;Input!$F$80,IF($A83&lt;Input!$E$80,IF($A83&lt;Input!$D$80,Input!$C$81,Input!$D$81),Input!$E$81),Input!$F$81),Input!$G$81),Input!$H$81)</f>
        <v>0.9</v>
      </c>
      <c r="AM83" s="60">
        <f t="shared" si="49"/>
        <v>0</v>
      </c>
      <c r="AN83" s="60">
        <f t="shared" si="69"/>
        <v>28</v>
      </c>
      <c r="AO83" s="60">
        <f t="shared" si="50"/>
        <v>0</v>
      </c>
      <c r="AP83" s="60">
        <f>ROUND(AO83*AN83*Input!$C$3/365,0)</f>
        <v>0</v>
      </c>
      <c r="AQ83" s="61">
        <f>IF($A83&lt;=Input!$C$6,0,IF('144M'!AM83&lt;'144M'!AO83,'144M'!AM83-AP83,'144M'!AO83))</f>
        <v>0</v>
      </c>
      <c r="AR83" s="61">
        <f t="shared" si="51"/>
        <v>0</v>
      </c>
      <c r="AS83" s="60">
        <f t="shared" si="52"/>
        <v>0</v>
      </c>
      <c r="AT83" s="193"/>
      <c r="AU83" s="169">
        <v>79</v>
      </c>
      <c r="AV83" s="1">
        <f t="shared" si="70"/>
        <v>47922</v>
      </c>
      <c r="AW83" s="60">
        <f>IF($X83&lt;Input!$H$88,IF($X83&lt;Input!$G$88,IF($X83&lt;Input!$F$88,IF($X83&lt;Input!$E$88,IF($X83&lt;Input!$D$88,Input!$C$94,Input!$D$94),Input!$E$94),Input!$F$94),Input!$G$94),Input!$H$94)</f>
        <v>0</v>
      </c>
      <c r="AX83" s="190">
        <f>IF($A83&lt;Input!$H$95,IF($A83&lt;Input!$G$95,IF($A83&lt;Input!$F$95,IF($A83&lt;Input!$E$95,IF($A83&lt;Input!$D$95,Input!$C$96,Input!$D$96),Input!$E$96),Input!$F$96),Input!$G$96),Input!$H$96)</f>
        <v>0.9</v>
      </c>
      <c r="AY83" s="60">
        <f t="shared" si="53"/>
        <v>0</v>
      </c>
      <c r="AZ83" s="60">
        <f t="shared" si="71"/>
        <v>28</v>
      </c>
      <c r="BA83" s="60">
        <f t="shared" si="54"/>
        <v>0</v>
      </c>
      <c r="BB83" s="60">
        <f>ROUND(BA83*AZ83*Input!$C$3/365,0)</f>
        <v>0</v>
      </c>
      <c r="BC83" s="61">
        <f>IF($A83&lt;=Input!$C$6,0,IF('144M'!AY83&lt;'144M'!BA83,'144M'!AY83-BB83,'144M'!BA83))</f>
        <v>0</v>
      </c>
      <c r="BD83" s="61">
        <f t="shared" si="55"/>
        <v>0</v>
      </c>
      <c r="BE83" s="60">
        <f t="shared" si="56"/>
        <v>0</v>
      </c>
      <c r="BF83" s="193"/>
      <c r="BG83" s="169">
        <v>79</v>
      </c>
      <c r="BH83" s="1">
        <f t="shared" si="72"/>
        <v>47922</v>
      </c>
      <c r="BI83" s="60">
        <f>IF($X83&lt;Input!$H$103,IF($X83&lt;Input!$G$103,IF($X83&lt;Input!$F$103,IF($X83&lt;Input!$E$103,IF($X83&lt;Input!$D$103,Input!$C$109,Input!$D$109),Input!$E$109),Input!$F$109),Input!$G$109),Input!$H$109)</f>
        <v>0</v>
      </c>
      <c r="BJ83" s="190">
        <f>IF($A83&lt;Input!$H$110,IF($A83&lt;Input!$G$110,IF($A83&lt;Input!$F$110,IF($A83&lt;Input!$E$110,IF($A83&lt;Input!$D$110,Input!$C$111,Input!$D$111),Input!$E$111),Input!$F$111),Input!$G$111),Input!$H$111)</f>
        <v>0.9</v>
      </c>
      <c r="BK83" s="60">
        <f t="shared" si="57"/>
        <v>0</v>
      </c>
      <c r="BL83" s="60">
        <f t="shared" si="73"/>
        <v>28</v>
      </c>
      <c r="BM83" s="60">
        <f t="shared" si="58"/>
        <v>0</v>
      </c>
      <c r="BN83" s="60">
        <f>ROUND(BM83*BL83*Input!$C$3/365,0)</f>
        <v>0</v>
      </c>
      <c r="BO83" s="61">
        <f>IF($A83&lt;=Input!$C$6,0,IF('144M'!BK83&lt;'144M'!BM83,'144M'!BK83-BN83,'144M'!BM83))</f>
        <v>0</v>
      </c>
      <c r="BP83" s="61">
        <f t="shared" si="59"/>
        <v>0</v>
      </c>
      <c r="BQ83" s="60">
        <f t="shared" si="60"/>
        <v>0</v>
      </c>
      <c r="BR83" s="198"/>
    </row>
    <row r="84" spans="1:70" x14ac:dyDescent="0.25">
      <c r="A84" s="169">
        <v>80</v>
      </c>
      <c r="B84" s="1">
        <f t="shared" si="61"/>
        <v>47953</v>
      </c>
      <c r="C84" s="60">
        <f t="shared" si="39"/>
        <v>21781574.999999996</v>
      </c>
      <c r="D84" s="60">
        <f t="shared" si="40"/>
        <v>19603417.499999996</v>
      </c>
      <c r="E84" s="60">
        <f t="shared" si="62"/>
        <v>31</v>
      </c>
      <c r="F84" s="60">
        <f t="shared" si="63"/>
        <v>546307460.5</v>
      </c>
      <c r="G84" s="60">
        <f>ROUND(F84*E84*Input!$C$3/365,0)</f>
        <v>6959807</v>
      </c>
      <c r="H84" s="60">
        <f>IF($A84&lt;=Input!$C$6,0,IF('144M'!D84&lt;'144M'!F84,'144M'!D84-G84,'144M'!F84))</f>
        <v>12643610.499999996</v>
      </c>
      <c r="I84" s="60">
        <f t="shared" si="64"/>
        <v>19603417.499999996</v>
      </c>
      <c r="J84" s="60">
        <f t="shared" si="65"/>
        <v>533663850</v>
      </c>
      <c r="K84" s="202">
        <f>J84/Input!$K$5</f>
        <v>1.7788794999999999</v>
      </c>
      <c r="L84" s="232"/>
      <c r="M84" s="60">
        <f>IF($B84&lt;Input!$H$43,IF($B84&lt;Input!$G$43,IF($B84&lt;Input!$F$43,IF($B84&lt;Input!$E$43,IF($B84&lt;Input!$D$43,Input!$C$49,Input!$D$49),Input!$E$49),Input!$F$49),Input!$G$49),Input!$H$49)</f>
        <v>21781574.999999996</v>
      </c>
      <c r="N84" s="190">
        <f>IF($A84&lt;Input!$H$50,IF($A84&lt;Input!$G$50,IF($A84&lt;Input!$F$50,IF($A84&lt;Input!$E$50,IF($A84&lt;Input!$D$50,Input!$C$51,Input!$D$51),Input!$E$51),Input!$F$51),Input!$G$51),Input!$H$51)</f>
        <v>0.9</v>
      </c>
      <c r="O84" s="60">
        <f t="shared" si="38"/>
        <v>19603417.499999996</v>
      </c>
      <c r="P84" s="60">
        <f t="shared" si="41"/>
        <v>31</v>
      </c>
      <c r="Q84" s="60">
        <f t="shared" si="42"/>
        <v>546307460.5</v>
      </c>
      <c r="R84" s="60">
        <f>ROUND(Q84*$P84*Input!$C$3/365,0)</f>
        <v>6959807</v>
      </c>
      <c r="S84" s="60">
        <f>IF(A84&lt;=Input!$C$6,0,IF('144M'!O84&lt;'144M'!Q84,'144M'!O84-R84,'144M'!Q84))</f>
        <v>12643610.499999996</v>
      </c>
      <c r="T84" s="60">
        <f t="shared" si="43"/>
        <v>19603417.499999996</v>
      </c>
      <c r="U84" s="60">
        <f t="shared" si="44"/>
        <v>533663850</v>
      </c>
      <c r="V84" s="193"/>
      <c r="W84" s="169">
        <v>80</v>
      </c>
      <c r="X84" s="1">
        <f t="shared" si="66"/>
        <v>47953</v>
      </c>
      <c r="Y84" s="60">
        <f>IF($X84&lt;Input!$H$58,IF($X84&lt;Input!$G$58,IF($X84&lt;Input!$F$58,IF($X84&lt;Input!$E$58,IF($X84&lt;Input!$D$58,Input!$C$64,Input!$D$64),Input!$E$64),Input!$F$64),Input!$G$64),Input!$H$64)</f>
        <v>0</v>
      </c>
      <c r="Z84" s="190">
        <f>IF($A84&lt;Input!$H$65,IF($A84&lt;Input!$G$65,IF($A84&lt;Input!$F$65,IF($A84&lt;Input!$E$65,IF($A84&lt;Input!$D$65,Input!$C$66,Input!$D$66),Input!$E$66),Input!$F$66),Input!$G$66),Input!$H$66)</f>
        <v>0.9</v>
      </c>
      <c r="AA84" s="60">
        <f t="shared" si="45"/>
        <v>0</v>
      </c>
      <c r="AB84" s="60">
        <f t="shared" si="67"/>
        <v>31</v>
      </c>
      <c r="AC84" s="60">
        <f t="shared" si="46"/>
        <v>0</v>
      </c>
      <c r="AD84" s="60">
        <f>ROUND(AC84*AB84*Input!$C$3/365,0)</f>
        <v>0</v>
      </c>
      <c r="AE84" s="61">
        <f>IF($A84&lt;=Input!$C$6,0,IF('144M'!AA84&lt;'144M'!AC84,'144M'!AA84-AD84,'144M'!AC84))</f>
        <v>0</v>
      </c>
      <c r="AF84" s="61">
        <f t="shared" si="47"/>
        <v>0</v>
      </c>
      <c r="AG84" s="60">
        <f t="shared" si="48"/>
        <v>0</v>
      </c>
      <c r="AH84" s="193"/>
      <c r="AI84" s="169">
        <v>80</v>
      </c>
      <c r="AJ84" s="1">
        <f t="shared" si="68"/>
        <v>47953</v>
      </c>
      <c r="AK84" s="60">
        <f>IF($X84&lt;Input!$H$73,IF($X84&lt;Input!$G$73,IF($X84&lt;Input!$F$73,IF($X84&lt;Input!$E$73,IF($X84&lt;Input!$D$73,Input!$C$79,Input!$D$79),Input!$E$79),Input!$F$79),Input!$G$79),Input!$H$79)</f>
        <v>0</v>
      </c>
      <c r="AL84" s="190">
        <f>IF($A84&lt;Input!$H$80,IF($A84&lt;Input!$G$80,IF($A84&lt;Input!$F$80,IF($A84&lt;Input!$E$80,IF($A84&lt;Input!$D$80,Input!$C$81,Input!$D$81),Input!$E$81),Input!$F$81),Input!$G$81),Input!$H$81)</f>
        <v>0.9</v>
      </c>
      <c r="AM84" s="60">
        <f t="shared" si="49"/>
        <v>0</v>
      </c>
      <c r="AN84" s="60">
        <f t="shared" si="69"/>
        <v>31</v>
      </c>
      <c r="AO84" s="60">
        <f t="shared" si="50"/>
        <v>0</v>
      </c>
      <c r="AP84" s="60">
        <f>ROUND(AO84*AN84*Input!$C$3/365,0)</f>
        <v>0</v>
      </c>
      <c r="AQ84" s="61">
        <f>IF($A84&lt;=Input!$C$6,0,IF('144M'!AM84&lt;'144M'!AO84,'144M'!AM84-AP84,'144M'!AO84))</f>
        <v>0</v>
      </c>
      <c r="AR84" s="61">
        <f t="shared" si="51"/>
        <v>0</v>
      </c>
      <c r="AS84" s="60">
        <f t="shared" si="52"/>
        <v>0</v>
      </c>
      <c r="AT84" s="193"/>
      <c r="AU84" s="169">
        <v>80</v>
      </c>
      <c r="AV84" s="1">
        <f t="shared" si="70"/>
        <v>47953</v>
      </c>
      <c r="AW84" s="60">
        <f>IF($X84&lt;Input!$H$88,IF($X84&lt;Input!$G$88,IF($X84&lt;Input!$F$88,IF($X84&lt;Input!$E$88,IF($X84&lt;Input!$D$88,Input!$C$94,Input!$D$94),Input!$E$94),Input!$F$94),Input!$G$94),Input!$H$94)</f>
        <v>0</v>
      </c>
      <c r="AX84" s="190">
        <f>IF($A84&lt;Input!$H$95,IF($A84&lt;Input!$G$95,IF($A84&lt;Input!$F$95,IF($A84&lt;Input!$E$95,IF($A84&lt;Input!$D$95,Input!$C$96,Input!$D$96),Input!$E$96),Input!$F$96),Input!$G$96),Input!$H$96)</f>
        <v>0.9</v>
      </c>
      <c r="AY84" s="60">
        <f t="shared" si="53"/>
        <v>0</v>
      </c>
      <c r="AZ84" s="60">
        <f t="shared" si="71"/>
        <v>31</v>
      </c>
      <c r="BA84" s="60">
        <f t="shared" si="54"/>
        <v>0</v>
      </c>
      <c r="BB84" s="60">
        <f>ROUND(BA84*AZ84*Input!$C$3/365,0)</f>
        <v>0</v>
      </c>
      <c r="BC84" s="61">
        <f>IF($A84&lt;=Input!$C$6,0,IF('144M'!AY84&lt;'144M'!BA84,'144M'!AY84-BB84,'144M'!BA84))</f>
        <v>0</v>
      </c>
      <c r="BD84" s="61">
        <f t="shared" si="55"/>
        <v>0</v>
      </c>
      <c r="BE84" s="60">
        <f t="shared" si="56"/>
        <v>0</v>
      </c>
      <c r="BF84" s="193"/>
      <c r="BG84" s="169">
        <v>80</v>
      </c>
      <c r="BH84" s="1">
        <f t="shared" si="72"/>
        <v>47953</v>
      </c>
      <c r="BI84" s="60">
        <f>IF($X84&lt;Input!$H$103,IF($X84&lt;Input!$G$103,IF($X84&lt;Input!$F$103,IF($X84&lt;Input!$E$103,IF($X84&lt;Input!$D$103,Input!$C$109,Input!$D$109),Input!$E$109),Input!$F$109),Input!$G$109),Input!$H$109)</f>
        <v>0</v>
      </c>
      <c r="BJ84" s="190">
        <f>IF($A84&lt;Input!$H$110,IF($A84&lt;Input!$G$110,IF($A84&lt;Input!$F$110,IF($A84&lt;Input!$E$110,IF($A84&lt;Input!$D$110,Input!$C$111,Input!$D$111),Input!$E$111),Input!$F$111),Input!$G$111),Input!$H$111)</f>
        <v>0.9</v>
      </c>
      <c r="BK84" s="60">
        <f t="shared" si="57"/>
        <v>0</v>
      </c>
      <c r="BL84" s="60">
        <f t="shared" si="73"/>
        <v>31</v>
      </c>
      <c r="BM84" s="60">
        <f t="shared" si="58"/>
        <v>0</v>
      </c>
      <c r="BN84" s="60">
        <f>ROUND(BM84*BL84*Input!$C$3/365,0)</f>
        <v>0</v>
      </c>
      <c r="BO84" s="61">
        <f>IF($A84&lt;=Input!$C$6,0,IF('144M'!BK84&lt;'144M'!BM84,'144M'!BK84-BN84,'144M'!BM84))</f>
        <v>0</v>
      </c>
      <c r="BP84" s="61">
        <f t="shared" si="59"/>
        <v>0</v>
      </c>
      <c r="BQ84" s="60">
        <f t="shared" si="60"/>
        <v>0</v>
      </c>
      <c r="BR84" s="198"/>
    </row>
    <row r="85" spans="1:70" x14ac:dyDescent="0.25">
      <c r="A85" s="169">
        <v>81</v>
      </c>
      <c r="B85" s="1">
        <f t="shared" si="61"/>
        <v>47983</v>
      </c>
      <c r="C85" s="60">
        <f t="shared" si="39"/>
        <v>21781574.999999996</v>
      </c>
      <c r="D85" s="60">
        <f t="shared" si="40"/>
        <v>19603417.499999996</v>
      </c>
      <c r="E85" s="60">
        <f t="shared" si="62"/>
        <v>30</v>
      </c>
      <c r="F85" s="60">
        <f t="shared" si="63"/>
        <v>533663850</v>
      </c>
      <c r="G85" s="60">
        <f>ROUND(F85*E85*Input!$C$3/365,0)</f>
        <v>6579417</v>
      </c>
      <c r="H85" s="60">
        <f>IF($A85&lt;=Input!$C$6,0,IF('144M'!D85&lt;'144M'!F85,'144M'!D85-G85,'144M'!F85))</f>
        <v>13024000.499999996</v>
      </c>
      <c r="I85" s="60">
        <f t="shared" si="64"/>
        <v>19603417.499999996</v>
      </c>
      <c r="J85" s="60">
        <f t="shared" si="65"/>
        <v>520639849.5</v>
      </c>
      <c r="K85" s="202">
        <f>J85/Input!$K$5</f>
        <v>1.7354661650000001</v>
      </c>
      <c r="L85" s="232"/>
      <c r="M85" s="60">
        <f>IF($B85&lt;Input!$H$43,IF($B85&lt;Input!$G$43,IF($B85&lt;Input!$F$43,IF($B85&lt;Input!$E$43,IF($B85&lt;Input!$D$43,Input!$C$49,Input!$D$49),Input!$E$49),Input!$F$49),Input!$G$49),Input!$H$49)</f>
        <v>21781574.999999996</v>
      </c>
      <c r="N85" s="190">
        <f>IF($A85&lt;Input!$H$50,IF($A85&lt;Input!$G$50,IF($A85&lt;Input!$F$50,IF($A85&lt;Input!$E$50,IF($A85&lt;Input!$D$50,Input!$C$51,Input!$D$51),Input!$E$51),Input!$F$51),Input!$G$51),Input!$H$51)</f>
        <v>0.9</v>
      </c>
      <c r="O85" s="60">
        <f t="shared" si="38"/>
        <v>19603417.499999996</v>
      </c>
      <c r="P85" s="60">
        <f t="shared" si="41"/>
        <v>30</v>
      </c>
      <c r="Q85" s="60">
        <f t="shared" si="42"/>
        <v>533663850</v>
      </c>
      <c r="R85" s="60">
        <f>ROUND(Q85*$P85*Input!$C$3/365,0)</f>
        <v>6579417</v>
      </c>
      <c r="S85" s="60">
        <f>IF(A85&lt;=Input!$C$6,0,IF('144M'!O85&lt;'144M'!Q85,'144M'!O85-R85,'144M'!Q85))</f>
        <v>13024000.499999996</v>
      </c>
      <c r="T85" s="60">
        <f t="shared" si="43"/>
        <v>19603417.499999996</v>
      </c>
      <c r="U85" s="60">
        <f t="shared" si="44"/>
        <v>520639849.5</v>
      </c>
      <c r="V85" s="193"/>
      <c r="W85" s="169">
        <v>81</v>
      </c>
      <c r="X85" s="1">
        <f t="shared" si="66"/>
        <v>47983</v>
      </c>
      <c r="Y85" s="60">
        <f>IF($X85&lt;Input!$H$58,IF($X85&lt;Input!$G$58,IF($X85&lt;Input!$F$58,IF($X85&lt;Input!$E$58,IF($X85&lt;Input!$D$58,Input!$C$64,Input!$D$64),Input!$E$64),Input!$F$64),Input!$G$64),Input!$H$64)</f>
        <v>0</v>
      </c>
      <c r="Z85" s="190">
        <f>IF($A85&lt;Input!$H$65,IF($A85&lt;Input!$G$65,IF($A85&lt;Input!$F$65,IF($A85&lt;Input!$E$65,IF($A85&lt;Input!$D$65,Input!$C$66,Input!$D$66),Input!$E$66),Input!$F$66),Input!$G$66),Input!$H$66)</f>
        <v>0.9</v>
      </c>
      <c r="AA85" s="60">
        <f t="shared" si="45"/>
        <v>0</v>
      </c>
      <c r="AB85" s="60">
        <f t="shared" si="67"/>
        <v>30</v>
      </c>
      <c r="AC85" s="60">
        <f t="shared" si="46"/>
        <v>0</v>
      </c>
      <c r="AD85" s="60">
        <f>ROUND(AC85*AB85*Input!$C$3/365,0)</f>
        <v>0</v>
      </c>
      <c r="AE85" s="61">
        <f>IF($A85&lt;=Input!$C$6,0,IF('144M'!AA85&lt;'144M'!AC85,'144M'!AA85-AD85,'144M'!AC85))</f>
        <v>0</v>
      </c>
      <c r="AF85" s="61">
        <f t="shared" si="47"/>
        <v>0</v>
      </c>
      <c r="AG85" s="60">
        <f t="shared" si="48"/>
        <v>0</v>
      </c>
      <c r="AH85" s="193"/>
      <c r="AI85" s="169">
        <v>81</v>
      </c>
      <c r="AJ85" s="1">
        <f t="shared" si="68"/>
        <v>47983</v>
      </c>
      <c r="AK85" s="60">
        <f>IF($X85&lt;Input!$H$73,IF($X85&lt;Input!$G$73,IF($X85&lt;Input!$F$73,IF($X85&lt;Input!$E$73,IF($X85&lt;Input!$D$73,Input!$C$79,Input!$D$79),Input!$E$79),Input!$F$79),Input!$G$79),Input!$H$79)</f>
        <v>0</v>
      </c>
      <c r="AL85" s="190">
        <f>IF($A85&lt;Input!$H$80,IF($A85&lt;Input!$G$80,IF($A85&lt;Input!$F$80,IF($A85&lt;Input!$E$80,IF($A85&lt;Input!$D$80,Input!$C$81,Input!$D$81),Input!$E$81),Input!$F$81),Input!$G$81),Input!$H$81)</f>
        <v>0.9</v>
      </c>
      <c r="AM85" s="60">
        <f t="shared" si="49"/>
        <v>0</v>
      </c>
      <c r="AN85" s="60">
        <f t="shared" si="69"/>
        <v>30</v>
      </c>
      <c r="AO85" s="60">
        <f t="shared" si="50"/>
        <v>0</v>
      </c>
      <c r="AP85" s="60">
        <f>ROUND(AO85*AN85*Input!$C$3/365,0)</f>
        <v>0</v>
      </c>
      <c r="AQ85" s="61">
        <f>IF($A85&lt;=Input!$C$6,0,IF('144M'!AM85&lt;'144M'!AO85,'144M'!AM85-AP85,'144M'!AO85))</f>
        <v>0</v>
      </c>
      <c r="AR85" s="61">
        <f t="shared" si="51"/>
        <v>0</v>
      </c>
      <c r="AS85" s="60">
        <f t="shared" si="52"/>
        <v>0</v>
      </c>
      <c r="AT85" s="193"/>
      <c r="AU85" s="169">
        <v>81</v>
      </c>
      <c r="AV85" s="1">
        <f t="shared" si="70"/>
        <v>47983</v>
      </c>
      <c r="AW85" s="60">
        <f>IF($X85&lt;Input!$H$88,IF($X85&lt;Input!$G$88,IF($X85&lt;Input!$F$88,IF($X85&lt;Input!$E$88,IF($X85&lt;Input!$D$88,Input!$C$94,Input!$D$94),Input!$E$94),Input!$F$94),Input!$G$94),Input!$H$94)</f>
        <v>0</v>
      </c>
      <c r="AX85" s="190">
        <f>IF($A85&lt;Input!$H$95,IF($A85&lt;Input!$G$95,IF($A85&lt;Input!$F$95,IF($A85&lt;Input!$E$95,IF($A85&lt;Input!$D$95,Input!$C$96,Input!$D$96),Input!$E$96),Input!$F$96),Input!$G$96),Input!$H$96)</f>
        <v>0.9</v>
      </c>
      <c r="AY85" s="60">
        <f t="shared" si="53"/>
        <v>0</v>
      </c>
      <c r="AZ85" s="60">
        <f t="shared" si="71"/>
        <v>30</v>
      </c>
      <c r="BA85" s="60">
        <f t="shared" si="54"/>
        <v>0</v>
      </c>
      <c r="BB85" s="60">
        <f>ROUND(BA85*AZ85*Input!$C$3/365,0)</f>
        <v>0</v>
      </c>
      <c r="BC85" s="61">
        <f>IF($A85&lt;=Input!$C$6,0,IF('144M'!AY85&lt;'144M'!BA85,'144M'!AY85-BB85,'144M'!BA85))</f>
        <v>0</v>
      </c>
      <c r="BD85" s="61">
        <f t="shared" si="55"/>
        <v>0</v>
      </c>
      <c r="BE85" s="60">
        <f t="shared" si="56"/>
        <v>0</v>
      </c>
      <c r="BF85" s="193"/>
      <c r="BG85" s="169">
        <v>81</v>
      </c>
      <c r="BH85" s="1">
        <f t="shared" si="72"/>
        <v>47983</v>
      </c>
      <c r="BI85" s="60">
        <f>IF($X85&lt;Input!$H$103,IF($X85&lt;Input!$G$103,IF($X85&lt;Input!$F$103,IF($X85&lt;Input!$E$103,IF($X85&lt;Input!$D$103,Input!$C$109,Input!$D$109),Input!$E$109),Input!$F$109),Input!$G$109),Input!$H$109)</f>
        <v>0</v>
      </c>
      <c r="BJ85" s="190">
        <f>IF($A85&lt;Input!$H$110,IF($A85&lt;Input!$G$110,IF($A85&lt;Input!$F$110,IF($A85&lt;Input!$E$110,IF($A85&lt;Input!$D$110,Input!$C$111,Input!$D$111),Input!$E$111),Input!$F$111),Input!$G$111),Input!$H$111)</f>
        <v>0.9</v>
      </c>
      <c r="BK85" s="60">
        <f t="shared" si="57"/>
        <v>0</v>
      </c>
      <c r="BL85" s="60">
        <f t="shared" si="73"/>
        <v>30</v>
      </c>
      <c r="BM85" s="60">
        <f t="shared" si="58"/>
        <v>0</v>
      </c>
      <c r="BN85" s="60">
        <f>ROUND(BM85*BL85*Input!$C$3/365,0)</f>
        <v>0</v>
      </c>
      <c r="BO85" s="61">
        <f>IF($A85&lt;=Input!$C$6,0,IF('144M'!BK85&lt;'144M'!BM85,'144M'!BK85-BN85,'144M'!BM85))</f>
        <v>0</v>
      </c>
      <c r="BP85" s="61">
        <f t="shared" si="59"/>
        <v>0</v>
      </c>
      <c r="BQ85" s="60">
        <f t="shared" si="60"/>
        <v>0</v>
      </c>
      <c r="BR85" s="198"/>
    </row>
    <row r="86" spans="1:70" x14ac:dyDescent="0.25">
      <c r="A86" s="169">
        <v>82</v>
      </c>
      <c r="B86" s="1">
        <f t="shared" si="61"/>
        <v>48014</v>
      </c>
      <c r="C86" s="60">
        <f t="shared" si="39"/>
        <v>21781574.999999996</v>
      </c>
      <c r="D86" s="60">
        <f t="shared" si="40"/>
        <v>19603417.499999996</v>
      </c>
      <c r="E86" s="60">
        <f t="shared" si="62"/>
        <v>31</v>
      </c>
      <c r="F86" s="60">
        <f t="shared" si="63"/>
        <v>520639849.5</v>
      </c>
      <c r="G86" s="60">
        <f>ROUND(F86*E86*Input!$C$3/365,0)</f>
        <v>6632809</v>
      </c>
      <c r="H86" s="60">
        <f>IF($A86&lt;=Input!$C$6,0,IF('144M'!D86&lt;'144M'!F86,'144M'!D86-G86,'144M'!F86))</f>
        <v>12970608.499999996</v>
      </c>
      <c r="I86" s="60">
        <f t="shared" si="64"/>
        <v>19603417.499999996</v>
      </c>
      <c r="J86" s="60">
        <f t="shared" si="65"/>
        <v>507669241</v>
      </c>
      <c r="K86" s="202">
        <f>J86/Input!$K$5</f>
        <v>1.6922308033333333</v>
      </c>
      <c r="L86" s="232"/>
      <c r="M86" s="60">
        <f>IF($B86&lt;Input!$H$43,IF($B86&lt;Input!$G$43,IF($B86&lt;Input!$F$43,IF($B86&lt;Input!$E$43,IF($B86&lt;Input!$D$43,Input!$C$49,Input!$D$49),Input!$E$49),Input!$F$49),Input!$G$49),Input!$H$49)</f>
        <v>21781574.999999996</v>
      </c>
      <c r="N86" s="190">
        <f>IF($A86&lt;Input!$H$50,IF($A86&lt;Input!$G$50,IF($A86&lt;Input!$F$50,IF($A86&lt;Input!$E$50,IF($A86&lt;Input!$D$50,Input!$C$51,Input!$D$51),Input!$E$51),Input!$F$51),Input!$G$51),Input!$H$51)</f>
        <v>0.9</v>
      </c>
      <c r="O86" s="60">
        <f t="shared" si="38"/>
        <v>19603417.499999996</v>
      </c>
      <c r="P86" s="60">
        <f t="shared" si="41"/>
        <v>31</v>
      </c>
      <c r="Q86" s="60">
        <f t="shared" si="42"/>
        <v>520639849.5</v>
      </c>
      <c r="R86" s="60">
        <f>ROUND(Q86*$P86*Input!$C$3/365,0)</f>
        <v>6632809</v>
      </c>
      <c r="S86" s="60">
        <f>IF(A86&lt;=Input!$C$6,0,IF('144M'!O86&lt;'144M'!Q86,'144M'!O86-R86,'144M'!Q86))</f>
        <v>12970608.499999996</v>
      </c>
      <c r="T86" s="60">
        <f t="shared" si="43"/>
        <v>19603417.499999996</v>
      </c>
      <c r="U86" s="60">
        <f t="shared" si="44"/>
        <v>507669241</v>
      </c>
      <c r="V86" s="193"/>
      <c r="W86" s="169">
        <v>82</v>
      </c>
      <c r="X86" s="1">
        <f t="shared" si="66"/>
        <v>48014</v>
      </c>
      <c r="Y86" s="60">
        <f>IF($X86&lt;Input!$H$58,IF($X86&lt;Input!$G$58,IF($X86&lt;Input!$F$58,IF($X86&lt;Input!$E$58,IF($X86&lt;Input!$D$58,Input!$C$64,Input!$D$64),Input!$E$64),Input!$F$64),Input!$G$64),Input!$H$64)</f>
        <v>0</v>
      </c>
      <c r="Z86" s="190">
        <f>IF($A86&lt;Input!$H$65,IF($A86&lt;Input!$G$65,IF($A86&lt;Input!$F$65,IF($A86&lt;Input!$E$65,IF($A86&lt;Input!$D$65,Input!$C$66,Input!$D$66),Input!$E$66),Input!$F$66),Input!$G$66),Input!$H$66)</f>
        <v>0.9</v>
      </c>
      <c r="AA86" s="60">
        <f t="shared" si="45"/>
        <v>0</v>
      </c>
      <c r="AB86" s="60">
        <f t="shared" si="67"/>
        <v>31</v>
      </c>
      <c r="AC86" s="60">
        <f t="shared" si="46"/>
        <v>0</v>
      </c>
      <c r="AD86" s="60">
        <f>ROUND(AC86*AB86*Input!$C$3/365,0)</f>
        <v>0</v>
      </c>
      <c r="AE86" s="61">
        <f>IF($A86&lt;=Input!$C$6,0,IF('144M'!AA86&lt;'144M'!AC86,'144M'!AA86-AD86,'144M'!AC86))</f>
        <v>0</v>
      </c>
      <c r="AF86" s="61">
        <f t="shared" si="47"/>
        <v>0</v>
      </c>
      <c r="AG86" s="60">
        <f t="shared" si="48"/>
        <v>0</v>
      </c>
      <c r="AH86" s="193"/>
      <c r="AI86" s="169">
        <v>82</v>
      </c>
      <c r="AJ86" s="1">
        <f t="shared" si="68"/>
        <v>48014</v>
      </c>
      <c r="AK86" s="60">
        <f>IF($X86&lt;Input!$H$73,IF($X86&lt;Input!$G$73,IF($X86&lt;Input!$F$73,IF($X86&lt;Input!$E$73,IF($X86&lt;Input!$D$73,Input!$C$79,Input!$D$79),Input!$E$79),Input!$F$79),Input!$G$79),Input!$H$79)</f>
        <v>0</v>
      </c>
      <c r="AL86" s="190">
        <f>IF($A86&lt;Input!$H$80,IF($A86&lt;Input!$G$80,IF($A86&lt;Input!$F$80,IF($A86&lt;Input!$E$80,IF($A86&lt;Input!$D$80,Input!$C$81,Input!$D$81),Input!$E$81),Input!$F$81),Input!$G$81),Input!$H$81)</f>
        <v>0.9</v>
      </c>
      <c r="AM86" s="60">
        <f t="shared" si="49"/>
        <v>0</v>
      </c>
      <c r="AN86" s="60">
        <f t="shared" si="69"/>
        <v>31</v>
      </c>
      <c r="AO86" s="60">
        <f t="shared" si="50"/>
        <v>0</v>
      </c>
      <c r="AP86" s="60">
        <f>ROUND(AO86*AN86*Input!$C$3/365,0)</f>
        <v>0</v>
      </c>
      <c r="AQ86" s="61">
        <f>IF($A86&lt;=Input!$C$6,0,IF('144M'!AM86&lt;'144M'!AO86,'144M'!AM86-AP86,'144M'!AO86))</f>
        <v>0</v>
      </c>
      <c r="AR86" s="61">
        <f t="shared" si="51"/>
        <v>0</v>
      </c>
      <c r="AS86" s="60">
        <f t="shared" si="52"/>
        <v>0</v>
      </c>
      <c r="AT86" s="193"/>
      <c r="AU86" s="169">
        <v>82</v>
      </c>
      <c r="AV86" s="1">
        <f t="shared" si="70"/>
        <v>48014</v>
      </c>
      <c r="AW86" s="60">
        <f>IF($X86&lt;Input!$H$88,IF($X86&lt;Input!$G$88,IF($X86&lt;Input!$F$88,IF($X86&lt;Input!$E$88,IF($X86&lt;Input!$D$88,Input!$C$94,Input!$D$94),Input!$E$94),Input!$F$94),Input!$G$94),Input!$H$94)</f>
        <v>0</v>
      </c>
      <c r="AX86" s="190">
        <f>IF($A86&lt;Input!$H$95,IF($A86&lt;Input!$G$95,IF($A86&lt;Input!$F$95,IF($A86&lt;Input!$E$95,IF($A86&lt;Input!$D$95,Input!$C$96,Input!$D$96),Input!$E$96),Input!$F$96),Input!$G$96),Input!$H$96)</f>
        <v>0.9</v>
      </c>
      <c r="AY86" s="60">
        <f t="shared" si="53"/>
        <v>0</v>
      </c>
      <c r="AZ86" s="60">
        <f t="shared" si="71"/>
        <v>31</v>
      </c>
      <c r="BA86" s="60">
        <f t="shared" si="54"/>
        <v>0</v>
      </c>
      <c r="BB86" s="60">
        <f>ROUND(BA86*AZ86*Input!$C$3/365,0)</f>
        <v>0</v>
      </c>
      <c r="BC86" s="61">
        <f>IF($A86&lt;=Input!$C$6,0,IF('144M'!AY86&lt;'144M'!BA86,'144M'!AY86-BB86,'144M'!BA86))</f>
        <v>0</v>
      </c>
      <c r="BD86" s="61">
        <f t="shared" si="55"/>
        <v>0</v>
      </c>
      <c r="BE86" s="60">
        <f t="shared" si="56"/>
        <v>0</v>
      </c>
      <c r="BF86" s="193"/>
      <c r="BG86" s="169">
        <v>82</v>
      </c>
      <c r="BH86" s="1">
        <f t="shared" si="72"/>
        <v>48014</v>
      </c>
      <c r="BI86" s="60">
        <f>IF($X86&lt;Input!$H$103,IF($X86&lt;Input!$G$103,IF($X86&lt;Input!$F$103,IF($X86&lt;Input!$E$103,IF($X86&lt;Input!$D$103,Input!$C$109,Input!$D$109),Input!$E$109),Input!$F$109),Input!$G$109),Input!$H$109)</f>
        <v>0</v>
      </c>
      <c r="BJ86" s="190">
        <f>IF($A86&lt;Input!$H$110,IF($A86&lt;Input!$G$110,IF($A86&lt;Input!$F$110,IF($A86&lt;Input!$E$110,IF($A86&lt;Input!$D$110,Input!$C$111,Input!$D$111),Input!$E$111),Input!$F$111),Input!$G$111),Input!$H$111)</f>
        <v>0.9</v>
      </c>
      <c r="BK86" s="60">
        <f t="shared" si="57"/>
        <v>0</v>
      </c>
      <c r="BL86" s="60">
        <f t="shared" si="73"/>
        <v>31</v>
      </c>
      <c r="BM86" s="60">
        <f t="shared" si="58"/>
        <v>0</v>
      </c>
      <c r="BN86" s="60">
        <f>ROUND(BM86*BL86*Input!$C$3/365,0)</f>
        <v>0</v>
      </c>
      <c r="BO86" s="61">
        <f>IF($A86&lt;=Input!$C$6,0,IF('144M'!BK86&lt;'144M'!BM86,'144M'!BK86-BN86,'144M'!BM86))</f>
        <v>0</v>
      </c>
      <c r="BP86" s="61">
        <f t="shared" si="59"/>
        <v>0</v>
      </c>
      <c r="BQ86" s="60">
        <f t="shared" si="60"/>
        <v>0</v>
      </c>
      <c r="BR86" s="198"/>
    </row>
    <row r="87" spans="1:70" x14ac:dyDescent="0.25">
      <c r="A87" s="169">
        <v>83</v>
      </c>
      <c r="B87" s="1">
        <f t="shared" si="61"/>
        <v>48044</v>
      </c>
      <c r="C87" s="60">
        <f t="shared" si="39"/>
        <v>21781574.999999996</v>
      </c>
      <c r="D87" s="60">
        <f t="shared" si="40"/>
        <v>19603417.499999996</v>
      </c>
      <c r="E87" s="60">
        <f t="shared" si="62"/>
        <v>30</v>
      </c>
      <c r="F87" s="60">
        <f t="shared" si="63"/>
        <v>507669241</v>
      </c>
      <c r="G87" s="60">
        <f>ROUND(F87*E87*Input!$C$3/365,0)</f>
        <v>6258936</v>
      </c>
      <c r="H87" s="60">
        <f>IF($A87&lt;=Input!$C$6,0,IF('144M'!D87&lt;'144M'!F87,'144M'!D87-G87,'144M'!F87))</f>
        <v>13344481.499999996</v>
      </c>
      <c r="I87" s="60">
        <f t="shared" si="64"/>
        <v>19603417.499999996</v>
      </c>
      <c r="J87" s="60">
        <f t="shared" si="65"/>
        <v>494324759.5</v>
      </c>
      <c r="K87" s="202">
        <f>J87/Input!$K$5</f>
        <v>1.6477491983333334</v>
      </c>
      <c r="L87" s="232"/>
      <c r="M87" s="60">
        <f>IF($B87&lt;Input!$H$43,IF($B87&lt;Input!$G$43,IF($B87&lt;Input!$F$43,IF($B87&lt;Input!$E$43,IF($B87&lt;Input!$D$43,Input!$C$49,Input!$D$49),Input!$E$49),Input!$F$49),Input!$G$49),Input!$H$49)</f>
        <v>21781574.999999996</v>
      </c>
      <c r="N87" s="190">
        <f>IF($A87&lt;Input!$H$50,IF($A87&lt;Input!$G$50,IF($A87&lt;Input!$F$50,IF($A87&lt;Input!$E$50,IF($A87&lt;Input!$D$50,Input!$C$51,Input!$D$51),Input!$E$51),Input!$F$51),Input!$G$51),Input!$H$51)</f>
        <v>0.9</v>
      </c>
      <c r="O87" s="60">
        <f t="shared" si="38"/>
        <v>19603417.499999996</v>
      </c>
      <c r="P87" s="60">
        <f t="shared" si="41"/>
        <v>30</v>
      </c>
      <c r="Q87" s="60">
        <f t="shared" si="42"/>
        <v>507669241</v>
      </c>
      <c r="R87" s="60">
        <f>ROUND(Q87*$P87*Input!$C$3/365,0)</f>
        <v>6258936</v>
      </c>
      <c r="S87" s="60">
        <f>IF(A87&lt;=Input!$C$6,0,IF('144M'!O87&lt;'144M'!Q87,'144M'!O87-R87,'144M'!Q87))</f>
        <v>13344481.499999996</v>
      </c>
      <c r="T87" s="60">
        <f t="shared" si="43"/>
        <v>19603417.499999996</v>
      </c>
      <c r="U87" s="60">
        <f t="shared" si="44"/>
        <v>494324759.5</v>
      </c>
      <c r="V87" s="193"/>
      <c r="W87" s="169">
        <v>83</v>
      </c>
      <c r="X87" s="1">
        <f t="shared" si="66"/>
        <v>48044</v>
      </c>
      <c r="Y87" s="60">
        <f>IF($X87&lt;Input!$H$58,IF($X87&lt;Input!$G$58,IF($X87&lt;Input!$F$58,IF($X87&lt;Input!$E$58,IF($X87&lt;Input!$D$58,Input!$C$64,Input!$D$64),Input!$E$64),Input!$F$64),Input!$G$64),Input!$H$64)</f>
        <v>0</v>
      </c>
      <c r="Z87" s="190">
        <f>IF($A87&lt;Input!$H$65,IF($A87&lt;Input!$G$65,IF($A87&lt;Input!$F$65,IF($A87&lt;Input!$E$65,IF($A87&lt;Input!$D$65,Input!$C$66,Input!$D$66),Input!$E$66),Input!$F$66),Input!$G$66),Input!$H$66)</f>
        <v>0.9</v>
      </c>
      <c r="AA87" s="60">
        <f t="shared" si="45"/>
        <v>0</v>
      </c>
      <c r="AB87" s="60">
        <f t="shared" si="67"/>
        <v>30</v>
      </c>
      <c r="AC87" s="60">
        <f t="shared" si="46"/>
        <v>0</v>
      </c>
      <c r="AD87" s="60">
        <f>ROUND(AC87*AB87*Input!$C$3/365,0)</f>
        <v>0</v>
      </c>
      <c r="AE87" s="61">
        <f>IF($A87&lt;=Input!$C$6,0,IF('144M'!AA87&lt;'144M'!AC87,'144M'!AA87-AD87,'144M'!AC87))</f>
        <v>0</v>
      </c>
      <c r="AF87" s="61">
        <f t="shared" si="47"/>
        <v>0</v>
      </c>
      <c r="AG87" s="60">
        <f t="shared" si="48"/>
        <v>0</v>
      </c>
      <c r="AH87" s="193"/>
      <c r="AI87" s="169">
        <v>83</v>
      </c>
      <c r="AJ87" s="1">
        <f t="shared" si="68"/>
        <v>48044</v>
      </c>
      <c r="AK87" s="60">
        <f>IF($X87&lt;Input!$H$73,IF($X87&lt;Input!$G$73,IF($X87&lt;Input!$F$73,IF($X87&lt;Input!$E$73,IF($X87&lt;Input!$D$73,Input!$C$79,Input!$D$79),Input!$E$79),Input!$F$79),Input!$G$79),Input!$H$79)</f>
        <v>0</v>
      </c>
      <c r="AL87" s="190">
        <f>IF($A87&lt;Input!$H$80,IF($A87&lt;Input!$G$80,IF($A87&lt;Input!$F$80,IF($A87&lt;Input!$E$80,IF($A87&lt;Input!$D$80,Input!$C$81,Input!$D$81),Input!$E$81),Input!$F$81),Input!$G$81),Input!$H$81)</f>
        <v>0.9</v>
      </c>
      <c r="AM87" s="60">
        <f t="shared" si="49"/>
        <v>0</v>
      </c>
      <c r="AN87" s="60">
        <f t="shared" si="69"/>
        <v>30</v>
      </c>
      <c r="AO87" s="60">
        <f t="shared" si="50"/>
        <v>0</v>
      </c>
      <c r="AP87" s="60">
        <f>ROUND(AO87*AN87*Input!$C$3/365,0)</f>
        <v>0</v>
      </c>
      <c r="AQ87" s="61">
        <f>IF($A87&lt;=Input!$C$6,0,IF('144M'!AM87&lt;'144M'!AO87,'144M'!AM87-AP87,'144M'!AO87))</f>
        <v>0</v>
      </c>
      <c r="AR87" s="61">
        <f t="shared" si="51"/>
        <v>0</v>
      </c>
      <c r="AS87" s="60">
        <f t="shared" si="52"/>
        <v>0</v>
      </c>
      <c r="AT87" s="193"/>
      <c r="AU87" s="169">
        <v>83</v>
      </c>
      <c r="AV87" s="1">
        <f t="shared" si="70"/>
        <v>48044</v>
      </c>
      <c r="AW87" s="60">
        <f>IF($X87&lt;Input!$H$88,IF($X87&lt;Input!$G$88,IF($X87&lt;Input!$F$88,IF($X87&lt;Input!$E$88,IF($X87&lt;Input!$D$88,Input!$C$94,Input!$D$94),Input!$E$94),Input!$F$94),Input!$G$94),Input!$H$94)</f>
        <v>0</v>
      </c>
      <c r="AX87" s="190">
        <f>IF($A87&lt;Input!$H$95,IF($A87&lt;Input!$G$95,IF($A87&lt;Input!$F$95,IF($A87&lt;Input!$E$95,IF($A87&lt;Input!$D$95,Input!$C$96,Input!$D$96),Input!$E$96),Input!$F$96),Input!$G$96),Input!$H$96)</f>
        <v>0.9</v>
      </c>
      <c r="AY87" s="60">
        <f t="shared" si="53"/>
        <v>0</v>
      </c>
      <c r="AZ87" s="60">
        <f t="shared" si="71"/>
        <v>30</v>
      </c>
      <c r="BA87" s="60">
        <f t="shared" si="54"/>
        <v>0</v>
      </c>
      <c r="BB87" s="60">
        <f>ROUND(BA87*AZ87*Input!$C$3/365,0)</f>
        <v>0</v>
      </c>
      <c r="BC87" s="61">
        <f>IF($A87&lt;=Input!$C$6,0,IF('144M'!AY87&lt;'144M'!BA87,'144M'!AY87-BB87,'144M'!BA87))</f>
        <v>0</v>
      </c>
      <c r="BD87" s="61">
        <f t="shared" si="55"/>
        <v>0</v>
      </c>
      <c r="BE87" s="60">
        <f t="shared" si="56"/>
        <v>0</v>
      </c>
      <c r="BF87" s="193"/>
      <c r="BG87" s="169">
        <v>83</v>
      </c>
      <c r="BH87" s="1">
        <f t="shared" si="72"/>
        <v>48044</v>
      </c>
      <c r="BI87" s="60">
        <f>IF($X87&lt;Input!$H$103,IF($X87&lt;Input!$G$103,IF($X87&lt;Input!$F$103,IF($X87&lt;Input!$E$103,IF($X87&lt;Input!$D$103,Input!$C$109,Input!$D$109),Input!$E$109),Input!$F$109),Input!$G$109),Input!$H$109)</f>
        <v>0</v>
      </c>
      <c r="BJ87" s="190">
        <f>IF($A87&lt;Input!$H$110,IF($A87&lt;Input!$G$110,IF($A87&lt;Input!$F$110,IF($A87&lt;Input!$E$110,IF($A87&lt;Input!$D$110,Input!$C$111,Input!$D$111),Input!$E$111),Input!$F$111),Input!$G$111),Input!$H$111)</f>
        <v>0.9</v>
      </c>
      <c r="BK87" s="60">
        <f t="shared" si="57"/>
        <v>0</v>
      </c>
      <c r="BL87" s="60">
        <f t="shared" si="73"/>
        <v>30</v>
      </c>
      <c r="BM87" s="60">
        <f t="shared" si="58"/>
        <v>0</v>
      </c>
      <c r="BN87" s="60">
        <f>ROUND(BM87*BL87*Input!$C$3/365,0)</f>
        <v>0</v>
      </c>
      <c r="BO87" s="61">
        <f>IF($A87&lt;=Input!$C$6,0,IF('144M'!BK87&lt;'144M'!BM87,'144M'!BK87-BN87,'144M'!BM87))</f>
        <v>0</v>
      </c>
      <c r="BP87" s="61">
        <f t="shared" si="59"/>
        <v>0</v>
      </c>
      <c r="BQ87" s="60">
        <f t="shared" si="60"/>
        <v>0</v>
      </c>
      <c r="BR87" s="198"/>
    </row>
    <row r="88" spans="1:70" x14ac:dyDescent="0.25">
      <c r="A88" s="169">
        <v>84</v>
      </c>
      <c r="B88" s="1">
        <f t="shared" si="61"/>
        <v>48075</v>
      </c>
      <c r="C88" s="60">
        <f t="shared" si="39"/>
        <v>21781574.999999996</v>
      </c>
      <c r="D88" s="60">
        <f t="shared" si="40"/>
        <v>19603417.499999996</v>
      </c>
      <c r="E88" s="60">
        <f t="shared" si="62"/>
        <v>31</v>
      </c>
      <c r="F88" s="60">
        <f t="shared" si="63"/>
        <v>494324759.5</v>
      </c>
      <c r="G88" s="60">
        <f>ROUND(F88*E88*Input!$C$3/365,0)</f>
        <v>6297562</v>
      </c>
      <c r="H88" s="60">
        <f>IF($A88&lt;=Input!$C$6,0,IF('144M'!D88&lt;'144M'!F88,'144M'!D88-G88,'144M'!F88))</f>
        <v>13305855.499999996</v>
      </c>
      <c r="I88" s="60">
        <f t="shared" si="64"/>
        <v>19603417.499999996</v>
      </c>
      <c r="J88" s="60">
        <f t="shared" si="65"/>
        <v>481018904</v>
      </c>
      <c r="K88" s="202">
        <f>J88/Input!$K$5</f>
        <v>1.6033963466666667</v>
      </c>
      <c r="L88" s="232"/>
      <c r="M88" s="60">
        <f>IF($B88&lt;Input!$H$43,IF($B88&lt;Input!$G$43,IF($B88&lt;Input!$F$43,IF($B88&lt;Input!$E$43,IF($B88&lt;Input!$D$43,Input!$C$49,Input!$D$49),Input!$E$49),Input!$F$49),Input!$G$49),Input!$H$49)</f>
        <v>21781574.999999996</v>
      </c>
      <c r="N88" s="190">
        <f>IF($A88&lt;Input!$H$50,IF($A88&lt;Input!$G$50,IF($A88&lt;Input!$F$50,IF($A88&lt;Input!$E$50,IF($A88&lt;Input!$D$50,Input!$C$51,Input!$D$51),Input!$E$51),Input!$F$51),Input!$G$51),Input!$H$51)</f>
        <v>0.9</v>
      </c>
      <c r="O88" s="60">
        <f t="shared" si="38"/>
        <v>19603417.499999996</v>
      </c>
      <c r="P88" s="60">
        <f t="shared" si="41"/>
        <v>31</v>
      </c>
      <c r="Q88" s="60">
        <f t="shared" si="42"/>
        <v>494324759.5</v>
      </c>
      <c r="R88" s="60">
        <f>ROUND(Q88*$P88*Input!$C$3/365,0)</f>
        <v>6297562</v>
      </c>
      <c r="S88" s="60">
        <f>IF(A88&lt;=Input!$C$6,0,IF('144M'!O88&lt;'144M'!Q88,'144M'!O88-R88,'144M'!Q88))</f>
        <v>13305855.499999996</v>
      </c>
      <c r="T88" s="60">
        <f t="shared" si="43"/>
        <v>19603417.499999996</v>
      </c>
      <c r="U88" s="60">
        <f t="shared" si="44"/>
        <v>481018904</v>
      </c>
      <c r="V88" s="193"/>
      <c r="W88" s="169">
        <v>84</v>
      </c>
      <c r="X88" s="1">
        <f t="shared" si="66"/>
        <v>48075</v>
      </c>
      <c r="Y88" s="60">
        <f>IF($X88&lt;Input!$H$58,IF($X88&lt;Input!$G$58,IF($X88&lt;Input!$F$58,IF($X88&lt;Input!$E$58,IF($X88&lt;Input!$D$58,Input!$C$64,Input!$D$64),Input!$E$64),Input!$F$64),Input!$G$64),Input!$H$64)</f>
        <v>0</v>
      </c>
      <c r="Z88" s="190">
        <f>IF($A88&lt;Input!$H$65,IF($A88&lt;Input!$G$65,IF($A88&lt;Input!$F$65,IF($A88&lt;Input!$E$65,IF($A88&lt;Input!$D$65,Input!$C$66,Input!$D$66),Input!$E$66),Input!$F$66),Input!$G$66),Input!$H$66)</f>
        <v>0.9</v>
      </c>
      <c r="AA88" s="60">
        <f t="shared" si="45"/>
        <v>0</v>
      </c>
      <c r="AB88" s="60">
        <f t="shared" si="67"/>
        <v>31</v>
      </c>
      <c r="AC88" s="60">
        <f t="shared" si="46"/>
        <v>0</v>
      </c>
      <c r="AD88" s="60">
        <f>ROUND(AC88*AB88*Input!$C$3/365,0)</f>
        <v>0</v>
      </c>
      <c r="AE88" s="61">
        <f>IF($A88&lt;=Input!$C$6,0,IF('144M'!AA88&lt;'144M'!AC88,'144M'!AA88-AD88,'144M'!AC88))</f>
        <v>0</v>
      </c>
      <c r="AF88" s="61">
        <f t="shared" si="47"/>
        <v>0</v>
      </c>
      <c r="AG88" s="60">
        <f t="shared" si="48"/>
        <v>0</v>
      </c>
      <c r="AH88" s="193"/>
      <c r="AI88" s="169">
        <v>84</v>
      </c>
      <c r="AJ88" s="1">
        <f t="shared" si="68"/>
        <v>48075</v>
      </c>
      <c r="AK88" s="60">
        <f>IF($X88&lt;Input!$H$73,IF($X88&lt;Input!$G$73,IF($X88&lt;Input!$F$73,IF($X88&lt;Input!$E$73,IF($X88&lt;Input!$D$73,Input!$C$79,Input!$D$79),Input!$E$79),Input!$F$79),Input!$G$79),Input!$H$79)</f>
        <v>0</v>
      </c>
      <c r="AL88" s="190">
        <f>IF($A88&lt;Input!$H$80,IF($A88&lt;Input!$G$80,IF($A88&lt;Input!$F$80,IF($A88&lt;Input!$E$80,IF($A88&lt;Input!$D$80,Input!$C$81,Input!$D$81),Input!$E$81),Input!$F$81),Input!$G$81),Input!$H$81)</f>
        <v>0.9</v>
      </c>
      <c r="AM88" s="60">
        <f t="shared" si="49"/>
        <v>0</v>
      </c>
      <c r="AN88" s="60">
        <f t="shared" si="69"/>
        <v>31</v>
      </c>
      <c r="AO88" s="60">
        <f t="shared" si="50"/>
        <v>0</v>
      </c>
      <c r="AP88" s="60">
        <f>ROUND(AO88*AN88*Input!$C$3/365,0)</f>
        <v>0</v>
      </c>
      <c r="AQ88" s="61">
        <f>IF($A88&lt;=Input!$C$6,0,IF('144M'!AM88&lt;'144M'!AO88,'144M'!AM88-AP88,'144M'!AO88))</f>
        <v>0</v>
      </c>
      <c r="AR88" s="61">
        <f t="shared" si="51"/>
        <v>0</v>
      </c>
      <c r="AS88" s="60">
        <f t="shared" si="52"/>
        <v>0</v>
      </c>
      <c r="AT88" s="193"/>
      <c r="AU88" s="169">
        <v>84</v>
      </c>
      <c r="AV88" s="1">
        <f t="shared" si="70"/>
        <v>48075</v>
      </c>
      <c r="AW88" s="60">
        <f>IF($X88&lt;Input!$H$88,IF($X88&lt;Input!$G$88,IF($X88&lt;Input!$F$88,IF($X88&lt;Input!$E$88,IF($X88&lt;Input!$D$88,Input!$C$94,Input!$D$94),Input!$E$94),Input!$F$94),Input!$G$94),Input!$H$94)</f>
        <v>0</v>
      </c>
      <c r="AX88" s="190">
        <f>IF($A88&lt;Input!$H$95,IF($A88&lt;Input!$G$95,IF($A88&lt;Input!$F$95,IF($A88&lt;Input!$E$95,IF($A88&lt;Input!$D$95,Input!$C$96,Input!$D$96),Input!$E$96),Input!$F$96),Input!$G$96),Input!$H$96)</f>
        <v>0.9</v>
      </c>
      <c r="AY88" s="60">
        <f t="shared" si="53"/>
        <v>0</v>
      </c>
      <c r="AZ88" s="60">
        <f t="shared" si="71"/>
        <v>31</v>
      </c>
      <c r="BA88" s="60">
        <f t="shared" si="54"/>
        <v>0</v>
      </c>
      <c r="BB88" s="60">
        <f>ROUND(BA88*AZ88*Input!$C$3/365,0)</f>
        <v>0</v>
      </c>
      <c r="BC88" s="61">
        <f>IF($A88&lt;=Input!$C$6,0,IF('144M'!AY88&lt;'144M'!BA88,'144M'!AY88-BB88,'144M'!BA88))</f>
        <v>0</v>
      </c>
      <c r="BD88" s="61">
        <f t="shared" si="55"/>
        <v>0</v>
      </c>
      <c r="BE88" s="60">
        <f t="shared" si="56"/>
        <v>0</v>
      </c>
      <c r="BF88" s="193"/>
      <c r="BG88" s="169">
        <v>84</v>
      </c>
      <c r="BH88" s="1">
        <f t="shared" si="72"/>
        <v>48075</v>
      </c>
      <c r="BI88" s="60">
        <f>IF($X88&lt;Input!$H$103,IF($X88&lt;Input!$G$103,IF($X88&lt;Input!$F$103,IF($X88&lt;Input!$E$103,IF($X88&lt;Input!$D$103,Input!$C$109,Input!$D$109),Input!$E$109),Input!$F$109),Input!$G$109),Input!$H$109)</f>
        <v>0</v>
      </c>
      <c r="BJ88" s="190">
        <f>IF($A88&lt;Input!$H$110,IF($A88&lt;Input!$G$110,IF($A88&lt;Input!$F$110,IF($A88&lt;Input!$E$110,IF($A88&lt;Input!$D$110,Input!$C$111,Input!$D$111),Input!$E$111),Input!$F$111),Input!$G$111),Input!$H$111)</f>
        <v>0.9</v>
      </c>
      <c r="BK88" s="60">
        <f t="shared" si="57"/>
        <v>0</v>
      </c>
      <c r="BL88" s="60">
        <f t="shared" si="73"/>
        <v>31</v>
      </c>
      <c r="BM88" s="60">
        <f t="shared" si="58"/>
        <v>0</v>
      </c>
      <c r="BN88" s="60">
        <f>ROUND(BM88*BL88*Input!$C$3/365,0)</f>
        <v>0</v>
      </c>
      <c r="BO88" s="61">
        <f>IF($A88&lt;=Input!$C$6,0,IF('144M'!BK88&lt;'144M'!BM88,'144M'!BK88-BN88,'144M'!BM88))</f>
        <v>0</v>
      </c>
      <c r="BP88" s="61">
        <f t="shared" si="59"/>
        <v>0</v>
      </c>
      <c r="BQ88" s="60">
        <f t="shared" si="60"/>
        <v>0</v>
      </c>
      <c r="BR88" s="198"/>
    </row>
    <row r="89" spans="1:70" x14ac:dyDescent="0.25">
      <c r="A89" s="169">
        <v>85</v>
      </c>
      <c r="B89" s="1">
        <f t="shared" si="61"/>
        <v>48106</v>
      </c>
      <c r="C89" s="60">
        <f t="shared" si="39"/>
        <v>21781574.999999996</v>
      </c>
      <c r="D89" s="60">
        <f t="shared" si="40"/>
        <v>19603417.499999996</v>
      </c>
      <c r="E89" s="60">
        <f t="shared" si="62"/>
        <v>31</v>
      </c>
      <c r="F89" s="60">
        <f t="shared" si="63"/>
        <v>481018904</v>
      </c>
      <c r="G89" s="60">
        <f>ROUND(F89*E89*Input!$C$3/365,0)</f>
        <v>6128049</v>
      </c>
      <c r="H89" s="60">
        <f>IF($A89&lt;=Input!$C$6,0,IF('144M'!D89&lt;'144M'!F89,'144M'!D89-G89,'144M'!F89))</f>
        <v>13475368.499999996</v>
      </c>
      <c r="I89" s="60">
        <f t="shared" si="64"/>
        <v>19603417.499999996</v>
      </c>
      <c r="J89" s="60">
        <f t="shared" si="65"/>
        <v>467543535.5</v>
      </c>
      <c r="K89" s="202">
        <f>J89/Input!$K$5</f>
        <v>1.5584784516666668</v>
      </c>
      <c r="L89" s="232"/>
      <c r="M89" s="60">
        <f>IF($B89&lt;Input!$H$43,IF($B89&lt;Input!$G$43,IF($B89&lt;Input!$F$43,IF($B89&lt;Input!$E$43,IF($B89&lt;Input!$D$43,Input!$C$49,Input!$D$49),Input!$E$49),Input!$F$49),Input!$G$49),Input!$H$49)</f>
        <v>21781574.999999996</v>
      </c>
      <c r="N89" s="190">
        <f>IF($A89&lt;Input!$H$50,IF($A89&lt;Input!$G$50,IF($A89&lt;Input!$F$50,IF($A89&lt;Input!$E$50,IF($A89&lt;Input!$D$50,Input!$C$51,Input!$D$51),Input!$E$51),Input!$F$51),Input!$G$51),Input!$H$51)</f>
        <v>0.9</v>
      </c>
      <c r="O89" s="60">
        <f t="shared" si="38"/>
        <v>19603417.499999996</v>
      </c>
      <c r="P89" s="60">
        <f t="shared" si="41"/>
        <v>31</v>
      </c>
      <c r="Q89" s="60">
        <f t="shared" si="42"/>
        <v>481018904</v>
      </c>
      <c r="R89" s="60">
        <f>ROUND(Q89*$P89*Input!$C$3/365,0)</f>
        <v>6128049</v>
      </c>
      <c r="S89" s="60">
        <f>IF(A89&lt;=Input!$C$6,0,IF('144M'!O89&lt;'144M'!Q89,'144M'!O89-R89,'144M'!Q89))</f>
        <v>13475368.499999996</v>
      </c>
      <c r="T89" s="60">
        <f t="shared" si="43"/>
        <v>19603417.499999996</v>
      </c>
      <c r="U89" s="60">
        <f t="shared" si="44"/>
        <v>467543535.5</v>
      </c>
      <c r="V89" s="193"/>
      <c r="W89" s="169">
        <v>85</v>
      </c>
      <c r="X89" s="1">
        <f t="shared" si="66"/>
        <v>48106</v>
      </c>
      <c r="Y89" s="60">
        <f>IF($X89&lt;Input!$H$58,IF($X89&lt;Input!$G$58,IF($X89&lt;Input!$F$58,IF($X89&lt;Input!$E$58,IF($X89&lt;Input!$D$58,Input!$C$64,Input!$D$64),Input!$E$64),Input!$F$64),Input!$G$64),Input!$H$64)</f>
        <v>0</v>
      </c>
      <c r="Z89" s="190">
        <f>IF($A89&lt;Input!$H$65,IF($A89&lt;Input!$G$65,IF($A89&lt;Input!$F$65,IF($A89&lt;Input!$E$65,IF($A89&lt;Input!$D$65,Input!$C$66,Input!$D$66),Input!$E$66),Input!$F$66),Input!$G$66),Input!$H$66)</f>
        <v>0.9</v>
      </c>
      <c r="AA89" s="60">
        <f t="shared" si="45"/>
        <v>0</v>
      </c>
      <c r="AB89" s="60">
        <f t="shared" si="67"/>
        <v>31</v>
      </c>
      <c r="AC89" s="60">
        <f t="shared" si="46"/>
        <v>0</v>
      </c>
      <c r="AD89" s="60">
        <f>ROUND(AC89*AB89*Input!$C$3/365,0)</f>
        <v>0</v>
      </c>
      <c r="AE89" s="61">
        <f>IF($A89&lt;=Input!$C$6,0,IF('144M'!AA89&lt;'144M'!AC89,'144M'!AA89-AD89,'144M'!AC89))</f>
        <v>0</v>
      </c>
      <c r="AF89" s="61">
        <f t="shared" si="47"/>
        <v>0</v>
      </c>
      <c r="AG89" s="60">
        <f t="shared" si="48"/>
        <v>0</v>
      </c>
      <c r="AH89" s="193"/>
      <c r="AI89" s="169">
        <v>85</v>
      </c>
      <c r="AJ89" s="1">
        <f t="shared" si="68"/>
        <v>48106</v>
      </c>
      <c r="AK89" s="60">
        <f>IF($X89&lt;Input!$H$73,IF($X89&lt;Input!$G$73,IF($X89&lt;Input!$F$73,IF($X89&lt;Input!$E$73,IF($X89&lt;Input!$D$73,Input!$C$79,Input!$D$79),Input!$E$79),Input!$F$79),Input!$G$79),Input!$H$79)</f>
        <v>0</v>
      </c>
      <c r="AL89" s="190">
        <f>IF($A89&lt;Input!$H$80,IF($A89&lt;Input!$G$80,IF($A89&lt;Input!$F$80,IF($A89&lt;Input!$E$80,IF($A89&lt;Input!$D$80,Input!$C$81,Input!$D$81),Input!$E$81),Input!$F$81),Input!$G$81),Input!$H$81)</f>
        <v>0.9</v>
      </c>
      <c r="AM89" s="60">
        <f t="shared" si="49"/>
        <v>0</v>
      </c>
      <c r="AN89" s="60">
        <f t="shared" si="69"/>
        <v>31</v>
      </c>
      <c r="AO89" s="60">
        <f t="shared" si="50"/>
        <v>0</v>
      </c>
      <c r="AP89" s="60">
        <f>ROUND(AO89*AN89*Input!$C$3/365,0)</f>
        <v>0</v>
      </c>
      <c r="AQ89" s="61">
        <f>IF($A89&lt;=Input!$C$6,0,IF('144M'!AM89&lt;'144M'!AO89,'144M'!AM89-AP89,'144M'!AO89))</f>
        <v>0</v>
      </c>
      <c r="AR89" s="61">
        <f t="shared" si="51"/>
        <v>0</v>
      </c>
      <c r="AS89" s="60">
        <f t="shared" si="52"/>
        <v>0</v>
      </c>
      <c r="AT89" s="193"/>
      <c r="AU89" s="169">
        <v>85</v>
      </c>
      <c r="AV89" s="1">
        <f t="shared" si="70"/>
        <v>48106</v>
      </c>
      <c r="AW89" s="60">
        <f>IF($X89&lt;Input!$H$88,IF($X89&lt;Input!$G$88,IF($X89&lt;Input!$F$88,IF($X89&lt;Input!$E$88,IF($X89&lt;Input!$D$88,Input!$C$94,Input!$D$94),Input!$E$94),Input!$F$94),Input!$G$94),Input!$H$94)</f>
        <v>0</v>
      </c>
      <c r="AX89" s="190">
        <f>IF($A89&lt;Input!$H$95,IF($A89&lt;Input!$G$95,IF($A89&lt;Input!$F$95,IF($A89&lt;Input!$E$95,IF($A89&lt;Input!$D$95,Input!$C$96,Input!$D$96),Input!$E$96),Input!$F$96),Input!$G$96),Input!$H$96)</f>
        <v>0.9</v>
      </c>
      <c r="AY89" s="60">
        <f t="shared" si="53"/>
        <v>0</v>
      </c>
      <c r="AZ89" s="60">
        <f t="shared" si="71"/>
        <v>31</v>
      </c>
      <c r="BA89" s="60">
        <f t="shared" si="54"/>
        <v>0</v>
      </c>
      <c r="BB89" s="60">
        <f>ROUND(BA89*AZ89*Input!$C$3/365,0)</f>
        <v>0</v>
      </c>
      <c r="BC89" s="61">
        <f>IF($A89&lt;=Input!$C$6,0,IF('144M'!AY89&lt;'144M'!BA89,'144M'!AY89-BB89,'144M'!BA89))</f>
        <v>0</v>
      </c>
      <c r="BD89" s="61">
        <f t="shared" si="55"/>
        <v>0</v>
      </c>
      <c r="BE89" s="60">
        <f t="shared" si="56"/>
        <v>0</v>
      </c>
      <c r="BF89" s="193"/>
      <c r="BG89" s="169">
        <v>85</v>
      </c>
      <c r="BH89" s="1">
        <f t="shared" si="72"/>
        <v>48106</v>
      </c>
      <c r="BI89" s="60">
        <f>IF($X89&lt;Input!$H$103,IF($X89&lt;Input!$G$103,IF($X89&lt;Input!$F$103,IF($X89&lt;Input!$E$103,IF($X89&lt;Input!$D$103,Input!$C$109,Input!$D$109),Input!$E$109),Input!$F$109),Input!$G$109),Input!$H$109)</f>
        <v>0</v>
      </c>
      <c r="BJ89" s="190">
        <f>IF($A89&lt;Input!$H$110,IF($A89&lt;Input!$G$110,IF($A89&lt;Input!$F$110,IF($A89&lt;Input!$E$110,IF($A89&lt;Input!$D$110,Input!$C$111,Input!$D$111),Input!$E$111),Input!$F$111),Input!$G$111),Input!$H$111)</f>
        <v>0.9</v>
      </c>
      <c r="BK89" s="60">
        <f t="shared" si="57"/>
        <v>0</v>
      </c>
      <c r="BL89" s="60">
        <f t="shared" si="73"/>
        <v>31</v>
      </c>
      <c r="BM89" s="60">
        <f t="shared" si="58"/>
        <v>0</v>
      </c>
      <c r="BN89" s="60">
        <f>ROUND(BM89*BL89*Input!$C$3/365,0)</f>
        <v>0</v>
      </c>
      <c r="BO89" s="61">
        <f>IF($A89&lt;=Input!$C$6,0,IF('144M'!BK89&lt;'144M'!BM89,'144M'!BK89-BN89,'144M'!BM89))</f>
        <v>0</v>
      </c>
      <c r="BP89" s="61">
        <f t="shared" si="59"/>
        <v>0</v>
      </c>
      <c r="BQ89" s="60">
        <f t="shared" si="60"/>
        <v>0</v>
      </c>
      <c r="BR89" s="198"/>
    </row>
    <row r="90" spans="1:70" x14ac:dyDescent="0.25">
      <c r="A90" s="169">
        <v>86</v>
      </c>
      <c r="B90" s="1">
        <f t="shared" si="61"/>
        <v>48136</v>
      </c>
      <c r="C90" s="60">
        <f t="shared" si="39"/>
        <v>21781574.999999996</v>
      </c>
      <c r="D90" s="60">
        <f t="shared" si="40"/>
        <v>19603417.499999996</v>
      </c>
      <c r="E90" s="60">
        <f t="shared" si="62"/>
        <v>30</v>
      </c>
      <c r="F90" s="60">
        <f t="shared" si="63"/>
        <v>467543535.5</v>
      </c>
      <c r="G90" s="60">
        <f>ROUND(F90*E90*Input!$C$3/365,0)</f>
        <v>5764235</v>
      </c>
      <c r="H90" s="60">
        <f>IF($A90&lt;=Input!$C$6,0,IF('144M'!D90&lt;'144M'!F90,'144M'!D90-G90,'144M'!F90))</f>
        <v>13839182.499999996</v>
      </c>
      <c r="I90" s="60">
        <f t="shared" si="64"/>
        <v>19603417.499999996</v>
      </c>
      <c r="J90" s="60">
        <f t="shared" si="65"/>
        <v>453704353</v>
      </c>
      <c r="K90" s="202">
        <f>J90/Input!$K$5</f>
        <v>1.5123478433333333</v>
      </c>
      <c r="L90" s="232"/>
      <c r="M90" s="60">
        <f>IF($B90&lt;Input!$H$43,IF($B90&lt;Input!$G$43,IF($B90&lt;Input!$F$43,IF($B90&lt;Input!$E$43,IF($B90&lt;Input!$D$43,Input!$C$49,Input!$D$49),Input!$E$49),Input!$F$49),Input!$G$49),Input!$H$49)</f>
        <v>21781574.999999996</v>
      </c>
      <c r="N90" s="190">
        <f>IF($A90&lt;Input!$H$50,IF($A90&lt;Input!$G$50,IF($A90&lt;Input!$F$50,IF($A90&lt;Input!$E$50,IF($A90&lt;Input!$D$50,Input!$C$51,Input!$D$51),Input!$E$51),Input!$F$51),Input!$G$51),Input!$H$51)</f>
        <v>0.9</v>
      </c>
      <c r="O90" s="60">
        <f t="shared" si="38"/>
        <v>19603417.499999996</v>
      </c>
      <c r="P90" s="60">
        <f t="shared" si="41"/>
        <v>30</v>
      </c>
      <c r="Q90" s="60">
        <f t="shared" si="42"/>
        <v>467543535.5</v>
      </c>
      <c r="R90" s="60">
        <f>ROUND(Q90*$P90*Input!$C$3/365,0)</f>
        <v>5764235</v>
      </c>
      <c r="S90" s="60">
        <f>IF(A90&lt;=Input!$C$6,0,IF('144M'!O90&lt;'144M'!Q90,'144M'!O90-R90,'144M'!Q90))</f>
        <v>13839182.499999996</v>
      </c>
      <c r="T90" s="60">
        <f t="shared" si="43"/>
        <v>19603417.499999996</v>
      </c>
      <c r="U90" s="60">
        <f t="shared" si="44"/>
        <v>453704353</v>
      </c>
      <c r="V90" s="193"/>
      <c r="W90" s="169">
        <v>86</v>
      </c>
      <c r="X90" s="1">
        <f t="shared" si="66"/>
        <v>48136</v>
      </c>
      <c r="Y90" s="60">
        <f>IF($X90&lt;Input!$H$58,IF($X90&lt;Input!$G$58,IF($X90&lt;Input!$F$58,IF($X90&lt;Input!$E$58,IF($X90&lt;Input!$D$58,Input!$C$64,Input!$D$64),Input!$E$64),Input!$F$64),Input!$G$64),Input!$H$64)</f>
        <v>0</v>
      </c>
      <c r="Z90" s="190">
        <f>IF($A90&lt;Input!$H$65,IF($A90&lt;Input!$G$65,IF($A90&lt;Input!$F$65,IF($A90&lt;Input!$E$65,IF($A90&lt;Input!$D$65,Input!$C$66,Input!$D$66),Input!$E$66),Input!$F$66),Input!$G$66),Input!$H$66)</f>
        <v>0.9</v>
      </c>
      <c r="AA90" s="60">
        <f t="shared" si="45"/>
        <v>0</v>
      </c>
      <c r="AB90" s="60">
        <f t="shared" si="67"/>
        <v>30</v>
      </c>
      <c r="AC90" s="60">
        <f t="shared" si="46"/>
        <v>0</v>
      </c>
      <c r="AD90" s="60">
        <f>ROUND(AC90*AB90*Input!$C$3/365,0)</f>
        <v>0</v>
      </c>
      <c r="AE90" s="61">
        <f>IF($A90&lt;=Input!$C$6,0,IF('144M'!AA90&lt;'144M'!AC90,'144M'!AA90-AD90,'144M'!AC90))</f>
        <v>0</v>
      </c>
      <c r="AF90" s="61">
        <f t="shared" si="47"/>
        <v>0</v>
      </c>
      <c r="AG90" s="60">
        <f t="shared" si="48"/>
        <v>0</v>
      </c>
      <c r="AH90" s="193"/>
      <c r="AI90" s="169">
        <v>86</v>
      </c>
      <c r="AJ90" s="1">
        <f t="shared" si="68"/>
        <v>48136</v>
      </c>
      <c r="AK90" s="60">
        <f>IF($X90&lt;Input!$H$73,IF($X90&lt;Input!$G$73,IF($X90&lt;Input!$F$73,IF($X90&lt;Input!$E$73,IF($X90&lt;Input!$D$73,Input!$C$79,Input!$D$79),Input!$E$79),Input!$F$79),Input!$G$79),Input!$H$79)</f>
        <v>0</v>
      </c>
      <c r="AL90" s="190">
        <f>IF($A90&lt;Input!$H$80,IF($A90&lt;Input!$G$80,IF($A90&lt;Input!$F$80,IF($A90&lt;Input!$E$80,IF($A90&lt;Input!$D$80,Input!$C$81,Input!$D$81),Input!$E$81),Input!$F$81),Input!$G$81),Input!$H$81)</f>
        <v>0.9</v>
      </c>
      <c r="AM90" s="60">
        <f t="shared" si="49"/>
        <v>0</v>
      </c>
      <c r="AN90" s="60">
        <f t="shared" si="69"/>
        <v>30</v>
      </c>
      <c r="AO90" s="60">
        <f t="shared" si="50"/>
        <v>0</v>
      </c>
      <c r="AP90" s="60">
        <f>ROUND(AO90*AN90*Input!$C$3/365,0)</f>
        <v>0</v>
      </c>
      <c r="AQ90" s="61">
        <f>IF($A90&lt;=Input!$C$6,0,IF('144M'!AM90&lt;'144M'!AO90,'144M'!AM90-AP90,'144M'!AO90))</f>
        <v>0</v>
      </c>
      <c r="AR90" s="61">
        <f t="shared" si="51"/>
        <v>0</v>
      </c>
      <c r="AS90" s="60">
        <f t="shared" si="52"/>
        <v>0</v>
      </c>
      <c r="AT90" s="193"/>
      <c r="AU90" s="169">
        <v>86</v>
      </c>
      <c r="AV90" s="1">
        <f t="shared" si="70"/>
        <v>48136</v>
      </c>
      <c r="AW90" s="60">
        <f>IF($X90&lt;Input!$H$88,IF($X90&lt;Input!$G$88,IF($X90&lt;Input!$F$88,IF($X90&lt;Input!$E$88,IF($X90&lt;Input!$D$88,Input!$C$94,Input!$D$94),Input!$E$94),Input!$F$94),Input!$G$94),Input!$H$94)</f>
        <v>0</v>
      </c>
      <c r="AX90" s="190">
        <f>IF($A90&lt;Input!$H$95,IF($A90&lt;Input!$G$95,IF($A90&lt;Input!$F$95,IF($A90&lt;Input!$E$95,IF($A90&lt;Input!$D$95,Input!$C$96,Input!$D$96),Input!$E$96),Input!$F$96),Input!$G$96),Input!$H$96)</f>
        <v>0.9</v>
      </c>
      <c r="AY90" s="60">
        <f t="shared" si="53"/>
        <v>0</v>
      </c>
      <c r="AZ90" s="60">
        <f t="shared" si="71"/>
        <v>30</v>
      </c>
      <c r="BA90" s="60">
        <f t="shared" si="54"/>
        <v>0</v>
      </c>
      <c r="BB90" s="60">
        <f>ROUND(BA90*AZ90*Input!$C$3/365,0)</f>
        <v>0</v>
      </c>
      <c r="BC90" s="61">
        <f>IF($A90&lt;=Input!$C$6,0,IF('144M'!AY90&lt;'144M'!BA90,'144M'!AY90-BB90,'144M'!BA90))</f>
        <v>0</v>
      </c>
      <c r="BD90" s="61">
        <f t="shared" si="55"/>
        <v>0</v>
      </c>
      <c r="BE90" s="60">
        <f t="shared" si="56"/>
        <v>0</v>
      </c>
      <c r="BF90" s="193"/>
      <c r="BG90" s="169">
        <v>86</v>
      </c>
      <c r="BH90" s="1">
        <f t="shared" si="72"/>
        <v>48136</v>
      </c>
      <c r="BI90" s="60">
        <f>IF($X90&lt;Input!$H$103,IF($X90&lt;Input!$G$103,IF($X90&lt;Input!$F$103,IF($X90&lt;Input!$E$103,IF($X90&lt;Input!$D$103,Input!$C$109,Input!$D$109),Input!$E$109),Input!$F$109),Input!$G$109),Input!$H$109)</f>
        <v>0</v>
      </c>
      <c r="BJ90" s="190">
        <f>IF($A90&lt;Input!$H$110,IF($A90&lt;Input!$G$110,IF($A90&lt;Input!$F$110,IF($A90&lt;Input!$E$110,IF($A90&lt;Input!$D$110,Input!$C$111,Input!$D$111),Input!$E$111),Input!$F$111),Input!$G$111),Input!$H$111)</f>
        <v>0.9</v>
      </c>
      <c r="BK90" s="60">
        <f t="shared" si="57"/>
        <v>0</v>
      </c>
      <c r="BL90" s="60">
        <f t="shared" si="73"/>
        <v>30</v>
      </c>
      <c r="BM90" s="60">
        <f t="shared" si="58"/>
        <v>0</v>
      </c>
      <c r="BN90" s="60">
        <f>ROUND(BM90*BL90*Input!$C$3/365,0)</f>
        <v>0</v>
      </c>
      <c r="BO90" s="61">
        <f>IF($A90&lt;=Input!$C$6,0,IF('144M'!BK90&lt;'144M'!BM90,'144M'!BK90-BN90,'144M'!BM90))</f>
        <v>0</v>
      </c>
      <c r="BP90" s="61">
        <f t="shared" si="59"/>
        <v>0</v>
      </c>
      <c r="BQ90" s="60">
        <f t="shared" si="60"/>
        <v>0</v>
      </c>
      <c r="BR90" s="198"/>
    </row>
    <row r="91" spans="1:70" x14ac:dyDescent="0.25">
      <c r="A91" s="169">
        <v>87</v>
      </c>
      <c r="B91" s="1">
        <f t="shared" si="61"/>
        <v>48167</v>
      </c>
      <c r="C91" s="60">
        <f t="shared" si="39"/>
        <v>21781574.999999996</v>
      </c>
      <c r="D91" s="60">
        <f t="shared" si="40"/>
        <v>19603417.499999996</v>
      </c>
      <c r="E91" s="60">
        <f t="shared" si="62"/>
        <v>31</v>
      </c>
      <c r="F91" s="60">
        <f t="shared" si="63"/>
        <v>453704353</v>
      </c>
      <c r="G91" s="60">
        <f>ROUND(F91*E91*Input!$C$3/365,0)</f>
        <v>5780069</v>
      </c>
      <c r="H91" s="60">
        <f>IF($A91&lt;=Input!$C$6,0,IF('144M'!D91&lt;'144M'!F91,'144M'!D91-G91,'144M'!F91))</f>
        <v>13823348.499999996</v>
      </c>
      <c r="I91" s="60">
        <f t="shared" si="64"/>
        <v>19603417.499999996</v>
      </c>
      <c r="J91" s="60">
        <f t="shared" si="65"/>
        <v>439881004.5</v>
      </c>
      <c r="K91" s="202">
        <f>J91/Input!$K$5</f>
        <v>1.4662700150000001</v>
      </c>
      <c r="L91" s="232"/>
      <c r="M91" s="60">
        <f>IF($B91&lt;Input!$H$43,IF($B91&lt;Input!$G$43,IF($B91&lt;Input!$F$43,IF($B91&lt;Input!$E$43,IF($B91&lt;Input!$D$43,Input!$C$49,Input!$D$49),Input!$E$49),Input!$F$49),Input!$G$49),Input!$H$49)</f>
        <v>21781574.999999996</v>
      </c>
      <c r="N91" s="190">
        <f>IF($A91&lt;Input!$H$50,IF($A91&lt;Input!$G$50,IF($A91&lt;Input!$F$50,IF($A91&lt;Input!$E$50,IF($A91&lt;Input!$D$50,Input!$C$51,Input!$D$51),Input!$E$51),Input!$F$51),Input!$G$51),Input!$H$51)</f>
        <v>0.9</v>
      </c>
      <c r="O91" s="60">
        <f t="shared" si="38"/>
        <v>19603417.499999996</v>
      </c>
      <c r="P91" s="60">
        <f t="shared" si="41"/>
        <v>31</v>
      </c>
      <c r="Q91" s="60">
        <f t="shared" si="42"/>
        <v>453704353</v>
      </c>
      <c r="R91" s="60">
        <f>ROUND(Q91*$P91*Input!$C$3/365,0)</f>
        <v>5780069</v>
      </c>
      <c r="S91" s="60">
        <f>IF(A91&lt;=Input!$C$6,0,IF('144M'!O91&lt;'144M'!Q91,'144M'!O91-R91,'144M'!Q91))</f>
        <v>13823348.499999996</v>
      </c>
      <c r="T91" s="60">
        <f t="shared" si="43"/>
        <v>19603417.499999996</v>
      </c>
      <c r="U91" s="60">
        <f t="shared" si="44"/>
        <v>439881004.5</v>
      </c>
      <c r="V91" s="193"/>
      <c r="W91" s="169">
        <v>87</v>
      </c>
      <c r="X91" s="1">
        <f t="shared" si="66"/>
        <v>48167</v>
      </c>
      <c r="Y91" s="60">
        <f>IF($X91&lt;Input!$H$58,IF($X91&lt;Input!$G$58,IF($X91&lt;Input!$F$58,IF($X91&lt;Input!$E$58,IF($X91&lt;Input!$D$58,Input!$C$64,Input!$D$64),Input!$E$64),Input!$F$64),Input!$G$64),Input!$H$64)</f>
        <v>0</v>
      </c>
      <c r="Z91" s="190">
        <f>IF($A91&lt;Input!$H$65,IF($A91&lt;Input!$G$65,IF($A91&lt;Input!$F$65,IF($A91&lt;Input!$E$65,IF($A91&lt;Input!$D$65,Input!$C$66,Input!$D$66),Input!$E$66),Input!$F$66),Input!$G$66),Input!$H$66)</f>
        <v>0.9</v>
      </c>
      <c r="AA91" s="60">
        <f t="shared" si="45"/>
        <v>0</v>
      </c>
      <c r="AB91" s="60">
        <f t="shared" si="67"/>
        <v>31</v>
      </c>
      <c r="AC91" s="60">
        <f t="shared" si="46"/>
        <v>0</v>
      </c>
      <c r="AD91" s="60">
        <f>ROUND(AC91*AB91*Input!$C$3/365,0)</f>
        <v>0</v>
      </c>
      <c r="AE91" s="61">
        <f>IF($A91&lt;=Input!$C$6,0,IF('144M'!AA91&lt;'144M'!AC91,'144M'!AA91-AD91,'144M'!AC91))</f>
        <v>0</v>
      </c>
      <c r="AF91" s="61">
        <f t="shared" si="47"/>
        <v>0</v>
      </c>
      <c r="AG91" s="60">
        <f t="shared" si="48"/>
        <v>0</v>
      </c>
      <c r="AH91" s="193"/>
      <c r="AI91" s="169">
        <v>87</v>
      </c>
      <c r="AJ91" s="1">
        <f t="shared" si="68"/>
        <v>48167</v>
      </c>
      <c r="AK91" s="60">
        <f>IF($X91&lt;Input!$H$73,IF($X91&lt;Input!$G$73,IF($X91&lt;Input!$F$73,IF($X91&lt;Input!$E$73,IF($X91&lt;Input!$D$73,Input!$C$79,Input!$D$79),Input!$E$79),Input!$F$79),Input!$G$79),Input!$H$79)</f>
        <v>0</v>
      </c>
      <c r="AL91" s="190">
        <f>IF($A91&lt;Input!$H$80,IF($A91&lt;Input!$G$80,IF($A91&lt;Input!$F$80,IF($A91&lt;Input!$E$80,IF($A91&lt;Input!$D$80,Input!$C$81,Input!$D$81),Input!$E$81),Input!$F$81),Input!$G$81),Input!$H$81)</f>
        <v>0.9</v>
      </c>
      <c r="AM91" s="60">
        <f t="shared" si="49"/>
        <v>0</v>
      </c>
      <c r="AN91" s="60">
        <f t="shared" si="69"/>
        <v>31</v>
      </c>
      <c r="AO91" s="60">
        <f t="shared" si="50"/>
        <v>0</v>
      </c>
      <c r="AP91" s="60">
        <f>ROUND(AO91*AN91*Input!$C$3/365,0)</f>
        <v>0</v>
      </c>
      <c r="AQ91" s="61">
        <f>IF($A91&lt;=Input!$C$6,0,IF('144M'!AM91&lt;'144M'!AO91,'144M'!AM91-AP91,'144M'!AO91))</f>
        <v>0</v>
      </c>
      <c r="AR91" s="61">
        <f t="shared" si="51"/>
        <v>0</v>
      </c>
      <c r="AS91" s="60">
        <f t="shared" si="52"/>
        <v>0</v>
      </c>
      <c r="AT91" s="193"/>
      <c r="AU91" s="169">
        <v>87</v>
      </c>
      <c r="AV91" s="1">
        <f t="shared" si="70"/>
        <v>48167</v>
      </c>
      <c r="AW91" s="60">
        <f>IF($X91&lt;Input!$H$88,IF($X91&lt;Input!$G$88,IF($X91&lt;Input!$F$88,IF($X91&lt;Input!$E$88,IF($X91&lt;Input!$D$88,Input!$C$94,Input!$D$94),Input!$E$94),Input!$F$94),Input!$G$94),Input!$H$94)</f>
        <v>0</v>
      </c>
      <c r="AX91" s="190">
        <f>IF($A91&lt;Input!$H$95,IF($A91&lt;Input!$G$95,IF($A91&lt;Input!$F$95,IF($A91&lt;Input!$E$95,IF($A91&lt;Input!$D$95,Input!$C$96,Input!$D$96),Input!$E$96),Input!$F$96),Input!$G$96),Input!$H$96)</f>
        <v>0.9</v>
      </c>
      <c r="AY91" s="60">
        <f t="shared" si="53"/>
        <v>0</v>
      </c>
      <c r="AZ91" s="60">
        <f t="shared" si="71"/>
        <v>31</v>
      </c>
      <c r="BA91" s="60">
        <f t="shared" si="54"/>
        <v>0</v>
      </c>
      <c r="BB91" s="60">
        <f>ROUND(BA91*AZ91*Input!$C$3/365,0)</f>
        <v>0</v>
      </c>
      <c r="BC91" s="61">
        <f>IF($A91&lt;=Input!$C$6,0,IF('144M'!AY91&lt;'144M'!BA91,'144M'!AY91-BB91,'144M'!BA91))</f>
        <v>0</v>
      </c>
      <c r="BD91" s="61">
        <f t="shared" si="55"/>
        <v>0</v>
      </c>
      <c r="BE91" s="60">
        <f t="shared" si="56"/>
        <v>0</v>
      </c>
      <c r="BF91" s="193"/>
      <c r="BG91" s="169">
        <v>87</v>
      </c>
      <c r="BH91" s="1">
        <f t="shared" si="72"/>
        <v>48167</v>
      </c>
      <c r="BI91" s="60">
        <f>IF($X91&lt;Input!$H$103,IF($X91&lt;Input!$G$103,IF($X91&lt;Input!$F$103,IF($X91&lt;Input!$E$103,IF($X91&lt;Input!$D$103,Input!$C$109,Input!$D$109),Input!$E$109),Input!$F$109),Input!$G$109),Input!$H$109)</f>
        <v>0</v>
      </c>
      <c r="BJ91" s="190">
        <f>IF($A91&lt;Input!$H$110,IF($A91&lt;Input!$G$110,IF($A91&lt;Input!$F$110,IF($A91&lt;Input!$E$110,IF($A91&lt;Input!$D$110,Input!$C$111,Input!$D$111),Input!$E$111),Input!$F$111),Input!$G$111),Input!$H$111)</f>
        <v>0.9</v>
      </c>
      <c r="BK91" s="60">
        <f t="shared" si="57"/>
        <v>0</v>
      </c>
      <c r="BL91" s="60">
        <f t="shared" si="73"/>
        <v>31</v>
      </c>
      <c r="BM91" s="60">
        <f t="shared" si="58"/>
        <v>0</v>
      </c>
      <c r="BN91" s="60">
        <f>ROUND(BM91*BL91*Input!$C$3/365,0)</f>
        <v>0</v>
      </c>
      <c r="BO91" s="61">
        <f>IF($A91&lt;=Input!$C$6,0,IF('144M'!BK91&lt;'144M'!BM91,'144M'!BK91-BN91,'144M'!BM91))</f>
        <v>0</v>
      </c>
      <c r="BP91" s="61">
        <f t="shared" si="59"/>
        <v>0</v>
      </c>
      <c r="BQ91" s="60">
        <f t="shared" si="60"/>
        <v>0</v>
      </c>
      <c r="BR91" s="198"/>
    </row>
    <row r="92" spans="1:70" x14ac:dyDescent="0.25">
      <c r="A92" s="169">
        <v>88</v>
      </c>
      <c r="B92" s="1">
        <f t="shared" si="61"/>
        <v>48197</v>
      </c>
      <c r="C92" s="60">
        <f t="shared" si="39"/>
        <v>21781574.999999996</v>
      </c>
      <c r="D92" s="60">
        <f t="shared" si="40"/>
        <v>19603417.499999996</v>
      </c>
      <c r="E92" s="60">
        <f t="shared" si="62"/>
        <v>30</v>
      </c>
      <c r="F92" s="60">
        <f t="shared" si="63"/>
        <v>439881004.5</v>
      </c>
      <c r="G92" s="60">
        <f>ROUND(F92*E92*Input!$C$3/365,0)</f>
        <v>5423190</v>
      </c>
      <c r="H92" s="60">
        <f>IF($A92&lt;=Input!$C$6,0,IF('144M'!D92&lt;'144M'!F92,'144M'!D92-G92,'144M'!F92))</f>
        <v>14180227.499999996</v>
      </c>
      <c r="I92" s="60">
        <f t="shared" si="64"/>
        <v>19603417.499999996</v>
      </c>
      <c r="J92" s="60">
        <f t="shared" si="65"/>
        <v>425700777</v>
      </c>
      <c r="K92" s="202">
        <f>J92/Input!$K$5</f>
        <v>1.4190025900000001</v>
      </c>
      <c r="L92" s="232"/>
      <c r="M92" s="60">
        <f>IF($B92&lt;Input!$H$43,IF($B92&lt;Input!$G$43,IF($B92&lt;Input!$F$43,IF($B92&lt;Input!$E$43,IF($B92&lt;Input!$D$43,Input!$C$49,Input!$D$49),Input!$E$49),Input!$F$49),Input!$G$49),Input!$H$49)</f>
        <v>21781574.999999996</v>
      </c>
      <c r="N92" s="190">
        <f>IF($A92&lt;Input!$H$50,IF($A92&lt;Input!$G$50,IF($A92&lt;Input!$F$50,IF($A92&lt;Input!$E$50,IF($A92&lt;Input!$D$50,Input!$C$51,Input!$D$51),Input!$E$51),Input!$F$51),Input!$G$51),Input!$H$51)</f>
        <v>0.9</v>
      </c>
      <c r="O92" s="60">
        <f t="shared" si="38"/>
        <v>19603417.499999996</v>
      </c>
      <c r="P92" s="60">
        <f t="shared" si="41"/>
        <v>30</v>
      </c>
      <c r="Q92" s="60">
        <f t="shared" si="42"/>
        <v>439881004.5</v>
      </c>
      <c r="R92" s="60">
        <f>ROUND(Q92*$P92*Input!$C$3/365,0)</f>
        <v>5423190</v>
      </c>
      <c r="S92" s="60">
        <f>IF(A92&lt;=Input!$C$6,0,IF('144M'!O92&lt;'144M'!Q92,'144M'!O92-R92,'144M'!Q92))</f>
        <v>14180227.499999996</v>
      </c>
      <c r="T92" s="60">
        <f t="shared" si="43"/>
        <v>19603417.499999996</v>
      </c>
      <c r="U92" s="60">
        <f t="shared" si="44"/>
        <v>425700777</v>
      </c>
      <c r="V92" s="193"/>
      <c r="W92" s="169">
        <v>88</v>
      </c>
      <c r="X92" s="1">
        <f t="shared" si="66"/>
        <v>48197</v>
      </c>
      <c r="Y92" s="60">
        <f>IF($X92&lt;Input!$H$58,IF($X92&lt;Input!$G$58,IF($X92&lt;Input!$F$58,IF($X92&lt;Input!$E$58,IF($X92&lt;Input!$D$58,Input!$C$64,Input!$D$64),Input!$E$64),Input!$F$64),Input!$G$64),Input!$H$64)</f>
        <v>0</v>
      </c>
      <c r="Z92" s="190">
        <f>IF($A92&lt;Input!$H$65,IF($A92&lt;Input!$G$65,IF($A92&lt;Input!$F$65,IF($A92&lt;Input!$E$65,IF($A92&lt;Input!$D$65,Input!$C$66,Input!$D$66),Input!$E$66),Input!$F$66),Input!$G$66),Input!$H$66)</f>
        <v>0.9</v>
      </c>
      <c r="AA92" s="60">
        <f t="shared" si="45"/>
        <v>0</v>
      </c>
      <c r="AB92" s="60">
        <f t="shared" si="67"/>
        <v>30</v>
      </c>
      <c r="AC92" s="60">
        <f t="shared" si="46"/>
        <v>0</v>
      </c>
      <c r="AD92" s="60">
        <f>ROUND(AC92*AB92*Input!$C$3/365,0)</f>
        <v>0</v>
      </c>
      <c r="AE92" s="61">
        <f>IF($A92&lt;=Input!$C$6,0,IF('144M'!AA92&lt;'144M'!AC92,'144M'!AA92-AD92,'144M'!AC92))</f>
        <v>0</v>
      </c>
      <c r="AF92" s="61">
        <f t="shared" si="47"/>
        <v>0</v>
      </c>
      <c r="AG92" s="60">
        <f t="shared" si="48"/>
        <v>0</v>
      </c>
      <c r="AH92" s="193"/>
      <c r="AI92" s="169">
        <v>88</v>
      </c>
      <c r="AJ92" s="1">
        <f t="shared" si="68"/>
        <v>48197</v>
      </c>
      <c r="AK92" s="60">
        <f>IF($X92&lt;Input!$H$73,IF($X92&lt;Input!$G$73,IF($X92&lt;Input!$F$73,IF($X92&lt;Input!$E$73,IF($X92&lt;Input!$D$73,Input!$C$79,Input!$D$79),Input!$E$79),Input!$F$79),Input!$G$79),Input!$H$79)</f>
        <v>0</v>
      </c>
      <c r="AL92" s="190">
        <f>IF($A92&lt;Input!$H$80,IF($A92&lt;Input!$G$80,IF($A92&lt;Input!$F$80,IF($A92&lt;Input!$E$80,IF($A92&lt;Input!$D$80,Input!$C$81,Input!$D$81),Input!$E$81),Input!$F$81),Input!$G$81),Input!$H$81)</f>
        <v>0.9</v>
      </c>
      <c r="AM92" s="60">
        <f t="shared" si="49"/>
        <v>0</v>
      </c>
      <c r="AN92" s="60">
        <f t="shared" si="69"/>
        <v>30</v>
      </c>
      <c r="AO92" s="60">
        <f t="shared" si="50"/>
        <v>0</v>
      </c>
      <c r="AP92" s="60">
        <f>ROUND(AO92*AN92*Input!$C$3/365,0)</f>
        <v>0</v>
      </c>
      <c r="AQ92" s="61">
        <f>IF($A92&lt;=Input!$C$6,0,IF('144M'!AM92&lt;'144M'!AO92,'144M'!AM92-AP92,'144M'!AO92))</f>
        <v>0</v>
      </c>
      <c r="AR92" s="61">
        <f t="shared" si="51"/>
        <v>0</v>
      </c>
      <c r="AS92" s="60">
        <f t="shared" si="52"/>
        <v>0</v>
      </c>
      <c r="AT92" s="193"/>
      <c r="AU92" s="169">
        <v>88</v>
      </c>
      <c r="AV92" s="1">
        <f t="shared" si="70"/>
        <v>48197</v>
      </c>
      <c r="AW92" s="60">
        <f>IF($X92&lt;Input!$H$88,IF($X92&lt;Input!$G$88,IF($X92&lt;Input!$F$88,IF($X92&lt;Input!$E$88,IF($X92&lt;Input!$D$88,Input!$C$94,Input!$D$94),Input!$E$94),Input!$F$94),Input!$G$94),Input!$H$94)</f>
        <v>0</v>
      </c>
      <c r="AX92" s="190">
        <f>IF($A92&lt;Input!$H$95,IF($A92&lt;Input!$G$95,IF($A92&lt;Input!$F$95,IF($A92&lt;Input!$E$95,IF($A92&lt;Input!$D$95,Input!$C$96,Input!$D$96),Input!$E$96),Input!$F$96),Input!$G$96),Input!$H$96)</f>
        <v>0.9</v>
      </c>
      <c r="AY92" s="60">
        <f t="shared" si="53"/>
        <v>0</v>
      </c>
      <c r="AZ92" s="60">
        <f t="shared" si="71"/>
        <v>30</v>
      </c>
      <c r="BA92" s="60">
        <f t="shared" si="54"/>
        <v>0</v>
      </c>
      <c r="BB92" s="60">
        <f>ROUND(BA92*AZ92*Input!$C$3/365,0)</f>
        <v>0</v>
      </c>
      <c r="BC92" s="61">
        <f>IF($A92&lt;=Input!$C$6,0,IF('144M'!AY92&lt;'144M'!BA92,'144M'!AY92-BB92,'144M'!BA92))</f>
        <v>0</v>
      </c>
      <c r="BD92" s="61">
        <f t="shared" si="55"/>
        <v>0</v>
      </c>
      <c r="BE92" s="60">
        <f t="shared" si="56"/>
        <v>0</v>
      </c>
      <c r="BF92" s="193"/>
      <c r="BG92" s="169">
        <v>88</v>
      </c>
      <c r="BH92" s="1">
        <f t="shared" si="72"/>
        <v>48197</v>
      </c>
      <c r="BI92" s="60">
        <f>IF($X92&lt;Input!$H$103,IF($X92&lt;Input!$G$103,IF($X92&lt;Input!$F$103,IF($X92&lt;Input!$E$103,IF($X92&lt;Input!$D$103,Input!$C$109,Input!$D$109),Input!$E$109),Input!$F$109),Input!$G$109),Input!$H$109)</f>
        <v>0</v>
      </c>
      <c r="BJ92" s="190">
        <f>IF($A92&lt;Input!$H$110,IF($A92&lt;Input!$G$110,IF($A92&lt;Input!$F$110,IF($A92&lt;Input!$E$110,IF($A92&lt;Input!$D$110,Input!$C$111,Input!$D$111),Input!$E$111),Input!$F$111),Input!$G$111),Input!$H$111)</f>
        <v>0.9</v>
      </c>
      <c r="BK92" s="60">
        <f t="shared" si="57"/>
        <v>0</v>
      </c>
      <c r="BL92" s="60">
        <f t="shared" si="73"/>
        <v>30</v>
      </c>
      <c r="BM92" s="60">
        <f t="shared" si="58"/>
        <v>0</v>
      </c>
      <c r="BN92" s="60">
        <f>ROUND(BM92*BL92*Input!$C$3/365,0)</f>
        <v>0</v>
      </c>
      <c r="BO92" s="61">
        <f>IF($A92&lt;=Input!$C$6,0,IF('144M'!BK92&lt;'144M'!BM92,'144M'!BK92-BN92,'144M'!BM92))</f>
        <v>0</v>
      </c>
      <c r="BP92" s="61">
        <f t="shared" si="59"/>
        <v>0</v>
      </c>
      <c r="BQ92" s="60">
        <f t="shared" si="60"/>
        <v>0</v>
      </c>
      <c r="BR92" s="198"/>
    </row>
    <row r="93" spans="1:70" x14ac:dyDescent="0.25">
      <c r="A93" s="169">
        <v>89</v>
      </c>
      <c r="B93" s="1">
        <f t="shared" si="61"/>
        <v>48228</v>
      </c>
      <c r="C93" s="60">
        <f t="shared" si="39"/>
        <v>21781574.999999996</v>
      </c>
      <c r="D93" s="60">
        <f t="shared" si="40"/>
        <v>19603417.499999996</v>
      </c>
      <c r="E93" s="60">
        <f t="shared" si="62"/>
        <v>31</v>
      </c>
      <c r="F93" s="60">
        <f t="shared" si="63"/>
        <v>425700777</v>
      </c>
      <c r="G93" s="60">
        <f>ROUND(F93*E93*Input!$C$3/365,0)</f>
        <v>5423311</v>
      </c>
      <c r="H93" s="60">
        <f>IF($A93&lt;=Input!$C$6,0,IF('144M'!D93&lt;'144M'!F93,'144M'!D93-G93,'144M'!F93))</f>
        <v>14180106.499999996</v>
      </c>
      <c r="I93" s="60">
        <f t="shared" si="64"/>
        <v>19603417.499999996</v>
      </c>
      <c r="J93" s="60">
        <f t="shared" si="65"/>
        <v>411520670.5</v>
      </c>
      <c r="K93" s="202">
        <f>J93/Input!$K$5</f>
        <v>1.3717355683333334</v>
      </c>
      <c r="L93" s="232"/>
      <c r="M93" s="60">
        <f>IF($B93&lt;Input!$H$43,IF($B93&lt;Input!$G$43,IF($B93&lt;Input!$F$43,IF($B93&lt;Input!$E$43,IF($B93&lt;Input!$D$43,Input!$C$49,Input!$D$49),Input!$E$49),Input!$F$49),Input!$G$49),Input!$H$49)</f>
        <v>21781574.999999996</v>
      </c>
      <c r="N93" s="190">
        <f>IF($A93&lt;Input!$H$50,IF($A93&lt;Input!$G$50,IF($A93&lt;Input!$F$50,IF($A93&lt;Input!$E$50,IF($A93&lt;Input!$D$50,Input!$C$51,Input!$D$51),Input!$E$51),Input!$F$51),Input!$G$51),Input!$H$51)</f>
        <v>0.9</v>
      </c>
      <c r="O93" s="60">
        <f t="shared" si="38"/>
        <v>19603417.499999996</v>
      </c>
      <c r="P93" s="60">
        <f t="shared" si="41"/>
        <v>31</v>
      </c>
      <c r="Q93" s="60">
        <f t="shared" si="42"/>
        <v>425700777</v>
      </c>
      <c r="R93" s="60">
        <f>ROUND(Q93*$P93*Input!$C$3/365,0)</f>
        <v>5423311</v>
      </c>
      <c r="S93" s="60">
        <f>IF(A93&lt;=Input!$C$6,0,IF('144M'!O93&lt;'144M'!Q93,'144M'!O93-R93,'144M'!Q93))</f>
        <v>14180106.499999996</v>
      </c>
      <c r="T93" s="60">
        <f t="shared" si="43"/>
        <v>19603417.499999996</v>
      </c>
      <c r="U93" s="60">
        <f t="shared" si="44"/>
        <v>411520670.5</v>
      </c>
      <c r="V93" s="193"/>
      <c r="W93" s="169">
        <v>89</v>
      </c>
      <c r="X93" s="1">
        <f t="shared" si="66"/>
        <v>48228</v>
      </c>
      <c r="Y93" s="60">
        <f>IF($X93&lt;Input!$H$58,IF($X93&lt;Input!$G$58,IF($X93&lt;Input!$F$58,IF($X93&lt;Input!$E$58,IF($X93&lt;Input!$D$58,Input!$C$64,Input!$D$64),Input!$E$64),Input!$F$64),Input!$G$64),Input!$H$64)</f>
        <v>0</v>
      </c>
      <c r="Z93" s="190">
        <f>IF($A93&lt;Input!$H$65,IF($A93&lt;Input!$G$65,IF($A93&lt;Input!$F$65,IF($A93&lt;Input!$E$65,IF($A93&lt;Input!$D$65,Input!$C$66,Input!$D$66),Input!$E$66),Input!$F$66),Input!$G$66),Input!$H$66)</f>
        <v>0.9</v>
      </c>
      <c r="AA93" s="60">
        <f t="shared" si="45"/>
        <v>0</v>
      </c>
      <c r="AB93" s="60">
        <f t="shared" si="67"/>
        <v>31</v>
      </c>
      <c r="AC93" s="60">
        <f t="shared" si="46"/>
        <v>0</v>
      </c>
      <c r="AD93" s="60">
        <f>ROUND(AC93*AB93*Input!$C$3/365,0)</f>
        <v>0</v>
      </c>
      <c r="AE93" s="61">
        <f>IF($A93&lt;=Input!$C$6,0,IF('144M'!AA93&lt;'144M'!AC93,'144M'!AA93-AD93,'144M'!AC93))</f>
        <v>0</v>
      </c>
      <c r="AF93" s="61">
        <f t="shared" si="47"/>
        <v>0</v>
      </c>
      <c r="AG93" s="60">
        <f t="shared" si="48"/>
        <v>0</v>
      </c>
      <c r="AH93" s="193"/>
      <c r="AI93" s="169">
        <v>89</v>
      </c>
      <c r="AJ93" s="1">
        <f t="shared" si="68"/>
        <v>48228</v>
      </c>
      <c r="AK93" s="60">
        <f>IF($X93&lt;Input!$H$73,IF($X93&lt;Input!$G$73,IF($X93&lt;Input!$F$73,IF($X93&lt;Input!$E$73,IF($X93&lt;Input!$D$73,Input!$C$79,Input!$D$79),Input!$E$79),Input!$F$79),Input!$G$79),Input!$H$79)</f>
        <v>0</v>
      </c>
      <c r="AL93" s="190">
        <f>IF($A93&lt;Input!$H$80,IF($A93&lt;Input!$G$80,IF($A93&lt;Input!$F$80,IF($A93&lt;Input!$E$80,IF($A93&lt;Input!$D$80,Input!$C$81,Input!$D$81),Input!$E$81),Input!$F$81),Input!$G$81),Input!$H$81)</f>
        <v>0.9</v>
      </c>
      <c r="AM93" s="60">
        <f t="shared" si="49"/>
        <v>0</v>
      </c>
      <c r="AN93" s="60">
        <f t="shared" si="69"/>
        <v>31</v>
      </c>
      <c r="AO93" s="60">
        <f t="shared" si="50"/>
        <v>0</v>
      </c>
      <c r="AP93" s="60">
        <f>ROUND(AO93*AN93*Input!$C$3/365,0)</f>
        <v>0</v>
      </c>
      <c r="AQ93" s="61">
        <f>IF($A93&lt;=Input!$C$6,0,IF('144M'!AM93&lt;'144M'!AO93,'144M'!AM93-AP93,'144M'!AO93))</f>
        <v>0</v>
      </c>
      <c r="AR93" s="61">
        <f t="shared" si="51"/>
        <v>0</v>
      </c>
      <c r="AS93" s="60">
        <f t="shared" si="52"/>
        <v>0</v>
      </c>
      <c r="AT93" s="193"/>
      <c r="AU93" s="169">
        <v>89</v>
      </c>
      <c r="AV93" s="1">
        <f t="shared" si="70"/>
        <v>48228</v>
      </c>
      <c r="AW93" s="60">
        <f>IF($X93&lt;Input!$H$88,IF($X93&lt;Input!$G$88,IF($X93&lt;Input!$F$88,IF($X93&lt;Input!$E$88,IF($X93&lt;Input!$D$88,Input!$C$94,Input!$D$94),Input!$E$94),Input!$F$94),Input!$G$94),Input!$H$94)</f>
        <v>0</v>
      </c>
      <c r="AX93" s="190">
        <f>IF($A93&lt;Input!$H$95,IF($A93&lt;Input!$G$95,IF($A93&lt;Input!$F$95,IF($A93&lt;Input!$E$95,IF($A93&lt;Input!$D$95,Input!$C$96,Input!$D$96),Input!$E$96),Input!$F$96),Input!$G$96),Input!$H$96)</f>
        <v>0.9</v>
      </c>
      <c r="AY93" s="60">
        <f t="shared" si="53"/>
        <v>0</v>
      </c>
      <c r="AZ93" s="60">
        <f t="shared" si="71"/>
        <v>31</v>
      </c>
      <c r="BA93" s="60">
        <f t="shared" si="54"/>
        <v>0</v>
      </c>
      <c r="BB93" s="60">
        <f>ROUND(BA93*AZ93*Input!$C$3/365,0)</f>
        <v>0</v>
      </c>
      <c r="BC93" s="61">
        <f>IF($A93&lt;=Input!$C$6,0,IF('144M'!AY93&lt;'144M'!BA93,'144M'!AY93-BB93,'144M'!BA93))</f>
        <v>0</v>
      </c>
      <c r="BD93" s="61">
        <f t="shared" si="55"/>
        <v>0</v>
      </c>
      <c r="BE93" s="60">
        <f t="shared" si="56"/>
        <v>0</v>
      </c>
      <c r="BF93" s="193"/>
      <c r="BG93" s="169">
        <v>89</v>
      </c>
      <c r="BH93" s="1">
        <f t="shared" si="72"/>
        <v>48228</v>
      </c>
      <c r="BI93" s="60">
        <f>IF($X93&lt;Input!$H$103,IF($X93&lt;Input!$G$103,IF($X93&lt;Input!$F$103,IF($X93&lt;Input!$E$103,IF($X93&lt;Input!$D$103,Input!$C$109,Input!$D$109),Input!$E$109),Input!$F$109),Input!$G$109),Input!$H$109)</f>
        <v>0</v>
      </c>
      <c r="BJ93" s="190">
        <f>IF($A93&lt;Input!$H$110,IF($A93&lt;Input!$G$110,IF($A93&lt;Input!$F$110,IF($A93&lt;Input!$E$110,IF($A93&lt;Input!$D$110,Input!$C$111,Input!$D$111),Input!$E$111),Input!$F$111),Input!$G$111),Input!$H$111)</f>
        <v>0.9</v>
      </c>
      <c r="BK93" s="60">
        <f t="shared" si="57"/>
        <v>0</v>
      </c>
      <c r="BL93" s="60">
        <f t="shared" si="73"/>
        <v>31</v>
      </c>
      <c r="BM93" s="60">
        <f t="shared" si="58"/>
        <v>0</v>
      </c>
      <c r="BN93" s="60">
        <f>ROUND(BM93*BL93*Input!$C$3/365,0)</f>
        <v>0</v>
      </c>
      <c r="BO93" s="61">
        <f>IF($A93&lt;=Input!$C$6,0,IF('144M'!BK93&lt;'144M'!BM93,'144M'!BK93-BN93,'144M'!BM93))</f>
        <v>0</v>
      </c>
      <c r="BP93" s="61">
        <f t="shared" si="59"/>
        <v>0</v>
      </c>
      <c r="BQ93" s="60">
        <f t="shared" si="60"/>
        <v>0</v>
      </c>
      <c r="BR93" s="198"/>
    </row>
    <row r="94" spans="1:70" x14ac:dyDescent="0.25">
      <c r="A94" s="169">
        <v>90</v>
      </c>
      <c r="B94" s="1">
        <f t="shared" si="61"/>
        <v>48259</v>
      </c>
      <c r="C94" s="60">
        <f t="shared" si="39"/>
        <v>21781574.999999996</v>
      </c>
      <c r="D94" s="60">
        <f t="shared" si="40"/>
        <v>19603417.499999996</v>
      </c>
      <c r="E94" s="60">
        <f t="shared" si="62"/>
        <v>31</v>
      </c>
      <c r="F94" s="60">
        <f t="shared" si="63"/>
        <v>411520670.5</v>
      </c>
      <c r="G94" s="60">
        <f>ROUND(F94*E94*Input!$C$3/365,0)</f>
        <v>5242661</v>
      </c>
      <c r="H94" s="60">
        <f>IF($A94&lt;=Input!$C$6,0,IF('144M'!D94&lt;'144M'!F94,'144M'!D94-G94,'144M'!F94))</f>
        <v>14360756.499999996</v>
      </c>
      <c r="I94" s="60">
        <f t="shared" si="64"/>
        <v>19603417.499999996</v>
      </c>
      <c r="J94" s="60">
        <f t="shared" si="65"/>
        <v>397159914</v>
      </c>
      <c r="K94" s="202">
        <f>J94/Input!$K$5</f>
        <v>1.3238663799999999</v>
      </c>
      <c r="L94" s="232"/>
      <c r="M94" s="60">
        <f>IF($B94&lt;Input!$H$43,IF($B94&lt;Input!$G$43,IF($B94&lt;Input!$F$43,IF($B94&lt;Input!$E$43,IF($B94&lt;Input!$D$43,Input!$C$49,Input!$D$49),Input!$E$49),Input!$F$49),Input!$G$49),Input!$H$49)</f>
        <v>21781574.999999996</v>
      </c>
      <c r="N94" s="190">
        <f>IF($A94&lt;Input!$H$50,IF($A94&lt;Input!$G$50,IF($A94&lt;Input!$F$50,IF($A94&lt;Input!$E$50,IF($A94&lt;Input!$D$50,Input!$C$51,Input!$D$51),Input!$E$51),Input!$F$51),Input!$G$51),Input!$H$51)</f>
        <v>0.9</v>
      </c>
      <c r="O94" s="60">
        <f t="shared" si="38"/>
        <v>19603417.499999996</v>
      </c>
      <c r="P94" s="60">
        <f t="shared" si="41"/>
        <v>31</v>
      </c>
      <c r="Q94" s="60">
        <f t="shared" si="42"/>
        <v>411520670.5</v>
      </c>
      <c r="R94" s="60">
        <f>ROUND(Q94*$P94*Input!$C$3/365,0)</f>
        <v>5242661</v>
      </c>
      <c r="S94" s="60">
        <f>IF(A94&lt;=Input!$C$6,0,IF('144M'!O94&lt;'144M'!Q94,'144M'!O94-R94,'144M'!Q94))</f>
        <v>14360756.499999996</v>
      </c>
      <c r="T94" s="60">
        <f t="shared" si="43"/>
        <v>19603417.499999996</v>
      </c>
      <c r="U94" s="60">
        <f t="shared" si="44"/>
        <v>397159914</v>
      </c>
      <c r="V94" s="193"/>
      <c r="W94" s="169">
        <v>90</v>
      </c>
      <c r="X94" s="1">
        <f t="shared" si="66"/>
        <v>48259</v>
      </c>
      <c r="Y94" s="60">
        <f>IF($X94&lt;Input!$H$58,IF($X94&lt;Input!$G$58,IF($X94&lt;Input!$F$58,IF($X94&lt;Input!$E$58,IF($X94&lt;Input!$D$58,Input!$C$64,Input!$D$64),Input!$E$64),Input!$F$64),Input!$G$64),Input!$H$64)</f>
        <v>0</v>
      </c>
      <c r="Z94" s="190">
        <f>IF($A94&lt;Input!$H$65,IF($A94&lt;Input!$G$65,IF($A94&lt;Input!$F$65,IF($A94&lt;Input!$E$65,IF($A94&lt;Input!$D$65,Input!$C$66,Input!$D$66),Input!$E$66),Input!$F$66),Input!$G$66),Input!$H$66)</f>
        <v>0.9</v>
      </c>
      <c r="AA94" s="60">
        <f t="shared" si="45"/>
        <v>0</v>
      </c>
      <c r="AB94" s="60">
        <f t="shared" si="67"/>
        <v>31</v>
      </c>
      <c r="AC94" s="60">
        <f t="shared" si="46"/>
        <v>0</v>
      </c>
      <c r="AD94" s="60">
        <f>ROUND(AC94*AB94*Input!$C$3/365,0)</f>
        <v>0</v>
      </c>
      <c r="AE94" s="61">
        <f>IF($A94&lt;=Input!$C$6,0,IF('144M'!AA94&lt;'144M'!AC94,'144M'!AA94-AD94,'144M'!AC94))</f>
        <v>0</v>
      </c>
      <c r="AF94" s="61">
        <f t="shared" si="47"/>
        <v>0</v>
      </c>
      <c r="AG94" s="60">
        <f t="shared" si="48"/>
        <v>0</v>
      </c>
      <c r="AH94" s="193"/>
      <c r="AI94" s="169">
        <v>90</v>
      </c>
      <c r="AJ94" s="1">
        <f t="shared" si="68"/>
        <v>48259</v>
      </c>
      <c r="AK94" s="60">
        <f>IF($X94&lt;Input!$H$73,IF($X94&lt;Input!$G$73,IF($X94&lt;Input!$F$73,IF($X94&lt;Input!$E$73,IF($X94&lt;Input!$D$73,Input!$C$79,Input!$D$79),Input!$E$79),Input!$F$79),Input!$G$79),Input!$H$79)</f>
        <v>0</v>
      </c>
      <c r="AL94" s="190">
        <f>IF($A94&lt;Input!$H$80,IF($A94&lt;Input!$G$80,IF($A94&lt;Input!$F$80,IF($A94&lt;Input!$E$80,IF($A94&lt;Input!$D$80,Input!$C$81,Input!$D$81),Input!$E$81),Input!$F$81),Input!$G$81),Input!$H$81)</f>
        <v>0.9</v>
      </c>
      <c r="AM94" s="60">
        <f t="shared" si="49"/>
        <v>0</v>
      </c>
      <c r="AN94" s="60">
        <f t="shared" si="69"/>
        <v>31</v>
      </c>
      <c r="AO94" s="60">
        <f t="shared" si="50"/>
        <v>0</v>
      </c>
      <c r="AP94" s="60">
        <f>ROUND(AO94*AN94*Input!$C$3/365,0)</f>
        <v>0</v>
      </c>
      <c r="AQ94" s="61">
        <f>IF($A94&lt;=Input!$C$6,0,IF('144M'!AM94&lt;'144M'!AO94,'144M'!AM94-AP94,'144M'!AO94))</f>
        <v>0</v>
      </c>
      <c r="AR94" s="61">
        <f t="shared" si="51"/>
        <v>0</v>
      </c>
      <c r="AS94" s="60">
        <f t="shared" si="52"/>
        <v>0</v>
      </c>
      <c r="AT94" s="193"/>
      <c r="AU94" s="169">
        <v>90</v>
      </c>
      <c r="AV94" s="1">
        <f t="shared" si="70"/>
        <v>48259</v>
      </c>
      <c r="AW94" s="60">
        <f>IF($X94&lt;Input!$H$88,IF($X94&lt;Input!$G$88,IF($X94&lt;Input!$F$88,IF($X94&lt;Input!$E$88,IF($X94&lt;Input!$D$88,Input!$C$94,Input!$D$94),Input!$E$94),Input!$F$94),Input!$G$94),Input!$H$94)</f>
        <v>0</v>
      </c>
      <c r="AX94" s="190">
        <f>IF($A94&lt;Input!$H$95,IF($A94&lt;Input!$G$95,IF($A94&lt;Input!$F$95,IF($A94&lt;Input!$E$95,IF($A94&lt;Input!$D$95,Input!$C$96,Input!$D$96),Input!$E$96),Input!$F$96),Input!$G$96),Input!$H$96)</f>
        <v>0.9</v>
      </c>
      <c r="AY94" s="60">
        <f t="shared" si="53"/>
        <v>0</v>
      </c>
      <c r="AZ94" s="60">
        <f t="shared" si="71"/>
        <v>31</v>
      </c>
      <c r="BA94" s="60">
        <f t="shared" si="54"/>
        <v>0</v>
      </c>
      <c r="BB94" s="60">
        <f>ROUND(BA94*AZ94*Input!$C$3/365,0)</f>
        <v>0</v>
      </c>
      <c r="BC94" s="61">
        <f>IF($A94&lt;=Input!$C$6,0,IF('144M'!AY94&lt;'144M'!BA94,'144M'!AY94-BB94,'144M'!BA94))</f>
        <v>0</v>
      </c>
      <c r="BD94" s="61">
        <f t="shared" si="55"/>
        <v>0</v>
      </c>
      <c r="BE94" s="60">
        <f t="shared" si="56"/>
        <v>0</v>
      </c>
      <c r="BF94" s="193"/>
      <c r="BG94" s="169">
        <v>90</v>
      </c>
      <c r="BH94" s="1">
        <f t="shared" si="72"/>
        <v>48259</v>
      </c>
      <c r="BI94" s="60">
        <f>IF($X94&lt;Input!$H$103,IF($X94&lt;Input!$G$103,IF($X94&lt;Input!$F$103,IF($X94&lt;Input!$E$103,IF($X94&lt;Input!$D$103,Input!$C$109,Input!$D$109),Input!$E$109),Input!$F$109),Input!$G$109),Input!$H$109)</f>
        <v>0</v>
      </c>
      <c r="BJ94" s="190">
        <f>IF($A94&lt;Input!$H$110,IF($A94&lt;Input!$G$110,IF($A94&lt;Input!$F$110,IF($A94&lt;Input!$E$110,IF($A94&lt;Input!$D$110,Input!$C$111,Input!$D$111),Input!$E$111),Input!$F$111),Input!$G$111),Input!$H$111)</f>
        <v>0.9</v>
      </c>
      <c r="BK94" s="60">
        <f t="shared" si="57"/>
        <v>0</v>
      </c>
      <c r="BL94" s="60">
        <f t="shared" si="73"/>
        <v>31</v>
      </c>
      <c r="BM94" s="60">
        <f t="shared" si="58"/>
        <v>0</v>
      </c>
      <c r="BN94" s="60">
        <f>ROUND(BM94*BL94*Input!$C$3/365,0)</f>
        <v>0</v>
      </c>
      <c r="BO94" s="61">
        <f>IF($A94&lt;=Input!$C$6,0,IF('144M'!BK94&lt;'144M'!BM94,'144M'!BK94-BN94,'144M'!BM94))</f>
        <v>0</v>
      </c>
      <c r="BP94" s="61">
        <f t="shared" si="59"/>
        <v>0</v>
      </c>
      <c r="BQ94" s="60">
        <f t="shared" si="60"/>
        <v>0</v>
      </c>
      <c r="BR94" s="198"/>
    </row>
    <row r="95" spans="1:70" x14ac:dyDescent="0.25">
      <c r="A95" s="169">
        <v>91</v>
      </c>
      <c r="B95" s="1">
        <f t="shared" si="61"/>
        <v>48288</v>
      </c>
      <c r="C95" s="60">
        <f t="shared" si="39"/>
        <v>21781574.999999996</v>
      </c>
      <c r="D95" s="60">
        <f t="shared" si="40"/>
        <v>19603417.499999996</v>
      </c>
      <c r="E95" s="60">
        <f t="shared" si="62"/>
        <v>29</v>
      </c>
      <c r="F95" s="60">
        <f t="shared" si="63"/>
        <v>397159914</v>
      </c>
      <c r="G95" s="60">
        <f>ROUND(F95*E95*Input!$C$3/365,0)</f>
        <v>4733276</v>
      </c>
      <c r="H95" s="60">
        <f>IF($A95&lt;=Input!$C$6,0,IF('144M'!D95&lt;'144M'!F95,'144M'!D95-G95,'144M'!F95))</f>
        <v>14870141.499999996</v>
      </c>
      <c r="I95" s="60">
        <f t="shared" si="64"/>
        <v>19603417.499999996</v>
      </c>
      <c r="J95" s="60">
        <f t="shared" si="65"/>
        <v>382289772.5</v>
      </c>
      <c r="K95" s="202">
        <f>J95/Input!$K$5</f>
        <v>1.2742992416666667</v>
      </c>
      <c r="L95" s="232"/>
      <c r="M95" s="60">
        <f>IF($B95&lt;Input!$H$43,IF($B95&lt;Input!$G$43,IF($B95&lt;Input!$F$43,IF($B95&lt;Input!$E$43,IF($B95&lt;Input!$D$43,Input!$C$49,Input!$D$49),Input!$E$49),Input!$F$49),Input!$G$49),Input!$H$49)</f>
        <v>21781574.999999996</v>
      </c>
      <c r="N95" s="190">
        <f>IF($A95&lt;Input!$H$50,IF($A95&lt;Input!$G$50,IF($A95&lt;Input!$F$50,IF($A95&lt;Input!$E$50,IF($A95&lt;Input!$D$50,Input!$C$51,Input!$D$51),Input!$E$51),Input!$F$51),Input!$G$51),Input!$H$51)</f>
        <v>0.9</v>
      </c>
      <c r="O95" s="60">
        <f t="shared" si="38"/>
        <v>19603417.499999996</v>
      </c>
      <c r="P95" s="60">
        <f t="shared" si="41"/>
        <v>29</v>
      </c>
      <c r="Q95" s="60">
        <f t="shared" si="42"/>
        <v>397159914</v>
      </c>
      <c r="R95" s="60">
        <f>ROUND(Q95*$P95*Input!$C$3/365,0)</f>
        <v>4733276</v>
      </c>
      <c r="S95" s="60">
        <f>IF(A95&lt;=Input!$C$6,0,IF('144M'!O95&lt;'144M'!Q95,'144M'!O95-R95,'144M'!Q95))</f>
        <v>14870141.499999996</v>
      </c>
      <c r="T95" s="60">
        <f t="shared" si="43"/>
        <v>19603417.499999996</v>
      </c>
      <c r="U95" s="60">
        <f t="shared" si="44"/>
        <v>382289772.5</v>
      </c>
      <c r="V95" s="193"/>
      <c r="W95" s="169">
        <v>91</v>
      </c>
      <c r="X95" s="1">
        <f t="shared" si="66"/>
        <v>48288</v>
      </c>
      <c r="Y95" s="60">
        <f>IF($X95&lt;Input!$H$58,IF($X95&lt;Input!$G$58,IF($X95&lt;Input!$F$58,IF($X95&lt;Input!$E$58,IF($X95&lt;Input!$D$58,Input!$C$64,Input!$D$64),Input!$E$64),Input!$F$64),Input!$G$64),Input!$H$64)</f>
        <v>0</v>
      </c>
      <c r="Z95" s="190">
        <f>IF($A95&lt;Input!$H$65,IF($A95&lt;Input!$G$65,IF($A95&lt;Input!$F$65,IF($A95&lt;Input!$E$65,IF($A95&lt;Input!$D$65,Input!$C$66,Input!$D$66),Input!$E$66),Input!$F$66),Input!$G$66),Input!$H$66)</f>
        <v>0.9</v>
      </c>
      <c r="AA95" s="60">
        <f t="shared" si="45"/>
        <v>0</v>
      </c>
      <c r="AB95" s="60">
        <f t="shared" si="67"/>
        <v>29</v>
      </c>
      <c r="AC95" s="60">
        <f t="shared" si="46"/>
        <v>0</v>
      </c>
      <c r="AD95" s="60">
        <f>ROUND(AC95*AB95*Input!$C$3/365,0)</f>
        <v>0</v>
      </c>
      <c r="AE95" s="61">
        <f>IF($A95&lt;=Input!$C$6,0,IF('144M'!AA95&lt;'144M'!AC95,'144M'!AA95-AD95,'144M'!AC95))</f>
        <v>0</v>
      </c>
      <c r="AF95" s="61">
        <f t="shared" si="47"/>
        <v>0</v>
      </c>
      <c r="AG95" s="60">
        <f t="shared" si="48"/>
        <v>0</v>
      </c>
      <c r="AH95" s="193"/>
      <c r="AI95" s="169">
        <v>91</v>
      </c>
      <c r="AJ95" s="1">
        <f t="shared" si="68"/>
        <v>48288</v>
      </c>
      <c r="AK95" s="60">
        <f>IF($X95&lt;Input!$H$73,IF($X95&lt;Input!$G$73,IF($X95&lt;Input!$F$73,IF($X95&lt;Input!$E$73,IF($X95&lt;Input!$D$73,Input!$C$79,Input!$D$79),Input!$E$79),Input!$F$79),Input!$G$79),Input!$H$79)</f>
        <v>0</v>
      </c>
      <c r="AL95" s="190">
        <f>IF($A95&lt;Input!$H$80,IF($A95&lt;Input!$G$80,IF($A95&lt;Input!$F$80,IF($A95&lt;Input!$E$80,IF($A95&lt;Input!$D$80,Input!$C$81,Input!$D$81),Input!$E$81),Input!$F$81),Input!$G$81),Input!$H$81)</f>
        <v>0.9</v>
      </c>
      <c r="AM95" s="60">
        <f t="shared" si="49"/>
        <v>0</v>
      </c>
      <c r="AN95" s="60">
        <f t="shared" si="69"/>
        <v>29</v>
      </c>
      <c r="AO95" s="60">
        <f t="shared" si="50"/>
        <v>0</v>
      </c>
      <c r="AP95" s="60">
        <f>ROUND(AO95*AN95*Input!$C$3/365,0)</f>
        <v>0</v>
      </c>
      <c r="AQ95" s="61">
        <f>IF($A95&lt;=Input!$C$6,0,IF('144M'!AM95&lt;'144M'!AO95,'144M'!AM95-AP95,'144M'!AO95))</f>
        <v>0</v>
      </c>
      <c r="AR95" s="61">
        <f t="shared" si="51"/>
        <v>0</v>
      </c>
      <c r="AS95" s="60">
        <f t="shared" si="52"/>
        <v>0</v>
      </c>
      <c r="AT95" s="193"/>
      <c r="AU95" s="169">
        <v>91</v>
      </c>
      <c r="AV95" s="1">
        <f t="shared" si="70"/>
        <v>48288</v>
      </c>
      <c r="AW95" s="60">
        <f>IF($X95&lt;Input!$H$88,IF($X95&lt;Input!$G$88,IF($X95&lt;Input!$F$88,IF($X95&lt;Input!$E$88,IF($X95&lt;Input!$D$88,Input!$C$94,Input!$D$94),Input!$E$94),Input!$F$94),Input!$G$94),Input!$H$94)</f>
        <v>0</v>
      </c>
      <c r="AX95" s="190">
        <f>IF($A95&lt;Input!$H$95,IF($A95&lt;Input!$G$95,IF($A95&lt;Input!$F$95,IF($A95&lt;Input!$E$95,IF($A95&lt;Input!$D$95,Input!$C$96,Input!$D$96),Input!$E$96),Input!$F$96),Input!$G$96),Input!$H$96)</f>
        <v>0.9</v>
      </c>
      <c r="AY95" s="60">
        <f t="shared" si="53"/>
        <v>0</v>
      </c>
      <c r="AZ95" s="60">
        <f t="shared" si="71"/>
        <v>29</v>
      </c>
      <c r="BA95" s="60">
        <f t="shared" si="54"/>
        <v>0</v>
      </c>
      <c r="BB95" s="60">
        <f>ROUND(BA95*AZ95*Input!$C$3/365,0)</f>
        <v>0</v>
      </c>
      <c r="BC95" s="61">
        <f>IF($A95&lt;=Input!$C$6,0,IF('144M'!AY95&lt;'144M'!BA95,'144M'!AY95-BB95,'144M'!BA95))</f>
        <v>0</v>
      </c>
      <c r="BD95" s="61">
        <f t="shared" si="55"/>
        <v>0</v>
      </c>
      <c r="BE95" s="60">
        <f t="shared" si="56"/>
        <v>0</v>
      </c>
      <c r="BF95" s="193"/>
      <c r="BG95" s="169">
        <v>91</v>
      </c>
      <c r="BH95" s="1">
        <f t="shared" si="72"/>
        <v>48288</v>
      </c>
      <c r="BI95" s="60">
        <f>IF($X95&lt;Input!$H$103,IF($X95&lt;Input!$G$103,IF($X95&lt;Input!$F$103,IF($X95&lt;Input!$E$103,IF($X95&lt;Input!$D$103,Input!$C$109,Input!$D$109),Input!$E$109),Input!$F$109),Input!$G$109),Input!$H$109)</f>
        <v>0</v>
      </c>
      <c r="BJ95" s="190">
        <f>IF($A95&lt;Input!$H$110,IF($A95&lt;Input!$G$110,IF($A95&lt;Input!$F$110,IF($A95&lt;Input!$E$110,IF($A95&lt;Input!$D$110,Input!$C$111,Input!$D$111),Input!$E$111),Input!$F$111),Input!$G$111),Input!$H$111)</f>
        <v>0.9</v>
      </c>
      <c r="BK95" s="60">
        <f t="shared" si="57"/>
        <v>0</v>
      </c>
      <c r="BL95" s="60">
        <f t="shared" si="73"/>
        <v>29</v>
      </c>
      <c r="BM95" s="60">
        <f t="shared" si="58"/>
        <v>0</v>
      </c>
      <c r="BN95" s="60">
        <f>ROUND(BM95*BL95*Input!$C$3/365,0)</f>
        <v>0</v>
      </c>
      <c r="BO95" s="61">
        <f>IF($A95&lt;=Input!$C$6,0,IF('144M'!BK95&lt;'144M'!BM95,'144M'!BK95-BN95,'144M'!BM95))</f>
        <v>0</v>
      </c>
      <c r="BP95" s="61">
        <f t="shared" si="59"/>
        <v>0</v>
      </c>
      <c r="BQ95" s="60">
        <f t="shared" si="60"/>
        <v>0</v>
      </c>
      <c r="BR95" s="198"/>
    </row>
    <row r="96" spans="1:70" x14ac:dyDescent="0.25">
      <c r="A96" s="169">
        <v>92</v>
      </c>
      <c r="B96" s="1">
        <f t="shared" si="61"/>
        <v>48319</v>
      </c>
      <c r="C96" s="60">
        <f t="shared" si="39"/>
        <v>21781574.999999996</v>
      </c>
      <c r="D96" s="60">
        <f t="shared" si="40"/>
        <v>19603417.499999996</v>
      </c>
      <c r="E96" s="60">
        <f t="shared" si="62"/>
        <v>31</v>
      </c>
      <c r="F96" s="60">
        <f t="shared" si="63"/>
        <v>382289772.5</v>
      </c>
      <c r="G96" s="60">
        <f>ROUND(F96*E96*Input!$C$3/365,0)</f>
        <v>4870267</v>
      </c>
      <c r="H96" s="60">
        <f>IF($A96&lt;=Input!$C$6,0,IF('144M'!D96&lt;'144M'!F96,'144M'!D96-G96,'144M'!F96))</f>
        <v>14733150.499999996</v>
      </c>
      <c r="I96" s="60">
        <f t="shared" si="64"/>
        <v>19603417.499999996</v>
      </c>
      <c r="J96" s="60">
        <f t="shared" si="65"/>
        <v>367556622</v>
      </c>
      <c r="K96" s="202">
        <f>J96/Input!$K$5</f>
        <v>1.2251887400000001</v>
      </c>
      <c r="L96" s="232"/>
      <c r="M96" s="60">
        <f>IF($B96&lt;Input!$H$43,IF($B96&lt;Input!$G$43,IF($B96&lt;Input!$F$43,IF($B96&lt;Input!$E$43,IF($B96&lt;Input!$D$43,Input!$C$49,Input!$D$49),Input!$E$49),Input!$F$49),Input!$G$49),Input!$H$49)</f>
        <v>21781574.999999996</v>
      </c>
      <c r="N96" s="190">
        <f>IF($A96&lt;Input!$H$50,IF($A96&lt;Input!$G$50,IF($A96&lt;Input!$F$50,IF($A96&lt;Input!$E$50,IF($A96&lt;Input!$D$50,Input!$C$51,Input!$D$51),Input!$E$51),Input!$F$51),Input!$G$51),Input!$H$51)</f>
        <v>0.9</v>
      </c>
      <c r="O96" s="60">
        <f t="shared" si="38"/>
        <v>19603417.499999996</v>
      </c>
      <c r="P96" s="60">
        <f t="shared" si="41"/>
        <v>31</v>
      </c>
      <c r="Q96" s="60">
        <f t="shared" si="42"/>
        <v>382289772.5</v>
      </c>
      <c r="R96" s="60">
        <f>ROUND(Q96*$P96*Input!$C$3/365,0)</f>
        <v>4870267</v>
      </c>
      <c r="S96" s="60">
        <f>IF(A96&lt;=Input!$C$6,0,IF('144M'!O96&lt;'144M'!Q96,'144M'!O96-R96,'144M'!Q96))</f>
        <v>14733150.499999996</v>
      </c>
      <c r="T96" s="60">
        <f t="shared" si="43"/>
        <v>19603417.499999996</v>
      </c>
      <c r="U96" s="60">
        <f t="shared" si="44"/>
        <v>367556622</v>
      </c>
      <c r="V96" s="193"/>
      <c r="W96" s="169">
        <v>92</v>
      </c>
      <c r="X96" s="1">
        <f t="shared" si="66"/>
        <v>48319</v>
      </c>
      <c r="Y96" s="60">
        <f>IF($X96&lt;Input!$H$58,IF($X96&lt;Input!$G$58,IF($X96&lt;Input!$F$58,IF($X96&lt;Input!$E$58,IF($X96&lt;Input!$D$58,Input!$C$64,Input!$D$64),Input!$E$64),Input!$F$64),Input!$G$64),Input!$H$64)</f>
        <v>0</v>
      </c>
      <c r="Z96" s="190">
        <f>IF($A96&lt;Input!$H$65,IF($A96&lt;Input!$G$65,IF($A96&lt;Input!$F$65,IF($A96&lt;Input!$E$65,IF($A96&lt;Input!$D$65,Input!$C$66,Input!$D$66),Input!$E$66),Input!$F$66),Input!$G$66),Input!$H$66)</f>
        <v>0.9</v>
      </c>
      <c r="AA96" s="60">
        <f t="shared" si="45"/>
        <v>0</v>
      </c>
      <c r="AB96" s="60">
        <f t="shared" si="67"/>
        <v>31</v>
      </c>
      <c r="AC96" s="60">
        <f t="shared" si="46"/>
        <v>0</v>
      </c>
      <c r="AD96" s="60">
        <f>ROUND(AC96*AB96*Input!$C$3/365,0)</f>
        <v>0</v>
      </c>
      <c r="AE96" s="61">
        <f>IF($A96&lt;=Input!$C$6,0,IF('144M'!AA96&lt;'144M'!AC96,'144M'!AA96-AD96,'144M'!AC96))</f>
        <v>0</v>
      </c>
      <c r="AF96" s="61">
        <f t="shared" si="47"/>
        <v>0</v>
      </c>
      <c r="AG96" s="60">
        <f t="shared" si="48"/>
        <v>0</v>
      </c>
      <c r="AH96" s="193"/>
      <c r="AI96" s="169">
        <v>92</v>
      </c>
      <c r="AJ96" s="1">
        <f t="shared" si="68"/>
        <v>48319</v>
      </c>
      <c r="AK96" s="60">
        <f>IF($X96&lt;Input!$H$73,IF($X96&lt;Input!$G$73,IF($X96&lt;Input!$F$73,IF($X96&lt;Input!$E$73,IF($X96&lt;Input!$D$73,Input!$C$79,Input!$D$79),Input!$E$79),Input!$F$79),Input!$G$79),Input!$H$79)</f>
        <v>0</v>
      </c>
      <c r="AL96" s="190">
        <f>IF($A96&lt;Input!$H$80,IF($A96&lt;Input!$G$80,IF($A96&lt;Input!$F$80,IF($A96&lt;Input!$E$80,IF($A96&lt;Input!$D$80,Input!$C$81,Input!$D$81),Input!$E$81),Input!$F$81),Input!$G$81),Input!$H$81)</f>
        <v>0.9</v>
      </c>
      <c r="AM96" s="60">
        <f t="shared" si="49"/>
        <v>0</v>
      </c>
      <c r="AN96" s="60">
        <f t="shared" si="69"/>
        <v>31</v>
      </c>
      <c r="AO96" s="60">
        <f t="shared" si="50"/>
        <v>0</v>
      </c>
      <c r="AP96" s="60">
        <f>ROUND(AO96*AN96*Input!$C$3/365,0)</f>
        <v>0</v>
      </c>
      <c r="AQ96" s="61">
        <f>IF($A96&lt;=Input!$C$6,0,IF('144M'!AM96&lt;'144M'!AO96,'144M'!AM96-AP96,'144M'!AO96))</f>
        <v>0</v>
      </c>
      <c r="AR96" s="61">
        <f t="shared" si="51"/>
        <v>0</v>
      </c>
      <c r="AS96" s="60">
        <f t="shared" si="52"/>
        <v>0</v>
      </c>
      <c r="AT96" s="193"/>
      <c r="AU96" s="169">
        <v>92</v>
      </c>
      <c r="AV96" s="1">
        <f t="shared" si="70"/>
        <v>48319</v>
      </c>
      <c r="AW96" s="60">
        <f>IF($X96&lt;Input!$H$88,IF($X96&lt;Input!$G$88,IF($X96&lt;Input!$F$88,IF($X96&lt;Input!$E$88,IF($X96&lt;Input!$D$88,Input!$C$94,Input!$D$94),Input!$E$94),Input!$F$94),Input!$G$94),Input!$H$94)</f>
        <v>0</v>
      </c>
      <c r="AX96" s="190">
        <f>IF($A96&lt;Input!$H$95,IF($A96&lt;Input!$G$95,IF($A96&lt;Input!$F$95,IF($A96&lt;Input!$E$95,IF($A96&lt;Input!$D$95,Input!$C$96,Input!$D$96),Input!$E$96),Input!$F$96),Input!$G$96),Input!$H$96)</f>
        <v>0.9</v>
      </c>
      <c r="AY96" s="60">
        <f t="shared" si="53"/>
        <v>0</v>
      </c>
      <c r="AZ96" s="60">
        <f t="shared" si="71"/>
        <v>31</v>
      </c>
      <c r="BA96" s="60">
        <f t="shared" si="54"/>
        <v>0</v>
      </c>
      <c r="BB96" s="60">
        <f>ROUND(BA96*AZ96*Input!$C$3/365,0)</f>
        <v>0</v>
      </c>
      <c r="BC96" s="61">
        <f>IF($A96&lt;=Input!$C$6,0,IF('144M'!AY96&lt;'144M'!BA96,'144M'!AY96-BB96,'144M'!BA96))</f>
        <v>0</v>
      </c>
      <c r="BD96" s="61">
        <f t="shared" si="55"/>
        <v>0</v>
      </c>
      <c r="BE96" s="60">
        <f t="shared" si="56"/>
        <v>0</v>
      </c>
      <c r="BF96" s="193"/>
      <c r="BG96" s="169">
        <v>92</v>
      </c>
      <c r="BH96" s="1">
        <f t="shared" si="72"/>
        <v>48319</v>
      </c>
      <c r="BI96" s="60">
        <f>IF($X96&lt;Input!$H$103,IF($X96&lt;Input!$G$103,IF($X96&lt;Input!$F$103,IF($X96&lt;Input!$E$103,IF($X96&lt;Input!$D$103,Input!$C$109,Input!$D$109),Input!$E$109),Input!$F$109),Input!$G$109),Input!$H$109)</f>
        <v>0</v>
      </c>
      <c r="BJ96" s="190">
        <f>IF($A96&lt;Input!$H$110,IF($A96&lt;Input!$G$110,IF($A96&lt;Input!$F$110,IF($A96&lt;Input!$E$110,IF($A96&lt;Input!$D$110,Input!$C$111,Input!$D$111),Input!$E$111),Input!$F$111),Input!$G$111),Input!$H$111)</f>
        <v>0.9</v>
      </c>
      <c r="BK96" s="60">
        <f t="shared" si="57"/>
        <v>0</v>
      </c>
      <c r="BL96" s="60">
        <f t="shared" si="73"/>
        <v>31</v>
      </c>
      <c r="BM96" s="60">
        <f t="shared" si="58"/>
        <v>0</v>
      </c>
      <c r="BN96" s="60">
        <f>ROUND(BM96*BL96*Input!$C$3/365,0)</f>
        <v>0</v>
      </c>
      <c r="BO96" s="61">
        <f>IF($A96&lt;=Input!$C$6,0,IF('144M'!BK96&lt;'144M'!BM96,'144M'!BK96-BN96,'144M'!BM96))</f>
        <v>0</v>
      </c>
      <c r="BP96" s="61">
        <f t="shared" si="59"/>
        <v>0</v>
      </c>
      <c r="BQ96" s="60">
        <f t="shared" si="60"/>
        <v>0</v>
      </c>
      <c r="BR96" s="198"/>
    </row>
    <row r="97" spans="1:70" x14ac:dyDescent="0.25">
      <c r="A97" s="169">
        <v>93</v>
      </c>
      <c r="B97" s="1">
        <f t="shared" si="61"/>
        <v>48349</v>
      </c>
      <c r="C97" s="60">
        <f t="shared" si="39"/>
        <v>21781574.999999996</v>
      </c>
      <c r="D97" s="60">
        <f t="shared" si="40"/>
        <v>19603417.499999996</v>
      </c>
      <c r="E97" s="60">
        <f t="shared" si="62"/>
        <v>30</v>
      </c>
      <c r="F97" s="60">
        <f t="shared" si="63"/>
        <v>367556622</v>
      </c>
      <c r="G97" s="60">
        <f>ROUND(F97*E97*Input!$C$3/365,0)</f>
        <v>4531520</v>
      </c>
      <c r="H97" s="60">
        <f>IF($A97&lt;=Input!$C$6,0,IF('144M'!D97&lt;'144M'!F97,'144M'!D97-G97,'144M'!F97))</f>
        <v>15071897.499999996</v>
      </c>
      <c r="I97" s="60">
        <f t="shared" si="64"/>
        <v>19603417.499999996</v>
      </c>
      <c r="J97" s="60">
        <f t="shared" si="65"/>
        <v>352484724.5</v>
      </c>
      <c r="K97" s="202">
        <f>J97/Input!$K$5</f>
        <v>1.1749490816666666</v>
      </c>
      <c r="L97" s="232"/>
      <c r="M97" s="60">
        <f>IF($B97&lt;Input!$H$43,IF($B97&lt;Input!$G$43,IF($B97&lt;Input!$F$43,IF($B97&lt;Input!$E$43,IF($B97&lt;Input!$D$43,Input!$C$49,Input!$D$49),Input!$E$49),Input!$F$49),Input!$G$49),Input!$H$49)</f>
        <v>21781574.999999996</v>
      </c>
      <c r="N97" s="190">
        <f>IF($A97&lt;Input!$H$50,IF($A97&lt;Input!$G$50,IF($A97&lt;Input!$F$50,IF($A97&lt;Input!$E$50,IF($A97&lt;Input!$D$50,Input!$C$51,Input!$D$51),Input!$E$51),Input!$F$51),Input!$G$51),Input!$H$51)</f>
        <v>0.9</v>
      </c>
      <c r="O97" s="60">
        <f t="shared" si="38"/>
        <v>19603417.499999996</v>
      </c>
      <c r="P97" s="60">
        <f t="shared" si="41"/>
        <v>30</v>
      </c>
      <c r="Q97" s="60">
        <f t="shared" si="42"/>
        <v>367556622</v>
      </c>
      <c r="R97" s="60">
        <f>ROUND(Q97*$P97*Input!$C$3/365,0)</f>
        <v>4531520</v>
      </c>
      <c r="S97" s="60">
        <f>IF(A97&lt;=Input!$C$6,0,IF('144M'!O97&lt;'144M'!Q97,'144M'!O97-R97,'144M'!Q97))</f>
        <v>15071897.499999996</v>
      </c>
      <c r="T97" s="60">
        <f t="shared" si="43"/>
        <v>19603417.499999996</v>
      </c>
      <c r="U97" s="60">
        <f t="shared" si="44"/>
        <v>352484724.5</v>
      </c>
      <c r="V97" s="193"/>
      <c r="W97" s="169">
        <v>93</v>
      </c>
      <c r="X97" s="1">
        <f t="shared" si="66"/>
        <v>48349</v>
      </c>
      <c r="Y97" s="60">
        <f>IF($X97&lt;Input!$H$58,IF($X97&lt;Input!$G$58,IF($X97&lt;Input!$F$58,IF($X97&lt;Input!$E$58,IF($X97&lt;Input!$D$58,Input!$C$64,Input!$D$64),Input!$E$64),Input!$F$64),Input!$G$64),Input!$H$64)</f>
        <v>0</v>
      </c>
      <c r="Z97" s="190">
        <f>IF($A97&lt;Input!$H$65,IF($A97&lt;Input!$G$65,IF($A97&lt;Input!$F$65,IF($A97&lt;Input!$E$65,IF($A97&lt;Input!$D$65,Input!$C$66,Input!$D$66),Input!$E$66),Input!$F$66),Input!$G$66),Input!$H$66)</f>
        <v>0.9</v>
      </c>
      <c r="AA97" s="60">
        <f t="shared" si="45"/>
        <v>0</v>
      </c>
      <c r="AB97" s="60">
        <f t="shared" si="67"/>
        <v>30</v>
      </c>
      <c r="AC97" s="60">
        <f t="shared" si="46"/>
        <v>0</v>
      </c>
      <c r="AD97" s="60">
        <f>ROUND(AC97*AB97*Input!$C$3/365,0)</f>
        <v>0</v>
      </c>
      <c r="AE97" s="61">
        <f>IF($A97&lt;=Input!$C$6,0,IF('144M'!AA97&lt;'144M'!AC97,'144M'!AA97-AD97,'144M'!AC97))</f>
        <v>0</v>
      </c>
      <c r="AF97" s="61">
        <f t="shared" si="47"/>
        <v>0</v>
      </c>
      <c r="AG97" s="60">
        <f t="shared" si="48"/>
        <v>0</v>
      </c>
      <c r="AH97" s="193"/>
      <c r="AI97" s="169">
        <v>93</v>
      </c>
      <c r="AJ97" s="1">
        <f t="shared" si="68"/>
        <v>48349</v>
      </c>
      <c r="AK97" s="60">
        <f>IF($X97&lt;Input!$H$73,IF($X97&lt;Input!$G$73,IF($X97&lt;Input!$F$73,IF($X97&lt;Input!$E$73,IF($X97&lt;Input!$D$73,Input!$C$79,Input!$D$79),Input!$E$79),Input!$F$79),Input!$G$79),Input!$H$79)</f>
        <v>0</v>
      </c>
      <c r="AL97" s="190">
        <f>IF($A97&lt;Input!$H$80,IF($A97&lt;Input!$G$80,IF($A97&lt;Input!$F$80,IF($A97&lt;Input!$E$80,IF($A97&lt;Input!$D$80,Input!$C$81,Input!$D$81),Input!$E$81),Input!$F$81),Input!$G$81),Input!$H$81)</f>
        <v>0.9</v>
      </c>
      <c r="AM97" s="60">
        <f t="shared" si="49"/>
        <v>0</v>
      </c>
      <c r="AN97" s="60">
        <f t="shared" si="69"/>
        <v>30</v>
      </c>
      <c r="AO97" s="60">
        <f t="shared" si="50"/>
        <v>0</v>
      </c>
      <c r="AP97" s="60">
        <f>ROUND(AO97*AN97*Input!$C$3/365,0)</f>
        <v>0</v>
      </c>
      <c r="AQ97" s="61">
        <f>IF($A97&lt;=Input!$C$6,0,IF('144M'!AM97&lt;'144M'!AO97,'144M'!AM97-AP97,'144M'!AO97))</f>
        <v>0</v>
      </c>
      <c r="AR97" s="61">
        <f t="shared" si="51"/>
        <v>0</v>
      </c>
      <c r="AS97" s="60">
        <f t="shared" si="52"/>
        <v>0</v>
      </c>
      <c r="AT97" s="193"/>
      <c r="AU97" s="169">
        <v>93</v>
      </c>
      <c r="AV97" s="1">
        <f t="shared" si="70"/>
        <v>48349</v>
      </c>
      <c r="AW97" s="60">
        <f>IF($X97&lt;Input!$H$88,IF($X97&lt;Input!$G$88,IF($X97&lt;Input!$F$88,IF($X97&lt;Input!$E$88,IF($X97&lt;Input!$D$88,Input!$C$94,Input!$D$94),Input!$E$94),Input!$F$94),Input!$G$94),Input!$H$94)</f>
        <v>0</v>
      </c>
      <c r="AX97" s="190">
        <f>IF($A97&lt;Input!$H$95,IF($A97&lt;Input!$G$95,IF($A97&lt;Input!$F$95,IF($A97&lt;Input!$E$95,IF($A97&lt;Input!$D$95,Input!$C$96,Input!$D$96),Input!$E$96),Input!$F$96),Input!$G$96),Input!$H$96)</f>
        <v>0.9</v>
      </c>
      <c r="AY97" s="60">
        <f t="shared" si="53"/>
        <v>0</v>
      </c>
      <c r="AZ97" s="60">
        <f t="shared" si="71"/>
        <v>30</v>
      </c>
      <c r="BA97" s="60">
        <f t="shared" si="54"/>
        <v>0</v>
      </c>
      <c r="BB97" s="60">
        <f>ROUND(BA97*AZ97*Input!$C$3/365,0)</f>
        <v>0</v>
      </c>
      <c r="BC97" s="61">
        <f>IF($A97&lt;=Input!$C$6,0,IF('144M'!AY97&lt;'144M'!BA97,'144M'!AY97-BB97,'144M'!BA97))</f>
        <v>0</v>
      </c>
      <c r="BD97" s="61">
        <f t="shared" si="55"/>
        <v>0</v>
      </c>
      <c r="BE97" s="60">
        <f t="shared" si="56"/>
        <v>0</v>
      </c>
      <c r="BF97" s="193"/>
      <c r="BG97" s="169">
        <v>93</v>
      </c>
      <c r="BH97" s="1">
        <f t="shared" si="72"/>
        <v>48349</v>
      </c>
      <c r="BI97" s="60">
        <f>IF($X97&lt;Input!$H$103,IF($X97&lt;Input!$G$103,IF($X97&lt;Input!$F$103,IF($X97&lt;Input!$E$103,IF($X97&lt;Input!$D$103,Input!$C$109,Input!$D$109),Input!$E$109),Input!$F$109),Input!$G$109),Input!$H$109)</f>
        <v>0</v>
      </c>
      <c r="BJ97" s="190">
        <f>IF($A97&lt;Input!$H$110,IF($A97&lt;Input!$G$110,IF($A97&lt;Input!$F$110,IF($A97&lt;Input!$E$110,IF($A97&lt;Input!$D$110,Input!$C$111,Input!$D$111),Input!$E$111),Input!$F$111),Input!$G$111),Input!$H$111)</f>
        <v>0.9</v>
      </c>
      <c r="BK97" s="60">
        <f t="shared" si="57"/>
        <v>0</v>
      </c>
      <c r="BL97" s="60">
        <f t="shared" si="73"/>
        <v>30</v>
      </c>
      <c r="BM97" s="60">
        <f t="shared" si="58"/>
        <v>0</v>
      </c>
      <c r="BN97" s="60">
        <f>ROUND(BM97*BL97*Input!$C$3/365,0)</f>
        <v>0</v>
      </c>
      <c r="BO97" s="61">
        <f>IF($A97&lt;=Input!$C$6,0,IF('144M'!BK97&lt;'144M'!BM97,'144M'!BK97-BN97,'144M'!BM97))</f>
        <v>0</v>
      </c>
      <c r="BP97" s="61">
        <f t="shared" si="59"/>
        <v>0</v>
      </c>
      <c r="BQ97" s="60">
        <f t="shared" si="60"/>
        <v>0</v>
      </c>
      <c r="BR97" s="198"/>
    </row>
    <row r="98" spans="1:70" x14ac:dyDescent="0.25">
      <c r="A98" s="169">
        <v>94</v>
      </c>
      <c r="B98" s="1">
        <f t="shared" si="61"/>
        <v>48380</v>
      </c>
      <c r="C98" s="60">
        <f t="shared" si="39"/>
        <v>21781574.999999996</v>
      </c>
      <c r="D98" s="60">
        <f t="shared" si="40"/>
        <v>19603417.499999996</v>
      </c>
      <c r="E98" s="60">
        <f t="shared" si="62"/>
        <v>31</v>
      </c>
      <c r="F98" s="60">
        <f t="shared" si="63"/>
        <v>352484724.5</v>
      </c>
      <c r="G98" s="60">
        <f>ROUND(F98*E98*Input!$C$3/365,0)</f>
        <v>4490559</v>
      </c>
      <c r="H98" s="60">
        <f>IF($A98&lt;=Input!$C$6,0,IF('144M'!D98&lt;'144M'!F98,'144M'!D98-G98,'144M'!F98))</f>
        <v>15112858.499999996</v>
      </c>
      <c r="I98" s="60">
        <f t="shared" si="64"/>
        <v>19603417.499999996</v>
      </c>
      <c r="J98" s="60">
        <f t="shared" si="65"/>
        <v>337371866</v>
      </c>
      <c r="K98" s="202">
        <f>J98/Input!$K$5</f>
        <v>1.1245728866666667</v>
      </c>
      <c r="L98" s="232"/>
      <c r="M98" s="60">
        <f>IF($B98&lt;Input!$H$43,IF($B98&lt;Input!$G$43,IF($B98&lt;Input!$F$43,IF($B98&lt;Input!$E$43,IF($B98&lt;Input!$D$43,Input!$C$49,Input!$D$49),Input!$E$49),Input!$F$49),Input!$G$49),Input!$H$49)</f>
        <v>21781574.999999996</v>
      </c>
      <c r="N98" s="190">
        <f>IF($A98&lt;Input!$H$50,IF($A98&lt;Input!$G$50,IF($A98&lt;Input!$F$50,IF($A98&lt;Input!$E$50,IF($A98&lt;Input!$D$50,Input!$C$51,Input!$D$51),Input!$E$51),Input!$F$51),Input!$G$51),Input!$H$51)</f>
        <v>0.9</v>
      </c>
      <c r="O98" s="60">
        <f t="shared" si="38"/>
        <v>19603417.499999996</v>
      </c>
      <c r="P98" s="60">
        <f t="shared" si="41"/>
        <v>31</v>
      </c>
      <c r="Q98" s="60">
        <f t="shared" si="42"/>
        <v>352484724.5</v>
      </c>
      <c r="R98" s="60">
        <f>ROUND(Q98*$P98*Input!$C$3/365,0)</f>
        <v>4490559</v>
      </c>
      <c r="S98" s="60">
        <f>IF(A98&lt;=Input!$C$6,0,IF('144M'!O98&lt;'144M'!Q98,'144M'!O98-R98,'144M'!Q98))</f>
        <v>15112858.499999996</v>
      </c>
      <c r="T98" s="60">
        <f t="shared" si="43"/>
        <v>19603417.499999996</v>
      </c>
      <c r="U98" s="60">
        <f t="shared" si="44"/>
        <v>337371866</v>
      </c>
      <c r="V98" s="193"/>
      <c r="W98" s="169">
        <v>94</v>
      </c>
      <c r="X98" s="1">
        <f t="shared" si="66"/>
        <v>48380</v>
      </c>
      <c r="Y98" s="60">
        <f>IF($X98&lt;Input!$H$58,IF($X98&lt;Input!$G$58,IF($X98&lt;Input!$F$58,IF($X98&lt;Input!$E$58,IF($X98&lt;Input!$D$58,Input!$C$64,Input!$D$64),Input!$E$64),Input!$F$64),Input!$G$64),Input!$H$64)</f>
        <v>0</v>
      </c>
      <c r="Z98" s="190">
        <f>IF($A98&lt;Input!$H$65,IF($A98&lt;Input!$G$65,IF($A98&lt;Input!$F$65,IF($A98&lt;Input!$E$65,IF($A98&lt;Input!$D$65,Input!$C$66,Input!$D$66),Input!$E$66),Input!$F$66),Input!$G$66),Input!$H$66)</f>
        <v>0.9</v>
      </c>
      <c r="AA98" s="60">
        <f t="shared" si="45"/>
        <v>0</v>
      </c>
      <c r="AB98" s="60">
        <f t="shared" si="67"/>
        <v>31</v>
      </c>
      <c r="AC98" s="60">
        <f t="shared" si="46"/>
        <v>0</v>
      </c>
      <c r="AD98" s="60">
        <f>ROUND(AC98*AB98*Input!$C$3/365,0)</f>
        <v>0</v>
      </c>
      <c r="AE98" s="61">
        <f>IF($A98&lt;=Input!$C$6,0,IF('144M'!AA98&lt;'144M'!AC98,'144M'!AA98-AD98,'144M'!AC98))</f>
        <v>0</v>
      </c>
      <c r="AF98" s="61">
        <f t="shared" si="47"/>
        <v>0</v>
      </c>
      <c r="AG98" s="60">
        <f t="shared" si="48"/>
        <v>0</v>
      </c>
      <c r="AH98" s="193"/>
      <c r="AI98" s="169">
        <v>94</v>
      </c>
      <c r="AJ98" s="1">
        <f t="shared" si="68"/>
        <v>48380</v>
      </c>
      <c r="AK98" s="60">
        <f>IF($X98&lt;Input!$H$73,IF($X98&lt;Input!$G$73,IF($X98&lt;Input!$F$73,IF($X98&lt;Input!$E$73,IF($X98&lt;Input!$D$73,Input!$C$79,Input!$D$79),Input!$E$79),Input!$F$79),Input!$G$79),Input!$H$79)</f>
        <v>0</v>
      </c>
      <c r="AL98" s="190">
        <f>IF($A98&lt;Input!$H$80,IF($A98&lt;Input!$G$80,IF($A98&lt;Input!$F$80,IF($A98&lt;Input!$E$80,IF($A98&lt;Input!$D$80,Input!$C$81,Input!$D$81),Input!$E$81),Input!$F$81),Input!$G$81),Input!$H$81)</f>
        <v>0.9</v>
      </c>
      <c r="AM98" s="60">
        <f t="shared" si="49"/>
        <v>0</v>
      </c>
      <c r="AN98" s="60">
        <f t="shared" si="69"/>
        <v>31</v>
      </c>
      <c r="AO98" s="60">
        <f t="shared" si="50"/>
        <v>0</v>
      </c>
      <c r="AP98" s="60">
        <f>ROUND(AO98*AN98*Input!$C$3/365,0)</f>
        <v>0</v>
      </c>
      <c r="AQ98" s="61">
        <f>IF($A98&lt;=Input!$C$6,0,IF('144M'!AM98&lt;'144M'!AO98,'144M'!AM98-AP98,'144M'!AO98))</f>
        <v>0</v>
      </c>
      <c r="AR98" s="61">
        <f t="shared" si="51"/>
        <v>0</v>
      </c>
      <c r="AS98" s="60">
        <f t="shared" si="52"/>
        <v>0</v>
      </c>
      <c r="AT98" s="193"/>
      <c r="AU98" s="169">
        <v>94</v>
      </c>
      <c r="AV98" s="1">
        <f t="shared" si="70"/>
        <v>48380</v>
      </c>
      <c r="AW98" s="60">
        <f>IF($X98&lt;Input!$H$88,IF($X98&lt;Input!$G$88,IF($X98&lt;Input!$F$88,IF($X98&lt;Input!$E$88,IF($X98&lt;Input!$D$88,Input!$C$94,Input!$D$94),Input!$E$94),Input!$F$94),Input!$G$94),Input!$H$94)</f>
        <v>0</v>
      </c>
      <c r="AX98" s="190">
        <f>IF($A98&lt;Input!$H$95,IF($A98&lt;Input!$G$95,IF($A98&lt;Input!$F$95,IF($A98&lt;Input!$E$95,IF($A98&lt;Input!$D$95,Input!$C$96,Input!$D$96),Input!$E$96),Input!$F$96),Input!$G$96),Input!$H$96)</f>
        <v>0.9</v>
      </c>
      <c r="AY98" s="60">
        <f t="shared" si="53"/>
        <v>0</v>
      </c>
      <c r="AZ98" s="60">
        <f t="shared" si="71"/>
        <v>31</v>
      </c>
      <c r="BA98" s="60">
        <f t="shared" si="54"/>
        <v>0</v>
      </c>
      <c r="BB98" s="60">
        <f>ROUND(BA98*AZ98*Input!$C$3/365,0)</f>
        <v>0</v>
      </c>
      <c r="BC98" s="61">
        <f>IF($A98&lt;=Input!$C$6,0,IF('144M'!AY98&lt;'144M'!BA98,'144M'!AY98-BB98,'144M'!BA98))</f>
        <v>0</v>
      </c>
      <c r="BD98" s="61">
        <f t="shared" si="55"/>
        <v>0</v>
      </c>
      <c r="BE98" s="60">
        <f t="shared" si="56"/>
        <v>0</v>
      </c>
      <c r="BF98" s="193"/>
      <c r="BG98" s="169">
        <v>94</v>
      </c>
      <c r="BH98" s="1">
        <f t="shared" si="72"/>
        <v>48380</v>
      </c>
      <c r="BI98" s="60">
        <f>IF($X98&lt;Input!$H$103,IF($X98&lt;Input!$G$103,IF($X98&lt;Input!$F$103,IF($X98&lt;Input!$E$103,IF($X98&lt;Input!$D$103,Input!$C$109,Input!$D$109),Input!$E$109),Input!$F$109),Input!$G$109),Input!$H$109)</f>
        <v>0</v>
      </c>
      <c r="BJ98" s="190">
        <f>IF($A98&lt;Input!$H$110,IF($A98&lt;Input!$G$110,IF($A98&lt;Input!$F$110,IF($A98&lt;Input!$E$110,IF($A98&lt;Input!$D$110,Input!$C$111,Input!$D$111),Input!$E$111),Input!$F$111),Input!$G$111),Input!$H$111)</f>
        <v>0.9</v>
      </c>
      <c r="BK98" s="60">
        <f t="shared" si="57"/>
        <v>0</v>
      </c>
      <c r="BL98" s="60">
        <f t="shared" si="73"/>
        <v>31</v>
      </c>
      <c r="BM98" s="60">
        <f t="shared" si="58"/>
        <v>0</v>
      </c>
      <c r="BN98" s="60">
        <f>ROUND(BM98*BL98*Input!$C$3/365,0)</f>
        <v>0</v>
      </c>
      <c r="BO98" s="61">
        <f>IF($A98&lt;=Input!$C$6,0,IF('144M'!BK98&lt;'144M'!BM98,'144M'!BK98-BN98,'144M'!BM98))</f>
        <v>0</v>
      </c>
      <c r="BP98" s="61">
        <f t="shared" si="59"/>
        <v>0</v>
      </c>
      <c r="BQ98" s="60">
        <f t="shared" si="60"/>
        <v>0</v>
      </c>
      <c r="BR98" s="198"/>
    </row>
    <row r="99" spans="1:70" x14ac:dyDescent="0.25">
      <c r="A99" s="169">
        <v>95</v>
      </c>
      <c r="B99" s="1">
        <f t="shared" si="61"/>
        <v>48410</v>
      </c>
      <c r="C99" s="60">
        <f t="shared" si="39"/>
        <v>21781574.999999996</v>
      </c>
      <c r="D99" s="60">
        <f t="shared" si="40"/>
        <v>19603417.499999996</v>
      </c>
      <c r="E99" s="60">
        <f t="shared" si="62"/>
        <v>30</v>
      </c>
      <c r="F99" s="60">
        <f t="shared" si="63"/>
        <v>337371866</v>
      </c>
      <c r="G99" s="60">
        <f>ROUND(F99*E99*Input!$C$3/365,0)</f>
        <v>4159379</v>
      </c>
      <c r="H99" s="60">
        <f>IF($A99&lt;=Input!$C$6,0,IF('144M'!D99&lt;'144M'!F99,'144M'!D99-G99,'144M'!F99))</f>
        <v>15444038.499999996</v>
      </c>
      <c r="I99" s="60">
        <f t="shared" si="64"/>
        <v>19603417.499999996</v>
      </c>
      <c r="J99" s="60">
        <f t="shared" si="65"/>
        <v>321927827.5</v>
      </c>
      <c r="K99" s="202">
        <f>J99/Input!$K$5</f>
        <v>1.0730927583333334</v>
      </c>
      <c r="L99" s="232"/>
      <c r="M99" s="60">
        <f>IF($B99&lt;Input!$H$43,IF($B99&lt;Input!$G$43,IF($B99&lt;Input!$F$43,IF($B99&lt;Input!$E$43,IF($B99&lt;Input!$D$43,Input!$C$49,Input!$D$49),Input!$E$49),Input!$F$49),Input!$G$49),Input!$H$49)</f>
        <v>21781574.999999996</v>
      </c>
      <c r="N99" s="190">
        <f>IF($A99&lt;Input!$H$50,IF($A99&lt;Input!$G$50,IF($A99&lt;Input!$F$50,IF($A99&lt;Input!$E$50,IF($A99&lt;Input!$D$50,Input!$C$51,Input!$D$51),Input!$E$51),Input!$F$51),Input!$G$51),Input!$H$51)</f>
        <v>0.9</v>
      </c>
      <c r="O99" s="60">
        <f t="shared" si="38"/>
        <v>19603417.499999996</v>
      </c>
      <c r="P99" s="60">
        <f t="shared" si="41"/>
        <v>30</v>
      </c>
      <c r="Q99" s="60">
        <f t="shared" si="42"/>
        <v>337371866</v>
      </c>
      <c r="R99" s="60">
        <f>ROUND(Q99*$P99*Input!$C$3/365,0)</f>
        <v>4159379</v>
      </c>
      <c r="S99" s="60">
        <f>IF(A99&lt;=Input!$C$6,0,IF('144M'!O99&lt;'144M'!Q99,'144M'!O99-R99,'144M'!Q99))</f>
        <v>15444038.499999996</v>
      </c>
      <c r="T99" s="60">
        <f t="shared" si="43"/>
        <v>19603417.499999996</v>
      </c>
      <c r="U99" s="60">
        <f t="shared" si="44"/>
        <v>321927827.5</v>
      </c>
      <c r="V99" s="193"/>
      <c r="W99" s="169">
        <v>95</v>
      </c>
      <c r="X99" s="1">
        <f t="shared" si="66"/>
        <v>48410</v>
      </c>
      <c r="Y99" s="60">
        <f>IF($X99&lt;Input!$H$58,IF($X99&lt;Input!$G$58,IF($X99&lt;Input!$F$58,IF($X99&lt;Input!$E$58,IF($X99&lt;Input!$D$58,Input!$C$64,Input!$D$64),Input!$E$64),Input!$F$64),Input!$G$64),Input!$H$64)</f>
        <v>0</v>
      </c>
      <c r="Z99" s="190">
        <f>IF($A99&lt;Input!$H$65,IF($A99&lt;Input!$G$65,IF($A99&lt;Input!$F$65,IF($A99&lt;Input!$E$65,IF($A99&lt;Input!$D$65,Input!$C$66,Input!$D$66),Input!$E$66),Input!$F$66),Input!$G$66),Input!$H$66)</f>
        <v>0.9</v>
      </c>
      <c r="AA99" s="60">
        <f t="shared" si="45"/>
        <v>0</v>
      </c>
      <c r="AB99" s="60">
        <f t="shared" si="67"/>
        <v>30</v>
      </c>
      <c r="AC99" s="60">
        <f t="shared" si="46"/>
        <v>0</v>
      </c>
      <c r="AD99" s="60">
        <f>ROUND(AC99*AB99*Input!$C$3/365,0)</f>
        <v>0</v>
      </c>
      <c r="AE99" s="61">
        <f>IF($A99&lt;=Input!$C$6,0,IF('144M'!AA99&lt;'144M'!AC99,'144M'!AA99-AD99,'144M'!AC99))</f>
        <v>0</v>
      </c>
      <c r="AF99" s="61">
        <f t="shared" si="47"/>
        <v>0</v>
      </c>
      <c r="AG99" s="60">
        <f t="shared" si="48"/>
        <v>0</v>
      </c>
      <c r="AH99" s="193"/>
      <c r="AI99" s="169">
        <v>95</v>
      </c>
      <c r="AJ99" s="1">
        <f t="shared" si="68"/>
        <v>48410</v>
      </c>
      <c r="AK99" s="60">
        <f>IF($X99&lt;Input!$H$73,IF($X99&lt;Input!$G$73,IF($X99&lt;Input!$F$73,IF($X99&lt;Input!$E$73,IF($X99&lt;Input!$D$73,Input!$C$79,Input!$D$79),Input!$E$79),Input!$F$79),Input!$G$79),Input!$H$79)</f>
        <v>0</v>
      </c>
      <c r="AL99" s="190">
        <f>IF($A99&lt;Input!$H$80,IF($A99&lt;Input!$G$80,IF($A99&lt;Input!$F$80,IF($A99&lt;Input!$E$80,IF($A99&lt;Input!$D$80,Input!$C$81,Input!$D$81),Input!$E$81),Input!$F$81),Input!$G$81),Input!$H$81)</f>
        <v>0.9</v>
      </c>
      <c r="AM99" s="60">
        <f t="shared" si="49"/>
        <v>0</v>
      </c>
      <c r="AN99" s="60">
        <f t="shared" si="69"/>
        <v>30</v>
      </c>
      <c r="AO99" s="60">
        <f t="shared" si="50"/>
        <v>0</v>
      </c>
      <c r="AP99" s="60">
        <f>ROUND(AO99*AN99*Input!$C$3/365,0)</f>
        <v>0</v>
      </c>
      <c r="AQ99" s="61">
        <f>IF($A99&lt;=Input!$C$6,0,IF('144M'!AM99&lt;'144M'!AO99,'144M'!AM99-AP99,'144M'!AO99))</f>
        <v>0</v>
      </c>
      <c r="AR99" s="61">
        <f t="shared" si="51"/>
        <v>0</v>
      </c>
      <c r="AS99" s="60">
        <f t="shared" si="52"/>
        <v>0</v>
      </c>
      <c r="AT99" s="193"/>
      <c r="AU99" s="169">
        <v>95</v>
      </c>
      <c r="AV99" s="1">
        <f t="shared" si="70"/>
        <v>48410</v>
      </c>
      <c r="AW99" s="60">
        <f>IF($X99&lt;Input!$H$88,IF($X99&lt;Input!$G$88,IF($X99&lt;Input!$F$88,IF($X99&lt;Input!$E$88,IF($X99&lt;Input!$D$88,Input!$C$94,Input!$D$94),Input!$E$94),Input!$F$94),Input!$G$94),Input!$H$94)</f>
        <v>0</v>
      </c>
      <c r="AX99" s="190">
        <f>IF($A99&lt;Input!$H$95,IF($A99&lt;Input!$G$95,IF($A99&lt;Input!$F$95,IF($A99&lt;Input!$E$95,IF($A99&lt;Input!$D$95,Input!$C$96,Input!$D$96),Input!$E$96),Input!$F$96),Input!$G$96),Input!$H$96)</f>
        <v>0.9</v>
      </c>
      <c r="AY99" s="60">
        <f t="shared" si="53"/>
        <v>0</v>
      </c>
      <c r="AZ99" s="60">
        <f t="shared" si="71"/>
        <v>30</v>
      </c>
      <c r="BA99" s="60">
        <f t="shared" si="54"/>
        <v>0</v>
      </c>
      <c r="BB99" s="60">
        <f>ROUND(BA99*AZ99*Input!$C$3/365,0)</f>
        <v>0</v>
      </c>
      <c r="BC99" s="61">
        <f>IF($A99&lt;=Input!$C$6,0,IF('144M'!AY99&lt;'144M'!BA99,'144M'!AY99-BB99,'144M'!BA99))</f>
        <v>0</v>
      </c>
      <c r="BD99" s="61">
        <f t="shared" si="55"/>
        <v>0</v>
      </c>
      <c r="BE99" s="60">
        <f t="shared" si="56"/>
        <v>0</v>
      </c>
      <c r="BF99" s="193"/>
      <c r="BG99" s="169">
        <v>95</v>
      </c>
      <c r="BH99" s="1">
        <f t="shared" si="72"/>
        <v>48410</v>
      </c>
      <c r="BI99" s="60">
        <f>IF($X99&lt;Input!$H$103,IF($X99&lt;Input!$G$103,IF($X99&lt;Input!$F$103,IF($X99&lt;Input!$E$103,IF($X99&lt;Input!$D$103,Input!$C$109,Input!$D$109),Input!$E$109),Input!$F$109),Input!$G$109),Input!$H$109)</f>
        <v>0</v>
      </c>
      <c r="BJ99" s="190">
        <f>IF($A99&lt;Input!$H$110,IF($A99&lt;Input!$G$110,IF($A99&lt;Input!$F$110,IF($A99&lt;Input!$E$110,IF($A99&lt;Input!$D$110,Input!$C$111,Input!$D$111),Input!$E$111),Input!$F$111),Input!$G$111),Input!$H$111)</f>
        <v>0.9</v>
      </c>
      <c r="BK99" s="60">
        <f t="shared" si="57"/>
        <v>0</v>
      </c>
      <c r="BL99" s="60">
        <f t="shared" si="73"/>
        <v>30</v>
      </c>
      <c r="BM99" s="60">
        <f t="shared" si="58"/>
        <v>0</v>
      </c>
      <c r="BN99" s="60">
        <f>ROUND(BM99*BL99*Input!$C$3/365,0)</f>
        <v>0</v>
      </c>
      <c r="BO99" s="61">
        <f>IF($A99&lt;=Input!$C$6,0,IF('144M'!BK99&lt;'144M'!BM99,'144M'!BK99-BN99,'144M'!BM99))</f>
        <v>0</v>
      </c>
      <c r="BP99" s="61">
        <f t="shared" si="59"/>
        <v>0</v>
      </c>
      <c r="BQ99" s="60">
        <f t="shared" si="60"/>
        <v>0</v>
      </c>
      <c r="BR99" s="198"/>
    </row>
    <row r="100" spans="1:70" x14ac:dyDescent="0.25">
      <c r="A100" s="169">
        <v>96</v>
      </c>
      <c r="B100" s="1">
        <f t="shared" si="61"/>
        <v>48441</v>
      </c>
      <c r="C100" s="60">
        <f t="shared" si="39"/>
        <v>21781574.999999996</v>
      </c>
      <c r="D100" s="60">
        <f t="shared" si="40"/>
        <v>19603417.499999996</v>
      </c>
      <c r="E100" s="60">
        <f t="shared" si="62"/>
        <v>31</v>
      </c>
      <c r="F100" s="60">
        <f t="shared" si="63"/>
        <v>321927827.5</v>
      </c>
      <c r="G100" s="60">
        <f>ROUND(F100*E100*Input!$C$3/365,0)</f>
        <v>4101272</v>
      </c>
      <c r="H100" s="60">
        <f>IF($A100&lt;=Input!$C$6,0,IF('144M'!D100&lt;'144M'!F100,'144M'!D100-G100,'144M'!F100))</f>
        <v>15502145.499999996</v>
      </c>
      <c r="I100" s="60">
        <f t="shared" si="64"/>
        <v>19603417.499999996</v>
      </c>
      <c r="J100" s="60">
        <f t="shared" si="65"/>
        <v>306425682</v>
      </c>
      <c r="K100" s="202">
        <f>J100/Input!$K$5</f>
        <v>1.02141894</v>
      </c>
      <c r="L100" s="232"/>
      <c r="M100" s="60">
        <f>IF($B100&lt;Input!$H$43,IF($B100&lt;Input!$G$43,IF($B100&lt;Input!$F$43,IF($B100&lt;Input!$E$43,IF($B100&lt;Input!$D$43,Input!$C$49,Input!$D$49),Input!$E$49),Input!$F$49),Input!$G$49),Input!$H$49)</f>
        <v>21781574.999999996</v>
      </c>
      <c r="N100" s="190">
        <f>IF($A100&lt;Input!$H$50,IF($A100&lt;Input!$G$50,IF($A100&lt;Input!$F$50,IF($A100&lt;Input!$E$50,IF($A100&lt;Input!$D$50,Input!$C$51,Input!$D$51),Input!$E$51),Input!$F$51),Input!$G$51),Input!$H$51)</f>
        <v>0.9</v>
      </c>
      <c r="O100" s="60">
        <f t="shared" ref="O100:O131" si="74">M100*N100</f>
        <v>19603417.499999996</v>
      </c>
      <c r="P100" s="60">
        <f t="shared" si="41"/>
        <v>31</v>
      </c>
      <c r="Q100" s="60">
        <f t="shared" si="42"/>
        <v>321927827.5</v>
      </c>
      <c r="R100" s="60">
        <f>ROUND(Q100*$P100*Input!$C$3/365,0)</f>
        <v>4101272</v>
      </c>
      <c r="S100" s="60">
        <f>IF(A100&lt;=Input!$C$6,0,IF('144M'!O100&lt;'144M'!Q100,'144M'!O100-R100,'144M'!Q100))</f>
        <v>15502145.499999996</v>
      </c>
      <c r="T100" s="60">
        <f t="shared" si="43"/>
        <v>19603417.499999996</v>
      </c>
      <c r="U100" s="60">
        <f t="shared" si="44"/>
        <v>306425682</v>
      </c>
      <c r="V100" s="193"/>
      <c r="W100" s="169">
        <v>96</v>
      </c>
      <c r="X100" s="1">
        <f t="shared" si="66"/>
        <v>48441</v>
      </c>
      <c r="Y100" s="60">
        <f>IF($X100&lt;Input!$H$58,IF($X100&lt;Input!$G$58,IF($X100&lt;Input!$F$58,IF($X100&lt;Input!$E$58,IF($X100&lt;Input!$D$58,Input!$C$64,Input!$D$64),Input!$E$64),Input!$F$64),Input!$G$64),Input!$H$64)</f>
        <v>0</v>
      </c>
      <c r="Z100" s="190">
        <f>IF($A100&lt;Input!$H$65,IF($A100&lt;Input!$G$65,IF($A100&lt;Input!$F$65,IF($A100&lt;Input!$E$65,IF($A100&lt;Input!$D$65,Input!$C$66,Input!$D$66),Input!$E$66),Input!$F$66),Input!$G$66),Input!$H$66)</f>
        <v>0.9</v>
      </c>
      <c r="AA100" s="60">
        <f t="shared" si="45"/>
        <v>0</v>
      </c>
      <c r="AB100" s="60">
        <f t="shared" si="67"/>
        <v>31</v>
      </c>
      <c r="AC100" s="60">
        <f t="shared" si="46"/>
        <v>0</v>
      </c>
      <c r="AD100" s="60">
        <f>ROUND(AC100*AB100*Input!$C$3/365,0)</f>
        <v>0</v>
      </c>
      <c r="AE100" s="61">
        <f>IF($A100&lt;=Input!$C$6,0,IF('144M'!AA100&lt;'144M'!AC100,'144M'!AA100-AD100,'144M'!AC100))</f>
        <v>0</v>
      </c>
      <c r="AF100" s="61">
        <f t="shared" si="47"/>
        <v>0</v>
      </c>
      <c r="AG100" s="60">
        <f t="shared" si="48"/>
        <v>0</v>
      </c>
      <c r="AH100" s="193"/>
      <c r="AI100" s="169">
        <v>96</v>
      </c>
      <c r="AJ100" s="1">
        <f t="shared" si="68"/>
        <v>48441</v>
      </c>
      <c r="AK100" s="60">
        <f>IF($X100&lt;Input!$H$73,IF($X100&lt;Input!$G$73,IF($X100&lt;Input!$F$73,IF($X100&lt;Input!$E$73,IF($X100&lt;Input!$D$73,Input!$C$79,Input!$D$79),Input!$E$79),Input!$F$79),Input!$G$79),Input!$H$79)</f>
        <v>0</v>
      </c>
      <c r="AL100" s="190">
        <f>IF($A100&lt;Input!$H$80,IF($A100&lt;Input!$G$80,IF($A100&lt;Input!$F$80,IF($A100&lt;Input!$E$80,IF($A100&lt;Input!$D$80,Input!$C$81,Input!$D$81),Input!$E$81),Input!$F$81),Input!$G$81),Input!$H$81)</f>
        <v>0.9</v>
      </c>
      <c r="AM100" s="60">
        <f t="shared" si="49"/>
        <v>0</v>
      </c>
      <c r="AN100" s="60">
        <f t="shared" si="69"/>
        <v>31</v>
      </c>
      <c r="AO100" s="60">
        <f t="shared" si="50"/>
        <v>0</v>
      </c>
      <c r="AP100" s="60">
        <f>ROUND(AO100*AN100*Input!$C$3/365,0)</f>
        <v>0</v>
      </c>
      <c r="AQ100" s="61">
        <f>IF($A100&lt;=Input!$C$6,0,IF('144M'!AM100&lt;'144M'!AO100,'144M'!AM100-AP100,'144M'!AO100))</f>
        <v>0</v>
      </c>
      <c r="AR100" s="61">
        <f t="shared" si="51"/>
        <v>0</v>
      </c>
      <c r="AS100" s="60">
        <f t="shared" si="52"/>
        <v>0</v>
      </c>
      <c r="AT100" s="193"/>
      <c r="AU100" s="169">
        <v>96</v>
      </c>
      <c r="AV100" s="1">
        <f t="shared" si="70"/>
        <v>48441</v>
      </c>
      <c r="AW100" s="60">
        <f>IF($X100&lt;Input!$H$88,IF($X100&lt;Input!$G$88,IF($X100&lt;Input!$F$88,IF($X100&lt;Input!$E$88,IF($X100&lt;Input!$D$88,Input!$C$94,Input!$D$94),Input!$E$94),Input!$F$94),Input!$G$94),Input!$H$94)</f>
        <v>0</v>
      </c>
      <c r="AX100" s="190">
        <f>IF($A100&lt;Input!$H$95,IF($A100&lt;Input!$G$95,IF($A100&lt;Input!$F$95,IF($A100&lt;Input!$E$95,IF($A100&lt;Input!$D$95,Input!$C$96,Input!$D$96),Input!$E$96),Input!$F$96),Input!$G$96),Input!$H$96)</f>
        <v>0.9</v>
      </c>
      <c r="AY100" s="60">
        <f t="shared" si="53"/>
        <v>0</v>
      </c>
      <c r="AZ100" s="60">
        <f t="shared" si="71"/>
        <v>31</v>
      </c>
      <c r="BA100" s="60">
        <f t="shared" si="54"/>
        <v>0</v>
      </c>
      <c r="BB100" s="60">
        <f>ROUND(BA100*AZ100*Input!$C$3/365,0)</f>
        <v>0</v>
      </c>
      <c r="BC100" s="61">
        <f>IF($A100&lt;=Input!$C$6,0,IF('144M'!AY100&lt;'144M'!BA100,'144M'!AY100-BB100,'144M'!BA100))</f>
        <v>0</v>
      </c>
      <c r="BD100" s="61">
        <f t="shared" si="55"/>
        <v>0</v>
      </c>
      <c r="BE100" s="60">
        <f t="shared" si="56"/>
        <v>0</v>
      </c>
      <c r="BF100" s="193"/>
      <c r="BG100" s="169">
        <v>96</v>
      </c>
      <c r="BH100" s="1">
        <f t="shared" si="72"/>
        <v>48441</v>
      </c>
      <c r="BI100" s="60">
        <f>IF($X100&lt;Input!$H$103,IF($X100&lt;Input!$G$103,IF($X100&lt;Input!$F$103,IF($X100&lt;Input!$E$103,IF($X100&lt;Input!$D$103,Input!$C$109,Input!$D$109),Input!$E$109),Input!$F$109),Input!$G$109),Input!$H$109)</f>
        <v>0</v>
      </c>
      <c r="BJ100" s="190">
        <f>IF($A100&lt;Input!$H$110,IF($A100&lt;Input!$G$110,IF($A100&lt;Input!$F$110,IF($A100&lt;Input!$E$110,IF($A100&lt;Input!$D$110,Input!$C$111,Input!$D$111),Input!$E$111),Input!$F$111),Input!$G$111),Input!$H$111)</f>
        <v>0.9</v>
      </c>
      <c r="BK100" s="60">
        <f t="shared" si="57"/>
        <v>0</v>
      </c>
      <c r="BL100" s="60">
        <f t="shared" si="73"/>
        <v>31</v>
      </c>
      <c r="BM100" s="60">
        <f t="shared" si="58"/>
        <v>0</v>
      </c>
      <c r="BN100" s="60">
        <f>ROUND(BM100*BL100*Input!$C$3/365,0)</f>
        <v>0</v>
      </c>
      <c r="BO100" s="61">
        <f>IF($A100&lt;=Input!$C$6,0,IF('144M'!BK100&lt;'144M'!BM100,'144M'!BK100-BN100,'144M'!BM100))</f>
        <v>0</v>
      </c>
      <c r="BP100" s="61">
        <f t="shared" si="59"/>
        <v>0</v>
      </c>
      <c r="BQ100" s="60">
        <f t="shared" si="60"/>
        <v>0</v>
      </c>
      <c r="BR100" s="198"/>
    </row>
    <row r="101" spans="1:70" x14ac:dyDescent="0.25">
      <c r="A101" s="169">
        <v>97</v>
      </c>
      <c r="B101" s="1">
        <f t="shared" si="61"/>
        <v>48472</v>
      </c>
      <c r="C101" s="60">
        <f t="shared" si="39"/>
        <v>21781574.999999996</v>
      </c>
      <c r="D101" s="60">
        <f t="shared" si="40"/>
        <v>19603417.499999996</v>
      </c>
      <c r="E101" s="60">
        <f t="shared" si="62"/>
        <v>31</v>
      </c>
      <c r="F101" s="60">
        <f t="shared" si="63"/>
        <v>306425682</v>
      </c>
      <c r="G101" s="60">
        <f>ROUND(F101*E101*Input!$C$3/365,0)</f>
        <v>3903779</v>
      </c>
      <c r="H101" s="60">
        <f>IF($A101&lt;=Input!$C$6,0,IF('144M'!D101&lt;'144M'!F101,'144M'!D101-G101,'144M'!F101))</f>
        <v>15699638.499999996</v>
      </c>
      <c r="I101" s="60">
        <f t="shared" si="64"/>
        <v>19603417.499999996</v>
      </c>
      <c r="J101" s="60">
        <f t="shared" si="65"/>
        <v>290726043.5</v>
      </c>
      <c r="K101" s="202">
        <f>J101/Input!$K$5</f>
        <v>0.96908681166666666</v>
      </c>
      <c r="L101" s="232"/>
      <c r="M101" s="60">
        <f>IF($B101&lt;Input!$H$43,IF($B101&lt;Input!$G$43,IF($B101&lt;Input!$F$43,IF($B101&lt;Input!$E$43,IF($B101&lt;Input!$D$43,Input!$C$49,Input!$D$49),Input!$E$49),Input!$F$49),Input!$G$49),Input!$H$49)</f>
        <v>21781574.999999996</v>
      </c>
      <c r="N101" s="190">
        <f>IF($A101&lt;Input!$H$50,IF($A101&lt;Input!$G$50,IF($A101&lt;Input!$F$50,IF($A101&lt;Input!$E$50,IF($A101&lt;Input!$D$50,Input!$C$51,Input!$D$51),Input!$E$51),Input!$F$51),Input!$G$51),Input!$H$51)</f>
        <v>0.9</v>
      </c>
      <c r="O101" s="60">
        <f t="shared" si="74"/>
        <v>19603417.499999996</v>
      </c>
      <c r="P101" s="60">
        <f t="shared" ref="P101:P132" si="75">B101-B100</f>
        <v>31</v>
      </c>
      <c r="Q101" s="60">
        <f t="shared" si="42"/>
        <v>306425682</v>
      </c>
      <c r="R101" s="60">
        <f>ROUND(Q101*$P101*Input!$C$3/365,0)</f>
        <v>3903779</v>
      </c>
      <c r="S101" s="60">
        <f>IF(A101&lt;=Input!$C$6,0,IF('144M'!O101&lt;'144M'!Q101,'144M'!O101-R101,'144M'!Q101))</f>
        <v>15699638.499999996</v>
      </c>
      <c r="T101" s="60">
        <f t="shared" si="43"/>
        <v>19603417.499999996</v>
      </c>
      <c r="U101" s="60">
        <f t="shared" si="44"/>
        <v>290726043.5</v>
      </c>
      <c r="V101" s="193"/>
      <c r="W101" s="169">
        <v>97</v>
      </c>
      <c r="X101" s="1">
        <f t="shared" si="66"/>
        <v>48472</v>
      </c>
      <c r="Y101" s="60">
        <f>IF($X101&lt;Input!$H$58,IF($X101&lt;Input!$G$58,IF($X101&lt;Input!$F$58,IF($X101&lt;Input!$E$58,IF($X101&lt;Input!$D$58,Input!$C$64,Input!$D$64),Input!$E$64),Input!$F$64),Input!$G$64),Input!$H$64)</f>
        <v>0</v>
      </c>
      <c r="Z101" s="190">
        <f>IF($A101&lt;Input!$H$65,IF($A101&lt;Input!$G$65,IF($A101&lt;Input!$F$65,IF($A101&lt;Input!$E$65,IF($A101&lt;Input!$D$65,Input!$C$66,Input!$D$66),Input!$E$66),Input!$F$66),Input!$G$66),Input!$H$66)</f>
        <v>0.9</v>
      </c>
      <c r="AA101" s="60">
        <f t="shared" si="45"/>
        <v>0</v>
      </c>
      <c r="AB101" s="60">
        <f t="shared" si="67"/>
        <v>31</v>
      </c>
      <c r="AC101" s="60">
        <f t="shared" si="46"/>
        <v>0</v>
      </c>
      <c r="AD101" s="60">
        <f>ROUND(AC101*AB101*Input!$C$3/365,0)</f>
        <v>0</v>
      </c>
      <c r="AE101" s="61">
        <f>IF($A101&lt;=Input!$C$6,0,IF('144M'!AA101&lt;'144M'!AC101,'144M'!AA101-AD101,'144M'!AC101))</f>
        <v>0</v>
      </c>
      <c r="AF101" s="61">
        <f t="shared" si="47"/>
        <v>0</v>
      </c>
      <c r="AG101" s="60">
        <f t="shared" si="48"/>
        <v>0</v>
      </c>
      <c r="AH101" s="193"/>
      <c r="AI101" s="169">
        <v>97</v>
      </c>
      <c r="AJ101" s="1">
        <f t="shared" si="68"/>
        <v>48472</v>
      </c>
      <c r="AK101" s="60">
        <f>IF($X101&lt;Input!$H$73,IF($X101&lt;Input!$G$73,IF($X101&lt;Input!$F$73,IF($X101&lt;Input!$E$73,IF($X101&lt;Input!$D$73,Input!$C$79,Input!$D$79),Input!$E$79),Input!$F$79),Input!$G$79),Input!$H$79)</f>
        <v>0</v>
      </c>
      <c r="AL101" s="190">
        <f>IF($A101&lt;Input!$H$80,IF($A101&lt;Input!$G$80,IF($A101&lt;Input!$F$80,IF($A101&lt;Input!$E$80,IF($A101&lt;Input!$D$80,Input!$C$81,Input!$D$81),Input!$E$81),Input!$F$81),Input!$G$81),Input!$H$81)</f>
        <v>0.9</v>
      </c>
      <c r="AM101" s="60">
        <f t="shared" si="49"/>
        <v>0</v>
      </c>
      <c r="AN101" s="60">
        <f t="shared" si="69"/>
        <v>31</v>
      </c>
      <c r="AO101" s="60">
        <f t="shared" si="50"/>
        <v>0</v>
      </c>
      <c r="AP101" s="60">
        <f>ROUND(AO101*AN101*Input!$C$3/365,0)</f>
        <v>0</v>
      </c>
      <c r="AQ101" s="61">
        <f>IF($A101&lt;=Input!$C$6,0,IF('144M'!AM101&lt;'144M'!AO101,'144M'!AM101-AP101,'144M'!AO101))</f>
        <v>0</v>
      </c>
      <c r="AR101" s="61">
        <f t="shared" si="51"/>
        <v>0</v>
      </c>
      <c r="AS101" s="60">
        <f t="shared" si="52"/>
        <v>0</v>
      </c>
      <c r="AT101" s="193"/>
      <c r="AU101" s="169">
        <v>97</v>
      </c>
      <c r="AV101" s="1">
        <f t="shared" si="70"/>
        <v>48472</v>
      </c>
      <c r="AW101" s="60">
        <f>IF($X101&lt;Input!$H$88,IF($X101&lt;Input!$G$88,IF($X101&lt;Input!$F$88,IF($X101&lt;Input!$E$88,IF($X101&lt;Input!$D$88,Input!$C$94,Input!$D$94),Input!$E$94),Input!$F$94),Input!$G$94),Input!$H$94)</f>
        <v>0</v>
      </c>
      <c r="AX101" s="190">
        <f>IF($A101&lt;Input!$H$95,IF($A101&lt;Input!$G$95,IF($A101&lt;Input!$F$95,IF($A101&lt;Input!$E$95,IF($A101&lt;Input!$D$95,Input!$C$96,Input!$D$96),Input!$E$96),Input!$F$96),Input!$G$96),Input!$H$96)</f>
        <v>0.9</v>
      </c>
      <c r="AY101" s="60">
        <f t="shared" si="53"/>
        <v>0</v>
      </c>
      <c r="AZ101" s="60">
        <f t="shared" si="71"/>
        <v>31</v>
      </c>
      <c r="BA101" s="60">
        <f t="shared" si="54"/>
        <v>0</v>
      </c>
      <c r="BB101" s="60">
        <f>ROUND(BA101*AZ101*Input!$C$3/365,0)</f>
        <v>0</v>
      </c>
      <c r="BC101" s="61">
        <f>IF($A101&lt;=Input!$C$6,0,IF('144M'!AY101&lt;'144M'!BA101,'144M'!AY101-BB101,'144M'!BA101))</f>
        <v>0</v>
      </c>
      <c r="BD101" s="61">
        <f t="shared" si="55"/>
        <v>0</v>
      </c>
      <c r="BE101" s="60">
        <f t="shared" si="56"/>
        <v>0</v>
      </c>
      <c r="BF101" s="193"/>
      <c r="BG101" s="169">
        <v>97</v>
      </c>
      <c r="BH101" s="1">
        <f t="shared" si="72"/>
        <v>48472</v>
      </c>
      <c r="BI101" s="60">
        <f>IF($X101&lt;Input!$H$103,IF($X101&lt;Input!$G$103,IF($X101&lt;Input!$F$103,IF($X101&lt;Input!$E$103,IF($X101&lt;Input!$D$103,Input!$C$109,Input!$D$109),Input!$E$109),Input!$F$109),Input!$G$109),Input!$H$109)</f>
        <v>0</v>
      </c>
      <c r="BJ101" s="190">
        <f>IF($A101&lt;Input!$H$110,IF($A101&lt;Input!$G$110,IF($A101&lt;Input!$F$110,IF($A101&lt;Input!$E$110,IF($A101&lt;Input!$D$110,Input!$C$111,Input!$D$111),Input!$E$111),Input!$F$111),Input!$G$111),Input!$H$111)</f>
        <v>0.9</v>
      </c>
      <c r="BK101" s="60">
        <f t="shared" si="57"/>
        <v>0</v>
      </c>
      <c r="BL101" s="60">
        <f t="shared" si="73"/>
        <v>31</v>
      </c>
      <c r="BM101" s="60">
        <f t="shared" si="58"/>
        <v>0</v>
      </c>
      <c r="BN101" s="60">
        <f>ROUND(BM101*BL101*Input!$C$3/365,0)</f>
        <v>0</v>
      </c>
      <c r="BO101" s="61">
        <f>IF($A101&lt;=Input!$C$6,0,IF('144M'!BK101&lt;'144M'!BM101,'144M'!BK101-BN101,'144M'!BM101))</f>
        <v>0</v>
      </c>
      <c r="BP101" s="61">
        <f t="shared" si="59"/>
        <v>0</v>
      </c>
      <c r="BQ101" s="60">
        <f t="shared" si="60"/>
        <v>0</v>
      </c>
      <c r="BR101" s="198"/>
    </row>
    <row r="102" spans="1:70" x14ac:dyDescent="0.25">
      <c r="A102" s="169">
        <v>98</v>
      </c>
      <c r="B102" s="1">
        <f t="shared" si="61"/>
        <v>48502</v>
      </c>
      <c r="C102" s="60">
        <f t="shared" si="39"/>
        <v>21781574.999999996</v>
      </c>
      <c r="D102" s="60">
        <f t="shared" si="40"/>
        <v>19603417.499999996</v>
      </c>
      <c r="E102" s="60">
        <f t="shared" si="62"/>
        <v>30</v>
      </c>
      <c r="F102" s="60">
        <f t="shared" si="63"/>
        <v>290726043.5</v>
      </c>
      <c r="G102" s="60">
        <f>ROUND(F102*E102*Input!$C$3/365,0)</f>
        <v>3584294</v>
      </c>
      <c r="H102" s="60">
        <f>IF($A102&lt;=Input!$C$6,0,IF('144M'!D102&lt;'144M'!F102,'144M'!D102-G102,'144M'!F102))</f>
        <v>16019123.499999996</v>
      </c>
      <c r="I102" s="60">
        <f t="shared" si="64"/>
        <v>19603417.499999996</v>
      </c>
      <c r="J102" s="60">
        <f t="shared" si="65"/>
        <v>274706920</v>
      </c>
      <c r="K102" s="202">
        <f>J102/Input!$K$5</f>
        <v>0.91568973333333337</v>
      </c>
      <c r="L102" s="232"/>
      <c r="M102" s="60">
        <f>IF($B102&lt;Input!$H$43,IF($B102&lt;Input!$G$43,IF($B102&lt;Input!$F$43,IF($B102&lt;Input!$E$43,IF($B102&lt;Input!$D$43,Input!$C$49,Input!$D$49),Input!$E$49),Input!$F$49),Input!$G$49),Input!$H$49)</f>
        <v>21781574.999999996</v>
      </c>
      <c r="N102" s="190">
        <f>IF($A102&lt;Input!$H$50,IF($A102&lt;Input!$G$50,IF($A102&lt;Input!$F$50,IF($A102&lt;Input!$E$50,IF($A102&lt;Input!$D$50,Input!$C$51,Input!$D$51),Input!$E$51),Input!$F$51),Input!$G$51),Input!$H$51)</f>
        <v>0.9</v>
      </c>
      <c r="O102" s="60">
        <f t="shared" si="74"/>
        <v>19603417.499999996</v>
      </c>
      <c r="P102" s="60">
        <f t="shared" si="75"/>
        <v>30</v>
      </c>
      <c r="Q102" s="60">
        <f t="shared" si="42"/>
        <v>290726043.5</v>
      </c>
      <c r="R102" s="60">
        <f>ROUND(Q102*$P102*Input!$C$3/365,0)</f>
        <v>3584294</v>
      </c>
      <c r="S102" s="60">
        <f>IF(A102&lt;=Input!$C$6,0,IF('144M'!O102&lt;'144M'!Q102,'144M'!O102-R102,'144M'!Q102))</f>
        <v>16019123.499999996</v>
      </c>
      <c r="T102" s="60">
        <f t="shared" si="43"/>
        <v>19603417.499999996</v>
      </c>
      <c r="U102" s="60">
        <f t="shared" si="44"/>
        <v>274706920</v>
      </c>
      <c r="V102" s="193"/>
      <c r="W102" s="169">
        <v>98</v>
      </c>
      <c r="X102" s="1">
        <f t="shared" si="66"/>
        <v>48502</v>
      </c>
      <c r="Y102" s="60">
        <f>IF($X102&lt;Input!$H$58,IF($X102&lt;Input!$G$58,IF($X102&lt;Input!$F$58,IF($X102&lt;Input!$E$58,IF($X102&lt;Input!$D$58,Input!$C$64,Input!$D$64),Input!$E$64),Input!$F$64),Input!$G$64),Input!$H$64)</f>
        <v>0</v>
      </c>
      <c r="Z102" s="190">
        <f>IF($A102&lt;Input!$H$65,IF($A102&lt;Input!$G$65,IF($A102&lt;Input!$F$65,IF($A102&lt;Input!$E$65,IF($A102&lt;Input!$D$65,Input!$C$66,Input!$D$66),Input!$E$66),Input!$F$66),Input!$G$66),Input!$H$66)</f>
        <v>0.9</v>
      </c>
      <c r="AA102" s="60">
        <f t="shared" si="45"/>
        <v>0</v>
      </c>
      <c r="AB102" s="60">
        <f t="shared" si="67"/>
        <v>30</v>
      </c>
      <c r="AC102" s="60">
        <f t="shared" si="46"/>
        <v>0</v>
      </c>
      <c r="AD102" s="60">
        <f>ROUND(AC102*AB102*Input!$C$3/365,0)</f>
        <v>0</v>
      </c>
      <c r="AE102" s="61">
        <f>IF($A102&lt;=Input!$C$6,0,IF('144M'!AA102&lt;'144M'!AC102,'144M'!AA102-AD102,'144M'!AC102))</f>
        <v>0</v>
      </c>
      <c r="AF102" s="61">
        <f t="shared" si="47"/>
        <v>0</v>
      </c>
      <c r="AG102" s="60">
        <f t="shared" si="48"/>
        <v>0</v>
      </c>
      <c r="AH102" s="193"/>
      <c r="AI102" s="169">
        <v>98</v>
      </c>
      <c r="AJ102" s="1">
        <f t="shared" si="68"/>
        <v>48502</v>
      </c>
      <c r="AK102" s="60">
        <f>IF($X102&lt;Input!$H$73,IF($X102&lt;Input!$G$73,IF($X102&lt;Input!$F$73,IF($X102&lt;Input!$E$73,IF($X102&lt;Input!$D$73,Input!$C$79,Input!$D$79),Input!$E$79),Input!$F$79),Input!$G$79),Input!$H$79)</f>
        <v>0</v>
      </c>
      <c r="AL102" s="190">
        <f>IF($A102&lt;Input!$H$80,IF($A102&lt;Input!$G$80,IF($A102&lt;Input!$F$80,IF($A102&lt;Input!$E$80,IF($A102&lt;Input!$D$80,Input!$C$81,Input!$D$81),Input!$E$81),Input!$F$81),Input!$G$81),Input!$H$81)</f>
        <v>0.9</v>
      </c>
      <c r="AM102" s="60">
        <f t="shared" si="49"/>
        <v>0</v>
      </c>
      <c r="AN102" s="60">
        <f t="shared" si="69"/>
        <v>30</v>
      </c>
      <c r="AO102" s="60">
        <f t="shared" si="50"/>
        <v>0</v>
      </c>
      <c r="AP102" s="60">
        <f>ROUND(AO102*AN102*Input!$C$3/365,0)</f>
        <v>0</v>
      </c>
      <c r="AQ102" s="61">
        <f>IF($A102&lt;=Input!$C$6,0,IF('144M'!AM102&lt;'144M'!AO102,'144M'!AM102-AP102,'144M'!AO102))</f>
        <v>0</v>
      </c>
      <c r="AR102" s="61">
        <f t="shared" si="51"/>
        <v>0</v>
      </c>
      <c r="AS102" s="60">
        <f t="shared" si="52"/>
        <v>0</v>
      </c>
      <c r="AT102" s="193"/>
      <c r="AU102" s="169">
        <v>98</v>
      </c>
      <c r="AV102" s="1">
        <f t="shared" si="70"/>
        <v>48502</v>
      </c>
      <c r="AW102" s="60">
        <f>IF($X102&lt;Input!$H$88,IF($X102&lt;Input!$G$88,IF($X102&lt;Input!$F$88,IF($X102&lt;Input!$E$88,IF($X102&lt;Input!$D$88,Input!$C$94,Input!$D$94),Input!$E$94),Input!$F$94),Input!$G$94),Input!$H$94)</f>
        <v>0</v>
      </c>
      <c r="AX102" s="190">
        <f>IF($A102&lt;Input!$H$95,IF($A102&lt;Input!$G$95,IF($A102&lt;Input!$F$95,IF($A102&lt;Input!$E$95,IF($A102&lt;Input!$D$95,Input!$C$96,Input!$D$96),Input!$E$96),Input!$F$96),Input!$G$96),Input!$H$96)</f>
        <v>0.9</v>
      </c>
      <c r="AY102" s="60">
        <f t="shared" si="53"/>
        <v>0</v>
      </c>
      <c r="AZ102" s="60">
        <f t="shared" si="71"/>
        <v>30</v>
      </c>
      <c r="BA102" s="60">
        <f t="shared" si="54"/>
        <v>0</v>
      </c>
      <c r="BB102" s="60">
        <f>ROUND(BA102*AZ102*Input!$C$3/365,0)</f>
        <v>0</v>
      </c>
      <c r="BC102" s="61">
        <f>IF($A102&lt;=Input!$C$6,0,IF('144M'!AY102&lt;'144M'!BA102,'144M'!AY102-BB102,'144M'!BA102))</f>
        <v>0</v>
      </c>
      <c r="BD102" s="61">
        <f t="shared" si="55"/>
        <v>0</v>
      </c>
      <c r="BE102" s="60">
        <f t="shared" si="56"/>
        <v>0</v>
      </c>
      <c r="BF102" s="193"/>
      <c r="BG102" s="169">
        <v>98</v>
      </c>
      <c r="BH102" s="1">
        <f t="shared" si="72"/>
        <v>48502</v>
      </c>
      <c r="BI102" s="60">
        <f>IF($X102&lt;Input!$H$103,IF($X102&lt;Input!$G$103,IF($X102&lt;Input!$F$103,IF($X102&lt;Input!$E$103,IF($X102&lt;Input!$D$103,Input!$C$109,Input!$D$109),Input!$E$109),Input!$F$109),Input!$G$109),Input!$H$109)</f>
        <v>0</v>
      </c>
      <c r="BJ102" s="190">
        <f>IF($A102&lt;Input!$H$110,IF($A102&lt;Input!$G$110,IF($A102&lt;Input!$F$110,IF($A102&lt;Input!$E$110,IF($A102&lt;Input!$D$110,Input!$C$111,Input!$D$111),Input!$E$111),Input!$F$111),Input!$G$111),Input!$H$111)</f>
        <v>0.9</v>
      </c>
      <c r="BK102" s="60">
        <f t="shared" si="57"/>
        <v>0</v>
      </c>
      <c r="BL102" s="60">
        <f t="shared" si="73"/>
        <v>30</v>
      </c>
      <c r="BM102" s="60">
        <f t="shared" si="58"/>
        <v>0</v>
      </c>
      <c r="BN102" s="60">
        <f>ROUND(BM102*BL102*Input!$C$3/365,0)</f>
        <v>0</v>
      </c>
      <c r="BO102" s="61">
        <f>IF($A102&lt;=Input!$C$6,0,IF('144M'!BK102&lt;'144M'!BM102,'144M'!BK102-BN102,'144M'!BM102))</f>
        <v>0</v>
      </c>
      <c r="BP102" s="61">
        <f t="shared" si="59"/>
        <v>0</v>
      </c>
      <c r="BQ102" s="60">
        <f t="shared" si="60"/>
        <v>0</v>
      </c>
      <c r="BR102" s="198"/>
    </row>
    <row r="103" spans="1:70" x14ac:dyDescent="0.25">
      <c r="A103" s="169">
        <v>99</v>
      </c>
      <c r="B103" s="1">
        <f t="shared" si="61"/>
        <v>48533</v>
      </c>
      <c r="C103" s="60">
        <f t="shared" si="39"/>
        <v>21781574.999999996</v>
      </c>
      <c r="D103" s="60">
        <f t="shared" si="40"/>
        <v>19603417.499999996</v>
      </c>
      <c r="E103" s="60">
        <f t="shared" si="62"/>
        <v>31</v>
      </c>
      <c r="F103" s="60">
        <f t="shared" si="63"/>
        <v>274706920</v>
      </c>
      <c r="G103" s="60">
        <f>ROUND(F103*E103*Input!$C$3/365,0)</f>
        <v>3499691</v>
      </c>
      <c r="H103" s="60">
        <f>IF($A103&lt;=Input!$C$6,0,IF('144M'!D103&lt;'144M'!F103,'144M'!D103-G103,'144M'!F103))</f>
        <v>16103726.499999996</v>
      </c>
      <c r="I103" s="60">
        <f t="shared" si="64"/>
        <v>19603417.499999996</v>
      </c>
      <c r="J103" s="60">
        <f t="shared" si="65"/>
        <v>258603193.5</v>
      </c>
      <c r="K103" s="202">
        <f>J103/Input!$K$5</f>
        <v>0.86201064500000002</v>
      </c>
      <c r="L103" s="232"/>
      <c r="M103" s="60">
        <f>IF($B103&lt;Input!$H$43,IF($B103&lt;Input!$G$43,IF($B103&lt;Input!$F$43,IF($B103&lt;Input!$E$43,IF($B103&lt;Input!$D$43,Input!$C$49,Input!$D$49),Input!$E$49),Input!$F$49),Input!$G$49),Input!$H$49)</f>
        <v>21781574.999999996</v>
      </c>
      <c r="N103" s="190">
        <f>IF($A103&lt;Input!$H$50,IF($A103&lt;Input!$G$50,IF($A103&lt;Input!$F$50,IF($A103&lt;Input!$E$50,IF($A103&lt;Input!$D$50,Input!$C$51,Input!$D$51),Input!$E$51),Input!$F$51),Input!$G$51),Input!$H$51)</f>
        <v>0.9</v>
      </c>
      <c r="O103" s="60">
        <f t="shared" si="74"/>
        <v>19603417.499999996</v>
      </c>
      <c r="P103" s="60">
        <f t="shared" si="75"/>
        <v>31</v>
      </c>
      <c r="Q103" s="60">
        <f t="shared" si="42"/>
        <v>274706920</v>
      </c>
      <c r="R103" s="60">
        <f>ROUND(Q103*$P103*Input!$C$3/365,0)</f>
        <v>3499691</v>
      </c>
      <c r="S103" s="60">
        <f>IF(A103&lt;=Input!$C$6,0,IF('144M'!O103&lt;'144M'!Q103,'144M'!O103-R103,'144M'!Q103))</f>
        <v>16103726.499999996</v>
      </c>
      <c r="T103" s="60">
        <f t="shared" si="43"/>
        <v>19603417.499999996</v>
      </c>
      <c r="U103" s="60">
        <f t="shared" si="44"/>
        <v>258603193.5</v>
      </c>
      <c r="V103" s="193"/>
      <c r="W103" s="169">
        <v>99</v>
      </c>
      <c r="X103" s="1">
        <f t="shared" si="66"/>
        <v>48533</v>
      </c>
      <c r="Y103" s="60">
        <f>IF($X103&lt;Input!$H$58,IF($X103&lt;Input!$G$58,IF($X103&lt;Input!$F$58,IF($X103&lt;Input!$E$58,IF($X103&lt;Input!$D$58,Input!$C$64,Input!$D$64),Input!$E$64),Input!$F$64),Input!$G$64),Input!$H$64)</f>
        <v>0</v>
      </c>
      <c r="Z103" s="190">
        <f>IF($A103&lt;Input!$H$65,IF($A103&lt;Input!$G$65,IF($A103&lt;Input!$F$65,IF($A103&lt;Input!$E$65,IF($A103&lt;Input!$D$65,Input!$C$66,Input!$D$66),Input!$E$66),Input!$F$66),Input!$G$66),Input!$H$66)</f>
        <v>0.9</v>
      </c>
      <c r="AA103" s="60">
        <f t="shared" si="45"/>
        <v>0</v>
      </c>
      <c r="AB103" s="60">
        <f t="shared" si="67"/>
        <v>31</v>
      </c>
      <c r="AC103" s="60">
        <f t="shared" si="46"/>
        <v>0</v>
      </c>
      <c r="AD103" s="60">
        <f>ROUND(AC103*AB103*Input!$C$3/365,0)</f>
        <v>0</v>
      </c>
      <c r="AE103" s="61">
        <f>IF($A103&lt;=Input!$C$6,0,IF('144M'!AA103&lt;'144M'!AC103,'144M'!AA103-AD103,'144M'!AC103))</f>
        <v>0</v>
      </c>
      <c r="AF103" s="61">
        <f t="shared" si="47"/>
        <v>0</v>
      </c>
      <c r="AG103" s="60">
        <f t="shared" si="48"/>
        <v>0</v>
      </c>
      <c r="AH103" s="193"/>
      <c r="AI103" s="169">
        <v>99</v>
      </c>
      <c r="AJ103" s="1">
        <f t="shared" si="68"/>
        <v>48533</v>
      </c>
      <c r="AK103" s="60">
        <f>IF($X103&lt;Input!$H$73,IF($X103&lt;Input!$G$73,IF($X103&lt;Input!$F$73,IF($X103&lt;Input!$E$73,IF($X103&lt;Input!$D$73,Input!$C$79,Input!$D$79),Input!$E$79),Input!$F$79),Input!$G$79),Input!$H$79)</f>
        <v>0</v>
      </c>
      <c r="AL103" s="190">
        <f>IF($A103&lt;Input!$H$80,IF($A103&lt;Input!$G$80,IF($A103&lt;Input!$F$80,IF($A103&lt;Input!$E$80,IF($A103&lt;Input!$D$80,Input!$C$81,Input!$D$81),Input!$E$81),Input!$F$81),Input!$G$81),Input!$H$81)</f>
        <v>0.9</v>
      </c>
      <c r="AM103" s="60">
        <f t="shared" si="49"/>
        <v>0</v>
      </c>
      <c r="AN103" s="60">
        <f t="shared" si="69"/>
        <v>31</v>
      </c>
      <c r="AO103" s="60">
        <f t="shared" si="50"/>
        <v>0</v>
      </c>
      <c r="AP103" s="60">
        <f>ROUND(AO103*AN103*Input!$C$3/365,0)</f>
        <v>0</v>
      </c>
      <c r="AQ103" s="61">
        <f>IF($A103&lt;=Input!$C$6,0,IF('144M'!AM103&lt;'144M'!AO103,'144M'!AM103-AP103,'144M'!AO103))</f>
        <v>0</v>
      </c>
      <c r="AR103" s="61">
        <f t="shared" si="51"/>
        <v>0</v>
      </c>
      <c r="AS103" s="60">
        <f t="shared" si="52"/>
        <v>0</v>
      </c>
      <c r="AT103" s="193"/>
      <c r="AU103" s="169">
        <v>99</v>
      </c>
      <c r="AV103" s="1">
        <f t="shared" si="70"/>
        <v>48533</v>
      </c>
      <c r="AW103" s="60">
        <f>IF($X103&lt;Input!$H$88,IF($X103&lt;Input!$G$88,IF($X103&lt;Input!$F$88,IF($X103&lt;Input!$E$88,IF($X103&lt;Input!$D$88,Input!$C$94,Input!$D$94),Input!$E$94),Input!$F$94),Input!$G$94),Input!$H$94)</f>
        <v>0</v>
      </c>
      <c r="AX103" s="190">
        <f>IF($A103&lt;Input!$H$95,IF($A103&lt;Input!$G$95,IF($A103&lt;Input!$F$95,IF($A103&lt;Input!$E$95,IF($A103&lt;Input!$D$95,Input!$C$96,Input!$D$96),Input!$E$96),Input!$F$96),Input!$G$96),Input!$H$96)</f>
        <v>0.9</v>
      </c>
      <c r="AY103" s="60">
        <f t="shared" si="53"/>
        <v>0</v>
      </c>
      <c r="AZ103" s="60">
        <f t="shared" si="71"/>
        <v>31</v>
      </c>
      <c r="BA103" s="60">
        <f t="shared" si="54"/>
        <v>0</v>
      </c>
      <c r="BB103" s="60">
        <f>ROUND(BA103*AZ103*Input!$C$3/365,0)</f>
        <v>0</v>
      </c>
      <c r="BC103" s="61">
        <f>IF($A103&lt;=Input!$C$6,0,IF('144M'!AY103&lt;'144M'!BA103,'144M'!AY103-BB103,'144M'!BA103))</f>
        <v>0</v>
      </c>
      <c r="BD103" s="61">
        <f t="shared" si="55"/>
        <v>0</v>
      </c>
      <c r="BE103" s="60">
        <f t="shared" si="56"/>
        <v>0</v>
      </c>
      <c r="BF103" s="193"/>
      <c r="BG103" s="169">
        <v>99</v>
      </c>
      <c r="BH103" s="1">
        <f t="shared" si="72"/>
        <v>48533</v>
      </c>
      <c r="BI103" s="60">
        <f>IF($X103&lt;Input!$H$103,IF($X103&lt;Input!$G$103,IF($X103&lt;Input!$F$103,IF($X103&lt;Input!$E$103,IF($X103&lt;Input!$D$103,Input!$C$109,Input!$D$109),Input!$E$109),Input!$F$109),Input!$G$109),Input!$H$109)</f>
        <v>0</v>
      </c>
      <c r="BJ103" s="190">
        <f>IF($A103&lt;Input!$H$110,IF($A103&lt;Input!$G$110,IF($A103&lt;Input!$F$110,IF($A103&lt;Input!$E$110,IF($A103&lt;Input!$D$110,Input!$C$111,Input!$D$111),Input!$E$111),Input!$F$111),Input!$G$111),Input!$H$111)</f>
        <v>0.9</v>
      </c>
      <c r="BK103" s="60">
        <f t="shared" si="57"/>
        <v>0</v>
      </c>
      <c r="BL103" s="60">
        <f t="shared" si="73"/>
        <v>31</v>
      </c>
      <c r="BM103" s="60">
        <f t="shared" si="58"/>
        <v>0</v>
      </c>
      <c r="BN103" s="60">
        <f>ROUND(BM103*BL103*Input!$C$3/365,0)</f>
        <v>0</v>
      </c>
      <c r="BO103" s="61">
        <f>IF($A103&lt;=Input!$C$6,0,IF('144M'!BK103&lt;'144M'!BM103,'144M'!BK103-BN103,'144M'!BM103))</f>
        <v>0</v>
      </c>
      <c r="BP103" s="61">
        <f t="shared" si="59"/>
        <v>0</v>
      </c>
      <c r="BQ103" s="60">
        <f t="shared" si="60"/>
        <v>0</v>
      </c>
      <c r="BR103" s="198"/>
    </row>
    <row r="104" spans="1:70" x14ac:dyDescent="0.25">
      <c r="A104" s="169">
        <v>100</v>
      </c>
      <c r="B104" s="1">
        <f t="shared" si="61"/>
        <v>48563</v>
      </c>
      <c r="C104" s="60">
        <f t="shared" si="39"/>
        <v>21781574.999999996</v>
      </c>
      <c r="D104" s="60">
        <f t="shared" si="40"/>
        <v>19603417.499999996</v>
      </c>
      <c r="E104" s="60">
        <f t="shared" si="62"/>
        <v>30</v>
      </c>
      <c r="F104" s="60">
        <f t="shared" si="63"/>
        <v>258603193.5</v>
      </c>
      <c r="G104" s="60">
        <f>ROUND(F104*E104*Input!$C$3/365,0)</f>
        <v>3188259</v>
      </c>
      <c r="H104" s="60">
        <f>IF($A104&lt;=Input!$C$6,0,IF('144M'!D104&lt;'144M'!F104,'144M'!D104-G104,'144M'!F104))</f>
        <v>16415158.499999996</v>
      </c>
      <c r="I104" s="60">
        <f t="shared" si="64"/>
        <v>19603417.499999996</v>
      </c>
      <c r="J104" s="60">
        <f t="shared" si="65"/>
        <v>242188035</v>
      </c>
      <c r="K104" s="202">
        <f>J104/Input!$K$5</f>
        <v>0.80729344999999997</v>
      </c>
      <c r="L104" s="232"/>
      <c r="M104" s="60">
        <f>IF($B104&lt;Input!$H$43,IF($B104&lt;Input!$G$43,IF($B104&lt;Input!$F$43,IF($B104&lt;Input!$E$43,IF($B104&lt;Input!$D$43,Input!$C$49,Input!$D$49),Input!$E$49),Input!$F$49),Input!$G$49),Input!$H$49)</f>
        <v>21781574.999999996</v>
      </c>
      <c r="N104" s="190">
        <f>IF($A104&lt;Input!$H$50,IF($A104&lt;Input!$G$50,IF($A104&lt;Input!$F$50,IF($A104&lt;Input!$E$50,IF($A104&lt;Input!$D$50,Input!$C$51,Input!$D$51),Input!$E$51),Input!$F$51),Input!$G$51),Input!$H$51)</f>
        <v>0.9</v>
      </c>
      <c r="O104" s="60">
        <f t="shared" si="74"/>
        <v>19603417.499999996</v>
      </c>
      <c r="P104" s="60">
        <f t="shared" si="75"/>
        <v>30</v>
      </c>
      <c r="Q104" s="60">
        <f t="shared" si="42"/>
        <v>258603193.5</v>
      </c>
      <c r="R104" s="60">
        <f>ROUND(Q104*$P104*Input!$C$3/365,0)</f>
        <v>3188259</v>
      </c>
      <c r="S104" s="60">
        <f>IF(A104&lt;=Input!$C$6,0,IF('144M'!O104&lt;'144M'!Q104,'144M'!O104-R104,'144M'!Q104))</f>
        <v>16415158.499999996</v>
      </c>
      <c r="T104" s="60">
        <f t="shared" si="43"/>
        <v>19603417.499999996</v>
      </c>
      <c r="U104" s="60">
        <f t="shared" si="44"/>
        <v>242188035</v>
      </c>
      <c r="V104" s="193"/>
      <c r="W104" s="169">
        <v>100</v>
      </c>
      <c r="X104" s="1">
        <f t="shared" si="66"/>
        <v>48563</v>
      </c>
      <c r="Y104" s="60">
        <f>IF($X104&lt;Input!$H$58,IF($X104&lt;Input!$G$58,IF($X104&lt;Input!$F$58,IF($X104&lt;Input!$E$58,IF($X104&lt;Input!$D$58,Input!$C$64,Input!$D$64),Input!$E$64),Input!$F$64),Input!$G$64),Input!$H$64)</f>
        <v>0</v>
      </c>
      <c r="Z104" s="190">
        <f>IF($A104&lt;Input!$H$65,IF($A104&lt;Input!$G$65,IF($A104&lt;Input!$F$65,IF($A104&lt;Input!$E$65,IF($A104&lt;Input!$D$65,Input!$C$66,Input!$D$66),Input!$E$66),Input!$F$66),Input!$G$66),Input!$H$66)</f>
        <v>0.9</v>
      </c>
      <c r="AA104" s="60">
        <f t="shared" si="45"/>
        <v>0</v>
      </c>
      <c r="AB104" s="60">
        <f t="shared" si="67"/>
        <v>30</v>
      </c>
      <c r="AC104" s="60">
        <f t="shared" si="46"/>
        <v>0</v>
      </c>
      <c r="AD104" s="60">
        <f>ROUND(AC104*AB104*Input!$C$3/365,0)</f>
        <v>0</v>
      </c>
      <c r="AE104" s="61">
        <f>IF($A104&lt;=Input!$C$6,0,IF('144M'!AA104&lt;'144M'!AC104,'144M'!AA104-AD104,'144M'!AC104))</f>
        <v>0</v>
      </c>
      <c r="AF104" s="61">
        <f t="shared" si="47"/>
        <v>0</v>
      </c>
      <c r="AG104" s="60">
        <f t="shared" si="48"/>
        <v>0</v>
      </c>
      <c r="AH104" s="193"/>
      <c r="AI104" s="169">
        <v>100</v>
      </c>
      <c r="AJ104" s="1">
        <f t="shared" si="68"/>
        <v>48563</v>
      </c>
      <c r="AK104" s="60">
        <f>IF($X104&lt;Input!$H$73,IF($X104&lt;Input!$G$73,IF($X104&lt;Input!$F$73,IF($X104&lt;Input!$E$73,IF($X104&lt;Input!$D$73,Input!$C$79,Input!$D$79),Input!$E$79),Input!$F$79),Input!$G$79),Input!$H$79)</f>
        <v>0</v>
      </c>
      <c r="AL104" s="190">
        <f>IF($A104&lt;Input!$H$80,IF($A104&lt;Input!$G$80,IF($A104&lt;Input!$F$80,IF($A104&lt;Input!$E$80,IF($A104&lt;Input!$D$80,Input!$C$81,Input!$D$81),Input!$E$81),Input!$F$81),Input!$G$81),Input!$H$81)</f>
        <v>0.9</v>
      </c>
      <c r="AM104" s="60">
        <f t="shared" si="49"/>
        <v>0</v>
      </c>
      <c r="AN104" s="60">
        <f t="shared" si="69"/>
        <v>30</v>
      </c>
      <c r="AO104" s="60">
        <f t="shared" si="50"/>
        <v>0</v>
      </c>
      <c r="AP104" s="60">
        <f>ROUND(AO104*AN104*Input!$C$3/365,0)</f>
        <v>0</v>
      </c>
      <c r="AQ104" s="61">
        <f>IF($A104&lt;=Input!$C$6,0,IF('144M'!AM104&lt;'144M'!AO104,'144M'!AM104-AP104,'144M'!AO104))</f>
        <v>0</v>
      </c>
      <c r="AR104" s="61">
        <f t="shared" si="51"/>
        <v>0</v>
      </c>
      <c r="AS104" s="60">
        <f t="shared" si="52"/>
        <v>0</v>
      </c>
      <c r="AT104" s="193"/>
      <c r="AU104" s="169">
        <v>100</v>
      </c>
      <c r="AV104" s="1">
        <f t="shared" si="70"/>
        <v>48563</v>
      </c>
      <c r="AW104" s="60">
        <f>IF($X104&lt;Input!$H$88,IF($X104&lt;Input!$G$88,IF($X104&lt;Input!$F$88,IF($X104&lt;Input!$E$88,IF($X104&lt;Input!$D$88,Input!$C$94,Input!$D$94),Input!$E$94),Input!$F$94),Input!$G$94),Input!$H$94)</f>
        <v>0</v>
      </c>
      <c r="AX104" s="190">
        <f>IF($A104&lt;Input!$H$95,IF($A104&lt;Input!$G$95,IF($A104&lt;Input!$F$95,IF($A104&lt;Input!$E$95,IF($A104&lt;Input!$D$95,Input!$C$96,Input!$D$96),Input!$E$96),Input!$F$96),Input!$G$96),Input!$H$96)</f>
        <v>0.9</v>
      </c>
      <c r="AY104" s="60">
        <f t="shared" si="53"/>
        <v>0</v>
      </c>
      <c r="AZ104" s="60">
        <f t="shared" si="71"/>
        <v>30</v>
      </c>
      <c r="BA104" s="60">
        <f t="shared" si="54"/>
        <v>0</v>
      </c>
      <c r="BB104" s="60">
        <f>ROUND(BA104*AZ104*Input!$C$3/365,0)</f>
        <v>0</v>
      </c>
      <c r="BC104" s="61">
        <f>IF($A104&lt;=Input!$C$6,0,IF('144M'!AY104&lt;'144M'!BA104,'144M'!AY104-BB104,'144M'!BA104))</f>
        <v>0</v>
      </c>
      <c r="BD104" s="61">
        <f t="shared" si="55"/>
        <v>0</v>
      </c>
      <c r="BE104" s="60">
        <f t="shared" si="56"/>
        <v>0</v>
      </c>
      <c r="BF104" s="193"/>
      <c r="BG104" s="169">
        <v>100</v>
      </c>
      <c r="BH104" s="1">
        <f t="shared" si="72"/>
        <v>48563</v>
      </c>
      <c r="BI104" s="60">
        <f>IF($X104&lt;Input!$H$103,IF($X104&lt;Input!$G$103,IF($X104&lt;Input!$F$103,IF($X104&lt;Input!$E$103,IF($X104&lt;Input!$D$103,Input!$C$109,Input!$D$109),Input!$E$109),Input!$F$109),Input!$G$109),Input!$H$109)</f>
        <v>0</v>
      </c>
      <c r="BJ104" s="190">
        <f>IF($A104&lt;Input!$H$110,IF($A104&lt;Input!$G$110,IF($A104&lt;Input!$F$110,IF($A104&lt;Input!$E$110,IF($A104&lt;Input!$D$110,Input!$C$111,Input!$D$111),Input!$E$111),Input!$F$111),Input!$G$111),Input!$H$111)</f>
        <v>0.9</v>
      </c>
      <c r="BK104" s="60">
        <f t="shared" si="57"/>
        <v>0</v>
      </c>
      <c r="BL104" s="60">
        <f t="shared" si="73"/>
        <v>30</v>
      </c>
      <c r="BM104" s="60">
        <f t="shared" si="58"/>
        <v>0</v>
      </c>
      <c r="BN104" s="60">
        <f>ROUND(BM104*BL104*Input!$C$3/365,0)</f>
        <v>0</v>
      </c>
      <c r="BO104" s="61">
        <f>IF($A104&lt;=Input!$C$6,0,IF('144M'!BK104&lt;'144M'!BM104,'144M'!BK104-BN104,'144M'!BM104))</f>
        <v>0</v>
      </c>
      <c r="BP104" s="61">
        <f t="shared" si="59"/>
        <v>0</v>
      </c>
      <c r="BQ104" s="60">
        <f t="shared" si="60"/>
        <v>0</v>
      </c>
      <c r="BR104" s="198"/>
    </row>
    <row r="105" spans="1:70" x14ac:dyDescent="0.25">
      <c r="A105" s="169">
        <v>101</v>
      </c>
      <c r="B105" s="1">
        <f t="shared" si="61"/>
        <v>48594</v>
      </c>
      <c r="C105" s="60">
        <f t="shared" si="39"/>
        <v>21781574.999999996</v>
      </c>
      <c r="D105" s="60">
        <f t="shared" si="40"/>
        <v>19603417.499999996</v>
      </c>
      <c r="E105" s="60">
        <f t="shared" si="62"/>
        <v>31</v>
      </c>
      <c r="F105" s="60">
        <f t="shared" si="63"/>
        <v>242188035</v>
      </c>
      <c r="G105" s="60">
        <f>ROUND(F105*E105*Input!$C$3/365,0)</f>
        <v>3085409</v>
      </c>
      <c r="H105" s="60">
        <f>IF($A105&lt;=Input!$C$6,0,IF('144M'!D105&lt;'144M'!F105,'144M'!D105-G105,'144M'!F105))</f>
        <v>16518008.499999996</v>
      </c>
      <c r="I105" s="60">
        <f t="shared" si="64"/>
        <v>19603417.499999996</v>
      </c>
      <c r="J105" s="60">
        <f t="shared" si="65"/>
        <v>225670026.5</v>
      </c>
      <c r="K105" s="202">
        <f>J105/Input!$K$5</f>
        <v>0.75223342166666662</v>
      </c>
      <c r="L105" s="232"/>
      <c r="M105" s="60">
        <f>IF($B105&lt;Input!$H$43,IF($B105&lt;Input!$G$43,IF($B105&lt;Input!$F$43,IF($B105&lt;Input!$E$43,IF($B105&lt;Input!$D$43,Input!$C$49,Input!$D$49),Input!$E$49),Input!$F$49),Input!$G$49),Input!$H$49)</f>
        <v>21781574.999999996</v>
      </c>
      <c r="N105" s="190">
        <f>IF($A105&lt;Input!$H$50,IF($A105&lt;Input!$G$50,IF($A105&lt;Input!$F$50,IF($A105&lt;Input!$E$50,IF($A105&lt;Input!$D$50,Input!$C$51,Input!$D$51),Input!$E$51),Input!$F$51),Input!$G$51),Input!$H$51)</f>
        <v>0.9</v>
      </c>
      <c r="O105" s="60">
        <f t="shared" si="74"/>
        <v>19603417.499999996</v>
      </c>
      <c r="P105" s="60">
        <f t="shared" si="75"/>
        <v>31</v>
      </c>
      <c r="Q105" s="60">
        <f t="shared" si="42"/>
        <v>242188035</v>
      </c>
      <c r="R105" s="60">
        <f>ROUND(Q105*$P105*Input!$C$3/365,0)</f>
        <v>3085409</v>
      </c>
      <c r="S105" s="60">
        <f>IF(A105&lt;=Input!$C$6,0,IF('144M'!O105&lt;'144M'!Q105,'144M'!O105-R105,'144M'!Q105))</f>
        <v>16518008.499999996</v>
      </c>
      <c r="T105" s="60">
        <f t="shared" si="43"/>
        <v>19603417.499999996</v>
      </c>
      <c r="U105" s="60">
        <f t="shared" si="44"/>
        <v>225670026.5</v>
      </c>
      <c r="V105" s="193"/>
      <c r="W105" s="169">
        <v>101</v>
      </c>
      <c r="X105" s="1">
        <f t="shared" si="66"/>
        <v>48594</v>
      </c>
      <c r="Y105" s="60">
        <f>IF($X105&lt;Input!$H$58,IF($X105&lt;Input!$G$58,IF($X105&lt;Input!$F$58,IF($X105&lt;Input!$E$58,IF($X105&lt;Input!$D$58,Input!$C$64,Input!$D$64),Input!$E$64),Input!$F$64),Input!$G$64),Input!$H$64)</f>
        <v>0</v>
      </c>
      <c r="Z105" s="190">
        <f>IF($A105&lt;Input!$H$65,IF($A105&lt;Input!$G$65,IF($A105&lt;Input!$F$65,IF($A105&lt;Input!$E$65,IF($A105&lt;Input!$D$65,Input!$C$66,Input!$D$66),Input!$E$66),Input!$F$66),Input!$G$66),Input!$H$66)</f>
        <v>0.9</v>
      </c>
      <c r="AA105" s="60">
        <f t="shared" si="45"/>
        <v>0</v>
      </c>
      <c r="AB105" s="60">
        <f t="shared" si="67"/>
        <v>31</v>
      </c>
      <c r="AC105" s="60">
        <f t="shared" si="46"/>
        <v>0</v>
      </c>
      <c r="AD105" s="60">
        <f>ROUND(AC105*AB105*Input!$C$3/365,0)</f>
        <v>0</v>
      </c>
      <c r="AE105" s="61">
        <f>IF($A105&lt;=Input!$C$6,0,IF('144M'!AA105&lt;'144M'!AC105,'144M'!AA105-AD105,'144M'!AC105))</f>
        <v>0</v>
      </c>
      <c r="AF105" s="61">
        <f t="shared" si="47"/>
        <v>0</v>
      </c>
      <c r="AG105" s="60">
        <f t="shared" si="48"/>
        <v>0</v>
      </c>
      <c r="AH105" s="193"/>
      <c r="AI105" s="169">
        <v>101</v>
      </c>
      <c r="AJ105" s="1">
        <f t="shared" si="68"/>
        <v>48594</v>
      </c>
      <c r="AK105" s="60">
        <f>IF($X105&lt;Input!$H$73,IF($X105&lt;Input!$G$73,IF($X105&lt;Input!$F$73,IF($X105&lt;Input!$E$73,IF($X105&lt;Input!$D$73,Input!$C$79,Input!$D$79),Input!$E$79),Input!$F$79),Input!$G$79),Input!$H$79)</f>
        <v>0</v>
      </c>
      <c r="AL105" s="190">
        <f>IF($A105&lt;Input!$H$80,IF($A105&lt;Input!$G$80,IF($A105&lt;Input!$F$80,IF($A105&lt;Input!$E$80,IF($A105&lt;Input!$D$80,Input!$C$81,Input!$D$81),Input!$E$81),Input!$F$81),Input!$G$81),Input!$H$81)</f>
        <v>0.9</v>
      </c>
      <c r="AM105" s="60">
        <f t="shared" si="49"/>
        <v>0</v>
      </c>
      <c r="AN105" s="60">
        <f t="shared" si="69"/>
        <v>31</v>
      </c>
      <c r="AO105" s="60">
        <f t="shared" si="50"/>
        <v>0</v>
      </c>
      <c r="AP105" s="60">
        <f>ROUND(AO105*AN105*Input!$C$3/365,0)</f>
        <v>0</v>
      </c>
      <c r="AQ105" s="61">
        <f>IF($A105&lt;=Input!$C$6,0,IF('144M'!AM105&lt;'144M'!AO105,'144M'!AM105-AP105,'144M'!AO105))</f>
        <v>0</v>
      </c>
      <c r="AR105" s="61">
        <f t="shared" si="51"/>
        <v>0</v>
      </c>
      <c r="AS105" s="60">
        <f t="shared" si="52"/>
        <v>0</v>
      </c>
      <c r="AT105" s="193"/>
      <c r="AU105" s="169">
        <v>101</v>
      </c>
      <c r="AV105" s="1">
        <f t="shared" si="70"/>
        <v>48594</v>
      </c>
      <c r="AW105" s="60">
        <f>IF($X105&lt;Input!$H$88,IF($X105&lt;Input!$G$88,IF($X105&lt;Input!$F$88,IF($X105&lt;Input!$E$88,IF($X105&lt;Input!$D$88,Input!$C$94,Input!$D$94),Input!$E$94),Input!$F$94),Input!$G$94),Input!$H$94)</f>
        <v>0</v>
      </c>
      <c r="AX105" s="190">
        <f>IF($A105&lt;Input!$H$95,IF($A105&lt;Input!$G$95,IF($A105&lt;Input!$F$95,IF($A105&lt;Input!$E$95,IF($A105&lt;Input!$D$95,Input!$C$96,Input!$D$96),Input!$E$96),Input!$F$96),Input!$G$96),Input!$H$96)</f>
        <v>0.9</v>
      </c>
      <c r="AY105" s="60">
        <f t="shared" si="53"/>
        <v>0</v>
      </c>
      <c r="AZ105" s="60">
        <f t="shared" si="71"/>
        <v>31</v>
      </c>
      <c r="BA105" s="60">
        <f t="shared" si="54"/>
        <v>0</v>
      </c>
      <c r="BB105" s="60">
        <f>ROUND(BA105*AZ105*Input!$C$3/365,0)</f>
        <v>0</v>
      </c>
      <c r="BC105" s="61">
        <f>IF($A105&lt;=Input!$C$6,0,IF('144M'!AY105&lt;'144M'!BA105,'144M'!AY105-BB105,'144M'!BA105))</f>
        <v>0</v>
      </c>
      <c r="BD105" s="61">
        <f t="shared" si="55"/>
        <v>0</v>
      </c>
      <c r="BE105" s="60">
        <f t="shared" si="56"/>
        <v>0</v>
      </c>
      <c r="BF105" s="193"/>
      <c r="BG105" s="169">
        <v>101</v>
      </c>
      <c r="BH105" s="1">
        <f t="shared" si="72"/>
        <v>48594</v>
      </c>
      <c r="BI105" s="60">
        <f>IF($X105&lt;Input!$H$103,IF($X105&lt;Input!$G$103,IF($X105&lt;Input!$F$103,IF($X105&lt;Input!$E$103,IF($X105&lt;Input!$D$103,Input!$C$109,Input!$D$109),Input!$E$109),Input!$F$109),Input!$G$109),Input!$H$109)</f>
        <v>0</v>
      </c>
      <c r="BJ105" s="190">
        <f>IF($A105&lt;Input!$H$110,IF($A105&lt;Input!$G$110,IF($A105&lt;Input!$F$110,IF($A105&lt;Input!$E$110,IF($A105&lt;Input!$D$110,Input!$C$111,Input!$D$111),Input!$E$111),Input!$F$111),Input!$G$111),Input!$H$111)</f>
        <v>0.9</v>
      </c>
      <c r="BK105" s="60">
        <f t="shared" si="57"/>
        <v>0</v>
      </c>
      <c r="BL105" s="60">
        <f t="shared" si="73"/>
        <v>31</v>
      </c>
      <c r="BM105" s="60">
        <f t="shared" si="58"/>
        <v>0</v>
      </c>
      <c r="BN105" s="60">
        <f>ROUND(BM105*BL105*Input!$C$3/365,0)</f>
        <v>0</v>
      </c>
      <c r="BO105" s="61">
        <f>IF($A105&lt;=Input!$C$6,0,IF('144M'!BK105&lt;'144M'!BM105,'144M'!BK105-BN105,'144M'!BM105))</f>
        <v>0</v>
      </c>
      <c r="BP105" s="61">
        <f t="shared" si="59"/>
        <v>0</v>
      </c>
      <c r="BQ105" s="60">
        <f t="shared" si="60"/>
        <v>0</v>
      </c>
      <c r="BR105" s="198"/>
    </row>
    <row r="106" spans="1:70" x14ac:dyDescent="0.25">
      <c r="A106" s="169">
        <v>102</v>
      </c>
      <c r="B106" s="1">
        <f t="shared" si="61"/>
        <v>48625</v>
      </c>
      <c r="C106" s="60">
        <f t="shared" si="39"/>
        <v>21781574.999999996</v>
      </c>
      <c r="D106" s="60">
        <f t="shared" si="40"/>
        <v>19603417.499999996</v>
      </c>
      <c r="E106" s="60">
        <f t="shared" si="62"/>
        <v>31</v>
      </c>
      <c r="F106" s="60">
        <f t="shared" si="63"/>
        <v>225670026.5</v>
      </c>
      <c r="G106" s="60">
        <f>ROUND(F106*E106*Input!$C$3/365,0)</f>
        <v>2874974</v>
      </c>
      <c r="H106" s="60">
        <f>IF($A106&lt;=Input!$C$6,0,IF('144M'!D106&lt;'144M'!F106,'144M'!D106-G106,'144M'!F106))</f>
        <v>16728443.499999996</v>
      </c>
      <c r="I106" s="60">
        <f t="shared" si="64"/>
        <v>19603417.499999996</v>
      </c>
      <c r="J106" s="60">
        <f t="shared" si="65"/>
        <v>208941583</v>
      </c>
      <c r="K106" s="202">
        <f>J106/Input!$K$5</f>
        <v>0.69647194333333329</v>
      </c>
      <c r="L106" s="232"/>
      <c r="M106" s="60">
        <f>IF($B106&lt;Input!$H$43,IF($B106&lt;Input!$G$43,IF($B106&lt;Input!$F$43,IF($B106&lt;Input!$E$43,IF($B106&lt;Input!$D$43,Input!$C$49,Input!$D$49),Input!$E$49),Input!$F$49),Input!$G$49),Input!$H$49)</f>
        <v>21781574.999999996</v>
      </c>
      <c r="N106" s="190">
        <f>IF($A106&lt;Input!$H$50,IF($A106&lt;Input!$G$50,IF($A106&lt;Input!$F$50,IF($A106&lt;Input!$E$50,IF($A106&lt;Input!$D$50,Input!$C$51,Input!$D$51),Input!$E$51),Input!$F$51),Input!$G$51),Input!$H$51)</f>
        <v>0.9</v>
      </c>
      <c r="O106" s="60">
        <f t="shared" si="74"/>
        <v>19603417.499999996</v>
      </c>
      <c r="P106" s="60">
        <f t="shared" si="75"/>
        <v>31</v>
      </c>
      <c r="Q106" s="60">
        <f t="shared" si="42"/>
        <v>225670026.5</v>
      </c>
      <c r="R106" s="60">
        <f>ROUND(Q106*$P106*Input!$C$3/365,0)</f>
        <v>2874974</v>
      </c>
      <c r="S106" s="60">
        <f>IF(A106&lt;=Input!$C$6,0,IF('144M'!O106&lt;'144M'!Q106,'144M'!O106-R106,'144M'!Q106))</f>
        <v>16728443.499999996</v>
      </c>
      <c r="T106" s="60">
        <f t="shared" si="43"/>
        <v>19603417.499999996</v>
      </c>
      <c r="U106" s="60">
        <f t="shared" si="44"/>
        <v>208941583</v>
      </c>
      <c r="V106" s="193"/>
      <c r="W106" s="169">
        <v>102</v>
      </c>
      <c r="X106" s="1">
        <f t="shared" si="66"/>
        <v>48625</v>
      </c>
      <c r="Y106" s="60">
        <f>IF($X106&lt;Input!$H$58,IF($X106&lt;Input!$G$58,IF($X106&lt;Input!$F$58,IF($X106&lt;Input!$E$58,IF($X106&lt;Input!$D$58,Input!$C$64,Input!$D$64),Input!$E$64),Input!$F$64),Input!$G$64),Input!$H$64)</f>
        <v>0</v>
      </c>
      <c r="Z106" s="190">
        <f>IF($A106&lt;Input!$H$65,IF($A106&lt;Input!$G$65,IF($A106&lt;Input!$F$65,IF($A106&lt;Input!$E$65,IF($A106&lt;Input!$D$65,Input!$C$66,Input!$D$66),Input!$E$66),Input!$F$66),Input!$G$66),Input!$H$66)</f>
        <v>0.9</v>
      </c>
      <c r="AA106" s="60">
        <f t="shared" si="45"/>
        <v>0</v>
      </c>
      <c r="AB106" s="60">
        <f t="shared" si="67"/>
        <v>31</v>
      </c>
      <c r="AC106" s="60">
        <f t="shared" si="46"/>
        <v>0</v>
      </c>
      <c r="AD106" s="60">
        <f>ROUND(AC106*AB106*Input!$C$3/365,0)</f>
        <v>0</v>
      </c>
      <c r="AE106" s="61">
        <f>IF($A106&lt;=Input!$C$6,0,IF('144M'!AA106&lt;'144M'!AC106,'144M'!AA106-AD106,'144M'!AC106))</f>
        <v>0</v>
      </c>
      <c r="AF106" s="61">
        <f t="shared" si="47"/>
        <v>0</v>
      </c>
      <c r="AG106" s="60">
        <f t="shared" si="48"/>
        <v>0</v>
      </c>
      <c r="AH106" s="193"/>
      <c r="AI106" s="169">
        <v>102</v>
      </c>
      <c r="AJ106" s="1">
        <f t="shared" si="68"/>
        <v>48625</v>
      </c>
      <c r="AK106" s="60">
        <f>IF($X106&lt;Input!$H$73,IF($X106&lt;Input!$G$73,IF($X106&lt;Input!$F$73,IF($X106&lt;Input!$E$73,IF($X106&lt;Input!$D$73,Input!$C$79,Input!$D$79),Input!$E$79),Input!$F$79),Input!$G$79),Input!$H$79)</f>
        <v>0</v>
      </c>
      <c r="AL106" s="190">
        <f>IF($A106&lt;Input!$H$80,IF($A106&lt;Input!$G$80,IF($A106&lt;Input!$F$80,IF($A106&lt;Input!$E$80,IF($A106&lt;Input!$D$80,Input!$C$81,Input!$D$81),Input!$E$81),Input!$F$81),Input!$G$81),Input!$H$81)</f>
        <v>0.9</v>
      </c>
      <c r="AM106" s="60">
        <f t="shared" si="49"/>
        <v>0</v>
      </c>
      <c r="AN106" s="60">
        <f t="shared" si="69"/>
        <v>31</v>
      </c>
      <c r="AO106" s="60">
        <f t="shared" si="50"/>
        <v>0</v>
      </c>
      <c r="AP106" s="60">
        <f>ROUND(AO106*AN106*Input!$C$3/365,0)</f>
        <v>0</v>
      </c>
      <c r="AQ106" s="61">
        <f>IF($A106&lt;=Input!$C$6,0,IF('144M'!AM106&lt;'144M'!AO106,'144M'!AM106-AP106,'144M'!AO106))</f>
        <v>0</v>
      </c>
      <c r="AR106" s="61">
        <f t="shared" si="51"/>
        <v>0</v>
      </c>
      <c r="AS106" s="60">
        <f t="shared" si="52"/>
        <v>0</v>
      </c>
      <c r="AT106" s="193"/>
      <c r="AU106" s="169">
        <v>102</v>
      </c>
      <c r="AV106" s="1">
        <f t="shared" si="70"/>
        <v>48625</v>
      </c>
      <c r="AW106" s="60">
        <f>IF($X106&lt;Input!$H$88,IF($X106&lt;Input!$G$88,IF($X106&lt;Input!$F$88,IF($X106&lt;Input!$E$88,IF($X106&lt;Input!$D$88,Input!$C$94,Input!$D$94),Input!$E$94),Input!$F$94),Input!$G$94),Input!$H$94)</f>
        <v>0</v>
      </c>
      <c r="AX106" s="190">
        <f>IF($A106&lt;Input!$H$95,IF($A106&lt;Input!$G$95,IF($A106&lt;Input!$F$95,IF($A106&lt;Input!$E$95,IF($A106&lt;Input!$D$95,Input!$C$96,Input!$D$96),Input!$E$96),Input!$F$96),Input!$G$96),Input!$H$96)</f>
        <v>0.9</v>
      </c>
      <c r="AY106" s="60">
        <f t="shared" si="53"/>
        <v>0</v>
      </c>
      <c r="AZ106" s="60">
        <f t="shared" si="71"/>
        <v>31</v>
      </c>
      <c r="BA106" s="60">
        <f t="shared" si="54"/>
        <v>0</v>
      </c>
      <c r="BB106" s="60">
        <f>ROUND(BA106*AZ106*Input!$C$3/365,0)</f>
        <v>0</v>
      </c>
      <c r="BC106" s="61">
        <f>IF($A106&lt;=Input!$C$6,0,IF('144M'!AY106&lt;'144M'!BA106,'144M'!AY106-BB106,'144M'!BA106))</f>
        <v>0</v>
      </c>
      <c r="BD106" s="61">
        <f t="shared" si="55"/>
        <v>0</v>
      </c>
      <c r="BE106" s="60">
        <f t="shared" si="56"/>
        <v>0</v>
      </c>
      <c r="BF106" s="193"/>
      <c r="BG106" s="169">
        <v>102</v>
      </c>
      <c r="BH106" s="1">
        <f t="shared" si="72"/>
        <v>48625</v>
      </c>
      <c r="BI106" s="60">
        <f>IF($X106&lt;Input!$H$103,IF($X106&lt;Input!$G$103,IF($X106&lt;Input!$F$103,IF($X106&lt;Input!$E$103,IF($X106&lt;Input!$D$103,Input!$C$109,Input!$D$109),Input!$E$109),Input!$F$109),Input!$G$109),Input!$H$109)</f>
        <v>0</v>
      </c>
      <c r="BJ106" s="190">
        <f>IF($A106&lt;Input!$H$110,IF($A106&lt;Input!$G$110,IF($A106&lt;Input!$F$110,IF($A106&lt;Input!$E$110,IF($A106&lt;Input!$D$110,Input!$C$111,Input!$D$111),Input!$E$111),Input!$F$111),Input!$G$111),Input!$H$111)</f>
        <v>0.9</v>
      </c>
      <c r="BK106" s="60">
        <f t="shared" si="57"/>
        <v>0</v>
      </c>
      <c r="BL106" s="60">
        <f t="shared" si="73"/>
        <v>31</v>
      </c>
      <c r="BM106" s="60">
        <f t="shared" si="58"/>
        <v>0</v>
      </c>
      <c r="BN106" s="60">
        <f>ROUND(BM106*BL106*Input!$C$3/365,0)</f>
        <v>0</v>
      </c>
      <c r="BO106" s="61">
        <f>IF($A106&lt;=Input!$C$6,0,IF('144M'!BK106&lt;'144M'!BM106,'144M'!BK106-BN106,'144M'!BM106))</f>
        <v>0</v>
      </c>
      <c r="BP106" s="61">
        <f t="shared" si="59"/>
        <v>0</v>
      </c>
      <c r="BQ106" s="60">
        <f t="shared" si="60"/>
        <v>0</v>
      </c>
      <c r="BR106" s="198"/>
    </row>
    <row r="107" spans="1:70" x14ac:dyDescent="0.25">
      <c r="A107" s="169">
        <v>103</v>
      </c>
      <c r="B107" s="1">
        <f t="shared" si="61"/>
        <v>48653</v>
      </c>
      <c r="C107" s="60">
        <f t="shared" si="39"/>
        <v>21781574.999999996</v>
      </c>
      <c r="D107" s="60">
        <f t="shared" si="40"/>
        <v>19603417.499999996</v>
      </c>
      <c r="E107" s="60">
        <f t="shared" si="62"/>
        <v>28</v>
      </c>
      <c r="F107" s="60">
        <f t="shared" si="63"/>
        <v>208941583</v>
      </c>
      <c r="G107" s="60">
        <f>ROUND(F107*E107*Input!$C$3/365,0)</f>
        <v>2404259</v>
      </c>
      <c r="H107" s="60">
        <f>IF($A107&lt;=Input!$C$6,0,IF('144M'!D107&lt;'144M'!F107,'144M'!D107-G107,'144M'!F107))</f>
        <v>17199158.499999996</v>
      </c>
      <c r="I107" s="60">
        <f t="shared" si="64"/>
        <v>19603417.499999996</v>
      </c>
      <c r="J107" s="60">
        <f t="shared" si="65"/>
        <v>191742424.5</v>
      </c>
      <c r="K107" s="202">
        <f>J107/Input!$K$5</f>
        <v>0.63914141499999999</v>
      </c>
      <c r="L107" s="232"/>
      <c r="M107" s="60">
        <f>IF($B107&lt;Input!$H$43,IF($B107&lt;Input!$G$43,IF($B107&lt;Input!$F$43,IF($B107&lt;Input!$E$43,IF($B107&lt;Input!$D$43,Input!$C$49,Input!$D$49),Input!$E$49),Input!$F$49),Input!$G$49),Input!$H$49)</f>
        <v>21781574.999999996</v>
      </c>
      <c r="N107" s="190">
        <f>IF($A107&lt;Input!$H$50,IF($A107&lt;Input!$G$50,IF($A107&lt;Input!$F$50,IF($A107&lt;Input!$E$50,IF($A107&lt;Input!$D$50,Input!$C$51,Input!$D$51),Input!$E$51),Input!$F$51),Input!$G$51),Input!$H$51)</f>
        <v>0.9</v>
      </c>
      <c r="O107" s="60">
        <f t="shared" si="74"/>
        <v>19603417.499999996</v>
      </c>
      <c r="P107" s="60">
        <f t="shared" si="75"/>
        <v>28</v>
      </c>
      <c r="Q107" s="60">
        <f t="shared" si="42"/>
        <v>208941583</v>
      </c>
      <c r="R107" s="60">
        <f>ROUND(Q107*$P107*Input!$C$3/365,0)</f>
        <v>2404259</v>
      </c>
      <c r="S107" s="60">
        <f>IF(A107&lt;=Input!$C$6,0,IF('144M'!O107&lt;'144M'!Q107,'144M'!O107-R107,'144M'!Q107))</f>
        <v>17199158.499999996</v>
      </c>
      <c r="T107" s="60">
        <f t="shared" si="43"/>
        <v>19603417.499999996</v>
      </c>
      <c r="U107" s="60">
        <f t="shared" si="44"/>
        <v>191742424.5</v>
      </c>
      <c r="V107" s="193"/>
      <c r="W107" s="169">
        <v>103</v>
      </c>
      <c r="X107" s="1">
        <f t="shared" si="66"/>
        <v>48653</v>
      </c>
      <c r="Y107" s="60">
        <f>IF($X107&lt;Input!$H$58,IF($X107&lt;Input!$G$58,IF($X107&lt;Input!$F$58,IF($X107&lt;Input!$E$58,IF($X107&lt;Input!$D$58,Input!$C$64,Input!$D$64),Input!$E$64),Input!$F$64),Input!$G$64),Input!$H$64)</f>
        <v>0</v>
      </c>
      <c r="Z107" s="190">
        <f>IF($A107&lt;Input!$H$65,IF($A107&lt;Input!$G$65,IF($A107&lt;Input!$F$65,IF($A107&lt;Input!$E$65,IF($A107&lt;Input!$D$65,Input!$C$66,Input!$D$66),Input!$E$66),Input!$F$66),Input!$G$66),Input!$H$66)</f>
        <v>0.9</v>
      </c>
      <c r="AA107" s="60">
        <f t="shared" si="45"/>
        <v>0</v>
      </c>
      <c r="AB107" s="60">
        <f t="shared" si="67"/>
        <v>28</v>
      </c>
      <c r="AC107" s="60">
        <f t="shared" si="46"/>
        <v>0</v>
      </c>
      <c r="AD107" s="60">
        <f>ROUND(AC107*AB107*Input!$C$3/365,0)</f>
        <v>0</v>
      </c>
      <c r="AE107" s="61">
        <f>IF($A107&lt;=Input!$C$6,0,IF('144M'!AA107&lt;'144M'!AC107,'144M'!AA107-AD107,'144M'!AC107))</f>
        <v>0</v>
      </c>
      <c r="AF107" s="61">
        <f t="shared" si="47"/>
        <v>0</v>
      </c>
      <c r="AG107" s="60">
        <f t="shared" si="48"/>
        <v>0</v>
      </c>
      <c r="AH107" s="193"/>
      <c r="AI107" s="169">
        <v>103</v>
      </c>
      <c r="AJ107" s="1">
        <f t="shared" si="68"/>
        <v>48653</v>
      </c>
      <c r="AK107" s="60">
        <f>IF($X107&lt;Input!$H$73,IF($X107&lt;Input!$G$73,IF($X107&lt;Input!$F$73,IF($X107&lt;Input!$E$73,IF($X107&lt;Input!$D$73,Input!$C$79,Input!$D$79),Input!$E$79),Input!$F$79),Input!$G$79),Input!$H$79)</f>
        <v>0</v>
      </c>
      <c r="AL107" s="190">
        <f>IF($A107&lt;Input!$H$80,IF($A107&lt;Input!$G$80,IF($A107&lt;Input!$F$80,IF($A107&lt;Input!$E$80,IF($A107&lt;Input!$D$80,Input!$C$81,Input!$D$81),Input!$E$81),Input!$F$81),Input!$G$81),Input!$H$81)</f>
        <v>0.9</v>
      </c>
      <c r="AM107" s="60">
        <f t="shared" si="49"/>
        <v>0</v>
      </c>
      <c r="AN107" s="60">
        <f t="shared" si="69"/>
        <v>28</v>
      </c>
      <c r="AO107" s="60">
        <f t="shared" si="50"/>
        <v>0</v>
      </c>
      <c r="AP107" s="60">
        <f>ROUND(AO107*AN107*Input!$C$3/365,0)</f>
        <v>0</v>
      </c>
      <c r="AQ107" s="61">
        <f>IF($A107&lt;=Input!$C$6,0,IF('144M'!AM107&lt;'144M'!AO107,'144M'!AM107-AP107,'144M'!AO107))</f>
        <v>0</v>
      </c>
      <c r="AR107" s="61">
        <f t="shared" si="51"/>
        <v>0</v>
      </c>
      <c r="AS107" s="60">
        <f t="shared" si="52"/>
        <v>0</v>
      </c>
      <c r="AT107" s="193"/>
      <c r="AU107" s="169">
        <v>103</v>
      </c>
      <c r="AV107" s="1">
        <f t="shared" si="70"/>
        <v>48653</v>
      </c>
      <c r="AW107" s="60">
        <f>IF($X107&lt;Input!$H$88,IF($X107&lt;Input!$G$88,IF($X107&lt;Input!$F$88,IF($X107&lt;Input!$E$88,IF($X107&lt;Input!$D$88,Input!$C$94,Input!$D$94),Input!$E$94),Input!$F$94),Input!$G$94),Input!$H$94)</f>
        <v>0</v>
      </c>
      <c r="AX107" s="190">
        <f>IF($A107&lt;Input!$H$95,IF($A107&lt;Input!$G$95,IF($A107&lt;Input!$F$95,IF($A107&lt;Input!$E$95,IF($A107&lt;Input!$D$95,Input!$C$96,Input!$D$96),Input!$E$96),Input!$F$96),Input!$G$96),Input!$H$96)</f>
        <v>0.9</v>
      </c>
      <c r="AY107" s="60">
        <f t="shared" si="53"/>
        <v>0</v>
      </c>
      <c r="AZ107" s="60">
        <f t="shared" si="71"/>
        <v>28</v>
      </c>
      <c r="BA107" s="60">
        <f t="shared" si="54"/>
        <v>0</v>
      </c>
      <c r="BB107" s="60">
        <f>ROUND(BA107*AZ107*Input!$C$3/365,0)</f>
        <v>0</v>
      </c>
      <c r="BC107" s="61">
        <f>IF($A107&lt;=Input!$C$6,0,IF('144M'!AY107&lt;'144M'!BA107,'144M'!AY107-BB107,'144M'!BA107))</f>
        <v>0</v>
      </c>
      <c r="BD107" s="61">
        <f t="shared" si="55"/>
        <v>0</v>
      </c>
      <c r="BE107" s="60">
        <f t="shared" si="56"/>
        <v>0</v>
      </c>
      <c r="BF107" s="193"/>
      <c r="BG107" s="169">
        <v>103</v>
      </c>
      <c r="BH107" s="1">
        <f t="shared" si="72"/>
        <v>48653</v>
      </c>
      <c r="BI107" s="60">
        <f>IF($X107&lt;Input!$H$103,IF($X107&lt;Input!$G$103,IF($X107&lt;Input!$F$103,IF($X107&lt;Input!$E$103,IF($X107&lt;Input!$D$103,Input!$C$109,Input!$D$109),Input!$E$109),Input!$F$109),Input!$G$109),Input!$H$109)</f>
        <v>0</v>
      </c>
      <c r="BJ107" s="190">
        <f>IF($A107&lt;Input!$H$110,IF($A107&lt;Input!$G$110,IF($A107&lt;Input!$F$110,IF($A107&lt;Input!$E$110,IF($A107&lt;Input!$D$110,Input!$C$111,Input!$D$111),Input!$E$111),Input!$F$111),Input!$G$111),Input!$H$111)</f>
        <v>0.9</v>
      </c>
      <c r="BK107" s="60">
        <f t="shared" si="57"/>
        <v>0</v>
      </c>
      <c r="BL107" s="60">
        <f t="shared" si="73"/>
        <v>28</v>
      </c>
      <c r="BM107" s="60">
        <f t="shared" si="58"/>
        <v>0</v>
      </c>
      <c r="BN107" s="60">
        <f>ROUND(BM107*BL107*Input!$C$3/365,0)</f>
        <v>0</v>
      </c>
      <c r="BO107" s="61">
        <f>IF($A107&lt;=Input!$C$6,0,IF('144M'!BK107&lt;'144M'!BM107,'144M'!BK107-BN107,'144M'!BM107))</f>
        <v>0</v>
      </c>
      <c r="BP107" s="61">
        <f t="shared" si="59"/>
        <v>0</v>
      </c>
      <c r="BQ107" s="60">
        <f t="shared" si="60"/>
        <v>0</v>
      </c>
      <c r="BR107" s="198"/>
    </row>
    <row r="108" spans="1:70" x14ac:dyDescent="0.25">
      <c r="A108" s="169">
        <v>104</v>
      </c>
      <c r="B108" s="1">
        <f t="shared" si="61"/>
        <v>48684</v>
      </c>
      <c r="C108" s="60">
        <f t="shared" si="39"/>
        <v>21781574.999999996</v>
      </c>
      <c r="D108" s="60">
        <f t="shared" si="40"/>
        <v>19603417.499999996</v>
      </c>
      <c r="E108" s="60">
        <f t="shared" si="62"/>
        <v>31</v>
      </c>
      <c r="F108" s="60">
        <f t="shared" si="63"/>
        <v>191742424.5</v>
      </c>
      <c r="G108" s="60">
        <f>ROUND(F108*E108*Input!$C$3/365,0)</f>
        <v>2442746</v>
      </c>
      <c r="H108" s="60">
        <f>IF($A108&lt;=Input!$C$6,0,IF('144M'!D108&lt;'144M'!F108,'144M'!D108-G108,'144M'!F108))</f>
        <v>17160671.499999996</v>
      </c>
      <c r="I108" s="60">
        <f t="shared" si="64"/>
        <v>19603417.499999996</v>
      </c>
      <c r="J108" s="60">
        <f t="shared" si="65"/>
        <v>174581753</v>
      </c>
      <c r="K108" s="202">
        <f>J108/Input!$K$5</f>
        <v>0.58193917666666661</v>
      </c>
      <c r="L108" s="232"/>
      <c r="M108" s="60">
        <f>IF($B108&lt;Input!$H$43,IF($B108&lt;Input!$G$43,IF($B108&lt;Input!$F$43,IF($B108&lt;Input!$E$43,IF($B108&lt;Input!$D$43,Input!$C$49,Input!$D$49),Input!$E$49),Input!$F$49),Input!$G$49),Input!$H$49)</f>
        <v>21781574.999999996</v>
      </c>
      <c r="N108" s="190">
        <f>IF($A108&lt;Input!$H$50,IF($A108&lt;Input!$G$50,IF($A108&lt;Input!$F$50,IF($A108&lt;Input!$E$50,IF($A108&lt;Input!$D$50,Input!$C$51,Input!$D$51),Input!$E$51),Input!$F$51),Input!$G$51),Input!$H$51)</f>
        <v>0.9</v>
      </c>
      <c r="O108" s="60">
        <f t="shared" si="74"/>
        <v>19603417.499999996</v>
      </c>
      <c r="P108" s="60">
        <f t="shared" si="75"/>
        <v>31</v>
      </c>
      <c r="Q108" s="60">
        <f t="shared" si="42"/>
        <v>191742424.5</v>
      </c>
      <c r="R108" s="60">
        <f>ROUND(Q108*$P108*Input!$C$3/365,0)</f>
        <v>2442746</v>
      </c>
      <c r="S108" s="60">
        <f>IF(A108&lt;=Input!$C$6,0,IF('144M'!O108&lt;'144M'!Q108,'144M'!O108-R108,'144M'!Q108))</f>
        <v>17160671.499999996</v>
      </c>
      <c r="T108" s="60">
        <f t="shared" si="43"/>
        <v>19603417.499999996</v>
      </c>
      <c r="U108" s="60">
        <f t="shared" si="44"/>
        <v>174581753</v>
      </c>
      <c r="V108" s="193"/>
      <c r="W108" s="169">
        <v>104</v>
      </c>
      <c r="X108" s="1">
        <f t="shared" si="66"/>
        <v>48684</v>
      </c>
      <c r="Y108" s="60">
        <f>IF($X108&lt;Input!$H$58,IF($X108&lt;Input!$G$58,IF($X108&lt;Input!$F$58,IF($X108&lt;Input!$E$58,IF($X108&lt;Input!$D$58,Input!$C$64,Input!$D$64),Input!$E$64),Input!$F$64),Input!$G$64),Input!$H$64)</f>
        <v>0</v>
      </c>
      <c r="Z108" s="190">
        <f>IF($A108&lt;Input!$H$65,IF($A108&lt;Input!$G$65,IF($A108&lt;Input!$F$65,IF($A108&lt;Input!$E$65,IF($A108&lt;Input!$D$65,Input!$C$66,Input!$D$66),Input!$E$66),Input!$F$66),Input!$G$66),Input!$H$66)</f>
        <v>0.9</v>
      </c>
      <c r="AA108" s="60">
        <f t="shared" si="45"/>
        <v>0</v>
      </c>
      <c r="AB108" s="60">
        <f t="shared" si="67"/>
        <v>31</v>
      </c>
      <c r="AC108" s="60">
        <f t="shared" si="46"/>
        <v>0</v>
      </c>
      <c r="AD108" s="60">
        <f>ROUND(AC108*AB108*Input!$C$3/365,0)</f>
        <v>0</v>
      </c>
      <c r="AE108" s="61">
        <f>IF($A108&lt;=Input!$C$6,0,IF('144M'!AA108&lt;'144M'!AC108,'144M'!AA108-AD108,'144M'!AC108))</f>
        <v>0</v>
      </c>
      <c r="AF108" s="61">
        <f t="shared" si="47"/>
        <v>0</v>
      </c>
      <c r="AG108" s="60">
        <f t="shared" si="48"/>
        <v>0</v>
      </c>
      <c r="AH108" s="193"/>
      <c r="AI108" s="169">
        <v>104</v>
      </c>
      <c r="AJ108" s="1">
        <f t="shared" si="68"/>
        <v>48684</v>
      </c>
      <c r="AK108" s="60">
        <f>IF($X108&lt;Input!$H$73,IF($X108&lt;Input!$G$73,IF($X108&lt;Input!$F$73,IF($X108&lt;Input!$E$73,IF($X108&lt;Input!$D$73,Input!$C$79,Input!$D$79),Input!$E$79),Input!$F$79),Input!$G$79),Input!$H$79)</f>
        <v>0</v>
      </c>
      <c r="AL108" s="190">
        <f>IF($A108&lt;Input!$H$80,IF($A108&lt;Input!$G$80,IF($A108&lt;Input!$F$80,IF($A108&lt;Input!$E$80,IF($A108&lt;Input!$D$80,Input!$C$81,Input!$D$81),Input!$E$81),Input!$F$81),Input!$G$81),Input!$H$81)</f>
        <v>0.9</v>
      </c>
      <c r="AM108" s="60">
        <f t="shared" si="49"/>
        <v>0</v>
      </c>
      <c r="AN108" s="60">
        <f t="shared" si="69"/>
        <v>31</v>
      </c>
      <c r="AO108" s="60">
        <f t="shared" si="50"/>
        <v>0</v>
      </c>
      <c r="AP108" s="60">
        <f>ROUND(AO108*AN108*Input!$C$3/365,0)</f>
        <v>0</v>
      </c>
      <c r="AQ108" s="61">
        <f>IF($A108&lt;=Input!$C$6,0,IF('144M'!AM108&lt;'144M'!AO108,'144M'!AM108-AP108,'144M'!AO108))</f>
        <v>0</v>
      </c>
      <c r="AR108" s="61">
        <f t="shared" si="51"/>
        <v>0</v>
      </c>
      <c r="AS108" s="60">
        <f t="shared" si="52"/>
        <v>0</v>
      </c>
      <c r="AT108" s="193"/>
      <c r="AU108" s="169">
        <v>104</v>
      </c>
      <c r="AV108" s="1">
        <f t="shared" si="70"/>
        <v>48684</v>
      </c>
      <c r="AW108" s="60">
        <f>IF($X108&lt;Input!$H$88,IF($X108&lt;Input!$G$88,IF($X108&lt;Input!$F$88,IF($X108&lt;Input!$E$88,IF($X108&lt;Input!$D$88,Input!$C$94,Input!$D$94),Input!$E$94),Input!$F$94),Input!$G$94),Input!$H$94)</f>
        <v>0</v>
      </c>
      <c r="AX108" s="190">
        <f>IF($A108&lt;Input!$H$95,IF($A108&lt;Input!$G$95,IF($A108&lt;Input!$F$95,IF($A108&lt;Input!$E$95,IF($A108&lt;Input!$D$95,Input!$C$96,Input!$D$96),Input!$E$96),Input!$F$96),Input!$G$96),Input!$H$96)</f>
        <v>0.9</v>
      </c>
      <c r="AY108" s="60">
        <f t="shared" si="53"/>
        <v>0</v>
      </c>
      <c r="AZ108" s="60">
        <f t="shared" si="71"/>
        <v>31</v>
      </c>
      <c r="BA108" s="60">
        <f t="shared" si="54"/>
        <v>0</v>
      </c>
      <c r="BB108" s="60">
        <f>ROUND(BA108*AZ108*Input!$C$3/365,0)</f>
        <v>0</v>
      </c>
      <c r="BC108" s="61">
        <f>IF($A108&lt;=Input!$C$6,0,IF('144M'!AY108&lt;'144M'!BA108,'144M'!AY108-BB108,'144M'!BA108))</f>
        <v>0</v>
      </c>
      <c r="BD108" s="61">
        <f t="shared" si="55"/>
        <v>0</v>
      </c>
      <c r="BE108" s="60">
        <f t="shared" si="56"/>
        <v>0</v>
      </c>
      <c r="BF108" s="193"/>
      <c r="BG108" s="169">
        <v>104</v>
      </c>
      <c r="BH108" s="1">
        <f t="shared" si="72"/>
        <v>48684</v>
      </c>
      <c r="BI108" s="60">
        <f>IF($X108&lt;Input!$H$103,IF($X108&lt;Input!$G$103,IF($X108&lt;Input!$F$103,IF($X108&lt;Input!$E$103,IF($X108&lt;Input!$D$103,Input!$C$109,Input!$D$109),Input!$E$109),Input!$F$109),Input!$G$109),Input!$H$109)</f>
        <v>0</v>
      </c>
      <c r="BJ108" s="190">
        <f>IF($A108&lt;Input!$H$110,IF($A108&lt;Input!$G$110,IF($A108&lt;Input!$F$110,IF($A108&lt;Input!$E$110,IF($A108&lt;Input!$D$110,Input!$C$111,Input!$D$111),Input!$E$111),Input!$F$111),Input!$G$111),Input!$H$111)</f>
        <v>0.9</v>
      </c>
      <c r="BK108" s="60">
        <f t="shared" si="57"/>
        <v>0</v>
      </c>
      <c r="BL108" s="60">
        <f t="shared" si="73"/>
        <v>31</v>
      </c>
      <c r="BM108" s="60">
        <f t="shared" si="58"/>
        <v>0</v>
      </c>
      <c r="BN108" s="60">
        <f>ROUND(BM108*BL108*Input!$C$3/365,0)</f>
        <v>0</v>
      </c>
      <c r="BO108" s="61">
        <f>IF($A108&lt;=Input!$C$6,0,IF('144M'!BK108&lt;'144M'!BM108,'144M'!BK108-BN108,'144M'!BM108))</f>
        <v>0</v>
      </c>
      <c r="BP108" s="61">
        <f t="shared" si="59"/>
        <v>0</v>
      </c>
      <c r="BQ108" s="60">
        <f t="shared" si="60"/>
        <v>0</v>
      </c>
      <c r="BR108" s="198"/>
    </row>
    <row r="109" spans="1:70" x14ac:dyDescent="0.25">
      <c r="A109" s="169">
        <v>105</v>
      </c>
      <c r="B109" s="1">
        <f t="shared" si="61"/>
        <v>48714</v>
      </c>
      <c r="C109" s="60">
        <f t="shared" si="39"/>
        <v>21781574.999999996</v>
      </c>
      <c r="D109" s="60">
        <f t="shared" si="40"/>
        <v>19603417.499999996</v>
      </c>
      <c r="E109" s="60">
        <f t="shared" si="62"/>
        <v>30</v>
      </c>
      <c r="F109" s="60">
        <f t="shared" si="63"/>
        <v>174581753</v>
      </c>
      <c r="G109" s="60">
        <f>ROUND(F109*E109*Input!$C$3/365,0)</f>
        <v>2152378</v>
      </c>
      <c r="H109" s="60">
        <f>IF($A109&lt;=Input!$C$6,0,IF('144M'!D109&lt;'144M'!F109,'144M'!D109-G109,'144M'!F109))</f>
        <v>17451039.499999996</v>
      </c>
      <c r="I109" s="60">
        <f t="shared" si="64"/>
        <v>19603417.499999996</v>
      </c>
      <c r="J109" s="60">
        <f t="shared" si="65"/>
        <v>157130713.5</v>
      </c>
      <c r="K109" s="202">
        <f>J109/Input!$K$5</f>
        <v>0.52376904499999999</v>
      </c>
      <c r="L109" s="232"/>
      <c r="M109" s="60">
        <f>IF($B109&lt;Input!$H$43,IF($B109&lt;Input!$G$43,IF($B109&lt;Input!$F$43,IF($B109&lt;Input!$E$43,IF($B109&lt;Input!$D$43,Input!$C$49,Input!$D$49),Input!$E$49),Input!$F$49),Input!$G$49),Input!$H$49)</f>
        <v>21781574.999999996</v>
      </c>
      <c r="N109" s="190">
        <f>IF($A109&lt;Input!$H$50,IF($A109&lt;Input!$G$50,IF($A109&lt;Input!$F$50,IF($A109&lt;Input!$E$50,IF($A109&lt;Input!$D$50,Input!$C$51,Input!$D$51),Input!$E$51),Input!$F$51),Input!$G$51),Input!$H$51)</f>
        <v>0.9</v>
      </c>
      <c r="O109" s="60">
        <f t="shared" si="74"/>
        <v>19603417.499999996</v>
      </c>
      <c r="P109" s="60">
        <f t="shared" si="75"/>
        <v>30</v>
      </c>
      <c r="Q109" s="60">
        <f t="shared" si="42"/>
        <v>174581753</v>
      </c>
      <c r="R109" s="60">
        <f>ROUND(Q109*$P109*Input!$C$3/365,0)</f>
        <v>2152378</v>
      </c>
      <c r="S109" s="60">
        <f>IF(A109&lt;=Input!$C$6,0,IF('144M'!O109&lt;'144M'!Q109,'144M'!O109-R109,'144M'!Q109))</f>
        <v>17451039.499999996</v>
      </c>
      <c r="T109" s="60">
        <f t="shared" si="43"/>
        <v>19603417.499999996</v>
      </c>
      <c r="U109" s="60">
        <f t="shared" si="44"/>
        <v>157130713.5</v>
      </c>
      <c r="V109" s="193"/>
      <c r="W109" s="169">
        <v>105</v>
      </c>
      <c r="X109" s="1">
        <f t="shared" si="66"/>
        <v>48714</v>
      </c>
      <c r="Y109" s="60">
        <f>IF($X109&lt;Input!$H$58,IF($X109&lt;Input!$G$58,IF($X109&lt;Input!$F$58,IF($X109&lt;Input!$E$58,IF($X109&lt;Input!$D$58,Input!$C$64,Input!$D$64),Input!$E$64),Input!$F$64),Input!$G$64),Input!$H$64)</f>
        <v>0</v>
      </c>
      <c r="Z109" s="190">
        <f>IF($A109&lt;Input!$H$65,IF($A109&lt;Input!$G$65,IF($A109&lt;Input!$F$65,IF($A109&lt;Input!$E$65,IF($A109&lt;Input!$D$65,Input!$C$66,Input!$D$66),Input!$E$66),Input!$F$66),Input!$G$66),Input!$H$66)</f>
        <v>0.9</v>
      </c>
      <c r="AA109" s="60">
        <f t="shared" si="45"/>
        <v>0</v>
      </c>
      <c r="AB109" s="60">
        <f t="shared" si="67"/>
        <v>30</v>
      </c>
      <c r="AC109" s="60">
        <f t="shared" si="46"/>
        <v>0</v>
      </c>
      <c r="AD109" s="60">
        <f>ROUND(AC109*AB109*Input!$C$3/365,0)</f>
        <v>0</v>
      </c>
      <c r="AE109" s="61">
        <f>IF($A109&lt;=Input!$C$6,0,IF('144M'!AA109&lt;'144M'!AC109,'144M'!AA109-AD109,'144M'!AC109))</f>
        <v>0</v>
      </c>
      <c r="AF109" s="61">
        <f t="shared" si="47"/>
        <v>0</v>
      </c>
      <c r="AG109" s="60">
        <f t="shared" si="48"/>
        <v>0</v>
      </c>
      <c r="AH109" s="193"/>
      <c r="AI109" s="169">
        <v>105</v>
      </c>
      <c r="AJ109" s="1">
        <f t="shared" si="68"/>
        <v>48714</v>
      </c>
      <c r="AK109" s="60">
        <f>IF($X109&lt;Input!$H$73,IF($X109&lt;Input!$G$73,IF($X109&lt;Input!$F$73,IF($X109&lt;Input!$E$73,IF($X109&lt;Input!$D$73,Input!$C$79,Input!$D$79),Input!$E$79),Input!$F$79),Input!$G$79),Input!$H$79)</f>
        <v>0</v>
      </c>
      <c r="AL109" s="190">
        <f>IF($A109&lt;Input!$H$80,IF($A109&lt;Input!$G$80,IF($A109&lt;Input!$F$80,IF($A109&lt;Input!$E$80,IF($A109&lt;Input!$D$80,Input!$C$81,Input!$D$81),Input!$E$81),Input!$F$81),Input!$G$81),Input!$H$81)</f>
        <v>0.9</v>
      </c>
      <c r="AM109" s="60">
        <f t="shared" si="49"/>
        <v>0</v>
      </c>
      <c r="AN109" s="60">
        <f t="shared" si="69"/>
        <v>30</v>
      </c>
      <c r="AO109" s="60">
        <f t="shared" si="50"/>
        <v>0</v>
      </c>
      <c r="AP109" s="60">
        <f>ROUND(AO109*AN109*Input!$C$3/365,0)</f>
        <v>0</v>
      </c>
      <c r="AQ109" s="61">
        <f>IF($A109&lt;=Input!$C$6,0,IF('144M'!AM109&lt;'144M'!AO109,'144M'!AM109-AP109,'144M'!AO109))</f>
        <v>0</v>
      </c>
      <c r="AR109" s="61">
        <f t="shared" si="51"/>
        <v>0</v>
      </c>
      <c r="AS109" s="60">
        <f t="shared" si="52"/>
        <v>0</v>
      </c>
      <c r="AT109" s="193"/>
      <c r="AU109" s="169">
        <v>105</v>
      </c>
      <c r="AV109" s="1">
        <f t="shared" si="70"/>
        <v>48714</v>
      </c>
      <c r="AW109" s="60">
        <f>IF($X109&lt;Input!$H$88,IF($X109&lt;Input!$G$88,IF($X109&lt;Input!$F$88,IF($X109&lt;Input!$E$88,IF($X109&lt;Input!$D$88,Input!$C$94,Input!$D$94),Input!$E$94),Input!$F$94),Input!$G$94),Input!$H$94)</f>
        <v>0</v>
      </c>
      <c r="AX109" s="190">
        <f>IF($A109&lt;Input!$H$95,IF($A109&lt;Input!$G$95,IF($A109&lt;Input!$F$95,IF($A109&lt;Input!$E$95,IF($A109&lt;Input!$D$95,Input!$C$96,Input!$D$96),Input!$E$96),Input!$F$96),Input!$G$96),Input!$H$96)</f>
        <v>0.9</v>
      </c>
      <c r="AY109" s="60">
        <f t="shared" si="53"/>
        <v>0</v>
      </c>
      <c r="AZ109" s="60">
        <f t="shared" si="71"/>
        <v>30</v>
      </c>
      <c r="BA109" s="60">
        <f t="shared" si="54"/>
        <v>0</v>
      </c>
      <c r="BB109" s="60">
        <f>ROUND(BA109*AZ109*Input!$C$3/365,0)</f>
        <v>0</v>
      </c>
      <c r="BC109" s="61">
        <f>IF($A109&lt;=Input!$C$6,0,IF('144M'!AY109&lt;'144M'!BA109,'144M'!AY109-BB109,'144M'!BA109))</f>
        <v>0</v>
      </c>
      <c r="BD109" s="61">
        <f t="shared" si="55"/>
        <v>0</v>
      </c>
      <c r="BE109" s="60">
        <f t="shared" si="56"/>
        <v>0</v>
      </c>
      <c r="BF109" s="193"/>
      <c r="BG109" s="169">
        <v>105</v>
      </c>
      <c r="BH109" s="1">
        <f t="shared" si="72"/>
        <v>48714</v>
      </c>
      <c r="BI109" s="60">
        <f>IF($X109&lt;Input!$H$103,IF($X109&lt;Input!$G$103,IF($X109&lt;Input!$F$103,IF($X109&lt;Input!$E$103,IF($X109&lt;Input!$D$103,Input!$C$109,Input!$D$109),Input!$E$109),Input!$F$109),Input!$G$109),Input!$H$109)</f>
        <v>0</v>
      </c>
      <c r="BJ109" s="190">
        <f>IF($A109&lt;Input!$H$110,IF($A109&lt;Input!$G$110,IF($A109&lt;Input!$F$110,IF($A109&lt;Input!$E$110,IF($A109&lt;Input!$D$110,Input!$C$111,Input!$D$111),Input!$E$111),Input!$F$111),Input!$G$111),Input!$H$111)</f>
        <v>0.9</v>
      </c>
      <c r="BK109" s="60">
        <f t="shared" si="57"/>
        <v>0</v>
      </c>
      <c r="BL109" s="60">
        <f t="shared" si="73"/>
        <v>30</v>
      </c>
      <c r="BM109" s="60">
        <f t="shared" si="58"/>
        <v>0</v>
      </c>
      <c r="BN109" s="60">
        <f>ROUND(BM109*BL109*Input!$C$3/365,0)</f>
        <v>0</v>
      </c>
      <c r="BO109" s="61">
        <f>IF($A109&lt;=Input!$C$6,0,IF('144M'!BK109&lt;'144M'!BM109,'144M'!BK109-BN109,'144M'!BM109))</f>
        <v>0</v>
      </c>
      <c r="BP109" s="61">
        <f t="shared" si="59"/>
        <v>0</v>
      </c>
      <c r="BQ109" s="60">
        <f t="shared" si="60"/>
        <v>0</v>
      </c>
      <c r="BR109" s="198"/>
    </row>
    <row r="110" spans="1:70" x14ac:dyDescent="0.25">
      <c r="A110" s="169">
        <v>106</v>
      </c>
      <c r="B110" s="1">
        <f t="shared" si="61"/>
        <v>48745</v>
      </c>
      <c r="C110" s="60">
        <f t="shared" si="39"/>
        <v>21781574.999999996</v>
      </c>
      <c r="D110" s="60">
        <f t="shared" si="40"/>
        <v>19603417.499999996</v>
      </c>
      <c r="E110" s="60">
        <f t="shared" si="62"/>
        <v>31</v>
      </c>
      <c r="F110" s="60">
        <f t="shared" si="63"/>
        <v>157130713.5</v>
      </c>
      <c r="G110" s="60">
        <f>ROUND(F110*E110*Input!$C$3/365,0)</f>
        <v>2001802</v>
      </c>
      <c r="H110" s="60">
        <f>IF($A110&lt;=Input!$C$6,0,IF('144M'!D110&lt;'144M'!F110,'144M'!D110-G110,'144M'!F110))</f>
        <v>17601615.499999996</v>
      </c>
      <c r="I110" s="60">
        <f t="shared" si="64"/>
        <v>19603417.499999996</v>
      </c>
      <c r="J110" s="60">
        <f t="shared" si="65"/>
        <v>139529098</v>
      </c>
      <c r="K110" s="202">
        <f>J110/Input!$K$5</f>
        <v>0.46509699333333332</v>
      </c>
      <c r="L110" s="232"/>
      <c r="M110" s="60">
        <f>IF($B110&lt;Input!$H$43,IF($B110&lt;Input!$G$43,IF($B110&lt;Input!$F$43,IF($B110&lt;Input!$E$43,IF($B110&lt;Input!$D$43,Input!$C$49,Input!$D$49),Input!$E$49),Input!$F$49),Input!$G$49),Input!$H$49)</f>
        <v>21781574.999999996</v>
      </c>
      <c r="N110" s="190">
        <f>IF($A110&lt;Input!$H$50,IF($A110&lt;Input!$G$50,IF($A110&lt;Input!$F$50,IF($A110&lt;Input!$E$50,IF($A110&lt;Input!$D$50,Input!$C$51,Input!$D$51),Input!$E$51),Input!$F$51),Input!$G$51),Input!$H$51)</f>
        <v>0.9</v>
      </c>
      <c r="O110" s="60">
        <f t="shared" si="74"/>
        <v>19603417.499999996</v>
      </c>
      <c r="P110" s="60">
        <f t="shared" si="75"/>
        <v>31</v>
      </c>
      <c r="Q110" s="60">
        <f t="shared" si="42"/>
        <v>157130713.5</v>
      </c>
      <c r="R110" s="60">
        <f>ROUND(Q110*$P110*Input!$C$3/365,0)</f>
        <v>2001802</v>
      </c>
      <c r="S110" s="60">
        <f>IF(A110&lt;=Input!$C$6,0,IF('144M'!O110&lt;'144M'!Q110,'144M'!O110-R110,'144M'!Q110))</f>
        <v>17601615.499999996</v>
      </c>
      <c r="T110" s="60">
        <f t="shared" si="43"/>
        <v>19603417.499999996</v>
      </c>
      <c r="U110" s="60">
        <f t="shared" si="44"/>
        <v>139529098</v>
      </c>
      <c r="V110" s="193"/>
      <c r="W110" s="169">
        <v>106</v>
      </c>
      <c r="X110" s="1">
        <f t="shared" si="66"/>
        <v>48745</v>
      </c>
      <c r="Y110" s="60">
        <f>IF($X110&lt;Input!$H$58,IF($X110&lt;Input!$G$58,IF($X110&lt;Input!$F$58,IF($X110&lt;Input!$E$58,IF($X110&lt;Input!$D$58,Input!$C$64,Input!$D$64),Input!$E$64),Input!$F$64),Input!$G$64),Input!$H$64)</f>
        <v>0</v>
      </c>
      <c r="Z110" s="190">
        <f>IF($A110&lt;Input!$H$65,IF($A110&lt;Input!$G$65,IF($A110&lt;Input!$F$65,IF($A110&lt;Input!$E$65,IF($A110&lt;Input!$D$65,Input!$C$66,Input!$D$66),Input!$E$66),Input!$F$66),Input!$G$66),Input!$H$66)</f>
        <v>0.9</v>
      </c>
      <c r="AA110" s="60">
        <f t="shared" si="45"/>
        <v>0</v>
      </c>
      <c r="AB110" s="60">
        <f t="shared" si="67"/>
        <v>31</v>
      </c>
      <c r="AC110" s="60">
        <f t="shared" si="46"/>
        <v>0</v>
      </c>
      <c r="AD110" s="60">
        <f>ROUND(AC110*AB110*Input!$C$3/365,0)</f>
        <v>0</v>
      </c>
      <c r="AE110" s="61">
        <f>IF($A110&lt;=Input!$C$6,0,IF('144M'!AA110&lt;'144M'!AC110,'144M'!AA110-AD110,'144M'!AC110))</f>
        <v>0</v>
      </c>
      <c r="AF110" s="61">
        <f t="shared" si="47"/>
        <v>0</v>
      </c>
      <c r="AG110" s="60">
        <f t="shared" si="48"/>
        <v>0</v>
      </c>
      <c r="AH110" s="193"/>
      <c r="AI110" s="169">
        <v>106</v>
      </c>
      <c r="AJ110" s="1">
        <f t="shared" si="68"/>
        <v>48745</v>
      </c>
      <c r="AK110" s="60">
        <f>IF($X110&lt;Input!$H$73,IF($X110&lt;Input!$G$73,IF($X110&lt;Input!$F$73,IF($X110&lt;Input!$E$73,IF($X110&lt;Input!$D$73,Input!$C$79,Input!$D$79),Input!$E$79),Input!$F$79),Input!$G$79),Input!$H$79)</f>
        <v>0</v>
      </c>
      <c r="AL110" s="190">
        <f>IF($A110&lt;Input!$H$80,IF($A110&lt;Input!$G$80,IF($A110&lt;Input!$F$80,IF($A110&lt;Input!$E$80,IF($A110&lt;Input!$D$80,Input!$C$81,Input!$D$81),Input!$E$81),Input!$F$81),Input!$G$81),Input!$H$81)</f>
        <v>0.9</v>
      </c>
      <c r="AM110" s="60">
        <f t="shared" si="49"/>
        <v>0</v>
      </c>
      <c r="AN110" s="60">
        <f t="shared" si="69"/>
        <v>31</v>
      </c>
      <c r="AO110" s="60">
        <f t="shared" si="50"/>
        <v>0</v>
      </c>
      <c r="AP110" s="60">
        <f>ROUND(AO110*AN110*Input!$C$3/365,0)</f>
        <v>0</v>
      </c>
      <c r="AQ110" s="61">
        <f>IF($A110&lt;=Input!$C$6,0,IF('144M'!AM110&lt;'144M'!AO110,'144M'!AM110-AP110,'144M'!AO110))</f>
        <v>0</v>
      </c>
      <c r="AR110" s="61">
        <f t="shared" si="51"/>
        <v>0</v>
      </c>
      <c r="AS110" s="60">
        <f t="shared" si="52"/>
        <v>0</v>
      </c>
      <c r="AT110" s="193"/>
      <c r="AU110" s="169">
        <v>106</v>
      </c>
      <c r="AV110" s="1">
        <f t="shared" si="70"/>
        <v>48745</v>
      </c>
      <c r="AW110" s="60">
        <f>IF($X110&lt;Input!$H$88,IF($X110&lt;Input!$G$88,IF($X110&lt;Input!$F$88,IF($X110&lt;Input!$E$88,IF($X110&lt;Input!$D$88,Input!$C$94,Input!$D$94),Input!$E$94),Input!$F$94),Input!$G$94),Input!$H$94)</f>
        <v>0</v>
      </c>
      <c r="AX110" s="190">
        <f>IF($A110&lt;Input!$H$95,IF($A110&lt;Input!$G$95,IF($A110&lt;Input!$F$95,IF($A110&lt;Input!$E$95,IF($A110&lt;Input!$D$95,Input!$C$96,Input!$D$96),Input!$E$96),Input!$F$96),Input!$G$96),Input!$H$96)</f>
        <v>0.9</v>
      </c>
      <c r="AY110" s="60">
        <f t="shared" si="53"/>
        <v>0</v>
      </c>
      <c r="AZ110" s="60">
        <f t="shared" si="71"/>
        <v>31</v>
      </c>
      <c r="BA110" s="60">
        <f t="shared" si="54"/>
        <v>0</v>
      </c>
      <c r="BB110" s="60">
        <f>ROUND(BA110*AZ110*Input!$C$3/365,0)</f>
        <v>0</v>
      </c>
      <c r="BC110" s="61">
        <f>IF($A110&lt;=Input!$C$6,0,IF('144M'!AY110&lt;'144M'!BA110,'144M'!AY110-BB110,'144M'!BA110))</f>
        <v>0</v>
      </c>
      <c r="BD110" s="61">
        <f t="shared" si="55"/>
        <v>0</v>
      </c>
      <c r="BE110" s="60">
        <f t="shared" si="56"/>
        <v>0</v>
      </c>
      <c r="BF110" s="193"/>
      <c r="BG110" s="169">
        <v>106</v>
      </c>
      <c r="BH110" s="1">
        <f t="shared" si="72"/>
        <v>48745</v>
      </c>
      <c r="BI110" s="60">
        <f>IF($X110&lt;Input!$H$103,IF($X110&lt;Input!$G$103,IF($X110&lt;Input!$F$103,IF($X110&lt;Input!$E$103,IF($X110&lt;Input!$D$103,Input!$C$109,Input!$D$109),Input!$E$109),Input!$F$109),Input!$G$109),Input!$H$109)</f>
        <v>0</v>
      </c>
      <c r="BJ110" s="190">
        <f>IF($A110&lt;Input!$H$110,IF($A110&lt;Input!$G$110,IF($A110&lt;Input!$F$110,IF($A110&lt;Input!$E$110,IF($A110&lt;Input!$D$110,Input!$C$111,Input!$D$111),Input!$E$111),Input!$F$111),Input!$G$111),Input!$H$111)</f>
        <v>0.9</v>
      </c>
      <c r="BK110" s="60">
        <f t="shared" si="57"/>
        <v>0</v>
      </c>
      <c r="BL110" s="60">
        <f t="shared" si="73"/>
        <v>31</v>
      </c>
      <c r="BM110" s="60">
        <f t="shared" si="58"/>
        <v>0</v>
      </c>
      <c r="BN110" s="60">
        <f>ROUND(BM110*BL110*Input!$C$3/365,0)</f>
        <v>0</v>
      </c>
      <c r="BO110" s="61">
        <f>IF($A110&lt;=Input!$C$6,0,IF('144M'!BK110&lt;'144M'!BM110,'144M'!BK110-BN110,'144M'!BM110))</f>
        <v>0</v>
      </c>
      <c r="BP110" s="61">
        <f t="shared" si="59"/>
        <v>0</v>
      </c>
      <c r="BQ110" s="60">
        <f t="shared" si="60"/>
        <v>0</v>
      </c>
      <c r="BR110" s="198"/>
    </row>
    <row r="111" spans="1:70" x14ac:dyDescent="0.25">
      <c r="A111" s="169">
        <v>107</v>
      </c>
      <c r="B111" s="1">
        <f t="shared" si="61"/>
        <v>48775</v>
      </c>
      <c r="C111" s="60">
        <f t="shared" si="39"/>
        <v>21781574.999999996</v>
      </c>
      <c r="D111" s="60">
        <f t="shared" si="40"/>
        <v>19603417.499999996</v>
      </c>
      <c r="E111" s="60">
        <f t="shared" si="62"/>
        <v>30</v>
      </c>
      <c r="F111" s="60">
        <f t="shared" si="63"/>
        <v>139529098</v>
      </c>
      <c r="G111" s="60">
        <f>ROUND(F111*E111*Input!$C$3/365,0)</f>
        <v>1720222</v>
      </c>
      <c r="H111" s="60">
        <f>IF($A111&lt;=Input!$C$6,0,IF('144M'!D111&lt;'144M'!F111,'144M'!D111-G111,'144M'!F111))</f>
        <v>17883195.499999996</v>
      </c>
      <c r="I111" s="60">
        <f t="shared" si="64"/>
        <v>19603417.499999996</v>
      </c>
      <c r="J111" s="60">
        <f t="shared" si="65"/>
        <v>121645902.5</v>
      </c>
      <c r="K111" s="202">
        <f>J111/Input!$K$5</f>
        <v>0.40548634166666669</v>
      </c>
      <c r="L111" s="232"/>
      <c r="M111" s="60">
        <f>IF($B111&lt;Input!$H$43,IF($B111&lt;Input!$G$43,IF($B111&lt;Input!$F$43,IF($B111&lt;Input!$E$43,IF($B111&lt;Input!$D$43,Input!$C$49,Input!$D$49),Input!$E$49),Input!$F$49),Input!$G$49),Input!$H$49)</f>
        <v>21781574.999999996</v>
      </c>
      <c r="N111" s="190">
        <f>IF($A111&lt;Input!$H$50,IF($A111&lt;Input!$G$50,IF($A111&lt;Input!$F$50,IF($A111&lt;Input!$E$50,IF($A111&lt;Input!$D$50,Input!$C$51,Input!$D$51),Input!$E$51),Input!$F$51),Input!$G$51),Input!$H$51)</f>
        <v>0.9</v>
      </c>
      <c r="O111" s="60">
        <f t="shared" si="74"/>
        <v>19603417.499999996</v>
      </c>
      <c r="P111" s="60">
        <f t="shared" si="75"/>
        <v>30</v>
      </c>
      <c r="Q111" s="60">
        <f t="shared" si="42"/>
        <v>139529098</v>
      </c>
      <c r="R111" s="60">
        <f>ROUND(Q111*$P111*Input!$C$3/365,0)</f>
        <v>1720222</v>
      </c>
      <c r="S111" s="60">
        <f>IF(A111&lt;=Input!$C$6,0,IF('144M'!O111&lt;'144M'!Q111,'144M'!O111-R111,'144M'!Q111))</f>
        <v>17883195.499999996</v>
      </c>
      <c r="T111" s="60">
        <f t="shared" si="43"/>
        <v>19603417.499999996</v>
      </c>
      <c r="U111" s="60">
        <f t="shared" si="44"/>
        <v>121645902.5</v>
      </c>
      <c r="V111" s="193"/>
      <c r="W111" s="169">
        <v>107</v>
      </c>
      <c r="X111" s="1">
        <f t="shared" si="66"/>
        <v>48775</v>
      </c>
      <c r="Y111" s="60">
        <f>IF($X111&lt;Input!$H$58,IF($X111&lt;Input!$G$58,IF($X111&lt;Input!$F$58,IF($X111&lt;Input!$E$58,IF($X111&lt;Input!$D$58,Input!$C$64,Input!$D$64),Input!$E$64),Input!$F$64),Input!$G$64),Input!$H$64)</f>
        <v>0</v>
      </c>
      <c r="Z111" s="190">
        <f>IF($A111&lt;Input!$H$65,IF($A111&lt;Input!$G$65,IF($A111&lt;Input!$F$65,IF($A111&lt;Input!$E$65,IF($A111&lt;Input!$D$65,Input!$C$66,Input!$D$66),Input!$E$66),Input!$F$66),Input!$G$66),Input!$H$66)</f>
        <v>0.9</v>
      </c>
      <c r="AA111" s="60">
        <f t="shared" si="45"/>
        <v>0</v>
      </c>
      <c r="AB111" s="60">
        <f t="shared" si="67"/>
        <v>30</v>
      </c>
      <c r="AC111" s="60">
        <f t="shared" si="46"/>
        <v>0</v>
      </c>
      <c r="AD111" s="60">
        <f>ROUND(AC111*AB111*Input!$C$3/365,0)</f>
        <v>0</v>
      </c>
      <c r="AE111" s="61">
        <f>IF($A111&lt;=Input!$C$6,0,IF('144M'!AA111&lt;'144M'!AC111,'144M'!AA111-AD111,'144M'!AC111))</f>
        <v>0</v>
      </c>
      <c r="AF111" s="61">
        <f t="shared" si="47"/>
        <v>0</v>
      </c>
      <c r="AG111" s="60">
        <f t="shared" si="48"/>
        <v>0</v>
      </c>
      <c r="AH111" s="193"/>
      <c r="AI111" s="169">
        <v>107</v>
      </c>
      <c r="AJ111" s="1">
        <f t="shared" si="68"/>
        <v>48775</v>
      </c>
      <c r="AK111" s="60">
        <f>IF($X111&lt;Input!$H$73,IF($X111&lt;Input!$G$73,IF($X111&lt;Input!$F$73,IF($X111&lt;Input!$E$73,IF($X111&lt;Input!$D$73,Input!$C$79,Input!$D$79),Input!$E$79),Input!$F$79),Input!$G$79),Input!$H$79)</f>
        <v>0</v>
      </c>
      <c r="AL111" s="190">
        <f>IF($A111&lt;Input!$H$80,IF($A111&lt;Input!$G$80,IF($A111&lt;Input!$F$80,IF($A111&lt;Input!$E$80,IF($A111&lt;Input!$D$80,Input!$C$81,Input!$D$81),Input!$E$81),Input!$F$81),Input!$G$81),Input!$H$81)</f>
        <v>0.9</v>
      </c>
      <c r="AM111" s="60">
        <f t="shared" si="49"/>
        <v>0</v>
      </c>
      <c r="AN111" s="60">
        <f t="shared" si="69"/>
        <v>30</v>
      </c>
      <c r="AO111" s="60">
        <f t="shared" si="50"/>
        <v>0</v>
      </c>
      <c r="AP111" s="60">
        <f>ROUND(AO111*AN111*Input!$C$3/365,0)</f>
        <v>0</v>
      </c>
      <c r="AQ111" s="61">
        <f>IF($A111&lt;=Input!$C$6,0,IF('144M'!AM111&lt;'144M'!AO111,'144M'!AM111-AP111,'144M'!AO111))</f>
        <v>0</v>
      </c>
      <c r="AR111" s="61">
        <f t="shared" si="51"/>
        <v>0</v>
      </c>
      <c r="AS111" s="60">
        <f t="shared" si="52"/>
        <v>0</v>
      </c>
      <c r="AT111" s="193"/>
      <c r="AU111" s="169">
        <v>107</v>
      </c>
      <c r="AV111" s="1">
        <f t="shared" si="70"/>
        <v>48775</v>
      </c>
      <c r="AW111" s="60">
        <f>IF($X111&lt;Input!$H$88,IF($X111&lt;Input!$G$88,IF($X111&lt;Input!$F$88,IF($X111&lt;Input!$E$88,IF($X111&lt;Input!$D$88,Input!$C$94,Input!$D$94),Input!$E$94),Input!$F$94),Input!$G$94),Input!$H$94)</f>
        <v>0</v>
      </c>
      <c r="AX111" s="190">
        <f>IF($A111&lt;Input!$H$95,IF($A111&lt;Input!$G$95,IF($A111&lt;Input!$F$95,IF($A111&lt;Input!$E$95,IF($A111&lt;Input!$D$95,Input!$C$96,Input!$D$96),Input!$E$96),Input!$F$96),Input!$G$96),Input!$H$96)</f>
        <v>0.9</v>
      </c>
      <c r="AY111" s="60">
        <f t="shared" si="53"/>
        <v>0</v>
      </c>
      <c r="AZ111" s="60">
        <f t="shared" si="71"/>
        <v>30</v>
      </c>
      <c r="BA111" s="60">
        <f t="shared" si="54"/>
        <v>0</v>
      </c>
      <c r="BB111" s="60">
        <f>ROUND(BA111*AZ111*Input!$C$3/365,0)</f>
        <v>0</v>
      </c>
      <c r="BC111" s="61">
        <f>IF($A111&lt;=Input!$C$6,0,IF('144M'!AY111&lt;'144M'!BA111,'144M'!AY111-BB111,'144M'!BA111))</f>
        <v>0</v>
      </c>
      <c r="BD111" s="61">
        <f t="shared" si="55"/>
        <v>0</v>
      </c>
      <c r="BE111" s="60">
        <f t="shared" si="56"/>
        <v>0</v>
      </c>
      <c r="BF111" s="193"/>
      <c r="BG111" s="169">
        <v>107</v>
      </c>
      <c r="BH111" s="1">
        <f t="shared" si="72"/>
        <v>48775</v>
      </c>
      <c r="BI111" s="60">
        <f>IF($X111&lt;Input!$H$103,IF($X111&lt;Input!$G$103,IF($X111&lt;Input!$F$103,IF($X111&lt;Input!$E$103,IF($X111&lt;Input!$D$103,Input!$C$109,Input!$D$109),Input!$E$109),Input!$F$109),Input!$G$109),Input!$H$109)</f>
        <v>0</v>
      </c>
      <c r="BJ111" s="190">
        <f>IF($A111&lt;Input!$H$110,IF($A111&lt;Input!$G$110,IF($A111&lt;Input!$F$110,IF($A111&lt;Input!$E$110,IF($A111&lt;Input!$D$110,Input!$C$111,Input!$D$111),Input!$E$111),Input!$F$111),Input!$G$111),Input!$H$111)</f>
        <v>0.9</v>
      </c>
      <c r="BK111" s="60">
        <f t="shared" si="57"/>
        <v>0</v>
      </c>
      <c r="BL111" s="60">
        <f t="shared" si="73"/>
        <v>30</v>
      </c>
      <c r="BM111" s="60">
        <f t="shared" si="58"/>
        <v>0</v>
      </c>
      <c r="BN111" s="60">
        <f>ROUND(BM111*BL111*Input!$C$3/365,0)</f>
        <v>0</v>
      </c>
      <c r="BO111" s="61">
        <f>IF($A111&lt;=Input!$C$6,0,IF('144M'!BK111&lt;'144M'!BM111,'144M'!BK111-BN111,'144M'!BM111))</f>
        <v>0</v>
      </c>
      <c r="BP111" s="61">
        <f t="shared" si="59"/>
        <v>0</v>
      </c>
      <c r="BQ111" s="60">
        <f t="shared" si="60"/>
        <v>0</v>
      </c>
      <c r="BR111" s="198"/>
    </row>
    <row r="112" spans="1:70" x14ac:dyDescent="0.25">
      <c r="A112" s="169">
        <v>108</v>
      </c>
      <c r="B112" s="1">
        <f t="shared" si="61"/>
        <v>48806</v>
      </c>
      <c r="C112" s="60">
        <f t="shared" si="39"/>
        <v>21781574.999999996</v>
      </c>
      <c r="D112" s="60">
        <f t="shared" si="40"/>
        <v>19603417.499999996</v>
      </c>
      <c r="E112" s="60">
        <f t="shared" si="62"/>
        <v>31</v>
      </c>
      <c r="F112" s="60">
        <f t="shared" si="63"/>
        <v>121645902.5</v>
      </c>
      <c r="G112" s="60">
        <f>ROUND(F112*E112*Input!$C$3/365,0)</f>
        <v>1549735</v>
      </c>
      <c r="H112" s="60">
        <f>IF($A112&lt;=Input!$C$6,0,IF('144M'!D112&lt;'144M'!F112,'144M'!D112-G112,'144M'!F112))</f>
        <v>18053682.499999996</v>
      </c>
      <c r="I112" s="60">
        <f t="shared" si="64"/>
        <v>19603417.499999996</v>
      </c>
      <c r="J112" s="60">
        <f t="shared" si="65"/>
        <v>103592220</v>
      </c>
      <c r="K112" s="202">
        <f>J112/Input!$K$5</f>
        <v>0.34530739999999999</v>
      </c>
      <c r="L112" s="232"/>
      <c r="M112" s="60">
        <f>IF($B112&lt;Input!$H$43,IF($B112&lt;Input!$G$43,IF($B112&lt;Input!$F$43,IF($B112&lt;Input!$E$43,IF($B112&lt;Input!$D$43,Input!$C$49,Input!$D$49),Input!$E$49),Input!$F$49),Input!$G$49),Input!$H$49)</f>
        <v>21781574.999999996</v>
      </c>
      <c r="N112" s="190">
        <f>IF($A112&lt;Input!$H$50,IF($A112&lt;Input!$G$50,IF($A112&lt;Input!$F$50,IF($A112&lt;Input!$E$50,IF($A112&lt;Input!$D$50,Input!$C$51,Input!$D$51),Input!$E$51),Input!$F$51),Input!$G$51),Input!$H$51)</f>
        <v>0.9</v>
      </c>
      <c r="O112" s="60">
        <f t="shared" si="74"/>
        <v>19603417.499999996</v>
      </c>
      <c r="P112" s="60">
        <f t="shared" si="75"/>
        <v>31</v>
      </c>
      <c r="Q112" s="60">
        <f t="shared" si="42"/>
        <v>121645902.5</v>
      </c>
      <c r="R112" s="60">
        <f>ROUND(Q112*$P112*Input!$C$3/365,0)</f>
        <v>1549735</v>
      </c>
      <c r="S112" s="60">
        <f>IF(A112&lt;=Input!$C$6,0,IF('144M'!O112&lt;'144M'!Q112,'144M'!O112-R112,'144M'!Q112))</f>
        <v>18053682.499999996</v>
      </c>
      <c r="T112" s="60">
        <f t="shared" si="43"/>
        <v>19603417.499999996</v>
      </c>
      <c r="U112" s="60">
        <f t="shared" si="44"/>
        <v>103592220</v>
      </c>
      <c r="V112" s="193"/>
      <c r="W112" s="169">
        <v>108</v>
      </c>
      <c r="X112" s="1">
        <f t="shared" si="66"/>
        <v>48806</v>
      </c>
      <c r="Y112" s="60">
        <f>IF($X112&lt;Input!$H$58,IF($X112&lt;Input!$G$58,IF($X112&lt;Input!$F$58,IF($X112&lt;Input!$E$58,IF($X112&lt;Input!$D$58,Input!$C$64,Input!$D$64),Input!$E$64),Input!$F$64),Input!$G$64),Input!$H$64)</f>
        <v>0</v>
      </c>
      <c r="Z112" s="190">
        <f>IF($A112&lt;Input!$H$65,IF($A112&lt;Input!$G$65,IF($A112&lt;Input!$F$65,IF($A112&lt;Input!$E$65,IF($A112&lt;Input!$D$65,Input!$C$66,Input!$D$66),Input!$E$66),Input!$F$66),Input!$G$66),Input!$H$66)</f>
        <v>0.9</v>
      </c>
      <c r="AA112" s="60">
        <f t="shared" si="45"/>
        <v>0</v>
      </c>
      <c r="AB112" s="60">
        <f t="shared" si="67"/>
        <v>31</v>
      </c>
      <c r="AC112" s="60">
        <f t="shared" si="46"/>
        <v>0</v>
      </c>
      <c r="AD112" s="60">
        <f>ROUND(AC112*AB112*Input!$C$3/365,0)</f>
        <v>0</v>
      </c>
      <c r="AE112" s="61">
        <f>IF($A112&lt;=Input!$C$6,0,IF('144M'!AA112&lt;'144M'!AC112,'144M'!AA112-AD112,'144M'!AC112))</f>
        <v>0</v>
      </c>
      <c r="AF112" s="61">
        <f t="shared" si="47"/>
        <v>0</v>
      </c>
      <c r="AG112" s="60">
        <f t="shared" si="48"/>
        <v>0</v>
      </c>
      <c r="AH112" s="193"/>
      <c r="AI112" s="169">
        <v>108</v>
      </c>
      <c r="AJ112" s="1">
        <f t="shared" si="68"/>
        <v>48806</v>
      </c>
      <c r="AK112" s="60">
        <f>IF($X112&lt;Input!$H$73,IF($X112&lt;Input!$G$73,IF($X112&lt;Input!$F$73,IF($X112&lt;Input!$E$73,IF($X112&lt;Input!$D$73,Input!$C$79,Input!$D$79),Input!$E$79),Input!$F$79),Input!$G$79),Input!$H$79)</f>
        <v>0</v>
      </c>
      <c r="AL112" s="190">
        <f>IF($A112&lt;Input!$H$80,IF($A112&lt;Input!$G$80,IF($A112&lt;Input!$F$80,IF($A112&lt;Input!$E$80,IF($A112&lt;Input!$D$80,Input!$C$81,Input!$D$81),Input!$E$81),Input!$F$81),Input!$G$81),Input!$H$81)</f>
        <v>0.9</v>
      </c>
      <c r="AM112" s="60">
        <f t="shared" si="49"/>
        <v>0</v>
      </c>
      <c r="AN112" s="60">
        <f t="shared" si="69"/>
        <v>31</v>
      </c>
      <c r="AO112" s="60">
        <f t="shared" si="50"/>
        <v>0</v>
      </c>
      <c r="AP112" s="60">
        <f>ROUND(AO112*AN112*Input!$C$3/365,0)</f>
        <v>0</v>
      </c>
      <c r="AQ112" s="61">
        <f>IF($A112&lt;=Input!$C$6,0,IF('144M'!AM112&lt;'144M'!AO112,'144M'!AM112-AP112,'144M'!AO112))</f>
        <v>0</v>
      </c>
      <c r="AR112" s="61">
        <f t="shared" si="51"/>
        <v>0</v>
      </c>
      <c r="AS112" s="60">
        <f t="shared" si="52"/>
        <v>0</v>
      </c>
      <c r="AT112" s="193"/>
      <c r="AU112" s="169">
        <v>108</v>
      </c>
      <c r="AV112" s="1">
        <f t="shared" si="70"/>
        <v>48806</v>
      </c>
      <c r="AW112" s="60">
        <f>IF($X112&lt;Input!$H$88,IF($X112&lt;Input!$G$88,IF($X112&lt;Input!$F$88,IF($X112&lt;Input!$E$88,IF($X112&lt;Input!$D$88,Input!$C$94,Input!$D$94),Input!$E$94),Input!$F$94),Input!$G$94),Input!$H$94)</f>
        <v>0</v>
      </c>
      <c r="AX112" s="190">
        <f>IF($A112&lt;Input!$H$95,IF($A112&lt;Input!$G$95,IF($A112&lt;Input!$F$95,IF($A112&lt;Input!$E$95,IF($A112&lt;Input!$D$95,Input!$C$96,Input!$D$96),Input!$E$96),Input!$F$96),Input!$G$96),Input!$H$96)</f>
        <v>0.9</v>
      </c>
      <c r="AY112" s="60">
        <f t="shared" si="53"/>
        <v>0</v>
      </c>
      <c r="AZ112" s="60">
        <f t="shared" si="71"/>
        <v>31</v>
      </c>
      <c r="BA112" s="60">
        <f t="shared" si="54"/>
        <v>0</v>
      </c>
      <c r="BB112" s="60">
        <f>ROUND(BA112*AZ112*Input!$C$3/365,0)</f>
        <v>0</v>
      </c>
      <c r="BC112" s="61">
        <f>IF($A112&lt;=Input!$C$6,0,IF('144M'!AY112&lt;'144M'!BA112,'144M'!AY112-BB112,'144M'!BA112))</f>
        <v>0</v>
      </c>
      <c r="BD112" s="61">
        <f t="shared" si="55"/>
        <v>0</v>
      </c>
      <c r="BE112" s="60">
        <f t="shared" si="56"/>
        <v>0</v>
      </c>
      <c r="BF112" s="193"/>
      <c r="BG112" s="169">
        <v>108</v>
      </c>
      <c r="BH112" s="1">
        <f t="shared" si="72"/>
        <v>48806</v>
      </c>
      <c r="BI112" s="60">
        <f>IF($X112&lt;Input!$H$103,IF($X112&lt;Input!$G$103,IF($X112&lt;Input!$F$103,IF($X112&lt;Input!$E$103,IF($X112&lt;Input!$D$103,Input!$C$109,Input!$D$109),Input!$E$109),Input!$F$109),Input!$G$109),Input!$H$109)</f>
        <v>0</v>
      </c>
      <c r="BJ112" s="190">
        <f>IF($A112&lt;Input!$H$110,IF($A112&lt;Input!$G$110,IF($A112&lt;Input!$F$110,IF($A112&lt;Input!$E$110,IF($A112&lt;Input!$D$110,Input!$C$111,Input!$D$111),Input!$E$111),Input!$F$111),Input!$G$111),Input!$H$111)</f>
        <v>0.9</v>
      </c>
      <c r="BK112" s="60">
        <f t="shared" si="57"/>
        <v>0</v>
      </c>
      <c r="BL112" s="60">
        <f t="shared" si="73"/>
        <v>31</v>
      </c>
      <c r="BM112" s="60">
        <f t="shared" si="58"/>
        <v>0</v>
      </c>
      <c r="BN112" s="60">
        <f>ROUND(BM112*BL112*Input!$C$3/365,0)</f>
        <v>0</v>
      </c>
      <c r="BO112" s="61">
        <f>IF($A112&lt;=Input!$C$6,0,IF('144M'!BK112&lt;'144M'!BM112,'144M'!BK112-BN112,'144M'!BM112))</f>
        <v>0</v>
      </c>
      <c r="BP112" s="61">
        <f t="shared" si="59"/>
        <v>0</v>
      </c>
      <c r="BQ112" s="60">
        <f t="shared" si="60"/>
        <v>0</v>
      </c>
      <c r="BR112" s="198"/>
    </row>
    <row r="113" spans="1:70" x14ac:dyDescent="0.25">
      <c r="A113" s="169">
        <v>109</v>
      </c>
      <c r="B113" s="1">
        <f t="shared" si="61"/>
        <v>48837</v>
      </c>
      <c r="C113" s="60">
        <f t="shared" si="39"/>
        <v>33127052.878124986</v>
      </c>
      <c r="D113" s="60">
        <f t="shared" si="40"/>
        <v>29814347.590312488</v>
      </c>
      <c r="E113" s="60">
        <f t="shared" si="62"/>
        <v>31</v>
      </c>
      <c r="F113" s="60">
        <f t="shared" si="63"/>
        <v>103592220</v>
      </c>
      <c r="G113" s="60">
        <f>ROUND(F113*E113*Input!$C$3/365,0)</f>
        <v>1319737</v>
      </c>
      <c r="H113" s="60">
        <f>IF($A113&lt;=Input!$C$6,0,IF('144M'!D113&lt;'144M'!F113,'144M'!D113-G113,'144M'!F113))</f>
        <v>28494610.590312488</v>
      </c>
      <c r="I113" s="60">
        <f t="shared" si="64"/>
        <v>29814347.590312488</v>
      </c>
      <c r="J113" s="60">
        <f t="shared" si="65"/>
        <v>75097609.409687519</v>
      </c>
      <c r="K113" s="202">
        <f>J113/Input!$K$5</f>
        <v>0.25032536469895839</v>
      </c>
      <c r="L113" s="232"/>
      <c r="M113" s="60">
        <f>IF($B113&lt;Input!$H$43,IF($B113&lt;Input!$G$43,IF($B113&lt;Input!$F$43,IF($B113&lt;Input!$E$43,IF($B113&lt;Input!$D$43,Input!$C$49,Input!$D$49),Input!$E$49),Input!$F$49),Input!$G$49),Input!$H$49)</f>
        <v>33127052.878124986</v>
      </c>
      <c r="N113" s="190">
        <f>IF($A113&lt;Input!$H$50,IF($A113&lt;Input!$G$50,IF($A113&lt;Input!$F$50,IF($A113&lt;Input!$E$50,IF($A113&lt;Input!$D$50,Input!$C$51,Input!$D$51),Input!$E$51),Input!$F$51),Input!$G$51),Input!$H$51)</f>
        <v>0.9</v>
      </c>
      <c r="O113" s="60">
        <f t="shared" si="74"/>
        <v>29814347.590312488</v>
      </c>
      <c r="P113" s="60">
        <f t="shared" si="75"/>
        <v>31</v>
      </c>
      <c r="Q113" s="60">
        <f t="shared" si="42"/>
        <v>103592220</v>
      </c>
      <c r="R113" s="60">
        <f>ROUND(Q113*$P113*Input!$C$3/365,0)</f>
        <v>1319737</v>
      </c>
      <c r="S113" s="60">
        <f>IF(A113&lt;=Input!$C$6,0,IF('144M'!O113&lt;'144M'!Q113,'144M'!O113-R113,'144M'!Q113))</f>
        <v>28494610.590312488</v>
      </c>
      <c r="T113" s="60">
        <f t="shared" si="43"/>
        <v>29814347.590312488</v>
      </c>
      <c r="U113" s="60">
        <f t="shared" si="44"/>
        <v>75097609.409687519</v>
      </c>
      <c r="V113" s="193"/>
      <c r="W113" s="169">
        <v>109</v>
      </c>
      <c r="X113" s="1">
        <f t="shared" si="66"/>
        <v>48837</v>
      </c>
      <c r="Y113" s="60">
        <f>IF($X113&lt;Input!$H$58,IF($X113&lt;Input!$G$58,IF($X113&lt;Input!$F$58,IF($X113&lt;Input!$E$58,IF($X113&lt;Input!$D$58,Input!$C$64,Input!$D$64),Input!$E$64),Input!$F$64),Input!$G$64),Input!$H$64)</f>
        <v>0</v>
      </c>
      <c r="Z113" s="190">
        <f>IF($A113&lt;Input!$H$65,IF($A113&lt;Input!$G$65,IF($A113&lt;Input!$F$65,IF($A113&lt;Input!$E$65,IF($A113&lt;Input!$D$65,Input!$C$66,Input!$D$66),Input!$E$66),Input!$F$66),Input!$G$66),Input!$H$66)</f>
        <v>0.9</v>
      </c>
      <c r="AA113" s="60">
        <f t="shared" si="45"/>
        <v>0</v>
      </c>
      <c r="AB113" s="60">
        <f t="shared" si="67"/>
        <v>31</v>
      </c>
      <c r="AC113" s="60">
        <f t="shared" si="46"/>
        <v>0</v>
      </c>
      <c r="AD113" s="60">
        <f>ROUND(AC113*AB113*Input!$C$3/365,0)</f>
        <v>0</v>
      </c>
      <c r="AE113" s="61">
        <f>IF($A113&lt;=Input!$C$6,0,IF('144M'!AA113&lt;'144M'!AC113,'144M'!AA113-AD113,'144M'!AC113))</f>
        <v>0</v>
      </c>
      <c r="AF113" s="61">
        <f t="shared" si="47"/>
        <v>0</v>
      </c>
      <c r="AG113" s="60">
        <f t="shared" si="48"/>
        <v>0</v>
      </c>
      <c r="AH113" s="193"/>
      <c r="AI113" s="169">
        <v>109</v>
      </c>
      <c r="AJ113" s="1">
        <f t="shared" si="68"/>
        <v>48837</v>
      </c>
      <c r="AK113" s="60">
        <f>IF($X113&lt;Input!$H$73,IF($X113&lt;Input!$G$73,IF($X113&lt;Input!$F$73,IF($X113&lt;Input!$E$73,IF($X113&lt;Input!$D$73,Input!$C$79,Input!$D$79),Input!$E$79),Input!$F$79),Input!$G$79),Input!$H$79)</f>
        <v>0</v>
      </c>
      <c r="AL113" s="190">
        <f>IF($A113&lt;Input!$H$80,IF($A113&lt;Input!$G$80,IF($A113&lt;Input!$F$80,IF($A113&lt;Input!$E$80,IF($A113&lt;Input!$D$80,Input!$C$81,Input!$D$81),Input!$E$81),Input!$F$81),Input!$G$81),Input!$H$81)</f>
        <v>0.9</v>
      </c>
      <c r="AM113" s="60">
        <f t="shared" si="49"/>
        <v>0</v>
      </c>
      <c r="AN113" s="60">
        <f t="shared" si="69"/>
        <v>31</v>
      </c>
      <c r="AO113" s="60">
        <f t="shared" si="50"/>
        <v>0</v>
      </c>
      <c r="AP113" s="60">
        <f>ROUND(AO113*AN113*Input!$C$3/365,0)</f>
        <v>0</v>
      </c>
      <c r="AQ113" s="61">
        <f>IF($A113&lt;=Input!$C$6,0,IF('144M'!AM113&lt;'144M'!AO113,'144M'!AM113-AP113,'144M'!AO113))</f>
        <v>0</v>
      </c>
      <c r="AR113" s="61">
        <f t="shared" si="51"/>
        <v>0</v>
      </c>
      <c r="AS113" s="60">
        <f t="shared" si="52"/>
        <v>0</v>
      </c>
      <c r="AT113" s="193"/>
      <c r="AU113" s="169">
        <v>109</v>
      </c>
      <c r="AV113" s="1">
        <f t="shared" si="70"/>
        <v>48837</v>
      </c>
      <c r="AW113" s="60">
        <f>IF($X113&lt;Input!$H$88,IF($X113&lt;Input!$G$88,IF($X113&lt;Input!$F$88,IF($X113&lt;Input!$E$88,IF($X113&lt;Input!$D$88,Input!$C$94,Input!$D$94),Input!$E$94),Input!$F$94),Input!$G$94),Input!$H$94)</f>
        <v>0</v>
      </c>
      <c r="AX113" s="190">
        <f>IF($A113&lt;Input!$H$95,IF($A113&lt;Input!$G$95,IF($A113&lt;Input!$F$95,IF($A113&lt;Input!$E$95,IF($A113&lt;Input!$D$95,Input!$C$96,Input!$D$96),Input!$E$96),Input!$F$96),Input!$G$96),Input!$H$96)</f>
        <v>0.9</v>
      </c>
      <c r="AY113" s="60">
        <f t="shared" si="53"/>
        <v>0</v>
      </c>
      <c r="AZ113" s="60">
        <f t="shared" si="71"/>
        <v>31</v>
      </c>
      <c r="BA113" s="60">
        <f t="shared" si="54"/>
        <v>0</v>
      </c>
      <c r="BB113" s="60">
        <f>ROUND(BA113*AZ113*Input!$C$3/365,0)</f>
        <v>0</v>
      </c>
      <c r="BC113" s="61">
        <f>IF($A113&lt;=Input!$C$6,0,IF('144M'!AY113&lt;'144M'!BA113,'144M'!AY113-BB113,'144M'!BA113))</f>
        <v>0</v>
      </c>
      <c r="BD113" s="61">
        <f t="shared" si="55"/>
        <v>0</v>
      </c>
      <c r="BE113" s="60">
        <f t="shared" si="56"/>
        <v>0</v>
      </c>
      <c r="BF113" s="193"/>
      <c r="BG113" s="169">
        <v>109</v>
      </c>
      <c r="BH113" s="1">
        <f t="shared" si="72"/>
        <v>48837</v>
      </c>
      <c r="BI113" s="60">
        <f>IF($X113&lt;Input!$H$103,IF($X113&lt;Input!$G$103,IF($X113&lt;Input!$F$103,IF($X113&lt;Input!$E$103,IF($X113&lt;Input!$D$103,Input!$C$109,Input!$D$109),Input!$E$109),Input!$F$109),Input!$G$109),Input!$H$109)</f>
        <v>0</v>
      </c>
      <c r="BJ113" s="190">
        <f>IF($A113&lt;Input!$H$110,IF($A113&lt;Input!$G$110,IF($A113&lt;Input!$F$110,IF($A113&lt;Input!$E$110,IF($A113&lt;Input!$D$110,Input!$C$111,Input!$D$111),Input!$E$111),Input!$F$111),Input!$G$111),Input!$H$111)</f>
        <v>0.9</v>
      </c>
      <c r="BK113" s="60">
        <f t="shared" si="57"/>
        <v>0</v>
      </c>
      <c r="BL113" s="60">
        <f t="shared" si="73"/>
        <v>31</v>
      </c>
      <c r="BM113" s="60">
        <f t="shared" si="58"/>
        <v>0</v>
      </c>
      <c r="BN113" s="60">
        <f>ROUND(BM113*BL113*Input!$C$3/365,0)</f>
        <v>0</v>
      </c>
      <c r="BO113" s="61">
        <f>IF($A113&lt;=Input!$C$6,0,IF('144M'!BK113&lt;'144M'!BM113,'144M'!BK113-BN113,'144M'!BM113))</f>
        <v>0</v>
      </c>
      <c r="BP113" s="61">
        <f t="shared" si="59"/>
        <v>0</v>
      </c>
      <c r="BQ113" s="60">
        <f t="shared" si="60"/>
        <v>0</v>
      </c>
      <c r="BR113" s="198"/>
    </row>
    <row r="114" spans="1:70" x14ac:dyDescent="0.25">
      <c r="A114" s="169">
        <v>110</v>
      </c>
      <c r="B114" s="1">
        <f t="shared" si="61"/>
        <v>48867</v>
      </c>
      <c r="C114" s="60">
        <f t="shared" si="39"/>
        <v>33127052.878124986</v>
      </c>
      <c r="D114" s="60">
        <f t="shared" si="40"/>
        <v>29814347.590312488</v>
      </c>
      <c r="E114" s="60">
        <f t="shared" si="62"/>
        <v>30</v>
      </c>
      <c r="F114" s="60">
        <f t="shared" si="63"/>
        <v>75097609.409687519</v>
      </c>
      <c r="G114" s="60">
        <f>ROUND(F114*E114*Input!$C$3/365,0)</f>
        <v>925861</v>
      </c>
      <c r="H114" s="60">
        <f>IF($A114&lt;=Input!$C$6,0,IF('144M'!D114&lt;'144M'!F114,'144M'!D114-G114,'144M'!F114))</f>
        <v>28888486.590312488</v>
      </c>
      <c r="I114" s="60">
        <f t="shared" si="64"/>
        <v>29814347.590312488</v>
      </c>
      <c r="J114" s="60">
        <f t="shared" si="65"/>
        <v>46209122.819375031</v>
      </c>
      <c r="K114" s="202">
        <f>J114/Input!$K$5</f>
        <v>0.15403040939791676</v>
      </c>
      <c r="L114" s="232"/>
      <c r="M114" s="60">
        <f>IF($B114&lt;Input!$H$43,IF($B114&lt;Input!$G$43,IF($B114&lt;Input!$F$43,IF($B114&lt;Input!$E$43,IF($B114&lt;Input!$D$43,Input!$C$49,Input!$D$49),Input!$E$49),Input!$F$49),Input!$G$49),Input!$H$49)</f>
        <v>33127052.878124986</v>
      </c>
      <c r="N114" s="190">
        <f>IF($A114&lt;Input!$H$50,IF($A114&lt;Input!$G$50,IF($A114&lt;Input!$F$50,IF($A114&lt;Input!$E$50,IF($A114&lt;Input!$D$50,Input!$C$51,Input!$D$51),Input!$E$51),Input!$F$51),Input!$G$51),Input!$H$51)</f>
        <v>0.9</v>
      </c>
      <c r="O114" s="60">
        <f t="shared" si="74"/>
        <v>29814347.590312488</v>
      </c>
      <c r="P114" s="60">
        <f t="shared" si="75"/>
        <v>30</v>
      </c>
      <c r="Q114" s="60">
        <f t="shared" si="42"/>
        <v>75097609.409687519</v>
      </c>
      <c r="R114" s="60">
        <f>ROUND(Q114*$P114*Input!$C$3/365,0)</f>
        <v>925861</v>
      </c>
      <c r="S114" s="60">
        <f>IF(A114&lt;=Input!$C$6,0,IF('144M'!O114&lt;'144M'!Q114,'144M'!O114-R114,'144M'!Q114))</f>
        <v>28888486.590312488</v>
      </c>
      <c r="T114" s="60">
        <f t="shared" si="43"/>
        <v>29814347.590312488</v>
      </c>
      <c r="U114" s="60">
        <f t="shared" si="44"/>
        <v>46209122.819375031</v>
      </c>
      <c r="V114" s="193"/>
      <c r="W114" s="169">
        <v>110</v>
      </c>
      <c r="X114" s="1">
        <f t="shared" si="66"/>
        <v>48867</v>
      </c>
      <c r="Y114" s="60">
        <f>IF($X114&lt;Input!$H$58,IF($X114&lt;Input!$G$58,IF($X114&lt;Input!$F$58,IF($X114&lt;Input!$E$58,IF($X114&lt;Input!$D$58,Input!$C$64,Input!$D$64),Input!$E$64),Input!$F$64),Input!$G$64),Input!$H$64)</f>
        <v>0</v>
      </c>
      <c r="Z114" s="190">
        <f>IF($A114&lt;Input!$H$65,IF($A114&lt;Input!$G$65,IF($A114&lt;Input!$F$65,IF($A114&lt;Input!$E$65,IF($A114&lt;Input!$D$65,Input!$C$66,Input!$D$66),Input!$E$66),Input!$F$66),Input!$G$66),Input!$H$66)</f>
        <v>0.9</v>
      </c>
      <c r="AA114" s="60">
        <f t="shared" si="45"/>
        <v>0</v>
      </c>
      <c r="AB114" s="60">
        <f t="shared" si="67"/>
        <v>30</v>
      </c>
      <c r="AC114" s="60">
        <f t="shared" si="46"/>
        <v>0</v>
      </c>
      <c r="AD114" s="60">
        <f>ROUND(AC114*AB114*Input!$C$3/365,0)</f>
        <v>0</v>
      </c>
      <c r="AE114" s="61">
        <f>IF($A114&lt;=Input!$C$6,0,IF('144M'!AA114&lt;'144M'!AC114,'144M'!AA114-AD114,'144M'!AC114))</f>
        <v>0</v>
      </c>
      <c r="AF114" s="61">
        <f t="shared" si="47"/>
        <v>0</v>
      </c>
      <c r="AG114" s="60">
        <f t="shared" si="48"/>
        <v>0</v>
      </c>
      <c r="AH114" s="193"/>
      <c r="AI114" s="169">
        <v>110</v>
      </c>
      <c r="AJ114" s="1">
        <f t="shared" si="68"/>
        <v>48867</v>
      </c>
      <c r="AK114" s="60">
        <f>IF($X114&lt;Input!$H$73,IF($X114&lt;Input!$G$73,IF($X114&lt;Input!$F$73,IF($X114&lt;Input!$E$73,IF($X114&lt;Input!$D$73,Input!$C$79,Input!$D$79),Input!$E$79),Input!$F$79),Input!$G$79),Input!$H$79)</f>
        <v>0</v>
      </c>
      <c r="AL114" s="190">
        <f>IF($A114&lt;Input!$H$80,IF($A114&lt;Input!$G$80,IF($A114&lt;Input!$F$80,IF($A114&lt;Input!$E$80,IF($A114&lt;Input!$D$80,Input!$C$81,Input!$D$81),Input!$E$81),Input!$F$81),Input!$G$81),Input!$H$81)</f>
        <v>0.9</v>
      </c>
      <c r="AM114" s="60">
        <f t="shared" si="49"/>
        <v>0</v>
      </c>
      <c r="AN114" s="60">
        <f t="shared" si="69"/>
        <v>30</v>
      </c>
      <c r="AO114" s="60">
        <f t="shared" si="50"/>
        <v>0</v>
      </c>
      <c r="AP114" s="60">
        <f>ROUND(AO114*AN114*Input!$C$3/365,0)</f>
        <v>0</v>
      </c>
      <c r="AQ114" s="61">
        <f>IF($A114&lt;=Input!$C$6,0,IF('144M'!AM114&lt;'144M'!AO114,'144M'!AM114-AP114,'144M'!AO114))</f>
        <v>0</v>
      </c>
      <c r="AR114" s="61">
        <f t="shared" si="51"/>
        <v>0</v>
      </c>
      <c r="AS114" s="60">
        <f t="shared" si="52"/>
        <v>0</v>
      </c>
      <c r="AT114" s="193"/>
      <c r="AU114" s="169">
        <v>110</v>
      </c>
      <c r="AV114" s="1">
        <f t="shared" si="70"/>
        <v>48867</v>
      </c>
      <c r="AW114" s="60">
        <f>IF($X114&lt;Input!$H$88,IF($X114&lt;Input!$G$88,IF($X114&lt;Input!$F$88,IF($X114&lt;Input!$E$88,IF($X114&lt;Input!$D$88,Input!$C$94,Input!$D$94),Input!$E$94),Input!$F$94),Input!$G$94),Input!$H$94)</f>
        <v>0</v>
      </c>
      <c r="AX114" s="190">
        <f>IF($A114&lt;Input!$H$95,IF($A114&lt;Input!$G$95,IF($A114&lt;Input!$F$95,IF($A114&lt;Input!$E$95,IF($A114&lt;Input!$D$95,Input!$C$96,Input!$D$96),Input!$E$96),Input!$F$96),Input!$G$96),Input!$H$96)</f>
        <v>0.9</v>
      </c>
      <c r="AY114" s="60">
        <f t="shared" si="53"/>
        <v>0</v>
      </c>
      <c r="AZ114" s="60">
        <f t="shared" si="71"/>
        <v>30</v>
      </c>
      <c r="BA114" s="60">
        <f t="shared" si="54"/>
        <v>0</v>
      </c>
      <c r="BB114" s="60">
        <f>ROUND(BA114*AZ114*Input!$C$3/365,0)</f>
        <v>0</v>
      </c>
      <c r="BC114" s="61">
        <f>IF($A114&lt;=Input!$C$6,0,IF('144M'!AY114&lt;'144M'!BA114,'144M'!AY114-BB114,'144M'!BA114))</f>
        <v>0</v>
      </c>
      <c r="BD114" s="61">
        <f t="shared" si="55"/>
        <v>0</v>
      </c>
      <c r="BE114" s="60">
        <f t="shared" si="56"/>
        <v>0</v>
      </c>
      <c r="BF114" s="193"/>
      <c r="BG114" s="169">
        <v>110</v>
      </c>
      <c r="BH114" s="1">
        <f t="shared" si="72"/>
        <v>48867</v>
      </c>
      <c r="BI114" s="60">
        <f>IF($X114&lt;Input!$H$103,IF($X114&lt;Input!$G$103,IF($X114&lt;Input!$F$103,IF($X114&lt;Input!$E$103,IF($X114&lt;Input!$D$103,Input!$C$109,Input!$D$109),Input!$E$109),Input!$F$109),Input!$G$109),Input!$H$109)</f>
        <v>0</v>
      </c>
      <c r="BJ114" s="190">
        <f>IF($A114&lt;Input!$H$110,IF($A114&lt;Input!$G$110,IF($A114&lt;Input!$F$110,IF($A114&lt;Input!$E$110,IF($A114&lt;Input!$D$110,Input!$C$111,Input!$D$111),Input!$E$111),Input!$F$111),Input!$G$111),Input!$H$111)</f>
        <v>0.9</v>
      </c>
      <c r="BK114" s="60">
        <f t="shared" si="57"/>
        <v>0</v>
      </c>
      <c r="BL114" s="60">
        <f t="shared" si="73"/>
        <v>30</v>
      </c>
      <c r="BM114" s="60">
        <f t="shared" si="58"/>
        <v>0</v>
      </c>
      <c r="BN114" s="60">
        <f>ROUND(BM114*BL114*Input!$C$3/365,0)</f>
        <v>0</v>
      </c>
      <c r="BO114" s="61">
        <f>IF($A114&lt;=Input!$C$6,0,IF('144M'!BK114&lt;'144M'!BM114,'144M'!BK114-BN114,'144M'!BM114))</f>
        <v>0</v>
      </c>
      <c r="BP114" s="61">
        <f t="shared" si="59"/>
        <v>0</v>
      </c>
      <c r="BQ114" s="60">
        <f t="shared" si="60"/>
        <v>0</v>
      </c>
      <c r="BR114" s="198"/>
    </row>
    <row r="115" spans="1:70" x14ac:dyDescent="0.25">
      <c r="A115" s="169">
        <v>111</v>
      </c>
      <c r="B115" s="1">
        <f t="shared" si="61"/>
        <v>48898</v>
      </c>
      <c r="C115" s="60">
        <f t="shared" si="39"/>
        <v>33127052.878124986</v>
      </c>
      <c r="D115" s="60">
        <f t="shared" si="40"/>
        <v>29814347.590312488</v>
      </c>
      <c r="E115" s="60">
        <f t="shared" si="62"/>
        <v>31</v>
      </c>
      <c r="F115" s="60">
        <f t="shared" si="63"/>
        <v>46209122.819375031</v>
      </c>
      <c r="G115" s="60">
        <f>ROUND(F115*E115*Input!$C$3/365,0)</f>
        <v>588692</v>
      </c>
      <c r="H115" s="60">
        <f>IF($A115&lt;=Input!$C$6,0,IF('144M'!D115&lt;'144M'!F115,'144M'!D115-G115,'144M'!F115))</f>
        <v>29225655.590312488</v>
      </c>
      <c r="I115" s="60">
        <f t="shared" si="64"/>
        <v>29814347.590312488</v>
      </c>
      <c r="J115" s="60">
        <f t="shared" si="65"/>
        <v>16983467.229062542</v>
      </c>
      <c r="K115" s="202">
        <f>J115/Input!$K$5</f>
        <v>5.6611557430208473E-2</v>
      </c>
      <c r="L115" s="232"/>
      <c r="M115" s="60">
        <f>IF($B115&lt;Input!$H$43,IF($B115&lt;Input!$G$43,IF($B115&lt;Input!$F$43,IF($B115&lt;Input!$E$43,IF($B115&lt;Input!$D$43,Input!$C$49,Input!$D$49),Input!$E$49),Input!$F$49),Input!$G$49),Input!$H$49)</f>
        <v>33127052.878124986</v>
      </c>
      <c r="N115" s="190">
        <f>IF($A115&lt;Input!$H$50,IF($A115&lt;Input!$G$50,IF($A115&lt;Input!$F$50,IF($A115&lt;Input!$E$50,IF($A115&lt;Input!$D$50,Input!$C$51,Input!$D$51),Input!$E$51),Input!$F$51),Input!$G$51),Input!$H$51)</f>
        <v>0.9</v>
      </c>
      <c r="O115" s="60">
        <f t="shared" si="74"/>
        <v>29814347.590312488</v>
      </c>
      <c r="P115" s="60">
        <f t="shared" si="75"/>
        <v>31</v>
      </c>
      <c r="Q115" s="60">
        <f t="shared" si="42"/>
        <v>46209122.819375031</v>
      </c>
      <c r="R115" s="60">
        <f>ROUND(Q115*$P115*Input!$C$3/365,0)</f>
        <v>588692</v>
      </c>
      <c r="S115" s="60">
        <f>IF(A115&lt;=Input!$C$6,0,IF('144M'!O115&lt;'144M'!Q115,'144M'!O115-R115,'144M'!Q115))</f>
        <v>29225655.590312488</v>
      </c>
      <c r="T115" s="60">
        <f t="shared" si="43"/>
        <v>29814347.590312488</v>
      </c>
      <c r="U115" s="60">
        <f t="shared" si="44"/>
        <v>16983467.229062542</v>
      </c>
      <c r="V115" s="193"/>
      <c r="W115" s="169">
        <v>111</v>
      </c>
      <c r="X115" s="1">
        <f t="shared" si="66"/>
        <v>48898</v>
      </c>
      <c r="Y115" s="60">
        <f>IF($X115&lt;Input!$H$58,IF($X115&lt;Input!$G$58,IF($X115&lt;Input!$F$58,IF($X115&lt;Input!$E$58,IF($X115&lt;Input!$D$58,Input!$C$64,Input!$D$64),Input!$E$64),Input!$F$64),Input!$G$64),Input!$H$64)</f>
        <v>0</v>
      </c>
      <c r="Z115" s="190">
        <f>IF($A115&lt;Input!$H$65,IF($A115&lt;Input!$G$65,IF($A115&lt;Input!$F$65,IF($A115&lt;Input!$E$65,IF($A115&lt;Input!$D$65,Input!$C$66,Input!$D$66),Input!$E$66),Input!$F$66),Input!$G$66),Input!$H$66)</f>
        <v>0.9</v>
      </c>
      <c r="AA115" s="60">
        <f t="shared" si="45"/>
        <v>0</v>
      </c>
      <c r="AB115" s="60">
        <f t="shared" si="67"/>
        <v>31</v>
      </c>
      <c r="AC115" s="60">
        <f t="shared" si="46"/>
        <v>0</v>
      </c>
      <c r="AD115" s="60">
        <f>ROUND(AC115*AB115*Input!$C$3/365,0)</f>
        <v>0</v>
      </c>
      <c r="AE115" s="61">
        <f>IF($A115&lt;=Input!$C$6,0,IF('144M'!AA115&lt;'144M'!AC115,'144M'!AA115-AD115,'144M'!AC115))</f>
        <v>0</v>
      </c>
      <c r="AF115" s="61">
        <f t="shared" si="47"/>
        <v>0</v>
      </c>
      <c r="AG115" s="60">
        <f t="shared" si="48"/>
        <v>0</v>
      </c>
      <c r="AH115" s="193"/>
      <c r="AI115" s="169">
        <v>111</v>
      </c>
      <c r="AJ115" s="1">
        <f t="shared" si="68"/>
        <v>48898</v>
      </c>
      <c r="AK115" s="60">
        <f>IF($X115&lt;Input!$H$73,IF($X115&lt;Input!$G$73,IF($X115&lt;Input!$F$73,IF($X115&lt;Input!$E$73,IF($X115&lt;Input!$D$73,Input!$C$79,Input!$D$79),Input!$E$79),Input!$F$79),Input!$G$79),Input!$H$79)</f>
        <v>0</v>
      </c>
      <c r="AL115" s="190">
        <f>IF($A115&lt;Input!$H$80,IF($A115&lt;Input!$G$80,IF($A115&lt;Input!$F$80,IF($A115&lt;Input!$E$80,IF($A115&lt;Input!$D$80,Input!$C$81,Input!$D$81),Input!$E$81),Input!$F$81),Input!$G$81),Input!$H$81)</f>
        <v>0.9</v>
      </c>
      <c r="AM115" s="60">
        <f t="shared" si="49"/>
        <v>0</v>
      </c>
      <c r="AN115" s="60">
        <f t="shared" si="69"/>
        <v>31</v>
      </c>
      <c r="AO115" s="60">
        <f t="shared" si="50"/>
        <v>0</v>
      </c>
      <c r="AP115" s="60">
        <f>ROUND(AO115*AN115*Input!$C$3/365,0)</f>
        <v>0</v>
      </c>
      <c r="AQ115" s="61">
        <f>IF($A115&lt;=Input!$C$6,0,IF('144M'!AM115&lt;'144M'!AO115,'144M'!AM115-AP115,'144M'!AO115))</f>
        <v>0</v>
      </c>
      <c r="AR115" s="61">
        <f t="shared" si="51"/>
        <v>0</v>
      </c>
      <c r="AS115" s="60">
        <f t="shared" si="52"/>
        <v>0</v>
      </c>
      <c r="AT115" s="193"/>
      <c r="AU115" s="169">
        <v>111</v>
      </c>
      <c r="AV115" s="1">
        <f t="shared" si="70"/>
        <v>48898</v>
      </c>
      <c r="AW115" s="60">
        <f>IF($X115&lt;Input!$H$88,IF($X115&lt;Input!$G$88,IF($X115&lt;Input!$F$88,IF($X115&lt;Input!$E$88,IF($X115&lt;Input!$D$88,Input!$C$94,Input!$D$94),Input!$E$94),Input!$F$94),Input!$G$94),Input!$H$94)</f>
        <v>0</v>
      </c>
      <c r="AX115" s="190">
        <f>IF($A115&lt;Input!$H$95,IF($A115&lt;Input!$G$95,IF($A115&lt;Input!$F$95,IF($A115&lt;Input!$E$95,IF($A115&lt;Input!$D$95,Input!$C$96,Input!$D$96),Input!$E$96),Input!$F$96),Input!$G$96),Input!$H$96)</f>
        <v>0.9</v>
      </c>
      <c r="AY115" s="60">
        <f t="shared" si="53"/>
        <v>0</v>
      </c>
      <c r="AZ115" s="60">
        <f t="shared" si="71"/>
        <v>31</v>
      </c>
      <c r="BA115" s="60">
        <f t="shared" si="54"/>
        <v>0</v>
      </c>
      <c r="BB115" s="60">
        <f>ROUND(BA115*AZ115*Input!$C$3/365,0)</f>
        <v>0</v>
      </c>
      <c r="BC115" s="61">
        <f>IF($A115&lt;=Input!$C$6,0,IF('144M'!AY115&lt;'144M'!BA115,'144M'!AY115-BB115,'144M'!BA115))</f>
        <v>0</v>
      </c>
      <c r="BD115" s="61">
        <f t="shared" si="55"/>
        <v>0</v>
      </c>
      <c r="BE115" s="60">
        <f t="shared" si="56"/>
        <v>0</v>
      </c>
      <c r="BF115" s="193"/>
      <c r="BG115" s="169">
        <v>111</v>
      </c>
      <c r="BH115" s="1">
        <f t="shared" si="72"/>
        <v>48898</v>
      </c>
      <c r="BI115" s="60">
        <f>IF($X115&lt;Input!$H$103,IF($X115&lt;Input!$G$103,IF($X115&lt;Input!$F$103,IF($X115&lt;Input!$E$103,IF($X115&lt;Input!$D$103,Input!$C$109,Input!$D$109),Input!$E$109),Input!$F$109),Input!$G$109),Input!$H$109)</f>
        <v>0</v>
      </c>
      <c r="BJ115" s="190">
        <f>IF($A115&lt;Input!$H$110,IF($A115&lt;Input!$G$110,IF($A115&lt;Input!$F$110,IF($A115&lt;Input!$E$110,IF($A115&lt;Input!$D$110,Input!$C$111,Input!$D$111),Input!$E$111),Input!$F$111),Input!$G$111),Input!$H$111)</f>
        <v>0.9</v>
      </c>
      <c r="BK115" s="60">
        <f t="shared" si="57"/>
        <v>0</v>
      </c>
      <c r="BL115" s="60">
        <f t="shared" si="73"/>
        <v>31</v>
      </c>
      <c r="BM115" s="60">
        <f t="shared" si="58"/>
        <v>0</v>
      </c>
      <c r="BN115" s="60">
        <f>ROUND(BM115*BL115*Input!$C$3/365,0)</f>
        <v>0</v>
      </c>
      <c r="BO115" s="61">
        <f>IF($A115&lt;=Input!$C$6,0,IF('144M'!BK115&lt;'144M'!BM115,'144M'!BK115-BN115,'144M'!BM115))</f>
        <v>0</v>
      </c>
      <c r="BP115" s="61">
        <f t="shared" si="59"/>
        <v>0</v>
      </c>
      <c r="BQ115" s="60">
        <f t="shared" si="60"/>
        <v>0</v>
      </c>
      <c r="BR115" s="198"/>
    </row>
    <row r="116" spans="1:70" x14ac:dyDescent="0.25">
      <c r="A116" s="169">
        <v>112</v>
      </c>
      <c r="B116" s="1">
        <f t="shared" si="61"/>
        <v>48928</v>
      </c>
      <c r="C116" s="60">
        <f t="shared" si="39"/>
        <v>33127052.878124986</v>
      </c>
      <c r="D116" s="60">
        <f t="shared" si="40"/>
        <v>29814347.590312488</v>
      </c>
      <c r="E116" s="60">
        <f t="shared" si="62"/>
        <v>30</v>
      </c>
      <c r="F116" s="60">
        <f t="shared" si="63"/>
        <v>16983467.229062542</v>
      </c>
      <c r="G116" s="60">
        <f>ROUND(F116*E116*Input!$C$3/365,0)</f>
        <v>209385</v>
      </c>
      <c r="H116" s="60">
        <f>IF($A116&lt;=Input!$C$6,0,IF('144M'!D116&lt;'144M'!F116,'144M'!D116-G116,'144M'!F116))</f>
        <v>16983467.229062542</v>
      </c>
      <c r="I116" s="60">
        <f t="shared" si="64"/>
        <v>17192852.229062542</v>
      </c>
      <c r="J116" s="60">
        <f t="shared" si="65"/>
        <v>0</v>
      </c>
      <c r="K116" s="202">
        <f>J116/Input!$K$5</f>
        <v>0</v>
      </c>
      <c r="L116" s="232"/>
      <c r="M116" s="60">
        <f>IF($B116&lt;Input!$H$43,IF($B116&lt;Input!$G$43,IF($B116&lt;Input!$F$43,IF($B116&lt;Input!$E$43,IF($B116&lt;Input!$D$43,Input!$C$49,Input!$D$49),Input!$E$49),Input!$F$49),Input!$G$49),Input!$H$49)</f>
        <v>33127052.878124986</v>
      </c>
      <c r="N116" s="190">
        <f>IF($A116&lt;Input!$H$50,IF($A116&lt;Input!$G$50,IF($A116&lt;Input!$F$50,IF($A116&lt;Input!$E$50,IF($A116&lt;Input!$D$50,Input!$C$51,Input!$D$51),Input!$E$51),Input!$F$51),Input!$G$51),Input!$H$51)</f>
        <v>0.9</v>
      </c>
      <c r="O116" s="60">
        <f t="shared" si="74"/>
        <v>29814347.590312488</v>
      </c>
      <c r="P116" s="60">
        <f t="shared" si="75"/>
        <v>30</v>
      </c>
      <c r="Q116" s="60">
        <f t="shared" si="42"/>
        <v>16983467.229062542</v>
      </c>
      <c r="R116" s="60">
        <f>ROUND(Q116*$P116*Input!$C$3/365,0)</f>
        <v>209385</v>
      </c>
      <c r="S116" s="60">
        <f>IF(A116&lt;=Input!$C$6,0,IF('144M'!O116&lt;'144M'!Q116,'144M'!O116-R116,'144M'!Q116))</f>
        <v>16983467.229062542</v>
      </c>
      <c r="T116" s="60">
        <f t="shared" si="43"/>
        <v>17192852.229062542</v>
      </c>
      <c r="U116" s="60">
        <f t="shared" si="44"/>
        <v>0</v>
      </c>
      <c r="V116" s="193"/>
      <c r="W116" s="169">
        <v>112</v>
      </c>
      <c r="X116" s="1">
        <f t="shared" si="66"/>
        <v>48928</v>
      </c>
      <c r="Y116" s="60">
        <f>IF($X116&lt;Input!$H$58,IF($X116&lt;Input!$G$58,IF($X116&lt;Input!$F$58,IF($X116&lt;Input!$E$58,IF($X116&lt;Input!$D$58,Input!$C$64,Input!$D$64),Input!$E$64),Input!$F$64),Input!$G$64),Input!$H$64)</f>
        <v>0</v>
      </c>
      <c r="Z116" s="190">
        <f>IF($A116&lt;Input!$H$65,IF($A116&lt;Input!$G$65,IF($A116&lt;Input!$F$65,IF($A116&lt;Input!$E$65,IF($A116&lt;Input!$D$65,Input!$C$66,Input!$D$66),Input!$E$66),Input!$F$66),Input!$G$66),Input!$H$66)</f>
        <v>0.9</v>
      </c>
      <c r="AA116" s="60">
        <f t="shared" si="45"/>
        <v>0</v>
      </c>
      <c r="AB116" s="60">
        <f t="shared" si="67"/>
        <v>30</v>
      </c>
      <c r="AC116" s="60">
        <f t="shared" si="46"/>
        <v>0</v>
      </c>
      <c r="AD116" s="60">
        <f>ROUND(AC116*AB116*Input!$C$3/365,0)</f>
        <v>0</v>
      </c>
      <c r="AE116" s="61">
        <f>IF($A116&lt;=Input!$C$6,0,IF('144M'!AA116&lt;'144M'!AC116,'144M'!AA116-AD116,'144M'!AC116))</f>
        <v>0</v>
      </c>
      <c r="AF116" s="61">
        <f t="shared" si="47"/>
        <v>0</v>
      </c>
      <c r="AG116" s="60">
        <f t="shared" si="48"/>
        <v>0</v>
      </c>
      <c r="AH116" s="193"/>
      <c r="AI116" s="169">
        <v>112</v>
      </c>
      <c r="AJ116" s="1">
        <f t="shared" si="68"/>
        <v>48928</v>
      </c>
      <c r="AK116" s="60">
        <f>IF($X116&lt;Input!$H$73,IF($X116&lt;Input!$G$73,IF($X116&lt;Input!$F$73,IF($X116&lt;Input!$E$73,IF($X116&lt;Input!$D$73,Input!$C$79,Input!$D$79),Input!$E$79),Input!$F$79),Input!$G$79),Input!$H$79)</f>
        <v>0</v>
      </c>
      <c r="AL116" s="190">
        <f>IF($A116&lt;Input!$H$80,IF($A116&lt;Input!$G$80,IF($A116&lt;Input!$F$80,IF($A116&lt;Input!$E$80,IF($A116&lt;Input!$D$80,Input!$C$81,Input!$D$81),Input!$E$81),Input!$F$81),Input!$G$81),Input!$H$81)</f>
        <v>0.9</v>
      </c>
      <c r="AM116" s="60">
        <f t="shared" si="49"/>
        <v>0</v>
      </c>
      <c r="AN116" s="60">
        <f t="shared" si="69"/>
        <v>30</v>
      </c>
      <c r="AO116" s="60">
        <f t="shared" si="50"/>
        <v>0</v>
      </c>
      <c r="AP116" s="60">
        <f>ROUND(AO116*AN116*Input!$C$3/365,0)</f>
        <v>0</v>
      </c>
      <c r="AQ116" s="61">
        <f>IF($A116&lt;=Input!$C$6,0,IF('144M'!AM116&lt;'144M'!AO116,'144M'!AM116-AP116,'144M'!AO116))</f>
        <v>0</v>
      </c>
      <c r="AR116" s="61">
        <f t="shared" si="51"/>
        <v>0</v>
      </c>
      <c r="AS116" s="60">
        <f t="shared" si="52"/>
        <v>0</v>
      </c>
      <c r="AT116" s="193"/>
      <c r="AU116" s="169">
        <v>112</v>
      </c>
      <c r="AV116" s="1">
        <f t="shared" si="70"/>
        <v>48928</v>
      </c>
      <c r="AW116" s="60">
        <f>IF($X116&lt;Input!$H$88,IF($X116&lt;Input!$G$88,IF($X116&lt;Input!$F$88,IF($X116&lt;Input!$E$88,IF($X116&lt;Input!$D$88,Input!$C$94,Input!$D$94),Input!$E$94),Input!$F$94),Input!$G$94),Input!$H$94)</f>
        <v>0</v>
      </c>
      <c r="AX116" s="190">
        <f>IF($A116&lt;Input!$H$95,IF($A116&lt;Input!$G$95,IF($A116&lt;Input!$F$95,IF($A116&lt;Input!$E$95,IF($A116&lt;Input!$D$95,Input!$C$96,Input!$D$96),Input!$E$96),Input!$F$96),Input!$G$96),Input!$H$96)</f>
        <v>0.9</v>
      </c>
      <c r="AY116" s="60">
        <f t="shared" si="53"/>
        <v>0</v>
      </c>
      <c r="AZ116" s="60">
        <f t="shared" si="71"/>
        <v>30</v>
      </c>
      <c r="BA116" s="60">
        <f t="shared" si="54"/>
        <v>0</v>
      </c>
      <c r="BB116" s="60">
        <f>ROUND(BA116*AZ116*Input!$C$3/365,0)</f>
        <v>0</v>
      </c>
      <c r="BC116" s="61">
        <f>IF($A116&lt;=Input!$C$6,0,IF('144M'!AY116&lt;'144M'!BA116,'144M'!AY116-BB116,'144M'!BA116))</f>
        <v>0</v>
      </c>
      <c r="BD116" s="61">
        <f t="shared" si="55"/>
        <v>0</v>
      </c>
      <c r="BE116" s="60">
        <f t="shared" si="56"/>
        <v>0</v>
      </c>
      <c r="BF116" s="193"/>
      <c r="BG116" s="169">
        <v>112</v>
      </c>
      <c r="BH116" s="1">
        <f t="shared" si="72"/>
        <v>48928</v>
      </c>
      <c r="BI116" s="60">
        <f>IF($X116&lt;Input!$H$103,IF($X116&lt;Input!$G$103,IF($X116&lt;Input!$F$103,IF($X116&lt;Input!$E$103,IF($X116&lt;Input!$D$103,Input!$C$109,Input!$D$109),Input!$E$109),Input!$F$109),Input!$G$109),Input!$H$109)</f>
        <v>0</v>
      </c>
      <c r="BJ116" s="190">
        <f>IF($A116&lt;Input!$H$110,IF($A116&lt;Input!$G$110,IF($A116&lt;Input!$F$110,IF($A116&lt;Input!$E$110,IF($A116&lt;Input!$D$110,Input!$C$111,Input!$D$111),Input!$E$111),Input!$F$111),Input!$G$111),Input!$H$111)</f>
        <v>0.9</v>
      </c>
      <c r="BK116" s="60">
        <f t="shared" si="57"/>
        <v>0</v>
      </c>
      <c r="BL116" s="60">
        <f t="shared" si="73"/>
        <v>30</v>
      </c>
      <c r="BM116" s="60">
        <f t="shared" si="58"/>
        <v>0</v>
      </c>
      <c r="BN116" s="60">
        <f>ROUND(BM116*BL116*Input!$C$3/365,0)</f>
        <v>0</v>
      </c>
      <c r="BO116" s="61">
        <f>IF($A116&lt;=Input!$C$6,0,IF('144M'!BK116&lt;'144M'!BM116,'144M'!BK116-BN116,'144M'!BM116))</f>
        <v>0</v>
      </c>
      <c r="BP116" s="61">
        <f t="shared" si="59"/>
        <v>0</v>
      </c>
      <c r="BQ116" s="60">
        <f t="shared" si="60"/>
        <v>0</v>
      </c>
      <c r="BR116" s="198"/>
    </row>
    <row r="117" spans="1:70" x14ac:dyDescent="0.25">
      <c r="A117" s="169">
        <v>113</v>
      </c>
      <c r="B117" s="1">
        <f t="shared" si="61"/>
        <v>48959</v>
      </c>
      <c r="C117" s="60">
        <f t="shared" si="39"/>
        <v>33127052.878124986</v>
      </c>
      <c r="D117" s="60">
        <f t="shared" si="40"/>
        <v>29814347.590312488</v>
      </c>
      <c r="E117" s="60">
        <f t="shared" si="62"/>
        <v>31</v>
      </c>
      <c r="F117" s="60">
        <f t="shared" si="63"/>
        <v>0</v>
      </c>
      <c r="G117" s="60">
        <f>ROUND(F117*E117*Input!$C$3/365,0)</f>
        <v>0</v>
      </c>
      <c r="H117" s="60">
        <f>IF($A117&lt;=Input!$C$6,0,IF('144M'!D117&lt;'144M'!F117,'144M'!D117-G117,'144M'!F117))</f>
        <v>0</v>
      </c>
      <c r="I117" s="60">
        <f t="shared" si="64"/>
        <v>0</v>
      </c>
      <c r="J117" s="60">
        <f t="shared" si="65"/>
        <v>0</v>
      </c>
      <c r="K117" s="202">
        <f>J117/Input!$K$5</f>
        <v>0</v>
      </c>
      <c r="L117" s="232"/>
      <c r="M117" s="60">
        <f>IF($B117&lt;Input!$H$43,IF($B117&lt;Input!$G$43,IF($B117&lt;Input!$F$43,IF($B117&lt;Input!$E$43,IF($B117&lt;Input!$D$43,Input!$C$49,Input!$D$49),Input!$E$49),Input!$F$49),Input!$G$49),Input!$H$49)</f>
        <v>33127052.878124986</v>
      </c>
      <c r="N117" s="190">
        <f>IF($A117&lt;Input!$H$50,IF($A117&lt;Input!$G$50,IF($A117&lt;Input!$F$50,IF($A117&lt;Input!$E$50,IF($A117&lt;Input!$D$50,Input!$C$51,Input!$D$51),Input!$E$51),Input!$F$51),Input!$G$51),Input!$H$51)</f>
        <v>0.9</v>
      </c>
      <c r="O117" s="60">
        <f t="shared" si="74"/>
        <v>29814347.590312488</v>
      </c>
      <c r="P117" s="60">
        <f t="shared" si="75"/>
        <v>31</v>
      </c>
      <c r="Q117" s="60">
        <f t="shared" si="42"/>
        <v>0</v>
      </c>
      <c r="R117" s="60">
        <f>ROUND(Q117*$P117*Input!$C$3/365,0)</f>
        <v>0</v>
      </c>
      <c r="S117" s="60">
        <f>IF(A117&lt;=Input!$C$6,0,IF('144M'!O117&lt;'144M'!Q117,'144M'!O117-R117,'144M'!Q117))</f>
        <v>0</v>
      </c>
      <c r="T117" s="60">
        <f t="shared" si="43"/>
        <v>0</v>
      </c>
      <c r="U117" s="60">
        <f t="shared" si="44"/>
        <v>0</v>
      </c>
      <c r="V117" s="193"/>
      <c r="W117" s="169">
        <v>113</v>
      </c>
      <c r="X117" s="1">
        <f t="shared" si="66"/>
        <v>48959</v>
      </c>
      <c r="Y117" s="60">
        <f>IF($X117&lt;Input!$H$58,IF($X117&lt;Input!$G$58,IF($X117&lt;Input!$F$58,IF($X117&lt;Input!$E$58,IF($X117&lt;Input!$D$58,Input!$C$64,Input!$D$64),Input!$E$64),Input!$F$64),Input!$G$64),Input!$H$64)</f>
        <v>0</v>
      </c>
      <c r="Z117" s="190">
        <f>IF($A117&lt;Input!$H$65,IF($A117&lt;Input!$G$65,IF($A117&lt;Input!$F$65,IF($A117&lt;Input!$E$65,IF($A117&lt;Input!$D$65,Input!$C$66,Input!$D$66),Input!$E$66),Input!$F$66),Input!$G$66),Input!$H$66)</f>
        <v>0.9</v>
      </c>
      <c r="AA117" s="60">
        <f t="shared" si="45"/>
        <v>0</v>
      </c>
      <c r="AB117" s="60">
        <f t="shared" si="67"/>
        <v>31</v>
      </c>
      <c r="AC117" s="60">
        <f t="shared" si="46"/>
        <v>0</v>
      </c>
      <c r="AD117" s="60">
        <f>ROUND(AC117*AB117*Input!$C$3/365,0)</f>
        <v>0</v>
      </c>
      <c r="AE117" s="61">
        <f>IF($A117&lt;=Input!$C$6,0,IF('144M'!AA117&lt;'144M'!AC117,'144M'!AA117-AD117,'144M'!AC117))</f>
        <v>0</v>
      </c>
      <c r="AF117" s="61">
        <f t="shared" si="47"/>
        <v>0</v>
      </c>
      <c r="AG117" s="60">
        <f t="shared" si="48"/>
        <v>0</v>
      </c>
      <c r="AH117" s="193"/>
      <c r="AI117" s="169">
        <v>113</v>
      </c>
      <c r="AJ117" s="1">
        <f t="shared" si="68"/>
        <v>48959</v>
      </c>
      <c r="AK117" s="60">
        <f>IF($X117&lt;Input!$H$73,IF($X117&lt;Input!$G$73,IF($X117&lt;Input!$F$73,IF($X117&lt;Input!$E$73,IF($X117&lt;Input!$D$73,Input!$C$79,Input!$D$79),Input!$E$79),Input!$F$79),Input!$G$79),Input!$H$79)</f>
        <v>0</v>
      </c>
      <c r="AL117" s="190">
        <f>IF($A117&lt;Input!$H$80,IF($A117&lt;Input!$G$80,IF($A117&lt;Input!$F$80,IF($A117&lt;Input!$E$80,IF($A117&lt;Input!$D$80,Input!$C$81,Input!$D$81),Input!$E$81),Input!$F$81),Input!$G$81),Input!$H$81)</f>
        <v>0.9</v>
      </c>
      <c r="AM117" s="60">
        <f t="shared" si="49"/>
        <v>0</v>
      </c>
      <c r="AN117" s="60">
        <f t="shared" si="69"/>
        <v>31</v>
      </c>
      <c r="AO117" s="60">
        <f t="shared" si="50"/>
        <v>0</v>
      </c>
      <c r="AP117" s="60">
        <f>ROUND(AO117*AN117*Input!$C$3/365,0)</f>
        <v>0</v>
      </c>
      <c r="AQ117" s="61">
        <f>IF($A117&lt;=Input!$C$6,0,IF('144M'!AM117&lt;'144M'!AO117,'144M'!AM117-AP117,'144M'!AO117))</f>
        <v>0</v>
      </c>
      <c r="AR117" s="61">
        <f t="shared" si="51"/>
        <v>0</v>
      </c>
      <c r="AS117" s="60">
        <f t="shared" si="52"/>
        <v>0</v>
      </c>
      <c r="AT117" s="193"/>
      <c r="AU117" s="169">
        <v>113</v>
      </c>
      <c r="AV117" s="1">
        <f t="shared" si="70"/>
        <v>48959</v>
      </c>
      <c r="AW117" s="60">
        <f>IF($X117&lt;Input!$H$88,IF($X117&lt;Input!$G$88,IF($X117&lt;Input!$F$88,IF($X117&lt;Input!$E$88,IF($X117&lt;Input!$D$88,Input!$C$94,Input!$D$94),Input!$E$94),Input!$F$94),Input!$G$94),Input!$H$94)</f>
        <v>0</v>
      </c>
      <c r="AX117" s="190">
        <f>IF($A117&lt;Input!$H$95,IF($A117&lt;Input!$G$95,IF($A117&lt;Input!$F$95,IF($A117&lt;Input!$E$95,IF($A117&lt;Input!$D$95,Input!$C$96,Input!$D$96),Input!$E$96),Input!$F$96),Input!$G$96),Input!$H$96)</f>
        <v>0.9</v>
      </c>
      <c r="AY117" s="60">
        <f t="shared" si="53"/>
        <v>0</v>
      </c>
      <c r="AZ117" s="60">
        <f t="shared" si="71"/>
        <v>31</v>
      </c>
      <c r="BA117" s="60">
        <f t="shared" si="54"/>
        <v>0</v>
      </c>
      <c r="BB117" s="60">
        <f>ROUND(BA117*AZ117*Input!$C$3/365,0)</f>
        <v>0</v>
      </c>
      <c r="BC117" s="61">
        <f>IF($A117&lt;=Input!$C$6,0,IF('144M'!AY117&lt;'144M'!BA117,'144M'!AY117-BB117,'144M'!BA117))</f>
        <v>0</v>
      </c>
      <c r="BD117" s="61">
        <f t="shared" si="55"/>
        <v>0</v>
      </c>
      <c r="BE117" s="60">
        <f t="shared" si="56"/>
        <v>0</v>
      </c>
      <c r="BF117" s="193"/>
      <c r="BG117" s="169">
        <v>113</v>
      </c>
      <c r="BH117" s="1">
        <f t="shared" si="72"/>
        <v>48959</v>
      </c>
      <c r="BI117" s="60">
        <f>IF($X117&lt;Input!$H$103,IF($X117&lt;Input!$G$103,IF($X117&lt;Input!$F$103,IF($X117&lt;Input!$E$103,IF($X117&lt;Input!$D$103,Input!$C$109,Input!$D$109),Input!$E$109),Input!$F$109),Input!$G$109),Input!$H$109)</f>
        <v>0</v>
      </c>
      <c r="BJ117" s="190">
        <f>IF($A117&lt;Input!$H$110,IF($A117&lt;Input!$G$110,IF($A117&lt;Input!$F$110,IF($A117&lt;Input!$E$110,IF($A117&lt;Input!$D$110,Input!$C$111,Input!$D$111),Input!$E$111),Input!$F$111),Input!$G$111),Input!$H$111)</f>
        <v>0.9</v>
      </c>
      <c r="BK117" s="60">
        <f t="shared" si="57"/>
        <v>0</v>
      </c>
      <c r="BL117" s="60">
        <f t="shared" si="73"/>
        <v>31</v>
      </c>
      <c r="BM117" s="60">
        <f t="shared" si="58"/>
        <v>0</v>
      </c>
      <c r="BN117" s="60">
        <f>ROUND(BM117*BL117*Input!$C$3/365,0)</f>
        <v>0</v>
      </c>
      <c r="BO117" s="61">
        <f>IF($A117&lt;=Input!$C$6,0,IF('144M'!BK117&lt;'144M'!BM117,'144M'!BK117-BN117,'144M'!BM117))</f>
        <v>0</v>
      </c>
      <c r="BP117" s="61">
        <f t="shared" si="59"/>
        <v>0</v>
      </c>
      <c r="BQ117" s="60">
        <f t="shared" si="60"/>
        <v>0</v>
      </c>
      <c r="BR117" s="198"/>
    </row>
    <row r="118" spans="1:70" x14ac:dyDescent="0.25">
      <c r="A118" s="169">
        <v>114</v>
      </c>
      <c r="B118" s="1">
        <f t="shared" si="61"/>
        <v>48990</v>
      </c>
      <c r="C118" s="60">
        <f t="shared" si="39"/>
        <v>33127052.878124986</v>
      </c>
      <c r="D118" s="60">
        <f t="shared" si="40"/>
        <v>29814347.590312488</v>
      </c>
      <c r="E118" s="60">
        <f t="shared" si="62"/>
        <v>31</v>
      </c>
      <c r="F118" s="60">
        <f t="shared" si="63"/>
        <v>0</v>
      </c>
      <c r="G118" s="60">
        <f>ROUND(F118*E118*Input!$C$3/365,0)</f>
        <v>0</v>
      </c>
      <c r="H118" s="60">
        <f>IF($A118&lt;=Input!$C$6,0,IF('144M'!D118&lt;'144M'!F118,'144M'!D118-G118,'144M'!F118))</f>
        <v>0</v>
      </c>
      <c r="I118" s="60">
        <f t="shared" si="64"/>
        <v>0</v>
      </c>
      <c r="J118" s="60">
        <f t="shared" si="65"/>
        <v>0</v>
      </c>
      <c r="K118" s="202">
        <f>J118/Input!$K$5</f>
        <v>0</v>
      </c>
      <c r="L118" s="232"/>
      <c r="M118" s="60">
        <f>IF($B118&lt;Input!$H$43,IF($B118&lt;Input!$G$43,IF($B118&lt;Input!$F$43,IF($B118&lt;Input!$E$43,IF($B118&lt;Input!$D$43,Input!$C$49,Input!$D$49),Input!$E$49),Input!$F$49),Input!$G$49),Input!$H$49)</f>
        <v>33127052.878124986</v>
      </c>
      <c r="N118" s="190">
        <f>IF($A118&lt;Input!$H$50,IF($A118&lt;Input!$G$50,IF($A118&lt;Input!$F$50,IF($A118&lt;Input!$E$50,IF($A118&lt;Input!$D$50,Input!$C$51,Input!$D$51),Input!$E$51),Input!$F$51),Input!$G$51),Input!$H$51)</f>
        <v>0.9</v>
      </c>
      <c r="O118" s="60">
        <f t="shared" si="74"/>
        <v>29814347.590312488</v>
      </c>
      <c r="P118" s="60">
        <f t="shared" si="75"/>
        <v>31</v>
      </c>
      <c r="Q118" s="60">
        <f t="shared" si="42"/>
        <v>0</v>
      </c>
      <c r="R118" s="60">
        <f>ROUND(Q118*$P118*Input!$C$3/365,0)</f>
        <v>0</v>
      </c>
      <c r="S118" s="60">
        <f>IF(A118&lt;=Input!$C$6,0,IF('144M'!O118&lt;'144M'!Q118,'144M'!O118-R118,'144M'!Q118))</f>
        <v>0</v>
      </c>
      <c r="T118" s="60">
        <f t="shared" si="43"/>
        <v>0</v>
      </c>
      <c r="U118" s="60">
        <f t="shared" si="44"/>
        <v>0</v>
      </c>
      <c r="V118" s="193"/>
      <c r="W118" s="169">
        <v>114</v>
      </c>
      <c r="X118" s="1">
        <f t="shared" si="66"/>
        <v>48990</v>
      </c>
      <c r="Y118" s="60">
        <f>IF($X118&lt;Input!$H$58,IF($X118&lt;Input!$G$58,IF($X118&lt;Input!$F$58,IF($X118&lt;Input!$E$58,IF($X118&lt;Input!$D$58,Input!$C$64,Input!$D$64),Input!$E$64),Input!$F$64),Input!$G$64),Input!$H$64)</f>
        <v>0</v>
      </c>
      <c r="Z118" s="190">
        <f>IF($A118&lt;Input!$H$65,IF($A118&lt;Input!$G$65,IF($A118&lt;Input!$F$65,IF($A118&lt;Input!$E$65,IF($A118&lt;Input!$D$65,Input!$C$66,Input!$D$66),Input!$E$66),Input!$F$66),Input!$G$66),Input!$H$66)</f>
        <v>0.9</v>
      </c>
      <c r="AA118" s="60">
        <f t="shared" si="45"/>
        <v>0</v>
      </c>
      <c r="AB118" s="60">
        <f t="shared" si="67"/>
        <v>31</v>
      </c>
      <c r="AC118" s="60">
        <f t="shared" si="46"/>
        <v>0</v>
      </c>
      <c r="AD118" s="60">
        <f>ROUND(AC118*AB118*Input!$C$3/365,0)</f>
        <v>0</v>
      </c>
      <c r="AE118" s="61">
        <f>IF($A118&lt;=Input!$C$6,0,IF('144M'!AA118&lt;'144M'!AC118,'144M'!AA118-AD118,'144M'!AC118))</f>
        <v>0</v>
      </c>
      <c r="AF118" s="61">
        <f t="shared" si="47"/>
        <v>0</v>
      </c>
      <c r="AG118" s="60">
        <f t="shared" si="48"/>
        <v>0</v>
      </c>
      <c r="AH118" s="193"/>
      <c r="AI118" s="169">
        <v>114</v>
      </c>
      <c r="AJ118" s="1">
        <f t="shared" si="68"/>
        <v>48990</v>
      </c>
      <c r="AK118" s="60">
        <f>IF($X118&lt;Input!$H$73,IF($X118&lt;Input!$G$73,IF($X118&lt;Input!$F$73,IF($X118&lt;Input!$E$73,IF($X118&lt;Input!$D$73,Input!$C$79,Input!$D$79),Input!$E$79),Input!$F$79),Input!$G$79),Input!$H$79)</f>
        <v>0</v>
      </c>
      <c r="AL118" s="190">
        <f>IF($A118&lt;Input!$H$80,IF($A118&lt;Input!$G$80,IF($A118&lt;Input!$F$80,IF($A118&lt;Input!$E$80,IF($A118&lt;Input!$D$80,Input!$C$81,Input!$D$81),Input!$E$81),Input!$F$81),Input!$G$81),Input!$H$81)</f>
        <v>0.9</v>
      </c>
      <c r="AM118" s="60">
        <f t="shared" si="49"/>
        <v>0</v>
      </c>
      <c r="AN118" s="60">
        <f t="shared" si="69"/>
        <v>31</v>
      </c>
      <c r="AO118" s="60">
        <f t="shared" si="50"/>
        <v>0</v>
      </c>
      <c r="AP118" s="60">
        <f>ROUND(AO118*AN118*Input!$C$3/365,0)</f>
        <v>0</v>
      </c>
      <c r="AQ118" s="61">
        <f>IF($A118&lt;=Input!$C$6,0,IF('144M'!AM118&lt;'144M'!AO118,'144M'!AM118-AP118,'144M'!AO118))</f>
        <v>0</v>
      </c>
      <c r="AR118" s="61">
        <f t="shared" si="51"/>
        <v>0</v>
      </c>
      <c r="AS118" s="60">
        <f t="shared" si="52"/>
        <v>0</v>
      </c>
      <c r="AT118" s="193"/>
      <c r="AU118" s="169">
        <v>114</v>
      </c>
      <c r="AV118" s="1">
        <f t="shared" si="70"/>
        <v>48990</v>
      </c>
      <c r="AW118" s="60">
        <f>IF($X118&lt;Input!$H$88,IF($X118&lt;Input!$G$88,IF($X118&lt;Input!$F$88,IF($X118&lt;Input!$E$88,IF($X118&lt;Input!$D$88,Input!$C$94,Input!$D$94),Input!$E$94),Input!$F$94),Input!$G$94),Input!$H$94)</f>
        <v>0</v>
      </c>
      <c r="AX118" s="190">
        <f>IF($A118&lt;Input!$H$95,IF($A118&lt;Input!$G$95,IF($A118&lt;Input!$F$95,IF($A118&lt;Input!$E$95,IF($A118&lt;Input!$D$95,Input!$C$96,Input!$D$96),Input!$E$96),Input!$F$96),Input!$G$96),Input!$H$96)</f>
        <v>0.9</v>
      </c>
      <c r="AY118" s="60">
        <f t="shared" si="53"/>
        <v>0</v>
      </c>
      <c r="AZ118" s="60">
        <f t="shared" si="71"/>
        <v>31</v>
      </c>
      <c r="BA118" s="60">
        <f t="shared" si="54"/>
        <v>0</v>
      </c>
      <c r="BB118" s="60">
        <f>ROUND(BA118*AZ118*Input!$C$3/365,0)</f>
        <v>0</v>
      </c>
      <c r="BC118" s="61">
        <f>IF($A118&lt;=Input!$C$6,0,IF('144M'!AY118&lt;'144M'!BA118,'144M'!AY118-BB118,'144M'!BA118))</f>
        <v>0</v>
      </c>
      <c r="BD118" s="61">
        <f t="shared" si="55"/>
        <v>0</v>
      </c>
      <c r="BE118" s="60">
        <f t="shared" si="56"/>
        <v>0</v>
      </c>
      <c r="BF118" s="193"/>
      <c r="BG118" s="169">
        <v>114</v>
      </c>
      <c r="BH118" s="1">
        <f t="shared" si="72"/>
        <v>48990</v>
      </c>
      <c r="BI118" s="60">
        <f>IF($X118&lt;Input!$H$103,IF($X118&lt;Input!$G$103,IF($X118&lt;Input!$F$103,IF($X118&lt;Input!$E$103,IF($X118&lt;Input!$D$103,Input!$C$109,Input!$D$109),Input!$E$109),Input!$F$109),Input!$G$109),Input!$H$109)</f>
        <v>0</v>
      </c>
      <c r="BJ118" s="190">
        <f>IF($A118&lt;Input!$H$110,IF($A118&lt;Input!$G$110,IF($A118&lt;Input!$F$110,IF($A118&lt;Input!$E$110,IF($A118&lt;Input!$D$110,Input!$C$111,Input!$D$111),Input!$E$111),Input!$F$111),Input!$G$111),Input!$H$111)</f>
        <v>0.9</v>
      </c>
      <c r="BK118" s="60">
        <f t="shared" si="57"/>
        <v>0</v>
      </c>
      <c r="BL118" s="60">
        <f t="shared" si="73"/>
        <v>31</v>
      </c>
      <c r="BM118" s="60">
        <f t="shared" si="58"/>
        <v>0</v>
      </c>
      <c r="BN118" s="60">
        <f>ROUND(BM118*BL118*Input!$C$3/365,0)</f>
        <v>0</v>
      </c>
      <c r="BO118" s="61">
        <f>IF($A118&lt;=Input!$C$6,0,IF('144M'!BK118&lt;'144M'!BM118,'144M'!BK118-BN118,'144M'!BM118))</f>
        <v>0</v>
      </c>
      <c r="BP118" s="61">
        <f t="shared" si="59"/>
        <v>0</v>
      </c>
      <c r="BQ118" s="60">
        <f t="shared" si="60"/>
        <v>0</v>
      </c>
      <c r="BR118" s="198"/>
    </row>
    <row r="119" spans="1:70" x14ac:dyDescent="0.25">
      <c r="A119" s="169">
        <v>115</v>
      </c>
      <c r="B119" s="1">
        <f t="shared" si="61"/>
        <v>49018</v>
      </c>
      <c r="C119" s="60">
        <f t="shared" si="39"/>
        <v>33127052.878124986</v>
      </c>
      <c r="D119" s="60">
        <f t="shared" si="40"/>
        <v>29814347.590312488</v>
      </c>
      <c r="E119" s="60">
        <f t="shared" si="62"/>
        <v>28</v>
      </c>
      <c r="F119" s="60">
        <f t="shared" si="63"/>
        <v>0</v>
      </c>
      <c r="G119" s="60">
        <f>ROUND(F119*E119*Input!$C$3/365,0)</f>
        <v>0</v>
      </c>
      <c r="H119" s="60">
        <f>IF($A119&lt;=Input!$C$6,0,IF('144M'!D119&lt;'144M'!F119,'144M'!D119-G119,'144M'!F119))</f>
        <v>0</v>
      </c>
      <c r="I119" s="60">
        <f t="shared" si="64"/>
        <v>0</v>
      </c>
      <c r="J119" s="60">
        <f t="shared" si="65"/>
        <v>0</v>
      </c>
      <c r="K119" s="202">
        <f>J119/Input!$K$5</f>
        <v>0</v>
      </c>
      <c r="L119" s="232"/>
      <c r="M119" s="60">
        <f>IF($B119&lt;Input!$H$43,IF($B119&lt;Input!$G$43,IF($B119&lt;Input!$F$43,IF($B119&lt;Input!$E$43,IF($B119&lt;Input!$D$43,Input!$C$49,Input!$D$49),Input!$E$49),Input!$F$49),Input!$G$49),Input!$H$49)</f>
        <v>33127052.878124986</v>
      </c>
      <c r="N119" s="190">
        <f>IF($A119&lt;Input!$H$50,IF($A119&lt;Input!$G$50,IF($A119&lt;Input!$F$50,IF($A119&lt;Input!$E$50,IF($A119&lt;Input!$D$50,Input!$C$51,Input!$D$51),Input!$E$51),Input!$F$51),Input!$G$51),Input!$H$51)</f>
        <v>0.9</v>
      </c>
      <c r="O119" s="60">
        <f t="shared" si="74"/>
        <v>29814347.590312488</v>
      </c>
      <c r="P119" s="60">
        <f t="shared" si="75"/>
        <v>28</v>
      </c>
      <c r="Q119" s="60">
        <f t="shared" si="42"/>
        <v>0</v>
      </c>
      <c r="R119" s="60">
        <f>ROUND(Q119*$P119*Input!$C$3/365,0)</f>
        <v>0</v>
      </c>
      <c r="S119" s="60">
        <f>IF(A119&lt;=Input!$C$6,0,IF('144M'!O119&lt;'144M'!Q119,'144M'!O119-R119,'144M'!Q119))</f>
        <v>0</v>
      </c>
      <c r="T119" s="60">
        <f t="shared" si="43"/>
        <v>0</v>
      </c>
      <c r="U119" s="60">
        <f t="shared" si="44"/>
        <v>0</v>
      </c>
      <c r="V119" s="193"/>
      <c r="W119" s="169">
        <v>115</v>
      </c>
      <c r="X119" s="1">
        <f t="shared" si="66"/>
        <v>49018</v>
      </c>
      <c r="Y119" s="60">
        <f>IF($X119&lt;Input!$H$58,IF($X119&lt;Input!$G$58,IF($X119&lt;Input!$F$58,IF($X119&lt;Input!$E$58,IF($X119&lt;Input!$D$58,Input!$C$64,Input!$D$64),Input!$E$64),Input!$F$64),Input!$G$64),Input!$H$64)</f>
        <v>0</v>
      </c>
      <c r="Z119" s="190">
        <f>IF($A119&lt;Input!$H$65,IF($A119&lt;Input!$G$65,IF($A119&lt;Input!$F$65,IF($A119&lt;Input!$E$65,IF($A119&lt;Input!$D$65,Input!$C$66,Input!$D$66),Input!$E$66),Input!$F$66),Input!$G$66),Input!$H$66)</f>
        <v>0.9</v>
      </c>
      <c r="AA119" s="60">
        <f t="shared" si="45"/>
        <v>0</v>
      </c>
      <c r="AB119" s="60">
        <f t="shared" si="67"/>
        <v>28</v>
      </c>
      <c r="AC119" s="60">
        <f t="shared" si="46"/>
        <v>0</v>
      </c>
      <c r="AD119" s="60">
        <f>ROUND(AC119*AB119*Input!$C$3/365,0)</f>
        <v>0</v>
      </c>
      <c r="AE119" s="61">
        <f>IF($A119&lt;=Input!$C$6,0,IF('144M'!AA119&lt;'144M'!AC119,'144M'!AA119-AD119,'144M'!AC119))</f>
        <v>0</v>
      </c>
      <c r="AF119" s="61">
        <f t="shared" si="47"/>
        <v>0</v>
      </c>
      <c r="AG119" s="60">
        <f t="shared" si="48"/>
        <v>0</v>
      </c>
      <c r="AH119" s="193"/>
      <c r="AI119" s="169">
        <v>115</v>
      </c>
      <c r="AJ119" s="1">
        <f t="shared" si="68"/>
        <v>49018</v>
      </c>
      <c r="AK119" s="60">
        <f>IF($X119&lt;Input!$H$73,IF($X119&lt;Input!$G$73,IF($X119&lt;Input!$F$73,IF($X119&lt;Input!$E$73,IF($X119&lt;Input!$D$73,Input!$C$79,Input!$D$79),Input!$E$79),Input!$F$79),Input!$G$79),Input!$H$79)</f>
        <v>0</v>
      </c>
      <c r="AL119" s="190">
        <f>IF($A119&lt;Input!$H$80,IF($A119&lt;Input!$G$80,IF($A119&lt;Input!$F$80,IF($A119&lt;Input!$E$80,IF($A119&lt;Input!$D$80,Input!$C$81,Input!$D$81),Input!$E$81),Input!$F$81),Input!$G$81),Input!$H$81)</f>
        <v>0.9</v>
      </c>
      <c r="AM119" s="60">
        <f t="shared" si="49"/>
        <v>0</v>
      </c>
      <c r="AN119" s="60">
        <f t="shared" si="69"/>
        <v>28</v>
      </c>
      <c r="AO119" s="60">
        <f t="shared" si="50"/>
        <v>0</v>
      </c>
      <c r="AP119" s="60">
        <f>ROUND(AO119*AN119*Input!$C$3/365,0)</f>
        <v>0</v>
      </c>
      <c r="AQ119" s="61">
        <f>IF($A119&lt;=Input!$C$6,0,IF('144M'!AM119&lt;'144M'!AO119,'144M'!AM119-AP119,'144M'!AO119))</f>
        <v>0</v>
      </c>
      <c r="AR119" s="61">
        <f t="shared" si="51"/>
        <v>0</v>
      </c>
      <c r="AS119" s="60">
        <f t="shared" si="52"/>
        <v>0</v>
      </c>
      <c r="AT119" s="193"/>
      <c r="AU119" s="169">
        <v>115</v>
      </c>
      <c r="AV119" s="1">
        <f t="shared" si="70"/>
        <v>49018</v>
      </c>
      <c r="AW119" s="60">
        <f>IF($X119&lt;Input!$H$88,IF($X119&lt;Input!$G$88,IF($X119&lt;Input!$F$88,IF($X119&lt;Input!$E$88,IF($X119&lt;Input!$D$88,Input!$C$94,Input!$D$94),Input!$E$94),Input!$F$94),Input!$G$94),Input!$H$94)</f>
        <v>0</v>
      </c>
      <c r="AX119" s="190">
        <f>IF($A119&lt;Input!$H$95,IF($A119&lt;Input!$G$95,IF($A119&lt;Input!$F$95,IF($A119&lt;Input!$E$95,IF($A119&lt;Input!$D$95,Input!$C$96,Input!$D$96),Input!$E$96),Input!$F$96),Input!$G$96),Input!$H$96)</f>
        <v>0.9</v>
      </c>
      <c r="AY119" s="60">
        <f t="shared" si="53"/>
        <v>0</v>
      </c>
      <c r="AZ119" s="60">
        <f t="shared" si="71"/>
        <v>28</v>
      </c>
      <c r="BA119" s="60">
        <f t="shared" si="54"/>
        <v>0</v>
      </c>
      <c r="BB119" s="60">
        <f>ROUND(BA119*AZ119*Input!$C$3/365,0)</f>
        <v>0</v>
      </c>
      <c r="BC119" s="61">
        <f>IF($A119&lt;=Input!$C$6,0,IF('144M'!AY119&lt;'144M'!BA119,'144M'!AY119-BB119,'144M'!BA119))</f>
        <v>0</v>
      </c>
      <c r="BD119" s="61">
        <f t="shared" si="55"/>
        <v>0</v>
      </c>
      <c r="BE119" s="60">
        <f t="shared" si="56"/>
        <v>0</v>
      </c>
      <c r="BF119" s="193"/>
      <c r="BG119" s="169">
        <v>115</v>
      </c>
      <c r="BH119" s="1">
        <f t="shared" si="72"/>
        <v>49018</v>
      </c>
      <c r="BI119" s="60">
        <f>IF($X119&lt;Input!$H$103,IF($X119&lt;Input!$G$103,IF($X119&lt;Input!$F$103,IF($X119&lt;Input!$E$103,IF($X119&lt;Input!$D$103,Input!$C$109,Input!$D$109),Input!$E$109),Input!$F$109),Input!$G$109),Input!$H$109)</f>
        <v>0</v>
      </c>
      <c r="BJ119" s="190">
        <f>IF($A119&lt;Input!$H$110,IF($A119&lt;Input!$G$110,IF($A119&lt;Input!$F$110,IF($A119&lt;Input!$E$110,IF($A119&lt;Input!$D$110,Input!$C$111,Input!$D$111),Input!$E$111),Input!$F$111),Input!$G$111),Input!$H$111)</f>
        <v>0.9</v>
      </c>
      <c r="BK119" s="60">
        <f t="shared" si="57"/>
        <v>0</v>
      </c>
      <c r="BL119" s="60">
        <f t="shared" si="73"/>
        <v>28</v>
      </c>
      <c r="BM119" s="60">
        <f t="shared" si="58"/>
        <v>0</v>
      </c>
      <c r="BN119" s="60">
        <f>ROUND(BM119*BL119*Input!$C$3/365,0)</f>
        <v>0</v>
      </c>
      <c r="BO119" s="61">
        <f>IF($A119&lt;=Input!$C$6,0,IF('144M'!BK119&lt;'144M'!BM119,'144M'!BK119-BN119,'144M'!BM119))</f>
        <v>0</v>
      </c>
      <c r="BP119" s="61">
        <f t="shared" si="59"/>
        <v>0</v>
      </c>
      <c r="BQ119" s="60">
        <f t="shared" si="60"/>
        <v>0</v>
      </c>
      <c r="BR119" s="198"/>
    </row>
    <row r="120" spans="1:70" x14ac:dyDescent="0.25">
      <c r="A120" s="169">
        <v>116</v>
      </c>
      <c r="B120" s="1">
        <f t="shared" si="61"/>
        <v>49049</v>
      </c>
      <c r="C120" s="60">
        <f t="shared" si="39"/>
        <v>33127052.878124986</v>
      </c>
      <c r="D120" s="60">
        <f t="shared" si="40"/>
        <v>29814347.590312488</v>
      </c>
      <c r="E120" s="60">
        <f t="shared" si="62"/>
        <v>31</v>
      </c>
      <c r="F120" s="60">
        <f t="shared" si="63"/>
        <v>0</v>
      </c>
      <c r="G120" s="60">
        <f>ROUND(F120*E120*Input!$C$3/365,0)</f>
        <v>0</v>
      </c>
      <c r="H120" s="60">
        <f>IF($A120&lt;=Input!$C$6,0,IF('144M'!D120&lt;'144M'!F120,'144M'!D120-G120,'144M'!F120))</f>
        <v>0</v>
      </c>
      <c r="I120" s="60">
        <f t="shared" si="64"/>
        <v>0</v>
      </c>
      <c r="J120" s="60">
        <f t="shared" si="65"/>
        <v>0</v>
      </c>
      <c r="K120" s="202">
        <f>J120/Input!$K$5</f>
        <v>0</v>
      </c>
      <c r="L120" s="232"/>
      <c r="M120" s="60">
        <f>IF($B120&lt;Input!$H$43,IF($B120&lt;Input!$G$43,IF($B120&lt;Input!$F$43,IF($B120&lt;Input!$E$43,IF($B120&lt;Input!$D$43,Input!$C$49,Input!$D$49),Input!$E$49),Input!$F$49),Input!$G$49),Input!$H$49)</f>
        <v>33127052.878124986</v>
      </c>
      <c r="N120" s="190">
        <f>IF($A120&lt;Input!$H$50,IF($A120&lt;Input!$G$50,IF($A120&lt;Input!$F$50,IF($A120&lt;Input!$E$50,IF($A120&lt;Input!$D$50,Input!$C$51,Input!$D$51),Input!$E$51),Input!$F$51),Input!$G$51),Input!$H$51)</f>
        <v>0.9</v>
      </c>
      <c r="O120" s="60">
        <f t="shared" si="74"/>
        <v>29814347.590312488</v>
      </c>
      <c r="P120" s="60">
        <f t="shared" si="75"/>
        <v>31</v>
      </c>
      <c r="Q120" s="60">
        <f t="shared" si="42"/>
        <v>0</v>
      </c>
      <c r="R120" s="60">
        <f>ROUND(Q120*$P120*Input!$C$3/365,0)</f>
        <v>0</v>
      </c>
      <c r="S120" s="60">
        <f>IF(A120&lt;=Input!$C$6,0,IF('144M'!O120&lt;'144M'!Q120,'144M'!O120-R120,'144M'!Q120))</f>
        <v>0</v>
      </c>
      <c r="T120" s="60">
        <f t="shared" si="43"/>
        <v>0</v>
      </c>
      <c r="U120" s="60">
        <f t="shared" si="44"/>
        <v>0</v>
      </c>
      <c r="V120" s="193"/>
      <c r="W120" s="169">
        <v>116</v>
      </c>
      <c r="X120" s="1">
        <f t="shared" si="66"/>
        <v>49049</v>
      </c>
      <c r="Y120" s="60">
        <f>IF($X120&lt;Input!$H$58,IF($X120&lt;Input!$G$58,IF($X120&lt;Input!$F$58,IF($X120&lt;Input!$E$58,IF($X120&lt;Input!$D$58,Input!$C$64,Input!$D$64),Input!$E$64),Input!$F$64),Input!$G$64),Input!$H$64)</f>
        <v>0</v>
      </c>
      <c r="Z120" s="190">
        <f>IF($A120&lt;Input!$H$65,IF($A120&lt;Input!$G$65,IF($A120&lt;Input!$F$65,IF($A120&lt;Input!$E$65,IF($A120&lt;Input!$D$65,Input!$C$66,Input!$D$66),Input!$E$66),Input!$F$66),Input!$G$66),Input!$H$66)</f>
        <v>0.9</v>
      </c>
      <c r="AA120" s="60">
        <f t="shared" si="45"/>
        <v>0</v>
      </c>
      <c r="AB120" s="60">
        <f t="shared" si="67"/>
        <v>31</v>
      </c>
      <c r="AC120" s="60">
        <f t="shared" si="46"/>
        <v>0</v>
      </c>
      <c r="AD120" s="60">
        <f>ROUND(AC120*AB120*Input!$C$3/365,0)</f>
        <v>0</v>
      </c>
      <c r="AE120" s="61">
        <f>IF($A120&lt;=Input!$C$6,0,IF('144M'!AA120&lt;'144M'!AC120,'144M'!AA120-AD120,'144M'!AC120))</f>
        <v>0</v>
      </c>
      <c r="AF120" s="61">
        <f t="shared" si="47"/>
        <v>0</v>
      </c>
      <c r="AG120" s="60">
        <f t="shared" si="48"/>
        <v>0</v>
      </c>
      <c r="AH120" s="193"/>
      <c r="AI120" s="169">
        <v>116</v>
      </c>
      <c r="AJ120" s="1">
        <f t="shared" si="68"/>
        <v>49049</v>
      </c>
      <c r="AK120" s="60">
        <f>IF($X120&lt;Input!$H$73,IF($X120&lt;Input!$G$73,IF($X120&lt;Input!$F$73,IF($X120&lt;Input!$E$73,IF($X120&lt;Input!$D$73,Input!$C$79,Input!$D$79),Input!$E$79),Input!$F$79),Input!$G$79),Input!$H$79)</f>
        <v>0</v>
      </c>
      <c r="AL120" s="190">
        <f>IF($A120&lt;Input!$H$80,IF($A120&lt;Input!$G$80,IF($A120&lt;Input!$F$80,IF($A120&lt;Input!$E$80,IF($A120&lt;Input!$D$80,Input!$C$81,Input!$D$81),Input!$E$81),Input!$F$81),Input!$G$81),Input!$H$81)</f>
        <v>0.9</v>
      </c>
      <c r="AM120" s="60">
        <f t="shared" si="49"/>
        <v>0</v>
      </c>
      <c r="AN120" s="60">
        <f t="shared" si="69"/>
        <v>31</v>
      </c>
      <c r="AO120" s="60">
        <f t="shared" si="50"/>
        <v>0</v>
      </c>
      <c r="AP120" s="60">
        <f>ROUND(AO120*AN120*Input!$C$3/365,0)</f>
        <v>0</v>
      </c>
      <c r="AQ120" s="61">
        <f>IF($A120&lt;=Input!$C$6,0,IF('144M'!AM120&lt;'144M'!AO120,'144M'!AM120-AP120,'144M'!AO120))</f>
        <v>0</v>
      </c>
      <c r="AR120" s="61">
        <f t="shared" si="51"/>
        <v>0</v>
      </c>
      <c r="AS120" s="60">
        <f t="shared" si="52"/>
        <v>0</v>
      </c>
      <c r="AT120" s="193"/>
      <c r="AU120" s="169">
        <v>116</v>
      </c>
      <c r="AV120" s="1">
        <f t="shared" si="70"/>
        <v>49049</v>
      </c>
      <c r="AW120" s="60">
        <f>IF($X120&lt;Input!$H$88,IF($X120&lt;Input!$G$88,IF($X120&lt;Input!$F$88,IF($X120&lt;Input!$E$88,IF($X120&lt;Input!$D$88,Input!$C$94,Input!$D$94),Input!$E$94),Input!$F$94),Input!$G$94),Input!$H$94)</f>
        <v>0</v>
      </c>
      <c r="AX120" s="190">
        <f>IF($A120&lt;Input!$H$95,IF($A120&lt;Input!$G$95,IF($A120&lt;Input!$F$95,IF($A120&lt;Input!$E$95,IF($A120&lt;Input!$D$95,Input!$C$96,Input!$D$96),Input!$E$96),Input!$F$96),Input!$G$96),Input!$H$96)</f>
        <v>0.9</v>
      </c>
      <c r="AY120" s="60">
        <f t="shared" si="53"/>
        <v>0</v>
      </c>
      <c r="AZ120" s="60">
        <f t="shared" si="71"/>
        <v>31</v>
      </c>
      <c r="BA120" s="60">
        <f t="shared" si="54"/>
        <v>0</v>
      </c>
      <c r="BB120" s="60">
        <f>ROUND(BA120*AZ120*Input!$C$3/365,0)</f>
        <v>0</v>
      </c>
      <c r="BC120" s="61">
        <f>IF($A120&lt;=Input!$C$6,0,IF('144M'!AY120&lt;'144M'!BA120,'144M'!AY120-BB120,'144M'!BA120))</f>
        <v>0</v>
      </c>
      <c r="BD120" s="61">
        <f t="shared" si="55"/>
        <v>0</v>
      </c>
      <c r="BE120" s="60">
        <f t="shared" si="56"/>
        <v>0</v>
      </c>
      <c r="BF120" s="193"/>
      <c r="BG120" s="169">
        <v>116</v>
      </c>
      <c r="BH120" s="1">
        <f t="shared" si="72"/>
        <v>49049</v>
      </c>
      <c r="BI120" s="60">
        <f>IF($X120&lt;Input!$H$103,IF($X120&lt;Input!$G$103,IF($X120&lt;Input!$F$103,IF($X120&lt;Input!$E$103,IF($X120&lt;Input!$D$103,Input!$C$109,Input!$D$109),Input!$E$109),Input!$F$109),Input!$G$109),Input!$H$109)</f>
        <v>0</v>
      </c>
      <c r="BJ120" s="190">
        <f>IF($A120&lt;Input!$H$110,IF($A120&lt;Input!$G$110,IF($A120&lt;Input!$F$110,IF($A120&lt;Input!$E$110,IF($A120&lt;Input!$D$110,Input!$C$111,Input!$D$111),Input!$E$111),Input!$F$111),Input!$G$111),Input!$H$111)</f>
        <v>0.9</v>
      </c>
      <c r="BK120" s="60">
        <f t="shared" si="57"/>
        <v>0</v>
      </c>
      <c r="BL120" s="60">
        <f t="shared" si="73"/>
        <v>31</v>
      </c>
      <c r="BM120" s="60">
        <f t="shared" si="58"/>
        <v>0</v>
      </c>
      <c r="BN120" s="60">
        <f>ROUND(BM120*BL120*Input!$C$3/365,0)</f>
        <v>0</v>
      </c>
      <c r="BO120" s="61">
        <f>IF($A120&lt;=Input!$C$6,0,IF('144M'!BK120&lt;'144M'!BM120,'144M'!BK120-BN120,'144M'!BM120))</f>
        <v>0</v>
      </c>
      <c r="BP120" s="61">
        <f t="shared" si="59"/>
        <v>0</v>
      </c>
      <c r="BQ120" s="60">
        <f t="shared" si="60"/>
        <v>0</v>
      </c>
      <c r="BR120" s="198"/>
    </row>
    <row r="121" spans="1:70" x14ac:dyDescent="0.25">
      <c r="A121" s="169">
        <v>117</v>
      </c>
      <c r="B121" s="1">
        <f t="shared" si="61"/>
        <v>49079</v>
      </c>
      <c r="C121" s="60">
        <f t="shared" si="39"/>
        <v>33127052.878124986</v>
      </c>
      <c r="D121" s="60">
        <f t="shared" si="40"/>
        <v>29814347.590312488</v>
      </c>
      <c r="E121" s="60">
        <f t="shared" si="62"/>
        <v>30</v>
      </c>
      <c r="F121" s="60">
        <f t="shared" si="63"/>
        <v>0</v>
      </c>
      <c r="G121" s="60">
        <f>ROUND(F121*E121*Input!$C$3/365,0)</f>
        <v>0</v>
      </c>
      <c r="H121" s="60">
        <f>IF($A121&lt;=Input!$C$6,0,IF('144M'!D121&lt;'144M'!F121,'144M'!D121-G121,'144M'!F121))</f>
        <v>0</v>
      </c>
      <c r="I121" s="60">
        <f t="shared" si="64"/>
        <v>0</v>
      </c>
      <c r="J121" s="60">
        <f t="shared" si="65"/>
        <v>0</v>
      </c>
      <c r="K121" s="202">
        <f>J121/Input!$K$5</f>
        <v>0</v>
      </c>
      <c r="L121" s="232"/>
      <c r="M121" s="60">
        <f>IF($B121&lt;Input!$H$43,IF($B121&lt;Input!$G$43,IF($B121&lt;Input!$F$43,IF($B121&lt;Input!$E$43,IF($B121&lt;Input!$D$43,Input!$C$49,Input!$D$49),Input!$E$49),Input!$F$49),Input!$G$49),Input!$H$49)</f>
        <v>33127052.878124986</v>
      </c>
      <c r="N121" s="190">
        <f>IF($A121&lt;Input!$H$50,IF($A121&lt;Input!$G$50,IF($A121&lt;Input!$F$50,IF($A121&lt;Input!$E$50,IF($A121&lt;Input!$D$50,Input!$C$51,Input!$D$51),Input!$E$51),Input!$F$51),Input!$G$51),Input!$H$51)</f>
        <v>0.9</v>
      </c>
      <c r="O121" s="60">
        <f t="shared" si="74"/>
        <v>29814347.590312488</v>
      </c>
      <c r="P121" s="60">
        <f t="shared" si="75"/>
        <v>30</v>
      </c>
      <c r="Q121" s="60">
        <f t="shared" si="42"/>
        <v>0</v>
      </c>
      <c r="R121" s="60">
        <f>ROUND(Q121*$P121*Input!$C$3/365,0)</f>
        <v>0</v>
      </c>
      <c r="S121" s="60">
        <f>IF(A121&lt;=Input!$C$6,0,IF('144M'!O121&lt;'144M'!Q121,'144M'!O121-R121,'144M'!Q121))</f>
        <v>0</v>
      </c>
      <c r="T121" s="60">
        <f t="shared" si="43"/>
        <v>0</v>
      </c>
      <c r="U121" s="60">
        <f t="shared" si="44"/>
        <v>0</v>
      </c>
      <c r="V121" s="193"/>
      <c r="W121" s="169">
        <v>117</v>
      </c>
      <c r="X121" s="1">
        <f t="shared" si="66"/>
        <v>49079</v>
      </c>
      <c r="Y121" s="60">
        <f>IF($X121&lt;Input!$H$58,IF($X121&lt;Input!$G$58,IF($X121&lt;Input!$F$58,IF($X121&lt;Input!$E$58,IF($X121&lt;Input!$D$58,Input!$C$64,Input!$D$64),Input!$E$64),Input!$F$64),Input!$G$64),Input!$H$64)</f>
        <v>0</v>
      </c>
      <c r="Z121" s="190">
        <f>IF($A121&lt;Input!$H$65,IF($A121&lt;Input!$G$65,IF($A121&lt;Input!$F$65,IF($A121&lt;Input!$E$65,IF($A121&lt;Input!$D$65,Input!$C$66,Input!$D$66),Input!$E$66),Input!$F$66),Input!$G$66),Input!$H$66)</f>
        <v>0.9</v>
      </c>
      <c r="AA121" s="60">
        <f t="shared" si="45"/>
        <v>0</v>
      </c>
      <c r="AB121" s="60">
        <f t="shared" si="67"/>
        <v>30</v>
      </c>
      <c r="AC121" s="60">
        <f t="shared" si="46"/>
        <v>0</v>
      </c>
      <c r="AD121" s="60">
        <f>ROUND(AC121*AB121*Input!$C$3/365,0)</f>
        <v>0</v>
      </c>
      <c r="AE121" s="61">
        <f>IF($A121&lt;=Input!$C$6,0,IF('144M'!AA121&lt;'144M'!AC121,'144M'!AA121-AD121,'144M'!AC121))</f>
        <v>0</v>
      </c>
      <c r="AF121" s="61">
        <f t="shared" si="47"/>
        <v>0</v>
      </c>
      <c r="AG121" s="60">
        <f t="shared" si="48"/>
        <v>0</v>
      </c>
      <c r="AH121" s="193"/>
      <c r="AI121" s="169">
        <v>117</v>
      </c>
      <c r="AJ121" s="1">
        <f t="shared" si="68"/>
        <v>49079</v>
      </c>
      <c r="AK121" s="60">
        <f>IF($X121&lt;Input!$H$73,IF($X121&lt;Input!$G$73,IF($X121&lt;Input!$F$73,IF($X121&lt;Input!$E$73,IF($X121&lt;Input!$D$73,Input!$C$79,Input!$D$79),Input!$E$79),Input!$F$79),Input!$G$79),Input!$H$79)</f>
        <v>0</v>
      </c>
      <c r="AL121" s="190">
        <f>IF($A121&lt;Input!$H$80,IF($A121&lt;Input!$G$80,IF($A121&lt;Input!$F$80,IF($A121&lt;Input!$E$80,IF($A121&lt;Input!$D$80,Input!$C$81,Input!$D$81),Input!$E$81),Input!$F$81),Input!$G$81),Input!$H$81)</f>
        <v>0.9</v>
      </c>
      <c r="AM121" s="60">
        <f t="shared" si="49"/>
        <v>0</v>
      </c>
      <c r="AN121" s="60">
        <f t="shared" si="69"/>
        <v>30</v>
      </c>
      <c r="AO121" s="60">
        <f t="shared" si="50"/>
        <v>0</v>
      </c>
      <c r="AP121" s="60">
        <f>ROUND(AO121*AN121*Input!$C$3/365,0)</f>
        <v>0</v>
      </c>
      <c r="AQ121" s="61">
        <f>IF($A121&lt;=Input!$C$6,0,IF('144M'!AM121&lt;'144M'!AO121,'144M'!AM121-AP121,'144M'!AO121))</f>
        <v>0</v>
      </c>
      <c r="AR121" s="61">
        <f t="shared" si="51"/>
        <v>0</v>
      </c>
      <c r="AS121" s="60">
        <f t="shared" si="52"/>
        <v>0</v>
      </c>
      <c r="AT121" s="193"/>
      <c r="AU121" s="169">
        <v>117</v>
      </c>
      <c r="AV121" s="1">
        <f t="shared" si="70"/>
        <v>49079</v>
      </c>
      <c r="AW121" s="60">
        <f>IF($X121&lt;Input!$H$88,IF($X121&lt;Input!$G$88,IF($X121&lt;Input!$F$88,IF($X121&lt;Input!$E$88,IF($X121&lt;Input!$D$88,Input!$C$94,Input!$D$94),Input!$E$94),Input!$F$94),Input!$G$94),Input!$H$94)</f>
        <v>0</v>
      </c>
      <c r="AX121" s="190">
        <f>IF($A121&lt;Input!$H$95,IF($A121&lt;Input!$G$95,IF($A121&lt;Input!$F$95,IF($A121&lt;Input!$E$95,IF($A121&lt;Input!$D$95,Input!$C$96,Input!$D$96),Input!$E$96),Input!$F$96),Input!$G$96),Input!$H$96)</f>
        <v>0.9</v>
      </c>
      <c r="AY121" s="60">
        <f t="shared" si="53"/>
        <v>0</v>
      </c>
      <c r="AZ121" s="60">
        <f t="shared" si="71"/>
        <v>30</v>
      </c>
      <c r="BA121" s="60">
        <f t="shared" si="54"/>
        <v>0</v>
      </c>
      <c r="BB121" s="60">
        <f>ROUND(BA121*AZ121*Input!$C$3/365,0)</f>
        <v>0</v>
      </c>
      <c r="BC121" s="61">
        <f>IF($A121&lt;=Input!$C$6,0,IF('144M'!AY121&lt;'144M'!BA121,'144M'!AY121-BB121,'144M'!BA121))</f>
        <v>0</v>
      </c>
      <c r="BD121" s="61">
        <f t="shared" si="55"/>
        <v>0</v>
      </c>
      <c r="BE121" s="60">
        <f t="shared" si="56"/>
        <v>0</v>
      </c>
      <c r="BF121" s="193"/>
      <c r="BG121" s="169">
        <v>117</v>
      </c>
      <c r="BH121" s="1">
        <f t="shared" si="72"/>
        <v>49079</v>
      </c>
      <c r="BI121" s="60">
        <f>IF($X121&lt;Input!$H$103,IF($X121&lt;Input!$G$103,IF($X121&lt;Input!$F$103,IF($X121&lt;Input!$E$103,IF($X121&lt;Input!$D$103,Input!$C$109,Input!$D$109),Input!$E$109),Input!$F$109),Input!$G$109),Input!$H$109)</f>
        <v>0</v>
      </c>
      <c r="BJ121" s="190">
        <f>IF($A121&lt;Input!$H$110,IF($A121&lt;Input!$G$110,IF($A121&lt;Input!$F$110,IF($A121&lt;Input!$E$110,IF($A121&lt;Input!$D$110,Input!$C$111,Input!$D$111),Input!$E$111),Input!$F$111),Input!$G$111),Input!$H$111)</f>
        <v>0.9</v>
      </c>
      <c r="BK121" s="60">
        <f t="shared" si="57"/>
        <v>0</v>
      </c>
      <c r="BL121" s="60">
        <f t="shared" si="73"/>
        <v>30</v>
      </c>
      <c r="BM121" s="60">
        <f t="shared" si="58"/>
        <v>0</v>
      </c>
      <c r="BN121" s="60">
        <f>ROUND(BM121*BL121*Input!$C$3/365,0)</f>
        <v>0</v>
      </c>
      <c r="BO121" s="61">
        <f>IF($A121&lt;=Input!$C$6,0,IF('144M'!BK121&lt;'144M'!BM121,'144M'!BK121-BN121,'144M'!BM121))</f>
        <v>0</v>
      </c>
      <c r="BP121" s="61">
        <f t="shared" si="59"/>
        <v>0</v>
      </c>
      <c r="BQ121" s="60">
        <f t="shared" si="60"/>
        <v>0</v>
      </c>
      <c r="BR121" s="198"/>
    </row>
    <row r="122" spans="1:70" x14ac:dyDescent="0.25">
      <c r="A122" s="169">
        <v>118</v>
      </c>
      <c r="B122" s="1">
        <f t="shared" si="61"/>
        <v>49110</v>
      </c>
      <c r="C122" s="60">
        <f t="shared" si="39"/>
        <v>33127052.878124986</v>
      </c>
      <c r="D122" s="60">
        <f t="shared" si="40"/>
        <v>29814347.590312488</v>
      </c>
      <c r="E122" s="60">
        <f t="shared" si="62"/>
        <v>31</v>
      </c>
      <c r="F122" s="60">
        <f t="shared" si="63"/>
        <v>0</v>
      </c>
      <c r="G122" s="60">
        <f>ROUND(F122*E122*Input!$C$3/365,0)</f>
        <v>0</v>
      </c>
      <c r="H122" s="60">
        <f>IF($A122&lt;=Input!$C$6,0,IF('144M'!D122&lt;'144M'!F122,'144M'!D122-G122,'144M'!F122))</f>
        <v>0</v>
      </c>
      <c r="I122" s="60">
        <f t="shared" si="64"/>
        <v>0</v>
      </c>
      <c r="J122" s="60">
        <f t="shared" si="65"/>
        <v>0</v>
      </c>
      <c r="K122" s="202">
        <f>J122/Input!$K$5</f>
        <v>0</v>
      </c>
      <c r="L122" s="232"/>
      <c r="M122" s="60">
        <f>IF($B122&lt;Input!$H$43,IF($B122&lt;Input!$G$43,IF($B122&lt;Input!$F$43,IF($B122&lt;Input!$E$43,IF($B122&lt;Input!$D$43,Input!$C$49,Input!$D$49),Input!$E$49),Input!$F$49),Input!$G$49),Input!$H$49)</f>
        <v>33127052.878124986</v>
      </c>
      <c r="N122" s="190">
        <f>IF($A122&lt;Input!$H$50,IF($A122&lt;Input!$G$50,IF($A122&lt;Input!$F$50,IF($A122&lt;Input!$E$50,IF($A122&lt;Input!$D$50,Input!$C$51,Input!$D$51),Input!$E$51),Input!$F$51),Input!$G$51),Input!$H$51)</f>
        <v>0.9</v>
      </c>
      <c r="O122" s="60">
        <f t="shared" si="74"/>
        <v>29814347.590312488</v>
      </c>
      <c r="P122" s="60">
        <f t="shared" si="75"/>
        <v>31</v>
      </c>
      <c r="Q122" s="60">
        <f t="shared" si="42"/>
        <v>0</v>
      </c>
      <c r="R122" s="60">
        <f>ROUND(Q122*$P122*Input!$C$3/365,0)</f>
        <v>0</v>
      </c>
      <c r="S122" s="60">
        <f>IF(A122&lt;=Input!$C$6,0,IF('144M'!O122&lt;'144M'!Q122,'144M'!O122-R122,'144M'!Q122))</f>
        <v>0</v>
      </c>
      <c r="T122" s="60">
        <f t="shared" si="43"/>
        <v>0</v>
      </c>
      <c r="U122" s="60">
        <f t="shared" si="44"/>
        <v>0</v>
      </c>
      <c r="V122" s="193"/>
      <c r="W122" s="169">
        <v>118</v>
      </c>
      <c r="X122" s="1">
        <f t="shared" si="66"/>
        <v>49110</v>
      </c>
      <c r="Y122" s="60">
        <f>IF($X122&lt;Input!$H$58,IF($X122&lt;Input!$G$58,IF($X122&lt;Input!$F$58,IF($X122&lt;Input!$E$58,IF($X122&lt;Input!$D$58,Input!$C$64,Input!$D$64),Input!$E$64),Input!$F$64),Input!$G$64),Input!$H$64)</f>
        <v>0</v>
      </c>
      <c r="Z122" s="190">
        <f>IF($A122&lt;Input!$H$65,IF($A122&lt;Input!$G$65,IF($A122&lt;Input!$F$65,IF($A122&lt;Input!$E$65,IF($A122&lt;Input!$D$65,Input!$C$66,Input!$D$66),Input!$E$66),Input!$F$66),Input!$G$66),Input!$H$66)</f>
        <v>0.9</v>
      </c>
      <c r="AA122" s="60">
        <f t="shared" si="45"/>
        <v>0</v>
      </c>
      <c r="AB122" s="60">
        <f t="shared" si="67"/>
        <v>31</v>
      </c>
      <c r="AC122" s="60">
        <f t="shared" si="46"/>
        <v>0</v>
      </c>
      <c r="AD122" s="60">
        <f>ROUND(AC122*AB122*Input!$C$3/365,0)</f>
        <v>0</v>
      </c>
      <c r="AE122" s="61">
        <f>IF($A122&lt;=Input!$C$6,0,IF('144M'!AA122&lt;'144M'!AC122,'144M'!AA122-AD122,'144M'!AC122))</f>
        <v>0</v>
      </c>
      <c r="AF122" s="61">
        <f t="shared" si="47"/>
        <v>0</v>
      </c>
      <c r="AG122" s="60">
        <f t="shared" si="48"/>
        <v>0</v>
      </c>
      <c r="AH122" s="193"/>
      <c r="AI122" s="169">
        <v>118</v>
      </c>
      <c r="AJ122" s="1">
        <f t="shared" si="68"/>
        <v>49110</v>
      </c>
      <c r="AK122" s="60">
        <f>IF($X122&lt;Input!$H$73,IF($X122&lt;Input!$G$73,IF($X122&lt;Input!$F$73,IF($X122&lt;Input!$E$73,IF($X122&lt;Input!$D$73,Input!$C$79,Input!$D$79),Input!$E$79),Input!$F$79),Input!$G$79),Input!$H$79)</f>
        <v>0</v>
      </c>
      <c r="AL122" s="190">
        <f>IF($A122&lt;Input!$H$80,IF($A122&lt;Input!$G$80,IF($A122&lt;Input!$F$80,IF($A122&lt;Input!$E$80,IF($A122&lt;Input!$D$80,Input!$C$81,Input!$D$81),Input!$E$81),Input!$F$81),Input!$G$81),Input!$H$81)</f>
        <v>0.9</v>
      </c>
      <c r="AM122" s="60">
        <f t="shared" si="49"/>
        <v>0</v>
      </c>
      <c r="AN122" s="60">
        <f t="shared" si="69"/>
        <v>31</v>
      </c>
      <c r="AO122" s="60">
        <f t="shared" si="50"/>
        <v>0</v>
      </c>
      <c r="AP122" s="60">
        <f>ROUND(AO122*AN122*Input!$C$3/365,0)</f>
        <v>0</v>
      </c>
      <c r="AQ122" s="61">
        <f>IF($A122&lt;=Input!$C$6,0,IF('144M'!AM122&lt;'144M'!AO122,'144M'!AM122-AP122,'144M'!AO122))</f>
        <v>0</v>
      </c>
      <c r="AR122" s="61">
        <f t="shared" si="51"/>
        <v>0</v>
      </c>
      <c r="AS122" s="60">
        <f t="shared" si="52"/>
        <v>0</v>
      </c>
      <c r="AT122" s="193"/>
      <c r="AU122" s="169">
        <v>118</v>
      </c>
      <c r="AV122" s="1">
        <f t="shared" si="70"/>
        <v>49110</v>
      </c>
      <c r="AW122" s="60">
        <f>IF($X122&lt;Input!$H$88,IF($X122&lt;Input!$G$88,IF($X122&lt;Input!$F$88,IF($X122&lt;Input!$E$88,IF($X122&lt;Input!$D$88,Input!$C$94,Input!$D$94),Input!$E$94),Input!$F$94),Input!$G$94),Input!$H$94)</f>
        <v>0</v>
      </c>
      <c r="AX122" s="190">
        <f>IF($A122&lt;Input!$H$95,IF($A122&lt;Input!$G$95,IF($A122&lt;Input!$F$95,IF($A122&lt;Input!$E$95,IF($A122&lt;Input!$D$95,Input!$C$96,Input!$D$96),Input!$E$96),Input!$F$96),Input!$G$96),Input!$H$96)</f>
        <v>0.9</v>
      </c>
      <c r="AY122" s="60">
        <f t="shared" si="53"/>
        <v>0</v>
      </c>
      <c r="AZ122" s="60">
        <f t="shared" si="71"/>
        <v>31</v>
      </c>
      <c r="BA122" s="60">
        <f t="shared" si="54"/>
        <v>0</v>
      </c>
      <c r="BB122" s="60">
        <f>ROUND(BA122*AZ122*Input!$C$3/365,0)</f>
        <v>0</v>
      </c>
      <c r="BC122" s="61">
        <f>IF($A122&lt;=Input!$C$6,0,IF('144M'!AY122&lt;'144M'!BA122,'144M'!AY122-BB122,'144M'!BA122))</f>
        <v>0</v>
      </c>
      <c r="BD122" s="61">
        <f t="shared" si="55"/>
        <v>0</v>
      </c>
      <c r="BE122" s="60">
        <f t="shared" si="56"/>
        <v>0</v>
      </c>
      <c r="BF122" s="193"/>
      <c r="BG122" s="169">
        <v>118</v>
      </c>
      <c r="BH122" s="1">
        <f t="shared" si="72"/>
        <v>49110</v>
      </c>
      <c r="BI122" s="60">
        <f>IF($X122&lt;Input!$H$103,IF($X122&lt;Input!$G$103,IF($X122&lt;Input!$F$103,IF($X122&lt;Input!$E$103,IF($X122&lt;Input!$D$103,Input!$C$109,Input!$D$109),Input!$E$109),Input!$F$109),Input!$G$109),Input!$H$109)</f>
        <v>0</v>
      </c>
      <c r="BJ122" s="190">
        <f>IF($A122&lt;Input!$H$110,IF($A122&lt;Input!$G$110,IF($A122&lt;Input!$F$110,IF($A122&lt;Input!$E$110,IF($A122&lt;Input!$D$110,Input!$C$111,Input!$D$111),Input!$E$111),Input!$F$111),Input!$G$111),Input!$H$111)</f>
        <v>0.9</v>
      </c>
      <c r="BK122" s="60">
        <f t="shared" si="57"/>
        <v>0</v>
      </c>
      <c r="BL122" s="60">
        <f t="shared" si="73"/>
        <v>31</v>
      </c>
      <c r="BM122" s="60">
        <f t="shared" si="58"/>
        <v>0</v>
      </c>
      <c r="BN122" s="60">
        <f>ROUND(BM122*BL122*Input!$C$3/365,0)</f>
        <v>0</v>
      </c>
      <c r="BO122" s="61">
        <f>IF($A122&lt;=Input!$C$6,0,IF('144M'!BK122&lt;'144M'!BM122,'144M'!BK122-BN122,'144M'!BM122))</f>
        <v>0</v>
      </c>
      <c r="BP122" s="61">
        <f t="shared" si="59"/>
        <v>0</v>
      </c>
      <c r="BQ122" s="60">
        <f t="shared" si="60"/>
        <v>0</v>
      </c>
      <c r="BR122" s="198"/>
    </row>
    <row r="123" spans="1:70" x14ac:dyDescent="0.25">
      <c r="A123" s="169">
        <v>119</v>
      </c>
      <c r="B123" s="1">
        <f t="shared" si="61"/>
        <v>49140</v>
      </c>
      <c r="C123" s="60">
        <f t="shared" si="39"/>
        <v>33127052.878124986</v>
      </c>
      <c r="D123" s="60">
        <f t="shared" si="40"/>
        <v>29814347.590312488</v>
      </c>
      <c r="E123" s="60">
        <f t="shared" si="62"/>
        <v>30</v>
      </c>
      <c r="F123" s="60">
        <f t="shared" si="63"/>
        <v>0</v>
      </c>
      <c r="G123" s="60">
        <f>ROUND(F123*E123*Input!$C$3/365,0)</f>
        <v>0</v>
      </c>
      <c r="H123" s="60">
        <f>IF($A123&lt;=Input!$C$6,0,IF('144M'!D123&lt;'144M'!F123,'144M'!D123-G123,'144M'!F123))</f>
        <v>0</v>
      </c>
      <c r="I123" s="60">
        <f t="shared" si="64"/>
        <v>0</v>
      </c>
      <c r="J123" s="60">
        <f t="shared" si="65"/>
        <v>0</v>
      </c>
      <c r="K123" s="202">
        <f>J123/Input!$K$5</f>
        <v>0</v>
      </c>
      <c r="L123" s="232"/>
      <c r="M123" s="60">
        <f>IF($B123&lt;Input!$H$43,IF($B123&lt;Input!$G$43,IF($B123&lt;Input!$F$43,IF($B123&lt;Input!$E$43,IF($B123&lt;Input!$D$43,Input!$C$49,Input!$D$49),Input!$E$49),Input!$F$49),Input!$G$49),Input!$H$49)</f>
        <v>33127052.878124986</v>
      </c>
      <c r="N123" s="190">
        <f>IF($A123&lt;Input!$H$50,IF($A123&lt;Input!$G$50,IF($A123&lt;Input!$F$50,IF($A123&lt;Input!$E$50,IF($A123&lt;Input!$D$50,Input!$C$51,Input!$D$51),Input!$E$51),Input!$F$51),Input!$G$51),Input!$H$51)</f>
        <v>0.9</v>
      </c>
      <c r="O123" s="60">
        <f t="shared" si="74"/>
        <v>29814347.590312488</v>
      </c>
      <c r="P123" s="60">
        <f t="shared" si="75"/>
        <v>30</v>
      </c>
      <c r="Q123" s="60">
        <f t="shared" si="42"/>
        <v>0</v>
      </c>
      <c r="R123" s="60">
        <f>ROUND(Q123*$P123*Input!$C$3/365,0)</f>
        <v>0</v>
      </c>
      <c r="S123" s="60">
        <f>IF(A123&lt;=Input!$C$6,0,IF('144M'!O123&lt;'144M'!Q123,'144M'!O123-R123,'144M'!Q123))</f>
        <v>0</v>
      </c>
      <c r="T123" s="60">
        <f t="shared" si="43"/>
        <v>0</v>
      </c>
      <c r="U123" s="60">
        <f t="shared" si="44"/>
        <v>0</v>
      </c>
      <c r="V123" s="193"/>
      <c r="W123" s="169">
        <v>119</v>
      </c>
      <c r="X123" s="1">
        <f t="shared" si="66"/>
        <v>49140</v>
      </c>
      <c r="Y123" s="60">
        <f>IF($X123&lt;Input!$H$58,IF($X123&lt;Input!$G$58,IF($X123&lt;Input!$F$58,IF($X123&lt;Input!$E$58,IF($X123&lt;Input!$D$58,Input!$C$64,Input!$D$64),Input!$E$64),Input!$F$64),Input!$G$64),Input!$H$64)</f>
        <v>0</v>
      </c>
      <c r="Z123" s="190">
        <f>IF($A123&lt;Input!$H$65,IF($A123&lt;Input!$G$65,IF($A123&lt;Input!$F$65,IF($A123&lt;Input!$E$65,IF($A123&lt;Input!$D$65,Input!$C$66,Input!$D$66),Input!$E$66),Input!$F$66),Input!$G$66),Input!$H$66)</f>
        <v>0.9</v>
      </c>
      <c r="AA123" s="60">
        <f t="shared" si="45"/>
        <v>0</v>
      </c>
      <c r="AB123" s="60">
        <f t="shared" si="67"/>
        <v>30</v>
      </c>
      <c r="AC123" s="60">
        <f t="shared" si="46"/>
        <v>0</v>
      </c>
      <c r="AD123" s="60">
        <f>ROUND(AC123*AB123*Input!$C$3/365,0)</f>
        <v>0</v>
      </c>
      <c r="AE123" s="61">
        <f>IF($A123&lt;=Input!$C$6,0,IF('144M'!AA123&lt;'144M'!AC123,'144M'!AA123-AD123,'144M'!AC123))</f>
        <v>0</v>
      </c>
      <c r="AF123" s="61">
        <f t="shared" si="47"/>
        <v>0</v>
      </c>
      <c r="AG123" s="60">
        <f t="shared" si="48"/>
        <v>0</v>
      </c>
      <c r="AH123" s="193"/>
      <c r="AI123" s="169">
        <v>119</v>
      </c>
      <c r="AJ123" s="1">
        <f t="shared" si="68"/>
        <v>49140</v>
      </c>
      <c r="AK123" s="60">
        <f>IF($X123&lt;Input!$H$73,IF($X123&lt;Input!$G$73,IF($X123&lt;Input!$F$73,IF($X123&lt;Input!$E$73,IF($X123&lt;Input!$D$73,Input!$C$79,Input!$D$79),Input!$E$79),Input!$F$79),Input!$G$79),Input!$H$79)</f>
        <v>0</v>
      </c>
      <c r="AL123" s="190">
        <f>IF($A123&lt;Input!$H$80,IF($A123&lt;Input!$G$80,IF($A123&lt;Input!$F$80,IF($A123&lt;Input!$E$80,IF($A123&lt;Input!$D$80,Input!$C$81,Input!$D$81),Input!$E$81),Input!$F$81),Input!$G$81),Input!$H$81)</f>
        <v>0.9</v>
      </c>
      <c r="AM123" s="60">
        <f t="shared" si="49"/>
        <v>0</v>
      </c>
      <c r="AN123" s="60">
        <f t="shared" si="69"/>
        <v>30</v>
      </c>
      <c r="AO123" s="60">
        <f t="shared" si="50"/>
        <v>0</v>
      </c>
      <c r="AP123" s="60">
        <f>ROUND(AO123*AN123*Input!$C$3/365,0)</f>
        <v>0</v>
      </c>
      <c r="AQ123" s="61">
        <f>IF($A123&lt;=Input!$C$6,0,IF('144M'!AM123&lt;'144M'!AO123,'144M'!AM123-AP123,'144M'!AO123))</f>
        <v>0</v>
      </c>
      <c r="AR123" s="61">
        <f t="shared" si="51"/>
        <v>0</v>
      </c>
      <c r="AS123" s="60">
        <f t="shared" si="52"/>
        <v>0</v>
      </c>
      <c r="AT123" s="193"/>
      <c r="AU123" s="169">
        <v>119</v>
      </c>
      <c r="AV123" s="1">
        <f t="shared" si="70"/>
        <v>49140</v>
      </c>
      <c r="AW123" s="60">
        <f>IF($X123&lt;Input!$H$88,IF($X123&lt;Input!$G$88,IF($X123&lt;Input!$F$88,IF($X123&lt;Input!$E$88,IF($X123&lt;Input!$D$88,Input!$C$94,Input!$D$94),Input!$E$94),Input!$F$94),Input!$G$94),Input!$H$94)</f>
        <v>0</v>
      </c>
      <c r="AX123" s="190">
        <f>IF($A123&lt;Input!$H$95,IF($A123&lt;Input!$G$95,IF($A123&lt;Input!$F$95,IF($A123&lt;Input!$E$95,IF($A123&lt;Input!$D$95,Input!$C$96,Input!$D$96),Input!$E$96),Input!$F$96),Input!$G$96),Input!$H$96)</f>
        <v>0.9</v>
      </c>
      <c r="AY123" s="60">
        <f t="shared" si="53"/>
        <v>0</v>
      </c>
      <c r="AZ123" s="60">
        <f t="shared" si="71"/>
        <v>30</v>
      </c>
      <c r="BA123" s="60">
        <f t="shared" si="54"/>
        <v>0</v>
      </c>
      <c r="BB123" s="60">
        <f>ROUND(BA123*AZ123*Input!$C$3/365,0)</f>
        <v>0</v>
      </c>
      <c r="BC123" s="61">
        <f>IF($A123&lt;=Input!$C$6,0,IF('144M'!AY123&lt;'144M'!BA123,'144M'!AY123-BB123,'144M'!BA123))</f>
        <v>0</v>
      </c>
      <c r="BD123" s="61">
        <f t="shared" si="55"/>
        <v>0</v>
      </c>
      <c r="BE123" s="60">
        <f t="shared" si="56"/>
        <v>0</v>
      </c>
      <c r="BF123" s="193"/>
      <c r="BG123" s="169">
        <v>119</v>
      </c>
      <c r="BH123" s="1">
        <f t="shared" si="72"/>
        <v>49140</v>
      </c>
      <c r="BI123" s="60">
        <f>IF($X123&lt;Input!$H$103,IF($X123&lt;Input!$G$103,IF($X123&lt;Input!$F$103,IF($X123&lt;Input!$E$103,IF($X123&lt;Input!$D$103,Input!$C$109,Input!$D$109),Input!$E$109),Input!$F$109),Input!$G$109),Input!$H$109)</f>
        <v>0</v>
      </c>
      <c r="BJ123" s="190">
        <f>IF($A123&lt;Input!$H$110,IF($A123&lt;Input!$G$110,IF($A123&lt;Input!$F$110,IF($A123&lt;Input!$E$110,IF($A123&lt;Input!$D$110,Input!$C$111,Input!$D$111),Input!$E$111),Input!$F$111),Input!$G$111),Input!$H$111)</f>
        <v>0.9</v>
      </c>
      <c r="BK123" s="60">
        <f t="shared" si="57"/>
        <v>0</v>
      </c>
      <c r="BL123" s="60">
        <f t="shared" si="73"/>
        <v>30</v>
      </c>
      <c r="BM123" s="60">
        <f t="shared" si="58"/>
        <v>0</v>
      </c>
      <c r="BN123" s="60">
        <f>ROUND(BM123*BL123*Input!$C$3/365,0)</f>
        <v>0</v>
      </c>
      <c r="BO123" s="61">
        <f>IF($A123&lt;=Input!$C$6,0,IF('144M'!BK123&lt;'144M'!BM123,'144M'!BK123-BN123,'144M'!BM123))</f>
        <v>0</v>
      </c>
      <c r="BP123" s="61">
        <f t="shared" si="59"/>
        <v>0</v>
      </c>
      <c r="BQ123" s="60">
        <f t="shared" si="60"/>
        <v>0</v>
      </c>
      <c r="BR123" s="198"/>
    </row>
    <row r="124" spans="1:70" x14ac:dyDescent="0.25">
      <c r="A124" s="169">
        <v>120</v>
      </c>
      <c r="B124" s="1">
        <f t="shared" si="61"/>
        <v>49171</v>
      </c>
      <c r="C124" s="60">
        <f t="shared" si="39"/>
        <v>33127052.878124986</v>
      </c>
      <c r="D124" s="60">
        <f t="shared" si="40"/>
        <v>29814347.590312488</v>
      </c>
      <c r="E124" s="60">
        <f t="shared" si="62"/>
        <v>31</v>
      </c>
      <c r="F124" s="60">
        <f t="shared" si="63"/>
        <v>0</v>
      </c>
      <c r="G124" s="60">
        <f>ROUND(F124*E124*Input!$C$3/365,0)</f>
        <v>0</v>
      </c>
      <c r="H124" s="60">
        <f>IF($A124&lt;=Input!$C$6,0,IF('144M'!D124&lt;'144M'!F124,'144M'!D124-G124,'144M'!F124))</f>
        <v>0</v>
      </c>
      <c r="I124" s="60">
        <f t="shared" si="64"/>
        <v>0</v>
      </c>
      <c r="J124" s="60">
        <f t="shared" si="65"/>
        <v>0</v>
      </c>
      <c r="K124" s="202">
        <f>J124/Input!$K$5</f>
        <v>0</v>
      </c>
      <c r="L124" s="232"/>
      <c r="M124" s="60">
        <f>IF($B124&lt;Input!$H$43,IF($B124&lt;Input!$G$43,IF($B124&lt;Input!$F$43,IF($B124&lt;Input!$E$43,IF($B124&lt;Input!$D$43,Input!$C$49,Input!$D$49),Input!$E$49),Input!$F$49),Input!$G$49),Input!$H$49)</f>
        <v>33127052.878124986</v>
      </c>
      <c r="N124" s="190">
        <f>IF($A124&lt;Input!$H$50,IF($A124&lt;Input!$G$50,IF($A124&lt;Input!$F$50,IF($A124&lt;Input!$E$50,IF($A124&lt;Input!$D$50,Input!$C$51,Input!$D$51),Input!$E$51),Input!$F$51),Input!$G$51),Input!$H$51)</f>
        <v>0.9</v>
      </c>
      <c r="O124" s="60">
        <f t="shared" si="74"/>
        <v>29814347.590312488</v>
      </c>
      <c r="P124" s="60">
        <f t="shared" si="75"/>
        <v>31</v>
      </c>
      <c r="Q124" s="60">
        <f t="shared" si="42"/>
        <v>0</v>
      </c>
      <c r="R124" s="60">
        <f>ROUND(Q124*$P124*Input!$C$3/365,0)</f>
        <v>0</v>
      </c>
      <c r="S124" s="60">
        <f>IF(A124&lt;=Input!$C$6,0,IF('144M'!O124&lt;'144M'!Q124,'144M'!O124-R124,'144M'!Q124))</f>
        <v>0</v>
      </c>
      <c r="T124" s="60">
        <f t="shared" si="43"/>
        <v>0</v>
      </c>
      <c r="U124" s="60">
        <f t="shared" si="44"/>
        <v>0</v>
      </c>
      <c r="V124" s="193"/>
      <c r="W124" s="169">
        <v>120</v>
      </c>
      <c r="X124" s="1">
        <f t="shared" si="66"/>
        <v>49171</v>
      </c>
      <c r="Y124" s="60">
        <f>IF($X124&lt;Input!$H$58,IF($X124&lt;Input!$G$58,IF($X124&lt;Input!$F$58,IF($X124&lt;Input!$E$58,IF($X124&lt;Input!$D$58,Input!$C$64,Input!$D$64),Input!$E$64),Input!$F$64),Input!$G$64),Input!$H$64)</f>
        <v>0</v>
      </c>
      <c r="Z124" s="190">
        <f>IF($A124&lt;Input!$H$65,IF($A124&lt;Input!$G$65,IF($A124&lt;Input!$F$65,IF($A124&lt;Input!$E$65,IF($A124&lt;Input!$D$65,Input!$C$66,Input!$D$66),Input!$E$66),Input!$F$66),Input!$G$66),Input!$H$66)</f>
        <v>0.9</v>
      </c>
      <c r="AA124" s="60">
        <f t="shared" si="45"/>
        <v>0</v>
      </c>
      <c r="AB124" s="60">
        <f t="shared" si="67"/>
        <v>31</v>
      </c>
      <c r="AC124" s="60">
        <f t="shared" si="46"/>
        <v>0</v>
      </c>
      <c r="AD124" s="60">
        <f>ROUND(AC124*AB124*Input!$C$3/365,0)</f>
        <v>0</v>
      </c>
      <c r="AE124" s="61">
        <f>IF($A124&lt;=Input!$C$6,0,IF('144M'!AA124&lt;'144M'!AC124,'144M'!AA124-AD124,'144M'!AC124))</f>
        <v>0</v>
      </c>
      <c r="AF124" s="61">
        <f t="shared" si="47"/>
        <v>0</v>
      </c>
      <c r="AG124" s="60">
        <f t="shared" si="48"/>
        <v>0</v>
      </c>
      <c r="AH124" s="193"/>
      <c r="AI124" s="169">
        <v>120</v>
      </c>
      <c r="AJ124" s="1">
        <f t="shared" si="68"/>
        <v>49171</v>
      </c>
      <c r="AK124" s="60">
        <f>IF($X124&lt;Input!$H$73,IF($X124&lt;Input!$G$73,IF($X124&lt;Input!$F$73,IF($X124&lt;Input!$E$73,IF($X124&lt;Input!$D$73,Input!$C$79,Input!$D$79),Input!$E$79),Input!$F$79),Input!$G$79),Input!$H$79)</f>
        <v>0</v>
      </c>
      <c r="AL124" s="190">
        <f>IF($A124&lt;Input!$H$80,IF($A124&lt;Input!$G$80,IF($A124&lt;Input!$F$80,IF($A124&lt;Input!$E$80,IF($A124&lt;Input!$D$80,Input!$C$81,Input!$D$81),Input!$E$81),Input!$F$81),Input!$G$81),Input!$H$81)</f>
        <v>0.9</v>
      </c>
      <c r="AM124" s="60">
        <f t="shared" si="49"/>
        <v>0</v>
      </c>
      <c r="AN124" s="60">
        <f t="shared" si="69"/>
        <v>31</v>
      </c>
      <c r="AO124" s="60">
        <f t="shared" si="50"/>
        <v>0</v>
      </c>
      <c r="AP124" s="60">
        <f>ROUND(AO124*AN124*Input!$C$3/365,0)</f>
        <v>0</v>
      </c>
      <c r="AQ124" s="61">
        <f>IF($A124&lt;=Input!$C$6,0,IF('144M'!AM124&lt;'144M'!AO124,'144M'!AM124-AP124,'144M'!AO124))</f>
        <v>0</v>
      </c>
      <c r="AR124" s="61">
        <f t="shared" si="51"/>
        <v>0</v>
      </c>
      <c r="AS124" s="60">
        <f t="shared" si="52"/>
        <v>0</v>
      </c>
      <c r="AT124" s="193"/>
      <c r="AU124" s="169">
        <v>120</v>
      </c>
      <c r="AV124" s="1">
        <f t="shared" si="70"/>
        <v>49171</v>
      </c>
      <c r="AW124" s="60">
        <f>IF($X124&lt;Input!$H$88,IF($X124&lt;Input!$G$88,IF($X124&lt;Input!$F$88,IF($X124&lt;Input!$E$88,IF($X124&lt;Input!$D$88,Input!$C$94,Input!$D$94),Input!$E$94),Input!$F$94),Input!$G$94),Input!$H$94)</f>
        <v>0</v>
      </c>
      <c r="AX124" s="190">
        <f>IF($A124&lt;Input!$H$95,IF($A124&lt;Input!$G$95,IF($A124&lt;Input!$F$95,IF($A124&lt;Input!$E$95,IF($A124&lt;Input!$D$95,Input!$C$96,Input!$D$96),Input!$E$96),Input!$F$96),Input!$G$96),Input!$H$96)</f>
        <v>0.9</v>
      </c>
      <c r="AY124" s="60">
        <f t="shared" si="53"/>
        <v>0</v>
      </c>
      <c r="AZ124" s="60">
        <f t="shared" si="71"/>
        <v>31</v>
      </c>
      <c r="BA124" s="60">
        <f t="shared" si="54"/>
        <v>0</v>
      </c>
      <c r="BB124" s="60">
        <f>ROUND(BA124*AZ124*Input!$C$3/365,0)</f>
        <v>0</v>
      </c>
      <c r="BC124" s="61">
        <f>IF($A124&lt;=Input!$C$6,0,IF('144M'!AY124&lt;'144M'!BA124,'144M'!AY124-BB124,'144M'!BA124))</f>
        <v>0</v>
      </c>
      <c r="BD124" s="61">
        <f t="shared" si="55"/>
        <v>0</v>
      </c>
      <c r="BE124" s="60">
        <f t="shared" si="56"/>
        <v>0</v>
      </c>
      <c r="BF124" s="193"/>
      <c r="BG124" s="169">
        <v>120</v>
      </c>
      <c r="BH124" s="1">
        <f t="shared" si="72"/>
        <v>49171</v>
      </c>
      <c r="BI124" s="60">
        <f>IF($X124&lt;Input!$H$103,IF($X124&lt;Input!$G$103,IF($X124&lt;Input!$F$103,IF($X124&lt;Input!$E$103,IF($X124&lt;Input!$D$103,Input!$C$109,Input!$D$109),Input!$E$109),Input!$F$109),Input!$G$109),Input!$H$109)</f>
        <v>0</v>
      </c>
      <c r="BJ124" s="190">
        <f>IF($A124&lt;Input!$H$110,IF($A124&lt;Input!$G$110,IF($A124&lt;Input!$F$110,IF($A124&lt;Input!$E$110,IF($A124&lt;Input!$D$110,Input!$C$111,Input!$D$111),Input!$E$111),Input!$F$111),Input!$G$111),Input!$H$111)</f>
        <v>0.9</v>
      </c>
      <c r="BK124" s="60">
        <f t="shared" si="57"/>
        <v>0</v>
      </c>
      <c r="BL124" s="60">
        <f t="shared" si="73"/>
        <v>31</v>
      </c>
      <c r="BM124" s="60">
        <f t="shared" si="58"/>
        <v>0</v>
      </c>
      <c r="BN124" s="60">
        <f>ROUND(BM124*BL124*Input!$C$3/365,0)</f>
        <v>0</v>
      </c>
      <c r="BO124" s="61">
        <f>IF($A124&lt;=Input!$C$6,0,IF('144M'!BK124&lt;'144M'!BM124,'144M'!BK124-BN124,'144M'!BM124))</f>
        <v>0</v>
      </c>
      <c r="BP124" s="61">
        <f t="shared" si="59"/>
        <v>0</v>
      </c>
      <c r="BQ124" s="60">
        <f t="shared" si="60"/>
        <v>0</v>
      </c>
      <c r="BR124" s="198"/>
    </row>
    <row r="125" spans="1:70" x14ac:dyDescent="0.25">
      <c r="A125" s="169">
        <v>121</v>
      </c>
      <c r="B125" s="1">
        <f t="shared" si="61"/>
        <v>49202</v>
      </c>
      <c r="C125" s="60">
        <f t="shared" si="39"/>
        <v>33127052.878124986</v>
      </c>
      <c r="D125" s="60">
        <f t="shared" si="40"/>
        <v>29814347.590312488</v>
      </c>
      <c r="E125" s="60">
        <f t="shared" si="62"/>
        <v>31</v>
      </c>
      <c r="F125" s="60">
        <f t="shared" si="63"/>
        <v>0</v>
      </c>
      <c r="G125" s="60">
        <f>ROUND(F125*E125*Input!$C$3/365,0)</f>
        <v>0</v>
      </c>
      <c r="H125" s="60">
        <f>IF($A125&lt;=Input!$C$6,0,IF('144M'!D125&lt;'144M'!F125,'144M'!D125-G125,'144M'!F125))</f>
        <v>0</v>
      </c>
      <c r="I125" s="60">
        <f t="shared" si="64"/>
        <v>0</v>
      </c>
      <c r="J125" s="60">
        <f t="shared" si="65"/>
        <v>0</v>
      </c>
      <c r="K125" s="202">
        <f>J125/Input!$K$5</f>
        <v>0</v>
      </c>
      <c r="L125" s="232"/>
      <c r="M125" s="60">
        <f>IF($B125&lt;Input!$H$43,IF($B125&lt;Input!$G$43,IF($B125&lt;Input!$F$43,IF($B125&lt;Input!$E$43,IF($B125&lt;Input!$D$43,Input!$C$49,Input!$D$49),Input!$E$49),Input!$F$49),Input!$G$49),Input!$H$49)</f>
        <v>33127052.878124986</v>
      </c>
      <c r="N125" s="190">
        <f>IF($A125&lt;Input!$H$50,IF($A125&lt;Input!$G$50,IF($A125&lt;Input!$F$50,IF($A125&lt;Input!$E$50,IF($A125&lt;Input!$D$50,Input!$C$51,Input!$D$51),Input!$E$51),Input!$F$51),Input!$G$51),Input!$H$51)</f>
        <v>0.9</v>
      </c>
      <c r="O125" s="60">
        <f t="shared" si="74"/>
        <v>29814347.590312488</v>
      </c>
      <c r="P125" s="60">
        <f t="shared" si="75"/>
        <v>31</v>
      </c>
      <c r="Q125" s="60">
        <f t="shared" si="42"/>
        <v>0</v>
      </c>
      <c r="R125" s="60">
        <f>ROUND(Q125*$P125*Input!$C$3/365,0)</f>
        <v>0</v>
      </c>
      <c r="S125" s="60">
        <f>IF(A125&lt;=Input!$C$6,0,IF('144M'!O125&lt;'144M'!Q125,'144M'!O125-R125,'144M'!Q125))</f>
        <v>0</v>
      </c>
      <c r="T125" s="60">
        <f t="shared" si="43"/>
        <v>0</v>
      </c>
      <c r="U125" s="60">
        <f t="shared" si="44"/>
        <v>0</v>
      </c>
      <c r="V125" s="193"/>
      <c r="W125" s="169">
        <v>121</v>
      </c>
      <c r="X125" s="1">
        <f t="shared" si="66"/>
        <v>49202</v>
      </c>
      <c r="Y125" s="60">
        <f>IF($X125&lt;Input!$H$58,IF($X125&lt;Input!$G$58,IF($X125&lt;Input!$F$58,IF($X125&lt;Input!$E$58,IF($X125&lt;Input!$D$58,Input!$C$64,Input!$D$64),Input!$E$64),Input!$F$64),Input!$G$64),Input!$H$64)</f>
        <v>0</v>
      </c>
      <c r="Z125" s="190">
        <f>IF($A125&lt;Input!$H$65,IF($A125&lt;Input!$G$65,IF($A125&lt;Input!$F$65,IF($A125&lt;Input!$E$65,IF($A125&lt;Input!$D$65,Input!$C$66,Input!$D$66),Input!$E$66),Input!$F$66),Input!$G$66),Input!$H$66)</f>
        <v>0.9</v>
      </c>
      <c r="AA125" s="60">
        <f t="shared" si="45"/>
        <v>0</v>
      </c>
      <c r="AB125" s="60">
        <f t="shared" si="67"/>
        <v>31</v>
      </c>
      <c r="AC125" s="60">
        <f t="shared" si="46"/>
        <v>0</v>
      </c>
      <c r="AD125" s="60">
        <f>ROUND(AC125*AB125*Input!$C$3/365,0)</f>
        <v>0</v>
      </c>
      <c r="AE125" s="61">
        <f>IF($A125&lt;=Input!$C$6,0,IF('144M'!AA125&lt;'144M'!AC125,'144M'!AA125-AD125,'144M'!AC125))</f>
        <v>0</v>
      </c>
      <c r="AF125" s="61">
        <f t="shared" si="47"/>
        <v>0</v>
      </c>
      <c r="AG125" s="60">
        <f t="shared" si="48"/>
        <v>0</v>
      </c>
      <c r="AH125" s="193"/>
      <c r="AI125" s="169">
        <v>121</v>
      </c>
      <c r="AJ125" s="1">
        <f t="shared" si="68"/>
        <v>49202</v>
      </c>
      <c r="AK125" s="60">
        <f>IF($X125&lt;Input!$H$73,IF($X125&lt;Input!$G$73,IF($X125&lt;Input!$F$73,IF($X125&lt;Input!$E$73,IF($X125&lt;Input!$D$73,Input!$C$79,Input!$D$79),Input!$E$79),Input!$F$79),Input!$G$79),Input!$H$79)</f>
        <v>0</v>
      </c>
      <c r="AL125" s="190">
        <f>IF($A125&lt;Input!$H$80,IF($A125&lt;Input!$G$80,IF($A125&lt;Input!$F$80,IF($A125&lt;Input!$E$80,IF($A125&lt;Input!$D$80,Input!$C$81,Input!$D$81),Input!$E$81),Input!$F$81),Input!$G$81),Input!$H$81)</f>
        <v>0.9</v>
      </c>
      <c r="AM125" s="60">
        <f t="shared" si="49"/>
        <v>0</v>
      </c>
      <c r="AN125" s="60">
        <f t="shared" si="69"/>
        <v>31</v>
      </c>
      <c r="AO125" s="60">
        <f t="shared" si="50"/>
        <v>0</v>
      </c>
      <c r="AP125" s="60">
        <f>ROUND(AO125*AN125*Input!$C$3/365,0)</f>
        <v>0</v>
      </c>
      <c r="AQ125" s="61">
        <f>IF($A125&lt;=Input!$C$6,0,IF('144M'!AM125&lt;'144M'!AO125,'144M'!AM125-AP125,'144M'!AO125))</f>
        <v>0</v>
      </c>
      <c r="AR125" s="61">
        <f t="shared" si="51"/>
        <v>0</v>
      </c>
      <c r="AS125" s="60">
        <f t="shared" si="52"/>
        <v>0</v>
      </c>
      <c r="AT125" s="193"/>
      <c r="AU125" s="169">
        <v>121</v>
      </c>
      <c r="AV125" s="1">
        <f t="shared" si="70"/>
        <v>49202</v>
      </c>
      <c r="AW125" s="60">
        <f>IF($X125&lt;Input!$H$88,IF($X125&lt;Input!$G$88,IF($X125&lt;Input!$F$88,IF($X125&lt;Input!$E$88,IF($X125&lt;Input!$D$88,Input!$C$94,Input!$D$94),Input!$E$94),Input!$F$94),Input!$G$94),Input!$H$94)</f>
        <v>0</v>
      </c>
      <c r="AX125" s="190">
        <f>IF($A125&lt;Input!$H$95,IF($A125&lt;Input!$G$95,IF($A125&lt;Input!$F$95,IF($A125&lt;Input!$E$95,IF($A125&lt;Input!$D$95,Input!$C$96,Input!$D$96),Input!$E$96),Input!$F$96),Input!$G$96),Input!$H$96)</f>
        <v>0.9</v>
      </c>
      <c r="AY125" s="60">
        <f t="shared" si="53"/>
        <v>0</v>
      </c>
      <c r="AZ125" s="60">
        <f t="shared" si="71"/>
        <v>31</v>
      </c>
      <c r="BA125" s="60">
        <f t="shared" si="54"/>
        <v>0</v>
      </c>
      <c r="BB125" s="60">
        <f>ROUND(BA125*AZ125*Input!$C$3/365,0)</f>
        <v>0</v>
      </c>
      <c r="BC125" s="61">
        <f>IF($A125&lt;=Input!$C$6,0,IF('144M'!AY125&lt;'144M'!BA125,'144M'!AY125-BB125,'144M'!BA125))</f>
        <v>0</v>
      </c>
      <c r="BD125" s="61">
        <f t="shared" si="55"/>
        <v>0</v>
      </c>
      <c r="BE125" s="60">
        <f t="shared" si="56"/>
        <v>0</v>
      </c>
      <c r="BF125" s="193"/>
      <c r="BG125" s="169">
        <v>121</v>
      </c>
      <c r="BH125" s="1">
        <f t="shared" si="72"/>
        <v>49202</v>
      </c>
      <c r="BI125" s="60">
        <f>IF($X125&lt;Input!$H$103,IF($X125&lt;Input!$G$103,IF($X125&lt;Input!$F$103,IF($X125&lt;Input!$E$103,IF($X125&lt;Input!$D$103,Input!$C$109,Input!$D$109),Input!$E$109),Input!$F$109),Input!$G$109),Input!$H$109)</f>
        <v>0</v>
      </c>
      <c r="BJ125" s="190">
        <f>IF($A125&lt;Input!$H$110,IF($A125&lt;Input!$G$110,IF($A125&lt;Input!$F$110,IF($A125&lt;Input!$E$110,IF($A125&lt;Input!$D$110,Input!$C$111,Input!$D$111),Input!$E$111),Input!$F$111),Input!$G$111),Input!$H$111)</f>
        <v>0.9</v>
      </c>
      <c r="BK125" s="60">
        <f t="shared" si="57"/>
        <v>0</v>
      </c>
      <c r="BL125" s="60">
        <f t="shared" si="73"/>
        <v>31</v>
      </c>
      <c r="BM125" s="60">
        <f t="shared" si="58"/>
        <v>0</v>
      </c>
      <c r="BN125" s="60">
        <f>ROUND(BM125*BL125*Input!$C$3/365,0)</f>
        <v>0</v>
      </c>
      <c r="BO125" s="61">
        <f>IF($A125&lt;=Input!$C$6,0,IF('144M'!BK125&lt;'144M'!BM125,'144M'!BK125-BN125,'144M'!BM125))</f>
        <v>0</v>
      </c>
      <c r="BP125" s="61">
        <f t="shared" si="59"/>
        <v>0</v>
      </c>
      <c r="BQ125" s="60">
        <f t="shared" si="60"/>
        <v>0</v>
      </c>
      <c r="BR125" s="198"/>
    </row>
    <row r="126" spans="1:70" x14ac:dyDescent="0.25">
      <c r="A126" s="169">
        <v>122</v>
      </c>
      <c r="B126" s="1">
        <f t="shared" si="61"/>
        <v>49232</v>
      </c>
      <c r="C126" s="60">
        <f t="shared" si="39"/>
        <v>33127052.878124986</v>
      </c>
      <c r="D126" s="60">
        <f t="shared" si="40"/>
        <v>29814347.590312488</v>
      </c>
      <c r="E126" s="60">
        <f t="shared" si="62"/>
        <v>30</v>
      </c>
      <c r="F126" s="60">
        <f t="shared" si="63"/>
        <v>0</v>
      </c>
      <c r="G126" s="60">
        <f>ROUND(F126*E126*Input!$C$3/365,0)</f>
        <v>0</v>
      </c>
      <c r="H126" s="60">
        <f>IF($A126&lt;=Input!$C$6,0,IF('144M'!D126&lt;'144M'!F126,'144M'!D126-G126,'144M'!F126))</f>
        <v>0</v>
      </c>
      <c r="I126" s="60">
        <f t="shared" si="64"/>
        <v>0</v>
      </c>
      <c r="J126" s="60">
        <f t="shared" si="65"/>
        <v>0</v>
      </c>
      <c r="K126" s="202">
        <f>J126/Input!$K$5</f>
        <v>0</v>
      </c>
      <c r="L126" s="232"/>
      <c r="M126" s="60">
        <f>IF($B126&lt;Input!$H$43,IF($B126&lt;Input!$G$43,IF($B126&lt;Input!$F$43,IF($B126&lt;Input!$E$43,IF($B126&lt;Input!$D$43,Input!$C$49,Input!$D$49),Input!$E$49),Input!$F$49),Input!$G$49),Input!$H$49)</f>
        <v>33127052.878124986</v>
      </c>
      <c r="N126" s="190">
        <f>IF($A126&lt;Input!$H$50,IF($A126&lt;Input!$G$50,IF($A126&lt;Input!$F$50,IF($A126&lt;Input!$E$50,IF($A126&lt;Input!$D$50,Input!$C$51,Input!$D$51),Input!$E$51),Input!$F$51),Input!$G$51),Input!$H$51)</f>
        <v>0.9</v>
      </c>
      <c r="O126" s="60">
        <f t="shared" si="74"/>
        <v>29814347.590312488</v>
      </c>
      <c r="P126" s="60">
        <f t="shared" si="75"/>
        <v>30</v>
      </c>
      <c r="Q126" s="60">
        <f t="shared" si="42"/>
        <v>0</v>
      </c>
      <c r="R126" s="60">
        <f>ROUND(Q126*$P126*Input!$C$3/365,0)</f>
        <v>0</v>
      </c>
      <c r="S126" s="60">
        <f>IF(A126&lt;=Input!$C$6,0,IF('144M'!O126&lt;'144M'!Q126,'144M'!O126-R126,'144M'!Q126))</f>
        <v>0</v>
      </c>
      <c r="T126" s="60">
        <f t="shared" si="43"/>
        <v>0</v>
      </c>
      <c r="U126" s="60">
        <f t="shared" si="44"/>
        <v>0</v>
      </c>
      <c r="V126" s="193"/>
      <c r="W126" s="169">
        <v>122</v>
      </c>
      <c r="X126" s="1">
        <f t="shared" si="66"/>
        <v>49232</v>
      </c>
      <c r="Y126" s="60">
        <f>IF($X126&lt;Input!$H$58,IF($X126&lt;Input!$G$58,IF($X126&lt;Input!$F$58,IF($X126&lt;Input!$E$58,IF($X126&lt;Input!$D$58,Input!$C$64,Input!$D$64),Input!$E$64),Input!$F$64),Input!$G$64),Input!$H$64)</f>
        <v>0</v>
      </c>
      <c r="Z126" s="190">
        <f>IF($A126&lt;Input!$H$65,IF($A126&lt;Input!$G$65,IF($A126&lt;Input!$F$65,IF($A126&lt;Input!$E$65,IF($A126&lt;Input!$D$65,Input!$C$66,Input!$D$66),Input!$E$66),Input!$F$66),Input!$G$66),Input!$H$66)</f>
        <v>0.9</v>
      </c>
      <c r="AA126" s="60">
        <f t="shared" si="45"/>
        <v>0</v>
      </c>
      <c r="AB126" s="60">
        <f t="shared" si="67"/>
        <v>30</v>
      </c>
      <c r="AC126" s="60">
        <f t="shared" si="46"/>
        <v>0</v>
      </c>
      <c r="AD126" s="60">
        <f>ROUND(AC126*AB126*Input!$C$3/365,0)</f>
        <v>0</v>
      </c>
      <c r="AE126" s="61">
        <f>IF($A126&lt;=Input!$C$6,0,IF('144M'!AA126&lt;'144M'!AC126,'144M'!AA126-AD126,'144M'!AC126))</f>
        <v>0</v>
      </c>
      <c r="AF126" s="61">
        <f t="shared" si="47"/>
        <v>0</v>
      </c>
      <c r="AG126" s="60">
        <f t="shared" si="48"/>
        <v>0</v>
      </c>
      <c r="AH126" s="193"/>
      <c r="AI126" s="169">
        <v>122</v>
      </c>
      <c r="AJ126" s="1">
        <f t="shared" si="68"/>
        <v>49232</v>
      </c>
      <c r="AK126" s="60">
        <f>IF($X126&lt;Input!$H$73,IF($X126&lt;Input!$G$73,IF($X126&lt;Input!$F$73,IF($X126&lt;Input!$E$73,IF($X126&lt;Input!$D$73,Input!$C$79,Input!$D$79),Input!$E$79),Input!$F$79),Input!$G$79),Input!$H$79)</f>
        <v>0</v>
      </c>
      <c r="AL126" s="190">
        <f>IF($A126&lt;Input!$H$80,IF($A126&lt;Input!$G$80,IF($A126&lt;Input!$F$80,IF($A126&lt;Input!$E$80,IF($A126&lt;Input!$D$80,Input!$C$81,Input!$D$81),Input!$E$81),Input!$F$81),Input!$G$81),Input!$H$81)</f>
        <v>0.9</v>
      </c>
      <c r="AM126" s="60">
        <f t="shared" si="49"/>
        <v>0</v>
      </c>
      <c r="AN126" s="60">
        <f t="shared" si="69"/>
        <v>30</v>
      </c>
      <c r="AO126" s="60">
        <f t="shared" si="50"/>
        <v>0</v>
      </c>
      <c r="AP126" s="60">
        <f>ROUND(AO126*AN126*Input!$C$3/365,0)</f>
        <v>0</v>
      </c>
      <c r="AQ126" s="61">
        <f>IF($A126&lt;=Input!$C$6,0,IF('144M'!AM126&lt;'144M'!AO126,'144M'!AM126-AP126,'144M'!AO126))</f>
        <v>0</v>
      </c>
      <c r="AR126" s="61">
        <f t="shared" si="51"/>
        <v>0</v>
      </c>
      <c r="AS126" s="60">
        <f t="shared" si="52"/>
        <v>0</v>
      </c>
      <c r="AT126" s="193"/>
      <c r="AU126" s="169">
        <v>122</v>
      </c>
      <c r="AV126" s="1">
        <f t="shared" si="70"/>
        <v>49232</v>
      </c>
      <c r="AW126" s="60">
        <f>IF($X126&lt;Input!$H$88,IF($X126&lt;Input!$G$88,IF($X126&lt;Input!$F$88,IF($X126&lt;Input!$E$88,IF($X126&lt;Input!$D$88,Input!$C$94,Input!$D$94),Input!$E$94),Input!$F$94),Input!$G$94),Input!$H$94)</f>
        <v>0</v>
      </c>
      <c r="AX126" s="190">
        <f>IF($A126&lt;Input!$H$95,IF($A126&lt;Input!$G$95,IF($A126&lt;Input!$F$95,IF($A126&lt;Input!$E$95,IF($A126&lt;Input!$D$95,Input!$C$96,Input!$D$96),Input!$E$96),Input!$F$96),Input!$G$96),Input!$H$96)</f>
        <v>0.9</v>
      </c>
      <c r="AY126" s="60">
        <f t="shared" si="53"/>
        <v>0</v>
      </c>
      <c r="AZ126" s="60">
        <f t="shared" si="71"/>
        <v>30</v>
      </c>
      <c r="BA126" s="60">
        <f t="shared" si="54"/>
        <v>0</v>
      </c>
      <c r="BB126" s="60">
        <f>ROUND(BA126*AZ126*Input!$C$3/365,0)</f>
        <v>0</v>
      </c>
      <c r="BC126" s="61">
        <f>IF($A126&lt;=Input!$C$6,0,IF('144M'!AY126&lt;'144M'!BA126,'144M'!AY126-BB126,'144M'!BA126))</f>
        <v>0</v>
      </c>
      <c r="BD126" s="61">
        <f t="shared" si="55"/>
        <v>0</v>
      </c>
      <c r="BE126" s="60">
        <f t="shared" si="56"/>
        <v>0</v>
      </c>
      <c r="BF126" s="193"/>
      <c r="BG126" s="169">
        <v>122</v>
      </c>
      <c r="BH126" s="1">
        <f t="shared" si="72"/>
        <v>49232</v>
      </c>
      <c r="BI126" s="60">
        <f>IF($X126&lt;Input!$H$103,IF($X126&lt;Input!$G$103,IF($X126&lt;Input!$F$103,IF($X126&lt;Input!$E$103,IF($X126&lt;Input!$D$103,Input!$C$109,Input!$D$109),Input!$E$109),Input!$F$109),Input!$G$109),Input!$H$109)</f>
        <v>0</v>
      </c>
      <c r="BJ126" s="190">
        <f>IF($A126&lt;Input!$H$110,IF($A126&lt;Input!$G$110,IF($A126&lt;Input!$F$110,IF($A126&lt;Input!$E$110,IF($A126&lt;Input!$D$110,Input!$C$111,Input!$D$111),Input!$E$111),Input!$F$111),Input!$G$111),Input!$H$111)</f>
        <v>0.9</v>
      </c>
      <c r="BK126" s="60">
        <f t="shared" si="57"/>
        <v>0</v>
      </c>
      <c r="BL126" s="60">
        <f t="shared" si="73"/>
        <v>30</v>
      </c>
      <c r="BM126" s="60">
        <f t="shared" si="58"/>
        <v>0</v>
      </c>
      <c r="BN126" s="60">
        <f>ROUND(BM126*BL126*Input!$C$3/365,0)</f>
        <v>0</v>
      </c>
      <c r="BO126" s="61">
        <f>IF($A126&lt;=Input!$C$6,0,IF('144M'!BK126&lt;'144M'!BM126,'144M'!BK126-BN126,'144M'!BM126))</f>
        <v>0</v>
      </c>
      <c r="BP126" s="61">
        <f t="shared" si="59"/>
        <v>0</v>
      </c>
      <c r="BQ126" s="60">
        <f t="shared" si="60"/>
        <v>0</v>
      </c>
      <c r="BR126" s="198"/>
    </row>
    <row r="127" spans="1:70" x14ac:dyDescent="0.25">
      <c r="A127" s="169">
        <v>123</v>
      </c>
      <c r="B127" s="1">
        <f t="shared" si="61"/>
        <v>49263</v>
      </c>
      <c r="C127" s="60">
        <f t="shared" si="39"/>
        <v>33127052.878124986</v>
      </c>
      <c r="D127" s="60">
        <f t="shared" si="40"/>
        <v>29814347.590312488</v>
      </c>
      <c r="E127" s="60">
        <f t="shared" si="62"/>
        <v>31</v>
      </c>
      <c r="F127" s="60">
        <f t="shared" si="63"/>
        <v>0</v>
      </c>
      <c r="G127" s="60">
        <f>ROUND(F127*E127*Input!$C$3/365,0)</f>
        <v>0</v>
      </c>
      <c r="H127" s="60">
        <f>IF($A127&lt;=Input!$C$6,0,IF('144M'!D127&lt;'144M'!F127,'144M'!D127-G127,'144M'!F127))</f>
        <v>0</v>
      </c>
      <c r="I127" s="60">
        <f t="shared" si="64"/>
        <v>0</v>
      </c>
      <c r="J127" s="60">
        <f t="shared" si="65"/>
        <v>0</v>
      </c>
      <c r="K127" s="202">
        <f>J127/Input!$K$5</f>
        <v>0</v>
      </c>
      <c r="L127" s="232"/>
      <c r="M127" s="60">
        <f>IF($B127&lt;Input!$H$43,IF($B127&lt;Input!$G$43,IF($B127&lt;Input!$F$43,IF($B127&lt;Input!$E$43,IF($B127&lt;Input!$D$43,Input!$C$49,Input!$D$49),Input!$E$49),Input!$F$49),Input!$G$49),Input!$H$49)</f>
        <v>33127052.878124986</v>
      </c>
      <c r="N127" s="190">
        <f>IF($A127&lt;Input!$H$50,IF($A127&lt;Input!$G$50,IF($A127&lt;Input!$F$50,IF($A127&lt;Input!$E$50,IF($A127&lt;Input!$D$50,Input!$C$51,Input!$D$51),Input!$E$51),Input!$F$51),Input!$G$51),Input!$H$51)</f>
        <v>0.9</v>
      </c>
      <c r="O127" s="60">
        <f t="shared" si="74"/>
        <v>29814347.590312488</v>
      </c>
      <c r="P127" s="60">
        <f t="shared" si="75"/>
        <v>31</v>
      </c>
      <c r="Q127" s="60">
        <f t="shared" si="42"/>
        <v>0</v>
      </c>
      <c r="R127" s="60">
        <f>ROUND(Q127*$P127*Input!$C$3/365,0)</f>
        <v>0</v>
      </c>
      <c r="S127" s="60">
        <f>IF(A127&lt;=Input!$C$6,0,IF('144M'!O127&lt;'144M'!Q127,'144M'!O127-R127,'144M'!Q127))</f>
        <v>0</v>
      </c>
      <c r="T127" s="60">
        <f t="shared" si="43"/>
        <v>0</v>
      </c>
      <c r="U127" s="60">
        <f t="shared" si="44"/>
        <v>0</v>
      </c>
      <c r="V127" s="193"/>
      <c r="W127" s="169">
        <v>123</v>
      </c>
      <c r="X127" s="1">
        <f t="shared" si="66"/>
        <v>49263</v>
      </c>
      <c r="Y127" s="60">
        <f>IF($X127&lt;Input!$H$58,IF($X127&lt;Input!$G$58,IF($X127&lt;Input!$F$58,IF($X127&lt;Input!$E$58,IF($X127&lt;Input!$D$58,Input!$C$64,Input!$D$64),Input!$E$64),Input!$F$64),Input!$G$64),Input!$H$64)</f>
        <v>0</v>
      </c>
      <c r="Z127" s="190">
        <f>IF($A127&lt;Input!$H$65,IF($A127&lt;Input!$G$65,IF($A127&lt;Input!$F$65,IF($A127&lt;Input!$E$65,IF($A127&lt;Input!$D$65,Input!$C$66,Input!$D$66),Input!$E$66),Input!$F$66),Input!$G$66),Input!$H$66)</f>
        <v>0.9</v>
      </c>
      <c r="AA127" s="60">
        <f t="shared" si="45"/>
        <v>0</v>
      </c>
      <c r="AB127" s="60">
        <f t="shared" si="67"/>
        <v>31</v>
      </c>
      <c r="AC127" s="60">
        <f t="shared" si="46"/>
        <v>0</v>
      </c>
      <c r="AD127" s="60">
        <f>ROUND(AC127*AB127*Input!$C$3/365,0)</f>
        <v>0</v>
      </c>
      <c r="AE127" s="61">
        <f>IF($A127&lt;=Input!$C$6,0,IF('144M'!AA127&lt;'144M'!AC127,'144M'!AA127-AD127,'144M'!AC127))</f>
        <v>0</v>
      </c>
      <c r="AF127" s="61">
        <f t="shared" si="47"/>
        <v>0</v>
      </c>
      <c r="AG127" s="60">
        <f t="shared" si="48"/>
        <v>0</v>
      </c>
      <c r="AH127" s="193"/>
      <c r="AI127" s="169">
        <v>123</v>
      </c>
      <c r="AJ127" s="1">
        <f t="shared" si="68"/>
        <v>49263</v>
      </c>
      <c r="AK127" s="60">
        <f>IF($X127&lt;Input!$H$73,IF($X127&lt;Input!$G$73,IF($X127&lt;Input!$F$73,IF($X127&lt;Input!$E$73,IF($X127&lt;Input!$D$73,Input!$C$79,Input!$D$79),Input!$E$79),Input!$F$79),Input!$G$79),Input!$H$79)</f>
        <v>0</v>
      </c>
      <c r="AL127" s="190">
        <f>IF($A127&lt;Input!$H$80,IF($A127&lt;Input!$G$80,IF($A127&lt;Input!$F$80,IF($A127&lt;Input!$E$80,IF($A127&lt;Input!$D$80,Input!$C$81,Input!$D$81),Input!$E$81),Input!$F$81),Input!$G$81),Input!$H$81)</f>
        <v>0.9</v>
      </c>
      <c r="AM127" s="60">
        <f t="shared" si="49"/>
        <v>0</v>
      </c>
      <c r="AN127" s="60">
        <f t="shared" si="69"/>
        <v>31</v>
      </c>
      <c r="AO127" s="60">
        <f t="shared" si="50"/>
        <v>0</v>
      </c>
      <c r="AP127" s="60">
        <f>ROUND(AO127*AN127*Input!$C$3/365,0)</f>
        <v>0</v>
      </c>
      <c r="AQ127" s="61">
        <f>IF($A127&lt;=Input!$C$6,0,IF('144M'!AM127&lt;'144M'!AO127,'144M'!AM127-AP127,'144M'!AO127))</f>
        <v>0</v>
      </c>
      <c r="AR127" s="61">
        <f t="shared" si="51"/>
        <v>0</v>
      </c>
      <c r="AS127" s="60">
        <f t="shared" si="52"/>
        <v>0</v>
      </c>
      <c r="AT127" s="193"/>
      <c r="AU127" s="169">
        <v>123</v>
      </c>
      <c r="AV127" s="1">
        <f t="shared" si="70"/>
        <v>49263</v>
      </c>
      <c r="AW127" s="60">
        <f>IF($X127&lt;Input!$H$88,IF($X127&lt;Input!$G$88,IF($X127&lt;Input!$F$88,IF($X127&lt;Input!$E$88,IF($X127&lt;Input!$D$88,Input!$C$94,Input!$D$94),Input!$E$94),Input!$F$94),Input!$G$94),Input!$H$94)</f>
        <v>0</v>
      </c>
      <c r="AX127" s="190">
        <f>IF($A127&lt;Input!$H$95,IF($A127&lt;Input!$G$95,IF($A127&lt;Input!$F$95,IF($A127&lt;Input!$E$95,IF($A127&lt;Input!$D$95,Input!$C$96,Input!$D$96),Input!$E$96),Input!$F$96),Input!$G$96),Input!$H$96)</f>
        <v>0.9</v>
      </c>
      <c r="AY127" s="60">
        <f t="shared" si="53"/>
        <v>0</v>
      </c>
      <c r="AZ127" s="60">
        <f t="shared" si="71"/>
        <v>31</v>
      </c>
      <c r="BA127" s="60">
        <f t="shared" si="54"/>
        <v>0</v>
      </c>
      <c r="BB127" s="60">
        <f>ROUND(BA127*AZ127*Input!$C$3/365,0)</f>
        <v>0</v>
      </c>
      <c r="BC127" s="61">
        <f>IF($A127&lt;=Input!$C$6,0,IF('144M'!AY127&lt;'144M'!BA127,'144M'!AY127-BB127,'144M'!BA127))</f>
        <v>0</v>
      </c>
      <c r="BD127" s="61">
        <f t="shared" si="55"/>
        <v>0</v>
      </c>
      <c r="BE127" s="60">
        <f t="shared" si="56"/>
        <v>0</v>
      </c>
      <c r="BF127" s="193"/>
      <c r="BG127" s="169">
        <v>123</v>
      </c>
      <c r="BH127" s="1">
        <f t="shared" si="72"/>
        <v>49263</v>
      </c>
      <c r="BI127" s="60">
        <f>IF($X127&lt;Input!$H$103,IF($X127&lt;Input!$G$103,IF($X127&lt;Input!$F$103,IF($X127&lt;Input!$E$103,IF($X127&lt;Input!$D$103,Input!$C$109,Input!$D$109),Input!$E$109),Input!$F$109),Input!$G$109),Input!$H$109)</f>
        <v>0</v>
      </c>
      <c r="BJ127" s="190">
        <f>IF($A127&lt;Input!$H$110,IF($A127&lt;Input!$G$110,IF($A127&lt;Input!$F$110,IF($A127&lt;Input!$E$110,IF($A127&lt;Input!$D$110,Input!$C$111,Input!$D$111),Input!$E$111),Input!$F$111),Input!$G$111),Input!$H$111)</f>
        <v>0.9</v>
      </c>
      <c r="BK127" s="60">
        <f t="shared" si="57"/>
        <v>0</v>
      </c>
      <c r="BL127" s="60">
        <f t="shared" si="73"/>
        <v>31</v>
      </c>
      <c r="BM127" s="60">
        <f t="shared" si="58"/>
        <v>0</v>
      </c>
      <c r="BN127" s="60">
        <f>ROUND(BM127*BL127*Input!$C$3/365,0)</f>
        <v>0</v>
      </c>
      <c r="BO127" s="61">
        <f>IF($A127&lt;=Input!$C$6,0,IF('144M'!BK127&lt;'144M'!BM127,'144M'!BK127-BN127,'144M'!BM127))</f>
        <v>0</v>
      </c>
      <c r="BP127" s="61">
        <f t="shared" si="59"/>
        <v>0</v>
      </c>
      <c r="BQ127" s="60">
        <f t="shared" si="60"/>
        <v>0</v>
      </c>
      <c r="BR127" s="198"/>
    </row>
    <row r="128" spans="1:70" x14ac:dyDescent="0.25">
      <c r="A128" s="169">
        <v>124</v>
      </c>
      <c r="B128" s="1">
        <f t="shared" si="61"/>
        <v>49293</v>
      </c>
      <c r="C128" s="60">
        <f t="shared" si="39"/>
        <v>33127052.878124986</v>
      </c>
      <c r="D128" s="60">
        <f t="shared" si="40"/>
        <v>29814347.590312488</v>
      </c>
      <c r="E128" s="60">
        <f t="shared" si="62"/>
        <v>30</v>
      </c>
      <c r="F128" s="60">
        <f t="shared" si="63"/>
        <v>0</v>
      </c>
      <c r="G128" s="60">
        <f>ROUND(F128*E128*Input!$C$3/365,0)</f>
        <v>0</v>
      </c>
      <c r="H128" s="60">
        <f>IF($A128&lt;=Input!$C$6,0,IF('144M'!D128&lt;'144M'!F128,'144M'!D128-G128,'144M'!F128))</f>
        <v>0</v>
      </c>
      <c r="I128" s="60">
        <f t="shared" si="64"/>
        <v>0</v>
      </c>
      <c r="J128" s="60">
        <f t="shared" si="65"/>
        <v>0</v>
      </c>
      <c r="K128" s="202">
        <f>J128/Input!$K$5</f>
        <v>0</v>
      </c>
      <c r="L128" s="232"/>
      <c r="M128" s="60">
        <f>IF($B128&lt;Input!$H$43,IF($B128&lt;Input!$G$43,IF($B128&lt;Input!$F$43,IF($B128&lt;Input!$E$43,IF($B128&lt;Input!$D$43,Input!$C$49,Input!$D$49),Input!$E$49),Input!$F$49),Input!$G$49),Input!$H$49)</f>
        <v>33127052.878124986</v>
      </c>
      <c r="N128" s="190">
        <f>IF($A128&lt;Input!$H$50,IF($A128&lt;Input!$G$50,IF($A128&lt;Input!$F$50,IF($A128&lt;Input!$E$50,IF($A128&lt;Input!$D$50,Input!$C$51,Input!$D$51),Input!$E$51),Input!$F$51),Input!$G$51),Input!$H$51)</f>
        <v>0.9</v>
      </c>
      <c r="O128" s="60">
        <f t="shared" si="74"/>
        <v>29814347.590312488</v>
      </c>
      <c r="P128" s="60">
        <f t="shared" si="75"/>
        <v>30</v>
      </c>
      <c r="Q128" s="60">
        <f t="shared" si="42"/>
        <v>0</v>
      </c>
      <c r="R128" s="60">
        <f>ROUND(Q128*$P128*Input!$C$3/365,0)</f>
        <v>0</v>
      </c>
      <c r="S128" s="60">
        <f>IF(A128&lt;=Input!$C$6,0,IF('144M'!O128&lt;'144M'!Q128,'144M'!O128-R128,'144M'!Q128))</f>
        <v>0</v>
      </c>
      <c r="T128" s="60">
        <f t="shared" si="43"/>
        <v>0</v>
      </c>
      <c r="U128" s="60">
        <f t="shared" si="44"/>
        <v>0</v>
      </c>
      <c r="V128" s="193"/>
      <c r="W128" s="169">
        <v>124</v>
      </c>
      <c r="X128" s="1">
        <f t="shared" si="66"/>
        <v>49293</v>
      </c>
      <c r="Y128" s="60">
        <f>IF($X128&lt;Input!$H$58,IF($X128&lt;Input!$G$58,IF($X128&lt;Input!$F$58,IF($X128&lt;Input!$E$58,IF($X128&lt;Input!$D$58,Input!$C$64,Input!$D$64),Input!$E$64),Input!$F$64),Input!$G$64),Input!$H$64)</f>
        <v>0</v>
      </c>
      <c r="Z128" s="190">
        <f>IF($A128&lt;Input!$H$65,IF($A128&lt;Input!$G$65,IF($A128&lt;Input!$F$65,IF($A128&lt;Input!$E$65,IF($A128&lt;Input!$D$65,Input!$C$66,Input!$D$66),Input!$E$66),Input!$F$66),Input!$G$66),Input!$H$66)</f>
        <v>0.9</v>
      </c>
      <c r="AA128" s="60">
        <f t="shared" si="45"/>
        <v>0</v>
      </c>
      <c r="AB128" s="60">
        <f t="shared" si="67"/>
        <v>30</v>
      </c>
      <c r="AC128" s="60">
        <f t="shared" si="46"/>
        <v>0</v>
      </c>
      <c r="AD128" s="60">
        <f>ROUND(AC128*AB128*Input!$C$3/365,0)</f>
        <v>0</v>
      </c>
      <c r="AE128" s="61">
        <f>IF($A128&lt;=Input!$C$6,0,IF('144M'!AA128&lt;'144M'!AC128,'144M'!AA128-AD128,'144M'!AC128))</f>
        <v>0</v>
      </c>
      <c r="AF128" s="61">
        <f t="shared" si="47"/>
        <v>0</v>
      </c>
      <c r="AG128" s="60">
        <f t="shared" si="48"/>
        <v>0</v>
      </c>
      <c r="AH128" s="193"/>
      <c r="AI128" s="169">
        <v>124</v>
      </c>
      <c r="AJ128" s="1">
        <f t="shared" si="68"/>
        <v>49293</v>
      </c>
      <c r="AK128" s="60">
        <f>IF($X128&lt;Input!$H$73,IF($X128&lt;Input!$G$73,IF($X128&lt;Input!$F$73,IF($X128&lt;Input!$E$73,IF($X128&lt;Input!$D$73,Input!$C$79,Input!$D$79),Input!$E$79),Input!$F$79),Input!$G$79),Input!$H$79)</f>
        <v>0</v>
      </c>
      <c r="AL128" s="190">
        <f>IF($A128&lt;Input!$H$80,IF($A128&lt;Input!$G$80,IF($A128&lt;Input!$F$80,IF($A128&lt;Input!$E$80,IF($A128&lt;Input!$D$80,Input!$C$81,Input!$D$81),Input!$E$81),Input!$F$81),Input!$G$81),Input!$H$81)</f>
        <v>0.9</v>
      </c>
      <c r="AM128" s="60">
        <f t="shared" si="49"/>
        <v>0</v>
      </c>
      <c r="AN128" s="60">
        <f t="shared" si="69"/>
        <v>30</v>
      </c>
      <c r="AO128" s="60">
        <f t="shared" si="50"/>
        <v>0</v>
      </c>
      <c r="AP128" s="60">
        <f>ROUND(AO128*AN128*Input!$C$3/365,0)</f>
        <v>0</v>
      </c>
      <c r="AQ128" s="61">
        <f>IF($A128&lt;=Input!$C$6,0,IF('144M'!AM128&lt;'144M'!AO128,'144M'!AM128-AP128,'144M'!AO128))</f>
        <v>0</v>
      </c>
      <c r="AR128" s="61">
        <f t="shared" si="51"/>
        <v>0</v>
      </c>
      <c r="AS128" s="60">
        <f t="shared" si="52"/>
        <v>0</v>
      </c>
      <c r="AT128" s="193"/>
      <c r="AU128" s="169">
        <v>124</v>
      </c>
      <c r="AV128" s="1">
        <f t="shared" si="70"/>
        <v>49293</v>
      </c>
      <c r="AW128" s="60">
        <f>IF($X128&lt;Input!$H$88,IF($X128&lt;Input!$G$88,IF($X128&lt;Input!$F$88,IF($X128&lt;Input!$E$88,IF($X128&lt;Input!$D$88,Input!$C$94,Input!$D$94),Input!$E$94),Input!$F$94),Input!$G$94),Input!$H$94)</f>
        <v>0</v>
      </c>
      <c r="AX128" s="190">
        <f>IF($A128&lt;Input!$H$95,IF($A128&lt;Input!$G$95,IF($A128&lt;Input!$F$95,IF($A128&lt;Input!$E$95,IF($A128&lt;Input!$D$95,Input!$C$96,Input!$D$96),Input!$E$96),Input!$F$96),Input!$G$96),Input!$H$96)</f>
        <v>0.9</v>
      </c>
      <c r="AY128" s="60">
        <f t="shared" si="53"/>
        <v>0</v>
      </c>
      <c r="AZ128" s="60">
        <f t="shared" si="71"/>
        <v>30</v>
      </c>
      <c r="BA128" s="60">
        <f t="shared" si="54"/>
        <v>0</v>
      </c>
      <c r="BB128" s="60">
        <f>ROUND(BA128*AZ128*Input!$C$3/365,0)</f>
        <v>0</v>
      </c>
      <c r="BC128" s="61">
        <f>IF($A128&lt;=Input!$C$6,0,IF('144M'!AY128&lt;'144M'!BA128,'144M'!AY128-BB128,'144M'!BA128))</f>
        <v>0</v>
      </c>
      <c r="BD128" s="61">
        <f t="shared" si="55"/>
        <v>0</v>
      </c>
      <c r="BE128" s="60">
        <f t="shared" si="56"/>
        <v>0</v>
      </c>
      <c r="BF128" s="193"/>
      <c r="BG128" s="169">
        <v>124</v>
      </c>
      <c r="BH128" s="1">
        <f t="shared" si="72"/>
        <v>49293</v>
      </c>
      <c r="BI128" s="60">
        <f>IF($X128&lt;Input!$H$103,IF($X128&lt;Input!$G$103,IF($X128&lt;Input!$F$103,IF($X128&lt;Input!$E$103,IF($X128&lt;Input!$D$103,Input!$C$109,Input!$D$109),Input!$E$109),Input!$F$109),Input!$G$109),Input!$H$109)</f>
        <v>0</v>
      </c>
      <c r="BJ128" s="190">
        <f>IF($A128&lt;Input!$H$110,IF($A128&lt;Input!$G$110,IF($A128&lt;Input!$F$110,IF($A128&lt;Input!$E$110,IF($A128&lt;Input!$D$110,Input!$C$111,Input!$D$111),Input!$E$111),Input!$F$111),Input!$G$111),Input!$H$111)</f>
        <v>0.9</v>
      </c>
      <c r="BK128" s="60">
        <f t="shared" si="57"/>
        <v>0</v>
      </c>
      <c r="BL128" s="60">
        <f t="shared" si="73"/>
        <v>30</v>
      </c>
      <c r="BM128" s="60">
        <f t="shared" si="58"/>
        <v>0</v>
      </c>
      <c r="BN128" s="60">
        <f>ROUND(BM128*BL128*Input!$C$3/365,0)</f>
        <v>0</v>
      </c>
      <c r="BO128" s="61">
        <f>IF($A128&lt;=Input!$C$6,0,IF('144M'!BK128&lt;'144M'!BM128,'144M'!BK128-BN128,'144M'!BM128))</f>
        <v>0</v>
      </c>
      <c r="BP128" s="61">
        <f t="shared" si="59"/>
        <v>0</v>
      </c>
      <c r="BQ128" s="60">
        <f t="shared" si="60"/>
        <v>0</v>
      </c>
      <c r="BR128" s="198"/>
    </row>
    <row r="129" spans="1:70" x14ac:dyDescent="0.25">
      <c r="A129" s="169">
        <v>125</v>
      </c>
      <c r="B129" s="1">
        <f t="shared" si="61"/>
        <v>49324</v>
      </c>
      <c r="C129" s="60">
        <f t="shared" si="39"/>
        <v>33127052.878124986</v>
      </c>
      <c r="D129" s="60">
        <f t="shared" si="40"/>
        <v>29814347.590312488</v>
      </c>
      <c r="E129" s="60">
        <f t="shared" si="62"/>
        <v>31</v>
      </c>
      <c r="F129" s="60">
        <f t="shared" si="63"/>
        <v>0</v>
      </c>
      <c r="G129" s="60">
        <f>ROUND(F129*E129*Input!$C$3/365,0)</f>
        <v>0</v>
      </c>
      <c r="H129" s="60">
        <f>IF($A129&lt;=Input!$C$6,0,IF('144M'!D129&lt;'144M'!F129,'144M'!D129-G129,'144M'!F129))</f>
        <v>0</v>
      </c>
      <c r="I129" s="60">
        <f t="shared" si="64"/>
        <v>0</v>
      </c>
      <c r="J129" s="60">
        <f t="shared" si="65"/>
        <v>0</v>
      </c>
      <c r="K129" s="202">
        <f>J129/Input!$K$5</f>
        <v>0</v>
      </c>
      <c r="L129" s="232"/>
      <c r="M129" s="60">
        <f>IF($B129&lt;Input!$H$43,IF($B129&lt;Input!$G$43,IF($B129&lt;Input!$F$43,IF($B129&lt;Input!$E$43,IF($B129&lt;Input!$D$43,Input!$C$49,Input!$D$49),Input!$E$49),Input!$F$49),Input!$G$49),Input!$H$49)</f>
        <v>33127052.878124986</v>
      </c>
      <c r="N129" s="190">
        <f>IF($A129&lt;Input!$H$50,IF($A129&lt;Input!$G$50,IF($A129&lt;Input!$F$50,IF($A129&lt;Input!$E$50,IF($A129&lt;Input!$D$50,Input!$C$51,Input!$D$51),Input!$E$51),Input!$F$51),Input!$G$51),Input!$H$51)</f>
        <v>0.9</v>
      </c>
      <c r="O129" s="60">
        <f t="shared" si="74"/>
        <v>29814347.590312488</v>
      </c>
      <c r="P129" s="60">
        <f t="shared" si="75"/>
        <v>31</v>
      </c>
      <c r="Q129" s="60">
        <f t="shared" si="42"/>
        <v>0</v>
      </c>
      <c r="R129" s="60">
        <f>ROUND(Q129*$P129*Input!$C$3/365,0)</f>
        <v>0</v>
      </c>
      <c r="S129" s="60">
        <f>IF(A129&lt;=Input!$C$6,0,IF('144M'!O129&lt;'144M'!Q129,'144M'!O129-R129,'144M'!Q129))</f>
        <v>0</v>
      </c>
      <c r="T129" s="60">
        <f t="shared" si="43"/>
        <v>0</v>
      </c>
      <c r="U129" s="60">
        <f t="shared" si="44"/>
        <v>0</v>
      </c>
      <c r="V129" s="193"/>
      <c r="W129" s="169">
        <v>125</v>
      </c>
      <c r="X129" s="1">
        <f t="shared" si="66"/>
        <v>49324</v>
      </c>
      <c r="Y129" s="60">
        <f>IF($X129&lt;Input!$H$58,IF($X129&lt;Input!$G$58,IF($X129&lt;Input!$F$58,IF($X129&lt;Input!$E$58,IF($X129&lt;Input!$D$58,Input!$C$64,Input!$D$64),Input!$E$64),Input!$F$64),Input!$G$64),Input!$H$64)</f>
        <v>0</v>
      </c>
      <c r="Z129" s="190">
        <f>IF($A129&lt;Input!$H$65,IF($A129&lt;Input!$G$65,IF($A129&lt;Input!$F$65,IF($A129&lt;Input!$E$65,IF($A129&lt;Input!$D$65,Input!$C$66,Input!$D$66),Input!$E$66),Input!$F$66),Input!$G$66),Input!$H$66)</f>
        <v>0.9</v>
      </c>
      <c r="AA129" s="60">
        <f t="shared" si="45"/>
        <v>0</v>
      </c>
      <c r="AB129" s="60">
        <f t="shared" si="67"/>
        <v>31</v>
      </c>
      <c r="AC129" s="60">
        <f t="shared" si="46"/>
        <v>0</v>
      </c>
      <c r="AD129" s="60">
        <f>ROUND(AC129*AB129*Input!$C$3/365,0)</f>
        <v>0</v>
      </c>
      <c r="AE129" s="61">
        <f>IF($A129&lt;=Input!$C$6,0,IF('144M'!AA129&lt;'144M'!AC129,'144M'!AA129-AD129,'144M'!AC129))</f>
        <v>0</v>
      </c>
      <c r="AF129" s="61">
        <f t="shared" si="47"/>
        <v>0</v>
      </c>
      <c r="AG129" s="60">
        <f t="shared" si="48"/>
        <v>0</v>
      </c>
      <c r="AH129" s="193"/>
      <c r="AI129" s="169">
        <v>125</v>
      </c>
      <c r="AJ129" s="1">
        <f t="shared" si="68"/>
        <v>49324</v>
      </c>
      <c r="AK129" s="60">
        <f>IF($X129&lt;Input!$H$73,IF($X129&lt;Input!$G$73,IF($X129&lt;Input!$F$73,IF($X129&lt;Input!$E$73,IF($X129&lt;Input!$D$73,Input!$C$79,Input!$D$79),Input!$E$79),Input!$F$79),Input!$G$79),Input!$H$79)</f>
        <v>0</v>
      </c>
      <c r="AL129" s="190">
        <f>IF($A129&lt;Input!$H$80,IF($A129&lt;Input!$G$80,IF($A129&lt;Input!$F$80,IF($A129&lt;Input!$E$80,IF($A129&lt;Input!$D$80,Input!$C$81,Input!$D$81),Input!$E$81),Input!$F$81),Input!$G$81),Input!$H$81)</f>
        <v>0.9</v>
      </c>
      <c r="AM129" s="60">
        <f t="shared" si="49"/>
        <v>0</v>
      </c>
      <c r="AN129" s="60">
        <f t="shared" si="69"/>
        <v>31</v>
      </c>
      <c r="AO129" s="60">
        <f t="shared" si="50"/>
        <v>0</v>
      </c>
      <c r="AP129" s="60">
        <f>ROUND(AO129*AN129*Input!$C$3/365,0)</f>
        <v>0</v>
      </c>
      <c r="AQ129" s="61">
        <f>IF($A129&lt;=Input!$C$6,0,IF('144M'!AM129&lt;'144M'!AO129,'144M'!AM129-AP129,'144M'!AO129))</f>
        <v>0</v>
      </c>
      <c r="AR129" s="61">
        <f t="shared" si="51"/>
        <v>0</v>
      </c>
      <c r="AS129" s="60">
        <f t="shared" si="52"/>
        <v>0</v>
      </c>
      <c r="AT129" s="193"/>
      <c r="AU129" s="169">
        <v>125</v>
      </c>
      <c r="AV129" s="1">
        <f t="shared" si="70"/>
        <v>49324</v>
      </c>
      <c r="AW129" s="60">
        <f>IF($X129&lt;Input!$H$88,IF($X129&lt;Input!$G$88,IF($X129&lt;Input!$F$88,IF($X129&lt;Input!$E$88,IF($X129&lt;Input!$D$88,Input!$C$94,Input!$D$94),Input!$E$94),Input!$F$94),Input!$G$94),Input!$H$94)</f>
        <v>0</v>
      </c>
      <c r="AX129" s="190">
        <f>IF($A129&lt;Input!$H$95,IF($A129&lt;Input!$G$95,IF($A129&lt;Input!$F$95,IF($A129&lt;Input!$E$95,IF($A129&lt;Input!$D$95,Input!$C$96,Input!$D$96),Input!$E$96),Input!$F$96),Input!$G$96),Input!$H$96)</f>
        <v>0.9</v>
      </c>
      <c r="AY129" s="60">
        <f t="shared" si="53"/>
        <v>0</v>
      </c>
      <c r="AZ129" s="60">
        <f t="shared" si="71"/>
        <v>31</v>
      </c>
      <c r="BA129" s="60">
        <f t="shared" si="54"/>
        <v>0</v>
      </c>
      <c r="BB129" s="60">
        <f>ROUND(BA129*AZ129*Input!$C$3/365,0)</f>
        <v>0</v>
      </c>
      <c r="BC129" s="61">
        <f>IF($A129&lt;=Input!$C$6,0,IF('144M'!AY129&lt;'144M'!BA129,'144M'!AY129-BB129,'144M'!BA129))</f>
        <v>0</v>
      </c>
      <c r="BD129" s="61">
        <f t="shared" si="55"/>
        <v>0</v>
      </c>
      <c r="BE129" s="60">
        <f t="shared" si="56"/>
        <v>0</v>
      </c>
      <c r="BF129" s="193"/>
      <c r="BG129" s="169">
        <v>125</v>
      </c>
      <c r="BH129" s="1">
        <f t="shared" si="72"/>
        <v>49324</v>
      </c>
      <c r="BI129" s="60">
        <f>IF($X129&lt;Input!$H$103,IF($X129&lt;Input!$G$103,IF($X129&lt;Input!$F$103,IF($X129&lt;Input!$E$103,IF($X129&lt;Input!$D$103,Input!$C$109,Input!$D$109),Input!$E$109),Input!$F$109),Input!$G$109),Input!$H$109)</f>
        <v>0</v>
      </c>
      <c r="BJ129" s="190">
        <f>IF($A129&lt;Input!$H$110,IF($A129&lt;Input!$G$110,IF($A129&lt;Input!$F$110,IF($A129&lt;Input!$E$110,IF($A129&lt;Input!$D$110,Input!$C$111,Input!$D$111),Input!$E$111),Input!$F$111),Input!$G$111),Input!$H$111)</f>
        <v>0.9</v>
      </c>
      <c r="BK129" s="60">
        <f t="shared" si="57"/>
        <v>0</v>
      </c>
      <c r="BL129" s="60">
        <f t="shared" si="73"/>
        <v>31</v>
      </c>
      <c r="BM129" s="60">
        <f t="shared" si="58"/>
        <v>0</v>
      </c>
      <c r="BN129" s="60">
        <f>ROUND(BM129*BL129*Input!$C$3/365,0)</f>
        <v>0</v>
      </c>
      <c r="BO129" s="61">
        <f>IF($A129&lt;=Input!$C$6,0,IF('144M'!BK129&lt;'144M'!BM129,'144M'!BK129-BN129,'144M'!BM129))</f>
        <v>0</v>
      </c>
      <c r="BP129" s="61">
        <f t="shared" si="59"/>
        <v>0</v>
      </c>
      <c r="BQ129" s="60">
        <f t="shared" si="60"/>
        <v>0</v>
      </c>
      <c r="BR129" s="198"/>
    </row>
    <row r="130" spans="1:70" x14ac:dyDescent="0.25">
      <c r="A130" s="169">
        <v>126</v>
      </c>
      <c r="B130" s="1">
        <f t="shared" si="61"/>
        <v>49355</v>
      </c>
      <c r="C130" s="60">
        <f t="shared" si="39"/>
        <v>33127052.878124986</v>
      </c>
      <c r="D130" s="60">
        <f t="shared" si="40"/>
        <v>29814347.590312488</v>
      </c>
      <c r="E130" s="60">
        <f t="shared" si="62"/>
        <v>31</v>
      </c>
      <c r="F130" s="60">
        <f t="shared" si="63"/>
        <v>0</v>
      </c>
      <c r="G130" s="60">
        <f>ROUND(F130*E130*Input!$C$3/365,0)</f>
        <v>0</v>
      </c>
      <c r="H130" s="60">
        <f>IF($A130&lt;=Input!$C$6,0,IF('144M'!D130&lt;'144M'!F130,'144M'!D130-G130,'144M'!F130))</f>
        <v>0</v>
      </c>
      <c r="I130" s="60">
        <f t="shared" si="64"/>
        <v>0</v>
      </c>
      <c r="J130" s="60">
        <f t="shared" si="65"/>
        <v>0</v>
      </c>
      <c r="K130" s="202">
        <f>J130/Input!$K$5</f>
        <v>0</v>
      </c>
      <c r="L130" s="232"/>
      <c r="M130" s="60">
        <f>IF($B130&lt;Input!$H$43,IF($B130&lt;Input!$G$43,IF($B130&lt;Input!$F$43,IF($B130&lt;Input!$E$43,IF($B130&lt;Input!$D$43,Input!$C$49,Input!$D$49),Input!$E$49),Input!$F$49),Input!$G$49),Input!$H$49)</f>
        <v>33127052.878124986</v>
      </c>
      <c r="N130" s="190">
        <f>IF($A130&lt;Input!$H$50,IF($A130&lt;Input!$G$50,IF($A130&lt;Input!$F$50,IF($A130&lt;Input!$E$50,IF($A130&lt;Input!$D$50,Input!$C$51,Input!$D$51),Input!$E$51),Input!$F$51),Input!$G$51),Input!$H$51)</f>
        <v>0.9</v>
      </c>
      <c r="O130" s="60">
        <f t="shared" si="74"/>
        <v>29814347.590312488</v>
      </c>
      <c r="P130" s="60">
        <f t="shared" si="75"/>
        <v>31</v>
      </c>
      <c r="Q130" s="60">
        <f t="shared" si="42"/>
        <v>0</v>
      </c>
      <c r="R130" s="60">
        <f>ROUND(Q130*$P130*Input!$C$3/365,0)</f>
        <v>0</v>
      </c>
      <c r="S130" s="60">
        <f>IF(A130&lt;=Input!$C$6,0,IF('144M'!O130&lt;'144M'!Q130,'144M'!O130-R130,'144M'!Q130))</f>
        <v>0</v>
      </c>
      <c r="T130" s="60">
        <f t="shared" si="43"/>
        <v>0</v>
      </c>
      <c r="U130" s="60">
        <f t="shared" si="44"/>
        <v>0</v>
      </c>
      <c r="V130" s="193"/>
      <c r="W130" s="169">
        <v>126</v>
      </c>
      <c r="X130" s="1">
        <f t="shared" si="66"/>
        <v>49355</v>
      </c>
      <c r="Y130" s="60">
        <f>IF($X130&lt;Input!$H$58,IF($X130&lt;Input!$G$58,IF($X130&lt;Input!$F$58,IF($X130&lt;Input!$E$58,IF($X130&lt;Input!$D$58,Input!$C$64,Input!$D$64),Input!$E$64),Input!$F$64),Input!$G$64),Input!$H$64)</f>
        <v>0</v>
      </c>
      <c r="Z130" s="190">
        <f>IF($A130&lt;Input!$H$65,IF($A130&lt;Input!$G$65,IF($A130&lt;Input!$F$65,IF($A130&lt;Input!$E$65,IF($A130&lt;Input!$D$65,Input!$C$66,Input!$D$66),Input!$E$66),Input!$F$66),Input!$G$66),Input!$H$66)</f>
        <v>0.9</v>
      </c>
      <c r="AA130" s="60">
        <f t="shared" si="45"/>
        <v>0</v>
      </c>
      <c r="AB130" s="60">
        <f t="shared" si="67"/>
        <v>31</v>
      </c>
      <c r="AC130" s="60">
        <f t="shared" si="46"/>
        <v>0</v>
      </c>
      <c r="AD130" s="60">
        <f>ROUND(AC130*AB130*Input!$C$3/365,0)</f>
        <v>0</v>
      </c>
      <c r="AE130" s="61">
        <f>IF($A130&lt;=Input!$C$6,0,IF('144M'!AA130&lt;'144M'!AC130,'144M'!AA130-AD130,'144M'!AC130))</f>
        <v>0</v>
      </c>
      <c r="AF130" s="61">
        <f t="shared" si="47"/>
        <v>0</v>
      </c>
      <c r="AG130" s="60">
        <f t="shared" si="48"/>
        <v>0</v>
      </c>
      <c r="AH130" s="193"/>
      <c r="AI130" s="169">
        <v>126</v>
      </c>
      <c r="AJ130" s="1">
        <f t="shared" si="68"/>
        <v>49355</v>
      </c>
      <c r="AK130" s="60">
        <f>IF($X130&lt;Input!$H$73,IF($X130&lt;Input!$G$73,IF($X130&lt;Input!$F$73,IF($X130&lt;Input!$E$73,IF($X130&lt;Input!$D$73,Input!$C$79,Input!$D$79),Input!$E$79),Input!$F$79),Input!$G$79),Input!$H$79)</f>
        <v>0</v>
      </c>
      <c r="AL130" s="190">
        <f>IF($A130&lt;Input!$H$80,IF($A130&lt;Input!$G$80,IF($A130&lt;Input!$F$80,IF($A130&lt;Input!$E$80,IF($A130&lt;Input!$D$80,Input!$C$81,Input!$D$81),Input!$E$81),Input!$F$81),Input!$G$81),Input!$H$81)</f>
        <v>0.9</v>
      </c>
      <c r="AM130" s="60">
        <f t="shared" si="49"/>
        <v>0</v>
      </c>
      <c r="AN130" s="60">
        <f t="shared" si="69"/>
        <v>31</v>
      </c>
      <c r="AO130" s="60">
        <f t="shared" si="50"/>
        <v>0</v>
      </c>
      <c r="AP130" s="60">
        <f>ROUND(AO130*AN130*Input!$C$3/365,0)</f>
        <v>0</v>
      </c>
      <c r="AQ130" s="61">
        <f>IF($A130&lt;=Input!$C$6,0,IF('144M'!AM130&lt;'144M'!AO130,'144M'!AM130-AP130,'144M'!AO130))</f>
        <v>0</v>
      </c>
      <c r="AR130" s="61">
        <f t="shared" si="51"/>
        <v>0</v>
      </c>
      <c r="AS130" s="60">
        <f t="shared" si="52"/>
        <v>0</v>
      </c>
      <c r="AT130" s="193"/>
      <c r="AU130" s="169">
        <v>126</v>
      </c>
      <c r="AV130" s="1">
        <f t="shared" si="70"/>
        <v>49355</v>
      </c>
      <c r="AW130" s="60">
        <f>IF($X130&lt;Input!$H$88,IF($X130&lt;Input!$G$88,IF($X130&lt;Input!$F$88,IF($X130&lt;Input!$E$88,IF($X130&lt;Input!$D$88,Input!$C$94,Input!$D$94),Input!$E$94),Input!$F$94),Input!$G$94),Input!$H$94)</f>
        <v>0</v>
      </c>
      <c r="AX130" s="190">
        <f>IF($A130&lt;Input!$H$95,IF($A130&lt;Input!$G$95,IF($A130&lt;Input!$F$95,IF($A130&lt;Input!$E$95,IF($A130&lt;Input!$D$95,Input!$C$96,Input!$D$96),Input!$E$96),Input!$F$96),Input!$G$96),Input!$H$96)</f>
        <v>0.9</v>
      </c>
      <c r="AY130" s="60">
        <f t="shared" si="53"/>
        <v>0</v>
      </c>
      <c r="AZ130" s="60">
        <f t="shared" si="71"/>
        <v>31</v>
      </c>
      <c r="BA130" s="60">
        <f t="shared" si="54"/>
        <v>0</v>
      </c>
      <c r="BB130" s="60">
        <f>ROUND(BA130*AZ130*Input!$C$3/365,0)</f>
        <v>0</v>
      </c>
      <c r="BC130" s="61">
        <f>IF($A130&lt;=Input!$C$6,0,IF('144M'!AY130&lt;'144M'!BA130,'144M'!AY130-BB130,'144M'!BA130))</f>
        <v>0</v>
      </c>
      <c r="BD130" s="61">
        <f t="shared" si="55"/>
        <v>0</v>
      </c>
      <c r="BE130" s="60">
        <f t="shared" si="56"/>
        <v>0</v>
      </c>
      <c r="BF130" s="193"/>
      <c r="BG130" s="169">
        <v>126</v>
      </c>
      <c r="BH130" s="1">
        <f t="shared" si="72"/>
        <v>49355</v>
      </c>
      <c r="BI130" s="60">
        <f>IF($X130&lt;Input!$H$103,IF($X130&lt;Input!$G$103,IF($X130&lt;Input!$F$103,IF($X130&lt;Input!$E$103,IF($X130&lt;Input!$D$103,Input!$C$109,Input!$D$109),Input!$E$109),Input!$F$109),Input!$G$109),Input!$H$109)</f>
        <v>0</v>
      </c>
      <c r="BJ130" s="190">
        <f>IF($A130&lt;Input!$H$110,IF($A130&lt;Input!$G$110,IF($A130&lt;Input!$F$110,IF($A130&lt;Input!$E$110,IF($A130&lt;Input!$D$110,Input!$C$111,Input!$D$111),Input!$E$111),Input!$F$111),Input!$G$111),Input!$H$111)</f>
        <v>0.9</v>
      </c>
      <c r="BK130" s="60">
        <f t="shared" si="57"/>
        <v>0</v>
      </c>
      <c r="BL130" s="60">
        <f t="shared" si="73"/>
        <v>31</v>
      </c>
      <c r="BM130" s="60">
        <f t="shared" si="58"/>
        <v>0</v>
      </c>
      <c r="BN130" s="60">
        <f>ROUND(BM130*BL130*Input!$C$3/365,0)</f>
        <v>0</v>
      </c>
      <c r="BO130" s="61">
        <f>IF($A130&lt;=Input!$C$6,0,IF('144M'!BK130&lt;'144M'!BM130,'144M'!BK130-BN130,'144M'!BM130))</f>
        <v>0</v>
      </c>
      <c r="BP130" s="61">
        <f t="shared" si="59"/>
        <v>0</v>
      </c>
      <c r="BQ130" s="60">
        <f t="shared" si="60"/>
        <v>0</v>
      </c>
      <c r="BR130" s="198"/>
    </row>
    <row r="131" spans="1:70" x14ac:dyDescent="0.25">
      <c r="A131" s="169">
        <v>127</v>
      </c>
      <c r="B131" s="1">
        <f t="shared" si="61"/>
        <v>49383</v>
      </c>
      <c r="C131" s="60">
        <f t="shared" si="39"/>
        <v>33127052.878124986</v>
      </c>
      <c r="D131" s="60">
        <f t="shared" si="40"/>
        <v>29814347.590312488</v>
      </c>
      <c r="E131" s="60">
        <f t="shared" si="62"/>
        <v>28</v>
      </c>
      <c r="F131" s="60">
        <f t="shared" si="63"/>
        <v>0</v>
      </c>
      <c r="G131" s="60">
        <f>ROUND(F131*E131*Input!$C$3/365,0)</f>
        <v>0</v>
      </c>
      <c r="H131" s="60">
        <f>IF($A131&lt;=Input!$C$6,0,IF('144M'!D131&lt;'144M'!F131,'144M'!D131-G131,'144M'!F131))</f>
        <v>0</v>
      </c>
      <c r="I131" s="60">
        <f t="shared" si="64"/>
        <v>0</v>
      </c>
      <c r="J131" s="60">
        <f t="shared" si="65"/>
        <v>0</v>
      </c>
      <c r="K131" s="202">
        <f>J131/Input!$K$5</f>
        <v>0</v>
      </c>
      <c r="L131" s="232"/>
      <c r="M131" s="60">
        <f>IF($B131&lt;Input!$H$43,IF($B131&lt;Input!$G$43,IF($B131&lt;Input!$F$43,IF($B131&lt;Input!$E$43,IF($B131&lt;Input!$D$43,Input!$C$49,Input!$D$49),Input!$E$49),Input!$F$49),Input!$G$49),Input!$H$49)</f>
        <v>33127052.878124986</v>
      </c>
      <c r="N131" s="190">
        <f>IF($A131&lt;Input!$H$50,IF($A131&lt;Input!$G$50,IF($A131&lt;Input!$F$50,IF($A131&lt;Input!$E$50,IF($A131&lt;Input!$D$50,Input!$C$51,Input!$D$51),Input!$E$51),Input!$F$51),Input!$G$51),Input!$H$51)</f>
        <v>0.9</v>
      </c>
      <c r="O131" s="60">
        <f t="shared" si="74"/>
        <v>29814347.590312488</v>
      </c>
      <c r="P131" s="60">
        <f t="shared" si="75"/>
        <v>28</v>
      </c>
      <c r="Q131" s="60">
        <f t="shared" si="42"/>
        <v>0</v>
      </c>
      <c r="R131" s="60">
        <f>ROUND(Q131*$P131*Input!$C$3/365,0)</f>
        <v>0</v>
      </c>
      <c r="S131" s="60">
        <f>IF(A131&lt;=Input!$C$6,0,IF('144M'!O131&lt;'144M'!Q131,'144M'!O131-R131,'144M'!Q131))</f>
        <v>0</v>
      </c>
      <c r="T131" s="60">
        <f t="shared" si="43"/>
        <v>0</v>
      </c>
      <c r="U131" s="60">
        <f t="shared" si="44"/>
        <v>0</v>
      </c>
      <c r="V131" s="193"/>
      <c r="W131" s="169">
        <v>127</v>
      </c>
      <c r="X131" s="1">
        <f t="shared" si="66"/>
        <v>49383</v>
      </c>
      <c r="Y131" s="60">
        <f>IF($X131&lt;Input!$H$58,IF($X131&lt;Input!$G$58,IF($X131&lt;Input!$F$58,IF($X131&lt;Input!$E$58,IF($X131&lt;Input!$D$58,Input!$C$64,Input!$D$64),Input!$E$64),Input!$F$64),Input!$G$64),Input!$H$64)</f>
        <v>0</v>
      </c>
      <c r="Z131" s="190">
        <f>IF($A131&lt;Input!$H$65,IF($A131&lt;Input!$G$65,IF($A131&lt;Input!$F$65,IF($A131&lt;Input!$E$65,IF($A131&lt;Input!$D$65,Input!$C$66,Input!$D$66),Input!$E$66),Input!$F$66),Input!$G$66),Input!$H$66)</f>
        <v>0.9</v>
      </c>
      <c r="AA131" s="60">
        <f t="shared" si="45"/>
        <v>0</v>
      </c>
      <c r="AB131" s="60">
        <f t="shared" si="67"/>
        <v>28</v>
      </c>
      <c r="AC131" s="60">
        <f t="shared" si="46"/>
        <v>0</v>
      </c>
      <c r="AD131" s="60">
        <f>ROUND(AC131*AB131*Input!$C$3/365,0)</f>
        <v>0</v>
      </c>
      <c r="AE131" s="61">
        <f>IF($A131&lt;=Input!$C$6,0,IF('144M'!AA131&lt;'144M'!AC131,'144M'!AA131-AD131,'144M'!AC131))</f>
        <v>0</v>
      </c>
      <c r="AF131" s="61">
        <f t="shared" si="47"/>
        <v>0</v>
      </c>
      <c r="AG131" s="60">
        <f t="shared" si="48"/>
        <v>0</v>
      </c>
      <c r="AH131" s="193"/>
      <c r="AI131" s="169">
        <v>127</v>
      </c>
      <c r="AJ131" s="1">
        <f t="shared" si="68"/>
        <v>49383</v>
      </c>
      <c r="AK131" s="60">
        <f>IF($X131&lt;Input!$H$73,IF($X131&lt;Input!$G$73,IF($X131&lt;Input!$F$73,IF($X131&lt;Input!$E$73,IF($X131&lt;Input!$D$73,Input!$C$79,Input!$D$79),Input!$E$79),Input!$F$79),Input!$G$79),Input!$H$79)</f>
        <v>0</v>
      </c>
      <c r="AL131" s="190">
        <f>IF($A131&lt;Input!$H$80,IF($A131&lt;Input!$G$80,IF($A131&lt;Input!$F$80,IF($A131&lt;Input!$E$80,IF($A131&lt;Input!$D$80,Input!$C$81,Input!$D$81),Input!$E$81),Input!$F$81),Input!$G$81),Input!$H$81)</f>
        <v>0.9</v>
      </c>
      <c r="AM131" s="60">
        <f t="shared" si="49"/>
        <v>0</v>
      </c>
      <c r="AN131" s="60">
        <f t="shared" si="69"/>
        <v>28</v>
      </c>
      <c r="AO131" s="60">
        <f t="shared" si="50"/>
        <v>0</v>
      </c>
      <c r="AP131" s="60">
        <f>ROUND(AO131*AN131*Input!$C$3/365,0)</f>
        <v>0</v>
      </c>
      <c r="AQ131" s="61">
        <f>IF($A131&lt;=Input!$C$6,0,IF('144M'!AM131&lt;'144M'!AO131,'144M'!AM131-AP131,'144M'!AO131))</f>
        <v>0</v>
      </c>
      <c r="AR131" s="61">
        <f t="shared" si="51"/>
        <v>0</v>
      </c>
      <c r="AS131" s="60">
        <f t="shared" si="52"/>
        <v>0</v>
      </c>
      <c r="AT131" s="193"/>
      <c r="AU131" s="169">
        <v>127</v>
      </c>
      <c r="AV131" s="1">
        <f t="shared" si="70"/>
        <v>49383</v>
      </c>
      <c r="AW131" s="60">
        <f>IF($X131&lt;Input!$H$88,IF($X131&lt;Input!$G$88,IF($X131&lt;Input!$F$88,IF($X131&lt;Input!$E$88,IF($X131&lt;Input!$D$88,Input!$C$94,Input!$D$94),Input!$E$94),Input!$F$94),Input!$G$94),Input!$H$94)</f>
        <v>0</v>
      </c>
      <c r="AX131" s="190">
        <f>IF($A131&lt;Input!$H$95,IF($A131&lt;Input!$G$95,IF($A131&lt;Input!$F$95,IF($A131&lt;Input!$E$95,IF($A131&lt;Input!$D$95,Input!$C$96,Input!$D$96),Input!$E$96),Input!$F$96),Input!$G$96),Input!$H$96)</f>
        <v>0.9</v>
      </c>
      <c r="AY131" s="60">
        <f t="shared" si="53"/>
        <v>0</v>
      </c>
      <c r="AZ131" s="60">
        <f t="shared" si="71"/>
        <v>28</v>
      </c>
      <c r="BA131" s="60">
        <f t="shared" si="54"/>
        <v>0</v>
      </c>
      <c r="BB131" s="60">
        <f>ROUND(BA131*AZ131*Input!$C$3/365,0)</f>
        <v>0</v>
      </c>
      <c r="BC131" s="61">
        <f>IF($A131&lt;=Input!$C$6,0,IF('144M'!AY131&lt;'144M'!BA131,'144M'!AY131-BB131,'144M'!BA131))</f>
        <v>0</v>
      </c>
      <c r="BD131" s="61">
        <f t="shared" si="55"/>
        <v>0</v>
      </c>
      <c r="BE131" s="60">
        <f t="shared" si="56"/>
        <v>0</v>
      </c>
      <c r="BF131" s="193"/>
      <c r="BG131" s="169">
        <v>127</v>
      </c>
      <c r="BH131" s="1">
        <f t="shared" si="72"/>
        <v>49383</v>
      </c>
      <c r="BI131" s="60">
        <f>IF($X131&lt;Input!$H$103,IF($X131&lt;Input!$G$103,IF($X131&lt;Input!$F$103,IF($X131&lt;Input!$E$103,IF($X131&lt;Input!$D$103,Input!$C$109,Input!$D$109),Input!$E$109),Input!$F$109),Input!$G$109),Input!$H$109)</f>
        <v>0</v>
      </c>
      <c r="BJ131" s="190">
        <f>IF($A131&lt;Input!$H$110,IF($A131&lt;Input!$G$110,IF($A131&lt;Input!$F$110,IF($A131&lt;Input!$E$110,IF($A131&lt;Input!$D$110,Input!$C$111,Input!$D$111),Input!$E$111),Input!$F$111),Input!$G$111),Input!$H$111)</f>
        <v>0.9</v>
      </c>
      <c r="BK131" s="60">
        <f t="shared" si="57"/>
        <v>0</v>
      </c>
      <c r="BL131" s="60">
        <f t="shared" si="73"/>
        <v>28</v>
      </c>
      <c r="BM131" s="60">
        <f t="shared" si="58"/>
        <v>0</v>
      </c>
      <c r="BN131" s="60">
        <f>ROUND(BM131*BL131*Input!$C$3/365,0)</f>
        <v>0</v>
      </c>
      <c r="BO131" s="61">
        <f>IF($A131&lt;=Input!$C$6,0,IF('144M'!BK131&lt;'144M'!BM131,'144M'!BK131-BN131,'144M'!BM131))</f>
        <v>0</v>
      </c>
      <c r="BP131" s="61">
        <f t="shared" si="59"/>
        <v>0</v>
      </c>
      <c r="BQ131" s="60">
        <f t="shared" si="60"/>
        <v>0</v>
      </c>
      <c r="BR131" s="198"/>
    </row>
    <row r="132" spans="1:70" x14ac:dyDescent="0.25">
      <c r="A132" s="169">
        <v>128</v>
      </c>
      <c r="B132" s="1">
        <f t="shared" si="61"/>
        <v>49414</v>
      </c>
      <c r="C132" s="60">
        <f t="shared" si="39"/>
        <v>33127052.878124986</v>
      </c>
      <c r="D132" s="60">
        <f t="shared" si="40"/>
        <v>29814347.590312488</v>
      </c>
      <c r="E132" s="60">
        <f t="shared" si="62"/>
        <v>31</v>
      </c>
      <c r="F132" s="60">
        <f t="shared" si="63"/>
        <v>0</v>
      </c>
      <c r="G132" s="60">
        <f>ROUND(F132*E132*Input!$C$3/365,0)</f>
        <v>0</v>
      </c>
      <c r="H132" s="60">
        <f>IF($A132&lt;=Input!$C$6,0,IF('144M'!D132&lt;'144M'!F132,'144M'!D132-G132,'144M'!F132))</f>
        <v>0</v>
      </c>
      <c r="I132" s="60">
        <f t="shared" si="64"/>
        <v>0</v>
      </c>
      <c r="J132" s="60">
        <f t="shared" si="65"/>
        <v>0</v>
      </c>
      <c r="K132" s="202">
        <f>J132/Input!$K$5</f>
        <v>0</v>
      </c>
      <c r="L132" s="232"/>
      <c r="M132" s="60">
        <f>IF($B132&lt;Input!$H$43,IF($B132&lt;Input!$G$43,IF($B132&lt;Input!$F$43,IF($B132&lt;Input!$E$43,IF($B132&lt;Input!$D$43,Input!$C$49,Input!$D$49),Input!$E$49),Input!$F$49),Input!$G$49),Input!$H$49)</f>
        <v>33127052.878124986</v>
      </c>
      <c r="N132" s="190">
        <f>IF($A132&lt;Input!$H$50,IF($A132&lt;Input!$G$50,IF($A132&lt;Input!$F$50,IF($A132&lt;Input!$E$50,IF($A132&lt;Input!$D$50,Input!$C$51,Input!$D$51),Input!$E$51),Input!$F$51),Input!$G$51),Input!$H$51)</f>
        <v>0.9</v>
      </c>
      <c r="O132" s="60">
        <f t="shared" ref="O132:O163" si="76">M132*N132</f>
        <v>29814347.590312488</v>
      </c>
      <c r="P132" s="60">
        <f t="shared" si="75"/>
        <v>31</v>
      </c>
      <c r="Q132" s="60">
        <f t="shared" si="42"/>
        <v>0</v>
      </c>
      <c r="R132" s="60">
        <f>ROUND(Q132*$P132*Input!$C$3/365,0)</f>
        <v>0</v>
      </c>
      <c r="S132" s="60">
        <f>IF(A132&lt;=Input!$C$6,0,IF('144M'!O132&lt;'144M'!Q132,'144M'!O132-R132,'144M'!Q132))</f>
        <v>0</v>
      </c>
      <c r="T132" s="60">
        <f t="shared" si="43"/>
        <v>0</v>
      </c>
      <c r="U132" s="60">
        <f t="shared" si="44"/>
        <v>0</v>
      </c>
      <c r="V132" s="193"/>
      <c r="W132" s="169">
        <v>128</v>
      </c>
      <c r="X132" s="1">
        <f t="shared" si="66"/>
        <v>49414</v>
      </c>
      <c r="Y132" s="60">
        <f>IF($X132&lt;Input!$H$58,IF($X132&lt;Input!$G$58,IF($X132&lt;Input!$F$58,IF($X132&lt;Input!$E$58,IF($X132&lt;Input!$D$58,Input!$C$64,Input!$D$64),Input!$E$64),Input!$F$64),Input!$G$64),Input!$H$64)</f>
        <v>0</v>
      </c>
      <c r="Z132" s="190">
        <f>IF($A132&lt;Input!$H$65,IF($A132&lt;Input!$G$65,IF($A132&lt;Input!$F$65,IF($A132&lt;Input!$E$65,IF($A132&lt;Input!$D$65,Input!$C$66,Input!$D$66),Input!$E$66),Input!$F$66),Input!$G$66),Input!$H$66)</f>
        <v>0.9</v>
      </c>
      <c r="AA132" s="60">
        <f t="shared" si="45"/>
        <v>0</v>
      </c>
      <c r="AB132" s="60">
        <f t="shared" si="67"/>
        <v>31</v>
      </c>
      <c r="AC132" s="60">
        <f t="shared" si="46"/>
        <v>0</v>
      </c>
      <c r="AD132" s="60">
        <f>ROUND(AC132*AB132*Input!$C$3/365,0)</f>
        <v>0</v>
      </c>
      <c r="AE132" s="61">
        <f>IF($A132&lt;=Input!$C$6,0,IF('144M'!AA132&lt;'144M'!AC132,'144M'!AA132-AD132,'144M'!AC132))</f>
        <v>0</v>
      </c>
      <c r="AF132" s="61">
        <f t="shared" si="47"/>
        <v>0</v>
      </c>
      <c r="AG132" s="60">
        <f t="shared" si="48"/>
        <v>0</v>
      </c>
      <c r="AH132" s="193"/>
      <c r="AI132" s="169">
        <v>128</v>
      </c>
      <c r="AJ132" s="1">
        <f t="shared" si="68"/>
        <v>49414</v>
      </c>
      <c r="AK132" s="60">
        <f>IF($X132&lt;Input!$H$73,IF($X132&lt;Input!$G$73,IF($X132&lt;Input!$F$73,IF($X132&lt;Input!$E$73,IF($X132&lt;Input!$D$73,Input!$C$79,Input!$D$79),Input!$E$79),Input!$F$79),Input!$G$79),Input!$H$79)</f>
        <v>0</v>
      </c>
      <c r="AL132" s="190">
        <f>IF($A132&lt;Input!$H$80,IF($A132&lt;Input!$G$80,IF($A132&lt;Input!$F$80,IF($A132&lt;Input!$E$80,IF($A132&lt;Input!$D$80,Input!$C$81,Input!$D$81),Input!$E$81),Input!$F$81),Input!$G$81),Input!$H$81)</f>
        <v>0.9</v>
      </c>
      <c r="AM132" s="60">
        <f t="shared" si="49"/>
        <v>0</v>
      </c>
      <c r="AN132" s="60">
        <f t="shared" si="69"/>
        <v>31</v>
      </c>
      <c r="AO132" s="60">
        <f t="shared" si="50"/>
        <v>0</v>
      </c>
      <c r="AP132" s="60">
        <f>ROUND(AO132*AN132*Input!$C$3/365,0)</f>
        <v>0</v>
      </c>
      <c r="AQ132" s="61">
        <f>IF($A132&lt;=Input!$C$6,0,IF('144M'!AM132&lt;'144M'!AO132,'144M'!AM132-AP132,'144M'!AO132))</f>
        <v>0</v>
      </c>
      <c r="AR132" s="61">
        <f t="shared" si="51"/>
        <v>0</v>
      </c>
      <c r="AS132" s="60">
        <f t="shared" si="52"/>
        <v>0</v>
      </c>
      <c r="AT132" s="193"/>
      <c r="AU132" s="169">
        <v>128</v>
      </c>
      <c r="AV132" s="1">
        <f t="shared" si="70"/>
        <v>49414</v>
      </c>
      <c r="AW132" s="60">
        <f>IF($X132&lt;Input!$H$88,IF($X132&lt;Input!$G$88,IF($X132&lt;Input!$F$88,IF($X132&lt;Input!$E$88,IF($X132&lt;Input!$D$88,Input!$C$94,Input!$D$94),Input!$E$94),Input!$F$94),Input!$G$94),Input!$H$94)</f>
        <v>0</v>
      </c>
      <c r="AX132" s="190">
        <f>IF($A132&lt;Input!$H$95,IF($A132&lt;Input!$G$95,IF($A132&lt;Input!$F$95,IF($A132&lt;Input!$E$95,IF($A132&lt;Input!$D$95,Input!$C$96,Input!$D$96),Input!$E$96),Input!$F$96),Input!$G$96),Input!$H$96)</f>
        <v>0.9</v>
      </c>
      <c r="AY132" s="60">
        <f t="shared" si="53"/>
        <v>0</v>
      </c>
      <c r="AZ132" s="60">
        <f t="shared" si="71"/>
        <v>31</v>
      </c>
      <c r="BA132" s="60">
        <f t="shared" si="54"/>
        <v>0</v>
      </c>
      <c r="BB132" s="60">
        <f>ROUND(BA132*AZ132*Input!$C$3/365,0)</f>
        <v>0</v>
      </c>
      <c r="BC132" s="61">
        <f>IF($A132&lt;=Input!$C$6,0,IF('144M'!AY132&lt;'144M'!BA132,'144M'!AY132-BB132,'144M'!BA132))</f>
        <v>0</v>
      </c>
      <c r="BD132" s="61">
        <f t="shared" si="55"/>
        <v>0</v>
      </c>
      <c r="BE132" s="60">
        <f t="shared" si="56"/>
        <v>0</v>
      </c>
      <c r="BF132" s="193"/>
      <c r="BG132" s="169">
        <v>128</v>
      </c>
      <c r="BH132" s="1">
        <f t="shared" si="72"/>
        <v>49414</v>
      </c>
      <c r="BI132" s="60">
        <f>IF($X132&lt;Input!$H$103,IF($X132&lt;Input!$G$103,IF($X132&lt;Input!$F$103,IF($X132&lt;Input!$E$103,IF($X132&lt;Input!$D$103,Input!$C$109,Input!$D$109),Input!$E$109),Input!$F$109),Input!$G$109),Input!$H$109)</f>
        <v>0</v>
      </c>
      <c r="BJ132" s="190">
        <f>IF($A132&lt;Input!$H$110,IF($A132&lt;Input!$G$110,IF($A132&lt;Input!$F$110,IF($A132&lt;Input!$E$110,IF($A132&lt;Input!$D$110,Input!$C$111,Input!$D$111),Input!$E$111),Input!$F$111),Input!$G$111),Input!$H$111)</f>
        <v>0.9</v>
      </c>
      <c r="BK132" s="60">
        <f t="shared" si="57"/>
        <v>0</v>
      </c>
      <c r="BL132" s="60">
        <f t="shared" si="73"/>
        <v>31</v>
      </c>
      <c r="BM132" s="60">
        <f t="shared" si="58"/>
        <v>0</v>
      </c>
      <c r="BN132" s="60">
        <f>ROUND(BM132*BL132*Input!$C$3/365,0)</f>
        <v>0</v>
      </c>
      <c r="BO132" s="61">
        <f>IF($A132&lt;=Input!$C$6,0,IF('144M'!BK132&lt;'144M'!BM132,'144M'!BK132-BN132,'144M'!BM132))</f>
        <v>0</v>
      </c>
      <c r="BP132" s="61">
        <f t="shared" si="59"/>
        <v>0</v>
      </c>
      <c r="BQ132" s="60">
        <f t="shared" si="60"/>
        <v>0</v>
      </c>
      <c r="BR132" s="198"/>
    </row>
    <row r="133" spans="1:70" x14ac:dyDescent="0.25">
      <c r="A133" s="169">
        <v>129</v>
      </c>
      <c r="B133" s="1">
        <f t="shared" si="61"/>
        <v>49444</v>
      </c>
      <c r="C133" s="60">
        <f t="shared" ref="C133:C184" si="77">M133+Y133+AK133+AW133+BI133</f>
        <v>33127052.878124986</v>
      </c>
      <c r="D133" s="60">
        <f t="shared" ref="D133:D184" si="78">O133+AA133+AM133+AY133+BK133</f>
        <v>29814347.590312488</v>
      </c>
      <c r="E133" s="60">
        <f t="shared" si="62"/>
        <v>30</v>
      </c>
      <c r="F133" s="60">
        <f t="shared" si="63"/>
        <v>0</v>
      </c>
      <c r="G133" s="60">
        <f>ROUND(F133*E133*Input!$C$3/365,0)</f>
        <v>0</v>
      </c>
      <c r="H133" s="60">
        <f>IF($A133&lt;=Input!$C$6,0,IF('144M'!D133&lt;'144M'!F133,'144M'!D133-G133,'144M'!F133))</f>
        <v>0</v>
      </c>
      <c r="I133" s="60">
        <f t="shared" si="64"/>
        <v>0</v>
      </c>
      <c r="J133" s="60">
        <f t="shared" si="65"/>
        <v>0</v>
      </c>
      <c r="K133" s="202">
        <f>J133/Input!$K$5</f>
        <v>0</v>
      </c>
      <c r="L133" s="232"/>
      <c r="M133" s="60">
        <f>IF($B133&lt;Input!$H$43,IF($B133&lt;Input!$G$43,IF($B133&lt;Input!$F$43,IF($B133&lt;Input!$E$43,IF($B133&lt;Input!$D$43,Input!$C$49,Input!$D$49),Input!$E$49),Input!$F$49),Input!$G$49),Input!$H$49)</f>
        <v>33127052.878124986</v>
      </c>
      <c r="N133" s="190">
        <f>IF($A133&lt;Input!$H$50,IF($A133&lt;Input!$G$50,IF($A133&lt;Input!$F$50,IF($A133&lt;Input!$E$50,IF($A133&lt;Input!$D$50,Input!$C$51,Input!$D$51),Input!$E$51),Input!$F$51),Input!$G$51),Input!$H$51)</f>
        <v>0.9</v>
      </c>
      <c r="O133" s="60">
        <f t="shared" si="76"/>
        <v>29814347.590312488</v>
      </c>
      <c r="P133" s="60">
        <f t="shared" ref="P133:P164" si="79">B133-B132</f>
        <v>30</v>
      </c>
      <c r="Q133" s="60">
        <f t="shared" ref="Q133:Q184" si="80">U132</f>
        <v>0</v>
      </c>
      <c r="R133" s="60">
        <f>ROUND(Q133*$P133*Input!$C$3/365,0)</f>
        <v>0</v>
      </c>
      <c r="S133" s="60">
        <f>IF(A133&lt;=Input!$C$6,0,IF('144M'!O133&lt;'144M'!Q133,'144M'!O133-R133,'144M'!Q133))</f>
        <v>0</v>
      </c>
      <c r="T133" s="60">
        <f t="shared" ref="T133:T184" si="81">R133+S133</f>
        <v>0</v>
      </c>
      <c r="U133" s="60">
        <f t="shared" ref="U133:U184" si="82">U132-S133</f>
        <v>0</v>
      </c>
      <c r="V133" s="193"/>
      <c r="W133" s="169">
        <v>129</v>
      </c>
      <c r="X133" s="1">
        <f t="shared" si="66"/>
        <v>49444</v>
      </c>
      <c r="Y133" s="60">
        <f>IF($X133&lt;Input!$H$58,IF($X133&lt;Input!$G$58,IF($X133&lt;Input!$F$58,IF($X133&lt;Input!$E$58,IF($X133&lt;Input!$D$58,Input!$C$64,Input!$D$64),Input!$E$64),Input!$F$64),Input!$G$64),Input!$H$64)</f>
        <v>0</v>
      </c>
      <c r="Z133" s="190">
        <f>IF($A133&lt;Input!$H$65,IF($A133&lt;Input!$G$65,IF($A133&lt;Input!$F$65,IF($A133&lt;Input!$E$65,IF($A133&lt;Input!$D$65,Input!$C$66,Input!$D$66),Input!$E$66),Input!$F$66),Input!$G$66),Input!$H$66)</f>
        <v>0.9</v>
      </c>
      <c r="AA133" s="60">
        <f t="shared" ref="AA133:AA184" si="83">Y133*Z133</f>
        <v>0</v>
      </c>
      <c r="AB133" s="60">
        <f t="shared" si="67"/>
        <v>30</v>
      </c>
      <c r="AC133" s="60">
        <f t="shared" ref="AC133:AC184" si="84">AG132</f>
        <v>0</v>
      </c>
      <c r="AD133" s="60">
        <f>ROUND(AC133*AB133*Input!$C$3/365,0)</f>
        <v>0</v>
      </c>
      <c r="AE133" s="61">
        <f>IF($A133&lt;=Input!$C$6,0,IF('144M'!AA133&lt;'144M'!AC133,'144M'!AA133-AD133,'144M'!AC133))</f>
        <v>0</v>
      </c>
      <c r="AF133" s="61">
        <f t="shared" ref="AF133:AF184" si="85">AD133+AE133</f>
        <v>0</v>
      </c>
      <c r="AG133" s="60">
        <f t="shared" ref="AG133:AG184" si="86">AG132-AE133</f>
        <v>0</v>
      </c>
      <c r="AH133" s="193"/>
      <c r="AI133" s="169">
        <v>129</v>
      </c>
      <c r="AJ133" s="1">
        <f t="shared" si="68"/>
        <v>49444</v>
      </c>
      <c r="AK133" s="60">
        <f>IF($X133&lt;Input!$H$73,IF($X133&lt;Input!$G$73,IF($X133&lt;Input!$F$73,IF($X133&lt;Input!$E$73,IF($X133&lt;Input!$D$73,Input!$C$79,Input!$D$79),Input!$E$79),Input!$F$79),Input!$G$79),Input!$H$79)</f>
        <v>0</v>
      </c>
      <c r="AL133" s="190">
        <f>IF($A133&lt;Input!$H$80,IF($A133&lt;Input!$G$80,IF($A133&lt;Input!$F$80,IF($A133&lt;Input!$E$80,IF($A133&lt;Input!$D$80,Input!$C$81,Input!$D$81),Input!$E$81),Input!$F$81),Input!$G$81),Input!$H$81)</f>
        <v>0.9</v>
      </c>
      <c r="AM133" s="60">
        <f t="shared" ref="AM133:AM184" si="87">AK133*AL133</f>
        <v>0</v>
      </c>
      <c r="AN133" s="60">
        <f t="shared" si="69"/>
        <v>30</v>
      </c>
      <c r="AO133" s="60">
        <f t="shared" ref="AO133:AO184" si="88">AS132</f>
        <v>0</v>
      </c>
      <c r="AP133" s="60">
        <f>ROUND(AO133*AN133*Input!$C$3/365,0)</f>
        <v>0</v>
      </c>
      <c r="AQ133" s="61">
        <f>IF($A133&lt;=Input!$C$6,0,IF('144M'!AM133&lt;'144M'!AO133,'144M'!AM133-AP133,'144M'!AO133))</f>
        <v>0</v>
      </c>
      <c r="AR133" s="61">
        <f t="shared" ref="AR133:AR184" si="89">AP133+AQ133</f>
        <v>0</v>
      </c>
      <c r="AS133" s="60">
        <f t="shared" ref="AS133:AS184" si="90">AS132-AQ133</f>
        <v>0</v>
      </c>
      <c r="AT133" s="193"/>
      <c r="AU133" s="169">
        <v>129</v>
      </c>
      <c r="AV133" s="1">
        <f t="shared" si="70"/>
        <v>49444</v>
      </c>
      <c r="AW133" s="60">
        <f>IF($X133&lt;Input!$H$88,IF($X133&lt;Input!$G$88,IF($X133&lt;Input!$F$88,IF($X133&lt;Input!$E$88,IF($X133&lt;Input!$D$88,Input!$C$94,Input!$D$94),Input!$E$94),Input!$F$94),Input!$G$94),Input!$H$94)</f>
        <v>0</v>
      </c>
      <c r="AX133" s="190">
        <f>IF($A133&lt;Input!$H$95,IF($A133&lt;Input!$G$95,IF($A133&lt;Input!$F$95,IF($A133&lt;Input!$E$95,IF($A133&lt;Input!$D$95,Input!$C$96,Input!$D$96),Input!$E$96),Input!$F$96),Input!$G$96),Input!$H$96)</f>
        <v>0.9</v>
      </c>
      <c r="AY133" s="60">
        <f t="shared" ref="AY133:AY184" si="91">AW133*AX133</f>
        <v>0</v>
      </c>
      <c r="AZ133" s="60">
        <f t="shared" si="71"/>
        <v>30</v>
      </c>
      <c r="BA133" s="60">
        <f t="shared" ref="BA133:BA184" si="92">BE132</f>
        <v>0</v>
      </c>
      <c r="BB133" s="60">
        <f>ROUND(BA133*AZ133*Input!$C$3/365,0)</f>
        <v>0</v>
      </c>
      <c r="BC133" s="61">
        <f>IF($A133&lt;=Input!$C$6,0,IF('144M'!AY133&lt;'144M'!BA133,'144M'!AY133-BB133,'144M'!BA133))</f>
        <v>0</v>
      </c>
      <c r="BD133" s="61">
        <f t="shared" ref="BD133:BD184" si="93">BB133+BC133</f>
        <v>0</v>
      </c>
      <c r="BE133" s="60">
        <f t="shared" ref="BE133:BE184" si="94">BE132-BC133</f>
        <v>0</v>
      </c>
      <c r="BF133" s="193"/>
      <c r="BG133" s="169">
        <v>129</v>
      </c>
      <c r="BH133" s="1">
        <f t="shared" si="72"/>
        <v>49444</v>
      </c>
      <c r="BI133" s="60">
        <f>IF($X133&lt;Input!$H$103,IF($X133&lt;Input!$G$103,IF($X133&lt;Input!$F$103,IF($X133&lt;Input!$E$103,IF($X133&lt;Input!$D$103,Input!$C$109,Input!$D$109),Input!$E$109),Input!$F$109),Input!$G$109),Input!$H$109)</f>
        <v>0</v>
      </c>
      <c r="BJ133" s="190">
        <f>IF($A133&lt;Input!$H$110,IF($A133&lt;Input!$G$110,IF($A133&lt;Input!$F$110,IF($A133&lt;Input!$E$110,IF($A133&lt;Input!$D$110,Input!$C$111,Input!$D$111),Input!$E$111),Input!$F$111),Input!$G$111),Input!$H$111)</f>
        <v>0.9</v>
      </c>
      <c r="BK133" s="60">
        <f t="shared" ref="BK133:BK184" si="95">BI133*BJ133</f>
        <v>0</v>
      </c>
      <c r="BL133" s="60">
        <f t="shared" si="73"/>
        <v>30</v>
      </c>
      <c r="BM133" s="60">
        <f t="shared" ref="BM133:BM184" si="96">BQ132</f>
        <v>0</v>
      </c>
      <c r="BN133" s="60">
        <f>ROUND(BM133*BL133*Input!$C$3/365,0)</f>
        <v>0</v>
      </c>
      <c r="BO133" s="61">
        <f>IF($A133&lt;=Input!$C$6,0,IF('144M'!BK133&lt;'144M'!BM133,'144M'!BK133-BN133,'144M'!BM133))</f>
        <v>0</v>
      </c>
      <c r="BP133" s="61">
        <f t="shared" ref="BP133:BP184" si="97">BN133+BO133</f>
        <v>0</v>
      </c>
      <c r="BQ133" s="60">
        <f t="shared" ref="BQ133:BQ184" si="98">BQ132-BO133</f>
        <v>0</v>
      </c>
      <c r="BR133" s="198"/>
    </row>
    <row r="134" spans="1:70" x14ac:dyDescent="0.25">
      <c r="A134" s="169">
        <v>130</v>
      </c>
      <c r="B134" s="1">
        <f t="shared" ref="B134:B184" si="99">EDATE(B133,1)</f>
        <v>49475</v>
      </c>
      <c r="C134" s="60">
        <f t="shared" si="77"/>
        <v>33127052.878124986</v>
      </c>
      <c r="D134" s="60">
        <f t="shared" si="78"/>
        <v>29814347.590312488</v>
      </c>
      <c r="E134" s="60">
        <f t="shared" ref="E134:E184" si="100">B134-B133</f>
        <v>31</v>
      </c>
      <c r="F134" s="60">
        <f t="shared" ref="F134:F184" si="101">J133</f>
        <v>0</v>
      </c>
      <c r="G134" s="60">
        <f>ROUND(F134*E134*Input!$C$3/365,0)</f>
        <v>0</v>
      </c>
      <c r="H134" s="60">
        <f>IF($A134&lt;=Input!$C$6,0,IF('144M'!D134&lt;'144M'!F134,'144M'!D134-G134,'144M'!F134))</f>
        <v>0</v>
      </c>
      <c r="I134" s="60">
        <f t="shared" ref="I134:I184" si="102">G134+H134</f>
        <v>0</v>
      </c>
      <c r="J134" s="60">
        <f t="shared" ref="J134:J184" si="103">J133-H134</f>
        <v>0</v>
      </c>
      <c r="K134" s="202">
        <f>J134/Input!$K$5</f>
        <v>0</v>
      </c>
      <c r="L134" s="232"/>
      <c r="M134" s="60">
        <f>IF($B134&lt;Input!$H$43,IF($B134&lt;Input!$G$43,IF($B134&lt;Input!$F$43,IF($B134&lt;Input!$E$43,IF($B134&lt;Input!$D$43,Input!$C$49,Input!$D$49),Input!$E$49),Input!$F$49),Input!$G$49),Input!$H$49)</f>
        <v>33127052.878124986</v>
      </c>
      <c r="N134" s="190">
        <f>IF($A134&lt;Input!$H$50,IF($A134&lt;Input!$G$50,IF($A134&lt;Input!$F$50,IF($A134&lt;Input!$E$50,IF($A134&lt;Input!$D$50,Input!$C$51,Input!$D$51),Input!$E$51),Input!$F$51),Input!$G$51),Input!$H$51)</f>
        <v>0.9</v>
      </c>
      <c r="O134" s="60">
        <f t="shared" si="76"/>
        <v>29814347.590312488</v>
      </c>
      <c r="P134" s="60">
        <f t="shared" si="79"/>
        <v>31</v>
      </c>
      <c r="Q134" s="60">
        <f t="shared" si="80"/>
        <v>0</v>
      </c>
      <c r="R134" s="60">
        <f>ROUND(Q134*$P134*Input!$C$3/365,0)</f>
        <v>0</v>
      </c>
      <c r="S134" s="60">
        <f>IF(A134&lt;=Input!$C$6,0,IF('144M'!O134&lt;'144M'!Q134,'144M'!O134-R134,'144M'!Q134))</f>
        <v>0</v>
      </c>
      <c r="T134" s="60">
        <f t="shared" si="81"/>
        <v>0</v>
      </c>
      <c r="U134" s="60">
        <f t="shared" si="82"/>
        <v>0</v>
      </c>
      <c r="V134" s="193"/>
      <c r="W134" s="169">
        <v>130</v>
      </c>
      <c r="X134" s="1">
        <f t="shared" ref="X134:X184" si="104">EDATE(X133,1)</f>
        <v>49475</v>
      </c>
      <c r="Y134" s="60">
        <f>IF($X134&lt;Input!$H$58,IF($X134&lt;Input!$G$58,IF($X134&lt;Input!$F$58,IF($X134&lt;Input!$E$58,IF($X134&lt;Input!$D$58,Input!$C$64,Input!$D$64),Input!$E$64),Input!$F$64),Input!$G$64),Input!$H$64)</f>
        <v>0</v>
      </c>
      <c r="Z134" s="190">
        <f>IF($A134&lt;Input!$H$65,IF($A134&lt;Input!$G$65,IF($A134&lt;Input!$F$65,IF($A134&lt;Input!$E$65,IF($A134&lt;Input!$D$65,Input!$C$66,Input!$D$66),Input!$E$66),Input!$F$66),Input!$G$66),Input!$H$66)</f>
        <v>0.9</v>
      </c>
      <c r="AA134" s="60">
        <f t="shared" si="83"/>
        <v>0</v>
      </c>
      <c r="AB134" s="60">
        <f t="shared" ref="AB134:AB184" si="105">X134-X133</f>
        <v>31</v>
      </c>
      <c r="AC134" s="60">
        <f t="shared" si="84"/>
        <v>0</v>
      </c>
      <c r="AD134" s="60">
        <f>ROUND(AC134*AB134*Input!$C$3/365,0)</f>
        <v>0</v>
      </c>
      <c r="AE134" s="61">
        <f>IF($A134&lt;=Input!$C$6,0,IF('144M'!AA134&lt;'144M'!AC134,'144M'!AA134-AD134,'144M'!AC134))</f>
        <v>0</v>
      </c>
      <c r="AF134" s="61">
        <f t="shared" si="85"/>
        <v>0</v>
      </c>
      <c r="AG134" s="60">
        <f t="shared" si="86"/>
        <v>0</v>
      </c>
      <c r="AH134" s="193"/>
      <c r="AI134" s="169">
        <v>130</v>
      </c>
      <c r="AJ134" s="1">
        <f t="shared" ref="AJ134:AJ184" si="106">EDATE(AJ133,1)</f>
        <v>49475</v>
      </c>
      <c r="AK134" s="60">
        <f>IF($X134&lt;Input!$H$73,IF($X134&lt;Input!$G$73,IF($X134&lt;Input!$F$73,IF($X134&lt;Input!$E$73,IF($X134&lt;Input!$D$73,Input!$C$79,Input!$D$79),Input!$E$79),Input!$F$79),Input!$G$79),Input!$H$79)</f>
        <v>0</v>
      </c>
      <c r="AL134" s="190">
        <f>IF($A134&lt;Input!$H$80,IF($A134&lt;Input!$G$80,IF($A134&lt;Input!$F$80,IF($A134&lt;Input!$E$80,IF($A134&lt;Input!$D$80,Input!$C$81,Input!$D$81),Input!$E$81),Input!$F$81),Input!$G$81),Input!$H$81)</f>
        <v>0.9</v>
      </c>
      <c r="AM134" s="60">
        <f t="shared" si="87"/>
        <v>0</v>
      </c>
      <c r="AN134" s="60">
        <f t="shared" ref="AN134:AN184" si="107">AJ134-AJ133</f>
        <v>31</v>
      </c>
      <c r="AO134" s="60">
        <f t="shared" si="88"/>
        <v>0</v>
      </c>
      <c r="AP134" s="60">
        <f>ROUND(AO134*AN134*Input!$C$3/365,0)</f>
        <v>0</v>
      </c>
      <c r="AQ134" s="61">
        <f>IF($A134&lt;=Input!$C$6,0,IF('144M'!AM134&lt;'144M'!AO134,'144M'!AM134-AP134,'144M'!AO134))</f>
        <v>0</v>
      </c>
      <c r="AR134" s="61">
        <f t="shared" si="89"/>
        <v>0</v>
      </c>
      <c r="AS134" s="60">
        <f t="shared" si="90"/>
        <v>0</v>
      </c>
      <c r="AT134" s="193"/>
      <c r="AU134" s="169">
        <v>130</v>
      </c>
      <c r="AV134" s="1">
        <f t="shared" ref="AV134:AV184" si="108">EDATE(AV133,1)</f>
        <v>49475</v>
      </c>
      <c r="AW134" s="60">
        <f>IF($X134&lt;Input!$H$88,IF($X134&lt;Input!$G$88,IF($X134&lt;Input!$F$88,IF($X134&lt;Input!$E$88,IF($X134&lt;Input!$D$88,Input!$C$94,Input!$D$94),Input!$E$94),Input!$F$94),Input!$G$94),Input!$H$94)</f>
        <v>0</v>
      </c>
      <c r="AX134" s="190">
        <f>IF($A134&lt;Input!$H$95,IF($A134&lt;Input!$G$95,IF($A134&lt;Input!$F$95,IF($A134&lt;Input!$E$95,IF($A134&lt;Input!$D$95,Input!$C$96,Input!$D$96),Input!$E$96),Input!$F$96),Input!$G$96),Input!$H$96)</f>
        <v>0.9</v>
      </c>
      <c r="AY134" s="60">
        <f t="shared" si="91"/>
        <v>0</v>
      </c>
      <c r="AZ134" s="60">
        <f t="shared" ref="AZ134:AZ184" si="109">AV134-AV133</f>
        <v>31</v>
      </c>
      <c r="BA134" s="60">
        <f t="shared" si="92"/>
        <v>0</v>
      </c>
      <c r="BB134" s="60">
        <f>ROUND(BA134*AZ134*Input!$C$3/365,0)</f>
        <v>0</v>
      </c>
      <c r="BC134" s="61">
        <f>IF($A134&lt;=Input!$C$6,0,IF('144M'!AY134&lt;'144M'!BA134,'144M'!AY134-BB134,'144M'!BA134))</f>
        <v>0</v>
      </c>
      <c r="BD134" s="61">
        <f t="shared" si="93"/>
        <v>0</v>
      </c>
      <c r="BE134" s="60">
        <f t="shared" si="94"/>
        <v>0</v>
      </c>
      <c r="BF134" s="193"/>
      <c r="BG134" s="169">
        <v>130</v>
      </c>
      <c r="BH134" s="1">
        <f t="shared" ref="BH134:BH184" si="110">EDATE(BH133,1)</f>
        <v>49475</v>
      </c>
      <c r="BI134" s="60">
        <f>IF($X134&lt;Input!$H$103,IF($X134&lt;Input!$G$103,IF($X134&lt;Input!$F$103,IF($X134&lt;Input!$E$103,IF($X134&lt;Input!$D$103,Input!$C$109,Input!$D$109),Input!$E$109),Input!$F$109),Input!$G$109),Input!$H$109)</f>
        <v>0</v>
      </c>
      <c r="BJ134" s="190">
        <f>IF($A134&lt;Input!$H$110,IF($A134&lt;Input!$G$110,IF($A134&lt;Input!$F$110,IF($A134&lt;Input!$E$110,IF($A134&lt;Input!$D$110,Input!$C$111,Input!$D$111),Input!$E$111),Input!$F$111),Input!$G$111),Input!$H$111)</f>
        <v>0.9</v>
      </c>
      <c r="BK134" s="60">
        <f t="shared" si="95"/>
        <v>0</v>
      </c>
      <c r="BL134" s="60">
        <f t="shared" ref="BL134:BL184" si="111">BH134-BH133</f>
        <v>31</v>
      </c>
      <c r="BM134" s="60">
        <f t="shared" si="96"/>
        <v>0</v>
      </c>
      <c r="BN134" s="60">
        <f>ROUND(BM134*BL134*Input!$C$3/365,0)</f>
        <v>0</v>
      </c>
      <c r="BO134" s="61">
        <f>IF($A134&lt;=Input!$C$6,0,IF('144M'!BK134&lt;'144M'!BM134,'144M'!BK134-BN134,'144M'!BM134))</f>
        <v>0</v>
      </c>
      <c r="BP134" s="61">
        <f t="shared" si="97"/>
        <v>0</v>
      </c>
      <c r="BQ134" s="60">
        <f t="shared" si="98"/>
        <v>0</v>
      </c>
      <c r="BR134" s="198"/>
    </row>
    <row r="135" spans="1:70" x14ac:dyDescent="0.25">
      <c r="A135" s="169">
        <v>131</v>
      </c>
      <c r="B135" s="1">
        <f t="shared" si="99"/>
        <v>49505</v>
      </c>
      <c r="C135" s="60">
        <f t="shared" si="77"/>
        <v>33127052.878124986</v>
      </c>
      <c r="D135" s="60">
        <f t="shared" si="78"/>
        <v>29814347.590312488</v>
      </c>
      <c r="E135" s="60">
        <f t="shared" si="100"/>
        <v>30</v>
      </c>
      <c r="F135" s="60">
        <f t="shared" si="101"/>
        <v>0</v>
      </c>
      <c r="G135" s="60">
        <f>ROUND(F135*E135*Input!$C$3/365,0)</f>
        <v>0</v>
      </c>
      <c r="H135" s="60">
        <f>IF($A135&lt;=Input!$C$6,0,IF('144M'!D135&lt;'144M'!F135,'144M'!D135-G135,'144M'!F135))</f>
        <v>0</v>
      </c>
      <c r="I135" s="60">
        <f t="shared" si="102"/>
        <v>0</v>
      </c>
      <c r="J135" s="60">
        <f t="shared" si="103"/>
        <v>0</v>
      </c>
      <c r="K135" s="202">
        <f>J135/Input!$K$5</f>
        <v>0</v>
      </c>
      <c r="L135" s="232"/>
      <c r="M135" s="60">
        <f>IF($B135&lt;Input!$H$43,IF($B135&lt;Input!$G$43,IF($B135&lt;Input!$F$43,IF($B135&lt;Input!$E$43,IF($B135&lt;Input!$D$43,Input!$C$49,Input!$D$49),Input!$E$49),Input!$F$49),Input!$G$49),Input!$H$49)</f>
        <v>33127052.878124986</v>
      </c>
      <c r="N135" s="190">
        <f>IF($A135&lt;Input!$H$50,IF($A135&lt;Input!$G$50,IF($A135&lt;Input!$F$50,IF($A135&lt;Input!$E$50,IF($A135&lt;Input!$D$50,Input!$C$51,Input!$D$51),Input!$E$51),Input!$F$51),Input!$G$51),Input!$H$51)</f>
        <v>0.9</v>
      </c>
      <c r="O135" s="60">
        <f t="shared" si="76"/>
        <v>29814347.590312488</v>
      </c>
      <c r="P135" s="60">
        <f t="shared" si="79"/>
        <v>30</v>
      </c>
      <c r="Q135" s="60">
        <f t="shared" si="80"/>
        <v>0</v>
      </c>
      <c r="R135" s="60">
        <f>ROUND(Q135*$P135*Input!$C$3/365,0)</f>
        <v>0</v>
      </c>
      <c r="S135" s="60">
        <f>IF(A135&lt;=Input!$C$6,0,IF('144M'!O135&lt;'144M'!Q135,'144M'!O135-R135,'144M'!Q135))</f>
        <v>0</v>
      </c>
      <c r="T135" s="60">
        <f t="shared" si="81"/>
        <v>0</v>
      </c>
      <c r="U135" s="60">
        <f t="shared" si="82"/>
        <v>0</v>
      </c>
      <c r="V135" s="193"/>
      <c r="W135" s="169">
        <v>131</v>
      </c>
      <c r="X135" s="1">
        <f t="shared" si="104"/>
        <v>49505</v>
      </c>
      <c r="Y135" s="60">
        <f>IF($X135&lt;Input!$H$58,IF($X135&lt;Input!$G$58,IF($X135&lt;Input!$F$58,IF($X135&lt;Input!$E$58,IF($X135&lt;Input!$D$58,Input!$C$64,Input!$D$64),Input!$E$64),Input!$F$64),Input!$G$64),Input!$H$64)</f>
        <v>0</v>
      </c>
      <c r="Z135" s="190">
        <f>IF($A135&lt;Input!$H$65,IF($A135&lt;Input!$G$65,IF($A135&lt;Input!$F$65,IF($A135&lt;Input!$E$65,IF($A135&lt;Input!$D$65,Input!$C$66,Input!$D$66),Input!$E$66),Input!$F$66),Input!$G$66),Input!$H$66)</f>
        <v>0.9</v>
      </c>
      <c r="AA135" s="60">
        <f t="shared" si="83"/>
        <v>0</v>
      </c>
      <c r="AB135" s="60">
        <f t="shared" si="105"/>
        <v>30</v>
      </c>
      <c r="AC135" s="60">
        <f t="shared" si="84"/>
        <v>0</v>
      </c>
      <c r="AD135" s="60">
        <f>ROUND(AC135*AB135*Input!$C$3/365,0)</f>
        <v>0</v>
      </c>
      <c r="AE135" s="61">
        <f>IF($A135&lt;=Input!$C$6,0,IF('144M'!AA135&lt;'144M'!AC135,'144M'!AA135-AD135,'144M'!AC135))</f>
        <v>0</v>
      </c>
      <c r="AF135" s="61">
        <f t="shared" si="85"/>
        <v>0</v>
      </c>
      <c r="AG135" s="60">
        <f t="shared" si="86"/>
        <v>0</v>
      </c>
      <c r="AH135" s="193"/>
      <c r="AI135" s="169">
        <v>131</v>
      </c>
      <c r="AJ135" s="1">
        <f t="shared" si="106"/>
        <v>49505</v>
      </c>
      <c r="AK135" s="60">
        <f>IF($X135&lt;Input!$H$73,IF($X135&lt;Input!$G$73,IF($X135&lt;Input!$F$73,IF($X135&lt;Input!$E$73,IF($X135&lt;Input!$D$73,Input!$C$79,Input!$D$79),Input!$E$79),Input!$F$79),Input!$G$79),Input!$H$79)</f>
        <v>0</v>
      </c>
      <c r="AL135" s="190">
        <f>IF($A135&lt;Input!$H$80,IF($A135&lt;Input!$G$80,IF($A135&lt;Input!$F$80,IF($A135&lt;Input!$E$80,IF($A135&lt;Input!$D$80,Input!$C$81,Input!$D$81),Input!$E$81),Input!$F$81),Input!$G$81),Input!$H$81)</f>
        <v>0.9</v>
      </c>
      <c r="AM135" s="60">
        <f t="shared" si="87"/>
        <v>0</v>
      </c>
      <c r="AN135" s="60">
        <f t="shared" si="107"/>
        <v>30</v>
      </c>
      <c r="AO135" s="60">
        <f t="shared" si="88"/>
        <v>0</v>
      </c>
      <c r="AP135" s="60">
        <f>ROUND(AO135*AN135*Input!$C$3/365,0)</f>
        <v>0</v>
      </c>
      <c r="AQ135" s="61">
        <f>IF($A135&lt;=Input!$C$6,0,IF('144M'!AM135&lt;'144M'!AO135,'144M'!AM135-AP135,'144M'!AO135))</f>
        <v>0</v>
      </c>
      <c r="AR135" s="61">
        <f t="shared" si="89"/>
        <v>0</v>
      </c>
      <c r="AS135" s="60">
        <f t="shared" si="90"/>
        <v>0</v>
      </c>
      <c r="AT135" s="193"/>
      <c r="AU135" s="169">
        <v>131</v>
      </c>
      <c r="AV135" s="1">
        <f t="shared" si="108"/>
        <v>49505</v>
      </c>
      <c r="AW135" s="60">
        <f>IF($X135&lt;Input!$H$88,IF($X135&lt;Input!$G$88,IF($X135&lt;Input!$F$88,IF($X135&lt;Input!$E$88,IF($X135&lt;Input!$D$88,Input!$C$94,Input!$D$94),Input!$E$94),Input!$F$94),Input!$G$94),Input!$H$94)</f>
        <v>0</v>
      </c>
      <c r="AX135" s="190">
        <f>IF($A135&lt;Input!$H$95,IF($A135&lt;Input!$G$95,IF($A135&lt;Input!$F$95,IF($A135&lt;Input!$E$95,IF($A135&lt;Input!$D$95,Input!$C$96,Input!$D$96),Input!$E$96),Input!$F$96),Input!$G$96),Input!$H$96)</f>
        <v>0.9</v>
      </c>
      <c r="AY135" s="60">
        <f t="shared" si="91"/>
        <v>0</v>
      </c>
      <c r="AZ135" s="60">
        <f t="shared" si="109"/>
        <v>30</v>
      </c>
      <c r="BA135" s="60">
        <f t="shared" si="92"/>
        <v>0</v>
      </c>
      <c r="BB135" s="60">
        <f>ROUND(BA135*AZ135*Input!$C$3/365,0)</f>
        <v>0</v>
      </c>
      <c r="BC135" s="61">
        <f>IF($A135&lt;=Input!$C$6,0,IF('144M'!AY135&lt;'144M'!BA135,'144M'!AY135-BB135,'144M'!BA135))</f>
        <v>0</v>
      </c>
      <c r="BD135" s="61">
        <f t="shared" si="93"/>
        <v>0</v>
      </c>
      <c r="BE135" s="60">
        <f t="shared" si="94"/>
        <v>0</v>
      </c>
      <c r="BF135" s="193"/>
      <c r="BG135" s="169">
        <v>131</v>
      </c>
      <c r="BH135" s="1">
        <f t="shared" si="110"/>
        <v>49505</v>
      </c>
      <c r="BI135" s="60">
        <f>IF($X135&lt;Input!$H$103,IF($X135&lt;Input!$G$103,IF($X135&lt;Input!$F$103,IF($X135&lt;Input!$E$103,IF($X135&lt;Input!$D$103,Input!$C$109,Input!$D$109),Input!$E$109),Input!$F$109),Input!$G$109),Input!$H$109)</f>
        <v>0</v>
      </c>
      <c r="BJ135" s="190">
        <f>IF($A135&lt;Input!$H$110,IF($A135&lt;Input!$G$110,IF($A135&lt;Input!$F$110,IF($A135&lt;Input!$E$110,IF($A135&lt;Input!$D$110,Input!$C$111,Input!$D$111),Input!$E$111),Input!$F$111),Input!$G$111),Input!$H$111)</f>
        <v>0.9</v>
      </c>
      <c r="BK135" s="60">
        <f t="shared" si="95"/>
        <v>0</v>
      </c>
      <c r="BL135" s="60">
        <f t="shared" si="111"/>
        <v>30</v>
      </c>
      <c r="BM135" s="60">
        <f t="shared" si="96"/>
        <v>0</v>
      </c>
      <c r="BN135" s="60">
        <f>ROUND(BM135*BL135*Input!$C$3/365,0)</f>
        <v>0</v>
      </c>
      <c r="BO135" s="61">
        <f>IF($A135&lt;=Input!$C$6,0,IF('144M'!BK135&lt;'144M'!BM135,'144M'!BK135-BN135,'144M'!BM135))</f>
        <v>0</v>
      </c>
      <c r="BP135" s="61">
        <f t="shared" si="97"/>
        <v>0</v>
      </c>
      <c r="BQ135" s="60">
        <f t="shared" si="98"/>
        <v>0</v>
      </c>
      <c r="BR135" s="198"/>
    </row>
    <row r="136" spans="1:70" x14ac:dyDescent="0.25">
      <c r="A136" s="169">
        <v>132</v>
      </c>
      <c r="B136" s="1">
        <f t="shared" si="99"/>
        <v>49536</v>
      </c>
      <c r="C136" s="60">
        <f t="shared" si="77"/>
        <v>33127052.878124986</v>
      </c>
      <c r="D136" s="60">
        <f t="shared" si="78"/>
        <v>29814347.590312488</v>
      </c>
      <c r="E136" s="60">
        <f t="shared" si="100"/>
        <v>31</v>
      </c>
      <c r="F136" s="60">
        <f t="shared" si="101"/>
        <v>0</v>
      </c>
      <c r="G136" s="60">
        <f>ROUND(F136*E136*Input!$C$3/365,0)</f>
        <v>0</v>
      </c>
      <c r="H136" s="60">
        <f>IF($A136&lt;=Input!$C$6,0,IF('144M'!D136&lt;'144M'!F136,'144M'!D136-G136,'144M'!F136))</f>
        <v>0</v>
      </c>
      <c r="I136" s="60">
        <f t="shared" si="102"/>
        <v>0</v>
      </c>
      <c r="J136" s="60">
        <f t="shared" si="103"/>
        <v>0</v>
      </c>
      <c r="K136" s="202">
        <f>J136/Input!$K$5</f>
        <v>0</v>
      </c>
      <c r="L136" s="232"/>
      <c r="M136" s="60">
        <f>IF($B136&lt;Input!$H$43,IF($B136&lt;Input!$G$43,IF($B136&lt;Input!$F$43,IF($B136&lt;Input!$E$43,IF($B136&lt;Input!$D$43,Input!$C$49,Input!$D$49),Input!$E$49),Input!$F$49),Input!$G$49),Input!$H$49)</f>
        <v>33127052.878124986</v>
      </c>
      <c r="N136" s="190">
        <f>IF($A136&lt;Input!$H$50,IF($A136&lt;Input!$G$50,IF($A136&lt;Input!$F$50,IF($A136&lt;Input!$E$50,IF($A136&lt;Input!$D$50,Input!$C$51,Input!$D$51),Input!$E$51),Input!$F$51),Input!$G$51),Input!$H$51)</f>
        <v>0.9</v>
      </c>
      <c r="O136" s="60">
        <f t="shared" si="76"/>
        <v>29814347.590312488</v>
      </c>
      <c r="P136" s="60">
        <f t="shared" si="79"/>
        <v>31</v>
      </c>
      <c r="Q136" s="60">
        <f t="shared" si="80"/>
        <v>0</v>
      </c>
      <c r="R136" s="60">
        <f>ROUND(Q136*$P136*Input!$C$3/365,0)</f>
        <v>0</v>
      </c>
      <c r="S136" s="60">
        <f>IF(A136&lt;=Input!$C$6,0,IF('144M'!O136&lt;'144M'!Q136,'144M'!O136-R136,'144M'!Q136))</f>
        <v>0</v>
      </c>
      <c r="T136" s="60">
        <f t="shared" si="81"/>
        <v>0</v>
      </c>
      <c r="U136" s="60">
        <f t="shared" si="82"/>
        <v>0</v>
      </c>
      <c r="V136" s="193"/>
      <c r="W136" s="169">
        <v>132</v>
      </c>
      <c r="X136" s="1">
        <f t="shared" si="104"/>
        <v>49536</v>
      </c>
      <c r="Y136" s="60">
        <f>IF($X136&lt;Input!$H$58,IF($X136&lt;Input!$G$58,IF($X136&lt;Input!$F$58,IF($X136&lt;Input!$E$58,IF($X136&lt;Input!$D$58,Input!$C$64,Input!$D$64),Input!$E$64),Input!$F$64),Input!$G$64),Input!$H$64)</f>
        <v>0</v>
      </c>
      <c r="Z136" s="190">
        <f>IF($A136&lt;Input!$H$65,IF($A136&lt;Input!$G$65,IF($A136&lt;Input!$F$65,IF($A136&lt;Input!$E$65,IF($A136&lt;Input!$D$65,Input!$C$66,Input!$D$66),Input!$E$66),Input!$F$66),Input!$G$66),Input!$H$66)</f>
        <v>0.9</v>
      </c>
      <c r="AA136" s="60">
        <f t="shared" si="83"/>
        <v>0</v>
      </c>
      <c r="AB136" s="60">
        <f t="shared" si="105"/>
        <v>31</v>
      </c>
      <c r="AC136" s="60">
        <f t="shared" si="84"/>
        <v>0</v>
      </c>
      <c r="AD136" s="60">
        <f>ROUND(AC136*AB136*Input!$C$3/365,0)</f>
        <v>0</v>
      </c>
      <c r="AE136" s="61">
        <f>IF($A136&lt;=Input!$C$6,0,IF('144M'!AA136&lt;'144M'!AC136,'144M'!AA136-AD136,'144M'!AC136))</f>
        <v>0</v>
      </c>
      <c r="AF136" s="61">
        <f t="shared" si="85"/>
        <v>0</v>
      </c>
      <c r="AG136" s="60">
        <f t="shared" si="86"/>
        <v>0</v>
      </c>
      <c r="AH136" s="193"/>
      <c r="AI136" s="169">
        <v>132</v>
      </c>
      <c r="AJ136" s="1">
        <f t="shared" si="106"/>
        <v>49536</v>
      </c>
      <c r="AK136" s="60">
        <f>IF($X136&lt;Input!$H$73,IF($X136&lt;Input!$G$73,IF($X136&lt;Input!$F$73,IF($X136&lt;Input!$E$73,IF($X136&lt;Input!$D$73,Input!$C$79,Input!$D$79),Input!$E$79),Input!$F$79),Input!$G$79),Input!$H$79)</f>
        <v>0</v>
      </c>
      <c r="AL136" s="190">
        <f>IF($A136&lt;Input!$H$80,IF($A136&lt;Input!$G$80,IF($A136&lt;Input!$F$80,IF($A136&lt;Input!$E$80,IF($A136&lt;Input!$D$80,Input!$C$81,Input!$D$81),Input!$E$81),Input!$F$81),Input!$G$81),Input!$H$81)</f>
        <v>0.9</v>
      </c>
      <c r="AM136" s="60">
        <f t="shared" si="87"/>
        <v>0</v>
      </c>
      <c r="AN136" s="60">
        <f t="shared" si="107"/>
        <v>31</v>
      </c>
      <c r="AO136" s="60">
        <f t="shared" si="88"/>
        <v>0</v>
      </c>
      <c r="AP136" s="60">
        <f>ROUND(AO136*AN136*Input!$C$3/365,0)</f>
        <v>0</v>
      </c>
      <c r="AQ136" s="61">
        <f>IF($A136&lt;=Input!$C$6,0,IF('144M'!AM136&lt;'144M'!AO136,'144M'!AM136-AP136,'144M'!AO136))</f>
        <v>0</v>
      </c>
      <c r="AR136" s="61">
        <f t="shared" si="89"/>
        <v>0</v>
      </c>
      <c r="AS136" s="60">
        <f t="shared" si="90"/>
        <v>0</v>
      </c>
      <c r="AT136" s="193"/>
      <c r="AU136" s="169">
        <v>132</v>
      </c>
      <c r="AV136" s="1">
        <f t="shared" si="108"/>
        <v>49536</v>
      </c>
      <c r="AW136" s="60">
        <f>IF($X136&lt;Input!$H$88,IF($X136&lt;Input!$G$88,IF($X136&lt;Input!$F$88,IF($X136&lt;Input!$E$88,IF($X136&lt;Input!$D$88,Input!$C$94,Input!$D$94),Input!$E$94),Input!$F$94),Input!$G$94),Input!$H$94)</f>
        <v>0</v>
      </c>
      <c r="AX136" s="190">
        <f>IF($A136&lt;Input!$H$95,IF($A136&lt;Input!$G$95,IF($A136&lt;Input!$F$95,IF($A136&lt;Input!$E$95,IF($A136&lt;Input!$D$95,Input!$C$96,Input!$D$96),Input!$E$96),Input!$F$96),Input!$G$96),Input!$H$96)</f>
        <v>0.9</v>
      </c>
      <c r="AY136" s="60">
        <f t="shared" si="91"/>
        <v>0</v>
      </c>
      <c r="AZ136" s="60">
        <f t="shared" si="109"/>
        <v>31</v>
      </c>
      <c r="BA136" s="60">
        <f t="shared" si="92"/>
        <v>0</v>
      </c>
      <c r="BB136" s="60">
        <f>ROUND(BA136*AZ136*Input!$C$3/365,0)</f>
        <v>0</v>
      </c>
      <c r="BC136" s="61">
        <f>IF($A136&lt;=Input!$C$6,0,IF('144M'!AY136&lt;'144M'!BA136,'144M'!AY136-BB136,'144M'!BA136))</f>
        <v>0</v>
      </c>
      <c r="BD136" s="61">
        <f t="shared" si="93"/>
        <v>0</v>
      </c>
      <c r="BE136" s="60">
        <f t="shared" si="94"/>
        <v>0</v>
      </c>
      <c r="BF136" s="193"/>
      <c r="BG136" s="169">
        <v>132</v>
      </c>
      <c r="BH136" s="1">
        <f t="shared" si="110"/>
        <v>49536</v>
      </c>
      <c r="BI136" s="60">
        <f>IF($X136&lt;Input!$H$103,IF($X136&lt;Input!$G$103,IF($X136&lt;Input!$F$103,IF($X136&lt;Input!$E$103,IF($X136&lt;Input!$D$103,Input!$C$109,Input!$D$109),Input!$E$109),Input!$F$109),Input!$G$109),Input!$H$109)</f>
        <v>0</v>
      </c>
      <c r="BJ136" s="190">
        <f>IF($A136&lt;Input!$H$110,IF($A136&lt;Input!$G$110,IF($A136&lt;Input!$F$110,IF($A136&lt;Input!$E$110,IF($A136&lt;Input!$D$110,Input!$C$111,Input!$D$111),Input!$E$111),Input!$F$111),Input!$G$111),Input!$H$111)</f>
        <v>0.9</v>
      </c>
      <c r="BK136" s="60">
        <f t="shared" si="95"/>
        <v>0</v>
      </c>
      <c r="BL136" s="60">
        <f t="shared" si="111"/>
        <v>31</v>
      </c>
      <c r="BM136" s="60">
        <f t="shared" si="96"/>
        <v>0</v>
      </c>
      <c r="BN136" s="60">
        <f>ROUND(BM136*BL136*Input!$C$3/365,0)</f>
        <v>0</v>
      </c>
      <c r="BO136" s="61">
        <f>IF($A136&lt;=Input!$C$6,0,IF('144M'!BK136&lt;'144M'!BM136,'144M'!BK136-BN136,'144M'!BM136))</f>
        <v>0</v>
      </c>
      <c r="BP136" s="61">
        <f t="shared" si="97"/>
        <v>0</v>
      </c>
      <c r="BQ136" s="60">
        <f t="shared" si="98"/>
        <v>0</v>
      </c>
      <c r="BR136" s="198"/>
    </row>
    <row r="137" spans="1:70" x14ac:dyDescent="0.25">
      <c r="A137" s="169">
        <v>133</v>
      </c>
      <c r="B137" s="1">
        <f t="shared" si="99"/>
        <v>49567</v>
      </c>
      <c r="C137" s="60">
        <f t="shared" si="77"/>
        <v>33127052.878124986</v>
      </c>
      <c r="D137" s="60">
        <f t="shared" si="78"/>
        <v>29814347.590312488</v>
      </c>
      <c r="E137" s="60">
        <f t="shared" si="100"/>
        <v>31</v>
      </c>
      <c r="F137" s="60">
        <f t="shared" si="101"/>
        <v>0</v>
      </c>
      <c r="G137" s="60">
        <f>ROUND(F137*E137*Input!$C$3/365,0)</f>
        <v>0</v>
      </c>
      <c r="H137" s="60">
        <f>IF($A137&lt;=Input!$C$6,0,IF('144M'!D137&lt;'144M'!F137,'144M'!D137-G137,'144M'!F137))</f>
        <v>0</v>
      </c>
      <c r="I137" s="60">
        <f t="shared" si="102"/>
        <v>0</v>
      </c>
      <c r="J137" s="60">
        <f t="shared" si="103"/>
        <v>0</v>
      </c>
      <c r="K137" s="202">
        <f>J137/Input!$K$5</f>
        <v>0</v>
      </c>
      <c r="L137" s="232"/>
      <c r="M137" s="60">
        <f>IF($B137&lt;Input!$H$43,IF($B137&lt;Input!$G$43,IF($B137&lt;Input!$F$43,IF($B137&lt;Input!$E$43,IF($B137&lt;Input!$D$43,Input!$C$49,Input!$D$49),Input!$E$49),Input!$F$49),Input!$G$49),Input!$H$49)</f>
        <v>33127052.878124986</v>
      </c>
      <c r="N137" s="190">
        <f>IF($A137&lt;Input!$H$50,IF($A137&lt;Input!$G$50,IF($A137&lt;Input!$F$50,IF($A137&lt;Input!$E$50,IF($A137&lt;Input!$D$50,Input!$C$51,Input!$D$51),Input!$E$51),Input!$F$51),Input!$G$51),Input!$H$51)</f>
        <v>0.9</v>
      </c>
      <c r="O137" s="60">
        <f t="shared" si="76"/>
        <v>29814347.590312488</v>
      </c>
      <c r="P137" s="60">
        <f t="shared" si="79"/>
        <v>31</v>
      </c>
      <c r="Q137" s="60">
        <f t="shared" si="80"/>
        <v>0</v>
      </c>
      <c r="R137" s="60">
        <f>ROUND(Q137*$P137*Input!$C$3/365,0)</f>
        <v>0</v>
      </c>
      <c r="S137" s="60">
        <f>IF(A137&lt;=Input!$C$6,0,IF('144M'!O137&lt;'144M'!Q137,'144M'!O137-R137,'144M'!Q137))</f>
        <v>0</v>
      </c>
      <c r="T137" s="60">
        <f t="shared" si="81"/>
        <v>0</v>
      </c>
      <c r="U137" s="60">
        <f t="shared" si="82"/>
        <v>0</v>
      </c>
      <c r="V137" s="193"/>
      <c r="W137" s="169">
        <v>133</v>
      </c>
      <c r="X137" s="1">
        <f t="shared" si="104"/>
        <v>49567</v>
      </c>
      <c r="Y137" s="60">
        <f>IF($X137&lt;Input!$H$58,IF($X137&lt;Input!$G$58,IF($X137&lt;Input!$F$58,IF($X137&lt;Input!$E$58,IF($X137&lt;Input!$D$58,Input!$C$64,Input!$D$64),Input!$E$64),Input!$F$64),Input!$G$64),Input!$H$64)</f>
        <v>0</v>
      </c>
      <c r="Z137" s="190">
        <f>IF($A137&lt;Input!$H$65,IF($A137&lt;Input!$G$65,IF($A137&lt;Input!$F$65,IF($A137&lt;Input!$E$65,IF($A137&lt;Input!$D$65,Input!$C$66,Input!$D$66),Input!$E$66),Input!$F$66),Input!$G$66),Input!$H$66)</f>
        <v>0.9</v>
      </c>
      <c r="AA137" s="60">
        <f t="shared" si="83"/>
        <v>0</v>
      </c>
      <c r="AB137" s="60">
        <f t="shared" si="105"/>
        <v>31</v>
      </c>
      <c r="AC137" s="60">
        <f t="shared" si="84"/>
        <v>0</v>
      </c>
      <c r="AD137" s="60">
        <f>ROUND(AC137*AB137*Input!$C$3/365,0)</f>
        <v>0</v>
      </c>
      <c r="AE137" s="61">
        <f>IF($A137&lt;=Input!$C$6,0,IF('144M'!AA137&lt;'144M'!AC137,'144M'!AA137-AD137,'144M'!AC137))</f>
        <v>0</v>
      </c>
      <c r="AF137" s="61">
        <f t="shared" si="85"/>
        <v>0</v>
      </c>
      <c r="AG137" s="60">
        <f t="shared" si="86"/>
        <v>0</v>
      </c>
      <c r="AH137" s="193"/>
      <c r="AI137" s="169">
        <v>133</v>
      </c>
      <c r="AJ137" s="1">
        <f t="shared" si="106"/>
        <v>49567</v>
      </c>
      <c r="AK137" s="60">
        <f>IF($X137&lt;Input!$H$73,IF($X137&lt;Input!$G$73,IF($X137&lt;Input!$F$73,IF($X137&lt;Input!$E$73,IF($X137&lt;Input!$D$73,Input!$C$79,Input!$D$79),Input!$E$79),Input!$F$79),Input!$G$79),Input!$H$79)</f>
        <v>0</v>
      </c>
      <c r="AL137" s="190">
        <f>IF($A137&lt;Input!$H$80,IF($A137&lt;Input!$G$80,IF($A137&lt;Input!$F$80,IF($A137&lt;Input!$E$80,IF($A137&lt;Input!$D$80,Input!$C$81,Input!$D$81),Input!$E$81),Input!$F$81),Input!$G$81),Input!$H$81)</f>
        <v>0.9</v>
      </c>
      <c r="AM137" s="60">
        <f t="shared" si="87"/>
        <v>0</v>
      </c>
      <c r="AN137" s="60">
        <f t="shared" si="107"/>
        <v>31</v>
      </c>
      <c r="AO137" s="60">
        <f t="shared" si="88"/>
        <v>0</v>
      </c>
      <c r="AP137" s="60">
        <f>ROUND(AO137*AN137*Input!$C$3/365,0)</f>
        <v>0</v>
      </c>
      <c r="AQ137" s="61">
        <f>IF($A137&lt;=Input!$C$6,0,IF('144M'!AM137&lt;'144M'!AO137,'144M'!AM137-AP137,'144M'!AO137))</f>
        <v>0</v>
      </c>
      <c r="AR137" s="61">
        <f t="shared" si="89"/>
        <v>0</v>
      </c>
      <c r="AS137" s="60">
        <f t="shared" si="90"/>
        <v>0</v>
      </c>
      <c r="AT137" s="193"/>
      <c r="AU137" s="169">
        <v>133</v>
      </c>
      <c r="AV137" s="1">
        <f t="shared" si="108"/>
        <v>49567</v>
      </c>
      <c r="AW137" s="60">
        <f>IF($X137&lt;Input!$H$88,IF($X137&lt;Input!$G$88,IF($X137&lt;Input!$F$88,IF($X137&lt;Input!$E$88,IF($X137&lt;Input!$D$88,Input!$C$94,Input!$D$94),Input!$E$94),Input!$F$94),Input!$G$94),Input!$H$94)</f>
        <v>0</v>
      </c>
      <c r="AX137" s="190">
        <f>IF($A137&lt;Input!$H$95,IF($A137&lt;Input!$G$95,IF($A137&lt;Input!$F$95,IF($A137&lt;Input!$E$95,IF($A137&lt;Input!$D$95,Input!$C$96,Input!$D$96),Input!$E$96),Input!$F$96),Input!$G$96),Input!$H$96)</f>
        <v>0.9</v>
      </c>
      <c r="AY137" s="60">
        <f t="shared" si="91"/>
        <v>0</v>
      </c>
      <c r="AZ137" s="60">
        <f t="shared" si="109"/>
        <v>31</v>
      </c>
      <c r="BA137" s="60">
        <f t="shared" si="92"/>
        <v>0</v>
      </c>
      <c r="BB137" s="60">
        <f>ROUND(BA137*AZ137*Input!$C$3/365,0)</f>
        <v>0</v>
      </c>
      <c r="BC137" s="61">
        <f>IF($A137&lt;=Input!$C$6,0,IF('144M'!AY137&lt;'144M'!BA137,'144M'!AY137-BB137,'144M'!BA137))</f>
        <v>0</v>
      </c>
      <c r="BD137" s="61">
        <f t="shared" si="93"/>
        <v>0</v>
      </c>
      <c r="BE137" s="60">
        <f t="shared" si="94"/>
        <v>0</v>
      </c>
      <c r="BF137" s="193"/>
      <c r="BG137" s="169">
        <v>133</v>
      </c>
      <c r="BH137" s="1">
        <f t="shared" si="110"/>
        <v>49567</v>
      </c>
      <c r="BI137" s="60">
        <f>IF($X137&lt;Input!$H$103,IF($X137&lt;Input!$G$103,IF($X137&lt;Input!$F$103,IF($X137&lt;Input!$E$103,IF($X137&lt;Input!$D$103,Input!$C$109,Input!$D$109),Input!$E$109),Input!$F$109),Input!$G$109),Input!$H$109)</f>
        <v>0</v>
      </c>
      <c r="BJ137" s="190">
        <f>IF($A137&lt;Input!$H$110,IF($A137&lt;Input!$G$110,IF($A137&lt;Input!$F$110,IF($A137&lt;Input!$E$110,IF($A137&lt;Input!$D$110,Input!$C$111,Input!$D$111),Input!$E$111),Input!$F$111),Input!$G$111),Input!$H$111)</f>
        <v>0.9</v>
      </c>
      <c r="BK137" s="60">
        <f t="shared" si="95"/>
        <v>0</v>
      </c>
      <c r="BL137" s="60">
        <f t="shared" si="111"/>
        <v>31</v>
      </c>
      <c r="BM137" s="60">
        <f t="shared" si="96"/>
        <v>0</v>
      </c>
      <c r="BN137" s="60">
        <f>ROUND(BM137*BL137*Input!$C$3/365,0)</f>
        <v>0</v>
      </c>
      <c r="BO137" s="61">
        <f>IF($A137&lt;=Input!$C$6,0,IF('144M'!BK137&lt;'144M'!BM137,'144M'!BK137-BN137,'144M'!BM137))</f>
        <v>0</v>
      </c>
      <c r="BP137" s="61">
        <f t="shared" si="97"/>
        <v>0</v>
      </c>
      <c r="BQ137" s="60">
        <f t="shared" si="98"/>
        <v>0</v>
      </c>
      <c r="BR137" s="198"/>
    </row>
    <row r="138" spans="1:70" x14ac:dyDescent="0.25">
      <c r="A138" s="169">
        <v>134</v>
      </c>
      <c r="B138" s="1">
        <f t="shared" si="99"/>
        <v>49597</v>
      </c>
      <c r="C138" s="60">
        <f t="shared" si="77"/>
        <v>33127052.878124986</v>
      </c>
      <c r="D138" s="60">
        <f t="shared" si="78"/>
        <v>29814347.590312488</v>
      </c>
      <c r="E138" s="60">
        <f t="shared" si="100"/>
        <v>30</v>
      </c>
      <c r="F138" s="60">
        <f t="shared" si="101"/>
        <v>0</v>
      </c>
      <c r="G138" s="60">
        <f>ROUND(F138*E138*Input!$C$3/365,0)</f>
        <v>0</v>
      </c>
      <c r="H138" s="60">
        <f>IF($A138&lt;=Input!$C$6,0,IF('144M'!D138&lt;'144M'!F138,'144M'!D138-G138,'144M'!F138))</f>
        <v>0</v>
      </c>
      <c r="I138" s="60">
        <f t="shared" si="102"/>
        <v>0</v>
      </c>
      <c r="J138" s="60">
        <f t="shared" si="103"/>
        <v>0</v>
      </c>
      <c r="K138" s="202">
        <f>J138/Input!$K$5</f>
        <v>0</v>
      </c>
      <c r="L138" s="232"/>
      <c r="M138" s="60">
        <f>IF($B138&lt;Input!$H$43,IF($B138&lt;Input!$G$43,IF($B138&lt;Input!$F$43,IF($B138&lt;Input!$E$43,IF($B138&lt;Input!$D$43,Input!$C$49,Input!$D$49),Input!$E$49),Input!$F$49),Input!$G$49),Input!$H$49)</f>
        <v>33127052.878124986</v>
      </c>
      <c r="N138" s="190">
        <f>IF($A138&lt;Input!$H$50,IF($A138&lt;Input!$G$50,IF($A138&lt;Input!$F$50,IF($A138&lt;Input!$E$50,IF($A138&lt;Input!$D$50,Input!$C$51,Input!$D$51),Input!$E$51),Input!$F$51),Input!$G$51),Input!$H$51)</f>
        <v>0.9</v>
      </c>
      <c r="O138" s="60">
        <f t="shared" si="76"/>
        <v>29814347.590312488</v>
      </c>
      <c r="P138" s="60">
        <f t="shared" si="79"/>
        <v>30</v>
      </c>
      <c r="Q138" s="60">
        <f t="shared" si="80"/>
        <v>0</v>
      </c>
      <c r="R138" s="60">
        <f>ROUND(Q138*$P138*Input!$C$3/365,0)</f>
        <v>0</v>
      </c>
      <c r="S138" s="60">
        <f>IF(A138&lt;=Input!$C$6,0,IF('144M'!O138&lt;'144M'!Q138,'144M'!O138-R138,'144M'!Q138))</f>
        <v>0</v>
      </c>
      <c r="T138" s="60">
        <f t="shared" si="81"/>
        <v>0</v>
      </c>
      <c r="U138" s="60">
        <f t="shared" si="82"/>
        <v>0</v>
      </c>
      <c r="V138" s="193"/>
      <c r="W138" s="169">
        <v>134</v>
      </c>
      <c r="X138" s="1">
        <f t="shared" si="104"/>
        <v>49597</v>
      </c>
      <c r="Y138" s="60">
        <f>IF($X138&lt;Input!$H$58,IF($X138&lt;Input!$G$58,IF($X138&lt;Input!$F$58,IF($X138&lt;Input!$E$58,IF($X138&lt;Input!$D$58,Input!$C$64,Input!$D$64),Input!$E$64),Input!$F$64),Input!$G$64),Input!$H$64)</f>
        <v>0</v>
      </c>
      <c r="Z138" s="190">
        <f>IF($A138&lt;Input!$H$65,IF($A138&lt;Input!$G$65,IF($A138&lt;Input!$F$65,IF($A138&lt;Input!$E$65,IF($A138&lt;Input!$D$65,Input!$C$66,Input!$D$66),Input!$E$66),Input!$F$66),Input!$G$66),Input!$H$66)</f>
        <v>0.9</v>
      </c>
      <c r="AA138" s="60">
        <f t="shared" si="83"/>
        <v>0</v>
      </c>
      <c r="AB138" s="60">
        <f t="shared" si="105"/>
        <v>30</v>
      </c>
      <c r="AC138" s="60">
        <f t="shared" si="84"/>
        <v>0</v>
      </c>
      <c r="AD138" s="60">
        <f>ROUND(AC138*AB138*Input!$C$3/365,0)</f>
        <v>0</v>
      </c>
      <c r="AE138" s="61">
        <f>IF($A138&lt;=Input!$C$6,0,IF('144M'!AA138&lt;'144M'!AC138,'144M'!AA138-AD138,'144M'!AC138))</f>
        <v>0</v>
      </c>
      <c r="AF138" s="61">
        <f t="shared" si="85"/>
        <v>0</v>
      </c>
      <c r="AG138" s="60">
        <f t="shared" si="86"/>
        <v>0</v>
      </c>
      <c r="AH138" s="193"/>
      <c r="AI138" s="169">
        <v>134</v>
      </c>
      <c r="AJ138" s="1">
        <f t="shared" si="106"/>
        <v>49597</v>
      </c>
      <c r="AK138" s="60">
        <f>IF($X138&lt;Input!$H$73,IF($X138&lt;Input!$G$73,IF($X138&lt;Input!$F$73,IF($X138&lt;Input!$E$73,IF($X138&lt;Input!$D$73,Input!$C$79,Input!$D$79),Input!$E$79),Input!$F$79),Input!$G$79),Input!$H$79)</f>
        <v>0</v>
      </c>
      <c r="AL138" s="190">
        <f>IF($A138&lt;Input!$H$80,IF($A138&lt;Input!$G$80,IF($A138&lt;Input!$F$80,IF($A138&lt;Input!$E$80,IF($A138&lt;Input!$D$80,Input!$C$81,Input!$D$81),Input!$E$81),Input!$F$81),Input!$G$81),Input!$H$81)</f>
        <v>0.9</v>
      </c>
      <c r="AM138" s="60">
        <f t="shared" si="87"/>
        <v>0</v>
      </c>
      <c r="AN138" s="60">
        <f t="shared" si="107"/>
        <v>30</v>
      </c>
      <c r="AO138" s="60">
        <f t="shared" si="88"/>
        <v>0</v>
      </c>
      <c r="AP138" s="60">
        <f>ROUND(AO138*AN138*Input!$C$3/365,0)</f>
        <v>0</v>
      </c>
      <c r="AQ138" s="61">
        <f>IF($A138&lt;=Input!$C$6,0,IF('144M'!AM138&lt;'144M'!AO138,'144M'!AM138-AP138,'144M'!AO138))</f>
        <v>0</v>
      </c>
      <c r="AR138" s="61">
        <f t="shared" si="89"/>
        <v>0</v>
      </c>
      <c r="AS138" s="60">
        <f t="shared" si="90"/>
        <v>0</v>
      </c>
      <c r="AT138" s="193"/>
      <c r="AU138" s="169">
        <v>134</v>
      </c>
      <c r="AV138" s="1">
        <f t="shared" si="108"/>
        <v>49597</v>
      </c>
      <c r="AW138" s="60">
        <f>IF($X138&lt;Input!$H$88,IF($X138&lt;Input!$G$88,IF($X138&lt;Input!$F$88,IF($X138&lt;Input!$E$88,IF($X138&lt;Input!$D$88,Input!$C$94,Input!$D$94),Input!$E$94),Input!$F$94),Input!$G$94),Input!$H$94)</f>
        <v>0</v>
      </c>
      <c r="AX138" s="190">
        <f>IF($A138&lt;Input!$H$95,IF($A138&lt;Input!$G$95,IF($A138&lt;Input!$F$95,IF($A138&lt;Input!$E$95,IF($A138&lt;Input!$D$95,Input!$C$96,Input!$D$96),Input!$E$96),Input!$F$96),Input!$G$96),Input!$H$96)</f>
        <v>0.9</v>
      </c>
      <c r="AY138" s="60">
        <f t="shared" si="91"/>
        <v>0</v>
      </c>
      <c r="AZ138" s="60">
        <f t="shared" si="109"/>
        <v>30</v>
      </c>
      <c r="BA138" s="60">
        <f t="shared" si="92"/>
        <v>0</v>
      </c>
      <c r="BB138" s="60">
        <f>ROUND(BA138*AZ138*Input!$C$3/365,0)</f>
        <v>0</v>
      </c>
      <c r="BC138" s="61">
        <f>IF($A138&lt;=Input!$C$6,0,IF('144M'!AY138&lt;'144M'!BA138,'144M'!AY138-BB138,'144M'!BA138))</f>
        <v>0</v>
      </c>
      <c r="BD138" s="61">
        <f t="shared" si="93"/>
        <v>0</v>
      </c>
      <c r="BE138" s="60">
        <f t="shared" si="94"/>
        <v>0</v>
      </c>
      <c r="BF138" s="193"/>
      <c r="BG138" s="169">
        <v>134</v>
      </c>
      <c r="BH138" s="1">
        <f t="shared" si="110"/>
        <v>49597</v>
      </c>
      <c r="BI138" s="60">
        <f>IF($X138&lt;Input!$H$103,IF($X138&lt;Input!$G$103,IF($X138&lt;Input!$F$103,IF($X138&lt;Input!$E$103,IF($X138&lt;Input!$D$103,Input!$C$109,Input!$D$109),Input!$E$109),Input!$F$109),Input!$G$109),Input!$H$109)</f>
        <v>0</v>
      </c>
      <c r="BJ138" s="190">
        <f>IF($A138&lt;Input!$H$110,IF($A138&lt;Input!$G$110,IF($A138&lt;Input!$F$110,IF($A138&lt;Input!$E$110,IF($A138&lt;Input!$D$110,Input!$C$111,Input!$D$111),Input!$E$111),Input!$F$111),Input!$G$111),Input!$H$111)</f>
        <v>0.9</v>
      </c>
      <c r="BK138" s="60">
        <f t="shared" si="95"/>
        <v>0</v>
      </c>
      <c r="BL138" s="60">
        <f t="shared" si="111"/>
        <v>30</v>
      </c>
      <c r="BM138" s="60">
        <f t="shared" si="96"/>
        <v>0</v>
      </c>
      <c r="BN138" s="60">
        <f>ROUND(BM138*BL138*Input!$C$3/365,0)</f>
        <v>0</v>
      </c>
      <c r="BO138" s="61">
        <f>IF($A138&lt;=Input!$C$6,0,IF('144M'!BK138&lt;'144M'!BM138,'144M'!BK138-BN138,'144M'!BM138))</f>
        <v>0</v>
      </c>
      <c r="BP138" s="61">
        <f t="shared" si="97"/>
        <v>0</v>
      </c>
      <c r="BQ138" s="60">
        <f t="shared" si="98"/>
        <v>0</v>
      </c>
      <c r="BR138" s="198"/>
    </row>
    <row r="139" spans="1:70" x14ac:dyDescent="0.25">
      <c r="A139" s="169">
        <v>135</v>
      </c>
      <c r="B139" s="1">
        <f t="shared" si="99"/>
        <v>49628</v>
      </c>
      <c r="C139" s="60">
        <f t="shared" si="77"/>
        <v>33127052.878124986</v>
      </c>
      <c r="D139" s="60">
        <f t="shared" si="78"/>
        <v>29814347.590312488</v>
      </c>
      <c r="E139" s="60">
        <f t="shared" si="100"/>
        <v>31</v>
      </c>
      <c r="F139" s="60">
        <f t="shared" si="101"/>
        <v>0</v>
      </c>
      <c r="G139" s="60">
        <f>ROUND(F139*E139*Input!$C$3/365,0)</f>
        <v>0</v>
      </c>
      <c r="H139" s="60">
        <f>IF($A139&lt;=Input!$C$6,0,IF('144M'!D139&lt;'144M'!F139,'144M'!D139-G139,'144M'!F139))</f>
        <v>0</v>
      </c>
      <c r="I139" s="60">
        <f t="shared" si="102"/>
        <v>0</v>
      </c>
      <c r="J139" s="60">
        <f t="shared" si="103"/>
        <v>0</v>
      </c>
      <c r="K139" s="202">
        <f>J139/Input!$K$5</f>
        <v>0</v>
      </c>
      <c r="L139" s="232"/>
      <c r="M139" s="60">
        <f>IF($B139&lt;Input!$H$43,IF($B139&lt;Input!$G$43,IF($B139&lt;Input!$F$43,IF($B139&lt;Input!$E$43,IF($B139&lt;Input!$D$43,Input!$C$49,Input!$D$49),Input!$E$49),Input!$F$49),Input!$G$49),Input!$H$49)</f>
        <v>33127052.878124986</v>
      </c>
      <c r="N139" s="190">
        <f>IF($A139&lt;Input!$H$50,IF($A139&lt;Input!$G$50,IF($A139&lt;Input!$F$50,IF($A139&lt;Input!$E$50,IF($A139&lt;Input!$D$50,Input!$C$51,Input!$D$51),Input!$E$51),Input!$F$51),Input!$G$51),Input!$H$51)</f>
        <v>0.9</v>
      </c>
      <c r="O139" s="60">
        <f t="shared" si="76"/>
        <v>29814347.590312488</v>
      </c>
      <c r="P139" s="60">
        <f t="shared" si="79"/>
        <v>31</v>
      </c>
      <c r="Q139" s="60">
        <f t="shared" si="80"/>
        <v>0</v>
      </c>
      <c r="R139" s="60">
        <f>ROUND(Q139*$P139*Input!$C$3/365,0)</f>
        <v>0</v>
      </c>
      <c r="S139" s="60">
        <f>IF(A139&lt;=Input!$C$6,0,IF('144M'!O139&lt;'144M'!Q139,'144M'!O139-R139,'144M'!Q139))</f>
        <v>0</v>
      </c>
      <c r="T139" s="60">
        <f t="shared" si="81"/>
        <v>0</v>
      </c>
      <c r="U139" s="60">
        <f t="shared" si="82"/>
        <v>0</v>
      </c>
      <c r="V139" s="193"/>
      <c r="W139" s="169">
        <v>135</v>
      </c>
      <c r="X139" s="1">
        <f t="shared" si="104"/>
        <v>49628</v>
      </c>
      <c r="Y139" s="60">
        <f>IF($X139&lt;Input!$H$58,IF($X139&lt;Input!$G$58,IF($X139&lt;Input!$F$58,IF($X139&lt;Input!$E$58,IF($X139&lt;Input!$D$58,Input!$C$64,Input!$D$64),Input!$E$64),Input!$F$64),Input!$G$64),Input!$H$64)</f>
        <v>0</v>
      </c>
      <c r="Z139" s="190">
        <f>IF($A139&lt;Input!$H$65,IF($A139&lt;Input!$G$65,IF($A139&lt;Input!$F$65,IF($A139&lt;Input!$E$65,IF($A139&lt;Input!$D$65,Input!$C$66,Input!$D$66),Input!$E$66),Input!$F$66),Input!$G$66),Input!$H$66)</f>
        <v>0.9</v>
      </c>
      <c r="AA139" s="60">
        <f t="shared" si="83"/>
        <v>0</v>
      </c>
      <c r="AB139" s="60">
        <f t="shared" si="105"/>
        <v>31</v>
      </c>
      <c r="AC139" s="60">
        <f t="shared" si="84"/>
        <v>0</v>
      </c>
      <c r="AD139" s="60">
        <f>ROUND(AC139*AB139*Input!$C$3/365,0)</f>
        <v>0</v>
      </c>
      <c r="AE139" s="61">
        <f>IF($A139&lt;=Input!$C$6,0,IF('144M'!AA139&lt;'144M'!AC139,'144M'!AA139-AD139,'144M'!AC139))</f>
        <v>0</v>
      </c>
      <c r="AF139" s="61">
        <f t="shared" si="85"/>
        <v>0</v>
      </c>
      <c r="AG139" s="60">
        <f t="shared" si="86"/>
        <v>0</v>
      </c>
      <c r="AH139" s="193"/>
      <c r="AI139" s="169">
        <v>135</v>
      </c>
      <c r="AJ139" s="1">
        <f t="shared" si="106"/>
        <v>49628</v>
      </c>
      <c r="AK139" s="60">
        <f>IF($X139&lt;Input!$H$73,IF($X139&lt;Input!$G$73,IF($X139&lt;Input!$F$73,IF($X139&lt;Input!$E$73,IF($X139&lt;Input!$D$73,Input!$C$79,Input!$D$79),Input!$E$79),Input!$F$79),Input!$G$79),Input!$H$79)</f>
        <v>0</v>
      </c>
      <c r="AL139" s="190">
        <f>IF($A139&lt;Input!$H$80,IF($A139&lt;Input!$G$80,IF($A139&lt;Input!$F$80,IF($A139&lt;Input!$E$80,IF($A139&lt;Input!$D$80,Input!$C$81,Input!$D$81),Input!$E$81),Input!$F$81),Input!$G$81),Input!$H$81)</f>
        <v>0.9</v>
      </c>
      <c r="AM139" s="60">
        <f t="shared" si="87"/>
        <v>0</v>
      </c>
      <c r="AN139" s="60">
        <f t="shared" si="107"/>
        <v>31</v>
      </c>
      <c r="AO139" s="60">
        <f t="shared" si="88"/>
        <v>0</v>
      </c>
      <c r="AP139" s="60">
        <f>ROUND(AO139*AN139*Input!$C$3/365,0)</f>
        <v>0</v>
      </c>
      <c r="AQ139" s="61">
        <f>IF($A139&lt;=Input!$C$6,0,IF('144M'!AM139&lt;'144M'!AO139,'144M'!AM139-AP139,'144M'!AO139))</f>
        <v>0</v>
      </c>
      <c r="AR139" s="61">
        <f t="shared" si="89"/>
        <v>0</v>
      </c>
      <c r="AS139" s="60">
        <f t="shared" si="90"/>
        <v>0</v>
      </c>
      <c r="AT139" s="193"/>
      <c r="AU139" s="169">
        <v>135</v>
      </c>
      <c r="AV139" s="1">
        <f t="shared" si="108"/>
        <v>49628</v>
      </c>
      <c r="AW139" s="60">
        <f>IF($X139&lt;Input!$H$88,IF($X139&lt;Input!$G$88,IF($X139&lt;Input!$F$88,IF($X139&lt;Input!$E$88,IF($X139&lt;Input!$D$88,Input!$C$94,Input!$D$94),Input!$E$94),Input!$F$94),Input!$G$94),Input!$H$94)</f>
        <v>0</v>
      </c>
      <c r="AX139" s="190">
        <f>IF($A139&lt;Input!$H$95,IF($A139&lt;Input!$G$95,IF($A139&lt;Input!$F$95,IF($A139&lt;Input!$E$95,IF($A139&lt;Input!$D$95,Input!$C$96,Input!$D$96),Input!$E$96),Input!$F$96),Input!$G$96),Input!$H$96)</f>
        <v>0.9</v>
      </c>
      <c r="AY139" s="60">
        <f t="shared" si="91"/>
        <v>0</v>
      </c>
      <c r="AZ139" s="60">
        <f t="shared" si="109"/>
        <v>31</v>
      </c>
      <c r="BA139" s="60">
        <f t="shared" si="92"/>
        <v>0</v>
      </c>
      <c r="BB139" s="60">
        <f>ROUND(BA139*AZ139*Input!$C$3/365,0)</f>
        <v>0</v>
      </c>
      <c r="BC139" s="61">
        <f>IF($A139&lt;=Input!$C$6,0,IF('144M'!AY139&lt;'144M'!BA139,'144M'!AY139-BB139,'144M'!BA139))</f>
        <v>0</v>
      </c>
      <c r="BD139" s="61">
        <f t="shared" si="93"/>
        <v>0</v>
      </c>
      <c r="BE139" s="60">
        <f t="shared" si="94"/>
        <v>0</v>
      </c>
      <c r="BF139" s="193"/>
      <c r="BG139" s="169">
        <v>135</v>
      </c>
      <c r="BH139" s="1">
        <f t="shared" si="110"/>
        <v>49628</v>
      </c>
      <c r="BI139" s="60">
        <f>IF($X139&lt;Input!$H$103,IF($X139&lt;Input!$G$103,IF($X139&lt;Input!$F$103,IF($X139&lt;Input!$E$103,IF($X139&lt;Input!$D$103,Input!$C$109,Input!$D$109),Input!$E$109),Input!$F$109),Input!$G$109),Input!$H$109)</f>
        <v>0</v>
      </c>
      <c r="BJ139" s="190">
        <f>IF($A139&lt;Input!$H$110,IF($A139&lt;Input!$G$110,IF($A139&lt;Input!$F$110,IF($A139&lt;Input!$E$110,IF($A139&lt;Input!$D$110,Input!$C$111,Input!$D$111),Input!$E$111),Input!$F$111),Input!$G$111),Input!$H$111)</f>
        <v>0.9</v>
      </c>
      <c r="BK139" s="60">
        <f t="shared" si="95"/>
        <v>0</v>
      </c>
      <c r="BL139" s="60">
        <f t="shared" si="111"/>
        <v>31</v>
      </c>
      <c r="BM139" s="60">
        <f t="shared" si="96"/>
        <v>0</v>
      </c>
      <c r="BN139" s="60">
        <f>ROUND(BM139*BL139*Input!$C$3/365,0)</f>
        <v>0</v>
      </c>
      <c r="BO139" s="61">
        <f>IF($A139&lt;=Input!$C$6,0,IF('144M'!BK139&lt;'144M'!BM139,'144M'!BK139-BN139,'144M'!BM139))</f>
        <v>0</v>
      </c>
      <c r="BP139" s="61">
        <f t="shared" si="97"/>
        <v>0</v>
      </c>
      <c r="BQ139" s="60">
        <f t="shared" si="98"/>
        <v>0</v>
      </c>
      <c r="BR139" s="198"/>
    </row>
    <row r="140" spans="1:70" x14ac:dyDescent="0.25">
      <c r="A140" s="169">
        <v>136</v>
      </c>
      <c r="B140" s="1">
        <f t="shared" si="99"/>
        <v>49658</v>
      </c>
      <c r="C140" s="60">
        <f t="shared" si="77"/>
        <v>33127052.878124986</v>
      </c>
      <c r="D140" s="60">
        <f t="shared" si="78"/>
        <v>29814347.590312488</v>
      </c>
      <c r="E140" s="60">
        <f t="shared" si="100"/>
        <v>30</v>
      </c>
      <c r="F140" s="60">
        <f t="shared" si="101"/>
        <v>0</v>
      </c>
      <c r="G140" s="60">
        <f>ROUND(F140*E140*Input!$C$3/365,0)</f>
        <v>0</v>
      </c>
      <c r="H140" s="60">
        <f>IF($A140&lt;=Input!$C$6,0,IF('144M'!D140&lt;'144M'!F140,'144M'!D140-G140,'144M'!F140))</f>
        <v>0</v>
      </c>
      <c r="I140" s="60">
        <f t="shared" si="102"/>
        <v>0</v>
      </c>
      <c r="J140" s="60">
        <f t="shared" si="103"/>
        <v>0</v>
      </c>
      <c r="K140" s="202">
        <f>J140/Input!$K$5</f>
        <v>0</v>
      </c>
      <c r="L140" s="232"/>
      <c r="M140" s="60">
        <f>IF($B140&lt;Input!$H$43,IF($B140&lt;Input!$G$43,IF($B140&lt;Input!$F$43,IF($B140&lt;Input!$E$43,IF($B140&lt;Input!$D$43,Input!$C$49,Input!$D$49),Input!$E$49),Input!$F$49),Input!$G$49),Input!$H$49)</f>
        <v>33127052.878124986</v>
      </c>
      <c r="N140" s="190">
        <f>IF($A140&lt;Input!$H$50,IF($A140&lt;Input!$G$50,IF($A140&lt;Input!$F$50,IF($A140&lt;Input!$E$50,IF($A140&lt;Input!$D$50,Input!$C$51,Input!$D$51),Input!$E$51),Input!$F$51),Input!$G$51),Input!$H$51)</f>
        <v>0.9</v>
      </c>
      <c r="O140" s="60">
        <f t="shared" si="76"/>
        <v>29814347.590312488</v>
      </c>
      <c r="P140" s="60">
        <f t="shared" si="79"/>
        <v>30</v>
      </c>
      <c r="Q140" s="60">
        <f t="shared" si="80"/>
        <v>0</v>
      </c>
      <c r="R140" s="60">
        <f>ROUND(Q140*$P140*Input!$C$3/365,0)</f>
        <v>0</v>
      </c>
      <c r="S140" s="60">
        <f>IF(A140&lt;=Input!$C$6,0,IF('144M'!O140&lt;'144M'!Q140,'144M'!O140-R140,'144M'!Q140))</f>
        <v>0</v>
      </c>
      <c r="T140" s="60">
        <f t="shared" si="81"/>
        <v>0</v>
      </c>
      <c r="U140" s="60">
        <f t="shared" si="82"/>
        <v>0</v>
      </c>
      <c r="V140" s="193"/>
      <c r="W140" s="169">
        <v>136</v>
      </c>
      <c r="X140" s="1">
        <f t="shared" si="104"/>
        <v>49658</v>
      </c>
      <c r="Y140" s="60">
        <f>IF($X140&lt;Input!$H$58,IF($X140&lt;Input!$G$58,IF($X140&lt;Input!$F$58,IF($X140&lt;Input!$E$58,IF($X140&lt;Input!$D$58,Input!$C$64,Input!$D$64),Input!$E$64),Input!$F$64),Input!$G$64),Input!$H$64)</f>
        <v>0</v>
      </c>
      <c r="Z140" s="190">
        <f>IF($A140&lt;Input!$H$65,IF($A140&lt;Input!$G$65,IF($A140&lt;Input!$F$65,IF($A140&lt;Input!$E$65,IF($A140&lt;Input!$D$65,Input!$C$66,Input!$D$66),Input!$E$66),Input!$F$66),Input!$G$66),Input!$H$66)</f>
        <v>0.9</v>
      </c>
      <c r="AA140" s="60">
        <f t="shared" si="83"/>
        <v>0</v>
      </c>
      <c r="AB140" s="60">
        <f t="shared" si="105"/>
        <v>30</v>
      </c>
      <c r="AC140" s="60">
        <f t="shared" si="84"/>
        <v>0</v>
      </c>
      <c r="AD140" s="60">
        <f>ROUND(AC140*AB140*Input!$C$3/365,0)</f>
        <v>0</v>
      </c>
      <c r="AE140" s="61">
        <f>IF($A140&lt;=Input!$C$6,0,IF('144M'!AA140&lt;'144M'!AC140,'144M'!AA140-AD140,'144M'!AC140))</f>
        <v>0</v>
      </c>
      <c r="AF140" s="61">
        <f t="shared" si="85"/>
        <v>0</v>
      </c>
      <c r="AG140" s="60">
        <f t="shared" si="86"/>
        <v>0</v>
      </c>
      <c r="AH140" s="193"/>
      <c r="AI140" s="169">
        <v>136</v>
      </c>
      <c r="AJ140" s="1">
        <f t="shared" si="106"/>
        <v>49658</v>
      </c>
      <c r="AK140" s="60">
        <f>IF($X140&lt;Input!$H$73,IF($X140&lt;Input!$G$73,IF($X140&lt;Input!$F$73,IF($X140&lt;Input!$E$73,IF($X140&lt;Input!$D$73,Input!$C$79,Input!$D$79),Input!$E$79),Input!$F$79),Input!$G$79),Input!$H$79)</f>
        <v>0</v>
      </c>
      <c r="AL140" s="190">
        <f>IF($A140&lt;Input!$H$80,IF($A140&lt;Input!$G$80,IF($A140&lt;Input!$F$80,IF($A140&lt;Input!$E$80,IF($A140&lt;Input!$D$80,Input!$C$81,Input!$D$81),Input!$E$81),Input!$F$81),Input!$G$81),Input!$H$81)</f>
        <v>0.9</v>
      </c>
      <c r="AM140" s="60">
        <f t="shared" si="87"/>
        <v>0</v>
      </c>
      <c r="AN140" s="60">
        <f t="shared" si="107"/>
        <v>30</v>
      </c>
      <c r="AO140" s="60">
        <f t="shared" si="88"/>
        <v>0</v>
      </c>
      <c r="AP140" s="60">
        <f>ROUND(AO140*AN140*Input!$C$3/365,0)</f>
        <v>0</v>
      </c>
      <c r="AQ140" s="61">
        <f>IF($A140&lt;=Input!$C$6,0,IF('144M'!AM140&lt;'144M'!AO140,'144M'!AM140-AP140,'144M'!AO140))</f>
        <v>0</v>
      </c>
      <c r="AR140" s="61">
        <f t="shared" si="89"/>
        <v>0</v>
      </c>
      <c r="AS140" s="60">
        <f t="shared" si="90"/>
        <v>0</v>
      </c>
      <c r="AT140" s="193"/>
      <c r="AU140" s="169">
        <v>136</v>
      </c>
      <c r="AV140" s="1">
        <f t="shared" si="108"/>
        <v>49658</v>
      </c>
      <c r="AW140" s="60">
        <f>IF($X140&lt;Input!$H$88,IF($X140&lt;Input!$G$88,IF($X140&lt;Input!$F$88,IF($X140&lt;Input!$E$88,IF($X140&lt;Input!$D$88,Input!$C$94,Input!$D$94),Input!$E$94),Input!$F$94),Input!$G$94),Input!$H$94)</f>
        <v>0</v>
      </c>
      <c r="AX140" s="190">
        <f>IF($A140&lt;Input!$H$95,IF($A140&lt;Input!$G$95,IF($A140&lt;Input!$F$95,IF($A140&lt;Input!$E$95,IF($A140&lt;Input!$D$95,Input!$C$96,Input!$D$96),Input!$E$96),Input!$F$96),Input!$G$96),Input!$H$96)</f>
        <v>0.9</v>
      </c>
      <c r="AY140" s="60">
        <f t="shared" si="91"/>
        <v>0</v>
      </c>
      <c r="AZ140" s="60">
        <f t="shared" si="109"/>
        <v>30</v>
      </c>
      <c r="BA140" s="60">
        <f t="shared" si="92"/>
        <v>0</v>
      </c>
      <c r="BB140" s="60">
        <f>ROUND(BA140*AZ140*Input!$C$3/365,0)</f>
        <v>0</v>
      </c>
      <c r="BC140" s="61">
        <f>IF($A140&lt;=Input!$C$6,0,IF('144M'!AY140&lt;'144M'!BA140,'144M'!AY140-BB140,'144M'!BA140))</f>
        <v>0</v>
      </c>
      <c r="BD140" s="61">
        <f t="shared" si="93"/>
        <v>0</v>
      </c>
      <c r="BE140" s="60">
        <f t="shared" si="94"/>
        <v>0</v>
      </c>
      <c r="BF140" s="193"/>
      <c r="BG140" s="169">
        <v>136</v>
      </c>
      <c r="BH140" s="1">
        <f t="shared" si="110"/>
        <v>49658</v>
      </c>
      <c r="BI140" s="60">
        <f>IF($X140&lt;Input!$H$103,IF($X140&lt;Input!$G$103,IF($X140&lt;Input!$F$103,IF($X140&lt;Input!$E$103,IF($X140&lt;Input!$D$103,Input!$C$109,Input!$D$109),Input!$E$109),Input!$F$109),Input!$G$109),Input!$H$109)</f>
        <v>0</v>
      </c>
      <c r="BJ140" s="190">
        <f>IF($A140&lt;Input!$H$110,IF($A140&lt;Input!$G$110,IF($A140&lt;Input!$F$110,IF($A140&lt;Input!$E$110,IF($A140&lt;Input!$D$110,Input!$C$111,Input!$D$111),Input!$E$111),Input!$F$111),Input!$G$111),Input!$H$111)</f>
        <v>0.9</v>
      </c>
      <c r="BK140" s="60">
        <f t="shared" si="95"/>
        <v>0</v>
      </c>
      <c r="BL140" s="60">
        <f t="shared" si="111"/>
        <v>30</v>
      </c>
      <c r="BM140" s="60">
        <f t="shared" si="96"/>
        <v>0</v>
      </c>
      <c r="BN140" s="60">
        <f>ROUND(BM140*BL140*Input!$C$3/365,0)</f>
        <v>0</v>
      </c>
      <c r="BO140" s="61">
        <f>IF($A140&lt;=Input!$C$6,0,IF('144M'!BK140&lt;'144M'!BM140,'144M'!BK140-BN140,'144M'!BM140))</f>
        <v>0</v>
      </c>
      <c r="BP140" s="61">
        <f t="shared" si="97"/>
        <v>0</v>
      </c>
      <c r="BQ140" s="60">
        <f t="shared" si="98"/>
        <v>0</v>
      </c>
      <c r="BR140" s="198"/>
    </row>
    <row r="141" spans="1:70" x14ac:dyDescent="0.25">
      <c r="A141" s="169">
        <v>137</v>
      </c>
      <c r="B141" s="1">
        <f t="shared" si="99"/>
        <v>49689</v>
      </c>
      <c r="C141" s="60">
        <f t="shared" si="77"/>
        <v>33127052.878124986</v>
      </c>
      <c r="D141" s="60">
        <f t="shared" si="78"/>
        <v>29814347.590312488</v>
      </c>
      <c r="E141" s="60">
        <f t="shared" si="100"/>
        <v>31</v>
      </c>
      <c r="F141" s="60">
        <f t="shared" si="101"/>
        <v>0</v>
      </c>
      <c r="G141" s="60">
        <f>ROUND(F141*E141*Input!$C$3/365,0)</f>
        <v>0</v>
      </c>
      <c r="H141" s="60">
        <f>IF($A141&lt;=Input!$C$6,0,IF('144M'!D141&lt;'144M'!F141,'144M'!D141-G141,'144M'!F141))</f>
        <v>0</v>
      </c>
      <c r="I141" s="60">
        <f t="shared" si="102"/>
        <v>0</v>
      </c>
      <c r="J141" s="60">
        <f t="shared" si="103"/>
        <v>0</v>
      </c>
      <c r="K141" s="202">
        <f>J141/Input!$K$5</f>
        <v>0</v>
      </c>
      <c r="L141" s="232"/>
      <c r="M141" s="60">
        <f>IF($B141&lt;Input!$H$43,IF($B141&lt;Input!$G$43,IF($B141&lt;Input!$F$43,IF($B141&lt;Input!$E$43,IF($B141&lt;Input!$D$43,Input!$C$49,Input!$D$49),Input!$E$49),Input!$F$49),Input!$G$49),Input!$H$49)</f>
        <v>33127052.878124986</v>
      </c>
      <c r="N141" s="190">
        <f>IF($A141&lt;Input!$H$50,IF($A141&lt;Input!$G$50,IF($A141&lt;Input!$F$50,IF($A141&lt;Input!$E$50,IF($A141&lt;Input!$D$50,Input!$C$51,Input!$D$51),Input!$E$51),Input!$F$51),Input!$G$51),Input!$H$51)</f>
        <v>0.9</v>
      </c>
      <c r="O141" s="60">
        <f t="shared" si="76"/>
        <v>29814347.590312488</v>
      </c>
      <c r="P141" s="60">
        <f t="shared" si="79"/>
        <v>31</v>
      </c>
      <c r="Q141" s="60">
        <f t="shared" si="80"/>
        <v>0</v>
      </c>
      <c r="R141" s="60">
        <f>ROUND(Q141*$P141*Input!$C$3/365,0)</f>
        <v>0</v>
      </c>
      <c r="S141" s="60">
        <f>IF(A141&lt;=Input!$C$6,0,IF('144M'!O141&lt;'144M'!Q141,'144M'!O141-R141,'144M'!Q141))</f>
        <v>0</v>
      </c>
      <c r="T141" s="60">
        <f t="shared" si="81"/>
        <v>0</v>
      </c>
      <c r="U141" s="60">
        <f t="shared" si="82"/>
        <v>0</v>
      </c>
      <c r="V141" s="193"/>
      <c r="W141" s="169">
        <v>137</v>
      </c>
      <c r="X141" s="1">
        <f t="shared" si="104"/>
        <v>49689</v>
      </c>
      <c r="Y141" s="60">
        <f>IF($X141&lt;Input!$H$58,IF($X141&lt;Input!$G$58,IF($X141&lt;Input!$F$58,IF($X141&lt;Input!$E$58,IF($X141&lt;Input!$D$58,Input!$C$64,Input!$D$64),Input!$E$64),Input!$F$64),Input!$G$64),Input!$H$64)</f>
        <v>0</v>
      </c>
      <c r="Z141" s="190">
        <f>IF($A141&lt;Input!$H$65,IF($A141&lt;Input!$G$65,IF($A141&lt;Input!$F$65,IF($A141&lt;Input!$E$65,IF($A141&lt;Input!$D$65,Input!$C$66,Input!$D$66),Input!$E$66),Input!$F$66),Input!$G$66),Input!$H$66)</f>
        <v>0.9</v>
      </c>
      <c r="AA141" s="60">
        <f t="shared" si="83"/>
        <v>0</v>
      </c>
      <c r="AB141" s="60">
        <f t="shared" si="105"/>
        <v>31</v>
      </c>
      <c r="AC141" s="60">
        <f t="shared" si="84"/>
        <v>0</v>
      </c>
      <c r="AD141" s="60">
        <f>ROUND(AC141*AB141*Input!$C$3/365,0)</f>
        <v>0</v>
      </c>
      <c r="AE141" s="61">
        <f>IF($A141&lt;=Input!$C$6,0,IF('144M'!AA141&lt;'144M'!AC141,'144M'!AA141-AD141,'144M'!AC141))</f>
        <v>0</v>
      </c>
      <c r="AF141" s="61">
        <f t="shared" si="85"/>
        <v>0</v>
      </c>
      <c r="AG141" s="60">
        <f t="shared" si="86"/>
        <v>0</v>
      </c>
      <c r="AH141" s="193"/>
      <c r="AI141" s="169">
        <v>137</v>
      </c>
      <c r="AJ141" s="1">
        <f t="shared" si="106"/>
        <v>49689</v>
      </c>
      <c r="AK141" s="60">
        <f>IF($X141&lt;Input!$H$73,IF($X141&lt;Input!$G$73,IF($X141&lt;Input!$F$73,IF($X141&lt;Input!$E$73,IF($X141&lt;Input!$D$73,Input!$C$79,Input!$D$79),Input!$E$79),Input!$F$79),Input!$G$79),Input!$H$79)</f>
        <v>0</v>
      </c>
      <c r="AL141" s="190">
        <f>IF($A141&lt;Input!$H$80,IF($A141&lt;Input!$G$80,IF($A141&lt;Input!$F$80,IF($A141&lt;Input!$E$80,IF($A141&lt;Input!$D$80,Input!$C$81,Input!$D$81),Input!$E$81),Input!$F$81),Input!$G$81),Input!$H$81)</f>
        <v>0.9</v>
      </c>
      <c r="AM141" s="60">
        <f t="shared" si="87"/>
        <v>0</v>
      </c>
      <c r="AN141" s="60">
        <f t="shared" si="107"/>
        <v>31</v>
      </c>
      <c r="AO141" s="60">
        <f t="shared" si="88"/>
        <v>0</v>
      </c>
      <c r="AP141" s="60">
        <f>ROUND(AO141*AN141*Input!$C$3/365,0)</f>
        <v>0</v>
      </c>
      <c r="AQ141" s="61">
        <f>IF($A141&lt;=Input!$C$6,0,IF('144M'!AM141&lt;'144M'!AO141,'144M'!AM141-AP141,'144M'!AO141))</f>
        <v>0</v>
      </c>
      <c r="AR141" s="61">
        <f t="shared" si="89"/>
        <v>0</v>
      </c>
      <c r="AS141" s="60">
        <f t="shared" si="90"/>
        <v>0</v>
      </c>
      <c r="AT141" s="193"/>
      <c r="AU141" s="169">
        <v>137</v>
      </c>
      <c r="AV141" s="1">
        <f t="shared" si="108"/>
        <v>49689</v>
      </c>
      <c r="AW141" s="60">
        <f>IF($X141&lt;Input!$H$88,IF($X141&lt;Input!$G$88,IF($X141&lt;Input!$F$88,IF($X141&lt;Input!$E$88,IF($X141&lt;Input!$D$88,Input!$C$94,Input!$D$94),Input!$E$94),Input!$F$94),Input!$G$94),Input!$H$94)</f>
        <v>0</v>
      </c>
      <c r="AX141" s="190">
        <f>IF($A141&lt;Input!$H$95,IF($A141&lt;Input!$G$95,IF($A141&lt;Input!$F$95,IF($A141&lt;Input!$E$95,IF($A141&lt;Input!$D$95,Input!$C$96,Input!$D$96),Input!$E$96),Input!$F$96),Input!$G$96),Input!$H$96)</f>
        <v>0.9</v>
      </c>
      <c r="AY141" s="60">
        <f t="shared" si="91"/>
        <v>0</v>
      </c>
      <c r="AZ141" s="60">
        <f t="shared" si="109"/>
        <v>31</v>
      </c>
      <c r="BA141" s="60">
        <f t="shared" si="92"/>
        <v>0</v>
      </c>
      <c r="BB141" s="60">
        <f>ROUND(BA141*AZ141*Input!$C$3/365,0)</f>
        <v>0</v>
      </c>
      <c r="BC141" s="61">
        <f>IF($A141&lt;=Input!$C$6,0,IF('144M'!AY141&lt;'144M'!BA141,'144M'!AY141-BB141,'144M'!BA141))</f>
        <v>0</v>
      </c>
      <c r="BD141" s="61">
        <f t="shared" si="93"/>
        <v>0</v>
      </c>
      <c r="BE141" s="60">
        <f t="shared" si="94"/>
        <v>0</v>
      </c>
      <c r="BF141" s="193"/>
      <c r="BG141" s="169">
        <v>137</v>
      </c>
      <c r="BH141" s="1">
        <f t="shared" si="110"/>
        <v>49689</v>
      </c>
      <c r="BI141" s="60">
        <f>IF($X141&lt;Input!$H$103,IF($X141&lt;Input!$G$103,IF($X141&lt;Input!$F$103,IF($X141&lt;Input!$E$103,IF($X141&lt;Input!$D$103,Input!$C$109,Input!$D$109),Input!$E$109),Input!$F$109),Input!$G$109),Input!$H$109)</f>
        <v>0</v>
      </c>
      <c r="BJ141" s="190">
        <f>IF($A141&lt;Input!$H$110,IF($A141&lt;Input!$G$110,IF($A141&lt;Input!$F$110,IF($A141&lt;Input!$E$110,IF($A141&lt;Input!$D$110,Input!$C$111,Input!$D$111),Input!$E$111),Input!$F$111),Input!$G$111),Input!$H$111)</f>
        <v>0.9</v>
      </c>
      <c r="BK141" s="60">
        <f t="shared" si="95"/>
        <v>0</v>
      </c>
      <c r="BL141" s="60">
        <f t="shared" si="111"/>
        <v>31</v>
      </c>
      <c r="BM141" s="60">
        <f t="shared" si="96"/>
        <v>0</v>
      </c>
      <c r="BN141" s="60">
        <f>ROUND(BM141*BL141*Input!$C$3/365,0)</f>
        <v>0</v>
      </c>
      <c r="BO141" s="61">
        <f>IF($A141&lt;=Input!$C$6,0,IF('144M'!BK141&lt;'144M'!BM141,'144M'!BK141-BN141,'144M'!BM141))</f>
        <v>0</v>
      </c>
      <c r="BP141" s="61">
        <f t="shared" si="97"/>
        <v>0</v>
      </c>
      <c r="BQ141" s="60">
        <f t="shared" si="98"/>
        <v>0</v>
      </c>
      <c r="BR141" s="198"/>
    </row>
    <row r="142" spans="1:70" x14ac:dyDescent="0.25">
      <c r="A142" s="169">
        <v>138</v>
      </c>
      <c r="B142" s="1">
        <f t="shared" si="99"/>
        <v>49720</v>
      </c>
      <c r="C142" s="60">
        <f t="shared" si="77"/>
        <v>33127052.878124986</v>
      </c>
      <c r="D142" s="60">
        <f t="shared" si="78"/>
        <v>29814347.590312488</v>
      </c>
      <c r="E142" s="60">
        <f t="shared" si="100"/>
        <v>31</v>
      </c>
      <c r="F142" s="60">
        <f t="shared" si="101"/>
        <v>0</v>
      </c>
      <c r="G142" s="60">
        <f>ROUND(F142*E142*Input!$C$3/365,0)</f>
        <v>0</v>
      </c>
      <c r="H142" s="60">
        <f>IF($A142&lt;=Input!$C$6,0,IF('144M'!D142&lt;'144M'!F142,'144M'!D142-G142,'144M'!F142))</f>
        <v>0</v>
      </c>
      <c r="I142" s="60">
        <f t="shared" si="102"/>
        <v>0</v>
      </c>
      <c r="J142" s="60">
        <f t="shared" si="103"/>
        <v>0</v>
      </c>
      <c r="K142" s="202">
        <f>J142/Input!$K$5</f>
        <v>0</v>
      </c>
      <c r="L142" s="232"/>
      <c r="M142" s="60">
        <f>IF($B142&lt;Input!$H$43,IF($B142&lt;Input!$G$43,IF($B142&lt;Input!$F$43,IF($B142&lt;Input!$E$43,IF($B142&lt;Input!$D$43,Input!$C$49,Input!$D$49),Input!$E$49),Input!$F$49),Input!$G$49),Input!$H$49)</f>
        <v>33127052.878124986</v>
      </c>
      <c r="N142" s="190">
        <f>IF($A142&lt;Input!$H$50,IF($A142&lt;Input!$G$50,IF($A142&lt;Input!$F$50,IF($A142&lt;Input!$E$50,IF($A142&lt;Input!$D$50,Input!$C$51,Input!$D$51),Input!$E$51),Input!$F$51),Input!$G$51),Input!$H$51)</f>
        <v>0.9</v>
      </c>
      <c r="O142" s="60">
        <f t="shared" si="76"/>
        <v>29814347.590312488</v>
      </c>
      <c r="P142" s="60">
        <f t="shared" si="79"/>
        <v>31</v>
      </c>
      <c r="Q142" s="60">
        <f t="shared" si="80"/>
        <v>0</v>
      </c>
      <c r="R142" s="60">
        <f>ROUND(Q142*$P142*Input!$C$3/365,0)</f>
        <v>0</v>
      </c>
      <c r="S142" s="60">
        <f>IF(A142&lt;=Input!$C$6,0,IF('144M'!O142&lt;'144M'!Q142,'144M'!O142-R142,'144M'!Q142))</f>
        <v>0</v>
      </c>
      <c r="T142" s="60">
        <f t="shared" si="81"/>
        <v>0</v>
      </c>
      <c r="U142" s="60">
        <f t="shared" si="82"/>
        <v>0</v>
      </c>
      <c r="V142" s="193"/>
      <c r="W142" s="169">
        <v>138</v>
      </c>
      <c r="X142" s="1">
        <f t="shared" si="104"/>
        <v>49720</v>
      </c>
      <c r="Y142" s="60">
        <f>IF($X142&lt;Input!$H$58,IF($X142&lt;Input!$G$58,IF($X142&lt;Input!$F$58,IF($X142&lt;Input!$E$58,IF($X142&lt;Input!$D$58,Input!$C$64,Input!$D$64),Input!$E$64),Input!$F$64),Input!$G$64),Input!$H$64)</f>
        <v>0</v>
      </c>
      <c r="Z142" s="190">
        <f>IF($A142&lt;Input!$H$65,IF($A142&lt;Input!$G$65,IF($A142&lt;Input!$F$65,IF($A142&lt;Input!$E$65,IF($A142&lt;Input!$D$65,Input!$C$66,Input!$D$66),Input!$E$66),Input!$F$66),Input!$G$66),Input!$H$66)</f>
        <v>0.9</v>
      </c>
      <c r="AA142" s="60">
        <f t="shared" si="83"/>
        <v>0</v>
      </c>
      <c r="AB142" s="60">
        <f t="shared" si="105"/>
        <v>31</v>
      </c>
      <c r="AC142" s="60">
        <f t="shared" si="84"/>
        <v>0</v>
      </c>
      <c r="AD142" s="60">
        <f>ROUND(AC142*AB142*Input!$C$3/365,0)</f>
        <v>0</v>
      </c>
      <c r="AE142" s="61">
        <f>IF($A142&lt;=Input!$C$6,0,IF('144M'!AA142&lt;'144M'!AC142,'144M'!AA142-AD142,'144M'!AC142))</f>
        <v>0</v>
      </c>
      <c r="AF142" s="61">
        <f t="shared" si="85"/>
        <v>0</v>
      </c>
      <c r="AG142" s="60">
        <f t="shared" si="86"/>
        <v>0</v>
      </c>
      <c r="AH142" s="193"/>
      <c r="AI142" s="169">
        <v>138</v>
      </c>
      <c r="AJ142" s="1">
        <f t="shared" si="106"/>
        <v>49720</v>
      </c>
      <c r="AK142" s="60">
        <f>IF($X142&lt;Input!$H$73,IF($X142&lt;Input!$G$73,IF($X142&lt;Input!$F$73,IF($X142&lt;Input!$E$73,IF($X142&lt;Input!$D$73,Input!$C$79,Input!$D$79),Input!$E$79),Input!$F$79),Input!$G$79),Input!$H$79)</f>
        <v>0</v>
      </c>
      <c r="AL142" s="190">
        <f>IF($A142&lt;Input!$H$80,IF($A142&lt;Input!$G$80,IF($A142&lt;Input!$F$80,IF($A142&lt;Input!$E$80,IF($A142&lt;Input!$D$80,Input!$C$81,Input!$D$81),Input!$E$81),Input!$F$81),Input!$G$81),Input!$H$81)</f>
        <v>0.9</v>
      </c>
      <c r="AM142" s="60">
        <f t="shared" si="87"/>
        <v>0</v>
      </c>
      <c r="AN142" s="60">
        <f t="shared" si="107"/>
        <v>31</v>
      </c>
      <c r="AO142" s="60">
        <f t="shared" si="88"/>
        <v>0</v>
      </c>
      <c r="AP142" s="60">
        <f>ROUND(AO142*AN142*Input!$C$3/365,0)</f>
        <v>0</v>
      </c>
      <c r="AQ142" s="61">
        <f>IF($A142&lt;=Input!$C$6,0,IF('144M'!AM142&lt;'144M'!AO142,'144M'!AM142-AP142,'144M'!AO142))</f>
        <v>0</v>
      </c>
      <c r="AR142" s="61">
        <f t="shared" si="89"/>
        <v>0</v>
      </c>
      <c r="AS142" s="60">
        <f t="shared" si="90"/>
        <v>0</v>
      </c>
      <c r="AT142" s="193"/>
      <c r="AU142" s="169">
        <v>138</v>
      </c>
      <c r="AV142" s="1">
        <f t="shared" si="108"/>
        <v>49720</v>
      </c>
      <c r="AW142" s="60">
        <f>IF($X142&lt;Input!$H$88,IF($X142&lt;Input!$G$88,IF($X142&lt;Input!$F$88,IF($X142&lt;Input!$E$88,IF($X142&lt;Input!$D$88,Input!$C$94,Input!$D$94),Input!$E$94),Input!$F$94),Input!$G$94),Input!$H$94)</f>
        <v>0</v>
      </c>
      <c r="AX142" s="190">
        <f>IF($A142&lt;Input!$H$95,IF($A142&lt;Input!$G$95,IF($A142&lt;Input!$F$95,IF($A142&lt;Input!$E$95,IF($A142&lt;Input!$D$95,Input!$C$96,Input!$D$96),Input!$E$96),Input!$F$96),Input!$G$96),Input!$H$96)</f>
        <v>0.9</v>
      </c>
      <c r="AY142" s="60">
        <f t="shared" si="91"/>
        <v>0</v>
      </c>
      <c r="AZ142" s="60">
        <f t="shared" si="109"/>
        <v>31</v>
      </c>
      <c r="BA142" s="60">
        <f t="shared" si="92"/>
        <v>0</v>
      </c>
      <c r="BB142" s="60">
        <f>ROUND(BA142*AZ142*Input!$C$3/365,0)</f>
        <v>0</v>
      </c>
      <c r="BC142" s="61">
        <f>IF($A142&lt;=Input!$C$6,0,IF('144M'!AY142&lt;'144M'!BA142,'144M'!AY142-BB142,'144M'!BA142))</f>
        <v>0</v>
      </c>
      <c r="BD142" s="61">
        <f t="shared" si="93"/>
        <v>0</v>
      </c>
      <c r="BE142" s="60">
        <f t="shared" si="94"/>
        <v>0</v>
      </c>
      <c r="BF142" s="193"/>
      <c r="BG142" s="169">
        <v>138</v>
      </c>
      <c r="BH142" s="1">
        <f t="shared" si="110"/>
        <v>49720</v>
      </c>
      <c r="BI142" s="60">
        <f>IF($X142&lt;Input!$H$103,IF($X142&lt;Input!$G$103,IF($X142&lt;Input!$F$103,IF($X142&lt;Input!$E$103,IF($X142&lt;Input!$D$103,Input!$C$109,Input!$D$109),Input!$E$109),Input!$F$109),Input!$G$109),Input!$H$109)</f>
        <v>0</v>
      </c>
      <c r="BJ142" s="190">
        <f>IF($A142&lt;Input!$H$110,IF($A142&lt;Input!$G$110,IF($A142&lt;Input!$F$110,IF($A142&lt;Input!$E$110,IF($A142&lt;Input!$D$110,Input!$C$111,Input!$D$111),Input!$E$111),Input!$F$111),Input!$G$111),Input!$H$111)</f>
        <v>0.9</v>
      </c>
      <c r="BK142" s="60">
        <f t="shared" si="95"/>
        <v>0</v>
      </c>
      <c r="BL142" s="60">
        <f t="shared" si="111"/>
        <v>31</v>
      </c>
      <c r="BM142" s="60">
        <f t="shared" si="96"/>
        <v>0</v>
      </c>
      <c r="BN142" s="60">
        <f>ROUND(BM142*BL142*Input!$C$3/365,0)</f>
        <v>0</v>
      </c>
      <c r="BO142" s="61">
        <f>IF($A142&lt;=Input!$C$6,0,IF('144M'!BK142&lt;'144M'!BM142,'144M'!BK142-BN142,'144M'!BM142))</f>
        <v>0</v>
      </c>
      <c r="BP142" s="61">
        <f t="shared" si="97"/>
        <v>0</v>
      </c>
      <c r="BQ142" s="60">
        <f t="shared" si="98"/>
        <v>0</v>
      </c>
      <c r="BR142" s="198"/>
    </row>
    <row r="143" spans="1:70" x14ac:dyDescent="0.25">
      <c r="A143" s="169">
        <v>139</v>
      </c>
      <c r="B143" s="1">
        <f t="shared" si="99"/>
        <v>49749</v>
      </c>
      <c r="C143" s="60">
        <f t="shared" si="77"/>
        <v>33127052.878124986</v>
      </c>
      <c r="D143" s="60">
        <f t="shared" si="78"/>
        <v>29814347.590312488</v>
      </c>
      <c r="E143" s="60">
        <f t="shared" si="100"/>
        <v>29</v>
      </c>
      <c r="F143" s="60">
        <f t="shared" si="101"/>
        <v>0</v>
      </c>
      <c r="G143" s="60">
        <f>ROUND(F143*E143*Input!$C$3/365,0)</f>
        <v>0</v>
      </c>
      <c r="H143" s="60">
        <f>IF($A143&lt;=Input!$C$6,0,IF('144M'!D143&lt;'144M'!F143,'144M'!D143-G143,'144M'!F143))</f>
        <v>0</v>
      </c>
      <c r="I143" s="60">
        <f t="shared" si="102"/>
        <v>0</v>
      </c>
      <c r="J143" s="60">
        <f t="shared" si="103"/>
        <v>0</v>
      </c>
      <c r="K143" s="202">
        <f>J143/Input!$K$5</f>
        <v>0</v>
      </c>
      <c r="L143" s="232"/>
      <c r="M143" s="60">
        <f>IF($B143&lt;Input!$H$43,IF($B143&lt;Input!$G$43,IF($B143&lt;Input!$F$43,IF($B143&lt;Input!$E$43,IF($B143&lt;Input!$D$43,Input!$C$49,Input!$D$49),Input!$E$49),Input!$F$49),Input!$G$49),Input!$H$49)</f>
        <v>33127052.878124986</v>
      </c>
      <c r="N143" s="190">
        <f>IF($A143&lt;Input!$H$50,IF($A143&lt;Input!$G$50,IF($A143&lt;Input!$F$50,IF($A143&lt;Input!$E$50,IF($A143&lt;Input!$D$50,Input!$C$51,Input!$D$51),Input!$E$51),Input!$F$51),Input!$G$51),Input!$H$51)</f>
        <v>0.9</v>
      </c>
      <c r="O143" s="60">
        <f t="shared" si="76"/>
        <v>29814347.590312488</v>
      </c>
      <c r="P143" s="60">
        <f t="shared" si="79"/>
        <v>29</v>
      </c>
      <c r="Q143" s="60">
        <f t="shared" si="80"/>
        <v>0</v>
      </c>
      <c r="R143" s="60">
        <f>ROUND(Q143*$P143*Input!$C$3/365,0)</f>
        <v>0</v>
      </c>
      <c r="S143" s="60">
        <f>IF(A143&lt;=Input!$C$6,0,IF('144M'!O143&lt;'144M'!Q143,'144M'!O143-R143,'144M'!Q143))</f>
        <v>0</v>
      </c>
      <c r="T143" s="60">
        <f t="shared" si="81"/>
        <v>0</v>
      </c>
      <c r="U143" s="60">
        <f t="shared" si="82"/>
        <v>0</v>
      </c>
      <c r="V143" s="193"/>
      <c r="W143" s="169">
        <v>139</v>
      </c>
      <c r="X143" s="1">
        <f t="shared" si="104"/>
        <v>49749</v>
      </c>
      <c r="Y143" s="60">
        <f>IF($X143&lt;Input!$H$58,IF($X143&lt;Input!$G$58,IF($X143&lt;Input!$F$58,IF($X143&lt;Input!$E$58,IF($X143&lt;Input!$D$58,Input!$C$64,Input!$D$64),Input!$E$64),Input!$F$64),Input!$G$64),Input!$H$64)</f>
        <v>0</v>
      </c>
      <c r="Z143" s="190">
        <f>IF($A143&lt;Input!$H$65,IF($A143&lt;Input!$G$65,IF($A143&lt;Input!$F$65,IF($A143&lt;Input!$E$65,IF($A143&lt;Input!$D$65,Input!$C$66,Input!$D$66),Input!$E$66),Input!$F$66),Input!$G$66),Input!$H$66)</f>
        <v>0.9</v>
      </c>
      <c r="AA143" s="60">
        <f t="shared" si="83"/>
        <v>0</v>
      </c>
      <c r="AB143" s="60">
        <f t="shared" si="105"/>
        <v>29</v>
      </c>
      <c r="AC143" s="60">
        <f t="shared" si="84"/>
        <v>0</v>
      </c>
      <c r="AD143" s="60">
        <f>ROUND(AC143*AB143*Input!$C$3/365,0)</f>
        <v>0</v>
      </c>
      <c r="AE143" s="61">
        <f>IF($A143&lt;=Input!$C$6,0,IF('144M'!AA143&lt;'144M'!AC143,'144M'!AA143-AD143,'144M'!AC143))</f>
        <v>0</v>
      </c>
      <c r="AF143" s="61">
        <f t="shared" si="85"/>
        <v>0</v>
      </c>
      <c r="AG143" s="60">
        <f t="shared" si="86"/>
        <v>0</v>
      </c>
      <c r="AH143" s="193"/>
      <c r="AI143" s="169">
        <v>139</v>
      </c>
      <c r="AJ143" s="1">
        <f t="shared" si="106"/>
        <v>49749</v>
      </c>
      <c r="AK143" s="60">
        <f>IF($X143&lt;Input!$H$73,IF($X143&lt;Input!$G$73,IF($X143&lt;Input!$F$73,IF($X143&lt;Input!$E$73,IF($X143&lt;Input!$D$73,Input!$C$79,Input!$D$79),Input!$E$79),Input!$F$79),Input!$G$79),Input!$H$79)</f>
        <v>0</v>
      </c>
      <c r="AL143" s="190">
        <f>IF($A143&lt;Input!$H$80,IF($A143&lt;Input!$G$80,IF($A143&lt;Input!$F$80,IF($A143&lt;Input!$E$80,IF($A143&lt;Input!$D$80,Input!$C$81,Input!$D$81),Input!$E$81),Input!$F$81),Input!$G$81),Input!$H$81)</f>
        <v>0.9</v>
      </c>
      <c r="AM143" s="60">
        <f t="shared" si="87"/>
        <v>0</v>
      </c>
      <c r="AN143" s="60">
        <f t="shared" si="107"/>
        <v>29</v>
      </c>
      <c r="AO143" s="60">
        <f t="shared" si="88"/>
        <v>0</v>
      </c>
      <c r="AP143" s="60">
        <f>ROUND(AO143*AN143*Input!$C$3/365,0)</f>
        <v>0</v>
      </c>
      <c r="AQ143" s="61">
        <f>IF($A143&lt;=Input!$C$6,0,IF('144M'!AM143&lt;'144M'!AO143,'144M'!AM143-AP143,'144M'!AO143))</f>
        <v>0</v>
      </c>
      <c r="AR143" s="61">
        <f t="shared" si="89"/>
        <v>0</v>
      </c>
      <c r="AS143" s="60">
        <f t="shared" si="90"/>
        <v>0</v>
      </c>
      <c r="AT143" s="193"/>
      <c r="AU143" s="169">
        <v>139</v>
      </c>
      <c r="AV143" s="1">
        <f t="shared" si="108"/>
        <v>49749</v>
      </c>
      <c r="AW143" s="60">
        <f>IF($X143&lt;Input!$H$88,IF($X143&lt;Input!$G$88,IF($X143&lt;Input!$F$88,IF($X143&lt;Input!$E$88,IF($X143&lt;Input!$D$88,Input!$C$94,Input!$D$94),Input!$E$94),Input!$F$94),Input!$G$94),Input!$H$94)</f>
        <v>0</v>
      </c>
      <c r="AX143" s="190">
        <f>IF($A143&lt;Input!$H$95,IF($A143&lt;Input!$G$95,IF($A143&lt;Input!$F$95,IF($A143&lt;Input!$E$95,IF($A143&lt;Input!$D$95,Input!$C$96,Input!$D$96),Input!$E$96),Input!$F$96),Input!$G$96),Input!$H$96)</f>
        <v>0.9</v>
      </c>
      <c r="AY143" s="60">
        <f t="shared" si="91"/>
        <v>0</v>
      </c>
      <c r="AZ143" s="60">
        <f t="shared" si="109"/>
        <v>29</v>
      </c>
      <c r="BA143" s="60">
        <f t="shared" si="92"/>
        <v>0</v>
      </c>
      <c r="BB143" s="60">
        <f>ROUND(BA143*AZ143*Input!$C$3/365,0)</f>
        <v>0</v>
      </c>
      <c r="BC143" s="61">
        <f>IF($A143&lt;=Input!$C$6,0,IF('144M'!AY143&lt;'144M'!BA143,'144M'!AY143-BB143,'144M'!BA143))</f>
        <v>0</v>
      </c>
      <c r="BD143" s="61">
        <f t="shared" si="93"/>
        <v>0</v>
      </c>
      <c r="BE143" s="60">
        <f t="shared" si="94"/>
        <v>0</v>
      </c>
      <c r="BF143" s="193"/>
      <c r="BG143" s="169">
        <v>139</v>
      </c>
      <c r="BH143" s="1">
        <f t="shared" si="110"/>
        <v>49749</v>
      </c>
      <c r="BI143" s="60">
        <f>IF($X143&lt;Input!$H$103,IF($X143&lt;Input!$G$103,IF($X143&lt;Input!$F$103,IF($X143&lt;Input!$E$103,IF($X143&lt;Input!$D$103,Input!$C$109,Input!$D$109),Input!$E$109),Input!$F$109),Input!$G$109),Input!$H$109)</f>
        <v>0</v>
      </c>
      <c r="BJ143" s="190">
        <f>IF($A143&lt;Input!$H$110,IF($A143&lt;Input!$G$110,IF($A143&lt;Input!$F$110,IF($A143&lt;Input!$E$110,IF($A143&lt;Input!$D$110,Input!$C$111,Input!$D$111),Input!$E$111),Input!$F$111),Input!$G$111),Input!$H$111)</f>
        <v>0.9</v>
      </c>
      <c r="BK143" s="60">
        <f t="shared" si="95"/>
        <v>0</v>
      </c>
      <c r="BL143" s="60">
        <f t="shared" si="111"/>
        <v>29</v>
      </c>
      <c r="BM143" s="60">
        <f t="shared" si="96"/>
        <v>0</v>
      </c>
      <c r="BN143" s="60">
        <f>ROUND(BM143*BL143*Input!$C$3/365,0)</f>
        <v>0</v>
      </c>
      <c r="BO143" s="61">
        <f>IF($A143&lt;=Input!$C$6,0,IF('144M'!BK143&lt;'144M'!BM143,'144M'!BK143-BN143,'144M'!BM143))</f>
        <v>0</v>
      </c>
      <c r="BP143" s="61">
        <f t="shared" si="97"/>
        <v>0</v>
      </c>
      <c r="BQ143" s="60">
        <f t="shared" si="98"/>
        <v>0</v>
      </c>
      <c r="BR143" s="198"/>
    </row>
    <row r="144" spans="1:70" x14ac:dyDescent="0.25">
      <c r="A144" s="169">
        <v>140</v>
      </c>
      <c r="B144" s="1">
        <f t="shared" si="99"/>
        <v>49780</v>
      </c>
      <c r="C144" s="60">
        <f t="shared" si="77"/>
        <v>33127052.878124986</v>
      </c>
      <c r="D144" s="60">
        <f t="shared" si="78"/>
        <v>29814347.590312488</v>
      </c>
      <c r="E144" s="60">
        <f t="shared" si="100"/>
        <v>31</v>
      </c>
      <c r="F144" s="60">
        <f t="shared" si="101"/>
        <v>0</v>
      </c>
      <c r="G144" s="60">
        <f>ROUND(F144*E144*Input!$C$3/365,0)</f>
        <v>0</v>
      </c>
      <c r="H144" s="60">
        <f>IF($A144&lt;=Input!$C$6,0,IF('144M'!D144&lt;'144M'!F144,'144M'!D144-G144,'144M'!F144))</f>
        <v>0</v>
      </c>
      <c r="I144" s="60">
        <f t="shared" si="102"/>
        <v>0</v>
      </c>
      <c r="J144" s="60">
        <f t="shared" si="103"/>
        <v>0</v>
      </c>
      <c r="K144" s="202">
        <f>J144/Input!$K$5</f>
        <v>0</v>
      </c>
      <c r="L144" s="232"/>
      <c r="M144" s="60">
        <f>IF($B144&lt;Input!$H$43,IF($B144&lt;Input!$G$43,IF($B144&lt;Input!$F$43,IF($B144&lt;Input!$E$43,IF($B144&lt;Input!$D$43,Input!$C$49,Input!$D$49),Input!$E$49),Input!$F$49),Input!$G$49),Input!$H$49)</f>
        <v>33127052.878124986</v>
      </c>
      <c r="N144" s="190">
        <f>IF($A144&lt;Input!$H$50,IF($A144&lt;Input!$G$50,IF($A144&lt;Input!$F$50,IF($A144&lt;Input!$E$50,IF($A144&lt;Input!$D$50,Input!$C$51,Input!$D$51),Input!$E$51),Input!$F$51),Input!$G$51),Input!$H$51)</f>
        <v>0.9</v>
      </c>
      <c r="O144" s="60">
        <f t="shared" si="76"/>
        <v>29814347.590312488</v>
      </c>
      <c r="P144" s="60">
        <f t="shared" si="79"/>
        <v>31</v>
      </c>
      <c r="Q144" s="60">
        <f t="shared" si="80"/>
        <v>0</v>
      </c>
      <c r="R144" s="60">
        <f>ROUND(Q144*$P144*Input!$C$3/365,0)</f>
        <v>0</v>
      </c>
      <c r="S144" s="60">
        <f>IF(A144&lt;=Input!$C$6,0,IF('144M'!O144&lt;'144M'!Q144,'144M'!O144-R144,'144M'!Q144))</f>
        <v>0</v>
      </c>
      <c r="T144" s="60">
        <f t="shared" si="81"/>
        <v>0</v>
      </c>
      <c r="U144" s="60">
        <f t="shared" si="82"/>
        <v>0</v>
      </c>
      <c r="V144" s="193"/>
      <c r="W144" s="169">
        <v>140</v>
      </c>
      <c r="X144" s="1">
        <f t="shared" si="104"/>
        <v>49780</v>
      </c>
      <c r="Y144" s="60">
        <f>IF($X144&lt;Input!$H$58,IF($X144&lt;Input!$G$58,IF($X144&lt;Input!$F$58,IF($X144&lt;Input!$E$58,IF($X144&lt;Input!$D$58,Input!$C$64,Input!$D$64),Input!$E$64),Input!$F$64),Input!$G$64),Input!$H$64)</f>
        <v>0</v>
      </c>
      <c r="Z144" s="190">
        <f>IF($A144&lt;Input!$H$65,IF($A144&lt;Input!$G$65,IF($A144&lt;Input!$F$65,IF($A144&lt;Input!$E$65,IF($A144&lt;Input!$D$65,Input!$C$66,Input!$D$66),Input!$E$66),Input!$F$66),Input!$G$66),Input!$H$66)</f>
        <v>0.9</v>
      </c>
      <c r="AA144" s="60">
        <f t="shared" si="83"/>
        <v>0</v>
      </c>
      <c r="AB144" s="60">
        <f t="shared" si="105"/>
        <v>31</v>
      </c>
      <c r="AC144" s="60">
        <f t="shared" si="84"/>
        <v>0</v>
      </c>
      <c r="AD144" s="60">
        <f>ROUND(AC144*AB144*Input!$C$3/365,0)</f>
        <v>0</v>
      </c>
      <c r="AE144" s="61">
        <f>IF($A144&lt;=Input!$C$6,0,IF('144M'!AA144&lt;'144M'!AC144,'144M'!AA144-AD144,'144M'!AC144))</f>
        <v>0</v>
      </c>
      <c r="AF144" s="61">
        <f t="shared" si="85"/>
        <v>0</v>
      </c>
      <c r="AG144" s="60">
        <f t="shared" si="86"/>
        <v>0</v>
      </c>
      <c r="AH144" s="193"/>
      <c r="AI144" s="169">
        <v>140</v>
      </c>
      <c r="AJ144" s="1">
        <f t="shared" si="106"/>
        <v>49780</v>
      </c>
      <c r="AK144" s="60">
        <f>IF($X144&lt;Input!$H$73,IF($X144&lt;Input!$G$73,IF($X144&lt;Input!$F$73,IF($X144&lt;Input!$E$73,IF($X144&lt;Input!$D$73,Input!$C$79,Input!$D$79),Input!$E$79),Input!$F$79),Input!$G$79),Input!$H$79)</f>
        <v>0</v>
      </c>
      <c r="AL144" s="190">
        <f>IF($A144&lt;Input!$H$80,IF($A144&lt;Input!$G$80,IF($A144&lt;Input!$F$80,IF($A144&lt;Input!$E$80,IF($A144&lt;Input!$D$80,Input!$C$81,Input!$D$81),Input!$E$81),Input!$F$81),Input!$G$81),Input!$H$81)</f>
        <v>0.9</v>
      </c>
      <c r="AM144" s="60">
        <f t="shared" si="87"/>
        <v>0</v>
      </c>
      <c r="AN144" s="60">
        <f t="shared" si="107"/>
        <v>31</v>
      </c>
      <c r="AO144" s="60">
        <f t="shared" si="88"/>
        <v>0</v>
      </c>
      <c r="AP144" s="60">
        <f>ROUND(AO144*AN144*Input!$C$3/365,0)</f>
        <v>0</v>
      </c>
      <c r="AQ144" s="61">
        <f>IF($A144&lt;=Input!$C$6,0,IF('144M'!AM144&lt;'144M'!AO144,'144M'!AM144-AP144,'144M'!AO144))</f>
        <v>0</v>
      </c>
      <c r="AR144" s="61">
        <f t="shared" si="89"/>
        <v>0</v>
      </c>
      <c r="AS144" s="60">
        <f t="shared" si="90"/>
        <v>0</v>
      </c>
      <c r="AT144" s="193"/>
      <c r="AU144" s="169">
        <v>140</v>
      </c>
      <c r="AV144" s="1">
        <f t="shared" si="108"/>
        <v>49780</v>
      </c>
      <c r="AW144" s="60">
        <f>IF($X144&lt;Input!$H$88,IF($X144&lt;Input!$G$88,IF($X144&lt;Input!$F$88,IF($X144&lt;Input!$E$88,IF($X144&lt;Input!$D$88,Input!$C$94,Input!$D$94),Input!$E$94),Input!$F$94),Input!$G$94),Input!$H$94)</f>
        <v>0</v>
      </c>
      <c r="AX144" s="190">
        <f>IF($A144&lt;Input!$H$95,IF($A144&lt;Input!$G$95,IF($A144&lt;Input!$F$95,IF($A144&lt;Input!$E$95,IF($A144&lt;Input!$D$95,Input!$C$96,Input!$D$96),Input!$E$96),Input!$F$96),Input!$G$96),Input!$H$96)</f>
        <v>0.9</v>
      </c>
      <c r="AY144" s="60">
        <f t="shared" si="91"/>
        <v>0</v>
      </c>
      <c r="AZ144" s="60">
        <f t="shared" si="109"/>
        <v>31</v>
      </c>
      <c r="BA144" s="60">
        <f t="shared" si="92"/>
        <v>0</v>
      </c>
      <c r="BB144" s="60">
        <f>ROUND(BA144*AZ144*Input!$C$3/365,0)</f>
        <v>0</v>
      </c>
      <c r="BC144" s="61">
        <f>IF($A144&lt;=Input!$C$6,0,IF('144M'!AY144&lt;'144M'!BA144,'144M'!AY144-BB144,'144M'!BA144))</f>
        <v>0</v>
      </c>
      <c r="BD144" s="61">
        <f t="shared" si="93"/>
        <v>0</v>
      </c>
      <c r="BE144" s="60">
        <f t="shared" si="94"/>
        <v>0</v>
      </c>
      <c r="BF144" s="193"/>
      <c r="BG144" s="169">
        <v>140</v>
      </c>
      <c r="BH144" s="1">
        <f t="shared" si="110"/>
        <v>49780</v>
      </c>
      <c r="BI144" s="60">
        <f>IF($X144&lt;Input!$H$103,IF($X144&lt;Input!$G$103,IF($X144&lt;Input!$F$103,IF($X144&lt;Input!$E$103,IF($X144&lt;Input!$D$103,Input!$C$109,Input!$D$109),Input!$E$109),Input!$F$109),Input!$G$109),Input!$H$109)</f>
        <v>0</v>
      </c>
      <c r="BJ144" s="190">
        <f>IF($A144&lt;Input!$H$110,IF($A144&lt;Input!$G$110,IF($A144&lt;Input!$F$110,IF($A144&lt;Input!$E$110,IF($A144&lt;Input!$D$110,Input!$C$111,Input!$D$111),Input!$E$111),Input!$F$111),Input!$G$111),Input!$H$111)</f>
        <v>0.9</v>
      </c>
      <c r="BK144" s="60">
        <f t="shared" si="95"/>
        <v>0</v>
      </c>
      <c r="BL144" s="60">
        <f t="shared" si="111"/>
        <v>31</v>
      </c>
      <c r="BM144" s="60">
        <f t="shared" si="96"/>
        <v>0</v>
      </c>
      <c r="BN144" s="60">
        <f>ROUND(BM144*BL144*Input!$C$3/365,0)</f>
        <v>0</v>
      </c>
      <c r="BO144" s="61">
        <f>IF($A144&lt;=Input!$C$6,0,IF('144M'!BK144&lt;'144M'!BM144,'144M'!BK144-BN144,'144M'!BM144))</f>
        <v>0</v>
      </c>
      <c r="BP144" s="61">
        <f t="shared" si="97"/>
        <v>0</v>
      </c>
      <c r="BQ144" s="60">
        <f t="shared" si="98"/>
        <v>0</v>
      </c>
      <c r="BR144" s="198"/>
    </row>
    <row r="145" spans="1:70" x14ac:dyDescent="0.25">
      <c r="A145" s="169">
        <v>141</v>
      </c>
      <c r="B145" s="1">
        <f t="shared" si="99"/>
        <v>49810</v>
      </c>
      <c r="C145" s="60">
        <f t="shared" si="77"/>
        <v>33127052.878124986</v>
      </c>
      <c r="D145" s="60">
        <f t="shared" si="78"/>
        <v>29814347.590312488</v>
      </c>
      <c r="E145" s="60">
        <f t="shared" si="100"/>
        <v>30</v>
      </c>
      <c r="F145" s="60">
        <f t="shared" si="101"/>
        <v>0</v>
      </c>
      <c r="G145" s="60">
        <f>ROUND(F145*E145*Input!$C$3/365,0)</f>
        <v>0</v>
      </c>
      <c r="H145" s="60">
        <f>IF($A145&lt;=Input!$C$6,0,IF('144M'!D145&lt;'144M'!F145,'144M'!D145-G145,'144M'!F145))</f>
        <v>0</v>
      </c>
      <c r="I145" s="60">
        <f t="shared" si="102"/>
        <v>0</v>
      </c>
      <c r="J145" s="60">
        <f t="shared" si="103"/>
        <v>0</v>
      </c>
      <c r="K145" s="202">
        <f>J145/Input!$K$5</f>
        <v>0</v>
      </c>
      <c r="L145" s="232"/>
      <c r="M145" s="60">
        <f>IF($B145&lt;Input!$H$43,IF($B145&lt;Input!$G$43,IF($B145&lt;Input!$F$43,IF($B145&lt;Input!$E$43,IF($B145&lt;Input!$D$43,Input!$C$49,Input!$D$49),Input!$E$49),Input!$F$49),Input!$G$49),Input!$H$49)</f>
        <v>33127052.878124986</v>
      </c>
      <c r="N145" s="190">
        <f>IF($A145&lt;Input!$H$50,IF($A145&lt;Input!$G$50,IF($A145&lt;Input!$F$50,IF($A145&lt;Input!$E$50,IF($A145&lt;Input!$D$50,Input!$C$51,Input!$D$51),Input!$E$51),Input!$F$51),Input!$G$51),Input!$H$51)</f>
        <v>0.9</v>
      </c>
      <c r="O145" s="60">
        <f t="shared" si="76"/>
        <v>29814347.590312488</v>
      </c>
      <c r="P145" s="60">
        <f t="shared" si="79"/>
        <v>30</v>
      </c>
      <c r="Q145" s="60">
        <f t="shared" si="80"/>
        <v>0</v>
      </c>
      <c r="R145" s="60">
        <f>ROUND(Q145*$P145*Input!$C$3/365,0)</f>
        <v>0</v>
      </c>
      <c r="S145" s="60">
        <f>IF(A145&lt;=Input!$C$6,0,IF('144M'!O145&lt;'144M'!Q145,'144M'!O145-R145,'144M'!Q145))</f>
        <v>0</v>
      </c>
      <c r="T145" s="60">
        <f t="shared" si="81"/>
        <v>0</v>
      </c>
      <c r="U145" s="60">
        <f t="shared" si="82"/>
        <v>0</v>
      </c>
      <c r="V145" s="193"/>
      <c r="W145" s="169">
        <v>141</v>
      </c>
      <c r="X145" s="1">
        <f t="shared" si="104"/>
        <v>49810</v>
      </c>
      <c r="Y145" s="60">
        <f>IF($X145&lt;Input!$H$58,IF($X145&lt;Input!$G$58,IF($X145&lt;Input!$F$58,IF($X145&lt;Input!$E$58,IF($X145&lt;Input!$D$58,Input!$C$64,Input!$D$64),Input!$E$64),Input!$F$64),Input!$G$64),Input!$H$64)</f>
        <v>0</v>
      </c>
      <c r="Z145" s="190">
        <f>IF($A145&lt;Input!$H$65,IF($A145&lt;Input!$G$65,IF($A145&lt;Input!$F$65,IF($A145&lt;Input!$E$65,IF($A145&lt;Input!$D$65,Input!$C$66,Input!$D$66),Input!$E$66),Input!$F$66),Input!$G$66),Input!$H$66)</f>
        <v>0.9</v>
      </c>
      <c r="AA145" s="60">
        <f t="shared" si="83"/>
        <v>0</v>
      </c>
      <c r="AB145" s="60">
        <f t="shared" si="105"/>
        <v>30</v>
      </c>
      <c r="AC145" s="60">
        <f t="shared" si="84"/>
        <v>0</v>
      </c>
      <c r="AD145" s="60">
        <f>ROUND(AC145*AB145*Input!$C$3/365,0)</f>
        <v>0</v>
      </c>
      <c r="AE145" s="61">
        <f>IF($A145&lt;=Input!$C$6,0,IF('144M'!AA145&lt;'144M'!AC145,'144M'!AA145-AD145,'144M'!AC145))</f>
        <v>0</v>
      </c>
      <c r="AF145" s="61">
        <f t="shared" si="85"/>
        <v>0</v>
      </c>
      <c r="AG145" s="60">
        <f t="shared" si="86"/>
        <v>0</v>
      </c>
      <c r="AH145" s="193"/>
      <c r="AI145" s="169">
        <v>141</v>
      </c>
      <c r="AJ145" s="1">
        <f t="shared" si="106"/>
        <v>49810</v>
      </c>
      <c r="AK145" s="60">
        <f>IF($X145&lt;Input!$H$73,IF($X145&lt;Input!$G$73,IF($X145&lt;Input!$F$73,IF($X145&lt;Input!$E$73,IF($X145&lt;Input!$D$73,Input!$C$79,Input!$D$79),Input!$E$79),Input!$F$79),Input!$G$79),Input!$H$79)</f>
        <v>0</v>
      </c>
      <c r="AL145" s="190">
        <f>IF($A145&lt;Input!$H$80,IF($A145&lt;Input!$G$80,IF($A145&lt;Input!$F$80,IF($A145&lt;Input!$E$80,IF($A145&lt;Input!$D$80,Input!$C$81,Input!$D$81),Input!$E$81),Input!$F$81),Input!$G$81),Input!$H$81)</f>
        <v>0.9</v>
      </c>
      <c r="AM145" s="60">
        <f t="shared" si="87"/>
        <v>0</v>
      </c>
      <c r="AN145" s="60">
        <f t="shared" si="107"/>
        <v>30</v>
      </c>
      <c r="AO145" s="60">
        <f t="shared" si="88"/>
        <v>0</v>
      </c>
      <c r="AP145" s="60">
        <f>ROUND(AO145*AN145*Input!$C$3/365,0)</f>
        <v>0</v>
      </c>
      <c r="AQ145" s="61">
        <f>IF($A145&lt;=Input!$C$6,0,IF('144M'!AM145&lt;'144M'!AO145,'144M'!AM145-AP145,'144M'!AO145))</f>
        <v>0</v>
      </c>
      <c r="AR145" s="61">
        <f t="shared" si="89"/>
        <v>0</v>
      </c>
      <c r="AS145" s="60">
        <f t="shared" si="90"/>
        <v>0</v>
      </c>
      <c r="AT145" s="193"/>
      <c r="AU145" s="169">
        <v>141</v>
      </c>
      <c r="AV145" s="1">
        <f t="shared" si="108"/>
        <v>49810</v>
      </c>
      <c r="AW145" s="60">
        <f>IF($X145&lt;Input!$H$88,IF($X145&lt;Input!$G$88,IF($X145&lt;Input!$F$88,IF($X145&lt;Input!$E$88,IF($X145&lt;Input!$D$88,Input!$C$94,Input!$D$94),Input!$E$94),Input!$F$94),Input!$G$94),Input!$H$94)</f>
        <v>0</v>
      </c>
      <c r="AX145" s="190">
        <f>IF($A145&lt;Input!$H$95,IF($A145&lt;Input!$G$95,IF($A145&lt;Input!$F$95,IF($A145&lt;Input!$E$95,IF($A145&lt;Input!$D$95,Input!$C$96,Input!$D$96),Input!$E$96),Input!$F$96),Input!$G$96),Input!$H$96)</f>
        <v>0.9</v>
      </c>
      <c r="AY145" s="60">
        <f t="shared" si="91"/>
        <v>0</v>
      </c>
      <c r="AZ145" s="60">
        <f t="shared" si="109"/>
        <v>30</v>
      </c>
      <c r="BA145" s="60">
        <f t="shared" si="92"/>
        <v>0</v>
      </c>
      <c r="BB145" s="60">
        <f>ROUND(BA145*AZ145*Input!$C$3/365,0)</f>
        <v>0</v>
      </c>
      <c r="BC145" s="61">
        <f>IF($A145&lt;=Input!$C$6,0,IF('144M'!AY145&lt;'144M'!BA145,'144M'!AY145-BB145,'144M'!BA145))</f>
        <v>0</v>
      </c>
      <c r="BD145" s="61">
        <f t="shared" si="93"/>
        <v>0</v>
      </c>
      <c r="BE145" s="60">
        <f t="shared" si="94"/>
        <v>0</v>
      </c>
      <c r="BF145" s="193"/>
      <c r="BG145" s="169">
        <v>141</v>
      </c>
      <c r="BH145" s="1">
        <f t="shared" si="110"/>
        <v>49810</v>
      </c>
      <c r="BI145" s="60">
        <f>IF($X145&lt;Input!$H$103,IF($X145&lt;Input!$G$103,IF($X145&lt;Input!$F$103,IF($X145&lt;Input!$E$103,IF($X145&lt;Input!$D$103,Input!$C$109,Input!$D$109),Input!$E$109),Input!$F$109),Input!$G$109),Input!$H$109)</f>
        <v>0</v>
      </c>
      <c r="BJ145" s="190">
        <f>IF($A145&lt;Input!$H$110,IF($A145&lt;Input!$G$110,IF($A145&lt;Input!$F$110,IF($A145&lt;Input!$E$110,IF($A145&lt;Input!$D$110,Input!$C$111,Input!$D$111),Input!$E$111),Input!$F$111),Input!$G$111),Input!$H$111)</f>
        <v>0.9</v>
      </c>
      <c r="BK145" s="60">
        <f t="shared" si="95"/>
        <v>0</v>
      </c>
      <c r="BL145" s="60">
        <f t="shared" si="111"/>
        <v>30</v>
      </c>
      <c r="BM145" s="60">
        <f t="shared" si="96"/>
        <v>0</v>
      </c>
      <c r="BN145" s="60">
        <f>ROUND(BM145*BL145*Input!$C$3/365,0)</f>
        <v>0</v>
      </c>
      <c r="BO145" s="61">
        <f>IF($A145&lt;=Input!$C$6,0,IF('144M'!BK145&lt;'144M'!BM145,'144M'!BK145-BN145,'144M'!BM145))</f>
        <v>0</v>
      </c>
      <c r="BP145" s="61">
        <f t="shared" si="97"/>
        <v>0</v>
      </c>
      <c r="BQ145" s="60">
        <f t="shared" si="98"/>
        <v>0</v>
      </c>
      <c r="BR145" s="198"/>
    </row>
    <row r="146" spans="1:70" x14ac:dyDescent="0.25">
      <c r="A146" s="169">
        <v>142</v>
      </c>
      <c r="B146" s="1">
        <f t="shared" si="99"/>
        <v>49841</v>
      </c>
      <c r="C146" s="60">
        <f t="shared" si="77"/>
        <v>33127052.878124986</v>
      </c>
      <c r="D146" s="60">
        <f t="shared" si="78"/>
        <v>29814347.590312488</v>
      </c>
      <c r="E146" s="60">
        <f t="shared" si="100"/>
        <v>31</v>
      </c>
      <c r="F146" s="60">
        <f t="shared" si="101"/>
        <v>0</v>
      </c>
      <c r="G146" s="60">
        <f>ROUND(F146*E146*Input!$C$3/365,0)</f>
        <v>0</v>
      </c>
      <c r="H146" s="60">
        <f>IF($A146&lt;=Input!$C$6,0,IF('144M'!D146&lt;'144M'!F146,'144M'!D146-G146,'144M'!F146))</f>
        <v>0</v>
      </c>
      <c r="I146" s="60">
        <f t="shared" si="102"/>
        <v>0</v>
      </c>
      <c r="J146" s="60">
        <f t="shared" si="103"/>
        <v>0</v>
      </c>
      <c r="K146" s="202">
        <f>J146/Input!$K$5</f>
        <v>0</v>
      </c>
      <c r="L146" s="232"/>
      <c r="M146" s="60">
        <f>IF($B146&lt;Input!$H$43,IF($B146&lt;Input!$G$43,IF($B146&lt;Input!$F$43,IF($B146&lt;Input!$E$43,IF($B146&lt;Input!$D$43,Input!$C$49,Input!$D$49),Input!$E$49),Input!$F$49),Input!$G$49),Input!$H$49)</f>
        <v>33127052.878124986</v>
      </c>
      <c r="N146" s="190">
        <f>IF($A146&lt;Input!$H$50,IF($A146&lt;Input!$G$50,IF($A146&lt;Input!$F$50,IF($A146&lt;Input!$E$50,IF($A146&lt;Input!$D$50,Input!$C$51,Input!$D$51),Input!$E$51),Input!$F$51),Input!$G$51),Input!$H$51)</f>
        <v>0.9</v>
      </c>
      <c r="O146" s="60">
        <f t="shared" si="76"/>
        <v>29814347.590312488</v>
      </c>
      <c r="P146" s="60">
        <f t="shared" si="79"/>
        <v>31</v>
      </c>
      <c r="Q146" s="60">
        <f t="shared" si="80"/>
        <v>0</v>
      </c>
      <c r="R146" s="60">
        <f>ROUND(Q146*$P146*Input!$C$3/365,0)</f>
        <v>0</v>
      </c>
      <c r="S146" s="60">
        <f>IF(A146&lt;=Input!$C$6,0,IF('144M'!O146&lt;'144M'!Q146,'144M'!O146-R146,'144M'!Q146))</f>
        <v>0</v>
      </c>
      <c r="T146" s="60">
        <f t="shared" si="81"/>
        <v>0</v>
      </c>
      <c r="U146" s="60">
        <f t="shared" si="82"/>
        <v>0</v>
      </c>
      <c r="V146" s="193"/>
      <c r="W146" s="169">
        <v>142</v>
      </c>
      <c r="X146" s="1">
        <f t="shared" si="104"/>
        <v>49841</v>
      </c>
      <c r="Y146" s="60">
        <f>IF($X146&lt;Input!$H$58,IF($X146&lt;Input!$G$58,IF($X146&lt;Input!$F$58,IF($X146&lt;Input!$E$58,IF($X146&lt;Input!$D$58,Input!$C$64,Input!$D$64),Input!$E$64),Input!$F$64),Input!$G$64),Input!$H$64)</f>
        <v>0</v>
      </c>
      <c r="Z146" s="190">
        <f>IF($A146&lt;Input!$H$65,IF($A146&lt;Input!$G$65,IF($A146&lt;Input!$F$65,IF($A146&lt;Input!$E$65,IF($A146&lt;Input!$D$65,Input!$C$66,Input!$D$66),Input!$E$66),Input!$F$66),Input!$G$66),Input!$H$66)</f>
        <v>0.9</v>
      </c>
      <c r="AA146" s="60">
        <f t="shared" si="83"/>
        <v>0</v>
      </c>
      <c r="AB146" s="60">
        <f t="shared" si="105"/>
        <v>31</v>
      </c>
      <c r="AC146" s="60">
        <f t="shared" si="84"/>
        <v>0</v>
      </c>
      <c r="AD146" s="60">
        <f>ROUND(AC146*AB146*Input!$C$3/365,0)</f>
        <v>0</v>
      </c>
      <c r="AE146" s="61">
        <f>IF($A146&lt;=Input!$C$6,0,IF('144M'!AA146&lt;'144M'!AC146,'144M'!AA146-AD146,'144M'!AC146))</f>
        <v>0</v>
      </c>
      <c r="AF146" s="61">
        <f t="shared" si="85"/>
        <v>0</v>
      </c>
      <c r="AG146" s="60">
        <f t="shared" si="86"/>
        <v>0</v>
      </c>
      <c r="AH146" s="193"/>
      <c r="AI146" s="169">
        <v>142</v>
      </c>
      <c r="AJ146" s="1">
        <f t="shared" si="106"/>
        <v>49841</v>
      </c>
      <c r="AK146" s="60">
        <f>IF($X146&lt;Input!$H$73,IF($X146&lt;Input!$G$73,IF($X146&lt;Input!$F$73,IF($X146&lt;Input!$E$73,IF($X146&lt;Input!$D$73,Input!$C$79,Input!$D$79),Input!$E$79),Input!$F$79),Input!$G$79),Input!$H$79)</f>
        <v>0</v>
      </c>
      <c r="AL146" s="190">
        <f>IF($A146&lt;Input!$H$80,IF($A146&lt;Input!$G$80,IF($A146&lt;Input!$F$80,IF($A146&lt;Input!$E$80,IF($A146&lt;Input!$D$80,Input!$C$81,Input!$D$81),Input!$E$81),Input!$F$81),Input!$G$81),Input!$H$81)</f>
        <v>0.9</v>
      </c>
      <c r="AM146" s="60">
        <f t="shared" si="87"/>
        <v>0</v>
      </c>
      <c r="AN146" s="60">
        <f t="shared" si="107"/>
        <v>31</v>
      </c>
      <c r="AO146" s="60">
        <f t="shared" si="88"/>
        <v>0</v>
      </c>
      <c r="AP146" s="60">
        <f>ROUND(AO146*AN146*Input!$C$3/365,0)</f>
        <v>0</v>
      </c>
      <c r="AQ146" s="61">
        <f>IF($A146&lt;=Input!$C$6,0,IF('144M'!AM146&lt;'144M'!AO146,'144M'!AM146-AP146,'144M'!AO146))</f>
        <v>0</v>
      </c>
      <c r="AR146" s="61">
        <f t="shared" si="89"/>
        <v>0</v>
      </c>
      <c r="AS146" s="60">
        <f t="shared" si="90"/>
        <v>0</v>
      </c>
      <c r="AT146" s="193"/>
      <c r="AU146" s="169">
        <v>142</v>
      </c>
      <c r="AV146" s="1">
        <f t="shared" si="108"/>
        <v>49841</v>
      </c>
      <c r="AW146" s="60">
        <f>IF($X146&lt;Input!$H$88,IF($X146&lt;Input!$G$88,IF($X146&lt;Input!$F$88,IF($X146&lt;Input!$E$88,IF($X146&lt;Input!$D$88,Input!$C$94,Input!$D$94),Input!$E$94),Input!$F$94),Input!$G$94),Input!$H$94)</f>
        <v>0</v>
      </c>
      <c r="AX146" s="190">
        <f>IF($A146&lt;Input!$H$95,IF($A146&lt;Input!$G$95,IF($A146&lt;Input!$F$95,IF($A146&lt;Input!$E$95,IF($A146&lt;Input!$D$95,Input!$C$96,Input!$D$96),Input!$E$96),Input!$F$96),Input!$G$96),Input!$H$96)</f>
        <v>0.9</v>
      </c>
      <c r="AY146" s="60">
        <f t="shared" si="91"/>
        <v>0</v>
      </c>
      <c r="AZ146" s="60">
        <f t="shared" si="109"/>
        <v>31</v>
      </c>
      <c r="BA146" s="60">
        <f t="shared" si="92"/>
        <v>0</v>
      </c>
      <c r="BB146" s="60">
        <f>ROUND(BA146*AZ146*Input!$C$3/365,0)</f>
        <v>0</v>
      </c>
      <c r="BC146" s="61">
        <f>IF($A146&lt;=Input!$C$6,0,IF('144M'!AY146&lt;'144M'!BA146,'144M'!AY146-BB146,'144M'!BA146))</f>
        <v>0</v>
      </c>
      <c r="BD146" s="61">
        <f t="shared" si="93"/>
        <v>0</v>
      </c>
      <c r="BE146" s="60">
        <f t="shared" si="94"/>
        <v>0</v>
      </c>
      <c r="BF146" s="193"/>
      <c r="BG146" s="169">
        <v>142</v>
      </c>
      <c r="BH146" s="1">
        <f t="shared" si="110"/>
        <v>49841</v>
      </c>
      <c r="BI146" s="60">
        <f>IF($X146&lt;Input!$H$103,IF($X146&lt;Input!$G$103,IF($X146&lt;Input!$F$103,IF($X146&lt;Input!$E$103,IF($X146&lt;Input!$D$103,Input!$C$109,Input!$D$109),Input!$E$109),Input!$F$109),Input!$G$109),Input!$H$109)</f>
        <v>0</v>
      </c>
      <c r="BJ146" s="190">
        <f>IF($A146&lt;Input!$H$110,IF($A146&lt;Input!$G$110,IF($A146&lt;Input!$F$110,IF($A146&lt;Input!$E$110,IF($A146&lt;Input!$D$110,Input!$C$111,Input!$D$111),Input!$E$111),Input!$F$111),Input!$G$111),Input!$H$111)</f>
        <v>0.9</v>
      </c>
      <c r="BK146" s="60">
        <f t="shared" si="95"/>
        <v>0</v>
      </c>
      <c r="BL146" s="60">
        <f t="shared" si="111"/>
        <v>31</v>
      </c>
      <c r="BM146" s="60">
        <f t="shared" si="96"/>
        <v>0</v>
      </c>
      <c r="BN146" s="60">
        <f>ROUND(BM146*BL146*Input!$C$3/365,0)</f>
        <v>0</v>
      </c>
      <c r="BO146" s="61">
        <f>IF($A146&lt;=Input!$C$6,0,IF('144M'!BK146&lt;'144M'!BM146,'144M'!BK146-BN146,'144M'!BM146))</f>
        <v>0</v>
      </c>
      <c r="BP146" s="61">
        <f t="shared" si="97"/>
        <v>0</v>
      </c>
      <c r="BQ146" s="60">
        <f t="shared" si="98"/>
        <v>0</v>
      </c>
      <c r="BR146" s="198"/>
    </row>
    <row r="147" spans="1:70" x14ac:dyDescent="0.25">
      <c r="A147" s="169">
        <v>143</v>
      </c>
      <c r="B147" s="1">
        <f t="shared" si="99"/>
        <v>49871</v>
      </c>
      <c r="C147" s="60">
        <f t="shared" si="77"/>
        <v>33127052.878124986</v>
      </c>
      <c r="D147" s="60">
        <f t="shared" si="78"/>
        <v>29814347.590312488</v>
      </c>
      <c r="E147" s="60">
        <f t="shared" si="100"/>
        <v>30</v>
      </c>
      <c r="F147" s="60">
        <f t="shared" si="101"/>
        <v>0</v>
      </c>
      <c r="G147" s="60">
        <f>ROUND(F147*E147*Input!$C$3/365,0)</f>
        <v>0</v>
      </c>
      <c r="H147" s="60">
        <f>IF($A147&lt;=Input!$C$6,0,IF('144M'!D147&lt;'144M'!F147,'144M'!D147-G147,'144M'!F147))</f>
        <v>0</v>
      </c>
      <c r="I147" s="60">
        <f t="shared" si="102"/>
        <v>0</v>
      </c>
      <c r="J147" s="60">
        <f t="shared" si="103"/>
        <v>0</v>
      </c>
      <c r="K147" s="202">
        <f>J147/Input!$K$5</f>
        <v>0</v>
      </c>
      <c r="L147" s="232"/>
      <c r="M147" s="60">
        <f>IF($B147&lt;Input!$H$43,IF($B147&lt;Input!$G$43,IF($B147&lt;Input!$F$43,IF($B147&lt;Input!$E$43,IF($B147&lt;Input!$D$43,Input!$C$49,Input!$D$49),Input!$E$49),Input!$F$49),Input!$G$49),Input!$H$49)</f>
        <v>33127052.878124986</v>
      </c>
      <c r="N147" s="190">
        <f>IF($A147&lt;Input!$H$50,IF($A147&lt;Input!$G$50,IF($A147&lt;Input!$F$50,IF($A147&lt;Input!$E$50,IF($A147&lt;Input!$D$50,Input!$C$51,Input!$D$51),Input!$E$51),Input!$F$51),Input!$G$51),Input!$H$51)</f>
        <v>0.9</v>
      </c>
      <c r="O147" s="60">
        <f t="shared" si="76"/>
        <v>29814347.590312488</v>
      </c>
      <c r="P147" s="60">
        <f t="shared" si="79"/>
        <v>30</v>
      </c>
      <c r="Q147" s="60">
        <f t="shared" si="80"/>
        <v>0</v>
      </c>
      <c r="R147" s="60">
        <f>ROUND(Q147*$P147*Input!$C$3/365,0)</f>
        <v>0</v>
      </c>
      <c r="S147" s="60">
        <f>IF(A147&lt;=Input!$C$6,0,IF('144M'!O147&lt;'144M'!Q147,'144M'!O147-R147,'144M'!Q147))</f>
        <v>0</v>
      </c>
      <c r="T147" s="60">
        <f t="shared" si="81"/>
        <v>0</v>
      </c>
      <c r="U147" s="60">
        <f t="shared" si="82"/>
        <v>0</v>
      </c>
      <c r="V147" s="193"/>
      <c r="W147" s="169">
        <v>143</v>
      </c>
      <c r="X147" s="1">
        <f t="shared" si="104"/>
        <v>49871</v>
      </c>
      <c r="Y147" s="60">
        <f>IF($X147&lt;Input!$H$58,IF($X147&lt;Input!$G$58,IF($X147&lt;Input!$F$58,IF($X147&lt;Input!$E$58,IF($X147&lt;Input!$D$58,Input!$C$64,Input!$D$64),Input!$E$64),Input!$F$64),Input!$G$64),Input!$H$64)</f>
        <v>0</v>
      </c>
      <c r="Z147" s="190">
        <f>IF($A147&lt;Input!$H$65,IF($A147&lt;Input!$G$65,IF($A147&lt;Input!$F$65,IF($A147&lt;Input!$E$65,IF($A147&lt;Input!$D$65,Input!$C$66,Input!$D$66),Input!$E$66),Input!$F$66),Input!$G$66),Input!$H$66)</f>
        <v>0.9</v>
      </c>
      <c r="AA147" s="60">
        <f t="shared" si="83"/>
        <v>0</v>
      </c>
      <c r="AB147" s="60">
        <f t="shared" si="105"/>
        <v>30</v>
      </c>
      <c r="AC147" s="60">
        <f t="shared" si="84"/>
        <v>0</v>
      </c>
      <c r="AD147" s="60">
        <f>ROUND(AC147*AB147*Input!$C$3/365,0)</f>
        <v>0</v>
      </c>
      <c r="AE147" s="61">
        <f>IF($A147&lt;=Input!$C$6,0,IF('144M'!AA147&lt;'144M'!AC147,'144M'!AA147-AD147,'144M'!AC147))</f>
        <v>0</v>
      </c>
      <c r="AF147" s="61">
        <f t="shared" si="85"/>
        <v>0</v>
      </c>
      <c r="AG147" s="60">
        <f t="shared" si="86"/>
        <v>0</v>
      </c>
      <c r="AH147" s="193"/>
      <c r="AI147" s="169">
        <v>143</v>
      </c>
      <c r="AJ147" s="1">
        <f t="shared" si="106"/>
        <v>49871</v>
      </c>
      <c r="AK147" s="60">
        <f>IF($X147&lt;Input!$H$73,IF($X147&lt;Input!$G$73,IF($X147&lt;Input!$F$73,IF($X147&lt;Input!$E$73,IF($X147&lt;Input!$D$73,Input!$C$79,Input!$D$79),Input!$E$79),Input!$F$79),Input!$G$79),Input!$H$79)</f>
        <v>0</v>
      </c>
      <c r="AL147" s="190">
        <f>IF($A147&lt;Input!$H$80,IF($A147&lt;Input!$G$80,IF($A147&lt;Input!$F$80,IF($A147&lt;Input!$E$80,IF($A147&lt;Input!$D$80,Input!$C$81,Input!$D$81),Input!$E$81),Input!$F$81),Input!$G$81),Input!$H$81)</f>
        <v>0.9</v>
      </c>
      <c r="AM147" s="60">
        <f t="shared" si="87"/>
        <v>0</v>
      </c>
      <c r="AN147" s="60">
        <f t="shared" si="107"/>
        <v>30</v>
      </c>
      <c r="AO147" s="60">
        <f t="shared" si="88"/>
        <v>0</v>
      </c>
      <c r="AP147" s="60">
        <f>ROUND(AO147*AN147*Input!$C$3/365,0)</f>
        <v>0</v>
      </c>
      <c r="AQ147" s="61">
        <f>IF($A147&lt;=Input!$C$6,0,IF('144M'!AM147&lt;'144M'!AO147,'144M'!AM147-AP147,'144M'!AO147))</f>
        <v>0</v>
      </c>
      <c r="AR147" s="61">
        <f t="shared" si="89"/>
        <v>0</v>
      </c>
      <c r="AS147" s="60">
        <f t="shared" si="90"/>
        <v>0</v>
      </c>
      <c r="AT147" s="193"/>
      <c r="AU147" s="169">
        <v>143</v>
      </c>
      <c r="AV147" s="1">
        <f t="shared" si="108"/>
        <v>49871</v>
      </c>
      <c r="AW147" s="60">
        <f>IF($X147&lt;Input!$H$88,IF($X147&lt;Input!$G$88,IF($X147&lt;Input!$F$88,IF($X147&lt;Input!$E$88,IF($X147&lt;Input!$D$88,Input!$C$94,Input!$D$94),Input!$E$94),Input!$F$94),Input!$G$94),Input!$H$94)</f>
        <v>0</v>
      </c>
      <c r="AX147" s="190">
        <f>IF($A147&lt;Input!$H$95,IF($A147&lt;Input!$G$95,IF($A147&lt;Input!$F$95,IF($A147&lt;Input!$E$95,IF($A147&lt;Input!$D$95,Input!$C$96,Input!$D$96),Input!$E$96),Input!$F$96),Input!$G$96),Input!$H$96)</f>
        <v>0.9</v>
      </c>
      <c r="AY147" s="60">
        <f t="shared" si="91"/>
        <v>0</v>
      </c>
      <c r="AZ147" s="60">
        <f t="shared" si="109"/>
        <v>30</v>
      </c>
      <c r="BA147" s="60">
        <f t="shared" si="92"/>
        <v>0</v>
      </c>
      <c r="BB147" s="60">
        <f>ROUND(BA147*AZ147*Input!$C$3/365,0)</f>
        <v>0</v>
      </c>
      <c r="BC147" s="61">
        <f>IF($A147&lt;=Input!$C$6,0,IF('144M'!AY147&lt;'144M'!BA147,'144M'!AY147-BB147,'144M'!BA147))</f>
        <v>0</v>
      </c>
      <c r="BD147" s="61">
        <f t="shared" si="93"/>
        <v>0</v>
      </c>
      <c r="BE147" s="60">
        <f t="shared" si="94"/>
        <v>0</v>
      </c>
      <c r="BF147" s="193"/>
      <c r="BG147" s="169">
        <v>143</v>
      </c>
      <c r="BH147" s="1">
        <f t="shared" si="110"/>
        <v>49871</v>
      </c>
      <c r="BI147" s="60">
        <f>IF($X147&lt;Input!$H$103,IF($X147&lt;Input!$G$103,IF($X147&lt;Input!$F$103,IF($X147&lt;Input!$E$103,IF($X147&lt;Input!$D$103,Input!$C$109,Input!$D$109),Input!$E$109),Input!$F$109),Input!$G$109),Input!$H$109)</f>
        <v>0</v>
      </c>
      <c r="BJ147" s="190">
        <f>IF($A147&lt;Input!$H$110,IF($A147&lt;Input!$G$110,IF($A147&lt;Input!$F$110,IF($A147&lt;Input!$E$110,IF($A147&lt;Input!$D$110,Input!$C$111,Input!$D$111),Input!$E$111),Input!$F$111),Input!$G$111),Input!$H$111)</f>
        <v>0.9</v>
      </c>
      <c r="BK147" s="60">
        <f t="shared" si="95"/>
        <v>0</v>
      </c>
      <c r="BL147" s="60">
        <f t="shared" si="111"/>
        <v>30</v>
      </c>
      <c r="BM147" s="60">
        <f t="shared" si="96"/>
        <v>0</v>
      </c>
      <c r="BN147" s="60">
        <f>ROUND(BM147*BL147*Input!$C$3/365,0)</f>
        <v>0</v>
      </c>
      <c r="BO147" s="61">
        <f>IF($A147&lt;=Input!$C$6,0,IF('144M'!BK147&lt;'144M'!BM147,'144M'!BK147-BN147,'144M'!BM147))</f>
        <v>0</v>
      </c>
      <c r="BP147" s="61">
        <f t="shared" si="97"/>
        <v>0</v>
      </c>
      <c r="BQ147" s="60">
        <f t="shared" si="98"/>
        <v>0</v>
      </c>
      <c r="BR147" s="198"/>
    </row>
    <row r="148" spans="1:70" x14ac:dyDescent="0.25">
      <c r="A148" s="169">
        <v>144</v>
      </c>
      <c r="B148" s="1">
        <f t="shared" si="99"/>
        <v>49902</v>
      </c>
      <c r="C148" s="60">
        <f t="shared" si="77"/>
        <v>33127052.878124986</v>
      </c>
      <c r="D148" s="60">
        <f t="shared" si="78"/>
        <v>29814347.590312488</v>
      </c>
      <c r="E148" s="60">
        <f t="shared" si="100"/>
        <v>31</v>
      </c>
      <c r="F148" s="60">
        <f t="shared" si="101"/>
        <v>0</v>
      </c>
      <c r="G148" s="60">
        <f>ROUND(F148*E148*Input!$C$3/365,0)</f>
        <v>0</v>
      </c>
      <c r="H148" s="60">
        <f>IF($A148&lt;=Input!$C$6,0,IF('144M'!D148&lt;'144M'!F148,'144M'!D148-G148,'144M'!F148))</f>
        <v>0</v>
      </c>
      <c r="I148" s="60">
        <f t="shared" si="102"/>
        <v>0</v>
      </c>
      <c r="J148" s="60">
        <f t="shared" si="103"/>
        <v>0</v>
      </c>
      <c r="K148" s="202">
        <f>J148/Input!$K$5</f>
        <v>0</v>
      </c>
      <c r="L148" s="232"/>
      <c r="M148" s="60">
        <f>IF($B148&lt;Input!$H$43,IF($B148&lt;Input!$G$43,IF($B148&lt;Input!$F$43,IF($B148&lt;Input!$E$43,IF($B148&lt;Input!$D$43,Input!$C$49,Input!$D$49),Input!$E$49),Input!$F$49),Input!$G$49),Input!$H$49)</f>
        <v>33127052.878124986</v>
      </c>
      <c r="N148" s="190">
        <f>IF($A148&lt;Input!$H$50,IF($A148&lt;Input!$G$50,IF($A148&lt;Input!$F$50,IF($A148&lt;Input!$E$50,IF($A148&lt;Input!$D$50,Input!$C$51,Input!$D$51),Input!$E$51),Input!$F$51),Input!$G$51),Input!$H$51)</f>
        <v>0.9</v>
      </c>
      <c r="O148" s="60">
        <f t="shared" si="76"/>
        <v>29814347.590312488</v>
      </c>
      <c r="P148" s="60">
        <f t="shared" si="79"/>
        <v>31</v>
      </c>
      <c r="Q148" s="60">
        <f t="shared" si="80"/>
        <v>0</v>
      </c>
      <c r="R148" s="60">
        <f>ROUND(Q148*$P148*Input!$C$3/365,0)</f>
        <v>0</v>
      </c>
      <c r="S148" s="60">
        <f>IF(A148&lt;=Input!$C$6,0,IF('144M'!O148&lt;'144M'!Q148,'144M'!O148-R148,'144M'!Q148))</f>
        <v>0</v>
      </c>
      <c r="T148" s="60">
        <f t="shared" si="81"/>
        <v>0</v>
      </c>
      <c r="U148" s="60">
        <f t="shared" si="82"/>
        <v>0</v>
      </c>
      <c r="V148" s="193"/>
      <c r="W148" s="169">
        <v>144</v>
      </c>
      <c r="X148" s="1">
        <f t="shared" si="104"/>
        <v>49902</v>
      </c>
      <c r="Y148" s="60">
        <f>IF($X148&lt;Input!$H$58,IF($X148&lt;Input!$G$58,IF($X148&lt;Input!$F$58,IF($X148&lt;Input!$E$58,IF($X148&lt;Input!$D$58,Input!$C$64,Input!$D$64),Input!$E$64),Input!$F$64),Input!$G$64),Input!$H$64)</f>
        <v>0</v>
      </c>
      <c r="Z148" s="190">
        <f>IF($A148&lt;Input!$H$65,IF($A148&lt;Input!$G$65,IF($A148&lt;Input!$F$65,IF($A148&lt;Input!$E$65,IF($A148&lt;Input!$D$65,Input!$C$66,Input!$D$66),Input!$E$66),Input!$F$66),Input!$G$66),Input!$H$66)</f>
        <v>0.9</v>
      </c>
      <c r="AA148" s="60">
        <f t="shared" si="83"/>
        <v>0</v>
      </c>
      <c r="AB148" s="60">
        <f t="shared" si="105"/>
        <v>31</v>
      </c>
      <c r="AC148" s="60">
        <f t="shared" si="84"/>
        <v>0</v>
      </c>
      <c r="AD148" s="60">
        <f>ROUND(AC148*AB148*Input!$C$3/365,0)</f>
        <v>0</v>
      </c>
      <c r="AE148" s="61">
        <f>IF($A148&lt;=Input!$C$6,0,IF('144M'!AA148&lt;'144M'!AC148,'144M'!AA148-AD148,'144M'!AC148))</f>
        <v>0</v>
      </c>
      <c r="AF148" s="61">
        <f t="shared" si="85"/>
        <v>0</v>
      </c>
      <c r="AG148" s="60">
        <f t="shared" si="86"/>
        <v>0</v>
      </c>
      <c r="AH148" s="193"/>
      <c r="AI148" s="169">
        <v>144</v>
      </c>
      <c r="AJ148" s="1">
        <f t="shared" si="106"/>
        <v>49902</v>
      </c>
      <c r="AK148" s="60">
        <f>IF($X148&lt;Input!$H$73,IF($X148&lt;Input!$G$73,IF($X148&lt;Input!$F$73,IF($X148&lt;Input!$E$73,IF($X148&lt;Input!$D$73,Input!$C$79,Input!$D$79),Input!$E$79),Input!$F$79),Input!$G$79),Input!$H$79)</f>
        <v>0</v>
      </c>
      <c r="AL148" s="190">
        <f>IF($A148&lt;Input!$H$80,IF($A148&lt;Input!$G$80,IF($A148&lt;Input!$F$80,IF($A148&lt;Input!$E$80,IF($A148&lt;Input!$D$80,Input!$C$81,Input!$D$81),Input!$E$81),Input!$F$81),Input!$G$81),Input!$H$81)</f>
        <v>0.9</v>
      </c>
      <c r="AM148" s="60">
        <f t="shared" si="87"/>
        <v>0</v>
      </c>
      <c r="AN148" s="60">
        <f t="shared" si="107"/>
        <v>31</v>
      </c>
      <c r="AO148" s="60">
        <f t="shared" si="88"/>
        <v>0</v>
      </c>
      <c r="AP148" s="60">
        <f>ROUND(AO148*AN148*Input!$C$3/365,0)</f>
        <v>0</v>
      </c>
      <c r="AQ148" s="61">
        <f>IF($A148&lt;=Input!$C$6,0,IF('144M'!AM148&lt;'144M'!AO148,'144M'!AM148-AP148,'144M'!AO148))</f>
        <v>0</v>
      </c>
      <c r="AR148" s="61">
        <f t="shared" si="89"/>
        <v>0</v>
      </c>
      <c r="AS148" s="60">
        <f t="shared" si="90"/>
        <v>0</v>
      </c>
      <c r="AT148" s="193"/>
      <c r="AU148" s="169">
        <v>144</v>
      </c>
      <c r="AV148" s="1">
        <f t="shared" si="108"/>
        <v>49902</v>
      </c>
      <c r="AW148" s="60">
        <f>IF($X148&lt;Input!$H$88,IF($X148&lt;Input!$G$88,IF($X148&lt;Input!$F$88,IF($X148&lt;Input!$E$88,IF($X148&lt;Input!$D$88,Input!$C$94,Input!$D$94),Input!$E$94),Input!$F$94),Input!$G$94),Input!$H$94)</f>
        <v>0</v>
      </c>
      <c r="AX148" s="190">
        <f>IF($A148&lt;Input!$H$95,IF($A148&lt;Input!$G$95,IF($A148&lt;Input!$F$95,IF($A148&lt;Input!$E$95,IF($A148&lt;Input!$D$95,Input!$C$96,Input!$D$96),Input!$E$96),Input!$F$96),Input!$G$96),Input!$H$96)</f>
        <v>0.9</v>
      </c>
      <c r="AY148" s="60">
        <f t="shared" si="91"/>
        <v>0</v>
      </c>
      <c r="AZ148" s="60">
        <f t="shared" si="109"/>
        <v>31</v>
      </c>
      <c r="BA148" s="60">
        <f t="shared" si="92"/>
        <v>0</v>
      </c>
      <c r="BB148" s="60">
        <f>ROUND(BA148*AZ148*Input!$C$3/365,0)</f>
        <v>0</v>
      </c>
      <c r="BC148" s="61">
        <f>IF($A148&lt;=Input!$C$6,0,IF('144M'!AY148&lt;'144M'!BA148,'144M'!AY148-BB148,'144M'!BA148))</f>
        <v>0</v>
      </c>
      <c r="BD148" s="61">
        <f t="shared" si="93"/>
        <v>0</v>
      </c>
      <c r="BE148" s="60">
        <f t="shared" si="94"/>
        <v>0</v>
      </c>
      <c r="BF148" s="193"/>
      <c r="BG148" s="169">
        <v>144</v>
      </c>
      <c r="BH148" s="1">
        <f t="shared" si="110"/>
        <v>49902</v>
      </c>
      <c r="BI148" s="60">
        <f>IF($X148&lt;Input!$H$103,IF($X148&lt;Input!$G$103,IF($X148&lt;Input!$F$103,IF($X148&lt;Input!$E$103,IF($X148&lt;Input!$D$103,Input!$C$109,Input!$D$109),Input!$E$109),Input!$F$109),Input!$G$109),Input!$H$109)</f>
        <v>0</v>
      </c>
      <c r="BJ148" s="190">
        <f>IF($A148&lt;Input!$H$110,IF($A148&lt;Input!$G$110,IF($A148&lt;Input!$F$110,IF($A148&lt;Input!$E$110,IF($A148&lt;Input!$D$110,Input!$C$111,Input!$D$111),Input!$E$111),Input!$F$111),Input!$G$111),Input!$H$111)</f>
        <v>0.9</v>
      </c>
      <c r="BK148" s="60">
        <f t="shared" si="95"/>
        <v>0</v>
      </c>
      <c r="BL148" s="60">
        <f t="shared" si="111"/>
        <v>31</v>
      </c>
      <c r="BM148" s="60">
        <f t="shared" si="96"/>
        <v>0</v>
      </c>
      <c r="BN148" s="60">
        <f>ROUND(BM148*BL148*Input!$C$3/365,0)</f>
        <v>0</v>
      </c>
      <c r="BO148" s="61">
        <f>IF($A148&lt;=Input!$C$6,0,IF('144M'!BK148&lt;'144M'!BM148,'144M'!BK148-BN148,'144M'!BM148))</f>
        <v>0</v>
      </c>
      <c r="BP148" s="61">
        <f t="shared" si="97"/>
        <v>0</v>
      </c>
      <c r="BQ148" s="60">
        <f t="shared" si="98"/>
        <v>0</v>
      </c>
      <c r="BR148" s="198"/>
    </row>
    <row r="149" spans="1:70" x14ac:dyDescent="0.25">
      <c r="A149" s="169">
        <v>145</v>
      </c>
      <c r="B149" s="1">
        <f t="shared" si="99"/>
        <v>49933</v>
      </c>
      <c r="C149" s="60">
        <f t="shared" si="77"/>
        <v>33127052.878124986</v>
      </c>
      <c r="D149" s="60">
        <f t="shared" si="78"/>
        <v>29814347.590312488</v>
      </c>
      <c r="E149" s="60">
        <f t="shared" si="100"/>
        <v>31</v>
      </c>
      <c r="F149" s="60">
        <f t="shared" si="101"/>
        <v>0</v>
      </c>
      <c r="G149" s="60">
        <f>ROUND(F149*E149*Input!$C$3/365,0)</f>
        <v>0</v>
      </c>
      <c r="H149" s="60">
        <f>IF($A149&lt;=Input!$C$6,0,IF('144M'!D149&lt;'144M'!F149,'144M'!D149-G149,'144M'!F149))</f>
        <v>0</v>
      </c>
      <c r="I149" s="60">
        <f t="shared" si="102"/>
        <v>0</v>
      </c>
      <c r="J149" s="60">
        <f t="shared" si="103"/>
        <v>0</v>
      </c>
      <c r="K149" s="202">
        <f>J149/Input!$K$5</f>
        <v>0</v>
      </c>
      <c r="L149" s="232"/>
      <c r="M149" s="60">
        <f>IF($B149&lt;Input!$H$43,IF($B149&lt;Input!$G$43,IF($B149&lt;Input!$F$43,IF($B149&lt;Input!$E$43,IF($B149&lt;Input!$D$43,Input!$C$49,Input!$D$49),Input!$E$49),Input!$F$49),Input!$G$49),Input!$H$49)</f>
        <v>33127052.878124986</v>
      </c>
      <c r="N149" s="190">
        <f>IF($A149&lt;Input!$H$50,IF($A149&lt;Input!$G$50,IF($A149&lt;Input!$F$50,IF($A149&lt;Input!$E$50,IF($A149&lt;Input!$D$50,Input!$C$51,Input!$D$51),Input!$E$51),Input!$F$51),Input!$G$51),Input!$H$51)</f>
        <v>0.9</v>
      </c>
      <c r="O149" s="60">
        <f t="shared" si="76"/>
        <v>29814347.590312488</v>
      </c>
      <c r="P149" s="60">
        <f t="shared" si="79"/>
        <v>31</v>
      </c>
      <c r="Q149" s="60">
        <f t="shared" si="80"/>
        <v>0</v>
      </c>
      <c r="R149" s="60">
        <f>ROUND(Q149*$P149*Input!$C$3/365,0)</f>
        <v>0</v>
      </c>
      <c r="S149" s="60">
        <f>IF(A149&lt;=Input!$C$6,0,IF('144M'!O149&lt;'144M'!Q149,'144M'!O149-R149,'144M'!Q149))</f>
        <v>0</v>
      </c>
      <c r="T149" s="60">
        <f t="shared" si="81"/>
        <v>0</v>
      </c>
      <c r="U149" s="60">
        <f t="shared" si="82"/>
        <v>0</v>
      </c>
      <c r="V149" s="193"/>
      <c r="W149" s="169">
        <v>145</v>
      </c>
      <c r="X149" s="1">
        <f t="shared" si="104"/>
        <v>49933</v>
      </c>
      <c r="Y149" s="60">
        <f>IF($X149&lt;Input!$H$58,IF($X149&lt;Input!$G$58,IF($X149&lt;Input!$F$58,IF($X149&lt;Input!$E$58,IF($X149&lt;Input!$D$58,Input!$C$64,Input!$D$64),Input!$E$64),Input!$F$64),Input!$G$64),Input!$H$64)</f>
        <v>0</v>
      </c>
      <c r="Z149" s="190">
        <f>IF($A149&lt;Input!$H$65,IF($A149&lt;Input!$G$65,IF($A149&lt;Input!$F$65,IF($A149&lt;Input!$E$65,IF($A149&lt;Input!$D$65,Input!$C$66,Input!$D$66),Input!$E$66),Input!$F$66),Input!$G$66),Input!$H$66)</f>
        <v>0.9</v>
      </c>
      <c r="AA149" s="60">
        <f t="shared" si="83"/>
        <v>0</v>
      </c>
      <c r="AB149" s="60">
        <f t="shared" si="105"/>
        <v>31</v>
      </c>
      <c r="AC149" s="60">
        <f t="shared" si="84"/>
        <v>0</v>
      </c>
      <c r="AD149" s="60">
        <f>ROUND(AC149*AB149*Input!$C$3/365,0)</f>
        <v>0</v>
      </c>
      <c r="AE149" s="61">
        <f>IF($A149&lt;=Input!$C$6,0,IF('144M'!AA149&lt;'144M'!AC149,'144M'!AA149-AD149,'144M'!AC149))</f>
        <v>0</v>
      </c>
      <c r="AF149" s="61">
        <f t="shared" si="85"/>
        <v>0</v>
      </c>
      <c r="AG149" s="60">
        <f t="shared" si="86"/>
        <v>0</v>
      </c>
      <c r="AH149" s="193"/>
      <c r="AI149" s="169">
        <v>145</v>
      </c>
      <c r="AJ149" s="1">
        <f t="shared" si="106"/>
        <v>49933</v>
      </c>
      <c r="AK149" s="60">
        <f>IF($X149&lt;Input!$H$73,IF($X149&lt;Input!$G$73,IF($X149&lt;Input!$F$73,IF($X149&lt;Input!$E$73,IF($X149&lt;Input!$D$73,Input!$C$79,Input!$D$79),Input!$E$79),Input!$F$79),Input!$G$79),Input!$H$79)</f>
        <v>0</v>
      </c>
      <c r="AL149" s="190">
        <f>IF($A149&lt;Input!$H$80,IF($A149&lt;Input!$G$80,IF($A149&lt;Input!$F$80,IF($A149&lt;Input!$E$80,IF($A149&lt;Input!$D$80,Input!$C$81,Input!$D$81),Input!$E$81),Input!$F$81),Input!$G$81),Input!$H$81)</f>
        <v>0.9</v>
      </c>
      <c r="AM149" s="60">
        <f t="shared" si="87"/>
        <v>0</v>
      </c>
      <c r="AN149" s="60">
        <f t="shared" si="107"/>
        <v>31</v>
      </c>
      <c r="AO149" s="60">
        <f t="shared" si="88"/>
        <v>0</v>
      </c>
      <c r="AP149" s="60">
        <f>ROUND(AO149*AN149*Input!$C$3/365,0)</f>
        <v>0</v>
      </c>
      <c r="AQ149" s="61">
        <f>IF($A149&lt;=Input!$C$6,0,IF('144M'!AM149&lt;'144M'!AO149,'144M'!AM149-AP149,'144M'!AO149))</f>
        <v>0</v>
      </c>
      <c r="AR149" s="61">
        <f t="shared" si="89"/>
        <v>0</v>
      </c>
      <c r="AS149" s="60">
        <f t="shared" si="90"/>
        <v>0</v>
      </c>
      <c r="AT149" s="193"/>
      <c r="AU149" s="169">
        <v>145</v>
      </c>
      <c r="AV149" s="1">
        <f t="shared" si="108"/>
        <v>49933</v>
      </c>
      <c r="AW149" s="60">
        <f>IF($X149&lt;Input!$H$88,IF($X149&lt;Input!$G$88,IF($X149&lt;Input!$F$88,IF($X149&lt;Input!$E$88,IF($X149&lt;Input!$D$88,Input!$C$94,Input!$D$94),Input!$E$94),Input!$F$94),Input!$G$94),Input!$H$94)</f>
        <v>0</v>
      </c>
      <c r="AX149" s="190">
        <f>IF($A149&lt;Input!$H$95,IF($A149&lt;Input!$G$95,IF($A149&lt;Input!$F$95,IF($A149&lt;Input!$E$95,IF($A149&lt;Input!$D$95,Input!$C$96,Input!$D$96),Input!$E$96),Input!$F$96),Input!$G$96),Input!$H$96)</f>
        <v>0.9</v>
      </c>
      <c r="AY149" s="60">
        <f t="shared" si="91"/>
        <v>0</v>
      </c>
      <c r="AZ149" s="60">
        <f t="shared" si="109"/>
        <v>31</v>
      </c>
      <c r="BA149" s="60">
        <f t="shared" si="92"/>
        <v>0</v>
      </c>
      <c r="BB149" s="60">
        <f>ROUND(BA149*AZ149*Input!$C$3/365,0)</f>
        <v>0</v>
      </c>
      <c r="BC149" s="61">
        <f>IF($A149&lt;=Input!$C$6,0,IF('144M'!AY149&lt;'144M'!BA149,'144M'!AY149-BB149,'144M'!BA149))</f>
        <v>0</v>
      </c>
      <c r="BD149" s="61">
        <f t="shared" si="93"/>
        <v>0</v>
      </c>
      <c r="BE149" s="60">
        <f t="shared" si="94"/>
        <v>0</v>
      </c>
      <c r="BF149" s="193"/>
      <c r="BG149" s="169">
        <v>145</v>
      </c>
      <c r="BH149" s="1">
        <f t="shared" si="110"/>
        <v>49933</v>
      </c>
      <c r="BI149" s="60">
        <f>IF($X149&lt;Input!$H$103,IF($X149&lt;Input!$G$103,IF($X149&lt;Input!$F$103,IF($X149&lt;Input!$E$103,IF($X149&lt;Input!$D$103,Input!$C$109,Input!$D$109),Input!$E$109),Input!$F$109),Input!$G$109),Input!$H$109)</f>
        <v>0</v>
      </c>
      <c r="BJ149" s="190">
        <f>IF($A149&lt;Input!$H$110,IF($A149&lt;Input!$G$110,IF($A149&lt;Input!$F$110,IF($A149&lt;Input!$E$110,IF($A149&lt;Input!$D$110,Input!$C$111,Input!$D$111),Input!$E$111),Input!$F$111),Input!$G$111),Input!$H$111)</f>
        <v>0.9</v>
      </c>
      <c r="BK149" s="60">
        <f t="shared" si="95"/>
        <v>0</v>
      </c>
      <c r="BL149" s="60">
        <f t="shared" si="111"/>
        <v>31</v>
      </c>
      <c r="BM149" s="60">
        <f t="shared" si="96"/>
        <v>0</v>
      </c>
      <c r="BN149" s="60">
        <f>ROUND(BM149*BL149*Input!$C$3/365,0)</f>
        <v>0</v>
      </c>
      <c r="BO149" s="61">
        <f>IF($A149&lt;=Input!$C$6,0,IF('144M'!BK149&lt;'144M'!BM149,'144M'!BK149-BN149,'144M'!BM149))</f>
        <v>0</v>
      </c>
      <c r="BP149" s="61">
        <f t="shared" si="97"/>
        <v>0</v>
      </c>
      <c r="BQ149" s="60">
        <f t="shared" si="98"/>
        <v>0</v>
      </c>
      <c r="BR149" s="198"/>
    </row>
    <row r="150" spans="1:70" x14ac:dyDescent="0.25">
      <c r="A150" s="169">
        <v>146</v>
      </c>
      <c r="B150" s="1">
        <f t="shared" si="99"/>
        <v>49963</v>
      </c>
      <c r="C150" s="60">
        <f t="shared" si="77"/>
        <v>33127052.878124986</v>
      </c>
      <c r="D150" s="60">
        <f t="shared" si="78"/>
        <v>29814347.590312488</v>
      </c>
      <c r="E150" s="60">
        <f t="shared" si="100"/>
        <v>30</v>
      </c>
      <c r="F150" s="60">
        <f t="shared" si="101"/>
        <v>0</v>
      </c>
      <c r="G150" s="60">
        <f>ROUND(F150*E150*Input!$C$3/365,0)</f>
        <v>0</v>
      </c>
      <c r="H150" s="60">
        <f>IF($A150&lt;=Input!$C$6,0,IF('144M'!D150&lt;'144M'!F150,'144M'!D150-G150,'144M'!F150))</f>
        <v>0</v>
      </c>
      <c r="I150" s="60">
        <f t="shared" si="102"/>
        <v>0</v>
      </c>
      <c r="J150" s="60">
        <f t="shared" si="103"/>
        <v>0</v>
      </c>
      <c r="K150" s="202">
        <f>J150/Input!$K$5</f>
        <v>0</v>
      </c>
      <c r="L150" s="232"/>
      <c r="M150" s="60">
        <f>IF($B150&lt;Input!$H$43,IF($B150&lt;Input!$G$43,IF($B150&lt;Input!$F$43,IF($B150&lt;Input!$E$43,IF($B150&lt;Input!$D$43,Input!$C$49,Input!$D$49),Input!$E$49),Input!$F$49),Input!$G$49),Input!$H$49)</f>
        <v>33127052.878124986</v>
      </c>
      <c r="N150" s="190">
        <f>IF($A150&lt;Input!$H$50,IF($A150&lt;Input!$G$50,IF($A150&lt;Input!$F$50,IF($A150&lt;Input!$E$50,IF($A150&lt;Input!$D$50,Input!$C$51,Input!$D$51),Input!$E$51),Input!$F$51),Input!$G$51),Input!$H$51)</f>
        <v>0.9</v>
      </c>
      <c r="O150" s="60">
        <f t="shared" si="76"/>
        <v>29814347.590312488</v>
      </c>
      <c r="P150" s="60">
        <f t="shared" si="79"/>
        <v>30</v>
      </c>
      <c r="Q150" s="60">
        <f t="shared" si="80"/>
        <v>0</v>
      </c>
      <c r="R150" s="60">
        <f>ROUND(Q150*$P150*Input!$C$3/365,0)</f>
        <v>0</v>
      </c>
      <c r="S150" s="60">
        <f>IF(A150&lt;=Input!$C$6,0,IF('144M'!O150&lt;'144M'!Q150,'144M'!O150-R150,'144M'!Q150))</f>
        <v>0</v>
      </c>
      <c r="T150" s="60">
        <f t="shared" si="81"/>
        <v>0</v>
      </c>
      <c r="U150" s="60">
        <f t="shared" si="82"/>
        <v>0</v>
      </c>
      <c r="V150" s="193"/>
      <c r="W150" s="169">
        <v>146</v>
      </c>
      <c r="X150" s="1">
        <f t="shared" si="104"/>
        <v>49963</v>
      </c>
      <c r="Y150" s="60">
        <f>IF($X150&lt;Input!$H$58,IF($X150&lt;Input!$G$58,IF($X150&lt;Input!$F$58,IF($X150&lt;Input!$E$58,IF($X150&lt;Input!$D$58,Input!$C$64,Input!$D$64),Input!$E$64),Input!$F$64),Input!$G$64),Input!$H$64)</f>
        <v>0</v>
      </c>
      <c r="Z150" s="190">
        <f>IF($A150&lt;Input!$H$65,IF($A150&lt;Input!$G$65,IF($A150&lt;Input!$F$65,IF($A150&lt;Input!$E$65,IF($A150&lt;Input!$D$65,Input!$C$66,Input!$D$66),Input!$E$66),Input!$F$66),Input!$G$66),Input!$H$66)</f>
        <v>0.9</v>
      </c>
      <c r="AA150" s="60">
        <f t="shared" si="83"/>
        <v>0</v>
      </c>
      <c r="AB150" s="60">
        <f t="shared" si="105"/>
        <v>30</v>
      </c>
      <c r="AC150" s="60">
        <f t="shared" si="84"/>
        <v>0</v>
      </c>
      <c r="AD150" s="60">
        <f>ROUND(AC150*AB150*Input!$C$3/365,0)</f>
        <v>0</v>
      </c>
      <c r="AE150" s="61">
        <f>IF($A150&lt;=Input!$C$6,0,IF('144M'!AA150&lt;'144M'!AC150,'144M'!AA150-AD150,'144M'!AC150))</f>
        <v>0</v>
      </c>
      <c r="AF150" s="61">
        <f t="shared" si="85"/>
        <v>0</v>
      </c>
      <c r="AG150" s="60">
        <f t="shared" si="86"/>
        <v>0</v>
      </c>
      <c r="AH150" s="193"/>
      <c r="AI150" s="169">
        <v>146</v>
      </c>
      <c r="AJ150" s="1">
        <f t="shared" si="106"/>
        <v>49963</v>
      </c>
      <c r="AK150" s="60">
        <f>IF($X150&lt;Input!$H$73,IF($X150&lt;Input!$G$73,IF($X150&lt;Input!$F$73,IF($X150&lt;Input!$E$73,IF($X150&lt;Input!$D$73,Input!$C$79,Input!$D$79),Input!$E$79),Input!$F$79),Input!$G$79),Input!$H$79)</f>
        <v>0</v>
      </c>
      <c r="AL150" s="190">
        <f>IF($A150&lt;Input!$H$80,IF($A150&lt;Input!$G$80,IF($A150&lt;Input!$F$80,IF($A150&lt;Input!$E$80,IF($A150&lt;Input!$D$80,Input!$C$81,Input!$D$81),Input!$E$81),Input!$F$81),Input!$G$81),Input!$H$81)</f>
        <v>0.9</v>
      </c>
      <c r="AM150" s="60">
        <f t="shared" si="87"/>
        <v>0</v>
      </c>
      <c r="AN150" s="60">
        <f t="shared" si="107"/>
        <v>30</v>
      </c>
      <c r="AO150" s="60">
        <f t="shared" si="88"/>
        <v>0</v>
      </c>
      <c r="AP150" s="60">
        <f>ROUND(AO150*AN150*Input!$C$3/365,0)</f>
        <v>0</v>
      </c>
      <c r="AQ150" s="61">
        <f>IF($A150&lt;=Input!$C$6,0,IF('144M'!AM150&lt;'144M'!AO150,'144M'!AM150-AP150,'144M'!AO150))</f>
        <v>0</v>
      </c>
      <c r="AR150" s="61">
        <f t="shared" si="89"/>
        <v>0</v>
      </c>
      <c r="AS150" s="60">
        <f t="shared" si="90"/>
        <v>0</v>
      </c>
      <c r="AT150" s="193"/>
      <c r="AU150" s="169">
        <v>146</v>
      </c>
      <c r="AV150" s="1">
        <f t="shared" si="108"/>
        <v>49963</v>
      </c>
      <c r="AW150" s="60">
        <f>IF($X150&lt;Input!$H$88,IF($X150&lt;Input!$G$88,IF($X150&lt;Input!$F$88,IF($X150&lt;Input!$E$88,IF($X150&lt;Input!$D$88,Input!$C$94,Input!$D$94),Input!$E$94),Input!$F$94),Input!$G$94),Input!$H$94)</f>
        <v>0</v>
      </c>
      <c r="AX150" s="190">
        <f>IF($A150&lt;Input!$H$95,IF($A150&lt;Input!$G$95,IF($A150&lt;Input!$F$95,IF($A150&lt;Input!$E$95,IF($A150&lt;Input!$D$95,Input!$C$96,Input!$D$96),Input!$E$96),Input!$F$96),Input!$G$96),Input!$H$96)</f>
        <v>0.9</v>
      </c>
      <c r="AY150" s="60">
        <f t="shared" si="91"/>
        <v>0</v>
      </c>
      <c r="AZ150" s="60">
        <f t="shared" si="109"/>
        <v>30</v>
      </c>
      <c r="BA150" s="60">
        <f t="shared" si="92"/>
        <v>0</v>
      </c>
      <c r="BB150" s="60">
        <f>ROUND(BA150*AZ150*Input!$C$3/365,0)</f>
        <v>0</v>
      </c>
      <c r="BC150" s="61">
        <f>IF($A150&lt;=Input!$C$6,0,IF('144M'!AY150&lt;'144M'!BA150,'144M'!AY150-BB150,'144M'!BA150))</f>
        <v>0</v>
      </c>
      <c r="BD150" s="61">
        <f t="shared" si="93"/>
        <v>0</v>
      </c>
      <c r="BE150" s="60">
        <f t="shared" si="94"/>
        <v>0</v>
      </c>
      <c r="BF150" s="193"/>
      <c r="BG150" s="169">
        <v>146</v>
      </c>
      <c r="BH150" s="1">
        <f t="shared" si="110"/>
        <v>49963</v>
      </c>
      <c r="BI150" s="60">
        <f>IF($X150&lt;Input!$H$103,IF($X150&lt;Input!$G$103,IF($X150&lt;Input!$F$103,IF($X150&lt;Input!$E$103,IF($X150&lt;Input!$D$103,Input!$C$109,Input!$D$109),Input!$E$109),Input!$F$109),Input!$G$109),Input!$H$109)</f>
        <v>0</v>
      </c>
      <c r="BJ150" s="190">
        <f>IF($A150&lt;Input!$H$110,IF($A150&lt;Input!$G$110,IF($A150&lt;Input!$F$110,IF($A150&lt;Input!$E$110,IF($A150&lt;Input!$D$110,Input!$C$111,Input!$D$111),Input!$E$111),Input!$F$111),Input!$G$111),Input!$H$111)</f>
        <v>0.9</v>
      </c>
      <c r="BK150" s="60">
        <f t="shared" si="95"/>
        <v>0</v>
      </c>
      <c r="BL150" s="60">
        <f t="shared" si="111"/>
        <v>30</v>
      </c>
      <c r="BM150" s="60">
        <f t="shared" si="96"/>
        <v>0</v>
      </c>
      <c r="BN150" s="60">
        <f>ROUND(BM150*BL150*Input!$C$3/365,0)</f>
        <v>0</v>
      </c>
      <c r="BO150" s="61">
        <f>IF($A150&lt;=Input!$C$6,0,IF('144M'!BK150&lt;'144M'!BM150,'144M'!BK150-BN150,'144M'!BM150))</f>
        <v>0</v>
      </c>
      <c r="BP150" s="61">
        <f t="shared" si="97"/>
        <v>0</v>
      </c>
      <c r="BQ150" s="60">
        <f t="shared" si="98"/>
        <v>0</v>
      </c>
      <c r="BR150" s="198"/>
    </row>
    <row r="151" spans="1:70" x14ac:dyDescent="0.25">
      <c r="A151" s="169">
        <v>147</v>
      </c>
      <c r="B151" s="1">
        <f t="shared" si="99"/>
        <v>49994</v>
      </c>
      <c r="C151" s="60">
        <f t="shared" si="77"/>
        <v>33127052.878124986</v>
      </c>
      <c r="D151" s="60">
        <f t="shared" si="78"/>
        <v>29814347.590312488</v>
      </c>
      <c r="E151" s="60">
        <f t="shared" si="100"/>
        <v>31</v>
      </c>
      <c r="F151" s="60">
        <f t="shared" si="101"/>
        <v>0</v>
      </c>
      <c r="G151" s="60">
        <f>ROUND(F151*E151*Input!$C$3/365,0)</f>
        <v>0</v>
      </c>
      <c r="H151" s="60">
        <f>IF($A151&lt;=Input!$C$6,0,IF('144M'!D151&lt;'144M'!F151,'144M'!D151-G151,'144M'!F151))</f>
        <v>0</v>
      </c>
      <c r="I151" s="60">
        <f t="shared" si="102"/>
        <v>0</v>
      </c>
      <c r="J151" s="60">
        <f t="shared" si="103"/>
        <v>0</v>
      </c>
      <c r="K151" s="202">
        <f>J151/Input!$K$5</f>
        <v>0</v>
      </c>
      <c r="L151" s="232"/>
      <c r="M151" s="60">
        <f>IF($B151&lt;Input!$H$43,IF($B151&lt;Input!$G$43,IF($B151&lt;Input!$F$43,IF($B151&lt;Input!$E$43,IF($B151&lt;Input!$D$43,Input!$C$49,Input!$D$49),Input!$E$49),Input!$F$49),Input!$G$49),Input!$H$49)</f>
        <v>33127052.878124986</v>
      </c>
      <c r="N151" s="190">
        <f>IF($A151&lt;Input!$H$50,IF($A151&lt;Input!$G$50,IF($A151&lt;Input!$F$50,IF($A151&lt;Input!$E$50,IF($A151&lt;Input!$D$50,Input!$C$51,Input!$D$51),Input!$E$51),Input!$F$51),Input!$G$51),Input!$H$51)</f>
        <v>0.9</v>
      </c>
      <c r="O151" s="60">
        <f t="shared" si="76"/>
        <v>29814347.590312488</v>
      </c>
      <c r="P151" s="60">
        <f t="shared" si="79"/>
        <v>31</v>
      </c>
      <c r="Q151" s="60">
        <f t="shared" si="80"/>
        <v>0</v>
      </c>
      <c r="R151" s="60">
        <f>ROUND(Q151*$P151*Input!$C$3/365,0)</f>
        <v>0</v>
      </c>
      <c r="S151" s="60">
        <f>IF(A151&lt;=Input!$C$6,0,IF('144M'!O151&lt;'144M'!Q151,'144M'!O151-R151,'144M'!Q151))</f>
        <v>0</v>
      </c>
      <c r="T151" s="60">
        <f t="shared" si="81"/>
        <v>0</v>
      </c>
      <c r="U151" s="60">
        <f t="shared" si="82"/>
        <v>0</v>
      </c>
      <c r="V151" s="193"/>
      <c r="W151" s="169">
        <v>147</v>
      </c>
      <c r="X151" s="1">
        <f t="shared" si="104"/>
        <v>49994</v>
      </c>
      <c r="Y151" s="60">
        <f>IF($X151&lt;Input!$H$58,IF($X151&lt;Input!$G$58,IF($X151&lt;Input!$F$58,IF($X151&lt;Input!$E$58,IF($X151&lt;Input!$D$58,Input!$C$64,Input!$D$64),Input!$E$64),Input!$F$64),Input!$G$64),Input!$H$64)</f>
        <v>0</v>
      </c>
      <c r="Z151" s="190">
        <f>IF($A151&lt;Input!$H$65,IF($A151&lt;Input!$G$65,IF($A151&lt;Input!$F$65,IF($A151&lt;Input!$E$65,IF($A151&lt;Input!$D$65,Input!$C$66,Input!$D$66),Input!$E$66),Input!$F$66),Input!$G$66),Input!$H$66)</f>
        <v>0.9</v>
      </c>
      <c r="AA151" s="60">
        <f t="shared" si="83"/>
        <v>0</v>
      </c>
      <c r="AB151" s="60">
        <f t="shared" si="105"/>
        <v>31</v>
      </c>
      <c r="AC151" s="60">
        <f t="shared" si="84"/>
        <v>0</v>
      </c>
      <c r="AD151" s="60">
        <f>ROUND(AC151*AB151*Input!$C$3/365,0)</f>
        <v>0</v>
      </c>
      <c r="AE151" s="61">
        <f>IF($A151&lt;=Input!$C$6,0,IF('144M'!AA151&lt;'144M'!AC151,'144M'!AA151-AD151,'144M'!AC151))</f>
        <v>0</v>
      </c>
      <c r="AF151" s="61">
        <f t="shared" si="85"/>
        <v>0</v>
      </c>
      <c r="AG151" s="60">
        <f t="shared" si="86"/>
        <v>0</v>
      </c>
      <c r="AH151" s="193"/>
      <c r="AI151" s="169">
        <v>147</v>
      </c>
      <c r="AJ151" s="1">
        <f t="shared" si="106"/>
        <v>49994</v>
      </c>
      <c r="AK151" s="60">
        <f>IF($X151&lt;Input!$H$73,IF($X151&lt;Input!$G$73,IF($X151&lt;Input!$F$73,IF($X151&lt;Input!$E$73,IF($X151&lt;Input!$D$73,Input!$C$79,Input!$D$79),Input!$E$79),Input!$F$79),Input!$G$79),Input!$H$79)</f>
        <v>0</v>
      </c>
      <c r="AL151" s="190">
        <f>IF($A151&lt;Input!$H$80,IF($A151&lt;Input!$G$80,IF($A151&lt;Input!$F$80,IF($A151&lt;Input!$E$80,IF($A151&lt;Input!$D$80,Input!$C$81,Input!$D$81),Input!$E$81),Input!$F$81),Input!$G$81),Input!$H$81)</f>
        <v>0.9</v>
      </c>
      <c r="AM151" s="60">
        <f t="shared" si="87"/>
        <v>0</v>
      </c>
      <c r="AN151" s="60">
        <f t="shared" si="107"/>
        <v>31</v>
      </c>
      <c r="AO151" s="60">
        <f t="shared" si="88"/>
        <v>0</v>
      </c>
      <c r="AP151" s="60">
        <f>ROUND(AO151*AN151*Input!$C$3/365,0)</f>
        <v>0</v>
      </c>
      <c r="AQ151" s="61">
        <f>IF($A151&lt;=Input!$C$6,0,IF('144M'!AM151&lt;'144M'!AO151,'144M'!AM151-AP151,'144M'!AO151))</f>
        <v>0</v>
      </c>
      <c r="AR151" s="61">
        <f t="shared" si="89"/>
        <v>0</v>
      </c>
      <c r="AS151" s="60">
        <f t="shared" si="90"/>
        <v>0</v>
      </c>
      <c r="AT151" s="193"/>
      <c r="AU151" s="169">
        <v>147</v>
      </c>
      <c r="AV151" s="1">
        <f t="shared" si="108"/>
        <v>49994</v>
      </c>
      <c r="AW151" s="60">
        <f>IF($X151&lt;Input!$H$88,IF($X151&lt;Input!$G$88,IF($X151&lt;Input!$F$88,IF($X151&lt;Input!$E$88,IF($X151&lt;Input!$D$88,Input!$C$94,Input!$D$94),Input!$E$94),Input!$F$94),Input!$G$94),Input!$H$94)</f>
        <v>0</v>
      </c>
      <c r="AX151" s="190">
        <f>IF($A151&lt;Input!$H$95,IF($A151&lt;Input!$G$95,IF($A151&lt;Input!$F$95,IF($A151&lt;Input!$E$95,IF($A151&lt;Input!$D$95,Input!$C$96,Input!$D$96),Input!$E$96),Input!$F$96),Input!$G$96),Input!$H$96)</f>
        <v>0.9</v>
      </c>
      <c r="AY151" s="60">
        <f t="shared" si="91"/>
        <v>0</v>
      </c>
      <c r="AZ151" s="60">
        <f t="shared" si="109"/>
        <v>31</v>
      </c>
      <c r="BA151" s="60">
        <f t="shared" si="92"/>
        <v>0</v>
      </c>
      <c r="BB151" s="60">
        <f>ROUND(BA151*AZ151*Input!$C$3/365,0)</f>
        <v>0</v>
      </c>
      <c r="BC151" s="61">
        <f>IF($A151&lt;=Input!$C$6,0,IF('144M'!AY151&lt;'144M'!BA151,'144M'!AY151-BB151,'144M'!BA151))</f>
        <v>0</v>
      </c>
      <c r="BD151" s="61">
        <f t="shared" si="93"/>
        <v>0</v>
      </c>
      <c r="BE151" s="60">
        <f t="shared" si="94"/>
        <v>0</v>
      </c>
      <c r="BF151" s="193"/>
      <c r="BG151" s="169">
        <v>147</v>
      </c>
      <c r="BH151" s="1">
        <f t="shared" si="110"/>
        <v>49994</v>
      </c>
      <c r="BI151" s="60">
        <f>IF($X151&lt;Input!$H$103,IF($X151&lt;Input!$G$103,IF($X151&lt;Input!$F$103,IF($X151&lt;Input!$E$103,IF($X151&lt;Input!$D$103,Input!$C$109,Input!$D$109),Input!$E$109),Input!$F$109),Input!$G$109),Input!$H$109)</f>
        <v>0</v>
      </c>
      <c r="BJ151" s="190">
        <f>IF($A151&lt;Input!$H$110,IF($A151&lt;Input!$G$110,IF($A151&lt;Input!$F$110,IF($A151&lt;Input!$E$110,IF($A151&lt;Input!$D$110,Input!$C$111,Input!$D$111),Input!$E$111),Input!$F$111),Input!$G$111),Input!$H$111)</f>
        <v>0.9</v>
      </c>
      <c r="BK151" s="60">
        <f t="shared" si="95"/>
        <v>0</v>
      </c>
      <c r="BL151" s="60">
        <f t="shared" si="111"/>
        <v>31</v>
      </c>
      <c r="BM151" s="60">
        <f t="shared" si="96"/>
        <v>0</v>
      </c>
      <c r="BN151" s="60">
        <f>ROUND(BM151*BL151*Input!$C$3/365,0)</f>
        <v>0</v>
      </c>
      <c r="BO151" s="61">
        <f>IF($A151&lt;=Input!$C$6,0,IF('144M'!BK151&lt;'144M'!BM151,'144M'!BK151-BN151,'144M'!BM151))</f>
        <v>0</v>
      </c>
      <c r="BP151" s="61">
        <f t="shared" si="97"/>
        <v>0</v>
      </c>
      <c r="BQ151" s="60">
        <f t="shared" si="98"/>
        <v>0</v>
      </c>
      <c r="BR151" s="198"/>
    </row>
    <row r="152" spans="1:70" x14ac:dyDescent="0.25">
      <c r="A152" s="169">
        <v>148</v>
      </c>
      <c r="B152" s="1">
        <f t="shared" si="99"/>
        <v>50024</v>
      </c>
      <c r="C152" s="60">
        <f t="shared" si="77"/>
        <v>33127052.878124986</v>
      </c>
      <c r="D152" s="60">
        <f t="shared" si="78"/>
        <v>29814347.590312488</v>
      </c>
      <c r="E152" s="60">
        <f t="shared" si="100"/>
        <v>30</v>
      </c>
      <c r="F152" s="60">
        <f t="shared" si="101"/>
        <v>0</v>
      </c>
      <c r="G152" s="60">
        <f>ROUND(F152*E152*Input!$C$3/365,0)</f>
        <v>0</v>
      </c>
      <c r="H152" s="60">
        <f>IF($A152&lt;=Input!$C$6,0,IF('144M'!D152&lt;'144M'!F152,'144M'!D152-G152,'144M'!F152))</f>
        <v>0</v>
      </c>
      <c r="I152" s="60">
        <f t="shared" si="102"/>
        <v>0</v>
      </c>
      <c r="J152" s="60">
        <f t="shared" si="103"/>
        <v>0</v>
      </c>
      <c r="K152" s="202">
        <f>J152/Input!$K$5</f>
        <v>0</v>
      </c>
      <c r="L152" s="232"/>
      <c r="M152" s="60">
        <f>IF($B152&lt;Input!$H$43,IF($B152&lt;Input!$G$43,IF($B152&lt;Input!$F$43,IF($B152&lt;Input!$E$43,IF($B152&lt;Input!$D$43,Input!$C$49,Input!$D$49),Input!$E$49),Input!$F$49),Input!$G$49),Input!$H$49)</f>
        <v>33127052.878124986</v>
      </c>
      <c r="N152" s="190">
        <f>IF($A152&lt;Input!$H$50,IF($A152&lt;Input!$G$50,IF($A152&lt;Input!$F$50,IF($A152&lt;Input!$E$50,IF($A152&lt;Input!$D$50,Input!$C$51,Input!$D$51),Input!$E$51),Input!$F$51),Input!$G$51),Input!$H$51)</f>
        <v>0.9</v>
      </c>
      <c r="O152" s="60">
        <f t="shared" si="76"/>
        <v>29814347.590312488</v>
      </c>
      <c r="P152" s="60">
        <f t="shared" si="79"/>
        <v>30</v>
      </c>
      <c r="Q152" s="60">
        <f t="shared" si="80"/>
        <v>0</v>
      </c>
      <c r="R152" s="60">
        <f>ROUND(Q152*$P152*Input!$C$3/365,0)</f>
        <v>0</v>
      </c>
      <c r="S152" s="60">
        <f>IF(A152&lt;=Input!$C$6,0,IF('144M'!O152&lt;'144M'!Q152,'144M'!O152-R152,'144M'!Q152))</f>
        <v>0</v>
      </c>
      <c r="T152" s="60">
        <f t="shared" si="81"/>
        <v>0</v>
      </c>
      <c r="U152" s="60">
        <f t="shared" si="82"/>
        <v>0</v>
      </c>
      <c r="V152" s="193"/>
      <c r="W152" s="169">
        <v>148</v>
      </c>
      <c r="X152" s="1">
        <f t="shared" si="104"/>
        <v>50024</v>
      </c>
      <c r="Y152" s="60">
        <f>IF($X152&lt;Input!$H$58,IF($X152&lt;Input!$G$58,IF($X152&lt;Input!$F$58,IF($X152&lt;Input!$E$58,IF($X152&lt;Input!$D$58,Input!$C$64,Input!$D$64),Input!$E$64),Input!$F$64),Input!$G$64),Input!$H$64)</f>
        <v>0</v>
      </c>
      <c r="Z152" s="190">
        <f>IF($A152&lt;Input!$H$65,IF($A152&lt;Input!$G$65,IF($A152&lt;Input!$F$65,IF($A152&lt;Input!$E$65,IF($A152&lt;Input!$D$65,Input!$C$66,Input!$D$66),Input!$E$66),Input!$F$66),Input!$G$66),Input!$H$66)</f>
        <v>0.9</v>
      </c>
      <c r="AA152" s="60">
        <f t="shared" si="83"/>
        <v>0</v>
      </c>
      <c r="AB152" s="60">
        <f t="shared" si="105"/>
        <v>30</v>
      </c>
      <c r="AC152" s="60">
        <f t="shared" si="84"/>
        <v>0</v>
      </c>
      <c r="AD152" s="60">
        <f>ROUND(AC152*AB152*Input!$C$3/365,0)</f>
        <v>0</v>
      </c>
      <c r="AE152" s="61">
        <f>IF($A152&lt;=Input!$C$6,0,IF('144M'!AA152&lt;'144M'!AC152,'144M'!AA152-AD152,'144M'!AC152))</f>
        <v>0</v>
      </c>
      <c r="AF152" s="61">
        <f t="shared" si="85"/>
        <v>0</v>
      </c>
      <c r="AG152" s="60">
        <f t="shared" si="86"/>
        <v>0</v>
      </c>
      <c r="AH152" s="193"/>
      <c r="AI152" s="169">
        <v>148</v>
      </c>
      <c r="AJ152" s="1">
        <f t="shared" si="106"/>
        <v>50024</v>
      </c>
      <c r="AK152" s="60">
        <f>IF($X152&lt;Input!$H$73,IF($X152&lt;Input!$G$73,IF($X152&lt;Input!$F$73,IF($X152&lt;Input!$E$73,IF($X152&lt;Input!$D$73,Input!$C$79,Input!$D$79),Input!$E$79),Input!$F$79),Input!$G$79),Input!$H$79)</f>
        <v>0</v>
      </c>
      <c r="AL152" s="190">
        <f>IF($A152&lt;Input!$H$80,IF($A152&lt;Input!$G$80,IF($A152&lt;Input!$F$80,IF($A152&lt;Input!$E$80,IF($A152&lt;Input!$D$80,Input!$C$81,Input!$D$81),Input!$E$81),Input!$F$81),Input!$G$81),Input!$H$81)</f>
        <v>0.9</v>
      </c>
      <c r="AM152" s="60">
        <f t="shared" si="87"/>
        <v>0</v>
      </c>
      <c r="AN152" s="60">
        <f t="shared" si="107"/>
        <v>30</v>
      </c>
      <c r="AO152" s="60">
        <f t="shared" si="88"/>
        <v>0</v>
      </c>
      <c r="AP152" s="60">
        <f>ROUND(AO152*AN152*Input!$C$3/365,0)</f>
        <v>0</v>
      </c>
      <c r="AQ152" s="61">
        <f>IF($A152&lt;=Input!$C$6,0,IF('144M'!AM152&lt;'144M'!AO152,'144M'!AM152-AP152,'144M'!AO152))</f>
        <v>0</v>
      </c>
      <c r="AR152" s="61">
        <f t="shared" si="89"/>
        <v>0</v>
      </c>
      <c r="AS152" s="60">
        <f t="shared" si="90"/>
        <v>0</v>
      </c>
      <c r="AT152" s="193"/>
      <c r="AU152" s="169">
        <v>148</v>
      </c>
      <c r="AV152" s="1">
        <f t="shared" si="108"/>
        <v>50024</v>
      </c>
      <c r="AW152" s="60">
        <f>IF($X152&lt;Input!$H$88,IF($X152&lt;Input!$G$88,IF($X152&lt;Input!$F$88,IF($X152&lt;Input!$E$88,IF($X152&lt;Input!$D$88,Input!$C$94,Input!$D$94),Input!$E$94),Input!$F$94),Input!$G$94),Input!$H$94)</f>
        <v>0</v>
      </c>
      <c r="AX152" s="190">
        <f>IF($A152&lt;Input!$H$95,IF($A152&lt;Input!$G$95,IF($A152&lt;Input!$F$95,IF($A152&lt;Input!$E$95,IF($A152&lt;Input!$D$95,Input!$C$96,Input!$D$96),Input!$E$96),Input!$F$96),Input!$G$96),Input!$H$96)</f>
        <v>0.9</v>
      </c>
      <c r="AY152" s="60">
        <f t="shared" si="91"/>
        <v>0</v>
      </c>
      <c r="AZ152" s="60">
        <f t="shared" si="109"/>
        <v>30</v>
      </c>
      <c r="BA152" s="60">
        <f t="shared" si="92"/>
        <v>0</v>
      </c>
      <c r="BB152" s="60">
        <f>ROUND(BA152*AZ152*Input!$C$3/365,0)</f>
        <v>0</v>
      </c>
      <c r="BC152" s="61">
        <f>IF($A152&lt;=Input!$C$6,0,IF('144M'!AY152&lt;'144M'!BA152,'144M'!AY152-BB152,'144M'!BA152))</f>
        <v>0</v>
      </c>
      <c r="BD152" s="61">
        <f t="shared" si="93"/>
        <v>0</v>
      </c>
      <c r="BE152" s="60">
        <f t="shared" si="94"/>
        <v>0</v>
      </c>
      <c r="BF152" s="193"/>
      <c r="BG152" s="169">
        <v>148</v>
      </c>
      <c r="BH152" s="1">
        <f t="shared" si="110"/>
        <v>50024</v>
      </c>
      <c r="BI152" s="60">
        <f>IF($X152&lt;Input!$H$103,IF($X152&lt;Input!$G$103,IF($X152&lt;Input!$F$103,IF($X152&lt;Input!$E$103,IF($X152&lt;Input!$D$103,Input!$C$109,Input!$D$109),Input!$E$109),Input!$F$109),Input!$G$109),Input!$H$109)</f>
        <v>0</v>
      </c>
      <c r="BJ152" s="190">
        <f>IF($A152&lt;Input!$H$110,IF($A152&lt;Input!$G$110,IF($A152&lt;Input!$F$110,IF($A152&lt;Input!$E$110,IF($A152&lt;Input!$D$110,Input!$C$111,Input!$D$111),Input!$E$111),Input!$F$111),Input!$G$111),Input!$H$111)</f>
        <v>0.9</v>
      </c>
      <c r="BK152" s="60">
        <f t="shared" si="95"/>
        <v>0</v>
      </c>
      <c r="BL152" s="60">
        <f t="shared" si="111"/>
        <v>30</v>
      </c>
      <c r="BM152" s="60">
        <f t="shared" si="96"/>
        <v>0</v>
      </c>
      <c r="BN152" s="60">
        <f>ROUND(BM152*BL152*Input!$C$3/365,0)</f>
        <v>0</v>
      </c>
      <c r="BO152" s="61">
        <f>IF($A152&lt;=Input!$C$6,0,IF('144M'!BK152&lt;'144M'!BM152,'144M'!BK152-BN152,'144M'!BM152))</f>
        <v>0</v>
      </c>
      <c r="BP152" s="61">
        <f t="shared" si="97"/>
        <v>0</v>
      </c>
      <c r="BQ152" s="60">
        <f t="shared" si="98"/>
        <v>0</v>
      </c>
      <c r="BR152" s="198"/>
    </row>
    <row r="153" spans="1:70" x14ac:dyDescent="0.25">
      <c r="A153" s="169">
        <v>149</v>
      </c>
      <c r="B153" s="1">
        <f t="shared" si="99"/>
        <v>50055</v>
      </c>
      <c r="C153" s="60">
        <f t="shared" si="77"/>
        <v>33127052.878124986</v>
      </c>
      <c r="D153" s="60">
        <f t="shared" si="78"/>
        <v>29814347.590312488</v>
      </c>
      <c r="E153" s="60">
        <f t="shared" si="100"/>
        <v>31</v>
      </c>
      <c r="F153" s="60">
        <f t="shared" si="101"/>
        <v>0</v>
      </c>
      <c r="G153" s="60">
        <f>ROUND(F153*E153*Input!$C$3/365,0)</f>
        <v>0</v>
      </c>
      <c r="H153" s="60">
        <f>IF($A153&lt;=Input!$C$6,0,IF('144M'!D153&lt;'144M'!F153,'144M'!D153-G153,'144M'!F153))</f>
        <v>0</v>
      </c>
      <c r="I153" s="60">
        <f t="shared" si="102"/>
        <v>0</v>
      </c>
      <c r="J153" s="60">
        <f t="shared" si="103"/>
        <v>0</v>
      </c>
      <c r="K153" s="202">
        <f>J153/Input!$K$5</f>
        <v>0</v>
      </c>
      <c r="L153" s="232"/>
      <c r="M153" s="60">
        <f>IF($B153&lt;Input!$H$43,IF($B153&lt;Input!$G$43,IF($B153&lt;Input!$F$43,IF($B153&lt;Input!$E$43,IF($B153&lt;Input!$D$43,Input!$C$49,Input!$D$49),Input!$E$49),Input!$F$49),Input!$G$49),Input!$H$49)</f>
        <v>33127052.878124986</v>
      </c>
      <c r="N153" s="190">
        <f>IF($A153&lt;Input!$H$50,IF($A153&lt;Input!$G$50,IF($A153&lt;Input!$F$50,IF($A153&lt;Input!$E$50,IF($A153&lt;Input!$D$50,Input!$C$51,Input!$D$51),Input!$E$51),Input!$F$51),Input!$G$51),Input!$H$51)</f>
        <v>0.9</v>
      </c>
      <c r="O153" s="60">
        <f t="shared" si="76"/>
        <v>29814347.590312488</v>
      </c>
      <c r="P153" s="60">
        <f t="shared" si="79"/>
        <v>31</v>
      </c>
      <c r="Q153" s="60">
        <f t="shared" si="80"/>
        <v>0</v>
      </c>
      <c r="R153" s="60">
        <f>ROUND(Q153*$P153*Input!$C$3/365,0)</f>
        <v>0</v>
      </c>
      <c r="S153" s="60">
        <f>IF(A153&lt;=Input!$C$6,0,IF('144M'!O153&lt;'144M'!Q153,'144M'!O153-R153,'144M'!Q153))</f>
        <v>0</v>
      </c>
      <c r="T153" s="60">
        <f t="shared" si="81"/>
        <v>0</v>
      </c>
      <c r="U153" s="60">
        <f t="shared" si="82"/>
        <v>0</v>
      </c>
      <c r="V153" s="193"/>
      <c r="W153" s="169">
        <v>149</v>
      </c>
      <c r="X153" s="1">
        <f t="shared" si="104"/>
        <v>50055</v>
      </c>
      <c r="Y153" s="60">
        <f>IF($X153&lt;Input!$H$58,IF($X153&lt;Input!$G$58,IF($X153&lt;Input!$F$58,IF($X153&lt;Input!$E$58,IF($X153&lt;Input!$D$58,Input!$C$64,Input!$D$64),Input!$E$64),Input!$F$64),Input!$G$64),Input!$H$64)</f>
        <v>0</v>
      </c>
      <c r="Z153" s="190">
        <f>IF($A153&lt;Input!$H$65,IF($A153&lt;Input!$G$65,IF($A153&lt;Input!$F$65,IF($A153&lt;Input!$E$65,IF($A153&lt;Input!$D$65,Input!$C$66,Input!$D$66),Input!$E$66),Input!$F$66),Input!$G$66),Input!$H$66)</f>
        <v>0.9</v>
      </c>
      <c r="AA153" s="60">
        <f t="shared" si="83"/>
        <v>0</v>
      </c>
      <c r="AB153" s="60">
        <f t="shared" si="105"/>
        <v>31</v>
      </c>
      <c r="AC153" s="60">
        <f t="shared" si="84"/>
        <v>0</v>
      </c>
      <c r="AD153" s="60">
        <f>ROUND(AC153*AB153*Input!$C$3/365,0)</f>
        <v>0</v>
      </c>
      <c r="AE153" s="61">
        <f>IF($A153&lt;=Input!$C$6,0,IF('144M'!AA153&lt;'144M'!AC153,'144M'!AA153-AD153,'144M'!AC153))</f>
        <v>0</v>
      </c>
      <c r="AF153" s="61">
        <f t="shared" si="85"/>
        <v>0</v>
      </c>
      <c r="AG153" s="60">
        <f t="shared" si="86"/>
        <v>0</v>
      </c>
      <c r="AH153" s="193"/>
      <c r="AI153" s="169">
        <v>149</v>
      </c>
      <c r="AJ153" s="1">
        <f t="shared" si="106"/>
        <v>50055</v>
      </c>
      <c r="AK153" s="60">
        <f>IF($X153&lt;Input!$H$73,IF($X153&lt;Input!$G$73,IF($X153&lt;Input!$F$73,IF($X153&lt;Input!$E$73,IF($X153&lt;Input!$D$73,Input!$C$79,Input!$D$79),Input!$E$79),Input!$F$79),Input!$G$79),Input!$H$79)</f>
        <v>0</v>
      </c>
      <c r="AL153" s="190">
        <f>IF($A153&lt;Input!$H$80,IF($A153&lt;Input!$G$80,IF($A153&lt;Input!$F$80,IF($A153&lt;Input!$E$80,IF($A153&lt;Input!$D$80,Input!$C$81,Input!$D$81),Input!$E$81),Input!$F$81),Input!$G$81),Input!$H$81)</f>
        <v>0.9</v>
      </c>
      <c r="AM153" s="60">
        <f t="shared" si="87"/>
        <v>0</v>
      </c>
      <c r="AN153" s="60">
        <f t="shared" si="107"/>
        <v>31</v>
      </c>
      <c r="AO153" s="60">
        <f t="shared" si="88"/>
        <v>0</v>
      </c>
      <c r="AP153" s="60">
        <f>ROUND(AO153*AN153*Input!$C$3/365,0)</f>
        <v>0</v>
      </c>
      <c r="AQ153" s="61">
        <f>IF($A153&lt;=Input!$C$6,0,IF('144M'!AM153&lt;'144M'!AO153,'144M'!AM153-AP153,'144M'!AO153))</f>
        <v>0</v>
      </c>
      <c r="AR153" s="61">
        <f t="shared" si="89"/>
        <v>0</v>
      </c>
      <c r="AS153" s="60">
        <f t="shared" si="90"/>
        <v>0</v>
      </c>
      <c r="AT153" s="193"/>
      <c r="AU153" s="169">
        <v>149</v>
      </c>
      <c r="AV153" s="1">
        <f t="shared" si="108"/>
        <v>50055</v>
      </c>
      <c r="AW153" s="60">
        <f>IF($X153&lt;Input!$H$88,IF($X153&lt;Input!$G$88,IF($X153&lt;Input!$F$88,IF($X153&lt;Input!$E$88,IF($X153&lt;Input!$D$88,Input!$C$94,Input!$D$94),Input!$E$94),Input!$F$94),Input!$G$94),Input!$H$94)</f>
        <v>0</v>
      </c>
      <c r="AX153" s="190">
        <f>IF($A153&lt;Input!$H$95,IF($A153&lt;Input!$G$95,IF($A153&lt;Input!$F$95,IF($A153&lt;Input!$E$95,IF($A153&lt;Input!$D$95,Input!$C$96,Input!$D$96),Input!$E$96),Input!$F$96),Input!$G$96),Input!$H$96)</f>
        <v>0.9</v>
      </c>
      <c r="AY153" s="60">
        <f t="shared" si="91"/>
        <v>0</v>
      </c>
      <c r="AZ153" s="60">
        <f t="shared" si="109"/>
        <v>31</v>
      </c>
      <c r="BA153" s="60">
        <f t="shared" si="92"/>
        <v>0</v>
      </c>
      <c r="BB153" s="60">
        <f>ROUND(BA153*AZ153*Input!$C$3/365,0)</f>
        <v>0</v>
      </c>
      <c r="BC153" s="61">
        <f>IF($A153&lt;=Input!$C$6,0,IF('144M'!AY153&lt;'144M'!BA153,'144M'!AY153-BB153,'144M'!BA153))</f>
        <v>0</v>
      </c>
      <c r="BD153" s="61">
        <f t="shared" si="93"/>
        <v>0</v>
      </c>
      <c r="BE153" s="60">
        <f t="shared" si="94"/>
        <v>0</v>
      </c>
      <c r="BF153" s="193"/>
      <c r="BG153" s="169">
        <v>149</v>
      </c>
      <c r="BH153" s="1">
        <f t="shared" si="110"/>
        <v>50055</v>
      </c>
      <c r="BI153" s="60">
        <f>IF($X153&lt;Input!$H$103,IF($X153&lt;Input!$G$103,IF($X153&lt;Input!$F$103,IF($X153&lt;Input!$E$103,IF($X153&lt;Input!$D$103,Input!$C$109,Input!$D$109),Input!$E$109),Input!$F$109),Input!$G$109),Input!$H$109)</f>
        <v>0</v>
      </c>
      <c r="BJ153" s="190">
        <f>IF($A153&lt;Input!$H$110,IF($A153&lt;Input!$G$110,IF($A153&lt;Input!$F$110,IF($A153&lt;Input!$E$110,IF($A153&lt;Input!$D$110,Input!$C$111,Input!$D$111),Input!$E$111),Input!$F$111),Input!$G$111),Input!$H$111)</f>
        <v>0.9</v>
      </c>
      <c r="BK153" s="60">
        <f t="shared" si="95"/>
        <v>0</v>
      </c>
      <c r="BL153" s="60">
        <f t="shared" si="111"/>
        <v>31</v>
      </c>
      <c r="BM153" s="60">
        <f t="shared" si="96"/>
        <v>0</v>
      </c>
      <c r="BN153" s="60">
        <f>ROUND(BM153*BL153*Input!$C$3/365,0)</f>
        <v>0</v>
      </c>
      <c r="BO153" s="61">
        <f>IF($A153&lt;=Input!$C$6,0,IF('144M'!BK153&lt;'144M'!BM153,'144M'!BK153-BN153,'144M'!BM153))</f>
        <v>0</v>
      </c>
      <c r="BP153" s="61">
        <f t="shared" si="97"/>
        <v>0</v>
      </c>
      <c r="BQ153" s="60">
        <f t="shared" si="98"/>
        <v>0</v>
      </c>
      <c r="BR153" s="198"/>
    </row>
    <row r="154" spans="1:70" x14ac:dyDescent="0.25">
      <c r="A154" s="169">
        <v>150</v>
      </c>
      <c r="B154" s="1">
        <f t="shared" si="99"/>
        <v>50086</v>
      </c>
      <c r="C154" s="60">
        <f t="shared" si="77"/>
        <v>33127052.878124986</v>
      </c>
      <c r="D154" s="60">
        <f t="shared" si="78"/>
        <v>29814347.590312488</v>
      </c>
      <c r="E154" s="60">
        <f t="shared" si="100"/>
        <v>31</v>
      </c>
      <c r="F154" s="60">
        <f t="shared" si="101"/>
        <v>0</v>
      </c>
      <c r="G154" s="60">
        <f>ROUND(F154*E154*Input!$C$3/365,0)</f>
        <v>0</v>
      </c>
      <c r="H154" s="60">
        <f>IF($A154&lt;=Input!$C$6,0,IF('144M'!D154&lt;'144M'!F154,'144M'!D154-G154,'144M'!F154))</f>
        <v>0</v>
      </c>
      <c r="I154" s="60">
        <f t="shared" si="102"/>
        <v>0</v>
      </c>
      <c r="J154" s="60">
        <f t="shared" si="103"/>
        <v>0</v>
      </c>
      <c r="K154" s="202">
        <f>J154/Input!$K$5</f>
        <v>0</v>
      </c>
      <c r="L154" s="232"/>
      <c r="M154" s="60">
        <f>IF($B154&lt;Input!$H$43,IF($B154&lt;Input!$G$43,IF($B154&lt;Input!$F$43,IF($B154&lt;Input!$E$43,IF($B154&lt;Input!$D$43,Input!$C$49,Input!$D$49),Input!$E$49),Input!$F$49),Input!$G$49),Input!$H$49)</f>
        <v>33127052.878124986</v>
      </c>
      <c r="N154" s="190">
        <f>IF($A154&lt;Input!$H$50,IF($A154&lt;Input!$G$50,IF($A154&lt;Input!$F$50,IF($A154&lt;Input!$E$50,IF($A154&lt;Input!$D$50,Input!$C$51,Input!$D$51),Input!$E$51),Input!$F$51),Input!$G$51),Input!$H$51)</f>
        <v>0.9</v>
      </c>
      <c r="O154" s="60">
        <f t="shared" si="76"/>
        <v>29814347.590312488</v>
      </c>
      <c r="P154" s="60">
        <f t="shared" si="79"/>
        <v>31</v>
      </c>
      <c r="Q154" s="60">
        <f t="shared" si="80"/>
        <v>0</v>
      </c>
      <c r="R154" s="60">
        <f>ROUND(Q154*$P154*Input!$C$3/365,0)</f>
        <v>0</v>
      </c>
      <c r="S154" s="60">
        <f>IF(A154&lt;=Input!$C$6,0,IF('144M'!O154&lt;'144M'!Q154,'144M'!O154-R154,'144M'!Q154))</f>
        <v>0</v>
      </c>
      <c r="T154" s="60">
        <f t="shared" si="81"/>
        <v>0</v>
      </c>
      <c r="U154" s="60">
        <f t="shared" si="82"/>
        <v>0</v>
      </c>
      <c r="V154" s="193"/>
      <c r="W154" s="169">
        <v>150</v>
      </c>
      <c r="X154" s="1">
        <f t="shared" si="104"/>
        <v>50086</v>
      </c>
      <c r="Y154" s="60">
        <f>IF($X154&lt;Input!$H$58,IF($X154&lt;Input!$G$58,IF($X154&lt;Input!$F$58,IF($X154&lt;Input!$E$58,IF($X154&lt;Input!$D$58,Input!$C$64,Input!$D$64),Input!$E$64),Input!$F$64),Input!$G$64),Input!$H$64)</f>
        <v>0</v>
      </c>
      <c r="Z154" s="190">
        <f>IF($A154&lt;Input!$H$65,IF($A154&lt;Input!$G$65,IF($A154&lt;Input!$F$65,IF($A154&lt;Input!$E$65,IF($A154&lt;Input!$D$65,Input!$C$66,Input!$D$66),Input!$E$66),Input!$F$66),Input!$G$66),Input!$H$66)</f>
        <v>0.9</v>
      </c>
      <c r="AA154" s="60">
        <f t="shared" si="83"/>
        <v>0</v>
      </c>
      <c r="AB154" s="60">
        <f t="shared" si="105"/>
        <v>31</v>
      </c>
      <c r="AC154" s="60">
        <f t="shared" si="84"/>
        <v>0</v>
      </c>
      <c r="AD154" s="60">
        <f>ROUND(AC154*AB154*Input!$C$3/365,0)</f>
        <v>0</v>
      </c>
      <c r="AE154" s="61">
        <f>IF($A154&lt;=Input!$C$6,0,IF('144M'!AA154&lt;'144M'!AC154,'144M'!AA154-AD154,'144M'!AC154))</f>
        <v>0</v>
      </c>
      <c r="AF154" s="61">
        <f t="shared" si="85"/>
        <v>0</v>
      </c>
      <c r="AG154" s="60">
        <f t="shared" si="86"/>
        <v>0</v>
      </c>
      <c r="AH154" s="193"/>
      <c r="AI154" s="169">
        <v>150</v>
      </c>
      <c r="AJ154" s="1">
        <f t="shared" si="106"/>
        <v>50086</v>
      </c>
      <c r="AK154" s="60">
        <f>IF($X154&lt;Input!$H$73,IF($X154&lt;Input!$G$73,IF($X154&lt;Input!$F$73,IF($X154&lt;Input!$E$73,IF($X154&lt;Input!$D$73,Input!$C$79,Input!$D$79),Input!$E$79),Input!$F$79),Input!$G$79),Input!$H$79)</f>
        <v>0</v>
      </c>
      <c r="AL154" s="190">
        <f>IF($A154&lt;Input!$H$80,IF($A154&lt;Input!$G$80,IF($A154&lt;Input!$F$80,IF($A154&lt;Input!$E$80,IF($A154&lt;Input!$D$80,Input!$C$81,Input!$D$81),Input!$E$81),Input!$F$81),Input!$G$81),Input!$H$81)</f>
        <v>0.9</v>
      </c>
      <c r="AM154" s="60">
        <f t="shared" si="87"/>
        <v>0</v>
      </c>
      <c r="AN154" s="60">
        <f t="shared" si="107"/>
        <v>31</v>
      </c>
      <c r="AO154" s="60">
        <f t="shared" si="88"/>
        <v>0</v>
      </c>
      <c r="AP154" s="60">
        <f>ROUND(AO154*AN154*Input!$C$3/365,0)</f>
        <v>0</v>
      </c>
      <c r="AQ154" s="61">
        <f>IF($A154&lt;=Input!$C$6,0,IF('144M'!AM154&lt;'144M'!AO154,'144M'!AM154-AP154,'144M'!AO154))</f>
        <v>0</v>
      </c>
      <c r="AR154" s="61">
        <f t="shared" si="89"/>
        <v>0</v>
      </c>
      <c r="AS154" s="60">
        <f t="shared" si="90"/>
        <v>0</v>
      </c>
      <c r="AT154" s="193"/>
      <c r="AU154" s="169">
        <v>150</v>
      </c>
      <c r="AV154" s="1">
        <f t="shared" si="108"/>
        <v>50086</v>
      </c>
      <c r="AW154" s="60">
        <f>IF($X154&lt;Input!$H$88,IF($X154&lt;Input!$G$88,IF($X154&lt;Input!$F$88,IF($X154&lt;Input!$E$88,IF($X154&lt;Input!$D$88,Input!$C$94,Input!$D$94),Input!$E$94),Input!$F$94),Input!$G$94),Input!$H$94)</f>
        <v>0</v>
      </c>
      <c r="AX154" s="190">
        <f>IF($A154&lt;Input!$H$95,IF($A154&lt;Input!$G$95,IF($A154&lt;Input!$F$95,IF($A154&lt;Input!$E$95,IF($A154&lt;Input!$D$95,Input!$C$96,Input!$D$96),Input!$E$96),Input!$F$96),Input!$G$96),Input!$H$96)</f>
        <v>0.9</v>
      </c>
      <c r="AY154" s="60">
        <f t="shared" si="91"/>
        <v>0</v>
      </c>
      <c r="AZ154" s="60">
        <f t="shared" si="109"/>
        <v>31</v>
      </c>
      <c r="BA154" s="60">
        <f t="shared" si="92"/>
        <v>0</v>
      </c>
      <c r="BB154" s="60">
        <f>ROUND(BA154*AZ154*Input!$C$3/365,0)</f>
        <v>0</v>
      </c>
      <c r="BC154" s="61">
        <f>IF($A154&lt;=Input!$C$6,0,IF('144M'!AY154&lt;'144M'!BA154,'144M'!AY154-BB154,'144M'!BA154))</f>
        <v>0</v>
      </c>
      <c r="BD154" s="61">
        <f t="shared" si="93"/>
        <v>0</v>
      </c>
      <c r="BE154" s="60">
        <f t="shared" si="94"/>
        <v>0</v>
      </c>
      <c r="BF154" s="193"/>
      <c r="BG154" s="169">
        <v>150</v>
      </c>
      <c r="BH154" s="1">
        <f t="shared" si="110"/>
        <v>50086</v>
      </c>
      <c r="BI154" s="60">
        <f>IF($X154&lt;Input!$H$103,IF($X154&lt;Input!$G$103,IF($X154&lt;Input!$F$103,IF($X154&lt;Input!$E$103,IF($X154&lt;Input!$D$103,Input!$C$109,Input!$D$109),Input!$E$109),Input!$F$109),Input!$G$109),Input!$H$109)</f>
        <v>0</v>
      </c>
      <c r="BJ154" s="190">
        <f>IF($A154&lt;Input!$H$110,IF($A154&lt;Input!$G$110,IF($A154&lt;Input!$F$110,IF($A154&lt;Input!$E$110,IF($A154&lt;Input!$D$110,Input!$C$111,Input!$D$111),Input!$E$111),Input!$F$111),Input!$G$111),Input!$H$111)</f>
        <v>0.9</v>
      </c>
      <c r="BK154" s="60">
        <f t="shared" si="95"/>
        <v>0</v>
      </c>
      <c r="BL154" s="60">
        <f t="shared" si="111"/>
        <v>31</v>
      </c>
      <c r="BM154" s="60">
        <f t="shared" si="96"/>
        <v>0</v>
      </c>
      <c r="BN154" s="60">
        <f>ROUND(BM154*BL154*Input!$C$3/365,0)</f>
        <v>0</v>
      </c>
      <c r="BO154" s="61">
        <f>IF($A154&lt;=Input!$C$6,0,IF('144M'!BK154&lt;'144M'!BM154,'144M'!BK154-BN154,'144M'!BM154))</f>
        <v>0</v>
      </c>
      <c r="BP154" s="61">
        <f t="shared" si="97"/>
        <v>0</v>
      </c>
      <c r="BQ154" s="60">
        <f t="shared" si="98"/>
        <v>0</v>
      </c>
      <c r="BR154" s="198"/>
    </row>
    <row r="155" spans="1:70" x14ac:dyDescent="0.25">
      <c r="A155" s="169">
        <v>151</v>
      </c>
      <c r="B155" s="1">
        <f t="shared" si="99"/>
        <v>50114</v>
      </c>
      <c r="C155" s="60">
        <f t="shared" si="77"/>
        <v>33127052.878124986</v>
      </c>
      <c r="D155" s="60">
        <f t="shared" si="78"/>
        <v>29814347.590312488</v>
      </c>
      <c r="E155" s="60">
        <f t="shared" si="100"/>
        <v>28</v>
      </c>
      <c r="F155" s="60">
        <f t="shared" si="101"/>
        <v>0</v>
      </c>
      <c r="G155" s="60">
        <f>ROUND(F155*E155*Input!$C$3/365,0)</f>
        <v>0</v>
      </c>
      <c r="H155" s="60">
        <f>IF($A155&lt;=Input!$C$6,0,IF('144M'!D155&lt;'144M'!F155,'144M'!D155-G155,'144M'!F155))</f>
        <v>0</v>
      </c>
      <c r="I155" s="60">
        <f t="shared" si="102"/>
        <v>0</v>
      </c>
      <c r="J155" s="60">
        <f t="shared" si="103"/>
        <v>0</v>
      </c>
      <c r="K155" s="202">
        <f>J155/Input!$K$5</f>
        <v>0</v>
      </c>
      <c r="L155" s="232"/>
      <c r="M155" s="60">
        <f>IF($B155&lt;Input!$H$43,IF($B155&lt;Input!$G$43,IF($B155&lt;Input!$F$43,IF($B155&lt;Input!$E$43,IF($B155&lt;Input!$D$43,Input!$C$49,Input!$D$49),Input!$E$49),Input!$F$49),Input!$G$49),Input!$H$49)</f>
        <v>33127052.878124986</v>
      </c>
      <c r="N155" s="190">
        <f>IF($A155&lt;Input!$H$50,IF($A155&lt;Input!$G$50,IF($A155&lt;Input!$F$50,IF($A155&lt;Input!$E$50,IF($A155&lt;Input!$D$50,Input!$C$51,Input!$D$51),Input!$E$51),Input!$F$51),Input!$G$51),Input!$H$51)</f>
        <v>0.9</v>
      </c>
      <c r="O155" s="60">
        <f t="shared" si="76"/>
        <v>29814347.590312488</v>
      </c>
      <c r="P155" s="60">
        <f t="shared" si="79"/>
        <v>28</v>
      </c>
      <c r="Q155" s="60">
        <f t="shared" si="80"/>
        <v>0</v>
      </c>
      <c r="R155" s="60">
        <f>ROUND(Q155*$P155*Input!$C$3/365,0)</f>
        <v>0</v>
      </c>
      <c r="S155" s="60">
        <f>IF(A155&lt;=Input!$C$6,0,IF('144M'!O155&lt;'144M'!Q155,'144M'!O155-R155,'144M'!Q155))</f>
        <v>0</v>
      </c>
      <c r="T155" s="60">
        <f t="shared" si="81"/>
        <v>0</v>
      </c>
      <c r="U155" s="60">
        <f t="shared" si="82"/>
        <v>0</v>
      </c>
      <c r="V155" s="193"/>
      <c r="W155" s="169">
        <v>151</v>
      </c>
      <c r="X155" s="1">
        <f t="shared" si="104"/>
        <v>50114</v>
      </c>
      <c r="Y155" s="60">
        <f>IF($X155&lt;Input!$H$58,IF($X155&lt;Input!$G$58,IF($X155&lt;Input!$F$58,IF($X155&lt;Input!$E$58,IF($X155&lt;Input!$D$58,Input!$C$64,Input!$D$64),Input!$E$64),Input!$F$64),Input!$G$64),Input!$H$64)</f>
        <v>0</v>
      </c>
      <c r="Z155" s="190">
        <f>IF($A155&lt;Input!$H$65,IF($A155&lt;Input!$G$65,IF($A155&lt;Input!$F$65,IF($A155&lt;Input!$E$65,IF($A155&lt;Input!$D$65,Input!$C$66,Input!$D$66),Input!$E$66),Input!$F$66),Input!$G$66),Input!$H$66)</f>
        <v>0.9</v>
      </c>
      <c r="AA155" s="60">
        <f t="shared" si="83"/>
        <v>0</v>
      </c>
      <c r="AB155" s="60">
        <f t="shared" si="105"/>
        <v>28</v>
      </c>
      <c r="AC155" s="60">
        <f t="shared" si="84"/>
        <v>0</v>
      </c>
      <c r="AD155" s="60">
        <f>ROUND(AC155*AB155*Input!$C$3/365,0)</f>
        <v>0</v>
      </c>
      <c r="AE155" s="61">
        <f>IF($A155&lt;=Input!$C$6,0,IF('144M'!AA155&lt;'144M'!AC155,'144M'!AA155-AD155,'144M'!AC155))</f>
        <v>0</v>
      </c>
      <c r="AF155" s="61">
        <f t="shared" si="85"/>
        <v>0</v>
      </c>
      <c r="AG155" s="60">
        <f t="shared" si="86"/>
        <v>0</v>
      </c>
      <c r="AH155" s="193"/>
      <c r="AI155" s="169">
        <v>151</v>
      </c>
      <c r="AJ155" s="1">
        <f t="shared" si="106"/>
        <v>50114</v>
      </c>
      <c r="AK155" s="60">
        <f>IF($X155&lt;Input!$H$73,IF($X155&lt;Input!$G$73,IF($X155&lt;Input!$F$73,IF($X155&lt;Input!$E$73,IF($X155&lt;Input!$D$73,Input!$C$79,Input!$D$79),Input!$E$79),Input!$F$79),Input!$G$79),Input!$H$79)</f>
        <v>0</v>
      </c>
      <c r="AL155" s="190">
        <f>IF($A155&lt;Input!$H$80,IF($A155&lt;Input!$G$80,IF($A155&lt;Input!$F$80,IF($A155&lt;Input!$E$80,IF($A155&lt;Input!$D$80,Input!$C$81,Input!$D$81),Input!$E$81),Input!$F$81),Input!$G$81),Input!$H$81)</f>
        <v>0.9</v>
      </c>
      <c r="AM155" s="60">
        <f t="shared" si="87"/>
        <v>0</v>
      </c>
      <c r="AN155" s="60">
        <f t="shared" si="107"/>
        <v>28</v>
      </c>
      <c r="AO155" s="60">
        <f t="shared" si="88"/>
        <v>0</v>
      </c>
      <c r="AP155" s="60">
        <f>ROUND(AO155*AN155*Input!$C$3/365,0)</f>
        <v>0</v>
      </c>
      <c r="AQ155" s="61">
        <f>IF($A155&lt;=Input!$C$6,0,IF('144M'!AM155&lt;'144M'!AO155,'144M'!AM155-AP155,'144M'!AO155))</f>
        <v>0</v>
      </c>
      <c r="AR155" s="61">
        <f t="shared" si="89"/>
        <v>0</v>
      </c>
      <c r="AS155" s="60">
        <f t="shared" si="90"/>
        <v>0</v>
      </c>
      <c r="AT155" s="193"/>
      <c r="AU155" s="169">
        <v>151</v>
      </c>
      <c r="AV155" s="1">
        <f t="shared" si="108"/>
        <v>50114</v>
      </c>
      <c r="AW155" s="60">
        <f>IF($X155&lt;Input!$H$88,IF($X155&lt;Input!$G$88,IF($X155&lt;Input!$F$88,IF($X155&lt;Input!$E$88,IF($X155&lt;Input!$D$88,Input!$C$94,Input!$D$94),Input!$E$94),Input!$F$94),Input!$G$94),Input!$H$94)</f>
        <v>0</v>
      </c>
      <c r="AX155" s="190">
        <f>IF($A155&lt;Input!$H$95,IF($A155&lt;Input!$G$95,IF($A155&lt;Input!$F$95,IF($A155&lt;Input!$E$95,IF($A155&lt;Input!$D$95,Input!$C$96,Input!$D$96),Input!$E$96),Input!$F$96),Input!$G$96),Input!$H$96)</f>
        <v>0.9</v>
      </c>
      <c r="AY155" s="60">
        <f t="shared" si="91"/>
        <v>0</v>
      </c>
      <c r="AZ155" s="60">
        <f t="shared" si="109"/>
        <v>28</v>
      </c>
      <c r="BA155" s="60">
        <f t="shared" si="92"/>
        <v>0</v>
      </c>
      <c r="BB155" s="60">
        <f>ROUND(BA155*AZ155*Input!$C$3/365,0)</f>
        <v>0</v>
      </c>
      <c r="BC155" s="61">
        <f>IF($A155&lt;=Input!$C$6,0,IF('144M'!AY155&lt;'144M'!BA155,'144M'!AY155-BB155,'144M'!BA155))</f>
        <v>0</v>
      </c>
      <c r="BD155" s="61">
        <f t="shared" si="93"/>
        <v>0</v>
      </c>
      <c r="BE155" s="60">
        <f t="shared" si="94"/>
        <v>0</v>
      </c>
      <c r="BF155" s="193"/>
      <c r="BG155" s="169">
        <v>151</v>
      </c>
      <c r="BH155" s="1">
        <f t="shared" si="110"/>
        <v>50114</v>
      </c>
      <c r="BI155" s="60">
        <f>IF($X155&lt;Input!$H$103,IF($X155&lt;Input!$G$103,IF($X155&lt;Input!$F$103,IF($X155&lt;Input!$E$103,IF($X155&lt;Input!$D$103,Input!$C$109,Input!$D$109),Input!$E$109),Input!$F$109),Input!$G$109),Input!$H$109)</f>
        <v>0</v>
      </c>
      <c r="BJ155" s="190">
        <f>IF($A155&lt;Input!$H$110,IF($A155&lt;Input!$G$110,IF($A155&lt;Input!$F$110,IF($A155&lt;Input!$E$110,IF($A155&lt;Input!$D$110,Input!$C$111,Input!$D$111),Input!$E$111),Input!$F$111),Input!$G$111),Input!$H$111)</f>
        <v>0.9</v>
      </c>
      <c r="BK155" s="60">
        <f t="shared" si="95"/>
        <v>0</v>
      </c>
      <c r="BL155" s="60">
        <f t="shared" si="111"/>
        <v>28</v>
      </c>
      <c r="BM155" s="60">
        <f t="shared" si="96"/>
        <v>0</v>
      </c>
      <c r="BN155" s="60">
        <f>ROUND(BM155*BL155*Input!$C$3/365,0)</f>
        <v>0</v>
      </c>
      <c r="BO155" s="61">
        <f>IF($A155&lt;=Input!$C$6,0,IF('144M'!BK155&lt;'144M'!BM155,'144M'!BK155-BN155,'144M'!BM155))</f>
        <v>0</v>
      </c>
      <c r="BP155" s="61">
        <f t="shared" si="97"/>
        <v>0</v>
      </c>
      <c r="BQ155" s="60">
        <f t="shared" si="98"/>
        <v>0</v>
      </c>
      <c r="BR155" s="198"/>
    </row>
    <row r="156" spans="1:70" x14ac:dyDescent="0.25">
      <c r="A156" s="169">
        <v>152</v>
      </c>
      <c r="B156" s="1">
        <f t="shared" si="99"/>
        <v>50145</v>
      </c>
      <c r="C156" s="60">
        <f t="shared" si="77"/>
        <v>33127052.878124986</v>
      </c>
      <c r="D156" s="60">
        <f t="shared" si="78"/>
        <v>29814347.590312488</v>
      </c>
      <c r="E156" s="60">
        <f t="shared" si="100"/>
        <v>31</v>
      </c>
      <c r="F156" s="60">
        <f t="shared" si="101"/>
        <v>0</v>
      </c>
      <c r="G156" s="60">
        <f>ROUND(F156*E156*Input!$C$3/365,0)</f>
        <v>0</v>
      </c>
      <c r="H156" s="60">
        <f>IF($A156&lt;=Input!$C$6,0,IF('144M'!D156&lt;'144M'!F156,'144M'!D156-G156,'144M'!F156))</f>
        <v>0</v>
      </c>
      <c r="I156" s="60">
        <f t="shared" si="102"/>
        <v>0</v>
      </c>
      <c r="J156" s="60">
        <f t="shared" si="103"/>
        <v>0</v>
      </c>
      <c r="K156" s="202">
        <f>J156/Input!$K$5</f>
        <v>0</v>
      </c>
      <c r="L156" s="232"/>
      <c r="M156" s="60">
        <f>IF($B156&lt;Input!$H$43,IF($B156&lt;Input!$G$43,IF($B156&lt;Input!$F$43,IF($B156&lt;Input!$E$43,IF($B156&lt;Input!$D$43,Input!$C$49,Input!$D$49),Input!$E$49),Input!$F$49),Input!$G$49),Input!$H$49)</f>
        <v>33127052.878124986</v>
      </c>
      <c r="N156" s="190">
        <f>IF($A156&lt;Input!$H$50,IF($A156&lt;Input!$G$50,IF($A156&lt;Input!$F$50,IF($A156&lt;Input!$E$50,IF($A156&lt;Input!$D$50,Input!$C$51,Input!$D$51),Input!$E$51),Input!$F$51),Input!$G$51),Input!$H$51)</f>
        <v>0.9</v>
      </c>
      <c r="O156" s="60">
        <f t="shared" si="76"/>
        <v>29814347.590312488</v>
      </c>
      <c r="P156" s="60">
        <f t="shared" si="79"/>
        <v>31</v>
      </c>
      <c r="Q156" s="60">
        <f t="shared" si="80"/>
        <v>0</v>
      </c>
      <c r="R156" s="60">
        <f>ROUND(Q156*$P156*Input!$C$3/365,0)</f>
        <v>0</v>
      </c>
      <c r="S156" s="60">
        <f>IF(A156&lt;=Input!$C$6,0,IF('144M'!O156&lt;'144M'!Q156,'144M'!O156-R156,'144M'!Q156))</f>
        <v>0</v>
      </c>
      <c r="T156" s="60">
        <f t="shared" si="81"/>
        <v>0</v>
      </c>
      <c r="U156" s="60">
        <f t="shared" si="82"/>
        <v>0</v>
      </c>
      <c r="V156" s="193"/>
      <c r="W156" s="169">
        <v>152</v>
      </c>
      <c r="X156" s="1">
        <f t="shared" si="104"/>
        <v>50145</v>
      </c>
      <c r="Y156" s="60">
        <f>IF($X156&lt;Input!$H$58,IF($X156&lt;Input!$G$58,IF($X156&lt;Input!$F$58,IF($X156&lt;Input!$E$58,IF($X156&lt;Input!$D$58,Input!$C$64,Input!$D$64),Input!$E$64),Input!$F$64),Input!$G$64),Input!$H$64)</f>
        <v>0</v>
      </c>
      <c r="Z156" s="190">
        <f>IF($A156&lt;Input!$H$65,IF($A156&lt;Input!$G$65,IF($A156&lt;Input!$F$65,IF($A156&lt;Input!$E$65,IF($A156&lt;Input!$D$65,Input!$C$66,Input!$D$66),Input!$E$66),Input!$F$66),Input!$G$66),Input!$H$66)</f>
        <v>0.9</v>
      </c>
      <c r="AA156" s="60">
        <f t="shared" si="83"/>
        <v>0</v>
      </c>
      <c r="AB156" s="60">
        <f t="shared" si="105"/>
        <v>31</v>
      </c>
      <c r="AC156" s="60">
        <f t="shared" si="84"/>
        <v>0</v>
      </c>
      <c r="AD156" s="60">
        <f>ROUND(AC156*AB156*Input!$C$3/365,0)</f>
        <v>0</v>
      </c>
      <c r="AE156" s="61">
        <f>IF($A156&lt;=Input!$C$6,0,IF('144M'!AA156&lt;'144M'!AC156,'144M'!AA156-AD156,'144M'!AC156))</f>
        <v>0</v>
      </c>
      <c r="AF156" s="61">
        <f t="shared" si="85"/>
        <v>0</v>
      </c>
      <c r="AG156" s="60">
        <f t="shared" si="86"/>
        <v>0</v>
      </c>
      <c r="AH156" s="193"/>
      <c r="AI156" s="169">
        <v>152</v>
      </c>
      <c r="AJ156" s="1">
        <f t="shared" si="106"/>
        <v>50145</v>
      </c>
      <c r="AK156" s="60">
        <f>IF($X156&lt;Input!$H$73,IF($X156&lt;Input!$G$73,IF($X156&lt;Input!$F$73,IF($X156&lt;Input!$E$73,IF($X156&lt;Input!$D$73,Input!$C$79,Input!$D$79),Input!$E$79),Input!$F$79),Input!$G$79),Input!$H$79)</f>
        <v>0</v>
      </c>
      <c r="AL156" s="190">
        <f>IF($A156&lt;Input!$H$80,IF($A156&lt;Input!$G$80,IF($A156&lt;Input!$F$80,IF($A156&lt;Input!$E$80,IF($A156&lt;Input!$D$80,Input!$C$81,Input!$D$81),Input!$E$81),Input!$F$81),Input!$G$81),Input!$H$81)</f>
        <v>0.9</v>
      </c>
      <c r="AM156" s="60">
        <f t="shared" si="87"/>
        <v>0</v>
      </c>
      <c r="AN156" s="60">
        <f t="shared" si="107"/>
        <v>31</v>
      </c>
      <c r="AO156" s="60">
        <f t="shared" si="88"/>
        <v>0</v>
      </c>
      <c r="AP156" s="60">
        <f>ROUND(AO156*AN156*Input!$C$3/365,0)</f>
        <v>0</v>
      </c>
      <c r="AQ156" s="61">
        <f>IF($A156&lt;=Input!$C$6,0,IF('144M'!AM156&lt;'144M'!AO156,'144M'!AM156-AP156,'144M'!AO156))</f>
        <v>0</v>
      </c>
      <c r="AR156" s="61">
        <f t="shared" si="89"/>
        <v>0</v>
      </c>
      <c r="AS156" s="60">
        <f t="shared" si="90"/>
        <v>0</v>
      </c>
      <c r="AT156" s="193"/>
      <c r="AU156" s="169">
        <v>152</v>
      </c>
      <c r="AV156" s="1">
        <f t="shared" si="108"/>
        <v>50145</v>
      </c>
      <c r="AW156" s="60">
        <f>IF($X156&lt;Input!$H$88,IF($X156&lt;Input!$G$88,IF($X156&lt;Input!$F$88,IF($X156&lt;Input!$E$88,IF($X156&lt;Input!$D$88,Input!$C$94,Input!$D$94),Input!$E$94),Input!$F$94),Input!$G$94),Input!$H$94)</f>
        <v>0</v>
      </c>
      <c r="AX156" s="190">
        <f>IF($A156&lt;Input!$H$95,IF($A156&lt;Input!$G$95,IF($A156&lt;Input!$F$95,IF($A156&lt;Input!$E$95,IF($A156&lt;Input!$D$95,Input!$C$96,Input!$D$96),Input!$E$96),Input!$F$96),Input!$G$96),Input!$H$96)</f>
        <v>0.9</v>
      </c>
      <c r="AY156" s="60">
        <f t="shared" si="91"/>
        <v>0</v>
      </c>
      <c r="AZ156" s="60">
        <f t="shared" si="109"/>
        <v>31</v>
      </c>
      <c r="BA156" s="60">
        <f t="shared" si="92"/>
        <v>0</v>
      </c>
      <c r="BB156" s="60">
        <f>ROUND(BA156*AZ156*Input!$C$3/365,0)</f>
        <v>0</v>
      </c>
      <c r="BC156" s="61">
        <f>IF($A156&lt;=Input!$C$6,0,IF('144M'!AY156&lt;'144M'!BA156,'144M'!AY156-BB156,'144M'!BA156))</f>
        <v>0</v>
      </c>
      <c r="BD156" s="61">
        <f t="shared" si="93"/>
        <v>0</v>
      </c>
      <c r="BE156" s="60">
        <f t="shared" si="94"/>
        <v>0</v>
      </c>
      <c r="BF156" s="193"/>
      <c r="BG156" s="169">
        <v>152</v>
      </c>
      <c r="BH156" s="1">
        <f t="shared" si="110"/>
        <v>50145</v>
      </c>
      <c r="BI156" s="60">
        <f>IF($X156&lt;Input!$H$103,IF($X156&lt;Input!$G$103,IF($X156&lt;Input!$F$103,IF($X156&lt;Input!$E$103,IF($X156&lt;Input!$D$103,Input!$C$109,Input!$D$109),Input!$E$109),Input!$F$109),Input!$G$109),Input!$H$109)</f>
        <v>0</v>
      </c>
      <c r="BJ156" s="190">
        <f>IF($A156&lt;Input!$H$110,IF($A156&lt;Input!$G$110,IF($A156&lt;Input!$F$110,IF($A156&lt;Input!$E$110,IF($A156&lt;Input!$D$110,Input!$C$111,Input!$D$111),Input!$E$111),Input!$F$111),Input!$G$111),Input!$H$111)</f>
        <v>0.9</v>
      </c>
      <c r="BK156" s="60">
        <f t="shared" si="95"/>
        <v>0</v>
      </c>
      <c r="BL156" s="60">
        <f t="shared" si="111"/>
        <v>31</v>
      </c>
      <c r="BM156" s="60">
        <f t="shared" si="96"/>
        <v>0</v>
      </c>
      <c r="BN156" s="60">
        <f>ROUND(BM156*BL156*Input!$C$3/365,0)</f>
        <v>0</v>
      </c>
      <c r="BO156" s="61">
        <f>IF($A156&lt;=Input!$C$6,0,IF('144M'!BK156&lt;'144M'!BM156,'144M'!BK156-BN156,'144M'!BM156))</f>
        <v>0</v>
      </c>
      <c r="BP156" s="61">
        <f t="shared" si="97"/>
        <v>0</v>
      </c>
      <c r="BQ156" s="60">
        <f t="shared" si="98"/>
        <v>0</v>
      </c>
      <c r="BR156" s="198"/>
    </row>
    <row r="157" spans="1:70" x14ac:dyDescent="0.25">
      <c r="A157" s="169">
        <v>153</v>
      </c>
      <c r="B157" s="1">
        <f t="shared" si="99"/>
        <v>50175</v>
      </c>
      <c r="C157" s="60">
        <f t="shared" si="77"/>
        <v>33127052.878124986</v>
      </c>
      <c r="D157" s="60">
        <f t="shared" si="78"/>
        <v>29814347.590312488</v>
      </c>
      <c r="E157" s="60">
        <f t="shared" si="100"/>
        <v>30</v>
      </c>
      <c r="F157" s="60">
        <f t="shared" si="101"/>
        <v>0</v>
      </c>
      <c r="G157" s="60">
        <f>ROUND(F157*E157*Input!$C$3/365,0)</f>
        <v>0</v>
      </c>
      <c r="H157" s="60">
        <f>IF($A157&lt;=Input!$C$6,0,IF('144M'!D157&lt;'144M'!F157,'144M'!D157-G157,'144M'!F157))</f>
        <v>0</v>
      </c>
      <c r="I157" s="60">
        <f t="shared" si="102"/>
        <v>0</v>
      </c>
      <c r="J157" s="60">
        <f t="shared" si="103"/>
        <v>0</v>
      </c>
      <c r="K157" s="202">
        <f>J157/Input!$K$5</f>
        <v>0</v>
      </c>
      <c r="L157" s="232"/>
      <c r="M157" s="60">
        <f>IF($B157&lt;Input!$H$43,IF($B157&lt;Input!$G$43,IF($B157&lt;Input!$F$43,IF($B157&lt;Input!$E$43,IF($B157&lt;Input!$D$43,Input!$C$49,Input!$D$49),Input!$E$49),Input!$F$49),Input!$G$49),Input!$H$49)</f>
        <v>33127052.878124986</v>
      </c>
      <c r="N157" s="190">
        <f>IF($A157&lt;Input!$H$50,IF($A157&lt;Input!$G$50,IF($A157&lt;Input!$F$50,IF($A157&lt;Input!$E$50,IF($A157&lt;Input!$D$50,Input!$C$51,Input!$D$51),Input!$E$51),Input!$F$51),Input!$G$51),Input!$H$51)</f>
        <v>0.9</v>
      </c>
      <c r="O157" s="60">
        <f t="shared" si="76"/>
        <v>29814347.590312488</v>
      </c>
      <c r="P157" s="60">
        <f t="shared" si="79"/>
        <v>30</v>
      </c>
      <c r="Q157" s="60">
        <f t="shared" si="80"/>
        <v>0</v>
      </c>
      <c r="R157" s="60">
        <f>ROUND(Q157*$P157*Input!$C$3/365,0)</f>
        <v>0</v>
      </c>
      <c r="S157" s="60">
        <f>IF(A157&lt;=Input!$C$6,0,IF('144M'!O157&lt;'144M'!Q157,'144M'!O157-R157,'144M'!Q157))</f>
        <v>0</v>
      </c>
      <c r="T157" s="60">
        <f t="shared" si="81"/>
        <v>0</v>
      </c>
      <c r="U157" s="60">
        <f t="shared" si="82"/>
        <v>0</v>
      </c>
      <c r="V157" s="193"/>
      <c r="W157" s="169">
        <v>153</v>
      </c>
      <c r="X157" s="1">
        <f t="shared" si="104"/>
        <v>50175</v>
      </c>
      <c r="Y157" s="60">
        <f>IF($X157&lt;Input!$H$58,IF($X157&lt;Input!$G$58,IF($X157&lt;Input!$F$58,IF($X157&lt;Input!$E$58,IF($X157&lt;Input!$D$58,Input!$C$64,Input!$D$64),Input!$E$64),Input!$F$64),Input!$G$64),Input!$H$64)</f>
        <v>0</v>
      </c>
      <c r="Z157" s="190">
        <f>IF($A157&lt;Input!$H$65,IF($A157&lt;Input!$G$65,IF($A157&lt;Input!$F$65,IF($A157&lt;Input!$E$65,IF($A157&lt;Input!$D$65,Input!$C$66,Input!$D$66),Input!$E$66),Input!$F$66),Input!$G$66),Input!$H$66)</f>
        <v>0.9</v>
      </c>
      <c r="AA157" s="60">
        <f t="shared" si="83"/>
        <v>0</v>
      </c>
      <c r="AB157" s="60">
        <f t="shared" si="105"/>
        <v>30</v>
      </c>
      <c r="AC157" s="60">
        <f t="shared" si="84"/>
        <v>0</v>
      </c>
      <c r="AD157" s="60">
        <f>ROUND(AC157*AB157*Input!$C$3/365,0)</f>
        <v>0</v>
      </c>
      <c r="AE157" s="61">
        <f>IF($A157&lt;=Input!$C$6,0,IF('144M'!AA157&lt;'144M'!AC157,'144M'!AA157-AD157,'144M'!AC157))</f>
        <v>0</v>
      </c>
      <c r="AF157" s="61">
        <f t="shared" si="85"/>
        <v>0</v>
      </c>
      <c r="AG157" s="60">
        <f t="shared" si="86"/>
        <v>0</v>
      </c>
      <c r="AH157" s="193"/>
      <c r="AI157" s="169">
        <v>153</v>
      </c>
      <c r="AJ157" s="1">
        <f t="shared" si="106"/>
        <v>50175</v>
      </c>
      <c r="AK157" s="60">
        <f>IF($X157&lt;Input!$H$73,IF($X157&lt;Input!$G$73,IF($X157&lt;Input!$F$73,IF($X157&lt;Input!$E$73,IF($X157&lt;Input!$D$73,Input!$C$79,Input!$D$79),Input!$E$79),Input!$F$79),Input!$G$79),Input!$H$79)</f>
        <v>0</v>
      </c>
      <c r="AL157" s="190">
        <f>IF($A157&lt;Input!$H$80,IF($A157&lt;Input!$G$80,IF($A157&lt;Input!$F$80,IF($A157&lt;Input!$E$80,IF($A157&lt;Input!$D$80,Input!$C$81,Input!$D$81),Input!$E$81),Input!$F$81),Input!$G$81),Input!$H$81)</f>
        <v>0.9</v>
      </c>
      <c r="AM157" s="60">
        <f t="shared" si="87"/>
        <v>0</v>
      </c>
      <c r="AN157" s="60">
        <f t="shared" si="107"/>
        <v>30</v>
      </c>
      <c r="AO157" s="60">
        <f t="shared" si="88"/>
        <v>0</v>
      </c>
      <c r="AP157" s="60">
        <f>ROUND(AO157*AN157*Input!$C$3/365,0)</f>
        <v>0</v>
      </c>
      <c r="AQ157" s="61">
        <f>IF($A157&lt;=Input!$C$6,0,IF('144M'!AM157&lt;'144M'!AO157,'144M'!AM157-AP157,'144M'!AO157))</f>
        <v>0</v>
      </c>
      <c r="AR157" s="61">
        <f t="shared" si="89"/>
        <v>0</v>
      </c>
      <c r="AS157" s="60">
        <f t="shared" si="90"/>
        <v>0</v>
      </c>
      <c r="AT157" s="193"/>
      <c r="AU157" s="169">
        <v>153</v>
      </c>
      <c r="AV157" s="1">
        <f t="shared" si="108"/>
        <v>50175</v>
      </c>
      <c r="AW157" s="60">
        <f>IF($X157&lt;Input!$H$88,IF($X157&lt;Input!$G$88,IF($X157&lt;Input!$F$88,IF($X157&lt;Input!$E$88,IF($X157&lt;Input!$D$88,Input!$C$94,Input!$D$94),Input!$E$94),Input!$F$94),Input!$G$94),Input!$H$94)</f>
        <v>0</v>
      </c>
      <c r="AX157" s="190">
        <f>IF($A157&lt;Input!$H$95,IF($A157&lt;Input!$G$95,IF($A157&lt;Input!$F$95,IF($A157&lt;Input!$E$95,IF($A157&lt;Input!$D$95,Input!$C$96,Input!$D$96),Input!$E$96),Input!$F$96),Input!$G$96),Input!$H$96)</f>
        <v>0.9</v>
      </c>
      <c r="AY157" s="60">
        <f t="shared" si="91"/>
        <v>0</v>
      </c>
      <c r="AZ157" s="60">
        <f t="shared" si="109"/>
        <v>30</v>
      </c>
      <c r="BA157" s="60">
        <f t="shared" si="92"/>
        <v>0</v>
      </c>
      <c r="BB157" s="60">
        <f>ROUND(BA157*AZ157*Input!$C$3/365,0)</f>
        <v>0</v>
      </c>
      <c r="BC157" s="61">
        <f>IF($A157&lt;=Input!$C$6,0,IF('144M'!AY157&lt;'144M'!BA157,'144M'!AY157-BB157,'144M'!BA157))</f>
        <v>0</v>
      </c>
      <c r="BD157" s="61">
        <f t="shared" si="93"/>
        <v>0</v>
      </c>
      <c r="BE157" s="60">
        <f t="shared" si="94"/>
        <v>0</v>
      </c>
      <c r="BF157" s="193"/>
      <c r="BG157" s="169">
        <v>153</v>
      </c>
      <c r="BH157" s="1">
        <f t="shared" si="110"/>
        <v>50175</v>
      </c>
      <c r="BI157" s="60">
        <f>IF($X157&lt;Input!$H$103,IF($X157&lt;Input!$G$103,IF($X157&lt;Input!$F$103,IF($X157&lt;Input!$E$103,IF($X157&lt;Input!$D$103,Input!$C$109,Input!$D$109),Input!$E$109),Input!$F$109),Input!$G$109),Input!$H$109)</f>
        <v>0</v>
      </c>
      <c r="BJ157" s="190">
        <f>IF($A157&lt;Input!$H$110,IF($A157&lt;Input!$G$110,IF($A157&lt;Input!$F$110,IF($A157&lt;Input!$E$110,IF($A157&lt;Input!$D$110,Input!$C$111,Input!$D$111),Input!$E$111),Input!$F$111),Input!$G$111),Input!$H$111)</f>
        <v>0.9</v>
      </c>
      <c r="BK157" s="60">
        <f t="shared" si="95"/>
        <v>0</v>
      </c>
      <c r="BL157" s="60">
        <f t="shared" si="111"/>
        <v>30</v>
      </c>
      <c r="BM157" s="60">
        <f t="shared" si="96"/>
        <v>0</v>
      </c>
      <c r="BN157" s="60">
        <f>ROUND(BM157*BL157*Input!$C$3/365,0)</f>
        <v>0</v>
      </c>
      <c r="BO157" s="61">
        <f>IF($A157&lt;=Input!$C$6,0,IF('144M'!BK157&lt;'144M'!BM157,'144M'!BK157-BN157,'144M'!BM157))</f>
        <v>0</v>
      </c>
      <c r="BP157" s="61">
        <f t="shared" si="97"/>
        <v>0</v>
      </c>
      <c r="BQ157" s="60">
        <f t="shared" si="98"/>
        <v>0</v>
      </c>
      <c r="BR157" s="198"/>
    </row>
    <row r="158" spans="1:70" x14ac:dyDescent="0.25">
      <c r="A158" s="169">
        <v>154</v>
      </c>
      <c r="B158" s="1">
        <f t="shared" si="99"/>
        <v>50206</v>
      </c>
      <c r="C158" s="60">
        <f t="shared" si="77"/>
        <v>33127052.878124986</v>
      </c>
      <c r="D158" s="60">
        <f t="shared" si="78"/>
        <v>29814347.590312488</v>
      </c>
      <c r="E158" s="60">
        <f t="shared" si="100"/>
        <v>31</v>
      </c>
      <c r="F158" s="60">
        <f t="shared" si="101"/>
        <v>0</v>
      </c>
      <c r="G158" s="60">
        <f>ROUND(F158*E158*Input!$C$3/365,0)</f>
        <v>0</v>
      </c>
      <c r="H158" s="60">
        <f>IF($A158&lt;=Input!$C$6,0,IF('144M'!D158&lt;'144M'!F158,'144M'!D158-G158,'144M'!F158))</f>
        <v>0</v>
      </c>
      <c r="I158" s="60">
        <f t="shared" si="102"/>
        <v>0</v>
      </c>
      <c r="J158" s="60">
        <f t="shared" si="103"/>
        <v>0</v>
      </c>
      <c r="K158" s="202">
        <f>J158/Input!$K$5</f>
        <v>0</v>
      </c>
      <c r="L158" s="232"/>
      <c r="M158" s="60">
        <f>IF($B158&lt;Input!$H$43,IF($B158&lt;Input!$G$43,IF($B158&lt;Input!$F$43,IF($B158&lt;Input!$E$43,IF($B158&lt;Input!$D$43,Input!$C$49,Input!$D$49),Input!$E$49),Input!$F$49),Input!$G$49),Input!$H$49)</f>
        <v>33127052.878124986</v>
      </c>
      <c r="N158" s="190">
        <f>IF($A158&lt;Input!$H$50,IF($A158&lt;Input!$G$50,IF($A158&lt;Input!$F$50,IF($A158&lt;Input!$E$50,IF($A158&lt;Input!$D$50,Input!$C$51,Input!$D$51),Input!$E$51),Input!$F$51),Input!$G$51),Input!$H$51)</f>
        <v>0.9</v>
      </c>
      <c r="O158" s="60">
        <f t="shared" si="76"/>
        <v>29814347.590312488</v>
      </c>
      <c r="P158" s="60">
        <f t="shared" si="79"/>
        <v>31</v>
      </c>
      <c r="Q158" s="60">
        <f t="shared" si="80"/>
        <v>0</v>
      </c>
      <c r="R158" s="60">
        <f>ROUND(Q158*$P158*Input!$C$3/365,0)</f>
        <v>0</v>
      </c>
      <c r="S158" s="60">
        <f>IF(A158&lt;=Input!$C$6,0,IF('144M'!O158&lt;'144M'!Q158,'144M'!O158-R158,'144M'!Q158))</f>
        <v>0</v>
      </c>
      <c r="T158" s="60">
        <f t="shared" si="81"/>
        <v>0</v>
      </c>
      <c r="U158" s="60">
        <f t="shared" si="82"/>
        <v>0</v>
      </c>
      <c r="V158" s="193"/>
      <c r="W158" s="169">
        <v>154</v>
      </c>
      <c r="X158" s="1">
        <f t="shared" si="104"/>
        <v>50206</v>
      </c>
      <c r="Y158" s="60">
        <f>IF($X158&lt;Input!$H$58,IF($X158&lt;Input!$G$58,IF($X158&lt;Input!$F$58,IF($X158&lt;Input!$E$58,IF($X158&lt;Input!$D$58,Input!$C$64,Input!$D$64),Input!$E$64),Input!$F$64),Input!$G$64),Input!$H$64)</f>
        <v>0</v>
      </c>
      <c r="Z158" s="190">
        <f>IF($A158&lt;Input!$H$65,IF($A158&lt;Input!$G$65,IF($A158&lt;Input!$F$65,IF($A158&lt;Input!$E$65,IF($A158&lt;Input!$D$65,Input!$C$66,Input!$D$66),Input!$E$66),Input!$F$66),Input!$G$66),Input!$H$66)</f>
        <v>0.9</v>
      </c>
      <c r="AA158" s="60">
        <f t="shared" si="83"/>
        <v>0</v>
      </c>
      <c r="AB158" s="60">
        <f t="shared" si="105"/>
        <v>31</v>
      </c>
      <c r="AC158" s="60">
        <f t="shared" si="84"/>
        <v>0</v>
      </c>
      <c r="AD158" s="60">
        <f>ROUND(AC158*AB158*Input!$C$3/365,0)</f>
        <v>0</v>
      </c>
      <c r="AE158" s="61">
        <f>IF($A158&lt;=Input!$C$6,0,IF('144M'!AA158&lt;'144M'!AC158,'144M'!AA158-AD158,'144M'!AC158))</f>
        <v>0</v>
      </c>
      <c r="AF158" s="61">
        <f t="shared" si="85"/>
        <v>0</v>
      </c>
      <c r="AG158" s="60">
        <f t="shared" si="86"/>
        <v>0</v>
      </c>
      <c r="AH158" s="193"/>
      <c r="AI158" s="169">
        <v>154</v>
      </c>
      <c r="AJ158" s="1">
        <f t="shared" si="106"/>
        <v>50206</v>
      </c>
      <c r="AK158" s="60">
        <f>IF($X158&lt;Input!$H$73,IF($X158&lt;Input!$G$73,IF($X158&lt;Input!$F$73,IF($X158&lt;Input!$E$73,IF($X158&lt;Input!$D$73,Input!$C$79,Input!$D$79),Input!$E$79),Input!$F$79),Input!$G$79),Input!$H$79)</f>
        <v>0</v>
      </c>
      <c r="AL158" s="190">
        <f>IF($A158&lt;Input!$H$80,IF($A158&lt;Input!$G$80,IF($A158&lt;Input!$F$80,IF($A158&lt;Input!$E$80,IF($A158&lt;Input!$D$80,Input!$C$81,Input!$D$81),Input!$E$81),Input!$F$81),Input!$G$81),Input!$H$81)</f>
        <v>0.9</v>
      </c>
      <c r="AM158" s="60">
        <f t="shared" si="87"/>
        <v>0</v>
      </c>
      <c r="AN158" s="60">
        <f t="shared" si="107"/>
        <v>31</v>
      </c>
      <c r="AO158" s="60">
        <f t="shared" si="88"/>
        <v>0</v>
      </c>
      <c r="AP158" s="60">
        <f>ROUND(AO158*AN158*Input!$C$3/365,0)</f>
        <v>0</v>
      </c>
      <c r="AQ158" s="61">
        <f>IF($A158&lt;=Input!$C$6,0,IF('144M'!AM158&lt;'144M'!AO158,'144M'!AM158-AP158,'144M'!AO158))</f>
        <v>0</v>
      </c>
      <c r="AR158" s="61">
        <f t="shared" si="89"/>
        <v>0</v>
      </c>
      <c r="AS158" s="60">
        <f t="shared" si="90"/>
        <v>0</v>
      </c>
      <c r="AT158" s="193"/>
      <c r="AU158" s="169">
        <v>154</v>
      </c>
      <c r="AV158" s="1">
        <f t="shared" si="108"/>
        <v>50206</v>
      </c>
      <c r="AW158" s="60">
        <f>IF($X158&lt;Input!$H$88,IF($X158&lt;Input!$G$88,IF($X158&lt;Input!$F$88,IF($X158&lt;Input!$E$88,IF($X158&lt;Input!$D$88,Input!$C$94,Input!$D$94),Input!$E$94),Input!$F$94),Input!$G$94),Input!$H$94)</f>
        <v>0</v>
      </c>
      <c r="AX158" s="190">
        <f>IF($A158&lt;Input!$H$95,IF($A158&lt;Input!$G$95,IF($A158&lt;Input!$F$95,IF($A158&lt;Input!$E$95,IF($A158&lt;Input!$D$95,Input!$C$96,Input!$D$96),Input!$E$96),Input!$F$96),Input!$G$96),Input!$H$96)</f>
        <v>0.9</v>
      </c>
      <c r="AY158" s="60">
        <f t="shared" si="91"/>
        <v>0</v>
      </c>
      <c r="AZ158" s="60">
        <f t="shared" si="109"/>
        <v>31</v>
      </c>
      <c r="BA158" s="60">
        <f t="shared" si="92"/>
        <v>0</v>
      </c>
      <c r="BB158" s="60">
        <f>ROUND(BA158*AZ158*Input!$C$3/365,0)</f>
        <v>0</v>
      </c>
      <c r="BC158" s="61">
        <f>IF($A158&lt;=Input!$C$6,0,IF('144M'!AY158&lt;'144M'!BA158,'144M'!AY158-BB158,'144M'!BA158))</f>
        <v>0</v>
      </c>
      <c r="BD158" s="61">
        <f t="shared" si="93"/>
        <v>0</v>
      </c>
      <c r="BE158" s="60">
        <f t="shared" si="94"/>
        <v>0</v>
      </c>
      <c r="BF158" s="193"/>
      <c r="BG158" s="169">
        <v>154</v>
      </c>
      <c r="BH158" s="1">
        <f t="shared" si="110"/>
        <v>50206</v>
      </c>
      <c r="BI158" s="60">
        <f>IF($X158&lt;Input!$H$103,IF($X158&lt;Input!$G$103,IF($X158&lt;Input!$F$103,IF($X158&lt;Input!$E$103,IF($X158&lt;Input!$D$103,Input!$C$109,Input!$D$109),Input!$E$109),Input!$F$109),Input!$G$109),Input!$H$109)</f>
        <v>0</v>
      </c>
      <c r="BJ158" s="190">
        <f>IF($A158&lt;Input!$H$110,IF($A158&lt;Input!$G$110,IF($A158&lt;Input!$F$110,IF($A158&lt;Input!$E$110,IF($A158&lt;Input!$D$110,Input!$C$111,Input!$D$111),Input!$E$111),Input!$F$111),Input!$G$111),Input!$H$111)</f>
        <v>0.9</v>
      </c>
      <c r="BK158" s="60">
        <f t="shared" si="95"/>
        <v>0</v>
      </c>
      <c r="BL158" s="60">
        <f t="shared" si="111"/>
        <v>31</v>
      </c>
      <c r="BM158" s="60">
        <f t="shared" si="96"/>
        <v>0</v>
      </c>
      <c r="BN158" s="60">
        <f>ROUND(BM158*BL158*Input!$C$3/365,0)</f>
        <v>0</v>
      </c>
      <c r="BO158" s="61">
        <f>IF($A158&lt;=Input!$C$6,0,IF('144M'!BK158&lt;'144M'!BM158,'144M'!BK158-BN158,'144M'!BM158))</f>
        <v>0</v>
      </c>
      <c r="BP158" s="61">
        <f t="shared" si="97"/>
        <v>0</v>
      </c>
      <c r="BQ158" s="60">
        <f t="shared" si="98"/>
        <v>0</v>
      </c>
      <c r="BR158" s="198"/>
    </row>
    <row r="159" spans="1:70" x14ac:dyDescent="0.25">
      <c r="A159" s="169">
        <v>155</v>
      </c>
      <c r="B159" s="1">
        <f t="shared" si="99"/>
        <v>50236</v>
      </c>
      <c r="C159" s="60">
        <f t="shared" si="77"/>
        <v>33127052.878124986</v>
      </c>
      <c r="D159" s="60">
        <f t="shared" si="78"/>
        <v>29814347.590312488</v>
      </c>
      <c r="E159" s="60">
        <f t="shared" si="100"/>
        <v>30</v>
      </c>
      <c r="F159" s="60">
        <f t="shared" si="101"/>
        <v>0</v>
      </c>
      <c r="G159" s="60">
        <f>ROUND(F159*E159*Input!$C$3/365,0)</f>
        <v>0</v>
      </c>
      <c r="H159" s="60">
        <f>IF($A159&lt;=Input!$C$6,0,IF('144M'!D159&lt;'144M'!F159,'144M'!D159-G159,'144M'!F159))</f>
        <v>0</v>
      </c>
      <c r="I159" s="60">
        <f t="shared" si="102"/>
        <v>0</v>
      </c>
      <c r="J159" s="60">
        <f t="shared" si="103"/>
        <v>0</v>
      </c>
      <c r="K159" s="202">
        <f>J159/Input!$K$5</f>
        <v>0</v>
      </c>
      <c r="L159" s="232"/>
      <c r="M159" s="60">
        <f>IF($B159&lt;Input!$H$43,IF($B159&lt;Input!$G$43,IF($B159&lt;Input!$F$43,IF($B159&lt;Input!$E$43,IF($B159&lt;Input!$D$43,Input!$C$49,Input!$D$49),Input!$E$49),Input!$F$49),Input!$G$49),Input!$H$49)</f>
        <v>33127052.878124986</v>
      </c>
      <c r="N159" s="190">
        <f>IF($A159&lt;Input!$H$50,IF($A159&lt;Input!$G$50,IF($A159&lt;Input!$F$50,IF($A159&lt;Input!$E$50,IF($A159&lt;Input!$D$50,Input!$C$51,Input!$D$51),Input!$E$51),Input!$F$51),Input!$G$51),Input!$H$51)</f>
        <v>0.9</v>
      </c>
      <c r="O159" s="60">
        <f t="shared" si="76"/>
        <v>29814347.590312488</v>
      </c>
      <c r="P159" s="60">
        <f t="shared" si="79"/>
        <v>30</v>
      </c>
      <c r="Q159" s="60">
        <f t="shared" si="80"/>
        <v>0</v>
      </c>
      <c r="R159" s="60">
        <f>ROUND(Q159*$P159*Input!$C$3/365,0)</f>
        <v>0</v>
      </c>
      <c r="S159" s="60">
        <f>IF(A159&lt;=Input!$C$6,0,IF('144M'!O159&lt;'144M'!Q159,'144M'!O159-R159,'144M'!Q159))</f>
        <v>0</v>
      </c>
      <c r="T159" s="60">
        <f t="shared" si="81"/>
        <v>0</v>
      </c>
      <c r="U159" s="60">
        <f t="shared" si="82"/>
        <v>0</v>
      </c>
      <c r="V159" s="193"/>
      <c r="W159" s="169">
        <v>155</v>
      </c>
      <c r="X159" s="1">
        <f t="shared" si="104"/>
        <v>50236</v>
      </c>
      <c r="Y159" s="60">
        <f>IF($X159&lt;Input!$H$58,IF($X159&lt;Input!$G$58,IF($X159&lt;Input!$F$58,IF($X159&lt;Input!$E$58,IF($X159&lt;Input!$D$58,Input!$C$64,Input!$D$64),Input!$E$64),Input!$F$64),Input!$G$64),Input!$H$64)</f>
        <v>0</v>
      </c>
      <c r="Z159" s="190">
        <f>IF($A159&lt;Input!$H$65,IF($A159&lt;Input!$G$65,IF($A159&lt;Input!$F$65,IF($A159&lt;Input!$E$65,IF($A159&lt;Input!$D$65,Input!$C$66,Input!$D$66),Input!$E$66),Input!$F$66),Input!$G$66),Input!$H$66)</f>
        <v>0.9</v>
      </c>
      <c r="AA159" s="60">
        <f t="shared" si="83"/>
        <v>0</v>
      </c>
      <c r="AB159" s="60">
        <f t="shared" si="105"/>
        <v>30</v>
      </c>
      <c r="AC159" s="60">
        <f t="shared" si="84"/>
        <v>0</v>
      </c>
      <c r="AD159" s="60">
        <f>ROUND(AC159*AB159*Input!$C$3/365,0)</f>
        <v>0</v>
      </c>
      <c r="AE159" s="61">
        <f>IF($A159&lt;=Input!$C$6,0,IF('144M'!AA159&lt;'144M'!AC159,'144M'!AA159-AD159,'144M'!AC159))</f>
        <v>0</v>
      </c>
      <c r="AF159" s="61">
        <f t="shared" si="85"/>
        <v>0</v>
      </c>
      <c r="AG159" s="60">
        <f t="shared" si="86"/>
        <v>0</v>
      </c>
      <c r="AH159" s="193"/>
      <c r="AI159" s="169">
        <v>155</v>
      </c>
      <c r="AJ159" s="1">
        <f t="shared" si="106"/>
        <v>50236</v>
      </c>
      <c r="AK159" s="60">
        <f>IF($X159&lt;Input!$H$73,IF($X159&lt;Input!$G$73,IF($X159&lt;Input!$F$73,IF($X159&lt;Input!$E$73,IF($X159&lt;Input!$D$73,Input!$C$79,Input!$D$79),Input!$E$79),Input!$F$79),Input!$G$79),Input!$H$79)</f>
        <v>0</v>
      </c>
      <c r="AL159" s="190">
        <f>IF($A159&lt;Input!$H$80,IF($A159&lt;Input!$G$80,IF($A159&lt;Input!$F$80,IF($A159&lt;Input!$E$80,IF($A159&lt;Input!$D$80,Input!$C$81,Input!$D$81),Input!$E$81),Input!$F$81),Input!$G$81),Input!$H$81)</f>
        <v>0.9</v>
      </c>
      <c r="AM159" s="60">
        <f t="shared" si="87"/>
        <v>0</v>
      </c>
      <c r="AN159" s="60">
        <f t="shared" si="107"/>
        <v>30</v>
      </c>
      <c r="AO159" s="60">
        <f t="shared" si="88"/>
        <v>0</v>
      </c>
      <c r="AP159" s="60">
        <f>ROUND(AO159*AN159*Input!$C$3/365,0)</f>
        <v>0</v>
      </c>
      <c r="AQ159" s="61">
        <f>IF($A159&lt;=Input!$C$6,0,IF('144M'!AM159&lt;'144M'!AO159,'144M'!AM159-AP159,'144M'!AO159))</f>
        <v>0</v>
      </c>
      <c r="AR159" s="61">
        <f t="shared" si="89"/>
        <v>0</v>
      </c>
      <c r="AS159" s="60">
        <f t="shared" si="90"/>
        <v>0</v>
      </c>
      <c r="AT159" s="193"/>
      <c r="AU159" s="169">
        <v>155</v>
      </c>
      <c r="AV159" s="1">
        <f t="shared" si="108"/>
        <v>50236</v>
      </c>
      <c r="AW159" s="60">
        <f>IF($X159&lt;Input!$H$88,IF($X159&lt;Input!$G$88,IF($X159&lt;Input!$F$88,IF($X159&lt;Input!$E$88,IF($X159&lt;Input!$D$88,Input!$C$94,Input!$D$94),Input!$E$94),Input!$F$94),Input!$G$94),Input!$H$94)</f>
        <v>0</v>
      </c>
      <c r="AX159" s="190">
        <f>IF($A159&lt;Input!$H$95,IF($A159&lt;Input!$G$95,IF($A159&lt;Input!$F$95,IF($A159&lt;Input!$E$95,IF($A159&lt;Input!$D$95,Input!$C$96,Input!$D$96),Input!$E$96),Input!$F$96),Input!$G$96),Input!$H$96)</f>
        <v>0.9</v>
      </c>
      <c r="AY159" s="60">
        <f t="shared" si="91"/>
        <v>0</v>
      </c>
      <c r="AZ159" s="60">
        <f t="shared" si="109"/>
        <v>30</v>
      </c>
      <c r="BA159" s="60">
        <f t="shared" si="92"/>
        <v>0</v>
      </c>
      <c r="BB159" s="60">
        <f>ROUND(BA159*AZ159*Input!$C$3/365,0)</f>
        <v>0</v>
      </c>
      <c r="BC159" s="61">
        <f>IF($A159&lt;=Input!$C$6,0,IF('144M'!AY159&lt;'144M'!BA159,'144M'!AY159-BB159,'144M'!BA159))</f>
        <v>0</v>
      </c>
      <c r="BD159" s="61">
        <f t="shared" si="93"/>
        <v>0</v>
      </c>
      <c r="BE159" s="60">
        <f t="shared" si="94"/>
        <v>0</v>
      </c>
      <c r="BF159" s="193"/>
      <c r="BG159" s="169">
        <v>155</v>
      </c>
      <c r="BH159" s="1">
        <f t="shared" si="110"/>
        <v>50236</v>
      </c>
      <c r="BI159" s="60">
        <f>IF($X159&lt;Input!$H$103,IF($X159&lt;Input!$G$103,IF($X159&lt;Input!$F$103,IF($X159&lt;Input!$E$103,IF($X159&lt;Input!$D$103,Input!$C$109,Input!$D$109),Input!$E$109),Input!$F$109),Input!$G$109),Input!$H$109)</f>
        <v>0</v>
      </c>
      <c r="BJ159" s="190">
        <f>IF($A159&lt;Input!$H$110,IF($A159&lt;Input!$G$110,IF($A159&lt;Input!$F$110,IF($A159&lt;Input!$E$110,IF($A159&lt;Input!$D$110,Input!$C$111,Input!$D$111),Input!$E$111),Input!$F$111),Input!$G$111),Input!$H$111)</f>
        <v>0.9</v>
      </c>
      <c r="BK159" s="60">
        <f t="shared" si="95"/>
        <v>0</v>
      </c>
      <c r="BL159" s="60">
        <f t="shared" si="111"/>
        <v>30</v>
      </c>
      <c r="BM159" s="60">
        <f t="shared" si="96"/>
        <v>0</v>
      </c>
      <c r="BN159" s="60">
        <f>ROUND(BM159*BL159*Input!$C$3/365,0)</f>
        <v>0</v>
      </c>
      <c r="BO159" s="61">
        <f>IF($A159&lt;=Input!$C$6,0,IF('144M'!BK159&lt;'144M'!BM159,'144M'!BK159-BN159,'144M'!BM159))</f>
        <v>0</v>
      </c>
      <c r="BP159" s="61">
        <f t="shared" si="97"/>
        <v>0</v>
      </c>
      <c r="BQ159" s="60">
        <f t="shared" si="98"/>
        <v>0</v>
      </c>
      <c r="BR159" s="198"/>
    </row>
    <row r="160" spans="1:70" x14ac:dyDescent="0.25">
      <c r="A160" s="169">
        <v>156</v>
      </c>
      <c r="B160" s="1">
        <f t="shared" si="99"/>
        <v>50267</v>
      </c>
      <c r="C160" s="60">
        <f t="shared" si="77"/>
        <v>33127052.878124986</v>
      </c>
      <c r="D160" s="60">
        <f t="shared" si="78"/>
        <v>29814347.590312488</v>
      </c>
      <c r="E160" s="60">
        <f t="shared" si="100"/>
        <v>31</v>
      </c>
      <c r="F160" s="60">
        <f t="shared" si="101"/>
        <v>0</v>
      </c>
      <c r="G160" s="60">
        <f>ROUND(F160*E160*Input!$C$3/365,0)</f>
        <v>0</v>
      </c>
      <c r="H160" s="60">
        <f>IF($A160&lt;=Input!$C$6,0,IF('144M'!D160&lt;'144M'!F160,'144M'!D160-G160,'144M'!F160))</f>
        <v>0</v>
      </c>
      <c r="I160" s="60">
        <f t="shared" si="102"/>
        <v>0</v>
      </c>
      <c r="J160" s="60">
        <f t="shared" si="103"/>
        <v>0</v>
      </c>
      <c r="K160" s="202">
        <f>J160/Input!$K$5</f>
        <v>0</v>
      </c>
      <c r="L160" s="232"/>
      <c r="M160" s="60">
        <f>IF($B160&lt;Input!$H$43,IF($B160&lt;Input!$G$43,IF($B160&lt;Input!$F$43,IF($B160&lt;Input!$E$43,IF($B160&lt;Input!$D$43,Input!$C$49,Input!$D$49),Input!$E$49),Input!$F$49),Input!$G$49),Input!$H$49)</f>
        <v>33127052.878124986</v>
      </c>
      <c r="N160" s="190">
        <f>IF($A160&lt;Input!$H$50,IF($A160&lt;Input!$G$50,IF($A160&lt;Input!$F$50,IF($A160&lt;Input!$E$50,IF($A160&lt;Input!$D$50,Input!$C$51,Input!$D$51),Input!$E$51),Input!$F$51),Input!$G$51),Input!$H$51)</f>
        <v>0.9</v>
      </c>
      <c r="O160" s="60">
        <f t="shared" si="76"/>
        <v>29814347.590312488</v>
      </c>
      <c r="P160" s="60">
        <f t="shared" si="79"/>
        <v>31</v>
      </c>
      <c r="Q160" s="60">
        <f t="shared" si="80"/>
        <v>0</v>
      </c>
      <c r="R160" s="60">
        <f>ROUND(Q160*$P160*Input!$C$3/365,0)</f>
        <v>0</v>
      </c>
      <c r="S160" s="60">
        <f>IF(A160&lt;=Input!$C$6,0,IF('144M'!O160&lt;'144M'!Q160,'144M'!O160-R160,'144M'!Q160))</f>
        <v>0</v>
      </c>
      <c r="T160" s="60">
        <f t="shared" si="81"/>
        <v>0</v>
      </c>
      <c r="U160" s="60">
        <f t="shared" si="82"/>
        <v>0</v>
      </c>
      <c r="V160" s="193"/>
      <c r="W160" s="169">
        <v>156</v>
      </c>
      <c r="X160" s="1">
        <f t="shared" si="104"/>
        <v>50267</v>
      </c>
      <c r="Y160" s="60">
        <f>IF($X160&lt;Input!$H$58,IF($X160&lt;Input!$G$58,IF($X160&lt;Input!$F$58,IF($X160&lt;Input!$E$58,IF($X160&lt;Input!$D$58,Input!$C$64,Input!$D$64),Input!$E$64),Input!$F$64),Input!$G$64),Input!$H$64)</f>
        <v>0</v>
      </c>
      <c r="Z160" s="190">
        <f>IF($A160&lt;Input!$H$65,IF($A160&lt;Input!$G$65,IF($A160&lt;Input!$F$65,IF($A160&lt;Input!$E$65,IF($A160&lt;Input!$D$65,Input!$C$66,Input!$D$66),Input!$E$66),Input!$F$66),Input!$G$66),Input!$H$66)</f>
        <v>0.9</v>
      </c>
      <c r="AA160" s="60">
        <f t="shared" si="83"/>
        <v>0</v>
      </c>
      <c r="AB160" s="60">
        <f t="shared" si="105"/>
        <v>31</v>
      </c>
      <c r="AC160" s="60">
        <f t="shared" si="84"/>
        <v>0</v>
      </c>
      <c r="AD160" s="60">
        <f>ROUND(AC160*AB160*Input!$C$3/365,0)</f>
        <v>0</v>
      </c>
      <c r="AE160" s="61">
        <f>IF($A160&lt;=Input!$C$6,0,IF('144M'!AA160&lt;'144M'!AC160,'144M'!AA160-AD160,'144M'!AC160))</f>
        <v>0</v>
      </c>
      <c r="AF160" s="61">
        <f t="shared" si="85"/>
        <v>0</v>
      </c>
      <c r="AG160" s="60">
        <f t="shared" si="86"/>
        <v>0</v>
      </c>
      <c r="AH160" s="193"/>
      <c r="AI160" s="169">
        <v>156</v>
      </c>
      <c r="AJ160" s="1">
        <f t="shared" si="106"/>
        <v>50267</v>
      </c>
      <c r="AK160" s="60">
        <f>IF($X160&lt;Input!$H$73,IF($X160&lt;Input!$G$73,IF($X160&lt;Input!$F$73,IF($X160&lt;Input!$E$73,IF($X160&lt;Input!$D$73,Input!$C$79,Input!$D$79),Input!$E$79),Input!$F$79),Input!$G$79),Input!$H$79)</f>
        <v>0</v>
      </c>
      <c r="AL160" s="190">
        <f>IF($A160&lt;Input!$H$80,IF($A160&lt;Input!$G$80,IF($A160&lt;Input!$F$80,IF($A160&lt;Input!$E$80,IF($A160&lt;Input!$D$80,Input!$C$81,Input!$D$81),Input!$E$81),Input!$F$81),Input!$G$81),Input!$H$81)</f>
        <v>0.9</v>
      </c>
      <c r="AM160" s="60">
        <f t="shared" si="87"/>
        <v>0</v>
      </c>
      <c r="AN160" s="60">
        <f t="shared" si="107"/>
        <v>31</v>
      </c>
      <c r="AO160" s="60">
        <f t="shared" si="88"/>
        <v>0</v>
      </c>
      <c r="AP160" s="60">
        <f>ROUND(AO160*AN160*Input!$C$3/365,0)</f>
        <v>0</v>
      </c>
      <c r="AQ160" s="61">
        <f>IF($A160&lt;=Input!$C$6,0,IF('144M'!AM160&lt;'144M'!AO160,'144M'!AM160-AP160,'144M'!AO160))</f>
        <v>0</v>
      </c>
      <c r="AR160" s="61">
        <f t="shared" si="89"/>
        <v>0</v>
      </c>
      <c r="AS160" s="60">
        <f t="shared" si="90"/>
        <v>0</v>
      </c>
      <c r="AT160" s="193"/>
      <c r="AU160" s="169">
        <v>156</v>
      </c>
      <c r="AV160" s="1">
        <f t="shared" si="108"/>
        <v>50267</v>
      </c>
      <c r="AW160" s="60">
        <f>IF($X160&lt;Input!$H$88,IF($X160&lt;Input!$G$88,IF($X160&lt;Input!$F$88,IF($X160&lt;Input!$E$88,IF($X160&lt;Input!$D$88,Input!$C$94,Input!$D$94),Input!$E$94),Input!$F$94),Input!$G$94),Input!$H$94)</f>
        <v>0</v>
      </c>
      <c r="AX160" s="190">
        <f>IF($A160&lt;Input!$H$95,IF($A160&lt;Input!$G$95,IF($A160&lt;Input!$F$95,IF($A160&lt;Input!$E$95,IF($A160&lt;Input!$D$95,Input!$C$96,Input!$D$96),Input!$E$96),Input!$F$96),Input!$G$96),Input!$H$96)</f>
        <v>0.9</v>
      </c>
      <c r="AY160" s="60">
        <f t="shared" si="91"/>
        <v>0</v>
      </c>
      <c r="AZ160" s="60">
        <f t="shared" si="109"/>
        <v>31</v>
      </c>
      <c r="BA160" s="60">
        <f t="shared" si="92"/>
        <v>0</v>
      </c>
      <c r="BB160" s="60">
        <f>ROUND(BA160*AZ160*Input!$C$3/365,0)</f>
        <v>0</v>
      </c>
      <c r="BC160" s="61">
        <f>IF($A160&lt;=Input!$C$6,0,IF('144M'!AY160&lt;'144M'!BA160,'144M'!AY160-BB160,'144M'!BA160))</f>
        <v>0</v>
      </c>
      <c r="BD160" s="61">
        <f t="shared" si="93"/>
        <v>0</v>
      </c>
      <c r="BE160" s="60">
        <f t="shared" si="94"/>
        <v>0</v>
      </c>
      <c r="BF160" s="193"/>
      <c r="BG160" s="169">
        <v>156</v>
      </c>
      <c r="BH160" s="1">
        <f t="shared" si="110"/>
        <v>50267</v>
      </c>
      <c r="BI160" s="60">
        <f>IF($X160&lt;Input!$H$103,IF($X160&lt;Input!$G$103,IF($X160&lt;Input!$F$103,IF($X160&lt;Input!$E$103,IF($X160&lt;Input!$D$103,Input!$C$109,Input!$D$109),Input!$E$109),Input!$F$109),Input!$G$109),Input!$H$109)</f>
        <v>0</v>
      </c>
      <c r="BJ160" s="190">
        <f>IF($A160&lt;Input!$H$110,IF($A160&lt;Input!$G$110,IF($A160&lt;Input!$F$110,IF($A160&lt;Input!$E$110,IF($A160&lt;Input!$D$110,Input!$C$111,Input!$D$111),Input!$E$111),Input!$F$111),Input!$G$111),Input!$H$111)</f>
        <v>0.9</v>
      </c>
      <c r="BK160" s="60">
        <f t="shared" si="95"/>
        <v>0</v>
      </c>
      <c r="BL160" s="60">
        <f t="shared" si="111"/>
        <v>31</v>
      </c>
      <c r="BM160" s="60">
        <f t="shared" si="96"/>
        <v>0</v>
      </c>
      <c r="BN160" s="60">
        <f>ROUND(BM160*BL160*Input!$C$3/365,0)</f>
        <v>0</v>
      </c>
      <c r="BO160" s="61">
        <f>IF($A160&lt;=Input!$C$6,0,IF('144M'!BK160&lt;'144M'!BM160,'144M'!BK160-BN160,'144M'!BM160))</f>
        <v>0</v>
      </c>
      <c r="BP160" s="61">
        <f t="shared" si="97"/>
        <v>0</v>
      </c>
      <c r="BQ160" s="60">
        <f t="shared" si="98"/>
        <v>0</v>
      </c>
      <c r="BR160" s="198"/>
    </row>
    <row r="161" spans="1:70" x14ac:dyDescent="0.25">
      <c r="A161" s="169">
        <v>157</v>
      </c>
      <c r="B161" s="1">
        <f t="shared" si="99"/>
        <v>50298</v>
      </c>
      <c r="C161" s="60">
        <f t="shared" si="77"/>
        <v>33127052.878124986</v>
      </c>
      <c r="D161" s="60">
        <f t="shared" si="78"/>
        <v>29814347.590312488</v>
      </c>
      <c r="E161" s="60">
        <f t="shared" si="100"/>
        <v>31</v>
      </c>
      <c r="F161" s="60">
        <f t="shared" si="101"/>
        <v>0</v>
      </c>
      <c r="G161" s="60">
        <f>ROUND(F161*E161*Input!$C$3/365,0)</f>
        <v>0</v>
      </c>
      <c r="H161" s="60">
        <f>IF($A161&lt;=Input!$C$6,0,IF('144M'!D161&lt;'144M'!F161,'144M'!D161-G161,'144M'!F161))</f>
        <v>0</v>
      </c>
      <c r="I161" s="60">
        <f t="shared" si="102"/>
        <v>0</v>
      </c>
      <c r="J161" s="60">
        <f t="shared" si="103"/>
        <v>0</v>
      </c>
      <c r="K161" s="202">
        <f>J161/Input!$K$5</f>
        <v>0</v>
      </c>
      <c r="L161" s="232"/>
      <c r="M161" s="60">
        <f>IF($B161&lt;Input!$H$43,IF($B161&lt;Input!$G$43,IF($B161&lt;Input!$F$43,IF($B161&lt;Input!$E$43,IF($B161&lt;Input!$D$43,Input!$C$49,Input!$D$49),Input!$E$49),Input!$F$49),Input!$G$49),Input!$H$49)</f>
        <v>33127052.878124986</v>
      </c>
      <c r="N161" s="190">
        <f>IF($A161&lt;Input!$H$50,IF($A161&lt;Input!$G$50,IF($A161&lt;Input!$F$50,IF($A161&lt;Input!$E$50,IF($A161&lt;Input!$D$50,Input!$C$51,Input!$D$51),Input!$E$51),Input!$F$51),Input!$G$51),Input!$H$51)</f>
        <v>0.9</v>
      </c>
      <c r="O161" s="60">
        <f t="shared" si="76"/>
        <v>29814347.590312488</v>
      </c>
      <c r="P161" s="60">
        <f t="shared" si="79"/>
        <v>31</v>
      </c>
      <c r="Q161" s="60">
        <f t="shared" si="80"/>
        <v>0</v>
      </c>
      <c r="R161" s="60">
        <f>ROUND(Q161*$P161*Input!$C$3/365,0)</f>
        <v>0</v>
      </c>
      <c r="S161" s="60">
        <f>IF(A161&lt;=Input!$C$6,0,IF('144M'!O161&lt;'144M'!Q161,'144M'!O161-R161,'144M'!Q161))</f>
        <v>0</v>
      </c>
      <c r="T161" s="60">
        <f t="shared" si="81"/>
        <v>0</v>
      </c>
      <c r="U161" s="60">
        <f t="shared" si="82"/>
        <v>0</v>
      </c>
      <c r="V161" s="193"/>
      <c r="W161" s="169">
        <v>157</v>
      </c>
      <c r="X161" s="1">
        <f t="shared" si="104"/>
        <v>50298</v>
      </c>
      <c r="Y161" s="60">
        <f>IF($X161&lt;Input!$H$58,IF($X161&lt;Input!$G$58,IF($X161&lt;Input!$F$58,IF($X161&lt;Input!$E$58,IF($X161&lt;Input!$D$58,Input!$C$64,Input!$D$64),Input!$E$64),Input!$F$64),Input!$G$64),Input!$H$64)</f>
        <v>0</v>
      </c>
      <c r="Z161" s="190">
        <f>IF($A161&lt;Input!$H$65,IF($A161&lt;Input!$G$65,IF($A161&lt;Input!$F$65,IF($A161&lt;Input!$E$65,IF($A161&lt;Input!$D$65,Input!$C$66,Input!$D$66),Input!$E$66),Input!$F$66),Input!$G$66),Input!$H$66)</f>
        <v>0.9</v>
      </c>
      <c r="AA161" s="60">
        <f t="shared" si="83"/>
        <v>0</v>
      </c>
      <c r="AB161" s="60">
        <f t="shared" si="105"/>
        <v>31</v>
      </c>
      <c r="AC161" s="60">
        <f t="shared" si="84"/>
        <v>0</v>
      </c>
      <c r="AD161" s="60">
        <f>ROUND(AC161*AB161*Input!$C$3/365,0)</f>
        <v>0</v>
      </c>
      <c r="AE161" s="61">
        <f>IF($A161&lt;=Input!$C$6,0,IF('144M'!AA161&lt;'144M'!AC161,'144M'!AA161-AD161,'144M'!AC161))</f>
        <v>0</v>
      </c>
      <c r="AF161" s="61">
        <f t="shared" si="85"/>
        <v>0</v>
      </c>
      <c r="AG161" s="60">
        <f t="shared" si="86"/>
        <v>0</v>
      </c>
      <c r="AH161" s="193"/>
      <c r="AI161" s="169">
        <v>157</v>
      </c>
      <c r="AJ161" s="1">
        <f t="shared" si="106"/>
        <v>50298</v>
      </c>
      <c r="AK161" s="60">
        <f>IF($X161&lt;Input!$H$73,IF($X161&lt;Input!$G$73,IF($X161&lt;Input!$F$73,IF($X161&lt;Input!$E$73,IF($X161&lt;Input!$D$73,Input!$C$79,Input!$D$79),Input!$E$79),Input!$F$79),Input!$G$79),Input!$H$79)</f>
        <v>0</v>
      </c>
      <c r="AL161" s="190">
        <f>IF($A161&lt;Input!$H$80,IF($A161&lt;Input!$G$80,IF($A161&lt;Input!$F$80,IF($A161&lt;Input!$E$80,IF($A161&lt;Input!$D$80,Input!$C$81,Input!$D$81),Input!$E$81),Input!$F$81),Input!$G$81),Input!$H$81)</f>
        <v>0.9</v>
      </c>
      <c r="AM161" s="60">
        <f t="shared" si="87"/>
        <v>0</v>
      </c>
      <c r="AN161" s="60">
        <f t="shared" si="107"/>
        <v>31</v>
      </c>
      <c r="AO161" s="60">
        <f t="shared" si="88"/>
        <v>0</v>
      </c>
      <c r="AP161" s="60">
        <f>ROUND(AO161*AN161*Input!$C$3/365,0)</f>
        <v>0</v>
      </c>
      <c r="AQ161" s="61">
        <f>IF($A161&lt;=Input!$C$6,0,IF('144M'!AM161&lt;'144M'!AO161,'144M'!AM161-AP161,'144M'!AO161))</f>
        <v>0</v>
      </c>
      <c r="AR161" s="61">
        <f t="shared" si="89"/>
        <v>0</v>
      </c>
      <c r="AS161" s="60">
        <f t="shared" si="90"/>
        <v>0</v>
      </c>
      <c r="AT161" s="193"/>
      <c r="AU161" s="169">
        <v>157</v>
      </c>
      <c r="AV161" s="1">
        <f t="shared" si="108"/>
        <v>50298</v>
      </c>
      <c r="AW161" s="60">
        <f>IF($X161&lt;Input!$H$88,IF($X161&lt;Input!$G$88,IF($X161&lt;Input!$F$88,IF($X161&lt;Input!$E$88,IF($X161&lt;Input!$D$88,Input!$C$94,Input!$D$94),Input!$E$94),Input!$F$94),Input!$G$94),Input!$H$94)</f>
        <v>0</v>
      </c>
      <c r="AX161" s="190">
        <f>IF($A161&lt;Input!$H$95,IF($A161&lt;Input!$G$95,IF($A161&lt;Input!$F$95,IF($A161&lt;Input!$E$95,IF($A161&lt;Input!$D$95,Input!$C$96,Input!$D$96),Input!$E$96),Input!$F$96),Input!$G$96),Input!$H$96)</f>
        <v>0.9</v>
      </c>
      <c r="AY161" s="60">
        <f t="shared" si="91"/>
        <v>0</v>
      </c>
      <c r="AZ161" s="60">
        <f t="shared" si="109"/>
        <v>31</v>
      </c>
      <c r="BA161" s="60">
        <f t="shared" si="92"/>
        <v>0</v>
      </c>
      <c r="BB161" s="60">
        <f>ROUND(BA161*AZ161*Input!$C$3/365,0)</f>
        <v>0</v>
      </c>
      <c r="BC161" s="61">
        <f>IF($A161&lt;=Input!$C$6,0,IF('144M'!AY161&lt;'144M'!BA161,'144M'!AY161-BB161,'144M'!BA161))</f>
        <v>0</v>
      </c>
      <c r="BD161" s="61">
        <f t="shared" si="93"/>
        <v>0</v>
      </c>
      <c r="BE161" s="60">
        <f t="shared" si="94"/>
        <v>0</v>
      </c>
      <c r="BF161" s="193"/>
      <c r="BG161" s="169">
        <v>157</v>
      </c>
      <c r="BH161" s="1">
        <f t="shared" si="110"/>
        <v>50298</v>
      </c>
      <c r="BI161" s="60">
        <f>IF($X161&lt;Input!$H$103,IF($X161&lt;Input!$G$103,IF($X161&lt;Input!$F$103,IF($X161&lt;Input!$E$103,IF($X161&lt;Input!$D$103,Input!$C$109,Input!$D$109),Input!$E$109),Input!$F$109),Input!$G$109),Input!$H$109)</f>
        <v>0</v>
      </c>
      <c r="BJ161" s="190">
        <f>IF($A161&lt;Input!$H$110,IF($A161&lt;Input!$G$110,IF($A161&lt;Input!$F$110,IF($A161&lt;Input!$E$110,IF($A161&lt;Input!$D$110,Input!$C$111,Input!$D$111),Input!$E$111),Input!$F$111),Input!$G$111),Input!$H$111)</f>
        <v>0.9</v>
      </c>
      <c r="BK161" s="60">
        <f t="shared" si="95"/>
        <v>0</v>
      </c>
      <c r="BL161" s="60">
        <f t="shared" si="111"/>
        <v>31</v>
      </c>
      <c r="BM161" s="60">
        <f t="shared" si="96"/>
        <v>0</v>
      </c>
      <c r="BN161" s="60">
        <f>ROUND(BM161*BL161*Input!$C$3/365,0)</f>
        <v>0</v>
      </c>
      <c r="BO161" s="61">
        <f>IF($A161&lt;=Input!$C$6,0,IF('144M'!BK161&lt;'144M'!BM161,'144M'!BK161-BN161,'144M'!BM161))</f>
        <v>0</v>
      </c>
      <c r="BP161" s="61">
        <f t="shared" si="97"/>
        <v>0</v>
      </c>
      <c r="BQ161" s="60">
        <f t="shared" si="98"/>
        <v>0</v>
      </c>
      <c r="BR161" s="198"/>
    </row>
    <row r="162" spans="1:70" x14ac:dyDescent="0.25">
      <c r="A162" s="169">
        <v>158</v>
      </c>
      <c r="B162" s="1">
        <f t="shared" si="99"/>
        <v>50328</v>
      </c>
      <c r="C162" s="60">
        <f t="shared" si="77"/>
        <v>33127052.878124986</v>
      </c>
      <c r="D162" s="60">
        <f t="shared" si="78"/>
        <v>29814347.590312488</v>
      </c>
      <c r="E162" s="60">
        <f t="shared" si="100"/>
        <v>30</v>
      </c>
      <c r="F162" s="60">
        <f t="shared" si="101"/>
        <v>0</v>
      </c>
      <c r="G162" s="60">
        <f>ROUND(F162*E162*Input!$C$3/365,0)</f>
        <v>0</v>
      </c>
      <c r="H162" s="60">
        <f>IF($A162&lt;=Input!$C$6,0,IF('144M'!D162&lt;'144M'!F162,'144M'!D162-G162,'144M'!F162))</f>
        <v>0</v>
      </c>
      <c r="I162" s="60">
        <f t="shared" si="102"/>
        <v>0</v>
      </c>
      <c r="J162" s="60">
        <f t="shared" si="103"/>
        <v>0</v>
      </c>
      <c r="K162" s="202">
        <f>J162/Input!$K$5</f>
        <v>0</v>
      </c>
      <c r="L162" s="232"/>
      <c r="M162" s="60">
        <f>IF($B162&lt;Input!$H$43,IF($B162&lt;Input!$G$43,IF($B162&lt;Input!$F$43,IF($B162&lt;Input!$E$43,IF($B162&lt;Input!$D$43,Input!$C$49,Input!$D$49),Input!$E$49),Input!$F$49),Input!$G$49),Input!$H$49)</f>
        <v>33127052.878124986</v>
      </c>
      <c r="N162" s="190">
        <f>IF($A162&lt;Input!$H$50,IF($A162&lt;Input!$G$50,IF($A162&lt;Input!$F$50,IF($A162&lt;Input!$E$50,IF($A162&lt;Input!$D$50,Input!$C$51,Input!$D$51),Input!$E$51),Input!$F$51),Input!$G$51),Input!$H$51)</f>
        <v>0.9</v>
      </c>
      <c r="O162" s="60">
        <f t="shared" si="76"/>
        <v>29814347.590312488</v>
      </c>
      <c r="P162" s="60">
        <f t="shared" si="79"/>
        <v>30</v>
      </c>
      <c r="Q162" s="60">
        <f t="shared" si="80"/>
        <v>0</v>
      </c>
      <c r="R162" s="60">
        <f>ROUND(Q162*$P162*Input!$C$3/365,0)</f>
        <v>0</v>
      </c>
      <c r="S162" s="60">
        <f>IF(A162&lt;=Input!$C$6,0,IF('144M'!O162&lt;'144M'!Q162,'144M'!O162-R162,'144M'!Q162))</f>
        <v>0</v>
      </c>
      <c r="T162" s="60">
        <f t="shared" si="81"/>
        <v>0</v>
      </c>
      <c r="U162" s="60">
        <f t="shared" si="82"/>
        <v>0</v>
      </c>
      <c r="V162" s="193"/>
      <c r="W162" s="169">
        <v>158</v>
      </c>
      <c r="X162" s="1">
        <f t="shared" si="104"/>
        <v>50328</v>
      </c>
      <c r="Y162" s="60">
        <f>IF($X162&lt;Input!$H$58,IF($X162&lt;Input!$G$58,IF($X162&lt;Input!$F$58,IF($X162&lt;Input!$E$58,IF($X162&lt;Input!$D$58,Input!$C$64,Input!$D$64),Input!$E$64),Input!$F$64),Input!$G$64),Input!$H$64)</f>
        <v>0</v>
      </c>
      <c r="Z162" s="190">
        <f>IF($A162&lt;Input!$H$65,IF($A162&lt;Input!$G$65,IF($A162&lt;Input!$F$65,IF($A162&lt;Input!$E$65,IF($A162&lt;Input!$D$65,Input!$C$66,Input!$D$66),Input!$E$66),Input!$F$66),Input!$G$66),Input!$H$66)</f>
        <v>0.9</v>
      </c>
      <c r="AA162" s="60">
        <f t="shared" si="83"/>
        <v>0</v>
      </c>
      <c r="AB162" s="60">
        <f t="shared" si="105"/>
        <v>30</v>
      </c>
      <c r="AC162" s="60">
        <f t="shared" si="84"/>
        <v>0</v>
      </c>
      <c r="AD162" s="60">
        <f>ROUND(AC162*AB162*Input!$C$3/365,0)</f>
        <v>0</v>
      </c>
      <c r="AE162" s="61">
        <f>IF($A162&lt;=Input!$C$6,0,IF('144M'!AA162&lt;'144M'!AC162,'144M'!AA162-AD162,'144M'!AC162))</f>
        <v>0</v>
      </c>
      <c r="AF162" s="61">
        <f t="shared" si="85"/>
        <v>0</v>
      </c>
      <c r="AG162" s="60">
        <f t="shared" si="86"/>
        <v>0</v>
      </c>
      <c r="AH162" s="193"/>
      <c r="AI162" s="169">
        <v>158</v>
      </c>
      <c r="AJ162" s="1">
        <f t="shared" si="106"/>
        <v>50328</v>
      </c>
      <c r="AK162" s="60">
        <f>IF($X162&lt;Input!$H$73,IF($X162&lt;Input!$G$73,IF($X162&lt;Input!$F$73,IF($X162&lt;Input!$E$73,IF($X162&lt;Input!$D$73,Input!$C$79,Input!$D$79),Input!$E$79),Input!$F$79),Input!$G$79),Input!$H$79)</f>
        <v>0</v>
      </c>
      <c r="AL162" s="190">
        <f>IF($A162&lt;Input!$H$80,IF($A162&lt;Input!$G$80,IF($A162&lt;Input!$F$80,IF($A162&lt;Input!$E$80,IF($A162&lt;Input!$D$80,Input!$C$81,Input!$D$81),Input!$E$81),Input!$F$81),Input!$G$81),Input!$H$81)</f>
        <v>0.9</v>
      </c>
      <c r="AM162" s="60">
        <f t="shared" si="87"/>
        <v>0</v>
      </c>
      <c r="AN162" s="60">
        <f t="shared" si="107"/>
        <v>30</v>
      </c>
      <c r="AO162" s="60">
        <f t="shared" si="88"/>
        <v>0</v>
      </c>
      <c r="AP162" s="60">
        <f>ROUND(AO162*AN162*Input!$C$3/365,0)</f>
        <v>0</v>
      </c>
      <c r="AQ162" s="61">
        <f>IF($A162&lt;=Input!$C$6,0,IF('144M'!AM162&lt;'144M'!AO162,'144M'!AM162-AP162,'144M'!AO162))</f>
        <v>0</v>
      </c>
      <c r="AR162" s="61">
        <f t="shared" si="89"/>
        <v>0</v>
      </c>
      <c r="AS162" s="60">
        <f t="shared" si="90"/>
        <v>0</v>
      </c>
      <c r="AT162" s="193"/>
      <c r="AU162" s="169">
        <v>158</v>
      </c>
      <c r="AV162" s="1">
        <f t="shared" si="108"/>
        <v>50328</v>
      </c>
      <c r="AW162" s="60">
        <f>IF($X162&lt;Input!$H$88,IF($X162&lt;Input!$G$88,IF($X162&lt;Input!$F$88,IF($X162&lt;Input!$E$88,IF($X162&lt;Input!$D$88,Input!$C$94,Input!$D$94),Input!$E$94),Input!$F$94),Input!$G$94),Input!$H$94)</f>
        <v>0</v>
      </c>
      <c r="AX162" s="190">
        <f>IF($A162&lt;Input!$H$95,IF($A162&lt;Input!$G$95,IF($A162&lt;Input!$F$95,IF($A162&lt;Input!$E$95,IF($A162&lt;Input!$D$95,Input!$C$96,Input!$D$96),Input!$E$96),Input!$F$96),Input!$G$96),Input!$H$96)</f>
        <v>0.9</v>
      </c>
      <c r="AY162" s="60">
        <f t="shared" si="91"/>
        <v>0</v>
      </c>
      <c r="AZ162" s="60">
        <f t="shared" si="109"/>
        <v>30</v>
      </c>
      <c r="BA162" s="60">
        <f t="shared" si="92"/>
        <v>0</v>
      </c>
      <c r="BB162" s="60">
        <f>ROUND(BA162*AZ162*Input!$C$3/365,0)</f>
        <v>0</v>
      </c>
      <c r="BC162" s="61">
        <f>IF($A162&lt;=Input!$C$6,0,IF('144M'!AY162&lt;'144M'!BA162,'144M'!AY162-BB162,'144M'!BA162))</f>
        <v>0</v>
      </c>
      <c r="BD162" s="61">
        <f t="shared" si="93"/>
        <v>0</v>
      </c>
      <c r="BE162" s="60">
        <f t="shared" si="94"/>
        <v>0</v>
      </c>
      <c r="BF162" s="193"/>
      <c r="BG162" s="169">
        <v>158</v>
      </c>
      <c r="BH162" s="1">
        <f t="shared" si="110"/>
        <v>50328</v>
      </c>
      <c r="BI162" s="60">
        <f>IF($X162&lt;Input!$H$103,IF($X162&lt;Input!$G$103,IF($X162&lt;Input!$F$103,IF($X162&lt;Input!$E$103,IF($X162&lt;Input!$D$103,Input!$C$109,Input!$D$109),Input!$E$109),Input!$F$109),Input!$G$109),Input!$H$109)</f>
        <v>0</v>
      </c>
      <c r="BJ162" s="190">
        <f>IF($A162&lt;Input!$H$110,IF($A162&lt;Input!$G$110,IF($A162&lt;Input!$F$110,IF($A162&lt;Input!$E$110,IF($A162&lt;Input!$D$110,Input!$C$111,Input!$D$111),Input!$E$111),Input!$F$111),Input!$G$111),Input!$H$111)</f>
        <v>0.9</v>
      </c>
      <c r="BK162" s="60">
        <f t="shared" si="95"/>
        <v>0</v>
      </c>
      <c r="BL162" s="60">
        <f t="shared" si="111"/>
        <v>30</v>
      </c>
      <c r="BM162" s="60">
        <f t="shared" si="96"/>
        <v>0</v>
      </c>
      <c r="BN162" s="60">
        <f>ROUND(BM162*BL162*Input!$C$3/365,0)</f>
        <v>0</v>
      </c>
      <c r="BO162" s="61">
        <f>IF($A162&lt;=Input!$C$6,0,IF('144M'!BK162&lt;'144M'!BM162,'144M'!BK162-BN162,'144M'!BM162))</f>
        <v>0</v>
      </c>
      <c r="BP162" s="61">
        <f t="shared" si="97"/>
        <v>0</v>
      </c>
      <c r="BQ162" s="60">
        <f t="shared" si="98"/>
        <v>0</v>
      </c>
      <c r="BR162" s="198"/>
    </row>
    <row r="163" spans="1:70" x14ac:dyDescent="0.25">
      <c r="A163" s="169">
        <v>159</v>
      </c>
      <c r="B163" s="1">
        <f t="shared" si="99"/>
        <v>50359</v>
      </c>
      <c r="C163" s="60">
        <f t="shared" si="77"/>
        <v>33127052.878124986</v>
      </c>
      <c r="D163" s="60">
        <f t="shared" si="78"/>
        <v>29814347.590312488</v>
      </c>
      <c r="E163" s="60">
        <f t="shared" si="100"/>
        <v>31</v>
      </c>
      <c r="F163" s="60">
        <f t="shared" si="101"/>
        <v>0</v>
      </c>
      <c r="G163" s="60">
        <f>ROUND(F163*E163*Input!$C$3/365,0)</f>
        <v>0</v>
      </c>
      <c r="H163" s="60">
        <f>IF($A163&lt;=Input!$C$6,0,IF('144M'!D163&lt;'144M'!F163,'144M'!D163-G163,'144M'!F163))</f>
        <v>0</v>
      </c>
      <c r="I163" s="60">
        <f t="shared" si="102"/>
        <v>0</v>
      </c>
      <c r="J163" s="60">
        <f t="shared" si="103"/>
        <v>0</v>
      </c>
      <c r="K163" s="202">
        <f>J163/Input!$K$5</f>
        <v>0</v>
      </c>
      <c r="L163" s="232"/>
      <c r="M163" s="60">
        <f>IF($B163&lt;Input!$H$43,IF($B163&lt;Input!$G$43,IF($B163&lt;Input!$F$43,IF($B163&lt;Input!$E$43,IF($B163&lt;Input!$D$43,Input!$C$49,Input!$D$49),Input!$E$49),Input!$F$49),Input!$G$49),Input!$H$49)</f>
        <v>33127052.878124986</v>
      </c>
      <c r="N163" s="190">
        <f>IF($A163&lt;Input!$H$50,IF($A163&lt;Input!$G$50,IF($A163&lt;Input!$F$50,IF($A163&lt;Input!$E$50,IF($A163&lt;Input!$D$50,Input!$C$51,Input!$D$51),Input!$E$51),Input!$F$51),Input!$G$51),Input!$H$51)</f>
        <v>0.9</v>
      </c>
      <c r="O163" s="60">
        <f t="shared" si="76"/>
        <v>29814347.590312488</v>
      </c>
      <c r="P163" s="60">
        <f t="shared" si="79"/>
        <v>31</v>
      </c>
      <c r="Q163" s="60">
        <f t="shared" si="80"/>
        <v>0</v>
      </c>
      <c r="R163" s="60">
        <f>ROUND(Q163*$P163*Input!$C$3/365,0)</f>
        <v>0</v>
      </c>
      <c r="S163" s="60">
        <f>IF(A163&lt;=Input!$C$6,0,IF('144M'!O163&lt;'144M'!Q163,'144M'!O163-R163,'144M'!Q163))</f>
        <v>0</v>
      </c>
      <c r="T163" s="60">
        <f t="shared" si="81"/>
        <v>0</v>
      </c>
      <c r="U163" s="60">
        <f t="shared" si="82"/>
        <v>0</v>
      </c>
      <c r="V163" s="193"/>
      <c r="W163" s="169">
        <v>159</v>
      </c>
      <c r="X163" s="1">
        <f t="shared" si="104"/>
        <v>50359</v>
      </c>
      <c r="Y163" s="60">
        <f>IF($X163&lt;Input!$H$58,IF($X163&lt;Input!$G$58,IF($X163&lt;Input!$F$58,IF($X163&lt;Input!$E$58,IF($X163&lt;Input!$D$58,Input!$C$64,Input!$D$64),Input!$E$64),Input!$F$64),Input!$G$64),Input!$H$64)</f>
        <v>0</v>
      </c>
      <c r="Z163" s="190">
        <f>IF($A163&lt;Input!$H$65,IF($A163&lt;Input!$G$65,IF($A163&lt;Input!$F$65,IF($A163&lt;Input!$E$65,IF($A163&lt;Input!$D$65,Input!$C$66,Input!$D$66),Input!$E$66),Input!$F$66),Input!$G$66),Input!$H$66)</f>
        <v>0.9</v>
      </c>
      <c r="AA163" s="60">
        <f t="shared" si="83"/>
        <v>0</v>
      </c>
      <c r="AB163" s="60">
        <f t="shared" si="105"/>
        <v>31</v>
      </c>
      <c r="AC163" s="60">
        <f t="shared" si="84"/>
        <v>0</v>
      </c>
      <c r="AD163" s="60">
        <f>ROUND(AC163*AB163*Input!$C$3/365,0)</f>
        <v>0</v>
      </c>
      <c r="AE163" s="61">
        <f>IF($A163&lt;=Input!$C$6,0,IF('144M'!AA163&lt;'144M'!AC163,'144M'!AA163-AD163,'144M'!AC163))</f>
        <v>0</v>
      </c>
      <c r="AF163" s="61">
        <f t="shared" si="85"/>
        <v>0</v>
      </c>
      <c r="AG163" s="60">
        <f t="shared" si="86"/>
        <v>0</v>
      </c>
      <c r="AH163" s="193"/>
      <c r="AI163" s="169">
        <v>159</v>
      </c>
      <c r="AJ163" s="1">
        <f t="shared" si="106"/>
        <v>50359</v>
      </c>
      <c r="AK163" s="60">
        <f>IF($X163&lt;Input!$H$73,IF($X163&lt;Input!$G$73,IF($X163&lt;Input!$F$73,IF($X163&lt;Input!$E$73,IF($X163&lt;Input!$D$73,Input!$C$79,Input!$D$79),Input!$E$79),Input!$F$79),Input!$G$79),Input!$H$79)</f>
        <v>0</v>
      </c>
      <c r="AL163" s="190">
        <f>IF($A163&lt;Input!$H$80,IF($A163&lt;Input!$G$80,IF($A163&lt;Input!$F$80,IF($A163&lt;Input!$E$80,IF($A163&lt;Input!$D$80,Input!$C$81,Input!$D$81),Input!$E$81),Input!$F$81),Input!$G$81),Input!$H$81)</f>
        <v>0.9</v>
      </c>
      <c r="AM163" s="60">
        <f t="shared" si="87"/>
        <v>0</v>
      </c>
      <c r="AN163" s="60">
        <f t="shared" si="107"/>
        <v>31</v>
      </c>
      <c r="AO163" s="60">
        <f t="shared" si="88"/>
        <v>0</v>
      </c>
      <c r="AP163" s="60">
        <f>ROUND(AO163*AN163*Input!$C$3/365,0)</f>
        <v>0</v>
      </c>
      <c r="AQ163" s="61">
        <f>IF($A163&lt;=Input!$C$6,0,IF('144M'!AM163&lt;'144M'!AO163,'144M'!AM163-AP163,'144M'!AO163))</f>
        <v>0</v>
      </c>
      <c r="AR163" s="61">
        <f t="shared" si="89"/>
        <v>0</v>
      </c>
      <c r="AS163" s="60">
        <f t="shared" si="90"/>
        <v>0</v>
      </c>
      <c r="AT163" s="193"/>
      <c r="AU163" s="169">
        <v>159</v>
      </c>
      <c r="AV163" s="1">
        <f t="shared" si="108"/>
        <v>50359</v>
      </c>
      <c r="AW163" s="60">
        <f>IF($X163&lt;Input!$H$88,IF($X163&lt;Input!$G$88,IF($X163&lt;Input!$F$88,IF($X163&lt;Input!$E$88,IF($X163&lt;Input!$D$88,Input!$C$94,Input!$D$94),Input!$E$94),Input!$F$94),Input!$G$94),Input!$H$94)</f>
        <v>0</v>
      </c>
      <c r="AX163" s="190">
        <f>IF($A163&lt;Input!$H$95,IF($A163&lt;Input!$G$95,IF($A163&lt;Input!$F$95,IF($A163&lt;Input!$E$95,IF($A163&lt;Input!$D$95,Input!$C$96,Input!$D$96),Input!$E$96),Input!$F$96),Input!$G$96),Input!$H$96)</f>
        <v>0.9</v>
      </c>
      <c r="AY163" s="60">
        <f t="shared" si="91"/>
        <v>0</v>
      </c>
      <c r="AZ163" s="60">
        <f t="shared" si="109"/>
        <v>31</v>
      </c>
      <c r="BA163" s="60">
        <f t="shared" si="92"/>
        <v>0</v>
      </c>
      <c r="BB163" s="60">
        <f>ROUND(BA163*AZ163*Input!$C$3/365,0)</f>
        <v>0</v>
      </c>
      <c r="BC163" s="61">
        <f>IF($A163&lt;=Input!$C$6,0,IF('144M'!AY163&lt;'144M'!BA163,'144M'!AY163-BB163,'144M'!BA163))</f>
        <v>0</v>
      </c>
      <c r="BD163" s="61">
        <f t="shared" si="93"/>
        <v>0</v>
      </c>
      <c r="BE163" s="60">
        <f t="shared" si="94"/>
        <v>0</v>
      </c>
      <c r="BF163" s="193"/>
      <c r="BG163" s="169">
        <v>159</v>
      </c>
      <c r="BH163" s="1">
        <f t="shared" si="110"/>
        <v>50359</v>
      </c>
      <c r="BI163" s="60">
        <f>IF($X163&lt;Input!$H$103,IF($X163&lt;Input!$G$103,IF($X163&lt;Input!$F$103,IF($X163&lt;Input!$E$103,IF($X163&lt;Input!$D$103,Input!$C$109,Input!$D$109),Input!$E$109),Input!$F$109),Input!$G$109),Input!$H$109)</f>
        <v>0</v>
      </c>
      <c r="BJ163" s="190">
        <f>IF($A163&lt;Input!$H$110,IF($A163&lt;Input!$G$110,IF($A163&lt;Input!$F$110,IF($A163&lt;Input!$E$110,IF($A163&lt;Input!$D$110,Input!$C$111,Input!$D$111),Input!$E$111),Input!$F$111),Input!$G$111),Input!$H$111)</f>
        <v>0.9</v>
      </c>
      <c r="BK163" s="60">
        <f t="shared" si="95"/>
        <v>0</v>
      </c>
      <c r="BL163" s="60">
        <f t="shared" si="111"/>
        <v>31</v>
      </c>
      <c r="BM163" s="60">
        <f t="shared" si="96"/>
        <v>0</v>
      </c>
      <c r="BN163" s="60">
        <f>ROUND(BM163*BL163*Input!$C$3/365,0)</f>
        <v>0</v>
      </c>
      <c r="BO163" s="61">
        <f>IF($A163&lt;=Input!$C$6,0,IF('144M'!BK163&lt;'144M'!BM163,'144M'!BK163-BN163,'144M'!BM163))</f>
        <v>0</v>
      </c>
      <c r="BP163" s="61">
        <f t="shared" si="97"/>
        <v>0</v>
      </c>
      <c r="BQ163" s="60">
        <f t="shared" si="98"/>
        <v>0</v>
      </c>
      <c r="BR163" s="198"/>
    </row>
    <row r="164" spans="1:70" x14ac:dyDescent="0.25">
      <c r="A164" s="169">
        <v>160</v>
      </c>
      <c r="B164" s="1">
        <f t="shared" si="99"/>
        <v>50389</v>
      </c>
      <c r="C164" s="60">
        <f t="shared" si="77"/>
        <v>33127052.878124986</v>
      </c>
      <c r="D164" s="60">
        <f t="shared" si="78"/>
        <v>29814347.590312488</v>
      </c>
      <c r="E164" s="60">
        <f t="shared" si="100"/>
        <v>30</v>
      </c>
      <c r="F164" s="60">
        <f t="shared" si="101"/>
        <v>0</v>
      </c>
      <c r="G164" s="60">
        <f>ROUND(F164*E164*Input!$C$3/365,0)</f>
        <v>0</v>
      </c>
      <c r="H164" s="60">
        <f>IF($A164&lt;=Input!$C$6,0,IF('144M'!D164&lt;'144M'!F164,'144M'!D164-G164,'144M'!F164))</f>
        <v>0</v>
      </c>
      <c r="I164" s="60">
        <f t="shared" si="102"/>
        <v>0</v>
      </c>
      <c r="J164" s="60">
        <f t="shared" si="103"/>
        <v>0</v>
      </c>
      <c r="K164" s="202">
        <f>J164/Input!$K$5</f>
        <v>0</v>
      </c>
      <c r="L164" s="232"/>
      <c r="M164" s="60">
        <f>IF($B164&lt;Input!$H$43,IF($B164&lt;Input!$G$43,IF($B164&lt;Input!$F$43,IF($B164&lt;Input!$E$43,IF($B164&lt;Input!$D$43,Input!$C$49,Input!$D$49),Input!$E$49),Input!$F$49),Input!$G$49),Input!$H$49)</f>
        <v>33127052.878124986</v>
      </c>
      <c r="N164" s="190">
        <f>IF($A164&lt;Input!$H$50,IF($A164&lt;Input!$G$50,IF($A164&lt;Input!$F$50,IF($A164&lt;Input!$E$50,IF($A164&lt;Input!$D$50,Input!$C$51,Input!$D$51),Input!$E$51),Input!$F$51),Input!$G$51),Input!$H$51)</f>
        <v>0.9</v>
      </c>
      <c r="O164" s="60">
        <f t="shared" ref="O164:O184" si="112">M164*N164</f>
        <v>29814347.590312488</v>
      </c>
      <c r="P164" s="60">
        <f t="shared" si="79"/>
        <v>30</v>
      </c>
      <c r="Q164" s="60">
        <f t="shared" si="80"/>
        <v>0</v>
      </c>
      <c r="R164" s="60">
        <f>ROUND(Q164*$P164*Input!$C$3/365,0)</f>
        <v>0</v>
      </c>
      <c r="S164" s="60">
        <f>IF(A164&lt;=Input!$C$6,0,IF('144M'!O164&lt;'144M'!Q164,'144M'!O164-R164,'144M'!Q164))</f>
        <v>0</v>
      </c>
      <c r="T164" s="60">
        <f t="shared" si="81"/>
        <v>0</v>
      </c>
      <c r="U164" s="60">
        <f t="shared" si="82"/>
        <v>0</v>
      </c>
      <c r="V164" s="193"/>
      <c r="W164" s="169">
        <v>160</v>
      </c>
      <c r="X164" s="1">
        <f t="shared" si="104"/>
        <v>50389</v>
      </c>
      <c r="Y164" s="60">
        <f>IF($X164&lt;Input!$H$58,IF($X164&lt;Input!$G$58,IF($X164&lt;Input!$F$58,IF($X164&lt;Input!$E$58,IF($X164&lt;Input!$D$58,Input!$C$64,Input!$D$64),Input!$E$64),Input!$F$64),Input!$G$64),Input!$H$64)</f>
        <v>0</v>
      </c>
      <c r="Z164" s="190">
        <f>IF($A164&lt;Input!$H$65,IF($A164&lt;Input!$G$65,IF($A164&lt;Input!$F$65,IF($A164&lt;Input!$E$65,IF($A164&lt;Input!$D$65,Input!$C$66,Input!$D$66),Input!$E$66),Input!$F$66),Input!$G$66),Input!$H$66)</f>
        <v>0.9</v>
      </c>
      <c r="AA164" s="60">
        <f t="shared" si="83"/>
        <v>0</v>
      </c>
      <c r="AB164" s="60">
        <f t="shared" si="105"/>
        <v>30</v>
      </c>
      <c r="AC164" s="60">
        <f t="shared" si="84"/>
        <v>0</v>
      </c>
      <c r="AD164" s="60">
        <f>ROUND(AC164*AB164*Input!$C$3/365,0)</f>
        <v>0</v>
      </c>
      <c r="AE164" s="61">
        <f>IF($A164&lt;=Input!$C$6,0,IF('144M'!AA164&lt;'144M'!AC164,'144M'!AA164-AD164,'144M'!AC164))</f>
        <v>0</v>
      </c>
      <c r="AF164" s="61">
        <f t="shared" si="85"/>
        <v>0</v>
      </c>
      <c r="AG164" s="60">
        <f t="shared" si="86"/>
        <v>0</v>
      </c>
      <c r="AH164" s="193"/>
      <c r="AI164" s="169">
        <v>160</v>
      </c>
      <c r="AJ164" s="1">
        <f t="shared" si="106"/>
        <v>50389</v>
      </c>
      <c r="AK164" s="60">
        <f>IF($X164&lt;Input!$H$73,IF($X164&lt;Input!$G$73,IF($X164&lt;Input!$F$73,IF($X164&lt;Input!$E$73,IF($X164&lt;Input!$D$73,Input!$C$79,Input!$D$79),Input!$E$79),Input!$F$79),Input!$G$79),Input!$H$79)</f>
        <v>0</v>
      </c>
      <c r="AL164" s="190">
        <f>IF($A164&lt;Input!$H$80,IF($A164&lt;Input!$G$80,IF($A164&lt;Input!$F$80,IF($A164&lt;Input!$E$80,IF($A164&lt;Input!$D$80,Input!$C$81,Input!$D$81),Input!$E$81),Input!$F$81),Input!$G$81),Input!$H$81)</f>
        <v>0.9</v>
      </c>
      <c r="AM164" s="60">
        <f t="shared" si="87"/>
        <v>0</v>
      </c>
      <c r="AN164" s="60">
        <f t="shared" si="107"/>
        <v>30</v>
      </c>
      <c r="AO164" s="60">
        <f t="shared" si="88"/>
        <v>0</v>
      </c>
      <c r="AP164" s="60">
        <f>ROUND(AO164*AN164*Input!$C$3/365,0)</f>
        <v>0</v>
      </c>
      <c r="AQ164" s="61">
        <f>IF($A164&lt;=Input!$C$6,0,IF('144M'!AM164&lt;'144M'!AO164,'144M'!AM164-AP164,'144M'!AO164))</f>
        <v>0</v>
      </c>
      <c r="AR164" s="61">
        <f t="shared" si="89"/>
        <v>0</v>
      </c>
      <c r="AS164" s="60">
        <f t="shared" si="90"/>
        <v>0</v>
      </c>
      <c r="AT164" s="193"/>
      <c r="AU164" s="169">
        <v>160</v>
      </c>
      <c r="AV164" s="1">
        <f t="shared" si="108"/>
        <v>50389</v>
      </c>
      <c r="AW164" s="60">
        <f>IF($X164&lt;Input!$H$88,IF($X164&lt;Input!$G$88,IF($X164&lt;Input!$F$88,IF($X164&lt;Input!$E$88,IF($X164&lt;Input!$D$88,Input!$C$94,Input!$D$94),Input!$E$94),Input!$F$94),Input!$G$94),Input!$H$94)</f>
        <v>0</v>
      </c>
      <c r="AX164" s="190">
        <f>IF($A164&lt;Input!$H$95,IF($A164&lt;Input!$G$95,IF($A164&lt;Input!$F$95,IF($A164&lt;Input!$E$95,IF($A164&lt;Input!$D$95,Input!$C$96,Input!$D$96),Input!$E$96),Input!$F$96),Input!$G$96),Input!$H$96)</f>
        <v>0.9</v>
      </c>
      <c r="AY164" s="60">
        <f t="shared" si="91"/>
        <v>0</v>
      </c>
      <c r="AZ164" s="60">
        <f t="shared" si="109"/>
        <v>30</v>
      </c>
      <c r="BA164" s="60">
        <f t="shared" si="92"/>
        <v>0</v>
      </c>
      <c r="BB164" s="60">
        <f>ROUND(BA164*AZ164*Input!$C$3/365,0)</f>
        <v>0</v>
      </c>
      <c r="BC164" s="61">
        <f>IF($A164&lt;=Input!$C$6,0,IF('144M'!AY164&lt;'144M'!BA164,'144M'!AY164-BB164,'144M'!BA164))</f>
        <v>0</v>
      </c>
      <c r="BD164" s="61">
        <f t="shared" si="93"/>
        <v>0</v>
      </c>
      <c r="BE164" s="60">
        <f t="shared" si="94"/>
        <v>0</v>
      </c>
      <c r="BF164" s="193"/>
      <c r="BG164" s="169">
        <v>160</v>
      </c>
      <c r="BH164" s="1">
        <f t="shared" si="110"/>
        <v>50389</v>
      </c>
      <c r="BI164" s="60">
        <f>IF($X164&lt;Input!$H$103,IF($X164&lt;Input!$G$103,IF($X164&lt;Input!$F$103,IF($X164&lt;Input!$E$103,IF($X164&lt;Input!$D$103,Input!$C$109,Input!$D$109),Input!$E$109),Input!$F$109),Input!$G$109),Input!$H$109)</f>
        <v>0</v>
      </c>
      <c r="BJ164" s="190">
        <f>IF($A164&lt;Input!$H$110,IF($A164&lt;Input!$G$110,IF($A164&lt;Input!$F$110,IF($A164&lt;Input!$E$110,IF($A164&lt;Input!$D$110,Input!$C$111,Input!$D$111),Input!$E$111),Input!$F$111),Input!$G$111),Input!$H$111)</f>
        <v>0.9</v>
      </c>
      <c r="BK164" s="60">
        <f t="shared" si="95"/>
        <v>0</v>
      </c>
      <c r="BL164" s="60">
        <f t="shared" si="111"/>
        <v>30</v>
      </c>
      <c r="BM164" s="60">
        <f t="shared" si="96"/>
        <v>0</v>
      </c>
      <c r="BN164" s="60">
        <f>ROUND(BM164*BL164*Input!$C$3/365,0)</f>
        <v>0</v>
      </c>
      <c r="BO164" s="61">
        <f>IF($A164&lt;=Input!$C$6,0,IF('144M'!BK164&lt;'144M'!BM164,'144M'!BK164-BN164,'144M'!BM164))</f>
        <v>0</v>
      </c>
      <c r="BP164" s="61">
        <f t="shared" si="97"/>
        <v>0</v>
      </c>
      <c r="BQ164" s="60">
        <f t="shared" si="98"/>
        <v>0</v>
      </c>
      <c r="BR164" s="198"/>
    </row>
    <row r="165" spans="1:70" x14ac:dyDescent="0.25">
      <c r="A165" s="169">
        <v>161</v>
      </c>
      <c r="B165" s="1">
        <f t="shared" si="99"/>
        <v>50420</v>
      </c>
      <c r="C165" s="60">
        <f t="shared" si="77"/>
        <v>33127052.878124986</v>
      </c>
      <c r="D165" s="60">
        <f t="shared" si="78"/>
        <v>29814347.590312488</v>
      </c>
      <c r="E165" s="60">
        <f t="shared" si="100"/>
        <v>31</v>
      </c>
      <c r="F165" s="60">
        <f t="shared" si="101"/>
        <v>0</v>
      </c>
      <c r="G165" s="60">
        <f>ROUND(F165*E165*Input!$C$3/365,0)</f>
        <v>0</v>
      </c>
      <c r="H165" s="60">
        <f>IF($A165&lt;=Input!$C$6,0,IF('144M'!D165&lt;'144M'!F165,'144M'!D165-G165,'144M'!F165))</f>
        <v>0</v>
      </c>
      <c r="I165" s="60">
        <f t="shared" si="102"/>
        <v>0</v>
      </c>
      <c r="J165" s="60">
        <f t="shared" si="103"/>
        <v>0</v>
      </c>
      <c r="K165" s="202">
        <f>J165/Input!$K$5</f>
        <v>0</v>
      </c>
      <c r="L165" s="232"/>
      <c r="M165" s="60">
        <f>IF($B165&lt;Input!$H$43,IF($B165&lt;Input!$G$43,IF($B165&lt;Input!$F$43,IF($B165&lt;Input!$E$43,IF($B165&lt;Input!$D$43,Input!$C$49,Input!$D$49),Input!$E$49),Input!$F$49),Input!$G$49),Input!$H$49)</f>
        <v>33127052.878124986</v>
      </c>
      <c r="N165" s="190">
        <f>IF($A165&lt;Input!$H$50,IF($A165&lt;Input!$G$50,IF($A165&lt;Input!$F$50,IF($A165&lt;Input!$E$50,IF($A165&lt;Input!$D$50,Input!$C$51,Input!$D$51),Input!$E$51),Input!$F$51),Input!$G$51),Input!$H$51)</f>
        <v>0.9</v>
      </c>
      <c r="O165" s="60">
        <f t="shared" si="112"/>
        <v>29814347.590312488</v>
      </c>
      <c r="P165" s="60">
        <f t="shared" ref="P165:P184" si="113">B165-B164</f>
        <v>31</v>
      </c>
      <c r="Q165" s="60">
        <f t="shared" si="80"/>
        <v>0</v>
      </c>
      <c r="R165" s="60">
        <f>ROUND(Q165*$P165*Input!$C$3/365,0)</f>
        <v>0</v>
      </c>
      <c r="S165" s="60">
        <f>IF(A165&lt;=Input!$C$6,0,IF('144M'!O165&lt;'144M'!Q165,'144M'!O165-R165,'144M'!Q165))</f>
        <v>0</v>
      </c>
      <c r="T165" s="60">
        <f t="shared" si="81"/>
        <v>0</v>
      </c>
      <c r="U165" s="60">
        <f t="shared" si="82"/>
        <v>0</v>
      </c>
      <c r="V165" s="193"/>
      <c r="W165" s="169">
        <v>161</v>
      </c>
      <c r="X165" s="1">
        <f t="shared" si="104"/>
        <v>50420</v>
      </c>
      <c r="Y165" s="60">
        <f>IF($X165&lt;Input!$H$58,IF($X165&lt;Input!$G$58,IF($X165&lt;Input!$F$58,IF($X165&lt;Input!$E$58,IF($X165&lt;Input!$D$58,Input!$C$64,Input!$D$64),Input!$E$64),Input!$F$64),Input!$G$64),Input!$H$64)</f>
        <v>0</v>
      </c>
      <c r="Z165" s="190">
        <f>IF($A165&lt;Input!$H$65,IF($A165&lt;Input!$G$65,IF($A165&lt;Input!$F$65,IF($A165&lt;Input!$E$65,IF($A165&lt;Input!$D$65,Input!$C$66,Input!$D$66),Input!$E$66),Input!$F$66),Input!$G$66),Input!$H$66)</f>
        <v>0.9</v>
      </c>
      <c r="AA165" s="60">
        <f t="shared" si="83"/>
        <v>0</v>
      </c>
      <c r="AB165" s="60">
        <f t="shared" si="105"/>
        <v>31</v>
      </c>
      <c r="AC165" s="60">
        <f t="shared" si="84"/>
        <v>0</v>
      </c>
      <c r="AD165" s="60">
        <f>ROUND(AC165*AB165*Input!$C$3/365,0)</f>
        <v>0</v>
      </c>
      <c r="AE165" s="61">
        <f>IF($A165&lt;=Input!$C$6,0,IF('144M'!AA165&lt;'144M'!AC165,'144M'!AA165-AD165,'144M'!AC165))</f>
        <v>0</v>
      </c>
      <c r="AF165" s="61">
        <f t="shared" si="85"/>
        <v>0</v>
      </c>
      <c r="AG165" s="60">
        <f t="shared" si="86"/>
        <v>0</v>
      </c>
      <c r="AH165" s="193"/>
      <c r="AI165" s="169">
        <v>161</v>
      </c>
      <c r="AJ165" s="1">
        <f t="shared" si="106"/>
        <v>50420</v>
      </c>
      <c r="AK165" s="60">
        <f>IF($X165&lt;Input!$H$73,IF($X165&lt;Input!$G$73,IF($X165&lt;Input!$F$73,IF($X165&lt;Input!$E$73,IF($X165&lt;Input!$D$73,Input!$C$79,Input!$D$79),Input!$E$79),Input!$F$79),Input!$G$79),Input!$H$79)</f>
        <v>0</v>
      </c>
      <c r="AL165" s="190">
        <f>IF($A165&lt;Input!$H$80,IF($A165&lt;Input!$G$80,IF($A165&lt;Input!$F$80,IF($A165&lt;Input!$E$80,IF($A165&lt;Input!$D$80,Input!$C$81,Input!$D$81),Input!$E$81),Input!$F$81),Input!$G$81),Input!$H$81)</f>
        <v>0.9</v>
      </c>
      <c r="AM165" s="60">
        <f t="shared" si="87"/>
        <v>0</v>
      </c>
      <c r="AN165" s="60">
        <f t="shared" si="107"/>
        <v>31</v>
      </c>
      <c r="AO165" s="60">
        <f t="shared" si="88"/>
        <v>0</v>
      </c>
      <c r="AP165" s="60">
        <f>ROUND(AO165*AN165*Input!$C$3/365,0)</f>
        <v>0</v>
      </c>
      <c r="AQ165" s="61">
        <f>IF($A165&lt;=Input!$C$6,0,IF('144M'!AM165&lt;'144M'!AO165,'144M'!AM165-AP165,'144M'!AO165))</f>
        <v>0</v>
      </c>
      <c r="AR165" s="61">
        <f t="shared" si="89"/>
        <v>0</v>
      </c>
      <c r="AS165" s="60">
        <f t="shared" si="90"/>
        <v>0</v>
      </c>
      <c r="AT165" s="193"/>
      <c r="AU165" s="169">
        <v>161</v>
      </c>
      <c r="AV165" s="1">
        <f t="shared" si="108"/>
        <v>50420</v>
      </c>
      <c r="AW165" s="60">
        <f>IF($X165&lt;Input!$H$88,IF($X165&lt;Input!$G$88,IF($X165&lt;Input!$F$88,IF($X165&lt;Input!$E$88,IF($X165&lt;Input!$D$88,Input!$C$94,Input!$D$94),Input!$E$94),Input!$F$94),Input!$G$94),Input!$H$94)</f>
        <v>0</v>
      </c>
      <c r="AX165" s="190">
        <f>IF($A165&lt;Input!$H$95,IF($A165&lt;Input!$G$95,IF($A165&lt;Input!$F$95,IF($A165&lt;Input!$E$95,IF($A165&lt;Input!$D$95,Input!$C$96,Input!$D$96),Input!$E$96),Input!$F$96),Input!$G$96),Input!$H$96)</f>
        <v>0.9</v>
      </c>
      <c r="AY165" s="60">
        <f t="shared" si="91"/>
        <v>0</v>
      </c>
      <c r="AZ165" s="60">
        <f t="shared" si="109"/>
        <v>31</v>
      </c>
      <c r="BA165" s="60">
        <f t="shared" si="92"/>
        <v>0</v>
      </c>
      <c r="BB165" s="60">
        <f>ROUND(BA165*AZ165*Input!$C$3/365,0)</f>
        <v>0</v>
      </c>
      <c r="BC165" s="61">
        <f>IF($A165&lt;=Input!$C$6,0,IF('144M'!AY165&lt;'144M'!BA165,'144M'!AY165-BB165,'144M'!BA165))</f>
        <v>0</v>
      </c>
      <c r="BD165" s="61">
        <f t="shared" si="93"/>
        <v>0</v>
      </c>
      <c r="BE165" s="60">
        <f t="shared" si="94"/>
        <v>0</v>
      </c>
      <c r="BF165" s="193"/>
      <c r="BG165" s="169">
        <v>161</v>
      </c>
      <c r="BH165" s="1">
        <f t="shared" si="110"/>
        <v>50420</v>
      </c>
      <c r="BI165" s="60">
        <f>IF($X165&lt;Input!$H$103,IF($X165&lt;Input!$G$103,IF($X165&lt;Input!$F$103,IF($X165&lt;Input!$E$103,IF($X165&lt;Input!$D$103,Input!$C$109,Input!$D$109),Input!$E$109),Input!$F$109),Input!$G$109),Input!$H$109)</f>
        <v>0</v>
      </c>
      <c r="BJ165" s="190">
        <f>IF($A165&lt;Input!$H$110,IF($A165&lt;Input!$G$110,IF($A165&lt;Input!$F$110,IF($A165&lt;Input!$E$110,IF($A165&lt;Input!$D$110,Input!$C$111,Input!$D$111),Input!$E$111),Input!$F$111),Input!$G$111),Input!$H$111)</f>
        <v>0.9</v>
      </c>
      <c r="BK165" s="60">
        <f t="shared" si="95"/>
        <v>0</v>
      </c>
      <c r="BL165" s="60">
        <f t="shared" si="111"/>
        <v>31</v>
      </c>
      <c r="BM165" s="60">
        <f t="shared" si="96"/>
        <v>0</v>
      </c>
      <c r="BN165" s="60">
        <f>ROUND(BM165*BL165*Input!$C$3/365,0)</f>
        <v>0</v>
      </c>
      <c r="BO165" s="61">
        <f>IF($A165&lt;=Input!$C$6,0,IF('144M'!BK165&lt;'144M'!BM165,'144M'!BK165-BN165,'144M'!BM165))</f>
        <v>0</v>
      </c>
      <c r="BP165" s="61">
        <f t="shared" si="97"/>
        <v>0</v>
      </c>
      <c r="BQ165" s="60">
        <f t="shared" si="98"/>
        <v>0</v>
      </c>
      <c r="BR165" s="198"/>
    </row>
    <row r="166" spans="1:70" x14ac:dyDescent="0.25">
      <c r="A166" s="169">
        <v>162</v>
      </c>
      <c r="B166" s="1">
        <f t="shared" si="99"/>
        <v>50451</v>
      </c>
      <c r="C166" s="60">
        <f t="shared" si="77"/>
        <v>33127052.878124986</v>
      </c>
      <c r="D166" s="60">
        <f t="shared" si="78"/>
        <v>29814347.590312488</v>
      </c>
      <c r="E166" s="60">
        <f t="shared" si="100"/>
        <v>31</v>
      </c>
      <c r="F166" s="60">
        <f t="shared" si="101"/>
        <v>0</v>
      </c>
      <c r="G166" s="60">
        <f>ROUND(F166*E166*Input!$C$3/365,0)</f>
        <v>0</v>
      </c>
      <c r="H166" s="60">
        <f>IF($A166&lt;=Input!$C$6,0,IF('144M'!D166&lt;'144M'!F166,'144M'!D166-G166,'144M'!F166))</f>
        <v>0</v>
      </c>
      <c r="I166" s="60">
        <f t="shared" si="102"/>
        <v>0</v>
      </c>
      <c r="J166" s="60">
        <f t="shared" si="103"/>
        <v>0</v>
      </c>
      <c r="K166" s="202">
        <f>J166/Input!$K$5</f>
        <v>0</v>
      </c>
      <c r="L166" s="232"/>
      <c r="M166" s="60">
        <f>IF($B166&lt;Input!$H$43,IF($B166&lt;Input!$G$43,IF($B166&lt;Input!$F$43,IF($B166&lt;Input!$E$43,IF($B166&lt;Input!$D$43,Input!$C$49,Input!$D$49),Input!$E$49),Input!$F$49),Input!$G$49),Input!$H$49)</f>
        <v>33127052.878124986</v>
      </c>
      <c r="N166" s="190">
        <f>IF($A166&lt;Input!$H$50,IF($A166&lt;Input!$G$50,IF($A166&lt;Input!$F$50,IF($A166&lt;Input!$E$50,IF($A166&lt;Input!$D$50,Input!$C$51,Input!$D$51),Input!$E$51),Input!$F$51),Input!$G$51),Input!$H$51)</f>
        <v>0.9</v>
      </c>
      <c r="O166" s="60">
        <f t="shared" si="112"/>
        <v>29814347.590312488</v>
      </c>
      <c r="P166" s="60">
        <f t="shared" si="113"/>
        <v>31</v>
      </c>
      <c r="Q166" s="60">
        <f t="shared" si="80"/>
        <v>0</v>
      </c>
      <c r="R166" s="60">
        <f>ROUND(Q166*$P166*Input!$C$3/365,0)</f>
        <v>0</v>
      </c>
      <c r="S166" s="60">
        <f>IF(A166&lt;=Input!$C$6,0,IF('144M'!O166&lt;'144M'!Q166,'144M'!O166-R166,'144M'!Q166))</f>
        <v>0</v>
      </c>
      <c r="T166" s="60">
        <f t="shared" si="81"/>
        <v>0</v>
      </c>
      <c r="U166" s="60">
        <f t="shared" si="82"/>
        <v>0</v>
      </c>
      <c r="V166" s="193"/>
      <c r="W166" s="169">
        <v>162</v>
      </c>
      <c r="X166" s="1">
        <f t="shared" si="104"/>
        <v>50451</v>
      </c>
      <c r="Y166" s="60">
        <f>IF($X166&lt;Input!$H$58,IF($X166&lt;Input!$G$58,IF($X166&lt;Input!$F$58,IF($X166&lt;Input!$E$58,IF($X166&lt;Input!$D$58,Input!$C$64,Input!$D$64),Input!$E$64),Input!$F$64),Input!$G$64),Input!$H$64)</f>
        <v>0</v>
      </c>
      <c r="Z166" s="190">
        <f>IF($A166&lt;Input!$H$65,IF($A166&lt;Input!$G$65,IF($A166&lt;Input!$F$65,IF($A166&lt;Input!$E$65,IF($A166&lt;Input!$D$65,Input!$C$66,Input!$D$66),Input!$E$66),Input!$F$66),Input!$G$66),Input!$H$66)</f>
        <v>0.9</v>
      </c>
      <c r="AA166" s="60">
        <f t="shared" si="83"/>
        <v>0</v>
      </c>
      <c r="AB166" s="60">
        <f t="shared" si="105"/>
        <v>31</v>
      </c>
      <c r="AC166" s="60">
        <f t="shared" si="84"/>
        <v>0</v>
      </c>
      <c r="AD166" s="60">
        <f>ROUND(AC166*AB166*Input!$C$3/365,0)</f>
        <v>0</v>
      </c>
      <c r="AE166" s="61">
        <f>IF($A166&lt;=Input!$C$6,0,IF('144M'!AA166&lt;'144M'!AC166,'144M'!AA166-AD166,'144M'!AC166))</f>
        <v>0</v>
      </c>
      <c r="AF166" s="61">
        <f t="shared" si="85"/>
        <v>0</v>
      </c>
      <c r="AG166" s="60">
        <f t="shared" si="86"/>
        <v>0</v>
      </c>
      <c r="AH166" s="193"/>
      <c r="AI166" s="169">
        <v>162</v>
      </c>
      <c r="AJ166" s="1">
        <f t="shared" si="106"/>
        <v>50451</v>
      </c>
      <c r="AK166" s="60">
        <f>IF($X166&lt;Input!$H$73,IF($X166&lt;Input!$G$73,IF($X166&lt;Input!$F$73,IF($X166&lt;Input!$E$73,IF($X166&lt;Input!$D$73,Input!$C$79,Input!$D$79),Input!$E$79),Input!$F$79),Input!$G$79),Input!$H$79)</f>
        <v>0</v>
      </c>
      <c r="AL166" s="190">
        <f>IF($A166&lt;Input!$H$80,IF($A166&lt;Input!$G$80,IF($A166&lt;Input!$F$80,IF($A166&lt;Input!$E$80,IF($A166&lt;Input!$D$80,Input!$C$81,Input!$D$81),Input!$E$81),Input!$F$81),Input!$G$81),Input!$H$81)</f>
        <v>0.9</v>
      </c>
      <c r="AM166" s="60">
        <f t="shared" si="87"/>
        <v>0</v>
      </c>
      <c r="AN166" s="60">
        <f t="shared" si="107"/>
        <v>31</v>
      </c>
      <c r="AO166" s="60">
        <f t="shared" si="88"/>
        <v>0</v>
      </c>
      <c r="AP166" s="60">
        <f>ROUND(AO166*AN166*Input!$C$3/365,0)</f>
        <v>0</v>
      </c>
      <c r="AQ166" s="61">
        <f>IF($A166&lt;=Input!$C$6,0,IF('144M'!AM166&lt;'144M'!AO166,'144M'!AM166-AP166,'144M'!AO166))</f>
        <v>0</v>
      </c>
      <c r="AR166" s="61">
        <f t="shared" si="89"/>
        <v>0</v>
      </c>
      <c r="AS166" s="60">
        <f t="shared" si="90"/>
        <v>0</v>
      </c>
      <c r="AT166" s="193"/>
      <c r="AU166" s="169">
        <v>162</v>
      </c>
      <c r="AV166" s="1">
        <f t="shared" si="108"/>
        <v>50451</v>
      </c>
      <c r="AW166" s="60">
        <f>IF($X166&lt;Input!$H$88,IF($X166&lt;Input!$G$88,IF($X166&lt;Input!$F$88,IF($X166&lt;Input!$E$88,IF($X166&lt;Input!$D$88,Input!$C$94,Input!$D$94),Input!$E$94),Input!$F$94),Input!$G$94),Input!$H$94)</f>
        <v>0</v>
      </c>
      <c r="AX166" s="190">
        <f>IF($A166&lt;Input!$H$95,IF($A166&lt;Input!$G$95,IF($A166&lt;Input!$F$95,IF($A166&lt;Input!$E$95,IF($A166&lt;Input!$D$95,Input!$C$96,Input!$D$96),Input!$E$96),Input!$F$96),Input!$G$96),Input!$H$96)</f>
        <v>0.9</v>
      </c>
      <c r="AY166" s="60">
        <f t="shared" si="91"/>
        <v>0</v>
      </c>
      <c r="AZ166" s="60">
        <f t="shared" si="109"/>
        <v>31</v>
      </c>
      <c r="BA166" s="60">
        <f t="shared" si="92"/>
        <v>0</v>
      </c>
      <c r="BB166" s="60">
        <f>ROUND(BA166*AZ166*Input!$C$3/365,0)</f>
        <v>0</v>
      </c>
      <c r="BC166" s="61">
        <f>IF($A166&lt;=Input!$C$6,0,IF('144M'!AY166&lt;'144M'!BA166,'144M'!AY166-BB166,'144M'!BA166))</f>
        <v>0</v>
      </c>
      <c r="BD166" s="61">
        <f t="shared" si="93"/>
        <v>0</v>
      </c>
      <c r="BE166" s="60">
        <f t="shared" si="94"/>
        <v>0</v>
      </c>
      <c r="BF166" s="193"/>
      <c r="BG166" s="169">
        <v>162</v>
      </c>
      <c r="BH166" s="1">
        <f t="shared" si="110"/>
        <v>50451</v>
      </c>
      <c r="BI166" s="60">
        <f>IF($X166&lt;Input!$H$103,IF($X166&lt;Input!$G$103,IF($X166&lt;Input!$F$103,IF($X166&lt;Input!$E$103,IF($X166&lt;Input!$D$103,Input!$C$109,Input!$D$109),Input!$E$109),Input!$F$109),Input!$G$109),Input!$H$109)</f>
        <v>0</v>
      </c>
      <c r="BJ166" s="190">
        <f>IF($A166&lt;Input!$H$110,IF($A166&lt;Input!$G$110,IF($A166&lt;Input!$F$110,IF($A166&lt;Input!$E$110,IF($A166&lt;Input!$D$110,Input!$C$111,Input!$D$111),Input!$E$111),Input!$F$111),Input!$G$111),Input!$H$111)</f>
        <v>0.9</v>
      </c>
      <c r="BK166" s="60">
        <f t="shared" si="95"/>
        <v>0</v>
      </c>
      <c r="BL166" s="60">
        <f t="shared" si="111"/>
        <v>31</v>
      </c>
      <c r="BM166" s="60">
        <f t="shared" si="96"/>
        <v>0</v>
      </c>
      <c r="BN166" s="60">
        <f>ROUND(BM166*BL166*Input!$C$3/365,0)</f>
        <v>0</v>
      </c>
      <c r="BO166" s="61">
        <f>IF($A166&lt;=Input!$C$6,0,IF('144M'!BK166&lt;'144M'!BM166,'144M'!BK166-BN166,'144M'!BM166))</f>
        <v>0</v>
      </c>
      <c r="BP166" s="61">
        <f t="shared" si="97"/>
        <v>0</v>
      </c>
      <c r="BQ166" s="60">
        <f t="shared" si="98"/>
        <v>0</v>
      </c>
      <c r="BR166" s="198"/>
    </row>
    <row r="167" spans="1:70" x14ac:dyDescent="0.25">
      <c r="A167" s="169">
        <v>163</v>
      </c>
      <c r="B167" s="1">
        <f t="shared" si="99"/>
        <v>50479</v>
      </c>
      <c r="C167" s="60">
        <f t="shared" si="77"/>
        <v>33127052.878124986</v>
      </c>
      <c r="D167" s="60">
        <f t="shared" si="78"/>
        <v>29814347.590312488</v>
      </c>
      <c r="E167" s="60">
        <f t="shared" si="100"/>
        <v>28</v>
      </c>
      <c r="F167" s="60">
        <f t="shared" si="101"/>
        <v>0</v>
      </c>
      <c r="G167" s="60">
        <f>ROUND(F167*E167*Input!$C$3/365,0)</f>
        <v>0</v>
      </c>
      <c r="H167" s="60">
        <f>IF($A167&lt;=Input!$C$6,0,IF('144M'!D167&lt;'144M'!F167,'144M'!D167-G167,'144M'!F167))</f>
        <v>0</v>
      </c>
      <c r="I167" s="60">
        <f t="shared" si="102"/>
        <v>0</v>
      </c>
      <c r="J167" s="60">
        <f t="shared" si="103"/>
        <v>0</v>
      </c>
      <c r="K167" s="202">
        <f>J167/Input!$K$5</f>
        <v>0</v>
      </c>
      <c r="L167" s="232"/>
      <c r="M167" s="60">
        <f>IF($B167&lt;Input!$H$43,IF($B167&lt;Input!$G$43,IF($B167&lt;Input!$F$43,IF($B167&lt;Input!$E$43,IF($B167&lt;Input!$D$43,Input!$C$49,Input!$D$49),Input!$E$49),Input!$F$49),Input!$G$49),Input!$H$49)</f>
        <v>33127052.878124986</v>
      </c>
      <c r="N167" s="190">
        <f>IF($A167&lt;Input!$H$50,IF($A167&lt;Input!$G$50,IF($A167&lt;Input!$F$50,IF($A167&lt;Input!$E$50,IF($A167&lt;Input!$D$50,Input!$C$51,Input!$D$51),Input!$E$51),Input!$F$51),Input!$G$51),Input!$H$51)</f>
        <v>0.9</v>
      </c>
      <c r="O167" s="60">
        <f t="shared" si="112"/>
        <v>29814347.590312488</v>
      </c>
      <c r="P167" s="60">
        <f t="shared" si="113"/>
        <v>28</v>
      </c>
      <c r="Q167" s="60">
        <f t="shared" si="80"/>
        <v>0</v>
      </c>
      <c r="R167" s="60">
        <f>ROUND(Q167*$P167*Input!$C$3/365,0)</f>
        <v>0</v>
      </c>
      <c r="S167" s="60">
        <f>IF(A167&lt;=Input!$C$6,0,IF('144M'!O167&lt;'144M'!Q167,'144M'!O167-R167,'144M'!Q167))</f>
        <v>0</v>
      </c>
      <c r="T167" s="60">
        <f t="shared" si="81"/>
        <v>0</v>
      </c>
      <c r="U167" s="60">
        <f t="shared" si="82"/>
        <v>0</v>
      </c>
      <c r="V167" s="193"/>
      <c r="W167" s="169">
        <v>163</v>
      </c>
      <c r="X167" s="1">
        <f t="shared" si="104"/>
        <v>50479</v>
      </c>
      <c r="Y167" s="60">
        <f>IF($X167&lt;Input!$H$58,IF($X167&lt;Input!$G$58,IF($X167&lt;Input!$F$58,IF($X167&lt;Input!$E$58,IF($X167&lt;Input!$D$58,Input!$C$64,Input!$D$64),Input!$E$64),Input!$F$64),Input!$G$64),Input!$H$64)</f>
        <v>0</v>
      </c>
      <c r="Z167" s="190">
        <f>IF($A167&lt;Input!$H$65,IF($A167&lt;Input!$G$65,IF($A167&lt;Input!$F$65,IF($A167&lt;Input!$E$65,IF($A167&lt;Input!$D$65,Input!$C$66,Input!$D$66),Input!$E$66),Input!$F$66),Input!$G$66),Input!$H$66)</f>
        <v>0.9</v>
      </c>
      <c r="AA167" s="60">
        <f t="shared" si="83"/>
        <v>0</v>
      </c>
      <c r="AB167" s="60">
        <f t="shared" si="105"/>
        <v>28</v>
      </c>
      <c r="AC167" s="60">
        <f t="shared" si="84"/>
        <v>0</v>
      </c>
      <c r="AD167" s="60">
        <f>ROUND(AC167*AB167*Input!$C$3/365,0)</f>
        <v>0</v>
      </c>
      <c r="AE167" s="61">
        <f>IF($A167&lt;=Input!$C$6,0,IF('144M'!AA167&lt;'144M'!AC167,'144M'!AA167-AD167,'144M'!AC167))</f>
        <v>0</v>
      </c>
      <c r="AF167" s="61">
        <f t="shared" si="85"/>
        <v>0</v>
      </c>
      <c r="AG167" s="60">
        <f t="shared" si="86"/>
        <v>0</v>
      </c>
      <c r="AH167" s="193"/>
      <c r="AI167" s="169">
        <v>163</v>
      </c>
      <c r="AJ167" s="1">
        <f t="shared" si="106"/>
        <v>50479</v>
      </c>
      <c r="AK167" s="60">
        <f>IF($X167&lt;Input!$H$73,IF($X167&lt;Input!$G$73,IF($X167&lt;Input!$F$73,IF($X167&lt;Input!$E$73,IF($X167&lt;Input!$D$73,Input!$C$79,Input!$D$79),Input!$E$79),Input!$F$79),Input!$G$79),Input!$H$79)</f>
        <v>0</v>
      </c>
      <c r="AL167" s="190">
        <f>IF($A167&lt;Input!$H$80,IF($A167&lt;Input!$G$80,IF($A167&lt;Input!$F$80,IF($A167&lt;Input!$E$80,IF($A167&lt;Input!$D$80,Input!$C$81,Input!$D$81),Input!$E$81),Input!$F$81),Input!$G$81),Input!$H$81)</f>
        <v>0.9</v>
      </c>
      <c r="AM167" s="60">
        <f t="shared" si="87"/>
        <v>0</v>
      </c>
      <c r="AN167" s="60">
        <f t="shared" si="107"/>
        <v>28</v>
      </c>
      <c r="AO167" s="60">
        <f t="shared" si="88"/>
        <v>0</v>
      </c>
      <c r="AP167" s="60">
        <f>ROUND(AO167*AN167*Input!$C$3/365,0)</f>
        <v>0</v>
      </c>
      <c r="AQ167" s="61">
        <f>IF($A167&lt;=Input!$C$6,0,IF('144M'!AM167&lt;'144M'!AO167,'144M'!AM167-AP167,'144M'!AO167))</f>
        <v>0</v>
      </c>
      <c r="AR167" s="61">
        <f t="shared" si="89"/>
        <v>0</v>
      </c>
      <c r="AS167" s="60">
        <f t="shared" si="90"/>
        <v>0</v>
      </c>
      <c r="AT167" s="193"/>
      <c r="AU167" s="169">
        <v>163</v>
      </c>
      <c r="AV167" s="1">
        <f t="shared" si="108"/>
        <v>50479</v>
      </c>
      <c r="AW167" s="60">
        <f>IF($X167&lt;Input!$H$88,IF($X167&lt;Input!$G$88,IF($X167&lt;Input!$F$88,IF($X167&lt;Input!$E$88,IF($X167&lt;Input!$D$88,Input!$C$94,Input!$D$94),Input!$E$94),Input!$F$94),Input!$G$94),Input!$H$94)</f>
        <v>0</v>
      </c>
      <c r="AX167" s="190">
        <f>IF($A167&lt;Input!$H$95,IF($A167&lt;Input!$G$95,IF($A167&lt;Input!$F$95,IF($A167&lt;Input!$E$95,IF($A167&lt;Input!$D$95,Input!$C$96,Input!$D$96),Input!$E$96),Input!$F$96),Input!$G$96),Input!$H$96)</f>
        <v>0.9</v>
      </c>
      <c r="AY167" s="60">
        <f t="shared" si="91"/>
        <v>0</v>
      </c>
      <c r="AZ167" s="60">
        <f t="shared" si="109"/>
        <v>28</v>
      </c>
      <c r="BA167" s="60">
        <f t="shared" si="92"/>
        <v>0</v>
      </c>
      <c r="BB167" s="60">
        <f>ROUND(BA167*AZ167*Input!$C$3/365,0)</f>
        <v>0</v>
      </c>
      <c r="BC167" s="61">
        <f>IF($A167&lt;=Input!$C$6,0,IF('144M'!AY167&lt;'144M'!BA167,'144M'!AY167-BB167,'144M'!BA167))</f>
        <v>0</v>
      </c>
      <c r="BD167" s="61">
        <f t="shared" si="93"/>
        <v>0</v>
      </c>
      <c r="BE167" s="60">
        <f t="shared" si="94"/>
        <v>0</v>
      </c>
      <c r="BF167" s="193"/>
      <c r="BG167" s="169">
        <v>163</v>
      </c>
      <c r="BH167" s="1">
        <f t="shared" si="110"/>
        <v>50479</v>
      </c>
      <c r="BI167" s="60">
        <f>IF($X167&lt;Input!$H$103,IF($X167&lt;Input!$G$103,IF($X167&lt;Input!$F$103,IF($X167&lt;Input!$E$103,IF($X167&lt;Input!$D$103,Input!$C$109,Input!$D$109),Input!$E$109),Input!$F$109),Input!$G$109),Input!$H$109)</f>
        <v>0</v>
      </c>
      <c r="BJ167" s="190">
        <f>IF($A167&lt;Input!$H$110,IF($A167&lt;Input!$G$110,IF($A167&lt;Input!$F$110,IF($A167&lt;Input!$E$110,IF($A167&lt;Input!$D$110,Input!$C$111,Input!$D$111),Input!$E$111),Input!$F$111),Input!$G$111),Input!$H$111)</f>
        <v>0.9</v>
      </c>
      <c r="BK167" s="60">
        <f t="shared" si="95"/>
        <v>0</v>
      </c>
      <c r="BL167" s="60">
        <f t="shared" si="111"/>
        <v>28</v>
      </c>
      <c r="BM167" s="60">
        <f t="shared" si="96"/>
        <v>0</v>
      </c>
      <c r="BN167" s="60">
        <f>ROUND(BM167*BL167*Input!$C$3/365,0)</f>
        <v>0</v>
      </c>
      <c r="BO167" s="61">
        <f>IF($A167&lt;=Input!$C$6,0,IF('144M'!BK167&lt;'144M'!BM167,'144M'!BK167-BN167,'144M'!BM167))</f>
        <v>0</v>
      </c>
      <c r="BP167" s="61">
        <f t="shared" si="97"/>
        <v>0</v>
      </c>
      <c r="BQ167" s="60">
        <f t="shared" si="98"/>
        <v>0</v>
      </c>
      <c r="BR167" s="198"/>
    </row>
    <row r="168" spans="1:70" x14ac:dyDescent="0.25">
      <c r="A168" s="169">
        <v>164</v>
      </c>
      <c r="B168" s="1">
        <f t="shared" si="99"/>
        <v>50510</v>
      </c>
      <c r="C168" s="60">
        <f t="shared" si="77"/>
        <v>33127052.878124986</v>
      </c>
      <c r="D168" s="60">
        <f t="shared" si="78"/>
        <v>29814347.590312488</v>
      </c>
      <c r="E168" s="60">
        <f t="shared" si="100"/>
        <v>31</v>
      </c>
      <c r="F168" s="60">
        <f t="shared" si="101"/>
        <v>0</v>
      </c>
      <c r="G168" s="60">
        <f>ROUND(F168*E168*Input!$C$3/365,0)</f>
        <v>0</v>
      </c>
      <c r="H168" s="60">
        <f>IF($A168&lt;=Input!$C$6,0,IF('144M'!D168&lt;'144M'!F168,'144M'!D168-G168,'144M'!F168))</f>
        <v>0</v>
      </c>
      <c r="I168" s="60">
        <f t="shared" si="102"/>
        <v>0</v>
      </c>
      <c r="J168" s="60">
        <f t="shared" si="103"/>
        <v>0</v>
      </c>
      <c r="K168" s="202">
        <f>J168/Input!$K$5</f>
        <v>0</v>
      </c>
      <c r="L168" s="232"/>
      <c r="M168" s="60">
        <f>IF($B168&lt;Input!$H$43,IF($B168&lt;Input!$G$43,IF($B168&lt;Input!$F$43,IF($B168&lt;Input!$E$43,IF($B168&lt;Input!$D$43,Input!$C$49,Input!$D$49),Input!$E$49),Input!$F$49),Input!$G$49),Input!$H$49)</f>
        <v>33127052.878124986</v>
      </c>
      <c r="N168" s="190">
        <f>IF($A168&lt;Input!$H$50,IF($A168&lt;Input!$G$50,IF($A168&lt;Input!$F$50,IF($A168&lt;Input!$E$50,IF($A168&lt;Input!$D$50,Input!$C$51,Input!$D$51),Input!$E$51),Input!$F$51),Input!$G$51),Input!$H$51)</f>
        <v>0.9</v>
      </c>
      <c r="O168" s="60">
        <f t="shared" si="112"/>
        <v>29814347.590312488</v>
      </c>
      <c r="P168" s="60">
        <f t="shared" si="113"/>
        <v>31</v>
      </c>
      <c r="Q168" s="60">
        <f t="shared" si="80"/>
        <v>0</v>
      </c>
      <c r="R168" s="60">
        <f>ROUND(Q168*$P168*Input!$C$3/365,0)</f>
        <v>0</v>
      </c>
      <c r="S168" s="60">
        <f>IF(A168&lt;=Input!$C$6,0,IF('144M'!O168&lt;'144M'!Q168,'144M'!O168-R168,'144M'!Q168))</f>
        <v>0</v>
      </c>
      <c r="T168" s="60">
        <f t="shared" si="81"/>
        <v>0</v>
      </c>
      <c r="U168" s="60">
        <f t="shared" si="82"/>
        <v>0</v>
      </c>
      <c r="V168" s="193"/>
      <c r="W168" s="169">
        <v>164</v>
      </c>
      <c r="X168" s="1">
        <f t="shared" si="104"/>
        <v>50510</v>
      </c>
      <c r="Y168" s="60">
        <f>IF($X168&lt;Input!$H$58,IF($X168&lt;Input!$G$58,IF($X168&lt;Input!$F$58,IF($X168&lt;Input!$E$58,IF($X168&lt;Input!$D$58,Input!$C$64,Input!$D$64),Input!$E$64),Input!$F$64),Input!$G$64),Input!$H$64)</f>
        <v>0</v>
      </c>
      <c r="Z168" s="190">
        <f>IF($A168&lt;Input!$H$65,IF($A168&lt;Input!$G$65,IF($A168&lt;Input!$F$65,IF($A168&lt;Input!$E$65,IF($A168&lt;Input!$D$65,Input!$C$66,Input!$D$66),Input!$E$66),Input!$F$66),Input!$G$66),Input!$H$66)</f>
        <v>0.9</v>
      </c>
      <c r="AA168" s="60">
        <f t="shared" si="83"/>
        <v>0</v>
      </c>
      <c r="AB168" s="60">
        <f t="shared" si="105"/>
        <v>31</v>
      </c>
      <c r="AC168" s="60">
        <f t="shared" si="84"/>
        <v>0</v>
      </c>
      <c r="AD168" s="60">
        <f>ROUND(AC168*AB168*Input!$C$3/365,0)</f>
        <v>0</v>
      </c>
      <c r="AE168" s="61">
        <f>IF($A168&lt;=Input!$C$6,0,IF('144M'!AA168&lt;'144M'!AC168,'144M'!AA168-AD168,'144M'!AC168))</f>
        <v>0</v>
      </c>
      <c r="AF168" s="61">
        <f t="shared" si="85"/>
        <v>0</v>
      </c>
      <c r="AG168" s="60">
        <f t="shared" si="86"/>
        <v>0</v>
      </c>
      <c r="AH168" s="193"/>
      <c r="AI168" s="169">
        <v>164</v>
      </c>
      <c r="AJ168" s="1">
        <f t="shared" si="106"/>
        <v>50510</v>
      </c>
      <c r="AK168" s="60">
        <f>IF($X168&lt;Input!$H$73,IF($X168&lt;Input!$G$73,IF($X168&lt;Input!$F$73,IF($X168&lt;Input!$E$73,IF($X168&lt;Input!$D$73,Input!$C$79,Input!$D$79),Input!$E$79),Input!$F$79),Input!$G$79),Input!$H$79)</f>
        <v>0</v>
      </c>
      <c r="AL168" s="190">
        <f>IF($A168&lt;Input!$H$80,IF($A168&lt;Input!$G$80,IF($A168&lt;Input!$F$80,IF($A168&lt;Input!$E$80,IF($A168&lt;Input!$D$80,Input!$C$81,Input!$D$81),Input!$E$81),Input!$F$81),Input!$G$81),Input!$H$81)</f>
        <v>0.9</v>
      </c>
      <c r="AM168" s="60">
        <f t="shared" si="87"/>
        <v>0</v>
      </c>
      <c r="AN168" s="60">
        <f t="shared" si="107"/>
        <v>31</v>
      </c>
      <c r="AO168" s="60">
        <f t="shared" si="88"/>
        <v>0</v>
      </c>
      <c r="AP168" s="60">
        <f>ROUND(AO168*AN168*Input!$C$3/365,0)</f>
        <v>0</v>
      </c>
      <c r="AQ168" s="61">
        <f>IF($A168&lt;=Input!$C$6,0,IF('144M'!AM168&lt;'144M'!AO168,'144M'!AM168-AP168,'144M'!AO168))</f>
        <v>0</v>
      </c>
      <c r="AR168" s="61">
        <f t="shared" si="89"/>
        <v>0</v>
      </c>
      <c r="AS168" s="60">
        <f t="shared" si="90"/>
        <v>0</v>
      </c>
      <c r="AT168" s="193"/>
      <c r="AU168" s="169">
        <v>164</v>
      </c>
      <c r="AV168" s="1">
        <f t="shared" si="108"/>
        <v>50510</v>
      </c>
      <c r="AW168" s="60">
        <f>IF($X168&lt;Input!$H$88,IF($X168&lt;Input!$G$88,IF($X168&lt;Input!$F$88,IF($X168&lt;Input!$E$88,IF($X168&lt;Input!$D$88,Input!$C$94,Input!$D$94),Input!$E$94),Input!$F$94),Input!$G$94),Input!$H$94)</f>
        <v>0</v>
      </c>
      <c r="AX168" s="190">
        <f>IF($A168&lt;Input!$H$95,IF($A168&lt;Input!$G$95,IF($A168&lt;Input!$F$95,IF($A168&lt;Input!$E$95,IF($A168&lt;Input!$D$95,Input!$C$96,Input!$D$96),Input!$E$96),Input!$F$96),Input!$G$96),Input!$H$96)</f>
        <v>0.9</v>
      </c>
      <c r="AY168" s="60">
        <f t="shared" si="91"/>
        <v>0</v>
      </c>
      <c r="AZ168" s="60">
        <f t="shared" si="109"/>
        <v>31</v>
      </c>
      <c r="BA168" s="60">
        <f t="shared" si="92"/>
        <v>0</v>
      </c>
      <c r="BB168" s="60">
        <f>ROUND(BA168*AZ168*Input!$C$3/365,0)</f>
        <v>0</v>
      </c>
      <c r="BC168" s="61">
        <f>IF($A168&lt;=Input!$C$6,0,IF('144M'!AY168&lt;'144M'!BA168,'144M'!AY168-BB168,'144M'!BA168))</f>
        <v>0</v>
      </c>
      <c r="BD168" s="61">
        <f t="shared" si="93"/>
        <v>0</v>
      </c>
      <c r="BE168" s="60">
        <f t="shared" si="94"/>
        <v>0</v>
      </c>
      <c r="BF168" s="193"/>
      <c r="BG168" s="169">
        <v>164</v>
      </c>
      <c r="BH168" s="1">
        <f t="shared" si="110"/>
        <v>50510</v>
      </c>
      <c r="BI168" s="60">
        <f>IF($X168&lt;Input!$H$103,IF($X168&lt;Input!$G$103,IF($X168&lt;Input!$F$103,IF($X168&lt;Input!$E$103,IF($X168&lt;Input!$D$103,Input!$C$109,Input!$D$109),Input!$E$109),Input!$F$109),Input!$G$109),Input!$H$109)</f>
        <v>0</v>
      </c>
      <c r="BJ168" s="190">
        <f>IF($A168&lt;Input!$H$110,IF($A168&lt;Input!$G$110,IF($A168&lt;Input!$F$110,IF($A168&lt;Input!$E$110,IF($A168&lt;Input!$D$110,Input!$C$111,Input!$D$111),Input!$E$111),Input!$F$111),Input!$G$111),Input!$H$111)</f>
        <v>0.9</v>
      </c>
      <c r="BK168" s="60">
        <f t="shared" si="95"/>
        <v>0</v>
      </c>
      <c r="BL168" s="60">
        <f t="shared" si="111"/>
        <v>31</v>
      </c>
      <c r="BM168" s="60">
        <f t="shared" si="96"/>
        <v>0</v>
      </c>
      <c r="BN168" s="60">
        <f>ROUND(BM168*BL168*Input!$C$3/365,0)</f>
        <v>0</v>
      </c>
      <c r="BO168" s="61">
        <f>IF($A168&lt;=Input!$C$6,0,IF('144M'!BK168&lt;'144M'!BM168,'144M'!BK168-BN168,'144M'!BM168))</f>
        <v>0</v>
      </c>
      <c r="BP168" s="61">
        <f t="shared" si="97"/>
        <v>0</v>
      </c>
      <c r="BQ168" s="60">
        <f t="shared" si="98"/>
        <v>0</v>
      </c>
      <c r="BR168" s="198"/>
    </row>
    <row r="169" spans="1:70" x14ac:dyDescent="0.25">
      <c r="A169" s="169">
        <v>165</v>
      </c>
      <c r="B169" s="1">
        <f t="shared" si="99"/>
        <v>50540</v>
      </c>
      <c r="C169" s="60">
        <f t="shared" si="77"/>
        <v>33127052.878124986</v>
      </c>
      <c r="D169" s="60">
        <f t="shared" si="78"/>
        <v>29814347.590312488</v>
      </c>
      <c r="E169" s="60">
        <f t="shared" si="100"/>
        <v>30</v>
      </c>
      <c r="F169" s="60">
        <f t="shared" si="101"/>
        <v>0</v>
      </c>
      <c r="G169" s="60">
        <f>ROUND(F169*E169*Input!$C$3/365,0)</f>
        <v>0</v>
      </c>
      <c r="H169" s="60">
        <f>IF($A169&lt;=Input!$C$6,0,IF('144M'!D169&lt;'144M'!F169,'144M'!D169-G169,'144M'!F169))</f>
        <v>0</v>
      </c>
      <c r="I169" s="60">
        <f t="shared" si="102"/>
        <v>0</v>
      </c>
      <c r="J169" s="60">
        <f t="shared" si="103"/>
        <v>0</v>
      </c>
      <c r="K169" s="202">
        <f>J169/Input!$K$5</f>
        <v>0</v>
      </c>
      <c r="L169" s="232"/>
      <c r="M169" s="60">
        <f>IF($B169&lt;Input!$H$43,IF($B169&lt;Input!$G$43,IF($B169&lt;Input!$F$43,IF($B169&lt;Input!$E$43,IF($B169&lt;Input!$D$43,Input!$C$49,Input!$D$49),Input!$E$49),Input!$F$49),Input!$G$49),Input!$H$49)</f>
        <v>33127052.878124986</v>
      </c>
      <c r="N169" s="190">
        <f>IF($A169&lt;Input!$H$50,IF($A169&lt;Input!$G$50,IF($A169&lt;Input!$F$50,IF($A169&lt;Input!$E$50,IF($A169&lt;Input!$D$50,Input!$C$51,Input!$D$51),Input!$E$51),Input!$F$51),Input!$G$51),Input!$H$51)</f>
        <v>0.9</v>
      </c>
      <c r="O169" s="60">
        <f t="shared" si="112"/>
        <v>29814347.590312488</v>
      </c>
      <c r="P169" s="60">
        <f t="shared" si="113"/>
        <v>30</v>
      </c>
      <c r="Q169" s="60">
        <f t="shared" si="80"/>
        <v>0</v>
      </c>
      <c r="R169" s="60">
        <f>ROUND(Q169*$P169*Input!$C$3/365,0)</f>
        <v>0</v>
      </c>
      <c r="S169" s="60">
        <f>IF(A169&lt;=Input!$C$6,0,IF('144M'!O169&lt;'144M'!Q169,'144M'!O169-R169,'144M'!Q169))</f>
        <v>0</v>
      </c>
      <c r="T169" s="60">
        <f t="shared" si="81"/>
        <v>0</v>
      </c>
      <c r="U169" s="60">
        <f t="shared" si="82"/>
        <v>0</v>
      </c>
      <c r="V169" s="193"/>
      <c r="W169" s="169">
        <v>165</v>
      </c>
      <c r="X169" s="1">
        <f t="shared" si="104"/>
        <v>50540</v>
      </c>
      <c r="Y169" s="60">
        <f>IF($X169&lt;Input!$H$58,IF($X169&lt;Input!$G$58,IF($X169&lt;Input!$F$58,IF($X169&lt;Input!$E$58,IF($X169&lt;Input!$D$58,Input!$C$64,Input!$D$64),Input!$E$64),Input!$F$64),Input!$G$64),Input!$H$64)</f>
        <v>0</v>
      </c>
      <c r="Z169" s="190">
        <f>IF($A169&lt;Input!$H$65,IF($A169&lt;Input!$G$65,IF($A169&lt;Input!$F$65,IF($A169&lt;Input!$E$65,IF($A169&lt;Input!$D$65,Input!$C$66,Input!$D$66),Input!$E$66),Input!$F$66),Input!$G$66),Input!$H$66)</f>
        <v>0.9</v>
      </c>
      <c r="AA169" s="60">
        <f t="shared" si="83"/>
        <v>0</v>
      </c>
      <c r="AB169" s="60">
        <f t="shared" si="105"/>
        <v>30</v>
      </c>
      <c r="AC169" s="60">
        <f t="shared" si="84"/>
        <v>0</v>
      </c>
      <c r="AD169" s="60">
        <f>ROUND(AC169*AB169*Input!$C$3/365,0)</f>
        <v>0</v>
      </c>
      <c r="AE169" s="61">
        <f>IF($A169&lt;=Input!$C$6,0,IF('144M'!AA169&lt;'144M'!AC169,'144M'!AA169-AD169,'144M'!AC169))</f>
        <v>0</v>
      </c>
      <c r="AF169" s="61">
        <f t="shared" si="85"/>
        <v>0</v>
      </c>
      <c r="AG169" s="60">
        <f t="shared" si="86"/>
        <v>0</v>
      </c>
      <c r="AH169" s="193"/>
      <c r="AI169" s="169">
        <v>165</v>
      </c>
      <c r="AJ169" s="1">
        <f t="shared" si="106"/>
        <v>50540</v>
      </c>
      <c r="AK169" s="60">
        <f>IF($X169&lt;Input!$H$73,IF($X169&lt;Input!$G$73,IF($X169&lt;Input!$F$73,IF($X169&lt;Input!$E$73,IF($X169&lt;Input!$D$73,Input!$C$79,Input!$D$79),Input!$E$79),Input!$F$79),Input!$G$79),Input!$H$79)</f>
        <v>0</v>
      </c>
      <c r="AL169" s="190">
        <f>IF($A169&lt;Input!$H$80,IF($A169&lt;Input!$G$80,IF($A169&lt;Input!$F$80,IF($A169&lt;Input!$E$80,IF($A169&lt;Input!$D$80,Input!$C$81,Input!$D$81),Input!$E$81),Input!$F$81),Input!$G$81),Input!$H$81)</f>
        <v>0.9</v>
      </c>
      <c r="AM169" s="60">
        <f t="shared" si="87"/>
        <v>0</v>
      </c>
      <c r="AN169" s="60">
        <f t="shared" si="107"/>
        <v>30</v>
      </c>
      <c r="AO169" s="60">
        <f t="shared" si="88"/>
        <v>0</v>
      </c>
      <c r="AP169" s="60">
        <f>ROUND(AO169*AN169*Input!$C$3/365,0)</f>
        <v>0</v>
      </c>
      <c r="AQ169" s="61">
        <f>IF($A169&lt;=Input!$C$6,0,IF('144M'!AM169&lt;'144M'!AO169,'144M'!AM169-AP169,'144M'!AO169))</f>
        <v>0</v>
      </c>
      <c r="AR169" s="61">
        <f t="shared" si="89"/>
        <v>0</v>
      </c>
      <c r="AS169" s="60">
        <f t="shared" si="90"/>
        <v>0</v>
      </c>
      <c r="AT169" s="193"/>
      <c r="AU169" s="169">
        <v>165</v>
      </c>
      <c r="AV169" s="1">
        <f t="shared" si="108"/>
        <v>50540</v>
      </c>
      <c r="AW169" s="60">
        <f>IF($X169&lt;Input!$H$88,IF($X169&lt;Input!$G$88,IF($X169&lt;Input!$F$88,IF($X169&lt;Input!$E$88,IF($X169&lt;Input!$D$88,Input!$C$94,Input!$D$94),Input!$E$94),Input!$F$94),Input!$G$94),Input!$H$94)</f>
        <v>0</v>
      </c>
      <c r="AX169" s="190">
        <f>IF($A169&lt;Input!$H$95,IF($A169&lt;Input!$G$95,IF($A169&lt;Input!$F$95,IF($A169&lt;Input!$E$95,IF($A169&lt;Input!$D$95,Input!$C$96,Input!$D$96),Input!$E$96),Input!$F$96),Input!$G$96),Input!$H$96)</f>
        <v>0.9</v>
      </c>
      <c r="AY169" s="60">
        <f t="shared" si="91"/>
        <v>0</v>
      </c>
      <c r="AZ169" s="60">
        <f t="shared" si="109"/>
        <v>30</v>
      </c>
      <c r="BA169" s="60">
        <f t="shared" si="92"/>
        <v>0</v>
      </c>
      <c r="BB169" s="60">
        <f>ROUND(BA169*AZ169*Input!$C$3/365,0)</f>
        <v>0</v>
      </c>
      <c r="BC169" s="61">
        <f>IF($A169&lt;=Input!$C$6,0,IF('144M'!AY169&lt;'144M'!BA169,'144M'!AY169-BB169,'144M'!BA169))</f>
        <v>0</v>
      </c>
      <c r="BD169" s="61">
        <f t="shared" si="93"/>
        <v>0</v>
      </c>
      <c r="BE169" s="60">
        <f t="shared" si="94"/>
        <v>0</v>
      </c>
      <c r="BF169" s="193"/>
      <c r="BG169" s="169">
        <v>165</v>
      </c>
      <c r="BH169" s="1">
        <f t="shared" si="110"/>
        <v>50540</v>
      </c>
      <c r="BI169" s="60">
        <f>IF($X169&lt;Input!$H$103,IF($X169&lt;Input!$G$103,IF($X169&lt;Input!$F$103,IF($X169&lt;Input!$E$103,IF($X169&lt;Input!$D$103,Input!$C$109,Input!$D$109),Input!$E$109),Input!$F$109),Input!$G$109),Input!$H$109)</f>
        <v>0</v>
      </c>
      <c r="BJ169" s="190">
        <f>IF($A169&lt;Input!$H$110,IF($A169&lt;Input!$G$110,IF($A169&lt;Input!$F$110,IF($A169&lt;Input!$E$110,IF($A169&lt;Input!$D$110,Input!$C$111,Input!$D$111),Input!$E$111),Input!$F$111),Input!$G$111),Input!$H$111)</f>
        <v>0.9</v>
      </c>
      <c r="BK169" s="60">
        <f t="shared" si="95"/>
        <v>0</v>
      </c>
      <c r="BL169" s="60">
        <f t="shared" si="111"/>
        <v>30</v>
      </c>
      <c r="BM169" s="60">
        <f t="shared" si="96"/>
        <v>0</v>
      </c>
      <c r="BN169" s="60">
        <f>ROUND(BM169*BL169*Input!$C$3/365,0)</f>
        <v>0</v>
      </c>
      <c r="BO169" s="61">
        <f>IF($A169&lt;=Input!$C$6,0,IF('144M'!BK169&lt;'144M'!BM169,'144M'!BK169-BN169,'144M'!BM169))</f>
        <v>0</v>
      </c>
      <c r="BP169" s="61">
        <f t="shared" si="97"/>
        <v>0</v>
      </c>
      <c r="BQ169" s="60">
        <f t="shared" si="98"/>
        <v>0</v>
      </c>
      <c r="BR169" s="198"/>
    </row>
    <row r="170" spans="1:70" x14ac:dyDescent="0.25">
      <c r="A170" s="169">
        <v>166</v>
      </c>
      <c r="B170" s="1">
        <f t="shared" si="99"/>
        <v>50571</v>
      </c>
      <c r="C170" s="60">
        <f t="shared" si="77"/>
        <v>33127052.878124986</v>
      </c>
      <c r="D170" s="60">
        <f t="shared" si="78"/>
        <v>29814347.590312488</v>
      </c>
      <c r="E170" s="60">
        <f t="shared" si="100"/>
        <v>31</v>
      </c>
      <c r="F170" s="60">
        <f t="shared" si="101"/>
        <v>0</v>
      </c>
      <c r="G170" s="60">
        <f>ROUND(F170*E170*Input!$C$3/365,0)</f>
        <v>0</v>
      </c>
      <c r="H170" s="60">
        <f>IF($A170&lt;=Input!$C$6,0,IF('144M'!D170&lt;'144M'!F170,'144M'!D170-G170,'144M'!F170))</f>
        <v>0</v>
      </c>
      <c r="I170" s="60">
        <f t="shared" si="102"/>
        <v>0</v>
      </c>
      <c r="J170" s="60">
        <f t="shared" si="103"/>
        <v>0</v>
      </c>
      <c r="K170" s="202">
        <f>J170/Input!$K$5</f>
        <v>0</v>
      </c>
      <c r="L170" s="232"/>
      <c r="M170" s="60">
        <f>IF($B170&lt;Input!$H$43,IF($B170&lt;Input!$G$43,IF($B170&lt;Input!$F$43,IF($B170&lt;Input!$E$43,IF($B170&lt;Input!$D$43,Input!$C$49,Input!$D$49),Input!$E$49),Input!$F$49),Input!$G$49),Input!$H$49)</f>
        <v>33127052.878124986</v>
      </c>
      <c r="N170" s="190">
        <f>IF($A170&lt;Input!$H$50,IF($A170&lt;Input!$G$50,IF($A170&lt;Input!$F$50,IF($A170&lt;Input!$E$50,IF($A170&lt;Input!$D$50,Input!$C$51,Input!$D$51),Input!$E$51),Input!$F$51),Input!$G$51),Input!$H$51)</f>
        <v>0.9</v>
      </c>
      <c r="O170" s="60">
        <f t="shared" si="112"/>
        <v>29814347.590312488</v>
      </c>
      <c r="P170" s="60">
        <f t="shared" si="113"/>
        <v>31</v>
      </c>
      <c r="Q170" s="60">
        <f t="shared" si="80"/>
        <v>0</v>
      </c>
      <c r="R170" s="60">
        <f>ROUND(Q170*$P170*Input!$C$3/365,0)</f>
        <v>0</v>
      </c>
      <c r="S170" s="60">
        <f>IF(A170&lt;=Input!$C$6,0,IF('144M'!O170&lt;'144M'!Q170,'144M'!O170-R170,'144M'!Q170))</f>
        <v>0</v>
      </c>
      <c r="T170" s="60">
        <f t="shared" si="81"/>
        <v>0</v>
      </c>
      <c r="U170" s="60">
        <f t="shared" si="82"/>
        <v>0</v>
      </c>
      <c r="V170" s="193"/>
      <c r="W170" s="169">
        <v>166</v>
      </c>
      <c r="X170" s="1">
        <f t="shared" si="104"/>
        <v>50571</v>
      </c>
      <c r="Y170" s="60">
        <f>IF($X170&lt;Input!$H$58,IF($X170&lt;Input!$G$58,IF($X170&lt;Input!$F$58,IF($X170&lt;Input!$E$58,IF($X170&lt;Input!$D$58,Input!$C$64,Input!$D$64),Input!$E$64),Input!$F$64),Input!$G$64),Input!$H$64)</f>
        <v>0</v>
      </c>
      <c r="Z170" s="190">
        <f>IF($A170&lt;Input!$H$65,IF($A170&lt;Input!$G$65,IF($A170&lt;Input!$F$65,IF($A170&lt;Input!$E$65,IF($A170&lt;Input!$D$65,Input!$C$66,Input!$D$66),Input!$E$66),Input!$F$66),Input!$G$66),Input!$H$66)</f>
        <v>0.9</v>
      </c>
      <c r="AA170" s="60">
        <f t="shared" si="83"/>
        <v>0</v>
      </c>
      <c r="AB170" s="60">
        <f t="shared" si="105"/>
        <v>31</v>
      </c>
      <c r="AC170" s="60">
        <f t="shared" si="84"/>
        <v>0</v>
      </c>
      <c r="AD170" s="60">
        <f>ROUND(AC170*AB170*Input!$C$3/365,0)</f>
        <v>0</v>
      </c>
      <c r="AE170" s="61">
        <f>IF($A170&lt;=Input!$C$6,0,IF('144M'!AA170&lt;'144M'!AC170,'144M'!AA170-AD170,'144M'!AC170))</f>
        <v>0</v>
      </c>
      <c r="AF170" s="61">
        <f t="shared" si="85"/>
        <v>0</v>
      </c>
      <c r="AG170" s="60">
        <f t="shared" si="86"/>
        <v>0</v>
      </c>
      <c r="AH170" s="193"/>
      <c r="AI170" s="169">
        <v>166</v>
      </c>
      <c r="AJ170" s="1">
        <f t="shared" si="106"/>
        <v>50571</v>
      </c>
      <c r="AK170" s="60">
        <f>IF($X170&lt;Input!$H$73,IF($X170&lt;Input!$G$73,IF($X170&lt;Input!$F$73,IF($X170&lt;Input!$E$73,IF($X170&lt;Input!$D$73,Input!$C$79,Input!$D$79),Input!$E$79),Input!$F$79),Input!$G$79),Input!$H$79)</f>
        <v>0</v>
      </c>
      <c r="AL170" s="190">
        <f>IF($A170&lt;Input!$H$80,IF($A170&lt;Input!$G$80,IF($A170&lt;Input!$F$80,IF($A170&lt;Input!$E$80,IF($A170&lt;Input!$D$80,Input!$C$81,Input!$D$81),Input!$E$81),Input!$F$81),Input!$G$81),Input!$H$81)</f>
        <v>0.9</v>
      </c>
      <c r="AM170" s="60">
        <f t="shared" si="87"/>
        <v>0</v>
      </c>
      <c r="AN170" s="60">
        <f t="shared" si="107"/>
        <v>31</v>
      </c>
      <c r="AO170" s="60">
        <f t="shared" si="88"/>
        <v>0</v>
      </c>
      <c r="AP170" s="60">
        <f>ROUND(AO170*AN170*Input!$C$3/365,0)</f>
        <v>0</v>
      </c>
      <c r="AQ170" s="61">
        <f>IF($A170&lt;=Input!$C$6,0,IF('144M'!AM170&lt;'144M'!AO170,'144M'!AM170-AP170,'144M'!AO170))</f>
        <v>0</v>
      </c>
      <c r="AR170" s="61">
        <f t="shared" si="89"/>
        <v>0</v>
      </c>
      <c r="AS170" s="60">
        <f t="shared" si="90"/>
        <v>0</v>
      </c>
      <c r="AT170" s="193"/>
      <c r="AU170" s="169">
        <v>166</v>
      </c>
      <c r="AV170" s="1">
        <f t="shared" si="108"/>
        <v>50571</v>
      </c>
      <c r="AW170" s="60">
        <f>IF($X170&lt;Input!$H$88,IF($X170&lt;Input!$G$88,IF($X170&lt;Input!$F$88,IF($X170&lt;Input!$E$88,IF($X170&lt;Input!$D$88,Input!$C$94,Input!$D$94),Input!$E$94),Input!$F$94),Input!$G$94),Input!$H$94)</f>
        <v>0</v>
      </c>
      <c r="AX170" s="190">
        <f>IF($A170&lt;Input!$H$95,IF($A170&lt;Input!$G$95,IF($A170&lt;Input!$F$95,IF($A170&lt;Input!$E$95,IF($A170&lt;Input!$D$95,Input!$C$96,Input!$D$96),Input!$E$96),Input!$F$96),Input!$G$96),Input!$H$96)</f>
        <v>0.9</v>
      </c>
      <c r="AY170" s="60">
        <f t="shared" si="91"/>
        <v>0</v>
      </c>
      <c r="AZ170" s="60">
        <f t="shared" si="109"/>
        <v>31</v>
      </c>
      <c r="BA170" s="60">
        <f t="shared" si="92"/>
        <v>0</v>
      </c>
      <c r="BB170" s="60">
        <f>ROUND(BA170*AZ170*Input!$C$3/365,0)</f>
        <v>0</v>
      </c>
      <c r="BC170" s="61">
        <f>IF($A170&lt;=Input!$C$6,0,IF('144M'!AY170&lt;'144M'!BA170,'144M'!AY170-BB170,'144M'!BA170))</f>
        <v>0</v>
      </c>
      <c r="BD170" s="61">
        <f t="shared" si="93"/>
        <v>0</v>
      </c>
      <c r="BE170" s="60">
        <f t="shared" si="94"/>
        <v>0</v>
      </c>
      <c r="BF170" s="193"/>
      <c r="BG170" s="169">
        <v>166</v>
      </c>
      <c r="BH170" s="1">
        <f t="shared" si="110"/>
        <v>50571</v>
      </c>
      <c r="BI170" s="60">
        <f>IF($X170&lt;Input!$H$103,IF($X170&lt;Input!$G$103,IF($X170&lt;Input!$F$103,IF($X170&lt;Input!$E$103,IF($X170&lt;Input!$D$103,Input!$C$109,Input!$D$109),Input!$E$109),Input!$F$109),Input!$G$109),Input!$H$109)</f>
        <v>0</v>
      </c>
      <c r="BJ170" s="190">
        <f>IF($A170&lt;Input!$H$110,IF($A170&lt;Input!$G$110,IF($A170&lt;Input!$F$110,IF($A170&lt;Input!$E$110,IF($A170&lt;Input!$D$110,Input!$C$111,Input!$D$111),Input!$E$111),Input!$F$111),Input!$G$111),Input!$H$111)</f>
        <v>0.9</v>
      </c>
      <c r="BK170" s="60">
        <f t="shared" si="95"/>
        <v>0</v>
      </c>
      <c r="BL170" s="60">
        <f t="shared" si="111"/>
        <v>31</v>
      </c>
      <c r="BM170" s="60">
        <f t="shared" si="96"/>
        <v>0</v>
      </c>
      <c r="BN170" s="60">
        <f>ROUND(BM170*BL170*Input!$C$3/365,0)</f>
        <v>0</v>
      </c>
      <c r="BO170" s="61">
        <f>IF($A170&lt;=Input!$C$6,0,IF('144M'!BK170&lt;'144M'!BM170,'144M'!BK170-BN170,'144M'!BM170))</f>
        <v>0</v>
      </c>
      <c r="BP170" s="61">
        <f t="shared" si="97"/>
        <v>0</v>
      </c>
      <c r="BQ170" s="60">
        <f t="shared" si="98"/>
        <v>0</v>
      </c>
      <c r="BR170" s="198"/>
    </row>
    <row r="171" spans="1:70" x14ac:dyDescent="0.25">
      <c r="A171" s="169">
        <v>167</v>
      </c>
      <c r="B171" s="1">
        <f t="shared" si="99"/>
        <v>50601</v>
      </c>
      <c r="C171" s="60">
        <f t="shared" si="77"/>
        <v>33127052.878124986</v>
      </c>
      <c r="D171" s="60">
        <f t="shared" si="78"/>
        <v>29814347.590312488</v>
      </c>
      <c r="E171" s="60">
        <f t="shared" si="100"/>
        <v>30</v>
      </c>
      <c r="F171" s="60">
        <f t="shared" si="101"/>
        <v>0</v>
      </c>
      <c r="G171" s="60">
        <f>ROUND(F171*E171*Input!$C$3/365,0)</f>
        <v>0</v>
      </c>
      <c r="H171" s="60">
        <f>IF($A171&lt;=Input!$C$6,0,IF('144M'!D171&lt;'144M'!F171,'144M'!D171-G171,'144M'!F171))</f>
        <v>0</v>
      </c>
      <c r="I171" s="60">
        <f t="shared" si="102"/>
        <v>0</v>
      </c>
      <c r="J171" s="60">
        <f t="shared" si="103"/>
        <v>0</v>
      </c>
      <c r="K171" s="202">
        <f>J171/Input!$K$5</f>
        <v>0</v>
      </c>
      <c r="L171" s="232"/>
      <c r="M171" s="60">
        <f>IF($B171&lt;Input!$H$43,IF($B171&lt;Input!$G$43,IF($B171&lt;Input!$F$43,IF($B171&lt;Input!$E$43,IF($B171&lt;Input!$D$43,Input!$C$49,Input!$D$49),Input!$E$49),Input!$F$49),Input!$G$49),Input!$H$49)</f>
        <v>33127052.878124986</v>
      </c>
      <c r="N171" s="190">
        <f>IF($A171&lt;Input!$H$50,IF($A171&lt;Input!$G$50,IF($A171&lt;Input!$F$50,IF($A171&lt;Input!$E$50,IF($A171&lt;Input!$D$50,Input!$C$51,Input!$D$51),Input!$E$51),Input!$F$51),Input!$G$51),Input!$H$51)</f>
        <v>0.9</v>
      </c>
      <c r="O171" s="60">
        <f t="shared" si="112"/>
        <v>29814347.590312488</v>
      </c>
      <c r="P171" s="60">
        <f t="shared" si="113"/>
        <v>30</v>
      </c>
      <c r="Q171" s="60">
        <f t="shared" si="80"/>
        <v>0</v>
      </c>
      <c r="R171" s="60">
        <f>ROUND(Q171*$P171*Input!$C$3/365,0)</f>
        <v>0</v>
      </c>
      <c r="S171" s="60">
        <f>IF(A171&lt;=Input!$C$6,0,IF('144M'!O171&lt;'144M'!Q171,'144M'!O171-R171,'144M'!Q171))</f>
        <v>0</v>
      </c>
      <c r="T171" s="60">
        <f t="shared" si="81"/>
        <v>0</v>
      </c>
      <c r="U171" s="60">
        <f t="shared" si="82"/>
        <v>0</v>
      </c>
      <c r="V171" s="193"/>
      <c r="W171" s="169">
        <v>167</v>
      </c>
      <c r="X171" s="1">
        <f t="shared" si="104"/>
        <v>50601</v>
      </c>
      <c r="Y171" s="60">
        <f>IF($X171&lt;Input!$H$58,IF($X171&lt;Input!$G$58,IF($X171&lt;Input!$F$58,IF($X171&lt;Input!$E$58,IF($X171&lt;Input!$D$58,Input!$C$64,Input!$D$64),Input!$E$64),Input!$F$64),Input!$G$64),Input!$H$64)</f>
        <v>0</v>
      </c>
      <c r="Z171" s="190">
        <f>IF($A171&lt;Input!$H$65,IF($A171&lt;Input!$G$65,IF($A171&lt;Input!$F$65,IF($A171&lt;Input!$E$65,IF($A171&lt;Input!$D$65,Input!$C$66,Input!$D$66),Input!$E$66),Input!$F$66),Input!$G$66),Input!$H$66)</f>
        <v>0.9</v>
      </c>
      <c r="AA171" s="60">
        <f t="shared" si="83"/>
        <v>0</v>
      </c>
      <c r="AB171" s="60">
        <f t="shared" si="105"/>
        <v>30</v>
      </c>
      <c r="AC171" s="60">
        <f t="shared" si="84"/>
        <v>0</v>
      </c>
      <c r="AD171" s="60">
        <f>ROUND(AC171*AB171*Input!$C$3/365,0)</f>
        <v>0</v>
      </c>
      <c r="AE171" s="61">
        <f>IF($A171&lt;=Input!$C$6,0,IF('144M'!AA171&lt;'144M'!AC171,'144M'!AA171-AD171,'144M'!AC171))</f>
        <v>0</v>
      </c>
      <c r="AF171" s="61">
        <f t="shared" si="85"/>
        <v>0</v>
      </c>
      <c r="AG171" s="60">
        <f t="shared" si="86"/>
        <v>0</v>
      </c>
      <c r="AH171" s="193"/>
      <c r="AI171" s="169">
        <v>167</v>
      </c>
      <c r="AJ171" s="1">
        <f t="shared" si="106"/>
        <v>50601</v>
      </c>
      <c r="AK171" s="60">
        <f>IF($X171&lt;Input!$H$73,IF($X171&lt;Input!$G$73,IF($X171&lt;Input!$F$73,IF($X171&lt;Input!$E$73,IF($X171&lt;Input!$D$73,Input!$C$79,Input!$D$79),Input!$E$79),Input!$F$79),Input!$G$79),Input!$H$79)</f>
        <v>0</v>
      </c>
      <c r="AL171" s="190">
        <f>IF($A171&lt;Input!$H$80,IF($A171&lt;Input!$G$80,IF($A171&lt;Input!$F$80,IF($A171&lt;Input!$E$80,IF($A171&lt;Input!$D$80,Input!$C$81,Input!$D$81),Input!$E$81),Input!$F$81),Input!$G$81),Input!$H$81)</f>
        <v>0.9</v>
      </c>
      <c r="AM171" s="60">
        <f t="shared" si="87"/>
        <v>0</v>
      </c>
      <c r="AN171" s="60">
        <f t="shared" si="107"/>
        <v>30</v>
      </c>
      <c r="AO171" s="60">
        <f t="shared" si="88"/>
        <v>0</v>
      </c>
      <c r="AP171" s="60">
        <f>ROUND(AO171*AN171*Input!$C$3/365,0)</f>
        <v>0</v>
      </c>
      <c r="AQ171" s="61">
        <f>IF($A171&lt;=Input!$C$6,0,IF('144M'!AM171&lt;'144M'!AO171,'144M'!AM171-AP171,'144M'!AO171))</f>
        <v>0</v>
      </c>
      <c r="AR171" s="61">
        <f t="shared" si="89"/>
        <v>0</v>
      </c>
      <c r="AS171" s="60">
        <f t="shared" si="90"/>
        <v>0</v>
      </c>
      <c r="AT171" s="193"/>
      <c r="AU171" s="169">
        <v>167</v>
      </c>
      <c r="AV171" s="1">
        <f t="shared" si="108"/>
        <v>50601</v>
      </c>
      <c r="AW171" s="60">
        <f>IF($X171&lt;Input!$H$88,IF($X171&lt;Input!$G$88,IF($X171&lt;Input!$F$88,IF($X171&lt;Input!$E$88,IF($X171&lt;Input!$D$88,Input!$C$94,Input!$D$94),Input!$E$94),Input!$F$94),Input!$G$94),Input!$H$94)</f>
        <v>0</v>
      </c>
      <c r="AX171" s="190">
        <f>IF($A171&lt;Input!$H$95,IF($A171&lt;Input!$G$95,IF($A171&lt;Input!$F$95,IF($A171&lt;Input!$E$95,IF($A171&lt;Input!$D$95,Input!$C$96,Input!$D$96),Input!$E$96),Input!$F$96),Input!$G$96),Input!$H$96)</f>
        <v>0.9</v>
      </c>
      <c r="AY171" s="60">
        <f t="shared" si="91"/>
        <v>0</v>
      </c>
      <c r="AZ171" s="60">
        <f t="shared" si="109"/>
        <v>30</v>
      </c>
      <c r="BA171" s="60">
        <f t="shared" si="92"/>
        <v>0</v>
      </c>
      <c r="BB171" s="60">
        <f>ROUND(BA171*AZ171*Input!$C$3/365,0)</f>
        <v>0</v>
      </c>
      <c r="BC171" s="61">
        <f>IF($A171&lt;=Input!$C$6,0,IF('144M'!AY171&lt;'144M'!BA171,'144M'!AY171-BB171,'144M'!BA171))</f>
        <v>0</v>
      </c>
      <c r="BD171" s="61">
        <f t="shared" si="93"/>
        <v>0</v>
      </c>
      <c r="BE171" s="60">
        <f t="shared" si="94"/>
        <v>0</v>
      </c>
      <c r="BF171" s="193"/>
      <c r="BG171" s="169">
        <v>167</v>
      </c>
      <c r="BH171" s="1">
        <f t="shared" si="110"/>
        <v>50601</v>
      </c>
      <c r="BI171" s="60">
        <f>IF($X171&lt;Input!$H$103,IF($X171&lt;Input!$G$103,IF($X171&lt;Input!$F$103,IF($X171&lt;Input!$E$103,IF($X171&lt;Input!$D$103,Input!$C$109,Input!$D$109),Input!$E$109),Input!$F$109),Input!$G$109),Input!$H$109)</f>
        <v>0</v>
      </c>
      <c r="BJ171" s="190">
        <f>IF($A171&lt;Input!$H$110,IF($A171&lt;Input!$G$110,IF($A171&lt;Input!$F$110,IF($A171&lt;Input!$E$110,IF($A171&lt;Input!$D$110,Input!$C$111,Input!$D$111),Input!$E$111),Input!$F$111),Input!$G$111),Input!$H$111)</f>
        <v>0.9</v>
      </c>
      <c r="BK171" s="60">
        <f t="shared" si="95"/>
        <v>0</v>
      </c>
      <c r="BL171" s="60">
        <f t="shared" si="111"/>
        <v>30</v>
      </c>
      <c r="BM171" s="60">
        <f t="shared" si="96"/>
        <v>0</v>
      </c>
      <c r="BN171" s="60">
        <f>ROUND(BM171*BL171*Input!$C$3/365,0)</f>
        <v>0</v>
      </c>
      <c r="BO171" s="61">
        <f>IF($A171&lt;=Input!$C$6,0,IF('144M'!BK171&lt;'144M'!BM171,'144M'!BK171-BN171,'144M'!BM171))</f>
        <v>0</v>
      </c>
      <c r="BP171" s="61">
        <f t="shared" si="97"/>
        <v>0</v>
      </c>
      <c r="BQ171" s="60">
        <f t="shared" si="98"/>
        <v>0</v>
      </c>
      <c r="BR171" s="198"/>
    </row>
    <row r="172" spans="1:70" x14ac:dyDescent="0.25">
      <c r="A172" s="169">
        <v>168</v>
      </c>
      <c r="B172" s="1">
        <f t="shared" si="99"/>
        <v>50632</v>
      </c>
      <c r="C172" s="60">
        <f t="shared" si="77"/>
        <v>33127052.878124986</v>
      </c>
      <c r="D172" s="60">
        <f t="shared" si="78"/>
        <v>29814347.590312488</v>
      </c>
      <c r="E172" s="60">
        <f t="shared" si="100"/>
        <v>31</v>
      </c>
      <c r="F172" s="60">
        <f t="shared" si="101"/>
        <v>0</v>
      </c>
      <c r="G172" s="60">
        <f>ROUND(F172*E172*Input!$C$3/365,0)</f>
        <v>0</v>
      </c>
      <c r="H172" s="60">
        <f>IF($A172&lt;=Input!$C$6,0,IF('144M'!D172&lt;'144M'!F172,'144M'!D172-G172,'144M'!F172))</f>
        <v>0</v>
      </c>
      <c r="I172" s="60">
        <f t="shared" si="102"/>
        <v>0</v>
      </c>
      <c r="J172" s="60">
        <f t="shared" si="103"/>
        <v>0</v>
      </c>
      <c r="K172" s="202">
        <f>J172/Input!$K$5</f>
        <v>0</v>
      </c>
      <c r="L172" s="232"/>
      <c r="M172" s="60">
        <f>IF($B172&lt;Input!$H$43,IF($B172&lt;Input!$G$43,IF($B172&lt;Input!$F$43,IF($B172&lt;Input!$E$43,IF($B172&lt;Input!$D$43,Input!$C$49,Input!$D$49),Input!$E$49),Input!$F$49),Input!$G$49),Input!$H$49)</f>
        <v>33127052.878124986</v>
      </c>
      <c r="N172" s="190">
        <f>IF($A172&lt;Input!$H$50,IF($A172&lt;Input!$G$50,IF($A172&lt;Input!$F$50,IF($A172&lt;Input!$E$50,IF($A172&lt;Input!$D$50,Input!$C$51,Input!$D$51),Input!$E$51),Input!$F$51),Input!$G$51),Input!$H$51)</f>
        <v>0.9</v>
      </c>
      <c r="O172" s="60">
        <f t="shared" si="112"/>
        <v>29814347.590312488</v>
      </c>
      <c r="P172" s="60">
        <f t="shared" si="113"/>
        <v>31</v>
      </c>
      <c r="Q172" s="60">
        <f t="shared" si="80"/>
        <v>0</v>
      </c>
      <c r="R172" s="60">
        <f>ROUND(Q172*$P172*Input!$C$3/365,0)</f>
        <v>0</v>
      </c>
      <c r="S172" s="60">
        <f>IF(A172&lt;=Input!$C$6,0,IF('144M'!O172&lt;'144M'!Q172,'144M'!O172-R172,'144M'!Q172))</f>
        <v>0</v>
      </c>
      <c r="T172" s="60">
        <f t="shared" si="81"/>
        <v>0</v>
      </c>
      <c r="U172" s="60">
        <f t="shared" si="82"/>
        <v>0</v>
      </c>
      <c r="V172" s="193"/>
      <c r="W172" s="169">
        <v>168</v>
      </c>
      <c r="X172" s="1">
        <f t="shared" si="104"/>
        <v>50632</v>
      </c>
      <c r="Y172" s="60">
        <f>IF($X172&lt;Input!$H$58,IF($X172&lt;Input!$G$58,IF($X172&lt;Input!$F$58,IF($X172&lt;Input!$E$58,IF($X172&lt;Input!$D$58,Input!$C$64,Input!$D$64),Input!$E$64),Input!$F$64),Input!$G$64),Input!$H$64)</f>
        <v>0</v>
      </c>
      <c r="Z172" s="190">
        <f>IF($A172&lt;Input!$H$65,IF($A172&lt;Input!$G$65,IF($A172&lt;Input!$F$65,IF($A172&lt;Input!$E$65,IF($A172&lt;Input!$D$65,Input!$C$66,Input!$D$66),Input!$E$66),Input!$F$66),Input!$G$66),Input!$H$66)</f>
        <v>0.9</v>
      </c>
      <c r="AA172" s="60">
        <f t="shared" si="83"/>
        <v>0</v>
      </c>
      <c r="AB172" s="60">
        <f t="shared" si="105"/>
        <v>31</v>
      </c>
      <c r="AC172" s="60">
        <f t="shared" si="84"/>
        <v>0</v>
      </c>
      <c r="AD172" s="60">
        <f>ROUND(AC172*AB172*Input!$C$3/365,0)</f>
        <v>0</v>
      </c>
      <c r="AE172" s="61">
        <f>IF($A172&lt;=Input!$C$6,0,IF('144M'!AA172&lt;'144M'!AC172,'144M'!AA172-AD172,'144M'!AC172))</f>
        <v>0</v>
      </c>
      <c r="AF172" s="61">
        <f t="shared" si="85"/>
        <v>0</v>
      </c>
      <c r="AG172" s="60">
        <f t="shared" si="86"/>
        <v>0</v>
      </c>
      <c r="AH172" s="193"/>
      <c r="AI172" s="169">
        <v>168</v>
      </c>
      <c r="AJ172" s="1">
        <f t="shared" si="106"/>
        <v>50632</v>
      </c>
      <c r="AK172" s="60">
        <f>IF($X172&lt;Input!$H$73,IF($X172&lt;Input!$G$73,IF($X172&lt;Input!$F$73,IF($X172&lt;Input!$E$73,IF($X172&lt;Input!$D$73,Input!$C$79,Input!$D$79),Input!$E$79),Input!$F$79),Input!$G$79),Input!$H$79)</f>
        <v>0</v>
      </c>
      <c r="AL172" s="190">
        <f>IF($A172&lt;Input!$H$80,IF($A172&lt;Input!$G$80,IF($A172&lt;Input!$F$80,IF($A172&lt;Input!$E$80,IF($A172&lt;Input!$D$80,Input!$C$81,Input!$D$81),Input!$E$81),Input!$F$81),Input!$G$81),Input!$H$81)</f>
        <v>0.9</v>
      </c>
      <c r="AM172" s="60">
        <f t="shared" si="87"/>
        <v>0</v>
      </c>
      <c r="AN172" s="60">
        <f t="shared" si="107"/>
        <v>31</v>
      </c>
      <c r="AO172" s="60">
        <f t="shared" si="88"/>
        <v>0</v>
      </c>
      <c r="AP172" s="60">
        <f>ROUND(AO172*AN172*Input!$C$3/365,0)</f>
        <v>0</v>
      </c>
      <c r="AQ172" s="61">
        <f>IF($A172&lt;=Input!$C$6,0,IF('144M'!AM172&lt;'144M'!AO172,'144M'!AM172-AP172,'144M'!AO172))</f>
        <v>0</v>
      </c>
      <c r="AR172" s="61">
        <f t="shared" si="89"/>
        <v>0</v>
      </c>
      <c r="AS172" s="60">
        <f t="shared" si="90"/>
        <v>0</v>
      </c>
      <c r="AT172" s="193"/>
      <c r="AU172" s="169">
        <v>168</v>
      </c>
      <c r="AV172" s="1">
        <f t="shared" si="108"/>
        <v>50632</v>
      </c>
      <c r="AW172" s="60">
        <f>IF($X172&lt;Input!$H$88,IF($X172&lt;Input!$G$88,IF($X172&lt;Input!$F$88,IF($X172&lt;Input!$E$88,IF($X172&lt;Input!$D$88,Input!$C$94,Input!$D$94),Input!$E$94),Input!$F$94),Input!$G$94),Input!$H$94)</f>
        <v>0</v>
      </c>
      <c r="AX172" s="190">
        <f>IF($A172&lt;Input!$H$95,IF($A172&lt;Input!$G$95,IF($A172&lt;Input!$F$95,IF($A172&lt;Input!$E$95,IF($A172&lt;Input!$D$95,Input!$C$96,Input!$D$96),Input!$E$96),Input!$F$96),Input!$G$96),Input!$H$96)</f>
        <v>0.9</v>
      </c>
      <c r="AY172" s="60">
        <f t="shared" si="91"/>
        <v>0</v>
      </c>
      <c r="AZ172" s="60">
        <f t="shared" si="109"/>
        <v>31</v>
      </c>
      <c r="BA172" s="60">
        <f t="shared" si="92"/>
        <v>0</v>
      </c>
      <c r="BB172" s="60">
        <f>ROUND(BA172*AZ172*Input!$C$3/365,0)</f>
        <v>0</v>
      </c>
      <c r="BC172" s="61">
        <f>IF($A172&lt;=Input!$C$6,0,IF('144M'!AY172&lt;'144M'!BA172,'144M'!AY172-BB172,'144M'!BA172))</f>
        <v>0</v>
      </c>
      <c r="BD172" s="61">
        <f t="shared" si="93"/>
        <v>0</v>
      </c>
      <c r="BE172" s="60">
        <f t="shared" si="94"/>
        <v>0</v>
      </c>
      <c r="BF172" s="193"/>
      <c r="BG172" s="169">
        <v>168</v>
      </c>
      <c r="BH172" s="1">
        <f t="shared" si="110"/>
        <v>50632</v>
      </c>
      <c r="BI172" s="60">
        <f>IF($X172&lt;Input!$H$103,IF($X172&lt;Input!$G$103,IF($X172&lt;Input!$F$103,IF($X172&lt;Input!$E$103,IF($X172&lt;Input!$D$103,Input!$C$109,Input!$D$109),Input!$E$109),Input!$F$109),Input!$G$109),Input!$H$109)</f>
        <v>0</v>
      </c>
      <c r="BJ172" s="190">
        <f>IF($A172&lt;Input!$H$110,IF($A172&lt;Input!$G$110,IF($A172&lt;Input!$F$110,IF($A172&lt;Input!$E$110,IF($A172&lt;Input!$D$110,Input!$C$111,Input!$D$111),Input!$E$111),Input!$F$111),Input!$G$111),Input!$H$111)</f>
        <v>0.9</v>
      </c>
      <c r="BK172" s="60">
        <f t="shared" si="95"/>
        <v>0</v>
      </c>
      <c r="BL172" s="60">
        <f t="shared" si="111"/>
        <v>31</v>
      </c>
      <c r="BM172" s="60">
        <f t="shared" si="96"/>
        <v>0</v>
      </c>
      <c r="BN172" s="60">
        <f>ROUND(BM172*BL172*Input!$C$3/365,0)</f>
        <v>0</v>
      </c>
      <c r="BO172" s="61">
        <f>IF($A172&lt;=Input!$C$6,0,IF('144M'!BK172&lt;'144M'!BM172,'144M'!BK172-BN172,'144M'!BM172))</f>
        <v>0</v>
      </c>
      <c r="BP172" s="61">
        <f t="shared" si="97"/>
        <v>0</v>
      </c>
      <c r="BQ172" s="60">
        <f t="shared" si="98"/>
        <v>0</v>
      </c>
      <c r="BR172" s="198"/>
    </row>
    <row r="173" spans="1:70" x14ac:dyDescent="0.25">
      <c r="A173" s="169">
        <v>169</v>
      </c>
      <c r="B173" s="1">
        <f t="shared" si="99"/>
        <v>50663</v>
      </c>
      <c r="C173" s="60">
        <f t="shared" si="77"/>
        <v>33127052.878124986</v>
      </c>
      <c r="D173" s="60">
        <f t="shared" si="78"/>
        <v>29814347.590312488</v>
      </c>
      <c r="E173" s="60">
        <f t="shared" si="100"/>
        <v>31</v>
      </c>
      <c r="F173" s="60">
        <f t="shared" si="101"/>
        <v>0</v>
      </c>
      <c r="G173" s="60">
        <f>ROUND(F173*E173*Input!$C$3/365,0)</f>
        <v>0</v>
      </c>
      <c r="H173" s="60">
        <f>IF($A173&lt;=Input!$C$6,0,IF('144M'!D173&lt;'144M'!F173,'144M'!D173-G173,'144M'!F173))</f>
        <v>0</v>
      </c>
      <c r="I173" s="60">
        <f t="shared" si="102"/>
        <v>0</v>
      </c>
      <c r="J173" s="60">
        <f t="shared" si="103"/>
        <v>0</v>
      </c>
      <c r="K173" s="202">
        <f>J173/Input!$K$5</f>
        <v>0</v>
      </c>
      <c r="L173" s="232"/>
      <c r="M173" s="60">
        <f>IF($B173&lt;Input!$H$43,IF($B173&lt;Input!$G$43,IF($B173&lt;Input!$F$43,IF($B173&lt;Input!$E$43,IF($B173&lt;Input!$D$43,Input!$C$49,Input!$D$49),Input!$E$49),Input!$F$49),Input!$G$49),Input!$H$49)</f>
        <v>33127052.878124986</v>
      </c>
      <c r="N173" s="190">
        <f>IF($A173&lt;Input!$H$50,IF($A173&lt;Input!$G$50,IF($A173&lt;Input!$F$50,IF($A173&lt;Input!$E$50,IF($A173&lt;Input!$D$50,Input!$C$51,Input!$D$51),Input!$E$51),Input!$F$51),Input!$G$51),Input!$H$51)</f>
        <v>0.9</v>
      </c>
      <c r="O173" s="60">
        <f t="shared" si="112"/>
        <v>29814347.590312488</v>
      </c>
      <c r="P173" s="60">
        <f t="shared" si="113"/>
        <v>31</v>
      </c>
      <c r="Q173" s="60">
        <f t="shared" si="80"/>
        <v>0</v>
      </c>
      <c r="R173" s="60">
        <f>ROUND(Q173*$P173*Input!$C$3/365,0)</f>
        <v>0</v>
      </c>
      <c r="S173" s="60">
        <f>IF(A173&lt;=Input!$C$6,0,IF('144M'!O173&lt;'144M'!Q173,'144M'!O173-R173,'144M'!Q173))</f>
        <v>0</v>
      </c>
      <c r="T173" s="60">
        <f t="shared" si="81"/>
        <v>0</v>
      </c>
      <c r="U173" s="60">
        <f t="shared" si="82"/>
        <v>0</v>
      </c>
      <c r="V173" s="193"/>
      <c r="W173" s="169">
        <v>169</v>
      </c>
      <c r="X173" s="1">
        <f t="shared" si="104"/>
        <v>50663</v>
      </c>
      <c r="Y173" s="60">
        <f>IF($X173&lt;Input!$H$58,IF($X173&lt;Input!$G$58,IF($X173&lt;Input!$F$58,IF($X173&lt;Input!$E$58,IF($X173&lt;Input!$D$58,Input!$C$64,Input!$D$64),Input!$E$64),Input!$F$64),Input!$G$64),Input!$H$64)</f>
        <v>0</v>
      </c>
      <c r="Z173" s="190">
        <f>IF($A173&lt;Input!$H$65,IF($A173&lt;Input!$G$65,IF($A173&lt;Input!$F$65,IF($A173&lt;Input!$E$65,IF($A173&lt;Input!$D$65,Input!$C$66,Input!$D$66),Input!$E$66),Input!$F$66),Input!$G$66),Input!$H$66)</f>
        <v>0.9</v>
      </c>
      <c r="AA173" s="60">
        <f t="shared" si="83"/>
        <v>0</v>
      </c>
      <c r="AB173" s="60">
        <f t="shared" si="105"/>
        <v>31</v>
      </c>
      <c r="AC173" s="60">
        <f t="shared" si="84"/>
        <v>0</v>
      </c>
      <c r="AD173" s="60">
        <f>ROUND(AC173*AB173*Input!$C$3/365,0)</f>
        <v>0</v>
      </c>
      <c r="AE173" s="61">
        <f>IF($A173&lt;=Input!$C$6,0,IF('144M'!AA173&lt;'144M'!AC173,'144M'!AA173-AD173,'144M'!AC173))</f>
        <v>0</v>
      </c>
      <c r="AF173" s="61">
        <f t="shared" si="85"/>
        <v>0</v>
      </c>
      <c r="AG173" s="60">
        <f t="shared" si="86"/>
        <v>0</v>
      </c>
      <c r="AH173" s="193"/>
      <c r="AI173" s="169">
        <v>169</v>
      </c>
      <c r="AJ173" s="1">
        <f t="shared" si="106"/>
        <v>50663</v>
      </c>
      <c r="AK173" s="60">
        <f>IF($X173&lt;Input!$H$73,IF($X173&lt;Input!$G$73,IF($X173&lt;Input!$F$73,IF($X173&lt;Input!$E$73,IF($X173&lt;Input!$D$73,Input!$C$79,Input!$D$79),Input!$E$79),Input!$F$79),Input!$G$79),Input!$H$79)</f>
        <v>0</v>
      </c>
      <c r="AL173" s="190">
        <f>IF($A173&lt;Input!$H$80,IF($A173&lt;Input!$G$80,IF($A173&lt;Input!$F$80,IF($A173&lt;Input!$E$80,IF($A173&lt;Input!$D$80,Input!$C$81,Input!$D$81),Input!$E$81),Input!$F$81),Input!$G$81),Input!$H$81)</f>
        <v>0.9</v>
      </c>
      <c r="AM173" s="60">
        <f t="shared" si="87"/>
        <v>0</v>
      </c>
      <c r="AN173" s="60">
        <f t="shared" si="107"/>
        <v>31</v>
      </c>
      <c r="AO173" s="60">
        <f t="shared" si="88"/>
        <v>0</v>
      </c>
      <c r="AP173" s="60">
        <f>ROUND(AO173*AN173*Input!$C$3/365,0)</f>
        <v>0</v>
      </c>
      <c r="AQ173" s="61">
        <f>IF($A173&lt;=Input!$C$6,0,IF('144M'!AM173&lt;'144M'!AO173,'144M'!AM173-AP173,'144M'!AO173))</f>
        <v>0</v>
      </c>
      <c r="AR173" s="61">
        <f t="shared" si="89"/>
        <v>0</v>
      </c>
      <c r="AS173" s="60">
        <f t="shared" si="90"/>
        <v>0</v>
      </c>
      <c r="AT173" s="193"/>
      <c r="AU173" s="169">
        <v>169</v>
      </c>
      <c r="AV173" s="1">
        <f t="shared" si="108"/>
        <v>50663</v>
      </c>
      <c r="AW173" s="60">
        <f>IF($X173&lt;Input!$H$88,IF($X173&lt;Input!$G$88,IF($X173&lt;Input!$F$88,IF($X173&lt;Input!$E$88,IF($X173&lt;Input!$D$88,Input!$C$94,Input!$D$94),Input!$E$94),Input!$F$94),Input!$G$94),Input!$H$94)</f>
        <v>0</v>
      </c>
      <c r="AX173" s="190">
        <f>IF($A173&lt;Input!$H$95,IF($A173&lt;Input!$G$95,IF($A173&lt;Input!$F$95,IF($A173&lt;Input!$E$95,IF($A173&lt;Input!$D$95,Input!$C$96,Input!$D$96),Input!$E$96),Input!$F$96),Input!$G$96),Input!$H$96)</f>
        <v>0.9</v>
      </c>
      <c r="AY173" s="60">
        <f t="shared" si="91"/>
        <v>0</v>
      </c>
      <c r="AZ173" s="60">
        <f t="shared" si="109"/>
        <v>31</v>
      </c>
      <c r="BA173" s="60">
        <f t="shared" si="92"/>
        <v>0</v>
      </c>
      <c r="BB173" s="60">
        <f>ROUND(BA173*AZ173*Input!$C$3/365,0)</f>
        <v>0</v>
      </c>
      <c r="BC173" s="61">
        <f>IF($A173&lt;=Input!$C$6,0,IF('144M'!AY173&lt;'144M'!BA173,'144M'!AY173-BB173,'144M'!BA173))</f>
        <v>0</v>
      </c>
      <c r="BD173" s="61">
        <f t="shared" si="93"/>
        <v>0</v>
      </c>
      <c r="BE173" s="60">
        <f t="shared" si="94"/>
        <v>0</v>
      </c>
      <c r="BF173" s="193"/>
      <c r="BG173" s="169">
        <v>169</v>
      </c>
      <c r="BH173" s="1">
        <f t="shared" si="110"/>
        <v>50663</v>
      </c>
      <c r="BI173" s="60">
        <f>IF($X173&lt;Input!$H$103,IF($X173&lt;Input!$G$103,IF($X173&lt;Input!$F$103,IF($X173&lt;Input!$E$103,IF($X173&lt;Input!$D$103,Input!$C$109,Input!$D$109),Input!$E$109),Input!$F$109),Input!$G$109),Input!$H$109)</f>
        <v>0</v>
      </c>
      <c r="BJ173" s="190">
        <f>IF($A173&lt;Input!$H$110,IF($A173&lt;Input!$G$110,IF($A173&lt;Input!$F$110,IF($A173&lt;Input!$E$110,IF($A173&lt;Input!$D$110,Input!$C$111,Input!$D$111),Input!$E$111),Input!$F$111),Input!$G$111),Input!$H$111)</f>
        <v>0.9</v>
      </c>
      <c r="BK173" s="60">
        <f t="shared" si="95"/>
        <v>0</v>
      </c>
      <c r="BL173" s="60">
        <f t="shared" si="111"/>
        <v>31</v>
      </c>
      <c r="BM173" s="60">
        <f t="shared" si="96"/>
        <v>0</v>
      </c>
      <c r="BN173" s="60">
        <f>ROUND(BM173*BL173*Input!$C$3/365,0)</f>
        <v>0</v>
      </c>
      <c r="BO173" s="61">
        <f>IF($A173&lt;=Input!$C$6,0,IF('144M'!BK173&lt;'144M'!BM173,'144M'!BK173-BN173,'144M'!BM173))</f>
        <v>0</v>
      </c>
      <c r="BP173" s="61">
        <f t="shared" si="97"/>
        <v>0</v>
      </c>
      <c r="BQ173" s="60">
        <f t="shared" si="98"/>
        <v>0</v>
      </c>
      <c r="BR173" s="198"/>
    </row>
    <row r="174" spans="1:70" x14ac:dyDescent="0.25">
      <c r="A174" s="169">
        <v>170</v>
      </c>
      <c r="B174" s="1">
        <f t="shared" si="99"/>
        <v>50693</v>
      </c>
      <c r="C174" s="60">
        <f t="shared" si="77"/>
        <v>33127052.878124986</v>
      </c>
      <c r="D174" s="60">
        <f t="shared" si="78"/>
        <v>29814347.590312488</v>
      </c>
      <c r="E174" s="60">
        <f t="shared" si="100"/>
        <v>30</v>
      </c>
      <c r="F174" s="60">
        <f t="shared" si="101"/>
        <v>0</v>
      </c>
      <c r="G174" s="60">
        <f>ROUND(F174*E174*Input!$C$3/365,0)</f>
        <v>0</v>
      </c>
      <c r="H174" s="60">
        <f>IF($A174&lt;=Input!$C$6,0,IF('144M'!D174&lt;'144M'!F174,'144M'!D174-G174,'144M'!F174))</f>
        <v>0</v>
      </c>
      <c r="I174" s="60">
        <f t="shared" si="102"/>
        <v>0</v>
      </c>
      <c r="J174" s="60">
        <f t="shared" si="103"/>
        <v>0</v>
      </c>
      <c r="K174" s="202">
        <f>J174/Input!$K$5</f>
        <v>0</v>
      </c>
      <c r="L174" s="232"/>
      <c r="M174" s="60">
        <f>IF($B174&lt;Input!$H$43,IF($B174&lt;Input!$G$43,IF($B174&lt;Input!$F$43,IF($B174&lt;Input!$E$43,IF($B174&lt;Input!$D$43,Input!$C$49,Input!$D$49),Input!$E$49),Input!$F$49),Input!$G$49),Input!$H$49)</f>
        <v>33127052.878124986</v>
      </c>
      <c r="N174" s="190">
        <f>IF($A174&lt;Input!$H$50,IF($A174&lt;Input!$G$50,IF($A174&lt;Input!$F$50,IF($A174&lt;Input!$E$50,IF($A174&lt;Input!$D$50,Input!$C$51,Input!$D$51),Input!$E$51),Input!$F$51),Input!$G$51),Input!$H$51)</f>
        <v>0.9</v>
      </c>
      <c r="O174" s="60">
        <f t="shared" si="112"/>
        <v>29814347.590312488</v>
      </c>
      <c r="P174" s="60">
        <f t="shared" si="113"/>
        <v>30</v>
      </c>
      <c r="Q174" s="60">
        <f t="shared" si="80"/>
        <v>0</v>
      </c>
      <c r="R174" s="60">
        <f>ROUND(Q174*$P174*Input!$C$3/365,0)</f>
        <v>0</v>
      </c>
      <c r="S174" s="60">
        <f>IF(A174&lt;=Input!$C$6,0,IF('144M'!O174&lt;'144M'!Q174,'144M'!O174-R174,'144M'!Q174))</f>
        <v>0</v>
      </c>
      <c r="T174" s="60">
        <f t="shared" si="81"/>
        <v>0</v>
      </c>
      <c r="U174" s="60">
        <f t="shared" si="82"/>
        <v>0</v>
      </c>
      <c r="V174" s="193"/>
      <c r="W174" s="169">
        <v>170</v>
      </c>
      <c r="X174" s="1">
        <f t="shared" si="104"/>
        <v>50693</v>
      </c>
      <c r="Y174" s="60">
        <f>IF($X174&lt;Input!$H$58,IF($X174&lt;Input!$G$58,IF($X174&lt;Input!$F$58,IF($X174&lt;Input!$E$58,IF($X174&lt;Input!$D$58,Input!$C$64,Input!$D$64),Input!$E$64),Input!$F$64),Input!$G$64),Input!$H$64)</f>
        <v>0</v>
      </c>
      <c r="Z174" s="190">
        <f>IF($A174&lt;Input!$H$65,IF($A174&lt;Input!$G$65,IF($A174&lt;Input!$F$65,IF($A174&lt;Input!$E$65,IF($A174&lt;Input!$D$65,Input!$C$66,Input!$D$66),Input!$E$66),Input!$F$66),Input!$G$66),Input!$H$66)</f>
        <v>0.9</v>
      </c>
      <c r="AA174" s="60">
        <f t="shared" si="83"/>
        <v>0</v>
      </c>
      <c r="AB174" s="60">
        <f t="shared" si="105"/>
        <v>30</v>
      </c>
      <c r="AC174" s="60">
        <f t="shared" si="84"/>
        <v>0</v>
      </c>
      <c r="AD174" s="60">
        <f>ROUND(AC174*AB174*Input!$C$3/365,0)</f>
        <v>0</v>
      </c>
      <c r="AE174" s="61">
        <f>IF($A174&lt;=Input!$C$6,0,IF('144M'!AA174&lt;'144M'!AC174,'144M'!AA174-AD174,'144M'!AC174))</f>
        <v>0</v>
      </c>
      <c r="AF174" s="61">
        <f t="shared" si="85"/>
        <v>0</v>
      </c>
      <c r="AG174" s="60">
        <f t="shared" si="86"/>
        <v>0</v>
      </c>
      <c r="AH174" s="193"/>
      <c r="AI174" s="169">
        <v>170</v>
      </c>
      <c r="AJ174" s="1">
        <f t="shared" si="106"/>
        <v>50693</v>
      </c>
      <c r="AK174" s="60">
        <f>IF($X174&lt;Input!$H$73,IF($X174&lt;Input!$G$73,IF($X174&lt;Input!$F$73,IF($X174&lt;Input!$E$73,IF($X174&lt;Input!$D$73,Input!$C$79,Input!$D$79),Input!$E$79),Input!$F$79),Input!$G$79),Input!$H$79)</f>
        <v>0</v>
      </c>
      <c r="AL174" s="190">
        <f>IF($A174&lt;Input!$H$80,IF($A174&lt;Input!$G$80,IF($A174&lt;Input!$F$80,IF($A174&lt;Input!$E$80,IF($A174&lt;Input!$D$80,Input!$C$81,Input!$D$81),Input!$E$81),Input!$F$81),Input!$G$81),Input!$H$81)</f>
        <v>0.9</v>
      </c>
      <c r="AM174" s="60">
        <f t="shared" si="87"/>
        <v>0</v>
      </c>
      <c r="AN174" s="60">
        <f t="shared" si="107"/>
        <v>30</v>
      </c>
      <c r="AO174" s="60">
        <f t="shared" si="88"/>
        <v>0</v>
      </c>
      <c r="AP174" s="60">
        <f>ROUND(AO174*AN174*Input!$C$3/365,0)</f>
        <v>0</v>
      </c>
      <c r="AQ174" s="61">
        <f>IF($A174&lt;=Input!$C$6,0,IF('144M'!AM174&lt;'144M'!AO174,'144M'!AM174-AP174,'144M'!AO174))</f>
        <v>0</v>
      </c>
      <c r="AR174" s="61">
        <f t="shared" si="89"/>
        <v>0</v>
      </c>
      <c r="AS174" s="60">
        <f t="shared" si="90"/>
        <v>0</v>
      </c>
      <c r="AT174" s="193"/>
      <c r="AU174" s="169">
        <v>170</v>
      </c>
      <c r="AV174" s="1">
        <f t="shared" si="108"/>
        <v>50693</v>
      </c>
      <c r="AW174" s="60">
        <f>IF($X174&lt;Input!$H$88,IF($X174&lt;Input!$G$88,IF($X174&lt;Input!$F$88,IF($X174&lt;Input!$E$88,IF($X174&lt;Input!$D$88,Input!$C$94,Input!$D$94),Input!$E$94),Input!$F$94),Input!$G$94),Input!$H$94)</f>
        <v>0</v>
      </c>
      <c r="AX174" s="190">
        <f>IF($A174&lt;Input!$H$95,IF($A174&lt;Input!$G$95,IF($A174&lt;Input!$F$95,IF($A174&lt;Input!$E$95,IF($A174&lt;Input!$D$95,Input!$C$96,Input!$D$96),Input!$E$96),Input!$F$96),Input!$G$96),Input!$H$96)</f>
        <v>0.9</v>
      </c>
      <c r="AY174" s="60">
        <f t="shared" si="91"/>
        <v>0</v>
      </c>
      <c r="AZ174" s="60">
        <f t="shared" si="109"/>
        <v>30</v>
      </c>
      <c r="BA174" s="60">
        <f t="shared" si="92"/>
        <v>0</v>
      </c>
      <c r="BB174" s="60">
        <f>ROUND(BA174*AZ174*Input!$C$3/365,0)</f>
        <v>0</v>
      </c>
      <c r="BC174" s="61">
        <f>IF($A174&lt;=Input!$C$6,0,IF('144M'!AY174&lt;'144M'!BA174,'144M'!AY174-BB174,'144M'!BA174))</f>
        <v>0</v>
      </c>
      <c r="BD174" s="61">
        <f t="shared" si="93"/>
        <v>0</v>
      </c>
      <c r="BE174" s="60">
        <f t="shared" si="94"/>
        <v>0</v>
      </c>
      <c r="BF174" s="193"/>
      <c r="BG174" s="169">
        <v>170</v>
      </c>
      <c r="BH174" s="1">
        <f t="shared" si="110"/>
        <v>50693</v>
      </c>
      <c r="BI174" s="60">
        <f>IF($X174&lt;Input!$H$103,IF($X174&lt;Input!$G$103,IF($X174&lt;Input!$F$103,IF($X174&lt;Input!$E$103,IF($X174&lt;Input!$D$103,Input!$C$109,Input!$D$109),Input!$E$109),Input!$F$109),Input!$G$109),Input!$H$109)</f>
        <v>0</v>
      </c>
      <c r="BJ174" s="190">
        <f>IF($A174&lt;Input!$H$110,IF($A174&lt;Input!$G$110,IF($A174&lt;Input!$F$110,IF($A174&lt;Input!$E$110,IF($A174&lt;Input!$D$110,Input!$C$111,Input!$D$111),Input!$E$111),Input!$F$111),Input!$G$111),Input!$H$111)</f>
        <v>0.9</v>
      </c>
      <c r="BK174" s="60">
        <f t="shared" si="95"/>
        <v>0</v>
      </c>
      <c r="BL174" s="60">
        <f t="shared" si="111"/>
        <v>30</v>
      </c>
      <c r="BM174" s="60">
        <f t="shared" si="96"/>
        <v>0</v>
      </c>
      <c r="BN174" s="60">
        <f>ROUND(BM174*BL174*Input!$C$3/365,0)</f>
        <v>0</v>
      </c>
      <c r="BO174" s="61">
        <f>IF($A174&lt;=Input!$C$6,0,IF('144M'!BK174&lt;'144M'!BM174,'144M'!BK174-BN174,'144M'!BM174))</f>
        <v>0</v>
      </c>
      <c r="BP174" s="61">
        <f t="shared" si="97"/>
        <v>0</v>
      </c>
      <c r="BQ174" s="60">
        <f t="shared" si="98"/>
        <v>0</v>
      </c>
      <c r="BR174" s="198"/>
    </row>
    <row r="175" spans="1:70" x14ac:dyDescent="0.25">
      <c r="A175" s="169">
        <v>171</v>
      </c>
      <c r="B175" s="1">
        <f t="shared" si="99"/>
        <v>50724</v>
      </c>
      <c r="C175" s="60">
        <f t="shared" si="77"/>
        <v>33127052.878124986</v>
      </c>
      <c r="D175" s="60">
        <f t="shared" si="78"/>
        <v>29814347.590312488</v>
      </c>
      <c r="E175" s="60">
        <f t="shared" si="100"/>
        <v>31</v>
      </c>
      <c r="F175" s="60">
        <f t="shared" si="101"/>
        <v>0</v>
      </c>
      <c r="G175" s="60">
        <f>ROUND(F175*E175*Input!$C$3/365,0)</f>
        <v>0</v>
      </c>
      <c r="H175" s="60">
        <f>IF($A175&lt;=Input!$C$6,0,IF('144M'!D175&lt;'144M'!F175,'144M'!D175-G175,'144M'!F175))</f>
        <v>0</v>
      </c>
      <c r="I175" s="60">
        <f t="shared" si="102"/>
        <v>0</v>
      </c>
      <c r="J175" s="60">
        <f t="shared" si="103"/>
        <v>0</v>
      </c>
      <c r="K175" s="202">
        <f>J175/Input!$K$5</f>
        <v>0</v>
      </c>
      <c r="L175" s="232"/>
      <c r="M175" s="60">
        <f>IF($B175&lt;Input!$H$43,IF($B175&lt;Input!$G$43,IF($B175&lt;Input!$F$43,IF($B175&lt;Input!$E$43,IF($B175&lt;Input!$D$43,Input!$C$49,Input!$D$49),Input!$E$49),Input!$F$49),Input!$G$49),Input!$H$49)</f>
        <v>33127052.878124986</v>
      </c>
      <c r="N175" s="190">
        <f>IF($A175&lt;Input!$H$50,IF($A175&lt;Input!$G$50,IF($A175&lt;Input!$F$50,IF($A175&lt;Input!$E$50,IF($A175&lt;Input!$D$50,Input!$C$51,Input!$D$51),Input!$E$51),Input!$F$51),Input!$G$51),Input!$H$51)</f>
        <v>0.9</v>
      </c>
      <c r="O175" s="60">
        <f t="shared" si="112"/>
        <v>29814347.590312488</v>
      </c>
      <c r="P175" s="60">
        <f t="shared" si="113"/>
        <v>31</v>
      </c>
      <c r="Q175" s="60">
        <f t="shared" si="80"/>
        <v>0</v>
      </c>
      <c r="R175" s="60">
        <f>ROUND(Q175*$P175*Input!$C$3/365,0)</f>
        <v>0</v>
      </c>
      <c r="S175" s="60">
        <f>IF(A175&lt;=Input!$C$6,0,IF('144M'!O175&lt;'144M'!Q175,'144M'!O175-R175,'144M'!Q175))</f>
        <v>0</v>
      </c>
      <c r="T175" s="60">
        <f t="shared" si="81"/>
        <v>0</v>
      </c>
      <c r="U175" s="60">
        <f t="shared" si="82"/>
        <v>0</v>
      </c>
      <c r="V175" s="193"/>
      <c r="W175" s="169">
        <v>171</v>
      </c>
      <c r="X175" s="1">
        <f t="shared" si="104"/>
        <v>50724</v>
      </c>
      <c r="Y175" s="60">
        <f>IF($X175&lt;Input!$H$58,IF($X175&lt;Input!$G$58,IF($X175&lt;Input!$F$58,IF($X175&lt;Input!$E$58,IF($X175&lt;Input!$D$58,Input!$C$64,Input!$D$64),Input!$E$64),Input!$F$64),Input!$G$64),Input!$H$64)</f>
        <v>0</v>
      </c>
      <c r="Z175" s="190">
        <f>IF($A175&lt;Input!$H$65,IF($A175&lt;Input!$G$65,IF($A175&lt;Input!$F$65,IF($A175&lt;Input!$E$65,IF($A175&lt;Input!$D$65,Input!$C$66,Input!$D$66),Input!$E$66),Input!$F$66),Input!$G$66),Input!$H$66)</f>
        <v>0.9</v>
      </c>
      <c r="AA175" s="60">
        <f t="shared" si="83"/>
        <v>0</v>
      </c>
      <c r="AB175" s="60">
        <f t="shared" si="105"/>
        <v>31</v>
      </c>
      <c r="AC175" s="60">
        <f t="shared" si="84"/>
        <v>0</v>
      </c>
      <c r="AD175" s="60">
        <f>ROUND(AC175*AB175*Input!$C$3/365,0)</f>
        <v>0</v>
      </c>
      <c r="AE175" s="61">
        <f>IF($A175&lt;=Input!$C$6,0,IF('144M'!AA175&lt;'144M'!AC175,'144M'!AA175-AD175,'144M'!AC175))</f>
        <v>0</v>
      </c>
      <c r="AF175" s="61">
        <f t="shared" si="85"/>
        <v>0</v>
      </c>
      <c r="AG175" s="60">
        <f t="shared" si="86"/>
        <v>0</v>
      </c>
      <c r="AH175" s="193"/>
      <c r="AI175" s="169">
        <v>171</v>
      </c>
      <c r="AJ175" s="1">
        <f t="shared" si="106"/>
        <v>50724</v>
      </c>
      <c r="AK175" s="60">
        <f>IF($X175&lt;Input!$H$73,IF($X175&lt;Input!$G$73,IF($X175&lt;Input!$F$73,IF($X175&lt;Input!$E$73,IF($X175&lt;Input!$D$73,Input!$C$79,Input!$D$79),Input!$E$79),Input!$F$79),Input!$G$79),Input!$H$79)</f>
        <v>0</v>
      </c>
      <c r="AL175" s="190">
        <f>IF($A175&lt;Input!$H$80,IF($A175&lt;Input!$G$80,IF($A175&lt;Input!$F$80,IF($A175&lt;Input!$E$80,IF($A175&lt;Input!$D$80,Input!$C$81,Input!$D$81),Input!$E$81),Input!$F$81),Input!$G$81),Input!$H$81)</f>
        <v>0.9</v>
      </c>
      <c r="AM175" s="60">
        <f t="shared" si="87"/>
        <v>0</v>
      </c>
      <c r="AN175" s="60">
        <f t="shared" si="107"/>
        <v>31</v>
      </c>
      <c r="AO175" s="60">
        <f t="shared" si="88"/>
        <v>0</v>
      </c>
      <c r="AP175" s="60">
        <f>ROUND(AO175*AN175*Input!$C$3/365,0)</f>
        <v>0</v>
      </c>
      <c r="AQ175" s="61">
        <f>IF($A175&lt;=Input!$C$6,0,IF('144M'!AM175&lt;'144M'!AO175,'144M'!AM175-AP175,'144M'!AO175))</f>
        <v>0</v>
      </c>
      <c r="AR175" s="61">
        <f t="shared" si="89"/>
        <v>0</v>
      </c>
      <c r="AS175" s="60">
        <f t="shared" si="90"/>
        <v>0</v>
      </c>
      <c r="AT175" s="193"/>
      <c r="AU175" s="169">
        <v>171</v>
      </c>
      <c r="AV175" s="1">
        <f t="shared" si="108"/>
        <v>50724</v>
      </c>
      <c r="AW175" s="60">
        <f>IF($X175&lt;Input!$H$88,IF($X175&lt;Input!$G$88,IF($X175&lt;Input!$F$88,IF($X175&lt;Input!$E$88,IF($X175&lt;Input!$D$88,Input!$C$94,Input!$D$94),Input!$E$94),Input!$F$94),Input!$G$94),Input!$H$94)</f>
        <v>0</v>
      </c>
      <c r="AX175" s="190">
        <f>IF($A175&lt;Input!$H$95,IF($A175&lt;Input!$G$95,IF($A175&lt;Input!$F$95,IF($A175&lt;Input!$E$95,IF($A175&lt;Input!$D$95,Input!$C$96,Input!$D$96),Input!$E$96),Input!$F$96),Input!$G$96),Input!$H$96)</f>
        <v>0.9</v>
      </c>
      <c r="AY175" s="60">
        <f t="shared" si="91"/>
        <v>0</v>
      </c>
      <c r="AZ175" s="60">
        <f t="shared" si="109"/>
        <v>31</v>
      </c>
      <c r="BA175" s="60">
        <f t="shared" si="92"/>
        <v>0</v>
      </c>
      <c r="BB175" s="60">
        <f>ROUND(BA175*AZ175*Input!$C$3/365,0)</f>
        <v>0</v>
      </c>
      <c r="BC175" s="61">
        <f>IF($A175&lt;=Input!$C$6,0,IF('144M'!AY175&lt;'144M'!BA175,'144M'!AY175-BB175,'144M'!BA175))</f>
        <v>0</v>
      </c>
      <c r="BD175" s="61">
        <f t="shared" si="93"/>
        <v>0</v>
      </c>
      <c r="BE175" s="60">
        <f t="shared" si="94"/>
        <v>0</v>
      </c>
      <c r="BF175" s="193"/>
      <c r="BG175" s="169">
        <v>171</v>
      </c>
      <c r="BH175" s="1">
        <f t="shared" si="110"/>
        <v>50724</v>
      </c>
      <c r="BI175" s="60">
        <f>IF($X175&lt;Input!$H$103,IF($X175&lt;Input!$G$103,IF($X175&lt;Input!$F$103,IF($X175&lt;Input!$E$103,IF($X175&lt;Input!$D$103,Input!$C$109,Input!$D$109),Input!$E$109),Input!$F$109),Input!$G$109),Input!$H$109)</f>
        <v>0</v>
      </c>
      <c r="BJ175" s="190">
        <f>IF($A175&lt;Input!$H$110,IF($A175&lt;Input!$G$110,IF($A175&lt;Input!$F$110,IF($A175&lt;Input!$E$110,IF($A175&lt;Input!$D$110,Input!$C$111,Input!$D$111),Input!$E$111),Input!$F$111),Input!$G$111),Input!$H$111)</f>
        <v>0.9</v>
      </c>
      <c r="BK175" s="60">
        <f t="shared" si="95"/>
        <v>0</v>
      </c>
      <c r="BL175" s="60">
        <f t="shared" si="111"/>
        <v>31</v>
      </c>
      <c r="BM175" s="60">
        <f t="shared" si="96"/>
        <v>0</v>
      </c>
      <c r="BN175" s="60">
        <f>ROUND(BM175*BL175*Input!$C$3/365,0)</f>
        <v>0</v>
      </c>
      <c r="BO175" s="61">
        <f>IF($A175&lt;=Input!$C$6,0,IF('144M'!BK175&lt;'144M'!BM175,'144M'!BK175-BN175,'144M'!BM175))</f>
        <v>0</v>
      </c>
      <c r="BP175" s="61">
        <f t="shared" si="97"/>
        <v>0</v>
      </c>
      <c r="BQ175" s="60">
        <f t="shared" si="98"/>
        <v>0</v>
      </c>
      <c r="BR175" s="198"/>
    </row>
    <row r="176" spans="1:70" x14ac:dyDescent="0.25">
      <c r="A176" s="169">
        <v>172</v>
      </c>
      <c r="B176" s="1">
        <f t="shared" si="99"/>
        <v>50754</v>
      </c>
      <c r="C176" s="60">
        <f t="shared" si="77"/>
        <v>33127052.878124986</v>
      </c>
      <c r="D176" s="60">
        <f t="shared" si="78"/>
        <v>29814347.590312488</v>
      </c>
      <c r="E176" s="60">
        <f t="shared" si="100"/>
        <v>30</v>
      </c>
      <c r="F176" s="60">
        <f t="shared" si="101"/>
        <v>0</v>
      </c>
      <c r="G176" s="60">
        <f>ROUND(F176*E176*Input!$C$3/365,0)</f>
        <v>0</v>
      </c>
      <c r="H176" s="60">
        <f>IF($A176&lt;=Input!$C$6,0,IF('144M'!D176&lt;'144M'!F176,'144M'!D176-G176,'144M'!F176))</f>
        <v>0</v>
      </c>
      <c r="I176" s="60">
        <f t="shared" si="102"/>
        <v>0</v>
      </c>
      <c r="J176" s="60">
        <f t="shared" si="103"/>
        <v>0</v>
      </c>
      <c r="K176" s="202">
        <f>J176/Input!$K$5</f>
        <v>0</v>
      </c>
      <c r="L176" s="232"/>
      <c r="M176" s="60">
        <f>IF($B176&lt;Input!$H$43,IF($B176&lt;Input!$G$43,IF($B176&lt;Input!$F$43,IF($B176&lt;Input!$E$43,IF($B176&lt;Input!$D$43,Input!$C$49,Input!$D$49),Input!$E$49),Input!$F$49),Input!$G$49),Input!$H$49)</f>
        <v>33127052.878124986</v>
      </c>
      <c r="N176" s="190">
        <f>IF($A176&lt;Input!$H$50,IF($A176&lt;Input!$G$50,IF($A176&lt;Input!$F$50,IF($A176&lt;Input!$E$50,IF($A176&lt;Input!$D$50,Input!$C$51,Input!$D$51),Input!$E$51),Input!$F$51),Input!$G$51),Input!$H$51)</f>
        <v>0.9</v>
      </c>
      <c r="O176" s="60">
        <f t="shared" si="112"/>
        <v>29814347.590312488</v>
      </c>
      <c r="P176" s="60">
        <f t="shared" si="113"/>
        <v>30</v>
      </c>
      <c r="Q176" s="60">
        <f t="shared" si="80"/>
        <v>0</v>
      </c>
      <c r="R176" s="60">
        <f>ROUND(Q176*$P176*Input!$C$3/365,0)</f>
        <v>0</v>
      </c>
      <c r="S176" s="60">
        <f>IF(A176&lt;=Input!$C$6,0,IF('144M'!O176&lt;'144M'!Q176,'144M'!O176-R176,'144M'!Q176))</f>
        <v>0</v>
      </c>
      <c r="T176" s="60">
        <f t="shared" si="81"/>
        <v>0</v>
      </c>
      <c r="U176" s="60">
        <f t="shared" si="82"/>
        <v>0</v>
      </c>
      <c r="V176" s="193"/>
      <c r="W176" s="169">
        <v>172</v>
      </c>
      <c r="X176" s="1">
        <f t="shared" si="104"/>
        <v>50754</v>
      </c>
      <c r="Y176" s="60">
        <f>IF($X176&lt;Input!$H$58,IF($X176&lt;Input!$G$58,IF($X176&lt;Input!$F$58,IF($X176&lt;Input!$E$58,IF($X176&lt;Input!$D$58,Input!$C$64,Input!$D$64),Input!$E$64),Input!$F$64),Input!$G$64),Input!$H$64)</f>
        <v>0</v>
      </c>
      <c r="Z176" s="190">
        <f>IF($A176&lt;Input!$H$65,IF($A176&lt;Input!$G$65,IF($A176&lt;Input!$F$65,IF($A176&lt;Input!$E$65,IF($A176&lt;Input!$D$65,Input!$C$66,Input!$D$66),Input!$E$66),Input!$F$66),Input!$G$66),Input!$H$66)</f>
        <v>0.9</v>
      </c>
      <c r="AA176" s="60">
        <f t="shared" si="83"/>
        <v>0</v>
      </c>
      <c r="AB176" s="60">
        <f t="shared" si="105"/>
        <v>30</v>
      </c>
      <c r="AC176" s="60">
        <f t="shared" si="84"/>
        <v>0</v>
      </c>
      <c r="AD176" s="60">
        <f>ROUND(AC176*AB176*Input!$C$3/365,0)</f>
        <v>0</v>
      </c>
      <c r="AE176" s="61">
        <f>IF($A176&lt;=Input!$C$6,0,IF('144M'!AA176&lt;'144M'!AC176,'144M'!AA176-AD176,'144M'!AC176))</f>
        <v>0</v>
      </c>
      <c r="AF176" s="61">
        <f t="shared" si="85"/>
        <v>0</v>
      </c>
      <c r="AG176" s="60">
        <f t="shared" si="86"/>
        <v>0</v>
      </c>
      <c r="AH176" s="193"/>
      <c r="AI176" s="169">
        <v>172</v>
      </c>
      <c r="AJ176" s="1">
        <f t="shared" si="106"/>
        <v>50754</v>
      </c>
      <c r="AK176" s="60">
        <f>IF($X176&lt;Input!$H$73,IF($X176&lt;Input!$G$73,IF($X176&lt;Input!$F$73,IF($X176&lt;Input!$E$73,IF($X176&lt;Input!$D$73,Input!$C$79,Input!$D$79),Input!$E$79),Input!$F$79),Input!$G$79),Input!$H$79)</f>
        <v>0</v>
      </c>
      <c r="AL176" s="190">
        <f>IF($A176&lt;Input!$H$80,IF($A176&lt;Input!$G$80,IF($A176&lt;Input!$F$80,IF($A176&lt;Input!$E$80,IF($A176&lt;Input!$D$80,Input!$C$81,Input!$D$81),Input!$E$81),Input!$F$81),Input!$G$81),Input!$H$81)</f>
        <v>0.9</v>
      </c>
      <c r="AM176" s="60">
        <f t="shared" si="87"/>
        <v>0</v>
      </c>
      <c r="AN176" s="60">
        <f t="shared" si="107"/>
        <v>30</v>
      </c>
      <c r="AO176" s="60">
        <f t="shared" si="88"/>
        <v>0</v>
      </c>
      <c r="AP176" s="60">
        <f>ROUND(AO176*AN176*Input!$C$3/365,0)</f>
        <v>0</v>
      </c>
      <c r="AQ176" s="61">
        <f>IF($A176&lt;=Input!$C$6,0,IF('144M'!AM176&lt;'144M'!AO176,'144M'!AM176-AP176,'144M'!AO176))</f>
        <v>0</v>
      </c>
      <c r="AR176" s="61">
        <f t="shared" si="89"/>
        <v>0</v>
      </c>
      <c r="AS176" s="60">
        <f t="shared" si="90"/>
        <v>0</v>
      </c>
      <c r="AT176" s="193"/>
      <c r="AU176" s="169">
        <v>172</v>
      </c>
      <c r="AV176" s="1">
        <f t="shared" si="108"/>
        <v>50754</v>
      </c>
      <c r="AW176" s="60">
        <f>IF($X176&lt;Input!$H$88,IF($X176&lt;Input!$G$88,IF($X176&lt;Input!$F$88,IF($X176&lt;Input!$E$88,IF($X176&lt;Input!$D$88,Input!$C$94,Input!$D$94),Input!$E$94),Input!$F$94),Input!$G$94),Input!$H$94)</f>
        <v>0</v>
      </c>
      <c r="AX176" s="190">
        <f>IF($A176&lt;Input!$H$95,IF($A176&lt;Input!$G$95,IF($A176&lt;Input!$F$95,IF($A176&lt;Input!$E$95,IF($A176&lt;Input!$D$95,Input!$C$96,Input!$D$96),Input!$E$96),Input!$F$96),Input!$G$96),Input!$H$96)</f>
        <v>0.9</v>
      </c>
      <c r="AY176" s="60">
        <f t="shared" si="91"/>
        <v>0</v>
      </c>
      <c r="AZ176" s="60">
        <f t="shared" si="109"/>
        <v>30</v>
      </c>
      <c r="BA176" s="60">
        <f t="shared" si="92"/>
        <v>0</v>
      </c>
      <c r="BB176" s="60">
        <f>ROUND(BA176*AZ176*Input!$C$3/365,0)</f>
        <v>0</v>
      </c>
      <c r="BC176" s="61">
        <f>IF($A176&lt;=Input!$C$6,0,IF('144M'!AY176&lt;'144M'!BA176,'144M'!AY176-BB176,'144M'!BA176))</f>
        <v>0</v>
      </c>
      <c r="BD176" s="61">
        <f t="shared" si="93"/>
        <v>0</v>
      </c>
      <c r="BE176" s="60">
        <f t="shared" si="94"/>
        <v>0</v>
      </c>
      <c r="BF176" s="193"/>
      <c r="BG176" s="169">
        <v>172</v>
      </c>
      <c r="BH176" s="1">
        <f t="shared" si="110"/>
        <v>50754</v>
      </c>
      <c r="BI176" s="60">
        <f>IF($X176&lt;Input!$H$103,IF($X176&lt;Input!$G$103,IF($X176&lt;Input!$F$103,IF($X176&lt;Input!$E$103,IF($X176&lt;Input!$D$103,Input!$C$109,Input!$D$109),Input!$E$109),Input!$F$109),Input!$G$109),Input!$H$109)</f>
        <v>0</v>
      </c>
      <c r="BJ176" s="190">
        <f>IF($A176&lt;Input!$H$110,IF($A176&lt;Input!$G$110,IF($A176&lt;Input!$F$110,IF($A176&lt;Input!$E$110,IF($A176&lt;Input!$D$110,Input!$C$111,Input!$D$111),Input!$E$111),Input!$F$111),Input!$G$111),Input!$H$111)</f>
        <v>0.9</v>
      </c>
      <c r="BK176" s="60">
        <f t="shared" si="95"/>
        <v>0</v>
      </c>
      <c r="BL176" s="60">
        <f t="shared" si="111"/>
        <v>30</v>
      </c>
      <c r="BM176" s="60">
        <f t="shared" si="96"/>
        <v>0</v>
      </c>
      <c r="BN176" s="60">
        <f>ROUND(BM176*BL176*Input!$C$3/365,0)</f>
        <v>0</v>
      </c>
      <c r="BO176" s="61">
        <f>IF($A176&lt;=Input!$C$6,0,IF('144M'!BK176&lt;'144M'!BM176,'144M'!BK176-BN176,'144M'!BM176))</f>
        <v>0</v>
      </c>
      <c r="BP176" s="61">
        <f t="shared" si="97"/>
        <v>0</v>
      </c>
      <c r="BQ176" s="60">
        <f t="shared" si="98"/>
        <v>0</v>
      </c>
      <c r="BR176" s="198"/>
    </row>
    <row r="177" spans="1:70" x14ac:dyDescent="0.25">
      <c r="A177" s="169">
        <v>173</v>
      </c>
      <c r="B177" s="1">
        <f t="shared" si="99"/>
        <v>50785</v>
      </c>
      <c r="C177" s="60">
        <f t="shared" si="77"/>
        <v>33127052.878124986</v>
      </c>
      <c r="D177" s="60">
        <f t="shared" si="78"/>
        <v>29814347.590312488</v>
      </c>
      <c r="E177" s="60">
        <f t="shared" si="100"/>
        <v>31</v>
      </c>
      <c r="F177" s="60">
        <f t="shared" si="101"/>
        <v>0</v>
      </c>
      <c r="G177" s="60">
        <f>ROUND(F177*E177*Input!$C$3/365,0)</f>
        <v>0</v>
      </c>
      <c r="H177" s="60">
        <f>IF($A177&lt;=Input!$C$6,0,IF('144M'!D177&lt;'144M'!F177,'144M'!D177-G177,'144M'!F177))</f>
        <v>0</v>
      </c>
      <c r="I177" s="60">
        <f t="shared" si="102"/>
        <v>0</v>
      </c>
      <c r="J177" s="60">
        <f t="shared" si="103"/>
        <v>0</v>
      </c>
      <c r="K177" s="202">
        <f>J177/Input!$K$5</f>
        <v>0</v>
      </c>
      <c r="L177" s="232"/>
      <c r="M177" s="60">
        <f>IF($B177&lt;Input!$H$43,IF($B177&lt;Input!$G$43,IF($B177&lt;Input!$F$43,IF($B177&lt;Input!$E$43,IF($B177&lt;Input!$D$43,Input!$C$49,Input!$D$49),Input!$E$49),Input!$F$49),Input!$G$49),Input!$H$49)</f>
        <v>33127052.878124986</v>
      </c>
      <c r="N177" s="190">
        <f>IF($A177&lt;Input!$H$50,IF($A177&lt;Input!$G$50,IF($A177&lt;Input!$F$50,IF($A177&lt;Input!$E$50,IF($A177&lt;Input!$D$50,Input!$C$51,Input!$D$51),Input!$E$51),Input!$F$51),Input!$G$51),Input!$H$51)</f>
        <v>0.9</v>
      </c>
      <c r="O177" s="60">
        <f t="shared" si="112"/>
        <v>29814347.590312488</v>
      </c>
      <c r="P177" s="60">
        <f t="shared" si="113"/>
        <v>31</v>
      </c>
      <c r="Q177" s="60">
        <f t="shared" si="80"/>
        <v>0</v>
      </c>
      <c r="R177" s="60">
        <f>ROUND(Q177*$P177*Input!$C$3/365,0)</f>
        <v>0</v>
      </c>
      <c r="S177" s="60">
        <f>IF(A177&lt;=Input!$C$6,0,IF('144M'!O177&lt;'144M'!Q177,'144M'!O177-R177,'144M'!Q177))</f>
        <v>0</v>
      </c>
      <c r="T177" s="60">
        <f t="shared" si="81"/>
        <v>0</v>
      </c>
      <c r="U177" s="60">
        <f t="shared" si="82"/>
        <v>0</v>
      </c>
      <c r="V177" s="193"/>
      <c r="W177" s="169">
        <v>173</v>
      </c>
      <c r="X177" s="1">
        <f t="shared" si="104"/>
        <v>50785</v>
      </c>
      <c r="Y177" s="60">
        <f>IF($X177&lt;Input!$H$58,IF($X177&lt;Input!$G$58,IF($X177&lt;Input!$F$58,IF($X177&lt;Input!$E$58,IF($X177&lt;Input!$D$58,Input!$C$64,Input!$D$64),Input!$E$64),Input!$F$64),Input!$G$64),Input!$H$64)</f>
        <v>0</v>
      </c>
      <c r="Z177" s="190">
        <f>IF($A177&lt;Input!$H$65,IF($A177&lt;Input!$G$65,IF($A177&lt;Input!$F$65,IF($A177&lt;Input!$E$65,IF($A177&lt;Input!$D$65,Input!$C$66,Input!$D$66),Input!$E$66),Input!$F$66),Input!$G$66),Input!$H$66)</f>
        <v>0.9</v>
      </c>
      <c r="AA177" s="60">
        <f t="shared" si="83"/>
        <v>0</v>
      </c>
      <c r="AB177" s="60">
        <f t="shared" si="105"/>
        <v>31</v>
      </c>
      <c r="AC177" s="60">
        <f t="shared" si="84"/>
        <v>0</v>
      </c>
      <c r="AD177" s="60">
        <f>ROUND(AC177*AB177*Input!$C$3/365,0)</f>
        <v>0</v>
      </c>
      <c r="AE177" s="61">
        <f>IF($A177&lt;=Input!$C$6,0,IF('144M'!AA177&lt;'144M'!AC177,'144M'!AA177-AD177,'144M'!AC177))</f>
        <v>0</v>
      </c>
      <c r="AF177" s="61">
        <f t="shared" si="85"/>
        <v>0</v>
      </c>
      <c r="AG177" s="60">
        <f t="shared" si="86"/>
        <v>0</v>
      </c>
      <c r="AH177" s="193"/>
      <c r="AI177" s="169">
        <v>173</v>
      </c>
      <c r="AJ177" s="1">
        <f t="shared" si="106"/>
        <v>50785</v>
      </c>
      <c r="AK177" s="60">
        <f>IF($X177&lt;Input!$H$73,IF($X177&lt;Input!$G$73,IF($X177&lt;Input!$F$73,IF($X177&lt;Input!$E$73,IF($X177&lt;Input!$D$73,Input!$C$79,Input!$D$79),Input!$E$79),Input!$F$79),Input!$G$79),Input!$H$79)</f>
        <v>0</v>
      </c>
      <c r="AL177" s="190">
        <f>IF($A177&lt;Input!$H$80,IF($A177&lt;Input!$G$80,IF($A177&lt;Input!$F$80,IF($A177&lt;Input!$E$80,IF($A177&lt;Input!$D$80,Input!$C$81,Input!$D$81),Input!$E$81),Input!$F$81),Input!$G$81),Input!$H$81)</f>
        <v>0.9</v>
      </c>
      <c r="AM177" s="60">
        <f t="shared" si="87"/>
        <v>0</v>
      </c>
      <c r="AN177" s="60">
        <f t="shared" si="107"/>
        <v>31</v>
      </c>
      <c r="AO177" s="60">
        <f t="shared" si="88"/>
        <v>0</v>
      </c>
      <c r="AP177" s="60">
        <f>ROUND(AO177*AN177*Input!$C$3/365,0)</f>
        <v>0</v>
      </c>
      <c r="AQ177" s="61">
        <f>IF($A177&lt;=Input!$C$6,0,IF('144M'!AM177&lt;'144M'!AO177,'144M'!AM177-AP177,'144M'!AO177))</f>
        <v>0</v>
      </c>
      <c r="AR177" s="61">
        <f t="shared" si="89"/>
        <v>0</v>
      </c>
      <c r="AS177" s="60">
        <f t="shared" si="90"/>
        <v>0</v>
      </c>
      <c r="AT177" s="193"/>
      <c r="AU177" s="169">
        <v>173</v>
      </c>
      <c r="AV177" s="1">
        <f t="shared" si="108"/>
        <v>50785</v>
      </c>
      <c r="AW177" s="60">
        <f>IF($X177&lt;Input!$H$88,IF($X177&lt;Input!$G$88,IF($X177&lt;Input!$F$88,IF($X177&lt;Input!$E$88,IF($X177&lt;Input!$D$88,Input!$C$94,Input!$D$94),Input!$E$94),Input!$F$94),Input!$G$94),Input!$H$94)</f>
        <v>0</v>
      </c>
      <c r="AX177" s="190">
        <f>IF($A177&lt;Input!$H$95,IF($A177&lt;Input!$G$95,IF($A177&lt;Input!$F$95,IF($A177&lt;Input!$E$95,IF($A177&lt;Input!$D$95,Input!$C$96,Input!$D$96),Input!$E$96),Input!$F$96),Input!$G$96),Input!$H$96)</f>
        <v>0.9</v>
      </c>
      <c r="AY177" s="60">
        <f t="shared" si="91"/>
        <v>0</v>
      </c>
      <c r="AZ177" s="60">
        <f t="shared" si="109"/>
        <v>31</v>
      </c>
      <c r="BA177" s="60">
        <f t="shared" si="92"/>
        <v>0</v>
      </c>
      <c r="BB177" s="60">
        <f>ROUND(BA177*AZ177*Input!$C$3/365,0)</f>
        <v>0</v>
      </c>
      <c r="BC177" s="61">
        <f>IF($A177&lt;=Input!$C$6,0,IF('144M'!AY177&lt;'144M'!BA177,'144M'!AY177-BB177,'144M'!BA177))</f>
        <v>0</v>
      </c>
      <c r="BD177" s="61">
        <f t="shared" si="93"/>
        <v>0</v>
      </c>
      <c r="BE177" s="60">
        <f t="shared" si="94"/>
        <v>0</v>
      </c>
      <c r="BF177" s="193"/>
      <c r="BG177" s="169">
        <v>173</v>
      </c>
      <c r="BH177" s="1">
        <f t="shared" si="110"/>
        <v>50785</v>
      </c>
      <c r="BI177" s="60">
        <f>IF($X177&lt;Input!$H$103,IF($X177&lt;Input!$G$103,IF($X177&lt;Input!$F$103,IF($X177&lt;Input!$E$103,IF($X177&lt;Input!$D$103,Input!$C$109,Input!$D$109),Input!$E$109),Input!$F$109),Input!$G$109),Input!$H$109)</f>
        <v>0</v>
      </c>
      <c r="BJ177" s="190">
        <f>IF($A177&lt;Input!$H$110,IF($A177&lt;Input!$G$110,IF($A177&lt;Input!$F$110,IF($A177&lt;Input!$E$110,IF($A177&lt;Input!$D$110,Input!$C$111,Input!$D$111),Input!$E$111),Input!$F$111),Input!$G$111),Input!$H$111)</f>
        <v>0.9</v>
      </c>
      <c r="BK177" s="60">
        <f t="shared" si="95"/>
        <v>0</v>
      </c>
      <c r="BL177" s="60">
        <f t="shared" si="111"/>
        <v>31</v>
      </c>
      <c r="BM177" s="60">
        <f t="shared" si="96"/>
        <v>0</v>
      </c>
      <c r="BN177" s="60">
        <f>ROUND(BM177*BL177*Input!$C$3/365,0)</f>
        <v>0</v>
      </c>
      <c r="BO177" s="61">
        <f>IF($A177&lt;=Input!$C$6,0,IF('144M'!BK177&lt;'144M'!BM177,'144M'!BK177-BN177,'144M'!BM177))</f>
        <v>0</v>
      </c>
      <c r="BP177" s="61">
        <f t="shared" si="97"/>
        <v>0</v>
      </c>
      <c r="BQ177" s="60">
        <f t="shared" si="98"/>
        <v>0</v>
      </c>
      <c r="BR177" s="198"/>
    </row>
    <row r="178" spans="1:70" x14ac:dyDescent="0.25">
      <c r="A178" s="169">
        <v>174</v>
      </c>
      <c r="B178" s="1">
        <f t="shared" si="99"/>
        <v>50816</v>
      </c>
      <c r="C178" s="60">
        <f t="shared" si="77"/>
        <v>33127052.878124986</v>
      </c>
      <c r="D178" s="60">
        <f t="shared" si="78"/>
        <v>29814347.590312488</v>
      </c>
      <c r="E178" s="60">
        <f t="shared" si="100"/>
        <v>31</v>
      </c>
      <c r="F178" s="60">
        <f t="shared" si="101"/>
        <v>0</v>
      </c>
      <c r="G178" s="60">
        <f>ROUND(F178*E178*Input!$C$3/365,0)</f>
        <v>0</v>
      </c>
      <c r="H178" s="60">
        <f>IF($A178&lt;=Input!$C$6,0,IF('144M'!D178&lt;'144M'!F178,'144M'!D178-G178,'144M'!F178))</f>
        <v>0</v>
      </c>
      <c r="I178" s="60">
        <f t="shared" si="102"/>
        <v>0</v>
      </c>
      <c r="J178" s="60">
        <f t="shared" si="103"/>
        <v>0</v>
      </c>
      <c r="K178" s="202">
        <f>J178/Input!$K$5</f>
        <v>0</v>
      </c>
      <c r="L178" s="232"/>
      <c r="M178" s="60">
        <f>IF($B178&lt;Input!$H$43,IF($B178&lt;Input!$G$43,IF($B178&lt;Input!$F$43,IF($B178&lt;Input!$E$43,IF($B178&lt;Input!$D$43,Input!$C$49,Input!$D$49),Input!$E$49),Input!$F$49),Input!$G$49),Input!$H$49)</f>
        <v>33127052.878124986</v>
      </c>
      <c r="N178" s="190">
        <f>IF($A178&lt;Input!$H$50,IF($A178&lt;Input!$G$50,IF($A178&lt;Input!$F$50,IF($A178&lt;Input!$E$50,IF($A178&lt;Input!$D$50,Input!$C$51,Input!$D$51),Input!$E$51),Input!$F$51),Input!$G$51),Input!$H$51)</f>
        <v>0.9</v>
      </c>
      <c r="O178" s="60">
        <f t="shared" si="112"/>
        <v>29814347.590312488</v>
      </c>
      <c r="P178" s="60">
        <f t="shared" si="113"/>
        <v>31</v>
      </c>
      <c r="Q178" s="60">
        <f t="shared" si="80"/>
        <v>0</v>
      </c>
      <c r="R178" s="60">
        <f>ROUND(Q178*$P178*Input!$C$3/365,0)</f>
        <v>0</v>
      </c>
      <c r="S178" s="60">
        <f>IF(A178&lt;=Input!$C$6,0,IF('144M'!O178&lt;'144M'!Q178,'144M'!O178-R178,'144M'!Q178))</f>
        <v>0</v>
      </c>
      <c r="T178" s="60">
        <f t="shared" si="81"/>
        <v>0</v>
      </c>
      <c r="U178" s="60">
        <f t="shared" si="82"/>
        <v>0</v>
      </c>
      <c r="V178" s="193"/>
      <c r="W178" s="169">
        <v>174</v>
      </c>
      <c r="X178" s="1">
        <f t="shared" si="104"/>
        <v>50816</v>
      </c>
      <c r="Y178" s="60">
        <f>IF($X178&lt;Input!$H$58,IF($X178&lt;Input!$G$58,IF($X178&lt;Input!$F$58,IF($X178&lt;Input!$E$58,IF($X178&lt;Input!$D$58,Input!$C$64,Input!$D$64),Input!$E$64),Input!$F$64),Input!$G$64),Input!$H$64)</f>
        <v>0</v>
      </c>
      <c r="Z178" s="190">
        <f>IF($A178&lt;Input!$H$65,IF($A178&lt;Input!$G$65,IF($A178&lt;Input!$F$65,IF($A178&lt;Input!$E$65,IF($A178&lt;Input!$D$65,Input!$C$66,Input!$D$66),Input!$E$66),Input!$F$66),Input!$G$66),Input!$H$66)</f>
        <v>0.9</v>
      </c>
      <c r="AA178" s="60">
        <f t="shared" si="83"/>
        <v>0</v>
      </c>
      <c r="AB178" s="60">
        <f t="shared" si="105"/>
        <v>31</v>
      </c>
      <c r="AC178" s="60">
        <f t="shared" si="84"/>
        <v>0</v>
      </c>
      <c r="AD178" s="60">
        <f>ROUND(AC178*AB178*Input!$C$3/365,0)</f>
        <v>0</v>
      </c>
      <c r="AE178" s="61">
        <f>IF($A178&lt;=Input!$C$6,0,IF('144M'!AA178&lt;'144M'!AC178,'144M'!AA178-AD178,'144M'!AC178))</f>
        <v>0</v>
      </c>
      <c r="AF178" s="61">
        <f t="shared" si="85"/>
        <v>0</v>
      </c>
      <c r="AG178" s="60">
        <f t="shared" si="86"/>
        <v>0</v>
      </c>
      <c r="AH178" s="193"/>
      <c r="AI178" s="169">
        <v>174</v>
      </c>
      <c r="AJ178" s="1">
        <f t="shared" si="106"/>
        <v>50816</v>
      </c>
      <c r="AK178" s="60">
        <f>IF($X178&lt;Input!$H$73,IF($X178&lt;Input!$G$73,IF($X178&lt;Input!$F$73,IF($X178&lt;Input!$E$73,IF($X178&lt;Input!$D$73,Input!$C$79,Input!$D$79),Input!$E$79),Input!$F$79),Input!$G$79),Input!$H$79)</f>
        <v>0</v>
      </c>
      <c r="AL178" s="190">
        <f>IF($A178&lt;Input!$H$80,IF($A178&lt;Input!$G$80,IF($A178&lt;Input!$F$80,IF($A178&lt;Input!$E$80,IF($A178&lt;Input!$D$80,Input!$C$81,Input!$D$81),Input!$E$81),Input!$F$81),Input!$G$81),Input!$H$81)</f>
        <v>0.9</v>
      </c>
      <c r="AM178" s="60">
        <f t="shared" si="87"/>
        <v>0</v>
      </c>
      <c r="AN178" s="60">
        <f t="shared" si="107"/>
        <v>31</v>
      </c>
      <c r="AO178" s="60">
        <f t="shared" si="88"/>
        <v>0</v>
      </c>
      <c r="AP178" s="60">
        <f>ROUND(AO178*AN178*Input!$C$3/365,0)</f>
        <v>0</v>
      </c>
      <c r="AQ178" s="61">
        <f>IF($A178&lt;=Input!$C$6,0,IF('144M'!AM178&lt;'144M'!AO178,'144M'!AM178-AP178,'144M'!AO178))</f>
        <v>0</v>
      </c>
      <c r="AR178" s="61">
        <f t="shared" si="89"/>
        <v>0</v>
      </c>
      <c r="AS178" s="60">
        <f t="shared" si="90"/>
        <v>0</v>
      </c>
      <c r="AT178" s="193"/>
      <c r="AU178" s="169">
        <v>174</v>
      </c>
      <c r="AV178" s="1">
        <f t="shared" si="108"/>
        <v>50816</v>
      </c>
      <c r="AW178" s="60">
        <f>IF($X178&lt;Input!$H$88,IF($X178&lt;Input!$G$88,IF($X178&lt;Input!$F$88,IF($X178&lt;Input!$E$88,IF($X178&lt;Input!$D$88,Input!$C$94,Input!$D$94),Input!$E$94),Input!$F$94),Input!$G$94),Input!$H$94)</f>
        <v>0</v>
      </c>
      <c r="AX178" s="190">
        <f>IF($A178&lt;Input!$H$95,IF($A178&lt;Input!$G$95,IF($A178&lt;Input!$F$95,IF($A178&lt;Input!$E$95,IF($A178&lt;Input!$D$95,Input!$C$96,Input!$D$96),Input!$E$96),Input!$F$96),Input!$G$96),Input!$H$96)</f>
        <v>0.9</v>
      </c>
      <c r="AY178" s="60">
        <f t="shared" si="91"/>
        <v>0</v>
      </c>
      <c r="AZ178" s="60">
        <f t="shared" si="109"/>
        <v>31</v>
      </c>
      <c r="BA178" s="60">
        <f t="shared" si="92"/>
        <v>0</v>
      </c>
      <c r="BB178" s="60">
        <f>ROUND(BA178*AZ178*Input!$C$3/365,0)</f>
        <v>0</v>
      </c>
      <c r="BC178" s="61">
        <f>IF($A178&lt;=Input!$C$6,0,IF('144M'!AY178&lt;'144M'!BA178,'144M'!AY178-BB178,'144M'!BA178))</f>
        <v>0</v>
      </c>
      <c r="BD178" s="61">
        <f t="shared" si="93"/>
        <v>0</v>
      </c>
      <c r="BE178" s="60">
        <f t="shared" si="94"/>
        <v>0</v>
      </c>
      <c r="BF178" s="193"/>
      <c r="BG178" s="169">
        <v>174</v>
      </c>
      <c r="BH178" s="1">
        <f t="shared" si="110"/>
        <v>50816</v>
      </c>
      <c r="BI178" s="60">
        <f>IF($X178&lt;Input!$H$103,IF($X178&lt;Input!$G$103,IF($X178&lt;Input!$F$103,IF($X178&lt;Input!$E$103,IF($X178&lt;Input!$D$103,Input!$C$109,Input!$D$109),Input!$E$109),Input!$F$109),Input!$G$109),Input!$H$109)</f>
        <v>0</v>
      </c>
      <c r="BJ178" s="190">
        <f>IF($A178&lt;Input!$H$110,IF($A178&lt;Input!$G$110,IF($A178&lt;Input!$F$110,IF($A178&lt;Input!$E$110,IF($A178&lt;Input!$D$110,Input!$C$111,Input!$D$111),Input!$E$111),Input!$F$111),Input!$G$111),Input!$H$111)</f>
        <v>0.9</v>
      </c>
      <c r="BK178" s="60">
        <f t="shared" si="95"/>
        <v>0</v>
      </c>
      <c r="BL178" s="60">
        <f t="shared" si="111"/>
        <v>31</v>
      </c>
      <c r="BM178" s="60">
        <f t="shared" si="96"/>
        <v>0</v>
      </c>
      <c r="BN178" s="60">
        <f>ROUND(BM178*BL178*Input!$C$3/365,0)</f>
        <v>0</v>
      </c>
      <c r="BO178" s="61">
        <f>IF($A178&lt;=Input!$C$6,0,IF('144M'!BK178&lt;'144M'!BM178,'144M'!BK178-BN178,'144M'!BM178))</f>
        <v>0</v>
      </c>
      <c r="BP178" s="61">
        <f t="shared" si="97"/>
        <v>0</v>
      </c>
      <c r="BQ178" s="60">
        <f t="shared" si="98"/>
        <v>0</v>
      </c>
      <c r="BR178" s="198"/>
    </row>
    <row r="179" spans="1:70" x14ac:dyDescent="0.25">
      <c r="A179" s="169">
        <v>175</v>
      </c>
      <c r="B179" s="1">
        <f t="shared" si="99"/>
        <v>50844</v>
      </c>
      <c r="C179" s="60">
        <f t="shared" si="77"/>
        <v>33127052.878124986</v>
      </c>
      <c r="D179" s="60">
        <f t="shared" si="78"/>
        <v>29814347.590312488</v>
      </c>
      <c r="E179" s="60">
        <f t="shared" si="100"/>
        <v>28</v>
      </c>
      <c r="F179" s="60">
        <f t="shared" si="101"/>
        <v>0</v>
      </c>
      <c r="G179" s="60">
        <f>ROUND(F179*E179*Input!$C$3/365,0)</f>
        <v>0</v>
      </c>
      <c r="H179" s="60">
        <f>IF($A179&lt;=Input!$C$6,0,IF('144M'!D179&lt;'144M'!F179,'144M'!D179-G179,'144M'!F179))</f>
        <v>0</v>
      </c>
      <c r="I179" s="60">
        <f t="shared" si="102"/>
        <v>0</v>
      </c>
      <c r="J179" s="60">
        <f t="shared" si="103"/>
        <v>0</v>
      </c>
      <c r="K179" s="202">
        <f>J179/Input!$K$5</f>
        <v>0</v>
      </c>
      <c r="L179" s="232"/>
      <c r="M179" s="60">
        <f>IF($B179&lt;Input!$H$43,IF($B179&lt;Input!$G$43,IF($B179&lt;Input!$F$43,IF($B179&lt;Input!$E$43,IF($B179&lt;Input!$D$43,Input!$C$49,Input!$D$49),Input!$E$49),Input!$F$49),Input!$G$49),Input!$H$49)</f>
        <v>33127052.878124986</v>
      </c>
      <c r="N179" s="190">
        <f>IF($A179&lt;Input!$H$50,IF($A179&lt;Input!$G$50,IF($A179&lt;Input!$F$50,IF($A179&lt;Input!$E$50,IF($A179&lt;Input!$D$50,Input!$C$51,Input!$D$51),Input!$E$51),Input!$F$51),Input!$G$51),Input!$H$51)</f>
        <v>0.9</v>
      </c>
      <c r="O179" s="60">
        <f t="shared" si="112"/>
        <v>29814347.590312488</v>
      </c>
      <c r="P179" s="60">
        <f t="shared" si="113"/>
        <v>28</v>
      </c>
      <c r="Q179" s="60">
        <f t="shared" si="80"/>
        <v>0</v>
      </c>
      <c r="R179" s="60">
        <f>ROUND(Q179*$P179*Input!$C$3/365,0)</f>
        <v>0</v>
      </c>
      <c r="S179" s="60">
        <f>IF(A179&lt;=Input!$C$6,0,IF('144M'!O179&lt;'144M'!Q179,'144M'!O179-R179,'144M'!Q179))</f>
        <v>0</v>
      </c>
      <c r="T179" s="60">
        <f t="shared" si="81"/>
        <v>0</v>
      </c>
      <c r="U179" s="60">
        <f t="shared" si="82"/>
        <v>0</v>
      </c>
      <c r="V179" s="193"/>
      <c r="W179" s="169">
        <v>175</v>
      </c>
      <c r="X179" s="1">
        <f t="shared" si="104"/>
        <v>50844</v>
      </c>
      <c r="Y179" s="60">
        <f>IF($X179&lt;Input!$H$58,IF($X179&lt;Input!$G$58,IF($X179&lt;Input!$F$58,IF($X179&lt;Input!$E$58,IF($X179&lt;Input!$D$58,Input!$C$64,Input!$D$64),Input!$E$64),Input!$F$64),Input!$G$64),Input!$H$64)</f>
        <v>0</v>
      </c>
      <c r="Z179" s="190">
        <f>IF($A179&lt;Input!$H$65,IF($A179&lt;Input!$G$65,IF($A179&lt;Input!$F$65,IF($A179&lt;Input!$E$65,IF($A179&lt;Input!$D$65,Input!$C$66,Input!$D$66),Input!$E$66),Input!$F$66),Input!$G$66),Input!$H$66)</f>
        <v>0.9</v>
      </c>
      <c r="AA179" s="60">
        <f t="shared" si="83"/>
        <v>0</v>
      </c>
      <c r="AB179" s="60">
        <f t="shared" si="105"/>
        <v>28</v>
      </c>
      <c r="AC179" s="60">
        <f t="shared" si="84"/>
        <v>0</v>
      </c>
      <c r="AD179" s="60">
        <f>ROUND(AC179*AB179*Input!$C$3/365,0)</f>
        <v>0</v>
      </c>
      <c r="AE179" s="61">
        <f>IF($A179&lt;=Input!$C$6,0,IF('144M'!AA179&lt;'144M'!AC179,'144M'!AA179-AD179,'144M'!AC179))</f>
        <v>0</v>
      </c>
      <c r="AF179" s="61">
        <f t="shared" si="85"/>
        <v>0</v>
      </c>
      <c r="AG179" s="60">
        <f t="shared" si="86"/>
        <v>0</v>
      </c>
      <c r="AH179" s="193"/>
      <c r="AI179" s="169">
        <v>175</v>
      </c>
      <c r="AJ179" s="1">
        <f t="shared" si="106"/>
        <v>50844</v>
      </c>
      <c r="AK179" s="60">
        <f>IF($X179&lt;Input!$H$73,IF($X179&lt;Input!$G$73,IF($X179&lt;Input!$F$73,IF($X179&lt;Input!$E$73,IF($X179&lt;Input!$D$73,Input!$C$79,Input!$D$79),Input!$E$79),Input!$F$79),Input!$G$79),Input!$H$79)</f>
        <v>0</v>
      </c>
      <c r="AL179" s="190">
        <f>IF($A179&lt;Input!$H$80,IF($A179&lt;Input!$G$80,IF($A179&lt;Input!$F$80,IF($A179&lt;Input!$E$80,IF($A179&lt;Input!$D$80,Input!$C$81,Input!$D$81),Input!$E$81),Input!$F$81),Input!$G$81),Input!$H$81)</f>
        <v>0.9</v>
      </c>
      <c r="AM179" s="60">
        <f t="shared" si="87"/>
        <v>0</v>
      </c>
      <c r="AN179" s="60">
        <f t="shared" si="107"/>
        <v>28</v>
      </c>
      <c r="AO179" s="60">
        <f t="shared" si="88"/>
        <v>0</v>
      </c>
      <c r="AP179" s="60">
        <f>ROUND(AO179*AN179*Input!$C$3/365,0)</f>
        <v>0</v>
      </c>
      <c r="AQ179" s="61">
        <f>IF($A179&lt;=Input!$C$6,0,IF('144M'!AM179&lt;'144M'!AO179,'144M'!AM179-AP179,'144M'!AO179))</f>
        <v>0</v>
      </c>
      <c r="AR179" s="61">
        <f t="shared" si="89"/>
        <v>0</v>
      </c>
      <c r="AS179" s="60">
        <f t="shared" si="90"/>
        <v>0</v>
      </c>
      <c r="AT179" s="193"/>
      <c r="AU179" s="169">
        <v>175</v>
      </c>
      <c r="AV179" s="1">
        <f t="shared" si="108"/>
        <v>50844</v>
      </c>
      <c r="AW179" s="60">
        <f>IF($X179&lt;Input!$H$88,IF($X179&lt;Input!$G$88,IF($X179&lt;Input!$F$88,IF($X179&lt;Input!$E$88,IF($X179&lt;Input!$D$88,Input!$C$94,Input!$D$94),Input!$E$94),Input!$F$94),Input!$G$94),Input!$H$94)</f>
        <v>0</v>
      </c>
      <c r="AX179" s="190">
        <f>IF($A179&lt;Input!$H$95,IF($A179&lt;Input!$G$95,IF($A179&lt;Input!$F$95,IF($A179&lt;Input!$E$95,IF($A179&lt;Input!$D$95,Input!$C$96,Input!$D$96),Input!$E$96),Input!$F$96),Input!$G$96),Input!$H$96)</f>
        <v>0.9</v>
      </c>
      <c r="AY179" s="60">
        <f t="shared" si="91"/>
        <v>0</v>
      </c>
      <c r="AZ179" s="60">
        <f t="shared" si="109"/>
        <v>28</v>
      </c>
      <c r="BA179" s="60">
        <f t="shared" si="92"/>
        <v>0</v>
      </c>
      <c r="BB179" s="60">
        <f>ROUND(BA179*AZ179*Input!$C$3/365,0)</f>
        <v>0</v>
      </c>
      <c r="BC179" s="61">
        <f>IF($A179&lt;=Input!$C$6,0,IF('144M'!AY179&lt;'144M'!BA179,'144M'!AY179-BB179,'144M'!BA179))</f>
        <v>0</v>
      </c>
      <c r="BD179" s="61">
        <f t="shared" si="93"/>
        <v>0</v>
      </c>
      <c r="BE179" s="60">
        <f t="shared" si="94"/>
        <v>0</v>
      </c>
      <c r="BF179" s="193"/>
      <c r="BG179" s="169">
        <v>175</v>
      </c>
      <c r="BH179" s="1">
        <f t="shared" si="110"/>
        <v>50844</v>
      </c>
      <c r="BI179" s="60">
        <f>IF($X179&lt;Input!$H$103,IF($X179&lt;Input!$G$103,IF($X179&lt;Input!$F$103,IF($X179&lt;Input!$E$103,IF($X179&lt;Input!$D$103,Input!$C$109,Input!$D$109),Input!$E$109),Input!$F$109),Input!$G$109),Input!$H$109)</f>
        <v>0</v>
      </c>
      <c r="BJ179" s="190">
        <f>IF($A179&lt;Input!$H$110,IF($A179&lt;Input!$G$110,IF($A179&lt;Input!$F$110,IF($A179&lt;Input!$E$110,IF($A179&lt;Input!$D$110,Input!$C$111,Input!$D$111),Input!$E$111),Input!$F$111),Input!$G$111),Input!$H$111)</f>
        <v>0.9</v>
      </c>
      <c r="BK179" s="60">
        <f t="shared" si="95"/>
        <v>0</v>
      </c>
      <c r="BL179" s="60">
        <f t="shared" si="111"/>
        <v>28</v>
      </c>
      <c r="BM179" s="60">
        <f t="shared" si="96"/>
        <v>0</v>
      </c>
      <c r="BN179" s="60">
        <f>ROUND(BM179*BL179*Input!$C$3/365,0)</f>
        <v>0</v>
      </c>
      <c r="BO179" s="61">
        <f>IF($A179&lt;=Input!$C$6,0,IF('144M'!BK179&lt;'144M'!BM179,'144M'!BK179-BN179,'144M'!BM179))</f>
        <v>0</v>
      </c>
      <c r="BP179" s="61">
        <f t="shared" si="97"/>
        <v>0</v>
      </c>
      <c r="BQ179" s="60">
        <f t="shared" si="98"/>
        <v>0</v>
      </c>
      <c r="BR179" s="198"/>
    </row>
    <row r="180" spans="1:70" x14ac:dyDescent="0.25">
      <c r="A180" s="169">
        <v>176</v>
      </c>
      <c r="B180" s="1">
        <f t="shared" si="99"/>
        <v>50875</v>
      </c>
      <c r="C180" s="60">
        <f t="shared" si="77"/>
        <v>33127052.878124986</v>
      </c>
      <c r="D180" s="60">
        <f t="shared" si="78"/>
        <v>29814347.590312488</v>
      </c>
      <c r="E180" s="60">
        <f t="shared" si="100"/>
        <v>31</v>
      </c>
      <c r="F180" s="60">
        <f t="shared" si="101"/>
        <v>0</v>
      </c>
      <c r="G180" s="60">
        <f>ROUND(F180*E180*Input!$C$3/365,0)</f>
        <v>0</v>
      </c>
      <c r="H180" s="60">
        <f>IF($A180&lt;=Input!$C$6,0,IF('144M'!D180&lt;'144M'!F180,'144M'!D180-G180,'144M'!F180))</f>
        <v>0</v>
      </c>
      <c r="I180" s="60">
        <f t="shared" si="102"/>
        <v>0</v>
      </c>
      <c r="J180" s="60">
        <f t="shared" si="103"/>
        <v>0</v>
      </c>
      <c r="K180" s="202">
        <f>J180/Input!$K$5</f>
        <v>0</v>
      </c>
      <c r="L180" s="232"/>
      <c r="M180" s="60">
        <f>IF($B180&lt;Input!$H$43,IF($B180&lt;Input!$G$43,IF($B180&lt;Input!$F$43,IF($B180&lt;Input!$E$43,IF($B180&lt;Input!$D$43,Input!$C$49,Input!$D$49),Input!$E$49),Input!$F$49),Input!$G$49),Input!$H$49)</f>
        <v>33127052.878124986</v>
      </c>
      <c r="N180" s="190">
        <f>IF($A180&lt;Input!$H$50,IF($A180&lt;Input!$G$50,IF($A180&lt;Input!$F$50,IF($A180&lt;Input!$E$50,IF($A180&lt;Input!$D$50,Input!$C$51,Input!$D$51),Input!$E$51),Input!$F$51),Input!$G$51),Input!$H$51)</f>
        <v>0.9</v>
      </c>
      <c r="O180" s="60">
        <f t="shared" si="112"/>
        <v>29814347.590312488</v>
      </c>
      <c r="P180" s="60">
        <f t="shared" si="113"/>
        <v>31</v>
      </c>
      <c r="Q180" s="60">
        <f t="shared" si="80"/>
        <v>0</v>
      </c>
      <c r="R180" s="60">
        <f>ROUND(Q180*$P180*Input!$C$3/365,0)</f>
        <v>0</v>
      </c>
      <c r="S180" s="60">
        <f>IF(A180&lt;=Input!$C$6,0,IF('144M'!O180&lt;'144M'!Q180,'144M'!O180-R180,'144M'!Q180))</f>
        <v>0</v>
      </c>
      <c r="T180" s="60">
        <f t="shared" si="81"/>
        <v>0</v>
      </c>
      <c r="U180" s="60">
        <f t="shared" si="82"/>
        <v>0</v>
      </c>
      <c r="V180" s="193"/>
      <c r="W180" s="169">
        <v>176</v>
      </c>
      <c r="X180" s="1">
        <f t="shared" si="104"/>
        <v>50875</v>
      </c>
      <c r="Y180" s="60">
        <f>IF($X180&lt;Input!$H$58,IF($X180&lt;Input!$G$58,IF($X180&lt;Input!$F$58,IF($X180&lt;Input!$E$58,IF($X180&lt;Input!$D$58,Input!$C$64,Input!$D$64),Input!$E$64),Input!$F$64),Input!$G$64),Input!$H$64)</f>
        <v>0</v>
      </c>
      <c r="Z180" s="190">
        <f>IF($A180&lt;Input!$H$65,IF($A180&lt;Input!$G$65,IF($A180&lt;Input!$F$65,IF($A180&lt;Input!$E$65,IF($A180&lt;Input!$D$65,Input!$C$66,Input!$D$66),Input!$E$66),Input!$F$66),Input!$G$66),Input!$H$66)</f>
        <v>0.9</v>
      </c>
      <c r="AA180" s="60">
        <f t="shared" si="83"/>
        <v>0</v>
      </c>
      <c r="AB180" s="60">
        <f t="shared" si="105"/>
        <v>31</v>
      </c>
      <c r="AC180" s="60">
        <f t="shared" si="84"/>
        <v>0</v>
      </c>
      <c r="AD180" s="60">
        <f>ROUND(AC180*AB180*Input!$C$3/365,0)</f>
        <v>0</v>
      </c>
      <c r="AE180" s="61">
        <f>IF($A180&lt;=Input!$C$6,0,IF('144M'!AA180&lt;'144M'!AC180,'144M'!AA180-AD180,'144M'!AC180))</f>
        <v>0</v>
      </c>
      <c r="AF180" s="61">
        <f t="shared" si="85"/>
        <v>0</v>
      </c>
      <c r="AG180" s="60">
        <f t="shared" si="86"/>
        <v>0</v>
      </c>
      <c r="AH180" s="193"/>
      <c r="AI180" s="169">
        <v>176</v>
      </c>
      <c r="AJ180" s="1">
        <f t="shared" si="106"/>
        <v>50875</v>
      </c>
      <c r="AK180" s="60">
        <f>IF($X180&lt;Input!$H$73,IF($X180&lt;Input!$G$73,IF($X180&lt;Input!$F$73,IF($X180&lt;Input!$E$73,IF($X180&lt;Input!$D$73,Input!$C$79,Input!$D$79),Input!$E$79),Input!$F$79),Input!$G$79),Input!$H$79)</f>
        <v>0</v>
      </c>
      <c r="AL180" s="190">
        <f>IF($A180&lt;Input!$H$80,IF($A180&lt;Input!$G$80,IF($A180&lt;Input!$F$80,IF($A180&lt;Input!$E$80,IF($A180&lt;Input!$D$80,Input!$C$81,Input!$D$81),Input!$E$81),Input!$F$81),Input!$G$81),Input!$H$81)</f>
        <v>0.9</v>
      </c>
      <c r="AM180" s="60">
        <f t="shared" si="87"/>
        <v>0</v>
      </c>
      <c r="AN180" s="60">
        <f t="shared" si="107"/>
        <v>31</v>
      </c>
      <c r="AO180" s="60">
        <f t="shared" si="88"/>
        <v>0</v>
      </c>
      <c r="AP180" s="60">
        <f>ROUND(AO180*AN180*Input!$C$3/365,0)</f>
        <v>0</v>
      </c>
      <c r="AQ180" s="61">
        <f>IF($A180&lt;=Input!$C$6,0,IF('144M'!AM180&lt;'144M'!AO180,'144M'!AM180-AP180,'144M'!AO180))</f>
        <v>0</v>
      </c>
      <c r="AR180" s="61">
        <f t="shared" si="89"/>
        <v>0</v>
      </c>
      <c r="AS180" s="60">
        <f t="shared" si="90"/>
        <v>0</v>
      </c>
      <c r="AT180" s="193"/>
      <c r="AU180" s="169">
        <v>176</v>
      </c>
      <c r="AV180" s="1">
        <f t="shared" si="108"/>
        <v>50875</v>
      </c>
      <c r="AW180" s="60">
        <f>IF($X180&lt;Input!$H$88,IF($X180&lt;Input!$G$88,IF($X180&lt;Input!$F$88,IF($X180&lt;Input!$E$88,IF($X180&lt;Input!$D$88,Input!$C$94,Input!$D$94),Input!$E$94),Input!$F$94),Input!$G$94),Input!$H$94)</f>
        <v>0</v>
      </c>
      <c r="AX180" s="190">
        <f>IF($A180&lt;Input!$H$95,IF($A180&lt;Input!$G$95,IF($A180&lt;Input!$F$95,IF($A180&lt;Input!$E$95,IF($A180&lt;Input!$D$95,Input!$C$96,Input!$D$96),Input!$E$96),Input!$F$96),Input!$G$96),Input!$H$96)</f>
        <v>0.9</v>
      </c>
      <c r="AY180" s="60">
        <f t="shared" si="91"/>
        <v>0</v>
      </c>
      <c r="AZ180" s="60">
        <f t="shared" si="109"/>
        <v>31</v>
      </c>
      <c r="BA180" s="60">
        <f t="shared" si="92"/>
        <v>0</v>
      </c>
      <c r="BB180" s="60">
        <f>ROUND(BA180*AZ180*Input!$C$3/365,0)</f>
        <v>0</v>
      </c>
      <c r="BC180" s="61">
        <f>IF($A180&lt;=Input!$C$6,0,IF('144M'!AY180&lt;'144M'!BA180,'144M'!AY180-BB180,'144M'!BA180))</f>
        <v>0</v>
      </c>
      <c r="BD180" s="61">
        <f t="shared" si="93"/>
        <v>0</v>
      </c>
      <c r="BE180" s="60">
        <f t="shared" si="94"/>
        <v>0</v>
      </c>
      <c r="BF180" s="193"/>
      <c r="BG180" s="169">
        <v>176</v>
      </c>
      <c r="BH180" s="1">
        <f t="shared" si="110"/>
        <v>50875</v>
      </c>
      <c r="BI180" s="60">
        <f>IF($X180&lt;Input!$H$103,IF($X180&lt;Input!$G$103,IF($X180&lt;Input!$F$103,IF($X180&lt;Input!$E$103,IF($X180&lt;Input!$D$103,Input!$C$109,Input!$D$109),Input!$E$109),Input!$F$109),Input!$G$109),Input!$H$109)</f>
        <v>0</v>
      </c>
      <c r="BJ180" s="190">
        <f>IF($A180&lt;Input!$H$110,IF($A180&lt;Input!$G$110,IF($A180&lt;Input!$F$110,IF($A180&lt;Input!$E$110,IF($A180&lt;Input!$D$110,Input!$C$111,Input!$D$111),Input!$E$111),Input!$F$111),Input!$G$111),Input!$H$111)</f>
        <v>0.9</v>
      </c>
      <c r="BK180" s="60">
        <f t="shared" si="95"/>
        <v>0</v>
      </c>
      <c r="BL180" s="60">
        <f t="shared" si="111"/>
        <v>31</v>
      </c>
      <c r="BM180" s="60">
        <f t="shared" si="96"/>
        <v>0</v>
      </c>
      <c r="BN180" s="60">
        <f>ROUND(BM180*BL180*Input!$C$3/365,0)</f>
        <v>0</v>
      </c>
      <c r="BO180" s="61">
        <f>IF($A180&lt;=Input!$C$6,0,IF('144M'!BK180&lt;'144M'!BM180,'144M'!BK180-BN180,'144M'!BM180))</f>
        <v>0</v>
      </c>
      <c r="BP180" s="61">
        <f t="shared" si="97"/>
        <v>0</v>
      </c>
      <c r="BQ180" s="60">
        <f t="shared" si="98"/>
        <v>0</v>
      </c>
      <c r="BR180" s="198"/>
    </row>
    <row r="181" spans="1:70" x14ac:dyDescent="0.25">
      <c r="A181" s="169">
        <v>177</v>
      </c>
      <c r="B181" s="1">
        <f t="shared" si="99"/>
        <v>50905</v>
      </c>
      <c r="C181" s="60">
        <f t="shared" si="77"/>
        <v>33127052.878124986</v>
      </c>
      <c r="D181" s="60">
        <f t="shared" si="78"/>
        <v>29814347.590312488</v>
      </c>
      <c r="E181" s="60">
        <f t="shared" si="100"/>
        <v>30</v>
      </c>
      <c r="F181" s="60">
        <f t="shared" si="101"/>
        <v>0</v>
      </c>
      <c r="G181" s="60">
        <f>ROUND(F181*E181*Input!$C$3/365,0)</f>
        <v>0</v>
      </c>
      <c r="H181" s="60">
        <f>IF($A181&lt;=Input!$C$6,0,IF('144M'!D181&lt;'144M'!F181,'144M'!D181-G181,'144M'!F181))</f>
        <v>0</v>
      </c>
      <c r="I181" s="60">
        <f t="shared" si="102"/>
        <v>0</v>
      </c>
      <c r="J181" s="60">
        <f t="shared" si="103"/>
        <v>0</v>
      </c>
      <c r="K181" s="202">
        <f>J181/Input!$K$5</f>
        <v>0</v>
      </c>
      <c r="L181" s="232"/>
      <c r="M181" s="60">
        <f>IF($B181&lt;Input!$H$43,IF($B181&lt;Input!$G$43,IF($B181&lt;Input!$F$43,IF($B181&lt;Input!$E$43,IF($B181&lt;Input!$D$43,Input!$C$49,Input!$D$49),Input!$E$49),Input!$F$49),Input!$G$49),Input!$H$49)</f>
        <v>33127052.878124986</v>
      </c>
      <c r="N181" s="190">
        <f>IF($A181&lt;Input!$H$50,IF($A181&lt;Input!$G$50,IF($A181&lt;Input!$F$50,IF($A181&lt;Input!$E$50,IF($A181&lt;Input!$D$50,Input!$C$51,Input!$D$51),Input!$E$51),Input!$F$51),Input!$G$51),Input!$H$51)</f>
        <v>0.9</v>
      </c>
      <c r="O181" s="60">
        <f t="shared" si="112"/>
        <v>29814347.590312488</v>
      </c>
      <c r="P181" s="60">
        <f t="shared" si="113"/>
        <v>30</v>
      </c>
      <c r="Q181" s="60">
        <f t="shared" si="80"/>
        <v>0</v>
      </c>
      <c r="R181" s="60">
        <f>ROUND(Q181*$P181*Input!$C$3/365,0)</f>
        <v>0</v>
      </c>
      <c r="S181" s="60">
        <f>IF(A181&lt;=Input!$C$6,0,IF('144M'!O181&lt;'144M'!Q181,'144M'!O181-R181,'144M'!Q181))</f>
        <v>0</v>
      </c>
      <c r="T181" s="60">
        <f t="shared" si="81"/>
        <v>0</v>
      </c>
      <c r="U181" s="60">
        <f t="shared" si="82"/>
        <v>0</v>
      </c>
      <c r="V181" s="193"/>
      <c r="W181" s="169">
        <v>177</v>
      </c>
      <c r="X181" s="1">
        <f t="shared" si="104"/>
        <v>50905</v>
      </c>
      <c r="Y181" s="60">
        <f>IF($X181&lt;Input!$H$58,IF($X181&lt;Input!$G$58,IF($X181&lt;Input!$F$58,IF($X181&lt;Input!$E$58,IF($X181&lt;Input!$D$58,Input!$C$64,Input!$D$64),Input!$E$64),Input!$F$64),Input!$G$64),Input!$H$64)</f>
        <v>0</v>
      </c>
      <c r="Z181" s="190">
        <f>IF($A181&lt;Input!$H$65,IF($A181&lt;Input!$G$65,IF($A181&lt;Input!$F$65,IF($A181&lt;Input!$E$65,IF($A181&lt;Input!$D$65,Input!$C$66,Input!$D$66),Input!$E$66),Input!$F$66),Input!$G$66),Input!$H$66)</f>
        <v>0.9</v>
      </c>
      <c r="AA181" s="60">
        <f t="shared" si="83"/>
        <v>0</v>
      </c>
      <c r="AB181" s="60">
        <f t="shared" si="105"/>
        <v>30</v>
      </c>
      <c r="AC181" s="60">
        <f t="shared" si="84"/>
        <v>0</v>
      </c>
      <c r="AD181" s="60">
        <f>ROUND(AC181*AB181*Input!$C$3/365,0)</f>
        <v>0</v>
      </c>
      <c r="AE181" s="61">
        <f>IF($A181&lt;=Input!$C$6,0,IF('144M'!AA181&lt;'144M'!AC181,'144M'!AA181-AD181,'144M'!AC181))</f>
        <v>0</v>
      </c>
      <c r="AF181" s="61">
        <f t="shared" si="85"/>
        <v>0</v>
      </c>
      <c r="AG181" s="60">
        <f t="shared" si="86"/>
        <v>0</v>
      </c>
      <c r="AH181" s="193"/>
      <c r="AI181" s="169">
        <v>177</v>
      </c>
      <c r="AJ181" s="1">
        <f t="shared" si="106"/>
        <v>50905</v>
      </c>
      <c r="AK181" s="60">
        <f>IF($X181&lt;Input!$H$73,IF($X181&lt;Input!$G$73,IF($X181&lt;Input!$F$73,IF($X181&lt;Input!$E$73,IF($X181&lt;Input!$D$73,Input!$C$79,Input!$D$79),Input!$E$79),Input!$F$79),Input!$G$79),Input!$H$79)</f>
        <v>0</v>
      </c>
      <c r="AL181" s="190">
        <f>IF($A181&lt;Input!$H$80,IF($A181&lt;Input!$G$80,IF($A181&lt;Input!$F$80,IF($A181&lt;Input!$E$80,IF($A181&lt;Input!$D$80,Input!$C$81,Input!$D$81),Input!$E$81),Input!$F$81),Input!$G$81),Input!$H$81)</f>
        <v>0.9</v>
      </c>
      <c r="AM181" s="60">
        <f t="shared" si="87"/>
        <v>0</v>
      </c>
      <c r="AN181" s="60">
        <f t="shared" si="107"/>
        <v>30</v>
      </c>
      <c r="AO181" s="60">
        <f t="shared" si="88"/>
        <v>0</v>
      </c>
      <c r="AP181" s="60">
        <f>ROUND(AO181*AN181*Input!$C$3/365,0)</f>
        <v>0</v>
      </c>
      <c r="AQ181" s="61">
        <f>IF($A181&lt;=Input!$C$6,0,IF('144M'!AM181&lt;'144M'!AO181,'144M'!AM181-AP181,'144M'!AO181))</f>
        <v>0</v>
      </c>
      <c r="AR181" s="61">
        <f t="shared" si="89"/>
        <v>0</v>
      </c>
      <c r="AS181" s="60">
        <f t="shared" si="90"/>
        <v>0</v>
      </c>
      <c r="AT181" s="193"/>
      <c r="AU181" s="169">
        <v>177</v>
      </c>
      <c r="AV181" s="1">
        <f t="shared" si="108"/>
        <v>50905</v>
      </c>
      <c r="AW181" s="60">
        <f>IF($X181&lt;Input!$H$88,IF($X181&lt;Input!$G$88,IF($X181&lt;Input!$F$88,IF($X181&lt;Input!$E$88,IF($X181&lt;Input!$D$88,Input!$C$94,Input!$D$94),Input!$E$94),Input!$F$94),Input!$G$94),Input!$H$94)</f>
        <v>0</v>
      </c>
      <c r="AX181" s="190">
        <f>IF($A181&lt;Input!$H$95,IF($A181&lt;Input!$G$95,IF($A181&lt;Input!$F$95,IF($A181&lt;Input!$E$95,IF($A181&lt;Input!$D$95,Input!$C$96,Input!$D$96),Input!$E$96),Input!$F$96),Input!$G$96),Input!$H$96)</f>
        <v>0.9</v>
      </c>
      <c r="AY181" s="60">
        <f t="shared" si="91"/>
        <v>0</v>
      </c>
      <c r="AZ181" s="60">
        <f t="shared" si="109"/>
        <v>30</v>
      </c>
      <c r="BA181" s="60">
        <f t="shared" si="92"/>
        <v>0</v>
      </c>
      <c r="BB181" s="60">
        <f>ROUND(BA181*AZ181*Input!$C$3/365,0)</f>
        <v>0</v>
      </c>
      <c r="BC181" s="61">
        <f>IF($A181&lt;=Input!$C$6,0,IF('144M'!AY181&lt;'144M'!BA181,'144M'!AY181-BB181,'144M'!BA181))</f>
        <v>0</v>
      </c>
      <c r="BD181" s="61">
        <f t="shared" si="93"/>
        <v>0</v>
      </c>
      <c r="BE181" s="60">
        <f t="shared" si="94"/>
        <v>0</v>
      </c>
      <c r="BF181" s="193"/>
      <c r="BG181" s="169">
        <v>177</v>
      </c>
      <c r="BH181" s="1">
        <f t="shared" si="110"/>
        <v>50905</v>
      </c>
      <c r="BI181" s="60">
        <f>IF($X181&lt;Input!$H$103,IF($X181&lt;Input!$G$103,IF($X181&lt;Input!$F$103,IF($X181&lt;Input!$E$103,IF($X181&lt;Input!$D$103,Input!$C$109,Input!$D$109),Input!$E$109),Input!$F$109),Input!$G$109),Input!$H$109)</f>
        <v>0</v>
      </c>
      <c r="BJ181" s="190">
        <f>IF($A181&lt;Input!$H$110,IF($A181&lt;Input!$G$110,IF($A181&lt;Input!$F$110,IF($A181&lt;Input!$E$110,IF($A181&lt;Input!$D$110,Input!$C$111,Input!$D$111),Input!$E$111),Input!$F$111),Input!$G$111),Input!$H$111)</f>
        <v>0.9</v>
      </c>
      <c r="BK181" s="60">
        <f t="shared" si="95"/>
        <v>0</v>
      </c>
      <c r="BL181" s="60">
        <f t="shared" si="111"/>
        <v>30</v>
      </c>
      <c r="BM181" s="60">
        <f t="shared" si="96"/>
        <v>0</v>
      </c>
      <c r="BN181" s="60">
        <f>ROUND(BM181*BL181*Input!$C$3/365,0)</f>
        <v>0</v>
      </c>
      <c r="BO181" s="61">
        <f>IF($A181&lt;=Input!$C$6,0,IF('144M'!BK181&lt;'144M'!BM181,'144M'!BK181-BN181,'144M'!BM181))</f>
        <v>0</v>
      </c>
      <c r="BP181" s="61">
        <f t="shared" si="97"/>
        <v>0</v>
      </c>
      <c r="BQ181" s="60">
        <f t="shared" si="98"/>
        <v>0</v>
      </c>
      <c r="BR181" s="198"/>
    </row>
    <row r="182" spans="1:70" x14ac:dyDescent="0.25">
      <c r="A182" s="169">
        <v>178</v>
      </c>
      <c r="B182" s="1">
        <f t="shared" si="99"/>
        <v>50936</v>
      </c>
      <c r="C182" s="60">
        <f t="shared" si="77"/>
        <v>33127052.878124986</v>
      </c>
      <c r="D182" s="60">
        <f t="shared" si="78"/>
        <v>29814347.590312488</v>
      </c>
      <c r="E182" s="60">
        <f t="shared" si="100"/>
        <v>31</v>
      </c>
      <c r="F182" s="60">
        <f t="shared" si="101"/>
        <v>0</v>
      </c>
      <c r="G182" s="60">
        <f>ROUND(F182*E182*Input!$C$3/365,0)</f>
        <v>0</v>
      </c>
      <c r="H182" s="60">
        <f>IF($A182&lt;=Input!$C$6,0,IF('144M'!D182&lt;'144M'!F182,'144M'!D182-G182,'144M'!F182))</f>
        <v>0</v>
      </c>
      <c r="I182" s="60">
        <f t="shared" si="102"/>
        <v>0</v>
      </c>
      <c r="J182" s="60">
        <f t="shared" si="103"/>
        <v>0</v>
      </c>
      <c r="K182" s="202">
        <f>J182/Input!$K$5</f>
        <v>0</v>
      </c>
      <c r="L182" s="232"/>
      <c r="M182" s="60">
        <f>IF($B182&lt;Input!$H$43,IF($B182&lt;Input!$G$43,IF($B182&lt;Input!$F$43,IF($B182&lt;Input!$E$43,IF($B182&lt;Input!$D$43,Input!$C$49,Input!$D$49),Input!$E$49),Input!$F$49),Input!$G$49),Input!$H$49)</f>
        <v>33127052.878124986</v>
      </c>
      <c r="N182" s="190">
        <f>IF($A182&lt;Input!$H$50,IF($A182&lt;Input!$G$50,IF($A182&lt;Input!$F$50,IF($A182&lt;Input!$E$50,IF($A182&lt;Input!$D$50,Input!$C$51,Input!$D$51),Input!$E$51),Input!$F$51),Input!$G$51),Input!$H$51)</f>
        <v>0.9</v>
      </c>
      <c r="O182" s="60">
        <f t="shared" si="112"/>
        <v>29814347.590312488</v>
      </c>
      <c r="P182" s="60">
        <f t="shared" si="113"/>
        <v>31</v>
      </c>
      <c r="Q182" s="60">
        <f t="shared" si="80"/>
        <v>0</v>
      </c>
      <c r="R182" s="60">
        <f>ROUND(Q182*$P182*Input!$C$3/365,0)</f>
        <v>0</v>
      </c>
      <c r="S182" s="60">
        <f>IF(A182&lt;=Input!$C$6,0,IF('144M'!O182&lt;'144M'!Q182,'144M'!O182-R182,'144M'!Q182))</f>
        <v>0</v>
      </c>
      <c r="T182" s="60">
        <f t="shared" si="81"/>
        <v>0</v>
      </c>
      <c r="U182" s="60">
        <f t="shared" si="82"/>
        <v>0</v>
      </c>
      <c r="V182" s="193"/>
      <c r="W182" s="169">
        <v>178</v>
      </c>
      <c r="X182" s="1">
        <f t="shared" si="104"/>
        <v>50936</v>
      </c>
      <c r="Y182" s="60">
        <f>IF($X182&lt;Input!$H$58,IF($X182&lt;Input!$G$58,IF($X182&lt;Input!$F$58,IF($X182&lt;Input!$E$58,IF($X182&lt;Input!$D$58,Input!$C$64,Input!$D$64),Input!$E$64),Input!$F$64),Input!$G$64),Input!$H$64)</f>
        <v>0</v>
      </c>
      <c r="Z182" s="190">
        <f>IF($A182&lt;Input!$H$65,IF($A182&lt;Input!$G$65,IF($A182&lt;Input!$F$65,IF($A182&lt;Input!$E$65,IF($A182&lt;Input!$D$65,Input!$C$66,Input!$D$66),Input!$E$66),Input!$F$66),Input!$G$66),Input!$H$66)</f>
        <v>0.9</v>
      </c>
      <c r="AA182" s="60">
        <f t="shared" si="83"/>
        <v>0</v>
      </c>
      <c r="AB182" s="60">
        <f t="shared" si="105"/>
        <v>31</v>
      </c>
      <c r="AC182" s="60">
        <f t="shared" si="84"/>
        <v>0</v>
      </c>
      <c r="AD182" s="60">
        <f>ROUND(AC182*AB182*Input!$C$3/365,0)</f>
        <v>0</v>
      </c>
      <c r="AE182" s="61">
        <f>IF($A182&lt;=Input!$C$6,0,IF('144M'!AA182&lt;'144M'!AC182,'144M'!AA182-AD182,'144M'!AC182))</f>
        <v>0</v>
      </c>
      <c r="AF182" s="61">
        <f t="shared" si="85"/>
        <v>0</v>
      </c>
      <c r="AG182" s="60">
        <f t="shared" si="86"/>
        <v>0</v>
      </c>
      <c r="AH182" s="193"/>
      <c r="AI182" s="169">
        <v>178</v>
      </c>
      <c r="AJ182" s="1">
        <f t="shared" si="106"/>
        <v>50936</v>
      </c>
      <c r="AK182" s="60">
        <f>IF($X182&lt;Input!$H$73,IF($X182&lt;Input!$G$73,IF($X182&lt;Input!$F$73,IF($X182&lt;Input!$E$73,IF($X182&lt;Input!$D$73,Input!$C$79,Input!$D$79),Input!$E$79),Input!$F$79),Input!$G$79),Input!$H$79)</f>
        <v>0</v>
      </c>
      <c r="AL182" s="190">
        <f>IF($A182&lt;Input!$H$80,IF($A182&lt;Input!$G$80,IF($A182&lt;Input!$F$80,IF($A182&lt;Input!$E$80,IF($A182&lt;Input!$D$80,Input!$C$81,Input!$D$81),Input!$E$81),Input!$F$81),Input!$G$81),Input!$H$81)</f>
        <v>0.9</v>
      </c>
      <c r="AM182" s="60">
        <f t="shared" si="87"/>
        <v>0</v>
      </c>
      <c r="AN182" s="60">
        <f t="shared" si="107"/>
        <v>31</v>
      </c>
      <c r="AO182" s="60">
        <f t="shared" si="88"/>
        <v>0</v>
      </c>
      <c r="AP182" s="60">
        <f>ROUND(AO182*AN182*Input!$C$3/365,0)</f>
        <v>0</v>
      </c>
      <c r="AQ182" s="61">
        <f>IF($A182&lt;=Input!$C$6,0,IF('144M'!AM182&lt;'144M'!AO182,'144M'!AM182-AP182,'144M'!AO182))</f>
        <v>0</v>
      </c>
      <c r="AR182" s="61">
        <f t="shared" si="89"/>
        <v>0</v>
      </c>
      <c r="AS182" s="60">
        <f t="shared" si="90"/>
        <v>0</v>
      </c>
      <c r="AT182" s="193"/>
      <c r="AU182" s="169">
        <v>178</v>
      </c>
      <c r="AV182" s="1">
        <f t="shared" si="108"/>
        <v>50936</v>
      </c>
      <c r="AW182" s="60">
        <f>IF($X182&lt;Input!$H$88,IF($X182&lt;Input!$G$88,IF($X182&lt;Input!$F$88,IF($X182&lt;Input!$E$88,IF($X182&lt;Input!$D$88,Input!$C$94,Input!$D$94),Input!$E$94),Input!$F$94),Input!$G$94),Input!$H$94)</f>
        <v>0</v>
      </c>
      <c r="AX182" s="190">
        <f>IF($A182&lt;Input!$H$95,IF($A182&lt;Input!$G$95,IF($A182&lt;Input!$F$95,IF($A182&lt;Input!$E$95,IF($A182&lt;Input!$D$95,Input!$C$96,Input!$D$96),Input!$E$96),Input!$F$96),Input!$G$96),Input!$H$96)</f>
        <v>0.9</v>
      </c>
      <c r="AY182" s="60">
        <f t="shared" si="91"/>
        <v>0</v>
      </c>
      <c r="AZ182" s="60">
        <f t="shared" si="109"/>
        <v>31</v>
      </c>
      <c r="BA182" s="60">
        <f t="shared" si="92"/>
        <v>0</v>
      </c>
      <c r="BB182" s="60">
        <f>ROUND(BA182*AZ182*Input!$C$3/365,0)</f>
        <v>0</v>
      </c>
      <c r="BC182" s="61">
        <f>IF($A182&lt;=Input!$C$6,0,IF('144M'!AY182&lt;'144M'!BA182,'144M'!AY182-BB182,'144M'!BA182))</f>
        <v>0</v>
      </c>
      <c r="BD182" s="61">
        <f t="shared" si="93"/>
        <v>0</v>
      </c>
      <c r="BE182" s="60">
        <f t="shared" si="94"/>
        <v>0</v>
      </c>
      <c r="BF182" s="193"/>
      <c r="BG182" s="169">
        <v>178</v>
      </c>
      <c r="BH182" s="1">
        <f t="shared" si="110"/>
        <v>50936</v>
      </c>
      <c r="BI182" s="60">
        <f>IF($X182&lt;Input!$H$103,IF($X182&lt;Input!$G$103,IF($X182&lt;Input!$F$103,IF($X182&lt;Input!$E$103,IF($X182&lt;Input!$D$103,Input!$C$109,Input!$D$109),Input!$E$109),Input!$F$109),Input!$G$109),Input!$H$109)</f>
        <v>0</v>
      </c>
      <c r="BJ182" s="190">
        <f>IF($A182&lt;Input!$H$110,IF($A182&lt;Input!$G$110,IF($A182&lt;Input!$F$110,IF($A182&lt;Input!$E$110,IF($A182&lt;Input!$D$110,Input!$C$111,Input!$D$111),Input!$E$111),Input!$F$111),Input!$G$111),Input!$H$111)</f>
        <v>0.9</v>
      </c>
      <c r="BK182" s="60">
        <f t="shared" si="95"/>
        <v>0</v>
      </c>
      <c r="BL182" s="60">
        <f t="shared" si="111"/>
        <v>31</v>
      </c>
      <c r="BM182" s="60">
        <f t="shared" si="96"/>
        <v>0</v>
      </c>
      <c r="BN182" s="60">
        <f>ROUND(BM182*BL182*Input!$C$3/365,0)</f>
        <v>0</v>
      </c>
      <c r="BO182" s="61">
        <f>IF($A182&lt;=Input!$C$6,0,IF('144M'!BK182&lt;'144M'!BM182,'144M'!BK182-BN182,'144M'!BM182))</f>
        <v>0</v>
      </c>
      <c r="BP182" s="61">
        <f t="shared" si="97"/>
        <v>0</v>
      </c>
      <c r="BQ182" s="60">
        <f t="shared" si="98"/>
        <v>0</v>
      </c>
      <c r="BR182" s="198"/>
    </row>
    <row r="183" spans="1:70" x14ac:dyDescent="0.25">
      <c r="A183" s="169">
        <v>179</v>
      </c>
      <c r="B183" s="1">
        <f t="shared" si="99"/>
        <v>50966</v>
      </c>
      <c r="C183" s="60">
        <f t="shared" si="77"/>
        <v>33127052.878124986</v>
      </c>
      <c r="D183" s="60">
        <f t="shared" si="78"/>
        <v>29814347.590312488</v>
      </c>
      <c r="E183" s="60">
        <f t="shared" si="100"/>
        <v>30</v>
      </c>
      <c r="F183" s="60">
        <f t="shared" si="101"/>
        <v>0</v>
      </c>
      <c r="G183" s="60">
        <f>ROUND(F183*E183*Input!$C$3/365,0)</f>
        <v>0</v>
      </c>
      <c r="H183" s="60">
        <f>IF($A183&lt;=Input!$C$6,0,IF('144M'!D183&lt;'144M'!F183,'144M'!D183-G183,'144M'!F183))</f>
        <v>0</v>
      </c>
      <c r="I183" s="60">
        <f t="shared" si="102"/>
        <v>0</v>
      </c>
      <c r="J183" s="60">
        <f t="shared" si="103"/>
        <v>0</v>
      </c>
      <c r="K183" s="202">
        <f>J183/Input!$K$5</f>
        <v>0</v>
      </c>
      <c r="L183" s="232"/>
      <c r="M183" s="60">
        <f>IF($B183&lt;Input!$H$43,IF($B183&lt;Input!$G$43,IF($B183&lt;Input!$F$43,IF($B183&lt;Input!$E$43,IF($B183&lt;Input!$D$43,Input!$C$49,Input!$D$49),Input!$E$49),Input!$F$49),Input!$G$49),Input!$H$49)</f>
        <v>33127052.878124986</v>
      </c>
      <c r="N183" s="190">
        <f>IF($A183&lt;Input!$H$50,IF($A183&lt;Input!$G$50,IF($A183&lt;Input!$F$50,IF($A183&lt;Input!$E$50,IF($A183&lt;Input!$D$50,Input!$C$51,Input!$D$51),Input!$E$51),Input!$F$51),Input!$G$51),Input!$H$51)</f>
        <v>0.9</v>
      </c>
      <c r="O183" s="60">
        <f t="shared" si="112"/>
        <v>29814347.590312488</v>
      </c>
      <c r="P183" s="60">
        <f t="shared" si="113"/>
        <v>30</v>
      </c>
      <c r="Q183" s="60">
        <f t="shared" si="80"/>
        <v>0</v>
      </c>
      <c r="R183" s="60">
        <f>ROUND(Q183*$P183*Input!$C$3/365,0)</f>
        <v>0</v>
      </c>
      <c r="S183" s="60">
        <f>IF(A183&lt;=Input!$C$6,0,IF('144M'!O183&lt;'144M'!Q183,'144M'!O183-R183,'144M'!Q183))</f>
        <v>0</v>
      </c>
      <c r="T183" s="60">
        <f t="shared" si="81"/>
        <v>0</v>
      </c>
      <c r="U183" s="60">
        <f t="shared" si="82"/>
        <v>0</v>
      </c>
      <c r="V183" s="193"/>
      <c r="W183" s="169">
        <v>179</v>
      </c>
      <c r="X183" s="1">
        <f t="shared" si="104"/>
        <v>50966</v>
      </c>
      <c r="Y183" s="60">
        <f>IF($X183&lt;Input!$H$58,IF($X183&lt;Input!$G$58,IF($X183&lt;Input!$F$58,IF($X183&lt;Input!$E$58,IF($X183&lt;Input!$D$58,Input!$C$64,Input!$D$64),Input!$E$64),Input!$F$64),Input!$G$64),Input!$H$64)</f>
        <v>0</v>
      </c>
      <c r="Z183" s="190">
        <f>IF($A183&lt;Input!$H$65,IF($A183&lt;Input!$G$65,IF($A183&lt;Input!$F$65,IF($A183&lt;Input!$E$65,IF($A183&lt;Input!$D$65,Input!$C$66,Input!$D$66),Input!$E$66),Input!$F$66),Input!$G$66),Input!$H$66)</f>
        <v>0.9</v>
      </c>
      <c r="AA183" s="60">
        <f t="shared" si="83"/>
        <v>0</v>
      </c>
      <c r="AB183" s="60">
        <f t="shared" si="105"/>
        <v>30</v>
      </c>
      <c r="AC183" s="60">
        <f t="shared" si="84"/>
        <v>0</v>
      </c>
      <c r="AD183" s="60">
        <f>ROUND(AC183*AB183*Input!$C$3/365,0)</f>
        <v>0</v>
      </c>
      <c r="AE183" s="61">
        <f>IF($A183&lt;=Input!$C$6,0,IF('144M'!AA183&lt;'144M'!AC183,'144M'!AA183-AD183,'144M'!AC183))</f>
        <v>0</v>
      </c>
      <c r="AF183" s="61">
        <f t="shared" si="85"/>
        <v>0</v>
      </c>
      <c r="AG183" s="60">
        <f t="shared" si="86"/>
        <v>0</v>
      </c>
      <c r="AH183" s="193"/>
      <c r="AI183" s="169">
        <v>179</v>
      </c>
      <c r="AJ183" s="1">
        <f t="shared" si="106"/>
        <v>50966</v>
      </c>
      <c r="AK183" s="60">
        <f>IF($X183&lt;Input!$H$73,IF($X183&lt;Input!$G$73,IF($X183&lt;Input!$F$73,IF($X183&lt;Input!$E$73,IF($X183&lt;Input!$D$73,Input!$C$79,Input!$D$79),Input!$E$79),Input!$F$79),Input!$G$79),Input!$H$79)</f>
        <v>0</v>
      </c>
      <c r="AL183" s="190">
        <f>IF($A183&lt;Input!$H$80,IF($A183&lt;Input!$G$80,IF($A183&lt;Input!$F$80,IF($A183&lt;Input!$E$80,IF($A183&lt;Input!$D$80,Input!$C$81,Input!$D$81),Input!$E$81),Input!$F$81),Input!$G$81),Input!$H$81)</f>
        <v>0.9</v>
      </c>
      <c r="AM183" s="60">
        <f t="shared" si="87"/>
        <v>0</v>
      </c>
      <c r="AN183" s="60">
        <f t="shared" si="107"/>
        <v>30</v>
      </c>
      <c r="AO183" s="60">
        <f t="shared" si="88"/>
        <v>0</v>
      </c>
      <c r="AP183" s="60">
        <f>ROUND(AO183*AN183*Input!$C$3/365,0)</f>
        <v>0</v>
      </c>
      <c r="AQ183" s="61">
        <f>IF($A183&lt;=Input!$C$6,0,IF('144M'!AM183&lt;'144M'!AO183,'144M'!AM183-AP183,'144M'!AO183))</f>
        <v>0</v>
      </c>
      <c r="AR183" s="61">
        <f t="shared" si="89"/>
        <v>0</v>
      </c>
      <c r="AS183" s="60">
        <f t="shared" si="90"/>
        <v>0</v>
      </c>
      <c r="AT183" s="193"/>
      <c r="AU183" s="169">
        <v>179</v>
      </c>
      <c r="AV183" s="1">
        <f t="shared" si="108"/>
        <v>50966</v>
      </c>
      <c r="AW183" s="60">
        <f>IF($X183&lt;Input!$H$88,IF($X183&lt;Input!$G$88,IF($X183&lt;Input!$F$88,IF($X183&lt;Input!$E$88,IF($X183&lt;Input!$D$88,Input!$C$94,Input!$D$94),Input!$E$94),Input!$F$94),Input!$G$94),Input!$H$94)</f>
        <v>0</v>
      </c>
      <c r="AX183" s="190">
        <f>IF($A183&lt;Input!$H$95,IF($A183&lt;Input!$G$95,IF($A183&lt;Input!$F$95,IF($A183&lt;Input!$E$95,IF($A183&lt;Input!$D$95,Input!$C$96,Input!$D$96),Input!$E$96),Input!$F$96),Input!$G$96),Input!$H$96)</f>
        <v>0.9</v>
      </c>
      <c r="AY183" s="60">
        <f t="shared" si="91"/>
        <v>0</v>
      </c>
      <c r="AZ183" s="60">
        <f t="shared" si="109"/>
        <v>30</v>
      </c>
      <c r="BA183" s="60">
        <f t="shared" si="92"/>
        <v>0</v>
      </c>
      <c r="BB183" s="60">
        <f>ROUND(BA183*AZ183*Input!$C$3/365,0)</f>
        <v>0</v>
      </c>
      <c r="BC183" s="61">
        <f>IF($A183&lt;=Input!$C$6,0,IF('144M'!AY183&lt;'144M'!BA183,'144M'!AY183-BB183,'144M'!BA183))</f>
        <v>0</v>
      </c>
      <c r="BD183" s="61">
        <f t="shared" si="93"/>
        <v>0</v>
      </c>
      <c r="BE183" s="60">
        <f t="shared" si="94"/>
        <v>0</v>
      </c>
      <c r="BF183" s="193"/>
      <c r="BG183" s="169">
        <v>179</v>
      </c>
      <c r="BH183" s="1">
        <f t="shared" si="110"/>
        <v>50966</v>
      </c>
      <c r="BI183" s="60">
        <f>IF($X183&lt;Input!$H$103,IF($X183&lt;Input!$G$103,IF($X183&lt;Input!$F$103,IF($X183&lt;Input!$E$103,IF($X183&lt;Input!$D$103,Input!$C$109,Input!$D$109),Input!$E$109),Input!$F$109),Input!$G$109),Input!$H$109)</f>
        <v>0</v>
      </c>
      <c r="BJ183" s="190">
        <f>IF($A183&lt;Input!$H$110,IF($A183&lt;Input!$G$110,IF($A183&lt;Input!$F$110,IF($A183&lt;Input!$E$110,IF($A183&lt;Input!$D$110,Input!$C$111,Input!$D$111),Input!$E$111),Input!$F$111),Input!$G$111),Input!$H$111)</f>
        <v>0.9</v>
      </c>
      <c r="BK183" s="60">
        <f t="shared" si="95"/>
        <v>0</v>
      </c>
      <c r="BL183" s="60">
        <f t="shared" si="111"/>
        <v>30</v>
      </c>
      <c r="BM183" s="60">
        <f t="shared" si="96"/>
        <v>0</v>
      </c>
      <c r="BN183" s="60">
        <f>ROUND(BM183*BL183*Input!$C$3/365,0)</f>
        <v>0</v>
      </c>
      <c r="BO183" s="61">
        <f>IF($A183&lt;=Input!$C$6,0,IF('144M'!BK183&lt;'144M'!BM183,'144M'!BK183-BN183,'144M'!BM183))</f>
        <v>0</v>
      </c>
      <c r="BP183" s="61">
        <f t="shared" si="97"/>
        <v>0</v>
      </c>
      <c r="BQ183" s="60">
        <f t="shared" si="98"/>
        <v>0</v>
      </c>
      <c r="BR183" s="198"/>
    </row>
    <row r="184" spans="1:70" x14ac:dyDescent="0.25">
      <c r="A184" s="169">
        <v>180</v>
      </c>
      <c r="B184" s="1">
        <f t="shared" si="99"/>
        <v>50997</v>
      </c>
      <c r="C184" s="60">
        <f t="shared" si="77"/>
        <v>33127052.878124986</v>
      </c>
      <c r="D184" s="60">
        <f t="shared" si="78"/>
        <v>29814347.590312488</v>
      </c>
      <c r="E184" s="60">
        <f t="shared" si="100"/>
        <v>31</v>
      </c>
      <c r="F184" s="60">
        <f t="shared" si="101"/>
        <v>0</v>
      </c>
      <c r="G184" s="60">
        <f>ROUND(F184*E184*Input!$C$3/365,0)</f>
        <v>0</v>
      </c>
      <c r="H184" s="60">
        <f>IF($A184&lt;=Input!$C$6,0,IF('144M'!D184&lt;'144M'!F184,'144M'!D184-G184,'144M'!F184))</f>
        <v>0</v>
      </c>
      <c r="I184" s="60">
        <f t="shared" si="102"/>
        <v>0</v>
      </c>
      <c r="J184" s="60">
        <f t="shared" si="103"/>
        <v>0</v>
      </c>
      <c r="K184" s="202">
        <f>J184/Input!$K$5</f>
        <v>0</v>
      </c>
      <c r="L184" s="232"/>
      <c r="M184" s="60">
        <f>IF($B184&lt;Input!$H$43,IF($B184&lt;Input!$G$43,IF($B184&lt;Input!$F$43,IF($B184&lt;Input!$E$43,IF($B184&lt;Input!$D$43,Input!$C$49,Input!$D$49),Input!$E$49),Input!$F$49),Input!$G$49),Input!$H$49)</f>
        <v>33127052.878124986</v>
      </c>
      <c r="N184" s="190">
        <f>IF($A184&lt;Input!$H$50,IF($A184&lt;Input!$G$50,IF($A184&lt;Input!$F$50,IF($A184&lt;Input!$E$50,IF($A184&lt;Input!$D$50,Input!$C$51,Input!$D$51),Input!$E$51),Input!$F$51),Input!$G$51),Input!$H$51)</f>
        <v>0.9</v>
      </c>
      <c r="O184" s="60">
        <f t="shared" si="112"/>
        <v>29814347.590312488</v>
      </c>
      <c r="P184" s="60">
        <f t="shared" si="113"/>
        <v>31</v>
      </c>
      <c r="Q184" s="60">
        <f t="shared" si="80"/>
        <v>0</v>
      </c>
      <c r="R184" s="60">
        <f>ROUND(Q184*$P184*Input!$C$3/365,0)</f>
        <v>0</v>
      </c>
      <c r="S184" s="60">
        <f>IF(A184&lt;=Input!$C$6,0,IF('144M'!O184&lt;'144M'!Q184,'144M'!O184-R184,'144M'!Q184))</f>
        <v>0</v>
      </c>
      <c r="T184" s="60">
        <f t="shared" si="81"/>
        <v>0</v>
      </c>
      <c r="U184" s="60">
        <f t="shared" si="82"/>
        <v>0</v>
      </c>
      <c r="V184" s="193"/>
      <c r="W184" s="169">
        <v>180</v>
      </c>
      <c r="X184" s="1">
        <f t="shared" si="104"/>
        <v>50997</v>
      </c>
      <c r="Y184" s="60">
        <f>IF($X184&lt;Input!$H$58,IF($X184&lt;Input!$G$58,IF($X184&lt;Input!$F$58,IF($X184&lt;Input!$E$58,IF($X184&lt;Input!$D$58,Input!$C$64,Input!$D$64),Input!$E$64),Input!$F$64),Input!$G$64),Input!$H$64)</f>
        <v>0</v>
      </c>
      <c r="Z184" s="190">
        <f>IF($A184&lt;Input!$H$65,IF($A184&lt;Input!$G$65,IF($A184&lt;Input!$F$65,IF($A184&lt;Input!$E$65,IF($A184&lt;Input!$D$65,Input!$C$66,Input!$D$66),Input!$E$66),Input!$F$66),Input!$G$66),Input!$H$66)</f>
        <v>0.9</v>
      </c>
      <c r="AA184" s="60">
        <f t="shared" si="83"/>
        <v>0</v>
      </c>
      <c r="AB184" s="60">
        <f t="shared" si="105"/>
        <v>31</v>
      </c>
      <c r="AC184" s="60">
        <f t="shared" si="84"/>
        <v>0</v>
      </c>
      <c r="AD184" s="60">
        <f>ROUND(AC184*AB184*Input!$C$3/365,0)</f>
        <v>0</v>
      </c>
      <c r="AE184" s="61">
        <f>IF($A184&lt;=Input!$C$6,0,IF('144M'!AA184&lt;'144M'!AC184,'144M'!AA184-AD184,'144M'!AC184))</f>
        <v>0</v>
      </c>
      <c r="AF184" s="61">
        <f t="shared" si="85"/>
        <v>0</v>
      </c>
      <c r="AG184" s="60">
        <f t="shared" si="86"/>
        <v>0</v>
      </c>
      <c r="AH184" s="193"/>
      <c r="AI184" s="169">
        <v>180</v>
      </c>
      <c r="AJ184" s="1">
        <f t="shared" si="106"/>
        <v>50997</v>
      </c>
      <c r="AK184" s="60">
        <f>IF($X184&lt;Input!$H$73,IF($X184&lt;Input!$G$73,IF($X184&lt;Input!$F$73,IF($X184&lt;Input!$E$73,IF($X184&lt;Input!$D$73,Input!$C$79,Input!$D$79),Input!$E$79),Input!$F$79),Input!$G$79),Input!$H$79)</f>
        <v>0</v>
      </c>
      <c r="AL184" s="190">
        <f>IF($A184&lt;Input!$H$80,IF($A184&lt;Input!$G$80,IF($A184&lt;Input!$F$80,IF($A184&lt;Input!$E$80,IF($A184&lt;Input!$D$80,Input!$C$81,Input!$D$81),Input!$E$81),Input!$F$81),Input!$G$81),Input!$H$81)</f>
        <v>0.9</v>
      </c>
      <c r="AM184" s="60">
        <f t="shared" si="87"/>
        <v>0</v>
      </c>
      <c r="AN184" s="60">
        <f t="shared" si="107"/>
        <v>31</v>
      </c>
      <c r="AO184" s="60">
        <f t="shared" si="88"/>
        <v>0</v>
      </c>
      <c r="AP184" s="60">
        <f>ROUND(AO184*AN184*Input!$C$3/365,0)</f>
        <v>0</v>
      </c>
      <c r="AQ184" s="61">
        <f>IF($A184&lt;=Input!$C$6,0,IF('144M'!AM184&lt;'144M'!AO184,'144M'!AM184-AP184,'144M'!AO184))</f>
        <v>0</v>
      </c>
      <c r="AR184" s="61">
        <f t="shared" si="89"/>
        <v>0</v>
      </c>
      <c r="AS184" s="60">
        <f t="shared" si="90"/>
        <v>0</v>
      </c>
      <c r="AT184" s="193"/>
      <c r="AU184" s="169">
        <v>180</v>
      </c>
      <c r="AV184" s="1">
        <f t="shared" si="108"/>
        <v>50997</v>
      </c>
      <c r="AW184" s="60">
        <f>IF($X184&lt;Input!$H$88,IF($X184&lt;Input!$G$88,IF($X184&lt;Input!$F$88,IF($X184&lt;Input!$E$88,IF($X184&lt;Input!$D$88,Input!$C$94,Input!$D$94),Input!$E$94),Input!$F$94),Input!$G$94),Input!$H$94)</f>
        <v>0</v>
      </c>
      <c r="AX184" s="190">
        <f>IF($A184&lt;Input!$H$95,IF($A184&lt;Input!$G$95,IF($A184&lt;Input!$F$95,IF($A184&lt;Input!$E$95,IF($A184&lt;Input!$D$95,Input!$C$96,Input!$D$96),Input!$E$96),Input!$F$96),Input!$G$96),Input!$H$96)</f>
        <v>0.9</v>
      </c>
      <c r="AY184" s="60">
        <f t="shared" si="91"/>
        <v>0</v>
      </c>
      <c r="AZ184" s="60">
        <f t="shared" si="109"/>
        <v>31</v>
      </c>
      <c r="BA184" s="60">
        <f t="shared" si="92"/>
        <v>0</v>
      </c>
      <c r="BB184" s="60">
        <f>ROUND(BA184*AZ184*Input!$C$3/365,0)</f>
        <v>0</v>
      </c>
      <c r="BC184" s="61">
        <f>IF($A184&lt;=Input!$C$6,0,IF('144M'!AY184&lt;'144M'!BA184,'144M'!AY184-BB184,'144M'!BA184))</f>
        <v>0</v>
      </c>
      <c r="BD184" s="61">
        <f t="shared" si="93"/>
        <v>0</v>
      </c>
      <c r="BE184" s="60">
        <f t="shared" si="94"/>
        <v>0</v>
      </c>
      <c r="BF184" s="193"/>
      <c r="BG184" s="169">
        <v>180</v>
      </c>
      <c r="BH184" s="1">
        <f t="shared" si="110"/>
        <v>50997</v>
      </c>
      <c r="BI184" s="60">
        <f>IF($X184&lt;Input!$H$103,IF($X184&lt;Input!$G$103,IF($X184&lt;Input!$F$103,IF($X184&lt;Input!$E$103,IF($X184&lt;Input!$D$103,Input!$C$109,Input!$D$109),Input!$E$109),Input!$F$109),Input!$G$109),Input!$H$109)</f>
        <v>0</v>
      </c>
      <c r="BJ184" s="190">
        <f>IF($A184&lt;Input!$H$110,IF($A184&lt;Input!$G$110,IF($A184&lt;Input!$F$110,IF($A184&lt;Input!$E$110,IF($A184&lt;Input!$D$110,Input!$C$111,Input!$D$111),Input!$E$111),Input!$F$111),Input!$G$111),Input!$H$111)</f>
        <v>0.9</v>
      </c>
      <c r="BK184" s="60">
        <f t="shared" si="95"/>
        <v>0</v>
      </c>
      <c r="BL184" s="60">
        <f t="shared" si="111"/>
        <v>31</v>
      </c>
      <c r="BM184" s="60">
        <f t="shared" si="96"/>
        <v>0</v>
      </c>
      <c r="BN184" s="60">
        <f>ROUND(BM184*BL184*Input!$C$3/365,0)</f>
        <v>0</v>
      </c>
      <c r="BO184" s="61">
        <f>IF($A184&lt;=Input!$C$6,0,IF('144M'!BK184&lt;'144M'!BM184,'144M'!BK184-BN184,'144M'!BM184))</f>
        <v>0</v>
      </c>
      <c r="BP184" s="61">
        <f t="shared" si="97"/>
        <v>0</v>
      </c>
      <c r="BQ184" s="60">
        <f t="shared" si="98"/>
        <v>0</v>
      </c>
      <c r="BR184" s="198"/>
    </row>
  </sheetData>
  <sheetProtection algorithmName="SHA-512" hashValue="aNJb/yiCULw2C7xVSakIR3/mH47a660HJAvmARWy0Z4rcq8l8pSRzzNHPMG5ELqpcJdIJM4eX6JfSkzhH1vllA==" saltValue="05A1kb0vO0ObNb3ceyULpA==" spinCount="100000" sheet="1" formatCells="0" formatColumns="0" formatRows="0" pivotTables="0"/>
  <mergeCells count="7">
    <mergeCell ref="A1:BR1"/>
    <mergeCell ref="M3:T3"/>
    <mergeCell ref="W3:AF3"/>
    <mergeCell ref="AJ3:AR3"/>
    <mergeCell ref="AU3:BD3"/>
    <mergeCell ref="BG3:BP3"/>
    <mergeCell ref="A3:I3"/>
  </mergeCells>
  <conditionalFormatting sqref="N4:N184">
    <cfRule type="expression" dxfId="30" priority="6">
      <formula>N3&lt;&gt;N4</formula>
    </cfRule>
  </conditionalFormatting>
  <conditionalFormatting sqref="AL4:AL184">
    <cfRule type="expression" dxfId="29" priority="5">
      <formula>AL4&lt;&gt;AL3</formula>
    </cfRule>
  </conditionalFormatting>
  <conditionalFormatting sqref="Z4:Z184">
    <cfRule type="expression" dxfId="28" priority="4">
      <formula>Z4&lt;&gt;Z3</formula>
    </cfRule>
  </conditionalFormatting>
  <conditionalFormatting sqref="AX4:AX184">
    <cfRule type="expression" dxfId="27" priority="3">
      <formula>AX4&lt;&gt;AX3</formula>
    </cfRule>
  </conditionalFormatting>
  <conditionalFormatting sqref="BJ4:BJ184">
    <cfRule type="expression" dxfId="26" priority="2">
      <formula>BJ4&lt;&gt;BJ3</formula>
    </cfRule>
  </conditionalFormatting>
  <conditionalFormatting sqref="H4:H184">
    <cfRule type="cellIs" dxfId="25" priority="1" operator="lessThan">
      <formula>0</formula>
    </cfRule>
  </conditionalFormatting>
  <dataValidations disablePrompts="1" count="1">
    <dataValidation type="custom" errorStyle="warning" allowBlank="1" showInputMessage="1" showErrorMessage="1" errorTitle="Sanction amount too high" error="Check negative values in principal run off and modify discounting factor / lower the loan amount" sqref="BC4:BC184 AE4:AE184 AQ4:AQ184 BO4:BO184" xr:uid="{A8497AB1-C87F-4744-95C5-A0CFD851AD61}">
      <formula1>"&lt;0"</formula1>
    </dataValidation>
  </dataValidation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3496A-230B-4295-8763-EF6CC2EDA13C}">
  <sheetPr codeName="Sheet15"/>
  <dimension ref="A1:BR184"/>
  <sheetViews>
    <sheetView topLeftCell="K1" zoomScale="87" zoomScaleNormal="87" workbookViewId="0">
      <selection activeCell="U3" sqref="U3"/>
    </sheetView>
  </sheetViews>
  <sheetFormatPr defaultRowHeight="15" x14ac:dyDescent="0.25"/>
  <cols>
    <col min="1" max="1" width="5.7109375" style="51" bestFit="1" customWidth="1"/>
    <col min="2" max="2" width="10" style="51" bestFit="1" customWidth="1"/>
    <col min="3" max="3" width="16.28515625" style="51" bestFit="1" customWidth="1"/>
    <col min="4" max="4" width="12.85546875" style="51" bestFit="1" customWidth="1"/>
    <col min="5" max="5" width="5.5703125" style="51" bestFit="1" customWidth="1"/>
    <col min="6" max="6" width="14" style="51" bestFit="1" customWidth="1"/>
    <col min="7" max="7" width="11.42578125" style="51" bestFit="1" customWidth="1"/>
    <col min="8" max="8" width="12" style="51" bestFit="1" customWidth="1"/>
    <col min="9" max="9" width="10" style="51" customWidth="1"/>
    <col min="10" max="10" width="14" style="51" bestFit="1" customWidth="1"/>
    <col min="11" max="11" width="10" style="51" customWidth="1"/>
    <col min="12" max="12" width="2" style="51" customWidth="1"/>
    <col min="13" max="13" width="10" style="51" bestFit="1" customWidth="1"/>
    <col min="14" max="14" width="7.5703125" style="51" bestFit="1" customWidth="1"/>
    <col min="15" max="15" width="10" style="51" customWidth="1"/>
    <col min="16" max="16" width="5.140625" style="51" bestFit="1" customWidth="1"/>
    <col min="17" max="17" width="14" style="51" bestFit="1" customWidth="1"/>
    <col min="18" max="18" width="11.42578125" style="51" bestFit="1" customWidth="1"/>
    <col min="19" max="19" width="12" style="51" bestFit="1" customWidth="1"/>
    <col min="20" max="20" width="10" style="51" bestFit="1" customWidth="1"/>
    <col min="21" max="21" width="14" style="51" bestFit="1" customWidth="1"/>
    <col min="22" max="22" width="0.5703125" style="194" customWidth="1"/>
    <col min="23" max="23" width="5.85546875" style="171" bestFit="1" customWidth="1"/>
    <col min="24" max="24" width="10" style="51" bestFit="1" customWidth="1"/>
    <col min="25" max="25" width="9" style="51" customWidth="1"/>
    <col min="26" max="26" width="7.5703125" style="51" bestFit="1" customWidth="1"/>
    <col min="27" max="27" width="9" style="51" customWidth="1"/>
    <col min="28" max="28" width="5.5703125" style="51" bestFit="1" customWidth="1"/>
    <col min="29" max="29" width="14" style="51" bestFit="1" customWidth="1"/>
    <col min="30" max="30" width="11.42578125" style="51" bestFit="1" customWidth="1"/>
    <col min="31" max="31" width="11" style="51" bestFit="1" customWidth="1"/>
    <col min="32" max="32" width="9.140625" style="51" bestFit="1" customWidth="1"/>
    <col min="33" max="33" width="14" style="51" bestFit="1" customWidth="1"/>
    <col min="34" max="34" width="1.28515625" style="194" customWidth="1"/>
    <col min="35" max="35" width="5.85546875" style="51" bestFit="1" customWidth="1"/>
    <col min="36" max="37" width="10" style="51" bestFit="1" customWidth="1"/>
    <col min="38" max="38" width="7.5703125" style="51" bestFit="1" customWidth="1"/>
    <col min="39" max="39" width="10" style="51" bestFit="1" customWidth="1"/>
    <col min="40" max="40" width="5.5703125" style="51" bestFit="1" customWidth="1"/>
    <col min="41" max="41" width="14" style="51" bestFit="1" customWidth="1"/>
    <col min="42" max="42" width="11.42578125" style="51" bestFit="1" customWidth="1"/>
    <col min="43" max="43" width="11" style="51" bestFit="1" customWidth="1"/>
    <col min="44" max="44" width="9.140625" style="51" bestFit="1" customWidth="1"/>
    <col min="45" max="45" width="14" style="51" bestFit="1" customWidth="1"/>
    <col min="46" max="46" width="1.5703125" style="194" customWidth="1"/>
    <col min="47" max="47" width="5.85546875" style="51" bestFit="1" customWidth="1"/>
    <col min="48" max="48" width="10" style="51" customWidth="1"/>
    <col min="49" max="49" width="9" style="51" bestFit="1" customWidth="1"/>
    <col min="50" max="50" width="7.5703125" style="51" bestFit="1" customWidth="1"/>
    <col min="51" max="51" width="10" style="51" customWidth="1"/>
    <col min="52" max="52" width="5.5703125" style="51" bestFit="1" customWidth="1"/>
    <col min="53" max="53" width="14" style="51" bestFit="1" customWidth="1"/>
    <col min="54" max="54" width="11.42578125" style="51" bestFit="1" customWidth="1"/>
    <col min="55" max="55" width="11" style="51" bestFit="1" customWidth="1"/>
    <col min="56" max="56" width="9.140625" style="51" bestFit="1" customWidth="1"/>
    <col min="57" max="57" width="14" style="51" bestFit="1" customWidth="1"/>
    <col min="58" max="58" width="2" style="194" customWidth="1"/>
    <col min="59" max="59" width="5.85546875" style="51" bestFit="1" customWidth="1"/>
    <col min="60" max="60" width="10" style="51" bestFit="1" customWidth="1"/>
    <col min="61" max="61" width="9" style="51" bestFit="1" customWidth="1"/>
    <col min="62" max="62" width="7.5703125" style="51" bestFit="1" customWidth="1"/>
    <col min="63" max="63" width="9" style="51" bestFit="1" customWidth="1"/>
    <col min="64" max="64" width="5.5703125" style="51" bestFit="1" customWidth="1"/>
    <col min="65" max="65" width="14" style="51" bestFit="1" customWidth="1"/>
    <col min="66" max="66" width="11.42578125" style="51" bestFit="1" customWidth="1"/>
    <col min="67" max="67" width="11" style="51" bestFit="1" customWidth="1"/>
    <col min="68" max="68" width="9.140625" style="51" customWidth="1"/>
    <col min="69" max="69" width="19.140625" style="51" bestFit="1" customWidth="1"/>
    <col min="70" max="70" width="2.28515625" style="194" customWidth="1"/>
    <col min="71" max="16384" width="9.140625" style="51"/>
  </cols>
  <sheetData>
    <row r="1" spans="1:70" x14ac:dyDescent="0.25">
      <c r="A1" s="346" t="s">
        <v>36</v>
      </c>
      <c r="B1" s="346"/>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c r="AI1" s="346"/>
      <c r="AJ1" s="346"/>
      <c r="AK1" s="346"/>
      <c r="AL1" s="346"/>
      <c r="AM1" s="346"/>
      <c r="AN1" s="346"/>
      <c r="AO1" s="346"/>
      <c r="AP1" s="346"/>
      <c r="AQ1" s="346"/>
      <c r="AR1" s="346"/>
      <c r="AS1" s="346"/>
      <c r="AT1" s="346"/>
      <c r="AU1" s="346"/>
      <c r="AV1" s="346"/>
      <c r="AW1" s="346"/>
      <c r="AX1" s="346"/>
      <c r="AY1" s="346"/>
      <c r="AZ1" s="346"/>
      <c r="BA1" s="346"/>
      <c r="BB1" s="346"/>
      <c r="BC1" s="346"/>
      <c r="BD1" s="346"/>
      <c r="BE1" s="346"/>
      <c r="BF1" s="346"/>
      <c r="BG1" s="346"/>
      <c r="BH1" s="346"/>
      <c r="BI1" s="346"/>
      <c r="BJ1" s="346"/>
      <c r="BK1" s="346"/>
      <c r="BL1" s="346"/>
      <c r="BM1" s="346"/>
      <c r="BN1" s="346"/>
      <c r="BO1" s="346"/>
      <c r="BP1" s="346"/>
      <c r="BQ1" s="346"/>
      <c r="BR1" s="346"/>
    </row>
    <row r="2" spans="1:70" ht="69" customHeight="1" x14ac:dyDescent="0.25">
      <c r="A2" s="57" t="s">
        <v>20</v>
      </c>
      <c r="B2" s="58" t="s">
        <v>0</v>
      </c>
      <c r="C2" s="58" t="s">
        <v>150</v>
      </c>
      <c r="D2" s="58" t="s">
        <v>151</v>
      </c>
      <c r="E2" s="59" t="s">
        <v>4</v>
      </c>
      <c r="F2" s="59" t="s">
        <v>29</v>
      </c>
      <c r="G2" s="59" t="s">
        <v>2</v>
      </c>
      <c r="H2" s="59" t="s">
        <v>19</v>
      </c>
      <c r="I2" s="59" t="s">
        <v>27</v>
      </c>
      <c r="J2" s="59" t="s">
        <v>1</v>
      </c>
      <c r="K2" s="59" t="s">
        <v>32</v>
      </c>
      <c r="L2" s="230"/>
      <c r="M2" s="59" t="s">
        <v>146</v>
      </c>
      <c r="N2" s="59" t="s">
        <v>147</v>
      </c>
      <c r="O2" s="59" t="s">
        <v>148</v>
      </c>
      <c r="P2" s="59" t="s">
        <v>4</v>
      </c>
      <c r="Q2" s="59" t="s">
        <v>29</v>
      </c>
      <c r="R2" s="59" t="s">
        <v>2</v>
      </c>
      <c r="S2" s="59" t="s">
        <v>143</v>
      </c>
      <c r="T2" s="59" t="s">
        <v>27</v>
      </c>
      <c r="U2" s="59" t="s">
        <v>1</v>
      </c>
      <c r="V2" s="192"/>
      <c r="W2" s="58" t="s">
        <v>149</v>
      </c>
      <c r="X2" s="58" t="s">
        <v>0</v>
      </c>
      <c r="Y2" s="59" t="s">
        <v>146</v>
      </c>
      <c r="Z2" s="59" t="s">
        <v>147</v>
      </c>
      <c r="AA2" s="59" t="s">
        <v>148</v>
      </c>
      <c r="AB2" s="59" t="s">
        <v>4</v>
      </c>
      <c r="AC2" s="59" t="s">
        <v>29</v>
      </c>
      <c r="AD2" s="59" t="s">
        <v>2</v>
      </c>
      <c r="AE2" s="59" t="s">
        <v>143</v>
      </c>
      <c r="AF2" s="59" t="s">
        <v>27</v>
      </c>
      <c r="AG2" s="59" t="s">
        <v>1</v>
      </c>
      <c r="AH2" s="192"/>
      <c r="AI2" s="58" t="s">
        <v>149</v>
      </c>
      <c r="AJ2" s="58" t="s">
        <v>0</v>
      </c>
      <c r="AK2" s="59" t="s">
        <v>146</v>
      </c>
      <c r="AL2" s="59" t="s">
        <v>147</v>
      </c>
      <c r="AM2" s="59" t="s">
        <v>148</v>
      </c>
      <c r="AN2" s="59" t="s">
        <v>4</v>
      </c>
      <c r="AO2" s="59" t="s">
        <v>29</v>
      </c>
      <c r="AP2" s="59" t="s">
        <v>2</v>
      </c>
      <c r="AQ2" s="59" t="s">
        <v>143</v>
      </c>
      <c r="AR2" s="59" t="s">
        <v>27</v>
      </c>
      <c r="AS2" s="59" t="s">
        <v>1</v>
      </c>
      <c r="AT2" s="192"/>
      <c r="AU2" s="58" t="s">
        <v>149</v>
      </c>
      <c r="AV2" s="58" t="s">
        <v>0</v>
      </c>
      <c r="AW2" s="59" t="s">
        <v>146</v>
      </c>
      <c r="AX2" s="59" t="s">
        <v>147</v>
      </c>
      <c r="AY2" s="59" t="s">
        <v>148</v>
      </c>
      <c r="AZ2" s="59" t="s">
        <v>4</v>
      </c>
      <c r="BA2" s="59" t="s">
        <v>29</v>
      </c>
      <c r="BB2" s="59" t="s">
        <v>2</v>
      </c>
      <c r="BC2" s="59" t="s">
        <v>143</v>
      </c>
      <c r="BD2" s="59" t="s">
        <v>27</v>
      </c>
      <c r="BE2" s="59" t="s">
        <v>1</v>
      </c>
      <c r="BF2" s="192"/>
      <c r="BG2" s="58" t="s">
        <v>149</v>
      </c>
      <c r="BH2" s="58" t="s">
        <v>0</v>
      </c>
      <c r="BI2" s="59" t="s">
        <v>146</v>
      </c>
      <c r="BJ2" s="59" t="s">
        <v>147</v>
      </c>
      <c r="BK2" s="59" t="s">
        <v>148</v>
      </c>
      <c r="BL2" s="59" t="s">
        <v>4</v>
      </c>
      <c r="BM2" s="59" t="s">
        <v>29</v>
      </c>
      <c r="BN2" s="59" t="s">
        <v>2</v>
      </c>
      <c r="BO2" s="59" t="s">
        <v>143</v>
      </c>
      <c r="BP2" s="59" t="s">
        <v>27</v>
      </c>
      <c r="BQ2" s="59" t="s">
        <v>1</v>
      </c>
      <c r="BR2" s="192"/>
    </row>
    <row r="3" spans="1:70" s="171" customFormat="1" ht="22.5" customHeight="1" x14ac:dyDescent="0.25">
      <c r="A3" s="343" t="s">
        <v>154</v>
      </c>
      <c r="B3" s="344"/>
      <c r="C3" s="344"/>
      <c r="D3" s="344"/>
      <c r="E3" s="344"/>
      <c r="F3" s="344"/>
      <c r="G3" s="344"/>
      <c r="H3" s="344"/>
      <c r="I3" s="345"/>
      <c r="J3" s="246">
        <v>1000000000</v>
      </c>
      <c r="K3" s="191"/>
      <c r="L3" s="231"/>
      <c r="M3" s="340" t="str">
        <f>Input!A39</f>
        <v>Lessee1- ABC</v>
      </c>
      <c r="N3" s="341"/>
      <c r="O3" s="341"/>
      <c r="P3" s="341"/>
      <c r="Q3" s="341"/>
      <c r="R3" s="341"/>
      <c r="S3" s="341"/>
      <c r="T3" s="341"/>
      <c r="U3" s="247">
        <v>1000000000</v>
      </c>
      <c r="V3" s="192"/>
      <c r="W3" s="340" t="str">
        <f>Input!A54</f>
        <v>Lessee2- DEF</v>
      </c>
      <c r="X3" s="341"/>
      <c r="Y3" s="341"/>
      <c r="Z3" s="341"/>
      <c r="AA3" s="341"/>
      <c r="AB3" s="341"/>
      <c r="AC3" s="341"/>
      <c r="AD3" s="341"/>
      <c r="AE3" s="341"/>
      <c r="AF3" s="342"/>
      <c r="AG3" s="248">
        <v>-1.7102521061897278</v>
      </c>
      <c r="AH3" s="192"/>
      <c r="AI3" s="170"/>
      <c r="AJ3" s="340" t="str">
        <f>Input!A69</f>
        <v>Lessee3- GHI</v>
      </c>
      <c r="AK3" s="341"/>
      <c r="AL3" s="341"/>
      <c r="AM3" s="341"/>
      <c r="AN3" s="341"/>
      <c r="AO3" s="341"/>
      <c r="AP3" s="341"/>
      <c r="AQ3" s="341"/>
      <c r="AR3" s="342"/>
      <c r="AS3" s="248">
        <v>-1.7102521061897278</v>
      </c>
      <c r="AT3" s="192"/>
      <c r="AU3" s="340" t="str">
        <f>Input!A84</f>
        <v>Lessee4- JKL</v>
      </c>
      <c r="AV3" s="341"/>
      <c r="AW3" s="341"/>
      <c r="AX3" s="341"/>
      <c r="AY3" s="341"/>
      <c r="AZ3" s="341"/>
      <c r="BA3" s="341"/>
      <c r="BB3" s="341"/>
      <c r="BC3" s="341"/>
      <c r="BD3" s="342"/>
      <c r="BE3" s="248">
        <v>-1.7102521061897278</v>
      </c>
      <c r="BF3" s="192"/>
      <c r="BG3" s="340" t="str">
        <f>Input!A99</f>
        <v>Lessee5- MNO</v>
      </c>
      <c r="BH3" s="341"/>
      <c r="BI3" s="341"/>
      <c r="BJ3" s="341"/>
      <c r="BK3" s="341"/>
      <c r="BL3" s="341"/>
      <c r="BM3" s="341"/>
      <c r="BN3" s="341"/>
      <c r="BO3" s="341"/>
      <c r="BP3" s="342"/>
      <c r="BQ3" s="248">
        <v>-1.7102521061897278</v>
      </c>
      <c r="BR3" s="245"/>
    </row>
    <row r="4" spans="1:70" x14ac:dyDescent="0.25">
      <c r="A4" s="169">
        <v>0</v>
      </c>
      <c r="B4" s="1">
        <f>IF(Input!C5=15,IF(DAY(Input!C4)&lt;15,DATE(YEAR((Input!C4)),MONTH(Input!C4),15),IF(DAY(Input!C4)=15,Input!C4,DATE(YEAR((Input!C4)),MONTH(Input!C4)+1,15))),IF(DAY(Input!C4)&lt;5,DATE(YEAR((Input!C4)),MONTH(Input!C4),5),IF(DAY(Input!C4)=5,Input!C4,DATE(YEAR((Input!C4)),MONTH(Input!C4)+1,5))))</f>
        <v>45519</v>
      </c>
      <c r="C4" s="60">
        <f>M4+Y4+AK4+AW4+BI4</f>
        <v>16470000</v>
      </c>
      <c r="D4" s="60">
        <f>O4+AA4+AM4+AY4+BK4</f>
        <v>14823000</v>
      </c>
      <c r="E4" s="60">
        <f>B4-Input!$C$4</f>
        <v>15</v>
      </c>
      <c r="F4" s="60">
        <f>J3</f>
        <v>1000000000</v>
      </c>
      <c r="G4" s="60">
        <f>ROUND(F4*E4*Input!$C$3/365,0)</f>
        <v>6164384</v>
      </c>
      <c r="H4" s="60">
        <f>IF($A4&lt;=Input!$C$6,0,IF('120M'!D4&lt;'120M'!F4,'120M'!F4-G4,'120M'!F4))</f>
        <v>0</v>
      </c>
      <c r="I4" s="60">
        <f>G4+H4</f>
        <v>6164384</v>
      </c>
      <c r="J4" s="60">
        <f>J3-H4</f>
        <v>1000000000</v>
      </c>
      <c r="K4" s="202">
        <f>J4/Input!$K$5</f>
        <v>3.3333333333333335</v>
      </c>
      <c r="L4" s="232"/>
      <c r="M4" s="60">
        <f>IF($B4&lt;Input!$H$43,IF($B4&lt;Input!$G$43,IF($B4&lt;Input!$F$43,IF($B4&lt;Input!$E$43,IF($B4&lt;Input!$D$43,Input!$C$49,Input!$D$49),Input!$E$49),Input!$F$49),Input!$G$49),Input!$H$49)</f>
        <v>16470000</v>
      </c>
      <c r="N4" s="190">
        <f>IF($A4&lt;Input!$H$50,IF($A4&lt;Input!$G$50,IF($A4&lt;Input!$F$50,IF($A4&lt;Input!$E$50,IF($A4&lt;Input!$D$50,Input!$C$51,Input!$D$51),Input!$E$51),Input!$F$51),Input!$G$51),Input!$H$51)</f>
        <v>0.9</v>
      </c>
      <c r="O4" s="60">
        <f t="shared" ref="O4:O35" si="0">M4*N4</f>
        <v>14823000</v>
      </c>
      <c r="P4" s="60">
        <f>B4-Input!$C$4</f>
        <v>15</v>
      </c>
      <c r="Q4" s="60">
        <f>U3</f>
        <v>1000000000</v>
      </c>
      <c r="R4" s="60">
        <f>ROUND(Q4*P4*Input!$C$3/365,0)</f>
        <v>6164384</v>
      </c>
      <c r="S4" s="60">
        <f>IF($A4&lt;=Input!$C$6,0,IF('120M'!O4&lt;'120M'!Q4,'120M'!Q4-R4,'120M'!Q4))</f>
        <v>0</v>
      </c>
      <c r="T4" s="60">
        <f>R4+S4</f>
        <v>6164384</v>
      </c>
      <c r="U4" s="60">
        <f>U3-S4</f>
        <v>1000000000</v>
      </c>
      <c r="V4" s="193"/>
      <c r="W4" s="169">
        <v>0</v>
      </c>
      <c r="X4" s="1">
        <f>IF(Input!C5=15,IF(DAY(Input!C4)&lt;15,DATE(YEAR((Input!C4)),MONTH(Input!C4),15),IF(DAY(Input!C4)=15,Input!C4,DATE(YEAR((Input!C4)),MONTH(Input!C4)+1,15))),IF(DAY(Input!C4)&lt;5,DATE(YEAR((Input!C4)),MONTH(Input!C4),5),IF(DAY(Input!C4)=5,Input!C4,DATE(YEAR((Input!C4)),MONTH(Input!C4)+1,5))))</f>
        <v>45519</v>
      </c>
      <c r="Y4" s="60">
        <f>IF($X4&lt;Input!$H$58,IF($X4&lt;Input!$G$58,IF($X4&lt;Input!$F$58,IF($X4&lt;Input!$E$58,IF($X4&lt;Input!$D$58,Input!$C$64,Input!$D$64),Input!$E$64),Input!$F$64),Input!$G$64),Input!$H$64)</f>
        <v>0</v>
      </c>
      <c r="Z4" s="190">
        <f>IF($A4&lt;Input!$H$65,IF($A4&lt;Input!$G$65,IF($A4&lt;Input!$F$65,IF($A4&lt;Input!$E$65,IF($A4&lt;Input!$D$65,Input!$C$66,Input!$D$66),Input!$E$66),Input!$F$66),Input!$G$66),Input!$H$66)</f>
        <v>0.9</v>
      </c>
      <c r="AA4" s="60">
        <f>Y4*Z4</f>
        <v>0</v>
      </c>
      <c r="AB4" s="60">
        <f>X4-Input!$C$4</f>
        <v>15</v>
      </c>
      <c r="AC4" s="60">
        <f>AG3</f>
        <v>-1.7102521061897278</v>
      </c>
      <c r="AD4" s="60">
        <f>ROUND(AC4*AB4*Input!$C$3/365,0)</f>
        <v>0</v>
      </c>
      <c r="AE4" s="61">
        <f>IF($A4&lt;=Input!$C$6,0,IF('120M'!AA4&lt;'120M'!AC4,'120M'!AA4-AD4,'120M'!AC4))</f>
        <v>0</v>
      </c>
      <c r="AF4" s="61">
        <f>AD4+AE4</f>
        <v>0</v>
      </c>
      <c r="AG4" s="60">
        <f>AG3-AE4</f>
        <v>-1.7102521061897278</v>
      </c>
      <c r="AH4" s="193"/>
      <c r="AI4" s="169">
        <v>0</v>
      </c>
      <c r="AJ4" s="1">
        <f>IF(Input!C5=15,IF(DAY(Input!C4)&lt;15,DATE(YEAR((Input!C4)),MONTH(Input!C4),15),IF(DAY(Input!C4)=15,Input!C4,DATE(YEAR((Input!C4)),MONTH(Input!C4)+1,15))),IF(DAY(Input!C4)&lt;5,DATE(YEAR((Input!C4)),MONTH(Input!C4),5),IF(DAY(Input!C4)=5,Input!C4,DATE(YEAR((Input!C4)),MONTH(Input!C4)+1,5))))</f>
        <v>45519</v>
      </c>
      <c r="AK4" s="60">
        <f>IF($X4&lt;Input!$H$73,IF($X4&lt;Input!$G$73,IF($X4&lt;Input!$F$73,IF($X4&lt;Input!$E$73,IF($X4&lt;Input!$D$73,Input!$C$79,Input!$D$79),Input!$E$79),Input!$F$79),Input!$G$79),Input!$H$79)</f>
        <v>0</v>
      </c>
      <c r="AL4" s="190">
        <f>IF($A4&lt;Input!$H$80,IF($A4&lt;Input!$G$80,IF($A4&lt;Input!$F$80,IF($A4&lt;Input!$E$80,IF($A4&lt;Input!$D$80,Input!$C$81,Input!$D$81),Input!$E$81),Input!$F$81),Input!$G$81),Input!$H$81)</f>
        <v>0.9</v>
      </c>
      <c r="AM4" s="60">
        <f>AK4*AL4</f>
        <v>0</v>
      </c>
      <c r="AN4" s="60">
        <f>AJ4-Input!$C$4</f>
        <v>15</v>
      </c>
      <c r="AO4" s="60">
        <f>AS3</f>
        <v>-1.7102521061897278</v>
      </c>
      <c r="AP4" s="60">
        <f>ROUND(AO4*AN4*Input!$C$3/365,0)</f>
        <v>0</v>
      </c>
      <c r="AQ4" s="61">
        <f>IF($A4&lt;=Input!$C$6,0,IF('120M'!AM4&lt;'120M'!AO4,'120M'!AM4-AP4,'120M'!AO4))</f>
        <v>0</v>
      </c>
      <c r="AR4" s="61">
        <f>AP4+AQ4</f>
        <v>0</v>
      </c>
      <c r="AS4" s="60">
        <f>AS3-AQ4</f>
        <v>-1.7102521061897278</v>
      </c>
      <c r="AT4" s="193"/>
      <c r="AU4" s="169">
        <v>0</v>
      </c>
      <c r="AV4" s="1">
        <f>IF(Input!C5=15,IF(DAY(Input!C4)&lt;15,DATE(YEAR((Input!C4)),MONTH(Input!C4),15),IF(DAY(Input!C4)=15,Input!C4,DATE(YEAR((Input!C4)),MONTH(Input!C4)+1,15))),IF(DAY(Input!C4)&lt;5,DATE(YEAR((Input!C4)),MONTH(Input!C4),5),IF(DAY(Input!C4)=5,Input!C4,DATE(YEAR((Input!C4)),MONTH(Input!C4)+1,5))))</f>
        <v>45519</v>
      </c>
      <c r="AW4" s="60">
        <f>IF($X4&lt;Input!$H$88,IF($X4&lt;Input!$G$88,IF($X4&lt;Input!$F$88,IF($X4&lt;Input!$E$88,IF($X4&lt;Input!$D$88,Input!$C$94,Input!$D$94),Input!$E$94),Input!$F$94),Input!$G$94),Input!$H$94)</f>
        <v>0</v>
      </c>
      <c r="AX4" s="190">
        <f>IF($A4&lt;Input!$H$95,IF($A4&lt;Input!$G$95,IF($A4&lt;Input!$F$95,IF($A4&lt;Input!$E$95,IF($A4&lt;Input!$D$95,Input!$C$96,Input!$D$96),Input!$E$96),Input!$F$96),Input!$G$96),Input!$H$96)</f>
        <v>0.9</v>
      </c>
      <c r="AY4" s="60">
        <f>AW4*AX4</f>
        <v>0</v>
      </c>
      <c r="AZ4" s="60">
        <f>AV4-Input!$C$4</f>
        <v>15</v>
      </c>
      <c r="BA4" s="60">
        <f>BE3</f>
        <v>-1.7102521061897278</v>
      </c>
      <c r="BB4" s="60">
        <f>ROUND(BA4*AZ4*Input!$C$3/365,0)</f>
        <v>0</v>
      </c>
      <c r="BC4" s="61">
        <f>IF($A4&lt;=Input!$C$6,0,IF('120M'!AY4&lt;'120M'!BA4,'120M'!AY4-BB4,'120M'!BA4))</f>
        <v>0</v>
      </c>
      <c r="BD4" s="61">
        <f>BB4+BC4</f>
        <v>0</v>
      </c>
      <c r="BE4" s="60">
        <f>BE3-BC4</f>
        <v>-1.7102521061897278</v>
      </c>
      <c r="BF4" s="193"/>
      <c r="BG4" s="169">
        <v>0</v>
      </c>
      <c r="BH4" s="1">
        <f>IF(Input!C5=15,IF(DAY(Input!C4)&lt;15,DATE(YEAR((Input!C4)),MONTH(Input!C4),15),IF(DAY(Input!C4)=15,Input!C4,DATE(YEAR((Input!C4)),MONTH(Input!C4)+1,15))),IF(DAY(Input!C4)&lt;5,DATE(YEAR((Input!C4)),MONTH(Input!C4),5),IF(DAY(Input!C4)=5,Input!C4,DATE(YEAR((Input!C4)),MONTH(Input!C4)+1,5))))</f>
        <v>45519</v>
      </c>
      <c r="BI4" s="60">
        <f>IF($X4&lt;Input!$H$103,IF($X4&lt;Input!$G$103,IF($X4&lt;Input!$F$103,IF($X4&lt;Input!$E$103,IF($X4&lt;Input!$D$103,Input!$C$109,Input!$D$109),Input!$E$109),Input!$F$109),Input!$G$109),Input!$H$109)</f>
        <v>0</v>
      </c>
      <c r="BJ4" s="190">
        <f>IF($A4&lt;Input!$H$110,IF($A4&lt;Input!$G$110,IF($A4&lt;Input!$F$110,IF($A4&lt;Input!$E$110,IF($A4&lt;Input!$D$110,Input!$C$111,Input!$D$111),Input!$E$111),Input!$F$111),Input!$G$111),Input!$H$111)</f>
        <v>0.9</v>
      </c>
      <c r="BK4" s="60">
        <f>BI4*BJ4</f>
        <v>0</v>
      </c>
      <c r="BL4" s="60">
        <f>BH4-Input!$C$4</f>
        <v>15</v>
      </c>
      <c r="BM4" s="60">
        <f>BQ3</f>
        <v>-1.7102521061897278</v>
      </c>
      <c r="BN4" s="60">
        <f>ROUND(BM4*BL4*Input!$C$3/365,0)</f>
        <v>0</v>
      </c>
      <c r="BO4" s="61">
        <f>IF($A4&lt;=Input!$C$6,0,IF('120M'!BK4&lt;'120M'!BM4,'120M'!BK4-BN4,'120M'!BM4))</f>
        <v>0</v>
      </c>
      <c r="BP4" s="61">
        <f>BN4+BO4</f>
        <v>0</v>
      </c>
      <c r="BQ4" s="60">
        <f>BQ3-BO4</f>
        <v>-1.7102521061897278</v>
      </c>
      <c r="BR4" s="198"/>
    </row>
    <row r="5" spans="1:70" x14ac:dyDescent="0.25">
      <c r="A5" s="169">
        <v>1</v>
      </c>
      <c r="B5" s="1">
        <f>EDATE(B4,1)</f>
        <v>45550</v>
      </c>
      <c r="C5" s="60">
        <f t="shared" ref="C5:C68" si="1">M5+Y5+AK5+AW5+BI5</f>
        <v>16470000</v>
      </c>
      <c r="D5" s="60">
        <f t="shared" ref="D5:D68" si="2">O5+AA5+AM5+AY5+BK5</f>
        <v>14823000</v>
      </c>
      <c r="E5" s="60">
        <f>B5-B4</f>
        <v>31</v>
      </c>
      <c r="F5" s="60">
        <f>J4</f>
        <v>1000000000</v>
      </c>
      <c r="G5" s="60">
        <f>ROUND(F5*E5*Input!$C$3/365,0)</f>
        <v>12739726</v>
      </c>
      <c r="H5" s="60">
        <f>IF($A5&lt;=Input!$C$6,0,IF('120M'!D5&lt;'120M'!F5,'120M'!D5-G5,'120M'!F5))</f>
        <v>2083274</v>
      </c>
      <c r="I5" s="60">
        <f>G5+H5</f>
        <v>14823000</v>
      </c>
      <c r="J5" s="60">
        <f>J4-H5</f>
        <v>997916726</v>
      </c>
      <c r="K5" s="202">
        <f>J5/Input!$K$5</f>
        <v>3.3263890866666666</v>
      </c>
      <c r="L5" s="232"/>
      <c r="M5" s="60">
        <f>IF($B5&lt;Input!$H$43,IF($B5&lt;Input!$G$43,IF($B5&lt;Input!$F$43,IF($B5&lt;Input!$E$43,IF($B5&lt;Input!$D$43,Input!$C$49,Input!$D$49),Input!$E$49),Input!$F$49),Input!$G$49),Input!$H$49)</f>
        <v>16470000</v>
      </c>
      <c r="N5" s="190">
        <f>IF($A5&lt;Input!$H$50,IF($A5&lt;Input!$G$50,IF($A5&lt;Input!$F$50,IF($A5&lt;Input!$E$50,IF($A5&lt;Input!$D$50,Input!$C$51,Input!$D$51),Input!$E$51),Input!$F$51),Input!$G$51),Input!$H$51)</f>
        <v>0.9</v>
      </c>
      <c r="O5" s="60">
        <f t="shared" si="0"/>
        <v>14823000</v>
      </c>
      <c r="P5" s="60">
        <f t="shared" ref="P5:P36" si="3">B5-B4</f>
        <v>31</v>
      </c>
      <c r="Q5" s="60">
        <f t="shared" ref="Q5:Q68" si="4">U4</f>
        <v>1000000000</v>
      </c>
      <c r="R5" s="60">
        <f>ROUND(Q5*$P5*Input!$C$3/365,0)</f>
        <v>12739726</v>
      </c>
      <c r="S5" s="60">
        <f>IF(A5&lt;=Input!$C$6,0,IF('120M'!O5&lt;'120M'!Q5,'120M'!O5-R5,'120M'!Q5))</f>
        <v>2083274</v>
      </c>
      <c r="T5" s="60">
        <f t="shared" ref="T5:T68" si="5">R5+S5</f>
        <v>14823000</v>
      </c>
      <c r="U5" s="60">
        <f t="shared" ref="U5:U68" si="6">U4-S5</f>
        <v>997916726</v>
      </c>
      <c r="V5" s="193"/>
      <c r="W5" s="169">
        <v>1</v>
      </c>
      <c r="X5" s="1">
        <f>EDATE(X4,1)</f>
        <v>45550</v>
      </c>
      <c r="Y5" s="60">
        <f>IF($X5&lt;Input!$H$58,IF($X5&lt;Input!$G$58,IF($X5&lt;Input!$F$58,IF($X5&lt;Input!$E$58,IF($X5&lt;Input!$D$58,Input!$C$64,Input!$D$64),Input!$E$64),Input!$F$64),Input!$G$64),Input!$H$64)</f>
        <v>0</v>
      </c>
      <c r="Z5" s="190">
        <f>IF($A5&lt;Input!$H$65,IF($A5&lt;Input!$G$65,IF($A5&lt;Input!$F$65,IF($A5&lt;Input!$E$65,IF($A5&lt;Input!$D$65,Input!$C$66,Input!$D$66),Input!$E$66),Input!$F$66),Input!$G$66),Input!$H$66)</f>
        <v>0.9</v>
      </c>
      <c r="AA5" s="60">
        <f t="shared" ref="AA5:AA68" si="7">Y5*Z5</f>
        <v>0</v>
      </c>
      <c r="AB5" s="60">
        <f>X5-X4</f>
        <v>31</v>
      </c>
      <c r="AC5" s="60">
        <f t="shared" ref="AC5:AC68" si="8">AG4</f>
        <v>-1.7102521061897278</v>
      </c>
      <c r="AD5" s="60">
        <f>ROUND(AC5*AB5*Input!$C$3/365,0)</f>
        <v>0</v>
      </c>
      <c r="AE5" s="61">
        <f>IF($A5&lt;=Input!$C$6,0,IF('120M'!AA5&lt;'120M'!AC5,'120M'!AA5-AD5,'120M'!AC5))</f>
        <v>-1.7102521061897278</v>
      </c>
      <c r="AF5" s="61">
        <f t="shared" ref="AF5:AF68" si="9">AD5+AE5</f>
        <v>-1.7102521061897278</v>
      </c>
      <c r="AG5" s="60">
        <f t="shared" ref="AG5:AG68" si="10">AG4-AE5</f>
        <v>0</v>
      </c>
      <c r="AH5" s="193"/>
      <c r="AI5" s="169">
        <v>1</v>
      </c>
      <c r="AJ5" s="1">
        <f>EDATE(AJ4,1)</f>
        <v>45550</v>
      </c>
      <c r="AK5" s="60">
        <f>IF($X5&lt;Input!$H$73,IF($X5&lt;Input!$G$73,IF($X5&lt;Input!$F$73,IF($X5&lt;Input!$E$73,IF($X5&lt;Input!$D$73,Input!$C$79,Input!$D$79),Input!$E$79),Input!$F$79),Input!$G$79),Input!$H$79)</f>
        <v>0</v>
      </c>
      <c r="AL5" s="190">
        <f>IF($A5&lt;Input!$H$80,IF($A5&lt;Input!$G$80,IF($A5&lt;Input!$F$80,IF($A5&lt;Input!$E$80,IF($A5&lt;Input!$D$80,Input!$C$81,Input!$D$81),Input!$E$81),Input!$F$81),Input!$G$81),Input!$H$81)</f>
        <v>0.9</v>
      </c>
      <c r="AM5" s="60">
        <f t="shared" ref="AM5:AM68" si="11">AK5*AL5</f>
        <v>0</v>
      </c>
      <c r="AN5" s="60">
        <f>AJ5-AJ4</f>
        <v>31</v>
      </c>
      <c r="AO5" s="60">
        <f t="shared" ref="AO5:AO68" si="12">AS4</f>
        <v>-1.7102521061897278</v>
      </c>
      <c r="AP5" s="60">
        <f>ROUND(AO5*AN5*Input!$C$3/365,0)</f>
        <v>0</v>
      </c>
      <c r="AQ5" s="61">
        <f>IF($A5&lt;=Input!$C$6,0,IF('120M'!AM5&lt;'120M'!AO5,'120M'!AM5-AP5,'120M'!AO5))</f>
        <v>-1.7102521061897278</v>
      </c>
      <c r="AR5" s="61">
        <f t="shared" ref="AR5:AR68" si="13">AP5+AQ5</f>
        <v>-1.7102521061897278</v>
      </c>
      <c r="AS5" s="60">
        <f t="shared" ref="AS5:AS68" si="14">AS4-AQ5</f>
        <v>0</v>
      </c>
      <c r="AT5" s="193"/>
      <c r="AU5" s="169">
        <v>1</v>
      </c>
      <c r="AV5" s="1">
        <f>EDATE(AV4,1)</f>
        <v>45550</v>
      </c>
      <c r="AW5" s="60">
        <f>IF($X5&lt;Input!$H$88,IF($X5&lt;Input!$G$88,IF($X5&lt;Input!$F$88,IF($X5&lt;Input!$E$88,IF($X5&lt;Input!$D$88,Input!$C$94,Input!$D$94),Input!$E$94),Input!$F$94),Input!$G$94),Input!$H$94)</f>
        <v>0</v>
      </c>
      <c r="AX5" s="190">
        <f>IF($A5&lt;Input!$H$95,IF($A5&lt;Input!$G$95,IF($A5&lt;Input!$F$95,IF($A5&lt;Input!$E$95,IF($A5&lt;Input!$D$95,Input!$C$96,Input!$D$96),Input!$E$96),Input!$F$96),Input!$G$96),Input!$H$96)</f>
        <v>0.9</v>
      </c>
      <c r="AY5" s="60">
        <f t="shared" ref="AY5:AY68" si="15">AW5*AX5</f>
        <v>0</v>
      </c>
      <c r="AZ5" s="60">
        <f>AV5-AV4</f>
        <v>31</v>
      </c>
      <c r="BA5" s="60">
        <f t="shared" ref="BA5:BA68" si="16">BE4</f>
        <v>-1.7102521061897278</v>
      </c>
      <c r="BB5" s="60">
        <f>ROUND(BA5*AZ5*Input!$C$3/365,0)</f>
        <v>0</v>
      </c>
      <c r="BC5" s="61">
        <f>IF($A5&lt;=Input!$C$6,0,IF('120M'!AY5&lt;'120M'!BA5,'120M'!AY5-BB5,'120M'!BA5))</f>
        <v>-1.7102521061897278</v>
      </c>
      <c r="BD5" s="61">
        <f t="shared" ref="BD5:BD68" si="17">BB5+BC5</f>
        <v>-1.7102521061897278</v>
      </c>
      <c r="BE5" s="60">
        <f t="shared" ref="BE5:BE68" si="18">BE4-BC5</f>
        <v>0</v>
      </c>
      <c r="BF5" s="193"/>
      <c r="BG5" s="169">
        <v>1</v>
      </c>
      <c r="BH5" s="1">
        <f>EDATE(BH4,1)</f>
        <v>45550</v>
      </c>
      <c r="BI5" s="60">
        <f>IF($X5&lt;Input!$H$103,IF($X5&lt;Input!$G$103,IF($X5&lt;Input!$F$103,IF($X5&lt;Input!$E$103,IF($X5&lt;Input!$D$103,Input!$C$109,Input!$D$109),Input!$E$109),Input!$F$109),Input!$G$109),Input!$H$109)</f>
        <v>0</v>
      </c>
      <c r="BJ5" s="190">
        <f>IF($A5&lt;Input!$H$110,IF($A5&lt;Input!$G$110,IF($A5&lt;Input!$F$110,IF($A5&lt;Input!$E$110,IF($A5&lt;Input!$D$110,Input!$C$111,Input!$D$111),Input!$E$111),Input!$F$111),Input!$G$111),Input!$H$111)</f>
        <v>0.9</v>
      </c>
      <c r="BK5" s="60">
        <f t="shared" ref="BK5:BK68" si="19">BI5*BJ5</f>
        <v>0</v>
      </c>
      <c r="BL5" s="60">
        <f>BH5-BH4</f>
        <v>31</v>
      </c>
      <c r="BM5" s="60">
        <f t="shared" ref="BM5:BM68" si="20">BQ4</f>
        <v>-1.7102521061897278</v>
      </c>
      <c r="BN5" s="60">
        <f>ROUND(BM5*BL5*Input!$C$3/365,0)</f>
        <v>0</v>
      </c>
      <c r="BO5" s="61">
        <f>IF($A5&lt;=Input!$C$6,0,IF('120M'!BK5&lt;'120M'!BM5,'120M'!BK5-BN5,'120M'!BM5))</f>
        <v>-1.7102521061897278</v>
      </c>
      <c r="BP5" s="61">
        <f t="shared" ref="BP5:BP68" si="21">BN5+BO5</f>
        <v>-1.7102521061897278</v>
      </c>
      <c r="BQ5" s="60">
        <f t="shared" ref="BQ5:BQ68" si="22">BQ4-BO5</f>
        <v>0</v>
      </c>
      <c r="BR5" s="198"/>
    </row>
    <row r="6" spans="1:70" x14ac:dyDescent="0.25">
      <c r="A6" s="169">
        <v>2</v>
      </c>
      <c r="B6" s="1">
        <f t="shared" ref="B6:B69" si="23">EDATE(B5,1)</f>
        <v>45580</v>
      </c>
      <c r="C6" s="60">
        <f t="shared" si="1"/>
        <v>16470000</v>
      </c>
      <c r="D6" s="60">
        <f t="shared" si="2"/>
        <v>14823000</v>
      </c>
      <c r="E6" s="60">
        <f t="shared" ref="E6:E69" si="24">B6-B5</f>
        <v>30</v>
      </c>
      <c r="F6" s="60">
        <f t="shared" ref="F6:F69" si="25">J5</f>
        <v>997916726</v>
      </c>
      <c r="G6" s="60">
        <f>ROUND(F6*E6*Input!$C$3/365,0)</f>
        <v>12303083</v>
      </c>
      <c r="H6" s="60">
        <f>IF($A6&lt;=Input!$C$6,0,IF('120M'!D6&lt;'120M'!F6,'120M'!D6-G6,'120M'!F6))</f>
        <v>2519917</v>
      </c>
      <c r="I6" s="60">
        <f t="shared" ref="I6:I69" si="26">G6+H6</f>
        <v>14823000</v>
      </c>
      <c r="J6" s="60">
        <f t="shared" ref="J6:J69" si="27">J5-H6</f>
        <v>995396809</v>
      </c>
      <c r="K6" s="202">
        <f>J6/Input!$K$5</f>
        <v>3.3179893633333335</v>
      </c>
      <c r="L6" s="232"/>
      <c r="M6" s="60">
        <f>IF($B6&lt;Input!$H$43,IF($B6&lt;Input!$G$43,IF($B6&lt;Input!$F$43,IF($B6&lt;Input!$E$43,IF($B6&lt;Input!$D$43,Input!$C$49,Input!$D$49),Input!$E$49),Input!$F$49),Input!$G$49),Input!$H$49)</f>
        <v>16470000</v>
      </c>
      <c r="N6" s="190">
        <f>IF($A6&lt;Input!$H$50,IF($A6&lt;Input!$G$50,IF($A6&lt;Input!$F$50,IF($A6&lt;Input!$E$50,IF($A6&lt;Input!$D$50,Input!$C$51,Input!$D$51),Input!$E$51),Input!$F$51),Input!$G$51),Input!$H$51)</f>
        <v>0.9</v>
      </c>
      <c r="O6" s="60">
        <f t="shared" si="0"/>
        <v>14823000</v>
      </c>
      <c r="P6" s="60">
        <f t="shared" si="3"/>
        <v>30</v>
      </c>
      <c r="Q6" s="60">
        <f t="shared" si="4"/>
        <v>997916726</v>
      </c>
      <c r="R6" s="60">
        <f>ROUND(Q6*$P6*Input!$C$3/365,0)</f>
        <v>12303083</v>
      </c>
      <c r="S6" s="60">
        <f>IF(A6&lt;=Input!$C$6,0,IF('120M'!O6&lt;'120M'!Q6,'120M'!O6-R6,'120M'!Q6))</f>
        <v>2519917</v>
      </c>
      <c r="T6" s="60">
        <f t="shared" si="5"/>
        <v>14823000</v>
      </c>
      <c r="U6" s="60">
        <f t="shared" si="6"/>
        <v>995396809</v>
      </c>
      <c r="V6" s="193"/>
      <c r="W6" s="169">
        <v>2</v>
      </c>
      <c r="X6" s="1">
        <f t="shared" ref="X6:X69" si="28">EDATE(X5,1)</f>
        <v>45580</v>
      </c>
      <c r="Y6" s="60">
        <f>IF($X6&lt;Input!$H$58,IF($X6&lt;Input!$G$58,IF($X6&lt;Input!$F$58,IF($X6&lt;Input!$E$58,IF($X6&lt;Input!$D$58,Input!$C$64,Input!$D$64),Input!$E$64),Input!$F$64),Input!$G$64),Input!$H$64)</f>
        <v>0</v>
      </c>
      <c r="Z6" s="190">
        <f>IF($A6&lt;Input!$H$65,IF($A6&lt;Input!$G$65,IF($A6&lt;Input!$F$65,IF($A6&lt;Input!$E$65,IF($A6&lt;Input!$D$65,Input!$C$66,Input!$D$66),Input!$E$66),Input!$F$66),Input!$G$66),Input!$H$66)</f>
        <v>0.9</v>
      </c>
      <c r="AA6" s="60">
        <f t="shared" si="7"/>
        <v>0</v>
      </c>
      <c r="AB6" s="60">
        <f t="shared" ref="AB6:AB69" si="29">X6-X5</f>
        <v>30</v>
      </c>
      <c r="AC6" s="60">
        <f t="shared" si="8"/>
        <v>0</v>
      </c>
      <c r="AD6" s="60">
        <f>ROUND(AC6*AB6*Input!$C$3/365,0)</f>
        <v>0</v>
      </c>
      <c r="AE6" s="61">
        <f>IF($A6&lt;=Input!$C$6,0,IF('120M'!AA6&lt;'120M'!AC6,'120M'!AA6-AD6,'120M'!AC6))</f>
        <v>0</v>
      </c>
      <c r="AF6" s="61">
        <f t="shared" si="9"/>
        <v>0</v>
      </c>
      <c r="AG6" s="60">
        <f t="shared" si="10"/>
        <v>0</v>
      </c>
      <c r="AH6" s="193"/>
      <c r="AI6" s="169">
        <v>2</v>
      </c>
      <c r="AJ6" s="1">
        <f t="shared" ref="AJ6:AJ69" si="30">EDATE(AJ5,1)</f>
        <v>45580</v>
      </c>
      <c r="AK6" s="60">
        <f>IF($X6&lt;Input!$H$73,IF($X6&lt;Input!$G$73,IF($X6&lt;Input!$F$73,IF($X6&lt;Input!$E$73,IF($X6&lt;Input!$D$73,Input!$C$79,Input!$D$79),Input!$E$79),Input!$F$79),Input!$G$79),Input!$H$79)</f>
        <v>0</v>
      </c>
      <c r="AL6" s="190">
        <f>IF($A6&lt;Input!$H$80,IF($A6&lt;Input!$G$80,IF($A6&lt;Input!$F$80,IF($A6&lt;Input!$E$80,IF($A6&lt;Input!$D$80,Input!$C$81,Input!$D$81),Input!$E$81),Input!$F$81),Input!$G$81),Input!$H$81)</f>
        <v>0.9</v>
      </c>
      <c r="AM6" s="60">
        <f t="shared" si="11"/>
        <v>0</v>
      </c>
      <c r="AN6" s="60">
        <f t="shared" ref="AN6:AN69" si="31">AJ6-AJ5</f>
        <v>30</v>
      </c>
      <c r="AO6" s="60">
        <f t="shared" si="12"/>
        <v>0</v>
      </c>
      <c r="AP6" s="60">
        <f>ROUND(AO6*AN6*Input!$C$3/365,0)</f>
        <v>0</v>
      </c>
      <c r="AQ6" s="61">
        <f>IF($A6&lt;=Input!$C$6,0,IF('120M'!AM6&lt;'120M'!AO6,'120M'!AM6-AP6,'120M'!AO6))</f>
        <v>0</v>
      </c>
      <c r="AR6" s="61">
        <f t="shared" si="13"/>
        <v>0</v>
      </c>
      <c r="AS6" s="60">
        <f t="shared" si="14"/>
        <v>0</v>
      </c>
      <c r="AT6" s="193"/>
      <c r="AU6" s="169">
        <v>2</v>
      </c>
      <c r="AV6" s="1">
        <f t="shared" ref="AV6:AV69" si="32">EDATE(AV5,1)</f>
        <v>45580</v>
      </c>
      <c r="AW6" s="60">
        <f>IF($X6&lt;Input!$H$88,IF($X6&lt;Input!$G$88,IF($X6&lt;Input!$F$88,IF($X6&lt;Input!$E$88,IF($X6&lt;Input!$D$88,Input!$C$94,Input!$D$94),Input!$E$94),Input!$F$94),Input!$G$94),Input!$H$94)</f>
        <v>0</v>
      </c>
      <c r="AX6" s="190">
        <f>IF($A6&lt;Input!$H$95,IF($A6&lt;Input!$G$95,IF($A6&lt;Input!$F$95,IF($A6&lt;Input!$E$95,IF($A6&lt;Input!$D$95,Input!$C$96,Input!$D$96),Input!$E$96),Input!$F$96),Input!$G$96),Input!$H$96)</f>
        <v>0.9</v>
      </c>
      <c r="AY6" s="60">
        <f t="shared" si="15"/>
        <v>0</v>
      </c>
      <c r="AZ6" s="60">
        <f t="shared" ref="AZ6:AZ69" si="33">AV6-AV5</f>
        <v>30</v>
      </c>
      <c r="BA6" s="60">
        <f t="shared" si="16"/>
        <v>0</v>
      </c>
      <c r="BB6" s="60">
        <f>ROUND(BA6*AZ6*Input!$C$3/365,0)</f>
        <v>0</v>
      </c>
      <c r="BC6" s="61">
        <f>IF($A6&lt;=Input!$C$6,0,IF('120M'!AY6&lt;'120M'!BA6,'120M'!AY6-BB6,'120M'!BA6))</f>
        <v>0</v>
      </c>
      <c r="BD6" s="61">
        <f t="shared" si="17"/>
        <v>0</v>
      </c>
      <c r="BE6" s="60">
        <f t="shared" si="18"/>
        <v>0</v>
      </c>
      <c r="BF6" s="193"/>
      <c r="BG6" s="169">
        <v>2</v>
      </c>
      <c r="BH6" s="1">
        <f t="shared" ref="BH6:BH69" si="34">EDATE(BH5,1)</f>
        <v>45580</v>
      </c>
      <c r="BI6" s="60">
        <f>IF($X6&lt;Input!$H$103,IF($X6&lt;Input!$G$103,IF($X6&lt;Input!$F$103,IF($X6&lt;Input!$E$103,IF($X6&lt;Input!$D$103,Input!$C$109,Input!$D$109),Input!$E$109),Input!$F$109),Input!$G$109),Input!$H$109)</f>
        <v>0</v>
      </c>
      <c r="BJ6" s="190">
        <f>IF($A6&lt;Input!$H$110,IF($A6&lt;Input!$G$110,IF($A6&lt;Input!$F$110,IF($A6&lt;Input!$E$110,IF($A6&lt;Input!$D$110,Input!$C$111,Input!$D$111),Input!$E$111),Input!$F$111),Input!$G$111),Input!$H$111)</f>
        <v>0.9</v>
      </c>
      <c r="BK6" s="60">
        <f t="shared" si="19"/>
        <v>0</v>
      </c>
      <c r="BL6" s="60">
        <f t="shared" ref="BL6:BL69" si="35">BH6-BH5</f>
        <v>30</v>
      </c>
      <c r="BM6" s="60">
        <f t="shared" si="20"/>
        <v>0</v>
      </c>
      <c r="BN6" s="60">
        <f>ROUND(BM6*BL6*Input!$C$3/365,0)</f>
        <v>0</v>
      </c>
      <c r="BO6" s="61">
        <f>IF($A6&lt;=Input!$C$6,0,IF('120M'!BK6&lt;'120M'!BM6,'120M'!BK6-BN6,'120M'!BM6))</f>
        <v>0</v>
      </c>
      <c r="BP6" s="61">
        <f t="shared" si="21"/>
        <v>0</v>
      </c>
      <c r="BQ6" s="60">
        <f t="shared" si="22"/>
        <v>0</v>
      </c>
      <c r="BR6" s="198"/>
    </row>
    <row r="7" spans="1:70" x14ac:dyDescent="0.25">
      <c r="A7" s="169">
        <v>3</v>
      </c>
      <c r="B7" s="1">
        <f t="shared" si="23"/>
        <v>45611</v>
      </c>
      <c r="C7" s="60">
        <f t="shared" si="1"/>
        <v>16470000</v>
      </c>
      <c r="D7" s="60">
        <f t="shared" si="2"/>
        <v>14823000</v>
      </c>
      <c r="E7" s="60">
        <f t="shared" si="24"/>
        <v>31</v>
      </c>
      <c r="F7" s="60">
        <f t="shared" si="25"/>
        <v>995396809</v>
      </c>
      <c r="G7" s="60">
        <f>ROUND(F7*E7*Input!$C$3/365,0)</f>
        <v>12681083</v>
      </c>
      <c r="H7" s="60">
        <f>IF($A7&lt;=Input!$C$6,0,IF('120M'!D7&lt;'120M'!F7,'120M'!D7-G7,'120M'!F7))</f>
        <v>2141917</v>
      </c>
      <c r="I7" s="60">
        <f t="shared" si="26"/>
        <v>14823000</v>
      </c>
      <c r="J7" s="60">
        <f t="shared" si="27"/>
        <v>993254892</v>
      </c>
      <c r="K7" s="202">
        <f>J7/Input!$K$5</f>
        <v>3.3108496399999998</v>
      </c>
      <c r="L7" s="232"/>
      <c r="M7" s="60">
        <f>IF($B7&lt;Input!$H$43,IF($B7&lt;Input!$G$43,IF($B7&lt;Input!$F$43,IF($B7&lt;Input!$E$43,IF($B7&lt;Input!$D$43,Input!$C$49,Input!$D$49),Input!$E$49),Input!$F$49),Input!$G$49),Input!$H$49)</f>
        <v>16470000</v>
      </c>
      <c r="N7" s="190">
        <f>IF($A7&lt;Input!$H$50,IF($A7&lt;Input!$G$50,IF($A7&lt;Input!$F$50,IF($A7&lt;Input!$E$50,IF($A7&lt;Input!$D$50,Input!$C$51,Input!$D$51),Input!$E$51),Input!$F$51),Input!$G$51),Input!$H$51)</f>
        <v>0.9</v>
      </c>
      <c r="O7" s="60">
        <f t="shared" si="0"/>
        <v>14823000</v>
      </c>
      <c r="P7" s="60">
        <f t="shared" si="3"/>
        <v>31</v>
      </c>
      <c r="Q7" s="60">
        <f t="shared" si="4"/>
        <v>995396809</v>
      </c>
      <c r="R7" s="60">
        <f>ROUND(Q7*$P7*Input!$C$3/365,0)</f>
        <v>12681083</v>
      </c>
      <c r="S7" s="60">
        <f>IF(A7&lt;=Input!$C$6,0,IF('120M'!O7&lt;'120M'!Q7,'120M'!O7-R7,'120M'!Q7))</f>
        <v>2141917</v>
      </c>
      <c r="T7" s="60">
        <f t="shared" si="5"/>
        <v>14823000</v>
      </c>
      <c r="U7" s="60">
        <f t="shared" si="6"/>
        <v>993254892</v>
      </c>
      <c r="V7" s="193"/>
      <c r="W7" s="169">
        <v>3</v>
      </c>
      <c r="X7" s="1">
        <f t="shared" si="28"/>
        <v>45611</v>
      </c>
      <c r="Y7" s="60">
        <f>IF($X7&lt;Input!$H$58,IF($X7&lt;Input!$G$58,IF($X7&lt;Input!$F$58,IF($X7&lt;Input!$E$58,IF($X7&lt;Input!$D$58,Input!$C$64,Input!$D$64),Input!$E$64),Input!$F$64),Input!$G$64),Input!$H$64)</f>
        <v>0</v>
      </c>
      <c r="Z7" s="190">
        <f>IF($A7&lt;Input!$H$65,IF($A7&lt;Input!$G$65,IF($A7&lt;Input!$F$65,IF($A7&lt;Input!$E$65,IF($A7&lt;Input!$D$65,Input!$C$66,Input!$D$66),Input!$E$66),Input!$F$66),Input!$G$66),Input!$H$66)</f>
        <v>0.9</v>
      </c>
      <c r="AA7" s="60">
        <f t="shared" si="7"/>
        <v>0</v>
      </c>
      <c r="AB7" s="60">
        <f t="shared" si="29"/>
        <v>31</v>
      </c>
      <c r="AC7" s="60">
        <f t="shared" si="8"/>
        <v>0</v>
      </c>
      <c r="AD7" s="60">
        <f>ROUND(AC7*AB7*Input!$C$3/365,0)</f>
        <v>0</v>
      </c>
      <c r="AE7" s="61">
        <f>IF($A7&lt;=Input!$C$6,0,IF('120M'!AA7&lt;'120M'!AC7,'120M'!AA7-AD7,'120M'!AC7))</f>
        <v>0</v>
      </c>
      <c r="AF7" s="61">
        <f t="shared" si="9"/>
        <v>0</v>
      </c>
      <c r="AG7" s="60">
        <f t="shared" si="10"/>
        <v>0</v>
      </c>
      <c r="AH7" s="193"/>
      <c r="AI7" s="169">
        <v>3</v>
      </c>
      <c r="AJ7" s="1">
        <f t="shared" si="30"/>
        <v>45611</v>
      </c>
      <c r="AK7" s="60">
        <f>IF($X7&lt;Input!$H$73,IF($X7&lt;Input!$G$73,IF($X7&lt;Input!$F$73,IF($X7&lt;Input!$E$73,IF($X7&lt;Input!$D$73,Input!$C$79,Input!$D$79),Input!$E$79),Input!$F$79),Input!$G$79),Input!$H$79)</f>
        <v>0</v>
      </c>
      <c r="AL7" s="190">
        <f>IF($A7&lt;Input!$H$80,IF($A7&lt;Input!$G$80,IF($A7&lt;Input!$F$80,IF($A7&lt;Input!$E$80,IF($A7&lt;Input!$D$80,Input!$C$81,Input!$D$81),Input!$E$81),Input!$F$81),Input!$G$81),Input!$H$81)</f>
        <v>0.9</v>
      </c>
      <c r="AM7" s="60">
        <f t="shared" si="11"/>
        <v>0</v>
      </c>
      <c r="AN7" s="60">
        <f t="shared" si="31"/>
        <v>31</v>
      </c>
      <c r="AO7" s="60">
        <f t="shared" si="12"/>
        <v>0</v>
      </c>
      <c r="AP7" s="60">
        <f>ROUND(AO7*AN7*Input!$C$3/365,0)</f>
        <v>0</v>
      </c>
      <c r="AQ7" s="61">
        <f>IF($A7&lt;=Input!$C$6,0,IF('120M'!AM7&lt;'120M'!AO7,'120M'!AM7-AP7,'120M'!AO7))</f>
        <v>0</v>
      </c>
      <c r="AR7" s="61">
        <f t="shared" si="13"/>
        <v>0</v>
      </c>
      <c r="AS7" s="60">
        <f t="shared" si="14"/>
        <v>0</v>
      </c>
      <c r="AT7" s="193"/>
      <c r="AU7" s="169">
        <v>3</v>
      </c>
      <c r="AV7" s="1">
        <f t="shared" si="32"/>
        <v>45611</v>
      </c>
      <c r="AW7" s="60">
        <f>IF($X7&lt;Input!$H$88,IF($X7&lt;Input!$G$88,IF($X7&lt;Input!$F$88,IF($X7&lt;Input!$E$88,IF($X7&lt;Input!$D$88,Input!$C$94,Input!$D$94),Input!$E$94),Input!$F$94),Input!$G$94),Input!$H$94)</f>
        <v>0</v>
      </c>
      <c r="AX7" s="190">
        <f>IF($A7&lt;Input!$H$95,IF($A7&lt;Input!$G$95,IF($A7&lt;Input!$F$95,IF($A7&lt;Input!$E$95,IF($A7&lt;Input!$D$95,Input!$C$96,Input!$D$96),Input!$E$96),Input!$F$96),Input!$G$96),Input!$H$96)</f>
        <v>0.9</v>
      </c>
      <c r="AY7" s="60">
        <f t="shared" si="15"/>
        <v>0</v>
      </c>
      <c r="AZ7" s="60">
        <f t="shared" si="33"/>
        <v>31</v>
      </c>
      <c r="BA7" s="60">
        <f t="shared" si="16"/>
        <v>0</v>
      </c>
      <c r="BB7" s="60">
        <f>ROUND(BA7*AZ7*Input!$C$3/365,0)</f>
        <v>0</v>
      </c>
      <c r="BC7" s="61">
        <f>IF($A7&lt;=Input!$C$6,0,IF('120M'!AY7&lt;'120M'!BA7,'120M'!AY7-BB7,'120M'!BA7))</f>
        <v>0</v>
      </c>
      <c r="BD7" s="61">
        <f t="shared" si="17"/>
        <v>0</v>
      </c>
      <c r="BE7" s="60">
        <f t="shared" si="18"/>
        <v>0</v>
      </c>
      <c r="BF7" s="193"/>
      <c r="BG7" s="169">
        <v>3</v>
      </c>
      <c r="BH7" s="1">
        <f t="shared" si="34"/>
        <v>45611</v>
      </c>
      <c r="BI7" s="60">
        <f>IF($X7&lt;Input!$H$103,IF($X7&lt;Input!$G$103,IF($X7&lt;Input!$F$103,IF($X7&lt;Input!$E$103,IF($X7&lt;Input!$D$103,Input!$C$109,Input!$D$109),Input!$E$109),Input!$F$109),Input!$G$109),Input!$H$109)</f>
        <v>0</v>
      </c>
      <c r="BJ7" s="190">
        <f>IF($A7&lt;Input!$H$110,IF($A7&lt;Input!$G$110,IF($A7&lt;Input!$F$110,IF($A7&lt;Input!$E$110,IF($A7&lt;Input!$D$110,Input!$C$111,Input!$D$111),Input!$E$111),Input!$F$111),Input!$G$111),Input!$H$111)</f>
        <v>0.9</v>
      </c>
      <c r="BK7" s="60">
        <f t="shared" si="19"/>
        <v>0</v>
      </c>
      <c r="BL7" s="60">
        <f t="shared" si="35"/>
        <v>31</v>
      </c>
      <c r="BM7" s="60">
        <f t="shared" si="20"/>
        <v>0</v>
      </c>
      <c r="BN7" s="60">
        <f>ROUND(BM7*BL7*Input!$C$3/365,0)</f>
        <v>0</v>
      </c>
      <c r="BO7" s="61">
        <f>IF($A7&lt;=Input!$C$6,0,IF('120M'!BK7&lt;'120M'!BM7,'120M'!BK7-BN7,'120M'!BM7))</f>
        <v>0</v>
      </c>
      <c r="BP7" s="61">
        <f t="shared" si="21"/>
        <v>0</v>
      </c>
      <c r="BQ7" s="60">
        <f t="shared" si="22"/>
        <v>0</v>
      </c>
      <c r="BR7" s="198"/>
    </row>
    <row r="8" spans="1:70" x14ac:dyDescent="0.25">
      <c r="A8" s="169">
        <v>4</v>
      </c>
      <c r="B8" s="1">
        <f t="shared" si="23"/>
        <v>45641</v>
      </c>
      <c r="C8" s="60">
        <f t="shared" si="1"/>
        <v>16470000</v>
      </c>
      <c r="D8" s="60">
        <f t="shared" si="2"/>
        <v>14823000</v>
      </c>
      <c r="E8" s="60">
        <f t="shared" si="24"/>
        <v>30</v>
      </c>
      <c r="F8" s="60">
        <f t="shared" si="25"/>
        <v>993254892</v>
      </c>
      <c r="G8" s="60">
        <f>ROUND(F8*E8*Input!$C$3/365,0)</f>
        <v>12245608</v>
      </c>
      <c r="H8" s="60">
        <f>IF($A8&lt;=Input!$C$6,0,IF('120M'!D8&lt;'120M'!F8,'120M'!D8-G8,'120M'!F8))</f>
        <v>2577392</v>
      </c>
      <c r="I8" s="60">
        <f t="shared" si="26"/>
        <v>14823000</v>
      </c>
      <c r="J8" s="60">
        <f t="shared" si="27"/>
        <v>990677500</v>
      </c>
      <c r="K8" s="202">
        <f>J8/Input!$K$5</f>
        <v>3.3022583333333335</v>
      </c>
      <c r="L8" s="232"/>
      <c r="M8" s="60">
        <f>IF($B8&lt;Input!$H$43,IF($B8&lt;Input!$G$43,IF($B8&lt;Input!$F$43,IF($B8&lt;Input!$E$43,IF($B8&lt;Input!$D$43,Input!$C$49,Input!$D$49),Input!$E$49),Input!$F$49),Input!$G$49),Input!$H$49)</f>
        <v>16470000</v>
      </c>
      <c r="N8" s="190">
        <f>IF($A8&lt;Input!$H$50,IF($A8&lt;Input!$G$50,IF($A8&lt;Input!$F$50,IF($A8&lt;Input!$E$50,IF($A8&lt;Input!$D$50,Input!$C$51,Input!$D$51),Input!$E$51),Input!$F$51),Input!$G$51),Input!$H$51)</f>
        <v>0.9</v>
      </c>
      <c r="O8" s="60">
        <f t="shared" si="0"/>
        <v>14823000</v>
      </c>
      <c r="P8" s="60">
        <f t="shared" si="3"/>
        <v>30</v>
      </c>
      <c r="Q8" s="60">
        <f t="shared" si="4"/>
        <v>993254892</v>
      </c>
      <c r="R8" s="60">
        <f>ROUND(Q8*$P8*Input!$C$3/365,0)</f>
        <v>12245608</v>
      </c>
      <c r="S8" s="60">
        <f>IF(A8&lt;=Input!$C$6,0,IF('120M'!O8&lt;'120M'!Q8,'120M'!O8-R8,'120M'!Q8))</f>
        <v>2577392</v>
      </c>
      <c r="T8" s="60">
        <f t="shared" si="5"/>
        <v>14823000</v>
      </c>
      <c r="U8" s="60">
        <f t="shared" si="6"/>
        <v>990677500</v>
      </c>
      <c r="V8" s="193"/>
      <c r="W8" s="169">
        <v>4</v>
      </c>
      <c r="X8" s="1">
        <f t="shared" si="28"/>
        <v>45641</v>
      </c>
      <c r="Y8" s="60">
        <f>IF($X8&lt;Input!$H$58,IF($X8&lt;Input!$G$58,IF($X8&lt;Input!$F$58,IF($X8&lt;Input!$E$58,IF($X8&lt;Input!$D$58,Input!$C$64,Input!$D$64),Input!$E$64),Input!$F$64),Input!$G$64),Input!$H$64)</f>
        <v>0</v>
      </c>
      <c r="Z8" s="190">
        <f>IF($A8&lt;Input!$H$65,IF($A8&lt;Input!$G$65,IF($A8&lt;Input!$F$65,IF($A8&lt;Input!$E$65,IF($A8&lt;Input!$D$65,Input!$C$66,Input!$D$66),Input!$E$66),Input!$F$66),Input!$G$66),Input!$H$66)</f>
        <v>0.9</v>
      </c>
      <c r="AA8" s="60">
        <f t="shared" si="7"/>
        <v>0</v>
      </c>
      <c r="AB8" s="60">
        <f t="shared" si="29"/>
        <v>30</v>
      </c>
      <c r="AC8" s="60">
        <f t="shared" si="8"/>
        <v>0</v>
      </c>
      <c r="AD8" s="60">
        <f>ROUND(AC8*AB8*Input!$C$3/365,0)</f>
        <v>0</v>
      </c>
      <c r="AE8" s="61">
        <f>IF($A8&lt;=Input!$C$6,0,IF('120M'!AA8&lt;'120M'!AC8,'120M'!AA8-AD8,'120M'!AC8))</f>
        <v>0</v>
      </c>
      <c r="AF8" s="61">
        <f t="shared" si="9"/>
        <v>0</v>
      </c>
      <c r="AG8" s="60">
        <f t="shared" si="10"/>
        <v>0</v>
      </c>
      <c r="AH8" s="193"/>
      <c r="AI8" s="169">
        <v>4</v>
      </c>
      <c r="AJ8" s="1">
        <f t="shared" si="30"/>
        <v>45641</v>
      </c>
      <c r="AK8" s="60">
        <f>IF($X8&lt;Input!$H$73,IF($X8&lt;Input!$G$73,IF($X8&lt;Input!$F$73,IF($X8&lt;Input!$E$73,IF($X8&lt;Input!$D$73,Input!$C$79,Input!$D$79),Input!$E$79),Input!$F$79),Input!$G$79),Input!$H$79)</f>
        <v>0</v>
      </c>
      <c r="AL8" s="190">
        <f>IF($A8&lt;Input!$H$80,IF($A8&lt;Input!$G$80,IF($A8&lt;Input!$F$80,IF($A8&lt;Input!$E$80,IF($A8&lt;Input!$D$80,Input!$C$81,Input!$D$81),Input!$E$81),Input!$F$81),Input!$G$81),Input!$H$81)</f>
        <v>0.9</v>
      </c>
      <c r="AM8" s="60">
        <f t="shared" si="11"/>
        <v>0</v>
      </c>
      <c r="AN8" s="60">
        <f t="shared" si="31"/>
        <v>30</v>
      </c>
      <c r="AO8" s="60">
        <f t="shared" si="12"/>
        <v>0</v>
      </c>
      <c r="AP8" s="60">
        <f>ROUND(AO8*AN8*Input!$C$3/365,0)</f>
        <v>0</v>
      </c>
      <c r="AQ8" s="61">
        <f>IF($A8&lt;=Input!$C$6,0,IF('120M'!AM8&lt;'120M'!AO8,'120M'!AM8-AP8,'120M'!AO8))</f>
        <v>0</v>
      </c>
      <c r="AR8" s="61">
        <f t="shared" si="13"/>
        <v>0</v>
      </c>
      <c r="AS8" s="60">
        <f t="shared" si="14"/>
        <v>0</v>
      </c>
      <c r="AT8" s="193"/>
      <c r="AU8" s="169">
        <v>4</v>
      </c>
      <c r="AV8" s="1">
        <f t="shared" si="32"/>
        <v>45641</v>
      </c>
      <c r="AW8" s="60">
        <f>IF($X8&lt;Input!$H$88,IF($X8&lt;Input!$G$88,IF($X8&lt;Input!$F$88,IF($X8&lt;Input!$E$88,IF($X8&lt;Input!$D$88,Input!$C$94,Input!$D$94),Input!$E$94),Input!$F$94),Input!$G$94),Input!$H$94)</f>
        <v>0</v>
      </c>
      <c r="AX8" s="190">
        <f>IF($A8&lt;Input!$H$95,IF($A8&lt;Input!$G$95,IF($A8&lt;Input!$F$95,IF($A8&lt;Input!$E$95,IF($A8&lt;Input!$D$95,Input!$C$96,Input!$D$96),Input!$E$96),Input!$F$96),Input!$G$96),Input!$H$96)</f>
        <v>0.9</v>
      </c>
      <c r="AY8" s="60">
        <f t="shared" si="15"/>
        <v>0</v>
      </c>
      <c r="AZ8" s="60">
        <f t="shared" si="33"/>
        <v>30</v>
      </c>
      <c r="BA8" s="60">
        <f t="shared" si="16"/>
        <v>0</v>
      </c>
      <c r="BB8" s="60">
        <f>ROUND(BA8*AZ8*Input!$C$3/365,0)</f>
        <v>0</v>
      </c>
      <c r="BC8" s="61">
        <f>IF($A8&lt;=Input!$C$6,0,IF('120M'!AY8&lt;'120M'!BA8,'120M'!AY8-BB8,'120M'!BA8))</f>
        <v>0</v>
      </c>
      <c r="BD8" s="61">
        <f t="shared" si="17"/>
        <v>0</v>
      </c>
      <c r="BE8" s="60">
        <f t="shared" si="18"/>
        <v>0</v>
      </c>
      <c r="BF8" s="193"/>
      <c r="BG8" s="169">
        <v>4</v>
      </c>
      <c r="BH8" s="1">
        <f t="shared" si="34"/>
        <v>45641</v>
      </c>
      <c r="BI8" s="60">
        <f>IF($X8&lt;Input!$H$103,IF($X8&lt;Input!$G$103,IF($X8&lt;Input!$F$103,IF($X8&lt;Input!$E$103,IF($X8&lt;Input!$D$103,Input!$C$109,Input!$D$109),Input!$E$109),Input!$F$109),Input!$G$109),Input!$H$109)</f>
        <v>0</v>
      </c>
      <c r="BJ8" s="190">
        <f>IF($A8&lt;Input!$H$110,IF($A8&lt;Input!$G$110,IF($A8&lt;Input!$F$110,IF($A8&lt;Input!$E$110,IF($A8&lt;Input!$D$110,Input!$C$111,Input!$D$111),Input!$E$111),Input!$F$111),Input!$G$111),Input!$H$111)</f>
        <v>0.9</v>
      </c>
      <c r="BK8" s="60">
        <f t="shared" si="19"/>
        <v>0</v>
      </c>
      <c r="BL8" s="60">
        <f t="shared" si="35"/>
        <v>30</v>
      </c>
      <c r="BM8" s="60">
        <f t="shared" si="20"/>
        <v>0</v>
      </c>
      <c r="BN8" s="60">
        <f>ROUND(BM8*BL8*Input!$C$3/365,0)</f>
        <v>0</v>
      </c>
      <c r="BO8" s="61">
        <f>IF($A8&lt;=Input!$C$6,0,IF('120M'!BK8&lt;'120M'!BM8,'120M'!BK8-BN8,'120M'!BM8))</f>
        <v>0</v>
      </c>
      <c r="BP8" s="61">
        <f t="shared" si="21"/>
        <v>0</v>
      </c>
      <c r="BQ8" s="60">
        <f t="shared" si="22"/>
        <v>0</v>
      </c>
      <c r="BR8" s="198"/>
    </row>
    <row r="9" spans="1:70" x14ac:dyDescent="0.25">
      <c r="A9" s="169">
        <v>5</v>
      </c>
      <c r="B9" s="1">
        <f t="shared" si="23"/>
        <v>45672</v>
      </c>
      <c r="C9" s="60">
        <f t="shared" si="1"/>
        <v>16470000</v>
      </c>
      <c r="D9" s="60">
        <f t="shared" si="2"/>
        <v>14823000</v>
      </c>
      <c r="E9" s="60">
        <f t="shared" si="24"/>
        <v>31</v>
      </c>
      <c r="F9" s="60">
        <f t="shared" si="25"/>
        <v>990677500</v>
      </c>
      <c r="G9" s="60">
        <f>ROUND(F9*E9*Input!$C$3/365,0)</f>
        <v>12620960</v>
      </c>
      <c r="H9" s="60">
        <f>IF($A9&lt;=Input!$C$6,0,IF('120M'!D9&lt;'120M'!F9,'120M'!D9-G9,'120M'!F9))</f>
        <v>2202040</v>
      </c>
      <c r="I9" s="60">
        <f t="shared" si="26"/>
        <v>14823000</v>
      </c>
      <c r="J9" s="60">
        <f t="shared" si="27"/>
        <v>988475460</v>
      </c>
      <c r="K9" s="202">
        <f>J9/Input!$K$5</f>
        <v>3.2949182000000001</v>
      </c>
      <c r="L9" s="232"/>
      <c r="M9" s="60">
        <f>IF($B9&lt;Input!$H$43,IF($B9&lt;Input!$G$43,IF($B9&lt;Input!$F$43,IF($B9&lt;Input!$E$43,IF($B9&lt;Input!$D$43,Input!$C$49,Input!$D$49),Input!$E$49),Input!$F$49),Input!$G$49),Input!$H$49)</f>
        <v>16470000</v>
      </c>
      <c r="N9" s="190">
        <f>IF($A9&lt;Input!$H$50,IF($A9&lt;Input!$G$50,IF($A9&lt;Input!$F$50,IF($A9&lt;Input!$E$50,IF($A9&lt;Input!$D$50,Input!$C$51,Input!$D$51),Input!$E$51),Input!$F$51),Input!$G$51),Input!$H$51)</f>
        <v>0.9</v>
      </c>
      <c r="O9" s="60">
        <f t="shared" si="0"/>
        <v>14823000</v>
      </c>
      <c r="P9" s="60">
        <f t="shared" si="3"/>
        <v>31</v>
      </c>
      <c r="Q9" s="60">
        <f t="shared" si="4"/>
        <v>990677500</v>
      </c>
      <c r="R9" s="60">
        <f>ROUND(Q9*$P9*Input!$C$3/365,0)</f>
        <v>12620960</v>
      </c>
      <c r="S9" s="60">
        <f>IF(A9&lt;=Input!$C$6,0,IF('120M'!O9&lt;'120M'!Q9,'120M'!O9-R9,'120M'!Q9))</f>
        <v>2202040</v>
      </c>
      <c r="T9" s="60">
        <f t="shared" si="5"/>
        <v>14823000</v>
      </c>
      <c r="U9" s="60">
        <f t="shared" si="6"/>
        <v>988475460</v>
      </c>
      <c r="V9" s="193"/>
      <c r="W9" s="169">
        <v>5</v>
      </c>
      <c r="X9" s="1">
        <f t="shared" si="28"/>
        <v>45672</v>
      </c>
      <c r="Y9" s="60">
        <f>IF($X9&lt;Input!$H$58,IF($X9&lt;Input!$G$58,IF($X9&lt;Input!$F$58,IF($X9&lt;Input!$E$58,IF($X9&lt;Input!$D$58,Input!$C$64,Input!$D$64),Input!$E$64),Input!$F$64),Input!$G$64),Input!$H$64)</f>
        <v>0</v>
      </c>
      <c r="Z9" s="190">
        <f>IF($A9&lt;Input!$H$65,IF($A9&lt;Input!$G$65,IF($A9&lt;Input!$F$65,IF($A9&lt;Input!$E$65,IF($A9&lt;Input!$D$65,Input!$C$66,Input!$D$66),Input!$E$66),Input!$F$66),Input!$G$66),Input!$H$66)</f>
        <v>0.9</v>
      </c>
      <c r="AA9" s="60">
        <f t="shared" si="7"/>
        <v>0</v>
      </c>
      <c r="AB9" s="60">
        <f t="shared" si="29"/>
        <v>31</v>
      </c>
      <c r="AC9" s="60">
        <f t="shared" si="8"/>
        <v>0</v>
      </c>
      <c r="AD9" s="60">
        <f>ROUND(AC9*AB9*Input!$C$3/365,0)</f>
        <v>0</v>
      </c>
      <c r="AE9" s="61">
        <f>IF($A9&lt;=Input!$C$6,0,IF('120M'!AA9&lt;'120M'!AC9,'120M'!AA9-AD9,'120M'!AC9))</f>
        <v>0</v>
      </c>
      <c r="AF9" s="61">
        <f t="shared" si="9"/>
        <v>0</v>
      </c>
      <c r="AG9" s="60">
        <f t="shared" si="10"/>
        <v>0</v>
      </c>
      <c r="AH9" s="193"/>
      <c r="AI9" s="169">
        <v>5</v>
      </c>
      <c r="AJ9" s="1">
        <f t="shared" si="30"/>
        <v>45672</v>
      </c>
      <c r="AK9" s="60">
        <f>IF($X9&lt;Input!$H$73,IF($X9&lt;Input!$G$73,IF($X9&lt;Input!$F$73,IF($X9&lt;Input!$E$73,IF($X9&lt;Input!$D$73,Input!$C$79,Input!$D$79),Input!$E$79),Input!$F$79),Input!$G$79),Input!$H$79)</f>
        <v>0</v>
      </c>
      <c r="AL9" s="190">
        <f>IF($A9&lt;Input!$H$80,IF($A9&lt;Input!$G$80,IF($A9&lt;Input!$F$80,IF($A9&lt;Input!$E$80,IF($A9&lt;Input!$D$80,Input!$C$81,Input!$D$81),Input!$E$81),Input!$F$81),Input!$G$81),Input!$H$81)</f>
        <v>0.9</v>
      </c>
      <c r="AM9" s="60">
        <f t="shared" si="11"/>
        <v>0</v>
      </c>
      <c r="AN9" s="60">
        <f t="shared" si="31"/>
        <v>31</v>
      </c>
      <c r="AO9" s="60">
        <f t="shared" si="12"/>
        <v>0</v>
      </c>
      <c r="AP9" s="60">
        <f>ROUND(AO9*AN9*Input!$C$3/365,0)</f>
        <v>0</v>
      </c>
      <c r="AQ9" s="61">
        <f>IF($A9&lt;=Input!$C$6,0,IF('120M'!AM9&lt;'120M'!AO9,'120M'!AM9-AP9,'120M'!AO9))</f>
        <v>0</v>
      </c>
      <c r="AR9" s="61">
        <f t="shared" si="13"/>
        <v>0</v>
      </c>
      <c r="AS9" s="60">
        <f t="shared" si="14"/>
        <v>0</v>
      </c>
      <c r="AT9" s="193"/>
      <c r="AU9" s="169">
        <v>5</v>
      </c>
      <c r="AV9" s="1">
        <f t="shared" si="32"/>
        <v>45672</v>
      </c>
      <c r="AW9" s="60">
        <f>IF($X9&lt;Input!$H$88,IF($X9&lt;Input!$G$88,IF($X9&lt;Input!$F$88,IF($X9&lt;Input!$E$88,IF($X9&lt;Input!$D$88,Input!$C$94,Input!$D$94),Input!$E$94),Input!$F$94),Input!$G$94),Input!$H$94)</f>
        <v>0</v>
      </c>
      <c r="AX9" s="190">
        <f>IF($A9&lt;Input!$H$95,IF($A9&lt;Input!$G$95,IF($A9&lt;Input!$F$95,IF($A9&lt;Input!$E$95,IF($A9&lt;Input!$D$95,Input!$C$96,Input!$D$96),Input!$E$96),Input!$F$96),Input!$G$96),Input!$H$96)</f>
        <v>0.9</v>
      </c>
      <c r="AY9" s="60">
        <f t="shared" si="15"/>
        <v>0</v>
      </c>
      <c r="AZ9" s="60">
        <f t="shared" si="33"/>
        <v>31</v>
      </c>
      <c r="BA9" s="60">
        <f t="shared" si="16"/>
        <v>0</v>
      </c>
      <c r="BB9" s="60">
        <f>ROUND(BA9*AZ9*Input!$C$3/365,0)</f>
        <v>0</v>
      </c>
      <c r="BC9" s="61">
        <f>IF($A9&lt;=Input!$C$6,0,IF('120M'!AY9&lt;'120M'!BA9,'120M'!AY9-BB9,'120M'!BA9))</f>
        <v>0</v>
      </c>
      <c r="BD9" s="61">
        <f t="shared" si="17"/>
        <v>0</v>
      </c>
      <c r="BE9" s="60">
        <f t="shared" si="18"/>
        <v>0</v>
      </c>
      <c r="BF9" s="193"/>
      <c r="BG9" s="169">
        <v>5</v>
      </c>
      <c r="BH9" s="1">
        <f t="shared" si="34"/>
        <v>45672</v>
      </c>
      <c r="BI9" s="60">
        <f>IF($X9&lt;Input!$H$103,IF($X9&lt;Input!$G$103,IF($X9&lt;Input!$F$103,IF($X9&lt;Input!$E$103,IF($X9&lt;Input!$D$103,Input!$C$109,Input!$D$109),Input!$E$109),Input!$F$109),Input!$G$109),Input!$H$109)</f>
        <v>0</v>
      </c>
      <c r="BJ9" s="190">
        <f>IF($A9&lt;Input!$H$110,IF($A9&lt;Input!$G$110,IF($A9&lt;Input!$F$110,IF($A9&lt;Input!$E$110,IF($A9&lt;Input!$D$110,Input!$C$111,Input!$D$111),Input!$E$111),Input!$F$111),Input!$G$111),Input!$H$111)</f>
        <v>0.9</v>
      </c>
      <c r="BK9" s="60">
        <f t="shared" si="19"/>
        <v>0</v>
      </c>
      <c r="BL9" s="60">
        <f t="shared" si="35"/>
        <v>31</v>
      </c>
      <c r="BM9" s="60">
        <f t="shared" si="20"/>
        <v>0</v>
      </c>
      <c r="BN9" s="60">
        <f>ROUND(BM9*BL9*Input!$C$3/365,0)</f>
        <v>0</v>
      </c>
      <c r="BO9" s="61">
        <f>IF($A9&lt;=Input!$C$6,0,IF('120M'!BK9&lt;'120M'!BM9,'120M'!BK9-BN9,'120M'!BM9))</f>
        <v>0</v>
      </c>
      <c r="BP9" s="61">
        <f t="shared" si="21"/>
        <v>0</v>
      </c>
      <c r="BQ9" s="60">
        <f t="shared" si="22"/>
        <v>0</v>
      </c>
      <c r="BR9" s="198"/>
    </row>
    <row r="10" spans="1:70" x14ac:dyDescent="0.25">
      <c r="A10" s="169">
        <v>6</v>
      </c>
      <c r="B10" s="1">
        <f t="shared" si="23"/>
        <v>45703</v>
      </c>
      <c r="C10" s="60">
        <f t="shared" si="1"/>
        <v>16470000</v>
      </c>
      <c r="D10" s="60">
        <f t="shared" si="2"/>
        <v>14823000</v>
      </c>
      <c r="E10" s="60">
        <f t="shared" si="24"/>
        <v>31</v>
      </c>
      <c r="F10" s="60">
        <f t="shared" si="25"/>
        <v>988475460</v>
      </c>
      <c r="G10" s="60">
        <f>ROUND(F10*E10*Input!$C$3/365,0)</f>
        <v>12592907</v>
      </c>
      <c r="H10" s="60">
        <f>IF($A10&lt;=Input!$C$6,0,IF('120M'!D10&lt;'120M'!F10,'120M'!D10-G10,'120M'!F10))</f>
        <v>2230093</v>
      </c>
      <c r="I10" s="60">
        <f t="shared" si="26"/>
        <v>14823000</v>
      </c>
      <c r="J10" s="60">
        <f t="shared" si="27"/>
        <v>986245367</v>
      </c>
      <c r="K10" s="202">
        <f>J10/Input!$K$5</f>
        <v>3.2874845566666666</v>
      </c>
      <c r="L10" s="232"/>
      <c r="M10" s="60">
        <f>IF($B10&lt;Input!$H$43,IF($B10&lt;Input!$G$43,IF($B10&lt;Input!$F$43,IF($B10&lt;Input!$E$43,IF($B10&lt;Input!$D$43,Input!$C$49,Input!$D$49),Input!$E$49),Input!$F$49),Input!$G$49),Input!$H$49)</f>
        <v>16470000</v>
      </c>
      <c r="N10" s="190">
        <f>IF($A10&lt;Input!$H$50,IF($A10&lt;Input!$G$50,IF($A10&lt;Input!$F$50,IF($A10&lt;Input!$E$50,IF($A10&lt;Input!$D$50,Input!$C$51,Input!$D$51),Input!$E$51),Input!$F$51),Input!$G$51),Input!$H$51)</f>
        <v>0.9</v>
      </c>
      <c r="O10" s="60">
        <f t="shared" si="0"/>
        <v>14823000</v>
      </c>
      <c r="P10" s="60">
        <f t="shared" si="3"/>
        <v>31</v>
      </c>
      <c r="Q10" s="60">
        <f t="shared" si="4"/>
        <v>988475460</v>
      </c>
      <c r="R10" s="60">
        <f>ROUND(Q10*$P10*Input!$C$3/365,0)</f>
        <v>12592907</v>
      </c>
      <c r="S10" s="60">
        <f>IF(A10&lt;=Input!$C$6,0,IF('120M'!O10&lt;'120M'!Q10,'120M'!O10-R10,'120M'!Q10))</f>
        <v>2230093</v>
      </c>
      <c r="T10" s="60">
        <f t="shared" si="5"/>
        <v>14823000</v>
      </c>
      <c r="U10" s="60">
        <f t="shared" si="6"/>
        <v>986245367</v>
      </c>
      <c r="V10" s="193"/>
      <c r="W10" s="169">
        <v>6</v>
      </c>
      <c r="X10" s="1">
        <f t="shared" si="28"/>
        <v>45703</v>
      </c>
      <c r="Y10" s="60">
        <f>IF($X10&lt;Input!$H$58,IF($X10&lt;Input!$G$58,IF($X10&lt;Input!$F$58,IF($X10&lt;Input!$E$58,IF($X10&lt;Input!$D$58,Input!$C$64,Input!$D$64),Input!$E$64),Input!$F$64),Input!$G$64),Input!$H$64)</f>
        <v>0</v>
      </c>
      <c r="Z10" s="190">
        <f>IF($A10&lt;Input!$H$65,IF($A10&lt;Input!$G$65,IF($A10&lt;Input!$F$65,IF($A10&lt;Input!$E$65,IF($A10&lt;Input!$D$65,Input!$C$66,Input!$D$66),Input!$E$66),Input!$F$66),Input!$G$66),Input!$H$66)</f>
        <v>0.9</v>
      </c>
      <c r="AA10" s="60">
        <f t="shared" si="7"/>
        <v>0</v>
      </c>
      <c r="AB10" s="60">
        <f t="shared" si="29"/>
        <v>31</v>
      </c>
      <c r="AC10" s="60">
        <f t="shared" si="8"/>
        <v>0</v>
      </c>
      <c r="AD10" s="60">
        <f>ROUND(AC10*AB10*Input!$C$3/365,0)</f>
        <v>0</v>
      </c>
      <c r="AE10" s="61">
        <f>IF($A10&lt;=Input!$C$6,0,IF('120M'!AA10&lt;'120M'!AC10,'120M'!AA10-AD10,'120M'!AC10))</f>
        <v>0</v>
      </c>
      <c r="AF10" s="61">
        <f t="shared" si="9"/>
        <v>0</v>
      </c>
      <c r="AG10" s="60">
        <f t="shared" si="10"/>
        <v>0</v>
      </c>
      <c r="AH10" s="193"/>
      <c r="AI10" s="169">
        <v>6</v>
      </c>
      <c r="AJ10" s="1">
        <f t="shared" si="30"/>
        <v>45703</v>
      </c>
      <c r="AK10" s="60">
        <f>IF($X10&lt;Input!$H$73,IF($X10&lt;Input!$G$73,IF($X10&lt;Input!$F$73,IF($X10&lt;Input!$E$73,IF($X10&lt;Input!$D$73,Input!$C$79,Input!$D$79),Input!$E$79),Input!$F$79),Input!$G$79),Input!$H$79)</f>
        <v>0</v>
      </c>
      <c r="AL10" s="190">
        <f>IF($A10&lt;Input!$H$80,IF($A10&lt;Input!$G$80,IF($A10&lt;Input!$F$80,IF($A10&lt;Input!$E$80,IF($A10&lt;Input!$D$80,Input!$C$81,Input!$D$81),Input!$E$81),Input!$F$81),Input!$G$81),Input!$H$81)</f>
        <v>0.9</v>
      </c>
      <c r="AM10" s="60">
        <f t="shared" si="11"/>
        <v>0</v>
      </c>
      <c r="AN10" s="60">
        <f t="shared" si="31"/>
        <v>31</v>
      </c>
      <c r="AO10" s="60">
        <f t="shared" si="12"/>
        <v>0</v>
      </c>
      <c r="AP10" s="60">
        <f>ROUND(AO10*AN10*Input!$C$3/365,0)</f>
        <v>0</v>
      </c>
      <c r="AQ10" s="61">
        <f>IF($A10&lt;=Input!$C$6,0,IF('120M'!AM10&lt;'120M'!AO10,'120M'!AM10-AP10,'120M'!AO10))</f>
        <v>0</v>
      </c>
      <c r="AR10" s="61">
        <f t="shared" si="13"/>
        <v>0</v>
      </c>
      <c r="AS10" s="60">
        <f t="shared" si="14"/>
        <v>0</v>
      </c>
      <c r="AT10" s="193"/>
      <c r="AU10" s="169">
        <v>6</v>
      </c>
      <c r="AV10" s="1">
        <f t="shared" si="32"/>
        <v>45703</v>
      </c>
      <c r="AW10" s="60">
        <f>IF($X10&lt;Input!$H$88,IF($X10&lt;Input!$G$88,IF($X10&lt;Input!$F$88,IF($X10&lt;Input!$E$88,IF($X10&lt;Input!$D$88,Input!$C$94,Input!$D$94),Input!$E$94),Input!$F$94),Input!$G$94),Input!$H$94)</f>
        <v>0</v>
      </c>
      <c r="AX10" s="190">
        <f>IF($A10&lt;Input!$H$95,IF($A10&lt;Input!$G$95,IF($A10&lt;Input!$F$95,IF($A10&lt;Input!$E$95,IF($A10&lt;Input!$D$95,Input!$C$96,Input!$D$96),Input!$E$96),Input!$F$96),Input!$G$96),Input!$H$96)</f>
        <v>0.9</v>
      </c>
      <c r="AY10" s="60">
        <f t="shared" si="15"/>
        <v>0</v>
      </c>
      <c r="AZ10" s="60">
        <f t="shared" si="33"/>
        <v>31</v>
      </c>
      <c r="BA10" s="60">
        <f t="shared" si="16"/>
        <v>0</v>
      </c>
      <c r="BB10" s="60">
        <f>ROUND(BA10*AZ10*Input!$C$3/365,0)</f>
        <v>0</v>
      </c>
      <c r="BC10" s="61">
        <f>IF($A10&lt;=Input!$C$6,0,IF('120M'!AY10&lt;'120M'!BA10,'120M'!AY10-BB10,'120M'!BA10))</f>
        <v>0</v>
      </c>
      <c r="BD10" s="61">
        <f t="shared" si="17"/>
        <v>0</v>
      </c>
      <c r="BE10" s="60">
        <f t="shared" si="18"/>
        <v>0</v>
      </c>
      <c r="BF10" s="193"/>
      <c r="BG10" s="169">
        <v>6</v>
      </c>
      <c r="BH10" s="1">
        <f t="shared" si="34"/>
        <v>45703</v>
      </c>
      <c r="BI10" s="60">
        <f>IF($X10&lt;Input!$H$103,IF($X10&lt;Input!$G$103,IF($X10&lt;Input!$F$103,IF($X10&lt;Input!$E$103,IF($X10&lt;Input!$D$103,Input!$C$109,Input!$D$109),Input!$E$109),Input!$F$109),Input!$G$109),Input!$H$109)</f>
        <v>0</v>
      </c>
      <c r="BJ10" s="190">
        <f>IF($A10&lt;Input!$H$110,IF($A10&lt;Input!$G$110,IF($A10&lt;Input!$F$110,IF($A10&lt;Input!$E$110,IF($A10&lt;Input!$D$110,Input!$C$111,Input!$D$111),Input!$E$111),Input!$F$111),Input!$G$111),Input!$H$111)</f>
        <v>0.9</v>
      </c>
      <c r="BK10" s="60">
        <f t="shared" si="19"/>
        <v>0</v>
      </c>
      <c r="BL10" s="60">
        <f t="shared" si="35"/>
        <v>31</v>
      </c>
      <c r="BM10" s="60">
        <f t="shared" si="20"/>
        <v>0</v>
      </c>
      <c r="BN10" s="60">
        <f>ROUND(BM10*BL10*Input!$C$3/365,0)</f>
        <v>0</v>
      </c>
      <c r="BO10" s="61">
        <f>IF($A10&lt;=Input!$C$6,0,IF('120M'!BK10&lt;'120M'!BM10,'120M'!BK10-BN10,'120M'!BM10))</f>
        <v>0</v>
      </c>
      <c r="BP10" s="61">
        <f t="shared" si="21"/>
        <v>0</v>
      </c>
      <c r="BQ10" s="60">
        <f t="shared" si="22"/>
        <v>0</v>
      </c>
      <c r="BR10" s="198"/>
    </row>
    <row r="11" spans="1:70" x14ac:dyDescent="0.25">
      <c r="A11" s="169">
        <v>7</v>
      </c>
      <c r="B11" s="1">
        <f t="shared" si="23"/>
        <v>45731</v>
      </c>
      <c r="C11" s="60">
        <f t="shared" si="1"/>
        <v>16470000</v>
      </c>
      <c r="D11" s="60">
        <f t="shared" si="2"/>
        <v>14823000</v>
      </c>
      <c r="E11" s="60">
        <f t="shared" si="24"/>
        <v>28</v>
      </c>
      <c r="F11" s="60">
        <f t="shared" si="25"/>
        <v>986245367</v>
      </c>
      <c r="G11" s="60">
        <f>ROUND(F11*E11*Input!$C$3/365,0)</f>
        <v>11348577</v>
      </c>
      <c r="H11" s="60">
        <f>IF($A11&lt;=Input!$C$6,0,IF('120M'!D11&lt;'120M'!F11,'120M'!D11-G11,'120M'!F11))</f>
        <v>3474423</v>
      </c>
      <c r="I11" s="60">
        <f t="shared" si="26"/>
        <v>14823000</v>
      </c>
      <c r="J11" s="60">
        <f t="shared" si="27"/>
        <v>982770944</v>
      </c>
      <c r="K11" s="202">
        <f>J11/Input!$K$5</f>
        <v>3.2759031466666668</v>
      </c>
      <c r="L11" s="232"/>
      <c r="M11" s="60">
        <f>IF($B11&lt;Input!$H$43,IF($B11&lt;Input!$G$43,IF($B11&lt;Input!$F$43,IF($B11&lt;Input!$E$43,IF($B11&lt;Input!$D$43,Input!$C$49,Input!$D$49),Input!$E$49),Input!$F$49),Input!$G$49),Input!$H$49)</f>
        <v>16470000</v>
      </c>
      <c r="N11" s="190">
        <f>IF($A11&lt;Input!$H$50,IF($A11&lt;Input!$G$50,IF($A11&lt;Input!$F$50,IF($A11&lt;Input!$E$50,IF($A11&lt;Input!$D$50,Input!$C$51,Input!$D$51),Input!$E$51),Input!$F$51),Input!$G$51),Input!$H$51)</f>
        <v>0.9</v>
      </c>
      <c r="O11" s="60">
        <f t="shared" si="0"/>
        <v>14823000</v>
      </c>
      <c r="P11" s="60">
        <f t="shared" si="3"/>
        <v>28</v>
      </c>
      <c r="Q11" s="60">
        <f t="shared" si="4"/>
        <v>986245367</v>
      </c>
      <c r="R11" s="60">
        <f>ROUND(Q11*$P11*Input!$C$3/365,0)</f>
        <v>11348577</v>
      </c>
      <c r="S11" s="60">
        <f>IF(A11&lt;=Input!$C$6,0,IF('120M'!O11&lt;'120M'!Q11,'120M'!O11-R11,'120M'!Q11))</f>
        <v>3474423</v>
      </c>
      <c r="T11" s="60">
        <f t="shared" si="5"/>
        <v>14823000</v>
      </c>
      <c r="U11" s="60">
        <f t="shared" si="6"/>
        <v>982770944</v>
      </c>
      <c r="V11" s="193"/>
      <c r="W11" s="169">
        <v>7</v>
      </c>
      <c r="X11" s="1">
        <f t="shared" si="28"/>
        <v>45731</v>
      </c>
      <c r="Y11" s="60">
        <f>IF($X11&lt;Input!$H$58,IF($X11&lt;Input!$G$58,IF($X11&lt;Input!$F$58,IF($X11&lt;Input!$E$58,IF($X11&lt;Input!$D$58,Input!$C$64,Input!$D$64),Input!$E$64),Input!$F$64),Input!$G$64),Input!$H$64)</f>
        <v>0</v>
      </c>
      <c r="Z11" s="190">
        <f>IF($A11&lt;Input!$H$65,IF($A11&lt;Input!$G$65,IF($A11&lt;Input!$F$65,IF($A11&lt;Input!$E$65,IF($A11&lt;Input!$D$65,Input!$C$66,Input!$D$66),Input!$E$66),Input!$F$66),Input!$G$66),Input!$H$66)</f>
        <v>0.9</v>
      </c>
      <c r="AA11" s="60">
        <f t="shared" si="7"/>
        <v>0</v>
      </c>
      <c r="AB11" s="60">
        <f t="shared" si="29"/>
        <v>28</v>
      </c>
      <c r="AC11" s="60">
        <f t="shared" si="8"/>
        <v>0</v>
      </c>
      <c r="AD11" s="60">
        <f>ROUND(AC11*AB11*Input!$C$3/365,0)</f>
        <v>0</v>
      </c>
      <c r="AE11" s="61">
        <f>IF($A11&lt;=Input!$C$6,0,IF('120M'!AA11&lt;'120M'!AC11,'120M'!AA11-AD11,'120M'!AC11))</f>
        <v>0</v>
      </c>
      <c r="AF11" s="61">
        <f t="shared" si="9"/>
        <v>0</v>
      </c>
      <c r="AG11" s="60">
        <f t="shared" si="10"/>
        <v>0</v>
      </c>
      <c r="AH11" s="193"/>
      <c r="AI11" s="169">
        <v>7</v>
      </c>
      <c r="AJ11" s="1">
        <f t="shared" si="30"/>
        <v>45731</v>
      </c>
      <c r="AK11" s="60">
        <f>IF($X11&lt;Input!$H$73,IF($X11&lt;Input!$G$73,IF($X11&lt;Input!$F$73,IF($X11&lt;Input!$E$73,IF($X11&lt;Input!$D$73,Input!$C$79,Input!$D$79),Input!$E$79),Input!$F$79),Input!$G$79),Input!$H$79)</f>
        <v>0</v>
      </c>
      <c r="AL11" s="190">
        <f>IF($A11&lt;Input!$H$80,IF($A11&lt;Input!$G$80,IF($A11&lt;Input!$F$80,IF($A11&lt;Input!$E$80,IF($A11&lt;Input!$D$80,Input!$C$81,Input!$D$81),Input!$E$81),Input!$F$81),Input!$G$81),Input!$H$81)</f>
        <v>0.9</v>
      </c>
      <c r="AM11" s="60">
        <f t="shared" si="11"/>
        <v>0</v>
      </c>
      <c r="AN11" s="60">
        <f t="shared" si="31"/>
        <v>28</v>
      </c>
      <c r="AO11" s="60">
        <f t="shared" si="12"/>
        <v>0</v>
      </c>
      <c r="AP11" s="60">
        <f>ROUND(AO11*AN11*Input!$C$3/365,0)</f>
        <v>0</v>
      </c>
      <c r="AQ11" s="61">
        <f>IF($A11&lt;=Input!$C$6,0,IF('120M'!AM11&lt;'120M'!AO11,'120M'!AM11-AP11,'120M'!AO11))</f>
        <v>0</v>
      </c>
      <c r="AR11" s="61">
        <f t="shared" si="13"/>
        <v>0</v>
      </c>
      <c r="AS11" s="60">
        <f t="shared" si="14"/>
        <v>0</v>
      </c>
      <c r="AT11" s="193"/>
      <c r="AU11" s="169">
        <v>7</v>
      </c>
      <c r="AV11" s="1">
        <f t="shared" si="32"/>
        <v>45731</v>
      </c>
      <c r="AW11" s="60">
        <f>IF($X11&lt;Input!$H$88,IF($X11&lt;Input!$G$88,IF($X11&lt;Input!$F$88,IF($X11&lt;Input!$E$88,IF($X11&lt;Input!$D$88,Input!$C$94,Input!$D$94),Input!$E$94),Input!$F$94),Input!$G$94),Input!$H$94)</f>
        <v>0</v>
      </c>
      <c r="AX11" s="190">
        <f>IF($A11&lt;Input!$H$95,IF($A11&lt;Input!$G$95,IF($A11&lt;Input!$F$95,IF($A11&lt;Input!$E$95,IF($A11&lt;Input!$D$95,Input!$C$96,Input!$D$96),Input!$E$96),Input!$F$96),Input!$G$96),Input!$H$96)</f>
        <v>0.9</v>
      </c>
      <c r="AY11" s="60">
        <f t="shared" si="15"/>
        <v>0</v>
      </c>
      <c r="AZ11" s="60">
        <f t="shared" si="33"/>
        <v>28</v>
      </c>
      <c r="BA11" s="60">
        <f t="shared" si="16"/>
        <v>0</v>
      </c>
      <c r="BB11" s="60">
        <f>ROUND(BA11*AZ11*Input!$C$3/365,0)</f>
        <v>0</v>
      </c>
      <c r="BC11" s="61">
        <f>IF($A11&lt;=Input!$C$6,0,IF('120M'!AY11&lt;'120M'!BA11,'120M'!AY11-BB11,'120M'!BA11))</f>
        <v>0</v>
      </c>
      <c r="BD11" s="61">
        <f t="shared" si="17"/>
        <v>0</v>
      </c>
      <c r="BE11" s="60">
        <f t="shared" si="18"/>
        <v>0</v>
      </c>
      <c r="BF11" s="193"/>
      <c r="BG11" s="169">
        <v>7</v>
      </c>
      <c r="BH11" s="1">
        <f t="shared" si="34"/>
        <v>45731</v>
      </c>
      <c r="BI11" s="60">
        <f>IF($X11&lt;Input!$H$103,IF($X11&lt;Input!$G$103,IF($X11&lt;Input!$F$103,IF($X11&lt;Input!$E$103,IF($X11&lt;Input!$D$103,Input!$C$109,Input!$D$109),Input!$E$109),Input!$F$109),Input!$G$109),Input!$H$109)</f>
        <v>0</v>
      </c>
      <c r="BJ11" s="190">
        <f>IF($A11&lt;Input!$H$110,IF($A11&lt;Input!$G$110,IF($A11&lt;Input!$F$110,IF($A11&lt;Input!$E$110,IF($A11&lt;Input!$D$110,Input!$C$111,Input!$D$111),Input!$E$111),Input!$F$111),Input!$G$111),Input!$H$111)</f>
        <v>0.9</v>
      </c>
      <c r="BK11" s="60">
        <f t="shared" si="19"/>
        <v>0</v>
      </c>
      <c r="BL11" s="60">
        <f t="shared" si="35"/>
        <v>28</v>
      </c>
      <c r="BM11" s="60">
        <f t="shared" si="20"/>
        <v>0</v>
      </c>
      <c r="BN11" s="60">
        <f>ROUND(BM11*BL11*Input!$C$3/365,0)</f>
        <v>0</v>
      </c>
      <c r="BO11" s="61">
        <f>IF($A11&lt;=Input!$C$6,0,IF('120M'!BK11&lt;'120M'!BM11,'120M'!BK11-BN11,'120M'!BM11))</f>
        <v>0</v>
      </c>
      <c r="BP11" s="61">
        <f t="shared" si="21"/>
        <v>0</v>
      </c>
      <c r="BQ11" s="60">
        <f t="shared" si="22"/>
        <v>0</v>
      </c>
      <c r="BR11" s="198"/>
    </row>
    <row r="12" spans="1:70" x14ac:dyDescent="0.25">
      <c r="A12" s="169">
        <v>8</v>
      </c>
      <c r="B12" s="1">
        <f t="shared" si="23"/>
        <v>45762</v>
      </c>
      <c r="C12" s="60">
        <f t="shared" si="1"/>
        <v>16470000</v>
      </c>
      <c r="D12" s="60">
        <f t="shared" si="2"/>
        <v>14823000</v>
      </c>
      <c r="E12" s="60">
        <f t="shared" si="24"/>
        <v>31</v>
      </c>
      <c r="F12" s="60">
        <f t="shared" si="25"/>
        <v>982770944</v>
      </c>
      <c r="G12" s="60">
        <f>ROUND(F12*E12*Input!$C$3/365,0)</f>
        <v>12520233</v>
      </c>
      <c r="H12" s="60">
        <f>IF($A12&lt;=Input!$C$6,0,IF('120M'!D12&lt;'120M'!F12,'120M'!D12-G12,'120M'!F12))</f>
        <v>2302767</v>
      </c>
      <c r="I12" s="60">
        <f t="shared" si="26"/>
        <v>14823000</v>
      </c>
      <c r="J12" s="60">
        <f t="shared" si="27"/>
        <v>980468177</v>
      </c>
      <c r="K12" s="202">
        <f>J12/Input!$K$5</f>
        <v>3.2682272566666666</v>
      </c>
      <c r="L12" s="232"/>
      <c r="M12" s="60">
        <f>IF($B12&lt;Input!$H$43,IF($B12&lt;Input!$G$43,IF($B12&lt;Input!$F$43,IF($B12&lt;Input!$E$43,IF($B12&lt;Input!$D$43,Input!$C$49,Input!$D$49),Input!$E$49),Input!$F$49),Input!$G$49),Input!$H$49)</f>
        <v>16470000</v>
      </c>
      <c r="N12" s="190">
        <f>IF($A12&lt;Input!$H$50,IF($A12&lt;Input!$G$50,IF($A12&lt;Input!$F$50,IF($A12&lt;Input!$E$50,IF($A12&lt;Input!$D$50,Input!$C$51,Input!$D$51),Input!$E$51),Input!$F$51),Input!$G$51),Input!$H$51)</f>
        <v>0.9</v>
      </c>
      <c r="O12" s="60">
        <f t="shared" si="0"/>
        <v>14823000</v>
      </c>
      <c r="P12" s="60">
        <f t="shared" si="3"/>
        <v>31</v>
      </c>
      <c r="Q12" s="60">
        <f t="shared" si="4"/>
        <v>982770944</v>
      </c>
      <c r="R12" s="60">
        <f>ROUND(Q12*$P12*Input!$C$3/365,0)</f>
        <v>12520233</v>
      </c>
      <c r="S12" s="60">
        <f>IF(A12&lt;=Input!$C$6,0,IF('120M'!O12&lt;'120M'!Q12,'120M'!O12-R12,'120M'!Q12))</f>
        <v>2302767</v>
      </c>
      <c r="T12" s="60">
        <f t="shared" si="5"/>
        <v>14823000</v>
      </c>
      <c r="U12" s="60">
        <f t="shared" si="6"/>
        <v>980468177</v>
      </c>
      <c r="V12" s="193"/>
      <c r="W12" s="169">
        <v>8</v>
      </c>
      <c r="X12" s="1">
        <f t="shared" si="28"/>
        <v>45762</v>
      </c>
      <c r="Y12" s="60">
        <f>IF($X12&lt;Input!$H$58,IF($X12&lt;Input!$G$58,IF($X12&lt;Input!$F$58,IF($X12&lt;Input!$E$58,IF($X12&lt;Input!$D$58,Input!$C$64,Input!$D$64),Input!$E$64),Input!$F$64),Input!$G$64),Input!$H$64)</f>
        <v>0</v>
      </c>
      <c r="Z12" s="190">
        <f>IF($A12&lt;Input!$H$65,IF($A12&lt;Input!$G$65,IF($A12&lt;Input!$F$65,IF($A12&lt;Input!$E$65,IF($A12&lt;Input!$D$65,Input!$C$66,Input!$D$66),Input!$E$66),Input!$F$66),Input!$G$66),Input!$H$66)</f>
        <v>0.9</v>
      </c>
      <c r="AA12" s="60">
        <f t="shared" si="7"/>
        <v>0</v>
      </c>
      <c r="AB12" s="60">
        <f t="shared" si="29"/>
        <v>31</v>
      </c>
      <c r="AC12" s="60">
        <f t="shared" si="8"/>
        <v>0</v>
      </c>
      <c r="AD12" s="60">
        <f>ROUND(AC12*AB12*Input!$C$3/365,0)</f>
        <v>0</v>
      </c>
      <c r="AE12" s="61">
        <f>IF($A12&lt;=Input!$C$6,0,IF('120M'!AA12&lt;'120M'!AC12,'120M'!AA12-AD12,'120M'!AC12))</f>
        <v>0</v>
      </c>
      <c r="AF12" s="61">
        <f t="shared" si="9"/>
        <v>0</v>
      </c>
      <c r="AG12" s="60">
        <f t="shared" si="10"/>
        <v>0</v>
      </c>
      <c r="AH12" s="193"/>
      <c r="AI12" s="169">
        <v>8</v>
      </c>
      <c r="AJ12" s="1">
        <f t="shared" si="30"/>
        <v>45762</v>
      </c>
      <c r="AK12" s="60">
        <f>IF($X12&lt;Input!$H$73,IF($X12&lt;Input!$G$73,IF($X12&lt;Input!$F$73,IF($X12&lt;Input!$E$73,IF($X12&lt;Input!$D$73,Input!$C$79,Input!$D$79),Input!$E$79),Input!$F$79),Input!$G$79),Input!$H$79)</f>
        <v>0</v>
      </c>
      <c r="AL12" s="190">
        <f>IF($A12&lt;Input!$H$80,IF($A12&lt;Input!$G$80,IF($A12&lt;Input!$F$80,IF($A12&lt;Input!$E$80,IF($A12&lt;Input!$D$80,Input!$C$81,Input!$D$81),Input!$E$81),Input!$F$81),Input!$G$81),Input!$H$81)</f>
        <v>0.9</v>
      </c>
      <c r="AM12" s="60">
        <f t="shared" si="11"/>
        <v>0</v>
      </c>
      <c r="AN12" s="60">
        <f t="shared" si="31"/>
        <v>31</v>
      </c>
      <c r="AO12" s="60">
        <f t="shared" si="12"/>
        <v>0</v>
      </c>
      <c r="AP12" s="60">
        <f>ROUND(AO12*AN12*Input!$C$3/365,0)</f>
        <v>0</v>
      </c>
      <c r="AQ12" s="61">
        <f>IF($A12&lt;=Input!$C$6,0,IF('120M'!AM12&lt;'120M'!AO12,'120M'!AM12-AP12,'120M'!AO12))</f>
        <v>0</v>
      </c>
      <c r="AR12" s="61">
        <f t="shared" si="13"/>
        <v>0</v>
      </c>
      <c r="AS12" s="60">
        <f t="shared" si="14"/>
        <v>0</v>
      </c>
      <c r="AT12" s="193"/>
      <c r="AU12" s="169">
        <v>8</v>
      </c>
      <c r="AV12" s="1">
        <f t="shared" si="32"/>
        <v>45762</v>
      </c>
      <c r="AW12" s="60">
        <f>IF($X12&lt;Input!$H$88,IF($X12&lt;Input!$G$88,IF($X12&lt;Input!$F$88,IF($X12&lt;Input!$E$88,IF($X12&lt;Input!$D$88,Input!$C$94,Input!$D$94),Input!$E$94),Input!$F$94),Input!$G$94),Input!$H$94)</f>
        <v>0</v>
      </c>
      <c r="AX12" s="190">
        <f>IF($A12&lt;Input!$H$95,IF($A12&lt;Input!$G$95,IF($A12&lt;Input!$F$95,IF($A12&lt;Input!$E$95,IF($A12&lt;Input!$D$95,Input!$C$96,Input!$D$96),Input!$E$96),Input!$F$96),Input!$G$96),Input!$H$96)</f>
        <v>0.9</v>
      </c>
      <c r="AY12" s="60">
        <f t="shared" si="15"/>
        <v>0</v>
      </c>
      <c r="AZ12" s="60">
        <f t="shared" si="33"/>
        <v>31</v>
      </c>
      <c r="BA12" s="60">
        <f t="shared" si="16"/>
        <v>0</v>
      </c>
      <c r="BB12" s="60">
        <f>ROUND(BA12*AZ12*Input!$C$3/365,0)</f>
        <v>0</v>
      </c>
      <c r="BC12" s="61">
        <f>IF($A12&lt;=Input!$C$6,0,IF('120M'!AY12&lt;'120M'!BA12,'120M'!AY12-BB12,'120M'!BA12))</f>
        <v>0</v>
      </c>
      <c r="BD12" s="61">
        <f t="shared" si="17"/>
        <v>0</v>
      </c>
      <c r="BE12" s="60">
        <f t="shared" si="18"/>
        <v>0</v>
      </c>
      <c r="BF12" s="193"/>
      <c r="BG12" s="169">
        <v>8</v>
      </c>
      <c r="BH12" s="1">
        <f t="shared" si="34"/>
        <v>45762</v>
      </c>
      <c r="BI12" s="60">
        <f>IF($X12&lt;Input!$H$103,IF($X12&lt;Input!$G$103,IF($X12&lt;Input!$F$103,IF($X12&lt;Input!$E$103,IF($X12&lt;Input!$D$103,Input!$C$109,Input!$D$109),Input!$E$109),Input!$F$109),Input!$G$109),Input!$H$109)</f>
        <v>0</v>
      </c>
      <c r="BJ12" s="190">
        <f>IF($A12&lt;Input!$H$110,IF($A12&lt;Input!$G$110,IF($A12&lt;Input!$F$110,IF($A12&lt;Input!$E$110,IF($A12&lt;Input!$D$110,Input!$C$111,Input!$D$111),Input!$E$111),Input!$F$111),Input!$G$111),Input!$H$111)</f>
        <v>0.9</v>
      </c>
      <c r="BK12" s="60">
        <f t="shared" si="19"/>
        <v>0</v>
      </c>
      <c r="BL12" s="60">
        <f t="shared" si="35"/>
        <v>31</v>
      </c>
      <c r="BM12" s="60">
        <f t="shared" si="20"/>
        <v>0</v>
      </c>
      <c r="BN12" s="60">
        <f>ROUND(BM12*BL12*Input!$C$3/365,0)</f>
        <v>0</v>
      </c>
      <c r="BO12" s="61">
        <f>IF($A12&lt;=Input!$C$6,0,IF('120M'!BK12&lt;'120M'!BM12,'120M'!BK12-BN12,'120M'!BM12))</f>
        <v>0</v>
      </c>
      <c r="BP12" s="61">
        <f t="shared" si="21"/>
        <v>0</v>
      </c>
      <c r="BQ12" s="60">
        <f t="shared" si="22"/>
        <v>0</v>
      </c>
      <c r="BR12" s="198"/>
    </row>
    <row r="13" spans="1:70" x14ac:dyDescent="0.25">
      <c r="A13" s="169">
        <v>9</v>
      </c>
      <c r="B13" s="1">
        <f t="shared" si="23"/>
        <v>45792</v>
      </c>
      <c r="C13" s="60">
        <f t="shared" si="1"/>
        <v>16470000</v>
      </c>
      <c r="D13" s="60">
        <f t="shared" si="2"/>
        <v>14823000</v>
      </c>
      <c r="E13" s="60">
        <f t="shared" si="24"/>
        <v>30</v>
      </c>
      <c r="F13" s="60">
        <f t="shared" si="25"/>
        <v>980468177</v>
      </c>
      <c r="G13" s="60">
        <f>ROUND(F13*E13*Input!$C$3/365,0)</f>
        <v>12087964</v>
      </c>
      <c r="H13" s="60">
        <f>IF($A13&lt;=Input!$C$6,0,IF('120M'!D13&lt;'120M'!F13,'120M'!D13-G13,'120M'!F13))</f>
        <v>2735036</v>
      </c>
      <c r="I13" s="60">
        <f t="shared" si="26"/>
        <v>14823000</v>
      </c>
      <c r="J13" s="60">
        <f t="shared" si="27"/>
        <v>977733141</v>
      </c>
      <c r="K13" s="202">
        <f>J13/Input!$K$5</f>
        <v>3.25911047</v>
      </c>
      <c r="L13" s="232"/>
      <c r="M13" s="60">
        <f>IF($B13&lt;Input!$H$43,IF($B13&lt;Input!$G$43,IF($B13&lt;Input!$F$43,IF($B13&lt;Input!$E$43,IF($B13&lt;Input!$D$43,Input!$C$49,Input!$D$49),Input!$E$49),Input!$F$49),Input!$G$49),Input!$H$49)</f>
        <v>16470000</v>
      </c>
      <c r="N13" s="190">
        <f>IF($A13&lt;Input!$H$50,IF($A13&lt;Input!$G$50,IF($A13&lt;Input!$F$50,IF($A13&lt;Input!$E$50,IF($A13&lt;Input!$D$50,Input!$C$51,Input!$D$51),Input!$E$51),Input!$F$51),Input!$G$51),Input!$H$51)</f>
        <v>0.9</v>
      </c>
      <c r="O13" s="60">
        <f t="shared" si="0"/>
        <v>14823000</v>
      </c>
      <c r="P13" s="60">
        <f t="shared" si="3"/>
        <v>30</v>
      </c>
      <c r="Q13" s="60">
        <f t="shared" si="4"/>
        <v>980468177</v>
      </c>
      <c r="R13" s="60">
        <f>ROUND(Q13*$P13*Input!$C$3/365,0)</f>
        <v>12087964</v>
      </c>
      <c r="S13" s="60">
        <f>IF(A13&lt;=Input!$C$6,0,IF('120M'!O13&lt;'120M'!Q13,'120M'!O13-R13,'120M'!Q13))</f>
        <v>2735036</v>
      </c>
      <c r="T13" s="60">
        <f t="shared" si="5"/>
        <v>14823000</v>
      </c>
      <c r="U13" s="60">
        <f t="shared" si="6"/>
        <v>977733141</v>
      </c>
      <c r="V13" s="193"/>
      <c r="W13" s="169">
        <v>9</v>
      </c>
      <c r="X13" s="1">
        <f t="shared" si="28"/>
        <v>45792</v>
      </c>
      <c r="Y13" s="60">
        <f>IF($X13&lt;Input!$H$58,IF($X13&lt;Input!$G$58,IF($X13&lt;Input!$F$58,IF($X13&lt;Input!$E$58,IF($X13&lt;Input!$D$58,Input!$C$64,Input!$D$64),Input!$E$64),Input!$F$64),Input!$G$64),Input!$H$64)</f>
        <v>0</v>
      </c>
      <c r="Z13" s="190">
        <f>IF($A13&lt;Input!$H$65,IF($A13&lt;Input!$G$65,IF($A13&lt;Input!$F$65,IF($A13&lt;Input!$E$65,IF($A13&lt;Input!$D$65,Input!$C$66,Input!$D$66),Input!$E$66),Input!$F$66),Input!$G$66),Input!$H$66)</f>
        <v>0.9</v>
      </c>
      <c r="AA13" s="60">
        <f t="shared" si="7"/>
        <v>0</v>
      </c>
      <c r="AB13" s="60">
        <f t="shared" si="29"/>
        <v>30</v>
      </c>
      <c r="AC13" s="60">
        <f t="shared" si="8"/>
        <v>0</v>
      </c>
      <c r="AD13" s="60">
        <f>ROUND(AC13*AB13*Input!$C$3/365,0)</f>
        <v>0</v>
      </c>
      <c r="AE13" s="61">
        <f>IF($A13&lt;=Input!$C$6,0,IF('120M'!AA13&lt;'120M'!AC13,'120M'!AA13-AD13,'120M'!AC13))</f>
        <v>0</v>
      </c>
      <c r="AF13" s="61">
        <f t="shared" si="9"/>
        <v>0</v>
      </c>
      <c r="AG13" s="60">
        <f t="shared" si="10"/>
        <v>0</v>
      </c>
      <c r="AH13" s="193"/>
      <c r="AI13" s="169">
        <v>9</v>
      </c>
      <c r="AJ13" s="1">
        <f t="shared" si="30"/>
        <v>45792</v>
      </c>
      <c r="AK13" s="60">
        <f>IF($X13&lt;Input!$H$73,IF($X13&lt;Input!$G$73,IF($X13&lt;Input!$F$73,IF($X13&lt;Input!$E$73,IF($X13&lt;Input!$D$73,Input!$C$79,Input!$D$79),Input!$E$79),Input!$F$79),Input!$G$79),Input!$H$79)</f>
        <v>0</v>
      </c>
      <c r="AL13" s="190">
        <f>IF($A13&lt;Input!$H$80,IF($A13&lt;Input!$G$80,IF($A13&lt;Input!$F$80,IF($A13&lt;Input!$E$80,IF($A13&lt;Input!$D$80,Input!$C$81,Input!$D$81),Input!$E$81),Input!$F$81),Input!$G$81),Input!$H$81)</f>
        <v>0.9</v>
      </c>
      <c r="AM13" s="60">
        <f t="shared" si="11"/>
        <v>0</v>
      </c>
      <c r="AN13" s="60">
        <f t="shared" si="31"/>
        <v>30</v>
      </c>
      <c r="AO13" s="60">
        <f t="shared" si="12"/>
        <v>0</v>
      </c>
      <c r="AP13" s="60">
        <f>ROUND(AO13*AN13*Input!$C$3/365,0)</f>
        <v>0</v>
      </c>
      <c r="AQ13" s="61">
        <f>IF($A13&lt;=Input!$C$6,0,IF('120M'!AM13&lt;'120M'!AO13,'120M'!AM13-AP13,'120M'!AO13))</f>
        <v>0</v>
      </c>
      <c r="AR13" s="61">
        <f t="shared" si="13"/>
        <v>0</v>
      </c>
      <c r="AS13" s="60">
        <f t="shared" si="14"/>
        <v>0</v>
      </c>
      <c r="AT13" s="193"/>
      <c r="AU13" s="169">
        <v>9</v>
      </c>
      <c r="AV13" s="1">
        <f t="shared" si="32"/>
        <v>45792</v>
      </c>
      <c r="AW13" s="60">
        <f>IF($X13&lt;Input!$H$88,IF($X13&lt;Input!$G$88,IF($X13&lt;Input!$F$88,IF($X13&lt;Input!$E$88,IF($X13&lt;Input!$D$88,Input!$C$94,Input!$D$94),Input!$E$94),Input!$F$94),Input!$G$94),Input!$H$94)</f>
        <v>0</v>
      </c>
      <c r="AX13" s="190">
        <f>IF($A13&lt;Input!$H$95,IF($A13&lt;Input!$G$95,IF($A13&lt;Input!$F$95,IF($A13&lt;Input!$E$95,IF($A13&lt;Input!$D$95,Input!$C$96,Input!$D$96),Input!$E$96),Input!$F$96),Input!$G$96),Input!$H$96)</f>
        <v>0.9</v>
      </c>
      <c r="AY13" s="60">
        <f t="shared" si="15"/>
        <v>0</v>
      </c>
      <c r="AZ13" s="60">
        <f t="shared" si="33"/>
        <v>30</v>
      </c>
      <c r="BA13" s="60">
        <f t="shared" si="16"/>
        <v>0</v>
      </c>
      <c r="BB13" s="60">
        <f>ROUND(BA13*AZ13*Input!$C$3/365,0)</f>
        <v>0</v>
      </c>
      <c r="BC13" s="61">
        <f>IF($A13&lt;=Input!$C$6,0,IF('120M'!AY13&lt;'120M'!BA13,'120M'!AY13-BB13,'120M'!BA13))</f>
        <v>0</v>
      </c>
      <c r="BD13" s="61">
        <f t="shared" si="17"/>
        <v>0</v>
      </c>
      <c r="BE13" s="60">
        <f t="shared" si="18"/>
        <v>0</v>
      </c>
      <c r="BF13" s="193"/>
      <c r="BG13" s="169">
        <v>9</v>
      </c>
      <c r="BH13" s="1">
        <f t="shared" si="34"/>
        <v>45792</v>
      </c>
      <c r="BI13" s="60">
        <f>IF($X13&lt;Input!$H$103,IF($X13&lt;Input!$G$103,IF($X13&lt;Input!$F$103,IF($X13&lt;Input!$E$103,IF($X13&lt;Input!$D$103,Input!$C$109,Input!$D$109),Input!$E$109),Input!$F$109),Input!$G$109),Input!$H$109)</f>
        <v>0</v>
      </c>
      <c r="BJ13" s="190">
        <f>IF($A13&lt;Input!$H$110,IF($A13&lt;Input!$G$110,IF($A13&lt;Input!$F$110,IF($A13&lt;Input!$E$110,IF($A13&lt;Input!$D$110,Input!$C$111,Input!$D$111),Input!$E$111),Input!$F$111),Input!$G$111),Input!$H$111)</f>
        <v>0.9</v>
      </c>
      <c r="BK13" s="60">
        <f t="shared" si="19"/>
        <v>0</v>
      </c>
      <c r="BL13" s="60">
        <f t="shared" si="35"/>
        <v>30</v>
      </c>
      <c r="BM13" s="60">
        <f t="shared" si="20"/>
        <v>0</v>
      </c>
      <c r="BN13" s="60">
        <f>ROUND(BM13*BL13*Input!$C$3/365,0)</f>
        <v>0</v>
      </c>
      <c r="BO13" s="61">
        <f>IF($A13&lt;=Input!$C$6,0,IF('120M'!BK13&lt;'120M'!BM13,'120M'!BK13-BN13,'120M'!BM13))</f>
        <v>0</v>
      </c>
      <c r="BP13" s="61">
        <f t="shared" si="21"/>
        <v>0</v>
      </c>
      <c r="BQ13" s="60">
        <f t="shared" si="22"/>
        <v>0</v>
      </c>
      <c r="BR13" s="198"/>
    </row>
    <row r="14" spans="1:70" x14ac:dyDescent="0.25">
      <c r="A14" s="169">
        <v>10</v>
      </c>
      <c r="B14" s="1">
        <f t="shared" si="23"/>
        <v>45823</v>
      </c>
      <c r="C14" s="60">
        <f t="shared" si="1"/>
        <v>16470000</v>
      </c>
      <c r="D14" s="60">
        <f t="shared" si="2"/>
        <v>14823000</v>
      </c>
      <c r="E14" s="60">
        <f t="shared" si="24"/>
        <v>31</v>
      </c>
      <c r="F14" s="60">
        <f t="shared" si="25"/>
        <v>977733141</v>
      </c>
      <c r="G14" s="60">
        <f>ROUND(F14*E14*Input!$C$3/365,0)</f>
        <v>12456052</v>
      </c>
      <c r="H14" s="60">
        <f>IF($A14&lt;=Input!$C$6,0,IF('120M'!D14&lt;'120M'!F14,'120M'!D14-G14,'120M'!F14))</f>
        <v>2366948</v>
      </c>
      <c r="I14" s="60">
        <f t="shared" si="26"/>
        <v>14823000</v>
      </c>
      <c r="J14" s="60">
        <f t="shared" si="27"/>
        <v>975366193</v>
      </c>
      <c r="K14" s="202">
        <f>J14/Input!$K$5</f>
        <v>3.2512206433333333</v>
      </c>
      <c r="L14" s="232"/>
      <c r="M14" s="60">
        <f>IF($B14&lt;Input!$H$43,IF($B14&lt;Input!$G$43,IF($B14&lt;Input!$F$43,IF($B14&lt;Input!$E$43,IF($B14&lt;Input!$D$43,Input!$C$49,Input!$D$49),Input!$E$49),Input!$F$49),Input!$G$49),Input!$H$49)</f>
        <v>16470000</v>
      </c>
      <c r="N14" s="190">
        <f>IF($A14&lt;Input!$H$50,IF($A14&lt;Input!$G$50,IF($A14&lt;Input!$F$50,IF($A14&lt;Input!$E$50,IF($A14&lt;Input!$D$50,Input!$C$51,Input!$D$51),Input!$E$51),Input!$F$51),Input!$G$51),Input!$H$51)</f>
        <v>0.9</v>
      </c>
      <c r="O14" s="60">
        <f t="shared" si="0"/>
        <v>14823000</v>
      </c>
      <c r="P14" s="60">
        <f t="shared" si="3"/>
        <v>31</v>
      </c>
      <c r="Q14" s="60">
        <f t="shared" si="4"/>
        <v>977733141</v>
      </c>
      <c r="R14" s="60">
        <f>ROUND(Q14*$P14*Input!$C$3/365,0)</f>
        <v>12456052</v>
      </c>
      <c r="S14" s="60">
        <f>IF(A14&lt;=Input!$C$6,0,IF('120M'!O14&lt;'120M'!Q14,'120M'!O14-R14,'120M'!Q14))</f>
        <v>2366948</v>
      </c>
      <c r="T14" s="60">
        <f t="shared" si="5"/>
        <v>14823000</v>
      </c>
      <c r="U14" s="60">
        <f t="shared" si="6"/>
        <v>975366193</v>
      </c>
      <c r="V14" s="193"/>
      <c r="W14" s="169">
        <v>10</v>
      </c>
      <c r="X14" s="1">
        <f t="shared" si="28"/>
        <v>45823</v>
      </c>
      <c r="Y14" s="60">
        <f>IF($X14&lt;Input!$H$58,IF($X14&lt;Input!$G$58,IF($X14&lt;Input!$F$58,IF($X14&lt;Input!$E$58,IF($X14&lt;Input!$D$58,Input!$C$64,Input!$D$64),Input!$E$64),Input!$F$64),Input!$G$64),Input!$H$64)</f>
        <v>0</v>
      </c>
      <c r="Z14" s="190">
        <f>IF($A14&lt;Input!$H$65,IF($A14&lt;Input!$G$65,IF($A14&lt;Input!$F$65,IF($A14&lt;Input!$E$65,IF($A14&lt;Input!$D$65,Input!$C$66,Input!$D$66),Input!$E$66),Input!$F$66),Input!$G$66),Input!$H$66)</f>
        <v>0.9</v>
      </c>
      <c r="AA14" s="60">
        <f t="shared" si="7"/>
        <v>0</v>
      </c>
      <c r="AB14" s="60">
        <f t="shared" si="29"/>
        <v>31</v>
      </c>
      <c r="AC14" s="60">
        <f t="shared" si="8"/>
        <v>0</v>
      </c>
      <c r="AD14" s="60">
        <f>ROUND(AC14*AB14*Input!$C$3/365,0)</f>
        <v>0</v>
      </c>
      <c r="AE14" s="61">
        <f>IF($A14&lt;=Input!$C$6,0,IF('120M'!AA14&lt;'120M'!AC14,'120M'!AA14-AD14,'120M'!AC14))</f>
        <v>0</v>
      </c>
      <c r="AF14" s="61">
        <f t="shared" si="9"/>
        <v>0</v>
      </c>
      <c r="AG14" s="60">
        <f t="shared" si="10"/>
        <v>0</v>
      </c>
      <c r="AH14" s="193"/>
      <c r="AI14" s="169">
        <v>10</v>
      </c>
      <c r="AJ14" s="1">
        <f t="shared" si="30"/>
        <v>45823</v>
      </c>
      <c r="AK14" s="60">
        <f>IF($X14&lt;Input!$H$73,IF($X14&lt;Input!$G$73,IF($X14&lt;Input!$F$73,IF($X14&lt;Input!$E$73,IF($X14&lt;Input!$D$73,Input!$C$79,Input!$D$79),Input!$E$79),Input!$F$79),Input!$G$79),Input!$H$79)</f>
        <v>0</v>
      </c>
      <c r="AL14" s="190">
        <f>IF($A14&lt;Input!$H$80,IF($A14&lt;Input!$G$80,IF($A14&lt;Input!$F$80,IF($A14&lt;Input!$E$80,IF($A14&lt;Input!$D$80,Input!$C$81,Input!$D$81),Input!$E$81),Input!$F$81),Input!$G$81),Input!$H$81)</f>
        <v>0.9</v>
      </c>
      <c r="AM14" s="60">
        <f t="shared" si="11"/>
        <v>0</v>
      </c>
      <c r="AN14" s="60">
        <f t="shared" si="31"/>
        <v>31</v>
      </c>
      <c r="AO14" s="60">
        <f t="shared" si="12"/>
        <v>0</v>
      </c>
      <c r="AP14" s="60">
        <f>ROUND(AO14*AN14*Input!$C$3/365,0)</f>
        <v>0</v>
      </c>
      <c r="AQ14" s="61">
        <f>IF($A14&lt;=Input!$C$6,0,IF('120M'!AM14&lt;'120M'!AO14,'120M'!AM14-AP14,'120M'!AO14))</f>
        <v>0</v>
      </c>
      <c r="AR14" s="61">
        <f t="shared" si="13"/>
        <v>0</v>
      </c>
      <c r="AS14" s="60">
        <f t="shared" si="14"/>
        <v>0</v>
      </c>
      <c r="AT14" s="193"/>
      <c r="AU14" s="169">
        <v>10</v>
      </c>
      <c r="AV14" s="1">
        <f t="shared" si="32"/>
        <v>45823</v>
      </c>
      <c r="AW14" s="60">
        <f>IF($X14&lt;Input!$H$88,IF($X14&lt;Input!$G$88,IF($X14&lt;Input!$F$88,IF($X14&lt;Input!$E$88,IF($X14&lt;Input!$D$88,Input!$C$94,Input!$D$94),Input!$E$94),Input!$F$94),Input!$G$94),Input!$H$94)</f>
        <v>0</v>
      </c>
      <c r="AX14" s="190">
        <f>IF($A14&lt;Input!$H$95,IF($A14&lt;Input!$G$95,IF($A14&lt;Input!$F$95,IF($A14&lt;Input!$E$95,IF($A14&lt;Input!$D$95,Input!$C$96,Input!$D$96),Input!$E$96),Input!$F$96),Input!$G$96),Input!$H$96)</f>
        <v>0.9</v>
      </c>
      <c r="AY14" s="60">
        <f t="shared" si="15"/>
        <v>0</v>
      </c>
      <c r="AZ14" s="60">
        <f t="shared" si="33"/>
        <v>31</v>
      </c>
      <c r="BA14" s="60">
        <f t="shared" si="16"/>
        <v>0</v>
      </c>
      <c r="BB14" s="60">
        <f>ROUND(BA14*AZ14*Input!$C$3/365,0)</f>
        <v>0</v>
      </c>
      <c r="BC14" s="61">
        <f>IF($A14&lt;=Input!$C$6,0,IF('120M'!AY14&lt;'120M'!BA14,'120M'!AY14-BB14,'120M'!BA14))</f>
        <v>0</v>
      </c>
      <c r="BD14" s="61">
        <f t="shared" si="17"/>
        <v>0</v>
      </c>
      <c r="BE14" s="60">
        <f t="shared" si="18"/>
        <v>0</v>
      </c>
      <c r="BF14" s="193"/>
      <c r="BG14" s="169">
        <v>10</v>
      </c>
      <c r="BH14" s="1">
        <f t="shared" si="34"/>
        <v>45823</v>
      </c>
      <c r="BI14" s="60">
        <f>IF($X14&lt;Input!$H$103,IF($X14&lt;Input!$G$103,IF($X14&lt;Input!$F$103,IF($X14&lt;Input!$E$103,IF($X14&lt;Input!$D$103,Input!$C$109,Input!$D$109),Input!$E$109),Input!$F$109),Input!$G$109),Input!$H$109)</f>
        <v>0</v>
      </c>
      <c r="BJ14" s="190">
        <f>IF($A14&lt;Input!$H$110,IF($A14&lt;Input!$G$110,IF($A14&lt;Input!$F$110,IF($A14&lt;Input!$E$110,IF($A14&lt;Input!$D$110,Input!$C$111,Input!$D$111),Input!$E$111),Input!$F$111),Input!$G$111),Input!$H$111)</f>
        <v>0.9</v>
      </c>
      <c r="BK14" s="60">
        <f t="shared" si="19"/>
        <v>0</v>
      </c>
      <c r="BL14" s="60">
        <f t="shared" si="35"/>
        <v>31</v>
      </c>
      <c r="BM14" s="60">
        <f t="shared" si="20"/>
        <v>0</v>
      </c>
      <c r="BN14" s="60">
        <f>ROUND(BM14*BL14*Input!$C$3/365,0)</f>
        <v>0</v>
      </c>
      <c r="BO14" s="61">
        <f>IF($A14&lt;=Input!$C$6,0,IF('120M'!BK14&lt;'120M'!BM14,'120M'!BK14-BN14,'120M'!BM14))</f>
        <v>0</v>
      </c>
      <c r="BP14" s="61">
        <f t="shared" si="21"/>
        <v>0</v>
      </c>
      <c r="BQ14" s="60">
        <f t="shared" si="22"/>
        <v>0</v>
      </c>
      <c r="BR14" s="198"/>
    </row>
    <row r="15" spans="1:70" x14ac:dyDescent="0.25">
      <c r="A15" s="169">
        <v>11</v>
      </c>
      <c r="B15" s="1">
        <f t="shared" si="23"/>
        <v>45853</v>
      </c>
      <c r="C15" s="60">
        <f t="shared" si="1"/>
        <v>16470000</v>
      </c>
      <c r="D15" s="60">
        <f t="shared" si="2"/>
        <v>14823000</v>
      </c>
      <c r="E15" s="60">
        <f t="shared" si="24"/>
        <v>30</v>
      </c>
      <c r="F15" s="60">
        <f t="shared" si="25"/>
        <v>975366193</v>
      </c>
      <c r="G15" s="60">
        <f>ROUND(F15*E15*Input!$C$3/365,0)</f>
        <v>12025063</v>
      </c>
      <c r="H15" s="60">
        <f>IF($A15&lt;=Input!$C$6,0,IF('120M'!D15&lt;'120M'!F15,'120M'!D15-G15,'120M'!F15))</f>
        <v>2797937</v>
      </c>
      <c r="I15" s="60">
        <f t="shared" si="26"/>
        <v>14823000</v>
      </c>
      <c r="J15" s="60">
        <f t="shared" si="27"/>
        <v>972568256</v>
      </c>
      <c r="K15" s="202">
        <f>J15/Input!$K$5</f>
        <v>3.2418941866666668</v>
      </c>
      <c r="L15" s="232"/>
      <c r="M15" s="60">
        <f>IF($B15&lt;Input!$H$43,IF($B15&lt;Input!$G$43,IF($B15&lt;Input!$F$43,IF($B15&lt;Input!$E$43,IF($B15&lt;Input!$D$43,Input!$C$49,Input!$D$49),Input!$E$49),Input!$F$49),Input!$G$49),Input!$H$49)</f>
        <v>16470000</v>
      </c>
      <c r="N15" s="190">
        <f>IF($A15&lt;Input!$H$50,IF($A15&lt;Input!$G$50,IF($A15&lt;Input!$F$50,IF($A15&lt;Input!$E$50,IF($A15&lt;Input!$D$50,Input!$C$51,Input!$D$51),Input!$E$51),Input!$F$51),Input!$G$51),Input!$H$51)</f>
        <v>0.9</v>
      </c>
      <c r="O15" s="60">
        <f t="shared" si="0"/>
        <v>14823000</v>
      </c>
      <c r="P15" s="60">
        <f t="shared" si="3"/>
        <v>30</v>
      </c>
      <c r="Q15" s="60">
        <f t="shared" si="4"/>
        <v>975366193</v>
      </c>
      <c r="R15" s="60">
        <f>ROUND(Q15*$P15*Input!$C$3/365,0)</f>
        <v>12025063</v>
      </c>
      <c r="S15" s="60">
        <f>IF(A15&lt;=Input!$C$6,0,IF('120M'!O15&lt;'120M'!Q15,'120M'!O15-R15,'120M'!Q15))</f>
        <v>2797937</v>
      </c>
      <c r="T15" s="60">
        <f t="shared" si="5"/>
        <v>14823000</v>
      </c>
      <c r="U15" s="60">
        <f t="shared" si="6"/>
        <v>972568256</v>
      </c>
      <c r="V15" s="193"/>
      <c r="W15" s="169">
        <v>11</v>
      </c>
      <c r="X15" s="1">
        <f t="shared" si="28"/>
        <v>45853</v>
      </c>
      <c r="Y15" s="60">
        <f>IF($X15&lt;Input!$H$58,IF($X15&lt;Input!$G$58,IF($X15&lt;Input!$F$58,IF($X15&lt;Input!$E$58,IF($X15&lt;Input!$D$58,Input!$C$64,Input!$D$64),Input!$E$64),Input!$F$64),Input!$G$64),Input!$H$64)</f>
        <v>0</v>
      </c>
      <c r="Z15" s="190">
        <f>IF($A15&lt;Input!$H$65,IF($A15&lt;Input!$G$65,IF($A15&lt;Input!$F$65,IF($A15&lt;Input!$E$65,IF($A15&lt;Input!$D$65,Input!$C$66,Input!$D$66),Input!$E$66),Input!$F$66),Input!$G$66),Input!$H$66)</f>
        <v>0.9</v>
      </c>
      <c r="AA15" s="60">
        <f t="shared" si="7"/>
        <v>0</v>
      </c>
      <c r="AB15" s="60">
        <f t="shared" si="29"/>
        <v>30</v>
      </c>
      <c r="AC15" s="60">
        <f t="shared" si="8"/>
        <v>0</v>
      </c>
      <c r="AD15" s="60">
        <f>ROUND(AC15*AB15*Input!$C$3/365,0)</f>
        <v>0</v>
      </c>
      <c r="AE15" s="61">
        <f>IF($A15&lt;=Input!$C$6,0,IF('120M'!AA15&lt;'120M'!AC15,'120M'!AA15-AD15,'120M'!AC15))</f>
        <v>0</v>
      </c>
      <c r="AF15" s="61">
        <f t="shared" si="9"/>
        <v>0</v>
      </c>
      <c r="AG15" s="60">
        <f t="shared" si="10"/>
        <v>0</v>
      </c>
      <c r="AH15" s="193"/>
      <c r="AI15" s="169">
        <v>11</v>
      </c>
      <c r="AJ15" s="1">
        <f t="shared" si="30"/>
        <v>45853</v>
      </c>
      <c r="AK15" s="60">
        <f>IF($X15&lt;Input!$H$73,IF($X15&lt;Input!$G$73,IF($X15&lt;Input!$F$73,IF($X15&lt;Input!$E$73,IF($X15&lt;Input!$D$73,Input!$C$79,Input!$D$79),Input!$E$79),Input!$F$79),Input!$G$79),Input!$H$79)</f>
        <v>0</v>
      </c>
      <c r="AL15" s="190">
        <f>IF($A15&lt;Input!$H$80,IF($A15&lt;Input!$G$80,IF($A15&lt;Input!$F$80,IF($A15&lt;Input!$E$80,IF($A15&lt;Input!$D$80,Input!$C$81,Input!$D$81),Input!$E$81),Input!$F$81),Input!$G$81),Input!$H$81)</f>
        <v>0.9</v>
      </c>
      <c r="AM15" s="60">
        <f t="shared" si="11"/>
        <v>0</v>
      </c>
      <c r="AN15" s="60">
        <f t="shared" si="31"/>
        <v>30</v>
      </c>
      <c r="AO15" s="60">
        <f t="shared" si="12"/>
        <v>0</v>
      </c>
      <c r="AP15" s="60">
        <f>ROUND(AO15*AN15*Input!$C$3/365,0)</f>
        <v>0</v>
      </c>
      <c r="AQ15" s="61">
        <f>IF($A15&lt;=Input!$C$6,0,IF('120M'!AM15&lt;'120M'!AO15,'120M'!AM15-AP15,'120M'!AO15))</f>
        <v>0</v>
      </c>
      <c r="AR15" s="61">
        <f t="shared" si="13"/>
        <v>0</v>
      </c>
      <c r="AS15" s="60">
        <f t="shared" si="14"/>
        <v>0</v>
      </c>
      <c r="AT15" s="193"/>
      <c r="AU15" s="169">
        <v>11</v>
      </c>
      <c r="AV15" s="1">
        <f t="shared" si="32"/>
        <v>45853</v>
      </c>
      <c r="AW15" s="60">
        <f>IF($X15&lt;Input!$H$88,IF($X15&lt;Input!$G$88,IF($X15&lt;Input!$F$88,IF($X15&lt;Input!$E$88,IF($X15&lt;Input!$D$88,Input!$C$94,Input!$D$94),Input!$E$94),Input!$F$94),Input!$G$94),Input!$H$94)</f>
        <v>0</v>
      </c>
      <c r="AX15" s="190">
        <f>IF($A15&lt;Input!$H$95,IF($A15&lt;Input!$G$95,IF($A15&lt;Input!$F$95,IF($A15&lt;Input!$E$95,IF($A15&lt;Input!$D$95,Input!$C$96,Input!$D$96),Input!$E$96),Input!$F$96),Input!$G$96),Input!$H$96)</f>
        <v>0.9</v>
      </c>
      <c r="AY15" s="60">
        <f t="shared" si="15"/>
        <v>0</v>
      </c>
      <c r="AZ15" s="60">
        <f t="shared" si="33"/>
        <v>30</v>
      </c>
      <c r="BA15" s="60">
        <f t="shared" si="16"/>
        <v>0</v>
      </c>
      <c r="BB15" s="60">
        <f>ROUND(BA15*AZ15*Input!$C$3/365,0)</f>
        <v>0</v>
      </c>
      <c r="BC15" s="61">
        <f>IF($A15&lt;=Input!$C$6,0,IF('120M'!AY15&lt;'120M'!BA15,'120M'!AY15-BB15,'120M'!BA15))</f>
        <v>0</v>
      </c>
      <c r="BD15" s="61">
        <f t="shared" si="17"/>
        <v>0</v>
      </c>
      <c r="BE15" s="60">
        <f t="shared" si="18"/>
        <v>0</v>
      </c>
      <c r="BF15" s="193"/>
      <c r="BG15" s="169">
        <v>11</v>
      </c>
      <c r="BH15" s="1">
        <f t="shared" si="34"/>
        <v>45853</v>
      </c>
      <c r="BI15" s="60">
        <f>IF($X15&lt;Input!$H$103,IF($X15&lt;Input!$G$103,IF($X15&lt;Input!$F$103,IF($X15&lt;Input!$E$103,IF($X15&lt;Input!$D$103,Input!$C$109,Input!$D$109),Input!$E$109),Input!$F$109),Input!$G$109),Input!$H$109)</f>
        <v>0</v>
      </c>
      <c r="BJ15" s="190">
        <f>IF($A15&lt;Input!$H$110,IF($A15&lt;Input!$G$110,IF($A15&lt;Input!$F$110,IF($A15&lt;Input!$E$110,IF($A15&lt;Input!$D$110,Input!$C$111,Input!$D$111),Input!$E$111),Input!$F$111),Input!$G$111),Input!$H$111)</f>
        <v>0.9</v>
      </c>
      <c r="BK15" s="60">
        <f t="shared" si="19"/>
        <v>0</v>
      </c>
      <c r="BL15" s="60">
        <f t="shared" si="35"/>
        <v>30</v>
      </c>
      <c r="BM15" s="60">
        <f t="shared" si="20"/>
        <v>0</v>
      </c>
      <c r="BN15" s="60">
        <f>ROUND(BM15*BL15*Input!$C$3/365,0)</f>
        <v>0</v>
      </c>
      <c r="BO15" s="61">
        <f>IF($A15&lt;=Input!$C$6,0,IF('120M'!BK15&lt;'120M'!BM15,'120M'!BK15-BN15,'120M'!BM15))</f>
        <v>0</v>
      </c>
      <c r="BP15" s="61">
        <f t="shared" si="21"/>
        <v>0</v>
      </c>
      <c r="BQ15" s="60">
        <f t="shared" si="22"/>
        <v>0</v>
      </c>
      <c r="BR15" s="198"/>
    </row>
    <row r="16" spans="1:70" x14ac:dyDescent="0.25">
      <c r="A16" s="169">
        <v>12</v>
      </c>
      <c r="B16" s="1">
        <f t="shared" si="23"/>
        <v>45884</v>
      </c>
      <c r="C16" s="60">
        <f t="shared" si="1"/>
        <v>16470000</v>
      </c>
      <c r="D16" s="60">
        <f t="shared" si="2"/>
        <v>14823000</v>
      </c>
      <c r="E16" s="60">
        <f t="shared" si="24"/>
        <v>31</v>
      </c>
      <c r="F16" s="60">
        <f t="shared" si="25"/>
        <v>972568256</v>
      </c>
      <c r="G16" s="60">
        <f>ROUND(F16*E16*Input!$C$3/365,0)</f>
        <v>12390253</v>
      </c>
      <c r="H16" s="60">
        <f>IF($A16&lt;=Input!$C$6,0,IF('120M'!D16&lt;'120M'!F16,'120M'!D16-G16,'120M'!F16))</f>
        <v>2432747</v>
      </c>
      <c r="I16" s="60">
        <f t="shared" si="26"/>
        <v>14823000</v>
      </c>
      <c r="J16" s="60">
        <f t="shared" si="27"/>
        <v>970135509</v>
      </c>
      <c r="K16" s="202">
        <f>J16/Input!$K$5</f>
        <v>3.2337850299999999</v>
      </c>
      <c r="L16" s="232"/>
      <c r="M16" s="60">
        <f>IF($B16&lt;Input!$H$43,IF($B16&lt;Input!$G$43,IF($B16&lt;Input!$F$43,IF($B16&lt;Input!$E$43,IF($B16&lt;Input!$D$43,Input!$C$49,Input!$D$49),Input!$E$49),Input!$F$49),Input!$G$49),Input!$H$49)</f>
        <v>16470000</v>
      </c>
      <c r="N16" s="190">
        <f>IF($A16&lt;Input!$H$50,IF($A16&lt;Input!$G$50,IF($A16&lt;Input!$F$50,IF($A16&lt;Input!$E$50,IF($A16&lt;Input!$D$50,Input!$C$51,Input!$D$51),Input!$E$51),Input!$F$51),Input!$G$51),Input!$H$51)</f>
        <v>0.9</v>
      </c>
      <c r="O16" s="60">
        <f t="shared" si="0"/>
        <v>14823000</v>
      </c>
      <c r="P16" s="60">
        <f t="shared" si="3"/>
        <v>31</v>
      </c>
      <c r="Q16" s="60">
        <f t="shared" si="4"/>
        <v>972568256</v>
      </c>
      <c r="R16" s="60">
        <f>ROUND(Q16*$P16*Input!$C$3/365,0)</f>
        <v>12390253</v>
      </c>
      <c r="S16" s="60">
        <f>IF(A16&lt;=Input!$C$6,0,IF('120M'!O16&lt;'120M'!Q16,'120M'!O16-R16,'120M'!Q16))</f>
        <v>2432747</v>
      </c>
      <c r="T16" s="60">
        <f t="shared" si="5"/>
        <v>14823000</v>
      </c>
      <c r="U16" s="60">
        <f t="shared" si="6"/>
        <v>970135509</v>
      </c>
      <c r="V16" s="193"/>
      <c r="W16" s="169">
        <v>12</v>
      </c>
      <c r="X16" s="1">
        <f t="shared" si="28"/>
        <v>45884</v>
      </c>
      <c r="Y16" s="60">
        <f>IF($X16&lt;Input!$H$58,IF($X16&lt;Input!$G$58,IF($X16&lt;Input!$F$58,IF($X16&lt;Input!$E$58,IF($X16&lt;Input!$D$58,Input!$C$64,Input!$D$64),Input!$E$64),Input!$F$64),Input!$G$64),Input!$H$64)</f>
        <v>0</v>
      </c>
      <c r="Z16" s="190">
        <f>IF($A16&lt;Input!$H$65,IF($A16&lt;Input!$G$65,IF($A16&lt;Input!$F$65,IF($A16&lt;Input!$E$65,IF($A16&lt;Input!$D$65,Input!$C$66,Input!$D$66),Input!$E$66),Input!$F$66),Input!$G$66),Input!$H$66)</f>
        <v>0.9</v>
      </c>
      <c r="AA16" s="60">
        <f t="shared" si="7"/>
        <v>0</v>
      </c>
      <c r="AB16" s="60">
        <f t="shared" si="29"/>
        <v>31</v>
      </c>
      <c r="AC16" s="60">
        <f t="shared" si="8"/>
        <v>0</v>
      </c>
      <c r="AD16" s="60">
        <f>ROUND(AC16*AB16*Input!$C$3/365,0)</f>
        <v>0</v>
      </c>
      <c r="AE16" s="61">
        <f>IF($A16&lt;=Input!$C$6,0,IF('120M'!AA16&lt;'120M'!AC16,'120M'!AA16-AD16,'120M'!AC16))</f>
        <v>0</v>
      </c>
      <c r="AF16" s="61">
        <f t="shared" si="9"/>
        <v>0</v>
      </c>
      <c r="AG16" s="60">
        <f t="shared" si="10"/>
        <v>0</v>
      </c>
      <c r="AH16" s="193"/>
      <c r="AI16" s="169">
        <v>12</v>
      </c>
      <c r="AJ16" s="1">
        <f t="shared" si="30"/>
        <v>45884</v>
      </c>
      <c r="AK16" s="60">
        <f>IF($X16&lt;Input!$H$73,IF($X16&lt;Input!$G$73,IF($X16&lt;Input!$F$73,IF($X16&lt;Input!$E$73,IF($X16&lt;Input!$D$73,Input!$C$79,Input!$D$79),Input!$E$79),Input!$F$79),Input!$G$79),Input!$H$79)</f>
        <v>0</v>
      </c>
      <c r="AL16" s="190">
        <f>IF($A16&lt;Input!$H$80,IF($A16&lt;Input!$G$80,IF($A16&lt;Input!$F$80,IF($A16&lt;Input!$E$80,IF($A16&lt;Input!$D$80,Input!$C$81,Input!$D$81),Input!$E$81),Input!$F$81),Input!$G$81),Input!$H$81)</f>
        <v>0.9</v>
      </c>
      <c r="AM16" s="60">
        <f t="shared" si="11"/>
        <v>0</v>
      </c>
      <c r="AN16" s="60">
        <f t="shared" si="31"/>
        <v>31</v>
      </c>
      <c r="AO16" s="60">
        <f t="shared" si="12"/>
        <v>0</v>
      </c>
      <c r="AP16" s="60">
        <f>ROUND(AO16*AN16*Input!$C$3/365,0)</f>
        <v>0</v>
      </c>
      <c r="AQ16" s="61">
        <f>IF($A16&lt;=Input!$C$6,0,IF('120M'!AM16&lt;'120M'!AO16,'120M'!AM16-AP16,'120M'!AO16))</f>
        <v>0</v>
      </c>
      <c r="AR16" s="61">
        <f t="shared" si="13"/>
        <v>0</v>
      </c>
      <c r="AS16" s="60">
        <f t="shared" si="14"/>
        <v>0</v>
      </c>
      <c r="AT16" s="193"/>
      <c r="AU16" s="169">
        <v>12</v>
      </c>
      <c r="AV16" s="1">
        <f t="shared" si="32"/>
        <v>45884</v>
      </c>
      <c r="AW16" s="60">
        <f>IF($X16&lt;Input!$H$88,IF($X16&lt;Input!$G$88,IF($X16&lt;Input!$F$88,IF($X16&lt;Input!$E$88,IF($X16&lt;Input!$D$88,Input!$C$94,Input!$D$94),Input!$E$94),Input!$F$94),Input!$G$94),Input!$H$94)</f>
        <v>0</v>
      </c>
      <c r="AX16" s="190">
        <f>IF($A16&lt;Input!$H$95,IF($A16&lt;Input!$G$95,IF($A16&lt;Input!$F$95,IF($A16&lt;Input!$E$95,IF($A16&lt;Input!$D$95,Input!$C$96,Input!$D$96),Input!$E$96),Input!$F$96),Input!$G$96),Input!$H$96)</f>
        <v>0.9</v>
      </c>
      <c r="AY16" s="60">
        <f t="shared" si="15"/>
        <v>0</v>
      </c>
      <c r="AZ16" s="60">
        <f t="shared" si="33"/>
        <v>31</v>
      </c>
      <c r="BA16" s="60">
        <f t="shared" si="16"/>
        <v>0</v>
      </c>
      <c r="BB16" s="60">
        <f>ROUND(BA16*AZ16*Input!$C$3/365,0)</f>
        <v>0</v>
      </c>
      <c r="BC16" s="61">
        <f>IF($A16&lt;=Input!$C$6,0,IF('120M'!AY16&lt;'120M'!BA16,'120M'!AY16-BB16,'120M'!BA16))</f>
        <v>0</v>
      </c>
      <c r="BD16" s="61">
        <f t="shared" si="17"/>
        <v>0</v>
      </c>
      <c r="BE16" s="60">
        <f t="shared" si="18"/>
        <v>0</v>
      </c>
      <c r="BF16" s="193"/>
      <c r="BG16" s="169">
        <v>12</v>
      </c>
      <c r="BH16" s="1">
        <f t="shared" si="34"/>
        <v>45884</v>
      </c>
      <c r="BI16" s="60">
        <f>IF($X16&lt;Input!$H$103,IF($X16&lt;Input!$G$103,IF($X16&lt;Input!$F$103,IF($X16&lt;Input!$E$103,IF($X16&lt;Input!$D$103,Input!$C$109,Input!$D$109),Input!$E$109),Input!$F$109),Input!$G$109),Input!$H$109)</f>
        <v>0</v>
      </c>
      <c r="BJ16" s="190">
        <f>IF($A16&lt;Input!$H$110,IF($A16&lt;Input!$G$110,IF($A16&lt;Input!$F$110,IF($A16&lt;Input!$E$110,IF($A16&lt;Input!$D$110,Input!$C$111,Input!$D$111),Input!$E$111),Input!$F$111),Input!$G$111),Input!$H$111)</f>
        <v>0.9</v>
      </c>
      <c r="BK16" s="60">
        <f t="shared" si="19"/>
        <v>0</v>
      </c>
      <c r="BL16" s="60">
        <f t="shared" si="35"/>
        <v>31</v>
      </c>
      <c r="BM16" s="60">
        <f t="shared" si="20"/>
        <v>0</v>
      </c>
      <c r="BN16" s="60">
        <f>ROUND(BM16*BL16*Input!$C$3/365,0)</f>
        <v>0</v>
      </c>
      <c r="BO16" s="61">
        <f>IF($A16&lt;=Input!$C$6,0,IF('120M'!BK16&lt;'120M'!BM16,'120M'!BK16-BN16,'120M'!BM16))</f>
        <v>0</v>
      </c>
      <c r="BP16" s="61">
        <f t="shared" si="21"/>
        <v>0</v>
      </c>
      <c r="BQ16" s="60">
        <f t="shared" si="22"/>
        <v>0</v>
      </c>
      <c r="BR16" s="198"/>
    </row>
    <row r="17" spans="1:70" x14ac:dyDescent="0.25">
      <c r="A17" s="169">
        <v>13</v>
      </c>
      <c r="B17" s="1">
        <f t="shared" si="23"/>
        <v>45915</v>
      </c>
      <c r="C17" s="60">
        <f t="shared" si="1"/>
        <v>16470000</v>
      </c>
      <c r="D17" s="60">
        <f t="shared" si="2"/>
        <v>14823000</v>
      </c>
      <c r="E17" s="60">
        <f t="shared" si="24"/>
        <v>31</v>
      </c>
      <c r="F17" s="60">
        <f t="shared" si="25"/>
        <v>970135509</v>
      </c>
      <c r="G17" s="60">
        <f>ROUND(F17*E17*Input!$C$3/365,0)</f>
        <v>12359261</v>
      </c>
      <c r="H17" s="60">
        <f>IF($A17&lt;=Input!$C$6,0,IF('120M'!D17&lt;'120M'!F17,'120M'!D17-G17,'120M'!F17))</f>
        <v>2463739</v>
      </c>
      <c r="I17" s="60">
        <f t="shared" si="26"/>
        <v>14823000</v>
      </c>
      <c r="J17" s="60">
        <f t="shared" si="27"/>
        <v>967671770</v>
      </c>
      <c r="K17" s="202">
        <f>J17/Input!$K$5</f>
        <v>3.2255725666666666</v>
      </c>
      <c r="L17" s="232"/>
      <c r="M17" s="60">
        <f>IF($B17&lt;Input!$H$43,IF($B17&lt;Input!$G$43,IF($B17&lt;Input!$F$43,IF($B17&lt;Input!$E$43,IF($B17&lt;Input!$D$43,Input!$C$49,Input!$D$49),Input!$E$49),Input!$F$49),Input!$G$49),Input!$H$49)</f>
        <v>16470000</v>
      </c>
      <c r="N17" s="190">
        <f>IF($A17&lt;Input!$H$50,IF($A17&lt;Input!$G$50,IF($A17&lt;Input!$F$50,IF($A17&lt;Input!$E$50,IF($A17&lt;Input!$D$50,Input!$C$51,Input!$D$51),Input!$E$51),Input!$F$51),Input!$G$51),Input!$H$51)</f>
        <v>0.9</v>
      </c>
      <c r="O17" s="60">
        <f t="shared" si="0"/>
        <v>14823000</v>
      </c>
      <c r="P17" s="60">
        <f t="shared" si="3"/>
        <v>31</v>
      </c>
      <c r="Q17" s="60">
        <f t="shared" si="4"/>
        <v>970135509</v>
      </c>
      <c r="R17" s="60">
        <f>ROUND(Q17*$P17*Input!$C$3/365,0)</f>
        <v>12359261</v>
      </c>
      <c r="S17" s="60">
        <f>IF(A17&lt;=Input!$C$6,0,IF('120M'!O17&lt;'120M'!Q17,'120M'!O17-R17,'120M'!Q17))</f>
        <v>2463739</v>
      </c>
      <c r="T17" s="60">
        <f t="shared" si="5"/>
        <v>14823000</v>
      </c>
      <c r="U17" s="60">
        <f t="shared" si="6"/>
        <v>967671770</v>
      </c>
      <c r="V17" s="193"/>
      <c r="W17" s="169">
        <v>13</v>
      </c>
      <c r="X17" s="1">
        <f t="shared" si="28"/>
        <v>45915</v>
      </c>
      <c r="Y17" s="60">
        <f>IF($X17&lt;Input!$H$58,IF($X17&lt;Input!$G$58,IF($X17&lt;Input!$F$58,IF($X17&lt;Input!$E$58,IF($X17&lt;Input!$D$58,Input!$C$64,Input!$D$64),Input!$E$64),Input!$F$64),Input!$G$64),Input!$H$64)</f>
        <v>0</v>
      </c>
      <c r="Z17" s="190">
        <f>IF($A17&lt;Input!$H$65,IF($A17&lt;Input!$G$65,IF($A17&lt;Input!$F$65,IF($A17&lt;Input!$E$65,IF($A17&lt;Input!$D$65,Input!$C$66,Input!$D$66),Input!$E$66),Input!$F$66),Input!$G$66),Input!$H$66)</f>
        <v>0.9</v>
      </c>
      <c r="AA17" s="60">
        <f t="shared" si="7"/>
        <v>0</v>
      </c>
      <c r="AB17" s="60">
        <f t="shared" si="29"/>
        <v>31</v>
      </c>
      <c r="AC17" s="60">
        <f t="shared" si="8"/>
        <v>0</v>
      </c>
      <c r="AD17" s="60">
        <f>ROUND(AC17*AB17*Input!$C$3/365,0)</f>
        <v>0</v>
      </c>
      <c r="AE17" s="61">
        <f>IF($A17&lt;=Input!$C$6,0,IF('120M'!AA17&lt;'120M'!AC17,'120M'!AA17-AD17,'120M'!AC17))</f>
        <v>0</v>
      </c>
      <c r="AF17" s="61">
        <f t="shared" si="9"/>
        <v>0</v>
      </c>
      <c r="AG17" s="60">
        <f t="shared" si="10"/>
        <v>0</v>
      </c>
      <c r="AH17" s="193"/>
      <c r="AI17" s="169">
        <v>13</v>
      </c>
      <c r="AJ17" s="1">
        <f t="shared" si="30"/>
        <v>45915</v>
      </c>
      <c r="AK17" s="60">
        <f>IF($X17&lt;Input!$H$73,IF($X17&lt;Input!$G$73,IF($X17&lt;Input!$F$73,IF($X17&lt;Input!$E$73,IF($X17&lt;Input!$D$73,Input!$C$79,Input!$D$79),Input!$E$79),Input!$F$79),Input!$G$79),Input!$H$79)</f>
        <v>0</v>
      </c>
      <c r="AL17" s="190">
        <f>IF($A17&lt;Input!$H$80,IF($A17&lt;Input!$G$80,IF($A17&lt;Input!$F$80,IF($A17&lt;Input!$E$80,IF($A17&lt;Input!$D$80,Input!$C$81,Input!$D$81),Input!$E$81),Input!$F$81),Input!$G$81),Input!$H$81)</f>
        <v>0.9</v>
      </c>
      <c r="AM17" s="60">
        <f t="shared" si="11"/>
        <v>0</v>
      </c>
      <c r="AN17" s="60">
        <f t="shared" si="31"/>
        <v>31</v>
      </c>
      <c r="AO17" s="60">
        <f t="shared" si="12"/>
        <v>0</v>
      </c>
      <c r="AP17" s="60">
        <f>ROUND(AO17*AN17*Input!$C$3/365,0)</f>
        <v>0</v>
      </c>
      <c r="AQ17" s="61">
        <f>IF($A17&lt;=Input!$C$6,0,IF('120M'!AM17&lt;'120M'!AO17,'120M'!AM17-AP17,'120M'!AO17))</f>
        <v>0</v>
      </c>
      <c r="AR17" s="61">
        <f t="shared" si="13"/>
        <v>0</v>
      </c>
      <c r="AS17" s="60">
        <f t="shared" si="14"/>
        <v>0</v>
      </c>
      <c r="AT17" s="193"/>
      <c r="AU17" s="169">
        <v>13</v>
      </c>
      <c r="AV17" s="1">
        <f t="shared" si="32"/>
        <v>45915</v>
      </c>
      <c r="AW17" s="60">
        <f>IF($X17&lt;Input!$H$88,IF($X17&lt;Input!$G$88,IF($X17&lt;Input!$F$88,IF($X17&lt;Input!$E$88,IF($X17&lt;Input!$D$88,Input!$C$94,Input!$D$94),Input!$E$94),Input!$F$94),Input!$G$94),Input!$H$94)</f>
        <v>0</v>
      </c>
      <c r="AX17" s="190">
        <f>IF($A17&lt;Input!$H$95,IF($A17&lt;Input!$G$95,IF($A17&lt;Input!$F$95,IF($A17&lt;Input!$E$95,IF($A17&lt;Input!$D$95,Input!$C$96,Input!$D$96),Input!$E$96),Input!$F$96),Input!$G$96),Input!$H$96)</f>
        <v>0.9</v>
      </c>
      <c r="AY17" s="60">
        <f t="shared" si="15"/>
        <v>0</v>
      </c>
      <c r="AZ17" s="60">
        <f t="shared" si="33"/>
        <v>31</v>
      </c>
      <c r="BA17" s="60">
        <f t="shared" si="16"/>
        <v>0</v>
      </c>
      <c r="BB17" s="60">
        <f>ROUND(BA17*AZ17*Input!$C$3/365,0)</f>
        <v>0</v>
      </c>
      <c r="BC17" s="61">
        <f>IF($A17&lt;=Input!$C$6,0,IF('120M'!AY17&lt;'120M'!BA17,'120M'!AY17-BB17,'120M'!BA17))</f>
        <v>0</v>
      </c>
      <c r="BD17" s="61">
        <f t="shared" si="17"/>
        <v>0</v>
      </c>
      <c r="BE17" s="60">
        <f t="shared" si="18"/>
        <v>0</v>
      </c>
      <c r="BF17" s="193"/>
      <c r="BG17" s="169">
        <v>13</v>
      </c>
      <c r="BH17" s="1">
        <f t="shared" si="34"/>
        <v>45915</v>
      </c>
      <c r="BI17" s="60">
        <f>IF($X17&lt;Input!$H$103,IF($X17&lt;Input!$G$103,IF($X17&lt;Input!$F$103,IF($X17&lt;Input!$E$103,IF($X17&lt;Input!$D$103,Input!$C$109,Input!$D$109),Input!$E$109),Input!$F$109),Input!$G$109),Input!$H$109)</f>
        <v>0</v>
      </c>
      <c r="BJ17" s="190">
        <f>IF($A17&lt;Input!$H$110,IF($A17&lt;Input!$G$110,IF($A17&lt;Input!$F$110,IF($A17&lt;Input!$E$110,IF($A17&lt;Input!$D$110,Input!$C$111,Input!$D$111),Input!$E$111),Input!$F$111),Input!$G$111),Input!$H$111)</f>
        <v>0.9</v>
      </c>
      <c r="BK17" s="60">
        <f t="shared" si="19"/>
        <v>0</v>
      </c>
      <c r="BL17" s="60">
        <f t="shared" si="35"/>
        <v>31</v>
      </c>
      <c r="BM17" s="60">
        <f t="shared" si="20"/>
        <v>0</v>
      </c>
      <c r="BN17" s="60">
        <f>ROUND(BM17*BL17*Input!$C$3/365,0)</f>
        <v>0</v>
      </c>
      <c r="BO17" s="61">
        <f>IF($A17&lt;=Input!$C$6,0,IF('120M'!BK17&lt;'120M'!BM17,'120M'!BK17-BN17,'120M'!BM17))</f>
        <v>0</v>
      </c>
      <c r="BP17" s="61">
        <f t="shared" si="21"/>
        <v>0</v>
      </c>
      <c r="BQ17" s="60">
        <f t="shared" si="22"/>
        <v>0</v>
      </c>
      <c r="BR17" s="198"/>
    </row>
    <row r="18" spans="1:70" x14ac:dyDescent="0.25">
      <c r="A18" s="169">
        <v>14</v>
      </c>
      <c r="B18" s="1">
        <f t="shared" si="23"/>
        <v>45945</v>
      </c>
      <c r="C18" s="60">
        <f t="shared" si="1"/>
        <v>16470000</v>
      </c>
      <c r="D18" s="60">
        <f t="shared" si="2"/>
        <v>14823000</v>
      </c>
      <c r="E18" s="60">
        <f t="shared" si="24"/>
        <v>30</v>
      </c>
      <c r="F18" s="60">
        <f t="shared" si="25"/>
        <v>967671770</v>
      </c>
      <c r="G18" s="60">
        <f>ROUND(F18*E18*Input!$C$3/365,0)</f>
        <v>11930200</v>
      </c>
      <c r="H18" s="60">
        <f>IF($A18&lt;=Input!$C$6,0,IF('120M'!D18&lt;'120M'!F18,'120M'!D18-G18,'120M'!F18))</f>
        <v>2892800</v>
      </c>
      <c r="I18" s="60">
        <f t="shared" si="26"/>
        <v>14823000</v>
      </c>
      <c r="J18" s="60">
        <f t="shared" si="27"/>
        <v>964778970</v>
      </c>
      <c r="K18" s="202">
        <f>J18/Input!$K$5</f>
        <v>3.2159298999999999</v>
      </c>
      <c r="L18" s="232"/>
      <c r="M18" s="60">
        <f>IF($B18&lt;Input!$H$43,IF($B18&lt;Input!$G$43,IF($B18&lt;Input!$F$43,IF($B18&lt;Input!$E$43,IF($B18&lt;Input!$D$43,Input!$C$49,Input!$D$49),Input!$E$49),Input!$F$49),Input!$G$49),Input!$H$49)</f>
        <v>16470000</v>
      </c>
      <c r="N18" s="190">
        <f>IF($A18&lt;Input!$H$50,IF($A18&lt;Input!$G$50,IF($A18&lt;Input!$F$50,IF($A18&lt;Input!$E$50,IF($A18&lt;Input!$D$50,Input!$C$51,Input!$D$51),Input!$E$51),Input!$F$51),Input!$G$51),Input!$H$51)</f>
        <v>0.9</v>
      </c>
      <c r="O18" s="60">
        <f t="shared" si="0"/>
        <v>14823000</v>
      </c>
      <c r="P18" s="60">
        <f t="shared" si="3"/>
        <v>30</v>
      </c>
      <c r="Q18" s="60">
        <f t="shared" si="4"/>
        <v>967671770</v>
      </c>
      <c r="R18" s="60">
        <f>ROUND(Q18*$P18*Input!$C$3/365,0)</f>
        <v>11930200</v>
      </c>
      <c r="S18" s="60">
        <f>IF(A18&lt;=Input!$C$6,0,IF('120M'!O18&lt;'120M'!Q18,'120M'!O18-R18,'120M'!Q18))</f>
        <v>2892800</v>
      </c>
      <c r="T18" s="60">
        <f t="shared" si="5"/>
        <v>14823000</v>
      </c>
      <c r="U18" s="60">
        <f t="shared" si="6"/>
        <v>964778970</v>
      </c>
      <c r="V18" s="193"/>
      <c r="W18" s="169">
        <v>14</v>
      </c>
      <c r="X18" s="1">
        <f t="shared" si="28"/>
        <v>45945</v>
      </c>
      <c r="Y18" s="60">
        <f>IF($X18&lt;Input!$H$58,IF($X18&lt;Input!$G$58,IF($X18&lt;Input!$F$58,IF($X18&lt;Input!$E$58,IF($X18&lt;Input!$D$58,Input!$C$64,Input!$D$64),Input!$E$64),Input!$F$64),Input!$G$64),Input!$H$64)</f>
        <v>0</v>
      </c>
      <c r="Z18" s="190">
        <f>IF($A18&lt;Input!$H$65,IF($A18&lt;Input!$G$65,IF($A18&lt;Input!$F$65,IF($A18&lt;Input!$E$65,IF($A18&lt;Input!$D$65,Input!$C$66,Input!$D$66),Input!$E$66),Input!$F$66),Input!$G$66),Input!$H$66)</f>
        <v>0.9</v>
      </c>
      <c r="AA18" s="60">
        <f t="shared" si="7"/>
        <v>0</v>
      </c>
      <c r="AB18" s="60">
        <f t="shared" si="29"/>
        <v>30</v>
      </c>
      <c r="AC18" s="60">
        <f t="shared" si="8"/>
        <v>0</v>
      </c>
      <c r="AD18" s="60">
        <f>ROUND(AC18*AB18*Input!$C$3/365,0)</f>
        <v>0</v>
      </c>
      <c r="AE18" s="61">
        <f>IF($A18&lt;=Input!$C$6,0,IF('120M'!AA18&lt;'120M'!AC18,'120M'!AA18-AD18,'120M'!AC18))</f>
        <v>0</v>
      </c>
      <c r="AF18" s="61">
        <f t="shared" si="9"/>
        <v>0</v>
      </c>
      <c r="AG18" s="60">
        <f t="shared" si="10"/>
        <v>0</v>
      </c>
      <c r="AH18" s="193"/>
      <c r="AI18" s="169">
        <v>14</v>
      </c>
      <c r="AJ18" s="1">
        <f t="shared" si="30"/>
        <v>45945</v>
      </c>
      <c r="AK18" s="60">
        <f>IF($X18&lt;Input!$H$73,IF($X18&lt;Input!$G$73,IF($X18&lt;Input!$F$73,IF($X18&lt;Input!$E$73,IF($X18&lt;Input!$D$73,Input!$C$79,Input!$D$79),Input!$E$79),Input!$F$79),Input!$G$79),Input!$H$79)</f>
        <v>0</v>
      </c>
      <c r="AL18" s="190">
        <f>IF($A18&lt;Input!$H$80,IF($A18&lt;Input!$G$80,IF($A18&lt;Input!$F$80,IF($A18&lt;Input!$E$80,IF($A18&lt;Input!$D$80,Input!$C$81,Input!$D$81),Input!$E$81),Input!$F$81),Input!$G$81),Input!$H$81)</f>
        <v>0.9</v>
      </c>
      <c r="AM18" s="60">
        <f t="shared" si="11"/>
        <v>0</v>
      </c>
      <c r="AN18" s="60">
        <f t="shared" si="31"/>
        <v>30</v>
      </c>
      <c r="AO18" s="60">
        <f t="shared" si="12"/>
        <v>0</v>
      </c>
      <c r="AP18" s="60">
        <f>ROUND(AO18*AN18*Input!$C$3/365,0)</f>
        <v>0</v>
      </c>
      <c r="AQ18" s="61">
        <f>IF($A18&lt;=Input!$C$6,0,IF('120M'!AM18&lt;'120M'!AO18,'120M'!AM18-AP18,'120M'!AO18))</f>
        <v>0</v>
      </c>
      <c r="AR18" s="61">
        <f t="shared" si="13"/>
        <v>0</v>
      </c>
      <c r="AS18" s="60">
        <f t="shared" si="14"/>
        <v>0</v>
      </c>
      <c r="AT18" s="193"/>
      <c r="AU18" s="169">
        <v>14</v>
      </c>
      <c r="AV18" s="1">
        <f t="shared" si="32"/>
        <v>45945</v>
      </c>
      <c r="AW18" s="60">
        <f>IF($X18&lt;Input!$H$88,IF($X18&lt;Input!$G$88,IF($X18&lt;Input!$F$88,IF($X18&lt;Input!$E$88,IF($X18&lt;Input!$D$88,Input!$C$94,Input!$D$94),Input!$E$94),Input!$F$94),Input!$G$94),Input!$H$94)</f>
        <v>0</v>
      </c>
      <c r="AX18" s="190">
        <f>IF($A18&lt;Input!$H$95,IF($A18&lt;Input!$G$95,IF($A18&lt;Input!$F$95,IF($A18&lt;Input!$E$95,IF($A18&lt;Input!$D$95,Input!$C$96,Input!$D$96),Input!$E$96),Input!$F$96),Input!$G$96),Input!$H$96)</f>
        <v>0.9</v>
      </c>
      <c r="AY18" s="60">
        <f t="shared" si="15"/>
        <v>0</v>
      </c>
      <c r="AZ18" s="60">
        <f t="shared" si="33"/>
        <v>30</v>
      </c>
      <c r="BA18" s="60">
        <f t="shared" si="16"/>
        <v>0</v>
      </c>
      <c r="BB18" s="60">
        <f>ROUND(BA18*AZ18*Input!$C$3/365,0)</f>
        <v>0</v>
      </c>
      <c r="BC18" s="61">
        <f>IF($A18&lt;=Input!$C$6,0,IF('120M'!AY18&lt;'120M'!BA18,'120M'!AY18-BB18,'120M'!BA18))</f>
        <v>0</v>
      </c>
      <c r="BD18" s="61">
        <f t="shared" si="17"/>
        <v>0</v>
      </c>
      <c r="BE18" s="60">
        <f t="shared" si="18"/>
        <v>0</v>
      </c>
      <c r="BF18" s="193"/>
      <c r="BG18" s="169">
        <v>14</v>
      </c>
      <c r="BH18" s="1">
        <f t="shared" si="34"/>
        <v>45945</v>
      </c>
      <c r="BI18" s="60">
        <f>IF($X18&lt;Input!$H$103,IF($X18&lt;Input!$G$103,IF($X18&lt;Input!$F$103,IF($X18&lt;Input!$E$103,IF($X18&lt;Input!$D$103,Input!$C$109,Input!$D$109),Input!$E$109),Input!$F$109),Input!$G$109),Input!$H$109)</f>
        <v>0</v>
      </c>
      <c r="BJ18" s="190">
        <f>IF($A18&lt;Input!$H$110,IF($A18&lt;Input!$G$110,IF($A18&lt;Input!$F$110,IF($A18&lt;Input!$E$110,IF($A18&lt;Input!$D$110,Input!$C$111,Input!$D$111),Input!$E$111),Input!$F$111),Input!$G$111),Input!$H$111)</f>
        <v>0.9</v>
      </c>
      <c r="BK18" s="60">
        <f t="shared" si="19"/>
        <v>0</v>
      </c>
      <c r="BL18" s="60">
        <f t="shared" si="35"/>
        <v>30</v>
      </c>
      <c r="BM18" s="60">
        <f t="shared" si="20"/>
        <v>0</v>
      </c>
      <c r="BN18" s="60">
        <f>ROUND(BM18*BL18*Input!$C$3/365,0)</f>
        <v>0</v>
      </c>
      <c r="BO18" s="61">
        <f>IF($A18&lt;=Input!$C$6,0,IF('120M'!BK18&lt;'120M'!BM18,'120M'!BK18-BN18,'120M'!BM18))</f>
        <v>0</v>
      </c>
      <c r="BP18" s="61">
        <f t="shared" si="21"/>
        <v>0</v>
      </c>
      <c r="BQ18" s="60">
        <f t="shared" si="22"/>
        <v>0</v>
      </c>
      <c r="BR18" s="198"/>
    </row>
    <row r="19" spans="1:70" x14ac:dyDescent="0.25">
      <c r="A19" s="169">
        <v>15</v>
      </c>
      <c r="B19" s="1">
        <f t="shared" si="23"/>
        <v>45976</v>
      </c>
      <c r="C19" s="60">
        <f t="shared" si="1"/>
        <v>16470000</v>
      </c>
      <c r="D19" s="60">
        <f t="shared" si="2"/>
        <v>14823000</v>
      </c>
      <c r="E19" s="60">
        <f t="shared" si="24"/>
        <v>31</v>
      </c>
      <c r="F19" s="60">
        <f t="shared" si="25"/>
        <v>964778970</v>
      </c>
      <c r="G19" s="60">
        <f>ROUND(F19*E19*Input!$C$3/365,0)</f>
        <v>12291020</v>
      </c>
      <c r="H19" s="60">
        <f>IF($A19&lt;=Input!$C$6,0,IF('120M'!D19&lt;'120M'!F19,'120M'!D19-G19,'120M'!F19))</f>
        <v>2531980</v>
      </c>
      <c r="I19" s="60">
        <f t="shared" si="26"/>
        <v>14823000</v>
      </c>
      <c r="J19" s="60">
        <f t="shared" si="27"/>
        <v>962246990</v>
      </c>
      <c r="K19" s="202">
        <f>J19/Input!$K$5</f>
        <v>3.2074899666666665</v>
      </c>
      <c r="L19" s="232"/>
      <c r="M19" s="60">
        <f>IF($B19&lt;Input!$H$43,IF($B19&lt;Input!$G$43,IF($B19&lt;Input!$F$43,IF($B19&lt;Input!$E$43,IF($B19&lt;Input!$D$43,Input!$C$49,Input!$D$49),Input!$E$49),Input!$F$49),Input!$G$49),Input!$H$49)</f>
        <v>16470000</v>
      </c>
      <c r="N19" s="190">
        <f>IF($A19&lt;Input!$H$50,IF($A19&lt;Input!$G$50,IF($A19&lt;Input!$F$50,IF($A19&lt;Input!$E$50,IF($A19&lt;Input!$D$50,Input!$C$51,Input!$D$51),Input!$E$51),Input!$F$51),Input!$G$51),Input!$H$51)</f>
        <v>0.9</v>
      </c>
      <c r="O19" s="60">
        <f t="shared" si="0"/>
        <v>14823000</v>
      </c>
      <c r="P19" s="60">
        <f t="shared" si="3"/>
        <v>31</v>
      </c>
      <c r="Q19" s="60">
        <f t="shared" si="4"/>
        <v>964778970</v>
      </c>
      <c r="R19" s="60">
        <f>ROUND(Q19*$P19*Input!$C$3/365,0)</f>
        <v>12291020</v>
      </c>
      <c r="S19" s="60">
        <f>IF(A19&lt;=Input!$C$6,0,IF('120M'!O19&lt;'120M'!Q19,'120M'!O19-R19,'120M'!Q19))</f>
        <v>2531980</v>
      </c>
      <c r="T19" s="60">
        <f t="shared" si="5"/>
        <v>14823000</v>
      </c>
      <c r="U19" s="60">
        <f t="shared" si="6"/>
        <v>962246990</v>
      </c>
      <c r="V19" s="193"/>
      <c r="W19" s="169">
        <v>15</v>
      </c>
      <c r="X19" s="1">
        <f t="shared" si="28"/>
        <v>45976</v>
      </c>
      <c r="Y19" s="60">
        <f>IF($X19&lt;Input!$H$58,IF($X19&lt;Input!$G$58,IF($X19&lt;Input!$F$58,IF($X19&lt;Input!$E$58,IF($X19&lt;Input!$D$58,Input!$C$64,Input!$D$64),Input!$E$64),Input!$F$64),Input!$G$64),Input!$H$64)</f>
        <v>0</v>
      </c>
      <c r="Z19" s="190">
        <f>IF($A19&lt;Input!$H$65,IF($A19&lt;Input!$G$65,IF($A19&lt;Input!$F$65,IF($A19&lt;Input!$E$65,IF($A19&lt;Input!$D$65,Input!$C$66,Input!$D$66),Input!$E$66),Input!$F$66),Input!$G$66),Input!$H$66)</f>
        <v>0.9</v>
      </c>
      <c r="AA19" s="60">
        <f t="shared" si="7"/>
        <v>0</v>
      </c>
      <c r="AB19" s="60">
        <f t="shared" si="29"/>
        <v>31</v>
      </c>
      <c r="AC19" s="60">
        <f t="shared" si="8"/>
        <v>0</v>
      </c>
      <c r="AD19" s="60">
        <f>ROUND(AC19*AB19*Input!$C$3/365,0)</f>
        <v>0</v>
      </c>
      <c r="AE19" s="61">
        <f>IF($A19&lt;=Input!$C$6,0,IF('120M'!AA19&lt;'120M'!AC19,'120M'!AA19-AD19,'120M'!AC19))</f>
        <v>0</v>
      </c>
      <c r="AF19" s="61">
        <f t="shared" si="9"/>
        <v>0</v>
      </c>
      <c r="AG19" s="60">
        <f t="shared" si="10"/>
        <v>0</v>
      </c>
      <c r="AH19" s="193"/>
      <c r="AI19" s="169">
        <v>15</v>
      </c>
      <c r="AJ19" s="1">
        <f t="shared" si="30"/>
        <v>45976</v>
      </c>
      <c r="AK19" s="60">
        <f>IF($X19&lt;Input!$H$73,IF($X19&lt;Input!$G$73,IF($X19&lt;Input!$F$73,IF($X19&lt;Input!$E$73,IF($X19&lt;Input!$D$73,Input!$C$79,Input!$D$79),Input!$E$79),Input!$F$79),Input!$G$79),Input!$H$79)</f>
        <v>0</v>
      </c>
      <c r="AL19" s="190">
        <f>IF($A19&lt;Input!$H$80,IF($A19&lt;Input!$G$80,IF($A19&lt;Input!$F$80,IF($A19&lt;Input!$E$80,IF($A19&lt;Input!$D$80,Input!$C$81,Input!$D$81),Input!$E$81),Input!$F$81),Input!$G$81),Input!$H$81)</f>
        <v>0.9</v>
      </c>
      <c r="AM19" s="60">
        <f t="shared" si="11"/>
        <v>0</v>
      </c>
      <c r="AN19" s="60">
        <f t="shared" si="31"/>
        <v>31</v>
      </c>
      <c r="AO19" s="60">
        <f t="shared" si="12"/>
        <v>0</v>
      </c>
      <c r="AP19" s="60">
        <f>ROUND(AO19*AN19*Input!$C$3/365,0)</f>
        <v>0</v>
      </c>
      <c r="AQ19" s="61">
        <f>IF($A19&lt;=Input!$C$6,0,IF('120M'!AM19&lt;'120M'!AO19,'120M'!AM19-AP19,'120M'!AO19))</f>
        <v>0</v>
      </c>
      <c r="AR19" s="61">
        <f t="shared" si="13"/>
        <v>0</v>
      </c>
      <c r="AS19" s="60">
        <f t="shared" si="14"/>
        <v>0</v>
      </c>
      <c r="AT19" s="193"/>
      <c r="AU19" s="169">
        <v>15</v>
      </c>
      <c r="AV19" s="1">
        <f t="shared" si="32"/>
        <v>45976</v>
      </c>
      <c r="AW19" s="60">
        <f>IF($X19&lt;Input!$H$88,IF($X19&lt;Input!$G$88,IF($X19&lt;Input!$F$88,IF($X19&lt;Input!$E$88,IF($X19&lt;Input!$D$88,Input!$C$94,Input!$D$94),Input!$E$94),Input!$F$94),Input!$G$94),Input!$H$94)</f>
        <v>0</v>
      </c>
      <c r="AX19" s="190">
        <f>IF($A19&lt;Input!$H$95,IF($A19&lt;Input!$G$95,IF($A19&lt;Input!$F$95,IF($A19&lt;Input!$E$95,IF($A19&lt;Input!$D$95,Input!$C$96,Input!$D$96),Input!$E$96),Input!$F$96),Input!$G$96),Input!$H$96)</f>
        <v>0.9</v>
      </c>
      <c r="AY19" s="60">
        <f t="shared" si="15"/>
        <v>0</v>
      </c>
      <c r="AZ19" s="60">
        <f t="shared" si="33"/>
        <v>31</v>
      </c>
      <c r="BA19" s="60">
        <f t="shared" si="16"/>
        <v>0</v>
      </c>
      <c r="BB19" s="60">
        <f>ROUND(BA19*AZ19*Input!$C$3/365,0)</f>
        <v>0</v>
      </c>
      <c r="BC19" s="61">
        <f>IF($A19&lt;=Input!$C$6,0,IF('120M'!AY19&lt;'120M'!BA19,'120M'!AY19-BB19,'120M'!BA19))</f>
        <v>0</v>
      </c>
      <c r="BD19" s="61">
        <f t="shared" si="17"/>
        <v>0</v>
      </c>
      <c r="BE19" s="60">
        <f t="shared" si="18"/>
        <v>0</v>
      </c>
      <c r="BF19" s="193"/>
      <c r="BG19" s="169">
        <v>15</v>
      </c>
      <c r="BH19" s="1">
        <f t="shared" si="34"/>
        <v>45976</v>
      </c>
      <c r="BI19" s="60">
        <f>IF($X19&lt;Input!$H$103,IF($X19&lt;Input!$G$103,IF($X19&lt;Input!$F$103,IF($X19&lt;Input!$E$103,IF($X19&lt;Input!$D$103,Input!$C$109,Input!$D$109),Input!$E$109),Input!$F$109),Input!$G$109),Input!$H$109)</f>
        <v>0</v>
      </c>
      <c r="BJ19" s="190">
        <f>IF($A19&lt;Input!$H$110,IF($A19&lt;Input!$G$110,IF($A19&lt;Input!$F$110,IF($A19&lt;Input!$E$110,IF($A19&lt;Input!$D$110,Input!$C$111,Input!$D$111),Input!$E$111),Input!$F$111),Input!$G$111),Input!$H$111)</f>
        <v>0.9</v>
      </c>
      <c r="BK19" s="60">
        <f t="shared" si="19"/>
        <v>0</v>
      </c>
      <c r="BL19" s="60">
        <f t="shared" si="35"/>
        <v>31</v>
      </c>
      <c r="BM19" s="60">
        <f t="shared" si="20"/>
        <v>0</v>
      </c>
      <c r="BN19" s="60">
        <f>ROUND(BM19*BL19*Input!$C$3/365,0)</f>
        <v>0</v>
      </c>
      <c r="BO19" s="61">
        <f>IF($A19&lt;=Input!$C$6,0,IF('120M'!BK19&lt;'120M'!BM19,'120M'!BK19-BN19,'120M'!BM19))</f>
        <v>0</v>
      </c>
      <c r="BP19" s="61">
        <f t="shared" si="21"/>
        <v>0</v>
      </c>
      <c r="BQ19" s="60">
        <f t="shared" si="22"/>
        <v>0</v>
      </c>
      <c r="BR19" s="198"/>
    </row>
    <row r="20" spans="1:70" x14ac:dyDescent="0.25">
      <c r="A20" s="169">
        <v>16</v>
      </c>
      <c r="B20" s="1">
        <f t="shared" si="23"/>
        <v>46006</v>
      </c>
      <c r="C20" s="60">
        <f t="shared" si="1"/>
        <v>16470000</v>
      </c>
      <c r="D20" s="60">
        <f t="shared" si="2"/>
        <v>14823000</v>
      </c>
      <c r="E20" s="60">
        <f t="shared" si="24"/>
        <v>30</v>
      </c>
      <c r="F20" s="60">
        <f t="shared" si="25"/>
        <v>962246990</v>
      </c>
      <c r="G20" s="60">
        <f>ROUND(F20*E20*Input!$C$3/365,0)</f>
        <v>11863319</v>
      </c>
      <c r="H20" s="60">
        <f>IF($A20&lt;=Input!$C$6,0,IF('120M'!D20&lt;'120M'!F20,'120M'!D20-G20,'120M'!F20))</f>
        <v>2959681</v>
      </c>
      <c r="I20" s="60">
        <f t="shared" si="26"/>
        <v>14823000</v>
      </c>
      <c r="J20" s="60">
        <f t="shared" si="27"/>
        <v>959287309</v>
      </c>
      <c r="K20" s="202">
        <f>J20/Input!$K$5</f>
        <v>3.1976243633333334</v>
      </c>
      <c r="L20" s="232"/>
      <c r="M20" s="60">
        <f>IF($B20&lt;Input!$H$43,IF($B20&lt;Input!$G$43,IF($B20&lt;Input!$F$43,IF($B20&lt;Input!$E$43,IF($B20&lt;Input!$D$43,Input!$C$49,Input!$D$49),Input!$E$49),Input!$F$49),Input!$G$49),Input!$H$49)</f>
        <v>16470000</v>
      </c>
      <c r="N20" s="190">
        <f>IF($A20&lt;Input!$H$50,IF($A20&lt;Input!$G$50,IF($A20&lt;Input!$F$50,IF($A20&lt;Input!$E$50,IF($A20&lt;Input!$D$50,Input!$C$51,Input!$D$51),Input!$E$51),Input!$F$51),Input!$G$51),Input!$H$51)</f>
        <v>0.9</v>
      </c>
      <c r="O20" s="60">
        <f t="shared" si="0"/>
        <v>14823000</v>
      </c>
      <c r="P20" s="60">
        <f t="shared" si="3"/>
        <v>30</v>
      </c>
      <c r="Q20" s="60">
        <f t="shared" si="4"/>
        <v>962246990</v>
      </c>
      <c r="R20" s="60">
        <f>ROUND(Q20*$P20*Input!$C$3/365,0)</f>
        <v>11863319</v>
      </c>
      <c r="S20" s="60">
        <f>IF(A20&lt;=Input!$C$6,0,IF('120M'!O20&lt;'120M'!Q20,'120M'!O20-R20,'120M'!Q20))</f>
        <v>2959681</v>
      </c>
      <c r="T20" s="60">
        <f t="shared" si="5"/>
        <v>14823000</v>
      </c>
      <c r="U20" s="60">
        <f t="shared" si="6"/>
        <v>959287309</v>
      </c>
      <c r="V20" s="193"/>
      <c r="W20" s="169">
        <v>16</v>
      </c>
      <c r="X20" s="1">
        <f t="shared" si="28"/>
        <v>46006</v>
      </c>
      <c r="Y20" s="60">
        <f>IF($X20&lt;Input!$H$58,IF($X20&lt;Input!$G$58,IF($X20&lt;Input!$F$58,IF($X20&lt;Input!$E$58,IF($X20&lt;Input!$D$58,Input!$C$64,Input!$D$64),Input!$E$64),Input!$F$64),Input!$G$64),Input!$H$64)</f>
        <v>0</v>
      </c>
      <c r="Z20" s="190">
        <f>IF($A20&lt;Input!$H$65,IF($A20&lt;Input!$G$65,IF($A20&lt;Input!$F$65,IF($A20&lt;Input!$E$65,IF($A20&lt;Input!$D$65,Input!$C$66,Input!$D$66),Input!$E$66),Input!$F$66),Input!$G$66),Input!$H$66)</f>
        <v>0.9</v>
      </c>
      <c r="AA20" s="60">
        <f t="shared" si="7"/>
        <v>0</v>
      </c>
      <c r="AB20" s="60">
        <f t="shared" si="29"/>
        <v>30</v>
      </c>
      <c r="AC20" s="60">
        <f t="shared" si="8"/>
        <v>0</v>
      </c>
      <c r="AD20" s="60">
        <f>ROUND(AC20*AB20*Input!$C$3/365,0)</f>
        <v>0</v>
      </c>
      <c r="AE20" s="61">
        <f>IF($A20&lt;=Input!$C$6,0,IF('120M'!AA20&lt;'120M'!AC20,'120M'!AA20-AD20,'120M'!AC20))</f>
        <v>0</v>
      </c>
      <c r="AF20" s="61">
        <f t="shared" si="9"/>
        <v>0</v>
      </c>
      <c r="AG20" s="60">
        <f t="shared" si="10"/>
        <v>0</v>
      </c>
      <c r="AH20" s="193"/>
      <c r="AI20" s="169">
        <v>16</v>
      </c>
      <c r="AJ20" s="1">
        <f t="shared" si="30"/>
        <v>46006</v>
      </c>
      <c r="AK20" s="60">
        <f>IF($X20&lt;Input!$H$73,IF($X20&lt;Input!$G$73,IF($X20&lt;Input!$F$73,IF($X20&lt;Input!$E$73,IF($X20&lt;Input!$D$73,Input!$C$79,Input!$D$79),Input!$E$79),Input!$F$79),Input!$G$79),Input!$H$79)</f>
        <v>0</v>
      </c>
      <c r="AL20" s="190">
        <f>IF($A20&lt;Input!$H$80,IF($A20&lt;Input!$G$80,IF($A20&lt;Input!$F$80,IF($A20&lt;Input!$E$80,IF($A20&lt;Input!$D$80,Input!$C$81,Input!$D$81),Input!$E$81),Input!$F$81),Input!$G$81),Input!$H$81)</f>
        <v>0.9</v>
      </c>
      <c r="AM20" s="60">
        <f t="shared" si="11"/>
        <v>0</v>
      </c>
      <c r="AN20" s="60">
        <f t="shared" si="31"/>
        <v>30</v>
      </c>
      <c r="AO20" s="60">
        <f t="shared" si="12"/>
        <v>0</v>
      </c>
      <c r="AP20" s="60">
        <f>ROUND(AO20*AN20*Input!$C$3/365,0)</f>
        <v>0</v>
      </c>
      <c r="AQ20" s="61">
        <f>IF($A20&lt;=Input!$C$6,0,IF('120M'!AM20&lt;'120M'!AO20,'120M'!AM20-AP20,'120M'!AO20))</f>
        <v>0</v>
      </c>
      <c r="AR20" s="61">
        <f t="shared" si="13"/>
        <v>0</v>
      </c>
      <c r="AS20" s="60">
        <f t="shared" si="14"/>
        <v>0</v>
      </c>
      <c r="AT20" s="193"/>
      <c r="AU20" s="169">
        <v>16</v>
      </c>
      <c r="AV20" s="1">
        <f t="shared" si="32"/>
        <v>46006</v>
      </c>
      <c r="AW20" s="60">
        <f>IF($X20&lt;Input!$H$88,IF($X20&lt;Input!$G$88,IF($X20&lt;Input!$F$88,IF($X20&lt;Input!$E$88,IF($X20&lt;Input!$D$88,Input!$C$94,Input!$D$94),Input!$E$94),Input!$F$94),Input!$G$94),Input!$H$94)</f>
        <v>0</v>
      </c>
      <c r="AX20" s="190">
        <f>IF($A20&lt;Input!$H$95,IF($A20&lt;Input!$G$95,IF($A20&lt;Input!$F$95,IF($A20&lt;Input!$E$95,IF($A20&lt;Input!$D$95,Input!$C$96,Input!$D$96),Input!$E$96),Input!$F$96),Input!$G$96),Input!$H$96)</f>
        <v>0.9</v>
      </c>
      <c r="AY20" s="60">
        <f t="shared" si="15"/>
        <v>0</v>
      </c>
      <c r="AZ20" s="60">
        <f t="shared" si="33"/>
        <v>30</v>
      </c>
      <c r="BA20" s="60">
        <f t="shared" si="16"/>
        <v>0</v>
      </c>
      <c r="BB20" s="60">
        <f>ROUND(BA20*AZ20*Input!$C$3/365,0)</f>
        <v>0</v>
      </c>
      <c r="BC20" s="61">
        <f>IF($A20&lt;=Input!$C$6,0,IF('120M'!AY20&lt;'120M'!BA20,'120M'!AY20-BB20,'120M'!BA20))</f>
        <v>0</v>
      </c>
      <c r="BD20" s="61">
        <f t="shared" si="17"/>
        <v>0</v>
      </c>
      <c r="BE20" s="60">
        <f t="shared" si="18"/>
        <v>0</v>
      </c>
      <c r="BF20" s="193"/>
      <c r="BG20" s="169">
        <v>16</v>
      </c>
      <c r="BH20" s="1">
        <f t="shared" si="34"/>
        <v>46006</v>
      </c>
      <c r="BI20" s="60">
        <f>IF($X20&lt;Input!$H$103,IF($X20&lt;Input!$G$103,IF($X20&lt;Input!$F$103,IF($X20&lt;Input!$E$103,IF($X20&lt;Input!$D$103,Input!$C$109,Input!$D$109),Input!$E$109),Input!$F$109),Input!$G$109),Input!$H$109)</f>
        <v>0</v>
      </c>
      <c r="BJ20" s="190">
        <f>IF($A20&lt;Input!$H$110,IF($A20&lt;Input!$G$110,IF($A20&lt;Input!$F$110,IF($A20&lt;Input!$E$110,IF($A20&lt;Input!$D$110,Input!$C$111,Input!$D$111),Input!$E$111),Input!$F$111),Input!$G$111),Input!$H$111)</f>
        <v>0.9</v>
      </c>
      <c r="BK20" s="60">
        <f t="shared" si="19"/>
        <v>0</v>
      </c>
      <c r="BL20" s="60">
        <f t="shared" si="35"/>
        <v>30</v>
      </c>
      <c r="BM20" s="60">
        <f t="shared" si="20"/>
        <v>0</v>
      </c>
      <c r="BN20" s="60">
        <f>ROUND(BM20*BL20*Input!$C$3/365,0)</f>
        <v>0</v>
      </c>
      <c r="BO20" s="61">
        <f>IF($A20&lt;=Input!$C$6,0,IF('120M'!BK20&lt;'120M'!BM20,'120M'!BK20-BN20,'120M'!BM20))</f>
        <v>0</v>
      </c>
      <c r="BP20" s="61">
        <f t="shared" si="21"/>
        <v>0</v>
      </c>
      <c r="BQ20" s="60">
        <f t="shared" si="22"/>
        <v>0</v>
      </c>
      <c r="BR20" s="198"/>
    </row>
    <row r="21" spans="1:70" x14ac:dyDescent="0.25">
      <c r="A21" s="169">
        <v>17</v>
      </c>
      <c r="B21" s="1">
        <f t="shared" si="23"/>
        <v>46037</v>
      </c>
      <c r="C21" s="60">
        <f t="shared" si="1"/>
        <v>16470000</v>
      </c>
      <c r="D21" s="60">
        <f t="shared" si="2"/>
        <v>14823000</v>
      </c>
      <c r="E21" s="60">
        <f t="shared" si="24"/>
        <v>31</v>
      </c>
      <c r="F21" s="60">
        <f t="shared" si="25"/>
        <v>959287309</v>
      </c>
      <c r="G21" s="60">
        <f>ROUND(F21*E21*Input!$C$3/365,0)</f>
        <v>12221057</v>
      </c>
      <c r="H21" s="60">
        <f>IF($A21&lt;=Input!$C$6,0,IF('120M'!D21&lt;'120M'!F21,'120M'!D21-G21,'120M'!F21))</f>
        <v>2601943</v>
      </c>
      <c r="I21" s="60">
        <f t="shared" si="26"/>
        <v>14823000</v>
      </c>
      <c r="J21" s="60">
        <f t="shared" si="27"/>
        <v>956685366</v>
      </c>
      <c r="K21" s="202">
        <f>J21/Input!$K$5</f>
        <v>3.1889512199999999</v>
      </c>
      <c r="L21" s="232"/>
      <c r="M21" s="60">
        <f>IF($B21&lt;Input!$H$43,IF($B21&lt;Input!$G$43,IF($B21&lt;Input!$F$43,IF($B21&lt;Input!$E$43,IF($B21&lt;Input!$D$43,Input!$C$49,Input!$D$49),Input!$E$49),Input!$F$49),Input!$G$49),Input!$H$49)</f>
        <v>16470000</v>
      </c>
      <c r="N21" s="190">
        <f>IF($A21&lt;Input!$H$50,IF($A21&lt;Input!$G$50,IF($A21&lt;Input!$F$50,IF($A21&lt;Input!$E$50,IF($A21&lt;Input!$D$50,Input!$C$51,Input!$D$51),Input!$E$51),Input!$F$51),Input!$G$51),Input!$H$51)</f>
        <v>0.9</v>
      </c>
      <c r="O21" s="60">
        <f t="shared" si="0"/>
        <v>14823000</v>
      </c>
      <c r="P21" s="60">
        <f t="shared" si="3"/>
        <v>31</v>
      </c>
      <c r="Q21" s="60">
        <f t="shared" si="4"/>
        <v>959287309</v>
      </c>
      <c r="R21" s="60">
        <f>ROUND(Q21*$P21*Input!$C$3/365,0)</f>
        <v>12221057</v>
      </c>
      <c r="S21" s="60">
        <f>IF(A21&lt;=Input!$C$6,0,IF('120M'!O21&lt;'120M'!Q21,'120M'!O21-R21,'120M'!Q21))</f>
        <v>2601943</v>
      </c>
      <c r="T21" s="60">
        <f t="shared" si="5"/>
        <v>14823000</v>
      </c>
      <c r="U21" s="60">
        <f t="shared" si="6"/>
        <v>956685366</v>
      </c>
      <c r="V21" s="193"/>
      <c r="W21" s="169">
        <v>17</v>
      </c>
      <c r="X21" s="1">
        <f t="shared" si="28"/>
        <v>46037</v>
      </c>
      <c r="Y21" s="60">
        <f>IF($X21&lt;Input!$H$58,IF($X21&lt;Input!$G$58,IF($X21&lt;Input!$F$58,IF($X21&lt;Input!$E$58,IF($X21&lt;Input!$D$58,Input!$C$64,Input!$D$64),Input!$E$64),Input!$F$64),Input!$G$64),Input!$H$64)</f>
        <v>0</v>
      </c>
      <c r="Z21" s="190">
        <f>IF($A21&lt;Input!$H$65,IF($A21&lt;Input!$G$65,IF($A21&lt;Input!$F$65,IF($A21&lt;Input!$E$65,IF($A21&lt;Input!$D$65,Input!$C$66,Input!$D$66),Input!$E$66),Input!$F$66),Input!$G$66),Input!$H$66)</f>
        <v>0.9</v>
      </c>
      <c r="AA21" s="60">
        <f t="shared" si="7"/>
        <v>0</v>
      </c>
      <c r="AB21" s="60">
        <f t="shared" si="29"/>
        <v>31</v>
      </c>
      <c r="AC21" s="60">
        <f t="shared" si="8"/>
        <v>0</v>
      </c>
      <c r="AD21" s="60">
        <f>ROUND(AC21*AB21*Input!$C$3/365,0)</f>
        <v>0</v>
      </c>
      <c r="AE21" s="61">
        <f>IF($A21&lt;=Input!$C$6,0,IF('120M'!AA21&lt;'120M'!AC21,'120M'!AA21-AD21,'120M'!AC21))</f>
        <v>0</v>
      </c>
      <c r="AF21" s="61">
        <f t="shared" si="9"/>
        <v>0</v>
      </c>
      <c r="AG21" s="60">
        <f t="shared" si="10"/>
        <v>0</v>
      </c>
      <c r="AH21" s="193"/>
      <c r="AI21" s="169">
        <v>17</v>
      </c>
      <c r="AJ21" s="1">
        <f t="shared" si="30"/>
        <v>46037</v>
      </c>
      <c r="AK21" s="60">
        <f>IF($X21&lt;Input!$H$73,IF($X21&lt;Input!$G$73,IF($X21&lt;Input!$F$73,IF($X21&lt;Input!$E$73,IF($X21&lt;Input!$D$73,Input!$C$79,Input!$D$79),Input!$E$79),Input!$F$79),Input!$G$79),Input!$H$79)</f>
        <v>0</v>
      </c>
      <c r="AL21" s="190">
        <f>IF($A21&lt;Input!$H$80,IF($A21&lt;Input!$G$80,IF($A21&lt;Input!$F$80,IF($A21&lt;Input!$E$80,IF($A21&lt;Input!$D$80,Input!$C$81,Input!$D$81),Input!$E$81),Input!$F$81),Input!$G$81),Input!$H$81)</f>
        <v>0.9</v>
      </c>
      <c r="AM21" s="60">
        <f t="shared" si="11"/>
        <v>0</v>
      </c>
      <c r="AN21" s="60">
        <f t="shared" si="31"/>
        <v>31</v>
      </c>
      <c r="AO21" s="60">
        <f t="shared" si="12"/>
        <v>0</v>
      </c>
      <c r="AP21" s="60">
        <f>ROUND(AO21*AN21*Input!$C$3/365,0)</f>
        <v>0</v>
      </c>
      <c r="AQ21" s="61">
        <f>IF($A21&lt;=Input!$C$6,0,IF('120M'!AM21&lt;'120M'!AO21,'120M'!AM21-AP21,'120M'!AO21))</f>
        <v>0</v>
      </c>
      <c r="AR21" s="61">
        <f t="shared" si="13"/>
        <v>0</v>
      </c>
      <c r="AS21" s="60">
        <f t="shared" si="14"/>
        <v>0</v>
      </c>
      <c r="AT21" s="193"/>
      <c r="AU21" s="169">
        <v>17</v>
      </c>
      <c r="AV21" s="1">
        <f t="shared" si="32"/>
        <v>46037</v>
      </c>
      <c r="AW21" s="60">
        <f>IF($X21&lt;Input!$H$88,IF($X21&lt;Input!$G$88,IF($X21&lt;Input!$F$88,IF($X21&lt;Input!$E$88,IF($X21&lt;Input!$D$88,Input!$C$94,Input!$D$94),Input!$E$94),Input!$F$94),Input!$G$94),Input!$H$94)</f>
        <v>0</v>
      </c>
      <c r="AX21" s="190">
        <f>IF($A21&lt;Input!$H$95,IF($A21&lt;Input!$G$95,IF($A21&lt;Input!$F$95,IF($A21&lt;Input!$E$95,IF($A21&lt;Input!$D$95,Input!$C$96,Input!$D$96),Input!$E$96),Input!$F$96),Input!$G$96),Input!$H$96)</f>
        <v>0.9</v>
      </c>
      <c r="AY21" s="60">
        <f t="shared" si="15"/>
        <v>0</v>
      </c>
      <c r="AZ21" s="60">
        <f t="shared" si="33"/>
        <v>31</v>
      </c>
      <c r="BA21" s="60">
        <f t="shared" si="16"/>
        <v>0</v>
      </c>
      <c r="BB21" s="60">
        <f>ROUND(BA21*AZ21*Input!$C$3/365,0)</f>
        <v>0</v>
      </c>
      <c r="BC21" s="61">
        <f>IF($A21&lt;=Input!$C$6,0,IF('120M'!AY21&lt;'120M'!BA21,'120M'!AY21-BB21,'120M'!BA21))</f>
        <v>0</v>
      </c>
      <c r="BD21" s="61">
        <f t="shared" si="17"/>
        <v>0</v>
      </c>
      <c r="BE21" s="60">
        <f t="shared" si="18"/>
        <v>0</v>
      </c>
      <c r="BF21" s="193"/>
      <c r="BG21" s="169">
        <v>17</v>
      </c>
      <c r="BH21" s="1">
        <f t="shared" si="34"/>
        <v>46037</v>
      </c>
      <c r="BI21" s="60">
        <f>IF($X21&lt;Input!$H$103,IF($X21&lt;Input!$G$103,IF($X21&lt;Input!$F$103,IF($X21&lt;Input!$E$103,IF($X21&lt;Input!$D$103,Input!$C$109,Input!$D$109),Input!$E$109),Input!$F$109),Input!$G$109),Input!$H$109)</f>
        <v>0</v>
      </c>
      <c r="BJ21" s="190">
        <f>IF($A21&lt;Input!$H$110,IF($A21&lt;Input!$G$110,IF($A21&lt;Input!$F$110,IF($A21&lt;Input!$E$110,IF($A21&lt;Input!$D$110,Input!$C$111,Input!$D$111),Input!$E$111),Input!$F$111),Input!$G$111),Input!$H$111)</f>
        <v>0.9</v>
      </c>
      <c r="BK21" s="60">
        <f t="shared" si="19"/>
        <v>0</v>
      </c>
      <c r="BL21" s="60">
        <f t="shared" si="35"/>
        <v>31</v>
      </c>
      <c r="BM21" s="60">
        <f t="shared" si="20"/>
        <v>0</v>
      </c>
      <c r="BN21" s="60">
        <f>ROUND(BM21*BL21*Input!$C$3/365,0)</f>
        <v>0</v>
      </c>
      <c r="BO21" s="61">
        <f>IF($A21&lt;=Input!$C$6,0,IF('120M'!BK21&lt;'120M'!BM21,'120M'!BK21-BN21,'120M'!BM21))</f>
        <v>0</v>
      </c>
      <c r="BP21" s="61">
        <f t="shared" si="21"/>
        <v>0</v>
      </c>
      <c r="BQ21" s="60">
        <f t="shared" si="22"/>
        <v>0</v>
      </c>
      <c r="BR21" s="198"/>
    </row>
    <row r="22" spans="1:70" x14ac:dyDescent="0.25">
      <c r="A22" s="169">
        <v>18</v>
      </c>
      <c r="B22" s="1">
        <f t="shared" si="23"/>
        <v>46068</v>
      </c>
      <c r="C22" s="60">
        <f t="shared" si="1"/>
        <v>16470000</v>
      </c>
      <c r="D22" s="60">
        <f t="shared" si="2"/>
        <v>14823000</v>
      </c>
      <c r="E22" s="60">
        <f t="shared" si="24"/>
        <v>31</v>
      </c>
      <c r="F22" s="60">
        <f t="shared" si="25"/>
        <v>956685366</v>
      </c>
      <c r="G22" s="60">
        <f>ROUND(F22*E22*Input!$C$3/365,0)</f>
        <v>12187909</v>
      </c>
      <c r="H22" s="60">
        <f>IF($A22&lt;=Input!$C$6,0,IF('120M'!D22&lt;'120M'!F22,'120M'!D22-G22,'120M'!F22))</f>
        <v>2635091</v>
      </c>
      <c r="I22" s="60">
        <f t="shared" si="26"/>
        <v>14823000</v>
      </c>
      <c r="J22" s="60">
        <f t="shared" si="27"/>
        <v>954050275</v>
      </c>
      <c r="K22" s="202">
        <f>J22/Input!$K$5</f>
        <v>3.1801675833333332</v>
      </c>
      <c r="L22" s="232"/>
      <c r="M22" s="60">
        <f>IF($B22&lt;Input!$H$43,IF($B22&lt;Input!$G$43,IF($B22&lt;Input!$F$43,IF($B22&lt;Input!$E$43,IF($B22&lt;Input!$D$43,Input!$C$49,Input!$D$49),Input!$E$49),Input!$F$49),Input!$G$49),Input!$H$49)</f>
        <v>16470000</v>
      </c>
      <c r="N22" s="190">
        <f>IF($A22&lt;Input!$H$50,IF($A22&lt;Input!$G$50,IF($A22&lt;Input!$F$50,IF($A22&lt;Input!$E$50,IF($A22&lt;Input!$D$50,Input!$C$51,Input!$D$51),Input!$E$51),Input!$F$51),Input!$G$51),Input!$H$51)</f>
        <v>0.9</v>
      </c>
      <c r="O22" s="60">
        <f t="shared" si="0"/>
        <v>14823000</v>
      </c>
      <c r="P22" s="60">
        <f t="shared" si="3"/>
        <v>31</v>
      </c>
      <c r="Q22" s="60">
        <f t="shared" si="4"/>
        <v>956685366</v>
      </c>
      <c r="R22" s="60">
        <f>ROUND(Q22*$P22*Input!$C$3/365,0)</f>
        <v>12187909</v>
      </c>
      <c r="S22" s="60">
        <f>IF(A22&lt;=Input!$C$6,0,IF('120M'!O22&lt;'120M'!Q22,'120M'!O22-R22,'120M'!Q22))</f>
        <v>2635091</v>
      </c>
      <c r="T22" s="60">
        <f t="shared" si="5"/>
        <v>14823000</v>
      </c>
      <c r="U22" s="60">
        <f t="shared" si="6"/>
        <v>954050275</v>
      </c>
      <c r="V22" s="193"/>
      <c r="W22" s="169">
        <v>18</v>
      </c>
      <c r="X22" s="1">
        <f t="shared" si="28"/>
        <v>46068</v>
      </c>
      <c r="Y22" s="60">
        <f>IF($X22&lt;Input!$H$58,IF($X22&lt;Input!$G$58,IF($X22&lt;Input!$F$58,IF($X22&lt;Input!$E$58,IF($X22&lt;Input!$D$58,Input!$C$64,Input!$D$64),Input!$E$64),Input!$F$64),Input!$G$64),Input!$H$64)</f>
        <v>0</v>
      </c>
      <c r="Z22" s="190">
        <f>IF($A22&lt;Input!$H$65,IF($A22&lt;Input!$G$65,IF($A22&lt;Input!$F$65,IF($A22&lt;Input!$E$65,IF($A22&lt;Input!$D$65,Input!$C$66,Input!$D$66),Input!$E$66),Input!$F$66),Input!$G$66),Input!$H$66)</f>
        <v>0.9</v>
      </c>
      <c r="AA22" s="60">
        <f t="shared" si="7"/>
        <v>0</v>
      </c>
      <c r="AB22" s="60">
        <f t="shared" si="29"/>
        <v>31</v>
      </c>
      <c r="AC22" s="60">
        <f t="shared" si="8"/>
        <v>0</v>
      </c>
      <c r="AD22" s="60">
        <f>ROUND(AC22*AB22*Input!$C$3/365,0)</f>
        <v>0</v>
      </c>
      <c r="AE22" s="61">
        <f>IF($A22&lt;=Input!$C$6,0,IF('120M'!AA22&lt;'120M'!AC22,'120M'!AA22-AD22,'120M'!AC22))</f>
        <v>0</v>
      </c>
      <c r="AF22" s="61">
        <f t="shared" si="9"/>
        <v>0</v>
      </c>
      <c r="AG22" s="60">
        <f t="shared" si="10"/>
        <v>0</v>
      </c>
      <c r="AH22" s="193"/>
      <c r="AI22" s="169">
        <v>18</v>
      </c>
      <c r="AJ22" s="1">
        <f t="shared" si="30"/>
        <v>46068</v>
      </c>
      <c r="AK22" s="60">
        <f>IF($X22&lt;Input!$H$73,IF($X22&lt;Input!$G$73,IF($X22&lt;Input!$F$73,IF($X22&lt;Input!$E$73,IF($X22&lt;Input!$D$73,Input!$C$79,Input!$D$79),Input!$E$79),Input!$F$79),Input!$G$79),Input!$H$79)</f>
        <v>0</v>
      </c>
      <c r="AL22" s="190">
        <f>IF($A22&lt;Input!$H$80,IF($A22&lt;Input!$G$80,IF($A22&lt;Input!$F$80,IF($A22&lt;Input!$E$80,IF($A22&lt;Input!$D$80,Input!$C$81,Input!$D$81),Input!$E$81),Input!$F$81),Input!$G$81),Input!$H$81)</f>
        <v>0.9</v>
      </c>
      <c r="AM22" s="60">
        <f t="shared" si="11"/>
        <v>0</v>
      </c>
      <c r="AN22" s="60">
        <f t="shared" si="31"/>
        <v>31</v>
      </c>
      <c r="AO22" s="60">
        <f t="shared" si="12"/>
        <v>0</v>
      </c>
      <c r="AP22" s="60">
        <f>ROUND(AO22*AN22*Input!$C$3/365,0)</f>
        <v>0</v>
      </c>
      <c r="AQ22" s="61">
        <f>IF($A22&lt;=Input!$C$6,0,IF('120M'!AM22&lt;'120M'!AO22,'120M'!AM22-AP22,'120M'!AO22))</f>
        <v>0</v>
      </c>
      <c r="AR22" s="61">
        <f t="shared" si="13"/>
        <v>0</v>
      </c>
      <c r="AS22" s="60">
        <f t="shared" si="14"/>
        <v>0</v>
      </c>
      <c r="AT22" s="193"/>
      <c r="AU22" s="169">
        <v>18</v>
      </c>
      <c r="AV22" s="1">
        <f t="shared" si="32"/>
        <v>46068</v>
      </c>
      <c r="AW22" s="60">
        <f>IF($X22&lt;Input!$H$88,IF($X22&lt;Input!$G$88,IF($X22&lt;Input!$F$88,IF($X22&lt;Input!$E$88,IF($X22&lt;Input!$D$88,Input!$C$94,Input!$D$94),Input!$E$94),Input!$F$94),Input!$G$94),Input!$H$94)</f>
        <v>0</v>
      </c>
      <c r="AX22" s="190">
        <f>IF($A22&lt;Input!$H$95,IF($A22&lt;Input!$G$95,IF($A22&lt;Input!$F$95,IF($A22&lt;Input!$E$95,IF($A22&lt;Input!$D$95,Input!$C$96,Input!$D$96),Input!$E$96),Input!$F$96),Input!$G$96),Input!$H$96)</f>
        <v>0.9</v>
      </c>
      <c r="AY22" s="60">
        <f t="shared" si="15"/>
        <v>0</v>
      </c>
      <c r="AZ22" s="60">
        <f t="shared" si="33"/>
        <v>31</v>
      </c>
      <c r="BA22" s="60">
        <f t="shared" si="16"/>
        <v>0</v>
      </c>
      <c r="BB22" s="60">
        <f>ROUND(BA22*AZ22*Input!$C$3/365,0)</f>
        <v>0</v>
      </c>
      <c r="BC22" s="61">
        <f>IF($A22&lt;=Input!$C$6,0,IF('120M'!AY22&lt;'120M'!BA22,'120M'!AY22-BB22,'120M'!BA22))</f>
        <v>0</v>
      </c>
      <c r="BD22" s="61">
        <f t="shared" si="17"/>
        <v>0</v>
      </c>
      <c r="BE22" s="60">
        <f t="shared" si="18"/>
        <v>0</v>
      </c>
      <c r="BF22" s="193"/>
      <c r="BG22" s="169">
        <v>18</v>
      </c>
      <c r="BH22" s="1">
        <f t="shared" si="34"/>
        <v>46068</v>
      </c>
      <c r="BI22" s="60">
        <f>IF($X22&lt;Input!$H$103,IF($X22&lt;Input!$G$103,IF($X22&lt;Input!$F$103,IF($X22&lt;Input!$E$103,IF($X22&lt;Input!$D$103,Input!$C$109,Input!$D$109),Input!$E$109),Input!$F$109),Input!$G$109),Input!$H$109)</f>
        <v>0</v>
      </c>
      <c r="BJ22" s="190">
        <f>IF($A22&lt;Input!$H$110,IF($A22&lt;Input!$G$110,IF($A22&lt;Input!$F$110,IF($A22&lt;Input!$E$110,IF($A22&lt;Input!$D$110,Input!$C$111,Input!$D$111),Input!$E$111),Input!$F$111),Input!$G$111),Input!$H$111)</f>
        <v>0.9</v>
      </c>
      <c r="BK22" s="60">
        <f t="shared" si="19"/>
        <v>0</v>
      </c>
      <c r="BL22" s="60">
        <f t="shared" si="35"/>
        <v>31</v>
      </c>
      <c r="BM22" s="60">
        <f t="shared" si="20"/>
        <v>0</v>
      </c>
      <c r="BN22" s="60">
        <f>ROUND(BM22*BL22*Input!$C$3/365,0)</f>
        <v>0</v>
      </c>
      <c r="BO22" s="61">
        <f>IF($A22&lt;=Input!$C$6,0,IF('120M'!BK22&lt;'120M'!BM22,'120M'!BK22-BN22,'120M'!BM22))</f>
        <v>0</v>
      </c>
      <c r="BP22" s="61">
        <f t="shared" si="21"/>
        <v>0</v>
      </c>
      <c r="BQ22" s="60">
        <f t="shared" si="22"/>
        <v>0</v>
      </c>
      <c r="BR22" s="198"/>
    </row>
    <row r="23" spans="1:70" x14ac:dyDescent="0.25">
      <c r="A23" s="169">
        <v>19</v>
      </c>
      <c r="B23" s="1">
        <f t="shared" si="23"/>
        <v>46096</v>
      </c>
      <c r="C23" s="60">
        <f t="shared" si="1"/>
        <v>16470000</v>
      </c>
      <c r="D23" s="60">
        <f t="shared" si="2"/>
        <v>14823000</v>
      </c>
      <c r="E23" s="60">
        <f t="shared" si="24"/>
        <v>28</v>
      </c>
      <c r="F23" s="60">
        <f t="shared" si="25"/>
        <v>954050275</v>
      </c>
      <c r="G23" s="60">
        <f>ROUND(F23*E23*Input!$C$3/365,0)</f>
        <v>10978113</v>
      </c>
      <c r="H23" s="60">
        <f>IF($A23&lt;=Input!$C$6,0,IF('120M'!D23&lt;'120M'!F23,'120M'!D23-G23,'120M'!F23))</f>
        <v>3844887</v>
      </c>
      <c r="I23" s="60">
        <f t="shared" si="26"/>
        <v>14823000</v>
      </c>
      <c r="J23" s="60">
        <f t="shared" si="27"/>
        <v>950205388</v>
      </c>
      <c r="K23" s="202">
        <f>J23/Input!$K$5</f>
        <v>3.1673512933333332</v>
      </c>
      <c r="L23" s="232"/>
      <c r="M23" s="60">
        <f>IF($B23&lt;Input!$H$43,IF($B23&lt;Input!$G$43,IF($B23&lt;Input!$F$43,IF($B23&lt;Input!$E$43,IF($B23&lt;Input!$D$43,Input!$C$49,Input!$D$49),Input!$E$49),Input!$F$49),Input!$G$49),Input!$H$49)</f>
        <v>16470000</v>
      </c>
      <c r="N23" s="190">
        <f>IF($A23&lt;Input!$H$50,IF($A23&lt;Input!$G$50,IF($A23&lt;Input!$F$50,IF($A23&lt;Input!$E$50,IF($A23&lt;Input!$D$50,Input!$C$51,Input!$D$51),Input!$E$51),Input!$F$51),Input!$G$51),Input!$H$51)</f>
        <v>0.9</v>
      </c>
      <c r="O23" s="60">
        <f t="shared" si="0"/>
        <v>14823000</v>
      </c>
      <c r="P23" s="60">
        <f t="shared" si="3"/>
        <v>28</v>
      </c>
      <c r="Q23" s="60">
        <f t="shared" si="4"/>
        <v>954050275</v>
      </c>
      <c r="R23" s="60">
        <f>ROUND(Q23*$P23*Input!$C$3/365,0)</f>
        <v>10978113</v>
      </c>
      <c r="S23" s="60">
        <f>IF(A23&lt;=Input!$C$6,0,IF('120M'!O23&lt;'120M'!Q23,'120M'!O23-R23,'120M'!Q23))</f>
        <v>3844887</v>
      </c>
      <c r="T23" s="60">
        <f t="shared" si="5"/>
        <v>14823000</v>
      </c>
      <c r="U23" s="60">
        <f t="shared" si="6"/>
        <v>950205388</v>
      </c>
      <c r="V23" s="193"/>
      <c r="W23" s="169">
        <v>19</v>
      </c>
      <c r="X23" s="1">
        <f t="shared" si="28"/>
        <v>46096</v>
      </c>
      <c r="Y23" s="60">
        <f>IF($X23&lt;Input!$H$58,IF($X23&lt;Input!$G$58,IF($X23&lt;Input!$F$58,IF($X23&lt;Input!$E$58,IF($X23&lt;Input!$D$58,Input!$C$64,Input!$D$64),Input!$E$64),Input!$F$64),Input!$G$64),Input!$H$64)</f>
        <v>0</v>
      </c>
      <c r="Z23" s="190">
        <f>IF($A23&lt;Input!$H$65,IF($A23&lt;Input!$G$65,IF($A23&lt;Input!$F$65,IF($A23&lt;Input!$E$65,IF($A23&lt;Input!$D$65,Input!$C$66,Input!$D$66),Input!$E$66),Input!$F$66),Input!$G$66),Input!$H$66)</f>
        <v>0.9</v>
      </c>
      <c r="AA23" s="60">
        <f t="shared" si="7"/>
        <v>0</v>
      </c>
      <c r="AB23" s="60">
        <f t="shared" si="29"/>
        <v>28</v>
      </c>
      <c r="AC23" s="60">
        <f t="shared" si="8"/>
        <v>0</v>
      </c>
      <c r="AD23" s="60">
        <f>ROUND(AC23*AB23*Input!$C$3/365,0)</f>
        <v>0</v>
      </c>
      <c r="AE23" s="61">
        <f>IF($A23&lt;=Input!$C$6,0,IF('120M'!AA23&lt;'120M'!AC23,'120M'!AA23-AD23,'120M'!AC23))</f>
        <v>0</v>
      </c>
      <c r="AF23" s="61">
        <f t="shared" si="9"/>
        <v>0</v>
      </c>
      <c r="AG23" s="60">
        <f t="shared" si="10"/>
        <v>0</v>
      </c>
      <c r="AH23" s="193"/>
      <c r="AI23" s="169">
        <v>19</v>
      </c>
      <c r="AJ23" s="1">
        <f t="shared" si="30"/>
        <v>46096</v>
      </c>
      <c r="AK23" s="60">
        <f>IF($X23&lt;Input!$H$73,IF($X23&lt;Input!$G$73,IF($X23&lt;Input!$F$73,IF($X23&lt;Input!$E$73,IF($X23&lt;Input!$D$73,Input!$C$79,Input!$D$79),Input!$E$79),Input!$F$79),Input!$G$79),Input!$H$79)</f>
        <v>0</v>
      </c>
      <c r="AL23" s="190">
        <f>IF($A23&lt;Input!$H$80,IF($A23&lt;Input!$G$80,IF($A23&lt;Input!$F$80,IF($A23&lt;Input!$E$80,IF($A23&lt;Input!$D$80,Input!$C$81,Input!$D$81),Input!$E$81),Input!$F$81),Input!$G$81),Input!$H$81)</f>
        <v>0.9</v>
      </c>
      <c r="AM23" s="60">
        <f t="shared" si="11"/>
        <v>0</v>
      </c>
      <c r="AN23" s="60">
        <f t="shared" si="31"/>
        <v>28</v>
      </c>
      <c r="AO23" s="60">
        <f t="shared" si="12"/>
        <v>0</v>
      </c>
      <c r="AP23" s="60">
        <f>ROUND(AO23*AN23*Input!$C$3/365,0)</f>
        <v>0</v>
      </c>
      <c r="AQ23" s="61">
        <f>IF($A23&lt;=Input!$C$6,0,IF('120M'!AM23&lt;'120M'!AO23,'120M'!AM23-AP23,'120M'!AO23))</f>
        <v>0</v>
      </c>
      <c r="AR23" s="61">
        <f t="shared" si="13"/>
        <v>0</v>
      </c>
      <c r="AS23" s="60">
        <f t="shared" si="14"/>
        <v>0</v>
      </c>
      <c r="AT23" s="193"/>
      <c r="AU23" s="169">
        <v>19</v>
      </c>
      <c r="AV23" s="1">
        <f t="shared" si="32"/>
        <v>46096</v>
      </c>
      <c r="AW23" s="60">
        <f>IF($X23&lt;Input!$H$88,IF($X23&lt;Input!$G$88,IF($X23&lt;Input!$F$88,IF($X23&lt;Input!$E$88,IF($X23&lt;Input!$D$88,Input!$C$94,Input!$D$94),Input!$E$94),Input!$F$94),Input!$G$94),Input!$H$94)</f>
        <v>0</v>
      </c>
      <c r="AX23" s="190">
        <f>IF($A23&lt;Input!$H$95,IF($A23&lt;Input!$G$95,IF($A23&lt;Input!$F$95,IF($A23&lt;Input!$E$95,IF($A23&lt;Input!$D$95,Input!$C$96,Input!$D$96),Input!$E$96),Input!$F$96),Input!$G$96),Input!$H$96)</f>
        <v>0.9</v>
      </c>
      <c r="AY23" s="60">
        <f t="shared" si="15"/>
        <v>0</v>
      </c>
      <c r="AZ23" s="60">
        <f t="shared" si="33"/>
        <v>28</v>
      </c>
      <c r="BA23" s="60">
        <f t="shared" si="16"/>
        <v>0</v>
      </c>
      <c r="BB23" s="60">
        <f>ROUND(BA23*AZ23*Input!$C$3/365,0)</f>
        <v>0</v>
      </c>
      <c r="BC23" s="61">
        <f>IF($A23&lt;=Input!$C$6,0,IF('120M'!AY23&lt;'120M'!BA23,'120M'!AY23-BB23,'120M'!BA23))</f>
        <v>0</v>
      </c>
      <c r="BD23" s="61">
        <f t="shared" si="17"/>
        <v>0</v>
      </c>
      <c r="BE23" s="60">
        <f t="shared" si="18"/>
        <v>0</v>
      </c>
      <c r="BF23" s="193"/>
      <c r="BG23" s="169">
        <v>19</v>
      </c>
      <c r="BH23" s="1">
        <f t="shared" si="34"/>
        <v>46096</v>
      </c>
      <c r="BI23" s="60">
        <f>IF($X23&lt;Input!$H$103,IF($X23&lt;Input!$G$103,IF($X23&lt;Input!$F$103,IF($X23&lt;Input!$E$103,IF($X23&lt;Input!$D$103,Input!$C$109,Input!$D$109),Input!$E$109),Input!$F$109),Input!$G$109),Input!$H$109)</f>
        <v>0</v>
      </c>
      <c r="BJ23" s="190">
        <f>IF($A23&lt;Input!$H$110,IF($A23&lt;Input!$G$110,IF($A23&lt;Input!$F$110,IF($A23&lt;Input!$E$110,IF($A23&lt;Input!$D$110,Input!$C$111,Input!$D$111),Input!$E$111),Input!$F$111),Input!$G$111),Input!$H$111)</f>
        <v>0.9</v>
      </c>
      <c r="BK23" s="60">
        <f t="shared" si="19"/>
        <v>0</v>
      </c>
      <c r="BL23" s="60">
        <f t="shared" si="35"/>
        <v>28</v>
      </c>
      <c r="BM23" s="60">
        <f t="shared" si="20"/>
        <v>0</v>
      </c>
      <c r="BN23" s="60">
        <f>ROUND(BM23*BL23*Input!$C$3/365,0)</f>
        <v>0</v>
      </c>
      <c r="BO23" s="61">
        <f>IF($A23&lt;=Input!$C$6,0,IF('120M'!BK23&lt;'120M'!BM23,'120M'!BK23-BN23,'120M'!BM23))</f>
        <v>0</v>
      </c>
      <c r="BP23" s="61">
        <f t="shared" si="21"/>
        <v>0</v>
      </c>
      <c r="BQ23" s="60">
        <f t="shared" si="22"/>
        <v>0</v>
      </c>
      <c r="BR23" s="198"/>
    </row>
    <row r="24" spans="1:70" x14ac:dyDescent="0.25">
      <c r="A24" s="169">
        <v>20</v>
      </c>
      <c r="B24" s="1">
        <f t="shared" si="23"/>
        <v>46127</v>
      </c>
      <c r="C24" s="60">
        <f t="shared" si="1"/>
        <v>16470000</v>
      </c>
      <c r="D24" s="60">
        <f t="shared" si="2"/>
        <v>14823000</v>
      </c>
      <c r="E24" s="60">
        <f t="shared" si="24"/>
        <v>31</v>
      </c>
      <c r="F24" s="60">
        <f t="shared" si="25"/>
        <v>950205388</v>
      </c>
      <c r="G24" s="60">
        <f>ROUND(F24*E24*Input!$C$3/365,0)</f>
        <v>12105356</v>
      </c>
      <c r="H24" s="60">
        <f>IF($A24&lt;=Input!$C$6,0,IF('120M'!D24&lt;'120M'!F24,'120M'!D24-G24,'120M'!F24))</f>
        <v>2717644</v>
      </c>
      <c r="I24" s="60">
        <f t="shared" si="26"/>
        <v>14823000</v>
      </c>
      <c r="J24" s="60">
        <f t="shared" si="27"/>
        <v>947487744</v>
      </c>
      <c r="K24" s="202">
        <f>J24/Input!$K$5</f>
        <v>3.1582924800000001</v>
      </c>
      <c r="L24" s="232"/>
      <c r="M24" s="60">
        <f>IF($B24&lt;Input!$H$43,IF($B24&lt;Input!$G$43,IF($B24&lt;Input!$F$43,IF($B24&lt;Input!$E$43,IF($B24&lt;Input!$D$43,Input!$C$49,Input!$D$49),Input!$E$49),Input!$F$49),Input!$G$49),Input!$H$49)</f>
        <v>16470000</v>
      </c>
      <c r="N24" s="190">
        <f>IF($A24&lt;Input!$H$50,IF($A24&lt;Input!$G$50,IF($A24&lt;Input!$F$50,IF($A24&lt;Input!$E$50,IF($A24&lt;Input!$D$50,Input!$C$51,Input!$D$51),Input!$E$51),Input!$F$51),Input!$G$51),Input!$H$51)</f>
        <v>0.9</v>
      </c>
      <c r="O24" s="60">
        <f t="shared" si="0"/>
        <v>14823000</v>
      </c>
      <c r="P24" s="60">
        <f t="shared" si="3"/>
        <v>31</v>
      </c>
      <c r="Q24" s="60">
        <f t="shared" si="4"/>
        <v>950205388</v>
      </c>
      <c r="R24" s="60">
        <f>ROUND(Q24*$P24*Input!$C$3/365,0)</f>
        <v>12105356</v>
      </c>
      <c r="S24" s="60">
        <f>IF(A24&lt;=Input!$C$6,0,IF('120M'!O24&lt;'120M'!Q24,'120M'!O24-R24,'120M'!Q24))</f>
        <v>2717644</v>
      </c>
      <c r="T24" s="60">
        <f t="shared" si="5"/>
        <v>14823000</v>
      </c>
      <c r="U24" s="60">
        <f t="shared" si="6"/>
        <v>947487744</v>
      </c>
      <c r="V24" s="193"/>
      <c r="W24" s="169">
        <v>20</v>
      </c>
      <c r="X24" s="1">
        <f t="shared" si="28"/>
        <v>46127</v>
      </c>
      <c r="Y24" s="60">
        <f>IF($X24&lt;Input!$H$58,IF($X24&lt;Input!$G$58,IF($X24&lt;Input!$F$58,IF($X24&lt;Input!$E$58,IF($X24&lt;Input!$D$58,Input!$C$64,Input!$D$64),Input!$E$64),Input!$F$64),Input!$G$64),Input!$H$64)</f>
        <v>0</v>
      </c>
      <c r="Z24" s="190">
        <f>IF($A24&lt;Input!$H$65,IF($A24&lt;Input!$G$65,IF($A24&lt;Input!$F$65,IF($A24&lt;Input!$E$65,IF($A24&lt;Input!$D$65,Input!$C$66,Input!$D$66),Input!$E$66),Input!$F$66),Input!$G$66),Input!$H$66)</f>
        <v>0.9</v>
      </c>
      <c r="AA24" s="60">
        <f t="shared" si="7"/>
        <v>0</v>
      </c>
      <c r="AB24" s="60">
        <f t="shared" si="29"/>
        <v>31</v>
      </c>
      <c r="AC24" s="60">
        <f t="shared" si="8"/>
        <v>0</v>
      </c>
      <c r="AD24" s="60">
        <f>ROUND(AC24*AB24*Input!$C$3/365,0)</f>
        <v>0</v>
      </c>
      <c r="AE24" s="61">
        <f>IF($A24&lt;=Input!$C$6,0,IF('120M'!AA24&lt;'120M'!AC24,'120M'!AA24-AD24,'120M'!AC24))</f>
        <v>0</v>
      </c>
      <c r="AF24" s="61">
        <f t="shared" si="9"/>
        <v>0</v>
      </c>
      <c r="AG24" s="60">
        <f t="shared" si="10"/>
        <v>0</v>
      </c>
      <c r="AH24" s="193"/>
      <c r="AI24" s="169">
        <v>20</v>
      </c>
      <c r="AJ24" s="1">
        <f t="shared" si="30"/>
        <v>46127</v>
      </c>
      <c r="AK24" s="60">
        <f>IF($X24&lt;Input!$H$73,IF($X24&lt;Input!$G$73,IF($X24&lt;Input!$F$73,IF($X24&lt;Input!$E$73,IF($X24&lt;Input!$D$73,Input!$C$79,Input!$D$79),Input!$E$79),Input!$F$79),Input!$G$79),Input!$H$79)</f>
        <v>0</v>
      </c>
      <c r="AL24" s="190">
        <f>IF($A24&lt;Input!$H$80,IF($A24&lt;Input!$G$80,IF($A24&lt;Input!$F$80,IF($A24&lt;Input!$E$80,IF($A24&lt;Input!$D$80,Input!$C$81,Input!$D$81),Input!$E$81),Input!$F$81),Input!$G$81),Input!$H$81)</f>
        <v>0.9</v>
      </c>
      <c r="AM24" s="60">
        <f t="shared" si="11"/>
        <v>0</v>
      </c>
      <c r="AN24" s="60">
        <f t="shared" si="31"/>
        <v>31</v>
      </c>
      <c r="AO24" s="60">
        <f t="shared" si="12"/>
        <v>0</v>
      </c>
      <c r="AP24" s="60">
        <f>ROUND(AO24*AN24*Input!$C$3/365,0)</f>
        <v>0</v>
      </c>
      <c r="AQ24" s="61">
        <f>IF($A24&lt;=Input!$C$6,0,IF('120M'!AM24&lt;'120M'!AO24,'120M'!AM24-AP24,'120M'!AO24))</f>
        <v>0</v>
      </c>
      <c r="AR24" s="61">
        <f t="shared" si="13"/>
        <v>0</v>
      </c>
      <c r="AS24" s="60">
        <f t="shared" si="14"/>
        <v>0</v>
      </c>
      <c r="AT24" s="193"/>
      <c r="AU24" s="169">
        <v>20</v>
      </c>
      <c r="AV24" s="1">
        <f t="shared" si="32"/>
        <v>46127</v>
      </c>
      <c r="AW24" s="60">
        <f>IF($X24&lt;Input!$H$88,IF($X24&lt;Input!$G$88,IF($X24&lt;Input!$F$88,IF($X24&lt;Input!$E$88,IF($X24&lt;Input!$D$88,Input!$C$94,Input!$D$94),Input!$E$94),Input!$F$94),Input!$G$94),Input!$H$94)</f>
        <v>0</v>
      </c>
      <c r="AX24" s="190">
        <f>IF($A24&lt;Input!$H$95,IF($A24&lt;Input!$G$95,IF($A24&lt;Input!$F$95,IF($A24&lt;Input!$E$95,IF($A24&lt;Input!$D$95,Input!$C$96,Input!$D$96),Input!$E$96),Input!$F$96),Input!$G$96),Input!$H$96)</f>
        <v>0.9</v>
      </c>
      <c r="AY24" s="60">
        <f t="shared" si="15"/>
        <v>0</v>
      </c>
      <c r="AZ24" s="60">
        <f t="shared" si="33"/>
        <v>31</v>
      </c>
      <c r="BA24" s="60">
        <f t="shared" si="16"/>
        <v>0</v>
      </c>
      <c r="BB24" s="60">
        <f>ROUND(BA24*AZ24*Input!$C$3/365,0)</f>
        <v>0</v>
      </c>
      <c r="BC24" s="61">
        <f>IF($A24&lt;=Input!$C$6,0,IF('120M'!AY24&lt;'120M'!BA24,'120M'!AY24-BB24,'120M'!BA24))</f>
        <v>0</v>
      </c>
      <c r="BD24" s="61">
        <f t="shared" si="17"/>
        <v>0</v>
      </c>
      <c r="BE24" s="60">
        <f t="shared" si="18"/>
        <v>0</v>
      </c>
      <c r="BF24" s="193"/>
      <c r="BG24" s="169">
        <v>20</v>
      </c>
      <c r="BH24" s="1">
        <f t="shared" si="34"/>
        <v>46127</v>
      </c>
      <c r="BI24" s="60">
        <f>IF($X24&lt;Input!$H$103,IF($X24&lt;Input!$G$103,IF($X24&lt;Input!$F$103,IF($X24&lt;Input!$E$103,IF($X24&lt;Input!$D$103,Input!$C$109,Input!$D$109),Input!$E$109),Input!$F$109),Input!$G$109),Input!$H$109)</f>
        <v>0</v>
      </c>
      <c r="BJ24" s="190">
        <f>IF($A24&lt;Input!$H$110,IF($A24&lt;Input!$G$110,IF($A24&lt;Input!$F$110,IF($A24&lt;Input!$E$110,IF($A24&lt;Input!$D$110,Input!$C$111,Input!$D$111),Input!$E$111),Input!$F$111),Input!$G$111),Input!$H$111)</f>
        <v>0.9</v>
      </c>
      <c r="BK24" s="60">
        <f t="shared" si="19"/>
        <v>0</v>
      </c>
      <c r="BL24" s="60">
        <f t="shared" si="35"/>
        <v>31</v>
      </c>
      <c r="BM24" s="60">
        <f t="shared" si="20"/>
        <v>0</v>
      </c>
      <c r="BN24" s="60">
        <f>ROUND(BM24*BL24*Input!$C$3/365,0)</f>
        <v>0</v>
      </c>
      <c r="BO24" s="61">
        <f>IF($A24&lt;=Input!$C$6,0,IF('120M'!BK24&lt;'120M'!BM24,'120M'!BK24-BN24,'120M'!BM24))</f>
        <v>0</v>
      </c>
      <c r="BP24" s="61">
        <f t="shared" si="21"/>
        <v>0</v>
      </c>
      <c r="BQ24" s="60">
        <f t="shared" si="22"/>
        <v>0</v>
      </c>
      <c r="BR24" s="198"/>
    </row>
    <row r="25" spans="1:70" x14ac:dyDescent="0.25">
      <c r="A25" s="169">
        <v>21</v>
      </c>
      <c r="B25" s="1">
        <f t="shared" si="23"/>
        <v>46157</v>
      </c>
      <c r="C25" s="60">
        <f t="shared" si="1"/>
        <v>16470000</v>
      </c>
      <c r="D25" s="60">
        <f t="shared" si="2"/>
        <v>14823000</v>
      </c>
      <c r="E25" s="60">
        <f t="shared" si="24"/>
        <v>30</v>
      </c>
      <c r="F25" s="60">
        <f t="shared" si="25"/>
        <v>947487744</v>
      </c>
      <c r="G25" s="60">
        <f>ROUND(F25*E25*Input!$C$3/365,0)</f>
        <v>11681356</v>
      </c>
      <c r="H25" s="60">
        <f>IF($A25&lt;=Input!$C$6,0,IF('120M'!D25&lt;'120M'!F25,'120M'!D25-G25,'120M'!F25))</f>
        <v>3141644</v>
      </c>
      <c r="I25" s="60">
        <f t="shared" si="26"/>
        <v>14823000</v>
      </c>
      <c r="J25" s="60">
        <f t="shared" si="27"/>
        <v>944346100</v>
      </c>
      <c r="K25" s="202">
        <f>J25/Input!$K$5</f>
        <v>3.1478203333333332</v>
      </c>
      <c r="L25" s="232"/>
      <c r="M25" s="60">
        <f>IF($B25&lt;Input!$H$43,IF($B25&lt;Input!$G$43,IF($B25&lt;Input!$F$43,IF($B25&lt;Input!$E$43,IF($B25&lt;Input!$D$43,Input!$C$49,Input!$D$49),Input!$E$49),Input!$F$49),Input!$G$49),Input!$H$49)</f>
        <v>16470000</v>
      </c>
      <c r="N25" s="190">
        <f>IF($A25&lt;Input!$H$50,IF($A25&lt;Input!$G$50,IF($A25&lt;Input!$F$50,IF($A25&lt;Input!$E$50,IF($A25&lt;Input!$D$50,Input!$C$51,Input!$D$51),Input!$E$51),Input!$F$51),Input!$G$51),Input!$H$51)</f>
        <v>0.9</v>
      </c>
      <c r="O25" s="60">
        <f t="shared" si="0"/>
        <v>14823000</v>
      </c>
      <c r="P25" s="60">
        <f t="shared" si="3"/>
        <v>30</v>
      </c>
      <c r="Q25" s="60">
        <f t="shared" si="4"/>
        <v>947487744</v>
      </c>
      <c r="R25" s="60">
        <f>ROUND(Q25*$P25*Input!$C$3/365,0)</f>
        <v>11681356</v>
      </c>
      <c r="S25" s="60">
        <f>IF(A25&lt;=Input!$C$6,0,IF('120M'!O25&lt;'120M'!Q25,'120M'!O25-R25,'120M'!Q25))</f>
        <v>3141644</v>
      </c>
      <c r="T25" s="60">
        <f t="shared" si="5"/>
        <v>14823000</v>
      </c>
      <c r="U25" s="60">
        <f t="shared" si="6"/>
        <v>944346100</v>
      </c>
      <c r="V25" s="193"/>
      <c r="W25" s="169">
        <v>21</v>
      </c>
      <c r="X25" s="1">
        <f t="shared" si="28"/>
        <v>46157</v>
      </c>
      <c r="Y25" s="60">
        <f>IF($X25&lt;Input!$H$58,IF($X25&lt;Input!$G$58,IF($X25&lt;Input!$F$58,IF($X25&lt;Input!$E$58,IF($X25&lt;Input!$D$58,Input!$C$64,Input!$D$64),Input!$E$64),Input!$F$64),Input!$G$64),Input!$H$64)</f>
        <v>0</v>
      </c>
      <c r="Z25" s="190">
        <f>IF($A25&lt;Input!$H$65,IF($A25&lt;Input!$G$65,IF($A25&lt;Input!$F$65,IF($A25&lt;Input!$E$65,IF($A25&lt;Input!$D$65,Input!$C$66,Input!$D$66),Input!$E$66),Input!$F$66),Input!$G$66),Input!$H$66)</f>
        <v>0.9</v>
      </c>
      <c r="AA25" s="60">
        <f t="shared" si="7"/>
        <v>0</v>
      </c>
      <c r="AB25" s="60">
        <f t="shared" si="29"/>
        <v>30</v>
      </c>
      <c r="AC25" s="60">
        <f t="shared" si="8"/>
        <v>0</v>
      </c>
      <c r="AD25" s="60">
        <f>ROUND(AC25*AB25*Input!$C$3/365,0)</f>
        <v>0</v>
      </c>
      <c r="AE25" s="61">
        <f>IF($A25&lt;=Input!$C$6,0,IF('120M'!AA25&lt;'120M'!AC25,'120M'!AA25-AD25,'120M'!AC25))</f>
        <v>0</v>
      </c>
      <c r="AF25" s="61">
        <f t="shared" si="9"/>
        <v>0</v>
      </c>
      <c r="AG25" s="60">
        <f t="shared" si="10"/>
        <v>0</v>
      </c>
      <c r="AH25" s="193"/>
      <c r="AI25" s="169">
        <v>21</v>
      </c>
      <c r="AJ25" s="1">
        <f t="shared" si="30"/>
        <v>46157</v>
      </c>
      <c r="AK25" s="60">
        <f>IF($X25&lt;Input!$H$73,IF($X25&lt;Input!$G$73,IF($X25&lt;Input!$F$73,IF($X25&lt;Input!$E$73,IF($X25&lt;Input!$D$73,Input!$C$79,Input!$D$79),Input!$E$79),Input!$F$79),Input!$G$79),Input!$H$79)</f>
        <v>0</v>
      </c>
      <c r="AL25" s="190">
        <f>IF($A25&lt;Input!$H$80,IF($A25&lt;Input!$G$80,IF($A25&lt;Input!$F$80,IF($A25&lt;Input!$E$80,IF($A25&lt;Input!$D$80,Input!$C$81,Input!$D$81),Input!$E$81),Input!$F$81),Input!$G$81),Input!$H$81)</f>
        <v>0.9</v>
      </c>
      <c r="AM25" s="60">
        <f t="shared" si="11"/>
        <v>0</v>
      </c>
      <c r="AN25" s="60">
        <f t="shared" si="31"/>
        <v>30</v>
      </c>
      <c r="AO25" s="60">
        <f t="shared" si="12"/>
        <v>0</v>
      </c>
      <c r="AP25" s="60">
        <f>ROUND(AO25*AN25*Input!$C$3/365,0)</f>
        <v>0</v>
      </c>
      <c r="AQ25" s="61">
        <f>IF($A25&lt;=Input!$C$6,0,IF('120M'!AM25&lt;'120M'!AO25,'120M'!AM25-AP25,'120M'!AO25))</f>
        <v>0</v>
      </c>
      <c r="AR25" s="61">
        <f t="shared" si="13"/>
        <v>0</v>
      </c>
      <c r="AS25" s="60">
        <f t="shared" si="14"/>
        <v>0</v>
      </c>
      <c r="AT25" s="193"/>
      <c r="AU25" s="169">
        <v>21</v>
      </c>
      <c r="AV25" s="1">
        <f t="shared" si="32"/>
        <v>46157</v>
      </c>
      <c r="AW25" s="60">
        <f>IF($X25&lt;Input!$H$88,IF($X25&lt;Input!$G$88,IF($X25&lt;Input!$F$88,IF($X25&lt;Input!$E$88,IF($X25&lt;Input!$D$88,Input!$C$94,Input!$D$94),Input!$E$94),Input!$F$94),Input!$G$94),Input!$H$94)</f>
        <v>0</v>
      </c>
      <c r="AX25" s="190">
        <f>IF($A25&lt;Input!$H$95,IF($A25&lt;Input!$G$95,IF($A25&lt;Input!$F$95,IF($A25&lt;Input!$E$95,IF($A25&lt;Input!$D$95,Input!$C$96,Input!$D$96),Input!$E$96),Input!$F$96),Input!$G$96),Input!$H$96)</f>
        <v>0.9</v>
      </c>
      <c r="AY25" s="60">
        <f t="shared" si="15"/>
        <v>0</v>
      </c>
      <c r="AZ25" s="60">
        <f t="shared" si="33"/>
        <v>30</v>
      </c>
      <c r="BA25" s="60">
        <f t="shared" si="16"/>
        <v>0</v>
      </c>
      <c r="BB25" s="60">
        <f>ROUND(BA25*AZ25*Input!$C$3/365,0)</f>
        <v>0</v>
      </c>
      <c r="BC25" s="61">
        <f>IF($A25&lt;=Input!$C$6,0,IF('120M'!AY25&lt;'120M'!BA25,'120M'!AY25-BB25,'120M'!BA25))</f>
        <v>0</v>
      </c>
      <c r="BD25" s="61">
        <f t="shared" si="17"/>
        <v>0</v>
      </c>
      <c r="BE25" s="60">
        <f t="shared" si="18"/>
        <v>0</v>
      </c>
      <c r="BF25" s="193"/>
      <c r="BG25" s="169">
        <v>21</v>
      </c>
      <c r="BH25" s="1">
        <f t="shared" si="34"/>
        <v>46157</v>
      </c>
      <c r="BI25" s="60">
        <f>IF($X25&lt;Input!$H$103,IF($X25&lt;Input!$G$103,IF($X25&lt;Input!$F$103,IF($X25&lt;Input!$E$103,IF($X25&lt;Input!$D$103,Input!$C$109,Input!$D$109),Input!$E$109),Input!$F$109),Input!$G$109),Input!$H$109)</f>
        <v>0</v>
      </c>
      <c r="BJ25" s="190">
        <f>IF($A25&lt;Input!$H$110,IF($A25&lt;Input!$G$110,IF($A25&lt;Input!$F$110,IF($A25&lt;Input!$E$110,IF($A25&lt;Input!$D$110,Input!$C$111,Input!$D$111),Input!$E$111),Input!$F$111),Input!$G$111),Input!$H$111)</f>
        <v>0.9</v>
      </c>
      <c r="BK25" s="60">
        <f t="shared" si="19"/>
        <v>0</v>
      </c>
      <c r="BL25" s="60">
        <f t="shared" si="35"/>
        <v>30</v>
      </c>
      <c r="BM25" s="60">
        <f t="shared" si="20"/>
        <v>0</v>
      </c>
      <c r="BN25" s="60">
        <f>ROUND(BM25*BL25*Input!$C$3/365,0)</f>
        <v>0</v>
      </c>
      <c r="BO25" s="61">
        <f>IF($A25&lt;=Input!$C$6,0,IF('120M'!BK25&lt;'120M'!BM25,'120M'!BK25-BN25,'120M'!BM25))</f>
        <v>0</v>
      </c>
      <c r="BP25" s="61">
        <f t="shared" si="21"/>
        <v>0</v>
      </c>
      <c r="BQ25" s="60">
        <f t="shared" si="22"/>
        <v>0</v>
      </c>
      <c r="BR25" s="198"/>
    </row>
    <row r="26" spans="1:70" x14ac:dyDescent="0.25">
      <c r="A26" s="169">
        <v>22</v>
      </c>
      <c r="B26" s="1">
        <f t="shared" si="23"/>
        <v>46188</v>
      </c>
      <c r="C26" s="60">
        <f t="shared" si="1"/>
        <v>16470000</v>
      </c>
      <c r="D26" s="60">
        <f t="shared" si="2"/>
        <v>14823000</v>
      </c>
      <c r="E26" s="60">
        <f t="shared" si="24"/>
        <v>31</v>
      </c>
      <c r="F26" s="60">
        <f t="shared" si="25"/>
        <v>944346100</v>
      </c>
      <c r="G26" s="60">
        <f>ROUND(F26*E26*Input!$C$3/365,0)</f>
        <v>12030711</v>
      </c>
      <c r="H26" s="60">
        <f>IF($A26&lt;=Input!$C$6,0,IF('120M'!D26&lt;'120M'!F26,'120M'!D26-G26,'120M'!F26))</f>
        <v>2792289</v>
      </c>
      <c r="I26" s="60">
        <f t="shared" si="26"/>
        <v>14823000</v>
      </c>
      <c r="J26" s="60">
        <f t="shared" si="27"/>
        <v>941553811</v>
      </c>
      <c r="K26" s="202">
        <f>J26/Input!$K$5</f>
        <v>3.1385127033333333</v>
      </c>
      <c r="L26" s="232"/>
      <c r="M26" s="60">
        <f>IF($B26&lt;Input!$H$43,IF($B26&lt;Input!$G$43,IF($B26&lt;Input!$F$43,IF($B26&lt;Input!$E$43,IF($B26&lt;Input!$D$43,Input!$C$49,Input!$D$49),Input!$E$49),Input!$F$49),Input!$G$49),Input!$H$49)</f>
        <v>16470000</v>
      </c>
      <c r="N26" s="190">
        <f>IF($A26&lt;Input!$H$50,IF($A26&lt;Input!$G$50,IF($A26&lt;Input!$F$50,IF($A26&lt;Input!$E$50,IF($A26&lt;Input!$D$50,Input!$C$51,Input!$D$51),Input!$E$51),Input!$F$51),Input!$G$51),Input!$H$51)</f>
        <v>0.9</v>
      </c>
      <c r="O26" s="60">
        <f t="shared" si="0"/>
        <v>14823000</v>
      </c>
      <c r="P26" s="60">
        <f t="shared" si="3"/>
        <v>31</v>
      </c>
      <c r="Q26" s="60">
        <f t="shared" si="4"/>
        <v>944346100</v>
      </c>
      <c r="R26" s="60">
        <f>ROUND(Q26*$P26*Input!$C$3/365,0)</f>
        <v>12030711</v>
      </c>
      <c r="S26" s="60">
        <f>IF(A26&lt;=Input!$C$6,0,IF('120M'!O26&lt;'120M'!Q26,'120M'!O26-R26,'120M'!Q26))</f>
        <v>2792289</v>
      </c>
      <c r="T26" s="60">
        <f t="shared" si="5"/>
        <v>14823000</v>
      </c>
      <c r="U26" s="60">
        <f t="shared" si="6"/>
        <v>941553811</v>
      </c>
      <c r="V26" s="193"/>
      <c r="W26" s="169">
        <v>22</v>
      </c>
      <c r="X26" s="1">
        <f t="shared" si="28"/>
        <v>46188</v>
      </c>
      <c r="Y26" s="60">
        <f>IF($X26&lt;Input!$H$58,IF($X26&lt;Input!$G$58,IF($X26&lt;Input!$F$58,IF($X26&lt;Input!$E$58,IF($X26&lt;Input!$D$58,Input!$C$64,Input!$D$64),Input!$E$64),Input!$F$64),Input!$G$64),Input!$H$64)</f>
        <v>0</v>
      </c>
      <c r="Z26" s="190">
        <f>IF($A26&lt;Input!$H$65,IF($A26&lt;Input!$G$65,IF($A26&lt;Input!$F$65,IF($A26&lt;Input!$E$65,IF($A26&lt;Input!$D$65,Input!$C$66,Input!$D$66),Input!$E$66),Input!$F$66),Input!$G$66),Input!$H$66)</f>
        <v>0.9</v>
      </c>
      <c r="AA26" s="60">
        <f t="shared" si="7"/>
        <v>0</v>
      </c>
      <c r="AB26" s="60">
        <f t="shared" si="29"/>
        <v>31</v>
      </c>
      <c r="AC26" s="60">
        <f t="shared" si="8"/>
        <v>0</v>
      </c>
      <c r="AD26" s="60">
        <f>ROUND(AC26*AB26*Input!$C$3/365,0)</f>
        <v>0</v>
      </c>
      <c r="AE26" s="61">
        <f>IF($A26&lt;=Input!$C$6,0,IF('120M'!AA26&lt;'120M'!AC26,'120M'!AA26-AD26,'120M'!AC26))</f>
        <v>0</v>
      </c>
      <c r="AF26" s="61">
        <f t="shared" si="9"/>
        <v>0</v>
      </c>
      <c r="AG26" s="60">
        <f t="shared" si="10"/>
        <v>0</v>
      </c>
      <c r="AH26" s="193"/>
      <c r="AI26" s="169">
        <v>22</v>
      </c>
      <c r="AJ26" s="1">
        <f t="shared" si="30"/>
        <v>46188</v>
      </c>
      <c r="AK26" s="60">
        <f>IF($X26&lt;Input!$H$73,IF($X26&lt;Input!$G$73,IF($X26&lt;Input!$F$73,IF($X26&lt;Input!$E$73,IF($X26&lt;Input!$D$73,Input!$C$79,Input!$D$79),Input!$E$79),Input!$F$79),Input!$G$79),Input!$H$79)</f>
        <v>0</v>
      </c>
      <c r="AL26" s="190">
        <f>IF($A26&lt;Input!$H$80,IF($A26&lt;Input!$G$80,IF($A26&lt;Input!$F$80,IF($A26&lt;Input!$E$80,IF($A26&lt;Input!$D$80,Input!$C$81,Input!$D$81),Input!$E$81),Input!$F$81),Input!$G$81),Input!$H$81)</f>
        <v>0.9</v>
      </c>
      <c r="AM26" s="60">
        <f t="shared" si="11"/>
        <v>0</v>
      </c>
      <c r="AN26" s="60">
        <f t="shared" si="31"/>
        <v>31</v>
      </c>
      <c r="AO26" s="60">
        <f t="shared" si="12"/>
        <v>0</v>
      </c>
      <c r="AP26" s="60">
        <f>ROUND(AO26*AN26*Input!$C$3/365,0)</f>
        <v>0</v>
      </c>
      <c r="AQ26" s="61">
        <f>IF($A26&lt;=Input!$C$6,0,IF('120M'!AM26&lt;'120M'!AO26,'120M'!AM26-AP26,'120M'!AO26))</f>
        <v>0</v>
      </c>
      <c r="AR26" s="61">
        <f t="shared" si="13"/>
        <v>0</v>
      </c>
      <c r="AS26" s="60">
        <f t="shared" si="14"/>
        <v>0</v>
      </c>
      <c r="AT26" s="193"/>
      <c r="AU26" s="169">
        <v>22</v>
      </c>
      <c r="AV26" s="1">
        <f t="shared" si="32"/>
        <v>46188</v>
      </c>
      <c r="AW26" s="60">
        <f>IF($X26&lt;Input!$H$88,IF($X26&lt;Input!$G$88,IF($X26&lt;Input!$F$88,IF($X26&lt;Input!$E$88,IF($X26&lt;Input!$D$88,Input!$C$94,Input!$D$94),Input!$E$94),Input!$F$94),Input!$G$94),Input!$H$94)</f>
        <v>0</v>
      </c>
      <c r="AX26" s="190">
        <f>IF($A26&lt;Input!$H$95,IF($A26&lt;Input!$G$95,IF($A26&lt;Input!$F$95,IF($A26&lt;Input!$E$95,IF($A26&lt;Input!$D$95,Input!$C$96,Input!$D$96),Input!$E$96),Input!$F$96),Input!$G$96),Input!$H$96)</f>
        <v>0.9</v>
      </c>
      <c r="AY26" s="60">
        <f t="shared" si="15"/>
        <v>0</v>
      </c>
      <c r="AZ26" s="60">
        <f t="shared" si="33"/>
        <v>31</v>
      </c>
      <c r="BA26" s="60">
        <f t="shared" si="16"/>
        <v>0</v>
      </c>
      <c r="BB26" s="60">
        <f>ROUND(BA26*AZ26*Input!$C$3/365,0)</f>
        <v>0</v>
      </c>
      <c r="BC26" s="61">
        <f>IF($A26&lt;=Input!$C$6,0,IF('120M'!AY26&lt;'120M'!BA26,'120M'!AY26-BB26,'120M'!BA26))</f>
        <v>0</v>
      </c>
      <c r="BD26" s="61">
        <f t="shared" si="17"/>
        <v>0</v>
      </c>
      <c r="BE26" s="60">
        <f t="shared" si="18"/>
        <v>0</v>
      </c>
      <c r="BF26" s="193"/>
      <c r="BG26" s="169">
        <v>22</v>
      </c>
      <c r="BH26" s="1">
        <f t="shared" si="34"/>
        <v>46188</v>
      </c>
      <c r="BI26" s="60">
        <f>IF($X26&lt;Input!$H$103,IF($X26&lt;Input!$G$103,IF($X26&lt;Input!$F$103,IF($X26&lt;Input!$E$103,IF($X26&lt;Input!$D$103,Input!$C$109,Input!$D$109),Input!$E$109),Input!$F$109),Input!$G$109),Input!$H$109)</f>
        <v>0</v>
      </c>
      <c r="BJ26" s="190">
        <f>IF($A26&lt;Input!$H$110,IF($A26&lt;Input!$G$110,IF($A26&lt;Input!$F$110,IF($A26&lt;Input!$E$110,IF($A26&lt;Input!$D$110,Input!$C$111,Input!$D$111),Input!$E$111),Input!$F$111),Input!$G$111),Input!$H$111)</f>
        <v>0.9</v>
      </c>
      <c r="BK26" s="60">
        <f t="shared" si="19"/>
        <v>0</v>
      </c>
      <c r="BL26" s="60">
        <f t="shared" si="35"/>
        <v>31</v>
      </c>
      <c r="BM26" s="60">
        <f t="shared" si="20"/>
        <v>0</v>
      </c>
      <c r="BN26" s="60">
        <f>ROUND(BM26*BL26*Input!$C$3/365,0)</f>
        <v>0</v>
      </c>
      <c r="BO26" s="61">
        <f>IF($A26&lt;=Input!$C$6,0,IF('120M'!BK26&lt;'120M'!BM26,'120M'!BK26-BN26,'120M'!BM26))</f>
        <v>0</v>
      </c>
      <c r="BP26" s="61">
        <f t="shared" si="21"/>
        <v>0</v>
      </c>
      <c r="BQ26" s="60">
        <f t="shared" si="22"/>
        <v>0</v>
      </c>
      <c r="BR26" s="198"/>
    </row>
    <row r="27" spans="1:70" x14ac:dyDescent="0.25">
      <c r="A27" s="169">
        <v>23</v>
      </c>
      <c r="B27" s="1">
        <f t="shared" si="23"/>
        <v>46218</v>
      </c>
      <c r="C27" s="60">
        <f t="shared" si="1"/>
        <v>16470000</v>
      </c>
      <c r="D27" s="60">
        <f t="shared" si="2"/>
        <v>14823000</v>
      </c>
      <c r="E27" s="60">
        <f t="shared" si="24"/>
        <v>30</v>
      </c>
      <c r="F27" s="60">
        <f t="shared" si="25"/>
        <v>941553811</v>
      </c>
      <c r="G27" s="60">
        <f>ROUND(F27*E27*Input!$C$3/365,0)</f>
        <v>11608198</v>
      </c>
      <c r="H27" s="60">
        <f>IF($A27&lt;=Input!$C$6,0,IF('120M'!D27&lt;'120M'!F27,'120M'!D27-G27,'120M'!F27))</f>
        <v>3214802</v>
      </c>
      <c r="I27" s="60">
        <f t="shared" si="26"/>
        <v>14823000</v>
      </c>
      <c r="J27" s="60">
        <f t="shared" si="27"/>
        <v>938339009</v>
      </c>
      <c r="K27" s="202">
        <f>J27/Input!$K$5</f>
        <v>3.1277966966666666</v>
      </c>
      <c r="L27" s="232"/>
      <c r="M27" s="60">
        <f>IF($B27&lt;Input!$H$43,IF($B27&lt;Input!$G$43,IF($B27&lt;Input!$F$43,IF($B27&lt;Input!$E$43,IF($B27&lt;Input!$D$43,Input!$C$49,Input!$D$49),Input!$E$49),Input!$F$49),Input!$G$49),Input!$H$49)</f>
        <v>16470000</v>
      </c>
      <c r="N27" s="190">
        <f>IF($A27&lt;Input!$H$50,IF($A27&lt;Input!$G$50,IF($A27&lt;Input!$F$50,IF($A27&lt;Input!$E$50,IF($A27&lt;Input!$D$50,Input!$C$51,Input!$D$51),Input!$E$51),Input!$F$51),Input!$G$51),Input!$H$51)</f>
        <v>0.9</v>
      </c>
      <c r="O27" s="60">
        <f t="shared" si="0"/>
        <v>14823000</v>
      </c>
      <c r="P27" s="60">
        <f t="shared" si="3"/>
        <v>30</v>
      </c>
      <c r="Q27" s="60">
        <f t="shared" si="4"/>
        <v>941553811</v>
      </c>
      <c r="R27" s="60">
        <f>ROUND(Q27*$P27*Input!$C$3/365,0)</f>
        <v>11608198</v>
      </c>
      <c r="S27" s="60">
        <f>IF(A27&lt;=Input!$C$6,0,IF('120M'!O27&lt;'120M'!Q27,'120M'!O27-R27,'120M'!Q27))</f>
        <v>3214802</v>
      </c>
      <c r="T27" s="60">
        <f t="shared" si="5"/>
        <v>14823000</v>
      </c>
      <c r="U27" s="60">
        <f t="shared" si="6"/>
        <v>938339009</v>
      </c>
      <c r="V27" s="193"/>
      <c r="W27" s="169">
        <v>23</v>
      </c>
      <c r="X27" s="1">
        <f t="shared" si="28"/>
        <v>46218</v>
      </c>
      <c r="Y27" s="60">
        <f>IF($X27&lt;Input!$H$58,IF($X27&lt;Input!$G$58,IF($X27&lt;Input!$F$58,IF($X27&lt;Input!$E$58,IF($X27&lt;Input!$D$58,Input!$C$64,Input!$D$64),Input!$E$64),Input!$F$64),Input!$G$64),Input!$H$64)</f>
        <v>0</v>
      </c>
      <c r="Z27" s="190">
        <f>IF($A27&lt;Input!$H$65,IF($A27&lt;Input!$G$65,IF($A27&lt;Input!$F$65,IF($A27&lt;Input!$E$65,IF($A27&lt;Input!$D$65,Input!$C$66,Input!$D$66),Input!$E$66),Input!$F$66),Input!$G$66),Input!$H$66)</f>
        <v>0.9</v>
      </c>
      <c r="AA27" s="60">
        <f t="shared" si="7"/>
        <v>0</v>
      </c>
      <c r="AB27" s="60">
        <f t="shared" si="29"/>
        <v>30</v>
      </c>
      <c r="AC27" s="60">
        <f t="shared" si="8"/>
        <v>0</v>
      </c>
      <c r="AD27" s="60">
        <f>ROUND(AC27*AB27*Input!$C$3/365,0)</f>
        <v>0</v>
      </c>
      <c r="AE27" s="61">
        <f>IF($A27&lt;=Input!$C$6,0,IF('120M'!AA27&lt;'120M'!AC27,'120M'!AA27-AD27,'120M'!AC27))</f>
        <v>0</v>
      </c>
      <c r="AF27" s="61">
        <f t="shared" si="9"/>
        <v>0</v>
      </c>
      <c r="AG27" s="60">
        <f t="shared" si="10"/>
        <v>0</v>
      </c>
      <c r="AH27" s="193"/>
      <c r="AI27" s="169">
        <v>23</v>
      </c>
      <c r="AJ27" s="1">
        <f t="shared" si="30"/>
        <v>46218</v>
      </c>
      <c r="AK27" s="60">
        <f>IF($X27&lt;Input!$H$73,IF($X27&lt;Input!$G$73,IF($X27&lt;Input!$F$73,IF($X27&lt;Input!$E$73,IF($X27&lt;Input!$D$73,Input!$C$79,Input!$D$79),Input!$E$79),Input!$F$79),Input!$G$79),Input!$H$79)</f>
        <v>0</v>
      </c>
      <c r="AL27" s="190">
        <f>IF($A27&lt;Input!$H$80,IF($A27&lt;Input!$G$80,IF($A27&lt;Input!$F$80,IF($A27&lt;Input!$E$80,IF($A27&lt;Input!$D$80,Input!$C$81,Input!$D$81),Input!$E$81),Input!$F$81),Input!$G$81),Input!$H$81)</f>
        <v>0.9</v>
      </c>
      <c r="AM27" s="60">
        <f t="shared" si="11"/>
        <v>0</v>
      </c>
      <c r="AN27" s="60">
        <f t="shared" si="31"/>
        <v>30</v>
      </c>
      <c r="AO27" s="60">
        <f t="shared" si="12"/>
        <v>0</v>
      </c>
      <c r="AP27" s="60">
        <f>ROUND(AO27*AN27*Input!$C$3/365,0)</f>
        <v>0</v>
      </c>
      <c r="AQ27" s="61">
        <f>IF($A27&lt;=Input!$C$6,0,IF('120M'!AM27&lt;'120M'!AO27,'120M'!AM27-AP27,'120M'!AO27))</f>
        <v>0</v>
      </c>
      <c r="AR27" s="61">
        <f t="shared" si="13"/>
        <v>0</v>
      </c>
      <c r="AS27" s="60">
        <f t="shared" si="14"/>
        <v>0</v>
      </c>
      <c r="AT27" s="193"/>
      <c r="AU27" s="169">
        <v>23</v>
      </c>
      <c r="AV27" s="1">
        <f t="shared" si="32"/>
        <v>46218</v>
      </c>
      <c r="AW27" s="60">
        <f>IF($X27&lt;Input!$H$88,IF($X27&lt;Input!$G$88,IF($X27&lt;Input!$F$88,IF($X27&lt;Input!$E$88,IF($X27&lt;Input!$D$88,Input!$C$94,Input!$D$94),Input!$E$94),Input!$F$94),Input!$G$94),Input!$H$94)</f>
        <v>0</v>
      </c>
      <c r="AX27" s="190">
        <f>IF($A27&lt;Input!$H$95,IF($A27&lt;Input!$G$95,IF($A27&lt;Input!$F$95,IF($A27&lt;Input!$E$95,IF($A27&lt;Input!$D$95,Input!$C$96,Input!$D$96),Input!$E$96),Input!$F$96),Input!$G$96),Input!$H$96)</f>
        <v>0.9</v>
      </c>
      <c r="AY27" s="60">
        <f t="shared" si="15"/>
        <v>0</v>
      </c>
      <c r="AZ27" s="60">
        <f t="shared" si="33"/>
        <v>30</v>
      </c>
      <c r="BA27" s="60">
        <f t="shared" si="16"/>
        <v>0</v>
      </c>
      <c r="BB27" s="60">
        <f>ROUND(BA27*AZ27*Input!$C$3/365,0)</f>
        <v>0</v>
      </c>
      <c r="BC27" s="61">
        <f>IF($A27&lt;=Input!$C$6,0,IF('120M'!AY27&lt;'120M'!BA27,'120M'!AY27-BB27,'120M'!BA27))</f>
        <v>0</v>
      </c>
      <c r="BD27" s="61">
        <f t="shared" si="17"/>
        <v>0</v>
      </c>
      <c r="BE27" s="60">
        <f t="shared" si="18"/>
        <v>0</v>
      </c>
      <c r="BF27" s="193"/>
      <c r="BG27" s="169">
        <v>23</v>
      </c>
      <c r="BH27" s="1">
        <f t="shared" si="34"/>
        <v>46218</v>
      </c>
      <c r="BI27" s="60">
        <f>IF($X27&lt;Input!$H$103,IF($X27&lt;Input!$G$103,IF($X27&lt;Input!$F$103,IF($X27&lt;Input!$E$103,IF($X27&lt;Input!$D$103,Input!$C$109,Input!$D$109),Input!$E$109),Input!$F$109),Input!$G$109),Input!$H$109)</f>
        <v>0</v>
      </c>
      <c r="BJ27" s="190">
        <f>IF($A27&lt;Input!$H$110,IF($A27&lt;Input!$G$110,IF($A27&lt;Input!$F$110,IF($A27&lt;Input!$E$110,IF($A27&lt;Input!$D$110,Input!$C$111,Input!$D$111),Input!$E$111),Input!$F$111),Input!$G$111),Input!$H$111)</f>
        <v>0.9</v>
      </c>
      <c r="BK27" s="60">
        <f t="shared" si="19"/>
        <v>0</v>
      </c>
      <c r="BL27" s="60">
        <f t="shared" si="35"/>
        <v>30</v>
      </c>
      <c r="BM27" s="60">
        <f t="shared" si="20"/>
        <v>0</v>
      </c>
      <c r="BN27" s="60">
        <f>ROUND(BM27*BL27*Input!$C$3/365,0)</f>
        <v>0</v>
      </c>
      <c r="BO27" s="61">
        <f>IF($A27&lt;=Input!$C$6,0,IF('120M'!BK27&lt;'120M'!BM27,'120M'!BK27-BN27,'120M'!BM27))</f>
        <v>0</v>
      </c>
      <c r="BP27" s="61">
        <f t="shared" si="21"/>
        <v>0</v>
      </c>
      <c r="BQ27" s="60">
        <f t="shared" si="22"/>
        <v>0</v>
      </c>
      <c r="BR27" s="198"/>
    </row>
    <row r="28" spans="1:70" x14ac:dyDescent="0.25">
      <c r="A28" s="169">
        <v>24</v>
      </c>
      <c r="B28" s="1">
        <f t="shared" si="23"/>
        <v>46249</v>
      </c>
      <c r="C28" s="60">
        <f t="shared" si="1"/>
        <v>16470000</v>
      </c>
      <c r="D28" s="60">
        <f t="shared" si="2"/>
        <v>14823000</v>
      </c>
      <c r="E28" s="60">
        <f t="shared" si="24"/>
        <v>31</v>
      </c>
      <c r="F28" s="60">
        <f t="shared" si="25"/>
        <v>938339009</v>
      </c>
      <c r="G28" s="60">
        <f>ROUND(F28*E28*Input!$C$3/365,0)</f>
        <v>11954182</v>
      </c>
      <c r="H28" s="60">
        <f>IF($A28&lt;=Input!$C$6,0,IF('120M'!D28&lt;'120M'!F28,'120M'!D28-G28,'120M'!F28))</f>
        <v>2868818</v>
      </c>
      <c r="I28" s="60">
        <f t="shared" si="26"/>
        <v>14823000</v>
      </c>
      <c r="J28" s="60">
        <f t="shared" si="27"/>
        <v>935470191</v>
      </c>
      <c r="K28" s="202">
        <f>J28/Input!$K$5</f>
        <v>3.1182339699999999</v>
      </c>
      <c r="L28" s="232"/>
      <c r="M28" s="60">
        <f>IF($B28&lt;Input!$H$43,IF($B28&lt;Input!$G$43,IF($B28&lt;Input!$F$43,IF($B28&lt;Input!$E$43,IF($B28&lt;Input!$D$43,Input!$C$49,Input!$D$49),Input!$E$49),Input!$F$49),Input!$G$49),Input!$H$49)</f>
        <v>16470000</v>
      </c>
      <c r="N28" s="190">
        <f>IF($A28&lt;Input!$H$50,IF($A28&lt;Input!$G$50,IF($A28&lt;Input!$F$50,IF($A28&lt;Input!$E$50,IF($A28&lt;Input!$D$50,Input!$C$51,Input!$D$51),Input!$E$51),Input!$F$51),Input!$G$51),Input!$H$51)</f>
        <v>0.9</v>
      </c>
      <c r="O28" s="60">
        <f t="shared" si="0"/>
        <v>14823000</v>
      </c>
      <c r="P28" s="60">
        <f t="shared" si="3"/>
        <v>31</v>
      </c>
      <c r="Q28" s="60">
        <f t="shared" si="4"/>
        <v>938339009</v>
      </c>
      <c r="R28" s="60">
        <f>ROUND(Q28*$P28*Input!$C$3/365,0)</f>
        <v>11954182</v>
      </c>
      <c r="S28" s="60">
        <f>IF(A28&lt;=Input!$C$6,0,IF('120M'!O28&lt;'120M'!Q28,'120M'!O28-R28,'120M'!Q28))</f>
        <v>2868818</v>
      </c>
      <c r="T28" s="60">
        <f t="shared" si="5"/>
        <v>14823000</v>
      </c>
      <c r="U28" s="60">
        <f t="shared" si="6"/>
        <v>935470191</v>
      </c>
      <c r="V28" s="193"/>
      <c r="W28" s="169">
        <v>24</v>
      </c>
      <c r="X28" s="1">
        <f t="shared" si="28"/>
        <v>46249</v>
      </c>
      <c r="Y28" s="60">
        <f>IF($X28&lt;Input!$H$58,IF($X28&lt;Input!$G$58,IF($X28&lt;Input!$F$58,IF($X28&lt;Input!$E$58,IF($X28&lt;Input!$D$58,Input!$C$64,Input!$D$64),Input!$E$64),Input!$F$64),Input!$G$64),Input!$H$64)</f>
        <v>0</v>
      </c>
      <c r="Z28" s="190">
        <f>IF($A28&lt;Input!$H$65,IF($A28&lt;Input!$G$65,IF($A28&lt;Input!$F$65,IF($A28&lt;Input!$E$65,IF($A28&lt;Input!$D$65,Input!$C$66,Input!$D$66),Input!$E$66),Input!$F$66),Input!$G$66),Input!$H$66)</f>
        <v>0.9</v>
      </c>
      <c r="AA28" s="60">
        <f t="shared" si="7"/>
        <v>0</v>
      </c>
      <c r="AB28" s="60">
        <f t="shared" si="29"/>
        <v>31</v>
      </c>
      <c r="AC28" s="60">
        <f t="shared" si="8"/>
        <v>0</v>
      </c>
      <c r="AD28" s="60">
        <f>ROUND(AC28*AB28*Input!$C$3/365,0)</f>
        <v>0</v>
      </c>
      <c r="AE28" s="61">
        <f>IF($A28&lt;=Input!$C$6,0,IF('120M'!AA28&lt;'120M'!AC28,'120M'!AA28-AD28,'120M'!AC28))</f>
        <v>0</v>
      </c>
      <c r="AF28" s="61">
        <f t="shared" si="9"/>
        <v>0</v>
      </c>
      <c r="AG28" s="60">
        <f t="shared" si="10"/>
        <v>0</v>
      </c>
      <c r="AH28" s="193"/>
      <c r="AI28" s="169">
        <v>24</v>
      </c>
      <c r="AJ28" s="1">
        <f t="shared" si="30"/>
        <v>46249</v>
      </c>
      <c r="AK28" s="60">
        <f>IF($X28&lt;Input!$H$73,IF($X28&lt;Input!$G$73,IF($X28&lt;Input!$F$73,IF($X28&lt;Input!$E$73,IF($X28&lt;Input!$D$73,Input!$C$79,Input!$D$79),Input!$E$79),Input!$F$79),Input!$G$79),Input!$H$79)</f>
        <v>0</v>
      </c>
      <c r="AL28" s="190">
        <f>IF($A28&lt;Input!$H$80,IF($A28&lt;Input!$G$80,IF($A28&lt;Input!$F$80,IF($A28&lt;Input!$E$80,IF($A28&lt;Input!$D$80,Input!$C$81,Input!$D$81),Input!$E$81),Input!$F$81),Input!$G$81),Input!$H$81)</f>
        <v>0.9</v>
      </c>
      <c r="AM28" s="60">
        <f t="shared" si="11"/>
        <v>0</v>
      </c>
      <c r="AN28" s="60">
        <f t="shared" si="31"/>
        <v>31</v>
      </c>
      <c r="AO28" s="60">
        <f t="shared" si="12"/>
        <v>0</v>
      </c>
      <c r="AP28" s="60">
        <f>ROUND(AO28*AN28*Input!$C$3/365,0)</f>
        <v>0</v>
      </c>
      <c r="AQ28" s="61">
        <f>IF($A28&lt;=Input!$C$6,0,IF('120M'!AM28&lt;'120M'!AO28,'120M'!AM28-AP28,'120M'!AO28))</f>
        <v>0</v>
      </c>
      <c r="AR28" s="61">
        <f t="shared" si="13"/>
        <v>0</v>
      </c>
      <c r="AS28" s="60">
        <f t="shared" si="14"/>
        <v>0</v>
      </c>
      <c r="AT28" s="193"/>
      <c r="AU28" s="169">
        <v>24</v>
      </c>
      <c r="AV28" s="1">
        <f t="shared" si="32"/>
        <v>46249</v>
      </c>
      <c r="AW28" s="60">
        <f>IF($X28&lt;Input!$H$88,IF($X28&lt;Input!$G$88,IF($X28&lt;Input!$F$88,IF($X28&lt;Input!$E$88,IF($X28&lt;Input!$D$88,Input!$C$94,Input!$D$94),Input!$E$94),Input!$F$94),Input!$G$94),Input!$H$94)</f>
        <v>0</v>
      </c>
      <c r="AX28" s="190">
        <f>IF($A28&lt;Input!$H$95,IF($A28&lt;Input!$G$95,IF($A28&lt;Input!$F$95,IF($A28&lt;Input!$E$95,IF($A28&lt;Input!$D$95,Input!$C$96,Input!$D$96),Input!$E$96),Input!$F$96),Input!$G$96),Input!$H$96)</f>
        <v>0.9</v>
      </c>
      <c r="AY28" s="60">
        <f t="shared" si="15"/>
        <v>0</v>
      </c>
      <c r="AZ28" s="60">
        <f t="shared" si="33"/>
        <v>31</v>
      </c>
      <c r="BA28" s="60">
        <f t="shared" si="16"/>
        <v>0</v>
      </c>
      <c r="BB28" s="60">
        <f>ROUND(BA28*AZ28*Input!$C$3/365,0)</f>
        <v>0</v>
      </c>
      <c r="BC28" s="61">
        <f>IF($A28&lt;=Input!$C$6,0,IF('120M'!AY28&lt;'120M'!BA28,'120M'!AY28-BB28,'120M'!BA28))</f>
        <v>0</v>
      </c>
      <c r="BD28" s="61">
        <f t="shared" si="17"/>
        <v>0</v>
      </c>
      <c r="BE28" s="60">
        <f t="shared" si="18"/>
        <v>0</v>
      </c>
      <c r="BF28" s="193"/>
      <c r="BG28" s="169">
        <v>24</v>
      </c>
      <c r="BH28" s="1">
        <f t="shared" si="34"/>
        <v>46249</v>
      </c>
      <c r="BI28" s="60">
        <f>IF($X28&lt;Input!$H$103,IF($X28&lt;Input!$G$103,IF($X28&lt;Input!$F$103,IF($X28&lt;Input!$E$103,IF($X28&lt;Input!$D$103,Input!$C$109,Input!$D$109),Input!$E$109),Input!$F$109),Input!$G$109),Input!$H$109)</f>
        <v>0</v>
      </c>
      <c r="BJ28" s="190">
        <f>IF($A28&lt;Input!$H$110,IF($A28&lt;Input!$G$110,IF($A28&lt;Input!$F$110,IF($A28&lt;Input!$E$110,IF($A28&lt;Input!$D$110,Input!$C$111,Input!$D$111),Input!$E$111),Input!$F$111),Input!$G$111),Input!$H$111)</f>
        <v>0.9</v>
      </c>
      <c r="BK28" s="60">
        <f t="shared" si="19"/>
        <v>0</v>
      </c>
      <c r="BL28" s="60">
        <f t="shared" si="35"/>
        <v>31</v>
      </c>
      <c r="BM28" s="60">
        <f t="shared" si="20"/>
        <v>0</v>
      </c>
      <c r="BN28" s="60">
        <f>ROUND(BM28*BL28*Input!$C$3/365,0)</f>
        <v>0</v>
      </c>
      <c r="BO28" s="61">
        <f>IF($A28&lt;=Input!$C$6,0,IF('120M'!BK28&lt;'120M'!BM28,'120M'!BK28-BN28,'120M'!BM28))</f>
        <v>0</v>
      </c>
      <c r="BP28" s="61">
        <f t="shared" si="21"/>
        <v>0</v>
      </c>
      <c r="BQ28" s="60">
        <f t="shared" si="22"/>
        <v>0</v>
      </c>
      <c r="BR28" s="198"/>
    </row>
    <row r="29" spans="1:70" x14ac:dyDescent="0.25">
      <c r="A29" s="169">
        <v>25</v>
      </c>
      <c r="B29" s="1">
        <f t="shared" si="23"/>
        <v>46280</v>
      </c>
      <c r="C29" s="60">
        <f t="shared" si="1"/>
        <v>16470000</v>
      </c>
      <c r="D29" s="60">
        <f t="shared" si="2"/>
        <v>14823000</v>
      </c>
      <c r="E29" s="60">
        <f t="shared" si="24"/>
        <v>31</v>
      </c>
      <c r="F29" s="60">
        <f t="shared" si="25"/>
        <v>935470191</v>
      </c>
      <c r="G29" s="60">
        <f>ROUND(F29*E29*Input!$C$3/365,0)</f>
        <v>11917634</v>
      </c>
      <c r="H29" s="60">
        <f>IF($A29&lt;=Input!$C$6,0,IF('120M'!D29&lt;'120M'!F29,'120M'!D29-G29,'120M'!F29))</f>
        <v>2905366</v>
      </c>
      <c r="I29" s="60">
        <f t="shared" si="26"/>
        <v>14823000</v>
      </c>
      <c r="J29" s="60">
        <f t="shared" si="27"/>
        <v>932564825</v>
      </c>
      <c r="K29" s="202">
        <f>J29/Input!$K$5</f>
        <v>3.1085494166666665</v>
      </c>
      <c r="L29" s="232"/>
      <c r="M29" s="60">
        <f>IF($B29&lt;Input!$H$43,IF($B29&lt;Input!$G$43,IF($B29&lt;Input!$F$43,IF($B29&lt;Input!$E$43,IF($B29&lt;Input!$D$43,Input!$C$49,Input!$D$49),Input!$E$49),Input!$F$49),Input!$G$49),Input!$H$49)</f>
        <v>16470000</v>
      </c>
      <c r="N29" s="190">
        <f>IF($A29&lt;Input!$H$50,IF($A29&lt;Input!$G$50,IF($A29&lt;Input!$F$50,IF($A29&lt;Input!$E$50,IF($A29&lt;Input!$D$50,Input!$C$51,Input!$D$51),Input!$E$51),Input!$F$51),Input!$G$51),Input!$H$51)</f>
        <v>0.9</v>
      </c>
      <c r="O29" s="60">
        <f t="shared" si="0"/>
        <v>14823000</v>
      </c>
      <c r="P29" s="60">
        <f t="shared" si="3"/>
        <v>31</v>
      </c>
      <c r="Q29" s="60">
        <f t="shared" si="4"/>
        <v>935470191</v>
      </c>
      <c r="R29" s="60">
        <f>ROUND(Q29*$P29*Input!$C$3/365,0)</f>
        <v>11917634</v>
      </c>
      <c r="S29" s="60">
        <f>IF(A29&lt;=Input!$C$6,0,IF('120M'!O29&lt;'120M'!Q29,'120M'!O29-R29,'120M'!Q29))</f>
        <v>2905366</v>
      </c>
      <c r="T29" s="60">
        <f t="shared" si="5"/>
        <v>14823000</v>
      </c>
      <c r="U29" s="60">
        <f t="shared" si="6"/>
        <v>932564825</v>
      </c>
      <c r="V29" s="193"/>
      <c r="W29" s="169">
        <v>25</v>
      </c>
      <c r="X29" s="1">
        <f t="shared" si="28"/>
        <v>46280</v>
      </c>
      <c r="Y29" s="60">
        <f>IF($X29&lt;Input!$H$58,IF($X29&lt;Input!$G$58,IF($X29&lt;Input!$F$58,IF($X29&lt;Input!$E$58,IF($X29&lt;Input!$D$58,Input!$C$64,Input!$D$64),Input!$E$64),Input!$F$64),Input!$G$64),Input!$H$64)</f>
        <v>0</v>
      </c>
      <c r="Z29" s="190">
        <f>IF($A29&lt;Input!$H$65,IF($A29&lt;Input!$G$65,IF($A29&lt;Input!$F$65,IF($A29&lt;Input!$E$65,IF($A29&lt;Input!$D$65,Input!$C$66,Input!$D$66),Input!$E$66),Input!$F$66),Input!$G$66),Input!$H$66)</f>
        <v>0.9</v>
      </c>
      <c r="AA29" s="60">
        <f t="shared" si="7"/>
        <v>0</v>
      </c>
      <c r="AB29" s="60">
        <f t="shared" si="29"/>
        <v>31</v>
      </c>
      <c r="AC29" s="60">
        <f t="shared" si="8"/>
        <v>0</v>
      </c>
      <c r="AD29" s="60">
        <f>ROUND(AC29*AB29*Input!$C$3/365,0)</f>
        <v>0</v>
      </c>
      <c r="AE29" s="61">
        <f>IF($A29&lt;=Input!$C$6,0,IF('120M'!AA29&lt;'120M'!AC29,'120M'!AA29-AD29,'120M'!AC29))</f>
        <v>0</v>
      </c>
      <c r="AF29" s="61">
        <f t="shared" si="9"/>
        <v>0</v>
      </c>
      <c r="AG29" s="60">
        <f t="shared" si="10"/>
        <v>0</v>
      </c>
      <c r="AH29" s="193"/>
      <c r="AI29" s="169">
        <v>25</v>
      </c>
      <c r="AJ29" s="1">
        <f t="shared" si="30"/>
        <v>46280</v>
      </c>
      <c r="AK29" s="60">
        <f>IF($X29&lt;Input!$H$73,IF($X29&lt;Input!$G$73,IF($X29&lt;Input!$F$73,IF($X29&lt;Input!$E$73,IF($X29&lt;Input!$D$73,Input!$C$79,Input!$D$79),Input!$E$79),Input!$F$79),Input!$G$79),Input!$H$79)</f>
        <v>0</v>
      </c>
      <c r="AL29" s="190">
        <f>IF($A29&lt;Input!$H$80,IF($A29&lt;Input!$G$80,IF($A29&lt;Input!$F$80,IF($A29&lt;Input!$E$80,IF($A29&lt;Input!$D$80,Input!$C$81,Input!$D$81),Input!$E$81),Input!$F$81),Input!$G$81),Input!$H$81)</f>
        <v>0.9</v>
      </c>
      <c r="AM29" s="60">
        <f t="shared" si="11"/>
        <v>0</v>
      </c>
      <c r="AN29" s="60">
        <f t="shared" si="31"/>
        <v>31</v>
      </c>
      <c r="AO29" s="60">
        <f t="shared" si="12"/>
        <v>0</v>
      </c>
      <c r="AP29" s="60">
        <f>ROUND(AO29*AN29*Input!$C$3/365,0)</f>
        <v>0</v>
      </c>
      <c r="AQ29" s="61">
        <f>IF($A29&lt;=Input!$C$6,0,IF('120M'!AM29&lt;'120M'!AO29,'120M'!AM29-AP29,'120M'!AO29))</f>
        <v>0</v>
      </c>
      <c r="AR29" s="61">
        <f t="shared" si="13"/>
        <v>0</v>
      </c>
      <c r="AS29" s="60">
        <f t="shared" si="14"/>
        <v>0</v>
      </c>
      <c r="AT29" s="193"/>
      <c r="AU29" s="169">
        <v>25</v>
      </c>
      <c r="AV29" s="1">
        <f t="shared" si="32"/>
        <v>46280</v>
      </c>
      <c r="AW29" s="60">
        <f>IF($X29&lt;Input!$H$88,IF($X29&lt;Input!$G$88,IF($X29&lt;Input!$F$88,IF($X29&lt;Input!$E$88,IF($X29&lt;Input!$D$88,Input!$C$94,Input!$D$94),Input!$E$94),Input!$F$94),Input!$G$94),Input!$H$94)</f>
        <v>0</v>
      </c>
      <c r="AX29" s="190">
        <f>IF($A29&lt;Input!$H$95,IF($A29&lt;Input!$G$95,IF($A29&lt;Input!$F$95,IF($A29&lt;Input!$E$95,IF($A29&lt;Input!$D$95,Input!$C$96,Input!$D$96),Input!$E$96),Input!$F$96),Input!$G$96),Input!$H$96)</f>
        <v>0.9</v>
      </c>
      <c r="AY29" s="60">
        <f t="shared" si="15"/>
        <v>0</v>
      </c>
      <c r="AZ29" s="60">
        <f t="shared" si="33"/>
        <v>31</v>
      </c>
      <c r="BA29" s="60">
        <f t="shared" si="16"/>
        <v>0</v>
      </c>
      <c r="BB29" s="60">
        <f>ROUND(BA29*AZ29*Input!$C$3/365,0)</f>
        <v>0</v>
      </c>
      <c r="BC29" s="61">
        <f>IF($A29&lt;=Input!$C$6,0,IF('120M'!AY29&lt;'120M'!BA29,'120M'!AY29-BB29,'120M'!BA29))</f>
        <v>0</v>
      </c>
      <c r="BD29" s="61">
        <f t="shared" si="17"/>
        <v>0</v>
      </c>
      <c r="BE29" s="60">
        <f t="shared" si="18"/>
        <v>0</v>
      </c>
      <c r="BF29" s="193"/>
      <c r="BG29" s="169">
        <v>25</v>
      </c>
      <c r="BH29" s="1">
        <f t="shared" si="34"/>
        <v>46280</v>
      </c>
      <c r="BI29" s="60">
        <f>IF($X29&lt;Input!$H$103,IF($X29&lt;Input!$G$103,IF($X29&lt;Input!$F$103,IF($X29&lt;Input!$E$103,IF($X29&lt;Input!$D$103,Input!$C$109,Input!$D$109),Input!$E$109),Input!$F$109),Input!$G$109),Input!$H$109)</f>
        <v>0</v>
      </c>
      <c r="BJ29" s="190">
        <f>IF($A29&lt;Input!$H$110,IF($A29&lt;Input!$G$110,IF($A29&lt;Input!$F$110,IF($A29&lt;Input!$E$110,IF($A29&lt;Input!$D$110,Input!$C$111,Input!$D$111),Input!$E$111),Input!$F$111),Input!$G$111),Input!$H$111)</f>
        <v>0.9</v>
      </c>
      <c r="BK29" s="60">
        <f t="shared" si="19"/>
        <v>0</v>
      </c>
      <c r="BL29" s="60">
        <f t="shared" si="35"/>
        <v>31</v>
      </c>
      <c r="BM29" s="60">
        <f t="shared" si="20"/>
        <v>0</v>
      </c>
      <c r="BN29" s="60">
        <f>ROUND(BM29*BL29*Input!$C$3/365,0)</f>
        <v>0</v>
      </c>
      <c r="BO29" s="61">
        <f>IF($A29&lt;=Input!$C$6,0,IF('120M'!BK29&lt;'120M'!BM29,'120M'!BK29-BN29,'120M'!BM29))</f>
        <v>0</v>
      </c>
      <c r="BP29" s="61">
        <f t="shared" si="21"/>
        <v>0</v>
      </c>
      <c r="BQ29" s="60">
        <f t="shared" si="22"/>
        <v>0</v>
      </c>
      <c r="BR29" s="198"/>
    </row>
    <row r="30" spans="1:70" x14ac:dyDescent="0.25">
      <c r="A30" s="169">
        <v>26</v>
      </c>
      <c r="B30" s="1">
        <f t="shared" si="23"/>
        <v>46310</v>
      </c>
      <c r="C30" s="60">
        <f t="shared" si="1"/>
        <v>16470000</v>
      </c>
      <c r="D30" s="60">
        <f t="shared" si="2"/>
        <v>14823000</v>
      </c>
      <c r="E30" s="60">
        <f t="shared" si="24"/>
        <v>30</v>
      </c>
      <c r="F30" s="60">
        <f t="shared" si="25"/>
        <v>932564825</v>
      </c>
      <c r="G30" s="60">
        <f>ROUND(F30*E30*Input!$C$3/365,0)</f>
        <v>11497375</v>
      </c>
      <c r="H30" s="60">
        <f>IF($A30&lt;=Input!$C$6,0,IF('120M'!D30&lt;'120M'!F30,'120M'!D30-G30,'120M'!F30))</f>
        <v>3325625</v>
      </c>
      <c r="I30" s="60">
        <f t="shared" si="26"/>
        <v>14823000</v>
      </c>
      <c r="J30" s="60">
        <f t="shared" si="27"/>
        <v>929239200</v>
      </c>
      <c r="K30" s="202">
        <f>J30/Input!$K$5</f>
        <v>3.097464</v>
      </c>
      <c r="L30" s="232"/>
      <c r="M30" s="60">
        <f>IF($B30&lt;Input!$H$43,IF($B30&lt;Input!$G$43,IF($B30&lt;Input!$F$43,IF($B30&lt;Input!$E$43,IF($B30&lt;Input!$D$43,Input!$C$49,Input!$D$49),Input!$E$49),Input!$F$49),Input!$G$49),Input!$H$49)</f>
        <v>16470000</v>
      </c>
      <c r="N30" s="190">
        <f>IF($A30&lt;Input!$H$50,IF($A30&lt;Input!$G$50,IF($A30&lt;Input!$F$50,IF($A30&lt;Input!$E$50,IF($A30&lt;Input!$D$50,Input!$C$51,Input!$D$51),Input!$E$51),Input!$F$51),Input!$G$51),Input!$H$51)</f>
        <v>0.9</v>
      </c>
      <c r="O30" s="60">
        <f t="shared" si="0"/>
        <v>14823000</v>
      </c>
      <c r="P30" s="60">
        <f t="shared" si="3"/>
        <v>30</v>
      </c>
      <c r="Q30" s="60">
        <f t="shared" si="4"/>
        <v>932564825</v>
      </c>
      <c r="R30" s="60">
        <f>ROUND(Q30*$P30*Input!$C$3/365,0)</f>
        <v>11497375</v>
      </c>
      <c r="S30" s="60">
        <f>IF(A30&lt;=Input!$C$6,0,IF('120M'!O30&lt;'120M'!Q30,'120M'!O30-R30,'120M'!Q30))</f>
        <v>3325625</v>
      </c>
      <c r="T30" s="60">
        <f t="shared" si="5"/>
        <v>14823000</v>
      </c>
      <c r="U30" s="60">
        <f t="shared" si="6"/>
        <v>929239200</v>
      </c>
      <c r="V30" s="193"/>
      <c r="W30" s="169">
        <v>26</v>
      </c>
      <c r="X30" s="1">
        <f t="shared" si="28"/>
        <v>46310</v>
      </c>
      <c r="Y30" s="60">
        <f>IF($X30&lt;Input!$H$58,IF($X30&lt;Input!$G$58,IF($X30&lt;Input!$F$58,IF($X30&lt;Input!$E$58,IF($X30&lt;Input!$D$58,Input!$C$64,Input!$D$64),Input!$E$64),Input!$F$64),Input!$G$64),Input!$H$64)</f>
        <v>0</v>
      </c>
      <c r="Z30" s="190">
        <f>IF($A30&lt;Input!$H$65,IF($A30&lt;Input!$G$65,IF($A30&lt;Input!$F$65,IF($A30&lt;Input!$E$65,IF($A30&lt;Input!$D$65,Input!$C$66,Input!$D$66),Input!$E$66),Input!$F$66),Input!$G$66),Input!$H$66)</f>
        <v>0.9</v>
      </c>
      <c r="AA30" s="60">
        <f t="shared" si="7"/>
        <v>0</v>
      </c>
      <c r="AB30" s="60">
        <f t="shared" si="29"/>
        <v>30</v>
      </c>
      <c r="AC30" s="60">
        <f t="shared" si="8"/>
        <v>0</v>
      </c>
      <c r="AD30" s="60">
        <f>ROUND(AC30*AB30*Input!$C$3/365,0)</f>
        <v>0</v>
      </c>
      <c r="AE30" s="61">
        <f>IF($A30&lt;=Input!$C$6,0,IF('120M'!AA30&lt;'120M'!AC30,'120M'!AA30-AD30,'120M'!AC30))</f>
        <v>0</v>
      </c>
      <c r="AF30" s="61">
        <f t="shared" si="9"/>
        <v>0</v>
      </c>
      <c r="AG30" s="60">
        <f t="shared" si="10"/>
        <v>0</v>
      </c>
      <c r="AH30" s="193"/>
      <c r="AI30" s="169">
        <v>26</v>
      </c>
      <c r="AJ30" s="1">
        <f t="shared" si="30"/>
        <v>46310</v>
      </c>
      <c r="AK30" s="60">
        <f>IF($X30&lt;Input!$H$73,IF($X30&lt;Input!$G$73,IF($X30&lt;Input!$F$73,IF($X30&lt;Input!$E$73,IF($X30&lt;Input!$D$73,Input!$C$79,Input!$D$79),Input!$E$79),Input!$F$79),Input!$G$79),Input!$H$79)</f>
        <v>0</v>
      </c>
      <c r="AL30" s="190">
        <f>IF($A30&lt;Input!$H$80,IF($A30&lt;Input!$G$80,IF($A30&lt;Input!$F$80,IF($A30&lt;Input!$E$80,IF($A30&lt;Input!$D$80,Input!$C$81,Input!$D$81),Input!$E$81),Input!$F$81),Input!$G$81),Input!$H$81)</f>
        <v>0.9</v>
      </c>
      <c r="AM30" s="60">
        <f t="shared" si="11"/>
        <v>0</v>
      </c>
      <c r="AN30" s="60">
        <f t="shared" si="31"/>
        <v>30</v>
      </c>
      <c r="AO30" s="60">
        <f t="shared" si="12"/>
        <v>0</v>
      </c>
      <c r="AP30" s="60">
        <f>ROUND(AO30*AN30*Input!$C$3/365,0)</f>
        <v>0</v>
      </c>
      <c r="AQ30" s="61">
        <f>IF($A30&lt;=Input!$C$6,0,IF('120M'!AM30&lt;'120M'!AO30,'120M'!AM30-AP30,'120M'!AO30))</f>
        <v>0</v>
      </c>
      <c r="AR30" s="61">
        <f t="shared" si="13"/>
        <v>0</v>
      </c>
      <c r="AS30" s="60">
        <f t="shared" si="14"/>
        <v>0</v>
      </c>
      <c r="AT30" s="193"/>
      <c r="AU30" s="169">
        <v>26</v>
      </c>
      <c r="AV30" s="1">
        <f t="shared" si="32"/>
        <v>46310</v>
      </c>
      <c r="AW30" s="60">
        <f>IF($X30&lt;Input!$H$88,IF($X30&lt;Input!$G$88,IF($X30&lt;Input!$F$88,IF($X30&lt;Input!$E$88,IF($X30&lt;Input!$D$88,Input!$C$94,Input!$D$94),Input!$E$94),Input!$F$94),Input!$G$94),Input!$H$94)</f>
        <v>0</v>
      </c>
      <c r="AX30" s="190">
        <f>IF($A30&lt;Input!$H$95,IF($A30&lt;Input!$G$95,IF($A30&lt;Input!$F$95,IF($A30&lt;Input!$E$95,IF($A30&lt;Input!$D$95,Input!$C$96,Input!$D$96),Input!$E$96),Input!$F$96),Input!$G$96),Input!$H$96)</f>
        <v>0.9</v>
      </c>
      <c r="AY30" s="60">
        <f t="shared" si="15"/>
        <v>0</v>
      </c>
      <c r="AZ30" s="60">
        <f t="shared" si="33"/>
        <v>30</v>
      </c>
      <c r="BA30" s="60">
        <f t="shared" si="16"/>
        <v>0</v>
      </c>
      <c r="BB30" s="60">
        <f>ROUND(BA30*AZ30*Input!$C$3/365,0)</f>
        <v>0</v>
      </c>
      <c r="BC30" s="61">
        <f>IF($A30&lt;=Input!$C$6,0,IF('120M'!AY30&lt;'120M'!BA30,'120M'!AY30-BB30,'120M'!BA30))</f>
        <v>0</v>
      </c>
      <c r="BD30" s="61">
        <f t="shared" si="17"/>
        <v>0</v>
      </c>
      <c r="BE30" s="60">
        <f t="shared" si="18"/>
        <v>0</v>
      </c>
      <c r="BF30" s="193"/>
      <c r="BG30" s="169">
        <v>26</v>
      </c>
      <c r="BH30" s="1">
        <f t="shared" si="34"/>
        <v>46310</v>
      </c>
      <c r="BI30" s="60">
        <f>IF($X30&lt;Input!$H$103,IF($X30&lt;Input!$G$103,IF($X30&lt;Input!$F$103,IF($X30&lt;Input!$E$103,IF($X30&lt;Input!$D$103,Input!$C$109,Input!$D$109),Input!$E$109),Input!$F$109),Input!$G$109),Input!$H$109)</f>
        <v>0</v>
      </c>
      <c r="BJ30" s="190">
        <f>IF($A30&lt;Input!$H$110,IF($A30&lt;Input!$G$110,IF($A30&lt;Input!$F$110,IF($A30&lt;Input!$E$110,IF($A30&lt;Input!$D$110,Input!$C$111,Input!$D$111),Input!$E$111),Input!$F$111),Input!$G$111),Input!$H$111)</f>
        <v>0.9</v>
      </c>
      <c r="BK30" s="60">
        <f t="shared" si="19"/>
        <v>0</v>
      </c>
      <c r="BL30" s="60">
        <f t="shared" si="35"/>
        <v>30</v>
      </c>
      <c r="BM30" s="60">
        <f t="shared" si="20"/>
        <v>0</v>
      </c>
      <c r="BN30" s="60">
        <f>ROUND(BM30*BL30*Input!$C$3/365,0)</f>
        <v>0</v>
      </c>
      <c r="BO30" s="61">
        <f>IF($A30&lt;=Input!$C$6,0,IF('120M'!BK30&lt;'120M'!BM30,'120M'!BK30-BN30,'120M'!BM30))</f>
        <v>0</v>
      </c>
      <c r="BP30" s="61">
        <f t="shared" si="21"/>
        <v>0</v>
      </c>
      <c r="BQ30" s="60">
        <f t="shared" si="22"/>
        <v>0</v>
      </c>
      <c r="BR30" s="198"/>
    </row>
    <row r="31" spans="1:70" x14ac:dyDescent="0.25">
      <c r="A31" s="169">
        <v>27</v>
      </c>
      <c r="B31" s="1">
        <f t="shared" si="23"/>
        <v>46341</v>
      </c>
      <c r="C31" s="60">
        <f t="shared" si="1"/>
        <v>16470000</v>
      </c>
      <c r="D31" s="60">
        <f t="shared" si="2"/>
        <v>14823000</v>
      </c>
      <c r="E31" s="60">
        <f t="shared" si="24"/>
        <v>31</v>
      </c>
      <c r="F31" s="60">
        <f t="shared" si="25"/>
        <v>929239200</v>
      </c>
      <c r="G31" s="60">
        <f>ROUND(F31*E31*Input!$C$3/365,0)</f>
        <v>11838253</v>
      </c>
      <c r="H31" s="60">
        <f>IF($A31&lt;=Input!$C$6,0,IF('120M'!D31&lt;'120M'!F31,'120M'!D31-G31,'120M'!F31))</f>
        <v>2984747</v>
      </c>
      <c r="I31" s="60">
        <f t="shared" si="26"/>
        <v>14823000</v>
      </c>
      <c r="J31" s="60">
        <f t="shared" si="27"/>
        <v>926254453</v>
      </c>
      <c r="K31" s="202">
        <f>J31/Input!$K$5</f>
        <v>3.0875148433333335</v>
      </c>
      <c r="L31" s="232"/>
      <c r="M31" s="60">
        <f>IF($B31&lt;Input!$H$43,IF($B31&lt;Input!$G$43,IF($B31&lt;Input!$F$43,IF($B31&lt;Input!$E$43,IF($B31&lt;Input!$D$43,Input!$C$49,Input!$D$49),Input!$E$49),Input!$F$49),Input!$G$49),Input!$H$49)</f>
        <v>16470000</v>
      </c>
      <c r="N31" s="190">
        <f>IF($A31&lt;Input!$H$50,IF($A31&lt;Input!$G$50,IF($A31&lt;Input!$F$50,IF($A31&lt;Input!$E$50,IF($A31&lt;Input!$D$50,Input!$C$51,Input!$D$51),Input!$E$51),Input!$F$51),Input!$G$51),Input!$H$51)</f>
        <v>0.9</v>
      </c>
      <c r="O31" s="60">
        <f t="shared" si="0"/>
        <v>14823000</v>
      </c>
      <c r="P31" s="60">
        <f t="shared" si="3"/>
        <v>31</v>
      </c>
      <c r="Q31" s="60">
        <f t="shared" si="4"/>
        <v>929239200</v>
      </c>
      <c r="R31" s="60">
        <f>ROUND(Q31*$P31*Input!$C$3/365,0)</f>
        <v>11838253</v>
      </c>
      <c r="S31" s="60">
        <f>IF(A31&lt;=Input!$C$6,0,IF('120M'!O31&lt;'120M'!Q31,'120M'!O31-R31,'120M'!Q31))</f>
        <v>2984747</v>
      </c>
      <c r="T31" s="60">
        <f t="shared" si="5"/>
        <v>14823000</v>
      </c>
      <c r="U31" s="60">
        <f t="shared" si="6"/>
        <v>926254453</v>
      </c>
      <c r="V31" s="193"/>
      <c r="W31" s="169">
        <v>27</v>
      </c>
      <c r="X31" s="1">
        <f t="shared" si="28"/>
        <v>46341</v>
      </c>
      <c r="Y31" s="60">
        <f>IF($X31&lt;Input!$H$58,IF($X31&lt;Input!$G$58,IF($X31&lt;Input!$F$58,IF($X31&lt;Input!$E$58,IF($X31&lt;Input!$D$58,Input!$C$64,Input!$D$64),Input!$E$64),Input!$F$64),Input!$G$64),Input!$H$64)</f>
        <v>0</v>
      </c>
      <c r="Z31" s="190">
        <f>IF($A31&lt;Input!$H$65,IF($A31&lt;Input!$G$65,IF($A31&lt;Input!$F$65,IF($A31&lt;Input!$E$65,IF($A31&lt;Input!$D$65,Input!$C$66,Input!$D$66),Input!$E$66),Input!$F$66),Input!$G$66),Input!$H$66)</f>
        <v>0.9</v>
      </c>
      <c r="AA31" s="60">
        <f t="shared" si="7"/>
        <v>0</v>
      </c>
      <c r="AB31" s="60">
        <f t="shared" si="29"/>
        <v>31</v>
      </c>
      <c r="AC31" s="60">
        <f t="shared" si="8"/>
        <v>0</v>
      </c>
      <c r="AD31" s="60">
        <f>ROUND(AC31*AB31*Input!$C$3/365,0)</f>
        <v>0</v>
      </c>
      <c r="AE31" s="61">
        <f>IF($A31&lt;=Input!$C$6,0,IF('120M'!AA31&lt;'120M'!AC31,'120M'!AA31-AD31,'120M'!AC31))</f>
        <v>0</v>
      </c>
      <c r="AF31" s="61">
        <f t="shared" si="9"/>
        <v>0</v>
      </c>
      <c r="AG31" s="60">
        <f t="shared" si="10"/>
        <v>0</v>
      </c>
      <c r="AH31" s="193"/>
      <c r="AI31" s="169">
        <v>27</v>
      </c>
      <c r="AJ31" s="1">
        <f t="shared" si="30"/>
        <v>46341</v>
      </c>
      <c r="AK31" s="60">
        <f>IF($X31&lt;Input!$H$73,IF($X31&lt;Input!$G$73,IF($X31&lt;Input!$F$73,IF($X31&lt;Input!$E$73,IF($X31&lt;Input!$D$73,Input!$C$79,Input!$D$79),Input!$E$79),Input!$F$79),Input!$G$79),Input!$H$79)</f>
        <v>0</v>
      </c>
      <c r="AL31" s="190">
        <f>IF($A31&lt;Input!$H$80,IF($A31&lt;Input!$G$80,IF($A31&lt;Input!$F$80,IF($A31&lt;Input!$E$80,IF($A31&lt;Input!$D$80,Input!$C$81,Input!$D$81),Input!$E$81),Input!$F$81),Input!$G$81),Input!$H$81)</f>
        <v>0.9</v>
      </c>
      <c r="AM31" s="60">
        <f t="shared" si="11"/>
        <v>0</v>
      </c>
      <c r="AN31" s="60">
        <f t="shared" si="31"/>
        <v>31</v>
      </c>
      <c r="AO31" s="60">
        <f t="shared" si="12"/>
        <v>0</v>
      </c>
      <c r="AP31" s="60">
        <f>ROUND(AO31*AN31*Input!$C$3/365,0)</f>
        <v>0</v>
      </c>
      <c r="AQ31" s="61">
        <f>IF($A31&lt;=Input!$C$6,0,IF('120M'!AM31&lt;'120M'!AO31,'120M'!AM31-AP31,'120M'!AO31))</f>
        <v>0</v>
      </c>
      <c r="AR31" s="61">
        <f t="shared" si="13"/>
        <v>0</v>
      </c>
      <c r="AS31" s="60">
        <f t="shared" si="14"/>
        <v>0</v>
      </c>
      <c r="AT31" s="193"/>
      <c r="AU31" s="169">
        <v>27</v>
      </c>
      <c r="AV31" s="1">
        <f t="shared" si="32"/>
        <v>46341</v>
      </c>
      <c r="AW31" s="60">
        <f>IF($X31&lt;Input!$H$88,IF($X31&lt;Input!$G$88,IF($X31&lt;Input!$F$88,IF($X31&lt;Input!$E$88,IF($X31&lt;Input!$D$88,Input!$C$94,Input!$D$94),Input!$E$94),Input!$F$94),Input!$G$94),Input!$H$94)</f>
        <v>0</v>
      </c>
      <c r="AX31" s="190">
        <f>IF($A31&lt;Input!$H$95,IF($A31&lt;Input!$G$95,IF($A31&lt;Input!$F$95,IF($A31&lt;Input!$E$95,IF($A31&lt;Input!$D$95,Input!$C$96,Input!$D$96),Input!$E$96),Input!$F$96),Input!$G$96),Input!$H$96)</f>
        <v>0.9</v>
      </c>
      <c r="AY31" s="60">
        <f t="shared" si="15"/>
        <v>0</v>
      </c>
      <c r="AZ31" s="60">
        <f t="shared" si="33"/>
        <v>31</v>
      </c>
      <c r="BA31" s="60">
        <f t="shared" si="16"/>
        <v>0</v>
      </c>
      <c r="BB31" s="60">
        <f>ROUND(BA31*AZ31*Input!$C$3/365,0)</f>
        <v>0</v>
      </c>
      <c r="BC31" s="61">
        <f>IF($A31&lt;=Input!$C$6,0,IF('120M'!AY31&lt;'120M'!BA31,'120M'!AY31-BB31,'120M'!BA31))</f>
        <v>0</v>
      </c>
      <c r="BD31" s="61">
        <f t="shared" si="17"/>
        <v>0</v>
      </c>
      <c r="BE31" s="60">
        <f t="shared" si="18"/>
        <v>0</v>
      </c>
      <c r="BF31" s="193"/>
      <c r="BG31" s="169">
        <v>27</v>
      </c>
      <c r="BH31" s="1">
        <f t="shared" si="34"/>
        <v>46341</v>
      </c>
      <c r="BI31" s="60">
        <f>IF($X31&lt;Input!$H$103,IF($X31&lt;Input!$G$103,IF($X31&lt;Input!$F$103,IF($X31&lt;Input!$E$103,IF($X31&lt;Input!$D$103,Input!$C$109,Input!$D$109),Input!$E$109),Input!$F$109),Input!$G$109),Input!$H$109)</f>
        <v>0</v>
      </c>
      <c r="BJ31" s="190">
        <f>IF($A31&lt;Input!$H$110,IF($A31&lt;Input!$G$110,IF($A31&lt;Input!$F$110,IF($A31&lt;Input!$E$110,IF($A31&lt;Input!$D$110,Input!$C$111,Input!$D$111),Input!$E$111),Input!$F$111),Input!$G$111),Input!$H$111)</f>
        <v>0.9</v>
      </c>
      <c r="BK31" s="60">
        <f t="shared" si="19"/>
        <v>0</v>
      </c>
      <c r="BL31" s="60">
        <f t="shared" si="35"/>
        <v>31</v>
      </c>
      <c r="BM31" s="60">
        <f t="shared" si="20"/>
        <v>0</v>
      </c>
      <c r="BN31" s="60">
        <f>ROUND(BM31*BL31*Input!$C$3/365,0)</f>
        <v>0</v>
      </c>
      <c r="BO31" s="61">
        <f>IF($A31&lt;=Input!$C$6,0,IF('120M'!BK31&lt;'120M'!BM31,'120M'!BK31-BN31,'120M'!BM31))</f>
        <v>0</v>
      </c>
      <c r="BP31" s="61">
        <f t="shared" si="21"/>
        <v>0</v>
      </c>
      <c r="BQ31" s="60">
        <f t="shared" si="22"/>
        <v>0</v>
      </c>
      <c r="BR31" s="198"/>
    </row>
    <row r="32" spans="1:70" x14ac:dyDescent="0.25">
      <c r="A32" s="169">
        <v>28</v>
      </c>
      <c r="B32" s="1">
        <f t="shared" si="23"/>
        <v>46371</v>
      </c>
      <c r="C32" s="60">
        <f t="shared" si="1"/>
        <v>16470000</v>
      </c>
      <c r="D32" s="60">
        <f t="shared" si="2"/>
        <v>14823000</v>
      </c>
      <c r="E32" s="60">
        <f t="shared" si="24"/>
        <v>30</v>
      </c>
      <c r="F32" s="60">
        <f t="shared" si="25"/>
        <v>926254453</v>
      </c>
      <c r="G32" s="60">
        <f>ROUND(F32*E32*Input!$C$3/365,0)</f>
        <v>11419575</v>
      </c>
      <c r="H32" s="60">
        <f>IF($A32&lt;=Input!$C$6,0,IF('120M'!D32&lt;'120M'!F32,'120M'!D32-G32,'120M'!F32))</f>
        <v>3403425</v>
      </c>
      <c r="I32" s="60">
        <f t="shared" si="26"/>
        <v>14823000</v>
      </c>
      <c r="J32" s="60">
        <f t="shared" si="27"/>
        <v>922851028</v>
      </c>
      <c r="K32" s="202">
        <f>J32/Input!$K$5</f>
        <v>3.0761700933333334</v>
      </c>
      <c r="L32" s="232"/>
      <c r="M32" s="60">
        <f>IF($B32&lt;Input!$H$43,IF($B32&lt;Input!$G$43,IF($B32&lt;Input!$F$43,IF($B32&lt;Input!$E$43,IF($B32&lt;Input!$D$43,Input!$C$49,Input!$D$49),Input!$E$49),Input!$F$49),Input!$G$49),Input!$H$49)</f>
        <v>16470000</v>
      </c>
      <c r="N32" s="190">
        <f>IF($A32&lt;Input!$H$50,IF($A32&lt;Input!$G$50,IF($A32&lt;Input!$F$50,IF($A32&lt;Input!$E$50,IF($A32&lt;Input!$D$50,Input!$C$51,Input!$D$51),Input!$E$51),Input!$F$51),Input!$G$51),Input!$H$51)</f>
        <v>0.9</v>
      </c>
      <c r="O32" s="60">
        <f t="shared" si="0"/>
        <v>14823000</v>
      </c>
      <c r="P32" s="60">
        <f t="shared" si="3"/>
        <v>30</v>
      </c>
      <c r="Q32" s="60">
        <f t="shared" si="4"/>
        <v>926254453</v>
      </c>
      <c r="R32" s="60">
        <f>ROUND(Q32*$P32*Input!$C$3/365,0)</f>
        <v>11419575</v>
      </c>
      <c r="S32" s="60">
        <f>IF(A32&lt;=Input!$C$6,0,IF('120M'!O32&lt;'120M'!Q32,'120M'!O32-R32,'120M'!Q32))</f>
        <v>3403425</v>
      </c>
      <c r="T32" s="60">
        <f t="shared" si="5"/>
        <v>14823000</v>
      </c>
      <c r="U32" s="60">
        <f t="shared" si="6"/>
        <v>922851028</v>
      </c>
      <c r="V32" s="193"/>
      <c r="W32" s="169">
        <v>28</v>
      </c>
      <c r="X32" s="1">
        <f t="shared" si="28"/>
        <v>46371</v>
      </c>
      <c r="Y32" s="60">
        <f>IF($X32&lt;Input!$H$58,IF($X32&lt;Input!$G$58,IF($X32&lt;Input!$F$58,IF($X32&lt;Input!$E$58,IF($X32&lt;Input!$D$58,Input!$C$64,Input!$D$64),Input!$E$64),Input!$F$64),Input!$G$64),Input!$H$64)</f>
        <v>0</v>
      </c>
      <c r="Z32" s="190">
        <f>IF($A32&lt;Input!$H$65,IF($A32&lt;Input!$G$65,IF($A32&lt;Input!$F$65,IF($A32&lt;Input!$E$65,IF($A32&lt;Input!$D$65,Input!$C$66,Input!$D$66),Input!$E$66),Input!$F$66),Input!$G$66),Input!$H$66)</f>
        <v>0.9</v>
      </c>
      <c r="AA32" s="60">
        <f t="shared" si="7"/>
        <v>0</v>
      </c>
      <c r="AB32" s="60">
        <f t="shared" si="29"/>
        <v>30</v>
      </c>
      <c r="AC32" s="60">
        <f t="shared" si="8"/>
        <v>0</v>
      </c>
      <c r="AD32" s="60">
        <f>ROUND(AC32*AB32*Input!$C$3/365,0)</f>
        <v>0</v>
      </c>
      <c r="AE32" s="61">
        <f>IF($A32&lt;=Input!$C$6,0,IF('120M'!AA32&lt;'120M'!AC32,'120M'!AA32-AD32,'120M'!AC32))</f>
        <v>0</v>
      </c>
      <c r="AF32" s="61">
        <f t="shared" si="9"/>
        <v>0</v>
      </c>
      <c r="AG32" s="60">
        <f t="shared" si="10"/>
        <v>0</v>
      </c>
      <c r="AH32" s="193"/>
      <c r="AI32" s="169">
        <v>28</v>
      </c>
      <c r="AJ32" s="1">
        <f t="shared" si="30"/>
        <v>46371</v>
      </c>
      <c r="AK32" s="60">
        <f>IF($X32&lt;Input!$H$73,IF($X32&lt;Input!$G$73,IF($X32&lt;Input!$F$73,IF($X32&lt;Input!$E$73,IF($X32&lt;Input!$D$73,Input!$C$79,Input!$D$79),Input!$E$79),Input!$F$79),Input!$G$79),Input!$H$79)</f>
        <v>0</v>
      </c>
      <c r="AL32" s="190">
        <f>IF($A32&lt;Input!$H$80,IF($A32&lt;Input!$G$80,IF($A32&lt;Input!$F$80,IF($A32&lt;Input!$E$80,IF($A32&lt;Input!$D$80,Input!$C$81,Input!$D$81),Input!$E$81),Input!$F$81),Input!$G$81),Input!$H$81)</f>
        <v>0.9</v>
      </c>
      <c r="AM32" s="60">
        <f t="shared" si="11"/>
        <v>0</v>
      </c>
      <c r="AN32" s="60">
        <f t="shared" si="31"/>
        <v>30</v>
      </c>
      <c r="AO32" s="60">
        <f t="shared" si="12"/>
        <v>0</v>
      </c>
      <c r="AP32" s="60">
        <f>ROUND(AO32*AN32*Input!$C$3/365,0)</f>
        <v>0</v>
      </c>
      <c r="AQ32" s="61">
        <f>IF($A32&lt;=Input!$C$6,0,IF('120M'!AM32&lt;'120M'!AO32,'120M'!AM32-AP32,'120M'!AO32))</f>
        <v>0</v>
      </c>
      <c r="AR32" s="61">
        <f t="shared" si="13"/>
        <v>0</v>
      </c>
      <c r="AS32" s="60">
        <f t="shared" si="14"/>
        <v>0</v>
      </c>
      <c r="AT32" s="193"/>
      <c r="AU32" s="169">
        <v>28</v>
      </c>
      <c r="AV32" s="1">
        <f t="shared" si="32"/>
        <v>46371</v>
      </c>
      <c r="AW32" s="60">
        <f>IF($X32&lt;Input!$H$88,IF($X32&lt;Input!$G$88,IF($X32&lt;Input!$F$88,IF($X32&lt;Input!$E$88,IF($X32&lt;Input!$D$88,Input!$C$94,Input!$D$94),Input!$E$94),Input!$F$94),Input!$G$94),Input!$H$94)</f>
        <v>0</v>
      </c>
      <c r="AX32" s="190">
        <f>IF($A32&lt;Input!$H$95,IF($A32&lt;Input!$G$95,IF($A32&lt;Input!$F$95,IF($A32&lt;Input!$E$95,IF($A32&lt;Input!$D$95,Input!$C$96,Input!$D$96),Input!$E$96),Input!$F$96),Input!$G$96),Input!$H$96)</f>
        <v>0.9</v>
      </c>
      <c r="AY32" s="60">
        <f t="shared" si="15"/>
        <v>0</v>
      </c>
      <c r="AZ32" s="60">
        <f t="shared" si="33"/>
        <v>30</v>
      </c>
      <c r="BA32" s="60">
        <f t="shared" si="16"/>
        <v>0</v>
      </c>
      <c r="BB32" s="60">
        <f>ROUND(BA32*AZ32*Input!$C$3/365,0)</f>
        <v>0</v>
      </c>
      <c r="BC32" s="61">
        <f>IF($A32&lt;=Input!$C$6,0,IF('120M'!AY32&lt;'120M'!BA32,'120M'!AY32-BB32,'120M'!BA32))</f>
        <v>0</v>
      </c>
      <c r="BD32" s="61">
        <f t="shared" si="17"/>
        <v>0</v>
      </c>
      <c r="BE32" s="60">
        <f t="shared" si="18"/>
        <v>0</v>
      </c>
      <c r="BF32" s="193"/>
      <c r="BG32" s="169">
        <v>28</v>
      </c>
      <c r="BH32" s="1">
        <f t="shared" si="34"/>
        <v>46371</v>
      </c>
      <c r="BI32" s="60">
        <f>IF($X32&lt;Input!$H$103,IF($X32&lt;Input!$G$103,IF($X32&lt;Input!$F$103,IF($X32&lt;Input!$E$103,IF($X32&lt;Input!$D$103,Input!$C$109,Input!$D$109),Input!$E$109),Input!$F$109),Input!$G$109),Input!$H$109)</f>
        <v>0</v>
      </c>
      <c r="BJ32" s="190">
        <f>IF($A32&lt;Input!$H$110,IF($A32&lt;Input!$G$110,IF($A32&lt;Input!$F$110,IF($A32&lt;Input!$E$110,IF($A32&lt;Input!$D$110,Input!$C$111,Input!$D$111),Input!$E$111),Input!$F$111),Input!$G$111),Input!$H$111)</f>
        <v>0.9</v>
      </c>
      <c r="BK32" s="60">
        <f t="shared" si="19"/>
        <v>0</v>
      </c>
      <c r="BL32" s="60">
        <f t="shared" si="35"/>
        <v>30</v>
      </c>
      <c r="BM32" s="60">
        <f t="shared" si="20"/>
        <v>0</v>
      </c>
      <c r="BN32" s="60">
        <f>ROUND(BM32*BL32*Input!$C$3/365,0)</f>
        <v>0</v>
      </c>
      <c r="BO32" s="61">
        <f>IF($A32&lt;=Input!$C$6,0,IF('120M'!BK32&lt;'120M'!BM32,'120M'!BK32-BN32,'120M'!BM32))</f>
        <v>0</v>
      </c>
      <c r="BP32" s="61">
        <f t="shared" si="21"/>
        <v>0</v>
      </c>
      <c r="BQ32" s="60">
        <f t="shared" si="22"/>
        <v>0</v>
      </c>
      <c r="BR32" s="198"/>
    </row>
    <row r="33" spans="1:70" x14ac:dyDescent="0.25">
      <c r="A33" s="169">
        <v>29</v>
      </c>
      <c r="B33" s="1">
        <f t="shared" si="23"/>
        <v>46402</v>
      </c>
      <c r="C33" s="60">
        <f t="shared" si="1"/>
        <v>16470000</v>
      </c>
      <c r="D33" s="60">
        <f t="shared" si="2"/>
        <v>14823000</v>
      </c>
      <c r="E33" s="60">
        <f t="shared" si="24"/>
        <v>31</v>
      </c>
      <c r="F33" s="60">
        <f t="shared" si="25"/>
        <v>922851028</v>
      </c>
      <c r="G33" s="60">
        <f>ROUND(F33*E33*Input!$C$3/365,0)</f>
        <v>11756869</v>
      </c>
      <c r="H33" s="60">
        <f>IF($A33&lt;=Input!$C$6,0,IF('120M'!D33&lt;'120M'!F33,'120M'!D33-G33,'120M'!F33))</f>
        <v>3066131</v>
      </c>
      <c r="I33" s="60">
        <f t="shared" si="26"/>
        <v>14823000</v>
      </c>
      <c r="J33" s="60">
        <f t="shared" si="27"/>
        <v>919784897</v>
      </c>
      <c r="K33" s="202">
        <f>J33/Input!$K$5</f>
        <v>3.0659496566666666</v>
      </c>
      <c r="L33" s="232"/>
      <c r="M33" s="60">
        <f>IF($B33&lt;Input!$H$43,IF($B33&lt;Input!$G$43,IF($B33&lt;Input!$F$43,IF($B33&lt;Input!$E$43,IF($B33&lt;Input!$D$43,Input!$C$49,Input!$D$49),Input!$E$49),Input!$F$49),Input!$G$49),Input!$H$49)</f>
        <v>16470000</v>
      </c>
      <c r="N33" s="190">
        <f>IF($A33&lt;Input!$H$50,IF($A33&lt;Input!$G$50,IF($A33&lt;Input!$F$50,IF($A33&lt;Input!$E$50,IF($A33&lt;Input!$D$50,Input!$C$51,Input!$D$51),Input!$E$51),Input!$F$51),Input!$G$51),Input!$H$51)</f>
        <v>0.9</v>
      </c>
      <c r="O33" s="60">
        <f t="shared" si="0"/>
        <v>14823000</v>
      </c>
      <c r="P33" s="60">
        <f t="shared" si="3"/>
        <v>31</v>
      </c>
      <c r="Q33" s="60">
        <f t="shared" si="4"/>
        <v>922851028</v>
      </c>
      <c r="R33" s="60">
        <f>ROUND(Q33*$P33*Input!$C$3/365,0)</f>
        <v>11756869</v>
      </c>
      <c r="S33" s="60">
        <f>IF(A33&lt;=Input!$C$6,0,IF('120M'!O33&lt;'120M'!Q33,'120M'!O33-R33,'120M'!Q33))</f>
        <v>3066131</v>
      </c>
      <c r="T33" s="60">
        <f t="shared" si="5"/>
        <v>14823000</v>
      </c>
      <c r="U33" s="60">
        <f t="shared" si="6"/>
        <v>919784897</v>
      </c>
      <c r="V33" s="193"/>
      <c r="W33" s="169">
        <v>29</v>
      </c>
      <c r="X33" s="1">
        <f t="shared" si="28"/>
        <v>46402</v>
      </c>
      <c r="Y33" s="60">
        <f>IF($X33&lt;Input!$H$58,IF($X33&lt;Input!$G$58,IF($X33&lt;Input!$F$58,IF($X33&lt;Input!$E$58,IF($X33&lt;Input!$D$58,Input!$C$64,Input!$D$64),Input!$E$64),Input!$F$64),Input!$G$64),Input!$H$64)</f>
        <v>0</v>
      </c>
      <c r="Z33" s="190">
        <f>IF($A33&lt;Input!$H$65,IF($A33&lt;Input!$G$65,IF($A33&lt;Input!$F$65,IF($A33&lt;Input!$E$65,IF($A33&lt;Input!$D$65,Input!$C$66,Input!$D$66),Input!$E$66),Input!$F$66),Input!$G$66),Input!$H$66)</f>
        <v>0.9</v>
      </c>
      <c r="AA33" s="60">
        <f t="shared" si="7"/>
        <v>0</v>
      </c>
      <c r="AB33" s="60">
        <f t="shared" si="29"/>
        <v>31</v>
      </c>
      <c r="AC33" s="60">
        <f t="shared" si="8"/>
        <v>0</v>
      </c>
      <c r="AD33" s="60">
        <f>ROUND(AC33*AB33*Input!$C$3/365,0)</f>
        <v>0</v>
      </c>
      <c r="AE33" s="61">
        <f>IF($A33&lt;=Input!$C$6,0,IF('120M'!AA33&lt;'120M'!AC33,'120M'!AA33-AD33,'120M'!AC33))</f>
        <v>0</v>
      </c>
      <c r="AF33" s="61">
        <f t="shared" si="9"/>
        <v>0</v>
      </c>
      <c r="AG33" s="60">
        <f t="shared" si="10"/>
        <v>0</v>
      </c>
      <c r="AH33" s="193"/>
      <c r="AI33" s="169">
        <v>29</v>
      </c>
      <c r="AJ33" s="1">
        <f t="shared" si="30"/>
        <v>46402</v>
      </c>
      <c r="AK33" s="60">
        <f>IF($X33&lt;Input!$H$73,IF($X33&lt;Input!$G$73,IF($X33&lt;Input!$F$73,IF($X33&lt;Input!$E$73,IF($X33&lt;Input!$D$73,Input!$C$79,Input!$D$79),Input!$E$79),Input!$F$79),Input!$G$79),Input!$H$79)</f>
        <v>0</v>
      </c>
      <c r="AL33" s="190">
        <f>IF($A33&lt;Input!$H$80,IF($A33&lt;Input!$G$80,IF($A33&lt;Input!$F$80,IF($A33&lt;Input!$E$80,IF($A33&lt;Input!$D$80,Input!$C$81,Input!$D$81),Input!$E$81),Input!$F$81),Input!$G$81),Input!$H$81)</f>
        <v>0.9</v>
      </c>
      <c r="AM33" s="60">
        <f t="shared" si="11"/>
        <v>0</v>
      </c>
      <c r="AN33" s="60">
        <f t="shared" si="31"/>
        <v>31</v>
      </c>
      <c r="AO33" s="60">
        <f t="shared" si="12"/>
        <v>0</v>
      </c>
      <c r="AP33" s="60">
        <f>ROUND(AO33*AN33*Input!$C$3/365,0)</f>
        <v>0</v>
      </c>
      <c r="AQ33" s="61">
        <f>IF($A33&lt;=Input!$C$6,0,IF('120M'!AM33&lt;'120M'!AO33,'120M'!AM33-AP33,'120M'!AO33))</f>
        <v>0</v>
      </c>
      <c r="AR33" s="61">
        <f t="shared" si="13"/>
        <v>0</v>
      </c>
      <c r="AS33" s="60">
        <f t="shared" si="14"/>
        <v>0</v>
      </c>
      <c r="AT33" s="193"/>
      <c r="AU33" s="169">
        <v>29</v>
      </c>
      <c r="AV33" s="1">
        <f t="shared" si="32"/>
        <v>46402</v>
      </c>
      <c r="AW33" s="60">
        <f>IF($X33&lt;Input!$H$88,IF($X33&lt;Input!$G$88,IF($X33&lt;Input!$F$88,IF($X33&lt;Input!$E$88,IF($X33&lt;Input!$D$88,Input!$C$94,Input!$D$94),Input!$E$94),Input!$F$94),Input!$G$94),Input!$H$94)</f>
        <v>0</v>
      </c>
      <c r="AX33" s="190">
        <f>IF($A33&lt;Input!$H$95,IF($A33&lt;Input!$G$95,IF($A33&lt;Input!$F$95,IF($A33&lt;Input!$E$95,IF($A33&lt;Input!$D$95,Input!$C$96,Input!$D$96),Input!$E$96),Input!$F$96),Input!$G$96),Input!$H$96)</f>
        <v>0.9</v>
      </c>
      <c r="AY33" s="60">
        <f t="shared" si="15"/>
        <v>0</v>
      </c>
      <c r="AZ33" s="60">
        <f t="shared" si="33"/>
        <v>31</v>
      </c>
      <c r="BA33" s="60">
        <f t="shared" si="16"/>
        <v>0</v>
      </c>
      <c r="BB33" s="60">
        <f>ROUND(BA33*AZ33*Input!$C$3/365,0)</f>
        <v>0</v>
      </c>
      <c r="BC33" s="61">
        <f>IF($A33&lt;=Input!$C$6,0,IF('120M'!AY33&lt;'120M'!BA33,'120M'!AY33-BB33,'120M'!BA33))</f>
        <v>0</v>
      </c>
      <c r="BD33" s="61">
        <f t="shared" si="17"/>
        <v>0</v>
      </c>
      <c r="BE33" s="60">
        <f t="shared" si="18"/>
        <v>0</v>
      </c>
      <c r="BF33" s="193"/>
      <c r="BG33" s="169">
        <v>29</v>
      </c>
      <c r="BH33" s="1">
        <f t="shared" si="34"/>
        <v>46402</v>
      </c>
      <c r="BI33" s="60">
        <f>IF($X33&lt;Input!$H$103,IF($X33&lt;Input!$G$103,IF($X33&lt;Input!$F$103,IF($X33&lt;Input!$E$103,IF($X33&lt;Input!$D$103,Input!$C$109,Input!$D$109),Input!$E$109),Input!$F$109),Input!$G$109),Input!$H$109)</f>
        <v>0</v>
      </c>
      <c r="BJ33" s="190">
        <f>IF($A33&lt;Input!$H$110,IF($A33&lt;Input!$G$110,IF($A33&lt;Input!$F$110,IF($A33&lt;Input!$E$110,IF($A33&lt;Input!$D$110,Input!$C$111,Input!$D$111),Input!$E$111),Input!$F$111),Input!$G$111),Input!$H$111)</f>
        <v>0.9</v>
      </c>
      <c r="BK33" s="60">
        <f t="shared" si="19"/>
        <v>0</v>
      </c>
      <c r="BL33" s="60">
        <f t="shared" si="35"/>
        <v>31</v>
      </c>
      <c r="BM33" s="60">
        <f t="shared" si="20"/>
        <v>0</v>
      </c>
      <c r="BN33" s="60">
        <f>ROUND(BM33*BL33*Input!$C$3/365,0)</f>
        <v>0</v>
      </c>
      <c r="BO33" s="61">
        <f>IF($A33&lt;=Input!$C$6,0,IF('120M'!BK33&lt;'120M'!BM33,'120M'!BK33-BN33,'120M'!BM33))</f>
        <v>0</v>
      </c>
      <c r="BP33" s="61">
        <f t="shared" si="21"/>
        <v>0</v>
      </c>
      <c r="BQ33" s="60">
        <f t="shared" si="22"/>
        <v>0</v>
      </c>
      <c r="BR33" s="198"/>
    </row>
    <row r="34" spans="1:70" x14ac:dyDescent="0.25">
      <c r="A34" s="169">
        <v>30</v>
      </c>
      <c r="B34" s="1">
        <f t="shared" si="23"/>
        <v>46433</v>
      </c>
      <c r="C34" s="60">
        <f t="shared" si="1"/>
        <v>16470000</v>
      </c>
      <c r="D34" s="60">
        <f t="shared" si="2"/>
        <v>14823000</v>
      </c>
      <c r="E34" s="60">
        <f t="shared" si="24"/>
        <v>31</v>
      </c>
      <c r="F34" s="60">
        <f t="shared" si="25"/>
        <v>919784897</v>
      </c>
      <c r="G34" s="60">
        <f>ROUND(F34*E34*Input!$C$3/365,0)</f>
        <v>11717808</v>
      </c>
      <c r="H34" s="60">
        <f>IF($A34&lt;=Input!$C$6,0,IF('120M'!D34&lt;'120M'!F34,'120M'!D34-G34,'120M'!F34))</f>
        <v>3105192</v>
      </c>
      <c r="I34" s="60">
        <f t="shared" si="26"/>
        <v>14823000</v>
      </c>
      <c r="J34" s="60">
        <f t="shared" si="27"/>
        <v>916679705</v>
      </c>
      <c r="K34" s="202">
        <f>J34/Input!$K$5</f>
        <v>3.0555990166666667</v>
      </c>
      <c r="L34" s="232"/>
      <c r="M34" s="60">
        <f>IF($B34&lt;Input!$H$43,IF($B34&lt;Input!$G$43,IF($B34&lt;Input!$F$43,IF($B34&lt;Input!$E$43,IF($B34&lt;Input!$D$43,Input!$C$49,Input!$D$49),Input!$E$49),Input!$F$49),Input!$G$49),Input!$H$49)</f>
        <v>16470000</v>
      </c>
      <c r="N34" s="190">
        <f>IF($A34&lt;Input!$H$50,IF($A34&lt;Input!$G$50,IF($A34&lt;Input!$F$50,IF($A34&lt;Input!$E$50,IF($A34&lt;Input!$D$50,Input!$C$51,Input!$D$51),Input!$E$51),Input!$F$51),Input!$G$51),Input!$H$51)</f>
        <v>0.9</v>
      </c>
      <c r="O34" s="60">
        <f t="shared" si="0"/>
        <v>14823000</v>
      </c>
      <c r="P34" s="60">
        <f t="shared" si="3"/>
        <v>31</v>
      </c>
      <c r="Q34" s="60">
        <f t="shared" si="4"/>
        <v>919784897</v>
      </c>
      <c r="R34" s="60">
        <f>ROUND(Q34*$P34*Input!$C$3/365,0)</f>
        <v>11717808</v>
      </c>
      <c r="S34" s="60">
        <f>IF(A34&lt;=Input!$C$6,0,IF('120M'!O34&lt;'120M'!Q34,'120M'!O34-R34,'120M'!Q34))</f>
        <v>3105192</v>
      </c>
      <c r="T34" s="60">
        <f t="shared" si="5"/>
        <v>14823000</v>
      </c>
      <c r="U34" s="60">
        <f t="shared" si="6"/>
        <v>916679705</v>
      </c>
      <c r="V34" s="193"/>
      <c r="W34" s="169">
        <v>30</v>
      </c>
      <c r="X34" s="1">
        <f t="shared" si="28"/>
        <v>46433</v>
      </c>
      <c r="Y34" s="60">
        <f>IF($X34&lt;Input!$H$58,IF($X34&lt;Input!$G$58,IF($X34&lt;Input!$F$58,IF($X34&lt;Input!$E$58,IF($X34&lt;Input!$D$58,Input!$C$64,Input!$D$64),Input!$E$64),Input!$F$64),Input!$G$64),Input!$H$64)</f>
        <v>0</v>
      </c>
      <c r="Z34" s="190">
        <f>IF($A34&lt;Input!$H$65,IF($A34&lt;Input!$G$65,IF($A34&lt;Input!$F$65,IF($A34&lt;Input!$E$65,IF($A34&lt;Input!$D$65,Input!$C$66,Input!$D$66),Input!$E$66),Input!$F$66),Input!$G$66),Input!$H$66)</f>
        <v>0.9</v>
      </c>
      <c r="AA34" s="60">
        <f t="shared" si="7"/>
        <v>0</v>
      </c>
      <c r="AB34" s="60">
        <f t="shared" si="29"/>
        <v>31</v>
      </c>
      <c r="AC34" s="60">
        <f t="shared" si="8"/>
        <v>0</v>
      </c>
      <c r="AD34" s="60">
        <f>ROUND(AC34*AB34*Input!$C$3/365,0)</f>
        <v>0</v>
      </c>
      <c r="AE34" s="61">
        <f>IF($A34&lt;=Input!$C$6,0,IF('120M'!AA34&lt;'120M'!AC34,'120M'!AA34-AD34,'120M'!AC34))</f>
        <v>0</v>
      </c>
      <c r="AF34" s="61">
        <f t="shared" si="9"/>
        <v>0</v>
      </c>
      <c r="AG34" s="60">
        <f t="shared" si="10"/>
        <v>0</v>
      </c>
      <c r="AH34" s="193"/>
      <c r="AI34" s="169">
        <v>30</v>
      </c>
      <c r="AJ34" s="1">
        <f t="shared" si="30"/>
        <v>46433</v>
      </c>
      <c r="AK34" s="60">
        <f>IF($X34&lt;Input!$H$73,IF($X34&lt;Input!$G$73,IF($X34&lt;Input!$F$73,IF($X34&lt;Input!$E$73,IF($X34&lt;Input!$D$73,Input!$C$79,Input!$D$79),Input!$E$79),Input!$F$79),Input!$G$79),Input!$H$79)</f>
        <v>0</v>
      </c>
      <c r="AL34" s="190">
        <f>IF($A34&lt;Input!$H$80,IF($A34&lt;Input!$G$80,IF($A34&lt;Input!$F$80,IF($A34&lt;Input!$E$80,IF($A34&lt;Input!$D$80,Input!$C$81,Input!$D$81),Input!$E$81),Input!$F$81),Input!$G$81),Input!$H$81)</f>
        <v>0.9</v>
      </c>
      <c r="AM34" s="60">
        <f t="shared" si="11"/>
        <v>0</v>
      </c>
      <c r="AN34" s="60">
        <f t="shared" si="31"/>
        <v>31</v>
      </c>
      <c r="AO34" s="60">
        <f t="shared" si="12"/>
        <v>0</v>
      </c>
      <c r="AP34" s="60">
        <f>ROUND(AO34*AN34*Input!$C$3/365,0)</f>
        <v>0</v>
      </c>
      <c r="AQ34" s="61">
        <f>IF($A34&lt;=Input!$C$6,0,IF('120M'!AM34&lt;'120M'!AO34,'120M'!AM34-AP34,'120M'!AO34))</f>
        <v>0</v>
      </c>
      <c r="AR34" s="61">
        <f t="shared" si="13"/>
        <v>0</v>
      </c>
      <c r="AS34" s="60">
        <f t="shared" si="14"/>
        <v>0</v>
      </c>
      <c r="AT34" s="193"/>
      <c r="AU34" s="169">
        <v>30</v>
      </c>
      <c r="AV34" s="1">
        <f t="shared" si="32"/>
        <v>46433</v>
      </c>
      <c r="AW34" s="60">
        <f>IF($X34&lt;Input!$H$88,IF($X34&lt;Input!$G$88,IF($X34&lt;Input!$F$88,IF($X34&lt;Input!$E$88,IF($X34&lt;Input!$D$88,Input!$C$94,Input!$D$94),Input!$E$94),Input!$F$94),Input!$G$94),Input!$H$94)</f>
        <v>0</v>
      </c>
      <c r="AX34" s="190">
        <f>IF($A34&lt;Input!$H$95,IF($A34&lt;Input!$G$95,IF($A34&lt;Input!$F$95,IF($A34&lt;Input!$E$95,IF($A34&lt;Input!$D$95,Input!$C$96,Input!$D$96),Input!$E$96),Input!$F$96),Input!$G$96),Input!$H$96)</f>
        <v>0.9</v>
      </c>
      <c r="AY34" s="60">
        <f t="shared" si="15"/>
        <v>0</v>
      </c>
      <c r="AZ34" s="60">
        <f t="shared" si="33"/>
        <v>31</v>
      </c>
      <c r="BA34" s="60">
        <f t="shared" si="16"/>
        <v>0</v>
      </c>
      <c r="BB34" s="60">
        <f>ROUND(BA34*AZ34*Input!$C$3/365,0)</f>
        <v>0</v>
      </c>
      <c r="BC34" s="61">
        <f>IF($A34&lt;=Input!$C$6,0,IF('120M'!AY34&lt;'120M'!BA34,'120M'!AY34-BB34,'120M'!BA34))</f>
        <v>0</v>
      </c>
      <c r="BD34" s="61">
        <f t="shared" si="17"/>
        <v>0</v>
      </c>
      <c r="BE34" s="60">
        <f t="shared" si="18"/>
        <v>0</v>
      </c>
      <c r="BF34" s="193"/>
      <c r="BG34" s="169">
        <v>30</v>
      </c>
      <c r="BH34" s="1">
        <f t="shared" si="34"/>
        <v>46433</v>
      </c>
      <c r="BI34" s="60">
        <f>IF($X34&lt;Input!$H$103,IF($X34&lt;Input!$G$103,IF($X34&lt;Input!$F$103,IF($X34&lt;Input!$E$103,IF($X34&lt;Input!$D$103,Input!$C$109,Input!$D$109),Input!$E$109),Input!$F$109),Input!$G$109),Input!$H$109)</f>
        <v>0</v>
      </c>
      <c r="BJ34" s="190">
        <f>IF($A34&lt;Input!$H$110,IF($A34&lt;Input!$G$110,IF($A34&lt;Input!$F$110,IF($A34&lt;Input!$E$110,IF($A34&lt;Input!$D$110,Input!$C$111,Input!$D$111),Input!$E$111),Input!$F$111),Input!$G$111),Input!$H$111)</f>
        <v>0.9</v>
      </c>
      <c r="BK34" s="60">
        <f t="shared" si="19"/>
        <v>0</v>
      </c>
      <c r="BL34" s="60">
        <f t="shared" si="35"/>
        <v>31</v>
      </c>
      <c r="BM34" s="60">
        <f t="shared" si="20"/>
        <v>0</v>
      </c>
      <c r="BN34" s="60">
        <f>ROUND(BM34*BL34*Input!$C$3/365,0)</f>
        <v>0</v>
      </c>
      <c r="BO34" s="61">
        <f>IF($A34&lt;=Input!$C$6,0,IF('120M'!BK34&lt;'120M'!BM34,'120M'!BK34-BN34,'120M'!BM34))</f>
        <v>0</v>
      </c>
      <c r="BP34" s="61">
        <f t="shared" si="21"/>
        <v>0</v>
      </c>
      <c r="BQ34" s="60">
        <f t="shared" si="22"/>
        <v>0</v>
      </c>
      <c r="BR34" s="198"/>
    </row>
    <row r="35" spans="1:70" x14ac:dyDescent="0.25">
      <c r="A35" s="169">
        <v>31</v>
      </c>
      <c r="B35" s="1">
        <f t="shared" si="23"/>
        <v>46461</v>
      </c>
      <c r="C35" s="60">
        <f t="shared" si="1"/>
        <v>16470000</v>
      </c>
      <c r="D35" s="60">
        <f t="shared" si="2"/>
        <v>14823000</v>
      </c>
      <c r="E35" s="60">
        <f t="shared" si="24"/>
        <v>28</v>
      </c>
      <c r="F35" s="60">
        <f t="shared" si="25"/>
        <v>916679705</v>
      </c>
      <c r="G35" s="60">
        <f>ROUND(F35*E35*Input!$C$3/365,0)</f>
        <v>10548095</v>
      </c>
      <c r="H35" s="60">
        <f>IF($A35&lt;=Input!$C$6,0,IF('120M'!D35&lt;'120M'!F35,'120M'!D35-G35,'120M'!F35))</f>
        <v>4274905</v>
      </c>
      <c r="I35" s="60">
        <f t="shared" si="26"/>
        <v>14823000</v>
      </c>
      <c r="J35" s="60">
        <f t="shared" si="27"/>
        <v>912404800</v>
      </c>
      <c r="K35" s="202">
        <f>J35/Input!$K$5</f>
        <v>3.0413493333333332</v>
      </c>
      <c r="L35" s="232"/>
      <c r="M35" s="60">
        <f>IF($B35&lt;Input!$H$43,IF($B35&lt;Input!$G$43,IF($B35&lt;Input!$F$43,IF($B35&lt;Input!$E$43,IF($B35&lt;Input!$D$43,Input!$C$49,Input!$D$49),Input!$E$49),Input!$F$49),Input!$G$49),Input!$H$49)</f>
        <v>16470000</v>
      </c>
      <c r="N35" s="190">
        <f>IF($A35&lt;Input!$H$50,IF($A35&lt;Input!$G$50,IF($A35&lt;Input!$F$50,IF($A35&lt;Input!$E$50,IF($A35&lt;Input!$D$50,Input!$C$51,Input!$D$51),Input!$E$51),Input!$F$51),Input!$G$51),Input!$H$51)</f>
        <v>0.9</v>
      </c>
      <c r="O35" s="60">
        <f t="shared" si="0"/>
        <v>14823000</v>
      </c>
      <c r="P35" s="60">
        <f t="shared" si="3"/>
        <v>28</v>
      </c>
      <c r="Q35" s="60">
        <f t="shared" si="4"/>
        <v>916679705</v>
      </c>
      <c r="R35" s="60">
        <f>ROUND(Q35*$P35*Input!$C$3/365,0)</f>
        <v>10548095</v>
      </c>
      <c r="S35" s="60">
        <f>IF(A35&lt;=Input!$C$6,0,IF('120M'!O35&lt;'120M'!Q35,'120M'!O35-R35,'120M'!Q35))</f>
        <v>4274905</v>
      </c>
      <c r="T35" s="60">
        <f t="shared" si="5"/>
        <v>14823000</v>
      </c>
      <c r="U35" s="60">
        <f t="shared" si="6"/>
        <v>912404800</v>
      </c>
      <c r="V35" s="193"/>
      <c r="W35" s="169">
        <v>31</v>
      </c>
      <c r="X35" s="1">
        <f t="shared" si="28"/>
        <v>46461</v>
      </c>
      <c r="Y35" s="60">
        <f>IF($X35&lt;Input!$H$58,IF($X35&lt;Input!$G$58,IF($X35&lt;Input!$F$58,IF($X35&lt;Input!$E$58,IF($X35&lt;Input!$D$58,Input!$C$64,Input!$D$64),Input!$E$64),Input!$F$64),Input!$G$64),Input!$H$64)</f>
        <v>0</v>
      </c>
      <c r="Z35" s="190">
        <f>IF($A35&lt;Input!$H$65,IF($A35&lt;Input!$G$65,IF($A35&lt;Input!$F$65,IF($A35&lt;Input!$E$65,IF($A35&lt;Input!$D$65,Input!$C$66,Input!$D$66),Input!$E$66),Input!$F$66),Input!$G$66),Input!$H$66)</f>
        <v>0.9</v>
      </c>
      <c r="AA35" s="60">
        <f t="shared" si="7"/>
        <v>0</v>
      </c>
      <c r="AB35" s="60">
        <f t="shared" si="29"/>
        <v>28</v>
      </c>
      <c r="AC35" s="60">
        <f t="shared" si="8"/>
        <v>0</v>
      </c>
      <c r="AD35" s="60">
        <f>ROUND(AC35*AB35*Input!$C$3/365,0)</f>
        <v>0</v>
      </c>
      <c r="AE35" s="61">
        <f>IF($A35&lt;=Input!$C$6,0,IF('120M'!AA35&lt;'120M'!AC35,'120M'!AA35-AD35,'120M'!AC35))</f>
        <v>0</v>
      </c>
      <c r="AF35" s="61">
        <f t="shared" si="9"/>
        <v>0</v>
      </c>
      <c r="AG35" s="60">
        <f t="shared" si="10"/>
        <v>0</v>
      </c>
      <c r="AH35" s="193"/>
      <c r="AI35" s="169">
        <v>31</v>
      </c>
      <c r="AJ35" s="1">
        <f t="shared" si="30"/>
        <v>46461</v>
      </c>
      <c r="AK35" s="60">
        <f>IF($X35&lt;Input!$H$73,IF($X35&lt;Input!$G$73,IF($X35&lt;Input!$F$73,IF($X35&lt;Input!$E$73,IF($X35&lt;Input!$D$73,Input!$C$79,Input!$D$79),Input!$E$79),Input!$F$79),Input!$G$79),Input!$H$79)</f>
        <v>0</v>
      </c>
      <c r="AL35" s="190">
        <f>IF($A35&lt;Input!$H$80,IF($A35&lt;Input!$G$80,IF($A35&lt;Input!$F$80,IF($A35&lt;Input!$E$80,IF($A35&lt;Input!$D$80,Input!$C$81,Input!$D$81),Input!$E$81),Input!$F$81),Input!$G$81),Input!$H$81)</f>
        <v>0.9</v>
      </c>
      <c r="AM35" s="60">
        <f t="shared" si="11"/>
        <v>0</v>
      </c>
      <c r="AN35" s="60">
        <f t="shared" si="31"/>
        <v>28</v>
      </c>
      <c r="AO35" s="60">
        <f t="shared" si="12"/>
        <v>0</v>
      </c>
      <c r="AP35" s="60">
        <f>ROUND(AO35*AN35*Input!$C$3/365,0)</f>
        <v>0</v>
      </c>
      <c r="AQ35" s="61">
        <f>IF($A35&lt;=Input!$C$6,0,IF('120M'!AM35&lt;'120M'!AO35,'120M'!AM35-AP35,'120M'!AO35))</f>
        <v>0</v>
      </c>
      <c r="AR35" s="61">
        <f t="shared" si="13"/>
        <v>0</v>
      </c>
      <c r="AS35" s="60">
        <f t="shared" si="14"/>
        <v>0</v>
      </c>
      <c r="AT35" s="193"/>
      <c r="AU35" s="169">
        <v>31</v>
      </c>
      <c r="AV35" s="1">
        <f t="shared" si="32"/>
        <v>46461</v>
      </c>
      <c r="AW35" s="60">
        <f>IF($X35&lt;Input!$H$88,IF($X35&lt;Input!$G$88,IF($X35&lt;Input!$F$88,IF($X35&lt;Input!$E$88,IF($X35&lt;Input!$D$88,Input!$C$94,Input!$D$94),Input!$E$94),Input!$F$94),Input!$G$94),Input!$H$94)</f>
        <v>0</v>
      </c>
      <c r="AX35" s="190">
        <f>IF($A35&lt;Input!$H$95,IF($A35&lt;Input!$G$95,IF($A35&lt;Input!$F$95,IF($A35&lt;Input!$E$95,IF($A35&lt;Input!$D$95,Input!$C$96,Input!$D$96),Input!$E$96),Input!$F$96),Input!$G$96),Input!$H$96)</f>
        <v>0.9</v>
      </c>
      <c r="AY35" s="60">
        <f t="shared" si="15"/>
        <v>0</v>
      </c>
      <c r="AZ35" s="60">
        <f t="shared" si="33"/>
        <v>28</v>
      </c>
      <c r="BA35" s="60">
        <f t="shared" si="16"/>
        <v>0</v>
      </c>
      <c r="BB35" s="60">
        <f>ROUND(BA35*AZ35*Input!$C$3/365,0)</f>
        <v>0</v>
      </c>
      <c r="BC35" s="61">
        <f>IF($A35&lt;=Input!$C$6,0,IF('120M'!AY35&lt;'120M'!BA35,'120M'!AY35-BB35,'120M'!BA35))</f>
        <v>0</v>
      </c>
      <c r="BD35" s="61">
        <f t="shared" si="17"/>
        <v>0</v>
      </c>
      <c r="BE35" s="60">
        <f t="shared" si="18"/>
        <v>0</v>
      </c>
      <c r="BF35" s="193"/>
      <c r="BG35" s="169">
        <v>31</v>
      </c>
      <c r="BH35" s="1">
        <f t="shared" si="34"/>
        <v>46461</v>
      </c>
      <c r="BI35" s="60">
        <f>IF($X35&lt;Input!$H$103,IF($X35&lt;Input!$G$103,IF($X35&lt;Input!$F$103,IF($X35&lt;Input!$E$103,IF($X35&lt;Input!$D$103,Input!$C$109,Input!$D$109),Input!$E$109),Input!$F$109),Input!$G$109),Input!$H$109)</f>
        <v>0</v>
      </c>
      <c r="BJ35" s="190">
        <f>IF($A35&lt;Input!$H$110,IF($A35&lt;Input!$G$110,IF($A35&lt;Input!$F$110,IF($A35&lt;Input!$E$110,IF($A35&lt;Input!$D$110,Input!$C$111,Input!$D$111),Input!$E$111),Input!$F$111),Input!$G$111),Input!$H$111)</f>
        <v>0.9</v>
      </c>
      <c r="BK35" s="60">
        <f t="shared" si="19"/>
        <v>0</v>
      </c>
      <c r="BL35" s="60">
        <f t="shared" si="35"/>
        <v>28</v>
      </c>
      <c r="BM35" s="60">
        <f t="shared" si="20"/>
        <v>0</v>
      </c>
      <c r="BN35" s="60">
        <f>ROUND(BM35*BL35*Input!$C$3/365,0)</f>
        <v>0</v>
      </c>
      <c r="BO35" s="61">
        <f>IF($A35&lt;=Input!$C$6,0,IF('120M'!BK35&lt;'120M'!BM35,'120M'!BK35-BN35,'120M'!BM35))</f>
        <v>0</v>
      </c>
      <c r="BP35" s="61">
        <f t="shared" si="21"/>
        <v>0</v>
      </c>
      <c r="BQ35" s="60">
        <f t="shared" si="22"/>
        <v>0</v>
      </c>
      <c r="BR35" s="198"/>
    </row>
    <row r="36" spans="1:70" x14ac:dyDescent="0.25">
      <c r="A36" s="169">
        <v>32</v>
      </c>
      <c r="B36" s="1">
        <f t="shared" si="23"/>
        <v>46492</v>
      </c>
      <c r="C36" s="60">
        <f t="shared" si="1"/>
        <v>16470000</v>
      </c>
      <c r="D36" s="60">
        <f t="shared" si="2"/>
        <v>14823000</v>
      </c>
      <c r="E36" s="60">
        <f t="shared" si="24"/>
        <v>31</v>
      </c>
      <c r="F36" s="60">
        <f t="shared" si="25"/>
        <v>912404800</v>
      </c>
      <c r="G36" s="60">
        <f>ROUND(F36*E36*Input!$C$3/365,0)</f>
        <v>11623787</v>
      </c>
      <c r="H36" s="60">
        <f>IF($A36&lt;=Input!$C$6,0,IF('120M'!D36&lt;'120M'!F36,'120M'!D36-G36,'120M'!F36))</f>
        <v>3199213</v>
      </c>
      <c r="I36" s="60">
        <f t="shared" si="26"/>
        <v>14823000</v>
      </c>
      <c r="J36" s="60">
        <f t="shared" si="27"/>
        <v>909205587</v>
      </c>
      <c r="K36" s="202">
        <f>J36/Input!$K$5</f>
        <v>3.0306852900000001</v>
      </c>
      <c r="L36" s="232"/>
      <c r="M36" s="60">
        <f>IF($B36&lt;Input!$H$43,IF($B36&lt;Input!$G$43,IF($B36&lt;Input!$F$43,IF($B36&lt;Input!$E$43,IF($B36&lt;Input!$D$43,Input!$C$49,Input!$D$49),Input!$E$49),Input!$F$49),Input!$G$49),Input!$H$49)</f>
        <v>16470000</v>
      </c>
      <c r="N36" s="190">
        <f>IF($A36&lt;Input!$H$50,IF($A36&lt;Input!$G$50,IF($A36&lt;Input!$F$50,IF($A36&lt;Input!$E$50,IF($A36&lt;Input!$D$50,Input!$C$51,Input!$D$51),Input!$E$51),Input!$F$51),Input!$G$51),Input!$H$51)</f>
        <v>0.9</v>
      </c>
      <c r="O36" s="60">
        <f t="shared" ref="O36:O67" si="36">M36*N36</f>
        <v>14823000</v>
      </c>
      <c r="P36" s="60">
        <f t="shared" si="3"/>
        <v>31</v>
      </c>
      <c r="Q36" s="60">
        <f t="shared" si="4"/>
        <v>912404800</v>
      </c>
      <c r="R36" s="60">
        <f>ROUND(Q36*$P36*Input!$C$3/365,0)</f>
        <v>11623787</v>
      </c>
      <c r="S36" s="60">
        <f>IF(A36&lt;=Input!$C$6,0,IF('120M'!O36&lt;'120M'!Q36,'120M'!O36-R36,'120M'!Q36))</f>
        <v>3199213</v>
      </c>
      <c r="T36" s="60">
        <f t="shared" si="5"/>
        <v>14823000</v>
      </c>
      <c r="U36" s="60">
        <f t="shared" si="6"/>
        <v>909205587</v>
      </c>
      <c r="V36" s="193"/>
      <c r="W36" s="169">
        <v>32</v>
      </c>
      <c r="X36" s="1">
        <f t="shared" si="28"/>
        <v>46492</v>
      </c>
      <c r="Y36" s="60">
        <f>IF($X36&lt;Input!$H$58,IF($X36&lt;Input!$G$58,IF($X36&lt;Input!$F$58,IF($X36&lt;Input!$E$58,IF($X36&lt;Input!$D$58,Input!$C$64,Input!$D$64),Input!$E$64),Input!$F$64),Input!$G$64),Input!$H$64)</f>
        <v>0</v>
      </c>
      <c r="Z36" s="190">
        <f>IF($A36&lt;Input!$H$65,IF($A36&lt;Input!$G$65,IF($A36&lt;Input!$F$65,IF($A36&lt;Input!$E$65,IF($A36&lt;Input!$D$65,Input!$C$66,Input!$D$66),Input!$E$66),Input!$F$66),Input!$G$66),Input!$H$66)</f>
        <v>0.9</v>
      </c>
      <c r="AA36" s="60">
        <f t="shared" si="7"/>
        <v>0</v>
      </c>
      <c r="AB36" s="60">
        <f t="shared" si="29"/>
        <v>31</v>
      </c>
      <c r="AC36" s="60">
        <f t="shared" si="8"/>
        <v>0</v>
      </c>
      <c r="AD36" s="60">
        <f>ROUND(AC36*AB36*Input!$C$3/365,0)</f>
        <v>0</v>
      </c>
      <c r="AE36" s="61">
        <f>IF($A36&lt;=Input!$C$6,0,IF('120M'!AA36&lt;'120M'!AC36,'120M'!AA36-AD36,'120M'!AC36))</f>
        <v>0</v>
      </c>
      <c r="AF36" s="61">
        <f t="shared" si="9"/>
        <v>0</v>
      </c>
      <c r="AG36" s="60">
        <f t="shared" si="10"/>
        <v>0</v>
      </c>
      <c r="AH36" s="193"/>
      <c r="AI36" s="169">
        <v>32</v>
      </c>
      <c r="AJ36" s="1">
        <f t="shared" si="30"/>
        <v>46492</v>
      </c>
      <c r="AK36" s="60">
        <f>IF($X36&lt;Input!$H$73,IF($X36&lt;Input!$G$73,IF($X36&lt;Input!$F$73,IF($X36&lt;Input!$E$73,IF($X36&lt;Input!$D$73,Input!$C$79,Input!$D$79),Input!$E$79),Input!$F$79),Input!$G$79),Input!$H$79)</f>
        <v>0</v>
      </c>
      <c r="AL36" s="190">
        <f>IF($A36&lt;Input!$H$80,IF($A36&lt;Input!$G$80,IF($A36&lt;Input!$F$80,IF($A36&lt;Input!$E$80,IF($A36&lt;Input!$D$80,Input!$C$81,Input!$D$81),Input!$E$81),Input!$F$81),Input!$G$81),Input!$H$81)</f>
        <v>0.9</v>
      </c>
      <c r="AM36" s="60">
        <f t="shared" si="11"/>
        <v>0</v>
      </c>
      <c r="AN36" s="60">
        <f t="shared" si="31"/>
        <v>31</v>
      </c>
      <c r="AO36" s="60">
        <f t="shared" si="12"/>
        <v>0</v>
      </c>
      <c r="AP36" s="60">
        <f>ROUND(AO36*AN36*Input!$C$3/365,0)</f>
        <v>0</v>
      </c>
      <c r="AQ36" s="61">
        <f>IF($A36&lt;=Input!$C$6,0,IF('120M'!AM36&lt;'120M'!AO36,'120M'!AM36-AP36,'120M'!AO36))</f>
        <v>0</v>
      </c>
      <c r="AR36" s="61">
        <f t="shared" si="13"/>
        <v>0</v>
      </c>
      <c r="AS36" s="60">
        <f t="shared" si="14"/>
        <v>0</v>
      </c>
      <c r="AT36" s="193"/>
      <c r="AU36" s="169">
        <v>32</v>
      </c>
      <c r="AV36" s="1">
        <f t="shared" si="32"/>
        <v>46492</v>
      </c>
      <c r="AW36" s="60">
        <f>IF($X36&lt;Input!$H$88,IF($X36&lt;Input!$G$88,IF($X36&lt;Input!$F$88,IF($X36&lt;Input!$E$88,IF($X36&lt;Input!$D$88,Input!$C$94,Input!$D$94),Input!$E$94),Input!$F$94),Input!$G$94),Input!$H$94)</f>
        <v>0</v>
      </c>
      <c r="AX36" s="190">
        <f>IF($A36&lt;Input!$H$95,IF($A36&lt;Input!$G$95,IF($A36&lt;Input!$F$95,IF($A36&lt;Input!$E$95,IF($A36&lt;Input!$D$95,Input!$C$96,Input!$D$96),Input!$E$96),Input!$F$96),Input!$G$96),Input!$H$96)</f>
        <v>0.9</v>
      </c>
      <c r="AY36" s="60">
        <f t="shared" si="15"/>
        <v>0</v>
      </c>
      <c r="AZ36" s="60">
        <f t="shared" si="33"/>
        <v>31</v>
      </c>
      <c r="BA36" s="60">
        <f t="shared" si="16"/>
        <v>0</v>
      </c>
      <c r="BB36" s="60">
        <f>ROUND(BA36*AZ36*Input!$C$3/365,0)</f>
        <v>0</v>
      </c>
      <c r="BC36" s="61">
        <f>IF($A36&lt;=Input!$C$6,0,IF('120M'!AY36&lt;'120M'!BA36,'120M'!AY36-BB36,'120M'!BA36))</f>
        <v>0</v>
      </c>
      <c r="BD36" s="61">
        <f t="shared" si="17"/>
        <v>0</v>
      </c>
      <c r="BE36" s="60">
        <f t="shared" si="18"/>
        <v>0</v>
      </c>
      <c r="BF36" s="193"/>
      <c r="BG36" s="169">
        <v>32</v>
      </c>
      <c r="BH36" s="1">
        <f t="shared" si="34"/>
        <v>46492</v>
      </c>
      <c r="BI36" s="60">
        <f>IF($X36&lt;Input!$H$103,IF($X36&lt;Input!$G$103,IF($X36&lt;Input!$F$103,IF($X36&lt;Input!$E$103,IF($X36&lt;Input!$D$103,Input!$C$109,Input!$D$109),Input!$E$109),Input!$F$109),Input!$G$109),Input!$H$109)</f>
        <v>0</v>
      </c>
      <c r="BJ36" s="190">
        <f>IF($A36&lt;Input!$H$110,IF($A36&lt;Input!$G$110,IF($A36&lt;Input!$F$110,IF($A36&lt;Input!$E$110,IF($A36&lt;Input!$D$110,Input!$C$111,Input!$D$111),Input!$E$111),Input!$F$111),Input!$G$111),Input!$H$111)</f>
        <v>0.9</v>
      </c>
      <c r="BK36" s="60">
        <f t="shared" si="19"/>
        <v>0</v>
      </c>
      <c r="BL36" s="60">
        <f t="shared" si="35"/>
        <v>31</v>
      </c>
      <c r="BM36" s="60">
        <f t="shared" si="20"/>
        <v>0</v>
      </c>
      <c r="BN36" s="60">
        <f>ROUND(BM36*BL36*Input!$C$3/365,0)</f>
        <v>0</v>
      </c>
      <c r="BO36" s="61">
        <f>IF($A36&lt;=Input!$C$6,0,IF('120M'!BK36&lt;'120M'!BM36,'120M'!BK36-BN36,'120M'!BM36))</f>
        <v>0</v>
      </c>
      <c r="BP36" s="61">
        <f t="shared" si="21"/>
        <v>0</v>
      </c>
      <c r="BQ36" s="60">
        <f t="shared" si="22"/>
        <v>0</v>
      </c>
      <c r="BR36" s="198"/>
    </row>
    <row r="37" spans="1:70" x14ac:dyDescent="0.25">
      <c r="A37" s="169">
        <v>33</v>
      </c>
      <c r="B37" s="1">
        <f t="shared" si="23"/>
        <v>46522</v>
      </c>
      <c r="C37" s="60">
        <f t="shared" si="1"/>
        <v>16470000</v>
      </c>
      <c r="D37" s="60">
        <f t="shared" si="2"/>
        <v>14823000</v>
      </c>
      <c r="E37" s="60">
        <f t="shared" si="24"/>
        <v>30</v>
      </c>
      <c r="F37" s="60">
        <f t="shared" si="25"/>
        <v>909205587</v>
      </c>
      <c r="G37" s="60">
        <f>ROUND(F37*E37*Input!$C$3/365,0)</f>
        <v>11209384</v>
      </c>
      <c r="H37" s="60">
        <f>IF($A37&lt;=Input!$C$6,0,IF('120M'!D37&lt;'120M'!F37,'120M'!D37-G37,'120M'!F37))</f>
        <v>3613616</v>
      </c>
      <c r="I37" s="60">
        <f t="shared" si="26"/>
        <v>14823000</v>
      </c>
      <c r="J37" s="60">
        <f t="shared" si="27"/>
        <v>905591971</v>
      </c>
      <c r="K37" s="202">
        <f>J37/Input!$K$5</f>
        <v>3.0186399033333333</v>
      </c>
      <c r="L37" s="232"/>
      <c r="M37" s="60">
        <f>IF($B37&lt;Input!$H$43,IF($B37&lt;Input!$G$43,IF($B37&lt;Input!$F$43,IF($B37&lt;Input!$E$43,IF($B37&lt;Input!$D$43,Input!$C$49,Input!$D$49),Input!$E$49),Input!$F$49),Input!$G$49),Input!$H$49)</f>
        <v>16470000</v>
      </c>
      <c r="N37" s="190">
        <f>IF($A37&lt;Input!$H$50,IF($A37&lt;Input!$G$50,IF($A37&lt;Input!$F$50,IF($A37&lt;Input!$E$50,IF($A37&lt;Input!$D$50,Input!$C$51,Input!$D$51),Input!$E$51),Input!$F$51),Input!$G$51),Input!$H$51)</f>
        <v>0.9</v>
      </c>
      <c r="O37" s="60">
        <f t="shared" si="36"/>
        <v>14823000</v>
      </c>
      <c r="P37" s="60">
        <f t="shared" ref="P37:P68" si="37">B37-B36</f>
        <v>30</v>
      </c>
      <c r="Q37" s="60">
        <f t="shared" si="4"/>
        <v>909205587</v>
      </c>
      <c r="R37" s="60">
        <f>ROUND(Q37*$P37*Input!$C$3/365,0)</f>
        <v>11209384</v>
      </c>
      <c r="S37" s="60">
        <f>IF(A37&lt;=Input!$C$6,0,IF('120M'!O37&lt;'120M'!Q37,'120M'!O37-R37,'120M'!Q37))</f>
        <v>3613616</v>
      </c>
      <c r="T37" s="60">
        <f t="shared" si="5"/>
        <v>14823000</v>
      </c>
      <c r="U37" s="60">
        <f t="shared" si="6"/>
        <v>905591971</v>
      </c>
      <c r="V37" s="193"/>
      <c r="W37" s="169">
        <v>33</v>
      </c>
      <c r="X37" s="1">
        <f t="shared" si="28"/>
        <v>46522</v>
      </c>
      <c r="Y37" s="60">
        <f>IF($X37&lt;Input!$H$58,IF($X37&lt;Input!$G$58,IF($X37&lt;Input!$F$58,IF($X37&lt;Input!$E$58,IF($X37&lt;Input!$D$58,Input!$C$64,Input!$D$64),Input!$E$64),Input!$F$64),Input!$G$64),Input!$H$64)</f>
        <v>0</v>
      </c>
      <c r="Z37" s="190">
        <f>IF($A37&lt;Input!$H$65,IF($A37&lt;Input!$G$65,IF($A37&lt;Input!$F$65,IF($A37&lt;Input!$E$65,IF($A37&lt;Input!$D$65,Input!$C$66,Input!$D$66),Input!$E$66),Input!$F$66),Input!$G$66),Input!$H$66)</f>
        <v>0.9</v>
      </c>
      <c r="AA37" s="60">
        <f t="shared" si="7"/>
        <v>0</v>
      </c>
      <c r="AB37" s="60">
        <f t="shared" si="29"/>
        <v>30</v>
      </c>
      <c r="AC37" s="60">
        <f t="shared" si="8"/>
        <v>0</v>
      </c>
      <c r="AD37" s="60">
        <f>ROUND(AC37*AB37*Input!$C$3/365,0)</f>
        <v>0</v>
      </c>
      <c r="AE37" s="61">
        <f>IF($A37&lt;=Input!$C$6,0,IF('120M'!AA37&lt;'120M'!AC37,'120M'!AA37-AD37,'120M'!AC37))</f>
        <v>0</v>
      </c>
      <c r="AF37" s="61">
        <f t="shared" si="9"/>
        <v>0</v>
      </c>
      <c r="AG37" s="60">
        <f t="shared" si="10"/>
        <v>0</v>
      </c>
      <c r="AH37" s="193"/>
      <c r="AI37" s="169">
        <v>33</v>
      </c>
      <c r="AJ37" s="1">
        <f t="shared" si="30"/>
        <v>46522</v>
      </c>
      <c r="AK37" s="60">
        <f>IF($X37&lt;Input!$H$73,IF($X37&lt;Input!$G$73,IF($X37&lt;Input!$F$73,IF($X37&lt;Input!$E$73,IF($X37&lt;Input!$D$73,Input!$C$79,Input!$D$79),Input!$E$79),Input!$F$79),Input!$G$79),Input!$H$79)</f>
        <v>0</v>
      </c>
      <c r="AL37" s="190">
        <f>IF($A37&lt;Input!$H$80,IF($A37&lt;Input!$G$80,IF($A37&lt;Input!$F$80,IF($A37&lt;Input!$E$80,IF($A37&lt;Input!$D$80,Input!$C$81,Input!$D$81),Input!$E$81),Input!$F$81),Input!$G$81),Input!$H$81)</f>
        <v>0.9</v>
      </c>
      <c r="AM37" s="60">
        <f t="shared" si="11"/>
        <v>0</v>
      </c>
      <c r="AN37" s="60">
        <f t="shared" si="31"/>
        <v>30</v>
      </c>
      <c r="AO37" s="60">
        <f t="shared" si="12"/>
        <v>0</v>
      </c>
      <c r="AP37" s="60">
        <f>ROUND(AO37*AN37*Input!$C$3/365,0)</f>
        <v>0</v>
      </c>
      <c r="AQ37" s="61">
        <f>IF($A37&lt;=Input!$C$6,0,IF('120M'!AM37&lt;'120M'!AO37,'120M'!AM37-AP37,'120M'!AO37))</f>
        <v>0</v>
      </c>
      <c r="AR37" s="61">
        <f t="shared" si="13"/>
        <v>0</v>
      </c>
      <c r="AS37" s="60">
        <f t="shared" si="14"/>
        <v>0</v>
      </c>
      <c r="AT37" s="193"/>
      <c r="AU37" s="169">
        <v>33</v>
      </c>
      <c r="AV37" s="1">
        <f t="shared" si="32"/>
        <v>46522</v>
      </c>
      <c r="AW37" s="60">
        <f>IF($X37&lt;Input!$H$88,IF($X37&lt;Input!$G$88,IF($X37&lt;Input!$F$88,IF($X37&lt;Input!$E$88,IF($X37&lt;Input!$D$88,Input!$C$94,Input!$D$94),Input!$E$94),Input!$F$94),Input!$G$94),Input!$H$94)</f>
        <v>0</v>
      </c>
      <c r="AX37" s="190">
        <f>IF($A37&lt;Input!$H$95,IF($A37&lt;Input!$G$95,IF($A37&lt;Input!$F$95,IF($A37&lt;Input!$E$95,IF($A37&lt;Input!$D$95,Input!$C$96,Input!$D$96),Input!$E$96),Input!$F$96),Input!$G$96),Input!$H$96)</f>
        <v>0.9</v>
      </c>
      <c r="AY37" s="60">
        <f t="shared" si="15"/>
        <v>0</v>
      </c>
      <c r="AZ37" s="60">
        <f t="shared" si="33"/>
        <v>30</v>
      </c>
      <c r="BA37" s="60">
        <f t="shared" si="16"/>
        <v>0</v>
      </c>
      <c r="BB37" s="60">
        <f>ROUND(BA37*AZ37*Input!$C$3/365,0)</f>
        <v>0</v>
      </c>
      <c r="BC37" s="61">
        <f>IF($A37&lt;=Input!$C$6,0,IF('120M'!AY37&lt;'120M'!BA37,'120M'!AY37-BB37,'120M'!BA37))</f>
        <v>0</v>
      </c>
      <c r="BD37" s="61">
        <f t="shared" si="17"/>
        <v>0</v>
      </c>
      <c r="BE37" s="60">
        <f t="shared" si="18"/>
        <v>0</v>
      </c>
      <c r="BF37" s="193"/>
      <c r="BG37" s="169">
        <v>33</v>
      </c>
      <c r="BH37" s="1">
        <f t="shared" si="34"/>
        <v>46522</v>
      </c>
      <c r="BI37" s="60">
        <f>IF($X37&lt;Input!$H$103,IF($X37&lt;Input!$G$103,IF($X37&lt;Input!$F$103,IF($X37&lt;Input!$E$103,IF($X37&lt;Input!$D$103,Input!$C$109,Input!$D$109),Input!$E$109),Input!$F$109),Input!$G$109),Input!$H$109)</f>
        <v>0</v>
      </c>
      <c r="BJ37" s="190">
        <f>IF($A37&lt;Input!$H$110,IF($A37&lt;Input!$G$110,IF($A37&lt;Input!$F$110,IF($A37&lt;Input!$E$110,IF($A37&lt;Input!$D$110,Input!$C$111,Input!$D$111),Input!$E$111),Input!$F$111),Input!$G$111),Input!$H$111)</f>
        <v>0.9</v>
      </c>
      <c r="BK37" s="60">
        <f t="shared" si="19"/>
        <v>0</v>
      </c>
      <c r="BL37" s="60">
        <f t="shared" si="35"/>
        <v>30</v>
      </c>
      <c r="BM37" s="60">
        <f t="shared" si="20"/>
        <v>0</v>
      </c>
      <c r="BN37" s="60">
        <f>ROUND(BM37*BL37*Input!$C$3/365,0)</f>
        <v>0</v>
      </c>
      <c r="BO37" s="61">
        <f>IF($A37&lt;=Input!$C$6,0,IF('120M'!BK37&lt;'120M'!BM37,'120M'!BK37-BN37,'120M'!BM37))</f>
        <v>0</v>
      </c>
      <c r="BP37" s="61">
        <f t="shared" si="21"/>
        <v>0</v>
      </c>
      <c r="BQ37" s="60">
        <f t="shared" si="22"/>
        <v>0</v>
      </c>
      <c r="BR37" s="198"/>
    </row>
    <row r="38" spans="1:70" x14ac:dyDescent="0.25">
      <c r="A38" s="169">
        <v>34</v>
      </c>
      <c r="B38" s="1">
        <f t="shared" si="23"/>
        <v>46553</v>
      </c>
      <c r="C38" s="60">
        <f t="shared" si="1"/>
        <v>16470000</v>
      </c>
      <c r="D38" s="60">
        <f t="shared" si="2"/>
        <v>14823000</v>
      </c>
      <c r="E38" s="60">
        <f t="shared" si="24"/>
        <v>31</v>
      </c>
      <c r="F38" s="60">
        <f t="shared" si="25"/>
        <v>905591971</v>
      </c>
      <c r="G38" s="60">
        <f>ROUND(F38*E38*Input!$C$3/365,0)</f>
        <v>11536994</v>
      </c>
      <c r="H38" s="60">
        <f>IF($A38&lt;=Input!$C$6,0,IF('120M'!D38&lt;'120M'!F38,'120M'!D38-G38,'120M'!F38))</f>
        <v>3286006</v>
      </c>
      <c r="I38" s="60">
        <f t="shared" si="26"/>
        <v>14823000</v>
      </c>
      <c r="J38" s="60">
        <f t="shared" si="27"/>
        <v>902305965</v>
      </c>
      <c r="K38" s="202">
        <f>J38/Input!$K$5</f>
        <v>3.0076865499999998</v>
      </c>
      <c r="L38" s="232"/>
      <c r="M38" s="60">
        <f>IF($B38&lt;Input!$H$43,IF($B38&lt;Input!$G$43,IF($B38&lt;Input!$F$43,IF($B38&lt;Input!$E$43,IF($B38&lt;Input!$D$43,Input!$C$49,Input!$D$49),Input!$E$49),Input!$F$49),Input!$G$49),Input!$H$49)</f>
        <v>16470000</v>
      </c>
      <c r="N38" s="190">
        <f>IF($A38&lt;Input!$H$50,IF($A38&lt;Input!$G$50,IF($A38&lt;Input!$F$50,IF($A38&lt;Input!$E$50,IF($A38&lt;Input!$D$50,Input!$C$51,Input!$D$51),Input!$E$51),Input!$F$51),Input!$G$51),Input!$H$51)</f>
        <v>0.9</v>
      </c>
      <c r="O38" s="60">
        <f t="shared" si="36"/>
        <v>14823000</v>
      </c>
      <c r="P38" s="60">
        <f t="shared" si="37"/>
        <v>31</v>
      </c>
      <c r="Q38" s="60">
        <f t="shared" si="4"/>
        <v>905591971</v>
      </c>
      <c r="R38" s="60">
        <f>ROUND(Q38*$P38*Input!$C$3/365,0)</f>
        <v>11536994</v>
      </c>
      <c r="S38" s="60">
        <f>IF(A38&lt;=Input!$C$6,0,IF('120M'!O38&lt;'120M'!Q38,'120M'!O38-R38,'120M'!Q38))</f>
        <v>3286006</v>
      </c>
      <c r="T38" s="60">
        <f t="shared" si="5"/>
        <v>14823000</v>
      </c>
      <c r="U38" s="60">
        <f t="shared" si="6"/>
        <v>902305965</v>
      </c>
      <c r="V38" s="193"/>
      <c r="W38" s="169">
        <v>34</v>
      </c>
      <c r="X38" s="1">
        <f t="shared" si="28"/>
        <v>46553</v>
      </c>
      <c r="Y38" s="60">
        <f>IF($X38&lt;Input!$H$58,IF($X38&lt;Input!$G$58,IF($X38&lt;Input!$F$58,IF($X38&lt;Input!$E$58,IF($X38&lt;Input!$D$58,Input!$C$64,Input!$D$64),Input!$E$64),Input!$F$64),Input!$G$64),Input!$H$64)</f>
        <v>0</v>
      </c>
      <c r="Z38" s="190">
        <f>IF($A38&lt;Input!$H$65,IF($A38&lt;Input!$G$65,IF($A38&lt;Input!$F$65,IF($A38&lt;Input!$E$65,IF($A38&lt;Input!$D$65,Input!$C$66,Input!$D$66),Input!$E$66),Input!$F$66),Input!$G$66),Input!$H$66)</f>
        <v>0.9</v>
      </c>
      <c r="AA38" s="60">
        <f t="shared" si="7"/>
        <v>0</v>
      </c>
      <c r="AB38" s="60">
        <f t="shared" si="29"/>
        <v>31</v>
      </c>
      <c r="AC38" s="60">
        <f t="shared" si="8"/>
        <v>0</v>
      </c>
      <c r="AD38" s="60">
        <f>ROUND(AC38*AB38*Input!$C$3/365,0)</f>
        <v>0</v>
      </c>
      <c r="AE38" s="61">
        <f>IF($A38&lt;=Input!$C$6,0,IF('120M'!AA38&lt;'120M'!AC38,'120M'!AA38-AD38,'120M'!AC38))</f>
        <v>0</v>
      </c>
      <c r="AF38" s="61">
        <f t="shared" si="9"/>
        <v>0</v>
      </c>
      <c r="AG38" s="60">
        <f t="shared" si="10"/>
        <v>0</v>
      </c>
      <c r="AH38" s="193"/>
      <c r="AI38" s="169">
        <v>34</v>
      </c>
      <c r="AJ38" s="1">
        <f t="shared" si="30"/>
        <v>46553</v>
      </c>
      <c r="AK38" s="60">
        <f>IF($X38&lt;Input!$H$73,IF($X38&lt;Input!$G$73,IF($X38&lt;Input!$F$73,IF($X38&lt;Input!$E$73,IF($X38&lt;Input!$D$73,Input!$C$79,Input!$D$79),Input!$E$79),Input!$F$79),Input!$G$79),Input!$H$79)</f>
        <v>0</v>
      </c>
      <c r="AL38" s="190">
        <f>IF($A38&lt;Input!$H$80,IF($A38&lt;Input!$G$80,IF($A38&lt;Input!$F$80,IF($A38&lt;Input!$E$80,IF($A38&lt;Input!$D$80,Input!$C$81,Input!$D$81),Input!$E$81),Input!$F$81),Input!$G$81),Input!$H$81)</f>
        <v>0.9</v>
      </c>
      <c r="AM38" s="60">
        <f t="shared" si="11"/>
        <v>0</v>
      </c>
      <c r="AN38" s="60">
        <f t="shared" si="31"/>
        <v>31</v>
      </c>
      <c r="AO38" s="60">
        <f t="shared" si="12"/>
        <v>0</v>
      </c>
      <c r="AP38" s="60">
        <f>ROUND(AO38*AN38*Input!$C$3/365,0)</f>
        <v>0</v>
      </c>
      <c r="AQ38" s="61">
        <f>IF($A38&lt;=Input!$C$6,0,IF('120M'!AM38&lt;'120M'!AO38,'120M'!AM38-AP38,'120M'!AO38))</f>
        <v>0</v>
      </c>
      <c r="AR38" s="61">
        <f t="shared" si="13"/>
        <v>0</v>
      </c>
      <c r="AS38" s="60">
        <f t="shared" si="14"/>
        <v>0</v>
      </c>
      <c r="AT38" s="193"/>
      <c r="AU38" s="169">
        <v>34</v>
      </c>
      <c r="AV38" s="1">
        <f t="shared" si="32"/>
        <v>46553</v>
      </c>
      <c r="AW38" s="60">
        <f>IF($X38&lt;Input!$H$88,IF($X38&lt;Input!$G$88,IF($X38&lt;Input!$F$88,IF($X38&lt;Input!$E$88,IF($X38&lt;Input!$D$88,Input!$C$94,Input!$D$94),Input!$E$94),Input!$F$94),Input!$G$94),Input!$H$94)</f>
        <v>0</v>
      </c>
      <c r="AX38" s="190">
        <f>IF($A38&lt;Input!$H$95,IF($A38&lt;Input!$G$95,IF($A38&lt;Input!$F$95,IF($A38&lt;Input!$E$95,IF($A38&lt;Input!$D$95,Input!$C$96,Input!$D$96),Input!$E$96),Input!$F$96),Input!$G$96),Input!$H$96)</f>
        <v>0.9</v>
      </c>
      <c r="AY38" s="60">
        <f t="shared" si="15"/>
        <v>0</v>
      </c>
      <c r="AZ38" s="60">
        <f t="shared" si="33"/>
        <v>31</v>
      </c>
      <c r="BA38" s="60">
        <f t="shared" si="16"/>
        <v>0</v>
      </c>
      <c r="BB38" s="60">
        <f>ROUND(BA38*AZ38*Input!$C$3/365,0)</f>
        <v>0</v>
      </c>
      <c r="BC38" s="61">
        <f>IF($A38&lt;=Input!$C$6,0,IF('120M'!AY38&lt;'120M'!BA38,'120M'!AY38-BB38,'120M'!BA38))</f>
        <v>0</v>
      </c>
      <c r="BD38" s="61">
        <f t="shared" si="17"/>
        <v>0</v>
      </c>
      <c r="BE38" s="60">
        <f t="shared" si="18"/>
        <v>0</v>
      </c>
      <c r="BF38" s="193"/>
      <c r="BG38" s="169">
        <v>34</v>
      </c>
      <c r="BH38" s="1">
        <f t="shared" si="34"/>
        <v>46553</v>
      </c>
      <c r="BI38" s="60">
        <f>IF($X38&lt;Input!$H$103,IF($X38&lt;Input!$G$103,IF($X38&lt;Input!$F$103,IF($X38&lt;Input!$E$103,IF($X38&lt;Input!$D$103,Input!$C$109,Input!$D$109),Input!$E$109),Input!$F$109),Input!$G$109),Input!$H$109)</f>
        <v>0</v>
      </c>
      <c r="BJ38" s="190">
        <f>IF($A38&lt;Input!$H$110,IF($A38&lt;Input!$G$110,IF($A38&lt;Input!$F$110,IF($A38&lt;Input!$E$110,IF($A38&lt;Input!$D$110,Input!$C$111,Input!$D$111),Input!$E$111),Input!$F$111),Input!$G$111),Input!$H$111)</f>
        <v>0.9</v>
      </c>
      <c r="BK38" s="60">
        <f t="shared" si="19"/>
        <v>0</v>
      </c>
      <c r="BL38" s="60">
        <f t="shared" si="35"/>
        <v>31</v>
      </c>
      <c r="BM38" s="60">
        <f t="shared" si="20"/>
        <v>0</v>
      </c>
      <c r="BN38" s="60">
        <f>ROUND(BM38*BL38*Input!$C$3/365,0)</f>
        <v>0</v>
      </c>
      <c r="BO38" s="61">
        <f>IF($A38&lt;=Input!$C$6,0,IF('120M'!BK38&lt;'120M'!BM38,'120M'!BK38-BN38,'120M'!BM38))</f>
        <v>0</v>
      </c>
      <c r="BP38" s="61">
        <f t="shared" si="21"/>
        <v>0</v>
      </c>
      <c r="BQ38" s="60">
        <f t="shared" si="22"/>
        <v>0</v>
      </c>
      <c r="BR38" s="198"/>
    </row>
    <row r="39" spans="1:70" x14ac:dyDescent="0.25">
      <c r="A39" s="169">
        <v>35</v>
      </c>
      <c r="B39" s="1">
        <f t="shared" si="23"/>
        <v>46583</v>
      </c>
      <c r="C39" s="60">
        <f t="shared" si="1"/>
        <v>16470000</v>
      </c>
      <c r="D39" s="60">
        <f t="shared" si="2"/>
        <v>14823000</v>
      </c>
      <c r="E39" s="60">
        <f t="shared" si="24"/>
        <v>30</v>
      </c>
      <c r="F39" s="60">
        <f t="shared" si="25"/>
        <v>902305965</v>
      </c>
      <c r="G39" s="60">
        <f>ROUND(F39*E39*Input!$C$3/365,0)</f>
        <v>11124320</v>
      </c>
      <c r="H39" s="60">
        <f>IF($A39&lt;=Input!$C$6,0,IF('120M'!D39&lt;'120M'!F39,'120M'!D39-G39,'120M'!F39))</f>
        <v>3698680</v>
      </c>
      <c r="I39" s="60">
        <f t="shared" si="26"/>
        <v>14823000</v>
      </c>
      <c r="J39" s="60">
        <f t="shared" si="27"/>
        <v>898607285</v>
      </c>
      <c r="K39" s="202">
        <f>J39/Input!$K$5</f>
        <v>2.9953576166666664</v>
      </c>
      <c r="L39" s="232"/>
      <c r="M39" s="60">
        <f>IF($B39&lt;Input!$H$43,IF($B39&lt;Input!$G$43,IF($B39&lt;Input!$F$43,IF($B39&lt;Input!$E$43,IF($B39&lt;Input!$D$43,Input!$C$49,Input!$D$49),Input!$E$49),Input!$F$49),Input!$G$49),Input!$H$49)</f>
        <v>16470000</v>
      </c>
      <c r="N39" s="190">
        <f>IF($A39&lt;Input!$H$50,IF($A39&lt;Input!$G$50,IF($A39&lt;Input!$F$50,IF($A39&lt;Input!$E$50,IF($A39&lt;Input!$D$50,Input!$C$51,Input!$D$51),Input!$E$51),Input!$F$51),Input!$G$51),Input!$H$51)</f>
        <v>0.9</v>
      </c>
      <c r="O39" s="60">
        <f t="shared" si="36"/>
        <v>14823000</v>
      </c>
      <c r="P39" s="60">
        <f t="shared" si="37"/>
        <v>30</v>
      </c>
      <c r="Q39" s="60">
        <f t="shared" si="4"/>
        <v>902305965</v>
      </c>
      <c r="R39" s="60">
        <f>ROUND(Q39*$P39*Input!$C$3/365,0)</f>
        <v>11124320</v>
      </c>
      <c r="S39" s="60">
        <f>IF(A39&lt;=Input!$C$6,0,IF('120M'!O39&lt;'120M'!Q39,'120M'!O39-R39,'120M'!Q39))</f>
        <v>3698680</v>
      </c>
      <c r="T39" s="60">
        <f t="shared" si="5"/>
        <v>14823000</v>
      </c>
      <c r="U39" s="60">
        <f t="shared" si="6"/>
        <v>898607285</v>
      </c>
      <c r="V39" s="193"/>
      <c r="W39" s="169">
        <v>35</v>
      </c>
      <c r="X39" s="1">
        <f t="shared" si="28"/>
        <v>46583</v>
      </c>
      <c r="Y39" s="60">
        <f>IF($X39&lt;Input!$H$58,IF($X39&lt;Input!$G$58,IF($X39&lt;Input!$F$58,IF($X39&lt;Input!$E$58,IF($X39&lt;Input!$D$58,Input!$C$64,Input!$D$64),Input!$E$64),Input!$F$64),Input!$G$64),Input!$H$64)</f>
        <v>0</v>
      </c>
      <c r="Z39" s="190">
        <f>IF($A39&lt;Input!$H$65,IF($A39&lt;Input!$G$65,IF($A39&lt;Input!$F$65,IF($A39&lt;Input!$E$65,IF($A39&lt;Input!$D$65,Input!$C$66,Input!$D$66),Input!$E$66),Input!$F$66),Input!$G$66),Input!$H$66)</f>
        <v>0.9</v>
      </c>
      <c r="AA39" s="60">
        <f t="shared" si="7"/>
        <v>0</v>
      </c>
      <c r="AB39" s="60">
        <f t="shared" si="29"/>
        <v>30</v>
      </c>
      <c r="AC39" s="60">
        <f t="shared" si="8"/>
        <v>0</v>
      </c>
      <c r="AD39" s="60">
        <f>ROUND(AC39*AB39*Input!$C$3/365,0)</f>
        <v>0</v>
      </c>
      <c r="AE39" s="61">
        <f>IF($A39&lt;=Input!$C$6,0,IF('120M'!AA39&lt;'120M'!AC39,'120M'!AA39-AD39,'120M'!AC39))</f>
        <v>0</v>
      </c>
      <c r="AF39" s="61">
        <f t="shared" si="9"/>
        <v>0</v>
      </c>
      <c r="AG39" s="60">
        <f t="shared" si="10"/>
        <v>0</v>
      </c>
      <c r="AH39" s="193"/>
      <c r="AI39" s="169">
        <v>35</v>
      </c>
      <c r="AJ39" s="1">
        <f t="shared" si="30"/>
        <v>46583</v>
      </c>
      <c r="AK39" s="60">
        <f>IF($X39&lt;Input!$H$73,IF($X39&lt;Input!$G$73,IF($X39&lt;Input!$F$73,IF($X39&lt;Input!$E$73,IF($X39&lt;Input!$D$73,Input!$C$79,Input!$D$79),Input!$E$79),Input!$F$79),Input!$G$79),Input!$H$79)</f>
        <v>0</v>
      </c>
      <c r="AL39" s="190">
        <f>IF($A39&lt;Input!$H$80,IF($A39&lt;Input!$G$80,IF($A39&lt;Input!$F$80,IF($A39&lt;Input!$E$80,IF($A39&lt;Input!$D$80,Input!$C$81,Input!$D$81),Input!$E$81),Input!$F$81),Input!$G$81),Input!$H$81)</f>
        <v>0.9</v>
      </c>
      <c r="AM39" s="60">
        <f t="shared" si="11"/>
        <v>0</v>
      </c>
      <c r="AN39" s="60">
        <f t="shared" si="31"/>
        <v>30</v>
      </c>
      <c r="AO39" s="60">
        <f t="shared" si="12"/>
        <v>0</v>
      </c>
      <c r="AP39" s="60">
        <f>ROUND(AO39*AN39*Input!$C$3/365,0)</f>
        <v>0</v>
      </c>
      <c r="AQ39" s="61">
        <f>IF($A39&lt;=Input!$C$6,0,IF('120M'!AM39&lt;'120M'!AO39,'120M'!AM39-AP39,'120M'!AO39))</f>
        <v>0</v>
      </c>
      <c r="AR39" s="61">
        <f t="shared" si="13"/>
        <v>0</v>
      </c>
      <c r="AS39" s="60">
        <f t="shared" si="14"/>
        <v>0</v>
      </c>
      <c r="AT39" s="193"/>
      <c r="AU39" s="169">
        <v>35</v>
      </c>
      <c r="AV39" s="1">
        <f t="shared" si="32"/>
        <v>46583</v>
      </c>
      <c r="AW39" s="60">
        <f>IF($X39&lt;Input!$H$88,IF($X39&lt;Input!$G$88,IF($X39&lt;Input!$F$88,IF($X39&lt;Input!$E$88,IF($X39&lt;Input!$D$88,Input!$C$94,Input!$D$94),Input!$E$94),Input!$F$94),Input!$G$94),Input!$H$94)</f>
        <v>0</v>
      </c>
      <c r="AX39" s="190">
        <f>IF($A39&lt;Input!$H$95,IF($A39&lt;Input!$G$95,IF($A39&lt;Input!$F$95,IF($A39&lt;Input!$E$95,IF($A39&lt;Input!$D$95,Input!$C$96,Input!$D$96),Input!$E$96),Input!$F$96),Input!$G$96),Input!$H$96)</f>
        <v>0.9</v>
      </c>
      <c r="AY39" s="60">
        <f t="shared" si="15"/>
        <v>0</v>
      </c>
      <c r="AZ39" s="60">
        <f t="shared" si="33"/>
        <v>30</v>
      </c>
      <c r="BA39" s="60">
        <f t="shared" si="16"/>
        <v>0</v>
      </c>
      <c r="BB39" s="60">
        <f>ROUND(BA39*AZ39*Input!$C$3/365,0)</f>
        <v>0</v>
      </c>
      <c r="BC39" s="61">
        <f>IF($A39&lt;=Input!$C$6,0,IF('120M'!AY39&lt;'120M'!BA39,'120M'!AY39-BB39,'120M'!BA39))</f>
        <v>0</v>
      </c>
      <c r="BD39" s="61">
        <f t="shared" si="17"/>
        <v>0</v>
      </c>
      <c r="BE39" s="60">
        <f t="shared" si="18"/>
        <v>0</v>
      </c>
      <c r="BF39" s="193"/>
      <c r="BG39" s="169">
        <v>35</v>
      </c>
      <c r="BH39" s="1">
        <f t="shared" si="34"/>
        <v>46583</v>
      </c>
      <c r="BI39" s="60">
        <f>IF($X39&lt;Input!$H$103,IF($X39&lt;Input!$G$103,IF($X39&lt;Input!$F$103,IF($X39&lt;Input!$E$103,IF($X39&lt;Input!$D$103,Input!$C$109,Input!$D$109),Input!$E$109),Input!$F$109),Input!$G$109),Input!$H$109)</f>
        <v>0</v>
      </c>
      <c r="BJ39" s="190">
        <f>IF($A39&lt;Input!$H$110,IF($A39&lt;Input!$G$110,IF($A39&lt;Input!$F$110,IF($A39&lt;Input!$E$110,IF($A39&lt;Input!$D$110,Input!$C$111,Input!$D$111),Input!$E$111),Input!$F$111),Input!$G$111),Input!$H$111)</f>
        <v>0.9</v>
      </c>
      <c r="BK39" s="60">
        <f t="shared" si="19"/>
        <v>0</v>
      </c>
      <c r="BL39" s="60">
        <f t="shared" si="35"/>
        <v>30</v>
      </c>
      <c r="BM39" s="60">
        <f t="shared" si="20"/>
        <v>0</v>
      </c>
      <c r="BN39" s="60">
        <f>ROUND(BM39*BL39*Input!$C$3/365,0)</f>
        <v>0</v>
      </c>
      <c r="BO39" s="61">
        <f>IF($A39&lt;=Input!$C$6,0,IF('120M'!BK39&lt;'120M'!BM39,'120M'!BK39-BN39,'120M'!BM39))</f>
        <v>0</v>
      </c>
      <c r="BP39" s="61">
        <f t="shared" si="21"/>
        <v>0</v>
      </c>
      <c r="BQ39" s="60">
        <f t="shared" si="22"/>
        <v>0</v>
      </c>
      <c r="BR39" s="198"/>
    </row>
    <row r="40" spans="1:70" x14ac:dyDescent="0.25">
      <c r="A40" s="169">
        <v>36</v>
      </c>
      <c r="B40" s="1">
        <f t="shared" si="23"/>
        <v>46614</v>
      </c>
      <c r="C40" s="60">
        <f t="shared" si="1"/>
        <v>16470000</v>
      </c>
      <c r="D40" s="60">
        <f t="shared" si="2"/>
        <v>14823000</v>
      </c>
      <c r="E40" s="60">
        <f t="shared" si="24"/>
        <v>31</v>
      </c>
      <c r="F40" s="60">
        <f t="shared" si="25"/>
        <v>898607285</v>
      </c>
      <c r="G40" s="60">
        <f>ROUND(F40*E40*Input!$C$3/365,0)</f>
        <v>11448011</v>
      </c>
      <c r="H40" s="60">
        <f>IF($A40&lt;=Input!$C$6,0,IF('120M'!D40&lt;'120M'!F40,'120M'!D40-G40,'120M'!F40))</f>
        <v>3374989</v>
      </c>
      <c r="I40" s="60">
        <f t="shared" si="26"/>
        <v>14823000</v>
      </c>
      <c r="J40" s="60">
        <f t="shared" si="27"/>
        <v>895232296</v>
      </c>
      <c r="K40" s="202">
        <f>J40/Input!$K$5</f>
        <v>2.9841076533333335</v>
      </c>
      <c r="L40" s="232"/>
      <c r="M40" s="60">
        <f>IF($B40&lt;Input!$H$43,IF($B40&lt;Input!$G$43,IF($B40&lt;Input!$F$43,IF($B40&lt;Input!$E$43,IF($B40&lt;Input!$D$43,Input!$C$49,Input!$D$49),Input!$E$49),Input!$F$49),Input!$G$49),Input!$H$49)</f>
        <v>16470000</v>
      </c>
      <c r="N40" s="190">
        <f>IF($A40&lt;Input!$H$50,IF($A40&lt;Input!$G$50,IF($A40&lt;Input!$F$50,IF($A40&lt;Input!$E$50,IF($A40&lt;Input!$D$50,Input!$C$51,Input!$D$51),Input!$E$51),Input!$F$51),Input!$G$51),Input!$H$51)</f>
        <v>0.9</v>
      </c>
      <c r="O40" s="60">
        <f t="shared" si="36"/>
        <v>14823000</v>
      </c>
      <c r="P40" s="60">
        <f t="shared" si="37"/>
        <v>31</v>
      </c>
      <c r="Q40" s="60">
        <f t="shared" si="4"/>
        <v>898607285</v>
      </c>
      <c r="R40" s="60">
        <f>ROUND(Q40*$P40*Input!$C$3/365,0)</f>
        <v>11448011</v>
      </c>
      <c r="S40" s="60">
        <f>IF(A40&lt;=Input!$C$6,0,IF('120M'!O40&lt;'120M'!Q40,'120M'!O40-R40,'120M'!Q40))</f>
        <v>3374989</v>
      </c>
      <c r="T40" s="60">
        <f t="shared" si="5"/>
        <v>14823000</v>
      </c>
      <c r="U40" s="60">
        <f t="shared" si="6"/>
        <v>895232296</v>
      </c>
      <c r="V40" s="193"/>
      <c r="W40" s="169">
        <v>36</v>
      </c>
      <c r="X40" s="1">
        <f t="shared" si="28"/>
        <v>46614</v>
      </c>
      <c r="Y40" s="60">
        <f>IF($X40&lt;Input!$H$58,IF($X40&lt;Input!$G$58,IF($X40&lt;Input!$F$58,IF($X40&lt;Input!$E$58,IF($X40&lt;Input!$D$58,Input!$C$64,Input!$D$64),Input!$E$64),Input!$F$64),Input!$G$64),Input!$H$64)</f>
        <v>0</v>
      </c>
      <c r="Z40" s="190">
        <f>IF($A40&lt;Input!$H$65,IF($A40&lt;Input!$G$65,IF($A40&lt;Input!$F$65,IF($A40&lt;Input!$E$65,IF($A40&lt;Input!$D$65,Input!$C$66,Input!$D$66),Input!$E$66),Input!$F$66),Input!$G$66),Input!$H$66)</f>
        <v>0.9</v>
      </c>
      <c r="AA40" s="60">
        <f t="shared" si="7"/>
        <v>0</v>
      </c>
      <c r="AB40" s="60">
        <f t="shared" si="29"/>
        <v>31</v>
      </c>
      <c r="AC40" s="60">
        <f t="shared" si="8"/>
        <v>0</v>
      </c>
      <c r="AD40" s="60">
        <f>ROUND(AC40*AB40*Input!$C$3/365,0)</f>
        <v>0</v>
      </c>
      <c r="AE40" s="61">
        <f>IF($A40&lt;=Input!$C$6,0,IF('120M'!AA40&lt;'120M'!AC40,'120M'!AA40-AD40,'120M'!AC40))</f>
        <v>0</v>
      </c>
      <c r="AF40" s="61">
        <f t="shared" si="9"/>
        <v>0</v>
      </c>
      <c r="AG40" s="60">
        <f t="shared" si="10"/>
        <v>0</v>
      </c>
      <c r="AH40" s="193"/>
      <c r="AI40" s="169">
        <v>36</v>
      </c>
      <c r="AJ40" s="1">
        <f t="shared" si="30"/>
        <v>46614</v>
      </c>
      <c r="AK40" s="60">
        <f>IF($X40&lt;Input!$H$73,IF($X40&lt;Input!$G$73,IF($X40&lt;Input!$F$73,IF($X40&lt;Input!$E$73,IF($X40&lt;Input!$D$73,Input!$C$79,Input!$D$79),Input!$E$79),Input!$F$79),Input!$G$79),Input!$H$79)</f>
        <v>0</v>
      </c>
      <c r="AL40" s="190">
        <f>IF($A40&lt;Input!$H$80,IF($A40&lt;Input!$G$80,IF($A40&lt;Input!$F$80,IF($A40&lt;Input!$E$80,IF($A40&lt;Input!$D$80,Input!$C$81,Input!$D$81),Input!$E$81),Input!$F$81),Input!$G$81),Input!$H$81)</f>
        <v>0.9</v>
      </c>
      <c r="AM40" s="60">
        <f t="shared" si="11"/>
        <v>0</v>
      </c>
      <c r="AN40" s="60">
        <f t="shared" si="31"/>
        <v>31</v>
      </c>
      <c r="AO40" s="60">
        <f t="shared" si="12"/>
        <v>0</v>
      </c>
      <c r="AP40" s="60">
        <f>ROUND(AO40*AN40*Input!$C$3/365,0)</f>
        <v>0</v>
      </c>
      <c r="AQ40" s="61">
        <f>IF($A40&lt;=Input!$C$6,0,IF('120M'!AM40&lt;'120M'!AO40,'120M'!AM40-AP40,'120M'!AO40))</f>
        <v>0</v>
      </c>
      <c r="AR40" s="61">
        <f t="shared" si="13"/>
        <v>0</v>
      </c>
      <c r="AS40" s="60">
        <f t="shared" si="14"/>
        <v>0</v>
      </c>
      <c r="AT40" s="193"/>
      <c r="AU40" s="169">
        <v>36</v>
      </c>
      <c r="AV40" s="1">
        <f t="shared" si="32"/>
        <v>46614</v>
      </c>
      <c r="AW40" s="60">
        <f>IF($X40&lt;Input!$H$88,IF($X40&lt;Input!$G$88,IF($X40&lt;Input!$F$88,IF($X40&lt;Input!$E$88,IF($X40&lt;Input!$D$88,Input!$C$94,Input!$D$94),Input!$E$94),Input!$F$94),Input!$G$94),Input!$H$94)</f>
        <v>0</v>
      </c>
      <c r="AX40" s="190">
        <f>IF($A40&lt;Input!$H$95,IF($A40&lt;Input!$G$95,IF($A40&lt;Input!$F$95,IF($A40&lt;Input!$E$95,IF($A40&lt;Input!$D$95,Input!$C$96,Input!$D$96),Input!$E$96),Input!$F$96),Input!$G$96),Input!$H$96)</f>
        <v>0.9</v>
      </c>
      <c r="AY40" s="60">
        <f t="shared" si="15"/>
        <v>0</v>
      </c>
      <c r="AZ40" s="60">
        <f t="shared" si="33"/>
        <v>31</v>
      </c>
      <c r="BA40" s="60">
        <f t="shared" si="16"/>
        <v>0</v>
      </c>
      <c r="BB40" s="60">
        <f>ROUND(BA40*AZ40*Input!$C$3/365,0)</f>
        <v>0</v>
      </c>
      <c r="BC40" s="61">
        <f>IF($A40&lt;=Input!$C$6,0,IF('120M'!AY40&lt;'120M'!BA40,'120M'!AY40-BB40,'120M'!BA40))</f>
        <v>0</v>
      </c>
      <c r="BD40" s="61">
        <f t="shared" si="17"/>
        <v>0</v>
      </c>
      <c r="BE40" s="60">
        <f t="shared" si="18"/>
        <v>0</v>
      </c>
      <c r="BF40" s="193"/>
      <c r="BG40" s="169">
        <v>36</v>
      </c>
      <c r="BH40" s="1">
        <f t="shared" si="34"/>
        <v>46614</v>
      </c>
      <c r="BI40" s="60">
        <f>IF($X40&lt;Input!$H$103,IF($X40&lt;Input!$G$103,IF($X40&lt;Input!$F$103,IF($X40&lt;Input!$E$103,IF($X40&lt;Input!$D$103,Input!$C$109,Input!$D$109),Input!$E$109),Input!$F$109),Input!$G$109),Input!$H$109)</f>
        <v>0</v>
      </c>
      <c r="BJ40" s="190">
        <f>IF($A40&lt;Input!$H$110,IF($A40&lt;Input!$G$110,IF($A40&lt;Input!$F$110,IF($A40&lt;Input!$E$110,IF($A40&lt;Input!$D$110,Input!$C$111,Input!$D$111),Input!$E$111),Input!$F$111),Input!$G$111),Input!$H$111)</f>
        <v>0.9</v>
      </c>
      <c r="BK40" s="60">
        <f t="shared" si="19"/>
        <v>0</v>
      </c>
      <c r="BL40" s="60">
        <f t="shared" si="35"/>
        <v>31</v>
      </c>
      <c r="BM40" s="60">
        <f t="shared" si="20"/>
        <v>0</v>
      </c>
      <c r="BN40" s="60">
        <f>ROUND(BM40*BL40*Input!$C$3/365,0)</f>
        <v>0</v>
      </c>
      <c r="BO40" s="61">
        <f>IF($A40&lt;=Input!$C$6,0,IF('120M'!BK40&lt;'120M'!BM40,'120M'!BK40-BN40,'120M'!BM40))</f>
        <v>0</v>
      </c>
      <c r="BP40" s="61">
        <f t="shared" si="21"/>
        <v>0</v>
      </c>
      <c r="BQ40" s="60">
        <f t="shared" si="22"/>
        <v>0</v>
      </c>
      <c r="BR40" s="198"/>
    </row>
    <row r="41" spans="1:70" x14ac:dyDescent="0.25">
      <c r="A41" s="169">
        <v>37</v>
      </c>
      <c r="B41" s="1">
        <f t="shared" si="23"/>
        <v>46645</v>
      </c>
      <c r="C41" s="60">
        <f t="shared" si="1"/>
        <v>18940500</v>
      </c>
      <c r="D41" s="60">
        <f t="shared" si="2"/>
        <v>17046450</v>
      </c>
      <c r="E41" s="60">
        <f t="shared" si="24"/>
        <v>31</v>
      </c>
      <c r="F41" s="60">
        <f t="shared" si="25"/>
        <v>895232296</v>
      </c>
      <c r="G41" s="60">
        <f>ROUND(F41*E41*Input!$C$3/365,0)</f>
        <v>11405014</v>
      </c>
      <c r="H41" s="60">
        <f>IF($A41&lt;=Input!$C$6,0,IF('120M'!D41&lt;'120M'!F41,'120M'!D41-G41,'120M'!F41))</f>
        <v>5641436</v>
      </c>
      <c r="I41" s="60">
        <f t="shared" si="26"/>
        <v>17046450</v>
      </c>
      <c r="J41" s="60">
        <f t="shared" si="27"/>
        <v>889590860</v>
      </c>
      <c r="K41" s="202">
        <f>J41/Input!$K$5</f>
        <v>2.9653028666666668</v>
      </c>
      <c r="L41" s="232"/>
      <c r="M41" s="60">
        <f>IF($B41&lt;Input!$H$43,IF($B41&lt;Input!$G$43,IF($B41&lt;Input!$F$43,IF($B41&lt;Input!$E$43,IF($B41&lt;Input!$D$43,Input!$C$49,Input!$D$49),Input!$E$49),Input!$F$49),Input!$G$49),Input!$H$49)</f>
        <v>18940500</v>
      </c>
      <c r="N41" s="190">
        <f>IF($A41&lt;Input!$H$50,IF($A41&lt;Input!$G$50,IF($A41&lt;Input!$F$50,IF($A41&lt;Input!$E$50,IF($A41&lt;Input!$D$50,Input!$C$51,Input!$D$51),Input!$E$51),Input!$F$51),Input!$G$51),Input!$H$51)</f>
        <v>0.9</v>
      </c>
      <c r="O41" s="60">
        <f t="shared" si="36"/>
        <v>17046450</v>
      </c>
      <c r="P41" s="60">
        <f t="shared" si="37"/>
        <v>31</v>
      </c>
      <c r="Q41" s="60">
        <f t="shared" si="4"/>
        <v>895232296</v>
      </c>
      <c r="R41" s="60">
        <f>ROUND(Q41*$P41*Input!$C$3/365,0)</f>
        <v>11405014</v>
      </c>
      <c r="S41" s="60">
        <f>IF(A41&lt;=Input!$C$6,0,IF('120M'!O41&lt;'120M'!Q41,'120M'!O41-R41,'120M'!Q41))</f>
        <v>5641436</v>
      </c>
      <c r="T41" s="60">
        <f t="shared" si="5"/>
        <v>17046450</v>
      </c>
      <c r="U41" s="60">
        <f t="shared" si="6"/>
        <v>889590860</v>
      </c>
      <c r="V41" s="193"/>
      <c r="W41" s="169">
        <v>37</v>
      </c>
      <c r="X41" s="1">
        <f t="shared" si="28"/>
        <v>46645</v>
      </c>
      <c r="Y41" s="60">
        <f>IF($X41&lt;Input!$H$58,IF($X41&lt;Input!$G$58,IF($X41&lt;Input!$F$58,IF($X41&lt;Input!$E$58,IF($X41&lt;Input!$D$58,Input!$C$64,Input!$D$64),Input!$E$64),Input!$F$64),Input!$G$64),Input!$H$64)</f>
        <v>0</v>
      </c>
      <c r="Z41" s="190">
        <f>IF($A41&lt;Input!$H$65,IF($A41&lt;Input!$G$65,IF($A41&lt;Input!$F$65,IF($A41&lt;Input!$E$65,IF($A41&lt;Input!$D$65,Input!$C$66,Input!$D$66),Input!$E$66),Input!$F$66),Input!$G$66),Input!$H$66)</f>
        <v>0.9</v>
      </c>
      <c r="AA41" s="60">
        <f t="shared" si="7"/>
        <v>0</v>
      </c>
      <c r="AB41" s="60">
        <f t="shared" si="29"/>
        <v>31</v>
      </c>
      <c r="AC41" s="60">
        <f t="shared" si="8"/>
        <v>0</v>
      </c>
      <c r="AD41" s="60">
        <f>ROUND(AC41*AB41*Input!$C$3/365,0)</f>
        <v>0</v>
      </c>
      <c r="AE41" s="61">
        <f>IF($A41&lt;=Input!$C$6,0,IF('120M'!AA41&lt;'120M'!AC41,'120M'!AA41-AD41,'120M'!AC41))</f>
        <v>0</v>
      </c>
      <c r="AF41" s="61">
        <f t="shared" si="9"/>
        <v>0</v>
      </c>
      <c r="AG41" s="60">
        <f t="shared" si="10"/>
        <v>0</v>
      </c>
      <c r="AH41" s="193"/>
      <c r="AI41" s="169">
        <v>37</v>
      </c>
      <c r="AJ41" s="1">
        <f t="shared" si="30"/>
        <v>46645</v>
      </c>
      <c r="AK41" s="60">
        <f>IF($X41&lt;Input!$H$73,IF($X41&lt;Input!$G$73,IF($X41&lt;Input!$F$73,IF($X41&lt;Input!$E$73,IF($X41&lt;Input!$D$73,Input!$C$79,Input!$D$79),Input!$E$79),Input!$F$79),Input!$G$79),Input!$H$79)</f>
        <v>0</v>
      </c>
      <c r="AL41" s="190">
        <f>IF($A41&lt;Input!$H$80,IF($A41&lt;Input!$G$80,IF($A41&lt;Input!$F$80,IF($A41&lt;Input!$E$80,IF($A41&lt;Input!$D$80,Input!$C$81,Input!$D$81),Input!$E$81),Input!$F$81),Input!$G$81),Input!$H$81)</f>
        <v>0.9</v>
      </c>
      <c r="AM41" s="60">
        <f t="shared" si="11"/>
        <v>0</v>
      </c>
      <c r="AN41" s="60">
        <f t="shared" si="31"/>
        <v>31</v>
      </c>
      <c r="AO41" s="60">
        <f t="shared" si="12"/>
        <v>0</v>
      </c>
      <c r="AP41" s="60">
        <f>ROUND(AO41*AN41*Input!$C$3/365,0)</f>
        <v>0</v>
      </c>
      <c r="AQ41" s="61">
        <f>IF($A41&lt;=Input!$C$6,0,IF('120M'!AM41&lt;'120M'!AO41,'120M'!AM41-AP41,'120M'!AO41))</f>
        <v>0</v>
      </c>
      <c r="AR41" s="61">
        <f t="shared" si="13"/>
        <v>0</v>
      </c>
      <c r="AS41" s="60">
        <f t="shared" si="14"/>
        <v>0</v>
      </c>
      <c r="AT41" s="193"/>
      <c r="AU41" s="169">
        <v>37</v>
      </c>
      <c r="AV41" s="1">
        <f t="shared" si="32"/>
        <v>46645</v>
      </c>
      <c r="AW41" s="60">
        <f>IF($X41&lt;Input!$H$88,IF($X41&lt;Input!$G$88,IF($X41&lt;Input!$F$88,IF($X41&lt;Input!$E$88,IF($X41&lt;Input!$D$88,Input!$C$94,Input!$D$94),Input!$E$94),Input!$F$94),Input!$G$94),Input!$H$94)</f>
        <v>0</v>
      </c>
      <c r="AX41" s="190">
        <f>IF($A41&lt;Input!$H$95,IF($A41&lt;Input!$G$95,IF($A41&lt;Input!$F$95,IF($A41&lt;Input!$E$95,IF($A41&lt;Input!$D$95,Input!$C$96,Input!$D$96),Input!$E$96),Input!$F$96),Input!$G$96),Input!$H$96)</f>
        <v>0.9</v>
      </c>
      <c r="AY41" s="60">
        <f t="shared" si="15"/>
        <v>0</v>
      </c>
      <c r="AZ41" s="60">
        <f t="shared" si="33"/>
        <v>31</v>
      </c>
      <c r="BA41" s="60">
        <f t="shared" si="16"/>
        <v>0</v>
      </c>
      <c r="BB41" s="60">
        <f>ROUND(BA41*AZ41*Input!$C$3/365,0)</f>
        <v>0</v>
      </c>
      <c r="BC41" s="61">
        <f>IF($A41&lt;=Input!$C$6,0,IF('120M'!AY41&lt;'120M'!BA41,'120M'!AY41-BB41,'120M'!BA41))</f>
        <v>0</v>
      </c>
      <c r="BD41" s="61">
        <f t="shared" si="17"/>
        <v>0</v>
      </c>
      <c r="BE41" s="60">
        <f t="shared" si="18"/>
        <v>0</v>
      </c>
      <c r="BF41" s="193"/>
      <c r="BG41" s="169">
        <v>37</v>
      </c>
      <c r="BH41" s="1">
        <f t="shared" si="34"/>
        <v>46645</v>
      </c>
      <c r="BI41" s="60">
        <f>IF($X41&lt;Input!$H$103,IF($X41&lt;Input!$G$103,IF($X41&lt;Input!$F$103,IF($X41&lt;Input!$E$103,IF($X41&lt;Input!$D$103,Input!$C$109,Input!$D$109),Input!$E$109),Input!$F$109),Input!$G$109),Input!$H$109)</f>
        <v>0</v>
      </c>
      <c r="BJ41" s="190">
        <f>IF($A41&lt;Input!$H$110,IF($A41&lt;Input!$G$110,IF($A41&lt;Input!$F$110,IF($A41&lt;Input!$E$110,IF($A41&lt;Input!$D$110,Input!$C$111,Input!$D$111),Input!$E$111),Input!$F$111),Input!$G$111),Input!$H$111)</f>
        <v>0.9</v>
      </c>
      <c r="BK41" s="60">
        <f t="shared" si="19"/>
        <v>0</v>
      </c>
      <c r="BL41" s="60">
        <f t="shared" si="35"/>
        <v>31</v>
      </c>
      <c r="BM41" s="60">
        <f t="shared" si="20"/>
        <v>0</v>
      </c>
      <c r="BN41" s="60">
        <f>ROUND(BM41*BL41*Input!$C$3/365,0)</f>
        <v>0</v>
      </c>
      <c r="BO41" s="61">
        <f>IF($A41&lt;=Input!$C$6,0,IF('120M'!BK41&lt;'120M'!BM41,'120M'!BK41-BN41,'120M'!BM41))</f>
        <v>0</v>
      </c>
      <c r="BP41" s="61">
        <f t="shared" si="21"/>
        <v>0</v>
      </c>
      <c r="BQ41" s="60">
        <f t="shared" si="22"/>
        <v>0</v>
      </c>
      <c r="BR41" s="198"/>
    </row>
    <row r="42" spans="1:70" x14ac:dyDescent="0.25">
      <c r="A42" s="169">
        <v>38</v>
      </c>
      <c r="B42" s="1">
        <f t="shared" si="23"/>
        <v>46675</v>
      </c>
      <c r="C42" s="60">
        <f t="shared" si="1"/>
        <v>18940500</v>
      </c>
      <c r="D42" s="60">
        <f t="shared" si="2"/>
        <v>17046450</v>
      </c>
      <c r="E42" s="60">
        <f t="shared" si="24"/>
        <v>30</v>
      </c>
      <c r="F42" s="60">
        <f t="shared" si="25"/>
        <v>889590860</v>
      </c>
      <c r="G42" s="60">
        <f>ROUND(F42*E42*Input!$C$3/365,0)</f>
        <v>10967559</v>
      </c>
      <c r="H42" s="60">
        <f>IF($A42&lt;=Input!$C$6,0,IF('120M'!D42&lt;'120M'!F42,'120M'!D42-G42,'120M'!F42))</f>
        <v>6078891</v>
      </c>
      <c r="I42" s="60">
        <f t="shared" si="26"/>
        <v>17046450</v>
      </c>
      <c r="J42" s="60">
        <f t="shared" si="27"/>
        <v>883511969</v>
      </c>
      <c r="K42" s="202">
        <f>J42/Input!$K$5</f>
        <v>2.9450398966666667</v>
      </c>
      <c r="L42" s="232"/>
      <c r="M42" s="60">
        <f>IF($B42&lt;Input!$H$43,IF($B42&lt;Input!$G$43,IF($B42&lt;Input!$F$43,IF($B42&lt;Input!$E$43,IF($B42&lt;Input!$D$43,Input!$C$49,Input!$D$49),Input!$E$49),Input!$F$49),Input!$G$49),Input!$H$49)</f>
        <v>18940500</v>
      </c>
      <c r="N42" s="190">
        <f>IF($A42&lt;Input!$H$50,IF($A42&lt;Input!$G$50,IF($A42&lt;Input!$F$50,IF($A42&lt;Input!$E$50,IF($A42&lt;Input!$D$50,Input!$C$51,Input!$D$51),Input!$E$51),Input!$F$51),Input!$G$51),Input!$H$51)</f>
        <v>0.9</v>
      </c>
      <c r="O42" s="60">
        <f t="shared" si="36"/>
        <v>17046450</v>
      </c>
      <c r="P42" s="60">
        <f t="shared" si="37"/>
        <v>30</v>
      </c>
      <c r="Q42" s="60">
        <f t="shared" si="4"/>
        <v>889590860</v>
      </c>
      <c r="R42" s="60">
        <f>ROUND(Q42*$P42*Input!$C$3/365,0)</f>
        <v>10967559</v>
      </c>
      <c r="S42" s="60">
        <f>IF(A42&lt;=Input!$C$6,0,IF('120M'!O42&lt;'120M'!Q42,'120M'!O42-R42,'120M'!Q42))</f>
        <v>6078891</v>
      </c>
      <c r="T42" s="60">
        <f t="shared" si="5"/>
        <v>17046450</v>
      </c>
      <c r="U42" s="60">
        <f t="shared" si="6"/>
        <v>883511969</v>
      </c>
      <c r="V42" s="193"/>
      <c r="W42" s="169">
        <v>38</v>
      </c>
      <c r="X42" s="1">
        <f t="shared" si="28"/>
        <v>46675</v>
      </c>
      <c r="Y42" s="60">
        <f>IF($X42&lt;Input!$H$58,IF($X42&lt;Input!$G$58,IF($X42&lt;Input!$F$58,IF($X42&lt;Input!$E$58,IF($X42&lt;Input!$D$58,Input!$C$64,Input!$D$64),Input!$E$64),Input!$F$64),Input!$G$64),Input!$H$64)</f>
        <v>0</v>
      </c>
      <c r="Z42" s="190">
        <f>IF($A42&lt;Input!$H$65,IF($A42&lt;Input!$G$65,IF($A42&lt;Input!$F$65,IF($A42&lt;Input!$E$65,IF($A42&lt;Input!$D$65,Input!$C$66,Input!$D$66),Input!$E$66),Input!$F$66),Input!$G$66),Input!$H$66)</f>
        <v>0.9</v>
      </c>
      <c r="AA42" s="60">
        <f t="shared" si="7"/>
        <v>0</v>
      </c>
      <c r="AB42" s="60">
        <f t="shared" si="29"/>
        <v>30</v>
      </c>
      <c r="AC42" s="60">
        <f t="shared" si="8"/>
        <v>0</v>
      </c>
      <c r="AD42" s="60">
        <f>ROUND(AC42*AB42*Input!$C$3/365,0)</f>
        <v>0</v>
      </c>
      <c r="AE42" s="61">
        <f>IF($A42&lt;=Input!$C$6,0,IF('120M'!AA42&lt;'120M'!AC42,'120M'!AA42-AD42,'120M'!AC42))</f>
        <v>0</v>
      </c>
      <c r="AF42" s="61">
        <f t="shared" si="9"/>
        <v>0</v>
      </c>
      <c r="AG42" s="60">
        <f t="shared" si="10"/>
        <v>0</v>
      </c>
      <c r="AH42" s="193"/>
      <c r="AI42" s="169">
        <v>38</v>
      </c>
      <c r="AJ42" s="1">
        <f t="shared" si="30"/>
        <v>46675</v>
      </c>
      <c r="AK42" s="60">
        <f>IF($X42&lt;Input!$H$73,IF($X42&lt;Input!$G$73,IF($X42&lt;Input!$F$73,IF($X42&lt;Input!$E$73,IF($X42&lt;Input!$D$73,Input!$C$79,Input!$D$79),Input!$E$79),Input!$F$79),Input!$G$79),Input!$H$79)</f>
        <v>0</v>
      </c>
      <c r="AL42" s="190">
        <f>IF($A42&lt;Input!$H$80,IF($A42&lt;Input!$G$80,IF($A42&lt;Input!$F$80,IF($A42&lt;Input!$E$80,IF($A42&lt;Input!$D$80,Input!$C$81,Input!$D$81),Input!$E$81),Input!$F$81),Input!$G$81),Input!$H$81)</f>
        <v>0.9</v>
      </c>
      <c r="AM42" s="60">
        <f t="shared" si="11"/>
        <v>0</v>
      </c>
      <c r="AN42" s="60">
        <f t="shared" si="31"/>
        <v>30</v>
      </c>
      <c r="AO42" s="60">
        <f t="shared" si="12"/>
        <v>0</v>
      </c>
      <c r="AP42" s="60">
        <f>ROUND(AO42*AN42*Input!$C$3/365,0)</f>
        <v>0</v>
      </c>
      <c r="AQ42" s="61">
        <f>IF($A42&lt;=Input!$C$6,0,IF('120M'!AM42&lt;'120M'!AO42,'120M'!AM42-AP42,'120M'!AO42))</f>
        <v>0</v>
      </c>
      <c r="AR42" s="61">
        <f t="shared" si="13"/>
        <v>0</v>
      </c>
      <c r="AS42" s="60">
        <f t="shared" si="14"/>
        <v>0</v>
      </c>
      <c r="AT42" s="193"/>
      <c r="AU42" s="169">
        <v>38</v>
      </c>
      <c r="AV42" s="1">
        <f t="shared" si="32"/>
        <v>46675</v>
      </c>
      <c r="AW42" s="60">
        <f>IF($X42&lt;Input!$H$88,IF($X42&lt;Input!$G$88,IF($X42&lt;Input!$F$88,IF($X42&lt;Input!$E$88,IF($X42&lt;Input!$D$88,Input!$C$94,Input!$D$94),Input!$E$94),Input!$F$94),Input!$G$94),Input!$H$94)</f>
        <v>0</v>
      </c>
      <c r="AX42" s="190">
        <f>IF($A42&lt;Input!$H$95,IF($A42&lt;Input!$G$95,IF($A42&lt;Input!$F$95,IF($A42&lt;Input!$E$95,IF($A42&lt;Input!$D$95,Input!$C$96,Input!$D$96),Input!$E$96),Input!$F$96),Input!$G$96),Input!$H$96)</f>
        <v>0.9</v>
      </c>
      <c r="AY42" s="60">
        <f t="shared" si="15"/>
        <v>0</v>
      </c>
      <c r="AZ42" s="60">
        <f t="shared" si="33"/>
        <v>30</v>
      </c>
      <c r="BA42" s="60">
        <f t="shared" si="16"/>
        <v>0</v>
      </c>
      <c r="BB42" s="60">
        <f>ROUND(BA42*AZ42*Input!$C$3/365,0)</f>
        <v>0</v>
      </c>
      <c r="BC42" s="61">
        <f>IF($A42&lt;=Input!$C$6,0,IF('120M'!AY42&lt;'120M'!BA42,'120M'!AY42-BB42,'120M'!BA42))</f>
        <v>0</v>
      </c>
      <c r="BD42" s="61">
        <f t="shared" si="17"/>
        <v>0</v>
      </c>
      <c r="BE42" s="60">
        <f t="shared" si="18"/>
        <v>0</v>
      </c>
      <c r="BF42" s="193"/>
      <c r="BG42" s="169">
        <v>38</v>
      </c>
      <c r="BH42" s="1">
        <f t="shared" si="34"/>
        <v>46675</v>
      </c>
      <c r="BI42" s="60">
        <f>IF($X42&lt;Input!$H$103,IF($X42&lt;Input!$G$103,IF($X42&lt;Input!$F$103,IF($X42&lt;Input!$E$103,IF($X42&lt;Input!$D$103,Input!$C$109,Input!$D$109),Input!$E$109),Input!$F$109),Input!$G$109),Input!$H$109)</f>
        <v>0</v>
      </c>
      <c r="BJ42" s="190">
        <f>IF($A42&lt;Input!$H$110,IF($A42&lt;Input!$G$110,IF($A42&lt;Input!$F$110,IF($A42&lt;Input!$E$110,IF($A42&lt;Input!$D$110,Input!$C$111,Input!$D$111),Input!$E$111),Input!$F$111),Input!$G$111),Input!$H$111)</f>
        <v>0.9</v>
      </c>
      <c r="BK42" s="60">
        <f t="shared" si="19"/>
        <v>0</v>
      </c>
      <c r="BL42" s="60">
        <f t="shared" si="35"/>
        <v>30</v>
      </c>
      <c r="BM42" s="60">
        <f t="shared" si="20"/>
        <v>0</v>
      </c>
      <c r="BN42" s="60">
        <f>ROUND(BM42*BL42*Input!$C$3/365,0)</f>
        <v>0</v>
      </c>
      <c r="BO42" s="61">
        <f>IF($A42&lt;=Input!$C$6,0,IF('120M'!BK42&lt;'120M'!BM42,'120M'!BK42-BN42,'120M'!BM42))</f>
        <v>0</v>
      </c>
      <c r="BP42" s="61">
        <f t="shared" si="21"/>
        <v>0</v>
      </c>
      <c r="BQ42" s="60">
        <f t="shared" si="22"/>
        <v>0</v>
      </c>
      <c r="BR42" s="198"/>
    </row>
    <row r="43" spans="1:70" x14ac:dyDescent="0.25">
      <c r="A43" s="169">
        <v>39</v>
      </c>
      <c r="B43" s="1">
        <f t="shared" si="23"/>
        <v>46706</v>
      </c>
      <c r="C43" s="60">
        <f t="shared" si="1"/>
        <v>18940500</v>
      </c>
      <c r="D43" s="60">
        <f t="shared" si="2"/>
        <v>17046450</v>
      </c>
      <c r="E43" s="60">
        <f t="shared" si="24"/>
        <v>31</v>
      </c>
      <c r="F43" s="60">
        <f t="shared" si="25"/>
        <v>883511969</v>
      </c>
      <c r="G43" s="60">
        <f>ROUND(F43*E43*Input!$C$3/365,0)</f>
        <v>11255700</v>
      </c>
      <c r="H43" s="60">
        <f>IF($A43&lt;=Input!$C$6,0,IF('120M'!D43&lt;'120M'!F43,'120M'!D43-G43,'120M'!F43))</f>
        <v>5790750</v>
      </c>
      <c r="I43" s="60">
        <f t="shared" si="26"/>
        <v>17046450</v>
      </c>
      <c r="J43" s="60">
        <f t="shared" si="27"/>
        <v>877721219</v>
      </c>
      <c r="K43" s="202">
        <f>J43/Input!$K$5</f>
        <v>2.9257373966666669</v>
      </c>
      <c r="L43" s="232"/>
      <c r="M43" s="60">
        <f>IF($B43&lt;Input!$H$43,IF($B43&lt;Input!$G$43,IF($B43&lt;Input!$F$43,IF($B43&lt;Input!$E$43,IF($B43&lt;Input!$D$43,Input!$C$49,Input!$D$49),Input!$E$49),Input!$F$49),Input!$G$49),Input!$H$49)</f>
        <v>18940500</v>
      </c>
      <c r="N43" s="190">
        <f>IF($A43&lt;Input!$H$50,IF($A43&lt;Input!$G$50,IF($A43&lt;Input!$F$50,IF($A43&lt;Input!$E$50,IF($A43&lt;Input!$D$50,Input!$C$51,Input!$D$51),Input!$E$51),Input!$F$51),Input!$G$51),Input!$H$51)</f>
        <v>0.9</v>
      </c>
      <c r="O43" s="60">
        <f t="shared" si="36"/>
        <v>17046450</v>
      </c>
      <c r="P43" s="60">
        <f t="shared" si="37"/>
        <v>31</v>
      </c>
      <c r="Q43" s="60">
        <f t="shared" si="4"/>
        <v>883511969</v>
      </c>
      <c r="R43" s="60">
        <f>ROUND(Q43*$P43*Input!$C$3/365,0)</f>
        <v>11255700</v>
      </c>
      <c r="S43" s="60">
        <f>IF(A43&lt;=Input!$C$6,0,IF('120M'!O43&lt;'120M'!Q43,'120M'!O43-R43,'120M'!Q43))</f>
        <v>5790750</v>
      </c>
      <c r="T43" s="60">
        <f t="shared" si="5"/>
        <v>17046450</v>
      </c>
      <c r="U43" s="60">
        <f t="shared" si="6"/>
        <v>877721219</v>
      </c>
      <c r="V43" s="193"/>
      <c r="W43" s="169">
        <v>39</v>
      </c>
      <c r="X43" s="1">
        <f t="shared" si="28"/>
        <v>46706</v>
      </c>
      <c r="Y43" s="60">
        <f>IF($X43&lt;Input!$H$58,IF($X43&lt;Input!$G$58,IF($X43&lt;Input!$F$58,IF($X43&lt;Input!$E$58,IF($X43&lt;Input!$D$58,Input!$C$64,Input!$D$64),Input!$E$64),Input!$F$64),Input!$G$64),Input!$H$64)</f>
        <v>0</v>
      </c>
      <c r="Z43" s="190">
        <f>IF($A43&lt;Input!$H$65,IF($A43&lt;Input!$G$65,IF($A43&lt;Input!$F$65,IF($A43&lt;Input!$E$65,IF($A43&lt;Input!$D$65,Input!$C$66,Input!$D$66),Input!$E$66),Input!$F$66),Input!$G$66),Input!$H$66)</f>
        <v>0.9</v>
      </c>
      <c r="AA43" s="60">
        <f t="shared" si="7"/>
        <v>0</v>
      </c>
      <c r="AB43" s="60">
        <f t="shared" si="29"/>
        <v>31</v>
      </c>
      <c r="AC43" s="60">
        <f t="shared" si="8"/>
        <v>0</v>
      </c>
      <c r="AD43" s="60">
        <f>ROUND(AC43*AB43*Input!$C$3/365,0)</f>
        <v>0</v>
      </c>
      <c r="AE43" s="61">
        <f>IF($A43&lt;=Input!$C$6,0,IF('120M'!AA43&lt;'120M'!AC43,'120M'!AA43-AD43,'120M'!AC43))</f>
        <v>0</v>
      </c>
      <c r="AF43" s="61">
        <f t="shared" si="9"/>
        <v>0</v>
      </c>
      <c r="AG43" s="60">
        <f t="shared" si="10"/>
        <v>0</v>
      </c>
      <c r="AH43" s="193"/>
      <c r="AI43" s="169">
        <v>39</v>
      </c>
      <c r="AJ43" s="1">
        <f t="shared" si="30"/>
        <v>46706</v>
      </c>
      <c r="AK43" s="60">
        <f>IF($X43&lt;Input!$H$73,IF($X43&lt;Input!$G$73,IF($X43&lt;Input!$F$73,IF($X43&lt;Input!$E$73,IF($X43&lt;Input!$D$73,Input!$C$79,Input!$D$79),Input!$E$79),Input!$F$79),Input!$G$79),Input!$H$79)</f>
        <v>0</v>
      </c>
      <c r="AL43" s="190">
        <f>IF($A43&lt;Input!$H$80,IF($A43&lt;Input!$G$80,IF($A43&lt;Input!$F$80,IF($A43&lt;Input!$E$80,IF($A43&lt;Input!$D$80,Input!$C$81,Input!$D$81),Input!$E$81),Input!$F$81),Input!$G$81),Input!$H$81)</f>
        <v>0.9</v>
      </c>
      <c r="AM43" s="60">
        <f t="shared" si="11"/>
        <v>0</v>
      </c>
      <c r="AN43" s="60">
        <f t="shared" si="31"/>
        <v>31</v>
      </c>
      <c r="AO43" s="60">
        <f t="shared" si="12"/>
        <v>0</v>
      </c>
      <c r="AP43" s="60">
        <f>ROUND(AO43*AN43*Input!$C$3/365,0)</f>
        <v>0</v>
      </c>
      <c r="AQ43" s="61">
        <f>IF($A43&lt;=Input!$C$6,0,IF('120M'!AM43&lt;'120M'!AO43,'120M'!AM43-AP43,'120M'!AO43))</f>
        <v>0</v>
      </c>
      <c r="AR43" s="61">
        <f t="shared" si="13"/>
        <v>0</v>
      </c>
      <c r="AS43" s="60">
        <f t="shared" si="14"/>
        <v>0</v>
      </c>
      <c r="AT43" s="193"/>
      <c r="AU43" s="169">
        <v>39</v>
      </c>
      <c r="AV43" s="1">
        <f t="shared" si="32"/>
        <v>46706</v>
      </c>
      <c r="AW43" s="60">
        <f>IF($X43&lt;Input!$H$88,IF($X43&lt;Input!$G$88,IF($X43&lt;Input!$F$88,IF($X43&lt;Input!$E$88,IF($X43&lt;Input!$D$88,Input!$C$94,Input!$D$94),Input!$E$94),Input!$F$94),Input!$G$94),Input!$H$94)</f>
        <v>0</v>
      </c>
      <c r="AX43" s="190">
        <f>IF($A43&lt;Input!$H$95,IF($A43&lt;Input!$G$95,IF($A43&lt;Input!$F$95,IF($A43&lt;Input!$E$95,IF($A43&lt;Input!$D$95,Input!$C$96,Input!$D$96),Input!$E$96),Input!$F$96),Input!$G$96),Input!$H$96)</f>
        <v>0.9</v>
      </c>
      <c r="AY43" s="60">
        <f t="shared" si="15"/>
        <v>0</v>
      </c>
      <c r="AZ43" s="60">
        <f t="shared" si="33"/>
        <v>31</v>
      </c>
      <c r="BA43" s="60">
        <f t="shared" si="16"/>
        <v>0</v>
      </c>
      <c r="BB43" s="60">
        <f>ROUND(BA43*AZ43*Input!$C$3/365,0)</f>
        <v>0</v>
      </c>
      <c r="BC43" s="61">
        <f>IF($A43&lt;=Input!$C$6,0,IF('120M'!AY43&lt;'120M'!BA43,'120M'!AY43-BB43,'120M'!BA43))</f>
        <v>0</v>
      </c>
      <c r="BD43" s="61">
        <f t="shared" si="17"/>
        <v>0</v>
      </c>
      <c r="BE43" s="60">
        <f t="shared" si="18"/>
        <v>0</v>
      </c>
      <c r="BF43" s="193"/>
      <c r="BG43" s="169">
        <v>39</v>
      </c>
      <c r="BH43" s="1">
        <f t="shared" si="34"/>
        <v>46706</v>
      </c>
      <c r="BI43" s="60">
        <f>IF($X43&lt;Input!$H$103,IF($X43&lt;Input!$G$103,IF($X43&lt;Input!$F$103,IF($X43&lt;Input!$E$103,IF($X43&lt;Input!$D$103,Input!$C$109,Input!$D$109),Input!$E$109),Input!$F$109),Input!$G$109),Input!$H$109)</f>
        <v>0</v>
      </c>
      <c r="BJ43" s="190">
        <f>IF($A43&lt;Input!$H$110,IF($A43&lt;Input!$G$110,IF($A43&lt;Input!$F$110,IF($A43&lt;Input!$E$110,IF($A43&lt;Input!$D$110,Input!$C$111,Input!$D$111),Input!$E$111),Input!$F$111),Input!$G$111),Input!$H$111)</f>
        <v>0.9</v>
      </c>
      <c r="BK43" s="60">
        <f t="shared" si="19"/>
        <v>0</v>
      </c>
      <c r="BL43" s="60">
        <f t="shared" si="35"/>
        <v>31</v>
      </c>
      <c r="BM43" s="60">
        <f t="shared" si="20"/>
        <v>0</v>
      </c>
      <c r="BN43" s="60">
        <f>ROUND(BM43*BL43*Input!$C$3/365,0)</f>
        <v>0</v>
      </c>
      <c r="BO43" s="61">
        <f>IF($A43&lt;=Input!$C$6,0,IF('120M'!BK43&lt;'120M'!BM43,'120M'!BK43-BN43,'120M'!BM43))</f>
        <v>0</v>
      </c>
      <c r="BP43" s="61">
        <f t="shared" si="21"/>
        <v>0</v>
      </c>
      <c r="BQ43" s="60">
        <f t="shared" si="22"/>
        <v>0</v>
      </c>
      <c r="BR43" s="198"/>
    </row>
    <row r="44" spans="1:70" x14ac:dyDescent="0.25">
      <c r="A44" s="169">
        <v>40</v>
      </c>
      <c r="B44" s="1">
        <f t="shared" si="23"/>
        <v>46736</v>
      </c>
      <c r="C44" s="60">
        <f t="shared" si="1"/>
        <v>18940500</v>
      </c>
      <c r="D44" s="60">
        <f t="shared" si="2"/>
        <v>17046450</v>
      </c>
      <c r="E44" s="60">
        <f t="shared" si="24"/>
        <v>30</v>
      </c>
      <c r="F44" s="60">
        <f t="shared" si="25"/>
        <v>877721219</v>
      </c>
      <c r="G44" s="60">
        <f>ROUND(F44*E44*Input!$C$3/365,0)</f>
        <v>10821221</v>
      </c>
      <c r="H44" s="60">
        <f>IF($A44&lt;=Input!$C$6,0,IF('120M'!D44&lt;'120M'!F44,'120M'!D44-G44,'120M'!F44))</f>
        <v>6225229</v>
      </c>
      <c r="I44" s="60">
        <f t="shared" si="26"/>
        <v>17046450</v>
      </c>
      <c r="J44" s="60">
        <f t="shared" si="27"/>
        <v>871495990</v>
      </c>
      <c r="K44" s="202">
        <f>J44/Input!$K$5</f>
        <v>2.9049866333333334</v>
      </c>
      <c r="L44" s="232"/>
      <c r="M44" s="60">
        <f>IF($B44&lt;Input!$H$43,IF($B44&lt;Input!$G$43,IF($B44&lt;Input!$F$43,IF($B44&lt;Input!$E$43,IF($B44&lt;Input!$D$43,Input!$C$49,Input!$D$49),Input!$E$49),Input!$F$49),Input!$G$49),Input!$H$49)</f>
        <v>18940500</v>
      </c>
      <c r="N44" s="190">
        <f>IF($A44&lt;Input!$H$50,IF($A44&lt;Input!$G$50,IF($A44&lt;Input!$F$50,IF($A44&lt;Input!$E$50,IF($A44&lt;Input!$D$50,Input!$C$51,Input!$D$51),Input!$E$51),Input!$F$51),Input!$G$51),Input!$H$51)</f>
        <v>0.9</v>
      </c>
      <c r="O44" s="60">
        <f t="shared" si="36"/>
        <v>17046450</v>
      </c>
      <c r="P44" s="60">
        <f t="shared" si="37"/>
        <v>30</v>
      </c>
      <c r="Q44" s="60">
        <f t="shared" si="4"/>
        <v>877721219</v>
      </c>
      <c r="R44" s="60">
        <f>ROUND(Q44*$P44*Input!$C$3/365,0)</f>
        <v>10821221</v>
      </c>
      <c r="S44" s="60">
        <f>IF(A44&lt;=Input!$C$6,0,IF('120M'!O44&lt;'120M'!Q44,'120M'!O44-R44,'120M'!Q44))</f>
        <v>6225229</v>
      </c>
      <c r="T44" s="60">
        <f t="shared" si="5"/>
        <v>17046450</v>
      </c>
      <c r="U44" s="60">
        <f t="shared" si="6"/>
        <v>871495990</v>
      </c>
      <c r="V44" s="193"/>
      <c r="W44" s="169">
        <v>40</v>
      </c>
      <c r="X44" s="1">
        <f t="shared" si="28"/>
        <v>46736</v>
      </c>
      <c r="Y44" s="60">
        <f>IF($X44&lt;Input!$H$58,IF($X44&lt;Input!$G$58,IF($X44&lt;Input!$F$58,IF($X44&lt;Input!$E$58,IF($X44&lt;Input!$D$58,Input!$C$64,Input!$D$64),Input!$E$64),Input!$F$64),Input!$G$64),Input!$H$64)</f>
        <v>0</v>
      </c>
      <c r="Z44" s="190">
        <f>IF($A44&lt;Input!$H$65,IF($A44&lt;Input!$G$65,IF($A44&lt;Input!$F$65,IF($A44&lt;Input!$E$65,IF($A44&lt;Input!$D$65,Input!$C$66,Input!$D$66),Input!$E$66),Input!$F$66),Input!$G$66),Input!$H$66)</f>
        <v>0.9</v>
      </c>
      <c r="AA44" s="60">
        <f t="shared" si="7"/>
        <v>0</v>
      </c>
      <c r="AB44" s="60">
        <f t="shared" si="29"/>
        <v>30</v>
      </c>
      <c r="AC44" s="60">
        <f t="shared" si="8"/>
        <v>0</v>
      </c>
      <c r="AD44" s="60">
        <f>ROUND(AC44*AB44*Input!$C$3/365,0)</f>
        <v>0</v>
      </c>
      <c r="AE44" s="61">
        <f>IF($A44&lt;=Input!$C$6,0,IF('120M'!AA44&lt;'120M'!AC44,'120M'!AA44-AD44,'120M'!AC44))</f>
        <v>0</v>
      </c>
      <c r="AF44" s="61">
        <f t="shared" si="9"/>
        <v>0</v>
      </c>
      <c r="AG44" s="60">
        <f t="shared" si="10"/>
        <v>0</v>
      </c>
      <c r="AH44" s="193"/>
      <c r="AI44" s="169">
        <v>40</v>
      </c>
      <c r="AJ44" s="1">
        <f t="shared" si="30"/>
        <v>46736</v>
      </c>
      <c r="AK44" s="60">
        <f>IF($X44&lt;Input!$H$73,IF($X44&lt;Input!$G$73,IF($X44&lt;Input!$F$73,IF($X44&lt;Input!$E$73,IF($X44&lt;Input!$D$73,Input!$C$79,Input!$D$79),Input!$E$79),Input!$F$79),Input!$G$79),Input!$H$79)</f>
        <v>0</v>
      </c>
      <c r="AL44" s="190">
        <f>IF($A44&lt;Input!$H$80,IF($A44&lt;Input!$G$80,IF($A44&lt;Input!$F$80,IF($A44&lt;Input!$E$80,IF($A44&lt;Input!$D$80,Input!$C$81,Input!$D$81),Input!$E$81),Input!$F$81),Input!$G$81),Input!$H$81)</f>
        <v>0.9</v>
      </c>
      <c r="AM44" s="60">
        <f t="shared" si="11"/>
        <v>0</v>
      </c>
      <c r="AN44" s="60">
        <f t="shared" si="31"/>
        <v>30</v>
      </c>
      <c r="AO44" s="60">
        <f t="shared" si="12"/>
        <v>0</v>
      </c>
      <c r="AP44" s="60">
        <f>ROUND(AO44*AN44*Input!$C$3/365,0)</f>
        <v>0</v>
      </c>
      <c r="AQ44" s="61">
        <f>IF($A44&lt;=Input!$C$6,0,IF('120M'!AM44&lt;'120M'!AO44,'120M'!AM44-AP44,'120M'!AO44))</f>
        <v>0</v>
      </c>
      <c r="AR44" s="61">
        <f t="shared" si="13"/>
        <v>0</v>
      </c>
      <c r="AS44" s="60">
        <f t="shared" si="14"/>
        <v>0</v>
      </c>
      <c r="AT44" s="193"/>
      <c r="AU44" s="169">
        <v>40</v>
      </c>
      <c r="AV44" s="1">
        <f t="shared" si="32"/>
        <v>46736</v>
      </c>
      <c r="AW44" s="60">
        <f>IF($X44&lt;Input!$H$88,IF($X44&lt;Input!$G$88,IF($X44&lt;Input!$F$88,IF($X44&lt;Input!$E$88,IF($X44&lt;Input!$D$88,Input!$C$94,Input!$D$94),Input!$E$94),Input!$F$94),Input!$G$94),Input!$H$94)</f>
        <v>0</v>
      </c>
      <c r="AX44" s="190">
        <f>IF($A44&lt;Input!$H$95,IF($A44&lt;Input!$G$95,IF($A44&lt;Input!$F$95,IF($A44&lt;Input!$E$95,IF($A44&lt;Input!$D$95,Input!$C$96,Input!$D$96),Input!$E$96),Input!$F$96),Input!$G$96),Input!$H$96)</f>
        <v>0.9</v>
      </c>
      <c r="AY44" s="60">
        <f t="shared" si="15"/>
        <v>0</v>
      </c>
      <c r="AZ44" s="60">
        <f t="shared" si="33"/>
        <v>30</v>
      </c>
      <c r="BA44" s="60">
        <f t="shared" si="16"/>
        <v>0</v>
      </c>
      <c r="BB44" s="60">
        <f>ROUND(BA44*AZ44*Input!$C$3/365,0)</f>
        <v>0</v>
      </c>
      <c r="BC44" s="61">
        <f>IF($A44&lt;=Input!$C$6,0,IF('120M'!AY44&lt;'120M'!BA44,'120M'!AY44-BB44,'120M'!BA44))</f>
        <v>0</v>
      </c>
      <c r="BD44" s="61">
        <f t="shared" si="17"/>
        <v>0</v>
      </c>
      <c r="BE44" s="60">
        <f t="shared" si="18"/>
        <v>0</v>
      </c>
      <c r="BF44" s="193"/>
      <c r="BG44" s="169">
        <v>40</v>
      </c>
      <c r="BH44" s="1">
        <f t="shared" si="34"/>
        <v>46736</v>
      </c>
      <c r="BI44" s="60">
        <f>IF($X44&lt;Input!$H$103,IF($X44&lt;Input!$G$103,IF($X44&lt;Input!$F$103,IF($X44&lt;Input!$E$103,IF($X44&lt;Input!$D$103,Input!$C$109,Input!$D$109),Input!$E$109),Input!$F$109),Input!$G$109),Input!$H$109)</f>
        <v>0</v>
      </c>
      <c r="BJ44" s="190">
        <f>IF($A44&lt;Input!$H$110,IF($A44&lt;Input!$G$110,IF($A44&lt;Input!$F$110,IF($A44&lt;Input!$E$110,IF($A44&lt;Input!$D$110,Input!$C$111,Input!$D$111),Input!$E$111),Input!$F$111),Input!$G$111),Input!$H$111)</f>
        <v>0.9</v>
      </c>
      <c r="BK44" s="60">
        <f t="shared" si="19"/>
        <v>0</v>
      </c>
      <c r="BL44" s="60">
        <f t="shared" si="35"/>
        <v>30</v>
      </c>
      <c r="BM44" s="60">
        <f t="shared" si="20"/>
        <v>0</v>
      </c>
      <c r="BN44" s="60">
        <f>ROUND(BM44*BL44*Input!$C$3/365,0)</f>
        <v>0</v>
      </c>
      <c r="BO44" s="61">
        <f>IF($A44&lt;=Input!$C$6,0,IF('120M'!BK44&lt;'120M'!BM44,'120M'!BK44-BN44,'120M'!BM44))</f>
        <v>0</v>
      </c>
      <c r="BP44" s="61">
        <f t="shared" si="21"/>
        <v>0</v>
      </c>
      <c r="BQ44" s="60">
        <f t="shared" si="22"/>
        <v>0</v>
      </c>
      <c r="BR44" s="198"/>
    </row>
    <row r="45" spans="1:70" x14ac:dyDescent="0.25">
      <c r="A45" s="169">
        <v>41</v>
      </c>
      <c r="B45" s="1">
        <f t="shared" si="23"/>
        <v>46767</v>
      </c>
      <c r="C45" s="60">
        <f t="shared" si="1"/>
        <v>18940500</v>
      </c>
      <c r="D45" s="60">
        <f t="shared" si="2"/>
        <v>17046450</v>
      </c>
      <c r="E45" s="60">
        <f t="shared" si="24"/>
        <v>31</v>
      </c>
      <c r="F45" s="60">
        <f t="shared" si="25"/>
        <v>871495990</v>
      </c>
      <c r="G45" s="60">
        <f>ROUND(F45*E45*Input!$C$3/365,0)</f>
        <v>11102620</v>
      </c>
      <c r="H45" s="60">
        <f>IF($A45&lt;=Input!$C$6,0,IF('120M'!D45&lt;'120M'!F45,'120M'!D45-G45,'120M'!F45))</f>
        <v>5943830</v>
      </c>
      <c r="I45" s="60">
        <f t="shared" si="26"/>
        <v>17046450</v>
      </c>
      <c r="J45" s="60">
        <f t="shared" si="27"/>
        <v>865552160</v>
      </c>
      <c r="K45" s="202">
        <f>J45/Input!$K$5</f>
        <v>2.8851738666666669</v>
      </c>
      <c r="L45" s="232"/>
      <c r="M45" s="60">
        <f>IF($B45&lt;Input!$H$43,IF($B45&lt;Input!$G$43,IF($B45&lt;Input!$F$43,IF($B45&lt;Input!$E$43,IF($B45&lt;Input!$D$43,Input!$C$49,Input!$D$49),Input!$E$49),Input!$F$49),Input!$G$49),Input!$H$49)</f>
        <v>18940500</v>
      </c>
      <c r="N45" s="190">
        <f>IF($A45&lt;Input!$H$50,IF($A45&lt;Input!$G$50,IF($A45&lt;Input!$F$50,IF($A45&lt;Input!$E$50,IF($A45&lt;Input!$D$50,Input!$C$51,Input!$D$51),Input!$E$51),Input!$F$51),Input!$G$51),Input!$H$51)</f>
        <v>0.9</v>
      </c>
      <c r="O45" s="60">
        <f t="shared" si="36"/>
        <v>17046450</v>
      </c>
      <c r="P45" s="60">
        <f t="shared" si="37"/>
        <v>31</v>
      </c>
      <c r="Q45" s="60">
        <f t="shared" si="4"/>
        <v>871495990</v>
      </c>
      <c r="R45" s="60">
        <f>ROUND(Q45*$P45*Input!$C$3/365,0)</f>
        <v>11102620</v>
      </c>
      <c r="S45" s="60">
        <f>IF(A45&lt;=Input!$C$6,0,IF('120M'!O45&lt;'120M'!Q45,'120M'!O45-R45,'120M'!Q45))</f>
        <v>5943830</v>
      </c>
      <c r="T45" s="60">
        <f t="shared" si="5"/>
        <v>17046450</v>
      </c>
      <c r="U45" s="60">
        <f t="shared" si="6"/>
        <v>865552160</v>
      </c>
      <c r="V45" s="193"/>
      <c r="W45" s="169">
        <v>41</v>
      </c>
      <c r="X45" s="1">
        <f t="shared" si="28"/>
        <v>46767</v>
      </c>
      <c r="Y45" s="60">
        <f>IF($X45&lt;Input!$H$58,IF($X45&lt;Input!$G$58,IF($X45&lt;Input!$F$58,IF($X45&lt;Input!$E$58,IF($X45&lt;Input!$D$58,Input!$C$64,Input!$D$64),Input!$E$64),Input!$F$64),Input!$G$64),Input!$H$64)</f>
        <v>0</v>
      </c>
      <c r="Z45" s="190">
        <f>IF($A45&lt;Input!$H$65,IF($A45&lt;Input!$G$65,IF($A45&lt;Input!$F$65,IF($A45&lt;Input!$E$65,IF($A45&lt;Input!$D$65,Input!$C$66,Input!$D$66),Input!$E$66),Input!$F$66),Input!$G$66),Input!$H$66)</f>
        <v>0.9</v>
      </c>
      <c r="AA45" s="60">
        <f t="shared" si="7"/>
        <v>0</v>
      </c>
      <c r="AB45" s="60">
        <f t="shared" si="29"/>
        <v>31</v>
      </c>
      <c r="AC45" s="60">
        <f t="shared" si="8"/>
        <v>0</v>
      </c>
      <c r="AD45" s="60">
        <f>ROUND(AC45*AB45*Input!$C$3/365,0)</f>
        <v>0</v>
      </c>
      <c r="AE45" s="61">
        <f>IF($A45&lt;=Input!$C$6,0,IF('120M'!AA45&lt;'120M'!AC45,'120M'!AA45-AD45,'120M'!AC45))</f>
        <v>0</v>
      </c>
      <c r="AF45" s="61">
        <f t="shared" si="9"/>
        <v>0</v>
      </c>
      <c r="AG45" s="60">
        <f t="shared" si="10"/>
        <v>0</v>
      </c>
      <c r="AH45" s="193"/>
      <c r="AI45" s="169">
        <v>41</v>
      </c>
      <c r="AJ45" s="1">
        <f t="shared" si="30"/>
        <v>46767</v>
      </c>
      <c r="AK45" s="60">
        <f>IF($X45&lt;Input!$H$73,IF($X45&lt;Input!$G$73,IF($X45&lt;Input!$F$73,IF($X45&lt;Input!$E$73,IF($X45&lt;Input!$D$73,Input!$C$79,Input!$D$79),Input!$E$79),Input!$F$79),Input!$G$79),Input!$H$79)</f>
        <v>0</v>
      </c>
      <c r="AL45" s="190">
        <f>IF($A45&lt;Input!$H$80,IF($A45&lt;Input!$G$80,IF($A45&lt;Input!$F$80,IF($A45&lt;Input!$E$80,IF($A45&lt;Input!$D$80,Input!$C$81,Input!$D$81),Input!$E$81),Input!$F$81),Input!$G$81),Input!$H$81)</f>
        <v>0.9</v>
      </c>
      <c r="AM45" s="60">
        <f t="shared" si="11"/>
        <v>0</v>
      </c>
      <c r="AN45" s="60">
        <f t="shared" si="31"/>
        <v>31</v>
      </c>
      <c r="AO45" s="60">
        <f t="shared" si="12"/>
        <v>0</v>
      </c>
      <c r="AP45" s="60">
        <f>ROUND(AO45*AN45*Input!$C$3/365,0)</f>
        <v>0</v>
      </c>
      <c r="AQ45" s="61">
        <f>IF($A45&lt;=Input!$C$6,0,IF('120M'!AM45&lt;'120M'!AO45,'120M'!AM45-AP45,'120M'!AO45))</f>
        <v>0</v>
      </c>
      <c r="AR45" s="61">
        <f t="shared" si="13"/>
        <v>0</v>
      </c>
      <c r="AS45" s="60">
        <f t="shared" si="14"/>
        <v>0</v>
      </c>
      <c r="AT45" s="193"/>
      <c r="AU45" s="169">
        <v>41</v>
      </c>
      <c r="AV45" s="1">
        <f t="shared" si="32"/>
        <v>46767</v>
      </c>
      <c r="AW45" s="60">
        <f>IF($X45&lt;Input!$H$88,IF($X45&lt;Input!$G$88,IF($X45&lt;Input!$F$88,IF($X45&lt;Input!$E$88,IF($X45&lt;Input!$D$88,Input!$C$94,Input!$D$94),Input!$E$94),Input!$F$94),Input!$G$94),Input!$H$94)</f>
        <v>0</v>
      </c>
      <c r="AX45" s="190">
        <f>IF($A45&lt;Input!$H$95,IF($A45&lt;Input!$G$95,IF($A45&lt;Input!$F$95,IF($A45&lt;Input!$E$95,IF($A45&lt;Input!$D$95,Input!$C$96,Input!$D$96),Input!$E$96),Input!$F$96),Input!$G$96),Input!$H$96)</f>
        <v>0.9</v>
      </c>
      <c r="AY45" s="60">
        <f t="shared" si="15"/>
        <v>0</v>
      </c>
      <c r="AZ45" s="60">
        <f t="shared" si="33"/>
        <v>31</v>
      </c>
      <c r="BA45" s="60">
        <f t="shared" si="16"/>
        <v>0</v>
      </c>
      <c r="BB45" s="60">
        <f>ROUND(BA45*AZ45*Input!$C$3/365,0)</f>
        <v>0</v>
      </c>
      <c r="BC45" s="61">
        <f>IF($A45&lt;=Input!$C$6,0,IF('120M'!AY45&lt;'120M'!BA45,'120M'!AY45-BB45,'120M'!BA45))</f>
        <v>0</v>
      </c>
      <c r="BD45" s="61">
        <f t="shared" si="17"/>
        <v>0</v>
      </c>
      <c r="BE45" s="60">
        <f t="shared" si="18"/>
        <v>0</v>
      </c>
      <c r="BF45" s="193"/>
      <c r="BG45" s="169">
        <v>41</v>
      </c>
      <c r="BH45" s="1">
        <f t="shared" si="34"/>
        <v>46767</v>
      </c>
      <c r="BI45" s="60">
        <f>IF($X45&lt;Input!$H$103,IF($X45&lt;Input!$G$103,IF($X45&lt;Input!$F$103,IF($X45&lt;Input!$E$103,IF($X45&lt;Input!$D$103,Input!$C$109,Input!$D$109),Input!$E$109),Input!$F$109),Input!$G$109),Input!$H$109)</f>
        <v>0</v>
      </c>
      <c r="BJ45" s="190">
        <f>IF($A45&lt;Input!$H$110,IF($A45&lt;Input!$G$110,IF($A45&lt;Input!$F$110,IF($A45&lt;Input!$E$110,IF($A45&lt;Input!$D$110,Input!$C$111,Input!$D$111),Input!$E$111),Input!$F$111),Input!$G$111),Input!$H$111)</f>
        <v>0.9</v>
      </c>
      <c r="BK45" s="60">
        <f t="shared" si="19"/>
        <v>0</v>
      </c>
      <c r="BL45" s="60">
        <f t="shared" si="35"/>
        <v>31</v>
      </c>
      <c r="BM45" s="60">
        <f t="shared" si="20"/>
        <v>0</v>
      </c>
      <c r="BN45" s="60">
        <f>ROUND(BM45*BL45*Input!$C$3/365,0)</f>
        <v>0</v>
      </c>
      <c r="BO45" s="61">
        <f>IF($A45&lt;=Input!$C$6,0,IF('120M'!BK45&lt;'120M'!BM45,'120M'!BK45-BN45,'120M'!BM45))</f>
        <v>0</v>
      </c>
      <c r="BP45" s="61">
        <f t="shared" si="21"/>
        <v>0</v>
      </c>
      <c r="BQ45" s="60">
        <f t="shared" si="22"/>
        <v>0</v>
      </c>
      <c r="BR45" s="198"/>
    </row>
    <row r="46" spans="1:70" x14ac:dyDescent="0.25">
      <c r="A46" s="169">
        <v>42</v>
      </c>
      <c r="B46" s="1">
        <f t="shared" si="23"/>
        <v>46798</v>
      </c>
      <c r="C46" s="60">
        <f t="shared" si="1"/>
        <v>18940500</v>
      </c>
      <c r="D46" s="60">
        <f t="shared" si="2"/>
        <v>17046450</v>
      </c>
      <c r="E46" s="60">
        <f t="shared" si="24"/>
        <v>31</v>
      </c>
      <c r="F46" s="60">
        <f t="shared" si="25"/>
        <v>865552160</v>
      </c>
      <c r="G46" s="60">
        <f>ROUND(F46*E46*Input!$C$3/365,0)</f>
        <v>11026897</v>
      </c>
      <c r="H46" s="60">
        <f>IF($A46&lt;=Input!$C$6,0,IF('120M'!D46&lt;'120M'!F46,'120M'!D46-G46,'120M'!F46))</f>
        <v>6019553</v>
      </c>
      <c r="I46" s="60">
        <f t="shared" si="26"/>
        <v>17046450</v>
      </c>
      <c r="J46" s="60">
        <f t="shared" si="27"/>
        <v>859532607</v>
      </c>
      <c r="K46" s="202">
        <f>J46/Input!$K$5</f>
        <v>2.86510869</v>
      </c>
      <c r="L46" s="232"/>
      <c r="M46" s="60">
        <f>IF($B46&lt;Input!$H$43,IF($B46&lt;Input!$G$43,IF($B46&lt;Input!$F$43,IF($B46&lt;Input!$E$43,IF($B46&lt;Input!$D$43,Input!$C$49,Input!$D$49),Input!$E$49),Input!$F$49),Input!$G$49),Input!$H$49)</f>
        <v>18940500</v>
      </c>
      <c r="N46" s="190">
        <f>IF($A46&lt;Input!$H$50,IF($A46&lt;Input!$G$50,IF($A46&lt;Input!$F$50,IF($A46&lt;Input!$E$50,IF($A46&lt;Input!$D$50,Input!$C$51,Input!$D$51),Input!$E$51),Input!$F$51),Input!$G$51),Input!$H$51)</f>
        <v>0.9</v>
      </c>
      <c r="O46" s="60">
        <f t="shared" si="36"/>
        <v>17046450</v>
      </c>
      <c r="P46" s="60">
        <f t="shared" si="37"/>
        <v>31</v>
      </c>
      <c r="Q46" s="60">
        <f t="shared" si="4"/>
        <v>865552160</v>
      </c>
      <c r="R46" s="60">
        <f>ROUND(Q46*$P46*Input!$C$3/365,0)</f>
        <v>11026897</v>
      </c>
      <c r="S46" s="60">
        <f>IF(A46&lt;=Input!$C$6,0,IF('120M'!O46&lt;'120M'!Q46,'120M'!O46-R46,'120M'!Q46))</f>
        <v>6019553</v>
      </c>
      <c r="T46" s="60">
        <f t="shared" si="5"/>
        <v>17046450</v>
      </c>
      <c r="U46" s="60">
        <f t="shared" si="6"/>
        <v>859532607</v>
      </c>
      <c r="V46" s="193"/>
      <c r="W46" s="169">
        <v>42</v>
      </c>
      <c r="X46" s="1">
        <f t="shared" si="28"/>
        <v>46798</v>
      </c>
      <c r="Y46" s="60">
        <f>IF($X46&lt;Input!$H$58,IF($X46&lt;Input!$G$58,IF($X46&lt;Input!$F$58,IF($X46&lt;Input!$E$58,IF($X46&lt;Input!$D$58,Input!$C$64,Input!$D$64),Input!$E$64),Input!$F$64),Input!$G$64),Input!$H$64)</f>
        <v>0</v>
      </c>
      <c r="Z46" s="190">
        <f>IF($A46&lt;Input!$H$65,IF($A46&lt;Input!$G$65,IF($A46&lt;Input!$F$65,IF($A46&lt;Input!$E$65,IF($A46&lt;Input!$D$65,Input!$C$66,Input!$D$66),Input!$E$66),Input!$F$66),Input!$G$66),Input!$H$66)</f>
        <v>0.9</v>
      </c>
      <c r="AA46" s="60">
        <f t="shared" si="7"/>
        <v>0</v>
      </c>
      <c r="AB46" s="60">
        <f t="shared" si="29"/>
        <v>31</v>
      </c>
      <c r="AC46" s="60">
        <f t="shared" si="8"/>
        <v>0</v>
      </c>
      <c r="AD46" s="60">
        <f>ROUND(AC46*AB46*Input!$C$3/365,0)</f>
        <v>0</v>
      </c>
      <c r="AE46" s="61">
        <f>IF($A46&lt;=Input!$C$6,0,IF('120M'!AA46&lt;'120M'!AC46,'120M'!AA46-AD46,'120M'!AC46))</f>
        <v>0</v>
      </c>
      <c r="AF46" s="61">
        <f t="shared" si="9"/>
        <v>0</v>
      </c>
      <c r="AG46" s="60">
        <f t="shared" si="10"/>
        <v>0</v>
      </c>
      <c r="AH46" s="193"/>
      <c r="AI46" s="169">
        <v>42</v>
      </c>
      <c r="AJ46" s="1">
        <f t="shared" si="30"/>
        <v>46798</v>
      </c>
      <c r="AK46" s="60">
        <f>IF($X46&lt;Input!$H$73,IF($X46&lt;Input!$G$73,IF($X46&lt;Input!$F$73,IF($X46&lt;Input!$E$73,IF($X46&lt;Input!$D$73,Input!$C$79,Input!$D$79),Input!$E$79),Input!$F$79),Input!$G$79),Input!$H$79)</f>
        <v>0</v>
      </c>
      <c r="AL46" s="190">
        <f>IF($A46&lt;Input!$H$80,IF($A46&lt;Input!$G$80,IF($A46&lt;Input!$F$80,IF($A46&lt;Input!$E$80,IF($A46&lt;Input!$D$80,Input!$C$81,Input!$D$81),Input!$E$81),Input!$F$81),Input!$G$81),Input!$H$81)</f>
        <v>0.9</v>
      </c>
      <c r="AM46" s="60">
        <f t="shared" si="11"/>
        <v>0</v>
      </c>
      <c r="AN46" s="60">
        <f t="shared" si="31"/>
        <v>31</v>
      </c>
      <c r="AO46" s="60">
        <f t="shared" si="12"/>
        <v>0</v>
      </c>
      <c r="AP46" s="60">
        <f>ROUND(AO46*AN46*Input!$C$3/365,0)</f>
        <v>0</v>
      </c>
      <c r="AQ46" s="61">
        <f>IF($A46&lt;=Input!$C$6,0,IF('120M'!AM46&lt;'120M'!AO46,'120M'!AM46-AP46,'120M'!AO46))</f>
        <v>0</v>
      </c>
      <c r="AR46" s="61">
        <f t="shared" si="13"/>
        <v>0</v>
      </c>
      <c r="AS46" s="60">
        <f t="shared" si="14"/>
        <v>0</v>
      </c>
      <c r="AT46" s="193"/>
      <c r="AU46" s="169">
        <v>42</v>
      </c>
      <c r="AV46" s="1">
        <f t="shared" si="32"/>
        <v>46798</v>
      </c>
      <c r="AW46" s="60">
        <f>IF($X46&lt;Input!$H$88,IF($X46&lt;Input!$G$88,IF($X46&lt;Input!$F$88,IF($X46&lt;Input!$E$88,IF($X46&lt;Input!$D$88,Input!$C$94,Input!$D$94),Input!$E$94),Input!$F$94),Input!$G$94),Input!$H$94)</f>
        <v>0</v>
      </c>
      <c r="AX46" s="190">
        <f>IF($A46&lt;Input!$H$95,IF($A46&lt;Input!$G$95,IF($A46&lt;Input!$F$95,IF($A46&lt;Input!$E$95,IF($A46&lt;Input!$D$95,Input!$C$96,Input!$D$96),Input!$E$96),Input!$F$96),Input!$G$96),Input!$H$96)</f>
        <v>0.9</v>
      </c>
      <c r="AY46" s="60">
        <f t="shared" si="15"/>
        <v>0</v>
      </c>
      <c r="AZ46" s="60">
        <f t="shared" si="33"/>
        <v>31</v>
      </c>
      <c r="BA46" s="60">
        <f t="shared" si="16"/>
        <v>0</v>
      </c>
      <c r="BB46" s="60">
        <f>ROUND(BA46*AZ46*Input!$C$3/365,0)</f>
        <v>0</v>
      </c>
      <c r="BC46" s="61">
        <f>IF($A46&lt;=Input!$C$6,0,IF('120M'!AY46&lt;'120M'!BA46,'120M'!AY46-BB46,'120M'!BA46))</f>
        <v>0</v>
      </c>
      <c r="BD46" s="61">
        <f t="shared" si="17"/>
        <v>0</v>
      </c>
      <c r="BE46" s="60">
        <f t="shared" si="18"/>
        <v>0</v>
      </c>
      <c r="BF46" s="193"/>
      <c r="BG46" s="169">
        <v>42</v>
      </c>
      <c r="BH46" s="1">
        <f t="shared" si="34"/>
        <v>46798</v>
      </c>
      <c r="BI46" s="60">
        <f>IF($X46&lt;Input!$H$103,IF($X46&lt;Input!$G$103,IF($X46&lt;Input!$F$103,IF($X46&lt;Input!$E$103,IF($X46&lt;Input!$D$103,Input!$C$109,Input!$D$109),Input!$E$109),Input!$F$109),Input!$G$109),Input!$H$109)</f>
        <v>0</v>
      </c>
      <c r="BJ46" s="190">
        <f>IF($A46&lt;Input!$H$110,IF($A46&lt;Input!$G$110,IF($A46&lt;Input!$F$110,IF($A46&lt;Input!$E$110,IF($A46&lt;Input!$D$110,Input!$C$111,Input!$D$111),Input!$E$111),Input!$F$111),Input!$G$111),Input!$H$111)</f>
        <v>0.9</v>
      </c>
      <c r="BK46" s="60">
        <f t="shared" si="19"/>
        <v>0</v>
      </c>
      <c r="BL46" s="60">
        <f t="shared" si="35"/>
        <v>31</v>
      </c>
      <c r="BM46" s="60">
        <f t="shared" si="20"/>
        <v>0</v>
      </c>
      <c r="BN46" s="60">
        <f>ROUND(BM46*BL46*Input!$C$3/365,0)</f>
        <v>0</v>
      </c>
      <c r="BO46" s="61">
        <f>IF($A46&lt;=Input!$C$6,0,IF('120M'!BK46&lt;'120M'!BM46,'120M'!BK46-BN46,'120M'!BM46))</f>
        <v>0</v>
      </c>
      <c r="BP46" s="61">
        <f t="shared" si="21"/>
        <v>0</v>
      </c>
      <c r="BQ46" s="60">
        <f t="shared" si="22"/>
        <v>0</v>
      </c>
      <c r="BR46" s="198"/>
    </row>
    <row r="47" spans="1:70" x14ac:dyDescent="0.25">
      <c r="A47" s="169">
        <v>43</v>
      </c>
      <c r="B47" s="1">
        <f t="shared" si="23"/>
        <v>46827</v>
      </c>
      <c r="C47" s="60">
        <f t="shared" si="1"/>
        <v>18940500</v>
      </c>
      <c r="D47" s="60">
        <f t="shared" si="2"/>
        <v>17046450</v>
      </c>
      <c r="E47" s="60">
        <f t="shared" si="24"/>
        <v>29</v>
      </c>
      <c r="F47" s="60">
        <f t="shared" si="25"/>
        <v>859532607</v>
      </c>
      <c r="G47" s="60">
        <f>ROUND(F47*E47*Input!$C$3/365,0)</f>
        <v>10243745</v>
      </c>
      <c r="H47" s="60">
        <f>IF($A47&lt;=Input!$C$6,0,IF('120M'!D47&lt;'120M'!F47,'120M'!D47-G47,'120M'!F47))</f>
        <v>6802705</v>
      </c>
      <c r="I47" s="60">
        <f t="shared" si="26"/>
        <v>17046450</v>
      </c>
      <c r="J47" s="60">
        <f t="shared" si="27"/>
        <v>852729902</v>
      </c>
      <c r="K47" s="202">
        <f>J47/Input!$K$5</f>
        <v>2.8424330066666665</v>
      </c>
      <c r="L47" s="232"/>
      <c r="M47" s="60">
        <f>IF($B47&lt;Input!$H$43,IF($B47&lt;Input!$G$43,IF($B47&lt;Input!$F$43,IF($B47&lt;Input!$E$43,IF($B47&lt;Input!$D$43,Input!$C$49,Input!$D$49),Input!$E$49),Input!$F$49),Input!$G$49),Input!$H$49)</f>
        <v>18940500</v>
      </c>
      <c r="N47" s="190">
        <f>IF($A47&lt;Input!$H$50,IF($A47&lt;Input!$G$50,IF($A47&lt;Input!$F$50,IF($A47&lt;Input!$E$50,IF($A47&lt;Input!$D$50,Input!$C$51,Input!$D$51),Input!$E$51),Input!$F$51),Input!$G$51),Input!$H$51)</f>
        <v>0.9</v>
      </c>
      <c r="O47" s="60">
        <f t="shared" si="36"/>
        <v>17046450</v>
      </c>
      <c r="P47" s="60">
        <f t="shared" si="37"/>
        <v>29</v>
      </c>
      <c r="Q47" s="60">
        <f t="shared" si="4"/>
        <v>859532607</v>
      </c>
      <c r="R47" s="60">
        <f>ROUND(Q47*$P47*Input!$C$3/365,0)</f>
        <v>10243745</v>
      </c>
      <c r="S47" s="60">
        <f>IF(A47&lt;=Input!$C$6,0,IF('120M'!O47&lt;'120M'!Q47,'120M'!O47-R47,'120M'!Q47))</f>
        <v>6802705</v>
      </c>
      <c r="T47" s="60">
        <f t="shared" si="5"/>
        <v>17046450</v>
      </c>
      <c r="U47" s="60">
        <f t="shared" si="6"/>
        <v>852729902</v>
      </c>
      <c r="V47" s="193"/>
      <c r="W47" s="169">
        <v>43</v>
      </c>
      <c r="X47" s="1">
        <f t="shared" si="28"/>
        <v>46827</v>
      </c>
      <c r="Y47" s="60">
        <f>IF($X47&lt;Input!$H$58,IF($X47&lt;Input!$G$58,IF($X47&lt;Input!$F$58,IF($X47&lt;Input!$E$58,IF($X47&lt;Input!$D$58,Input!$C$64,Input!$D$64),Input!$E$64),Input!$F$64),Input!$G$64),Input!$H$64)</f>
        <v>0</v>
      </c>
      <c r="Z47" s="190">
        <f>IF($A47&lt;Input!$H$65,IF($A47&lt;Input!$G$65,IF($A47&lt;Input!$F$65,IF($A47&lt;Input!$E$65,IF($A47&lt;Input!$D$65,Input!$C$66,Input!$D$66),Input!$E$66),Input!$F$66),Input!$G$66),Input!$H$66)</f>
        <v>0.9</v>
      </c>
      <c r="AA47" s="60">
        <f t="shared" si="7"/>
        <v>0</v>
      </c>
      <c r="AB47" s="60">
        <f t="shared" si="29"/>
        <v>29</v>
      </c>
      <c r="AC47" s="60">
        <f t="shared" si="8"/>
        <v>0</v>
      </c>
      <c r="AD47" s="60">
        <f>ROUND(AC47*AB47*Input!$C$3/365,0)</f>
        <v>0</v>
      </c>
      <c r="AE47" s="61">
        <f>IF($A47&lt;=Input!$C$6,0,IF('120M'!AA47&lt;'120M'!AC47,'120M'!AA47-AD47,'120M'!AC47))</f>
        <v>0</v>
      </c>
      <c r="AF47" s="61">
        <f t="shared" si="9"/>
        <v>0</v>
      </c>
      <c r="AG47" s="60">
        <f t="shared" si="10"/>
        <v>0</v>
      </c>
      <c r="AH47" s="193"/>
      <c r="AI47" s="169">
        <v>43</v>
      </c>
      <c r="AJ47" s="1">
        <f t="shared" si="30"/>
        <v>46827</v>
      </c>
      <c r="AK47" s="60">
        <f>IF($X47&lt;Input!$H$73,IF($X47&lt;Input!$G$73,IF($X47&lt;Input!$F$73,IF($X47&lt;Input!$E$73,IF($X47&lt;Input!$D$73,Input!$C$79,Input!$D$79),Input!$E$79),Input!$F$79),Input!$G$79),Input!$H$79)</f>
        <v>0</v>
      </c>
      <c r="AL47" s="190">
        <f>IF($A47&lt;Input!$H$80,IF($A47&lt;Input!$G$80,IF($A47&lt;Input!$F$80,IF($A47&lt;Input!$E$80,IF($A47&lt;Input!$D$80,Input!$C$81,Input!$D$81),Input!$E$81),Input!$F$81),Input!$G$81),Input!$H$81)</f>
        <v>0.9</v>
      </c>
      <c r="AM47" s="60">
        <f t="shared" si="11"/>
        <v>0</v>
      </c>
      <c r="AN47" s="60">
        <f t="shared" si="31"/>
        <v>29</v>
      </c>
      <c r="AO47" s="60">
        <f t="shared" si="12"/>
        <v>0</v>
      </c>
      <c r="AP47" s="60">
        <f>ROUND(AO47*AN47*Input!$C$3/365,0)</f>
        <v>0</v>
      </c>
      <c r="AQ47" s="61">
        <f>IF($A47&lt;=Input!$C$6,0,IF('120M'!AM47&lt;'120M'!AO47,'120M'!AM47-AP47,'120M'!AO47))</f>
        <v>0</v>
      </c>
      <c r="AR47" s="61">
        <f t="shared" si="13"/>
        <v>0</v>
      </c>
      <c r="AS47" s="60">
        <f t="shared" si="14"/>
        <v>0</v>
      </c>
      <c r="AT47" s="193"/>
      <c r="AU47" s="169">
        <v>43</v>
      </c>
      <c r="AV47" s="1">
        <f t="shared" si="32"/>
        <v>46827</v>
      </c>
      <c r="AW47" s="60">
        <f>IF($X47&lt;Input!$H$88,IF($X47&lt;Input!$G$88,IF($X47&lt;Input!$F$88,IF($X47&lt;Input!$E$88,IF($X47&lt;Input!$D$88,Input!$C$94,Input!$D$94),Input!$E$94),Input!$F$94),Input!$G$94),Input!$H$94)</f>
        <v>0</v>
      </c>
      <c r="AX47" s="190">
        <f>IF($A47&lt;Input!$H$95,IF($A47&lt;Input!$G$95,IF($A47&lt;Input!$F$95,IF($A47&lt;Input!$E$95,IF($A47&lt;Input!$D$95,Input!$C$96,Input!$D$96),Input!$E$96),Input!$F$96),Input!$G$96),Input!$H$96)</f>
        <v>0.9</v>
      </c>
      <c r="AY47" s="60">
        <f t="shared" si="15"/>
        <v>0</v>
      </c>
      <c r="AZ47" s="60">
        <f t="shared" si="33"/>
        <v>29</v>
      </c>
      <c r="BA47" s="60">
        <f t="shared" si="16"/>
        <v>0</v>
      </c>
      <c r="BB47" s="60">
        <f>ROUND(BA47*AZ47*Input!$C$3/365,0)</f>
        <v>0</v>
      </c>
      <c r="BC47" s="61">
        <f>IF($A47&lt;=Input!$C$6,0,IF('120M'!AY47&lt;'120M'!BA47,'120M'!AY47-BB47,'120M'!BA47))</f>
        <v>0</v>
      </c>
      <c r="BD47" s="61">
        <f t="shared" si="17"/>
        <v>0</v>
      </c>
      <c r="BE47" s="60">
        <f t="shared" si="18"/>
        <v>0</v>
      </c>
      <c r="BF47" s="193"/>
      <c r="BG47" s="169">
        <v>43</v>
      </c>
      <c r="BH47" s="1">
        <f t="shared" si="34"/>
        <v>46827</v>
      </c>
      <c r="BI47" s="60">
        <f>IF($X47&lt;Input!$H$103,IF($X47&lt;Input!$G$103,IF($X47&lt;Input!$F$103,IF($X47&lt;Input!$E$103,IF($X47&lt;Input!$D$103,Input!$C$109,Input!$D$109),Input!$E$109),Input!$F$109),Input!$G$109),Input!$H$109)</f>
        <v>0</v>
      </c>
      <c r="BJ47" s="190">
        <f>IF($A47&lt;Input!$H$110,IF($A47&lt;Input!$G$110,IF($A47&lt;Input!$F$110,IF($A47&lt;Input!$E$110,IF($A47&lt;Input!$D$110,Input!$C$111,Input!$D$111),Input!$E$111),Input!$F$111),Input!$G$111),Input!$H$111)</f>
        <v>0.9</v>
      </c>
      <c r="BK47" s="60">
        <f t="shared" si="19"/>
        <v>0</v>
      </c>
      <c r="BL47" s="60">
        <f t="shared" si="35"/>
        <v>29</v>
      </c>
      <c r="BM47" s="60">
        <f t="shared" si="20"/>
        <v>0</v>
      </c>
      <c r="BN47" s="60">
        <f>ROUND(BM47*BL47*Input!$C$3/365,0)</f>
        <v>0</v>
      </c>
      <c r="BO47" s="61">
        <f>IF($A47&lt;=Input!$C$6,0,IF('120M'!BK47&lt;'120M'!BM47,'120M'!BK47-BN47,'120M'!BM47))</f>
        <v>0</v>
      </c>
      <c r="BP47" s="61">
        <f t="shared" si="21"/>
        <v>0</v>
      </c>
      <c r="BQ47" s="60">
        <f t="shared" si="22"/>
        <v>0</v>
      </c>
      <c r="BR47" s="198"/>
    </row>
    <row r="48" spans="1:70" x14ac:dyDescent="0.25">
      <c r="A48" s="169">
        <v>44</v>
      </c>
      <c r="B48" s="1">
        <f t="shared" si="23"/>
        <v>46858</v>
      </c>
      <c r="C48" s="60">
        <f t="shared" si="1"/>
        <v>18940500</v>
      </c>
      <c r="D48" s="60">
        <f t="shared" si="2"/>
        <v>17046450</v>
      </c>
      <c r="E48" s="60">
        <f t="shared" si="24"/>
        <v>31</v>
      </c>
      <c r="F48" s="60">
        <f t="shared" si="25"/>
        <v>852729902</v>
      </c>
      <c r="G48" s="60">
        <f>ROUND(F48*E48*Input!$C$3/365,0)</f>
        <v>10863545</v>
      </c>
      <c r="H48" s="60">
        <f>IF($A48&lt;=Input!$C$6,0,IF('120M'!D48&lt;'120M'!F48,'120M'!D48-G48,'120M'!F48))</f>
        <v>6182905</v>
      </c>
      <c r="I48" s="60">
        <f t="shared" si="26"/>
        <v>17046450</v>
      </c>
      <c r="J48" s="60">
        <f t="shared" si="27"/>
        <v>846546997</v>
      </c>
      <c r="K48" s="202">
        <f>J48/Input!$K$5</f>
        <v>2.8218233233333332</v>
      </c>
      <c r="L48" s="232"/>
      <c r="M48" s="60">
        <f>IF($B48&lt;Input!$H$43,IF($B48&lt;Input!$G$43,IF($B48&lt;Input!$F$43,IF($B48&lt;Input!$E$43,IF($B48&lt;Input!$D$43,Input!$C$49,Input!$D$49),Input!$E$49),Input!$F$49),Input!$G$49),Input!$H$49)</f>
        <v>18940500</v>
      </c>
      <c r="N48" s="190">
        <f>IF($A48&lt;Input!$H$50,IF($A48&lt;Input!$G$50,IF($A48&lt;Input!$F$50,IF($A48&lt;Input!$E$50,IF($A48&lt;Input!$D$50,Input!$C$51,Input!$D$51),Input!$E$51),Input!$F$51),Input!$G$51),Input!$H$51)</f>
        <v>0.9</v>
      </c>
      <c r="O48" s="60">
        <f t="shared" si="36"/>
        <v>17046450</v>
      </c>
      <c r="P48" s="60">
        <f t="shared" si="37"/>
        <v>31</v>
      </c>
      <c r="Q48" s="60">
        <f t="shared" si="4"/>
        <v>852729902</v>
      </c>
      <c r="R48" s="60">
        <f>ROUND(Q48*$P48*Input!$C$3/365,0)</f>
        <v>10863545</v>
      </c>
      <c r="S48" s="60">
        <f>IF(A48&lt;=Input!$C$6,0,IF('120M'!O48&lt;'120M'!Q48,'120M'!O48-R48,'120M'!Q48))</f>
        <v>6182905</v>
      </c>
      <c r="T48" s="60">
        <f t="shared" si="5"/>
        <v>17046450</v>
      </c>
      <c r="U48" s="60">
        <f t="shared" si="6"/>
        <v>846546997</v>
      </c>
      <c r="V48" s="193"/>
      <c r="W48" s="169">
        <v>44</v>
      </c>
      <c r="X48" s="1">
        <f t="shared" si="28"/>
        <v>46858</v>
      </c>
      <c r="Y48" s="60">
        <f>IF($X48&lt;Input!$H$58,IF($X48&lt;Input!$G$58,IF($X48&lt;Input!$F$58,IF($X48&lt;Input!$E$58,IF($X48&lt;Input!$D$58,Input!$C$64,Input!$D$64),Input!$E$64),Input!$F$64),Input!$G$64),Input!$H$64)</f>
        <v>0</v>
      </c>
      <c r="Z48" s="190">
        <f>IF($A48&lt;Input!$H$65,IF($A48&lt;Input!$G$65,IF($A48&lt;Input!$F$65,IF($A48&lt;Input!$E$65,IF($A48&lt;Input!$D$65,Input!$C$66,Input!$D$66),Input!$E$66),Input!$F$66),Input!$G$66),Input!$H$66)</f>
        <v>0.9</v>
      </c>
      <c r="AA48" s="60">
        <f t="shared" si="7"/>
        <v>0</v>
      </c>
      <c r="AB48" s="60">
        <f t="shared" si="29"/>
        <v>31</v>
      </c>
      <c r="AC48" s="60">
        <f t="shared" si="8"/>
        <v>0</v>
      </c>
      <c r="AD48" s="60">
        <f>ROUND(AC48*AB48*Input!$C$3/365,0)</f>
        <v>0</v>
      </c>
      <c r="AE48" s="61">
        <f>IF($A48&lt;=Input!$C$6,0,IF('120M'!AA48&lt;'120M'!AC48,'120M'!AA48-AD48,'120M'!AC48))</f>
        <v>0</v>
      </c>
      <c r="AF48" s="61">
        <f t="shared" si="9"/>
        <v>0</v>
      </c>
      <c r="AG48" s="60">
        <f t="shared" si="10"/>
        <v>0</v>
      </c>
      <c r="AH48" s="193"/>
      <c r="AI48" s="169">
        <v>44</v>
      </c>
      <c r="AJ48" s="1">
        <f t="shared" si="30"/>
        <v>46858</v>
      </c>
      <c r="AK48" s="60">
        <f>IF($X48&lt;Input!$H$73,IF($X48&lt;Input!$G$73,IF($X48&lt;Input!$F$73,IF($X48&lt;Input!$E$73,IF($X48&lt;Input!$D$73,Input!$C$79,Input!$D$79),Input!$E$79),Input!$F$79),Input!$G$79),Input!$H$79)</f>
        <v>0</v>
      </c>
      <c r="AL48" s="190">
        <f>IF($A48&lt;Input!$H$80,IF($A48&lt;Input!$G$80,IF($A48&lt;Input!$F$80,IF($A48&lt;Input!$E$80,IF($A48&lt;Input!$D$80,Input!$C$81,Input!$D$81),Input!$E$81),Input!$F$81),Input!$G$81),Input!$H$81)</f>
        <v>0.9</v>
      </c>
      <c r="AM48" s="60">
        <f t="shared" si="11"/>
        <v>0</v>
      </c>
      <c r="AN48" s="60">
        <f t="shared" si="31"/>
        <v>31</v>
      </c>
      <c r="AO48" s="60">
        <f t="shared" si="12"/>
        <v>0</v>
      </c>
      <c r="AP48" s="60">
        <f>ROUND(AO48*AN48*Input!$C$3/365,0)</f>
        <v>0</v>
      </c>
      <c r="AQ48" s="61">
        <f>IF($A48&lt;=Input!$C$6,0,IF('120M'!AM48&lt;'120M'!AO48,'120M'!AM48-AP48,'120M'!AO48))</f>
        <v>0</v>
      </c>
      <c r="AR48" s="61">
        <f t="shared" si="13"/>
        <v>0</v>
      </c>
      <c r="AS48" s="60">
        <f t="shared" si="14"/>
        <v>0</v>
      </c>
      <c r="AT48" s="193"/>
      <c r="AU48" s="169">
        <v>44</v>
      </c>
      <c r="AV48" s="1">
        <f t="shared" si="32"/>
        <v>46858</v>
      </c>
      <c r="AW48" s="60">
        <f>IF($X48&lt;Input!$H$88,IF($X48&lt;Input!$G$88,IF($X48&lt;Input!$F$88,IF($X48&lt;Input!$E$88,IF($X48&lt;Input!$D$88,Input!$C$94,Input!$D$94),Input!$E$94),Input!$F$94),Input!$G$94),Input!$H$94)</f>
        <v>0</v>
      </c>
      <c r="AX48" s="190">
        <f>IF($A48&lt;Input!$H$95,IF($A48&lt;Input!$G$95,IF($A48&lt;Input!$F$95,IF($A48&lt;Input!$E$95,IF($A48&lt;Input!$D$95,Input!$C$96,Input!$D$96),Input!$E$96),Input!$F$96),Input!$G$96),Input!$H$96)</f>
        <v>0.9</v>
      </c>
      <c r="AY48" s="60">
        <f t="shared" si="15"/>
        <v>0</v>
      </c>
      <c r="AZ48" s="60">
        <f t="shared" si="33"/>
        <v>31</v>
      </c>
      <c r="BA48" s="60">
        <f t="shared" si="16"/>
        <v>0</v>
      </c>
      <c r="BB48" s="60">
        <f>ROUND(BA48*AZ48*Input!$C$3/365,0)</f>
        <v>0</v>
      </c>
      <c r="BC48" s="61">
        <f>IF($A48&lt;=Input!$C$6,0,IF('120M'!AY48&lt;'120M'!BA48,'120M'!AY48-BB48,'120M'!BA48))</f>
        <v>0</v>
      </c>
      <c r="BD48" s="61">
        <f t="shared" si="17"/>
        <v>0</v>
      </c>
      <c r="BE48" s="60">
        <f t="shared" si="18"/>
        <v>0</v>
      </c>
      <c r="BF48" s="193"/>
      <c r="BG48" s="169">
        <v>44</v>
      </c>
      <c r="BH48" s="1">
        <f t="shared" si="34"/>
        <v>46858</v>
      </c>
      <c r="BI48" s="60">
        <f>IF($X48&lt;Input!$H$103,IF($X48&lt;Input!$G$103,IF($X48&lt;Input!$F$103,IF($X48&lt;Input!$E$103,IF($X48&lt;Input!$D$103,Input!$C$109,Input!$D$109),Input!$E$109),Input!$F$109),Input!$G$109),Input!$H$109)</f>
        <v>0</v>
      </c>
      <c r="BJ48" s="190">
        <f>IF($A48&lt;Input!$H$110,IF($A48&lt;Input!$G$110,IF($A48&lt;Input!$F$110,IF($A48&lt;Input!$E$110,IF($A48&lt;Input!$D$110,Input!$C$111,Input!$D$111),Input!$E$111),Input!$F$111),Input!$G$111),Input!$H$111)</f>
        <v>0.9</v>
      </c>
      <c r="BK48" s="60">
        <f t="shared" si="19"/>
        <v>0</v>
      </c>
      <c r="BL48" s="60">
        <f t="shared" si="35"/>
        <v>31</v>
      </c>
      <c r="BM48" s="60">
        <f t="shared" si="20"/>
        <v>0</v>
      </c>
      <c r="BN48" s="60">
        <f>ROUND(BM48*BL48*Input!$C$3/365,0)</f>
        <v>0</v>
      </c>
      <c r="BO48" s="61">
        <f>IF($A48&lt;=Input!$C$6,0,IF('120M'!BK48&lt;'120M'!BM48,'120M'!BK48-BN48,'120M'!BM48))</f>
        <v>0</v>
      </c>
      <c r="BP48" s="61">
        <f t="shared" si="21"/>
        <v>0</v>
      </c>
      <c r="BQ48" s="60">
        <f t="shared" si="22"/>
        <v>0</v>
      </c>
      <c r="BR48" s="198"/>
    </row>
    <row r="49" spans="1:70" x14ac:dyDescent="0.25">
      <c r="A49" s="169">
        <v>45</v>
      </c>
      <c r="B49" s="1">
        <f t="shared" si="23"/>
        <v>46888</v>
      </c>
      <c r="C49" s="60">
        <f t="shared" si="1"/>
        <v>18940500</v>
      </c>
      <c r="D49" s="60">
        <f t="shared" si="2"/>
        <v>17046450</v>
      </c>
      <c r="E49" s="60">
        <f t="shared" si="24"/>
        <v>30</v>
      </c>
      <c r="F49" s="60">
        <f t="shared" si="25"/>
        <v>846546997</v>
      </c>
      <c r="G49" s="60">
        <f>ROUND(F49*E49*Input!$C$3/365,0)</f>
        <v>10436881</v>
      </c>
      <c r="H49" s="60">
        <f>IF($A49&lt;=Input!$C$6,0,IF('120M'!D49&lt;'120M'!F49,'120M'!D49-G49,'120M'!F49))</f>
        <v>6609569</v>
      </c>
      <c r="I49" s="60">
        <f t="shared" si="26"/>
        <v>17046450</v>
      </c>
      <c r="J49" s="60">
        <f t="shared" si="27"/>
        <v>839937428</v>
      </c>
      <c r="K49" s="202">
        <f>J49/Input!$K$5</f>
        <v>2.7997914266666668</v>
      </c>
      <c r="L49" s="232"/>
      <c r="M49" s="60">
        <f>IF($B49&lt;Input!$H$43,IF($B49&lt;Input!$G$43,IF($B49&lt;Input!$F$43,IF($B49&lt;Input!$E$43,IF($B49&lt;Input!$D$43,Input!$C$49,Input!$D$49),Input!$E$49),Input!$F$49),Input!$G$49),Input!$H$49)</f>
        <v>18940500</v>
      </c>
      <c r="N49" s="190">
        <f>IF($A49&lt;Input!$H$50,IF($A49&lt;Input!$G$50,IF($A49&lt;Input!$F$50,IF($A49&lt;Input!$E$50,IF($A49&lt;Input!$D$50,Input!$C$51,Input!$D$51),Input!$E$51),Input!$F$51),Input!$G$51),Input!$H$51)</f>
        <v>0.9</v>
      </c>
      <c r="O49" s="60">
        <f t="shared" si="36"/>
        <v>17046450</v>
      </c>
      <c r="P49" s="60">
        <f t="shared" si="37"/>
        <v>30</v>
      </c>
      <c r="Q49" s="60">
        <f t="shared" si="4"/>
        <v>846546997</v>
      </c>
      <c r="R49" s="60">
        <f>ROUND(Q49*$P49*Input!$C$3/365,0)</f>
        <v>10436881</v>
      </c>
      <c r="S49" s="60">
        <f>IF(A49&lt;=Input!$C$6,0,IF('120M'!O49&lt;'120M'!Q49,'120M'!O49-R49,'120M'!Q49))</f>
        <v>6609569</v>
      </c>
      <c r="T49" s="60">
        <f t="shared" si="5"/>
        <v>17046450</v>
      </c>
      <c r="U49" s="60">
        <f t="shared" si="6"/>
        <v>839937428</v>
      </c>
      <c r="V49" s="193"/>
      <c r="W49" s="169">
        <v>45</v>
      </c>
      <c r="X49" s="1">
        <f t="shared" si="28"/>
        <v>46888</v>
      </c>
      <c r="Y49" s="60">
        <f>IF($X49&lt;Input!$H$58,IF($X49&lt;Input!$G$58,IF($X49&lt;Input!$F$58,IF($X49&lt;Input!$E$58,IF($X49&lt;Input!$D$58,Input!$C$64,Input!$D$64),Input!$E$64),Input!$F$64),Input!$G$64),Input!$H$64)</f>
        <v>0</v>
      </c>
      <c r="Z49" s="190">
        <f>IF($A49&lt;Input!$H$65,IF($A49&lt;Input!$G$65,IF($A49&lt;Input!$F$65,IF($A49&lt;Input!$E$65,IF($A49&lt;Input!$D$65,Input!$C$66,Input!$D$66),Input!$E$66),Input!$F$66),Input!$G$66),Input!$H$66)</f>
        <v>0.9</v>
      </c>
      <c r="AA49" s="60">
        <f t="shared" si="7"/>
        <v>0</v>
      </c>
      <c r="AB49" s="60">
        <f t="shared" si="29"/>
        <v>30</v>
      </c>
      <c r="AC49" s="60">
        <f t="shared" si="8"/>
        <v>0</v>
      </c>
      <c r="AD49" s="60">
        <f>ROUND(AC49*AB49*Input!$C$3/365,0)</f>
        <v>0</v>
      </c>
      <c r="AE49" s="61">
        <f>IF($A49&lt;=Input!$C$6,0,IF('120M'!AA49&lt;'120M'!AC49,'120M'!AA49-AD49,'120M'!AC49))</f>
        <v>0</v>
      </c>
      <c r="AF49" s="61">
        <f t="shared" si="9"/>
        <v>0</v>
      </c>
      <c r="AG49" s="60">
        <f t="shared" si="10"/>
        <v>0</v>
      </c>
      <c r="AH49" s="193"/>
      <c r="AI49" s="169">
        <v>45</v>
      </c>
      <c r="AJ49" s="1">
        <f t="shared" si="30"/>
        <v>46888</v>
      </c>
      <c r="AK49" s="60">
        <f>IF($X49&lt;Input!$H$73,IF($X49&lt;Input!$G$73,IF($X49&lt;Input!$F$73,IF($X49&lt;Input!$E$73,IF($X49&lt;Input!$D$73,Input!$C$79,Input!$D$79),Input!$E$79),Input!$F$79),Input!$G$79),Input!$H$79)</f>
        <v>0</v>
      </c>
      <c r="AL49" s="190">
        <f>IF($A49&lt;Input!$H$80,IF($A49&lt;Input!$G$80,IF($A49&lt;Input!$F$80,IF($A49&lt;Input!$E$80,IF($A49&lt;Input!$D$80,Input!$C$81,Input!$D$81),Input!$E$81),Input!$F$81),Input!$G$81),Input!$H$81)</f>
        <v>0.9</v>
      </c>
      <c r="AM49" s="60">
        <f t="shared" si="11"/>
        <v>0</v>
      </c>
      <c r="AN49" s="60">
        <f t="shared" si="31"/>
        <v>30</v>
      </c>
      <c r="AO49" s="60">
        <f t="shared" si="12"/>
        <v>0</v>
      </c>
      <c r="AP49" s="60">
        <f>ROUND(AO49*AN49*Input!$C$3/365,0)</f>
        <v>0</v>
      </c>
      <c r="AQ49" s="61">
        <f>IF($A49&lt;=Input!$C$6,0,IF('120M'!AM49&lt;'120M'!AO49,'120M'!AM49-AP49,'120M'!AO49))</f>
        <v>0</v>
      </c>
      <c r="AR49" s="61">
        <f t="shared" si="13"/>
        <v>0</v>
      </c>
      <c r="AS49" s="60">
        <f t="shared" si="14"/>
        <v>0</v>
      </c>
      <c r="AT49" s="193"/>
      <c r="AU49" s="169">
        <v>45</v>
      </c>
      <c r="AV49" s="1">
        <f t="shared" si="32"/>
        <v>46888</v>
      </c>
      <c r="AW49" s="60">
        <f>IF($X49&lt;Input!$H$88,IF($X49&lt;Input!$G$88,IF($X49&lt;Input!$F$88,IF($X49&lt;Input!$E$88,IF($X49&lt;Input!$D$88,Input!$C$94,Input!$D$94),Input!$E$94),Input!$F$94),Input!$G$94),Input!$H$94)</f>
        <v>0</v>
      </c>
      <c r="AX49" s="190">
        <f>IF($A49&lt;Input!$H$95,IF($A49&lt;Input!$G$95,IF($A49&lt;Input!$F$95,IF($A49&lt;Input!$E$95,IF($A49&lt;Input!$D$95,Input!$C$96,Input!$D$96),Input!$E$96),Input!$F$96),Input!$G$96),Input!$H$96)</f>
        <v>0.9</v>
      </c>
      <c r="AY49" s="60">
        <f t="shared" si="15"/>
        <v>0</v>
      </c>
      <c r="AZ49" s="60">
        <f t="shared" si="33"/>
        <v>30</v>
      </c>
      <c r="BA49" s="60">
        <f t="shared" si="16"/>
        <v>0</v>
      </c>
      <c r="BB49" s="60">
        <f>ROUND(BA49*AZ49*Input!$C$3/365,0)</f>
        <v>0</v>
      </c>
      <c r="BC49" s="61">
        <f>IF($A49&lt;=Input!$C$6,0,IF('120M'!AY49&lt;'120M'!BA49,'120M'!AY49-BB49,'120M'!BA49))</f>
        <v>0</v>
      </c>
      <c r="BD49" s="61">
        <f t="shared" si="17"/>
        <v>0</v>
      </c>
      <c r="BE49" s="60">
        <f t="shared" si="18"/>
        <v>0</v>
      </c>
      <c r="BF49" s="193"/>
      <c r="BG49" s="169">
        <v>45</v>
      </c>
      <c r="BH49" s="1">
        <f t="shared" si="34"/>
        <v>46888</v>
      </c>
      <c r="BI49" s="60">
        <f>IF($X49&lt;Input!$H$103,IF($X49&lt;Input!$G$103,IF($X49&lt;Input!$F$103,IF($X49&lt;Input!$E$103,IF($X49&lt;Input!$D$103,Input!$C$109,Input!$D$109),Input!$E$109),Input!$F$109),Input!$G$109),Input!$H$109)</f>
        <v>0</v>
      </c>
      <c r="BJ49" s="190">
        <f>IF($A49&lt;Input!$H$110,IF($A49&lt;Input!$G$110,IF($A49&lt;Input!$F$110,IF($A49&lt;Input!$E$110,IF($A49&lt;Input!$D$110,Input!$C$111,Input!$D$111),Input!$E$111),Input!$F$111),Input!$G$111),Input!$H$111)</f>
        <v>0.9</v>
      </c>
      <c r="BK49" s="60">
        <f t="shared" si="19"/>
        <v>0</v>
      </c>
      <c r="BL49" s="60">
        <f t="shared" si="35"/>
        <v>30</v>
      </c>
      <c r="BM49" s="60">
        <f t="shared" si="20"/>
        <v>0</v>
      </c>
      <c r="BN49" s="60">
        <f>ROUND(BM49*BL49*Input!$C$3/365,0)</f>
        <v>0</v>
      </c>
      <c r="BO49" s="61">
        <f>IF($A49&lt;=Input!$C$6,0,IF('120M'!BK49&lt;'120M'!BM49,'120M'!BK49-BN49,'120M'!BM49))</f>
        <v>0</v>
      </c>
      <c r="BP49" s="61">
        <f t="shared" si="21"/>
        <v>0</v>
      </c>
      <c r="BQ49" s="60">
        <f t="shared" si="22"/>
        <v>0</v>
      </c>
      <c r="BR49" s="198"/>
    </row>
    <row r="50" spans="1:70" x14ac:dyDescent="0.25">
      <c r="A50" s="169">
        <v>46</v>
      </c>
      <c r="B50" s="1">
        <f t="shared" si="23"/>
        <v>46919</v>
      </c>
      <c r="C50" s="60">
        <f t="shared" si="1"/>
        <v>18940500</v>
      </c>
      <c r="D50" s="60">
        <f t="shared" si="2"/>
        <v>17046450</v>
      </c>
      <c r="E50" s="60">
        <f t="shared" si="24"/>
        <v>31</v>
      </c>
      <c r="F50" s="60">
        <f t="shared" si="25"/>
        <v>839937428</v>
      </c>
      <c r="G50" s="60">
        <f>ROUND(F50*E50*Input!$C$3/365,0)</f>
        <v>10700573</v>
      </c>
      <c r="H50" s="60">
        <f>IF($A50&lt;=Input!$C$6,0,IF('120M'!D50&lt;'120M'!F50,'120M'!D50-G50,'120M'!F50))</f>
        <v>6345877</v>
      </c>
      <c r="I50" s="60">
        <f t="shared" si="26"/>
        <v>17046450</v>
      </c>
      <c r="J50" s="60">
        <f t="shared" si="27"/>
        <v>833591551</v>
      </c>
      <c r="K50" s="202">
        <f>J50/Input!$K$5</f>
        <v>2.7786385033333332</v>
      </c>
      <c r="L50" s="232"/>
      <c r="M50" s="60">
        <f>IF($B50&lt;Input!$H$43,IF($B50&lt;Input!$G$43,IF($B50&lt;Input!$F$43,IF($B50&lt;Input!$E$43,IF($B50&lt;Input!$D$43,Input!$C$49,Input!$D$49),Input!$E$49),Input!$F$49),Input!$G$49),Input!$H$49)</f>
        <v>18940500</v>
      </c>
      <c r="N50" s="190">
        <f>IF($A50&lt;Input!$H$50,IF($A50&lt;Input!$G$50,IF($A50&lt;Input!$F$50,IF($A50&lt;Input!$E$50,IF($A50&lt;Input!$D$50,Input!$C$51,Input!$D$51),Input!$E$51),Input!$F$51),Input!$G$51),Input!$H$51)</f>
        <v>0.9</v>
      </c>
      <c r="O50" s="60">
        <f t="shared" si="36"/>
        <v>17046450</v>
      </c>
      <c r="P50" s="60">
        <f t="shared" si="37"/>
        <v>31</v>
      </c>
      <c r="Q50" s="60">
        <f t="shared" si="4"/>
        <v>839937428</v>
      </c>
      <c r="R50" s="60">
        <f>ROUND(Q50*$P50*Input!$C$3/365,0)</f>
        <v>10700573</v>
      </c>
      <c r="S50" s="60">
        <f>IF(A50&lt;=Input!$C$6,0,IF('120M'!O50&lt;'120M'!Q50,'120M'!O50-R50,'120M'!Q50))</f>
        <v>6345877</v>
      </c>
      <c r="T50" s="60">
        <f t="shared" si="5"/>
        <v>17046450</v>
      </c>
      <c r="U50" s="60">
        <f t="shared" si="6"/>
        <v>833591551</v>
      </c>
      <c r="V50" s="193"/>
      <c r="W50" s="169">
        <v>46</v>
      </c>
      <c r="X50" s="1">
        <f t="shared" si="28"/>
        <v>46919</v>
      </c>
      <c r="Y50" s="60">
        <f>IF($X50&lt;Input!$H$58,IF($X50&lt;Input!$G$58,IF($X50&lt;Input!$F$58,IF($X50&lt;Input!$E$58,IF($X50&lt;Input!$D$58,Input!$C$64,Input!$D$64),Input!$E$64),Input!$F$64),Input!$G$64),Input!$H$64)</f>
        <v>0</v>
      </c>
      <c r="Z50" s="190">
        <f>IF($A50&lt;Input!$H$65,IF($A50&lt;Input!$G$65,IF($A50&lt;Input!$F$65,IF($A50&lt;Input!$E$65,IF($A50&lt;Input!$D$65,Input!$C$66,Input!$D$66),Input!$E$66),Input!$F$66),Input!$G$66),Input!$H$66)</f>
        <v>0.9</v>
      </c>
      <c r="AA50" s="60">
        <f t="shared" si="7"/>
        <v>0</v>
      </c>
      <c r="AB50" s="60">
        <f t="shared" si="29"/>
        <v>31</v>
      </c>
      <c r="AC50" s="60">
        <f t="shared" si="8"/>
        <v>0</v>
      </c>
      <c r="AD50" s="60">
        <f>ROUND(AC50*AB50*Input!$C$3/365,0)</f>
        <v>0</v>
      </c>
      <c r="AE50" s="61">
        <f>IF($A50&lt;=Input!$C$6,0,IF('120M'!AA50&lt;'120M'!AC50,'120M'!AA50-AD50,'120M'!AC50))</f>
        <v>0</v>
      </c>
      <c r="AF50" s="61">
        <f t="shared" si="9"/>
        <v>0</v>
      </c>
      <c r="AG50" s="60">
        <f t="shared" si="10"/>
        <v>0</v>
      </c>
      <c r="AH50" s="193"/>
      <c r="AI50" s="169">
        <v>46</v>
      </c>
      <c r="AJ50" s="1">
        <f t="shared" si="30"/>
        <v>46919</v>
      </c>
      <c r="AK50" s="60">
        <f>IF($X50&lt;Input!$H$73,IF($X50&lt;Input!$G$73,IF($X50&lt;Input!$F$73,IF($X50&lt;Input!$E$73,IF($X50&lt;Input!$D$73,Input!$C$79,Input!$D$79),Input!$E$79),Input!$F$79),Input!$G$79),Input!$H$79)</f>
        <v>0</v>
      </c>
      <c r="AL50" s="190">
        <f>IF($A50&lt;Input!$H$80,IF($A50&lt;Input!$G$80,IF($A50&lt;Input!$F$80,IF($A50&lt;Input!$E$80,IF($A50&lt;Input!$D$80,Input!$C$81,Input!$D$81),Input!$E$81),Input!$F$81),Input!$G$81),Input!$H$81)</f>
        <v>0.9</v>
      </c>
      <c r="AM50" s="60">
        <f t="shared" si="11"/>
        <v>0</v>
      </c>
      <c r="AN50" s="60">
        <f t="shared" si="31"/>
        <v>31</v>
      </c>
      <c r="AO50" s="60">
        <f t="shared" si="12"/>
        <v>0</v>
      </c>
      <c r="AP50" s="60">
        <f>ROUND(AO50*AN50*Input!$C$3/365,0)</f>
        <v>0</v>
      </c>
      <c r="AQ50" s="61">
        <f>IF($A50&lt;=Input!$C$6,0,IF('120M'!AM50&lt;'120M'!AO50,'120M'!AM50-AP50,'120M'!AO50))</f>
        <v>0</v>
      </c>
      <c r="AR50" s="61">
        <f t="shared" si="13"/>
        <v>0</v>
      </c>
      <c r="AS50" s="60">
        <f t="shared" si="14"/>
        <v>0</v>
      </c>
      <c r="AT50" s="193"/>
      <c r="AU50" s="169">
        <v>46</v>
      </c>
      <c r="AV50" s="1">
        <f t="shared" si="32"/>
        <v>46919</v>
      </c>
      <c r="AW50" s="60">
        <f>IF($X50&lt;Input!$H$88,IF($X50&lt;Input!$G$88,IF($X50&lt;Input!$F$88,IF($X50&lt;Input!$E$88,IF($X50&lt;Input!$D$88,Input!$C$94,Input!$D$94),Input!$E$94),Input!$F$94),Input!$G$94),Input!$H$94)</f>
        <v>0</v>
      </c>
      <c r="AX50" s="190">
        <f>IF($A50&lt;Input!$H$95,IF($A50&lt;Input!$G$95,IF($A50&lt;Input!$F$95,IF($A50&lt;Input!$E$95,IF($A50&lt;Input!$D$95,Input!$C$96,Input!$D$96),Input!$E$96),Input!$F$96),Input!$G$96),Input!$H$96)</f>
        <v>0.9</v>
      </c>
      <c r="AY50" s="60">
        <f t="shared" si="15"/>
        <v>0</v>
      </c>
      <c r="AZ50" s="60">
        <f t="shared" si="33"/>
        <v>31</v>
      </c>
      <c r="BA50" s="60">
        <f t="shared" si="16"/>
        <v>0</v>
      </c>
      <c r="BB50" s="60">
        <f>ROUND(BA50*AZ50*Input!$C$3/365,0)</f>
        <v>0</v>
      </c>
      <c r="BC50" s="61">
        <f>IF($A50&lt;=Input!$C$6,0,IF('120M'!AY50&lt;'120M'!BA50,'120M'!AY50-BB50,'120M'!BA50))</f>
        <v>0</v>
      </c>
      <c r="BD50" s="61">
        <f t="shared" si="17"/>
        <v>0</v>
      </c>
      <c r="BE50" s="60">
        <f t="shared" si="18"/>
        <v>0</v>
      </c>
      <c r="BF50" s="193"/>
      <c r="BG50" s="169">
        <v>46</v>
      </c>
      <c r="BH50" s="1">
        <f t="shared" si="34"/>
        <v>46919</v>
      </c>
      <c r="BI50" s="60">
        <f>IF($X50&lt;Input!$H$103,IF($X50&lt;Input!$G$103,IF($X50&lt;Input!$F$103,IF($X50&lt;Input!$E$103,IF($X50&lt;Input!$D$103,Input!$C$109,Input!$D$109),Input!$E$109),Input!$F$109),Input!$G$109),Input!$H$109)</f>
        <v>0</v>
      </c>
      <c r="BJ50" s="190">
        <f>IF($A50&lt;Input!$H$110,IF($A50&lt;Input!$G$110,IF($A50&lt;Input!$F$110,IF($A50&lt;Input!$E$110,IF($A50&lt;Input!$D$110,Input!$C$111,Input!$D$111),Input!$E$111),Input!$F$111),Input!$G$111),Input!$H$111)</f>
        <v>0.9</v>
      </c>
      <c r="BK50" s="60">
        <f t="shared" si="19"/>
        <v>0</v>
      </c>
      <c r="BL50" s="60">
        <f t="shared" si="35"/>
        <v>31</v>
      </c>
      <c r="BM50" s="60">
        <f t="shared" si="20"/>
        <v>0</v>
      </c>
      <c r="BN50" s="60">
        <f>ROUND(BM50*BL50*Input!$C$3/365,0)</f>
        <v>0</v>
      </c>
      <c r="BO50" s="61">
        <f>IF($A50&lt;=Input!$C$6,0,IF('120M'!BK50&lt;'120M'!BM50,'120M'!BK50-BN50,'120M'!BM50))</f>
        <v>0</v>
      </c>
      <c r="BP50" s="61">
        <f t="shared" si="21"/>
        <v>0</v>
      </c>
      <c r="BQ50" s="60">
        <f t="shared" si="22"/>
        <v>0</v>
      </c>
      <c r="BR50" s="198"/>
    </row>
    <row r="51" spans="1:70" x14ac:dyDescent="0.25">
      <c r="A51" s="169">
        <v>47</v>
      </c>
      <c r="B51" s="1">
        <f t="shared" si="23"/>
        <v>46949</v>
      </c>
      <c r="C51" s="60">
        <f t="shared" si="1"/>
        <v>18940500</v>
      </c>
      <c r="D51" s="60">
        <f t="shared" si="2"/>
        <v>17046450</v>
      </c>
      <c r="E51" s="60">
        <f t="shared" si="24"/>
        <v>30</v>
      </c>
      <c r="F51" s="60">
        <f t="shared" si="25"/>
        <v>833591551</v>
      </c>
      <c r="G51" s="60">
        <f>ROUND(F51*E51*Input!$C$3/365,0)</f>
        <v>10277156</v>
      </c>
      <c r="H51" s="60">
        <f>IF($A51&lt;=Input!$C$6,0,IF('120M'!D51&lt;'120M'!F51,'120M'!D51-G51,'120M'!F51))</f>
        <v>6769294</v>
      </c>
      <c r="I51" s="60">
        <f t="shared" si="26"/>
        <v>17046450</v>
      </c>
      <c r="J51" s="60">
        <f t="shared" si="27"/>
        <v>826822257</v>
      </c>
      <c r="K51" s="202">
        <f>J51/Input!$K$5</f>
        <v>2.7560741900000001</v>
      </c>
      <c r="L51" s="232"/>
      <c r="M51" s="60">
        <f>IF($B51&lt;Input!$H$43,IF($B51&lt;Input!$G$43,IF($B51&lt;Input!$F$43,IF($B51&lt;Input!$E$43,IF($B51&lt;Input!$D$43,Input!$C$49,Input!$D$49),Input!$E$49),Input!$F$49),Input!$G$49),Input!$H$49)</f>
        <v>18940500</v>
      </c>
      <c r="N51" s="190">
        <f>IF($A51&lt;Input!$H$50,IF($A51&lt;Input!$G$50,IF($A51&lt;Input!$F$50,IF($A51&lt;Input!$E$50,IF($A51&lt;Input!$D$50,Input!$C$51,Input!$D$51),Input!$E$51),Input!$F$51),Input!$G$51),Input!$H$51)</f>
        <v>0.9</v>
      </c>
      <c r="O51" s="60">
        <f t="shared" si="36"/>
        <v>17046450</v>
      </c>
      <c r="P51" s="60">
        <f t="shared" si="37"/>
        <v>30</v>
      </c>
      <c r="Q51" s="60">
        <f t="shared" si="4"/>
        <v>833591551</v>
      </c>
      <c r="R51" s="60">
        <f>ROUND(Q51*$P51*Input!$C$3/365,0)</f>
        <v>10277156</v>
      </c>
      <c r="S51" s="60">
        <f>IF(A51&lt;=Input!$C$6,0,IF('120M'!O51&lt;'120M'!Q51,'120M'!O51-R51,'120M'!Q51))</f>
        <v>6769294</v>
      </c>
      <c r="T51" s="60">
        <f t="shared" si="5"/>
        <v>17046450</v>
      </c>
      <c r="U51" s="60">
        <f t="shared" si="6"/>
        <v>826822257</v>
      </c>
      <c r="V51" s="193"/>
      <c r="W51" s="169">
        <v>47</v>
      </c>
      <c r="X51" s="1">
        <f t="shared" si="28"/>
        <v>46949</v>
      </c>
      <c r="Y51" s="60">
        <f>IF($X51&lt;Input!$H$58,IF($X51&lt;Input!$G$58,IF($X51&lt;Input!$F$58,IF($X51&lt;Input!$E$58,IF($X51&lt;Input!$D$58,Input!$C$64,Input!$D$64),Input!$E$64),Input!$F$64),Input!$G$64),Input!$H$64)</f>
        <v>0</v>
      </c>
      <c r="Z51" s="190">
        <f>IF($A51&lt;Input!$H$65,IF($A51&lt;Input!$G$65,IF($A51&lt;Input!$F$65,IF($A51&lt;Input!$E$65,IF($A51&lt;Input!$D$65,Input!$C$66,Input!$D$66),Input!$E$66),Input!$F$66),Input!$G$66),Input!$H$66)</f>
        <v>0.9</v>
      </c>
      <c r="AA51" s="60">
        <f t="shared" si="7"/>
        <v>0</v>
      </c>
      <c r="AB51" s="60">
        <f t="shared" si="29"/>
        <v>30</v>
      </c>
      <c r="AC51" s="60">
        <f t="shared" si="8"/>
        <v>0</v>
      </c>
      <c r="AD51" s="60">
        <f>ROUND(AC51*AB51*Input!$C$3/365,0)</f>
        <v>0</v>
      </c>
      <c r="AE51" s="61">
        <f>IF($A51&lt;=Input!$C$6,0,IF('120M'!AA51&lt;'120M'!AC51,'120M'!AA51-AD51,'120M'!AC51))</f>
        <v>0</v>
      </c>
      <c r="AF51" s="61">
        <f t="shared" si="9"/>
        <v>0</v>
      </c>
      <c r="AG51" s="60">
        <f t="shared" si="10"/>
        <v>0</v>
      </c>
      <c r="AH51" s="193"/>
      <c r="AI51" s="169">
        <v>47</v>
      </c>
      <c r="AJ51" s="1">
        <f t="shared" si="30"/>
        <v>46949</v>
      </c>
      <c r="AK51" s="60">
        <f>IF($X51&lt;Input!$H$73,IF($X51&lt;Input!$G$73,IF($X51&lt;Input!$F$73,IF($X51&lt;Input!$E$73,IF($X51&lt;Input!$D$73,Input!$C$79,Input!$D$79),Input!$E$79),Input!$F$79),Input!$G$79),Input!$H$79)</f>
        <v>0</v>
      </c>
      <c r="AL51" s="190">
        <f>IF($A51&lt;Input!$H$80,IF($A51&lt;Input!$G$80,IF($A51&lt;Input!$F$80,IF($A51&lt;Input!$E$80,IF($A51&lt;Input!$D$80,Input!$C$81,Input!$D$81),Input!$E$81),Input!$F$81),Input!$G$81),Input!$H$81)</f>
        <v>0.9</v>
      </c>
      <c r="AM51" s="60">
        <f t="shared" si="11"/>
        <v>0</v>
      </c>
      <c r="AN51" s="60">
        <f t="shared" si="31"/>
        <v>30</v>
      </c>
      <c r="AO51" s="60">
        <f t="shared" si="12"/>
        <v>0</v>
      </c>
      <c r="AP51" s="60">
        <f>ROUND(AO51*AN51*Input!$C$3/365,0)</f>
        <v>0</v>
      </c>
      <c r="AQ51" s="61">
        <f>IF($A51&lt;=Input!$C$6,0,IF('120M'!AM51&lt;'120M'!AO51,'120M'!AM51-AP51,'120M'!AO51))</f>
        <v>0</v>
      </c>
      <c r="AR51" s="61">
        <f t="shared" si="13"/>
        <v>0</v>
      </c>
      <c r="AS51" s="60">
        <f t="shared" si="14"/>
        <v>0</v>
      </c>
      <c r="AT51" s="193"/>
      <c r="AU51" s="169">
        <v>47</v>
      </c>
      <c r="AV51" s="1">
        <f t="shared" si="32"/>
        <v>46949</v>
      </c>
      <c r="AW51" s="60">
        <f>IF($X51&lt;Input!$H$88,IF($X51&lt;Input!$G$88,IF($X51&lt;Input!$F$88,IF($X51&lt;Input!$E$88,IF($X51&lt;Input!$D$88,Input!$C$94,Input!$D$94),Input!$E$94),Input!$F$94),Input!$G$94),Input!$H$94)</f>
        <v>0</v>
      </c>
      <c r="AX51" s="190">
        <f>IF($A51&lt;Input!$H$95,IF($A51&lt;Input!$G$95,IF($A51&lt;Input!$F$95,IF($A51&lt;Input!$E$95,IF($A51&lt;Input!$D$95,Input!$C$96,Input!$D$96),Input!$E$96),Input!$F$96),Input!$G$96),Input!$H$96)</f>
        <v>0.9</v>
      </c>
      <c r="AY51" s="60">
        <f t="shared" si="15"/>
        <v>0</v>
      </c>
      <c r="AZ51" s="60">
        <f t="shared" si="33"/>
        <v>30</v>
      </c>
      <c r="BA51" s="60">
        <f t="shared" si="16"/>
        <v>0</v>
      </c>
      <c r="BB51" s="60">
        <f>ROUND(BA51*AZ51*Input!$C$3/365,0)</f>
        <v>0</v>
      </c>
      <c r="BC51" s="61">
        <f>IF($A51&lt;=Input!$C$6,0,IF('120M'!AY51&lt;'120M'!BA51,'120M'!AY51-BB51,'120M'!BA51))</f>
        <v>0</v>
      </c>
      <c r="BD51" s="61">
        <f t="shared" si="17"/>
        <v>0</v>
      </c>
      <c r="BE51" s="60">
        <f t="shared" si="18"/>
        <v>0</v>
      </c>
      <c r="BF51" s="193"/>
      <c r="BG51" s="169">
        <v>47</v>
      </c>
      <c r="BH51" s="1">
        <f t="shared" si="34"/>
        <v>46949</v>
      </c>
      <c r="BI51" s="60">
        <f>IF($X51&lt;Input!$H$103,IF($X51&lt;Input!$G$103,IF($X51&lt;Input!$F$103,IF($X51&lt;Input!$E$103,IF($X51&lt;Input!$D$103,Input!$C$109,Input!$D$109),Input!$E$109),Input!$F$109),Input!$G$109),Input!$H$109)</f>
        <v>0</v>
      </c>
      <c r="BJ51" s="190">
        <f>IF($A51&lt;Input!$H$110,IF($A51&lt;Input!$G$110,IF($A51&lt;Input!$F$110,IF($A51&lt;Input!$E$110,IF($A51&lt;Input!$D$110,Input!$C$111,Input!$D$111),Input!$E$111),Input!$F$111),Input!$G$111),Input!$H$111)</f>
        <v>0.9</v>
      </c>
      <c r="BK51" s="60">
        <f t="shared" si="19"/>
        <v>0</v>
      </c>
      <c r="BL51" s="60">
        <f t="shared" si="35"/>
        <v>30</v>
      </c>
      <c r="BM51" s="60">
        <f t="shared" si="20"/>
        <v>0</v>
      </c>
      <c r="BN51" s="60">
        <f>ROUND(BM51*BL51*Input!$C$3/365,0)</f>
        <v>0</v>
      </c>
      <c r="BO51" s="61">
        <f>IF($A51&lt;=Input!$C$6,0,IF('120M'!BK51&lt;'120M'!BM51,'120M'!BK51-BN51,'120M'!BM51))</f>
        <v>0</v>
      </c>
      <c r="BP51" s="61">
        <f t="shared" si="21"/>
        <v>0</v>
      </c>
      <c r="BQ51" s="60">
        <f t="shared" si="22"/>
        <v>0</v>
      </c>
      <c r="BR51" s="198"/>
    </row>
    <row r="52" spans="1:70" x14ac:dyDescent="0.25">
      <c r="A52" s="169">
        <v>48</v>
      </c>
      <c r="B52" s="1">
        <f t="shared" si="23"/>
        <v>46980</v>
      </c>
      <c r="C52" s="60">
        <f t="shared" si="1"/>
        <v>18940500</v>
      </c>
      <c r="D52" s="60">
        <f t="shared" si="2"/>
        <v>17046450</v>
      </c>
      <c r="E52" s="60">
        <f t="shared" si="24"/>
        <v>31</v>
      </c>
      <c r="F52" s="60">
        <f t="shared" si="25"/>
        <v>826822257</v>
      </c>
      <c r="G52" s="60">
        <f>ROUND(F52*E52*Input!$C$3/365,0)</f>
        <v>10533489</v>
      </c>
      <c r="H52" s="60">
        <f>IF($A52&lt;=Input!$C$6,0,IF('120M'!D52&lt;'120M'!F52,'120M'!D52-G52,'120M'!F52))</f>
        <v>6512961</v>
      </c>
      <c r="I52" s="60">
        <f t="shared" si="26"/>
        <v>17046450</v>
      </c>
      <c r="J52" s="60">
        <f t="shared" si="27"/>
        <v>820309296</v>
      </c>
      <c r="K52" s="202">
        <f>J52/Input!$K$5</f>
        <v>2.7343643200000001</v>
      </c>
      <c r="L52" s="232"/>
      <c r="M52" s="60">
        <f>IF($B52&lt;Input!$H$43,IF($B52&lt;Input!$G$43,IF($B52&lt;Input!$F$43,IF($B52&lt;Input!$E$43,IF($B52&lt;Input!$D$43,Input!$C$49,Input!$D$49),Input!$E$49),Input!$F$49),Input!$G$49),Input!$H$49)</f>
        <v>18940500</v>
      </c>
      <c r="N52" s="190">
        <f>IF($A52&lt;Input!$H$50,IF($A52&lt;Input!$G$50,IF($A52&lt;Input!$F$50,IF($A52&lt;Input!$E$50,IF($A52&lt;Input!$D$50,Input!$C$51,Input!$D$51),Input!$E$51),Input!$F$51),Input!$G$51),Input!$H$51)</f>
        <v>0.9</v>
      </c>
      <c r="O52" s="60">
        <f t="shared" si="36"/>
        <v>17046450</v>
      </c>
      <c r="P52" s="60">
        <f t="shared" si="37"/>
        <v>31</v>
      </c>
      <c r="Q52" s="60">
        <f t="shared" si="4"/>
        <v>826822257</v>
      </c>
      <c r="R52" s="60">
        <f>ROUND(Q52*$P52*Input!$C$3/365,0)</f>
        <v>10533489</v>
      </c>
      <c r="S52" s="60">
        <f>IF(A52&lt;=Input!$C$6,0,IF('120M'!O52&lt;'120M'!Q52,'120M'!O52-R52,'120M'!Q52))</f>
        <v>6512961</v>
      </c>
      <c r="T52" s="60">
        <f t="shared" si="5"/>
        <v>17046450</v>
      </c>
      <c r="U52" s="60">
        <f t="shared" si="6"/>
        <v>820309296</v>
      </c>
      <c r="V52" s="193"/>
      <c r="W52" s="169">
        <v>48</v>
      </c>
      <c r="X52" s="1">
        <f t="shared" si="28"/>
        <v>46980</v>
      </c>
      <c r="Y52" s="60">
        <f>IF($X52&lt;Input!$H$58,IF($X52&lt;Input!$G$58,IF($X52&lt;Input!$F$58,IF($X52&lt;Input!$E$58,IF($X52&lt;Input!$D$58,Input!$C$64,Input!$D$64),Input!$E$64),Input!$F$64),Input!$G$64),Input!$H$64)</f>
        <v>0</v>
      </c>
      <c r="Z52" s="190">
        <f>IF($A52&lt;Input!$H$65,IF($A52&lt;Input!$G$65,IF($A52&lt;Input!$F$65,IF($A52&lt;Input!$E$65,IF($A52&lt;Input!$D$65,Input!$C$66,Input!$D$66),Input!$E$66),Input!$F$66),Input!$G$66),Input!$H$66)</f>
        <v>0.9</v>
      </c>
      <c r="AA52" s="60">
        <f t="shared" si="7"/>
        <v>0</v>
      </c>
      <c r="AB52" s="60">
        <f t="shared" si="29"/>
        <v>31</v>
      </c>
      <c r="AC52" s="60">
        <f t="shared" si="8"/>
        <v>0</v>
      </c>
      <c r="AD52" s="60">
        <f>ROUND(AC52*AB52*Input!$C$3/365,0)</f>
        <v>0</v>
      </c>
      <c r="AE52" s="61">
        <f>IF($A52&lt;=Input!$C$6,0,IF('120M'!AA52&lt;'120M'!AC52,'120M'!AA52-AD52,'120M'!AC52))</f>
        <v>0</v>
      </c>
      <c r="AF52" s="61">
        <f t="shared" si="9"/>
        <v>0</v>
      </c>
      <c r="AG52" s="60">
        <f t="shared" si="10"/>
        <v>0</v>
      </c>
      <c r="AH52" s="193"/>
      <c r="AI52" s="169">
        <v>48</v>
      </c>
      <c r="AJ52" s="1">
        <f t="shared" si="30"/>
        <v>46980</v>
      </c>
      <c r="AK52" s="60">
        <f>IF($X52&lt;Input!$H$73,IF($X52&lt;Input!$G$73,IF($X52&lt;Input!$F$73,IF($X52&lt;Input!$E$73,IF($X52&lt;Input!$D$73,Input!$C$79,Input!$D$79),Input!$E$79),Input!$F$79),Input!$G$79),Input!$H$79)</f>
        <v>0</v>
      </c>
      <c r="AL52" s="190">
        <f>IF($A52&lt;Input!$H$80,IF($A52&lt;Input!$G$80,IF($A52&lt;Input!$F$80,IF($A52&lt;Input!$E$80,IF($A52&lt;Input!$D$80,Input!$C$81,Input!$D$81),Input!$E$81),Input!$F$81),Input!$G$81),Input!$H$81)</f>
        <v>0.9</v>
      </c>
      <c r="AM52" s="60">
        <f t="shared" si="11"/>
        <v>0</v>
      </c>
      <c r="AN52" s="60">
        <f t="shared" si="31"/>
        <v>31</v>
      </c>
      <c r="AO52" s="60">
        <f t="shared" si="12"/>
        <v>0</v>
      </c>
      <c r="AP52" s="60">
        <f>ROUND(AO52*AN52*Input!$C$3/365,0)</f>
        <v>0</v>
      </c>
      <c r="AQ52" s="61">
        <f>IF($A52&lt;=Input!$C$6,0,IF('120M'!AM52&lt;'120M'!AO52,'120M'!AM52-AP52,'120M'!AO52))</f>
        <v>0</v>
      </c>
      <c r="AR52" s="61">
        <f t="shared" si="13"/>
        <v>0</v>
      </c>
      <c r="AS52" s="60">
        <f t="shared" si="14"/>
        <v>0</v>
      </c>
      <c r="AT52" s="193"/>
      <c r="AU52" s="169">
        <v>48</v>
      </c>
      <c r="AV52" s="1">
        <f t="shared" si="32"/>
        <v>46980</v>
      </c>
      <c r="AW52" s="60">
        <f>IF($X52&lt;Input!$H$88,IF($X52&lt;Input!$G$88,IF($X52&lt;Input!$F$88,IF($X52&lt;Input!$E$88,IF($X52&lt;Input!$D$88,Input!$C$94,Input!$D$94),Input!$E$94),Input!$F$94),Input!$G$94),Input!$H$94)</f>
        <v>0</v>
      </c>
      <c r="AX52" s="190">
        <f>IF($A52&lt;Input!$H$95,IF($A52&lt;Input!$G$95,IF($A52&lt;Input!$F$95,IF($A52&lt;Input!$E$95,IF($A52&lt;Input!$D$95,Input!$C$96,Input!$D$96),Input!$E$96),Input!$F$96),Input!$G$96),Input!$H$96)</f>
        <v>0.9</v>
      </c>
      <c r="AY52" s="60">
        <f t="shared" si="15"/>
        <v>0</v>
      </c>
      <c r="AZ52" s="60">
        <f t="shared" si="33"/>
        <v>31</v>
      </c>
      <c r="BA52" s="60">
        <f t="shared" si="16"/>
        <v>0</v>
      </c>
      <c r="BB52" s="60">
        <f>ROUND(BA52*AZ52*Input!$C$3/365,0)</f>
        <v>0</v>
      </c>
      <c r="BC52" s="61">
        <f>IF($A52&lt;=Input!$C$6,0,IF('120M'!AY52&lt;'120M'!BA52,'120M'!AY52-BB52,'120M'!BA52))</f>
        <v>0</v>
      </c>
      <c r="BD52" s="61">
        <f t="shared" si="17"/>
        <v>0</v>
      </c>
      <c r="BE52" s="60">
        <f t="shared" si="18"/>
        <v>0</v>
      </c>
      <c r="BF52" s="193"/>
      <c r="BG52" s="169">
        <v>48</v>
      </c>
      <c r="BH52" s="1">
        <f t="shared" si="34"/>
        <v>46980</v>
      </c>
      <c r="BI52" s="60">
        <f>IF($X52&lt;Input!$H$103,IF($X52&lt;Input!$G$103,IF($X52&lt;Input!$F$103,IF($X52&lt;Input!$E$103,IF($X52&lt;Input!$D$103,Input!$C$109,Input!$D$109),Input!$E$109),Input!$F$109),Input!$G$109),Input!$H$109)</f>
        <v>0</v>
      </c>
      <c r="BJ52" s="190">
        <f>IF($A52&lt;Input!$H$110,IF($A52&lt;Input!$G$110,IF($A52&lt;Input!$F$110,IF($A52&lt;Input!$E$110,IF($A52&lt;Input!$D$110,Input!$C$111,Input!$D$111),Input!$E$111),Input!$F$111),Input!$G$111),Input!$H$111)</f>
        <v>0.9</v>
      </c>
      <c r="BK52" s="60">
        <f t="shared" si="19"/>
        <v>0</v>
      </c>
      <c r="BL52" s="60">
        <f t="shared" si="35"/>
        <v>31</v>
      </c>
      <c r="BM52" s="60">
        <f t="shared" si="20"/>
        <v>0</v>
      </c>
      <c r="BN52" s="60">
        <f>ROUND(BM52*BL52*Input!$C$3/365,0)</f>
        <v>0</v>
      </c>
      <c r="BO52" s="61">
        <f>IF($A52&lt;=Input!$C$6,0,IF('120M'!BK52&lt;'120M'!BM52,'120M'!BK52-BN52,'120M'!BM52))</f>
        <v>0</v>
      </c>
      <c r="BP52" s="61">
        <f t="shared" si="21"/>
        <v>0</v>
      </c>
      <c r="BQ52" s="60">
        <f t="shared" si="22"/>
        <v>0</v>
      </c>
      <c r="BR52" s="198"/>
    </row>
    <row r="53" spans="1:70" x14ac:dyDescent="0.25">
      <c r="A53" s="169">
        <v>49</v>
      </c>
      <c r="B53" s="1">
        <f t="shared" si="23"/>
        <v>47011</v>
      </c>
      <c r="C53" s="60">
        <f t="shared" si="1"/>
        <v>18940500</v>
      </c>
      <c r="D53" s="60">
        <f t="shared" si="2"/>
        <v>17046450</v>
      </c>
      <c r="E53" s="60">
        <f t="shared" si="24"/>
        <v>31</v>
      </c>
      <c r="F53" s="60">
        <f t="shared" si="25"/>
        <v>820309296</v>
      </c>
      <c r="G53" s="60">
        <f>ROUND(F53*E53*Input!$C$3/365,0)</f>
        <v>10450516</v>
      </c>
      <c r="H53" s="60">
        <f>IF($A53&lt;=Input!$C$6,0,IF('120M'!D53&lt;'120M'!F53,'120M'!D53-G53,'120M'!F53))</f>
        <v>6595934</v>
      </c>
      <c r="I53" s="60">
        <f t="shared" si="26"/>
        <v>17046450</v>
      </c>
      <c r="J53" s="60">
        <f t="shared" si="27"/>
        <v>813713362</v>
      </c>
      <c r="K53" s="202">
        <f>J53/Input!$K$5</f>
        <v>2.7123778733333332</v>
      </c>
      <c r="L53" s="232"/>
      <c r="M53" s="60">
        <f>IF($B53&lt;Input!$H$43,IF($B53&lt;Input!$G$43,IF($B53&lt;Input!$F$43,IF($B53&lt;Input!$E$43,IF($B53&lt;Input!$D$43,Input!$C$49,Input!$D$49),Input!$E$49),Input!$F$49),Input!$G$49),Input!$H$49)</f>
        <v>18940500</v>
      </c>
      <c r="N53" s="190">
        <f>IF($A53&lt;Input!$H$50,IF($A53&lt;Input!$G$50,IF($A53&lt;Input!$F$50,IF($A53&lt;Input!$E$50,IF($A53&lt;Input!$D$50,Input!$C$51,Input!$D$51),Input!$E$51),Input!$F$51),Input!$G$51),Input!$H$51)</f>
        <v>0.9</v>
      </c>
      <c r="O53" s="60">
        <f t="shared" si="36"/>
        <v>17046450</v>
      </c>
      <c r="P53" s="60">
        <f t="shared" si="37"/>
        <v>31</v>
      </c>
      <c r="Q53" s="60">
        <f t="shared" si="4"/>
        <v>820309296</v>
      </c>
      <c r="R53" s="60">
        <f>ROUND(Q53*$P53*Input!$C$3/365,0)</f>
        <v>10450516</v>
      </c>
      <c r="S53" s="60">
        <f>IF(A53&lt;=Input!$C$6,0,IF('120M'!O53&lt;'120M'!Q53,'120M'!O53-R53,'120M'!Q53))</f>
        <v>6595934</v>
      </c>
      <c r="T53" s="60">
        <f t="shared" si="5"/>
        <v>17046450</v>
      </c>
      <c r="U53" s="60">
        <f t="shared" si="6"/>
        <v>813713362</v>
      </c>
      <c r="V53" s="193"/>
      <c r="W53" s="169">
        <v>49</v>
      </c>
      <c r="X53" s="1">
        <f t="shared" si="28"/>
        <v>47011</v>
      </c>
      <c r="Y53" s="60">
        <f>IF($X53&lt;Input!$H$58,IF($X53&lt;Input!$G$58,IF($X53&lt;Input!$F$58,IF($X53&lt;Input!$E$58,IF($X53&lt;Input!$D$58,Input!$C$64,Input!$D$64),Input!$E$64),Input!$F$64),Input!$G$64),Input!$H$64)</f>
        <v>0</v>
      </c>
      <c r="Z53" s="190">
        <f>IF($A53&lt;Input!$H$65,IF($A53&lt;Input!$G$65,IF($A53&lt;Input!$F$65,IF($A53&lt;Input!$E$65,IF($A53&lt;Input!$D$65,Input!$C$66,Input!$D$66),Input!$E$66),Input!$F$66),Input!$G$66),Input!$H$66)</f>
        <v>0.9</v>
      </c>
      <c r="AA53" s="60">
        <f t="shared" si="7"/>
        <v>0</v>
      </c>
      <c r="AB53" s="60">
        <f t="shared" si="29"/>
        <v>31</v>
      </c>
      <c r="AC53" s="60">
        <f t="shared" si="8"/>
        <v>0</v>
      </c>
      <c r="AD53" s="60">
        <f>ROUND(AC53*AB53*Input!$C$3/365,0)</f>
        <v>0</v>
      </c>
      <c r="AE53" s="61">
        <f>IF($A53&lt;=Input!$C$6,0,IF('120M'!AA53&lt;'120M'!AC53,'120M'!AA53-AD53,'120M'!AC53))</f>
        <v>0</v>
      </c>
      <c r="AF53" s="61">
        <f t="shared" si="9"/>
        <v>0</v>
      </c>
      <c r="AG53" s="60">
        <f t="shared" si="10"/>
        <v>0</v>
      </c>
      <c r="AH53" s="193"/>
      <c r="AI53" s="169">
        <v>49</v>
      </c>
      <c r="AJ53" s="1">
        <f t="shared" si="30"/>
        <v>47011</v>
      </c>
      <c r="AK53" s="60">
        <f>IF($X53&lt;Input!$H$73,IF($X53&lt;Input!$G$73,IF($X53&lt;Input!$F$73,IF($X53&lt;Input!$E$73,IF($X53&lt;Input!$D$73,Input!$C$79,Input!$D$79),Input!$E$79),Input!$F$79),Input!$G$79),Input!$H$79)</f>
        <v>0</v>
      </c>
      <c r="AL53" s="190">
        <f>IF($A53&lt;Input!$H$80,IF($A53&lt;Input!$G$80,IF($A53&lt;Input!$F$80,IF($A53&lt;Input!$E$80,IF($A53&lt;Input!$D$80,Input!$C$81,Input!$D$81),Input!$E$81),Input!$F$81),Input!$G$81),Input!$H$81)</f>
        <v>0.9</v>
      </c>
      <c r="AM53" s="60">
        <f t="shared" si="11"/>
        <v>0</v>
      </c>
      <c r="AN53" s="60">
        <f t="shared" si="31"/>
        <v>31</v>
      </c>
      <c r="AO53" s="60">
        <f t="shared" si="12"/>
        <v>0</v>
      </c>
      <c r="AP53" s="60">
        <f>ROUND(AO53*AN53*Input!$C$3/365,0)</f>
        <v>0</v>
      </c>
      <c r="AQ53" s="61">
        <f>IF($A53&lt;=Input!$C$6,0,IF('120M'!AM53&lt;'120M'!AO53,'120M'!AM53-AP53,'120M'!AO53))</f>
        <v>0</v>
      </c>
      <c r="AR53" s="61">
        <f t="shared" si="13"/>
        <v>0</v>
      </c>
      <c r="AS53" s="60">
        <f t="shared" si="14"/>
        <v>0</v>
      </c>
      <c r="AT53" s="193"/>
      <c r="AU53" s="169">
        <v>49</v>
      </c>
      <c r="AV53" s="1">
        <f t="shared" si="32"/>
        <v>47011</v>
      </c>
      <c r="AW53" s="60">
        <f>IF($X53&lt;Input!$H$88,IF($X53&lt;Input!$G$88,IF($X53&lt;Input!$F$88,IF($X53&lt;Input!$E$88,IF($X53&lt;Input!$D$88,Input!$C$94,Input!$D$94),Input!$E$94),Input!$F$94),Input!$G$94),Input!$H$94)</f>
        <v>0</v>
      </c>
      <c r="AX53" s="190">
        <f>IF($A53&lt;Input!$H$95,IF($A53&lt;Input!$G$95,IF($A53&lt;Input!$F$95,IF($A53&lt;Input!$E$95,IF($A53&lt;Input!$D$95,Input!$C$96,Input!$D$96),Input!$E$96),Input!$F$96),Input!$G$96),Input!$H$96)</f>
        <v>0.9</v>
      </c>
      <c r="AY53" s="60">
        <f t="shared" si="15"/>
        <v>0</v>
      </c>
      <c r="AZ53" s="60">
        <f t="shared" si="33"/>
        <v>31</v>
      </c>
      <c r="BA53" s="60">
        <f t="shared" si="16"/>
        <v>0</v>
      </c>
      <c r="BB53" s="60">
        <f>ROUND(BA53*AZ53*Input!$C$3/365,0)</f>
        <v>0</v>
      </c>
      <c r="BC53" s="61">
        <f>IF($A53&lt;=Input!$C$6,0,IF('120M'!AY53&lt;'120M'!BA53,'120M'!AY53-BB53,'120M'!BA53))</f>
        <v>0</v>
      </c>
      <c r="BD53" s="61">
        <f t="shared" si="17"/>
        <v>0</v>
      </c>
      <c r="BE53" s="60">
        <f t="shared" si="18"/>
        <v>0</v>
      </c>
      <c r="BF53" s="193"/>
      <c r="BG53" s="169">
        <v>49</v>
      </c>
      <c r="BH53" s="1">
        <f t="shared" si="34"/>
        <v>47011</v>
      </c>
      <c r="BI53" s="60">
        <f>IF($X53&lt;Input!$H$103,IF($X53&lt;Input!$G$103,IF($X53&lt;Input!$F$103,IF($X53&lt;Input!$E$103,IF($X53&lt;Input!$D$103,Input!$C$109,Input!$D$109),Input!$E$109),Input!$F$109),Input!$G$109),Input!$H$109)</f>
        <v>0</v>
      </c>
      <c r="BJ53" s="190">
        <f>IF($A53&lt;Input!$H$110,IF($A53&lt;Input!$G$110,IF($A53&lt;Input!$F$110,IF($A53&lt;Input!$E$110,IF($A53&lt;Input!$D$110,Input!$C$111,Input!$D$111),Input!$E$111),Input!$F$111),Input!$G$111),Input!$H$111)</f>
        <v>0.9</v>
      </c>
      <c r="BK53" s="60">
        <f t="shared" si="19"/>
        <v>0</v>
      </c>
      <c r="BL53" s="60">
        <f t="shared" si="35"/>
        <v>31</v>
      </c>
      <c r="BM53" s="60">
        <f t="shared" si="20"/>
        <v>0</v>
      </c>
      <c r="BN53" s="60">
        <f>ROUND(BM53*BL53*Input!$C$3/365,0)</f>
        <v>0</v>
      </c>
      <c r="BO53" s="61">
        <f>IF($A53&lt;=Input!$C$6,0,IF('120M'!BK53&lt;'120M'!BM53,'120M'!BK53-BN53,'120M'!BM53))</f>
        <v>0</v>
      </c>
      <c r="BP53" s="61">
        <f t="shared" si="21"/>
        <v>0</v>
      </c>
      <c r="BQ53" s="60">
        <f t="shared" si="22"/>
        <v>0</v>
      </c>
      <c r="BR53" s="198"/>
    </row>
    <row r="54" spans="1:70" x14ac:dyDescent="0.25">
      <c r="A54" s="169">
        <v>50</v>
      </c>
      <c r="B54" s="1">
        <f t="shared" si="23"/>
        <v>47041</v>
      </c>
      <c r="C54" s="60">
        <f t="shared" si="1"/>
        <v>18940500</v>
      </c>
      <c r="D54" s="60">
        <f t="shared" si="2"/>
        <v>17046450</v>
      </c>
      <c r="E54" s="60">
        <f t="shared" si="24"/>
        <v>30</v>
      </c>
      <c r="F54" s="60">
        <f t="shared" si="25"/>
        <v>813713362</v>
      </c>
      <c r="G54" s="60">
        <f>ROUND(F54*E54*Input!$C$3/365,0)</f>
        <v>10032083</v>
      </c>
      <c r="H54" s="60">
        <f>IF($A54&lt;=Input!$C$6,0,IF('120M'!D54&lt;'120M'!F54,'120M'!D54-G54,'120M'!F54))</f>
        <v>7014367</v>
      </c>
      <c r="I54" s="60">
        <f t="shared" si="26"/>
        <v>17046450</v>
      </c>
      <c r="J54" s="60">
        <f t="shared" si="27"/>
        <v>806698995</v>
      </c>
      <c r="K54" s="202">
        <f>J54/Input!$K$5</f>
        <v>2.68899665</v>
      </c>
      <c r="L54" s="232"/>
      <c r="M54" s="60">
        <f>IF($B54&lt;Input!$H$43,IF($B54&lt;Input!$G$43,IF($B54&lt;Input!$F$43,IF($B54&lt;Input!$E$43,IF($B54&lt;Input!$D$43,Input!$C$49,Input!$D$49),Input!$E$49),Input!$F$49),Input!$G$49),Input!$H$49)</f>
        <v>18940500</v>
      </c>
      <c r="N54" s="190">
        <f>IF($A54&lt;Input!$H$50,IF($A54&lt;Input!$G$50,IF($A54&lt;Input!$F$50,IF($A54&lt;Input!$E$50,IF($A54&lt;Input!$D$50,Input!$C$51,Input!$D$51),Input!$E$51),Input!$F$51),Input!$G$51),Input!$H$51)</f>
        <v>0.9</v>
      </c>
      <c r="O54" s="60">
        <f t="shared" si="36"/>
        <v>17046450</v>
      </c>
      <c r="P54" s="60">
        <f t="shared" si="37"/>
        <v>30</v>
      </c>
      <c r="Q54" s="60">
        <f t="shared" si="4"/>
        <v>813713362</v>
      </c>
      <c r="R54" s="60">
        <f>ROUND(Q54*$P54*Input!$C$3/365,0)</f>
        <v>10032083</v>
      </c>
      <c r="S54" s="60">
        <f>IF(A54&lt;=Input!$C$6,0,IF('120M'!O54&lt;'120M'!Q54,'120M'!O54-R54,'120M'!Q54))</f>
        <v>7014367</v>
      </c>
      <c r="T54" s="60">
        <f t="shared" si="5"/>
        <v>17046450</v>
      </c>
      <c r="U54" s="60">
        <f t="shared" si="6"/>
        <v>806698995</v>
      </c>
      <c r="V54" s="193"/>
      <c r="W54" s="169">
        <v>50</v>
      </c>
      <c r="X54" s="1">
        <f t="shared" si="28"/>
        <v>47041</v>
      </c>
      <c r="Y54" s="60">
        <f>IF($X54&lt;Input!$H$58,IF($X54&lt;Input!$G$58,IF($X54&lt;Input!$F$58,IF($X54&lt;Input!$E$58,IF($X54&lt;Input!$D$58,Input!$C$64,Input!$D$64),Input!$E$64),Input!$F$64),Input!$G$64),Input!$H$64)</f>
        <v>0</v>
      </c>
      <c r="Z54" s="190">
        <f>IF($A54&lt;Input!$H$65,IF($A54&lt;Input!$G$65,IF($A54&lt;Input!$F$65,IF($A54&lt;Input!$E$65,IF($A54&lt;Input!$D$65,Input!$C$66,Input!$D$66),Input!$E$66),Input!$F$66),Input!$G$66),Input!$H$66)</f>
        <v>0.9</v>
      </c>
      <c r="AA54" s="60">
        <f t="shared" si="7"/>
        <v>0</v>
      </c>
      <c r="AB54" s="60">
        <f t="shared" si="29"/>
        <v>30</v>
      </c>
      <c r="AC54" s="60">
        <f t="shared" si="8"/>
        <v>0</v>
      </c>
      <c r="AD54" s="60">
        <f>ROUND(AC54*AB54*Input!$C$3/365,0)</f>
        <v>0</v>
      </c>
      <c r="AE54" s="61">
        <f>IF($A54&lt;=Input!$C$6,0,IF('120M'!AA54&lt;'120M'!AC54,'120M'!AA54-AD54,'120M'!AC54))</f>
        <v>0</v>
      </c>
      <c r="AF54" s="61">
        <f t="shared" si="9"/>
        <v>0</v>
      </c>
      <c r="AG54" s="60">
        <f t="shared" si="10"/>
        <v>0</v>
      </c>
      <c r="AH54" s="193"/>
      <c r="AI54" s="169">
        <v>50</v>
      </c>
      <c r="AJ54" s="1">
        <f t="shared" si="30"/>
        <v>47041</v>
      </c>
      <c r="AK54" s="60">
        <f>IF($X54&lt;Input!$H$73,IF($X54&lt;Input!$G$73,IF($X54&lt;Input!$F$73,IF($X54&lt;Input!$E$73,IF($X54&lt;Input!$D$73,Input!$C$79,Input!$D$79),Input!$E$79),Input!$F$79),Input!$G$79),Input!$H$79)</f>
        <v>0</v>
      </c>
      <c r="AL54" s="190">
        <f>IF($A54&lt;Input!$H$80,IF($A54&lt;Input!$G$80,IF($A54&lt;Input!$F$80,IF($A54&lt;Input!$E$80,IF($A54&lt;Input!$D$80,Input!$C$81,Input!$D$81),Input!$E$81),Input!$F$81),Input!$G$81),Input!$H$81)</f>
        <v>0.9</v>
      </c>
      <c r="AM54" s="60">
        <f t="shared" si="11"/>
        <v>0</v>
      </c>
      <c r="AN54" s="60">
        <f t="shared" si="31"/>
        <v>30</v>
      </c>
      <c r="AO54" s="60">
        <f t="shared" si="12"/>
        <v>0</v>
      </c>
      <c r="AP54" s="60">
        <f>ROUND(AO54*AN54*Input!$C$3/365,0)</f>
        <v>0</v>
      </c>
      <c r="AQ54" s="61">
        <f>IF($A54&lt;=Input!$C$6,0,IF('120M'!AM54&lt;'120M'!AO54,'120M'!AM54-AP54,'120M'!AO54))</f>
        <v>0</v>
      </c>
      <c r="AR54" s="61">
        <f t="shared" si="13"/>
        <v>0</v>
      </c>
      <c r="AS54" s="60">
        <f t="shared" si="14"/>
        <v>0</v>
      </c>
      <c r="AT54" s="193"/>
      <c r="AU54" s="169">
        <v>50</v>
      </c>
      <c r="AV54" s="1">
        <f t="shared" si="32"/>
        <v>47041</v>
      </c>
      <c r="AW54" s="60">
        <f>IF($X54&lt;Input!$H$88,IF($X54&lt;Input!$G$88,IF($X54&lt;Input!$F$88,IF($X54&lt;Input!$E$88,IF($X54&lt;Input!$D$88,Input!$C$94,Input!$D$94),Input!$E$94),Input!$F$94),Input!$G$94),Input!$H$94)</f>
        <v>0</v>
      </c>
      <c r="AX54" s="190">
        <f>IF($A54&lt;Input!$H$95,IF($A54&lt;Input!$G$95,IF($A54&lt;Input!$F$95,IF($A54&lt;Input!$E$95,IF($A54&lt;Input!$D$95,Input!$C$96,Input!$D$96),Input!$E$96),Input!$F$96),Input!$G$96),Input!$H$96)</f>
        <v>0.9</v>
      </c>
      <c r="AY54" s="60">
        <f t="shared" si="15"/>
        <v>0</v>
      </c>
      <c r="AZ54" s="60">
        <f t="shared" si="33"/>
        <v>30</v>
      </c>
      <c r="BA54" s="60">
        <f t="shared" si="16"/>
        <v>0</v>
      </c>
      <c r="BB54" s="60">
        <f>ROUND(BA54*AZ54*Input!$C$3/365,0)</f>
        <v>0</v>
      </c>
      <c r="BC54" s="61">
        <f>IF($A54&lt;=Input!$C$6,0,IF('120M'!AY54&lt;'120M'!BA54,'120M'!AY54-BB54,'120M'!BA54))</f>
        <v>0</v>
      </c>
      <c r="BD54" s="61">
        <f t="shared" si="17"/>
        <v>0</v>
      </c>
      <c r="BE54" s="60">
        <f t="shared" si="18"/>
        <v>0</v>
      </c>
      <c r="BF54" s="193"/>
      <c r="BG54" s="169">
        <v>50</v>
      </c>
      <c r="BH54" s="1">
        <f t="shared" si="34"/>
        <v>47041</v>
      </c>
      <c r="BI54" s="60">
        <f>IF($X54&lt;Input!$H$103,IF($X54&lt;Input!$G$103,IF($X54&lt;Input!$F$103,IF($X54&lt;Input!$E$103,IF($X54&lt;Input!$D$103,Input!$C$109,Input!$D$109),Input!$E$109),Input!$F$109),Input!$G$109),Input!$H$109)</f>
        <v>0</v>
      </c>
      <c r="BJ54" s="190">
        <f>IF($A54&lt;Input!$H$110,IF($A54&lt;Input!$G$110,IF($A54&lt;Input!$F$110,IF($A54&lt;Input!$E$110,IF($A54&lt;Input!$D$110,Input!$C$111,Input!$D$111),Input!$E$111),Input!$F$111),Input!$G$111),Input!$H$111)</f>
        <v>0.9</v>
      </c>
      <c r="BK54" s="60">
        <f t="shared" si="19"/>
        <v>0</v>
      </c>
      <c r="BL54" s="60">
        <f t="shared" si="35"/>
        <v>30</v>
      </c>
      <c r="BM54" s="60">
        <f t="shared" si="20"/>
        <v>0</v>
      </c>
      <c r="BN54" s="60">
        <f>ROUND(BM54*BL54*Input!$C$3/365,0)</f>
        <v>0</v>
      </c>
      <c r="BO54" s="61">
        <f>IF($A54&lt;=Input!$C$6,0,IF('120M'!BK54&lt;'120M'!BM54,'120M'!BK54-BN54,'120M'!BM54))</f>
        <v>0</v>
      </c>
      <c r="BP54" s="61">
        <f t="shared" si="21"/>
        <v>0</v>
      </c>
      <c r="BQ54" s="60">
        <f t="shared" si="22"/>
        <v>0</v>
      </c>
      <c r="BR54" s="198"/>
    </row>
    <row r="55" spans="1:70" x14ac:dyDescent="0.25">
      <c r="A55" s="169">
        <v>51</v>
      </c>
      <c r="B55" s="1">
        <f t="shared" si="23"/>
        <v>47072</v>
      </c>
      <c r="C55" s="60">
        <f t="shared" si="1"/>
        <v>18940500</v>
      </c>
      <c r="D55" s="60">
        <f t="shared" si="2"/>
        <v>17046450</v>
      </c>
      <c r="E55" s="60">
        <f t="shared" si="24"/>
        <v>31</v>
      </c>
      <c r="F55" s="60">
        <f t="shared" si="25"/>
        <v>806698995</v>
      </c>
      <c r="G55" s="60">
        <f>ROUND(F55*E55*Input!$C$3/365,0)</f>
        <v>10277124</v>
      </c>
      <c r="H55" s="60">
        <f>IF($A55&lt;=Input!$C$6,0,IF('120M'!D55&lt;'120M'!F55,'120M'!D55-G55,'120M'!F55))</f>
        <v>6769326</v>
      </c>
      <c r="I55" s="60">
        <f t="shared" si="26"/>
        <v>17046450</v>
      </c>
      <c r="J55" s="60">
        <f t="shared" si="27"/>
        <v>799929669</v>
      </c>
      <c r="K55" s="202">
        <f>J55/Input!$K$5</f>
        <v>2.6664322299999998</v>
      </c>
      <c r="L55" s="232"/>
      <c r="M55" s="60">
        <f>IF($B55&lt;Input!$H$43,IF($B55&lt;Input!$G$43,IF($B55&lt;Input!$F$43,IF($B55&lt;Input!$E$43,IF($B55&lt;Input!$D$43,Input!$C$49,Input!$D$49),Input!$E$49),Input!$F$49),Input!$G$49),Input!$H$49)</f>
        <v>18940500</v>
      </c>
      <c r="N55" s="190">
        <f>IF($A55&lt;Input!$H$50,IF($A55&lt;Input!$G$50,IF($A55&lt;Input!$F$50,IF($A55&lt;Input!$E$50,IF($A55&lt;Input!$D$50,Input!$C$51,Input!$D$51),Input!$E$51),Input!$F$51),Input!$G$51),Input!$H$51)</f>
        <v>0.9</v>
      </c>
      <c r="O55" s="60">
        <f t="shared" si="36"/>
        <v>17046450</v>
      </c>
      <c r="P55" s="60">
        <f t="shared" si="37"/>
        <v>31</v>
      </c>
      <c r="Q55" s="60">
        <f t="shared" si="4"/>
        <v>806698995</v>
      </c>
      <c r="R55" s="60">
        <f>ROUND(Q55*$P55*Input!$C$3/365,0)</f>
        <v>10277124</v>
      </c>
      <c r="S55" s="60">
        <f>IF(A55&lt;=Input!$C$6,0,IF('120M'!O55&lt;'120M'!Q55,'120M'!O55-R55,'120M'!Q55))</f>
        <v>6769326</v>
      </c>
      <c r="T55" s="60">
        <f t="shared" si="5"/>
        <v>17046450</v>
      </c>
      <c r="U55" s="60">
        <f t="shared" si="6"/>
        <v>799929669</v>
      </c>
      <c r="V55" s="193"/>
      <c r="W55" s="169">
        <v>51</v>
      </c>
      <c r="X55" s="1">
        <f t="shared" si="28"/>
        <v>47072</v>
      </c>
      <c r="Y55" s="60">
        <f>IF($X55&lt;Input!$H$58,IF($X55&lt;Input!$G$58,IF($X55&lt;Input!$F$58,IF($X55&lt;Input!$E$58,IF($X55&lt;Input!$D$58,Input!$C$64,Input!$D$64),Input!$E$64),Input!$F$64),Input!$G$64),Input!$H$64)</f>
        <v>0</v>
      </c>
      <c r="Z55" s="190">
        <f>IF($A55&lt;Input!$H$65,IF($A55&lt;Input!$G$65,IF($A55&lt;Input!$F$65,IF($A55&lt;Input!$E$65,IF($A55&lt;Input!$D$65,Input!$C$66,Input!$D$66),Input!$E$66),Input!$F$66),Input!$G$66),Input!$H$66)</f>
        <v>0.9</v>
      </c>
      <c r="AA55" s="60">
        <f t="shared" si="7"/>
        <v>0</v>
      </c>
      <c r="AB55" s="60">
        <f t="shared" si="29"/>
        <v>31</v>
      </c>
      <c r="AC55" s="60">
        <f t="shared" si="8"/>
        <v>0</v>
      </c>
      <c r="AD55" s="60">
        <f>ROUND(AC55*AB55*Input!$C$3/365,0)</f>
        <v>0</v>
      </c>
      <c r="AE55" s="61">
        <f>IF($A55&lt;=Input!$C$6,0,IF('120M'!AA55&lt;'120M'!AC55,'120M'!AA55-AD55,'120M'!AC55))</f>
        <v>0</v>
      </c>
      <c r="AF55" s="61">
        <f t="shared" si="9"/>
        <v>0</v>
      </c>
      <c r="AG55" s="60">
        <f t="shared" si="10"/>
        <v>0</v>
      </c>
      <c r="AH55" s="193"/>
      <c r="AI55" s="169">
        <v>51</v>
      </c>
      <c r="AJ55" s="1">
        <f t="shared" si="30"/>
        <v>47072</v>
      </c>
      <c r="AK55" s="60">
        <f>IF($X55&lt;Input!$H$73,IF($X55&lt;Input!$G$73,IF($X55&lt;Input!$F$73,IF($X55&lt;Input!$E$73,IF($X55&lt;Input!$D$73,Input!$C$79,Input!$D$79),Input!$E$79),Input!$F$79),Input!$G$79),Input!$H$79)</f>
        <v>0</v>
      </c>
      <c r="AL55" s="190">
        <f>IF($A55&lt;Input!$H$80,IF($A55&lt;Input!$G$80,IF($A55&lt;Input!$F$80,IF($A55&lt;Input!$E$80,IF($A55&lt;Input!$D$80,Input!$C$81,Input!$D$81),Input!$E$81),Input!$F$81),Input!$G$81),Input!$H$81)</f>
        <v>0.9</v>
      </c>
      <c r="AM55" s="60">
        <f t="shared" si="11"/>
        <v>0</v>
      </c>
      <c r="AN55" s="60">
        <f t="shared" si="31"/>
        <v>31</v>
      </c>
      <c r="AO55" s="60">
        <f t="shared" si="12"/>
        <v>0</v>
      </c>
      <c r="AP55" s="60">
        <f>ROUND(AO55*AN55*Input!$C$3/365,0)</f>
        <v>0</v>
      </c>
      <c r="AQ55" s="61">
        <f>IF($A55&lt;=Input!$C$6,0,IF('120M'!AM55&lt;'120M'!AO55,'120M'!AM55-AP55,'120M'!AO55))</f>
        <v>0</v>
      </c>
      <c r="AR55" s="61">
        <f t="shared" si="13"/>
        <v>0</v>
      </c>
      <c r="AS55" s="60">
        <f t="shared" si="14"/>
        <v>0</v>
      </c>
      <c r="AT55" s="193"/>
      <c r="AU55" s="169">
        <v>51</v>
      </c>
      <c r="AV55" s="1">
        <f t="shared" si="32"/>
        <v>47072</v>
      </c>
      <c r="AW55" s="60">
        <f>IF($X55&lt;Input!$H$88,IF($X55&lt;Input!$G$88,IF($X55&lt;Input!$F$88,IF($X55&lt;Input!$E$88,IF($X55&lt;Input!$D$88,Input!$C$94,Input!$D$94),Input!$E$94),Input!$F$94),Input!$G$94),Input!$H$94)</f>
        <v>0</v>
      </c>
      <c r="AX55" s="190">
        <f>IF($A55&lt;Input!$H$95,IF($A55&lt;Input!$G$95,IF($A55&lt;Input!$F$95,IF($A55&lt;Input!$E$95,IF($A55&lt;Input!$D$95,Input!$C$96,Input!$D$96),Input!$E$96),Input!$F$96),Input!$G$96),Input!$H$96)</f>
        <v>0.9</v>
      </c>
      <c r="AY55" s="60">
        <f t="shared" si="15"/>
        <v>0</v>
      </c>
      <c r="AZ55" s="60">
        <f t="shared" si="33"/>
        <v>31</v>
      </c>
      <c r="BA55" s="60">
        <f t="shared" si="16"/>
        <v>0</v>
      </c>
      <c r="BB55" s="60">
        <f>ROUND(BA55*AZ55*Input!$C$3/365,0)</f>
        <v>0</v>
      </c>
      <c r="BC55" s="61">
        <f>IF($A55&lt;=Input!$C$6,0,IF('120M'!AY55&lt;'120M'!BA55,'120M'!AY55-BB55,'120M'!BA55))</f>
        <v>0</v>
      </c>
      <c r="BD55" s="61">
        <f t="shared" si="17"/>
        <v>0</v>
      </c>
      <c r="BE55" s="60">
        <f t="shared" si="18"/>
        <v>0</v>
      </c>
      <c r="BF55" s="193"/>
      <c r="BG55" s="169">
        <v>51</v>
      </c>
      <c r="BH55" s="1">
        <f t="shared" si="34"/>
        <v>47072</v>
      </c>
      <c r="BI55" s="60">
        <f>IF($X55&lt;Input!$H$103,IF($X55&lt;Input!$G$103,IF($X55&lt;Input!$F$103,IF($X55&lt;Input!$E$103,IF($X55&lt;Input!$D$103,Input!$C$109,Input!$D$109),Input!$E$109),Input!$F$109),Input!$G$109),Input!$H$109)</f>
        <v>0</v>
      </c>
      <c r="BJ55" s="190">
        <f>IF($A55&lt;Input!$H$110,IF($A55&lt;Input!$G$110,IF($A55&lt;Input!$F$110,IF($A55&lt;Input!$E$110,IF($A55&lt;Input!$D$110,Input!$C$111,Input!$D$111),Input!$E$111),Input!$F$111),Input!$G$111),Input!$H$111)</f>
        <v>0.9</v>
      </c>
      <c r="BK55" s="60">
        <f t="shared" si="19"/>
        <v>0</v>
      </c>
      <c r="BL55" s="60">
        <f t="shared" si="35"/>
        <v>31</v>
      </c>
      <c r="BM55" s="60">
        <f t="shared" si="20"/>
        <v>0</v>
      </c>
      <c r="BN55" s="60">
        <f>ROUND(BM55*BL55*Input!$C$3/365,0)</f>
        <v>0</v>
      </c>
      <c r="BO55" s="61">
        <f>IF($A55&lt;=Input!$C$6,0,IF('120M'!BK55&lt;'120M'!BM55,'120M'!BK55-BN55,'120M'!BM55))</f>
        <v>0</v>
      </c>
      <c r="BP55" s="61">
        <f t="shared" si="21"/>
        <v>0</v>
      </c>
      <c r="BQ55" s="60">
        <f t="shared" si="22"/>
        <v>0</v>
      </c>
      <c r="BR55" s="198"/>
    </row>
    <row r="56" spans="1:70" x14ac:dyDescent="0.25">
      <c r="A56" s="169">
        <v>52</v>
      </c>
      <c r="B56" s="1">
        <f t="shared" si="23"/>
        <v>47102</v>
      </c>
      <c r="C56" s="60">
        <f t="shared" si="1"/>
        <v>18940500</v>
      </c>
      <c r="D56" s="60">
        <f t="shared" si="2"/>
        <v>17046450</v>
      </c>
      <c r="E56" s="60">
        <f t="shared" si="24"/>
        <v>30</v>
      </c>
      <c r="F56" s="60">
        <f t="shared" si="25"/>
        <v>799929669</v>
      </c>
      <c r="G56" s="60">
        <f>ROUND(F56*E56*Input!$C$3/365,0)</f>
        <v>9862147</v>
      </c>
      <c r="H56" s="60">
        <f>IF($A56&lt;=Input!$C$6,0,IF('120M'!D56&lt;'120M'!F56,'120M'!D56-G56,'120M'!F56))</f>
        <v>7184303</v>
      </c>
      <c r="I56" s="60">
        <f t="shared" si="26"/>
        <v>17046450</v>
      </c>
      <c r="J56" s="60">
        <f t="shared" si="27"/>
        <v>792745366</v>
      </c>
      <c r="K56" s="202">
        <f>J56/Input!$K$5</f>
        <v>2.6424845533333334</v>
      </c>
      <c r="L56" s="232"/>
      <c r="M56" s="60">
        <f>IF($B56&lt;Input!$H$43,IF($B56&lt;Input!$G$43,IF($B56&lt;Input!$F$43,IF($B56&lt;Input!$E$43,IF($B56&lt;Input!$D$43,Input!$C$49,Input!$D$49),Input!$E$49),Input!$F$49),Input!$G$49),Input!$H$49)</f>
        <v>18940500</v>
      </c>
      <c r="N56" s="190">
        <f>IF($A56&lt;Input!$H$50,IF($A56&lt;Input!$G$50,IF($A56&lt;Input!$F$50,IF($A56&lt;Input!$E$50,IF($A56&lt;Input!$D$50,Input!$C$51,Input!$D$51),Input!$E$51),Input!$F$51),Input!$G$51),Input!$H$51)</f>
        <v>0.9</v>
      </c>
      <c r="O56" s="60">
        <f t="shared" si="36"/>
        <v>17046450</v>
      </c>
      <c r="P56" s="60">
        <f t="shared" si="37"/>
        <v>30</v>
      </c>
      <c r="Q56" s="60">
        <f t="shared" si="4"/>
        <v>799929669</v>
      </c>
      <c r="R56" s="60">
        <f>ROUND(Q56*$P56*Input!$C$3/365,0)</f>
        <v>9862147</v>
      </c>
      <c r="S56" s="60">
        <f>IF(A56&lt;=Input!$C$6,0,IF('120M'!O56&lt;'120M'!Q56,'120M'!O56-R56,'120M'!Q56))</f>
        <v>7184303</v>
      </c>
      <c r="T56" s="60">
        <f t="shared" si="5"/>
        <v>17046450</v>
      </c>
      <c r="U56" s="60">
        <f t="shared" si="6"/>
        <v>792745366</v>
      </c>
      <c r="V56" s="193"/>
      <c r="W56" s="169">
        <v>52</v>
      </c>
      <c r="X56" s="1">
        <f t="shared" si="28"/>
        <v>47102</v>
      </c>
      <c r="Y56" s="60">
        <f>IF($X56&lt;Input!$H$58,IF($X56&lt;Input!$G$58,IF($X56&lt;Input!$F$58,IF($X56&lt;Input!$E$58,IF($X56&lt;Input!$D$58,Input!$C$64,Input!$D$64),Input!$E$64),Input!$F$64),Input!$G$64),Input!$H$64)</f>
        <v>0</v>
      </c>
      <c r="Z56" s="190">
        <f>IF($A56&lt;Input!$H$65,IF($A56&lt;Input!$G$65,IF($A56&lt;Input!$F$65,IF($A56&lt;Input!$E$65,IF($A56&lt;Input!$D$65,Input!$C$66,Input!$D$66),Input!$E$66),Input!$F$66),Input!$G$66),Input!$H$66)</f>
        <v>0.9</v>
      </c>
      <c r="AA56" s="60">
        <f t="shared" si="7"/>
        <v>0</v>
      </c>
      <c r="AB56" s="60">
        <f t="shared" si="29"/>
        <v>30</v>
      </c>
      <c r="AC56" s="60">
        <f t="shared" si="8"/>
        <v>0</v>
      </c>
      <c r="AD56" s="60">
        <f>ROUND(AC56*AB56*Input!$C$3/365,0)</f>
        <v>0</v>
      </c>
      <c r="AE56" s="61">
        <f>IF($A56&lt;=Input!$C$6,0,IF('120M'!AA56&lt;'120M'!AC56,'120M'!AA56-AD56,'120M'!AC56))</f>
        <v>0</v>
      </c>
      <c r="AF56" s="61">
        <f t="shared" si="9"/>
        <v>0</v>
      </c>
      <c r="AG56" s="60">
        <f t="shared" si="10"/>
        <v>0</v>
      </c>
      <c r="AH56" s="193"/>
      <c r="AI56" s="169">
        <v>52</v>
      </c>
      <c r="AJ56" s="1">
        <f t="shared" si="30"/>
        <v>47102</v>
      </c>
      <c r="AK56" s="60">
        <f>IF($X56&lt;Input!$H$73,IF($X56&lt;Input!$G$73,IF($X56&lt;Input!$F$73,IF($X56&lt;Input!$E$73,IF($X56&lt;Input!$D$73,Input!$C$79,Input!$D$79),Input!$E$79),Input!$F$79),Input!$G$79),Input!$H$79)</f>
        <v>0</v>
      </c>
      <c r="AL56" s="190">
        <f>IF($A56&lt;Input!$H$80,IF($A56&lt;Input!$G$80,IF($A56&lt;Input!$F$80,IF($A56&lt;Input!$E$80,IF($A56&lt;Input!$D$80,Input!$C$81,Input!$D$81),Input!$E$81),Input!$F$81),Input!$G$81),Input!$H$81)</f>
        <v>0.9</v>
      </c>
      <c r="AM56" s="60">
        <f t="shared" si="11"/>
        <v>0</v>
      </c>
      <c r="AN56" s="60">
        <f t="shared" si="31"/>
        <v>30</v>
      </c>
      <c r="AO56" s="60">
        <f t="shared" si="12"/>
        <v>0</v>
      </c>
      <c r="AP56" s="60">
        <f>ROUND(AO56*AN56*Input!$C$3/365,0)</f>
        <v>0</v>
      </c>
      <c r="AQ56" s="61">
        <f>IF($A56&lt;=Input!$C$6,0,IF('120M'!AM56&lt;'120M'!AO56,'120M'!AM56-AP56,'120M'!AO56))</f>
        <v>0</v>
      </c>
      <c r="AR56" s="61">
        <f t="shared" si="13"/>
        <v>0</v>
      </c>
      <c r="AS56" s="60">
        <f t="shared" si="14"/>
        <v>0</v>
      </c>
      <c r="AT56" s="193"/>
      <c r="AU56" s="169">
        <v>52</v>
      </c>
      <c r="AV56" s="1">
        <f t="shared" si="32"/>
        <v>47102</v>
      </c>
      <c r="AW56" s="60">
        <f>IF($X56&lt;Input!$H$88,IF($X56&lt;Input!$G$88,IF($X56&lt;Input!$F$88,IF($X56&lt;Input!$E$88,IF($X56&lt;Input!$D$88,Input!$C$94,Input!$D$94),Input!$E$94),Input!$F$94),Input!$G$94),Input!$H$94)</f>
        <v>0</v>
      </c>
      <c r="AX56" s="190">
        <f>IF($A56&lt;Input!$H$95,IF($A56&lt;Input!$G$95,IF($A56&lt;Input!$F$95,IF($A56&lt;Input!$E$95,IF($A56&lt;Input!$D$95,Input!$C$96,Input!$D$96),Input!$E$96),Input!$F$96),Input!$G$96),Input!$H$96)</f>
        <v>0.9</v>
      </c>
      <c r="AY56" s="60">
        <f t="shared" si="15"/>
        <v>0</v>
      </c>
      <c r="AZ56" s="60">
        <f t="shared" si="33"/>
        <v>30</v>
      </c>
      <c r="BA56" s="60">
        <f t="shared" si="16"/>
        <v>0</v>
      </c>
      <c r="BB56" s="60">
        <f>ROUND(BA56*AZ56*Input!$C$3/365,0)</f>
        <v>0</v>
      </c>
      <c r="BC56" s="61">
        <f>IF($A56&lt;=Input!$C$6,0,IF('120M'!AY56&lt;'120M'!BA56,'120M'!AY56-BB56,'120M'!BA56))</f>
        <v>0</v>
      </c>
      <c r="BD56" s="61">
        <f t="shared" si="17"/>
        <v>0</v>
      </c>
      <c r="BE56" s="60">
        <f t="shared" si="18"/>
        <v>0</v>
      </c>
      <c r="BF56" s="193"/>
      <c r="BG56" s="169">
        <v>52</v>
      </c>
      <c r="BH56" s="1">
        <f t="shared" si="34"/>
        <v>47102</v>
      </c>
      <c r="BI56" s="60">
        <f>IF($X56&lt;Input!$H$103,IF($X56&lt;Input!$G$103,IF($X56&lt;Input!$F$103,IF($X56&lt;Input!$E$103,IF($X56&lt;Input!$D$103,Input!$C$109,Input!$D$109),Input!$E$109),Input!$F$109),Input!$G$109),Input!$H$109)</f>
        <v>0</v>
      </c>
      <c r="BJ56" s="190">
        <f>IF($A56&lt;Input!$H$110,IF($A56&lt;Input!$G$110,IF($A56&lt;Input!$F$110,IF($A56&lt;Input!$E$110,IF($A56&lt;Input!$D$110,Input!$C$111,Input!$D$111),Input!$E$111),Input!$F$111),Input!$G$111),Input!$H$111)</f>
        <v>0.9</v>
      </c>
      <c r="BK56" s="60">
        <f t="shared" si="19"/>
        <v>0</v>
      </c>
      <c r="BL56" s="60">
        <f t="shared" si="35"/>
        <v>30</v>
      </c>
      <c r="BM56" s="60">
        <f t="shared" si="20"/>
        <v>0</v>
      </c>
      <c r="BN56" s="60">
        <f>ROUND(BM56*BL56*Input!$C$3/365,0)</f>
        <v>0</v>
      </c>
      <c r="BO56" s="61">
        <f>IF($A56&lt;=Input!$C$6,0,IF('120M'!BK56&lt;'120M'!BM56,'120M'!BK56-BN56,'120M'!BM56))</f>
        <v>0</v>
      </c>
      <c r="BP56" s="61">
        <f t="shared" si="21"/>
        <v>0</v>
      </c>
      <c r="BQ56" s="60">
        <f t="shared" si="22"/>
        <v>0</v>
      </c>
      <c r="BR56" s="198"/>
    </row>
    <row r="57" spans="1:70" x14ac:dyDescent="0.25">
      <c r="A57" s="169">
        <v>53</v>
      </c>
      <c r="B57" s="1">
        <f t="shared" si="23"/>
        <v>47133</v>
      </c>
      <c r="C57" s="60">
        <f t="shared" si="1"/>
        <v>18940500</v>
      </c>
      <c r="D57" s="60">
        <f t="shared" si="2"/>
        <v>17046450</v>
      </c>
      <c r="E57" s="60">
        <f t="shared" si="24"/>
        <v>31</v>
      </c>
      <c r="F57" s="60">
        <f t="shared" si="25"/>
        <v>792745366</v>
      </c>
      <c r="G57" s="60">
        <f>ROUND(F57*E57*Input!$C$3/365,0)</f>
        <v>10099359</v>
      </c>
      <c r="H57" s="60">
        <f>IF($A57&lt;=Input!$C$6,0,IF('120M'!D57&lt;'120M'!F57,'120M'!D57-G57,'120M'!F57))</f>
        <v>6947091</v>
      </c>
      <c r="I57" s="60">
        <f t="shared" si="26"/>
        <v>17046450</v>
      </c>
      <c r="J57" s="60">
        <f t="shared" si="27"/>
        <v>785798275</v>
      </c>
      <c r="K57" s="202">
        <f>J57/Input!$K$5</f>
        <v>2.6193275833333334</v>
      </c>
      <c r="L57" s="232"/>
      <c r="M57" s="60">
        <f>IF($B57&lt;Input!$H$43,IF($B57&lt;Input!$G$43,IF($B57&lt;Input!$F$43,IF($B57&lt;Input!$E$43,IF($B57&lt;Input!$D$43,Input!$C$49,Input!$D$49),Input!$E$49),Input!$F$49),Input!$G$49),Input!$H$49)</f>
        <v>18940500</v>
      </c>
      <c r="N57" s="190">
        <f>IF($A57&lt;Input!$H$50,IF($A57&lt;Input!$G$50,IF($A57&lt;Input!$F$50,IF($A57&lt;Input!$E$50,IF($A57&lt;Input!$D$50,Input!$C$51,Input!$D$51),Input!$E$51),Input!$F$51),Input!$G$51),Input!$H$51)</f>
        <v>0.9</v>
      </c>
      <c r="O57" s="60">
        <f t="shared" si="36"/>
        <v>17046450</v>
      </c>
      <c r="P57" s="60">
        <f t="shared" si="37"/>
        <v>31</v>
      </c>
      <c r="Q57" s="60">
        <f t="shared" si="4"/>
        <v>792745366</v>
      </c>
      <c r="R57" s="60">
        <f>ROUND(Q57*$P57*Input!$C$3/365,0)</f>
        <v>10099359</v>
      </c>
      <c r="S57" s="60">
        <f>IF(A57&lt;=Input!$C$6,0,IF('120M'!O57&lt;'120M'!Q57,'120M'!O57-R57,'120M'!Q57))</f>
        <v>6947091</v>
      </c>
      <c r="T57" s="60">
        <f t="shared" si="5"/>
        <v>17046450</v>
      </c>
      <c r="U57" s="60">
        <f t="shared" si="6"/>
        <v>785798275</v>
      </c>
      <c r="V57" s="193"/>
      <c r="W57" s="169">
        <v>53</v>
      </c>
      <c r="X57" s="1">
        <f t="shared" si="28"/>
        <v>47133</v>
      </c>
      <c r="Y57" s="60">
        <f>IF($X57&lt;Input!$H$58,IF($X57&lt;Input!$G$58,IF($X57&lt;Input!$F$58,IF($X57&lt;Input!$E$58,IF($X57&lt;Input!$D$58,Input!$C$64,Input!$D$64),Input!$E$64),Input!$F$64),Input!$G$64),Input!$H$64)</f>
        <v>0</v>
      </c>
      <c r="Z57" s="190">
        <f>IF($A57&lt;Input!$H$65,IF($A57&lt;Input!$G$65,IF($A57&lt;Input!$F$65,IF($A57&lt;Input!$E$65,IF($A57&lt;Input!$D$65,Input!$C$66,Input!$D$66),Input!$E$66),Input!$F$66),Input!$G$66),Input!$H$66)</f>
        <v>0.9</v>
      </c>
      <c r="AA57" s="60">
        <f t="shared" si="7"/>
        <v>0</v>
      </c>
      <c r="AB57" s="60">
        <f t="shared" si="29"/>
        <v>31</v>
      </c>
      <c r="AC57" s="60">
        <f t="shared" si="8"/>
        <v>0</v>
      </c>
      <c r="AD57" s="60">
        <f>ROUND(AC57*AB57*Input!$C$3/365,0)</f>
        <v>0</v>
      </c>
      <c r="AE57" s="61">
        <f>IF($A57&lt;=Input!$C$6,0,IF('120M'!AA57&lt;'120M'!AC57,'120M'!AA57-AD57,'120M'!AC57))</f>
        <v>0</v>
      </c>
      <c r="AF57" s="61">
        <f t="shared" si="9"/>
        <v>0</v>
      </c>
      <c r="AG57" s="60">
        <f t="shared" si="10"/>
        <v>0</v>
      </c>
      <c r="AH57" s="193"/>
      <c r="AI57" s="169">
        <v>53</v>
      </c>
      <c r="AJ57" s="1">
        <f t="shared" si="30"/>
        <v>47133</v>
      </c>
      <c r="AK57" s="60">
        <f>IF($X57&lt;Input!$H$73,IF($X57&lt;Input!$G$73,IF($X57&lt;Input!$F$73,IF($X57&lt;Input!$E$73,IF($X57&lt;Input!$D$73,Input!$C$79,Input!$D$79),Input!$E$79),Input!$F$79),Input!$G$79),Input!$H$79)</f>
        <v>0</v>
      </c>
      <c r="AL57" s="190">
        <f>IF($A57&lt;Input!$H$80,IF($A57&lt;Input!$G$80,IF($A57&lt;Input!$F$80,IF($A57&lt;Input!$E$80,IF($A57&lt;Input!$D$80,Input!$C$81,Input!$D$81),Input!$E$81),Input!$F$81),Input!$G$81),Input!$H$81)</f>
        <v>0.9</v>
      </c>
      <c r="AM57" s="60">
        <f t="shared" si="11"/>
        <v>0</v>
      </c>
      <c r="AN57" s="60">
        <f t="shared" si="31"/>
        <v>31</v>
      </c>
      <c r="AO57" s="60">
        <f t="shared" si="12"/>
        <v>0</v>
      </c>
      <c r="AP57" s="60">
        <f>ROUND(AO57*AN57*Input!$C$3/365,0)</f>
        <v>0</v>
      </c>
      <c r="AQ57" s="61">
        <f>IF($A57&lt;=Input!$C$6,0,IF('120M'!AM57&lt;'120M'!AO57,'120M'!AM57-AP57,'120M'!AO57))</f>
        <v>0</v>
      </c>
      <c r="AR57" s="61">
        <f t="shared" si="13"/>
        <v>0</v>
      </c>
      <c r="AS57" s="60">
        <f t="shared" si="14"/>
        <v>0</v>
      </c>
      <c r="AT57" s="193"/>
      <c r="AU57" s="169">
        <v>53</v>
      </c>
      <c r="AV57" s="1">
        <f t="shared" si="32"/>
        <v>47133</v>
      </c>
      <c r="AW57" s="60">
        <f>IF($X57&lt;Input!$H$88,IF($X57&lt;Input!$G$88,IF($X57&lt;Input!$F$88,IF($X57&lt;Input!$E$88,IF($X57&lt;Input!$D$88,Input!$C$94,Input!$D$94),Input!$E$94),Input!$F$94),Input!$G$94),Input!$H$94)</f>
        <v>0</v>
      </c>
      <c r="AX57" s="190">
        <f>IF($A57&lt;Input!$H$95,IF($A57&lt;Input!$G$95,IF($A57&lt;Input!$F$95,IF($A57&lt;Input!$E$95,IF($A57&lt;Input!$D$95,Input!$C$96,Input!$D$96),Input!$E$96),Input!$F$96),Input!$G$96),Input!$H$96)</f>
        <v>0.9</v>
      </c>
      <c r="AY57" s="60">
        <f t="shared" si="15"/>
        <v>0</v>
      </c>
      <c r="AZ57" s="60">
        <f t="shared" si="33"/>
        <v>31</v>
      </c>
      <c r="BA57" s="60">
        <f t="shared" si="16"/>
        <v>0</v>
      </c>
      <c r="BB57" s="60">
        <f>ROUND(BA57*AZ57*Input!$C$3/365,0)</f>
        <v>0</v>
      </c>
      <c r="BC57" s="61">
        <f>IF($A57&lt;=Input!$C$6,0,IF('120M'!AY57&lt;'120M'!BA57,'120M'!AY57-BB57,'120M'!BA57))</f>
        <v>0</v>
      </c>
      <c r="BD57" s="61">
        <f t="shared" si="17"/>
        <v>0</v>
      </c>
      <c r="BE57" s="60">
        <f t="shared" si="18"/>
        <v>0</v>
      </c>
      <c r="BF57" s="193"/>
      <c r="BG57" s="169">
        <v>53</v>
      </c>
      <c r="BH57" s="1">
        <f t="shared" si="34"/>
        <v>47133</v>
      </c>
      <c r="BI57" s="60">
        <f>IF($X57&lt;Input!$H$103,IF($X57&lt;Input!$G$103,IF($X57&lt;Input!$F$103,IF($X57&lt;Input!$E$103,IF($X57&lt;Input!$D$103,Input!$C$109,Input!$D$109),Input!$E$109),Input!$F$109),Input!$G$109),Input!$H$109)</f>
        <v>0</v>
      </c>
      <c r="BJ57" s="190">
        <f>IF($A57&lt;Input!$H$110,IF($A57&lt;Input!$G$110,IF($A57&lt;Input!$F$110,IF($A57&lt;Input!$E$110,IF($A57&lt;Input!$D$110,Input!$C$111,Input!$D$111),Input!$E$111),Input!$F$111),Input!$G$111),Input!$H$111)</f>
        <v>0.9</v>
      </c>
      <c r="BK57" s="60">
        <f t="shared" si="19"/>
        <v>0</v>
      </c>
      <c r="BL57" s="60">
        <f t="shared" si="35"/>
        <v>31</v>
      </c>
      <c r="BM57" s="60">
        <f t="shared" si="20"/>
        <v>0</v>
      </c>
      <c r="BN57" s="60">
        <f>ROUND(BM57*BL57*Input!$C$3/365,0)</f>
        <v>0</v>
      </c>
      <c r="BO57" s="61">
        <f>IF($A57&lt;=Input!$C$6,0,IF('120M'!BK57&lt;'120M'!BM57,'120M'!BK57-BN57,'120M'!BM57))</f>
        <v>0</v>
      </c>
      <c r="BP57" s="61">
        <f t="shared" si="21"/>
        <v>0</v>
      </c>
      <c r="BQ57" s="60">
        <f t="shared" si="22"/>
        <v>0</v>
      </c>
      <c r="BR57" s="198"/>
    </row>
    <row r="58" spans="1:70" x14ac:dyDescent="0.25">
      <c r="A58" s="169">
        <v>54</v>
      </c>
      <c r="B58" s="1">
        <f t="shared" si="23"/>
        <v>47164</v>
      </c>
      <c r="C58" s="60">
        <f t="shared" si="1"/>
        <v>18940500</v>
      </c>
      <c r="D58" s="60">
        <f t="shared" si="2"/>
        <v>17046450</v>
      </c>
      <c r="E58" s="60">
        <f t="shared" si="24"/>
        <v>31</v>
      </c>
      <c r="F58" s="60">
        <f t="shared" si="25"/>
        <v>785798275</v>
      </c>
      <c r="G58" s="60">
        <f>ROUND(F58*E58*Input!$C$3/365,0)</f>
        <v>10010855</v>
      </c>
      <c r="H58" s="60">
        <f>IF($A58&lt;=Input!$C$6,0,IF('120M'!D58&lt;'120M'!F58,'120M'!D58-G58,'120M'!F58))</f>
        <v>7035595</v>
      </c>
      <c r="I58" s="60">
        <f t="shared" si="26"/>
        <v>17046450</v>
      </c>
      <c r="J58" s="60">
        <f t="shared" si="27"/>
        <v>778762680</v>
      </c>
      <c r="K58" s="202">
        <f>J58/Input!$K$5</f>
        <v>2.5958755999999998</v>
      </c>
      <c r="L58" s="232"/>
      <c r="M58" s="60">
        <f>IF($B58&lt;Input!$H$43,IF($B58&lt;Input!$G$43,IF($B58&lt;Input!$F$43,IF($B58&lt;Input!$E$43,IF($B58&lt;Input!$D$43,Input!$C$49,Input!$D$49),Input!$E$49),Input!$F$49),Input!$G$49),Input!$H$49)</f>
        <v>18940500</v>
      </c>
      <c r="N58" s="190">
        <f>IF($A58&lt;Input!$H$50,IF($A58&lt;Input!$G$50,IF($A58&lt;Input!$F$50,IF($A58&lt;Input!$E$50,IF($A58&lt;Input!$D$50,Input!$C$51,Input!$D$51),Input!$E$51),Input!$F$51),Input!$G$51),Input!$H$51)</f>
        <v>0.9</v>
      </c>
      <c r="O58" s="60">
        <f t="shared" si="36"/>
        <v>17046450</v>
      </c>
      <c r="P58" s="60">
        <f t="shared" si="37"/>
        <v>31</v>
      </c>
      <c r="Q58" s="60">
        <f t="shared" si="4"/>
        <v>785798275</v>
      </c>
      <c r="R58" s="60">
        <f>ROUND(Q58*$P58*Input!$C$3/365,0)</f>
        <v>10010855</v>
      </c>
      <c r="S58" s="60">
        <f>IF(A58&lt;=Input!$C$6,0,IF('120M'!O58&lt;'120M'!Q58,'120M'!O58-R58,'120M'!Q58))</f>
        <v>7035595</v>
      </c>
      <c r="T58" s="60">
        <f t="shared" si="5"/>
        <v>17046450</v>
      </c>
      <c r="U58" s="60">
        <f t="shared" si="6"/>
        <v>778762680</v>
      </c>
      <c r="V58" s="193"/>
      <c r="W58" s="169">
        <v>54</v>
      </c>
      <c r="X58" s="1">
        <f t="shared" si="28"/>
        <v>47164</v>
      </c>
      <c r="Y58" s="60">
        <f>IF($X58&lt;Input!$H$58,IF($X58&lt;Input!$G$58,IF($X58&lt;Input!$F$58,IF($X58&lt;Input!$E$58,IF($X58&lt;Input!$D$58,Input!$C$64,Input!$D$64),Input!$E$64),Input!$F$64),Input!$G$64),Input!$H$64)</f>
        <v>0</v>
      </c>
      <c r="Z58" s="190">
        <f>IF($A58&lt;Input!$H$65,IF($A58&lt;Input!$G$65,IF($A58&lt;Input!$F$65,IF($A58&lt;Input!$E$65,IF($A58&lt;Input!$D$65,Input!$C$66,Input!$D$66),Input!$E$66),Input!$F$66),Input!$G$66),Input!$H$66)</f>
        <v>0.9</v>
      </c>
      <c r="AA58" s="60">
        <f t="shared" si="7"/>
        <v>0</v>
      </c>
      <c r="AB58" s="60">
        <f t="shared" si="29"/>
        <v>31</v>
      </c>
      <c r="AC58" s="60">
        <f t="shared" si="8"/>
        <v>0</v>
      </c>
      <c r="AD58" s="60">
        <f>ROUND(AC58*AB58*Input!$C$3/365,0)</f>
        <v>0</v>
      </c>
      <c r="AE58" s="61">
        <f>IF($A58&lt;=Input!$C$6,0,IF('120M'!AA58&lt;'120M'!AC58,'120M'!AA58-AD58,'120M'!AC58))</f>
        <v>0</v>
      </c>
      <c r="AF58" s="61">
        <f t="shared" si="9"/>
        <v>0</v>
      </c>
      <c r="AG58" s="60">
        <f t="shared" si="10"/>
        <v>0</v>
      </c>
      <c r="AH58" s="193"/>
      <c r="AI58" s="169">
        <v>54</v>
      </c>
      <c r="AJ58" s="1">
        <f t="shared" si="30"/>
        <v>47164</v>
      </c>
      <c r="AK58" s="60">
        <f>IF($X58&lt;Input!$H$73,IF($X58&lt;Input!$G$73,IF($X58&lt;Input!$F$73,IF($X58&lt;Input!$E$73,IF($X58&lt;Input!$D$73,Input!$C$79,Input!$D$79),Input!$E$79),Input!$F$79),Input!$G$79),Input!$H$79)</f>
        <v>0</v>
      </c>
      <c r="AL58" s="190">
        <f>IF($A58&lt;Input!$H$80,IF($A58&lt;Input!$G$80,IF($A58&lt;Input!$F$80,IF($A58&lt;Input!$E$80,IF($A58&lt;Input!$D$80,Input!$C$81,Input!$D$81),Input!$E$81),Input!$F$81),Input!$G$81),Input!$H$81)</f>
        <v>0.9</v>
      </c>
      <c r="AM58" s="60">
        <f t="shared" si="11"/>
        <v>0</v>
      </c>
      <c r="AN58" s="60">
        <f t="shared" si="31"/>
        <v>31</v>
      </c>
      <c r="AO58" s="60">
        <f t="shared" si="12"/>
        <v>0</v>
      </c>
      <c r="AP58" s="60">
        <f>ROUND(AO58*AN58*Input!$C$3/365,0)</f>
        <v>0</v>
      </c>
      <c r="AQ58" s="61">
        <f>IF($A58&lt;=Input!$C$6,0,IF('120M'!AM58&lt;'120M'!AO58,'120M'!AM58-AP58,'120M'!AO58))</f>
        <v>0</v>
      </c>
      <c r="AR58" s="61">
        <f t="shared" si="13"/>
        <v>0</v>
      </c>
      <c r="AS58" s="60">
        <f t="shared" si="14"/>
        <v>0</v>
      </c>
      <c r="AT58" s="193"/>
      <c r="AU58" s="169">
        <v>54</v>
      </c>
      <c r="AV58" s="1">
        <f t="shared" si="32"/>
        <v>47164</v>
      </c>
      <c r="AW58" s="60">
        <f>IF($X58&lt;Input!$H$88,IF($X58&lt;Input!$G$88,IF($X58&lt;Input!$F$88,IF($X58&lt;Input!$E$88,IF($X58&lt;Input!$D$88,Input!$C$94,Input!$D$94),Input!$E$94),Input!$F$94),Input!$G$94),Input!$H$94)</f>
        <v>0</v>
      </c>
      <c r="AX58" s="190">
        <f>IF($A58&lt;Input!$H$95,IF($A58&lt;Input!$G$95,IF($A58&lt;Input!$F$95,IF($A58&lt;Input!$E$95,IF($A58&lt;Input!$D$95,Input!$C$96,Input!$D$96),Input!$E$96),Input!$F$96),Input!$G$96),Input!$H$96)</f>
        <v>0.9</v>
      </c>
      <c r="AY58" s="60">
        <f t="shared" si="15"/>
        <v>0</v>
      </c>
      <c r="AZ58" s="60">
        <f t="shared" si="33"/>
        <v>31</v>
      </c>
      <c r="BA58" s="60">
        <f t="shared" si="16"/>
        <v>0</v>
      </c>
      <c r="BB58" s="60">
        <f>ROUND(BA58*AZ58*Input!$C$3/365,0)</f>
        <v>0</v>
      </c>
      <c r="BC58" s="61">
        <f>IF($A58&lt;=Input!$C$6,0,IF('120M'!AY58&lt;'120M'!BA58,'120M'!AY58-BB58,'120M'!BA58))</f>
        <v>0</v>
      </c>
      <c r="BD58" s="61">
        <f t="shared" si="17"/>
        <v>0</v>
      </c>
      <c r="BE58" s="60">
        <f t="shared" si="18"/>
        <v>0</v>
      </c>
      <c r="BF58" s="193"/>
      <c r="BG58" s="169">
        <v>54</v>
      </c>
      <c r="BH58" s="1">
        <f t="shared" si="34"/>
        <v>47164</v>
      </c>
      <c r="BI58" s="60">
        <f>IF($X58&lt;Input!$H$103,IF($X58&lt;Input!$G$103,IF($X58&lt;Input!$F$103,IF($X58&lt;Input!$E$103,IF($X58&lt;Input!$D$103,Input!$C$109,Input!$D$109),Input!$E$109),Input!$F$109),Input!$G$109),Input!$H$109)</f>
        <v>0</v>
      </c>
      <c r="BJ58" s="190">
        <f>IF($A58&lt;Input!$H$110,IF($A58&lt;Input!$G$110,IF($A58&lt;Input!$F$110,IF($A58&lt;Input!$E$110,IF($A58&lt;Input!$D$110,Input!$C$111,Input!$D$111),Input!$E$111),Input!$F$111),Input!$G$111),Input!$H$111)</f>
        <v>0.9</v>
      </c>
      <c r="BK58" s="60">
        <f t="shared" si="19"/>
        <v>0</v>
      </c>
      <c r="BL58" s="60">
        <f t="shared" si="35"/>
        <v>31</v>
      </c>
      <c r="BM58" s="60">
        <f t="shared" si="20"/>
        <v>0</v>
      </c>
      <c r="BN58" s="60">
        <f>ROUND(BM58*BL58*Input!$C$3/365,0)</f>
        <v>0</v>
      </c>
      <c r="BO58" s="61">
        <f>IF($A58&lt;=Input!$C$6,0,IF('120M'!BK58&lt;'120M'!BM58,'120M'!BK58-BN58,'120M'!BM58))</f>
        <v>0</v>
      </c>
      <c r="BP58" s="61">
        <f t="shared" si="21"/>
        <v>0</v>
      </c>
      <c r="BQ58" s="60">
        <f t="shared" si="22"/>
        <v>0</v>
      </c>
      <c r="BR58" s="198"/>
    </row>
    <row r="59" spans="1:70" x14ac:dyDescent="0.25">
      <c r="A59" s="169">
        <v>55</v>
      </c>
      <c r="B59" s="1">
        <f t="shared" si="23"/>
        <v>47192</v>
      </c>
      <c r="C59" s="60">
        <f t="shared" si="1"/>
        <v>18940500</v>
      </c>
      <c r="D59" s="60">
        <f t="shared" si="2"/>
        <v>17046450</v>
      </c>
      <c r="E59" s="60">
        <f t="shared" si="24"/>
        <v>28</v>
      </c>
      <c r="F59" s="60">
        <f t="shared" si="25"/>
        <v>778762680</v>
      </c>
      <c r="G59" s="60">
        <f>ROUND(F59*E59*Input!$C$3/365,0)</f>
        <v>8961105</v>
      </c>
      <c r="H59" s="60">
        <f>IF($A59&lt;=Input!$C$6,0,IF('120M'!D59&lt;'120M'!F59,'120M'!D59-G59,'120M'!F59))</f>
        <v>8085345</v>
      </c>
      <c r="I59" s="60">
        <f t="shared" si="26"/>
        <v>17046450</v>
      </c>
      <c r="J59" s="60">
        <f t="shared" si="27"/>
        <v>770677335</v>
      </c>
      <c r="K59" s="202">
        <f>J59/Input!$K$5</f>
        <v>2.5689244499999999</v>
      </c>
      <c r="L59" s="232"/>
      <c r="M59" s="60">
        <f>IF($B59&lt;Input!$H$43,IF($B59&lt;Input!$G$43,IF($B59&lt;Input!$F$43,IF($B59&lt;Input!$E$43,IF($B59&lt;Input!$D$43,Input!$C$49,Input!$D$49),Input!$E$49),Input!$F$49),Input!$G$49),Input!$H$49)</f>
        <v>18940500</v>
      </c>
      <c r="N59" s="190">
        <f>IF($A59&lt;Input!$H$50,IF($A59&lt;Input!$G$50,IF($A59&lt;Input!$F$50,IF($A59&lt;Input!$E$50,IF($A59&lt;Input!$D$50,Input!$C$51,Input!$D$51),Input!$E$51),Input!$F$51),Input!$G$51),Input!$H$51)</f>
        <v>0.9</v>
      </c>
      <c r="O59" s="60">
        <f t="shared" si="36"/>
        <v>17046450</v>
      </c>
      <c r="P59" s="60">
        <f t="shared" si="37"/>
        <v>28</v>
      </c>
      <c r="Q59" s="60">
        <f t="shared" si="4"/>
        <v>778762680</v>
      </c>
      <c r="R59" s="60">
        <f>ROUND(Q59*$P59*Input!$C$3/365,0)</f>
        <v>8961105</v>
      </c>
      <c r="S59" s="60">
        <f>IF(A59&lt;=Input!$C$6,0,IF('120M'!O59&lt;'120M'!Q59,'120M'!O59-R59,'120M'!Q59))</f>
        <v>8085345</v>
      </c>
      <c r="T59" s="60">
        <f t="shared" si="5"/>
        <v>17046450</v>
      </c>
      <c r="U59" s="60">
        <f t="shared" si="6"/>
        <v>770677335</v>
      </c>
      <c r="V59" s="193"/>
      <c r="W59" s="169">
        <v>55</v>
      </c>
      <c r="X59" s="1">
        <f t="shared" si="28"/>
        <v>47192</v>
      </c>
      <c r="Y59" s="60">
        <f>IF($X59&lt;Input!$H$58,IF($X59&lt;Input!$G$58,IF($X59&lt;Input!$F$58,IF($X59&lt;Input!$E$58,IF($X59&lt;Input!$D$58,Input!$C$64,Input!$D$64),Input!$E$64),Input!$F$64),Input!$G$64),Input!$H$64)</f>
        <v>0</v>
      </c>
      <c r="Z59" s="190">
        <f>IF($A59&lt;Input!$H$65,IF($A59&lt;Input!$G$65,IF($A59&lt;Input!$F$65,IF($A59&lt;Input!$E$65,IF($A59&lt;Input!$D$65,Input!$C$66,Input!$D$66),Input!$E$66),Input!$F$66),Input!$G$66),Input!$H$66)</f>
        <v>0.9</v>
      </c>
      <c r="AA59" s="60">
        <f t="shared" si="7"/>
        <v>0</v>
      </c>
      <c r="AB59" s="60">
        <f t="shared" si="29"/>
        <v>28</v>
      </c>
      <c r="AC59" s="60">
        <f t="shared" si="8"/>
        <v>0</v>
      </c>
      <c r="AD59" s="60">
        <f>ROUND(AC59*AB59*Input!$C$3/365,0)</f>
        <v>0</v>
      </c>
      <c r="AE59" s="61">
        <f>IF($A59&lt;=Input!$C$6,0,IF('120M'!AA59&lt;'120M'!AC59,'120M'!AA59-AD59,'120M'!AC59))</f>
        <v>0</v>
      </c>
      <c r="AF59" s="61">
        <f t="shared" si="9"/>
        <v>0</v>
      </c>
      <c r="AG59" s="60">
        <f t="shared" si="10"/>
        <v>0</v>
      </c>
      <c r="AH59" s="193"/>
      <c r="AI59" s="169">
        <v>55</v>
      </c>
      <c r="AJ59" s="1">
        <f t="shared" si="30"/>
        <v>47192</v>
      </c>
      <c r="AK59" s="60">
        <f>IF($X59&lt;Input!$H$73,IF($X59&lt;Input!$G$73,IF($X59&lt;Input!$F$73,IF($X59&lt;Input!$E$73,IF($X59&lt;Input!$D$73,Input!$C$79,Input!$D$79),Input!$E$79),Input!$F$79),Input!$G$79),Input!$H$79)</f>
        <v>0</v>
      </c>
      <c r="AL59" s="190">
        <f>IF($A59&lt;Input!$H$80,IF($A59&lt;Input!$G$80,IF($A59&lt;Input!$F$80,IF($A59&lt;Input!$E$80,IF($A59&lt;Input!$D$80,Input!$C$81,Input!$D$81),Input!$E$81),Input!$F$81),Input!$G$81),Input!$H$81)</f>
        <v>0.9</v>
      </c>
      <c r="AM59" s="60">
        <f t="shared" si="11"/>
        <v>0</v>
      </c>
      <c r="AN59" s="60">
        <f t="shared" si="31"/>
        <v>28</v>
      </c>
      <c r="AO59" s="60">
        <f t="shared" si="12"/>
        <v>0</v>
      </c>
      <c r="AP59" s="60">
        <f>ROUND(AO59*AN59*Input!$C$3/365,0)</f>
        <v>0</v>
      </c>
      <c r="AQ59" s="61">
        <f>IF($A59&lt;=Input!$C$6,0,IF('120M'!AM59&lt;'120M'!AO59,'120M'!AM59-AP59,'120M'!AO59))</f>
        <v>0</v>
      </c>
      <c r="AR59" s="61">
        <f t="shared" si="13"/>
        <v>0</v>
      </c>
      <c r="AS59" s="60">
        <f t="shared" si="14"/>
        <v>0</v>
      </c>
      <c r="AT59" s="193"/>
      <c r="AU59" s="169">
        <v>55</v>
      </c>
      <c r="AV59" s="1">
        <f t="shared" si="32"/>
        <v>47192</v>
      </c>
      <c r="AW59" s="60">
        <f>IF($X59&lt;Input!$H$88,IF($X59&lt;Input!$G$88,IF($X59&lt;Input!$F$88,IF($X59&lt;Input!$E$88,IF($X59&lt;Input!$D$88,Input!$C$94,Input!$D$94),Input!$E$94),Input!$F$94),Input!$G$94),Input!$H$94)</f>
        <v>0</v>
      </c>
      <c r="AX59" s="190">
        <f>IF($A59&lt;Input!$H$95,IF($A59&lt;Input!$G$95,IF($A59&lt;Input!$F$95,IF($A59&lt;Input!$E$95,IF($A59&lt;Input!$D$95,Input!$C$96,Input!$D$96),Input!$E$96),Input!$F$96),Input!$G$96),Input!$H$96)</f>
        <v>0.9</v>
      </c>
      <c r="AY59" s="60">
        <f t="shared" si="15"/>
        <v>0</v>
      </c>
      <c r="AZ59" s="60">
        <f t="shared" si="33"/>
        <v>28</v>
      </c>
      <c r="BA59" s="60">
        <f t="shared" si="16"/>
        <v>0</v>
      </c>
      <c r="BB59" s="60">
        <f>ROUND(BA59*AZ59*Input!$C$3/365,0)</f>
        <v>0</v>
      </c>
      <c r="BC59" s="61">
        <f>IF($A59&lt;=Input!$C$6,0,IF('120M'!AY59&lt;'120M'!BA59,'120M'!AY59-BB59,'120M'!BA59))</f>
        <v>0</v>
      </c>
      <c r="BD59" s="61">
        <f t="shared" si="17"/>
        <v>0</v>
      </c>
      <c r="BE59" s="60">
        <f t="shared" si="18"/>
        <v>0</v>
      </c>
      <c r="BF59" s="193"/>
      <c r="BG59" s="169">
        <v>55</v>
      </c>
      <c r="BH59" s="1">
        <f t="shared" si="34"/>
        <v>47192</v>
      </c>
      <c r="BI59" s="60">
        <f>IF($X59&lt;Input!$H$103,IF($X59&lt;Input!$G$103,IF($X59&lt;Input!$F$103,IF($X59&lt;Input!$E$103,IF($X59&lt;Input!$D$103,Input!$C$109,Input!$D$109),Input!$E$109),Input!$F$109),Input!$G$109),Input!$H$109)</f>
        <v>0</v>
      </c>
      <c r="BJ59" s="190">
        <f>IF($A59&lt;Input!$H$110,IF($A59&lt;Input!$G$110,IF($A59&lt;Input!$F$110,IF($A59&lt;Input!$E$110,IF($A59&lt;Input!$D$110,Input!$C$111,Input!$D$111),Input!$E$111),Input!$F$111),Input!$G$111),Input!$H$111)</f>
        <v>0.9</v>
      </c>
      <c r="BK59" s="60">
        <f t="shared" si="19"/>
        <v>0</v>
      </c>
      <c r="BL59" s="60">
        <f t="shared" si="35"/>
        <v>28</v>
      </c>
      <c r="BM59" s="60">
        <f t="shared" si="20"/>
        <v>0</v>
      </c>
      <c r="BN59" s="60">
        <f>ROUND(BM59*BL59*Input!$C$3/365,0)</f>
        <v>0</v>
      </c>
      <c r="BO59" s="61">
        <f>IF($A59&lt;=Input!$C$6,0,IF('120M'!BK59&lt;'120M'!BM59,'120M'!BK59-BN59,'120M'!BM59))</f>
        <v>0</v>
      </c>
      <c r="BP59" s="61">
        <f t="shared" si="21"/>
        <v>0</v>
      </c>
      <c r="BQ59" s="60">
        <f t="shared" si="22"/>
        <v>0</v>
      </c>
      <c r="BR59" s="198"/>
    </row>
    <row r="60" spans="1:70" x14ac:dyDescent="0.25">
      <c r="A60" s="169">
        <v>56</v>
      </c>
      <c r="B60" s="1">
        <f t="shared" si="23"/>
        <v>47223</v>
      </c>
      <c r="C60" s="60">
        <f t="shared" si="1"/>
        <v>18940500</v>
      </c>
      <c r="D60" s="60">
        <f t="shared" si="2"/>
        <v>17046450</v>
      </c>
      <c r="E60" s="60">
        <f t="shared" si="24"/>
        <v>31</v>
      </c>
      <c r="F60" s="60">
        <f t="shared" si="25"/>
        <v>770677335</v>
      </c>
      <c r="G60" s="60">
        <f>ROUND(F60*E60*Input!$C$3/365,0)</f>
        <v>9818218</v>
      </c>
      <c r="H60" s="60">
        <f>IF($A60&lt;=Input!$C$6,0,IF('120M'!D60&lt;'120M'!F60,'120M'!D60-G60,'120M'!F60))</f>
        <v>7228232</v>
      </c>
      <c r="I60" s="60">
        <f t="shared" si="26"/>
        <v>17046450</v>
      </c>
      <c r="J60" s="60">
        <f t="shared" si="27"/>
        <v>763449103</v>
      </c>
      <c r="K60" s="202">
        <f>J60/Input!$K$5</f>
        <v>2.5448303433333335</v>
      </c>
      <c r="L60" s="232"/>
      <c r="M60" s="60">
        <f>IF($B60&lt;Input!$H$43,IF($B60&lt;Input!$G$43,IF($B60&lt;Input!$F$43,IF($B60&lt;Input!$E$43,IF($B60&lt;Input!$D$43,Input!$C$49,Input!$D$49),Input!$E$49),Input!$F$49),Input!$G$49),Input!$H$49)</f>
        <v>18940500</v>
      </c>
      <c r="N60" s="190">
        <f>IF($A60&lt;Input!$H$50,IF($A60&lt;Input!$G$50,IF($A60&lt;Input!$F$50,IF($A60&lt;Input!$E$50,IF($A60&lt;Input!$D$50,Input!$C$51,Input!$D$51),Input!$E$51),Input!$F$51),Input!$G$51),Input!$H$51)</f>
        <v>0.9</v>
      </c>
      <c r="O60" s="60">
        <f t="shared" si="36"/>
        <v>17046450</v>
      </c>
      <c r="P60" s="60">
        <f t="shared" si="37"/>
        <v>31</v>
      </c>
      <c r="Q60" s="60">
        <f t="shared" si="4"/>
        <v>770677335</v>
      </c>
      <c r="R60" s="60">
        <f>ROUND(Q60*$P60*Input!$C$3/365,0)</f>
        <v>9818218</v>
      </c>
      <c r="S60" s="60">
        <f>IF(A60&lt;=Input!$C$6,0,IF('120M'!O60&lt;'120M'!Q60,'120M'!O60-R60,'120M'!Q60))</f>
        <v>7228232</v>
      </c>
      <c r="T60" s="60">
        <f t="shared" si="5"/>
        <v>17046450</v>
      </c>
      <c r="U60" s="60">
        <f t="shared" si="6"/>
        <v>763449103</v>
      </c>
      <c r="V60" s="193"/>
      <c r="W60" s="169">
        <v>56</v>
      </c>
      <c r="X60" s="1">
        <f t="shared" si="28"/>
        <v>47223</v>
      </c>
      <c r="Y60" s="60">
        <f>IF($X60&lt;Input!$H$58,IF($X60&lt;Input!$G$58,IF($X60&lt;Input!$F$58,IF($X60&lt;Input!$E$58,IF($X60&lt;Input!$D$58,Input!$C$64,Input!$D$64),Input!$E$64),Input!$F$64),Input!$G$64),Input!$H$64)</f>
        <v>0</v>
      </c>
      <c r="Z60" s="190">
        <f>IF($A60&lt;Input!$H$65,IF($A60&lt;Input!$G$65,IF($A60&lt;Input!$F$65,IF($A60&lt;Input!$E$65,IF($A60&lt;Input!$D$65,Input!$C$66,Input!$D$66),Input!$E$66),Input!$F$66),Input!$G$66),Input!$H$66)</f>
        <v>0.9</v>
      </c>
      <c r="AA60" s="60">
        <f t="shared" si="7"/>
        <v>0</v>
      </c>
      <c r="AB60" s="60">
        <f t="shared" si="29"/>
        <v>31</v>
      </c>
      <c r="AC60" s="60">
        <f t="shared" si="8"/>
        <v>0</v>
      </c>
      <c r="AD60" s="60">
        <f>ROUND(AC60*AB60*Input!$C$3/365,0)</f>
        <v>0</v>
      </c>
      <c r="AE60" s="61">
        <f>IF($A60&lt;=Input!$C$6,0,IF('120M'!AA60&lt;'120M'!AC60,'120M'!AA60-AD60,'120M'!AC60))</f>
        <v>0</v>
      </c>
      <c r="AF60" s="61">
        <f t="shared" si="9"/>
        <v>0</v>
      </c>
      <c r="AG60" s="60">
        <f t="shared" si="10"/>
        <v>0</v>
      </c>
      <c r="AH60" s="193"/>
      <c r="AI60" s="169">
        <v>56</v>
      </c>
      <c r="AJ60" s="1">
        <f t="shared" si="30"/>
        <v>47223</v>
      </c>
      <c r="AK60" s="60">
        <f>IF($X60&lt;Input!$H$73,IF($X60&lt;Input!$G$73,IF($X60&lt;Input!$F$73,IF($X60&lt;Input!$E$73,IF($X60&lt;Input!$D$73,Input!$C$79,Input!$D$79),Input!$E$79),Input!$F$79),Input!$G$79),Input!$H$79)</f>
        <v>0</v>
      </c>
      <c r="AL60" s="190">
        <f>IF($A60&lt;Input!$H$80,IF($A60&lt;Input!$G$80,IF($A60&lt;Input!$F$80,IF($A60&lt;Input!$E$80,IF($A60&lt;Input!$D$80,Input!$C$81,Input!$D$81),Input!$E$81),Input!$F$81),Input!$G$81),Input!$H$81)</f>
        <v>0.9</v>
      </c>
      <c r="AM60" s="60">
        <f t="shared" si="11"/>
        <v>0</v>
      </c>
      <c r="AN60" s="60">
        <f t="shared" si="31"/>
        <v>31</v>
      </c>
      <c r="AO60" s="60">
        <f t="shared" si="12"/>
        <v>0</v>
      </c>
      <c r="AP60" s="60">
        <f>ROUND(AO60*AN60*Input!$C$3/365,0)</f>
        <v>0</v>
      </c>
      <c r="AQ60" s="61">
        <f>IF($A60&lt;=Input!$C$6,0,IF('120M'!AM60&lt;'120M'!AO60,'120M'!AM60-AP60,'120M'!AO60))</f>
        <v>0</v>
      </c>
      <c r="AR60" s="61">
        <f t="shared" si="13"/>
        <v>0</v>
      </c>
      <c r="AS60" s="60">
        <f t="shared" si="14"/>
        <v>0</v>
      </c>
      <c r="AT60" s="193"/>
      <c r="AU60" s="169">
        <v>56</v>
      </c>
      <c r="AV60" s="1">
        <f t="shared" si="32"/>
        <v>47223</v>
      </c>
      <c r="AW60" s="60">
        <f>IF($X60&lt;Input!$H$88,IF($X60&lt;Input!$G$88,IF($X60&lt;Input!$F$88,IF($X60&lt;Input!$E$88,IF($X60&lt;Input!$D$88,Input!$C$94,Input!$D$94),Input!$E$94),Input!$F$94),Input!$G$94),Input!$H$94)</f>
        <v>0</v>
      </c>
      <c r="AX60" s="190">
        <f>IF($A60&lt;Input!$H$95,IF($A60&lt;Input!$G$95,IF($A60&lt;Input!$F$95,IF($A60&lt;Input!$E$95,IF($A60&lt;Input!$D$95,Input!$C$96,Input!$D$96),Input!$E$96),Input!$F$96),Input!$G$96),Input!$H$96)</f>
        <v>0.9</v>
      </c>
      <c r="AY60" s="60">
        <f t="shared" si="15"/>
        <v>0</v>
      </c>
      <c r="AZ60" s="60">
        <f t="shared" si="33"/>
        <v>31</v>
      </c>
      <c r="BA60" s="60">
        <f t="shared" si="16"/>
        <v>0</v>
      </c>
      <c r="BB60" s="60">
        <f>ROUND(BA60*AZ60*Input!$C$3/365,0)</f>
        <v>0</v>
      </c>
      <c r="BC60" s="61">
        <f>IF($A60&lt;=Input!$C$6,0,IF('120M'!AY60&lt;'120M'!BA60,'120M'!AY60-BB60,'120M'!BA60))</f>
        <v>0</v>
      </c>
      <c r="BD60" s="61">
        <f t="shared" si="17"/>
        <v>0</v>
      </c>
      <c r="BE60" s="60">
        <f t="shared" si="18"/>
        <v>0</v>
      </c>
      <c r="BF60" s="193"/>
      <c r="BG60" s="169">
        <v>56</v>
      </c>
      <c r="BH60" s="1">
        <f t="shared" si="34"/>
        <v>47223</v>
      </c>
      <c r="BI60" s="60">
        <f>IF($X60&lt;Input!$H$103,IF($X60&lt;Input!$G$103,IF($X60&lt;Input!$F$103,IF($X60&lt;Input!$E$103,IF($X60&lt;Input!$D$103,Input!$C$109,Input!$D$109),Input!$E$109),Input!$F$109),Input!$G$109),Input!$H$109)</f>
        <v>0</v>
      </c>
      <c r="BJ60" s="190">
        <f>IF($A60&lt;Input!$H$110,IF($A60&lt;Input!$G$110,IF($A60&lt;Input!$F$110,IF($A60&lt;Input!$E$110,IF($A60&lt;Input!$D$110,Input!$C$111,Input!$D$111),Input!$E$111),Input!$F$111),Input!$G$111),Input!$H$111)</f>
        <v>0.9</v>
      </c>
      <c r="BK60" s="60">
        <f t="shared" si="19"/>
        <v>0</v>
      </c>
      <c r="BL60" s="60">
        <f t="shared" si="35"/>
        <v>31</v>
      </c>
      <c r="BM60" s="60">
        <f t="shared" si="20"/>
        <v>0</v>
      </c>
      <c r="BN60" s="60">
        <f>ROUND(BM60*BL60*Input!$C$3/365,0)</f>
        <v>0</v>
      </c>
      <c r="BO60" s="61">
        <f>IF($A60&lt;=Input!$C$6,0,IF('120M'!BK60&lt;'120M'!BM60,'120M'!BK60-BN60,'120M'!BM60))</f>
        <v>0</v>
      </c>
      <c r="BP60" s="61">
        <f t="shared" si="21"/>
        <v>0</v>
      </c>
      <c r="BQ60" s="60">
        <f t="shared" si="22"/>
        <v>0</v>
      </c>
      <c r="BR60" s="198"/>
    </row>
    <row r="61" spans="1:70" x14ac:dyDescent="0.25">
      <c r="A61" s="169">
        <v>57</v>
      </c>
      <c r="B61" s="1">
        <f t="shared" si="23"/>
        <v>47253</v>
      </c>
      <c r="C61" s="60">
        <f t="shared" si="1"/>
        <v>18940500</v>
      </c>
      <c r="D61" s="60">
        <f t="shared" si="2"/>
        <v>17046450</v>
      </c>
      <c r="E61" s="60">
        <f t="shared" si="24"/>
        <v>30</v>
      </c>
      <c r="F61" s="60">
        <f t="shared" si="25"/>
        <v>763449103</v>
      </c>
      <c r="G61" s="60">
        <f>ROUND(F61*E61*Input!$C$3/365,0)</f>
        <v>9412386</v>
      </c>
      <c r="H61" s="60">
        <f>IF($A61&lt;=Input!$C$6,0,IF('120M'!D61&lt;'120M'!F61,'120M'!D61-G61,'120M'!F61))</f>
        <v>7634064</v>
      </c>
      <c r="I61" s="60">
        <f t="shared" si="26"/>
        <v>17046450</v>
      </c>
      <c r="J61" s="60">
        <f t="shared" si="27"/>
        <v>755815039</v>
      </c>
      <c r="K61" s="202">
        <f>J61/Input!$K$5</f>
        <v>2.5193834633333334</v>
      </c>
      <c r="L61" s="232"/>
      <c r="M61" s="60">
        <f>IF($B61&lt;Input!$H$43,IF($B61&lt;Input!$G$43,IF($B61&lt;Input!$F$43,IF($B61&lt;Input!$E$43,IF($B61&lt;Input!$D$43,Input!$C$49,Input!$D$49),Input!$E$49),Input!$F$49),Input!$G$49),Input!$H$49)</f>
        <v>18940500</v>
      </c>
      <c r="N61" s="190">
        <f>IF($A61&lt;Input!$H$50,IF($A61&lt;Input!$G$50,IF($A61&lt;Input!$F$50,IF($A61&lt;Input!$E$50,IF($A61&lt;Input!$D$50,Input!$C$51,Input!$D$51),Input!$E$51),Input!$F$51),Input!$G$51),Input!$H$51)</f>
        <v>0.9</v>
      </c>
      <c r="O61" s="60">
        <f t="shared" si="36"/>
        <v>17046450</v>
      </c>
      <c r="P61" s="60">
        <f t="shared" si="37"/>
        <v>30</v>
      </c>
      <c r="Q61" s="60">
        <f t="shared" si="4"/>
        <v>763449103</v>
      </c>
      <c r="R61" s="60">
        <f>ROUND(Q61*$P61*Input!$C$3/365,0)</f>
        <v>9412386</v>
      </c>
      <c r="S61" s="60">
        <f>IF(A61&lt;=Input!$C$6,0,IF('120M'!O61&lt;'120M'!Q61,'120M'!O61-R61,'120M'!Q61))</f>
        <v>7634064</v>
      </c>
      <c r="T61" s="60">
        <f t="shared" si="5"/>
        <v>17046450</v>
      </c>
      <c r="U61" s="60">
        <f t="shared" si="6"/>
        <v>755815039</v>
      </c>
      <c r="V61" s="193"/>
      <c r="W61" s="169">
        <v>57</v>
      </c>
      <c r="X61" s="1">
        <f t="shared" si="28"/>
        <v>47253</v>
      </c>
      <c r="Y61" s="60">
        <f>IF($X61&lt;Input!$H$58,IF($X61&lt;Input!$G$58,IF($X61&lt;Input!$F$58,IF($X61&lt;Input!$E$58,IF($X61&lt;Input!$D$58,Input!$C$64,Input!$D$64),Input!$E$64),Input!$F$64),Input!$G$64),Input!$H$64)</f>
        <v>0</v>
      </c>
      <c r="Z61" s="190">
        <f>IF($A61&lt;Input!$H$65,IF($A61&lt;Input!$G$65,IF($A61&lt;Input!$F$65,IF($A61&lt;Input!$E$65,IF($A61&lt;Input!$D$65,Input!$C$66,Input!$D$66),Input!$E$66),Input!$F$66),Input!$G$66),Input!$H$66)</f>
        <v>0.9</v>
      </c>
      <c r="AA61" s="60">
        <f t="shared" si="7"/>
        <v>0</v>
      </c>
      <c r="AB61" s="60">
        <f t="shared" si="29"/>
        <v>30</v>
      </c>
      <c r="AC61" s="60">
        <f t="shared" si="8"/>
        <v>0</v>
      </c>
      <c r="AD61" s="60">
        <f>ROUND(AC61*AB61*Input!$C$3/365,0)</f>
        <v>0</v>
      </c>
      <c r="AE61" s="61">
        <f>IF($A61&lt;=Input!$C$6,0,IF('120M'!AA61&lt;'120M'!AC61,'120M'!AA61-AD61,'120M'!AC61))</f>
        <v>0</v>
      </c>
      <c r="AF61" s="61">
        <f t="shared" si="9"/>
        <v>0</v>
      </c>
      <c r="AG61" s="60">
        <f t="shared" si="10"/>
        <v>0</v>
      </c>
      <c r="AH61" s="193"/>
      <c r="AI61" s="169">
        <v>57</v>
      </c>
      <c r="AJ61" s="1">
        <f t="shared" si="30"/>
        <v>47253</v>
      </c>
      <c r="AK61" s="60">
        <f>IF($X61&lt;Input!$H$73,IF($X61&lt;Input!$G$73,IF($X61&lt;Input!$F$73,IF($X61&lt;Input!$E$73,IF($X61&lt;Input!$D$73,Input!$C$79,Input!$D$79),Input!$E$79),Input!$F$79),Input!$G$79),Input!$H$79)</f>
        <v>0</v>
      </c>
      <c r="AL61" s="190">
        <f>IF($A61&lt;Input!$H$80,IF($A61&lt;Input!$G$80,IF($A61&lt;Input!$F$80,IF($A61&lt;Input!$E$80,IF($A61&lt;Input!$D$80,Input!$C$81,Input!$D$81),Input!$E$81),Input!$F$81),Input!$G$81),Input!$H$81)</f>
        <v>0.9</v>
      </c>
      <c r="AM61" s="60">
        <f t="shared" si="11"/>
        <v>0</v>
      </c>
      <c r="AN61" s="60">
        <f t="shared" si="31"/>
        <v>30</v>
      </c>
      <c r="AO61" s="60">
        <f t="shared" si="12"/>
        <v>0</v>
      </c>
      <c r="AP61" s="60">
        <f>ROUND(AO61*AN61*Input!$C$3/365,0)</f>
        <v>0</v>
      </c>
      <c r="AQ61" s="61">
        <f>IF($A61&lt;=Input!$C$6,0,IF('120M'!AM61&lt;'120M'!AO61,'120M'!AM61-AP61,'120M'!AO61))</f>
        <v>0</v>
      </c>
      <c r="AR61" s="61">
        <f t="shared" si="13"/>
        <v>0</v>
      </c>
      <c r="AS61" s="60">
        <f t="shared" si="14"/>
        <v>0</v>
      </c>
      <c r="AT61" s="193"/>
      <c r="AU61" s="169">
        <v>57</v>
      </c>
      <c r="AV61" s="1">
        <f t="shared" si="32"/>
        <v>47253</v>
      </c>
      <c r="AW61" s="60">
        <f>IF($X61&lt;Input!$H$88,IF($X61&lt;Input!$G$88,IF($X61&lt;Input!$F$88,IF($X61&lt;Input!$E$88,IF($X61&lt;Input!$D$88,Input!$C$94,Input!$D$94),Input!$E$94),Input!$F$94),Input!$G$94),Input!$H$94)</f>
        <v>0</v>
      </c>
      <c r="AX61" s="190">
        <f>IF($A61&lt;Input!$H$95,IF($A61&lt;Input!$G$95,IF($A61&lt;Input!$F$95,IF($A61&lt;Input!$E$95,IF($A61&lt;Input!$D$95,Input!$C$96,Input!$D$96),Input!$E$96),Input!$F$96),Input!$G$96),Input!$H$96)</f>
        <v>0.9</v>
      </c>
      <c r="AY61" s="60">
        <f t="shared" si="15"/>
        <v>0</v>
      </c>
      <c r="AZ61" s="60">
        <f t="shared" si="33"/>
        <v>30</v>
      </c>
      <c r="BA61" s="60">
        <f t="shared" si="16"/>
        <v>0</v>
      </c>
      <c r="BB61" s="60">
        <f>ROUND(BA61*AZ61*Input!$C$3/365,0)</f>
        <v>0</v>
      </c>
      <c r="BC61" s="61">
        <f>IF($A61&lt;=Input!$C$6,0,IF('120M'!AY61&lt;'120M'!BA61,'120M'!AY61-BB61,'120M'!BA61))</f>
        <v>0</v>
      </c>
      <c r="BD61" s="61">
        <f t="shared" si="17"/>
        <v>0</v>
      </c>
      <c r="BE61" s="60">
        <f t="shared" si="18"/>
        <v>0</v>
      </c>
      <c r="BF61" s="193"/>
      <c r="BG61" s="169">
        <v>57</v>
      </c>
      <c r="BH61" s="1">
        <f t="shared" si="34"/>
        <v>47253</v>
      </c>
      <c r="BI61" s="60">
        <f>IF($X61&lt;Input!$H$103,IF($X61&lt;Input!$G$103,IF($X61&lt;Input!$F$103,IF($X61&lt;Input!$E$103,IF($X61&lt;Input!$D$103,Input!$C$109,Input!$D$109),Input!$E$109),Input!$F$109),Input!$G$109),Input!$H$109)</f>
        <v>0</v>
      </c>
      <c r="BJ61" s="190">
        <f>IF($A61&lt;Input!$H$110,IF($A61&lt;Input!$G$110,IF($A61&lt;Input!$F$110,IF($A61&lt;Input!$E$110,IF($A61&lt;Input!$D$110,Input!$C$111,Input!$D$111),Input!$E$111),Input!$F$111),Input!$G$111),Input!$H$111)</f>
        <v>0.9</v>
      </c>
      <c r="BK61" s="60">
        <f t="shared" si="19"/>
        <v>0</v>
      </c>
      <c r="BL61" s="60">
        <f t="shared" si="35"/>
        <v>30</v>
      </c>
      <c r="BM61" s="60">
        <f t="shared" si="20"/>
        <v>0</v>
      </c>
      <c r="BN61" s="60">
        <f>ROUND(BM61*BL61*Input!$C$3/365,0)</f>
        <v>0</v>
      </c>
      <c r="BO61" s="61">
        <f>IF($A61&lt;=Input!$C$6,0,IF('120M'!BK61&lt;'120M'!BM61,'120M'!BK61-BN61,'120M'!BM61))</f>
        <v>0</v>
      </c>
      <c r="BP61" s="61">
        <f t="shared" si="21"/>
        <v>0</v>
      </c>
      <c r="BQ61" s="60">
        <f t="shared" si="22"/>
        <v>0</v>
      </c>
      <c r="BR61" s="198"/>
    </row>
    <row r="62" spans="1:70" x14ac:dyDescent="0.25">
      <c r="A62" s="169">
        <v>58</v>
      </c>
      <c r="B62" s="1">
        <f t="shared" si="23"/>
        <v>47284</v>
      </c>
      <c r="C62" s="60">
        <f t="shared" si="1"/>
        <v>18940500</v>
      </c>
      <c r="D62" s="60">
        <f t="shared" si="2"/>
        <v>17046450</v>
      </c>
      <c r="E62" s="60">
        <f t="shared" si="24"/>
        <v>31</v>
      </c>
      <c r="F62" s="60">
        <f t="shared" si="25"/>
        <v>755815039</v>
      </c>
      <c r="G62" s="60">
        <f>ROUND(F62*E62*Input!$C$3/365,0)</f>
        <v>9628877</v>
      </c>
      <c r="H62" s="60">
        <f>IF($A62&lt;=Input!$C$6,0,IF('120M'!D62&lt;'120M'!F62,'120M'!D62-G62,'120M'!F62))</f>
        <v>7417573</v>
      </c>
      <c r="I62" s="60">
        <f t="shared" si="26"/>
        <v>17046450</v>
      </c>
      <c r="J62" s="60">
        <f t="shared" si="27"/>
        <v>748397466</v>
      </c>
      <c r="K62" s="202">
        <f>J62/Input!$K$5</f>
        <v>2.4946582199999998</v>
      </c>
      <c r="L62" s="232"/>
      <c r="M62" s="60">
        <f>IF($B62&lt;Input!$H$43,IF($B62&lt;Input!$G$43,IF($B62&lt;Input!$F$43,IF($B62&lt;Input!$E$43,IF($B62&lt;Input!$D$43,Input!$C$49,Input!$D$49),Input!$E$49),Input!$F$49),Input!$G$49),Input!$H$49)</f>
        <v>18940500</v>
      </c>
      <c r="N62" s="190">
        <f>IF($A62&lt;Input!$H$50,IF($A62&lt;Input!$G$50,IF($A62&lt;Input!$F$50,IF($A62&lt;Input!$E$50,IF($A62&lt;Input!$D$50,Input!$C$51,Input!$D$51),Input!$E$51),Input!$F$51),Input!$G$51),Input!$H$51)</f>
        <v>0.9</v>
      </c>
      <c r="O62" s="60">
        <f t="shared" si="36"/>
        <v>17046450</v>
      </c>
      <c r="P62" s="60">
        <f t="shared" si="37"/>
        <v>31</v>
      </c>
      <c r="Q62" s="60">
        <f t="shared" si="4"/>
        <v>755815039</v>
      </c>
      <c r="R62" s="60">
        <f>ROUND(Q62*$P62*Input!$C$3/365,0)</f>
        <v>9628877</v>
      </c>
      <c r="S62" s="60">
        <f>IF(A62&lt;=Input!$C$6,0,IF('120M'!O62&lt;'120M'!Q62,'120M'!O62-R62,'120M'!Q62))</f>
        <v>7417573</v>
      </c>
      <c r="T62" s="60">
        <f t="shared" si="5"/>
        <v>17046450</v>
      </c>
      <c r="U62" s="60">
        <f t="shared" si="6"/>
        <v>748397466</v>
      </c>
      <c r="V62" s="193"/>
      <c r="W62" s="169">
        <v>58</v>
      </c>
      <c r="X62" s="1">
        <f t="shared" si="28"/>
        <v>47284</v>
      </c>
      <c r="Y62" s="60">
        <f>IF($X62&lt;Input!$H$58,IF($X62&lt;Input!$G$58,IF($X62&lt;Input!$F$58,IF($X62&lt;Input!$E$58,IF($X62&lt;Input!$D$58,Input!$C$64,Input!$D$64),Input!$E$64),Input!$F$64),Input!$G$64),Input!$H$64)</f>
        <v>0</v>
      </c>
      <c r="Z62" s="190">
        <f>IF($A62&lt;Input!$H$65,IF($A62&lt;Input!$G$65,IF($A62&lt;Input!$F$65,IF($A62&lt;Input!$E$65,IF($A62&lt;Input!$D$65,Input!$C$66,Input!$D$66),Input!$E$66),Input!$F$66),Input!$G$66),Input!$H$66)</f>
        <v>0.9</v>
      </c>
      <c r="AA62" s="60">
        <f t="shared" si="7"/>
        <v>0</v>
      </c>
      <c r="AB62" s="60">
        <f t="shared" si="29"/>
        <v>31</v>
      </c>
      <c r="AC62" s="60">
        <f t="shared" si="8"/>
        <v>0</v>
      </c>
      <c r="AD62" s="60">
        <f>ROUND(AC62*AB62*Input!$C$3/365,0)</f>
        <v>0</v>
      </c>
      <c r="AE62" s="61">
        <f>IF($A62&lt;=Input!$C$6,0,IF('120M'!AA62&lt;'120M'!AC62,'120M'!AA62-AD62,'120M'!AC62))</f>
        <v>0</v>
      </c>
      <c r="AF62" s="61">
        <f t="shared" si="9"/>
        <v>0</v>
      </c>
      <c r="AG62" s="60">
        <f t="shared" si="10"/>
        <v>0</v>
      </c>
      <c r="AH62" s="193"/>
      <c r="AI62" s="169">
        <v>58</v>
      </c>
      <c r="AJ62" s="1">
        <f t="shared" si="30"/>
        <v>47284</v>
      </c>
      <c r="AK62" s="60">
        <f>IF($X62&lt;Input!$H$73,IF($X62&lt;Input!$G$73,IF($X62&lt;Input!$F$73,IF($X62&lt;Input!$E$73,IF($X62&lt;Input!$D$73,Input!$C$79,Input!$D$79),Input!$E$79),Input!$F$79),Input!$G$79),Input!$H$79)</f>
        <v>0</v>
      </c>
      <c r="AL62" s="190">
        <f>IF($A62&lt;Input!$H$80,IF($A62&lt;Input!$G$80,IF($A62&lt;Input!$F$80,IF($A62&lt;Input!$E$80,IF($A62&lt;Input!$D$80,Input!$C$81,Input!$D$81),Input!$E$81),Input!$F$81),Input!$G$81),Input!$H$81)</f>
        <v>0.9</v>
      </c>
      <c r="AM62" s="60">
        <f t="shared" si="11"/>
        <v>0</v>
      </c>
      <c r="AN62" s="60">
        <f t="shared" si="31"/>
        <v>31</v>
      </c>
      <c r="AO62" s="60">
        <f t="shared" si="12"/>
        <v>0</v>
      </c>
      <c r="AP62" s="60">
        <f>ROUND(AO62*AN62*Input!$C$3/365,0)</f>
        <v>0</v>
      </c>
      <c r="AQ62" s="61">
        <f>IF($A62&lt;=Input!$C$6,0,IF('120M'!AM62&lt;'120M'!AO62,'120M'!AM62-AP62,'120M'!AO62))</f>
        <v>0</v>
      </c>
      <c r="AR62" s="61">
        <f t="shared" si="13"/>
        <v>0</v>
      </c>
      <c r="AS62" s="60">
        <f t="shared" si="14"/>
        <v>0</v>
      </c>
      <c r="AT62" s="193"/>
      <c r="AU62" s="169">
        <v>58</v>
      </c>
      <c r="AV62" s="1">
        <f t="shared" si="32"/>
        <v>47284</v>
      </c>
      <c r="AW62" s="60">
        <f>IF($X62&lt;Input!$H$88,IF($X62&lt;Input!$G$88,IF($X62&lt;Input!$F$88,IF($X62&lt;Input!$E$88,IF($X62&lt;Input!$D$88,Input!$C$94,Input!$D$94),Input!$E$94),Input!$F$94),Input!$G$94),Input!$H$94)</f>
        <v>0</v>
      </c>
      <c r="AX62" s="190">
        <f>IF($A62&lt;Input!$H$95,IF($A62&lt;Input!$G$95,IF($A62&lt;Input!$F$95,IF($A62&lt;Input!$E$95,IF($A62&lt;Input!$D$95,Input!$C$96,Input!$D$96),Input!$E$96),Input!$F$96),Input!$G$96),Input!$H$96)</f>
        <v>0.9</v>
      </c>
      <c r="AY62" s="60">
        <f t="shared" si="15"/>
        <v>0</v>
      </c>
      <c r="AZ62" s="60">
        <f t="shared" si="33"/>
        <v>31</v>
      </c>
      <c r="BA62" s="60">
        <f t="shared" si="16"/>
        <v>0</v>
      </c>
      <c r="BB62" s="60">
        <f>ROUND(BA62*AZ62*Input!$C$3/365,0)</f>
        <v>0</v>
      </c>
      <c r="BC62" s="61">
        <f>IF($A62&lt;=Input!$C$6,0,IF('120M'!AY62&lt;'120M'!BA62,'120M'!AY62-BB62,'120M'!BA62))</f>
        <v>0</v>
      </c>
      <c r="BD62" s="61">
        <f t="shared" si="17"/>
        <v>0</v>
      </c>
      <c r="BE62" s="60">
        <f t="shared" si="18"/>
        <v>0</v>
      </c>
      <c r="BF62" s="193"/>
      <c r="BG62" s="169">
        <v>58</v>
      </c>
      <c r="BH62" s="1">
        <f t="shared" si="34"/>
        <v>47284</v>
      </c>
      <c r="BI62" s="60">
        <f>IF($X62&lt;Input!$H$103,IF($X62&lt;Input!$G$103,IF($X62&lt;Input!$F$103,IF($X62&lt;Input!$E$103,IF($X62&lt;Input!$D$103,Input!$C$109,Input!$D$109),Input!$E$109),Input!$F$109),Input!$G$109),Input!$H$109)</f>
        <v>0</v>
      </c>
      <c r="BJ62" s="190">
        <f>IF($A62&lt;Input!$H$110,IF($A62&lt;Input!$G$110,IF($A62&lt;Input!$F$110,IF($A62&lt;Input!$E$110,IF($A62&lt;Input!$D$110,Input!$C$111,Input!$D$111),Input!$E$111),Input!$F$111),Input!$G$111),Input!$H$111)</f>
        <v>0.9</v>
      </c>
      <c r="BK62" s="60">
        <f t="shared" si="19"/>
        <v>0</v>
      </c>
      <c r="BL62" s="60">
        <f t="shared" si="35"/>
        <v>31</v>
      </c>
      <c r="BM62" s="60">
        <f t="shared" si="20"/>
        <v>0</v>
      </c>
      <c r="BN62" s="60">
        <f>ROUND(BM62*BL62*Input!$C$3/365,0)</f>
        <v>0</v>
      </c>
      <c r="BO62" s="61">
        <f>IF($A62&lt;=Input!$C$6,0,IF('120M'!BK62&lt;'120M'!BM62,'120M'!BK62-BN62,'120M'!BM62))</f>
        <v>0</v>
      </c>
      <c r="BP62" s="61">
        <f t="shared" si="21"/>
        <v>0</v>
      </c>
      <c r="BQ62" s="60">
        <f t="shared" si="22"/>
        <v>0</v>
      </c>
      <c r="BR62" s="198"/>
    </row>
    <row r="63" spans="1:70" x14ac:dyDescent="0.25">
      <c r="A63" s="169">
        <v>59</v>
      </c>
      <c r="B63" s="1">
        <f t="shared" si="23"/>
        <v>47314</v>
      </c>
      <c r="C63" s="60">
        <f t="shared" si="1"/>
        <v>18940500</v>
      </c>
      <c r="D63" s="60">
        <f t="shared" si="2"/>
        <v>17046450</v>
      </c>
      <c r="E63" s="60">
        <f t="shared" si="24"/>
        <v>30</v>
      </c>
      <c r="F63" s="60">
        <f t="shared" si="25"/>
        <v>748397466</v>
      </c>
      <c r="G63" s="60">
        <f>ROUND(F63*E63*Input!$C$3/365,0)</f>
        <v>9226818</v>
      </c>
      <c r="H63" s="60">
        <f>IF($A63&lt;=Input!$C$6,0,IF('120M'!D63&lt;'120M'!F63,'120M'!D63-G63,'120M'!F63))</f>
        <v>7819632</v>
      </c>
      <c r="I63" s="60">
        <f t="shared" si="26"/>
        <v>17046450</v>
      </c>
      <c r="J63" s="60">
        <f t="shared" si="27"/>
        <v>740577834</v>
      </c>
      <c r="K63" s="202">
        <f>J63/Input!$K$5</f>
        <v>2.4685927799999998</v>
      </c>
      <c r="L63" s="232"/>
      <c r="M63" s="60">
        <f>IF($B63&lt;Input!$H$43,IF($B63&lt;Input!$G$43,IF($B63&lt;Input!$F$43,IF($B63&lt;Input!$E$43,IF($B63&lt;Input!$D$43,Input!$C$49,Input!$D$49),Input!$E$49),Input!$F$49),Input!$G$49),Input!$H$49)</f>
        <v>18940500</v>
      </c>
      <c r="N63" s="190">
        <f>IF($A63&lt;Input!$H$50,IF($A63&lt;Input!$G$50,IF($A63&lt;Input!$F$50,IF($A63&lt;Input!$E$50,IF($A63&lt;Input!$D$50,Input!$C$51,Input!$D$51),Input!$E$51),Input!$F$51),Input!$G$51),Input!$H$51)</f>
        <v>0.9</v>
      </c>
      <c r="O63" s="60">
        <f t="shared" si="36"/>
        <v>17046450</v>
      </c>
      <c r="P63" s="60">
        <f t="shared" si="37"/>
        <v>30</v>
      </c>
      <c r="Q63" s="60">
        <f t="shared" si="4"/>
        <v>748397466</v>
      </c>
      <c r="R63" s="60">
        <f>ROUND(Q63*$P63*Input!$C$3/365,0)</f>
        <v>9226818</v>
      </c>
      <c r="S63" s="60">
        <f>IF(A63&lt;=Input!$C$6,0,IF('120M'!O63&lt;'120M'!Q63,'120M'!O63-R63,'120M'!Q63))</f>
        <v>7819632</v>
      </c>
      <c r="T63" s="60">
        <f t="shared" si="5"/>
        <v>17046450</v>
      </c>
      <c r="U63" s="60">
        <f t="shared" si="6"/>
        <v>740577834</v>
      </c>
      <c r="V63" s="193"/>
      <c r="W63" s="169">
        <v>59</v>
      </c>
      <c r="X63" s="1">
        <f t="shared" si="28"/>
        <v>47314</v>
      </c>
      <c r="Y63" s="60">
        <f>IF($X63&lt;Input!$H$58,IF($X63&lt;Input!$G$58,IF($X63&lt;Input!$F$58,IF($X63&lt;Input!$E$58,IF($X63&lt;Input!$D$58,Input!$C$64,Input!$D$64),Input!$E$64),Input!$F$64),Input!$G$64),Input!$H$64)</f>
        <v>0</v>
      </c>
      <c r="Z63" s="190">
        <f>IF($A63&lt;Input!$H$65,IF($A63&lt;Input!$G$65,IF($A63&lt;Input!$F$65,IF($A63&lt;Input!$E$65,IF($A63&lt;Input!$D$65,Input!$C$66,Input!$D$66),Input!$E$66),Input!$F$66),Input!$G$66),Input!$H$66)</f>
        <v>0.9</v>
      </c>
      <c r="AA63" s="60">
        <f t="shared" si="7"/>
        <v>0</v>
      </c>
      <c r="AB63" s="60">
        <f t="shared" si="29"/>
        <v>30</v>
      </c>
      <c r="AC63" s="60">
        <f t="shared" si="8"/>
        <v>0</v>
      </c>
      <c r="AD63" s="60">
        <f>ROUND(AC63*AB63*Input!$C$3/365,0)</f>
        <v>0</v>
      </c>
      <c r="AE63" s="61">
        <f>IF($A63&lt;=Input!$C$6,0,IF('120M'!AA63&lt;'120M'!AC63,'120M'!AA63-AD63,'120M'!AC63))</f>
        <v>0</v>
      </c>
      <c r="AF63" s="61">
        <f t="shared" si="9"/>
        <v>0</v>
      </c>
      <c r="AG63" s="60">
        <f t="shared" si="10"/>
        <v>0</v>
      </c>
      <c r="AH63" s="193"/>
      <c r="AI63" s="169">
        <v>59</v>
      </c>
      <c r="AJ63" s="1">
        <f t="shared" si="30"/>
        <v>47314</v>
      </c>
      <c r="AK63" s="60">
        <f>IF($X63&lt;Input!$H$73,IF($X63&lt;Input!$G$73,IF($X63&lt;Input!$F$73,IF($X63&lt;Input!$E$73,IF($X63&lt;Input!$D$73,Input!$C$79,Input!$D$79),Input!$E$79),Input!$F$79),Input!$G$79),Input!$H$79)</f>
        <v>0</v>
      </c>
      <c r="AL63" s="190">
        <f>IF($A63&lt;Input!$H$80,IF($A63&lt;Input!$G$80,IF($A63&lt;Input!$F$80,IF($A63&lt;Input!$E$80,IF($A63&lt;Input!$D$80,Input!$C$81,Input!$D$81),Input!$E$81),Input!$F$81),Input!$G$81),Input!$H$81)</f>
        <v>0.9</v>
      </c>
      <c r="AM63" s="60">
        <f t="shared" si="11"/>
        <v>0</v>
      </c>
      <c r="AN63" s="60">
        <f t="shared" si="31"/>
        <v>30</v>
      </c>
      <c r="AO63" s="60">
        <f t="shared" si="12"/>
        <v>0</v>
      </c>
      <c r="AP63" s="60">
        <f>ROUND(AO63*AN63*Input!$C$3/365,0)</f>
        <v>0</v>
      </c>
      <c r="AQ63" s="61">
        <f>IF($A63&lt;=Input!$C$6,0,IF('120M'!AM63&lt;'120M'!AO63,'120M'!AM63-AP63,'120M'!AO63))</f>
        <v>0</v>
      </c>
      <c r="AR63" s="61">
        <f t="shared" si="13"/>
        <v>0</v>
      </c>
      <c r="AS63" s="60">
        <f t="shared" si="14"/>
        <v>0</v>
      </c>
      <c r="AT63" s="193"/>
      <c r="AU63" s="169">
        <v>59</v>
      </c>
      <c r="AV63" s="1">
        <f t="shared" si="32"/>
        <v>47314</v>
      </c>
      <c r="AW63" s="60">
        <f>IF($X63&lt;Input!$H$88,IF($X63&lt;Input!$G$88,IF($X63&lt;Input!$F$88,IF($X63&lt;Input!$E$88,IF($X63&lt;Input!$D$88,Input!$C$94,Input!$D$94),Input!$E$94),Input!$F$94),Input!$G$94),Input!$H$94)</f>
        <v>0</v>
      </c>
      <c r="AX63" s="190">
        <f>IF($A63&lt;Input!$H$95,IF($A63&lt;Input!$G$95,IF($A63&lt;Input!$F$95,IF($A63&lt;Input!$E$95,IF($A63&lt;Input!$D$95,Input!$C$96,Input!$D$96),Input!$E$96),Input!$F$96),Input!$G$96),Input!$H$96)</f>
        <v>0.9</v>
      </c>
      <c r="AY63" s="60">
        <f t="shared" si="15"/>
        <v>0</v>
      </c>
      <c r="AZ63" s="60">
        <f t="shared" si="33"/>
        <v>30</v>
      </c>
      <c r="BA63" s="60">
        <f t="shared" si="16"/>
        <v>0</v>
      </c>
      <c r="BB63" s="60">
        <f>ROUND(BA63*AZ63*Input!$C$3/365,0)</f>
        <v>0</v>
      </c>
      <c r="BC63" s="61">
        <f>IF($A63&lt;=Input!$C$6,0,IF('120M'!AY63&lt;'120M'!BA63,'120M'!AY63-BB63,'120M'!BA63))</f>
        <v>0</v>
      </c>
      <c r="BD63" s="61">
        <f t="shared" si="17"/>
        <v>0</v>
      </c>
      <c r="BE63" s="60">
        <f t="shared" si="18"/>
        <v>0</v>
      </c>
      <c r="BF63" s="193"/>
      <c r="BG63" s="169">
        <v>59</v>
      </c>
      <c r="BH63" s="1">
        <f t="shared" si="34"/>
        <v>47314</v>
      </c>
      <c r="BI63" s="60">
        <f>IF($X63&lt;Input!$H$103,IF($X63&lt;Input!$G$103,IF($X63&lt;Input!$F$103,IF($X63&lt;Input!$E$103,IF($X63&lt;Input!$D$103,Input!$C$109,Input!$D$109),Input!$E$109),Input!$F$109),Input!$G$109),Input!$H$109)</f>
        <v>0</v>
      </c>
      <c r="BJ63" s="190">
        <f>IF($A63&lt;Input!$H$110,IF($A63&lt;Input!$G$110,IF($A63&lt;Input!$F$110,IF($A63&lt;Input!$E$110,IF($A63&lt;Input!$D$110,Input!$C$111,Input!$D$111),Input!$E$111),Input!$F$111),Input!$G$111),Input!$H$111)</f>
        <v>0.9</v>
      </c>
      <c r="BK63" s="60">
        <f t="shared" si="19"/>
        <v>0</v>
      </c>
      <c r="BL63" s="60">
        <f t="shared" si="35"/>
        <v>30</v>
      </c>
      <c r="BM63" s="60">
        <f t="shared" si="20"/>
        <v>0</v>
      </c>
      <c r="BN63" s="60">
        <f>ROUND(BM63*BL63*Input!$C$3/365,0)</f>
        <v>0</v>
      </c>
      <c r="BO63" s="61">
        <f>IF($A63&lt;=Input!$C$6,0,IF('120M'!BK63&lt;'120M'!BM63,'120M'!BK63-BN63,'120M'!BM63))</f>
        <v>0</v>
      </c>
      <c r="BP63" s="61">
        <f t="shared" si="21"/>
        <v>0</v>
      </c>
      <c r="BQ63" s="60">
        <f t="shared" si="22"/>
        <v>0</v>
      </c>
      <c r="BR63" s="198"/>
    </row>
    <row r="64" spans="1:70" x14ac:dyDescent="0.25">
      <c r="A64" s="169">
        <v>60</v>
      </c>
      <c r="B64" s="1">
        <f t="shared" si="23"/>
        <v>47345</v>
      </c>
      <c r="C64" s="60">
        <f t="shared" si="1"/>
        <v>18940500</v>
      </c>
      <c r="D64" s="60">
        <f t="shared" si="2"/>
        <v>17046450</v>
      </c>
      <c r="E64" s="60">
        <f t="shared" si="24"/>
        <v>31</v>
      </c>
      <c r="F64" s="60">
        <f t="shared" si="25"/>
        <v>740577834</v>
      </c>
      <c r="G64" s="60">
        <f>ROUND(F64*E64*Input!$C$3/365,0)</f>
        <v>9434759</v>
      </c>
      <c r="H64" s="60">
        <f>IF($A64&lt;=Input!$C$6,0,IF('120M'!D64&lt;'120M'!F64,'120M'!D64-G64,'120M'!F64))</f>
        <v>7611691</v>
      </c>
      <c r="I64" s="60">
        <f t="shared" si="26"/>
        <v>17046450</v>
      </c>
      <c r="J64" s="60">
        <f t="shared" si="27"/>
        <v>732966143</v>
      </c>
      <c r="K64" s="202">
        <f>J64/Input!$K$5</f>
        <v>2.4432204766666668</v>
      </c>
      <c r="L64" s="232"/>
      <c r="M64" s="60">
        <f>IF($B64&lt;Input!$H$43,IF($B64&lt;Input!$G$43,IF($B64&lt;Input!$F$43,IF($B64&lt;Input!$E$43,IF($B64&lt;Input!$D$43,Input!$C$49,Input!$D$49),Input!$E$49),Input!$F$49),Input!$G$49),Input!$H$49)</f>
        <v>18940500</v>
      </c>
      <c r="N64" s="190">
        <f>IF($A64&lt;Input!$H$50,IF($A64&lt;Input!$G$50,IF($A64&lt;Input!$F$50,IF($A64&lt;Input!$E$50,IF($A64&lt;Input!$D$50,Input!$C$51,Input!$D$51),Input!$E$51),Input!$F$51),Input!$G$51),Input!$H$51)</f>
        <v>0.9</v>
      </c>
      <c r="O64" s="60">
        <f t="shared" si="36"/>
        <v>17046450</v>
      </c>
      <c r="P64" s="60">
        <f t="shared" si="37"/>
        <v>31</v>
      </c>
      <c r="Q64" s="60">
        <f t="shared" si="4"/>
        <v>740577834</v>
      </c>
      <c r="R64" s="60">
        <f>ROUND(Q64*$P64*Input!$C$3/365,0)</f>
        <v>9434759</v>
      </c>
      <c r="S64" s="60">
        <f>IF(A64&lt;=Input!$C$6,0,IF('120M'!O64&lt;'120M'!Q64,'120M'!O64-R64,'120M'!Q64))</f>
        <v>7611691</v>
      </c>
      <c r="T64" s="60">
        <f t="shared" si="5"/>
        <v>17046450</v>
      </c>
      <c r="U64" s="60">
        <f t="shared" si="6"/>
        <v>732966143</v>
      </c>
      <c r="V64" s="193"/>
      <c r="W64" s="169">
        <v>60</v>
      </c>
      <c r="X64" s="1">
        <f t="shared" si="28"/>
        <v>47345</v>
      </c>
      <c r="Y64" s="60">
        <f>IF($X64&lt;Input!$H$58,IF($X64&lt;Input!$G$58,IF($X64&lt;Input!$F$58,IF($X64&lt;Input!$E$58,IF($X64&lt;Input!$D$58,Input!$C$64,Input!$D$64),Input!$E$64),Input!$F$64),Input!$G$64),Input!$H$64)</f>
        <v>0</v>
      </c>
      <c r="Z64" s="190">
        <f>IF($A64&lt;Input!$H$65,IF($A64&lt;Input!$G$65,IF($A64&lt;Input!$F$65,IF($A64&lt;Input!$E$65,IF($A64&lt;Input!$D$65,Input!$C$66,Input!$D$66),Input!$E$66),Input!$F$66),Input!$G$66),Input!$H$66)</f>
        <v>0.9</v>
      </c>
      <c r="AA64" s="60">
        <f t="shared" si="7"/>
        <v>0</v>
      </c>
      <c r="AB64" s="60">
        <f t="shared" si="29"/>
        <v>31</v>
      </c>
      <c r="AC64" s="60">
        <f t="shared" si="8"/>
        <v>0</v>
      </c>
      <c r="AD64" s="60">
        <f>ROUND(AC64*AB64*Input!$C$3/365,0)</f>
        <v>0</v>
      </c>
      <c r="AE64" s="61">
        <f>IF($A64&lt;=Input!$C$6,0,IF('120M'!AA64&lt;'120M'!AC64,'120M'!AA64-AD64,'120M'!AC64))</f>
        <v>0</v>
      </c>
      <c r="AF64" s="61">
        <f t="shared" si="9"/>
        <v>0</v>
      </c>
      <c r="AG64" s="60">
        <f t="shared" si="10"/>
        <v>0</v>
      </c>
      <c r="AH64" s="193"/>
      <c r="AI64" s="169">
        <v>60</v>
      </c>
      <c r="AJ64" s="1">
        <f t="shared" si="30"/>
        <v>47345</v>
      </c>
      <c r="AK64" s="60">
        <f>IF($X64&lt;Input!$H$73,IF($X64&lt;Input!$G$73,IF($X64&lt;Input!$F$73,IF($X64&lt;Input!$E$73,IF($X64&lt;Input!$D$73,Input!$C$79,Input!$D$79),Input!$E$79),Input!$F$79),Input!$G$79),Input!$H$79)</f>
        <v>0</v>
      </c>
      <c r="AL64" s="190">
        <f>IF($A64&lt;Input!$H$80,IF($A64&lt;Input!$G$80,IF($A64&lt;Input!$F$80,IF($A64&lt;Input!$E$80,IF($A64&lt;Input!$D$80,Input!$C$81,Input!$D$81),Input!$E$81),Input!$F$81),Input!$G$81),Input!$H$81)</f>
        <v>0.9</v>
      </c>
      <c r="AM64" s="60">
        <f t="shared" si="11"/>
        <v>0</v>
      </c>
      <c r="AN64" s="60">
        <f t="shared" si="31"/>
        <v>31</v>
      </c>
      <c r="AO64" s="60">
        <f t="shared" si="12"/>
        <v>0</v>
      </c>
      <c r="AP64" s="60">
        <f>ROUND(AO64*AN64*Input!$C$3/365,0)</f>
        <v>0</v>
      </c>
      <c r="AQ64" s="61">
        <f>IF($A64&lt;=Input!$C$6,0,IF('120M'!AM64&lt;'120M'!AO64,'120M'!AM64-AP64,'120M'!AO64))</f>
        <v>0</v>
      </c>
      <c r="AR64" s="61">
        <f t="shared" si="13"/>
        <v>0</v>
      </c>
      <c r="AS64" s="60">
        <f t="shared" si="14"/>
        <v>0</v>
      </c>
      <c r="AT64" s="193"/>
      <c r="AU64" s="169">
        <v>60</v>
      </c>
      <c r="AV64" s="1">
        <f t="shared" si="32"/>
        <v>47345</v>
      </c>
      <c r="AW64" s="60">
        <f>IF($X64&lt;Input!$H$88,IF($X64&lt;Input!$G$88,IF($X64&lt;Input!$F$88,IF($X64&lt;Input!$E$88,IF($X64&lt;Input!$D$88,Input!$C$94,Input!$D$94),Input!$E$94),Input!$F$94),Input!$G$94),Input!$H$94)</f>
        <v>0</v>
      </c>
      <c r="AX64" s="190">
        <f>IF($A64&lt;Input!$H$95,IF($A64&lt;Input!$G$95,IF($A64&lt;Input!$F$95,IF($A64&lt;Input!$E$95,IF($A64&lt;Input!$D$95,Input!$C$96,Input!$D$96),Input!$E$96),Input!$F$96),Input!$G$96),Input!$H$96)</f>
        <v>0.9</v>
      </c>
      <c r="AY64" s="60">
        <f t="shared" si="15"/>
        <v>0</v>
      </c>
      <c r="AZ64" s="60">
        <f t="shared" si="33"/>
        <v>31</v>
      </c>
      <c r="BA64" s="60">
        <f t="shared" si="16"/>
        <v>0</v>
      </c>
      <c r="BB64" s="60">
        <f>ROUND(BA64*AZ64*Input!$C$3/365,0)</f>
        <v>0</v>
      </c>
      <c r="BC64" s="61">
        <f>IF($A64&lt;=Input!$C$6,0,IF('120M'!AY64&lt;'120M'!BA64,'120M'!AY64-BB64,'120M'!BA64))</f>
        <v>0</v>
      </c>
      <c r="BD64" s="61">
        <f t="shared" si="17"/>
        <v>0</v>
      </c>
      <c r="BE64" s="60">
        <f t="shared" si="18"/>
        <v>0</v>
      </c>
      <c r="BF64" s="193"/>
      <c r="BG64" s="169">
        <v>60</v>
      </c>
      <c r="BH64" s="1">
        <f t="shared" si="34"/>
        <v>47345</v>
      </c>
      <c r="BI64" s="60">
        <f>IF($X64&lt;Input!$H$103,IF($X64&lt;Input!$G$103,IF($X64&lt;Input!$F$103,IF($X64&lt;Input!$E$103,IF($X64&lt;Input!$D$103,Input!$C$109,Input!$D$109),Input!$E$109),Input!$F$109),Input!$G$109),Input!$H$109)</f>
        <v>0</v>
      </c>
      <c r="BJ64" s="190">
        <f>IF($A64&lt;Input!$H$110,IF($A64&lt;Input!$G$110,IF($A64&lt;Input!$F$110,IF($A64&lt;Input!$E$110,IF($A64&lt;Input!$D$110,Input!$C$111,Input!$D$111),Input!$E$111),Input!$F$111),Input!$G$111),Input!$H$111)</f>
        <v>0.9</v>
      </c>
      <c r="BK64" s="60">
        <f t="shared" si="19"/>
        <v>0</v>
      </c>
      <c r="BL64" s="60">
        <f t="shared" si="35"/>
        <v>31</v>
      </c>
      <c r="BM64" s="60">
        <f t="shared" si="20"/>
        <v>0</v>
      </c>
      <c r="BN64" s="60">
        <f>ROUND(BM64*BL64*Input!$C$3/365,0)</f>
        <v>0</v>
      </c>
      <c r="BO64" s="61">
        <f>IF($A64&lt;=Input!$C$6,0,IF('120M'!BK64&lt;'120M'!BM64,'120M'!BK64-BN64,'120M'!BM64))</f>
        <v>0</v>
      </c>
      <c r="BP64" s="61">
        <f t="shared" si="21"/>
        <v>0</v>
      </c>
      <c r="BQ64" s="60">
        <f t="shared" si="22"/>
        <v>0</v>
      </c>
      <c r="BR64" s="198"/>
    </row>
    <row r="65" spans="1:70" x14ac:dyDescent="0.25">
      <c r="A65" s="169">
        <v>61</v>
      </c>
      <c r="B65" s="1">
        <f t="shared" si="23"/>
        <v>47376</v>
      </c>
      <c r="C65" s="60">
        <f t="shared" si="1"/>
        <v>18940500</v>
      </c>
      <c r="D65" s="60">
        <f t="shared" si="2"/>
        <v>17046450</v>
      </c>
      <c r="E65" s="60">
        <f t="shared" si="24"/>
        <v>31</v>
      </c>
      <c r="F65" s="60">
        <f t="shared" si="25"/>
        <v>732966143</v>
      </c>
      <c r="G65" s="60">
        <f>ROUND(F65*E65*Input!$C$3/365,0)</f>
        <v>9337788</v>
      </c>
      <c r="H65" s="60">
        <f>IF($A65&lt;=Input!$C$6,0,IF('120M'!D65&lt;'120M'!F65,'120M'!D65-G65,'120M'!F65))</f>
        <v>7708662</v>
      </c>
      <c r="I65" s="60">
        <f t="shared" si="26"/>
        <v>17046450</v>
      </c>
      <c r="J65" s="60">
        <f t="shared" si="27"/>
        <v>725257481</v>
      </c>
      <c r="K65" s="202">
        <f>J65/Input!$K$5</f>
        <v>2.4175249366666667</v>
      </c>
      <c r="L65" s="232"/>
      <c r="M65" s="60">
        <f>IF($B65&lt;Input!$H$43,IF($B65&lt;Input!$G$43,IF($B65&lt;Input!$F$43,IF($B65&lt;Input!$E$43,IF($B65&lt;Input!$D$43,Input!$C$49,Input!$D$49),Input!$E$49),Input!$F$49),Input!$G$49),Input!$H$49)</f>
        <v>18940500</v>
      </c>
      <c r="N65" s="190">
        <f>IF($A65&lt;Input!$H$50,IF($A65&lt;Input!$G$50,IF($A65&lt;Input!$F$50,IF($A65&lt;Input!$E$50,IF($A65&lt;Input!$D$50,Input!$C$51,Input!$D$51),Input!$E$51),Input!$F$51),Input!$G$51),Input!$H$51)</f>
        <v>0.9</v>
      </c>
      <c r="O65" s="60">
        <f t="shared" si="36"/>
        <v>17046450</v>
      </c>
      <c r="P65" s="60">
        <f t="shared" si="37"/>
        <v>31</v>
      </c>
      <c r="Q65" s="60">
        <f t="shared" si="4"/>
        <v>732966143</v>
      </c>
      <c r="R65" s="60">
        <f>ROUND(Q65*$P65*Input!$C$3/365,0)</f>
        <v>9337788</v>
      </c>
      <c r="S65" s="60">
        <f>IF(A65&lt;=Input!$C$6,0,IF('120M'!O65&lt;'120M'!Q65,'120M'!O65-R65,'120M'!Q65))</f>
        <v>7708662</v>
      </c>
      <c r="T65" s="60">
        <f t="shared" si="5"/>
        <v>17046450</v>
      </c>
      <c r="U65" s="60">
        <f t="shared" si="6"/>
        <v>725257481</v>
      </c>
      <c r="V65" s="193"/>
      <c r="W65" s="169">
        <v>61</v>
      </c>
      <c r="X65" s="1">
        <f t="shared" si="28"/>
        <v>47376</v>
      </c>
      <c r="Y65" s="60">
        <f>IF($X65&lt;Input!$H$58,IF($X65&lt;Input!$G$58,IF($X65&lt;Input!$F$58,IF($X65&lt;Input!$E$58,IF($X65&lt;Input!$D$58,Input!$C$64,Input!$D$64),Input!$E$64),Input!$F$64),Input!$G$64),Input!$H$64)</f>
        <v>0</v>
      </c>
      <c r="Z65" s="190">
        <f>IF($A65&lt;Input!$H$65,IF($A65&lt;Input!$G$65,IF($A65&lt;Input!$F$65,IF($A65&lt;Input!$E$65,IF($A65&lt;Input!$D$65,Input!$C$66,Input!$D$66),Input!$E$66),Input!$F$66),Input!$G$66),Input!$H$66)</f>
        <v>0.9</v>
      </c>
      <c r="AA65" s="60">
        <f t="shared" si="7"/>
        <v>0</v>
      </c>
      <c r="AB65" s="60">
        <f t="shared" si="29"/>
        <v>31</v>
      </c>
      <c r="AC65" s="60">
        <f t="shared" si="8"/>
        <v>0</v>
      </c>
      <c r="AD65" s="60">
        <f>ROUND(AC65*AB65*Input!$C$3/365,0)</f>
        <v>0</v>
      </c>
      <c r="AE65" s="61">
        <f>IF($A65&lt;=Input!$C$6,0,IF('120M'!AA65&lt;'120M'!AC65,'120M'!AA65-AD65,'120M'!AC65))</f>
        <v>0</v>
      </c>
      <c r="AF65" s="61">
        <f t="shared" si="9"/>
        <v>0</v>
      </c>
      <c r="AG65" s="60">
        <f t="shared" si="10"/>
        <v>0</v>
      </c>
      <c r="AH65" s="193"/>
      <c r="AI65" s="169">
        <v>61</v>
      </c>
      <c r="AJ65" s="1">
        <f t="shared" si="30"/>
        <v>47376</v>
      </c>
      <c r="AK65" s="60">
        <f>IF($X65&lt;Input!$H$73,IF($X65&lt;Input!$G$73,IF($X65&lt;Input!$F$73,IF($X65&lt;Input!$E$73,IF($X65&lt;Input!$D$73,Input!$C$79,Input!$D$79),Input!$E$79),Input!$F$79),Input!$G$79),Input!$H$79)</f>
        <v>0</v>
      </c>
      <c r="AL65" s="190">
        <f>IF($A65&lt;Input!$H$80,IF($A65&lt;Input!$G$80,IF($A65&lt;Input!$F$80,IF($A65&lt;Input!$E$80,IF($A65&lt;Input!$D$80,Input!$C$81,Input!$D$81),Input!$E$81),Input!$F$81),Input!$G$81),Input!$H$81)</f>
        <v>0.9</v>
      </c>
      <c r="AM65" s="60">
        <f t="shared" si="11"/>
        <v>0</v>
      </c>
      <c r="AN65" s="60">
        <f t="shared" si="31"/>
        <v>31</v>
      </c>
      <c r="AO65" s="60">
        <f t="shared" si="12"/>
        <v>0</v>
      </c>
      <c r="AP65" s="60">
        <f>ROUND(AO65*AN65*Input!$C$3/365,0)</f>
        <v>0</v>
      </c>
      <c r="AQ65" s="61">
        <f>IF($A65&lt;=Input!$C$6,0,IF('120M'!AM65&lt;'120M'!AO65,'120M'!AM65-AP65,'120M'!AO65))</f>
        <v>0</v>
      </c>
      <c r="AR65" s="61">
        <f t="shared" si="13"/>
        <v>0</v>
      </c>
      <c r="AS65" s="60">
        <f t="shared" si="14"/>
        <v>0</v>
      </c>
      <c r="AT65" s="193"/>
      <c r="AU65" s="169">
        <v>61</v>
      </c>
      <c r="AV65" s="1">
        <f t="shared" si="32"/>
        <v>47376</v>
      </c>
      <c r="AW65" s="60">
        <f>IF($X65&lt;Input!$H$88,IF($X65&lt;Input!$G$88,IF($X65&lt;Input!$F$88,IF($X65&lt;Input!$E$88,IF($X65&lt;Input!$D$88,Input!$C$94,Input!$D$94),Input!$E$94),Input!$F$94),Input!$G$94),Input!$H$94)</f>
        <v>0</v>
      </c>
      <c r="AX65" s="190">
        <f>IF($A65&lt;Input!$H$95,IF($A65&lt;Input!$G$95,IF($A65&lt;Input!$F$95,IF($A65&lt;Input!$E$95,IF($A65&lt;Input!$D$95,Input!$C$96,Input!$D$96),Input!$E$96),Input!$F$96),Input!$G$96),Input!$H$96)</f>
        <v>0.9</v>
      </c>
      <c r="AY65" s="60">
        <f t="shared" si="15"/>
        <v>0</v>
      </c>
      <c r="AZ65" s="60">
        <f t="shared" si="33"/>
        <v>31</v>
      </c>
      <c r="BA65" s="60">
        <f t="shared" si="16"/>
        <v>0</v>
      </c>
      <c r="BB65" s="60">
        <f>ROUND(BA65*AZ65*Input!$C$3/365,0)</f>
        <v>0</v>
      </c>
      <c r="BC65" s="61">
        <f>IF($A65&lt;=Input!$C$6,0,IF('120M'!AY65&lt;'120M'!BA65,'120M'!AY65-BB65,'120M'!BA65))</f>
        <v>0</v>
      </c>
      <c r="BD65" s="61">
        <f t="shared" si="17"/>
        <v>0</v>
      </c>
      <c r="BE65" s="60">
        <f t="shared" si="18"/>
        <v>0</v>
      </c>
      <c r="BF65" s="193"/>
      <c r="BG65" s="169">
        <v>61</v>
      </c>
      <c r="BH65" s="1">
        <f t="shared" si="34"/>
        <v>47376</v>
      </c>
      <c r="BI65" s="60">
        <f>IF($X65&lt;Input!$H$103,IF($X65&lt;Input!$G$103,IF($X65&lt;Input!$F$103,IF($X65&lt;Input!$E$103,IF($X65&lt;Input!$D$103,Input!$C$109,Input!$D$109),Input!$E$109),Input!$F$109),Input!$G$109),Input!$H$109)</f>
        <v>0</v>
      </c>
      <c r="BJ65" s="190">
        <f>IF($A65&lt;Input!$H$110,IF($A65&lt;Input!$G$110,IF($A65&lt;Input!$F$110,IF($A65&lt;Input!$E$110,IF($A65&lt;Input!$D$110,Input!$C$111,Input!$D$111),Input!$E$111),Input!$F$111),Input!$G$111),Input!$H$111)</f>
        <v>0.9</v>
      </c>
      <c r="BK65" s="60">
        <f t="shared" si="19"/>
        <v>0</v>
      </c>
      <c r="BL65" s="60">
        <f t="shared" si="35"/>
        <v>31</v>
      </c>
      <c r="BM65" s="60">
        <f t="shared" si="20"/>
        <v>0</v>
      </c>
      <c r="BN65" s="60">
        <f>ROUND(BM65*BL65*Input!$C$3/365,0)</f>
        <v>0</v>
      </c>
      <c r="BO65" s="61">
        <f>IF($A65&lt;=Input!$C$6,0,IF('120M'!BK65&lt;'120M'!BM65,'120M'!BK65-BN65,'120M'!BM65))</f>
        <v>0</v>
      </c>
      <c r="BP65" s="61">
        <f t="shared" si="21"/>
        <v>0</v>
      </c>
      <c r="BQ65" s="60">
        <f t="shared" si="22"/>
        <v>0</v>
      </c>
      <c r="BR65" s="198"/>
    </row>
    <row r="66" spans="1:70" x14ac:dyDescent="0.25">
      <c r="A66" s="169">
        <v>62</v>
      </c>
      <c r="B66" s="1">
        <f t="shared" si="23"/>
        <v>47406</v>
      </c>
      <c r="C66" s="60">
        <f t="shared" si="1"/>
        <v>18940500</v>
      </c>
      <c r="D66" s="60">
        <f t="shared" si="2"/>
        <v>17046450</v>
      </c>
      <c r="E66" s="60">
        <f t="shared" si="24"/>
        <v>30</v>
      </c>
      <c r="F66" s="60">
        <f t="shared" si="25"/>
        <v>725257481</v>
      </c>
      <c r="G66" s="60">
        <f>ROUND(F66*E66*Input!$C$3/365,0)</f>
        <v>8941531</v>
      </c>
      <c r="H66" s="60">
        <f>IF($A66&lt;=Input!$C$6,0,IF('120M'!D66&lt;'120M'!F66,'120M'!D66-G66,'120M'!F66))</f>
        <v>8104919</v>
      </c>
      <c r="I66" s="60">
        <f t="shared" si="26"/>
        <v>17046450</v>
      </c>
      <c r="J66" s="60">
        <f t="shared" si="27"/>
        <v>717152562</v>
      </c>
      <c r="K66" s="202">
        <f>J66/Input!$K$5</f>
        <v>2.3905085399999999</v>
      </c>
      <c r="L66" s="232"/>
      <c r="M66" s="60">
        <f>IF($B66&lt;Input!$H$43,IF($B66&lt;Input!$G$43,IF($B66&lt;Input!$F$43,IF($B66&lt;Input!$E$43,IF($B66&lt;Input!$D$43,Input!$C$49,Input!$D$49),Input!$E$49),Input!$F$49),Input!$G$49),Input!$H$49)</f>
        <v>18940500</v>
      </c>
      <c r="N66" s="190">
        <f>IF($A66&lt;Input!$H$50,IF($A66&lt;Input!$G$50,IF($A66&lt;Input!$F$50,IF($A66&lt;Input!$E$50,IF($A66&lt;Input!$D$50,Input!$C$51,Input!$D$51),Input!$E$51),Input!$F$51),Input!$G$51),Input!$H$51)</f>
        <v>0.9</v>
      </c>
      <c r="O66" s="60">
        <f t="shared" si="36"/>
        <v>17046450</v>
      </c>
      <c r="P66" s="60">
        <f t="shared" si="37"/>
        <v>30</v>
      </c>
      <c r="Q66" s="60">
        <f t="shared" si="4"/>
        <v>725257481</v>
      </c>
      <c r="R66" s="60">
        <f>ROUND(Q66*$P66*Input!$C$3/365,0)</f>
        <v>8941531</v>
      </c>
      <c r="S66" s="60">
        <f>IF(A66&lt;=Input!$C$6,0,IF('120M'!O66&lt;'120M'!Q66,'120M'!O66-R66,'120M'!Q66))</f>
        <v>8104919</v>
      </c>
      <c r="T66" s="60">
        <f t="shared" si="5"/>
        <v>17046450</v>
      </c>
      <c r="U66" s="60">
        <f t="shared" si="6"/>
        <v>717152562</v>
      </c>
      <c r="V66" s="193"/>
      <c r="W66" s="169">
        <v>62</v>
      </c>
      <c r="X66" s="1">
        <f t="shared" si="28"/>
        <v>47406</v>
      </c>
      <c r="Y66" s="60">
        <f>IF($X66&lt;Input!$H$58,IF($X66&lt;Input!$G$58,IF($X66&lt;Input!$F$58,IF($X66&lt;Input!$E$58,IF($X66&lt;Input!$D$58,Input!$C$64,Input!$D$64),Input!$E$64),Input!$F$64),Input!$G$64),Input!$H$64)</f>
        <v>0</v>
      </c>
      <c r="Z66" s="190">
        <f>IF($A66&lt;Input!$H$65,IF($A66&lt;Input!$G$65,IF($A66&lt;Input!$F$65,IF($A66&lt;Input!$E$65,IF($A66&lt;Input!$D$65,Input!$C$66,Input!$D$66),Input!$E$66),Input!$F$66),Input!$G$66),Input!$H$66)</f>
        <v>0.9</v>
      </c>
      <c r="AA66" s="60">
        <f t="shared" si="7"/>
        <v>0</v>
      </c>
      <c r="AB66" s="60">
        <f t="shared" si="29"/>
        <v>30</v>
      </c>
      <c r="AC66" s="60">
        <f t="shared" si="8"/>
        <v>0</v>
      </c>
      <c r="AD66" s="60">
        <f>ROUND(AC66*AB66*Input!$C$3/365,0)</f>
        <v>0</v>
      </c>
      <c r="AE66" s="61">
        <f>IF($A66&lt;=Input!$C$6,0,IF('120M'!AA66&lt;'120M'!AC66,'120M'!AA66-AD66,'120M'!AC66))</f>
        <v>0</v>
      </c>
      <c r="AF66" s="61">
        <f t="shared" si="9"/>
        <v>0</v>
      </c>
      <c r="AG66" s="60">
        <f t="shared" si="10"/>
        <v>0</v>
      </c>
      <c r="AH66" s="193"/>
      <c r="AI66" s="169">
        <v>62</v>
      </c>
      <c r="AJ66" s="1">
        <f t="shared" si="30"/>
        <v>47406</v>
      </c>
      <c r="AK66" s="60">
        <f>IF($X66&lt;Input!$H$73,IF($X66&lt;Input!$G$73,IF($X66&lt;Input!$F$73,IF($X66&lt;Input!$E$73,IF($X66&lt;Input!$D$73,Input!$C$79,Input!$D$79),Input!$E$79),Input!$F$79),Input!$G$79),Input!$H$79)</f>
        <v>0</v>
      </c>
      <c r="AL66" s="190">
        <f>IF($A66&lt;Input!$H$80,IF($A66&lt;Input!$G$80,IF($A66&lt;Input!$F$80,IF($A66&lt;Input!$E$80,IF($A66&lt;Input!$D$80,Input!$C$81,Input!$D$81),Input!$E$81),Input!$F$81),Input!$G$81),Input!$H$81)</f>
        <v>0.9</v>
      </c>
      <c r="AM66" s="60">
        <f t="shared" si="11"/>
        <v>0</v>
      </c>
      <c r="AN66" s="60">
        <f t="shared" si="31"/>
        <v>30</v>
      </c>
      <c r="AO66" s="60">
        <f t="shared" si="12"/>
        <v>0</v>
      </c>
      <c r="AP66" s="60">
        <f>ROUND(AO66*AN66*Input!$C$3/365,0)</f>
        <v>0</v>
      </c>
      <c r="AQ66" s="61">
        <f>IF($A66&lt;=Input!$C$6,0,IF('120M'!AM66&lt;'120M'!AO66,'120M'!AM66-AP66,'120M'!AO66))</f>
        <v>0</v>
      </c>
      <c r="AR66" s="61">
        <f t="shared" si="13"/>
        <v>0</v>
      </c>
      <c r="AS66" s="60">
        <f t="shared" si="14"/>
        <v>0</v>
      </c>
      <c r="AT66" s="193"/>
      <c r="AU66" s="169">
        <v>62</v>
      </c>
      <c r="AV66" s="1">
        <f t="shared" si="32"/>
        <v>47406</v>
      </c>
      <c r="AW66" s="60">
        <f>IF($X66&lt;Input!$H$88,IF($X66&lt;Input!$G$88,IF($X66&lt;Input!$F$88,IF($X66&lt;Input!$E$88,IF($X66&lt;Input!$D$88,Input!$C$94,Input!$D$94),Input!$E$94),Input!$F$94),Input!$G$94),Input!$H$94)</f>
        <v>0</v>
      </c>
      <c r="AX66" s="190">
        <f>IF($A66&lt;Input!$H$95,IF($A66&lt;Input!$G$95,IF($A66&lt;Input!$F$95,IF($A66&lt;Input!$E$95,IF($A66&lt;Input!$D$95,Input!$C$96,Input!$D$96),Input!$E$96),Input!$F$96),Input!$G$96),Input!$H$96)</f>
        <v>0.9</v>
      </c>
      <c r="AY66" s="60">
        <f t="shared" si="15"/>
        <v>0</v>
      </c>
      <c r="AZ66" s="60">
        <f t="shared" si="33"/>
        <v>30</v>
      </c>
      <c r="BA66" s="60">
        <f t="shared" si="16"/>
        <v>0</v>
      </c>
      <c r="BB66" s="60">
        <f>ROUND(BA66*AZ66*Input!$C$3/365,0)</f>
        <v>0</v>
      </c>
      <c r="BC66" s="61">
        <f>IF($A66&lt;=Input!$C$6,0,IF('120M'!AY66&lt;'120M'!BA66,'120M'!AY66-BB66,'120M'!BA66))</f>
        <v>0</v>
      </c>
      <c r="BD66" s="61">
        <f t="shared" si="17"/>
        <v>0</v>
      </c>
      <c r="BE66" s="60">
        <f t="shared" si="18"/>
        <v>0</v>
      </c>
      <c r="BF66" s="193"/>
      <c r="BG66" s="169">
        <v>62</v>
      </c>
      <c r="BH66" s="1">
        <f t="shared" si="34"/>
        <v>47406</v>
      </c>
      <c r="BI66" s="60">
        <f>IF($X66&lt;Input!$H$103,IF($X66&lt;Input!$G$103,IF($X66&lt;Input!$F$103,IF($X66&lt;Input!$E$103,IF($X66&lt;Input!$D$103,Input!$C$109,Input!$D$109),Input!$E$109),Input!$F$109),Input!$G$109),Input!$H$109)</f>
        <v>0</v>
      </c>
      <c r="BJ66" s="190">
        <f>IF($A66&lt;Input!$H$110,IF($A66&lt;Input!$G$110,IF($A66&lt;Input!$F$110,IF($A66&lt;Input!$E$110,IF($A66&lt;Input!$D$110,Input!$C$111,Input!$D$111),Input!$E$111),Input!$F$111),Input!$G$111),Input!$H$111)</f>
        <v>0.9</v>
      </c>
      <c r="BK66" s="60">
        <f t="shared" si="19"/>
        <v>0</v>
      </c>
      <c r="BL66" s="60">
        <f t="shared" si="35"/>
        <v>30</v>
      </c>
      <c r="BM66" s="60">
        <f t="shared" si="20"/>
        <v>0</v>
      </c>
      <c r="BN66" s="60">
        <f>ROUND(BM66*BL66*Input!$C$3/365,0)</f>
        <v>0</v>
      </c>
      <c r="BO66" s="61">
        <f>IF($A66&lt;=Input!$C$6,0,IF('120M'!BK66&lt;'120M'!BM66,'120M'!BK66-BN66,'120M'!BM66))</f>
        <v>0</v>
      </c>
      <c r="BP66" s="61">
        <f t="shared" si="21"/>
        <v>0</v>
      </c>
      <c r="BQ66" s="60">
        <f t="shared" si="22"/>
        <v>0</v>
      </c>
      <c r="BR66" s="198"/>
    </row>
    <row r="67" spans="1:70" x14ac:dyDescent="0.25">
      <c r="A67" s="169">
        <v>63</v>
      </c>
      <c r="B67" s="1">
        <f t="shared" si="23"/>
        <v>47437</v>
      </c>
      <c r="C67" s="60">
        <f t="shared" si="1"/>
        <v>18940500</v>
      </c>
      <c r="D67" s="60">
        <f t="shared" si="2"/>
        <v>17046450</v>
      </c>
      <c r="E67" s="60">
        <f t="shared" si="24"/>
        <v>31</v>
      </c>
      <c r="F67" s="60">
        <f t="shared" si="25"/>
        <v>717152562</v>
      </c>
      <c r="G67" s="60">
        <f>ROUND(F67*E67*Input!$C$3/365,0)</f>
        <v>9136327</v>
      </c>
      <c r="H67" s="60">
        <f>IF($A67&lt;=Input!$C$6,0,IF('120M'!D67&lt;'120M'!F67,'120M'!D67-G67,'120M'!F67))</f>
        <v>7910123</v>
      </c>
      <c r="I67" s="60">
        <f t="shared" si="26"/>
        <v>17046450</v>
      </c>
      <c r="J67" s="60">
        <f t="shared" si="27"/>
        <v>709242439</v>
      </c>
      <c r="K67" s="202">
        <f>J67/Input!$K$5</f>
        <v>2.3641414633333335</v>
      </c>
      <c r="L67" s="232"/>
      <c r="M67" s="60">
        <f>IF($B67&lt;Input!$H$43,IF($B67&lt;Input!$G$43,IF($B67&lt;Input!$F$43,IF($B67&lt;Input!$E$43,IF($B67&lt;Input!$D$43,Input!$C$49,Input!$D$49),Input!$E$49),Input!$F$49),Input!$G$49),Input!$H$49)</f>
        <v>18940500</v>
      </c>
      <c r="N67" s="190">
        <f>IF($A67&lt;Input!$H$50,IF($A67&lt;Input!$G$50,IF($A67&lt;Input!$F$50,IF($A67&lt;Input!$E$50,IF($A67&lt;Input!$D$50,Input!$C$51,Input!$D$51),Input!$E$51),Input!$F$51),Input!$G$51),Input!$H$51)</f>
        <v>0.9</v>
      </c>
      <c r="O67" s="60">
        <f t="shared" si="36"/>
        <v>17046450</v>
      </c>
      <c r="P67" s="60">
        <f t="shared" si="37"/>
        <v>31</v>
      </c>
      <c r="Q67" s="60">
        <f t="shared" si="4"/>
        <v>717152562</v>
      </c>
      <c r="R67" s="60">
        <f>ROUND(Q67*$P67*Input!$C$3/365,0)</f>
        <v>9136327</v>
      </c>
      <c r="S67" s="60">
        <f>IF(A67&lt;=Input!$C$6,0,IF('120M'!O67&lt;'120M'!Q67,'120M'!O67-R67,'120M'!Q67))</f>
        <v>7910123</v>
      </c>
      <c r="T67" s="60">
        <f t="shared" si="5"/>
        <v>17046450</v>
      </c>
      <c r="U67" s="60">
        <f t="shared" si="6"/>
        <v>709242439</v>
      </c>
      <c r="V67" s="193"/>
      <c r="W67" s="169">
        <v>63</v>
      </c>
      <c r="X67" s="1">
        <f t="shared" si="28"/>
        <v>47437</v>
      </c>
      <c r="Y67" s="60">
        <f>IF($X67&lt;Input!$H$58,IF($X67&lt;Input!$G$58,IF($X67&lt;Input!$F$58,IF($X67&lt;Input!$E$58,IF($X67&lt;Input!$D$58,Input!$C$64,Input!$D$64),Input!$E$64),Input!$F$64),Input!$G$64),Input!$H$64)</f>
        <v>0</v>
      </c>
      <c r="Z67" s="190">
        <f>IF($A67&lt;Input!$H$65,IF($A67&lt;Input!$G$65,IF($A67&lt;Input!$F$65,IF($A67&lt;Input!$E$65,IF($A67&lt;Input!$D$65,Input!$C$66,Input!$D$66),Input!$E$66),Input!$F$66),Input!$G$66),Input!$H$66)</f>
        <v>0.9</v>
      </c>
      <c r="AA67" s="60">
        <f t="shared" si="7"/>
        <v>0</v>
      </c>
      <c r="AB67" s="60">
        <f t="shared" si="29"/>
        <v>31</v>
      </c>
      <c r="AC67" s="60">
        <f t="shared" si="8"/>
        <v>0</v>
      </c>
      <c r="AD67" s="60">
        <f>ROUND(AC67*AB67*Input!$C$3/365,0)</f>
        <v>0</v>
      </c>
      <c r="AE67" s="61">
        <f>IF($A67&lt;=Input!$C$6,0,IF('120M'!AA67&lt;'120M'!AC67,'120M'!AA67-AD67,'120M'!AC67))</f>
        <v>0</v>
      </c>
      <c r="AF67" s="61">
        <f t="shared" si="9"/>
        <v>0</v>
      </c>
      <c r="AG67" s="60">
        <f t="shared" si="10"/>
        <v>0</v>
      </c>
      <c r="AH67" s="193"/>
      <c r="AI67" s="169">
        <v>63</v>
      </c>
      <c r="AJ67" s="1">
        <f t="shared" si="30"/>
        <v>47437</v>
      </c>
      <c r="AK67" s="60">
        <f>IF($X67&lt;Input!$H$73,IF($X67&lt;Input!$G$73,IF($X67&lt;Input!$F$73,IF($X67&lt;Input!$E$73,IF($X67&lt;Input!$D$73,Input!$C$79,Input!$D$79),Input!$E$79),Input!$F$79),Input!$G$79),Input!$H$79)</f>
        <v>0</v>
      </c>
      <c r="AL67" s="190">
        <f>IF($A67&lt;Input!$H$80,IF($A67&lt;Input!$G$80,IF($A67&lt;Input!$F$80,IF($A67&lt;Input!$E$80,IF($A67&lt;Input!$D$80,Input!$C$81,Input!$D$81),Input!$E$81),Input!$F$81),Input!$G$81),Input!$H$81)</f>
        <v>0.9</v>
      </c>
      <c r="AM67" s="60">
        <f t="shared" si="11"/>
        <v>0</v>
      </c>
      <c r="AN67" s="60">
        <f t="shared" si="31"/>
        <v>31</v>
      </c>
      <c r="AO67" s="60">
        <f t="shared" si="12"/>
        <v>0</v>
      </c>
      <c r="AP67" s="60">
        <f>ROUND(AO67*AN67*Input!$C$3/365,0)</f>
        <v>0</v>
      </c>
      <c r="AQ67" s="61">
        <f>IF($A67&lt;=Input!$C$6,0,IF('120M'!AM67&lt;'120M'!AO67,'120M'!AM67-AP67,'120M'!AO67))</f>
        <v>0</v>
      </c>
      <c r="AR67" s="61">
        <f t="shared" si="13"/>
        <v>0</v>
      </c>
      <c r="AS67" s="60">
        <f t="shared" si="14"/>
        <v>0</v>
      </c>
      <c r="AT67" s="193"/>
      <c r="AU67" s="169">
        <v>63</v>
      </c>
      <c r="AV67" s="1">
        <f t="shared" si="32"/>
        <v>47437</v>
      </c>
      <c r="AW67" s="60">
        <f>IF($X67&lt;Input!$H$88,IF($X67&lt;Input!$G$88,IF($X67&lt;Input!$F$88,IF($X67&lt;Input!$E$88,IF($X67&lt;Input!$D$88,Input!$C$94,Input!$D$94),Input!$E$94),Input!$F$94),Input!$G$94),Input!$H$94)</f>
        <v>0</v>
      </c>
      <c r="AX67" s="190">
        <f>IF($A67&lt;Input!$H$95,IF($A67&lt;Input!$G$95,IF($A67&lt;Input!$F$95,IF($A67&lt;Input!$E$95,IF($A67&lt;Input!$D$95,Input!$C$96,Input!$D$96),Input!$E$96),Input!$F$96),Input!$G$96),Input!$H$96)</f>
        <v>0.9</v>
      </c>
      <c r="AY67" s="60">
        <f t="shared" si="15"/>
        <v>0</v>
      </c>
      <c r="AZ67" s="60">
        <f t="shared" si="33"/>
        <v>31</v>
      </c>
      <c r="BA67" s="60">
        <f t="shared" si="16"/>
        <v>0</v>
      </c>
      <c r="BB67" s="60">
        <f>ROUND(BA67*AZ67*Input!$C$3/365,0)</f>
        <v>0</v>
      </c>
      <c r="BC67" s="61">
        <f>IF($A67&lt;=Input!$C$6,0,IF('120M'!AY67&lt;'120M'!BA67,'120M'!AY67-BB67,'120M'!BA67))</f>
        <v>0</v>
      </c>
      <c r="BD67" s="61">
        <f t="shared" si="17"/>
        <v>0</v>
      </c>
      <c r="BE67" s="60">
        <f t="shared" si="18"/>
        <v>0</v>
      </c>
      <c r="BF67" s="193"/>
      <c r="BG67" s="169">
        <v>63</v>
      </c>
      <c r="BH67" s="1">
        <f t="shared" si="34"/>
        <v>47437</v>
      </c>
      <c r="BI67" s="60">
        <f>IF($X67&lt;Input!$H$103,IF($X67&lt;Input!$G$103,IF($X67&lt;Input!$F$103,IF($X67&lt;Input!$E$103,IF($X67&lt;Input!$D$103,Input!$C$109,Input!$D$109),Input!$E$109),Input!$F$109),Input!$G$109),Input!$H$109)</f>
        <v>0</v>
      </c>
      <c r="BJ67" s="190">
        <f>IF($A67&lt;Input!$H$110,IF($A67&lt;Input!$G$110,IF($A67&lt;Input!$F$110,IF($A67&lt;Input!$E$110,IF($A67&lt;Input!$D$110,Input!$C$111,Input!$D$111),Input!$E$111),Input!$F$111),Input!$G$111),Input!$H$111)</f>
        <v>0.9</v>
      </c>
      <c r="BK67" s="60">
        <f t="shared" si="19"/>
        <v>0</v>
      </c>
      <c r="BL67" s="60">
        <f t="shared" si="35"/>
        <v>31</v>
      </c>
      <c r="BM67" s="60">
        <f t="shared" si="20"/>
        <v>0</v>
      </c>
      <c r="BN67" s="60">
        <f>ROUND(BM67*BL67*Input!$C$3/365,0)</f>
        <v>0</v>
      </c>
      <c r="BO67" s="61">
        <f>IF($A67&lt;=Input!$C$6,0,IF('120M'!BK67&lt;'120M'!BM67,'120M'!BK67-BN67,'120M'!BM67))</f>
        <v>0</v>
      </c>
      <c r="BP67" s="61">
        <f t="shared" si="21"/>
        <v>0</v>
      </c>
      <c r="BQ67" s="60">
        <f t="shared" si="22"/>
        <v>0</v>
      </c>
      <c r="BR67" s="198"/>
    </row>
    <row r="68" spans="1:70" x14ac:dyDescent="0.25">
      <c r="A68" s="169">
        <v>64</v>
      </c>
      <c r="B68" s="1">
        <f t="shared" si="23"/>
        <v>47467</v>
      </c>
      <c r="C68" s="60">
        <f t="shared" si="1"/>
        <v>18940500</v>
      </c>
      <c r="D68" s="60">
        <f t="shared" si="2"/>
        <v>17046450</v>
      </c>
      <c r="E68" s="60">
        <f t="shared" si="24"/>
        <v>30</v>
      </c>
      <c r="F68" s="60">
        <f t="shared" si="25"/>
        <v>709242439</v>
      </c>
      <c r="G68" s="60">
        <f>ROUND(F68*E68*Input!$C$3/365,0)</f>
        <v>8744085</v>
      </c>
      <c r="H68" s="60">
        <f>IF($A68&lt;=Input!$C$6,0,IF('120M'!D68&lt;'120M'!F68,'120M'!D68-G68,'120M'!F68))</f>
        <v>8302365</v>
      </c>
      <c r="I68" s="60">
        <f t="shared" si="26"/>
        <v>17046450</v>
      </c>
      <c r="J68" s="60">
        <f t="shared" si="27"/>
        <v>700940074</v>
      </c>
      <c r="K68" s="202">
        <f>J68/Input!$K$5</f>
        <v>2.3364669133333331</v>
      </c>
      <c r="L68" s="232"/>
      <c r="M68" s="60">
        <f>IF($B68&lt;Input!$H$43,IF($B68&lt;Input!$G$43,IF($B68&lt;Input!$F$43,IF($B68&lt;Input!$E$43,IF($B68&lt;Input!$D$43,Input!$C$49,Input!$D$49),Input!$E$49),Input!$F$49),Input!$G$49),Input!$H$49)</f>
        <v>18940500</v>
      </c>
      <c r="N68" s="190">
        <f>IF($A68&lt;Input!$H$50,IF($A68&lt;Input!$G$50,IF($A68&lt;Input!$F$50,IF($A68&lt;Input!$E$50,IF($A68&lt;Input!$D$50,Input!$C$51,Input!$D$51),Input!$E$51),Input!$F$51),Input!$G$51),Input!$H$51)</f>
        <v>0.9</v>
      </c>
      <c r="O68" s="60">
        <f t="shared" ref="O68:O99" si="38">M68*N68</f>
        <v>17046450</v>
      </c>
      <c r="P68" s="60">
        <f t="shared" si="37"/>
        <v>30</v>
      </c>
      <c r="Q68" s="60">
        <f t="shared" si="4"/>
        <v>709242439</v>
      </c>
      <c r="R68" s="60">
        <f>ROUND(Q68*$P68*Input!$C$3/365,0)</f>
        <v>8744085</v>
      </c>
      <c r="S68" s="60">
        <f>IF(A68&lt;=Input!$C$6,0,IF('120M'!O68&lt;'120M'!Q68,'120M'!O68-R68,'120M'!Q68))</f>
        <v>8302365</v>
      </c>
      <c r="T68" s="60">
        <f t="shared" si="5"/>
        <v>17046450</v>
      </c>
      <c r="U68" s="60">
        <f t="shared" si="6"/>
        <v>700940074</v>
      </c>
      <c r="V68" s="193"/>
      <c r="W68" s="169">
        <v>64</v>
      </c>
      <c r="X68" s="1">
        <f t="shared" si="28"/>
        <v>47467</v>
      </c>
      <c r="Y68" s="60">
        <f>IF($X68&lt;Input!$H$58,IF($X68&lt;Input!$G$58,IF($X68&lt;Input!$F$58,IF($X68&lt;Input!$E$58,IF($X68&lt;Input!$D$58,Input!$C$64,Input!$D$64),Input!$E$64),Input!$F$64),Input!$G$64),Input!$H$64)</f>
        <v>0</v>
      </c>
      <c r="Z68" s="190">
        <f>IF($A68&lt;Input!$H$65,IF($A68&lt;Input!$G$65,IF($A68&lt;Input!$F$65,IF($A68&lt;Input!$E$65,IF($A68&lt;Input!$D$65,Input!$C$66,Input!$D$66),Input!$E$66),Input!$F$66),Input!$G$66),Input!$H$66)</f>
        <v>0.9</v>
      </c>
      <c r="AA68" s="60">
        <f t="shared" si="7"/>
        <v>0</v>
      </c>
      <c r="AB68" s="60">
        <f t="shared" si="29"/>
        <v>30</v>
      </c>
      <c r="AC68" s="60">
        <f t="shared" si="8"/>
        <v>0</v>
      </c>
      <c r="AD68" s="60">
        <f>ROUND(AC68*AB68*Input!$C$3/365,0)</f>
        <v>0</v>
      </c>
      <c r="AE68" s="61">
        <f>IF($A68&lt;=Input!$C$6,0,IF('120M'!AA68&lt;'120M'!AC68,'120M'!AA68-AD68,'120M'!AC68))</f>
        <v>0</v>
      </c>
      <c r="AF68" s="61">
        <f t="shared" si="9"/>
        <v>0</v>
      </c>
      <c r="AG68" s="60">
        <f t="shared" si="10"/>
        <v>0</v>
      </c>
      <c r="AH68" s="193"/>
      <c r="AI68" s="169">
        <v>64</v>
      </c>
      <c r="AJ68" s="1">
        <f t="shared" si="30"/>
        <v>47467</v>
      </c>
      <c r="AK68" s="60">
        <f>IF($X68&lt;Input!$H$73,IF($X68&lt;Input!$G$73,IF($X68&lt;Input!$F$73,IF($X68&lt;Input!$E$73,IF($X68&lt;Input!$D$73,Input!$C$79,Input!$D$79),Input!$E$79),Input!$F$79),Input!$G$79),Input!$H$79)</f>
        <v>0</v>
      </c>
      <c r="AL68" s="190">
        <f>IF($A68&lt;Input!$H$80,IF($A68&lt;Input!$G$80,IF($A68&lt;Input!$F$80,IF($A68&lt;Input!$E$80,IF($A68&lt;Input!$D$80,Input!$C$81,Input!$D$81),Input!$E$81),Input!$F$81),Input!$G$81),Input!$H$81)</f>
        <v>0.9</v>
      </c>
      <c r="AM68" s="60">
        <f t="shared" si="11"/>
        <v>0</v>
      </c>
      <c r="AN68" s="60">
        <f t="shared" si="31"/>
        <v>30</v>
      </c>
      <c r="AO68" s="60">
        <f t="shared" si="12"/>
        <v>0</v>
      </c>
      <c r="AP68" s="60">
        <f>ROUND(AO68*AN68*Input!$C$3/365,0)</f>
        <v>0</v>
      </c>
      <c r="AQ68" s="61">
        <f>IF($A68&lt;=Input!$C$6,0,IF('120M'!AM68&lt;'120M'!AO68,'120M'!AM68-AP68,'120M'!AO68))</f>
        <v>0</v>
      </c>
      <c r="AR68" s="61">
        <f t="shared" si="13"/>
        <v>0</v>
      </c>
      <c r="AS68" s="60">
        <f t="shared" si="14"/>
        <v>0</v>
      </c>
      <c r="AT68" s="193"/>
      <c r="AU68" s="169">
        <v>64</v>
      </c>
      <c r="AV68" s="1">
        <f t="shared" si="32"/>
        <v>47467</v>
      </c>
      <c r="AW68" s="60">
        <f>IF($X68&lt;Input!$H$88,IF($X68&lt;Input!$G$88,IF($X68&lt;Input!$F$88,IF($X68&lt;Input!$E$88,IF($X68&lt;Input!$D$88,Input!$C$94,Input!$D$94),Input!$E$94),Input!$F$94),Input!$G$94),Input!$H$94)</f>
        <v>0</v>
      </c>
      <c r="AX68" s="190">
        <f>IF($A68&lt;Input!$H$95,IF($A68&lt;Input!$G$95,IF($A68&lt;Input!$F$95,IF($A68&lt;Input!$E$95,IF($A68&lt;Input!$D$95,Input!$C$96,Input!$D$96),Input!$E$96),Input!$F$96),Input!$G$96),Input!$H$96)</f>
        <v>0.9</v>
      </c>
      <c r="AY68" s="60">
        <f t="shared" si="15"/>
        <v>0</v>
      </c>
      <c r="AZ68" s="60">
        <f t="shared" si="33"/>
        <v>30</v>
      </c>
      <c r="BA68" s="60">
        <f t="shared" si="16"/>
        <v>0</v>
      </c>
      <c r="BB68" s="60">
        <f>ROUND(BA68*AZ68*Input!$C$3/365,0)</f>
        <v>0</v>
      </c>
      <c r="BC68" s="61">
        <f>IF($A68&lt;=Input!$C$6,0,IF('120M'!AY68&lt;'120M'!BA68,'120M'!AY68-BB68,'120M'!BA68))</f>
        <v>0</v>
      </c>
      <c r="BD68" s="61">
        <f t="shared" si="17"/>
        <v>0</v>
      </c>
      <c r="BE68" s="60">
        <f t="shared" si="18"/>
        <v>0</v>
      </c>
      <c r="BF68" s="193"/>
      <c r="BG68" s="169">
        <v>64</v>
      </c>
      <c r="BH68" s="1">
        <f t="shared" si="34"/>
        <v>47467</v>
      </c>
      <c r="BI68" s="60">
        <f>IF($X68&lt;Input!$H$103,IF($X68&lt;Input!$G$103,IF($X68&lt;Input!$F$103,IF($X68&lt;Input!$E$103,IF($X68&lt;Input!$D$103,Input!$C$109,Input!$D$109),Input!$E$109),Input!$F$109),Input!$G$109),Input!$H$109)</f>
        <v>0</v>
      </c>
      <c r="BJ68" s="190">
        <f>IF($A68&lt;Input!$H$110,IF($A68&lt;Input!$G$110,IF($A68&lt;Input!$F$110,IF($A68&lt;Input!$E$110,IF($A68&lt;Input!$D$110,Input!$C$111,Input!$D$111),Input!$E$111),Input!$F$111),Input!$G$111),Input!$H$111)</f>
        <v>0.9</v>
      </c>
      <c r="BK68" s="60">
        <f t="shared" si="19"/>
        <v>0</v>
      </c>
      <c r="BL68" s="60">
        <f t="shared" si="35"/>
        <v>30</v>
      </c>
      <c r="BM68" s="60">
        <f t="shared" si="20"/>
        <v>0</v>
      </c>
      <c r="BN68" s="60">
        <f>ROUND(BM68*BL68*Input!$C$3/365,0)</f>
        <v>0</v>
      </c>
      <c r="BO68" s="61">
        <f>IF($A68&lt;=Input!$C$6,0,IF('120M'!BK68&lt;'120M'!BM68,'120M'!BK68-BN68,'120M'!BM68))</f>
        <v>0</v>
      </c>
      <c r="BP68" s="61">
        <f t="shared" si="21"/>
        <v>0</v>
      </c>
      <c r="BQ68" s="60">
        <f t="shared" si="22"/>
        <v>0</v>
      </c>
      <c r="BR68" s="198"/>
    </row>
    <row r="69" spans="1:70" x14ac:dyDescent="0.25">
      <c r="A69" s="169">
        <v>65</v>
      </c>
      <c r="B69" s="1">
        <f t="shared" si="23"/>
        <v>47498</v>
      </c>
      <c r="C69" s="60">
        <f t="shared" ref="C69:C132" si="39">M69+Y69+AK69+AW69+BI69</f>
        <v>18940500</v>
      </c>
      <c r="D69" s="60">
        <f t="shared" ref="D69:D132" si="40">O69+AA69+AM69+AY69+BK69</f>
        <v>17046450</v>
      </c>
      <c r="E69" s="60">
        <f t="shared" si="24"/>
        <v>31</v>
      </c>
      <c r="F69" s="60">
        <f t="shared" si="25"/>
        <v>700940074</v>
      </c>
      <c r="G69" s="60">
        <f>ROUND(F69*E69*Input!$C$3/365,0)</f>
        <v>8929785</v>
      </c>
      <c r="H69" s="60">
        <f>IF($A69&lt;=Input!$C$6,0,IF('120M'!D69&lt;'120M'!F69,'120M'!D69-G69,'120M'!F69))</f>
        <v>8116665</v>
      </c>
      <c r="I69" s="60">
        <f t="shared" si="26"/>
        <v>17046450</v>
      </c>
      <c r="J69" s="60">
        <f t="shared" si="27"/>
        <v>692823409</v>
      </c>
      <c r="K69" s="202">
        <f>J69/Input!$K$5</f>
        <v>2.3094113633333335</v>
      </c>
      <c r="L69" s="232"/>
      <c r="M69" s="60">
        <f>IF($B69&lt;Input!$H$43,IF($B69&lt;Input!$G$43,IF($B69&lt;Input!$F$43,IF($B69&lt;Input!$E$43,IF($B69&lt;Input!$D$43,Input!$C$49,Input!$D$49),Input!$E$49),Input!$F$49),Input!$G$49),Input!$H$49)</f>
        <v>18940500</v>
      </c>
      <c r="N69" s="190">
        <f>IF($A69&lt;Input!$H$50,IF($A69&lt;Input!$G$50,IF($A69&lt;Input!$F$50,IF($A69&lt;Input!$E$50,IF($A69&lt;Input!$D$50,Input!$C$51,Input!$D$51),Input!$E$51),Input!$F$51),Input!$G$51),Input!$H$51)</f>
        <v>0.9</v>
      </c>
      <c r="O69" s="60">
        <f t="shared" si="38"/>
        <v>17046450</v>
      </c>
      <c r="P69" s="60">
        <f t="shared" ref="P69:P100" si="41">B69-B68</f>
        <v>31</v>
      </c>
      <c r="Q69" s="60">
        <f t="shared" ref="Q69:Q132" si="42">U68</f>
        <v>700940074</v>
      </c>
      <c r="R69" s="60">
        <f>ROUND(Q69*$P69*Input!$C$3/365,0)</f>
        <v>8929785</v>
      </c>
      <c r="S69" s="60">
        <f>IF(A69&lt;=Input!$C$6,0,IF('120M'!O69&lt;'120M'!Q69,'120M'!O69-R69,'120M'!Q69))</f>
        <v>8116665</v>
      </c>
      <c r="T69" s="60">
        <f t="shared" ref="T69:T132" si="43">R69+S69</f>
        <v>17046450</v>
      </c>
      <c r="U69" s="60">
        <f t="shared" ref="U69:U132" si="44">U68-S69</f>
        <v>692823409</v>
      </c>
      <c r="V69" s="193"/>
      <c r="W69" s="169">
        <v>65</v>
      </c>
      <c r="X69" s="1">
        <f t="shared" si="28"/>
        <v>47498</v>
      </c>
      <c r="Y69" s="60">
        <f>IF($X69&lt;Input!$H$58,IF($X69&lt;Input!$G$58,IF($X69&lt;Input!$F$58,IF($X69&lt;Input!$E$58,IF($X69&lt;Input!$D$58,Input!$C$64,Input!$D$64),Input!$E$64),Input!$F$64),Input!$G$64),Input!$H$64)</f>
        <v>0</v>
      </c>
      <c r="Z69" s="190">
        <f>IF($A69&lt;Input!$H$65,IF($A69&lt;Input!$G$65,IF($A69&lt;Input!$F$65,IF($A69&lt;Input!$E$65,IF($A69&lt;Input!$D$65,Input!$C$66,Input!$D$66),Input!$E$66),Input!$F$66),Input!$G$66),Input!$H$66)</f>
        <v>0.9</v>
      </c>
      <c r="AA69" s="60">
        <f t="shared" ref="AA69:AA132" si="45">Y69*Z69</f>
        <v>0</v>
      </c>
      <c r="AB69" s="60">
        <f t="shared" si="29"/>
        <v>31</v>
      </c>
      <c r="AC69" s="60">
        <f t="shared" ref="AC69:AC132" si="46">AG68</f>
        <v>0</v>
      </c>
      <c r="AD69" s="60">
        <f>ROUND(AC69*AB69*Input!$C$3/365,0)</f>
        <v>0</v>
      </c>
      <c r="AE69" s="61">
        <f>IF($A69&lt;=Input!$C$6,0,IF('120M'!AA69&lt;'120M'!AC69,'120M'!AA69-AD69,'120M'!AC69))</f>
        <v>0</v>
      </c>
      <c r="AF69" s="61">
        <f t="shared" ref="AF69:AF132" si="47">AD69+AE69</f>
        <v>0</v>
      </c>
      <c r="AG69" s="60">
        <f t="shared" ref="AG69:AG132" si="48">AG68-AE69</f>
        <v>0</v>
      </c>
      <c r="AH69" s="193"/>
      <c r="AI69" s="169">
        <v>65</v>
      </c>
      <c r="AJ69" s="1">
        <f t="shared" si="30"/>
        <v>47498</v>
      </c>
      <c r="AK69" s="60">
        <f>IF($X69&lt;Input!$H$73,IF($X69&lt;Input!$G$73,IF($X69&lt;Input!$F$73,IF($X69&lt;Input!$E$73,IF($X69&lt;Input!$D$73,Input!$C$79,Input!$D$79),Input!$E$79),Input!$F$79),Input!$G$79),Input!$H$79)</f>
        <v>0</v>
      </c>
      <c r="AL69" s="190">
        <f>IF($A69&lt;Input!$H$80,IF($A69&lt;Input!$G$80,IF($A69&lt;Input!$F$80,IF($A69&lt;Input!$E$80,IF($A69&lt;Input!$D$80,Input!$C$81,Input!$D$81),Input!$E$81),Input!$F$81),Input!$G$81),Input!$H$81)</f>
        <v>0.9</v>
      </c>
      <c r="AM69" s="60">
        <f t="shared" ref="AM69:AM132" si="49">AK69*AL69</f>
        <v>0</v>
      </c>
      <c r="AN69" s="60">
        <f t="shared" si="31"/>
        <v>31</v>
      </c>
      <c r="AO69" s="60">
        <f t="shared" ref="AO69:AO132" si="50">AS68</f>
        <v>0</v>
      </c>
      <c r="AP69" s="60">
        <f>ROUND(AO69*AN69*Input!$C$3/365,0)</f>
        <v>0</v>
      </c>
      <c r="AQ69" s="61">
        <f>IF($A69&lt;=Input!$C$6,0,IF('120M'!AM69&lt;'120M'!AO69,'120M'!AM69-AP69,'120M'!AO69))</f>
        <v>0</v>
      </c>
      <c r="AR69" s="61">
        <f t="shared" ref="AR69:AR132" si="51">AP69+AQ69</f>
        <v>0</v>
      </c>
      <c r="AS69" s="60">
        <f t="shared" ref="AS69:AS132" si="52">AS68-AQ69</f>
        <v>0</v>
      </c>
      <c r="AT69" s="193"/>
      <c r="AU69" s="169">
        <v>65</v>
      </c>
      <c r="AV69" s="1">
        <f t="shared" si="32"/>
        <v>47498</v>
      </c>
      <c r="AW69" s="60">
        <f>IF($X69&lt;Input!$H$88,IF($X69&lt;Input!$G$88,IF($X69&lt;Input!$F$88,IF($X69&lt;Input!$E$88,IF($X69&lt;Input!$D$88,Input!$C$94,Input!$D$94),Input!$E$94),Input!$F$94),Input!$G$94),Input!$H$94)</f>
        <v>0</v>
      </c>
      <c r="AX69" s="190">
        <f>IF($A69&lt;Input!$H$95,IF($A69&lt;Input!$G$95,IF($A69&lt;Input!$F$95,IF($A69&lt;Input!$E$95,IF($A69&lt;Input!$D$95,Input!$C$96,Input!$D$96),Input!$E$96),Input!$F$96),Input!$G$96),Input!$H$96)</f>
        <v>0.9</v>
      </c>
      <c r="AY69" s="60">
        <f t="shared" ref="AY69:AY132" si="53">AW69*AX69</f>
        <v>0</v>
      </c>
      <c r="AZ69" s="60">
        <f t="shared" si="33"/>
        <v>31</v>
      </c>
      <c r="BA69" s="60">
        <f t="shared" ref="BA69:BA132" si="54">BE68</f>
        <v>0</v>
      </c>
      <c r="BB69" s="60">
        <f>ROUND(BA69*AZ69*Input!$C$3/365,0)</f>
        <v>0</v>
      </c>
      <c r="BC69" s="61">
        <f>IF($A69&lt;=Input!$C$6,0,IF('120M'!AY69&lt;'120M'!BA69,'120M'!AY69-BB69,'120M'!BA69))</f>
        <v>0</v>
      </c>
      <c r="BD69" s="61">
        <f t="shared" ref="BD69:BD132" si="55">BB69+BC69</f>
        <v>0</v>
      </c>
      <c r="BE69" s="60">
        <f t="shared" ref="BE69:BE132" si="56">BE68-BC69</f>
        <v>0</v>
      </c>
      <c r="BF69" s="193"/>
      <c r="BG69" s="169">
        <v>65</v>
      </c>
      <c r="BH69" s="1">
        <f t="shared" si="34"/>
        <v>47498</v>
      </c>
      <c r="BI69" s="60">
        <f>IF($X69&lt;Input!$H$103,IF($X69&lt;Input!$G$103,IF($X69&lt;Input!$F$103,IF($X69&lt;Input!$E$103,IF($X69&lt;Input!$D$103,Input!$C$109,Input!$D$109),Input!$E$109),Input!$F$109),Input!$G$109),Input!$H$109)</f>
        <v>0</v>
      </c>
      <c r="BJ69" s="190">
        <f>IF($A69&lt;Input!$H$110,IF($A69&lt;Input!$G$110,IF($A69&lt;Input!$F$110,IF($A69&lt;Input!$E$110,IF($A69&lt;Input!$D$110,Input!$C$111,Input!$D$111),Input!$E$111),Input!$F$111),Input!$G$111),Input!$H$111)</f>
        <v>0.9</v>
      </c>
      <c r="BK69" s="60">
        <f t="shared" ref="BK69:BK132" si="57">BI69*BJ69</f>
        <v>0</v>
      </c>
      <c r="BL69" s="60">
        <f t="shared" si="35"/>
        <v>31</v>
      </c>
      <c r="BM69" s="60">
        <f t="shared" ref="BM69:BM132" si="58">BQ68</f>
        <v>0</v>
      </c>
      <c r="BN69" s="60">
        <f>ROUND(BM69*BL69*Input!$C$3/365,0)</f>
        <v>0</v>
      </c>
      <c r="BO69" s="61">
        <f>IF($A69&lt;=Input!$C$6,0,IF('120M'!BK69&lt;'120M'!BM69,'120M'!BK69-BN69,'120M'!BM69))</f>
        <v>0</v>
      </c>
      <c r="BP69" s="61">
        <f t="shared" ref="BP69:BP132" si="59">BN69+BO69</f>
        <v>0</v>
      </c>
      <c r="BQ69" s="60">
        <f t="shared" ref="BQ69:BQ132" si="60">BQ68-BO69</f>
        <v>0</v>
      </c>
      <c r="BR69" s="198"/>
    </row>
    <row r="70" spans="1:70" x14ac:dyDescent="0.25">
      <c r="A70" s="169">
        <v>66</v>
      </c>
      <c r="B70" s="1">
        <f t="shared" ref="B70:B133" si="61">EDATE(B69,1)</f>
        <v>47529</v>
      </c>
      <c r="C70" s="60">
        <f t="shared" si="39"/>
        <v>18940500</v>
      </c>
      <c r="D70" s="60">
        <f t="shared" si="40"/>
        <v>17046450</v>
      </c>
      <c r="E70" s="60">
        <f t="shared" ref="E70:E133" si="62">B70-B69</f>
        <v>31</v>
      </c>
      <c r="F70" s="60">
        <f t="shared" ref="F70:F133" si="63">J69</f>
        <v>692823409</v>
      </c>
      <c r="G70" s="60">
        <f>ROUND(F70*E70*Input!$C$3/365,0)</f>
        <v>8826380</v>
      </c>
      <c r="H70" s="60">
        <f>IF($A70&lt;=Input!$C$6,0,IF('120M'!D70&lt;'120M'!F70,'120M'!D70-G70,'120M'!F70))</f>
        <v>8220070</v>
      </c>
      <c r="I70" s="60">
        <f t="shared" ref="I70:I133" si="64">G70+H70</f>
        <v>17046450</v>
      </c>
      <c r="J70" s="60">
        <f t="shared" ref="J70:J133" si="65">J69-H70</f>
        <v>684603339</v>
      </c>
      <c r="K70" s="202">
        <f>J70/Input!$K$5</f>
        <v>2.2820111299999999</v>
      </c>
      <c r="L70" s="232"/>
      <c r="M70" s="60">
        <f>IF($B70&lt;Input!$H$43,IF($B70&lt;Input!$G$43,IF($B70&lt;Input!$F$43,IF($B70&lt;Input!$E$43,IF($B70&lt;Input!$D$43,Input!$C$49,Input!$D$49),Input!$E$49),Input!$F$49),Input!$G$49),Input!$H$49)</f>
        <v>18940500</v>
      </c>
      <c r="N70" s="190">
        <f>IF($A70&lt;Input!$H$50,IF($A70&lt;Input!$G$50,IF($A70&lt;Input!$F$50,IF($A70&lt;Input!$E$50,IF($A70&lt;Input!$D$50,Input!$C$51,Input!$D$51),Input!$E$51),Input!$F$51),Input!$G$51),Input!$H$51)</f>
        <v>0.9</v>
      </c>
      <c r="O70" s="60">
        <f t="shared" si="38"/>
        <v>17046450</v>
      </c>
      <c r="P70" s="60">
        <f t="shared" si="41"/>
        <v>31</v>
      </c>
      <c r="Q70" s="60">
        <f t="shared" si="42"/>
        <v>692823409</v>
      </c>
      <c r="R70" s="60">
        <f>ROUND(Q70*$P70*Input!$C$3/365,0)</f>
        <v>8826380</v>
      </c>
      <c r="S70" s="60">
        <f>IF(A70&lt;=Input!$C$6,0,IF('120M'!O70&lt;'120M'!Q70,'120M'!O70-R70,'120M'!Q70))</f>
        <v>8220070</v>
      </c>
      <c r="T70" s="60">
        <f t="shared" si="43"/>
        <v>17046450</v>
      </c>
      <c r="U70" s="60">
        <f t="shared" si="44"/>
        <v>684603339</v>
      </c>
      <c r="V70" s="193"/>
      <c r="W70" s="169">
        <v>66</v>
      </c>
      <c r="X70" s="1">
        <f t="shared" ref="X70:X133" si="66">EDATE(X69,1)</f>
        <v>47529</v>
      </c>
      <c r="Y70" s="60">
        <f>IF($X70&lt;Input!$H$58,IF($X70&lt;Input!$G$58,IF($X70&lt;Input!$F$58,IF($X70&lt;Input!$E$58,IF($X70&lt;Input!$D$58,Input!$C$64,Input!$D$64),Input!$E$64),Input!$F$64),Input!$G$64),Input!$H$64)</f>
        <v>0</v>
      </c>
      <c r="Z70" s="190">
        <f>IF($A70&lt;Input!$H$65,IF($A70&lt;Input!$G$65,IF($A70&lt;Input!$F$65,IF($A70&lt;Input!$E$65,IF($A70&lt;Input!$D$65,Input!$C$66,Input!$D$66),Input!$E$66),Input!$F$66),Input!$G$66),Input!$H$66)</f>
        <v>0.9</v>
      </c>
      <c r="AA70" s="60">
        <f t="shared" si="45"/>
        <v>0</v>
      </c>
      <c r="AB70" s="60">
        <f t="shared" ref="AB70:AB133" si="67">X70-X69</f>
        <v>31</v>
      </c>
      <c r="AC70" s="60">
        <f t="shared" si="46"/>
        <v>0</v>
      </c>
      <c r="AD70" s="60">
        <f>ROUND(AC70*AB70*Input!$C$3/365,0)</f>
        <v>0</v>
      </c>
      <c r="AE70" s="61">
        <f>IF($A70&lt;=Input!$C$6,0,IF('120M'!AA70&lt;'120M'!AC70,'120M'!AA70-AD70,'120M'!AC70))</f>
        <v>0</v>
      </c>
      <c r="AF70" s="61">
        <f t="shared" si="47"/>
        <v>0</v>
      </c>
      <c r="AG70" s="60">
        <f t="shared" si="48"/>
        <v>0</v>
      </c>
      <c r="AH70" s="193"/>
      <c r="AI70" s="169">
        <v>66</v>
      </c>
      <c r="AJ70" s="1">
        <f t="shared" ref="AJ70:AJ133" si="68">EDATE(AJ69,1)</f>
        <v>47529</v>
      </c>
      <c r="AK70" s="60">
        <f>IF($X70&lt;Input!$H$73,IF($X70&lt;Input!$G$73,IF($X70&lt;Input!$F$73,IF($X70&lt;Input!$E$73,IF($X70&lt;Input!$D$73,Input!$C$79,Input!$D$79),Input!$E$79),Input!$F$79),Input!$G$79),Input!$H$79)</f>
        <v>0</v>
      </c>
      <c r="AL70" s="190">
        <f>IF($A70&lt;Input!$H$80,IF($A70&lt;Input!$G$80,IF($A70&lt;Input!$F$80,IF($A70&lt;Input!$E$80,IF($A70&lt;Input!$D$80,Input!$C$81,Input!$D$81),Input!$E$81),Input!$F$81),Input!$G$81),Input!$H$81)</f>
        <v>0.9</v>
      </c>
      <c r="AM70" s="60">
        <f t="shared" si="49"/>
        <v>0</v>
      </c>
      <c r="AN70" s="60">
        <f t="shared" ref="AN70:AN133" si="69">AJ70-AJ69</f>
        <v>31</v>
      </c>
      <c r="AO70" s="60">
        <f t="shared" si="50"/>
        <v>0</v>
      </c>
      <c r="AP70" s="60">
        <f>ROUND(AO70*AN70*Input!$C$3/365,0)</f>
        <v>0</v>
      </c>
      <c r="AQ70" s="61">
        <f>IF($A70&lt;=Input!$C$6,0,IF('120M'!AM70&lt;'120M'!AO70,'120M'!AM70-AP70,'120M'!AO70))</f>
        <v>0</v>
      </c>
      <c r="AR70" s="61">
        <f t="shared" si="51"/>
        <v>0</v>
      </c>
      <c r="AS70" s="60">
        <f t="shared" si="52"/>
        <v>0</v>
      </c>
      <c r="AT70" s="193"/>
      <c r="AU70" s="169">
        <v>66</v>
      </c>
      <c r="AV70" s="1">
        <f t="shared" ref="AV70:AV133" si="70">EDATE(AV69,1)</f>
        <v>47529</v>
      </c>
      <c r="AW70" s="60">
        <f>IF($X70&lt;Input!$H$88,IF($X70&lt;Input!$G$88,IF($X70&lt;Input!$F$88,IF($X70&lt;Input!$E$88,IF($X70&lt;Input!$D$88,Input!$C$94,Input!$D$94),Input!$E$94),Input!$F$94),Input!$G$94),Input!$H$94)</f>
        <v>0</v>
      </c>
      <c r="AX70" s="190">
        <f>IF($A70&lt;Input!$H$95,IF($A70&lt;Input!$G$95,IF($A70&lt;Input!$F$95,IF($A70&lt;Input!$E$95,IF($A70&lt;Input!$D$95,Input!$C$96,Input!$D$96),Input!$E$96),Input!$F$96),Input!$G$96),Input!$H$96)</f>
        <v>0.9</v>
      </c>
      <c r="AY70" s="60">
        <f t="shared" si="53"/>
        <v>0</v>
      </c>
      <c r="AZ70" s="60">
        <f t="shared" ref="AZ70:AZ133" si="71">AV70-AV69</f>
        <v>31</v>
      </c>
      <c r="BA70" s="60">
        <f t="shared" si="54"/>
        <v>0</v>
      </c>
      <c r="BB70" s="60">
        <f>ROUND(BA70*AZ70*Input!$C$3/365,0)</f>
        <v>0</v>
      </c>
      <c r="BC70" s="61">
        <f>IF($A70&lt;=Input!$C$6,0,IF('120M'!AY70&lt;'120M'!BA70,'120M'!AY70-BB70,'120M'!BA70))</f>
        <v>0</v>
      </c>
      <c r="BD70" s="61">
        <f t="shared" si="55"/>
        <v>0</v>
      </c>
      <c r="BE70" s="60">
        <f t="shared" si="56"/>
        <v>0</v>
      </c>
      <c r="BF70" s="193"/>
      <c r="BG70" s="169">
        <v>66</v>
      </c>
      <c r="BH70" s="1">
        <f t="shared" ref="BH70:BH133" si="72">EDATE(BH69,1)</f>
        <v>47529</v>
      </c>
      <c r="BI70" s="60">
        <f>IF($X70&lt;Input!$H$103,IF($X70&lt;Input!$G$103,IF($X70&lt;Input!$F$103,IF($X70&lt;Input!$E$103,IF($X70&lt;Input!$D$103,Input!$C$109,Input!$D$109),Input!$E$109),Input!$F$109),Input!$G$109),Input!$H$109)</f>
        <v>0</v>
      </c>
      <c r="BJ70" s="190">
        <f>IF($A70&lt;Input!$H$110,IF($A70&lt;Input!$G$110,IF($A70&lt;Input!$F$110,IF($A70&lt;Input!$E$110,IF($A70&lt;Input!$D$110,Input!$C$111,Input!$D$111),Input!$E$111),Input!$F$111),Input!$G$111),Input!$H$111)</f>
        <v>0.9</v>
      </c>
      <c r="BK70" s="60">
        <f t="shared" si="57"/>
        <v>0</v>
      </c>
      <c r="BL70" s="60">
        <f t="shared" ref="BL70:BL133" si="73">BH70-BH69</f>
        <v>31</v>
      </c>
      <c r="BM70" s="60">
        <f t="shared" si="58"/>
        <v>0</v>
      </c>
      <c r="BN70" s="60">
        <f>ROUND(BM70*BL70*Input!$C$3/365,0)</f>
        <v>0</v>
      </c>
      <c r="BO70" s="61">
        <f>IF($A70&lt;=Input!$C$6,0,IF('120M'!BK70&lt;'120M'!BM70,'120M'!BK70-BN70,'120M'!BM70))</f>
        <v>0</v>
      </c>
      <c r="BP70" s="61">
        <f t="shared" si="59"/>
        <v>0</v>
      </c>
      <c r="BQ70" s="60">
        <f t="shared" si="60"/>
        <v>0</v>
      </c>
      <c r="BR70" s="198"/>
    </row>
    <row r="71" spans="1:70" x14ac:dyDescent="0.25">
      <c r="A71" s="169">
        <v>67</v>
      </c>
      <c r="B71" s="1">
        <f t="shared" si="61"/>
        <v>47557</v>
      </c>
      <c r="C71" s="60">
        <f t="shared" si="39"/>
        <v>18940500</v>
      </c>
      <c r="D71" s="60">
        <f t="shared" si="40"/>
        <v>17046450</v>
      </c>
      <c r="E71" s="60">
        <f t="shared" si="62"/>
        <v>28</v>
      </c>
      <c r="F71" s="60">
        <f t="shared" si="63"/>
        <v>684603339</v>
      </c>
      <c r="G71" s="60">
        <f>ROUND(F71*E71*Input!$C$3/365,0)</f>
        <v>7877627</v>
      </c>
      <c r="H71" s="60">
        <f>IF($A71&lt;=Input!$C$6,0,IF('120M'!D71&lt;'120M'!F71,'120M'!D71-G71,'120M'!F71))</f>
        <v>9168823</v>
      </c>
      <c r="I71" s="60">
        <f t="shared" si="64"/>
        <v>17046450</v>
      </c>
      <c r="J71" s="60">
        <f t="shared" si="65"/>
        <v>675434516</v>
      </c>
      <c r="K71" s="202">
        <f>J71/Input!$K$5</f>
        <v>2.2514483866666666</v>
      </c>
      <c r="L71" s="232"/>
      <c r="M71" s="60">
        <f>IF($B71&lt;Input!$H$43,IF($B71&lt;Input!$G$43,IF($B71&lt;Input!$F$43,IF($B71&lt;Input!$E$43,IF($B71&lt;Input!$D$43,Input!$C$49,Input!$D$49),Input!$E$49),Input!$F$49),Input!$G$49),Input!$H$49)</f>
        <v>18940500</v>
      </c>
      <c r="N71" s="190">
        <f>IF($A71&lt;Input!$H$50,IF($A71&lt;Input!$G$50,IF($A71&lt;Input!$F$50,IF($A71&lt;Input!$E$50,IF($A71&lt;Input!$D$50,Input!$C$51,Input!$D$51),Input!$E$51),Input!$F$51),Input!$G$51),Input!$H$51)</f>
        <v>0.9</v>
      </c>
      <c r="O71" s="60">
        <f t="shared" si="38"/>
        <v>17046450</v>
      </c>
      <c r="P71" s="60">
        <f t="shared" si="41"/>
        <v>28</v>
      </c>
      <c r="Q71" s="60">
        <f t="shared" si="42"/>
        <v>684603339</v>
      </c>
      <c r="R71" s="60">
        <f>ROUND(Q71*$P71*Input!$C$3/365,0)</f>
        <v>7877627</v>
      </c>
      <c r="S71" s="60">
        <f>IF(A71&lt;=Input!$C$6,0,IF('120M'!O71&lt;'120M'!Q71,'120M'!O71-R71,'120M'!Q71))</f>
        <v>9168823</v>
      </c>
      <c r="T71" s="60">
        <f t="shared" si="43"/>
        <v>17046450</v>
      </c>
      <c r="U71" s="60">
        <f t="shared" si="44"/>
        <v>675434516</v>
      </c>
      <c r="V71" s="193"/>
      <c r="W71" s="169">
        <v>67</v>
      </c>
      <c r="X71" s="1">
        <f t="shared" si="66"/>
        <v>47557</v>
      </c>
      <c r="Y71" s="60">
        <f>IF($X71&lt;Input!$H$58,IF($X71&lt;Input!$G$58,IF($X71&lt;Input!$F$58,IF($X71&lt;Input!$E$58,IF($X71&lt;Input!$D$58,Input!$C$64,Input!$D$64),Input!$E$64),Input!$F$64),Input!$G$64),Input!$H$64)</f>
        <v>0</v>
      </c>
      <c r="Z71" s="190">
        <f>IF($A71&lt;Input!$H$65,IF($A71&lt;Input!$G$65,IF($A71&lt;Input!$F$65,IF($A71&lt;Input!$E$65,IF($A71&lt;Input!$D$65,Input!$C$66,Input!$D$66),Input!$E$66),Input!$F$66),Input!$G$66),Input!$H$66)</f>
        <v>0.9</v>
      </c>
      <c r="AA71" s="60">
        <f t="shared" si="45"/>
        <v>0</v>
      </c>
      <c r="AB71" s="60">
        <f t="shared" si="67"/>
        <v>28</v>
      </c>
      <c r="AC71" s="60">
        <f t="shared" si="46"/>
        <v>0</v>
      </c>
      <c r="AD71" s="60">
        <f>ROUND(AC71*AB71*Input!$C$3/365,0)</f>
        <v>0</v>
      </c>
      <c r="AE71" s="61">
        <f>IF($A71&lt;=Input!$C$6,0,IF('120M'!AA71&lt;'120M'!AC71,'120M'!AA71-AD71,'120M'!AC71))</f>
        <v>0</v>
      </c>
      <c r="AF71" s="61">
        <f t="shared" si="47"/>
        <v>0</v>
      </c>
      <c r="AG71" s="60">
        <f t="shared" si="48"/>
        <v>0</v>
      </c>
      <c r="AH71" s="193"/>
      <c r="AI71" s="169">
        <v>67</v>
      </c>
      <c r="AJ71" s="1">
        <f t="shared" si="68"/>
        <v>47557</v>
      </c>
      <c r="AK71" s="60">
        <f>IF($X71&lt;Input!$H$73,IF($X71&lt;Input!$G$73,IF($X71&lt;Input!$F$73,IF($X71&lt;Input!$E$73,IF($X71&lt;Input!$D$73,Input!$C$79,Input!$D$79),Input!$E$79),Input!$F$79),Input!$G$79),Input!$H$79)</f>
        <v>0</v>
      </c>
      <c r="AL71" s="190">
        <f>IF($A71&lt;Input!$H$80,IF($A71&lt;Input!$G$80,IF($A71&lt;Input!$F$80,IF($A71&lt;Input!$E$80,IF($A71&lt;Input!$D$80,Input!$C$81,Input!$D$81),Input!$E$81),Input!$F$81),Input!$G$81),Input!$H$81)</f>
        <v>0.9</v>
      </c>
      <c r="AM71" s="60">
        <f t="shared" si="49"/>
        <v>0</v>
      </c>
      <c r="AN71" s="60">
        <f t="shared" si="69"/>
        <v>28</v>
      </c>
      <c r="AO71" s="60">
        <f t="shared" si="50"/>
        <v>0</v>
      </c>
      <c r="AP71" s="60">
        <f>ROUND(AO71*AN71*Input!$C$3/365,0)</f>
        <v>0</v>
      </c>
      <c r="AQ71" s="61">
        <f>IF($A71&lt;=Input!$C$6,0,IF('120M'!AM71&lt;'120M'!AO71,'120M'!AM71-AP71,'120M'!AO71))</f>
        <v>0</v>
      </c>
      <c r="AR71" s="61">
        <f t="shared" si="51"/>
        <v>0</v>
      </c>
      <c r="AS71" s="60">
        <f t="shared" si="52"/>
        <v>0</v>
      </c>
      <c r="AT71" s="193"/>
      <c r="AU71" s="169">
        <v>67</v>
      </c>
      <c r="AV71" s="1">
        <f t="shared" si="70"/>
        <v>47557</v>
      </c>
      <c r="AW71" s="60">
        <f>IF($X71&lt;Input!$H$88,IF($X71&lt;Input!$G$88,IF($X71&lt;Input!$F$88,IF($X71&lt;Input!$E$88,IF($X71&lt;Input!$D$88,Input!$C$94,Input!$D$94),Input!$E$94),Input!$F$94),Input!$G$94),Input!$H$94)</f>
        <v>0</v>
      </c>
      <c r="AX71" s="190">
        <f>IF($A71&lt;Input!$H$95,IF($A71&lt;Input!$G$95,IF($A71&lt;Input!$F$95,IF($A71&lt;Input!$E$95,IF($A71&lt;Input!$D$95,Input!$C$96,Input!$D$96),Input!$E$96),Input!$F$96),Input!$G$96),Input!$H$96)</f>
        <v>0.9</v>
      </c>
      <c r="AY71" s="60">
        <f t="shared" si="53"/>
        <v>0</v>
      </c>
      <c r="AZ71" s="60">
        <f t="shared" si="71"/>
        <v>28</v>
      </c>
      <c r="BA71" s="60">
        <f t="shared" si="54"/>
        <v>0</v>
      </c>
      <c r="BB71" s="60">
        <f>ROUND(BA71*AZ71*Input!$C$3/365,0)</f>
        <v>0</v>
      </c>
      <c r="BC71" s="61">
        <f>IF($A71&lt;=Input!$C$6,0,IF('120M'!AY71&lt;'120M'!BA71,'120M'!AY71-BB71,'120M'!BA71))</f>
        <v>0</v>
      </c>
      <c r="BD71" s="61">
        <f t="shared" si="55"/>
        <v>0</v>
      </c>
      <c r="BE71" s="60">
        <f t="shared" si="56"/>
        <v>0</v>
      </c>
      <c r="BF71" s="193"/>
      <c r="BG71" s="169">
        <v>67</v>
      </c>
      <c r="BH71" s="1">
        <f t="shared" si="72"/>
        <v>47557</v>
      </c>
      <c r="BI71" s="60">
        <f>IF($X71&lt;Input!$H$103,IF($X71&lt;Input!$G$103,IF($X71&lt;Input!$F$103,IF($X71&lt;Input!$E$103,IF($X71&lt;Input!$D$103,Input!$C$109,Input!$D$109),Input!$E$109),Input!$F$109),Input!$G$109),Input!$H$109)</f>
        <v>0</v>
      </c>
      <c r="BJ71" s="190">
        <f>IF($A71&lt;Input!$H$110,IF($A71&lt;Input!$G$110,IF($A71&lt;Input!$F$110,IF($A71&lt;Input!$E$110,IF($A71&lt;Input!$D$110,Input!$C$111,Input!$D$111),Input!$E$111),Input!$F$111),Input!$G$111),Input!$H$111)</f>
        <v>0.9</v>
      </c>
      <c r="BK71" s="60">
        <f t="shared" si="57"/>
        <v>0</v>
      </c>
      <c r="BL71" s="60">
        <f t="shared" si="73"/>
        <v>28</v>
      </c>
      <c r="BM71" s="60">
        <f t="shared" si="58"/>
        <v>0</v>
      </c>
      <c r="BN71" s="60">
        <f>ROUND(BM71*BL71*Input!$C$3/365,0)</f>
        <v>0</v>
      </c>
      <c r="BO71" s="61">
        <f>IF($A71&lt;=Input!$C$6,0,IF('120M'!BK71&lt;'120M'!BM71,'120M'!BK71-BN71,'120M'!BM71))</f>
        <v>0</v>
      </c>
      <c r="BP71" s="61">
        <f t="shared" si="59"/>
        <v>0</v>
      </c>
      <c r="BQ71" s="60">
        <f t="shared" si="60"/>
        <v>0</v>
      </c>
      <c r="BR71" s="198"/>
    </row>
    <row r="72" spans="1:70" x14ac:dyDescent="0.25">
      <c r="A72" s="169">
        <v>68</v>
      </c>
      <c r="B72" s="1">
        <f t="shared" si="61"/>
        <v>47588</v>
      </c>
      <c r="C72" s="60">
        <f t="shared" si="39"/>
        <v>18940500</v>
      </c>
      <c r="D72" s="60">
        <f t="shared" si="40"/>
        <v>17046450</v>
      </c>
      <c r="E72" s="60">
        <f t="shared" si="62"/>
        <v>31</v>
      </c>
      <c r="F72" s="60">
        <f t="shared" si="63"/>
        <v>675434516</v>
      </c>
      <c r="G72" s="60">
        <f>ROUND(F72*E72*Input!$C$3/365,0)</f>
        <v>8604851</v>
      </c>
      <c r="H72" s="60">
        <f>IF($A72&lt;=Input!$C$6,0,IF('120M'!D72&lt;'120M'!F72,'120M'!D72-G72,'120M'!F72))</f>
        <v>8441599</v>
      </c>
      <c r="I72" s="60">
        <f t="shared" si="64"/>
        <v>17046450</v>
      </c>
      <c r="J72" s="60">
        <f t="shared" si="65"/>
        <v>666992917</v>
      </c>
      <c r="K72" s="202">
        <f>J72/Input!$K$5</f>
        <v>2.2233097233333332</v>
      </c>
      <c r="L72" s="232"/>
      <c r="M72" s="60">
        <f>IF($B72&lt;Input!$H$43,IF($B72&lt;Input!$G$43,IF($B72&lt;Input!$F$43,IF($B72&lt;Input!$E$43,IF($B72&lt;Input!$D$43,Input!$C$49,Input!$D$49),Input!$E$49),Input!$F$49),Input!$G$49),Input!$H$49)</f>
        <v>18940500</v>
      </c>
      <c r="N72" s="190">
        <f>IF($A72&lt;Input!$H$50,IF($A72&lt;Input!$G$50,IF($A72&lt;Input!$F$50,IF($A72&lt;Input!$E$50,IF($A72&lt;Input!$D$50,Input!$C$51,Input!$D$51),Input!$E$51),Input!$F$51),Input!$G$51),Input!$H$51)</f>
        <v>0.9</v>
      </c>
      <c r="O72" s="60">
        <f t="shared" si="38"/>
        <v>17046450</v>
      </c>
      <c r="P72" s="60">
        <f t="shared" si="41"/>
        <v>31</v>
      </c>
      <c r="Q72" s="60">
        <f t="shared" si="42"/>
        <v>675434516</v>
      </c>
      <c r="R72" s="60">
        <f>ROUND(Q72*$P72*Input!$C$3/365,0)</f>
        <v>8604851</v>
      </c>
      <c r="S72" s="60">
        <f>IF(A72&lt;=Input!$C$6,0,IF('120M'!O72&lt;'120M'!Q72,'120M'!O72-R72,'120M'!Q72))</f>
        <v>8441599</v>
      </c>
      <c r="T72" s="60">
        <f t="shared" si="43"/>
        <v>17046450</v>
      </c>
      <c r="U72" s="60">
        <f t="shared" si="44"/>
        <v>666992917</v>
      </c>
      <c r="V72" s="193"/>
      <c r="W72" s="169">
        <v>68</v>
      </c>
      <c r="X72" s="1">
        <f t="shared" si="66"/>
        <v>47588</v>
      </c>
      <c r="Y72" s="60">
        <f>IF($X72&lt;Input!$H$58,IF($X72&lt;Input!$G$58,IF($X72&lt;Input!$F$58,IF($X72&lt;Input!$E$58,IF($X72&lt;Input!$D$58,Input!$C$64,Input!$D$64),Input!$E$64),Input!$F$64),Input!$G$64),Input!$H$64)</f>
        <v>0</v>
      </c>
      <c r="Z72" s="190">
        <f>IF($A72&lt;Input!$H$65,IF($A72&lt;Input!$G$65,IF($A72&lt;Input!$F$65,IF($A72&lt;Input!$E$65,IF($A72&lt;Input!$D$65,Input!$C$66,Input!$D$66),Input!$E$66),Input!$F$66),Input!$G$66),Input!$H$66)</f>
        <v>0.9</v>
      </c>
      <c r="AA72" s="60">
        <f t="shared" si="45"/>
        <v>0</v>
      </c>
      <c r="AB72" s="60">
        <f t="shared" si="67"/>
        <v>31</v>
      </c>
      <c r="AC72" s="60">
        <f t="shared" si="46"/>
        <v>0</v>
      </c>
      <c r="AD72" s="60">
        <f>ROUND(AC72*AB72*Input!$C$3/365,0)</f>
        <v>0</v>
      </c>
      <c r="AE72" s="61">
        <f>IF($A72&lt;=Input!$C$6,0,IF('120M'!AA72&lt;'120M'!AC72,'120M'!AA72-AD72,'120M'!AC72))</f>
        <v>0</v>
      </c>
      <c r="AF72" s="61">
        <f t="shared" si="47"/>
        <v>0</v>
      </c>
      <c r="AG72" s="60">
        <f t="shared" si="48"/>
        <v>0</v>
      </c>
      <c r="AH72" s="193"/>
      <c r="AI72" s="169">
        <v>68</v>
      </c>
      <c r="AJ72" s="1">
        <f t="shared" si="68"/>
        <v>47588</v>
      </c>
      <c r="AK72" s="60">
        <f>IF($X72&lt;Input!$H$73,IF($X72&lt;Input!$G$73,IF($X72&lt;Input!$F$73,IF($X72&lt;Input!$E$73,IF($X72&lt;Input!$D$73,Input!$C$79,Input!$D$79),Input!$E$79),Input!$F$79),Input!$G$79),Input!$H$79)</f>
        <v>0</v>
      </c>
      <c r="AL72" s="190">
        <f>IF($A72&lt;Input!$H$80,IF($A72&lt;Input!$G$80,IF($A72&lt;Input!$F$80,IF($A72&lt;Input!$E$80,IF($A72&lt;Input!$D$80,Input!$C$81,Input!$D$81),Input!$E$81),Input!$F$81),Input!$G$81),Input!$H$81)</f>
        <v>0.9</v>
      </c>
      <c r="AM72" s="60">
        <f t="shared" si="49"/>
        <v>0</v>
      </c>
      <c r="AN72" s="60">
        <f t="shared" si="69"/>
        <v>31</v>
      </c>
      <c r="AO72" s="60">
        <f t="shared" si="50"/>
        <v>0</v>
      </c>
      <c r="AP72" s="60">
        <f>ROUND(AO72*AN72*Input!$C$3/365,0)</f>
        <v>0</v>
      </c>
      <c r="AQ72" s="61">
        <f>IF($A72&lt;=Input!$C$6,0,IF('120M'!AM72&lt;'120M'!AO72,'120M'!AM72-AP72,'120M'!AO72))</f>
        <v>0</v>
      </c>
      <c r="AR72" s="61">
        <f t="shared" si="51"/>
        <v>0</v>
      </c>
      <c r="AS72" s="60">
        <f t="shared" si="52"/>
        <v>0</v>
      </c>
      <c r="AT72" s="193"/>
      <c r="AU72" s="169">
        <v>68</v>
      </c>
      <c r="AV72" s="1">
        <f t="shared" si="70"/>
        <v>47588</v>
      </c>
      <c r="AW72" s="60">
        <f>IF($X72&lt;Input!$H$88,IF($X72&lt;Input!$G$88,IF($X72&lt;Input!$F$88,IF($X72&lt;Input!$E$88,IF($X72&lt;Input!$D$88,Input!$C$94,Input!$D$94),Input!$E$94),Input!$F$94),Input!$G$94),Input!$H$94)</f>
        <v>0</v>
      </c>
      <c r="AX72" s="190">
        <f>IF($A72&lt;Input!$H$95,IF($A72&lt;Input!$G$95,IF($A72&lt;Input!$F$95,IF($A72&lt;Input!$E$95,IF($A72&lt;Input!$D$95,Input!$C$96,Input!$D$96),Input!$E$96),Input!$F$96),Input!$G$96),Input!$H$96)</f>
        <v>0.9</v>
      </c>
      <c r="AY72" s="60">
        <f t="shared" si="53"/>
        <v>0</v>
      </c>
      <c r="AZ72" s="60">
        <f t="shared" si="71"/>
        <v>31</v>
      </c>
      <c r="BA72" s="60">
        <f t="shared" si="54"/>
        <v>0</v>
      </c>
      <c r="BB72" s="60">
        <f>ROUND(BA72*AZ72*Input!$C$3/365,0)</f>
        <v>0</v>
      </c>
      <c r="BC72" s="61">
        <f>IF($A72&lt;=Input!$C$6,0,IF('120M'!AY72&lt;'120M'!BA72,'120M'!AY72-BB72,'120M'!BA72))</f>
        <v>0</v>
      </c>
      <c r="BD72" s="61">
        <f t="shared" si="55"/>
        <v>0</v>
      </c>
      <c r="BE72" s="60">
        <f t="shared" si="56"/>
        <v>0</v>
      </c>
      <c r="BF72" s="193"/>
      <c r="BG72" s="169">
        <v>68</v>
      </c>
      <c r="BH72" s="1">
        <f t="shared" si="72"/>
        <v>47588</v>
      </c>
      <c r="BI72" s="60">
        <f>IF($X72&lt;Input!$H$103,IF($X72&lt;Input!$G$103,IF($X72&lt;Input!$F$103,IF($X72&lt;Input!$E$103,IF($X72&lt;Input!$D$103,Input!$C$109,Input!$D$109),Input!$E$109),Input!$F$109),Input!$G$109),Input!$H$109)</f>
        <v>0</v>
      </c>
      <c r="BJ72" s="190">
        <f>IF($A72&lt;Input!$H$110,IF($A72&lt;Input!$G$110,IF($A72&lt;Input!$F$110,IF($A72&lt;Input!$E$110,IF($A72&lt;Input!$D$110,Input!$C$111,Input!$D$111),Input!$E$111),Input!$F$111),Input!$G$111),Input!$H$111)</f>
        <v>0.9</v>
      </c>
      <c r="BK72" s="60">
        <f t="shared" si="57"/>
        <v>0</v>
      </c>
      <c r="BL72" s="60">
        <f t="shared" si="73"/>
        <v>31</v>
      </c>
      <c r="BM72" s="60">
        <f t="shared" si="58"/>
        <v>0</v>
      </c>
      <c r="BN72" s="60">
        <f>ROUND(BM72*BL72*Input!$C$3/365,0)</f>
        <v>0</v>
      </c>
      <c r="BO72" s="61">
        <f>IF($A72&lt;=Input!$C$6,0,IF('120M'!BK72&lt;'120M'!BM72,'120M'!BK72-BN72,'120M'!BM72))</f>
        <v>0</v>
      </c>
      <c r="BP72" s="61">
        <f t="shared" si="59"/>
        <v>0</v>
      </c>
      <c r="BQ72" s="60">
        <f t="shared" si="60"/>
        <v>0</v>
      </c>
      <c r="BR72" s="198"/>
    </row>
    <row r="73" spans="1:70" x14ac:dyDescent="0.25">
      <c r="A73" s="169">
        <v>69</v>
      </c>
      <c r="B73" s="1">
        <f t="shared" si="61"/>
        <v>47618</v>
      </c>
      <c r="C73" s="60">
        <f t="shared" si="39"/>
        <v>18940500</v>
      </c>
      <c r="D73" s="60">
        <f t="shared" si="40"/>
        <v>17046450</v>
      </c>
      <c r="E73" s="60">
        <f t="shared" si="62"/>
        <v>30</v>
      </c>
      <c r="F73" s="60">
        <f t="shared" si="63"/>
        <v>666992917</v>
      </c>
      <c r="G73" s="60">
        <f>ROUND(F73*E73*Input!$C$3/365,0)</f>
        <v>8223200</v>
      </c>
      <c r="H73" s="60">
        <f>IF($A73&lt;=Input!$C$6,0,IF('120M'!D73&lt;'120M'!F73,'120M'!D73-G73,'120M'!F73))</f>
        <v>8823250</v>
      </c>
      <c r="I73" s="60">
        <f t="shared" si="64"/>
        <v>17046450</v>
      </c>
      <c r="J73" s="60">
        <f t="shared" si="65"/>
        <v>658169667</v>
      </c>
      <c r="K73" s="202">
        <f>J73/Input!$K$5</f>
        <v>2.1938988899999998</v>
      </c>
      <c r="L73" s="232"/>
      <c r="M73" s="60">
        <f>IF($B73&lt;Input!$H$43,IF($B73&lt;Input!$G$43,IF($B73&lt;Input!$F$43,IF($B73&lt;Input!$E$43,IF($B73&lt;Input!$D$43,Input!$C$49,Input!$D$49),Input!$E$49),Input!$F$49),Input!$G$49),Input!$H$49)</f>
        <v>18940500</v>
      </c>
      <c r="N73" s="190">
        <f>IF($A73&lt;Input!$H$50,IF($A73&lt;Input!$G$50,IF($A73&lt;Input!$F$50,IF($A73&lt;Input!$E$50,IF($A73&lt;Input!$D$50,Input!$C$51,Input!$D$51),Input!$E$51),Input!$F$51),Input!$G$51),Input!$H$51)</f>
        <v>0.9</v>
      </c>
      <c r="O73" s="60">
        <f t="shared" si="38"/>
        <v>17046450</v>
      </c>
      <c r="P73" s="60">
        <f t="shared" si="41"/>
        <v>30</v>
      </c>
      <c r="Q73" s="60">
        <f t="shared" si="42"/>
        <v>666992917</v>
      </c>
      <c r="R73" s="60">
        <f>ROUND(Q73*$P73*Input!$C$3/365,0)</f>
        <v>8223200</v>
      </c>
      <c r="S73" s="60">
        <f>IF(A73&lt;=Input!$C$6,0,IF('120M'!O73&lt;'120M'!Q73,'120M'!O73-R73,'120M'!Q73))</f>
        <v>8823250</v>
      </c>
      <c r="T73" s="60">
        <f t="shared" si="43"/>
        <v>17046450</v>
      </c>
      <c r="U73" s="60">
        <f t="shared" si="44"/>
        <v>658169667</v>
      </c>
      <c r="V73" s="193"/>
      <c r="W73" s="169">
        <v>69</v>
      </c>
      <c r="X73" s="1">
        <f t="shared" si="66"/>
        <v>47618</v>
      </c>
      <c r="Y73" s="60">
        <f>IF($X73&lt;Input!$H$58,IF($X73&lt;Input!$G$58,IF($X73&lt;Input!$F$58,IF($X73&lt;Input!$E$58,IF($X73&lt;Input!$D$58,Input!$C$64,Input!$D$64),Input!$E$64),Input!$F$64),Input!$G$64),Input!$H$64)</f>
        <v>0</v>
      </c>
      <c r="Z73" s="190">
        <f>IF($A73&lt;Input!$H$65,IF($A73&lt;Input!$G$65,IF($A73&lt;Input!$F$65,IF($A73&lt;Input!$E$65,IF($A73&lt;Input!$D$65,Input!$C$66,Input!$D$66),Input!$E$66),Input!$F$66),Input!$G$66),Input!$H$66)</f>
        <v>0.9</v>
      </c>
      <c r="AA73" s="60">
        <f t="shared" si="45"/>
        <v>0</v>
      </c>
      <c r="AB73" s="60">
        <f t="shared" si="67"/>
        <v>30</v>
      </c>
      <c r="AC73" s="60">
        <f t="shared" si="46"/>
        <v>0</v>
      </c>
      <c r="AD73" s="60">
        <f>ROUND(AC73*AB73*Input!$C$3/365,0)</f>
        <v>0</v>
      </c>
      <c r="AE73" s="61">
        <f>IF($A73&lt;=Input!$C$6,0,IF('120M'!AA73&lt;'120M'!AC73,'120M'!AA73-AD73,'120M'!AC73))</f>
        <v>0</v>
      </c>
      <c r="AF73" s="61">
        <f t="shared" si="47"/>
        <v>0</v>
      </c>
      <c r="AG73" s="60">
        <f t="shared" si="48"/>
        <v>0</v>
      </c>
      <c r="AH73" s="193"/>
      <c r="AI73" s="169">
        <v>69</v>
      </c>
      <c r="AJ73" s="1">
        <f t="shared" si="68"/>
        <v>47618</v>
      </c>
      <c r="AK73" s="60">
        <f>IF($X73&lt;Input!$H$73,IF($X73&lt;Input!$G$73,IF($X73&lt;Input!$F$73,IF($X73&lt;Input!$E$73,IF($X73&lt;Input!$D$73,Input!$C$79,Input!$D$79),Input!$E$79),Input!$F$79),Input!$G$79),Input!$H$79)</f>
        <v>0</v>
      </c>
      <c r="AL73" s="190">
        <f>IF($A73&lt;Input!$H$80,IF($A73&lt;Input!$G$80,IF($A73&lt;Input!$F$80,IF($A73&lt;Input!$E$80,IF($A73&lt;Input!$D$80,Input!$C$81,Input!$D$81),Input!$E$81),Input!$F$81),Input!$G$81),Input!$H$81)</f>
        <v>0.9</v>
      </c>
      <c r="AM73" s="60">
        <f t="shared" si="49"/>
        <v>0</v>
      </c>
      <c r="AN73" s="60">
        <f t="shared" si="69"/>
        <v>30</v>
      </c>
      <c r="AO73" s="60">
        <f t="shared" si="50"/>
        <v>0</v>
      </c>
      <c r="AP73" s="60">
        <f>ROUND(AO73*AN73*Input!$C$3/365,0)</f>
        <v>0</v>
      </c>
      <c r="AQ73" s="61">
        <f>IF($A73&lt;=Input!$C$6,0,IF('120M'!AM73&lt;'120M'!AO73,'120M'!AM73-AP73,'120M'!AO73))</f>
        <v>0</v>
      </c>
      <c r="AR73" s="61">
        <f t="shared" si="51"/>
        <v>0</v>
      </c>
      <c r="AS73" s="60">
        <f t="shared" si="52"/>
        <v>0</v>
      </c>
      <c r="AT73" s="193"/>
      <c r="AU73" s="169">
        <v>69</v>
      </c>
      <c r="AV73" s="1">
        <f t="shared" si="70"/>
        <v>47618</v>
      </c>
      <c r="AW73" s="60">
        <f>IF($X73&lt;Input!$H$88,IF($X73&lt;Input!$G$88,IF($X73&lt;Input!$F$88,IF($X73&lt;Input!$E$88,IF($X73&lt;Input!$D$88,Input!$C$94,Input!$D$94),Input!$E$94),Input!$F$94),Input!$G$94),Input!$H$94)</f>
        <v>0</v>
      </c>
      <c r="AX73" s="190">
        <f>IF($A73&lt;Input!$H$95,IF($A73&lt;Input!$G$95,IF($A73&lt;Input!$F$95,IF($A73&lt;Input!$E$95,IF($A73&lt;Input!$D$95,Input!$C$96,Input!$D$96),Input!$E$96),Input!$F$96),Input!$G$96),Input!$H$96)</f>
        <v>0.9</v>
      </c>
      <c r="AY73" s="60">
        <f t="shared" si="53"/>
        <v>0</v>
      </c>
      <c r="AZ73" s="60">
        <f t="shared" si="71"/>
        <v>30</v>
      </c>
      <c r="BA73" s="60">
        <f t="shared" si="54"/>
        <v>0</v>
      </c>
      <c r="BB73" s="60">
        <f>ROUND(BA73*AZ73*Input!$C$3/365,0)</f>
        <v>0</v>
      </c>
      <c r="BC73" s="61">
        <f>IF($A73&lt;=Input!$C$6,0,IF('120M'!AY73&lt;'120M'!BA73,'120M'!AY73-BB73,'120M'!BA73))</f>
        <v>0</v>
      </c>
      <c r="BD73" s="61">
        <f t="shared" si="55"/>
        <v>0</v>
      </c>
      <c r="BE73" s="60">
        <f t="shared" si="56"/>
        <v>0</v>
      </c>
      <c r="BF73" s="193"/>
      <c r="BG73" s="169">
        <v>69</v>
      </c>
      <c r="BH73" s="1">
        <f t="shared" si="72"/>
        <v>47618</v>
      </c>
      <c r="BI73" s="60">
        <f>IF($X73&lt;Input!$H$103,IF($X73&lt;Input!$G$103,IF($X73&lt;Input!$F$103,IF($X73&lt;Input!$E$103,IF($X73&lt;Input!$D$103,Input!$C$109,Input!$D$109),Input!$E$109),Input!$F$109),Input!$G$109),Input!$H$109)</f>
        <v>0</v>
      </c>
      <c r="BJ73" s="190">
        <f>IF($A73&lt;Input!$H$110,IF($A73&lt;Input!$G$110,IF($A73&lt;Input!$F$110,IF($A73&lt;Input!$E$110,IF($A73&lt;Input!$D$110,Input!$C$111,Input!$D$111),Input!$E$111),Input!$F$111),Input!$G$111),Input!$H$111)</f>
        <v>0.9</v>
      </c>
      <c r="BK73" s="60">
        <f t="shared" si="57"/>
        <v>0</v>
      </c>
      <c r="BL73" s="60">
        <f t="shared" si="73"/>
        <v>30</v>
      </c>
      <c r="BM73" s="60">
        <f t="shared" si="58"/>
        <v>0</v>
      </c>
      <c r="BN73" s="60">
        <f>ROUND(BM73*BL73*Input!$C$3/365,0)</f>
        <v>0</v>
      </c>
      <c r="BO73" s="61">
        <f>IF($A73&lt;=Input!$C$6,0,IF('120M'!BK73&lt;'120M'!BM73,'120M'!BK73-BN73,'120M'!BM73))</f>
        <v>0</v>
      </c>
      <c r="BP73" s="61">
        <f t="shared" si="59"/>
        <v>0</v>
      </c>
      <c r="BQ73" s="60">
        <f t="shared" si="60"/>
        <v>0</v>
      </c>
      <c r="BR73" s="198"/>
    </row>
    <row r="74" spans="1:70" x14ac:dyDescent="0.25">
      <c r="A74" s="169">
        <v>70</v>
      </c>
      <c r="B74" s="1">
        <f t="shared" si="61"/>
        <v>47649</v>
      </c>
      <c r="C74" s="60">
        <f t="shared" si="39"/>
        <v>18940500</v>
      </c>
      <c r="D74" s="60">
        <f t="shared" si="40"/>
        <v>17046450</v>
      </c>
      <c r="E74" s="60">
        <f t="shared" si="62"/>
        <v>31</v>
      </c>
      <c r="F74" s="60">
        <f t="shared" si="63"/>
        <v>658169667</v>
      </c>
      <c r="G74" s="60">
        <f>ROUND(F74*E74*Input!$C$3/365,0)</f>
        <v>8384901</v>
      </c>
      <c r="H74" s="60">
        <f>IF($A74&lt;=Input!$C$6,0,IF('120M'!D74&lt;'120M'!F74,'120M'!D74-G74,'120M'!F74))</f>
        <v>8661549</v>
      </c>
      <c r="I74" s="60">
        <f t="shared" si="64"/>
        <v>17046450</v>
      </c>
      <c r="J74" s="60">
        <f t="shared" si="65"/>
        <v>649508118</v>
      </c>
      <c r="K74" s="202">
        <f>J74/Input!$K$5</f>
        <v>2.1650270599999999</v>
      </c>
      <c r="L74" s="232"/>
      <c r="M74" s="60">
        <f>IF($B74&lt;Input!$H$43,IF($B74&lt;Input!$G$43,IF($B74&lt;Input!$F$43,IF($B74&lt;Input!$E$43,IF($B74&lt;Input!$D$43,Input!$C$49,Input!$D$49),Input!$E$49),Input!$F$49),Input!$G$49),Input!$H$49)</f>
        <v>18940500</v>
      </c>
      <c r="N74" s="190">
        <f>IF($A74&lt;Input!$H$50,IF($A74&lt;Input!$G$50,IF($A74&lt;Input!$F$50,IF($A74&lt;Input!$E$50,IF($A74&lt;Input!$D$50,Input!$C$51,Input!$D$51),Input!$E$51),Input!$F$51),Input!$G$51),Input!$H$51)</f>
        <v>0.9</v>
      </c>
      <c r="O74" s="60">
        <f t="shared" si="38"/>
        <v>17046450</v>
      </c>
      <c r="P74" s="60">
        <f t="shared" si="41"/>
        <v>31</v>
      </c>
      <c r="Q74" s="60">
        <f t="shared" si="42"/>
        <v>658169667</v>
      </c>
      <c r="R74" s="60">
        <f>ROUND(Q74*$P74*Input!$C$3/365,0)</f>
        <v>8384901</v>
      </c>
      <c r="S74" s="60">
        <f>IF(A74&lt;=Input!$C$6,0,IF('120M'!O74&lt;'120M'!Q74,'120M'!O74-R74,'120M'!Q74))</f>
        <v>8661549</v>
      </c>
      <c r="T74" s="60">
        <f t="shared" si="43"/>
        <v>17046450</v>
      </c>
      <c r="U74" s="60">
        <f t="shared" si="44"/>
        <v>649508118</v>
      </c>
      <c r="V74" s="193"/>
      <c r="W74" s="169">
        <v>70</v>
      </c>
      <c r="X74" s="1">
        <f t="shared" si="66"/>
        <v>47649</v>
      </c>
      <c r="Y74" s="60">
        <f>IF($X74&lt;Input!$H$58,IF($X74&lt;Input!$G$58,IF($X74&lt;Input!$F$58,IF($X74&lt;Input!$E$58,IF($X74&lt;Input!$D$58,Input!$C$64,Input!$D$64),Input!$E$64),Input!$F$64),Input!$G$64),Input!$H$64)</f>
        <v>0</v>
      </c>
      <c r="Z74" s="190">
        <f>IF($A74&lt;Input!$H$65,IF($A74&lt;Input!$G$65,IF($A74&lt;Input!$F$65,IF($A74&lt;Input!$E$65,IF($A74&lt;Input!$D$65,Input!$C$66,Input!$D$66),Input!$E$66),Input!$F$66),Input!$G$66),Input!$H$66)</f>
        <v>0.9</v>
      </c>
      <c r="AA74" s="60">
        <f t="shared" si="45"/>
        <v>0</v>
      </c>
      <c r="AB74" s="60">
        <f t="shared" si="67"/>
        <v>31</v>
      </c>
      <c r="AC74" s="60">
        <f t="shared" si="46"/>
        <v>0</v>
      </c>
      <c r="AD74" s="60">
        <f>ROUND(AC74*AB74*Input!$C$3/365,0)</f>
        <v>0</v>
      </c>
      <c r="AE74" s="61">
        <f>IF($A74&lt;=Input!$C$6,0,IF('120M'!AA74&lt;'120M'!AC74,'120M'!AA74-AD74,'120M'!AC74))</f>
        <v>0</v>
      </c>
      <c r="AF74" s="61">
        <f t="shared" si="47"/>
        <v>0</v>
      </c>
      <c r="AG74" s="60">
        <f t="shared" si="48"/>
        <v>0</v>
      </c>
      <c r="AH74" s="193"/>
      <c r="AI74" s="169">
        <v>70</v>
      </c>
      <c r="AJ74" s="1">
        <f t="shared" si="68"/>
        <v>47649</v>
      </c>
      <c r="AK74" s="60">
        <f>IF($X74&lt;Input!$H$73,IF($X74&lt;Input!$G$73,IF($X74&lt;Input!$F$73,IF($X74&lt;Input!$E$73,IF($X74&lt;Input!$D$73,Input!$C$79,Input!$D$79),Input!$E$79),Input!$F$79),Input!$G$79),Input!$H$79)</f>
        <v>0</v>
      </c>
      <c r="AL74" s="190">
        <f>IF($A74&lt;Input!$H$80,IF($A74&lt;Input!$G$80,IF($A74&lt;Input!$F$80,IF($A74&lt;Input!$E$80,IF($A74&lt;Input!$D$80,Input!$C$81,Input!$D$81),Input!$E$81),Input!$F$81),Input!$G$81),Input!$H$81)</f>
        <v>0.9</v>
      </c>
      <c r="AM74" s="60">
        <f t="shared" si="49"/>
        <v>0</v>
      </c>
      <c r="AN74" s="60">
        <f t="shared" si="69"/>
        <v>31</v>
      </c>
      <c r="AO74" s="60">
        <f t="shared" si="50"/>
        <v>0</v>
      </c>
      <c r="AP74" s="60">
        <f>ROUND(AO74*AN74*Input!$C$3/365,0)</f>
        <v>0</v>
      </c>
      <c r="AQ74" s="61">
        <f>IF($A74&lt;=Input!$C$6,0,IF('120M'!AM74&lt;'120M'!AO74,'120M'!AM74-AP74,'120M'!AO74))</f>
        <v>0</v>
      </c>
      <c r="AR74" s="61">
        <f t="shared" si="51"/>
        <v>0</v>
      </c>
      <c r="AS74" s="60">
        <f t="shared" si="52"/>
        <v>0</v>
      </c>
      <c r="AT74" s="193"/>
      <c r="AU74" s="169">
        <v>70</v>
      </c>
      <c r="AV74" s="1">
        <f t="shared" si="70"/>
        <v>47649</v>
      </c>
      <c r="AW74" s="60">
        <f>IF($X74&lt;Input!$H$88,IF($X74&lt;Input!$G$88,IF($X74&lt;Input!$F$88,IF($X74&lt;Input!$E$88,IF($X74&lt;Input!$D$88,Input!$C$94,Input!$D$94),Input!$E$94),Input!$F$94),Input!$G$94),Input!$H$94)</f>
        <v>0</v>
      </c>
      <c r="AX74" s="190">
        <f>IF($A74&lt;Input!$H$95,IF($A74&lt;Input!$G$95,IF($A74&lt;Input!$F$95,IF($A74&lt;Input!$E$95,IF($A74&lt;Input!$D$95,Input!$C$96,Input!$D$96),Input!$E$96),Input!$F$96),Input!$G$96),Input!$H$96)</f>
        <v>0.9</v>
      </c>
      <c r="AY74" s="60">
        <f t="shared" si="53"/>
        <v>0</v>
      </c>
      <c r="AZ74" s="60">
        <f t="shared" si="71"/>
        <v>31</v>
      </c>
      <c r="BA74" s="60">
        <f t="shared" si="54"/>
        <v>0</v>
      </c>
      <c r="BB74" s="60">
        <f>ROUND(BA74*AZ74*Input!$C$3/365,0)</f>
        <v>0</v>
      </c>
      <c r="BC74" s="61">
        <f>IF($A74&lt;=Input!$C$6,0,IF('120M'!AY74&lt;'120M'!BA74,'120M'!AY74-BB74,'120M'!BA74))</f>
        <v>0</v>
      </c>
      <c r="BD74" s="61">
        <f t="shared" si="55"/>
        <v>0</v>
      </c>
      <c r="BE74" s="60">
        <f t="shared" si="56"/>
        <v>0</v>
      </c>
      <c r="BF74" s="193"/>
      <c r="BG74" s="169">
        <v>70</v>
      </c>
      <c r="BH74" s="1">
        <f t="shared" si="72"/>
        <v>47649</v>
      </c>
      <c r="BI74" s="60">
        <f>IF($X74&lt;Input!$H$103,IF($X74&lt;Input!$G$103,IF($X74&lt;Input!$F$103,IF($X74&lt;Input!$E$103,IF($X74&lt;Input!$D$103,Input!$C$109,Input!$D$109),Input!$E$109),Input!$F$109),Input!$G$109),Input!$H$109)</f>
        <v>0</v>
      </c>
      <c r="BJ74" s="190">
        <f>IF($A74&lt;Input!$H$110,IF($A74&lt;Input!$G$110,IF($A74&lt;Input!$F$110,IF($A74&lt;Input!$E$110,IF($A74&lt;Input!$D$110,Input!$C$111,Input!$D$111),Input!$E$111),Input!$F$111),Input!$G$111),Input!$H$111)</f>
        <v>0.9</v>
      </c>
      <c r="BK74" s="60">
        <f t="shared" si="57"/>
        <v>0</v>
      </c>
      <c r="BL74" s="60">
        <f t="shared" si="73"/>
        <v>31</v>
      </c>
      <c r="BM74" s="60">
        <f t="shared" si="58"/>
        <v>0</v>
      </c>
      <c r="BN74" s="60">
        <f>ROUND(BM74*BL74*Input!$C$3/365,0)</f>
        <v>0</v>
      </c>
      <c r="BO74" s="61">
        <f>IF($A74&lt;=Input!$C$6,0,IF('120M'!BK74&lt;'120M'!BM74,'120M'!BK74-BN74,'120M'!BM74))</f>
        <v>0</v>
      </c>
      <c r="BP74" s="61">
        <f t="shared" si="59"/>
        <v>0</v>
      </c>
      <c r="BQ74" s="60">
        <f t="shared" si="60"/>
        <v>0</v>
      </c>
      <c r="BR74" s="198"/>
    </row>
    <row r="75" spans="1:70" x14ac:dyDescent="0.25">
      <c r="A75" s="169">
        <v>71</v>
      </c>
      <c r="B75" s="1">
        <f t="shared" si="61"/>
        <v>47679</v>
      </c>
      <c r="C75" s="60">
        <f t="shared" si="39"/>
        <v>18940500</v>
      </c>
      <c r="D75" s="60">
        <f t="shared" si="40"/>
        <v>17046450</v>
      </c>
      <c r="E75" s="60">
        <f t="shared" si="62"/>
        <v>30</v>
      </c>
      <c r="F75" s="60">
        <f t="shared" si="63"/>
        <v>649508118</v>
      </c>
      <c r="G75" s="60">
        <f>ROUND(F75*E75*Input!$C$3/365,0)</f>
        <v>8007634</v>
      </c>
      <c r="H75" s="60">
        <f>IF($A75&lt;=Input!$C$6,0,IF('120M'!D75&lt;'120M'!F75,'120M'!D75-G75,'120M'!F75))</f>
        <v>9038816</v>
      </c>
      <c r="I75" s="60">
        <f t="shared" si="64"/>
        <v>17046450</v>
      </c>
      <c r="J75" s="60">
        <f t="shared" si="65"/>
        <v>640469302</v>
      </c>
      <c r="K75" s="202">
        <f>J75/Input!$K$5</f>
        <v>2.1348976733333331</v>
      </c>
      <c r="L75" s="232"/>
      <c r="M75" s="60">
        <f>IF($B75&lt;Input!$H$43,IF($B75&lt;Input!$G$43,IF($B75&lt;Input!$F$43,IF($B75&lt;Input!$E$43,IF($B75&lt;Input!$D$43,Input!$C$49,Input!$D$49),Input!$E$49),Input!$F$49),Input!$G$49),Input!$H$49)</f>
        <v>18940500</v>
      </c>
      <c r="N75" s="190">
        <f>IF($A75&lt;Input!$H$50,IF($A75&lt;Input!$G$50,IF($A75&lt;Input!$F$50,IF($A75&lt;Input!$E$50,IF($A75&lt;Input!$D$50,Input!$C$51,Input!$D$51),Input!$E$51),Input!$F$51),Input!$G$51),Input!$H$51)</f>
        <v>0.9</v>
      </c>
      <c r="O75" s="60">
        <f t="shared" si="38"/>
        <v>17046450</v>
      </c>
      <c r="P75" s="60">
        <f t="shared" si="41"/>
        <v>30</v>
      </c>
      <c r="Q75" s="60">
        <f t="shared" si="42"/>
        <v>649508118</v>
      </c>
      <c r="R75" s="60">
        <f>ROUND(Q75*$P75*Input!$C$3/365,0)</f>
        <v>8007634</v>
      </c>
      <c r="S75" s="60">
        <f>IF(A75&lt;=Input!$C$6,0,IF('120M'!O75&lt;'120M'!Q75,'120M'!O75-R75,'120M'!Q75))</f>
        <v>9038816</v>
      </c>
      <c r="T75" s="60">
        <f t="shared" si="43"/>
        <v>17046450</v>
      </c>
      <c r="U75" s="60">
        <f t="shared" si="44"/>
        <v>640469302</v>
      </c>
      <c r="V75" s="193"/>
      <c r="W75" s="169">
        <v>71</v>
      </c>
      <c r="X75" s="1">
        <f t="shared" si="66"/>
        <v>47679</v>
      </c>
      <c r="Y75" s="60">
        <f>IF($X75&lt;Input!$H$58,IF($X75&lt;Input!$G$58,IF($X75&lt;Input!$F$58,IF($X75&lt;Input!$E$58,IF($X75&lt;Input!$D$58,Input!$C$64,Input!$D$64),Input!$E$64),Input!$F$64),Input!$G$64),Input!$H$64)</f>
        <v>0</v>
      </c>
      <c r="Z75" s="190">
        <f>IF($A75&lt;Input!$H$65,IF($A75&lt;Input!$G$65,IF($A75&lt;Input!$F$65,IF($A75&lt;Input!$E$65,IF($A75&lt;Input!$D$65,Input!$C$66,Input!$D$66),Input!$E$66),Input!$F$66),Input!$G$66),Input!$H$66)</f>
        <v>0.9</v>
      </c>
      <c r="AA75" s="60">
        <f t="shared" si="45"/>
        <v>0</v>
      </c>
      <c r="AB75" s="60">
        <f t="shared" si="67"/>
        <v>30</v>
      </c>
      <c r="AC75" s="60">
        <f t="shared" si="46"/>
        <v>0</v>
      </c>
      <c r="AD75" s="60">
        <f>ROUND(AC75*AB75*Input!$C$3/365,0)</f>
        <v>0</v>
      </c>
      <c r="AE75" s="61">
        <f>IF($A75&lt;=Input!$C$6,0,IF('120M'!AA75&lt;'120M'!AC75,'120M'!AA75-AD75,'120M'!AC75))</f>
        <v>0</v>
      </c>
      <c r="AF75" s="61">
        <f t="shared" si="47"/>
        <v>0</v>
      </c>
      <c r="AG75" s="60">
        <f t="shared" si="48"/>
        <v>0</v>
      </c>
      <c r="AH75" s="193"/>
      <c r="AI75" s="169">
        <v>71</v>
      </c>
      <c r="AJ75" s="1">
        <f t="shared" si="68"/>
        <v>47679</v>
      </c>
      <c r="AK75" s="60">
        <f>IF($X75&lt;Input!$H$73,IF($X75&lt;Input!$G$73,IF($X75&lt;Input!$F$73,IF($X75&lt;Input!$E$73,IF($X75&lt;Input!$D$73,Input!$C$79,Input!$D$79),Input!$E$79),Input!$F$79),Input!$G$79),Input!$H$79)</f>
        <v>0</v>
      </c>
      <c r="AL75" s="190">
        <f>IF($A75&lt;Input!$H$80,IF($A75&lt;Input!$G$80,IF($A75&lt;Input!$F$80,IF($A75&lt;Input!$E$80,IF($A75&lt;Input!$D$80,Input!$C$81,Input!$D$81),Input!$E$81),Input!$F$81),Input!$G$81),Input!$H$81)</f>
        <v>0.9</v>
      </c>
      <c r="AM75" s="60">
        <f t="shared" si="49"/>
        <v>0</v>
      </c>
      <c r="AN75" s="60">
        <f t="shared" si="69"/>
        <v>30</v>
      </c>
      <c r="AO75" s="60">
        <f t="shared" si="50"/>
        <v>0</v>
      </c>
      <c r="AP75" s="60">
        <f>ROUND(AO75*AN75*Input!$C$3/365,0)</f>
        <v>0</v>
      </c>
      <c r="AQ75" s="61">
        <f>IF($A75&lt;=Input!$C$6,0,IF('120M'!AM75&lt;'120M'!AO75,'120M'!AM75-AP75,'120M'!AO75))</f>
        <v>0</v>
      </c>
      <c r="AR75" s="61">
        <f t="shared" si="51"/>
        <v>0</v>
      </c>
      <c r="AS75" s="60">
        <f t="shared" si="52"/>
        <v>0</v>
      </c>
      <c r="AT75" s="193"/>
      <c r="AU75" s="169">
        <v>71</v>
      </c>
      <c r="AV75" s="1">
        <f t="shared" si="70"/>
        <v>47679</v>
      </c>
      <c r="AW75" s="60">
        <f>IF($X75&lt;Input!$H$88,IF($X75&lt;Input!$G$88,IF($X75&lt;Input!$F$88,IF($X75&lt;Input!$E$88,IF($X75&lt;Input!$D$88,Input!$C$94,Input!$D$94),Input!$E$94),Input!$F$94),Input!$G$94),Input!$H$94)</f>
        <v>0</v>
      </c>
      <c r="AX75" s="190">
        <f>IF($A75&lt;Input!$H$95,IF($A75&lt;Input!$G$95,IF($A75&lt;Input!$F$95,IF($A75&lt;Input!$E$95,IF($A75&lt;Input!$D$95,Input!$C$96,Input!$D$96),Input!$E$96),Input!$F$96),Input!$G$96),Input!$H$96)</f>
        <v>0.9</v>
      </c>
      <c r="AY75" s="60">
        <f t="shared" si="53"/>
        <v>0</v>
      </c>
      <c r="AZ75" s="60">
        <f t="shared" si="71"/>
        <v>30</v>
      </c>
      <c r="BA75" s="60">
        <f t="shared" si="54"/>
        <v>0</v>
      </c>
      <c r="BB75" s="60">
        <f>ROUND(BA75*AZ75*Input!$C$3/365,0)</f>
        <v>0</v>
      </c>
      <c r="BC75" s="61">
        <f>IF($A75&lt;=Input!$C$6,0,IF('120M'!AY75&lt;'120M'!BA75,'120M'!AY75-BB75,'120M'!BA75))</f>
        <v>0</v>
      </c>
      <c r="BD75" s="61">
        <f t="shared" si="55"/>
        <v>0</v>
      </c>
      <c r="BE75" s="60">
        <f t="shared" si="56"/>
        <v>0</v>
      </c>
      <c r="BF75" s="193"/>
      <c r="BG75" s="169">
        <v>71</v>
      </c>
      <c r="BH75" s="1">
        <f t="shared" si="72"/>
        <v>47679</v>
      </c>
      <c r="BI75" s="60">
        <f>IF($X75&lt;Input!$H$103,IF($X75&lt;Input!$G$103,IF($X75&lt;Input!$F$103,IF($X75&lt;Input!$E$103,IF($X75&lt;Input!$D$103,Input!$C$109,Input!$D$109),Input!$E$109),Input!$F$109),Input!$G$109),Input!$H$109)</f>
        <v>0</v>
      </c>
      <c r="BJ75" s="190">
        <f>IF($A75&lt;Input!$H$110,IF($A75&lt;Input!$G$110,IF($A75&lt;Input!$F$110,IF($A75&lt;Input!$E$110,IF($A75&lt;Input!$D$110,Input!$C$111,Input!$D$111),Input!$E$111),Input!$F$111),Input!$G$111),Input!$H$111)</f>
        <v>0.9</v>
      </c>
      <c r="BK75" s="60">
        <f t="shared" si="57"/>
        <v>0</v>
      </c>
      <c r="BL75" s="60">
        <f t="shared" si="73"/>
        <v>30</v>
      </c>
      <c r="BM75" s="60">
        <f t="shared" si="58"/>
        <v>0</v>
      </c>
      <c r="BN75" s="60">
        <f>ROUND(BM75*BL75*Input!$C$3/365,0)</f>
        <v>0</v>
      </c>
      <c r="BO75" s="61">
        <f>IF($A75&lt;=Input!$C$6,0,IF('120M'!BK75&lt;'120M'!BM75,'120M'!BK75-BN75,'120M'!BM75))</f>
        <v>0</v>
      </c>
      <c r="BP75" s="61">
        <f t="shared" si="59"/>
        <v>0</v>
      </c>
      <c r="BQ75" s="60">
        <f t="shared" si="60"/>
        <v>0</v>
      </c>
      <c r="BR75" s="198"/>
    </row>
    <row r="76" spans="1:70" x14ac:dyDescent="0.25">
      <c r="A76" s="169">
        <v>72</v>
      </c>
      <c r="B76" s="1">
        <f t="shared" si="61"/>
        <v>47710</v>
      </c>
      <c r="C76" s="60">
        <f t="shared" si="39"/>
        <v>18940500</v>
      </c>
      <c r="D76" s="60">
        <f t="shared" si="40"/>
        <v>17046450</v>
      </c>
      <c r="E76" s="60">
        <f t="shared" si="62"/>
        <v>31</v>
      </c>
      <c r="F76" s="60">
        <f t="shared" si="63"/>
        <v>640469302</v>
      </c>
      <c r="G76" s="60">
        <f>ROUND(F76*E76*Input!$C$3/365,0)</f>
        <v>8159403</v>
      </c>
      <c r="H76" s="60">
        <f>IF($A76&lt;=Input!$C$6,0,IF('120M'!D76&lt;'120M'!F76,'120M'!D76-G76,'120M'!F76))</f>
        <v>8887047</v>
      </c>
      <c r="I76" s="60">
        <f t="shared" si="64"/>
        <v>17046450</v>
      </c>
      <c r="J76" s="60">
        <f t="shared" si="65"/>
        <v>631582255</v>
      </c>
      <c r="K76" s="202">
        <f>J76/Input!$K$5</f>
        <v>2.1052741833333335</v>
      </c>
      <c r="L76" s="232"/>
      <c r="M76" s="60">
        <f>IF($B76&lt;Input!$H$43,IF($B76&lt;Input!$G$43,IF($B76&lt;Input!$F$43,IF($B76&lt;Input!$E$43,IF($B76&lt;Input!$D$43,Input!$C$49,Input!$D$49),Input!$E$49),Input!$F$49),Input!$G$49),Input!$H$49)</f>
        <v>18940500</v>
      </c>
      <c r="N76" s="190">
        <f>IF($A76&lt;Input!$H$50,IF($A76&lt;Input!$G$50,IF($A76&lt;Input!$F$50,IF($A76&lt;Input!$E$50,IF($A76&lt;Input!$D$50,Input!$C$51,Input!$D$51),Input!$E$51),Input!$F$51),Input!$G$51),Input!$H$51)</f>
        <v>0.9</v>
      </c>
      <c r="O76" s="60">
        <f t="shared" si="38"/>
        <v>17046450</v>
      </c>
      <c r="P76" s="60">
        <f t="shared" si="41"/>
        <v>31</v>
      </c>
      <c r="Q76" s="60">
        <f t="shared" si="42"/>
        <v>640469302</v>
      </c>
      <c r="R76" s="60">
        <f>ROUND(Q76*$P76*Input!$C$3/365,0)</f>
        <v>8159403</v>
      </c>
      <c r="S76" s="60">
        <f>IF(A76&lt;=Input!$C$6,0,IF('120M'!O76&lt;'120M'!Q76,'120M'!O76-R76,'120M'!Q76))</f>
        <v>8887047</v>
      </c>
      <c r="T76" s="60">
        <f t="shared" si="43"/>
        <v>17046450</v>
      </c>
      <c r="U76" s="60">
        <f t="shared" si="44"/>
        <v>631582255</v>
      </c>
      <c r="V76" s="193"/>
      <c r="W76" s="169">
        <v>72</v>
      </c>
      <c r="X76" s="1">
        <f t="shared" si="66"/>
        <v>47710</v>
      </c>
      <c r="Y76" s="60">
        <f>IF($X76&lt;Input!$H$58,IF($X76&lt;Input!$G$58,IF($X76&lt;Input!$F$58,IF($X76&lt;Input!$E$58,IF($X76&lt;Input!$D$58,Input!$C$64,Input!$D$64),Input!$E$64),Input!$F$64),Input!$G$64),Input!$H$64)</f>
        <v>0</v>
      </c>
      <c r="Z76" s="190">
        <f>IF($A76&lt;Input!$H$65,IF($A76&lt;Input!$G$65,IF($A76&lt;Input!$F$65,IF($A76&lt;Input!$E$65,IF($A76&lt;Input!$D$65,Input!$C$66,Input!$D$66),Input!$E$66),Input!$F$66),Input!$G$66),Input!$H$66)</f>
        <v>0.9</v>
      </c>
      <c r="AA76" s="60">
        <f t="shared" si="45"/>
        <v>0</v>
      </c>
      <c r="AB76" s="60">
        <f t="shared" si="67"/>
        <v>31</v>
      </c>
      <c r="AC76" s="60">
        <f t="shared" si="46"/>
        <v>0</v>
      </c>
      <c r="AD76" s="60">
        <f>ROUND(AC76*AB76*Input!$C$3/365,0)</f>
        <v>0</v>
      </c>
      <c r="AE76" s="61">
        <f>IF($A76&lt;=Input!$C$6,0,IF('120M'!AA76&lt;'120M'!AC76,'120M'!AA76-AD76,'120M'!AC76))</f>
        <v>0</v>
      </c>
      <c r="AF76" s="61">
        <f t="shared" si="47"/>
        <v>0</v>
      </c>
      <c r="AG76" s="60">
        <f t="shared" si="48"/>
        <v>0</v>
      </c>
      <c r="AH76" s="193"/>
      <c r="AI76" s="169">
        <v>72</v>
      </c>
      <c r="AJ76" s="1">
        <f t="shared" si="68"/>
        <v>47710</v>
      </c>
      <c r="AK76" s="60">
        <f>IF($X76&lt;Input!$H$73,IF($X76&lt;Input!$G$73,IF($X76&lt;Input!$F$73,IF($X76&lt;Input!$E$73,IF($X76&lt;Input!$D$73,Input!$C$79,Input!$D$79),Input!$E$79),Input!$F$79),Input!$G$79),Input!$H$79)</f>
        <v>0</v>
      </c>
      <c r="AL76" s="190">
        <f>IF($A76&lt;Input!$H$80,IF($A76&lt;Input!$G$80,IF($A76&lt;Input!$F$80,IF($A76&lt;Input!$E$80,IF($A76&lt;Input!$D$80,Input!$C$81,Input!$D$81),Input!$E$81),Input!$F$81),Input!$G$81),Input!$H$81)</f>
        <v>0.9</v>
      </c>
      <c r="AM76" s="60">
        <f t="shared" si="49"/>
        <v>0</v>
      </c>
      <c r="AN76" s="60">
        <f t="shared" si="69"/>
        <v>31</v>
      </c>
      <c r="AO76" s="60">
        <f t="shared" si="50"/>
        <v>0</v>
      </c>
      <c r="AP76" s="60">
        <f>ROUND(AO76*AN76*Input!$C$3/365,0)</f>
        <v>0</v>
      </c>
      <c r="AQ76" s="61">
        <f>IF($A76&lt;=Input!$C$6,0,IF('120M'!AM76&lt;'120M'!AO76,'120M'!AM76-AP76,'120M'!AO76))</f>
        <v>0</v>
      </c>
      <c r="AR76" s="61">
        <f t="shared" si="51"/>
        <v>0</v>
      </c>
      <c r="AS76" s="60">
        <f t="shared" si="52"/>
        <v>0</v>
      </c>
      <c r="AT76" s="193"/>
      <c r="AU76" s="169">
        <v>72</v>
      </c>
      <c r="AV76" s="1">
        <f t="shared" si="70"/>
        <v>47710</v>
      </c>
      <c r="AW76" s="60">
        <f>IF($X76&lt;Input!$H$88,IF($X76&lt;Input!$G$88,IF($X76&lt;Input!$F$88,IF($X76&lt;Input!$E$88,IF($X76&lt;Input!$D$88,Input!$C$94,Input!$D$94),Input!$E$94),Input!$F$94),Input!$G$94),Input!$H$94)</f>
        <v>0</v>
      </c>
      <c r="AX76" s="190">
        <f>IF($A76&lt;Input!$H$95,IF($A76&lt;Input!$G$95,IF($A76&lt;Input!$F$95,IF($A76&lt;Input!$E$95,IF($A76&lt;Input!$D$95,Input!$C$96,Input!$D$96),Input!$E$96),Input!$F$96),Input!$G$96),Input!$H$96)</f>
        <v>0.9</v>
      </c>
      <c r="AY76" s="60">
        <f t="shared" si="53"/>
        <v>0</v>
      </c>
      <c r="AZ76" s="60">
        <f t="shared" si="71"/>
        <v>31</v>
      </c>
      <c r="BA76" s="60">
        <f t="shared" si="54"/>
        <v>0</v>
      </c>
      <c r="BB76" s="60">
        <f>ROUND(BA76*AZ76*Input!$C$3/365,0)</f>
        <v>0</v>
      </c>
      <c r="BC76" s="61">
        <f>IF($A76&lt;=Input!$C$6,0,IF('120M'!AY76&lt;'120M'!BA76,'120M'!AY76-BB76,'120M'!BA76))</f>
        <v>0</v>
      </c>
      <c r="BD76" s="61">
        <f t="shared" si="55"/>
        <v>0</v>
      </c>
      <c r="BE76" s="60">
        <f t="shared" si="56"/>
        <v>0</v>
      </c>
      <c r="BF76" s="193"/>
      <c r="BG76" s="169">
        <v>72</v>
      </c>
      <c r="BH76" s="1">
        <f t="shared" si="72"/>
        <v>47710</v>
      </c>
      <c r="BI76" s="60">
        <f>IF($X76&lt;Input!$H$103,IF($X76&lt;Input!$G$103,IF($X76&lt;Input!$F$103,IF($X76&lt;Input!$E$103,IF($X76&lt;Input!$D$103,Input!$C$109,Input!$D$109),Input!$E$109),Input!$F$109),Input!$G$109),Input!$H$109)</f>
        <v>0</v>
      </c>
      <c r="BJ76" s="190">
        <f>IF($A76&lt;Input!$H$110,IF($A76&lt;Input!$G$110,IF($A76&lt;Input!$F$110,IF($A76&lt;Input!$E$110,IF($A76&lt;Input!$D$110,Input!$C$111,Input!$D$111),Input!$E$111),Input!$F$111),Input!$G$111),Input!$H$111)</f>
        <v>0.9</v>
      </c>
      <c r="BK76" s="60">
        <f t="shared" si="57"/>
        <v>0</v>
      </c>
      <c r="BL76" s="60">
        <f t="shared" si="73"/>
        <v>31</v>
      </c>
      <c r="BM76" s="60">
        <f t="shared" si="58"/>
        <v>0</v>
      </c>
      <c r="BN76" s="60">
        <f>ROUND(BM76*BL76*Input!$C$3/365,0)</f>
        <v>0</v>
      </c>
      <c r="BO76" s="61">
        <f>IF($A76&lt;=Input!$C$6,0,IF('120M'!BK76&lt;'120M'!BM76,'120M'!BK76-BN76,'120M'!BM76))</f>
        <v>0</v>
      </c>
      <c r="BP76" s="61">
        <f t="shared" si="59"/>
        <v>0</v>
      </c>
      <c r="BQ76" s="60">
        <f t="shared" si="60"/>
        <v>0</v>
      </c>
      <c r="BR76" s="198"/>
    </row>
    <row r="77" spans="1:70" x14ac:dyDescent="0.25">
      <c r="A77" s="169">
        <v>73</v>
      </c>
      <c r="B77" s="1">
        <f t="shared" si="61"/>
        <v>47741</v>
      </c>
      <c r="C77" s="60">
        <f t="shared" si="39"/>
        <v>21781574.999999996</v>
      </c>
      <c r="D77" s="60">
        <f t="shared" si="40"/>
        <v>19603417.499999996</v>
      </c>
      <c r="E77" s="60">
        <f t="shared" si="62"/>
        <v>31</v>
      </c>
      <c r="F77" s="60">
        <f t="shared" si="63"/>
        <v>631582255</v>
      </c>
      <c r="G77" s="60">
        <f>ROUND(F77*E77*Input!$C$3/365,0)</f>
        <v>8046185</v>
      </c>
      <c r="H77" s="60">
        <f>IF($A77&lt;=Input!$C$6,0,IF('120M'!D77&lt;'120M'!F77,'120M'!D77-G77,'120M'!F77))</f>
        <v>11557232.499999996</v>
      </c>
      <c r="I77" s="60">
        <f t="shared" si="64"/>
        <v>19603417.499999996</v>
      </c>
      <c r="J77" s="60">
        <f t="shared" si="65"/>
        <v>620025022.5</v>
      </c>
      <c r="K77" s="202">
        <f>J77/Input!$K$5</f>
        <v>2.0667500749999999</v>
      </c>
      <c r="L77" s="232"/>
      <c r="M77" s="60">
        <f>IF($B77&lt;Input!$H$43,IF($B77&lt;Input!$G$43,IF($B77&lt;Input!$F$43,IF($B77&lt;Input!$E$43,IF($B77&lt;Input!$D$43,Input!$C$49,Input!$D$49),Input!$E$49),Input!$F$49),Input!$G$49),Input!$H$49)</f>
        <v>21781574.999999996</v>
      </c>
      <c r="N77" s="190">
        <f>IF($A77&lt;Input!$H$50,IF($A77&lt;Input!$G$50,IF($A77&lt;Input!$F$50,IF($A77&lt;Input!$E$50,IF($A77&lt;Input!$D$50,Input!$C$51,Input!$D$51),Input!$E$51),Input!$F$51),Input!$G$51),Input!$H$51)</f>
        <v>0.9</v>
      </c>
      <c r="O77" s="60">
        <f t="shared" si="38"/>
        <v>19603417.499999996</v>
      </c>
      <c r="P77" s="60">
        <f t="shared" si="41"/>
        <v>31</v>
      </c>
      <c r="Q77" s="60">
        <f t="shared" si="42"/>
        <v>631582255</v>
      </c>
      <c r="R77" s="60">
        <f>ROUND(Q77*$P77*Input!$C$3/365,0)</f>
        <v>8046185</v>
      </c>
      <c r="S77" s="60">
        <f>IF(A77&lt;=Input!$C$6,0,IF('120M'!O77&lt;'120M'!Q77,'120M'!O77-R77,'120M'!Q77))</f>
        <v>11557232.499999996</v>
      </c>
      <c r="T77" s="60">
        <f t="shared" si="43"/>
        <v>19603417.499999996</v>
      </c>
      <c r="U77" s="60">
        <f t="shared" si="44"/>
        <v>620025022.5</v>
      </c>
      <c r="V77" s="193"/>
      <c r="W77" s="169">
        <v>73</v>
      </c>
      <c r="X77" s="1">
        <f t="shared" si="66"/>
        <v>47741</v>
      </c>
      <c r="Y77" s="60">
        <f>IF($X77&lt;Input!$H$58,IF($X77&lt;Input!$G$58,IF($X77&lt;Input!$F$58,IF($X77&lt;Input!$E$58,IF($X77&lt;Input!$D$58,Input!$C$64,Input!$D$64),Input!$E$64),Input!$F$64),Input!$G$64),Input!$H$64)</f>
        <v>0</v>
      </c>
      <c r="Z77" s="190">
        <f>IF($A77&lt;Input!$H$65,IF($A77&lt;Input!$G$65,IF($A77&lt;Input!$F$65,IF($A77&lt;Input!$E$65,IF($A77&lt;Input!$D$65,Input!$C$66,Input!$D$66),Input!$E$66),Input!$F$66),Input!$G$66),Input!$H$66)</f>
        <v>0.9</v>
      </c>
      <c r="AA77" s="60">
        <f t="shared" si="45"/>
        <v>0</v>
      </c>
      <c r="AB77" s="60">
        <f t="shared" si="67"/>
        <v>31</v>
      </c>
      <c r="AC77" s="60">
        <f t="shared" si="46"/>
        <v>0</v>
      </c>
      <c r="AD77" s="60">
        <f>ROUND(AC77*AB77*Input!$C$3/365,0)</f>
        <v>0</v>
      </c>
      <c r="AE77" s="61">
        <f>IF($A77&lt;=Input!$C$6,0,IF('120M'!AA77&lt;'120M'!AC77,'120M'!AA77-AD77,'120M'!AC77))</f>
        <v>0</v>
      </c>
      <c r="AF77" s="61">
        <f t="shared" si="47"/>
        <v>0</v>
      </c>
      <c r="AG77" s="60">
        <f t="shared" si="48"/>
        <v>0</v>
      </c>
      <c r="AH77" s="193"/>
      <c r="AI77" s="169">
        <v>73</v>
      </c>
      <c r="AJ77" s="1">
        <f t="shared" si="68"/>
        <v>47741</v>
      </c>
      <c r="AK77" s="60">
        <f>IF($X77&lt;Input!$H$73,IF($X77&lt;Input!$G$73,IF($X77&lt;Input!$F$73,IF($X77&lt;Input!$E$73,IF($X77&lt;Input!$D$73,Input!$C$79,Input!$D$79),Input!$E$79),Input!$F$79),Input!$G$79),Input!$H$79)</f>
        <v>0</v>
      </c>
      <c r="AL77" s="190">
        <f>IF($A77&lt;Input!$H$80,IF($A77&lt;Input!$G$80,IF($A77&lt;Input!$F$80,IF($A77&lt;Input!$E$80,IF($A77&lt;Input!$D$80,Input!$C$81,Input!$D$81),Input!$E$81),Input!$F$81),Input!$G$81),Input!$H$81)</f>
        <v>0.9</v>
      </c>
      <c r="AM77" s="60">
        <f t="shared" si="49"/>
        <v>0</v>
      </c>
      <c r="AN77" s="60">
        <f t="shared" si="69"/>
        <v>31</v>
      </c>
      <c r="AO77" s="60">
        <f t="shared" si="50"/>
        <v>0</v>
      </c>
      <c r="AP77" s="60">
        <f>ROUND(AO77*AN77*Input!$C$3/365,0)</f>
        <v>0</v>
      </c>
      <c r="AQ77" s="61">
        <f>IF($A77&lt;=Input!$C$6,0,IF('120M'!AM77&lt;'120M'!AO77,'120M'!AM77-AP77,'120M'!AO77))</f>
        <v>0</v>
      </c>
      <c r="AR77" s="61">
        <f t="shared" si="51"/>
        <v>0</v>
      </c>
      <c r="AS77" s="60">
        <f t="shared" si="52"/>
        <v>0</v>
      </c>
      <c r="AT77" s="193"/>
      <c r="AU77" s="169">
        <v>73</v>
      </c>
      <c r="AV77" s="1">
        <f t="shared" si="70"/>
        <v>47741</v>
      </c>
      <c r="AW77" s="60">
        <f>IF($X77&lt;Input!$H$88,IF($X77&lt;Input!$G$88,IF($X77&lt;Input!$F$88,IF($X77&lt;Input!$E$88,IF($X77&lt;Input!$D$88,Input!$C$94,Input!$D$94),Input!$E$94),Input!$F$94),Input!$G$94),Input!$H$94)</f>
        <v>0</v>
      </c>
      <c r="AX77" s="190">
        <f>IF($A77&lt;Input!$H$95,IF($A77&lt;Input!$G$95,IF($A77&lt;Input!$F$95,IF($A77&lt;Input!$E$95,IF($A77&lt;Input!$D$95,Input!$C$96,Input!$D$96),Input!$E$96),Input!$F$96),Input!$G$96),Input!$H$96)</f>
        <v>0.9</v>
      </c>
      <c r="AY77" s="60">
        <f t="shared" si="53"/>
        <v>0</v>
      </c>
      <c r="AZ77" s="60">
        <f t="shared" si="71"/>
        <v>31</v>
      </c>
      <c r="BA77" s="60">
        <f t="shared" si="54"/>
        <v>0</v>
      </c>
      <c r="BB77" s="60">
        <f>ROUND(BA77*AZ77*Input!$C$3/365,0)</f>
        <v>0</v>
      </c>
      <c r="BC77" s="61">
        <f>IF($A77&lt;=Input!$C$6,0,IF('120M'!AY77&lt;'120M'!BA77,'120M'!AY77-BB77,'120M'!BA77))</f>
        <v>0</v>
      </c>
      <c r="BD77" s="61">
        <f t="shared" si="55"/>
        <v>0</v>
      </c>
      <c r="BE77" s="60">
        <f t="shared" si="56"/>
        <v>0</v>
      </c>
      <c r="BF77" s="193"/>
      <c r="BG77" s="169">
        <v>73</v>
      </c>
      <c r="BH77" s="1">
        <f t="shared" si="72"/>
        <v>47741</v>
      </c>
      <c r="BI77" s="60">
        <f>IF($X77&lt;Input!$H$103,IF($X77&lt;Input!$G$103,IF($X77&lt;Input!$F$103,IF($X77&lt;Input!$E$103,IF($X77&lt;Input!$D$103,Input!$C$109,Input!$D$109),Input!$E$109),Input!$F$109),Input!$G$109),Input!$H$109)</f>
        <v>0</v>
      </c>
      <c r="BJ77" s="190">
        <f>IF($A77&lt;Input!$H$110,IF($A77&lt;Input!$G$110,IF($A77&lt;Input!$F$110,IF($A77&lt;Input!$E$110,IF($A77&lt;Input!$D$110,Input!$C$111,Input!$D$111),Input!$E$111),Input!$F$111),Input!$G$111),Input!$H$111)</f>
        <v>0.9</v>
      </c>
      <c r="BK77" s="60">
        <f t="shared" si="57"/>
        <v>0</v>
      </c>
      <c r="BL77" s="60">
        <f t="shared" si="73"/>
        <v>31</v>
      </c>
      <c r="BM77" s="60">
        <f t="shared" si="58"/>
        <v>0</v>
      </c>
      <c r="BN77" s="60">
        <f>ROUND(BM77*BL77*Input!$C$3/365,0)</f>
        <v>0</v>
      </c>
      <c r="BO77" s="61">
        <f>IF($A77&lt;=Input!$C$6,0,IF('120M'!BK77&lt;'120M'!BM77,'120M'!BK77-BN77,'120M'!BM77))</f>
        <v>0</v>
      </c>
      <c r="BP77" s="61">
        <f t="shared" si="59"/>
        <v>0</v>
      </c>
      <c r="BQ77" s="60">
        <f t="shared" si="60"/>
        <v>0</v>
      </c>
      <c r="BR77" s="198"/>
    </row>
    <row r="78" spans="1:70" x14ac:dyDescent="0.25">
      <c r="A78" s="169">
        <v>74</v>
      </c>
      <c r="B78" s="1">
        <f t="shared" si="61"/>
        <v>47771</v>
      </c>
      <c r="C78" s="60">
        <f t="shared" si="39"/>
        <v>21781574.999999996</v>
      </c>
      <c r="D78" s="60">
        <f t="shared" si="40"/>
        <v>19603417.499999996</v>
      </c>
      <c r="E78" s="60">
        <f t="shared" si="62"/>
        <v>30</v>
      </c>
      <c r="F78" s="60">
        <f t="shared" si="63"/>
        <v>620025022.5</v>
      </c>
      <c r="G78" s="60">
        <f>ROUND(F78*E78*Input!$C$3/365,0)</f>
        <v>7644144</v>
      </c>
      <c r="H78" s="60">
        <f>IF($A78&lt;=Input!$C$6,0,IF('120M'!D78&lt;'120M'!F78,'120M'!D78-G78,'120M'!F78))</f>
        <v>11959273.499999996</v>
      </c>
      <c r="I78" s="60">
        <f t="shared" si="64"/>
        <v>19603417.499999996</v>
      </c>
      <c r="J78" s="60">
        <f t="shared" si="65"/>
        <v>608065749</v>
      </c>
      <c r="K78" s="202">
        <f>J78/Input!$K$5</f>
        <v>2.0268858299999999</v>
      </c>
      <c r="L78" s="232"/>
      <c r="M78" s="60">
        <f>IF($B78&lt;Input!$H$43,IF($B78&lt;Input!$G$43,IF($B78&lt;Input!$F$43,IF($B78&lt;Input!$E$43,IF($B78&lt;Input!$D$43,Input!$C$49,Input!$D$49),Input!$E$49),Input!$F$49),Input!$G$49),Input!$H$49)</f>
        <v>21781574.999999996</v>
      </c>
      <c r="N78" s="190">
        <f>IF($A78&lt;Input!$H$50,IF($A78&lt;Input!$G$50,IF($A78&lt;Input!$F$50,IF($A78&lt;Input!$E$50,IF($A78&lt;Input!$D$50,Input!$C$51,Input!$D$51),Input!$E$51),Input!$F$51),Input!$G$51),Input!$H$51)</f>
        <v>0.9</v>
      </c>
      <c r="O78" s="60">
        <f t="shared" si="38"/>
        <v>19603417.499999996</v>
      </c>
      <c r="P78" s="60">
        <f t="shared" si="41"/>
        <v>30</v>
      </c>
      <c r="Q78" s="60">
        <f t="shared" si="42"/>
        <v>620025022.5</v>
      </c>
      <c r="R78" s="60">
        <f>ROUND(Q78*$P78*Input!$C$3/365,0)</f>
        <v>7644144</v>
      </c>
      <c r="S78" s="60">
        <f>IF(A78&lt;=Input!$C$6,0,IF('120M'!O78&lt;'120M'!Q78,'120M'!O78-R78,'120M'!Q78))</f>
        <v>11959273.499999996</v>
      </c>
      <c r="T78" s="60">
        <f t="shared" si="43"/>
        <v>19603417.499999996</v>
      </c>
      <c r="U78" s="60">
        <f t="shared" si="44"/>
        <v>608065749</v>
      </c>
      <c r="V78" s="193"/>
      <c r="W78" s="169">
        <v>74</v>
      </c>
      <c r="X78" s="1">
        <f t="shared" si="66"/>
        <v>47771</v>
      </c>
      <c r="Y78" s="60">
        <f>IF($X78&lt;Input!$H$58,IF($X78&lt;Input!$G$58,IF($X78&lt;Input!$F$58,IF($X78&lt;Input!$E$58,IF($X78&lt;Input!$D$58,Input!$C$64,Input!$D$64),Input!$E$64),Input!$F$64),Input!$G$64),Input!$H$64)</f>
        <v>0</v>
      </c>
      <c r="Z78" s="190">
        <f>IF($A78&lt;Input!$H$65,IF($A78&lt;Input!$G$65,IF($A78&lt;Input!$F$65,IF($A78&lt;Input!$E$65,IF($A78&lt;Input!$D$65,Input!$C$66,Input!$D$66),Input!$E$66),Input!$F$66),Input!$G$66),Input!$H$66)</f>
        <v>0.9</v>
      </c>
      <c r="AA78" s="60">
        <f t="shared" si="45"/>
        <v>0</v>
      </c>
      <c r="AB78" s="60">
        <f t="shared" si="67"/>
        <v>30</v>
      </c>
      <c r="AC78" s="60">
        <f t="shared" si="46"/>
        <v>0</v>
      </c>
      <c r="AD78" s="60">
        <f>ROUND(AC78*AB78*Input!$C$3/365,0)</f>
        <v>0</v>
      </c>
      <c r="AE78" s="61">
        <f>IF($A78&lt;=Input!$C$6,0,IF('120M'!AA78&lt;'120M'!AC78,'120M'!AA78-AD78,'120M'!AC78))</f>
        <v>0</v>
      </c>
      <c r="AF78" s="61">
        <f t="shared" si="47"/>
        <v>0</v>
      </c>
      <c r="AG78" s="60">
        <f t="shared" si="48"/>
        <v>0</v>
      </c>
      <c r="AH78" s="193"/>
      <c r="AI78" s="169">
        <v>74</v>
      </c>
      <c r="AJ78" s="1">
        <f t="shared" si="68"/>
        <v>47771</v>
      </c>
      <c r="AK78" s="60">
        <f>IF($X78&lt;Input!$H$73,IF($X78&lt;Input!$G$73,IF($X78&lt;Input!$F$73,IF($X78&lt;Input!$E$73,IF($X78&lt;Input!$D$73,Input!$C$79,Input!$D$79),Input!$E$79),Input!$F$79),Input!$G$79),Input!$H$79)</f>
        <v>0</v>
      </c>
      <c r="AL78" s="190">
        <f>IF($A78&lt;Input!$H$80,IF($A78&lt;Input!$G$80,IF($A78&lt;Input!$F$80,IF($A78&lt;Input!$E$80,IF($A78&lt;Input!$D$80,Input!$C$81,Input!$D$81),Input!$E$81),Input!$F$81),Input!$G$81),Input!$H$81)</f>
        <v>0.9</v>
      </c>
      <c r="AM78" s="60">
        <f t="shared" si="49"/>
        <v>0</v>
      </c>
      <c r="AN78" s="60">
        <f t="shared" si="69"/>
        <v>30</v>
      </c>
      <c r="AO78" s="60">
        <f t="shared" si="50"/>
        <v>0</v>
      </c>
      <c r="AP78" s="60">
        <f>ROUND(AO78*AN78*Input!$C$3/365,0)</f>
        <v>0</v>
      </c>
      <c r="AQ78" s="61">
        <f>IF($A78&lt;=Input!$C$6,0,IF('120M'!AM78&lt;'120M'!AO78,'120M'!AM78-AP78,'120M'!AO78))</f>
        <v>0</v>
      </c>
      <c r="AR78" s="61">
        <f t="shared" si="51"/>
        <v>0</v>
      </c>
      <c r="AS78" s="60">
        <f t="shared" si="52"/>
        <v>0</v>
      </c>
      <c r="AT78" s="193"/>
      <c r="AU78" s="169">
        <v>74</v>
      </c>
      <c r="AV78" s="1">
        <f t="shared" si="70"/>
        <v>47771</v>
      </c>
      <c r="AW78" s="60">
        <f>IF($X78&lt;Input!$H$88,IF($X78&lt;Input!$G$88,IF($X78&lt;Input!$F$88,IF($X78&lt;Input!$E$88,IF($X78&lt;Input!$D$88,Input!$C$94,Input!$D$94),Input!$E$94),Input!$F$94),Input!$G$94),Input!$H$94)</f>
        <v>0</v>
      </c>
      <c r="AX78" s="190">
        <f>IF($A78&lt;Input!$H$95,IF($A78&lt;Input!$G$95,IF($A78&lt;Input!$F$95,IF($A78&lt;Input!$E$95,IF($A78&lt;Input!$D$95,Input!$C$96,Input!$D$96),Input!$E$96),Input!$F$96),Input!$G$96),Input!$H$96)</f>
        <v>0.9</v>
      </c>
      <c r="AY78" s="60">
        <f t="shared" si="53"/>
        <v>0</v>
      </c>
      <c r="AZ78" s="60">
        <f t="shared" si="71"/>
        <v>30</v>
      </c>
      <c r="BA78" s="60">
        <f t="shared" si="54"/>
        <v>0</v>
      </c>
      <c r="BB78" s="60">
        <f>ROUND(BA78*AZ78*Input!$C$3/365,0)</f>
        <v>0</v>
      </c>
      <c r="BC78" s="61">
        <f>IF($A78&lt;=Input!$C$6,0,IF('120M'!AY78&lt;'120M'!BA78,'120M'!AY78-BB78,'120M'!BA78))</f>
        <v>0</v>
      </c>
      <c r="BD78" s="61">
        <f t="shared" si="55"/>
        <v>0</v>
      </c>
      <c r="BE78" s="60">
        <f t="shared" si="56"/>
        <v>0</v>
      </c>
      <c r="BF78" s="193"/>
      <c r="BG78" s="169">
        <v>74</v>
      </c>
      <c r="BH78" s="1">
        <f t="shared" si="72"/>
        <v>47771</v>
      </c>
      <c r="BI78" s="60">
        <f>IF($X78&lt;Input!$H$103,IF($X78&lt;Input!$G$103,IF($X78&lt;Input!$F$103,IF($X78&lt;Input!$E$103,IF($X78&lt;Input!$D$103,Input!$C$109,Input!$D$109),Input!$E$109),Input!$F$109),Input!$G$109),Input!$H$109)</f>
        <v>0</v>
      </c>
      <c r="BJ78" s="190">
        <f>IF($A78&lt;Input!$H$110,IF($A78&lt;Input!$G$110,IF($A78&lt;Input!$F$110,IF($A78&lt;Input!$E$110,IF($A78&lt;Input!$D$110,Input!$C$111,Input!$D$111),Input!$E$111),Input!$F$111),Input!$G$111),Input!$H$111)</f>
        <v>0.9</v>
      </c>
      <c r="BK78" s="60">
        <f t="shared" si="57"/>
        <v>0</v>
      </c>
      <c r="BL78" s="60">
        <f t="shared" si="73"/>
        <v>30</v>
      </c>
      <c r="BM78" s="60">
        <f t="shared" si="58"/>
        <v>0</v>
      </c>
      <c r="BN78" s="60">
        <f>ROUND(BM78*BL78*Input!$C$3/365,0)</f>
        <v>0</v>
      </c>
      <c r="BO78" s="61">
        <f>IF($A78&lt;=Input!$C$6,0,IF('120M'!BK78&lt;'120M'!BM78,'120M'!BK78-BN78,'120M'!BM78))</f>
        <v>0</v>
      </c>
      <c r="BP78" s="61">
        <f t="shared" si="59"/>
        <v>0</v>
      </c>
      <c r="BQ78" s="60">
        <f t="shared" si="60"/>
        <v>0</v>
      </c>
      <c r="BR78" s="198"/>
    </row>
    <row r="79" spans="1:70" x14ac:dyDescent="0.25">
      <c r="A79" s="169">
        <v>75</v>
      </c>
      <c r="B79" s="1">
        <f t="shared" si="61"/>
        <v>47802</v>
      </c>
      <c r="C79" s="60">
        <f t="shared" si="39"/>
        <v>21781574.999999996</v>
      </c>
      <c r="D79" s="60">
        <f t="shared" si="40"/>
        <v>19603417.499999996</v>
      </c>
      <c r="E79" s="60">
        <f t="shared" si="62"/>
        <v>31</v>
      </c>
      <c r="F79" s="60">
        <f t="shared" si="63"/>
        <v>608065749</v>
      </c>
      <c r="G79" s="60">
        <f>ROUND(F79*E79*Input!$C$3/365,0)</f>
        <v>7746591</v>
      </c>
      <c r="H79" s="60">
        <f>IF($A79&lt;=Input!$C$6,0,IF('120M'!D79&lt;'120M'!F79,'120M'!D79-G79,'120M'!F79))</f>
        <v>11856826.499999996</v>
      </c>
      <c r="I79" s="60">
        <f t="shared" si="64"/>
        <v>19603417.499999996</v>
      </c>
      <c r="J79" s="60">
        <f t="shared" si="65"/>
        <v>596208922.5</v>
      </c>
      <c r="K79" s="202">
        <f>J79/Input!$K$5</f>
        <v>1.987363075</v>
      </c>
      <c r="L79" s="232"/>
      <c r="M79" s="60">
        <f>IF($B79&lt;Input!$H$43,IF($B79&lt;Input!$G$43,IF($B79&lt;Input!$F$43,IF($B79&lt;Input!$E$43,IF($B79&lt;Input!$D$43,Input!$C$49,Input!$D$49),Input!$E$49),Input!$F$49),Input!$G$49),Input!$H$49)</f>
        <v>21781574.999999996</v>
      </c>
      <c r="N79" s="190">
        <f>IF($A79&lt;Input!$H$50,IF($A79&lt;Input!$G$50,IF($A79&lt;Input!$F$50,IF($A79&lt;Input!$E$50,IF($A79&lt;Input!$D$50,Input!$C$51,Input!$D$51),Input!$E$51),Input!$F$51),Input!$G$51),Input!$H$51)</f>
        <v>0.9</v>
      </c>
      <c r="O79" s="60">
        <f t="shared" si="38"/>
        <v>19603417.499999996</v>
      </c>
      <c r="P79" s="60">
        <f t="shared" si="41"/>
        <v>31</v>
      </c>
      <c r="Q79" s="60">
        <f t="shared" si="42"/>
        <v>608065749</v>
      </c>
      <c r="R79" s="60">
        <f>ROUND(Q79*$P79*Input!$C$3/365,0)</f>
        <v>7746591</v>
      </c>
      <c r="S79" s="60">
        <f>IF(A79&lt;=Input!$C$6,0,IF('120M'!O79&lt;'120M'!Q79,'120M'!O79-R79,'120M'!Q79))</f>
        <v>11856826.499999996</v>
      </c>
      <c r="T79" s="60">
        <f t="shared" si="43"/>
        <v>19603417.499999996</v>
      </c>
      <c r="U79" s="60">
        <f t="shared" si="44"/>
        <v>596208922.5</v>
      </c>
      <c r="V79" s="193"/>
      <c r="W79" s="169">
        <v>75</v>
      </c>
      <c r="X79" s="1">
        <f t="shared" si="66"/>
        <v>47802</v>
      </c>
      <c r="Y79" s="60">
        <f>IF($X79&lt;Input!$H$58,IF($X79&lt;Input!$G$58,IF($X79&lt;Input!$F$58,IF($X79&lt;Input!$E$58,IF($X79&lt;Input!$D$58,Input!$C$64,Input!$D$64),Input!$E$64),Input!$F$64),Input!$G$64),Input!$H$64)</f>
        <v>0</v>
      </c>
      <c r="Z79" s="190">
        <f>IF($A79&lt;Input!$H$65,IF($A79&lt;Input!$G$65,IF($A79&lt;Input!$F$65,IF($A79&lt;Input!$E$65,IF($A79&lt;Input!$D$65,Input!$C$66,Input!$D$66),Input!$E$66),Input!$F$66),Input!$G$66),Input!$H$66)</f>
        <v>0.9</v>
      </c>
      <c r="AA79" s="60">
        <f t="shared" si="45"/>
        <v>0</v>
      </c>
      <c r="AB79" s="60">
        <f t="shared" si="67"/>
        <v>31</v>
      </c>
      <c r="AC79" s="60">
        <f t="shared" si="46"/>
        <v>0</v>
      </c>
      <c r="AD79" s="60">
        <f>ROUND(AC79*AB79*Input!$C$3/365,0)</f>
        <v>0</v>
      </c>
      <c r="AE79" s="61">
        <f>IF($A79&lt;=Input!$C$6,0,IF('120M'!AA79&lt;'120M'!AC79,'120M'!AA79-AD79,'120M'!AC79))</f>
        <v>0</v>
      </c>
      <c r="AF79" s="61">
        <f t="shared" si="47"/>
        <v>0</v>
      </c>
      <c r="AG79" s="60">
        <f t="shared" si="48"/>
        <v>0</v>
      </c>
      <c r="AH79" s="193"/>
      <c r="AI79" s="169">
        <v>75</v>
      </c>
      <c r="AJ79" s="1">
        <f t="shared" si="68"/>
        <v>47802</v>
      </c>
      <c r="AK79" s="60">
        <f>IF($X79&lt;Input!$H$73,IF($X79&lt;Input!$G$73,IF($X79&lt;Input!$F$73,IF($X79&lt;Input!$E$73,IF($X79&lt;Input!$D$73,Input!$C$79,Input!$D$79),Input!$E$79),Input!$F$79),Input!$G$79),Input!$H$79)</f>
        <v>0</v>
      </c>
      <c r="AL79" s="190">
        <f>IF($A79&lt;Input!$H$80,IF($A79&lt;Input!$G$80,IF($A79&lt;Input!$F$80,IF($A79&lt;Input!$E$80,IF($A79&lt;Input!$D$80,Input!$C$81,Input!$D$81),Input!$E$81),Input!$F$81),Input!$G$81),Input!$H$81)</f>
        <v>0.9</v>
      </c>
      <c r="AM79" s="60">
        <f t="shared" si="49"/>
        <v>0</v>
      </c>
      <c r="AN79" s="60">
        <f t="shared" si="69"/>
        <v>31</v>
      </c>
      <c r="AO79" s="60">
        <f t="shared" si="50"/>
        <v>0</v>
      </c>
      <c r="AP79" s="60">
        <f>ROUND(AO79*AN79*Input!$C$3/365,0)</f>
        <v>0</v>
      </c>
      <c r="AQ79" s="61">
        <f>IF($A79&lt;=Input!$C$6,0,IF('120M'!AM79&lt;'120M'!AO79,'120M'!AM79-AP79,'120M'!AO79))</f>
        <v>0</v>
      </c>
      <c r="AR79" s="61">
        <f t="shared" si="51"/>
        <v>0</v>
      </c>
      <c r="AS79" s="60">
        <f t="shared" si="52"/>
        <v>0</v>
      </c>
      <c r="AT79" s="193"/>
      <c r="AU79" s="169">
        <v>75</v>
      </c>
      <c r="AV79" s="1">
        <f t="shared" si="70"/>
        <v>47802</v>
      </c>
      <c r="AW79" s="60">
        <f>IF($X79&lt;Input!$H$88,IF($X79&lt;Input!$G$88,IF($X79&lt;Input!$F$88,IF($X79&lt;Input!$E$88,IF($X79&lt;Input!$D$88,Input!$C$94,Input!$D$94),Input!$E$94),Input!$F$94),Input!$G$94),Input!$H$94)</f>
        <v>0</v>
      </c>
      <c r="AX79" s="190">
        <f>IF($A79&lt;Input!$H$95,IF($A79&lt;Input!$G$95,IF($A79&lt;Input!$F$95,IF($A79&lt;Input!$E$95,IF($A79&lt;Input!$D$95,Input!$C$96,Input!$D$96),Input!$E$96),Input!$F$96),Input!$G$96),Input!$H$96)</f>
        <v>0.9</v>
      </c>
      <c r="AY79" s="60">
        <f t="shared" si="53"/>
        <v>0</v>
      </c>
      <c r="AZ79" s="60">
        <f t="shared" si="71"/>
        <v>31</v>
      </c>
      <c r="BA79" s="60">
        <f t="shared" si="54"/>
        <v>0</v>
      </c>
      <c r="BB79" s="60">
        <f>ROUND(BA79*AZ79*Input!$C$3/365,0)</f>
        <v>0</v>
      </c>
      <c r="BC79" s="61">
        <f>IF($A79&lt;=Input!$C$6,0,IF('120M'!AY79&lt;'120M'!BA79,'120M'!AY79-BB79,'120M'!BA79))</f>
        <v>0</v>
      </c>
      <c r="BD79" s="61">
        <f t="shared" si="55"/>
        <v>0</v>
      </c>
      <c r="BE79" s="60">
        <f t="shared" si="56"/>
        <v>0</v>
      </c>
      <c r="BF79" s="193"/>
      <c r="BG79" s="169">
        <v>75</v>
      </c>
      <c r="BH79" s="1">
        <f t="shared" si="72"/>
        <v>47802</v>
      </c>
      <c r="BI79" s="60">
        <f>IF($X79&lt;Input!$H$103,IF($X79&lt;Input!$G$103,IF($X79&lt;Input!$F$103,IF($X79&lt;Input!$E$103,IF($X79&lt;Input!$D$103,Input!$C$109,Input!$D$109),Input!$E$109),Input!$F$109),Input!$G$109),Input!$H$109)</f>
        <v>0</v>
      </c>
      <c r="BJ79" s="190">
        <f>IF($A79&lt;Input!$H$110,IF($A79&lt;Input!$G$110,IF($A79&lt;Input!$F$110,IF($A79&lt;Input!$E$110,IF($A79&lt;Input!$D$110,Input!$C$111,Input!$D$111),Input!$E$111),Input!$F$111),Input!$G$111),Input!$H$111)</f>
        <v>0.9</v>
      </c>
      <c r="BK79" s="60">
        <f t="shared" si="57"/>
        <v>0</v>
      </c>
      <c r="BL79" s="60">
        <f t="shared" si="73"/>
        <v>31</v>
      </c>
      <c r="BM79" s="60">
        <f t="shared" si="58"/>
        <v>0</v>
      </c>
      <c r="BN79" s="60">
        <f>ROUND(BM79*BL79*Input!$C$3/365,0)</f>
        <v>0</v>
      </c>
      <c r="BO79" s="61">
        <f>IF($A79&lt;=Input!$C$6,0,IF('120M'!BK79&lt;'120M'!BM79,'120M'!BK79-BN79,'120M'!BM79))</f>
        <v>0</v>
      </c>
      <c r="BP79" s="61">
        <f t="shared" si="59"/>
        <v>0</v>
      </c>
      <c r="BQ79" s="60">
        <f t="shared" si="60"/>
        <v>0</v>
      </c>
      <c r="BR79" s="198"/>
    </row>
    <row r="80" spans="1:70" x14ac:dyDescent="0.25">
      <c r="A80" s="169">
        <v>76</v>
      </c>
      <c r="B80" s="1">
        <f t="shared" si="61"/>
        <v>47832</v>
      </c>
      <c r="C80" s="60">
        <f t="shared" si="39"/>
        <v>21781574.999999996</v>
      </c>
      <c r="D80" s="60">
        <f t="shared" si="40"/>
        <v>19603417.499999996</v>
      </c>
      <c r="E80" s="60">
        <f t="shared" si="62"/>
        <v>30</v>
      </c>
      <c r="F80" s="60">
        <f t="shared" si="63"/>
        <v>596208922.5</v>
      </c>
      <c r="G80" s="60">
        <f>ROUND(F80*E80*Input!$C$3/365,0)</f>
        <v>7350521</v>
      </c>
      <c r="H80" s="60">
        <f>IF($A80&lt;=Input!$C$6,0,IF('120M'!D80&lt;'120M'!F80,'120M'!D80-G80,'120M'!F80))</f>
        <v>12252896.499999996</v>
      </c>
      <c r="I80" s="60">
        <f t="shared" si="64"/>
        <v>19603417.499999996</v>
      </c>
      <c r="J80" s="60">
        <f t="shared" si="65"/>
        <v>583956026</v>
      </c>
      <c r="K80" s="202">
        <f>J80/Input!$K$5</f>
        <v>1.9465200866666668</v>
      </c>
      <c r="L80" s="232"/>
      <c r="M80" s="60">
        <f>IF($B80&lt;Input!$H$43,IF($B80&lt;Input!$G$43,IF($B80&lt;Input!$F$43,IF($B80&lt;Input!$E$43,IF($B80&lt;Input!$D$43,Input!$C$49,Input!$D$49),Input!$E$49),Input!$F$49),Input!$G$49),Input!$H$49)</f>
        <v>21781574.999999996</v>
      </c>
      <c r="N80" s="190">
        <f>IF($A80&lt;Input!$H$50,IF($A80&lt;Input!$G$50,IF($A80&lt;Input!$F$50,IF($A80&lt;Input!$E$50,IF($A80&lt;Input!$D$50,Input!$C$51,Input!$D$51),Input!$E$51),Input!$F$51),Input!$G$51),Input!$H$51)</f>
        <v>0.9</v>
      </c>
      <c r="O80" s="60">
        <f t="shared" si="38"/>
        <v>19603417.499999996</v>
      </c>
      <c r="P80" s="60">
        <f t="shared" si="41"/>
        <v>30</v>
      </c>
      <c r="Q80" s="60">
        <f t="shared" si="42"/>
        <v>596208922.5</v>
      </c>
      <c r="R80" s="60">
        <f>ROUND(Q80*$P80*Input!$C$3/365,0)</f>
        <v>7350521</v>
      </c>
      <c r="S80" s="60">
        <f>IF(A80&lt;=Input!$C$6,0,IF('120M'!O80&lt;'120M'!Q80,'120M'!O80-R80,'120M'!Q80))</f>
        <v>12252896.499999996</v>
      </c>
      <c r="T80" s="60">
        <f t="shared" si="43"/>
        <v>19603417.499999996</v>
      </c>
      <c r="U80" s="60">
        <f t="shared" si="44"/>
        <v>583956026</v>
      </c>
      <c r="V80" s="193"/>
      <c r="W80" s="169">
        <v>76</v>
      </c>
      <c r="X80" s="1">
        <f t="shared" si="66"/>
        <v>47832</v>
      </c>
      <c r="Y80" s="60">
        <f>IF($X80&lt;Input!$H$58,IF($X80&lt;Input!$G$58,IF($X80&lt;Input!$F$58,IF($X80&lt;Input!$E$58,IF($X80&lt;Input!$D$58,Input!$C$64,Input!$D$64),Input!$E$64),Input!$F$64),Input!$G$64),Input!$H$64)</f>
        <v>0</v>
      </c>
      <c r="Z80" s="190">
        <f>IF($A80&lt;Input!$H$65,IF($A80&lt;Input!$G$65,IF($A80&lt;Input!$F$65,IF($A80&lt;Input!$E$65,IF($A80&lt;Input!$D$65,Input!$C$66,Input!$D$66),Input!$E$66),Input!$F$66),Input!$G$66),Input!$H$66)</f>
        <v>0.9</v>
      </c>
      <c r="AA80" s="60">
        <f t="shared" si="45"/>
        <v>0</v>
      </c>
      <c r="AB80" s="60">
        <f t="shared" si="67"/>
        <v>30</v>
      </c>
      <c r="AC80" s="60">
        <f t="shared" si="46"/>
        <v>0</v>
      </c>
      <c r="AD80" s="60">
        <f>ROUND(AC80*AB80*Input!$C$3/365,0)</f>
        <v>0</v>
      </c>
      <c r="AE80" s="61">
        <f>IF($A80&lt;=Input!$C$6,0,IF('120M'!AA80&lt;'120M'!AC80,'120M'!AA80-AD80,'120M'!AC80))</f>
        <v>0</v>
      </c>
      <c r="AF80" s="61">
        <f t="shared" si="47"/>
        <v>0</v>
      </c>
      <c r="AG80" s="60">
        <f t="shared" si="48"/>
        <v>0</v>
      </c>
      <c r="AH80" s="193"/>
      <c r="AI80" s="169">
        <v>76</v>
      </c>
      <c r="AJ80" s="1">
        <f t="shared" si="68"/>
        <v>47832</v>
      </c>
      <c r="AK80" s="60">
        <f>IF($X80&lt;Input!$H$73,IF($X80&lt;Input!$G$73,IF($X80&lt;Input!$F$73,IF($X80&lt;Input!$E$73,IF($X80&lt;Input!$D$73,Input!$C$79,Input!$D$79),Input!$E$79),Input!$F$79),Input!$G$79),Input!$H$79)</f>
        <v>0</v>
      </c>
      <c r="AL80" s="190">
        <f>IF($A80&lt;Input!$H$80,IF($A80&lt;Input!$G$80,IF($A80&lt;Input!$F$80,IF($A80&lt;Input!$E$80,IF($A80&lt;Input!$D$80,Input!$C$81,Input!$D$81),Input!$E$81),Input!$F$81),Input!$G$81),Input!$H$81)</f>
        <v>0.9</v>
      </c>
      <c r="AM80" s="60">
        <f t="shared" si="49"/>
        <v>0</v>
      </c>
      <c r="AN80" s="60">
        <f t="shared" si="69"/>
        <v>30</v>
      </c>
      <c r="AO80" s="60">
        <f t="shared" si="50"/>
        <v>0</v>
      </c>
      <c r="AP80" s="60">
        <f>ROUND(AO80*AN80*Input!$C$3/365,0)</f>
        <v>0</v>
      </c>
      <c r="AQ80" s="61">
        <f>IF($A80&lt;=Input!$C$6,0,IF('120M'!AM80&lt;'120M'!AO80,'120M'!AM80-AP80,'120M'!AO80))</f>
        <v>0</v>
      </c>
      <c r="AR80" s="61">
        <f t="shared" si="51"/>
        <v>0</v>
      </c>
      <c r="AS80" s="60">
        <f t="shared" si="52"/>
        <v>0</v>
      </c>
      <c r="AT80" s="193"/>
      <c r="AU80" s="169">
        <v>76</v>
      </c>
      <c r="AV80" s="1">
        <f t="shared" si="70"/>
        <v>47832</v>
      </c>
      <c r="AW80" s="60">
        <f>IF($X80&lt;Input!$H$88,IF($X80&lt;Input!$G$88,IF($X80&lt;Input!$F$88,IF($X80&lt;Input!$E$88,IF($X80&lt;Input!$D$88,Input!$C$94,Input!$D$94),Input!$E$94),Input!$F$94),Input!$G$94),Input!$H$94)</f>
        <v>0</v>
      </c>
      <c r="AX80" s="190">
        <f>IF($A80&lt;Input!$H$95,IF($A80&lt;Input!$G$95,IF($A80&lt;Input!$F$95,IF($A80&lt;Input!$E$95,IF($A80&lt;Input!$D$95,Input!$C$96,Input!$D$96),Input!$E$96),Input!$F$96),Input!$G$96),Input!$H$96)</f>
        <v>0.9</v>
      </c>
      <c r="AY80" s="60">
        <f t="shared" si="53"/>
        <v>0</v>
      </c>
      <c r="AZ80" s="60">
        <f t="shared" si="71"/>
        <v>30</v>
      </c>
      <c r="BA80" s="60">
        <f t="shared" si="54"/>
        <v>0</v>
      </c>
      <c r="BB80" s="60">
        <f>ROUND(BA80*AZ80*Input!$C$3/365,0)</f>
        <v>0</v>
      </c>
      <c r="BC80" s="61">
        <f>IF($A80&lt;=Input!$C$6,0,IF('120M'!AY80&lt;'120M'!BA80,'120M'!AY80-BB80,'120M'!BA80))</f>
        <v>0</v>
      </c>
      <c r="BD80" s="61">
        <f t="shared" si="55"/>
        <v>0</v>
      </c>
      <c r="BE80" s="60">
        <f t="shared" si="56"/>
        <v>0</v>
      </c>
      <c r="BF80" s="193"/>
      <c r="BG80" s="169">
        <v>76</v>
      </c>
      <c r="BH80" s="1">
        <f t="shared" si="72"/>
        <v>47832</v>
      </c>
      <c r="BI80" s="60">
        <f>IF($X80&lt;Input!$H$103,IF($X80&lt;Input!$G$103,IF($X80&lt;Input!$F$103,IF($X80&lt;Input!$E$103,IF($X80&lt;Input!$D$103,Input!$C$109,Input!$D$109),Input!$E$109),Input!$F$109),Input!$G$109),Input!$H$109)</f>
        <v>0</v>
      </c>
      <c r="BJ80" s="190">
        <f>IF($A80&lt;Input!$H$110,IF($A80&lt;Input!$G$110,IF($A80&lt;Input!$F$110,IF($A80&lt;Input!$E$110,IF($A80&lt;Input!$D$110,Input!$C$111,Input!$D$111),Input!$E$111),Input!$F$111),Input!$G$111),Input!$H$111)</f>
        <v>0.9</v>
      </c>
      <c r="BK80" s="60">
        <f t="shared" si="57"/>
        <v>0</v>
      </c>
      <c r="BL80" s="60">
        <f t="shared" si="73"/>
        <v>30</v>
      </c>
      <c r="BM80" s="60">
        <f t="shared" si="58"/>
        <v>0</v>
      </c>
      <c r="BN80" s="60">
        <f>ROUND(BM80*BL80*Input!$C$3/365,0)</f>
        <v>0</v>
      </c>
      <c r="BO80" s="61">
        <f>IF($A80&lt;=Input!$C$6,0,IF('120M'!BK80&lt;'120M'!BM80,'120M'!BK80-BN80,'120M'!BM80))</f>
        <v>0</v>
      </c>
      <c r="BP80" s="61">
        <f t="shared" si="59"/>
        <v>0</v>
      </c>
      <c r="BQ80" s="60">
        <f t="shared" si="60"/>
        <v>0</v>
      </c>
      <c r="BR80" s="198"/>
    </row>
    <row r="81" spans="1:70" x14ac:dyDescent="0.25">
      <c r="A81" s="169">
        <v>77</v>
      </c>
      <c r="B81" s="1">
        <f t="shared" si="61"/>
        <v>47863</v>
      </c>
      <c r="C81" s="60">
        <f t="shared" si="39"/>
        <v>21781574.999999996</v>
      </c>
      <c r="D81" s="60">
        <f t="shared" si="40"/>
        <v>19603417.499999996</v>
      </c>
      <c r="E81" s="60">
        <f t="shared" si="62"/>
        <v>31</v>
      </c>
      <c r="F81" s="60">
        <f t="shared" si="63"/>
        <v>583956026</v>
      </c>
      <c r="G81" s="60">
        <f>ROUND(F81*E81*Input!$C$3/365,0)</f>
        <v>7439440</v>
      </c>
      <c r="H81" s="60">
        <f>IF($A81&lt;=Input!$C$6,0,IF('120M'!D81&lt;'120M'!F81,'120M'!D81-G81,'120M'!F81))</f>
        <v>12163977.499999996</v>
      </c>
      <c r="I81" s="60">
        <f t="shared" si="64"/>
        <v>19603417.499999996</v>
      </c>
      <c r="J81" s="60">
        <f t="shared" si="65"/>
        <v>571792048.5</v>
      </c>
      <c r="K81" s="202">
        <f>J81/Input!$K$5</f>
        <v>1.905973495</v>
      </c>
      <c r="L81" s="232"/>
      <c r="M81" s="60">
        <f>IF($B81&lt;Input!$H$43,IF($B81&lt;Input!$G$43,IF($B81&lt;Input!$F$43,IF($B81&lt;Input!$E$43,IF($B81&lt;Input!$D$43,Input!$C$49,Input!$D$49),Input!$E$49),Input!$F$49),Input!$G$49),Input!$H$49)</f>
        <v>21781574.999999996</v>
      </c>
      <c r="N81" s="190">
        <f>IF($A81&lt;Input!$H$50,IF($A81&lt;Input!$G$50,IF($A81&lt;Input!$F$50,IF($A81&lt;Input!$E$50,IF($A81&lt;Input!$D$50,Input!$C$51,Input!$D$51),Input!$E$51),Input!$F$51),Input!$G$51),Input!$H$51)</f>
        <v>0.9</v>
      </c>
      <c r="O81" s="60">
        <f t="shared" si="38"/>
        <v>19603417.499999996</v>
      </c>
      <c r="P81" s="60">
        <f t="shared" si="41"/>
        <v>31</v>
      </c>
      <c r="Q81" s="60">
        <f t="shared" si="42"/>
        <v>583956026</v>
      </c>
      <c r="R81" s="60">
        <f>ROUND(Q81*$P81*Input!$C$3/365,0)</f>
        <v>7439440</v>
      </c>
      <c r="S81" s="60">
        <f>IF(A81&lt;=Input!$C$6,0,IF('120M'!O81&lt;'120M'!Q81,'120M'!O81-R81,'120M'!Q81))</f>
        <v>12163977.499999996</v>
      </c>
      <c r="T81" s="60">
        <f t="shared" si="43"/>
        <v>19603417.499999996</v>
      </c>
      <c r="U81" s="60">
        <f t="shared" si="44"/>
        <v>571792048.5</v>
      </c>
      <c r="V81" s="193"/>
      <c r="W81" s="169">
        <v>77</v>
      </c>
      <c r="X81" s="1">
        <f t="shared" si="66"/>
        <v>47863</v>
      </c>
      <c r="Y81" s="60">
        <f>IF($X81&lt;Input!$H$58,IF($X81&lt;Input!$G$58,IF($X81&lt;Input!$F$58,IF($X81&lt;Input!$E$58,IF($X81&lt;Input!$D$58,Input!$C$64,Input!$D$64),Input!$E$64),Input!$F$64),Input!$G$64),Input!$H$64)</f>
        <v>0</v>
      </c>
      <c r="Z81" s="190">
        <f>IF($A81&lt;Input!$H$65,IF($A81&lt;Input!$G$65,IF($A81&lt;Input!$F$65,IF($A81&lt;Input!$E$65,IF($A81&lt;Input!$D$65,Input!$C$66,Input!$D$66),Input!$E$66),Input!$F$66),Input!$G$66),Input!$H$66)</f>
        <v>0.9</v>
      </c>
      <c r="AA81" s="60">
        <f t="shared" si="45"/>
        <v>0</v>
      </c>
      <c r="AB81" s="60">
        <f t="shared" si="67"/>
        <v>31</v>
      </c>
      <c r="AC81" s="60">
        <f t="shared" si="46"/>
        <v>0</v>
      </c>
      <c r="AD81" s="60">
        <f>ROUND(AC81*AB81*Input!$C$3/365,0)</f>
        <v>0</v>
      </c>
      <c r="AE81" s="61">
        <f>IF($A81&lt;=Input!$C$6,0,IF('120M'!AA81&lt;'120M'!AC81,'120M'!AA81-AD81,'120M'!AC81))</f>
        <v>0</v>
      </c>
      <c r="AF81" s="61">
        <f t="shared" si="47"/>
        <v>0</v>
      </c>
      <c r="AG81" s="60">
        <f t="shared" si="48"/>
        <v>0</v>
      </c>
      <c r="AH81" s="193"/>
      <c r="AI81" s="169">
        <v>77</v>
      </c>
      <c r="AJ81" s="1">
        <f t="shared" si="68"/>
        <v>47863</v>
      </c>
      <c r="AK81" s="60">
        <f>IF($X81&lt;Input!$H$73,IF($X81&lt;Input!$G$73,IF($X81&lt;Input!$F$73,IF($X81&lt;Input!$E$73,IF($X81&lt;Input!$D$73,Input!$C$79,Input!$D$79),Input!$E$79),Input!$F$79),Input!$G$79),Input!$H$79)</f>
        <v>0</v>
      </c>
      <c r="AL81" s="190">
        <f>IF($A81&lt;Input!$H$80,IF($A81&lt;Input!$G$80,IF($A81&lt;Input!$F$80,IF($A81&lt;Input!$E$80,IF($A81&lt;Input!$D$80,Input!$C$81,Input!$D$81),Input!$E$81),Input!$F$81),Input!$G$81),Input!$H$81)</f>
        <v>0.9</v>
      </c>
      <c r="AM81" s="60">
        <f t="shared" si="49"/>
        <v>0</v>
      </c>
      <c r="AN81" s="60">
        <f t="shared" si="69"/>
        <v>31</v>
      </c>
      <c r="AO81" s="60">
        <f t="shared" si="50"/>
        <v>0</v>
      </c>
      <c r="AP81" s="60">
        <f>ROUND(AO81*AN81*Input!$C$3/365,0)</f>
        <v>0</v>
      </c>
      <c r="AQ81" s="61">
        <f>IF($A81&lt;=Input!$C$6,0,IF('120M'!AM81&lt;'120M'!AO81,'120M'!AM81-AP81,'120M'!AO81))</f>
        <v>0</v>
      </c>
      <c r="AR81" s="61">
        <f t="shared" si="51"/>
        <v>0</v>
      </c>
      <c r="AS81" s="60">
        <f t="shared" si="52"/>
        <v>0</v>
      </c>
      <c r="AT81" s="193"/>
      <c r="AU81" s="169">
        <v>77</v>
      </c>
      <c r="AV81" s="1">
        <f t="shared" si="70"/>
        <v>47863</v>
      </c>
      <c r="AW81" s="60">
        <f>IF($X81&lt;Input!$H$88,IF($X81&lt;Input!$G$88,IF($X81&lt;Input!$F$88,IF($X81&lt;Input!$E$88,IF($X81&lt;Input!$D$88,Input!$C$94,Input!$D$94),Input!$E$94),Input!$F$94),Input!$G$94),Input!$H$94)</f>
        <v>0</v>
      </c>
      <c r="AX81" s="190">
        <f>IF($A81&lt;Input!$H$95,IF($A81&lt;Input!$G$95,IF($A81&lt;Input!$F$95,IF($A81&lt;Input!$E$95,IF($A81&lt;Input!$D$95,Input!$C$96,Input!$D$96),Input!$E$96),Input!$F$96),Input!$G$96),Input!$H$96)</f>
        <v>0.9</v>
      </c>
      <c r="AY81" s="60">
        <f t="shared" si="53"/>
        <v>0</v>
      </c>
      <c r="AZ81" s="60">
        <f t="shared" si="71"/>
        <v>31</v>
      </c>
      <c r="BA81" s="60">
        <f t="shared" si="54"/>
        <v>0</v>
      </c>
      <c r="BB81" s="60">
        <f>ROUND(BA81*AZ81*Input!$C$3/365,0)</f>
        <v>0</v>
      </c>
      <c r="BC81" s="61">
        <f>IF($A81&lt;=Input!$C$6,0,IF('120M'!AY81&lt;'120M'!BA81,'120M'!AY81-BB81,'120M'!BA81))</f>
        <v>0</v>
      </c>
      <c r="BD81" s="61">
        <f t="shared" si="55"/>
        <v>0</v>
      </c>
      <c r="BE81" s="60">
        <f t="shared" si="56"/>
        <v>0</v>
      </c>
      <c r="BF81" s="193"/>
      <c r="BG81" s="169">
        <v>77</v>
      </c>
      <c r="BH81" s="1">
        <f t="shared" si="72"/>
        <v>47863</v>
      </c>
      <c r="BI81" s="60">
        <f>IF($X81&lt;Input!$H$103,IF($X81&lt;Input!$G$103,IF($X81&lt;Input!$F$103,IF($X81&lt;Input!$E$103,IF($X81&lt;Input!$D$103,Input!$C$109,Input!$D$109),Input!$E$109),Input!$F$109),Input!$G$109),Input!$H$109)</f>
        <v>0</v>
      </c>
      <c r="BJ81" s="190">
        <f>IF($A81&lt;Input!$H$110,IF($A81&lt;Input!$G$110,IF($A81&lt;Input!$F$110,IF($A81&lt;Input!$E$110,IF($A81&lt;Input!$D$110,Input!$C$111,Input!$D$111),Input!$E$111),Input!$F$111),Input!$G$111),Input!$H$111)</f>
        <v>0.9</v>
      </c>
      <c r="BK81" s="60">
        <f t="shared" si="57"/>
        <v>0</v>
      </c>
      <c r="BL81" s="60">
        <f t="shared" si="73"/>
        <v>31</v>
      </c>
      <c r="BM81" s="60">
        <f t="shared" si="58"/>
        <v>0</v>
      </c>
      <c r="BN81" s="60">
        <f>ROUND(BM81*BL81*Input!$C$3/365,0)</f>
        <v>0</v>
      </c>
      <c r="BO81" s="61">
        <f>IF($A81&lt;=Input!$C$6,0,IF('120M'!BK81&lt;'120M'!BM81,'120M'!BK81-BN81,'120M'!BM81))</f>
        <v>0</v>
      </c>
      <c r="BP81" s="61">
        <f t="shared" si="59"/>
        <v>0</v>
      </c>
      <c r="BQ81" s="60">
        <f t="shared" si="60"/>
        <v>0</v>
      </c>
      <c r="BR81" s="198"/>
    </row>
    <row r="82" spans="1:70" x14ac:dyDescent="0.25">
      <c r="A82" s="169">
        <v>78</v>
      </c>
      <c r="B82" s="1">
        <f t="shared" si="61"/>
        <v>47894</v>
      </c>
      <c r="C82" s="60">
        <f t="shared" si="39"/>
        <v>21781574.999999996</v>
      </c>
      <c r="D82" s="60">
        <f t="shared" si="40"/>
        <v>19603417.499999996</v>
      </c>
      <c r="E82" s="60">
        <f t="shared" si="62"/>
        <v>31</v>
      </c>
      <c r="F82" s="60">
        <f t="shared" si="63"/>
        <v>571792048.5</v>
      </c>
      <c r="G82" s="60">
        <f>ROUND(F82*E82*Input!$C$3/365,0)</f>
        <v>7284474</v>
      </c>
      <c r="H82" s="60">
        <f>IF($A82&lt;=Input!$C$6,0,IF('120M'!D82&lt;'120M'!F82,'120M'!D82-G82,'120M'!F82))</f>
        <v>12318943.499999996</v>
      </c>
      <c r="I82" s="60">
        <f t="shared" si="64"/>
        <v>19603417.499999996</v>
      </c>
      <c r="J82" s="60">
        <f t="shared" si="65"/>
        <v>559473105</v>
      </c>
      <c r="K82" s="202">
        <f>J82/Input!$K$5</f>
        <v>1.8649103499999999</v>
      </c>
      <c r="L82" s="232"/>
      <c r="M82" s="60">
        <f>IF($B82&lt;Input!$H$43,IF($B82&lt;Input!$G$43,IF($B82&lt;Input!$F$43,IF($B82&lt;Input!$E$43,IF($B82&lt;Input!$D$43,Input!$C$49,Input!$D$49),Input!$E$49),Input!$F$49),Input!$G$49),Input!$H$49)</f>
        <v>21781574.999999996</v>
      </c>
      <c r="N82" s="190">
        <f>IF($A82&lt;Input!$H$50,IF($A82&lt;Input!$G$50,IF($A82&lt;Input!$F$50,IF($A82&lt;Input!$E$50,IF($A82&lt;Input!$D$50,Input!$C$51,Input!$D$51),Input!$E$51),Input!$F$51),Input!$G$51),Input!$H$51)</f>
        <v>0.9</v>
      </c>
      <c r="O82" s="60">
        <f t="shared" si="38"/>
        <v>19603417.499999996</v>
      </c>
      <c r="P82" s="60">
        <f t="shared" si="41"/>
        <v>31</v>
      </c>
      <c r="Q82" s="60">
        <f t="shared" si="42"/>
        <v>571792048.5</v>
      </c>
      <c r="R82" s="60">
        <f>ROUND(Q82*$P82*Input!$C$3/365,0)</f>
        <v>7284474</v>
      </c>
      <c r="S82" s="60">
        <f>IF(A82&lt;=Input!$C$6,0,IF('120M'!O82&lt;'120M'!Q82,'120M'!O82-R82,'120M'!Q82))</f>
        <v>12318943.499999996</v>
      </c>
      <c r="T82" s="60">
        <f t="shared" si="43"/>
        <v>19603417.499999996</v>
      </c>
      <c r="U82" s="60">
        <f t="shared" si="44"/>
        <v>559473105</v>
      </c>
      <c r="V82" s="193"/>
      <c r="W82" s="169">
        <v>78</v>
      </c>
      <c r="X82" s="1">
        <f t="shared" si="66"/>
        <v>47894</v>
      </c>
      <c r="Y82" s="60">
        <f>IF($X82&lt;Input!$H$58,IF($X82&lt;Input!$G$58,IF($X82&lt;Input!$F$58,IF($X82&lt;Input!$E$58,IF($X82&lt;Input!$D$58,Input!$C$64,Input!$D$64),Input!$E$64),Input!$F$64),Input!$G$64),Input!$H$64)</f>
        <v>0</v>
      </c>
      <c r="Z82" s="190">
        <f>IF($A82&lt;Input!$H$65,IF($A82&lt;Input!$G$65,IF($A82&lt;Input!$F$65,IF($A82&lt;Input!$E$65,IF($A82&lt;Input!$D$65,Input!$C$66,Input!$D$66),Input!$E$66),Input!$F$66),Input!$G$66),Input!$H$66)</f>
        <v>0.9</v>
      </c>
      <c r="AA82" s="60">
        <f t="shared" si="45"/>
        <v>0</v>
      </c>
      <c r="AB82" s="60">
        <f t="shared" si="67"/>
        <v>31</v>
      </c>
      <c r="AC82" s="60">
        <f t="shared" si="46"/>
        <v>0</v>
      </c>
      <c r="AD82" s="60">
        <f>ROUND(AC82*AB82*Input!$C$3/365,0)</f>
        <v>0</v>
      </c>
      <c r="AE82" s="61">
        <f>IF($A82&lt;=Input!$C$6,0,IF('120M'!AA82&lt;'120M'!AC82,'120M'!AA82-AD82,'120M'!AC82))</f>
        <v>0</v>
      </c>
      <c r="AF82" s="61">
        <f t="shared" si="47"/>
        <v>0</v>
      </c>
      <c r="AG82" s="60">
        <f t="shared" si="48"/>
        <v>0</v>
      </c>
      <c r="AH82" s="193"/>
      <c r="AI82" s="169">
        <v>78</v>
      </c>
      <c r="AJ82" s="1">
        <f t="shared" si="68"/>
        <v>47894</v>
      </c>
      <c r="AK82" s="60">
        <f>IF($X82&lt;Input!$H$73,IF($X82&lt;Input!$G$73,IF($X82&lt;Input!$F$73,IF($X82&lt;Input!$E$73,IF($X82&lt;Input!$D$73,Input!$C$79,Input!$D$79),Input!$E$79),Input!$F$79),Input!$G$79),Input!$H$79)</f>
        <v>0</v>
      </c>
      <c r="AL82" s="190">
        <f>IF($A82&lt;Input!$H$80,IF($A82&lt;Input!$G$80,IF($A82&lt;Input!$F$80,IF($A82&lt;Input!$E$80,IF($A82&lt;Input!$D$80,Input!$C$81,Input!$D$81),Input!$E$81),Input!$F$81),Input!$G$81),Input!$H$81)</f>
        <v>0.9</v>
      </c>
      <c r="AM82" s="60">
        <f t="shared" si="49"/>
        <v>0</v>
      </c>
      <c r="AN82" s="60">
        <f t="shared" si="69"/>
        <v>31</v>
      </c>
      <c r="AO82" s="60">
        <f t="shared" si="50"/>
        <v>0</v>
      </c>
      <c r="AP82" s="60">
        <f>ROUND(AO82*AN82*Input!$C$3/365,0)</f>
        <v>0</v>
      </c>
      <c r="AQ82" s="61">
        <f>IF($A82&lt;=Input!$C$6,0,IF('120M'!AM82&lt;'120M'!AO82,'120M'!AM82-AP82,'120M'!AO82))</f>
        <v>0</v>
      </c>
      <c r="AR82" s="61">
        <f t="shared" si="51"/>
        <v>0</v>
      </c>
      <c r="AS82" s="60">
        <f t="shared" si="52"/>
        <v>0</v>
      </c>
      <c r="AT82" s="193"/>
      <c r="AU82" s="169">
        <v>78</v>
      </c>
      <c r="AV82" s="1">
        <f t="shared" si="70"/>
        <v>47894</v>
      </c>
      <c r="AW82" s="60">
        <f>IF($X82&lt;Input!$H$88,IF($X82&lt;Input!$G$88,IF($X82&lt;Input!$F$88,IF($X82&lt;Input!$E$88,IF($X82&lt;Input!$D$88,Input!$C$94,Input!$D$94),Input!$E$94),Input!$F$94),Input!$G$94),Input!$H$94)</f>
        <v>0</v>
      </c>
      <c r="AX82" s="190">
        <f>IF($A82&lt;Input!$H$95,IF($A82&lt;Input!$G$95,IF($A82&lt;Input!$F$95,IF($A82&lt;Input!$E$95,IF($A82&lt;Input!$D$95,Input!$C$96,Input!$D$96),Input!$E$96),Input!$F$96),Input!$G$96),Input!$H$96)</f>
        <v>0.9</v>
      </c>
      <c r="AY82" s="60">
        <f t="shared" si="53"/>
        <v>0</v>
      </c>
      <c r="AZ82" s="60">
        <f t="shared" si="71"/>
        <v>31</v>
      </c>
      <c r="BA82" s="60">
        <f t="shared" si="54"/>
        <v>0</v>
      </c>
      <c r="BB82" s="60">
        <f>ROUND(BA82*AZ82*Input!$C$3/365,0)</f>
        <v>0</v>
      </c>
      <c r="BC82" s="61">
        <f>IF($A82&lt;=Input!$C$6,0,IF('120M'!AY82&lt;'120M'!BA82,'120M'!AY82-BB82,'120M'!BA82))</f>
        <v>0</v>
      </c>
      <c r="BD82" s="61">
        <f t="shared" si="55"/>
        <v>0</v>
      </c>
      <c r="BE82" s="60">
        <f t="shared" si="56"/>
        <v>0</v>
      </c>
      <c r="BF82" s="193"/>
      <c r="BG82" s="169">
        <v>78</v>
      </c>
      <c r="BH82" s="1">
        <f t="shared" si="72"/>
        <v>47894</v>
      </c>
      <c r="BI82" s="60">
        <f>IF($X82&lt;Input!$H$103,IF($X82&lt;Input!$G$103,IF($X82&lt;Input!$F$103,IF($X82&lt;Input!$E$103,IF($X82&lt;Input!$D$103,Input!$C$109,Input!$D$109),Input!$E$109),Input!$F$109),Input!$G$109),Input!$H$109)</f>
        <v>0</v>
      </c>
      <c r="BJ82" s="190">
        <f>IF($A82&lt;Input!$H$110,IF($A82&lt;Input!$G$110,IF($A82&lt;Input!$F$110,IF($A82&lt;Input!$E$110,IF($A82&lt;Input!$D$110,Input!$C$111,Input!$D$111),Input!$E$111),Input!$F$111),Input!$G$111),Input!$H$111)</f>
        <v>0.9</v>
      </c>
      <c r="BK82" s="60">
        <f t="shared" si="57"/>
        <v>0</v>
      </c>
      <c r="BL82" s="60">
        <f t="shared" si="73"/>
        <v>31</v>
      </c>
      <c r="BM82" s="60">
        <f t="shared" si="58"/>
        <v>0</v>
      </c>
      <c r="BN82" s="60">
        <f>ROUND(BM82*BL82*Input!$C$3/365,0)</f>
        <v>0</v>
      </c>
      <c r="BO82" s="61">
        <f>IF($A82&lt;=Input!$C$6,0,IF('120M'!BK82&lt;'120M'!BM82,'120M'!BK82-BN82,'120M'!BM82))</f>
        <v>0</v>
      </c>
      <c r="BP82" s="61">
        <f t="shared" si="59"/>
        <v>0</v>
      </c>
      <c r="BQ82" s="60">
        <f t="shared" si="60"/>
        <v>0</v>
      </c>
      <c r="BR82" s="198"/>
    </row>
    <row r="83" spans="1:70" x14ac:dyDescent="0.25">
      <c r="A83" s="169">
        <v>79</v>
      </c>
      <c r="B83" s="1">
        <f t="shared" si="61"/>
        <v>47922</v>
      </c>
      <c r="C83" s="60">
        <f t="shared" si="39"/>
        <v>21781574.999999996</v>
      </c>
      <c r="D83" s="60">
        <f t="shared" si="40"/>
        <v>19603417.499999996</v>
      </c>
      <c r="E83" s="60">
        <f t="shared" si="62"/>
        <v>28</v>
      </c>
      <c r="F83" s="60">
        <f t="shared" si="63"/>
        <v>559473105</v>
      </c>
      <c r="G83" s="60">
        <f>ROUND(F83*E83*Input!$C$3/365,0)</f>
        <v>6437773</v>
      </c>
      <c r="H83" s="60">
        <f>IF($A83&lt;=Input!$C$6,0,IF('120M'!D83&lt;'120M'!F83,'120M'!D83-G83,'120M'!F83))</f>
        <v>13165644.499999996</v>
      </c>
      <c r="I83" s="60">
        <f t="shared" si="64"/>
        <v>19603417.499999996</v>
      </c>
      <c r="J83" s="60">
        <f t="shared" si="65"/>
        <v>546307460.5</v>
      </c>
      <c r="K83" s="202">
        <f>J83/Input!$K$5</f>
        <v>1.8210248683333334</v>
      </c>
      <c r="L83" s="232"/>
      <c r="M83" s="60">
        <f>IF($B83&lt;Input!$H$43,IF($B83&lt;Input!$G$43,IF($B83&lt;Input!$F$43,IF($B83&lt;Input!$E$43,IF($B83&lt;Input!$D$43,Input!$C$49,Input!$D$49),Input!$E$49),Input!$F$49),Input!$G$49),Input!$H$49)</f>
        <v>21781574.999999996</v>
      </c>
      <c r="N83" s="190">
        <f>IF($A83&lt;Input!$H$50,IF($A83&lt;Input!$G$50,IF($A83&lt;Input!$F$50,IF($A83&lt;Input!$E$50,IF($A83&lt;Input!$D$50,Input!$C$51,Input!$D$51),Input!$E$51),Input!$F$51),Input!$G$51),Input!$H$51)</f>
        <v>0.9</v>
      </c>
      <c r="O83" s="60">
        <f t="shared" si="38"/>
        <v>19603417.499999996</v>
      </c>
      <c r="P83" s="60">
        <f t="shared" si="41"/>
        <v>28</v>
      </c>
      <c r="Q83" s="60">
        <f t="shared" si="42"/>
        <v>559473105</v>
      </c>
      <c r="R83" s="60">
        <f>ROUND(Q83*$P83*Input!$C$3/365,0)</f>
        <v>6437773</v>
      </c>
      <c r="S83" s="60">
        <f>IF(A83&lt;=Input!$C$6,0,IF('120M'!O83&lt;'120M'!Q83,'120M'!O83-R83,'120M'!Q83))</f>
        <v>13165644.499999996</v>
      </c>
      <c r="T83" s="60">
        <f t="shared" si="43"/>
        <v>19603417.499999996</v>
      </c>
      <c r="U83" s="60">
        <f t="shared" si="44"/>
        <v>546307460.5</v>
      </c>
      <c r="V83" s="193"/>
      <c r="W83" s="169">
        <v>79</v>
      </c>
      <c r="X83" s="1">
        <f t="shared" si="66"/>
        <v>47922</v>
      </c>
      <c r="Y83" s="60">
        <f>IF($X83&lt;Input!$H$58,IF($X83&lt;Input!$G$58,IF($X83&lt;Input!$F$58,IF($X83&lt;Input!$E$58,IF($X83&lt;Input!$D$58,Input!$C$64,Input!$D$64),Input!$E$64),Input!$F$64),Input!$G$64),Input!$H$64)</f>
        <v>0</v>
      </c>
      <c r="Z83" s="190">
        <f>IF($A83&lt;Input!$H$65,IF($A83&lt;Input!$G$65,IF($A83&lt;Input!$F$65,IF($A83&lt;Input!$E$65,IF($A83&lt;Input!$D$65,Input!$C$66,Input!$D$66),Input!$E$66),Input!$F$66),Input!$G$66),Input!$H$66)</f>
        <v>0.9</v>
      </c>
      <c r="AA83" s="60">
        <f t="shared" si="45"/>
        <v>0</v>
      </c>
      <c r="AB83" s="60">
        <f t="shared" si="67"/>
        <v>28</v>
      </c>
      <c r="AC83" s="60">
        <f t="shared" si="46"/>
        <v>0</v>
      </c>
      <c r="AD83" s="60">
        <f>ROUND(AC83*AB83*Input!$C$3/365,0)</f>
        <v>0</v>
      </c>
      <c r="AE83" s="61">
        <f>IF($A83&lt;=Input!$C$6,0,IF('120M'!AA83&lt;'120M'!AC83,'120M'!AA83-AD83,'120M'!AC83))</f>
        <v>0</v>
      </c>
      <c r="AF83" s="61">
        <f t="shared" si="47"/>
        <v>0</v>
      </c>
      <c r="AG83" s="60">
        <f t="shared" si="48"/>
        <v>0</v>
      </c>
      <c r="AH83" s="193"/>
      <c r="AI83" s="169">
        <v>79</v>
      </c>
      <c r="AJ83" s="1">
        <f t="shared" si="68"/>
        <v>47922</v>
      </c>
      <c r="AK83" s="60">
        <f>IF($X83&lt;Input!$H$73,IF($X83&lt;Input!$G$73,IF($X83&lt;Input!$F$73,IF($X83&lt;Input!$E$73,IF($X83&lt;Input!$D$73,Input!$C$79,Input!$D$79),Input!$E$79),Input!$F$79),Input!$G$79),Input!$H$79)</f>
        <v>0</v>
      </c>
      <c r="AL83" s="190">
        <f>IF($A83&lt;Input!$H$80,IF($A83&lt;Input!$G$80,IF($A83&lt;Input!$F$80,IF($A83&lt;Input!$E$80,IF($A83&lt;Input!$D$80,Input!$C$81,Input!$D$81),Input!$E$81),Input!$F$81),Input!$G$81),Input!$H$81)</f>
        <v>0.9</v>
      </c>
      <c r="AM83" s="60">
        <f t="shared" si="49"/>
        <v>0</v>
      </c>
      <c r="AN83" s="60">
        <f t="shared" si="69"/>
        <v>28</v>
      </c>
      <c r="AO83" s="60">
        <f t="shared" si="50"/>
        <v>0</v>
      </c>
      <c r="AP83" s="60">
        <f>ROUND(AO83*AN83*Input!$C$3/365,0)</f>
        <v>0</v>
      </c>
      <c r="AQ83" s="61">
        <f>IF($A83&lt;=Input!$C$6,0,IF('120M'!AM83&lt;'120M'!AO83,'120M'!AM83-AP83,'120M'!AO83))</f>
        <v>0</v>
      </c>
      <c r="AR83" s="61">
        <f t="shared" si="51"/>
        <v>0</v>
      </c>
      <c r="AS83" s="60">
        <f t="shared" si="52"/>
        <v>0</v>
      </c>
      <c r="AT83" s="193"/>
      <c r="AU83" s="169">
        <v>79</v>
      </c>
      <c r="AV83" s="1">
        <f t="shared" si="70"/>
        <v>47922</v>
      </c>
      <c r="AW83" s="60">
        <f>IF($X83&lt;Input!$H$88,IF($X83&lt;Input!$G$88,IF($X83&lt;Input!$F$88,IF($X83&lt;Input!$E$88,IF($X83&lt;Input!$D$88,Input!$C$94,Input!$D$94),Input!$E$94),Input!$F$94),Input!$G$94),Input!$H$94)</f>
        <v>0</v>
      </c>
      <c r="AX83" s="190">
        <f>IF($A83&lt;Input!$H$95,IF($A83&lt;Input!$G$95,IF($A83&lt;Input!$F$95,IF($A83&lt;Input!$E$95,IF($A83&lt;Input!$D$95,Input!$C$96,Input!$D$96),Input!$E$96),Input!$F$96),Input!$G$96),Input!$H$96)</f>
        <v>0.9</v>
      </c>
      <c r="AY83" s="60">
        <f t="shared" si="53"/>
        <v>0</v>
      </c>
      <c r="AZ83" s="60">
        <f t="shared" si="71"/>
        <v>28</v>
      </c>
      <c r="BA83" s="60">
        <f t="shared" si="54"/>
        <v>0</v>
      </c>
      <c r="BB83" s="60">
        <f>ROUND(BA83*AZ83*Input!$C$3/365,0)</f>
        <v>0</v>
      </c>
      <c r="BC83" s="61">
        <f>IF($A83&lt;=Input!$C$6,0,IF('120M'!AY83&lt;'120M'!BA83,'120M'!AY83-BB83,'120M'!BA83))</f>
        <v>0</v>
      </c>
      <c r="BD83" s="61">
        <f t="shared" si="55"/>
        <v>0</v>
      </c>
      <c r="BE83" s="60">
        <f t="shared" si="56"/>
        <v>0</v>
      </c>
      <c r="BF83" s="193"/>
      <c r="BG83" s="169">
        <v>79</v>
      </c>
      <c r="BH83" s="1">
        <f t="shared" si="72"/>
        <v>47922</v>
      </c>
      <c r="BI83" s="60">
        <f>IF($X83&lt;Input!$H$103,IF($X83&lt;Input!$G$103,IF($X83&lt;Input!$F$103,IF($X83&lt;Input!$E$103,IF($X83&lt;Input!$D$103,Input!$C$109,Input!$D$109),Input!$E$109),Input!$F$109),Input!$G$109),Input!$H$109)</f>
        <v>0</v>
      </c>
      <c r="BJ83" s="190">
        <f>IF($A83&lt;Input!$H$110,IF($A83&lt;Input!$G$110,IF($A83&lt;Input!$F$110,IF($A83&lt;Input!$E$110,IF($A83&lt;Input!$D$110,Input!$C$111,Input!$D$111),Input!$E$111),Input!$F$111),Input!$G$111),Input!$H$111)</f>
        <v>0.9</v>
      </c>
      <c r="BK83" s="60">
        <f t="shared" si="57"/>
        <v>0</v>
      </c>
      <c r="BL83" s="60">
        <f t="shared" si="73"/>
        <v>28</v>
      </c>
      <c r="BM83" s="60">
        <f t="shared" si="58"/>
        <v>0</v>
      </c>
      <c r="BN83" s="60">
        <f>ROUND(BM83*BL83*Input!$C$3/365,0)</f>
        <v>0</v>
      </c>
      <c r="BO83" s="61">
        <f>IF($A83&lt;=Input!$C$6,0,IF('120M'!BK83&lt;'120M'!BM83,'120M'!BK83-BN83,'120M'!BM83))</f>
        <v>0</v>
      </c>
      <c r="BP83" s="61">
        <f t="shared" si="59"/>
        <v>0</v>
      </c>
      <c r="BQ83" s="60">
        <f t="shared" si="60"/>
        <v>0</v>
      </c>
      <c r="BR83" s="198"/>
    </row>
    <row r="84" spans="1:70" x14ac:dyDescent="0.25">
      <c r="A84" s="169">
        <v>80</v>
      </c>
      <c r="B84" s="1">
        <f t="shared" si="61"/>
        <v>47953</v>
      </c>
      <c r="C84" s="60">
        <f t="shared" si="39"/>
        <v>21781574.999999996</v>
      </c>
      <c r="D84" s="60">
        <f t="shared" si="40"/>
        <v>19603417.499999996</v>
      </c>
      <c r="E84" s="60">
        <f t="shared" si="62"/>
        <v>31</v>
      </c>
      <c r="F84" s="60">
        <f t="shared" si="63"/>
        <v>546307460.5</v>
      </c>
      <c r="G84" s="60">
        <f>ROUND(F84*E84*Input!$C$3/365,0)</f>
        <v>6959807</v>
      </c>
      <c r="H84" s="60">
        <f>IF($A84&lt;=Input!$C$6,0,IF('120M'!D84&lt;'120M'!F84,'120M'!D84-G84,'120M'!F84))</f>
        <v>12643610.499999996</v>
      </c>
      <c r="I84" s="60">
        <f t="shared" si="64"/>
        <v>19603417.499999996</v>
      </c>
      <c r="J84" s="60">
        <f t="shared" si="65"/>
        <v>533663850</v>
      </c>
      <c r="K84" s="202">
        <f>J84/Input!$K$5</f>
        <v>1.7788794999999999</v>
      </c>
      <c r="L84" s="232"/>
      <c r="M84" s="60">
        <f>IF($B84&lt;Input!$H$43,IF($B84&lt;Input!$G$43,IF($B84&lt;Input!$F$43,IF($B84&lt;Input!$E$43,IF($B84&lt;Input!$D$43,Input!$C$49,Input!$D$49),Input!$E$49),Input!$F$49),Input!$G$49),Input!$H$49)</f>
        <v>21781574.999999996</v>
      </c>
      <c r="N84" s="190">
        <f>IF($A84&lt;Input!$H$50,IF($A84&lt;Input!$G$50,IF($A84&lt;Input!$F$50,IF($A84&lt;Input!$E$50,IF($A84&lt;Input!$D$50,Input!$C$51,Input!$D$51),Input!$E$51),Input!$F$51),Input!$G$51),Input!$H$51)</f>
        <v>0.9</v>
      </c>
      <c r="O84" s="60">
        <f t="shared" si="38"/>
        <v>19603417.499999996</v>
      </c>
      <c r="P84" s="60">
        <f t="shared" si="41"/>
        <v>31</v>
      </c>
      <c r="Q84" s="60">
        <f t="shared" si="42"/>
        <v>546307460.5</v>
      </c>
      <c r="R84" s="60">
        <f>ROUND(Q84*$P84*Input!$C$3/365,0)</f>
        <v>6959807</v>
      </c>
      <c r="S84" s="60">
        <f>IF(A84&lt;=Input!$C$6,0,IF('120M'!O84&lt;'120M'!Q84,'120M'!O84-R84,'120M'!Q84))</f>
        <v>12643610.499999996</v>
      </c>
      <c r="T84" s="60">
        <f t="shared" si="43"/>
        <v>19603417.499999996</v>
      </c>
      <c r="U84" s="60">
        <f t="shared" si="44"/>
        <v>533663850</v>
      </c>
      <c r="V84" s="193"/>
      <c r="W84" s="169">
        <v>80</v>
      </c>
      <c r="X84" s="1">
        <f t="shared" si="66"/>
        <v>47953</v>
      </c>
      <c r="Y84" s="60">
        <f>IF($X84&lt;Input!$H$58,IF($X84&lt;Input!$G$58,IF($X84&lt;Input!$F$58,IF($X84&lt;Input!$E$58,IF($X84&lt;Input!$D$58,Input!$C$64,Input!$D$64),Input!$E$64),Input!$F$64),Input!$G$64),Input!$H$64)</f>
        <v>0</v>
      </c>
      <c r="Z84" s="190">
        <f>IF($A84&lt;Input!$H$65,IF($A84&lt;Input!$G$65,IF($A84&lt;Input!$F$65,IF($A84&lt;Input!$E$65,IF($A84&lt;Input!$D$65,Input!$C$66,Input!$D$66),Input!$E$66),Input!$F$66),Input!$G$66),Input!$H$66)</f>
        <v>0.9</v>
      </c>
      <c r="AA84" s="60">
        <f t="shared" si="45"/>
        <v>0</v>
      </c>
      <c r="AB84" s="60">
        <f t="shared" si="67"/>
        <v>31</v>
      </c>
      <c r="AC84" s="60">
        <f t="shared" si="46"/>
        <v>0</v>
      </c>
      <c r="AD84" s="60">
        <f>ROUND(AC84*AB84*Input!$C$3/365,0)</f>
        <v>0</v>
      </c>
      <c r="AE84" s="61">
        <f>IF($A84&lt;=Input!$C$6,0,IF('120M'!AA84&lt;'120M'!AC84,'120M'!AA84-AD84,'120M'!AC84))</f>
        <v>0</v>
      </c>
      <c r="AF84" s="61">
        <f t="shared" si="47"/>
        <v>0</v>
      </c>
      <c r="AG84" s="60">
        <f t="shared" si="48"/>
        <v>0</v>
      </c>
      <c r="AH84" s="193"/>
      <c r="AI84" s="169">
        <v>80</v>
      </c>
      <c r="AJ84" s="1">
        <f t="shared" si="68"/>
        <v>47953</v>
      </c>
      <c r="AK84" s="60">
        <f>IF($X84&lt;Input!$H$73,IF($X84&lt;Input!$G$73,IF($X84&lt;Input!$F$73,IF($X84&lt;Input!$E$73,IF($X84&lt;Input!$D$73,Input!$C$79,Input!$D$79),Input!$E$79),Input!$F$79),Input!$G$79),Input!$H$79)</f>
        <v>0</v>
      </c>
      <c r="AL84" s="190">
        <f>IF($A84&lt;Input!$H$80,IF($A84&lt;Input!$G$80,IF($A84&lt;Input!$F$80,IF($A84&lt;Input!$E$80,IF($A84&lt;Input!$D$80,Input!$C$81,Input!$D$81),Input!$E$81),Input!$F$81),Input!$G$81),Input!$H$81)</f>
        <v>0.9</v>
      </c>
      <c r="AM84" s="60">
        <f t="shared" si="49"/>
        <v>0</v>
      </c>
      <c r="AN84" s="60">
        <f t="shared" si="69"/>
        <v>31</v>
      </c>
      <c r="AO84" s="60">
        <f t="shared" si="50"/>
        <v>0</v>
      </c>
      <c r="AP84" s="60">
        <f>ROUND(AO84*AN84*Input!$C$3/365,0)</f>
        <v>0</v>
      </c>
      <c r="AQ84" s="61">
        <f>IF($A84&lt;=Input!$C$6,0,IF('120M'!AM84&lt;'120M'!AO84,'120M'!AM84-AP84,'120M'!AO84))</f>
        <v>0</v>
      </c>
      <c r="AR84" s="61">
        <f t="shared" si="51"/>
        <v>0</v>
      </c>
      <c r="AS84" s="60">
        <f t="shared" si="52"/>
        <v>0</v>
      </c>
      <c r="AT84" s="193"/>
      <c r="AU84" s="169">
        <v>80</v>
      </c>
      <c r="AV84" s="1">
        <f t="shared" si="70"/>
        <v>47953</v>
      </c>
      <c r="AW84" s="60">
        <f>IF($X84&lt;Input!$H$88,IF($X84&lt;Input!$G$88,IF($X84&lt;Input!$F$88,IF($X84&lt;Input!$E$88,IF($X84&lt;Input!$D$88,Input!$C$94,Input!$D$94),Input!$E$94),Input!$F$94),Input!$G$94),Input!$H$94)</f>
        <v>0</v>
      </c>
      <c r="AX84" s="190">
        <f>IF($A84&lt;Input!$H$95,IF($A84&lt;Input!$G$95,IF($A84&lt;Input!$F$95,IF($A84&lt;Input!$E$95,IF($A84&lt;Input!$D$95,Input!$C$96,Input!$D$96),Input!$E$96),Input!$F$96),Input!$G$96),Input!$H$96)</f>
        <v>0.9</v>
      </c>
      <c r="AY84" s="60">
        <f t="shared" si="53"/>
        <v>0</v>
      </c>
      <c r="AZ84" s="60">
        <f t="shared" si="71"/>
        <v>31</v>
      </c>
      <c r="BA84" s="60">
        <f t="shared" si="54"/>
        <v>0</v>
      </c>
      <c r="BB84" s="60">
        <f>ROUND(BA84*AZ84*Input!$C$3/365,0)</f>
        <v>0</v>
      </c>
      <c r="BC84" s="61">
        <f>IF($A84&lt;=Input!$C$6,0,IF('120M'!AY84&lt;'120M'!BA84,'120M'!AY84-BB84,'120M'!BA84))</f>
        <v>0</v>
      </c>
      <c r="BD84" s="61">
        <f t="shared" si="55"/>
        <v>0</v>
      </c>
      <c r="BE84" s="60">
        <f t="shared" si="56"/>
        <v>0</v>
      </c>
      <c r="BF84" s="193"/>
      <c r="BG84" s="169">
        <v>80</v>
      </c>
      <c r="BH84" s="1">
        <f t="shared" si="72"/>
        <v>47953</v>
      </c>
      <c r="BI84" s="60">
        <f>IF($X84&lt;Input!$H$103,IF($X84&lt;Input!$G$103,IF($X84&lt;Input!$F$103,IF($X84&lt;Input!$E$103,IF($X84&lt;Input!$D$103,Input!$C$109,Input!$D$109),Input!$E$109),Input!$F$109),Input!$G$109),Input!$H$109)</f>
        <v>0</v>
      </c>
      <c r="BJ84" s="190">
        <f>IF($A84&lt;Input!$H$110,IF($A84&lt;Input!$G$110,IF($A84&lt;Input!$F$110,IF($A84&lt;Input!$E$110,IF($A84&lt;Input!$D$110,Input!$C$111,Input!$D$111),Input!$E$111),Input!$F$111),Input!$G$111),Input!$H$111)</f>
        <v>0.9</v>
      </c>
      <c r="BK84" s="60">
        <f t="shared" si="57"/>
        <v>0</v>
      </c>
      <c r="BL84" s="60">
        <f t="shared" si="73"/>
        <v>31</v>
      </c>
      <c r="BM84" s="60">
        <f t="shared" si="58"/>
        <v>0</v>
      </c>
      <c r="BN84" s="60">
        <f>ROUND(BM84*BL84*Input!$C$3/365,0)</f>
        <v>0</v>
      </c>
      <c r="BO84" s="61">
        <f>IF($A84&lt;=Input!$C$6,0,IF('120M'!BK84&lt;'120M'!BM84,'120M'!BK84-BN84,'120M'!BM84))</f>
        <v>0</v>
      </c>
      <c r="BP84" s="61">
        <f t="shared" si="59"/>
        <v>0</v>
      </c>
      <c r="BQ84" s="60">
        <f t="shared" si="60"/>
        <v>0</v>
      </c>
      <c r="BR84" s="198"/>
    </row>
    <row r="85" spans="1:70" x14ac:dyDescent="0.25">
      <c r="A85" s="169">
        <v>81</v>
      </c>
      <c r="B85" s="1">
        <f t="shared" si="61"/>
        <v>47983</v>
      </c>
      <c r="C85" s="60">
        <f t="shared" si="39"/>
        <v>21781574.999999996</v>
      </c>
      <c r="D85" s="60">
        <f t="shared" si="40"/>
        <v>19603417.499999996</v>
      </c>
      <c r="E85" s="60">
        <f t="shared" si="62"/>
        <v>30</v>
      </c>
      <c r="F85" s="60">
        <f t="shared" si="63"/>
        <v>533663850</v>
      </c>
      <c r="G85" s="60">
        <f>ROUND(F85*E85*Input!$C$3/365,0)</f>
        <v>6579417</v>
      </c>
      <c r="H85" s="60">
        <f>IF($A85&lt;=Input!$C$6,0,IF('120M'!D85&lt;'120M'!F85,'120M'!D85-G85,'120M'!F85))</f>
        <v>13024000.499999996</v>
      </c>
      <c r="I85" s="60">
        <f t="shared" si="64"/>
        <v>19603417.499999996</v>
      </c>
      <c r="J85" s="60">
        <f t="shared" si="65"/>
        <v>520639849.5</v>
      </c>
      <c r="K85" s="202">
        <f>J85/Input!$K$5</f>
        <v>1.7354661650000001</v>
      </c>
      <c r="L85" s="232"/>
      <c r="M85" s="60">
        <f>IF($B85&lt;Input!$H$43,IF($B85&lt;Input!$G$43,IF($B85&lt;Input!$F$43,IF($B85&lt;Input!$E$43,IF($B85&lt;Input!$D$43,Input!$C$49,Input!$D$49),Input!$E$49),Input!$F$49),Input!$G$49),Input!$H$49)</f>
        <v>21781574.999999996</v>
      </c>
      <c r="N85" s="190">
        <f>IF($A85&lt;Input!$H$50,IF($A85&lt;Input!$G$50,IF($A85&lt;Input!$F$50,IF($A85&lt;Input!$E$50,IF($A85&lt;Input!$D$50,Input!$C$51,Input!$D$51),Input!$E$51),Input!$F$51),Input!$G$51),Input!$H$51)</f>
        <v>0.9</v>
      </c>
      <c r="O85" s="60">
        <f t="shared" si="38"/>
        <v>19603417.499999996</v>
      </c>
      <c r="P85" s="60">
        <f t="shared" si="41"/>
        <v>30</v>
      </c>
      <c r="Q85" s="60">
        <f t="shared" si="42"/>
        <v>533663850</v>
      </c>
      <c r="R85" s="60">
        <f>ROUND(Q85*$P85*Input!$C$3/365,0)</f>
        <v>6579417</v>
      </c>
      <c r="S85" s="60">
        <f>IF(A85&lt;=Input!$C$6,0,IF('120M'!O85&lt;'120M'!Q85,'120M'!O85-R85,'120M'!Q85))</f>
        <v>13024000.499999996</v>
      </c>
      <c r="T85" s="60">
        <f t="shared" si="43"/>
        <v>19603417.499999996</v>
      </c>
      <c r="U85" s="60">
        <f t="shared" si="44"/>
        <v>520639849.5</v>
      </c>
      <c r="V85" s="193"/>
      <c r="W85" s="169">
        <v>81</v>
      </c>
      <c r="X85" s="1">
        <f t="shared" si="66"/>
        <v>47983</v>
      </c>
      <c r="Y85" s="60">
        <f>IF($X85&lt;Input!$H$58,IF($X85&lt;Input!$G$58,IF($X85&lt;Input!$F$58,IF($X85&lt;Input!$E$58,IF($X85&lt;Input!$D$58,Input!$C$64,Input!$D$64),Input!$E$64),Input!$F$64),Input!$G$64),Input!$H$64)</f>
        <v>0</v>
      </c>
      <c r="Z85" s="190">
        <f>IF($A85&lt;Input!$H$65,IF($A85&lt;Input!$G$65,IF($A85&lt;Input!$F$65,IF($A85&lt;Input!$E$65,IF($A85&lt;Input!$D$65,Input!$C$66,Input!$D$66),Input!$E$66),Input!$F$66),Input!$G$66),Input!$H$66)</f>
        <v>0.9</v>
      </c>
      <c r="AA85" s="60">
        <f t="shared" si="45"/>
        <v>0</v>
      </c>
      <c r="AB85" s="60">
        <f t="shared" si="67"/>
        <v>30</v>
      </c>
      <c r="AC85" s="60">
        <f t="shared" si="46"/>
        <v>0</v>
      </c>
      <c r="AD85" s="60">
        <f>ROUND(AC85*AB85*Input!$C$3/365,0)</f>
        <v>0</v>
      </c>
      <c r="AE85" s="61">
        <f>IF($A85&lt;=Input!$C$6,0,IF('120M'!AA85&lt;'120M'!AC85,'120M'!AA85-AD85,'120M'!AC85))</f>
        <v>0</v>
      </c>
      <c r="AF85" s="61">
        <f t="shared" si="47"/>
        <v>0</v>
      </c>
      <c r="AG85" s="60">
        <f t="shared" si="48"/>
        <v>0</v>
      </c>
      <c r="AH85" s="193"/>
      <c r="AI85" s="169">
        <v>81</v>
      </c>
      <c r="AJ85" s="1">
        <f t="shared" si="68"/>
        <v>47983</v>
      </c>
      <c r="AK85" s="60">
        <f>IF($X85&lt;Input!$H$73,IF($X85&lt;Input!$G$73,IF($X85&lt;Input!$F$73,IF($X85&lt;Input!$E$73,IF($X85&lt;Input!$D$73,Input!$C$79,Input!$D$79),Input!$E$79),Input!$F$79),Input!$G$79),Input!$H$79)</f>
        <v>0</v>
      </c>
      <c r="AL85" s="190">
        <f>IF($A85&lt;Input!$H$80,IF($A85&lt;Input!$G$80,IF($A85&lt;Input!$F$80,IF($A85&lt;Input!$E$80,IF($A85&lt;Input!$D$80,Input!$C$81,Input!$D$81),Input!$E$81),Input!$F$81),Input!$G$81),Input!$H$81)</f>
        <v>0.9</v>
      </c>
      <c r="AM85" s="60">
        <f t="shared" si="49"/>
        <v>0</v>
      </c>
      <c r="AN85" s="60">
        <f t="shared" si="69"/>
        <v>30</v>
      </c>
      <c r="AO85" s="60">
        <f t="shared" si="50"/>
        <v>0</v>
      </c>
      <c r="AP85" s="60">
        <f>ROUND(AO85*AN85*Input!$C$3/365,0)</f>
        <v>0</v>
      </c>
      <c r="AQ85" s="61">
        <f>IF($A85&lt;=Input!$C$6,0,IF('120M'!AM85&lt;'120M'!AO85,'120M'!AM85-AP85,'120M'!AO85))</f>
        <v>0</v>
      </c>
      <c r="AR85" s="61">
        <f t="shared" si="51"/>
        <v>0</v>
      </c>
      <c r="AS85" s="60">
        <f t="shared" si="52"/>
        <v>0</v>
      </c>
      <c r="AT85" s="193"/>
      <c r="AU85" s="169">
        <v>81</v>
      </c>
      <c r="AV85" s="1">
        <f t="shared" si="70"/>
        <v>47983</v>
      </c>
      <c r="AW85" s="60">
        <f>IF($X85&lt;Input!$H$88,IF($X85&lt;Input!$G$88,IF($X85&lt;Input!$F$88,IF($X85&lt;Input!$E$88,IF($X85&lt;Input!$D$88,Input!$C$94,Input!$D$94),Input!$E$94),Input!$F$94),Input!$G$94),Input!$H$94)</f>
        <v>0</v>
      </c>
      <c r="AX85" s="190">
        <f>IF($A85&lt;Input!$H$95,IF($A85&lt;Input!$G$95,IF($A85&lt;Input!$F$95,IF($A85&lt;Input!$E$95,IF($A85&lt;Input!$D$95,Input!$C$96,Input!$D$96),Input!$E$96),Input!$F$96),Input!$G$96),Input!$H$96)</f>
        <v>0.9</v>
      </c>
      <c r="AY85" s="60">
        <f t="shared" si="53"/>
        <v>0</v>
      </c>
      <c r="AZ85" s="60">
        <f t="shared" si="71"/>
        <v>30</v>
      </c>
      <c r="BA85" s="60">
        <f t="shared" si="54"/>
        <v>0</v>
      </c>
      <c r="BB85" s="60">
        <f>ROUND(BA85*AZ85*Input!$C$3/365,0)</f>
        <v>0</v>
      </c>
      <c r="BC85" s="61">
        <f>IF($A85&lt;=Input!$C$6,0,IF('120M'!AY85&lt;'120M'!BA85,'120M'!AY85-BB85,'120M'!BA85))</f>
        <v>0</v>
      </c>
      <c r="BD85" s="61">
        <f t="shared" si="55"/>
        <v>0</v>
      </c>
      <c r="BE85" s="60">
        <f t="shared" si="56"/>
        <v>0</v>
      </c>
      <c r="BF85" s="193"/>
      <c r="BG85" s="169">
        <v>81</v>
      </c>
      <c r="BH85" s="1">
        <f t="shared" si="72"/>
        <v>47983</v>
      </c>
      <c r="BI85" s="60">
        <f>IF($X85&lt;Input!$H$103,IF($X85&lt;Input!$G$103,IF($X85&lt;Input!$F$103,IF($X85&lt;Input!$E$103,IF($X85&lt;Input!$D$103,Input!$C$109,Input!$D$109),Input!$E$109),Input!$F$109),Input!$G$109),Input!$H$109)</f>
        <v>0</v>
      </c>
      <c r="BJ85" s="190">
        <f>IF($A85&lt;Input!$H$110,IF($A85&lt;Input!$G$110,IF($A85&lt;Input!$F$110,IF($A85&lt;Input!$E$110,IF($A85&lt;Input!$D$110,Input!$C$111,Input!$D$111),Input!$E$111),Input!$F$111),Input!$G$111),Input!$H$111)</f>
        <v>0.9</v>
      </c>
      <c r="BK85" s="60">
        <f t="shared" si="57"/>
        <v>0</v>
      </c>
      <c r="BL85" s="60">
        <f t="shared" si="73"/>
        <v>30</v>
      </c>
      <c r="BM85" s="60">
        <f t="shared" si="58"/>
        <v>0</v>
      </c>
      <c r="BN85" s="60">
        <f>ROUND(BM85*BL85*Input!$C$3/365,0)</f>
        <v>0</v>
      </c>
      <c r="BO85" s="61">
        <f>IF($A85&lt;=Input!$C$6,0,IF('120M'!BK85&lt;'120M'!BM85,'120M'!BK85-BN85,'120M'!BM85))</f>
        <v>0</v>
      </c>
      <c r="BP85" s="61">
        <f t="shared" si="59"/>
        <v>0</v>
      </c>
      <c r="BQ85" s="60">
        <f t="shared" si="60"/>
        <v>0</v>
      </c>
      <c r="BR85" s="198"/>
    </row>
    <row r="86" spans="1:70" x14ac:dyDescent="0.25">
      <c r="A86" s="169">
        <v>82</v>
      </c>
      <c r="B86" s="1">
        <f t="shared" si="61"/>
        <v>48014</v>
      </c>
      <c r="C86" s="60">
        <f t="shared" si="39"/>
        <v>21781574.999999996</v>
      </c>
      <c r="D86" s="60">
        <f t="shared" si="40"/>
        <v>19603417.499999996</v>
      </c>
      <c r="E86" s="60">
        <f t="shared" si="62"/>
        <v>31</v>
      </c>
      <c r="F86" s="60">
        <f t="shared" si="63"/>
        <v>520639849.5</v>
      </c>
      <c r="G86" s="60">
        <f>ROUND(F86*E86*Input!$C$3/365,0)</f>
        <v>6632809</v>
      </c>
      <c r="H86" s="60">
        <f>IF($A86&lt;=Input!$C$6,0,IF('120M'!D86&lt;'120M'!F86,'120M'!D86-G86,'120M'!F86))</f>
        <v>12970608.499999996</v>
      </c>
      <c r="I86" s="60">
        <f t="shared" si="64"/>
        <v>19603417.499999996</v>
      </c>
      <c r="J86" s="60">
        <f t="shared" si="65"/>
        <v>507669241</v>
      </c>
      <c r="K86" s="202">
        <f>J86/Input!$K$5</f>
        <v>1.6922308033333333</v>
      </c>
      <c r="L86" s="232"/>
      <c r="M86" s="60">
        <f>IF($B86&lt;Input!$H$43,IF($B86&lt;Input!$G$43,IF($B86&lt;Input!$F$43,IF($B86&lt;Input!$E$43,IF($B86&lt;Input!$D$43,Input!$C$49,Input!$D$49),Input!$E$49),Input!$F$49),Input!$G$49),Input!$H$49)</f>
        <v>21781574.999999996</v>
      </c>
      <c r="N86" s="190">
        <f>IF($A86&lt;Input!$H$50,IF($A86&lt;Input!$G$50,IF($A86&lt;Input!$F$50,IF($A86&lt;Input!$E$50,IF($A86&lt;Input!$D$50,Input!$C$51,Input!$D$51),Input!$E$51),Input!$F$51),Input!$G$51),Input!$H$51)</f>
        <v>0.9</v>
      </c>
      <c r="O86" s="60">
        <f t="shared" si="38"/>
        <v>19603417.499999996</v>
      </c>
      <c r="P86" s="60">
        <f t="shared" si="41"/>
        <v>31</v>
      </c>
      <c r="Q86" s="60">
        <f t="shared" si="42"/>
        <v>520639849.5</v>
      </c>
      <c r="R86" s="60">
        <f>ROUND(Q86*$P86*Input!$C$3/365,0)</f>
        <v>6632809</v>
      </c>
      <c r="S86" s="60">
        <f>IF(A86&lt;=Input!$C$6,0,IF('120M'!O86&lt;'120M'!Q86,'120M'!O86-R86,'120M'!Q86))</f>
        <v>12970608.499999996</v>
      </c>
      <c r="T86" s="60">
        <f t="shared" si="43"/>
        <v>19603417.499999996</v>
      </c>
      <c r="U86" s="60">
        <f t="shared" si="44"/>
        <v>507669241</v>
      </c>
      <c r="V86" s="193"/>
      <c r="W86" s="169">
        <v>82</v>
      </c>
      <c r="X86" s="1">
        <f t="shared" si="66"/>
        <v>48014</v>
      </c>
      <c r="Y86" s="60">
        <f>IF($X86&lt;Input!$H$58,IF($X86&lt;Input!$G$58,IF($X86&lt;Input!$F$58,IF($X86&lt;Input!$E$58,IF($X86&lt;Input!$D$58,Input!$C$64,Input!$D$64),Input!$E$64),Input!$F$64),Input!$G$64),Input!$H$64)</f>
        <v>0</v>
      </c>
      <c r="Z86" s="190">
        <f>IF($A86&lt;Input!$H$65,IF($A86&lt;Input!$G$65,IF($A86&lt;Input!$F$65,IF($A86&lt;Input!$E$65,IF($A86&lt;Input!$D$65,Input!$C$66,Input!$D$66),Input!$E$66),Input!$F$66),Input!$G$66),Input!$H$66)</f>
        <v>0.9</v>
      </c>
      <c r="AA86" s="60">
        <f t="shared" si="45"/>
        <v>0</v>
      </c>
      <c r="AB86" s="60">
        <f t="shared" si="67"/>
        <v>31</v>
      </c>
      <c r="AC86" s="60">
        <f t="shared" si="46"/>
        <v>0</v>
      </c>
      <c r="AD86" s="60">
        <f>ROUND(AC86*AB86*Input!$C$3/365,0)</f>
        <v>0</v>
      </c>
      <c r="AE86" s="61">
        <f>IF($A86&lt;=Input!$C$6,0,IF('120M'!AA86&lt;'120M'!AC86,'120M'!AA86-AD86,'120M'!AC86))</f>
        <v>0</v>
      </c>
      <c r="AF86" s="61">
        <f t="shared" si="47"/>
        <v>0</v>
      </c>
      <c r="AG86" s="60">
        <f t="shared" si="48"/>
        <v>0</v>
      </c>
      <c r="AH86" s="193"/>
      <c r="AI86" s="169">
        <v>82</v>
      </c>
      <c r="AJ86" s="1">
        <f t="shared" si="68"/>
        <v>48014</v>
      </c>
      <c r="AK86" s="60">
        <f>IF($X86&lt;Input!$H$73,IF($X86&lt;Input!$G$73,IF($X86&lt;Input!$F$73,IF($X86&lt;Input!$E$73,IF($X86&lt;Input!$D$73,Input!$C$79,Input!$D$79),Input!$E$79),Input!$F$79),Input!$G$79),Input!$H$79)</f>
        <v>0</v>
      </c>
      <c r="AL86" s="190">
        <f>IF($A86&lt;Input!$H$80,IF($A86&lt;Input!$G$80,IF($A86&lt;Input!$F$80,IF($A86&lt;Input!$E$80,IF($A86&lt;Input!$D$80,Input!$C$81,Input!$D$81),Input!$E$81),Input!$F$81),Input!$G$81),Input!$H$81)</f>
        <v>0.9</v>
      </c>
      <c r="AM86" s="60">
        <f t="shared" si="49"/>
        <v>0</v>
      </c>
      <c r="AN86" s="60">
        <f t="shared" si="69"/>
        <v>31</v>
      </c>
      <c r="AO86" s="60">
        <f t="shared" si="50"/>
        <v>0</v>
      </c>
      <c r="AP86" s="60">
        <f>ROUND(AO86*AN86*Input!$C$3/365,0)</f>
        <v>0</v>
      </c>
      <c r="AQ86" s="61">
        <f>IF($A86&lt;=Input!$C$6,0,IF('120M'!AM86&lt;'120M'!AO86,'120M'!AM86-AP86,'120M'!AO86))</f>
        <v>0</v>
      </c>
      <c r="AR86" s="61">
        <f t="shared" si="51"/>
        <v>0</v>
      </c>
      <c r="AS86" s="60">
        <f t="shared" si="52"/>
        <v>0</v>
      </c>
      <c r="AT86" s="193"/>
      <c r="AU86" s="169">
        <v>82</v>
      </c>
      <c r="AV86" s="1">
        <f t="shared" si="70"/>
        <v>48014</v>
      </c>
      <c r="AW86" s="60">
        <f>IF($X86&lt;Input!$H$88,IF($X86&lt;Input!$G$88,IF($X86&lt;Input!$F$88,IF($X86&lt;Input!$E$88,IF($X86&lt;Input!$D$88,Input!$C$94,Input!$D$94),Input!$E$94),Input!$F$94),Input!$G$94),Input!$H$94)</f>
        <v>0</v>
      </c>
      <c r="AX86" s="190">
        <f>IF($A86&lt;Input!$H$95,IF($A86&lt;Input!$G$95,IF($A86&lt;Input!$F$95,IF($A86&lt;Input!$E$95,IF($A86&lt;Input!$D$95,Input!$C$96,Input!$D$96),Input!$E$96),Input!$F$96),Input!$G$96),Input!$H$96)</f>
        <v>0.9</v>
      </c>
      <c r="AY86" s="60">
        <f t="shared" si="53"/>
        <v>0</v>
      </c>
      <c r="AZ86" s="60">
        <f t="shared" si="71"/>
        <v>31</v>
      </c>
      <c r="BA86" s="60">
        <f t="shared" si="54"/>
        <v>0</v>
      </c>
      <c r="BB86" s="60">
        <f>ROUND(BA86*AZ86*Input!$C$3/365,0)</f>
        <v>0</v>
      </c>
      <c r="BC86" s="61">
        <f>IF($A86&lt;=Input!$C$6,0,IF('120M'!AY86&lt;'120M'!BA86,'120M'!AY86-BB86,'120M'!BA86))</f>
        <v>0</v>
      </c>
      <c r="BD86" s="61">
        <f t="shared" si="55"/>
        <v>0</v>
      </c>
      <c r="BE86" s="60">
        <f t="shared" si="56"/>
        <v>0</v>
      </c>
      <c r="BF86" s="193"/>
      <c r="BG86" s="169">
        <v>82</v>
      </c>
      <c r="BH86" s="1">
        <f t="shared" si="72"/>
        <v>48014</v>
      </c>
      <c r="BI86" s="60">
        <f>IF($X86&lt;Input!$H$103,IF($X86&lt;Input!$G$103,IF($X86&lt;Input!$F$103,IF($X86&lt;Input!$E$103,IF($X86&lt;Input!$D$103,Input!$C$109,Input!$D$109),Input!$E$109),Input!$F$109),Input!$G$109),Input!$H$109)</f>
        <v>0</v>
      </c>
      <c r="BJ86" s="190">
        <f>IF($A86&lt;Input!$H$110,IF($A86&lt;Input!$G$110,IF($A86&lt;Input!$F$110,IF($A86&lt;Input!$E$110,IF($A86&lt;Input!$D$110,Input!$C$111,Input!$D$111),Input!$E$111),Input!$F$111),Input!$G$111),Input!$H$111)</f>
        <v>0.9</v>
      </c>
      <c r="BK86" s="60">
        <f t="shared" si="57"/>
        <v>0</v>
      </c>
      <c r="BL86" s="60">
        <f t="shared" si="73"/>
        <v>31</v>
      </c>
      <c r="BM86" s="60">
        <f t="shared" si="58"/>
        <v>0</v>
      </c>
      <c r="BN86" s="60">
        <f>ROUND(BM86*BL86*Input!$C$3/365,0)</f>
        <v>0</v>
      </c>
      <c r="BO86" s="61">
        <f>IF($A86&lt;=Input!$C$6,0,IF('120M'!BK86&lt;'120M'!BM86,'120M'!BK86-BN86,'120M'!BM86))</f>
        <v>0</v>
      </c>
      <c r="BP86" s="61">
        <f t="shared" si="59"/>
        <v>0</v>
      </c>
      <c r="BQ86" s="60">
        <f t="shared" si="60"/>
        <v>0</v>
      </c>
      <c r="BR86" s="198"/>
    </row>
    <row r="87" spans="1:70" x14ac:dyDescent="0.25">
      <c r="A87" s="169">
        <v>83</v>
      </c>
      <c r="B87" s="1">
        <f t="shared" si="61"/>
        <v>48044</v>
      </c>
      <c r="C87" s="60">
        <f t="shared" si="39"/>
        <v>21781574.999999996</v>
      </c>
      <c r="D87" s="60">
        <f t="shared" si="40"/>
        <v>19603417.499999996</v>
      </c>
      <c r="E87" s="60">
        <f t="shared" si="62"/>
        <v>30</v>
      </c>
      <c r="F87" s="60">
        <f t="shared" si="63"/>
        <v>507669241</v>
      </c>
      <c r="G87" s="60">
        <f>ROUND(F87*E87*Input!$C$3/365,0)</f>
        <v>6258936</v>
      </c>
      <c r="H87" s="60">
        <f>IF($A87&lt;=Input!$C$6,0,IF('120M'!D87&lt;'120M'!F87,'120M'!D87-G87,'120M'!F87))</f>
        <v>13344481.499999996</v>
      </c>
      <c r="I87" s="60">
        <f t="shared" si="64"/>
        <v>19603417.499999996</v>
      </c>
      <c r="J87" s="60">
        <f t="shared" si="65"/>
        <v>494324759.5</v>
      </c>
      <c r="K87" s="202">
        <f>J87/Input!$K$5</f>
        <v>1.6477491983333334</v>
      </c>
      <c r="L87" s="232"/>
      <c r="M87" s="60">
        <f>IF($B87&lt;Input!$H$43,IF($B87&lt;Input!$G$43,IF($B87&lt;Input!$F$43,IF($B87&lt;Input!$E$43,IF($B87&lt;Input!$D$43,Input!$C$49,Input!$D$49),Input!$E$49),Input!$F$49),Input!$G$49),Input!$H$49)</f>
        <v>21781574.999999996</v>
      </c>
      <c r="N87" s="190">
        <f>IF($A87&lt;Input!$H$50,IF($A87&lt;Input!$G$50,IF($A87&lt;Input!$F$50,IF($A87&lt;Input!$E$50,IF($A87&lt;Input!$D$50,Input!$C$51,Input!$D$51),Input!$E$51),Input!$F$51),Input!$G$51),Input!$H$51)</f>
        <v>0.9</v>
      </c>
      <c r="O87" s="60">
        <f t="shared" si="38"/>
        <v>19603417.499999996</v>
      </c>
      <c r="P87" s="60">
        <f t="shared" si="41"/>
        <v>30</v>
      </c>
      <c r="Q87" s="60">
        <f t="shared" si="42"/>
        <v>507669241</v>
      </c>
      <c r="R87" s="60">
        <f>ROUND(Q87*$P87*Input!$C$3/365,0)</f>
        <v>6258936</v>
      </c>
      <c r="S87" s="60">
        <f>IF(A87&lt;=Input!$C$6,0,IF('120M'!O87&lt;'120M'!Q87,'120M'!O87-R87,'120M'!Q87))</f>
        <v>13344481.499999996</v>
      </c>
      <c r="T87" s="60">
        <f t="shared" si="43"/>
        <v>19603417.499999996</v>
      </c>
      <c r="U87" s="60">
        <f t="shared" si="44"/>
        <v>494324759.5</v>
      </c>
      <c r="V87" s="193"/>
      <c r="W87" s="169">
        <v>83</v>
      </c>
      <c r="X87" s="1">
        <f t="shared" si="66"/>
        <v>48044</v>
      </c>
      <c r="Y87" s="60">
        <f>IF($X87&lt;Input!$H$58,IF($X87&lt;Input!$G$58,IF($X87&lt;Input!$F$58,IF($X87&lt;Input!$E$58,IF($X87&lt;Input!$D$58,Input!$C$64,Input!$D$64),Input!$E$64),Input!$F$64),Input!$G$64),Input!$H$64)</f>
        <v>0</v>
      </c>
      <c r="Z87" s="190">
        <f>IF($A87&lt;Input!$H$65,IF($A87&lt;Input!$G$65,IF($A87&lt;Input!$F$65,IF($A87&lt;Input!$E$65,IF($A87&lt;Input!$D$65,Input!$C$66,Input!$D$66),Input!$E$66),Input!$F$66),Input!$G$66),Input!$H$66)</f>
        <v>0.9</v>
      </c>
      <c r="AA87" s="60">
        <f t="shared" si="45"/>
        <v>0</v>
      </c>
      <c r="AB87" s="60">
        <f t="shared" si="67"/>
        <v>30</v>
      </c>
      <c r="AC87" s="60">
        <f t="shared" si="46"/>
        <v>0</v>
      </c>
      <c r="AD87" s="60">
        <f>ROUND(AC87*AB87*Input!$C$3/365,0)</f>
        <v>0</v>
      </c>
      <c r="AE87" s="61">
        <f>IF($A87&lt;=Input!$C$6,0,IF('120M'!AA87&lt;'120M'!AC87,'120M'!AA87-AD87,'120M'!AC87))</f>
        <v>0</v>
      </c>
      <c r="AF87" s="61">
        <f t="shared" si="47"/>
        <v>0</v>
      </c>
      <c r="AG87" s="60">
        <f t="shared" si="48"/>
        <v>0</v>
      </c>
      <c r="AH87" s="193"/>
      <c r="AI87" s="169">
        <v>83</v>
      </c>
      <c r="AJ87" s="1">
        <f t="shared" si="68"/>
        <v>48044</v>
      </c>
      <c r="AK87" s="60">
        <f>IF($X87&lt;Input!$H$73,IF($X87&lt;Input!$G$73,IF($X87&lt;Input!$F$73,IF($X87&lt;Input!$E$73,IF($X87&lt;Input!$D$73,Input!$C$79,Input!$D$79),Input!$E$79),Input!$F$79),Input!$G$79),Input!$H$79)</f>
        <v>0</v>
      </c>
      <c r="AL87" s="190">
        <f>IF($A87&lt;Input!$H$80,IF($A87&lt;Input!$G$80,IF($A87&lt;Input!$F$80,IF($A87&lt;Input!$E$80,IF($A87&lt;Input!$D$80,Input!$C$81,Input!$D$81),Input!$E$81),Input!$F$81),Input!$G$81),Input!$H$81)</f>
        <v>0.9</v>
      </c>
      <c r="AM87" s="60">
        <f t="shared" si="49"/>
        <v>0</v>
      </c>
      <c r="AN87" s="60">
        <f t="shared" si="69"/>
        <v>30</v>
      </c>
      <c r="AO87" s="60">
        <f t="shared" si="50"/>
        <v>0</v>
      </c>
      <c r="AP87" s="60">
        <f>ROUND(AO87*AN87*Input!$C$3/365,0)</f>
        <v>0</v>
      </c>
      <c r="AQ87" s="61">
        <f>IF($A87&lt;=Input!$C$6,0,IF('120M'!AM87&lt;'120M'!AO87,'120M'!AM87-AP87,'120M'!AO87))</f>
        <v>0</v>
      </c>
      <c r="AR87" s="61">
        <f t="shared" si="51"/>
        <v>0</v>
      </c>
      <c r="AS87" s="60">
        <f t="shared" si="52"/>
        <v>0</v>
      </c>
      <c r="AT87" s="193"/>
      <c r="AU87" s="169">
        <v>83</v>
      </c>
      <c r="AV87" s="1">
        <f t="shared" si="70"/>
        <v>48044</v>
      </c>
      <c r="AW87" s="60">
        <f>IF($X87&lt;Input!$H$88,IF($X87&lt;Input!$G$88,IF($X87&lt;Input!$F$88,IF($X87&lt;Input!$E$88,IF($X87&lt;Input!$D$88,Input!$C$94,Input!$D$94),Input!$E$94),Input!$F$94),Input!$G$94),Input!$H$94)</f>
        <v>0</v>
      </c>
      <c r="AX87" s="190">
        <f>IF($A87&lt;Input!$H$95,IF($A87&lt;Input!$G$95,IF($A87&lt;Input!$F$95,IF($A87&lt;Input!$E$95,IF($A87&lt;Input!$D$95,Input!$C$96,Input!$D$96),Input!$E$96),Input!$F$96),Input!$G$96),Input!$H$96)</f>
        <v>0.9</v>
      </c>
      <c r="AY87" s="60">
        <f t="shared" si="53"/>
        <v>0</v>
      </c>
      <c r="AZ87" s="60">
        <f t="shared" si="71"/>
        <v>30</v>
      </c>
      <c r="BA87" s="60">
        <f t="shared" si="54"/>
        <v>0</v>
      </c>
      <c r="BB87" s="60">
        <f>ROUND(BA87*AZ87*Input!$C$3/365,0)</f>
        <v>0</v>
      </c>
      <c r="BC87" s="61">
        <f>IF($A87&lt;=Input!$C$6,0,IF('120M'!AY87&lt;'120M'!BA87,'120M'!AY87-BB87,'120M'!BA87))</f>
        <v>0</v>
      </c>
      <c r="BD87" s="61">
        <f t="shared" si="55"/>
        <v>0</v>
      </c>
      <c r="BE87" s="60">
        <f t="shared" si="56"/>
        <v>0</v>
      </c>
      <c r="BF87" s="193"/>
      <c r="BG87" s="169">
        <v>83</v>
      </c>
      <c r="BH87" s="1">
        <f t="shared" si="72"/>
        <v>48044</v>
      </c>
      <c r="BI87" s="60">
        <f>IF($X87&lt;Input!$H$103,IF($X87&lt;Input!$G$103,IF($X87&lt;Input!$F$103,IF($X87&lt;Input!$E$103,IF($X87&lt;Input!$D$103,Input!$C$109,Input!$D$109),Input!$E$109),Input!$F$109),Input!$G$109),Input!$H$109)</f>
        <v>0</v>
      </c>
      <c r="BJ87" s="190">
        <f>IF($A87&lt;Input!$H$110,IF($A87&lt;Input!$G$110,IF($A87&lt;Input!$F$110,IF($A87&lt;Input!$E$110,IF($A87&lt;Input!$D$110,Input!$C$111,Input!$D$111),Input!$E$111),Input!$F$111),Input!$G$111),Input!$H$111)</f>
        <v>0.9</v>
      </c>
      <c r="BK87" s="60">
        <f t="shared" si="57"/>
        <v>0</v>
      </c>
      <c r="BL87" s="60">
        <f t="shared" si="73"/>
        <v>30</v>
      </c>
      <c r="BM87" s="60">
        <f t="shared" si="58"/>
        <v>0</v>
      </c>
      <c r="BN87" s="60">
        <f>ROUND(BM87*BL87*Input!$C$3/365,0)</f>
        <v>0</v>
      </c>
      <c r="BO87" s="61">
        <f>IF($A87&lt;=Input!$C$6,0,IF('120M'!BK87&lt;'120M'!BM87,'120M'!BK87-BN87,'120M'!BM87))</f>
        <v>0</v>
      </c>
      <c r="BP87" s="61">
        <f t="shared" si="59"/>
        <v>0</v>
      </c>
      <c r="BQ87" s="60">
        <f t="shared" si="60"/>
        <v>0</v>
      </c>
      <c r="BR87" s="198"/>
    </row>
    <row r="88" spans="1:70" x14ac:dyDescent="0.25">
      <c r="A88" s="169">
        <v>84</v>
      </c>
      <c r="B88" s="1">
        <f t="shared" si="61"/>
        <v>48075</v>
      </c>
      <c r="C88" s="60">
        <f t="shared" si="39"/>
        <v>21781574.999999996</v>
      </c>
      <c r="D88" s="60">
        <f t="shared" si="40"/>
        <v>19603417.499999996</v>
      </c>
      <c r="E88" s="60">
        <f t="shared" si="62"/>
        <v>31</v>
      </c>
      <c r="F88" s="60">
        <f t="shared" si="63"/>
        <v>494324759.5</v>
      </c>
      <c r="G88" s="60">
        <f>ROUND(F88*E88*Input!$C$3/365,0)</f>
        <v>6297562</v>
      </c>
      <c r="H88" s="60">
        <f>IF($A88&lt;=Input!$C$6,0,IF('120M'!D88&lt;'120M'!F88,'120M'!D88-G88,'120M'!F88))</f>
        <v>13305855.499999996</v>
      </c>
      <c r="I88" s="60">
        <f t="shared" si="64"/>
        <v>19603417.499999996</v>
      </c>
      <c r="J88" s="60">
        <f t="shared" si="65"/>
        <v>481018904</v>
      </c>
      <c r="K88" s="202">
        <f>J88/Input!$K$5</f>
        <v>1.6033963466666667</v>
      </c>
      <c r="L88" s="232"/>
      <c r="M88" s="60">
        <f>IF($B88&lt;Input!$H$43,IF($B88&lt;Input!$G$43,IF($B88&lt;Input!$F$43,IF($B88&lt;Input!$E$43,IF($B88&lt;Input!$D$43,Input!$C$49,Input!$D$49),Input!$E$49),Input!$F$49),Input!$G$49),Input!$H$49)</f>
        <v>21781574.999999996</v>
      </c>
      <c r="N88" s="190">
        <f>IF($A88&lt;Input!$H$50,IF($A88&lt;Input!$G$50,IF($A88&lt;Input!$F$50,IF($A88&lt;Input!$E$50,IF($A88&lt;Input!$D$50,Input!$C$51,Input!$D$51),Input!$E$51),Input!$F$51),Input!$G$51),Input!$H$51)</f>
        <v>0.9</v>
      </c>
      <c r="O88" s="60">
        <f t="shared" si="38"/>
        <v>19603417.499999996</v>
      </c>
      <c r="P88" s="60">
        <f t="shared" si="41"/>
        <v>31</v>
      </c>
      <c r="Q88" s="60">
        <f t="shared" si="42"/>
        <v>494324759.5</v>
      </c>
      <c r="R88" s="60">
        <f>ROUND(Q88*$P88*Input!$C$3/365,0)</f>
        <v>6297562</v>
      </c>
      <c r="S88" s="60">
        <f>IF(A88&lt;=Input!$C$6,0,IF('120M'!O88&lt;'120M'!Q88,'120M'!O88-R88,'120M'!Q88))</f>
        <v>13305855.499999996</v>
      </c>
      <c r="T88" s="60">
        <f t="shared" si="43"/>
        <v>19603417.499999996</v>
      </c>
      <c r="U88" s="60">
        <f t="shared" si="44"/>
        <v>481018904</v>
      </c>
      <c r="V88" s="193"/>
      <c r="W88" s="169">
        <v>84</v>
      </c>
      <c r="X88" s="1">
        <f t="shared" si="66"/>
        <v>48075</v>
      </c>
      <c r="Y88" s="60">
        <f>IF($X88&lt;Input!$H$58,IF($X88&lt;Input!$G$58,IF($X88&lt;Input!$F$58,IF($X88&lt;Input!$E$58,IF($X88&lt;Input!$D$58,Input!$C$64,Input!$D$64),Input!$E$64),Input!$F$64),Input!$G$64),Input!$H$64)</f>
        <v>0</v>
      </c>
      <c r="Z88" s="190">
        <f>IF($A88&lt;Input!$H$65,IF($A88&lt;Input!$G$65,IF($A88&lt;Input!$F$65,IF($A88&lt;Input!$E$65,IF($A88&lt;Input!$D$65,Input!$C$66,Input!$D$66),Input!$E$66),Input!$F$66),Input!$G$66),Input!$H$66)</f>
        <v>0.9</v>
      </c>
      <c r="AA88" s="60">
        <f t="shared" si="45"/>
        <v>0</v>
      </c>
      <c r="AB88" s="60">
        <f t="shared" si="67"/>
        <v>31</v>
      </c>
      <c r="AC88" s="60">
        <f t="shared" si="46"/>
        <v>0</v>
      </c>
      <c r="AD88" s="60">
        <f>ROUND(AC88*AB88*Input!$C$3/365,0)</f>
        <v>0</v>
      </c>
      <c r="AE88" s="61">
        <f>IF($A88&lt;=Input!$C$6,0,IF('120M'!AA88&lt;'120M'!AC88,'120M'!AA88-AD88,'120M'!AC88))</f>
        <v>0</v>
      </c>
      <c r="AF88" s="61">
        <f t="shared" si="47"/>
        <v>0</v>
      </c>
      <c r="AG88" s="60">
        <f t="shared" si="48"/>
        <v>0</v>
      </c>
      <c r="AH88" s="193"/>
      <c r="AI88" s="169">
        <v>84</v>
      </c>
      <c r="AJ88" s="1">
        <f t="shared" si="68"/>
        <v>48075</v>
      </c>
      <c r="AK88" s="60">
        <f>IF($X88&lt;Input!$H$73,IF($X88&lt;Input!$G$73,IF($X88&lt;Input!$F$73,IF($X88&lt;Input!$E$73,IF($X88&lt;Input!$D$73,Input!$C$79,Input!$D$79),Input!$E$79),Input!$F$79),Input!$G$79),Input!$H$79)</f>
        <v>0</v>
      </c>
      <c r="AL88" s="190">
        <f>IF($A88&lt;Input!$H$80,IF($A88&lt;Input!$G$80,IF($A88&lt;Input!$F$80,IF($A88&lt;Input!$E$80,IF($A88&lt;Input!$D$80,Input!$C$81,Input!$D$81),Input!$E$81),Input!$F$81),Input!$G$81),Input!$H$81)</f>
        <v>0.9</v>
      </c>
      <c r="AM88" s="60">
        <f t="shared" si="49"/>
        <v>0</v>
      </c>
      <c r="AN88" s="60">
        <f t="shared" si="69"/>
        <v>31</v>
      </c>
      <c r="AO88" s="60">
        <f t="shared" si="50"/>
        <v>0</v>
      </c>
      <c r="AP88" s="60">
        <f>ROUND(AO88*AN88*Input!$C$3/365,0)</f>
        <v>0</v>
      </c>
      <c r="AQ88" s="61">
        <f>IF($A88&lt;=Input!$C$6,0,IF('120M'!AM88&lt;'120M'!AO88,'120M'!AM88-AP88,'120M'!AO88))</f>
        <v>0</v>
      </c>
      <c r="AR88" s="61">
        <f t="shared" si="51"/>
        <v>0</v>
      </c>
      <c r="AS88" s="60">
        <f t="shared" si="52"/>
        <v>0</v>
      </c>
      <c r="AT88" s="193"/>
      <c r="AU88" s="169">
        <v>84</v>
      </c>
      <c r="AV88" s="1">
        <f t="shared" si="70"/>
        <v>48075</v>
      </c>
      <c r="AW88" s="60">
        <f>IF($X88&lt;Input!$H$88,IF($X88&lt;Input!$G$88,IF($X88&lt;Input!$F$88,IF($X88&lt;Input!$E$88,IF($X88&lt;Input!$D$88,Input!$C$94,Input!$D$94),Input!$E$94),Input!$F$94),Input!$G$94),Input!$H$94)</f>
        <v>0</v>
      </c>
      <c r="AX88" s="190">
        <f>IF($A88&lt;Input!$H$95,IF($A88&lt;Input!$G$95,IF($A88&lt;Input!$F$95,IF($A88&lt;Input!$E$95,IF($A88&lt;Input!$D$95,Input!$C$96,Input!$D$96),Input!$E$96),Input!$F$96),Input!$G$96),Input!$H$96)</f>
        <v>0.9</v>
      </c>
      <c r="AY88" s="60">
        <f t="shared" si="53"/>
        <v>0</v>
      </c>
      <c r="AZ88" s="60">
        <f t="shared" si="71"/>
        <v>31</v>
      </c>
      <c r="BA88" s="60">
        <f t="shared" si="54"/>
        <v>0</v>
      </c>
      <c r="BB88" s="60">
        <f>ROUND(BA88*AZ88*Input!$C$3/365,0)</f>
        <v>0</v>
      </c>
      <c r="BC88" s="61">
        <f>IF($A88&lt;=Input!$C$6,0,IF('120M'!AY88&lt;'120M'!BA88,'120M'!AY88-BB88,'120M'!BA88))</f>
        <v>0</v>
      </c>
      <c r="BD88" s="61">
        <f t="shared" si="55"/>
        <v>0</v>
      </c>
      <c r="BE88" s="60">
        <f t="shared" si="56"/>
        <v>0</v>
      </c>
      <c r="BF88" s="193"/>
      <c r="BG88" s="169">
        <v>84</v>
      </c>
      <c r="BH88" s="1">
        <f t="shared" si="72"/>
        <v>48075</v>
      </c>
      <c r="BI88" s="60">
        <f>IF($X88&lt;Input!$H$103,IF($X88&lt;Input!$G$103,IF($X88&lt;Input!$F$103,IF($X88&lt;Input!$E$103,IF($X88&lt;Input!$D$103,Input!$C$109,Input!$D$109),Input!$E$109),Input!$F$109),Input!$G$109),Input!$H$109)</f>
        <v>0</v>
      </c>
      <c r="BJ88" s="190">
        <f>IF($A88&lt;Input!$H$110,IF($A88&lt;Input!$G$110,IF($A88&lt;Input!$F$110,IF($A88&lt;Input!$E$110,IF($A88&lt;Input!$D$110,Input!$C$111,Input!$D$111),Input!$E$111),Input!$F$111),Input!$G$111),Input!$H$111)</f>
        <v>0.9</v>
      </c>
      <c r="BK88" s="60">
        <f t="shared" si="57"/>
        <v>0</v>
      </c>
      <c r="BL88" s="60">
        <f t="shared" si="73"/>
        <v>31</v>
      </c>
      <c r="BM88" s="60">
        <f t="shared" si="58"/>
        <v>0</v>
      </c>
      <c r="BN88" s="60">
        <f>ROUND(BM88*BL88*Input!$C$3/365,0)</f>
        <v>0</v>
      </c>
      <c r="BO88" s="61">
        <f>IF($A88&lt;=Input!$C$6,0,IF('120M'!BK88&lt;'120M'!BM88,'120M'!BK88-BN88,'120M'!BM88))</f>
        <v>0</v>
      </c>
      <c r="BP88" s="61">
        <f t="shared" si="59"/>
        <v>0</v>
      </c>
      <c r="BQ88" s="60">
        <f t="shared" si="60"/>
        <v>0</v>
      </c>
      <c r="BR88" s="198"/>
    </row>
    <row r="89" spans="1:70" x14ac:dyDescent="0.25">
      <c r="A89" s="169">
        <v>85</v>
      </c>
      <c r="B89" s="1">
        <f t="shared" si="61"/>
        <v>48106</v>
      </c>
      <c r="C89" s="60">
        <f t="shared" si="39"/>
        <v>21781574.999999996</v>
      </c>
      <c r="D89" s="60">
        <f t="shared" si="40"/>
        <v>19603417.499999996</v>
      </c>
      <c r="E89" s="60">
        <f t="shared" si="62"/>
        <v>31</v>
      </c>
      <c r="F89" s="60">
        <f t="shared" si="63"/>
        <v>481018904</v>
      </c>
      <c r="G89" s="60">
        <f>ROUND(F89*E89*Input!$C$3/365,0)</f>
        <v>6128049</v>
      </c>
      <c r="H89" s="60">
        <f>IF($A89&lt;=Input!$C$6,0,IF('120M'!D89&lt;'120M'!F89,'120M'!D89-G89,'120M'!F89))</f>
        <v>13475368.499999996</v>
      </c>
      <c r="I89" s="60">
        <f t="shared" si="64"/>
        <v>19603417.499999996</v>
      </c>
      <c r="J89" s="60">
        <f t="shared" si="65"/>
        <v>467543535.5</v>
      </c>
      <c r="K89" s="202">
        <f>J89/Input!$K$5</f>
        <v>1.5584784516666668</v>
      </c>
      <c r="L89" s="232"/>
      <c r="M89" s="60">
        <f>IF($B89&lt;Input!$H$43,IF($B89&lt;Input!$G$43,IF($B89&lt;Input!$F$43,IF($B89&lt;Input!$E$43,IF($B89&lt;Input!$D$43,Input!$C$49,Input!$D$49),Input!$E$49),Input!$F$49),Input!$G$49),Input!$H$49)</f>
        <v>21781574.999999996</v>
      </c>
      <c r="N89" s="190">
        <f>IF($A89&lt;Input!$H$50,IF($A89&lt;Input!$G$50,IF($A89&lt;Input!$F$50,IF($A89&lt;Input!$E$50,IF($A89&lt;Input!$D$50,Input!$C$51,Input!$D$51),Input!$E$51),Input!$F$51),Input!$G$51),Input!$H$51)</f>
        <v>0.9</v>
      </c>
      <c r="O89" s="60">
        <f t="shared" si="38"/>
        <v>19603417.499999996</v>
      </c>
      <c r="P89" s="60">
        <f t="shared" si="41"/>
        <v>31</v>
      </c>
      <c r="Q89" s="60">
        <f t="shared" si="42"/>
        <v>481018904</v>
      </c>
      <c r="R89" s="60">
        <f>ROUND(Q89*$P89*Input!$C$3/365,0)</f>
        <v>6128049</v>
      </c>
      <c r="S89" s="60">
        <f>IF(A89&lt;=Input!$C$6,0,IF('120M'!O89&lt;'120M'!Q89,'120M'!O89-R89,'120M'!Q89))</f>
        <v>13475368.499999996</v>
      </c>
      <c r="T89" s="60">
        <f t="shared" si="43"/>
        <v>19603417.499999996</v>
      </c>
      <c r="U89" s="60">
        <f t="shared" si="44"/>
        <v>467543535.5</v>
      </c>
      <c r="V89" s="193"/>
      <c r="W89" s="169">
        <v>85</v>
      </c>
      <c r="X89" s="1">
        <f t="shared" si="66"/>
        <v>48106</v>
      </c>
      <c r="Y89" s="60">
        <f>IF($X89&lt;Input!$H$58,IF($X89&lt;Input!$G$58,IF($X89&lt;Input!$F$58,IF($X89&lt;Input!$E$58,IF($X89&lt;Input!$D$58,Input!$C$64,Input!$D$64),Input!$E$64),Input!$F$64),Input!$G$64),Input!$H$64)</f>
        <v>0</v>
      </c>
      <c r="Z89" s="190">
        <f>IF($A89&lt;Input!$H$65,IF($A89&lt;Input!$G$65,IF($A89&lt;Input!$F$65,IF($A89&lt;Input!$E$65,IF($A89&lt;Input!$D$65,Input!$C$66,Input!$D$66),Input!$E$66),Input!$F$66),Input!$G$66),Input!$H$66)</f>
        <v>0.9</v>
      </c>
      <c r="AA89" s="60">
        <f t="shared" si="45"/>
        <v>0</v>
      </c>
      <c r="AB89" s="60">
        <f t="shared" si="67"/>
        <v>31</v>
      </c>
      <c r="AC89" s="60">
        <f t="shared" si="46"/>
        <v>0</v>
      </c>
      <c r="AD89" s="60">
        <f>ROUND(AC89*AB89*Input!$C$3/365,0)</f>
        <v>0</v>
      </c>
      <c r="AE89" s="61">
        <f>IF($A89&lt;=Input!$C$6,0,IF('120M'!AA89&lt;'120M'!AC89,'120M'!AA89-AD89,'120M'!AC89))</f>
        <v>0</v>
      </c>
      <c r="AF89" s="61">
        <f t="shared" si="47"/>
        <v>0</v>
      </c>
      <c r="AG89" s="60">
        <f t="shared" si="48"/>
        <v>0</v>
      </c>
      <c r="AH89" s="193"/>
      <c r="AI89" s="169">
        <v>85</v>
      </c>
      <c r="AJ89" s="1">
        <f t="shared" si="68"/>
        <v>48106</v>
      </c>
      <c r="AK89" s="60">
        <f>IF($X89&lt;Input!$H$73,IF($X89&lt;Input!$G$73,IF($X89&lt;Input!$F$73,IF($X89&lt;Input!$E$73,IF($X89&lt;Input!$D$73,Input!$C$79,Input!$D$79),Input!$E$79),Input!$F$79),Input!$G$79),Input!$H$79)</f>
        <v>0</v>
      </c>
      <c r="AL89" s="190">
        <f>IF($A89&lt;Input!$H$80,IF($A89&lt;Input!$G$80,IF($A89&lt;Input!$F$80,IF($A89&lt;Input!$E$80,IF($A89&lt;Input!$D$80,Input!$C$81,Input!$D$81),Input!$E$81),Input!$F$81),Input!$G$81),Input!$H$81)</f>
        <v>0.9</v>
      </c>
      <c r="AM89" s="60">
        <f t="shared" si="49"/>
        <v>0</v>
      </c>
      <c r="AN89" s="60">
        <f t="shared" si="69"/>
        <v>31</v>
      </c>
      <c r="AO89" s="60">
        <f t="shared" si="50"/>
        <v>0</v>
      </c>
      <c r="AP89" s="60">
        <f>ROUND(AO89*AN89*Input!$C$3/365,0)</f>
        <v>0</v>
      </c>
      <c r="AQ89" s="61">
        <f>IF($A89&lt;=Input!$C$6,0,IF('120M'!AM89&lt;'120M'!AO89,'120M'!AM89-AP89,'120M'!AO89))</f>
        <v>0</v>
      </c>
      <c r="AR89" s="61">
        <f t="shared" si="51"/>
        <v>0</v>
      </c>
      <c r="AS89" s="60">
        <f t="shared" si="52"/>
        <v>0</v>
      </c>
      <c r="AT89" s="193"/>
      <c r="AU89" s="169">
        <v>85</v>
      </c>
      <c r="AV89" s="1">
        <f t="shared" si="70"/>
        <v>48106</v>
      </c>
      <c r="AW89" s="60">
        <f>IF($X89&lt;Input!$H$88,IF($X89&lt;Input!$G$88,IF($X89&lt;Input!$F$88,IF($X89&lt;Input!$E$88,IF($X89&lt;Input!$D$88,Input!$C$94,Input!$D$94),Input!$E$94),Input!$F$94),Input!$G$94),Input!$H$94)</f>
        <v>0</v>
      </c>
      <c r="AX89" s="190">
        <f>IF($A89&lt;Input!$H$95,IF($A89&lt;Input!$G$95,IF($A89&lt;Input!$F$95,IF($A89&lt;Input!$E$95,IF($A89&lt;Input!$D$95,Input!$C$96,Input!$D$96),Input!$E$96),Input!$F$96),Input!$G$96),Input!$H$96)</f>
        <v>0.9</v>
      </c>
      <c r="AY89" s="60">
        <f t="shared" si="53"/>
        <v>0</v>
      </c>
      <c r="AZ89" s="60">
        <f t="shared" si="71"/>
        <v>31</v>
      </c>
      <c r="BA89" s="60">
        <f t="shared" si="54"/>
        <v>0</v>
      </c>
      <c r="BB89" s="60">
        <f>ROUND(BA89*AZ89*Input!$C$3/365,0)</f>
        <v>0</v>
      </c>
      <c r="BC89" s="61">
        <f>IF($A89&lt;=Input!$C$6,0,IF('120M'!AY89&lt;'120M'!BA89,'120M'!AY89-BB89,'120M'!BA89))</f>
        <v>0</v>
      </c>
      <c r="BD89" s="61">
        <f t="shared" si="55"/>
        <v>0</v>
      </c>
      <c r="BE89" s="60">
        <f t="shared" si="56"/>
        <v>0</v>
      </c>
      <c r="BF89" s="193"/>
      <c r="BG89" s="169">
        <v>85</v>
      </c>
      <c r="BH89" s="1">
        <f t="shared" si="72"/>
        <v>48106</v>
      </c>
      <c r="BI89" s="60">
        <f>IF($X89&lt;Input!$H$103,IF($X89&lt;Input!$G$103,IF($X89&lt;Input!$F$103,IF($X89&lt;Input!$E$103,IF($X89&lt;Input!$D$103,Input!$C$109,Input!$D$109),Input!$E$109),Input!$F$109),Input!$G$109),Input!$H$109)</f>
        <v>0</v>
      </c>
      <c r="BJ89" s="190">
        <f>IF($A89&lt;Input!$H$110,IF($A89&lt;Input!$G$110,IF($A89&lt;Input!$F$110,IF($A89&lt;Input!$E$110,IF($A89&lt;Input!$D$110,Input!$C$111,Input!$D$111),Input!$E$111),Input!$F$111),Input!$G$111),Input!$H$111)</f>
        <v>0.9</v>
      </c>
      <c r="BK89" s="60">
        <f t="shared" si="57"/>
        <v>0</v>
      </c>
      <c r="BL89" s="60">
        <f t="shared" si="73"/>
        <v>31</v>
      </c>
      <c r="BM89" s="60">
        <f t="shared" si="58"/>
        <v>0</v>
      </c>
      <c r="BN89" s="60">
        <f>ROUND(BM89*BL89*Input!$C$3/365,0)</f>
        <v>0</v>
      </c>
      <c r="BO89" s="61">
        <f>IF($A89&lt;=Input!$C$6,0,IF('120M'!BK89&lt;'120M'!BM89,'120M'!BK89-BN89,'120M'!BM89))</f>
        <v>0</v>
      </c>
      <c r="BP89" s="61">
        <f t="shared" si="59"/>
        <v>0</v>
      </c>
      <c r="BQ89" s="60">
        <f t="shared" si="60"/>
        <v>0</v>
      </c>
      <c r="BR89" s="198"/>
    </row>
    <row r="90" spans="1:70" x14ac:dyDescent="0.25">
      <c r="A90" s="169">
        <v>86</v>
      </c>
      <c r="B90" s="1">
        <f t="shared" si="61"/>
        <v>48136</v>
      </c>
      <c r="C90" s="60">
        <f t="shared" si="39"/>
        <v>21781574.999999996</v>
      </c>
      <c r="D90" s="60">
        <f t="shared" si="40"/>
        <v>19603417.499999996</v>
      </c>
      <c r="E90" s="60">
        <f t="shared" si="62"/>
        <v>30</v>
      </c>
      <c r="F90" s="60">
        <f t="shared" si="63"/>
        <v>467543535.5</v>
      </c>
      <c r="G90" s="60">
        <f>ROUND(F90*E90*Input!$C$3/365,0)</f>
        <v>5764235</v>
      </c>
      <c r="H90" s="60">
        <f>IF($A90&lt;=Input!$C$6,0,IF('120M'!D90&lt;'120M'!F90,'120M'!D90-G90,'120M'!F90))</f>
        <v>13839182.499999996</v>
      </c>
      <c r="I90" s="60">
        <f t="shared" si="64"/>
        <v>19603417.499999996</v>
      </c>
      <c r="J90" s="60">
        <f t="shared" si="65"/>
        <v>453704353</v>
      </c>
      <c r="K90" s="202">
        <f>J90/Input!$K$5</f>
        <v>1.5123478433333333</v>
      </c>
      <c r="L90" s="232"/>
      <c r="M90" s="60">
        <f>IF($B90&lt;Input!$H$43,IF($B90&lt;Input!$G$43,IF($B90&lt;Input!$F$43,IF($B90&lt;Input!$E$43,IF($B90&lt;Input!$D$43,Input!$C$49,Input!$D$49),Input!$E$49),Input!$F$49),Input!$G$49),Input!$H$49)</f>
        <v>21781574.999999996</v>
      </c>
      <c r="N90" s="190">
        <f>IF($A90&lt;Input!$H$50,IF($A90&lt;Input!$G$50,IF($A90&lt;Input!$F$50,IF($A90&lt;Input!$E$50,IF($A90&lt;Input!$D$50,Input!$C$51,Input!$D$51),Input!$E$51),Input!$F$51),Input!$G$51),Input!$H$51)</f>
        <v>0.9</v>
      </c>
      <c r="O90" s="60">
        <f t="shared" si="38"/>
        <v>19603417.499999996</v>
      </c>
      <c r="P90" s="60">
        <f t="shared" si="41"/>
        <v>30</v>
      </c>
      <c r="Q90" s="60">
        <f t="shared" si="42"/>
        <v>467543535.5</v>
      </c>
      <c r="R90" s="60">
        <f>ROUND(Q90*$P90*Input!$C$3/365,0)</f>
        <v>5764235</v>
      </c>
      <c r="S90" s="60">
        <f>IF(A90&lt;=Input!$C$6,0,IF('120M'!O90&lt;'120M'!Q90,'120M'!O90-R90,'120M'!Q90))</f>
        <v>13839182.499999996</v>
      </c>
      <c r="T90" s="60">
        <f t="shared" si="43"/>
        <v>19603417.499999996</v>
      </c>
      <c r="U90" s="60">
        <f t="shared" si="44"/>
        <v>453704353</v>
      </c>
      <c r="V90" s="193"/>
      <c r="W90" s="169">
        <v>86</v>
      </c>
      <c r="X90" s="1">
        <f t="shared" si="66"/>
        <v>48136</v>
      </c>
      <c r="Y90" s="60">
        <f>IF($X90&lt;Input!$H$58,IF($X90&lt;Input!$G$58,IF($X90&lt;Input!$F$58,IF($X90&lt;Input!$E$58,IF($X90&lt;Input!$D$58,Input!$C$64,Input!$D$64),Input!$E$64),Input!$F$64),Input!$G$64),Input!$H$64)</f>
        <v>0</v>
      </c>
      <c r="Z90" s="190">
        <f>IF($A90&lt;Input!$H$65,IF($A90&lt;Input!$G$65,IF($A90&lt;Input!$F$65,IF($A90&lt;Input!$E$65,IF($A90&lt;Input!$D$65,Input!$C$66,Input!$D$66),Input!$E$66),Input!$F$66),Input!$G$66),Input!$H$66)</f>
        <v>0.9</v>
      </c>
      <c r="AA90" s="60">
        <f t="shared" si="45"/>
        <v>0</v>
      </c>
      <c r="AB90" s="60">
        <f t="shared" si="67"/>
        <v>30</v>
      </c>
      <c r="AC90" s="60">
        <f t="shared" si="46"/>
        <v>0</v>
      </c>
      <c r="AD90" s="60">
        <f>ROUND(AC90*AB90*Input!$C$3/365,0)</f>
        <v>0</v>
      </c>
      <c r="AE90" s="61">
        <f>IF($A90&lt;=Input!$C$6,0,IF('120M'!AA90&lt;'120M'!AC90,'120M'!AA90-AD90,'120M'!AC90))</f>
        <v>0</v>
      </c>
      <c r="AF90" s="61">
        <f t="shared" si="47"/>
        <v>0</v>
      </c>
      <c r="AG90" s="60">
        <f t="shared" si="48"/>
        <v>0</v>
      </c>
      <c r="AH90" s="193"/>
      <c r="AI90" s="169">
        <v>86</v>
      </c>
      <c r="AJ90" s="1">
        <f t="shared" si="68"/>
        <v>48136</v>
      </c>
      <c r="AK90" s="60">
        <f>IF($X90&lt;Input!$H$73,IF($X90&lt;Input!$G$73,IF($X90&lt;Input!$F$73,IF($X90&lt;Input!$E$73,IF($X90&lt;Input!$D$73,Input!$C$79,Input!$D$79),Input!$E$79),Input!$F$79),Input!$G$79),Input!$H$79)</f>
        <v>0</v>
      </c>
      <c r="AL90" s="190">
        <f>IF($A90&lt;Input!$H$80,IF($A90&lt;Input!$G$80,IF($A90&lt;Input!$F$80,IF($A90&lt;Input!$E$80,IF($A90&lt;Input!$D$80,Input!$C$81,Input!$D$81),Input!$E$81),Input!$F$81),Input!$G$81),Input!$H$81)</f>
        <v>0.9</v>
      </c>
      <c r="AM90" s="60">
        <f t="shared" si="49"/>
        <v>0</v>
      </c>
      <c r="AN90" s="60">
        <f t="shared" si="69"/>
        <v>30</v>
      </c>
      <c r="AO90" s="60">
        <f t="shared" si="50"/>
        <v>0</v>
      </c>
      <c r="AP90" s="60">
        <f>ROUND(AO90*AN90*Input!$C$3/365,0)</f>
        <v>0</v>
      </c>
      <c r="AQ90" s="61">
        <f>IF($A90&lt;=Input!$C$6,0,IF('120M'!AM90&lt;'120M'!AO90,'120M'!AM90-AP90,'120M'!AO90))</f>
        <v>0</v>
      </c>
      <c r="AR90" s="61">
        <f t="shared" si="51"/>
        <v>0</v>
      </c>
      <c r="AS90" s="60">
        <f t="shared" si="52"/>
        <v>0</v>
      </c>
      <c r="AT90" s="193"/>
      <c r="AU90" s="169">
        <v>86</v>
      </c>
      <c r="AV90" s="1">
        <f t="shared" si="70"/>
        <v>48136</v>
      </c>
      <c r="AW90" s="60">
        <f>IF($X90&lt;Input!$H$88,IF($X90&lt;Input!$G$88,IF($X90&lt;Input!$F$88,IF($X90&lt;Input!$E$88,IF($X90&lt;Input!$D$88,Input!$C$94,Input!$D$94),Input!$E$94),Input!$F$94),Input!$G$94),Input!$H$94)</f>
        <v>0</v>
      </c>
      <c r="AX90" s="190">
        <f>IF($A90&lt;Input!$H$95,IF($A90&lt;Input!$G$95,IF($A90&lt;Input!$F$95,IF($A90&lt;Input!$E$95,IF($A90&lt;Input!$D$95,Input!$C$96,Input!$D$96),Input!$E$96),Input!$F$96),Input!$G$96),Input!$H$96)</f>
        <v>0.9</v>
      </c>
      <c r="AY90" s="60">
        <f t="shared" si="53"/>
        <v>0</v>
      </c>
      <c r="AZ90" s="60">
        <f t="shared" si="71"/>
        <v>30</v>
      </c>
      <c r="BA90" s="60">
        <f t="shared" si="54"/>
        <v>0</v>
      </c>
      <c r="BB90" s="60">
        <f>ROUND(BA90*AZ90*Input!$C$3/365,0)</f>
        <v>0</v>
      </c>
      <c r="BC90" s="61">
        <f>IF($A90&lt;=Input!$C$6,0,IF('120M'!AY90&lt;'120M'!BA90,'120M'!AY90-BB90,'120M'!BA90))</f>
        <v>0</v>
      </c>
      <c r="BD90" s="61">
        <f t="shared" si="55"/>
        <v>0</v>
      </c>
      <c r="BE90" s="60">
        <f t="shared" si="56"/>
        <v>0</v>
      </c>
      <c r="BF90" s="193"/>
      <c r="BG90" s="169">
        <v>86</v>
      </c>
      <c r="BH90" s="1">
        <f t="shared" si="72"/>
        <v>48136</v>
      </c>
      <c r="BI90" s="60">
        <f>IF($X90&lt;Input!$H$103,IF($X90&lt;Input!$G$103,IF($X90&lt;Input!$F$103,IF($X90&lt;Input!$E$103,IF($X90&lt;Input!$D$103,Input!$C$109,Input!$D$109),Input!$E$109),Input!$F$109),Input!$G$109),Input!$H$109)</f>
        <v>0</v>
      </c>
      <c r="BJ90" s="190">
        <f>IF($A90&lt;Input!$H$110,IF($A90&lt;Input!$G$110,IF($A90&lt;Input!$F$110,IF($A90&lt;Input!$E$110,IF($A90&lt;Input!$D$110,Input!$C$111,Input!$D$111),Input!$E$111),Input!$F$111),Input!$G$111),Input!$H$111)</f>
        <v>0.9</v>
      </c>
      <c r="BK90" s="60">
        <f t="shared" si="57"/>
        <v>0</v>
      </c>
      <c r="BL90" s="60">
        <f t="shared" si="73"/>
        <v>30</v>
      </c>
      <c r="BM90" s="60">
        <f t="shared" si="58"/>
        <v>0</v>
      </c>
      <c r="BN90" s="60">
        <f>ROUND(BM90*BL90*Input!$C$3/365,0)</f>
        <v>0</v>
      </c>
      <c r="BO90" s="61">
        <f>IF($A90&lt;=Input!$C$6,0,IF('120M'!BK90&lt;'120M'!BM90,'120M'!BK90-BN90,'120M'!BM90))</f>
        <v>0</v>
      </c>
      <c r="BP90" s="61">
        <f t="shared" si="59"/>
        <v>0</v>
      </c>
      <c r="BQ90" s="60">
        <f t="shared" si="60"/>
        <v>0</v>
      </c>
      <c r="BR90" s="198"/>
    </row>
    <row r="91" spans="1:70" x14ac:dyDescent="0.25">
      <c r="A91" s="169">
        <v>87</v>
      </c>
      <c r="B91" s="1">
        <f t="shared" si="61"/>
        <v>48167</v>
      </c>
      <c r="C91" s="60">
        <f t="shared" si="39"/>
        <v>21781574.999999996</v>
      </c>
      <c r="D91" s="60">
        <f t="shared" si="40"/>
        <v>19603417.499999996</v>
      </c>
      <c r="E91" s="60">
        <f t="shared" si="62"/>
        <v>31</v>
      </c>
      <c r="F91" s="60">
        <f t="shared" si="63"/>
        <v>453704353</v>
      </c>
      <c r="G91" s="60">
        <f>ROUND(F91*E91*Input!$C$3/365,0)</f>
        <v>5780069</v>
      </c>
      <c r="H91" s="60">
        <f>IF($A91&lt;=Input!$C$6,0,IF('120M'!D91&lt;'120M'!F91,'120M'!D91-G91,'120M'!F91))</f>
        <v>13823348.499999996</v>
      </c>
      <c r="I91" s="60">
        <f t="shared" si="64"/>
        <v>19603417.499999996</v>
      </c>
      <c r="J91" s="60">
        <f t="shared" si="65"/>
        <v>439881004.5</v>
      </c>
      <c r="K91" s="202">
        <f>J91/Input!$K$5</f>
        <v>1.4662700150000001</v>
      </c>
      <c r="L91" s="232"/>
      <c r="M91" s="60">
        <f>IF($B91&lt;Input!$H$43,IF($B91&lt;Input!$G$43,IF($B91&lt;Input!$F$43,IF($B91&lt;Input!$E$43,IF($B91&lt;Input!$D$43,Input!$C$49,Input!$D$49),Input!$E$49),Input!$F$49),Input!$G$49),Input!$H$49)</f>
        <v>21781574.999999996</v>
      </c>
      <c r="N91" s="190">
        <f>IF($A91&lt;Input!$H$50,IF($A91&lt;Input!$G$50,IF($A91&lt;Input!$F$50,IF($A91&lt;Input!$E$50,IF($A91&lt;Input!$D$50,Input!$C$51,Input!$D$51),Input!$E$51),Input!$F$51),Input!$G$51),Input!$H$51)</f>
        <v>0.9</v>
      </c>
      <c r="O91" s="60">
        <f t="shared" si="38"/>
        <v>19603417.499999996</v>
      </c>
      <c r="P91" s="60">
        <f t="shared" si="41"/>
        <v>31</v>
      </c>
      <c r="Q91" s="60">
        <f t="shared" si="42"/>
        <v>453704353</v>
      </c>
      <c r="R91" s="60">
        <f>ROUND(Q91*$P91*Input!$C$3/365,0)</f>
        <v>5780069</v>
      </c>
      <c r="S91" s="60">
        <f>IF(A91&lt;=Input!$C$6,0,IF('120M'!O91&lt;'120M'!Q91,'120M'!O91-R91,'120M'!Q91))</f>
        <v>13823348.499999996</v>
      </c>
      <c r="T91" s="60">
        <f t="shared" si="43"/>
        <v>19603417.499999996</v>
      </c>
      <c r="U91" s="60">
        <f t="shared" si="44"/>
        <v>439881004.5</v>
      </c>
      <c r="V91" s="193"/>
      <c r="W91" s="169">
        <v>87</v>
      </c>
      <c r="X91" s="1">
        <f t="shared" si="66"/>
        <v>48167</v>
      </c>
      <c r="Y91" s="60">
        <f>IF($X91&lt;Input!$H$58,IF($X91&lt;Input!$G$58,IF($X91&lt;Input!$F$58,IF($X91&lt;Input!$E$58,IF($X91&lt;Input!$D$58,Input!$C$64,Input!$D$64),Input!$E$64),Input!$F$64),Input!$G$64),Input!$H$64)</f>
        <v>0</v>
      </c>
      <c r="Z91" s="190">
        <f>IF($A91&lt;Input!$H$65,IF($A91&lt;Input!$G$65,IF($A91&lt;Input!$F$65,IF($A91&lt;Input!$E$65,IF($A91&lt;Input!$D$65,Input!$C$66,Input!$D$66),Input!$E$66),Input!$F$66),Input!$G$66),Input!$H$66)</f>
        <v>0.9</v>
      </c>
      <c r="AA91" s="60">
        <f t="shared" si="45"/>
        <v>0</v>
      </c>
      <c r="AB91" s="60">
        <f t="shared" si="67"/>
        <v>31</v>
      </c>
      <c r="AC91" s="60">
        <f t="shared" si="46"/>
        <v>0</v>
      </c>
      <c r="AD91" s="60">
        <f>ROUND(AC91*AB91*Input!$C$3/365,0)</f>
        <v>0</v>
      </c>
      <c r="AE91" s="61">
        <f>IF($A91&lt;=Input!$C$6,0,IF('120M'!AA91&lt;'120M'!AC91,'120M'!AA91-AD91,'120M'!AC91))</f>
        <v>0</v>
      </c>
      <c r="AF91" s="61">
        <f t="shared" si="47"/>
        <v>0</v>
      </c>
      <c r="AG91" s="60">
        <f t="shared" si="48"/>
        <v>0</v>
      </c>
      <c r="AH91" s="193"/>
      <c r="AI91" s="169">
        <v>87</v>
      </c>
      <c r="AJ91" s="1">
        <f t="shared" si="68"/>
        <v>48167</v>
      </c>
      <c r="AK91" s="60">
        <f>IF($X91&lt;Input!$H$73,IF($X91&lt;Input!$G$73,IF($X91&lt;Input!$F$73,IF($X91&lt;Input!$E$73,IF($X91&lt;Input!$D$73,Input!$C$79,Input!$D$79),Input!$E$79),Input!$F$79),Input!$G$79),Input!$H$79)</f>
        <v>0</v>
      </c>
      <c r="AL91" s="190">
        <f>IF($A91&lt;Input!$H$80,IF($A91&lt;Input!$G$80,IF($A91&lt;Input!$F$80,IF($A91&lt;Input!$E$80,IF($A91&lt;Input!$D$80,Input!$C$81,Input!$D$81),Input!$E$81),Input!$F$81),Input!$G$81),Input!$H$81)</f>
        <v>0.9</v>
      </c>
      <c r="AM91" s="60">
        <f t="shared" si="49"/>
        <v>0</v>
      </c>
      <c r="AN91" s="60">
        <f t="shared" si="69"/>
        <v>31</v>
      </c>
      <c r="AO91" s="60">
        <f t="shared" si="50"/>
        <v>0</v>
      </c>
      <c r="AP91" s="60">
        <f>ROUND(AO91*AN91*Input!$C$3/365,0)</f>
        <v>0</v>
      </c>
      <c r="AQ91" s="61">
        <f>IF($A91&lt;=Input!$C$6,0,IF('120M'!AM91&lt;'120M'!AO91,'120M'!AM91-AP91,'120M'!AO91))</f>
        <v>0</v>
      </c>
      <c r="AR91" s="61">
        <f t="shared" si="51"/>
        <v>0</v>
      </c>
      <c r="AS91" s="60">
        <f t="shared" si="52"/>
        <v>0</v>
      </c>
      <c r="AT91" s="193"/>
      <c r="AU91" s="169">
        <v>87</v>
      </c>
      <c r="AV91" s="1">
        <f t="shared" si="70"/>
        <v>48167</v>
      </c>
      <c r="AW91" s="60">
        <f>IF($X91&lt;Input!$H$88,IF($X91&lt;Input!$G$88,IF($X91&lt;Input!$F$88,IF($X91&lt;Input!$E$88,IF($X91&lt;Input!$D$88,Input!$C$94,Input!$D$94),Input!$E$94),Input!$F$94),Input!$G$94),Input!$H$94)</f>
        <v>0</v>
      </c>
      <c r="AX91" s="190">
        <f>IF($A91&lt;Input!$H$95,IF($A91&lt;Input!$G$95,IF($A91&lt;Input!$F$95,IF($A91&lt;Input!$E$95,IF($A91&lt;Input!$D$95,Input!$C$96,Input!$D$96),Input!$E$96),Input!$F$96),Input!$G$96),Input!$H$96)</f>
        <v>0.9</v>
      </c>
      <c r="AY91" s="60">
        <f t="shared" si="53"/>
        <v>0</v>
      </c>
      <c r="AZ91" s="60">
        <f t="shared" si="71"/>
        <v>31</v>
      </c>
      <c r="BA91" s="60">
        <f t="shared" si="54"/>
        <v>0</v>
      </c>
      <c r="BB91" s="60">
        <f>ROUND(BA91*AZ91*Input!$C$3/365,0)</f>
        <v>0</v>
      </c>
      <c r="BC91" s="61">
        <f>IF($A91&lt;=Input!$C$6,0,IF('120M'!AY91&lt;'120M'!BA91,'120M'!AY91-BB91,'120M'!BA91))</f>
        <v>0</v>
      </c>
      <c r="BD91" s="61">
        <f t="shared" si="55"/>
        <v>0</v>
      </c>
      <c r="BE91" s="60">
        <f t="shared" si="56"/>
        <v>0</v>
      </c>
      <c r="BF91" s="193"/>
      <c r="BG91" s="169">
        <v>87</v>
      </c>
      <c r="BH91" s="1">
        <f t="shared" si="72"/>
        <v>48167</v>
      </c>
      <c r="BI91" s="60">
        <f>IF($X91&lt;Input!$H$103,IF($X91&lt;Input!$G$103,IF($X91&lt;Input!$F$103,IF($X91&lt;Input!$E$103,IF($X91&lt;Input!$D$103,Input!$C$109,Input!$D$109),Input!$E$109),Input!$F$109),Input!$G$109),Input!$H$109)</f>
        <v>0</v>
      </c>
      <c r="BJ91" s="190">
        <f>IF($A91&lt;Input!$H$110,IF($A91&lt;Input!$G$110,IF($A91&lt;Input!$F$110,IF($A91&lt;Input!$E$110,IF($A91&lt;Input!$D$110,Input!$C$111,Input!$D$111),Input!$E$111),Input!$F$111),Input!$G$111),Input!$H$111)</f>
        <v>0.9</v>
      </c>
      <c r="BK91" s="60">
        <f t="shared" si="57"/>
        <v>0</v>
      </c>
      <c r="BL91" s="60">
        <f t="shared" si="73"/>
        <v>31</v>
      </c>
      <c r="BM91" s="60">
        <f t="shared" si="58"/>
        <v>0</v>
      </c>
      <c r="BN91" s="60">
        <f>ROUND(BM91*BL91*Input!$C$3/365,0)</f>
        <v>0</v>
      </c>
      <c r="BO91" s="61">
        <f>IF($A91&lt;=Input!$C$6,0,IF('120M'!BK91&lt;'120M'!BM91,'120M'!BK91-BN91,'120M'!BM91))</f>
        <v>0</v>
      </c>
      <c r="BP91" s="61">
        <f t="shared" si="59"/>
        <v>0</v>
      </c>
      <c r="BQ91" s="60">
        <f t="shared" si="60"/>
        <v>0</v>
      </c>
      <c r="BR91" s="198"/>
    </row>
    <row r="92" spans="1:70" x14ac:dyDescent="0.25">
      <c r="A92" s="169">
        <v>88</v>
      </c>
      <c r="B92" s="1">
        <f t="shared" si="61"/>
        <v>48197</v>
      </c>
      <c r="C92" s="60">
        <f t="shared" si="39"/>
        <v>21781574.999999996</v>
      </c>
      <c r="D92" s="60">
        <f t="shared" si="40"/>
        <v>19603417.499999996</v>
      </c>
      <c r="E92" s="60">
        <f t="shared" si="62"/>
        <v>30</v>
      </c>
      <c r="F92" s="60">
        <f t="shared" si="63"/>
        <v>439881004.5</v>
      </c>
      <c r="G92" s="60">
        <f>ROUND(F92*E92*Input!$C$3/365,0)</f>
        <v>5423190</v>
      </c>
      <c r="H92" s="60">
        <f>IF($A92&lt;=Input!$C$6,0,IF('120M'!D92&lt;'120M'!F92,'120M'!D92-G92,'120M'!F92))</f>
        <v>14180227.499999996</v>
      </c>
      <c r="I92" s="60">
        <f t="shared" si="64"/>
        <v>19603417.499999996</v>
      </c>
      <c r="J92" s="60">
        <f t="shared" si="65"/>
        <v>425700777</v>
      </c>
      <c r="K92" s="202">
        <f>J92/Input!$K$5</f>
        <v>1.4190025900000001</v>
      </c>
      <c r="L92" s="232"/>
      <c r="M92" s="60">
        <f>IF($B92&lt;Input!$H$43,IF($B92&lt;Input!$G$43,IF($B92&lt;Input!$F$43,IF($B92&lt;Input!$E$43,IF($B92&lt;Input!$D$43,Input!$C$49,Input!$D$49),Input!$E$49),Input!$F$49),Input!$G$49),Input!$H$49)</f>
        <v>21781574.999999996</v>
      </c>
      <c r="N92" s="190">
        <f>IF($A92&lt;Input!$H$50,IF($A92&lt;Input!$G$50,IF($A92&lt;Input!$F$50,IF($A92&lt;Input!$E$50,IF($A92&lt;Input!$D$50,Input!$C$51,Input!$D$51),Input!$E$51),Input!$F$51),Input!$G$51),Input!$H$51)</f>
        <v>0.9</v>
      </c>
      <c r="O92" s="60">
        <f t="shared" si="38"/>
        <v>19603417.499999996</v>
      </c>
      <c r="P92" s="60">
        <f t="shared" si="41"/>
        <v>30</v>
      </c>
      <c r="Q92" s="60">
        <f t="shared" si="42"/>
        <v>439881004.5</v>
      </c>
      <c r="R92" s="60">
        <f>ROUND(Q92*$P92*Input!$C$3/365,0)</f>
        <v>5423190</v>
      </c>
      <c r="S92" s="60">
        <f>IF(A92&lt;=Input!$C$6,0,IF('120M'!O92&lt;'120M'!Q92,'120M'!O92-R92,'120M'!Q92))</f>
        <v>14180227.499999996</v>
      </c>
      <c r="T92" s="60">
        <f t="shared" si="43"/>
        <v>19603417.499999996</v>
      </c>
      <c r="U92" s="60">
        <f t="shared" si="44"/>
        <v>425700777</v>
      </c>
      <c r="V92" s="193"/>
      <c r="W92" s="169">
        <v>88</v>
      </c>
      <c r="X92" s="1">
        <f t="shared" si="66"/>
        <v>48197</v>
      </c>
      <c r="Y92" s="60">
        <f>IF($X92&lt;Input!$H$58,IF($X92&lt;Input!$G$58,IF($X92&lt;Input!$F$58,IF($X92&lt;Input!$E$58,IF($X92&lt;Input!$D$58,Input!$C$64,Input!$D$64),Input!$E$64),Input!$F$64),Input!$G$64),Input!$H$64)</f>
        <v>0</v>
      </c>
      <c r="Z92" s="190">
        <f>IF($A92&lt;Input!$H$65,IF($A92&lt;Input!$G$65,IF($A92&lt;Input!$F$65,IF($A92&lt;Input!$E$65,IF($A92&lt;Input!$D$65,Input!$C$66,Input!$D$66),Input!$E$66),Input!$F$66),Input!$G$66),Input!$H$66)</f>
        <v>0.9</v>
      </c>
      <c r="AA92" s="60">
        <f t="shared" si="45"/>
        <v>0</v>
      </c>
      <c r="AB92" s="60">
        <f t="shared" si="67"/>
        <v>30</v>
      </c>
      <c r="AC92" s="60">
        <f t="shared" si="46"/>
        <v>0</v>
      </c>
      <c r="AD92" s="60">
        <f>ROUND(AC92*AB92*Input!$C$3/365,0)</f>
        <v>0</v>
      </c>
      <c r="AE92" s="61">
        <f>IF($A92&lt;=Input!$C$6,0,IF('120M'!AA92&lt;'120M'!AC92,'120M'!AA92-AD92,'120M'!AC92))</f>
        <v>0</v>
      </c>
      <c r="AF92" s="61">
        <f t="shared" si="47"/>
        <v>0</v>
      </c>
      <c r="AG92" s="60">
        <f t="shared" si="48"/>
        <v>0</v>
      </c>
      <c r="AH92" s="193"/>
      <c r="AI92" s="169">
        <v>88</v>
      </c>
      <c r="AJ92" s="1">
        <f t="shared" si="68"/>
        <v>48197</v>
      </c>
      <c r="AK92" s="60">
        <f>IF($X92&lt;Input!$H$73,IF($X92&lt;Input!$G$73,IF($X92&lt;Input!$F$73,IF($X92&lt;Input!$E$73,IF($X92&lt;Input!$D$73,Input!$C$79,Input!$D$79),Input!$E$79),Input!$F$79),Input!$G$79),Input!$H$79)</f>
        <v>0</v>
      </c>
      <c r="AL92" s="190">
        <f>IF($A92&lt;Input!$H$80,IF($A92&lt;Input!$G$80,IF($A92&lt;Input!$F$80,IF($A92&lt;Input!$E$80,IF($A92&lt;Input!$D$80,Input!$C$81,Input!$D$81),Input!$E$81),Input!$F$81),Input!$G$81),Input!$H$81)</f>
        <v>0.9</v>
      </c>
      <c r="AM92" s="60">
        <f t="shared" si="49"/>
        <v>0</v>
      </c>
      <c r="AN92" s="60">
        <f t="shared" si="69"/>
        <v>30</v>
      </c>
      <c r="AO92" s="60">
        <f t="shared" si="50"/>
        <v>0</v>
      </c>
      <c r="AP92" s="60">
        <f>ROUND(AO92*AN92*Input!$C$3/365,0)</f>
        <v>0</v>
      </c>
      <c r="AQ92" s="61">
        <f>IF($A92&lt;=Input!$C$6,0,IF('120M'!AM92&lt;'120M'!AO92,'120M'!AM92-AP92,'120M'!AO92))</f>
        <v>0</v>
      </c>
      <c r="AR92" s="61">
        <f t="shared" si="51"/>
        <v>0</v>
      </c>
      <c r="AS92" s="60">
        <f t="shared" si="52"/>
        <v>0</v>
      </c>
      <c r="AT92" s="193"/>
      <c r="AU92" s="169">
        <v>88</v>
      </c>
      <c r="AV92" s="1">
        <f t="shared" si="70"/>
        <v>48197</v>
      </c>
      <c r="AW92" s="60">
        <f>IF($X92&lt;Input!$H$88,IF($X92&lt;Input!$G$88,IF($X92&lt;Input!$F$88,IF($X92&lt;Input!$E$88,IF($X92&lt;Input!$D$88,Input!$C$94,Input!$D$94),Input!$E$94),Input!$F$94),Input!$G$94),Input!$H$94)</f>
        <v>0</v>
      </c>
      <c r="AX92" s="190">
        <f>IF($A92&lt;Input!$H$95,IF($A92&lt;Input!$G$95,IF($A92&lt;Input!$F$95,IF($A92&lt;Input!$E$95,IF($A92&lt;Input!$D$95,Input!$C$96,Input!$D$96),Input!$E$96),Input!$F$96),Input!$G$96),Input!$H$96)</f>
        <v>0.9</v>
      </c>
      <c r="AY92" s="60">
        <f t="shared" si="53"/>
        <v>0</v>
      </c>
      <c r="AZ92" s="60">
        <f t="shared" si="71"/>
        <v>30</v>
      </c>
      <c r="BA92" s="60">
        <f t="shared" si="54"/>
        <v>0</v>
      </c>
      <c r="BB92" s="60">
        <f>ROUND(BA92*AZ92*Input!$C$3/365,0)</f>
        <v>0</v>
      </c>
      <c r="BC92" s="61">
        <f>IF($A92&lt;=Input!$C$6,0,IF('120M'!AY92&lt;'120M'!BA92,'120M'!AY92-BB92,'120M'!BA92))</f>
        <v>0</v>
      </c>
      <c r="BD92" s="61">
        <f t="shared" si="55"/>
        <v>0</v>
      </c>
      <c r="BE92" s="60">
        <f t="shared" si="56"/>
        <v>0</v>
      </c>
      <c r="BF92" s="193"/>
      <c r="BG92" s="169">
        <v>88</v>
      </c>
      <c r="BH92" s="1">
        <f t="shared" si="72"/>
        <v>48197</v>
      </c>
      <c r="BI92" s="60">
        <f>IF($X92&lt;Input!$H$103,IF($X92&lt;Input!$G$103,IF($X92&lt;Input!$F$103,IF($X92&lt;Input!$E$103,IF($X92&lt;Input!$D$103,Input!$C$109,Input!$D$109),Input!$E$109),Input!$F$109),Input!$G$109),Input!$H$109)</f>
        <v>0</v>
      </c>
      <c r="BJ92" s="190">
        <f>IF($A92&lt;Input!$H$110,IF($A92&lt;Input!$G$110,IF($A92&lt;Input!$F$110,IF($A92&lt;Input!$E$110,IF($A92&lt;Input!$D$110,Input!$C$111,Input!$D$111),Input!$E$111),Input!$F$111),Input!$G$111),Input!$H$111)</f>
        <v>0.9</v>
      </c>
      <c r="BK92" s="60">
        <f t="shared" si="57"/>
        <v>0</v>
      </c>
      <c r="BL92" s="60">
        <f t="shared" si="73"/>
        <v>30</v>
      </c>
      <c r="BM92" s="60">
        <f t="shared" si="58"/>
        <v>0</v>
      </c>
      <c r="BN92" s="60">
        <f>ROUND(BM92*BL92*Input!$C$3/365,0)</f>
        <v>0</v>
      </c>
      <c r="BO92" s="61">
        <f>IF($A92&lt;=Input!$C$6,0,IF('120M'!BK92&lt;'120M'!BM92,'120M'!BK92-BN92,'120M'!BM92))</f>
        <v>0</v>
      </c>
      <c r="BP92" s="61">
        <f t="shared" si="59"/>
        <v>0</v>
      </c>
      <c r="BQ92" s="60">
        <f t="shared" si="60"/>
        <v>0</v>
      </c>
      <c r="BR92" s="198"/>
    </row>
    <row r="93" spans="1:70" x14ac:dyDescent="0.25">
      <c r="A93" s="169">
        <v>89</v>
      </c>
      <c r="B93" s="1">
        <f t="shared" si="61"/>
        <v>48228</v>
      </c>
      <c r="C93" s="60">
        <f t="shared" si="39"/>
        <v>21781574.999999996</v>
      </c>
      <c r="D93" s="60">
        <f t="shared" si="40"/>
        <v>19603417.499999996</v>
      </c>
      <c r="E93" s="60">
        <f t="shared" si="62"/>
        <v>31</v>
      </c>
      <c r="F93" s="60">
        <f t="shared" si="63"/>
        <v>425700777</v>
      </c>
      <c r="G93" s="60">
        <f>ROUND(F93*E93*Input!$C$3/365,0)</f>
        <v>5423311</v>
      </c>
      <c r="H93" s="60">
        <f>IF($A93&lt;=Input!$C$6,0,IF('120M'!D93&lt;'120M'!F93,'120M'!D93-G93,'120M'!F93))</f>
        <v>14180106.499999996</v>
      </c>
      <c r="I93" s="60">
        <f t="shared" si="64"/>
        <v>19603417.499999996</v>
      </c>
      <c r="J93" s="60">
        <f t="shared" si="65"/>
        <v>411520670.5</v>
      </c>
      <c r="K93" s="202">
        <f>J93/Input!$K$5</f>
        <v>1.3717355683333334</v>
      </c>
      <c r="L93" s="232"/>
      <c r="M93" s="60">
        <f>IF($B93&lt;Input!$H$43,IF($B93&lt;Input!$G$43,IF($B93&lt;Input!$F$43,IF($B93&lt;Input!$E$43,IF($B93&lt;Input!$D$43,Input!$C$49,Input!$D$49),Input!$E$49),Input!$F$49),Input!$G$49),Input!$H$49)</f>
        <v>21781574.999999996</v>
      </c>
      <c r="N93" s="190">
        <f>IF($A93&lt;Input!$H$50,IF($A93&lt;Input!$G$50,IF($A93&lt;Input!$F$50,IF($A93&lt;Input!$E$50,IF($A93&lt;Input!$D$50,Input!$C$51,Input!$D$51),Input!$E$51),Input!$F$51),Input!$G$51),Input!$H$51)</f>
        <v>0.9</v>
      </c>
      <c r="O93" s="60">
        <f t="shared" si="38"/>
        <v>19603417.499999996</v>
      </c>
      <c r="P93" s="60">
        <f t="shared" si="41"/>
        <v>31</v>
      </c>
      <c r="Q93" s="60">
        <f t="shared" si="42"/>
        <v>425700777</v>
      </c>
      <c r="R93" s="60">
        <f>ROUND(Q93*$P93*Input!$C$3/365,0)</f>
        <v>5423311</v>
      </c>
      <c r="S93" s="60">
        <f>IF(A93&lt;=Input!$C$6,0,IF('120M'!O93&lt;'120M'!Q93,'120M'!O93-R93,'120M'!Q93))</f>
        <v>14180106.499999996</v>
      </c>
      <c r="T93" s="60">
        <f t="shared" si="43"/>
        <v>19603417.499999996</v>
      </c>
      <c r="U93" s="60">
        <f t="shared" si="44"/>
        <v>411520670.5</v>
      </c>
      <c r="V93" s="193"/>
      <c r="W93" s="169">
        <v>89</v>
      </c>
      <c r="X93" s="1">
        <f t="shared" si="66"/>
        <v>48228</v>
      </c>
      <c r="Y93" s="60">
        <f>IF($X93&lt;Input!$H$58,IF($X93&lt;Input!$G$58,IF($X93&lt;Input!$F$58,IF($X93&lt;Input!$E$58,IF($X93&lt;Input!$D$58,Input!$C$64,Input!$D$64),Input!$E$64),Input!$F$64),Input!$G$64),Input!$H$64)</f>
        <v>0</v>
      </c>
      <c r="Z93" s="190">
        <f>IF($A93&lt;Input!$H$65,IF($A93&lt;Input!$G$65,IF($A93&lt;Input!$F$65,IF($A93&lt;Input!$E$65,IF($A93&lt;Input!$D$65,Input!$C$66,Input!$D$66),Input!$E$66),Input!$F$66),Input!$G$66),Input!$H$66)</f>
        <v>0.9</v>
      </c>
      <c r="AA93" s="60">
        <f t="shared" si="45"/>
        <v>0</v>
      </c>
      <c r="AB93" s="60">
        <f t="shared" si="67"/>
        <v>31</v>
      </c>
      <c r="AC93" s="60">
        <f t="shared" si="46"/>
        <v>0</v>
      </c>
      <c r="AD93" s="60">
        <f>ROUND(AC93*AB93*Input!$C$3/365,0)</f>
        <v>0</v>
      </c>
      <c r="AE93" s="61">
        <f>IF($A93&lt;=Input!$C$6,0,IF('120M'!AA93&lt;'120M'!AC93,'120M'!AA93-AD93,'120M'!AC93))</f>
        <v>0</v>
      </c>
      <c r="AF93" s="61">
        <f t="shared" si="47"/>
        <v>0</v>
      </c>
      <c r="AG93" s="60">
        <f t="shared" si="48"/>
        <v>0</v>
      </c>
      <c r="AH93" s="193"/>
      <c r="AI93" s="169">
        <v>89</v>
      </c>
      <c r="AJ93" s="1">
        <f t="shared" si="68"/>
        <v>48228</v>
      </c>
      <c r="AK93" s="60">
        <f>IF($X93&lt;Input!$H$73,IF($X93&lt;Input!$G$73,IF($X93&lt;Input!$F$73,IF($X93&lt;Input!$E$73,IF($X93&lt;Input!$D$73,Input!$C$79,Input!$D$79),Input!$E$79),Input!$F$79),Input!$G$79),Input!$H$79)</f>
        <v>0</v>
      </c>
      <c r="AL93" s="190">
        <f>IF($A93&lt;Input!$H$80,IF($A93&lt;Input!$G$80,IF($A93&lt;Input!$F$80,IF($A93&lt;Input!$E$80,IF($A93&lt;Input!$D$80,Input!$C$81,Input!$D$81),Input!$E$81),Input!$F$81),Input!$G$81),Input!$H$81)</f>
        <v>0.9</v>
      </c>
      <c r="AM93" s="60">
        <f t="shared" si="49"/>
        <v>0</v>
      </c>
      <c r="AN93" s="60">
        <f t="shared" si="69"/>
        <v>31</v>
      </c>
      <c r="AO93" s="60">
        <f t="shared" si="50"/>
        <v>0</v>
      </c>
      <c r="AP93" s="60">
        <f>ROUND(AO93*AN93*Input!$C$3/365,0)</f>
        <v>0</v>
      </c>
      <c r="AQ93" s="61">
        <f>IF($A93&lt;=Input!$C$6,0,IF('120M'!AM93&lt;'120M'!AO93,'120M'!AM93-AP93,'120M'!AO93))</f>
        <v>0</v>
      </c>
      <c r="AR93" s="61">
        <f t="shared" si="51"/>
        <v>0</v>
      </c>
      <c r="AS93" s="60">
        <f t="shared" si="52"/>
        <v>0</v>
      </c>
      <c r="AT93" s="193"/>
      <c r="AU93" s="169">
        <v>89</v>
      </c>
      <c r="AV93" s="1">
        <f t="shared" si="70"/>
        <v>48228</v>
      </c>
      <c r="AW93" s="60">
        <f>IF($X93&lt;Input!$H$88,IF($X93&lt;Input!$G$88,IF($X93&lt;Input!$F$88,IF($X93&lt;Input!$E$88,IF($X93&lt;Input!$D$88,Input!$C$94,Input!$D$94),Input!$E$94),Input!$F$94),Input!$G$94),Input!$H$94)</f>
        <v>0</v>
      </c>
      <c r="AX93" s="190">
        <f>IF($A93&lt;Input!$H$95,IF($A93&lt;Input!$G$95,IF($A93&lt;Input!$F$95,IF($A93&lt;Input!$E$95,IF($A93&lt;Input!$D$95,Input!$C$96,Input!$D$96),Input!$E$96),Input!$F$96),Input!$G$96),Input!$H$96)</f>
        <v>0.9</v>
      </c>
      <c r="AY93" s="60">
        <f t="shared" si="53"/>
        <v>0</v>
      </c>
      <c r="AZ93" s="60">
        <f t="shared" si="71"/>
        <v>31</v>
      </c>
      <c r="BA93" s="60">
        <f t="shared" si="54"/>
        <v>0</v>
      </c>
      <c r="BB93" s="60">
        <f>ROUND(BA93*AZ93*Input!$C$3/365,0)</f>
        <v>0</v>
      </c>
      <c r="BC93" s="61">
        <f>IF($A93&lt;=Input!$C$6,0,IF('120M'!AY93&lt;'120M'!BA93,'120M'!AY93-BB93,'120M'!BA93))</f>
        <v>0</v>
      </c>
      <c r="BD93" s="61">
        <f t="shared" si="55"/>
        <v>0</v>
      </c>
      <c r="BE93" s="60">
        <f t="shared" si="56"/>
        <v>0</v>
      </c>
      <c r="BF93" s="193"/>
      <c r="BG93" s="169">
        <v>89</v>
      </c>
      <c r="BH93" s="1">
        <f t="shared" si="72"/>
        <v>48228</v>
      </c>
      <c r="BI93" s="60">
        <f>IF($X93&lt;Input!$H$103,IF($X93&lt;Input!$G$103,IF($X93&lt;Input!$F$103,IF($X93&lt;Input!$E$103,IF($X93&lt;Input!$D$103,Input!$C$109,Input!$D$109),Input!$E$109),Input!$F$109),Input!$G$109),Input!$H$109)</f>
        <v>0</v>
      </c>
      <c r="BJ93" s="190">
        <f>IF($A93&lt;Input!$H$110,IF($A93&lt;Input!$G$110,IF($A93&lt;Input!$F$110,IF($A93&lt;Input!$E$110,IF($A93&lt;Input!$D$110,Input!$C$111,Input!$D$111),Input!$E$111),Input!$F$111),Input!$G$111),Input!$H$111)</f>
        <v>0.9</v>
      </c>
      <c r="BK93" s="60">
        <f t="shared" si="57"/>
        <v>0</v>
      </c>
      <c r="BL93" s="60">
        <f t="shared" si="73"/>
        <v>31</v>
      </c>
      <c r="BM93" s="60">
        <f t="shared" si="58"/>
        <v>0</v>
      </c>
      <c r="BN93" s="60">
        <f>ROUND(BM93*BL93*Input!$C$3/365,0)</f>
        <v>0</v>
      </c>
      <c r="BO93" s="61">
        <f>IF($A93&lt;=Input!$C$6,0,IF('120M'!BK93&lt;'120M'!BM93,'120M'!BK93-BN93,'120M'!BM93))</f>
        <v>0</v>
      </c>
      <c r="BP93" s="61">
        <f t="shared" si="59"/>
        <v>0</v>
      </c>
      <c r="BQ93" s="60">
        <f t="shared" si="60"/>
        <v>0</v>
      </c>
      <c r="BR93" s="198"/>
    </row>
    <row r="94" spans="1:70" x14ac:dyDescent="0.25">
      <c r="A94" s="169">
        <v>90</v>
      </c>
      <c r="B94" s="1">
        <f t="shared" si="61"/>
        <v>48259</v>
      </c>
      <c r="C94" s="60">
        <f t="shared" si="39"/>
        <v>21781574.999999996</v>
      </c>
      <c r="D94" s="60">
        <f t="shared" si="40"/>
        <v>19603417.499999996</v>
      </c>
      <c r="E94" s="60">
        <f t="shared" si="62"/>
        <v>31</v>
      </c>
      <c r="F94" s="60">
        <f t="shared" si="63"/>
        <v>411520670.5</v>
      </c>
      <c r="G94" s="60">
        <f>ROUND(F94*E94*Input!$C$3/365,0)</f>
        <v>5242661</v>
      </c>
      <c r="H94" s="60">
        <f>IF($A94&lt;=Input!$C$6,0,IF('120M'!D94&lt;'120M'!F94,'120M'!D94-G94,'120M'!F94))</f>
        <v>14360756.499999996</v>
      </c>
      <c r="I94" s="60">
        <f t="shared" si="64"/>
        <v>19603417.499999996</v>
      </c>
      <c r="J94" s="60">
        <f t="shared" si="65"/>
        <v>397159914</v>
      </c>
      <c r="K94" s="202">
        <f>J94/Input!$K$5</f>
        <v>1.3238663799999999</v>
      </c>
      <c r="L94" s="232"/>
      <c r="M94" s="60">
        <f>IF($B94&lt;Input!$H$43,IF($B94&lt;Input!$G$43,IF($B94&lt;Input!$F$43,IF($B94&lt;Input!$E$43,IF($B94&lt;Input!$D$43,Input!$C$49,Input!$D$49),Input!$E$49),Input!$F$49),Input!$G$49),Input!$H$49)</f>
        <v>21781574.999999996</v>
      </c>
      <c r="N94" s="190">
        <f>IF($A94&lt;Input!$H$50,IF($A94&lt;Input!$G$50,IF($A94&lt;Input!$F$50,IF($A94&lt;Input!$E$50,IF($A94&lt;Input!$D$50,Input!$C$51,Input!$D$51),Input!$E$51),Input!$F$51),Input!$G$51),Input!$H$51)</f>
        <v>0.9</v>
      </c>
      <c r="O94" s="60">
        <f t="shared" si="38"/>
        <v>19603417.499999996</v>
      </c>
      <c r="P94" s="60">
        <f t="shared" si="41"/>
        <v>31</v>
      </c>
      <c r="Q94" s="60">
        <f t="shared" si="42"/>
        <v>411520670.5</v>
      </c>
      <c r="R94" s="60">
        <f>ROUND(Q94*$P94*Input!$C$3/365,0)</f>
        <v>5242661</v>
      </c>
      <c r="S94" s="60">
        <f>IF(A94&lt;=Input!$C$6,0,IF('120M'!O94&lt;'120M'!Q94,'120M'!O94-R94,'120M'!Q94))</f>
        <v>14360756.499999996</v>
      </c>
      <c r="T94" s="60">
        <f t="shared" si="43"/>
        <v>19603417.499999996</v>
      </c>
      <c r="U94" s="60">
        <f t="shared" si="44"/>
        <v>397159914</v>
      </c>
      <c r="V94" s="193"/>
      <c r="W94" s="169">
        <v>90</v>
      </c>
      <c r="X94" s="1">
        <f t="shared" si="66"/>
        <v>48259</v>
      </c>
      <c r="Y94" s="60">
        <f>IF($X94&lt;Input!$H$58,IF($X94&lt;Input!$G$58,IF($X94&lt;Input!$F$58,IF($X94&lt;Input!$E$58,IF($X94&lt;Input!$D$58,Input!$C$64,Input!$D$64),Input!$E$64),Input!$F$64),Input!$G$64),Input!$H$64)</f>
        <v>0</v>
      </c>
      <c r="Z94" s="190">
        <f>IF($A94&lt;Input!$H$65,IF($A94&lt;Input!$G$65,IF($A94&lt;Input!$F$65,IF($A94&lt;Input!$E$65,IF($A94&lt;Input!$D$65,Input!$C$66,Input!$D$66),Input!$E$66),Input!$F$66),Input!$G$66),Input!$H$66)</f>
        <v>0.9</v>
      </c>
      <c r="AA94" s="60">
        <f t="shared" si="45"/>
        <v>0</v>
      </c>
      <c r="AB94" s="60">
        <f t="shared" si="67"/>
        <v>31</v>
      </c>
      <c r="AC94" s="60">
        <f t="shared" si="46"/>
        <v>0</v>
      </c>
      <c r="AD94" s="60">
        <f>ROUND(AC94*AB94*Input!$C$3/365,0)</f>
        <v>0</v>
      </c>
      <c r="AE94" s="61">
        <f>IF($A94&lt;=Input!$C$6,0,IF('120M'!AA94&lt;'120M'!AC94,'120M'!AA94-AD94,'120M'!AC94))</f>
        <v>0</v>
      </c>
      <c r="AF94" s="61">
        <f t="shared" si="47"/>
        <v>0</v>
      </c>
      <c r="AG94" s="60">
        <f t="shared" si="48"/>
        <v>0</v>
      </c>
      <c r="AH94" s="193"/>
      <c r="AI94" s="169">
        <v>90</v>
      </c>
      <c r="AJ94" s="1">
        <f t="shared" si="68"/>
        <v>48259</v>
      </c>
      <c r="AK94" s="60">
        <f>IF($X94&lt;Input!$H$73,IF($X94&lt;Input!$G$73,IF($X94&lt;Input!$F$73,IF($X94&lt;Input!$E$73,IF($X94&lt;Input!$D$73,Input!$C$79,Input!$D$79),Input!$E$79),Input!$F$79),Input!$G$79),Input!$H$79)</f>
        <v>0</v>
      </c>
      <c r="AL94" s="190">
        <f>IF($A94&lt;Input!$H$80,IF($A94&lt;Input!$G$80,IF($A94&lt;Input!$F$80,IF($A94&lt;Input!$E$80,IF($A94&lt;Input!$D$80,Input!$C$81,Input!$D$81),Input!$E$81),Input!$F$81),Input!$G$81),Input!$H$81)</f>
        <v>0.9</v>
      </c>
      <c r="AM94" s="60">
        <f t="shared" si="49"/>
        <v>0</v>
      </c>
      <c r="AN94" s="60">
        <f t="shared" si="69"/>
        <v>31</v>
      </c>
      <c r="AO94" s="60">
        <f t="shared" si="50"/>
        <v>0</v>
      </c>
      <c r="AP94" s="60">
        <f>ROUND(AO94*AN94*Input!$C$3/365,0)</f>
        <v>0</v>
      </c>
      <c r="AQ94" s="61">
        <f>IF($A94&lt;=Input!$C$6,0,IF('120M'!AM94&lt;'120M'!AO94,'120M'!AM94-AP94,'120M'!AO94))</f>
        <v>0</v>
      </c>
      <c r="AR94" s="61">
        <f t="shared" si="51"/>
        <v>0</v>
      </c>
      <c r="AS94" s="60">
        <f t="shared" si="52"/>
        <v>0</v>
      </c>
      <c r="AT94" s="193"/>
      <c r="AU94" s="169">
        <v>90</v>
      </c>
      <c r="AV94" s="1">
        <f t="shared" si="70"/>
        <v>48259</v>
      </c>
      <c r="AW94" s="60">
        <f>IF($X94&lt;Input!$H$88,IF($X94&lt;Input!$G$88,IF($X94&lt;Input!$F$88,IF($X94&lt;Input!$E$88,IF($X94&lt;Input!$D$88,Input!$C$94,Input!$D$94),Input!$E$94),Input!$F$94),Input!$G$94),Input!$H$94)</f>
        <v>0</v>
      </c>
      <c r="AX94" s="190">
        <f>IF($A94&lt;Input!$H$95,IF($A94&lt;Input!$G$95,IF($A94&lt;Input!$F$95,IF($A94&lt;Input!$E$95,IF($A94&lt;Input!$D$95,Input!$C$96,Input!$D$96),Input!$E$96),Input!$F$96),Input!$G$96),Input!$H$96)</f>
        <v>0.9</v>
      </c>
      <c r="AY94" s="60">
        <f t="shared" si="53"/>
        <v>0</v>
      </c>
      <c r="AZ94" s="60">
        <f t="shared" si="71"/>
        <v>31</v>
      </c>
      <c r="BA94" s="60">
        <f t="shared" si="54"/>
        <v>0</v>
      </c>
      <c r="BB94" s="60">
        <f>ROUND(BA94*AZ94*Input!$C$3/365,0)</f>
        <v>0</v>
      </c>
      <c r="BC94" s="61">
        <f>IF($A94&lt;=Input!$C$6,0,IF('120M'!AY94&lt;'120M'!BA94,'120M'!AY94-BB94,'120M'!BA94))</f>
        <v>0</v>
      </c>
      <c r="BD94" s="61">
        <f t="shared" si="55"/>
        <v>0</v>
      </c>
      <c r="BE94" s="60">
        <f t="shared" si="56"/>
        <v>0</v>
      </c>
      <c r="BF94" s="193"/>
      <c r="BG94" s="169">
        <v>90</v>
      </c>
      <c r="BH94" s="1">
        <f t="shared" si="72"/>
        <v>48259</v>
      </c>
      <c r="BI94" s="60">
        <f>IF($X94&lt;Input!$H$103,IF($X94&lt;Input!$G$103,IF($X94&lt;Input!$F$103,IF($X94&lt;Input!$E$103,IF($X94&lt;Input!$D$103,Input!$C$109,Input!$D$109),Input!$E$109),Input!$F$109),Input!$G$109),Input!$H$109)</f>
        <v>0</v>
      </c>
      <c r="BJ94" s="190">
        <f>IF($A94&lt;Input!$H$110,IF($A94&lt;Input!$G$110,IF($A94&lt;Input!$F$110,IF($A94&lt;Input!$E$110,IF($A94&lt;Input!$D$110,Input!$C$111,Input!$D$111),Input!$E$111),Input!$F$111),Input!$G$111),Input!$H$111)</f>
        <v>0.9</v>
      </c>
      <c r="BK94" s="60">
        <f t="shared" si="57"/>
        <v>0</v>
      </c>
      <c r="BL94" s="60">
        <f t="shared" si="73"/>
        <v>31</v>
      </c>
      <c r="BM94" s="60">
        <f t="shared" si="58"/>
        <v>0</v>
      </c>
      <c r="BN94" s="60">
        <f>ROUND(BM94*BL94*Input!$C$3/365,0)</f>
        <v>0</v>
      </c>
      <c r="BO94" s="61">
        <f>IF($A94&lt;=Input!$C$6,0,IF('120M'!BK94&lt;'120M'!BM94,'120M'!BK94-BN94,'120M'!BM94))</f>
        <v>0</v>
      </c>
      <c r="BP94" s="61">
        <f t="shared" si="59"/>
        <v>0</v>
      </c>
      <c r="BQ94" s="60">
        <f t="shared" si="60"/>
        <v>0</v>
      </c>
      <c r="BR94" s="198"/>
    </row>
    <row r="95" spans="1:70" x14ac:dyDescent="0.25">
      <c r="A95" s="169">
        <v>91</v>
      </c>
      <c r="B95" s="1">
        <f t="shared" si="61"/>
        <v>48288</v>
      </c>
      <c r="C95" s="60">
        <f t="shared" si="39"/>
        <v>21781574.999999996</v>
      </c>
      <c r="D95" s="60">
        <f t="shared" si="40"/>
        <v>19603417.499999996</v>
      </c>
      <c r="E95" s="60">
        <f t="shared" si="62"/>
        <v>29</v>
      </c>
      <c r="F95" s="60">
        <f t="shared" si="63"/>
        <v>397159914</v>
      </c>
      <c r="G95" s="60">
        <f>ROUND(F95*E95*Input!$C$3/365,0)</f>
        <v>4733276</v>
      </c>
      <c r="H95" s="60">
        <f>IF($A95&lt;=Input!$C$6,0,IF('120M'!D95&lt;'120M'!F95,'120M'!D95-G95,'120M'!F95))</f>
        <v>14870141.499999996</v>
      </c>
      <c r="I95" s="60">
        <f t="shared" si="64"/>
        <v>19603417.499999996</v>
      </c>
      <c r="J95" s="60">
        <f t="shared" si="65"/>
        <v>382289772.5</v>
      </c>
      <c r="K95" s="202">
        <f>J95/Input!$K$5</f>
        <v>1.2742992416666667</v>
      </c>
      <c r="L95" s="232"/>
      <c r="M95" s="60">
        <f>IF($B95&lt;Input!$H$43,IF($B95&lt;Input!$G$43,IF($B95&lt;Input!$F$43,IF($B95&lt;Input!$E$43,IF($B95&lt;Input!$D$43,Input!$C$49,Input!$D$49),Input!$E$49),Input!$F$49),Input!$G$49),Input!$H$49)</f>
        <v>21781574.999999996</v>
      </c>
      <c r="N95" s="190">
        <f>IF($A95&lt;Input!$H$50,IF($A95&lt;Input!$G$50,IF($A95&lt;Input!$F$50,IF($A95&lt;Input!$E$50,IF($A95&lt;Input!$D$50,Input!$C$51,Input!$D$51),Input!$E$51),Input!$F$51),Input!$G$51),Input!$H$51)</f>
        <v>0.9</v>
      </c>
      <c r="O95" s="60">
        <f t="shared" si="38"/>
        <v>19603417.499999996</v>
      </c>
      <c r="P95" s="60">
        <f t="shared" si="41"/>
        <v>29</v>
      </c>
      <c r="Q95" s="60">
        <f t="shared" si="42"/>
        <v>397159914</v>
      </c>
      <c r="R95" s="60">
        <f>ROUND(Q95*$P95*Input!$C$3/365,0)</f>
        <v>4733276</v>
      </c>
      <c r="S95" s="60">
        <f>IF(A95&lt;=Input!$C$6,0,IF('120M'!O95&lt;'120M'!Q95,'120M'!O95-R95,'120M'!Q95))</f>
        <v>14870141.499999996</v>
      </c>
      <c r="T95" s="60">
        <f t="shared" si="43"/>
        <v>19603417.499999996</v>
      </c>
      <c r="U95" s="60">
        <f t="shared" si="44"/>
        <v>382289772.5</v>
      </c>
      <c r="V95" s="193"/>
      <c r="W95" s="169">
        <v>91</v>
      </c>
      <c r="X95" s="1">
        <f t="shared" si="66"/>
        <v>48288</v>
      </c>
      <c r="Y95" s="60">
        <f>IF($X95&lt;Input!$H$58,IF($X95&lt;Input!$G$58,IF($X95&lt;Input!$F$58,IF($X95&lt;Input!$E$58,IF($X95&lt;Input!$D$58,Input!$C$64,Input!$D$64),Input!$E$64),Input!$F$64),Input!$G$64),Input!$H$64)</f>
        <v>0</v>
      </c>
      <c r="Z95" s="190">
        <f>IF($A95&lt;Input!$H$65,IF($A95&lt;Input!$G$65,IF($A95&lt;Input!$F$65,IF($A95&lt;Input!$E$65,IF($A95&lt;Input!$D$65,Input!$C$66,Input!$D$66),Input!$E$66),Input!$F$66),Input!$G$66),Input!$H$66)</f>
        <v>0.9</v>
      </c>
      <c r="AA95" s="60">
        <f t="shared" si="45"/>
        <v>0</v>
      </c>
      <c r="AB95" s="60">
        <f t="shared" si="67"/>
        <v>29</v>
      </c>
      <c r="AC95" s="60">
        <f t="shared" si="46"/>
        <v>0</v>
      </c>
      <c r="AD95" s="60">
        <f>ROUND(AC95*AB95*Input!$C$3/365,0)</f>
        <v>0</v>
      </c>
      <c r="AE95" s="61">
        <f>IF($A95&lt;=Input!$C$6,0,IF('120M'!AA95&lt;'120M'!AC95,'120M'!AA95-AD95,'120M'!AC95))</f>
        <v>0</v>
      </c>
      <c r="AF95" s="61">
        <f t="shared" si="47"/>
        <v>0</v>
      </c>
      <c r="AG95" s="60">
        <f t="shared" si="48"/>
        <v>0</v>
      </c>
      <c r="AH95" s="193"/>
      <c r="AI95" s="169">
        <v>91</v>
      </c>
      <c r="AJ95" s="1">
        <f t="shared" si="68"/>
        <v>48288</v>
      </c>
      <c r="AK95" s="60">
        <f>IF($X95&lt;Input!$H$73,IF($X95&lt;Input!$G$73,IF($X95&lt;Input!$F$73,IF($X95&lt;Input!$E$73,IF($X95&lt;Input!$D$73,Input!$C$79,Input!$D$79),Input!$E$79),Input!$F$79),Input!$G$79),Input!$H$79)</f>
        <v>0</v>
      </c>
      <c r="AL95" s="190">
        <f>IF($A95&lt;Input!$H$80,IF($A95&lt;Input!$G$80,IF($A95&lt;Input!$F$80,IF($A95&lt;Input!$E$80,IF($A95&lt;Input!$D$80,Input!$C$81,Input!$D$81),Input!$E$81),Input!$F$81),Input!$G$81),Input!$H$81)</f>
        <v>0.9</v>
      </c>
      <c r="AM95" s="60">
        <f t="shared" si="49"/>
        <v>0</v>
      </c>
      <c r="AN95" s="60">
        <f t="shared" si="69"/>
        <v>29</v>
      </c>
      <c r="AO95" s="60">
        <f t="shared" si="50"/>
        <v>0</v>
      </c>
      <c r="AP95" s="60">
        <f>ROUND(AO95*AN95*Input!$C$3/365,0)</f>
        <v>0</v>
      </c>
      <c r="AQ95" s="61">
        <f>IF($A95&lt;=Input!$C$6,0,IF('120M'!AM95&lt;'120M'!AO95,'120M'!AM95-AP95,'120M'!AO95))</f>
        <v>0</v>
      </c>
      <c r="AR95" s="61">
        <f t="shared" si="51"/>
        <v>0</v>
      </c>
      <c r="AS95" s="60">
        <f t="shared" si="52"/>
        <v>0</v>
      </c>
      <c r="AT95" s="193"/>
      <c r="AU95" s="169">
        <v>91</v>
      </c>
      <c r="AV95" s="1">
        <f t="shared" si="70"/>
        <v>48288</v>
      </c>
      <c r="AW95" s="60">
        <f>IF($X95&lt;Input!$H$88,IF($X95&lt;Input!$G$88,IF($X95&lt;Input!$F$88,IF($X95&lt;Input!$E$88,IF($X95&lt;Input!$D$88,Input!$C$94,Input!$D$94),Input!$E$94),Input!$F$94),Input!$G$94),Input!$H$94)</f>
        <v>0</v>
      </c>
      <c r="AX95" s="190">
        <f>IF($A95&lt;Input!$H$95,IF($A95&lt;Input!$G$95,IF($A95&lt;Input!$F$95,IF($A95&lt;Input!$E$95,IF($A95&lt;Input!$D$95,Input!$C$96,Input!$D$96),Input!$E$96),Input!$F$96),Input!$G$96),Input!$H$96)</f>
        <v>0.9</v>
      </c>
      <c r="AY95" s="60">
        <f t="shared" si="53"/>
        <v>0</v>
      </c>
      <c r="AZ95" s="60">
        <f t="shared" si="71"/>
        <v>29</v>
      </c>
      <c r="BA95" s="60">
        <f t="shared" si="54"/>
        <v>0</v>
      </c>
      <c r="BB95" s="60">
        <f>ROUND(BA95*AZ95*Input!$C$3/365,0)</f>
        <v>0</v>
      </c>
      <c r="BC95" s="61">
        <f>IF($A95&lt;=Input!$C$6,0,IF('120M'!AY95&lt;'120M'!BA95,'120M'!AY95-BB95,'120M'!BA95))</f>
        <v>0</v>
      </c>
      <c r="BD95" s="61">
        <f t="shared" si="55"/>
        <v>0</v>
      </c>
      <c r="BE95" s="60">
        <f t="shared" si="56"/>
        <v>0</v>
      </c>
      <c r="BF95" s="193"/>
      <c r="BG95" s="169">
        <v>91</v>
      </c>
      <c r="BH95" s="1">
        <f t="shared" si="72"/>
        <v>48288</v>
      </c>
      <c r="BI95" s="60">
        <f>IF($X95&lt;Input!$H$103,IF($X95&lt;Input!$G$103,IF($X95&lt;Input!$F$103,IF($X95&lt;Input!$E$103,IF($X95&lt;Input!$D$103,Input!$C$109,Input!$D$109),Input!$E$109),Input!$F$109),Input!$G$109),Input!$H$109)</f>
        <v>0</v>
      </c>
      <c r="BJ95" s="190">
        <f>IF($A95&lt;Input!$H$110,IF($A95&lt;Input!$G$110,IF($A95&lt;Input!$F$110,IF($A95&lt;Input!$E$110,IF($A95&lt;Input!$D$110,Input!$C$111,Input!$D$111),Input!$E$111),Input!$F$111),Input!$G$111),Input!$H$111)</f>
        <v>0.9</v>
      </c>
      <c r="BK95" s="60">
        <f t="shared" si="57"/>
        <v>0</v>
      </c>
      <c r="BL95" s="60">
        <f t="shared" si="73"/>
        <v>29</v>
      </c>
      <c r="BM95" s="60">
        <f t="shared" si="58"/>
        <v>0</v>
      </c>
      <c r="BN95" s="60">
        <f>ROUND(BM95*BL95*Input!$C$3/365,0)</f>
        <v>0</v>
      </c>
      <c r="BO95" s="61">
        <f>IF($A95&lt;=Input!$C$6,0,IF('120M'!BK95&lt;'120M'!BM95,'120M'!BK95-BN95,'120M'!BM95))</f>
        <v>0</v>
      </c>
      <c r="BP95" s="61">
        <f t="shared" si="59"/>
        <v>0</v>
      </c>
      <c r="BQ95" s="60">
        <f t="shared" si="60"/>
        <v>0</v>
      </c>
      <c r="BR95" s="198"/>
    </row>
    <row r="96" spans="1:70" x14ac:dyDescent="0.25">
      <c r="A96" s="169">
        <v>92</v>
      </c>
      <c r="B96" s="1">
        <f t="shared" si="61"/>
        <v>48319</v>
      </c>
      <c r="C96" s="60">
        <f t="shared" si="39"/>
        <v>21781574.999999996</v>
      </c>
      <c r="D96" s="60">
        <f t="shared" si="40"/>
        <v>19603417.499999996</v>
      </c>
      <c r="E96" s="60">
        <f t="shared" si="62"/>
        <v>31</v>
      </c>
      <c r="F96" s="60">
        <f t="shared" si="63"/>
        <v>382289772.5</v>
      </c>
      <c r="G96" s="60">
        <f>ROUND(F96*E96*Input!$C$3/365,0)</f>
        <v>4870267</v>
      </c>
      <c r="H96" s="60">
        <f>IF($A96&lt;=Input!$C$6,0,IF('120M'!D96&lt;'120M'!F96,'120M'!D96-G96,'120M'!F96))</f>
        <v>14733150.499999996</v>
      </c>
      <c r="I96" s="60">
        <f t="shared" si="64"/>
        <v>19603417.499999996</v>
      </c>
      <c r="J96" s="60">
        <f t="shared" si="65"/>
        <v>367556622</v>
      </c>
      <c r="K96" s="202">
        <f>J96/Input!$K$5</f>
        <v>1.2251887400000001</v>
      </c>
      <c r="L96" s="232"/>
      <c r="M96" s="60">
        <f>IF($B96&lt;Input!$H$43,IF($B96&lt;Input!$G$43,IF($B96&lt;Input!$F$43,IF($B96&lt;Input!$E$43,IF($B96&lt;Input!$D$43,Input!$C$49,Input!$D$49),Input!$E$49),Input!$F$49),Input!$G$49),Input!$H$49)</f>
        <v>21781574.999999996</v>
      </c>
      <c r="N96" s="190">
        <f>IF($A96&lt;Input!$H$50,IF($A96&lt;Input!$G$50,IF($A96&lt;Input!$F$50,IF($A96&lt;Input!$E$50,IF($A96&lt;Input!$D$50,Input!$C$51,Input!$D$51),Input!$E$51),Input!$F$51),Input!$G$51),Input!$H$51)</f>
        <v>0.9</v>
      </c>
      <c r="O96" s="60">
        <f t="shared" si="38"/>
        <v>19603417.499999996</v>
      </c>
      <c r="P96" s="60">
        <f t="shared" si="41"/>
        <v>31</v>
      </c>
      <c r="Q96" s="60">
        <f t="shared" si="42"/>
        <v>382289772.5</v>
      </c>
      <c r="R96" s="60">
        <f>ROUND(Q96*$P96*Input!$C$3/365,0)</f>
        <v>4870267</v>
      </c>
      <c r="S96" s="60">
        <f>IF(A96&lt;=Input!$C$6,0,IF('120M'!O96&lt;'120M'!Q96,'120M'!O96-R96,'120M'!Q96))</f>
        <v>14733150.499999996</v>
      </c>
      <c r="T96" s="60">
        <f t="shared" si="43"/>
        <v>19603417.499999996</v>
      </c>
      <c r="U96" s="60">
        <f t="shared" si="44"/>
        <v>367556622</v>
      </c>
      <c r="V96" s="193"/>
      <c r="W96" s="169">
        <v>92</v>
      </c>
      <c r="X96" s="1">
        <f t="shared" si="66"/>
        <v>48319</v>
      </c>
      <c r="Y96" s="60">
        <f>IF($X96&lt;Input!$H$58,IF($X96&lt;Input!$G$58,IF($X96&lt;Input!$F$58,IF($X96&lt;Input!$E$58,IF($X96&lt;Input!$D$58,Input!$C$64,Input!$D$64),Input!$E$64),Input!$F$64),Input!$G$64),Input!$H$64)</f>
        <v>0</v>
      </c>
      <c r="Z96" s="190">
        <f>IF($A96&lt;Input!$H$65,IF($A96&lt;Input!$G$65,IF($A96&lt;Input!$F$65,IF($A96&lt;Input!$E$65,IF($A96&lt;Input!$D$65,Input!$C$66,Input!$D$66),Input!$E$66),Input!$F$66),Input!$G$66),Input!$H$66)</f>
        <v>0.9</v>
      </c>
      <c r="AA96" s="60">
        <f t="shared" si="45"/>
        <v>0</v>
      </c>
      <c r="AB96" s="60">
        <f t="shared" si="67"/>
        <v>31</v>
      </c>
      <c r="AC96" s="60">
        <f t="shared" si="46"/>
        <v>0</v>
      </c>
      <c r="AD96" s="60">
        <f>ROUND(AC96*AB96*Input!$C$3/365,0)</f>
        <v>0</v>
      </c>
      <c r="AE96" s="61">
        <f>IF($A96&lt;=Input!$C$6,0,IF('120M'!AA96&lt;'120M'!AC96,'120M'!AA96-AD96,'120M'!AC96))</f>
        <v>0</v>
      </c>
      <c r="AF96" s="61">
        <f t="shared" si="47"/>
        <v>0</v>
      </c>
      <c r="AG96" s="60">
        <f t="shared" si="48"/>
        <v>0</v>
      </c>
      <c r="AH96" s="193"/>
      <c r="AI96" s="169">
        <v>92</v>
      </c>
      <c r="AJ96" s="1">
        <f t="shared" si="68"/>
        <v>48319</v>
      </c>
      <c r="AK96" s="60">
        <f>IF($X96&lt;Input!$H$73,IF($X96&lt;Input!$G$73,IF($X96&lt;Input!$F$73,IF($X96&lt;Input!$E$73,IF($X96&lt;Input!$D$73,Input!$C$79,Input!$D$79),Input!$E$79),Input!$F$79),Input!$G$79),Input!$H$79)</f>
        <v>0</v>
      </c>
      <c r="AL96" s="190">
        <f>IF($A96&lt;Input!$H$80,IF($A96&lt;Input!$G$80,IF($A96&lt;Input!$F$80,IF($A96&lt;Input!$E$80,IF($A96&lt;Input!$D$80,Input!$C$81,Input!$D$81),Input!$E$81),Input!$F$81),Input!$G$81),Input!$H$81)</f>
        <v>0.9</v>
      </c>
      <c r="AM96" s="60">
        <f t="shared" si="49"/>
        <v>0</v>
      </c>
      <c r="AN96" s="60">
        <f t="shared" si="69"/>
        <v>31</v>
      </c>
      <c r="AO96" s="60">
        <f t="shared" si="50"/>
        <v>0</v>
      </c>
      <c r="AP96" s="60">
        <f>ROUND(AO96*AN96*Input!$C$3/365,0)</f>
        <v>0</v>
      </c>
      <c r="AQ96" s="61">
        <f>IF($A96&lt;=Input!$C$6,0,IF('120M'!AM96&lt;'120M'!AO96,'120M'!AM96-AP96,'120M'!AO96))</f>
        <v>0</v>
      </c>
      <c r="AR96" s="61">
        <f t="shared" si="51"/>
        <v>0</v>
      </c>
      <c r="AS96" s="60">
        <f t="shared" si="52"/>
        <v>0</v>
      </c>
      <c r="AT96" s="193"/>
      <c r="AU96" s="169">
        <v>92</v>
      </c>
      <c r="AV96" s="1">
        <f t="shared" si="70"/>
        <v>48319</v>
      </c>
      <c r="AW96" s="60">
        <f>IF($X96&lt;Input!$H$88,IF($X96&lt;Input!$G$88,IF($X96&lt;Input!$F$88,IF($X96&lt;Input!$E$88,IF($X96&lt;Input!$D$88,Input!$C$94,Input!$D$94),Input!$E$94),Input!$F$94),Input!$G$94),Input!$H$94)</f>
        <v>0</v>
      </c>
      <c r="AX96" s="190">
        <f>IF($A96&lt;Input!$H$95,IF($A96&lt;Input!$G$95,IF($A96&lt;Input!$F$95,IF($A96&lt;Input!$E$95,IF($A96&lt;Input!$D$95,Input!$C$96,Input!$D$96),Input!$E$96),Input!$F$96),Input!$G$96),Input!$H$96)</f>
        <v>0.9</v>
      </c>
      <c r="AY96" s="60">
        <f t="shared" si="53"/>
        <v>0</v>
      </c>
      <c r="AZ96" s="60">
        <f t="shared" si="71"/>
        <v>31</v>
      </c>
      <c r="BA96" s="60">
        <f t="shared" si="54"/>
        <v>0</v>
      </c>
      <c r="BB96" s="60">
        <f>ROUND(BA96*AZ96*Input!$C$3/365,0)</f>
        <v>0</v>
      </c>
      <c r="BC96" s="61">
        <f>IF($A96&lt;=Input!$C$6,0,IF('120M'!AY96&lt;'120M'!BA96,'120M'!AY96-BB96,'120M'!BA96))</f>
        <v>0</v>
      </c>
      <c r="BD96" s="61">
        <f t="shared" si="55"/>
        <v>0</v>
      </c>
      <c r="BE96" s="60">
        <f t="shared" si="56"/>
        <v>0</v>
      </c>
      <c r="BF96" s="193"/>
      <c r="BG96" s="169">
        <v>92</v>
      </c>
      <c r="BH96" s="1">
        <f t="shared" si="72"/>
        <v>48319</v>
      </c>
      <c r="BI96" s="60">
        <f>IF($X96&lt;Input!$H$103,IF($X96&lt;Input!$G$103,IF($X96&lt;Input!$F$103,IF($X96&lt;Input!$E$103,IF($X96&lt;Input!$D$103,Input!$C$109,Input!$D$109),Input!$E$109),Input!$F$109),Input!$G$109),Input!$H$109)</f>
        <v>0</v>
      </c>
      <c r="BJ96" s="190">
        <f>IF($A96&lt;Input!$H$110,IF($A96&lt;Input!$G$110,IF($A96&lt;Input!$F$110,IF($A96&lt;Input!$E$110,IF($A96&lt;Input!$D$110,Input!$C$111,Input!$D$111),Input!$E$111),Input!$F$111),Input!$G$111),Input!$H$111)</f>
        <v>0.9</v>
      </c>
      <c r="BK96" s="60">
        <f t="shared" si="57"/>
        <v>0</v>
      </c>
      <c r="BL96" s="60">
        <f t="shared" si="73"/>
        <v>31</v>
      </c>
      <c r="BM96" s="60">
        <f t="shared" si="58"/>
        <v>0</v>
      </c>
      <c r="BN96" s="60">
        <f>ROUND(BM96*BL96*Input!$C$3/365,0)</f>
        <v>0</v>
      </c>
      <c r="BO96" s="61">
        <f>IF($A96&lt;=Input!$C$6,0,IF('120M'!BK96&lt;'120M'!BM96,'120M'!BK96-BN96,'120M'!BM96))</f>
        <v>0</v>
      </c>
      <c r="BP96" s="61">
        <f t="shared" si="59"/>
        <v>0</v>
      </c>
      <c r="BQ96" s="60">
        <f t="shared" si="60"/>
        <v>0</v>
      </c>
      <c r="BR96" s="198"/>
    </row>
    <row r="97" spans="1:70" x14ac:dyDescent="0.25">
      <c r="A97" s="169">
        <v>93</v>
      </c>
      <c r="B97" s="1">
        <f t="shared" si="61"/>
        <v>48349</v>
      </c>
      <c r="C97" s="60">
        <f t="shared" si="39"/>
        <v>21781574.999999996</v>
      </c>
      <c r="D97" s="60">
        <f t="shared" si="40"/>
        <v>19603417.499999996</v>
      </c>
      <c r="E97" s="60">
        <f t="shared" si="62"/>
        <v>30</v>
      </c>
      <c r="F97" s="60">
        <f t="shared" si="63"/>
        <v>367556622</v>
      </c>
      <c r="G97" s="60">
        <f>ROUND(F97*E97*Input!$C$3/365,0)</f>
        <v>4531520</v>
      </c>
      <c r="H97" s="60">
        <f>IF($A97&lt;=Input!$C$6,0,IF('120M'!D97&lt;'120M'!F97,'120M'!D97-G97,'120M'!F97))</f>
        <v>15071897.499999996</v>
      </c>
      <c r="I97" s="60">
        <f t="shared" si="64"/>
        <v>19603417.499999996</v>
      </c>
      <c r="J97" s="60">
        <f t="shared" si="65"/>
        <v>352484724.5</v>
      </c>
      <c r="K97" s="202">
        <f>J97/Input!$K$5</f>
        <v>1.1749490816666666</v>
      </c>
      <c r="L97" s="232"/>
      <c r="M97" s="60">
        <f>IF($B97&lt;Input!$H$43,IF($B97&lt;Input!$G$43,IF($B97&lt;Input!$F$43,IF($B97&lt;Input!$E$43,IF($B97&lt;Input!$D$43,Input!$C$49,Input!$D$49),Input!$E$49),Input!$F$49),Input!$G$49),Input!$H$49)</f>
        <v>21781574.999999996</v>
      </c>
      <c r="N97" s="190">
        <f>IF($A97&lt;Input!$H$50,IF($A97&lt;Input!$G$50,IF($A97&lt;Input!$F$50,IF($A97&lt;Input!$E$50,IF($A97&lt;Input!$D$50,Input!$C$51,Input!$D$51),Input!$E$51),Input!$F$51),Input!$G$51),Input!$H$51)</f>
        <v>0.9</v>
      </c>
      <c r="O97" s="60">
        <f t="shared" si="38"/>
        <v>19603417.499999996</v>
      </c>
      <c r="P97" s="60">
        <f t="shared" si="41"/>
        <v>30</v>
      </c>
      <c r="Q97" s="60">
        <f t="shared" si="42"/>
        <v>367556622</v>
      </c>
      <c r="R97" s="60">
        <f>ROUND(Q97*$P97*Input!$C$3/365,0)</f>
        <v>4531520</v>
      </c>
      <c r="S97" s="60">
        <f>IF(A97&lt;=Input!$C$6,0,IF('120M'!O97&lt;'120M'!Q97,'120M'!O97-R97,'120M'!Q97))</f>
        <v>15071897.499999996</v>
      </c>
      <c r="T97" s="60">
        <f t="shared" si="43"/>
        <v>19603417.499999996</v>
      </c>
      <c r="U97" s="60">
        <f t="shared" si="44"/>
        <v>352484724.5</v>
      </c>
      <c r="V97" s="193"/>
      <c r="W97" s="169">
        <v>93</v>
      </c>
      <c r="X97" s="1">
        <f t="shared" si="66"/>
        <v>48349</v>
      </c>
      <c r="Y97" s="60">
        <f>IF($X97&lt;Input!$H$58,IF($X97&lt;Input!$G$58,IF($X97&lt;Input!$F$58,IF($X97&lt;Input!$E$58,IF($X97&lt;Input!$D$58,Input!$C$64,Input!$D$64),Input!$E$64),Input!$F$64),Input!$G$64),Input!$H$64)</f>
        <v>0</v>
      </c>
      <c r="Z97" s="190">
        <f>IF($A97&lt;Input!$H$65,IF($A97&lt;Input!$G$65,IF($A97&lt;Input!$F$65,IF($A97&lt;Input!$E$65,IF($A97&lt;Input!$D$65,Input!$C$66,Input!$D$66),Input!$E$66),Input!$F$66),Input!$G$66),Input!$H$66)</f>
        <v>0.9</v>
      </c>
      <c r="AA97" s="60">
        <f t="shared" si="45"/>
        <v>0</v>
      </c>
      <c r="AB97" s="60">
        <f t="shared" si="67"/>
        <v>30</v>
      </c>
      <c r="AC97" s="60">
        <f t="shared" si="46"/>
        <v>0</v>
      </c>
      <c r="AD97" s="60">
        <f>ROUND(AC97*AB97*Input!$C$3/365,0)</f>
        <v>0</v>
      </c>
      <c r="AE97" s="61">
        <f>IF($A97&lt;=Input!$C$6,0,IF('120M'!AA97&lt;'120M'!AC97,'120M'!AA97-AD97,'120M'!AC97))</f>
        <v>0</v>
      </c>
      <c r="AF97" s="61">
        <f t="shared" si="47"/>
        <v>0</v>
      </c>
      <c r="AG97" s="60">
        <f t="shared" si="48"/>
        <v>0</v>
      </c>
      <c r="AH97" s="193"/>
      <c r="AI97" s="169">
        <v>93</v>
      </c>
      <c r="AJ97" s="1">
        <f t="shared" si="68"/>
        <v>48349</v>
      </c>
      <c r="AK97" s="60">
        <f>IF($X97&lt;Input!$H$73,IF($X97&lt;Input!$G$73,IF($X97&lt;Input!$F$73,IF($X97&lt;Input!$E$73,IF($X97&lt;Input!$D$73,Input!$C$79,Input!$D$79),Input!$E$79),Input!$F$79),Input!$G$79),Input!$H$79)</f>
        <v>0</v>
      </c>
      <c r="AL97" s="190">
        <f>IF($A97&lt;Input!$H$80,IF($A97&lt;Input!$G$80,IF($A97&lt;Input!$F$80,IF($A97&lt;Input!$E$80,IF($A97&lt;Input!$D$80,Input!$C$81,Input!$D$81),Input!$E$81),Input!$F$81),Input!$G$81),Input!$H$81)</f>
        <v>0.9</v>
      </c>
      <c r="AM97" s="60">
        <f t="shared" si="49"/>
        <v>0</v>
      </c>
      <c r="AN97" s="60">
        <f t="shared" si="69"/>
        <v>30</v>
      </c>
      <c r="AO97" s="60">
        <f t="shared" si="50"/>
        <v>0</v>
      </c>
      <c r="AP97" s="60">
        <f>ROUND(AO97*AN97*Input!$C$3/365,0)</f>
        <v>0</v>
      </c>
      <c r="AQ97" s="61">
        <f>IF($A97&lt;=Input!$C$6,0,IF('120M'!AM97&lt;'120M'!AO97,'120M'!AM97-AP97,'120M'!AO97))</f>
        <v>0</v>
      </c>
      <c r="AR97" s="61">
        <f t="shared" si="51"/>
        <v>0</v>
      </c>
      <c r="AS97" s="60">
        <f t="shared" si="52"/>
        <v>0</v>
      </c>
      <c r="AT97" s="193"/>
      <c r="AU97" s="169">
        <v>93</v>
      </c>
      <c r="AV97" s="1">
        <f t="shared" si="70"/>
        <v>48349</v>
      </c>
      <c r="AW97" s="60">
        <f>IF($X97&lt;Input!$H$88,IF($X97&lt;Input!$G$88,IF($X97&lt;Input!$F$88,IF($X97&lt;Input!$E$88,IF($X97&lt;Input!$D$88,Input!$C$94,Input!$D$94),Input!$E$94),Input!$F$94),Input!$G$94),Input!$H$94)</f>
        <v>0</v>
      </c>
      <c r="AX97" s="190">
        <f>IF($A97&lt;Input!$H$95,IF($A97&lt;Input!$G$95,IF($A97&lt;Input!$F$95,IF($A97&lt;Input!$E$95,IF($A97&lt;Input!$D$95,Input!$C$96,Input!$D$96),Input!$E$96),Input!$F$96),Input!$G$96),Input!$H$96)</f>
        <v>0.9</v>
      </c>
      <c r="AY97" s="60">
        <f t="shared" si="53"/>
        <v>0</v>
      </c>
      <c r="AZ97" s="60">
        <f t="shared" si="71"/>
        <v>30</v>
      </c>
      <c r="BA97" s="60">
        <f t="shared" si="54"/>
        <v>0</v>
      </c>
      <c r="BB97" s="60">
        <f>ROUND(BA97*AZ97*Input!$C$3/365,0)</f>
        <v>0</v>
      </c>
      <c r="BC97" s="61">
        <f>IF($A97&lt;=Input!$C$6,0,IF('120M'!AY97&lt;'120M'!BA97,'120M'!AY97-BB97,'120M'!BA97))</f>
        <v>0</v>
      </c>
      <c r="BD97" s="61">
        <f t="shared" si="55"/>
        <v>0</v>
      </c>
      <c r="BE97" s="60">
        <f t="shared" si="56"/>
        <v>0</v>
      </c>
      <c r="BF97" s="193"/>
      <c r="BG97" s="169">
        <v>93</v>
      </c>
      <c r="BH97" s="1">
        <f t="shared" si="72"/>
        <v>48349</v>
      </c>
      <c r="BI97" s="60">
        <f>IF($X97&lt;Input!$H$103,IF($X97&lt;Input!$G$103,IF($X97&lt;Input!$F$103,IF($X97&lt;Input!$E$103,IF($X97&lt;Input!$D$103,Input!$C$109,Input!$D$109),Input!$E$109),Input!$F$109),Input!$G$109),Input!$H$109)</f>
        <v>0</v>
      </c>
      <c r="BJ97" s="190">
        <f>IF($A97&lt;Input!$H$110,IF($A97&lt;Input!$G$110,IF($A97&lt;Input!$F$110,IF($A97&lt;Input!$E$110,IF($A97&lt;Input!$D$110,Input!$C$111,Input!$D$111),Input!$E$111),Input!$F$111),Input!$G$111),Input!$H$111)</f>
        <v>0.9</v>
      </c>
      <c r="BK97" s="60">
        <f t="shared" si="57"/>
        <v>0</v>
      </c>
      <c r="BL97" s="60">
        <f t="shared" si="73"/>
        <v>30</v>
      </c>
      <c r="BM97" s="60">
        <f t="shared" si="58"/>
        <v>0</v>
      </c>
      <c r="BN97" s="60">
        <f>ROUND(BM97*BL97*Input!$C$3/365,0)</f>
        <v>0</v>
      </c>
      <c r="BO97" s="61">
        <f>IF($A97&lt;=Input!$C$6,0,IF('120M'!BK97&lt;'120M'!BM97,'120M'!BK97-BN97,'120M'!BM97))</f>
        <v>0</v>
      </c>
      <c r="BP97" s="61">
        <f t="shared" si="59"/>
        <v>0</v>
      </c>
      <c r="BQ97" s="60">
        <f t="shared" si="60"/>
        <v>0</v>
      </c>
      <c r="BR97" s="198"/>
    </row>
    <row r="98" spans="1:70" x14ac:dyDescent="0.25">
      <c r="A98" s="169">
        <v>94</v>
      </c>
      <c r="B98" s="1">
        <f t="shared" si="61"/>
        <v>48380</v>
      </c>
      <c r="C98" s="60">
        <f t="shared" si="39"/>
        <v>21781574.999999996</v>
      </c>
      <c r="D98" s="60">
        <f t="shared" si="40"/>
        <v>19603417.499999996</v>
      </c>
      <c r="E98" s="60">
        <f t="shared" si="62"/>
        <v>31</v>
      </c>
      <c r="F98" s="60">
        <f t="shared" si="63"/>
        <v>352484724.5</v>
      </c>
      <c r="G98" s="60">
        <f>ROUND(F98*E98*Input!$C$3/365,0)</f>
        <v>4490559</v>
      </c>
      <c r="H98" s="60">
        <f>IF($A98&lt;=Input!$C$6,0,IF('120M'!D98&lt;'120M'!F98,'120M'!D98-G98,'120M'!F98))</f>
        <v>15112858.499999996</v>
      </c>
      <c r="I98" s="60">
        <f t="shared" si="64"/>
        <v>19603417.499999996</v>
      </c>
      <c r="J98" s="60">
        <f t="shared" si="65"/>
        <v>337371866</v>
      </c>
      <c r="K98" s="202">
        <f>J98/Input!$K$5</f>
        <v>1.1245728866666667</v>
      </c>
      <c r="L98" s="232"/>
      <c r="M98" s="60">
        <f>IF($B98&lt;Input!$H$43,IF($B98&lt;Input!$G$43,IF($B98&lt;Input!$F$43,IF($B98&lt;Input!$E$43,IF($B98&lt;Input!$D$43,Input!$C$49,Input!$D$49),Input!$E$49),Input!$F$49),Input!$G$49),Input!$H$49)</f>
        <v>21781574.999999996</v>
      </c>
      <c r="N98" s="190">
        <f>IF($A98&lt;Input!$H$50,IF($A98&lt;Input!$G$50,IF($A98&lt;Input!$F$50,IF($A98&lt;Input!$E$50,IF($A98&lt;Input!$D$50,Input!$C$51,Input!$D$51),Input!$E$51),Input!$F$51),Input!$G$51),Input!$H$51)</f>
        <v>0.9</v>
      </c>
      <c r="O98" s="60">
        <f t="shared" si="38"/>
        <v>19603417.499999996</v>
      </c>
      <c r="P98" s="60">
        <f t="shared" si="41"/>
        <v>31</v>
      </c>
      <c r="Q98" s="60">
        <f t="shared" si="42"/>
        <v>352484724.5</v>
      </c>
      <c r="R98" s="60">
        <f>ROUND(Q98*$P98*Input!$C$3/365,0)</f>
        <v>4490559</v>
      </c>
      <c r="S98" s="60">
        <f>IF(A98&lt;=Input!$C$6,0,IF('120M'!O98&lt;'120M'!Q98,'120M'!O98-R98,'120M'!Q98))</f>
        <v>15112858.499999996</v>
      </c>
      <c r="T98" s="60">
        <f t="shared" si="43"/>
        <v>19603417.499999996</v>
      </c>
      <c r="U98" s="60">
        <f t="shared" si="44"/>
        <v>337371866</v>
      </c>
      <c r="V98" s="193"/>
      <c r="W98" s="169">
        <v>94</v>
      </c>
      <c r="X98" s="1">
        <f t="shared" si="66"/>
        <v>48380</v>
      </c>
      <c r="Y98" s="60">
        <f>IF($X98&lt;Input!$H$58,IF($X98&lt;Input!$G$58,IF($X98&lt;Input!$F$58,IF($X98&lt;Input!$E$58,IF($X98&lt;Input!$D$58,Input!$C$64,Input!$D$64),Input!$E$64),Input!$F$64),Input!$G$64),Input!$H$64)</f>
        <v>0</v>
      </c>
      <c r="Z98" s="190">
        <f>IF($A98&lt;Input!$H$65,IF($A98&lt;Input!$G$65,IF($A98&lt;Input!$F$65,IF($A98&lt;Input!$E$65,IF($A98&lt;Input!$D$65,Input!$C$66,Input!$D$66),Input!$E$66),Input!$F$66),Input!$G$66),Input!$H$66)</f>
        <v>0.9</v>
      </c>
      <c r="AA98" s="60">
        <f t="shared" si="45"/>
        <v>0</v>
      </c>
      <c r="AB98" s="60">
        <f t="shared" si="67"/>
        <v>31</v>
      </c>
      <c r="AC98" s="60">
        <f t="shared" si="46"/>
        <v>0</v>
      </c>
      <c r="AD98" s="60">
        <f>ROUND(AC98*AB98*Input!$C$3/365,0)</f>
        <v>0</v>
      </c>
      <c r="AE98" s="61">
        <f>IF($A98&lt;=Input!$C$6,0,IF('120M'!AA98&lt;'120M'!AC98,'120M'!AA98-AD98,'120M'!AC98))</f>
        <v>0</v>
      </c>
      <c r="AF98" s="61">
        <f t="shared" si="47"/>
        <v>0</v>
      </c>
      <c r="AG98" s="60">
        <f t="shared" si="48"/>
        <v>0</v>
      </c>
      <c r="AH98" s="193"/>
      <c r="AI98" s="169">
        <v>94</v>
      </c>
      <c r="AJ98" s="1">
        <f t="shared" si="68"/>
        <v>48380</v>
      </c>
      <c r="AK98" s="60">
        <f>IF($X98&lt;Input!$H$73,IF($X98&lt;Input!$G$73,IF($X98&lt;Input!$F$73,IF($X98&lt;Input!$E$73,IF($X98&lt;Input!$D$73,Input!$C$79,Input!$D$79),Input!$E$79),Input!$F$79),Input!$G$79),Input!$H$79)</f>
        <v>0</v>
      </c>
      <c r="AL98" s="190">
        <f>IF($A98&lt;Input!$H$80,IF($A98&lt;Input!$G$80,IF($A98&lt;Input!$F$80,IF($A98&lt;Input!$E$80,IF($A98&lt;Input!$D$80,Input!$C$81,Input!$D$81),Input!$E$81),Input!$F$81),Input!$G$81),Input!$H$81)</f>
        <v>0.9</v>
      </c>
      <c r="AM98" s="60">
        <f t="shared" si="49"/>
        <v>0</v>
      </c>
      <c r="AN98" s="60">
        <f t="shared" si="69"/>
        <v>31</v>
      </c>
      <c r="AO98" s="60">
        <f t="shared" si="50"/>
        <v>0</v>
      </c>
      <c r="AP98" s="60">
        <f>ROUND(AO98*AN98*Input!$C$3/365,0)</f>
        <v>0</v>
      </c>
      <c r="AQ98" s="61">
        <f>IF($A98&lt;=Input!$C$6,0,IF('120M'!AM98&lt;'120M'!AO98,'120M'!AM98-AP98,'120M'!AO98))</f>
        <v>0</v>
      </c>
      <c r="AR98" s="61">
        <f t="shared" si="51"/>
        <v>0</v>
      </c>
      <c r="AS98" s="60">
        <f t="shared" si="52"/>
        <v>0</v>
      </c>
      <c r="AT98" s="193"/>
      <c r="AU98" s="169">
        <v>94</v>
      </c>
      <c r="AV98" s="1">
        <f t="shared" si="70"/>
        <v>48380</v>
      </c>
      <c r="AW98" s="60">
        <f>IF($X98&lt;Input!$H$88,IF($X98&lt;Input!$G$88,IF($X98&lt;Input!$F$88,IF($X98&lt;Input!$E$88,IF($X98&lt;Input!$D$88,Input!$C$94,Input!$D$94),Input!$E$94),Input!$F$94),Input!$G$94),Input!$H$94)</f>
        <v>0</v>
      </c>
      <c r="AX98" s="190">
        <f>IF($A98&lt;Input!$H$95,IF($A98&lt;Input!$G$95,IF($A98&lt;Input!$F$95,IF($A98&lt;Input!$E$95,IF($A98&lt;Input!$D$95,Input!$C$96,Input!$D$96),Input!$E$96),Input!$F$96),Input!$G$96),Input!$H$96)</f>
        <v>0.9</v>
      </c>
      <c r="AY98" s="60">
        <f t="shared" si="53"/>
        <v>0</v>
      </c>
      <c r="AZ98" s="60">
        <f t="shared" si="71"/>
        <v>31</v>
      </c>
      <c r="BA98" s="60">
        <f t="shared" si="54"/>
        <v>0</v>
      </c>
      <c r="BB98" s="60">
        <f>ROUND(BA98*AZ98*Input!$C$3/365,0)</f>
        <v>0</v>
      </c>
      <c r="BC98" s="61">
        <f>IF($A98&lt;=Input!$C$6,0,IF('120M'!AY98&lt;'120M'!BA98,'120M'!AY98-BB98,'120M'!BA98))</f>
        <v>0</v>
      </c>
      <c r="BD98" s="61">
        <f t="shared" si="55"/>
        <v>0</v>
      </c>
      <c r="BE98" s="60">
        <f t="shared" si="56"/>
        <v>0</v>
      </c>
      <c r="BF98" s="193"/>
      <c r="BG98" s="169">
        <v>94</v>
      </c>
      <c r="BH98" s="1">
        <f t="shared" si="72"/>
        <v>48380</v>
      </c>
      <c r="BI98" s="60">
        <f>IF($X98&lt;Input!$H$103,IF($X98&lt;Input!$G$103,IF($X98&lt;Input!$F$103,IF($X98&lt;Input!$E$103,IF($X98&lt;Input!$D$103,Input!$C$109,Input!$D$109),Input!$E$109),Input!$F$109),Input!$G$109),Input!$H$109)</f>
        <v>0</v>
      </c>
      <c r="BJ98" s="190">
        <f>IF($A98&lt;Input!$H$110,IF($A98&lt;Input!$G$110,IF($A98&lt;Input!$F$110,IF($A98&lt;Input!$E$110,IF($A98&lt;Input!$D$110,Input!$C$111,Input!$D$111),Input!$E$111),Input!$F$111),Input!$G$111),Input!$H$111)</f>
        <v>0.9</v>
      </c>
      <c r="BK98" s="60">
        <f t="shared" si="57"/>
        <v>0</v>
      </c>
      <c r="BL98" s="60">
        <f t="shared" si="73"/>
        <v>31</v>
      </c>
      <c r="BM98" s="60">
        <f t="shared" si="58"/>
        <v>0</v>
      </c>
      <c r="BN98" s="60">
        <f>ROUND(BM98*BL98*Input!$C$3/365,0)</f>
        <v>0</v>
      </c>
      <c r="BO98" s="61">
        <f>IF($A98&lt;=Input!$C$6,0,IF('120M'!BK98&lt;'120M'!BM98,'120M'!BK98-BN98,'120M'!BM98))</f>
        <v>0</v>
      </c>
      <c r="BP98" s="61">
        <f t="shared" si="59"/>
        <v>0</v>
      </c>
      <c r="BQ98" s="60">
        <f t="shared" si="60"/>
        <v>0</v>
      </c>
      <c r="BR98" s="198"/>
    </row>
    <row r="99" spans="1:70" x14ac:dyDescent="0.25">
      <c r="A99" s="169">
        <v>95</v>
      </c>
      <c r="B99" s="1">
        <f t="shared" si="61"/>
        <v>48410</v>
      </c>
      <c r="C99" s="60">
        <f t="shared" si="39"/>
        <v>21781574.999999996</v>
      </c>
      <c r="D99" s="60">
        <f t="shared" si="40"/>
        <v>19603417.499999996</v>
      </c>
      <c r="E99" s="60">
        <f t="shared" si="62"/>
        <v>30</v>
      </c>
      <c r="F99" s="60">
        <f t="shared" si="63"/>
        <v>337371866</v>
      </c>
      <c r="G99" s="60">
        <f>ROUND(F99*E99*Input!$C$3/365,0)</f>
        <v>4159379</v>
      </c>
      <c r="H99" s="60">
        <f>IF($A99&lt;=Input!$C$6,0,IF('120M'!D99&lt;'120M'!F99,'120M'!D99-G99,'120M'!F99))</f>
        <v>15444038.499999996</v>
      </c>
      <c r="I99" s="60">
        <f t="shared" si="64"/>
        <v>19603417.499999996</v>
      </c>
      <c r="J99" s="60">
        <f t="shared" si="65"/>
        <v>321927827.5</v>
      </c>
      <c r="K99" s="202">
        <f>J99/Input!$K$5</f>
        <v>1.0730927583333334</v>
      </c>
      <c r="L99" s="232"/>
      <c r="M99" s="60">
        <f>IF($B99&lt;Input!$H$43,IF($B99&lt;Input!$G$43,IF($B99&lt;Input!$F$43,IF($B99&lt;Input!$E$43,IF($B99&lt;Input!$D$43,Input!$C$49,Input!$D$49),Input!$E$49),Input!$F$49),Input!$G$49),Input!$H$49)</f>
        <v>21781574.999999996</v>
      </c>
      <c r="N99" s="190">
        <f>IF($A99&lt;Input!$H$50,IF($A99&lt;Input!$G$50,IF($A99&lt;Input!$F$50,IF($A99&lt;Input!$E$50,IF($A99&lt;Input!$D$50,Input!$C$51,Input!$D$51),Input!$E$51),Input!$F$51),Input!$G$51),Input!$H$51)</f>
        <v>0.9</v>
      </c>
      <c r="O99" s="60">
        <f t="shared" si="38"/>
        <v>19603417.499999996</v>
      </c>
      <c r="P99" s="60">
        <f t="shared" si="41"/>
        <v>30</v>
      </c>
      <c r="Q99" s="60">
        <f t="shared" si="42"/>
        <v>337371866</v>
      </c>
      <c r="R99" s="60">
        <f>ROUND(Q99*$P99*Input!$C$3/365,0)</f>
        <v>4159379</v>
      </c>
      <c r="S99" s="60">
        <f>IF(A99&lt;=Input!$C$6,0,IF('120M'!O99&lt;'120M'!Q99,'120M'!O99-R99,'120M'!Q99))</f>
        <v>15444038.499999996</v>
      </c>
      <c r="T99" s="60">
        <f t="shared" si="43"/>
        <v>19603417.499999996</v>
      </c>
      <c r="U99" s="60">
        <f t="shared" si="44"/>
        <v>321927827.5</v>
      </c>
      <c r="V99" s="193"/>
      <c r="W99" s="169">
        <v>95</v>
      </c>
      <c r="X99" s="1">
        <f t="shared" si="66"/>
        <v>48410</v>
      </c>
      <c r="Y99" s="60">
        <f>IF($X99&lt;Input!$H$58,IF($X99&lt;Input!$G$58,IF($X99&lt;Input!$F$58,IF($X99&lt;Input!$E$58,IF($X99&lt;Input!$D$58,Input!$C$64,Input!$D$64),Input!$E$64),Input!$F$64),Input!$G$64),Input!$H$64)</f>
        <v>0</v>
      </c>
      <c r="Z99" s="190">
        <f>IF($A99&lt;Input!$H$65,IF($A99&lt;Input!$G$65,IF($A99&lt;Input!$F$65,IF($A99&lt;Input!$E$65,IF($A99&lt;Input!$D$65,Input!$C$66,Input!$D$66),Input!$E$66),Input!$F$66),Input!$G$66),Input!$H$66)</f>
        <v>0.9</v>
      </c>
      <c r="AA99" s="60">
        <f t="shared" si="45"/>
        <v>0</v>
      </c>
      <c r="AB99" s="60">
        <f t="shared" si="67"/>
        <v>30</v>
      </c>
      <c r="AC99" s="60">
        <f t="shared" si="46"/>
        <v>0</v>
      </c>
      <c r="AD99" s="60">
        <f>ROUND(AC99*AB99*Input!$C$3/365,0)</f>
        <v>0</v>
      </c>
      <c r="AE99" s="61">
        <f>IF($A99&lt;=Input!$C$6,0,IF('120M'!AA99&lt;'120M'!AC99,'120M'!AA99-AD99,'120M'!AC99))</f>
        <v>0</v>
      </c>
      <c r="AF99" s="61">
        <f t="shared" si="47"/>
        <v>0</v>
      </c>
      <c r="AG99" s="60">
        <f t="shared" si="48"/>
        <v>0</v>
      </c>
      <c r="AH99" s="193"/>
      <c r="AI99" s="169">
        <v>95</v>
      </c>
      <c r="AJ99" s="1">
        <f t="shared" si="68"/>
        <v>48410</v>
      </c>
      <c r="AK99" s="60">
        <f>IF($X99&lt;Input!$H$73,IF($X99&lt;Input!$G$73,IF($X99&lt;Input!$F$73,IF($X99&lt;Input!$E$73,IF($X99&lt;Input!$D$73,Input!$C$79,Input!$D$79),Input!$E$79),Input!$F$79),Input!$G$79),Input!$H$79)</f>
        <v>0</v>
      </c>
      <c r="AL99" s="190">
        <f>IF($A99&lt;Input!$H$80,IF($A99&lt;Input!$G$80,IF($A99&lt;Input!$F$80,IF($A99&lt;Input!$E$80,IF($A99&lt;Input!$D$80,Input!$C$81,Input!$D$81),Input!$E$81),Input!$F$81),Input!$G$81),Input!$H$81)</f>
        <v>0.9</v>
      </c>
      <c r="AM99" s="60">
        <f t="shared" si="49"/>
        <v>0</v>
      </c>
      <c r="AN99" s="60">
        <f t="shared" si="69"/>
        <v>30</v>
      </c>
      <c r="AO99" s="60">
        <f t="shared" si="50"/>
        <v>0</v>
      </c>
      <c r="AP99" s="60">
        <f>ROUND(AO99*AN99*Input!$C$3/365,0)</f>
        <v>0</v>
      </c>
      <c r="AQ99" s="61">
        <f>IF($A99&lt;=Input!$C$6,0,IF('120M'!AM99&lt;'120M'!AO99,'120M'!AM99-AP99,'120M'!AO99))</f>
        <v>0</v>
      </c>
      <c r="AR99" s="61">
        <f t="shared" si="51"/>
        <v>0</v>
      </c>
      <c r="AS99" s="60">
        <f t="shared" si="52"/>
        <v>0</v>
      </c>
      <c r="AT99" s="193"/>
      <c r="AU99" s="169">
        <v>95</v>
      </c>
      <c r="AV99" s="1">
        <f t="shared" si="70"/>
        <v>48410</v>
      </c>
      <c r="AW99" s="60">
        <f>IF($X99&lt;Input!$H$88,IF($X99&lt;Input!$G$88,IF($X99&lt;Input!$F$88,IF($X99&lt;Input!$E$88,IF($X99&lt;Input!$D$88,Input!$C$94,Input!$D$94),Input!$E$94),Input!$F$94),Input!$G$94),Input!$H$94)</f>
        <v>0</v>
      </c>
      <c r="AX99" s="190">
        <f>IF($A99&lt;Input!$H$95,IF($A99&lt;Input!$G$95,IF($A99&lt;Input!$F$95,IF($A99&lt;Input!$E$95,IF($A99&lt;Input!$D$95,Input!$C$96,Input!$D$96),Input!$E$96),Input!$F$96),Input!$G$96),Input!$H$96)</f>
        <v>0.9</v>
      </c>
      <c r="AY99" s="60">
        <f t="shared" si="53"/>
        <v>0</v>
      </c>
      <c r="AZ99" s="60">
        <f t="shared" si="71"/>
        <v>30</v>
      </c>
      <c r="BA99" s="60">
        <f t="shared" si="54"/>
        <v>0</v>
      </c>
      <c r="BB99" s="60">
        <f>ROUND(BA99*AZ99*Input!$C$3/365,0)</f>
        <v>0</v>
      </c>
      <c r="BC99" s="61">
        <f>IF($A99&lt;=Input!$C$6,0,IF('120M'!AY99&lt;'120M'!BA99,'120M'!AY99-BB99,'120M'!BA99))</f>
        <v>0</v>
      </c>
      <c r="BD99" s="61">
        <f t="shared" si="55"/>
        <v>0</v>
      </c>
      <c r="BE99" s="60">
        <f t="shared" si="56"/>
        <v>0</v>
      </c>
      <c r="BF99" s="193"/>
      <c r="BG99" s="169">
        <v>95</v>
      </c>
      <c r="BH99" s="1">
        <f t="shared" si="72"/>
        <v>48410</v>
      </c>
      <c r="BI99" s="60">
        <f>IF($X99&lt;Input!$H$103,IF($X99&lt;Input!$G$103,IF($X99&lt;Input!$F$103,IF($X99&lt;Input!$E$103,IF($X99&lt;Input!$D$103,Input!$C$109,Input!$D$109),Input!$E$109),Input!$F$109),Input!$G$109),Input!$H$109)</f>
        <v>0</v>
      </c>
      <c r="BJ99" s="190">
        <f>IF($A99&lt;Input!$H$110,IF($A99&lt;Input!$G$110,IF($A99&lt;Input!$F$110,IF($A99&lt;Input!$E$110,IF($A99&lt;Input!$D$110,Input!$C$111,Input!$D$111),Input!$E$111),Input!$F$111),Input!$G$111),Input!$H$111)</f>
        <v>0.9</v>
      </c>
      <c r="BK99" s="60">
        <f t="shared" si="57"/>
        <v>0</v>
      </c>
      <c r="BL99" s="60">
        <f t="shared" si="73"/>
        <v>30</v>
      </c>
      <c r="BM99" s="60">
        <f t="shared" si="58"/>
        <v>0</v>
      </c>
      <c r="BN99" s="60">
        <f>ROUND(BM99*BL99*Input!$C$3/365,0)</f>
        <v>0</v>
      </c>
      <c r="BO99" s="61">
        <f>IF($A99&lt;=Input!$C$6,0,IF('120M'!BK99&lt;'120M'!BM99,'120M'!BK99-BN99,'120M'!BM99))</f>
        <v>0</v>
      </c>
      <c r="BP99" s="61">
        <f t="shared" si="59"/>
        <v>0</v>
      </c>
      <c r="BQ99" s="60">
        <f t="shared" si="60"/>
        <v>0</v>
      </c>
      <c r="BR99" s="198"/>
    </row>
    <row r="100" spans="1:70" x14ac:dyDescent="0.25">
      <c r="A100" s="169">
        <v>96</v>
      </c>
      <c r="B100" s="1">
        <f t="shared" si="61"/>
        <v>48441</v>
      </c>
      <c r="C100" s="60">
        <f t="shared" si="39"/>
        <v>21781574.999999996</v>
      </c>
      <c r="D100" s="60">
        <f t="shared" si="40"/>
        <v>19603417.499999996</v>
      </c>
      <c r="E100" s="60">
        <f t="shared" si="62"/>
        <v>31</v>
      </c>
      <c r="F100" s="60">
        <f t="shared" si="63"/>
        <v>321927827.5</v>
      </c>
      <c r="G100" s="60">
        <f>ROUND(F100*E100*Input!$C$3/365,0)</f>
        <v>4101272</v>
      </c>
      <c r="H100" s="60">
        <f>IF($A100&lt;=Input!$C$6,0,IF('120M'!D100&lt;'120M'!F100,'120M'!D100-G100,'120M'!F100))</f>
        <v>15502145.499999996</v>
      </c>
      <c r="I100" s="60">
        <f t="shared" si="64"/>
        <v>19603417.499999996</v>
      </c>
      <c r="J100" s="60">
        <f t="shared" si="65"/>
        <v>306425682</v>
      </c>
      <c r="K100" s="202">
        <f>J100/Input!$K$5</f>
        <v>1.02141894</v>
      </c>
      <c r="L100" s="232"/>
      <c r="M100" s="60">
        <f>IF($B100&lt;Input!$H$43,IF($B100&lt;Input!$G$43,IF($B100&lt;Input!$F$43,IF($B100&lt;Input!$E$43,IF($B100&lt;Input!$D$43,Input!$C$49,Input!$D$49),Input!$E$49),Input!$F$49),Input!$G$49),Input!$H$49)</f>
        <v>21781574.999999996</v>
      </c>
      <c r="N100" s="190">
        <f>IF($A100&lt;Input!$H$50,IF($A100&lt;Input!$G$50,IF($A100&lt;Input!$F$50,IF($A100&lt;Input!$E$50,IF($A100&lt;Input!$D$50,Input!$C$51,Input!$D$51),Input!$E$51),Input!$F$51),Input!$G$51),Input!$H$51)</f>
        <v>0.9</v>
      </c>
      <c r="O100" s="60">
        <f t="shared" ref="O100:O131" si="74">M100*N100</f>
        <v>19603417.499999996</v>
      </c>
      <c r="P100" s="60">
        <f t="shared" si="41"/>
        <v>31</v>
      </c>
      <c r="Q100" s="60">
        <f t="shared" si="42"/>
        <v>321927827.5</v>
      </c>
      <c r="R100" s="60">
        <f>ROUND(Q100*$P100*Input!$C$3/365,0)</f>
        <v>4101272</v>
      </c>
      <c r="S100" s="60">
        <f>IF(A100&lt;=Input!$C$6,0,IF('120M'!O100&lt;'120M'!Q100,'120M'!O100-R100,'120M'!Q100))</f>
        <v>15502145.499999996</v>
      </c>
      <c r="T100" s="60">
        <f t="shared" si="43"/>
        <v>19603417.499999996</v>
      </c>
      <c r="U100" s="60">
        <f t="shared" si="44"/>
        <v>306425682</v>
      </c>
      <c r="V100" s="193"/>
      <c r="W100" s="169">
        <v>96</v>
      </c>
      <c r="X100" s="1">
        <f t="shared" si="66"/>
        <v>48441</v>
      </c>
      <c r="Y100" s="60">
        <f>IF($X100&lt;Input!$H$58,IF($X100&lt;Input!$G$58,IF($X100&lt;Input!$F$58,IF($X100&lt;Input!$E$58,IF($X100&lt;Input!$D$58,Input!$C$64,Input!$D$64),Input!$E$64),Input!$F$64),Input!$G$64),Input!$H$64)</f>
        <v>0</v>
      </c>
      <c r="Z100" s="190">
        <f>IF($A100&lt;Input!$H$65,IF($A100&lt;Input!$G$65,IF($A100&lt;Input!$F$65,IF($A100&lt;Input!$E$65,IF($A100&lt;Input!$D$65,Input!$C$66,Input!$D$66),Input!$E$66),Input!$F$66),Input!$G$66),Input!$H$66)</f>
        <v>0.9</v>
      </c>
      <c r="AA100" s="60">
        <f t="shared" si="45"/>
        <v>0</v>
      </c>
      <c r="AB100" s="60">
        <f t="shared" si="67"/>
        <v>31</v>
      </c>
      <c r="AC100" s="60">
        <f t="shared" si="46"/>
        <v>0</v>
      </c>
      <c r="AD100" s="60">
        <f>ROUND(AC100*AB100*Input!$C$3/365,0)</f>
        <v>0</v>
      </c>
      <c r="AE100" s="61">
        <f>IF($A100&lt;=Input!$C$6,0,IF('120M'!AA100&lt;'120M'!AC100,'120M'!AA100-AD100,'120M'!AC100))</f>
        <v>0</v>
      </c>
      <c r="AF100" s="61">
        <f t="shared" si="47"/>
        <v>0</v>
      </c>
      <c r="AG100" s="60">
        <f t="shared" si="48"/>
        <v>0</v>
      </c>
      <c r="AH100" s="193"/>
      <c r="AI100" s="169">
        <v>96</v>
      </c>
      <c r="AJ100" s="1">
        <f t="shared" si="68"/>
        <v>48441</v>
      </c>
      <c r="AK100" s="60">
        <f>IF($X100&lt;Input!$H$73,IF($X100&lt;Input!$G$73,IF($X100&lt;Input!$F$73,IF($X100&lt;Input!$E$73,IF($X100&lt;Input!$D$73,Input!$C$79,Input!$D$79),Input!$E$79),Input!$F$79),Input!$G$79),Input!$H$79)</f>
        <v>0</v>
      </c>
      <c r="AL100" s="190">
        <f>IF($A100&lt;Input!$H$80,IF($A100&lt;Input!$G$80,IF($A100&lt;Input!$F$80,IF($A100&lt;Input!$E$80,IF($A100&lt;Input!$D$80,Input!$C$81,Input!$D$81),Input!$E$81),Input!$F$81),Input!$G$81),Input!$H$81)</f>
        <v>0.9</v>
      </c>
      <c r="AM100" s="60">
        <f t="shared" si="49"/>
        <v>0</v>
      </c>
      <c r="AN100" s="60">
        <f t="shared" si="69"/>
        <v>31</v>
      </c>
      <c r="AO100" s="60">
        <f t="shared" si="50"/>
        <v>0</v>
      </c>
      <c r="AP100" s="60">
        <f>ROUND(AO100*AN100*Input!$C$3/365,0)</f>
        <v>0</v>
      </c>
      <c r="AQ100" s="61">
        <f>IF($A100&lt;=Input!$C$6,0,IF('120M'!AM100&lt;'120M'!AO100,'120M'!AM100-AP100,'120M'!AO100))</f>
        <v>0</v>
      </c>
      <c r="AR100" s="61">
        <f t="shared" si="51"/>
        <v>0</v>
      </c>
      <c r="AS100" s="60">
        <f t="shared" si="52"/>
        <v>0</v>
      </c>
      <c r="AT100" s="193"/>
      <c r="AU100" s="169">
        <v>96</v>
      </c>
      <c r="AV100" s="1">
        <f t="shared" si="70"/>
        <v>48441</v>
      </c>
      <c r="AW100" s="60">
        <f>IF($X100&lt;Input!$H$88,IF($X100&lt;Input!$G$88,IF($X100&lt;Input!$F$88,IF($X100&lt;Input!$E$88,IF($X100&lt;Input!$D$88,Input!$C$94,Input!$D$94),Input!$E$94),Input!$F$94),Input!$G$94),Input!$H$94)</f>
        <v>0</v>
      </c>
      <c r="AX100" s="190">
        <f>IF($A100&lt;Input!$H$95,IF($A100&lt;Input!$G$95,IF($A100&lt;Input!$F$95,IF($A100&lt;Input!$E$95,IF($A100&lt;Input!$D$95,Input!$C$96,Input!$D$96),Input!$E$96),Input!$F$96),Input!$G$96),Input!$H$96)</f>
        <v>0.9</v>
      </c>
      <c r="AY100" s="60">
        <f t="shared" si="53"/>
        <v>0</v>
      </c>
      <c r="AZ100" s="60">
        <f t="shared" si="71"/>
        <v>31</v>
      </c>
      <c r="BA100" s="60">
        <f t="shared" si="54"/>
        <v>0</v>
      </c>
      <c r="BB100" s="60">
        <f>ROUND(BA100*AZ100*Input!$C$3/365,0)</f>
        <v>0</v>
      </c>
      <c r="BC100" s="61">
        <f>IF($A100&lt;=Input!$C$6,0,IF('120M'!AY100&lt;'120M'!BA100,'120M'!AY100-BB100,'120M'!BA100))</f>
        <v>0</v>
      </c>
      <c r="BD100" s="61">
        <f t="shared" si="55"/>
        <v>0</v>
      </c>
      <c r="BE100" s="60">
        <f t="shared" si="56"/>
        <v>0</v>
      </c>
      <c r="BF100" s="193"/>
      <c r="BG100" s="169">
        <v>96</v>
      </c>
      <c r="BH100" s="1">
        <f t="shared" si="72"/>
        <v>48441</v>
      </c>
      <c r="BI100" s="60">
        <f>IF($X100&lt;Input!$H$103,IF($X100&lt;Input!$G$103,IF($X100&lt;Input!$F$103,IF($X100&lt;Input!$E$103,IF($X100&lt;Input!$D$103,Input!$C$109,Input!$D$109),Input!$E$109),Input!$F$109),Input!$G$109),Input!$H$109)</f>
        <v>0</v>
      </c>
      <c r="BJ100" s="190">
        <f>IF($A100&lt;Input!$H$110,IF($A100&lt;Input!$G$110,IF($A100&lt;Input!$F$110,IF($A100&lt;Input!$E$110,IF($A100&lt;Input!$D$110,Input!$C$111,Input!$D$111),Input!$E$111),Input!$F$111),Input!$G$111),Input!$H$111)</f>
        <v>0.9</v>
      </c>
      <c r="BK100" s="60">
        <f t="shared" si="57"/>
        <v>0</v>
      </c>
      <c r="BL100" s="60">
        <f t="shared" si="73"/>
        <v>31</v>
      </c>
      <c r="BM100" s="60">
        <f t="shared" si="58"/>
        <v>0</v>
      </c>
      <c r="BN100" s="60">
        <f>ROUND(BM100*BL100*Input!$C$3/365,0)</f>
        <v>0</v>
      </c>
      <c r="BO100" s="61">
        <f>IF($A100&lt;=Input!$C$6,0,IF('120M'!BK100&lt;'120M'!BM100,'120M'!BK100-BN100,'120M'!BM100))</f>
        <v>0</v>
      </c>
      <c r="BP100" s="61">
        <f t="shared" si="59"/>
        <v>0</v>
      </c>
      <c r="BQ100" s="60">
        <f t="shared" si="60"/>
        <v>0</v>
      </c>
      <c r="BR100" s="198"/>
    </row>
    <row r="101" spans="1:70" x14ac:dyDescent="0.25">
      <c r="A101" s="169">
        <v>97</v>
      </c>
      <c r="B101" s="1">
        <f t="shared" si="61"/>
        <v>48472</v>
      </c>
      <c r="C101" s="60">
        <f t="shared" si="39"/>
        <v>21781574.999999996</v>
      </c>
      <c r="D101" s="60">
        <f t="shared" si="40"/>
        <v>19603417.499999996</v>
      </c>
      <c r="E101" s="60">
        <f t="shared" si="62"/>
        <v>31</v>
      </c>
      <c r="F101" s="60">
        <f t="shared" si="63"/>
        <v>306425682</v>
      </c>
      <c r="G101" s="60">
        <f>ROUND(F101*E101*Input!$C$3/365,0)</f>
        <v>3903779</v>
      </c>
      <c r="H101" s="60">
        <f>IF($A101&lt;=Input!$C$6,0,IF('120M'!D101&lt;'120M'!F101,'120M'!D101-G101,'120M'!F101))</f>
        <v>15699638.499999996</v>
      </c>
      <c r="I101" s="60">
        <f t="shared" si="64"/>
        <v>19603417.499999996</v>
      </c>
      <c r="J101" s="60">
        <f t="shared" si="65"/>
        <v>290726043.5</v>
      </c>
      <c r="K101" s="202">
        <f>J101/Input!$K$5</f>
        <v>0.96908681166666666</v>
      </c>
      <c r="L101" s="232"/>
      <c r="M101" s="60">
        <f>IF($B101&lt;Input!$H$43,IF($B101&lt;Input!$G$43,IF($B101&lt;Input!$F$43,IF($B101&lt;Input!$E$43,IF($B101&lt;Input!$D$43,Input!$C$49,Input!$D$49),Input!$E$49),Input!$F$49),Input!$G$49),Input!$H$49)</f>
        <v>21781574.999999996</v>
      </c>
      <c r="N101" s="190">
        <f>IF($A101&lt;Input!$H$50,IF($A101&lt;Input!$G$50,IF($A101&lt;Input!$F$50,IF($A101&lt;Input!$E$50,IF($A101&lt;Input!$D$50,Input!$C$51,Input!$D$51),Input!$E$51),Input!$F$51),Input!$G$51),Input!$H$51)</f>
        <v>0.9</v>
      </c>
      <c r="O101" s="60">
        <f t="shared" si="74"/>
        <v>19603417.499999996</v>
      </c>
      <c r="P101" s="60">
        <f t="shared" ref="P101:P132" si="75">B101-B100</f>
        <v>31</v>
      </c>
      <c r="Q101" s="60">
        <f t="shared" si="42"/>
        <v>306425682</v>
      </c>
      <c r="R101" s="60">
        <f>ROUND(Q101*$P101*Input!$C$3/365,0)</f>
        <v>3903779</v>
      </c>
      <c r="S101" s="60">
        <f>IF(A101&lt;=Input!$C$6,0,IF('120M'!O101&lt;'120M'!Q101,'120M'!O101-R101,'120M'!Q101))</f>
        <v>15699638.499999996</v>
      </c>
      <c r="T101" s="60">
        <f t="shared" si="43"/>
        <v>19603417.499999996</v>
      </c>
      <c r="U101" s="60">
        <f t="shared" si="44"/>
        <v>290726043.5</v>
      </c>
      <c r="V101" s="193"/>
      <c r="W101" s="169">
        <v>97</v>
      </c>
      <c r="X101" s="1">
        <f t="shared" si="66"/>
        <v>48472</v>
      </c>
      <c r="Y101" s="60">
        <f>IF($X101&lt;Input!$H$58,IF($X101&lt;Input!$G$58,IF($X101&lt;Input!$F$58,IF($X101&lt;Input!$E$58,IF($X101&lt;Input!$D$58,Input!$C$64,Input!$D$64),Input!$E$64),Input!$F$64),Input!$G$64),Input!$H$64)</f>
        <v>0</v>
      </c>
      <c r="Z101" s="190">
        <f>IF($A101&lt;Input!$H$65,IF($A101&lt;Input!$G$65,IF($A101&lt;Input!$F$65,IF($A101&lt;Input!$E$65,IF($A101&lt;Input!$D$65,Input!$C$66,Input!$D$66),Input!$E$66),Input!$F$66),Input!$G$66),Input!$H$66)</f>
        <v>0.9</v>
      </c>
      <c r="AA101" s="60">
        <f t="shared" si="45"/>
        <v>0</v>
      </c>
      <c r="AB101" s="60">
        <f t="shared" si="67"/>
        <v>31</v>
      </c>
      <c r="AC101" s="60">
        <f t="shared" si="46"/>
        <v>0</v>
      </c>
      <c r="AD101" s="60">
        <f>ROUND(AC101*AB101*Input!$C$3/365,0)</f>
        <v>0</v>
      </c>
      <c r="AE101" s="61">
        <f>IF($A101&lt;=Input!$C$6,0,IF('120M'!AA101&lt;'120M'!AC101,'120M'!AA101-AD101,'120M'!AC101))</f>
        <v>0</v>
      </c>
      <c r="AF101" s="61">
        <f t="shared" si="47"/>
        <v>0</v>
      </c>
      <c r="AG101" s="60">
        <f t="shared" si="48"/>
        <v>0</v>
      </c>
      <c r="AH101" s="193"/>
      <c r="AI101" s="169">
        <v>97</v>
      </c>
      <c r="AJ101" s="1">
        <f t="shared" si="68"/>
        <v>48472</v>
      </c>
      <c r="AK101" s="60">
        <f>IF($X101&lt;Input!$H$73,IF($X101&lt;Input!$G$73,IF($X101&lt;Input!$F$73,IF($X101&lt;Input!$E$73,IF($X101&lt;Input!$D$73,Input!$C$79,Input!$D$79),Input!$E$79),Input!$F$79),Input!$G$79),Input!$H$79)</f>
        <v>0</v>
      </c>
      <c r="AL101" s="190">
        <f>IF($A101&lt;Input!$H$80,IF($A101&lt;Input!$G$80,IF($A101&lt;Input!$F$80,IF($A101&lt;Input!$E$80,IF($A101&lt;Input!$D$80,Input!$C$81,Input!$D$81),Input!$E$81),Input!$F$81),Input!$G$81),Input!$H$81)</f>
        <v>0.9</v>
      </c>
      <c r="AM101" s="60">
        <f t="shared" si="49"/>
        <v>0</v>
      </c>
      <c r="AN101" s="60">
        <f t="shared" si="69"/>
        <v>31</v>
      </c>
      <c r="AO101" s="60">
        <f t="shared" si="50"/>
        <v>0</v>
      </c>
      <c r="AP101" s="60">
        <f>ROUND(AO101*AN101*Input!$C$3/365,0)</f>
        <v>0</v>
      </c>
      <c r="AQ101" s="61">
        <f>IF($A101&lt;=Input!$C$6,0,IF('120M'!AM101&lt;'120M'!AO101,'120M'!AM101-AP101,'120M'!AO101))</f>
        <v>0</v>
      </c>
      <c r="AR101" s="61">
        <f t="shared" si="51"/>
        <v>0</v>
      </c>
      <c r="AS101" s="60">
        <f t="shared" si="52"/>
        <v>0</v>
      </c>
      <c r="AT101" s="193"/>
      <c r="AU101" s="169">
        <v>97</v>
      </c>
      <c r="AV101" s="1">
        <f t="shared" si="70"/>
        <v>48472</v>
      </c>
      <c r="AW101" s="60">
        <f>IF($X101&lt;Input!$H$88,IF($X101&lt;Input!$G$88,IF($X101&lt;Input!$F$88,IF($X101&lt;Input!$E$88,IF($X101&lt;Input!$D$88,Input!$C$94,Input!$D$94),Input!$E$94),Input!$F$94),Input!$G$94),Input!$H$94)</f>
        <v>0</v>
      </c>
      <c r="AX101" s="190">
        <f>IF($A101&lt;Input!$H$95,IF($A101&lt;Input!$G$95,IF($A101&lt;Input!$F$95,IF($A101&lt;Input!$E$95,IF($A101&lt;Input!$D$95,Input!$C$96,Input!$D$96),Input!$E$96),Input!$F$96),Input!$G$96),Input!$H$96)</f>
        <v>0.9</v>
      </c>
      <c r="AY101" s="60">
        <f t="shared" si="53"/>
        <v>0</v>
      </c>
      <c r="AZ101" s="60">
        <f t="shared" si="71"/>
        <v>31</v>
      </c>
      <c r="BA101" s="60">
        <f t="shared" si="54"/>
        <v>0</v>
      </c>
      <c r="BB101" s="60">
        <f>ROUND(BA101*AZ101*Input!$C$3/365,0)</f>
        <v>0</v>
      </c>
      <c r="BC101" s="61">
        <f>IF($A101&lt;=Input!$C$6,0,IF('120M'!AY101&lt;'120M'!BA101,'120M'!AY101-BB101,'120M'!BA101))</f>
        <v>0</v>
      </c>
      <c r="BD101" s="61">
        <f t="shared" si="55"/>
        <v>0</v>
      </c>
      <c r="BE101" s="60">
        <f t="shared" si="56"/>
        <v>0</v>
      </c>
      <c r="BF101" s="193"/>
      <c r="BG101" s="169">
        <v>97</v>
      </c>
      <c r="BH101" s="1">
        <f t="shared" si="72"/>
        <v>48472</v>
      </c>
      <c r="BI101" s="60">
        <f>IF($X101&lt;Input!$H$103,IF($X101&lt;Input!$G$103,IF($X101&lt;Input!$F$103,IF($X101&lt;Input!$E$103,IF($X101&lt;Input!$D$103,Input!$C$109,Input!$D$109),Input!$E$109),Input!$F$109),Input!$G$109),Input!$H$109)</f>
        <v>0</v>
      </c>
      <c r="BJ101" s="190">
        <f>IF($A101&lt;Input!$H$110,IF($A101&lt;Input!$G$110,IF($A101&lt;Input!$F$110,IF($A101&lt;Input!$E$110,IF($A101&lt;Input!$D$110,Input!$C$111,Input!$D$111),Input!$E$111),Input!$F$111),Input!$G$111),Input!$H$111)</f>
        <v>0.9</v>
      </c>
      <c r="BK101" s="60">
        <f t="shared" si="57"/>
        <v>0</v>
      </c>
      <c r="BL101" s="60">
        <f t="shared" si="73"/>
        <v>31</v>
      </c>
      <c r="BM101" s="60">
        <f t="shared" si="58"/>
        <v>0</v>
      </c>
      <c r="BN101" s="60">
        <f>ROUND(BM101*BL101*Input!$C$3/365,0)</f>
        <v>0</v>
      </c>
      <c r="BO101" s="61">
        <f>IF($A101&lt;=Input!$C$6,0,IF('120M'!BK101&lt;'120M'!BM101,'120M'!BK101-BN101,'120M'!BM101))</f>
        <v>0</v>
      </c>
      <c r="BP101" s="61">
        <f t="shared" si="59"/>
        <v>0</v>
      </c>
      <c r="BQ101" s="60">
        <f t="shared" si="60"/>
        <v>0</v>
      </c>
      <c r="BR101" s="198"/>
    </row>
    <row r="102" spans="1:70" x14ac:dyDescent="0.25">
      <c r="A102" s="169">
        <v>98</v>
      </c>
      <c r="B102" s="1">
        <f t="shared" si="61"/>
        <v>48502</v>
      </c>
      <c r="C102" s="60">
        <f t="shared" si="39"/>
        <v>21781574.999999996</v>
      </c>
      <c r="D102" s="60">
        <f t="shared" si="40"/>
        <v>19603417.499999996</v>
      </c>
      <c r="E102" s="60">
        <f t="shared" si="62"/>
        <v>30</v>
      </c>
      <c r="F102" s="60">
        <f t="shared" si="63"/>
        <v>290726043.5</v>
      </c>
      <c r="G102" s="60">
        <f>ROUND(F102*E102*Input!$C$3/365,0)</f>
        <v>3584294</v>
      </c>
      <c r="H102" s="60">
        <f>IF($A102&lt;=Input!$C$6,0,IF('120M'!D102&lt;'120M'!F102,'120M'!D102-G102,'120M'!F102))</f>
        <v>16019123.499999996</v>
      </c>
      <c r="I102" s="60">
        <f t="shared" si="64"/>
        <v>19603417.499999996</v>
      </c>
      <c r="J102" s="60">
        <f t="shared" si="65"/>
        <v>274706920</v>
      </c>
      <c r="K102" s="202">
        <f>J102/Input!$K$5</f>
        <v>0.91568973333333337</v>
      </c>
      <c r="L102" s="232"/>
      <c r="M102" s="60">
        <f>IF($B102&lt;Input!$H$43,IF($B102&lt;Input!$G$43,IF($B102&lt;Input!$F$43,IF($B102&lt;Input!$E$43,IF($B102&lt;Input!$D$43,Input!$C$49,Input!$D$49),Input!$E$49),Input!$F$49),Input!$G$49),Input!$H$49)</f>
        <v>21781574.999999996</v>
      </c>
      <c r="N102" s="190">
        <f>IF($A102&lt;Input!$H$50,IF($A102&lt;Input!$G$50,IF($A102&lt;Input!$F$50,IF($A102&lt;Input!$E$50,IF($A102&lt;Input!$D$50,Input!$C$51,Input!$D$51),Input!$E$51),Input!$F$51),Input!$G$51),Input!$H$51)</f>
        <v>0.9</v>
      </c>
      <c r="O102" s="60">
        <f t="shared" si="74"/>
        <v>19603417.499999996</v>
      </c>
      <c r="P102" s="60">
        <f t="shared" si="75"/>
        <v>30</v>
      </c>
      <c r="Q102" s="60">
        <f t="shared" si="42"/>
        <v>290726043.5</v>
      </c>
      <c r="R102" s="60">
        <f>ROUND(Q102*$P102*Input!$C$3/365,0)</f>
        <v>3584294</v>
      </c>
      <c r="S102" s="60">
        <f>IF(A102&lt;=Input!$C$6,0,IF('120M'!O102&lt;'120M'!Q102,'120M'!O102-R102,'120M'!Q102))</f>
        <v>16019123.499999996</v>
      </c>
      <c r="T102" s="60">
        <f t="shared" si="43"/>
        <v>19603417.499999996</v>
      </c>
      <c r="U102" s="60">
        <f t="shared" si="44"/>
        <v>274706920</v>
      </c>
      <c r="V102" s="193"/>
      <c r="W102" s="169">
        <v>98</v>
      </c>
      <c r="X102" s="1">
        <f t="shared" si="66"/>
        <v>48502</v>
      </c>
      <c r="Y102" s="60">
        <f>IF($X102&lt;Input!$H$58,IF($X102&lt;Input!$G$58,IF($X102&lt;Input!$F$58,IF($X102&lt;Input!$E$58,IF($X102&lt;Input!$D$58,Input!$C$64,Input!$D$64),Input!$E$64),Input!$F$64),Input!$G$64),Input!$H$64)</f>
        <v>0</v>
      </c>
      <c r="Z102" s="190">
        <f>IF($A102&lt;Input!$H$65,IF($A102&lt;Input!$G$65,IF($A102&lt;Input!$F$65,IF($A102&lt;Input!$E$65,IF($A102&lt;Input!$D$65,Input!$C$66,Input!$D$66),Input!$E$66),Input!$F$66),Input!$G$66),Input!$H$66)</f>
        <v>0.9</v>
      </c>
      <c r="AA102" s="60">
        <f t="shared" si="45"/>
        <v>0</v>
      </c>
      <c r="AB102" s="60">
        <f t="shared" si="67"/>
        <v>30</v>
      </c>
      <c r="AC102" s="60">
        <f t="shared" si="46"/>
        <v>0</v>
      </c>
      <c r="AD102" s="60">
        <f>ROUND(AC102*AB102*Input!$C$3/365,0)</f>
        <v>0</v>
      </c>
      <c r="AE102" s="61">
        <f>IF($A102&lt;=Input!$C$6,0,IF('120M'!AA102&lt;'120M'!AC102,'120M'!AA102-AD102,'120M'!AC102))</f>
        <v>0</v>
      </c>
      <c r="AF102" s="61">
        <f t="shared" si="47"/>
        <v>0</v>
      </c>
      <c r="AG102" s="60">
        <f t="shared" si="48"/>
        <v>0</v>
      </c>
      <c r="AH102" s="193"/>
      <c r="AI102" s="169">
        <v>98</v>
      </c>
      <c r="AJ102" s="1">
        <f t="shared" si="68"/>
        <v>48502</v>
      </c>
      <c r="AK102" s="60">
        <f>IF($X102&lt;Input!$H$73,IF($X102&lt;Input!$G$73,IF($X102&lt;Input!$F$73,IF($X102&lt;Input!$E$73,IF($X102&lt;Input!$D$73,Input!$C$79,Input!$D$79),Input!$E$79),Input!$F$79),Input!$G$79),Input!$H$79)</f>
        <v>0</v>
      </c>
      <c r="AL102" s="190">
        <f>IF($A102&lt;Input!$H$80,IF($A102&lt;Input!$G$80,IF($A102&lt;Input!$F$80,IF($A102&lt;Input!$E$80,IF($A102&lt;Input!$D$80,Input!$C$81,Input!$D$81),Input!$E$81),Input!$F$81),Input!$G$81),Input!$H$81)</f>
        <v>0.9</v>
      </c>
      <c r="AM102" s="60">
        <f t="shared" si="49"/>
        <v>0</v>
      </c>
      <c r="AN102" s="60">
        <f t="shared" si="69"/>
        <v>30</v>
      </c>
      <c r="AO102" s="60">
        <f t="shared" si="50"/>
        <v>0</v>
      </c>
      <c r="AP102" s="60">
        <f>ROUND(AO102*AN102*Input!$C$3/365,0)</f>
        <v>0</v>
      </c>
      <c r="AQ102" s="61">
        <f>IF($A102&lt;=Input!$C$6,0,IF('120M'!AM102&lt;'120M'!AO102,'120M'!AM102-AP102,'120M'!AO102))</f>
        <v>0</v>
      </c>
      <c r="AR102" s="61">
        <f t="shared" si="51"/>
        <v>0</v>
      </c>
      <c r="AS102" s="60">
        <f t="shared" si="52"/>
        <v>0</v>
      </c>
      <c r="AT102" s="193"/>
      <c r="AU102" s="169">
        <v>98</v>
      </c>
      <c r="AV102" s="1">
        <f t="shared" si="70"/>
        <v>48502</v>
      </c>
      <c r="AW102" s="60">
        <f>IF($X102&lt;Input!$H$88,IF($X102&lt;Input!$G$88,IF($X102&lt;Input!$F$88,IF($X102&lt;Input!$E$88,IF($X102&lt;Input!$D$88,Input!$C$94,Input!$D$94),Input!$E$94),Input!$F$94),Input!$G$94),Input!$H$94)</f>
        <v>0</v>
      </c>
      <c r="AX102" s="190">
        <f>IF($A102&lt;Input!$H$95,IF($A102&lt;Input!$G$95,IF($A102&lt;Input!$F$95,IF($A102&lt;Input!$E$95,IF($A102&lt;Input!$D$95,Input!$C$96,Input!$D$96),Input!$E$96),Input!$F$96),Input!$G$96),Input!$H$96)</f>
        <v>0.9</v>
      </c>
      <c r="AY102" s="60">
        <f t="shared" si="53"/>
        <v>0</v>
      </c>
      <c r="AZ102" s="60">
        <f t="shared" si="71"/>
        <v>30</v>
      </c>
      <c r="BA102" s="60">
        <f t="shared" si="54"/>
        <v>0</v>
      </c>
      <c r="BB102" s="60">
        <f>ROUND(BA102*AZ102*Input!$C$3/365,0)</f>
        <v>0</v>
      </c>
      <c r="BC102" s="61">
        <f>IF($A102&lt;=Input!$C$6,0,IF('120M'!AY102&lt;'120M'!BA102,'120M'!AY102-BB102,'120M'!BA102))</f>
        <v>0</v>
      </c>
      <c r="BD102" s="61">
        <f t="shared" si="55"/>
        <v>0</v>
      </c>
      <c r="BE102" s="60">
        <f t="shared" si="56"/>
        <v>0</v>
      </c>
      <c r="BF102" s="193"/>
      <c r="BG102" s="169">
        <v>98</v>
      </c>
      <c r="BH102" s="1">
        <f t="shared" si="72"/>
        <v>48502</v>
      </c>
      <c r="BI102" s="60">
        <f>IF($X102&lt;Input!$H$103,IF($X102&lt;Input!$G$103,IF($X102&lt;Input!$F$103,IF($X102&lt;Input!$E$103,IF($X102&lt;Input!$D$103,Input!$C$109,Input!$D$109),Input!$E$109),Input!$F$109),Input!$G$109),Input!$H$109)</f>
        <v>0</v>
      </c>
      <c r="BJ102" s="190">
        <f>IF($A102&lt;Input!$H$110,IF($A102&lt;Input!$G$110,IF($A102&lt;Input!$F$110,IF($A102&lt;Input!$E$110,IF($A102&lt;Input!$D$110,Input!$C$111,Input!$D$111),Input!$E$111),Input!$F$111),Input!$G$111),Input!$H$111)</f>
        <v>0.9</v>
      </c>
      <c r="BK102" s="60">
        <f t="shared" si="57"/>
        <v>0</v>
      </c>
      <c r="BL102" s="60">
        <f t="shared" si="73"/>
        <v>30</v>
      </c>
      <c r="BM102" s="60">
        <f t="shared" si="58"/>
        <v>0</v>
      </c>
      <c r="BN102" s="60">
        <f>ROUND(BM102*BL102*Input!$C$3/365,0)</f>
        <v>0</v>
      </c>
      <c r="BO102" s="61">
        <f>IF($A102&lt;=Input!$C$6,0,IF('120M'!BK102&lt;'120M'!BM102,'120M'!BK102-BN102,'120M'!BM102))</f>
        <v>0</v>
      </c>
      <c r="BP102" s="61">
        <f t="shared" si="59"/>
        <v>0</v>
      </c>
      <c r="BQ102" s="60">
        <f t="shared" si="60"/>
        <v>0</v>
      </c>
      <c r="BR102" s="198"/>
    </row>
    <row r="103" spans="1:70" x14ac:dyDescent="0.25">
      <c r="A103" s="169">
        <v>99</v>
      </c>
      <c r="B103" s="1">
        <f t="shared" si="61"/>
        <v>48533</v>
      </c>
      <c r="C103" s="60">
        <f t="shared" si="39"/>
        <v>21781574.999999996</v>
      </c>
      <c r="D103" s="60">
        <f t="shared" si="40"/>
        <v>19603417.499999996</v>
      </c>
      <c r="E103" s="60">
        <f t="shared" si="62"/>
        <v>31</v>
      </c>
      <c r="F103" s="60">
        <f t="shared" si="63"/>
        <v>274706920</v>
      </c>
      <c r="G103" s="60">
        <f>ROUND(F103*E103*Input!$C$3/365,0)</f>
        <v>3499691</v>
      </c>
      <c r="H103" s="60">
        <f>IF($A103&lt;=Input!$C$6,0,IF('120M'!D103&lt;'120M'!F103,'120M'!D103-G103,'120M'!F103))</f>
        <v>16103726.499999996</v>
      </c>
      <c r="I103" s="60">
        <f t="shared" si="64"/>
        <v>19603417.499999996</v>
      </c>
      <c r="J103" s="60">
        <f t="shared" si="65"/>
        <v>258603193.5</v>
      </c>
      <c r="K103" s="202">
        <f>J103/Input!$K$5</f>
        <v>0.86201064500000002</v>
      </c>
      <c r="L103" s="232"/>
      <c r="M103" s="60">
        <f>IF($B103&lt;Input!$H$43,IF($B103&lt;Input!$G$43,IF($B103&lt;Input!$F$43,IF($B103&lt;Input!$E$43,IF($B103&lt;Input!$D$43,Input!$C$49,Input!$D$49),Input!$E$49),Input!$F$49),Input!$G$49),Input!$H$49)</f>
        <v>21781574.999999996</v>
      </c>
      <c r="N103" s="190">
        <f>IF($A103&lt;Input!$H$50,IF($A103&lt;Input!$G$50,IF($A103&lt;Input!$F$50,IF($A103&lt;Input!$E$50,IF($A103&lt;Input!$D$50,Input!$C$51,Input!$D$51),Input!$E$51),Input!$F$51),Input!$G$51),Input!$H$51)</f>
        <v>0.9</v>
      </c>
      <c r="O103" s="60">
        <f t="shared" si="74"/>
        <v>19603417.499999996</v>
      </c>
      <c r="P103" s="60">
        <f t="shared" si="75"/>
        <v>31</v>
      </c>
      <c r="Q103" s="60">
        <f t="shared" si="42"/>
        <v>274706920</v>
      </c>
      <c r="R103" s="60">
        <f>ROUND(Q103*$P103*Input!$C$3/365,0)</f>
        <v>3499691</v>
      </c>
      <c r="S103" s="60">
        <f>IF(A103&lt;=Input!$C$6,0,IF('120M'!O103&lt;'120M'!Q103,'120M'!O103-R103,'120M'!Q103))</f>
        <v>16103726.499999996</v>
      </c>
      <c r="T103" s="60">
        <f t="shared" si="43"/>
        <v>19603417.499999996</v>
      </c>
      <c r="U103" s="60">
        <f t="shared" si="44"/>
        <v>258603193.5</v>
      </c>
      <c r="V103" s="193"/>
      <c r="W103" s="169">
        <v>99</v>
      </c>
      <c r="X103" s="1">
        <f t="shared" si="66"/>
        <v>48533</v>
      </c>
      <c r="Y103" s="60">
        <f>IF($X103&lt;Input!$H$58,IF($X103&lt;Input!$G$58,IF($X103&lt;Input!$F$58,IF($X103&lt;Input!$E$58,IF($X103&lt;Input!$D$58,Input!$C$64,Input!$D$64),Input!$E$64),Input!$F$64),Input!$G$64),Input!$H$64)</f>
        <v>0</v>
      </c>
      <c r="Z103" s="190">
        <f>IF($A103&lt;Input!$H$65,IF($A103&lt;Input!$G$65,IF($A103&lt;Input!$F$65,IF($A103&lt;Input!$E$65,IF($A103&lt;Input!$D$65,Input!$C$66,Input!$D$66),Input!$E$66),Input!$F$66),Input!$G$66),Input!$H$66)</f>
        <v>0.9</v>
      </c>
      <c r="AA103" s="60">
        <f t="shared" si="45"/>
        <v>0</v>
      </c>
      <c r="AB103" s="60">
        <f t="shared" si="67"/>
        <v>31</v>
      </c>
      <c r="AC103" s="60">
        <f t="shared" si="46"/>
        <v>0</v>
      </c>
      <c r="AD103" s="60">
        <f>ROUND(AC103*AB103*Input!$C$3/365,0)</f>
        <v>0</v>
      </c>
      <c r="AE103" s="61">
        <f>IF($A103&lt;=Input!$C$6,0,IF('120M'!AA103&lt;'120M'!AC103,'120M'!AA103-AD103,'120M'!AC103))</f>
        <v>0</v>
      </c>
      <c r="AF103" s="61">
        <f t="shared" si="47"/>
        <v>0</v>
      </c>
      <c r="AG103" s="60">
        <f t="shared" si="48"/>
        <v>0</v>
      </c>
      <c r="AH103" s="193"/>
      <c r="AI103" s="169">
        <v>99</v>
      </c>
      <c r="AJ103" s="1">
        <f t="shared" si="68"/>
        <v>48533</v>
      </c>
      <c r="AK103" s="60">
        <f>IF($X103&lt;Input!$H$73,IF($X103&lt;Input!$G$73,IF($X103&lt;Input!$F$73,IF($X103&lt;Input!$E$73,IF($X103&lt;Input!$D$73,Input!$C$79,Input!$D$79),Input!$E$79),Input!$F$79),Input!$G$79),Input!$H$79)</f>
        <v>0</v>
      </c>
      <c r="AL103" s="190">
        <f>IF($A103&lt;Input!$H$80,IF($A103&lt;Input!$G$80,IF($A103&lt;Input!$F$80,IF($A103&lt;Input!$E$80,IF($A103&lt;Input!$D$80,Input!$C$81,Input!$D$81),Input!$E$81),Input!$F$81),Input!$G$81),Input!$H$81)</f>
        <v>0.9</v>
      </c>
      <c r="AM103" s="60">
        <f t="shared" si="49"/>
        <v>0</v>
      </c>
      <c r="AN103" s="60">
        <f t="shared" si="69"/>
        <v>31</v>
      </c>
      <c r="AO103" s="60">
        <f t="shared" si="50"/>
        <v>0</v>
      </c>
      <c r="AP103" s="60">
        <f>ROUND(AO103*AN103*Input!$C$3/365,0)</f>
        <v>0</v>
      </c>
      <c r="AQ103" s="61">
        <f>IF($A103&lt;=Input!$C$6,0,IF('120M'!AM103&lt;'120M'!AO103,'120M'!AM103-AP103,'120M'!AO103))</f>
        <v>0</v>
      </c>
      <c r="AR103" s="61">
        <f t="shared" si="51"/>
        <v>0</v>
      </c>
      <c r="AS103" s="60">
        <f t="shared" si="52"/>
        <v>0</v>
      </c>
      <c r="AT103" s="193"/>
      <c r="AU103" s="169">
        <v>99</v>
      </c>
      <c r="AV103" s="1">
        <f t="shared" si="70"/>
        <v>48533</v>
      </c>
      <c r="AW103" s="60">
        <f>IF($X103&lt;Input!$H$88,IF($X103&lt;Input!$G$88,IF($X103&lt;Input!$F$88,IF($X103&lt;Input!$E$88,IF($X103&lt;Input!$D$88,Input!$C$94,Input!$D$94),Input!$E$94),Input!$F$94),Input!$G$94),Input!$H$94)</f>
        <v>0</v>
      </c>
      <c r="AX103" s="190">
        <f>IF($A103&lt;Input!$H$95,IF($A103&lt;Input!$G$95,IF($A103&lt;Input!$F$95,IF($A103&lt;Input!$E$95,IF($A103&lt;Input!$D$95,Input!$C$96,Input!$D$96),Input!$E$96),Input!$F$96),Input!$G$96),Input!$H$96)</f>
        <v>0.9</v>
      </c>
      <c r="AY103" s="60">
        <f t="shared" si="53"/>
        <v>0</v>
      </c>
      <c r="AZ103" s="60">
        <f t="shared" si="71"/>
        <v>31</v>
      </c>
      <c r="BA103" s="60">
        <f t="shared" si="54"/>
        <v>0</v>
      </c>
      <c r="BB103" s="60">
        <f>ROUND(BA103*AZ103*Input!$C$3/365,0)</f>
        <v>0</v>
      </c>
      <c r="BC103" s="61">
        <f>IF($A103&lt;=Input!$C$6,0,IF('120M'!AY103&lt;'120M'!BA103,'120M'!AY103-BB103,'120M'!BA103))</f>
        <v>0</v>
      </c>
      <c r="BD103" s="61">
        <f t="shared" si="55"/>
        <v>0</v>
      </c>
      <c r="BE103" s="60">
        <f t="shared" si="56"/>
        <v>0</v>
      </c>
      <c r="BF103" s="193"/>
      <c r="BG103" s="169">
        <v>99</v>
      </c>
      <c r="BH103" s="1">
        <f t="shared" si="72"/>
        <v>48533</v>
      </c>
      <c r="BI103" s="60">
        <f>IF($X103&lt;Input!$H$103,IF($X103&lt;Input!$G$103,IF($X103&lt;Input!$F$103,IF($X103&lt;Input!$E$103,IF($X103&lt;Input!$D$103,Input!$C$109,Input!$D$109),Input!$E$109),Input!$F$109),Input!$G$109),Input!$H$109)</f>
        <v>0</v>
      </c>
      <c r="BJ103" s="190">
        <f>IF($A103&lt;Input!$H$110,IF($A103&lt;Input!$G$110,IF($A103&lt;Input!$F$110,IF($A103&lt;Input!$E$110,IF($A103&lt;Input!$D$110,Input!$C$111,Input!$D$111),Input!$E$111),Input!$F$111),Input!$G$111),Input!$H$111)</f>
        <v>0.9</v>
      </c>
      <c r="BK103" s="60">
        <f t="shared" si="57"/>
        <v>0</v>
      </c>
      <c r="BL103" s="60">
        <f t="shared" si="73"/>
        <v>31</v>
      </c>
      <c r="BM103" s="60">
        <f t="shared" si="58"/>
        <v>0</v>
      </c>
      <c r="BN103" s="60">
        <f>ROUND(BM103*BL103*Input!$C$3/365,0)</f>
        <v>0</v>
      </c>
      <c r="BO103" s="61">
        <f>IF($A103&lt;=Input!$C$6,0,IF('120M'!BK103&lt;'120M'!BM103,'120M'!BK103-BN103,'120M'!BM103))</f>
        <v>0</v>
      </c>
      <c r="BP103" s="61">
        <f t="shared" si="59"/>
        <v>0</v>
      </c>
      <c r="BQ103" s="60">
        <f t="shared" si="60"/>
        <v>0</v>
      </c>
      <c r="BR103" s="198"/>
    </row>
    <row r="104" spans="1:70" x14ac:dyDescent="0.25">
      <c r="A104" s="169">
        <v>100</v>
      </c>
      <c r="B104" s="1">
        <f t="shared" si="61"/>
        <v>48563</v>
      </c>
      <c r="C104" s="60">
        <f t="shared" si="39"/>
        <v>21781574.999999996</v>
      </c>
      <c r="D104" s="60">
        <f t="shared" si="40"/>
        <v>19603417.499999996</v>
      </c>
      <c r="E104" s="60">
        <f t="shared" si="62"/>
        <v>30</v>
      </c>
      <c r="F104" s="60">
        <f t="shared" si="63"/>
        <v>258603193.5</v>
      </c>
      <c r="G104" s="60">
        <f>ROUND(F104*E104*Input!$C$3/365,0)</f>
        <v>3188259</v>
      </c>
      <c r="H104" s="60">
        <f>IF($A104&lt;=Input!$C$6,0,IF('120M'!D104&lt;'120M'!F104,'120M'!D104-G104,'120M'!F104))</f>
        <v>16415158.499999996</v>
      </c>
      <c r="I104" s="60">
        <f t="shared" si="64"/>
        <v>19603417.499999996</v>
      </c>
      <c r="J104" s="60">
        <f t="shared" si="65"/>
        <v>242188035</v>
      </c>
      <c r="K104" s="202">
        <f>J104/Input!$K$5</f>
        <v>0.80729344999999997</v>
      </c>
      <c r="L104" s="232"/>
      <c r="M104" s="60">
        <f>IF($B104&lt;Input!$H$43,IF($B104&lt;Input!$G$43,IF($B104&lt;Input!$F$43,IF($B104&lt;Input!$E$43,IF($B104&lt;Input!$D$43,Input!$C$49,Input!$D$49),Input!$E$49),Input!$F$49),Input!$G$49),Input!$H$49)</f>
        <v>21781574.999999996</v>
      </c>
      <c r="N104" s="190">
        <f>IF($A104&lt;Input!$H$50,IF($A104&lt;Input!$G$50,IF($A104&lt;Input!$F$50,IF($A104&lt;Input!$E$50,IF($A104&lt;Input!$D$50,Input!$C$51,Input!$D$51),Input!$E$51),Input!$F$51),Input!$G$51),Input!$H$51)</f>
        <v>0.9</v>
      </c>
      <c r="O104" s="60">
        <f t="shared" si="74"/>
        <v>19603417.499999996</v>
      </c>
      <c r="P104" s="60">
        <f t="shared" si="75"/>
        <v>30</v>
      </c>
      <c r="Q104" s="60">
        <f t="shared" si="42"/>
        <v>258603193.5</v>
      </c>
      <c r="R104" s="60">
        <f>ROUND(Q104*$P104*Input!$C$3/365,0)</f>
        <v>3188259</v>
      </c>
      <c r="S104" s="60">
        <f>IF(A104&lt;=Input!$C$6,0,IF('120M'!O104&lt;'120M'!Q104,'120M'!O104-R104,'120M'!Q104))</f>
        <v>16415158.499999996</v>
      </c>
      <c r="T104" s="60">
        <f t="shared" si="43"/>
        <v>19603417.499999996</v>
      </c>
      <c r="U104" s="60">
        <f t="shared" si="44"/>
        <v>242188035</v>
      </c>
      <c r="V104" s="193"/>
      <c r="W104" s="169">
        <v>100</v>
      </c>
      <c r="X104" s="1">
        <f t="shared" si="66"/>
        <v>48563</v>
      </c>
      <c r="Y104" s="60">
        <f>IF($X104&lt;Input!$H$58,IF($X104&lt;Input!$G$58,IF($X104&lt;Input!$F$58,IF($X104&lt;Input!$E$58,IF($X104&lt;Input!$D$58,Input!$C$64,Input!$D$64),Input!$E$64),Input!$F$64),Input!$G$64),Input!$H$64)</f>
        <v>0</v>
      </c>
      <c r="Z104" s="190">
        <f>IF($A104&lt;Input!$H$65,IF($A104&lt;Input!$G$65,IF($A104&lt;Input!$F$65,IF($A104&lt;Input!$E$65,IF($A104&lt;Input!$D$65,Input!$C$66,Input!$D$66),Input!$E$66),Input!$F$66),Input!$G$66),Input!$H$66)</f>
        <v>0.9</v>
      </c>
      <c r="AA104" s="60">
        <f t="shared" si="45"/>
        <v>0</v>
      </c>
      <c r="AB104" s="60">
        <f t="shared" si="67"/>
        <v>30</v>
      </c>
      <c r="AC104" s="60">
        <f t="shared" si="46"/>
        <v>0</v>
      </c>
      <c r="AD104" s="60">
        <f>ROUND(AC104*AB104*Input!$C$3/365,0)</f>
        <v>0</v>
      </c>
      <c r="AE104" s="61">
        <f>IF($A104&lt;=Input!$C$6,0,IF('120M'!AA104&lt;'120M'!AC104,'120M'!AA104-AD104,'120M'!AC104))</f>
        <v>0</v>
      </c>
      <c r="AF104" s="61">
        <f t="shared" si="47"/>
        <v>0</v>
      </c>
      <c r="AG104" s="60">
        <f t="shared" si="48"/>
        <v>0</v>
      </c>
      <c r="AH104" s="193"/>
      <c r="AI104" s="169">
        <v>100</v>
      </c>
      <c r="AJ104" s="1">
        <f t="shared" si="68"/>
        <v>48563</v>
      </c>
      <c r="AK104" s="60">
        <f>IF($X104&lt;Input!$H$73,IF($X104&lt;Input!$G$73,IF($X104&lt;Input!$F$73,IF($X104&lt;Input!$E$73,IF($X104&lt;Input!$D$73,Input!$C$79,Input!$D$79),Input!$E$79),Input!$F$79),Input!$G$79),Input!$H$79)</f>
        <v>0</v>
      </c>
      <c r="AL104" s="190">
        <f>IF($A104&lt;Input!$H$80,IF($A104&lt;Input!$G$80,IF($A104&lt;Input!$F$80,IF($A104&lt;Input!$E$80,IF($A104&lt;Input!$D$80,Input!$C$81,Input!$D$81),Input!$E$81),Input!$F$81),Input!$G$81),Input!$H$81)</f>
        <v>0.9</v>
      </c>
      <c r="AM104" s="60">
        <f t="shared" si="49"/>
        <v>0</v>
      </c>
      <c r="AN104" s="60">
        <f t="shared" si="69"/>
        <v>30</v>
      </c>
      <c r="AO104" s="60">
        <f t="shared" si="50"/>
        <v>0</v>
      </c>
      <c r="AP104" s="60">
        <f>ROUND(AO104*AN104*Input!$C$3/365,0)</f>
        <v>0</v>
      </c>
      <c r="AQ104" s="61">
        <f>IF($A104&lt;=Input!$C$6,0,IF('120M'!AM104&lt;'120M'!AO104,'120M'!AM104-AP104,'120M'!AO104))</f>
        <v>0</v>
      </c>
      <c r="AR104" s="61">
        <f t="shared" si="51"/>
        <v>0</v>
      </c>
      <c r="AS104" s="60">
        <f t="shared" si="52"/>
        <v>0</v>
      </c>
      <c r="AT104" s="193"/>
      <c r="AU104" s="169">
        <v>100</v>
      </c>
      <c r="AV104" s="1">
        <f t="shared" si="70"/>
        <v>48563</v>
      </c>
      <c r="AW104" s="60">
        <f>IF($X104&lt;Input!$H$88,IF($X104&lt;Input!$G$88,IF($X104&lt;Input!$F$88,IF($X104&lt;Input!$E$88,IF($X104&lt;Input!$D$88,Input!$C$94,Input!$D$94),Input!$E$94),Input!$F$94),Input!$G$94),Input!$H$94)</f>
        <v>0</v>
      </c>
      <c r="AX104" s="190">
        <f>IF($A104&lt;Input!$H$95,IF($A104&lt;Input!$G$95,IF($A104&lt;Input!$F$95,IF($A104&lt;Input!$E$95,IF($A104&lt;Input!$D$95,Input!$C$96,Input!$D$96),Input!$E$96),Input!$F$96),Input!$G$96),Input!$H$96)</f>
        <v>0.9</v>
      </c>
      <c r="AY104" s="60">
        <f t="shared" si="53"/>
        <v>0</v>
      </c>
      <c r="AZ104" s="60">
        <f t="shared" si="71"/>
        <v>30</v>
      </c>
      <c r="BA104" s="60">
        <f t="shared" si="54"/>
        <v>0</v>
      </c>
      <c r="BB104" s="60">
        <f>ROUND(BA104*AZ104*Input!$C$3/365,0)</f>
        <v>0</v>
      </c>
      <c r="BC104" s="61">
        <f>IF($A104&lt;=Input!$C$6,0,IF('120M'!AY104&lt;'120M'!BA104,'120M'!AY104-BB104,'120M'!BA104))</f>
        <v>0</v>
      </c>
      <c r="BD104" s="61">
        <f t="shared" si="55"/>
        <v>0</v>
      </c>
      <c r="BE104" s="60">
        <f t="shared" si="56"/>
        <v>0</v>
      </c>
      <c r="BF104" s="193"/>
      <c r="BG104" s="169">
        <v>100</v>
      </c>
      <c r="BH104" s="1">
        <f t="shared" si="72"/>
        <v>48563</v>
      </c>
      <c r="BI104" s="60">
        <f>IF($X104&lt;Input!$H$103,IF($X104&lt;Input!$G$103,IF($X104&lt;Input!$F$103,IF($X104&lt;Input!$E$103,IF($X104&lt;Input!$D$103,Input!$C$109,Input!$D$109),Input!$E$109),Input!$F$109),Input!$G$109),Input!$H$109)</f>
        <v>0</v>
      </c>
      <c r="BJ104" s="190">
        <f>IF($A104&lt;Input!$H$110,IF($A104&lt;Input!$G$110,IF($A104&lt;Input!$F$110,IF($A104&lt;Input!$E$110,IF($A104&lt;Input!$D$110,Input!$C$111,Input!$D$111),Input!$E$111),Input!$F$111),Input!$G$111),Input!$H$111)</f>
        <v>0.9</v>
      </c>
      <c r="BK104" s="60">
        <f t="shared" si="57"/>
        <v>0</v>
      </c>
      <c r="BL104" s="60">
        <f t="shared" si="73"/>
        <v>30</v>
      </c>
      <c r="BM104" s="60">
        <f t="shared" si="58"/>
        <v>0</v>
      </c>
      <c r="BN104" s="60">
        <f>ROUND(BM104*BL104*Input!$C$3/365,0)</f>
        <v>0</v>
      </c>
      <c r="BO104" s="61">
        <f>IF($A104&lt;=Input!$C$6,0,IF('120M'!BK104&lt;'120M'!BM104,'120M'!BK104-BN104,'120M'!BM104))</f>
        <v>0</v>
      </c>
      <c r="BP104" s="61">
        <f t="shared" si="59"/>
        <v>0</v>
      </c>
      <c r="BQ104" s="60">
        <f t="shared" si="60"/>
        <v>0</v>
      </c>
      <c r="BR104" s="198"/>
    </row>
    <row r="105" spans="1:70" x14ac:dyDescent="0.25">
      <c r="A105" s="169">
        <v>101</v>
      </c>
      <c r="B105" s="1">
        <f t="shared" si="61"/>
        <v>48594</v>
      </c>
      <c r="C105" s="60">
        <f t="shared" si="39"/>
        <v>21781574.999999996</v>
      </c>
      <c r="D105" s="60">
        <f t="shared" si="40"/>
        <v>19603417.499999996</v>
      </c>
      <c r="E105" s="60">
        <f t="shared" si="62"/>
        <v>31</v>
      </c>
      <c r="F105" s="60">
        <f t="shared" si="63"/>
        <v>242188035</v>
      </c>
      <c r="G105" s="60">
        <f>ROUND(F105*E105*Input!$C$3/365,0)</f>
        <v>3085409</v>
      </c>
      <c r="H105" s="60">
        <f>IF($A105&lt;=Input!$C$6,0,IF('120M'!D105&lt;'120M'!F105,'120M'!D105-G105,'120M'!F105))</f>
        <v>16518008.499999996</v>
      </c>
      <c r="I105" s="60">
        <f t="shared" si="64"/>
        <v>19603417.499999996</v>
      </c>
      <c r="J105" s="60">
        <f t="shared" si="65"/>
        <v>225670026.5</v>
      </c>
      <c r="K105" s="202">
        <f>J105/Input!$K$5</f>
        <v>0.75223342166666662</v>
      </c>
      <c r="L105" s="232"/>
      <c r="M105" s="60">
        <f>IF($B105&lt;Input!$H$43,IF($B105&lt;Input!$G$43,IF($B105&lt;Input!$F$43,IF($B105&lt;Input!$E$43,IF($B105&lt;Input!$D$43,Input!$C$49,Input!$D$49),Input!$E$49),Input!$F$49),Input!$G$49),Input!$H$49)</f>
        <v>21781574.999999996</v>
      </c>
      <c r="N105" s="190">
        <f>IF($A105&lt;Input!$H$50,IF($A105&lt;Input!$G$50,IF($A105&lt;Input!$F$50,IF($A105&lt;Input!$E$50,IF($A105&lt;Input!$D$50,Input!$C$51,Input!$D$51),Input!$E$51),Input!$F$51),Input!$G$51),Input!$H$51)</f>
        <v>0.9</v>
      </c>
      <c r="O105" s="60">
        <f t="shared" si="74"/>
        <v>19603417.499999996</v>
      </c>
      <c r="P105" s="60">
        <f t="shared" si="75"/>
        <v>31</v>
      </c>
      <c r="Q105" s="60">
        <f t="shared" si="42"/>
        <v>242188035</v>
      </c>
      <c r="R105" s="60">
        <f>ROUND(Q105*$P105*Input!$C$3/365,0)</f>
        <v>3085409</v>
      </c>
      <c r="S105" s="60">
        <f>IF(A105&lt;=Input!$C$6,0,IF('120M'!O105&lt;'120M'!Q105,'120M'!O105-R105,'120M'!Q105))</f>
        <v>16518008.499999996</v>
      </c>
      <c r="T105" s="60">
        <f t="shared" si="43"/>
        <v>19603417.499999996</v>
      </c>
      <c r="U105" s="60">
        <f t="shared" si="44"/>
        <v>225670026.5</v>
      </c>
      <c r="V105" s="193"/>
      <c r="W105" s="169">
        <v>101</v>
      </c>
      <c r="X105" s="1">
        <f t="shared" si="66"/>
        <v>48594</v>
      </c>
      <c r="Y105" s="60">
        <f>IF($X105&lt;Input!$H$58,IF($X105&lt;Input!$G$58,IF($X105&lt;Input!$F$58,IF($X105&lt;Input!$E$58,IF($X105&lt;Input!$D$58,Input!$C$64,Input!$D$64),Input!$E$64),Input!$F$64),Input!$G$64),Input!$H$64)</f>
        <v>0</v>
      </c>
      <c r="Z105" s="190">
        <f>IF($A105&lt;Input!$H$65,IF($A105&lt;Input!$G$65,IF($A105&lt;Input!$F$65,IF($A105&lt;Input!$E$65,IF($A105&lt;Input!$D$65,Input!$C$66,Input!$D$66),Input!$E$66),Input!$F$66),Input!$G$66),Input!$H$66)</f>
        <v>0.9</v>
      </c>
      <c r="AA105" s="60">
        <f t="shared" si="45"/>
        <v>0</v>
      </c>
      <c r="AB105" s="60">
        <f t="shared" si="67"/>
        <v>31</v>
      </c>
      <c r="AC105" s="60">
        <f t="shared" si="46"/>
        <v>0</v>
      </c>
      <c r="AD105" s="60">
        <f>ROUND(AC105*AB105*Input!$C$3/365,0)</f>
        <v>0</v>
      </c>
      <c r="AE105" s="61">
        <f>IF($A105&lt;=Input!$C$6,0,IF('120M'!AA105&lt;'120M'!AC105,'120M'!AA105-AD105,'120M'!AC105))</f>
        <v>0</v>
      </c>
      <c r="AF105" s="61">
        <f t="shared" si="47"/>
        <v>0</v>
      </c>
      <c r="AG105" s="60">
        <f t="shared" si="48"/>
        <v>0</v>
      </c>
      <c r="AH105" s="193"/>
      <c r="AI105" s="169">
        <v>101</v>
      </c>
      <c r="AJ105" s="1">
        <f t="shared" si="68"/>
        <v>48594</v>
      </c>
      <c r="AK105" s="60">
        <f>IF($X105&lt;Input!$H$73,IF($X105&lt;Input!$G$73,IF($X105&lt;Input!$F$73,IF($X105&lt;Input!$E$73,IF($X105&lt;Input!$D$73,Input!$C$79,Input!$D$79),Input!$E$79),Input!$F$79),Input!$G$79),Input!$H$79)</f>
        <v>0</v>
      </c>
      <c r="AL105" s="190">
        <f>IF($A105&lt;Input!$H$80,IF($A105&lt;Input!$G$80,IF($A105&lt;Input!$F$80,IF($A105&lt;Input!$E$80,IF($A105&lt;Input!$D$80,Input!$C$81,Input!$D$81),Input!$E$81),Input!$F$81),Input!$G$81),Input!$H$81)</f>
        <v>0.9</v>
      </c>
      <c r="AM105" s="60">
        <f t="shared" si="49"/>
        <v>0</v>
      </c>
      <c r="AN105" s="60">
        <f t="shared" si="69"/>
        <v>31</v>
      </c>
      <c r="AO105" s="60">
        <f t="shared" si="50"/>
        <v>0</v>
      </c>
      <c r="AP105" s="60">
        <f>ROUND(AO105*AN105*Input!$C$3/365,0)</f>
        <v>0</v>
      </c>
      <c r="AQ105" s="61">
        <f>IF($A105&lt;=Input!$C$6,0,IF('120M'!AM105&lt;'120M'!AO105,'120M'!AM105-AP105,'120M'!AO105))</f>
        <v>0</v>
      </c>
      <c r="AR105" s="61">
        <f t="shared" si="51"/>
        <v>0</v>
      </c>
      <c r="AS105" s="60">
        <f t="shared" si="52"/>
        <v>0</v>
      </c>
      <c r="AT105" s="193"/>
      <c r="AU105" s="169">
        <v>101</v>
      </c>
      <c r="AV105" s="1">
        <f t="shared" si="70"/>
        <v>48594</v>
      </c>
      <c r="AW105" s="60">
        <f>IF($X105&lt;Input!$H$88,IF($X105&lt;Input!$G$88,IF($X105&lt;Input!$F$88,IF($X105&lt;Input!$E$88,IF($X105&lt;Input!$D$88,Input!$C$94,Input!$D$94),Input!$E$94),Input!$F$94),Input!$G$94),Input!$H$94)</f>
        <v>0</v>
      </c>
      <c r="AX105" s="190">
        <f>IF($A105&lt;Input!$H$95,IF($A105&lt;Input!$G$95,IF($A105&lt;Input!$F$95,IF($A105&lt;Input!$E$95,IF($A105&lt;Input!$D$95,Input!$C$96,Input!$D$96),Input!$E$96),Input!$F$96),Input!$G$96),Input!$H$96)</f>
        <v>0.9</v>
      </c>
      <c r="AY105" s="60">
        <f t="shared" si="53"/>
        <v>0</v>
      </c>
      <c r="AZ105" s="60">
        <f t="shared" si="71"/>
        <v>31</v>
      </c>
      <c r="BA105" s="60">
        <f t="shared" si="54"/>
        <v>0</v>
      </c>
      <c r="BB105" s="60">
        <f>ROUND(BA105*AZ105*Input!$C$3/365,0)</f>
        <v>0</v>
      </c>
      <c r="BC105" s="61">
        <f>IF($A105&lt;=Input!$C$6,0,IF('120M'!AY105&lt;'120M'!BA105,'120M'!AY105-BB105,'120M'!BA105))</f>
        <v>0</v>
      </c>
      <c r="BD105" s="61">
        <f t="shared" si="55"/>
        <v>0</v>
      </c>
      <c r="BE105" s="60">
        <f t="shared" si="56"/>
        <v>0</v>
      </c>
      <c r="BF105" s="193"/>
      <c r="BG105" s="169">
        <v>101</v>
      </c>
      <c r="BH105" s="1">
        <f t="shared" si="72"/>
        <v>48594</v>
      </c>
      <c r="BI105" s="60">
        <f>IF($X105&lt;Input!$H$103,IF($X105&lt;Input!$G$103,IF($X105&lt;Input!$F$103,IF($X105&lt;Input!$E$103,IF($X105&lt;Input!$D$103,Input!$C$109,Input!$D$109),Input!$E$109),Input!$F$109),Input!$G$109),Input!$H$109)</f>
        <v>0</v>
      </c>
      <c r="BJ105" s="190">
        <f>IF($A105&lt;Input!$H$110,IF($A105&lt;Input!$G$110,IF($A105&lt;Input!$F$110,IF($A105&lt;Input!$E$110,IF($A105&lt;Input!$D$110,Input!$C$111,Input!$D$111),Input!$E$111),Input!$F$111),Input!$G$111),Input!$H$111)</f>
        <v>0.9</v>
      </c>
      <c r="BK105" s="60">
        <f t="shared" si="57"/>
        <v>0</v>
      </c>
      <c r="BL105" s="60">
        <f t="shared" si="73"/>
        <v>31</v>
      </c>
      <c r="BM105" s="60">
        <f t="shared" si="58"/>
        <v>0</v>
      </c>
      <c r="BN105" s="60">
        <f>ROUND(BM105*BL105*Input!$C$3/365,0)</f>
        <v>0</v>
      </c>
      <c r="BO105" s="61">
        <f>IF($A105&lt;=Input!$C$6,0,IF('120M'!BK105&lt;'120M'!BM105,'120M'!BK105-BN105,'120M'!BM105))</f>
        <v>0</v>
      </c>
      <c r="BP105" s="61">
        <f t="shared" si="59"/>
        <v>0</v>
      </c>
      <c r="BQ105" s="60">
        <f t="shared" si="60"/>
        <v>0</v>
      </c>
      <c r="BR105" s="198"/>
    </row>
    <row r="106" spans="1:70" x14ac:dyDescent="0.25">
      <c r="A106" s="169">
        <v>102</v>
      </c>
      <c r="B106" s="1">
        <f t="shared" si="61"/>
        <v>48625</v>
      </c>
      <c r="C106" s="60">
        <f t="shared" si="39"/>
        <v>21781574.999999996</v>
      </c>
      <c r="D106" s="60">
        <f t="shared" si="40"/>
        <v>19603417.499999996</v>
      </c>
      <c r="E106" s="60">
        <f t="shared" si="62"/>
        <v>31</v>
      </c>
      <c r="F106" s="60">
        <f t="shared" si="63"/>
        <v>225670026.5</v>
      </c>
      <c r="G106" s="60">
        <f>ROUND(F106*E106*Input!$C$3/365,0)</f>
        <v>2874974</v>
      </c>
      <c r="H106" s="60">
        <f>IF($A106&lt;=Input!$C$6,0,IF('120M'!D106&lt;'120M'!F106,'120M'!D106-G106,'120M'!F106))</f>
        <v>16728443.499999996</v>
      </c>
      <c r="I106" s="60">
        <f t="shared" si="64"/>
        <v>19603417.499999996</v>
      </c>
      <c r="J106" s="60">
        <f t="shared" si="65"/>
        <v>208941583</v>
      </c>
      <c r="K106" s="202">
        <f>J106/Input!$K$5</f>
        <v>0.69647194333333329</v>
      </c>
      <c r="L106" s="232"/>
      <c r="M106" s="60">
        <f>IF($B106&lt;Input!$H$43,IF($B106&lt;Input!$G$43,IF($B106&lt;Input!$F$43,IF($B106&lt;Input!$E$43,IF($B106&lt;Input!$D$43,Input!$C$49,Input!$D$49),Input!$E$49),Input!$F$49),Input!$G$49),Input!$H$49)</f>
        <v>21781574.999999996</v>
      </c>
      <c r="N106" s="190">
        <f>IF($A106&lt;Input!$H$50,IF($A106&lt;Input!$G$50,IF($A106&lt;Input!$F$50,IF($A106&lt;Input!$E$50,IF($A106&lt;Input!$D$50,Input!$C$51,Input!$D$51),Input!$E$51),Input!$F$51),Input!$G$51),Input!$H$51)</f>
        <v>0.9</v>
      </c>
      <c r="O106" s="60">
        <f t="shared" si="74"/>
        <v>19603417.499999996</v>
      </c>
      <c r="P106" s="60">
        <f t="shared" si="75"/>
        <v>31</v>
      </c>
      <c r="Q106" s="60">
        <f t="shared" si="42"/>
        <v>225670026.5</v>
      </c>
      <c r="R106" s="60">
        <f>ROUND(Q106*$P106*Input!$C$3/365,0)</f>
        <v>2874974</v>
      </c>
      <c r="S106" s="60">
        <f>IF(A106&lt;=Input!$C$6,0,IF('120M'!O106&lt;'120M'!Q106,'120M'!O106-R106,'120M'!Q106))</f>
        <v>16728443.499999996</v>
      </c>
      <c r="T106" s="60">
        <f t="shared" si="43"/>
        <v>19603417.499999996</v>
      </c>
      <c r="U106" s="60">
        <f t="shared" si="44"/>
        <v>208941583</v>
      </c>
      <c r="V106" s="193"/>
      <c r="W106" s="169">
        <v>102</v>
      </c>
      <c r="X106" s="1">
        <f t="shared" si="66"/>
        <v>48625</v>
      </c>
      <c r="Y106" s="60">
        <f>IF($X106&lt;Input!$H$58,IF($X106&lt;Input!$G$58,IF($X106&lt;Input!$F$58,IF($X106&lt;Input!$E$58,IF($X106&lt;Input!$D$58,Input!$C$64,Input!$D$64),Input!$E$64),Input!$F$64),Input!$G$64),Input!$H$64)</f>
        <v>0</v>
      </c>
      <c r="Z106" s="190">
        <f>IF($A106&lt;Input!$H$65,IF($A106&lt;Input!$G$65,IF($A106&lt;Input!$F$65,IF($A106&lt;Input!$E$65,IF($A106&lt;Input!$D$65,Input!$C$66,Input!$D$66),Input!$E$66),Input!$F$66),Input!$G$66),Input!$H$66)</f>
        <v>0.9</v>
      </c>
      <c r="AA106" s="60">
        <f t="shared" si="45"/>
        <v>0</v>
      </c>
      <c r="AB106" s="60">
        <f t="shared" si="67"/>
        <v>31</v>
      </c>
      <c r="AC106" s="60">
        <f t="shared" si="46"/>
        <v>0</v>
      </c>
      <c r="AD106" s="60">
        <f>ROUND(AC106*AB106*Input!$C$3/365,0)</f>
        <v>0</v>
      </c>
      <c r="AE106" s="61">
        <f>IF($A106&lt;=Input!$C$6,0,IF('120M'!AA106&lt;'120M'!AC106,'120M'!AA106-AD106,'120M'!AC106))</f>
        <v>0</v>
      </c>
      <c r="AF106" s="61">
        <f t="shared" si="47"/>
        <v>0</v>
      </c>
      <c r="AG106" s="60">
        <f t="shared" si="48"/>
        <v>0</v>
      </c>
      <c r="AH106" s="193"/>
      <c r="AI106" s="169">
        <v>102</v>
      </c>
      <c r="AJ106" s="1">
        <f t="shared" si="68"/>
        <v>48625</v>
      </c>
      <c r="AK106" s="60">
        <f>IF($X106&lt;Input!$H$73,IF($X106&lt;Input!$G$73,IF($X106&lt;Input!$F$73,IF($X106&lt;Input!$E$73,IF($X106&lt;Input!$D$73,Input!$C$79,Input!$D$79),Input!$E$79),Input!$F$79),Input!$G$79),Input!$H$79)</f>
        <v>0</v>
      </c>
      <c r="AL106" s="190">
        <f>IF($A106&lt;Input!$H$80,IF($A106&lt;Input!$G$80,IF($A106&lt;Input!$F$80,IF($A106&lt;Input!$E$80,IF($A106&lt;Input!$D$80,Input!$C$81,Input!$D$81),Input!$E$81),Input!$F$81),Input!$G$81),Input!$H$81)</f>
        <v>0.9</v>
      </c>
      <c r="AM106" s="60">
        <f t="shared" si="49"/>
        <v>0</v>
      </c>
      <c r="AN106" s="60">
        <f t="shared" si="69"/>
        <v>31</v>
      </c>
      <c r="AO106" s="60">
        <f t="shared" si="50"/>
        <v>0</v>
      </c>
      <c r="AP106" s="60">
        <f>ROUND(AO106*AN106*Input!$C$3/365,0)</f>
        <v>0</v>
      </c>
      <c r="AQ106" s="61">
        <f>IF($A106&lt;=Input!$C$6,0,IF('120M'!AM106&lt;'120M'!AO106,'120M'!AM106-AP106,'120M'!AO106))</f>
        <v>0</v>
      </c>
      <c r="AR106" s="61">
        <f t="shared" si="51"/>
        <v>0</v>
      </c>
      <c r="AS106" s="60">
        <f t="shared" si="52"/>
        <v>0</v>
      </c>
      <c r="AT106" s="193"/>
      <c r="AU106" s="169">
        <v>102</v>
      </c>
      <c r="AV106" s="1">
        <f t="shared" si="70"/>
        <v>48625</v>
      </c>
      <c r="AW106" s="60">
        <f>IF($X106&lt;Input!$H$88,IF($X106&lt;Input!$G$88,IF($X106&lt;Input!$F$88,IF($X106&lt;Input!$E$88,IF($X106&lt;Input!$D$88,Input!$C$94,Input!$D$94),Input!$E$94),Input!$F$94),Input!$G$94),Input!$H$94)</f>
        <v>0</v>
      </c>
      <c r="AX106" s="190">
        <f>IF($A106&lt;Input!$H$95,IF($A106&lt;Input!$G$95,IF($A106&lt;Input!$F$95,IF($A106&lt;Input!$E$95,IF($A106&lt;Input!$D$95,Input!$C$96,Input!$D$96),Input!$E$96),Input!$F$96),Input!$G$96),Input!$H$96)</f>
        <v>0.9</v>
      </c>
      <c r="AY106" s="60">
        <f t="shared" si="53"/>
        <v>0</v>
      </c>
      <c r="AZ106" s="60">
        <f t="shared" si="71"/>
        <v>31</v>
      </c>
      <c r="BA106" s="60">
        <f t="shared" si="54"/>
        <v>0</v>
      </c>
      <c r="BB106" s="60">
        <f>ROUND(BA106*AZ106*Input!$C$3/365,0)</f>
        <v>0</v>
      </c>
      <c r="BC106" s="61">
        <f>IF($A106&lt;=Input!$C$6,0,IF('120M'!AY106&lt;'120M'!BA106,'120M'!AY106-BB106,'120M'!BA106))</f>
        <v>0</v>
      </c>
      <c r="BD106" s="61">
        <f t="shared" si="55"/>
        <v>0</v>
      </c>
      <c r="BE106" s="60">
        <f t="shared" si="56"/>
        <v>0</v>
      </c>
      <c r="BF106" s="193"/>
      <c r="BG106" s="169">
        <v>102</v>
      </c>
      <c r="BH106" s="1">
        <f t="shared" si="72"/>
        <v>48625</v>
      </c>
      <c r="BI106" s="60">
        <f>IF($X106&lt;Input!$H$103,IF($X106&lt;Input!$G$103,IF($X106&lt;Input!$F$103,IF($X106&lt;Input!$E$103,IF($X106&lt;Input!$D$103,Input!$C$109,Input!$D$109),Input!$E$109),Input!$F$109),Input!$G$109),Input!$H$109)</f>
        <v>0</v>
      </c>
      <c r="BJ106" s="190">
        <f>IF($A106&lt;Input!$H$110,IF($A106&lt;Input!$G$110,IF($A106&lt;Input!$F$110,IF($A106&lt;Input!$E$110,IF($A106&lt;Input!$D$110,Input!$C$111,Input!$D$111),Input!$E$111),Input!$F$111),Input!$G$111),Input!$H$111)</f>
        <v>0.9</v>
      </c>
      <c r="BK106" s="60">
        <f t="shared" si="57"/>
        <v>0</v>
      </c>
      <c r="BL106" s="60">
        <f t="shared" si="73"/>
        <v>31</v>
      </c>
      <c r="BM106" s="60">
        <f t="shared" si="58"/>
        <v>0</v>
      </c>
      <c r="BN106" s="60">
        <f>ROUND(BM106*BL106*Input!$C$3/365,0)</f>
        <v>0</v>
      </c>
      <c r="BO106" s="61">
        <f>IF($A106&lt;=Input!$C$6,0,IF('120M'!BK106&lt;'120M'!BM106,'120M'!BK106-BN106,'120M'!BM106))</f>
        <v>0</v>
      </c>
      <c r="BP106" s="61">
        <f t="shared" si="59"/>
        <v>0</v>
      </c>
      <c r="BQ106" s="60">
        <f t="shared" si="60"/>
        <v>0</v>
      </c>
      <c r="BR106" s="198"/>
    </row>
    <row r="107" spans="1:70" x14ac:dyDescent="0.25">
      <c r="A107" s="169">
        <v>103</v>
      </c>
      <c r="B107" s="1">
        <f t="shared" si="61"/>
        <v>48653</v>
      </c>
      <c r="C107" s="60">
        <f t="shared" si="39"/>
        <v>21781574.999999996</v>
      </c>
      <c r="D107" s="60">
        <f t="shared" si="40"/>
        <v>19603417.499999996</v>
      </c>
      <c r="E107" s="60">
        <f t="shared" si="62"/>
        <v>28</v>
      </c>
      <c r="F107" s="60">
        <f t="shared" si="63"/>
        <v>208941583</v>
      </c>
      <c r="G107" s="60">
        <f>ROUND(F107*E107*Input!$C$3/365,0)</f>
        <v>2404259</v>
      </c>
      <c r="H107" s="60">
        <f>IF($A107&lt;=Input!$C$6,0,IF('120M'!D107&lt;'120M'!F107,'120M'!D107-G107,'120M'!F107))</f>
        <v>17199158.499999996</v>
      </c>
      <c r="I107" s="60">
        <f t="shared" si="64"/>
        <v>19603417.499999996</v>
      </c>
      <c r="J107" s="60">
        <f t="shared" si="65"/>
        <v>191742424.5</v>
      </c>
      <c r="K107" s="202">
        <f>J107/Input!$K$5</f>
        <v>0.63914141499999999</v>
      </c>
      <c r="L107" s="232"/>
      <c r="M107" s="60">
        <f>IF($B107&lt;Input!$H$43,IF($B107&lt;Input!$G$43,IF($B107&lt;Input!$F$43,IF($B107&lt;Input!$E$43,IF($B107&lt;Input!$D$43,Input!$C$49,Input!$D$49),Input!$E$49),Input!$F$49),Input!$G$49),Input!$H$49)</f>
        <v>21781574.999999996</v>
      </c>
      <c r="N107" s="190">
        <f>IF($A107&lt;Input!$H$50,IF($A107&lt;Input!$G$50,IF($A107&lt;Input!$F$50,IF($A107&lt;Input!$E$50,IF($A107&lt;Input!$D$50,Input!$C$51,Input!$D$51),Input!$E$51),Input!$F$51),Input!$G$51),Input!$H$51)</f>
        <v>0.9</v>
      </c>
      <c r="O107" s="60">
        <f t="shared" si="74"/>
        <v>19603417.499999996</v>
      </c>
      <c r="P107" s="60">
        <f t="shared" si="75"/>
        <v>28</v>
      </c>
      <c r="Q107" s="60">
        <f t="shared" si="42"/>
        <v>208941583</v>
      </c>
      <c r="R107" s="60">
        <f>ROUND(Q107*$P107*Input!$C$3/365,0)</f>
        <v>2404259</v>
      </c>
      <c r="S107" s="60">
        <f>IF(A107&lt;=Input!$C$6,0,IF('120M'!O107&lt;'120M'!Q107,'120M'!O107-R107,'120M'!Q107))</f>
        <v>17199158.499999996</v>
      </c>
      <c r="T107" s="60">
        <f t="shared" si="43"/>
        <v>19603417.499999996</v>
      </c>
      <c r="U107" s="60">
        <f t="shared" si="44"/>
        <v>191742424.5</v>
      </c>
      <c r="V107" s="193"/>
      <c r="W107" s="169">
        <v>103</v>
      </c>
      <c r="X107" s="1">
        <f t="shared" si="66"/>
        <v>48653</v>
      </c>
      <c r="Y107" s="60">
        <f>IF($X107&lt;Input!$H$58,IF($X107&lt;Input!$G$58,IF($X107&lt;Input!$F$58,IF($X107&lt;Input!$E$58,IF($X107&lt;Input!$D$58,Input!$C$64,Input!$D$64),Input!$E$64),Input!$F$64),Input!$G$64),Input!$H$64)</f>
        <v>0</v>
      </c>
      <c r="Z107" s="190">
        <f>IF($A107&lt;Input!$H$65,IF($A107&lt;Input!$G$65,IF($A107&lt;Input!$F$65,IF($A107&lt;Input!$E$65,IF($A107&lt;Input!$D$65,Input!$C$66,Input!$D$66),Input!$E$66),Input!$F$66),Input!$G$66),Input!$H$66)</f>
        <v>0.9</v>
      </c>
      <c r="AA107" s="60">
        <f t="shared" si="45"/>
        <v>0</v>
      </c>
      <c r="AB107" s="60">
        <f t="shared" si="67"/>
        <v>28</v>
      </c>
      <c r="AC107" s="60">
        <f t="shared" si="46"/>
        <v>0</v>
      </c>
      <c r="AD107" s="60">
        <f>ROUND(AC107*AB107*Input!$C$3/365,0)</f>
        <v>0</v>
      </c>
      <c r="AE107" s="61">
        <f>IF($A107&lt;=Input!$C$6,0,IF('120M'!AA107&lt;'120M'!AC107,'120M'!AA107-AD107,'120M'!AC107))</f>
        <v>0</v>
      </c>
      <c r="AF107" s="61">
        <f t="shared" si="47"/>
        <v>0</v>
      </c>
      <c r="AG107" s="60">
        <f t="shared" si="48"/>
        <v>0</v>
      </c>
      <c r="AH107" s="193"/>
      <c r="AI107" s="169">
        <v>103</v>
      </c>
      <c r="AJ107" s="1">
        <f t="shared" si="68"/>
        <v>48653</v>
      </c>
      <c r="AK107" s="60">
        <f>IF($X107&lt;Input!$H$73,IF($X107&lt;Input!$G$73,IF($X107&lt;Input!$F$73,IF($X107&lt;Input!$E$73,IF($X107&lt;Input!$D$73,Input!$C$79,Input!$D$79),Input!$E$79),Input!$F$79),Input!$G$79),Input!$H$79)</f>
        <v>0</v>
      </c>
      <c r="AL107" s="190">
        <f>IF($A107&lt;Input!$H$80,IF($A107&lt;Input!$G$80,IF($A107&lt;Input!$F$80,IF($A107&lt;Input!$E$80,IF($A107&lt;Input!$D$80,Input!$C$81,Input!$D$81),Input!$E$81),Input!$F$81),Input!$G$81),Input!$H$81)</f>
        <v>0.9</v>
      </c>
      <c r="AM107" s="60">
        <f t="shared" si="49"/>
        <v>0</v>
      </c>
      <c r="AN107" s="60">
        <f t="shared" si="69"/>
        <v>28</v>
      </c>
      <c r="AO107" s="60">
        <f t="shared" si="50"/>
        <v>0</v>
      </c>
      <c r="AP107" s="60">
        <f>ROUND(AO107*AN107*Input!$C$3/365,0)</f>
        <v>0</v>
      </c>
      <c r="AQ107" s="61">
        <f>IF($A107&lt;=Input!$C$6,0,IF('120M'!AM107&lt;'120M'!AO107,'120M'!AM107-AP107,'120M'!AO107))</f>
        <v>0</v>
      </c>
      <c r="AR107" s="61">
        <f t="shared" si="51"/>
        <v>0</v>
      </c>
      <c r="AS107" s="60">
        <f t="shared" si="52"/>
        <v>0</v>
      </c>
      <c r="AT107" s="193"/>
      <c r="AU107" s="169">
        <v>103</v>
      </c>
      <c r="AV107" s="1">
        <f t="shared" si="70"/>
        <v>48653</v>
      </c>
      <c r="AW107" s="60">
        <f>IF($X107&lt;Input!$H$88,IF($X107&lt;Input!$G$88,IF($X107&lt;Input!$F$88,IF($X107&lt;Input!$E$88,IF($X107&lt;Input!$D$88,Input!$C$94,Input!$D$94),Input!$E$94),Input!$F$94),Input!$G$94),Input!$H$94)</f>
        <v>0</v>
      </c>
      <c r="AX107" s="190">
        <f>IF($A107&lt;Input!$H$95,IF($A107&lt;Input!$G$95,IF($A107&lt;Input!$F$95,IF($A107&lt;Input!$E$95,IF($A107&lt;Input!$D$95,Input!$C$96,Input!$D$96),Input!$E$96),Input!$F$96),Input!$G$96),Input!$H$96)</f>
        <v>0.9</v>
      </c>
      <c r="AY107" s="60">
        <f t="shared" si="53"/>
        <v>0</v>
      </c>
      <c r="AZ107" s="60">
        <f t="shared" si="71"/>
        <v>28</v>
      </c>
      <c r="BA107" s="60">
        <f t="shared" si="54"/>
        <v>0</v>
      </c>
      <c r="BB107" s="60">
        <f>ROUND(BA107*AZ107*Input!$C$3/365,0)</f>
        <v>0</v>
      </c>
      <c r="BC107" s="61">
        <f>IF($A107&lt;=Input!$C$6,0,IF('120M'!AY107&lt;'120M'!BA107,'120M'!AY107-BB107,'120M'!BA107))</f>
        <v>0</v>
      </c>
      <c r="BD107" s="61">
        <f t="shared" si="55"/>
        <v>0</v>
      </c>
      <c r="BE107" s="60">
        <f t="shared" si="56"/>
        <v>0</v>
      </c>
      <c r="BF107" s="193"/>
      <c r="BG107" s="169">
        <v>103</v>
      </c>
      <c r="BH107" s="1">
        <f t="shared" si="72"/>
        <v>48653</v>
      </c>
      <c r="BI107" s="60">
        <f>IF($X107&lt;Input!$H$103,IF($X107&lt;Input!$G$103,IF($X107&lt;Input!$F$103,IF($X107&lt;Input!$E$103,IF($X107&lt;Input!$D$103,Input!$C$109,Input!$D$109),Input!$E$109),Input!$F$109),Input!$G$109),Input!$H$109)</f>
        <v>0</v>
      </c>
      <c r="BJ107" s="190">
        <f>IF($A107&lt;Input!$H$110,IF($A107&lt;Input!$G$110,IF($A107&lt;Input!$F$110,IF($A107&lt;Input!$E$110,IF($A107&lt;Input!$D$110,Input!$C$111,Input!$D$111),Input!$E$111),Input!$F$111),Input!$G$111),Input!$H$111)</f>
        <v>0.9</v>
      </c>
      <c r="BK107" s="60">
        <f t="shared" si="57"/>
        <v>0</v>
      </c>
      <c r="BL107" s="60">
        <f t="shared" si="73"/>
        <v>28</v>
      </c>
      <c r="BM107" s="60">
        <f t="shared" si="58"/>
        <v>0</v>
      </c>
      <c r="BN107" s="60">
        <f>ROUND(BM107*BL107*Input!$C$3/365,0)</f>
        <v>0</v>
      </c>
      <c r="BO107" s="61">
        <f>IF($A107&lt;=Input!$C$6,0,IF('120M'!BK107&lt;'120M'!BM107,'120M'!BK107-BN107,'120M'!BM107))</f>
        <v>0</v>
      </c>
      <c r="BP107" s="61">
        <f t="shared" si="59"/>
        <v>0</v>
      </c>
      <c r="BQ107" s="60">
        <f t="shared" si="60"/>
        <v>0</v>
      </c>
      <c r="BR107" s="198"/>
    </row>
    <row r="108" spans="1:70" x14ac:dyDescent="0.25">
      <c r="A108" s="169">
        <v>104</v>
      </c>
      <c r="B108" s="1">
        <f t="shared" si="61"/>
        <v>48684</v>
      </c>
      <c r="C108" s="60">
        <f t="shared" si="39"/>
        <v>21781574.999999996</v>
      </c>
      <c r="D108" s="60">
        <f t="shared" si="40"/>
        <v>19603417.499999996</v>
      </c>
      <c r="E108" s="60">
        <f t="shared" si="62"/>
        <v>31</v>
      </c>
      <c r="F108" s="60">
        <f t="shared" si="63"/>
        <v>191742424.5</v>
      </c>
      <c r="G108" s="60">
        <f>ROUND(F108*E108*Input!$C$3/365,0)</f>
        <v>2442746</v>
      </c>
      <c r="H108" s="60">
        <f>IF($A108&lt;=Input!$C$6,0,IF('120M'!D108&lt;'120M'!F108,'120M'!D108-G108,'120M'!F108))</f>
        <v>17160671.499999996</v>
      </c>
      <c r="I108" s="60">
        <f t="shared" si="64"/>
        <v>19603417.499999996</v>
      </c>
      <c r="J108" s="60">
        <f t="shared" si="65"/>
        <v>174581753</v>
      </c>
      <c r="K108" s="202">
        <f>J108/Input!$K$5</f>
        <v>0.58193917666666661</v>
      </c>
      <c r="L108" s="232"/>
      <c r="M108" s="60">
        <f>IF($B108&lt;Input!$H$43,IF($B108&lt;Input!$G$43,IF($B108&lt;Input!$F$43,IF($B108&lt;Input!$E$43,IF($B108&lt;Input!$D$43,Input!$C$49,Input!$D$49),Input!$E$49),Input!$F$49),Input!$G$49),Input!$H$49)</f>
        <v>21781574.999999996</v>
      </c>
      <c r="N108" s="190">
        <f>IF($A108&lt;Input!$H$50,IF($A108&lt;Input!$G$50,IF($A108&lt;Input!$F$50,IF($A108&lt;Input!$E$50,IF($A108&lt;Input!$D$50,Input!$C$51,Input!$D$51),Input!$E$51),Input!$F$51),Input!$G$51),Input!$H$51)</f>
        <v>0.9</v>
      </c>
      <c r="O108" s="60">
        <f t="shared" si="74"/>
        <v>19603417.499999996</v>
      </c>
      <c r="P108" s="60">
        <f t="shared" si="75"/>
        <v>31</v>
      </c>
      <c r="Q108" s="60">
        <f t="shared" si="42"/>
        <v>191742424.5</v>
      </c>
      <c r="R108" s="60">
        <f>ROUND(Q108*$P108*Input!$C$3/365,0)</f>
        <v>2442746</v>
      </c>
      <c r="S108" s="60">
        <f>IF(A108&lt;=Input!$C$6,0,IF('120M'!O108&lt;'120M'!Q108,'120M'!O108-R108,'120M'!Q108))</f>
        <v>17160671.499999996</v>
      </c>
      <c r="T108" s="60">
        <f t="shared" si="43"/>
        <v>19603417.499999996</v>
      </c>
      <c r="U108" s="60">
        <f t="shared" si="44"/>
        <v>174581753</v>
      </c>
      <c r="V108" s="193"/>
      <c r="W108" s="169">
        <v>104</v>
      </c>
      <c r="X108" s="1">
        <f t="shared" si="66"/>
        <v>48684</v>
      </c>
      <c r="Y108" s="60">
        <f>IF($X108&lt;Input!$H$58,IF($X108&lt;Input!$G$58,IF($X108&lt;Input!$F$58,IF($X108&lt;Input!$E$58,IF($X108&lt;Input!$D$58,Input!$C$64,Input!$D$64),Input!$E$64),Input!$F$64),Input!$G$64),Input!$H$64)</f>
        <v>0</v>
      </c>
      <c r="Z108" s="190">
        <f>IF($A108&lt;Input!$H$65,IF($A108&lt;Input!$G$65,IF($A108&lt;Input!$F$65,IF($A108&lt;Input!$E$65,IF($A108&lt;Input!$D$65,Input!$C$66,Input!$D$66),Input!$E$66),Input!$F$66),Input!$G$66),Input!$H$66)</f>
        <v>0.9</v>
      </c>
      <c r="AA108" s="60">
        <f t="shared" si="45"/>
        <v>0</v>
      </c>
      <c r="AB108" s="60">
        <f t="shared" si="67"/>
        <v>31</v>
      </c>
      <c r="AC108" s="60">
        <f t="shared" si="46"/>
        <v>0</v>
      </c>
      <c r="AD108" s="60">
        <f>ROUND(AC108*AB108*Input!$C$3/365,0)</f>
        <v>0</v>
      </c>
      <c r="AE108" s="61">
        <f>IF($A108&lt;=Input!$C$6,0,IF('120M'!AA108&lt;'120M'!AC108,'120M'!AA108-AD108,'120M'!AC108))</f>
        <v>0</v>
      </c>
      <c r="AF108" s="61">
        <f t="shared" si="47"/>
        <v>0</v>
      </c>
      <c r="AG108" s="60">
        <f t="shared" si="48"/>
        <v>0</v>
      </c>
      <c r="AH108" s="193"/>
      <c r="AI108" s="169">
        <v>104</v>
      </c>
      <c r="AJ108" s="1">
        <f t="shared" si="68"/>
        <v>48684</v>
      </c>
      <c r="AK108" s="60">
        <f>IF($X108&lt;Input!$H$73,IF($X108&lt;Input!$G$73,IF($X108&lt;Input!$F$73,IF($X108&lt;Input!$E$73,IF($X108&lt;Input!$D$73,Input!$C$79,Input!$D$79),Input!$E$79),Input!$F$79),Input!$G$79),Input!$H$79)</f>
        <v>0</v>
      </c>
      <c r="AL108" s="190">
        <f>IF($A108&lt;Input!$H$80,IF($A108&lt;Input!$G$80,IF($A108&lt;Input!$F$80,IF($A108&lt;Input!$E$80,IF($A108&lt;Input!$D$80,Input!$C$81,Input!$D$81),Input!$E$81),Input!$F$81),Input!$G$81),Input!$H$81)</f>
        <v>0.9</v>
      </c>
      <c r="AM108" s="60">
        <f t="shared" si="49"/>
        <v>0</v>
      </c>
      <c r="AN108" s="60">
        <f t="shared" si="69"/>
        <v>31</v>
      </c>
      <c r="AO108" s="60">
        <f t="shared" si="50"/>
        <v>0</v>
      </c>
      <c r="AP108" s="60">
        <f>ROUND(AO108*AN108*Input!$C$3/365,0)</f>
        <v>0</v>
      </c>
      <c r="AQ108" s="61">
        <f>IF($A108&lt;=Input!$C$6,0,IF('120M'!AM108&lt;'120M'!AO108,'120M'!AM108-AP108,'120M'!AO108))</f>
        <v>0</v>
      </c>
      <c r="AR108" s="61">
        <f t="shared" si="51"/>
        <v>0</v>
      </c>
      <c r="AS108" s="60">
        <f t="shared" si="52"/>
        <v>0</v>
      </c>
      <c r="AT108" s="193"/>
      <c r="AU108" s="169">
        <v>104</v>
      </c>
      <c r="AV108" s="1">
        <f t="shared" si="70"/>
        <v>48684</v>
      </c>
      <c r="AW108" s="60">
        <f>IF($X108&lt;Input!$H$88,IF($X108&lt;Input!$G$88,IF($X108&lt;Input!$F$88,IF($X108&lt;Input!$E$88,IF($X108&lt;Input!$D$88,Input!$C$94,Input!$D$94),Input!$E$94),Input!$F$94),Input!$G$94),Input!$H$94)</f>
        <v>0</v>
      </c>
      <c r="AX108" s="190">
        <f>IF($A108&lt;Input!$H$95,IF($A108&lt;Input!$G$95,IF($A108&lt;Input!$F$95,IF($A108&lt;Input!$E$95,IF($A108&lt;Input!$D$95,Input!$C$96,Input!$D$96),Input!$E$96),Input!$F$96),Input!$G$96),Input!$H$96)</f>
        <v>0.9</v>
      </c>
      <c r="AY108" s="60">
        <f t="shared" si="53"/>
        <v>0</v>
      </c>
      <c r="AZ108" s="60">
        <f t="shared" si="71"/>
        <v>31</v>
      </c>
      <c r="BA108" s="60">
        <f t="shared" si="54"/>
        <v>0</v>
      </c>
      <c r="BB108" s="60">
        <f>ROUND(BA108*AZ108*Input!$C$3/365,0)</f>
        <v>0</v>
      </c>
      <c r="BC108" s="61">
        <f>IF($A108&lt;=Input!$C$6,0,IF('120M'!AY108&lt;'120M'!BA108,'120M'!AY108-BB108,'120M'!BA108))</f>
        <v>0</v>
      </c>
      <c r="BD108" s="61">
        <f t="shared" si="55"/>
        <v>0</v>
      </c>
      <c r="BE108" s="60">
        <f t="shared" si="56"/>
        <v>0</v>
      </c>
      <c r="BF108" s="193"/>
      <c r="BG108" s="169">
        <v>104</v>
      </c>
      <c r="BH108" s="1">
        <f t="shared" si="72"/>
        <v>48684</v>
      </c>
      <c r="BI108" s="60">
        <f>IF($X108&lt;Input!$H$103,IF($X108&lt;Input!$G$103,IF($X108&lt;Input!$F$103,IF($X108&lt;Input!$E$103,IF($X108&lt;Input!$D$103,Input!$C$109,Input!$D$109),Input!$E$109),Input!$F$109),Input!$G$109),Input!$H$109)</f>
        <v>0</v>
      </c>
      <c r="BJ108" s="190">
        <f>IF($A108&lt;Input!$H$110,IF($A108&lt;Input!$G$110,IF($A108&lt;Input!$F$110,IF($A108&lt;Input!$E$110,IF($A108&lt;Input!$D$110,Input!$C$111,Input!$D$111),Input!$E$111),Input!$F$111),Input!$G$111),Input!$H$111)</f>
        <v>0.9</v>
      </c>
      <c r="BK108" s="60">
        <f t="shared" si="57"/>
        <v>0</v>
      </c>
      <c r="BL108" s="60">
        <f t="shared" si="73"/>
        <v>31</v>
      </c>
      <c r="BM108" s="60">
        <f t="shared" si="58"/>
        <v>0</v>
      </c>
      <c r="BN108" s="60">
        <f>ROUND(BM108*BL108*Input!$C$3/365,0)</f>
        <v>0</v>
      </c>
      <c r="BO108" s="61">
        <f>IF($A108&lt;=Input!$C$6,0,IF('120M'!BK108&lt;'120M'!BM108,'120M'!BK108-BN108,'120M'!BM108))</f>
        <v>0</v>
      </c>
      <c r="BP108" s="61">
        <f t="shared" si="59"/>
        <v>0</v>
      </c>
      <c r="BQ108" s="60">
        <f t="shared" si="60"/>
        <v>0</v>
      </c>
      <c r="BR108" s="198"/>
    </row>
    <row r="109" spans="1:70" x14ac:dyDescent="0.25">
      <c r="A109" s="169">
        <v>105</v>
      </c>
      <c r="B109" s="1">
        <f t="shared" si="61"/>
        <v>48714</v>
      </c>
      <c r="C109" s="60">
        <f t="shared" si="39"/>
        <v>21781574.999999996</v>
      </c>
      <c r="D109" s="60">
        <f t="shared" si="40"/>
        <v>19603417.499999996</v>
      </c>
      <c r="E109" s="60">
        <f t="shared" si="62"/>
        <v>30</v>
      </c>
      <c r="F109" s="60">
        <f t="shared" si="63"/>
        <v>174581753</v>
      </c>
      <c r="G109" s="60">
        <f>ROUND(F109*E109*Input!$C$3/365,0)</f>
        <v>2152378</v>
      </c>
      <c r="H109" s="60">
        <f>IF($A109&lt;=Input!$C$6,0,IF('120M'!D109&lt;'120M'!F109,'120M'!D109-G109,'120M'!F109))</f>
        <v>17451039.499999996</v>
      </c>
      <c r="I109" s="60">
        <f t="shared" si="64"/>
        <v>19603417.499999996</v>
      </c>
      <c r="J109" s="60">
        <f t="shared" si="65"/>
        <v>157130713.5</v>
      </c>
      <c r="K109" s="202">
        <f>J109/Input!$K$5</f>
        <v>0.52376904499999999</v>
      </c>
      <c r="L109" s="232"/>
      <c r="M109" s="60">
        <f>IF($B109&lt;Input!$H$43,IF($B109&lt;Input!$G$43,IF($B109&lt;Input!$F$43,IF($B109&lt;Input!$E$43,IF($B109&lt;Input!$D$43,Input!$C$49,Input!$D$49),Input!$E$49),Input!$F$49),Input!$G$49),Input!$H$49)</f>
        <v>21781574.999999996</v>
      </c>
      <c r="N109" s="190">
        <f>IF($A109&lt;Input!$H$50,IF($A109&lt;Input!$G$50,IF($A109&lt;Input!$F$50,IF($A109&lt;Input!$E$50,IF($A109&lt;Input!$D$50,Input!$C$51,Input!$D$51),Input!$E$51),Input!$F$51),Input!$G$51),Input!$H$51)</f>
        <v>0.9</v>
      </c>
      <c r="O109" s="60">
        <f t="shared" si="74"/>
        <v>19603417.499999996</v>
      </c>
      <c r="P109" s="60">
        <f t="shared" si="75"/>
        <v>30</v>
      </c>
      <c r="Q109" s="60">
        <f t="shared" si="42"/>
        <v>174581753</v>
      </c>
      <c r="R109" s="60">
        <f>ROUND(Q109*$P109*Input!$C$3/365,0)</f>
        <v>2152378</v>
      </c>
      <c r="S109" s="60">
        <f>IF(A109&lt;=Input!$C$6,0,IF('120M'!O109&lt;'120M'!Q109,'120M'!O109-R109,'120M'!Q109))</f>
        <v>17451039.499999996</v>
      </c>
      <c r="T109" s="60">
        <f t="shared" si="43"/>
        <v>19603417.499999996</v>
      </c>
      <c r="U109" s="60">
        <f t="shared" si="44"/>
        <v>157130713.5</v>
      </c>
      <c r="V109" s="193"/>
      <c r="W109" s="169">
        <v>105</v>
      </c>
      <c r="X109" s="1">
        <f t="shared" si="66"/>
        <v>48714</v>
      </c>
      <c r="Y109" s="60">
        <f>IF($X109&lt;Input!$H$58,IF($X109&lt;Input!$G$58,IF($X109&lt;Input!$F$58,IF($X109&lt;Input!$E$58,IF($X109&lt;Input!$D$58,Input!$C$64,Input!$D$64),Input!$E$64),Input!$F$64),Input!$G$64),Input!$H$64)</f>
        <v>0</v>
      </c>
      <c r="Z109" s="190">
        <f>IF($A109&lt;Input!$H$65,IF($A109&lt;Input!$G$65,IF($A109&lt;Input!$F$65,IF($A109&lt;Input!$E$65,IF($A109&lt;Input!$D$65,Input!$C$66,Input!$D$66),Input!$E$66),Input!$F$66),Input!$G$66),Input!$H$66)</f>
        <v>0.9</v>
      </c>
      <c r="AA109" s="60">
        <f t="shared" si="45"/>
        <v>0</v>
      </c>
      <c r="AB109" s="60">
        <f t="shared" si="67"/>
        <v>30</v>
      </c>
      <c r="AC109" s="60">
        <f t="shared" si="46"/>
        <v>0</v>
      </c>
      <c r="AD109" s="60">
        <f>ROUND(AC109*AB109*Input!$C$3/365,0)</f>
        <v>0</v>
      </c>
      <c r="AE109" s="61">
        <f>IF($A109&lt;=Input!$C$6,0,IF('120M'!AA109&lt;'120M'!AC109,'120M'!AA109-AD109,'120M'!AC109))</f>
        <v>0</v>
      </c>
      <c r="AF109" s="61">
        <f t="shared" si="47"/>
        <v>0</v>
      </c>
      <c r="AG109" s="60">
        <f t="shared" si="48"/>
        <v>0</v>
      </c>
      <c r="AH109" s="193"/>
      <c r="AI109" s="169">
        <v>105</v>
      </c>
      <c r="AJ109" s="1">
        <f t="shared" si="68"/>
        <v>48714</v>
      </c>
      <c r="AK109" s="60">
        <f>IF($X109&lt;Input!$H$73,IF($X109&lt;Input!$G$73,IF($X109&lt;Input!$F$73,IF($X109&lt;Input!$E$73,IF($X109&lt;Input!$D$73,Input!$C$79,Input!$D$79),Input!$E$79),Input!$F$79),Input!$G$79),Input!$H$79)</f>
        <v>0</v>
      </c>
      <c r="AL109" s="190">
        <f>IF($A109&lt;Input!$H$80,IF($A109&lt;Input!$G$80,IF($A109&lt;Input!$F$80,IF($A109&lt;Input!$E$80,IF($A109&lt;Input!$D$80,Input!$C$81,Input!$D$81),Input!$E$81),Input!$F$81),Input!$G$81),Input!$H$81)</f>
        <v>0.9</v>
      </c>
      <c r="AM109" s="60">
        <f t="shared" si="49"/>
        <v>0</v>
      </c>
      <c r="AN109" s="60">
        <f t="shared" si="69"/>
        <v>30</v>
      </c>
      <c r="AO109" s="60">
        <f t="shared" si="50"/>
        <v>0</v>
      </c>
      <c r="AP109" s="60">
        <f>ROUND(AO109*AN109*Input!$C$3/365,0)</f>
        <v>0</v>
      </c>
      <c r="AQ109" s="61">
        <f>IF($A109&lt;=Input!$C$6,0,IF('120M'!AM109&lt;'120M'!AO109,'120M'!AM109-AP109,'120M'!AO109))</f>
        <v>0</v>
      </c>
      <c r="AR109" s="61">
        <f t="shared" si="51"/>
        <v>0</v>
      </c>
      <c r="AS109" s="60">
        <f t="shared" si="52"/>
        <v>0</v>
      </c>
      <c r="AT109" s="193"/>
      <c r="AU109" s="169">
        <v>105</v>
      </c>
      <c r="AV109" s="1">
        <f t="shared" si="70"/>
        <v>48714</v>
      </c>
      <c r="AW109" s="60">
        <f>IF($X109&lt;Input!$H$88,IF($X109&lt;Input!$G$88,IF($X109&lt;Input!$F$88,IF($X109&lt;Input!$E$88,IF($X109&lt;Input!$D$88,Input!$C$94,Input!$D$94),Input!$E$94),Input!$F$94),Input!$G$94),Input!$H$94)</f>
        <v>0</v>
      </c>
      <c r="AX109" s="190">
        <f>IF($A109&lt;Input!$H$95,IF($A109&lt;Input!$G$95,IF($A109&lt;Input!$F$95,IF($A109&lt;Input!$E$95,IF($A109&lt;Input!$D$95,Input!$C$96,Input!$D$96),Input!$E$96),Input!$F$96),Input!$G$96),Input!$H$96)</f>
        <v>0.9</v>
      </c>
      <c r="AY109" s="60">
        <f t="shared" si="53"/>
        <v>0</v>
      </c>
      <c r="AZ109" s="60">
        <f t="shared" si="71"/>
        <v>30</v>
      </c>
      <c r="BA109" s="60">
        <f t="shared" si="54"/>
        <v>0</v>
      </c>
      <c r="BB109" s="60">
        <f>ROUND(BA109*AZ109*Input!$C$3/365,0)</f>
        <v>0</v>
      </c>
      <c r="BC109" s="61">
        <f>IF($A109&lt;=Input!$C$6,0,IF('120M'!AY109&lt;'120M'!BA109,'120M'!AY109-BB109,'120M'!BA109))</f>
        <v>0</v>
      </c>
      <c r="BD109" s="61">
        <f t="shared" si="55"/>
        <v>0</v>
      </c>
      <c r="BE109" s="60">
        <f t="shared" si="56"/>
        <v>0</v>
      </c>
      <c r="BF109" s="193"/>
      <c r="BG109" s="169">
        <v>105</v>
      </c>
      <c r="BH109" s="1">
        <f t="shared" si="72"/>
        <v>48714</v>
      </c>
      <c r="BI109" s="60">
        <f>IF($X109&lt;Input!$H$103,IF($X109&lt;Input!$G$103,IF($X109&lt;Input!$F$103,IF($X109&lt;Input!$E$103,IF($X109&lt;Input!$D$103,Input!$C$109,Input!$D$109),Input!$E$109),Input!$F$109),Input!$G$109),Input!$H$109)</f>
        <v>0</v>
      </c>
      <c r="BJ109" s="190">
        <f>IF($A109&lt;Input!$H$110,IF($A109&lt;Input!$G$110,IF($A109&lt;Input!$F$110,IF($A109&lt;Input!$E$110,IF($A109&lt;Input!$D$110,Input!$C$111,Input!$D$111),Input!$E$111),Input!$F$111),Input!$G$111),Input!$H$111)</f>
        <v>0.9</v>
      </c>
      <c r="BK109" s="60">
        <f t="shared" si="57"/>
        <v>0</v>
      </c>
      <c r="BL109" s="60">
        <f t="shared" si="73"/>
        <v>30</v>
      </c>
      <c r="BM109" s="60">
        <f t="shared" si="58"/>
        <v>0</v>
      </c>
      <c r="BN109" s="60">
        <f>ROUND(BM109*BL109*Input!$C$3/365,0)</f>
        <v>0</v>
      </c>
      <c r="BO109" s="61">
        <f>IF($A109&lt;=Input!$C$6,0,IF('120M'!BK109&lt;'120M'!BM109,'120M'!BK109-BN109,'120M'!BM109))</f>
        <v>0</v>
      </c>
      <c r="BP109" s="61">
        <f t="shared" si="59"/>
        <v>0</v>
      </c>
      <c r="BQ109" s="60">
        <f t="shared" si="60"/>
        <v>0</v>
      </c>
      <c r="BR109" s="198"/>
    </row>
    <row r="110" spans="1:70" x14ac:dyDescent="0.25">
      <c r="A110" s="169">
        <v>106</v>
      </c>
      <c r="B110" s="1">
        <f t="shared" si="61"/>
        <v>48745</v>
      </c>
      <c r="C110" s="60">
        <f t="shared" si="39"/>
        <v>21781574.999999996</v>
      </c>
      <c r="D110" s="60">
        <f t="shared" si="40"/>
        <v>19603417.499999996</v>
      </c>
      <c r="E110" s="60">
        <f t="shared" si="62"/>
        <v>31</v>
      </c>
      <c r="F110" s="60">
        <f t="shared" si="63"/>
        <v>157130713.5</v>
      </c>
      <c r="G110" s="60">
        <f>ROUND(F110*E110*Input!$C$3/365,0)</f>
        <v>2001802</v>
      </c>
      <c r="H110" s="60">
        <f>IF($A110&lt;=Input!$C$6,0,IF('120M'!D110&lt;'120M'!F110,'120M'!D110-G110,'120M'!F110))</f>
        <v>17601615.499999996</v>
      </c>
      <c r="I110" s="60">
        <f t="shared" si="64"/>
        <v>19603417.499999996</v>
      </c>
      <c r="J110" s="60">
        <f t="shared" si="65"/>
        <v>139529098</v>
      </c>
      <c r="K110" s="202">
        <f>J110/Input!$K$5</f>
        <v>0.46509699333333332</v>
      </c>
      <c r="L110" s="232"/>
      <c r="M110" s="60">
        <f>IF($B110&lt;Input!$H$43,IF($B110&lt;Input!$G$43,IF($B110&lt;Input!$F$43,IF($B110&lt;Input!$E$43,IF($B110&lt;Input!$D$43,Input!$C$49,Input!$D$49),Input!$E$49),Input!$F$49),Input!$G$49),Input!$H$49)</f>
        <v>21781574.999999996</v>
      </c>
      <c r="N110" s="190">
        <f>IF($A110&lt;Input!$H$50,IF($A110&lt;Input!$G$50,IF($A110&lt;Input!$F$50,IF($A110&lt;Input!$E$50,IF($A110&lt;Input!$D$50,Input!$C$51,Input!$D$51),Input!$E$51),Input!$F$51),Input!$G$51),Input!$H$51)</f>
        <v>0.9</v>
      </c>
      <c r="O110" s="60">
        <f t="shared" si="74"/>
        <v>19603417.499999996</v>
      </c>
      <c r="P110" s="60">
        <f t="shared" si="75"/>
        <v>31</v>
      </c>
      <c r="Q110" s="60">
        <f t="shared" si="42"/>
        <v>157130713.5</v>
      </c>
      <c r="R110" s="60">
        <f>ROUND(Q110*$P110*Input!$C$3/365,0)</f>
        <v>2001802</v>
      </c>
      <c r="S110" s="60">
        <f>IF(A110&lt;=Input!$C$6,0,IF('120M'!O110&lt;'120M'!Q110,'120M'!O110-R110,'120M'!Q110))</f>
        <v>17601615.499999996</v>
      </c>
      <c r="T110" s="60">
        <f t="shared" si="43"/>
        <v>19603417.499999996</v>
      </c>
      <c r="U110" s="60">
        <f t="shared" si="44"/>
        <v>139529098</v>
      </c>
      <c r="V110" s="193"/>
      <c r="W110" s="169">
        <v>106</v>
      </c>
      <c r="X110" s="1">
        <f t="shared" si="66"/>
        <v>48745</v>
      </c>
      <c r="Y110" s="60">
        <f>IF($X110&lt;Input!$H$58,IF($X110&lt;Input!$G$58,IF($X110&lt;Input!$F$58,IF($X110&lt;Input!$E$58,IF($X110&lt;Input!$D$58,Input!$C$64,Input!$D$64),Input!$E$64),Input!$F$64),Input!$G$64),Input!$H$64)</f>
        <v>0</v>
      </c>
      <c r="Z110" s="190">
        <f>IF($A110&lt;Input!$H$65,IF($A110&lt;Input!$G$65,IF($A110&lt;Input!$F$65,IF($A110&lt;Input!$E$65,IF($A110&lt;Input!$D$65,Input!$C$66,Input!$D$66),Input!$E$66),Input!$F$66),Input!$G$66),Input!$H$66)</f>
        <v>0.9</v>
      </c>
      <c r="AA110" s="60">
        <f t="shared" si="45"/>
        <v>0</v>
      </c>
      <c r="AB110" s="60">
        <f t="shared" si="67"/>
        <v>31</v>
      </c>
      <c r="AC110" s="60">
        <f t="shared" si="46"/>
        <v>0</v>
      </c>
      <c r="AD110" s="60">
        <f>ROUND(AC110*AB110*Input!$C$3/365,0)</f>
        <v>0</v>
      </c>
      <c r="AE110" s="61">
        <f>IF($A110&lt;=Input!$C$6,0,IF('120M'!AA110&lt;'120M'!AC110,'120M'!AA110-AD110,'120M'!AC110))</f>
        <v>0</v>
      </c>
      <c r="AF110" s="61">
        <f t="shared" si="47"/>
        <v>0</v>
      </c>
      <c r="AG110" s="60">
        <f t="shared" si="48"/>
        <v>0</v>
      </c>
      <c r="AH110" s="193"/>
      <c r="AI110" s="169">
        <v>106</v>
      </c>
      <c r="AJ110" s="1">
        <f t="shared" si="68"/>
        <v>48745</v>
      </c>
      <c r="AK110" s="60">
        <f>IF($X110&lt;Input!$H$73,IF($X110&lt;Input!$G$73,IF($X110&lt;Input!$F$73,IF($X110&lt;Input!$E$73,IF($X110&lt;Input!$D$73,Input!$C$79,Input!$D$79),Input!$E$79),Input!$F$79),Input!$G$79),Input!$H$79)</f>
        <v>0</v>
      </c>
      <c r="AL110" s="190">
        <f>IF($A110&lt;Input!$H$80,IF($A110&lt;Input!$G$80,IF($A110&lt;Input!$F$80,IF($A110&lt;Input!$E$80,IF($A110&lt;Input!$D$80,Input!$C$81,Input!$D$81),Input!$E$81),Input!$F$81),Input!$G$81),Input!$H$81)</f>
        <v>0.9</v>
      </c>
      <c r="AM110" s="60">
        <f t="shared" si="49"/>
        <v>0</v>
      </c>
      <c r="AN110" s="60">
        <f t="shared" si="69"/>
        <v>31</v>
      </c>
      <c r="AO110" s="60">
        <f t="shared" si="50"/>
        <v>0</v>
      </c>
      <c r="AP110" s="60">
        <f>ROUND(AO110*AN110*Input!$C$3/365,0)</f>
        <v>0</v>
      </c>
      <c r="AQ110" s="61">
        <f>IF($A110&lt;=Input!$C$6,0,IF('120M'!AM110&lt;'120M'!AO110,'120M'!AM110-AP110,'120M'!AO110))</f>
        <v>0</v>
      </c>
      <c r="AR110" s="61">
        <f t="shared" si="51"/>
        <v>0</v>
      </c>
      <c r="AS110" s="60">
        <f t="shared" si="52"/>
        <v>0</v>
      </c>
      <c r="AT110" s="193"/>
      <c r="AU110" s="169">
        <v>106</v>
      </c>
      <c r="AV110" s="1">
        <f t="shared" si="70"/>
        <v>48745</v>
      </c>
      <c r="AW110" s="60">
        <f>IF($X110&lt;Input!$H$88,IF($X110&lt;Input!$G$88,IF($X110&lt;Input!$F$88,IF($X110&lt;Input!$E$88,IF($X110&lt;Input!$D$88,Input!$C$94,Input!$D$94),Input!$E$94),Input!$F$94),Input!$G$94),Input!$H$94)</f>
        <v>0</v>
      </c>
      <c r="AX110" s="190">
        <f>IF($A110&lt;Input!$H$95,IF($A110&lt;Input!$G$95,IF($A110&lt;Input!$F$95,IF($A110&lt;Input!$E$95,IF($A110&lt;Input!$D$95,Input!$C$96,Input!$D$96),Input!$E$96),Input!$F$96),Input!$G$96),Input!$H$96)</f>
        <v>0.9</v>
      </c>
      <c r="AY110" s="60">
        <f t="shared" si="53"/>
        <v>0</v>
      </c>
      <c r="AZ110" s="60">
        <f t="shared" si="71"/>
        <v>31</v>
      </c>
      <c r="BA110" s="60">
        <f t="shared" si="54"/>
        <v>0</v>
      </c>
      <c r="BB110" s="60">
        <f>ROUND(BA110*AZ110*Input!$C$3/365,0)</f>
        <v>0</v>
      </c>
      <c r="BC110" s="61">
        <f>IF($A110&lt;=Input!$C$6,0,IF('120M'!AY110&lt;'120M'!BA110,'120M'!AY110-BB110,'120M'!BA110))</f>
        <v>0</v>
      </c>
      <c r="BD110" s="61">
        <f t="shared" si="55"/>
        <v>0</v>
      </c>
      <c r="BE110" s="60">
        <f t="shared" si="56"/>
        <v>0</v>
      </c>
      <c r="BF110" s="193"/>
      <c r="BG110" s="169">
        <v>106</v>
      </c>
      <c r="BH110" s="1">
        <f t="shared" si="72"/>
        <v>48745</v>
      </c>
      <c r="BI110" s="60">
        <f>IF($X110&lt;Input!$H$103,IF($X110&lt;Input!$G$103,IF($X110&lt;Input!$F$103,IF($X110&lt;Input!$E$103,IF($X110&lt;Input!$D$103,Input!$C$109,Input!$D$109),Input!$E$109),Input!$F$109),Input!$G$109),Input!$H$109)</f>
        <v>0</v>
      </c>
      <c r="BJ110" s="190">
        <f>IF($A110&lt;Input!$H$110,IF($A110&lt;Input!$G$110,IF($A110&lt;Input!$F$110,IF($A110&lt;Input!$E$110,IF($A110&lt;Input!$D$110,Input!$C$111,Input!$D$111),Input!$E$111),Input!$F$111),Input!$G$111),Input!$H$111)</f>
        <v>0.9</v>
      </c>
      <c r="BK110" s="60">
        <f t="shared" si="57"/>
        <v>0</v>
      </c>
      <c r="BL110" s="60">
        <f t="shared" si="73"/>
        <v>31</v>
      </c>
      <c r="BM110" s="60">
        <f t="shared" si="58"/>
        <v>0</v>
      </c>
      <c r="BN110" s="60">
        <f>ROUND(BM110*BL110*Input!$C$3/365,0)</f>
        <v>0</v>
      </c>
      <c r="BO110" s="61">
        <f>IF($A110&lt;=Input!$C$6,0,IF('120M'!BK110&lt;'120M'!BM110,'120M'!BK110-BN110,'120M'!BM110))</f>
        <v>0</v>
      </c>
      <c r="BP110" s="61">
        <f t="shared" si="59"/>
        <v>0</v>
      </c>
      <c r="BQ110" s="60">
        <f t="shared" si="60"/>
        <v>0</v>
      </c>
      <c r="BR110" s="198"/>
    </row>
    <row r="111" spans="1:70" x14ac:dyDescent="0.25">
      <c r="A111" s="169">
        <v>107</v>
      </c>
      <c r="B111" s="1">
        <f t="shared" si="61"/>
        <v>48775</v>
      </c>
      <c r="C111" s="60">
        <f t="shared" si="39"/>
        <v>21781574.999999996</v>
      </c>
      <c r="D111" s="60">
        <f t="shared" si="40"/>
        <v>19603417.499999996</v>
      </c>
      <c r="E111" s="60">
        <f t="shared" si="62"/>
        <v>30</v>
      </c>
      <c r="F111" s="60">
        <f t="shared" si="63"/>
        <v>139529098</v>
      </c>
      <c r="G111" s="60">
        <f>ROUND(F111*E111*Input!$C$3/365,0)</f>
        <v>1720222</v>
      </c>
      <c r="H111" s="60">
        <f>IF($A111&lt;=Input!$C$6,0,IF('120M'!D111&lt;'120M'!F111,'120M'!D111-G111,'120M'!F111))</f>
        <v>17883195.499999996</v>
      </c>
      <c r="I111" s="60">
        <f t="shared" si="64"/>
        <v>19603417.499999996</v>
      </c>
      <c r="J111" s="60">
        <f t="shared" si="65"/>
        <v>121645902.5</v>
      </c>
      <c r="K111" s="202">
        <f>J111/Input!$K$5</f>
        <v>0.40548634166666669</v>
      </c>
      <c r="L111" s="232"/>
      <c r="M111" s="60">
        <f>IF($B111&lt;Input!$H$43,IF($B111&lt;Input!$G$43,IF($B111&lt;Input!$F$43,IF($B111&lt;Input!$E$43,IF($B111&lt;Input!$D$43,Input!$C$49,Input!$D$49),Input!$E$49),Input!$F$49),Input!$G$49),Input!$H$49)</f>
        <v>21781574.999999996</v>
      </c>
      <c r="N111" s="190">
        <f>IF($A111&lt;Input!$H$50,IF($A111&lt;Input!$G$50,IF($A111&lt;Input!$F$50,IF($A111&lt;Input!$E$50,IF($A111&lt;Input!$D$50,Input!$C$51,Input!$D$51),Input!$E$51),Input!$F$51),Input!$G$51),Input!$H$51)</f>
        <v>0.9</v>
      </c>
      <c r="O111" s="60">
        <f t="shared" si="74"/>
        <v>19603417.499999996</v>
      </c>
      <c r="P111" s="60">
        <f t="shared" si="75"/>
        <v>30</v>
      </c>
      <c r="Q111" s="60">
        <f t="shared" si="42"/>
        <v>139529098</v>
      </c>
      <c r="R111" s="60">
        <f>ROUND(Q111*$P111*Input!$C$3/365,0)</f>
        <v>1720222</v>
      </c>
      <c r="S111" s="60">
        <f>IF(A111&lt;=Input!$C$6,0,IF('120M'!O111&lt;'120M'!Q111,'120M'!O111-R111,'120M'!Q111))</f>
        <v>17883195.499999996</v>
      </c>
      <c r="T111" s="60">
        <f t="shared" si="43"/>
        <v>19603417.499999996</v>
      </c>
      <c r="U111" s="60">
        <f t="shared" si="44"/>
        <v>121645902.5</v>
      </c>
      <c r="V111" s="193"/>
      <c r="W111" s="169">
        <v>107</v>
      </c>
      <c r="X111" s="1">
        <f t="shared" si="66"/>
        <v>48775</v>
      </c>
      <c r="Y111" s="60">
        <f>IF($X111&lt;Input!$H$58,IF($X111&lt;Input!$G$58,IF($X111&lt;Input!$F$58,IF($X111&lt;Input!$E$58,IF($X111&lt;Input!$D$58,Input!$C$64,Input!$D$64),Input!$E$64),Input!$F$64),Input!$G$64),Input!$H$64)</f>
        <v>0</v>
      </c>
      <c r="Z111" s="190">
        <f>IF($A111&lt;Input!$H$65,IF($A111&lt;Input!$G$65,IF($A111&lt;Input!$F$65,IF($A111&lt;Input!$E$65,IF($A111&lt;Input!$D$65,Input!$C$66,Input!$D$66),Input!$E$66),Input!$F$66),Input!$G$66),Input!$H$66)</f>
        <v>0.9</v>
      </c>
      <c r="AA111" s="60">
        <f t="shared" si="45"/>
        <v>0</v>
      </c>
      <c r="AB111" s="60">
        <f t="shared" si="67"/>
        <v>30</v>
      </c>
      <c r="AC111" s="60">
        <f t="shared" si="46"/>
        <v>0</v>
      </c>
      <c r="AD111" s="60">
        <f>ROUND(AC111*AB111*Input!$C$3/365,0)</f>
        <v>0</v>
      </c>
      <c r="AE111" s="61">
        <f>IF($A111&lt;=Input!$C$6,0,IF('120M'!AA111&lt;'120M'!AC111,'120M'!AA111-AD111,'120M'!AC111))</f>
        <v>0</v>
      </c>
      <c r="AF111" s="61">
        <f t="shared" si="47"/>
        <v>0</v>
      </c>
      <c r="AG111" s="60">
        <f t="shared" si="48"/>
        <v>0</v>
      </c>
      <c r="AH111" s="193"/>
      <c r="AI111" s="169">
        <v>107</v>
      </c>
      <c r="AJ111" s="1">
        <f t="shared" si="68"/>
        <v>48775</v>
      </c>
      <c r="AK111" s="60">
        <f>IF($X111&lt;Input!$H$73,IF($X111&lt;Input!$G$73,IF($X111&lt;Input!$F$73,IF($X111&lt;Input!$E$73,IF($X111&lt;Input!$D$73,Input!$C$79,Input!$D$79),Input!$E$79),Input!$F$79),Input!$G$79),Input!$H$79)</f>
        <v>0</v>
      </c>
      <c r="AL111" s="190">
        <f>IF($A111&lt;Input!$H$80,IF($A111&lt;Input!$G$80,IF($A111&lt;Input!$F$80,IF($A111&lt;Input!$E$80,IF($A111&lt;Input!$D$80,Input!$C$81,Input!$D$81),Input!$E$81),Input!$F$81),Input!$G$81),Input!$H$81)</f>
        <v>0.9</v>
      </c>
      <c r="AM111" s="60">
        <f t="shared" si="49"/>
        <v>0</v>
      </c>
      <c r="AN111" s="60">
        <f t="shared" si="69"/>
        <v>30</v>
      </c>
      <c r="AO111" s="60">
        <f t="shared" si="50"/>
        <v>0</v>
      </c>
      <c r="AP111" s="60">
        <f>ROUND(AO111*AN111*Input!$C$3/365,0)</f>
        <v>0</v>
      </c>
      <c r="AQ111" s="61">
        <f>IF($A111&lt;=Input!$C$6,0,IF('120M'!AM111&lt;'120M'!AO111,'120M'!AM111-AP111,'120M'!AO111))</f>
        <v>0</v>
      </c>
      <c r="AR111" s="61">
        <f t="shared" si="51"/>
        <v>0</v>
      </c>
      <c r="AS111" s="60">
        <f t="shared" si="52"/>
        <v>0</v>
      </c>
      <c r="AT111" s="193"/>
      <c r="AU111" s="169">
        <v>107</v>
      </c>
      <c r="AV111" s="1">
        <f t="shared" si="70"/>
        <v>48775</v>
      </c>
      <c r="AW111" s="60">
        <f>IF($X111&lt;Input!$H$88,IF($X111&lt;Input!$G$88,IF($X111&lt;Input!$F$88,IF($X111&lt;Input!$E$88,IF($X111&lt;Input!$D$88,Input!$C$94,Input!$D$94),Input!$E$94),Input!$F$94),Input!$G$94),Input!$H$94)</f>
        <v>0</v>
      </c>
      <c r="AX111" s="190">
        <f>IF($A111&lt;Input!$H$95,IF($A111&lt;Input!$G$95,IF($A111&lt;Input!$F$95,IF($A111&lt;Input!$E$95,IF($A111&lt;Input!$D$95,Input!$C$96,Input!$D$96),Input!$E$96),Input!$F$96),Input!$G$96),Input!$H$96)</f>
        <v>0.9</v>
      </c>
      <c r="AY111" s="60">
        <f t="shared" si="53"/>
        <v>0</v>
      </c>
      <c r="AZ111" s="60">
        <f t="shared" si="71"/>
        <v>30</v>
      </c>
      <c r="BA111" s="60">
        <f t="shared" si="54"/>
        <v>0</v>
      </c>
      <c r="BB111" s="60">
        <f>ROUND(BA111*AZ111*Input!$C$3/365,0)</f>
        <v>0</v>
      </c>
      <c r="BC111" s="61">
        <f>IF($A111&lt;=Input!$C$6,0,IF('120M'!AY111&lt;'120M'!BA111,'120M'!AY111-BB111,'120M'!BA111))</f>
        <v>0</v>
      </c>
      <c r="BD111" s="61">
        <f t="shared" si="55"/>
        <v>0</v>
      </c>
      <c r="BE111" s="60">
        <f t="shared" si="56"/>
        <v>0</v>
      </c>
      <c r="BF111" s="193"/>
      <c r="BG111" s="169">
        <v>107</v>
      </c>
      <c r="BH111" s="1">
        <f t="shared" si="72"/>
        <v>48775</v>
      </c>
      <c r="BI111" s="60">
        <f>IF($X111&lt;Input!$H$103,IF($X111&lt;Input!$G$103,IF($X111&lt;Input!$F$103,IF($X111&lt;Input!$E$103,IF($X111&lt;Input!$D$103,Input!$C$109,Input!$D$109),Input!$E$109),Input!$F$109),Input!$G$109),Input!$H$109)</f>
        <v>0</v>
      </c>
      <c r="BJ111" s="190">
        <f>IF($A111&lt;Input!$H$110,IF($A111&lt;Input!$G$110,IF($A111&lt;Input!$F$110,IF($A111&lt;Input!$E$110,IF($A111&lt;Input!$D$110,Input!$C$111,Input!$D$111),Input!$E$111),Input!$F$111),Input!$G$111),Input!$H$111)</f>
        <v>0.9</v>
      </c>
      <c r="BK111" s="60">
        <f t="shared" si="57"/>
        <v>0</v>
      </c>
      <c r="BL111" s="60">
        <f t="shared" si="73"/>
        <v>30</v>
      </c>
      <c r="BM111" s="60">
        <f t="shared" si="58"/>
        <v>0</v>
      </c>
      <c r="BN111" s="60">
        <f>ROUND(BM111*BL111*Input!$C$3/365,0)</f>
        <v>0</v>
      </c>
      <c r="BO111" s="61">
        <f>IF($A111&lt;=Input!$C$6,0,IF('120M'!BK111&lt;'120M'!BM111,'120M'!BK111-BN111,'120M'!BM111))</f>
        <v>0</v>
      </c>
      <c r="BP111" s="61">
        <f t="shared" si="59"/>
        <v>0</v>
      </c>
      <c r="BQ111" s="60">
        <f t="shared" si="60"/>
        <v>0</v>
      </c>
      <c r="BR111" s="198"/>
    </row>
    <row r="112" spans="1:70" x14ac:dyDescent="0.25">
      <c r="A112" s="169">
        <v>108</v>
      </c>
      <c r="B112" s="1">
        <f t="shared" si="61"/>
        <v>48806</v>
      </c>
      <c r="C112" s="60">
        <f t="shared" si="39"/>
        <v>21781574.999999996</v>
      </c>
      <c r="D112" s="60">
        <f t="shared" si="40"/>
        <v>19603417.499999996</v>
      </c>
      <c r="E112" s="60">
        <f t="shared" si="62"/>
        <v>31</v>
      </c>
      <c r="F112" s="60">
        <f t="shared" si="63"/>
        <v>121645902.5</v>
      </c>
      <c r="G112" s="60">
        <f>ROUND(F112*E112*Input!$C$3/365,0)</f>
        <v>1549735</v>
      </c>
      <c r="H112" s="60">
        <f>IF($A112&lt;=Input!$C$6,0,IF('120M'!D112&lt;'120M'!F112,'120M'!D112-G112,'120M'!F112))</f>
        <v>18053682.499999996</v>
      </c>
      <c r="I112" s="60">
        <f t="shared" si="64"/>
        <v>19603417.499999996</v>
      </c>
      <c r="J112" s="60">
        <f t="shared" si="65"/>
        <v>103592220</v>
      </c>
      <c r="K112" s="202">
        <f>J112/Input!$K$5</f>
        <v>0.34530739999999999</v>
      </c>
      <c r="L112" s="232"/>
      <c r="M112" s="60">
        <f>IF($B112&lt;Input!$H$43,IF($B112&lt;Input!$G$43,IF($B112&lt;Input!$F$43,IF($B112&lt;Input!$E$43,IF($B112&lt;Input!$D$43,Input!$C$49,Input!$D$49),Input!$E$49),Input!$F$49),Input!$G$49),Input!$H$49)</f>
        <v>21781574.999999996</v>
      </c>
      <c r="N112" s="190">
        <f>IF($A112&lt;Input!$H$50,IF($A112&lt;Input!$G$50,IF($A112&lt;Input!$F$50,IF($A112&lt;Input!$E$50,IF($A112&lt;Input!$D$50,Input!$C$51,Input!$D$51),Input!$E$51),Input!$F$51),Input!$G$51),Input!$H$51)</f>
        <v>0.9</v>
      </c>
      <c r="O112" s="60">
        <f t="shared" si="74"/>
        <v>19603417.499999996</v>
      </c>
      <c r="P112" s="60">
        <f t="shared" si="75"/>
        <v>31</v>
      </c>
      <c r="Q112" s="60">
        <f t="shared" si="42"/>
        <v>121645902.5</v>
      </c>
      <c r="R112" s="60">
        <f>ROUND(Q112*$P112*Input!$C$3/365,0)</f>
        <v>1549735</v>
      </c>
      <c r="S112" s="60">
        <f>IF(A112&lt;=Input!$C$6,0,IF('120M'!O112&lt;'120M'!Q112,'120M'!O112-R112,'120M'!Q112))</f>
        <v>18053682.499999996</v>
      </c>
      <c r="T112" s="60">
        <f t="shared" si="43"/>
        <v>19603417.499999996</v>
      </c>
      <c r="U112" s="60">
        <f t="shared" si="44"/>
        <v>103592220</v>
      </c>
      <c r="V112" s="193"/>
      <c r="W112" s="169">
        <v>108</v>
      </c>
      <c r="X112" s="1">
        <f t="shared" si="66"/>
        <v>48806</v>
      </c>
      <c r="Y112" s="60">
        <f>IF($X112&lt;Input!$H$58,IF($X112&lt;Input!$G$58,IF($X112&lt;Input!$F$58,IF($X112&lt;Input!$E$58,IF($X112&lt;Input!$D$58,Input!$C$64,Input!$D$64),Input!$E$64),Input!$F$64),Input!$G$64),Input!$H$64)</f>
        <v>0</v>
      </c>
      <c r="Z112" s="190">
        <f>IF($A112&lt;Input!$H$65,IF($A112&lt;Input!$G$65,IF($A112&lt;Input!$F$65,IF($A112&lt;Input!$E$65,IF($A112&lt;Input!$D$65,Input!$C$66,Input!$D$66),Input!$E$66),Input!$F$66),Input!$G$66),Input!$H$66)</f>
        <v>0.9</v>
      </c>
      <c r="AA112" s="60">
        <f t="shared" si="45"/>
        <v>0</v>
      </c>
      <c r="AB112" s="60">
        <f t="shared" si="67"/>
        <v>31</v>
      </c>
      <c r="AC112" s="60">
        <f t="shared" si="46"/>
        <v>0</v>
      </c>
      <c r="AD112" s="60">
        <f>ROUND(AC112*AB112*Input!$C$3/365,0)</f>
        <v>0</v>
      </c>
      <c r="AE112" s="61">
        <f>IF($A112&lt;=Input!$C$6,0,IF('120M'!AA112&lt;'120M'!AC112,'120M'!AA112-AD112,'120M'!AC112))</f>
        <v>0</v>
      </c>
      <c r="AF112" s="61">
        <f t="shared" si="47"/>
        <v>0</v>
      </c>
      <c r="AG112" s="60">
        <f t="shared" si="48"/>
        <v>0</v>
      </c>
      <c r="AH112" s="193"/>
      <c r="AI112" s="169">
        <v>108</v>
      </c>
      <c r="AJ112" s="1">
        <f t="shared" si="68"/>
        <v>48806</v>
      </c>
      <c r="AK112" s="60">
        <f>IF($X112&lt;Input!$H$73,IF($X112&lt;Input!$G$73,IF($X112&lt;Input!$F$73,IF($X112&lt;Input!$E$73,IF($X112&lt;Input!$D$73,Input!$C$79,Input!$D$79),Input!$E$79),Input!$F$79),Input!$G$79),Input!$H$79)</f>
        <v>0</v>
      </c>
      <c r="AL112" s="190">
        <f>IF($A112&lt;Input!$H$80,IF($A112&lt;Input!$G$80,IF($A112&lt;Input!$F$80,IF($A112&lt;Input!$E$80,IF($A112&lt;Input!$D$80,Input!$C$81,Input!$D$81),Input!$E$81),Input!$F$81),Input!$G$81),Input!$H$81)</f>
        <v>0.9</v>
      </c>
      <c r="AM112" s="60">
        <f t="shared" si="49"/>
        <v>0</v>
      </c>
      <c r="AN112" s="60">
        <f t="shared" si="69"/>
        <v>31</v>
      </c>
      <c r="AO112" s="60">
        <f t="shared" si="50"/>
        <v>0</v>
      </c>
      <c r="AP112" s="60">
        <f>ROUND(AO112*AN112*Input!$C$3/365,0)</f>
        <v>0</v>
      </c>
      <c r="AQ112" s="61">
        <f>IF($A112&lt;=Input!$C$6,0,IF('120M'!AM112&lt;'120M'!AO112,'120M'!AM112-AP112,'120M'!AO112))</f>
        <v>0</v>
      </c>
      <c r="AR112" s="61">
        <f t="shared" si="51"/>
        <v>0</v>
      </c>
      <c r="AS112" s="60">
        <f t="shared" si="52"/>
        <v>0</v>
      </c>
      <c r="AT112" s="193"/>
      <c r="AU112" s="169">
        <v>108</v>
      </c>
      <c r="AV112" s="1">
        <f t="shared" si="70"/>
        <v>48806</v>
      </c>
      <c r="AW112" s="60">
        <f>IF($X112&lt;Input!$H$88,IF($X112&lt;Input!$G$88,IF($X112&lt;Input!$F$88,IF($X112&lt;Input!$E$88,IF($X112&lt;Input!$D$88,Input!$C$94,Input!$D$94),Input!$E$94),Input!$F$94),Input!$G$94),Input!$H$94)</f>
        <v>0</v>
      </c>
      <c r="AX112" s="190">
        <f>IF($A112&lt;Input!$H$95,IF($A112&lt;Input!$G$95,IF($A112&lt;Input!$F$95,IF($A112&lt;Input!$E$95,IF($A112&lt;Input!$D$95,Input!$C$96,Input!$D$96),Input!$E$96),Input!$F$96),Input!$G$96),Input!$H$96)</f>
        <v>0.9</v>
      </c>
      <c r="AY112" s="60">
        <f t="shared" si="53"/>
        <v>0</v>
      </c>
      <c r="AZ112" s="60">
        <f t="shared" si="71"/>
        <v>31</v>
      </c>
      <c r="BA112" s="60">
        <f t="shared" si="54"/>
        <v>0</v>
      </c>
      <c r="BB112" s="60">
        <f>ROUND(BA112*AZ112*Input!$C$3/365,0)</f>
        <v>0</v>
      </c>
      <c r="BC112" s="61">
        <f>IF($A112&lt;=Input!$C$6,0,IF('120M'!AY112&lt;'120M'!BA112,'120M'!AY112-BB112,'120M'!BA112))</f>
        <v>0</v>
      </c>
      <c r="BD112" s="61">
        <f t="shared" si="55"/>
        <v>0</v>
      </c>
      <c r="BE112" s="60">
        <f t="shared" si="56"/>
        <v>0</v>
      </c>
      <c r="BF112" s="193"/>
      <c r="BG112" s="169">
        <v>108</v>
      </c>
      <c r="BH112" s="1">
        <f t="shared" si="72"/>
        <v>48806</v>
      </c>
      <c r="BI112" s="60">
        <f>IF($X112&lt;Input!$H$103,IF($X112&lt;Input!$G$103,IF($X112&lt;Input!$F$103,IF($X112&lt;Input!$E$103,IF($X112&lt;Input!$D$103,Input!$C$109,Input!$D$109),Input!$E$109),Input!$F$109),Input!$G$109),Input!$H$109)</f>
        <v>0</v>
      </c>
      <c r="BJ112" s="190">
        <f>IF($A112&lt;Input!$H$110,IF($A112&lt;Input!$G$110,IF($A112&lt;Input!$F$110,IF($A112&lt;Input!$E$110,IF($A112&lt;Input!$D$110,Input!$C$111,Input!$D$111),Input!$E$111),Input!$F$111),Input!$G$111),Input!$H$111)</f>
        <v>0.9</v>
      </c>
      <c r="BK112" s="60">
        <f t="shared" si="57"/>
        <v>0</v>
      </c>
      <c r="BL112" s="60">
        <f t="shared" si="73"/>
        <v>31</v>
      </c>
      <c r="BM112" s="60">
        <f t="shared" si="58"/>
        <v>0</v>
      </c>
      <c r="BN112" s="60">
        <f>ROUND(BM112*BL112*Input!$C$3/365,0)</f>
        <v>0</v>
      </c>
      <c r="BO112" s="61">
        <f>IF($A112&lt;=Input!$C$6,0,IF('120M'!BK112&lt;'120M'!BM112,'120M'!BK112-BN112,'120M'!BM112))</f>
        <v>0</v>
      </c>
      <c r="BP112" s="61">
        <f t="shared" si="59"/>
        <v>0</v>
      </c>
      <c r="BQ112" s="60">
        <f t="shared" si="60"/>
        <v>0</v>
      </c>
      <c r="BR112" s="198"/>
    </row>
    <row r="113" spans="1:70" x14ac:dyDescent="0.25">
      <c r="A113" s="169">
        <v>109</v>
      </c>
      <c r="B113" s="1">
        <f t="shared" si="61"/>
        <v>48837</v>
      </c>
      <c r="C113" s="60">
        <f t="shared" si="39"/>
        <v>33127052.878124986</v>
      </c>
      <c r="D113" s="60">
        <f t="shared" si="40"/>
        <v>29814347.590312488</v>
      </c>
      <c r="E113" s="60">
        <f t="shared" si="62"/>
        <v>31</v>
      </c>
      <c r="F113" s="60">
        <f t="shared" si="63"/>
        <v>103592220</v>
      </c>
      <c r="G113" s="60">
        <f>ROUND(F113*E113*Input!$C$3/365,0)</f>
        <v>1319737</v>
      </c>
      <c r="H113" s="60">
        <f>IF($A113&lt;=Input!$C$6,0,IF('120M'!D113&lt;'120M'!F113,'120M'!D113-G113,'120M'!F113))</f>
        <v>28494610.590312488</v>
      </c>
      <c r="I113" s="60">
        <f t="shared" si="64"/>
        <v>29814347.590312488</v>
      </c>
      <c r="J113" s="60">
        <f t="shared" si="65"/>
        <v>75097609.409687519</v>
      </c>
      <c r="K113" s="202">
        <f>J113/Input!$K$5</f>
        <v>0.25032536469895839</v>
      </c>
      <c r="L113" s="232"/>
      <c r="M113" s="60">
        <f>IF($B113&lt;Input!$H$43,IF($B113&lt;Input!$G$43,IF($B113&lt;Input!$F$43,IF($B113&lt;Input!$E$43,IF($B113&lt;Input!$D$43,Input!$C$49,Input!$D$49),Input!$E$49),Input!$F$49),Input!$G$49),Input!$H$49)</f>
        <v>33127052.878124986</v>
      </c>
      <c r="N113" s="190">
        <f>IF($A113&lt;Input!$H$50,IF($A113&lt;Input!$G$50,IF($A113&lt;Input!$F$50,IF($A113&lt;Input!$E$50,IF($A113&lt;Input!$D$50,Input!$C$51,Input!$D$51),Input!$E$51),Input!$F$51),Input!$G$51),Input!$H$51)</f>
        <v>0.9</v>
      </c>
      <c r="O113" s="60">
        <f t="shared" si="74"/>
        <v>29814347.590312488</v>
      </c>
      <c r="P113" s="60">
        <f t="shared" si="75"/>
        <v>31</v>
      </c>
      <c r="Q113" s="60">
        <f t="shared" si="42"/>
        <v>103592220</v>
      </c>
      <c r="R113" s="60">
        <f>ROUND(Q113*$P113*Input!$C$3/365,0)</f>
        <v>1319737</v>
      </c>
      <c r="S113" s="60">
        <f>IF(A113&lt;=Input!$C$6,0,IF('120M'!O113&lt;'120M'!Q113,'120M'!O113-R113,'120M'!Q113))</f>
        <v>28494610.590312488</v>
      </c>
      <c r="T113" s="60">
        <f t="shared" si="43"/>
        <v>29814347.590312488</v>
      </c>
      <c r="U113" s="60">
        <f t="shared" si="44"/>
        <v>75097609.409687519</v>
      </c>
      <c r="V113" s="193"/>
      <c r="W113" s="169">
        <v>109</v>
      </c>
      <c r="X113" s="1">
        <f t="shared" si="66"/>
        <v>48837</v>
      </c>
      <c r="Y113" s="60">
        <f>IF($X113&lt;Input!$H$58,IF($X113&lt;Input!$G$58,IF($X113&lt;Input!$F$58,IF($X113&lt;Input!$E$58,IF($X113&lt;Input!$D$58,Input!$C$64,Input!$D$64),Input!$E$64),Input!$F$64),Input!$G$64),Input!$H$64)</f>
        <v>0</v>
      </c>
      <c r="Z113" s="190">
        <f>IF($A113&lt;Input!$H$65,IF($A113&lt;Input!$G$65,IF($A113&lt;Input!$F$65,IF($A113&lt;Input!$E$65,IF($A113&lt;Input!$D$65,Input!$C$66,Input!$D$66),Input!$E$66),Input!$F$66),Input!$G$66),Input!$H$66)</f>
        <v>0.9</v>
      </c>
      <c r="AA113" s="60">
        <f t="shared" si="45"/>
        <v>0</v>
      </c>
      <c r="AB113" s="60">
        <f t="shared" si="67"/>
        <v>31</v>
      </c>
      <c r="AC113" s="60">
        <f t="shared" si="46"/>
        <v>0</v>
      </c>
      <c r="AD113" s="60">
        <f>ROUND(AC113*AB113*Input!$C$3/365,0)</f>
        <v>0</v>
      </c>
      <c r="AE113" s="61">
        <f>IF($A113&lt;=Input!$C$6,0,IF('120M'!AA113&lt;'120M'!AC113,'120M'!AA113-AD113,'120M'!AC113))</f>
        <v>0</v>
      </c>
      <c r="AF113" s="61">
        <f t="shared" si="47"/>
        <v>0</v>
      </c>
      <c r="AG113" s="60">
        <f t="shared" si="48"/>
        <v>0</v>
      </c>
      <c r="AH113" s="193"/>
      <c r="AI113" s="169">
        <v>109</v>
      </c>
      <c r="AJ113" s="1">
        <f t="shared" si="68"/>
        <v>48837</v>
      </c>
      <c r="AK113" s="60">
        <f>IF($X113&lt;Input!$H$73,IF($X113&lt;Input!$G$73,IF($X113&lt;Input!$F$73,IF($X113&lt;Input!$E$73,IF($X113&lt;Input!$D$73,Input!$C$79,Input!$D$79),Input!$E$79),Input!$F$79),Input!$G$79),Input!$H$79)</f>
        <v>0</v>
      </c>
      <c r="AL113" s="190">
        <f>IF($A113&lt;Input!$H$80,IF($A113&lt;Input!$G$80,IF($A113&lt;Input!$F$80,IF($A113&lt;Input!$E$80,IF($A113&lt;Input!$D$80,Input!$C$81,Input!$D$81),Input!$E$81),Input!$F$81),Input!$G$81),Input!$H$81)</f>
        <v>0.9</v>
      </c>
      <c r="AM113" s="60">
        <f t="shared" si="49"/>
        <v>0</v>
      </c>
      <c r="AN113" s="60">
        <f t="shared" si="69"/>
        <v>31</v>
      </c>
      <c r="AO113" s="60">
        <f t="shared" si="50"/>
        <v>0</v>
      </c>
      <c r="AP113" s="60">
        <f>ROUND(AO113*AN113*Input!$C$3/365,0)</f>
        <v>0</v>
      </c>
      <c r="AQ113" s="61">
        <f>IF($A113&lt;=Input!$C$6,0,IF('120M'!AM113&lt;'120M'!AO113,'120M'!AM113-AP113,'120M'!AO113))</f>
        <v>0</v>
      </c>
      <c r="AR113" s="61">
        <f t="shared" si="51"/>
        <v>0</v>
      </c>
      <c r="AS113" s="60">
        <f t="shared" si="52"/>
        <v>0</v>
      </c>
      <c r="AT113" s="193"/>
      <c r="AU113" s="169">
        <v>109</v>
      </c>
      <c r="AV113" s="1">
        <f t="shared" si="70"/>
        <v>48837</v>
      </c>
      <c r="AW113" s="60">
        <f>IF($X113&lt;Input!$H$88,IF($X113&lt;Input!$G$88,IF($X113&lt;Input!$F$88,IF($X113&lt;Input!$E$88,IF($X113&lt;Input!$D$88,Input!$C$94,Input!$D$94),Input!$E$94),Input!$F$94),Input!$G$94),Input!$H$94)</f>
        <v>0</v>
      </c>
      <c r="AX113" s="190">
        <f>IF($A113&lt;Input!$H$95,IF($A113&lt;Input!$G$95,IF($A113&lt;Input!$F$95,IF($A113&lt;Input!$E$95,IF($A113&lt;Input!$D$95,Input!$C$96,Input!$D$96),Input!$E$96),Input!$F$96),Input!$G$96),Input!$H$96)</f>
        <v>0.9</v>
      </c>
      <c r="AY113" s="60">
        <f t="shared" si="53"/>
        <v>0</v>
      </c>
      <c r="AZ113" s="60">
        <f t="shared" si="71"/>
        <v>31</v>
      </c>
      <c r="BA113" s="60">
        <f t="shared" si="54"/>
        <v>0</v>
      </c>
      <c r="BB113" s="60">
        <f>ROUND(BA113*AZ113*Input!$C$3/365,0)</f>
        <v>0</v>
      </c>
      <c r="BC113" s="61">
        <f>IF($A113&lt;=Input!$C$6,0,IF('120M'!AY113&lt;'120M'!BA113,'120M'!AY113-BB113,'120M'!BA113))</f>
        <v>0</v>
      </c>
      <c r="BD113" s="61">
        <f t="shared" si="55"/>
        <v>0</v>
      </c>
      <c r="BE113" s="60">
        <f t="shared" si="56"/>
        <v>0</v>
      </c>
      <c r="BF113" s="193"/>
      <c r="BG113" s="169">
        <v>109</v>
      </c>
      <c r="BH113" s="1">
        <f t="shared" si="72"/>
        <v>48837</v>
      </c>
      <c r="BI113" s="60">
        <f>IF($X113&lt;Input!$H$103,IF($X113&lt;Input!$G$103,IF($X113&lt;Input!$F$103,IF($X113&lt;Input!$E$103,IF($X113&lt;Input!$D$103,Input!$C$109,Input!$D$109),Input!$E$109),Input!$F$109),Input!$G$109),Input!$H$109)</f>
        <v>0</v>
      </c>
      <c r="BJ113" s="190">
        <f>IF($A113&lt;Input!$H$110,IF($A113&lt;Input!$G$110,IF($A113&lt;Input!$F$110,IF($A113&lt;Input!$E$110,IF($A113&lt;Input!$D$110,Input!$C$111,Input!$D$111),Input!$E$111),Input!$F$111),Input!$G$111),Input!$H$111)</f>
        <v>0.9</v>
      </c>
      <c r="BK113" s="60">
        <f t="shared" si="57"/>
        <v>0</v>
      </c>
      <c r="BL113" s="60">
        <f t="shared" si="73"/>
        <v>31</v>
      </c>
      <c r="BM113" s="60">
        <f t="shared" si="58"/>
        <v>0</v>
      </c>
      <c r="BN113" s="60">
        <f>ROUND(BM113*BL113*Input!$C$3/365,0)</f>
        <v>0</v>
      </c>
      <c r="BO113" s="61">
        <f>IF($A113&lt;=Input!$C$6,0,IF('120M'!BK113&lt;'120M'!BM113,'120M'!BK113-BN113,'120M'!BM113))</f>
        <v>0</v>
      </c>
      <c r="BP113" s="61">
        <f t="shared" si="59"/>
        <v>0</v>
      </c>
      <c r="BQ113" s="60">
        <f t="shared" si="60"/>
        <v>0</v>
      </c>
      <c r="BR113" s="198"/>
    </row>
    <row r="114" spans="1:70" x14ac:dyDescent="0.25">
      <c r="A114" s="169">
        <v>110</v>
      </c>
      <c r="B114" s="1">
        <f t="shared" si="61"/>
        <v>48867</v>
      </c>
      <c r="C114" s="60">
        <f t="shared" si="39"/>
        <v>33127052.878124986</v>
      </c>
      <c r="D114" s="60">
        <f t="shared" si="40"/>
        <v>29814347.590312488</v>
      </c>
      <c r="E114" s="60">
        <f t="shared" si="62"/>
        <v>30</v>
      </c>
      <c r="F114" s="60">
        <f t="shared" si="63"/>
        <v>75097609.409687519</v>
      </c>
      <c r="G114" s="60">
        <f>ROUND(F114*E114*Input!$C$3/365,0)</f>
        <v>925861</v>
      </c>
      <c r="H114" s="60">
        <f>IF($A114&lt;=Input!$C$6,0,IF('120M'!D114&lt;'120M'!F114,'120M'!D114-G114,'120M'!F114))</f>
        <v>28888486.590312488</v>
      </c>
      <c r="I114" s="60">
        <f t="shared" si="64"/>
        <v>29814347.590312488</v>
      </c>
      <c r="J114" s="60">
        <f t="shared" si="65"/>
        <v>46209122.819375031</v>
      </c>
      <c r="K114" s="202">
        <f>J114/Input!$K$5</f>
        <v>0.15403040939791676</v>
      </c>
      <c r="L114" s="232"/>
      <c r="M114" s="60">
        <f>IF($B114&lt;Input!$H$43,IF($B114&lt;Input!$G$43,IF($B114&lt;Input!$F$43,IF($B114&lt;Input!$E$43,IF($B114&lt;Input!$D$43,Input!$C$49,Input!$D$49),Input!$E$49),Input!$F$49),Input!$G$49),Input!$H$49)</f>
        <v>33127052.878124986</v>
      </c>
      <c r="N114" s="190">
        <f>IF($A114&lt;Input!$H$50,IF($A114&lt;Input!$G$50,IF($A114&lt;Input!$F$50,IF($A114&lt;Input!$E$50,IF($A114&lt;Input!$D$50,Input!$C$51,Input!$D$51),Input!$E$51),Input!$F$51),Input!$G$51),Input!$H$51)</f>
        <v>0.9</v>
      </c>
      <c r="O114" s="60">
        <f t="shared" si="74"/>
        <v>29814347.590312488</v>
      </c>
      <c r="P114" s="60">
        <f t="shared" si="75"/>
        <v>30</v>
      </c>
      <c r="Q114" s="60">
        <f t="shared" si="42"/>
        <v>75097609.409687519</v>
      </c>
      <c r="R114" s="60">
        <f>ROUND(Q114*$P114*Input!$C$3/365,0)</f>
        <v>925861</v>
      </c>
      <c r="S114" s="60">
        <f>IF(A114&lt;=Input!$C$6,0,IF('120M'!O114&lt;'120M'!Q114,'120M'!O114-R114,'120M'!Q114))</f>
        <v>28888486.590312488</v>
      </c>
      <c r="T114" s="60">
        <f t="shared" si="43"/>
        <v>29814347.590312488</v>
      </c>
      <c r="U114" s="60">
        <f t="shared" si="44"/>
        <v>46209122.819375031</v>
      </c>
      <c r="V114" s="193"/>
      <c r="W114" s="169">
        <v>110</v>
      </c>
      <c r="X114" s="1">
        <f t="shared" si="66"/>
        <v>48867</v>
      </c>
      <c r="Y114" s="60">
        <f>IF($X114&lt;Input!$H$58,IF($X114&lt;Input!$G$58,IF($X114&lt;Input!$F$58,IF($X114&lt;Input!$E$58,IF($X114&lt;Input!$D$58,Input!$C$64,Input!$D$64),Input!$E$64),Input!$F$64),Input!$G$64),Input!$H$64)</f>
        <v>0</v>
      </c>
      <c r="Z114" s="190">
        <f>IF($A114&lt;Input!$H$65,IF($A114&lt;Input!$G$65,IF($A114&lt;Input!$F$65,IF($A114&lt;Input!$E$65,IF($A114&lt;Input!$D$65,Input!$C$66,Input!$D$66),Input!$E$66),Input!$F$66),Input!$G$66),Input!$H$66)</f>
        <v>0.9</v>
      </c>
      <c r="AA114" s="60">
        <f t="shared" si="45"/>
        <v>0</v>
      </c>
      <c r="AB114" s="60">
        <f t="shared" si="67"/>
        <v>30</v>
      </c>
      <c r="AC114" s="60">
        <f t="shared" si="46"/>
        <v>0</v>
      </c>
      <c r="AD114" s="60">
        <f>ROUND(AC114*AB114*Input!$C$3/365,0)</f>
        <v>0</v>
      </c>
      <c r="AE114" s="61">
        <f>IF($A114&lt;=Input!$C$6,0,IF('120M'!AA114&lt;'120M'!AC114,'120M'!AA114-AD114,'120M'!AC114))</f>
        <v>0</v>
      </c>
      <c r="AF114" s="61">
        <f t="shared" si="47"/>
        <v>0</v>
      </c>
      <c r="AG114" s="60">
        <f t="shared" si="48"/>
        <v>0</v>
      </c>
      <c r="AH114" s="193"/>
      <c r="AI114" s="169">
        <v>110</v>
      </c>
      <c r="AJ114" s="1">
        <f t="shared" si="68"/>
        <v>48867</v>
      </c>
      <c r="AK114" s="60">
        <f>IF($X114&lt;Input!$H$73,IF($X114&lt;Input!$G$73,IF($X114&lt;Input!$F$73,IF($X114&lt;Input!$E$73,IF($X114&lt;Input!$D$73,Input!$C$79,Input!$D$79),Input!$E$79),Input!$F$79),Input!$G$79),Input!$H$79)</f>
        <v>0</v>
      </c>
      <c r="AL114" s="190">
        <f>IF($A114&lt;Input!$H$80,IF($A114&lt;Input!$G$80,IF($A114&lt;Input!$F$80,IF($A114&lt;Input!$E$80,IF($A114&lt;Input!$D$80,Input!$C$81,Input!$D$81),Input!$E$81),Input!$F$81),Input!$G$81),Input!$H$81)</f>
        <v>0.9</v>
      </c>
      <c r="AM114" s="60">
        <f t="shared" si="49"/>
        <v>0</v>
      </c>
      <c r="AN114" s="60">
        <f t="shared" si="69"/>
        <v>30</v>
      </c>
      <c r="AO114" s="60">
        <f t="shared" si="50"/>
        <v>0</v>
      </c>
      <c r="AP114" s="60">
        <f>ROUND(AO114*AN114*Input!$C$3/365,0)</f>
        <v>0</v>
      </c>
      <c r="AQ114" s="61">
        <f>IF($A114&lt;=Input!$C$6,0,IF('120M'!AM114&lt;'120M'!AO114,'120M'!AM114-AP114,'120M'!AO114))</f>
        <v>0</v>
      </c>
      <c r="AR114" s="61">
        <f t="shared" si="51"/>
        <v>0</v>
      </c>
      <c r="AS114" s="60">
        <f t="shared" si="52"/>
        <v>0</v>
      </c>
      <c r="AT114" s="193"/>
      <c r="AU114" s="169">
        <v>110</v>
      </c>
      <c r="AV114" s="1">
        <f t="shared" si="70"/>
        <v>48867</v>
      </c>
      <c r="AW114" s="60">
        <f>IF($X114&lt;Input!$H$88,IF($X114&lt;Input!$G$88,IF($X114&lt;Input!$F$88,IF($X114&lt;Input!$E$88,IF($X114&lt;Input!$D$88,Input!$C$94,Input!$D$94),Input!$E$94),Input!$F$94),Input!$G$94),Input!$H$94)</f>
        <v>0</v>
      </c>
      <c r="AX114" s="190">
        <f>IF($A114&lt;Input!$H$95,IF($A114&lt;Input!$G$95,IF($A114&lt;Input!$F$95,IF($A114&lt;Input!$E$95,IF($A114&lt;Input!$D$95,Input!$C$96,Input!$D$96),Input!$E$96),Input!$F$96),Input!$G$96),Input!$H$96)</f>
        <v>0.9</v>
      </c>
      <c r="AY114" s="60">
        <f t="shared" si="53"/>
        <v>0</v>
      </c>
      <c r="AZ114" s="60">
        <f t="shared" si="71"/>
        <v>30</v>
      </c>
      <c r="BA114" s="60">
        <f t="shared" si="54"/>
        <v>0</v>
      </c>
      <c r="BB114" s="60">
        <f>ROUND(BA114*AZ114*Input!$C$3/365,0)</f>
        <v>0</v>
      </c>
      <c r="BC114" s="61">
        <f>IF($A114&lt;=Input!$C$6,0,IF('120M'!AY114&lt;'120M'!BA114,'120M'!AY114-BB114,'120M'!BA114))</f>
        <v>0</v>
      </c>
      <c r="BD114" s="61">
        <f t="shared" si="55"/>
        <v>0</v>
      </c>
      <c r="BE114" s="60">
        <f t="shared" si="56"/>
        <v>0</v>
      </c>
      <c r="BF114" s="193"/>
      <c r="BG114" s="169">
        <v>110</v>
      </c>
      <c r="BH114" s="1">
        <f t="shared" si="72"/>
        <v>48867</v>
      </c>
      <c r="BI114" s="60">
        <f>IF($X114&lt;Input!$H$103,IF($X114&lt;Input!$G$103,IF($X114&lt;Input!$F$103,IF($X114&lt;Input!$E$103,IF($X114&lt;Input!$D$103,Input!$C$109,Input!$D$109),Input!$E$109),Input!$F$109),Input!$G$109),Input!$H$109)</f>
        <v>0</v>
      </c>
      <c r="BJ114" s="190">
        <f>IF($A114&lt;Input!$H$110,IF($A114&lt;Input!$G$110,IF($A114&lt;Input!$F$110,IF($A114&lt;Input!$E$110,IF($A114&lt;Input!$D$110,Input!$C$111,Input!$D$111),Input!$E$111),Input!$F$111),Input!$G$111),Input!$H$111)</f>
        <v>0.9</v>
      </c>
      <c r="BK114" s="60">
        <f t="shared" si="57"/>
        <v>0</v>
      </c>
      <c r="BL114" s="60">
        <f t="shared" si="73"/>
        <v>30</v>
      </c>
      <c r="BM114" s="60">
        <f t="shared" si="58"/>
        <v>0</v>
      </c>
      <c r="BN114" s="60">
        <f>ROUND(BM114*BL114*Input!$C$3/365,0)</f>
        <v>0</v>
      </c>
      <c r="BO114" s="61">
        <f>IF($A114&lt;=Input!$C$6,0,IF('120M'!BK114&lt;'120M'!BM114,'120M'!BK114-BN114,'120M'!BM114))</f>
        <v>0</v>
      </c>
      <c r="BP114" s="61">
        <f t="shared" si="59"/>
        <v>0</v>
      </c>
      <c r="BQ114" s="60">
        <f t="shared" si="60"/>
        <v>0</v>
      </c>
      <c r="BR114" s="198"/>
    </row>
    <row r="115" spans="1:70" x14ac:dyDescent="0.25">
      <c r="A115" s="169">
        <v>111</v>
      </c>
      <c r="B115" s="1">
        <f t="shared" si="61"/>
        <v>48898</v>
      </c>
      <c r="C115" s="60">
        <f t="shared" si="39"/>
        <v>33127052.878124986</v>
      </c>
      <c r="D115" s="60">
        <f t="shared" si="40"/>
        <v>29814347.590312488</v>
      </c>
      <c r="E115" s="60">
        <f t="shared" si="62"/>
        <v>31</v>
      </c>
      <c r="F115" s="60">
        <f t="shared" si="63"/>
        <v>46209122.819375031</v>
      </c>
      <c r="G115" s="60">
        <f>ROUND(F115*E115*Input!$C$3/365,0)</f>
        <v>588692</v>
      </c>
      <c r="H115" s="60">
        <f>IF($A115&lt;=Input!$C$6,0,IF('120M'!D115&lt;'120M'!F115,'120M'!D115-G115,'120M'!F115))</f>
        <v>29225655.590312488</v>
      </c>
      <c r="I115" s="60">
        <f t="shared" si="64"/>
        <v>29814347.590312488</v>
      </c>
      <c r="J115" s="60">
        <f t="shared" si="65"/>
        <v>16983467.229062542</v>
      </c>
      <c r="K115" s="202">
        <f>J115/Input!$K$5</f>
        <v>5.6611557430208473E-2</v>
      </c>
      <c r="L115" s="232"/>
      <c r="M115" s="60">
        <f>IF($B115&lt;Input!$H$43,IF($B115&lt;Input!$G$43,IF($B115&lt;Input!$F$43,IF($B115&lt;Input!$E$43,IF($B115&lt;Input!$D$43,Input!$C$49,Input!$D$49),Input!$E$49),Input!$F$49),Input!$G$49),Input!$H$49)</f>
        <v>33127052.878124986</v>
      </c>
      <c r="N115" s="190">
        <f>IF($A115&lt;Input!$H$50,IF($A115&lt;Input!$G$50,IF($A115&lt;Input!$F$50,IF($A115&lt;Input!$E$50,IF($A115&lt;Input!$D$50,Input!$C$51,Input!$D$51),Input!$E$51),Input!$F$51),Input!$G$51),Input!$H$51)</f>
        <v>0.9</v>
      </c>
      <c r="O115" s="60">
        <f t="shared" si="74"/>
        <v>29814347.590312488</v>
      </c>
      <c r="P115" s="60">
        <f t="shared" si="75"/>
        <v>31</v>
      </c>
      <c r="Q115" s="60">
        <f t="shared" si="42"/>
        <v>46209122.819375031</v>
      </c>
      <c r="R115" s="60">
        <f>ROUND(Q115*$P115*Input!$C$3/365,0)</f>
        <v>588692</v>
      </c>
      <c r="S115" s="60">
        <f>IF(A115&lt;=Input!$C$6,0,IF('120M'!O115&lt;'120M'!Q115,'120M'!O115-R115,'120M'!Q115))</f>
        <v>29225655.590312488</v>
      </c>
      <c r="T115" s="60">
        <f t="shared" si="43"/>
        <v>29814347.590312488</v>
      </c>
      <c r="U115" s="60">
        <f t="shared" si="44"/>
        <v>16983467.229062542</v>
      </c>
      <c r="V115" s="193"/>
      <c r="W115" s="169">
        <v>111</v>
      </c>
      <c r="X115" s="1">
        <f t="shared" si="66"/>
        <v>48898</v>
      </c>
      <c r="Y115" s="60">
        <f>IF($X115&lt;Input!$H$58,IF($X115&lt;Input!$G$58,IF($X115&lt;Input!$F$58,IF($X115&lt;Input!$E$58,IF($X115&lt;Input!$D$58,Input!$C$64,Input!$D$64),Input!$E$64),Input!$F$64),Input!$G$64),Input!$H$64)</f>
        <v>0</v>
      </c>
      <c r="Z115" s="190">
        <f>IF($A115&lt;Input!$H$65,IF($A115&lt;Input!$G$65,IF($A115&lt;Input!$F$65,IF($A115&lt;Input!$E$65,IF($A115&lt;Input!$D$65,Input!$C$66,Input!$D$66),Input!$E$66),Input!$F$66),Input!$G$66),Input!$H$66)</f>
        <v>0.9</v>
      </c>
      <c r="AA115" s="60">
        <f t="shared" si="45"/>
        <v>0</v>
      </c>
      <c r="AB115" s="60">
        <f t="shared" si="67"/>
        <v>31</v>
      </c>
      <c r="AC115" s="60">
        <f t="shared" si="46"/>
        <v>0</v>
      </c>
      <c r="AD115" s="60">
        <f>ROUND(AC115*AB115*Input!$C$3/365,0)</f>
        <v>0</v>
      </c>
      <c r="AE115" s="61">
        <f>IF($A115&lt;=Input!$C$6,0,IF('120M'!AA115&lt;'120M'!AC115,'120M'!AA115-AD115,'120M'!AC115))</f>
        <v>0</v>
      </c>
      <c r="AF115" s="61">
        <f t="shared" si="47"/>
        <v>0</v>
      </c>
      <c r="AG115" s="60">
        <f t="shared" si="48"/>
        <v>0</v>
      </c>
      <c r="AH115" s="193"/>
      <c r="AI115" s="169">
        <v>111</v>
      </c>
      <c r="AJ115" s="1">
        <f t="shared" si="68"/>
        <v>48898</v>
      </c>
      <c r="AK115" s="60">
        <f>IF($X115&lt;Input!$H$73,IF($X115&lt;Input!$G$73,IF($X115&lt;Input!$F$73,IF($X115&lt;Input!$E$73,IF($X115&lt;Input!$D$73,Input!$C$79,Input!$D$79),Input!$E$79),Input!$F$79),Input!$G$79),Input!$H$79)</f>
        <v>0</v>
      </c>
      <c r="AL115" s="190">
        <f>IF($A115&lt;Input!$H$80,IF($A115&lt;Input!$G$80,IF($A115&lt;Input!$F$80,IF($A115&lt;Input!$E$80,IF($A115&lt;Input!$D$80,Input!$C$81,Input!$D$81),Input!$E$81),Input!$F$81),Input!$G$81),Input!$H$81)</f>
        <v>0.9</v>
      </c>
      <c r="AM115" s="60">
        <f t="shared" si="49"/>
        <v>0</v>
      </c>
      <c r="AN115" s="60">
        <f t="shared" si="69"/>
        <v>31</v>
      </c>
      <c r="AO115" s="60">
        <f t="shared" si="50"/>
        <v>0</v>
      </c>
      <c r="AP115" s="60">
        <f>ROUND(AO115*AN115*Input!$C$3/365,0)</f>
        <v>0</v>
      </c>
      <c r="AQ115" s="61">
        <f>IF($A115&lt;=Input!$C$6,0,IF('120M'!AM115&lt;'120M'!AO115,'120M'!AM115-AP115,'120M'!AO115))</f>
        <v>0</v>
      </c>
      <c r="AR115" s="61">
        <f t="shared" si="51"/>
        <v>0</v>
      </c>
      <c r="AS115" s="60">
        <f t="shared" si="52"/>
        <v>0</v>
      </c>
      <c r="AT115" s="193"/>
      <c r="AU115" s="169">
        <v>111</v>
      </c>
      <c r="AV115" s="1">
        <f t="shared" si="70"/>
        <v>48898</v>
      </c>
      <c r="AW115" s="60">
        <f>IF($X115&lt;Input!$H$88,IF($X115&lt;Input!$G$88,IF($X115&lt;Input!$F$88,IF($X115&lt;Input!$E$88,IF($X115&lt;Input!$D$88,Input!$C$94,Input!$D$94),Input!$E$94),Input!$F$94),Input!$G$94),Input!$H$94)</f>
        <v>0</v>
      </c>
      <c r="AX115" s="190">
        <f>IF($A115&lt;Input!$H$95,IF($A115&lt;Input!$G$95,IF($A115&lt;Input!$F$95,IF($A115&lt;Input!$E$95,IF($A115&lt;Input!$D$95,Input!$C$96,Input!$D$96),Input!$E$96),Input!$F$96),Input!$G$96),Input!$H$96)</f>
        <v>0.9</v>
      </c>
      <c r="AY115" s="60">
        <f t="shared" si="53"/>
        <v>0</v>
      </c>
      <c r="AZ115" s="60">
        <f t="shared" si="71"/>
        <v>31</v>
      </c>
      <c r="BA115" s="60">
        <f t="shared" si="54"/>
        <v>0</v>
      </c>
      <c r="BB115" s="60">
        <f>ROUND(BA115*AZ115*Input!$C$3/365,0)</f>
        <v>0</v>
      </c>
      <c r="BC115" s="61">
        <f>IF($A115&lt;=Input!$C$6,0,IF('120M'!AY115&lt;'120M'!BA115,'120M'!AY115-BB115,'120M'!BA115))</f>
        <v>0</v>
      </c>
      <c r="BD115" s="61">
        <f t="shared" si="55"/>
        <v>0</v>
      </c>
      <c r="BE115" s="60">
        <f t="shared" si="56"/>
        <v>0</v>
      </c>
      <c r="BF115" s="193"/>
      <c r="BG115" s="169">
        <v>111</v>
      </c>
      <c r="BH115" s="1">
        <f t="shared" si="72"/>
        <v>48898</v>
      </c>
      <c r="BI115" s="60">
        <f>IF($X115&lt;Input!$H$103,IF($X115&lt;Input!$G$103,IF($X115&lt;Input!$F$103,IF($X115&lt;Input!$E$103,IF($X115&lt;Input!$D$103,Input!$C$109,Input!$D$109),Input!$E$109),Input!$F$109),Input!$G$109),Input!$H$109)</f>
        <v>0</v>
      </c>
      <c r="BJ115" s="190">
        <f>IF($A115&lt;Input!$H$110,IF($A115&lt;Input!$G$110,IF($A115&lt;Input!$F$110,IF($A115&lt;Input!$E$110,IF($A115&lt;Input!$D$110,Input!$C$111,Input!$D$111),Input!$E$111),Input!$F$111),Input!$G$111),Input!$H$111)</f>
        <v>0.9</v>
      </c>
      <c r="BK115" s="60">
        <f t="shared" si="57"/>
        <v>0</v>
      </c>
      <c r="BL115" s="60">
        <f t="shared" si="73"/>
        <v>31</v>
      </c>
      <c r="BM115" s="60">
        <f t="shared" si="58"/>
        <v>0</v>
      </c>
      <c r="BN115" s="60">
        <f>ROUND(BM115*BL115*Input!$C$3/365,0)</f>
        <v>0</v>
      </c>
      <c r="BO115" s="61">
        <f>IF($A115&lt;=Input!$C$6,0,IF('120M'!BK115&lt;'120M'!BM115,'120M'!BK115-BN115,'120M'!BM115))</f>
        <v>0</v>
      </c>
      <c r="BP115" s="61">
        <f t="shared" si="59"/>
        <v>0</v>
      </c>
      <c r="BQ115" s="60">
        <f t="shared" si="60"/>
        <v>0</v>
      </c>
      <c r="BR115" s="198"/>
    </row>
    <row r="116" spans="1:70" x14ac:dyDescent="0.25">
      <c r="A116" s="169">
        <v>112</v>
      </c>
      <c r="B116" s="1">
        <f t="shared" si="61"/>
        <v>48928</v>
      </c>
      <c r="C116" s="60">
        <f t="shared" si="39"/>
        <v>33127052.878124986</v>
      </c>
      <c r="D116" s="60">
        <f t="shared" si="40"/>
        <v>29814347.590312488</v>
      </c>
      <c r="E116" s="60">
        <f t="shared" si="62"/>
        <v>30</v>
      </c>
      <c r="F116" s="60">
        <f t="shared" si="63"/>
        <v>16983467.229062542</v>
      </c>
      <c r="G116" s="60">
        <f>ROUND(F116*E116*Input!$C$3/365,0)</f>
        <v>209385</v>
      </c>
      <c r="H116" s="60">
        <f>IF($A116&lt;=Input!$C$6,0,IF('120M'!D116&lt;'120M'!F116,'120M'!D116-G116,'120M'!F116))</f>
        <v>16983467.229062542</v>
      </c>
      <c r="I116" s="60">
        <f t="shared" si="64"/>
        <v>17192852.229062542</v>
      </c>
      <c r="J116" s="60">
        <f t="shared" si="65"/>
        <v>0</v>
      </c>
      <c r="K116" s="202">
        <f>J116/Input!$K$5</f>
        <v>0</v>
      </c>
      <c r="L116" s="232"/>
      <c r="M116" s="60">
        <f>IF($B116&lt;Input!$H$43,IF($B116&lt;Input!$G$43,IF($B116&lt;Input!$F$43,IF($B116&lt;Input!$E$43,IF($B116&lt;Input!$D$43,Input!$C$49,Input!$D$49),Input!$E$49),Input!$F$49),Input!$G$49),Input!$H$49)</f>
        <v>33127052.878124986</v>
      </c>
      <c r="N116" s="190">
        <f>IF($A116&lt;Input!$H$50,IF($A116&lt;Input!$G$50,IF($A116&lt;Input!$F$50,IF($A116&lt;Input!$E$50,IF($A116&lt;Input!$D$50,Input!$C$51,Input!$D$51),Input!$E$51),Input!$F$51),Input!$G$51),Input!$H$51)</f>
        <v>0.9</v>
      </c>
      <c r="O116" s="60">
        <f t="shared" si="74"/>
        <v>29814347.590312488</v>
      </c>
      <c r="P116" s="60">
        <f t="shared" si="75"/>
        <v>30</v>
      </c>
      <c r="Q116" s="60">
        <f t="shared" si="42"/>
        <v>16983467.229062542</v>
      </c>
      <c r="R116" s="60">
        <f>ROUND(Q116*$P116*Input!$C$3/365,0)</f>
        <v>209385</v>
      </c>
      <c r="S116" s="60">
        <f>IF(A116&lt;=Input!$C$6,0,IF('120M'!O116&lt;'120M'!Q116,'120M'!O116-R116,'120M'!Q116))</f>
        <v>16983467.229062542</v>
      </c>
      <c r="T116" s="60">
        <f t="shared" si="43"/>
        <v>17192852.229062542</v>
      </c>
      <c r="U116" s="60">
        <f t="shared" si="44"/>
        <v>0</v>
      </c>
      <c r="V116" s="193"/>
      <c r="W116" s="169">
        <v>112</v>
      </c>
      <c r="X116" s="1">
        <f t="shared" si="66"/>
        <v>48928</v>
      </c>
      <c r="Y116" s="60">
        <f>IF($X116&lt;Input!$H$58,IF($X116&lt;Input!$G$58,IF($X116&lt;Input!$F$58,IF($X116&lt;Input!$E$58,IF($X116&lt;Input!$D$58,Input!$C$64,Input!$D$64),Input!$E$64),Input!$F$64),Input!$G$64),Input!$H$64)</f>
        <v>0</v>
      </c>
      <c r="Z116" s="190">
        <f>IF($A116&lt;Input!$H$65,IF($A116&lt;Input!$G$65,IF($A116&lt;Input!$F$65,IF($A116&lt;Input!$E$65,IF($A116&lt;Input!$D$65,Input!$C$66,Input!$D$66),Input!$E$66),Input!$F$66),Input!$G$66),Input!$H$66)</f>
        <v>0.9</v>
      </c>
      <c r="AA116" s="60">
        <f t="shared" si="45"/>
        <v>0</v>
      </c>
      <c r="AB116" s="60">
        <f t="shared" si="67"/>
        <v>30</v>
      </c>
      <c r="AC116" s="60">
        <f t="shared" si="46"/>
        <v>0</v>
      </c>
      <c r="AD116" s="60">
        <f>ROUND(AC116*AB116*Input!$C$3/365,0)</f>
        <v>0</v>
      </c>
      <c r="AE116" s="61">
        <f>IF($A116&lt;=Input!$C$6,0,IF('120M'!AA116&lt;'120M'!AC116,'120M'!AA116-AD116,'120M'!AC116))</f>
        <v>0</v>
      </c>
      <c r="AF116" s="61">
        <f t="shared" si="47"/>
        <v>0</v>
      </c>
      <c r="AG116" s="60">
        <f t="shared" si="48"/>
        <v>0</v>
      </c>
      <c r="AH116" s="193"/>
      <c r="AI116" s="169">
        <v>112</v>
      </c>
      <c r="AJ116" s="1">
        <f t="shared" si="68"/>
        <v>48928</v>
      </c>
      <c r="AK116" s="60">
        <f>IF($X116&lt;Input!$H$73,IF($X116&lt;Input!$G$73,IF($X116&lt;Input!$F$73,IF($X116&lt;Input!$E$73,IF($X116&lt;Input!$D$73,Input!$C$79,Input!$D$79),Input!$E$79),Input!$F$79),Input!$G$79),Input!$H$79)</f>
        <v>0</v>
      </c>
      <c r="AL116" s="190">
        <f>IF($A116&lt;Input!$H$80,IF($A116&lt;Input!$G$80,IF($A116&lt;Input!$F$80,IF($A116&lt;Input!$E$80,IF($A116&lt;Input!$D$80,Input!$C$81,Input!$D$81),Input!$E$81),Input!$F$81),Input!$G$81),Input!$H$81)</f>
        <v>0.9</v>
      </c>
      <c r="AM116" s="60">
        <f t="shared" si="49"/>
        <v>0</v>
      </c>
      <c r="AN116" s="60">
        <f t="shared" si="69"/>
        <v>30</v>
      </c>
      <c r="AO116" s="60">
        <f t="shared" si="50"/>
        <v>0</v>
      </c>
      <c r="AP116" s="60">
        <f>ROUND(AO116*AN116*Input!$C$3/365,0)</f>
        <v>0</v>
      </c>
      <c r="AQ116" s="61">
        <f>IF($A116&lt;=Input!$C$6,0,IF('120M'!AM116&lt;'120M'!AO116,'120M'!AM116-AP116,'120M'!AO116))</f>
        <v>0</v>
      </c>
      <c r="AR116" s="61">
        <f t="shared" si="51"/>
        <v>0</v>
      </c>
      <c r="AS116" s="60">
        <f t="shared" si="52"/>
        <v>0</v>
      </c>
      <c r="AT116" s="193"/>
      <c r="AU116" s="169">
        <v>112</v>
      </c>
      <c r="AV116" s="1">
        <f t="shared" si="70"/>
        <v>48928</v>
      </c>
      <c r="AW116" s="60">
        <f>IF($X116&lt;Input!$H$88,IF($X116&lt;Input!$G$88,IF($X116&lt;Input!$F$88,IF($X116&lt;Input!$E$88,IF($X116&lt;Input!$D$88,Input!$C$94,Input!$D$94),Input!$E$94),Input!$F$94),Input!$G$94),Input!$H$94)</f>
        <v>0</v>
      </c>
      <c r="AX116" s="190">
        <f>IF($A116&lt;Input!$H$95,IF($A116&lt;Input!$G$95,IF($A116&lt;Input!$F$95,IF($A116&lt;Input!$E$95,IF($A116&lt;Input!$D$95,Input!$C$96,Input!$D$96),Input!$E$96),Input!$F$96),Input!$G$96),Input!$H$96)</f>
        <v>0.9</v>
      </c>
      <c r="AY116" s="60">
        <f t="shared" si="53"/>
        <v>0</v>
      </c>
      <c r="AZ116" s="60">
        <f t="shared" si="71"/>
        <v>30</v>
      </c>
      <c r="BA116" s="60">
        <f t="shared" si="54"/>
        <v>0</v>
      </c>
      <c r="BB116" s="60">
        <f>ROUND(BA116*AZ116*Input!$C$3/365,0)</f>
        <v>0</v>
      </c>
      <c r="BC116" s="61">
        <f>IF($A116&lt;=Input!$C$6,0,IF('120M'!AY116&lt;'120M'!BA116,'120M'!AY116-BB116,'120M'!BA116))</f>
        <v>0</v>
      </c>
      <c r="BD116" s="61">
        <f t="shared" si="55"/>
        <v>0</v>
      </c>
      <c r="BE116" s="60">
        <f t="shared" si="56"/>
        <v>0</v>
      </c>
      <c r="BF116" s="193"/>
      <c r="BG116" s="169">
        <v>112</v>
      </c>
      <c r="BH116" s="1">
        <f t="shared" si="72"/>
        <v>48928</v>
      </c>
      <c r="BI116" s="60">
        <f>IF($X116&lt;Input!$H$103,IF($X116&lt;Input!$G$103,IF($X116&lt;Input!$F$103,IF($X116&lt;Input!$E$103,IF($X116&lt;Input!$D$103,Input!$C$109,Input!$D$109),Input!$E$109),Input!$F$109),Input!$G$109),Input!$H$109)</f>
        <v>0</v>
      </c>
      <c r="BJ116" s="190">
        <f>IF($A116&lt;Input!$H$110,IF($A116&lt;Input!$G$110,IF($A116&lt;Input!$F$110,IF($A116&lt;Input!$E$110,IF($A116&lt;Input!$D$110,Input!$C$111,Input!$D$111),Input!$E$111),Input!$F$111),Input!$G$111),Input!$H$111)</f>
        <v>0.9</v>
      </c>
      <c r="BK116" s="60">
        <f t="shared" si="57"/>
        <v>0</v>
      </c>
      <c r="BL116" s="60">
        <f t="shared" si="73"/>
        <v>30</v>
      </c>
      <c r="BM116" s="60">
        <f t="shared" si="58"/>
        <v>0</v>
      </c>
      <c r="BN116" s="60">
        <f>ROUND(BM116*BL116*Input!$C$3/365,0)</f>
        <v>0</v>
      </c>
      <c r="BO116" s="61">
        <f>IF($A116&lt;=Input!$C$6,0,IF('120M'!BK116&lt;'120M'!BM116,'120M'!BK116-BN116,'120M'!BM116))</f>
        <v>0</v>
      </c>
      <c r="BP116" s="61">
        <f t="shared" si="59"/>
        <v>0</v>
      </c>
      <c r="BQ116" s="60">
        <f t="shared" si="60"/>
        <v>0</v>
      </c>
      <c r="BR116" s="198"/>
    </row>
    <row r="117" spans="1:70" x14ac:dyDescent="0.25">
      <c r="A117" s="169">
        <v>113</v>
      </c>
      <c r="B117" s="1">
        <f t="shared" si="61"/>
        <v>48959</v>
      </c>
      <c r="C117" s="60">
        <f t="shared" si="39"/>
        <v>33127052.878124986</v>
      </c>
      <c r="D117" s="60">
        <f t="shared" si="40"/>
        <v>29814347.590312488</v>
      </c>
      <c r="E117" s="60">
        <f t="shared" si="62"/>
        <v>31</v>
      </c>
      <c r="F117" s="60">
        <f t="shared" si="63"/>
        <v>0</v>
      </c>
      <c r="G117" s="60">
        <f>ROUND(F117*E117*Input!$C$3/365,0)</f>
        <v>0</v>
      </c>
      <c r="H117" s="60">
        <f>IF($A117&lt;=Input!$C$6,0,IF('120M'!D117&lt;'120M'!F117,'120M'!D117-G117,'120M'!F117))</f>
        <v>0</v>
      </c>
      <c r="I117" s="60">
        <f t="shared" si="64"/>
        <v>0</v>
      </c>
      <c r="J117" s="60">
        <f t="shared" si="65"/>
        <v>0</v>
      </c>
      <c r="K117" s="202">
        <f>J117/Input!$K$5</f>
        <v>0</v>
      </c>
      <c r="L117" s="232"/>
      <c r="M117" s="60">
        <f>IF($B117&lt;Input!$H$43,IF($B117&lt;Input!$G$43,IF($B117&lt;Input!$F$43,IF($B117&lt;Input!$E$43,IF($B117&lt;Input!$D$43,Input!$C$49,Input!$D$49),Input!$E$49),Input!$F$49),Input!$G$49),Input!$H$49)</f>
        <v>33127052.878124986</v>
      </c>
      <c r="N117" s="190">
        <f>IF($A117&lt;Input!$H$50,IF($A117&lt;Input!$G$50,IF($A117&lt;Input!$F$50,IF($A117&lt;Input!$E$50,IF($A117&lt;Input!$D$50,Input!$C$51,Input!$D$51),Input!$E$51),Input!$F$51),Input!$G$51),Input!$H$51)</f>
        <v>0.9</v>
      </c>
      <c r="O117" s="60">
        <f t="shared" si="74"/>
        <v>29814347.590312488</v>
      </c>
      <c r="P117" s="60">
        <f t="shared" si="75"/>
        <v>31</v>
      </c>
      <c r="Q117" s="60">
        <f t="shared" si="42"/>
        <v>0</v>
      </c>
      <c r="R117" s="60">
        <f>ROUND(Q117*$P117*Input!$C$3/365,0)</f>
        <v>0</v>
      </c>
      <c r="S117" s="60">
        <f>IF(A117&lt;=Input!$C$6,0,IF('120M'!O117&lt;'120M'!Q117,'120M'!O117-R117,'120M'!Q117))</f>
        <v>0</v>
      </c>
      <c r="T117" s="60">
        <f t="shared" si="43"/>
        <v>0</v>
      </c>
      <c r="U117" s="60">
        <f t="shared" si="44"/>
        <v>0</v>
      </c>
      <c r="V117" s="193"/>
      <c r="W117" s="169">
        <v>113</v>
      </c>
      <c r="X117" s="1">
        <f t="shared" si="66"/>
        <v>48959</v>
      </c>
      <c r="Y117" s="60">
        <f>IF($X117&lt;Input!$H$58,IF($X117&lt;Input!$G$58,IF($X117&lt;Input!$F$58,IF($X117&lt;Input!$E$58,IF($X117&lt;Input!$D$58,Input!$C$64,Input!$D$64),Input!$E$64),Input!$F$64),Input!$G$64),Input!$H$64)</f>
        <v>0</v>
      </c>
      <c r="Z117" s="190">
        <f>IF($A117&lt;Input!$H$65,IF($A117&lt;Input!$G$65,IF($A117&lt;Input!$F$65,IF($A117&lt;Input!$E$65,IF($A117&lt;Input!$D$65,Input!$C$66,Input!$D$66),Input!$E$66),Input!$F$66),Input!$G$66),Input!$H$66)</f>
        <v>0.9</v>
      </c>
      <c r="AA117" s="60">
        <f t="shared" si="45"/>
        <v>0</v>
      </c>
      <c r="AB117" s="60">
        <f t="shared" si="67"/>
        <v>31</v>
      </c>
      <c r="AC117" s="60">
        <f t="shared" si="46"/>
        <v>0</v>
      </c>
      <c r="AD117" s="60">
        <f>ROUND(AC117*AB117*Input!$C$3/365,0)</f>
        <v>0</v>
      </c>
      <c r="AE117" s="61">
        <f>IF($A117&lt;=Input!$C$6,0,IF('120M'!AA117&lt;'120M'!AC117,'120M'!AA117-AD117,'120M'!AC117))</f>
        <v>0</v>
      </c>
      <c r="AF117" s="61">
        <f t="shared" si="47"/>
        <v>0</v>
      </c>
      <c r="AG117" s="60">
        <f t="shared" si="48"/>
        <v>0</v>
      </c>
      <c r="AH117" s="193"/>
      <c r="AI117" s="169">
        <v>113</v>
      </c>
      <c r="AJ117" s="1">
        <f t="shared" si="68"/>
        <v>48959</v>
      </c>
      <c r="AK117" s="60">
        <f>IF($X117&lt;Input!$H$73,IF($X117&lt;Input!$G$73,IF($X117&lt;Input!$F$73,IF($X117&lt;Input!$E$73,IF($X117&lt;Input!$D$73,Input!$C$79,Input!$D$79),Input!$E$79),Input!$F$79),Input!$G$79),Input!$H$79)</f>
        <v>0</v>
      </c>
      <c r="AL117" s="190">
        <f>IF($A117&lt;Input!$H$80,IF($A117&lt;Input!$G$80,IF($A117&lt;Input!$F$80,IF($A117&lt;Input!$E$80,IF($A117&lt;Input!$D$80,Input!$C$81,Input!$D$81),Input!$E$81),Input!$F$81),Input!$G$81),Input!$H$81)</f>
        <v>0.9</v>
      </c>
      <c r="AM117" s="60">
        <f t="shared" si="49"/>
        <v>0</v>
      </c>
      <c r="AN117" s="60">
        <f t="shared" si="69"/>
        <v>31</v>
      </c>
      <c r="AO117" s="60">
        <f t="shared" si="50"/>
        <v>0</v>
      </c>
      <c r="AP117" s="60">
        <f>ROUND(AO117*AN117*Input!$C$3/365,0)</f>
        <v>0</v>
      </c>
      <c r="AQ117" s="61">
        <f>IF($A117&lt;=Input!$C$6,0,IF('120M'!AM117&lt;'120M'!AO117,'120M'!AM117-AP117,'120M'!AO117))</f>
        <v>0</v>
      </c>
      <c r="AR117" s="61">
        <f t="shared" si="51"/>
        <v>0</v>
      </c>
      <c r="AS117" s="60">
        <f t="shared" si="52"/>
        <v>0</v>
      </c>
      <c r="AT117" s="193"/>
      <c r="AU117" s="169">
        <v>113</v>
      </c>
      <c r="AV117" s="1">
        <f t="shared" si="70"/>
        <v>48959</v>
      </c>
      <c r="AW117" s="60">
        <f>IF($X117&lt;Input!$H$88,IF($X117&lt;Input!$G$88,IF($X117&lt;Input!$F$88,IF($X117&lt;Input!$E$88,IF($X117&lt;Input!$D$88,Input!$C$94,Input!$D$94),Input!$E$94),Input!$F$94),Input!$G$94),Input!$H$94)</f>
        <v>0</v>
      </c>
      <c r="AX117" s="190">
        <f>IF($A117&lt;Input!$H$95,IF($A117&lt;Input!$G$95,IF($A117&lt;Input!$F$95,IF($A117&lt;Input!$E$95,IF($A117&lt;Input!$D$95,Input!$C$96,Input!$D$96),Input!$E$96),Input!$F$96),Input!$G$96),Input!$H$96)</f>
        <v>0.9</v>
      </c>
      <c r="AY117" s="60">
        <f t="shared" si="53"/>
        <v>0</v>
      </c>
      <c r="AZ117" s="60">
        <f t="shared" si="71"/>
        <v>31</v>
      </c>
      <c r="BA117" s="60">
        <f t="shared" si="54"/>
        <v>0</v>
      </c>
      <c r="BB117" s="60">
        <f>ROUND(BA117*AZ117*Input!$C$3/365,0)</f>
        <v>0</v>
      </c>
      <c r="BC117" s="61">
        <f>IF($A117&lt;=Input!$C$6,0,IF('120M'!AY117&lt;'120M'!BA117,'120M'!AY117-BB117,'120M'!BA117))</f>
        <v>0</v>
      </c>
      <c r="BD117" s="61">
        <f t="shared" si="55"/>
        <v>0</v>
      </c>
      <c r="BE117" s="60">
        <f t="shared" si="56"/>
        <v>0</v>
      </c>
      <c r="BF117" s="193"/>
      <c r="BG117" s="169">
        <v>113</v>
      </c>
      <c r="BH117" s="1">
        <f t="shared" si="72"/>
        <v>48959</v>
      </c>
      <c r="BI117" s="60">
        <f>IF($X117&lt;Input!$H$103,IF($X117&lt;Input!$G$103,IF($X117&lt;Input!$F$103,IF($X117&lt;Input!$E$103,IF($X117&lt;Input!$D$103,Input!$C$109,Input!$D$109),Input!$E$109),Input!$F$109),Input!$G$109),Input!$H$109)</f>
        <v>0</v>
      </c>
      <c r="BJ117" s="190">
        <f>IF($A117&lt;Input!$H$110,IF($A117&lt;Input!$G$110,IF($A117&lt;Input!$F$110,IF($A117&lt;Input!$E$110,IF($A117&lt;Input!$D$110,Input!$C$111,Input!$D$111),Input!$E$111),Input!$F$111),Input!$G$111),Input!$H$111)</f>
        <v>0.9</v>
      </c>
      <c r="BK117" s="60">
        <f t="shared" si="57"/>
        <v>0</v>
      </c>
      <c r="BL117" s="60">
        <f t="shared" si="73"/>
        <v>31</v>
      </c>
      <c r="BM117" s="60">
        <f t="shared" si="58"/>
        <v>0</v>
      </c>
      <c r="BN117" s="60">
        <f>ROUND(BM117*BL117*Input!$C$3/365,0)</f>
        <v>0</v>
      </c>
      <c r="BO117" s="61">
        <f>IF($A117&lt;=Input!$C$6,0,IF('120M'!BK117&lt;'120M'!BM117,'120M'!BK117-BN117,'120M'!BM117))</f>
        <v>0</v>
      </c>
      <c r="BP117" s="61">
        <f t="shared" si="59"/>
        <v>0</v>
      </c>
      <c r="BQ117" s="60">
        <f t="shared" si="60"/>
        <v>0</v>
      </c>
      <c r="BR117" s="198"/>
    </row>
    <row r="118" spans="1:70" x14ac:dyDescent="0.25">
      <c r="A118" s="169">
        <v>114</v>
      </c>
      <c r="B118" s="1">
        <f t="shared" si="61"/>
        <v>48990</v>
      </c>
      <c r="C118" s="60">
        <f t="shared" si="39"/>
        <v>33127052.878124986</v>
      </c>
      <c r="D118" s="60">
        <f t="shared" si="40"/>
        <v>29814347.590312488</v>
      </c>
      <c r="E118" s="60">
        <f t="shared" si="62"/>
        <v>31</v>
      </c>
      <c r="F118" s="60">
        <f t="shared" si="63"/>
        <v>0</v>
      </c>
      <c r="G118" s="60">
        <f>ROUND(F118*E118*Input!$C$3/365,0)</f>
        <v>0</v>
      </c>
      <c r="H118" s="60">
        <f>IF($A118&lt;=Input!$C$6,0,IF('120M'!D118&lt;'120M'!F118,'120M'!D118-G118,'120M'!F118))</f>
        <v>0</v>
      </c>
      <c r="I118" s="60">
        <f t="shared" si="64"/>
        <v>0</v>
      </c>
      <c r="J118" s="60">
        <f t="shared" si="65"/>
        <v>0</v>
      </c>
      <c r="K118" s="202">
        <f>J118/Input!$K$5</f>
        <v>0</v>
      </c>
      <c r="L118" s="232"/>
      <c r="M118" s="60">
        <f>IF($B118&lt;Input!$H$43,IF($B118&lt;Input!$G$43,IF($B118&lt;Input!$F$43,IF($B118&lt;Input!$E$43,IF($B118&lt;Input!$D$43,Input!$C$49,Input!$D$49),Input!$E$49),Input!$F$49),Input!$G$49),Input!$H$49)</f>
        <v>33127052.878124986</v>
      </c>
      <c r="N118" s="190">
        <f>IF($A118&lt;Input!$H$50,IF($A118&lt;Input!$G$50,IF($A118&lt;Input!$F$50,IF($A118&lt;Input!$E$50,IF($A118&lt;Input!$D$50,Input!$C$51,Input!$D$51),Input!$E$51),Input!$F$51),Input!$G$51),Input!$H$51)</f>
        <v>0.9</v>
      </c>
      <c r="O118" s="60">
        <f t="shared" si="74"/>
        <v>29814347.590312488</v>
      </c>
      <c r="P118" s="60">
        <f t="shared" si="75"/>
        <v>31</v>
      </c>
      <c r="Q118" s="60">
        <f t="shared" si="42"/>
        <v>0</v>
      </c>
      <c r="R118" s="60">
        <f>ROUND(Q118*$P118*Input!$C$3/365,0)</f>
        <v>0</v>
      </c>
      <c r="S118" s="60">
        <f>IF(A118&lt;=Input!$C$6,0,IF('120M'!O118&lt;'120M'!Q118,'120M'!O118-R118,'120M'!Q118))</f>
        <v>0</v>
      </c>
      <c r="T118" s="60">
        <f t="shared" si="43"/>
        <v>0</v>
      </c>
      <c r="U118" s="60">
        <f t="shared" si="44"/>
        <v>0</v>
      </c>
      <c r="V118" s="193"/>
      <c r="W118" s="169">
        <v>114</v>
      </c>
      <c r="X118" s="1">
        <f t="shared" si="66"/>
        <v>48990</v>
      </c>
      <c r="Y118" s="60">
        <f>IF($X118&lt;Input!$H$58,IF($X118&lt;Input!$G$58,IF($X118&lt;Input!$F$58,IF($X118&lt;Input!$E$58,IF($X118&lt;Input!$D$58,Input!$C$64,Input!$D$64),Input!$E$64),Input!$F$64),Input!$G$64),Input!$H$64)</f>
        <v>0</v>
      </c>
      <c r="Z118" s="190">
        <f>IF($A118&lt;Input!$H$65,IF($A118&lt;Input!$G$65,IF($A118&lt;Input!$F$65,IF($A118&lt;Input!$E$65,IF($A118&lt;Input!$D$65,Input!$C$66,Input!$D$66),Input!$E$66),Input!$F$66),Input!$G$66),Input!$H$66)</f>
        <v>0.9</v>
      </c>
      <c r="AA118" s="60">
        <f t="shared" si="45"/>
        <v>0</v>
      </c>
      <c r="AB118" s="60">
        <f t="shared" si="67"/>
        <v>31</v>
      </c>
      <c r="AC118" s="60">
        <f t="shared" si="46"/>
        <v>0</v>
      </c>
      <c r="AD118" s="60">
        <f>ROUND(AC118*AB118*Input!$C$3/365,0)</f>
        <v>0</v>
      </c>
      <c r="AE118" s="61">
        <f>IF($A118&lt;=Input!$C$6,0,IF('120M'!AA118&lt;'120M'!AC118,'120M'!AA118-AD118,'120M'!AC118))</f>
        <v>0</v>
      </c>
      <c r="AF118" s="61">
        <f t="shared" si="47"/>
        <v>0</v>
      </c>
      <c r="AG118" s="60">
        <f t="shared" si="48"/>
        <v>0</v>
      </c>
      <c r="AH118" s="193"/>
      <c r="AI118" s="169">
        <v>114</v>
      </c>
      <c r="AJ118" s="1">
        <f t="shared" si="68"/>
        <v>48990</v>
      </c>
      <c r="AK118" s="60">
        <f>IF($X118&lt;Input!$H$73,IF($X118&lt;Input!$G$73,IF($X118&lt;Input!$F$73,IF($X118&lt;Input!$E$73,IF($X118&lt;Input!$D$73,Input!$C$79,Input!$D$79),Input!$E$79),Input!$F$79),Input!$G$79),Input!$H$79)</f>
        <v>0</v>
      </c>
      <c r="AL118" s="190">
        <f>IF($A118&lt;Input!$H$80,IF($A118&lt;Input!$G$80,IF($A118&lt;Input!$F$80,IF($A118&lt;Input!$E$80,IF($A118&lt;Input!$D$80,Input!$C$81,Input!$D$81),Input!$E$81),Input!$F$81),Input!$G$81),Input!$H$81)</f>
        <v>0.9</v>
      </c>
      <c r="AM118" s="60">
        <f t="shared" si="49"/>
        <v>0</v>
      </c>
      <c r="AN118" s="60">
        <f t="shared" si="69"/>
        <v>31</v>
      </c>
      <c r="AO118" s="60">
        <f t="shared" si="50"/>
        <v>0</v>
      </c>
      <c r="AP118" s="60">
        <f>ROUND(AO118*AN118*Input!$C$3/365,0)</f>
        <v>0</v>
      </c>
      <c r="AQ118" s="61">
        <f>IF($A118&lt;=Input!$C$6,0,IF('120M'!AM118&lt;'120M'!AO118,'120M'!AM118-AP118,'120M'!AO118))</f>
        <v>0</v>
      </c>
      <c r="AR118" s="61">
        <f t="shared" si="51"/>
        <v>0</v>
      </c>
      <c r="AS118" s="60">
        <f t="shared" si="52"/>
        <v>0</v>
      </c>
      <c r="AT118" s="193"/>
      <c r="AU118" s="169">
        <v>114</v>
      </c>
      <c r="AV118" s="1">
        <f t="shared" si="70"/>
        <v>48990</v>
      </c>
      <c r="AW118" s="60">
        <f>IF($X118&lt;Input!$H$88,IF($X118&lt;Input!$G$88,IF($X118&lt;Input!$F$88,IF($X118&lt;Input!$E$88,IF($X118&lt;Input!$D$88,Input!$C$94,Input!$D$94),Input!$E$94),Input!$F$94),Input!$G$94),Input!$H$94)</f>
        <v>0</v>
      </c>
      <c r="AX118" s="190">
        <f>IF($A118&lt;Input!$H$95,IF($A118&lt;Input!$G$95,IF($A118&lt;Input!$F$95,IF($A118&lt;Input!$E$95,IF($A118&lt;Input!$D$95,Input!$C$96,Input!$D$96),Input!$E$96),Input!$F$96),Input!$G$96),Input!$H$96)</f>
        <v>0.9</v>
      </c>
      <c r="AY118" s="60">
        <f t="shared" si="53"/>
        <v>0</v>
      </c>
      <c r="AZ118" s="60">
        <f t="shared" si="71"/>
        <v>31</v>
      </c>
      <c r="BA118" s="60">
        <f t="shared" si="54"/>
        <v>0</v>
      </c>
      <c r="BB118" s="60">
        <f>ROUND(BA118*AZ118*Input!$C$3/365,0)</f>
        <v>0</v>
      </c>
      <c r="BC118" s="61">
        <f>IF($A118&lt;=Input!$C$6,0,IF('120M'!AY118&lt;'120M'!BA118,'120M'!AY118-BB118,'120M'!BA118))</f>
        <v>0</v>
      </c>
      <c r="BD118" s="61">
        <f t="shared" si="55"/>
        <v>0</v>
      </c>
      <c r="BE118" s="60">
        <f t="shared" si="56"/>
        <v>0</v>
      </c>
      <c r="BF118" s="193"/>
      <c r="BG118" s="169">
        <v>114</v>
      </c>
      <c r="BH118" s="1">
        <f t="shared" si="72"/>
        <v>48990</v>
      </c>
      <c r="BI118" s="60">
        <f>IF($X118&lt;Input!$H$103,IF($X118&lt;Input!$G$103,IF($X118&lt;Input!$F$103,IF($X118&lt;Input!$E$103,IF($X118&lt;Input!$D$103,Input!$C$109,Input!$D$109),Input!$E$109),Input!$F$109),Input!$G$109),Input!$H$109)</f>
        <v>0</v>
      </c>
      <c r="BJ118" s="190">
        <f>IF($A118&lt;Input!$H$110,IF($A118&lt;Input!$G$110,IF($A118&lt;Input!$F$110,IF($A118&lt;Input!$E$110,IF($A118&lt;Input!$D$110,Input!$C$111,Input!$D$111),Input!$E$111),Input!$F$111),Input!$G$111),Input!$H$111)</f>
        <v>0.9</v>
      </c>
      <c r="BK118" s="60">
        <f t="shared" si="57"/>
        <v>0</v>
      </c>
      <c r="BL118" s="60">
        <f t="shared" si="73"/>
        <v>31</v>
      </c>
      <c r="BM118" s="60">
        <f t="shared" si="58"/>
        <v>0</v>
      </c>
      <c r="BN118" s="60">
        <f>ROUND(BM118*BL118*Input!$C$3/365,0)</f>
        <v>0</v>
      </c>
      <c r="BO118" s="61">
        <f>IF($A118&lt;=Input!$C$6,0,IF('120M'!BK118&lt;'120M'!BM118,'120M'!BK118-BN118,'120M'!BM118))</f>
        <v>0</v>
      </c>
      <c r="BP118" s="61">
        <f t="shared" si="59"/>
        <v>0</v>
      </c>
      <c r="BQ118" s="60">
        <f t="shared" si="60"/>
        <v>0</v>
      </c>
      <c r="BR118" s="198"/>
    </row>
    <row r="119" spans="1:70" x14ac:dyDescent="0.25">
      <c r="A119" s="169">
        <v>115</v>
      </c>
      <c r="B119" s="1">
        <f t="shared" si="61"/>
        <v>49018</v>
      </c>
      <c r="C119" s="60">
        <f t="shared" si="39"/>
        <v>33127052.878124986</v>
      </c>
      <c r="D119" s="60">
        <f t="shared" si="40"/>
        <v>29814347.590312488</v>
      </c>
      <c r="E119" s="60">
        <f t="shared" si="62"/>
        <v>28</v>
      </c>
      <c r="F119" s="60">
        <f t="shared" si="63"/>
        <v>0</v>
      </c>
      <c r="G119" s="60">
        <f>ROUND(F119*E119*Input!$C$3/365,0)</f>
        <v>0</v>
      </c>
      <c r="H119" s="60">
        <f>IF($A119&lt;=Input!$C$6,0,IF('120M'!D119&lt;'120M'!F119,'120M'!D119-G119,'120M'!F119))</f>
        <v>0</v>
      </c>
      <c r="I119" s="60">
        <f t="shared" si="64"/>
        <v>0</v>
      </c>
      <c r="J119" s="60">
        <f t="shared" si="65"/>
        <v>0</v>
      </c>
      <c r="K119" s="202">
        <f>J119/Input!$K$5</f>
        <v>0</v>
      </c>
      <c r="L119" s="232"/>
      <c r="M119" s="60">
        <f>IF($B119&lt;Input!$H$43,IF($B119&lt;Input!$G$43,IF($B119&lt;Input!$F$43,IF($B119&lt;Input!$E$43,IF($B119&lt;Input!$D$43,Input!$C$49,Input!$D$49),Input!$E$49),Input!$F$49),Input!$G$49),Input!$H$49)</f>
        <v>33127052.878124986</v>
      </c>
      <c r="N119" s="190">
        <f>IF($A119&lt;Input!$H$50,IF($A119&lt;Input!$G$50,IF($A119&lt;Input!$F$50,IF($A119&lt;Input!$E$50,IF($A119&lt;Input!$D$50,Input!$C$51,Input!$D$51),Input!$E$51),Input!$F$51),Input!$G$51),Input!$H$51)</f>
        <v>0.9</v>
      </c>
      <c r="O119" s="60">
        <f t="shared" si="74"/>
        <v>29814347.590312488</v>
      </c>
      <c r="P119" s="60">
        <f t="shared" si="75"/>
        <v>28</v>
      </c>
      <c r="Q119" s="60">
        <f t="shared" si="42"/>
        <v>0</v>
      </c>
      <c r="R119" s="60">
        <f>ROUND(Q119*$P119*Input!$C$3/365,0)</f>
        <v>0</v>
      </c>
      <c r="S119" s="60">
        <f>IF(A119&lt;=Input!$C$6,0,IF('120M'!O119&lt;'120M'!Q119,'120M'!O119-R119,'120M'!Q119))</f>
        <v>0</v>
      </c>
      <c r="T119" s="60">
        <f t="shared" si="43"/>
        <v>0</v>
      </c>
      <c r="U119" s="60">
        <f t="shared" si="44"/>
        <v>0</v>
      </c>
      <c r="V119" s="193"/>
      <c r="W119" s="169">
        <v>115</v>
      </c>
      <c r="X119" s="1">
        <f t="shared" si="66"/>
        <v>49018</v>
      </c>
      <c r="Y119" s="60">
        <f>IF($X119&lt;Input!$H$58,IF($X119&lt;Input!$G$58,IF($X119&lt;Input!$F$58,IF($X119&lt;Input!$E$58,IF($X119&lt;Input!$D$58,Input!$C$64,Input!$D$64),Input!$E$64),Input!$F$64),Input!$G$64),Input!$H$64)</f>
        <v>0</v>
      </c>
      <c r="Z119" s="190">
        <f>IF($A119&lt;Input!$H$65,IF($A119&lt;Input!$G$65,IF($A119&lt;Input!$F$65,IF($A119&lt;Input!$E$65,IF($A119&lt;Input!$D$65,Input!$C$66,Input!$D$66),Input!$E$66),Input!$F$66),Input!$G$66),Input!$H$66)</f>
        <v>0.9</v>
      </c>
      <c r="AA119" s="60">
        <f t="shared" si="45"/>
        <v>0</v>
      </c>
      <c r="AB119" s="60">
        <f t="shared" si="67"/>
        <v>28</v>
      </c>
      <c r="AC119" s="60">
        <f t="shared" si="46"/>
        <v>0</v>
      </c>
      <c r="AD119" s="60">
        <f>ROUND(AC119*AB119*Input!$C$3/365,0)</f>
        <v>0</v>
      </c>
      <c r="AE119" s="61">
        <f>IF($A119&lt;=Input!$C$6,0,IF('120M'!AA119&lt;'120M'!AC119,'120M'!AA119-AD119,'120M'!AC119))</f>
        <v>0</v>
      </c>
      <c r="AF119" s="61">
        <f t="shared" si="47"/>
        <v>0</v>
      </c>
      <c r="AG119" s="60">
        <f t="shared" si="48"/>
        <v>0</v>
      </c>
      <c r="AH119" s="193"/>
      <c r="AI119" s="169">
        <v>115</v>
      </c>
      <c r="AJ119" s="1">
        <f t="shared" si="68"/>
        <v>49018</v>
      </c>
      <c r="AK119" s="60">
        <f>IF($X119&lt;Input!$H$73,IF($X119&lt;Input!$G$73,IF($X119&lt;Input!$F$73,IF($X119&lt;Input!$E$73,IF($X119&lt;Input!$D$73,Input!$C$79,Input!$D$79),Input!$E$79),Input!$F$79),Input!$G$79),Input!$H$79)</f>
        <v>0</v>
      </c>
      <c r="AL119" s="190">
        <f>IF($A119&lt;Input!$H$80,IF($A119&lt;Input!$G$80,IF($A119&lt;Input!$F$80,IF($A119&lt;Input!$E$80,IF($A119&lt;Input!$D$80,Input!$C$81,Input!$D$81),Input!$E$81),Input!$F$81),Input!$G$81),Input!$H$81)</f>
        <v>0.9</v>
      </c>
      <c r="AM119" s="60">
        <f t="shared" si="49"/>
        <v>0</v>
      </c>
      <c r="AN119" s="60">
        <f t="shared" si="69"/>
        <v>28</v>
      </c>
      <c r="AO119" s="60">
        <f t="shared" si="50"/>
        <v>0</v>
      </c>
      <c r="AP119" s="60">
        <f>ROUND(AO119*AN119*Input!$C$3/365,0)</f>
        <v>0</v>
      </c>
      <c r="AQ119" s="61">
        <f>IF($A119&lt;=Input!$C$6,0,IF('120M'!AM119&lt;'120M'!AO119,'120M'!AM119-AP119,'120M'!AO119))</f>
        <v>0</v>
      </c>
      <c r="AR119" s="61">
        <f t="shared" si="51"/>
        <v>0</v>
      </c>
      <c r="AS119" s="60">
        <f t="shared" si="52"/>
        <v>0</v>
      </c>
      <c r="AT119" s="193"/>
      <c r="AU119" s="169">
        <v>115</v>
      </c>
      <c r="AV119" s="1">
        <f t="shared" si="70"/>
        <v>49018</v>
      </c>
      <c r="AW119" s="60">
        <f>IF($X119&lt;Input!$H$88,IF($X119&lt;Input!$G$88,IF($X119&lt;Input!$F$88,IF($X119&lt;Input!$E$88,IF($X119&lt;Input!$D$88,Input!$C$94,Input!$D$94),Input!$E$94),Input!$F$94),Input!$G$94),Input!$H$94)</f>
        <v>0</v>
      </c>
      <c r="AX119" s="190">
        <f>IF($A119&lt;Input!$H$95,IF($A119&lt;Input!$G$95,IF($A119&lt;Input!$F$95,IF($A119&lt;Input!$E$95,IF($A119&lt;Input!$D$95,Input!$C$96,Input!$D$96),Input!$E$96),Input!$F$96),Input!$G$96),Input!$H$96)</f>
        <v>0.9</v>
      </c>
      <c r="AY119" s="60">
        <f t="shared" si="53"/>
        <v>0</v>
      </c>
      <c r="AZ119" s="60">
        <f t="shared" si="71"/>
        <v>28</v>
      </c>
      <c r="BA119" s="60">
        <f t="shared" si="54"/>
        <v>0</v>
      </c>
      <c r="BB119" s="60">
        <f>ROUND(BA119*AZ119*Input!$C$3/365,0)</f>
        <v>0</v>
      </c>
      <c r="BC119" s="61">
        <f>IF($A119&lt;=Input!$C$6,0,IF('120M'!AY119&lt;'120M'!BA119,'120M'!AY119-BB119,'120M'!BA119))</f>
        <v>0</v>
      </c>
      <c r="BD119" s="61">
        <f t="shared" si="55"/>
        <v>0</v>
      </c>
      <c r="BE119" s="60">
        <f t="shared" si="56"/>
        <v>0</v>
      </c>
      <c r="BF119" s="193"/>
      <c r="BG119" s="169">
        <v>115</v>
      </c>
      <c r="BH119" s="1">
        <f t="shared" si="72"/>
        <v>49018</v>
      </c>
      <c r="BI119" s="60">
        <f>IF($X119&lt;Input!$H$103,IF($X119&lt;Input!$G$103,IF($X119&lt;Input!$F$103,IF($X119&lt;Input!$E$103,IF($X119&lt;Input!$D$103,Input!$C$109,Input!$D$109),Input!$E$109),Input!$F$109),Input!$G$109),Input!$H$109)</f>
        <v>0</v>
      </c>
      <c r="BJ119" s="190">
        <f>IF($A119&lt;Input!$H$110,IF($A119&lt;Input!$G$110,IF($A119&lt;Input!$F$110,IF($A119&lt;Input!$E$110,IF($A119&lt;Input!$D$110,Input!$C$111,Input!$D$111),Input!$E$111),Input!$F$111),Input!$G$111),Input!$H$111)</f>
        <v>0.9</v>
      </c>
      <c r="BK119" s="60">
        <f t="shared" si="57"/>
        <v>0</v>
      </c>
      <c r="BL119" s="60">
        <f t="shared" si="73"/>
        <v>28</v>
      </c>
      <c r="BM119" s="60">
        <f t="shared" si="58"/>
        <v>0</v>
      </c>
      <c r="BN119" s="60">
        <f>ROUND(BM119*BL119*Input!$C$3/365,0)</f>
        <v>0</v>
      </c>
      <c r="BO119" s="61">
        <f>IF($A119&lt;=Input!$C$6,0,IF('120M'!BK119&lt;'120M'!BM119,'120M'!BK119-BN119,'120M'!BM119))</f>
        <v>0</v>
      </c>
      <c r="BP119" s="61">
        <f t="shared" si="59"/>
        <v>0</v>
      </c>
      <c r="BQ119" s="60">
        <f t="shared" si="60"/>
        <v>0</v>
      </c>
      <c r="BR119" s="198"/>
    </row>
    <row r="120" spans="1:70" x14ac:dyDescent="0.25">
      <c r="A120" s="169">
        <v>116</v>
      </c>
      <c r="B120" s="1">
        <f t="shared" si="61"/>
        <v>49049</v>
      </c>
      <c r="C120" s="60">
        <f t="shared" si="39"/>
        <v>33127052.878124986</v>
      </c>
      <c r="D120" s="60">
        <f t="shared" si="40"/>
        <v>29814347.590312488</v>
      </c>
      <c r="E120" s="60">
        <f t="shared" si="62"/>
        <v>31</v>
      </c>
      <c r="F120" s="60">
        <f t="shared" si="63"/>
        <v>0</v>
      </c>
      <c r="G120" s="60">
        <f>ROUND(F120*E120*Input!$C$3/365,0)</f>
        <v>0</v>
      </c>
      <c r="H120" s="60">
        <f>IF($A120&lt;=Input!$C$6,0,IF('120M'!D120&lt;'120M'!F120,'120M'!D120-G120,'120M'!F120))</f>
        <v>0</v>
      </c>
      <c r="I120" s="60">
        <f t="shared" si="64"/>
        <v>0</v>
      </c>
      <c r="J120" s="60">
        <f t="shared" si="65"/>
        <v>0</v>
      </c>
      <c r="K120" s="202">
        <f>J120/Input!$K$5</f>
        <v>0</v>
      </c>
      <c r="L120" s="232"/>
      <c r="M120" s="60">
        <f>IF($B120&lt;Input!$H$43,IF($B120&lt;Input!$G$43,IF($B120&lt;Input!$F$43,IF($B120&lt;Input!$E$43,IF($B120&lt;Input!$D$43,Input!$C$49,Input!$D$49),Input!$E$49),Input!$F$49),Input!$G$49),Input!$H$49)</f>
        <v>33127052.878124986</v>
      </c>
      <c r="N120" s="190">
        <f>IF($A120&lt;Input!$H$50,IF($A120&lt;Input!$G$50,IF($A120&lt;Input!$F$50,IF($A120&lt;Input!$E$50,IF($A120&lt;Input!$D$50,Input!$C$51,Input!$D$51),Input!$E$51),Input!$F$51),Input!$G$51),Input!$H$51)</f>
        <v>0.9</v>
      </c>
      <c r="O120" s="60">
        <f t="shared" si="74"/>
        <v>29814347.590312488</v>
      </c>
      <c r="P120" s="60">
        <f t="shared" si="75"/>
        <v>31</v>
      </c>
      <c r="Q120" s="60">
        <f t="shared" si="42"/>
        <v>0</v>
      </c>
      <c r="R120" s="60">
        <f>ROUND(Q120*$P120*Input!$C$3/365,0)</f>
        <v>0</v>
      </c>
      <c r="S120" s="60">
        <f>IF(A120&lt;=Input!$C$6,0,IF('120M'!O120&lt;'120M'!Q120,'120M'!O120-R120,'120M'!Q120))</f>
        <v>0</v>
      </c>
      <c r="T120" s="60">
        <f t="shared" si="43"/>
        <v>0</v>
      </c>
      <c r="U120" s="60">
        <f t="shared" si="44"/>
        <v>0</v>
      </c>
      <c r="V120" s="193"/>
      <c r="W120" s="169">
        <v>116</v>
      </c>
      <c r="X120" s="1">
        <f t="shared" si="66"/>
        <v>49049</v>
      </c>
      <c r="Y120" s="60">
        <f>IF($X120&lt;Input!$H$58,IF($X120&lt;Input!$G$58,IF($X120&lt;Input!$F$58,IF($X120&lt;Input!$E$58,IF($X120&lt;Input!$D$58,Input!$C$64,Input!$D$64),Input!$E$64),Input!$F$64),Input!$G$64),Input!$H$64)</f>
        <v>0</v>
      </c>
      <c r="Z120" s="190">
        <f>IF($A120&lt;Input!$H$65,IF($A120&lt;Input!$G$65,IF($A120&lt;Input!$F$65,IF($A120&lt;Input!$E$65,IF($A120&lt;Input!$D$65,Input!$C$66,Input!$D$66),Input!$E$66),Input!$F$66),Input!$G$66),Input!$H$66)</f>
        <v>0.9</v>
      </c>
      <c r="AA120" s="60">
        <f t="shared" si="45"/>
        <v>0</v>
      </c>
      <c r="AB120" s="60">
        <f t="shared" si="67"/>
        <v>31</v>
      </c>
      <c r="AC120" s="60">
        <f t="shared" si="46"/>
        <v>0</v>
      </c>
      <c r="AD120" s="60">
        <f>ROUND(AC120*AB120*Input!$C$3/365,0)</f>
        <v>0</v>
      </c>
      <c r="AE120" s="61">
        <f>IF($A120&lt;=Input!$C$6,0,IF('120M'!AA120&lt;'120M'!AC120,'120M'!AA120-AD120,'120M'!AC120))</f>
        <v>0</v>
      </c>
      <c r="AF120" s="61">
        <f t="shared" si="47"/>
        <v>0</v>
      </c>
      <c r="AG120" s="60">
        <f t="shared" si="48"/>
        <v>0</v>
      </c>
      <c r="AH120" s="193"/>
      <c r="AI120" s="169">
        <v>116</v>
      </c>
      <c r="AJ120" s="1">
        <f t="shared" si="68"/>
        <v>49049</v>
      </c>
      <c r="AK120" s="60">
        <f>IF($X120&lt;Input!$H$73,IF($X120&lt;Input!$G$73,IF($X120&lt;Input!$F$73,IF($X120&lt;Input!$E$73,IF($X120&lt;Input!$D$73,Input!$C$79,Input!$D$79),Input!$E$79),Input!$F$79),Input!$G$79),Input!$H$79)</f>
        <v>0</v>
      </c>
      <c r="AL120" s="190">
        <f>IF($A120&lt;Input!$H$80,IF($A120&lt;Input!$G$80,IF($A120&lt;Input!$F$80,IF($A120&lt;Input!$E$80,IF($A120&lt;Input!$D$80,Input!$C$81,Input!$D$81),Input!$E$81),Input!$F$81),Input!$G$81),Input!$H$81)</f>
        <v>0.9</v>
      </c>
      <c r="AM120" s="60">
        <f t="shared" si="49"/>
        <v>0</v>
      </c>
      <c r="AN120" s="60">
        <f t="shared" si="69"/>
        <v>31</v>
      </c>
      <c r="AO120" s="60">
        <f t="shared" si="50"/>
        <v>0</v>
      </c>
      <c r="AP120" s="60">
        <f>ROUND(AO120*AN120*Input!$C$3/365,0)</f>
        <v>0</v>
      </c>
      <c r="AQ120" s="61">
        <f>IF($A120&lt;=Input!$C$6,0,IF('120M'!AM120&lt;'120M'!AO120,'120M'!AM120-AP120,'120M'!AO120))</f>
        <v>0</v>
      </c>
      <c r="AR120" s="61">
        <f t="shared" si="51"/>
        <v>0</v>
      </c>
      <c r="AS120" s="60">
        <f t="shared" si="52"/>
        <v>0</v>
      </c>
      <c r="AT120" s="193"/>
      <c r="AU120" s="169">
        <v>116</v>
      </c>
      <c r="AV120" s="1">
        <f t="shared" si="70"/>
        <v>49049</v>
      </c>
      <c r="AW120" s="60">
        <f>IF($X120&lt;Input!$H$88,IF($X120&lt;Input!$G$88,IF($X120&lt;Input!$F$88,IF($X120&lt;Input!$E$88,IF($X120&lt;Input!$D$88,Input!$C$94,Input!$D$94),Input!$E$94),Input!$F$94),Input!$G$94),Input!$H$94)</f>
        <v>0</v>
      </c>
      <c r="AX120" s="190">
        <f>IF($A120&lt;Input!$H$95,IF($A120&lt;Input!$G$95,IF($A120&lt;Input!$F$95,IF($A120&lt;Input!$E$95,IF($A120&lt;Input!$D$95,Input!$C$96,Input!$D$96),Input!$E$96),Input!$F$96),Input!$G$96),Input!$H$96)</f>
        <v>0.9</v>
      </c>
      <c r="AY120" s="60">
        <f t="shared" si="53"/>
        <v>0</v>
      </c>
      <c r="AZ120" s="60">
        <f t="shared" si="71"/>
        <v>31</v>
      </c>
      <c r="BA120" s="60">
        <f t="shared" si="54"/>
        <v>0</v>
      </c>
      <c r="BB120" s="60">
        <f>ROUND(BA120*AZ120*Input!$C$3/365,0)</f>
        <v>0</v>
      </c>
      <c r="BC120" s="61">
        <f>IF($A120&lt;=Input!$C$6,0,IF('120M'!AY120&lt;'120M'!BA120,'120M'!AY120-BB120,'120M'!BA120))</f>
        <v>0</v>
      </c>
      <c r="BD120" s="61">
        <f t="shared" si="55"/>
        <v>0</v>
      </c>
      <c r="BE120" s="60">
        <f t="shared" si="56"/>
        <v>0</v>
      </c>
      <c r="BF120" s="193"/>
      <c r="BG120" s="169">
        <v>116</v>
      </c>
      <c r="BH120" s="1">
        <f t="shared" si="72"/>
        <v>49049</v>
      </c>
      <c r="BI120" s="60">
        <f>IF($X120&lt;Input!$H$103,IF($X120&lt;Input!$G$103,IF($X120&lt;Input!$F$103,IF($X120&lt;Input!$E$103,IF($X120&lt;Input!$D$103,Input!$C$109,Input!$D$109),Input!$E$109),Input!$F$109),Input!$G$109),Input!$H$109)</f>
        <v>0</v>
      </c>
      <c r="BJ120" s="190">
        <f>IF($A120&lt;Input!$H$110,IF($A120&lt;Input!$G$110,IF($A120&lt;Input!$F$110,IF($A120&lt;Input!$E$110,IF($A120&lt;Input!$D$110,Input!$C$111,Input!$D$111),Input!$E$111),Input!$F$111),Input!$G$111),Input!$H$111)</f>
        <v>0.9</v>
      </c>
      <c r="BK120" s="60">
        <f t="shared" si="57"/>
        <v>0</v>
      </c>
      <c r="BL120" s="60">
        <f t="shared" si="73"/>
        <v>31</v>
      </c>
      <c r="BM120" s="60">
        <f t="shared" si="58"/>
        <v>0</v>
      </c>
      <c r="BN120" s="60">
        <f>ROUND(BM120*BL120*Input!$C$3/365,0)</f>
        <v>0</v>
      </c>
      <c r="BO120" s="61">
        <f>IF($A120&lt;=Input!$C$6,0,IF('120M'!BK120&lt;'120M'!BM120,'120M'!BK120-BN120,'120M'!BM120))</f>
        <v>0</v>
      </c>
      <c r="BP120" s="61">
        <f t="shared" si="59"/>
        <v>0</v>
      </c>
      <c r="BQ120" s="60">
        <f t="shared" si="60"/>
        <v>0</v>
      </c>
      <c r="BR120" s="198"/>
    </row>
    <row r="121" spans="1:70" x14ac:dyDescent="0.25">
      <c r="A121" s="169">
        <v>117</v>
      </c>
      <c r="B121" s="1">
        <f t="shared" si="61"/>
        <v>49079</v>
      </c>
      <c r="C121" s="60">
        <f t="shared" si="39"/>
        <v>33127052.878124986</v>
      </c>
      <c r="D121" s="60">
        <f t="shared" si="40"/>
        <v>29814347.590312488</v>
      </c>
      <c r="E121" s="60">
        <f t="shared" si="62"/>
        <v>30</v>
      </c>
      <c r="F121" s="60">
        <f t="shared" si="63"/>
        <v>0</v>
      </c>
      <c r="G121" s="60">
        <f>ROUND(F121*E121*Input!$C$3/365,0)</f>
        <v>0</v>
      </c>
      <c r="H121" s="60">
        <f>IF($A121&lt;=Input!$C$6,0,IF('120M'!D121&lt;'120M'!F121,'120M'!D121-G121,'120M'!F121))</f>
        <v>0</v>
      </c>
      <c r="I121" s="60">
        <f t="shared" si="64"/>
        <v>0</v>
      </c>
      <c r="J121" s="60">
        <f t="shared" si="65"/>
        <v>0</v>
      </c>
      <c r="K121" s="202">
        <f>J121/Input!$K$5</f>
        <v>0</v>
      </c>
      <c r="L121" s="232"/>
      <c r="M121" s="60">
        <f>IF($B121&lt;Input!$H$43,IF($B121&lt;Input!$G$43,IF($B121&lt;Input!$F$43,IF($B121&lt;Input!$E$43,IF($B121&lt;Input!$D$43,Input!$C$49,Input!$D$49),Input!$E$49),Input!$F$49),Input!$G$49),Input!$H$49)</f>
        <v>33127052.878124986</v>
      </c>
      <c r="N121" s="190">
        <f>IF($A121&lt;Input!$H$50,IF($A121&lt;Input!$G$50,IF($A121&lt;Input!$F$50,IF($A121&lt;Input!$E$50,IF($A121&lt;Input!$D$50,Input!$C$51,Input!$D$51),Input!$E$51),Input!$F$51),Input!$G$51),Input!$H$51)</f>
        <v>0.9</v>
      </c>
      <c r="O121" s="60">
        <f t="shared" si="74"/>
        <v>29814347.590312488</v>
      </c>
      <c r="P121" s="60">
        <f t="shared" si="75"/>
        <v>30</v>
      </c>
      <c r="Q121" s="60">
        <f t="shared" si="42"/>
        <v>0</v>
      </c>
      <c r="R121" s="60">
        <f>ROUND(Q121*$P121*Input!$C$3/365,0)</f>
        <v>0</v>
      </c>
      <c r="S121" s="60">
        <f>IF(A121&lt;=Input!$C$6,0,IF('120M'!O121&lt;'120M'!Q121,'120M'!O121-R121,'120M'!Q121))</f>
        <v>0</v>
      </c>
      <c r="T121" s="60">
        <f t="shared" si="43"/>
        <v>0</v>
      </c>
      <c r="U121" s="60">
        <f t="shared" si="44"/>
        <v>0</v>
      </c>
      <c r="V121" s="193"/>
      <c r="W121" s="169">
        <v>117</v>
      </c>
      <c r="X121" s="1">
        <f t="shared" si="66"/>
        <v>49079</v>
      </c>
      <c r="Y121" s="60">
        <f>IF($X121&lt;Input!$H$58,IF($X121&lt;Input!$G$58,IF($X121&lt;Input!$F$58,IF($X121&lt;Input!$E$58,IF($X121&lt;Input!$D$58,Input!$C$64,Input!$D$64),Input!$E$64),Input!$F$64),Input!$G$64),Input!$H$64)</f>
        <v>0</v>
      </c>
      <c r="Z121" s="190">
        <f>IF($A121&lt;Input!$H$65,IF($A121&lt;Input!$G$65,IF($A121&lt;Input!$F$65,IF($A121&lt;Input!$E$65,IF($A121&lt;Input!$D$65,Input!$C$66,Input!$D$66),Input!$E$66),Input!$F$66),Input!$G$66),Input!$H$66)</f>
        <v>0.9</v>
      </c>
      <c r="AA121" s="60">
        <f t="shared" si="45"/>
        <v>0</v>
      </c>
      <c r="AB121" s="60">
        <f t="shared" si="67"/>
        <v>30</v>
      </c>
      <c r="AC121" s="60">
        <f t="shared" si="46"/>
        <v>0</v>
      </c>
      <c r="AD121" s="60">
        <f>ROUND(AC121*AB121*Input!$C$3/365,0)</f>
        <v>0</v>
      </c>
      <c r="AE121" s="61">
        <f>IF($A121&lt;=Input!$C$6,0,IF('120M'!AA121&lt;'120M'!AC121,'120M'!AA121-AD121,'120M'!AC121))</f>
        <v>0</v>
      </c>
      <c r="AF121" s="61">
        <f t="shared" si="47"/>
        <v>0</v>
      </c>
      <c r="AG121" s="60">
        <f t="shared" si="48"/>
        <v>0</v>
      </c>
      <c r="AH121" s="193"/>
      <c r="AI121" s="169">
        <v>117</v>
      </c>
      <c r="AJ121" s="1">
        <f t="shared" si="68"/>
        <v>49079</v>
      </c>
      <c r="AK121" s="60">
        <f>IF($X121&lt;Input!$H$73,IF($X121&lt;Input!$G$73,IF($X121&lt;Input!$F$73,IF($X121&lt;Input!$E$73,IF($X121&lt;Input!$D$73,Input!$C$79,Input!$D$79),Input!$E$79),Input!$F$79),Input!$G$79),Input!$H$79)</f>
        <v>0</v>
      </c>
      <c r="AL121" s="190">
        <f>IF($A121&lt;Input!$H$80,IF($A121&lt;Input!$G$80,IF($A121&lt;Input!$F$80,IF($A121&lt;Input!$E$80,IF($A121&lt;Input!$D$80,Input!$C$81,Input!$D$81),Input!$E$81),Input!$F$81),Input!$G$81),Input!$H$81)</f>
        <v>0.9</v>
      </c>
      <c r="AM121" s="60">
        <f t="shared" si="49"/>
        <v>0</v>
      </c>
      <c r="AN121" s="60">
        <f t="shared" si="69"/>
        <v>30</v>
      </c>
      <c r="AO121" s="60">
        <f t="shared" si="50"/>
        <v>0</v>
      </c>
      <c r="AP121" s="60">
        <f>ROUND(AO121*AN121*Input!$C$3/365,0)</f>
        <v>0</v>
      </c>
      <c r="AQ121" s="61">
        <f>IF($A121&lt;=Input!$C$6,0,IF('120M'!AM121&lt;'120M'!AO121,'120M'!AM121-AP121,'120M'!AO121))</f>
        <v>0</v>
      </c>
      <c r="AR121" s="61">
        <f t="shared" si="51"/>
        <v>0</v>
      </c>
      <c r="AS121" s="60">
        <f t="shared" si="52"/>
        <v>0</v>
      </c>
      <c r="AT121" s="193"/>
      <c r="AU121" s="169">
        <v>117</v>
      </c>
      <c r="AV121" s="1">
        <f t="shared" si="70"/>
        <v>49079</v>
      </c>
      <c r="AW121" s="60">
        <f>IF($X121&lt;Input!$H$88,IF($X121&lt;Input!$G$88,IF($X121&lt;Input!$F$88,IF($X121&lt;Input!$E$88,IF($X121&lt;Input!$D$88,Input!$C$94,Input!$D$94),Input!$E$94),Input!$F$94),Input!$G$94),Input!$H$94)</f>
        <v>0</v>
      </c>
      <c r="AX121" s="190">
        <f>IF($A121&lt;Input!$H$95,IF($A121&lt;Input!$G$95,IF($A121&lt;Input!$F$95,IF($A121&lt;Input!$E$95,IF($A121&lt;Input!$D$95,Input!$C$96,Input!$D$96),Input!$E$96),Input!$F$96),Input!$G$96),Input!$H$96)</f>
        <v>0.9</v>
      </c>
      <c r="AY121" s="60">
        <f t="shared" si="53"/>
        <v>0</v>
      </c>
      <c r="AZ121" s="60">
        <f t="shared" si="71"/>
        <v>30</v>
      </c>
      <c r="BA121" s="60">
        <f t="shared" si="54"/>
        <v>0</v>
      </c>
      <c r="BB121" s="60">
        <f>ROUND(BA121*AZ121*Input!$C$3/365,0)</f>
        <v>0</v>
      </c>
      <c r="BC121" s="61">
        <f>IF($A121&lt;=Input!$C$6,0,IF('120M'!AY121&lt;'120M'!BA121,'120M'!AY121-BB121,'120M'!BA121))</f>
        <v>0</v>
      </c>
      <c r="BD121" s="61">
        <f t="shared" si="55"/>
        <v>0</v>
      </c>
      <c r="BE121" s="60">
        <f t="shared" si="56"/>
        <v>0</v>
      </c>
      <c r="BF121" s="193"/>
      <c r="BG121" s="169">
        <v>117</v>
      </c>
      <c r="BH121" s="1">
        <f t="shared" si="72"/>
        <v>49079</v>
      </c>
      <c r="BI121" s="60">
        <f>IF($X121&lt;Input!$H$103,IF($X121&lt;Input!$G$103,IF($X121&lt;Input!$F$103,IF($X121&lt;Input!$E$103,IF($X121&lt;Input!$D$103,Input!$C$109,Input!$D$109),Input!$E$109),Input!$F$109),Input!$G$109),Input!$H$109)</f>
        <v>0</v>
      </c>
      <c r="BJ121" s="190">
        <f>IF($A121&lt;Input!$H$110,IF($A121&lt;Input!$G$110,IF($A121&lt;Input!$F$110,IF($A121&lt;Input!$E$110,IF($A121&lt;Input!$D$110,Input!$C$111,Input!$D$111),Input!$E$111),Input!$F$111),Input!$G$111),Input!$H$111)</f>
        <v>0.9</v>
      </c>
      <c r="BK121" s="60">
        <f t="shared" si="57"/>
        <v>0</v>
      </c>
      <c r="BL121" s="60">
        <f t="shared" si="73"/>
        <v>30</v>
      </c>
      <c r="BM121" s="60">
        <f t="shared" si="58"/>
        <v>0</v>
      </c>
      <c r="BN121" s="60">
        <f>ROUND(BM121*BL121*Input!$C$3/365,0)</f>
        <v>0</v>
      </c>
      <c r="BO121" s="61">
        <f>IF($A121&lt;=Input!$C$6,0,IF('120M'!BK121&lt;'120M'!BM121,'120M'!BK121-BN121,'120M'!BM121))</f>
        <v>0</v>
      </c>
      <c r="BP121" s="61">
        <f t="shared" si="59"/>
        <v>0</v>
      </c>
      <c r="BQ121" s="60">
        <f t="shared" si="60"/>
        <v>0</v>
      </c>
      <c r="BR121" s="198"/>
    </row>
    <row r="122" spans="1:70" x14ac:dyDescent="0.25">
      <c r="A122" s="169">
        <v>118</v>
      </c>
      <c r="B122" s="1">
        <f t="shared" si="61"/>
        <v>49110</v>
      </c>
      <c r="C122" s="60">
        <f t="shared" si="39"/>
        <v>33127052.878124986</v>
      </c>
      <c r="D122" s="60">
        <f t="shared" si="40"/>
        <v>29814347.590312488</v>
      </c>
      <c r="E122" s="60">
        <f t="shared" si="62"/>
        <v>31</v>
      </c>
      <c r="F122" s="60">
        <f t="shared" si="63"/>
        <v>0</v>
      </c>
      <c r="G122" s="60">
        <f>ROUND(F122*E122*Input!$C$3/365,0)</f>
        <v>0</v>
      </c>
      <c r="H122" s="60">
        <f>IF($A122&lt;=Input!$C$6,0,IF('120M'!D122&lt;'120M'!F122,'120M'!D122-G122,'120M'!F122))</f>
        <v>0</v>
      </c>
      <c r="I122" s="60">
        <f t="shared" si="64"/>
        <v>0</v>
      </c>
      <c r="J122" s="60">
        <f t="shared" si="65"/>
        <v>0</v>
      </c>
      <c r="K122" s="202">
        <f>J122/Input!$K$5</f>
        <v>0</v>
      </c>
      <c r="L122" s="232"/>
      <c r="M122" s="60">
        <f>IF($B122&lt;Input!$H$43,IF($B122&lt;Input!$G$43,IF($B122&lt;Input!$F$43,IF($B122&lt;Input!$E$43,IF($B122&lt;Input!$D$43,Input!$C$49,Input!$D$49),Input!$E$49),Input!$F$49),Input!$G$49),Input!$H$49)</f>
        <v>33127052.878124986</v>
      </c>
      <c r="N122" s="190">
        <f>IF($A122&lt;Input!$H$50,IF($A122&lt;Input!$G$50,IF($A122&lt;Input!$F$50,IF($A122&lt;Input!$E$50,IF($A122&lt;Input!$D$50,Input!$C$51,Input!$D$51),Input!$E$51),Input!$F$51),Input!$G$51),Input!$H$51)</f>
        <v>0.9</v>
      </c>
      <c r="O122" s="60">
        <f t="shared" si="74"/>
        <v>29814347.590312488</v>
      </c>
      <c r="P122" s="60">
        <f t="shared" si="75"/>
        <v>31</v>
      </c>
      <c r="Q122" s="60">
        <f t="shared" si="42"/>
        <v>0</v>
      </c>
      <c r="R122" s="60">
        <f>ROUND(Q122*$P122*Input!$C$3/365,0)</f>
        <v>0</v>
      </c>
      <c r="S122" s="60">
        <f>IF(A122&lt;=Input!$C$6,0,IF('120M'!O122&lt;'120M'!Q122,'120M'!O122-R122,'120M'!Q122))</f>
        <v>0</v>
      </c>
      <c r="T122" s="60">
        <f t="shared" si="43"/>
        <v>0</v>
      </c>
      <c r="U122" s="60">
        <f t="shared" si="44"/>
        <v>0</v>
      </c>
      <c r="V122" s="193"/>
      <c r="W122" s="169">
        <v>118</v>
      </c>
      <c r="X122" s="1">
        <f t="shared" si="66"/>
        <v>49110</v>
      </c>
      <c r="Y122" s="60">
        <f>IF($X122&lt;Input!$H$58,IF($X122&lt;Input!$G$58,IF($X122&lt;Input!$F$58,IF($X122&lt;Input!$E$58,IF($X122&lt;Input!$D$58,Input!$C$64,Input!$D$64),Input!$E$64),Input!$F$64),Input!$G$64),Input!$H$64)</f>
        <v>0</v>
      </c>
      <c r="Z122" s="190">
        <f>IF($A122&lt;Input!$H$65,IF($A122&lt;Input!$G$65,IF($A122&lt;Input!$F$65,IF($A122&lt;Input!$E$65,IF($A122&lt;Input!$D$65,Input!$C$66,Input!$D$66),Input!$E$66),Input!$F$66),Input!$G$66),Input!$H$66)</f>
        <v>0.9</v>
      </c>
      <c r="AA122" s="60">
        <f t="shared" si="45"/>
        <v>0</v>
      </c>
      <c r="AB122" s="60">
        <f t="shared" si="67"/>
        <v>31</v>
      </c>
      <c r="AC122" s="60">
        <f t="shared" si="46"/>
        <v>0</v>
      </c>
      <c r="AD122" s="60">
        <f>ROUND(AC122*AB122*Input!$C$3/365,0)</f>
        <v>0</v>
      </c>
      <c r="AE122" s="61">
        <f>IF($A122&lt;=Input!$C$6,0,IF('120M'!AA122&lt;'120M'!AC122,'120M'!AA122-AD122,'120M'!AC122))</f>
        <v>0</v>
      </c>
      <c r="AF122" s="61">
        <f t="shared" si="47"/>
        <v>0</v>
      </c>
      <c r="AG122" s="60">
        <f t="shared" si="48"/>
        <v>0</v>
      </c>
      <c r="AH122" s="193"/>
      <c r="AI122" s="169">
        <v>118</v>
      </c>
      <c r="AJ122" s="1">
        <f t="shared" si="68"/>
        <v>49110</v>
      </c>
      <c r="AK122" s="60">
        <f>IF($X122&lt;Input!$H$73,IF($X122&lt;Input!$G$73,IF($X122&lt;Input!$F$73,IF($X122&lt;Input!$E$73,IF($X122&lt;Input!$D$73,Input!$C$79,Input!$D$79),Input!$E$79),Input!$F$79),Input!$G$79),Input!$H$79)</f>
        <v>0</v>
      </c>
      <c r="AL122" s="190">
        <f>IF($A122&lt;Input!$H$80,IF($A122&lt;Input!$G$80,IF($A122&lt;Input!$F$80,IF($A122&lt;Input!$E$80,IF($A122&lt;Input!$D$80,Input!$C$81,Input!$D$81),Input!$E$81),Input!$F$81),Input!$G$81),Input!$H$81)</f>
        <v>0.9</v>
      </c>
      <c r="AM122" s="60">
        <f t="shared" si="49"/>
        <v>0</v>
      </c>
      <c r="AN122" s="60">
        <f t="shared" si="69"/>
        <v>31</v>
      </c>
      <c r="AO122" s="60">
        <f t="shared" si="50"/>
        <v>0</v>
      </c>
      <c r="AP122" s="60">
        <f>ROUND(AO122*AN122*Input!$C$3/365,0)</f>
        <v>0</v>
      </c>
      <c r="AQ122" s="61">
        <f>IF($A122&lt;=Input!$C$6,0,IF('120M'!AM122&lt;'120M'!AO122,'120M'!AM122-AP122,'120M'!AO122))</f>
        <v>0</v>
      </c>
      <c r="AR122" s="61">
        <f t="shared" si="51"/>
        <v>0</v>
      </c>
      <c r="AS122" s="60">
        <f t="shared" si="52"/>
        <v>0</v>
      </c>
      <c r="AT122" s="193"/>
      <c r="AU122" s="169">
        <v>118</v>
      </c>
      <c r="AV122" s="1">
        <f t="shared" si="70"/>
        <v>49110</v>
      </c>
      <c r="AW122" s="60">
        <f>IF($X122&lt;Input!$H$88,IF($X122&lt;Input!$G$88,IF($X122&lt;Input!$F$88,IF($X122&lt;Input!$E$88,IF($X122&lt;Input!$D$88,Input!$C$94,Input!$D$94),Input!$E$94),Input!$F$94),Input!$G$94),Input!$H$94)</f>
        <v>0</v>
      </c>
      <c r="AX122" s="190">
        <f>IF($A122&lt;Input!$H$95,IF($A122&lt;Input!$G$95,IF($A122&lt;Input!$F$95,IF($A122&lt;Input!$E$95,IF($A122&lt;Input!$D$95,Input!$C$96,Input!$D$96),Input!$E$96),Input!$F$96),Input!$G$96),Input!$H$96)</f>
        <v>0.9</v>
      </c>
      <c r="AY122" s="60">
        <f t="shared" si="53"/>
        <v>0</v>
      </c>
      <c r="AZ122" s="60">
        <f t="shared" si="71"/>
        <v>31</v>
      </c>
      <c r="BA122" s="60">
        <f t="shared" si="54"/>
        <v>0</v>
      </c>
      <c r="BB122" s="60">
        <f>ROUND(BA122*AZ122*Input!$C$3/365,0)</f>
        <v>0</v>
      </c>
      <c r="BC122" s="61">
        <f>IF($A122&lt;=Input!$C$6,0,IF('120M'!AY122&lt;'120M'!BA122,'120M'!AY122-BB122,'120M'!BA122))</f>
        <v>0</v>
      </c>
      <c r="BD122" s="61">
        <f t="shared" si="55"/>
        <v>0</v>
      </c>
      <c r="BE122" s="60">
        <f t="shared" si="56"/>
        <v>0</v>
      </c>
      <c r="BF122" s="193"/>
      <c r="BG122" s="169">
        <v>118</v>
      </c>
      <c r="BH122" s="1">
        <f t="shared" si="72"/>
        <v>49110</v>
      </c>
      <c r="BI122" s="60">
        <f>IF($X122&lt;Input!$H$103,IF($X122&lt;Input!$G$103,IF($X122&lt;Input!$F$103,IF($X122&lt;Input!$E$103,IF($X122&lt;Input!$D$103,Input!$C$109,Input!$D$109),Input!$E$109),Input!$F$109),Input!$G$109),Input!$H$109)</f>
        <v>0</v>
      </c>
      <c r="BJ122" s="190">
        <f>IF($A122&lt;Input!$H$110,IF($A122&lt;Input!$G$110,IF($A122&lt;Input!$F$110,IF($A122&lt;Input!$E$110,IF($A122&lt;Input!$D$110,Input!$C$111,Input!$D$111),Input!$E$111),Input!$F$111),Input!$G$111),Input!$H$111)</f>
        <v>0.9</v>
      </c>
      <c r="BK122" s="60">
        <f t="shared" si="57"/>
        <v>0</v>
      </c>
      <c r="BL122" s="60">
        <f t="shared" si="73"/>
        <v>31</v>
      </c>
      <c r="BM122" s="60">
        <f t="shared" si="58"/>
        <v>0</v>
      </c>
      <c r="BN122" s="60">
        <f>ROUND(BM122*BL122*Input!$C$3/365,0)</f>
        <v>0</v>
      </c>
      <c r="BO122" s="61">
        <f>IF($A122&lt;=Input!$C$6,0,IF('120M'!BK122&lt;'120M'!BM122,'120M'!BK122-BN122,'120M'!BM122))</f>
        <v>0</v>
      </c>
      <c r="BP122" s="61">
        <f t="shared" si="59"/>
        <v>0</v>
      </c>
      <c r="BQ122" s="60">
        <f t="shared" si="60"/>
        <v>0</v>
      </c>
      <c r="BR122" s="198"/>
    </row>
    <row r="123" spans="1:70" x14ac:dyDescent="0.25">
      <c r="A123" s="169">
        <v>119</v>
      </c>
      <c r="B123" s="1">
        <f t="shared" si="61"/>
        <v>49140</v>
      </c>
      <c r="C123" s="60">
        <f t="shared" si="39"/>
        <v>33127052.878124986</v>
      </c>
      <c r="D123" s="60">
        <f t="shared" si="40"/>
        <v>29814347.590312488</v>
      </c>
      <c r="E123" s="60">
        <f t="shared" si="62"/>
        <v>30</v>
      </c>
      <c r="F123" s="60">
        <f t="shared" si="63"/>
        <v>0</v>
      </c>
      <c r="G123" s="60">
        <f>ROUND(F123*E123*Input!$C$3/365,0)</f>
        <v>0</v>
      </c>
      <c r="H123" s="60">
        <f>IF($A123&lt;=Input!$C$6,0,IF('120M'!D123&lt;'120M'!F123,'120M'!D123-G123,'120M'!F123))</f>
        <v>0</v>
      </c>
      <c r="I123" s="60">
        <f t="shared" si="64"/>
        <v>0</v>
      </c>
      <c r="J123" s="60">
        <f t="shared" si="65"/>
        <v>0</v>
      </c>
      <c r="K123" s="202">
        <f>J123/Input!$K$5</f>
        <v>0</v>
      </c>
      <c r="L123" s="232"/>
      <c r="M123" s="60">
        <f>IF($B123&lt;Input!$H$43,IF($B123&lt;Input!$G$43,IF($B123&lt;Input!$F$43,IF($B123&lt;Input!$E$43,IF($B123&lt;Input!$D$43,Input!$C$49,Input!$D$49),Input!$E$49),Input!$F$49),Input!$G$49),Input!$H$49)</f>
        <v>33127052.878124986</v>
      </c>
      <c r="N123" s="190">
        <f>IF($A123&lt;Input!$H$50,IF($A123&lt;Input!$G$50,IF($A123&lt;Input!$F$50,IF($A123&lt;Input!$E$50,IF($A123&lt;Input!$D$50,Input!$C$51,Input!$D$51),Input!$E$51),Input!$F$51),Input!$G$51),Input!$H$51)</f>
        <v>0.9</v>
      </c>
      <c r="O123" s="60">
        <f t="shared" si="74"/>
        <v>29814347.590312488</v>
      </c>
      <c r="P123" s="60">
        <f t="shared" si="75"/>
        <v>30</v>
      </c>
      <c r="Q123" s="60">
        <f t="shared" si="42"/>
        <v>0</v>
      </c>
      <c r="R123" s="60">
        <f>ROUND(Q123*$P123*Input!$C$3/365,0)</f>
        <v>0</v>
      </c>
      <c r="S123" s="60">
        <f>IF(A123&lt;=Input!$C$6,0,IF('120M'!O123&lt;'120M'!Q123,'120M'!O123-R123,'120M'!Q123))</f>
        <v>0</v>
      </c>
      <c r="T123" s="60">
        <f t="shared" si="43"/>
        <v>0</v>
      </c>
      <c r="U123" s="60">
        <f t="shared" si="44"/>
        <v>0</v>
      </c>
      <c r="V123" s="193"/>
      <c r="W123" s="169">
        <v>119</v>
      </c>
      <c r="X123" s="1">
        <f t="shared" si="66"/>
        <v>49140</v>
      </c>
      <c r="Y123" s="60">
        <f>IF($X123&lt;Input!$H$58,IF($X123&lt;Input!$G$58,IF($X123&lt;Input!$F$58,IF($X123&lt;Input!$E$58,IF($X123&lt;Input!$D$58,Input!$C$64,Input!$D$64),Input!$E$64),Input!$F$64),Input!$G$64),Input!$H$64)</f>
        <v>0</v>
      </c>
      <c r="Z123" s="190">
        <f>IF($A123&lt;Input!$H$65,IF($A123&lt;Input!$G$65,IF($A123&lt;Input!$F$65,IF($A123&lt;Input!$E$65,IF($A123&lt;Input!$D$65,Input!$C$66,Input!$D$66),Input!$E$66),Input!$F$66),Input!$G$66),Input!$H$66)</f>
        <v>0.9</v>
      </c>
      <c r="AA123" s="60">
        <f t="shared" si="45"/>
        <v>0</v>
      </c>
      <c r="AB123" s="60">
        <f t="shared" si="67"/>
        <v>30</v>
      </c>
      <c r="AC123" s="60">
        <f t="shared" si="46"/>
        <v>0</v>
      </c>
      <c r="AD123" s="60">
        <f>ROUND(AC123*AB123*Input!$C$3/365,0)</f>
        <v>0</v>
      </c>
      <c r="AE123" s="61">
        <f>IF($A123&lt;=Input!$C$6,0,IF('120M'!AA123&lt;'120M'!AC123,'120M'!AA123-AD123,'120M'!AC123))</f>
        <v>0</v>
      </c>
      <c r="AF123" s="61">
        <f t="shared" si="47"/>
        <v>0</v>
      </c>
      <c r="AG123" s="60">
        <f t="shared" si="48"/>
        <v>0</v>
      </c>
      <c r="AH123" s="193"/>
      <c r="AI123" s="169">
        <v>119</v>
      </c>
      <c r="AJ123" s="1">
        <f t="shared" si="68"/>
        <v>49140</v>
      </c>
      <c r="AK123" s="60">
        <f>IF($X123&lt;Input!$H$73,IF($X123&lt;Input!$G$73,IF($X123&lt;Input!$F$73,IF($X123&lt;Input!$E$73,IF($X123&lt;Input!$D$73,Input!$C$79,Input!$D$79),Input!$E$79),Input!$F$79),Input!$G$79),Input!$H$79)</f>
        <v>0</v>
      </c>
      <c r="AL123" s="190">
        <f>IF($A123&lt;Input!$H$80,IF($A123&lt;Input!$G$80,IF($A123&lt;Input!$F$80,IF($A123&lt;Input!$E$80,IF($A123&lt;Input!$D$80,Input!$C$81,Input!$D$81),Input!$E$81),Input!$F$81),Input!$G$81),Input!$H$81)</f>
        <v>0.9</v>
      </c>
      <c r="AM123" s="60">
        <f t="shared" si="49"/>
        <v>0</v>
      </c>
      <c r="AN123" s="60">
        <f t="shared" si="69"/>
        <v>30</v>
      </c>
      <c r="AO123" s="60">
        <f t="shared" si="50"/>
        <v>0</v>
      </c>
      <c r="AP123" s="60">
        <f>ROUND(AO123*AN123*Input!$C$3/365,0)</f>
        <v>0</v>
      </c>
      <c r="AQ123" s="61">
        <f>IF($A123&lt;=Input!$C$6,0,IF('120M'!AM123&lt;'120M'!AO123,'120M'!AM123-AP123,'120M'!AO123))</f>
        <v>0</v>
      </c>
      <c r="AR123" s="61">
        <f t="shared" si="51"/>
        <v>0</v>
      </c>
      <c r="AS123" s="60">
        <f t="shared" si="52"/>
        <v>0</v>
      </c>
      <c r="AT123" s="193"/>
      <c r="AU123" s="169">
        <v>119</v>
      </c>
      <c r="AV123" s="1">
        <f t="shared" si="70"/>
        <v>49140</v>
      </c>
      <c r="AW123" s="60">
        <f>IF($X123&lt;Input!$H$88,IF($X123&lt;Input!$G$88,IF($X123&lt;Input!$F$88,IF($X123&lt;Input!$E$88,IF($X123&lt;Input!$D$88,Input!$C$94,Input!$D$94),Input!$E$94),Input!$F$94),Input!$G$94),Input!$H$94)</f>
        <v>0</v>
      </c>
      <c r="AX123" s="190">
        <f>IF($A123&lt;Input!$H$95,IF($A123&lt;Input!$G$95,IF($A123&lt;Input!$F$95,IF($A123&lt;Input!$E$95,IF($A123&lt;Input!$D$95,Input!$C$96,Input!$D$96),Input!$E$96),Input!$F$96),Input!$G$96),Input!$H$96)</f>
        <v>0.9</v>
      </c>
      <c r="AY123" s="60">
        <f t="shared" si="53"/>
        <v>0</v>
      </c>
      <c r="AZ123" s="60">
        <f t="shared" si="71"/>
        <v>30</v>
      </c>
      <c r="BA123" s="60">
        <f t="shared" si="54"/>
        <v>0</v>
      </c>
      <c r="BB123" s="60">
        <f>ROUND(BA123*AZ123*Input!$C$3/365,0)</f>
        <v>0</v>
      </c>
      <c r="BC123" s="61">
        <f>IF($A123&lt;=Input!$C$6,0,IF('120M'!AY123&lt;'120M'!BA123,'120M'!AY123-BB123,'120M'!BA123))</f>
        <v>0</v>
      </c>
      <c r="BD123" s="61">
        <f t="shared" si="55"/>
        <v>0</v>
      </c>
      <c r="BE123" s="60">
        <f t="shared" si="56"/>
        <v>0</v>
      </c>
      <c r="BF123" s="193"/>
      <c r="BG123" s="169">
        <v>119</v>
      </c>
      <c r="BH123" s="1">
        <f t="shared" si="72"/>
        <v>49140</v>
      </c>
      <c r="BI123" s="60">
        <f>IF($X123&lt;Input!$H$103,IF($X123&lt;Input!$G$103,IF($X123&lt;Input!$F$103,IF($X123&lt;Input!$E$103,IF($X123&lt;Input!$D$103,Input!$C$109,Input!$D$109),Input!$E$109),Input!$F$109),Input!$G$109),Input!$H$109)</f>
        <v>0</v>
      </c>
      <c r="BJ123" s="190">
        <f>IF($A123&lt;Input!$H$110,IF($A123&lt;Input!$G$110,IF($A123&lt;Input!$F$110,IF($A123&lt;Input!$E$110,IF($A123&lt;Input!$D$110,Input!$C$111,Input!$D$111),Input!$E$111),Input!$F$111),Input!$G$111),Input!$H$111)</f>
        <v>0.9</v>
      </c>
      <c r="BK123" s="60">
        <f t="shared" si="57"/>
        <v>0</v>
      </c>
      <c r="BL123" s="60">
        <f t="shared" si="73"/>
        <v>30</v>
      </c>
      <c r="BM123" s="60">
        <f t="shared" si="58"/>
        <v>0</v>
      </c>
      <c r="BN123" s="60">
        <f>ROUND(BM123*BL123*Input!$C$3/365,0)</f>
        <v>0</v>
      </c>
      <c r="BO123" s="61">
        <f>IF($A123&lt;=Input!$C$6,0,IF('120M'!BK123&lt;'120M'!BM123,'120M'!BK123-BN123,'120M'!BM123))</f>
        <v>0</v>
      </c>
      <c r="BP123" s="61">
        <f t="shared" si="59"/>
        <v>0</v>
      </c>
      <c r="BQ123" s="60">
        <f t="shared" si="60"/>
        <v>0</v>
      </c>
      <c r="BR123" s="198"/>
    </row>
    <row r="124" spans="1:70" x14ac:dyDescent="0.25">
      <c r="A124" s="169">
        <v>120</v>
      </c>
      <c r="B124" s="1">
        <f t="shared" si="61"/>
        <v>49171</v>
      </c>
      <c r="C124" s="60">
        <f t="shared" si="39"/>
        <v>33127052.878124986</v>
      </c>
      <c r="D124" s="60">
        <f t="shared" si="40"/>
        <v>29814347.590312488</v>
      </c>
      <c r="E124" s="60">
        <f t="shared" si="62"/>
        <v>31</v>
      </c>
      <c r="F124" s="60">
        <f t="shared" si="63"/>
        <v>0</v>
      </c>
      <c r="G124" s="60">
        <f>ROUND(F124*E124*Input!$C$3/365,0)</f>
        <v>0</v>
      </c>
      <c r="H124" s="60">
        <f>IF($A124&lt;=Input!$C$6,0,IF('120M'!D124&lt;'120M'!F124,'120M'!D124-G124,'120M'!F124))</f>
        <v>0</v>
      </c>
      <c r="I124" s="60">
        <f t="shared" si="64"/>
        <v>0</v>
      </c>
      <c r="J124" s="60">
        <f t="shared" si="65"/>
        <v>0</v>
      </c>
      <c r="K124" s="202">
        <f>J124/Input!$K$5</f>
        <v>0</v>
      </c>
      <c r="L124" s="232"/>
      <c r="M124" s="60">
        <f>IF($B124&lt;Input!$H$43,IF($B124&lt;Input!$G$43,IF($B124&lt;Input!$F$43,IF($B124&lt;Input!$E$43,IF($B124&lt;Input!$D$43,Input!$C$49,Input!$D$49),Input!$E$49),Input!$F$49),Input!$G$49),Input!$H$49)</f>
        <v>33127052.878124986</v>
      </c>
      <c r="N124" s="190">
        <f>IF($A124&lt;Input!$H$50,IF($A124&lt;Input!$G$50,IF($A124&lt;Input!$F$50,IF($A124&lt;Input!$E$50,IF($A124&lt;Input!$D$50,Input!$C$51,Input!$D$51),Input!$E$51),Input!$F$51),Input!$G$51),Input!$H$51)</f>
        <v>0.9</v>
      </c>
      <c r="O124" s="60">
        <f t="shared" si="74"/>
        <v>29814347.590312488</v>
      </c>
      <c r="P124" s="60">
        <f t="shared" si="75"/>
        <v>31</v>
      </c>
      <c r="Q124" s="60">
        <f t="shared" si="42"/>
        <v>0</v>
      </c>
      <c r="R124" s="60">
        <f>ROUND(Q124*$P124*Input!$C$3/365,0)</f>
        <v>0</v>
      </c>
      <c r="S124" s="60">
        <f>IF(A124&lt;=Input!$C$6,0,IF('120M'!O124&lt;'120M'!Q124,'120M'!O124-R124,'120M'!Q124))</f>
        <v>0</v>
      </c>
      <c r="T124" s="60">
        <f t="shared" si="43"/>
        <v>0</v>
      </c>
      <c r="U124" s="60">
        <f t="shared" si="44"/>
        <v>0</v>
      </c>
      <c r="V124" s="193"/>
      <c r="W124" s="169">
        <v>120</v>
      </c>
      <c r="X124" s="1">
        <f t="shared" si="66"/>
        <v>49171</v>
      </c>
      <c r="Y124" s="60">
        <f>IF($X124&lt;Input!$H$58,IF($X124&lt;Input!$G$58,IF($X124&lt;Input!$F$58,IF($X124&lt;Input!$E$58,IF($X124&lt;Input!$D$58,Input!$C$64,Input!$D$64),Input!$E$64),Input!$F$64),Input!$G$64),Input!$H$64)</f>
        <v>0</v>
      </c>
      <c r="Z124" s="190">
        <f>IF($A124&lt;Input!$H$65,IF($A124&lt;Input!$G$65,IF($A124&lt;Input!$F$65,IF($A124&lt;Input!$E$65,IF($A124&lt;Input!$D$65,Input!$C$66,Input!$D$66),Input!$E$66),Input!$F$66),Input!$G$66),Input!$H$66)</f>
        <v>0.9</v>
      </c>
      <c r="AA124" s="60">
        <f t="shared" si="45"/>
        <v>0</v>
      </c>
      <c r="AB124" s="60">
        <f t="shared" si="67"/>
        <v>31</v>
      </c>
      <c r="AC124" s="60">
        <f t="shared" si="46"/>
        <v>0</v>
      </c>
      <c r="AD124" s="60">
        <f>ROUND(AC124*AB124*Input!$C$3/365,0)</f>
        <v>0</v>
      </c>
      <c r="AE124" s="61">
        <f>IF($A124&lt;=Input!$C$6,0,IF('120M'!AA124&lt;'120M'!AC124,'120M'!AA124-AD124,'120M'!AC124))</f>
        <v>0</v>
      </c>
      <c r="AF124" s="61">
        <f t="shared" si="47"/>
        <v>0</v>
      </c>
      <c r="AG124" s="60">
        <f t="shared" si="48"/>
        <v>0</v>
      </c>
      <c r="AH124" s="193"/>
      <c r="AI124" s="169">
        <v>120</v>
      </c>
      <c r="AJ124" s="1">
        <f t="shared" si="68"/>
        <v>49171</v>
      </c>
      <c r="AK124" s="60">
        <f>IF($X124&lt;Input!$H$73,IF($X124&lt;Input!$G$73,IF($X124&lt;Input!$F$73,IF($X124&lt;Input!$E$73,IF($X124&lt;Input!$D$73,Input!$C$79,Input!$D$79),Input!$E$79),Input!$F$79),Input!$G$79),Input!$H$79)</f>
        <v>0</v>
      </c>
      <c r="AL124" s="190">
        <f>IF($A124&lt;Input!$H$80,IF($A124&lt;Input!$G$80,IF($A124&lt;Input!$F$80,IF($A124&lt;Input!$E$80,IF($A124&lt;Input!$D$80,Input!$C$81,Input!$D$81),Input!$E$81),Input!$F$81),Input!$G$81),Input!$H$81)</f>
        <v>0.9</v>
      </c>
      <c r="AM124" s="60">
        <f t="shared" si="49"/>
        <v>0</v>
      </c>
      <c r="AN124" s="60">
        <f t="shared" si="69"/>
        <v>31</v>
      </c>
      <c r="AO124" s="60">
        <f t="shared" si="50"/>
        <v>0</v>
      </c>
      <c r="AP124" s="60">
        <f>ROUND(AO124*AN124*Input!$C$3/365,0)</f>
        <v>0</v>
      </c>
      <c r="AQ124" s="61">
        <f>IF($A124&lt;=Input!$C$6,0,IF('120M'!AM124&lt;'120M'!AO124,'120M'!AM124-AP124,'120M'!AO124))</f>
        <v>0</v>
      </c>
      <c r="AR124" s="61">
        <f t="shared" si="51"/>
        <v>0</v>
      </c>
      <c r="AS124" s="60">
        <f t="shared" si="52"/>
        <v>0</v>
      </c>
      <c r="AT124" s="193"/>
      <c r="AU124" s="169">
        <v>120</v>
      </c>
      <c r="AV124" s="1">
        <f t="shared" si="70"/>
        <v>49171</v>
      </c>
      <c r="AW124" s="60">
        <f>IF($X124&lt;Input!$H$88,IF($X124&lt;Input!$G$88,IF($X124&lt;Input!$F$88,IF($X124&lt;Input!$E$88,IF($X124&lt;Input!$D$88,Input!$C$94,Input!$D$94),Input!$E$94),Input!$F$94),Input!$G$94),Input!$H$94)</f>
        <v>0</v>
      </c>
      <c r="AX124" s="190">
        <f>IF($A124&lt;Input!$H$95,IF($A124&lt;Input!$G$95,IF($A124&lt;Input!$F$95,IF($A124&lt;Input!$E$95,IF($A124&lt;Input!$D$95,Input!$C$96,Input!$D$96),Input!$E$96),Input!$F$96),Input!$G$96),Input!$H$96)</f>
        <v>0.9</v>
      </c>
      <c r="AY124" s="60">
        <f t="shared" si="53"/>
        <v>0</v>
      </c>
      <c r="AZ124" s="60">
        <f t="shared" si="71"/>
        <v>31</v>
      </c>
      <c r="BA124" s="60">
        <f t="shared" si="54"/>
        <v>0</v>
      </c>
      <c r="BB124" s="60">
        <f>ROUND(BA124*AZ124*Input!$C$3/365,0)</f>
        <v>0</v>
      </c>
      <c r="BC124" s="61">
        <f>IF($A124&lt;=Input!$C$6,0,IF('120M'!AY124&lt;'120M'!BA124,'120M'!AY124-BB124,'120M'!BA124))</f>
        <v>0</v>
      </c>
      <c r="BD124" s="61">
        <f t="shared" si="55"/>
        <v>0</v>
      </c>
      <c r="BE124" s="60">
        <f t="shared" si="56"/>
        <v>0</v>
      </c>
      <c r="BF124" s="193"/>
      <c r="BG124" s="169">
        <v>120</v>
      </c>
      <c r="BH124" s="1">
        <f t="shared" si="72"/>
        <v>49171</v>
      </c>
      <c r="BI124" s="60">
        <f>IF($X124&lt;Input!$H$103,IF($X124&lt;Input!$G$103,IF($X124&lt;Input!$F$103,IF($X124&lt;Input!$E$103,IF($X124&lt;Input!$D$103,Input!$C$109,Input!$D$109),Input!$E$109),Input!$F$109),Input!$G$109),Input!$H$109)</f>
        <v>0</v>
      </c>
      <c r="BJ124" s="190">
        <f>IF($A124&lt;Input!$H$110,IF($A124&lt;Input!$G$110,IF($A124&lt;Input!$F$110,IF($A124&lt;Input!$E$110,IF($A124&lt;Input!$D$110,Input!$C$111,Input!$D$111),Input!$E$111),Input!$F$111),Input!$G$111),Input!$H$111)</f>
        <v>0.9</v>
      </c>
      <c r="BK124" s="60">
        <f t="shared" si="57"/>
        <v>0</v>
      </c>
      <c r="BL124" s="60">
        <f t="shared" si="73"/>
        <v>31</v>
      </c>
      <c r="BM124" s="60">
        <f t="shared" si="58"/>
        <v>0</v>
      </c>
      <c r="BN124" s="60">
        <f>ROUND(BM124*BL124*Input!$C$3/365,0)</f>
        <v>0</v>
      </c>
      <c r="BO124" s="61">
        <f>IF($A124&lt;=Input!$C$6,0,IF('120M'!BK124&lt;'120M'!BM124,'120M'!BK124-BN124,'120M'!BM124))</f>
        <v>0</v>
      </c>
      <c r="BP124" s="61">
        <f t="shared" si="59"/>
        <v>0</v>
      </c>
      <c r="BQ124" s="60">
        <f t="shared" si="60"/>
        <v>0</v>
      </c>
      <c r="BR124" s="198"/>
    </row>
    <row r="125" spans="1:70" x14ac:dyDescent="0.25">
      <c r="A125" s="169">
        <v>121</v>
      </c>
      <c r="B125" s="1">
        <f t="shared" si="61"/>
        <v>49202</v>
      </c>
      <c r="C125" s="60">
        <f t="shared" si="39"/>
        <v>33127052.878124986</v>
      </c>
      <c r="D125" s="60">
        <f t="shared" si="40"/>
        <v>29814347.590312488</v>
      </c>
      <c r="E125" s="60">
        <f t="shared" si="62"/>
        <v>31</v>
      </c>
      <c r="F125" s="60">
        <f t="shared" si="63"/>
        <v>0</v>
      </c>
      <c r="G125" s="60">
        <f>ROUND(F125*E125*Input!$C$3/365,0)</f>
        <v>0</v>
      </c>
      <c r="H125" s="60">
        <f>IF($A125&lt;=Input!$C$6,0,IF('120M'!D125&lt;'120M'!F125,'120M'!D125-G125,'120M'!F125))</f>
        <v>0</v>
      </c>
      <c r="I125" s="60">
        <f t="shared" si="64"/>
        <v>0</v>
      </c>
      <c r="J125" s="60">
        <f t="shared" si="65"/>
        <v>0</v>
      </c>
      <c r="K125" s="202">
        <f>J125/Input!$K$5</f>
        <v>0</v>
      </c>
      <c r="L125" s="232"/>
      <c r="M125" s="60">
        <f>IF($B125&lt;Input!$H$43,IF($B125&lt;Input!$G$43,IF($B125&lt;Input!$F$43,IF($B125&lt;Input!$E$43,IF($B125&lt;Input!$D$43,Input!$C$49,Input!$D$49),Input!$E$49),Input!$F$49),Input!$G$49),Input!$H$49)</f>
        <v>33127052.878124986</v>
      </c>
      <c r="N125" s="190">
        <f>IF($A125&lt;Input!$H$50,IF($A125&lt;Input!$G$50,IF($A125&lt;Input!$F$50,IF($A125&lt;Input!$E$50,IF($A125&lt;Input!$D$50,Input!$C$51,Input!$D$51),Input!$E$51),Input!$F$51),Input!$G$51),Input!$H$51)</f>
        <v>0.9</v>
      </c>
      <c r="O125" s="60">
        <f t="shared" si="74"/>
        <v>29814347.590312488</v>
      </c>
      <c r="P125" s="60">
        <f t="shared" si="75"/>
        <v>31</v>
      </c>
      <c r="Q125" s="60">
        <f t="shared" si="42"/>
        <v>0</v>
      </c>
      <c r="R125" s="60">
        <f>ROUND(Q125*$P125*Input!$C$3/365,0)</f>
        <v>0</v>
      </c>
      <c r="S125" s="60">
        <f>IF(A125&lt;=Input!$C$6,0,IF('120M'!O125&lt;'120M'!Q125,'120M'!O125-R125,'120M'!Q125))</f>
        <v>0</v>
      </c>
      <c r="T125" s="60">
        <f t="shared" si="43"/>
        <v>0</v>
      </c>
      <c r="U125" s="60">
        <f t="shared" si="44"/>
        <v>0</v>
      </c>
      <c r="V125" s="193"/>
      <c r="W125" s="169">
        <v>121</v>
      </c>
      <c r="X125" s="1">
        <f t="shared" si="66"/>
        <v>49202</v>
      </c>
      <c r="Y125" s="60">
        <f>IF($X125&lt;Input!$H$58,IF($X125&lt;Input!$G$58,IF($X125&lt;Input!$F$58,IF($X125&lt;Input!$E$58,IF($X125&lt;Input!$D$58,Input!$C$64,Input!$D$64),Input!$E$64),Input!$F$64),Input!$G$64),Input!$H$64)</f>
        <v>0</v>
      </c>
      <c r="Z125" s="190">
        <f>IF($A125&lt;Input!$H$65,IF($A125&lt;Input!$G$65,IF($A125&lt;Input!$F$65,IF($A125&lt;Input!$E$65,IF($A125&lt;Input!$D$65,Input!$C$66,Input!$D$66),Input!$E$66),Input!$F$66),Input!$G$66),Input!$H$66)</f>
        <v>0.9</v>
      </c>
      <c r="AA125" s="60">
        <f t="shared" si="45"/>
        <v>0</v>
      </c>
      <c r="AB125" s="60">
        <f t="shared" si="67"/>
        <v>31</v>
      </c>
      <c r="AC125" s="60">
        <f t="shared" si="46"/>
        <v>0</v>
      </c>
      <c r="AD125" s="60">
        <f>ROUND(AC125*AB125*Input!$C$3/365,0)</f>
        <v>0</v>
      </c>
      <c r="AE125" s="61">
        <f>IF($A125&lt;=Input!$C$6,0,IF('120M'!AA125&lt;'120M'!AC125,'120M'!AA125-AD125,'120M'!AC125))</f>
        <v>0</v>
      </c>
      <c r="AF125" s="61">
        <f t="shared" si="47"/>
        <v>0</v>
      </c>
      <c r="AG125" s="60">
        <f t="shared" si="48"/>
        <v>0</v>
      </c>
      <c r="AH125" s="193"/>
      <c r="AI125" s="169">
        <v>121</v>
      </c>
      <c r="AJ125" s="1">
        <f t="shared" si="68"/>
        <v>49202</v>
      </c>
      <c r="AK125" s="60">
        <f>IF($X125&lt;Input!$H$73,IF($X125&lt;Input!$G$73,IF($X125&lt;Input!$F$73,IF($X125&lt;Input!$E$73,IF($X125&lt;Input!$D$73,Input!$C$79,Input!$D$79),Input!$E$79),Input!$F$79),Input!$G$79),Input!$H$79)</f>
        <v>0</v>
      </c>
      <c r="AL125" s="190">
        <f>IF($A125&lt;Input!$H$80,IF($A125&lt;Input!$G$80,IF($A125&lt;Input!$F$80,IF($A125&lt;Input!$E$80,IF($A125&lt;Input!$D$80,Input!$C$81,Input!$D$81),Input!$E$81),Input!$F$81),Input!$G$81),Input!$H$81)</f>
        <v>0.9</v>
      </c>
      <c r="AM125" s="60">
        <f t="shared" si="49"/>
        <v>0</v>
      </c>
      <c r="AN125" s="60">
        <f t="shared" si="69"/>
        <v>31</v>
      </c>
      <c r="AO125" s="60">
        <f t="shared" si="50"/>
        <v>0</v>
      </c>
      <c r="AP125" s="60">
        <f>ROUND(AO125*AN125*Input!$C$3/365,0)</f>
        <v>0</v>
      </c>
      <c r="AQ125" s="61">
        <f>IF($A125&lt;=Input!$C$6,0,IF('120M'!AM125&lt;'120M'!AO125,'120M'!AM125-AP125,'120M'!AO125))</f>
        <v>0</v>
      </c>
      <c r="AR125" s="61">
        <f t="shared" si="51"/>
        <v>0</v>
      </c>
      <c r="AS125" s="60">
        <f t="shared" si="52"/>
        <v>0</v>
      </c>
      <c r="AT125" s="193"/>
      <c r="AU125" s="169">
        <v>121</v>
      </c>
      <c r="AV125" s="1">
        <f t="shared" si="70"/>
        <v>49202</v>
      </c>
      <c r="AW125" s="60">
        <f>IF($X125&lt;Input!$H$88,IF($X125&lt;Input!$G$88,IF($X125&lt;Input!$F$88,IF($X125&lt;Input!$E$88,IF($X125&lt;Input!$D$88,Input!$C$94,Input!$D$94),Input!$E$94),Input!$F$94),Input!$G$94),Input!$H$94)</f>
        <v>0</v>
      </c>
      <c r="AX125" s="190">
        <f>IF($A125&lt;Input!$H$95,IF($A125&lt;Input!$G$95,IF($A125&lt;Input!$F$95,IF($A125&lt;Input!$E$95,IF($A125&lt;Input!$D$95,Input!$C$96,Input!$D$96),Input!$E$96),Input!$F$96),Input!$G$96),Input!$H$96)</f>
        <v>0.9</v>
      </c>
      <c r="AY125" s="60">
        <f t="shared" si="53"/>
        <v>0</v>
      </c>
      <c r="AZ125" s="60">
        <f t="shared" si="71"/>
        <v>31</v>
      </c>
      <c r="BA125" s="60">
        <f t="shared" si="54"/>
        <v>0</v>
      </c>
      <c r="BB125" s="60">
        <f>ROUND(BA125*AZ125*Input!$C$3/365,0)</f>
        <v>0</v>
      </c>
      <c r="BC125" s="61">
        <f>IF($A125&lt;=Input!$C$6,0,IF('120M'!AY125&lt;'120M'!BA125,'120M'!AY125-BB125,'120M'!BA125))</f>
        <v>0</v>
      </c>
      <c r="BD125" s="61">
        <f t="shared" si="55"/>
        <v>0</v>
      </c>
      <c r="BE125" s="60">
        <f t="shared" si="56"/>
        <v>0</v>
      </c>
      <c r="BF125" s="193"/>
      <c r="BG125" s="169">
        <v>121</v>
      </c>
      <c r="BH125" s="1">
        <f t="shared" si="72"/>
        <v>49202</v>
      </c>
      <c r="BI125" s="60">
        <f>IF($X125&lt;Input!$H$103,IF($X125&lt;Input!$G$103,IF($X125&lt;Input!$F$103,IF($X125&lt;Input!$E$103,IF($X125&lt;Input!$D$103,Input!$C$109,Input!$D$109),Input!$E$109),Input!$F$109),Input!$G$109),Input!$H$109)</f>
        <v>0</v>
      </c>
      <c r="BJ125" s="190">
        <f>IF($A125&lt;Input!$H$110,IF($A125&lt;Input!$G$110,IF($A125&lt;Input!$F$110,IF($A125&lt;Input!$E$110,IF($A125&lt;Input!$D$110,Input!$C$111,Input!$D$111),Input!$E$111),Input!$F$111),Input!$G$111),Input!$H$111)</f>
        <v>0.9</v>
      </c>
      <c r="BK125" s="60">
        <f t="shared" si="57"/>
        <v>0</v>
      </c>
      <c r="BL125" s="60">
        <f t="shared" si="73"/>
        <v>31</v>
      </c>
      <c r="BM125" s="60">
        <f t="shared" si="58"/>
        <v>0</v>
      </c>
      <c r="BN125" s="60">
        <f>ROUND(BM125*BL125*Input!$C$3/365,0)</f>
        <v>0</v>
      </c>
      <c r="BO125" s="61">
        <f>IF($A125&lt;=Input!$C$6,0,IF('120M'!BK125&lt;'120M'!BM125,'120M'!BK125-BN125,'120M'!BM125))</f>
        <v>0</v>
      </c>
      <c r="BP125" s="61">
        <f t="shared" si="59"/>
        <v>0</v>
      </c>
      <c r="BQ125" s="60">
        <f t="shared" si="60"/>
        <v>0</v>
      </c>
      <c r="BR125" s="198"/>
    </row>
    <row r="126" spans="1:70" x14ac:dyDescent="0.25">
      <c r="A126" s="169">
        <v>122</v>
      </c>
      <c r="B126" s="1">
        <f t="shared" si="61"/>
        <v>49232</v>
      </c>
      <c r="C126" s="60">
        <f t="shared" si="39"/>
        <v>33127052.878124986</v>
      </c>
      <c r="D126" s="60">
        <f t="shared" si="40"/>
        <v>29814347.590312488</v>
      </c>
      <c r="E126" s="60">
        <f t="shared" si="62"/>
        <v>30</v>
      </c>
      <c r="F126" s="60">
        <f t="shared" si="63"/>
        <v>0</v>
      </c>
      <c r="G126" s="60">
        <f>ROUND(F126*E126*Input!$C$3/365,0)</f>
        <v>0</v>
      </c>
      <c r="H126" s="60">
        <f>IF($A126&lt;=Input!$C$6,0,IF('120M'!D126&lt;'120M'!F126,'120M'!D126-G126,'120M'!F126))</f>
        <v>0</v>
      </c>
      <c r="I126" s="60">
        <f t="shared" si="64"/>
        <v>0</v>
      </c>
      <c r="J126" s="60">
        <f t="shared" si="65"/>
        <v>0</v>
      </c>
      <c r="K126" s="202">
        <f>J126/Input!$K$5</f>
        <v>0</v>
      </c>
      <c r="L126" s="232"/>
      <c r="M126" s="60">
        <f>IF($B126&lt;Input!$H$43,IF($B126&lt;Input!$G$43,IF($B126&lt;Input!$F$43,IF($B126&lt;Input!$E$43,IF($B126&lt;Input!$D$43,Input!$C$49,Input!$D$49),Input!$E$49),Input!$F$49),Input!$G$49),Input!$H$49)</f>
        <v>33127052.878124986</v>
      </c>
      <c r="N126" s="190">
        <f>IF($A126&lt;Input!$H$50,IF($A126&lt;Input!$G$50,IF($A126&lt;Input!$F$50,IF($A126&lt;Input!$E$50,IF($A126&lt;Input!$D$50,Input!$C$51,Input!$D$51),Input!$E$51),Input!$F$51),Input!$G$51),Input!$H$51)</f>
        <v>0.9</v>
      </c>
      <c r="O126" s="60">
        <f t="shared" si="74"/>
        <v>29814347.590312488</v>
      </c>
      <c r="P126" s="60">
        <f t="shared" si="75"/>
        <v>30</v>
      </c>
      <c r="Q126" s="60">
        <f t="shared" si="42"/>
        <v>0</v>
      </c>
      <c r="R126" s="60">
        <f>ROUND(Q126*$P126*Input!$C$3/365,0)</f>
        <v>0</v>
      </c>
      <c r="S126" s="60">
        <f>IF(A126&lt;=Input!$C$6,0,IF('120M'!O126&lt;'120M'!Q126,'120M'!O126-R126,'120M'!Q126))</f>
        <v>0</v>
      </c>
      <c r="T126" s="60">
        <f t="shared" si="43"/>
        <v>0</v>
      </c>
      <c r="U126" s="60">
        <f t="shared" si="44"/>
        <v>0</v>
      </c>
      <c r="V126" s="193"/>
      <c r="W126" s="169">
        <v>122</v>
      </c>
      <c r="X126" s="1">
        <f t="shared" si="66"/>
        <v>49232</v>
      </c>
      <c r="Y126" s="60">
        <f>IF($X126&lt;Input!$H$58,IF($X126&lt;Input!$G$58,IF($X126&lt;Input!$F$58,IF($X126&lt;Input!$E$58,IF($X126&lt;Input!$D$58,Input!$C$64,Input!$D$64),Input!$E$64),Input!$F$64),Input!$G$64),Input!$H$64)</f>
        <v>0</v>
      </c>
      <c r="Z126" s="190">
        <f>IF($A126&lt;Input!$H$65,IF($A126&lt;Input!$G$65,IF($A126&lt;Input!$F$65,IF($A126&lt;Input!$E$65,IF($A126&lt;Input!$D$65,Input!$C$66,Input!$D$66),Input!$E$66),Input!$F$66),Input!$G$66),Input!$H$66)</f>
        <v>0.9</v>
      </c>
      <c r="AA126" s="60">
        <f t="shared" si="45"/>
        <v>0</v>
      </c>
      <c r="AB126" s="60">
        <f t="shared" si="67"/>
        <v>30</v>
      </c>
      <c r="AC126" s="60">
        <f t="shared" si="46"/>
        <v>0</v>
      </c>
      <c r="AD126" s="60">
        <f>ROUND(AC126*AB126*Input!$C$3/365,0)</f>
        <v>0</v>
      </c>
      <c r="AE126" s="61">
        <f>IF($A126&lt;=Input!$C$6,0,IF('120M'!AA126&lt;'120M'!AC126,'120M'!AA126-AD126,'120M'!AC126))</f>
        <v>0</v>
      </c>
      <c r="AF126" s="61">
        <f t="shared" si="47"/>
        <v>0</v>
      </c>
      <c r="AG126" s="60">
        <f t="shared" si="48"/>
        <v>0</v>
      </c>
      <c r="AH126" s="193"/>
      <c r="AI126" s="169">
        <v>122</v>
      </c>
      <c r="AJ126" s="1">
        <f t="shared" si="68"/>
        <v>49232</v>
      </c>
      <c r="AK126" s="60">
        <f>IF($X126&lt;Input!$H$73,IF($X126&lt;Input!$G$73,IF($X126&lt;Input!$F$73,IF($X126&lt;Input!$E$73,IF($X126&lt;Input!$D$73,Input!$C$79,Input!$D$79),Input!$E$79),Input!$F$79),Input!$G$79),Input!$H$79)</f>
        <v>0</v>
      </c>
      <c r="AL126" s="190">
        <f>IF($A126&lt;Input!$H$80,IF($A126&lt;Input!$G$80,IF($A126&lt;Input!$F$80,IF($A126&lt;Input!$E$80,IF($A126&lt;Input!$D$80,Input!$C$81,Input!$D$81),Input!$E$81),Input!$F$81),Input!$G$81),Input!$H$81)</f>
        <v>0.9</v>
      </c>
      <c r="AM126" s="60">
        <f t="shared" si="49"/>
        <v>0</v>
      </c>
      <c r="AN126" s="60">
        <f t="shared" si="69"/>
        <v>30</v>
      </c>
      <c r="AO126" s="60">
        <f t="shared" si="50"/>
        <v>0</v>
      </c>
      <c r="AP126" s="60">
        <f>ROUND(AO126*AN126*Input!$C$3/365,0)</f>
        <v>0</v>
      </c>
      <c r="AQ126" s="61">
        <f>IF($A126&lt;=Input!$C$6,0,IF('120M'!AM126&lt;'120M'!AO126,'120M'!AM126-AP126,'120M'!AO126))</f>
        <v>0</v>
      </c>
      <c r="AR126" s="61">
        <f t="shared" si="51"/>
        <v>0</v>
      </c>
      <c r="AS126" s="60">
        <f t="shared" si="52"/>
        <v>0</v>
      </c>
      <c r="AT126" s="193"/>
      <c r="AU126" s="169">
        <v>122</v>
      </c>
      <c r="AV126" s="1">
        <f t="shared" si="70"/>
        <v>49232</v>
      </c>
      <c r="AW126" s="60">
        <f>IF($X126&lt;Input!$H$88,IF($X126&lt;Input!$G$88,IF($X126&lt;Input!$F$88,IF($X126&lt;Input!$E$88,IF($X126&lt;Input!$D$88,Input!$C$94,Input!$D$94),Input!$E$94),Input!$F$94),Input!$G$94),Input!$H$94)</f>
        <v>0</v>
      </c>
      <c r="AX126" s="190">
        <f>IF($A126&lt;Input!$H$95,IF($A126&lt;Input!$G$95,IF($A126&lt;Input!$F$95,IF($A126&lt;Input!$E$95,IF($A126&lt;Input!$D$95,Input!$C$96,Input!$D$96),Input!$E$96),Input!$F$96),Input!$G$96),Input!$H$96)</f>
        <v>0.9</v>
      </c>
      <c r="AY126" s="60">
        <f t="shared" si="53"/>
        <v>0</v>
      </c>
      <c r="AZ126" s="60">
        <f t="shared" si="71"/>
        <v>30</v>
      </c>
      <c r="BA126" s="60">
        <f t="shared" si="54"/>
        <v>0</v>
      </c>
      <c r="BB126" s="60">
        <f>ROUND(BA126*AZ126*Input!$C$3/365,0)</f>
        <v>0</v>
      </c>
      <c r="BC126" s="61">
        <f>IF($A126&lt;=Input!$C$6,0,IF('120M'!AY126&lt;'120M'!BA126,'120M'!AY126-BB126,'120M'!BA126))</f>
        <v>0</v>
      </c>
      <c r="BD126" s="61">
        <f t="shared" si="55"/>
        <v>0</v>
      </c>
      <c r="BE126" s="60">
        <f t="shared" si="56"/>
        <v>0</v>
      </c>
      <c r="BF126" s="193"/>
      <c r="BG126" s="169">
        <v>122</v>
      </c>
      <c r="BH126" s="1">
        <f t="shared" si="72"/>
        <v>49232</v>
      </c>
      <c r="BI126" s="60">
        <f>IF($X126&lt;Input!$H$103,IF($X126&lt;Input!$G$103,IF($X126&lt;Input!$F$103,IF($X126&lt;Input!$E$103,IF($X126&lt;Input!$D$103,Input!$C$109,Input!$D$109),Input!$E$109),Input!$F$109),Input!$G$109),Input!$H$109)</f>
        <v>0</v>
      </c>
      <c r="BJ126" s="190">
        <f>IF($A126&lt;Input!$H$110,IF($A126&lt;Input!$G$110,IF($A126&lt;Input!$F$110,IF($A126&lt;Input!$E$110,IF($A126&lt;Input!$D$110,Input!$C$111,Input!$D$111),Input!$E$111),Input!$F$111),Input!$G$111),Input!$H$111)</f>
        <v>0.9</v>
      </c>
      <c r="BK126" s="60">
        <f t="shared" si="57"/>
        <v>0</v>
      </c>
      <c r="BL126" s="60">
        <f t="shared" si="73"/>
        <v>30</v>
      </c>
      <c r="BM126" s="60">
        <f t="shared" si="58"/>
        <v>0</v>
      </c>
      <c r="BN126" s="60">
        <f>ROUND(BM126*BL126*Input!$C$3/365,0)</f>
        <v>0</v>
      </c>
      <c r="BO126" s="61">
        <f>IF($A126&lt;=Input!$C$6,0,IF('120M'!BK126&lt;'120M'!BM126,'120M'!BK126-BN126,'120M'!BM126))</f>
        <v>0</v>
      </c>
      <c r="BP126" s="61">
        <f t="shared" si="59"/>
        <v>0</v>
      </c>
      <c r="BQ126" s="60">
        <f t="shared" si="60"/>
        <v>0</v>
      </c>
      <c r="BR126" s="198"/>
    </row>
    <row r="127" spans="1:70" x14ac:dyDescent="0.25">
      <c r="A127" s="169">
        <v>123</v>
      </c>
      <c r="B127" s="1">
        <f t="shared" si="61"/>
        <v>49263</v>
      </c>
      <c r="C127" s="60">
        <f t="shared" si="39"/>
        <v>33127052.878124986</v>
      </c>
      <c r="D127" s="60">
        <f t="shared" si="40"/>
        <v>29814347.590312488</v>
      </c>
      <c r="E127" s="60">
        <f t="shared" si="62"/>
        <v>31</v>
      </c>
      <c r="F127" s="60">
        <f t="shared" si="63"/>
        <v>0</v>
      </c>
      <c r="G127" s="60">
        <f>ROUND(F127*E127*Input!$C$3/365,0)</f>
        <v>0</v>
      </c>
      <c r="H127" s="60">
        <f>IF($A127&lt;=Input!$C$6,0,IF('120M'!D127&lt;'120M'!F127,'120M'!D127-G127,'120M'!F127))</f>
        <v>0</v>
      </c>
      <c r="I127" s="60">
        <f t="shared" si="64"/>
        <v>0</v>
      </c>
      <c r="J127" s="60">
        <f t="shared" si="65"/>
        <v>0</v>
      </c>
      <c r="K127" s="202">
        <f>J127/Input!$K$5</f>
        <v>0</v>
      </c>
      <c r="L127" s="232"/>
      <c r="M127" s="60">
        <f>IF($B127&lt;Input!$H$43,IF($B127&lt;Input!$G$43,IF($B127&lt;Input!$F$43,IF($B127&lt;Input!$E$43,IF($B127&lt;Input!$D$43,Input!$C$49,Input!$D$49),Input!$E$49),Input!$F$49),Input!$G$49),Input!$H$49)</f>
        <v>33127052.878124986</v>
      </c>
      <c r="N127" s="190">
        <f>IF($A127&lt;Input!$H$50,IF($A127&lt;Input!$G$50,IF($A127&lt;Input!$F$50,IF($A127&lt;Input!$E$50,IF($A127&lt;Input!$D$50,Input!$C$51,Input!$D$51),Input!$E$51),Input!$F$51),Input!$G$51),Input!$H$51)</f>
        <v>0.9</v>
      </c>
      <c r="O127" s="60">
        <f t="shared" si="74"/>
        <v>29814347.590312488</v>
      </c>
      <c r="P127" s="60">
        <f t="shared" si="75"/>
        <v>31</v>
      </c>
      <c r="Q127" s="60">
        <f t="shared" si="42"/>
        <v>0</v>
      </c>
      <c r="R127" s="60">
        <f>ROUND(Q127*$P127*Input!$C$3/365,0)</f>
        <v>0</v>
      </c>
      <c r="S127" s="60">
        <f>IF(A127&lt;=Input!$C$6,0,IF('120M'!O127&lt;'120M'!Q127,'120M'!O127-R127,'120M'!Q127))</f>
        <v>0</v>
      </c>
      <c r="T127" s="60">
        <f t="shared" si="43"/>
        <v>0</v>
      </c>
      <c r="U127" s="60">
        <f t="shared" si="44"/>
        <v>0</v>
      </c>
      <c r="V127" s="193"/>
      <c r="W127" s="169">
        <v>123</v>
      </c>
      <c r="X127" s="1">
        <f t="shared" si="66"/>
        <v>49263</v>
      </c>
      <c r="Y127" s="60">
        <f>IF($X127&lt;Input!$H$58,IF($X127&lt;Input!$G$58,IF($X127&lt;Input!$F$58,IF($X127&lt;Input!$E$58,IF($X127&lt;Input!$D$58,Input!$C$64,Input!$D$64),Input!$E$64),Input!$F$64),Input!$G$64),Input!$H$64)</f>
        <v>0</v>
      </c>
      <c r="Z127" s="190">
        <f>IF($A127&lt;Input!$H$65,IF($A127&lt;Input!$G$65,IF($A127&lt;Input!$F$65,IF($A127&lt;Input!$E$65,IF($A127&lt;Input!$D$65,Input!$C$66,Input!$D$66),Input!$E$66),Input!$F$66),Input!$G$66),Input!$H$66)</f>
        <v>0.9</v>
      </c>
      <c r="AA127" s="60">
        <f t="shared" si="45"/>
        <v>0</v>
      </c>
      <c r="AB127" s="60">
        <f t="shared" si="67"/>
        <v>31</v>
      </c>
      <c r="AC127" s="60">
        <f t="shared" si="46"/>
        <v>0</v>
      </c>
      <c r="AD127" s="60">
        <f>ROUND(AC127*AB127*Input!$C$3/365,0)</f>
        <v>0</v>
      </c>
      <c r="AE127" s="61">
        <f>IF($A127&lt;=Input!$C$6,0,IF('120M'!AA127&lt;'120M'!AC127,'120M'!AA127-AD127,'120M'!AC127))</f>
        <v>0</v>
      </c>
      <c r="AF127" s="61">
        <f t="shared" si="47"/>
        <v>0</v>
      </c>
      <c r="AG127" s="60">
        <f t="shared" si="48"/>
        <v>0</v>
      </c>
      <c r="AH127" s="193"/>
      <c r="AI127" s="169">
        <v>123</v>
      </c>
      <c r="AJ127" s="1">
        <f t="shared" si="68"/>
        <v>49263</v>
      </c>
      <c r="AK127" s="60">
        <f>IF($X127&lt;Input!$H$73,IF($X127&lt;Input!$G$73,IF($X127&lt;Input!$F$73,IF($X127&lt;Input!$E$73,IF($X127&lt;Input!$D$73,Input!$C$79,Input!$D$79),Input!$E$79),Input!$F$79),Input!$G$79),Input!$H$79)</f>
        <v>0</v>
      </c>
      <c r="AL127" s="190">
        <f>IF($A127&lt;Input!$H$80,IF($A127&lt;Input!$G$80,IF($A127&lt;Input!$F$80,IF($A127&lt;Input!$E$80,IF($A127&lt;Input!$D$80,Input!$C$81,Input!$D$81),Input!$E$81),Input!$F$81),Input!$G$81),Input!$H$81)</f>
        <v>0.9</v>
      </c>
      <c r="AM127" s="60">
        <f t="shared" si="49"/>
        <v>0</v>
      </c>
      <c r="AN127" s="60">
        <f t="shared" si="69"/>
        <v>31</v>
      </c>
      <c r="AO127" s="60">
        <f t="shared" si="50"/>
        <v>0</v>
      </c>
      <c r="AP127" s="60">
        <f>ROUND(AO127*AN127*Input!$C$3/365,0)</f>
        <v>0</v>
      </c>
      <c r="AQ127" s="61">
        <f>IF($A127&lt;=Input!$C$6,0,IF('120M'!AM127&lt;'120M'!AO127,'120M'!AM127-AP127,'120M'!AO127))</f>
        <v>0</v>
      </c>
      <c r="AR127" s="61">
        <f t="shared" si="51"/>
        <v>0</v>
      </c>
      <c r="AS127" s="60">
        <f t="shared" si="52"/>
        <v>0</v>
      </c>
      <c r="AT127" s="193"/>
      <c r="AU127" s="169">
        <v>123</v>
      </c>
      <c r="AV127" s="1">
        <f t="shared" si="70"/>
        <v>49263</v>
      </c>
      <c r="AW127" s="60">
        <f>IF($X127&lt;Input!$H$88,IF($X127&lt;Input!$G$88,IF($X127&lt;Input!$F$88,IF($X127&lt;Input!$E$88,IF($X127&lt;Input!$D$88,Input!$C$94,Input!$D$94),Input!$E$94),Input!$F$94),Input!$G$94),Input!$H$94)</f>
        <v>0</v>
      </c>
      <c r="AX127" s="190">
        <f>IF($A127&lt;Input!$H$95,IF($A127&lt;Input!$G$95,IF($A127&lt;Input!$F$95,IF($A127&lt;Input!$E$95,IF($A127&lt;Input!$D$95,Input!$C$96,Input!$D$96),Input!$E$96),Input!$F$96),Input!$G$96),Input!$H$96)</f>
        <v>0.9</v>
      </c>
      <c r="AY127" s="60">
        <f t="shared" si="53"/>
        <v>0</v>
      </c>
      <c r="AZ127" s="60">
        <f t="shared" si="71"/>
        <v>31</v>
      </c>
      <c r="BA127" s="60">
        <f t="shared" si="54"/>
        <v>0</v>
      </c>
      <c r="BB127" s="60">
        <f>ROUND(BA127*AZ127*Input!$C$3/365,0)</f>
        <v>0</v>
      </c>
      <c r="BC127" s="61">
        <f>IF($A127&lt;=Input!$C$6,0,IF('120M'!AY127&lt;'120M'!BA127,'120M'!AY127-BB127,'120M'!BA127))</f>
        <v>0</v>
      </c>
      <c r="BD127" s="61">
        <f t="shared" si="55"/>
        <v>0</v>
      </c>
      <c r="BE127" s="60">
        <f t="shared" si="56"/>
        <v>0</v>
      </c>
      <c r="BF127" s="193"/>
      <c r="BG127" s="169">
        <v>123</v>
      </c>
      <c r="BH127" s="1">
        <f t="shared" si="72"/>
        <v>49263</v>
      </c>
      <c r="BI127" s="60">
        <f>IF($X127&lt;Input!$H$103,IF($X127&lt;Input!$G$103,IF($X127&lt;Input!$F$103,IF($X127&lt;Input!$E$103,IF($X127&lt;Input!$D$103,Input!$C$109,Input!$D$109),Input!$E$109),Input!$F$109),Input!$G$109),Input!$H$109)</f>
        <v>0</v>
      </c>
      <c r="BJ127" s="190">
        <f>IF($A127&lt;Input!$H$110,IF($A127&lt;Input!$G$110,IF($A127&lt;Input!$F$110,IF($A127&lt;Input!$E$110,IF($A127&lt;Input!$D$110,Input!$C$111,Input!$D$111),Input!$E$111),Input!$F$111),Input!$G$111),Input!$H$111)</f>
        <v>0.9</v>
      </c>
      <c r="BK127" s="60">
        <f t="shared" si="57"/>
        <v>0</v>
      </c>
      <c r="BL127" s="60">
        <f t="shared" si="73"/>
        <v>31</v>
      </c>
      <c r="BM127" s="60">
        <f t="shared" si="58"/>
        <v>0</v>
      </c>
      <c r="BN127" s="60">
        <f>ROUND(BM127*BL127*Input!$C$3/365,0)</f>
        <v>0</v>
      </c>
      <c r="BO127" s="61">
        <f>IF($A127&lt;=Input!$C$6,0,IF('120M'!BK127&lt;'120M'!BM127,'120M'!BK127-BN127,'120M'!BM127))</f>
        <v>0</v>
      </c>
      <c r="BP127" s="61">
        <f t="shared" si="59"/>
        <v>0</v>
      </c>
      <c r="BQ127" s="60">
        <f t="shared" si="60"/>
        <v>0</v>
      </c>
      <c r="BR127" s="198"/>
    </row>
    <row r="128" spans="1:70" x14ac:dyDescent="0.25">
      <c r="A128" s="169">
        <v>124</v>
      </c>
      <c r="B128" s="1">
        <f t="shared" si="61"/>
        <v>49293</v>
      </c>
      <c r="C128" s="60">
        <f t="shared" si="39"/>
        <v>33127052.878124986</v>
      </c>
      <c r="D128" s="60">
        <f t="shared" si="40"/>
        <v>29814347.590312488</v>
      </c>
      <c r="E128" s="60">
        <f t="shared" si="62"/>
        <v>30</v>
      </c>
      <c r="F128" s="60">
        <f t="shared" si="63"/>
        <v>0</v>
      </c>
      <c r="G128" s="60">
        <f>ROUND(F128*E128*Input!$C$3/365,0)</f>
        <v>0</v>
      </c>
      <c r="H128" s="60">
        <f>IF($A128&lt;=Input!$C$6,0,IF('120M'!D128&lt;'120M'!F128,'120M'!D128-G128,'120M'!F128))</f>
        <v>0</v>
      </c>
      <c r="I128" s="60">
        <f t="shared" si="64"/>
        <v>0</v>
      </c>
      <c r="J128" s="60">
        <f t="shared" si="65"/>
        <v>0</v>
      </c>
      <c r="K128" s="202">
        <f>J128/Input!$K$5</f>
        <v>0</v>
      </c>
      <c r="L128" s="232"/>
      <c r="M128" s="60">
        <f>IF($B128&lt;Input!$H$43,IF($B128&lt;Input!$G$43,IF($B128&lt;Input!$F$43,IF($B128&lt;Input!$E$43,IF($B128&lt;Input!$D$43,Input!$C$49,Input!$D$49),Input!$E$49),Input!$F$49),Input!$G$49),Input!$H$49)</f>
        <v>33127052.878124986</v>
      </c>
      <c r="N128" s="190">
        <f>IF($A128&lt;Input!$H$50,IF($A128&lt;Input!$G$50,IF($A128&lt;Input!$F$50,IF($A128&lt;Input!$E$50,IF($A128&lt;Input!$D$50,Input!$C$51,Input!$D$51),Input!$E$51),Input!$F$51),Input!$G$51),Input!$H$51)</f>
        <v>0.9</v>
      </c>
      <c r="O128" s="60">
        <f t="shared" si="74"/>
        <v>29814347.590312488</v>
      </c>
      <c r="P128" s="60">
        <f t="shared" si="75"/>
        <v>30</v>
      </c>
      <c r="Q128" s="60">
        <f t="shared" si="42"/>
        <v>0</v>
      </c>
      <c r="R128" s="60">
        <f>ROUND(Q128*$P128*Input!$C$3/365,0)</f>
        <v>0</v>
      </c>
      <c r="S128" s="60">
        <f>IF(A128&lt;=Input!$C$6,0,IF('120M'!O128&lt;'120M'!Q128,'120M'!O128-R128,'120M'!Q128))</f>
        <v>0</v>
      </c>
      <c r="T128" s="60">
        <f t="shared" si="43"/>
        <v>0</v>
      </c>
      <c r="U128" s="60">
        <f t="shared" si="44"/>
        <v>0</v>
      </c>
      <c r="V128" s="193"/>
      <c r="W128" s="169">
        <v>124</v>
      </c>
      <c r="X128" s="1">
        <f t="shared" si="66"/>
        <v>49293</v>
      </c>
      <c r="Y128" s="60">
        <f>IF($X128&lt;Input!$H$58,IF($X128&lt;Input!$G$58,IF($X128&lt;Input!$F$58,IF($X128&lt;Input!$E$58,IF($X128&lt;Input!$D$58,Input!$C$64,Input!$D$64),Input!$E$64),Input!$F$64),Input!$G$64),Input!$H$64)</f>
        <v>0</v>
      </c>
      <c r="Z128" s="190">
        <f>IF($A128&lt;Input!$H$65,IF($A128&lt;Input!$G$65,IF($A128&lt;Input!$F$65,IF($A128&lt;Input!$E$65,IF($A128&lt;Input!$D$65,Input!$C$66,Input!$D$66),Input!$E$66),Input!$F$66),Input!$G$66),Input!$H$66)</f>
        <v>0.9</v>
      </c>
      <c r="AA128" s="60">
        <f t="shared" si="45"/>
        <v>0</v>
      </c>
      <c r="AB128" s="60">
        <f t="shared" si="67"/>
        <v>30</v>
      </c>
      <c r="AC128" s="60">
        <f t="shared" si="46"/>
        <v>0</v>
      </c>
      <c r="AD128" s="60">
        <f>ROUND(AC128*AB128*Input!$C$3/365,0)</f>
        <v>0</v>
      </c>
      <c r="AE128" s="61">
        <f>IF($A128&lt;=Input!$C$6,0,IF('120M'!AA128&lt;'120M'!AC128,'120M'!AA128-AD128,'120M'!AC128))</f>
        <v>0</v>
      </c>
      <c r="AF128" s="61">
        <f t="shared" si="47"/>
        <v>0</v>
      </c>
      <c r="AG128" s="60">
        <f t="shared" si="48"/>
        <v>0</v>
      </c>
      <c r="AH128" s="193"/>
      <c r="AI128" s="169">
        <v>124</v>
      </c>
      <c r="AJ128" s="1">
        <f t="shared" si="68"/>
        <v>49293</v>
      </c>
      <c r="AK128" s="60">
        <f>IF($X128&lt;Input!$H$73,IF($X128&lt;Input!$G$73,IF($X128&lt;Input!$F$73,IF($X128&lt;Input!$E$73,IF($X128&lt;Input!$D$73,Input!$C$79,Input!$D$79),Input!$E$79),Input!$F$79),Input!$G$79),Input!$H$79)</f>
        <v>0</v>
      </c>
      <c r="AL128" s="190">
        <f>IF($A128&lt;Input!$H$80,IF($A128&lt;Input!$G$80,IF($A128&lt;Input!$F$80,IF($A128&lt;Input!$E$80,IF($A128&lt;Input!$D$80,Input!$C$81,Input!$D$81),Input!$E$81),Input!$F$81),Input!$G$81),Input!$H$81)</f>
        <v>0.9</v>
      </c>
      <c r="AM128" s="60">
        <f t="shared" si="49"/>
        <v>0</v>
      </c>
      <c r="AN128" s="60">
        <f t="shared" si="69"/>
        <v>30</v>
      </c>
      <c r="AO128" s="60">
        <f t="shared" si="50"/>
        <v>0</v>
      </c>
      <c r="AP128" s="60">
        <f>ROUND(AO128*AN128*Input!$C$3/365,0)</f>
        <v>0</v>
      </c>
      <c r="AQ128" s="61">
        <f>IF($A128&lt;=Input!$C$6,0,IF('120M'!AM128&lt;'120M'!AO128,'120M'!AM128-AP128,'120M'!AO128))</f>
        <v>0</v>
      </c>
      <c r="AR128" s="61">
        <f t="shared" si="51"/>
        <v>0</v>
      </c>
      <c r="AS128" s="60">
        <f t="shared" si="52"/>
        <v>0</v>
      </c>
      <c r="AT128" s="193"/>
      <c r="AU128" s="169">
        <v>124</v>
      </c>
      <c r="AV128" s="1">
        <f t="shared" si="70"/>
        <v>49293</v>
      </c>
      <c r="AW128" s="60">
        <f>IF($X128&lt;Input!$H$88,IF($X128&lt;Input!$G$88,IF($X128&lt;Input!$F$88,IF($X128&lt;Input!$E$88,IF($X128&lt;Input!$D$88,Input!$C$94,Input!$D$94),Input!$E$94),Input!$F$94),Input!$G$94),Input!$H$94)</f>
        <v>0</v>
      </c>
      <c r="AX128" s="190">
        <f>IF($A128&lt;Input!$H$95,IF($A128&lt;Input!$G$95,IF($A128&lt;Input!$F$95,IF($A128&lt;Input!$E$95,IF($A128&lt;Input!$D$95,Input!$C$96,Input!$D$96),Input!$E$96),Input!$F$96),Input!$G$96),Input!$H$96)</f>
        <v>0.9</v>
      </c>
      <c r="AY128" s="60">
        <f t="shared" si="53"/>
        <v>0</v>
      </c>
      <c r="AZ128" s="60">
        <f t="shared" si="71"/>
        <v>30</v>
      </c>
      <c r="BA128" s="60">
        <f t="shared" si="54"/>
        <v>0</v>
      </c>
      <c r="BB128" s="60">
        <f>ROUND(BA128*AZ128*Input!$C$3/365,0)</f>
        <v>0</v>
      </c>
      <c r="BC128" s="61">
        <f>IF($A128&lt;=Input!$C$6,0,IF('120M'!AY128&lt;'120M'!BA128,'120M'!AY128-BB128,'120M'!BA128))</f>
        <v>0</v>
      </c>
      <c r="BD128" s="61">
        <f t="shared" si="55"/>
        <v>0</v>
      </c>
      <c r="BE128" s="60">
        <f t="shared" si="56"/>
        <v>0</v>
      </c>
      <c r="BF128" s="193"/>
      <c r="BG128" s="169">
        <v>124</v>
      </c>
      <c r="BH128" s="1">
        <f t="shared" si="72"/>
        <v>49293</v>
      </c>
      <c r="BI128" s="60">
        <f>IF($X128&lt;Input!$H$103,IF($X128&lt;Input!$G$103,IF($X128&lt;Input!$F$103,IF($X128&lt;Input!$E$103,IF($X128&lt;Input!$D$103,Input!$C$109,Input!$D$109),Input!$E$109),Input!$F$109),Input!$G$109),Input!$H$109)</f>
        <v>0</v>
      </c>
      <c r="BJ128" s="190">
        <f>IF($A128&lt;Input!$H$110,IF($A128&lt;Input!$G$110,IF($A128&lt;Input!$F$110,IF($A128&lt;Input!$E$110,IF($A128&lt;Input!$D$110,Input!$C$111,Input!$D$111),Input!$E$111),Input!$F$111),Input!$G$111),Input!$H$111)</f>
        <v>0.9</v>
      </c>
      <c r="BK128" s="60">
        <f t="shared" si="57"/>
        <v>0</v>
      </c>
      <c r="BL128" s="60">
        <f t="shared" si="73"/>
        <v>30</v>
      </c>
      <c r="BM128" s="60">
        <f t="shared" si="58"/>
        <v>0</v>
      </c>
      <c r="BN128" s="60">
        <f>ROUND(BM128*BL128*Input!$C$3/365,0)</f>
        <v>0</v>
      </c>
      <c r="BO128" s="61">
        <f>IF($A128&lt;=Input!$C$6,0,IF('120M'!BK128&lt;'120M'!BM128,'120M'!BK128-BN128,'120M'!BM128))</f>
        <v>0</v>
      </c>
      <c r="BP128" s="61">
        <f t="shared" si="59"/>
        <v>0</v>
      </c>
      <c r="BQ128" s="60">
        <f t="shared" si="60"/>
        <v>0</v>
      </c>
      <c r="BR128" s="198"/>
    </row>
    <row r="129" spans="1:70" x14ac:dyDescent="0.25">
      <c r="A129" s="169">
        <v>125</v>
      </c>
      <c r="B129" s="1">
        <f t="shared" si="61"/>
        <v>49324</v>
      </c>
      <c r="C129" s="60">
        <f t="shared" si="39"/>
        <v>33127052.878124986</v>
      </c>
      <c r="D129" s="60">
        <f t="shared" si="40"/>
        <v>29814347.590312488</v>
      </c>
      <c r="E129" s="60">
        <f t="shared" si="62"/>
        <v>31</v>
      </c>
      <c r="F129" s="60">
        <f t="shared" si="63"/>
        <v>0</v>
      </c>
      <c r="G129" s="60">
        <f>ROUND(F129*E129*Input!$C$3/365,0)</f>
        <v>0</v>
      </c>
      <c r="H129" s="60">
        <f>IF($A129&lt;=Input!$C$6,0,IF('120M'!D129&lt;'120M'!F129,'120M'!D129-G129,'120M'!F129))</f>
        <v>0</v>
      </c>
      <c r="I129" s="60">
        <f t="shared" si="64"/>
        <v>0</v>
      </c>
      <c r="J129" s="60">
        <f t="shared" si="65"/>
        <v>0</v>
      </c>
      <c r="K129" s="202">
        <f>J129/Input!$K$5</f>
        <v>0</v>
      </c>
      <c r="L129" s="232"/>
      <c r="M129" s="60">
        <f>IF($B129&lt;Input!$H$43,IF($B129&lt;Input!$G$43,IF($B129&lt;Input!$F$43,IF($B129&lt;Input!$E$43,IF($B129&lt;Input!$D$43,Input!$C$49,Input!$D$49),Input!$E$49),Input!$F$49),Input!$G$49),Input!$H$49)</f>
        <v>33127052.878124986</v>
      </c>
      <c r="N129" s="190">
        <f>IF($A129&lt;Input!$H$50,IF($A129&lt;Input!$G$50,IF($A129&lt;Input!$F$50,IF($A129&lt;Input!$E$50,IF($A129&lt;Input!$D$50,Input!$C$51,Input!$D$51),Input!$E$51),Input!$F$51),Input!$G$51),Input!$H$51)</f>
        <v>0.9</v>
      </c>
      <c r="O129" s="60">
        <f t="shared" si="74"/>
        <v>29814347.590312488</v>
      </c>
      <c r="P129" s="60">
        <f t="shared" si="75"/>
        <v>31</v>
      </c>
      <c r="Q129" s="60">
        <f t="shared" si="42"/>
        <v>0</v>
      </c>
      <c r="R129" s="60">
        <f>ROUND(Q129*$P129*Input!$C$3/365,0)</f>
        <v>0</v>
      </c>
      <c r="S129" s="60">
        <f>IF(A129&lt;=Input!$C$6,0,IF('120M'!O129&lt;'120M'!Q129,'120M'!O129-R129,'120M'!Q129))</f>
        <v>0</v>
      </c>
      <c r="T129" s="60">
        <f t="shared" si="43"/>
        <v>0</v>
      </c>
      <c r="U129" s="60">
        <f t="shared" si="44"/>
        <v>0</v>
      </c>
      <c r="V129" s="193"/>
      <c r="W129" s="169">
        <v>125</v>
      </c>
      <c r="X129" s="1">
        <f t="shared" si="66"/>
        <v>49324</v>
      </c>
      <c r="Y129" s="60">
        <f>IF($X129&lt;Input!$H$58,IF($X129&lt;Input!$G$58,IF($X129&lt;Input!$F$58,IF($X129&lt;Input!$E$58,IF($X129&lt;Input!$D$58,Input!$C$64,Input!$D$64),Input!$E$64),Input!$F$64),Input!$G$64),Input!$H$64)</f>
        <v>0</v>
      </c>
      <c r="Z129" s="190">
        <f>IF($A129&lt;Input!$H$65,IF($A129&lt;Input!$G$65,IF($A129&lt;Input!$F$65,IF($A129&lt;Input!$E$65,IF($A129&lt;Input!$D$65,Input!$C$66,Input!$D$66),Input!$E$66),Input!$F$66),Input!$G$66),Input!$H$66)</f>
        <v>0.9</v>
      </c>
      <c r="AA129" s="60">
        <f t="shared" si="45"/>
        <v>0</v>
      </c>
      <c r="AB129" s="60">
        <f t="shared" si="67"/>
        <v>31</v>
      </c>
      <c r="AC129" s="60">
        <f t="shared" si="46"/>
        <v>0</v>
      </c>
      <c r="AD129" s="60">
        <f>ROUND(AC129*AB129*Input!$C$3/365,0)</f>
        <v>0</v>
      </c>
      <c r="AE129" s="61">
        <f>IF($A129&lt;=Input!$C$6,0,IF('120M'!AA129&lt;'120M'!AC129,'120M'!AA129-AD129,'120M'!AC129))</f>
        <v>0</v>
      </c>
      <c r="AF129" s="61">
        <f t="shared" si="47"/>
        <v>0</v>
      </c>
      <c r="AG129" s="60">
        <f t="shared" si="48"/>
        <v>0</v>
      </c>
      <c r="AH129" s="193"/>
      <c r="AI129" s="169">
        <v>125</v>
      </c>
      <c r="AJ129" s="1">
        <f t="shared" si="68"/>
        <v>49324</v>
      </c>
      <c r="AK129" s="60">
        <f>IF($X129&lt;Input!$H$73,IF($X129&lt;Input!$G$73,IF($X129&lt;Input!$F$73,IF($X129&lt;Input!$E$73,IF($X129&lt;Input!$D$73,Input!$C$79,Input!$D$79),Input!$E$79),Input!$F$79),Input!$G$79),Input!$H$79)</f>
        <v>0</v>
      </c>
      <c r="AL129" s="190">
        <f>IF($A129&lt;Input!$H$80,IF($A129&lt;Input!$G$80,IF($A129&lt;Input!$F$80,IF($A129&lt;Input!$E$80,IF($A129&lt;Input!$D$80,Input!$C$81,Input!$D$81),Input!$E$81),Input!$F$81),Input!$G$81),Input!$H$81)</f>
        <v>0.9</v>
      </c>
      <c r="AM129" s="60">
        <f t="shared" si="49"/>
        <v>0</v>
      </c>
      <c r="AN129" s="60">
        <f t="shared" si="69"/>
        <v>31</v>
      </c>
      <c r="AO129" s="60">
        <f t="shared" si="50"/>
        <v>0</v>
      </c>
      <c r="AP129" s="60">
        <f>ROUND(AO129*AN129*Input!$C$3/365,0)</f>
        <v>0</v>
      </c>
      <c r="AQ129" s="61">
        <f>IF($A129&lt;=Input!$C$6,0,IF('120M'!AM129&lt;'120M'!AO129,'120M'!AM129-AP129,'120M'!AO129))</f>
        <v>0</v>
      </c>
      <c r="AR129" s="61">
        <f t="shared" si="51"/>
        <v>0</v>
      </c>
      <c r="AS129" s="60">
        <f t="shared" si="52"/>
        <v>0</v>
      </c>
      <c r="AT129" s="193"/>
      <c r="AU129" s="169">
        <v>125</v>
      </c>
      <c r="AV129" s="1">
        <f t="shared" si="70"/>
        <v>49324</v>
      </c>
      <c r="AW129" s="60">
        <f>IF($X129&lt;Input!$H$88,IF($X129&lt;Input!$G$88,IF($X129&lt;Input!$F$88,IF($X129&lt;Input!$E$88,IF($X129&lt;Input!$D$88,Input!$C$94,Input!$D$94),Input!$E$94),Input!$F$94),Input!$G$94),Input!$H$94)</f>
        <v>0</v>
      </c>
      <c r="AX129" s="190">
        <f>IF($A129&lt;Input!$H$95,IF($A129&lt;Input!$G$95,IF($A129&lt;Input!$F$95,IF($A129&lt;Input!$E$95,IF($A129&lt;Input!$D$95,Input!$C$96,Input!$D$96),Input!$E$96),Input!$F$96),Input!$G$96),Input!$H$96)</f>
        <v>0.9</v>
      </c>
      <c r="AY129" s="60">
        <f t="shared" si="53"/>
        <v>0</v>
      </c>
      <c r="AZ129" s="60">
        <f t="shared" si="71"/>
        <v>31</v>
      </c>
      <c r="BA129" s="60">
        <f t="shared" si="54"/>
        <v>0</v>
      </c>
      <c r="BB129" s="60">
        <f>ROUND(BA129*AZ129*Input!$C$3/365,0)</f>
        <v>0</v>
      </c>
      <c r="BC129" s="61">
        <f>IF($A129&lt;=Input!$C$6,0,IF('120M'!AY129&lt;'120M'!BA129,'120M'!AY129-BB129,'120M'!BA129))</f>
        <v>0</v>
      </c>
      <c r="BD129" s="61">
        <f t="shared" si="55"/>
        <v>0</v>
      </c>
      <c r="BE129" s="60">
        <f t="shared" si="56"/>
        <v>0</v>
      </c>
      <c r="BF129" s="193"/>
      <c r="BG129" s="169">
        <v>125</v>
      </c>
      <c r="BH129" s="1">
        <f t="shared" si="72"/>
        <v>49324</v>
      </c>
      <c r="BI129" s="60">
        <f>IF($X129&lt;Input!$H$103,IF($X129&lt;Input!$G$103,IF($X129&lt;Input!$F$103,IF($X129&lt;Input!$E$103,IF($X129&lt;Input!$D$103,Input!$C$109,Input!$D$109),Input!$E$109),Input!$F$109),Input!$G$109),Input!$H$109)</f>
        <v>0</v>
      </c>
      <c r="BJ129" s="190">
        <f>IF($A129&lt;Input!$H$110,IF($A129&lt;Input!$G$110,IF($A129&lt;Input!$F$110,IF($A129&lt;Input!$E$110,IF($A129&lt;Input!$D$110,Input!$C$111,Input!$D$111),Input!$E$111),Input!$F$111),Input!$G$111),Input!$H$111)</f>
        <v>0.9</v>
      </c>
      <c r="BK129" s="60">
        <f t="shared" si="57"/>
        <v>0</v>
      </c>
      <c r="BL129" s="60">
        <f t="shared" si="73"/>
        <v>31</v>
      </c>
      <c r="BM129" s="60">
        <f t="shared" si="58"/>
        <v>0</v>
      </c>
      <c r="BN129" s="60">
        <f>ROUND(BM129*BL129*Input!$C$3/365,0)</f>
        <v>0</v>
      </c>
      <c r="BO129" s="61">
        <f>IF($A129&lt;=Input!$C$6,0,IF('120M'!BK129&lt;'120M'!BM129,'120M'!BK129-BN129,'120M'!BM129))</f>
        <v>0</v>
      </c>
      <c r="BP129" s="61">
        <f t="shared" si="59"/>
        <v>0</v>
      </c>
      <c r="BQ129" s="60">
        <f t="shared" si="60"/>
        <v>0</v>
      </c>
      <c r="BR129" s="198"/>
    </row>
    <row r="130" spans="1:70" x14ac:dyDescent="0.25">
      <c r="A130" s="169">
        <v>126</v>
      </c>
      <c r="B130" s="1">
        <f t="shared" si="61"/>
        <v>49355</v>
      </c>
      <c r="C130" s="60">
        <f t="shared" si="39"/>
        <v>33127052.878124986</v>
      </c>
      <c r="D130" s="60">
        <f t="shared" si="40"/>
        <v>29814347.590312488</v>
      </c>
      <c r="E130" s="60">
        <f t="shared" si="62"/>
        <v>31</v>
      </c>
      <c r="F130" s="60">
        <f t="shared" si="63"/>
        <v>0</v>
      </c>
      <c r="G130" s="60">
        <f>ROUND(F130*E130*Input!$C$3/365,0)</f>
        <v>0</v>
      </c>
      <c r="H130" s="60">
        <f>IF($A130&lt;=Input!$C$6,0,IF('120M'!D130&lt;'120M'!F130,'120M'!D130-G130,'120M'!F130))</f>
        <v>0</v>
      </c>
      <c r="I130" s="60">
        <f t="shared" si="64"/>
        <v>0</v>
      </c>
      <c r="J130" s="60">
        <f t="shared" si="65"/>
        <v>0</v>
      </c>
      <c r="K130" s="202">
        <f>J130/Input!$K$5</f>
        <v>0</v>
      </c>
      <c r="L130" s="232"/>
      <c r="M130" s="60">
        <f>IF($B130&lt;Input!$H$43,IF($B130&lt;Input!$G$43,IF($B130&lt;Input!$F$43,IF($B130&lt;Input!$E$43,IF($B130&lt;Input!$D$43,Input!$C$49,Input!$D$49),Input!$E$49),Input!$F$49),Input!$G$49),Input!$H$49)</f>
        <v>33127052.878124986</v>
      </c>
      <c r="N130" s="190">
        <f>IF($A130&lt;Input!$H$50,IF($A130&lt;Input!$G$50,IF($A130&lt;Input!$F$50,IF($A130&lt;Input!$E$50,IF($A130&lt;Input!$D$50,Input!$C$51,Input!$D$51),Input!$E$51),Input!$F$51),Input!$G$51),Input!$H$51)</f>
        <v>0.9</v>
      </c>
      <c r="O130" s="60">
        <f t="shared" si="74"/>
        <v>29814347.590312488</v>
      </c>
      <c r="P130" s="60">
        <f t="shared" si="75"/>
        <v>31</v>
      </c>
      <c r="Q130" s="60">
        <f t="shared" si="42"/>
        <v>0</v>
      </c>
      <c r="R130" s="60">
        <f>ROUND(Q130*$P130*Input!$C$3/365,0)</f>
        <v>0</v>
      </c>
      <c r="S130" s="60">
        <f>IF(A130&lt;=Input!$C$6,0,IF('120M'!O130&lt;'120M'!Q130,'120M'!O130-R130,'120M'!Q130))</f>
        <v>0</v>
      </c>
      <c r="T130" s="60">
        <f t="shared" si="43"/>
        <v>0</v>
      </c>
      <c r="U130" s="60">
        <f t="shared" si="44"/>
        <v>0</v>
      </c>
      <c r="V130" s="193"/>
      <c r="W130" s="169">
        <v>126</v>
      </c>
      <c r="X130" s="1">
        <f t="shared" si="66"/>
        <v>49355</v>
      </c>
      <c r="Y130" s="60">
        <f>IF($X130&lt;Input!$H$58,IF($X130&lt;Input!$G$58,IF($X130&lt;Input!$F$58,IF($X130&lt;Input!$E$58,IF($X130&lt;Input!$D$58,Input!$C$64,Input!$D$64),Input!$E$64),Input!$F$64),Input!$G$64),Input!$H$64)</f>
        <v>0</v>
      </c>
      <c r="Z130" s="190">
        <f>IF($A130&lt;Input!$H$65,IF($A130&lt;Input!$G$65,IF($A130&lt;Input!$F$65,IF($A130&lt;Input!$E$65,IF($A130&lt;Input!$D$65,Input!$C$66,Input!$D$66),Input!$E$66),Input!$F$66),Input!$G$66),Input!$H$66)</f>
        <v>0.9</v>
      </c>
      <c r="AA130" s="60">
        <f t="shared" si="45"/>
        <v>0</v>
      </c>
      <c r="AB130" s="60">
        <f t="shared" si="67"/>
        <v>31</v>
      </c>
      <c r="AC130" s="60">
        <f t="shared" si="46"/>
        <v>0</v>
      </c>
      <c r="AD130" s="60">
        <f>ROUND(AC130*AB130*Input!$C$3/365,0)</f>
        <v>0</v>
      </c>
      <c r="AE130" s="61">
        <f>IF($A130&lt;=Input!$C$6,0,IF('120M'!AA130&lt;'120M'!AC130,'120M'!AA130-AD130,'120M'!AC130))</f>
        <v>0</v>
      </c>
      <c r="AF130" s="61">
        <f t="shared" si="47"/>
        <v>0</v>
      </c>
      <c r="AG130" s="60">
        <f t="shared" si="48"/>
        <v>0</v>
      </c>
      <c r="AH130" s="193"/>
      <c r="AI130" s="169">
        <v>126</v>
      </c>
      <c r="AJ130" s="1">
        <f t="shared" si="68"/>
        <v>49355</v>
      </c>
      <c r="AK130" s="60">
        <f>IF($X130&lt;Input!$H$73,IF($X130&lt;Input!$G$73,IF($X130&lt;Input!$F$73,IF($X130&lt;Input!$E$73,IF($X130&lt;Input!$D$73,Input!$C$79,Input!$D$79),Input!$E$79),Input!$F$79),Input!$G$79),Input!$H$79)</f>
        <v>0</v>
      </c>
      <c r="AL130" s="190">
        <f>IF($A130&lt;Input!$H$80,IF($A130&lt;Input!$G$80,IF($A130&lt;Input!$F$80,IF($A130&lt;Input!$E$80,IF($A130&lt;Input!$D$80,Input!$C$81,Input!$D$81),Input!$E$81),Input!$F$81),Input!$G$81),Input!$H$81)</f>
        <v>0.9</v>
      </c>
      <c r="AM130" s="60">
        <f t="shared" si="49"/>
        <v>0</v>
      </c>
      <c r="AN130" s="60">
        <f t="shared" si="69"/>
        <v>31</v>
      </c>
      <c r="AO130" s="60">
        <f t="shared" si="50"/>
        <v>0</v>
      </c>
      <c r="AP130" s="60">
        <f>ROUND(AO130*AN130*Input!$C$3/365,0)</f>
        <v>0</v>
      </c>
      <c r="AQ130" s="61">
        <f>IF($A130&lt;=Input!$C$6,0,IF('120M'!AM130&lt;'120M'!AO130,'120M'!AM130-AP130,'120M'!AO130))</f>
        <v>0</v>
      </c>
      <c r="AR130" s="61">
        <f t="shared" si="51"/>
        <v>0</v>
      </c>
      <c r="AS130" s="60">
        <f t="shared" si="52"/>
        <v>0</v>
      </c>
      <c r="AT130" s="193"/>
      <c r="AU130" s="169">
        <v>126</v>
      </c>
      <c r="AV130" s="1">
        <f t="shared" si="70"/>
        <v>49355</v>
      </c>
      <c r="AW130" s="60">
        <f>IF($X130&lt;Input!$H$88,IF($X130&lt;Input!$G$88,IF($X130&lt;Input!$F$88,IF($X130&lt;Input!$E$88,IF($X130&lt;Input!$D$88,Input!$C$94,Input!$D$94),Input!$E$94),Input!$F$94),Input!$G$94),Input!$H$94)</f>
        <v>0</v>
      </c>
      <c r="AX130" s="190">
        <f>IF($A130&lt;Input!$H$95,IF($A130&lt;Input!$G$95,IF($A130&lt;Input!$F$95,IF($A130&lt;Input!$E$95,IF($A130&lt;Input!$D$95,Input!$C$96,Input!$D$96),Input!$E$96),Input!$F$96),Input!$G$96),Input!$H$96)</f>
        <v>0.9</v>
      </c>
      <c r="AY130" s="60">
        <f t="shared" si="53"/>
        <v>0</v>
      </c>
      <c r="AZ130" s="60">
        <f t="shared" si="71"/>
        <v>31</v>
      </c>
      <c r="BA130" s="60">
        <f t="shared" si="54"/>
        <v>0</v>
      </c>
      <c r="BB130" s="60">
        <f>ROUND(BA130*AZ130*Input!$C$3/365,0)</f>
        <v>0</v>
      </c>
      <c r="BC130" s="61">
        <f>IF($A130&lt;=Input!$C$6,0,IF('120M'!AY130&lt;'120M'!BA130,'120M'!AY130-BB130,'120M'!BA130))</f>
        <v>0</v>
      </c>
      <c r="BD130" s="61">
        <f t="shared" si="55"/>
        <v>0</v>
      </c>
      <c r="BE130" s="60">
        <f t="shared" si="56"/>
        <v>0</v>
      </c>
      <c r="BF130" s="193"/>
      <c r="BG130" s="169">
        <v>126</v>
      </c>
      <c r="BH130" s="1">
        <f t="shared" si="72"/>
        <v>49355</v>
      </c>
      <c r="BI130" s="60">
        <f>IF($X130&lt;Input!$H$103,IF($X130&lt;Input!$G$103,IF($X130&lt;Input!$F$103,IF($X130&lt;Input!$E$103,IF($X130&lt;Input!$D$103,Input!$C$109,Input!$D$109),Input!$E$109),Input!$F$109),Input!$G$109),Input!$H$109)</f>
        <v>0</v>
      </c>
      <c r="BJ130" s="190">
        <f>IF($A130&lt;Input!$H$110,IF($A130&lt;Input!$G$110,IF($A130&lt;Input!$F$110,IF($A130&lt;Input!$E$110,IF($A130&lt;Input!$D$110,Input!$C$111,Input!$D$111),Input!$E$111),Input!$F$111),Input!$G$111),Input!$H$111)</f>
        <v>0.9</v>
      </c>
      <c r="BK130" s="60">
        <f t="shared" si="57"/>
        <v>0</v>
      </c>
      <c r="BL130" s="60">
        <f t="shared" si="73"/>
        <v>31</v>
      </c>
      <c r="BM130" s="60">
        <f t="shared" si="58"/>
        <v>0</v>
      </c>
      <c r="BN130" s="60">
        <f>ROUND(BM130*BL130*Input!$C$3/365,0)</f>
        <v>0</v>
      </c>
      <c r="BO130" s="61">
        <f>IF($A130&lt;=Input!$C$6,0,IF('120M'!BK130&lt;'120M'!BM130,'120M'!BK130-BN130,'120M'!BM130))</f>
        <v>0</v>
      </c>
      <c r="BP130" s="61">
        <f t="shared" si="59"/>
        <v>0</v>
      </c>
      <c r="BQ130" s="60">
        <f t="shared" si="60"/>
        <v>0</v>
      </c>
      <c r="BR130" s="198"/>
    </row>
    <row r="131" spans="1:70" x14ac:dyDescent="0.25">
      <c r="A131" s="169">
        <v>127</v>
      </c>
      <c r="B131" s="1">
        <f t="shared" si="61"/>
        <v>49383</v>
      </c>
      <c r="C131" s="60">
        <f t="shared" si="39"/>
        <v>33127052.878124986</v>
      </c>
      <c r="D131" s="60">
        <f t="shared" si="40"/>
        <v>29814347.590312488</v>
      </c>
      <c r="E131" s="60">
        <f t="shared" si="62"/>
        <v>28</v>
      </c>
      <c r="F131" s="60">
        <f t="shared" si="63"/>
        <v>0</v>
      </c>
      <c r="G131" s="60">
        <f>ROUND(F131*E131*Input!$C$3/365,0)</f>
        <v>0</v>
      </c>
      <c r="H131" s="60">
        <f>IF($A131&lt;=Input!$C$6,0,IF('120M'!D131&lt;'120M'!F131,'120M'!D131-G131,'120M'!F131))</f>
        <v>0</v>
      </c>
      <c r="I131" s="60">
        <f t="shared" si="64"/>
        <v>0</v>
      </c>
      <c r="J131" s="60">
        <f t="shared" si="65"/>
        <v>0</v>
      </c>
      <c r="K131" s="202">
        <f>J131/Input!$K$5</f>
        <v>0</v>
      </c>
      <c r="L131" s="232"/>
      <c r="M131" s="60">
        <f>IF($B131&lt;Input!$H$43,IF($B131&lt;Input!$G$43,IF($B131&lt;Input!$F$43,IF($B131&lt;Input!$E$43,IF($B131&lt;Input!$D$43,Input!$C$49,Input!$D$49),Input!$E$49),Input!$F$49),Input!$G$49),Input!$H$49)</f>
        <v>33127052.878124986</v>
      </c>
      <c r="N131" s="190">
        <f>IF($A131&lt;Input!$H$50,IF($A131&lt;Input!$G$50,IF($A131&lt;Input!$F$50,IF($A131&lt;Input!$E$50,IF($A131&lt;Input!$D$50,Input!$C$51,Input!$D$51),Input!$E$51),Input!$F$51),Input!$G$51),Input!$H$51)</f>
        <v>0.9</v>
      </c>
      <c r="O131" s="60">
        <f t="shared" si="74"/>
        <v>29814347.590312488</v>
      </c>
      <c r="P131" s="60">
        <f t="shared" si="75"/>
        <v>28</v>
      </c>
      <c r="Q131" s="60">
        <f t="shared" si="42"/>
        <v>0</v>
      </c>
      <c r="R131" s="60">
        <f>ROUND(Q131*$P131*Input!$C$3/365,0)</f>
        <v>0</v>
      </c>
      <c r="S131" s="60">
        <f>IF(A131&lt;=Input!$C$6,0,IF('120M'!O131&lt;'120M'!Q131,'120M'!O131-R131,'120M'!Q131))</f>
        <v>0</v>
      </c>
      <c r="T131" s="60">
        <f t="shared" si="43"/>
        <v>0</v>
      </c>
      <c r="U131" s="60">
        <f t="shared" si="44"/>
        <v>0</v>
      </c>
      <c r="V131" s="193"/>
      <c r="W131" s="169">
        <v>127</v>
      </c>
      <c r="X131" s="1">
        <f t="shared" si="66"/>
        <v>49383</v>
      </c>
      <c r="Y131" s="60">
        <f>IF($X131&lt;Input!$H$58,IF($X131&lt;Input!$G$58,IF($X131&lt;Input!$F$58,IF($X131&lt;Input!$E$58,IF($X131&lt;Input!$D$58,Input!$C$64,Input!$D$64),Input!$E$64),Input!$F$64),Input!$G$64),Input!$H$64)</f>
        <v>0</v>
      </c>
      <c r="Z131" s="190">
        <f>IF($A131&lt;Input!$H$65,IF($A131&lt;Input!$G$65,IF($A131&lt;Input!$F$65,IF($A131&lt;Input!$E$65,IF($A131&lt;Input!$D$65,Input!$C$66,Input!$D$66),Input!$E$66),Input!$F$66),Input!$G$66),Input!$H$66)</f>
        <v>0.9</v>
      </c>
      <c r="AA131" s="60">
        <f t="shared" si="45"/>
        <v>0</v>
      </c>
      <c r="AB131" s="60">
        <f t="shared" si="67"/>
        <v>28</v>
      </c>
      <c r="AC131" s="60">
        <f t="shared" si="46"/>
        <v>0</v>
      </c>
      <c r="AD131" s="60">
        <f>ROUND(AC131*AB131*Input!$C$3/365,0)</f>
        <v>0</v>
      </c>
      <c r="AE131" s="61">
        <f>IF($A131&lt;=Input!$C$6,0,IF('120M'!AA131&lt;'120M'!AC131,'120M'!AA131-AD131,'120M'!AC131))</f>
        <v>0</v>
      </c>
      <c r="AF131" s="61">
        <f t="shared" si="47"/>
        <v>0</v>
      </c>
      <c r="AG131" s="60">
        <f t="shared" si="48"/>
        <v>0</v>
      </c>
      <c r="AH131" s="193"/>
      <c r="AI131" s="169">
        <v>127</v>
      </c>
      <c r="AJ131" s="1">
        <f t="shared" si="68"/>
        <v>49383</v>
      </c>
      <c r="AK131" s="60">
        <f>IF($X131&lt;Input!$H$73,IF($X131&lt;Input!$G$73,IF($X131&lt;Input!$F$73,IF($X131&lt;Input!$E$73,IF($X131&lt;Input!$D$73,Input!$C$79,Input!$D$79),Input!$E$79),Input!$F$79),Input!$G$79),Input!$H$79)</f>
        <v>0</v>
      </c>
      <c r="AL131" s="190">
        <f>IF($A131&lt;Input!$H$80,IF($A131&lt;Input!$G$80,IF($A131&lt;Input!$F$80,IF($A131&lt;Input!$E$80,IF($A131&lt;Input!$D$80,Input!$C$81,Input!$D$81),Input!$E$81),Input!$F$81),Input!$G$81),Input!$H$81)</f>
        <v>0.9</v>
      </c>
      <c r="AM131" s="60">
        <f t="shared" si="49"/>
        <v>0</v>
      </c>
      <c r="AN131" s="60">
        <f t="shared" si="69"/>
        <v>28</v>
      </c>
      <c r="AO131" s="60">
        <f t="shared" si="50"/>
        <v>0</v>
      </c>
      <c r="AP131" s="60">
        <f>ROUND(AO131*AN131*Input!$C$3/365,0)</f>
        <v>0</v>
      </c>
      <c r="AQ131" s="61">
        <f>IF($A131&lt;=Input!$C$6,0,IF('120M'!AM131&lt;'120M'!AO131,'120M'!AM131-AP131,'120M'!AO131))</f>
        <v>0</v>
      </c>
      <c r="AR131" s="61">
        <f t="shared" si="51"/>
        <v>0</v>
      </c>
      <c r="AS131" s="60">
        <f t="shared" si="52"/>
        <v>0</v>
      </c>
      <c r="AT131" s="193"/>
      <c r="AU131" s="169">
        <v>127</v>
      </c>
      <c r="AV131" s="1">
        <f t="shared" si="70"/>
        <v>49383</v>
      </c>
      <c r="AW131" s="60">
        <f>IF($X131&lt;Input!$H$88,IF($X131&lt;Input!$G$88,IF($X131&lt;Input!$F$88,IF($X131&lt;Input!$E$88,IF($X131&lt;Input!$D$88,Input!$C$94,Input!$D$94),Input!$E$94),Input!$F$94),Input!$G$94),Input!$H$94)</f>
        <v>0</v>
      </c>
      <c r="AX131" s="190">
        <f>IF($A131&lt;Input!$H$95,IF($A131&lt;Input!$G$95,IF($A131&lt;Input!$F$95,IF($A131&lt;Input!$E$95,IF($A131&lt;Input!$D$95,Input!$C$96,Input!$D$96),Input!$E$96),Input!$F$96),Input!$G$96),Input!$H$96)</f>
        <v>0.9</v>
      </c>
      <c r="AY131" s="60">
        <f t="shared" si="53"/>
        <v>0</v>
      </c>
      <c r="AZ131" s="60">
        <f t="shared" si="71"/>
        <v>28</v>
      </c>
      <c r="BA131" s="60">
        <f t="shared" si="54"/>
        <v>0</v>
      </c>
      <c r="BB131" s="60">
        <f>ROUND(BA131*AZ131*Input!$C$3/365,0)</f>
        <v>0</v>
      </c>
      <c r="BC131" s="61">
        <f>IF($A131&lt;=Input!$C$6,0,IF('120M'!AY131&lt;'120M'!BA131,'120M'!AY131-BB131,'120M'!BA131))</f>
        <v>0</v>
      </c>
      <c r="BD131" s="61">
        <f t="shared" si="55"/>
        <v>0</v>
      </c>
      <c r="BE131" s="60">
        <f t="shared" si="56"/>
        <v>0</v>
      </c>
      <c r="BF131" s="193"/>
      <c r="BG131" s="169">
        <v>127</v>
      </c>
      <c r="BH131" s="1">
        <f t="shared" si="72"/>
        <v>49383</v>
      </c>
      <c r="BI131" s="60">
        <f>IF($X131&lt;Input!$H$103,IF($X131&lt;Input!$G$103,IF($X131&lt;Input!$F$103,IF($X131&lt;Input!$E$103,IF($X131&lt;Input!$D$103,Input!$C$109,Input!$D$109),Input!$E$109),Input!$F$109),Input!$G$109),Input!$H$109)</f>
        <v>0</v>
      </c>
      <c r="BJ131" s="190">
        <f>IF($A131&lt;Input!$H$110,IF($A131&lt;Input!$G$110,IF($A131&lt;Input!$F$110,IF($A131&lt;Input!$E$110,IF($A131&lt;Input!$D$110,Input!$C$111,Input!$D$111),Input!$E$111),Input!$F$111),Input!$G$111),Input!$H$111)</f>
        <v>0.9</v>
      </c>
      <c r="BK131" s="60">
        <f t="shared" si="57"/>
        <v>0</v>
      </c>
      <c r="BL131" s="60">
        <f t="shared" si="73"/>
        <v>28</v>
      </c>
      <c r="BM131" s="60">
        <f t="shared" si="58"/>
        <v>0</v>
      </c>
      <c r="BN131" s="60">
        <f>ROUND(BM131*BL131*Input!$C$3/365,0)</f>
        <v>0</v>
      </c>
      <c r="BO131" s="61">
        <f>IF($A131&lt;=Input!$C$6,0,IF('120M'!BK131&lt;'120M'!BM131,'120M'!BK131-BN131,'120M'!BM131))</f>
        <v>0</v>
      </c>
      <c r="BP131" s="61">
        <f t="shared" si="59"/>
        <v>0</v>
      </c>
      <c r="BQ131" s="60">
        <f t="shared" si="60"/>
        <v>0</v>
      </c>
      <c r="BR131" s="198"/>
    </row>
    <row r="132" spans="1:70" x14ac:dyDescent="0.25">
      <c r="A132" s="169">
        <v>128</v>
      </c>
      <c r="B132" s="1">
        <f t="shared" si="61"/>
        <v>49414</v>
      </c>
      <c r="C132" s="60">
        <f t="shared" si="39"/>
        <v>33127052.878124986</v>
      </c>
      <c r="D132" s="60">
        <f t="shared" si="40"/>
        <v>29814347.590312488</v>
      </c>
      <c r="E132" s="60">
        <f t="shared" si="62"/>
        <v>31</v>
      </c>
      <c r="F132" s="60">
        <f t="shared" si="63"/>
        <v>0</v>
      </c>
      <c r="G132" s="60">
        <f>ROUND(F132*E132*Input!$C$3/365,0)</f>
        <v>0</v>
      </c>
      <c r="H132" s="60">
        <f>IF($A132&lt;=Input!$C$6,0,IF('120M'!D132&lt;'120M'!F132,'120M'!D132-G132,'120M'!F132))</f>
        <v>0</v>
      </c>
      <c r="I132" s="60">
        <f t="shared" si="64"/>
        <v>0</v>
      </c>
      <c r="J132" s="60">
        <f t="shared" si="65"/>
        <v>0</v>
      </c>
      <c r="K132" s="202">
        <f>J132/Input!$K$5</f>
        <v>0</v>
      </c>
      <c r="L132" s="232"/>
      <c r="M132" s="60">
        <f>IF($B132&lt;Input!$H$43,IF($B132&lt;Input!$G$43,IF($B132&lt;Input!$F$43,IF($B132&lt;Input!$E$43,IF($B132&lt;Input!$D$43,Input!$C$49,Input!$D$49),Input!$E$49),Input!$F$49),Input!$G$49),Input!$H$49)</f>
        <v>33127052.878124986</v>
      </c>
      <c r="N132" s="190">
        <f>IF($A132&lt;Input!$H$50,IF($A132&lt;Input!$G$50,IF($A132&lt;Input!$F$50,IF($A132&lt;Input!$E$50,IF($A132&lt;Input!$D$50,Input!$C$51,Input!$D$51),Input!$E$51),Input!$F$51),Input!$G$51),Input!$H$51)</f>
        <v>0.9</v>
      </c>
      <c r="O132" s="60">
        <f t="shared" ref="O132:O163" si="76">M132*N132</f>
        <v>29814347.590312488</v>
      </c>
      <c r="P132" s="60">
        <f t="shared" si="75"/>
        <v>31</v>
      </c>
      <c r="Q132" s="60">
        <f t="shared" si="42"/>
        <v>0</v>
      </c>
      <c r="R132" s="60">
        <f>ROUND(Q132*$P132*Input!$C$3/365,0)</f>
        <v>0</v>
      </c>
      <c r="S132" s="60">
        <f>IF(A132&lt;=Input!$C$6,0,IF('120M'!O132&lt;'120M'!Q132,'120M'!O132-R132,'120M'!Q132))</f>
        <v>0</v>
      </c>
      <c r="T132" s="60">
        <f t="shared" si="43"/>
        <v>0</v>
      </c>
      <c r="U132" s="60">
        <f t="shared" si="44"/>
        <v>0</v>
      </c>
      <c r="V132" s="193"/>
      <c r="W132" s="169">
        <v>128</v>
      </c>
      <c r="X132" s="1">
        <f t="shared" si="66"/>
        <v>49414</v>
      </c>
      <c r="Y132" s="60">
        <f>IF($X132&lt;Input!$H$58,IF($X132&lt;Input!$G$58,IF($X132&lt;Input!$F$58,IF($X132&lt;Input!$E$58,IF($X132&lt;Input!$D$58,Input!$C$64,Input!$D$64),Input!$E$64),Input!$F$64),Input!$G$64),Input!$H$64)</f>
        <v>0</v>
      </c>
      <c r="Z132" s="190">
        <f>IF($A132&lt;Input!$H$65,IF($A132&lt;Input!$G$65,IF($A132&lt;Input!$F$65,IF($A132&lt;Input!$E$65,IF($A132&lt;Input!$D$65,Input!$C$66,Input!$D$66),Input!$E$66),Input!$F$66),Input!$G$66),Input!$H$66)</f>
        <v>0.9</v>
      </c>
      <c r="AA132" s="60">
        <f t="shared" si="45"/>
        <v>0</v>
      </c>
      <c r="AB132" s="60">
        <f t="shared" si="67"/>
        <v>31</v>
      </c>
      <c r="AC132" s="60">
        <f t="shared" si="46"/>
        <v>0</v>
      </c>
      <c r="AD132" s="60">
        <f>ROUND(AC132*AB132*Input!$C$3/365,0)</f>
        <v>0</v>
      </c>
      <c r="AE132" s="61">
        <f>IF($A132&lt;=Input!$C$6,0,IF('120M'!AA132&lt;'120M'!AC132,'120M'!AA132-AD132,'120M'!AC132))</f>
        <v>0</v>
      </c>
      <c r="AF132" s="61">
        <f t="shared" si="47"/>
        <v>0</v>
      </c>
      <c r="AG132" s="60">
        <f t="shared" si="48"/>
        <v>0</v>
      </c>
      <c r="AH132" s="193"/>
      <c r="AI132" s="169">
        <v>128</v>
      </c>
      <c r="AJ132" s="1">
        <f t="shared" si="68"/>
        <v>49414</v>
      </c>
      <c r="AK132" s="60">
        <f>IF($X132&lt;Input!$H$73,IF($X132&lt;Input!$G$73,IF($X132&lt;Input!$F$73,IF($X132&lt;Input!$E$73,IF($X132&lt;Input!$D$73,Input!$C$79,Input!$D$79),Input!$E$79),Input!$F$79),Input!$G$79),Input!$H$79)</f>
        <v>0</v>
      </c>
      <c r="AL132" s="190">
        <f>IF($A132&lt;Input!$H$80,IF($A132&lt;Input!$G$80,IF($A132&lt;Input!$F$80,IF($A132&lt;Input!$E$80,IF($A132&lt;Input!$D$80,Input!$C$81,Input!$D$81),Input!$E$81),Input!$F$81),Input!$G$81),Input!$H$81)</f>
        <v>0.9</v>
      </c>
      <c r="AM132" s="60">
        <f t="shared" si="49"/>
        <v>0</v>
      </c>
      <c r="AN132" s="60">
        <f t="shared" si="69"/>
        <v>31</v>
      </c>
      <c r="AO132" s="60">
        <f t="shared" si="50"/>
        <v>0</v>
      </c>
      <c r="AP132" s="60">
        <f>ROUND(AO132*AN132*Input!$C$3/365,0)</f>
        <v>0</v>
      </c>
      <c r="AQ132" s="61">
        <f>IF($A132&lt;=Input!$C$6,0,IF('120M'!AM132&lt;'120M'!AO132,'120M'!AM132-AP132,'120M'!AO132))</f>
        <v>0</v>
      </c>
      <c r="AR132" s="61">
        <f t="shared" si="51"/>
        <v>0</v>
      </c>
      <c r="AS132" s="60">
        <f t="shared" si="52"/>
        <v>0</v>
      </c>
      <c r="AT132" s="193"/>
      <c r="AU132" s="169">
        <v>128</v>
      </c>
      <c r="AV132" s="1">
        <f t="shared" si="70"/>
        <v>49414</v>
      </c>
      <c r="AW132" s="60">
        <f>IF($X132&lt;Input!$H$88,IF($X132&lt;Input!$G$88,IF($X132&lt;Input!$F$88,IF($X132&lt;Input!$E$88,IF($X132&lt;Input!$D$88,Input!$C$94,Input!$D$94),Input!$E$94),Input!$F$94),Input!$G$94),Input!$H$94)</f>
        <v>0</v>
      </c>
      <c r="AX132" s="190">
        <f>IF($A132&lt;Input!$H$95,IF($A132&lt;Input!$G$95,IF($A132&lt;Input!$F$95,IF($A132&lt;Input!$E$95,IF($A132&lt;Input!$D$95,Input!$C$96,Input!$D$96),Input!$E$96),Input!$F$96),Input!$G$96),Input!$H$96)</f>
        <v>0.9</v>
      </c>
      <c r="AY132" s="60">
        <f t="shared" si="53"/>
        <v>0</v>
      </c>
      <c r="AZ132" s="60">
        <f t="shared" si="71"/>
        <v>31</v>
      </c>
      <c r="BA132" s="60">
        <f t="shared" si="54"/>
        <v>0</v>
      </c>
      <c r="BB132" s="60">
        <f>ROUND(BA132*AZ132*Input!$C$3/365,0)</f>
        <v>0</v>
      </c>
      <c r="BC132" s="61">
        <f>IF($A132&lt;=Input!$C$6,0,IF('120M'!AY132&lt;'120M'!BA132,'120M'!AY132-BB132,'120M'!BA132))</f>
        <v>0</v>
      </c>
      <c r="BD132" s="61">
        <f t="shared" si="55"/>
        <v>0</v>
      </c>
      <c r="BE132" s="60">
        <f t="shared" si="56"/>
        <v>0</v>
      </c>
      <c r="BF132" s="193"/>
      <c r="BG132" s="169">
        <v>128</v>
      </c>
      <c r="BH132" s="1">
        <f t="shared" si="72"/>
        <v>49414</v>
      </c>
      <c r="BI132" s="60">
        <f>IF($X132&lt;Input!$H$103,IF($X132&lt;Input!$G$103,IF($X132&lt;Input!$F$103,IF($X132&lt;Input!$E$103,IF($X132&lt;Input!$D$103,Input!$C$109,Input!$D$109),Input!$E$109),Input!$F$109),Input!$G$109),Input!$H$109)</f>
        <v>0</v>
      </c>
      <c r="BJ132" s="190">
        <f>IF($A132&lt;Input!$H$110,IF($A132&lt;Input!$G$110,IF($A132&lt;Input!$F$110,IF($A132&lt;Input!$E$110,IF($A132&lt;Input!$D$110,Input!$C$111,Input!$D$111),Input!$E$111),Input!$F$111),Input!$G$111),Input!$H$111)</f>
        <v>0.9</v>
      </c>
      <c r="BK132" s="60">
        <f t="shared" si="57"/>
        <v>0</v>
      </c>
      <c r="BL132" s="60">
        <f t="shared" si="73"/>
        <v>31</v>
      </c>
      <c r="BM132" s="60">
        <f t="shared" si="58"/>
        <v>0</v>
      </c>
      <c r="BN132" s="60">
        <f>ROUND(BM132*BL132*Input!$C$3/365,0)</f>
        <v>0</v>
      </c>
      <c r="BO132" s="61">
        <f>IF($A132&lt;=Input!$C$6,0,IF('120M'!BK132&lt;'120M'!BM132,'120M'!BK132-BN132,'120M'!BM132))</f>
        <v>0</v>
      </c>
      <c r="BP132" s="61">
        <f t="shared" si="59"/>
        <v>0</v>
      </c>
      <c r="BQ132" s="60">
        <f t="shared" si="60"/>
        <v>0</v>
      </c>
      <c r="BR132" s="198"/>
    </row>
    <row r="133" spans="1:70" x14ac:dyDescent="0.25">
      <c r="A133" s="169">
        <v>129</v>
      </c>
      <c r="B133" s="1">
        <f t="shared" si="61"/>
        <v>49444</v>
      </c>
      <c r="C133" s="60">
        <f t="shared" ref="C133:C184" si="77">M133+Y133+AK133+AW133+BI133</f>
        <v>33127052.878124986</v>
      </c>
      <c r="D133" s="60">
        <f t="shared" ref="D133:D184" si="78">O133+AA133+AM133+AY133+BK133</f>
        <v>29814347.590312488</v>
      </c>
      <c r="E133" s="60">
        <f t="shared" si="62"/>
        <v>30</v>
      </c>
      <c r="F133" s="60">
        <f t="shared" si="63"/>
        <v>0</v>
      </c>
      <c r="G133" s="60">
        <f>ROUND(F133*E133*Input!$C$3/365,0)</f>
        <v>0</v>
      </c>
      <c r="H133" s="60">
        <f>IF($A133&lt;=Input!$C$6,0,IF('120M'!D133&lt;'120M'!F133,'120M'!D133-G133,'120M'!F133))</f>
        <v>0</v>
      </c>
      <c r="I133" s="60">
        <f t="shared" si="64"/>
        <v>0</v>
      </c>
      <c r="J133" s="60">
        <f t="shared" si="65"/>
        <v>0</v>
      </c>
      <c r="K133" s="202">
        <f>J133/Input!$K$5</f>
        <v>0</v>
      </c>
      <c r="L133" s="232"/>
      <c r="M133" s="60">
        <f>IF($B133&lt;Input!$H$43,IF($B133&lt;Input!$G$43,IF($B133&lt;Input!$F$43,IF($B133&lt;Input!$E$43,IF($B133&lt;Input!$D$43,Input!$C$49,Input!$D$49),Input!$E$49),Input!$F$49),Input!$G$49),Input!$H$49)</f>
        <v>33127052.878124986</v>
      </c>
      <c r="N133" s="190">
        <f>IF($A133&lt;Input!$H$50,IF($A133&lt;Input!$G$50,IF($A133&lt;Input!$F$50,IF($A133&lt;Input!$E$50,IF($A133&lt;Input!$D$50,Input!$C$51,Input!$D$51),Input!$E$51),Input!$F$51),Input!$G$51),Input!$H$51)</f>
        <v>0.9</v>
      </c>
      <c r="O133" s="60">
        <f t="shared" si="76"/>
        <v>29814347.590312488</v>
      </c>
      <c r="P133" s="60">
        <f t="shared" ref="P133:P164" si="79">B133-B132</f>
        <v>30</v>
      </c>
      <c r="Q133" s="60">
        <f t="shared" ref="Q133:Q184" si="80">U132</f>
        <v>0</v>
      </c>
      <c r="R133" s="60">
        <f>ROUND(Q133*$P133*Input!$C$3/365,0)</f>
        <v>0</v>
      </c>
      <c r="S133" s="60">
        <f>IF(A133&lt;=Input!$C$6,0,IF('120M'!O133&lt;'120M'!Q133,'120M'!O133-R133,'120M'!Q133))</f>
        <v>0</v>
      </c>
      <c r="T133" s="60">
        <f t="shared" ref="T133:T184" si="81">R133+S133</f>
        <v>0</v>
      </c>
      <c r="U133" s="60">
        <f t="shared" ref="U133:U184" si="82">U132-S133</f>
        <v>0</v>
      </c>
      <c r="V133" s="193"/>
      <c r="W133" s="169">
        <v>129</v>
      </c>
      <c r="X133" s="1">
        <f t="shared" si="66"/>
        <v>49444</v>
      </c>
      <c r="Y133" s="60">
        <f>IF($X133&lt;Input!$H$58,IF($X133&lt;Input!$G$58,IF($X133&lt;Input!$F$58,IF($X133&lt;Input!$E$58,IF($X133&lt;Input!$D$58,Input!$C$64,Input!$D$64),Input!$E$64),Input!$F$64),Input!$G$64),Input!$H$64)</f>
        <v>0</v>
      </c>
      <c r="Z133" s="190">
        <f>IF($A133&lt;Input!$H$65,IF($A133&lt;Input!$G$65,IF($A133&lt;Input!$F$65,IF($A133&lt;Input!$E$65,IF($A133&lt;Input!$D$65,Input!$C$66,Input!$D$66),Input!$E$66),Input!$F$66),Input!$G$66),Input!$H$66)</f>
        <v>0.9</v>
      </c>
      <c r="AA133" s="60">
        <f t="shared" ref="AA133:AA184" si="83">Y133*Z133</f>
        <v>0</v>
      </c>
      <c r="AB133" s="60">
        <f t="shared" si="67"/>
        <v>30</v>
      </c>
      <c r="AC133" s="60">
        <f t="shared" ref="AC133:AC184" si="84">AG132</f>
        <v>0</v>
      </c>
      <c r="AD133" s="60">
        <f>ROUND(AC133*AB133*Input!$C$3/365,0)</f>
        <v>0</v>
      </c>
      <c r="AE133" s="61">
        <f>IF($A133&lt;=Input!$C$6,0,IF('120M'!AA133&lt;'120M'!AC133,'120M'!AA133-AD133,'120M'!AC133))</f>
        <v>0</v>
      </c>
      <c r="AF133" s="61">
        <f t="shared" ref="AF133:AF184" si="85">AD133+AE133</f>
        <v>0</v>
      </c>
      <c r="AG133" s="60">
        <f t="shared" ref="AG133:AG184" si="86">AG132-AE133</f>
        <v>0</v>
      </c>
      <c r="AH133" s="193"/>
      <c r="AI133" s="169">
        <v>129</v>
      </c>
      <c r="AJ133" s="1">
        <f t="shared" si="68"/>
        <v>49444</v>
      </c>
      <c r="AK133" s="60">
        <f>IF($X133&lt;Input!$H$73,IF($X133&lt;Input!$G$73,IF($X133&lt;Input!$F$73,IF($X133&lt;Input!$E$73,IF($X133&lt;Input!$D$73,Input!$C$79,Input!$D$79),Input!$E$79),Input!$F$79),Input!$G$79),Input!$H$79)</f>
        <v>0</v>
      </c>
      <c r="AL133" s="190">
        <f>IF($A133&lt;Input!$H$80,IF($A133&lt;Input!$G$80,IF($A133&lt;Input!$F$80,IF($A133&lt;Input!$E$80,IF($A133&lt;Input!$D$80,Input!$C$81,Input!$D$81),Input!$E$81),Input!$F$81),Input!$G$81),Input!$H$81)</f>
        <v>0.9</v>
      </c>
      <c r="AM133" s="60">
        <f t="shared" ref="AM133:AM184" si="87">AK133*AL133</f>
        <v>0</v>
      </c>
      <c r="AN133" s="60">
        <f t="shared" si="69"/>
        <v>30</v>
      </c>
      <c r="AO133" s="60">
        <f t="shared" ref="AO133:AO184" si="88">AS132</f>
        <v>0</v>
      </c>
      <c r="AP133" s="60">
        <f>ROUND(AO133*AN133*Input!$C$3/365,0)</f>
        <v>0</v>
      </c>
      <c r="AQ133" s="61">
        <f>IF($A133&lt;=Input!$C$6,0,IF('120M'!AM133&lt;'120M'!AO133,'120M'!AM133-AP133,'120M'!AO133))</f>
        <v>0</v>
      </c>
      <c r="AR133" s="61">
        <f t="shared" ref="AR133:AR184" si="89">AP133+AQ133</f>
        <v>0</v>
      </c>
      <c r="AS133" s="60">
        <f t="shared" ref="AS133:AS184" si="90">AS132-AQ133</f>
        <v>0</v>
      </c>
      <c r="AT133" s="193"/>
      <c r="AU133" s="169">
        <v>129</v>
      </c>
      <c r="AV133" s="1">
        <f t="shared" si="70"/>
        <v>49444</v>
      </c>
      <c r="AW133" s="60">
        <f>IF($X133&lt;Input!$H$88,IF($X133&lt;Input!$G$88,IF($X133&lt;Input!$F$88,IF($X133&lt;Input!$E$88,IF($X133&lt;Input!$D$88,Input!$C$94,Input!$D$94),Input!$E$94),Input!$F$94),Input!$G$94),Input!$H$94)</f>
        <v>0</v>
      </c>
      <c r="AX133" s="190">
        <f>IF($A133&lt;Input!$H$95,IF($A133&lt;Input!$G$95,IF($A133&lt;Input!$F$95,IF($A133&lt;Input!$E$95,IF($A133&lt;Input!$D$95,Input!$C$96,Input!$D$96),Input!$E$96),Input!$F$96),Input!$G$96),Input!$H$96)</f>
        <v>0.9</v>
      </c>
      <c r="AY133" s="60">
        <f t="shared" ref="AY133:AY184" si="91">AW133*AX133</f>
        <v>0</v>
      </c>
      <c r="AZ133" s="60">
        <f t="shared" si="71"/>
        <v>30</v>
      </c>
      <c r="BA133" s="60">
        <f t="shared" ref="BA133:BA184" si="92">BE132</f>
        <v>0</v>
      </c>
      <c r="BB133" s="60">
        <f>ROUND(BA133*AZ133*Input!$C$3/365,0)</f>
        <v>0</v>
      </c>
      <c r="BC133" s="61">
        <f>IF($A133&lt;=Input!$C$6,0,IF('120M'!AY133&lt;'120M'!BA133,'120M'!AY133-BB133,'120M'!BA133))</f>
        <v>0</v>
      </c>
      <c r="BD133" s="61">
        <f t="shared" ref="BD133:BD184" si="93">BB133+BC133</f>
        <v>0</v>
      </c>
      <c r="BE133" s="60">
        <f t="shared" ref="BE133:BE184" si="94">BE132-BC133</f>
        <v>0</v>
      </c>
      <c r="BF133" s="193"/>
      <c r="BG133" s="169">
        <v>129</v>
      </c>
      <c r="BH133" s="1">
        <f t="shared" si="72"/>
        <v>49444</v>
      </c>
      <c r="BI133" s="60">
        <f>IF($X133&lt;Input!$H$103,IF($X133&lt;Input!$G$103,IF($X133&lt;Input!$F$103,IF($X133&lt;Input!$E$103,IF($X133&lt;Input!$D$103,Input!$C$109,Input!$D$109),Input!$E$109),Input!$F$109),Input!$G$109),Input!$H$109)</f>
        <v>0</v>
      </c>
      <c r="BJ133" s="190">
        <f>IF($A133&lt;Input!$H$110,IF($A133&lt;Input!$G$110,IF($A133&lt;Input!$F$110,IF($A133&lt;Input!$E$110,IF($A133&lt;Input!$D$110,Input!$C$111,Input!$D$111),Input!$E$111),Input!$F$111),Input!$G$111),Input!$H$111)</f>
        <v>0.9</v>
      </c>
      <c r="BK133" s="60">
        <f t="shared" ref="BK133:BK184" si="95">BI133*BJ133</f>
        <v>0</v>
      </c>
      <c r="BL133" s="60">
        <f t="shared" si="73"/>
        <v>30</v>
      </c>
      <c r="BM133" s="60">
        <f t="shared" ref="BM133:BM184" si="96">BQ132</f>
        <v>0</v>
      </c>
      <c r="BN133" s="60">
        <f>ROUND(BM133*BL133*Input!$C$3/365,0)</f>
        <v>0</v>
      </c>
      <c r="BO133" s="61">
        <f>IF($A133&lt;=Input!$C$6,0,IF('120M'!BK133&lt;'120M'!BM133,'120M'!BK133-BN133,'120M'!BM133))</f>
        <v>0</v>
      </c>
      <c r="BP133" s="61">
        <f t="shared" ref="BP133:BP184" si="97">BN133+BO133</f>
        <v>0</v>
      </c>
      <c r="BQ133" s="60">
        <f t="shared" ref="BQ133:BQ184" si="98">BQ132-BO133</f>
        <v>0</v>
      </c>
      <c r="BR133" s="198"/>
    </row>
    <row r="134" spans="1:70" x14ac:dyDescent="0.25">
      <c r="A134" s="169">
        <v>130</v>
      </c>
      <c r="B134" s="1">
        <f t="shared" ref="B134:B184" si="99">EDATE(B133,1)</f>
        <v>49475</v>
      </c>
      <c r="C134" s="60">
        <f t="shared" si="77"/>
        <v>33127052.878124986</v>
      </c>
      <c r="D134" s="60">
        <f t="shared" si="78"/>
        <v>29814347.590312488</v>
      </c>
      <c r="E134" s="60">
        <f t="shared" ref="E134:E184" si="100">B134-B133</f>
        <v>31</v>
      </c>
      <c r="F134" s="60">
        <f t="shared" ref="F134:F184" si="101">J133</f>
        <v>0</v>
      </c>
      <c r="G134" s="60">
        <f>ROUND(F134*E134*Input!$C$3/365,0)</f>
        <v>0</v>
      </c>
      <c r="H134" s="60">
        <f>IF($A134&lt;=Input!$C$6,0,IF('120M'!D134&lt;'120M'!F134,'120M'!D134-G134,'120M'!F134))</f>
        <v>0</v>
      </c>
      <c r="I134" s="60">
        <f t="shared" ref="I134:I184" si="102">G134+H134</f>
        <v>0</v>
      </c>
      <c r="J134" s="60">
        <f t="shared" ref="J134:J184" si="103">J133-H134</f>
        <v>0</v>
      </c>
      <c r="K134" s="202">
        <f>J134/Input!$K$5</f>
        <v>0</v>
      </c>
      <c r="L134" s="232"/>
      <c r="M134" s="60">
        <f>IF($B134&lt;Input!$H$43,IF($B134&lt;Input!$G$43,IF($B134&lt;Input!$F$43,IF($B134&lt;Input!$E$43,IF($B134&lt;Input!$D$43,Input!$C$49,Input!$D$49),Input!$E$49),Input!$F$49),Input!$G$49),Input!$H$49)</f>
        <v>33127052.878124986</v>
      </c>
      <c r="N134" s="190">
        <f>IF($A134&lt;Input!$H$50,IF($A134&lt;Input!$G$50,IF($A134&lt;Input!$F$50,IF($A134&lt;Input!$E$50,IF($A134&lt;Input!$D$50,Input!$C$51,Input!$D$51),Input!$E$51),Input!$F$51),Input!$G$51),Input!$H$51)</f>
        <v>0.9</v>
      </c>
      <c r="O134" s="60">
        <f t="shared" si="76"/>
        <v>29814347.590312488</v>
      </c>
      <c r="P134" s="60">
        <f t="shared" si="79"/>
        <v>31</v>
      </c>
      <c r="Q134" s="60">
        <f t="shared" si="80"/>
        <v>0</v>
      </c>
      <c r="R134" s="60">
        <f>ROUND(Q134*$P134*Input!$C$3/365,0)</f>
        <v>0</v>
      </c>
      <c r="S134" s="60">
        <f>IF(A134&lt;=Input!$C$6,0,IF('120M'!O134&lt;'120M'!Q134,'120M'!O134-R134,'120M'!Q134))</f>
        <v>0</v>
      </c>
      <c r="T134" s="60">
        <f t="shared" si="81"/>
        <v>0</v>
      </c>
      <c r="U134" s="60">
        <f t="shared" si="82"/>
        <v>0</v>
      </c>
      <c r="V134" s="193"/>
      <c r="W134" s="169">
        <v>130</v>
      </c>
      <c r="X134" s="1">
        <f t="shared" ref="X134:X184" si="104">EDATE(X133,1)</f>
        <v>49475</v>
      </c>
      <c r="Y134" s="60">
        <f>IF($X134&lt;Input!$H$58,IF($X134&lt;Input!$G$58,IF($X134&lt;Input!$F$58,IF($X134&lt;Input!$E$58,IF($X134&lt;Input!$D$58,Input!$C$64,Input!$D$64),Input!$E$64),Input!$F$64),Input!$G$64),Input!$H$64)</f>
        <v>0</v>
      </c>
      <c r="Z134" s="190">
        <f>IF($A134&lt;Input!$H$65,IF($A134&lt;Input!$G$65,IF($A134&lt;Input!$F$65,IF($A134&lt;Input!$E$65,IF($A134&lt;Input!$D$65,Input!$C$66,Input!$D$66),Input!$E$66),Input!$F$66),Input!$G$66),Input!$H$66)</f>
        <v>0.9</v>
      </c>
      <c r="AA134" s="60">
        <f t="shared" si="83"/>
        <v>0</v>
      </c>
      <c r="AB134" s="60">
        <f t="shared" ref="AB134:AB184" si="105">X134-X133</f>
        <v>31</v>
      </c>
      <c r="AC134" s="60">
        <f t="shared" si="84"/>
        <v>0</v>
      </c>
      <c r="AD134" s="60">
        <f>ROUND(AC134*AB134*Input!$C$3/365,0)</f>
        <v>0</v>
      </c>
      <c r="AE134" s="61">
        <f>IF($A134&lt;=Input!$C$6,0,IF('120M'!AA134&lt;'120M'!AC134,'120M'!AA134-AD134,'120M'!AC134))</f>
        <v>0</v>
      </c>
      <c r="AF134" s="61">
        <f t="shared" si="85"/>
        <v>0</v>
      </c>
      <c r="AG134" s="60">
        <f t="shared" si="86"/>
        <v>0</v>
      </c>
      <c r="AH134" s="193"/>
      <c r="AI134" s="169">
        <v>130</v>
      </c>
      <c r="AJ134" s="1">
        <f t="shared" ref="AJ134:AJ184" si="106">EDATE(AJ133,1)</f>
        <v>49475</v>
      </c>
      <c r="AK134" s="60">
        <f>IF($X134&lt;Input!$H$73,IF($X134&lt;Input!$G$73,IF($X134&lt;Input!$F$73,IF($X134&lt;Input!$E$73,IF($X134&lt;Input!$D$73,Input!$C$79,Input!$D$79),Input!$E$79),Input!$F$79),Input!$G$79),Input!$H$79)</f>
        <v>0</v>
      </c>
      <c r="AL134" s="190">
        <f>IF($A134&lt;Input!$H$80,IF($A134&lt;Input!$G$80,IF($A134&lt;Input!$F$80,IF($A134&lt;Input!$E$80,IF($A134&lt;Input!$D$80,Input!$C$81,Input!$D$81),Input!$E$81),Input!$F$81),Input!$G$81),Input!$H$81)</f>
        <v>0.9</v>
      </c>
      <c r="AM134" s="60">
        <f t="shared" si="87"/>
        <v>0</v>
      </c>
      <c r="AN134" s="60">
        <f t="shared" ref="AN134:AN184" si="107">AJ134-AJ133</f>
        <v>31</v>
      </c>
      <c r="AO134" s="60">
        <f t="shared" si="88"/>
        <v>0</v>
      </c>
      <c r="AP134" s="60">
        <f>ROUND(AO134*AN134*Input!$C$3/365,0)</f>
        <v>0</v>
      </c>
      <c r="AQ134" s="61">
        <f>IF($A134&lt;=Input!$C$6,0,IF('120M'!AM134&lt;'120M'!AO134,'120M'!AM134-AP134,'120M'!AO134))</f>
        <v>0</v>
      </c>
      <c r="AR134" s="61">
        <f t="shared" si="89"/>
        <v>0</v>
      </c>
      <c r="AS134" s="60">
        <f t="shared" si="90"/>
        <v>0</v>
      </c>
      <c r="AT134" s="193"/>
      <c r="AU134" s="169">
        <v>130</v>
      </c>
      <c r="AV134" s="1">
        <f t="shared" ref="AV134:AV184" si="108">EDATE(AV133,1)</f>
        <v>49475</v>
      </c>
      <c r="AW134" s="60">
        <f>IF($X134&lt;Input!$H$88,IF($X134&lt;Input!$G$88,IF($X134&lt;Input!$F$88,IF($X134&lt;Input!$E$88,IF($X134&lt;Input!$D$88,Input!$C$94,Input!$D$94),Input!$E$94),Input!$F$94),Input!$G$94),Input!$H$94)</f>
        <v>0</v>
      </c>
      <c r="AX134" s="190">
        <f>IF($A134&lt;Input!$H$95,IF($A134&lt;Input!$G$95,IF($A134&lt;Input!$F$95,IF($A134&lt;Input!$E$95,IF($A134&lt;Input!$D$95,Input!$C$96,Input!$D$96),Input!$E$96),Input!$F$96),Input!$G$96),Input!$H$96)</f>
        <v>0.9</v>
      </c>
      <c r="AY134" s="60">
        <f t="shared" si="91"/>
        <v>0</v>
      </c>
      <c r="AZ134" s="60">
        <f t="shared" ref="AZ134:AZ184" si="109">AV134-AV133</f>
        <v>31</v>
      </c>
      <c r="BA134" s="60">
        <f t="shared" si="92"/>
        <v>0</v>
      </c>
      <c r="BB134" s="60">
        <f>ROUND(BA134*AZ134*Input!$C$3/365,0)</f>
        <v>0</v>
      </c>
      <c r="BC134" s="61">
        <f>IF($A134&lt;=Input!$C$6,0,IF('120M'!AY134&lt;'120M'!BA134,'120M'!AY134-BB134,'120M'!BA134))</f>
        <v>0</v>
      </c>
      <c r="BD134" s="61">
        <f t="shared" si="93"/>
        <v>0</v>
      </c>
      <c r="BE134" s="60">
        <f t="shared" si="94"/>
        <v>0</v>
      </c>
      <c r="BF134" s="193"/>
      <c r="BG134" s="169">
        <v>130</v>
      </c>
      <c r="BH134" s="1">
        <f t="shared" ref="BH134:BH184" si="110">EDATE(BH133,1)</f>
        <v>49475</v>
      </c>
      <c r="BI134" s="60">
        <f>IF($X134&lt;Input!$H$103,IF($X134&lt;Input!$G$103,IF($X134&lt;Input!$F$103,IF($X134&lt;Input!$E$103,IF($X134&lt;Input!$D$103,Input!$C$109,Input!$D$109),Input!$E$109),Input!$F$109),Input!$G$109),Input!$H$109)</f>
        <v>0</v>
      </c>
      <c r="BJ134" s="190">
        <f>IF($A134&lt;Input!$H$110,IF($A134&lt;Input!$G$110,IF($A134&lt;Input!$F$110,IF($A134&lt;Input!$E$110,IF($A134&lt;Input!$D$110,Input!$C$111,Input!$D$111),Input!$E$111),Input!$F$111),Input!$G$111),Input!$H$111)</f>
        <v>0.9</v>
      </c>
      <c r="BK134" s="60">
        <f t="shared" si="95"/>
        <v>0</v>
      </c>
      <c r="BL134" s="60">
        <f t="shared" ref="BL134:BL184" si="111">BH134-BH133</f>
        <v>31</v>
      </c>
      <c r="BM134" s="60">
        <f t="shared" si="96"/>
        <v>0</v>
      </c>
      <c r="BN134" s="60">
        <f>ROUND(BM134*BL134*Input!$C$3/365,0)</f>
        <v>0</v>
      </c>
      <c r="BO134" s="61">
        <f>IF($A134&lt;=Input!$C$6,0,IF('120M'!BK134&lt;'120M'!BM134,'120M'!BK134-BN134,'120M'!BM134))</f>
        <v>0</v>
      </c>
      <c r="BP134" s="61">
        <f t="shared" si="97"/>
        <v>0</v>
      </c>
      <c r="BQ134" s="60">
        <f t="shared" si="98"/>
        <v>0</v>
      </c>
      <c r="BR134" s="198"/>
    </row>
    <row r="135" spans="1:70" x14ac:dyDescent="0.25">
      <c r="A135" s="169">
        <v>131</v>
      </c>
      <c r="B135" s="1">
        <f t="shared" si="99"/>
        <v>49505</v>
      </c>
      <c r="C135" s="60">
        <f t="shared" si="77"/>
        <v>33127052.878124986</v>
      </c>
      <c r="D135" s="60">
        <f t="shared" si="78"/>
        <v>29814347.590312488</v>
      </c>
      <c r="E135" s="60">
        <f t="shared" si="100"/>
        <v>30</v>
      </c>
      <c r="F135" s="60">
        <f t="shared" si="101"/>
        <v>0</v>
      </c>
      <c r="G135" s="60">
        <f>ROUND(F135*E135*Input!$C$3/365,0)</f>
        <v>0</v>
      </c>
      <c r="H135" s="60">
        <f>IF($A135&lt;=Input!$C$6,0,IF('120M'!D135&lt;'120M'!F135,'120M'!D135-G135,'120M'!F135))</f>
        <v>0</v>
      </c>
      <c r="I135" s="60">
        <f t="shared" si="102"/>
        <v>0</v>
      </c>
      <c r="J135" s="60">
        <f t="shared" si="103"/>
        <v>0</v>
      </c>
      <c r="K135" s="202">
        <f>J135/Input!$K$5</f>
        <v>0</v>
      </c>
      <c r="L135" s="232"/>
      <c r="M135" s="60">
        <f>IF($B135&lt;Input!$H$43,IF($B135&lt;Input!$G$43,IF($B135&lt;Input!$F$43,IF($B135&lt;Input!$E$43,IF($B135&lt;Input!$D$43,Input!$C$49,Input!$D$49),Input!$E$49),Input!$F$49),Input!$G$49),Input!$H$49)</f>
        <v>33127052.878124986</v>
      </c>
      <c r="N135" s="190">
        <f>IF($A135&lt;Input!$H$50,IF($A135&lt;Input!$G$50,IF($A135&lt;Input!$F$50,IF($A135&lt;Input!$E$50,IF($A135&lt;Input!$D$50,Input!$C$51,Input!$D$51),Input!$E$51),Input!$F$51),Input!$G$51),Input!$H$51)</f>
        <v>0.9</v>
      </c>
      <c r="O135" s="60">
        <f t="shared" si="76"/>
        <v>29814347.590312488</v>
      </c>
      <c r="P135" s="60">
        <f t="shared" si="79"/>
        <v>30</v>
      </c>
      <c r="Q135" s="60">
        <f t="shared" si="80"/>
        <v>0</v>
      </c>
      <c r="R135" s="60">
        <f>ROUND(Q135*$P135*Input!$C$3/365,0)</f>
        <v>0</v>
      </c>
      <c r="S135" s="60">
        <f>IF(A135&lt;=Input!$C$6,0,IF('120M'!O135&lt;'120M'!Q135,'120M'!O135-R135,'120M'!Q135))</f>
        <v>0</v>
      </c>
      <c r="T135" s="60">
        <f t="shared" si="81"/>
        <v>0</v>
      </c>
      <c r="U135" s="60">
        <f t="shared" si="82"/>
        <v>0</v>
      </c>
      <c r="V135" s="193"/>
      <c r="W135" s="169">
        <v>131</v>
      </c>
      <c r="X135" s="1">
        <f t="shared" si="104"/>
        <v>49505</v>
      </c>
      <c r="Y135" s="60">
        <f>IF($X135&lt;Input!$H$58,IF($X135&lt;Input!$G$58,IF($X135&lt;Input!$F$58,IF($X135&lt;Input!$E$58,IF($X135&lt;Input!$D$58,Input!$C$64,Input!$D$64),Input!$E$64),Input!$F$64),Input!$G$64),Input!$H$64)</f>
        <v>0</v>
      </c>
      <c r="Z135" s="190">
        <f>IF($A135&lt;Input!$H$65,IF($A135&lt;Input!$G$65,IF($A135&lt;Input!$F$65,IF($A135&lt;Input!$E$65,IF($A135&lt;Input!$D$65,Input!$C$66,Input!$D$66),Input!$E$66),Input!$F$66),Input!$G$66),Input!$H$66)</f>
        <v>0.9</v>
      </c>
      <c r="AA135" s="60">
        <f t="shared" si="83"/>
        <v>0</v>
      </c>
      <c r="AB135" s="60">
        <f t="shared" si="105"/>
        <v>30</v>
      </c>
      <c r="AC135" s="60">
        <f t="shared" si="84"/>
        <v>0</v>
      </c>
      <c r="AD135" s="60">
        <f>ROUND(AC135*AB135*Input!$C$3/365,0)</f>
        <v>0</v>
      </c>
      <c r="AE135" s="61">
        <f>IF($A135&lt;=Input!$C$6,0,IF('120M'!AA135&lt;'120M'!AC135,'120M'!AA135-AD135,'120M'!AC135))</f>
        <v>0</v>
      </c>
      <c r="AF135" s="61">
        <f t="shared" si="85"/>
        <v>0</v>
      </c>
      <c r="AG135" s="60">
        <f t="shared" si="86"/>
        <v>0</v>
      </c>
      <c r="AH135" s="193"/>
      <c r="AI135" s="169">
        <v>131</v>
      </c>
      <c r="AJ135" s="1">
        <f t="shared" si="106"/>
        <v>49505</v>
      </c>
      <c r="AK135" s="60">
        <f>IF($X135&lt;Input!$H$73,IF($X135&lt;Input!$G$73,IF($X135&lt;Input!$F$73,IF($X135&lt;Input!$E$73,IF($X135&lt;Input!$D$73,Input!$C$79,Input!$D$79),Input!$E$79),Input!$F$79),Input!$G$79),Input!$H$79)</f>
        <v>0</v>
      </c>
      <c r="AL135" s="190">
        <f>IF($A135&lt;Input!$H$80,IF($A135&lt;Input!$G$80,IF($A135&lt;Input!$F$80,IF($A135&lt;Input!$E$80,IF($A135&lt;Input!$D$80,Input!$C$81,Input!$D$81),Input!$E$81),Input!$F$81),Input!$G$81),Input!$H$81)</f>
        <v>0.9</v>
      </c>
      <c r="AM135" s="60">
        <f t="shared" si="87"/>
        <v>0</v>
      </c>
      <c r="AN135" s="60">
        <f t="shared" si="107"/>
        <v>30</v>
      </c>
      <c r="AO135" s="60">
        <f t="shared" si="88"/>
        <v>0</v>
      </c>
      <c r="AP135" s="60">
        <f>ROUND(AO135*AN135*Input!$C$3/365,0)</f>
        <v>0</v>
      </c>
      <c r="AQ135" s="61">
        <f>IF($A135&lt;=Input!$C$6,0,IF('120M'!AM135&lt;'120M'!AO135,'120M'!AM135-AP135,'120M'!AO135))</f>
        <v>0</v>
      </c>
      <c r="AR135" s="61">
        <f t="shared" si="89"/>
        <v>0</v>
      </c>
      <c r="AS135" s="60">
        <f t="shared" si="90"/>
        <v>0</v>
      </c>
      <c r="AT135" s="193"/>
      <c r="AU135" s="169">
        <v>131</v>
      </c>
      <c r="AV135" s="1">
        <f t="shared" si="108"/>
        <v>49505</v>
      </c>
      <c r="AW135" s="60">
        <f>IF($X135&lt;Input!$H$88,IF($X135&lt;Input!$G$88,IF($X135&lt;Input!$F$88,IF($X135&lt;Input!$E$88,IF($X135&lt;Input!$D$88,Input!$C$94,Input!$D$94),Input!$E$94),Input!$F$94),Input!$G$94),Input!$H$94)</f>
        <v>0</v>
      </c>
      <c r="AX135" s="190">
        <f>IF($A135&lt;Input!$H$95,IF($A135&lt;Input!$G$95,IF($A135&lt;Input!$F$95,IF($A135&lt;Input!$E$95,IF($A135&lt;Input!$D$95,Input!$C$96,Input!$D$96),Input!$E$96),Input!$F$96),Input!$G$96),Input!$H$96)</f>
        <v>0.9</v>
      </c>
      <c r="AY135" s="60">
        <f t="shared" si="91"/>
        <v>0</v>
      </c>
      <c r="AZ135" s="60">
        <f t="shared" si="109"/>
        <v>30</v>
      </c>
      <c r="BA135" s="60">
        <f t="shared" si="92"/>
        <v>0</v>
      </c>
      <c r="BB135" s="60">
        <f>ROUND(BA135*AZ135*Input!$C$3/365,0)</f>
        <v>0</v>
      </c>
      <c r="BC135" s="61">
        <f>IF($A135&lt;=Input!$C$6,0,IF('120M'!AY135&lt;'120M'!BA135,'120M'!AY135-BB135,'120M'!BA135))</f>
        <v>0</v>
      </c>
      <c r="BD135" s="61">
        <f t="shared" si="93"/>
        <v>0</v>
      </c>
      <c r="BE135" s="60">
        <f t="shared" si="94"/>
        <v>0</v>
      </c>
      <c r="BF135" s="193"/>
      <c r="BG135" s="169">
        <v>131</v>
      </c>
      <c r="BH135" s="1">
        <f t="shared" si="110"/>
        <v>49505</v>
      </c>
      <c r="BI135" s="60">
        <f>IF($X135&lt;Input!$H$103,IF($X135&lt;Input!$G$103,IF($X135&lt;Input!$F$103,IF($X135&lt;Input!$E$103,IF($X135&lt;Input!$D$103,Input!$C$109,Input!$D$109),Input!$E$109),Input!$F$109),Input!$G$109),Input!$H$109)</f>
        <v>0</v>
      </c>
      <c r="BJ135" s="190">
        <f>IF($A135&lt;Input!$H$110,IF($A135&lt;Input!$G$110,IF($A135&lt;Input!$F$110,IF($A135&lt;Input!$E$110,IF($A135&lt;Input!$D$110,Input!$C$111,Input!$D$111),Input!$E$111),Input!$F$111),Input!$G$111),Input!$H$111)</f>
        <v>0.9</v>
      </c>
      <c r="BK135" s="60">
        <f t="shared" si="95"/>
        <v>0</v>
      </c>
      <c r="BL135" s="60">
        <f t="shared" si="111"/>
        <v>30</v>
      </c>
      <c r="BM135" s="60">
        <f t="shared" si="96"/>
        <v>0</v>
      </c>
      <c r="BN135" s="60">
        <f>ROUND(BM135*BL135*Input!$C$3/365,0)</f>
        <v>0</v>
      </c>
      <c r="BO135" s="61">
        <f>IF($A135&lt;=Input!$C$6,0,IF('120M'!BK135&lt;'120M'!BM135,'120M'!BK135-BN135,'120M'!BM135))</f>
        <v>0</v>
      </c>
      <c r="BP135" s="61">
        <f t="shared" si="97"/>
        <v>0</v>
      </c>
      <c r="BQ135" s="60">
        <f t="shared" si="98"/>
        <v>0</v>
      </c>
      <c r="BR135" s="198"/>
    </row>
    <row r="136" spans="1:70" x14ac:dyDescent="0.25">
      <c r="A136" s="169">
        <v>132</v>
      </c>
      <c r="B136" s="1">
        <f t="shared" si="99"/>
        <v>49536</v>
      </c>
      <c r="C136" s="60">
        <f t="shared" si="77"/>
        <v>33127052.878124986</v>
      </c>
      <c r="D136" s="60">
        <f t="shared" si="78"/>
        <v>29814347.590312488</v>
      </c>
      <c r="E136" s="60">
        <f t="shared" si="100"/>
        <v>31</v>
      </c>
      <c r="F136" s="60">
        <f t="shared" si="101"/>
        <v>0</v>
      </c>
      <c r="G136" s="60">
        <f>ROUND(F136*E136*Input!$C$3/365,0)</f>
        <v>0</v>
      </c>
      <c r="H136" s="60">
        <f>IF($A136&lt;=Input!$C$6,0,IF('120M'!D136&lt;'120M'!F136,'120M'!D136-G136,'120M'!F136))</f>
        <v>0</v>
      </c>
      <c r="I136" s="60">
        <f t="shared" si="102"/>
        <v>0</v>
      </c>
      <c r="J136" s="60">
        <f t="shared" si="103"/>
        <v>0</v>
      </c>
      <c r="K136" s="202">
        <f>J136/Input!$K$5</f>
        <v>0</v>
      </c>
      <c r="L136" s="232"/>
      <c r="M136" s="60">
        <f>IF($B136&lt;Input!$H$43,IF($B136&lt;Input!$G$43,IF($B136&lt;Input!$F$43,IF($B136&lt;Input!$E$43,IF($B136&lt;Input!$D$43,Input!$C$49,Input!$D$49),Input!$E$49),Input!$F$49),Input!$G$49),Input!$H$49)</f>
        <v>33127052.878124986</v>
      </c>
      <c r="N136" s="190">
        <f>IF($A136&lt;Input!$H$50,IF($A136&lt;Input!$G$50,IF($A136&lt;Input!$F$50,IF($A136&lt;Input!$E$50,IF($A136&lt;Input!$D$50,Input!$C$51,Input!$D$51),Input!$E$51),Input!$F$51),Input!$G$51),Input!$H$51)</f>
        <v>0.9</v>
      </c>
      <c r="O136" s="60">
        <f t="shared" si="76"/>
        <v>29814347.590312488</v>
      </c>
      <c r="P136" s="60">
        <f t="shared" si="79"/>
        <v>31</v>
      </c>
      <c r="Q136" s="60">
        <f t="shared" si="80"/>
        <v>0</v>
      </c>
      <c r="R136" s="60">
        <f>ROUND(Q136*$P136*Input!$C$3/365,0)</f>
        <v>0</v>
      </c>
      <c r="S136" s="60">
        <f>IF(A136&lt;=Input!$C$6,0,IF('120M'!O136&lt;'120M'!Q136,'120M'!O136-R136,'120M'!Q136))</f>
        <v>0</v>
      </c>
      <c r="T136" s="60">
        <f t="shared" si="81"/>
        <v>0</v>
      </c>
      <c r="U136" s="60">
        <f t="shared" si="82"/>
        <v>0</v>
      </c>
      <c r="V136" s="193"/>
      <c r="W136" s="169">
        <v>132</v>
      </c>
      <c r="X136" s="1">
        <f t="shared" si="104"/>
        <v>49536</v>
      </c>
      <c r="Y136" s="60">
        <f>IF($X136&lt;Input!$H$58,IF($X136&lt;Input!$G$58,IF($X136&lt;Input!$F$58,IF($X136&lt;Input!$E$58,IF($X136&lt;Input!$D$58,Input!$C$64,Input!$D$64),Input!$E$64),Input!$F$64),Input!$G$64),Input!$H$64)</f>
        <v>0</v>
      </c>
      <c r="Z136" s="190">
        <f>IF($A136&lt;Input!$H$65,IF($A136&lt;Input!$G$65,IF($A136&lt;Input!$F$65,IF($A136&lt;Input!$E$65,IF($A136&lt;Input!$D$65,Input!$C$66,Input!$D$66),Input!$E$66),Input!$F$66),Input!$G$66),Input!$H$66)</f>
        <v>0.9</v>
      </c>
      <c r="AA136" s="60">
        <f t="shared" si="83"/>
        <v>0</v>
      </c>
      <c r="AB136" s="60">
        <f t="shared" si="105"/>
        <v>31</v>
      </c>
      <c r="AC136" s="60">
        <f t="shared" si="84"/>
        <v>0</v>
      </c>
      <c r="AD136" s="60">
        <f>ROUND(AC136*AB136*Input!$C$3/365,0)</f>
        <v>0</v>
      </c>
      <c r="AE136" s="61">
        <f>IF($A136&lt;=Input!$C$6,0,IF('120M'!AA136&lt;'120M'!AC136,'120M'!AA136-AD136,'120M'!AC136))</f>
        <v>0</v>
      </c>
      <c r="AF136" s="61">
        <f t="shared" si="85"/>
        <v>0</v>
      </c>
      <c r="AG136" s="60">
        <f t="shared" si="86"/>
        <v>0</v>
      </c>
      <c r="AH136" s="193"/>
      <c r="AI136" s="169">
        <v>132</v>
      </c>
      <c r="AJ136" s="1">
        <f t="shared" si="106"/>
        <v>49536</v>
      </c>
      <c r="AK136" s="60">
        <f>IF($X136&lt;Input!$H$73,IF($X136&lt;Input!$G$73,IF($X136&lt;Input!$F$73,IF($X136&lt;Input!$E$73,IF($X136&lt;Input!$D$73,Input!$C$79,Input!$D$79),Input!$E$79),Input!$F$79),Input!$G$79),Input!$H$79)</f>
        <v>0</v>
      </c>
      <c r="AL136" s="190">
        <f>IF($A136&lt;Input!$H$80,IF($A136&lt;Input!$G$80,IF($A136&lt;Input!$F$80,IF($A136&lt;Input!$E$80,IF($A136&lt;Input!$D$80,Input!$C$81,Input!$D$81),Input!$E$81),Input!$F$81),Input!$G$81),Input!$H$81)</f>
        <v>0.9</v>
      </c>
      <c r="AM136" s="60">
        <f t="shared" si="87"/>
        <v>0</v>
      </c>
      <c r="AN136" s="60">
        <f t="shared" si="107"/>
        <v>31</v>
      </c>
      <c r="AO136" s="60">
        <f t="shared" si="88"/>
        <v>0</v>
      </c>
      <c r="AP136" s="60">
        <f>ROUND(AO136*AN136*Input!$C$3/365,0)</f>
        <v>0</v>
      </c>
      <c r="AQ136" s="61">
        <f>IF($A136&lt;=Input!$C$6,0,IF('120M'!AM136&lt;'120M'!AO136,'120M'!AM136-AP136,'120M'!AO136))</f>
        <v>0</v>
      </c>
      <c r="AR136" s="61">
        <f t="shared" si="89"/>
        <v>0</v>
      </c>
      <c r="AS136" s="60">
        <f t="shared" si="90"/>
        <v>0</v>
      </c>
      <c r="AT136" s="193"/>
      <c r="AU136" s="169">
        <v>132</v>
      </c>
      <c r="AV136" s="1">
        <f t="shared" si="108"/>
        <v>49536</v>
      </c>
      <c r="AW136" s="60">
        <f>IF($X136&lt;Input!$H$88,IF($X136&lt;Input!$G$88,IF($X136&lt;Input!$F$88,IF($X136&lt;Input!$E$88,IF($X136&lt;Input!$D$88,Input!$C$94,Input!$D$94),Input!$E$94),Input!$F$94),Input!$G$94),Input!$H$94)</f>
        <v>0</v>
      </c>
      <c r="AX136" s="190">
        <f>IF($A136&lt;Input!$H$95,IF($A136&lt;Input!$G$95,IF($A136&lt;Input!$F$95,IF($A136&lt;Input!$E$95,IF($A136&lt;Input!$D$95,Input!$C$96,Input!$D$96),Input!$E$96),Input!$F$96),Input!$G$96),Input!$H$96)</f>
        <v>0.9</v>
      </c>
      <c r="AY136" s="60">
        <f t="shared" si="91"/>
        <v>0</v>
      </c>
      <c r="AZ136" s="60">
        <f t="shared" si="109"/>
        <v>31</v>
      </c>
      <c r="BA136" s="60">
        <f t="shared" si="92"/>
        <v>0</v>
      </c>
      <c r="BB136" s="60">
        <f>ROUND(BA136*AZ136*Input!$C$3/365,0)</f>
        <v>0</v>
      </c>
      <c r="BC136" s="61">
        <f>IF($A136&lt;=Input!$C$6,0,IF('120M'!AY136&lt;'120M'!BA136,'120M'!AY136-BB136,'120M'!BA136))</f>
        <v>0</v>
      </c>
      <c r="BD136" s="61">
        <f t="shared" si="93"/>
        <v>0</v>
      </c>
      <c r="BE136" s="60">
        <f t="shared" si="94"/>
        <v>0</v>
      </c>
      <c r="BF136" s="193"/>
      <c r="BG136" s="169">
        <v>132</v>
      </c>
      <c r="BH136" s="1">
        <f t="shared" si="110"/>
        <v>49536</v>
      </c>
      <c r="BI136" s="60">
        <f>IF($X136&lt;Input!$H$103,IF($X136&lt;Input!$G$103,IF($X136&lt;Input!$F$103,IF($X136&lt;Input!$E$103,IF($X136&lt;Input!$D$103,Input!$C$109,Input!$D$109),Input!$E$109),Input!$F$109),Input!$G$109),Input!$H$109)</f>
        <v>0</v>
      </c>
      <c r="BJ136" s="190">
        <f>IF($A136&lt;Input!$H$110,IF($A136&lt;Input!$G$110,IF($A136&lt;Input!$F$110,IF($A136&lt;Input!$E$110,IF($A136&lt;Input!$D$110,Input!$C$111,Input!$D$111),Input!$E$111),Input!$F$111),Input!$G$111),Input!$H$111)</f>
        <v>0.9</v>
      </c>
      <c r="BK136" s="60">
        <f t="shared" si="95"/>
        <v>0</v>
      </c>
      <c r="BL136" s="60">
        <f t="shared" si="111"/>
        <v>31</v>
      </c>
      <c r="BM136" s="60">
        <f t="shared" si="96"/>
        <v>0</v>
      </c>
      <c r="BN136" s="60">
        <f>ROUND(BM136*BL136*Input!$C$3/365,0)</f>
        <v>0</v>
      </c>
      <c r="BO136" s="61">
        <f>IF($A136&lt;=Input!$C$6,0,IF('120M'!BK136&lt;'120M'!BM136,'120M'!BK136-BN136,'120M'!BM136))</f>
        <v>0</v>
      </c>
      <c r="BP136" s="61">
        <f t="shared" si="97"/>
        <v>0</v>
      </c>
      <c r="BQ136" s="60">
        <f t="shared" si="98"/>
        <v>0</v>
      </c>
      <c r="BR136" s="198"/>
    </row>
    <row r="137" spans="1:70" x14ac:dyDescent="0.25">
      <c r="A137" s="169">
        <v>133</v>
      </c>
      <c r="B137" s="1">
        <f t="shared" si="99"/>
        <v>49567</v>
      </c>
      <c r="C137" s="60">
        <f t="shared" si="77"/>
        <v>33127052.878124986</v>
      </c>
      <c r="D137" s="60">
        <f t="shared" si="78"/>
        <v>29814347.590312488</v>
      </c>
      <c r="E137" s="60">
        <f t="shared" si="100"/>
        <v>31</v>
      </c>
      <c r="F137" s="60">
        <f t="shared" si="101"/>
        <v>0</v>
      </c>
      <c r="G137" s="60">
        <f>ROUND(F137*E137*Input!$C$3/365,0)</f>
        <v>0</v>
      </c>
      <c r="H137" s="60">
        <f>IF($A137&lt;=Input!$C$6,0,IF('120M'!D137&lt;'120M'!F137,'120M'!D137-G137,'120M'!F137))</f>
        <v>0</v>
      </c>
      <c r="I137" s="60">
        <f t="shared" si="102"/>
        <v>0</v>
      </c>
      <c r="J137" s="60">
        <f t="shared" si="103"/>
        <v>0</v>
      </c>
      <c r="K137" s="202">
        <f>J137/Input!$K$5</f>
        <v>0</v>
      </c>
      <c r="L137" s="232"/>
      <c r="M137" s="60">
        <f>IF($B137&lt;Input!$H$43,IF($B137&lt;Input!$G$43,IF($B137&lt;Input!$F$43,IF($B137&lt;Input!$E$43,IF($B137&lt;Input!$D$43,Input!$C$49,Input!$D$49),Input!$E$49),Input!$F$49),Input!$G$49),Input!$H$49)</f>
        <v>33127052.878124986</v>
      </c>
      <c r="N137" s="190">
        <f>IF($A137&lt;Input!$H$50,IF($A137&lt;Input!$G$50,IF($A137&lt;Input!$F$50,IF($A137&lt;Input!$E$50,IF($A137&lt;Input!$D$50,Input!$C$51,Input!$D$51),Input!$E$51),Input!$F$51),Input!$G$51),Input!$H$51)</f>
        <v>0.9</v>
      </c>
      <c r="O137" s="60">
        <f t="shared" si="76"/>
        <v>29814347.590312488</v>
      </c>
      <c r="P137" s="60">
        <f t="shared" si="79"/>
        <v>31</v>
      </c>
      <c r="Q137" s="60">
        <f t="shared" si="80"/>
        <v>0</v>
      </c>
      <c r="R137" s="60">
        <f>ROUND(Q137*$P137*Input!$C$3/365,0)</f>
        <v>0</v>
      </c>
      <c r="S137" s="60">
        <f>IF(A137&lt;=Input!$C$6,0,IF('120M'!O137&lt;'120M'!Q137,'120M'!O137-R137,'120M'!Q137))</f>
        <v>0</v>
      </c>
      <c r="T137" s="60">
        <f t="shared" si="81"/>
        <v>0</v>
      </c>
      <c r="U137" s="60">
        <f t="shared" si="82"/>
        <v>0</v>
      </c>
      <c r="V137" s="193"/>
      <c r="W137" s="169">
        <v>133</v>
      </c>
      <c r="X137" s="1">
        <f t="shared" si="104"/>
        <v>49567</v>
      </c>
      <c r="Y137" s="60">
        <f>IF($X137&lt;Input!$H$58,IF($X137&lt;Input!$G$58,IF($X137&lt;Input!$F$58,IF($X137&lt;Input!$E$58,IF($X137&lt;Input!$D$58,Input!$C$64,Input!$D$64),Input!$E$64),Input!$F$64),Input!$G$64),Input!$H$64)</f>
        <v>0</v>
      </c>
      <c r="Z137" s="190">
        <f>IF($A137&lt;Input!$H$65,IF($A137&lt;Input!$G$65,IF($A137&lt;Input!$F$65,IF($A137&lt;Input!$E$65,IF($A137&lt;Input!$D$65,Input!$C$66,Input!$D$66),Input!$E$66),Input!$F$66),Input!$G$66),Input!$H$66)</f>
        <v>0.9</v>
      </c>
      <c r="AA137" s="60">
        <f t="shared" si="83"/>
        <v>0</v>
      </c>
      <c r="AB137" s="60">
        <f t="shared" si="105"/>
        <v>31</v>
      </c>
      <c r="AC137" s="60">
        <f t="shared" si="84"/>
        <v>0</v>
      </c>
      <c r="AD137" s="60">
        <f>ROUND(AC137*AB137*Input!$C$3/365,0)</f>
        <v>0</v>
      </c>
      <c r="AE137" s="61">
        <f>IF($A137&lt;=Input!$C$6,0,IF('120M'!AA137&lt;'120M'!AC137,'120M'!AA137-AD137,'120M'!AC137))</f>
        <v>0</v>
      </c>
      <c r="AF137" s="61">
        <f t="shared" si="85"/>
        <v>0</v>
      </c>
      <c r="AG137" s="60">
        <f t="shared" si="86"/>
        <v>0</v>
      </c>
      <c r="AH137" s="193"/>
      <c r="AI137" s="169">
        <v>133</v>
      </c>
      <c r="AJ137" s="1">
        <f t="shared" si="106"/>
        <v>49567</v>
      </c>
      <c r="AK137" s="60">
        <f>IF($X137&lt;Input!$H$73,IF($X137&lt;Input!$G$73,IF($X137&lt;Input!$F$73,IF($X137&lt;Input!$E$73,IF($X137&lt;Input!$D$73,Input!$C$79,Input!$D$79),Input!$E$79),Input!$F$79),Input!$G$79),Input!$H$79)</f>
        <v>0</v>
      </c>
      <c r="AL137" s="190">
        <f>IF($A137&lt;Input!$H$80,IF($A137&lt;Input!$G$80,IF($A137&lt;Input!$F$80,IF($A137&lt;Input!$E$80,IF($A137&lt;Input!$D$80,Input!$C$81,Input!$D$81),Input!$E$81),Input!$F$81),Input!$G$81),Input!$H$81)</f>
        <v>0.9</v>
      </c>
      <c r="AM137" s="60">
        <f t="shared" si="87"/>
        <v>0</v>
      </c>
      <c r="AN137" s="60">
        <f t="shared" si="107"/>
        <v>31</v>
      </c>
      <c r="AO137" s="60">
        <f t="shared" si="88"/>
        <v>0</v>
      </c>
      <c r="AP137" s="60">
        <f>ROUND(AO137*AN137*Input!$C$3/365,0)</f>
        <v>0</v>
      </c>
      <c r="AQ137" s="61">
        <f>IF($A137&lt;=Input!$C$6,0,IF('120M'!AM137&lt;'120M'!AO137,'120M'!AM137-AP137,'120M'!AO137))</f>
        <v>0</v>
      </c>
      <c r="AR137" s="61">
        <f t="shared" si="89"/>
        <v>0</v>
      </c>
      <c r="AS137" s="60">
        <f t="shared" si="90"/>
        <v>0</v>
      </c>
      <c r="AT137" s="193"/>
      <c r="AU137" s="169">
        <v>133</v>
      </c>
      <c r="AV137" s="1">
        <f t="shared" si="108"/>
        <v>49567</v>
      </c>
      <c r="AW137" s="60">
        <f>IF($X137&lt;Input!$H$88,IF($X137&lt;Input!$G$88,IF($X137&lt;Input!$F$88,IF($X137&lt;Input!$E$88,IF($X137&lt;Input!$D$88,Input!$C$94,Input!$D$94),Input!$E$94),Input!$F$94),Input!$G$94),Input!$H$94)</f>
        <v>0</v>
      </c>
      <c r="AX137" s="190">
        <f>IF($A137&lt;Input!$H$95,IF($A137&lt;Input!$G$95,IF($A137&lt;Input!$F$95,IF($A137&lt;Input!$E$95,IF($A137&lt;Input!$D$95,Input!$C$96,Input!$D$96),Input!$E$96),Input!$F$96),Input!$G$96),Input!$H$96)</f>
        <v>0.9</v>
      </c>
      <c r="AY137" s="60">
        <f t="shared" si="91"/>
        <v>0</v>
      </c>
      <c r="AZ137" s="60">
        <f t="shared" si="109"/>
        <v>31</v>
      </c>
      <c r="BA137" s="60">
        <f t="shared" si="92"/>
        <v>0</v>
      </c>
      <c r="BB137" s="60">
        <f>ROUND(BA137*AZ137*Input!$C$3/365,0)</f>
        <v>0</v>
      </c>
      <c r="BC137" s="61">
        <f>IF($A137&lt;=Input!$C$6,0,IF('120M'!AY137&lt;'120M'!BA137,'120M'!AY137-BB137,'120M'!BA137))</f>
        <v>0</v>
      </c>
      <c r="BD137" s="61">
        <f t="shared" si="93"/>
        <v>0</v>
      </c>
      <c r="BE137" s="60">
        <f t="shared" si="94"/>
        <v>0</v>
      </c>
      <c r="BF137" s="193"/>
      <c r="BG137" s="169">
        <v>133</v>
      </c>
      <c r="BH137" s="1">
        <f t="shared" si="110"/>
        <v>49567</v>
      </c>
      <c r="BI137" s="60">
        <f>IF($X137&lt;Input!$H$103,IF($X137&lt;Input!$G$103,IF($X137&lt;Input!$F$103,IF($X137&lt;Input!$E$103,IF($X137&lt;Input!$D$103,Input!$C$109,Input!$D$109),Input!$E$109),Input!$F$109),Input!$G$109),Input!$H$109)</f>
        <v>0</v>
      </c>
      <c r="BJ137" s="190">
        <f>IF($A137&lt;Input!$H$110,IF($A137&lt;Input!$G$110,IF($A137&lt;Input!$F$110,IF($A137&lt;Input!$E$110,IF($A137&lt;Input!$D$110,Input!$C$111,Input!$D$111),Input!$E$111),Input!$F$111),Input!$G$111),Input!$H$111)</f>
        <v>0.9</v>
      </c>
      <c r="BK137" s="60">
        <f t="shared" si="95"/>
        <v>0</v>
      </c>
      <c r="BL137" s="60">
        <f t="shared" si="111"/>
        <v>31</v>
      </c>
      <c r="BM137" s="60">
        <f t="shared" si="96"/>
        <v>0</v>
      </c>
      <c r="BN137" s="60">
        <f>ROUND(BM137*BL137*Input!$C$3/365,0)</f>
        <v>0</v>
      </c>
      <c r="BO137" s="61">
        <f>IF($A137&lt;=Input!$C$6,0,IF('120M'!BK137&lt;'120M'!BM137,'120M'!BK137-BN137,'120M'!BM137))</f>
        <v>0</v>
      </c>
      <c r="BP137" s="61">
        <f t="shared" si="97"/>
        <v>0</v>
      </c>
      <c r="BQ137" s="60">
        <f t="shared" si="98"/>
        <v>0</v>
      </c>
      <c r="BR137" s="198"/>
    </row>
    <row r="138" spans="1:70" x14ac:dyDescent="0.25">
      <c r="A138" s="169">
        <v>134</v>
      </c>
      <c r="B138" s="1">
        <f t="shared" si="99"/>
        <v>49597</v>
      </c>
      <c r="C138" s="60">
        <f t="shared" si="77"/>
        <v>33127052.878124986</v>
      </c>
      <c r="D138" s="60">
        <f t="shared" si="78"/>
        <v>29814347.590312488</v>
      </c>
      <c r="E138" s="60">
        <f t="shared" si="100"/>
        <v>30</v>
      </c>
      <c r="F138" s="60">
        <f t="shared" si="101"/>
        <v>0</v>
      </c>
      <c r="G138" s="60">
        <f>ROUND(F138*E138*Input!$C$3/365,0)</f>
        <v>0</v>
      </c>
      <c r="H138" s="60">
        <f>IF($A138&lt;=Input!$C$6,0,IF('120M'!D138&lt;'120M'!F138,'120M'!D138-G138,'120M'!F138))</f>
        <v>0</v>
      </c>
      <c r="I138" s="60">
        <f t="shared" si="102"/>
        <v>0</v>
      </c>
      <c r="J138" s="60">
        <f t="shared" si="103"/>
        <v>0</v>
      </c>
      <c r="K138" s="202">
        <f>J138/Input!$K$5</f>
        <v>0</v>
      </c>
      <c r="L138" s="232"/>
      <c r="M138" s="60">
        <f>IF($B138&lt;Input!$H$43,IF($B138&lt;Input!$G$43,IF($B138&lt;Input!$F$43,IF($B138&lt;Input!$E$43,IF($B138&lt;Input!$D$43,Input!$C$49,Input!$D$49),Input!$E$49),Input!$F$49),Input!$G$49),Input!$H$49)</f>
        <v>33127052.878124986</v>
      </c>
      <c r="N138" s="190">
        <f>IF($A138&lt;Input!$H$50,IF($A138&lt;Input!$G$50,IF($A138&lt;Input!$F$50,IF($A138&lt;Input!$E$50,IF($A138&lt;Input!$D$50,Input!$C$51,Input!$D$51),Input!$E$51),Input!$F$51),Input!$G$51),Input!$H$51)</f>
        <v>0.9</v>
      </c>
      <c r="O138" s="60">
        <f t="shared" si="76"/>
        <v>29814347.590312488</v>
      </c>
      <c r="P138" s="60">
        <f t="shared" si="79"/>
        <v>30</v>
      </c>
      <c r="Q138" s="60">
        <f t="shared" si="80"/>
        <v>0</v>
      </c>
      <c r="R138" s="60">
        <f>ROUND(Q138*$P138*Input!$C$3/365,0)</f>
        <v>0</v>
      </c>
      <c r="S138" s="60">
        <f>IF(A138&lt;=Input!$C$6,0,IF('120M'!O138&lt;'120M'!Q138,'120M'!O138-R138,'120M'!Q138))</f>
        <v>0</v>
      </c>
      <c r="T138" s="60">
        <f t="shared" si="81"/>
        <v>0</v>
      </c>
      <c r="U138" s="60">
        <f t="shared" si="82"/>
        <v>0</v>
      </c>
      <c r="V138" s="193"/>
      <c r="W138" s="169">
        <v>134</v>
      </c>
      <c r="X138" s="1">
        <f t="shared" si="104"/>
        <v>49597</v>
      </c>
      <c r="Y138" s="60">
        <f>IF($X138&lt;Input!$H$58,IF($X138&lt;Input!$G$58,IF($X138&lt;Input!$F$58,IF($X138&lt;Input!$E$58,IF($X138&lt;Input!$D$58,Input!$C$64,Input!$D$64),Input!$E$64),Input!$F$64),Input!$G$64),Input!$H$64)</f>
        <v>0</v>
      </c>
      <c r="Z138" s="190">
        <f>IF($A138&lt;Input!$H$65,IF($A138&lt;Input!$G$65,IF($A138&lt;Input!$F$65,IF($A138&lt;Input!$E$65,IF($A138&lt;Input!$D$65,Input!$C$66,Input!$D$66),Input!$E$66),Input!$F$66),Input!$G$66),Input!$H$66)</f>
        <v>0.9</v>
      </c>
      <c r="AA138" s="60">
        <f t="shared" si="83"/>
        <v>0</v>
      </c>
      <c r="AB138" s="60">
        <f t="shared" si="105"/>
        <v>30</v>
      </c>
      <c r="AC138" s="60">
        <f t="shared" si="84"/>
        <v>0</v>
      </c>
      <c r="AD138" s="60">
        <f>ROUND(AC138*AB138*Input!$C$3/365,0)</f>
        <v>0</v>
      </c>
      <c r="AE138" s="61">
        <f>IF($A138&lt;=Input!$C$6,0,IF('120M'!AA138&lt;'120M'!AC138,'120M'!AA138-AD138,'120M'!AC138))</f>
        <v>0</v>
      </c>
      <c r="AF138" s="61">
        <f t="shared" si="85"/>
        <v>0</v>
      </c>
      <c r="AG138" s="60">
        <f t="shared" si="86"/>
        <v>0</v>
      </c>
      <c r="AH138" s="193"/>
      <c r="AI138" s="169">
        <v>134</v>
      </c>
      <c r="AJ138" s="1">
        <f t="shared" si="106"/>
        <v>49597</v>
      </c>
      <c r="AK138" s="60">
        <f>IF($X138&lt;Input!$H$73,IF($X138&lt;Input!$G$73,IF($X138&lt;Input!$F$73,IF($X138&lt;Input!$E$73,IF($X138&lt;Input!$D$73,Input!$C$79,Input!$D$79),Input!$E$79),Input!$F$79),Input!$G$79),Input!$H$79)</f>
        <v>0</v>
      </c>
      <c r="AL138" s="190">
        <f>IF($A138&lt;Input!$H$80,IF($A138&lt;Input!$G$80,IF($A138&lt;Input!$F$80,IF($A138&lt;Input!$E$80,IF($A138&lt;Input!$D$80,Input!$C$81,Input!$D$81),Input!$E$81),Input!$F$81),Input!$G$81),Input!$H$81)</f>
        <v>0.9</v>
      </c>
      <c r="AM138" s="60">
        <f t="shared" si="87"/>
        <v>0</v>
      </c>
      <c r="AN138" s="60">
        <f t="shared" si="107"/>
        <v>30</v>
      </c>
      <c r="AO138" s="60">
        <f t="shared" si="88"/>
        <v>0</v>
      </c>
      <c r="AP138" s="60">
        <f>ROUND(AO138*AN138*Input!$C$3/365,0)</f>
        <v>0</v>
      </c>
      <c r="AQ138" s="61">
        <f>IF($A138&lt;=Input!$C$6,0,IF('120M'!AM138&lt;'120M'!AO138,'120M'!AM138-AP138,'120M'!AO138))</f>
        <v>0</v>
      </c>
      <c r="AR138" s="61">
        <f t="shared" si="89"/>
        <v>0</v>
      </c>
      <c r="AS138" s="60">
        <f t="shared" si="90"/>
        <v>0</v>
      </c>
      <c r="AT138" s="193"/>
      <c r="AU138" s="169">
        <v>134</v>
      </c>
      <c r="AV138" s="1">
        <f t="shared" si="108"/>
        <v>49597</v>
      </c>
      <c r="AW138" s="60">
        <f>IF($X138&lt;Input!$H$88,IF($X138&lt;Input!$G$88,IF($X138&lt;Input!$F$88,IF($X138&lt;Input!$E$88,IF($X138&lt;Input!$D$88,Input!$C$94,Input!$D$94),Input!$E$94),Input!$F$94),Input!$G$94),Input!$H$94)</f>
        <v>0</v>
      </c>
      <c r="AX138" s="190">
        <f>IF($A138&lt;Input!$H$95,IF($A138&lt;Input!$G$95,IF($A138&lt;Input!$F$95,IF($A138&lt;Input!$E$95,IF($A138&lt;Input!$D$95,Input!$C$96,Input!$D$96),Input!$E$96),Input!$F$96),Input!$G$96),Input!$H$96)</f>
        <v>0.9</v>
      </c>
      <c r="AY138" s="60">
        <f t="shared" si="91"/>
        <v>0</v>
      </c>
      <c r="AZ138" s="60">
        <f t="shared" si="109"/>
        <v>30</v>
      </c>
      <c r="BA138" s="60">
        <f t="shared" si="92"/>
        <v>0</v>
      </c>
      <c r="BB138" s="60">
        <f>ROUND(BA138*AZ138*Input!$C$3/365,0)</f>
        <v>0</v>
      </c>
      <c r="BC138" s="61">
        <f>IF($A138&lt;=Input!$C$6,0,IF('120M'!AY138&lt;'120M'!BA138,'120M'!AY138-BB138,'120M'!BA138))</f>
        <v>0</v>
      </c>
      <c r="BD138" s="61">
        <f t="shared" si="93"/>
        <v>0</v>
      </c>
      <c r="BE138" s="60">
        <f t="shared" si="94"/>
        <v>0</v>
      </c>
      <c r="BF138" s="193"/>
      <c r="BG138" s="169">
        <v>134</v>
      </c>
      <c r="BH138" s="1">
        <f t="shared" si="110"/>
        <v>49597</v>
      </c>
      <c r="BI138" s="60">
        <f>IF($X138&lt;Input!$H$103,IF($X138&lt;Input!$G$103,IF($X138&lt;Input!$F$103,IF($X138&lt;Input!$E$103,IF($X138&lt;Input!$D$103,Input!$C$109,Input!$D$109),Input!$E$109),Input!$F$109),Input!$G$109),Input!$H$109)</f>
        <v>0</v>
      </c>
      <c r="BJ138" s="190">
        <f>IF($A138&lt;Input!$H$110,IF($A138&lt;Input!$G$110,IF($A138&lt;Input!$F$110,IF($A138&lt;Input!$E$110,IF($A138&lt;Input!$D$110,Input!$C$111,Input!$D$111),Input!$E$111),Input!$F$111),Input!$G$111),Input!$H$111)</f>
        <v>0.9</v>
      </c>
      <c r="BK138" s="60">
        <f t="shared" si="95"/>
        <v>0</v>
      </c>
      <c r="BL138" s="60">
        <f t="shared" si="111"/>
        <v>30</v>
      </c>
      <c r="BM138" s="60">
        <f t="shared" si="96"/>
        <v>0</v>
      </c>
      <c r="BN138" s="60">
        <f>ROUND(BM138*BL138*Input!$C$3/365,0)</f>
        <v>0</v>
      </c>
      <c r="BO138" s="61">
        <f>IF($A138&lt;=Input!$C$6,0,IF('120M'!BK138&lt;'120M'!BM138,'120M'!BK138-BN138,'120M'!BM138))</f>
        <v>0</v>
      </c>
      <c r="BP138" s="61">
        <f t="shared" si="97"/>
        <v>0</v>
      </c>
      <c r="BQ138" s="60">
        <f t="shared" si="98"/>
        <v>0</v>
      </c>
      <c r="BR138" s="198"/>
    </row>
    <row r="139" spans="1:70" x14ac:dyDescent="0.25">
      <c r="A139" s="169">
        <v>135</v>
      </c>
      <c r="B139" s="1">
        <f t="shared" si="99"/>
        <v>49628</v>
      </c>
      <c r="C139" s="60">
        <f t="shared" si="77"/>
        <v>33127052.878124986</v>
      </c>
      <c r="D139" s="60">
        <f t="shared" si="78"/>
        <v>29814347.590312488</v>
      </c>
      <c r="E139" s="60">
        <f t="shared" si="100"/>
        <v>31</v>
      </c>
      <c r="F139" s="60">
        <f t="shared" si="101"/>
        <v>0</v>
      </c>
      <c r="G139" s="60">
        <f>ROUND(F139*E139*Input!$C$3/365,0)</f>
        <v>0</v>
      </c>
      <c r="H139" s="60">
        <f>IF($A139&lt;=Input!$C$6,0,IF('120M'!D139&lt;'120M'!F139,'120M'!D139-G139,'120M'!F139))</f>
        <v>0</v>
      </c>
      <c r="I139" s="60">
        <f t="shared" si="102"/>
        <v>0</v>
      </c>
      <c r="J139" s="60">
        <f t="shared" si="103"/>
        <v>0</v>
      </c>
      <c r="K139" s="202">
        <f>J139/Input!$K$5</f>
        <v>0</v>
      </c>
      <c r="L139" s="232"/>
      <c r="M139" s="60">
        <f>IF($B139&lt;Input!$H$43,IF($B139&lt;Input!$G$43,IF($B139&lt;Input!$F$43,IF($B139&lt;Input!$E$43,IF($B139&lt;Input!$D$43,Input!$C$49,Input!$D$49),Input!$E$49),Input!$F$49),Input!$G$49),Input!$H$49)</f>
        <v>33127052.878124986</v>
      </c>
      <c r="N139" s="190">
        <f>IF($A139&lt;Input!$H$50,IF($A139&lt;Input!$G$50,IF($A139&lt;Input!$F$50,IF($A139&lt;Input!$E$50,IF($A139&lt;Input!$D$50,Input!$C$51,Input!$D$51),Input!$E$51),Input!$F$51),Input!$G$51),Input!$H$51)</f>
        <v>0.9</v>
      </c>
      <c r="O139" s="60">
        <f t="shared" si="76"/>
        <v>29814347.590312488</v>
      </c>
      <c r="P139" s="60">
        <f t="shared" si="79"/>
        <v>31</v>
      </c>
      <c r="Q139" s="60">
        <f t="shared" si="80"/>
        <v>0</v>
      </c>
      <c r="R139" s="60">
        <f>ROUND(Q139*$P139*Input!$C$3/365,0)</f>
        <v>0</v>
      </c>
      <c r="S139" s="60">
        <f>IF(A139&lt;=Input!$C$6,0,IF('120M'!O139&lt;'120M'!Q139,'120M'!O139-R139,'120M'!Q139))</f>
        <v>0</v>
      </c>
      <c r="T139" s="60">
        <f t="shared" si="81"/>
        <v>0</v>
      </c>
      <c r="U139" s="60">
        <f t="shared" si="82"/>
        <v>0</v>
      </c>
      <c r="V139" s="193"/>
      <c r="W139" s="169">
        <v>135</v>
      </c>
      <c r="X139" s="1">
        <f t="shared" si="104"/>
        <v>49628</v>
      </c>
      <c r="Y139" s="60">
        <f>IF($X139&lt;Input!$H$58,IF($X139&lt;Input!$G$58,IF($X139&lt;Input!$F$58,IF($X139&lt;Input!$E$58,IF($X139&lt;Input!$D$58,Input!$C$64,Input!$D$64),Input!$E$64),Input!$F$64),Input!$G$64),Input!$H$64)</f>
        <v>0</v>
      </c>
      <c r="Z139" s="190">
        <f>IF($A139&lt;Input!$H$65,IF($A139&lt;Input!$G$65,IF($A139&lt;Input!$F$65,IF($A139&lt;Input!$E$65,IF($A139&lt;Input!$D$65,Input!$C$66,Input!$D$66),Input!$E$66),Input!$F$66),Input!$G$66),Input!$H$66)</f>
        <v>0.9</v>
      </c>
      <c r="AA139" s="60">
        <f t="shared" si="83"/>
        <v>0</v>
      </c>
      <c r="AB139" s="60">
        <f t="shared" si="105"/>
        <v>31</v>
      </c>
      <c r="AC139" s="60">
        <f t="shared" si="84"/>
        <v>0</v>
      </c>
      <c r="AD139" s="60">
        <f>ROUND(AC139*AB139*Input!$C$3/365,0)</f>
        <v>0</v>
      </c>
      <c r="AE139" s="61">
        <f>IF($A139&lt;=Input!$C$6,0,IF('120M'!AA139&lt;'120M'!AC139,'120M'!AA139-AD139,'120M'!AC139))</f>
        <v>0</v>
      </c>
      <c r="AF139" s="61">
        <f t="shared" si="85"/>
        <v>0</v>
      </c>
      <c r="AG139" s="60">
        <f t="shared" si="86"/>
        <v>0</v>
      </c>
      <c r="AH139" s="193"/>
      <c r="AI139" s="169">
        <v>135</v>
      </c>
      <c r="AJ139" s="1">
        <f t="shared" si="106"/>
        <v>49628</v>
      </c>
      <c r="AK139" s="60">
        <f>IF($X139&lt;Input!$H$73,IF($X139&lt;Input!$G$73,IF($X139&lt;Input!$F$73,IF($X139&lt;Input!$E$73,IF($X139&lt;Input!$D$73,Input!$C$79,Input!$D$79),Input!$E$79),Input!$F$79),Input!$G$79),Input!$H$79)</f>
        <v>0</v>
      </c>
      <c r="AL139" s="190">
        <f>IF($A139&lt;Input!$H$80,IF($A139&lt;Input!$G$80,IF($A139&lt;Input!$F$80,IF($A139&lt;Input!$E$80,IF($A139&lt;Input!$D$80,Input!$C$81,Input!$D$81),Input!$E$81),Input!$F$81),Input!$G$81),Input!$H$81)</f>
        <v>0.9</v>
      </c>
      <c r="AM139" s="60">
        <f t="shared" si="87"/>
        <v>0</v>
      </c>
      <c r="AN139" s="60">
        <f t="shared" si="107"/>
        <v>31</v>
      </c>
      <c r="AO139" s="60">
        <f t="shared" si="88"/>
        <v>0</v>
      </c>
      <c r="AP139" s="60">
        <f>ROUND(AO139*AN139*Input!$C$3/365,0)</f>
        <v>0</v>
      </c>
      <c r="AQ139" s="61">
        <f>IF($A139&lt;=Input!$C$6,0,IF('120M'!AM139&lt;'120M'!AO139,'120M'!AM139-AP139,'120M'!AO139))</f>
        <v>0</v>
      </c>
      <c r="AR139" s="61">
        <f t="shared" si="89"/>
        <v>0</v>
      </c>
      <c r="AS139" s="60">
        <f t="shared" si="90"/>
        <v>0</v>
      </c>
      <c r="AT139" s="193"/>
      <c r="AU139" s="169">
        <v>135</v>
      </c>
      <c r="AV139" s="1">
        <f t="shared" si="108"/>
        <v>49628</v>
      </c>
      <c r="AW139" s="60">
        <f>IF($X139&lt;Input!$H$88,IF($X139&lt;Input!$G$88,IF($X139&lt;Input!$F$88,IF($X139&lt;Input!$E$88,IF($X139&lt;Input!$D$88,Input!$C$94,Input!$D$94),Input!$E$94),Input!$F$94),Input!$G$94),Input!$H$94)</f>
        <v>0</v>
      </c>
      <c r="AX139" s="190">
        <f>IF($A139&lt;Input!$H$95,IF($A139&lt;Input!$G$95,IF($A139&lt;Input!$F$95,IF($A139&lt;Input!$E$95,IF($A139&lt;Input!$D$95,Input!$C$96,Input!$D$96),Input!$E$96),Input!$F$96),Input!$G$96),Input!$H$96)</f>
        <v>0.9</v>
      </c>
      <c r="AY139" s="60">
        <f t="shared" si="91"/>
        <v>0</v>
      </c>
      <c r="AZ139" s="60">
        <f t="shared" si="109"/>
        <v>31</v>
      </c>
      <c r="BA139" s="60">
        <f t="shared" si="92"/>
        <v>0</v>
      </c>
      <c r="BB139" s="60">
        <f>ROUND(BA139*AZ139*Input!$C$3/365,0)</f>
        <v>0</v>
      </c>
      <c r="BC139" s="61">
        <f>IF($A139&lt;=Input!$C$6,0,IF('120M'!AY139&lt;'120M'!BA139,'120M'!AY139-BB139,'120M'!BA139))</f>
        <v>0</v>
      </c>
      <c r="BD139" s="61">
        <f t="shared" si="93"/>
        <v>0</v>
      </c>
      <c r="BE139" s="60">
        <f t="shared" si="94"/>
        <v>0</v>
      </c>
      <c r="BF139" s="193"/>
      <c r="BG139" s="169">
        <v>135</v>
      </c>
      <c r="BH139" s="1">
        <f t="shared" si="110"/>
        <v>49628</v>
      </c>
      <c r="BI139" s="60">
        <f>IF($X139&lt;Input!$H$103,IF($X139&lt;Input!$G$103,IF($X139&lt;Input!$F$103,IF($X139&lt;Input!$E$103,IF($X139&lt;Input!$D$103,Input!$C$109,Input!$D$109),Input!$E$109),Input!$F$109),Input!$G$109),Input!$H$109)</f>
        <v>0</v>
      </c>
      <c r="BJ139" s="190">
        <f>IF($A139&lt;Input!$H$110,IF($A139&lt;Input!$G$110,IF($A139&lt;Input!$F$110,IF($A139&lt;Input!$E$110,IF($A139&lt;Input!$D$110,Input!$C$111,Input!$D$111),Input!$E$111),Input!$F$111),Input!$G$111),Input!$H$111)</f>
        <v>0.9</v>
      </c>
      <c r="BK139" s="60">
        <f t="shared" si="95"/>
        <v>0</v>
      </c>
      <c r="BL139" s="60">
        <f t="shared" si="111"/>
        <v>31</v>
      </c>
      <c r="BM139" s="60">
        <f t="shared" si="96"/>
        <v>0</v>
      </c>
      <c r="BN139" s="60">
        <f>ROUND(BM139*BL139*Input!$C$3/365,0)</f>
        <v>0</v>
      </c>
      <c r="BO139" s="61">
        <f>IF($A139&lt;=Input!$C$6,0,IF('120M'!BK139&lt;'120M'!BM139,'120M'!BK139-BN139,'120M'!BM139))</f>
        <v>0</v>
      </c>
      <c r="BP139" s="61">
        <f t="shared" si="97"/>
        <v>0</v>
      </c>
      <c r="BQ139" s="60">
        <f t="shared" si="98"/>
        <v>0</v>
      </c>
      <c r="BR139" s="198"/>
    </row>
    <row r="140" spans="1:70" x14ac:dyDescent="0.25">
      <c r="A140" s="169">
        <v>136</v>
      </c>
      <c r="B140" s="1">
        <f t="shared" si="99"/>
        <v>49658</v>
      </c>
      <c r="C140" s="60">
        <f t="shared" si="77"/>
        <v>33127052.878124986</v>
      </c>
      <c r="D140" s="60">
        <f t="shared" si="78"/>
        <v>29814347.590312488</v>
      </c>
      <c r="E140" s="60">
        <f t="shared" si="100"/>
        <v>30</v>
      </c>
      <c r="F140" s="60">
        <f t="shared" si="101"/>
        <v>0</v>
      </c>
      <c r="G140" s="60">
        <f>ROUND(F140*E140*Input!$C$3/365,0)</f>
        <v>0</v>
      </c>
      <c r="H140" s="60">
        <f>IF($A140&lt;=Input!$C$6,0,IF('120M'!D140&lt;'120M'!F140,'120M'!D140-G140,'120M'!F140))</f>
        <v>0</v>
      </c>
      <c r="I140" s="60">
        <f t="shared" si="102"/>
        <v>0</v>
      </c>
      <c r="J140" s="60">
        <f t="shared" si="103"/>
        <v>0</v>
      </c>
      <c r="K140" s="202">
        <f>J140/Input!$K$5</f>
        <v>0</v>
      </c>
      <c r="L140" s="232"/>
      <c r="M140" s="60">
        <f>IF($B140&lt;Input!$H$43,IF($B140&lt;Input!$G$43,IF($B140&lt;Input!$F$43,IF($B140&lt;Input!$E$43,IF($B140&lt;Input!$D$43,Input!$C$49,Input!$D$49),Input!$E$49),Input!$F$49),Input!$G$49),Input!$H$49)</f>
        <v>33127052.878124986</v>
      </c>
      <c r="N140" s="190">
        <f>IF($A140&lt;Input!$H$50,IF($A140&lt;Input!$G$50,IF($A140&lt;Input!$F$50,IF($A140&lt;Input!$E$50,IF($A140&lt;Input!$D$50,Input!$C$51,Input!$D$51),Input!$E$51),Input!$F$51),Input!$G$51),Input!$H$51)</f>
        <v>0.9</v>
      </c>
      <c r="O140" s="60">
        <f t="shared" si="76"/>
        <v>29814347.590312488</v>
      </c>
      <c r="P140" s="60">
        <f t="shared" si="79"/>
        <v>30</v>
      </c>
      <c r="Q140" s="60">
        <f t="shared" si="80"/>
        <v>0</v>
      </c>
      <c r="R140" s="60">
        <f>ROUND(Q140*$P140*Input!$C$3/365,0)</f>
        <v>0</v>
      </c>
      <c r="S140" s="60">
        <f>IF(A140&lt;=Input!$C$6,0,IF('120M'!O140&lt;'120M'!Q140,'120M'!O140-R140,'120M'!Q140))</f>
        <v>0</v>
      </c>
      <c r="T140" s="60">
        <f t="shared" si="81"/>
        <v>0</v>
      </c>
      <c r="U140" s="60">
        <f t="shared" si="82"/>
        <v>0</v>
      </c>
      <c r="V140" s="193"/>
      <c r="W140" s="169">
        <v>136</v>
      </c>
      <c r="X140" s="1">
        <f t="shared" si="104"/>
        <v>49658</v>
      </c>
      <c r="Y140" s="60">
        <f>IF($X140&lt;Input!$H$58,IF($X140&lt;Input!$G$58,IF($X140&lt;Input!$F$58,IF($X140&lt;Input!$E$58,IF($X140&lt;Input!$D$58,Input!$C$64,Input!$D$64),Input!$E$64),Input!$F$64),Input!$G$64),Input!$H$64)</f>
        <v>0</v>
      </c>
      <c r="Z140" s="190">
        <f>IF($A140&lt;Input!$H$65,IF($A140&lt;Input!$G$65,IF($A140&lt;Input!$F$65,IF($A140&lt;Input!$E$65,IF($A140&lt;Input!$D$65,Input!$C$66,Input!$D$66),Input!$E$66),Input!$F$66),Input!$G$66),Input!$H$66)</f>
        <v>0.9</v>
      </c>
      <c r="AA140" s="60">
        <f t="shared" si="83"/>
        <v>0</v>
      </c>
      <c r="AB140" s="60">
        <f t="shared" si="105"/>
        <v>30</v>
      </c>
      <c r="AC140" s="60">
        <f t="shared" si="84"/>
        <v>0</v>
      </c>
      <c r="AD140" s="60">
        <f>ROUND(AC140*AB140*Input!$C$3/365,0)</f>
        <v>0</v>
      </c>
      <c r="AE140" s="61">
        <f>IF($A140&lt;=Input!$C$6,0,IF('120M'!AA140&lt;'120M'!AC140,'120M'!AA140-AD140,'120M'!AC140))</f>
        <v>0</v>
      </c>
      <c r="AF140" s="61">
        <f t="shared" si="85"/>
        <v>0</v>
      </c>
      <c r="AG140" s="60">
        <f t="shared" si="86"/>
        <v>0</v>
      </c>
      <c r="AH140" s="193"/>
      <c r="AI140" s="169">
        <v>136</v>
      </c>
      <c r="AJ140" s="1">
        <f t="shared" si="106"/>
        <v>49658</v>
      </c>
      <c r="AK140" s="60">
        <f>IF($X140&lt;Input!$H$73,IF($X140&lt;Input!$G$73,IF($X140&lt;Input!$F$73,IF($X140&lt;Input!$E$73,IF($X140&lt;Input!$D$73,Input!$C$79,Input!$D$79),Input!$E$79),Input!$F$79),Input!$G$79),Input!$H$79)</f>
        <v>0</v>
      </c>
      <c r="AL140" s="190">
        <f>IF($A140&lt;Input!$H$80,IF($A140&lt;Input!$G$80,IF($A140&lt;Input!$F$80,IF($A140&lt;Input!$E$80,IF($A140&lt;Input!$D$80,Input!$C$81,Input!$D$81),Input!$E$81),Input!$F$81),Input!$G$81),Input!$H$81)</f>
        <v>0.9</v>
      </c>
      <c r="AM140" s="60">
        <f t="shared" si="87"/>
        <v>0</v>
      </c>
      <c r="AN140" s="60">
        <f t="shared" si="107"/>
        <v>30</v>
      </c>
      <c r="AO140" s="60">
        <f t="shared" si="88"/>
        <v>0</v>
      </c>
      <c r="AP140" s="60">
        <f>ROUND(AO140*AN140*Input!$C$3/365,0)</f>
        <v>0</v>
      </c>
      <c r="AQ140" s="61">
        <f>IF($A140&lt;=Input!$C$6,0,IF('120M'!AM140&lt;'120M'!AO140,'120M'!AM140-AP140,'120M'!AO140))</f>
        <v>0</v>
      </c>
      <c r="AR140" s="61">
        <f t="shared" si="89"/>
        <v>0</v>
      </c>
      <c r="AS140" s="60">
        <f t="shared" si="90"/>
        <v>0</v>
      </c>
      <c r="AT140" s="193"/>
      <c r="AU140" s="169">
        <v>136</v>
      </c>
      <c r="AV140" s="1">
        <f t="shared" si="108"/>
        <v>49658</v>
      </c>
      <c r="AW140" s="60">
        <f>IF($X140&lt;Input!$H$88,IF($X140&lt;Input!$G$88,IF($X140&lt;Input!$F$88,IF($X140&lt;Input!$E$88,IF($X140&lt;Input!$D$88,Input!$C$94,Input!$D$94),Input!$E$94),Input!$F$94),Input!$G$94),Input!$H$94)</f>
        <v>0</v>
      </c>
      <c r="AX140" s="190">
        <f>IF($A140&lt;Input!$H$95,IF($A140&lt;Input!$G$95,IF($A140&lt;Input!$F$95,IF($A140&lt;Input!$E$95,IF($A140&lt;Input!$D$95,Input!$C$96,Input!$D$96),Input!$E$96),Input!$F$96),Input!$G$96),Input!$H$96)</f>
        <v>0.9</v>
      </c>
      <c r="AY140" s="60">
        <f t="shared" si="91"/>
        <v>0</v>
      </c>
      <c r="AZ140" s="60">
        <f t="shared" si="109"/>
        <v>30</v>
      </c>
      <c r="BA140" s="60">
        <f t="shared" si="92"/>
        <v>0</v>
      </c>
      <c r="BB140" s="60">
        <f>ROUND(BA140*AZ140*Input!$C$3/365,0)</f>
        <v>0</v>
      </c>
      <c r="BC140" s="61">
        <f>IF($A140&lt;=Input!$C$6,0,IF('120M'!AY140&lt;'120M'!BA140,'120M'!AY140-BB140,'120M'!BA140))</f>
        <v>0</v>
      </c>
      <c r="BD140" s="61">
        <f t="shared" si="93"/>
        <v>0</v>
      </c>
      <c r="BE140" s="60">
        <f t="shared" si="94"/>
        <v>0</v>
      </c>
      <c r="BF140" s="193"/>
      <c r="BG140" s="169">
        <v>136</v>
      </c>
      <c r="BH140" s="1">
        <f t="shared" si="110"/>
        <v>49658</v>
      </c>
      <c r="BI140" s="60">
        <f>IF($X140&lt;Input!$H$103,IF($X140&lt;Input!$G$103,IF($X140&lt;Input!$F$103,IF($X140&lt;Input!$E$103,IF($X140&lt;Input!$D$103,Input!$C$109,Input!$D$109),Input!$E$109),Input!$F$109),Input!$G$109),Input!$H$109)</f>
        <v>0</v>
      </c>
      <c r="BJ140" s="190">
        <f>IF($A140&lt;Input!$H$110,IF($A140&lt;Input!$G$110,IF($A140&lt;Input!$F$110,IF($A140&lt;Input!$E$110,IF($A140&lt;Input!$D$110,Input!$C$111,Input!$D$111),Input!$E$111),Input!$F$111),Input!$G$111),Input!$H$111)</f>
        <v>0.9</v>
      </c>
      <c r="BK140" s="60">
        <f t="shared" si="95"/>
        <v>0</v>
      </c>
      <c r="BL140" s="60">
        <f t="shared" si="111"/>
        <v>30</v>
      </c>
      <c r="BM140" s="60">
        <f t="shared" si="96"/>
        <v>0</v>
      </c>
      <c r="BN140" s="60">
        <f>ROUND(BM140*BL140*Input!$C$3/365,0)</f>
        <v>0</v>
      </c>
      <c r="BO140" s="61">
        <f>IF($A140&lt;=Input!$C$6,0,IF('120M'!BK140&lt;'120M'!BM140,'120M'!BK140-BN140,'120M'!BM140))</f>
        <v>0</v>
      </c>
      <c r="BP140" s="61">
        <f t="shared" si="97"/>
        <v>0</v>
      </c>
      <c r="BQ140" s="60">
        <f t="shared" si="98"/>
        <v>0</v>
      </c>
      <c r="BR140" s="198"/>
    </row>
    <row r="141" spans="1:70" x14ac:dyDescent="0.25">
      <c r="A141" s="169">
        <v>137</v>
      </c>
      <c r="B141" s="1">
        <f t="shared" si="99"/>
        <v>49689</v>
      </c>
      <c r="C141" s="60">
        <f t="shared" si="77"/>
        <v>33127052.878124986</v>
      </c>
      <c r="D141" s="60">
        <f t="shared" si="78"/>
        <v>29814347.590312488</v>
      </c>
      <c r="E141" s="60">
        <f t="shared" si="100"/>
        <v>31</v>
      </c>
      <c r="F141" s="60">
        <f t="shared" si="101"/>
        <v>0</v>
      </c>
      <c r="G141" s="60">
        <f>ROUND(F141*E141*Input!$C$3/365,0)</f>
        <v>0</v>
      </c>
      <c r="H141" s="60">
        <f>IF($A141&lt;=Input!$C$6,0,IF('120M'!D141&lt;'120M'!F141,'120M'!D141-G141,'120M'!F141))</f>
        <v>0</v>
      </c>
      <c r="I141" s="60">
        <f t="shared" si="102"/>
        <v>0</v>
      </c>
      <c r="J141" s="60">
        <f t="shared" si="103"/>
        <v>0</v>
      </c>
      <c r="K141" s="202">
        <f>J141/Input!$K$5</f>
        <v>0</v>
      </c>
      <c r="L141" s="232"/>
      <c r="M141" s="60">
        <f>IF($B141&lt;Input!$H$43,IF($B141&lt;Input!$G$43,IF($B141&lt;Input!$F$43,IF($B141&lt;Input!$E$43,IF($B141&lt;Input!$D$43,Input!$C$49,Input!$D$49),Input!$E$49),Input!$F$49),Input!$G$49),Input!$H$49)</f>
        <v>33127052.878124986</v>
      </c>
      <c r="N141" s="190">
        <f>IF($A141&lt;Input!$H$50,IF($A141&lt;Input!$G$50,IF($A141&lt;Input!$F$50,IF($A141&lt;Input!$E$50,IF($A141&lt;Input!$D$50,Input!$C$51,Input!$D$51),Input!$E$51),Input!$F$51),Input!$G$51),Input!$H$51)</f>
        <v>0.9</v>
      </c>
      <c r="O141" s="60">
        <f t="shared" si="76"/>
        <v>29814347.590312488</v>
      </c>
      <c r="P141" s="60">
        <f t="shared" si="79"/>
        <v>31</v>
      </c>
      <c r="Q141" s="60">
        <f t="shared" si="80"/>
        <v>0</v>
      </c>
      <c r="R141" s="60">
        <f>ROUND(Q141*$P141*Input!$C$3/365,0)</f>
        <v>0</v>
      </c>
      <c r="S141" s="60">
        <f>IF(A141&lt;=Input!$C$6,0,IF('120M'!O141&lt;'120M'!Q141,'120M'!O141-R141,'120M'!Q141))</f>
        <v>0</v>
      </c>
      <c r="T141" s="60">
        <f t="shared" si="81"/>
        <v>0</v>
      </c>
      <c r="U141" s="60">
        <f t="shared" si="82"/>
        <v>0</v>
      </c>
      <c r="V141" s="193"/>
      <c r="W141" s="169">
        <v>137</v>
      </c>
      <c r="X141" s="1">
        <f t="shared" si="104"/>
        <v>49689</v>
      </c>
      <c r="Y141" s="60">
        <f>IF($X141&lt;Input!$H$58,IF($X141&lt;Input!$G$58,IF($X141&lt;Input!$F$58,IF($X141&lt;Input!$E$58,IF($X141&lt;Input!$D$58,Input!$C$64,Input!$D$64),Input!$E$64),Input!$F$64),Input!$G$64),Input!$H$64)</f>
        <v>0</v>
      </c>
      <c r="Z141" s="190">
        <f>IF($A141&lt;Input!$H$65,IF($A141&lt;Input!$G$65,IF($A141&lt;Input!$F$65,IF($A141&lt;Input!$E$65,IF($A141&lt;Input!$D$65,Input!$C$66,Input!$D$66),Input!$E$66),Input!$F$66),Input!$G$66),Input!$H$66)</f>
        <v>0.9</v>
      </c>
      <c r="AA141" s="60">
        <f t="shared" si="83"/>
        <v>0</v>
      </c>
      <c r="AB141" s="60">
        <f t="shared" si="105"/>
        <v>31</v>
      </c>
      <c r="AC141" s="60">
        <f t="shared" si="84"/>
        <v>0</v>
      </c>
      <c r="AD141" s="60">
        <f>ROUND(AC141*AB141*Input!$C$3/365,0)</f>
        <v>0</v>
      </c>
      <c r="AE141" s="61">
        <f>IF($A141&lt;=Input!$C$6,0,IF('120M'!AA141&lt;'120M'!AC141,'120M'!AA141-AD141,'120M'!AC141))</f>
        <v>0</v>
      </c>
      <c r="AF141" s="61">
        <f t="shared" si="85"/>
        <v>0</v>
      </c>
      <c r="AG141" s="60">
        <f t="shared" si="86"/>
        <v>0</v>
      </c>
      <c r="AH141" s="193"/>
      <c r="AI141" s="169">
        <v>137</v>
      </c>
      <c r="AJ141" s="1">
        <f t="shared" si="106"/>
        <v>49689</v>
      </c>
      <c r="AK141" s="60">
        <f>IF($X141&lt;Input!$H$73,IF($X141&lt;Input!$G$73,IF($X141&lt;Input!$F$73,IF($X141&lt;Input!$E$73,IF($X141&lt;Input!$D$73,Input!$C$79,Input!$D$79),Input!$E$79),Input!$F$79),Input!$G$79),Input!$H$79)</f>
        <v>0</v>
      </c>
      <c r="AL141" s="190">
        <f>IF($A141&lt;Input!$H$80,IF($A141&lt;Input!$G$80,IF($A141&lt;Input!$F$80,IF($A141&lt;Input!$E$80,IF($A141&lt;Input!$D$80,Input!$C$81,Input!$D$81),Input!$E$81),Input!$F$81),Input!$G$81),Input!$H$81)</f>
        <v>0.9</v>
      </c>
      <c r="AM141" s="60">
        <f t="shared" si="87"/>
        <v>0</v>
      </c>
      <c r="AN141" s="60">
        <f t="shared" si="107"/>
        <v>31</v>
      </c>
      <c r="AO141" s="60">
        <f t="shared" si="88"/>
        <v>0</v>
      </c>
      <c r="AP141" s="60">
        <f>ROUND(AO141*AN141*Input!$C$3/365,0)</f>
        <v>0</v>
      </c>
      <c r="AQ141" s="61">
        <f>IF($A141&lt;=Input!$C$6,0,IF('120M'!AM141&lt;'120M'!AO141,'120M'!AM141-AP141,'120M'!AO141))</f>
        <v>0</v>
      </c>
      <c r="AR141" s="61">
        <f t="shared" si="89"/>
        <v>0</v>
      </c>
      <c r="AS141" s="60">
        <f t="shared" si="90"/>
        <v>0</v>
      </c>
      <c r="AT141" s="193"/>
      <c r="AU141" s="169">
        <v>137</v>
      </c>
      <c r="AV141" s="1">
        <f t="shared" si="108"/>
        <v>49689</v>
      </c>
      <c r="AW141" s="60">
        <f>IF($X141&lt;Input!$H$88,IF($X141&lt;Input!$G$88,IF($X141&lt;Input!$F$88,IF($X141&lt;Input!$E$88,IF($X141&lt;Input!$D$88,Input!$C$94,Input!$D$94),Input!$E$94),Input!$F$94),Input!$G$94),Input!$H$94)</f>
        <v>0</v>
      </c>
      <c r="AX141" s="190">
        <f>IF($A141&lt;Input!$H$95,IF($A141&lt;Input!$G$95,IF($A141&lt;Input!$F$95,IF($A141&lt;Input!$E$95,IF($A141&lt;Input!$D$95,Input!$C$96,Input!$D$96),Input!$E$96),Input!$F$96),Input!$G$96),Input!$H$96)</f>
        <v>0.9</v>
      </c>
      <c r="AY141" s="60">
        <f t="shared" si="91"/>
        <v>0</v>
      </c>
      <c r="AZ141" s="60">
        <f t="shared" si="109"/>
        <v>31</v>
      </c>
      <c r="BA141" s="60">
        <f t="shared" si="92"/>
        <v>0</v>
      </c>
      <c r="BB141" s="60">
        <f>ROUND(BA141*AZ141*Input!$C$3/365,0)</f>
        <v>0</v>
      </c>
      <c r="BC141" s="61">
        <f>IF($A141&lt;=Input!$C$6,0,IF('120M'!AY141&lt;'120M'!BA141,'120M'!AY141-BB141,'120M'!BA141))</f>
        <v>0</v>
      </c>
      <c r="BD141" s="61">
        <f t="shared" si="93"/>
        <v>0</v>
      </c>
      <c r="BE141" s="60">
        <f t="shared" si="94"/>
        <v>0</v>
      </c>
      <c r="BF141" s="193"/>
      <c r="BG141" s="169">
        <v>137</v>
      </c>
      <c r="BH141" s="1">
        <f t="shared" si="110"/>
        <v>49689</v>
      </c>
      <c r="BI141" s="60">
        <f>IF($X141&lt;Input!$H$103,IF($X141&lt;Input!$G$103,IF($X141&lt;Input!$F$103,IF($X141&lt;Input!$E$103,IF($X141&lt;Input!$D$103,Input!$C$109,Input!$D$109),Input!$E$109),Input!$F$109),Input!$G$109),Input!$H$109)</f>
        <v>0</v>
      </c>
      <c r="BJ141" s="190">
        <f>IF($A141&lt;Input!$H$110,IF($A141&lt;Input!$G$110,IF($A141&lt;Input!$F$110,IF($A141&lt;Input!$E$110,IF($A141&lt;Input!$D$110,Input!$C$111,Input!$D$111),Input!$E$111),Input!$F$111),Input!$G$111),Input!$H$111)</f>
        <v>0.9</v>
      </c>
      <c r="BK141" s="60">
        <f t="shared" si="95"/>
        <v>0</v>
      </c>
      <c r="BL141" s="60">
        <f t="shared" si="111"/>
        <v>31</v>
      </c>
      <c r="BM141" s="60">
        <f t="shared" si="96"/>
        <v>0</v>
      </c>
      <c r="BN141" s="60">
        <f>ROUND(BM141*BL141*Input!$C$3/365,0)</f>
        <v>0</v>
      </c>
      <c r="BO141" s="61">
        <f>IF($A141&lt;=Input!$C$6,0,IF('120M'!BK141&lt;'120M'!BM141,'120M'!BK141-BN141,'120M'!BM141))</f>
        <v>0</v>
      </c>
      <c r="BP141" s="61">
        <f t="shared" si="97"/>
        <v>0</v>
      </c>
      <c r="BQ141" s="60">
        <f t="shared" si="98"/>
        <v>0</v>
      </c>
      <c r="BR141" s="198"/>
    </row>
    <row r="142" spans="1:70" x14ac:dyDescent="0.25">
      <c r="A142" s="169">
        <v>138</v>
      </c>
      <c r="B142" s="1">
        <f t="shared" si="99"/>
        <v>49720</v>
      </c>
      <c r="C142" s="60">
        <f t="shared" si="77"/>
        <v>33127052.878124986</v>
      </c>
      <c r="D142" s="60">
        <f t="shared" si="78"/>
        <v>29814347.590312488</v>
      </c>
      <c r="E142" s="60">
        <f t="shared" si="100"/>
        <v>31</v>
      </c>
      <c r="F142" s="60">
        <f t="shared" si="101"/>
        <v>0</v>
      </c>
      <c r="G142" s="60">
        <f>ROUND(F142*E142*Input!$C$3/365,0)</f>
        <v>0</v>
      </c>
      <c r="H142" s="60">
        <f>IF($A142&lt;=Input!$C$6,0,IF('120M'!D142&lt;'120M'!F142,'120M'!D142-G142,'120M'!F142))</f>
        <v>0</v>
      </c>
      <c r="I142" s="60">
        <f t="shared" si="102"/>
        <v>0</v>
      </c>
      <c r="J142" s="60">
        <f t="shared" si="103"/>
        <v>0</v>
      </c>
      <c r="K142" s="202">
        <f>J142/Input!$K$5</f>
        <v>0</v>
      </c>
      <c r="L142" s="232"/>
      <c r="M142" s="60">
        <f>IF($B142&lt;Input!$H$43,IF($B142&lt;Input!$G$43,IF($B142&lt;Input!$F$43,IF($B142&lt;Input!$E$43,IF($B142&lt;Input!$D$43,Input!$C$49,Input!$D$49),Input!$E$49),Input!$F$49),Input!$G$49),Input!$H$49)</f>
        <v>33127052.878124986</v>
      </c>
      <c r="N142" s="190">
        <f>IF($A142&lt;Input!$H$50,IF($A142&lt;Input!$G$50,IF($A142&lt;Input!$F$50,IF($A142&lt;Input!$E$50,IF($A142&lt;Input!$D$50,Input!$C$51,Input!$D$51),Input!$E$51),Input!$F$51),Input!$G$51),Input!$H$51)</f>
        <v>0.9</v>
      </c>
      <c r="O142" s="60">
        <f t="shared" si="76"/>
        <v>29814347.590312488</v>
      </c>
      <c r="P142" s="60">
        <f t="shared" si="79"/>
        <v>31</v>
      </c>
      <c r="Q142" s="60">
        <f t="shared" si="80"/>
        <v>0</v>
      </c>
      <c r="R142" s="60">
        <f>ROUND(Q142*$P142*Input!$C$3/365,0)</f>
        <v>0</v>
      </c>
      <c r="S142" s="60">
        <f>IF(A142&lt;=Input!$C$6,0,IF('120M'!O142&lt;'120M'!Q142,'120M'!O142-R142,'120M'!Q142))</f>
        <v>0</v>
      </c>
      <c r="T142" s="60">
        <f t="shared" si="81"/>
        <v>0</v>
      </c>
      <c r="U142" s="60">
        <f t="shared" si="82"/>
        <v>0</v>
      </c>
      <c r="V142" s="193"/>
      <c r="W142" s="169">
        <v>138</v>
      </c>
      <c r="X142" s="1">
        <f t="shared" si="104"/>
        <v>49720</v>
      </c>
      <c r="Y142" s="60">
        <f>IF($X142&lt;Input!$H$58,IF($X142&lt;Input!$G$58,IF($X142&lt;Input!$F$58,IF($X142&lt;Input!$E$58,IF($X142&lt;Input!$D$58,Input!$C$64,Input!$D$64),Input!$E$64),Input!$F$64),Input!$G$64),Input!$H$64)</f>
        <v>0</v>
      </c>
      <c r="Z142" s="190">
        <f>IF($A142&lt;Input!$H$65,IF($A142&lt;Input!$G$65,IF($A142&lt;Input!$F$65,IF($A142&lt;Input!$E$65,IF($A142&lt;Input!$D$65,Input!$C$66,Input!$D$66),Input!$E$66),Input!$F$66),Input!$G$66),Input!$H$66)</f>
        <v>0.9</v>
      </c>
      <c r="AA142" s="60">
        <f t="shared" si="83"/>
        <v>0</v>
      </c>
      <c r="AB142" s="60">
        <f t="shared" si="105"/>
        <v>31</v>
      </c>
      <c r="AC142" s="60">
        <f t="shared" si="84"/>
        <v>0</v>
      </c>
      <c r="AD142" s="60">
        <f>ROUND(AC142*AB142*Input!$C$3/365,0)</f>
        <v>0</v>
      </c>
      <c r="AE142" s="61">
        <f>IF($A142&lt;=Input!$C$6,0,IF('120M'!AA142&lt;'120M'!AC142,'120M'!AA142-AD142,'120M'!AC142))</f>
        <v>0</v>
      </c>
      <c r="AF142" s="61">
        <f t="shared" si="85"/>
        <v>0</v>
      </c>
      <c r="AG142" s="60">
        <f t="shared" si="86"/>
        <v>0</v>
      </c>
      <c r="AH142" s="193"/>
      <c r="AI142" s="169">
        <v>138</v>
      </c>
      <c r="AJ142" s="1">
        <f t="shared" si="106"/>
        <v>49720</v>
      </c>
      <c r="AK142" s="60">
        <f>IF($X142&lt;Input!$H$73,IF($X142&lt;Input!$G$73,IF($X142&lt;Input!$F$73,IF($X142&lt;Input!$E$73,IF($X142&lt;Input!$D$73,Input!$C$79,Input!$D$79),Input!$E$79),Input!$F$79),Input!$G$79),Input!$H$79)</f>
        <v>0</v>
      </c>
      <c r="AL142" s="190">
        <f>IF($A142&lt;Input!$H$80,IF($A142&lt;Input!$G$80,IF($A142&lt;Input!$F$80,IF($A142&lt;Input!$E$80,IF($A142&lt;Input!$D$80,Input!$C$81,Input!$D$81),Input!$E$81),Input!$F$81),Input!$G$81),Input!$H$81)</f>
        <v>0.9</v>
      </c>
      <c r="AM142" s="60">
        <f t="shared" si="87"/>
        <v>0</v>
      </c>
      <c r="AN142" s="60">
        <f t="shared" si="107"/>
        <v>31</v>
      </c>
      <c r="AO142" s="60">
        <f t="shared" si="88"/>
        <v>0</v>
      </c>
      <c r="AP142" s="60">
        <f>ROUND(AO142*AN142*Input!$C$3/365,0)</f>
        <v>0</v>
      </c>
      <c r="AQ142" s="61">
        <f>IF($A142&lt;=Input!$C$6,0,IF('120M'!AM142&lt;'120M'!AO142,'120M'!AM142-AP142,'120M'!AO142))</f>
        <v>0</v>
      </c>
      <c r="AR142" s="61">
        <f t="shared" si="89"/>
        <v>0</v>
      </c>
      <c r="AS142" s="60">
        <f t="shared" si="90"/>
        <v>0</v>
      </c>
      <c r="AT142" s="193"/>
      <c r="AU142" s="169">
        <v>138</v>
      </c>
      <c r="AV142" s="1">
        <f t="shared" si="108"/>
        <v>49720</v>
      </c>
      <c r="AW142" s="60">
        <f>IF($X142&lt;Input!$H$88,IF($X142&lt;Input!$G$88,IF($X142&lt;Input!$F$88,IF($X142&lt;Input!$E$88,IF($X142&lt;Input!$D$88,Input!$C$94,Input!$D$94),Input!$E$94),Input!$F$94),Input!$G$94),Input!$H$94)</f>
        <v>0</v>
      </c>
      <c r="AX142" s="190">
        <f>IF($A142&lt;Input!$H$95,IF($A142&lt;Input!$G$95,IF($A142&lt;Input!$F$95,IF($A142&lt;Input!$E$95,IF($A142&lt;Input!$D$95,Input!$C$96,Input!$D$96),Input!$E$96),Input!$F$96),Input!$G$96),Input!$H$96)</f>
        <v>0.9</v>
      </c>
      <c r="AY142" s="60">
        <f t="shared" si="91"/>
        <v>0</v>
      </c>
      <c r="AZ142" s="60">
        <f t="shared" si="109"/>
        <v>31</v>
      </c>
      <c r="BA142" s="60">
        <f t="shared" si="92"/>
        <v>0</v>
      </c>
      <c r="BB142" s="60">
        <f>ROUND(BA142*AZ142*Input!$C$3/365,0)</f>
        <v>0</v>
      </c>
      <c r="BC142" s="61">
        <f>IF($A142&lt;=Input!$C$6,0,IF('120M'!AY142&lt;'120M'!BA142,'120M'!AY142-BB142,'120M'!BA142))</f>
        <v>0</v>
      </c>
      <c r="BD142" s="61">
        <f t="shared" si="93"/>
        <v>0</v>
      </c>
      <c r="BE142" s="60">
        <f t="shared" si="94"/>
        <v>0</v>
      </c>
      <c r="BF142" s="193"/>
      <c r="BG142" s="169">
        <v>138</v>
      </c>
      <c r="BH142" s="1">
        <f t="shared" si="110"/>
        <v>49720</v>
      </c>
      <c r="BI142" s="60">
        <f>IF($X142&lt;Input!$H$103,IF($X142&lt;Input!$G$103,IF($X142&lt;Input!$F$103,IF($X142&lt;Input!$E$103,IF($X142&lt;Input!$D$103,Input!$C$109,Input!$D$109),Input!$E$109),Input!$F$109),Input!$G$109),Input!$H$109)</f>
        <v>0</v>
      </c>
      <c r="BJ142" s="190">
        <f>IF($A142&lt;Input!$H$110,IF($A142&lt;Input!$G$110,IF($A142&lt;Input!$F$110,IF($A142&lt;Input!$E$110,IF($A142&lt;Input!$D$110,Input!$C$111,Input!$D$111),Input!$E$111),Input!$F$111),Input!$G$111),Input!$H$111)</f>
        <v>0.9</v>
      </c>
      <c r="BK142" s="60">
        <f t="shared" si="95"/>
        <v>0</v>
      </c>
      <c r="BL142" s="60">
        <f t="shared" si="111"/>
        <v>31</v>
      </c>
      <c r="BM142" s="60">
        <f t="shared" si="96"/>
        <v>0</v>
      </c>
      <c r="BN142" s="60">
        <f>ROUND(BM142*BL142*Input!$C$3/365,0)</f>
        <v>0</v>
      </c>
      <c r="BO142" s="61">
        <f>IF($A142&lt;=Input!$C$6,0,IF('120M'!BK142&lt;'120M'!BM142,'120M'!BK142-BN142,'120M'!BM142))</f>
        <v>0</v>
      </c>
      <c r="BP142" s="61">
        <f t="shared" si="97"/>
        <v>0</v>
      </c>
      <c r="BQ142" s="60">
        <f t="shared" si="98"/>
        <v>0</v>
      </c>
      <c r="BR142" s="198"/>
    </row>
    <row r="143" spans="1:70" x14ac:dyDescent="0.25">
      <c r="A143" s="169">
        <v>139</v>
      </c>
      <c r="B143" s="1">
        <f t="shared" si="99"/>
        <v>49749</v>
      </c>
      <c r="C143" s="60">
        <f t="shared" si="77"/>
        <v>33127052.878124986</v>
      </c>
      <c r="D143" s="60">
        <f t="shared" si="78"/>
        <v>29814347.590312488</v>
      </c>
      <c r="E143" s="60">
        <f t="shared" si="100"/>
        <v>29</v>
      </c>
      <c r="F143" s="60">
        <f t="shared" si="101"/>
        <v>0</v>
      </c>
      <c r="G143" s="60">
        <f>ROUND(F143*E143*Input!$C$3/365,0)</f>
        <v>0</v>
      </c>
      <c r="H143" s="60">
        <f>IF($A143&lt;=Input!$C$6,0,IF('120M'!D143&lt;'120M'!F143,'120M'!D143-G143,'120M'!F143))</f>
        <v>0</v>
      </c>
      <c r="I143" s="60">
        <f t="shared" si="102"/>
        <v>0</v>
      </c>
      <c r="J143" s="60">
        <f t="shared" si="103"/>
        <v>0</v>
      </c>
      <c r="K143" s="202">
        <f>J143/Input!$K$5</f>
        <v>0</v>
      </c>
      <c r="L143" s="232"/>
      <c r="M143" s="60">
        <f>IF($B143&lt;Input!$H$43,IF($B143&lt;Input!$G$43,IF($B143&lt;Input!$F$43,IF($B143&lt;Input!$E$43,IF($B143&lt;Input!$D$43,Input!$C$49,Input!$D$49),Input!$E$49),Input!$F$49),Input!$G$49),Input!$H$49)</f>
        <v>33127052.878124986</v>
      </c>
      <c r="N143" s="190">
        <f>IF($A143&lt;Input!$H$50,IF($A143&lt;Input!$G$50,IF($A143&lt;Input!$F$50,IF($A143&lt;Input!$E$50,IF($A143&lt;Input!$D$50,Input!$C$51,Input!$D$51),Input!$E$51),Input!$F$51),Input!$G$51),Input!$H$51)</f>
        <v>0.9</v>
      </c>
      <c r="O143" s="60">
        <f t="shared" si="76"/>
        <v>29814347.590312488</v>
      </c>
      <c r="P143" s="60">
        <f t="shared" si="79"/>
        <v>29</v>
      </c>
      <c r="Q143" s="60">
        <f t="shared" si="80"/>
        <v>0</v>
      </c>
      <c r="R143" s="60">
        <f>ROUND(Q143*$P143*Input!$C$3/365,0)</f>
        <v>0</v>
      </c>
      <c r="S143" s="60">
        <f>IF(A143&lt;=Input!$C$6,0,IF('120M'!O143&lt;'120M'!Q143,'120M'!O143-R143,'120M'!Q143))</f>
        <v>0</v>
      </c>
      <c r="T143" s="60">
        <f t="shared" si="81"/>
        <v>0</v>
      </c>
      <c r="U143" s="60">
        <f t="shared" si="82"/>
        <v>0</v>
      </c>
      <c r="V143" s="193"/>
      <c r="W143" s="169">
        <v>139</v>
      </c>
      <c r="X143" s="1">
        <f t="shared" si="104"/>
        <v>49749</v>
      </c>
      <c r="Y143" s="60">
        <f>IF($X143&lt;Input!$H$58,IF($X143&lt;Input!$G$58,IF($X143&lt;Input!$F$58,IF($X143&lt;Input!$E$58,IF($X143&lt;Input!$D$58,Input!$C$64,Input!$D$64),Input!$E$64),Input!$F$64),Input!$G$64),Input!$H$64)</f>
        <v>0</v>
      </c>
      <c r="Z143" s="190">
        <f>IF($A143&lt;Input!$H$65,IF($A143&lt;Input!$G$65,IF($A143&lt;Input!$F$65,IF($A143&lt;Input!$E$65,IF($A143&lt;Input!$D$65,Input!$C$66,Input!$D$66),Input!$E$66),Input!$F$66),Input!$G$66),Input!$H$66)</f>
        <v>0.9</v>
      </c>
      <c r="AA143" s="60">
        <f t="shared" si="83"/>
        <v>0</v>
      </c>
      <c r="AB143" s="60">
        <f t="shared" si="105"/>
        <v>29</v>
      </c>
      <c r="AC143" s="60">
        <f t="shared" si="84"/>
        <v>0</v>
      </c>
      <c r="AD143" s="60">
        <f>ROUND(AC143*AB143*Input!$C$3/365,0)</f>
        <v>0</v>
      </c>
      <c r="AE143" s="61">
        <f>IF($A143&lt;=Input!$C$6,0,IF('120M'!AA143&lt;'120M'!AC143,'120M'!AA143-AD143,'120M'!AC143))</f>
        <v>0</v>
      </c>
      <c r="AF143" s="61">
        <f t="shared" si="85"/>
        <v>0</v>
      </c>
      <c r="AG143" s="60">
        <f t="shared" si="86"/>
        <v>0</v>
      </c>
      <c r="AH143" s="193"/>
      <c r="AI143" s="169">
        <v>139</v>
      </c>
      <c r="AJ143" s="1">
        <f t="shared" si="106"/>
        <v>49749</v>
      </c>
      <c r="AK143" s="60">
        <f>IF($X143&lt;Input!$H$73,IF($X143&lt;Input!$G$73,IF($X143&lt;Input!$F$73,IF($X143&lt;Input!$E$73,IF($X143&lt;Input!$D$73,Input!$C$79,Input!$D$79),Input!$E$79),Input!$F$79),Input!$G$79),Input!$H$79)</f>
        <v>0</v>
      </c>
      <c r="AL143" s="190">
        <f>IF($A143&lt;Input!$H$80,IF($A143&lt;Input!$G$80,IF($A143&lt;Input!$F$80,IF($A143&lt;Input!$E$80,IF($A143&lt;Input!$D$80,Input!$C$81,Input!$D$81),Input!$E$81),Input!$F$81),Input!$G$81),Input!$H$81)</f>
        <v>0.9</v>
      </c>
      <c r="AM143" s="60">
        <f t="shared" si="87"/>
        <v>0</v>
      </c>
      <c r="AN143" s="60">
        <f t="shared" si="107"/>
        <v>29</v>
      </c>
      <c r="AO143" s="60">
        <f t="shared" si="88"/>
        <v>0</v>
      </c>
      <c r="AP143" s="60">
        <f>ROUND(AO143*AN143*Input!$C$3/365,0)</f>
        <v>0</v>
      </c>
      <c r="AQ143" s="61">
        <f>IF($A143&lt;=Input!$C$6,0,IF('120M'!AM143&lt;'120M'!AO143,'120M'!AM143-AP143,'120M'!AO143))</f>
        <v>0</v>
      </c>
      <c r="AR143" s="61">
        <f t="shared" si="89"/>
        <v>0</v>
      </c>
      <c r="AS143" s="60">
        <f t="shared" si="90"/>
        <v>0</v>
      </c>
      <c r="AT143" s="193"/>
      <c r="AU143" s="169">
        <v>139</v>
      </c>
      <c r="AV143" s="1">
        <f t="shared" si="108"/>
        <v>49749</v>
      </c>
      <c r="AW143" s="60">
        <f>IF($X143&lt;Input!$H$88,IF($X143&lt;Input!$G$88,IF($X143&lt;Input!$F$88,IF($X143&lt;Input!$E$88,IF($X143&lt;Input!$D$88,Input!$C$94,Input!$D$94),Input!$E$94),Input!$F$94),Input!$G$94),Input!$H$94)</f>
        <v>0</v>
      </c>
      <c r="AX143" s="190">
        <f>IF($A143&lt;Input!$H$95,IF($A143&lt;Input!$G$95,IF($A143&lt;Input!$F$95,IF($A143&lt;Input!$E$95,IF($A143&lt;Input!$D$95,Input!$C$96,Input!$D$96),Input!$E$96),Input!$F$96),Input!$G$96),Input!$H$96)</f>
        <v>0.9</v>
      </c>
      <c r="AY143" s="60">
        <f t="shared" si="91"/>
        <v>0</v>
      </c>
      <c r="AZ143" s="60">
        <f t="shared" si="109"/>
        <v>29</v>
      </c>
      <c r="BA143" s="60">
        <f t="shared" si="92"/>
        <v>0</v>
      </c>
      <c r="BB143" s="60">
        <f>ROUND(BA143*AZ143*Input!$C$3/365,0)</f>
        <v>0</v>
      </c>
      <c r="BC143" s="61">
        <f>IF($A143&lt;=Input!$C$6,0,IF('120M'!AY143&lt;'120M'!BA143,'120M'!AY143-BB143,'120M'!BA143))</f>
        <v>0</v>
      </c>
      <c r="BD143" s="61">
        <f t="shared" si="93"/>
        <v>0</v>
      </c>
      <c r="BE143" s="60">
        <f t="shared" si="94"/>
        <v>0</v>
      </c>
      <c r="BF143" s="193"/>
      <c r="BG143" s="169">
        <v>139</v>
      </c>
      <c r="BH143" s="1">
        <f t="shared" si="110"/>
        <v>49749</v>
      </c>
      <c r="BI143" s="60">
        <f>IF($X143&lt;Input!$H$103,IF($X143&lt;Input!$G$103,IF($X143&lt;Input!$F$103,IF($X143&lt;Input!$E$103,IF($X143&lt;Input!$D$103,Input!$C$109,Input!$D$109),Input!$E$109),Input!$F$109),Input!$G$109),Input!$H$109)</f>
        <v>0</v>
      </c>
      <c r="BJ143" s="190">
        <f>IF($A143&lt;Input!$H$110,IF($A143&lt;Input!$G$110,IF($A143&lt;Input!$F$110,IF($A143&lt;Input!$E$110,IF($A143&lt;Input!$D$110,Input!$C$111,Input!$D$111),Input!$E$111),Input!$F$111),Input!$G$111),Input!$H$111)</f>
        <v>0.9</v>
      </c>
      <c r="BK143" s="60">
        <f t="shared" si="95"/>
        <v>0</v>
      </c>
      <c r="BL143" s="60">
        <f t="shared" si="111"/>
        <v>29</v>
      </c>
      <c r="BM143" s="60">
        <f t="shared" si="96"/>
        <v>0</v>
      </c>
      <c r="BN143" s="60">
        <f>ROUND(BM143*BL143*Input!$C$3/365,0)</f>
        <v>0</v>
      </c>
      <c r="BO143" s="61">
        <f>IF($A143&lt;=Input!$C$6,0,IF('120M'!BK143&lt;'120M'!BM143,'120M'!BK143-BN143,'120M'!BM143))</f>
        <v>0</v>
      </c>
      <c r="BP143" s="61">
        <f t="shared" si="97"/>
        <v>0</v>
      </c>
      <c r="BQ143" s="60">
        <f t="shared" si="98"/>
        <v>0</v>
      </c>
      <c r="BR143" s="198"/>
    </row>
    <row r="144" spans="1:70" x14ac:dyDescent="0.25">
      <c r="A144" s="169">
        <v>140</v>
      </c>
      <c r="B144" s="1">
        <f t="shared" si="99"/>
        <v>49780</v>
      </c>
      <c r="C144" s="60">
        <f t="shared" si="77"/>
        <v>33127052.878124986</v>
      </c>
      <c r="D144" s="60">
        <f t="shared" si="78"/>
        <v>29814347.590312488</v>
      </c>
      <c r="E144" s="60">
        <f t="shared" si="100"/>
        <v>31</v>
      </c>
      <c r="F144" s="60">
        <f t="shared" si="101"/>
        <v>0</v>
      </c>
      <c r="G144" s="60">
        <f>ROUND(F144*E144*Input!$C$3/365,0)</f>
        <v>0</v>
      </c>
      <c r="H144" s="60">
        <f>IF($A144&lt;=Input!$C$6,0,IF('120M'!D144&lt;'120M'!F144,'120M'!D144-G144,'120M'!F144))</f>
        <v>0</v>
      </c>
      <c r="I144" s="60">
        <f t="shared" si="102"/>
        <v>0</v>
      </c>
      <c r="J144" s="60">
        <f t="shared" si="103"/>
        <v>0</v>
      </c>
      <c r="K144" s="202">
        <f>J144/Input!$K$5</f>
        <v>0</v>
      </c>
      <c r="L144" s="232"/>
      <c r="M144" s="60">
        <f>IF($B144&lt;Input!$H$43,IF($B144&lt;Input!$G$43,IF($B144&lt;Input!$F$43,IF($B144&lt;Input!$E$43,IF($B144&lt;Input!$D$43,Input!$C$49,Input!$D$49),Input!$E$49),Input!$F$49),Input!$G$49),Input!$H$49)</f>
        <v>33127052.878124986</v>
      </c>
      <c r="N144" s="190">
        <f>IF($A144&lt;Input!$H$50,IF($A144&lt;Input!$G$50,IF($A144&lt;Input!$F$50,IF($A144&lt;Input!$E$50,IF($A144&lt;Input!$D$50,Input!$C$51,Input!$D$51),Input!$E$51),Input!$F$51),Input!$G$51),Input!$H$51)</f>
        <v>0.9</v>
      </c>
      <c r="O144" s="60">
        <f t="shared" si="76"/>
        <v>29814347.590312488</v>
      </c>
      <c r="P144" s="60">
        <f t="shared" si="79"/>
        <v>31</v>
      </c>
      <c r="Q144" s="60">
        <f t="shared" si="80"/>
        <v>0</v>
      </c>
      <c r="R144" s="60">
        <f>ROUND(Q144*$P144*Input!$C$3/365,0)</f>
        <v>0</v>
      </c>
      <c r="S144" s="60">
        <f>IF(A144&lt;=Input!$C$6,0,IF('120M'!O144&lt;'120M'!Q144,'120M'!O144-R144,'120M'!Q144))</f>
        <v>0</v>
      </c>
      <c r="T144" s="60">
        <f t="shared" si="81"/>
        <v>0</v>
      </c>
      <c r="U144" s="60">
        <f t="shared" si="82"/>
        <v>0</v>
      </c>
      <c r="V144" s="193"/>
      <c r="W144" s="169">
        <v>140</v>
      </c>
      <c r="X144" s="1">
        <f t="shared" si="104"/>
        <v>49780</v>
      </c>
      <c r="Y144" s="60">
        <f>IF($X144&lt;Input!$H$58,IF($X144&lt;Input!$G$58,IF($X144&lt;Input!$F$58,IF($X144&lt;Input!$E$58,IF($X144&lt;Input!$D$58,Input!$C$64,Input!$D$64),Input!$E$64),Input!$F$64),Input!$G$64),Input!$H$64)</f>
        <v>0</v>
      </c>
      <c r="Z144" s="190">
        <f>IF($A144&lt;Input!$H$65,IF($A144&lt;Input!$G$65,IF($A144&lt;Input!$F$65,IF($A144&lt;Input!$E$65,IF($A144&lt;Input!$D$65,Input!$C$66,Input!$D$66),Input!$E$66),Input!$F$66),Input!$G$66),Input!$H$66)</f>
        <v>0.9</v>
      </c>
      <c r="AA144" s="60">
        <f t="shared" si="83"/>
        <v>0</v>
      </c>
      <c r="AB144" s="60">
        <f t="shared" si="105"/>
        <v>31</v>
      </c>
      <c r="AC144" s="60">
        <f t="shared" si="84"/>
        <v>0</v>
      </c>
      <c r="AD144" s="60">
        <f>ROUND(AC144*AB144*Input!$C$3/365,0)</f>
        <v>0</v>
      </c>
      <c r="AE144" s="61">
        <f>IF($A144&lt;=Input!$C$6,0,IF('120M'!AA144&lt;'120M'!AC144,'120M'!AA144-AD144,'120M'!AC144))</f>
        <v>0</v>
      </c>
      <c r="AF144" s="61">
        <f t="shared" si="85"/>
        <v>0</v>
      </c>
      <c r="AG144" s="60">
        <f t="shared" si="86"/>
        <v>0</v>
      </c>
      <c r="AH144" s="193"/>
      <c r="AI144" s="169">
        <v>140</v>
      </c>
      <c r="AJ144" s="1">
        <f t="shared" si="106"/>
        <v>49780</v>
      </c>
      <c r="AK144" s="60">
        <f>IF($X144&lt;Input!$H$73,IF($X144&lt;Input!$G$73,IF($X144&lt;Input!$F$73,IF($X144&lt;Input!$E$73,IF($X144&lt;Input!$D$73,Input!$C$79,Input!$D$79),Input!$E$79),Input!$F$79),Input!$G$79),Input!$H$79)</f>
        <v>0</v>
      </c>
      <c r="AL144" s="190">
        <f>IF($A144&lt;Input!$H$80,IF($A144&lt;Input!$G$80,IF($A144&lt;Input!$F$80,IF($A144&lt;Input!$E$80,IF($A144&lt;Input!$D$80,Input!$C$81,Input!$D$81),Input!$E$81),Input!$F$81),Input!$G$81),Input!$H$81)</f>
        <v>0.9</v>
      </c>
      <c r="AM144" s="60">
        <f t="shared" si="87"/>
        <v>0</v>
      </c>
      <c r="AN144" s="60">
        <f t="shared" si="107"/>
        <v>31</v>
      </c>
      <c r="AO144" s="60">
        <f t="shared" si="88"/>
        <v>0</v>
      </c>
      <c r="AP144" s="60">
        <f>ROUND(AO144*AN144*Input!$C$3/365,0)</f>
        <v>0</v>
      </c>
      <c r="AQ144" s="61">
        <f>IF($A144&lt;=Input!$C$6,0,IF('120M'!AM144&lt;'120M'!AO144,'120M'!AM144-AP144,'120M'!AO144))</f>
        <v>0</v>
      </c>
      <c r="AR144" s="61">
        <f t="shared" si="89"/>
        <v>0</v>
      </c>
      <c r="AS144" s="60">
        <f t="shared" si="90"/>
        <v>0</v>
      </c>
      <c r="AT144" s="193"/>
      <c r="AU144" s="169">
        <v>140</v>
      </c>
      <c r="AV144" s="1">
        <f t="shared" si="108"/>
        <v>49780</v>
      </c>
      <c r="AW144" s="60">
        <f>IF($X144&lt;Input!$H$88,IF($X144&lt;Input!$G$88,IF($X144&lt;Input!$F$88,IF($X144&lt;Input!$E$88,IF($X144&lt;Input!$D$88,Input!$C$94,Input!$D$94),Input!$E$94),Input!$F$94),Input!$G$94),Input!$H$94)</f>
        <v>0</v>
      </c>
      <c r="AX144" s="190">
        <f>IF($A144&lt;Input!$H$95,IF($A144&lt;Input!$G$95,IF($A144&lt;Input!$F$95,IF($A144&lt;Input!$E$95,IF($A144&lt;Input!$D$95,Input!$C$96,Input!$D$96),Input!$E$96),Input!$F$96),Input!$G$96),Input!$H$96)</f>
        <v>0.9</v>
      </c>
      <c r="AY144" s="60">
        <f t="shared" si="91"/>
        <v>0</v>
      </c>
      <c r="AZ144" s="60">
        <f t="shared" si="109"/>
        <v>31</v>
      </c>
      <c r="BA144" s="60">
        <f t="shared" si="92"/>
        <v>0</v>
      </c>
      <c r="BB144" s="60">
        <f>ROUND(BA144*AZ144*Input!$C$3/365,0)</f>
        <v>0</v>
      </c>
      <c r="BC144" s="61">
        <f>IF($A144&lt;=Input!$C$6,0,IF('120M'!AY144&lt;'120M'!BA144,'120M'!AY144-BB144,'120M'!BA144))</f>
        <v>0</v>
      </c>
      <c r="BD144" s="61">
        <f t="shared" si="93"/>
        <v>0</v>
      </c>
      <c r="BE144" s="60">
        <f t="shared" si="94"/>
        <v>0</v>
      </c>
      <c r="BF144" s="193"/>
      <c r="BG144" s="169">
        <v>140</v>
      </c>
      <c r="BH144" s="1">
        <f t="shared" si="110"/>
        <v>49780</v>
      </c>
      <c r="BI144" s="60">
        <f>IF($X144&lt;Input!$H$103,IF($X144&lt;Input!$G$103,IF($X144&lt;Input!$F$103,IF($X144&lt;Input!$E$103,IF($X144&lt;Input!$D$103,Input!$C$109,Input!$D$109),Input!$E$109),Input!$F$109),Input!$G$109),Input!$H$109)</f>
        <v>0</v>
      </c>
      <c r="BJ144" s="190">
        <f>IF($A144&lt;Input!$H$110,IF($A144&lt;Input!$G$110,IF($A144&lt;Input!$F$110,IF($A144&lt;Input!$E$110,IF($A144&lt;Input!$D$110,Input!$C$111,Input!$D$111),Input!$E$111),Input!$F$111),Input!$G$111),Input!$H$111)</f>
        <v>0.9</v>
      </c>
      <c r="BK144" s="60">
        <f t="shared" si="95"/>
        <v>0</v>
      </c>
      <c r="BL144" s="60">
        <f t="shared" si="111"/>
        <v>31</v>
      </c>
      <c r="BM144" s="60">
        <f t="shared" si="96"/>
        <v>0</v>
      </c>
      <c r="BN144" s="60">
        <f>ROUND(BM144*BL144*Input!$C$3/365,0)</f>
        <v>0</v>
      </c>
      <c r="BO144" s="61">
        <f>IF($A144&lt;=Input!$C$6,0,IF('120M'!BK144&lt;'120M'!BM144,'120M'!BK144-BN144,'120M'!BM144))</f>
        <v>0</v>
      </c>
      <c r="BP144" s="61">
        <f t="shared" si="97"/>
        <v>0</v>
      </c>
      <c r="BQ144" s="60">
        <f t="shared" si="98"/>
        <v>0</v>
      </c>
      <c r="BR144" s="198"/>
    </row>
    <row r="145" spans="1:70" x14ac:dyDescent="0.25">
      <c r="A145" s="169">
        <v>141</v>
      </c>
      <c r="B145" s="1">
        <f t="shared" si="99"/>
        <v>49810</v>
      </c>
      <c r="C145" s="60">
        <f t="shared" si="77"/>
        <v>33127052.878124986</v>
      </c>
      <c r="D145" s="60">
        <f t="shared" si="78"/>
        <v>29814347.590312488</v>
      </c>
      <c r="E145" s="60">
        <f t="shared" si="100"/>
        <v>30</v>
      </c>
      <c r="F145" s="60">
        <f t="shared" si="101"/>
        <v>0</v>
      </c>
      <c r="G145" s="60">
        <f>ROUND(F145*E145*Input!$C$3/365,0)</f>
        <v>0</v>
      </c>
      <c r="H145" s="60">
        <f>IF($A145&lt;=Input!$C$6,0,IF('120M'!D145&lt;'120M'!F145,'120M'!D145-G145,'120M'!F145))</f>
        <v>0</v>
      </c>
      <c r="I145" s="60">
        <f t="shared" si="102"/>
        <v>0</v>
      </c>
      <c r="J145" s="60">
        <f t="shared" si="103"/>
        <v>0</v>
      </c>
      <c r="K145" s="202">
        <f>J145/Input!$K$5</f>
        <v>0</v>
      </c>
      <c r="L145" s="232"/>
      <c r="M145" s="60">
        <f>IF($B145&lt;Input!$H$43,IF($B145&lt;Input!$G$43,IF($B145&lt;Input!$F$43,IF($B145&lt;Input!$E$43,IF($B145&lt;Input!$D$43,Input!$C$49,Input!$D$49),Input!$E$49),Input!$F$49),Input!$G$49),Input!$H$49)</f>
        <v>33127052.878124986</v>
      </c>
      <c r="N145" s="190">
        <f>IF($A145&lt;Input!$H$50,IF($A145&lt;Input!$G$50,IF($A145&lt;Input!$F$50,IF($A145&lt;Input!$E$50,IF($A145&lt;Input!$D$50,Input!$C$51,Input!$D$51),Input!$E$51),Input!$F$51),Input!$G$51),Input!$H$51)</f>
        <v>0.9</v>
      </c>
      <c r="O145" s="60">
        <f t="shared" si="76"/>
        <v>29814347.590312488</v>
      </c>
      <c r="P145" s="60">
        <f t="shared" si="79"/>
        <v>30</v>
      </c>
      <c r="Q145" s="60">
        <f t="shared" si="80"/>
        <v>0</v>
      </c>
      <c r="R145" s="60">
        <f>ROUND(Q145*$P145*Input!$C$3/365,0)</f>
        <v>0</v>
      </c>
      <c r="S145" s="60">
        <f>IF(A145&lt;=Input!$C$6,0,IF('120M'!O145&lt;'120M'!Q145,'120M'!O145-R145,'120M'!Q145))</f>
        <v>0</v>
      </c>
      <c r="T145" s="60">
        <f t="shared" si="81"/>
        <v>0</v>
      </c>
      <c r="U145" s="60">
        <f t="shared" si="82"/>
        <v>0</v>
      </c>
      <c r="V145" s="193"/>
      <c r="W145" s="169">
        <v>141</v>
      </c>
      <c r="X145" s="1">
        <f t="shared" si="104"/>
        <v>49810</v>
      </c>
      <c r="Y145" s="60">
        <f>IF($X145&lt;Input!$H$58,IF($X145&lt;Input!$G$58,IF($X145&lt;Input!$F$58,IF($X145&lt;Input!$E$58,IF($X145&lt;Input!$D$58,Input!$C$64,Input!$D$64),Input!$E$64),Input!$F$64),Input!$G$64),Input!$H$64)</f>
        <v>0</v>
      </c>
      <c r="Z145" s="190">
        <f>IF($A145&lt;Input!$H$65,IF($A145&lt;Input!$G$65,IF($A145&lt;Input!$F$65,IF($A145&lt;Input!$E$65,IF($A145&lt;Input!$D$65,Input!$C$66,Input!$D$66),Input!$E$66),Input!$F$66),Input!$G$66),Input!$H$66)</f>
        <v>0.9</v>
      </c>
      <c r="AA145" s="60">
        <f t="shared" si="83"/>
        <v>0</v>
      </c>
      <c r="AB145" s="60">
        <f t="shared" si="105"/>
        <v>30</v>
      </c>
      <c r="AC145" s="60">
        <f t="shared" si="84"/>
        <v>0</v>
      </c>
      <c r="AD145" s="60">
        <f>ROUND(AC145*AB145*Input!$C$3/365,0)</f>
        <v>0</v>
      </c>
      <c r="AE145" s="61">
        <f>IF($A145&lt;=Input!$C$6,0,IF('120M'!AA145&lt;'120M'!AC145,'120M'!AA145-AD145,'120M'!AC145))</f>
        <v>0</v>
      </c>
      <c r="AF145" s="61">
        <f t="shared" si="85"/>
        <v>0</v>
      </c>
      <c r="AG145" s="60">
        <f t="shared" si="86"/>
        <v>0</v>
      </c>
      <c r="AH145" s="193"/>
      <c r="AI145" s="169">
        <v>141</v>
      </c>
      <c r="AJ145" s="1">
        <f t="shared" si="106"/>
        <v>49810</v>
      </c>
      <c r="AK145" s="60">
        <f>IF($X145&lt;Input!$H$73,IF($X145&lt;Input!$G$73,IF($X145&lt;Input!$F$73,IF($X145&lt;Input!$E$73,IF($X145&lt;Input!$D$73,Input!$C$79,Input!$D$79),Input!$E$79),Input!$F$79),Input!$G$79),Input!$H$79)</f>
        <v>0</v>
      </c>
      <c r="AL145" s="190">
        <f>IF($A145&lt;Input!$H$80,IF($A145&lt;Input!$G$80,IF($A145&lt;Input!$F$80,IF($A145&lt;Input!$E$80,IF($A145&lt;Input!$D$80,Input!$C$81,Input!$D$81),Input!$E$81),Input!$F$81),Input!$G$81),Input!$H$81)</f>
        <v>0.9</v>
      </c>
      <c r="AM145" s="60">
        <f t="shared" si="87"/>
        <v>0</v>
      </c>
      <c r="AN145" s="60">
        <f t="shared" si="107"/>
        <v>30</v>
      </c>
      <c r="AO145" s="60">
        <f t="shared" si="88"/>
        <v>0</v>
      </c>
      <c r="AP145" s="60">
        <f>ROUND(AO145*AN145*Input!$C$3/365,0)</f>
        <v>0</v>
      </c>
      <c r="AQ145" s="61">
        <f>IF($A145&lt;=Input!$C$6,0,IF('120M'!AM145&lt;'120M'!AO145,'120M'!AM145-AP145,'120M'!AO145))</f>
        <v>0</v>
      </c>
      <c r="AR145" s="61">
        <f t="shared" si="89"/>
        <v>0</v>
      </c>
      <c r="AS145" s="60">
        <f t="shared" si="90"/>
        <v>0</v>
      </c>
      <c r="AT145" s="193"/>
      <c r="AU145" s="169">
        <v>141</v>
      </c>
      <c r="AV145" s="1">
        <f t="shared" si="108"/>
        <v>49810</v>
      </c>
      <c r="AW145" s="60">
        <f>IF($X145&lt;Input!$H$88,IF($X145&lt;Input!$G$88,IF($X145&lt;Input!$F$88,IF($X145&lt;Input!$E$88,IF($X145&lt;Input!$D$88,Input!$C$94,Input!$D$94),Input!$E$94),Input!$F$94),Input!$G$94),Input!$H$94)</f>
        <v>0</v>
      </c>
      <c r="AX145" s="190">
        <f>IF($A145&lt;Input!$H$95,IF($A145&lt;Input!$G$95,IF($A145&lt;Input!$F$95,IF($A145&lt;Input!$E$95,IF($A145&lt;Input!$D$95,Input!$C$96,Input!$D$96),Input!$E$96),Input!$F$96),Input!$G$96),Input!$H$96)</f>
        <v>0.9</v>
      </c>
      <c r="AY145" s="60">
        <f t="shared" si="91"/>
        <v>0</v>
      </c>
      <c r="AZ145" s="60">
        <f t="shared" si="109"/>
        <v>30</v>
      </c>
      <c r="BA145" s="60">
        <f t="shared" si="92"/>
        <v>0</v>
      </c>
      <c r="BB145" s="60">
        <f>ROUND(BA145*AZ145*Input!$C$3/365,0)</f>
        <v>0</v>
      </c>
      <c r="BC145" s="61">
        <f>IF($A145&lt;=Input!$C$6,0,IF('120M'!AY145&lt;'120M'!BA145,'120M'!AY145-BB145,'120M'!BA145))</f>
        <v>0</v>
      </c>
      <c r="BD145" s="61">
        <f t="shared" si="93"/>
        <v>0</v>
      </c>
      <c r="BE145" s="60">
        <f t="shared" si="94"/>
        <v>0</v>
      </c>
      <c r="BF145" s="193"/>
      <c r="BG145" s="169">
        <v>141</v>
      </c>
      <c r="BH145" s="1">
        <f t="shared" si="110"/>
        <v>49810</v>
      </c>
      <c r="BI145" s="60">
        <f>IF($X145&lt;Input!$H$103,IF($X145&lt;Input!$G$103,IF($X145&lt;Input!$F$103,IF($X145&lt;Input!$E$103,IF($X145&lt;Input!$D$103,Input!$C$109,Input!$D$109),Input!$E$109),Input!$F$109),Input!$G$109),Input!$H$109)</f>
        <v>0</v>
      </c>
      <c r="BJ145" s="190">
        <f>IF($A145&lt;Input!$H$110,IF($A145&lt;Input!$G$110,IF($A145&lt;Input!$F$110,IF($A145&lt;Input!$E$110,IF($A145&lt;Input!$D$110,Input!$C$111,Input!$D$111),Input!$E$111),Input!$F$111),Input!$G$111),Input!$H$111)</f>
        <v>0.9</v>
      </c>
      <c r="BK145" s="60">
        <f t="shared" si="95"/>
        <v>0</v>
      </c>
      <c r="BL145" s="60">
        <f t="shared" si="111"/>
        <v>30</v>
      </c>
      <c r="BM145" s="60">
        <f t="shared" si="96"/>
        <v>0</v>
      </c>
      <c r="BN145" s="60">
        <f>ROUND(BM145*BL145*Input!$C$3/365,0)</f>
        <v>0</v>
      </c>
      <c r="BO145" s="61">
        <f>IF($A145&lt;=Input!$C$6,0,IF('120M'!BK145&lt;'120M'!BM145,'120M'!BK145-BN145,'120M'!BM145))</f>
        <v>0</v>
      </c>
      <c r="BP145" s="61">
        <f t="shared" si="97"/>
        <v>0</v>
      </c>
      <c r="BQ145" s="60">
        <f t="shared" si="98"/>
        <v>0</v>
      </c>
      <c r="BR145" s="198"/>
    </row>
    <row r="146" spans="1:70" x14ac:dyDescent="0.25">
      <c r="A146" s="169">
        <v>142</v>
      </c>
      <c r="B146" s="1">
        <f t="shared" si="99"/>
        <v>49841</v>
      </c>
      <c r="C146" s="60">
        <f t="shared" si="77"/>
        <v>33127052.878124986</v>
      </c>
      <c r="D146" s="60">
        <f t="shared" si="78"/>
        <v>29814347.590312488</v>
      </c>
      <c r="E146" s="60">
        <f t="shared" si="100"/>
        <v>31</v>
      </c>
      <c r="F146" s="60">
        <f t="shared" si="101"/>
        <v>0</v>
      </c>
      <c r="G146" s="60">
        <f>ROUND(F146*E146*Input!$C$3/365,0)</f>
        <v>0</v>
      </c>
      <c r="H146" s="60">
        <f>IF($A146&lt;=Input!$C$6,0,IF('120M'!D146&lt;'120M'!F146,'120M'!D146-G146,'120M'!F146))</f>
        <v>0</v>
      </c>
      <c r="I146" s="60">
        <f t="shared" si="102"/>
        <v>0</v>
      </c>
      <c r="J146" s="60">
        <f t="shared" si="103"/>
        <v>0</v>
      </c>
      <c r="K146" s="202">
        <f>J146/Input!$K$5</f>
        <v>0</v>
      </c>
      <c r="L146" s="232"/>
      <c r="M146" s="60">
        <f>IF($B146&lt;Input!$H$43,IF($B146&lt;Input!$G$43,IF($B146&lt;Input!$F$43,IF($B146&lt;Input!$E$43,IF($B146&lt;Input!$D$43,Input!$C$49,Input!$D$49),Input!$E$49),Input!$F$49),Input!$G$49),Input!$H$49)</f>
        <v>33127052.878124986</v>
      </c>
      <c r="N146" s="190">
        <f>IF($A146&lt;Input!$H$50,IF($A146&lt;Input!$G$50,IF($A146&lt;Input!$F$50,IF($A146&lt;Input!$E$50,IF($A146&lt;Input!$D$50,Input!$C$51,Input!$D$51),Input!$E$51),Input!$F$51),Input!$G$51),Input!$H$51)</f>
        <v>0.9</v>
      </c>
      <c r="O146" s="60">
        <f t="shared" si="76"/>
        <v>29814347.590312488</v>
      </c>
      <c r="P146" s="60">
        <f t="shared" si="79"/>
        <v>31</v>
      </c>
      <c r="Q146" s="60">
        <f t="shared" si="80"/>
        <v>0</v>
      </c>
      <c r="R146" s="60">
        <f>ROUND(Q146*$P146*Input!$C$3/365,0)</f>
        <v>0</v>
      </c>
      <c r="S146" s="60">
        <f>IF(A146&lt;=Input!$C$6,0,IF('120M'!O146&lt;'120M'!Q146,'120M'!O146-R146,'120M'!Q146))</f>
        <v>0</v>
      </c>
      <c r="T146" s="60">
        <f t="shared" si="81"/>
        <v>0</v>
      </c>
      <c r="U146" s="60">
        <f t="shared" si="82"/>
        <v>0</v>
      </c>
      <c r="V146" s="193"/>
      <c r="W146" s="169">
        <v>142</v>
      </c>
      <c r="X146" s="1">
        <f t="shared" si="104"/>
        <v>49841</v>
      </c>
      <c r="Y146" s="60">
        <f>IF($X146&lt;Input!$H$58,IF($X146&lt;Input!$G$58,IF($X146&lt;Input!$F$58,IF($X146&lt;Input!$E$58,IF($X146&lt;Input!$D$58,Input!$C$64,Input!$D$64),Input!$E$64),Input!$F$64),Input!$G$64),Input!$H$64)</f>
        <v>0</v>
      </c>
      <c r="Z146" s="190">
        <f>IF($A146&lt;Input!$H$65,IF($A146&lt;Input!$G$65,IF($A146&lt;Input!$F$65,IF($A146&lt;Input!$E$65,IF($A146&lt;Input!$D$65,Input!$C$66,Input!$D$66),Input!$E$66),Input!$F$66),Input!$G$66),Input!$H$66)</f>
        <v>0.9</v>
      </c>
      <c r="AA146" s="60">
        <f t="shared" si="83"/>
        <v>0</v>
      </c>
      <c r="AB146" s="60">
        <f t="shared" si="105"/>
        <v>31</v>
      </c>
      <c r="AC146" s="60">
        <f t="shared" si="84"/>
        <v>0</v>
      </c>
      <c r="AD146" s="60">
        <f>ROUND(AC146*AB146*Input!$C$3/365,0)</f>
        <v>0</v>
      </c>
      <c r="AE146" s="61">
        <f>IF($A146&lt;=Input!$C$6,0,IF('120M'!AA146&lt;'120M'!AC146,'120M'!AA146-AD146,'120M'!AC146))</f>
        <v>0</v>
      </c>
      <c r="AF146" s="61">
        <f t="shared" si="85"/>
        <v>0</v>
      </c>
      <c r="AG146" s="60">
        <f t="shared" si="86"/>
        <v>0</v>
      </c>
      <c r="AH146" s="193"/>
      <c r="AI146" s="169">
        <v>142</v>
      </c>
      <c r="AJ146" s="1">
        <f t="shared" si="106"/>
        <v>49841</v>
      </c>
      <c r="AK146" s="60">
        <f>IF($X146&lt;Input!$H$73,IF($X146&lt;Input!$G$73,IF($X146&lt;Input!$F$73,IF($X146&lt;Input!$E$73,IF($X146&lt;Input!$D$73,Input!$C$79,Input!$D$79),Input!$E$79),Input!$F$79),Input!$G$79),Input!$H$79)</f>
        <v>0</v>
      </c>
      <c r="AL146" s="190">
        <f>IF($A146&lt;Input!$H$80,IF($A146&lt;Input!$G$80,IF($A146&lt;Input!$F$80,IF($A146&lt;Input!$E$80,IF($A146&lt;Input!$D$80,Input!$C$81,Input!$D$81),Input!$E$81),Input!$F$81),Input!$G$81),Input!$H$81)</f>
        <v>0.9</v>
      </c>
      <c r="AM146" s="60">
        <f t="shared" si="87"/>
        <v>0</v>
      </c>
      <c r="AN146" s="60">
        <f t="shared" si="107"/>
        <v>31</v>
      </c>
      <c r="AO146" s="60">
        <f t="shared" si="88"/>
        <v>0</v>
      </c>
      <c r="AP146" s="60">
        <f>ROUND(AO146*AN146*Input!$C$3/365,0)</f>
        <v>0</v>
      </c>
      <c r="AQ146" s="61">
        <f>IF($A146&lt;=Input!$C$6,0,IF('120M'!AM146&lt;'120M'!AO146,'120M'!AM146-AP146,'120M'!AO146))</f>
        <v>0</v>
      </c>
      <c r="AR146" s="61">
        <f t="shared" si="89"/>
        <v>0</v>
      </c>
      <c r="AS146" s="60">
        <f t="shared" si="90"/>
        <v>0</v>
      </c>
      <c r="AT146" s="193"/>
      <c r="AU146" s="169">
        <v>142</v>
      </c>
      <c r="AV146" s="1">
        <f t="shared" si="108"/>
        <v>49841</v>
      </c>
      <c r="AW146" s="60">
        <f>IF($X146&lt;Input!$H$88,IF($X146&lt;Input!$G$88,IF($X146&lt;Input!$F$88,IF($X146&lt;Input!$E$88,IF($X146&lt;Input!$D$88,Input!$C$94,Input!$D$94),Input!$E$94),Input!$F$94),Input!$G$94),Input!$H$94)</f>
        <v>0</v>
      </c>
      <c r="AX146" s="190">
        <f>IF($A146&lt;Input!$H$95,IF($A146&lt;Input!$G$95,IF($A146&lt;Input!$F$95,IF($A146&lt;Input!$E$95,IF($A146&lt;Input!$D$95,Input!$C$96,Input!$D$96),Input!$E$96),Input!$F$96),Input!$G$96),Input!$H$96)</f>
        <v>0.9</v>
      </c>
      <c r="AY146" s="60">
        <f t="shared" si="91"/>
        <v>0</v>
      </c>
      <c r="AZ146" s="60">
        <f t="shared" si="109"/>
        <v>31</v>
      </c>
      <c r="BA146" s="60">
        <f t="shared" si="92"/>
        <v>0</v>
      </c>
      <c r="BB146" s="60">
        <f>ROUND(BA146*AZ146*Input!$C$3/365,0)</f>
        <v>0</v>
      </c>
      <c r="BC146" s="61">
        <f>IF($A146&lt;=Input!$C$6,0,IF('120M'!AY146&lt;'120M'!BA146,'120M'!AY146-BB146,'120M'!BA146))</f>
        <v>0</v>
      </c>
      <c r="BD146" s="61">
        <f t="shared" si="93"/>
        <v>0</v>
      </c>
      <c r="BE146" s="60">
        <f t="shared" si="94"/>
        <v>0</v>
      </c>
      <c r="BF146" s="193"/>
      <c r="BG146" s="169">
        <v>142</v>
      </c>
      <c r="BH146" s="1">
        <f t="shared" si="110"/>
        <v>49841</v>
      </c>
      <c r="BI146" s="60">
        <f>IF($X146&lt;Input!$H$103,IF($X146&lt;Input!$G$103,IF($X146&lt;Input!$F$103,IF($X146&lt;Input!$E$103,IF($X146&lt;Input!$D$103,Input!$C$109,Input!$D$109),Input!$E$109),Input!$F$109),Input!$G$109),Input!$H$109)</f>
        <v>0</v>
      </c>
      <c r="BJ146" s="190">
        <f>IF($A146&lt;Input!$H$110,IF($A146&lt;Input!$G$110,IF($A146&lt;Input!$F$110,IF($A146&lt;Input!$E$110,IF($A146&lt;Input!$D$110,Input!$C$111,Input!$D$111),Input!$E$111),Input!$F$111),Input!$G$111),Input!$H$111)</f>
        <v>0.9</v>
      </c>
      <c r="BK146" s="60">
        <f t="shared" si="95"/>
        <v>0</v>
      </c>
      <c r="BL146" s="60">
        <f t="shared" si="111"/>
        <v>31</v>
      </c>
      <c r="BM146" s="60">
        <f t="shared" si="96"/>
        <v>0</v>
      </c>
      <c r="BN146" s="60">
        <f>ROUND(BM146*BL146*Input!$C$3/365,0)</f>
        <v>0</v>
      </c>
      <c r="BO146" s="61">
        <f>IF($A146&lt;=Input!$C$6,0,IF('120M'!BK146&lt;'120M'!BM146,'120M'!BK146-BN146,'120M'!BM146))</f>
        <v>0</v>
      </c>
      <c r="BP146" s="61">
        <f t="shared" si="97"/>
        <v>0</v>
      </c>
      <c r="BQ146" s="60">
        <f t="shared" si="98"/>
        <v>0</v>
      </c>
      <c r="BR146" s="198"/>
    </row>
    <row r="147" spans="1:70" x14ac:dyDescent="0.25">
      <c r="A147" s="169">
        <v>143</v>
      </c>
      <c r="B147" s="1">
        <f t="shared" si="99"/>
        <v>49871</v>
      </c>
      <c r="C147" s="60">
        <f t="shared" si="77"/>
        <v>33127052.878124986</v>
      </c>
      <c r="D147" s="60">
        <f t="shared" si="78"/>
        <v>29814347.590312488</v>
      </c>
      <c r="E147" s="60">
        <f t="shared" si="100"/>
        <v>30</v>
      </c>
      <c r="F147" s="60">
        <f t="shared" si="101"/>
        <v>0</v>
      </c>
      <c r="G147" s="60">
        <f>ROUND(F147*E147*Input!$C$3/365,0)</f>
        <v>0</v>
      </c>
      <c r="H147" s="60">
        <f>IF($A147&lt;=Input!$C$6,0,IF('120M'!D147&lt;'120M'!F147,'120M'!D147-G147,'120M'!F147))</f>
        <v>0</v>
      </c>
      <c r="I147" s="60">
        <f t="shared" si="102"/>
        <v>0</v>
      </c>
      <c r="J147" s="60">
        <f t="shared" si="103"/>
        <v>0</v>
      </c>
      <c r="K147" s="202">
        <f>J147/Input!$K$5</f>
        <v>0</v>
      </c>
      <c r="L147" s="232"/>
      <c r="M147" s="60">
        <f>IF($B147&lt;Input!$H$43,IF($B147&lt;Input!$G$43,IF($B147&lt;Input!$F$43,IF($B147&lt;Input!$E$43,IF($B147&lt;Input!$D$43,Input!$C$49,Input!$D$49),Input!$E$49),Input!$F$49),Input!$G$49),Input!$H$49)</f>
        <v>33127052.878124986</v>
      </c>
      <c r="N147" s="190">
        <f>IF($A147&lt;Input!$H$50,IF($A147&lt;Input!$G$50,IF($A147&lt;Input!$F$50,IF($A147&lt;Input!$E$50,IF($A147&lt;Input!$D$50,Input!$C$51,Input!$D$51),Input!$E$51),Input!$F$51),Input!$G$51),Input!$H$51)</f>
        <v>0.9</v>
      </c>
      <c r="O147" s="60">
        <f t="shared" si="76"/>
        <v>29814347.590312488</v>
      </c>
      <c r="P147" s="60">
        <f t="shared" si="79"/>
        <v>30</v>
      </c>
      <c r="Q147" s="60">
        <f t="shared" si="80"/>
        <v>0</v>
      </c>
      <c r="R147" s="60">
        <f>ROUND(Q147*$P147*Input!$C$3/365,0)</f>
        <v>0</v>
      </c>
      <c r="S147" s="60">
        <f>IF(A147&lt;=Input!$C$6,0,IF('120M'!O147&lt;'120M'!Q147,'120M'!O147-R147,'120M'!Q147))</f>
        <v>0</v>
      </c>
      <c r="T147" s="60">
        <f t="shared" si="81"/>
        <v>0</v>
      </c>
      <c r="U147" s="60">
        <f t="shared" si="82"/>
        <v>0</v>
      </c>
      <c r="V147" s="193"/>
      <c r="W147" s="169">
        <v>143</v>
      </c>
      <c r="X147" s="1">
        <f t="shared" si="104"/>
        <v>49871</v>
      </c>
      <c r="Y147" s="60">
        <f>IF($X147&lt;Input!$H$58,IF($X147&lt;Input!$G$58,IF($X147&lt;Input!$F$58,IF($X147&lt;Input!$E$58,IF($X147&lt;Input!$D$58,Input!$C$64,Input!$D$64),Input!$E$64),Input!$F$64),Input!$G$64),Input!$H$64)</f>
        <v>0</v>
      </c>
      <c r="Z147" s="190">
        <f>IF($A147&lt;Input!$H$65,IF($A147&lt;Input!$G$65,IF($A147&lt;Input!$F$65,IF($A147&lt;Input!$E$65,IF($A147&lt;Input!$D$65,Input!$C$66,Input!$D$66),Input!$E$66),Input!$F$66),Input!$G$66),Input!$H$66)</f>
        <v>0.9</v>
      </c>
      <c r="AA147" s="60">
        <f t="shared" si="83"/>
        <v>0</v>
      </c>
      <c r="AB147" s="60">
        <f t="shared" si="105"/>
        <v>30</v>
      </c>
      <c r="AC147" s="60">
        <f t="shared" si="84"/>
        <v>0</v>
      </c>
      <c r="AD147" s="60">
        <f>ROUND(AC147*AB147*Input!$C$3/365,0)</f>
        <v>0</v>
      </c>
      <c r="AE147" s="61">
        <f>IF($A147&lt;=Input!$C$6,0,IF('120M'!AA147&lt;'120M'!AC147,'120M'!AA147-AD147,'120M'!AC147))</f>
        <v>0</v>
      </c>
      <c r="AF147" s="61">
        <f t="shared" si="85"/>
        <v>0</v>
      </c>
      <c r="AG147" s="60">
        <f t="shared" si="86"/>
        <v>0</v>
      </c>
      <c r="AH147" s="193"/>
      <c r="AI147" s="169">
        <v>143</v>
      </c>
      <c r="AJ147" s="1">
        <f t="shared" si="106"/>
        <v>49871</v>
      </c>
      <c r="AK147" s="60">
        <f>IF($X147&lt;Input!$H$73,IF($X147&lt;Input!$G$73,IF($X147&lt;Input!$F$73,IF($X147&lt;Input!$E$73,IF($X147&lt;Input!$D$73,Input!$C$79,Input!$D$79),Input!$E$79),Input!$F$79),Input!$G$79),Input!$H$79)</f>
        <v>0</v>
      </c>
      <c r="AL147" s="190">
        <f>IF($A147&lt;Input!$H$80,IF($A147&lt;Input!$G$80,IF($A147&lt;Input!$F$80,IF($A147&lt;Input!$E$80,IF($A147&lt;Input!$D$80,Input!$C$81,Input!$D$81),Input!$E$81),Input!$F$81),Input!$G$81),Input!$H$81)</f>
        <v>0.9</v>
      </c>
      <c r="AM147" s="60">
        <f t="shared" si="87"/>
        <v>0</v>
      </c>
      <c r="AN147" s="60">
        <f t="shared" si="107"/>
        <v>30</v>
      </c>
      <c r="AO147" s="60">
        <f t="shared" si="88"/>
        <v>0</v>
      </c>
      <c r="AP147" s="60">
        <f>ROUND(AO147*AN147*Input!$C$3/365,0)</f>
        <v>0</v>
      </c>
      <c r="AQ147" s="61">
        <f>IF($A147&lt;=Input!$C$6,0,IF('120M'!AM147&lt;'120M'!AO147,'120M'!AM147-AP147,'120M'!AO147))</f>
        <v>0</v>
      </c>
      <c r="AR147" s="61">
        <f t="shared" si="89"/>
        <v>0</v>
      </c>
      <c r="AS147" s="60">
        <f t="shared" si="90"/>
        <v>0</v>
      </c>
      <c r="AT147" s="193"/>
      <c r="AU147" s="169">
        <v>143</v>
      </c>
      <c r="AV147" s="1">
        <f t="shared" si="108"/>
        <v>49871</v>
      </c>
      <c r="AW147" s="60">
        <f>IF($X147&lt;Input!$H$88,IF($X147&lt;Input!$G$88,IF($X147&lt;Input!$F$88,IF($X147&lt;Input!$E$88,IF($X147&lt;Input!$D$88,Input!$C$94,Input!$D$94),Input!$E$94),Input!$F$94),Input!$G$94),Input!$H$94)</f>
        <v>0</v>
      </c>
      <c r="AX147" s="190">
        <f>IF($A147&lt;Input!$H$95,IF($A147&lt;Input!$G$95,IF($A147&lt;Input!$F$95,IF($A147&lt;Input!$E$95,IF($A147&lt;Input!$D$95,Input!$C$96,Input!$D$96),Input!$E$96),Input!$F$96),Input!$G$96),Input!$H$96)</f>
        <v>0.9</v>
      </c>
      <c r="AY147" s="60">
        <f t="shared" si="91"/>
        <v>0</v>
      </c>
      <c r="AZ147" s="60">
        <f t="shared" si="109"/>
        <v>30</v>
      </c>
      <c r="BA147" s="60">
        <f t="shared" si="92"/>
        <v>0</v>
      </c>
      <c r="BB147" s="60">
        <f>ROUND(BA147*AZ147*Input!$C$3/365,0)</f>
        <v>0</v>
      </c>
      <c r="BC147" s="61">
        <f>IF($A147&lt;=Input!$C$6,0,IF('120M'!AY147&lt;'120M'!BA147,'120M'!AY147-BB147,'120M'!BA147))</f>
        <v>0</v>
      </c>
      <c r="BD147" s="61">
        <f t="shared" si="93"/>
        <v>0</v>
      </c>
      <c r="BE147" s="60">
        <f t="shared" si="94"/>
        <v>0</v>
      </c>
      <c r="BF147" s="193"/>
      <c r="BG147" s="169">
        <v>143</v>
      </c>
      <c r="BH147" s="1">
        <f t="shared" si="110"/>
        <v>49871</v>
      </c>
      <c r="BI147" s="60">
        <f>IF($X147&lt;Input!$H$103,IF($X147&lt;Input!$G$103,IF($X147&lt;Input!$F$103,IF($X147&lt;Input!$E$103,IF($X147&lt;Input!$D$103,Input!$C$109,Input!$D$109),Input!$E$109),Input!$F$109),Input!$G$109),Input!$H$109)</f>
        <v>0</v>
      </c>
      <c r="BJ147" s="190">
        <f>IF($A147&lt;Input!$H$110,IF($A147&lt;Input!$G$110,IF($A147&lt;Input!$F$110,IF($A147&lt;Input!$E$110,IF($A147&lt;Input!$D$110,Input!$C$111,Input!$D$111),Input!$E$111),Input!$F$111),Input!$G$111),Input!$H$111)</f>
        <v>0.9</v>
      </c>
      <c r="BK147" s="60">
        <f t="shared" si="95"/>
        <v>0</v>
      </c>
      <c r="BL147" s="60">
        <f t="shared" si="111"/>
        <v>30</v>
      </c>
      <c r="BM147" s="60">
        <f t="shared" si="96"/>
        <v>0</v>
      </c>
      <c r="BN147" s="60">
        <f>ROUND(BM147*BL147*Input!$C$3/365,0)</f>
        <v>0</v>
      </c>
      <c r="BO147" s="61">
        <f>IF($A147&lt;=Input!$C$6,0,IF('120M'!BK147&lt;'120M'!BM147,'120M'!BK147-BN147,'120M'!BM147))</f>
        <v>0</v>
      </c>
      <c r="BP147" s="61">
        <f t="shared" si="97"/>
        <v>0</v>
      </c>
      <c r="BQ147" s="60">
        <f t="shared" si="98"/>
        <v>0</v>
      </c>
      <c r="BR147" s="198"/>
    </row>
    <row r="148" spans="1:70" x14ac:dyDescent="0.25">
      <c r="A148" s="169">
        <v>144</v>
      </c>
      <c r="B148" s="1">
        <f t="shared" si="99"/>
        <v>49902</v>
      </c>
      <c r="C148" s="60">
        <f t="shared" si="77"/>
        <v>33127052.878124986</v>
      </c>
      <c r="D148" s="60">
        <f t="shared" si="78"/>
        <v>29814347.590312488</v>
      </c>
      <c r="E148" s="60">
        <f t="shared" si="100"/>
        <v>31</v>
      </c>
      <c r="F148" s="60">
        <f t="shared" si="101"/>
        <v>0</v>
      </c>
      <c r="G148" s="60">
        <f>ROUND(F148*E148*Input!$C$3/365,0)</f>
        <v>0</v>
      </c>
      <c r="H148" s="60">
        <f>IF($A148&lt;=Input!$C$6,0,IF('120M'!D148&lt;'120M'!F148,'120M'!D148-G148,'120M'!F148))</f>
        <v>0</v>
      </c>
      <c r="I148" s="60">
        <f t="shared" si="102"/>
        <v>0</v>
      </c>
      <c r="J148" s="60">
        <f t="shared" si="103"/>
        <v>0</v>
      </c>
      <c r="K148" s="202">
        <f>J148/Input!$K$5</f>
        <v>0</v>
      </c>
      <c r="L148" s="232"/>
      <c r="M148" s="60">
        <f>IF($B148&lt;Input!$H$43,IF($B148&lt;Input!$G$43,IF($B148&lt;Input!$F$43,IF($B148&lt;Input!$E$43,IF($B148&lt;Input!$D$43,Input!$C$49,Input!$D$49),Input!$E$49),Input!$F$49),Input!$G$49),Input!$H$49)</f>
        <v>33127052.878124986</v>
      </c>
      <c r="N148" s="190">
        <f>IF($A148&lt;Input!$H$50,IF($A148&lt;Input!$G$50,IF($A148&lt;Input!$F$50,IF($A148&lt;Input!$E$50,IF($A148&lt;Input!$D$50,Input!$C$51,Input!$D$51),Input!$E$51),Input!$F$51),Input!$G$51),Input!$H$51)</f>
        <v>0.9</v>
      </c>
      <c r="O148" s="60">
        <f t="shared" si="76"/>
        <v>29814347.590312488</v>
      </c>
      <c r="P148" s="60">
        <f t="shared" si="79"/>
        <v>31</v>
      </c>
      <c r="Q148" s="60">
        <f t="shared" si="80"/>
        <v>0</v>
      </c>
      <c r="R148" s="60">
        <f>ROUND(Q148*$P148*Input!$C$3/365,0)</f>
        <v>0</v>
      </c>
      <c r="S148" s="60">
        <f>IF(A148&lt;=Input!$C$6,0,IF('120M'!O148&lt;'120M'!Q148,'120M'!O148-R148,'120M'!Q148))</f>
        <v>0</v>
      </c>
      <c r="T148" s="60">
        <f t="shared" si="81"/>
        <v>0</v>
      </c>
      <c r="U148" s="60">
        <f t="shared" si="82"/>
        <v>0</v>
      </c>
      <c r="V148" s="193"/>
      <c r="W148" s="169">
        <v>144</v>
      </c>
      <c r="X148" s="1">
        <f t="shared" si="104"/>
        <v>49902</v>
      </c>
      <c r="Y148" s="60">
        <f>IF($X148&lt;Input!$H$58,IF($X148&lt;Input!$G$58,IF($X148&lt;Input!$F$58,IF($X148&lt;Input!$E$58,IF($X148&lt;Input!$D$58,Input!$C$64,Input!$D$64),Input!$E$64),Input!$F$64),Input!$G$64),Input!$H$64)</f>
        <v>0</v>
      </c>
      <c r="Z148" s="190">
        <f>IF($A148&lt;Input!$H$65,IF($A148&lt;Input!$G$65,IF($A148&lt;Input!$F$65,IF($A148&lt;Input!$E$65,IF($A148&lt;Input!$D$65,Input!$C$66,Input!$D$66),Input!$E$66),Input!$F$66),Input!$G$66),Input!$H$66)</f>
        <v>0.9</v>
      </c>
      <c r="AA148" s="60">
        <f t="shared" si="83"/>
        <v>0</v>
      </c>
      <c r="AB148" s="60">
        <f t="shared" si="105"/>
        <v>31</v>
      </c>
      <c r="AC148" s="60">
        <f t="shared" si="84"/>
        <v>0</v>
      </c>
      <c r="AD148" s="60">
        <f>ROUND(AC148*AB148*Input!$C$3/365,0)</f>
        <v>0</v>
      </c>
      <c r="AE148" s="61">
        <f>IF($A148&lt;=Input!$C$6,0,IF('120M'!AA148&lt;'120M'!AC148,'120M'!AA148-AD148,'120M'!AC148))</f>
        <v>0</v>
      </c>
      <c r="AF148" s="61">
        <f t="shared" si="85"/>
        <v>0</v>
      </c>
      <c r="AG148" s="60">
        <f t="shared" si="86"/>
        <v>0</v>
      </c>
      <c r="AH148" s="193"/>
      <c r="AI148" s="169">
        <v>144</v>
      </c>
      <c r="AJ148" s="1">
        <f t="shared" si="106"/>
        <v>49902</v>
      </c>
      <c r="AK148" s="60">
        <f>IF($X148&lt;Input!$H$73,IF($X148&lt;Input!$G$73,IF($X148&lt;Input!$F$73,IF($X148&lt;Input!$E$73,IF($X148&lt;Input!$D$73,Input!$C$79,Input!$D$79),Input!$E$79),Input!$F$79),Input!$G$79),Input!$H$79)</f>
        <v>0</v>
      </c>
      <c r="AL148" s="190">
        <f>IF($A148&lt;Input!$H$80,IF($A148&lt;Input!$G$80,IF($A148&lt;Input!$F$80,IF($A148&lt;Input!$E$80,IF($A148&lt;Input!$D$80,Input!$C$81,Input!$D$81),Input!$E$81),Input!$F$81),Input!$G$81),Input!$H$81)</f>
        <v>0.9</v>
      </c>
      <c r="AM148" s="60">
        <f t="shared" si="87"/>
        <v>0</v>
      </c>
      <c r="AN148" s="60">
        <f t="shared" si="107"/>
        <v>31</v>
      </c>
      <c r="AO148" s="60">
        <f t="shared" si="88"/>
        <v>0</v>
      </c>
      <c r="AP148" s="60">
        <f>ROUND(AO148*AN148*Input!$C$3/365,0)</f>
        <v>0</v>
      </c>
      <c r="AQ148" s="61">
        <f>IF($A148&lt;=Input!$C$6,0,IF('120M'!AM148&lt;'120M'!AO148,'120M'!AM148-AP148,'120M'!AO148))</f>
        <v>0</v>
      </c>
      <c r="AR148" s="61">
        <f t="shared" si="89"/>
        <v>0</v>
      </c>
      <c r="AS148" s="60">
        <f t="shared" si="90"/>
        <v>0</v>
      </c>
      <c r="AT148" s="193"/>
      <c r="AU148" s="169">
        <v>144</v>
      </c>
      <c r="AV148" s="1">
        <f t="shared" si="108"/>
        <v>49902</v>
      </c>
      <c r="AW148" s="60">
        <f>IF($X148&lt;Input!$H$88,IF($X148&lt;Input!$G$88,IF($X148&lt;Input!$F$88,IF($X148&lt;Input!$E$88,IF($X148&lt;Input!$D$88,Input!$C$94,Input!$D$94),Input!$E$94),Input!$F$94),Input!$G$94),Input!$H$94)</f>
        <v>0</v>
      </c>
      <c r="AX148" s="190">
        <f>IF($A148&lt;Input!$H$95,IF($A148&lt;Input!$G$95,IF($A148&lt;Input!$F$95,IF($A148&lt;Input!$E$95,IF($A148&lt;Input!$D$95,Input!$C$96,Input!$D$96),Input!$E$96),Input!$F$96),Input!$G$96),Input!$H$96)</f>
        <v>0.9</v>
      </c>
      <c r="AY148" s="60">
        <f t="shared" si="91"/>
        <v>0</v>
      </c>
      <c r="AZ148" s="60">
        <f t="shared" si="109"/>
        <v>31</v>
      </c>
      <c r="BA148" s="60">
        <f t="shared" si="92"/>
        <v>0</v>
      </c>
      <c r="BB148" s="60">
        <f>ROUND(BA148*AZ148*Input!$C$3/365,0)</f>
        <v>0</v>
      </c>
      <c r="BC148" s="61">
        <f>IF($A148&lt;=Input!$C$6,0,IF('120M'!AY148&lt;'120M'!BA148,'120M'!AY148-BB148,'120M'!BA148))</f>
        <v>0</v>
      </c>
      <c r="BD148" s="61">
        <f t="shared" si="93"/>
        <v>0</v>
      </c>
      <c r="BE148" s="60">
        <f t="shared" si="94"/>
        <v>0</v>
      </c>
      <c r="BF148" s="193"/>
      <c r="BG148" s="169">
        <v>144</v>
      </c>
      <c r="BH148" s="1">
        <f t="shared" si="110"/>
        <v>49902</v>
      </c>
      <c r="BI148" s="60">
        <f>IF($X148&lt;Input!$H$103,IF($X148&lt;Input!$G$103,IF($X148&lt;Input!$F$103,IF($X148&lt;Input!$E$103,IF($X148&lt;Input!$D$103,Input!$C$109,Input!$D$109),Input!$E$109),Input!$F$109),Input!$G$109),Input!$H$109)</f>
        <v>0</v>
      </c>
      <c r="BJ148" s="190">
        <f>IF($A148&lt;Input!$H$110,IF($A148&lt;Input!$G$110,IF($A148&lt;Input!$F$110,IF($A148&lt;Input!$E$110,IF($A148&lt;Input!$D$110,Input!$C$111,Input!$D$111),Input!$E$111),Input!$F$111),Input!$G$111),Input!$H$111)</f>
        <v>0.9</v>
      </c>
      <c r="BK148" s="60">
        <f t="shared" si="95"/>
        <v>0</v>
      </c>
      <c r="BL148" s="60">
        <f t="shared" si="111"/>
        <v>31</v>
      </c>
      <c r="BM148" s="60">
        <f t="shared" si="96"/>
        <v>0</v>
      </c>
      <c r="BN148" s="60">
        <f>ROUND(BM148*BL148*Input!$C$3/365,0)</f>
        <v>0</v>
      </c>
      <c r="BO148" s="61">
        <f>IF($A148&lt;=Input!$C$6,0,IF('120M'!BK148&lt;'120M'!BM148,'120M'!BK148-BN148,'120M'!BM148))</f>
        <v>0</v>
      </c>
      <c r="BP148" s="61">
        <f t="shared" si="97"/>
        <v>0</v>
      </c>
      <c r="BQ148" s="60">
        <f t="shared" si="98"/>
        <v>0</v>
      </c>
      <c r="BR148" s="198"/>
    </row>
    <row r="149" spans="1:70" x14ac:dyDescent="0.25">
      <c r="A149" s="169">
        <v>145</v>
      </c>
      <c r="B149" s="1">
        <f t="shared" si="99"/>
        <v>49933</v>
      </c>
      <c r="C149" s="60">
        <f t="shared" si="77"/>
        <v>33127052.878124986</v>
      </c>
      <c r="D149" s="60">
        <f t="shared" si="78"/>
        <v>29814347.590312488</v>
      </c>
      <c r="E149" s="60">
        <f t="shared" si="100"/>
        <v>31</v>
      </c>
      <c r="F149" s="60">
        <f t="shared" si="101"/>
        <v>0</v>
      </c>
      <c r="G149" s="60">
        <f>ROUND(F149*E149*Input!$C$3/365,0)</f>
        <v>0</v>
      </c>
      <c r="H149" s="60">
        <f>IF($A149&lt;=Input!$C$6,0,IF('120M'!D149&lt;'120M'!F149,'120M'!D149-G149,'120M'!F149))</f>
        <v>0</v>
      </c>
      <c r="I149" s="60">
        <f t="shared" si="102"/>
        <v>0</v>
      </c>
      <c r="J149" s="60">
        <f t="shared" si="103"/>
        <v>0</v>
      </c>
      <c r="K149" s="202">
        <f>J149/Input!$K$5</f>
        <v>0</v>
      </c>
      <c r="L149" s="232"/>
      <c r="M149" s="60">
        <f>IF($B149&lt;Input!$H$43,IF($B149&lt;Input!$G$43,IF($B149&lt;Input!$F$43,IF($B149&lt;Input!$E$43,IF($B149&lt;Input!$D$43,Input!$C$49,Input!$D$49),Input!$E$49),Input!$F$49),Input!$G$49),Input!$H$49)</f>
        <v>33127052.878124986</v>
      </c>
      <c r="N149" s="190">
        <f>IF($A149&lt;Input!$H$50,IF($A149&lt;Input!$G$50,IF($A149&lt;Input!$F$50,IF($A149&lt;Input!$E$50,IF($A149&lt;Input!$D$50,Input!$C$51,Input!$D$51),Input!$E$51),Input!$F$51),Input!$G$51),Input!$H$51)</f>
        <v>0.9</v>
      </c>
      <c r="O149" s="60">
        <f t="shared" si="76"/>
        <v>29814347.590312488</v>
      </c>
      <c r="P149" s="60">
        <f t="shared" si="79"/>
        <v>31</v>
      </c>
      <c r="Q149" s="60">
        <f t="shared" si="80"/>
        <v>0</v>
      </c>
      <c r="R149" s="60">
        <f>ROUND(Q149*$P149*Input!$C$3/365,0)</f>
        <v>0</v>
      </c>
      <c r="S149" s="60">
        <f>IF(A149&lt;=Input!$C$6,0,IF('120M'!O149&lt;'120M'!Q149,'120M'!O149-R149,'120M'!Q149))</f>
        <v>0</v>
      </c>
      <c r="T149" s="60">
        <f t="shared" si="81"/>
        <v>0</v>
      </c>
      <c r="U149" s="60">
        <f t="shared" si="82"/>
        <v>0</v>
      </c>
      <c r="V149" s="193"/>
      <c r="W149" s="169">
        <v>145</v>
      </c>
      <c r="X149" s="1">
        <f t="shared" si="104"/>
        <v>49933</v>
      </c>
      <c r="Y149" s="60">
        <f>IF($X149&lt;Input!$H$58,IF($X149&lt;Input!$G$58,IF($X149&lt;Input!$F$58,IF($X149&lt;Input!$E$58,IF($X149&lt;Input!$D$58,Input!$C$64,Input!$D$64),Input!$E$64),Input!$F$64),Input!$G$64),Input!$H$64)</f>
        <v>0</v>
      </c>
      <c r="Z149" s="190">
        <f>IF($A149&lt;Input!$H$65,IF($A149&lt;Input!$G$65,IF($A149&lt;Input!$F$65,IF($A149&lt;Input!$E$65,IF($A149&lt;Input!$D$65,Input!$C$66,Input!$D$66),Input!$E$66),Input!$F$66),Input!$G$66),Input!$H$66)</f>
        <v>0.9</v>
      </c>
      <c r="AA149" s="60">
        <f t="shared" si="83"/>
        <v>0</v>
      </c>
      <c r="AB149" s="60">
        <f t="shared" si="105"/>
        <v>31</v>
      </c>
      <c r="AC149" s="60">
        <f t="shared" si="84"/>
        <v>0</v>
      </c>
      <c r="AD149" s="60">
        <f>ROUND(AC149*AB149*Input!$C$3/365,0)</f>
        <v>0</v>
      </c>
      <c r="AE149" s="61">
        <f>IF($A149&lt;=Input!$C$6,0,IF('120M'!AA149&lt;'120M'!AC149,'120M'!AA149-AD149,'120M'!AC149))</f>
        <v>0</v>
      </c>
      <c r="AF149" s="61">
        <f t="shared" si="85"/>
        <v>0</v>
      </c>
      <c r="AG149" s="60">
        <f t="shared" si="86"/>
        <v>0</v>
      </c>
      <c r="AH149" s="193"/>
      <c r="AI149" s="169">
        <v>145</v>
      </c>
      <c r="AJ149" s="1">
        <f t="shared" si="106"/>
        <v>49933</v>
      </c>
      <c r="AK149" s="60">
        <f>IF($X149&lt;Input!$H$73,IF($X149&lt;Input!$G$73,IF($X149&lt;Input!$F$73,IF($X149&lt;Input!$E$73,IF($X149&lt;Input!$D$73,Input!$C$79,Input!$D$79),Input!$E$79),Input!$F$79),Input!$G$79),Input!$H$79)</f>
        <v>0</v>
      </c>
      <c r="AL149" s="190">
        <f>IF($A149&lt;Input!$H$80,IF($A149&lt;Input!$G$80,IF($A149&lt;Input!$F$80,IF($A149&lt;Input!$E$80,IF($A149&lt;Input!$D$80,Input!$C$81,Input!$D$81),Input!$E$81),Input!$F$81),Input!$G$81),Input!$H$81)</f>
        <v>0.9</v>
      </c>
      <c r="AM149" s="60">
        <f t="shared" si="87"/>
        <v>0</v>
      </c>
      <c r="AN149" s="60">
        <f t="shared" si="107"/>
        <v>31</v>
      </c>
      <c r="AO149" s="60">
        <f t="shared" si="88"/>
        <v>0</v>
      </c>
      <c r="AP149" s="60">
        <f>ROUND(AO149*AN149*Input!$C$3/365,0)</f>
        <v>0</v>
      </c>
      <c r="AQ149" s="61">
        <f>IF($A149&lt;=Input!$C$6,0,IF('120M'!AM149&lt;'120M'!AO149,'120M'!AM149-AP149,'120M'!AO149))</f>
        <v>0</v>
      </c>
      <c r="AR149" s="61">
        <f t="shared" si="89"/>
        <v>0</v>
      </c>
      <c r="AS149" s="60">
        <f t="shared" si="90"/>
        <v>0</v>
      </c>
      <c r="AT149" s="193"/>
      <c r="AU149" s="169">
        <v>145</v>
      </c>
      <c r="AV149" s="1">
        <f t="shared" si="108"/>
        <v>49933</v>
      </c>
      <c r="AW149" s="60">
        <f>IF($X149&lt;Input!$H$88,IF($X149&lt;Input!$G$88,IF($X149&lt;Input!$F$88,IF($X149&lt;Input!$E$88,IF($X149&lt;Input!$D$88,Input!$C$94,Input!$D$94),Input!$E$94),Input!$F$94),Input!$G$94),Input!$H$94)</f>
        <v>0</v>
      </c>
      <c r="AX149" s="190">
        <f>IF($A149&lt;Input!$H$95,IF($A149&lt;Input!$G$95,IF($A149&lt;Input!$F$95,IF($A149&lt;Input!$E$95,IF($A149&lt;Input!$D$95,Input!$C$96,Input!$D$96),Input!$E$96),Input!$F$96),Input!$G$96),Input!$H$96)</f>
        <v>0.9</v>
      </c>
      <c r="AY149" s="60">
        <f t="shared" si="91"/>
        <v>0</v>
      </c>
      <c r="AZ149" s="60">
        <f t="shared" si="109"/>
        <v>31</v>
      </c>
      <c r="BA149" s="60">
        <f t="shared" si="92"/>
        <v>0</v>
      </c>
      <c r="BB149" s="60">
        <f>ROUND(BA149*AZ149*Input!$C$3/365,0)</f>
        <v>0</v>
      </c>
      <c r="BC149" s="61">
        <f>IF($A149&lt;=Input!$C$6,0,IF('120M'!AY149&lt;'120M'!BA149,'120M'!AY149-BB149,'120M'!BA149))</f>
        <v>0</v>
      </c>
      <c r="BD149" s="61">
        <f t="shared" si="93"/>
        <v>0</v>
      </c>
      <c r="BE149" s="60">
        <f t="shared" si="94"/>
        <v>0</v>
      </c>
      <c r="BF149" s="193"/>
      <c r="BG149" s="169">
        <v>145</v>
      </c>
      <c r="BH149" s="1">
        <f t="shared" si="110"/>
        <v>49933</v>
      </c>
      <c r="BI149" s="60">
        <f>IF($X149&lt;Input!$H$103,IF($X149&lt;Input!$G$103,IF($X149&lt;Input!$F$103,IF($X149&lt;Input!$E$103,IF($X149&lt;Input!$D$103,Input!$C$109,Input!$D$109),Input!$E$109),Input!$F$109),Input!$G$109),Input!$H$109)</f>
        <v>0</v>
      </c>
      <c r="BJ149" s="190">
        <f>IF($A149&lt;Input!$H$110,IF($A149&lt;Input!$G$110,IF($A149&lt;Input!$F$110,IF($A149&lt;Input!$E$110,IF($A149&lt;Input!$D$110,Input!$C$111,Input!$D$111),Input!$E$111),Input!$F$111),Input!$G$111),Input!$H$111)</f>
        <v>0.9</v>
      </c>
      <c r="BK149" s="60">
        <f t="shared" si="95"/>
        <v>0</v>
      </c>
      <c r="BL149" s="60">
        <f t="shared" si="111"/>
        <v>31</v>
      </c>
      <c r="BM149" s="60">
        <f t="shared" si="96"/>
        <v>0</v>
      </c>
      <c r="BN149" s="60">
        <f>ROUND(BM149*BL149*Input!$C$3/365,0)</f>
        <v>0</v>
      </c>
      <c r="BO149" s="61">
        <f>IF($A149&lt;=Input!$C$6,0,IF('120M'!BK149&lt;'120M'!BM149,'120M'!BK149-BN149,'120M'!BM149))</f>
        <v>0</v>
      </c>
      <c r="BP149" s="61">
        <f t="shared" si="97"/>
        <v>0</v>
      </c>
      <c r="BQ149" s="60">
        <f t="shared" si="98"/>
        <v>0</v>
      </c>
      <c r="BR149" s="198"/>
    </row>
    <row r="150" spans="1:70" x14ac:dyDescent="0.25">
      <c r="A150" s="169">
        <v>146</v>
      </c>
      <c r="B150" s="1">
        <f t="shared" si="99"/>
        <v>49963</v>
      </c>
      <c r="C150" s="60">
        <f t="shared" si="77"/>
        <v>33127052.878124986</v>
      </c>
      <c r="D150" s="60">
        <f t="shared" si="78"/>
        <v>29814347.590312488</v>
      </c>
      <c r="E150" s="60">
        <f t="shared" si="100"/>
        <v>30</v>
      </c>
      <c r="F150" s="60">
        <f t="shared" si="101"/>
        <v>0</v>
      </c>
      <c r="G150" s="60">
        <f>ROUND(F150*E150*Input!$C$3/365,0)</f>
        <v>0</v>
      </c>
      <c r="H150" s="60">
        <f>IF($A150&lt;=Input!$C$6,0,IF('120M'!D150&lt;'120M'!F150,'120M'!D150-G150,'120M'!F150))</f>
        <v>0</v>
      </c>
      <c r="I150" s="60">
        <f t="shared" si="102"/>
        <v>0</v>
      </c>
      <c r="J150" s="60">
        <f t="shared" si="103"/>
        <v>0</v>
      </c>
      <c r="K150" s="202">
        <f>J150/Input!$K$5</f>
        <v>0</v>
      </c>
      <c r="L150" s="232"/>
      <c r="M150" s="60">
        <f>IF($B150&lt;Input!$H$43,IF($B150&lt;Input!$G$43,IF($B150&lt;Input!$F$43,IF($B150&lt;Input!$E$43,IF($B150&lt;Input!$D$43,Input!$C$49,Input!$D$49),Input!$E$49),Input!$F$49),Input!$G$49),Input!$H$49)</f>
        <v>33127052.878124986</v>
      </c>
      <c r="N150" s="190">
        <f>IF($A150&lt;Input!$H$50,IF($A150&lt;Input!$G$50,IF($A150&lt;Input!$F$50,IF($A150&lt;Input!$E$50,IF($A150&lt;Input!$D$50,Input!$C$51,Input!$D$51),Input!$E$51),Input!$F$51),Input!$G$51),Input!$H$51)</f>
        <v>0.9</v>
      </c>
      <c r="O150" s="60">
        <f t="shared" si="76"/>
        <v>29814347.590312488</v>
      </c>
      <c r="P150" s="60">
        <f t="shared" si="79"/>
        <v>30</v>
      </c>
      <c r="Q150" s="60">
        <f t="shared" si="80"/>
        <v>0</v>
      </c>
      <c r="R150" s="60">
        <f>ROUND(Q150*$P150*Input!$C$3/365,0)</f>
        <v>0</v>
      </c>
      <c r="S150" s="60">
        <f>IF(A150&lt;=Input!$C$6,0,IF('120M'!O150&lt;'120M'!Q150,'120M'!O150-R150,'120M'!Q150))</f>
        <v>0</v>
      </c>
      <c r="T150" s="60">
        <f t="shared" si="81"/>
        <v>0</v>
      </c>
      <c r="U150" s="60">
        <f t="shared" si="82"/>
        <v>0</v>
      </c>
      <c r="V150" s="193"/>
      <c r="W150" s="169">
        <v>146</v>
      </c>
      <c r="X150" s="1">
        <f t="shared" si="104"/>
        <v>49963</v>
      </c>
      <c r="Y150" s="60">
        <f>IF($X150&lt;Input!$H$58,IF($X150&lt;Input!$G$58,IF($X150&lt;Input!$F$58,IF($X150&lt;Input!$E$58,IF($X150&lt;Input!$D$58,Input!$C$64,Input!$D$64),Input!$E$64),Input!$F$64),Input!$G$64),Input!$H$64)</f>
        <v>0</v>
      </c>
      <c r="Z150" s="190">
        <f>IF($A150&lt;Input!$H$65,IF($A150&lt;Input!$G$65,IF($A150&lt;Input!$F$65,IF($A150&lt;Input!$E$65,IF($A150&lt;Input!$D$65,Input!$C$66,Input!$D$66),Input!$E$66),Input!$F$66),Input!$G$66),Input!$H$66)</f>
        <v>0.9</v>
      </c>
      <c r="AA150" s="60">
        <f t="shared" si="83"/>
        <v>0</v>
      </c>
      <c r="AB150" s="60">
        <f t="shared" si="105"/>
        <v>30</v>
      </c>
      <c r="AC150" s="60">
        <f t="shared" si="84"/>
        <v>0</v>
      </c>
      <c r="AD150" s="60">
        <f>ROUND(AC150*AB150*Input!$C$3/365,0)</f>
        <v>0</v>
      </c>
      <c r="AE150" s="61">
        <f>IF($A150&lt;=Input!$C$6,0,IF('120M'!AA150&lt;'120M'!AC150,'120M'!AA150-AD150,'120M'!AC150))</f>
        <v>0</v>
      </c>
      <c r="AF150" s="61">
        <f t="shared" si="85"/>
        <v>0</v>
      </c>
      <c r="AG150" s="60">
        <f t="shared" si="86"/>
        <v>0</v>
      </c>
      <c r="AH150" s="193"/>
      <c r="AI150" s="169">
        <v>146</v>
      </c>
      <c r="AJ150" s="1">
        <f t="shared" si="106"/>
        <v>49963</v>
      </c>
      <c r="AK150" s="60">
        <f>IF($X150&lt;Input!$H$73,IF($X150&lt;Input!$G$73,IF($X150&lt;Input!$F$73,IF($X150&lt;Input!$E$73,IF($X150&lt;Input!$D$73,Input!$C$79,Input!$D$79),Input!$E$79),Input!$F$79),Input!$G$79),Input!$H$79)</f>
        <v>0</v>
      </c>
      <c r="AL150" s="190">
        <f>IF($A150&lt;Input!$H$80,IF($A150&lt;Input!$G$80,IF($A150&lt;Input!$F$80,IF($A150&lt;Input!$E$80,IF($A150&lt;Input!$D$80,Input!$C$81,Input!$D$81),Input!$E$81),Input!$F$81),Input!$G$81),Input!$H$81)</f>
        <v>0.9</v>
      </c>
      <c r="AM150" s="60">
        <f t="shared" si="87"/>
        <v>0</v>
      </c>
      <c r="AN150" s="60">
        <f t="shared" si="107"/>
        <v>30</v>
      </c>
      <c r="AO150" s="60">
        <f t="shared" si="88"/>
        <v>0</v>
      </c>
      <c r="AP150" s="60">
        <f>ROUND(AO150*AN150*Input!$C$3/365,0)</f>
        <v>0</v>
      </c>
      <c r="AQ150" s="61">
        <f>IF($A150&lt;=Input!$C$6,0,IF('120M'!AM150&lt;'120M'!AO150,'120M'!AM150-AP150,'120M'!AO150))</f>
        <v>0</v>
      </c>
      <c r="AR150" s="61">
        <f t="shared" si="89"/>
        <v>0</v>
      </c>
      <c r="AS150" s="60">
        <f t="shared" si="90"/>
        <v>0</v>
      </c>
      <c r="AT150" s="193"/>
      <c r="AU150" s="169">
        <v>146</v>
      </c>
      <c r="AV150" s="1">
        <f t="shared" si="108"/>
        <v>49963</v>
      </c>
      <c r="AW150" s="60">
        <f>IF($X150&lt;Input!$H$88,IF($X150&lt;Input!$G$88,IF($X150&lt;Input!$F$88,IF($X150&lt;Input!$E$88,IF($X150&lt;Input!$D$88,Input!$C$94,Input!$D$94),Input!$E$94),Input!$F$94),Input!$G$94),Input!$H$94)</f>
        <v>0</v>
      </c>
      <c r="AX150" s="190">
        <f>IF($A150&lt;Input!$H$95,IF($A150&lt;Input!$G$95,IF($A150&lt;Input!$F$95,IF($A150&lt;Input!$E$95,IF($A150&lt;Input!$D$95,Input!$C$96,Input!$D$96),Input!$E$96),Input!$F$96),Input!$G$96),Input!$H$96)</f>
        <v>0.9</v>
      </c>
      <c r="AY150" s="60">
        <f t="shared" si="91"/>
        <v>0</v>
      </c>
      <c r="AZ150" s="60">
        <f t="shared" si="109"/>
        <v>30</v>
      </c>
      <c r="BA150" s="60">
        <f t="shared" si="92"/>
        <v>0</v>
      </c>
      <c r="BB150" s="60">
        <f>ROUND(BA150*AZ150*Input!$C$3/365,0)</f>
        <v>0</v>
      </c>
      <c r="BC150" s="61">
        <f>IF($A150&lt;=Input!$C$6,0,IF('120M'!AY150&lt;'120M'!BA150,'120M'!AY150-BB150,'120M'!BA150))</f>
        <v>0</v>
      </c>
      <c r="BD150" s="61">
        <f t="shared" si="93"/>
        <v>0</v>
      </c>
      <c r="BE150" s="60">
        <f t="shared" si="94"/>
        <v>0</v>
      </c>
      <c r="BF150" s="193"/>
      <c r="BG150" s="169">
        <v>146</v>
      </c>
      <c r="BH150" s="1">
        <f t="shared" si="110"/>
        <v>49963</v>
      </c>
      <c r="BI150" s="60">
        <f>IF($X150&lt;Input!$H$103,IF($X150&lt;Input!$G$103,IF($X150&lt;Input!$F$103,IF($X150&lt;Input!$E$103,IF($X150&lt;Input!$D$103,Input!$C$109,Input!$D$109),Input!$E$109),Input!$F$109),Input!$G$109),Input!$H$109)</f>
        <v>0</v>
      </c>
      <c r="BJ150" s="190">
        <f>IF($A150&lt;Input!$H$110,IF($A150&lt;Input!$G$110,IF($A150&lt;Input!$F$110,IF($A150&lt;Input!$E$110,IF($A150&lt;Input!$D$110,Input!$C$111,Input!$D$111),Input!$E$111),Input!$F$111),Input!$G$111),Input!$H$111)</f>
        <v>0.9</v>
      </c>
      <c r="BK150" s="60">
        <f t="shared" si="95"/>
        <v>0</v>
      </c>
      <c r="BL150" s="60">
        <f t="shared" si="111"/>
        <v>30</v>
      </c>
      <c r="BM150" s="60">
        <f t="shared" si="96"/>
        <v>0</v>
      </c>
      <c r="BN150" s="60">
        <f>ROUND(BM150*BL150*Input!$C$3/365,0)</f>
        <v>0</v>
      </c>
      <c r="BO150" s="61">
        <f>IF($A150&lt;=Input!$C$6,0,IF('120M'!BK150&lt;'120M'!BM150,'120M'!BK150-BN150,'120M'!BM150))</f>
        <v>0</v>
      </c>
      <c r="BP150" s="61">
        <f t="shared" si="97"/>
        <v>0</v>
      </c>
      <c r="BQ150" s="60">
        <f t="shared" si="98"/>
        <v>0</v>
      </c>
      <c r="BR150" s="198"/>
    </row>
    <row r="151" spans="1:70" x14ac:dyDescent="0.25">
      <c r="A151" s="169">
        <v>147</v>
      </c>
      <c r="B151" s="1">
        <f t="shared" si="99"/>
        <v>49994</v>
      </c>
      <c r="C151" s="60">
        <f t="shared" si="77"/>
        <v>33127052.878124986</v>
      </c>
      <c r="D151" s="60">
        <f t="shared" si="78"/>
        <v>29814347.590312488</v>
      </c>
      <c r="E151" s="60">
        <f t="shared" si="100"/>
        <v>31</v>
      </c>
      <c r="F151" s="60">
        <f t="shared" si="101"/>
        <v>0</v>
      </c>
      <c r="G151" s="60">
        <f>ROUND(F151*E151*Input!$C$3/365,0)</f>
        <v>0</v>
      </c>
      <c r="H151" s="60">
        <f>IF($A151&lt;=Input!$C$6,0,IF('120M'!D151&lt;'120M'!F151,'120M'!D151-G151,'120M'!F151))</f>
        <v>0</v>
      </c>
      <c r="I151" s="60">
        <f t="shared" si="102"/>
        <v>0</v>
      </c>
      <c r="J151" s="60">
        <f t="shared" si="103"/>
        <v>0</v>
      </c>
      <c r="K151" s="202">
        <f>J151/Input!$K$5</f>
        <v>0</v>
      </c>
      <c r="L151" s="232"/>
      <c r="M151" s="60">
        <f>IF($B151&lt;Input!$H$43,IF($B151&lt;Input!$G$43,IF($B151&lt;Input!$F$43,IF($B151&lt;Input!$E$43,IF($B151&lt;Input!$D$43,Input!$C$49,Input!$D$49),Input!$E$49),Input!$F$49),Input!$G$49),Input!$H$49)</f>
        <v>33127052.878124986</v>
      </c>
      <c r="N151" s="190">
        <f>IF($A151&lt;Input!$H$50,IF($A151&lt;Input!$G$50,IF($A151&lt;Input!$F$50,IF($A151&lt;Input!$E$50,IF($A151&lt;Input!$D$50,Input!$C$51,Input!$D$51),Input!$E$51),Input!$F$51),Input!$G$51),Input!$H$51)</f>
        <v>0.9</v>
      </c>
      <c r="O151" s="60">
        <f t="shared" si="76"/>
        <v>29814347.590312488</v>
      </c>
      <c r="P151" s="60">
        <f t="shared" si="79"/>
        <v>31</v>
      </c>
      <c r="Q151" s="60">
        <f t="shared" si="80"/>
        <v>0</v>
      </c>
      <c r="R151" s="60">
        <f>ROUND(Q151*$P151*Input!$C$3/365,0)</f>
        <v>0</v>
      </c>
      <c r="S151" s="60">
        <f>IF(A151&lt;=Input!$C$6,0,IF('120M'!O151&lt;'120M'!Q151,'120M'!O151-R151,'120M'!Q151))</f>
        <v>0</v>
      </c>
      <c r="T151" s="60">
        <f t="shared" si="81"/>
        <v>0</v>
      </c>
      <c r="U151" s="60">
        <f t="shared" si="82"/>
        <v>0</v>
      </c>
      <c r="V151" s="193"/>
      <c r="W151" s="169">
        <v>147</v>
      </c>
      <c r="X151" s="1">
        <f t="shared" si="104"/>
        <v>49994</v>
      </c>
      <c r="Y151" s="60">
        <f>IF($X151&lt;Input!$H$58,IF($X151&lt;Input!$G$58,IF($X151&lt;Input!$F$58,IF($X151&lt;Input!$E$58,IF($X151&lt;Input!$D$58,Input!$C$64,Input!$D$64),Input!$E$64),Input!$F$64),Input!$G$64),Input!$H$64)</f>
        <v>0</v>
      </c>
      <c r="Z151" s="190">
        <f>IF($A151&lt;Input!$H$65,IF($A151&lt;Input!$G$65,IF($A151&lt;Input!$F$65,IF($A151&lt;Input!$E$65,IF($A151&lt;Input!$D$65,Input!$C$66,Input!$D$66),Input!$E$66),Input!$F$66),Input!$G$66),Input!$H$66)</f>
        <v>0.9</v>
      </c>
      <c r="AA151" s="60">
        <f t="shared" si="83"/>
        <v>0</v>
      </c>
      <c r="AB151" s="60">
        <f t="shared" si="105"/>
        <v>31</v>
      </c>
      <c r="AC151" s="60">
        <f t="shared" si="84"/>
        <v>0</v>
      </c>
      <c r="AD151" s="60">
        <f>ROUND(AC151*AB151*Input!$C$3/365,0)</f>
        <v>0</v>
      </c>
      <c r="AE151" s="61">
        <f>IF($A151&lt;=Input!$C$6,0,IF('120M'!AA151&lt;'120M'!AC151,'120M'!AA151-AD151,'120M'!AC151))</f>
        <v>0</v>
      </c>
      <c r="AF151" s="61">
        <f t="shared" si="85"/>
        <v>0</v>
      </c>
      <c r="AG151" s="60">
        <f t="shared" si="86"/>
        <v>0</v>
      </c>
      <c r="AH151" s="193"/>
      <c r="AI151" s="169">
        <v>147</v>
      </c>
      <c r="AJ151" s="1">
        <f t="shared" si="106"/>
        <v>49994</v>
      </c>
      <c r="AK151" s="60">
        <f>IF($X151&lt;Input!$H$73,IF($X151&lt;Input!$G$73,IF($X151&lt;Input!$F$73,IF($X151&lt;Input!$E$73,IF($X151&lt;Input!$D$73,Input!$C$79,Input!$D$79),Input!$E$79),Input!$F$79),Input!$G$79),Input!$H$79)</f>
        <v>0</v>
      </c>
      <c r="AL151" s="190">
        <f>IF($A151&lt;Input!$H$80,IF($A151&lt;Input!$G$80,IF($A151&lt;Input!$F$80,IF($A151&lt;Input!$E$80,IF($A151&lt;Input!$D$80,Input!$C$81,Input!$D$81),Input!$E$81),Input!$F$81),Input!$G$81),Input!$H$81)</f>
        <v>0.9</v>
      </c>
      <c r="AM151" s="60">
        <f t="shared" si="87"/>
        <v>0</v>
      </c>
      <c r="AN151" s="60">
        <f t="shared" si="107"/>
        <v>31</v>
      </c>
      <c r="AO151" s="60">
        <f t="shared" si="88"/>
        <v>0</v>
      </c>
      <c r="AP151" s="60">
        <f>ROUND(AO151*AN151*Input!$C$3/365,0)</f>
        <v>0</v>
      </c>
      <c r="AQ151" s="61">
        <f>IF($A151&lt;=Input!$C$6,0,IF('120M'!AM151&lt;'120M'!AO151,'120M'!AM151-AP151,'120M'!AO151))</f>
        <v>0</v>
      </c>
      <c r="AR151" s="61">
        <f t="shared" si="89"/>
        <v>0</v>
      </c>
      <c r="AS151" s="60">
        <f t="shared" si="90"/>
        <v>0</v>
      </c>
      <c r="AT151" s="193"/>
      <c r="AU151" s="169">
        <v>147</v>
      </c>
      <c r="AV151" s="1">
        <f t="shared" si="108"/>
        <v>49994</v>
      </c>
      <c r="AW151" s="60">
        <f>IF($X151&lt;Input!$H$88,IF($X151&lt;Input!$G$88,IF($X151&lt;Input!$F$88,IF($X151&lt;Input!$E$88,IF($X151&lt;Input!$D$88,Input!$C$94,Input!$D$94),Input!$E$94),Input!$F$94),Input!$G$94),Input!$H$94)</f>
        <v>0</v>
      </c>
      <c r="AX151" s="190">
        <f>IF($A151&lt;Input!$H$95,IF($A151&lt;Input!$G$95,IF($A151&lt;Input!$F$95,IF($A151&lt;Input!$E$95,IF($A151&lt;Input!$D$95,Input!$C$96,Input!$D$96),Input!$E$96),Input!$F$96),Input!$G$96),Input!$H$96)</f>
        <v>0.9</v>
      </c>
      <c r="AY151" s="60">
        <f t="shared" si="91"/>
        <v>0</v>
      </c>
      <c r="AZ151" s="60">
        <f t="shared" si="109"/>
        <v>31</v>
      </c>
      <c r="BA151" s="60">
        <f t="shared" si="92"/>
        <v>0</v>
      </c>
      <c r="BB151" s="60">
        <f>ROUND(BA151*AZ151*Input!$C$3/365,0)</f>
        <v>0</v>
      </c>
      <c r="BC151" s="61">
        <f>IF($A151&lt;=Input!$C$6,0,IF('120M'!AY151&lt;'120M'!BA151,'120M'!AY151-BB151,'120M'!BA151))</f>
        <v>0</v>
      </c>
      <c r="BD151" s="61">
        <f t="shared" si="93"/>
        <v>0</v>
      </c>
      <c r="BE151" s="60">
        <f t="shared" si="94"/>
        <v>0</v>
      </c>
      <c r="BF151" s="193"/>
      <c r="BG151" s="169">
        <v>147</v>
      </c>
      <c r="BH151" s="1">
        <f t="shared" si="110"/>
        <v>49994</v>
      </c>
      <c r="BI151" s="60">
        <f>IF($X151&lt;Input!$H$103,IF($X151&lt;Input!$G$103,IF($X151&lt;Input!$F$103,IF($X151&lt;Input!$E$103,IF($X151&lt;Input!$D$103,Input!$C$109,Input!$D$109),Input!$E$109),Input!$F$109),Input!$G$109),Input!$H$109)</f>
        <v>0</v>
      </c>
      <c r="BJ151" s="190">
        <f>IF($A151&lt;Input!$H$110,IF($A151&lt;Input!$G$110,IF($A151&lt;Input!$F$110,IF($A151&lt;Input!$E$110,IF($A151&lt;Input!$D$110,Input!$C$111,Input!$D$111),Input!$E$111),Input!$F$111),Input!$G$111),Input!$H$111)</f>
        <v>0.9</v>
      </c>
      <c r="BK151" s="60">
        <f t="shared" si="95"/>
        <v>0</v>
      </c>
      <c r="BL151" s="60">
        <f t="shared" si="111"/>
        <v>31</v>
      </c>
      <c r="BM151" s="60">
        <f t="shared" si="96"/>
        <v>0</v>
      </c>
      <c r="BN151" s="60">
        <f>ROUND(BM151*BL151*Input!$C$3/365,0)</f>
        <v>0</v>
      </c>
      <c r="BO151" s="61">
        <f>IF($A151&lt;=Input!$C$6,0,IF('120M'!BK151&lt;'120M'!BM151,'120M'!BK151-BN151,'120M'!BM151))</f>
        <v>0</v>
      </c>
      <c r="BP151" s="61">
        <f t="shared" si="97"/>
        <v>0</v>
      </c>
      <c r="BQ151" s="60">
        <f t="shared" si="98"/>
        <v>0</v>
      </c>
      <c r="BR151" s="198"/>
    </row>
    <row r="152" spans="1:70" x14ac:dyDescent="0.25">
      <c r="A152" s="169">
        <v>148</v>
      </c>
      <c r="B152" s="1">
        <f t="shared" si="99"/>
        <v>50024</v>
      </c>
      <c r="C152" s="60">
        <f t="shared" si="77"/>
        <v>33127052.878124986</v>
      </c>
      <c r="D152" s="60">
        <f t="shared" si="78"/>
        <v>29814347.590312488</v>
      </c>
      <c r="E152" s="60">
        <f t="shared" si="100"/>
        <v>30</v>
      </c>
      <c r="F152" s="60">
        <f t="shared" si="101"/>
        <v>0</v>
      </c>
      <c r="G152" s="60">
        <f>ROUND(F152*E152*Input!$C$3/365,0)</f>
        <v>0</v>
      </c>
      <c r="H152" s="60">
        <f>IF($A152&lt;=Input!$C$6,0,IF('120M'!D152&lt;'120M'!F152,'120M'!D152-G152,'120M'!F152))</f>
        <v>0</v>
      </c>
      <c r="I152" s="60">
        <f t="shared" si="102"/>
        <v>0</v>
      </c>
      <c r="J152" s="60">
        <f t="shared" si="103"/>
        <v>0</v>
      </c>
      <c r="K152" s="202">
        <f>J152/Input!$K$5</f>
        <v>0</v>
      </c>
      <c r="L152" s="232"/>
      <c r="M152" s="60">
        <f>IF($B152&lt;Input!$H$43,IF($B152&lt;Input!$G$43,IF($B152&lt;Input!$F$43,IF($B152&lt;Input!$E$43,IF($B152&lt;Input!$D$43,Input!$C$49,Input!$D$49),Input!$E$49),Input!$F$49),Input!$G$49),Input!$H$49)</f>
        <v>33127052.878124986</v>
      </c>
      <c r="N152" s="190">
        <f>IF($A152&lt;Input!$H$50,IF($A152&lt;Input!$G$50,IF($A152&lt;Input!$F$50,IF($A152&lt;Input!$E$50,IF($A152&lt;Input!$D$50,Input!$C$51,Input!$D$51),Input!$E$51),Input!$F$51),Input!$G$51),Input!$H$51)</f>
        <v>0.9</v>
      </c>
      <c r="O152" s="60">
        <f t="shared" si="76"/>
        <v>29814347.590312488</v>
      </c>
      <c r="P152" s="60">
        <f t="shared" si="79"/>
        <v>30</v>
      </c>
      <c r="Q152" s="60">
        <f t="shared" si="80"/>
        <v>0</v>
      </c>
      <c r="R152" s="60">
        <f>ROUND(Q152*$P152*Input!$C$3/365,0)</f>
        <v>0</v>
      </c>
      <c r="S152" s="60">
        <f>IF(A152&lt;=Input!$C$6,0,IF('120M'!O152&lt;'120M'!Q152,'120M'!O152-R152,'120M'!Q152))</f>
        <v>0</v>
      </c>
      <c r="T152" s="60">
        <f t="shared" si="81"/>
        <v>0</v>
      </c>
      <c r="U152" s="60">
        <f t="shared" si="82"/>
        <v>0</v>
      </c>
      <c r="V152" s="193"/>
      <c r="W152" s="169">
        <v>148</v>
      </c>
      <c r="X152" s="1">
        <f t="shared" si="104"/>
        <v>50024</v>
      </c>
      <c r="Y152" s="60">
        <f>IF($X152&lt;Input!$H$58,IF($X152&lt;Input!$G$58,IF($X152&lt;Input!$F$58,IF($X152&lt;Input!$E$58,IF($X152&lt;Input!$D$58,Input!$C$64,Input!$D$64),Input!$E$64),Input!$F$64),Input!$G$64),Input!$H$64)</f>
        <v>0</v>
      </c>
      <c r="Z152" s="190">
        <f>IF($A152&lt;Input!$H$65,IF($A152&lt;Input!$G$65,IF($A152&lt;Input!$F$65,IF($A152&lt;Input!$E$65,IF($A152&lt;Input!$D$65,Input!$C$66,Input!$D$66),Input!$E$66),Input!$F$66),Input!$G$66),Input!$H$66)</f>
        <v>0.9</v>
      </c>
      <c r="AA152" s="60">
        <f t="shared" si="83"/>
        <v>0</v>
      </c>
      <c r="AB152" s="60">
        <f t="shared" si="105"/>
        <v>30</v>
      </c>
      <c r="AC152" s="60">
        <f t="shared" si="84"/>
        <v>0</v>
      </c>
      <c r="AD152" s="60">
        <f>ROUND(AC152*AB152*Input!$C$3/365,0)</f>
        <v>0</v>
      </c>
      <c r="AE152" s="61">
        <f>IF($A152&lt;=Input!$C$6,0,IF('120M'!AA152&lt;'120M'!AC152,'120M'!AA152-AD152,'120M'!AC152))</f>
        <v>0</v>
      </c>
      <c r="AF152" s="61">
        <f t="shared" si="85"/>
        <v>0</v>
      </c>
      <c r="AG152" s="60">
        <f t="shared" si="86"/>
        <v>0</v>
      </c>
      <c r="AH152" s="193"/>
      <c r="AI152" s="169">
        <v>148</v>
      </c>
      <c r="AJ152" s="1">
        <f t="shared" si="106"/>
        <v>50024</v>
      </c>
      <c r="AK152" s="60">
        <f>IF($X152&lt;Input!$H$73,IF($X152&lt;Input!$G$73,IF($X152&lt;Input!$F$73,IF($X152&lt;Input!$E$73,IF($X152&lt;Input!$D$73,Input!$C$79,Input!$D$79),Input!$E$79),Input!$F$79),Input!$G$79),Input!$H$79)</f>
        <v>0</v>
      </c>
      <c r="AL152" s="190">
        <f>IF($A152&lt;Input!$H$80,IF($A152&lt;Input!$G$80,IF($A152&lt;Input!$F$80,IF($A152&lt;Input!$E$80,IF($A152&lt;Input!$D$80,Input!$C$81,Input!$D$81),Input!$E$81),Input!$F$81),Input!$G$81),Input!$H$81)</f>
        <v>0.9</v>
      </c>
      <c r="AM152" s="60">
        <f t="shared" si="87"/>
        <v>0</v>
      </c>
      <c r="AN152" s="60">
        <f t="shared" si="107"/>
        <v>30</v>
      </c>
      <c r="AO152" s="60">
        <f t="shared" si="88"/>
        <v>0</v>
      </c>
      <c r="AP152" s="60">
        <f>ROUND(AO152*AN152*Input!$C$3/365,0)</f>
        <v>0</v>
      </c>
      <c r="AQ152" s="61">
        <f>IF($A152&lt;=Input!$C$6,0,IF('120M'!AM152&lt;'120M'!AO152,'120M'!AM152-AP152,'120M'!AO152))</f>
        <v>0</v>
      </c>
      <c r="AR152" s="61">
        <f t="shared" si="89"/>
        <v>0</v>
      </c>
      <c r="AS152" s="60">
        <f t="shared" si="90"/>
        <v>0</v>
      </c>
      <c r="AT152" s="193"/>
      <c r="AU152" s="169">
        <v>148</v>
      </c>
      <c r="AV152" s="1">
        <f t="shared" si="108"/>
        <v>50024</v>
      </c>
      <c r="AW152" s="60">
        <f>IF($X152&lt;Input!$H$88,IF($X152&lt;Input!$G$88,IF($X152&lt;Input!$F$88,IF($X152&lt;Input!$E$88,IF($X152&lt;Input!$D$88,Input!$C$94,Input!$D$94),Input!$E$94),Input!$F$94),Input!$G$94),Input!$H$94)</f>
        <v>0</v>
      </c>
      <c r="AX152" s="190">
        <f>IF($A152&lt;Input!$H$95,IF($A152&lt;Input!$G$95,IF($A152&lt;Input!$F$95,IF($A152&lt;Input!$E$95,IF($A152&lt;Input!$D$95,Input!$C$96,Input!$D$96),Input!$E$96),Input!$F$96),Input!$G$96),Input!$H$96)</f>
        <v>0.9</v>
      </c>
      <c r="AY152" s="60">
        <f t="shared" si="91"/>
        <v>0</v>
      </c>
      <c r="AZ152" s="60">
        <f t="shared" si="109"/>
        <v>30</v>
      </c>
      <c r="BA152" s="60">
        <f t="shared" si="92"/>
        <v>0</v>
      </c>
      <c r="BB152" s="60">
        <f>ROUND(BA152*AZ152*Input!$C$3/365,0)</f>
        <v>0</v>
      </c>
      <c r="BC152" s="61">
        <f>IF($A152&lt;=Input!$C$6,0,IF('120M'!AY152&lt;'120M'!BA152,'120M'!AY152-BB152,'120M'!BA152))</f>
        <v>0</v>
      </c>
      <c r="BD152" s="61">
        <f t="shared" si="93"/>
        <v>0</v>
      </c>
      <c r="BE152" s="60">
        <f t="shared" si="94"/>
        <v>0</v>
      </c>
      <c r="BF152" s="193"/>
      <c r="BG152" s="169">
        <v>148</v>
      </c>
      <c r="BH152" s="1">
        <f t="shared" si="110"/>
        <v>50024</v>
      </c>
      <c r="BI152" s="60">
        <f>IF($X152&lt;Input!$H$103,IF($X152&lt;Input!$G$103,IF($X152&lt;Input!$F$103,IF($X152&lt;Input!$E$103,IF($X152&lt;Input!$D$103,Input!$C$109,Input!$D$109),Input!$E$109),Input!$F$109),Input!$G$109),Input!$H$109)</f>
        <v>0</v>
      </c>
      <c r="BJ152" s="190">
        <f>IF($A152&lt;Input!$H$110,IF($A152&lt;Input!$G$110,IF($A152&lt;Input!$F$110,IF($A152&lt;Input!$E$110,IF($A152&lt;Input!$D$110,Input!$C$111,Input!$D$111),Input!$E$111),Input!$F$111),Input!$G$111),Input!$H$111)</f>
        <v>0.9</v>
      </c>
      <c r="BK152" s="60">
        <f t="shared" si="95"/>
        <v>0</v>
      </c>
      <c r="BL152" s="60">
        <f t="shared" si="111"/>
        <v>30</v>
      </c>
      <c r="BM152" s="60">
        <f t="shared" si="96"/>
        <v>0</v>
      </c>
      <c r="BN152" s="60">
        <f>ROUND(BM152*BL152*Input!$C$3/365,0)</f>
        <v>0</v>
      </c>
      <c r="BO152" s="61">
        <f>IF($A152&lt;=Input!$C$6,0,IF('120M'!BK152&lt;'120M'!BM152,'120M'!BK152-BN152,'120M'!BM152))</f>
        <v>0</v>
      </c>
      <c r="BP152" s="61">
        <f t="shared" si="97"/>
        <v>0</v>
      </c>
      <c r="BQ152" s="60">
        <f t="shared" si="98"/>
        <v>0</v>
      </c>
      <c r="BR152" s="198"/>
    </row>
    <row r="153" spans="1:70" x14ac:dyDescent="0.25">
      <c r="A153" s="169">
        <v>149</v>
      </c>
      <c r="B153" s="1">
        <f t="shared" si="99"/>
        <v>50055</v>
      </c>
      <c r="C153" s="60">
        <f t="shared" si="77"/>
        <v>33127052.878124986</v>
      </c>
      <c r="D153" s="60">
        <f t="shared" si="78"/>
        <v>29814347.590312488</v>
      </c>
      <c r="E153" s="60">
        <f t="shared" si="100"/>
        <v>31</v>
      </c>
      <c r="F153" s="60">
        <f t="shared" si="101"/>
        <v>0</v>
      </c>
      <c r="G153" s="60">
        <f>ROUND(F153*E153*Input!$C$3/365,0)</f>
        <v>0</v>
      </c>
      <c r="H153" s="60">
        <f>IF($A153&lt;=Input!$C$6,0,IF('120M'!D153&lt;'120M'!F153,'120M'!D153-G153,'120M'!F153))</f>
        <v>0</v>
      </c>
      <c r="I153" s="60">
        <f t="shared" si="102"/>
        <v>0</v>
      </c>
      <c r="J153" s="60">
        <f t="shared" si="103"/>
        <v>0</v>
      </c>
      <c r="K153" s="202">
        <f>J153/Input!$K$5</f>
        <v>0</v>
      </c>
      <c r="L153" s="232"/>
      <c r="M153" s="60">
        <f>IF($B153&lt;Input!$H$43,IF($B153&lt;Input!$G$43,IF($B153&lt;Input!$F$43,IF($B153&lt;Input!$E$43,IF($B153&lt;Input!$D$43,Input!$C$49,Input!$D$49),Input!$E$49),Input!$F$49),Input!$G$49),Input!$H$49)</f>
        <v>33127052.878124986</v>
      </c>
      <c r="N153" s="190">
        <f>IF($A153&lt;Input!$H$50,IF($A153&lt;Input!$G$50,IF($A153&lt;Input!$F$50,IF($A153&lt;Input!$E$50,IF($A153&lt;Input!$D$50,Input!$C$51,Input!$D$51),Input!$E$51),Input!$F$51),Input!$G$51),Input!$H$51)</f>
        <v>0.9</v>
      </c>
      <c r="O153" s="60">
        <f t="shared" si="76"/>
        <v>29814347.590312488</v>
      </c>
      <c r="P153" s="60">
        <f t="shared" si="79"/>
        <v>31</v>
      </c>
      <c r="Q153" s="60">
        <f t="shared" si="80"/>
        <v>0</v>
      </c>
      <c r="R153" s="60">
        <f>ROUND(Q153*$P153*Input!$C$3/365,0)</f>
        <v>0</v>
      </c>
      <c r="S153" s="60">
        <f>IF(A153&lt;=Input!$C$6,0,IF('120M'!O153&lt;'120M'!Q153,'120M'!O153-R153,'120M'!Q153))</f>
        <v>0</v>
      </c>
      <c r="T153" s="60">
        <f t="shared" si="81"/>
        <v>0</v>
      </c>
      <c r="U153" s="60">
        <f t="shared" si="82"/>
        <v>0</v>
      </c>
      <c r="V153" s="193"/>
      <c r="W153" s="169">
        <v>149</v>
      </c>
      <c r="X153" s="1">
        <f t="shared" si="104"/>
        <v>50055</v>
      </c>
      <c r="Y153" s="60">
        <f>IF($X153&lt;Input!$H$58,IF($X153&lt;Input!$G$58,IF($X153&lt;Input!$F$58,IF($X153&lt;Input!$E$58,IF($X153&lt;Input!$D$58,Input!$C$64,Input!$D$64),Input!$E$64),Input!$F$64),Input!$G$64),Input!$H$64)</f>
        <v>0</v>
      </c>
      <c r="Z153" s="190">
        <f>IF($A153&lt;Input!$H$65,IF($A153&lt;Input!$G$65,IF($A153&lt;Input!$F$65,IF($A153&lt;Input!$E$65,IF($A153&lt;Input!$D$65,Input!$C$66,Input!$D$66),Input!$E$66),Input!$F$66),Input!$G$66),Input!$H$66)</f>
        <v>0.9</v>
      </c>
      <c r="AA153" s="60">
        <f t="shared" si="83"/>
        <v>0</v>
      </c>
      <c r="AB153" s="60">
        <f t="shared" si="105"/>
        <v>31</v>
      </c>
      <c r="AC153" s="60">
        <f t="shared" si="84"/>
        <v>0</v>
      </c>
      <c r="AD153" s="60">
        <f>ROUND(AC153*AB153*Input!$C$3/365,0)</f>
        <v>0</v>
      </c>
      <c r="AE153" s="61">
        <f>IF($A153&lt;=Input!$C$6,0,IF('120M'!AA153&lt;'120M'!AC153,'120M'!AA153-AD153,'120M'!AC153))</f>
        <v>0</v>
      </c>
      <c r="AF153" s="61">
        <f t="shared" si="85"/>
        <v>0</v>
      </c>
      <c r="AG153" s="60">
        <f t="shared" si="86"/>
        <v>0</v>
      </c>
      <c r="AH153" s="193"/>
      <c r="AI153" s="169">
        <v>149</v>
      </c>
      <c r="AJ153" s="1">
        <f t="shared" si="106"/>
        <v>50055</v>
      </c>
      <c r="AK153" s="60">
        <f>IF($X153&lt;Input!$H$73,IF($X153&lt;Input!$G$73,IF($X153&lt;Input!$F$73,IF($X153&lt;Input!$E$73,IF($X153&lt;Input!$D$73,Input!$C$79,Input!$D$79),Input!$E$79),Input!$F$79),Input!$G$79),Input!$H$79)</f>
        <v>0</v>
      </c>
      <c r="AL153" s="190">
        <f>IF($A153&lt;Input!$H$80,IF($A153&lt;Input!$G$80,IF($A153&lt;Input!$F$80,IF($A153&lt;Input!$E$80,IF($A153&lt;Input!$D$80,Input!$C$81,Input!$D$81),Input!$E$81),Input!$F$81),Input!$G$81),Input!$H$81)</f>
        <v>0.9</v>
      </c>
      <c r="AM153" s="60">
        <f t="shared" si="87"/>
        <v>0</v>
      </c>
      <c r="AN153" s="60">
        <f t="shared" si="107"/>
        <v>31</v>
      </c>
      <c r="AO153" s="60">
        <f t="shared" si="88"/>
        <v>0</v>
      </c>
      <c r="AP153" s="60">
        <f>ROUND(AO153*AN153*Input!$C$3/365,0)</f>
        <v>0</v>
      </c>
      <c r="AQ153" s="61">
        <f>IF($A153&lt;=Input!$C$6,0,IF('120M'!AM153&lt;'120M'!AO153,'120M'!AM153-AP153,'120M'!AO153))</f>
        <v>0</v>
      </c>
      <c r="AR153" s="61">
        <f t="shared" si="89"/>
        <v>0</v>
      </c>
      <c r="AS153" s="60">
        <f t="shared" si="90"/>
        <v>0</v>
      </c>
      <c r="AT153" s="193"/>
      <c r="AU153" s="169">
        <v>149</v>
      </c>
      <c r="AV153" s="1">
        <f t="shared" si="108"/>
        <v>50055</v>
      </c>
      <c r="AW153" s="60">
        <f>IF($X153&lt;Input!$H$88,IF($X153&lt;Input!$G$88,IF($X153&lt;Input!$F$88,IF($X153&lt;Input!$E$88,IF($X153&lt;Input!$D$88,Input!$C$94,Input!$D$94),Input!$E$94),Input!$F$94),Input!$G$94),Input!$H$94)</f>
        <v>0</v>
      </c>
      <c r="AX153" s="190">
        <f>IF($A153&lt;Input!$H$95,IF($A153&lt;Input!$G$95,IF($A153&lt;Input!$F$95,IF($A153&lt;Input!$E$95,IF($A153&lt;Input!$D$95,Input!$C$96,Input!$D$96),Input!$E$96),Input!$F$96),Input!$G$96),Input!$H$96)</f>
        <v>0.9</v>
      </c>
      <c r="AY153" s="60">
        <f t="shared" si="91"/>
        <v>0</v>
      </c>
      <c r="AZ153" s="60">
        <f t="shared" si="109"/>
        <v>31</v>
      </c>
      <c r="BA153" s="60">
        <f t="shared" si="92"/>
        <v>0</v>
      </c>
      <c r="BB153" s="60">
        <f>ROUND(BA153*AZ153*Input!$C$3/365,0)</f>
        <v>0</v>
      </c>
      <c r="BC153" s="61">
        <f>IF($A153&lt;=Input!$C$6,0,IF('120M'!AY153&lt;'120M'!BA153,'120M'!AY153-BB153,'120M'!BA153))</f>
        <v>0</v>
      </c>
      <c r="BD153" s="61">
        <f t="shared" si="93"/>
        <v>0</v>
      </c>
      <c r="BE153" s="60">
        <f t="shared" si="94"/>
        <v>0</v>
      </c>
      <c r="BF153" s="193"/>
      <c r="BG153" s="169">
        <v>149</v>
      </c>
      <c r="BH153" s="1">
        <f t="shared" si="110"/>
        <v>50055</v>
      </c>
      <c r="BI153" s="60">
        <f>IF($X153&lt;Input!$H$103,IF($X153&lt;Input!$G$103,IF($X153&lt;Input!$F$103,IF($X153&lt;Input!$E$103,IF($X153&lt;Input!$D$103,Input!$C$109,Input!$D$109),Input!$E$109),Input!$F$109),Input!$G$109),Input!$H$109)</f>
        <v>0</v>
      </c>
      <c r="BJ153" s="190">
        <f>IF($A153&lt;Input!$H$110,IF($A153&lt;Input!$G$110,IF($A153&lt;Input!$F$110,IF($A153&lt;Input!$E$110,IF($A153&lt;Input!$D$110,Input!$C$111,Input!$D$111),Input!$E$111),Input!$F$111),Input!$G$111),Input!$H$111)</f>
        <v>0.9</v>
      </c>
      <c r="BK153" s="60">
        <f t="shared" si="95"/>
        <v>0</v>
      </c>
      <c r="BL153" s="60">
        <f t="shared" si="111"/>
        <v>31</v>
      </c>
      <c r="BM153" s="60">
        <f t="shared" si="96"/>
        <v>0</v>
      </c>
      <c r="BN153" s="60">
        <f>ROUND(BM153*BL153*Input!$C$3/365,0)</f>
        <v>0</v>
      </c>
      <c r="BO153" s="61">
        <f>IF($A153&lt;=Input!$C$6,0,IF('120M'!BK153&lt;'120M'!BM153,'120M'!BK153-BN153,'120M'!BM153))</f>
        <v>0</v>
      </c>
      <c r="BP153" s="61">
        <f t="shared" si="97"/>
        <v>0</v>
      </c>
      <c r="BQ153" s="60">
        <f t="shared" si="98"/>
        <v>0</v>
      </c>
      <c r="BR153" s="198"/>
    </row>
    <row r="154" spans="1:70" x14ac:dyDescent="0.25">
      <c r="A154" s="169">
        <v>150</v>
      </c>
      <c r="B154" s="1">
        <f t="shared" si="99"/>
        <v>50086</v>
      </c>
      <c r="C154" s="60">
        <f t="shared" si="77"/>
        <v>33127052.878124986</v>
      </c>
      <c r="D154" s="60">
        <f t="shared" si="78"/>
        <v>29814347.590312488</v>
      </c>
      <c r="E154" s="60">
        <f t="shared" si="100"/>
        <v>31</v>
      </c>
      <c r="F154" s="60">
        <f t="shared" si="101"/>
        <v>0</v>
      </c>
      <c r="G154" s="60">
        <f>ROUND(F154*E154*Input!$C$3/365,0)</f>
        <v>0</v>
      </c>
      <c r="H154" s="60">
        <f>IF($A154&lt;=Input!$C$6,0,IF('120M'!D154&lt;'120M'!F154,'120M'!D154-G154,'120M'!F154))</f>
        <v>0</v>
      </c>
      <c r="I154" s="60">
        <f t="shared" si="102"/>
        <v>0</v>
      </c>
      <c r="J154" s="60">
        <f t="shared" si="103"/>
        <v>0</v>
      </c>
      <c r="K154" s="202">
        <f>J154/Input!$K$5</f>
        <v>0</v>
      </c>
      <c r="L154" s="232"/>
      <c r="M154" s="60">
        <f>IF($B154&lt;Input!$H$43,IF($B154&lt;Input!$G$43,IF($B154&lt;Input!$F$43,IF($B154&lt;Input!$E$43,IF($B154&lt;Input!$D$43,Input!$C$49,Input!$D$49),Input!$E$49),Input!$F$49),Input!$G$49),Input!$H$49)</f>
        <v>33127052.878124986</v>
      </c>
      <c r="N154" s="190">
        <f>IF($A154&lt;Input!$H$50,IF($A154&lt;Input!$G$50,IF($A154&lt;Input!$F$50,IF($A154&lt;Input!$E$50,IF($A154&lt;Input!$D$50,Input!$C$51,Input!$D$51),Input!$E$51),Input!$F$51),Input!$G$51),Input!$H$51)</f>
        <v>0.9</v>
      </c>
      <c r="O154" s="60">
        <f t="shared" si="76"/>
        <v>29814347.590312488</v>
      </c>
      <c r="P154" s="60">
        <f t="shared" si="79"/>
        <v>31</v>
      </c>
      <c r="Q154" s="60">
        <f t="shared" si="80"/>
        <v>0</v>
      </c>
      <c r="R154" s="60">
        <f>ROUND(Q154*$P154*Input!$C$3/365,0)</f>
        <v>0</v>
      </c>
      <c r="S154" s="60">
        <f>IF(A154&lt;=Input!$C$6,0,IF('120M'!O154&lt;'120M'!Q154,'120M'!O154-R154,'120M'!Q154))</f>
        <v>0</v>
      </c>
      <c r="T154" s="60">
        <f t="shared" si="81"/>
        <v>0</v>
      </c>
      <c r="U154" s="60">
        <f t="shared" si="82"/>
        <v>0</v>
      </c>
      <c r="V154" s="193"/>
      <c r="W154" s="169">
        <v>150</v>
      </c>
      <c r="X154" s="1">
        <f t="shared" si="104"/>
        <v>50086</v>
      </c>
      <c r="Y154" s="60">
        <f>IF($X154&lt;Input!$H$58,IF($X154&lt;Input!$G$58,IF($X154&lt;Input!$F$58,IF($X154&lt;Input!$E$58,IF($X154&lt;Input!$D$58,Input!$C$64,Input!$D$64),Input!$E$64),Input!$F$64),Input!$G$64),Input!$H$64)</f>
        <v>0</v>
      </c>
      <c r="Z154" s="190">
        <f>IF($A154&lt;Input!$H$65,IF($A154&lt;Input!$G$65,IF($A154&lt;Input!$F$65,IF($A154&lt;Input!$E$65,IF($A154&lt;Input!$D$65,Input!$C$66,Input!$D$66),Input!$E$66),Input!$F$66),Input!$G$66),Input!$H$66)</f>
        <v>0.9</v>
      </c>
      <c r="AA154" s="60">
        <f t="shared" si="83"/>
        <v>0</v>
      </c>
      <c r="AB154" s="60">
        <f t="shared" si="105"/>
        <v>31</v>
      </c>
      <c r="AC154" s="60">
        <f t="shared" si="84"/>
        <v>0</v>
      </c>
      <c r="AD154" s="60">
        <f>ROUND(AC154*AB154*Input!$C$3/365,0)</f>
        <v>0</v>
      </c>
      <c r="AE154" s="61">
        <f>IF($A154&lt;=Input!$C$6,0,IF('120M'!AA154&lt;'120M'!AC154,'120M'!AA154-AD154,'120M'!AC154))</f>
        <v>0</v>
      </c>
      <c r="AF154" s="61">
        <f t="shared" si="85"/>
        <v>0</v>
      </c>
      <c r="AG154" s="60">
        <f t="shared" si="86"/>
        <v>0</v>
      </c>
      <c r="AH154" s="193"/>
      <c r="AI154" s="169">
        <v>150</v>
      </c>
      <c r="AJ154" s="1">
        <f t="shared" si="106"/>
        <v>50086</v>
      </c>
      <c r="AK154" s="60">
        <f>IF($X154&lt;Input!$H$73,IF($X154&lt;Input!$G$73,IF($X154&lt;Input!$F$73,IF($X154&lt;Input!$E$73,IF($X154&lt;Input!$D$73,Input!$C$79,Input!$D$79),Input!$E$79),Input!$F$79),Input!$G$79),Input!$H$79)</f>
        <v>0</v>
      </c>
      <c r="AL154" s="190">
        <f>IF($A154&lt;Input!$H$80,IF($A154&lt;Input!$G$80,IF($A154&lt;Input!$F$80,IF($A154&lt;Input!$E$80,IF($A154&lt;Input!$D$80,Input!$C$81,Input!$D$81),Input!$E$81),Input!$F$81),Input!$G$81),Input!$H$81)</f>
        <v>0.9</v>
      </c>
      <c r="AM154" s="60">
        <f t="shared" si="87"/>
        <v>0</v>
      </c>
      <c r="AN154" s="60">
        <f t="shared" si="107"/>
        <v>31</v>
      </c>
      <c r="AO154" s="60">
        <f t="shared" si="88"/>
        <v>0</v>
      </c>
      <c r="AP154" s="60">
        <f>ROUND(AO154*AN154*Input!$C$3/365,0)</f>
        <v>0</v>
      </c>
      <c r="AQ154" s="61">
        <f>IF($A154&lt;=Input!$C$6,0,IF('120M'!AM154&lt;'120M'!AO154,'120M'!AM154-AP154,'120M'!AO154))</f>
        <v>0</v>
      </c>
      <c r="AR154" s="61">
        <f t="shared" si="89"/>
        <v>0</v>
      </c>
      <c r="AS154" s="60">
        <f t="shared" si="90"/>
        <v>0</v>
      </c>
      <c r="AT154" s="193"/>
      <c r="AU154" s="169">
        <v>150</v>
      </c>
      <c r="AV154" s="1">
        <f t="shared" si="108"/>
        <v>50086</v>
      </c>
      <c r="AW154" s="60">
        <f>IF($X154&lt;Input!$H$88,IF($X154&lt;Input!$G$88,IF($X154&lt;Input!$F$88,IF($X154&lt;Input!$E$88,IF($X154&lt;Input!$D$88,Input!$C$94,Input!$D$94),Input!$E$94),Input!$F$94),Input!$G$94),Input!$H$94)</f>
        <v>0</v>
      </c>
      <c r="AX154" s="190">
        <f>IF($A154&lt;Input!$H$95,IF($A154&lt;Input!$G$95,IF($A154&lt;Input!$F$95,IF($A154&lt;Input!$E$95,IF($A154&lt;Input!$D$95,Input!$C$96,Input!$D$96),Input!$E$96),Input!$F$96),Input!$G$96),Input!$H$96)</f>
        <v>0.9</v>
      </c>
      <c r="AY154" s="60">
        <f t="shared" si="91"/>
        <v>0</v>
      </c>
      <c r="AZ154" s="60">
        <f t="shared" si="109"/>
        <v>31</v>
      </c>
      <c r="BA154" s="60">
        <f t="shared" si="92"/>
        <v>0</v>
      </c>
      <c r="BB154" s="60">
        <f>ROUND(BA154*AZ154*Input!$C$3/365,0)</f>
        <v>0</v>
      </c>
      <c r="BC154" s="61">
        <f>IF($A154&lt;=Input!$C$6,0,IF('120M'!AY154&lt;'120M'!BA154,'120M'!AY154-BB154,'120M'!BA154))</f>
        <v>0</v>
      </c>
      <c r="BD154" s="61">
        <f t="shared" si="93"/>
        <v>0</v>
      </c>
      <c r="BE154" s="60">
        <f t="shared" si="94"/>
        <v>0</v>
      </c>
      <c r="BF154" s="193"/>
      <c r="BG154" s="169">
        <v>150</v>
      </c>
      <c r="BH154" s="1">
        <f t="shared" si="110"/>
        <v>50086</v>
      </c>
      <c r="BI154" s="60">
        <f>IF($X154&lt;Input!$H$103,IF($X154&lt;Input!$G$103,IF($X154&lt;Input!$F$103,IF($X154&lt;Input!$E$103,IF($X154&lt;Input!$D$103,Input!$C$109,Input!$D$109),Input!$E$109),Input!$F$109),Input!$G$109),Input!$H$109)</f>
        <v>0</v>
      </c>
      <c r="BJ154" s="190">
        <f>IF($A154&lt;Input!$H$110,IF($A154&lt;Input!$G$110,IF($A154&lt;Input!$F$110,IF($A154&lt;Input!$E$110,IF($A154&lt;Input!$D$110,Input!$C$111,Input!$D$111),Input!$E$111),Input!$F$111),Input!$G$111),Input!$H$111)</f>
        <v>0.9</v>
      </c>
      <c r="BK154" s="60">
        <f t="shared" si="95"/>
        <v>0</v>
      </c>
      <c r="BL154" s="60">
        <f t="shared" si="111"/>
        <v>31</v>
      </c>
      <c r="BM154" s="60">
        <f t="shared" si="96"/>
        <v>0</v>
      </c>
      <c r="BN154" s="60">
        <f>ROUND(BM154*BL154*Input!$C$3/365,0)</f>
        <v>0</v>
      </c>
      <c r="BO154" s="61">
        <f>IF($A154&lt;=Input!$C$6,0,IF('120M'!BK154&lt;'120M'!BM154,'120M'!BK154-BN154,'120M'!BM154))</f>
        <v>0</v>
      </c>
      <c r="BP154" s="61">
        <f t="shared" si="97"/>
        <v>0</v>
      </c>
      <c r="BQ154" s="60">
        <f t="shared" si="98"/>
        <v>0</v>
      </c>
      <c r="BR154" s="198"/>
    </row>
    <row r="155" spans="1:70" x14ac:dyDescent="0.25">
      <c r="A155" s="169">
        <v>151</v>
      </c>
      <c r="B155" s="1">
        <f t="shared" si="99"/>
        <v>50114</v>
      </c>
      <c r="C155" s="60">
        <f t="shared" si="77"/>
        <v>33127052.878124986</v>
      </c>
      <c r="D155" s="60">
        <f t="shared" si="78"/>
        <v>29814347.590312488</v>
      </c>
      <c r="E155" s="60">
        <f t="shared" si="100"/>
        <v>28</v>
      </c>
      <c r="F155" s="60">
        <f t="shared" si="101"/>
        <v>0</v>
      </c>
      <c r="G155" s="60">
        <f>ROUND(F155*E155*Input!$C$3/365,0)</f>
        <v>0</v>
      </c>
      <c r="H155" s="60">
        <f>IF($A155&lt;=Input!$C$6,0,IF('120M'!D155&lt;'120M'!F155,'120M'!D155-G155,'120M'!F155))</f>
        <v>0</v>
      </c>
      <c r="I155" s="60">
        <f t="shared" si="102"/>
        <v>0</v>
      </c>
      <c r="J155" s="60">
        <f t="shared" si="103"/>
        <v>0</v>
      </c>
      <c r="K155" s="202">
        <f>J155/Input!$K$5</f>
        <v>0</v>
      </c>
      <c r="L155" s="232"/>
      <c r="M155" s="60">
        <f>IF($B155&lt;Input!$H$43,IF($B155&lt;Input!$G$43,IF($B155&lt;Input!$F$43,IF($B155&lt;Input!$E$43,IF($B155&lt;Input!$D$43,Input!$C$49,Input!$D$49),Input!$E$49),Input!$F$49),Input!$G$49),Input!$H$49)</f>
        <v>33127052.878124986</v>
      </c>
      <c r="N155" s="190">
        <f>IF($A155&lt;Input!$H$50,IF($A155&lt;Input!$G$50,IF($A155&lt;Input!$F$50,IF($A155&lt;Input!$E$50,IF($A155&lt;Input!$D$50,Input!$C$51,Input!$D$51),Input!$E$51),Input!$F$51),Input!$G$51),Input!$H$51)</f>
        <v>0.9</v>
      </c>
      <c r="O155" s="60">
        <f t="shared" si="76"/>
        <v>29814347.590312488</v>
      </c>
      <c r="P155" s="60">
        <f t="shared" si="79"/>
        <v>28</v>
      </c>
      <c r="Q155" s="60">
        <f t="shared" si="80"/>
        <v>0</v>
      </c>
      <c r="R155" s="60">
        <f>ROUND(Q155*$P155*Input!$C$3/365,0)</f>
        <v>0</v>
      </c>
      <c r="S155" s="60">
        <f>IF(A155&lt;=Input!$C$6,0,IF('120M'!O155&lt;'120M'!Q155,'120M'!O155-R155,'120M'!Q155))</f>
        <v>0</v>
      </c>
      <c r="T155" s="60">
        <f t="shared" si="81"/>
        <v>0</v>
      </c>
      <c r="U155" s="60">
        <f t="shared" si="82"/>
        <v>0</v>
      </c>
      <c r="V155" s="193"/>
      <c r="W155" s="169">
        <v>151</v>
      </c>
      <c r="X155" s="1">
        <f t="shared" si="104"/>
        <v>50114</v>
      </c>
      <c r="Y155" s="60">
        <f>IF($X155&lt;Input!$H$58,IF($X155&lt;Input!$G$58,IF($X155&lt;Input!$F$58,IF($X155&lt;Input!$E$58,IF($X155&lt;Input!$D$58,Input!$C$64,Input!$D$64),Input!$E$64),Input!$F$64),Input!$G$64),Input!$H$64)</f>
        <v>0</v>
      </c>
      <c r="Z155" s="190">
        <f>IF($A155&lt;Input!$H$65,IF($A155&lt;Input!$G$65,IF($A155&lt;Input!$F$65,IF($A155&lt;Input!$E$65,IF($A155&lt;Input!$D$65,Input!$C$66,Input!$D$66),Input!$E$66),Input!$F$66),Input!$G$66),Input!$H$66)</f>
        <v>0.9</v>
      </c>
      <c r="AA155" s="60">
        <f t="shared" si="83"/>
        <v>0</v>
      </c>
      <c r="AB155" s="60">
        <f t="shared" si="105"/>
        <v>28</v>
      </c>
      <c r="AC155" s="60">
        <f t="shared" si="84"/>
        <v>0</v>
      </c>
      <c r="AD155" s="60">
        <f>ROUND(AC155*AB155*Input!$C$3/365,0)</f>
        <v>0</v>
      </c>
      <c r="AE155" s="61">
        <f>IF($A155&lt;=Input!$C$6,0,IF('120M'!AA155&lt;'120M'!AC155,'120M'!AA155-AD155,'120M'!AC155))</f>
        <v>0</v>
      </c>
      <c r="AF155" s="61">
        <f t="shared" si="85"/>
        <v>0</v>
      </c>
      <c r="AG155" s="60">
        <f t="shared" si="86"/>
        <v>0</v>
      </c>
      <c r="AH155" s="193"/>
      <c r="AI155" s="169">
        <v>151</v>
      </c>
      <c r="AJ155" s="1">
        <f t="shared" si="106"/>
        <v>50114</v>
      </c>
      <c r="AK155" s="60">
        <f>IF($X155&lt;Input!$H$73,IF($X155&lt;Input!$G$73,IF($X155&lt;Input!$F$73,IF($X155&lt;Input!$E$73,IF($X155&lt;Input!$D$73,Input!$C$79,Input!$D$79),Input!$E$79),Input!$F$79),Input!$G$79),Input!$H$79)</f>
        <v>0</v>
      </c>
      <c r="AL155" s="190">
        <f>IF($A155&lt;Input!$H$80,IF($A155&lt;Input!$G$80,IF($A155&lt;Input!$F$80,IF($A155&lt;Input!$E$80,IF($A155&lt;Input!$D$80,Input!$C$81,Input!$D$81),Input!$E$81),Input!$F$81),Input!$G$81),Input!$H$81)</f>
        <v>0.9</v>
      </c>
      <c r="AM155" s="60">
        <f t="shared" si="87"/>
        <v>0</v>
      </c>
      <c r="AN155" s="60">
        <f t="shared" si="107"/>
        <v>28</v>
      </c>
      <c r="AO155" s="60">
        <f t="shared" si="88"/>
        <v>0</v>
      </c>
      <c r="AP155" s="60">
        <f>ROUND(AO155*AN155*Input!$C$3/365,0)</f>
        <v>0</v>
      </c>
      <c r="AQ155" s="61">
        <f>IF($A155&lt;=Input!$C$6,0,IF('120M'!AM155&lt;'120M'!AO155,'120M'!AM155-AP155,'120M'!AO155))</f>
        <v>0</v>
      </c>
      <c r="AR155" s="61">
        <f t="shared" si="89"/>
        <v>0</v>
      </c>
      <c r="AS155" s="60">
        <f t="shared" si="90"/>
        <v>0</v>
      </c>
      <c r="AT155" s="193"/>
      <c r="AU155" s="169">
        <v>151</v>
      </c>
      <c r="AV155" s="1">
        <f t="shared" si="108"/>
        <v>50114</v>
      </c>
      <c r="AW155" s="60">
        <f>IF($X155&lt;Input!$H$88,IF($X155&lt;Input!$G$88,IF($X155&lt;Input!$F$88,IF($X155&lt;Input!$E$88,IF($X155&lt;Input!$D$88,Input!$C$94,Input!$D$94),Input!$E$94),Input!$F$94),Input!$G$94),Input!$H$94)</f>
        <v>0</v>
      </c>
      <c r="AX155" s="190">
        <f>IF($A155&lt;Input!$H$95,IF($A155&lt;Input!$G$95,IF($A155&lt;Input!$F$95,IF($A155&lt;Input!$E$95,IF($A155&lt;Input!$D$95,Input!$C$96,Input!$D$96),Input!$E$96),Input!$F$96),Input!$G$96),Input!$H$96)</f>
        <v>0.9</v>
      </c>
      <c r="AY155" s="60">
        <f t="shared" si="91"/>
        <v>0</v>
      </c>
      <c r="AZ155" s="60">
        <f t="shared" si="109"/>
        <v>28</v>
      </c>
      <c r="BA155" s="60">
        <f t="shared" si="92"/>
        <v>0</v>
      </c>
      <c r="BB155" s="60">
        <f>ROUND(BA155*AZ155*Input!$C$3/365,0)</f>
        <v>0</v>
      </c>
      <c r="BC155" s="61">
        <f>IF($A155&lt;=Input!$C$6,0,IF('120M'!AY155&lt;'120M'!BA155,'120M'!AY155-BB155,'120M'!BA155))</f>
        <v>0</v>
      </c>
      <c r="BD155" s="61">
        <f t="shared" si="93"/>
        <v>0</v>
      </c>
      <c r="BE155" s="60">
        <f t="shared" si="94"/>
        <v>0</v>
      </c>
      <c r="BF155" s="193"/>
      <c r="BG155" s="169">
        <v>151</v>
      </c>
      <c r="BH155" s="1">
        <f t="shared" si="110"/>
        <v>50114</v>
      </c>
      <c r="BI155" s="60">
        <f>IF($X155&lt;Input!$H$103,IF($X155&lt;Input!$G$103,IF($X155&lt;Input!$F$103,IF($X155&lt;Input!$E$103,IF($X155&lt;Input!$D$103,Input!$C$109,Input!$D$109),Input!$E$109),Input!$F$109),Input!$G$109),Input!$H$109)</f>
        <v>0</v>
      </c>
      <c r="BJ155" s="190">
        <f>IF($A155&lt;Input!$H$110,IF($A155&lt;Input!$G$110,IF($A155&lt;Input!$F$110,IF($A155&lt;Input!$E$110,IF($A155&lt;Input!$D$110,Input!$C$111,Input!$D$111),Input!$E$111),Input!$F$111),Input!$G$111),Input!$H$111)</f>
        <v>0.9</v>
      </c>
      <c r="BK155" s="60">
        <f t="shared" si="95"/>
        <v>0</v>
      </c>
      <c r="BL155" s="60">
        <f t="shared" si="111"/>
        <v>28</v>
      </c>
      <c r="BM155" s="60">
        <f t="shared" si="96"/>
        <v>0</v>
      </c>
      <c r="BN155" s="60">
        <f>ROUND(BM155*BL155*Input!$C$3/365,0)</f>
        <v>0</v>
      </c>
      <c r="BO155" s="61">
        <f>IF($A155&lt;=Input!$C$6,0,IF('120M'!BK155&lt;'120M'!BM155,'120M'!BK155-BN155,'120M'!BM155))</f>
        <v>0</v>
      </c>
      <c r="BP155" s="61">
        <f t="shared" si="97"/>
        <v>0</v>
      </c>
      <c r="BQ155" s="60">
        <f t="shared" si="98"/>
        <v>0</v>
      </c>
      <c r="BR155" s="198"/>
    </row>
    <row r="156" spans="1:70" x14ac:dyDescent="0.25">
      <c r="A156" s="169">
        <v>152</v>
      </c>
      <c r="B156" s="1">
        <f t="shared" si="99"/>
        <v>50145</v>
      </c>
      <c r="C156" s="60">
        <f t="shared" si="77"/>
        <v>33127052.878124986</v>
      </c>
      <c r="D156" s="60">
        <f t="shared" si="78"/>
        <v>29814347.590312488</v>
      </c>
      <c r="E156" s="60">
        <f t="shared" si="100"/>
        <v>31</v>
      </c>
      <c r="F156" s="60">
        <f t="shared" si="101"/>
        <v>0</v>
      </c>
      <c r="G156" s="60">
        <f>ROUND(F156*E156*Input!$C$3/365,0)</f>
        <v>0</v>
      </c>
      <c r="H156" s="60">
        <f>IF($A156&lt;=Input!$C$6,0,IF('120M'!D156&lt;'120M'!F156,'120M'!D156-G156,'120M'!F156))</f>
        <v>0</v>
      </c>
      <c r="I156" s="60">
        <f t="shared" si="102"/>
        <v>0</v>
      </c>
      <c r="J156" s="60">
        <f t="shared" si="103"/>
        <v>0</v>
      </c>
      <c r="K156" s="202">
        <f>J156/Input!$K$5</f>
        <v>0</v>
      </c>
      <c r="L156" s="232"/>
      <c r="M156" s="60">
        <f>IF($B156&lt;Input!$H$43,IF($B156&lt;Input!$G$43,IF($B156&lt;Input!$F$43,IF($B156&lt;Input!$E$43,IF($B156&lt;Input!$D$43,Input!$C$49,Input!$D$49),Input!$E$49),Input!$F$49),Input!$G$49),Input!$H$49)</f>
        <v>33127052.878124986</v>
      </c>
      <c r="N156" s="190">
        <f>IF($A156&lt;Input!$H$50,IF($A156&lt;Input!$G$50,IF($A156&lt;Input!$F$50,IF($A156&lt;Input!$E$50,IF($A156&lt;Input!$D$50,Input!$C$51,Input!$D$51),Input!$E$51),Input!$F$51),Input!$G$51),Input!$H$51)</f>
        <v>0.9</v>
      </c>
      <c r="O156" s="60">
        <f t="shared" si="76"/>
        <v>29814347.590312488</v>
      </c>
      <c r="P156" s="60">
        <f t="shared" si="79"/>
        <v>31</v>
      </c>
      <c r="Q156" s="60">
        <f t="shared" si="80"/>
        <v>0</v>
      </c>
      <c r="R156" s="60">
        <f>ROUND(Q156*$P156*Input!$C$3/365,0)</f>
        <v>0</v>
      </c>
      <c r="S156" s="60">
        <f>IF(A156&lt;=Input!$C$6,0,IF('120M'!O156&lt;'120M'!Q156,'120M'!O156-R156,'120M'!Q156))</f>
        <v>0</v>
      </c>
      <c r="T156" s="60">
        <f t="shared" si="81"/>
        <v>0</v>
      </c>
      <c r="U156" s="60">
        <f t="shared" si="82"/>
        <v>0</v>
      </c>
      <c r="V156" s="193"/>
      <c r="W156" s="169">
        <v>152</v>
      </c>
      <c r="X156" s="1">
        <f t="shared" si="104"/>
        <v>50145</v>
      </c>
      <c r="Y156" s="60">
        <f>IF($X156&lt;Input!$H$58,IF($X156&lt;Input!$G$58,IF($X156&lt;Input!$F$58,IF($X156&lt;Input!$E$58,IF($X156&lt;Input!$D$58,Input!$C$64,Input!$D$64),Input!$E$64),Input!$F$64),Input!$G$64),Input!$H$64)</f>
        <v>0</v>
      </c>
      <c r="Z156" s="190">
        <f>IF($A156&lt;Input!$H$65,IF($A156&lt;Input!$G$65,IF($A156&lt;Input!$F$65,IF($A156&lt;Input!$E$65,IF($A156&lt;Input!$D$65,Input!$C$66,Input!$D$66),Input!$E$66),Input!$F$66),Input!$G$66),Input!$H$66)</f>
        <v>0.9</v>
      </c>
      <c r="AA156" s="60">
        <f t="shared" si="83"/>
        <v>0</v>
      </c>
      <c r="AB156" s="60">
        <f t="shared" si="105"/>
        <v>31</v>
      </c>
      <c r="AC156" s="60">
        <f t="shared" si="84"/>
        <v>0</v>
      </c>
      <c r="AD156" s="60">
        <f>ROUND(AC156*AB156*Input!$C$3/365,0)</f>
        <v>0</v>
      </c>
      <c r="AE156" s="61">
        <f>IF($A156&lt;=Input!$C$6,0,IF('120M'!AA156&lt;'120M'!AC156,'120M'!AA156-AD156,'120M'!AC156))</f>
        <v>0</v>
      </c>
      <c r="AF156" s="61">
        <f t="shared" si="85"/>
        <v>0</v>
      </c>
      <c r="AG156" s="60">
        <f t="shared" si="86"/>
        <v>0</v>
      </c>
      <c r="AH156" s="193"/>
      <c r="AI156" s="169">
        <v>152</v>
      </c>
      <c r="AJ156" s="1">
        <f t="shared" si="106"/>
        <v>50145</v>
      </c>
      <c r="AK156" s="60">
        <f>IF($X156&lt;Input!$H$73,IF($X156&lt;Input!$G$73,IF($X156&lt;Input!$F$73,IF($X156&lt;Input!$E$73,IF($X156&lt;Input!$D$73,Input!$C$79,Input!$D$79),Input!$E$79),Input!$F$79),Input!$G$79),Input!$H$79)</f>
        <v>0</v>
      </c>
      <c r="AL156" s="190">
        <f>IF($A156&lt;Input!$H$80,IF($A156&lt;Input!$G$80,IF($A156&lt;Input!$F$80,IF($A156&lt;Input!$E$80,IF($A156&lt;Input!$D$80,Input!$C$81,Input!$D$81),Input!$E$81),Input!$F$81),Input!$G$81),Input!$H$81)</f>
        <v>0.9</v>
      </c>
      <c r="AM156" s="60">
        <f t="shared" si="87"/>
        <v>0</v>
      </c>
      <c r="AN156" s="60">
        <f t="shared" si="107"/>
        <v>31</v>
      </c>
      <c r="AO156" s="60">
        <f t="shared" si="88"/>
        <v>0</v>
      </c>
      <c r="AP156" s="60">
        <f>ROUND(AO156*AN156*Input!$C$3/365,0)</f>
        <v>0</v>
      </c>
      <c r="AQ156" s="61">
        <f>IF($A156&lt;=Input!$C$6,0,IF('120M'!AM156&lt;'120M'!AO156,'120M'!AM156-AP156,'120M'!AO156))</f>
        <v>0</v>
      </c>
      <c r="AR156" s="61">
        <f t="shared" si="89"/>
        <v>0</v>
      </c>
      <c r="AS156" s="60">
        <f t="shared" si="90"/>
        <v>0</v>
      </c>
      <c r="AT156" s="193"/>
      <c r="AU156" s="169">
        <v>152</v>
      </c>
      <c r="AV156" s="1">
        <f t="shared" si="108"/>
        <v>50145</v>
      </c>
      <c r="AW156" s="60">
        <f>IF($X156&lt;Input!$H$88,IF($X156&lt;Input!$G$88,IF($X156&lt;Input!$F$88,IF($X156&lt;Input!$E$88,IF($X156&lt;Input!$D$88,Input!$C$94,Input!$D$94),Input!$E$94),Input!$F$94),Input!$G$94),Input!$H$94)</f>
        <v>0</v>
      </c>
      <c r="AX156" s="190">
        <f>IF($A156&lt;Input!$H$95,IF($A156&lt;Input!$G$95,IF($A156&lt;Input!$F$95,IF($A156&lt;Input!$E$95,IF($A156&lt;Input!$D$95,Input!$C$96,Input!$D$96),Input!$E$96),Input!$F$96),Input!$G$96),Input!$H$96)</f>
        <v>0.9</v>
      </c>
      <c r="AY156" s="60">
        <f t="shared" si="91"/>
        <v>0</v>
      </c>
      <c r="AZ156" s="60">
        <f t="shared" si="109"/>
        <v>31</v>
      </c>
      <c r="BA156" s="60">
        <f t="shared" si="92"/>
        <v>0</v>
      </c>
      <c r="BB156" s="60">
        <f>ROUND(BA156*AZ156*Input!$C$3/365,0)</f>
        <v>0</v>
      </c>
      <c r="BC156" s="61">
        <f>IF($A156&lt;=Input!$C$6,0,IF('120M'!AY156&lt;'120M'!BA156,'120M'!AY156-BB156,'120M'!BA156))</f>
        <v>0</v>
      </c>
      <c r="BD156" s="61">
        <f t="shared" si="93"/>
        <v>0</v>
      </c>
      <c r="BE156" s="60">
        <f t="shared" si="94"/>
        <v>0</v>
      </c>
      <c r="BF156" s="193"/>
      <c r="BG156" s="169">
        <v>152</v>
      </c>
      <c r="BH156" s="1">
        <f t="shared" si="110"/>
        <v>50145</v>
      </c>
      <c r="BI156" s="60">
        <f>IF($X156&lt;Input!$H$103,IF($X156&lt;Input!$G$103,IF($X156&lt;Input!$F$103,IF($X156&lt;Input!$E$103,IF($X156&lt;Input!$D$103,Input!$C$109,Input!$D$109),Input!$E$109),Input!$F$109),Input!$G$109),Input!$H$109)</f>
        <v>0</v>
      </c>
      <c r="BJ156" s="190">
        <f>IF($A156&lt;Input!$H$110,IF($A156&lt;Input!$G$110,IF($A156&lt;Input!$F$110,IF($A156&lt;Input!$E$110,IF($A156&lt;Input!$D$110,Input!$C$111,Input!$D$111),Input!$E$111),Input!$F$111),Input!$G$111),Input!$H$111)</f>
        <v>0.9</v>
      </c>
      <c r="BK156" s="60">
        <f t="shared" si="95"/>
        <v>0</v>
      </c>
      <c r="BL156" s="60">
        <f t="shared" si="111"/>
        <v>31</v>
      </c>
      <c r="BM156" s="60">
        <f t="shared" si="96"/>
        <v>0</v>
      </c>
      <c r="BN156" s="60">
        <f>ROUND(BM156*BL156*Input!$C$3/365,0)</f>
        <v>0</v>
      </c>
      <c r="BO156" s="61">
        <f>IF($A156&lt;=Input!$C$6,0,IF('120M'!BK156&lt;'120M'!BM156,'120M'!BK156-BN156,'120M'!BM156))</f>
        <v>0</v>
      </c>
      <c r="BP156" s="61">
        <f t="shared" si="97"/>
        <v>0</v>
      </c>
      <c r="BQ156" s="60">
        <f t="shared" si="98"/>
        <v>0</v>
      </c>
      <c r="BR156" s="198"/>
    </row>
    <row r="157" spans="1:70" x14ac:dyDescent="0.25">
      <c r="A157" s="169">
        <v>153</v>
      </c>
      <c r="B157" s="1">
        <f t="shared" si="99"/>
        <v>50175</v>
      </c>
      <c r="C157" s="60">
        <f t="shared" si="77"/>
        <v>33127052.878124986</v>
      </c>
      <c r="D157" s="60">
        <f t="shared" si="78"/>
        <v>29814347.590312488</v>
      </c>
      <c r="E157" s="60">
        <f t="shared" si="100"/>
        <v>30</v>
      </c>
      <c r="F157" s="60">
        <f t="shared" si="101"/>
        <v>0</v>
      </c>
      <c r="G157" s="60">
        <f>ROUND(F157*E157*Input!$C$3/365,0)</f>
        <v>0</v>
      </c>
      <c r="H157" s="60">
        <f>IF($A157&lt;=Input!$C$6,0,IF('120M'!D157&lt;'120M'!F157,'120M'!D157-G157,'120M'!F157))</f>
        <v>0</v>
      </c>
      <c r="I157" s="60">
        <f t="shared" si="102"/>
        <v>0</v>
      </c>
      <c r="J157" s="60">
        <f t="shared" si="103"/>
        <v>0</v>
      </c>
      <c r="K157" s="202">
        <f>J157/Input!$K$5</f>
        <v>0</v>
      </c>
      <c r="L157" s="232"/>
      <c r="M157" s="60">
        <f>IF($B157&lt;Input!$H$43,IF($B157&lt;Input!$G$43,IF($B157&lt;Input!$F$43,IF($B157&lt;Input!$E$43,IF($B157&lt;Input!$D$43,Input!$C$49,Input!$D$49),Input!$E$49),Input!$F$49),Input!$G$49),Input!$H$49)</f>
        <v>33127052.878124986</v>
      </c>
      <c r="N157" s="190">
        <f>IF($A157&lt;Input!$H$50,IF($A157&lt;Input!$G$50,IF($A157&lt;Input!$F$50,IF($A157&lt;Input!$E$50,IF($A157&lt;Input!$D$50,Input!$C$51,Input!$D$51),Input!$E$51),Input!$F$51),Input!$G$51),Input!$H$51)</f>
        <v>0.9</v>
      </c>
      <c r="O157" s="60">
        <f t="shared" si="76"/>
        <v>29814347.590312488</v>
      </c>
      <c r="P157" s="60">
        <f t="shared" si="79"/>
        <v>30</v>
      </c>
      <c r="Q157" s="60">
        <f t="shared" si="80"/>
        <v>0</v>
      </c>
      <c r="R157" s="60">
        <f>ROUND(Q157*$P157*Input!$C$3/365,0)</f>
        <v>0</v>
      </c>
      <c r="S157" s="60">
        <f>IF(A157&lt;=Input!$C$6,0,IF('120M'!O157&lt;'120M'!Q157,'120M'!O157-R157,'120M'!Q157))</f>
        <v>0</v>
      </c>
      <c r="T157" s="60">
        <f t="shared" si="81"/>
        <v>0</v>
      </c>
      <c r="U157" s="60">
        <f t="shared" si="82"/>
        <v>0</v>
      </c>
      <c r="V157" s="193"/>
      <c r="W157" s="169">
        <v>153</v>
      </c>
      <c r="X157" s="1">
        <f t="shared" si="104"/>
        <v>50175</v>
      </c>
      <c r="Y157" s="60">
        <f>IF($X157&lt;Input!$H$58,IF($X157&lt;Input!$G$58,IF($X157&lt;Input!$F$58,IF($X157&lt;Input!$E$58,IF($X157&lt;Input!$D$58,Input!$C$64,Input!$D$64),Input!$E$64),Input!$F$64),Input!$G$64),Input!$H$64)</f>
        <v>0</v>
      </c>
      <c r="Z157" s="190">
        <f>IF($A157&lt;Input!$H$65,IF($A157&lt;Input!$G$65,IF($A157&lt;Input!$F$65,IF($A157&lt;Input!$E$65,IF($A157&lt;Input!$D$65,Input!$C$66,Input!$D$66),Input!$E$66),Input!$F$66),Input!$G$66),Input!$H$66)</f>
        <v>0.9</v>
      </c>
      <c r="AA157" s="60">
        <f t="shared" si="83"/>
        <v>0</v>
      </c>
      <c r="AB157" s="60">
        <f t="shared" si="105"/>
        <v>30</v>
      </c>
      <c r="AC157" s="60">
        <f t="shared" si="84"/>
        <v>0</v>
      </c>
      <c r="AD157" s="60">
        <f>ROUND(AC157*AB157*Input!$C$3/365,0)</f>
        <v>0</v>
      </c>
      <c r="AE157" s="61">
        <f>IF($A157&lt;=Input!$C$6,0,IF('120M'!AA157&lt;'120M'!AC157,'120M'!AA157-AD157,'120M'!AC157))</f>
        <v>0</v>
      </c>
      <c r="AF157" s="61">
        <f t="shared" si="85"/>
        <v>0</v>
      </c>
      <c r="AG157" s="60">
        <f t="shared" si="86"/>
        <v>0</v>
      </c>
      <c r="AH157" s="193"/>
      <c r="AI157" s="169">
        <v>153</v>
      </c>
      <c r="AJ157" s="1">
        <f t="shared" si="106"/>
        <v>50175</v>
      </c>
      <c r="AK157" s="60">
        <f>IF($X157&lt;Input!$H$73,IF($X157&lt;Input!$G$73,IF($X157&lt;Input!$F$73,IF($X157&lt;Input!$E$73,IF($X157&lt;Input!$D$73,Input!$C$79,Input!$D$79),Input!$E$79),Input!$F$79),Input!$G$79),Input!$H$79)</f>
        <v>0</v>
      </c>
      <c r="AL157" s="190">
        <f>IF($A157&lt;Input!$H$80,IF($A157&lt;Input!$G$80,IF($A157&lt;Input!$F$80,IF($A157&lt;Input!$E$80,IF($A157&lt;Input!$D$80,Input!$C$81,Input!$D$81),Input!$E$81),Input!$F$81),Input!$G$81),Input!$H$81)</f>
        <v>0.9</v>
      </c>
      <c r="AM157" s="60">
        <f t="shared" si="87"/>
        <v>0</v>
      </c>
      <c r="AN157" s="60">
        <f t="shared" si="107"/>
        <v>30</v>
      </c>
      <c r="AO157" s="60">
        <f t="shared" si="88"/>
        <v>0</v>
      </c>
      <c r="AP157" s="60">
        <f>ROUND(AO157*AN157*Input!$C$3/365,0)</f>
        <v>0</v>
      </c>
      <c r="AQ157" s="61">
        <f>IF($A157&lt;=Input!$C$6,0,IF('120M'!AM157&lt;'120M'!AO157,'120M'!AM157-AP157,'120M'!AO157))</f>
        <v>0</v>
      </c>
      <c r="AR157" s="61">
        <f t="shared" si="89"/>
        <v>0</v>
      </c>
      <c r="AS157" s="60">
        <f t="shared" si="90"/>
        <v>0</v>
      </c>
      <c r="AT157" s="193"/>
      <c r="AU157" s="169">
        <v>153</v>
      </c>
      <c r="AV157" s="1">
        <f t="shared" si="108"/>
        <v>50175</v>
      </c>
      <c r="AW157" s="60">
        <f>IF($X157&lt;Input!$H$88,IF($X157&lt;Input!$G$88,IF($X157&lt;Input!$F$88,IF($X157&lt;Input!$E$88,IF($X157&lt;Input!$D$88,Input!$C$94,Input!$D$94),Input!$E$94),Input!$F$94),Input!$G$94),Input!$H$94)</f>
        <v>0</v>
      </c>
      <c r="AX157" s="190">
        <f>IF($A157&lt;Input!$H$95,IF($A157&lt;Input!$G$95,IF($A157&lt;Input!$F$95,IF($A157&lt;Input!$E$95,IF($A157&lt;Input!$D$95,Input!$C$96,Input!$D$96),Input!$E$96),Input!$F$96),Input!$G$96),Input!$H$96)</f>
        <v>0.9</v>
      </c>
      <c r="AY157" s="60">
        <f t="shared" si="91"/>
        <v>0</v>
      </c>
      <c r="AZ157" s="60">
        <f t="shared" si="109"/>
        <v>30</v>
      </c>
      <c r="BA157" s="60">
        <f t="shared" si="92"/>
        <v>0</v>
      </c>
      <c r="BB157" s="60">
        <f>ROUND(BA157*AZ157*Input!$C$3/365,0)</f>
        <v>0</v>
      </c>
      <c r="BC157" s="61">
        <f>IF($A157&lt;=Input!$C$6,0,IF('120M'!AY157&lt;'120M'!BA157,'120M'!AY157-BB157,'120M'!BA157))</f>
        <v>0</v>
      </c>
      <c r="BD157" s="61">
        <f t="shared" si="93"/>
        <v>0</v>
      </c>
      <c r="BE157" s="60">
        <f t="shared" si="94"/>
        <v>0</v>
      </c>
      <c r="BF157" s="193"/>
      <c r="BG157" s="169">
        <v>153</v>
      </c>
      <c r="BH157" s="1">
        <f t="shared" si="110"/>
        <v>50175</v>
      </c>
      <c r="BI157" s="60">
        <f>IF($X157&lt;Input!$H$103,IF($X157&lt;Input!$G$103,IF($X157&lt;Input!$F$103,IF($X157&lt;Input!$E$103,IF($X157&lt;Input!$D$103,Input!$C$109,Input!$D$109),Input!$E$109),Input!$F$109),Input!$G$109),Input!$H$109)</f>
        <v>0</v>
      </c>
      <c r="BJ157" s="190">
        <f>IF($A157&lt;Input!$H$110,IF($A157&lt;Input!$G$110,IF($A157&lt;Input!$F$110,IF($A157&lt;Input!$E$110,IF($A157&lt;Input!$D$110,Input!$C$111,Input!$D$111),Input!$E$111),Input!$F$111),Input!$G$111),Input!$H$111)</f>
        <v>0.9</v>
      </c>
      <c r="BK157" s="60">
        <f t="shared" si="95"/>
        <v>0</v>
      </c>
      <c r="BL157" s="60">
        <f t="shared" si="111"/>
        <v>30</v>
      </c>
      <c r="BM157" s="60">
        <f t="shared" si="96"/>
        <v>0</v>
      </c>
      <c r="BN157" s="60">
        <f>ROUND(BM157*BL157*Input!$C$3/365,0)</f>
        <v>0</v>
      </c>
      <c r="BO157" s="61">
        <f>IF($A157&lt;=Input!$C$6,0,IF('120M'!BK157&lt;'120M'!BM157,'120M'!BK157-BN157,'120M'!BM157))</f>
        <v>0</v>
      </c>
      <c r="BP157" s="61">
        <f t="shared" si="97"/>
        <v>0</v>
      </c>
      <c r="BQ157" s="60">
        <f t="shared" si="98"/>
        <v>0</v>
      </c>
      <c r="BR157" s="198"/>
    </row>
    <row r="158" spans="1:70" x14ac:dyDescent="0.25">
      <c r="A158" s="169">
        <v>154</v>
      </c>
      <c r="B158" s="1">
        <f t="shared" si="99"/>
        <v>50206</v>
      </c>
      <c r="C158" s="60">
        <f t="shared" si="77"/>
        <v>33127052.878124986</v>
      </c>
      <c r="D158" s="60">
        <f t="shared" si="78"/>
        <v>29814347.590312488</v>
      </c>
      <c r="E158" s="60">
        <f t="shared" si="100"/>
        <v>31</v>
      </c>
      <c r="F158" s="60">
        <f t="shared" si="101"/>
        <v>0</v>
      </c>
      <c r="G158" s="60">
        <f>ROUND(F158*E158*Input!$C$3/365,0)</f>
        <v>0</v>
      </c>
      <c r="H158" s="60">
        <f>IF($A158&lt;=Input!$C$6,0,IF('120M'!D158&lt;'120M'!F158,'120M'!D158-G158,'120M'!F158))</f>
        <v>0</v>
      </c>
      <c r="I158" s="60">
        <f t="shared" si="102"/>
        <v>0</v>
      </c>
      <c r="J158" s="60">
        <f t="shared" si="103"/>
        <v>0</v>
      </c>
      <c r="K158" s="202">
        <f>J158/Input!$K$5</f>
        <v>0</v>
      </c>
      <c r="L158" s="232"/>
      <c r="M158" s="60">
        <f>IF($B158&lt;Input!$H$43,IF($B158&lt;Input!$G$43,IF($B158&lt;Input!$F$43,IF($B158&lt;Input!$E$43,IF($B158&lt;Input!$D$43,Input!$C$49,Input!$D$49),Input!$E$49),Input!$F$49),Input!$G$49),Input!$H$49)</f>
        <v>33127052.878124986</v>
      </c>
      <c r="N158" s="190">
        <f>IF($A158&lt;Input!$H$50,IF($A158&lt;Input!$G$50,IF($A158&lt;Input!$F$50,IF($A158&lt;Input!$E$50,IF($A158&lt;Input!$D$50,Input!$C$51,Input!$D$51),Input!$E$51),Input!$F$51),Input!$G$51),Input!$H$51)</f>
        <v>0.9</v>
      </c>
      <c r="O158" s="60">
        <f t="shared" si="76"/>
        <v>29814347.590312488</v>
      </c>
      <c r="P158" s="60">
        <f t="shared" si="79"/>
        <v>31</v>
      </c>
      <c r="Q158" s="60">
        <f t="shared" si="80"/>
        <v>0</v>
      </c>
      <c r="R158" s="60">
        <f>ROUND(Q158*$P158*Input!$C$3/365,0)</f>
        <v>0</v>
      </c>
      <c r="S158" s="60">
        <f>IF(A158&lt;=Input!$C$6,0,IF('120M'!O158&lt;'120M'!Q158,'120M'!O158-R158,'120M'!Q158))</f>
        <v>0</v>
      </c>
      <c r="T158" s="60">
        <f t="shared" si="81"/>
        <v>0</v>
      </c>
      <c r="U158" s="60">
        <f t="shared" si="82"/>
        <v>0</v>
      </c>
      <c r="V158" s="193"/>
      <c r="W158" s="169">
        <v>154</v>
      </c>
      <c r="X158" s="1">
        <f t="shared" si="104"/>
        <v>50206</v>
      </c>
      <c r="Y158" s="60">
        <f>IF($X158&lt;Input!$H$58,IF($X158&lt;Input!$G$58,IF($X158&lt;Input!$F$58,IF($X158&lt;Input!$E$58,IF($X158&lt;Input!$D$58,Input!$C$64,Input!$D$64),Input!$E$64),Input!$F$64),Input!$G$64),Input!$H$64)</f>
        <v>0</v>
      </c>
      <c r="Z158" s="190">
        <f>IF($A158&lt;Input!$H$65,IF($A158&lt;Input!$G$65,IF($A158&lt;Input!$F$65,IF($A158&lt;Input!$E$65,IF($A158&lt;Input!$D$65,Input!$C$66,Input!$D$66),Input!$E$66),Input!$F$66),Input!$G$66),Input!$H$66)</f>
        <v>0.9</v>
      </c>
      <c r="AA158" s="60">
        <f t="shared" si="83"/>
        <v>0</v>
      </c>
      <c r="AB158" s="60">
        <f t="shared" si="105"/>
        <v>31</v>
      </c>
      <c r="AC158" s="60">
        <f t="shared" si="84"/>
        <v>0</v>
      </c>
      <c r="AD158" s="60">
        <f>ROUND(AC158*AB158*Input!$C$3/365,0)</f>
        <v>0</v>
      </c>
      <c r="AE158" s="61">
        <f>IF($A158&lt;=Input!$C$6,0,IF('120M'!AA158&lt;'120M'!AC158,'120M'!AA158-AD158,'120M'!AC158))</f>
        <v>0</v>
      </c>
      <c r="AF158" s="61">
        <f t="shared" si="85"/>
        <v>0</v>
      </c>
      <c r="AG158" s="60">
        <f t="shared" si="86"/>
        <v>0</v>
      </c>
      <c r="AH158" s="193"/>
      <c r="AI158" s="169">
        <v>154</v>
      </c>
      <c r="AJ158" s="1">
        <f t="shared" si="106"/>
        <v>50206</v>
      </c>
      <c r="AK158" s="60">
        <f>IF($X158&lt;Input!$H$73,IF($X158&lt;Input!$G$73,IF($X158&lt;Input!$F$73,IF($X158&lt;Input!$E$73,IF($X158&lt;Input!$D$73,Input!$C$79,Input!$D$79),Input!$E$79),Input!$F$79),Input!$G$79),Input!$H$79)</f>
        <v>0</v>
      </c>
      <c r="AL158" s="190">
        <f>IF($A158&lt;Input!$H$80,IF($A158&lt;Input!$G$80,IF($A158&lt;Input!$F$80,IF($A158&lt;Input!$E$80,IF($A158&lt;Input!$D$80,Input!$C$81,Input!$D$81),Input!$E$81),Input!$F$81),Input!$G$81),Input!$H$81)</f>
        <v>0.9</v>
      </c>
      <c r="AM158" s="60">
        <f t="shared" si="87"/>
        <v>0</v>
      </c>
      <c r="AN158" s="60">
        <f t="shared" si="107"/>
        <v>31</v>
      </c>
      <c r="AO158" s="60">
        <f t="shared" si="88"/>
        <v>0</v>
      </c>
      <c r="AP158" s="60">
        <f>ROUND(AO158*AN158*Input!$C$3/365,0)</f>
        <v>0</v>
      </c>
      <c r="AQ158" s="61">
        <f>IF($A158&lt;=Input!$C$6,0,IF('120M'!AM158&lt;'120M'!AO158,'120M'!AM158-AP158,'120M'!AO158))</f>
        <v>0</v>
      </c>
      <c r="AR158" s="61">
        <f t="shared" si="89"/>
        <v>0</v>
      </c>
      <c r="AS158" s="60">
        <f t="shared" si="90"/>
        <v>0</v>
      </c>
      <c r="AT158" s="193"/>
      <c r="AU158" s="169">
        <v>154</v>
      </c>
      <c r="AV158" s="1">
        <f t="shared" si="108"/>
        <v>50206</v>
      </c>
      <c r="AW158" s="60">
        <f>IF($X158&lt;Input!$H$88,IF($X158&lt;Input!$G$88,IF($X158&lt;Input!$F$88,IF($X158&lt;Input!$E$88,IF($X158&lt;Input!$D$88,Input!$C$94,Input!$D$94),Input!$E$94),Input!$F$94),Input!$G$94),Input!$H$94)</f>
        <v>0</v>
      </c>
      <c r="AX158" s="190">
        <f>IF($A158&lt;Input!$H$95,IF($A158&lt;Input!$G$95,IF($A158&lt;Input!$F$95,IF($A158&lt;Input!$E$95,IF($A158&lt;Input!$D$95,Input!$C$96,Input!$D$96),Input!$E$96),Input!$F$96),Input!$G$96),Input!$H$96)</f>
        <v>0.9</v>
      </c>
      <c r="AY158" s="60">
        <f t="shared" si="91"/>
        <v>0</v>
      </c>
      <c r="AZ158" s="60">
        <f t="shared" si="109"/>
        <v>31</v>
      </c>
      <c r="BA158" s="60">
        <f t="shared" si="92"/>
        <v>0</v>
      </c>
      <c r="BB158" s="60">
        <f>ROUND(BA158*AZ158*Input!$C$3/365,0)</f>
        <v>0</v>
      </c>
      <c r="BC158" s="61">
        <f>IF($A158&lt;=Input!$C$6,0,IF('120M'!AY158&lt;'120M'!BA158,'120M'!AY158-BB158,'120M'!BA158))</f>
        <v>0</v>
      </c>
      <c r="BD158" s="61">
        <f t="shared" si="93"/>
        <v>0</v>
      </c>
      <c r="BE158" s="60">
        <f t="shared" si="94"/>
        <v>0</v>
      </c>
      <c r="BF158" s="193"/>
      <c r="BG158" s="169">
        <v>154</v>
      </c>
      <c r="BH158" s="1">
        <f t="shared" si="110"/>
        <v>50206</v>
      </c>
      <c r="BI158" s="60">
        <f>IF($X158&lt;Input!$H$103,IF($X158&lt;Input!$G$103,IF($X158&lt;Input!$F$103,IF($X158&lt;Input!$E$103,IF($X158&lt;Input!$D$103,Input!$C$109,Input!$D$109),Input!$E$109),Input!$F$109),Input!$G$109),Input!$H$109)</f>
        <v>0</v>
      </c>
      <c r="BJ158" s="190">
        <f>IF($A158&lt;Input!$H$110,IF($A158&lt;Input!$G$110,IF($A158&lt;Input!$F$110,IF($A158&lt;Input!$E$110,IF($A158&lt;Input!$D$110,Input!$C$111,Input!$D$111),Input!$E$111),Input!$F$111),Input!$G$111),Input!$H$111)</f>
        <v>0.9</v>
      </c>
      <c r="BK158" s="60">
        <f t="shared" si="95"/>
        <v>0</v>
      </c>
      <c r="BL158" s="60">
        <f t="shared" si="111"/>
        <v>31</v>
      </c>
      <c r="BM158" s="60">
        <f t="shared" si="96"/>
        <v>0</v>
      </c>
      <c r="BN158" s="60">
        <f>ROUND(BM158*BL158*Input!$C$3/365,0)</f>
        <v>0</v>
      </c>
      <c r="BO158" s="61">
        <f>IF($A158&lt;=Input!$C$6,0,IF('120M'!BK158&lt;'120M'!BM158,'120M'!BK158-BN158,'120M'!BM158))</f>
        <v>0</v>
      </c>
      <c r="BP158" s="61">
        <f t="shared" si="97"/>
        <v>0</v>
      </c>
      <c r="BQ158" s="60">
        <f t="shared" si="98"/>
        <v>0</v>
      </c>
      <c r="BR158" s="198"/>
    </row>
    <row r="159" spans="1:70" x14ac:dyDescent="0.25">
      <c r="A159" s="169">
        <v>155</v>
      </c>
      <c r="B159" s="1">
        <f t="shared" si="99"/>
        <v>50236</v>
      </c>
      <c r="C159" s="60">
        <f t="shared" si="77"/>
        <v>33127052.878124986</v>
      </c>
      <c r="D159" s="60">
        <f t="shared" si="78"/>
        <v>29814347.590312488</v>
      </c>
      <c r="E159" s="60">
        <f t="shared" si="100"/>
        <v>30</v>
      </c>
      <c r="F159" s="60">
        <f t="shared" si="101"/>
        <v>0</v>
      </c>
      <c r="G159" s="60">
        <f>ROUND(F159*E159*Input!$C$3/365,0)</f>
        <v>0</v>
      </c>
      <c r="H159" s="60">
        <f>IF($A159&lt;=Input!$C$6,0,IF('120M'!D159&lt;'120M'!F159,'120M'!D159-G159,'120M'!F159))</f>
        <v>0</v>
      </c>
      <c r="I159" s="60">
        <f t="shared" si="102"/>
        <v>0</v>
      </c>
      <c r="J159" s="60">
        <f t="shared" si="103"/>
        <v>0</v>
      </c>
      <c r="K159" s="202">
        <f>J159/Input!$K$5</f>
        <v>0</v>
      </c>
      <c r="L159" s="232"/>
      <c r="M159" s="60">
        <f>IF($B159&lt;Input!$H$43,IF($B159&lt;Input!$G$43,IF($B159&lt;Input!$F$43,IF($B159&lt;Input!$E$43,IF($B159&lt;Input!$D$43,Input!$C$49,Input!$D$49),Input!$E$49),Input!$F$49),Input!$G$49),Input!$H$49)</f>
        <v>33127052.878124986</v>
      </c>
      <c r="N159" s="190">
        <f>IF($A159&lt;Input!$H$50,IF($A159&lt;Input!$G$50,IF($A159&lt;Input!$F$50,IF($A159&lt;Input!$E$50,IF($A159&lt;Input!$D$50,Input!$C$51,Input!$D$51),Input!$E$51),Input!$F$51),Input!$G$51),Input!$H$51)</f>
        <v>0.9</v>
      </c>
      <c r="O159" s="60">
        <f t="shared" si="76"/>
        <v>29814347.590312488</v>
      </c>
      <c r="P159" s="60">
        <f t="shared" si="79"/>
        <v>30</v>
      </c>
      <c r="Q159" s="60">
        <f t="shared" si="80"/>
        <v>0</v>
      </c>
      <c r="R159" s="60">
        <f>ROUND(Q159*$P159*Input!$C$3/365,0)</f>
        <v>0</v>
      </c>
      <c r="S159" s="60">
        <f>IF(A159&lt;=Input!$C$6,0,IF('120M'!O159&lt;'120M'!Q159,'120M'!O159-R159,'120M'!Q159))</f>
        <v>0</v>
      </c>
      <c r="T159" s="60">
        <f t="shared" si="81"/>
        <v>0</v>
      </c>
      <c r="U159" s="60">
        <f t="shared" si="82"/>
        <v>0</v>
      </c>
      <c r="V159" s="193"/>
      <c r="W159" s="169">
        <v>155</v>
      </c>
      <c r="X159" s="1">
        <f t="shared" si="104"/>
        <v>50236</v>
      </c>
      <c r="Y159" s="60">
        <f>IF($X159&lt;Input!$H$58,IF($X159&lt;Input!$G$58,IF($X159&lt;Input!$F$58,IF($X159&lt;Input!$E$58,IF($X159&lt;Input!$D$58,Input!$C$64,Input!$D$64),Input!$E$64),Input!$F$64),Input!$G$64),Input!$H$64)</f>
        <v>0</v>
      </c>
      <c r="Z159" s="190">
        <f>IF($A159&lt;Input!$H$65,IF($A159&lt;Input!$G$65,IF($A159&lt;Input!$F$65,IF($A159&lt;Input!$E$65,IF($A159&lt;Input!$D$65,Input!$C$66,Input!$D$66),Input!$E$66),Input!$F$66),Input!$G$66),Input!$H$66)</f>
        <v>0.9</v>
      </c>
      <c r="AA159" s="60">
        <f t="shared" si="83"/>
        <v>0</v>
      </c>
      <c r="AB159" s="60">
        <f t="shared" si="105"/>
        <v>30</v>
      </c>
      <c r="AC159" s="60">
        <f t="shared" si="84"/>
        <v>0</v>
      </c>
      <c r="AD159" s="60">
        <f>ROUND(AC159*AB159*Input!$C$3/365,0)</f>
        <v>0</v>
      </c>
      <c r="AE159" s="61">
        <f>IF($A159&lt;=Input!$C$6,0,IF('120M'!AA159&lt;'120M'!AC159,'120M'!AA159-AD159,'120M'!AC159))</f>
        <v>0</v>
      </c>
      <c r="AF159" s="61">
        <f t="shared" si="85"/>
        <v>0</v>
      </c>
      <c r="AG159" s="60">
        <f t="shared" si="86"/>
        <v>0</v>
      </c>
      <c r="AH159" s="193"/>
      <c r="AI159" s="169">
        <v>155</v>
      </c>
      <c r="AJ159" s="1">
        <f t="shared" si="106"/>
        <v>50236</v>
      </c>
      <c r="AK159" s="60">
        <f>IF($X159&lt;Input!$H$73,IF($X159&lt;Input!$G$73,IF($X159&lt;Input!$F$73,IF($X159&lt;Input!$E$73,IF($X159&lt;Input!$D$73,Input!$C$79,Input!$D$79),Input!$E$79),Input!$F$79),Input!$G$79),Input!$H$79)</f>
        <v>0</v>
      </c>
      <c r="AL159" s="190">
        <f>IF($A159&lt;Input!$H$80,IF($A159&lt;Input!$G$80,IF($A159&lt;Input!$F$80,IF($A159&lt;Input!$E$80,IF($A159&lt;Input!$D$80,Input!$C$81,Input!$D$81),Input!$E$81),Input!$F$81),Input!$G$81),Input!$H$81)</f>
        <v>0.9</v>
      </c>
      <c r="AM159" s="60">
        <f t="shared" si="87"/>
        <v>0</v>
      </c>
      <c r="AN159" s="60">
        <f t="shared" si="107"/>
        <v>30</v>
      </c>
      <c r="AO159" s="60">
        <f t="shared" si="88"/>
        <v>0</v>
      </c>
      <c r="AP159" s="60">
        <f>ROUND(AO159*AN159*Input!$C$3/365,0)</f>
        <v>0</v>
      </c>
      <c r="AQ159" s="61">
        <f>IF($A159&lt;=Input!$C$6,0,IF('120M'!AM159&lt;'120M'!AO159,'120M'!AM159-AP159,'120M'!AO159))</f>
        <v>0</v>
      </c>
      <c r="AR159" s="61">
        <f t="shared" si="89"/>
        <v>0</v>
      </c>
      <c r="AS159" s="60">
        <f t="shared" si="90"/>
        <v>0</v>
      </c>
      <c r="AT159" s="193"/>
      <c r="AU159" s="169">
        <v>155</v>
      </c>
      <c r="AV159" s="1">
        <f t="shared" si="108"/>
        <v>50236</v>
      </c>
      <c r="AW159" s="60">
        <f>IF($X159&lt;Input!$H$88,IF($X159&lt;Input!$G$88,IF($X159&lt;Input!$F$88,IF($X159&lt;Input!$E$88,IF($X159&lt;Input!$D$88,Input!$C$94,Input!$D$94),Input!$E$94),Input!$F$94),Input!$G$94),Input!$H$94)</f>
        <v>0</v>
      </c>
      <c r="AX159" s="190">
        <f>IF($A159&lt;Input!$H$95,IF($A159&lt;Input!$G$95,IF($A159&lt;Input!$F$95,IF($A159&lt;Input!$E$95,IF($A159&lt;Input!$D$95,Input!$C$96,Input!$D$96),Input!$E$96),Input!$F$96),Input!$G$96),Input!$H$96)</f>
        <v>0.9</v>
      </c>
      <c r="AY159" s="60">
        <f t="shared" si="91"/>
        <v>0</v>
      </c>
      <c r="AZ159" s="60">
        <f t="shared" si="109"/>
        <v>30</v>
      </c>
      <c r="BA159" s="60">
        <f t="shared" si="92"/>
        <v>0</v>
      </c>
      <c r="BB159" s="60">
        <f>ROUND(BA159*AZ159*Input!$C$3/365,0)</f>
        <v>0</v>
      </c>
      <c r="BC159" s="61">
        <f>IF($A159&lt;=Input!$C$6,0,IF('120M'!AY159&lt;'120M'!BA159,'120M'!AY159-BB159,'120M'!BA159))</f>
        <v>0</v>
      </c>
      <c r="BD159" s="61">
        <f t="shared" si="93"/>
        <v>0</v>
      </c>
      <c r="BE159" s="60">
        <f t="shared" si="94"/>
        <v>0</v>
      </c>
      <c r="BF159" s="193"/>
      <c r="BG159" s="169">
        <v>155</v>
      </c>
      <c r="BH159" s="1">
        <f t="shared" si="110"/>
        <v>50236</v>
      </c>
      <c r="BI159" s="60">
        <f>IF($X159&lt;Input!$H$103,IF($X159&lt;Input!$G$103,IF($X159&lt;Input!$F$103,IF($X159&lt;Input!$E$103,IF($X159&lt;Input!$D$103,Input!$C$109,Input!$D$109),Input!$E$109),Input!$F$109),Input!$G$109),Input!$H$109)</f>
        <v>0</v>
      </c>
      <c r="BJ159" s="190">
        <f>IF($A159&lt;Input!$H$110,IF($A159&lt;Input!$G$110,IF($A159&lt;Input!$F$110,IF($A159&lt;Input!$E$110,IF($A159&lt;Input!$D$110,Input!$C$111,Input!$D$111),Input!$E$111),Input!$F$111),Input!$G$111),Input!$H$111)</f>
        <v>0.9</v>
      </c>
      <c r="BK159" s="60">
        <f t="shared" si="95"/>
        <v>0</v>
      </c>
      <c r="BL159" s="60">
        <f t="shared" si="111"/>
        <v>30</v>
      </c>
      <c r="BM159" s="60">
        <f t="shared" si="96"/>
        <v>0</v>
      </c>
      <c r="BN159" s="60">
        <f>ROUND(BM159*BL159*Input!$C$3/365,0)</f>
        <v>0</v>
      </c>
      <c r="BO159" s="61">
        <f>IF($A159&lt;=Input!$C$6,0,IF('120M'!BK159&lt;'120M'!BM159,'120M'!BK159-BN159,'120M'!BM159))</f>
        <v>0</v>
      </c>
      <c r="BP159" s="61">
        <f t="shared" si="97"/>
        <v>0</v>
      </c>
      <c r="BQ159" s="60">
        <f t="shared" si="98"/>
        <v>0</v>
      </c>
      <c r="BR159" s="198"/>
    </row>
    <row r="160" spans="1:70" x14ac:dyDescent="0.25">
      <c r="A160" s="169">
        <v>156</v>
      </c>
      <c r="B160" s="1">
        <f t="shared" si="99"/>
        <v>50267</v>
      </c>
      <c r="C160" s="60">
        <f t="shared" si="77"/>
        <v>33127052.878124986</v>
      </c>
      <c r="D160" s="60">
        <f t="shared" si="78"/>
        <v>29814347.590312488</v>
      </c>
      <c r="E160" s="60">
        <f t="shared" si="100"/>
        <v>31</v>
      </c>
      <c r="F160" s="60">
        <f t="shared" si="101"/>
        <v>0</v>
      </c>
      <c r="G160" s="60">
        <f>ROUND(F160*E160*Input!$C$3/365,0)</f>
        <v>0</v>
      </c>
      <c r="H160" s="60">
        <f>IF($A160&lt;=Input!$C$6,0,IF('120M'!D160&lt;'120M'!F160,'120M'!D160-G160,'120M'!F160))</f>
        <v>0</v>
      </c>
      <c r="I160" s="60">
        <f t="shared" si="102"/>
        <v>0</v>
      </c>
      <c r="J160" s="60">
        <f t="shared" si="103"/>
        <v>0</v>
      </c>
      <c r="K160" s="202">
        <f>J160/Input!$K$5</f>
        <v>0</v>
      </c>
      <c r="L160" s="232"/>
      <c r="M160" s="60">
        <f>IF($B160&lt;Input!$H$43,IF($B160&lt;Input!$G$43,IF($B160&lt;Input!$F$43,IF($B160&lt;Input!$E$43,IF($B160&lt;Input!$D$43,Input!$C$49,Input!$D$49),Input!$E$49),Input!$F$49),Input!$G$49),Input!$H$49)</f>
        <v>33127052.878124986</v>
      </c>
      <c r="N160" s="190">
        <f>IF($A160&lt;Input!$H$50,IF($A160&lt;Input!$G$50,IF($A160&lt;Input!$F$50,IF($A160&lt;Input!$E$50,IF($A160&lt;Input!$D$50,Input!$C$51,Input!$D$51),Input!$E$51),Input!$F$51),Input!$G$51),Input!$H$51)</f>
        <v>0.9</v>
      </c>
      <c r="O160" s="60">
        <f t="shared" si="76"/>
        <v>29814347.590312488</v>
      </c>
      <c r="P160" s="60">
        <f t="shared" si="79"/>
        <v>31</v>
      </c>
      <c r="Q160" s="60">
        <f t="shared" si="80"/>
        <v>0</v>
      </c>
      <c r="R160" s="60">
        <f>ROUND(Q160*$P160*Input!$C$3/365,0)</f>
        <v>0</v>
      </c>
      <c r="S160" s="60">
        <f>IF(A160&lt;=Input!$C$6,0,IF('120M'!O160&lt;'120M'!Q160,'120M'!O160-R160,'120M'!Q160))</f>
        <v>0</v>
      </c>
      <c r="T160" s="60">
        <f t="shared" si="81"/>
        <v>0</v>
      </c>
      <c r="U160" s="60">
        <f t="shared" si="82"/>
        <v>0</v>
      </c>
      <c r="V160" s="193"/>
      <c r="W160" s="169">
        <v>156</v>
      </c>
      <c r="X160" s="1">
        <f t="shared" si="104"/>
        <v>50267</v>
      </c>
      <c r="Y160" s="60">
        <f>IF($X160&lt;Input!$H$58,IF($X160&lt;Input!$G$58,IF($X160&lt;Input!$F$58,IF($X160&lt;Input!$E$58,IF($X160&lt;Input!$D$58,Input!$C$64,Input!$D$64),Input!$E$64),Input!$F$64),Input!$G$64),Input!$H$64)</f>
        <v>0</v>
      </c>
      <c r="Z160" s="190">
        <f>IF($A160&lt;Input!$H$65,IF($A160&lt;Input!$G$65,IF($A160&lt;Input!$F$65,IF($A160&lt;Input!$E$65,IF($A160&lt;Input!$D$65,Input!$C$66,Input!$D$66),Input!$E$66),Input!$F$66),Input!$G$66),Input!$H$66)</f>
        <v>0.9</v>
      </c>
      <c r="AA160" s="60">
        <f t="shared" si="83"/>
        <v>0</v>
      </c>
      <c r="AB160" s="60">
        <f t="shared" si="105"/>
        <v>31</v>
      </c>
      <c r="AC160" s="60">
        <f t="shared" si="84"/>
        <v>0</v>
      </c>
      <c r="AD160" s="60">
        <f>ROUND(AC160*AB160*Input!$C$3/365,0)</f>
        <v>0</v>
      </c>
      <c r="AE160" s="61">
        <f>IF($A160&lt;=Input!$C$6,0,IF('120M'!AA160&lt;'120M'!AC160,'120M'!AA160-AD160,'120M'!AC160))</f>
        <v>0</v>
      </c>
      <c r="AF160" s="61">
        <f t="shared" si="85"/>
        <v>0</v>
      </c>
      <c r="AG160" s="60">
        <f t="shared" si="86"/>
        <v>0</v>
      </c>
      <c r="AH160" s="193"/>
      <c r="AI160" s="169">
        <v>156</v>
      </c>
      <c r="AJ160" s="1">
        <f t="shared" si="106"/>
        <v>50267</v>
      </c>
      <c r="AK160" s="60">
        <f>IF($X160&lt;Input!$H$73,IF($X160&lt;Input!$G$73,IF($X160&lt;Input!$F$73,IF($X160&lt;Input!$E$73,IF($X160&lt;Input!$D$73,Input!$C$79,Input!$D$79),Input!$E$79),Input!$F$79),Input!$G$79),Input!$H$79)</f>
        <v>0</v>
      </c>
      <c r="AL160" s="190">
        <f>IF($A160&lt;Input!$H$80,IF($A160&lt;Input!$G$80,IF($A160&lt;Input!$F$80,IF($A160&lt;Input!$E$80,IF($A160&lt;Input!$D$80,Input!$C$81,Input!$D$81),Input!$E$81),Input!$F$81),Input!$G$81),Input!$H$81)</f>
        <v>0.9</v>
      </c>
      <c r="AM160" s="60">
        <f t="shared" si="87"/>
        <v>0</v>
      </c>
      <c r="AN160" s="60">
        <f t="shared" si="107"/>
        <v>31</v>
      </c>
      <c r="AO160" s="60">
        <f t="shared" si="88"/>
        <v>0</v>
      </c>
      <c r="AP160" s="60">
        <f>ROUND(AO160*AN160*Input!$C$3/365,0)</f>
        <v>0</v>
      </c>
      <c r="AQ160" s="61">
        <f>IF($A160&lt;=Input!$C$6,0,IF('120M'!AM160&lt;'120M'!AO160,'120M'!AM160-AP160,'120M'!AO160))</f>
        <v>0</v>
      </c>
      <c r="AR160" s="61">
        <f t="shared" si="89"/>
        <v>0</v>
      </c>
      <c r="AS160" s="60">
        <f t="shared" si="90"/>
        <v>0</v>
      </c>
      <c r="AT160" s="193"/>
      <c r="AU160" s="169">
        <v>156</v>
      </c>
      <c r="AV160" s="1">
        <f t="shared" si="108"/>
        <v>50267</v>
      </c>
      <c r="AW160" s="60">
        <f>IF($X160&lt;Input!$H$88,IF($X160&lt;Input!$G$88,IF($X160&lt;Input!$F$88,IF($X160&lt;Input!$E$88,IF($X160&lt;Input!$D$88,Input!$C$94,Input!$D$94),Input!$E$94),Input!$F$94),Input!$G$94),Input!$H$94)</f>
        <v>0</v>
      </c>
      <c r="AX160" s="190">
        <f>IF($A160&lt;Input!$H$95,IF($A160&lt;Input!$G$95,IF($A160&lt;Input!$F$95,IF($A160&lt;Input!$E$95,IF($A160&lt;Input!$D$95,Input!$C$96,Input!$D$96),Input!$E$96),Input!$F$96),Input!$G$96),Input!$H$96)</f>
        <v>0.9</v>
      </c>
      <c r="AY160" s="60">
        <f t="shared" si="91"/>
        <v>0</v>
      </c>
      <c r="AZ160" s="60">
        <f t="shared" si="109"/>
        <v>31</v>
      </c>
      <c r="BA160" s="60">
        <f t="shared" si="92"/>
        <v>0</v>
      </c>
      <c r="BB160" s="60">
        <f>ROUND(BA160*AZ160*Input!$C$3/365,0)</f>
        <v>0</v>
      </c>
      <c r="BC160" s="61">
        <f>IF($A160&lt;=Input!$C$6,0,IF('120M'!AY160&lt;'120M'!BA160,'120M'!AY160-BB160,'120M'!BA160))</f>
        <v>0</v>
      </c>
      <c r="BD160" s="61">
        <f t="shared" si="93"/>
        <v>0</v>
      </c>
      <c r="BE160" s="60">
        <f t="shared" si="94"/>
        <v>0</v>
      </c>
      <c r="BF160" s="193"/>
      <c r="BG160" s="169">
        <v>156</v>
      </c>
      <c r="BH160" s="1">
        <f t="shared" si="110"/>
        <v>50267</v>
      </c>
      <c r="BI160" s="60">
        <f>IF($X160&lt;Input!$H$103,IF($X160&lt;Input!$G$103,IF($X160&lt;Input!$F$103,IF($X160&lt;Input!$E$103,IF($X160&lt;Input!$D$103,Input!$C$109,Input!$D$109),Input!$E$109),Input!$F$109),Input!$G$109),Input!$H$109)</f>
        <v>0</v>
      </c>
      <c r="BJ160" s="190">
        <f>IF($A160&lt;Input!$H$110,IF($A160&lt;Input!$G$110,IF($A160&lt;Input!$F$110,IF($A160&lt;Input!$E$110,IF($A160&lt;Input!$D$110,Input!$C$111,Input!$D$111),Input!$E$111),Input!$F$111),Input!$G$111),Input!$H$111)</f>
        <v>0.9</v>
      </c>
      <c r="BK160" s="60">
        <f t="shared" si="95"/>
        <v>0</v>
      </c>
      <c r="BL160" s="60">
        <f t="shared" si="111"/>
        <v>31</v>
      </c>
      <c r="BM160" s="60">
        <f t="shared" si="96"/>
        <v>0</v>
      </c>
      <c r="BN160" s="60">
        <f>ROUND(BM160*BL160*Input!$C$3/365,0)</f>
        <v>0</v>
      </c>
      <c r="BO160" s="61">
        <f>IF($A160&lt;=Input!$C$6,0,IF('120M'!BK160&lt;'120M'!BM160,'120M'!BK160-BN160,'120M'!BM160))</f>
        <v>0</v>
      </c>
      <c r="BP160" s="61">
        <f t="shared" si="97"/>
        <v>0</v>
      </c>
      <c r="BQ160" s="60">
        <f t="shared" si="98"/>
        <v>0</v>
      </c>
      <c r="BR160" s="198"/>
    </row>
    <row r="161" spans="1:70" x14ac:dyDescent="0.25">
      <c r="A161" s="169">
        <v>157</v>
      </c>
      <c r="B161" s="1">
        <f t="shared" si="99"/>
        <v>50298</v>
      </c>
      <c r="C161" s="60">
        <f t="shared" si="77"/>
        <v>33127052.878124986</v>
      </c>
      <c r="D161" s="60">
        <f t="shared" si="78"/>
        <v>29814347.590312488</v>
      </c>
      <c r="E161" s="60">
        <f t="shared" si="100"/>
        <v>31</v>
      </c>
      <c r="F161" s="60">
        <f t="shared" si="101"/>
        <v>0</v>
      </c>
      <c r="G161" s="60">
        <f>ROUND(F161*E161*Input!$C$3/365,0)</f>
        <v>0</v>
      </c>
      <c r="H161" s="60">
        <f>IF($A161&lt;=Input!$C$6,0,IF('120M'!D161&lt;'120M'!F161,'120M'!D161-G161,'120M'!F161))</f>
        <v>0</v>
      </c>
      <c r="I161" s="60">
        <f t="shared" si="102"/>
        <v>0</v>
      </c>
      <c r="J161" s="60">
        <f t="shared" si="103"/>
        <v>0</v>
      </c>
      <c r="K161" s="202">
        <f>J161/Input!$K$5</f>
        <v>0</v>
      </c>
      <c r="L161" s="232"/>
      <c r="M161" s="60">
        <f>IF($B161&lt;Input!$H$43,IF($B161&lt;Input!$G$43,IF($B161&lt;Input!$F$43,IF($B161&lt;Input!$E$43,IF($B161&lt;Input!$D$43,Input!$C$49,Input!$D$49),Input!$E$49),Input!$F$49),Input!$G$49),Input!$H$49)</f>
        <v>33127052.878124986</v>
      </c>
      <c r="N161" s="190">
        <f>IF($A161&lt;Input!$H$50,IF($A161&lt;Input!$G$50,IF($A161&lt;Input!$F$50,IF($A161&lt;Input!$E$50,IF($A161&lt;Input!$D$50,Input!$C$51,Input!$D$51),Input!$E$51),Input!$F$51),Input!$G$51),Input!$H$51)</f>
        <v>0.9</v>
      </c>
      <c r="O161" s="60">
        <f t="shared" si="76"/>
        <v>29814347.590312488</v>
      </c>
      <c r="P161" s="60">
        <f t="shared" si="79"/>
        <v>31</v>
      </c>
      <c r="Q161" s="60">
        <f t="shared" si="80"/>
        <v>0</v>
      </c>
      <c r="R161" s="60">
        <f>ROUND(Q161*$P161*Input!$C$3/365,0)</f>
        <v>0</v>
      </c>
      <c r="S161" s="60">
        <f>IF(A161&lt;=Input!$C$6,0,IF('120M'!O161&lt;'120M'!Q161,'120M'!O161-R161,'120M'!Q161))</f>
        <v>0</v>
      </c>
      <c r="T161" s="60">
        <f t="shared" si="81"/>
        <v>0</v>
      </c>
      <c r="U161" s="60">
        <f t="shared" si="82"/>
        <v>0</v>
      </c>
      <c r="V161" s="193"/>
      <c r="W161" s="169">
        <v>157</v>
      </c>
      <c r="X161" s="1">
        <f t="shared" si="104"/>
        <v>50298</v>
      </c>
      <c r="Y161" s="60">
        <f>IF($X161&lt;Input!$H$58,IF($X161&lt;Input!$G$58,IF($X161&lt;Input!$F$58,IF($X161&lt;Input!$E$58,IF($X161&lt;Input!$D$58,Input!$C$64,Input!$D$64),Input!$E$64),Input!$F$64),Input!$G$64),Input!$H$64)</f>
        <v>0</v>
      </c>
      <c r="Z161" s="190">
        <f>IF($A161&lt;Input!$H$65,IF($A161&lt;Input!$G$65,IF($A161&lt;Input!$F$65,IF($A161&lt;Input!$E$65,IF($A161&lt;Input!$D$65,Input!$C$66,Input!$D$66),Input!$E$66),Input!$F$66),Input!$G$66),Input!$H$66)</f>
        <v>0.9</v>
      </c>
      <c r="AA161" s="60">
        <f t="shared" si="83"/>
        <v>0</v>
      </c>
      <c r="AB161" s="60">
        <f t="shared" si="105"/>
        <v>31</v>
      </c>
      <c r="AC161" s="60">
        <f t="shared" si="84"/>
        <v>0</v>
      </c>
      <c r="AD161" s="60">
        <f>ROUND(AC161*AB161*Input!$C$3/365,0)</f>
        <v>0</v>
      </c>
      <c r="AE161" s="61">
        <f>IF($A161&lt;=Input!$C$6,0,IF('120M'!AA161&lt;'120M'!AC161,'120M'!AA161-AD161,'120M'!AC161))</f>
        <v>0</v>
      </c>
      <c r="AF161" s="61">
        <f t="shared" si="85"/>
        <v>0</v>
      </c>
      <c r="AG161" s="60">
        <f t="shared" si="86"/>
        <v>0</v>
      </c>
      <c r="AH161" s="193"/>
      <c r="AI161" s="169">
        <v>157</v>
      </c>
      <c r="AJ161" s="1">
        <f t="shared" si="106"/>
        <v>50298</v>
      </c>
      <c r="AK161" s="60">
        <f>IF($X161&lt;Input!$H$73,IF($X161&lt;Input!$G$73,IF($X161&lt;Input!$F$73,IF($X161&lt;Input!$E$73,IF($X161&lt;Input!$D$73,Input!$C$79,Input!$D$79),Input!$E$79),Input!$F$79),Input!$G$79),Input!$H$79)</f>
        <v>0</v>
      </c>
      <c r="AL161" s="190">
        <f>IF($A161&lt;Input!$H$80,IF($A161&lt;Input!$G$80,IF($A161&lt;Input!$F$80,IF($A161&lt;Input!$E$80,IF($A161&lt;Input!$D$80,Input!$C$81,Input!$D$81),Input!$E$81),Input!$F$81),Input!$G$81),Input!$H$81)</f>
        <v>0.9</v>
      </c>
      <c r="AM161" s="60">
        <f t="shared" si="87"/>
        <v>0</v>
      </c>
      <c r="AN161" s="60">
        <f t="shared" si="107"/>
        <v>31</v>
      </c>
      <c r="AO161" s="60">
        <f t="shared" si="88"/>
        <v>0</v>
      </c>
      <c r="AP161" s="60">
        <f>ROUND(AO161*AN161*Input!$C$3/365,0)</f>
        <v>0</v>
      </c>
      <c r="AQ161" s="61">
        <f>IF($A161&lt;=Input!$C$6,0,IF('120M'!AM161&lt;'120M'!AO161,'120M'!AM161-AP161,'120M'!AO161))</f>
        <v>0</v>
      </c>
      <c r="AR161" s="61">
        <f t="shared" si="89"/>
        <v>0</v>
      </c>
      <c r="AS161" s="60">
        <f t="shared" si="90"/>
        <v>0</v>
      </c>
      <c r="AT161" s="193"/>
      <c r="AU161" s="169">
        <v>157</v>
      </c>
      <c r="AV161" s="1">
        <f t="shared" si="108"/>
        <v>50298</v>
      </c>
      <c r="AW161" s="60">
        <f>IF($X161&lt;Input!$H$88,IF($X161&lt;Input!$G$88,IF($X161&lt;Input!$F$88,IF($X161&lt;Input!$E$88,IF($X161&lt;Input!$D$88,Input!$C$94,Input!$D$94),Input!$E$94),Input!$F$94),Input!$G$94),Input!$H$94)</f>
        <v>0</v>
      </c>
      <c r="AX161" s="190">
        <f>IF($A161&lt;Input!$H$95,IF($A161&lt;Input!$G$95,IF($A161&lt;Input!$F$95,IF($A161&lt;Input!$E$95,IF($A161&lt;Input!$D$95,Input!$C$96,Input!$D$96),Input!$E$96),Input!$F$96),Input!$G$96),Input!$H$96)</f>
        <v>0.9</v>
      </c>
      <c r="AY161" s="60">
        <f t="shared" si="91"/>
        <v>0</v>
      </c>
      <c r="AZ161" s="60">
        <f t="shared" si="109"/>
        <v>31</v>
      </c>
      <c r="BA161" s="60">
        <f t="shared" si="92"/>
        <v>0</v>
      </c>
      <c r="BB161" s="60">
        <f>ROUND(BA161*AZ161*Input!$C$3/365,0)</f>
        <v>0</v>
      </c>
      <c r="BC161" s="61">
        <f>IF($A161&lt;=Input!$C$6,0,IF('120M'!AY161&lt;'120M'!BA161,'120M'!AY161-BB161,'120M'!BA161))</f>
        <v>0</v>
      </c>
      <c r="BD161" s="61">
        <f t="shared" si="93"/>
        <v>0</v>
      </c>
      <c r="BE161" s="60">
        <f t="shared" si="94"/>
        <v>0</v>
      </c>
      <c r="BF161" s="193"/>
      <c r="BG161" s="169">
        <v>157</v>
      </c>
      <c r="BH161" s="1">
        <f t="shared" si="110"/>
        <v>50298</v>
      </c>
      <c r="BI161" s="60">
        <f>IF($X161&lt;Input!$H$103,IF($X161&lt;Input!$G$103,IF($X161&lt;Input!$F$103,IF($X161&lt;Input!$E$103,IF($X161&lt;Input!$D$103,Input!$C$109,Input!$D$109),Input!$E$109),Input!$F$109),Input!$G$109),Input!$H$109)</f>
        <v>0</v>
      </c>
      <c r="BJ161" s="190">
        <f>IF($A161&lt;Input!$H$110,IF($A161&lt;Input!$G$110,IF($A161&lt;Input!$F$110,IF($A161&lt;Input!$E$110,IF($A161&lt;Input!$D$110,Input!$C$111,Input!$D$111),Input!$E$111),Input!$F$111),Input!$G$111),Input!$H$111)</f>
        <v>0.9</v>
      </c>
      <c r="BK161" s="60">
        <f t="shared" si="95"/>
        <v>0</v>
      </c>
      <c r="BL161" s="60">
        <f t="shared" si="111"/>
        <v>31</v>
      </c>
      <c r="BM161" s="60">
        <f t="shared" si="96"/>
        <v>0</v>
      </c>
      <c r="BN161" s="60">
        <f>ROUND(BM161*BL161*Input!$C$3/365,0)</f>
        <v>0</v>
      </c>
      <c r="BO161" s="61">
        <f>IF($A161&lt;=Input!$C$6,0,IF('120M'!BK161&lt;'120M'!BM161,'120M'!BK161-BN161,'120M'!BM161))</f>
        <v>0</v>
      </c>
      <c r="BP161" s="61">
        <f t="shared" si="97"/>
        <v>0</v>
      </c>
      <c r="BQ161" s="60">
        <f t="shared" si="98"/>
        <v>0</v>
      </c>
      <c r="BR161" s="198"/>
    </row>
    <row r="162" spans="1:70" x14ac:dyDescent="0.25">
      <c r="A162" s="169">
        <v>158</v>
      </c>
      <c r="B162" s="1">
        <f t="shared" si="99"/>
        <v>50328</v>
      </c>
      <c r="C162" s="60">
        <f t="shared" si="77"/>
        <v>33127052.878124986</v>
      </c>
      <c r="D162" s="60">
        <f t="shared" si="78"/>
        <v>29814347.590312488</v>
      </c>
      <c r="E162" s="60">
        <f t="shared" si="100"/>
        <v>30</v>
      </c>
      <c r="F162" s="60">
        <f t="shared" si="101"/>
        <v>0</v>
      </c>
      <c r="G162" s="60">
        <f>ROUND(F162*E162*Input!$C$3/365,0)</f>
        <v>0</v>
      </c>
      <c r="H162" s="60">
        <f>IF($A162&lt;=Input!$C$6,0,IF('120M'!D162&lt;'120M'!F162,'120M'!D162-G162,'120M'!F162))</f>
        <v>0</v>
      </c>
      <c r="I162" s="60">
        <f t="shared" si="102"/>
        <v>0</v>
      </c>
      <c r="J162" s="60">
        <f t="shared" si="103"/>
        <v>0</v>
      </c>
      <c r="K162" s="202">
        <f>J162/Input!$K$5</f>
        <v>0</v>
      </c>
      <c r="L162" s="232"/>
      <c r="M162" s="60">
        <f>IF($B162&lt;Input!$H$43,IF($B162&lt;Input!$G$43,IF($B162&lt;Input!$F$43,IF($B162&lt;Input!$E$43,IF($B162&lt;Input!$D$43,Input!$C$49,Input!$D$49),Input!$E$49),Input!$F$49),Input!$G$49),Input!$H$49)</f>
        <v>33127052.878124986</v>
      </c>
      <c r="N162" s="190">
        <f>IF($A162&lt;Input!$H$50,IF($A162&lt;Input!$G$50,IF($A162&lt;Input!$F$50,IF($A162&lt;Input!$E$50,IF($A162&lt;Input!$D$50,Input!$C$51,Input!$D$51),Input!$E$51),Input!$F$51),Input!$G$51),Input!$H$51)</f>
        <v>0.9</v>
      </c>
      <c r="O162" s="60">
        <f t="shared" si="76"/>
        <v>29814347.590312488</v>
      </c>
      <c r="P162" s="60">
        <f t="shared" si="79"/>
        <v>30</v>
      </c>
      <c r="Q162" s="60">
        <f t="shared" si="80"/>
        <v>0</v>
      </c>
      <c r="R162" s="60">
        <f>ROUND(Q162*$P162*Input!$C$3/365,0)</f>
        <v>0</v>
      </c>
      <c r="S162" s="60">
        <f>IF(A162&lt;=Input!$C$6,0,IF('120M'!O162&lt;'120M'!Q162,'120M'!O162-R162,'120M'!Q162))</f>
        <v>0</v>
      </c>
      <c r="T162" s="60">
        <f t="shared" si="81"/>
        <v>0</v>
      </c>
      <c r="U162" s="60">
        <f t="shared" si="82"/>
        <v>0</v>
      </c>
      <c r="V162" s="193"/>
      <c r="W162" s="169">
        <v>158</v>
      </c>
      <c r="X162" s="1">
        <f t="shared" si="104"/>
        <v>50328</v>
      </c>
      <c r="Y162" s="60">
        <f>IF($X162&lt;Input!$H$58,IF($X162&lt;Input!$G$58,IF($X162&lt;Input!$F$58,IF($X162&lt;Input!$E$58,IF($X162&lt;Input!$D$58,Input!$C$64,Input!$D$64),Input!$E$64),Input!$F$64),Input!$G$64),Input!$H$64)</f>
        <v>0</v>
      </c>
      <c r="Z162" s="190">
        <f>IF($A162&lt;Input!$H$65,IF($A162&lt;Input!$G$65,IF($A162&lt;Input!$F$65,IF($A162&lt;Input!$E$65,IF($A162&lt;Input!$D$65,Input!$C$66,Input!$D$66),Input!$E$66),Input!$F$66),Input!$G$66),Input!$H$66)</f>
        <v>0.9</v>
      </c>
      <c r="AA162" s="60">
        <f t="shared" si="83"/>
        <v>0</v>
      </c>
      <c r="AB162" s="60">
        <f t="shared" si="105"/>
        <v>30</v>
      </c>
      <c r="AC162" s="60">
        <f t="shared" si="84"/>
        <v>0</v>
      </c>
      <c r="AD162" s="60">
        <f>ROUND(AC162*AB162*Input!$C$3/365,0)</f>
        <v>0</v>
      </c>
      <c r="AE162" s="61">
        <f>IF($A162&lt;=Input!$C$6,0,IF('120M'!AA162&lt;'120M'!AC162,'120M'!AA162-AD162,'120M'!AC162))</f>
        <v>0</v>
      </c>
      <c r="AF162" s="61">
        <f t="shared" si="85"/>
        <v>0</v>
      </c>
      <c r="AG162" s="60">
        <f t="shared" si="86"/>
        <v>0</v>
      </c>
      <c r="AH162" s="193"/>
      <c r="AI162" s="169">
        <v>158</v>
      </c>
      <c r="AJ162" s="1">
        <f t="shared" si="106"/>
        <v>50328</v>
      </c>
      <c r="AK162" s="60">
        <f>IF($X162&lt;Input!$H$73,IF($X162&lt;Input!$G$73,IF($X162&lt;Input!$F$73,IF($X162&lt;Input!$E$73,IF($X162&lt;Input!$D$73,Input!$C$79,Input!$D$79),Input!$E$79),Input!$F$79),Input!$G$79),Input!$H$79)</f>
        <v>0</v>
      </c>
      <c r="AL162" s="190">
        <f>IF($A162&lt;Input!$H$80,IF($A162&lt;Input!$G$80,IF($A162&lt;Input!$F$80,IF($A162&lt;Input!$E$80,IF($A162&lt;Input!$D$80,Input!$C$81,Input!$D$81),Input!$E$81),Input!$F$81),Input!$G$81),Input!$H$81)</f>
        <v>0.9</v>
      </c>
      <c r="AM162" s="60">
        <f t="shared" si="87"/>
        <v>0</v>
      </c>
      <c r="AN162" s="60">
        <f t="shared" si="107"/>
        <v>30</v>
      </c>
      <c r="AO162" s="60">
        <f t="shared" si="88"/>
        <v>0</v>
      </c>
      <c r="AP162" s="60">
        <f>ROUND(AO162*AN162*Input!$C$3/365,0)</f>
        <v>0</v>
      </c>
      <c r="AQ162" s="61">
        <f>IF($A162&lt;=Input!$C$6,0,IF('120M'!AM162&lt;'120M'!AO162,'120M'!AM162-AP162,'120M'!AO162))</f>
        <v>0</v>
      </c>
      <c r="AR162" s="61">
        <f t="shared" si="89"/>
        <v>0</v>
      </c>
      <c r="AS162" s="60">
        <f t="shared" si="90"/>
        <v>0</v>
      </c>
      <c r="AT162" s="193"/>
      <c r="AU162" s="169">
        <v>158</v>
      </c>
      <c r="AV162" s="1">
        <f t="shared" si="108"/>
        <v>50328</v>
      </c>
      <c r="AW162" s="60">
        <f>IF($X162&lt;Input!$H$88,IF($X162&lt;Input!$G$88,IF($X162&lt;Input!$F$88,IF($X162&lt;Input!$E$88,IF($X162&lt;Input!$D$88,Input!$C$94,Input!$D$94),Input!$E$94),Input!$F$94),Input!$G$94),Input!$H$94)</f>
        <v>0</v>
      </c>
      <c r="AX162" s="190">
        <f>IF($A162&lt;Input!$H$95,IF($A162&lt;Input!$G$95,IF($A162&lt;Input!$F$95,IF($A162&lt;Input!$E$95,IF($A162&lt;Input!$D$95,Input!$C$96,Input!$D$96),Input!$E$96),Input!$F$96),Input!$G$96),Input!$H$96)</f>
        <v>0.9</v>
      </c>
      <c r="AY162" s="60">
        <f t="shared" si="91"/>
        <v>0</v>
      </c>
      <c r="AZ162" s="60">
        <f t="shared" si="109"/>
        <v>30</v>
      </c>
      <c r="BA162" s="60">
        <f t="shared" si="92"/>
        <v>0</v>
      </c>
      <c r="BB162" s="60">
        <f>ROUND(BA162*AZ162*Input!$C$3/365,0)</f>
        <v>0</v>
      </c>
      <c r="BC162" s="61">
        <f>IF($A162&lt;=Input!$C$6,0,IF('120M'!AY162&lt;'120M'!BA162,'120M'!AY162-BB162,'120M'!BA162))</f>
        <v>0</v>
      </c>
      <c r="BD162" s="61">
        <f t="shared" si="93"/>
        <v>0</v>
      </c>
      <c r="BE162" s="60">
        <f t="shared" si="94"/>
        <v>0</v>
      </c>
      <c r="BF162" s="193"/>
      <c r="BG162" s="169">
        <v>158</v>
      </c>
      <c r="BH162" s="1">
        <f t="shared" si="110"/>
        <v>50328</v>
      </c>
      <c r="BI162" s="60">
        <f>IF($X162&lt;Input!$H$103,IF($X162&lt;Input!$G$103,IF($X162&lt;Input!$F$103,IF($X162&lt;Input!$E$103,IF($X162&lt;Input!$D$103,Input!$C$109,Input!$D$109),Input!$E$109),Input!$F$109),Input!$G$109),Input!$H$109)</f>
        <v>0</v>
      </c>
      <c r="BJ162" s="190">
        <f>IF($A162&lt;Input!$H$110,IF($A162&lt;Input!$G$110,IF($A162&lt;Input!$F$110,IF($A162&lt;Input!$E$110,IF($A162&lt;Input!$D$110,Input!$C$111,Input!$D$111),Input!$E$111),Input!$F$111),Input!$G$111),Input!$H$111)</f>
        <v>0.9</v>
      </c>
      <c r="BK162" s="60">
        <f t="shared" si="95"/>
        <v>0</v>
      </c>
      <c r="BL162" s="60">
        <f t="shared" si="111"/>
        <v>30</v>
      </c>
      <c r="BM162" s="60">
        <f t="shared" si="96"/>
        <v>0</v>
      </c>
      <c r="BN162" s="60">
        <f>ROUND(BM162*BL162*Input!$C$3/365,0)</f>
        <v>0</v>
      </c>
      <c r="BO162" s="61">
        <f>IF($A162&lt;=Input!$C$6,0,IF('120M'!BK162&lt;'120M'!BM162,'120M'!BK162-BN162,'120M'!BM162))</f>
        <v>0</v>
      </c>
      <c r="BP162" s="61">
        <f t="shared" si="97"/>
        <v>0</v>
      </c>
      <c r="BQ162" s="60">
        <f t="shared" si="98"/>
        <v>0</v>
      </c>
      <c r="BR162" s="198"/>
    </row>
    <row r="163" spans="1:70" x14ac:dyDescent="0.25">
      <c r="A163" s="169">
        <v>159</v>
      </c>
      <c r="B163" s="1">
        <f t="shared" si="99"/>
        <v>50359</v>
      </c>
      <c r="C163" s="60">
        <f t="shared" si="77"/>
        <v>33127052.878124986</v>
      </c>
      <c r="D163" s="60">
        <f t="shared" si="78"/>
        <v>29814347.590312488</v>
      </c>
      <c r="E163" s="60">
        <f t="shared" si="100"/>
        <v>31</v>
      </c>
      <c r="F163" s="60">
        <f t="shared" si="101"/>
        <v>0</v>
      </c>
      <c r="G163" s="60">
        <f>ROUND(F163*E163*Input!$C$3/365,0)</f>
        <v>0</v>
      </c>
      <c r="H163" s="60">
        <f>IF($A163&lt;=Input!$C$6,0,IF('120M'!D163&lt;'120M'!F163,'120M'!D163-G163,'120M'!F163))</f>
        <v>0</v>
      </c>
      <c r="I163" s="60">
        <f t="shared" si="102"/>
        <v>0</v>
      </c>
      <c r="J163" s="60">
        <f t="shared" si="103"/>
        <v>0</v>
      </c>
      <c r="K163" s="202">
        <f>J163/Input!$K$5</f>
        <v>0</v>
      </c>
      <c r="L163" s="232"/>
      <c r="M163" s="60">
        <f>IF($B163&lt;Input!$H$43,IF($B163&lt;Input!$G$43,IF($B163&lt;Input!$F$43,IF($B163&lt;Input!$E$43,IF($B163&lt;Input!$D$43,Input!$C$49,Input!$D$49),Input!$E$49),Input!$F$49),Input!$G$49),Input!$H$49)</f>
        <v>33127052.878124986</v>
      </c>
      <c r="N163" s="190">
        <f>IF($A163&lt;Input!$H$50,IF($A163&lt;Input!$G$50,IF($A163&lt;Input!$F$50,IF($A163&lt;Input!$E$50,IF($A163&lt;Input!$D$50,Input!$C$51,Input!$D$51),Input!$E$51),Input!$F$51),Input!$G$51),Input!$H$51)</f>
        <v>0.9</v>
      </c>
      <c r="O163" s="60">
        <f t="shared" si="76"/>
        <v>29814347.590312488</v>
      </c>
      <c r="P163" s="60">
        <f t="shared" si="79"/>
        <v>31</v>
      </c>
      <c r="Q163" s="60">
        <f t="shared" si="80"/>
        <v>0</v>
      </c>
      <c r="R163" s="60">
        <f>ROUND(Q163*$P163*Input!$C$3/365,0)</f>
        <v>0</v>
      </c>
      <c r="S163" s="60">
        <f>IF(A163&lt;=Input!$C$6,0,IF('120M'!O163&lt;'120M'!Q163,'120M'!O163-R163,'120M'!Q163))</f>
        <v>0</v>
      </c>
      <c r="T163" s="60">
        <f t="shared" si="81"/>
        <v>0</v>
      </c>
      <c r="U163" s="60">
        <f t="shared" si="82"/>
        <v>0</v>
      </c>
      <c r="V163" s="193"/>
      <c r="W163" s="169">
        <v>159</v>
      </c>
      <c r="X163" s="1">
        <f t="shared" si="104"/>
        <v>50359</v>
      </c>
      <c r="Y163" s="60">
        <f>IF($X163&lt;Input!$H$58,IF($X163&lt;Input!$G$58,IF($X163&lt;Input!$F$58,IF($X163&lt;Input!$E$58,IF($X163&lt;Input!$D$58,Input!$C$64,Input!$D$64),Input!$E$64),Input!$F$64),Input!$G$64),Input!$H$64)</f>
        <v>0</v>
      </c>
      <c r="Z163" s="190">
        <f>IF($A163&lt;Input!$H$65,IF($A163&lt;Input!$G$65,IF($A163&lt;Input!$F$65,IF($A163&lt;Input!$E$65,IF($A163&lt;Input!$D$65,Input!$C$66,Input!$D$66),Input!$E$66),Input!$F$66),Input!$G$66),Input!$H$66)</f>
        <v>0.9</v>
      </c>
      <c r="AA163" s="60">
        <f t="shared" si="83"/>
        <v>0</v>
      </c>
      <c r="AB163" s="60">
        <f t="shared" si="105"/>
        <v>31</v>
      </c>
      <c r="AC163" s="60">
        <f t="shared" si="84"/>
        <v>0</v>
      </c>
      <c r="AD163" s="60">
        <f>ROUND(AC163*AB163*Input!$C$3/365,0)</f>
        <v>0</v>
      </c>
      <c r="AE163" s="61">
        <f>IF($A163&lt;=Input!$C$6,0,IF('120M'!AA163&lt;'120M'!AC163,'120M'!AA163-AD163,'120M'!AC163))</f>
        <v>0</v>
      </c>
      <c r="AF163" s="61">
        <f t="shared" si="85"/>
        <v>0</v>
      </c>
      <c r="AG163" s="60">
        <f t="shared" si="86"/>
        <v>0</v>
      </c>
      <c r="AH163" s="193"/>
      <c r="AI163" s="169">
        <v>159</v>
      </c>
      <c r="AJ163" s="1">
        <f t="shared" si="106"/>
        <v>50359</v>
      </c>
      <c r="AK163" s="60">
        <f>IF($X163&lt;Input!$H$73,IF($X163&lt;Input!$G$73,IF($X163&lt;Input!$F$73,IF($X163&lt;Input!$E$73,IF($X163&lt;Input!$D$73,Input!$C$79,Input!$D$79),Input!$E$79),Input!$F$79),Input!$G$79),Input!$H$79)</f>
        <v>0</v>
      </c>
      <c r="AL163" s="190">
        <f>IF($A163&lt;Input!$H$80,IF($A163&lt;Input!$G$80,IF($A163&lt;Input!$F$80,IF($A163&lt;Input!$E$80,IF($A163&lt;Input!$D$80,Input!$C$81,Input!$D$81),Input!$E$81),Input!$F$81),Input!$G$81),Input!$H$81)</f>
        <v>0.9</v>
      </c>
      <c r="AM163" s="60">
        <f t="shared" si="87"/>
        <v>0</v>
      </c>
      <c r="AN163" s="60">
        <f t="shared" si="107"/>
        <v>31</v>
      </c>
      <c r="AO163" s="60">
        <f t="shared" si="88"/>
        <v>0</v>
      </c>
      <c r="AP163" s="60">
        <f>ROUND(AO163*AN163*Input!$C$3/365,0)</f>
        <v>0</v>
      </c>
      <c r="AQ163" s="61">
        <f>IF($A163&lt;=Input!$C$6,0,IF('120M'!AM163&lt;'120M'!AO163,'120M'!AM163-AP163,'120M'!AO163))</f>
        <v>0</v>
      </c>
      <c r="AR163" s="61">
        <f t="shared" si="89"/>
        <v>0</v>
      </c>
      <c r="AS163" s="60">
        <f t="shared" si="90"/>
        <v>0</v>
      </c>
      <c r="AT163" s="193"/>
      <c r="AU163" s="169">
        <v>159</v>
      </c>
      <c r="AV163" s="1">
        <f t="shared" si="108"/>
        <v>50359</v>
      </c>
      <c r="AW163" s="60">
        <f>IF($X163&lt;Input!$H$88,IF($X163&lt;Input!$G$88,IF($X163&lt;Input!$F$88,IF($X163&lt;Input!$E$88,IF($X163&lt;Input!$D$88,Input!$C$94,Input!$D$94),Input!$E$94),Input!$F$94),Input!$G$94),Input!$H$94)</f>
        <v>0</v>
      </c>
      <c r="AX163" s="190">
        <f>IF($A163&lt;Input!$H$95,IF($A163&lt;Input!$G$95,IF($A163&lt;Input!$F$95,IF($A163&lt;Input!$E$95,IF($A163&lt;Input!$D$95,Input!$C$96,Input!$D$96),Input!$E$96),Input!$F$96),Input!$G$96),Input!$H$96)</f>
        <v>0.9</v>
      </c>
      <c r="AY163" s="60">
        <f t="shared" si="91"/>
        <v>0</v>
      </c>
      <c r="AZ163" s="60">
        <f t="shared" si="109"/>
        <v>31</v>
      </c>
      <c r="BA163" s="60">
        <f t="shared" si="92"/>
        <v>0</v>
      </c>
      <c r="BB163" s="60">
        <f>ROUND(BA163*AZ163*Input!$C$3/365,0)</f>
        <v>0</v>
      </c>
      <c r="BC163" s="61">
        <f>IF($A163&lt;=Input!$C$6,0,IF('120M'!AY163&lt;'120M'!BA163,'120M'!AY163-BB163,'120M'!BA163))</f>
        <v>0</v>
      </c>
      <c r="BD163" s="61">
        <f t="shared" si="93"/>
        <v>0</v>
      </c>
      <c r="BE163" s="60">
        <f t="shared" si="94"/>
        <v>0</v>
      </c>
      <c r="BF163" s="193"/>
      <c r="BG163" s="169">
        <v>159</v>
      </c>
      <c r="BH163" s="1">
        <f t="shared" si="110"/>
        <v>50359</v>
      </c>
      <c r="BI163" s="60">
        <f>IF($X163&lt;Input!$H$103,IF($X163&lt;Input!$G$103,IF($X163&lt;Input!$F$103,IF($X163&lt;Input!$E$103,IF($X163&lt;Input!$D$103,Input!$C$109,Input!$D$109),Input!$E$109),Input!$F$109),Input!$G$109),Input!$H$109)</f>
        <v>0</v>
      </c>
      <c r="BJ163" s="190">
        <f>IF($A163&lt;Input!$H$110,IF($A163&lt;Input!$G$110,IF($A163&lt;Input!$F$110,IF($A163&lt;Input!$E$110,IF($A163&lt;Input!$D$110,Input!$C$111,Input!$D$111),Input!$E$111),Input!$F$111),Input!$G$111),Input!$H$111)</f>
        <v>0.9</v>
      </c>
      <c r="BK163" s="60">
        <f t="shared" si="95"/>
        <v>0</v>
      </c>
      <c r="BL163" s="60">
        <f t="shared" si="111"/>
        <v>31</v>
      </c>
      <c r="BM163" s="60">
        <f t="shared" si="96"/>
        <v>0</v>
      </c>
      <c r="BN163" s="60">
        <f>ROUND(BM163*BL163*Input!$C$3/365,0)</f>
        <v>0</v>
      </c>
      <c r="BO163" s="61">
        <f>IF($A163&lt;=Input!$C$6,0,IF('120M'!BK163&lt;'120M'!BM163,'120M'!BK163-BN163,'120M'!BM163))</f>
        <v>0</v>
      </c>
      <c r="BP163" s="61">
        <f t="shared" si="97"/>
        <v>0</v>
      </c>
      <c r="BQ163" s="60">
        <f t="shared" si="98"/>
        <v>0</v>
      </c>
      <c r="BR163" s="198"/>
    </row>
    <row r="164" spans="1:70" x14ac:dyDescent="0.25">
      <c r="A164" s="169">
        <v>160</v>
      </c>
      <c r="B164" s="1">
        <f t="shared" si="99"/>
        <v>50389</v>
      </c>
      <c r="C164" s="60">
        <f t="shared" si="77"/>
        <v>33127052.878124986</v>
      </c>
      <c r="D164" s="60">
        <f t="shared" si="78"/>
        <v>29814347.590312488</v>
      </c>
      <c r="E164" s="60">
        <f t="shared" si="100"/>
        <v>30</v>
      </c>
      <c r="F164" s="60">
        <f t="shared" si="101"/>
        <v>0</v>
      </c>
      <c r="G164" s="60">
        <f>ROUND(F164*E164*Input!$C$3/365,0)</f>
        <v>0</v>
      </c>
      <c r="H164" s="60">
        <f>IF($A164&lt;=Input!$C$6,0,IF('120M'!D164&lt;'120M'!F164,'120M'!D164-G164,'120M'!F164))</f>
        <v>0</v>
      </c>
      <c r="I164" s="60">
        <f t="shared" si="102"/>
        <v>0</v>
      </c>
      <c r="J164" s="60">
        <f t="shared" si="103"/>
        <v>0</v>
      </c>
      <c r="K164" s="202">
        <f>J164/Input!$K$5</f>
        <v>0</v>
      </c>
      <c r="L164" s="232"/>
      <c r="M164" s="60">
        <f>IF($B164&lt;Input!$H$43,IF($B164&lt;Input!$G$43,IF($B164&lt;Input!$F$43,IF($B164&lt;Input!$E$43,IF($B164&lt;Input!$D$43,Input!$C$49,Input!$D$49),Input!$E$49),Input!$F$49),Input!$G$49),Input!$H$49)</f>
        <v>33127052.878124986</v>
      </c>
      <c r="N164" s="190">
        <f>IF($A164&lt;Input!$H$50,IF($A164&lt;Input!$G$50,IF($A164&lt;Input!$F$50,IF($A164&lt;Input!$E$50,IF($A164&lt;Input!$D$50,Input!$C$51,Input!$D$51),Input!$E$51),Input!$F$51),Input!$G$51),Input!$H$51)</f>
        <v>0.9</v>
      </c>
      <c r="O164" s="60">
        <f t="shared" ref="O164:O184" si="112">M164*N164</f>
        <v>29814347.590312488</v>
      </c>
      <c r="P164" s="60">
        <f t="shared" si="79"/>
        <v>30</v>
      </c>
      <c r="Q164" s="60">
        <f t="shared" si="80"/>
        <v>0</v>
      </c>
      <c r="R164" s="60">
        <f>ROUND(Q164*$P164*Input!$C$3/365,0)</f>
        <v>0</v>
      </c>
      <c r="S164" s="60">
        <f>IF(A164&lt;=Input!$C$6,0,IF('120M'!O164&lt;'120M'!Q164,'120M'!O164-R164,'120M'!Q164))</f>
        <v>0</v>
      </c>
      <c r="T164" s="60">
        <f t="shared" si="81"/>
        <v>0</v>
      </c>
      <c r="U164" s="60">
        <f t="shared" si="82"/>
        <v>0</v>
      </c>
      <c r="V164" s="193"/>
      <c r="W164" s="169">
        <v>160</v>
      </c>
      <c r="X164" s="1">
        <f t="shared" si="104"/>
        <v>50389</v>
      </c>
      <c r="Y164" s="60">
        <f>IF($X164&lt;Input!$H$58,IF($X164&lt;Input!$G$58,IF($X164&lt;Input!$F$58,IF($X164&lt;Input!$E$58,IF($X164&lt;Input!$D$58,Input!$C$64,Input!$D$64),Input!$E$64),Input!$F$64),Input!$G$64),Input!$H$64)</f>
        <v>0</v>
      </c>
      <c r="Z164" s="190">
        <f>IF($A164&lt;Input!$H$65,IF($A164&lt;Input!$G$65,IF($A164&lt;Input!$F$65,IF($A164&lt;Input!$E$65,IF($A164&lt;Input!$D$65,Input!$C$66,Input!$D$66),Input!$E$66),Input!$F$66),Input!$G$66),Input!$H$66)</f>
        <v>0.9</v>
      </c>
      <c r="AA164" s="60">
        <f t="shared" si="83"/>
        <v>0</v>
      </c>
      <c r="AB164" s="60">
        <f t="shared" si="105"/>
        <v>30</v>
      </c>
      <c r="AC164" s="60">
        <f t="shared" si="84"/>
        <v>0</v>
      </c>
      <c r="AD164" s="60">
        <f>ROUND(AC164*AB164*Input!$C$3/365,0)</f>
        <v>0</v>
      </c>
      <c r="AE164" s="61">
        <f>IF($A164&lt;=Input!$C$6,0,IF('120M'!AA164&lt;'120M'!AC164,'120M'!AA164-AD164,'120M'!AC164))</f>
        <v>0</v>
      </c>
      <c r="AF164" s="61">
        <f t="shared" si="85"/>
        <v>0</v>
      </c>
      <c r="AG164" s="60">
        <f t="shared" si="86"/>
        <v>0</v>
      </c>
      <c r="AH164" s="193"/>
      <c r="AI164" s="169">
        <v>160</v>
      </c>
      <c r="AJ164" s="1">
        <f t="shared" si="106"/>
        <v>50389</v>
      </c>
      <c r="AK164" s="60">
        <f>IF($X164&lt;Input!$H$73,IF($X164&lt;Input!$G$73,IF($X164&lt;Input!$F$73,IF($X164&lt;Input!$E$73,IF($X164&lt;Input!$D$73,Input!$C$79,Input!$D$79),Input!$E$79),Input!$F$79),Input!$G$79),Input!$H$79)</f>
        <v>0</v>
      </c>
      <c r="AL164" s="190">
        <f>IF($A164&lt;Input!$H$80,IF($A164&lt;Input!$G$80,IF($A164&lt;Input!$F$80,IF($A164&lt;Input!$E$80,IF($A164&lt;Input!$D$80,Input!$C$81,Input!$D$81),Input!$E$81),Input!$F$81),Input!$G$81),Input!$H$81)</f>
        <v>0.9</v>
      </c>
      <c r="AM164" s="60">
        <f t="shared" si="87"/>
        <v>0</v>
      </c>
      <c r="AN164" s="60">
        <f t="shared" si="107"/>
        <v>30</v>
      </c>
      <c r="AO164" s="60">
        <f t="shared" si="88"/>
        <v>0</v>
      </c>
      <c r="AP164" s="60">
        <f>ROUND(AO164*AN164*Input!$C$3/365,0)</f>
        <v>0</v>
      </c>
      <c r="AQ164" s="61">
        <f>IF($A164&lt;=Input!$C$6,0,IF('120M'!AM164&lt;'120M'!AO164,'120M'!AM164-AP164,'120M'!AO164))</f>
        <v>0</v>
      </c>
      <c r="AR164" s="61">
        <f t="shared" si="89"/>
        <v>0</v>
      </c>
      <c r="AS164" s="60">
        <f t="shared" si="90"/>
        <v>0</v>
      </c>
      <c r="AT164" s="193"/>
      <c r="AU164" s="169">
        <v>160</v>
      </c>
      <c r="AV164" s="1">
        <f t="shared" si="108"/>
        <v>50389</v>
      </c>
      <c r="AW164" s="60">
        <f>IF($X164&lt;Input!$H$88,IF($X164&lt;Input!$G$88,IF($X164&lt;Input!$F$88,IF($X164&lt;Input!$E$88,IF($X164&lt;Input!$D$88,Input!$C$94,Input!$D$94),Input!$E$94),Input!$F$94),Input!$G$94),Input!$H$94)</f>
        <v>0</v>
      </c>
      <c r="AX164" s="190">
        <f>IF($A164&lt;Input!$H$95,IF($A164&lt;Input!$G$95,IF($A164&lt;Input!$F$95,IF($A164&lt;Input!$E$95,IF($A164&lt;Input!$D$95,Input!$C$96,Input!$D$96),Input!$E$96),Input!$F$96),Input!$G$96),Input!$H$96)</f>
        <v>0.9</v>
      </c>
      <c r="AY164" s="60">
        <f t="shared" si="91"/>
        <v>0</v>
      </c>
      <c r="AZ164" s="60">
        <f t="shared" si="109"/>
        <v>30</v>
      </c>
      <c r="BA164" s="60">
        <f t="shared" si="92"/>
        <v>0</v>
      </c>
      <c r="BB164" s="60">
        <f>ROUND(BA164*AZ164*Input!$C$3/365,0)</f>
        <v>0</v>
      </c>
      <c r="BC164" s="61">
        <f>IF($A164&lt;=Input!$C$6,0,IF('120M'!AY164&lt;'120M'!BA164,'120M'!AY164-BB164,'120M'!BA164))</f>
        <v>0</v>
      </c>
      <c r="BD164" s="61">
        <f t="shared" si="93"/>
        <v>0</v>
      </c>
      <c r="BE164" s="60">
        <f t="shared" si="94"/>
        <v>0</v>
      </c>
      <c r="BF164" s="193"/>
      <c r="BG164" s="169">
        <v>160</v>
      </c>
      <c r="BH164" s="1">
        <f t="shared" si="110"/>
        <v>50389</v>
      </c>
      <c r="BI164" s="60">
        <f>IF($X164&lt;Input!$H$103,IF($X164&lt;Input!$G$103,IF($X164&lt;Input!$F$103,IF($X164&lt;Input!$E$103,IF($X164&lt;Input!$D$103,Input!$C$109,Input!$D$109),Input!$E$109),Input!$F$109),Input!$G$109),Input!$H$109)</f>
        <v>0</v>
      </c>
      <c r="BJ164" s="190">
        <f>IF($A164&lt;Input!$H$110,IF($A164&lt;Input!$G$110,IF($A164&lt;Input!$F$110,IF($A164&lt;Input!$E$110,IF($A164&lt;Input!$D$110,Input!$C$111,Input!$D$111),Input!$E$111),Input!$F$111),Input!$G$111),Input!$H$111)</f>
        <v>0.9</v>
      </c>
      <c r="BK164" s="60">
        <f t="shared" si="95"/>
        <v>0</v>
      </c>
      <c r="BL164" s="60">
        <f t="shared" si="111"/>
        <v>30</v>
      </c>
      <c r="BM164" s="60">
        <f t="shared" si="96"/>
        <v>0</v>
      </c>
      <c r="BN164" s="60">
        <f>ROUND(BM164*BL164*Input!$C$3/365,0)</f>
        <v>0</v>
      </c>
      <c r="BO164" s="61">
        <f>IF($A164&lt;=Input!$C$6,0,IF('120M'!BK164&lt;'120M'!BM164,'120M'!BK164-BN164,'120M'!BM164))</f>
        <v>0</v>
      </c>
      <c r="BP164" s="61">
        <f t="shared" si="97"/>
        <v>0</v>
      </c>
      <c r="BQ164" s="60">
        <f t="shared" si="98"/>
        <v>0</v>
      </c>
      <c r="BR164" s="198"/>
    </row>
    <row r="165" spans="1:70" x14ac:dyDescent="0.25">
      <c r="A165" s="169">
        <v>161</v>
      </c>
      <c r="B165" s="1">
        <f t="shared" si="99"/>
        <v>50420</v>
      </c>
      <c r="C165" s="60">
        <f t="shared" si="77"/>
        <v>33127052.878124986</v>
      </c>
      <c r="D165" s="60">
        <f t="shared" si="78"/>
        <v>29814347.590312488</v>
      </c>
      <c r="E165" s="60">
        <f t="shared" si="100"/>
        <v>31</v>
      </c>
      <c r="F165" s="60">
        <f t="shared" si="101"/>
        <v>0</v>
      </c>
      <c r="G165" s="60">
        <f>ROUND(F165*E165*Input!$C$3/365,0)</f>
        <v>0</v>
      </c>
      <c r="H165" s="60">
        <f>IF($A165&lt;=Input!$C$6,0,IF('120M'!D165&lt;'120M'!F165,'120M'!D165-G165,'120M'!F165))</f>
        <v>0</v>
      </c>
      <c r="I165" s="60">
        <f t="shared" si="102"/>
        <v>0</v>
      </c>
      <c r="J165" s="60">
        <f t="shared" si="103"/>
        <v>0</v>
      </c>
      <c r="K165" s="202">
        <f>J165/Input!$K$5</f>
        <v>0</v>
      </c>
      <c r="L165" s="232"/>
      <c r="M165" s="60">
        <f>IF($B165&lt;Input!$H$43,IF($B165&lt;Input!$G$43,IF($B165&lt;Input!$F$43,IF($B165&lt;Input!$E$43,IF($B165&lt;Input!$D$43,Input!$C$49,Input!$D$49),Input!$E$49),Input!$F$49),Input!$G$49),Input!$H$49)</f>
        <v>33127052.878124986</v>
      </c>
      <c r="N165" s="190">
        <f>IF($A165&lt;Input!$H$50,IF($A165&lt;Input!$G$50,IF($A165&lt;Input!$F$50,IF($A165&lt;Input!$E$50,IF($A165&lt;Input!$D$50,Input!$C$51,Input!$D$51),Input!$E$51),Input!$F$51),Input!$G$51),Input!$H$51)</f>
        <v>0.9</v>
      </c>
      <c r="O165" s="60">
        <f t="shared" si="112"/>
        <v>29814347.590312488</v>
      </c>
      <c r="P165" s="60">
        <f t="shared" ref="P165:P184" si="113">B165-B164</f>
        <v>31</v>
      </c>
      <c r="Q165" s="60">
        <f t="shared" si="80"/>
        <v>0</v>
      </c>
      <c r="R165" s="60">
        <f>ROUND(Q165*$P165*Input!$C$3/365,0)</f>
        <v>0</v>
      </c>
      <c r="S165" s="60">
        <f>IF(A165&lt;=Input!$C$6,0,IF('120M'!O165&lt;'120M'!Q165,'120M'!O165-R165,'120M'!Q165))</f>
        <v>0</v>
      </c>
      <c r="T165" s="60">
        <f t="shared" si="81"/>
        <v>0</v>
      </c>
      <c r="U165" s="60">
        <f t="shared" si="82"/>
        <v>0</v>
      </c>
      <c r="V165" s="193"/>
      <c r="W165" s="169">
        <v>161</v>
      </c>
      <c r="X165" s="1">
        <f t="shared" si="104"/>
        <v>50420</v>
      </c>
      <c r="Y165" s="60">
        <f>IF($X165&lt;Input!$H$58,IF($X165&lt;Input!$G$58,IF($X165&lt;Input!$F$58,IF($X165&lt;Input!$E$58,IF($X165&lt;Input!$D$58,Input!$C$64,Input!$D$64),Input!$E$64),Input!$F$64),Input!$G$64),Input!$H$64)</f>
        <v>0</v>
      </c>
      <c r="Z165" s="190">
        <f>IF($A165&lt;Input!$H$65,IF($A165&lt;Input!$G$65,IF($A165&lt;Input!$F$65,IF($A165&lt;Input!$E$65,IF($A165&lt;Input!$D$65,Input!$C$66,Input!$D$66),Input!$E$66),Input!$F$66),Input!$G$66),Input!$H$66)</f>
        <v>0.9</v>
      </c>
      <c r="AA165" s="60">
        <f t="shared" si="83"/>
        <v>0</v>
      </c>
      <c r="AB165" s="60">
        <f t="shared" si="105"/>
        <v>31</v>
      </c>
      <c r="AC165" s="60">
        <f t="shared" si="84"/>
        <v>0</v>
      </c>
      <c r="AD165" s="60">
        <f>ROUND(AC165*AB165*Input!$C$3/365,0)</f>
        <v>0</v>
      </c>
      <c r="AE165" s="61">
        <f>IF($A165&lt;=Input!$C$6,0,IF('120M'!AA165&lt;'120M'!AC165,'120M'!AA165-AD165,'120M'!AC165))</f>
        <v>0</v>
      </c>
      <c r="AF165" s="61">
        <f t="shared" si="85"/>
        <v>0</v>
      </c>
      <c r="AG165" s="60">
        <f t="shared" si="86"/>
        <v>0</v>
      </c>
      <c r="AH165" s="193"/>
      <c r="AI165" s="169">
        <v>161</v>
      </c>
      <c r="AJ165" s="1">
        <f t="shared" si="106"/>
        <v>50420</v>
      </c>
      <c r="AK165" s="60">
        <f>IF($X165&lt;Input!$H$73,IF($X165&lt;Input!$G$73,IF($X165&lt;Input!$F$73,IF($X165&lt;Input!$E$73,IF($X165&lt;Input!$D$73,Input!$C$79,Input!$D$79),Input!$E$79),Input!$F$79),Input!$G$79),Input!$H$79)</f>
        <v>0</v>
      </c>
      <c r="AL165" s="190">
        <f>IF($A165&lt;Input!$H$80,IF($A165&lt;Input!$G$80,IF($A165&lt;Input!$F$80,IF($A165&lt;Input!$E$80,IF($A165&lt;Input!$D$80,Input!$C$81,Input!$D$81),Input!$E$81),Input!$F$81),Input!$G$81),Input!$H$81)</f>
        <v>0.9</v>
      </c>
      <c r="AM165" s="60">
        <f t="shared" si="87"/>
        <v>0</v>
      </c>
      <c r="AN165" s="60">
        <f t="shared" si="107"/>
        <v>31</v>
      </c>
      <c r="AO165" s="60">
        <f t="shared" si="88"/>
        <v>0</v>
      </c>
      <c r="AP165" s="60">
        <f>ROUND(AO165*AN165*Input!$C$3/365,0)</f>
        <v>0</v>
      </c>
      <c r="AQ165" s="61">
        <f>IF($A165&lt;=Input!$C$6,0,IF('120M'!AM165&lt;'120M'!AO165,'120M'!AM165-AP165,'120M'!AO165))</f>
        <v>0</v>
      </c>
      <c r="AR165" s="61">
        <f t="shared" si="89"/>
        <v>0</v>
      </c>
      <c r="AS165" s="60">
        <f t="shared" si="90"/>
        <v>0</v>
      </c>
      <c r="AT165" s="193"/>
      <c r="AU165" s="169">
        <v>161</v>
      </c>
      <c r="AV165" s="1">
        <f t="shared" si="108"/>
        <v>50420</v>
      </c>
      <c r="AW165" s="60">
        <f>IF($X165&lt;Input!$H$88,IF($X165&lt;Input!$G$88,IF($X165&lt;Input!$F$88,IF($X165&lt;Input!$E$88,IF($X165&lt;Input!$D$88,Input!$C$94,Input!$D$94),Input!$E$94),Input!$F$94),Input!$G$94),Input!$H$94)</f>
        <v>0</v>
      </c>
      <c r="AX165" s="190">
        <f>IF($A165&lt;Input!$H$95,IF($A165&lt;Input!$G$95,IF($A165&lt;Input!$F$95,IF($A165&lt;Input!$E$95,IF($A165&lt;Input!$D$95,Input!$C$96,Input!$D$96),Input!$E$96),Input!$F$96),Input!$G$96),Input!$H$96)</f>
        <v>0.9</v>
      </c>
      <c r="AY165" s="60">
        <f t="shared" si="91"/>
        <v>0</v>
      </c>
      <c r="AZ165" s="60">
        <f t="shared" si="109"/>
        <v>31</v>
      </c>
      <c r="BA165" s="60">
        <f t="shared" si="92"/>
        <v>0</v>
      </c>
      <c r="BB165" s="60">
        <f>ROUND(BA165*AZ165*Input!$C$3/365,0)</f>
        <v>0</v>
      </c>
      <c r="BC165" s="61">
        <f>IF($A165&lt;=Input!$C$6,0,IF('120M'!AY165&lt;'120M'!BA165,'120M'!AY165-BB165,'120M'!BA165))</f>
        <v>0</v>
      </c>
      <c r="BD165" s="61">
        <f t="shared" si="93"/>
        <v>0</v>
      </c>
      <c r="BE165" s="60">
        <f t="shared" si="94"/>
        <v>0</v>
      </c>
      <c r="BF165" s="193"/>
      <c r="BG165" s="169">
        <v>161</v>
      </c>
      <c r="BH165" s="1">
        <f t="shared" si="110"/>
        <v>50420</v>
      </c>
      <c r="BI165" s="60">
        <f>IF($X165&lt;Input!$H$103,IF($X165&lt;Input!$G$103,IF($X165&lt;Input!$F$103,IF($X165&lt;Input!$E$103,IF($X165&lt;Input!$D$103,Input!$C$109,Input!$D$109),Input!$E$109),Input!$F$109),Input!$G$109),Input!$H$109)</f>
        <v>0</v>
      </c>
      <c r="BJ165" s="190">
        <f>IF($A165&lt;Input!$H$110,IF($A165&lt;Input!$G$110,IF($A165&lt;Input!$F$110,IF($A165&lt;Input!$E$110,IF($A165&lt;Input!$D$110,Input!$C$111,Input!$D$111),Input!$E$111),Input!$F$111),Input!$G$111),Input!$H$111)</f>
        <v>0.9</v>
      </c>
      <c r="BK165" s="60">
        <f t="shared" si="95"/>
        <v>0</v>
      </c>
      <c r="BL165" s="60">
        <f t="shared" si="111"/>
        <v>31</v>
      </c>
      <c r="BM165" s="60">
        <f t="shared" si="96"/>
        <v>0</v>
      </c>
      <c r="BN165" s="60">
        <f>ROUND(BM165*BL165*Input!$C$3/365,0)</f>
        <v>0</v>
      </c>
      <c r="BO165" s="61">
        <f>IF($A165&lt;=Input!$C$6,0,IF('120M'!BK165&lt;'120M'!BM165,'120M'!BK165-BN165,'120M'!BM165))</f>
        <v>0</v>
      </c>
      <c r="BP165" s="61">
        <f t="shared" si="97"/>
        <v>0</v>
      </c>
      <c r="BQ165" s="60">
        <f t="shared" si="98"/>
        <v>0</v>
      </c>
      <c r="BR165" s="198"/>
    </row>
    <row r="166" spans="1:70" x14ac:dyDescent="0.25">
      <c r="A166" s="169">
        <v>162</v>
      </c>
      <c r="B166" s="1">
        <f t="shared" si="99"/>
        <v>50451</v>
      </c>
      <c r="C166" s="60">
        <f t="shared" si="77"/>
        <v>33127052.878124986</v>
      </c>
      <c r="D166" s="60">
        <f t="shared" si="78"/>
        <v>29814347.590312488</v>
      </c>
      <c r="E166" s="60">
        <f t="shared" si="100"/>
        <v>31</v>
      </c>
      <c r="F166" s="60">
        <f t="shared" si="101"/>
        <v>0</v>
      </c>
      <c r="G166" s="60">
        <f>ROUND(F166*E166*Input!$C$3/365,0)</f>
        <v>0</v>
      </c>
      <c r="H166" s="60">
        <f>IF($A166&lt;=Input!$C$6,0,IF('120M'!D166&lt;'120M'!F166,'120M'!D166-G166,'120M'!F166))</f>
        <v>0</v>
      </c>
      <c r="I166" s="60">
        <f t="shared" si="102"/>
        <v>0</v>
      </c>
      <c r="J166" s="60">
        <f t="shared" si="103"/>
        <v>0</v>
      </c>
      <c r="K166" s="202">
        <f>J166/Input!$K$5</f>
        <v>0</v>
      </c>
      <c r="L166" s="232"/>
      <c r="M166" s="60">
        <f>IF($B166&lt;Input!$H$43,IF($B166&lt;Input!$G$43,IF($B166&lt;Input!$F$43,IF($B166&lt;Input!$E$43,IF($B166&lt;Input!$D$43,Input!$C$49,Input!$D$49),Input!$E$49),Input!$F$49),Input!$G$49),Input!$H$49)</f>
        <v>33127052.878124986</v>
      </c>
      <c r="N166" s="190">
        <f>IF($A166&lt;Input!$H$50,IF($A166&lt;Input!$G$50,IF($A166&lt;Input!$F$50,IF($A166&lt;Input!$E$50,IF($A166&lt;Input!$D$50,Input!$C$51,Input!$D$51),Input!$E$51),Input!$F$51),Input!$G$51),Input!$H$51)</f>
        <v>0.9</v>
      </c>
      <c r="O166" s="60">
        <f t="shared" si="112"/>
        <v>29814347.590312488</v>
      </c>
      <c r="P166" s="60">
        <f t="shared" si="113"/>
        <v>31</v>
      </c>
      <c r="Q166" s="60">
        <f t="shared" si="80"/>
        <v>0</v>
      </c>
      <c r="R166" s="60">
        <f>ROUND(Q166*$P166*Input!$C$3/365,0)</f>
        <v>0</v>
      </c>
      <c r="S166" s="60">
        <f>IF(A166&lt;=Input!$C$6,0,IF('120M'!O166&lt;'120M'!Q166,'120M'!O166-R166,'120M'!Q166))</f>
        <v>0</v>
      </c>
      <c r="T166" s="60">
        <f t="shared" si="81"/>
        <v>0</v>
      </c>
      <c r="U166" s="60">
        <f t="shared" si="82"/>
        <v>0</v>
      </c>
      <c r="V166" s="193"/>
      <c r="W166" s="169">
        <v>162</v>
      </c>
      <c r="X166" s="1">
        <f t="shared" si="104"/>
        <v>50451</v>
      </c>
      <c r="Y166" s="60">
        <f>IF($X166&lt;Input!$H$58,IF($X166&lt;Input!$G$58,IF($X166&lt;Input!$F$58,IF($X166&lt;Input!$E$58,IF($X166&lt;Input!$D$58,Input!$C$64,Input!$D$64),Input!$E$64),Input!$F$64),Input!$G$64),Input!$H$64)</f>
        <v>0</v>
      </c>
      <c r="Z166" s="190">
        <f>IF($A166&lt;Input!$H$65,IF($A166&lt;Input!$G$65,IF($A166&lt;Input!$F$65,IF($A166&lt;Input!$E$65,IF($A166&lt;Input!$D$65,Input!$C$66,Input!$D$66),Input!$E$66),Input!$F$66),Input!$G$66),Input!$H$66)</f>
        <v>0.9</v>
      </c>
      <c r="AA166" s="60">
        <f t="shared" si="83"/>
        <v>0</v>
      </c>
      <c r="AB166" s="60">
        <f t="shared" si="105"/>
        <v>31</v>
      </c>
      <c r="AC166" s="60">
        <f t="shared" si="84"/>
        <v>0</v>
      </c>
      <c r="AD166" s="60">
        <f>ROUND(AC166*AB166*Input!$C$3/365,0)</f>
        <v>0</v>
      </c>
      <c r="AE166" s="61">
        <f>IF($A166&lt;=Input!$C$6,0,IF('120M'!AA166&lt;'120M'!AC166,'120M'!AA166-AD166,'120M'!AC166))</f>
        <v>0</v>
      </c>
      <c r="AF166" s="61">
        <f t="shared" si="85"/>
        <v>0</v>
      </c>
      <c r="AG166" s="60">
        <f t="shared" si="86"/>
        <v>0</v>
      </c>
      <c r="AH166" s="193"/>
      <c r="AI166" s="169">
        <v>162</v>
      </c>
      <c r="AJ166" s="1">
        <f t="shared" si="106"/>
        <v>50451</v>
      </c>
      <c r="AK166" s="60">
        <f>IF($X166&lt;Input!$H$73,IF($X166&lt;Input!$G$73,IF($X166&lt;Input!$F$73,IF($X166&lt;Input!$E$73,IF($X166&lt;Input!$D$73,Input!$C$79,Input!$D$79),Input!$E$79),Input!$F$79),Input!$G$79),Input!$H$79)</f>
        <v>0</v>
      </c>
      <c r="AL166" s="190">
        <f>IF($A166&lt;Input!$H$80,IF($A166&lt;Input!$G$80,IF($A166&lt;Input!$F$80,IF($A166&lt;Input!$E$80,IF($A166&lt;Input!$D$80,Input!$C$81,Input!$D$81),Input!$E$81),Input!$F$81),Input!$G$81),Input!$H$81)</f>
        <v>0.9</v>
      </c>
      <c r="AM166" s="60">
        <f t="shared" si="87"/>
        <v>0</v>
      </c>
      <c r="AN166" s="60">
        <f t="shared" si="107"/>
        <v>31</v>
      </c>
      <c r="AO166" s="60">
        <f t="shared" si="88"/>
        <v>0</v>
      </c>
      <c r="AP166" s="60">
        <f>ROUND(AO166*AN166*Input!$C$3/365,0)</f>
        <v>0</v>
      </c>
      <c r="AQ166" s="61">
        <f>IF($A166&lt;=Input!$C$6,0,IF('120M'!AM166&lt;'120M'!AO166,'120M'!AM166-AP166,'120M'!AO166))</f>
        <v>0</v>
      </c>
      <c r="AR166" s="61">
        <f t="shared" si="89"/>
        <v>0</v>
      </c>
      <c r="AS166" s="60">
        <f t="shared" si="90"/>
        <v>0</v>
      </c>
      <c r="AT166" s="193"/>
      <c r="AU166" s="169">
        <v>162</v>
      </c>
      <c r="AV166" s="1">
        <f t="shared" si="108"/>
        <v>50451</v>
      </c>
      <c r="AW166" s="60">
        <f>IF($X166&lt;Input!$H$88,IF($X166&lt;Input!$G$88,IF($X166&lt;Input!$F$88,IF($X166&lt;Input!$E$88,IF($X166&lt;Input!$D$88,Input!$C$94,Input!$D$94),Input!$E$94),Input!$F$94),Input!$G$94),Input!$H$94)</f>
        <v>0</v>
      </c>
      <c r="AX166" s="190">
        <f>IF($A166&lt;Input!$H$95,IF($A166&lt;Input!$G$95,IF($A166&lt;Input!$F$95,IF($A166&lt;Input!$E$95,IF($A166&lt;Input!$D$95,Input!$C$96,Input!$D$96),Input!$E$96),Input!$F$96),Input!$G$96),Input!$H$96)</f>
        <v>0.9</v>
      </c>
      <c r="AY166" s="60">
        <f t="shared" si="91"/>
        <v>0</v>
      </c>
      <c r="AZ166" s="60">
        <f t="shared" si="109"/>
        <v>31</v>
      </c>
      <c r="BA166" s="60">
        <f t="shared" si="92"/>
        <v>0</v>
      </c>
      <c r="BB166" s="60">
        <f>ROUND(BA166*AZ166*Input!$C$3/365,0)</f>
        <v>0</v>
      </c>
      <c r="BC166" s="61">
        <f>IF($A166&lt;=Input!$C$6,0,IF('120M'!AY166&lt;'120M'!BA166,'120M'!AY166-BB166,'120M'!BA166))</f>
        <v>0</v>
      </c>
      <c r="BD166" s="61">
        <f t="shared" si="93"/>
        <v>0</v>
      </c>
      <c r="BE166" s="60">
        <f t="shared" si="94"/>
        <v>0</v>
      </c>
      <c r="BF166" s="193"/>
      <c r="BG166" s="169">
        <v>162</v>
      </c>
      <c r="BH166" s="1">
        <f t="shared" si="110"/>
        <v>50451</v>
      </c>
      <c r="BI166" s="60">
        <f>IF($X166&lt;Input!$H$103,IF($X166&lt;Input!$G$103,IF($X166&lt;Input!$F$103,IF($X166&lt;Input!$E$103,IF($X166&lt;Input!$D$103,Input!$C$109,Input!$D$109),Input!$E$109),Input!$F$109),Input!$G$109),Input!$H$109)</f>
        <v>0</v>
      </c>
      <c r="BJ166" s="190">
        <f>IF($A166&lt;Input!$H$110,IF($A166&lt;Input!$G$110,IF($A166&lt;Input!$F$110,IF($A166&lt;Input!$E$110,IF($A166&lt;Input!$D$110,Input!$C$111,Input!$D$111),Input!$E$111),Input!$F$111),Input!$G$111),Input!$H$111)</f>
        <v>0.9</v>
      </c>
      <c r="BK166" s="60">
        <f t="shared" si="95"/>
        <v>0</v>
      </c>
      <c r="BL166" s="60">
        <f t="shared" si="111"/>
        <v>31</v>
      </c>
      <c r="BM166" s="60">
        <f t="shared" si="96"/>
        <v>0</v>
      </c>
      <c r="BN166" s="60">
        <f>ROUND(BM166*BL166*Input!$C$3/365,0)</f>
        <v>0</v>
      </c>
      <c r="BO166" s="61">
        <f>IF($A166&lt;=Input!$C$6,0,IF('120M'!BK166&lt;'120M'!BM166,'120M'!BK166-BN166,'120M'!BM166))</f>
        <v>0</v>
      </c>
      <c r="BP166" s="61">
        <f t="shared" si="97"/>
        <v>0</v>
      </c>
      <c r="BQ166" s="60">
        <f t="shared" si="98"/>
        <v>0</v>
      </c>
      <c r="BR166" s="198"/>
    </row>
    <row r="167" spans="1:70" x14ac:dyDescent="0.25">
      <c r="A167" s="169">
        <v>163</v>
      </c>
      <c r="B167" s="1">
        <f t="shared" si="99"/>
        <v>50479</v>
      </c>
      <c r="C167" s="60">
        <f t="shared" si="77"/>
        <v>33127052.878124986</v>
      </c>
      <c r="D167" s="60">
        <f t="shared" si="78"/>
        <v>29814347.590312488</v>
      </c>
      <c r="E167" s="60">
        <f t="shared" si="100"/>
        <v>28</v>
      </c>
      <c r="F167" s="60">
        <f t="shared" si="101"/>
        <v>0</v>
      </c>
      <c r="G167" s="60">
        <f>ROUND(F167*E167*Input!$C$3/365,0)</f>
        <v>0</v>
      </c>
      <c r="H167" s="60">
        <f>IF($A167&lt;=Input!$C$6,0,IF('120M'!D167&lt;'120M'!F167,'120M'!D167-G167,'120M'!F167))</f>
        <v>0</v>
      </c>
      <c r="I167" s="60">
        <f t="shared" si="102"/>
        <v>0</v>
      </c>
      <c r="J167" s="60">
        <f t="shared" si="103"/>
        <v>0</v>
      </c>
      <c r="K167" s="202">
        <f>J167/Input!$K$5</f>
        <v>0</v>
      </c>
      <c r="L167" s="232"/>
      <c r="M167" s="60">
        <f>IF($B167&lt;Input!$H$43,IF($B167&lt;Input!$G$43,IF($B167&lt;Input!$F$43,IF($B167&lt;Input!$E$43,IF($B167&lt;Input!$D$43,Input!$C$49,Input!$D$49),Input!$E$49),Input!$F$49),Input!$G$49),Input!$H$49)</f>
        <v>33127052.878124986</v>
      </c>
      <c r="N167" s="190">
        <f>IF($A167&lt;Input!$H$50,IF($A167&lt;Input!$G$50,IF($A167&lt;Input!$F$50,IF($A167&lt;Input!$E$50,IF($A167&lt;Input!$D$50,Input!$C$51,Input!$D$51),Input!$E$51),Input!$F$51),Input!$G$51),Input!$H$51)</f>
        <v>0.9</v>
      </c>
      <c r="O167" s="60">
        <f t="shared" si="112"/>
        <v>29814347.590312488</v>
      </c>
      <c r="P167" s="60">
        <f t="shared" si="113"/>
        <v>28</v>
      </c>
      <c r="Q167" s="60">
        <f t="shared" si="80"/>
        <v>0</v>
      </c>
      <c r="R167" s="60">
        <f>ROUND(Q167*$P167*Input!$C$3/365,0)</f>
        <v>0</v>
      </c>
      <c r="S167" s="60">
        <f>IF(A167&lt;=Input!$C$6,0,IF('120M'!O167&lt;'120M'!Q167,'120M'!O167-R167,'120M'!Q167))</f>
        <v>0</v>
      </c>
      <c r="T167" s="60">
        <f t="shared" si="81"/>
        <v>0</v>
      </c>
      <c r="U167" s="60">
        <f t="shared" si="82"/>
        <v>0</v>
      </c>
      <c r="V167" s="193"/>
      <c r="W167" s="169">
        <v>163</v>
      </c>
      <c r="X167" s="1">
        <f t="shared" si="104"/>
        <v>50479</v>
      </c>
      <c r="Y167" s="60">
        <f>IF($X167&lt;Input!$H$58,IF($X167&lt;Input!$G$58,IF($X167&lt;Input!$F$58,IF($X167&lt;Input!$E$58,IF($X167&lt;Input!$D$58,Input!$C$64,Input!$D$64),Input!$E$64),Input!$F$64),Input!$G$64),Input!$H$64)</f>
        <v>0</v>
      </c>
      <c r="Z167" s="190">
        <f>IF($A167&lt;Input!$H$65,IF($A167&lt;Input!$G$65,IF($A167&lt;Input!$F$65,IF($A167&lt;Input!$E$65,IF($A167&lt;Input!$D$65,Input!$C$66,Input!$D$66),Input!$E$66),Input!$F$66),Input!$G$66),Input!$H$66)</f>
        <v>0.9</v>
      </c>
      <c r="AA167" s="60">
        <f t="shared" si="83"/>
        <v>0</v>
      </c>
      <c r="AB167" s="60">
        <f t="shared" si="105"/>
        <v>28</v>
      </c>
      <c r="AC167" s="60">
        <f t="shared" si="84"/>
        <v>0</v>
      </c>
      <c r="AD167" s="60">
        <f>ROUND(AC167*AB167*Input!$C$3/365,0)</f>
        <v>0</v>
      </c>
      <c r="AE167" s="61">
        <f>IF($A167&lt;=Input!$C$6,0,IF('120M'!AA167&lt;'120M'!AC167,'120M'!AA167-AD167,'120M'!AC167))</f>
        <v>0</v>
      </c>
      <c r="AF167" s="61">
        <f t="shared" si="85"/>
        <v>0</v>
      </c>
      <c r="AG167" s="60">
        <f t="shared" si="86"/>
        <v>0</v>
      </c>
      <c r="AH167" s="193"/>
      <c r="AI167" s="169">
        <v>163</v>
      </c>
      <c r="AJ167" s="1">
        <f t="shared" si="106"/>
        <v>50479</v>
      </c>
      <c r="AK167" s="60">
        <f>IF($X167&lt;Input!$H$73,IF($X167&lt;Input!$G$73,IF($X167&lt;Input!$F$73,IF($X167&lt;Input!$E$73,IF($X167&lt;Input!$D$73,Input!$C$79,Input!$D$79),Input!$E$79),Input!$F$79),Input!$G$79),Input!$H$79)</f>
        <v>0</v>
      </c>
      <c r="AL167" s="190">
        <f>IF($A167&lt;Input!$H$80,IF($A167&lt;Input!$G$80,IF($A167&lt;Input!$F$80,IF($A167&lt;Input!$E$80,IF($A167&lt;Input!$D$80,Input!$C$81,Input!$D$81),Input!$E$81),Input!$F$81),Input!$G$81),Input!$H$81)</f>
        <v>0.9</v>
      </c>
      <c r="AM167" s="60">
        <f t="shared" si="87"/>
        <v>0</v>
      </c>
      <c r="AN167" s="60">
        <f t="shared" si="107"/>
        <v>28</v>
      </c>
      <c r="AO167" s="60">
        <f t="shared" si="88"/>
        <v>0</v>
      </c>
      <c r="AP167" s="60">
        <f>ROUND(AO167*AN167*Input!$C$3/365,0)</f>
        <v>0</v>
      </c>
      <c r="AQ167" s="61">
        <f>IF($A167&lt;=Input!$C$6,0,IF('120M'!AM167&lt;'120M'!AO167,'120M'!AM167-AP167,'120M'!AO167))</f>
        <v>0</v>
      </c>
      <c r="AR167" s="61">
        <f t="shared" si="89"/>
        <v>0</v>
      </c>
      <c r="AS167" s="60">
        <f t="shared" si="90"/>
        <v>0</v>
      </c>
      <c r="AT167" s="193"/>
      <c r="AU167" s="169">
        <v>163</v>
      </c>
      <c r="AV167" s="1">
        <f t="shared" si="108"/>
        <v>50479</v>
      </c>
      <c r="AW167" s="60">
        <f>IF($X167&lt;Input!$H$88,IF($X167&lt;Input!$G$88,IF($X167&lt;Input!$F$88,IF($X167&lt;Input!$E$88,IF($X167&lt;Input!$D$88,Input!$C$94,Input!$D$94),Input!$E$94),Input!$F$94),Input!$G$94),Input!$H$94)</f>
        <v>0</v>
      </c>
      <c r="AX167" s="190">
        <f>IF($A167&lt;Input!$H$95,IF($A167&lt;Input!$G$95,IF($A167&lt;Input!$F$95,IF($A167&lt;Input!$E$95,IF($A167&lt;Input!$D$95,Input!$C$96,Input!$D$96),Input!$E$96),Input!$F$96),Input!$G$96),Input!$H$96)</f>
        <v>0.9</v>
      </c>
      <c r="AY167" s="60">
        <f t="shared" si="91"/>
        <v>0</v>
      </c>
      <c r="AZ167" s="60">
        <f t="shared" si="109"/>
        <v>28</v>
      </c>
      <c r="BA167" s="60">
        <f t="shared" si="92"/>
        <v>0</v>
      </c>
      <c r="BB167" s="60">
        <f>ROUND(BA167*AZ167*Input!$C$3/365,0)</f>
        <v>0</v>
      </c>
      <c r="BC167" s="61">
        <f>IF($A167&lt;=Input!$C$6,0,IF('120M'!AY167&lt;'120M'!BA167,'120M'!AY167-BB167,'120M'!BA167))</f>
        <v>0</v>
      </c>
      <c r="BD167" s="61">
        <f t="shared" si="93"/>
        <v>0</v>
      </c>
      <c r="BE167" s="60">
        <f t="shared" si="94"/>
        <v>0</v>
      </c>
      <c r="BF167" s="193"/>
      <c r="BG167" s="169">
        <v>163</v>
      </c>
      <c r="BH167" s="1">
        <f t="shared" si="110"/>
        <v>50479</v>
      </c>
      <c r="BI167" s="60">
        <f>IF($X167&lt;Input!$H$103,IF($X167&lt;Input!$G$103,IF($X167&lt;Input!$F$103,IF($X167&lt;Input!$E$103,IF($X167&lt;Input!$D$103,Input!$C$109,Input!$D$109),Input!$E$109),Input!$F$109),Input!$G$109),Input!$H$109)</f>
        <v>0</v>
      </c>
      <c r="BJ167" s="190">
        <f>IF($A167&lt;Input!$H$110,IF($A167&lt;Input!$G$110,IF($A167&lt;Input!$F$110,IF($A167&lt;Input!$E$110,IF($A167&lt;Input!$D$110,Input!$C$111,Input!$D$111),Input!$E$111),Input!$F$111),Input!$G$111),Input!$H$111)</f>
        <v>0.9</v>
      </c>
      <c r="BK167" s="60">
        <f t="shared" si="95"/>
        <v>0</v>
      </c>
      <c r="BL167" s="60">
        <f t="shared" si="111"/>
        <v>28</v>
      </c>
      <c r="BM167" s="60">
        <f t="shared" si="96"/>
        <v>0</v>
      </c>
      <c r="BN167" s="60">
        <f>ROUND(BM167*BL167*Input!$C$3/365,0)</f>
        <v>0</v>
      </c>
      <c r="BO167" s="61">
        <f>IF($A167&lt;=Input!$C$6,0,IF('120M'!BK167&lt;'120M'!BM167,'120M'!BK167-BN167,'120M'!BM167))</f>
        <v>0</v>
      </c>
      <c r="BP167" s="61">
        <f t="shared" si="97"/>
        <v>0</v>
      </c>
      <c r="BQ167" s="60">
        <f t="shared" si="98"/>
        <v>0</v>
      </c>
      <c r="BR167" s="198"/>
    </row>
    <row r="168" spans="1:70" x14ac:dyDescent="0.25">
      <c r="A168" s="169">
        <v>164</v>
      </c>
      <c r="B168" s="1">
        <f t="shared" si="99"/>
        <v>50510</v>
      </c>
      <c r="C168" s="60">
        <f t="shared" si="77"/>
        <v>33127052.878124986</v>
      </c>
      <c r="D168" s="60">
        <f t="shared" si="78"/>
        <v>29814347.590312488</v>
      </c>
      <c r="E168" s="60">
        <f t="shared" si="100"/>
        <v>31</v>
      </c>
      <c r="F168" s="60">
        <f t="shared" si="101"/>
        <v>0</v>
      </c>
      <c r="G168" s="60">
        <f>ROUND(F168*E168*Input!$C$3/365,0)</f>
        <v>0</v>
      </c>
      <c r="H168" s="60">
        <f>IF($A168&lt;=Input!$C$6,0,IF('120M'!D168&lt;'120M'!F168,'120M'!D168-G168,'120M'!F168))</f>
        <v>0</v>
      </c>
      <c r="I168" s="60">
        <f t="shared" si="102"/>
        <v>0</v>
      </c>
      <c r="J168" s="60">
        <f t="shared" si="103"/>
        <v>0</v>
      </c>
      <c r="K168" s="202">
        <f>J168/Input!$K$5</f>
        <v>0</v>
      </c>
      <c r="L168" s="232"/>
      <c r="M168" s="60">
        <f>IF($B168&lt;Input!$H$43,IF($B168&lt;Input!$G$43,IF($B168&lt;Input!$F$43,IF($B168&lt;Input!$E$43,IF($B168&lt;Input!$D$43,Input!$C$49,Input!$D$49),Input!$E$49),Input!$F$49),Input!$G$49),Input!$H$49)</f>
        <v>33127052.878124986</v>
      </c>
      <c r="N168" s="190">
        <f>IF($A168&lt;Input!$H$50,IF($A168&lt;Input!$G$50,IF($A168&lt;Input!$F$50,IF($A168&lt;Input!$E$50,IF($A168&lt;Input!$D$50,Input!$C$51,Input!$D$51),Input!$E$51),Input!$F$51),Input!$G$51),Input!$H$51)</f>
        <v>0.9</v>
      </c>
      <c r="O168" s="60">
        <f t="shared" si="112"/>
        <v>29814347.590312488</v>
      </c>
      <c r="P168" s="60">
        <f t="shared" si="113"/>
        <v>31</v>
      </c>
      <c r="Q168" s="60">
        <f t="shared" si="80"/>
        <v>0</v>
      </c>
      <c r="R168" s="60">
        <f>ROUND(Q168*$P168*Input!$C$3/365,0)</f>
        <v>0</v>
      </c>
      <c r="S168" s="60">
        <f>IF(A168&lt;=Input!$C$6,0,IF('120M'!O168&lt;'120M'!Q168,'120M'!O168-R168,'120M'!Q168))</f>
        <v>0</v>
      </c>
      <c r="T168" s="60">
        <f t="shared" si="81"/>
        <v>0</v>
      </c>
      <c r="U168" s="60">
        <f t="shared" si="82"/>
        <v>0</v>
      </c>
      <c r="V168" s="193"/>
      <c r="W168" s="169">
        <v>164</v>
      </c>
      <c r="X168" s="1">
        <f t="shared" si="104"/>
        <v>50510</v>
      </c>
      <c r="Y168" s="60">
        <f>IF($X168&lt;Input!$H$58,IF($X168&lt;Input!$G$58,IF($X168&lt;Input!$F$58,IF($X168&lt;Input!$E$58,IF($X168&lt;Input!$D$58,Input!$C$64,Input!$D$64),Input!$E$64),Input!$F$64),Input!$G$64),Input!$H$64)</f>
        <v>0</v>
      </c>
      <c r="Z168" s="190">
        <f>IF($A168&lt;Input!$H$65,IF($A168&lt;Input!$G$65,IF($A168&lt;Input!$F$65,IF($A168&lt;Input!$E$65,IF($A168&lt;Input!$D$65,Input!$C$66,Input!$D$66),Input!$E$66),Input!$F$66),Input!$G$66),Input!$H$66)</f>
        <v>0.9</v>
      </c>
      <c r="AA168" s="60">
        <f t="shared" si="83"/>
        <v>0</v>
      </c>
      <c r="AB168" s="60">
        <f t="shared" si="105"/>
        <v>31</v>
      </c>
      <c r="AC168" s="60">
        <f t="shared" si="84"/>
        <v>0</v>
      </c>
      <c r="AD168" s="60">
        <f>ROUND(AC168*AB168*Input!$C$3/365,0)</f>
        <v>0</v>
      </c>
      <c r="AE168" s="61">
        <f>IF($A168&lt;=Input!$C$6,0,IF('120M'!AA168&lt;'120M'!AC168,'120M'!AA168-AD168,'120M'!AC168))</f>
        <v>0</v>
      </c>
      <c r="AF168" s="61">
        <f t="shared" si="85"/>
        <v>0</v>
      </c>
      <c r="AG168" s="60">
        <f t="shared" si="86"/>
        <v>0</v>
      </c>
      <c r="AH168" s="193"/>
      <c r="AI168" s="169">
        <v>164</v>
      </c>
      <c r="AJ168" s="1">
        <f t="shared" si="106"/>
        <v>50510</v>
      </c>
      <c r="AK168" s="60">
        <f>IF($X168&lt;Input!$H$73,IF($X168&lt;Input!$G$73,IF($X168&lt;Input!$F$73,IF($X168&lt;Input!$E$73,IF($X168&lt;Input!$D$73,Input!$C$79,Input!$D$79),Input!$E$79),Input!$F$79),Input!$G$79),Input!$H$79)</f>
        <v>0</v>
      </c>
      <c r="AL168" s="190">
        <f>IF($A168&lt;Input!$H$80,IF($A168&lt;Input!$G$80,IF($A168&lt;Input!$F$80,IF($A168&lt;Input!$E$80,IF($A168&lt;Input!$D$80,Input!$C$81,Input!$D$81),Input!$E$81),Input!$F$81),Input!$G$81),Input!$H$81)</f>
        <v>0.9</v>
      </c>
      <c r="AM168" s="60">
        <f t="shared" si="87"/>
        <v>0</v>
      </c>
      <c r="AN168" s="60">
        <f t="shared" si="107"/>
        <v>31</v>
      </c>
      <c r="AO168" s="60">
        <f t="shared" si="88"/>
        <v>0</v>
      </c>
      <c r="AP168" s="60">
        <f>ROUND(AO168*AN168*Input!$C$3/365,0)</f>
        <v>0</v>
      </c>
      <c r="AQ168" s="61">
        <f>IF($A168&lt;=Input!$C$6,0,IF('120M'!AM168&lt;'120M'!AO168,'120M'!AM168-AP168,'120M'!AO168))</f>
        <v>0</v>
      </c>
      <c r="AR168" s="61">
        <f t="shared" si="89"/>
        <v>0</v>
      </c>
      <c r="AS168" s="60">
        <f t="shared" si="90"/>
        <v>0</v>
      </c>
      <c r="AT168" s="193"/>
      <c r="AU168" s="169">
        <v>164</v>
      </c>
      <c r="AV168" s="1">
        <f t="shared" si="108"/>
        <v>50510</v>
      </c>
      <c r="AW168" s="60">
        <f>IF($X168&lt;Input!$H$88,IF($X168&lt;Input!$G$88,IF($X168&lt;Input!$F$88,IF($X168&lt;Input!$E$88,IF($X168&lt;Input!$D$88,Input!$C$94,Input!$D$94),Input!$E$94),Input!$F$94),Input!$G$94),Input!$H$94)</f>
        <v>0</v>
      </c>
      <c r="AX168" s="190">
        <f>IF($A168&lt;Input!$H$95,IF($A168&lt;Input!$G$95,IF($A168&lt;Input!$F$95,IF($A168&lt;Input!$E$95,IF($A168&lt;Input!$D$95,Input!$C$96,Input!$D$96),Input!$E$96),Input!$F$96),Input!$G$96),Input!$H$96)</f>
        <v>0.9</v>
      </c>
      <c r="AY168" s="60">
        <f t="shared" si="91"/>
        <v>0</v>
      </c>
      <c r="AZ168" s="60">
        <f t="shared" si="109"/>
        <v>31</v>
      </c>
      <c r="BA168" s="60">
        <f t="shared" si="92"/>
        <v>0</v>
      </c>
      <c r="BB168" s="60">
        <f>ROUND(BA168*AZ168*Input!$C$3/365,0)</f>
        <v>0</v>
      </c>
      <c r="BC168" s="61">
        <f>IF($A168&lt;=Input!$C$6,0,IF('120M'!AY168&lt;'120M'!BA168,'120M'!AY168-BB168,'120M'!BA168))</f>
        <v>0</v>
      </c>
      <c r="BD168" s="61">
        <f t="shared" si="93"/>
        <v>0</v>
      </c>
      <c r="BE168" s="60">
        <f t="shared" si="94"/>
        <v>0</v>
      </c>
      <c r="BF168" s="193"/>
      <c r="BG168" s="169">
        <v>164</v>
      </c>
      <c r="BH168" s="1">
        <f t="shared" si="110"/>
        <v>50510</v>
      </c>
      <c r="BI168" s="60">
        <f>IF($X168&lt;Input!$H$103,IF($X168&lt;Input!$G$103,IF($X168&lt;Input!$F$103,IF($X168&lt;Input!$E$103,IF($X168&lt;Input!$D$103,Input!$C$109,Input!$D$109),Input!$E$109),Input!$F$109),Input!$G$109),Input!$H$109)</f>
        <v>0</v>
      </c>
      <c r="BJ168" s="190">
        <f>IF($A168&lt;Input!$H$110,IF($A168&lt;Input!$G$110,IF($A168&lt;Input!$F$110,IF($A168&lt;Input!$E$110,IF($A168&lt;Input!$D$110,Input!$C$111,Input!$D$111),Input!$E$111),Input!$F$111),Input!$G$111),Input!$H$111)</f>
        <v>0.9</v>
      </c>
      <c r="BK168" s="60">
        <f t="shared" si="95"/>
        <v>0</v>
      </c>
      <c r="BL168" s="60">
        <f t="shared" si="111"/>
        <v>31</v>
      </c>
      <c r="BM168" s="60">
        <f t="shared" si="96"/>
        <v>0</v>
      </c>
      <c r="BN168" s="60">
        <f>ROUND(BM168*BL168*Input!$C$3/365,0)</f>
        <v>0</v>
      </c>
      <c r="BO168" s="61">
        <f>IF($A168&lt;=Input!$C$6,0,IF('120M'!BK168&lt;'120M'!BM168,'120M'!BK168-BN168,'120M'!BM168))</f>
        <v>0</v>
      </c>
      <c r="BP168" s="61">
        <f t="shared" si="97"/>
        <v>0</v>
      </c>
      <c r="BQ168" s="60">
        <f t="shared" si="98"/>
        <v>0</v>
      </c>
      <c r="BR168" s="198"/>
    </row>
    <row r="169" spans="1:70" x14ac:dyDescent="0.25">
      <c r="A169" s="169">
        <v>165</v>
      </c>
      <c r="B169" s="1">
        <f t="shared" si="99"/>
        <v>50540</v>
      </c>
      <c r="C169" s="60">
        <f t="shared" si="77"/>
        <v>33127052.878124986</v>
      </c>
      <c r="D169" s="60">
        <f t="shared" si="78"/>
        <v>29814347.590312488</v>
      </c>
      <c r="E169" s="60">
        <f t="shared" si="100"/>
        <v>30</v>
      </c>
      <c r="F169" s="60">
        <f t="shared" si="101"/>
        <v>0</v>
      </c>
      <c r="G169" s="60">
        <f>ROUND(F169*E169*Input!$C$3/365,0)</f>
        <v>0</v>
      </c>
      <c r="H169" s="60">
        <f>IF($A169&lt;=Input!$C$6,0,IF('120M'!D169&lt;'120M'!F169,'120M'!D169-G169,'120M'!F169))</f>
        <v>0</v>
      </c>
      <c r="I169" s="60">
        <f t="shared" si="102"/>
        <v>0</v>
      </c>
      <c r="J169" s="60">
        <f t="shared" si="103"/>
        <v>0</v>
      </c>
      <c r="K169" s="202">
        <f>J169/Input!$K$5</f>
        <v>0</v>
      </c>
      <c r="L169" s="232"/>
      <c r="M169" s="60">
        <f>IF($B169&lt;Input!$H$43,IF($B169&lt;Input!$G$43,IF($B169&lt;Input!$F$43,IF($B169&lt;Input!$E$43,IF($B169&lt;Input!$D$43,Input!$C$49,Input!$D$49),Input!$E$49),Input!$F$49),Input!$G$49),Input!$H$49)</f>
        <v>33127052.878124986</v>
      </c>
      <c r="N169" s="190">
        <f>IF($A169&lt;Input!$H$50,IF($A169&lt;Input!$G$50,IF($A169&lt;Input!$F$50,IF($A169&lt;Input!$E$50,IF($A169&lt;Input!$D$50,Input!$C$51,Input!$D$51),Input!$E$51),Input!$F$51),Input!$G$51),Input!$H$51)</f>
        <v>0.9</v>
      </c>
      <c r="O169" s="60">
        <f t="shared" si="112"/>
        <v>29814347.590312488</v>
      </c>
      <c r="P169" s="60">
        <f t="shared" si="113"/>
        <v>30</v>
      </c>
      <c r="Q169" s="60">
        <f t="shared" si="80"/>
        <v>0</v>
      </c>
      <c r="R169" s="60">
        <f>ROUND(Q169*$P169*Input!$C$3/365,0)</f>
        <v>0</v>
      </c>
      <c r="S169" s="60">
        <f>IF(A169&lt;=Input!$C$6,0,IF('120M'!O169&lt;'120M'!Q169,'120M'!O169-R169,'120M'!Q169))</f>
        <v>0</v>
      </c>
      <c r="T169" s="60">
        <f t="shared" si="81"/>
        <v>0</v>
      </c>
      <c r="U169" s="60">
        <f t="shared" si="82"/>
        <v>0</v>
      </c>
      <c r="V169" s="193"/>
      <c r="W169" s="169">
        <v>165</v>
      </c>
      <c r="X169" s="1">
        <f t="shared" si="104"/>
        <v>50540</v>
      </c>
      <c r="Y169" s="60">
        <f>IF($X169&lt;Input!$H$58,IF($X169&lt;Input!$G$58,IF($X169&lt;Input!$F$58,IF($X169&lt;Input!$E$58,IF($X169&lt;Input!$D$58,Input!$C$64,Input!$D$64),Input!$E$64),Input!$F$64),Input!$G$64),Input!$H$64)</f>
        <v>0</v>
      </c>
      <c r="Z169" s="190">
        <f>IF($A169&lt;Input!$H$65,IF($A169&lt;Input!$G$65,IF($A169&lt;Input!$F$65,IF($A169&lt;Input!$E$65,IF($A169&lt;Input!$D$65,Input!$C$66,Input!$D$66),Input!$E$66),Input!$F$66),Input!$G$66),Input!$H$66)</f>
        <v>0.9</v>
      </c>
      <c r="AA169" s="60">
        <f t="shared" si="83"/>
        <v>0</v>
      </c>
      <c r="AB169" s="60">
        <f t="shared" si="105"/>
        <v>30</v>
      </c>
      <c r="AC169" s="60">
        <f t="shared" si="84"/>
        <v>0</v>
      </c>
      <c r="AD169" s="60">
        <f>ROUND(AC169*AB169*Input!$C$3/365,0)</f>
        <v>0</v>
      </c>
      <c r="AE169" s="61">
        <f>IF($A169&lt;=Input!$C$6,0,IF('120M'!AA169&lt;'120M'!AC169,'120M'!AA169-AD169,'120M'!AC169))</f>
        <v>0</v>
      </c>
      <c r="AF169" s="61">
        <f t="shared" si="85"/>
        <v>0</v>
      </c>
      <c r="AG169" s="60">
        <f t="shared" si="86"/>
        <v>0</v>
      </c>
      <c r="AH169" s="193"/>
      <c r="AI169" s="169">
        <v>165</v>
      </c>
      <c r="AJ169" s="1">
        <f t="shared" si="106"/>
        <v>50540</v>
      </c>
      <c r="AK169" s="60">
        <f>IF($X169&lt;Input!$H$73,IF($X169&lt;Input!$G$73,IF($X169&lt;Input!$F$73,IF($X169&lt;Input!$E$73,IF($X169&lt;Input!$D$73,Input!$C$79,Input!$D$79),Input!$E$79),Input!$F$79),Input!$G$79),Input!$H$79)</f>
        <v>0</v>
      </c>
      <c r="AL169" s="190">
        <f>IF($A169&lt;Input!$H$80,IF($A169&lt;Input!$G$80,IF($A169&lt;Input!$F$80,IF($A169&lt;Input!$E$80,IF($A169&lt;Input!$D$80,Input!$C$81,Input!$D$81),Input!$E$81),Input!$F$81),Input!$G$81),Input!$H$81)</f>
        <v>0.9</v>
      </c>
      <c r="AM169" s="60">
        <f t="shared" si="87"/>
        <v>0</v>
      </c>
      <c r="AN169" s="60">
        <f t="shared" si="107"/>
        <v>30</v>
      </c>
      <c r="AO169" s="60">
        <f t="shared" si="88"/>
        <v>0</v>
      </c>
      <c r="AP169" s="60">
        <f>ROUND(AO169*AN169*Input!$C$3/365,0)</f>
        <v>0</v>
      </c>
      <c r="AQ169" s="61">
        <f>IF($A169&lt;=Input!$C$6,0,IF('120M'!AM169&lt;'120M'!AO169,'120M'!AM169-AP169,'120M'!AO169))</f>
        <v>0</v>
      </c>
      <c r="AR169" s="61">
        <f t="shared" si="89"/>
        <v>0</v>
      </c>
      <c r="AS169" s="60">
        <f t="shared" si="90"/>
        <v>0</v>
      </c>
      <c r="AT169" s="193"/>
      <c r="AU169" s="169">
        <v>165</v>
      </c>
      <c r="AV169" s="1">
        <f t="shared" si="108"/>
        <v>50540</v>
      </c>
      <c r="AW169" s="60">
        <f>IF($X169&lt;Input!$H$88,IF($X169&lt;Input!$G$88,IF($X169&lt;Input!$F$88,IF($X169&lt;Input!$E$88,IF($X169&lt;Input!$D$88,Input!$C$94,Input!$D$94),Input!$E$94),Input!$F$94),Input!$G$94),Input!$H$94)</f>
        <v>0</v>
      </c>
      <c r="AX169" s="190">
        <f>IF($A169&lt;Input!$H$95,IF($A169&lt;Input!$G$95,IF($A169&lt;Input!$F$95,IF($A169&lt;Input!$E$95,IF($A169&lt;Input!$D$95,Input!$C$96,Input!$D$96),Input!$E$96),Input!$F$96),Input!$G$96),Input!$H$96)</f>
        <v>0.9</v>
      </c>
      <c r="AY169" s="60">
        <f t="shared" si="91"/>
        <v>0</v>
      </c>
      <c r="AZ169" s="60">
        <f t="shared" si="109"/>
        <v>30</v>
      </c>
      <c r="BA169" s="60">
        <f t="shared" si="92"/>
        <v>0</v>
      </c>
      <c r="BB169" s="60">
        <f>ROUND(BA169*AZ169*Input!$C$3/365,0)</f>
        <v>0</v>
      </c>
      <c r="BC169" s="61">
        <f>IF($A169&lt;=Input!$C$6,0,IF('120M'!AY169&lt;'120M'!BA169,'120M'!AY169-BB169,'120M'!BA169))</f>
        <v>0</v>
      </c>
      <c r="BD169" s="61">
        <f t="shared" si="93"/>
        <v>0</v>
      </c>
      <c r="BE169" s="60">
        <f t="shared" si="94"/>
        <v>0</v>
      </c>
      <c r="BF169" s="193"/>
      <c r="BG169" s="169">
        <v>165</v>
      </c>
      <c r="BH169" s="1">
        <f t="shared" si="110"/>
        <v>50540</v>
      </c>
      <c r="BI169" s="60">
        <f>IF($X169&lt;Input!$H$103,IF($X169&lt;Input!$G$103,IF($X169&lt;Input!$F$103,IF($X169&lt;Input!$E$103,IF($X169&lt;Input!$D$103,Input!$C$109,Input!$D$109),Input!$E$109),Input!$F$109),Input!$G$109),Input!$H$109)</f>
        <v>0</v>
      </c>
      <c r="BJ169" s="190">
        <f>IF($A169&lt;Input!$H$110,IF($A169&lt;Input!$G$110,IF($A169&lt;Input!$F$110,IF($A169&lt;Input!$E$110,IF($A169&lt;Input!$D$110,Input!$C$111,Input!$D$111),Input!$E$111),Input!$F$111),Input!$G$111),Input!$H$111)</f>
        <v>0.9</v>
      </c>
      <c r="BK169" s="60">
        <f t="shared" si="95"/>
        <v>0</v>
      </c>
      <c r="BL169" s="60">
        <f t="shared" si="111"/>
        <v>30</v>
      </c>
      <c r="BM169" s="60">
        <f t="shared" si="96"/>
        <v>0</v>
      </c>
      <c r="BN169" s="60">
        <f>ROUND(BM169*BL169*Input!$C$3/365,0)</f>
        <v>0</v>
      </c>
      <c r="BO169" s="61">
        <f>IF($A169&lt;=Input!$C$6,0,IF('120M'!BK169&lt;'120M'!BM169,'120M'!BK169-BN169,'120M'!BM169))</f>
        <v>0</v>
      </c>
      <c r="BP169" s="61">
        <f t="shared" si="97"/>
        <v>0</v>
      </c>
      <c r="BQ169" s="60">
        <f t="shared" si="98"/>
        <v>0</v>
      </c>
      <c r="BR169" s="198"/>
    </row>
    <row r="170" spans="1:70" x14ac:dyDescent="0.25">
      <c r="A170" s="169">
        <v>166</v>
      </c>
      <c r="B170" s="1">
        <f t="shared" si="99"/>
        <v>50571</v>
      </c>
      <c r="C170" s="60">
        <f t="shared" si="77"/>
        <v>33127052.878124986</v>
      </c>
      <c r="D170" s="60">
        <f t="shared" si="78"/>
        <v>29814347.590312488</v>
      </c>
      <c r="E170" s="60">
        <f t="shared" si="100"/>
        <v>31</v>
      </c>
      <c r="F170" s="60">
        <f t="shared" si="101"/>
        <v>0</v>
      </c>
      <c r="G170" s="60">
        <f>ROUND(F170*E170*Input!$C$3/365,0)</f>
        <v>0</v>
      </c>
      <c r="H170" s="60">
        <f>IF($A170&lt;=Input!$C$6,0,IF('120M'!D170&lt;'120M'!F170,'120M'!D170-G170,'120M'!F170))</f>
        <v>0</v>
      </c>
      <c r="I170" s="60">
        <f t="shared" si="102"/>
        <v>0</v>
      </c>
      <c r="J170" s="60">
        <f t="shared" si="103"/>
        <v>0</v>
      </c>
      <c r="K170" s="202">
        <f>J170/Input!$K$5</f>
        <v>0</v>
      </c>
      <c r="L170" s="232"/>
      <c r="M170" s="60">
        <f>IF($B170&lt;Input!$H$43,IF($B170&lt;Input!$G$43,IF($B170&lt;Input!$F$43,IF($B170&lt;Input!$E$43,IF($B170&lt;Input!$D$43,Input!$C$49,Input!$D$49),Input!$E$49),Input!$F$49),Input!$G$49),Input!$H$49)</f>
        <v>33127052.878124986</v>
      </c>
      <c r="N170" s="190">
        <f>IF($A170&lt;Input!$H$50,IF($A170&lt;Input!$G$50,IF($A170&lt;Input!$F$50,IF($A170&lt;Input!$E$50,IF($A170&lt;Input!$D$50,Input!$C$51,Input!$D$51),Input!$E$51),Input!$F$51),Input!$G$51),Input!$H$51)</f>
        <v>0.9</v>
      </c>
      <c r="O170" s="60">
        <f t="shared" si="112"/>
        <v>29814347.590312488</v>
      </c>
      <c r="P170" s="60">
        <f t="shared" si="113"/>
        <v>31</v>
      </c>
      <c r="Q170" s="60">
        <f t="shared" si="80"/>
        <v>0</v>
      </c>
      <c r="R170" s="60">
        <f>ROUND(Q170*$P170*Input!$C$3/365,0)</f>
        <v>0</v>
      </c>
      <c r="S170" s="60">
        <f>IF(A170&lt;=Input!$C$6,0,IF('120M'!O170&lt;'120M'!Q170,'120M'!O170-R170,'120M'!Q170))</f>
        <v>0</v>
      </c>
      <c r="T170" s="60">
        <f t="shared" si="81"/>
        <v>0</v>
      </c>
      <c r="U170" s="60">
        <f t="shared" si="82"/>
        <v>0</v>
      </c>
      <c r="V170" s="193"/>
      <c r="W170" s="169">
        <v>166</v>
      </c>
      <c r="X170" s="1">
        <f t="shared" si="104"/>
        <v>50571</v>
      </c>
      <c r="Y170" s="60">
        <f>IF($X170&lt;Input!$H$58,IF($X170&lt;Input!$G$58,IF($X170&lt;Input!$F$58,IF($X170&lt;Input!$E$58,IF($X170&lt;Input!$D$58,Input!$C$64,Input!$D$64),Input!$E$64),Input!$F$64),Input!$G$64),Input!$H$64)</f>
        <v>0</v>
      </c>
      <c r="Z170" s="190">
        <f>IF($A170&lt;Input!$H$65,IF($A170&lt;Input!$G$65,IF($A170&lt;Input!$F$65,IF($A170&lt;Input!$E$65,IF($A170&lt;Input!$D$65,Input!$C$66,Input!$D$66),Input!$E$66),Input!$F$66),Input!$G$66),Input!$H$66)</f>
        <v>0.9</v>
      </c>
      <c r="AA170" s="60">
        <f t="shared" si="83"/>
        <v>0</v>
      </c>
      <c r="AB170" s="60">
        <f t="shared" si="105"/>
        <v>31</v>
      </c>
      <c r="AC170" s="60">
        <f t="shared" si="84"/>
        <v>0</v>
      </c>
      <c r="AD170" s="60">
        <f>ROUND(AC170*AB170*Input!$C$3/365,0)</f>
        <v>0</v>
      </c>
      <c r="AE170" s="61">
        <f>IF($A170&lt;=Input!$C$6,0,IF('120M'!AA170&lt;'120M'!AC170,'120M'!AA170-AD170,'120M'!AC170))</f>
        <v>0</v>
      </c>
      <c r="AF170" s="61">
        <f t="shared" si="85"/>
        <v>0</v>
      </c>
      <c r="AG170" s="60">
        <f t="shared" si="86"/>
        <v>0</v>
      </c>
      <c r="AH170" s="193"/>
      <c r="AI170" s="169">
        <v>166</v>
      </c>
      <c r="AJ170" s="1">
        <f t="shared" si="106"/>
        <v>50571</v>
      </c>
      <c r="AK170" s="60">
        <f>IF($X170&lt;Input!$H$73,IF($X170&lt;Input!$G$73,IF($X170&lt;Input!$F$73,IF($X170&lt;Input!$E$73,IF($X170&lt;Input!$D$73,Input!$C$79,Input!$D$79),Input!$E$79),Input!$F$79),Input!$G$79),Input!$H$79)</f>
        <v>0</v>
      </c>
      <c r="AL170" s="190">
        <f>IF($A170&lt;Input!$H$80,IF($A170&lt;Input!$G$80,IF($A170&lt;Input!$F$80,IF($A170&lt;Input!$E$80,IF($A170&lt;Input!$D$80,Input!$C$81,Input!$D$81),Input!$E$81),Input!$F$81),Input!$G$81),Input!$H$81)</f>
        <v>0.9</v>
      </c>
      <c r="AM170" s="60">
        <f t="shared" si="87"/>
        <v>0</v>
      </c>
      <c r="AN170" s="60">
        <f t="shared" si="107"/>
        <v>31</v>
      </c>
      <c r="AO170" s="60">
        <f t="shared" si="88"/>
        <v>0</v>
      </c>
      <c r="AP170" s="60">
        <f>ROUND(AO170*AN170*Input!$C$3/365,0)</f>
        <v>0</v>
      </c>
      <c r="AQ170" s="61">
        <f>IF($A170&lt;=Input!$C$6,0,IF('120M'!AM170&lt;'120M'!AO170,'120M'!AM170-AP170,'120M'!AO170))</f>
        <v>0</v>
      </c>
      <c r="AR170" s="61">
        <f t="shared" si="89"/>
        <v>0</v>
      </c>
      <c r="AS170" s="60">
        <f t="shared" si="90"/>
        <v>0</v>
      </c>
      <c r="AT170" s="193"/>
      <c r="AU170" s="169">
        <v>166</v>
      </c>
      <c r="AV170" s="1">
        <f t="shared" si="108"/>
        <v>50571</v>
      </c>
      <c r="AW170" s="60">
        <f>IF($X170&lt;Input!$H$88,IF($X170&lt;Input!$G$88,IF($X170&lt;Input!$F$88,IF($X170&lt;Input!$E$88,IF($X170&lt;Input!$D$88,Input!$C$94,Input!$D$94),Input!$E$94),Input!$F$94),Input!$G$94),Input!$H$94)</f>
        <v>0</v>
      </c>
      <c r="AX170" s="190">
        <f>IF($A170&lt;Input!$H$95,IF($A170&lt;Input!$G$95,IF($A170&lt;Input!$F$95,IF($A170&lt;Input!$E$95,IF($A170&lt;Input!$D$95,Input!$C$96,Input!$D$96),Input!$E$96),Input!$F$96),Input!$G$96),Input!$H$96)</f>
        <v>0.9</v>
      </c>
      <c r="AY170" s="60">
        <f t="shared" si="91"/>
        <v>0</v>
      </c>
      <c r="AZ170" s="60">
        <f t="shared" si="109"/>
        <v>31</v>
      </c>
      <c r="BA170" s="60">
        <f t="shared" si="92"/>
        <v>0</v>
      </c>
      <c r="BB170" s="60">
        <f>ROUND(BA170*AZ170*Input!$C$3/365,0)</f>
        <v>0</v>
      </c>
      <c r="BC170" s="61">
        <f>IF($A170&lt;=Input!$C$6,0,IF('120M'!AY170&lt;'120M'!BA170,'120M'!AY170-BB170,'120M'!BA170))</f>
        <v>0</v>
      </c>
      <c r="BD170" s="61">
        <f t="shared" si="93"/>
        <v>0</v>
      </c>
      <c r="BE170" s="60">
        <f t="shared" si="94"/>
        <v>0</v>
      </c>
      <c r="BF170" s="193"/>
      <c r="BG170" s="169">
        <v>166</v>
      </c>
      <c r="BH170" s="1">
        <f t="shared" si="110"/>
        <v>50571</v>
      </c>
      <c r="BI170" s="60">
        <f>IF($X170&lt;Input!$H$103,IF($X170&lt;Input!$G$103,IF($X170&lt;Input!$F$103,IF($X170&lt;Input!$E$103,IF($X170&lt;Input!$D$103,Input!$C$109,Input!$D$109),Input!$E$109),Input!$F$109),Input!$G$109),Input!$H$109)</f>
        <v>0</v>
      </c>
      <c r="BJ170" s="190">
        <f>IF($A170&lt;Input!$H$110,IF($A170&lt;Input!$G$110,IF($A170&lt;Input!$F$110,IF($A170&lt;Input!$E$110,IF($A170&lt;Input!$D$110,Input!$C$111,Input!$D$111),Input!$E$111),Input!$F$111),Input!$G$111),Input!$H$111)</f>
        <v>0.9</v>
      </c>
      <c r="BK170" s="60">
        <f t="shared" si="95"/>
        <v>0</v>
      </c>
      <c r="BL170" s="60">
        <f t="shared" si="111"/>
        <v>31</v>
      </c>
      <c r="BM170" s="60">
        <f t="shared" si="96"/>
        <v>0</v>
      </c>
      <c r="BN170" s="60">
        <f>ROUND(BM170*BL170*Input!$C$3/365,0)</f>
        <v>0</v>
      </c>
      <c r="BO170" s="61">
        <f>IF($A170&lt;=Input!$C$6,0,IF('120M'!BK170&lt;'120M'!BM170,'120M'!BK170-BN170,'120M'!BM170))</f>
        <v>0</v>
      </c>
      <c r="BP170" s="61">
        <f t="shared" si="97"/>
        <v>0</v>
      </c>
      <c r="BQ170" s="60">
        <f t="shared" si="98"/>
        <v>0</v>
      </c>
      <c r="BR170" s="198"/>
    </row>
    <row r="171" spans="1:70" x14ac:dyDescent="0.25">
      <c r="A171" s="169">
        <v>167</v>
      </c>
      <c r="B171" s="1">
        <f t="shared" si="99"/>
        <v>50601</v>
      </c>
      <c r="C171" s="60">
        <f t="shared" si="77"/>
        <v>33127052.878124986</v>
      </c>
      <c r="D171" s="60">
        <f t="shared" si="78"/>
        <v>29814347.590312488</v>
      </c>
      <c r="E171" s="60">
        <f t="shared" si="100"/>
        <v>30</v>
      </c>
      <c r="F171" s="60">
        <f t="shared" si="101"/>
        <v>0</v>
      </c>
      <c r="G171" s="60">
        <f>ROUND(F171*E171*Input!$C$3/365,0)</f>
        <v>0</v>
      </c>
      <c r="H171" s="60">
        <f>IF($A171&lt;=Input!$C$6,0,IF('120M'!D171&lt;'120M'!F171,'120M'!D171-G171,'120M'!F171))</f>
        <v>0</v>
      </c>
      <c r="I171" s="60">
        <f t="shared" si="102"/>
        <v>0</v>
      </c>
      <c r="J171" s="60">
        <f t="shared" si="103"/>
        <v>0</v>
      </c>
      <c r="K171" s="202">
        <f>J171/Input!$K$5</f>
        <v>0</v>
      </c>
      <c r="L171" s="232"/>
      <c r="M171" s="60">
        <f>IF($B171&lt;Input!$H$43,IF($B171&lt;Input!$G$43,IF($B171&lt;Input!$F$43,IF($B171&lt;Input!$E$43,IF($B171&lt;Input!$D$43,Input!$C$49,Input!$D$49),Input!$E$49),Input!$F$49),Input!$G$49),Input!$H$49)</f>
        <v>33127052.878124986</v>
      </c>
      <c r="N171" s="190">
        <f>IF($A171&lt;Input!$H$50,IF($A171&lt;Input!$G$50,IF($A171&lt;Input!$F$50,IF($A171&lt;Input!$E$50,IF($A171&lt;Input!$D$50,Input!$C$51,Input!$D$51),Input!$E$51),Input!$F$51),Input!$G$51),Input!$H$51)</f>
        <v>0.9</v>
      </c>
      <c r="O171" s="60">
        <f t="shared" si="112"/>
        <v>29814347.590312488</v>
      </c>
      <c r="P171" s="60">
        <f t="shared" si="113"/>
        <v>30</v>
      </c>
      <c r="Q171" s="60">
        <f t="shared" si="80"/>
        <v>0</v>
      </c>
      <c r="R171" s="60">
        <f>ROUND(Q171*$P171*Input!$C$3/365,0)</f>
        <v>0</v>
      </c>
      <c r="S171" s="60">
        <f>IF(A171&lt;=Input!$C$6,0,IF('120M'!O171&lt;'120M'!Q171,'120M'!O171-R171,'120M'!Q171))</f>
        <v>0</v>
      </c>
      <c r="T171" s="60">
        <f t="shared" si="81"/>
        <v>0</v>
      </c>
      <c r="U171" s="60">
        <f t="shared" si="82"/>
        <v>0</v>
      </c>
      <c r="V171" s="193"/>
      <c r="W171" s="169">
        <v>167</v>
      </c>
      <c r="X171" s="1">
        <f t="shared" si="104"/>
        <v>50601</v>
      </c>
      <c r="Y171" s="60">
        <f>IF($X171&lt;Input!$H$58,IF($X171&lt;Input!$G$58,IF($X171&lt;Input!$F$58,IF($X171&lt;Input!$E$58,IF($X171&lt;Input!$D$58,Input!$C$64,Input!$D$64),Input!$E$64),Input!$F$64),Input!$G$64),Input!$H$64)</f>
        <v>0</v>
      </c>
      <c r="Z171" s="190">
        <f>IF($A171&lt;Input!$H$65,IF($A171&lt;Input!$G$65,IF($A171&lt;Input!$F$65,IF($A171&lt;Input!$E$65,IF($A171&lt;Input!$D$65,Input!$C$66,Input!$D$66),Input!$E$66),Input!$F$66),Input!$G$66),Input!$H$66)</f>
        <v>0.9</v>
      </c>
      <c r="AA171" s="60">
        <f t="shared" si="83"/>
        <v>0</v>
      </c>
      <c r="AB171" s="60">
        <f t="shared" si="105"/>
        <v>30</v>
      </c>
      <c r="AC171" s="60">
        <f t="shared" si="84"/>
        <v>0</v>
      </c>
      <c r="AD171" s="60">
        <f>ROUND(AC171*AB171*Input!$C$3/365,0)</f>
        <v>0</v>
      </c>
      <c r="AE171" s="61">
        <f>IF($A171&lt;=Input!$C$6,0,IF('120M'!AA171&lt;'120M'!AC171,'120M'!AA171-AD171,'120M'!AC171))</f>
        <v>0</v>
      </c>
      <c r="AF171" s="61">
        <f t="shared" si="85"/>
        <v>0</v>
      </c>
      <c r="AG171" s="60">
        <f t="shared" si="86"/>
        <v>0</v>
      </c>
      <c r="AH171" s="193"/>
      <c r="AI171" s="169">
        <v>167</v>
      </c>
      <c r="AJ171" s="1">
        <f t="shared" si="106"/>
        <v>50601</v>
      </c>
      <c r="AK171" s="60">
        <f>IF($X171&lt;Input!$H$73,IF($X171&lt;Input!$G$73,IF($X171&lt;Input!$F$73,IF($X171&lt;Input!$E$73,IF($X171&lt;Input!$D$73,Input!$C$79,Input!$D$79),Input!$E$79),Input!$F$79),Input!$G$79),Input!$H$79)</f>
        <v>0</v>
      </c>
      <c r="AL171" s="190">
        <f>IF($A171&lt;Input!$H$80,IF($A171&lt;Input!$G$80,IF($A171&lt;Input!$F$80,IF($A171&lt;Input!$E$80,IF($A171&lt;Input!$D$80,Input!$C$81,Input!$D$81),Input!$E$81),Input!$F$81),Input!$G$81),Input!$H$81)</f>
        <v>0.9</v>
      </c>
      <c r="AM171" s="60">
        <f t="shared" si="87"/>
        <v>0</v>
      </c>
      <c r="AN171" s="60">
        <f t="shared" si="107"/>
        <v>30</v>
      </c>
      <c r="AO171" s="60">
        <f t="shared" si="88"/>
        <v>0</v>
      </c>
      <c r="AP171" s="60">
        <f>ROUND(AO171*AN171*Input!$C$3/365,0)</f>
        <v>0</v>
      </c>
      <c r="AQ171" s="61">
        <f>IF($A171&lt;=Input!$C$6,0,IF('120M'!AM171&lt;'120M'!AO171,'120M'!AM171-AP171,'120M'!AO171))</f>
        <v>0</v>
      </c>
      <c r="AR171" s="61">
        <f t="shared" si="89"/>
        <v>0</v>
      </c>
      <c r="AS171" s="60">
        <f t="shared" si="90"/>
        <v>0</v>
      </c>
      <c r="AT171" s="193"/>
      <c r="AU171" s="169">
        <v>167</v>
      </c>
      <c r="AV171" s="1">
        <f t="shared" si="108"/>
        <v>50601</v>
      </c>
      <c r="AW171" s="60">
        <f>IF($X171&lt;Input!$H$88,IF($X171&lt;Input!$G$88,IF($X171&lt;Input!$F$88,IF($X171&lt;Input!$E$88,IF($X171&lt;Input!$D$88,Input!$C$94,Input!$D$94),Input!$E$94),Input!$F$94),Input!$G$94),Input!$H$94)</f>
        <v>0</v>
      </c>
      <c r="AX171" s="190">
        <f>IF($A171&lt;Input!$H$95,IF($A171&lt;Input!$G$95,IF($A171&lt;Input!$F$95,IF($A171&lt;Input!$E$95,IF($A171&lt;Input!$D$95,Input!$C$96,Input!$D$96),Input!$E$96),Input!$F$96),Input!$G$96),Input!$H$96)</f>
        <v>0.9</v>
      </c>
      <c r="AY171" s="60">
        <f t="shared" si="91"/>
        <v>0</v>
      </c>
      <c r="AZ171" s="60">
        <f t="shared" si="109"/>
        <v>30</v>
      </c>
      <c r="BA171" s="60">
        <f t="shared" si="92"/>
        <v>0</v>
      </c>
      <c r="BB171" s="60">
        <f>ROUND(BA171*AZ171*Input!$C$3/365,0)</f>
        <v>0</v>
      </c>
      <c r="BC171" s="61">
        <f>IF($A171&lt;=Input!$C$6,0,IF('120M'!AY171&lt;'120M'!BA171,'120M'!AY171-BB171,'120M'!BA171))</f>
        <v>0</v>
      </c>
      <c r="BD171" s="61">
        <f t="shared" si="93"/>
        <v>0</v>
      </c>
      <c r="BE171" s="60">
        <f t="shared" si="94"/>
        <v>0</v>
      </c>
      <c r="BF171" s="193"/>
      <c r="BG171" s="169">
        <v>167</v>
      </c>
      <c r="BH171" s="1">
        <f t="shared" si="110"/>
        <v>50601</v>
      </c>
      <c r="BI171" s="60">
        <f>IF($X171&lt;Input!$H$103,IF($X171&lt;Input!$G$103,IF($X171&lt;Input!$F$103,IF($X171&lt;Input!$E$103,IF($X171&lt;Input!$D$103,Input!$C$109,Input!$D$109),Input!$E$109),Input!$F$109),Input!$G$109),Input!$H$109)</f>
        <v>0</v>
      </c>
      <c r="BJ171" s="190">
        <f>IF($A171&lt;Input!$H$110,IF($A171&lt;Input!$G$110,IF($A171&lt;Input!$F$110,IF($A171&lt;Input!$E$110,IF($A171&lt;Input!$D$110,Input!$C$111,Input!$D$111),Input!$E$111),Input!$F$111),Input!$G$111),Input!$H$111)</f>
        <v>0.9</v>
      </c>
      <c r="BK171" s="60">
        <f t="shared" si="95"/>
        <v>0</v>
      </c>
      <c r="BL171" s="60">
        <f t="shared" si="111"/>
        <v>30</v>
      </c>
      <c r="BM171" s="60">
        <f t="shared" si="96"/>
        <v>0</v>
      </c>
      <c r="BN171" s="60">
        <f>ROUND(BM171*BL171*Input!$C$3/365,0)</f>
        <v>0</v>
      </c>
      <c r="BO171" s="61">
        <f>IF($A171&lt;=Input!$C$6,0,IF('120M'!BK171&lt;'120M'!BM171,'120M'!BK171-BN171,'120M'!BM171))</f>
        <v>0</v>
      </c>
      <c r="BP171" s="61">
        <f t="shared" si="97"/>
        <v>0</v>
      </c>
      <c r="BQ171" s="60">
        <f t="shared" si="98"/>
        <v>0</v>
      </c>
      <c r="BR171" s="198"/>
    </row>
    <row r="172" spans="1:70" x14ac:dyDescent="0.25">
      <c r="A172" s="169">
        <v>168</v>
      </c>
      <c r="B172" s="1">
        <f t="shared" si="99"/>
        <v>50632</v>
      </c>
      <c r="C172" s="60">
        <f t="shared" si="77"/>
        <v>33127052.878124986</v>
      </c>
      <c r="D172" s="60">
        <f t="shared" si="78"/>
        <v>29814347.590312488</v>
      </c>
      <c r="E172" s="60">
        <f t="shared" si="100"/>
        <v>31</v>
      </c>
      <c r="F172" s="60">
        <f t="shared" si="101"/>
        <v>0</v>
      </c>
      <c r="G172" s="60">
        <f>ROUND(F172*E172*Input!$C$3/365,0)</f>
        <v>0</v>
      </c>
      <c r="H172" s="60">
        <f>IF($A172&lt;=Input!$C$6,0,IF('120M'!D172&lt;'120M'!F172,'120M'!D172-G172,'120M'!F172))</f>
        <v>0</v>
      </c>
      <c r="I172" s="60">
        <f t="shared" si="102"/>
        <v>0</v>
      </c>
      <c r="J172" s="60">
        <f t="shared" si="103"/>
        <v>0</v>
      </c>
      <c r="K172" s="202">
        <f>J172/Input!$K$5</f>
        <v>0</v>
      </c>
      <c r="L172" s="232"/>
      <c r="M172" s="60">
        <f>IF($B172&lt;Input!$H$43,IF($B172&lt;Input!$G$43,IF($B172&lt;Input!$F$43,IF($B172&lt;Input!$E$43,IF($B172&lt;Input!$D$43,Input!$C$49,Input!$D$49),Input!$E$49),Input!$F$49),Input!$G$49),Input!$H$49)</f>
        <v>33127052.878124986</v>
      </c>
      <c r="N172" s="190">
        <f>IF($A172&lt;Input!$H$50,IF($A172&lt;Input!$G$50,IF($A172&lt;Input!$F$50,IF($A172&lt;Input!$E$50,IF($A172&lt;Input!$D$50,Input!$C$51,Input!$D$51),Input!$E$51),Input!$F$51),Input!$G$51),Input!$H$51)</f>
        <v>0.9</v>
      </c>
      <c r="O172" s="60">
        <f t="shared" si="112"/>
        <v>29814347.590312488</v>
      </c>
      <c r="P172" s="60">
        <f t="shared" si="113"/>
        <v>31</v>
      </c>
      <c r="Q172" s="60">
        <f t="shared" si="80"/>
        <v>0</v>
      </c>
      <c r="R172" s="60">
        <f>ROUND(Q172*$P172*Input!$C$3/365,0)</f>
        <v>0</v>
      </c>
      <c r="S172" s="60">
        <f>IF(A172&lt;=Input!$C$6,0,IF('120M'!O172&lt;'120M'!Q172,'120M'!O172-R172,'120M'!Q172))</f>
        <v>0</v>
      </c>
      <c r="T172" s="60">
        <f t="shared" si="81"/>
        <v>0</v>
      </c>
      <c r="U172" s="60">
        <f t="shared" si="82"/>
        <v>0</v>
      </c>
      <c r="V172" s="193"/>
      <c r="W172" s="169">
        <v>168</v>
      </c>
      <c r="X172" s="1">
        <f t="shared" si="104"/>
        <v>50632</v>
      </c>
      <c r="Y172" s="60">
        <f>IF($X172&lt;Input!$H$58,IF($X172&lt;Input!$G$58,IF($X172&lt;Input!$F$58,IF($X172&lt;Input!$E$58,IF($X172&lt;Input!$D$58,Input!$C$64,Input!$D$64),Input!$E$64),Input!$F$64),Input!$G$64),Input!$H$64)</f>
        <v>0</v>
      </c>
      <c r="Z172" s="190">
        <f>IF($A172&lt;Input!$H$65,IF($A172&lt;Input!$G$65,IF($A172&lt;Input!$F$65,IF($A172&lt;Input!$E$65,IF($A172&lt;Input!$D$65,Input!$C$66,Input!$D$66),Input!$E$66),Input!$F$66),Input!$G$66),Input!$H$66)</f>
        <v>0.9</v>
      </c>
      <c r="AA172" s="60">
        <f t="shared" si="83"/>
        <v>0</v>
      </c>
      <c r="AB172" s="60">
        <f t="shared" si="105"/>
        <v>31</v>
      </c>
      <c r="AC172" s="60">
        <f t="shared" si="84"/>
        <v>0</v>
      </c>
      <c r="AD172" s="60">
        <f>ROUND(AC172*AB172*Input!$C$3/365,0)</f>
        <v>0</v>
      </c>
      <c r="AE172" s="61">
        <f>IF($A172&lt;=Input!$C$6,0,IF('120M'!AA172&lt;'120M'!AC172,'120M'!AA172-AD172,'120M'!AC172))</f>
        <v>0</v>
      </c>
      <c r="AF172" s="61">
        <f t="shared" si="85"/>
        <v>0</v>
      </c>
      <c r="AG172" s="60">
        <f t="shared" si="86"/>
        <v>0</v>
      </c>
      <c r="AH172" s="193"/>
      <c r="AI172" s="169">
        <v>168</v>
      </c>
      <c r="AJ172" s="1">
        <f t="shared" si="106"/>
        <v>50632</v>
      </c>
      <c r="AK172" s="60">
        <f>IF($X172&lt;Input!$H$73,IF($X172&lt;Input!$G$73,IF($X172&lt;Input!$F$73,IF($X172&lt;Input!$E$73,IF($X172&lt;Input!$D$73,Input!$C$79,Input!$D$79),Input!$E$79),Input!$F$79),Input!$G$79),Input!$H$79)</f>
        <v>0</v>
      </c>
      <c r="AL172" s="190">
        <f>IF($A172&lt;Input!$H$80,IF($A172&lt;Input!$G$80,IF($A172&lt;Input!$F$80,IF($A172&lt;Input!$E$80,IF($A172&lt;Input!$D$80,Input!$C$81,Input!$D$81),Input!$E$81),Input!$F$81),Input!$G$81),Input!$H$81)</f>
        <v>0.9</v>
      </c>
      <c r="AM172" s="60">
        <f t="shared" si="87"/>
        <v>0</v>
      </c>
      <c r="AN172" s="60">
        <f t="shared" si="107"/>
        <v>31</v>
      </c>
      <c r="AO172" s="60">
        <f t="shared" si="88"/>
        <v>0</v>
      </c>
      <c r="AP172" s="60">
        <f>ROUND(AO172*AN172*Input!$C$3/365,0)</f>
        <v>0</v>
      </c>
      <c r="AQ172" s="61">
        <f>IF($A172&lt;=Input!$C$6,0,IF('120M'!AM172&lt;'120M'!AO172,'120M'!AM172-AP172,'120M'!AO172))</f>
        <v>0</v>
      </c>
      <c r="AR172" s="61">
        <f t="shared" si="89"/>
        <v>0</v>
      </c>
      <c r="AS172" s="60">
        <f t="shared" si="90"/>
        <v>0</v>
      </c>
      <c r="AT172" s="193"/>
      <c r="AU172" s="169">
        <v>168</v>
      </c>
      <c r="AV172" s="1">
        <f t="shared" si="108"/>
        <v>50632</v>
      </c>
      <c r="AW172" s="60">
        <f>IF($X172&lt;Input!$H$88,IF($X172&lt;Input!$G$88,IF($X172&lt;Input!$F$88,IF($X172&lt;Input!$E$88,IF($X172&lt;Input!$D$88,Input!$C$94,Input!$D$94),Input!$E$94),Input!$F$94),Input!$G$94),Input!$H$94)</f>
        <v>0</v>
      </c>
      <c r="AX172" s="190">
        <f>IF($A172&lt;Input!$H$95,IF($A172&lt;Input!$G$95,IF($A172&lt;Input!$F$95,IF($A172&lt;Input!$E$95,IF($A172&lt;Input!$D$95,Input!$C$96,Input!$D$96),Input!$E$96),Input!$F$96),Input!$G$96),Input!$H$96)</f>
        <v>0.9</v>
      </c>
      <c r="AY172" s="60">
        <f t="shared" si="91"/>
        <v>0</v>
      </c>
      <c r="AZ172" s="60">
        <f t="shared" si="109"/>
        <v>31</v>
      </c>
      <c r="BA172" s="60">
        <f t="shared" si="92"/>
        <v>0</v>
      </c>
      <c r="BB172" s="60">
        <f>ROUND(BA172*AZ172*Input!$C$3/365,0)</f>
        <v>0</v>
      </c>
      <c r="BC172" s="61">
        <f>IF($A172&lt;=Input!$C$6,0,IF('120M'!AY172&lt;'120M'!BA172,'120M'!AY172-BB172,'120M'!BA172))</f>
        <v>0</v>
      </c>
      <c r="BD172" s="61">
        <f t="shared" si="93"/>
        <v>0</v>
      </c>
      <c r="BE172" s="60">
        <f t="shared" si="94"/>
        <v>0</v>
      </c>
      <c r="BF172" s="193"/>
      <c r="BG172" s="169">
        <v>168</v>
      </c>
      <c r="BH172" s="1">
        <f t="shared" si="110"/>
        <v>50632</v>
      </c>
      <c r="BI172" s="60">
        <f>IF($X172&lt;Input!$H$103,IF($X172&lt;Input!$G$103,IF($X172&lt;Input!$F$103,IF($X172&lt;Input!$E$103,IF($X172&lt;Input!$D$103,Input!$C$109,Input!$D$109),Input!$E$109),Input!$F$109),Input!$G$109),Input!$H$109)</f>
        <v>0</v>
      </c>
      <c r="BJ172" s="190">
        <f>IF($A172&lt;Input!$H$110,IF($A172&lt;Input!$G$110,IF($A172&lt;Input!$F$110,IF($A172&lt;Input!$E$110,IF($A172&lt;Input!$D$110,Input!$C$111,Input!$D$111),Input!$E$111),Input!$F$111),Input!$G$111),Input!$H$111)</f>
        <v>0.9</v>
      </c>
      <c r="BK172" s="60">
        <f t="shared" si="95"/>
        <v>0</v>
      </c>
      <c r="BL172" s="60">
        <f t="shared" si="111"/>
        <v>31</v>
      </c>
      <c r="BM172" s="60">
        <f t="shared" si="96"/>
        <v>0</v>
      </c>
      <c r="BN172" s="60">
        <f>ROUND(BM172*BL172*Input!$C$3/365,0)</f>
        <v>0</v>
      </c>
      <c r="BO172" s="61">
        <f>IF($A172&lt;=Input!$C$6,0,IF('120M'!BK172&lt;'120M'!BM172,'120M'!BK172-BN172,'120M'!BM172))</f>
        <v>0</v>
      </c>
      <c r="BP172" s="61">
        <f t="shared" si="97"/>
        <v>0</v>
      </c>
      <c r="BQ172" s="60">
        <f t="shared" si="98"/>
        <v>0</v>
      </c>
      <c r="BR172" s="198"/>
    </row>
    <row r="173" spans="1:70" x14ac:dyDescent="0.25">
      <c r="A173" s="169">
        <v>169</v>
      </c>
      <c r="B173" s="1">
        <f t="shared" si="99"/>
        <v>50663</v>
      </c>
      <c r="C173" s="60">
        <f t="shared" si="77"/>
        <v>33127052.878124986</v>
      </c>
      <c r="D173" s="60">
        <f t="shared" si="78"/>
        <v>29814347.590312488</v>
      </c>
      <c r="E173" s="60">
        <f t="shared" si="100"/>
        <v>31</v>
      </c>
      <c r="F173" s="60">
        <f t="shared" si="101"/>
        <v>0</v>
      </c>
      <c r="G173" s="60">
        <f>ROUND(F173*E173*Input!$C$3/365,0)</f>
        <v>0</v>
      </c>
      <c r="H173" s="60">
        <f>IF($A173&lt;=Input!$C$6,0,IF('120M'!D173&lt;'120M'!F173,'120M'!D173-G173,'120M'!F173))</f>
        <v>0</v>
      </c>
      <c r="I173" s="60">
        <f t="shared" si="102"/>
        <v>0</v>
      </c>
      <c r="J173" s="60">
        <f t="shared" si="103"/>
        <v>0</v>
      </c>
      <c r="K173" s="202">
        <f>J173/Input!$K$5</f>
        <v>0</v>
      </c>
      <c r="L173" s="232"/>
      <c r="M173" s="60">
        <f>IF($B173&lt;Input!$H$43,IF($B173&lt;Input!$G$43,IF($B173&lt;Input!$F$43,IF($B173&lt;Input!$E$43,IF($B173&lt;Input!$D$43,Input!$C$49,Input!$D$49),Input!$E$49),Input!$F$49),Input!$G$49),Input!$H$49)</f>
        <v>33127052.878124986</v>
      </c>
      <c r="N173" s="190">
        <f>IF($A173&lt;Input!$H$50,IF($A173&lt;Input!$G$50,IF($A173&lt;Input!$F$50,IF($A173&lt;Input!$E$50,IF($A173&lt;Input!$D$50,Input!$C$51,Input!$D$51),Input!$E$51),Input!$F$51),Input!$G$51),Input!$H$51)</f>
        <v>0.9</v>
      </c>
      <c r="O173" s="60">
        <f t="shared" si="112"/>
        <v>29814347.590312488</v>
      </c>
      <c r="P173" s="60">
        <f t="shared" si="113"/>
        <v>31</v>
      </c>
      <c r="Q173" s="60">
        <f t="shared" si="80"/>
        <v>0</v>
      </c>
      <c r="R173" s="60">
        <f>ROUND(Q173*$P173*Input!$C$3/365,0)</f>
        <v>0</v>
      </c>
      <c r="S173" s="60">
        <f>IF(A173&lt;=Input!$C$6,0,IF('120M'!O173&lt;'120M'!Q173,'120M'!O173-R173,'120M'!Q173))</f>
        <v>0</v>
      </c>
      <c r="T173" s="60">
        <f t="shared" si="81"/>
        <v>0</v>
      </c>
      <c r="U173" s="60">
        <f t="shared" si="82"/>
        <v>0</v>
      </c>
      <c r="V173" s="193"/>
      <c r="W173" s="169">
        <v>169</v>
      </c>
      <c r="X173" s="1">
        <f t="shared" si="104"/>
        <v>50663</v>
      </c>
      <c r="Y173" s="60">
        <f>IF($X173&lt;Input!$H$58,IF($X173&lt;Input!$G$58,IF($X173&lt;Input!$F$58,IF($X173&lt;Input!$E$58,IF($X173&lt;Input!$D$58,Input!$C$64,Input!$D$64),Input!$E$64),Input!$F$64),Input!$G$64),Input!$H$64)</f>
        <v>0</v>
      </c>
      <c r="Z173" s="190">
        <f>IF($A173&lt;Input!$H$65,IF($A173&lt;Input!$G$65,IF($A173&lt;Input!$F$65,IF($A173&lt;Input!$E$65,IF($A173&lt;Input!$D$65,Input!$C$66,Input!$D$66),Input!$E$66),Input!$F$66),Input!$G$66),Input!$H$66)</f>
        <v>0.9</v>
      </c>
      <c r="AA173" s="60">
        <f t="shared" si="83"/>
        <v>0</v>
      </c>
      <c r="AB173" s="60">
        <f t="shared" si="105"/>
        <v>31</v>
      </c>
      <c r="AC173" s="60">
        <f t="shared" si="84"/>
        <v>0</v>
      </c>
      <c r="AD173" s="60">
        <f>ROUND(AC173*AB173*Input!$C$3/365,0)</f>
        <v>0</v>
      </c>
      <c r="AE173" s="61">
        <f>IF($A173&lt;=Input!$C$6,0,IF('120M'!AA173&lt;'120M'!AC173,'120M'!AA173-AD173,'120M'!AC173))</f>
        <v>0</v>
      </c>
      <c r="AF173" s="61">
        <f t="shared" si="85"/>
        <v>0</v>
      </c>
      <c r="AG173" s="60">
        <f t="shared" si="86"/>
        <v>0</v>
      </c>
      <c r="AH173" s="193"/>
      <c r="AI173" s="169">
        <v>169</v>
      </c>
      <c r="AJ173" s="1">
        <f t="shared" si="106"/>
        <v>50663</v>
      </c>
      <c r="AK173" s="60">
        <f>IF($X173&lt;Input!$H$73,IF($X173&lt;Input!$G$73,IF($X173&lt;Input!$F$73,IF($X173&lt;Input!$E$73,IF($X173&lt;Input!$D$73,Input!$C$79,Input!$D$79),Input!$E$79),Input!$F$79),Input!$G$79),Input!$H$79)</f>
        <v>0</v>
      </c>
      <c r="AL173" s="190">
        <f>IF($A173&lt;Input!$H$80,IF($A173&lt;Input!$G$80,IF($A173&lt;Input!$F$80,IF($A173&lt;Input!$E$80,IF($A173&lt;Input!$D$80,Input!$C$81,Input!$D$81),Input!$E$81),Input!$F$81),Input!$G$81),Input!$H$81)</f>
        <v>0.9</v>
      </c>
      <c r="AM173" s="60">
        <f t="shared" si="87"/>
        <v>0</v>
      </c>
      <c r="AN173" s="60">
        <f t="shared" si="107"/>
        <v>31</v>
      </c>
      <c r="AO173" s="60">
        <f t="shared" si="88"/>
        <v>0</v>
      </c>
      <c r="AP173" s="60">
        <f>ROUND(AO173*AN173*Input!$C$3/365,0)</f>
        <v>0</v>
      </c>
      <c r="AQ173" s="61">
        <f>IF($A173&lt;=Input!$C$6,0,IF('120M'!AM173&lt;'120M'!AO173,'120M'!AM173-AP173,'120M'!AO173))</f>
        <v>0</v>
      </c>
      <c r="AR173" s="61">
        <f t="shared" si="89"/>
        <v>0</v>
      </c>
      <c r="AS173" s="60">
        <f t="shared" si="90"/>
        <v>0</v>
      </c>
      <c r="AT173" s="193"/>
      <c r="AU173" s="169">
        <v>169</v>
      </c>
      <c r="AV173" s="1">
        <f t="shared" si="108"/>
        <v>50663</v>
      </c>
      <c r="AW173" s="60">
        <f>IF($X173&lt;Input!$H$88,IF($X173&lt;Input!$G$88,IF($X173&lt;Input!$F$88,IF($X173&lt;Input!$E$88,IF($X173&lt;Input!$D$88,Input!$C$94,Input!$D$94),Input!$E$94),Input!$F$94),Input!$G$94),Input!$H$94)</f>
        <v>0</v>
      </c>
      <c r="AX173" s="190">
        <f>IF($A173&lt;Input!$H$95,IF($A173&lt;Input!$G$95,IF($A173&lt;Input!$F$95,IF($A173&lt;Input!$E$95,IF($A173&lt;Input!$D$95,Input!$C$96,Input!$D$96),Input!$E$96),Input!$F$96),Input!$G$96),Input!$H$96)</f>
        <v>0.9</v>
      </c>
      <c r="AY173" s="60">
        <f t="shared" si="91"/>
        <v>0</v>
      </c>
      <c r="AZ173" s="60">
        <f t="shared" si="109"/>
        <v>31</v>
      </c>
      <c r="BA173" s="60">
        <f t="shared" si="92"/>
        <v>0</v>
      </c>
      <c r="BB173" s="60">
        <f>ROUND(BA173*AZ173*Input!$C$3/365,0)</f>
        <v>0</v>
      </c>
      <c r="BC173" s="61">
        <f>IF($A173&lt;=Input!$C$6,0,IF('120M'!AY173&lt;'120M'!BA173,'120M'!AY173-BB173,'120M'!BA173))</f>
        <v>0</v>
      </c>
      <c r="BD173" s="61">
        <f t="shared" si="93"/>
        <v>0</v>
      </c>
      <c r="BE173" s="60">
        <f t="shared" si="94"/>
        <v>0</v>
      </c>
      <c r="BF173" s="193"/>
      <c r="BG173" s="169">
        <v>169</v>
      </c>
      <c r="BH173" s="1">
        <f t="shared" si="110"/>
        <v>50663</v>
      </c>
      <c r="BI173" s="60">
        <f>IF($X173&lt;Input!$H$103,IF($X173&lt;Input!$G$103,IF($X173&lt;Input!$F$103,IF($X173&lt;Input!$E$103,IF($X173&lt;Input!$D$103,Input!$C$109,Input!$D$109),Input!$E$109),Input!$F$109),Input!$G$109),Input!$H$109)</f>
        <v>0</v>
      </c>
      <c r="BJ173" s="190">
        <f>IF($A173&lt;Input!$H$110,IF($A173&lt;Input!$G$110,IF($A173&lt;Input!$F$110,IF($A173&lt;Input!$E$110,IF($A173&lt;Input!$D$110,Input!$C$111,Input!$D$111),Input!$E$111),Input!$F$111),Input!$G$111),Input!$H$111)</f>
        <v>0.9</v>
      </c>
      <c r="BK173" s="60">
        <f t="shared" si="95"/>
        <v>0</v>
      </c>
      <c r="BL173" s="60">
        <f t="shared" si="111"/>
        <v>31</v>
      </c>
      <c r="BM173" s="60">
        <f t="shared" si="96"/>
        <v>0</v>
      </c>
      <c r="BN173" s="60">
        <f>ROUND(BM173*BL173*Input!$C$3/365,0)</f>
        <v>0</v>
      </c>
      <c r="BO173" s="61">
        <f>IF($A173&lt;=Input!$C$6,0,IF('120M'!BK173&lt;'120M'!BM173,'120M'!BK173-BN173,'120M'!BM173))</f>
        <v>0</v>
      </c>
      <c r="BP173" s="61">
        <f t="shared" si="97"/>
        <v>0</v>
      </c>
      <c r="BQ173" s="60">
        <f t="shared" si="98"/>
        <v>0</v>
      </c>
      <c r="BR173" s="198"/>
    </row>
    <row r="174" spans="1:70" x14ac:dyDescent="0.25">
      <c r="A174" s="169">
        <v>170</v>
      </c>
      <c r="B174" s="1">
        <f t="shared" si="99"/>
        <v>50693</v>
      </c>
      <c r="C174" s="60">
        <f t="shared" si="77"/>
        <v>33127052.878124986</v>
      </c>
      <c r="D174" s="60">
        <f t="shared" si="78"/>
        <v>29814347.590312488</v>
      </c>
      <c r="E174" s="60">
        <f t="shared" si="100"/>
        <v>30</v>
      </c>
      <c r="F174" s="60">
        <f t="shared" si="101"/>
        <v>0</v>
      </c>
      <c r="G174" s="60">
        <f>ROUND(F174*E174*Input!$C$3/365,0)</f>
        <v>0</v>
      </c>
      <c r="H174" s="60">
        <f>IF($A174&lt;=Input!$C$6,0,IF('120M'!D174&lt;'120M'!F174,'120M'!D174-G174,'120M'!F174))</f>
        <v>0</v>
      </c>
      <c r="I174" s="60">
        <f t="shared" si="102"/>
        <v>0</v>
      </c>
      <c r="J174" s="60">
        <f t="shared" si="103"/>
        <v>0</v>
      </c>
      <c r="K174" s="202">
        <f>J174/Input!$K$5</f>
        <v>0</v>
      </c>
      <c r="L174" s="232"/>
      <c r="M174" s="60">
        <f>IF($B174&lt;Input!$H$43,IF($B174&lt;Input!$G$43,IF($B174&lt;Input!$F$43,IF($B174&lt;Input!$E$43,IF($B174&lt;Input!$D$43,Input!$C$49,Input!$D$49),Input!$E$49),Input!$F$49),Input!$G$49),Input!$H$49)</f>
        <v>33127052.878124986</v>
      </c>
      <c r="N174" s="190">
        <f>IF($A174&lt;Input!$H$50,IF($A174&lt;Input!$G$50,IF($A174&lt;Input!$F$50,IF($A174&lt;Input!$E$50,IF($A174&lt;Input!$D$50,Input!$C$51,Input!$D$51),Input!$E$51),Input!$F$51),Input!$G$51),Input!$H$51)</f>
        <v>0.9</v>
      </c>
      <c r="O174" s="60">
        <f t="shared" si="112"/>
        <v>29814347.590312488</v>
      </c>
      <c r="P174" s="60">
        <f t="shared" si="113"/>
        <v>30</v>
      </c>
      <c r="Q174" s="60">
        <f t="shared" si="80"/>
        <v>0</v>
      </c>
      <c r="R174" s="60">
        <f>ROUND(Q174*$P174*Input!$C$3/365,0)</f>
        <v>0</v>
      </c>
      <c r="S174" s="60">
        <f>IF(A174&lt;=Input!$C$6,0,IF('120M'!O174&lt;'120M'!Q174,'120M'!O174-R174,'120M'!Q174))</f>
        <v>0</v>
      </c>
      <c r="T174" s="60">
        <f t="shared" si="81"/>
        <v>0</v>
      </c>
      <c r="U174" s="60">
        <f t="shared" si="82"/>
        <v>0</v>
      </c>
      <c r="V174" s="193"/>
      <c r="W174" s="169">
        <v>170</v>
      </c>
      <c r="X174" s="1">
        <f t="shared" si="104"/>
        <v>50693</v>
      </c>
      <c r="Y174" s="60">
        <f>IF($X174&lt;Input!$H$58,IF($X174&lt;Input!$G$58,IF($X174&lt;Input!$F$58,IF($X174&lt;Input!$E$58,IF($X174&lt;Input!$D$58,Input!$C$64,Input!$D$64),Input!$E$64),Input!$F$64),Input!$G$64),Input!$H$64)</f>
        <v>0</v>
      </c>
      <c r="Z174" s="190">
        <f>IF($A174&lt;Input!$H$65,IF($A174&lt;Input!$G$65,IF($A174&lt;Input!$F$65,IF($A174&lt;Input!$E$65,IF($A174&lt;Input!$D$65,Input!$C$66,Input!$D$66),Input!$E$66),Input!$F$66),Input!$G$66),Input!$H$66)</f>
        <v>0.9</v>
      </c>
      <c r="AA174" s="60">
        <f t="shared" si="83"/>
        <v>0</v>
      </c>
      <c r="AB174" s="60">
        <f t="shared" si="105"/>
        <v>30</v>
      </c>
      <c r="AC174" s="60">
        <f t="shared" si="84"/>
        <v>0</v>
      </c>
      <c r="AD174" s="60">
        <f>ROUND(AC174*AB174*Input!$C$3/365,0)</f>
        <v>0</v>
      </c>
      <c r="AE174" s="61">
        <f>IF($A174&lt;=Input!$C$6,0,IF('120M'!AA174&lt;'120M'!AC174,'120M'!AA174-AD174,'120M'!AC174))</f>
        <v>0</v>
      </c>
      <c r="AF174" s="61">
        <f t="shared" si="85"/>
        <v>0</v>
      </c>
      <c r="AG174" s="60">
        <f t="shared" si="86"/>
        <v>0</v>
      </c>
      <c r="AH174" s="193"/>
      <c r="AI174" s="169">
        <v>170</v>
      </c>
      <c r="AJ174" s="1">
        <f t="shared" si="106"/>
        <v>50693</v>
      </c>
      <c r="AK174" s="60">
        <f>IF($X174&lt;Input!$H$73,IF($X174&lt;Input!$G$73,IF($X174&lt;Input!$F$73,IF($X174&lt;Input!$E$73,IF($X174&lt;Input!$D$73,Input!$C$79,Input!$D$79),Input!$E$79),Input!$F$79),Input!$G$79),Input!$H$79)</f>
        <v>0</v>
      </c>
      <c r="AL174" s="190">
        <f>IF($A174&lt;Input!$H$80,IF($A174&lt;Input!$G$80,IF($A174&lt;Input!$F$80,IF($A174&lt;Input!$E$80,IF($A174&lt;Input!$D$80,Input!$C$81,Input!$D$81),Input!$E$81),Input!$F$81),Input!$G$81),Input!$H$81)</f>
        <v>0.9</v>
      </c>
      <c r="AM174" s="60">
        <f t="shared" si="87"/>
        <v>0</v>
      </c>
      <c r="AN174" s="60">
        <f t="shared" si="107"/>
        <v>30</v>
      </c>
      <c r="AO174" s="60">
        <f t="shared" si="88"/>
        <v>0</v>
      </c>
      <c r="AP174" s="60">
        <f>ROUND(AO174*AN174*Input!$C$3/365,0)</f>
        <v>0</v>
      </c>
      <c r="AQ174" s="61">
        <f>IF($A174&lt;=Input!$C$6,0,IF('120M'!AM174&lt;'120M'!AO174,'120M'!AM174-AP174,'120M'!AO174))</f>
        <v>0</v>
      </c>
      <c r="AR174" s="61">
        <f t="shared" si="89"/>
        <v>0</v>
      </c>
      <c r="AS174" s="60">
        <f t="shared" si="90"/>
        <v>0</v>
      </c>
      <c r="AT174" s="193"/>
      <c r="AU174" s="169">
        <v>170</v>
      </c>
      <c r="AV174" s="1">
        <f t="shared" si="108"/>
        <v>50693</v>
      </c>
      <c r="AW174" s="60">
        <f>IF($X174&lt;Input!$H$88,IF($X174&lt;Input!$G$88,IF($X174&lt;Input!$F$88,IF($X174&lt;Input!$E$88,IF($X174&lt;Input!$D$88,Input!$C$94,Input!$D$94),Input!$E$94),Input!$F$94),Input!$G$94),Input!$H$94)</f>
        <v>0</v>
      </c>
      <c r="AX174" s="190">
        <f>IF($A174&lt;Input!$H$95,IF($A174&lt;Input!$G$95,IF($A174&lt;Input!$F$95,IF($A174&lt;Input!$E$95,IF($A174&lt;Input!$D$95,Input!$C$96,Input!$D$96),Input!$E$96),Input!$F$96),Input!$G$96),Input!$H$96)</f>
        <v>0.9</v>
      </c>
      <c r="AY174" s="60">
        <f t="shared" si="91"/>
        <v>0</v>
      </c>
      <c r="AZ174" s="60">
        <f t="shared" si="109"/>
        <v>30</v>
      </c>
      <c r="BA174" s="60">
        <f t="shared" si="92"/>
        <v>0</v>
      </c>
      <c r="BB174" s="60">
        <f>ROUND(BA174*AZ174*Input!$C$3/365,0)</f>
        <v>0</v>
      </c>
      <c r="BC174" s="61">
        <f>IF($A174&lt;=Input!$C$6,0,IF('120M'!AY174&lt;'120M'!BA174,'120M'!AY174-BB174,'120M'!BA174))</f>
        <v>0</v>
      </c>
      <c r="BD174" s="61">
        <f t="shared" si="93"/>
        <v>0</v>
      </c>
      <c r="BE174" s="60">
        <f t="shared" si="94"/>
        <v>0</v>
      </c>
      <c r="BF174" s="193"/>
      <c r="BG174" s="169">
        <v>170</v>
      </c>
      <c r="BH174" s="1">
        <f t="shared" si="110"/>
        <v>50693</v>
      </c>
      <c r="BI174" s="60">
        <f>IF($X174&lt;Input!$H$103,IF($X174&lt;Input!$G$103,IF($X174&lt;Input!$F$103,IF($X174&lt;Input!$E$103,IF($X174&lt;Input!$D$103,Input!$C$109,Input!$D$109),Input!$E$109),Input!$F$109),Input!$G$109),Input!$H$109)</f>
        <v>0</v>
      </c>
      <c r="BJ174" s="190">
        <f>IF($A174&lt;Input!$H$110,IF($A174&lt;Input!$G$110,IF($A174&lt;Input!$F$110,IF($A174&lt;Input!$E$110,IF($A174&lt;Input!$D$110,Input!$C$111,Input!$D$111),Input!$E$111),Input!$F$111),Input!$G$111),Input!$H$111)</f>
        <v>0.9</v>
      </c>
      <c r="BK174" s="60">
        <f t="shared" si="95"/>
        <v>0</v>
      </c>
      <c r="BL174" s="60">
        <f t="shared" si="111"/>
        <v>30</v>
      </c>
      <c r="BM174" s="60">
        <f t="shared" si="96"/>
        <v>0</v>
      </c>
      <c r="BN174" s="60">
        <f>ROUND(BM174*BL174*Input!$C$3/365,0)</f>
        <v>0</v>
      </c>
      <c r="BO174" s="61">
        <f>IF($A174&lt;=Input!$C$6,0,IF('120M'!BK174&lt;'120M'!BM174,'120M'!BK174-BN174,'120M'!BM174))</f>
        <v>0</v>
      </c>
      <c r="BP174" s="61">
        <f t="shared" si="97"/>
        <v>0</v>
      </c>
      <c r="BQ174" s="60">
        <f t="shared" si="98"/>
        <v>0</v>
      </c>
      <c r="BR174" s="198"/>
    </row>
    <row r="175" spans="1:70" x14ac:dyDescent="0.25">
      <c r="A175" s="169">
        <v>171</v>
      </c>
      <c r="B175" s="1">
        <f t="shared" si="99"/>
        <v>50724</v>
      </c>
      <c r="C175" s="60">
        <f t="shared" si="77"/>
        <v>33127052.878124986</v>
      </c>
      <c r="D175" s="60">
        <f t="shared" si="78"/>
        <v>29814347.590312488</v>
      </c>
      <c r="E175" s="60">
        <f t="shared" si="100"/>
        <v>31</v>
      </c>
      <c r="F175" s="60">
        <f t="shared" si="101"/>
        <v>0</v>
      </c>
      <c r="G175" s="60">
        <f>ROUND(F175*E175*Input!$C$3/365,0)</f>
        <v>0</v>
      </c>
      <c r="H175" s="60">
        <f>IF($A175&lt;=Input!$C$6,0,IF('120M'!D175&lt;'120M'!F175,'120M'!D175-G175,'120M'!F175))</f>
        <v>0</v>
      </c>
      <c r="I175" s="60">
        <f t="shared" si="102"/>
        <v>0</v>
      </c>
      <c r="J175" s="60">
        <f t="shared" si="103"/>
        <v>0</v>
      </c>
      <c r="K175" s="202">
        <f>J175/Input!$K$5</f>
        <v>0</v>
      </c>
      <c r="L175" s="232"/>
      <c r="M175" s="60">
        <f>IF($B175&lt;Input!$H$43,IF($B175&lt;Input!$G$43,IF($B175&lt;Input!$F$43,IF($B175&lt;Input!$E$43,IF($B175&lt;Input!$D$43,Input!$C$49,Input!$D$49),Input!$E$49),Input!$F$49),Input!$G$49),Input!$H$49)</f>
        <v>33127052.878124986</v>
      </c>
      <c r="N175" s="190">
        <f>IF($A175&lt;Input!$H$50,IF($A175&lt;Input!$G$50,IF($A175&lt;Input!$F$50,IF($A175&lt;Input!$E$50,IF($A175&lt;Input!$D$50,Input!$C$51,Input!$D$51),Input!$E$51),Input!$F$51),Input!$G$51),Input!$H$51)</f>
        <v>0.9</v>
      </c>
      <c r="O175" s="60">
        <f t="shared" si="112"/>
        <v>29814347.590312488</v>
      </c>
      <c r="P175" s="60">
        <f t="shared" si="113"/>
        <v>31</v>
      </c>
      <c r="Q175" s="60">
        <f t="shared" si="80"/>
        <v>0</v>
      </c>
      <c r="R175" s="60">
        <f>ROUND(Q175*$P175*Input!$C$3/365,0)</f>
        <v>0</v>
      </c>
      <c r="S175" s="60">
        <f>IF(A175&lt;=Input!$C$6,0,IF('120M'!O175&lt;'120M'!Q175,'120M'!O175-R175,'120M'!Q175))</f>
        <v>0</v>
      </c>
      <c r="T175" s="60">
        <f t="shared" si="81"/>
        <v>0</v>
      </c>
      <c r="U175" s="60">
        <f t="shared" si="82"/>
        <v>0</v>
      </c>
      <c r="V175" s="193"/>
      <c r="W175" s="169">
        <v>171</v>
      </c>
      <c r="X175" s="1">
        <f t="shared" si="104"/>
        <v>50724</v>
      </c>
      <c r="Y175" s="60">
        <f>IF($X175&lt;Input!$H$58,IF($X175&lt;Input!$G$58,IF($X175&lt;Input!$F$58,IF($X175&lt;Input!$E$58,IF($X175&lt;Input!$D$58,Input!$C$64,Input!$D$64),Input!$E$64),Input!$F$64),Input!$G$64),Input!$H$64)</f>
        <v>0</v>
      </c>
      <c r="Z175" s="190">
        <f>IF($A175&lt;Input!$H$65,IF($A175&lt;Input!$G$65,IF($A175&lt;Input!$F$65,IF($A175&lt;Input!$E$65,IF($A175&lt;Input!$D$65,Input!$C$66,Input!$D$66),Input!$E$66),Input!$F$66),Input!$G$66),Input!$H$66)</f>
        <v>0.9</v>
      </c>
      <c r="AA175" s="60">
        <f t="shared" si="83"/>
        <v>0</v>
      </c>
      <c r="AB175" s="60">
        <f t="shared" si="105"/>
        <v>31</v>
      </c>
      <c r="AC175" s="60">
        <f t="shared" si="84"/>
        <v>0</v>
      </c>
      <c r="AD175" s="60">
        <f>ROUND(AC175*AB175*Input!$C$3/365,0)</f>
        <v>0</v>
      </c>
      <c r="AE175" s="61">
        <f>IF($A175&lt;=Input!$C$6,0,IF('120M'!AA175&lt;'120M'!AC175,'120M'!AA175-AD175,'120M'!AC175))</f>
        <v>0</v>
      </c>
      <c r="AF175" s="61">
        <f t="shared" si="85"/>
        <v>0</v>
      </c>
      <c r="AG175" s="60">
        <f t="shared" si="86"/>
        <v>0</v>
      </c>
      <c r="AH175" s="193"/>
      <c r="AI175" s="169">
        <v>171</v>
      </c>
      <c r="AJ175" s="1">
        <f t="shared" si="106"/>
        <v>50724</v>
      </c>
      <c r="AK175" s="60">
        <f>IF($X175&lt;Input!$H$73,IF($X175&lt;Input!$G$73,IF($X175&lt;Input!$F$73,IF($X175&lt;Input!$E$73,IF($X175&lt;Input!$D$73,Input!$C$79,Input!$D$79),Input!$E$79),Input!$F$79),Input!$G$79),Input!$H$79)</f>
        <v>0</v>
      </c>
      <c r="AL175" s="190">
        <f>IF($A175&lt;Input!$H$80,IF($A175&lt;Input!$G$80,IF($A175&lt;Input!$F$80,IF($A175&lt;Input!$E$80,IF($A175&lt;Input!$D$80,Input!$C$81,Input!$D$81),Input!$E$81),Input!$F$81),Input!$G$81),Input!$H$81)</f>
        <v>0.9</v>
      </c>
      <c r="AM175" s="60">
        <f t="shared" si="87"/>
        <v>0</v>
      </c>
      <c r="AN175" s="60">
        <f t="shared" si="107"/>
        <v>31</v>
      </c>
      <c r="AO175" s="60">
        <f t="shared" si="88"/>
        <v>0</v>
      </c>
      <c r="AP175" s="60">
        <f>ROUND(AO175*AN175*Input!$C$3/365,0)</f>
        <v>0</v>
      </c>
      <c r="AQ175" s="61">
        <f>IF($A175&lt;=Input!$C$6,0,IF('120M'!AM175&lt;'120M'!AO175,'120M'!AM175-AP175,'120M'!AO175))</f>
        <v>0</v>
      </c>
      <c r="AR175" s="61">
        <f t="shared" si="89"/>
        <v>0</v>
      </c>
      <c r="AS175" s="60">
        <f t="shared" si="90"/>
        <v>0</v>
      </c>
      <c r="AT175" s="193"/>
      <c r="AU175" s="169">
        <v>171</v>
      </c>
      <c r="AV175" s="1">
        <f t="shared" si="108"/>
        <v>50724</v>
      </c>
      <c r="AW175" s="60">
        <f>IF($X175&lt;Input!$H$88,IF($X175&lt;Input!$G$88,IF($X175&lt;Input!$F$88,IF($X175&lt;Input!$E$88,IF($X175&lt;Input!$D$88,Input!$C$94,Input!$D$94),Input!$E$94),Input!$F$94),Input!$G$94),Input!$H$94)</f>
        <v>0</v>
      </c>
      <c r="AX175" s="190">
        <f>IF($A175&lt;Input!$H$95,IF($A175&lt;Input!$G$95,IF($A175&lt;Input!$F$95,IF($A175&lt;Input!$E$95,IF($A175&lt;Input!$D$95,Input!$C$96,Input!$D$96),Input!$E$96),Input!$F$96),Input!$G$96),Input!$H$96)</f>
        <v>0.9</v>
      </c>
      <c r="AY175" s="60">
        <f t="shared" si="91"/>
        <v>0</v>
      </c>
      <c r="AZ175" s="60">
        <f t="shared" si="109"/>
        <v>31</v>
      </c>
      <c r="BA175" s="60">
        <f t="shared" si="92"/>
        <v>0</v>
      </c>
      <c r="BB175" s="60">
        <f>ROUND(BA175*AZ175*Input!$C$3/365,0)</f>
        <v>0</v>
      </c>
      <c r="BC175" s="61">
        <f>IF($A175&lt;=Input!$C$6,0,IF('120M'!AY175&lt;'120M'!BA175,'120M'!AY175-BB175,'120M'!BA175))</f>
        <v>0</v>
      </c>
      <c r="BD175" s="61">
        <f t="shared" si="93"/>
        <v>0</v>
      </c>
      <c r="BE175" s="60">
        <f t="shared" si="94"/>
        <v>0</v>
      </c>
      <c r="BF175" s="193"/>
      <c r="BG175" s="169">
        <v>171</v>
      </c>
      <c r="BH175" s="1">
        <f t="shared" si="110"/>
        <v>50724</v>
      </c>
      <c r="BI175" s="60">
        <f>IF($X175&lt;Input!$H$103,IF($X175&lt;Input!$G$103,IF($X175&lt;Input!$F$103,IF($X175&lt;Input!$E$103,IF($X175&lt;Input!$D$103,Input!$C$109,Input!$D$109),Input!$E$109),Input!$F$109),Input!$G$109),Input!$H$109)</f>
        <v>0</v>
      </c>
      <c r="BJ175" s="190">
        <f>IF($A175&lt;Input!$H$110,IF($A175&lt;Input!$G$110,IF($A175&lt;Input!$F$110,IF($A175&lt;Input!$E$110,IF($A175&lt;Input!$D$110,Input!$C$111,Input!$D$111),Input!$E$111),Input!$F$111),Input!$G$111),Input!$H$111)</f>
        <v>0.9</v>
      </c>
      <c r="BK175" s="60">
        <f t="shared" si="95"/>
        <v>0</v>
      </c>
      <c r="BL175" s="60">
        <f t="shared" si="111"/>
        <v>31</v>
      </c>
      <c r="BM175" s="60">
        <f t="shared" si="96"/>
        <v>0</v>
      </c>
      <c r="BN175" s="60">
        <f>ROUND(BM175*BL175*Input!$C$3/365,0)</f>
        <v>0</v>
      </c>
      <c r="BO175" s="61">
        <f>IF($A175&lt;=Input!$C$6,0,IF('120M'!BK175&lt;'120M'!BM175,'120M'!BK175-BN175,'120M'!BM175))</f>
        <v>0</v>
      </c>
      <c r="BP175" s="61">
        <f t="shared" si="97"/>
        <v>0</v>
      </c>
      <c r="BQ175" s="60">
        <f t="shared" si="98"/>
        <v>0</v>
      </c>
      <c r="BR175" s="198"/>
    </row>
    <row r="176" spans="1:70" x14ac:dyDescent="0.25">
      <c r="A176" s="169">
        <v>172</v>
      </c>
      <c r="B176" s="1">
        <f t="shared" si="99"/>
        <v>50754</v>
      </c>
      <c r="C176" s="60">
        <f t="shared" si="77"/>
        <v>33127052.878124986</v>
      </c>
      <c r="D176" s="60">
        <f t="shared" si="78"/>
        <v>29814347.590312488</v>
      </c>
      <c r="E176" s="60">
        <f t="shared" si="100"/>
        <v>30</v>
      </c>
      <c r="F176" s="60">
        <f t="shared" si="101"/>
        <v>0</v>
      </c>
      <c r="G176" s="60">
        <f>ROUND(F176*E176*Input!$C$3/365,0)</f>
        <v>0</v>
      </c>
      <c r="H176" s="60">
        <f>IF($A176&lt;=Input!$C$6,0,IF('120M'!D176&lt;'120M'!F176,'120M'!D176-G176,'120M'!F176))</f>
        <v>0</v>
      </c>
      <c r="I176" s="60">
        <f t="shared" si="102"/>
        <v>0</v>
      </c>
      <c r="J176" s="60">
        <f t="shared" si="103"/>
        <v>0</v>
      </c>
      <c r="K176" s="202">
        <f>J176/Input!$K$5</f>
        <v>0</v>
      </c>
      <c r="L176" s="232"/>
      <c r="M176" s="60">
        <f>IF($B176&lt;Input!$H$43,IF($B176&lt;Input!$G$43,IF($B176&lt;Input!$F$43,IF($B176&lt;Input!$E$43,IF($B176&lt;Input!$D$43,Input!$C$49,Input!$D$49),Input!$E$49),Input!$F$49),Input!$G$49),Input!$H$49)</f>
        <v>33127052.878124986</v>
      </c>
      <c r="N176" s="190">
        <f>IF($A176&lt;Input!$H$50,IF($A176&lt;Input!$G$50,IF($A176&lt;Input!$F$50,IF($A176&lt;Input!$E$50,IF($A176&lt;Input!$D$50,Input!$C$51,Input!$D$51),Input!$E$51),Input!$F$51),Input!$G$51),Input!$H$51)</f>
        <v>0.9</v>
      </c>
      <c r="O176" s="60">
        <f t="shared" si="112"/>
        <v>29814347.590312488</v>
      </c>
      <c r="P176" s="60">
        <f t="shared" si="113"/>
        <v>30</v>
      </c>
      <c r="Q176" s="60">
        <f t="shared" si="80"/>
        <v>0</v>
      </c>
      <c r="R176" s="60">
        <f>ROUND(Q176*$P176*Input!$C$3/365,0)</f>
        <v>0</v>
      </c>
      <c r="S176" s="60">
        <f>IF(A176&lt;=Input!$C$6,0,IF('120M'!O176&lt;'120M'!Q176,'120M'!O176-R176,'120M'!Q176))</f>
        <v>0</v>
      </c>
      <c r="T176" s="60">
        <f t="shared" si="81"/>
        <v>0</v>
      </c>
      <c r="U176" s="60">
        <f t="shared" si="82"/>
        <v>0</v>
      </c>
      <c r="V176" s="193"/>
      <c r="W176" s="169">
        <v>172</v>
      </c>
      <c r="X176" s="1">
        <f t="shared" si="104"/>
        <v>50754</v>
      </c>
      <c r="Y176" s="60">
        <f>IF($X176&lt;Input!$H$58,IF($X176&lt;Input!$G$58,IF($X176&lt;Input!$F$58,IF($X176&lt;Input!$E$58,IF($X176&lt;Input!$D$58,Input!$C$64,Input!$D$64),Input!$E$64),Input!$F$64),Input!$G$64),Input!$H$64)</f>
        <v>0</v>
      </c>
      <c r="Z176" s="190">
        <f>IF($A176&lt;Input!$H$65,IF($A176&lt;Input!$G$65,IF($A176&lt;Input!$F$65,IF($A176&lt;Input!$E$65,IF($A176&lt;Input!$D$65,Input!$C$66,Input!$D$66),Input!$E$66),Input!$F$66),Input!$G$66),Input!$H$66)</f>
        <v>0.9</v>
      </c>
      <c r="AA176" s="60">
        <f t="shared" si="83"/>
        <v>0</v>
      </c>
      <c r="AB176" s="60">
        <f t="shared" si="105"/>
        <v>30</v>
      </c>
      <c r="AC176" s="60">
        <f t="shared" si="84"/>
        <v>0</v>
      </c>
      <c r="AD176" s="60">
        <f>ROUND(AC176*AB176*Input!$C$3/365,0)</f>
        <v>0</v>
      </c>
      <c r="AE176" s="61">
        <f>IF($A176&lt;=Input!$C$6,0,IF('120M'!AA176&lt;'120M'!AC176,'120M'!AA176-AD176,'120M'!AC176))</f>
        <v>0</v>
      </c>
      <c r="AF176" s="61">
        <f t="shared" si="85"/>
        <v>0</v>
      </c>
      <c r="AG176" s="60">
        <f t="shared" si="86"/>
        <v>0</v>
      </c>
      <c r="AH176" s="193"/>
      <c r="AI176" s="169">
        <v>172</v>
      </c>
      <c r="AJ176" s="1">
        <f t="shared" si="106"/>
        <v>50754</v>
      </c>
      <c r="AK176" s="60">
        <f>IF($X176&lt;Input!$H$73,IF($X176&lt;Input!$G$73,IF($X176&lt;Input!$F$73,IF($X176&lt;Input!$E$73,IF($X176&lt;Input!$D$73,Input!$C$79,Input!$D$79),Input!$E$79),Input!$F$79),Input!$G$79),Input!$H$79)</f>
        <v>0</v>
      </c>
      <c r="AL176" s="190">
        <f>IF($A176&lt;Input!$H$80,IF($A176&lt;Input!$G$80,IF($A176&lt;Input!$F$80,IF($A176&lt;Input!$E$80,IF($A176&lt;Input!$D$80,Input!$C$81,Input!$D$81),Input!$E$81),Input!$F$81),Input!$G$81),Input!$H$81)</f>
        <v>0.9</v>
      </c>
      <c r="AM176" s="60">
        <f t="shared" si="87"/>
        <v>0</v>
      </c>
      <c r="AN176" s="60">
        <f t="shared" si="107"/>
        <v>30</v>
      </c>
      <c r="AO176" s="60">
        <f t="shared" si="88"/>
        <v>0</v>
      </c>
      <c r="AP176" s="60">
        <f>ROUND(AO176*AN176*Input!$C$3/365,0)</f>
        <v>0</v>
      </c>
      <c r="AQ176" s="61">
        <f>IF($A176&lt;=Input!$C$6,0,IF('120M'!AM176&lt;'120M'!AO176,'120M'!AM176-AP176,'120M'!AO176))</f>
        <v>0</v>
      </c>
      <c r="AR176" s="61">
        <f t="shared" si="89"/>
        <v>0</v>
      </c>
      <c r="AS176" s="60">
        <f t="shared" si="90"/>
        <v>0</v>
      </c>
      <c r="AT176" s="193"/>
      <c r="AU176" s="169">
        <v>172</v>
      </c>
      <c r="AV176" s="1">
        <f t="shared" si="108"/>
        <v>50754</v>
      </c>
      <c r="AW176" s="60">
        <f>IF($X176&lt;Input!$H$88,IF($X176&lt;Input!$G$88,IF($X176&lt;Input!$F$88,IF($X176&lt;Input!$E$88,IF($X176&lt;Input!$D$88,Input!$C$94,Input!$D$94),Input!$E$94),Input!$F$94),Input!$G$94),Input!$H$94)</f>
        <v>0</v>
      </c>
      <c r="AX176" s="190">
        <f>IF($A176&lt;Input!$H$95,IF($A176&lt;Input!$G$95,IF($A176&lt;Input!$F$95,IF($A176&lt;Input!$E$95,IF($A176&lt;Input!$D$95,Input!$C$96,Input!$D$96),Input!$E$96),Input!$F$96),Input!$G$96),Input!$H$96)</f>
        <v>0.9</v>
      </c>
      <c r="AY176" s="60">
        <f t="shared" si="91"/>
        <v>0</v>
      </c>
      <c r="AZ176" s="60">
        <f t="shared" si="109"/>
        <v>30</v>
      </c>
      <c r="BA176" s="60">
        <f t="shared" si="92"/>
        <v>0</v>
      </c>
      <c r="BB176" s="60">
        <f>ROUND(BA176*AZ176*Input!$C$3/365,0)</f>
        <v>0</v>
      </c>
      <c r="BC176" s="61">
        <f>IF($A176&lt;=Input!$C$6,0,IF('120M'!AY176&lt;'120M'!BA176,'120M'!AY176-BB176,'120M'!BA176))</f>
        <v>0</v>
      </c>
      <c r="BD176" s="61">
        <f t="shared" si="93"/>
        <v>0</v>
      </c>
      <c r="BE176" s="60">
        <f t="shared" si="94"/>
        <v>0</v>
      </c>
      <c r="BF176" s="193"/>
      <c r="BG176" s="169">
        <v>172</v>
      </c>
      <c r="BH176" s="1">
        <f t="shared" si="110"/>
        <v>50754</v>
      </c>
      <c r="BI176" s="60">
        <f>IF($X176&lt;Input!$H$103,IF($X176&lt;Input!$G$103,IF($X176&lt;Input!$F$103,IF($X176&lt;Input!$E$103,IF($X176&lt;Input!$D$103,Input!$C$109,Input!$D$109),Input!$E$109),Input!$F$109),Input!$G$109),Input!$H$109)</f>
        <v>0</v>
      </c>
      <c r="BJ176" s="190">
        <f>IF($A176&lt;Input!$H$110,IF($A176&lt;Input!$G$110,IF($A176&lt;Input!$F$110,IF($A176&lt;Input!$E$110,IF($A176&lt;Input!$D$110,Input!$C$111,Input!$D$111),Input!$E$111),Input!$F$111),Input!$G$111),Input!$H$111)</f>
        <v>0.9</v>
      </c>
      <c r="BK176" s="60">
        <f t="shared" si="95"/>
        <v>0</v>
      </c>
      <c r="BL176" s="60">
        <f t="shared" si="111"/>
        <v>30</v>
      </c>
      <c r="BM176" s="60">
        <f t="shared" si="96"/>
        <v>0</v>
      </c>
      <c r="BN176" s="60">
        <f>ROUND(BM176*BL176*Input!$C$3/365,0)</f>
        <v>0</v>
      </c>
      <c r="BO176" s="61">
        <f>IF($A176&lt;=Input!$C$6,0,IF('120M'!BK176&lt;'120M'!BM176,'120M'!BK176-BN176,'120M'!BM176))</f>
        <v>0</v>
      </c>
      <c r="BP176" s="61">
        <f t="shared" si="97"/>
        <v>0</v>
      </c>
      <c r="BQ176" s="60">
        <f t="shared" si="98"/>
        <v>0</v>
      </c>
      <c r="BR176" s="198"/>
    </row>
    <row r="177" spans="1:70" x14ac:dyDescent="0.25">
      <c r="A177" s="169">
        <v>173</v>
      </c>
      <c r="B177" s="1">
        <f t="shared" si="99"/>
        <v>50785</v>
      </c>
      <c r="C177" s="60">
        <f t="shared" si="77"/>
        <v>33127052.878124986</v>
      </c>
      <c r="D177" s="60">
        <f t="shared" si="78"/>
        <v>29814347.590312488</v>
      </c>
      <c r="E177" s="60">
        <f t="shared" si="100"/>
        <v>31</v>
      </c>
      <c r="F177" s="60">
        <f t="shared" si="101"/>
        <v>0</v>
      </c>
      <c r="G177" s="60">
        <f>ROUND(F177*E177*Input!$C$3/365,0)</f>
        <v>0</v>
      </c>
      <c r="H177" s="60">
        <f>IF($A177&lt;=Input!$C$6,0,IF('120M'!D177&lt;'120M'!F177,'120M'!D177-G177,'120M'!F177))</f>
        <v>0</v>
      </c>
      <c r="I177" s="60">
        <f t="shared" si="102"/>
        <v>0</v>
      </c>
      <c r="J177" s="60">
        <f t="shared" si="103"/>
        <v>0</v>
      </c>
      <c r="K177" s="202">
        <f>J177/Input!$K$5</f>
        <v>0</v>
      </c>
      <c r="L177" s="232"/>
      <c r="M177" s="60">
        <f>IF($B177&lt;Input!$H$43,IF($B177&lt;Input!$G$43,IF($B177&lt;Input!$F$43,IF($B177&lt;Input!$E$43,IF($B177&lt;Input!$D$43,Input!$C$49,Input!$D$49),Input!$E$49),Input!$F$49),Input!$G$49),Input!$H$49)</f>
        <v>33127052.878124986</v>
      </c>
      <c r="N177" s="190">
        <f>IF($A177&lt;Input!$H$50,IF($A177&lt;Input!$G$50,IF($A177&lt;Input!$F$50,IF($A177&lt;Input!$E$50,IF($A177&lt;Input!$D$50,Input!$C$51,Input!$D$51),Input!$E$51),Input!$F$51),Input!$G$51),Input!$H$51)</f>
        <v>0.9</v>
      </c>
      <c r="O177" s="60">
        <f t="shared" si="112"/>
        <v>29814347.590312488</v>
      </c>
      <c r="P177" s="60">
        <f t="shared" si="113"/>
        <v>31</v>
      </c>
      <c r="Q177" s="60">
        <f t="shared" si="80"/>
        <v>0</v>
      </c>
      <c r="R177" s="60">
        <f>ROUND(Q177*$P177*Input!$C$3/365,0)</f>
        <v>0</v>
      </c>
      <c r="S177" s="60">
        <f>IF(A177&lt;=Input!$C$6,0,IF('120M'!O177&lt;'120M'!Q177,'120M'!O177-R177,'120M'!Q177))</f>
        <v>0</v>
      </c>
      <c r="T177" s="60">
        <f t="shared" si="81"/>
        <v>0</v>
      </c>
      <c r="U177" s="60">
        <f t="shared" si="82"/>
        <v>0</v>
      </c>
      <c r="V177" s="193"/>
      <c r="W177" s="169">
        <v>173</v>
      </c>
      <c r="X177" s="1">
        <f t="shared" si="104"/>
        <v>50785</v>
      </c>
      <c r="Y177" s="60">
        <f>IF($X177&lt;Input!$H$58,IF($X177&lt;Input!$G$58,IF($X177&lt;Input!$F$58,IF($X177&lt;Input!$E$58,IF($X177&lt;Input!$D$58,Input!$C$64,Input!$D$64),Input!$E$64),Input!$F$64),Input!$G$64),Input!$H$64)</f>
        <v>0</v>
      </c>
      <c r="Z177" s="190">
        <f>IF($A177&lt;Input!$H$65,IF($A177&lt;Input!$G$65,IF($A177&lt;Input!$F$65,IF($A177&lt;Input!$E$65,IF($A177&lt;Input!$D$65,Input!$C$66,Input!$D$66),Input!$E$66),Input!$F$66),Input!$G$66),Input!$H$66)</f>
        <v>0.9</v>
      </c>
      <c r="AA177" s="60">
        <f t="shared" si="83"/>
        <v>0</v>
      </c>
      <c r="AB177" s="60">
        <f t="shared" si="105"/>
        <v>31</v>
      </c>
      <c r="AC177" s="60">
        <f t="shared" si="84"/>
        <v>0</v>
      </c>
      <c r="AD177" s="60">
        <f>ROUND(AC177*AB177*Input!$C$3/365,0)</f>
        <v>0</v>
      </c>
      <c r="AE177" s="61">
        <f>IF($A177&lt;=Input!$C$6,0,IF('120M'!AA177&lt;'120M'!AC177,'120M'!AA177-AD177,'120M'!AC177))</f>
        <v>0</v>
      </c>
      <c r="AF177" s="61">
        <f t="shared" si="85"/>
        <v>0</v>
      </c>
      <c r="AG177" s="60">
        <f t="shared" si="86"/>
        <v>0</v>
      </c>
      <c r="AH177" s="193"/>
      <c r="AI177" s="169">
        <v>173</v>
      </c>
      <c r="AJ177" s="1">
        <f t="shared" si="106"/>
        <v>50785</v>
      </c>
      <c r="AK177" s="60">
        <f>IF($X177&lt;Input!$H$73,IF($X177&lt;Input!$G$73,IF($X177&lt;Input!$F$73,IF($X177&lt;Input!$E$73,IF($X177&lt;Input!$D$73,Input!$C$79,Input!$D$79),Input!$E$79),Input!$F$79),Input!$G$79),Input!$H$79)</f>
        <v>0</v>
      </c>
      <c r="AL177" s="190">
        <f>IF($A177&lt;Input!$H$80,IF($A177&lt;Input!$G$80,IF($A177&lt;Input!$F$80,IF($A177&lt;Input!$E$80,IF($A177&lt;Input!$D$80,Input!$C$81,Input!$D$81),Input!$E$81),Input!$F$81),Input!$G$81),Input!$H$81)</f>
        <v>0.9</v>
      </c>
      <c r="AM177" s="60">
        <f t="shared" si="87"/>
        <v>0</v>
      </c>
      <c r="AN177" s="60">
        <f t="shared" si="107"/>
        <v>31</v>
      </c>
      <c r="AO177" s="60">
        <f t="shared" si="88"/>
        <v>0</v>
      </c>
      <c r="AP177" s="60">
        <f>ROUND(AO177*AN177*Input!$C$3/365,0)</f>
        <v>0</v>
      </c>
      <c r="AQ177" s="61">
        <f>IF($A177&lt;=Input!$C$6,0,IF('120M'!AM177&lt;'120M'!AO177,'120M'!AM177-AP177,'120M'!AO177))</f>
        <v>0</v>
      </c>
      <c r="AR177" s="61">
        <f t="shared" si="89"/>
        <v>0</v>
      </c>
      <c r="AS177" s="60">
        <f t="shared" si="90"/>
        <v>0</v>
      </c>
      <c r="AT177" s="193"/>
      <c r="AU177" s="169">
        <v>173</v>
      </c>
      <c r="AV177" s="1">
        <f t="shared" si="108"/>
        <v>50785</v>
      </c>
      <c r="AW177" s="60">
        <f>IF($X177&lt;Input!$H$88,IF($X177&lt;Input!$G$88,IF($X177&lt;Input!$F$88,IF($X177&lt;Input!$E$88,IF($X177&lt;Input!$D$88,Input!$C$94,Input!$D$94),Input!$E$94),Input!$F$94),Input!$G$94),Input!$H$94)</f>
        <v>0</v>
      </c>
      <c r="AX177" s="190">
        <f>IF($A177&lt;Input!$H$95,IF($A177&lt;Input!$G$95,IF($A177&lt;Input!$F$95,IF($A177&lt;Input!$E$95,IF($A177&lt;Input!$D$95,Input!$C$96,Input!$D$96),Input!$E$96),Input!$F$96),Input!$G$96),Input!$H$96)</f>
        <v>0.9</v>
      </c>
      <c r="AY177" s="60">
        <f t="shared" si="91"/>
        <v>0</v>
      </c>
      <c r="AZ177" s="60">
        <f t="shared" si="109"/>
        <v>31</v>
      </c>
      <c r="BA177" s="60">
        <f t="shared" si="92"/>
        <v>0</v>
      </c>
      <c r="BB177" s="60">
        <f>ROUND(BA177*AZ177*Input!$C$3/365,0)</f>
        <v>0</v>
      </c>
      <c r="BC177" s="61">
        <f>IF($A177&lt;=Input!$C$6,0,IF('120M'!AY177&lt;'120M'!BA177,'120M'!AY177-BB177,'120M'!BA177))</f>
        <v>0</v>
      </c>
      <c r="BD177" s="61">
        <f t="shared" si="93"/>
        <v>0</v>
      </c>
      <c r="BE177" s="60">
        <f t="shared" si="94"/>
        <v>0</v>
      </c>
      <c r="BF177" s="193"/>
      <c r="BG177" s="169">
        <v>173</v>
      </c>
      <c r="BH177" s="1">
        <f t="shared" si="110"/>
        <v>50785</v>
      </c>
      <c r="BI177" s="60">
        <f>IF($X177&lt;Input!$H$103,IF($X177&lt;Input!$G$103,IF($X177&lt;Input!$F$103,IF($X177&lt;Input!$E$103,IF($X177&lt;Input!$D$103,Input!$C$109,Input!$D$109),Input!$E$109),Input!$F$109),Input!$G$109),Input!$H$109)</f>
        <v>0</v>
      </c>
      <c r="BJ177" s="190">
        <f>IF($A177&lt;Input!$H$110,IF($A177&lt;Input!$G$110,IF($A177&lt;Input!$F$110,IF($A177&lt;Input!$E$110,IF($A177&lt;Input!$D$110,Input!$C$111,Input!$D$111),Input!$E$111),Input!$F$111),Input!$G$111),Input!$H$111)</f>
        <v>0.9</v>
      </c>
      <c r="BK177" s="60">
        <f t="shared" si="95"/>
        <v>0</v>
      </c>
      <c r="BL177" s="60">
        <f t="shared" si="111"/>
        <v>31</v>
      </c>
      <c r="BM177" s="60">
        <f t="shared" si="96"/>
        <v>0</v>
      </c>
      <c r="BN177" s="60">
        <f>ROUND(BM177*BL177*Input!$C$3/365,0)</f>
        <v>0</v>
      </c>
      <c r="BO177" s="61">
        <f>IF($A177&lt;=Input!$C$6,0,IF('120M'!BK177&lt;'120M'!BM177,'120M'!BK177-BN177,'120M'!BM177))</f>
        <v>0</v>
      </c>
      <c r="BP177" s="61">
        <f t="shared" si="97"/>
        <v>0</v>
      </c>
      <c r="BQ177" s="60">
        <f t="shared" si="98"/>
        <v>0</v>
      </c>
      <c r="BR177" s="198"/>
    </row>
    <row r="178" spans="1:70" x14ac:dyDescent="0.25">
      <c r="A178" s="169">
        <v>174</v>
      </c>
      <c r="B178" s="1">
        <f t="shared" si="99"/>
        <v>50816</v>
      </c>
      <c r="C178" s="60">
        <f t="shared" si="77"/>
        <v>33127052.878124986</v>
      </c>
      <c r="D178" s="60">
        <f t="shared" si="78"/>
        <v>29814347.590312488</v>
      </c>
      <c r="E178" s="60">
        <f t="shared" si="100"/>
        <v>31</v>
      </c>
      <c r="F178" s="60">
        <f t="shared" si="101"/>
        <v>0</v>
      </c>
      <c r="G178" s="60">
        <f>ROUND(F178*E178*Input!$C$3/365,0)</f>
        <v>0</v>
      </c>
      <c r="H178" s="60">
        <f>IF($A178&lt;=Input!$C$6,0,IF('120M'!D178&lt;'120M'!F178,'120M'!D178-G178,'120M'!F178))</f>
        <v>0</v>
      </c>
      <c r="I178" s="60">
        <f t="shared" si="102"/>
        <v>0</v>
      </c>
      <c r="J178" s="60">
        <f t="shared" si="103"/>
        <v>0</v>
      </c>
      <c r="K178" s="202">
        <f>J178/Input!$K$5</f>
        <v>0</v>
      </c>
      <c r="L178" s="232"/>
      <c r="M178" s="60">
        <f>IF($B178&lt;Input!$H$43,IF($B178&lt;Input!$G$43,IF($B178&lt;Input!$F$43,IF($B178&lt;Input!$E$43,IF($B178&lt;Input!$D$43,Input!$C$49,Input!$D$49),Input!$E$49),Input!$F$49),Input!$G$49),Input!$H$49)</f>
        <v>33127052.878124986</v>
      </c>
      <c r="N178" s="190">
        <f>IF($A178&lt;Input!$H$50,IF($A178&lt;Input!$G$50,IF($A178&lt;Input!$F$50,IF($A178&lt;Input!$E$50,IF($A178&lt;Input!$D$50,Input!$C$51,Input!$D$51),Input!$E$51),Input!$F$51),Input!$G$51),Input!$H$51)</f>
        <v>0.9</v>
      </c>
      <c r="O178" s="60">
        <f t="shared" si="112"/>
        <v>29814347.590312488</v>
      </c>
      <c r="P178" s="60">
        <f t="shared" si="113"/>
        <v>31</v>
      </c>
      <c r="Q178" s="60">
        <f t="shared" si="80"/>
        <v>0</v>
      </c>
      <c r="R178" s="60">
        <f>ROUND(Q178*$P178*Input!$C$3/365,0)</f>
        <v>0</v>
      </c>
      <c r="S178" s="60">
        <f>IF(A178&lt;=Input!$C$6,0,IF('120M'!O178&lt;'120M'!Q178,'120M'!O178-R178,'120M'!Q178))</f>
        <v>0</v>
      </c>
      <c r="T178" s="60">
        <f t="shared" si="81"/>
        <v>0</v>
      </c>
      <c r="U178" s="60">
        <f t="shared" si="82"/>
        <v>0</v>
      </c>
      <c r="V178" s="193"/>
      <c r="W178" s="169">
        <v>174</v>
      </c>
      <c r="X178" s="1">
        <f t="shared" si="104"/>
        <v>50816</v>
      </c>
      <c r="Y178" s="60">
        <f>IF($X178&lt;Input!$H$58,IF($X178&lt;Input!$G$58,IF($X178&lt;Input!$F$58,IF($X178&lt;Input!$E$58,IF($X178&lt;Input!$D$58,Input!$C$64,Input!$D$64),Input!$E$64),Input!$F$64),Input!$G$64),Input!$H$64)</f>
        <v>0</v>
      </c>
      <c r="Z178" s="190">
        <f>IF($A178&lt;Input!$H$65,IF($A178&lt;Input!$G$65,IF($A178&lt;Input!$F$65,IF($A178&lt;Input!$E$65,IF($A178&lt;Input!$D$65,Input!$C$66,Input!$D$66),Input!$E$66),Input!$F$66),Input!$G$66),Input!$H$66)</f>
        <v>0.9</v>
      </c>
      <c r="AA178" s="60">
        <f t="shared" si="83"/>
        <v>0</v>
      </c>
      <c r="AB178" s="60">
        <f t="shared" si="105"/>
        <v>31</v>
      </c>
      <c r="AC178" s="60">
        <f t="shared" si="84"/>
        <v>0</v>
      </c>
      <c r="AD178" s="60">
        <f>ROUND(AC178*AB178*Input!$C$3/365,0)</f>
        <v>0</v>
      </c>
      <c r="AE178" s="61">
        <f>IF($A178&lt;=Input!$C$6,0,IF('120M'!AA178&lt;'120M'!AC178,'120M'!AA178-AD178,'120M'!AC178))</f>
        <v>0</v>
      </c>
      <c r="AF178" s="61">
        <f t="shared" si="85"/>
        <v>0</v>
      </c>
      <c r="AG178" s="60">
        <f t="shared" si="86"/>
        <v>0</v>
      </c>
      <c r="AH178" s="193"/>
      <c r="AI178" s="169">
        <v>174</v>
      </c>
      <c r="AJ178" s="1">
        <f t="shared" si="106"/>
        <v>50816</v>
      </c>
      <c r="AK178" s="60">
        <f>IF($X178&lt;Input!$H$73,IF($X178&lt;Input!$G$73,IF($X178&lt;Input!$F$73,IF($X178&lt;Input!$E$73,IF($X178&lt;Input!$D$73,Input!$C$79,Input!$D$79),Input!$E$79),Input!$F$79),Input!$G$79),Input!$H$79)</f>
        <v>0</v>
      </c>
      <c r="AL178" s="190">
        <f>IF($A178&lt;Input!$H$80,IF($A178&lt;Input!$G$80,IF($A178&lt;Input!$F$80,IF($A178&lt;Input!$E$80,IF($A178&lt;Input!$D$80,Input!$C$81,Input!$D$81),Input!$E$81),Input!$F$81),Input!$G$81),Input!$H$81)</f>
        <v>0.9</v>
      </c>
      <c r="AM178" s="60">
        <f t="shared" si="87"/>
        <v>0</v>
      </c>
      <c r="AN178" s="60">
        <f t="shared" si="107"/>
        <v>31</v>
      </c>
      <c r="AO178" s="60">
        <f t="shared" si="88"/>
        <v>0</v>
      </c>
      <c r="AP178" s="60">
        <f>ROUND(AO178*AN178*Input!$C$3/365,0)</f>
        <v>0</v>
      </c>
      <c r="AQ178" s="61">
        <f>IF($A178&lt;=Input!$C$6,0,IF('120M'!AM178&lt;'120M'!AO178,'120M'!AM178-AP178,'120M'!AO178))</f>
        <v>0</v>
      </c>
      <c r="AR178" s="61">
        <f t="shared" si="89"/>
        <v>0</v>
      </c>
      <c r="AS178" s="60">
        <f t="shared" si="90"/>
        <v>0</v>
      </c>
      <c r="AT178" s="193"/>
      <c r="AU178" s="169">
        <v>174</v>
      </c>
      <c r="AV178" s="1">
        <f t="shared" si="108"/>
        <v>50816</v>
      </c>
      <c r="AW178" s="60">
        <f>IF($X178&lt;Input!$H$88,IF($X178&lt;Input!$G$88,IF($X178&lt;Input!$F$88,IF($X178&lt;Input!$E$88,IF($X178&lt;Input!$D$88,Input!$C$94,Input!$D$94),Input!$E$94),Input!$F$94),Input!$G$94),Input!$H$94)</f>
        <v>0</v>
      </c>
      <c r="AX178" s="190">
        <f>IF($A178&lt;Input!$H$95,IF($A178&lt;Input!$G$95,IF($A178&lt;Input!$F$95,IF($A178&lt;Input!$E$95,IF($A178&lt;Input!$D$95,Input!$C$96,Input!$D$96),Input!$E$96),Input!$F$96),Input!$G$96),Input!$H$96)</f>
        <v>0.9</v>
      </c>
      <c r="AY178" s="60">
        <f t="shared" si="91"/>
        <v>0</v>
      </c>
      <c r="AZ178" s="60">
        <f t="shared" si="109"/>
        <v>31</v>
      </c>
      <c r="BA178" s="60">
        <f t="shared" si="92"/>
        <v>0</v>
      </c>
      <c r="BB178" s="60">
        <f>ROUND(BA178*AZ178*Input!$C$3/365,0)</f>
        <v>0</v>
      </c>
      <c r="BC178" s="61">
        <f>IF($A178&lt;=Input!$C$6,0,IF('120M'!AY178&lt;'120M'!BA178,'120M'!AY178-BB178,'120M'!BA178))</f>
        <v>0</v>
      </c>
      <c r="BD178" s="61">
        <f t="shared" si="93"/>
        <v>0</v>
      </c>
      <c r="BE178" s="60">
        <f t="shared" si="94"/>
        <v>0</v>
      </c>
      <c r="BF178" s="193"/>
      <c r="BG178" s="169">
        <v>174</v>
      </c>
      <c r="BH178" s="1">
        <f t="shared" si="110"/>
        <v>50816</v>
      </c>
      <c r="BI178" s="60">
        <f>IF($X178&lt;Input!$H$103,IF($X178&lt;Input!$G$103,IF($X178&lt;Input!$F$103,IF($X178&lt;Input!$E$103,IF($X178&lt;Input!$D$103,Input!$C$109,Input!$D$109),Input!$E$109),Input!$F$109),Input!$G$109),Input!$H$109)</f>
        <v>0</v>
      </c>
      <c r="BJ178" s="190">
        <f>IF($A178&lt;Input!$H$110,IF($A178&lt;Input!$G$110,IF($A178&lt;Input!$F$110,IF($A178&lt;Input!$E$110,IF($A178&lt;Input!$D$110,Input!$C$111,Input!$D$111),Input!$E$111),Input!$F$111),Input!$G$111),Input!$H$111)</f>
        <v>0.9</v>
      </c>
      <c r="BK178" s="60">
        <f t="shared" si="95"/>
        <v>0</v>
      </c>
      <c r="BL178" s="60">
        <f t="shared" si="111"/>
        <v>31</v>
      </c>
      <c r="BM178" s="60">
        <f t="shared" si="96"/>
        <v>0</v>
      </c>
      <c r="BN178" s="60">
        <f>ROUND(BM178*BL178*Input!$C$3/365,0)</f>
        <v>0</v>
      </c>
      <c r="BO178" s="61">
        <f>IF($A178&lt;=Input!$C$6,0,IF('120M'!BK178&lt;'120M'!BM178,'120M'!BK178-BN178,'120M'!BM178))</f>
        <v>0</v>
      </c>
      <c r="BP178" s="61">
        <f t="shared" si="97"/>
        <v>0</v>
      </c>
      <c r="BQ178" s="60">
        <f t="shared" si="98"/>
        <v>0</v>
      </c>
      <c r="BR178" s="198"/>
    </row>
    <row r="179" spans="1:70" x14ac:dyDescent="0.25">
      <c r="A179" s="169">
        <v>175</v>
      </c>
      <c r="B179" s="1">
        <f t="shared" si="99"/>
        <v>50844</v>
      </c>
      <c r="C179" s="60">
        <f t="shared" si="77"/>
        <v>33127052.878124986</v>
      </c>
      <c r="D179" s="60">
        <f t="shared" si="78"/>
        <v>29814347.590312488</v>
      </c>
      <c r="E179" s="60">
        <f t="shared" si="100"/>
        <v>28</v>
      </c>
      <c r="F179" s="60">
        <f t="shared" si="101"/>
        <v>0</v>
      </c>
      <c r="G179" s="60">
        <f>ROUND(F179*E179*Input!$C$3/365,0)</f>
        <v>0</v>
      </c>
      <c r="H179" s="60">
        <f>IF($A179&lt;=Input!$C$6,0,IF('120M'!D179&lt;'120M'!F179,'120M'!D179-G179,'120M'!F179))</f>
        <v>0</v>
      </c>
      <c r="I179" s="60">
        <f t="shared" si="102"/>
        <v>0</v>
      </c>
      <c r="J179" s="60">
        <f t="shared" si="103"/>
        <v>0</v>
      </c>
      <c r="K179" s="202">
        <f>J179/Input!$K$5</f>
        <v>0</v>
      </c>
      <c r="L179" s="232"/>
      <c r="M179" s="60">
        <f>IF($B179&lt;Input!$H$43,IF($B179&lt;Input!$G$43,IF($B179&lt;Input!$F$43,IF($B179&lt;Input!$E$43,IF($B179&lt;Input!$D$43,Input!$C$49,Input!$D$49),Input!$E$49),Input!$F$49),Input!$G$49),Input!$H$49)</f>
        <v>33127052.878124986</v>
      </c>
      <c r="N179" s="190">
        <f>IF($A179&lt;Input!$H$50,IF($A179&lt;Input!$G$50,IF($A179&lt;Input!$F$50,IF($A179&lt;Input!$E$50,IF($A179&lt;Input!$D$50,Input!$C$51,Input!$D$51),Input!$E$51),Input!$F$51),Input!$G$51),Input!$H$51)</f>
        <v>0.9</v>
      </c>
      <c r="O179" s="60">
        <f t="shared" si="112"/>
        <v>29814347.590312488</v>
      </c>
      <c r="P179" s="60">
        <f t="shared" si="113"/>
        <v>28</v>
      </c>
      <c r="Q179" s="60">
        <f t="shared" si="80"/>
        <v>0</v>
      </c>
      <c r="R179" s="60">
        <f>ROUND(Q179*$P179*Input!$C$3/365,0)</f>
        <v>0</v>
      </c>
      <c r="S179" s="60">
        <f>IF(A179&lt;=Input!$C$6,0,IF('120M'!O179&lt;'120M'!Q179,'120M'!O179-R179,'120M'!Q179))</f>
        <v>0</v>
      </c>
      <c r="T179" s="60">
        <f t="shared" si="81"/>
        <v>0</v>
      </c>
      <c r="U179" s="60">
        <f t="shared" si="82"/>
        <v>0</v>
      </c>
      <c r="V179" s="193"/>
      <c r="W179" s="169">
        <v>175</v>
      </c>
      <c r="X179" s="1">
        <f t="shared" si="104"/>
        <v>50844</v>
      </c>
      <c r="Y179" s="60">
        <f>IF($X179&lt;Input!$H$58,IF($X179&lt;Input!$G$58,IF($X179&lt;Input!$F$58,IF($X179&lt;Input!$E$58,IF($X179&lt;Input!$D$58,Input!$C$64,Input!$D$64),Input!$E$64),Input!$F$64),Input!$G$64),Input!$H$64)</f>
        <v>0</v>
      </c>
      <c r="Z179" s="190">
        <f>IF($A179&lt;Input!$H$65,IF($A179&lt;Input!$G$65,IF($A179&lt;Input!$F$65,IF($A179&lt;Input!$E$65,IF($A179&lt;Input!$D$65,Input!$C$66,Input!$D$66),Input!$E$66),Input!$F$66),Input!$G$66),Input!$H$66)</f>
        <v>0.9</v>
      </c>
      <c r="AA179" s="60">
        <f t="shared" si="83"/>
        <v>0</v>
      </c>
      <c r="AB179" s="60">
        <f t="shared" si="105"/>
        <v>28</v>
      </c>
      <c r="AC179" s="60">
        <f t="shared" si="84"/>
        <v>0</v>
      </c>
      <c r="AD179" s="60">
        <f>ROUND(AC179*AB179*Input!$C$3/365,0)</f>
        <v>0</v>
      </c>
      <c r="AE179" s="61">
        <f>IF($A179&lt;=Input!$C$6,0,IF('120M'!AA179&lt;'120M'!AC179,'120M'!AA179-AD179,'120M'!AC179))</f>
        <v>0</v>
      </c>
      <c r="AF179" s="61">
        <f t="shared" si="85"/>
        <v>0</v>
      </c>
      <c r="AG179" s="60">
        <f t="shared" si="86"/>
        <v>0</v>
      </c>
      <c r="AH179" s="193"/>
      <c r="AI179" s="169">
        <v>175</v>
      </c>
      <c r="AJ179" s="1">
        <f t="shared" si="106"/>
        <v>50844</v>
      </c>
      <c r="AK179" s="60">
        <f>IF($X179&lt;Input!$H$73,IF($X179&lt;Input!$G$73,IF($X179&lt;Input!$F$73,IF($X179&lt;Input!$E$73,IF($X179&lt;Input!$D$73,Input!$C$79,Input!$D$79),Input!$E$79),Input!$F$79),Input!$G$79),Input!$H$79)</f>
        <v>0</v>
      </c>
      <c r="AL179" s="190">
        <f>IF($A179&lt;Input!$H$80,IF($A179&lt;Input!$G$80,IF($A179&lt;Input!$F$80,IF($A179&lt;Input!$E$80,IF($A179&lt;Input!$D$80,Input!$C$81,Input!$D$81),Input!$E$81),Input!$F$81),Input!$G$81),Input!$H$81)</f>
        <v>0.9</v>
      </c>
      <c r="AM179" s="60">
        <f t="shared" si="87"/>
        <v>0</v>
      </c>
      <c r="AN179" s="60">
        <f t="shared" si="107"/>
        <v>28</v>
      </c>
      <c r="AO179" s="60">
        <f t="shared" si="88"/>
        <v>0</v>
      </c>
      <c r="AP179" s="60">
        <f>ROUND(AO179*AN179*Input!$C$3/365,0)</f>
        <v>0</v>
      </c>
      <c r="AQ179" s="61">
        <f>IF($A179&lt;=Input!$C$6,0,IF('120M'!AM179&lt;'120M'!AO179,'120M'!AM179-AP179,'120M'!AO179))</f>
        <v>0</v>
      </c>
      <c r="AR179" s="61">
        <f t="shared" si="89"/>
        <v>0</v>
      </c>
      <c r="AS179" s="60">
        <f t="shared" si="90"/>
        <v>0</v>
      </c>
      <c r="AT179" s="193"/>
      <c r="AU179" s="169">
        <v>175</v>
      </c>
      <c r="AV179" s="1">
        <f t="shared" si="108"/>
        <v>50844</v>
      </c>
      <c r="AW179" s="60">
        <f>IF($X179&lt;Input!$H$88,IF($X179&lt;Input!$G$88,IF($X179&lt;Input!$F$88,IF($X179&lt;Input!$E$88,IF($X179&lt;Input!$D$88,Input!$C$94,Input!$D$94),Input!$E$94),Input!$F$94),Input!$G$94),Input!$H$94)</f>
        <v>0</v>
      </c>
      <c r="AX179" s="190">
        <f>IF($A179&lt;Input!$H$95,IF($A179&lt;Input!$G$95,IF($A179&lt;Input!$F$95,IF($A179&lt;Input!$E$95,IF($A179&lt;Input!$D$95,Input!$C$96,Input!$D$96),Input!$E$96),Input!$F$96),Input!$G$96),Input!$H$96)</f>
        <v>0.9</v>
      </c>
      <c r="AY179" s="60">
        <f t="shared" si="91"/>
        <v>0</v>
      </c>
      <c r="AZ179" s="60">
        <f t="shared" si="109"/>
        <v>28</v>
      </c>
      <c r="BA179" s="60">
        <f t="shared" si="92"/>
        <v>0</v>
      </c>
      <c r="BB179" s="60">
        <f>ROUND(BA179*AZ179*Input!$C$3/365,0)</f>
        <v>0</v>
      </c>
      <c r="BC179" s="61">
        <f>IF($A179&lt;=Input!$C$6,0,IF('120M'!AY179&lt;'120M'!BA179,'120M'!AY179-BB179,'120M'!BA179))</f>
        <v>0</v>
      </c>
      <c r="BD179" s="61">
        <f t="shared" si="93"/>
        <v>0</v>
      </c>
      <c r="BE179" s="60">
        <f t="shared" si="94"/>
        <v>0</v>
      </c>
      <c r="BF179" s="193"/>
      <c r="BG179" s="169">
        <v>175</v>
      </c>
      <c r="BH179" s="1">
        <f t="shared" si="110"/>
        <v>50844</v>
      </c>
      <c r="BI179" s="60">
        <f>IF($X179&lt;Input!$H$103,IF($X179&lt;Input!$G$103,IF($X179&lt;Input!$F$103,IF($X179&lt;Input!$E$103,IF($X179&lt;Input!$D$103,Input!$C$109,Input!$D$109),Input!$E$109),Input!$F$109),Input!$G$109),Input!$H$109)</f>
        <v>0</v>
      </c>
      <c r="BJ179" s="190">
        <f>IF($A179&lt;Input!$H$110,IF($A179&lt;Input!$G$110,IF($A179&lt;Input!$F$110,IF($A179&lt;Input!$E$110,IF($A179&lt;Input!$D$110,Input!$C$111,Input!$D$111),Input!$E$111),Input!$F$111),Input!$G$111),Input!$H$111)</f>
        <v>0.9</v>
      </c>
      <c r="BK179" s="60">
        <f t="shared" si="95"/>
        <v>0</v>
      </c>
      <c r="BL179" s="60">
        <f t="shared" si="111"/>
        <v>28</v>
      </c>
      <c r="BM179" s="60">
        <f t="shared" si="96"/>
        <v>0</v>
      </c>
      <c r="BN179" s="60">
        <f>ROUND(BM179*BL179*Input!$C$3/365,0)</f>
        <v>0</v>
      </c>
      <c r="BO179" s="61">
        <f>IF($A179&lt;=Input!$C$6,0,IF('120M'!BK179&lt;'120M'!BM179,'120M'!BK179-BN179,'120M'!BM179))</f>
        <v>0</v>
      </c>
      <c r="BP179" s="61">
        <f t="shared" si="97"/>
        <v>0</v>
      </c>
      <c r="BQ179" s="60">
        <f t="shared" si="98"/>
        <v>0</v>
      </c>
      <c r="BR179" s="198"/>
    </row>
    <row r="180" spans="1:70" x14ac:dyDescent="0.25">
      <c r="A180" s="169">
        <v>176</v>
      </c>
      <c r="B180" s="1">
        <f t="shared" si="99"/>
        <v>50875</v>
      </c>
      <c r="C180" s="60">
        <f t="shared" si="77"/>
        <v>33127052.878124986</v>
      </c>
      <c r="D180" s="60">
        <f t="shared" si="78"/>
        <v>29814347.590312488</v>
      </c>
      <c r="E180" s="60">
        <f t="shared" si="100"/>
        <v>31</v>
      </c>
      <c r="F180" s="60">
        <f t="shared" si="101"/>
        <v>0</v>
      </c>
      <c r="G180" s="60">
        <f>ROUND(F180*E180*Input!$C$3/365,0)</f>
        <v>0</v>
      </c>
      <c r="H180" s="60">
        <f>IF($A180&lt;=Input!$C$6,0,IF('120M'!D180&lt;'120M'!F180,'120M'!D180-G180,'120M'!F180))</f>
        <v>0</v>
      </c>
      <c r="I180" s="60">
        <f t="shared" si="102"/>
        <v>0</v>
      </c>
      <c r="J180" s="60">
        <f t="shared" si="103"/>
        <v>0</v>
      </c>
      <c r="K180" s="202">
        <f>J180/Input!$K$5</f>
        <v>0</v>
      </c>
      <c r="L180" s="232"/>
      <c r="M180" s="60">
        <f>IF($B180&lt;Input!$H$43,IF($B180&lt;Input!$G$43,IF($B180&lt;Input!$F$43,IF($B180&lt;Input!$E$43,IF($B180&lt;Input!$D$43,Input!$C$49,Input!$D$49),Input!$E$49),Input!$F$49),Input!$G$49),Input!$H$49)</f>
        <v>33127052.878124986</v>
      </c>
      <c r="N180" s="190">
        <f>IF($A180&lt;Input!$H$50,IF($A180&lt;Input!$G$50,IF($A180&lt;Input!$F$50,IF($A180&lt;Input!$E$50,IF($A180&lt;Input!$D$50,Input!$C$51,Input!$D$51),Input!$E$51),Input!$F$51),Input!$G$51),Input!$H$51)</f>
        <v>0.9</v>
      </c>
      <c r="O180" s="60">
        <f t="shared" si="112"/>
        <v>29814347.590312488</v>
      </c>
      <c r="P180" s="60">
        <f t="shared" si="113"/>
        <v>31</v>
      </c>
      <c r="Q180" s="60">
        <f t="shared" si="80"/>
        <v>0</v>
      </c>
      <c r="R180" s="60">
        <f>ROUND(Q180*$P180*Input!$C$3/365,0)</f>
        <v>0</v>
      </c>
      <c r="S180" s="60">
        <f>IF(A180&lt;=Input!$C$6,0,IF('120M'!O180&lt;'120M'!Q180,'120M'!O180-R180,'120M'!Q180))</f>
        <v>0</v>
      </c>
      <c r="T180" s="60">
        <f t="shared" si="81"/>
        <v>0</v>
      </c>
      <c r="U180" s="60">
        <f t="shared" si="82"/>
        <v>0</v>
      </c>
      <c r="V180" s="193"/>
      <c r="W180" s="169">
        <v>176</v>
      </c>
      <c r="X180" s="1">
        <f t="shared" si="104"/>
        <v>50875</v>
      </c>
      <c r="Y180" s="60">
        <f>IF($X180&lt;Input!$H$58,IF($X180&lt;Input!$G$58,IF($X180&lt;Input!$F$58,IF($X180&lt;Input!$E$58,IF($X180&lt;Input!$D$58,Input!$C$64,Input!$D$64),Input!$E$64),Input!$F$64),Input!$G$64),Input!$H$64)</f>
        <v>0</v>
      </c>
      <c r="Z180" s="190">
        <f>IF($A180&lt;Input!$H$65,IF($A180&lt;Input!$G$65,IF($A180&lt;Input!$F$65,IF($A180&lt;Input!$E$65,IF($A180&lt;Input!$D$65,Input!$C$66,Input!$D$66),Input!$E$66),Input!$F$66),Input!$G$66),Input!$H$66)</f>
        <v>0.9</v>
      </c>
      <c r="AA180" s="60">
        <f t="shared" si="83"/>
        <v>0</v>
      </c>
      <c r="AB180" s="60">
        <f t="shared" si="105"/>
        <v>31</v>
      </c>
      <c r="AC180" s="60">
        <f t="shared" si="84"/>
        <v>0</v>
      </c>
      <c r="AD180" s="60">
        <f>ROUND(AC180*AB180*Input!$C$3/365,0)</f>
        <v>0</v>
      </c>
      <c r="AE180" s="61">
        <f>IF($A180&lt;=Input!$C$6,0,IF('120M'!AA180&lt;'120M'!AC180,'120M'!AA180-AD180,'120M'!AC180))</f>
        <v>0</v>
      </c>
      <c r="AF180" s="61">
        <f t="shared" si="85"/>
        <v>0</v>
      </c>
      <c r="AG180" s="60">
        <f t="shared" si="86"/>
        <v>0</v>
      </c>
      <c r="AH180" s="193"/>
      <c r="AI180" s="169">
        <v>176</v>
      </c>
      <c r="AJ180" s="1">
        <f t="shared" si="106"/>
        <v>50875</v>
      </c>
      <c r="AK180" s="60">
        <f>IF($X180&lt;Input!$H$73,IF($X180&lt;Input!$G$73,IF($X180&lt;Input!$F$73,IF($X180&lt;Input!$E$73,IF($X180&lt;Input!$D$73,Input!$C$79,Input!$D$79),Input!$E$79),Input!$F$79),Input!$G$79),Input!$H$79)</f>
        <v>0</v>
      </c>
      <c r="AL180" s="190">
        <f>IF($A180&lt;Input!$H$80,IF($A180&lt;Input!$G$80,IF($A180&lt;Input!$F$80,IF($A180&lt;Input!$E$80,IF($A180&lt;Input!$D$80,Input!$C$81,Input!$D$81),Input!$E$81),Input!$F$81),Input!$G$81),Input!$H$81)</f>
        <v>0.9</v>
      </c>
      <c r="AM180" s="60">
        <f t="shared" si="87"/>
        <v>0</v>
      </c>
      <c r="AN180" s="60">
        <f t="shared" si="107"/>
        <v>31</v>
      </c>
      <c r="AO180" s="60">
        <f t="shared" si="88"/>
        <v>0</v>
      </c>
      <c r="AP180" s="60">
        <f>ROUND(AO180*AN180*Input!$C$3/365,0)</f>
        <v>0</v>
      </c>
      <c r="AQ180" s="61">
        <f>IF($A180&lt;=Input!$C$6,0,IF('120M'!AM180&lt;'120M'!AO180,'120M'!AM180-AP180,'120M'!AO180))</f>
        <v>0</v>
      </c>
      <c r="AR180" s="61">
        <f t="shared" si="89"/>
        <v>0</v>
      </c>
      <c r="AS180" s="60">
        <f t="shared" si="90"/>
        <v>0</v>
      </c>
      <c r="AT180" s="193"/>
      <c r="AU180" s="169">
        <v>176</v>
      </c>
      <c r="AV180" s="1">
        <f t="shared" si="108"/>
        <v>50875</v>
      </c>
      <c r="AW180" s="60">
        <f>IF($X180&lt;Input!$H$88,IF($X180&lt;Input!$G$88,IF($X180&lt;Input!$F$88,IF($X180&lt;Input!$E$88,IF($X180&lt;Input!$D$88,Input!$C$94,Input!$D$94),Input!$E$94),Input!$F$94),Input!$G$94),Input!$H$94)</f>
        <v>0</v>
      </c>
      <c r="AX180" s="190">
        <f>IF($A180&lt;Input!$H$95,IF($A180&lt;Input!$G$95,IF($A180&lt;Input!$F$95,IF($A180&lt;Input!$E$95,IF($A180&lt;Input!$D$95,Input!$C$96,Input!$D$96),Input!$E$96),Input!$F$96),Input!$G$96),Input!$H$96)</f>
        <v>0.9</v>
      </c>
      <c r="AY180" s="60">
        <f t="shared" si="91"/>
        <v>0</v>
      </c>
      <c r="AZ180" s="60">
        <f t="shared" si="109"/>
        <v>31</v>
      </c>
      <c r="BA180" s="60">
        <f t="shared" si="92"/>
        <v>0</v>
      </c>
      <c r="BB180" s="60">
        <f>ROUND(BA180*AZ180*Input!$C$3/365,0)</f>
        <v>0</v>
      </c>
      <c r="BC180" s="61">
        <f>IF($A180&lt;=Input!$C$6,0,IF('120M'!AY180&lt;'120M'!BA180,'120M'!AY180-BB180,'120M'!BA180))</f>
        <v>0</v>
      </c>
      <c r="BD180" s="61">
        <f t="shared" si="93"/>
        <v>0</v>
      </c>
      <c r="BE180" s="60">
        <f t="shared" si="94"/>
        <v>0</v>
      </c>
      <c r="BF180" s="193"/>
      <c r="BG180" s="169">
        <v>176</v>
      </c>
      <c r="BH180" s="1">
        <f t="shared" si="110"/>
        <v>50875</v>
      </c>
      <c r="BI180" s="60">
        <f>IF($X180&lt;Input!$H$103,IF($X180&lt;Input!$G$103,IF($X180&lt;Input!$F$103,IF($X180&lt;Input!$E$103,IF($X180&lt;Input!$D$103,Input!$C$109,Input!$D$109),Input!$E$109),Input!$F$109),Input!$G$109),Input!$H$109)</f>
        <v>0</v>
      </c>
      <c r="BJ180" s="190">
        <f>IF($A180&lt;Input!$H$110,IF($A180&lt;Input!$G$110,IF($A180&lt;Input!$F$110,IF($A180&lt;Input!$E$110,IF($A180&lt;Input!$D$110,Input!$C$111,Input!$D$111),Input!$E$111),Input!$F$111),Input!$G$111),Input!$H$111)</f>
        <v>0.9</v>
      </c>
      <c r="BK180" s="60">
        <f t="shared" si="95"/>
        <v>0</v>
      </c>
      <c r="BL180" s="60">
        <f t="shared" si="111"/>
        <v>31</v>
      </c>
      <c r="BM180" s="60">
        <f t="shared" si="96"/>
        <v>0</v>
      </c>
      <c r="BN180" s="60">
        <f>ROUND(BM180*BL180*Input!$C$3/365,0)</f>
        <v>0</v>
      </c>
      <c r="BO180" s="61">
        <f>IF($A180&lt;=Input!$C$6,0,IF('120M'!BK180&lt;'120M'!BM180,'120M'!BK180-BN180,'120M'!BM180))</f>
        <v>0</v>
      </c>
      <c r="BP180" s="61">
        <f t="shared" si="97"/>
        <v>0</v>
      </c>
      <c r="BQ180" s="60">
        <f t="shared" si="98"/>
        <v>0</v>
      </c>
      <c r="BR180" s="198"/>
    </row>
    <row r="181" spans="1:70" x14ac:dyDescent="0.25">
      <c r="A181" s="169">
        <v>177</v>
      </c>
      <c r="B181" s="1">
        <f t="shared" si="99"/>
        <v>50905</v>
      </c>
      <c r="C181" s="60">
        <f t="shared" si="77"/>
        <v>33127052.878124986</v>
      </c>
      <c r="D181" s="60">
        <f t="shared" si="78"/>
        <v>29814347.590312488</v>
      </c>
      <c r="E181" s="60">
        <f t="shared" si="100"/>
        <v>30</v>
      </c>
      <c r="F181" s="60">
        <f t="shared" si="101"/>
        <v>0</v>
      </c>
      <c r="G181" s="60">
        <f>ROUND(F181*E181*Input!$C$3/365,0)</f>
        <v>0</v>
      </c>
      <c r="H181" s="60">
        <f>IF($A181&lt;=Input!$C$6,0,IF('120M'!D181&lt;'120M'!F181,'120M'!D181-G181,'120M'!F181))</f>
        <v>0</v>
      </c>
      <c r="I181" s="60">
        <f t="shared" si="102"/>
        <v>0</v>
      </c>
      <c r="J181" s="60">
        <f t="shared" si="103"/>
        <v>0</v>
      </c>
      <c r="K181" s="202">
        <f>J181/Input!$K$5</f>
        <v>0</v>
      </c>
      <c r="L181" s="232"/>
      <c r="M181" s="60">
        <f>IF($B181&lt;Input!$H$43,IF($B181&lt;Input!$G$43,IF($B181&lt;Input!$F$43,IF($B181&lt;Input!$E$43,IF($B181&lt;Input!$D$43,Input!$C$49,Input!$D$49),Input!$E$49),Input!$F$49),Input!$G$49),Input!$H$49)</f>
        <v>33127052.878124986</v>
      </c>
      <c r="N181" s="190">
        <f>IF($A181&lt;Input!$H$50,IF($A181&lt;Input!$G$50,IF($A181&lt;Input!$F$50,IF($A181&lt;Input!$E$50,IF($A181&lt;Input!$D$50,Input!$C$51,Input!$D$51),Input!$E$51),Input!$F$51),Input!$G$51),Input!$H$51)</f>
        <v>0.9</v>
      </c>
      <c r="O181" s="60">
        <f t="shared" si="112"/>
        <v>29814347.590312488</v>
      </c>
      <c r="P181" s="60">
        <f t="shared" si="113"/>
        <v>30</v>
      </c>
      <c r="Q181" s="60">
        <f t="shared" si="80"/>
        <v>0</v>
      </c>
      <c r="R181" s="60">
        <f>ROUND(Q181*$P181*Input!$C$3/365,0)</f>
        <v>0</v>
      </c>
      <c r="S181" s="60">
        <f>IF(A181&lt;=Input!$C$6,0,IF('120M'!O181&lt;'120M'!Q181,'120M'!O181-R181,'120M'!Q181))</f>
        <v>0</v>
      </c>
      <c r="T181" s="60">
        <f t="shared" si="81"/>
        <v>0</v>
      </c>
      <c r="U181" s="60">
        <f t="shared" si="82"/>
        <v>0</v>
      </c>
      <c r="V181" s="193"/>
      <c r="W181" s="169">
        <v>177</v>
      </c>
      <c r="X181" s="1">
        <f t="shared" si="104"/>
        <v>50905</v>
      </c>
      <c r="Y181" s="60">
        <f>IF($X181&lt;Input!$H$58,IF($X181&lt;Input!$G$58,IF($X181&lt;Input!$F$58,IF($X181&lt;Input!$E$58,IF($X181&lt;Input!$D$58,Input!$C$64,Input!$D$64),Input!$E$64),Input!$F$64),Input!$G$64),Input!$H$64)</f>
        <v>0</v>
      </c>
      <c r="Z181" s="190">
        <f>IF($A181&lt;Input!$H$65,IF($A181&lt;Input!$G$65,IF($A181&lt;Input!$F$65,IF($A181&lt;Input!$E$65,IF($A181&lt;Input!$D$65,Input!$C$66,Input!$D$66),Input!$E$66),Input!$F$66),Input!$G$66),Input!$H$66)</f>
        <v>0.9</v>
      </c>
      <c r="AA181" s="60">
        <f t="shared" si="83"/>
        <v>0</v>
      </c>
      <c r="AB181" s="60">
        <f t="shared" si="105"/>
        <v>30</v>
      </c>
      <c r="AC181" s="60">
        <f t="shared" si="84"/>
        <v>0</v>
      </c>
      <c r="AD181" s="60">
        <f>ROUND(AC181*AB181*Input!$C$3/365,0)</f>
        <v>0</v>
      </c>
      <c r="AE181" s="61">
        <f>IF($A181&lt;=Input!$C$6,0,IF('120M'!AA181&lt;'120M'!AC181,'120M'!AA181-AD181,'120M'!AC181))</f>
        <v>0</v>
      </c>
      <c r="AF181" s="61">
        <f t="shared" si="85"/>
        <v>0</v>
      </c>
      <c r="AG181" s="60">
        <f t="shared" si="86"/>
        <v>0</v>
      </c>
      <c r="AH181" s="193"/>
      <c r="AI181" s="169">
        <v>177</v>
      </c>
      <c r="AJ181" s="1">
        <f t="shared" si="106"/>
        <v>50905</v>
      </c>
      <c r="AK181" s="60">
        <f>IF($X181&lt;Input!$H$73,IF($X181&lt;Input!$G$73,IF($X181&lt;Input!$F$73,IF($X181&lt;Input!$E$73,IF($X181&lt;Input!$D$73,Input!$C$79,Input!$D$79),Input!$E$79),Input!$F$79),Input!$G$79),Input!$H$79)</f>
        <v>0</v>
      </c>
      <c r="AL181" s="190">
        <f>IF($A181&lt;Input!$H$80,IF($A181&lt;Input!$G$80,IF($A181&lt;Input!$F$80,IF($A181&lt;Input!$E$80,IF($A181&lt;Input!$D$80,Input!$C$81,Input!$D$81),Input!$E$81),Input!$F$81),Input!$G$81),Input!$H$81)</f>
        <v>0.9</v>
      </c>
      <c r="AM181" s="60">
        <f t="shared" si="87"/>
        <v>0</v>
      </c>
      <c r="AN181" s="60">
        <f t="shared" si="107"/>
        <v>30</v>
      </c>
      <c r="AO181" s="60">
        <f t="shared" si="88"/>
        <v>0</v>
      </c>
      <c r="AP181" s="60">
        <f>ROUND(AO181*AN181*Input!$C$3/365,0)</f>
        <v>0</v>
      </c>
      <c r="AQ181" s="61">
        <f>IF($A181&lt;=Input!$C$6,0,IF('120M'!AM181&lt;'120M'!AO181,'120M'!AM181-AP181,'120M'!AO181))</f>
        <v>0</v>
      </c>
      <c r="AR181" s="61">
        <f t="shared" si="89"/>
        <v>0</v>
      </c>
      <c r="AS181" s="60">
        <f t="shared" si="90"/>
        <v>0</v>
      </c>
      <c r="AT181" s="193"/>
      <c r="AU181" s="169">
        <v>177</v>
      </c>
      <c r="AV181" s="1">
        <f t="shared" si="108"/>
        <v>50905</v>
      </c>
      <c r="AW181" s="60">
        <f>IF($X181&lt;Input!$H$88,IF($X181&lt;Input!$G$88,IF($X181&lt;Input!$F$88,IF($X181&lt;Input!$E$88,IF($X181&lt;Input!$D$88,Input!$C$94,Input!$D$94),Input!$E$94),Input!$F$94),Input!$G$94),Input!$H$94)</f>
        <v>0</v>
      </c>
      <c r="AX181" s="190">
        <f>IF($A181&lt;Input!$H$95,IF($A181&lt;Input!$G$95,IF($A181&lt;Input!$F$95,IF($A181&lt;Input!$E$95,IF($A181&lt;Input!$D$95,Input!$C$96,Input!$D$96),Input!$E$96),Input!$F$96),Input!$G$96),Input!$H$96)</f>
        <v>0.9</v>
      </c>
      <c r="AY181" s="60">
        <f t="shared" si="91"/>
        <v>0</v>
      </c>
      <c r="AZ181" s="60">
        <f t="shared" si="109"/>
        <v>30</v>
      </c>
      <c r="BA181" s="60">
        <f t="shared" si="92"/>
        <v>0</v>
      </c>
      <c r="BB181" s="60">
        <f>ROUND(BA181*AZ181*Input!$C$3/365,0)</f>
        <v>0</v>
      </c>
      <c r="BC181" s="61">
        <f>IF($A181&lt;=Input!$C$6,0,IF('120M'!AY181&lt;'120M'!BA181,'120M'!AY181-BB181,'120M'!BA181))</f>
        <v>0</v>
      </c>
      <c r="BD181" s="61">
        <f t="shared" si="93"/>
        <v>0</v>
      </c>
      <c r="BE181" s="60">
        <f t="shared" si="94"/>
        <v>0</v>
      </c>
      <c r="BF181" s="193"/>
      <c r="BG181" s="169">
        <v>177</v>
      </c>
      <c r="BH181" s="1">
        <f t="shared" si="110"/>
        <v>50905</v>
      </c>
      <c r="BI181" s="60">
        <f>IF($X181&lt;Input!$H$103,IF($X181&lt;Input!$G$103,IF($X181&lt;Input!$F$103,IF($X181&lt;Input!$E$103,IF($X181&lt;Input!$D$103,Input!$C$109,Input!$D$109),Input!$E$109),Input!$F$109),Input!$G$109),Input!$H$109)</f>
        <v>0</v>
      </c>
      <c r="BJ181" s="190">
        <f>IF($A181&lt;Input!$H$110,IF($A181&lt;Input!$G$110,IF($A181&lt;Input!$F$110,IF($A181&lt;Input!$E$110,IF($A181&lt;Input!$D$110,Input!$C$111,Input!$D$111),Input!$E$111),Input!$F$111),Input!$G$111),Input!$H$111)</f>
        <v>0.9</v>
      </c>
      <c r="BK181" s="60">
        <f t="shared" si="95"/>
        <v>0</v>
      </c>
      <c r="BL181" s="60">
        <f t="shared" si="111"/>
        <v>30</v>
      </c>
      <c r="BM181" s="60">
        <f t="shared" si="96"/>
        <v>0</v>
      </c>
      <c r="BN181" s="60">
        <f>ROUND(BM181*BL181*Input!$C$3/365,0)</f>
        <v>0</v>
      </c>
      <c r="BO181" s="61">
        <f>IF($A181&lt;=Input!$C$6,0,IF('120M'!BK181&lt;'120M'!BM181,'120M'!BK181-BN181,'120M'!BM181))</f>
        <v>0</v>
      </c>
      <c r="BP181" s="61">
        <f t="shared" si="97"/>
        <v>0</v>
      </c>
      <c r="BQ181" s="60">
        <f t="shared" si="98"/>
        <v>0</v>
      </c>
      <c r="BR181" s="198"/>
    </row>
    <row r="182" spans="1:70" x14ac:dyDescent="0.25">
      <c r="A182" s="169">
        <v>178</v>
      </c>
      <c r="B182" s="1">
        <f t="shared" si="99"/>
        <v>50936</v>
      </c>
      <c r="C182" s="60">
        <f t="shared" si="77"/>
        <v>33127052.878124986</v>
      </c>
      <c r="D182" s="60">
        <f t="shared" si="78"/>
        <v>29814347.590312488</v>
      </c>
      <c r="E182" s="60">
        <f t="shared" si="100"/>
        <v>31</v>
      </c>
      <c r="F182" s="60">
        <f t="shared" si="101"/>
        <v>0</v>
      </c>
      <c r="G182" s="60">
        <f>ROUND(F182*E182*Input!$C$3/365,0)</f>
        <v>0</v>
      </c>
      <c r="H182" s="60">
        <f>IF($A182&lt;=Input!$C$6,0,IF('120M'!D182&lt;'120M'!F182,'120M'!D182-G182,'120M'!F182))</f>
        <v>0</v>
      </c>
      <c r="I182" s="60">
        <f t="shared" si="102"/>
        <v>0</v>
      </c>
      <c r="J182" s="60">
        <f t="shared" si="103"/>
        <v>0</v>
      </c>
      <c r="K182" s="202">
        <f>J182/Input!$K$5</f>
        <v>0</v>
      </c>
      <c r="L182" s="232"/>
      <c r="M182" s="60">
        <f>IF($B182&lt;Input!$H$43,IF($B182&lt;Input!$G$43,IF($B182&lt;Input!$F$43,IF($B182&lt;Input!$E$43,IF($B182&lt;Input!$D$43,Input!$C$49,Input!$D$49),Input!$E$49),Input!$F$49),Input!$G$49),Input!$H$49)</f>
        <v>33127052.878124986</v>
      </c>
      <c r="N182" s="190">
        <f>IF($A182&lt;Input!$H$50,IF($A182&lt;Input!$G$50,IF($A182&lt;Input!$F$50,IF($A182&lt;Input!$E$50,IF($A182&lt;Input!$D$50,Input!$C$51,Input!$D$51),Input!$E$51),Input!$F$51),Input!$G$51),Input!$H$51)</f>
        <v>0.9</v>
      </c>
      <c r="O182" s="60">
        <f t="shared" si="112"/>
        <v>29814347.590312488</v>
      </c>
      <c r="P182" s="60">
        <f t="shared" si="113"/>
        <v>31</v>
      </c>
      <c r="Q182" s="60">
        <f t="shared" si="80"/>
        <v>0</v>
      </c>
      <c r="R182" s="60">
        <f>ROUND(Q182*$P182*Input!$C$3/365,0)</f>
        <v>0</v>
      </c>
      <c r="S182" s="60">
        <f>IF(A182&lt;=Input!$C$6,0,IF('120M'!O182&lt;'120M'!Q182,'120M'!O182-R182,'120M'!Q182))</f>
        <v>0</v>
      </c>
      <c r="T182" s="60">
        <f t="shared" si="81"/>
        <v>0</v>
      </c>
      <c r="U182" s="60">
        <f t="shared" si="82"/>
        <v>0</v>
      </c>
      <c r="V182" s="193"/>
      <c r="W182" s="169">
        <v>178</v>
      </c>
      <c r="X182" s="1">
        <f t="shared" si="104"/>
        <v>50936</v>
      </c>
      <c r="Y182" s="60">
        <f>IF($X182&lt;Input!$H$58,IF($X182&lt;Input!$G$58,IF($X182&lt;Input!$F$58,IF($X182&lt;Input!$E$58,IF($X182&lt;Input!$D$58,Input!$C$64,Input!$D$64),Input!$E$64),Input!$F$64),Input!$G$64),Input!$H$64)</f>
        <v>0</v>
      </c>
      <c r="Z182" s="190">
        <f>IF($A182&lt;Input!$H$65,IF($A182&lt;Input!$G$65,IF($A182&lt;Input!$F$65,IF($A182&lt;Input!$E$65,IF($A182&lt;Input!$D$65,Input!$C$66,Input!$D$66),Input!$E$66),Input!$F$66),Input!$G$66),Input!$H$66)</f>
        <v>0.9</v>
      </c>
      <c r="AA182" s="60">
        <f t="shared" si="83"/>
        <v>0</v>
      </c>
      <c r="AB182" s="60">
        <f t="shared" si="105"/>
        <v>31</v>
      </c>
      <c r="AC182" s="60">
        <f t="shared" si="84"/>
        <v>0</v>
      </c>
      <c r="AD182" s="60">
        <f>ROUND(AC182*AB182*Input!$C$3/365,0)</f>
        <v>0</v>
      </c>
      <c r="AE182" s="61">
        <f>IF($A182&lt;=Input!$C$6,0,IF('120M'!AA182&lt;'120M'!AC182,'120M'!AA182-AD182,'120M'!AC182))</f>
        <v>0</v>
      </c>
      <c r="AF182" s="61">
        <f t="shared" si="85"/>
        <v>0</v>
      </c>
      <c r="AG182" s="60">
        <f t="shared" si="86"/>
        <v>0</v>
      </c>
      <c r="AH182" s="193"/>
      <c r="AI182" s="169">
        <v>178</v>
      </c>
      <c r="AJ182" s="1">
        <f t="shared" si="106"/>
        <v>50936</v>
      </c>
      <c r="AK182" s="60">
        <f>IF($X182&lt;Input!$H$73,IF($X182&lt;Input!$G$73,IF($X182&lt;Input!$F$73,IF($X182&lt;Input!$E$73,IF($X182&lt;Input!$D$73,Input!$C$79,Input!$D$79),Input!$E$79),Input!$F$79),Input!$G$79),Input!$H$79)</f>
        <v>0</v>
      </c>
      <c r="AL182" s="190">
        <f>IF($A182&lt;Input!$H$80,IF($A182&lt;Input!$G$80,IF($A182&lt;Input!$F$80,IF($A182&lt;Input!$E$80,IF($A182&lt;Input!$D$80,Input!$C$81,Input!$D$81),Input!$E$81),Input!$F$81),Input!$G$81),Input!$H$81)</f>
        <v>0.9</v>
      </c>
      <c r="AM182" s="60">
        <f t="shared" si="87"/>
        <v>0</v>
      </c>
      <c r="AN182" s="60">
        <f t="shared" si="107"/>
        <v>31</v>
      </c>
      <c r="AO182" s="60">
        <f t="shared" si="88"/>
        <v>0</v>
      </c>
      <c r="AP182" s="60">
        <f>ROUND(AO182*AN182*Input!$C$3/365,0)</f>
        <v>0</v>
      </c>
      <c r="AQ182" s="61">
        <f>IF($A182&lt;=Input!$C$6,0,IF('120M'!AM182&lt;'120M'!AO182,'120M'!AM182-AP182,'120M'!AO182))</f>
        <v>0</v>
      </c>
      <c r="AR182" s="61">
        <f t="shared" si="89"/>
        <v>0</v>
      </c>
      <c r="AS182" s="60">
        <f t="shared" si="90"/>
        <v>0</v>
      </c>
      <c r="AT182" s="193"/>
      <c r="AU182" s="169">
        <v>178</v>
      </c>
      <c r="AV182" s="1">
        <f t="shared" si="108"/>
        <v>50936</v>
      </c>
      <c r="AW182" s="60">
        <f>IF($X182&lt;Input!$H$88,IF($X182&lt;Input!$G$88,IF($X182&lt;Input!$F$88,IF($X182&lt;Input!$E$88,IF($X182&lt;Input!$D$88,Input!$C$94,Input!$D$94),Input!$E$94),Input!$F$94),Input!$G$94),Input!$H$94)</f>
        <v>0</v>
      </c>
      <c r="AX182" s="190">
        <f>IF($A182&lt;Input!$H$95,IF($A182&lt;Input!$G$95,IF($A182&lt;Input!$F$95,IF($A182&lt;Input!$E$95,IF($A182&lt;Input!$D$95,Input!$C$96,Input!$D$96),Input!$E$96),Input!$F$96),Input!$G$96),Input!$H$96)</f>
        <v>0.9</v>
      </c>
      <c r="AY182" s="60">
        <f t="shared" si="91"/>
        <v>0</v>
      </c>
      <c r="AZ182" s="60">
        <f t="shared" si="109"/>
        <v>31</v>
      </c>
      <c r="BA182" s="60">
        <f t="shared" si="92"/>
        <v>0</v>
      </c>
      <c r="BB182" s="60">
        <f>ROUND(BA182*AZ182*Input!$C$3/365,0)</f>
        <v>0</v>
      </c>
      <c r="BC182" s="61">
        <f>IF($A182&lt;=Input!$C$6,0,IF('120M'!AY182&lt;'120M'!BA182,'120M'!AY182-BB182,'120M'!BA182))</f>
        <v>0</v>
      </c>
      <c r="BD182" s="61">
        <f t="shared" si="93"/>
        <v>0</v>
      </c>
      <c r="BE182" s="60">
        <f t="shared" si="94"/>
        <v>0</v>
      </c>
      <c r="BF182" s="193"/>
      <c r="BG182" s="169">
        <v>178</v>
      </c>
      <c r="BH182" s="1">
        <f t="shared" si="110"/>
        <v>50936</v>
      </c>
      <c r="BI182" s="60">
        <f>IF($X182&lt;Input!$H$103,IF($X182&lt;Input!$G$103,IF($X182&lt;Input!$F$103,IF($X182&lt;Input!$E$103,IF($X182&lt;Input!$D$103,Input!$C$109,Input!$D$109),Input!$E$109),Input!$F$109),Input!$G$109),Input!$H$109)</f>
        <v>0</v>
      </c>
      <c r="BJ182" s="190">
        <f>IF($A182&lt;Input!$H$110,IF($A182&lt;Input!$G$110,IF($A182&lt;Input!$F$110,IF($A182&lt;Input!$E$110,IF($A182&lt;Input!$D$110,Input!$C$111,Input!$D$111),Input!$E$111),Input!$F$111),Input!$G$111),Input!$H$111)</f>
        <v>0.9</v>
      </c>
      <c r="BK182" s="60">
        <f t="shared" si="95"/>
        <v>0</v>
      </c>
      <c r="BL182" s="60">
        <f t="shared" si="111"/>
        <v>31</v>
      </c>
      <c r="BM182" s="60">
        <f t="shared" si="96"/>
        <v>0</v>
      </c>
      <c r="BN182" s="60">
        <f>ROUND(BM182*BL182*Input!$C$3/365,0)</f>
        <v>0</v>
      </c>
      <c r="BO182" s="61">
        <f>IF($A182&lt;=Input!$C$6,0,IF('120M'!BK182&lt;'120M'!BM182,'120M'!BK182-BN182,'120M'!BM182))</f>
        <v>0</v>
      </c>
      <c r="BP182" s="61">
        <f t="shared" si="97"/>
        <v>0</v>
      </c>
      <c r="BQ182" s="60">
        <f t="shared" si="98"/>
        <v>0</v>
      </c>
      <c r="BR182" s="198"/>
    </row>
    <row r="183" spans="1:70" x14ac:dyDescent="0.25">
      <c r="A183" s="169">
        <v>179</v>
      </c>
      <c r="B183" s="1">
        <f t="shared" si="99"/>
        <v>50966</v>
      </c>
      <c r="C183" s="60">
        <f t="shared" si="77"/>
        <v>33127052.878124986</v>
      </c>
      <c r="D183" s="60">
        <f t="shared" si="78"/>
        <v>29814347.590312488</v>
      </c>
      <c r="E183" s="60">
        <f t="shared" si="100"/>
        <v>30</v>
      </c>
      <c r="F183" s="60">
        <f t="shared" si="101"/>
        <v>0</v>
      </c>
      <c r="G183" s="60">
        <f>ROUND(F183*E183*Input!$C$3/365,0)</f>
        <v>0</v>
      </c>
      <c r="H183" s="60">
        <f>IF($A183&lt;=Input!$C$6,0,IF('120M'!D183&lt;'120M'!F183,'120M'!D183-G183,'120M'!F183))</f>
        <v>0</v>
      </c>
      <c r="I183" s="60">
        <f t="shared" si="102"/>
        <v>0</v>
      </c>
      <c r="J183" s="60">
        <f t="shared" si="103"/>
        <v>0</v>
      </c>
      <c r="K183" s="202">
        <f>J183/Input!$K$5</f>
        <v>0</v>
      </c>
      <c r="L183" s="232"/>
      <c r="M183" s="60">
        <f>IF($B183&lt;Input!$H$43,IF($B183&lt;Input!$G$43,IF($B183&lt;Input!$F$43,IF($B183&lt;Input!$E$43,IF($B183&lt;Input!$D$43,Input!$C$49,Input!$D$49),Input!$E$49),Input!$F$49),Input!$G$49),Input!$H$49)</f>
        <v>33127052.878124986</v>
      </c>
      <c r="N183" s="190">
        <f>IF($A183&lt;Input!$H$50,IF($A183&lt;Input!$G$50,IF($A183&lt;Input!$F$50,IF($A183&lt;Input!$E$50,IF($A183&lt;Input!$D$50,Input!$C$51,Input!$D$51),Input!$E$51),Input!$F$51),Input!$G$51),Input!$H$51)</f>
        <v>0.9</v>
      </c>
      <c r="O183" s="60">
        <f t="shared" si="112"/>
        <v>29814347.590312488</v>
      </c>
      <c r="P183" s="60">
        <f t="shared" si="113"/>
        <v>30</v>
      </c>
      <c r="Q183" s="60">
        <f t="shared" si="80"/>
        <v>0</v>
      </c>
      <c r="R183" s="60">
        <f>ROUND(Q183*$P183*Input!$C$3/365,0)</f>
        <v>0</v>
      </c>
      <c r="S183" s="60">
        <f>IF(A183&lt;=Input!$C$6,0,IF('120M'!O183&lt;'120M'!Q183,'120M'!O183-R183,'120M'!Q183))</f>
        <v>0</v>
      </c>
      <c r="T183" s="60">
        <f t="shared" si="81"/>
        <v>0</v>
      </c>
      <c r="U183" s="60">
        <f t="shared" si="82"/>
        <v>0</v>
      </c>
      <c r="V183" s="193"/>
      <c r="W183" s="169">
        <v>179</v>
      </c>
      <c r="X183" s="1">
        <f t="shared" si="104"/>
        <v>50966</v>
      </c>
      <c r="Y183" s="60">
        <f>IF($X183&lt;Input!$H$58,IF($X183&lt;Input!$G$58,IF($X183&lt;Input!$F$58,IF($X183&lt;Input!$E$58,IF($X183&lt;Input!$D$58,Input!$C$64,Input!$D$64),Input!$E$64),Input!$F$64),Input!$G$64),Input!$H$64)</f>
        <v>0</v>
      </c>
      <c r="Z183" s="190">
        <f>IF($A183&lt;Input!$H$65,IF($A183&lt;Input!$G$65,IF($A183&lt;Input!$F$65,IF($A183&lt;Input!$E$65,IF($A183&lt;Input!$D$65,Input!$C$66,Input!$D$66),Input!$E$66),Input!$F$66),Input!$G$66),Input!$H$66)</f>
        <v>0.9</v>
      </c>
      <c r="AA183" s="60">
        <f t="shared" si="83"/>
        <v>0</v>
      </c>
      <c r="AB183" s="60">
        <f t="shared" si="105"/>
        <v>30</v>
      </c>
      <c r="AC183" s="60">
        <f t="shared" si="84"/>
        <v>0</v>
      </c>
      <c r="AD183" s="60">
        <f>ROUND(AC183*AB183*Input!$C$3/365,0)</f>
        <v>0</v>
      </c>
      <c r="AE183" s="61">
        <f>IF($A183&lt;=Input!$C$6,0,IF('120M'!AA183&lt;'120M'!AC183,'120M'!AA183-AD183,'120M'!AC183))</f>
        <v>0</v>
      </c>
      <c r="AF183" s="61">
        <f t="shared" si="85"/>
        <v>0</v>
      </c>
      <c r="AG183" s="60">
        <f t="shared" si="86"/>
        <v>0</v>
      </c>
      <c r="AH183" s="193"/>
      <c r="AI183" s="169">
        <v>179</v>
      </c>
      <c r="AJ183" s="1">
        <f t="shared" si="106"/>
        <v>50966</v>
      </c>
      <c r="AK183" s="60">
        <f>IF($X183&lt;Input!$H$73,IF($X183&lt;Input!$G$73,IF($X183&lt;Input!$F$73,IF($X183&lt;Input!$E$73,IF($X183&lt;Input!$D$73,Input!$C$79,Input!$D$79),Input!$E$79),Input!$F$79),Input!$G$79),Input!$H$79)</f>
        <v>0</v>
      </c>
      <c r="AL183" s="190">
        <f>IF($A183&lt;Input!$H$80,IF($A183&lt;Input!$G$80,IF($A183&lt;Input!$F$80,IF($A183&lt;Input!$E$80,IF($A183&lt;Input!$D$80,Input!$C$81,Input!$D$81),Input!$E$81),Input!$F$81),Input!$G$81),Input!$H$81)</f>
        <v>0.9</v>
      </c>
      <c r="AM183" s="60">
        <f t="shared" si="87"/>
        <v>0</v>
      </c>
      <c r="AN183" s="60">
        <f t="shared" si="107"/>
        <v>30</v>
      </c>
      <c r="AO183" s="60">
        <f t="shared" si="88"/>
        <v>0</v>
      </c>
      <c r="AP183" s="60">
        <f>ROUND(AO183*AN183*Input!$C$3/365,0)</f>
        <v>0</v>
      </c>
      <c r="AQ183" s="61">
        <f>IF($A183&lt;=Input!$C$6,0,IF('120M'!AM183&lt;'120M'!AO183,'120M'!AM183-AP183,'120M'!AO183))</f>
        <v>0</v>
      </c>
      <c r="AR183" s="61">
        <f t="shared" si="89"/>
        <v>0</v>
      </c>
      <c r="AS183" s="60">
        <f t="shared" si="90"/>
        <v>0</v>
      </c>
      <c r="AT183" s="193"/>
      <c r="AU183" s="169">
        <v>179</v>
      </c>
      <c r="AV183" s="1">
        <f t="shared" si="108"/>
        <v>50966</v>
      </c>
      <c r="AW183" s="60">
        <f>IF($X183&lt;Input!$H$88,IF($X183&lt;Input!$G$88,IF($X183&lt;Input!$F$88,IF($X183&lt;Input!$E$88,IF($X183&lt;Input!$D$88,Input!$C$94,Input!$D$94),Input!$E$94),Input!$F$94),Input!$G$94),Input!$H$94)</f>
        <v>0</v>
      </c>
      <c r="AX183" s="190">
        <f>IF($A183&lt;Input!$H$95,IF($A183&lt;Input!$G$95,IF($A183&lt;Input!$F$95,IF($A183&lt;Input!$E$95,IF($A183&lt;Input!$D$95,Input!$C$96,Input!$D$96),Input!$E$96),Input!$F$96),Input!$G$96),Input!$H$96)</f>
        <v>0.9</v>
      </c>
      <c r="AY183" s="60">
        <f t="shared" si="91"/>
        <v>0</v>
      </c>
      <c r="AZ183" s="60">
        <f t="shared" si="109"/>
        <v>30</v>
      </c>
      <c r="BA183" s="60">
        <f t="shared" si="92"/>
        <v>0</v>
      </c>
      <c r="BB183" s="60">
        <f>ROUND(BA183*AZ183*Input!$C$3/365,0)</f>
        <v>0</v>
      </c>
      <c r="BC183" s="61">
        <f>IF($A183&lt;=Input!$C$6,0,IF('120M'!AY183&lt;'120M'!BA183,'120M'!AY183-BB183,'120M'!BA183))</f>
        <v>0</v>
      </c>
      <c r="BD183" s="61">
        <f t="shared" si="93"/>
        <v>0</v>
      </c>
      <c r="BE183" s="60">
        <f t="shared" si="94"/>
        <v>0</v>
      </c>
      <c r="BF183" s="193"/>
      <c r="BG183" s="169">
        <v>179</v>
      </c>
      <c r="BH183" s="1">
        <f t="shared" si="110"/>
        <v>50966</v>
      </c>
      <c r="BI183" s="60">
        <f>IF($X183&lt;Input!$H$103,IF($X183&lt;Input!$G$103,IF($X183&lt;Input!$F$103,IF($X183&lt;Input!$E$103,IF($X183&lt;Input!$D$103,Input!$C$109,Input!$D$109),Input!$E$109),Input!$F$109),Input!$G$109),Input!$H$109)</f>
        <v>0</v>
      </c>
      <c r="BJ183" s="190">
        <f>IF($A183&lt;Input!$H$110,IF($A183&lt;Input!$G$110,IF($A183&lt;Input!$F$110,IF($A183&lt;Input!$E$110,IF($A183&lt;Input!$D$110,Input!$C$111,Input!$D$111),Input!$E$111),Input!$F$111),Input!$G$111),Input!$H$111)</f>
        <v>0.9</v>
      </c>
      <c r="BK183" s="60">
        <f t="shared" si="95"/>
        <v>0</v>
      </c>
      <c r="BL183" s="60">
        <f t="shared" si="111"/>
        <v>30</v>
      </c>
      <c r="BM183" s="60">
        <f t="shared" si="96"/>
        <v>0</v>
      </c>
      <c r="BN183" s="60">
        <f>ROUND(BM183*BL183*Input!$C$3/365,0)</f>
        <v>0</v>
      </c>
      <c r="BO183" s="61">
        <f>IF($A183&lt;=Input!$C$6,0,IF('120M'!BK183&lt;'120M'!BM183,'120M'!BK183-BN183,'120M'!BM183))</f>
        <v>0</v>
      </c>
      <c r="BP183" s="61">
        <f t="shared" si="97"/>
        <v>0</v>
      </c>
      <c r="BQ183" s="60">
        <f t="shared" si="98"/>
        <v>0</v>
      </c>
      <c r="BR183" s="198"/>
    </row>
    <row r="184" spans="1:70" x14ac:dyDescent="0.25">
      <c r="A184" s="169">
        <v>180</v>
      </c>
      <c r="B184" s="1">
        <f t="shared" si="99"/>
        <v>50997</v>
      </c>
      <c r="C184" s="60">
        <f t="shared" si="77"/>
        <v>33127052.878124986</v>
      </c>
      <c r="D184" s="60">
        <f t="shared" si="78"/>
        <v>29814347.590312488</v>
      </c>
      <c r="E184" s="60">
        <f t="shared" si="100"/>
        <v>31</v>
      </c>
      <c r="F184" s="60">
        <f t="shared" si="101"/>
        <v>0</v>
      </c>
      <c r="G184" s="60">
        <f>ROUND(F184*E184*Input!$C$3/365,0)</f>
        <v>0</v>
      </c>
      <c r="H184" s="60">
        <f>IF($A184&lt;=Input!$C$6,0,IF('120M'!D184&lt;'120M'!F184,'120M'!D184-G184,'120M'!F184))</f>
        <v>0</v>
      </c>
      <c r="I184" s="60">
        <f t="shared" si="102"/>
        <v>0</v>
      </c>
      <c r="J184" s="60">
        <f t="shared" si="103"/>
        <v>0</v>
      </c>
      <c r="K184" s="202">
        <f>J184/Input!$K$5</f>
        <v>0</v>
      </c>
      <c r="L184" s="232"/>
      <c r="M184" s="60">
        <f>IF($B184&lt;Input!$H$43,IF($B184&lt;Input!$G$43,IF($B184&lt;Input!$F$43,IF($B184&lt;Input!$E$43,IF($B184&lt;Input!$D$43,Input!$C$49,Input!$D$49),Input!$E$49),Input!$F$49),Input!$G$49),Input!$H$49)</f>
        <v>33127052.878124986</v>
      </c>
      <c r="N184" s="190">
        <f>IF($A184&lt;Input!$H$50,IF($A184&lt;Input!$G$50,IF($A184&lt;Input!$F$50,IF($A184&lt;Input!$E$50,IF($A184&lt;Input!$D$50,Input!$C$51,Input!$D$51),Input!$E$51),Input!$F$51),Input!$G$51),Input!$H$51)</f>
        <v>0.9</v>
      </c>
      <c r="O184" s="60">
        <f t="shared" si="112"/>
        <v>29814347.590312488</v>
      </c>
      <c r="P184" s="60">
        <f t="shared" si="113"/>
        <v>31</v>
      </c>
      <c r="Q184" s="60">
        <f t="shared" si="80"/>
        <v>0</v>
      </c>
      <c r="R184" s="60">
        <f>ROUND(Q184*$P184*Input!$C$3/365,0)</f>
        <v>0</v>
      </c>
      <c r="S184" s="60">
        <f>IF(A184&lt;=Input!$C$6,0,IF('120M'!O184&lt;'120M'!Q184,'120M'!O184-R184,'120M'!Q184))</f>
        <v>0</v>
      </c>
      <c r="T184" s="60">
        <f t="shared" si="81"/>
        <v>0</v>
      </c>
      <c r="U184" s="60">
        <f t="shared" si="82"/>
        <v>0</v>
      </c>
      <c r="V184" s="193"/>
      <c r="W184" s="169">
        <v>180</v>
      </c>
      <c r="X184" s="1">
        <f t="shared" si="104"/>
        <v>50997</v>
      </c>
      <c r="Y184" s="60">
        <f>IF($X184&lt;Input!$H$58,IF($X184&lt;Input!$G$58,IF($X184&lt;Input!$F$58,IF($X184&lt;Input!$E$58,IF($X184&lt;Input!$D$58,Input!$C$64,Input!$D$64),Input!$E$64),Input!$F$64),Input!$G$64),Input!$H$64)</f>
        <v>0</v>
      </c>
      <c r="Z184" s="190">
        <f>IF($A184&lt;Input!$H$65,IF($A184&lt;Input!$G$65,IF($A184&lt;Input!$F$65,IF($A184&lt;Input!$E$65,IF($A184&lt;Input!$D$65,Input!$C$66,Input!$D$66),Input!$E$66),Input!$F$66),Input!$G$66),Input!$H$66)</f>
        <v>0.9</v>
      </c>
      <c r="AA184" s="60">
        <f t="shared" si="83"/>
        <v>0</v>
      </c>
      <c r="AB184" s="60">
        <f t="shared" si="105"/>
        <v>31</v>
      </c>
      <c r="AC184" s="60">
        <f t="shared" si="84"/>
        <v>0</v>
      </c>
      <c r="AD184" s="60">
        <f>ROUND(AC184*AB184*Input!$C$3/365,0)</f>
        <v>0</v>
      </c>
      <c r="AE184" s="61">
        <f>IF($A184&lt;=Input!$C$6,0,IF('120M'!AA184&lt;'120M'!AC184,'120M'!AA184-AD184,'120M'!AC184))</f>
        <v>0</v>
      </c>
      <c r="AF184" s="61">
        <f t="shared" si="85"/>
        <v>0</v>
      </c>
      <c r="AG184" s="60">
        <f t="shared" si="86"/>
        <v>0</v>
      </c>
      <c r="AH184" s="193"/>
      <c r="AI184" s="169">
        <v>180</v>
      </c>
      <c r="AJ184" s="1">
        <f t="shared" si="106"/>
        <v>50997</v>
      </c>
      <c r="AK184" s="60">
        <f>IF($X184&lt;Input!$H$73,IF($X184&lt;Input!$G$73,IF($X184&lt;Input!$F$73,IF($X184&lt;Input!$E$73,IF($X184&lt;Input!$D$73,Input!$C$79,Input!$D$79),Input!$E$79),Input!$F$79),Input!$G$79),Input!$H$79)</f>
        <v>0</v>
      </c>
      <c r="AL184" s="190">
        <f>IF($A184&lt;Input!$H$80,IF($A184&lt;Input!$G$80,IF($A184&lt;Input!$F$80,IF($A184&lt;Input!$E$80,IF($A184&lt;Input!$D$80,Input!$C$81,Input!$D$81),Input!$E$81),Input!$F$81),Input!$G$81),Input!$H$81)</f>
        <v>0.9</v>
      </c>
      <c r="AM184" s="60">
        <f t="shared" si="87"/>
        <v>0</v>
      </c>
      <c r="AN184" s="60">
        <f t="shared" si="107"/>
        <v>31</v>
      </c>
      <c r="AO184" s="60">
        <f t="shared" si="88"/>
        <v>0</v>
      </c>
      <c r="AP184" s="60">
        <f>ROUND(AO184*AN184*Input!$C$3/365,0)</f>
        <v>0</v>
      </c>
      <c r="AQ184" s="61">
        <f>IF($A184&lt;=Input!$C$6,0,IF('120M'!AM184&lt;'120M'!AO184,'120M'!AM184-AP184,'120M'!AO184))</f>
        <v>0</v>
      </c>
      <c r="AR184" s="61">
        <f t="shared" si="89"/>
        <v>0</v>
      </c>
      <c r="AS184" s="60">
        <f t="shared" si="90"/>
        <v>0</v>
      </c>
      <c r="AT184" s="193"/>
      <c r="AU184" s="169">
        <v>180</v>
      </c>
      <c r="AV184" s="1">
        <f t="shared" si="108"/>
        <v>50997</v>
      </c>
      <c r="AW184" s="60">
        <f>IF($X184&lt;Input!$H$88,IF($X184&lt;Input!$G$88,IF($X184&lt;Input!$F$88,IF($X184&lt;Input!$E$88,IF($X184&lt;Input!$D$88,Input!$C$94,Input!$D$94),Input!$E$94),Input!$F$94),Input!$G$94),Input!$H$94)</f>
        <v>0</v>
      </c>
      <c r="AX184" s="190">
        <f>IF($A184&lt;Input!$H$95,IF($A184&lt;Input!$G$95,IF($A184&lt;Input!$F$95,IF($A184&lt;Input!$E$95,IF($A184&lt;Input!$D$95,Input!$C$96,Input!$D$96),Input!$E$96),Input!$F$96),Input!$G$96),Input!$H$96)</f>
        <v>0.9</v>
      </c>
      <c r="AY184" s="60">
        <f t="shared" si="91"/>
        <v>0</v>
      </c>
      <c r="AZ184" s="60">
        <f t="shared" si="109"/>
        <v>31</v>
      </c>
      <c r="BA184" s="60">
        <f t="shared" si="92"/>
        <v>0</v>
      </c>
      <c r="BB184" s="60">
        <f>ROUND(BA184*AZ184*Input!$C$3/365,0)</f>
        <v>0</v>
      </c>
      <c r="BC184" s="61">
        <f>IF($A184&lt;=Input!$C$6,0,IF('120M'!AY184&lt;'120M'!BA184,'120M'!AY184-BB184,'120M'!BA184))</f>
        <v>0</v>
      </c>
      <c r="BD184" s="61">
        <f t="shared" si="93"/>
        <v>0</v>
      </c>
      <c r="BE184" s="60">
        <f t="shared" si="94"/>
        <v>0</v>
      </c>
      <c r="BF184" s="193"/>
      <c r="BG184" s="169">
        <v>180</v>
      </c>
      <c r="BH184" s="1">
        <f t="shared" si="110"/>
        <v>50997</v>
      </c>
      <c r="BI184" s="60">
        <f>IF($X184&lt;Input!$H$103,IF($X184&lt;Input!$G$103,IF($X184&lt;Input!$F$103,IF($X184&lt;Input!$E$103,IF($X184&lt;Input!$D$103,Input!$C$109,Input!$D$109),Input!$E$109),Input!$F$109),Input!$G$109),Input!$H$109)</f>
        <v>0</v>
      </c>
      <c r="BJ184" s="190">
        <f>IF($A184&lt;Input!$H$110,IF($A184&lt;Input!$G$110,IF($A184&lt;Input!$F$110,IF($A184&lt;Input!$E$110,IF($A184&lt;Input!$D$110,Input!$C$111,Input!$D$111),Input!$E$111),Input!$F$111),Input!$G$111),Input!$H$111)</f>
        <v>0.9</v>
      </c>
      <c r="BK184" s="60">
        <f t="shared" si="95"/>
        <v>0</v>
      </c>
      <c r="BL184" s="60">
        <f t="shared" si="111"/>
        <v>31</v>
      </c>
      <c r="BM184" s="60">
        <f t="shared" si="96"/>
        <v>0</v>
      </c>
      <c r="BN184" s="60">
        <f>ROUND(BM184*BL184*Input!$C$3/365,0)</f>
        <v>0</v>
      </c>
      <c r="BO184" s="61">
        <f>IF($A184&lt;=Input!$C$6,0,IF('120M'!BK184&lt;'120M'!BM184,'120M'!BK184-BN184,'120M'!BM184))</f>
        <v>0</v>
      </c>
      <c r="BP184" s="61">
        <f t="shared" si="97"/>
        <v>0</v>
      </c>
      <c r="BQ184" s="60">
        <f t="shared" si="98"/>
        <v>0</v>
      </c>
      <c r="BR184" s="198"/>
    </row>
  </sheetData>
  <sheetProtection algorithmName="SHA-512" hashValue="x0GXfSh3WSXhHuXslA54PsPSBS9VQn03cL832VNgqlmfHhIxGfS7ihExWFu9djA0V91GkPCB0qydAgXb5ogtqA==" saltValue="/ELITZEoxrxd134xbSVYKQ==" spinCount="100000" sheet="1" formatCells="0" formatColumns="0" formatRows="0" pivotTables="0"/>
  <mergeCells count="7">
    <mergeCell ref="A1:BR1"/>
    <mergeCell ref="M3:T3"/>
    <mergeCell ref="W3:AF3"/>
    <mergeCell ref="AJ3:AR3"/>
    <mergeCell ref="AU3:BD3"/>
    <mergeCell ref="BG3:BP3"/>
    <mergeCell ref="A3:I3"/>
  </mergeCells>
  <conditionalFormatting sqref="N4:N184">
    <cfRule type="expression" dxfId="24" priority="6">
      <formula>N3&lt;&gt;N4</formula>
    </cfRule>
  </conditionalFormatting>
  <conditionalFormatting sqref="AL4:AL184">
    <cfRule type="expression" dxfId="23" priority="5">
      <formula>AL4&lt;&gt;AL3</formula>
    </cfRule>
  </conditionalFormatting>
  <conditionalFormatting sqref="Z4:Z184">
    <cfRule type="expression" dxfId="22" priority="4">
      <formula>Z4&lt;&gt;Z3</formula>
    </cfRule>
  </conditionalFormatting>
  <conditionalFormatting sqref="AX4:AX184">
    <cfRule type="expression" dxfId="21" priority="3">
      <formula>AX4&lt;&gt;AX3</formula>
    </cfRule>
  </conditionalFormatting>
  <conditionalFormatting sqref="BJ4:BJ184">
    <cfRule type="expression" dxfId="20" priority="2">
      <formula>BJ4&lt;&gt;BJ3</formula>
    </cfRule>
  </conditionalFormatting>
  <conditionalFormatting sqref="H4:H184">
    <cfRule type="cellIs" dxfId="19" priority="1" operator="lessThan">
      <formula>0</formula>
    </cfRule>
  </conditionalFormatting>
  <dataValidations count="1">
    <dataValidation type="custom" errorStyle="warning" allowBlank="1" showInputMessage="1" showErrorMessage="1" errorTitle="Sanction amount too high" error="Check negative values in principal run off and modify discounting factor / lower the loan amount" sqref="BC4:BC184 AE4:AE184 AQ4:AQ184 BO4:BO184" xr:uid="{FF4EE8FC-35C5-4E8A-B35B-0F312F90DCF0}">
      <formula1>"&lt;0"</formula1>
    </dataValidation>
  </dataValidation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12A7B-53A9-4292-8A55-3032ACCE9BC3}">
  <sheetPr codeName="Sheet16"/>
  <dimension ref="A1:BR184"/>
  <sheetViews>
    <sheetView zoomScale="87" zoomScaleNormal="87" workbookViewId="0">
      <selection activeCell="G112" sqref="G112"/>
    </sheetView>
  </sheetViews>
  <sheetFormatPr defaultRowHeight="15" x14ac:dyDescent="0.25"/>
  <cols>
    <col min="1" max="1" width="5.7109375" style="51" bestFit="1" customWidth="1"/>
    <col min="2" max="2" width="10" style="51" bestFit="1" customWidth="1"/>
    <col min="3" max="3" width="16.28515625" style="51" bestFit="1" customWidth="1"/>
    <col min="4" max="4" width="12.85546875" style="51" bestFit="1" customWidth="1"/>
    <col min="5" max="5" width="5.5703125" style="51" bestFit="1" customWidth="1"/>
    <col min="6" max="6" width="14" style="51" bestFit="1" customWidth="1"/>
    <col min="7" max="7" width="11.42578125" style="51" bestFit="1" customWidth="1"/>
    <col min="8" max="8" width="12" style="51" bestFit="1" customWidth="1"/>
    <col min="9" max="9" width="10" style="51" customWidth="1"/>
    <col min="10" max="10" width="14" style="51" bestFit="1" customWidth="1"/>
    <col min="11" max="11" width="10" style="51" customWidth="1"/>
    <col min="12" max="12" width="2" style="51" customWidth="1"/>
    <col min="13" max="13" width="10" style="51" bestFit="1" customWidth="1"/>
    <col min="14" max="14" width="7.5703125" style="51" bestFit="1" customWidth="1"/>
    <col min="15" max="15" width="10" style="51" customWidth="1"/>
    <col min="16" max="16" width="5.140625" style="51" bestFit="1" customWidth="1"/>
    <col min="17" max="17" width="14" style="51" bestFit="1" customWidth="1"/>
    <col min="18" max="18" width="11.42578125" style="51" bestFit="1" customWidth="1"/>
    <col min="19" max="19" width="12" style="51" bestFit="1" customWidth="1"/>
    <col min="20" max="20" width="10" style="51" bestFit="1" customWidth="1"/>
    <col min="21" max="21" width="14" style="51" bestFit="1" customWidth="1"/>
    <col min="22" max="22" width="0.5703125" style="194" customWidth="1"/>
    <col min="23" max="23" width="5.85546875" style="171" bestFit="1" customWidth="1"/>
    <col min="24" max="24" width="10" style="51" bestFit="1" customWidth="1"/>
    <col min="25" max="25" width="9" style="51" customWidth="1"/>
    <col min="26" max="26" width="7.5703125" style="51" bestFit="1" customWidth="1"/>
    <col min="27" max="27" width="9" style="51" customWidth="1"/>
    <col min="28" max="28" width="5.5703125" style="51" bestFit="1" customWidth="1"/>
    <col min="29" max="29" width="14" style="51" bestFit="1" customWidth="1"/>
    <col min="30" max="30" width="11.42578125" style="51" bestFit="1" customWidth="1"/>
    <col min="31" max="31" width="11" style="51" bestFit="1" customWidth="1"/>
    <col min="32" max="32" width="9.140625" style="51" bestFit="1" customWidth="1"/>
    <col min="33" max="33" width="14" style="51" bestFit="1" customWidth="1"/>
    <col min="34" max="34" width="1.28515625" style="194" customWidth="1"/>
    <col min="35" max="35" width="5.85546875" style="51" bestFit="1" customWidth="1"/>
    <col min="36" max="37" width="10" style="51" bestFit="1" customWidth="1"/>
    <col min="38" max="38" width="7.5703125" style="51" bestFit="1" customWidth="1"/>
    <col min="39" max="39" width="10" style="51" bestFit="1" customWidth="1"/>
    <col min="40" max="40" width="5.5703125" style="51" bestFit="1" customWidth="1"/>
    <col min="41" max="41" width="14" style="51" bestFit="1" customWidth="1"/>
    <col min="42" max="42" width="11.42578125" style="51" bestFit="1" customWidth="1"/>
    <col min="43" max="43" width="11" style="51" bestFit="1" customWidth="1"/>
    <col min="44" max="44" width="9.140625" style="51" bestFit="1" customWidth="1"/>
    <col min="45" max="45" width="14" style="51" bestFit="1" customWidth="1"/>
    <col min="46" max="46" width="1.5703125" style="194" customWidth="1"/>
    <col min="47" max="47" width="5.85546875" style="51" bestFit="1" customWidth="1"/>
    <col min="48" max="48" width="10" style="51" customWidth="1"/>
    <col min="49" max="49" width="9" style="51" bestFit="1" customWidth="1"/>
    <col min="50" max="50" width="7.5703125" style="51" bestFit="1" customWidth="1"/>
    <col min="51" max="51" width="10" style="51" customWidth="1"/>
    <col min="52" max="52" width="5.5703125" style="51" bestFit="1" customWidth="1"/>
    <col min="53" max="53" width="14" style="51" bestFit="1" customWidth="1"/>
    <col min="54" max="54" width="11.42578125" style="51" bestFit="1" customWidth="1"/>
    <col min="55" max="55" width="11" style="51" bestFit="1" customWidth="1"/>
    <col min="56" max="56" width="9.140625" style="51" bestFit="1" customWidth="1"/>
    <col min="57" max="57" width="14" style="51" bestFit="1" customWidth="1"/>
    <col min="58" max="58" width="2" style="194" customWidth="1"/>
    <col min="59" max="59" width="5.85546875" style="51" bestFit="1" customWidth="1"/>
    <col min="60" max="60" width="10" style="51" bestFit="1" customWidth="1"/>
    <col min="61" max="61" width="9" style="51" bestFit="1" customWidth="1"/>
    <col min="62" max="62" width="7.5703125" style="51" bestFit="1" customWidth="1"/>
    <col min="63" max="63" width="9" style="51" bestFit="1" customWidth="1"/>
    <col min="64" max="64" width="5.5703125" style="51" bestFit="1" customWidth="1"/>
    <col min="65" max="65" width="14" style="51" bestFit="1" customWidth="1"/>
    <col min="66" max="66" width="11.42578125" style="51" bestFit="1" customWidth="1"/>
    <col min="67" max="67" width="11" style="51" bestFit="1" customWidth="1"/>
    <col min="68" max="68" width="9.140625" style="51" customWidth="1"/>
    <col min="69" max="69" width="19.140625" style="51" bestFit="1" customWidth="1"/>
    <col min="70" max="70" width="2.28515625" style="194" customWidth="1"/>
    <col min="71" max="16384" width="9.140625" style="51"/>
  </cols>
  <sheetData>
    <row r="1" spans="1:70" x14ac:dyDescent="0.25">
      <c r="A1" s="346" t="s">
        <v>36</v>
      </c>
      <c r="B1" s="346"/>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c r="AI1" s="346"/>
      <c r="AJ1" s="346"/>
      <c r="AK1" s="346"/>
      <c r="AL1" s="346"/>
      <c r="AM1" s="346"/>
      <c r="AN1" s="346"/>
      <c r="AO1" s="346"/>
      <c r="AP1" s="346"/>
      <c r="AQ1" s="346"/>
      <c r="AR1" s="346"/>
      <c r="AS1" s="346"/>
      <c r="AT1" s="346"/>
      <c r="AU1" s="346"/>
      <c r="AV1" s="346"/>
      <c r="AW1" s="346"/>
      <c r="AX1" s="346"/>
      <c r="AY1" s="346"/>
      <c r="AZ1" s="346"/>
      <c r="BA1" s="346"/>
      <c r="BB1" s="346"/>
      <c r="BC1" s="346"/>
      <c r="BD1" s="346"/>
      <c r="BE1" s="346"/>
      <c r="BF1" s="346"/>
      <c r="BG1" s="346"/>
      <c r="BH1" s="346"/>
      <c r="BI1" s="346"/>
      <c r="BJ1" s="346"/>
      <c r="BK1" s="346"/>
      <c r="BL1" s="346"/>
      <c r="BM1" s="346"/>
      <c r="BN1" s="346"/>
      <c r="BO1" s="346"/>
      <c r="BP1" s="346"/>
      <c r="BQ1" s="346"/>
      <c r="BR1" s="346"/>
    </row>
    <row r="2" spans="1:70" ht="69" customHeight="1" x14ac:dyDescent="0.25">
      <c r="A2" s="57" t="s">
        <v>20</v>
      </c>
      <c r="B2" s="58" t="s">
        <v>0</v>
      </c>
      <c r="C2" s="58" t="s">
        <v>150</v>
      </c>
      <c r="D2" s="58" t="s">
        <v>151</v>
      </c>
      <c r="E2" s="59" t="s">
        <v>4</v>
      </c>
      <c r="F2" s="59" t="s">
        <v>29</v>
      </c>
      <c r="G2" s="59" t="s">
        <v>2</v>
      </c>
      <c r="H2" s="59" t="s">
        <v>19</v>
      </c>
      <c r="I2" s="59" t="s">
        <v>27</v>
      </c>
      <c r="J2" s="59" t="s">
        <v>1</v>
      </c>
      <c r="K2" s="59" t="s">
        <v>32</v>
      </c>
      <c r="L2" s="230"/>
      <c r="M2" s="59" t="s">
        <v>146</v>
      </c>
      <c r="N2" s="59" t="s">
        <v>147</v>
      </c>
      <c r="O2" s="59" t="s">
        <v>148</v>
      </c>
      <c r="P2" s="59" t="s">
        <v>4</v>
      </c>
      <c r="Q2" s="59" t="s">
        <v>29</v>
      </c>
      <c r="R2" s="59" t="s">
        <v>2</v>
      </c>
      <c r="S2" s="59" t="s">
        <v>143</v>
      </c>
      <c r="T2" s="59" t="s">
        <v>27</v>
      </c>
      <c r="U2" s="59" t="s">
        <v>1</v>
      </c>
      <c r="V2" s="192"/>
      <c r="W2" s="58" t="s">
        <v>149</v>
      </c>
      <c r="X2" s="58" t="s">
        <v>0</v>
      </c>
      <c r="Y2" s="59" t="s">
        <v>146</v>
      </c>
      <c r="Z2" s="59" t="s">
        <v>147</v>
      </c>
      <c r="AA2" s="59" t="s">
        <v>148</v>
      </c>
      <c r="AB2" s="59" t="s">
        <v>4</v>
      </c>
      <c r="AC2" s="59" t="s">
        <v>29</v>
      </c>
      <c r="AD2" s="59" t="s">
        <v>2</v>
      </c>
      <c r="AE2" s="59" t="s">
        <v>143</v>
      </c>
      <c r="AF2" s="59" t="s">
        <v>27</v>
      </c>
      <c r="AG2" s="59" t="s">
        <v>1</v>
      </c>
      <c r="AH2" s="192"/>
      <c r="AI2" s="58" t="s">
        <v>149</v>
      </c>
      <c r="AJ2" s="58" t="s">
        <v>0</v>
      </c>
      <c r="AK2" s="59" t="s">
        <v>146</v>
      </c>
      <c r="AL2" s="59" t="s">
        <v>147</v>
      </c>
      <c r="AM2" s="59" t="s">
        <v>148</v>
      </c>
      <c r="AN2" s="59" t="s">
        <v>4</v>
      </c>
      <c r="AO2" s="59" t="s">
        <v>29</v>
      </c>
      <c r="AP2" s="59" t="s">
        <v>2</v>
      </c>
      <c r="AQ2" s="59" t="s">
        <v>143</v>
      </c>
      <c r="AR2" s="59" t="s">
        <v>27</v>
      </c>
      <c r="AS2" s="59" t="s">
        <v>1</v>
      </c>
      <c r="AT2" s="192"/>
      <c r="AU2" s="58" t="s">
        <v>149</v>
      </c>
      <c r="AV2" s="58" t="s">
        <v>0</v>
      </c>
      <c r="AW2" s="59" t="s">
        <v>146</v>
      </c>
      <c r="AX2" s="59" t="s">
        <v>147</v>
      </c>
      <c r="AY2" s="59" t="s">
        <v>148</v>
      </c>
      <c r="AZ2" s="59" t="s">
        <v>4</v>
      </c>
      <c r="BA2" s="59" t="s">
        <v>29</v>
      </c>
      <c r="BB2" s="59" t="s">
        <v>2</v>
      </c>
      <c r="BC2" s="59" t="s">
        <v>143</v>
      </c>
      <c r="BD2" s="59" t="s">
        <v>27</v>
      </c>
      <c r="BE2" s="59" t="s">
        <v>1</v>
      </c>
      <c r="BF2" s="192"/>
      <c r="BG2" s="58" t="s">
        <v>149</v>
      </c>
      <c r="BH2" s="58" t="s">
        <v>0</v>
      </c>
      <c r="BI2" s="59" t="s">
        <v>146</v>
      </c>
      <c r="BJ2" s="59" t="s">
        <v>147</v>
      </c>
      <c r="BK2" s="59" t="s">
        <v>148</v>
      </c>
      <c r="BL2" s="59" t="s">
        <v>4</v>
      </c>
      <c r="BM2" s="59" t="s">
        <v>29</v>
      </c>
      <c r="BN2" s="59" t="s">
        <v>2</v>
      </c>
      <c r="BO2" s="59" t="s">
        <v>143</v>
      </c>
      <c r="BP2" s="59" t="s">
        <v>27</v>
      </c>
      <c r="BQ2" s="59" t="s">
        <v>1</v>
      </c>
      <c r="BR2" s="192"/>
    </row>
    <row r="3" spans="1:70" s="171" customFormat="1" ht="22.5" customHeight="1" x14ac:dyDescent="0.25">
      <c r="A3" s="343" t="str">
        <f>CONCATENATE("Consolidated Eligibility ",Input!H3," Months")</f>
        <v>Consolidated Eligibility 108 Months</v>
      </c>
      <c r="B3" s="344"/>
      <c r="C3" s="344"/>
      <c r="D3" s="344"/>
      <c r="E3" s="344"/>
      <c r="F3" s="344"/>
      <c r="G3" s="344"/>
      <c r="H3" s="344"/>
      <c r="I3" s="345"/>
      <c r="J3" s="246">
        <v>972940882.22744608</v>
      </c>
      <c r="K3" s="191"/>
      <c r="L3" s="231"/>
      <c r="M3" s="340" t="str">
        <f>Input!A39</f>
        <v>Lessee1- ABC</v>
      </c>
      <c r="N3" s="341"/>
      <c r="O3" s="341"/>
      <c r="P3" s="341"/>
      <c r="Q3" s="341"/>
      <c r="R3" s="341"/>
      <c r="S3" s="341"/>
      <c r="T3" s="341"/>
      <c r="U3" s="247">
        <v>972940882.22744608</v>
      </c>
      <c r="V3" s="192"/>
      <c r="W3" s="340" t="str">
        <f>Input!A54</f>
        <v>Lessee2- DEF</v>
      </c>
      <c r="X3" s="341"/>
      <c r="Y3" s="341"/>
      <c r="Z3" s="341"/>
      <c r="AA3" s="341"/>
      <c r="AB3" s="341"/>
      <c r="AC3" s="341"/>
      <c r="AD3" s="341"/>
      <c r="AE3" s="341"/>
      <c r="AF3" s="342"/>
      <c r="AG3" s="248">
        <v>-1.3256309032440186</v>
      </c>
      <c r="AH3" s="192"/>
      <c r="AI3" s="170"/>
      <c r="AJ3" s="340" t="str">
        <f>Input!A69</f>
        <v>Lessee3- GHI</v>
      </c>
      <c r="AK3" s="341"/>
      <c r="AL3" s="341"/>
      <c r="AM3" s="341"/>
      <c r="AN3" s="341"/>
      <c r="AO3" s="341"/>
      <c r="AP3" s="341"/>
      <c r="AQ3" s="341"/>
      <c r="AR3" s="342"/>
      <c r="AS3" s="248">
        <v>-1.3256309032440186</v>
      </c>
      <c r="AT3" s="192"/>
      <c r="AU3" s="340" t="str">
        <f>Input!A84</f>
        <v>Lessee4- JKL</v>
      </c>
      <c r="AV3" s="341"/>
      <c r="AW3" s="341"/>
      <c r="AX3" s="341"/>
      <c r="AY3" s="341"/>
      <c r="AZ3" s="341"/>
      <c r="BA3" s="341"/>
      <c r="BB3" s="341"/>
      <c r="BC3" s="341"/>
      <c r="BD3" s="342"/>
      <c r="BE3" s="248">
        <v>-1.3256309032440186</v>
      </c>
      <c r="BF3" s="192"/>
      <c r="BG3" s="340" t="str">
        <f>Input!A99</f>
        <v>Lessee5- MNO</v>
      </c>
      <c r="BH3" s="341"/>
      <c r="BI3" s="341"/>
      <c r="BJ3" s="341"/>
      <c r="BK3" s="341"/>
      <c r="BL3" s="341"/>
      <c r="BM3" s="341"/>
      <c r="BN3" s="341"/>
      <c r="BO3" s="341"/>
      <c r="BP3" s="342"/>
      <c r="BQ3" s="248">
        <v>-1.3256309032440186</v>
      </c>
      <c r="BR3" s="245"/>
    </row>
    <row r="4" spans="1:70" x14ac:dyDescent="0.25">
      <c r="A4" s="169">
        <v>0</v>
      </c>
      <c r="B4" s="1">
        <f>IF(Input!C5=15,IF(DAY(Input!C4)&lt;15,DATE(YEAR((Input!C4)),MONTH(Input!C4),15),IF(DAY(Input!C4)=15,Input!C4,DATE(YEAR((Input!C4)),MONTH(Input!C4)+1,15))),IF(DAY(Input!C4)&lt;5,DATE(YEAR((Input!C4)),MONTH(Input!C4),5),IF(DAY(Input!C4)=5,Input!C4,DATE(YEAR((Input!C4)),MONTH(Input!C4)+1,5))))</f>
        <v>45519</v>
      </c>
      <c r="C4" s="60">
        <f>M4+Y4+AK4+AW4+BI4</f>
        <v>16470000</v>
      </c>
      <c r="D4" s="60">
        <f>O4+AA4+AM4+AY4+BK4</f>
        <v>14823000</v>
      </c>
      <c r="E4" s="60">
        <f>B4-Input!$C$4</f>
        <v>15</v>
      </c>
      <c r="F4" s="60">
        <f>J3</f>
        <v>972940882.22744608</v>
      </c>
      <c r="G4" s="60">
        <f>ROUND(F4*E4*Input!$C$3/365,0)</f>
        <v>5997581</v>
      </c>
      <c r="H4" s="60">
        <f>IF($A4&lt;=Input!$C$6,0,IF('Fixed Tenure'!D4&lt;'Fixed Tenure'!F4,'Fixed Tenure'!F4-G4,'Fixed Tenure'!F4))</f>
        <v>0</v>
      </c>
      <c r="I4" s="60">
        <f>G4+H4</f>
        <v>5997581</v>
      </c>
      <c r="J4" s="60">
        <f>J3-H4</f>
        <v>972940882.22744608</v>
      </c>
      <c r="K4" s="202">
        <f>J4/Input!$K$5</f>
        <v>3.2431362740914871</v>
      </c>
      <c r="L4" s="232"/>
      <c r="M4" s="60">
        <f>IF($B4&lt;Input!$H$43,IF($B4&lt;Input!$G$43,IF($B4&lt;Input!$F$43,IF($B4&lt;Input!$E$43,IF($B4&lt;Input!$D$43,Input!$C$49,Input!$D$49),Input!$E$49),Input!$F$49),Input!$G$49),Input!$H$49)</f>
        <v>16470000</v>
      </c>
      <c r="N4" s="190">
        <f>IF($A4&lt;Input!$H$50,IF($A4&lt;Input!$G$50,IF($A4&lt;Input!$F$50,IF($A4&lt;Input!$E$50,IF($A4&lt;Input!$D$50,Input!$C$51,Input!$D$51),Input!$E$51),Input!$F$51),Input!$G$51),Input!$H$51)</f>
        <v>0.9</v>
      </c>
      <c r="O4" s="60">
        <f t="shared" ref="O4:O35" si="0">M4*N4</f>
        <v>14823000</v>
      </c>
      <c r="P4" s="60">
        <f>B4-Input!$C$4</f>
        <v>15</v>
      </c>
      <c r="Q4" s="60">
        <f>U3</f>
        <v>972940882.22744608</v>
      </c>
      <c r="R4" s="60">
        <f>ROUND(Q4*P4*Input!$C$3/365,0)</f>
        <v>5997581</v>
      </c>
      <c r="S4" s="60">
        <f>IF($A4&lt;=Input!$C$6,0,IF('Fixed Tenure'!O4&lt;'Fixed Tenure'!Q4,'Fixed Tenure'!Q4-R4,'Fixed Tenure'!Q4))</f>
        <v>0</v>
      </c>
      <c r="T4" s="60">
        <f>R4+S4</f>
        <v>5997581</v>
      </c>
      <c r="U4" s="60">
        <f>U3-S4</f>
        <v>972940882.22744608</v>
      </c>
      <c r="V4" s="193"/>
      <c r="W4" s="169">
        <v>0</v>
      </c>
      <c r="X4" s="1">
        <f>IF(Input!C5=15,IF(DAY(Input!C4)&lt;15,DATE(YEAR((Input!C4)),MONTH(Input!C4),15),IF(DAY(Input!C4)=15,Input!C4,DATE(YEAR((Input!C4)),MONTH(Input!C4)+1,15))),IF(DAY(Input!C4)&lt;5,DATE(YEAR((Input!C4)),MONTH(Input!C4),5),IF(DAY(Input!C4)=5,Input!C4,DATE(YEAR((Input!C4)),MONTH(Input!C4)+1,5))))</f>
        <v>45519</v>
      </c>
      <c r="Y4" s="60">
        <f>IF($X4&lt;Input!$H$58,IF($X4&lt;Input!$G$58,IF($X4&lt;Input!$F$58,IF($X4&lt;Input!$E$58,IF($X4&lt;Input!$D$58,Input!$C$64,Input!$D$64),Input!$E$64),Input!$F$64),Input!$G$64),Input!$H$64)</f>
        <v>0</v>
      </c>
      <c r="Z4" s="190">
        <f>IF($A4&lt;Input!$H$65,IF($A4&lt;Input!$G$65,IF($A4&lt;Input!$F$65,IF($A4&lt;Input!$E$65,IF($A4&lt;Input!$D$65,Input!$C$66,Input!$D$66),Input!$E$66),Input!$F$66),Input!$G$66),Input!$H$66)</f>
        <v>0.9</v>
      </c>
      <c r="AA4" s="60">
        <f>Y4*Z4</f>
        <v>0</v>
      </c>
      <c r="AB4" s="60">
        <f>X4-Input!$C$4</f>
        <v>15</v>
      </c>
      <c r="AC4" s="60">
        <f>AG3</f>
        <v>-1.3256309032440186</v>
      </c>
      <c r="AD4" s="60">
        <f>ROUND(AC4*AB4*Input!$C$3/365,0)</f>
        <v>0</v>
      </c>
      <c r="AE4" s="61">
        <f>IF($A4&lt;=Input!$C$6,0,IF('Fixed Tenure'!AA4&lt;'Fixed Tenure'!AC4,'Fixed Tenure'!AA4-AD4,'Fixed Tenure'!AC4))</f>
        <v>0</v>
      </c>
      <c r="AF4" s="61">
        <f>AD4+AE4</f>
        <v>0</v>
      </c>
      <c r="AG4" s="60">
        <f>AG3-AE4</f>
        <v>-1.3256309032440186</v>
      </c>
      <c r="AH4" s="193"/>
      <c r="AI4" s="169">
        <v>0</v>
      </c>
      <c r="AJ4" s="1">
        <f>IF(Input!C5=15,IF(DAY(Input!C4)&lt;15,DATE(YEAR((Input!C4)),MONTH(Input!C4),15),IF(DAY(Input!C4)=15,Input!C4,DATE(YEAR((Input!C4)),MONTH(Input!C4)+1,15))),IF(DAY(Input!C4)&lt;5,DATE(YEAR((Input!C4)),MONTH(Input!C4),5),IF(DAY(Input!C4)=5,Input!C4,DATE(YEAR((Input!C4)),MONTH(Input!C4)+1,5))))</f>
        <v>45519</v>
      </c>
      <c r="AK4" s="60">
        <f>IF($X4&lt;Input!$H$73,IF($X4&lt;Input!$G$73,IF($X4&lt;Input!$F$73,IF($X4&lt;Input!$E$73,IF($X4&lt;Input!$D$73,Input!$C$79,Input!$D$79),Input!$E$79),Input!$F$79),Input!$G$79),Input!$H$79)</f>
        <v>0</v>
      </c>
      <c r="AL4" s="190">
        <f>IF($A4&lt;Input!$H$80,IF($A4&lt;Input!$G$80,IF($A4&lt;Input!$F$80,IF($A4&lt;Input!$E$80,IF($A4&lt;Input!$D$80,Input!$C$81,Input!$D$81),Input!$E$81),Input!$F$81),Input!$G$81),Input!$H$81)</f>
        <v>0.9</v>
      </c>
      <c r="AM4" s="60">
        <f>AK4*AL4</f>
        <v>0</v>
      </c>
      <c r="AN4" s="60">
        <f>AJ4-Input!$C$4</f>
        <v>15</v>
      </c>
      <c r="AO4" s="60">
        <f>AS3</f>
        <v>-1.3256309032440186</v>
      </c>
      <c r="AP4" s="60">
        <f>ROUND(AO4*AN4*Input!$C$3/365,0)</f>
        <v>0</v>
      </c>
      <c r="AQ4" s="61">
        <f>IF($A4&lt;=Input!$C$6,0,IF('Fixed Tenure'!AM4&lt;'Fixed Tenure'!AO4,'Fixed Tenure'!AM4-AP4,'Fixed Tenure'!AO4))</f>
        <v>0</v>
      </c>
      <c r="AR4" s="61">
        <f>AP4+AQ4</f>
        <v>0</v>
      </c>
      <c r="AS4" s="60">
        <f>AS3-AQ4</f>
        <v>-1.3256309032440186</v>
      </c>
      <c r="AT4" s="193"/>
      <c r="AU4" s="169">
        <v>0</v>
      </c>
      <c r="AV4" s="1">
        <f>IF(Input!C5=15,IF(DAY(Input!C4)&lt;15,DATE(YEAR((Input!C4)),MONTH(Input!C4),15),IF(DAY(Input!C4)=15,Input!C4,DATE(YEAR((Input!C4)),MONTH(Input!C4)+1,15))),IF(DAY(Input!C4)&lt;5,DATE(YEAR((Input!C4)),MONTH(Input!C4),5),IF(DAY(Input!C4)=5,Input!C4,DATE(YEAR((Input!C4)),MONTH(Input!C4)+1,5))))</f>
        <v>45519</v>
      </c>
      <c r="AW4" s="60">
        <f>IF($X4&lt;Input!$H$88,IF($X4&lt;Input!$G$88,IF($X4&lt;Input!$F$88,IF($X4&lt;Input!$E$88,IF($X4&lt;Input!$D$88,Input!$C$94,Input!$D$94),Input!$E$94),Input!$F$94),Input!$G$94),Input!$H$94)</f>
        <v>0</v>
      </c>
      <c r="AX4" s="190">
        <f>IF($A4&lt;Input!$H$95,IF($A4&lt;Input!$G$95,IF($A4&lt;Input!$F$95,IF($A4&lt;Input!$E$95,IF($A4&lt;Input!$D$95,Input!$C$96,Input!$D$96),Input!$E$96),Input!$F$96),Input!$G$96),Input!$H$96)</f>
        <v>0.9</v>
      </c>
      <c r="AY4" s="60">
        <f>AW4*AX4</f>
        <v>0</v>
      </c>
      <c r="AZ4" s="60">
        <f>AV4-Input!$C$4</f>
        <v>15</v>
      </c>
      <c r="BA4" s="60">
        <f>BE3</f>
        <v>-1.3256309032440186</v>
      </c>
      <c r="BB4" s="60">
        <f>ROUND(BA4*AZ4*Input!$C$3/365,0)</f>
        <v>0</v>
      </c>
      <c r="BC4" s="61">
        <f>IF($A4&lt;=Input!$C$6,0,IF('Fixed Tenure'!AY4&lt;'Fixed Tenure'!BA4,'Fixed Tenure'!AY4-BB4,'Fixed Tenure'!BA4))</f>
        <v>0</v>
      </c>
      <c r="BD4" s="61">
        <f>BB4+BC4</f>
        <v>0</v>
      </c>
      <c r="BE4" s="60">
        <f>BE3-BC4</f>
        <v>-1.3256309032440186</v>
      </c>
      <c r="BF4" s="193"/>
      <c r="BG4" s="169">
        <v>0</v>
      </c>
      <c r="BH4" s="1">
        <f>IF(Input!C5=15,IF(DAY(Input!C4)&lt;15,DATE(YEAR((Input!C4)),MONTH(Input!C4),15),IF(DAY(Input!C4)=15,Input!C4,DATE(YEAR((Input!C4)),MONTH(Input!C4)+1,15))),IF(DAY(Input!C4)&lt;5,DATE(YEAR((Input!C4)),MONTH(Input!C4),5),IF(DAY(Input!C4)=5,Input!C4,DATE(YEAR((Input!C4)),MONTH(Input!C4)+1,5))))</f>
        <v>45519</v>
      </c>
      <c r="BI4" s="60">
        <f>IF($X4&lt;Input!$H$103,IF($X4&lt;Input!$G$103,IF($X4&lt;Input!$F$103,IF($X4&lt;Input!$E$103,IF($X4&lt;Input!$D$103,Input!$C$109,Input!$D$109),Input!$E$109),Input!$F$109),Input!$G$109),Input!$H$109)</f>
        <v>0</v>
      </c>
      <c r="BJ4" s="190">
        <f>IF($A4&lt;Input!$H$110,IF($A4&lt;Input!$G$110,IF($A4&lt;Input!$F$110,IF($A4&lt;Input!$E$110,IF($A4&lt;Input!$D$110,Input!$C$111,Input!$D$111),Input!$E$111),Input!$F$111),Input!$G$111),Input!$H$111)</f>
        <v>0.9</v>
      </c>
      <c r="BK4" s="60">
        <f>BI4*BJ4</f>
        <v>0</v>
      </c>
      <c r="BL4" s="60">
        <f>BH4-Input!$C$4</f>
        <v>15</v>
      </c>
      <c r="BM4" s="60">
        <f>BQ3</f>
        <v>-1.3256309032440186</v>
      </c>
      <c r="BN4" s="60">
        <f>ROUND(BM4*BL4*Input!$C$3/365,0)</f>
        <v>0</v>
      </c>
      <c r="BO4" s="61">
        <f>IF($A4&lt;=Input!$C$6,0,IF('Fixed Tenure'!BK4&lt;'Fixed Tenure'!BM4,'Fixed Tenure'!BK4-BN4,'Fixed Tenure'!BM4))</f>
        <v>0</v>
      </c>
      <c r="BP4" s="61">
        <f>BN4+BO4</f>
        <v>0</v>
      </c>
      <c r="BQ4" s="60">
        <f>BQ3-BO4</f>
        <v>-1.3256309032440186</v>
      </c>
      <c r="BR4" s="198"/>
    </row>
    <row r="5" spans="1:70" x14ac:dyDescent="0.25">
      <c r="A5" s="169">
        <v>1</v>
      </c>
      <c r="B5" s="1">
        <f>EDATE(B4,1)</f>
        <v>45550</v>
      </c>
      <c r="C5" s="60">
        <f t="shared" ref="C5:C68" si="1">M5+Y5+AK5+AW5+BI5</f>
        <v>16470000</v>
      </c>
      <c r="D5" s="60">
        <f t="shared" ref="D5:D68" si="2">O5+AA5+AM5+AY5+BK5</f>
        <v>14823000</v>
      </c>
      <c r="E5" s="60">
        <f>B5-B4</f>
        <v>31</v>
      </c>
      <c r="F5" s="60">
        <f>J4</f>
        <v>972940882.22744608</v>
      </c>
      <c r="G5" s="60">
        <f>ROUND(F5*E5*Input!$C$3/365,0)</f>
        <v>12395000</v>
      </c>
      <c r="H5" s="60">
        <f>IF($A5&lt;=Input!$C$6,0,IF('Fixed Tenure'!D5&lt;'Fixed Tenure'!F5,'Fixed Tenure'!D5-G5,'Fixed Tenure'!F5))</f>
        <v>2428000</v>
      </c>
      <c r="I5" s="60">
        <f>G5+H5</f>
        <v>14823000</v>
      </c>
      <c r="J5" s="60">
        <f>J4-H5</f>
        <v>970512882.22744608</v>
      </c>
      <c r="K5" s="202">
        <f>J5/Input!$K$5</f>
        <v>3.2350429407581536</v>
      </c>
      <c r="L5" s="232"/>
      <c r="M5" s="60">
        <f>IF($B5&lt;Input!$H$43,IF($B5&lt;Input!$G$43,IF($B5&lt;Input!$F$43,IF($B5&lt;Input!$E$43,IF($B5&lt;Input!$D$43,Input!$C$49,Input!$D$49),Input!$E$49),Input!$F$49),Input!$G$49),Input!$H$49)</f>
        <v>16470000</v>
      </c>
      <c r="N5" s="190">
        <f>IF($A5&lt;Input!$H$50,IF($A5&lt;Input!$G$50,IF($A5&lt;Input!$F$50,IF($A5&lt;Input!$E$50,IF($A5&lt;Input!$D$50,Input!$C$51,Input!$D$51),Input!$E$51),Input!$F$51),Input!$G$51),Input!$H$51)</f>
        <v>0.9</v>
      </c>
      <c r="O5" s="60">
        <f t="shared" si="0"/>
        <v>14823000</v>
      </c>
      <c r="P5" s="60">
        <f t="shared" ref="P5:P36" si="3">B5-B4</f>
        <v>31</v>
      </c>
      <c r="Q5" s="60">
        <f t="shared" ref="Q5:Q68" si="4">U4</f>
        <v>972940882.22744608</v>
      </c>
      <c r="R5" s="60">
        <f>ROUND(Q5*$P5*Input!$C$3/365,0)</f>
        <v>12395000</v>
      </c>
      <c r="S5" s="60">
        <f>IF(A5&lt;=Input!$C$6,0,IF('Fixed Tenure'!O5&lt;'Fixed Tenure'!Q5,'Fixed Tenure'!O5-R5,'Fixed Tenure'!Q5))</f>
        <v>2428000</v>
      </c>
      <c r="T5" s="60">
        <f t="shared" ref="T5:T68" si="5">R5+S5</f>
        <v>14823000</v>
      </c>
      <c r="U5" s="60">
        <f t="shared" ref="U5:U68" si="6">U4-S5</f>
        <v>970512882.22744608</v>
      </c>
      <c r="V5" s="193"/>
      <c r="W5" s="169">
        <v>1</v>
      </c>
      <c r="X5" s="1">
        <f>EDATE(X4,1)</f>
        <v>45550</v>
      </c>
      <c r="Y5" s="60">
        <f>IF($X5&lt;Input!$H$58,IF($X5&lt;Input!$G$58,IF($X5&lt;Input!$F$58,IF($X5&lt;Input!$E$58,IF($X5&lt;Input!$D$58,Input!$C$64,Input!$D$64),Input!$E$64),Input!$F$64),Input!$G$64),Input!$H$64)</f>
        <v>0</v>
      </c>
      <c r="Z5" s="190">
        <f>IF($A5&lt;Input!$H$65,IF($A5&lt;Input!$G$65,IF($A5&lt;Input!$F$65,IF($A5&lt;Input!$E$65,IF($A5&lt;Input!$D$65,Input!$C$66,Input!$D$66),Input!$E$66),Input!$F$66),Input!$G$66),Input!$H$66)</f>
        <v>0.9</v>
      </c>
      <c r="AA5" s="60">
        <f t="shared" ref="AA5:AA68" si="7">Y5*Z5</f>
        <v>0</v>
      </c>
      <c r="AB5" s="60">
        <f>X5-X4</f>
        <v>31</v>
      </c>
      <c r="AC5" s="60">
        <f t="shared" ref="AC5:AC68" si="8">AG4</f>
        <v>-1.3256309032440186</v>
      </c>
      <c r="AD5" s="60">
        <f>ROUND(AC5*AB5*Input!$C$3/365,0)</f>
        <v>0</v>
      </c>
      <c r="AE5" s="61">
        <f>IF($A5&lt;=Input!$C$6,0,IF('Fixed Tenure'!AA5&lt;'Fixed Tenure'!AC5,'Fixed Tenure'!AA5-AD5,'Fixed Tenure'!AC5))</f>
        <v>-1.3256309032440186</v>
      </c>
      <c r="AF5" s="61">
        <f t="shared" ref="AF5:AF68" si="9">AD5+AE5</f>
        <v>-1.3256309032440186</v>
      </c>
      <c r="AG5" s="60">
        <f t="shared" ref="AG5:AG68" si="10">AG4-AE5</f>
        <v>0</v>
      </c>
      <c r="AH5" s="193"/>
      <c r="AI5" s="169">
        <v>1</v>
      </c>
      <c r="AJ5" s="1">
        <f>EDATE(AJ4,1)</f>
        <v>45550</v>
      </c>
      <c r="AK5" s="60">
        <f>IF($X5&lt;Input!$H$73,IF($X5&lt;Input!$G$73,IF($X5&lt;Input!$F$73,IF($X5&lt;Input!$E$73,IF($X5&lt;Input!$D$73,Input!$C$79,Input!$D$79),Input!$E$79),Input!$F$79),Input!$G$79),Input!$H$79)</f>
        <v>0</v>
      </c>
      <c r="AL5" s="190">
        <f>IF($A5&lt;Input!$H$80,IF($A5&lt;Input!$G$80,IF($A5&lt;Input!$F$80,IF($A5&lt;Input!$E$80,IF($A5&lt;Input!$D$80,Input!$C$81,Input!$D$81),Input!$E$81),Input!$F$81),Input!$G$81),Input!$H$81)</f>
        <v>0.9</v>
      </c>
      <c r="AM5" s="60">
        <f t="shared" ref="AM5:AM68" si="11">AK5*AL5</f>
        <v>0</v>
      </c>
      <c r="AN5" s="60">
        <f>AJ5-AJ4</f>
        <v>31</v>
      </c>
      <c r="AO5" s="60">
        <f t="shared" ref="AO5:AO68" si="12">AS4</f>
        <v>-1.3256309032440186</v>
      </c>
      <c r="AP5" s="60">
        <f>ROUND(AO5*AN5*Input!$C$3/365,0)</f>
        <v>0</v>
      </c>
      <c r="AQ5" s="61">
        <f>IF($A5&lt;=Input!$C$6,0,IF('Fixed Tenure'!AM5&lt;'Fixed Tenure'!AO5,'Fixed Tenure'!AM5-AP5,'Fixed Tenure'!AO5))</f>
        <v>-1.3256309032440186</v>
      </c>
      <c r="AR5" s="61">
        <f t="shared" ref="AR5:AR68" si="13">AP5+AQ5</f>
        <v>-1.3256309032440186</v>
      </c>
      <c r="AS5" s="60">
        <f t="shared" ref="AS5:AS68" si="14">AS4-AQ5</f>
        <v>0</v>
      </c>
      <c r="AT5" s="193"/>
      <c r="AU5" s="169">
        <v>1</v>
      </c>
      <c r="AV5" s="1">
        <f>EDATE(AV4,1)</f>
        <v>45550</v>
      </c>
      <c r="AW5" s="60">
        <f>IF($X5&lt;Input!$H$88,IF($X5&lt;Input!$G$88,IF($X5&lt;Input!$F$88,IF($X5&lt;Input!$E$88,IF($X5&lt;Input!$D$88,Input!$C$94,Input!$D$94),Input!$E$94),Input!$F$94),Input!$G$94),Input!$H$94)</f>
        <v>0</v>
      </c>
      <c r="AX5" s="190">
        <f>IF($A5&lt;Input!$H$95,IF($A5&lt;Input!$G$95,IF($A5&lt;Input!$F$95,IF($A5&lt;Input!$E$95,IF($A5&lt;Input!$D$95,Input!$C$96,Input!$D$96),Input!$E$96),Input!$F$96),Input!$G$96),Input!$H$96)</f>
        <v>0.9</v>
      </c>
      <c r="AY5" s="60">
        <f t="shared" ref="AY5:AY68" si="15">AW5*AX5</f>
        <v>0</v>
      </c>
      <c r="AZ5" s="60">
        <f>AV5-AV4</f>
        <v>31</v>
      </c>
      <c r="BA5" s="60">
        <f t="shared" ref="BA5:BA68" si="16">BE4</f>
        <v>-1.3256309032440186</v>
      </c>
      <c r="BB5" s="60">
        <f>ROUND(BA5*AZ5*Input!$C$3/365,0)</f>
        <v>0</v>
      </c>
      <c r="BC5" s="61">
        <f>IF($A5&lt;=Input!$C$6,0,IF('Fixed Tenure'!AY5&lt;'Fixed Tenure'!BA5,'Fixed Tenure'!AY5-BB5,'Fixed Tenure'!BA5))</f>
        <v>-1.3256309032440186</v>
      </c>
      <c r="BD5" s="61">
        <f t="shared" ref="BD5:BD68" si="17">BB5+BC5</f>
        <v>-1.3256309032440186</v>
      </c>
      <c r="BE5" s="60">
        <f t="shared" ref="BE5:BE68" si="18">BE4-BC5</f>
        <v>0</v>
      </c>
      <c r="BF5" s="193"/>
      <c r="BG5" s="169">
        <v>1</v>
      </c>
      <c r="BH5" s="1">
        <f>EDATE(BH4,1)</f>
        <v>45550</v>
      </c>
      <c r="BI5" s="60">
        <f>IF($X5&lt;Input!$H$103,IF($X5&lt;Input!$G$103,IF($X5&lt;Input!$F$103,IF($X5&lt;Input!$E$103,IF($X5&lt;Input!$D$103,Input!$C$109,Input!$D$109),Input!$E$109),Input!$F$109),Input!$G$109),Input!$H$109)</f>
        <v>0</v>
      </c>
      <c r="BJ5" s="190">
        <f>IF($A5&lt;Input!$H$110,IF($A5&lt;Input!$G$110,IF($A5&lt;Input!$F$110,IF($A5&lt;Input!$E$110,IF($A5&lt;Input!$D$110,Input!$C$111,Input!$D$111),Input!$E$111),Input!$F$111),Input!$G$111),Input!$H$111)</f>
        <v>0.9</v>
      </c>
      <c r="BK5" s="60">
        <f t="shared" ref="BK5:BK68" si="19">BI5*BJ5</f>
        <v>0</v>
      </c>
      <c r="BL5" s="60">
        <f>BH5-BH4</f>
        <v>31</v>
      </c>
      <c r="BM5" s="60">
        <f t="shared" ref="BM5:BM68" si="20">BQ4</f>
        <v>-1.3256309032440186</v>
      </c>
      <c r="BN5" s="60">
        <f>ROUND(BM5*BL5*Input!$C$3/365,0)</f>
        <v>0</v>
      </c>
      <c r="BO5" s="61">
        <f>IF($A5&lt;=Input!$C$6,0,IF('Fixed Tenure'!BK5&lt;'Fixed Tenure'!BM5,'Fixed Tenure'!BK5-BN5,'Fixed Tenure'!BM5))</f>
        <v>-1.3256309032440186</v>
      </c>
      <c r="BP5" s="61">
        <f t="shared" ref="BP5:BP68" si="21">BN5+BO5</f>
        <v>-1.3256309032440186</v>
      </c>
      <c r="BQ5" s="60">
        <f t="shared" ref="BQ5:BQ68" si="22">BQ4-BO5</f>
        <v>0</v>
      </c>
      <c r="BR5" s="198"/>
    </row>
    <row r="6" spans="1:70" x14ac:dyDescent="0.25">
      <c r="A6" s="169">
        <v>2</v>
      </c>
      <c r="B6" s="1">
        <f t="shared" ref="B6:B69" si="23">EDATE(B5,1)</f>
        <v>45580</v>
      </c>
      <c r="C6" s="60">
        <f t="shared" si="1"/>
        <v>16470000</v>
      </c>
      <c r="D6" s="60">
        <f t="shared" si="2"/>
        <v>14823000</v>
      </c>
      <c r="E6" s="60">
        <f t="shared" ref="E6:E69" si="24">B6-B5</f>
        <v>30</v>
      </c>
      <c r="F6" s="60">
        <f t="shared" ref="F6:F69" si="25">J5</f>
        <v>970512882.22744608</v>
      </c>
      <c r="G6" s="60">
        <f>ROUND(F6*E6*Input!$C$3/365,0)</f>
        <v>11965227</v>
      </c>
      <c r="H6" s="60">
        <f>IF($A6&lt;=Input!$C$6,0,IF('Fixed Tenure'!D6&lt;'Fixed Tenure'!F6,'Fixed Tenure'!D6-G6,'Fixed Tenure'!F6))</f>
        <v>2857773</v>
      </c>
      <c r="I6" s="60">
        <f t="shared" ref="I6:I69" si="26">G6+H6</f>
        <v>14823000</v>
      </c>
      <c r="J6" s="60">
        <f t="shared" ref="J6:J69" si="27">J5-H6</f>
        <v>967655109.22744608</v>
      </c>
      <c r="K6" s="202">
        <f>J6/Input!$K$5</f>
        <v>3.2255170307581538</v>
      </c>
      <c r="L6" s="232"/>
      <c r="M6" s="60">
        <f>IF($B6&lt;Input!$H$43,IF($B6&lt;Input!$G$43,IF($B6&lt;Input!$F$43,IF($B6&lt;Input!$E$43,IF($B6&lt;Input!$D$43,Input!$C$49,Input!$D$49),Input!$E$49),Input!$F$49),Input!$G$49),Input!$H$49)</f>
        <v>16470000</v>
      </c>
      <c r="N6" s="190">
        <f>IF($A6&lt;Input!$H$50,IF($A6&lt;Input!$G$50,IF($A6&lt;Input!$F$50,IF($A6&lt;Input!$E$50,IF($A6&lt;Input!$D$50,Input!$C$51,Input!$D$51),Input!$E$51),Input!$F$51),Input!$G$51),Input!$H$51)</f>
        <v>0.9</v>
      </c>
      <c r="O6" s="60">
        <f t="shared" si="0"/>
        <v>14823000</v>
      </c>
      <c r="P6" s="60">
        <f t="shared" si="3"/>
        <v>30</v>
      </c>
      <c r="Q6" s="60">
        <f t="shared" si="4"/>
        <v>970512882.22744608</v>
      </c>
      <c r="R6" s="60">
        <f>ROUND(Q6*$P6*Input!$C$3/365,0)</f>
        <v>11965227</v>
      </c>
      <c r="S6" s="60">
        <f>IF(A6&lt;=Input!$C$6,0,IF('Fixed Tenure'!O6&lt;'Fixed Tenure'!Q6,'Fixed Tenure'!O6-R6,'Fixed Tenure'!Q6))</f>
        <v>2857773</v>
      </c>
      <c r="T6" s="60">
        <f t="shared" si="5"/>
        <v>14823000</v>
      </c>
      <c r="U6" s="60">
        <f t="shared" si="6"/>
        <v>967655109.22744608</v>
      </c>
      <c r="V6" s="193"/>
      <c r="W6" s="169">
        <v>2</v>
      </c>
      <c r="X6" s="1">
        <f t="shared" ref="X6:X69" si="28">EDATE(X5,1)</f>
        <v>45580</v>
      </c>
      <c r="Y6" s="60">
        <f>IF($X6&lt;Input!$H$58,IF($X6&lt;Input!$G$58,IF($X6&lt;Input!$F$58,IF($X6&lt;Input!$E$58,IF($X6&lt;Input!$D$58,Input!$C$64,Input!$D$64),Input!$E$64),Input!$F$64),Input!$G$64),Input!$H$64)</f>
        <v>0</v>
      </c>
      <c r="Z6" s="190">
        <f>IF($A6&lt;Input!$H$65,IF($A6&lt;Input!$G$65,IF($A6&lt;Input!$F$65,IF($A6&lt;Input!$E$65,IF($A6&lt;Input!$D$65,Input!$C$66,Input!$D$66),Input!$E$66),Input!$F$66),Input!$G$66),Input!$H$66)</f>
        <v>0.9</v>
      </c>
      <c r="AA6" s="60">
        <f t="shared" si="7"/>
        <v>0</v>
      </c>
      <c r="AB6" s="60">
        <f t="shared" ref="AB6:AB69" si="29">X6-X5</f>
        <v>30</v>
      </c>
      <c r="AC6" s="60">
        <f t="shared" si="8"/>
        <v>0</v>
      </c>
      <c r="AD6" s="60">
        <f>ROUND(AC6*AB6*Input!$C$3/365,0)</f>
        <v>0</v>
      </c>
      <c r="AE6" s="61">
        <f>IF($A6&lt;=Input!$C$6,0,IF('Fixed Tenure'!AA6&lt;'Fixed Tenure'!AC6,'Fixed Tenure'!AA6-AD6,'Fixed Tenure'!AC6))</f>
        <v>0</v>
      </c>
      <c r="AF6" s="61">
        <f t="shared" si="9"/>
        <v>0</v>
      </c>
      <c r="AG6" s="60">
        <f t="shared" si="10"/>
        <v>0</v>
      </c>
      <c r="AH6" s="193"/>
      <c r="AI6" s="169">
        <v>2</v>
      </c>
      <c r="AJ6" s="1">
        <f t="shared" ref="AJ6:AJ69" si="30">EDATE(AJ5,1)</f>
        <v>45580</v>
      </c>
      <c r="AK6" s="60">
        <f>IF($X6&lt;Input!$H$73,IF($X6&lt;Input!$G$73,IF($X6&lt;Input!$F$73,IF($X6&lt;Input!$E$73,IF($X6&lt;Input!$D$73,Input!$C$79,Input!$D$79),Input!$E$79),Input!$F$79),Input!$G$79),Input!$H$79)</f>
        <v>0</v>
      </c>
      <c r="AL6" s="190">
        <f>IF($A6&lt;Input!$H$80,IF($A6&lt;Input!$G$80,IF($A6&lt;Input!$F$80,IF($A6&lt;Input!$E$80,IF($A6&lt;Input!$D$80,Input!$C$81,Input!$D$81),Input!$E$81),Input!$F$81),Input!$G$81),Input!$H$81)</f>
        <v>0.9</v>
      </c>
      <c r="AM6" s="60">
        <f t="shared" si="11"/>
        <v>0</v>
      </c>
      <c r="AN6" s="60">
        <f t="shared" ref="AN6:AN69" si="31">AJ6-AJ5</f>
        <v>30</v>
      </c>
      <c r="AO6" s="60">
        <f t="shared" si="12"/>
        <v>0</v>
      </c>
      <c r="AP6" s="60">
        <f>ROUND(AO6*AN6*Input!$C$3/365,0)</f>
        <v>0</v>
      </c>
      <c r="AQ6" s="61">
        <f>IF($A6&lt;=Input!$C$6,0,IF('Fixed Tenure'!AM6&lt;'Fixed Tenure'!AO6,'Fixed Tenure'!AM6-AP6,'Fixed Tenure'!AO6))</f>
        <v>0</v>
      </c>
      <c r="AR6" s="61">
        <f t="shared" si="13"/>
        <v>0</v>
      </c>
      <c r="AS6" s="60">
        <f t="shared" si="14"/>
        <v>0</v>
      </c>
      <c r="AT6" s="193"/>
      <c r="AU6" s="169">
        <v>2</v>
      </c>
      <c r="AV6" s="1">
        <f t="shared" ref="AV6:AV69" si="32">EDATE(AV5,1)</f>
        <v>45580</v>
      </c>
      <c r="AW6" s="60">
        <f>IF($X6&lt;Input!$H$88,IF($X6&lt;Input!$G$88,IF($X6&lt;Input!$F$88,IF($X6&lt;Input!$E$88,IF($X6&lt;Input!$D$88,Input!$C$94,Input!$D$94),Input!$E$94),Input!$F$94),Input!$G$94),Input!$H$94)</f>
        <v>0</v>
      </c>
      <c r="AX6" s="190">
        <f>IF($A6&lt;Input!$H$95,IF($A6&lt;Input!$G$95,IF($A6&lt;Input!$F$95,IF($A6&lt;Input!$E$95,IF($A6&lt;Input!$D$95,Input!$C$96,Input!$D$96),Input!$E$96),Input!$F$96),Input!$G$96),Input!$H$96)</f>
        <v>0.9</v>
      </c>
      <c r="AY6" s="60">
        <f t="shared" si="15"/>
        <v>0</v>
      </c>
      <c r="AZ6" s="60">
        <f t="shared" ref="AZ6:AZ69" si="33">AV6-AV5</f>
        <v>30</v>
      </c>
      <c r="BA6" s="60">
        <f t="shared" si="16"/>
        <v>0</v>
      </c>
      <c r="BB6" s="60">
        <f>ROUND(BA6*AZ6*Input!$C$3/365,0)</f>
        <v>0</v>
      </c>
      <c r="BC6" s="61">
        <f>IF($A6&lt;=Input!$C$6,0,IF('Fixed Tenure'!AY6&lt;'Fixed Tenure'!BA6,'Fixed Tenure'!AY6-BB6,'Fixed Tenure'!BA6))</f>
        <v>0</v>
      </c>
      <c r="BD6" s="61">
        <f t="shared" si="17"/>
        <v>0</v>
      </c>
      <c r="BE6" s="60">
        <f t="shared" si="18"/>
        <v>0</v>
      </c>
      <c r="BF6" s="193"/>
      <c r="BG6" s="169">
        <v>2</v>
      </c>
      <c r="BH6" s="1">
        <f t="shared" ref="BH6:BH69" si="34">EDATE(BH5,1)</f>
        <v>45580</v>
      </c>
      <c r="BI6" s="60">
        <f>IF($X6&lt;Input!$H$103,IF($X6&lt;Input!$G$103,IF($X6&lt;Input!$F$103,IF($X6&lt;Input!$E$103,IF($X6&lt;Input!$D$103,Input!$C$109,Input!$D$109),Input!$E$109),Input!$F$109),Input!$G$109),Input!$H$109)</f>
        <v>0</v>
      </c>
      <c r="BJ6" s="190">
        <f>IF($A6&lt;Input!$H$110,IF($A6&lt;Input!$G$110,IF($A6&lt;Input!$F$110,IF($A6&lt;Input!$E$110,IF($A6&lt;Input!$D$110,Input!$C$111,Input!$D$111),Input!$E$111),Input!$F$111),Input!$G$111),Input!$H$111)</f>
        <v>0.9</v>
      </c>
      <c r="BK6" s="60">
        <f t="shared" si="19"/>
        <v>0</v>
      </c>
      <c r="BL6" s="60">
        <f t="shared" ref="BL6:BL69" si="35">BH6-BH5</f>
        <v>30</v>
      </c>
      <c r="BM6" s="60">
        <f t="shared" si="20"/>
        <v>0</v>
      </c>
      <c r="BN6" s="60">
        <f>ROUND(BM6*BL6*Input!$C$3/365,0)</f>
        <v>0</v>
      </c>
      <c r="BO6" s="61">
        <f>IF($A6&lt;=Input!$C$6,0,IF('Fixed Tenure'!BK6&lt;'Fixed Tenure'!BM6,'Fixed Tenure'!BK6-BN6,'Fixed Tenure'!BM6))</f>
        <v>0</v>
      </c>
      <c r="BP6" s="61">
        <f t="shared" si="21"/>
        <v>0</v>
      </c>
      <c r="BQ6" s="60">
        <f t="shared" si="22"/>
        <v>0</v>
      </c>
      <c r="BR6" s="198"/>
    </row>
    <row r="7" spans="1:70" x14ac:dyDescent="0.25">
      <c r="A7" s="169">
        <v>3</v>
      </c>
      <c r="B7" s="1">
        <f t="shared" si="23"/>
        <v>45611</v>
      </c>
      <c r="C7" s="60">
        <f t="shared" si="1"/>
        <v>16470000</v>
      </c>
      <c r="D7" s="60">
        <f t="shared" si="2"/>
        <v>14823000</v>
      </c>
      <c r="E7" s="60">
        <f t="shared" si="24"/>
        <v>31</v>
      </c>
      <c r="F7" s="60">
        <f t="shared" si="25"/>
        <v>967655109.22744608</v>
      </c>
      <c r="G7" s="60">
        <f>ROUND(F7*E7*Input!$C$3/365,0)</f>
        <v>12327661</v>
      </c>
      <c r="H7" s="60">
        <f>IF($A7&lt;=Input!$C$6,0,IF('Fixed Tenure'!D7&lt;'Fixed Tenure'!F7,'Fixed Tenure'!D7-G7,'Fixed Tenure'!F7))</f>
        <v>2495339</v>
      </c>
      <c r="I7" s="60">
        <f t="shared" si="26"/>
        <v>14823000</v>
      </c>
      <c r="J7" s="60">
        <f t="shared" si="27"/>
        <v>965159770.22744608</v>
      </c>
      <c r="K7" s="202">
        <f>J7/Input!$K$5</f>
        <v>3.217199234091487</v>
      </c>
      <c r="L7" s="232"/>
      <c r="M7" s="60">
        <f>IF($B7&lt;Input!$H$43,IF($B7&lt;Input!$G$43,IF($B7&lt;Input!$F$43,IF($B7&lt;Input!$E$43,IF($B7&lt;Input!$D$43,Input!$C$49,Input!$D$49),Input!$E$49),Input!$F$49),Input!$G$49),Input!$H$49)</f>
        <v>16470000</v>
      </c>
      <c r="N7" s="190">
        <f>IF($A7&lt;Input!$H$50,IF($A7&lt;Input!$G$50,IF($A7&lt;Input!$F$50,IF($A7&lt;Input!$E$50,IF($A7&lt;Input!$D$50,Input!$C$51,Input!$D$51),Input!$E$51),Input!$F$51),Input!$G$51),Input!$H$51)</f>
        <v>0.9</v>
      </c>
      <c r="O7" s="60">
        <f t="shared" si="0"/>
        <v>14823000</v>
      </c>
      <c r="P7" s="60">
        <f t="shared" si="3"/>
        <v>31</v>
      </c>
      <c r="Q7" s="60">
        <f t="shared" si="4"/>
        <v>967655109.22744608</v>
      </c>
      <c r="R7" s="60">
        <f>ROUND(Q7*$P7*Input!$C$3/365,0)</f>
        <v>12327661</v>
      </c>
      <c r="S7" s="60">
        <f>IF(A7&lt;=Input!$C$6,0,IF('Fixed Tenure'!O7&lt;'Fixed Tenure'!Q7,'Fixed Tenure'!O7-R7,'Fixed Tenure'!Q7))</f>
        <v>2495339</v>
      </c>
      <c r="T7" s="60">
        <f t="shared" si="5"/>
        <v>14823000</v>
      </c>
      <c r="U7" s="60">
        <f t="shared" si="6"/>
        <v>965159770.22744608</v>
      </c>
      <c r="V7" s="193"/>
      <c r="W7" s="169">
        <v>3</v>
      </c>
      <c r="X7" s="1">
        <f t="shared" si="28"/>
        <v>45611</v>
      </c>
      <c r="Y7" s="60">
        <f>IF($X7&lt;Input!$H$58,IF($X7&lt;Input!$G$58,IF($X7&lt;Input!$F$58,IF($X7&lt;Input!$E$58,IF($X7&lt;Input!$D$58,Input!$C$64,Input!$D$64),Input!$E$64),Input!$F$64),Input!$G$64),Input!$H$64)</f>
        <v>0</v>
      </c>
      <c r="Z7" s="190">
        <f>IF($A7&lt;Input!$H$65,IF($A7&lt;Input!$G$65,IF($A7&lt;Input!$F$65,IF($A7&lt;Input!$E$65,IF($A7&lt;Input!$D$65,Input!$C$66,Input!$D$66),Input!$E$66),Input!$F$66),Input!$G$66),Input!$H$66)</f>
        <v>0.9</v>
      </c>
      <c r="AA7" s="60">
        <f t="shared" si="7"/>
        <v>0</v>
      </c>
      <c r="AB7" s="60">
        <f t="shared" si="29"/>
        <v>31</v>
      </c>
      <c r="AC7" s="60">
        <f t="shared" si="8"/>
        <v>0</v>
      </c>
      <c r="AD7" s="60">
        <f>ROUND(AC7*AB7*Input!$C$3/365,0)</f>
        <v>0</v>
      </c>
      <c r="AE7" s="61">
        <f>IF($A7&lt;=Input!$C$6,0,IF('Fixed Tenure'!AA7&lt;'Fixed Tenure'!AC7,'Fixed Tenure'!AA7-AD7,'Fixed Tenure'!AC7))</f>
        <v>0</v>
      </c>
      <c r="AF7" s="61">
        <f t="shared" si="9"/>
        <v>0</v>
      </c>
      <c r="AG7" s="60">
        <f t="shared" si="10"/>
        <v>0</v>
      </c>
      <c r="AH7" s="193"/>
      <c r="AI7" s="169">
        <v>3</v>
      </c>
      <c r="AJ7" s="1">
        <f t="shared" si="30"/>
        <v>45611</v>
      </c>
      <c r="AK7" s="60">
        <f>IF($X7&lt;Input!$H$73,IF($X7&lt;Input!$G$73,IF($X7&lt;Input!$F$73,IF($X7&lt;Input!$E$73,IF($X7&lt;Input!$D$73,Input!$C$79,Input!$D$79),Input!$E$79),Input!$F$79),Input!$G$79),Input!$H$79)</f>
        <v>0</v>
      </c>
      <c r="AL7" s="190">
        <f>IF($A7&lt;Input!$H$80,IF($A7&lt;Input!$G$80,IF($A7&lt;Input!$F$80,IF($A7&lt;Input!$E$80,IF($A7&lt;Input!$D$80,Input!$C$81,Input!$D$81),Input!$E$81),Input!$F$81),Input!$G$81),Input!$H$81)</f>
        <v>0.9</v>
      </c>
      <c r="AM7" s="60">
        <f t="shared" si="11"/>
        <v>0</v>
      </c>
      <c r="AN7" s="60">
        <f t="shared" si="31"/>
        <v>31</v>
      </c>
      <c r="AO7" s="60">
        <f t="shared" si="12"/>
        <v>0</v>
      </c>
      <c r="AP7" s="60">
        <f>ROUND(AO7*AN7*Input!$C$3/365,0)</f>
        <v>0</v>
      </c>
      <c r="AQ7" s="61">
        <f>IF($A7&lt;=Input!$C$6,0,IF('Fixed Tenure'!AM7&lt;'Fixed Tenure'!AO7,'Fixed Tenure'!AM7-AP7,'Fixed Tenure'!AO7))</f>
        <v>0</v>
      </c>
      <c r="AR7" s="61">
        <f t="shared" si="13"/>
        <v>0</v>
      </c>
      <c r="AS7" s="60">
        <f t="shared" si="14"/>
        <v>0</v>
      </c>
      <c r="AT7" s="193"/>
      <c r="AU7" s="169">
        <v>3</v>
      </c>
      <c r="AV7" s="1">
        <f t="shared" si="32"/>
        <v>45611</v>
      </c>
      <c r="AW7" s="60">
        <f>IF($X7&lt;Input!$H$88,IF($X7&lt;Input!$G$88,IF($X7&lt;Input!$F$88,IF($X7&lt;Input!$E$88,IF($X7&lt;Input!$D$88,Input!$C$94,Input!$D$94),Input!$E$94),Input!$F$94),Input!$G$94),Input!$H$94)</f>
        <v>0</v>
      </c>
      <c r="AX7" s="190">
        <f>IF($A7&lt;Input!$H$95,IF($A7&lt;Input!$G$95,IF($A7&lt;Input!$F$95,IF($A7&lt;Input!$E$95,IF($A7&lt;Input!$D$95,Input!$C$96,Input!$D$96),Input!$E$96),Input!$F$96),Input!$G$96),Input!$H$96)</f>
        <v>0.9</v>
      </c>
      <c r="AY7" s="60">
        <f t="shared" si="15"/>
        <v>0</v>
      </c>
      <c r="AZ7" s="60">
        <f t="shared" si="33"/>
        <v>31</v>
      </c>
      <c r="BA7" s="60">
        <f t="shared" si="16"/>
        <v>0</v>
      </c>
      <c r="BB7" s="60">
        <f>ROUND(BA7*AZ7*Input!$C$3/365,0)</f>
        <v>0</v>
      </c>
      <c r="BC7" s="61">
        <f>IF($A7&lt;=Input!$C$6,0,IF('Fixed Tenure'!AY7&lt;'Fixed Tenure'!BA7,'Fixed Tenure'!AY7-BB7,'Fixed Tenure'!BA7))</f>
        <v>0</v>
      </c>
      <c r="BD7" s="61">
        <f t="shared" si="17"/>
        <v>0</v>
      </c>
      <c r="BE7" s="60">
        <f t="shared" si="18"/>
        <v>0</v>
      </c>
      <c r="BF7" s="193"/>
      <c r="BG7" s="169">
        <v>3</v>
      </c>
      <c r="BH7" s="1">
        <f t="shared" si="34"/>
        <v>45611</v>
      </c>
      <c r="BI7" s="60">
        <f>IF($X7&lt;Input!$H$103,IF($X7&lt;Input!$G$103,IF($X7&lt;Input!$F$103,IF($X7&lt;Input!$E$103,IF($X7&lt;Input!$D$103,Input!$C$109,Input!$D$109),Input!$E$109),Input!$F$109),Input!$G$109),Input!$H$109)</f>
        <v>0</v>
      </c>
      <c r="BJ7" s="190">
        <f>IF($A7&lt;Input!$H$110,IF($A7&lt;Input!$G$110,IF($A7&lt;Input!$F$110,IF($A7&lt;Input!$E$110,IF($A7&lt;Input!$D$110,Input!$C$111,Input!$D$111),Input!$E$111),Input!$F$111),Input!$G$111),Input!$H$111)</f>
        <v>0.9</v>
      </c>
      <c r="BK7" s="60">
        <f t="shared" si="19"/>
        <v>0</v>
      </c>
      <c r="BL7" s="60">
        <f t="shared" si="35"/>
        <v>31</v>
      </c>
      <c r="BM7" s="60">
        <f t="shared" si="20"/>
        <v>0</v>
      </c>
      <c r="BN7" s="60">
        <f>ROUND(BM7*BL7*Input!$C$3/365,0)</f>
        <v>0</v>
      </c>
      <c r="BO7" s="61">
        <f>IF($A7&lt;=Input!$C$6,0,IF('Fixed Tenure'!BK7&lt;'Fixed Tenure'!BM7,'Fixed Tenure'!BK7-BN7,'Fixed Tenure'!BM7))</f>
        <v>0</v>
      </c>
      <c r="BP7" s="61">
        <f t="shared" si="21"/>
        <v>0</v>
      </c>
      <c r="BQ7" s="60">
        <f t="shared" si="22"/>
        <v>0</v>
      </c>
      <c r="BR7" s="198"/>
    </row>
    <row r="8" spans="1:70" x14ac:dyDescent="0.25">
      <c r="A8" s="169">
        <v>4</v>
      </c>
      <c r="B8" s="1">
        <f t="shared" si="23"/>
        <v>45641</v>
      </c>
      <c r="C8" s="60">
        <f t="shared" si="1"/>
        <v>16470000</v>
      </c>
      <c r="D8" s="60">
        <f t="shared" si="2"/>
        <v>14823000</v>
      </c>
      <c r="E8" s="60">
        <f t="shared" si="24"/>
        <v>30</v>
      </c>
      <c r="F8" s="60">
        <f t="shared" si="25"/>
        <v>965159770.22744608</v>
      </c>
      <c r="G8" s="60">
        <f>ROUND(F8*E8*Input!$C$3/365,0)</f>
        <v>11899230</v>
      </c>
      <c r="H8" s="60">
        <f>IF($A8&lt;=Input!$C$6,0,IF('Fixed Tenure'!D8&lt;'Fixed Tenure'!F8,'Fixed Tenure'!D8-G8,'Fixed Tenure'!F8))</f>
        <v>2923770</v>
      </c>
      <c r="I8" s="60">
        <f t="shared" si="26"/>
        <v>14823000</v>
      </c>
      <c r="J8" s="60">
        <f t="shared" si="27"/>
        <v>962236000.22744608</v>
      </c>
      <c r="K8" s="202">
        <f>J8/Input!$K$5</f>
        <v>3.207453334091487</v>
      </c>
      <c r="L8" s="232"/>
      <c r="M8" s="60">
        <f>IF($B8&lt;Input!$H$43,IF($B8&lt;Input!$G$43,IF($B8&lt;Input!$F$43,IF($B8&lt;Input!$E$43,IF($B8&lt;Input!$D$43,Input!$C$49,Input!$D$49),Input!$E$49),Input!$F$49),Input!$G$49),Input!$H$49)</f>
        <v>16470000</v>
      </c>
      <c r="N8" s="190">
        <f>IF($A8&lt;Input!$H$50,IF($A8&lt;Input!$G$50,IF($A8&lt;Input!$F$50,IF($A8&lt;Input!$E$50,IF($A8&lt;Input!$D$50,Input!$C$51,Input!$D$51),Input!$E$51),Input!$F$51),Input!$G$51),Input!$H$51)</f>
        <v>0.9</v>
      </c>
      <c r="O8" s="60">
        <f t="shared" si="0"/>
        <v>14823000</v>
      </c>
      <c r="P8" s="60">
        <f t="shared" si="3"/>
        <v>30</v>
      </c>
      <c r="Q8" s="60">
        <f t="shared" si="4"/>
        <v>965159770.22744608</v>
      </c>
      <c r="R8" s="60">
        <f>ROUND(Q8*$P8*Input!$C$3/365,0)</f>
        <v>11899230</v>
      </c>
      <c r="S8" s="60">
        <f>IF(A8&lt;=Input!$C$6,0,IF('Fixed Tenure'!O8&lt;'Fixed Tenure'!Q8,'Fixed Tenure'!O8-R8,'Fixed Tenure'!Q8))</f>
        <v>2923770</v>
      </c>
      <c r="T8" s="60">
        <f t="shared" si="5"/>
        <v>14823000</v>
      </c>
      <c r="U8" s="60">
        <f t="shared" si="6"/>
        <v>962236000.22744608</v>
      </c>
      <c r="V8" s="193"/>
      <c r="W8" s="169">
        <v>4</v>
      </c>
      <c r="X8" s="1">
        <f t="shared" si="28"/>
        <v>45641</v>
      </c>
      <c r="Y8" s="60">
        <f>IF($X8&lt;Input!$H$58,IF($X8&lt;Input!$G$58,IF($X8&lt;Input!$F$58,IF($X8&lt;Input!$E$58,IF($X8&lt;Input!$D$58,Input!$C$64,Input!$D$64),Input!$E$64),Input!$F$64),Input!$G$64),Input!$H$64)</f>
        <v>0</v>
      </c>
      <c r="Z8" s="190">
        <f>IF($A8&lt;Input!$H$65,IF($A8&lt;Input!$G$65,IF($A8&lt;Input!$F$65,IF($A8&lt;Input!$E$65,IF($A8&lt;Input!$D$65,Input!$C$66,Input!$D$66),Input!$E$66),Input!$F$66),Input!$G$66),Input!$H$66)</f>
        <v>0.9</v>
      </c>
      <c r="AA8" s="60">
        <f t="shared" si="7"/>
        <v>0</v>
      </c>
      <c r="AB8" s="60">
        <f t="shared" si="29"/>
        <v>30</v>
      </c>
      <c r="AC8" s="60">
        <f t="shared" si="8"/>
        <v>0</v>
      </c>
      <c r="AD8" s="60">
        <f>ROUND(AC8*AB8*Input!$C$3/365,0)</f>
        <v>0</v>
      </c>
      <c r="AE8" s="61">
        <f>IF($A8&lt;=Input!$C$6,0,IF('Fixed Tenure'!AA8&lt;'Fixed Tenure'!AC8,'Fixed Tenure'!AA8-AD8,'Fixed Tenure'!AC8))</f>
        <v>0</v>
      </c>
      <c r="AF8" s="61">
        <f t="shared" si="9"/>
        <v>0</v>
      </c>
      <c r="AG8" s="60">
        <f t="shared" si="10"/>
        <v>0</v>
      </c>
      <c r="AH8" s="193"/>
      <c r="AI8" s="169">
        <v>4</v>
      </c>
      <c r="AJ8" s="1">
        <f t="shared" si="30"/>
        <v>45641</v>
      </c>
      <c r="AK8" s="60">
        <f>IF($X8&lt;Input!$H$73,IF($X8&lt;Input!$G$73,IF($X8&lt;Input!$F$73,IF($X8&lt;Input!$E$73,IF($X8&lt;Input!$D$73,Input!$C$79,Input!$D$79),Input!$E$79),Input!$F$79),Input!$G$79),Input!$H$79)</f>
        <v>0</v>
      </c>
      <c r="AL8" s="190">
        <f>IF($A8&lt;Input!$H$80,IF($A8&lt;Input!$G$80,IF($A8&lt;Input!$F$80,IF($A8&lt;Input!$E$80,IF($A8&lt;Input!$D$80,Input!$C$81,Input!$D$81),Input!$E$81),Input!$F$81),Input!$G$81),Input!$H$81)</f>
        <v>0.9</v>
      </c>
      <c r="AM8" s="60">
        <f t="shared" si="11"/>
        <v>0</v>
      </c>
      <c r="AN8" s="60">
        <f t="shared" si="31"/>
        <v>30</v>
      </c>
      <c r="AO8" s="60">
        <f t="shared" si="12"/>
        <v>0</v>
      </c>
      <c r="AP8" s="60">
        <f>ROUND(AO8*AN8*Input!$C$3/365,0)</f>
        <v>0</v>
      </c>
      <c r="AQ8" s="61">
        <f>IF($A8&lt;=Input!$C$6,0,IF('Fixed Tenure'!AM8&lt;'Fixed Tenure'!AO8,'Fixed Tenure'!AM8-AP8,'Fixed Tenure'!AO8))</f>
        <v>0</v>
      </c>
      <c r="AR8" s="61">
        <f t="shared" si="13"/>
        <v>0</v>
      </c>
      <c r="AS8" s="60">
        <f t="shared" si="14"/>
        <v>0</v>
      </c>
      <c r="AT8" s="193"/>
      <c r="AU8" s="169">
        <v>4</v>
      </c>
      <c r="AV8" s="1">
        <f t="shared" si="32"/>
        <v>45641</v>
      </c>
      <c r="AW8" s="60">
        <f>IF($X8&lt;Input!$H$88,IF($X8&lt;Input!$G$88,IF($X8&lt;Input!$F$88,IF($X8&lt;Input!$E$88,IF($X8&lt;Input!$D$88,Input!$C$94,Input!$D$94),Input!$E$94),Input!$F$94),Input!$G$94),Input!$H$94)</f>
        <v>0</v>
      </c>
      <c r="AX8" s="190">
        <f>IF($A8&lt;Input!$H$95,IF($A8&lt;Input!$G$95,IF($A8&lt;Input!$F$95,IF($A8&lt;Input!$E$95,IF($A8&lt;Input!$D$95,Input!$C$96,Input!$D$96),Input!$E$96),Input!$F$96),Input!$G$96),Input!$H$96)</f>
        <v>0.9</v>
      </c>
      <c r="AY8" s="60">
        <f t="shared" si="15"/>
        <v>0</v>
      </c>
      <c r="AZ8" s="60">
        <f t="shared" si="33"/>
        <v>30</v>
      </c>
      <c r="BA8" s="60">
        <f t="shared" si="16"/>
        <v>0</v>
      </c>
      <c r="BB8" s="60">
        <f>ROUND(BA8*AZ8*Input!$C$3/365,0)</f>
        <v>0</v>
      </c>
      <c r="BC8" s="61">
        <f>IF($A8&lt;=Input!$C$6,0,IF('Fixed Tenure'!AY8&lt;'Fixed Tenure'!BA8,'Fixed Tenure'!AY8-BB8,'Fixed Tenure'!BA8))</f>
        <v>0</v>
      </c>
      <c r="BD8" s="61">
        <f t="shared" si="17"/>
        <v>0</v>
      </c>
      <c r="BE8" s="60">
        <f t="shared" si="18"/>
        <v>0</v>
      </c>
      <c r="BF8" s="193"/>
      <c r="BG8" s="169">
        <v>4</v>
      </c>
      <c r="BH8" s="1">
        <f t="shared" si="34"/>
        <v>45641</v>
      </c>
      <c r="BI8" s="60">
        <f>IF($X8&lt;Input!$H$103,IF($X8&lt;Input!$G$103,IF($X8&lt;Input!$F$103,IF($X8&lt;Input!$E$103,IF($X8&lt;Input!$D$103,Input!$C$109,Input!$D$109),Input!$E$109),Input!$F$109),Input!$G$109),Input!$H$109)</f>
        <v>0</v>
      </c>
      <c r="BJ8" s="190">
        <f>IF($A8&lt;Input!$H$110,IF($A8&lt;Input!$G$110,IF($A8&lt;Input!$F$110,IF($A8&lt;Input!$E$110,IF($A8&lt;Input!$D$110,Input!$C$111,Input!$D$111),Input!$E$111),Input!$F$111),Input!$G$111),Input!$H$111)</f>
        <v>0.9</v>
      </c>
      <c r="BK8" s="60">
        <f t="shared" si="19"/>
        <v>0</v>
      </c>
      <c r="BL8" s="60">
        <f t="shared" si="35"/>
        <v>30</v>
      </c>
      <c r="BM8" s="60">
        <f t="shared" si="20"/>
        <v>0</v>
      </c>
      <c r="BN8" s="60">
        <f>ROUND(BM8*BL8*Input!$C$3/365,0)</f>
        <v>0</v>
      </c>
      <c r="BO8" s="61">
        <f>IF($A8&lt;=Input!$C$6,0,IF('Fixed Tenure'!BK8&lt;'Fixed Tenure'!BM8,'Fixed Tenure'!BK8-BN8,'Fixed Tenure'!BM8))</f>
        <v>0</v>
      </c>
      <c r="BP8" s="61">
        <f t="shared" si="21"/>
        <v>0</v>
      </c>
      <c r="BQ8" s="60">
        <f t="shared" si="22"/>
        <v>0</v>
      </c>
      <c r="BR8" s="198"/>
    </row>
    <row r="9" spans="1:70" x14ac:dyDescent="0.25">
      <c r="A9" s="169">
        <v>5</v>
      </c>
      <c r="B9" s="1">
        <f t="shared" si="23"/>
        <v>45672</v>
      </c>
      <c r="C9" s="60">
        <f t="shared" si="1"/>
        <v>16470000</v>
      </c>
      <c r="D9" s="60">
        <f t="shared" si="2"/>
        <v>14823000</v>
      </c>
      <c r="E9" s="60">
        <f t="shared" si="24"/>
        <v>31</v>
      </c>
      <c r="F9" s="60">
        <f t="shared" si="25"/>
        <v>962236000.22744608</v>
      </c>
      <c r="G9" s="60">
        <f>ROUND(F9*E9*Input!$C$3/365,0)</f>
        <v>12258623</v>
      </c>
      <c r="H9" s="60">
        <f>IF($A9&lt;=Input!$C$6,0,IF('Fixed Tenure'!D9&lt;'Fixed Tenure'!F9,'Fixed Tenure'!D9-G9,'Fixed Tenure'!F9))</f>
        <v>2564377</v>
      </c>
      <c r="I9" s="60">
        <f t="shared" si="26"/>
        <v>14823000</v>
      </c>
      <c r="J9" s="60">
        <f t="shared" si="27"/>
        <v>959671623.22744608</v>
      </c>
      <c r="K9" s="202">
        <f>J9/Input!$K$5</f>
        <v>3.1989054107581536</v>
      </c>
      <c r="L9" s="232"/>
      <c r="M9" s="60">
        <f>IF($B9&lt;Input!$H$43,IF($B9&lt;Input!$G$43,IF($B9&lt;Input!$F$43,IF($B9&lt;Input!$E$43,IF($B9&lt;Input!$D$43,Input!$C$49,Input!$D$49),Input!$E$49),Input!$F$49),Input!$G$49),Input!$H$49)</f>
        <v>16470000</v>
      </c>
      <c r="N9" s="190">
        <f>IF($A9&lt;Input!$H$50,IF($A9&lt;Input!$G$50,IF($A9&lt;Input!$F$50,IF($A9&lt;Input!$E$50,IF($A9&lt;Input!$D$50,Input!$C$51,Input!$D$51),Input!$E$51),Input!$F$51),Input!$G$51),Input!$H$51)</f>
        <v>0.9</v>
      </c>
      <c r="O9" s="60">
        <f t="shared" si="0"/>
        <v>14823000</v>
      </c>
      <c r="P9" s="60">
        <f t="shared" si="3"/>
        <v>31</v>
      </c>
      <c r="Q9" s="60">
        <f t="shared" si="4"/>
        <v>962236000.22744608</v>
      </c>
      <c r="R9" s="60">
        <f>ROUND(Q9*$P9*Input!$C$3/365,0)</f>
        <v>12258623</v>
      </c>
      <c r="S9" s="60">
        <f>IF(A9&lt;=Input!$C$6,0,IF('Fixed Tenure'!O9&lt;'Fixed Tenure'!Q9,'Fixed Tenure'!O9-R9,'Fixed Tenure'!Q9))</f>
        <v>2564377</v>
      </c>
      <c r="T9" s="60">
        <f t="shared" si="5"/>
        <v>14823000</v>
      </c>
      <c r="U9" s="60">
        <f t="shared" si="6"/>
        <v>959671623.22744608</v>
      </c>
      <c r="V9" s="193"/>
      <c r="W9" s="169">
        <v>5</v>
      </c>
      <c r="X9" s="1">
        <f t="shared" si="28"/>
        <v>45672</v>
      </c>
      <c r="Y9" s="60">
        <f>IF($X9&lt;Input!$H$58,IF($X9&lt;Input!$G$58,IF($X9&lt;Input!$F$58,IF($X9&lt;Input!$E$58,IF($X9&lt;Input!$D$58,Input!$C$64,Input!$D$64),Input!$E$64),Input!$F$64),Input!$G$64),Input!$H$64)</f>
        <v>0</v>
      </c>
      <c r="Z9" s="190">
        <f>IF($A9&lt;Input!$H$65,IF($A9&lt;Input!$G$65,IF($A9&lt;Input!$F$65,IF($A9&lt;Input!$E$65,IF($A9&lt;Input!$D$65,Input!$C$66,Input!$D$66),Input!$E$66),Input!$F$66),Input!$G$66),Input!$H$66)</f>
        <v>0.9</v>
      </c>
      <c r="AA9" s="60">
        <f t="shared" si="7"/>
        <v>0</v>
      </c>
      <c r="AB9" s="60">
        <f t="shared" si="29"/>
        <v>31</v>
      </c>
      <c r="AC9" s="60">
        <f t="shared" si="8"/>
        <v>0</v>
      </c>
      <c r="AD9" s="60">
        <f>ROUND(AC9*AB9*Input!$C$3/365,0)</f>
        <v>0</v>
      </c>
      <c r="AE9" s="61">
        <f>IF($A9&lt;=Input!$C$6,0,IF('Fixed Tenure'!AA9&lt;'Fixed Tenure'!AC9,'Fixed Tenure'!AA9-AD9,'Fixed Tenure'!AC9))</f>
        <v>0</v>
      </c>
      <c r="AF9" s="61">
        <f t="shared" si="9"/>
        <v>0</v>
      </c>
      <c r="AG9" s="60">
        <f t="shared" si="10"/>
        <v>0</v>
      </c>
      <c r="AH9" s="193"/>
      <c r="AI9" s="169">
        <v>5</v>
      </c>
      <c r="AJ9" s="1">
        <f t="shared" si="30"/>
        <v>45672</v>
      </c>
      <c r="AK9" s="60">
        <f>IF($X9&lt;Input!$H$73,IF($X9&lt;Input!$G$73,IF($X9&lt;Input!$F$73,IF($X9&lt;Input!$E$73,IF($X9&lt;Input!$D$73,Input!$C$79,Input!$D$79),Input!$E$79),Input!$F$79),Input!$G$79),Input!$H$79)</f>
        <v>0</v>
      </c>
      <c r="AL9" s="190">
        <f>IF($A9&lt;Input!$H$80,IF($A9&lt;Input!$G$80,IF($A9&lt;Input!$F$80,IF($A9&lt;Input!$E$80,IF($A9&lt;Input!$D$80,Input!$C$81,Input!$D$81),Input!$E$81),Input!$F$81),Input!$G$81),Input!$H$81)</f>
        <v>0.9</v>
      </c>
      <c r="AM9" s="60">
        <f t="shared" si="11"/>
        <v>0</v>
      </c>
      <c r="AN9" s="60">
        <f t="shared" si="31"/>
        <v>31</v>
      </c>
      <c r="AO9" s="60">
        <f t="shared" si="12"/>
        <v>0</v>
      </c>
      <c r="AP9" s="60">
        <f>ROUND(AO9*AN9*Input!$C$3/365,0)</f>
        <v>0</v>
      </c>
      <c r="AQ9" s="61">
        <f>IF($A9&lt;=Input!$C$6,0,IF('Fixed Tenure'!AM9&lt;'Fixed Tenure'!AO9,'Fixed Tenure'!AM9-AP9,'Fixed Tenure'!AO9))</f>
        <v>0</v>
      </c>
      <c r="AR9" s="61">
        <f t="shared" si="13"/>
        <v>0</v>
      </c>
      <c r="AS9" s="60">
        <f t="shared" si="14"/>
        <v>0</v>
      </c>
      <c r="AT9" s="193"/>
      <c r="AU9" s="169">
        <v>5</v>
      </c>
      <c r="AV9" s="1">
        <f t="shared" si="32"/>
        <v>45672</v>
      </c>
      <c r="AW9" s="60">
        <f>IF($X9&lt;Input!$H$88,IF($X9&lt;Input!$G$88,IF($X9&lt;Input!$F$88,IF($X9&lt;Input!$E$88,IF($X9&lt;Input!$D$88,Input!$C$94,Input!$D$94),Input!$E$94),Input!$F$94),Input!$G$94),Input!$H$94)</f>
        <v>0</v>
      </c>
      <c r="AX9" s="190">
        <f>IF($A9&lt;Input!$H$95,IF($A9&lt;Input!$G$95,IF($A9&lt;Input!$F$95,IF($A9&lt;Input!$E$95,IF($A9&lt;Input!$D$95,Input!$C$96,Input!$D$96),Input!$E$96),Input!$F$96),Input!$G$96),Input!$H$96)</f>
        <v>0.9</v>
      </c>
      <c r="AY9" s="60">
        <f t="shared" si="15"/>
        <v>0</v>
      </c>
      <c r="AZ9" s="60">
        <f t="shared" si="33"/>
        <v>31</v>
      </c>
      <c r="BA9" s="60">
        <f t="shared" si="16"/>
        <v>0</v>
      </c>
      <c r="BB9" s="60">
        <f>ROUND(BA9*AZ9*Input!$C$3/365,0)</f>
        <v>0</v>
      </c>
      <c r="BC9" s="61">
        <f>IF($A9&lt;=Input!$C$6,0,IF('Fixed Tenure'!AY9&lt;'Fixed Tenure'!BA9,'Fixed Tenure'!AY9-BB9,'Fixed Tenure'!BA9))</f>
        <v>0</v>
      </c>
      <c r="BD9" s="61">
        <f t="shared" si="17"/>
        <v>0</v>
      </c>
      <c r="BE9" s="60">
        <f t="shared" si="18"/>
        <v>0</v>
      </c>
      <c r="BF9" s="193"/>
      <c r="BG9" s="169">
        <v>5</v>
      </c>
      <c r="BH9" s="1">
        <f t="shared" si="34"/>
        <v>45672</v>
      </c>
      <c r="BI9" s="60">
        <f>IF($X9&lt;Input!$H$103,IF($X9&lt;Input!$G$103,IF($X9&lt;Input!$F$103,IF($X9&lt;Input!$E$103,IF($X9&lt;Input!$D$103,Input!$C$109,Input!$D$109),Input!$E$109),Input!$F$109),Input!$G$109),Input!$H$109)</f>
        <v>0</v>
      </c>
      <c r="BJ9" s="190">
        <f>IF($A9&lt;Input!$H$110,IF($A9&lt;Input!$G$110,IF($A9&lt;Input!$F$110,IF($A9&lt;Input!$E$110,IF($A9&lt;Input!$D$110,Input!$C$111,Input!$D$111),Input!$E$111),Input!$F$111),Input!$G$111),Input!$H$111)</f>
        <v>0.9</v>
      </c>
      <c r="BK9" s="60">
        <f t="shared" si="19"/>
        <v>0</v>
      </c>
      <c r="BL9" s="60">
        <f t="shared" si="35"/>
        <v>31</v>
      </c>
      <c r="BM9" s="60">
        <f t="shared" si="20"/>
        <v>0</v>
      </c>
      <c r="BN9" s="60">
        <f>ROUND(BM9*BL9*Input!$C$3/365,0)</f>
        <v>0</v>
      </c>
      <c r="BO9" s="61">
        <f>IF($A9&lt;=Input!$C$6,0,IF('Fixed Tenure'!BK9&lt;'Fixed Tenure'!BM9,'Fixed Tenure'!BK9-BN9,'Fixed Tenure'!BM9))</f>
        <v>0</v>
      </c>
      <c r="BP9" s="61">
        <f t="shared" si="21"/>
        <v>0</v>
      </c>
      <c r="BQ9" s="60">
        <f t="shared" si="22"/>
        <v>0</v>
      </c>
      <c r="BR9" s="198"/>
    </row>
    <row r="10" spans="1:70" x14ac:dyDescent="0.25">
      <c r="A10" s="169">
        <v>6</v>
      </c>
      <c r="B10" s="1">
        <f t="shared" si="23"/>
        <v>45703</v>
      </c>
      <c r="C10" s="60">
        <f t="shared" si="1"/>
        <v>16470000</v>
      </c>
      <c r="D10" s="60">
        <f t="shared" si="2"/>
        <v>14823000</v>
      </c>
      <c r="E10" s="60">
        <f t="shared" si="24"/>
        <v>31</v>
      </c>
      <c r="F10" s="60">
        <f t="shared" si="25"/>
        <v>959671623.22744608</v>
      </c>
      <c r="G10" s="60">
        <f>ROUND(F10*E10*Input!$C$3/365,0)</f>
        <v>12225954</v>
      </c>
      <c r="H10" s="60">
        <f>IF($A10&lt;=Input!$C$6,0,IF('Fixed Tenure'!D10&lt;'Fixed Tenure'!F10,'Fixed Tenure'!D10-G10,'Fixed Tenure'!F10))</f>
        <v>2597046</v>
      </c>
      <c r="I10" s="60">
        <f t="shared" si="26"/>
        <v>14823000</v>
      </c>
      <c r="J10" s="60">
        <f t="shared" si="27"/>
        <v>957074577.22744608</v>
      </c>
      <c r="K10" s="202">
        <f>J10/Input!$K$5</f>
        <v>3.1902485907581535</v>
      </c>
      <c r="L10" s="232"/>
      <c r="M10" s="60">
        <f>IF($B10&lt;Input!$H$43,IF($B10&lt;Input!$G$43,IF($B10&lt;Input!$F$43,IF($B10&lt;Input!$E$43,IF($B10&lt;Input!$D$43,Input!$C$49,Input!$D$49),Input!$E$49),Input!$F$49),Input!$G$49),Input!$H$49)</f>
        <v>16470000</v>
      </c>
      <c r="N10" s="190">
        <f>IF($A10&lt;Input!$H$50,IF($A10&lt;Input!$G$50,IF($A10&lt;Input!$F$50,IF($A10&lt;Input!$E$50,IF($A10&lt;Input!$D$50,Input!$C$51,Input!$D$51),Input!$E$51),Input!$F$51),Input!$G$51),Input!$H$51)</f>
        <v>0.9</v>
      </c>
      <c r="O10" s="60">
        <f t="shared" si="0"/>
        <v>14823000</v>
      </c>
      <c r="P10" s="60">
        <f t="shared" si="3"/>
        <v>31</v>
      </c>
      <c r="Q10" s="60">
        <f t="shared" si="4"/>
        <v>959671623.22744608</v>
      </c>
      <c r="R10" s="60">
        <f>ROUND(Q10*$P10*Input!$C$3/365,0)</f>
        <v>12225954</v>
      </c>
      <c r="S10" s="60">
        <f>IF(A10&lt;=Input!$C$6,0,IF('Fixed Tenure'!O10&lt;'Fixed Tenure'!Q10,'Fixed Tenure'!O10-R10,'Fixed Tenure'!Q10))</f>
        <v>2597046</v>
      </c>
      <c r="T10" s="60">
        <f t="shared" si="5"/>
        <v>14823000</v>
      </c>
      <c r="U10" s="60">
        <f t="shared" si="6"/>
        <v>957074577.22744608</v>
      </c>
      <c r="V10" s="193"/>
      <c r="W10" s="169">
        <v>6</v>
      </c>
      <c r="X10" s="1">
        <f t="shared" si="28"/>
        <v>45703</v>
      </c>
      <c r="Y10" s="60">
        <f>IF($X10&lt;Input!$H$58,IF($X10&lt;Input!$G$58,IF($X10&lt;Input!$F$58,IF($X10&lt;Input!$E$58,IF($X10&lt;Input!$D$58,Input!$C$64,Input!$D$64),Input!$E$64),Input!$F$64),Input!$G$64),Input!$H$64)</f>
        <v>0</v>
      </c>
      <c r="Z10" s="190">
        <f>IF($A10&lt;Input!$H$65,IF($A10&lt;Input!$G$65,IF($A10&lt;Input!$F$65,IF($A10&lt;Input!$E$65,IF($A10&lt;Input!$D$65,Input!$C$66,Input!$D$66),Input!$E$66),Input!$F$66),Input!$G$66),Input!$H$66)</f>
        <v>0.9</v>
      </c>
      <c r="AA10" s="60">
        <f t="shared" si="7"/>
        <v>0</v>
      </c>
      <c r="AB10" s="60">
        <f t="shared" si="29"/>
        <v>31</v>
      </c>
      <c r="AC10" s="60">
        <f t="shared" si="8"/>
        <v>0</v>
      </c>
      <c r="AD10" s="60">
        <f>ROUND(AC10*AB10*Input!$C$3/365,0)</f>
        <v>0</v>
      </c>
      <c r="AE10" s="61">
        <f>IF($A10&lt;=Input!$C$6,0,IF('Fixed Tenure'!AA10&lt;'Fixed Tenure'!AC10,'Fixed Tenure'!AA10-AD10,'Fixed Tenure'!AC10))</f>
        <v>0</v>
      </c>
      <c r="AF10" s="61">
        <f t="shared" si="9"/>
        <v>0</v>
      </c>
      <c r="AG10" s="60">
        <f t="shared" si="10"/>
        <v>0</v>
      </c>
      <c r="AH10" s="193"/>
      <c r="AI10" s="169">
        <v>6</v>
      </c>
      <c r="AJ10" s="1">
        <f t="shared" si="30"/>
        <v>45703</v>
      </c>
      <c r="AK10" s="60">
        <f>IF($X10&lt;Input!$H$73,IF($X10&lt;Input!$G$73,IF($X10&lt;Input!$F$73,IF($X10&lt;Input!$E$73,IF($X10&lt;Input!$D$73,Input!$C$79,Input!$D$79),Input!$E$79),Input!$F$79),Input!$G$79),Input!$H$79)</f>
        <v>0</v>
      </c>
      <c r="AL10" s="190">
        <f>IF($A10&lt;Input!$H$80,IF($A10&lt;Input!$G$80,IF($A10&lt;Input!$F$80,IF($A10&lt;Input!$E$80,IF($A10&lt;Input!$D$80,Input!$C$81,Input!$D$81),Input!$E$81),Input!$F$81),Input!$G$81),Input!$H$81)</f>
        <v>0.9</v>
      </c>
      <c r="AM10" s="60">
        <f t="shared" si="11"/>
        <v>0</v>
      </c>
      <c r="AN10" s="60">
        <f t="shared" si="31"/>
        <v>31</v>
      </c>
      <c r="AO10" s="60">
        <f t="shared" si="12"/>
        <v>0</v>
      </c>
      <c r="AP10" s="60">
        <f>ROUND(AO10*AN10*Input!$C$3/365,0)</f>
        <v>0</v>
      </c>
      <c r="AQ10" s="61">
        <f>IF($A10&lt;=Input!$C$6,0,IF('Fixed Tenure'!AM10&lt;'Fixed Tenure'!AO10,'Fixed Tenure'!AM10-AP10,'Fixed Tenure'!AO10))</f>
        <v>0</v>
      </c>
      <c r="AR10" s="61">
        <f t="shared" si="13"/>
        <v>0</v>
      </c>
      <c r="AS10" s="60">
        <f t="shared" si="14"/>
        <v>0</v>
      </c>
      <c r="AT10" s="193"/>
      <c r="AU10" s="169">
        <v>6</v>
      </c>
      <c r="AV10" s="1">
        <f t="shared" si="32"/>
        <v>45703</v>
      </c>
      <c r="AW10" s="60">
        <f>IF($X10&lt;Input!$H$88,IF($X10&lt;Input!$G$88,IF($X10&lt;Input!$F$88,IF($X10&lt;Input!$E$88,IF($X10&lt;Input!$D$88,Input!$C$94,Input!$D$94),Input!$E$94),Input!$F$94),Input!$G$94),Input!$H$94)</f>
        <v>0</v>
      </c>
      <c r="AX10" s="190">
        <f>IF($A10&lt;Input!$H$95,IF($A10&lt;Input!$G$95,IF($A10&lt;Input!$F$95,IF($A10&lt;Input!$E$95,IF($A10&lt;Input!$D$95,Input!$C$96,Input!$D$96),Input!$E$96),Input!$F$96),Input!$G$96),Input!$H$96)</f>
        <v>0.9</v>
      </c>
      <c r="AY10" s="60">
        <f t="shared" si="15"/>
        <v>0</v>
      </c>
      <c r="AZ10" s="60">
        <f t="shared" si="33"/>
        <v>31</v>
      </c>
      <c r="BA10" s="60">
        <f t="shared" si="16"/>
        <v>0</v>
      </c>
      <c r="BB10" s="60">
        <f>ROUND(BA10*AZ10*Input!$C$3/365,0)</f>
        <v>0</v>
      </c>
      <c r="BC10" s="61">
        <f>IF($A10&lt;=Input!$C$6,0,IF('Fixed Tenure'!AY10&lt;'Fixed Tenure'!BA10,'Fixed Tenure'!AY10-BB10,'Fixed Tenure'!BA10))</f>
        <v>0</v>
      </c>
      <c r="BD10" s="61">
        <f t="shared" si="17"/>
        <v>0</v>
      </c>
      <c r="BE10" s="60">
        <f t="shared" si="18"/>
        <v>0</v>
      </c>
      <c r="BF10" s="193"/>
      <c r="BG10" s="169">
        <v>6</v>
      </c>
      <c r="BH10" s="1">
        <f t="shared" si="34"/>
        <v>45703</v>
      </c>
      <c r="BI10" s="60">
        <f>IF($X10&lt;Input!$H$103,IF($X10&lt;Input!$G$103,IF($X10&lt;Input!$F$103,IF($X10&lt;Input!$E$103,IF($X10&lt;Input!$D$103,Input!$C$109,Input!$D$109),Input!$E$109),Input!$F$109),Input!$G$109),Input!$H$109)</f>
        <v>0</v>
      </c>
      <c r="BJ10" s="190">
        <f>IF($A10&lt;Input!$H$110,IF($A10&lt;Input!$G$110,IF($A10&lt;Input!$F$110,IF($A10&lt;Input!$E$110,IF($A10&lt;Input!$D$110,Input!$C$111,Input!$D$111),Input!$E$111),Input!$F$111),Input!$G$111),Input!$H$111)</f>
        <v>0.9</v>
      </c>
      <c r="BK10" s="60">
        <f t="shared" si="19"/>
        <v>0</v>
      </c>
      <c r="BL10" s="60">
        <f t="shared" si="35"/>
        <v>31</v>
      </c>
      <c r="BM10" s="60">
        <f t="shared" si="20"/>
        <v>0</v>
      </c>
      <c r="BN10" s="60">
        <f>ROUND(BM10*BL10*Input!$C$3/365,0)</f>
        <v>0</v>
      </c>
      <c r="BO10" s="61">
        <f>IF($A10&lt;=Input!$C$6,0,IF('Fixed Tenure'!BK10&lt;'Fixed Tenure'!BM10,'Fixed Tenure'!BK10-BN10,'Fixed Tenure'!BM10))</f>
        <v>0</v>
      </c>
      <c r="BP10" s="61">
        <f t="shared" si="21"/>
        <v>0</v>
      </c>
      <c r="BQ10" s="60">
        <f t="shared" si="22"/>
        <v>0</v>
      </c>
      <c r="BR10" s="198"/>
    </row>
    <row r="11" spans="1:70" x14ac:dyDescent="0.25">
      <c r="A11" s="169">
        <v>7</v>
      </c>
      <c r="B11" s="1">
        <f t="shared" si="23"/>
        <v>45731</v>
      </c>
      <c r="C11" s="60">
        <f t="shared" si="1"/>
        <v>16470000</v>
      </c>
      <c r="D11" s="60">
        <f t="shared" si="2"/>
        <v>14823000</v>
      </c>
      <c r="E11" s="60">
        <f t="shared" si="24"/>
        <v>28</v>
      </c>
      <c r="F11" s="60">
        <f t="shared" si="25"/>
        <v>957074577.22744608</v>
      </c>
      <c r="G11" s="60">
        <f>ROUND(F11*E11*Input!$C$3/365,0)</f>
        <v>11012913</v>
      </c>
      <c r="H11" s="60">
        <f>IF($A11&lt;=Input!$C$6,0,IF('Fixed Tenure'!D11&lt;'Fixed Tenure'!F11,'Fixed Tenure'!D11-G11,'Fixed Tenure'!F11))</f>
        <v>3810087</v>
      </c>
      <c r="I11" s="60">
        <f t="shared" si="26"/>
        <v>14823000</v>
      </c>
      <c r="J11" s="60">
        <f t="shared" si="27"/>
        <v>953264490.22744608</v>
      </c>
      <c r="K11" s="202">
        <f>J11/Input!$K$5</f>
        <v>3.1775483007581538</v>
      </c>
      <c r="L11" s="232"/>
      <c r="M11" s="60">
        <f>IF($B11&lt;Input!$H$43,IF($B11&lt;Input!$G$43,IF($B11&lt;Input!$F$43,IF($B11&lt;Input!$E$43,IF($B11&lt;Input!$D$43,Input!$C$49,Input!$D$49),Input!$E$49),Input!$F$49),Input!$G$49),Input!$H$49)</f>
        <v>16470000</v>
      </c>
      <c r="N11" s="190">
        <f>IF($A11&lt;Input!$H$50,IF($A11&lt;Input!$G$50,IF($A11&lt;Input!$F$50,IF($A11&lt;Input!$E$50,IF($A11&lt;Input!$D$50,Input!$C$51,Input!$D$51),Input!$E$51),Input!$F$51),Input!$G$51),Input!$H$51)</f>
        <v>0.9</v>
      </c>
      <c r="O11" s="60">
        <f t="shared" si="0"/>
        <v>14823000</v>
      </c>
      <c r="P11" s="60">
        <f t="shared" si="3"/>
        <v>28</v>
      </c>
      <c r="Q11" s="60">
        <f t="shared" si="4"/>
        <v>957074577.22744608</v>
      </c>
      <c r="R11" s="60">
        <f>ROUND(Q11*$P11*Input!$C$3/365,0)</f>
        <v>11012913</v>
      </c>
      <c r="S11" s="60">
        <f>IF(A11&lt;=Input!$C$6,0,IF('Fixed Tenure'!O11&lt;'Fixed Tenure'!Q11,'Fixed Tenure'!O11-R11,'Fixed Tenure'!Q11))</f>
        <v>3810087</v>
      </c>
      <c r="T11" s="60">
        <f t="shared" si="5"/>
        <v>14823000</v>
      </c>
      <c r="U11" s="60">
        <f t="shared" si="6"/>
        <v>953264490.22744608</v>
      </c>
      <c r="V11" s="193"/>
      <c r="W11" s="169">
        <v>7</v>
      </c>
      <c r="X11" s="1">
        <f t="shared" si="28"/>
        <v>45731</v>
      </c>
      <c r="Y11" s="60">
        <f>IF($X11&lt;Input!$H$58,IF($X11&lt;Input!$G$58,IF($X11&lt;Input!$F$58,IF($X11&lt;Input!$E$58,IF($X11&lt;Input!$D$58,Input!$C$64,Input!$D$64),Input!$E$64),Input!$F$64),Input!$G$64),Input!$H$64)</f>
        <v>0</v>
      </c>
      <c r="Z11" s="190">
        <f>IF($A11&lt;Input!$H$65,IF($A11&lt;Input!$G$65,IF($A11&lt;Input!$F$65,IF($A11&lt;Input!$E$65,IF($A11&lt;Input!$D$65,Input!$C$66,Input!$D$66),Input!$E$66),Input!$F$66),Input!$G$66),Input!$H$66)</f>
        <v>0.9</v>
      </c>
      <c r="AA11" s="60">
        <f t="shared" si="7"/>
        <v>0</v>
      </c>
      <c r="AB11" s="60">
        <f t="shared" si="29"/>
        <v>28</v>
      </c>
      <c r="AC11" s="60">
        <f t="shared" si="8"/>
        <v>0</v>
      </c>
      <c r="AD11" s="60">
        <f>ROUND(AC11*AB11*Input!$C$3/365,0)</f>
        <v>0</v>
      </c>
      <c r="AE11" s="61">
        <f>IF($A11&lt;=Input!$C$6,0,IF('Fixed Tenure'!AA11&lt;'Fixed Tenure'!AC11,'Fixed Tenure'!AA11-AD11,'Fixed Tenure'!AC11))</f>
        <v>0</v>
      </c>
      <c r="AF11" s="61">
        <f t="shared" si="9"/>
        <v>0</v>
      </c>
      <c r="AG11" s="60">
        <f t="shared" si="10"/>
        <v>0</v>
      </c>
      <c r="AH11" s="193"/>
      <c r="AI11" s="169">
        <v>7</v>
      </c>
      <c r="AJ11" s="1">
        <f t="shared" si="30"/>
        <v>45731</v>
      </c>
      <c r="AK11" s="60">
        <f>IF($X11&lt;Input!$H$73,IF($X11&lt;Input!$G$73,IF($X11&lt;Input!$F$73,IF($X11&lt;Input!$E$73,IF($X11&lt;Input!$D$73,Input!$C$79,Input!$D$79),Input!$E$79),Input!$F$79),Input!$G$79),Input!$H$79)</f>
        <v>0</v>
      </c>
      <c r="AL11" s="190">
        <f>IF($A11&lt;Input!$H$80,IF($A11&lt;Input!$G$80,IF($A11&lt;Input!$F$80,IF($A11&lt;Input!$E$80,IF($A11&lt;Input!$D$80,Input!$C$81,Input!$D$81),Input!$E$81),Input!$F$81),Input!$G$81),Input!$H$81)</f>
        <v>0.9</v>
      </c>
      <c r="AM11" s="60">
        <f t="shared" si="11"/>
        <v>0</v>
      </c>
      <c r="AN11" s="60">
        <f t="shared" si="31"/>
        <v>28</v>
      </c>
      <c r="AO11" s="60">
        <f t="shared" si="12"/>
        <v>0</v>
      </c>
      <c r="AP11" s="60">
        <f>ROUND(AO11*AN11*Input!$C$3/365,0)</f>
        <v>0</v>
      </c>
      <c r="AQ11" s="61">
        <f>IF($A11&lt;=Input!$C$6,0,IF('Fixed Tenure'!AM11&lt;'Fixed Tenure'!AO11,'Fixed Tenure'!AM11-AP11,'Fixed Tenure'!AO11))</f>
        <v>0</v>
      </c>
      <c r="AR11" s="61">
        <f t="shared" si="13"/>
        <v>0</v>
      </c>
      <c r="AS11" s="60">
        <f t="shared" si="14"/>
        <v>0</v>
      </c>
      <c r="AT11" s="193"/>
      <c r="AU11" s="169">
        <v>7</v>
      </c>
      <c r="AV11" s="1">
        <f t="shared" si="32"/>
        <v>45731</v>
      </c>
      <c r="AW11" s="60">
        <f>IF($X11&lt;Input!$H$88,IF($X11&lt;Input!$G$88,IF($X11&lt;Input!$F$88,IF($X11&lt;Input!$E$88,IF($X11&lt;Input!$D$88,Input!$C$94,Input!$D$94),Input!$E$94),Input!$F$94),Input!$G$94),Input!$H$94)</f>
        <v>0</v>
      </c>
      <c r="AX11" s="190">
        <f>IF($A11&lt;Input!$H$95,IF($A11&lt;Input!$G$95,IF($A11&lt;Input!$F$95,IF($A11&lt;Input!$E$95,IF($A11&lt;Input!$D$95,Input!$C$96,Input!$D$96),Input!$E$96),Input!$F$96),Input!$G$96),Input!$H$96)</f>
        <v>0.9</v>
      </c>
      <c r="AY11" s="60">
        <f t="shared" si="15"/>
        <v>0</v>
      </c>
      <c r="AZ11" s="60">
        <f t="shared" si="33"/>
        <v>28</v>
      </c>
      <c r="BA11" s="60">
        <f t="shared" si="16"/>
        <v>0</v>
      </c>
      <c r="BB11" s="60">
        <f>ROUND(BA11*AZ11*Input!$C$3/365,0)</f>
        <v>0</v>
      </c>
      <c r="BC11" s="61">
        <f>IF($A11&lt;=Input!$C$6,0,IF('Fixed Tenure'!AY11&lt;'Fixed Tenure'!BA11,'Fixed Tenure'!AY11-BB11,'Fixed Tenure'!BA11))</f>
        <v>0</v>
      </c>
      <c r="BD11" s="61">
        <f t="shared" si="17"/>
        <v>0</v>
      </c>
      <c r="BE11" s="60">
        <f t="shared" si="18"/>
        <v>0</v>
      </c>
      <c r="BF11" s="193"/>
      <c r="BG11" s="169">
        <v>7</v>
      </c>
      <c r="BH11" s="1">
        <f t="shared" si="34"/>
        <v>45731</v>
      </c>
      <c r="BI11" s="60">
        <f>IF($X11&lt;Input!$H$103,IF($X11&lt;Input!$G$103,IF($X11&lt;Input!$F$103,IF($X11&lt;Input!$E$103,IF($X11&lt;Input!$D$103,Input!$C$109,Input!$D$109),Input!$E$109),Input!$F$109),Input!$G$109),Input!$H$109)</f>
        <v>0</v>
      </c>
      <c r="BJ11" s="190">
        <f>IF($A11&lt;Input!$H$110,IF($A11&lt;Input!$G$110,IF($A11&lt;Input!$F$110,IF($A11&lt;Input!$E$110,IF($A11&lt;Input!$D$110,Input!$C$111,Input!$D$111),Input!$E$111),Input!$F$111),Input!$G$111),Input!$H$111)</f>
        <v>0.9</v>
      </c>
      <c r="BK11" s="60">
        <f t="shared" si="19"/>
        <v>0</v>
      </c>
      <c r="BL11" s="60">
        <f t="shared" si="35"/>
        <v>28</v>
      </c>
      <c r="BM11" s="60">
        <f t="shared" si="20"/>
        <v>0</v>
      </c>
      <c r="BN11" s="60">
        <f>ROUND(BM11*BL11*Input!$C$3/365,0)</f>
        <v>0</v>
      </c>
      <c r="BO11" s="61">
        <f>IF($A11&lt;=Input!$C$6,0,IF('Fixed Tenure'!BK11&lt;'Fixed Tenure'!BM11,'Fixed Tenure'!BK11-BN11,'Fixed Tenure'!BM11))</f>
        <v>0</v>
      </c>
      <c r="BP11" s="61">
        <f t="shared" si="21"/>
        <v>0</v>
      </c>
      <c r="BQ11" s="60">
        <f t="shared" si="22"/>
        <v>0</v>
      </c>
      <c r="BR11" s="198"/>
    </row>
    <row r="12" spans="1:70" x14ac:dyDescent="0.25">
      <c r="A12" s="169">
        <v>8</v>
      </c>
      <c r="B12" s="1">
        <f t="shared" si="23"/>
        <v>45762</v>
      </c>
      <c r="C12" s="60">
        <f t="shared" si="1"/>
        <v>16470000</v>
      </c>
      <c r="D12" s="60">
        <f t="shared" si="2"/>
        <v>14823000</v>
      </c>
      <c r="E12" s="60">
        <f t="shared" si="24"/>
        <v>31</v>
      </c>
      <c r="F12" s="60">
        <f t="shared" si="25"/>
        <v>953264490.22744608</v>
      </c>
      <c r="G12" s="60">
        <f>ROUND(F12*E12*Input!$C$3/365,0)</f>
        <v>12144328</v>
      </c>
      <c r="H12" s="60">
        <f>IF($A12&lt;=Input!$C$6,0,IF('Fixed Tenure'!D12&lt;'Fixed Tenure'!F12,'Fixed Tenure'!D12-G12,'Fixed Tenure'!F12))</f>
        <v>2678672</v>
      </c>
      <c r="I12" s="60">
        <f t="shared" si="26"/>
        <v>14823000</v>
      </c>
      <c r="J12" s="60">
        <f t="shared" si="27"/>
        <v>950585818.22744608</v>
      </c>
      <c r="K12" s="202">
        <f>J12/Input!$K$5</f>
        <v>3.1686193940914871</v>
      </c>
      <c r="L12" s="232"/>
      <c r="M12" s="60">
        <f>IF($B12&lt;Input!$H$43,IF($B12&lt;Input!$G$43,IF($B12&lt;Input!$F$43,IF($B12&lt;Input!$E$43,IF($B12&lt;Input!$D$43,Input!$C$49,Input!$D$49),Input!$E$49),Input!$F$49),Input!$G$49),Input!$H$49)</f>
        <v>16470000</v>
      </c>
      <c r="N12" s="190">
        <f>IF($A12&lt;Input!$H$50,IF($A12&lt;Input!$G$50,IF($A12&lt;Input!$F$50,IF($A12&lt;Input!$E$50,IF($A12&lt;Input!$D$50,Input!$C$51,Input!$D$51),Input!$E$51),Input!$F$51),Input!$G$51),Input!$H$51)</f>
        <v>0.9</v>
      </c>
      <c r="O12" s="60">
        <f t="shared" si="0"/>
        <v>14823000</v>
      </c>
      <c r="P12" s="60">
        <f t="shared" si="3"/>
        <v>31</v>
      </c>
      <c r="Q12" s="60">
        <f t="shared" si="4"/>
        <v>953264490.22744608</v>
      </c>
      <c r="R12" s="60">
        <f>ROUND(Q12*$P12*Input!$C$3/365,0)</f>
        <v>12144328</v>
      </c>
      <c r="S12" s="60">
        <f>IF(A12&lt;=Input!$C$6,0,IF('Fixed Tenure'!O12&lt;'Fixed Tenure'!Q12,'Fixed Tenure'!O12-R12,'Fixed Tenure'!Q12))</f>
        <v>2678672</v>
      </c>
      <c r="T12" s="60">
        <f t="shared" si="5"/>
        <v>14823000</v>
      </c>
      <c r="U12" s="60">
        <f t="shared" si="6"/>
        <v>950585818.22744608</v>
      </c>
      <c r="V12" s="193"/>
      <c r="W12" s="169">
        <v>8</v>
      </c>
      <c r="X12" s="1">
        <f t="shared" si="28"/>
        <v>45762</v>
      </c>
      <c r="Y12" s="60">
        <f>IF($X12&lt;Input!$H$58,IF($X12&lt;Input!$G$58,IF($X12&lt;Input!$F$58,IF($X12&lt;Input!$E$58,IF($X12&lt;Input!$D$58,Input!$C$64,Input!$D$64),Input!$E$64),Input!$F$64),Input!$G$64),Input!$H$64)</f>
        <v>0</v>
      </c>
      <c r="Z12" s="190">
        <f>IF($A12&lt;Input!$H$65,IF($A12&lt;Input!$G$65,IF($A12&lt;Input!$F$65,IF($A12&lt;Input!$E$65,IF($A12&lt;Input!$D$65,Input!$C$66,Input!$D$66),Input!$E$66),Input!$F$66),Input!$G$66),Input!$H$66)</f>
        <v>0.9</v>
      </c>
      <c r="AA12" s="60">
        <f t="shared" si="7"/>
        <v>0</v>
      </c>
      <c r="AB12" s="60">
        <f t="shared" si="29"/>
        <v>31</v>
      </c>
      <c r="AC12" s="60">
        <f t="shared" si="8"/>
        <v>0</v>
      </c>
      <c r="AD12" s="60">
        <f>ROUND(AC12*AB12*Input!$C$3/365,0)</f>
        <v>0</v>
      </c>
      <c r="AE12" s="61">
        <f>IF($A12&lt;=Input!$C$6,0,IF('Fixed Tenure'!AA12&lt;'Fixed Tenure'!AC12,'Fixed Tenure'!AA12-AD12,'Fixed Tenure'!AC12))</f>
        <v>0</v>
      </c>
      <c r="AF12" s="61">
        <f t="shared" si="9"/>
        <v>0</v>
      </c>
      <c r="AG12" s="60">
        <f t="shared" si="10"/>
        <v>0</v>
      </c>
      <c r="AH12" s="193"/>
      <c r="AI12" s="169">
        <v>8</v>
      </c>
      <c r="AJ12" s="1">
        <f t="shared" si="30"/>
        <v>45762</v>
      </c>
      <c r="AK12" s="60">
        <f>IF($X12&lt;Input!$H$73,IF($X12&lt;Input!$G$73,IF($X12&lt;Input!$F$73,IF($X12&lt;Input!$E$73,IF($X12&lt;Input!$D$73,Input!$C$79,Input!$D$79),Input!$E$79),Input!$F$79),Input!$G$79),Input!$H$79)</f>
        <v>0</v>
      </c>
      <c r="AL12" s="190">
        <f>IF($A12&lt;Input!$H$80,IF($A12&lt;Input!$G$80,IF($A12&lt;Input!$F$80,IF($A12&lt;Input!$E$80,IF($A12&lt;Input!$D$80,Input!$C$81,Input!$D$81),Input!$E$81),Input!$F$81),Input!$G$81),Input!$H$81)</f>
        <v>0.9</v>
      </c>
      <c r="AM12" s="60">
        <f t="shared" si="11"/>
        <v>0</v>
      </c>
      <c r="AN12" s="60">
        <f t="shared" si="31"/>
        <v>31</v>
      </c>
      <c r="AO12" s="60">
        <f t="shared" si="12"/>
        <v>0</v>
      </c>
      <c r="AP12" s="60">
        <f>ROUND(AO12*AN12*Input!$C$3/365,0)</f>
        <v>0</v>
      </c>
      <c r="AQ12" s="61">
        <f>IF($A12&lt;=Input!$C$6,0,IF('Fixed Tenure'!AM12&lt;'Fixed Tenure'!AO12,'Fixed Tenure'!AM12-AP12,'Fixed Tenure'!AO12))</f>
        <v>0</v>
      </c>
      <c r="AR12" s="61">
        <f t="shared" si="13"/>
        <v>0</v>
      </c>
      <c r="AS12" s="60">
        <f t="shared" si="14"/>
        <v>0</v>
      </c>
      <c r="AT12" s="193"/>
      <c r="AU12" s="169">
        <v>8</v>
      </c>
      <c r="AV12" s="1">
        <f t="shared" si="32"/>
        <v>45762</v>
      </c>
      <c r="AW12" s="60">
        <f>IF($X12&lt;Input!$H$88,IF($X12&lt;Input!$G$88,IF($X12&lt;Input!$F$88,IF($X12&lt;Input!$E$88,IF($X12&lt;Input!$D$88,Input!$C$94,Input!$D$94),Input!$E$94),Input!$F$94),Input!$G$94),Input!$H$94)</f>
        <v>0</v>
      </c>
      <c r="AX12" s="190">
        <f>IF($A12&lt;Input!$H$95,IF($A12&lt;Input!$G$95,IF($A12&lt;Input!$F$95,IF($A12&lt;Input!$E$95,IF($A12&lt;Input!$D$95,Input!$C$96,Input!$D$96),Input!$E$96),Input!$F$96),Input!$G$96),Input!$H$96)</f>
        <v>0.9</v>
      </c>
      <c r="AY12" s="60">
        <f t="shared" si="15"/>
        <v>0</v>
      </c>
      <c r="AZ12" s="60">
        <f t="shared" si="33"/>
        <v>31</v>
      </c>
      <c r="BA12" s="60">
        <f t="shared" si="16"/>
        <v>0</v>
      </c>
      <c r="BB12" s="60">
        <f>ROUND(BA12*AZ12*Input!$C$3/365,0)</f>
        <v>0</v>
      </c>
      <c r="BC12" s="61">
        <f>IF($A12&lt;=Input!$C$6,0,IF('Fixed Tenure'!AY12&lt;'Fixed Tenure'!BA12,'Fixed Tenure'!AY12-BB12,'Fixed Tenure'!BA12))</f>
        <v>0</v>
      </c>
      <c r="BD12" s="61">
        <f t="shared" si="17"/>
        <v>0</v>
      </c>
      <c r="BE12" s="60">
        <f t="shared" si="18"/>
        <v>0</v>
      </c>
      <c r="BF12" s="193"/>
      <c r="BG12" s="169">
        <v>8</v>
      </c>
      <c r="BH12" s="1">
        <f t="shared" si="34"/>
        <v>45762</v>
      </c>
      <c r="BI12" s="60">
        <f>IF($X12&lt;Input!$H$103,IF($X12&lt;Input!$G$103,IF($X12&lt;Input!$F$103,IF($X12&lt;Input!$E$103,IF($X12&lt;Input!$D$103,Input!$C$109,Input!$D$109),Input!$E$109),Input!$F$109),Input!$G$109),Input!$H$109)</f>
        <v>0</v>
      </c>
      <c r="BJ12" s="190">
        <f>IF($A12&lt;Input!$H$110,IF($A12&lt;Input!$G$110,IF($A12&lt;Input!$F$110,IF($A12&lt;Input!$E$110,IF($A12&lt;Input!$D$110,Input!$C$111,Input!$D$111),Input!$E$111),Input!$F$111),Input!$G$111),Input!$H$111)</f>
        <v>0.9</v>
      </c>
      <c r="BK12" s="60">
        <f t="shared" si="19"/>
        <v>0</v>
      </c>
      <c r="BL12" s="60">
        <f t="shared" si="35"/>
        <v>31</v>
      </c>
      <c r="BM12" s="60">
        <f t="shared" si="20"/>
        <v>0</v>
      </c>
      <c r="BN12" s="60">
        <f>ROUND(BM12*BL12*Input!$C$3/365,0)</f>
        <v>0</v>
      </c>
      <c r="BO12" s="61">
        <f>IF($A12&lt;=Input!$C$6,0,IF('Fixed Tenure'!BK12&lt;'Fixed Tenure'!BM12,'Fixed Tenure'!BK12-BN12,'Fixed Tenure'!BM12))</f>
        <v>0</v>
      </c>
      <c r="BP12" s="61">
        <f t="shared" si="21"/>
        <v>0</v>
      </c>
      <c r="BQ12" s="60">
        <f t="shared" si="22"/>
        <v>0</v>
      </c>
      <c r="BR12" s="198"/>
    </row>
    <row r="13" spans="1:70" x14ac:dyDescent="0.25">
      <c r="A13" s="169">
        <v>9</v>
      </c>
      <c r="B13" s="1">
        <f t="shared" si="23"/>
        <v>45792</v>
      </c>
      <c r="C13" s="60">
        <f t="shared" si="1"/>
        <v>16470000</v>
      </c>
      <c r="D13" s="60">
        <f t="shared" si="2"/>
        <v>14823000</v>
      </c>
      <c r="E13" s="60">
        <f t="shared" si="24"/>
        <v>30</v>
      </c>
      <c r="F13" s="60">
        <f t="shared" si="25"/>
        <v>950585818.22744608</v>
      </c>
      <c r="G13" s="60">
        <f>ROUND(F13*E13*Input!$C$3/365,0)</f>
        <v>11719551</v>
      </c>
      <c r="H13" s="60">
        <f>IF($A13&lt;=Input!$C$6,0,IF('Fixed Tenure'!D13&lt;'Fixed Tenure'!F13,'Fixed Tenure'!D13-G13,'Fixed Tenure'!F13))</f>
        <v>3103449</v>
      </c>
      <c r="I13" s="60">
        <f t="shared" si="26"/>
        <v>14823000</v>
      </c>
      <c r="J13" s="60">
        <f t="shared" si="27"/>
        <v>947482369.22744608</v>
      </c>
      <c r="K13" s="202">
        <f>J13/Input!$K$5</f>
        <v>3.1582745640914869</v>
      </c>
      <c r="L13" s="232"/>
      <c r="M13" s="60">
        <f>IF($B13&lt;Input!$H$43,IF($B13&lt;Input!$G$43,IF($B13&lt;Input!$F$43,IF($B13&lt;Input!$E$43,IF($B13&lt;Input!$D$43,Input!$C$49,Input!$D$49),Input!$E$49),Input!$F$49),Input!$G$49),Input!$H$49)</f>
        <v>16470000</v>
      </c>
      <c r="N13" s="190">
        <f>IF($A13&lt;Input!$H$50,IF($A13&lt;Input!$G$50,IF($A13&lt;Input!$F$50,IF($A13&lt;Input!$E$50,IF($A13&lt;Input!$D$50,Input!$C$51,Input!$D$51),Input!$E$51),Input!$F$51),Input!$G$51),Input!$H$51)</f>
        <v>0.9</v>
      </c>
      <c r="O13" s="60">
        <f t="shared" si="0"/>
        <v>14823000</v>
      </c>
      <c r="P13" s="60">
        <f t="shared" si="3"/>
        <v>30</v>
      </c>
      <c r="Q13" s="60">
        <f t="shared" si="4"/>
        <v>950585818.22744608</v>
      </c>
      <c r="R13" s="60">
        <f>ROUND(Q13*$P13*Input!$C$3/365,0)</f>
        <v>11719551</v>
      </c>
      <c r="S13" s="60">
        <f>IF(A13&lt;=Input!$C$6,0,IF('Fixed Tenure'!O13&lt;'Fixed Tenure'!Q13,'Fixed Tenure'!O13-R13,'Fixed Tenure'!Q13))</f>
        <v>3103449</v>
      </c>
      <c r="T13" s="60">
        <f t="shared" si="5"/>
        <v>14823000</v>
      </c>
      <c r="U13" s="60">
        <f t="shared" si="6"/>
        <v>947482369.22744608</v>
      </c>
      <c r="V13" s="193"/>
      <c r="W13" s="169">
        <v>9</v>
      </c>
      <c r="X13" s="1">
        <f t="shared" si="28"/>
        <v>45792</v>
      </c>
      <c r="Y13" s="60">
        <f>IF($X13&lt;Input!$H$58,IF($X13&lt;Input!$G$58,IF($X13&lt;Input!$F$58,IF($X13&lt;Input!$E$58,IF($X13&lt;Input!$D$58,Input!$C$64,Input!$D$64),Input!$E$64),Input!$F$64),Input!$G$64),Input!$H$64)</f>
        <v>0</v>
      </c>
      <c r="Z13" s="190">
        <f>IF($A13&lt;Input!$H$65,IF($A13&lt;Input!$G$65,IF($A13&lt;Input!$F$65,IF($A13&lt;Input!$E$65,IF($A13&lt;Input!$D$65,Input!$C$66,Input!$D$66),Input!$E$66),Input!$F$66),Input!$G$66),Input!$H$66)</f>
        <v>0.9</v>
      </c>
      <c r="AA13" s="60">
        <f t="shared" si="7"/>
        <v>0</v>
      </c>
      <c r="AB13" s="60">
        <f t="shared" si="29"/>
        <v>30</v>
      </c>
      <c r="AC13" s="60">
        <f t="shared" si="8"/>
        <v>0</v>
      </c>
      <c r="AD13" s="60">
        <f>ROUND(AC13*AB13*Input!$C$3/365,0)</f>
        <v>0</v>
      </c>
      <c r="AE13" s="61">
        <f>IF($A13&lt;=Input!$C$6,0,IF('Fixed Tenure'!AA13&lt;'Fixed Tenure'!AC13,'Fixed Tenure'!AA13-AD13,'Fixed Tenure'!AC13))</f>
        <v>0</v>
      </c>
      <c r="AF13" s="61">
        <f t="shared" si="9"/>
        <v>0</v>
      </c>
      <c r="AG13" s="60">
        <f t="shared" si="10"/>
        <v>0</v>
      </c>
      <c r="AH13" s="193"/>
      <c r="AI13" s="169">
        <v>9</v>
      </c>
      <c r="AJ13" s="1">
        <f t="shared" si="30"/>
        <v>45792</v>
      </c>
      <c r="AK13" s="60">
        <f>IF($X13&lt;Input!$H$73,IF($X13&lt;Input!$G$73,IF($X13&lt;Input!$F$73,IF($X13&lt;Input!$E$73,IF($X13&lt;Input!$D$73,Input!$C$79,Input!$D$79),Input!$E$79),Input!$F$79),Input!$G$79),Input!$H$79)</f>
        <v>0</v>
      </c>
      <c r="AL13" s="190">
        <f>IF($A13&lt;Input!$H$80,IF($A13&lt;Input!$G$80,IF($A13&lt;Input!$F$80,IF($A13&lt;Input!$E$80,IF($A13&lt;Input!$D$80,Input!$C$81,Input!$D$81),Input!$E$81),Input!$F$81),Input!$G$81),Input!$H$81)</f>
        <v>0.9</v>
      </c>
      <c r="AM13" s="60">
        <f t="shared" si="11"/>
        <v>0</v>
      </c>
      <c r="AN13" s="60">
        <f t="shared" si="31"/>
        <v>30</v>
      </c>
      <c r="AO13" s="60">
        <f t="shared" si="12"/>
        <v>0</v>
      </c>
      <c r="AP13" s="60">
        <f>ROUND(AO13*AN13*Input!$C$3/365,0)</f>
        <v>0</v>
      </c>
      <c r="AQ13" s="61">
        <f>IF($A13&lt;=Input!$C$6,0,IF('Fixed Tenure'!AM13&lt;'Fixed Tenure'!AO13,'Fixed Tenure'!AM13-AP13,'Fixed Tenure'!AO13))</f>
        <v>0</v>
      </c>
      <c r="AR13" s="61">
        <f t="shared" si="13"/>
        <v>0</v>
      </c>
      <c r="AS13" s="60">
        <f t="shared" si="14"/>
        <v>0</v>
      </c>
      <c r="AT13" s="193"/>
      <c r="AU13" s="169">
        <v>9</v>
      </c>
      <c r="AV13" s="1">
        <f t="shared" si="32"/>
        <v>45792</v>
      </c>
      <c r="AW13" s="60">
        <f>IF($X13&lt;Input!$H$88,IF($X13&lt;Input!$G$88,IF($X13&lt;Input!$F$88,IF($X13&lt;Input!$E$88,IF($X13&lt;Input!$D$88,Input!$C$94,Input!$D$94),Input!$E$94),Input!$F$94),Input!$G$94),Input!$H$94)</f>
        <v>0</v>
      </c>
      <c r="AX13" s="190">
        <f>IF($A13&lt;Input!$H$95,IF($A13&lt;Input!$G$95,IF($A13&lt;Input!$F$95,IF($A13&lt;Input!$E$95,IF($A13&lt;Input!$D$95,Input!$C$96,Input!$D$96),Input!$E$96),Input!$F$96),Input!$G$96),Input!$H$96)</f>
        <v>0.9</v>
      </c>
      <c r="AY13" s="60">
        <f t="shared" si="15"/>
        <v>0</v>
      </c>
      <c r="AZ13" s="60">
        <f t="shared" si="33"/>
        <v>30</v>
      </c>
      <c r="BA13" s="60">
        <f t="shared" si="16"/>
        <v>0</v>
      </c>
      <c r="BB13" s="60">
        <f>ROUND(BA13*AZ13*Input!$C$3/365,0)</f>
        <v>0</v>
      </c>
      <c r="BC13" s="61">
        <f>IF($A13&lt;=Input!$C$6,0,IF('Fixed Tenure'!AY13&lt;'Fixed Tenure'!BA13,'Fixed Tenure'!AY13-BB13,'Fixed Tenure'!BA13))</f>
        <v>0</v>
      </c>
      <c r="BD13" s="61">
        <f t="shared" si="17"/>
        <v>0</v>
      </c>
      <c r="BE13" s="60">
        <f t="shared" si="18"/>
        <v>0</v>
      </c>
      <c r="BF13" s="193"/>
      <c r="BG13" s="169">
        <v>9</v>
      </c>
      <c r="BH13" s="1">
        <f t="shared" si="34"/>
        <v>45792</v>
      </c>
      <c r="BI13" s="60">
        <f>IF($X13&lt;Input!$H$103,IF($X13&lt;Input!$G$103,IF($X13&lt;Input!$F$103,IF($X13&lt;Input!$E$103,IF($X13&lt;Input!$D$103,Input!$C$109,Input!$D$109),Input!$E$109),Input!$F$109),Input!$G$109),Input!$H$109)</f>
        <v>0</v>
      </c>
      <c r="BJ13" s="190">
        <f>IF($A13&lt;Input!$H$110,IF($A13&lt;Input!$G$110,IF($A13&lt;Input!$F$110,IF($A13&lt;Input!$E$110,IF($A13&lt;Input!$D$110,Input!$C$111,Input!$D$111),Input!$E$111),Input!$F$111),Input!$G$111),Input!$H$111)</f>
        <v>0.9</v>
      </c>
      <c r="BK13" s="60">
        <f t="shared" si="19"/>
        <v>0</v>
      </c>
      <c r="BL13" s="60">
        <f t="shared" si="35"/>
        <v>30</v>
      </c>
      <c r="BM13" s="60">
        <f t="shared" si="20"/>
        <v>0</v>
      </c>
      <c r="BN13" s="60">
        <f>ROUND(BM13*BL13*Input!$C$3/365,0)</f>
        <v>0</v>
      </c>
      <c r="BO13" s="61">
        <f>IF($A13&lt;=Input!$C$6,0,IF('Fixed Tenure'!BK13&lt;'Fixed Tenure'!BM13,'Fixed Tenure'!BK13-BN13,'Fixed Tenure'!BM13))</f>
        <v>0</v>
      </c>
      <c r="BP13" s="61">
        <f t="shared" si="21"/>
        <v>0</v>
      </c>
      <c r="BQ13" s="60">
        <f t="shared" si="22"/>
        <v>0</v>
      </c>
      <c r="BR13" s="198"/>
    </row>
    <row r="14" spans="1:70" x14ac:dyDescent="0.25">
      <c r="A14" s="169">
        <v>10</v>
      </c>
      <c r="B14" s="1">
        <f t="shared" si="23"/>
        <v>45823</v>
      </c>
      <c r="C14" s="60">
        <f t="shared" si="1"/>
        <v>16470000</v>
      </c>
      <c r="D14" s="60">
        <f t="shared" si="2"/>
        <v>14823000</v>
      </c>
      <c r="E14" s="60">
        <f t="shared" si="24"/>
        <v>31</v>
      </c>
      <c r="F14" s="60">
        <f t="shared" si="25"/>
        <v>947482369.22744608</v>
      </c>
      <c r="G14" s="60">
        <f>ROUND(F14*E14*Input!$C$3/365,0)</f>
        <v>12070666</v>
      </c>
      <c r="H14" s="60">
        <f>IF($A14&lt;=Input!$C$6,0,IF('Fixed Tenure'!D14&lt;'Fixed Tenure'!F14,'Fixed Tenure'!D14-G14,'Fixed Tenure'!F14))</f>
        <v>2752334</v>
      </c>
      <c r="I14" s="60">
        <f t="shared" si="26"/>
        <v>14823000</v>
      </c>
      <c r="J14" s="60">
        <f t="shared" si="27"/>
        <v>944730035.22744608</v>
      </c>
      <c r="K14" s="202">
        <f>J14/Input!$K$5</f>
        <v>3.1491001174248203</v>
      </c>
      <c r="L14" s="232"/>
      <c r="M14" s="60">
        <f>IF($B14&lt;Input!$H$43,IF($B14&lt;Input!$G$43,IF($B14&lt;Input!$F$43,IF($B14&lt;Input!$E$43,IF($B14&lt;Input!$D$43,Input!$C$49,Input!$D$49),Input!$E$49),Input!$F$49),Input!$G$49),Input!$H$49)</f>
        <v>16470000</v>
      </c>
      <c r="N14" s="190">
        <f>IF($A14&lt;Input!$H$50,IF($A14&lt;Input!$G$50,IF($A14&lt;Input!$F$50,IF($A14&lt;Input!$E$50,IF($A14&lt;Input!$D$50,Input!$C$51,Input!$D$51),Input!$E$51),Input!$F$51),Input!$G$51),Input!$H$51)</f>
        <v>0.9</v>
      </c>
      <c r="O14" s="60">
        <f t="shared" si="0"/>
        <v>14823000</v>
      </c>
      <c r="P14" s="60">
        <f t="shared" si="3"/>
        <v>31</v>
      </c>
      <c r="Q14" s="60">
        <f t="shared" si="4"/>
        <v>947482369.22744608</v>
      </c>
      <c r="R14" s="60">
        <f>ROUND(Q14*$P14*Input!$C$3/365,0)</f>
        <v>12070666</v>
      </c>
      <c r="S14" s="60">
        <f>IF(A14&lt;=Input!$C$6,0,IF('Fixed Tenure'!O14&lt;'Fixed Tenure'!Q14,'Fixed Tenure'!O14-R14,'Fixed Tenure'!Q14))</f>
        <v>2752334</v>
      </c>
      <c r="T14" s="60">
        <f t="shared" si="5"/>
        <v>14823000</v>
      </c>
      <c r="U14" s="60">
        <f t="shared" si="6"/>
        <v>944730035.22744608</v>
      </c>
      <c r="V14" s="193"/>
      <c r="W14" s="169">
        <v>10</v>
      </c>
      <c r="X14" s="1">
        <f t="shared" si="28"/>
        <v>45823</v>
      </c>
      <c r="Y14" s="60">
        <f>IF($X14&lt;Input!$H$58,IF($X14&lt;Input!$G$58,IF($X14&lt;Input!$F$58,IF($X14&lt;Input!$E$58,IF($X14&lt;Input!$D$58,Input!$C$64,Input!$D$64),Input!$E$64),Input!$F$64),Input!$G$64),Input!$H$64)</f>
        <v>0</v>
      </c>
      <c r="Z14" s="190">
        <f>IF($A14&lt;Input!$H$65,IF($A14&lt;Input!$G$65,IF($A14&lt;Input!$F$65,IF($A14&lt;Input!$E$65,IF($A14&lt;Input!$D$65,Input!$C$66,Input!$D$66),Input!$E$66),Input!$F$66),Input!$G$66),Input!$H$66)</f>
        <v>0.9</v>
      </c>
      <c r="AA14" s="60">
        <f t="shared" si="7"/>
        <v>0</v>
      </c>
      <c r="AB14" s="60">
        <f t="shared" si="29"/>
        <v>31</v>
      </c>
      <c r="AC14" s="60">
        <f t="shared" si="8"/>
        <v>0</v>
      </c>
      <c r="AD14" s="60">
        <f>ROUND(AC14*AB14*Input!$C$3/365,0)</f>
        <v>0</v>
      </c>
      <c r="AE14" s="61">
        <f>IF($A14&lt;=Input!$C$6,0,IF('Fixed Tenure'!AA14&lt;'Fixed Tenure'!AC14,'Fixed Tenure'!AA14-AD14,'Fixed Tenure'!AC14))</f>
        <v>0</v>
      </c>
      <c r="AF14" s="61">
        <f t="shared" si="9"/>
        <v>0</v>
      </c>
      <c r="AG14" s="60">
        <f t="shared" si="10"/>
        <v>0</v>
      </c>
      <c r="AH14" s="193"/>
      <c r="AI14" s="169">
        <v>10</v>
      </c>
      <c r="AJ14" s="1">
        <f t="shared" si="30"/>
        <v>45823</v>
      </c>
      <c r="AK14" s="60">
        <f>IF($X14&lt;Input!$H$73,IF($X14&lt;Input!$G$73,IF($X14&lt;Input!$F$73,IF($X14&lt;Input!$E$73,IF($X14&lt;Input!$D$73,Input!$C$79,Input!$D$79),Input!$E$79),Input!$F$79),Input!$G$79),Input!$H$79)</f>
        <v>0</v>
      </c>
      <c r="AL14" s="190">
        <f>IF($A14&lt;Input!$H$80,IF($A14&lt;Input!$G$80,IF($A14&lt;Input!$F$80,IF($A14&lt;Input!$E$80,IF($A14&lt;Input!$D$80,Input!$C$81,Input!$D$81),Input!$E$81),Input!$F$81),Input!$G$81),Input!$H$81)</f>
        <v>0.9</v>
      </c>
      <c r="AM14" s="60">
        <f t="shared" si="11"/>
        <v>0</v>
      </c>
      <c r="AN14" s="60">
        <f t="shared" si="31"/>
        <v>31</v>
      </c>
      <c r="AO14" s="60">
        <f t="shared" si="12"/>
        <v>0</v>
      </c>
      <c r="AP14" s="60">
        <f>ROUND(AO14*AN14*Input!$C$3/365,0)</f>
        <v>0</v>
      </c>
      <c r="AQ14" s="61">
        <f>IF($A14&lt;=Input!$C$6,0,IF('Fixed Tenure'!AM14&lt;'Fixed Tenure'!AO14,'Fixed Tenure'!AM14-AP14,'Fixed Tenure'!AO14))</f>
        <v>0</v>
      </c>
      <c r="AR14" s="61">
        <f t="shared" si="13"/>
        <v>0</v>
      </c>
      <c r="AS14" s="60">
        <f t="shared" si="14"/>
        <v>0</v>
      </c>
      <c r="AT14" s="193"/>
      <c r="AU14" s="169">
        <v>10</v>
      </c>
      <c r="AV14" s="1">
        <f t="shared" si="32"/>
        <v>45823</v>
      </c>
      <c r="AW14" s="60">
        <f>IF($X14&lt;Input!$H$88,IF($X14&lt;Input!$G$88,IF($X14&lt;Input!$F$88,IF($X14&lt;Input!$E$88,IF($X14&lt;Input!$D$88,Input!$C$94,Input!$D$94),Input!$E$94),Input!$F$94),Input!$G$94),Input!$H$94)</f>
        <v>0</v>
      </c>
      <c r="AX14" s="190">
        <f>IF($A14&lt;Input!$H$95,IF($A14&lt;Input!$G$95,IF($A14&lt;Input!$F$95,IF($A14&lt;Input!$E$95,IF($A14&lt;Input!$D$95,Input!$C$96,Input!$D$96),Input!$E$96),Input!$F$96),Input!$G$96),Input!$H$96)</f>
        <v>0.9</v>
      </c>
      <c r="AY14" s="60">
        <f t="shared" si="15"/>
        <v>0</v>
      </c>
      <c r="AZ14" s="60">
        <f t="shared" si="33"/>
        <v>31</v>
      </c>
      <c r="BA14" s="60">
        <f t="shared" si="16"/>
        <v>0</v>
      </c>
      <c r="BB14" s="60">
        <f>ROUND(BA14*AZ14*Input!$C$3/365,0)</f>
        <v>0</v>
      </c>
      <c r="BC14" s="61">
        <f>IF($A14&lt;=Input!$C$6,0,IF('Fixed Tenure'!AY14&lt;'Fixed Tenure'!BA14,'Fixed Tenure'!AY14-BB14,'Fixed Tenure'!BA14))</f>
        <v>0</v>
      </c>
      <c r="BD14" s="61">
        <f t="shared" si="17"/>
        <v>0</v>
      </c>
      <c r="BE14" s="60">
        <f t="shared" si="18"/>
        <v>0</v>
      </c>
      <c r="BF14" s="193"/>
      <c r="BG14" s="169">
        <v>10</v>
      </c>
      <c r="BH14" s="1">
        <f t="shared" si="34"/>
        <v>45823</v>
      </c>
      <c r="BI14" s="60">
        <f>IF($X14&lt;Input!$H$103,IF($X14&lt;Input!$G$103,IF($X14&lt;Input!$F$103,IF($X14&lt;Input!$E$103,IF($X14&lt;Input!$D$103,Input!$C$109,Input!$D$109),Input!$E$109),Input!$F$109),Input!$G$109),Input!$H$109)</f>
        <v>0</v>
      </c>
      <c r="BJ14" s="190">
        <f>IF($A14&lt;Input!$H$110,IF($A14&lt;Input!$G$110,IF($A14&lt;Input!$F$110,IF($A14&lt;Input!$E$110,IF($A14&lt;Input!$D$110,Input!$C$111,Input!$D$111),Input!$E$111),Input!$F$111),Input!$G$111),Input!$H$111)</f>
        <v>0.9</v>
      </c>
      <c r="BK14" s="60">
        <f t="shared" si="19"/>
        <v>0</v>
      </c>
      <c r="BL14" s="60">
        <f t="shared" si="35"/>
        <v>31</v>
      </c>
      <c r="BM14" s="60">
        <f t="shared" si="20"/>
        <v>0</v>
      </c>
      <c r="BN14" s="60">
        <f>ROUND(BM14*BL14*Input!$C$3/365,0)</f>
        <v>0</v>
      </c>
      <c r="BO14" s="61">
        <f>IF($A14&lt;=Input!$C$6,0,IF('Fixed Tenure'!BK14&lt;'Fixed Tenure'!BM14,'Fixed Tenure'!BK14-BN14,'Fixed Tenure'!BM14))</f>
        <v>0</v>
      </c>
      <c r="BP14" s="61">
        <f t="shared" si="21"/>
        <v>0</v>
      </c>
      <c r="BQ14" s="60">
        <f t="shared" si="22"/>
        <v>0</v>
      </c>
      <c r="BR14" s="198"/>
    </row>
    <row r="15" spans="1:70" x14ac:dyDescent="0.25">
      <c r="A15" s="169">
        <v>11</v>
      </c>
      <c r="B15" s="1">
        <f t="shared" si="23"/>
        <v>45853</v>
      </c>
      <c r="C15" s="60">
        <f t="shared" si="1"/>
        <v>16470000</v>
      </c>
      <c r="D15" s="60">
        <f t="shared" si="2"/>
        <v>14823000</v>
      </c>
      <c r="E15" s="60">
        <f t="shared" si="24"/>
        <v>30</v>
      </c>
      <c r="F15" s="60">
        <f t="shared" si="25"/>
        <v>944730035.22744608</v>
      </c>
      <c r="G15" s="60">
        <f>ROUND(F15*E15*Input!$C$3/365,0)</f>
        <v>11647357</v>
      </c>
      <c r="H15" s="60">
        <f>IF($A15&lt;=Input!$C$6,0,IF('Fixed Tenure'!D15&lt;'Fixed Tenure'!F15,'Fixed Tenure'!D15-G15,'Fixed Tenure'!F15))</f>
        <v>3175643</v>
      </c>
      <c r="I15" s="60">
        <f t="shared" si="26"/>
        <v>14823000</v>
      </c>
      <c r="J15" s="60">
        <f t="shared" si="27"/>
        <v>941554392.22744608</v>
      </c>
      <c r="K15" s="202">
        <f>J15/Input!$K$5</f>
        <v>3.1385146407581535</v>
      </c>
      <c r="L15" s="232"/>
      <c r="M15" s="60">
        <f>IF($B15&lt;Input!$H$43,IF($B15&lt;Input!$G$43,IF($B15&lt;Input!$F$43,IF($B15&lt;Input!$E$43,IF($B15&lt;Input!$D$43,Input!$C$49,Input!$D$49),Input!$E$49),Input!$F$49),Input!$G$49),Input!$H$49)</f>
        <v>16470000</v>
      </c>
      <c r="N15" s="190">
        <f>IF($A15&lt;Input!$H$50,IF($A15&lt;Input!$G$50,IF($A15&lt;Input!$F$50,IF($A15&lt;Input!$E$50,IF($A15&lt;Input!$D$50,Input!$C$51,Input!$D$51),Input!$E$51),Input!$F$51),Input!$G$51),Input!$H$51)</f>
        <v>0.9</v>
      </c>
      <c r="O15" s="60">
        <f t="shared" si="0"/>
        <v>14823000</v>
      </c>
      <c r="P15" s="60">
        <f t="shared" si="3"/>
        <v>30</v>
      </c>
      <c r="Q15" s="60">
        <f t="shared" si="4"/>
        <v>944730035.22744608</v>
      </c>
      <c r="R15" s="60">
        <f>ROUND(Q15*$P15*Input!$C$3/365,0)</f>
        <v>11647357</v>
      </c>
      <c r="S15" s="60">
        <f>IF(A15&lt;=Input!$C$6,0,IF('Fixed Tenure'!O15&lt;'Fixed Tenure'!Q15,'Fixed Tenure'!O15-R15,'Fixed Tenure'!Q15))</f>
        <v>3175643</v>
      </c>
      <c r="T15" s="60">
        <f t="shared" si="5"/>
        <v>14823000</v>
      </c>
      <c r="U15" s="60">
        <f t="shared" si="6"/>
        <v>941554392.22744608</v>
      </c>
      <c r="V15" s="193"/>
      <c r="W15" s="169">
        <v>11</v>
      </c>
      <c r="X15" s="1">
        <f t="shared" si="28"/>
        <v>45853</v>
      </c>
      <c r="Y15" s="60">
        <f>IF($X15&lt;Input!$H$58,IF($X15&lt;Input!$G$58,IF($X15&lt;Input!$F$58,IF($X15&lt;Input!$E$58,IF($X15&lt;Input!$D$58,Input!$C$64,Input!$D$64),Input!$E$64),Input!$F$64),Input!$G$64),Input!$H$64)</f>
        <v>0</v>
      </c>
      <c r="Z15" s="190">
        <f>IF($A15&lt;Input!$H$65,IF($A15&lt;Input!$G$65,IF($A15&lt;Input!$F$65,IF($A15&lt;Input!$E$65,IF($A15&lt;Input!$D$65,Input!$C$66,Input!$D$66),Input!$E$66),Input!$F$66),Input!$G$66),Input!$H$66)</f>
        <v>0.9</v>
      </c>
      <c r="AA15" s="60">
        <f t="shared" si="7"/>
        <v>0</v>
      </c>
      <c r="AB15" s="60">
        <f t="shared" si="29"/>
        <v>30</v>
      </c>
      <c r="AC15" s="60">
        <f t="shared" si="8"/>
        <v>0</v>
      </c>
      <c r="AD15" s="60">
        <f>ROUND(AC15*AB15*Input!$C$3/365,0)</f>
        <v>0</v>
      </c>
      <c r="AE15" s="61">
        <f>IF($A15&lt;=Input!$C$6,0,IF('Fixed Tenure'!AA15&lt;'Fixed Tenure'!AC15,'Fixed Tenure'!AA15-AD15,'Fixed Tenure'!AC15))</f>
        <v>0</v>
      </c>
      <c r="AF15" s="61">
        <f t="shared" si="9"/>
        <v>0</v>
      </c>
      <c r="AG15" s="60">
        <f t="shared" si="10"/>
        <v>0</v>
      </c>
      <c r="AH15" s="193"/>
      <c r="AI15" s="169">
        <v>11</v>
      </c>
      <c r="AJ15" s="1">
        <f t="shared" si="30"/>
        <v>45853</v>
      </c>
      <c r="AK15" s="60">
        <f>IF($X15&lt;Input!$H$73,IF($X15&lt;Input!$G$73,IF($X15&lt;Input!$F$73,IF($X15&lt;Input!$E$73,IF($X15&lt;Input!$D$73,Input!$C$79,Input!$D$79),Input!$E$79),Input!$F$79),Input!$G$79),Input!$H$79)</f>
        <v>0</v>
      </c>
      <c r="AL15" s="190">
        <f>IF($A15&lt;Input!$H$80,IF($A15&lt;Input!$G$80,IF($A15&lt;Input!$F$80,IF($A15&lt;Input!$E$80,IF($A15&lt;Input!$D$80,Input!$C$81,Input!$D$81),Input!$E$81),Input!$F$81),Input!$G$81),Input!$H$81)</f>
        <v>0.9</v>
      </c>
      <c r="AM15" s="60">
        <f t="shared" si="11"/>
        <v>0</v>
      </c>
      <c r="AN15" s="60">
        <f t="shared" si="31"/>
        <v>30</v>
      </c>
      <c r="AO15" s="60">
        <f t="shared" si="12"/>
        <v>0</v>
      </c>
      <c r="AP15" s="60">
        <f>ROUND(AO15*AN15*Input!$C$3/365,0)</f>
        <v>0</v>
      </c>
      <c r="AQ15" s="61">
        <f>IF($A15&lt;=Input!$C$6,0,IF('Fixed Tenure'!AM15&lt;'Fixed Tenure'!AO15,'Fixed Tenure'!AM15-AP15,'Fixed Tenure'!AO15))</f>
        <v>0</v>
      </c>
      <c r="AR15" s="61">
        <f t="shared" si="13"/>
        <v>0</v>
      </c>
      <c r="AS15" s="60">
        <f t="shared" si="14"/>
        <v>0</v>
      </c>
      <c r="AT15" s="193"/>
      <c r="AU15" s="169">
        <v>11</v>
      </c>
      <c r="AV15" s="1">
        <f t="shared" si="32"/>
        <v>45853</v>
      </c>
      <c r="AW15" s="60">
        <f>IF($X15&lt;Input!$H$88,IF($X15&lt;Input!$G$88,IF($X15&lt;Input!$F$88,IF($X15&lt;Input!$E$88,IF($X15&lt;Input!$D$88,Input!$C$94,Input!$D$94),Input!$E$94),Input!$F$94),Input!$G$94),Input!$H$94)</f>
        <v>0</v>
      </c>
      <c r="AX15" s="190">
        <f>IF($A15&lt;Input!$H$95,IF($A15&lt;Input!$G$95,IF($A15&lt;Input!$F$95,IF($A15&lt;Input!$E$95,IF($A15&lt;Input!$D$95,Input!$C$96,Input!$D$96),Input!$E$96),Input!$F$96),Input!$G$96),Input!$H$96)</f>
        <v>0.9</v>
      </c>
      <c r="AY15" s="60">
        <f t="shared" si="15"/>
        <v>0</v>
      </c>
      <c r="AZ15" s="60">
        <f t="shared" si="33"/>
        <v>30</v>
      </c>
      <c r="BA15" s="60">
        <f t="shared" si="16"/>
        <v>0</v>
      </c>
      <c r="BB15" s="60">
        <f>ROUND(BA15*AZ15*Input!$C$3/365,0)</f>
        <v>0</v>
      </c>
      <c r="BC15" s="61">
        <f>IF($A15&lt;=Input!$C$6,0,IF('Fixed Tenure'!AY15&lt;'Fixed Tenure'!BA15,'Fixed Tenure'!AY15-BB15,'Fixed Tenure'!BA15))</f>
        <v>0</v>
      </c>
      <c r="BD15" s="61">
        <f t="shared" si="17"/>
        <v>0</v>
      </c>
      <c r="BE15" s="60">
        <f t="shared" si="18"/>
        <v>0</v>
      </c>
      <c r="BF15" s="193"/>
      <c r="BG15" s="169">
        <v>11</v>
      </c>
      <c r="BH15" s="1">
        <f t="shared" si="34"/>
        <v>45853</v>
      </c>
      <c r="BI15" s="60">
        <f>IF($X15&lt;Input!$H$103,IF($X15&lt;Input!$G$103,IF($X15&lt;Input!$F$103,IF($X15&lt;Input!$E$103,IF($X15&lt;Input!$D$103,Input!$C$109,Input!$D$109),Input!$E$109),Input!$F$109),Input!$G$109),Input!$H$109)</f>
        <v>0</v>
      </c>
      <c r="BJ15" s="190">
        <f>IF($A15&lt;Input!$H$110,IF($A15&lt;Input!$G$110,IF($A15&lt;Input!$F$110,IF($A15&lt;Input!$E$110,IF($A15&lt;Input!$D$110,Input!$C$111,Input!$D$111),Input!$E$111),Input!$F$111),Input!$G$111),Input!$H$111)</f>
        <v>0.9</v>
      </c>
      <c r="BK15" s="60">
        <f t="shared" si="19"/>
        <v>0</v>
      </c>
      <c r="BL15" s="60">
        <f t="shared" si="35"/>
        <v>30</v>
      </c>
      <c r="BM15" s="60">
        <f t="shared" si="20"/>
        <v>0</v>
      </c>
      <c r="BN15" s="60">
        <f>ROUND(BM15*BL15*Input!$C$3/365,0)</f>
        <v>0</v>
      </c>
      <c r="BO15" s="61">
        <f>IF($A15&lt;=Input!$C$6,0,IF('Fixed Tenure'!BK15&lt;'Fixed Tenure'!BM15,'Fixed Tenure'!BK15-BN15,'Fixed Tenure'!BM15))</f>
        <v>0</v>
      </c>
      <c r="BP15" s="61">
        <f t="shared" si="21"/>
        <v>0</v>
      </c>
      <c r="BQ15" s="60">
        <f t="shared" si="22"/>
        <v>0</v>
      </c>
      <c r="BR15" s="198"/>
    </row>
    <row r="16" spans="1:70" x14ac:dyDescent="0.25">
      <c r="A16" s="169">
        <v>12</v>
      </c>
      <c r="B16" s="1">
        <f t="shared" si="23"/>
        <v>45884</v>
      </c>
      <c r="C16" s="60">
        <f t="shared" si="1"/>
        <v>16470000</v>
      </c>
      <c r="D16" s="60">
        <f t="shared" si="2"/>
        <v>14823000</v>
      </c>
      <c r="E16" s="60">
        <f t="shared" si="24"/>
        <v>31</v>
      </c>
      <c r="F16" s="60">
        <f t="shared" si="25"/>
        <v>941554392.22744608</v>
      </c>
      <c r="G16" s="60">
        <f>ROUND(F16*E16*Input!$C$3/365,0)</f>
        <v>11995145</v>
      </c>
      <c r="H16" s="60">
        <f>IF($A16&lt;=Input!$C$6,0,IF('Fixed Tenure'!D16&lt;'Fixed Tenure'!F16,'Fixed Tenure'!D16-G16,'Fixed Tenure'!F16))</f>
        <v>2827855</v>
      </c>
      <c r="I16" s="60">
        <f t="shared" si="26"/>
        <v>14823000</v>
      </c>
      <c r="J16" s="60">
        <f t="shared" si="27"/>
        <v>938726537.22744608</v>
      </c>
      <c r="K16" s="202">
        <f>J16/Input!$K$5</f>
        <v>3.1290884574248201</v>
      </c>
      <c r="L16" s="232"/>
      <c r="M16" s="60">
        <f>IF($B16&lt;Input!$H$43,IF($B16&lt;Input!$G$43,IF($B16&lt;Input!$F$43,IF($B16&lt;Input!$E$43,IF($B16&lt;Input!$D$43,Input!$C$49,Input!$D$49),Input!$E$49),Input!$F$49),Input!$G$49),Input!$H$49)</f>
        <v>16470000</v>
      </c>
      <c r="N16" s="190">
        <f>IF($A16&lt;Input!$H$50,IF($A16&lt;Input!$G$50,IF($A16&lt;Input!$F$50,IF($A16&lt;Input!$E$50,IF($A16&lt;Input!$D$50,Input!$C$51,Input!$D$51),Input!$E$51),Input!$F$51),Input!$G$51),Input!$H$51)</f>
        <v>0.9</v>
      </c>
      <c r="O16" s="60">
        <f t="shared" si="0"/>
        <v>14823000</v>
      </c>
      <c r="P16" s="60">
        <f t="shared" si="3"/>
        <v>31</v>
      </c>
      <c r="Q16" s="60">
        <f t="shared" si="4"/>
        <v>941554392.22744608</v>
      </c>
      <c r="R16" s="60">
        <f>ROUND(Q16*$P16*Input!$C$3/365,0)</f>
        <v>11995145</v>
      </c>
      <c r="S16" s="60">
        <f>IF(A16&lt;=Input!$C$6,0,IF('Fixed Tenure'!O16&lt;'Fixed Tenure'!Q16,'Fixed Tenure'!O16-R16,'Fixed Tenure'!Q16))</f>
        <v>2827855</v>
      </c>
      <c r="T16" s="60">
        <f t="shared" si="5"/>
        <v>14823000</v>
      </c>
      <c r="U16" s="60">
        <f t="shared" si="6"/>
        <v>938726537.22744608</v>
      </c>
      <c r="V16" s="193"/>
      <c r="W16" s="169">
        <v>12</v>
      </c>
      <c r="X16" s="1">
        <f t="shared" si="28"/>
        <v>45884</v>
      </c>
      <c r="Y16" s="60">
        <f>IF($X16&lt;Input!$H$58,IF($X16&lt;Input!$G$58,IF($X16&lt;Input!$F$58,IF($X16&lt;Input!$E$58,IF($X16&lt;Input!$D$58,Input!$C$64,Input!$D$64),Input!$E$64),Input!$F$64),Input!$G$64),Input!$H$64)</f>
        <v>0</v>
      </c>
      <c r="Z16" s="190">
        <f>IF($A16&lt;Input!$H$65,IF($A16&lt;Input!$G$65,IF($A16&lt;Input!$F$65,IF($A16&lt;Input!$E$65,IF($A16&lt;Input!$D$65,Input!$C$66,Input!$D$66),Input!$E$66),Input!$F$66),Input!$G$66),Input!$H$66)</f>
        <v>0.9</v>
      </c>
      <c r="AA16" s="60">
        <f t="shared" si="7"/>
        <v>0</v>
      </c>
      <c r="AB16" s="60">
        <f t="shared" si="29"/>
        <v>31</v>
      </c>
      <c r="AC16" s="60">
        <f t="shared" si="8"/>
        <v>0</v>
      </c>
      <c r="AD16" s="60">
        <f>ROUND(AC16*AB16*Input!$C$3/365,0)</f>
        <v>0</v>
      </c>
      <c r="AE16" s="61">
        <f>IF($A16&lt;=Input!$C$6,0,IF('Fixed Tenure'!AA16&lt;'Fixed Tenure'!AC16,'Fixed Tenure'!AA16-AD16,'Fixed Tenure'!AC16))</f>
        <v>0</v>
      </c>
      <c r="AF16" s="61">
        <f t="shared" si="9"/>
        <v>0</v>
      </c>
      <c r="AG16" s="60">
        <f t="shared" si="10"/>
        <v>0</v>
      </c>
      <c r="AH16" s="193"/>
      <c r="AI16" s="169">
        <v>12</v>
      </c>
      <c r="AJ16" s="1">
        <f t="shared" si="30"/>
        <v>45884</v>
      </c>
      <c r="AK16" s="60">
        <f>IF($X16&lt;Input!$H$73,IF($X16&lt;Input!$G$73,IF($X16&lt;Input!$F$73,IF($X16&lt;Input!$E$73,IF($X16&lt;Input!$D$73,Input!$C$79,Input!$D$79),Input!$E$79),Input!$F$79),Input!$G$79),Input!$H$79)</f>
        <v>0</v>
      </c>
      <c r="AL16" s="190">
        <f>IF($A16&lt;Input!$H$80,IF($A16&lt;Input!$G$80,IF($A16&lt;Input!$F$80,IF($A16&lt;Input!$E$80,IF($A16&lt;Input!$D$80,Input!$C$81,Input!$D$81),Input!$E$81),Input!$F$81),Input!$G$81),Input!$H$81)</f>
        <v>0.9</v>
      </c>
      <c r="AM16" s="60">
        <f t="shared" si="11"/>
        <v>0</v>
      </c>
      <c r="AN16" s="60">
        <f t="shared" si="31"/>
        <v>31</v>
      </c>
      <c r="AO16" s="60">
        <f t="shared" si="12"/>
        <v>0</v>
      </c>
      <c r="AP16" s="60">
        <f>ROUND(AO16*AN16*Input!$C$3/365,0)</f>
        <v>0</v>
      </c>
      <c r="AQ16" s="61">
        <f>IF($A16&lt;=Input!$C$6,0,IF('Fixed Tenure'!AM16&lt;'Fixed Tenure'!AO16,'Fixed Tenure'!AM16-AP16,'Fixed Tenure'!AO16))</f>
        <v>0</v>
      </c>
      <c r="AR16" s="61">
        <f t="shared" si="13"/>
        <v>0</v>
      </c>
      <c r="AS16" s="60">
        <f t="shared" si="14"/>
        <v>0</v>
      </c>
      <c r="AT16" s="193"/>
      <c r="AU16" s="169">
        <v>12</v>
      </c>
      <c r="AV16" s="1">
        <f t="shared" si="32"/>
        <v>45884</v>
      </c>
      <c r="AW16" s="60">
        <f>IF($X16&lt;Input!$H$88,IF($X16&lt;Input!$G$88,IF($X16&lt;Input!$F$88,IF($X16&lt;Input!$E$88,IF($X16&lt;Input!$D$88,Input!$C$94,Input!$D$94),Input!$E$94),Input!$F$94),Input!$G$94),Input!$H$94)</f>
        <v>0</v>
      </c>
      <c r="AX16" s="190">
        <f>IF($A16&lt;Input!$H$95,IF($A16&lt;Input!$G$95,IF($A16&lt;Input!$F$95,IF($A16&lt;Input!$E$95,IF($A16&lt;Input!$D$95,Input!$C$96,Input!$D$96),Input!$E$96),Input!$F$96),Input!$G$96),Input!$H$96)</f>
        <v>0.9</v>
      </c>
      <c r="AY16" s="60">
        <f t="shared" si="15"/>
        <v>0</v>
      </c>
      <c r="AZ16" s="60">
        <f t="shared" si="33"/>
        <v>31</v>
      </c>
      <c r="BA16" s="60">
        <f t="shared" si="16"/>
        <v>0</v>
      </c>
      <c r="BB16" s="60">
        <f>ROUND(BA16*AZ16*Input!$C$3/365,0)</f>
        <v>0</v>
      </c>
      <c r="BC16" s="61">
        <f>IF($A16&lt;=Input!$C$6,0,IF('Fixed Tenure'!AY16&lt;'Fixed Tenure'!BA16,'Fixed Tenure'!AY16-BB16,'Fixed Tenure'!BA16))</f>
        <v>0</v>
      </c>
      <c r="BD16" s="61">
        <f t="shared" si="17"/>
        <v>0</v>
      </c>
      <c r="BE16" s="60">
        <f t="shared" si="18"/>
        <v>0</v>
      </c>
      <c r="BF16" s="193"/>
      <c r="BG16" s="169">
        <v>12</v>
      </c>
      <c r="BH16" s="1">
        <f t="shared" si="34"/>
        <v>45884</v>
      </c>
      <c r="BI16" s="60">
        <f>IF($X16&lt;Input!$H$103,IF($X16&lt;Input!$G$103,IF($X16&lt;Input!$F$103,IF($X16&lt;Input!$E$103,IF($X16&lt;Input!$D$103,Input!$C$109,Input!$D$109),Input!$E$109),Input!$F$109),Input!$G$109),Input!$H$109)</f>
        <v>0</v>
      </c>
      <c r="BJ16" s="190">
        <f>IF($A16&lt;Input!$H$110,IF($A16&lt;Input!$G$110,IF($A16&lt;Input!$F$110,IF($A16&lt;Input!$E$110,IF($A16&lt;Input!$D$110,Input!$C$111,Input!$D$111),Input!$E$111),Input!$F$111),Input!$G$111),Input!$H$111)</f>
        <v>0.9</v>
      </c>
      <c r="BK16" s="60">
        <f t="shared" si="19"/>
        <v>0</v>
      </c>
      <c r="BL16" s="60">
        <f t="shared" si="35"/>
        <v>31</v>
      </c>
      <c r="BM16" s="60">
        <f t="shared" si="20"/>
        <v>0</v>
      </c>
      <c r="BN16" s="60">
        <f>ROUND(BM16*BL16*Input!$C$3/365,0)</f>
        <v>0</v>
      </c>
      <c r="BO16" s="61">
        <f>IF($A16&lt;=Input!$C$6,0,IF('Fixed Tenure'!BK16&lt;'Fixed Tenure'!BM16,'Fixed Tenure'!BK16-BN16,'Fixed Tenure'!BM16))</f>
        <v>0</v>
      </c>
      <c r="BP16" s="61">
        <f t="shared" si="21"/>
        <v>0</v>
      </c>
      <c r="BQ16" s="60">
        <f t="shared" si="22"/>
        <v>0</v>
      </c>
      <c r="BR16" s="198"/>
    </row>
    <row r="17" spans="1:70" x14ac:dyDescent="0.25">
      <c r="A17" s="169">
        <v>13</v>
      </c>
      <c r="B17" s="1">
        <f t="shared" si="23"/>
        <v>45915</v>
      </c>
      <c r="C17" s="60">
        <f t="shared" si="1"/>
        <v>16470000</v>
      </c>
      <c r="D17" s="60">
        <f t="shared" si="2"/>
        <v>14823000</v>
      </c>
      <c r="E17" s="60">
        <f t="shared" si="24"/>
        <v>31</v>
      </c>
      <c r="F17" s="60">
        <f t="shared" si="25"/>
        <v>938726537.22744608</v>
      </c>
      <c r="G17" s="60">
        <f>ROUND(F17*E17*Input!$C$3/365,0)</f>
        <v>11959119</v>
      </c>
      <c r="H17" s="60">
        <f>IF($A17&lt;=Input!$C$6,0,IF('Fixed Tenure'!D17&lt;'Fixed Tenure'!F17,'Fixed Tenure'!D17-G17,'Fixed Tenure'!F17))</f>
        <v>2863881</v>
      </c>
      <c r="I17" s="60">
        <f t="shared" si="26"/>
        <v>14823000</v>
      </c>
      <c r="J17" s="60">
        <f t="shared" si="27"/>
        <v>935862656.22744608</v>
      </c>
      <c r="K17" s="202">
        <f>J17/Input!$K$5</f>
        <v>3.1195421874248201</v>
      </c>
      <c r="L17" s="232"/>
      <c r="M17" s="60">
        <f>IF($B17&lt;Input!$H$43,IF($B17&lt;Input!$G$43,IF($B17&lt;Input!$F$43,IF($B17&lt;Input!$E$43,IF($B17&lt;Input!$D$43,Input!$C$49,Input!$D$49),Input!$E$49),Input!$F$49),Input!$G$49),Input!$H$49)</f>
        <v>16470000</v>
      </c>
      <c r="N17" s="190">
        <f>IF($A17&lt;Input!$H$50,IF($A17&lt;Input!$G$50,IF($A17&lt;Input!$F$50,IF($A17&lt;Input!$E$50,IF($A17&lt;Input!$D$50,Input!$C$51,Input!$D$51),Input!$E$51),Input!$F$51),Input!$G$51),Input!$H$51)</f>
        <v>0.9</v>
      </c>
      <c r="O17" s="60">
        <f t="shared" si="0"/>
        <v>14823000</v>
      </c>
      <c r="P17" s="60">
        <f t="shared" si="3"/>
        <v>31</v>
      </c>
      <c r="Q17" s="60">
        <f t="shared" si="4"/>
        <v>938726537.22744608</v>
      </c>
      <c r="R17" s="60">
        <f>ROUND(Q17*$P17*Input!$C$3/365,0)</f>
        <v>11959119</v>
      </c>
      <c r="S17" s="60">
        <f>IF(A17&lt;=Input!$C$6,0,IF('Fixed Tenure'!O17&lt;'Fixed Tenure'!Q17,'Fixed Tenure'!O17-R17,'Fixed Tenure'!Q17))</f>
        <v>2863881</v>
      </c>
      <c r="T17" s="60">
        <f t="shared" si="5"/>
        <v>14823000</v>
      </c>
      <c r="U17" s="60">
        <f t="shared" si="6"/>
        <v>935862656.22744608</v>
      </c>
      <c r="V17" s="193"/>
      <c r="W17" s="169">
        <v>13</v>
      </c>
      <c r="X17" s="1">
        <f t="shared" si="28"/>
        <v>45915</v>
      </c>
      <c r="Y17" s="60">
        <f>IF($X17&lt;Input!$H$58,IF($X17&lt;Input!$G$58,IF($X17&lt;Input!$F$58,IF($X17&lt;Input!$E$58,IF($X17&lt;Input!$D$58,Input!$C$64,Input!$D$64),Input!$E$64),Input!$F$64),Input!$G$64),Input!$H$64)</f>
        <v>0</v>
      </c>
      <c r="Z17" s="190">
        <f>IF($A17&lt;Input!$H$65,IF($A17&lt;Input!$G$65,IF($A17&lt;Input!$F$65,IF($A17&lt;Input!$E$65,IF($A17&lt;Input!$D$65,Input!$C$66,Input!$D$66),Input!$E$66),Input!$F$66),Input!$G$66),Input!$H$66)</f>
        <v>0.9</v>
      </c>
      <c r="AA17" s="60">
        <f t="shared" si="7"/>
        <v>0</v>
      </c>
      <c r="AB17" s="60">
        <f t="shared" si="29"/>
        <v>31</v>
      </c>
      <c r="AC17" s="60">
        <f t="shared" si="8"/>
        <v>0</v>
      </c>
      <c r="AD17" s="60">
        <f>ROUND(AC17*AB17*Input!$C$3/365,0)</f>
        <v>0</v>
      </c>
      <c r="AE17" s="61">
        <f>IF($A17&lt;=Input!$C$6,0,IF('Fixed Tenure'!AA17&lt;'Fixed Tenure'!AC17,'Fixed Tenure'!AA17-AD17,'Fixed Tenure'!AC17))</f>
        <v>0</v>
      </c>
      <c r="AF17" s="61">
        <f t="shared" si="9"/>
        <v>0</v>
      </c>
      <c r="AG17" s="60">
        <f t="shared" si="10"/>
        <v>0</v>
      </c>
      <c r="AH17" s="193"/>
      <c r="AI17" s="169">
        <v>13</v>
      </c>
      <c r="AJ17" s="1">
        <f t="shared" si="30"/>
        <v>45915</v>
      </c>
      <c r="AK17" s="60">
        <f>IF($X17&lt;Input!$H$73,IF($X17&lt;Input!$G$73,IF($X17&lt;Input!$F$73,IF($X17&lt;Input!$E$73,IF($X17&lt;Input!$D$73,Input!$C$79,Input!$D$79),Input!$E$79),Input!$F$79),Input!$G$79),Input!$H$79)</f>
        <v>0</v>
      </c>
      <c r="AL17" s="190">
        <f>IF($A17&lt;Input!$H$80,IF($A17&lt;Input!$G$80,IF($A17&lt;Input!$F$80,IF($A17&lt;Input!$E$80,IF($A17&lt;Input!$D$80,Input!$C$81,Input!$D$81),Input!$E$81),Input!$F$81),Input!$G$81),Input!$H$81)</f>
        <v>0.9</v>
      </c>
      <c r="AM17" s="60">
        <f t="shared" si="11"/>
        <v>0</v>
      </c>
      <c r="AN17" s="60">
        <f t="shared" si="31"/>
        <v>31</v>
      </c>
      <c r="AO17" s="60">
        <f t="shared" si="12"/>
        <v>0</v>
      </c>
      <c r="AP17" s="60">
        <f>ROUND(AO17*AN17*Input!$C$3/365,0)</f>
        <v>0</v>
      </c>
      <c r="AQ17" s="61">
        <f>IF($A17&lt;=Input!$C$6,0,IF('Fixed Tenure'!AM17&lt;'Fixed Tenure'!AO17,'Fixed Tenure'!AM17-AP17,'Fixed Tenure'!AO17))</f>
        <v>0</v>
      </c>
      <c r="AR17" s="61">
        <f t="shared" si="13"/>
        <v>0</v>
      </c>
      <c r="AS17" s="60">
        <f t="shared" si="14"/>
        <v>0</v>
      </c>
      <c r="AT17" s="193"/>
      <c r="AU17" s="169">
        <v>13</v>
      </c>
      <c r="AV17" s="1">
        <f t="shared" si="32"/>
        <v>45915</v>
      </c>
      <c r="AW17" s="60">
        <f>IF($X17&lt;Input!$H$88,IF($X17&lt;Input!$G$88,IF($X17&lt;Input!$F$88,IF($X17&lt;Input!$E$88,IF($X17&lt;Input!$D$88,Input!$C$94,Input!$D$94),Input!$E$94),Input!$F$94),Input!$G$94),Input!$H$94)</f>
        <v>0</v>
      </c>
      <c r="AX17" s="190">
        <f>IF($A17&lt;Input!$H$95,IF($A17&lt;Input!$G$95,IF($A17&lt;Input!$F$95,IF($A17&lt;Input!$E$95,IF($A17&lt;Input!$D$95,Input!$C$96,Input!$D$96),Input!$E$96),Input!$F$96),Input!$G$96),Input!$H$96)</f>
        <v>0.9</v>
      </c>
      <c r="AY17" s="60">
        <f t="shared" si="15"/>
        <v>0</v>
      </c>
      <c r="AZ17" s="60">
        <f t="shared" si="33"/>
        <v>31</v>
      </c>
      <c r="BA17" s="60">
        <f t="shared" si="16"/>
        <v>0</v>
      </c>
      <c r="BB17" s="60">
        <f>ROUND(BA17*AZ17*Input!$C$3/365,0)</f>
        <v>0</v>
      </c>
      <c r="BC17" s="61">
        <f>IF($A17&lt;=Input!$C$6,0,IF('Fixed Tenure'!AY17&lt;'Fixed Tenure'!BA17,'Fixed Tenure'!AY17-BB17,'Fixed Tenure'!BA17))</f>
        <v>0</v>
      </c>
      <c r="BD17" s="61">
        <f t="shared" si="17"/>
        <v>0</v>
      </c>
      <c r="BE17" s="60">
        <f t="shared" si="18"/>
        <v>0</v>
      </c>
      <c r="BF17" s="193"/>
      <c r="BG17" s="169">
        <v>13</v>
      </c>
      <c r="BH17" s="1">
        <f t="shared" si="34"/>
        <v>45915</v>
      </c>
      <c r="BI17" s="60">
        <f>IF($X17&lt;Input!$H$103,IF($X17&lt;Input!$G$103,IF($X17&lt;Input!$F$103,IF($X17&lt;Input!$E$103,IF($X17&lt;Input!$D$103,Input!$C$109,Input!$D$109),Input!$E$109),Input!$F$109),Input!$G$109),Input!$H$109)</f>
        <v>0</v>
      </c>
      <c r="BJ17" s="190">
        <f>IF($A17&lt;Input!$H$110,IF($A17&lt;Input!$G$110,IF($A17&lt;Input!$F$110,IF($A17&lt;Input!$E$110,IF($A17&lt;Input!$D$110,Input!$C$111,Input!$D$111),Input!$E$111),Input!$F$111),Input!$G$111),Input!$H$111)</f>
        <v>0.9</v>
      </c>
      <c r="BK17" s="60">
        <f t="shared" si="19"/>
        <v>0</v>
      </c>
      <c r="BL17" s="60">
        <f t="shared" si="35"/>
        <v>31</v>
      </c>
      <c r="BM17" s="60">
        <f t="shared" si="20"/>
        <v>0</v>
      </c>
      <c r="BN17" s="60">
        <f>ROUND(BM17*BL17*Input!$C$3/365,0)</f>
        <v>0</v>
      </c>
      <c r="BO17" s="61">
        <f>IF($A17&lt;=Input!$C$6,0,IF('Fixed Tenure'!BK17&lt;'Fixed Tenure'!BM17,'Fixed Tenure'!BK17-BN17,'Fixed Tenure'!BM17))</f>
        <v>0</v>
      </c>
      <c r="BP17" s="61">
        <f t="shared" si="21"/>
        <v>0</v>
      </c>
      <c r="BQ17" s="60">
        <f t="shared" si="22"/>
        <v>0</v>
      </c>
      <c r="BR17" s="198"/>
    </row>
    <row r="18" spans="1:70" x14ac:dyDescent="0.25">
      <c r="A18" s="169">
        <v>14</v>
      </c>
      <c r="B18" s="1">
        <f t="shared" si="23"/>
        <v>45945</v>
      </c>
      <c r="C18" s="60">
        <f t="shared" si="1"/>
        <v>16470000</v>
      </c>
      <c r="D18" s="60">
        <f t="shared" si="2"/>
        <v>14823000</v>
      </c>
      <c r="E18" s="60">
        <f t="shared" si="24"/>
        <v>30</v>
      </c>
      <c r="F18" s="60">
        <f t="shared" si="25"/>
        <v>935862656.22744608</v>
      </c>
      <c r="G18" s="60">
        <f>ROUND(F18*E18*Input!$C$3/365,0)</f>
        <v>11538033</v>
      </c>
      <c r="H18" s="60">
        <f>IF($A18&lt;=Input!$C$6,0,IF('Fixed Tenure'!D18&lt;'Fixed Tenure'!F18,'Fixed Tenure'!D18-G18,'Fixed Tenure'!F18))</f>
        <v>3284967</v>
      </c>
      <c r="I18" s="60">
        <f t="shared" si="26"/>
        <v>14823000</v>
      </c>
      <c r="J18" s="60">
        <f t="shared" si="27"/>
        <v>932577689.22744608</v>
      </c>
      <c r="K18" s="202">
        <f>J18/Input!$K$5</f>
        <v>3.1085922974248201</v>
      </c>
      <c r="L18" s="232"/>
      <c r="M18" s="60">
        <f>IF($B18&lt;Input!$H$43,IF($B18&lt;Input!$G$43,IF($B18&lt;Input!$F$43,IF($B18&lt;Input!$E$43,IF($B18&lt;Input!$D$43,Input!$C$49,Input!$D$49),Input!$E$49),Input!$F$49),Input!$G$49),Input!$H$49)</f>
        <v>16470000</v>
      </c>
      <c r="N18" s="190">
        <f>IF($A18&lt;Input!$H$50,IF($A18&lt;Input!$G$50,IF($A18&lt;Input!$F$50,IF($A18&lt;Input!$E$50,IF($A18&lt;Input!$D$50,Input!$C$51,Input!$D$51),Input!$E$51),Input!$F$51),Input!$G$51),Input!$H$51)</f>
        <v>0.9</v>
      </c>
      <c r="O18" s="60">
        <f t="shared" si="0"/>
        <v>14823000</v>
      </c>
      <c r="P18" s="60">
        <f t="shared" si="3"/>
        <v>30</v>
      </c>
      <c r="Q18" s="60">
        <f t="shared" si="4"/>
        <v>935862656.22744608</v>
      </c>
      <c r="R18" s="60">
        <f>ROUND(Q18*$P18*Input!$C$3/365,0)</f>
        <v>11538033</v>
      </c>
      <c r="S18" s="60">
        <f>IF(A18&lt;=Input!$C$6,0,IF('Fixed Tenure'!O18&lt;'Fixed Tenure'!Q18,'Fixed Tenure'!O18-R18,'Fixed Tenure'!Q18))</f>
        <v>3284967</v>
      </c>
      <c r="T18" s="60">
        <f t="shared" si="5"/>
        <v>14823000</v>
      </c>
      <c r="U18" s="60">
        <f t="shared" si="6"/>
        <v>932577689.22744608</v>
      </c>
      <c r="V18" s="193"/>
      <c r="W18" s="169">
        <v>14</v>
      </c>
      <c r="X18" s="1">
        <f t="shared" si="28"/>
        <v>45945</v>
      </c>
      <c r="Y18" s="60">
        <f>IF($X18&lt;Input!$H$58,IF($X18&lt;Input!$G$58,IF($X18&lt;Input!$F$58,IF($X18&lt;Input!$E$58,IF($X18&lt;Input!$D$58,Input!$C$64,Input!$D$64),Input!$E$64),Input!$F$64),Input!$G$64),Input!$H$64)</f>
        <v>0</v>
      </c>
      <c r="Z18" s="190">
        <f>IF($A18&lt;Input!$H$65,IF($A18&lt;Input!$G$65,IF($A18&lt;Input!$F$65,IF($A18&lt;Input!$E$65,IF($A18&lt;Input!$D$65,Input!$C$66,Input!$D$66),Input!$E$66),Input!$F$66),Input!$G$66),Input!$H$66)</f>
        <v>0.9</v>
      </c>
      <c r="AA18" s="60">
        <f t="shared" si="7"/>
        <v>0</v>
      </c>
      <c r="AB18" s="60">
        <f t="shared" si="29"/>
        <v>30</v>
      </c>
      <c r="AC18" s="60">
        <f t="shared" si="8"/>
        <v>0</v>
      </c>
      <c r="AD18" s="60">
        <f>ROUND(AC18*AB18*Input!$C$3/365,0)</f>
        <v>0</v>
      </c>
      <c r="AE18" s="61">
        <f>IF($A18&lt;=Input!$C$6,0,IF('Fixed Tenure'!AA18&lt;'Fixed Tenure'!AC18,'Fixed Tenure'!AA18-AD18,'Fixed Tenure'!AC18))</f>
        <v>0</v>
      </c>
      <c r="AF18" s="61">
        <f t="shared" si="9"/>
        <v>0</v>
      </c>
      <c r="AG18" s="60">
        <f t="shared" si="10"/>
        <v>0</v>
      </c>
      <c r="AH18" s="193"/>
      <c r="AI18" s="169">
        <v>14</v>
      </c>
      <c r="AJ18" s="1">
        <f t="shared" si="30"/>
        <v>45945</v>
      </c>
      <c r="AK18" s="60">
        <f>IF($X18&lt;Input!$H$73,IF($X18&lt;Input!$G$73,IF($X18&lt;Input!$F$73,IF($X18&lt;Input!$E$73,IF($X18&lt;Input!$D$73,Input!$C$79,Input!$D$79),Input!$E$79),Input!$F$79),Input!$G$79),Input!$H$79)</f>
        <v>0</v>
      </c>
      <c r="AL18" s="190">
        <f>IF($A18&lt;Input!$H$80,IF($A18&lt;Input!$G$80,IF($A18&lt;Input!$F$80,IF($A18&lt;Input!$E$80,IF($A18&lt;Input!$D$80,Input!$C$81,Input!$D$81),Input!$E$81),Input!$F$81),Input!$G$81),Input!$H$81)</f>
        <v>0.9</v>
      </c>
      <c r="AM18" s="60">
        <f t="shared" si="11"/>
        <v>0</v>
      </c>
      <c r="AN18" s="60">
        <f t="shared" si="31"/>
        <v>30</v>
      </c>
      <c r="AO18" s="60">
        <f t="shared" si="12"/>
        <v>0</v>
      </c>
      <c r="AP18" s="60">
        <f>ROUND(AO18*AN18*Input!$C$3/365,0)</f>
        <v>0</v>
      </c>
      <c r="AQ18" s="61">
        <f>IF($A18&lt;=Input!$C$6,0,IF('Fixed Tenure'!AM18&lt;'Fixed Tenure'!AO18,'Fixed Tenure'!AM18-AP18,'Fixed Tenure'!AO18))</f>
        <v>0</v>
      </c>
      <c r="AR18" s="61">
        <f t="shared" si="13"/>
        <v>0</v>
      </c>
      <c r="AS18" s="60">
        <f t="shared" si="14"/>
        <v>0</v>
      </c>
      <c r="AT18" s="193"/>
      <c r="AU18" s="169">
        <v>14</v>
      </c>
      <c r="AV18" s="1">
        <f t="shared" si="32"/>
        <v>45945</v>
      </c>
      <c r="AW18" s="60">
        <f>IF($X18&lt;Input!$H$88,IF($X18&lt;Input!$G$88,IF($X18&lt;Input!$F$88,IF($X18&lt;Input!$E$88,IF($X18&lt;Input!$D$88,Input!$C$94,Input!$D$94),Input!$E$94),Input!$F$94),Input!$G$94),Input!$H$94)</f>
        <v>0</v>
      </c>
      <c r="AX18" s="190">
        <f>IF($A18&lt;Input!$H$95,IF($A18&lt;Input!$G$95,IF($A18&lt;Input!$F$95,IF($A18&lt;Input!$E$95,IF($A18&lt;Input!$D$95,Input!$C$96,Input!$D$96),Input!$E$96),Input!$F$96),Input!$G$96),Input!$H$96)</f>
        <v>0.9</v>
      </c>
      <c r="AY18" s="60">
        <f t="shared" si="15"/>
        <v>0</v>
      </c>
      <c r="AZ18" s="60">
        <f t="shared" si="33"/>
        <v>30</v>
      </c>
      <c r="BA18" s="60">
        <f t="shared" si="16"/>
        <v>0</v>
      </c>
      <c r="BB18" s="60">
        <f>ROUND(BA18*AZ18*Input!$C$3/365,0)</f>
        <v>0</v>
      </c>
      <c r="BC18" s="61">
        <f>IF($A18&lt;=Input!$C$6,0,IF('Fixed Tenure'!AY18&lt;'Fixed Tenure'!BA18,'Fixed Tenure'!AY18-BB18,'Fixed Tenure'!BA18))</f>
        <v>0</v>
      </c>
      <c r="BD18" s="61">
        <f t="shared" si="17"/>
        <v>0</v>
      </c>
      <c r="BE18" s="60">
        <f t="shared" si="18"/>
        <v>0</v>
      </c>
      <c r="BF18" s="193"/>
      <c r="BG18" s="169">
        <v>14</v>
      </c>
      <c r="BH18" s="1">
        <f t="shared" si="34"/>
        <v>45945</v>
      </c>
      <c r="BI18" s="60">
        <f>IF($X18&lt;Input!$H$103,IF($X18&lt;Input!$G$103,IF($X18&lt;Input!$F$103,IF($X18&lt;Input!$E$103,IF($X18&lt;Input!$D$103,Input!$C$109,Input!$D$109),Input!$E$109),Input!$F$109),Input!$G$109),Input!$H$109)</f>
        <v>0</v>
      </c>
      <c r="BJ18" s="190">
        <f>IF($A18&lt;Input!$H$110,IF($A18&lt;Input!$G$110,IF($A18&lt;Input!$F$110,IF($A18&lt;Input!$E$110,IF($A18&lt;Input!$D$110,Input!$C$111,Input!$D$111),Input!$E$111),Input!$F$111),Input!$G$111),Input!$H$111)</f>
        <v>0.9</v>
      </c>
      <c r="BK18" s="60">
        <f t="shared" si="19"/>
        <v>0</v>
      </c>
      <c r="BL18" s="60">
        <f t="shared" si="35"/>
        <v>30</v>
      </c>
      <c r="BM18" s="60">
        <f t="shared" si="20"/>
        <v>0</v>
      </c>
      <c r="BN18" s="60">
        <f>ROUND(BM18*BL18*Input!$C$3/365,0)</f>
        <v>0</v>
      </c>
      <c r="BO18" s="61">
        <f>IF($A18&lt;=Input!$C$6,0,IF('Fixed Tenure'!BK18&lt;'Fixed Tenure'!BM18,'Fixed Tenure'!BK18-BN18,'Fixed Tenure'!BM18))</f>
        <v>0</v>
      </c>
      <c r="BP18" s="61">
        <f t="shared" si="21"/>
        <v>0</v>
      </c>
      <c r="BQ18" s="60">
        <f t="shared" si="22"/>
        <v>0</v>
      </c>
      <c r="BR18" s="198"/>
    </row>
    <row r="19" spans="1:70" x14ac:dyDescent="0.25">
      <c r="A19" s="169">
        <v>15</v>
      </c>
      <c r="B19" s="1">
        <f t="shared" si="23"/>
        <v>45976</v>
      </c>
      <c r="C19" s="60">
        <f t="shared" si="1"/>
        <v>16470000</v>
      </c>
      <c r="D19" s="60">
        <f t="shared" si="2"/>
        <v>14823000</v>
      </c>
      <c r="E19" s="60">
        <f t="shared" si="24"/>
        <v>31</v>
      </c>
      <c r="F19" s="60">
        <f t="shared" si="25"/>
        <v>932577689.22744608</v>
      </c>
      <c r="G19" s="60">
        <f>ROUND(F19*E19*Input!$C$3/365,0)</f>
        <v>11880784</v>
      </c>
      <c r="H19" s="60">
        <f>IF($A19&lt;=Input!$C$6,0,IF('Fixed Tenure'!D19&lt;'Fixed Tenure'!F19,'Fixed Tenure'!D19-G19,'Fixed Tenure'!F19))</f>
        <v>2942216</v>
      </c>
      <c r="I19" s="60">
        <f t="shared" si="26"/>
        <v>14823000</v>
      </c>
      <c r="J19" s="60">
        <f t="shared" si="27"/>
        <v>929635473.22744608</v>
      </c>
      <c r="K19" s="202">
        <f>J19/Input!$K$5</f>
        <v>3.0987849107581535</v>
      </c>
      <c r="L19" s="232"/>
      <c r="M19" s="60">
        <f>IF($B19&lt;Input!$H$43,IF($B19&lt;Input!$G$43,IF($B19&lt;Input!$F$43,IF($B19&lt;Input!$E$43,IF($B19&lt;Input!$D$43,Input!$C$49,Input!$D$49),Input!$E$49),Input!$F$49),Input!$G$49),Input!$H$49)</f>
        <v>16470000</v>
      </c>
      <c r="N19" s="190">
        <f>IF($A19&lt;Input!$H$50,IF($A19&lt;Input!$G$50,IF($A19&lt;Input!$F$50,IF($A19&lt;Input!$E$50,IF($A19&lt;Input!$D$50,Input!$C$51,Input!$D$51),Input!$E$51),Input!$F$51),Input!$G$51),Input!$H$51)</f>
        <v>0.9</v>
      </c>
      <c r="O19" s="60">
        <f t="shared" si="0"/>
        <v>14823000</v>
      </c>
      <c r="P19" s="60">
        <f t="shared" si="3"/>
        <v>31</v>
      </c>
      <c r="Q19" s="60">
        <f t="shared" si="4"/>
        <v>932577689.22744608</v>
      </c>
      <c r="R19" s="60">
        <f>ROUND(Q19*$P19*Input!$C$3/365,0)</f>
        <v>11880784</v>
      </c>
      <c r="S19" s="60">
        <f>IF(A19&lt;=Input!$C$6,0,IF('Fixed Tenure'!O19&lt;'Fixed Tenure'!Q19,'Fixed Tenure'!O19-R19,'Fixed Tenure'!Q19))</f>
        <v>2942216</v>
      </c>
      <c r="T19" s="60">
        <f t="shared" si="5"/>
        <v>14823000</v>
      </c>
      <c r="U19" s="60">
        <f t="shared" si="6"/>
        <v>929635473.22744608</v>
      </c>
      <c r="V19" s="193"/>
      <c r="W19" s="169">
        <v>15</v>
      </c>
      <c r="X19" s="1">
        <f t="shared" si="28"/>
        <v>45976</v>
      </c>
      <c r="Y19" s="60">
        <f>IF($X19&lt;Input!$H$58,IF($X19&lt;Input!$G$58,IF($X19&lt;Input!$F$58,IF($X19&lt;Input!$E$58,IF($X19&lt;Input!$D$58,Input!$C$64,Input!$D$64),Input!$E$64),Input!$F$64),Input!$G$64),Input!$H$64)</f>
        <v>0</v>
      </c>
      <c r="Z19" s="190">
        <f>IF($A19&lt;Input!$H$65,IF($A19&lt;Input!$G$65,IF($A19&lt;Input!$F$65,IF($A19&lt;Input!$E$65,IF($A19&lt;Input!$D$65,Input!$C$66,Input!$D$66),Input!$E$66),Input!$F$66),Input!$G$66),Input!$H$66)</f>
        <v>0.9</v>
      </c>
      <c r="AA19" s="60">
        <f t="shared" si="7"/>
        <v>0</v>
      </c>
      <c r="AB19" s="60">
        <f t="shared" si="29"/>
        <v>31</v>
      </c>
      <c r="AC19" s="60">
        <f t="shared" si="8"/>
        <v>0</v>
      </c>
      <c r="AD19" s="60">
        <f>ROUND(AC19*AB19*Input!$C$3/365,0)</f>
        <v>0</v>
      </c>
      <c r="AE19" s="61">
        <f>IF($A19&lt;=Input!$C$6,0,IF('Fixed Tenure'!AA19&lt;'Fixed Tenure'!AC19,'Fixed Tenure'!AA19-AD19,'Fixed Tenure'!AC19))</f>
        <v>0</v>
      </c>
      <c r="AF19" s="61">
        <f t="shared" si="9"/>
        <v>0</v>
      </c>
      <c r="AG19" s="60">
        <f t="shared" si="10"/>
        <v>0</v>
      </c>
      <c r="AH19" s="193"/>
      <c r="AI19" s="169">
        <v>15</v>
      </c>
      <c r="AJ19" s="1">
        <f t="shared" si="30"/>
        <v>45976</v>
      </c>
      <c r="AK19" s="60">
        <f>IF($X19&lt;Input!$H$73,IF($X19&lt;Input!$G$73,IF($X19&lt;Input!$F$73,IF($X19&lt;Input!$E$73,IF($X19&lt;Input!$D$73,Input!$C$79,Input!$D$79),Input!$E$79),Input!$F$79),Input!$G$79),Input!$H$79)</f>
        <v>0</v>
      </c>
      <c r="AL19" s="190">
        <f>IF($A19&lt;Input!$H$80,IF($A19&lt;Input!$G$80,IF($A19&lt;Input!$F$80,IF($A19&lt;Input!$E$80,IF($A19&lt;Input!$D$80,Input!$C$81,Input!$D$81),Input!$E$81),Input!$F$81),Input!$G$81),Input!$H$81)</f>
        <v>0.9</v>
      </c>
      <c r="AM19" s="60">
        <f t="shared" si="11"/>
        <v>0</v>
      </c>
      <c r="AN19" s="60">
        <f t="shared" si="31"/>
        <v>31</v>
      </c>
      <c r="AO19" s="60">
        <f t="shared" si="12"/>
        <v>0</v>
      </c>
      <c r="AP19" s="60">
        <f>ROUND(AO19*AN19*Input!$C$3/365,0)</f>
        <v>0</v>
      </c>
      <c r="AQ19" s="61">
        <f>IF($A19&lt;=Input!$C$6,0,IF('Fixed Tenure'!AM19&lt;'Fixed Tenure'!AO19,'Fixed Tenure'!AM19-AP19,'Fixed Tenure'!AO19))</f>
        <v>0</v>
      </c>
      <c r="AR19" s="61">
        <f t="shared" si="13"/>
        <v>0</v>
      </c>
      <c r="AS19" s="60">
        <f t="shared" si="14"/>
        <v>0</v>
      </c>
      <c r="AT19" s="193"/>
      <c r="AU19" s="169">
        <v>15</v>
      </c>
      <c r="AV19" s="1">
        <f t="shared" si="32"/>
        <v>45976</v>
      </c>
      <c r="AW19" s="60">
        <f>IF($X19&lt;Input!$H$88,IF($X19&lt;Input!$G$88,IF($X19&lt;Input!$F$88,IF($X19&lt;Input!$E$88,IF($X19&lt;Input!$D$88,Input!$C$94,Input!$D$94),Input!$E$94),Input!$F$94),Input!$G$94),Input!$H$94)</f>
        <v>0</v>
      </c>
      <c r="AX19" s="190">
        <f>IF($A19&lt;Input!$H$95,IF($A19&lt;Input!$G$95,IF($A19&lt;Input!$F$95,IF($A19&lt;Input!$E$95,IF($A19&lt;Input!$D$95,Input!$C$96,Input!$D$96),Input!$E$96),Input!$F$96),Input!$G$96),Input!$H$96)</f>
        <v>0.9</v>
      </c>
      <c r="AY19" s="60">
        <f t="shared" si="15"/>
        <v>0</v>
      </c>
      <c r="AZ19" s="60">
        <f t="shared" si="33"/>
        <v>31</v>
      </c>
      <c r="BA19" s="60">
        <f t="shared" si="16"/>
        <v>0</v>
      </c>
      <c r="BB19" s="60">
        <f>ROUND(BA19*AZ19*Input!$C$3/365,0)</f>
        <v>0</v>
      </c>
      <c r="BC19" s="61">
        <f>IF($A19&lt;=Input!$C$6,0,IF('Fixed Tenure'!AY19&lt;'Fixed Tenure'!BA19,'Fixed Tenure'!AY19-BB19,'Fixed Tenure'!BA19))</f>
        <v>0</v>
      </c>
      <c r="BD19" s="61">
        <f t="shared" si="17"/>
        <v>0</v>
      </c>
      <c r="BE19" s="60">
        <f t="shared" si="18"/>
        <v>0</v>
      </c>
      <c r="BF19" s="193"/>
      <c r="BG19" s="169">
        <v>15</v>
      </c>
      <c r="BH19" s="1">
        <f t="shared" si="34"/>
        <v>45976</v>
      </c>
      <c r="BI19" s="60">
        <f>IF($X19&lt;Input!$H$103,IF($X19&lt;Input!$G$103,IF($X19&lt;Input!$F$103,IF($X19&lt;Input!$E$103,IF($X19&lt;Input!$D$103,Input!$C$109,Input!$D$109),Input!$E$109),Input!$F$109),Input!$G$109),Input!$H$109)</f>
        <v>0</v>
      </c>
      <c r="BJ19" s="190">
        <f>IF($A19&lt;Input!$H$110,IF($A19&lt;Input!$G$110,IF($A19&lt;Input!$F$110,IF($A19&lt;Input!$E$110,IF($A19&lt;Input!$D$110,Input!$C$111,Input!$D$111),Input!$E$111),Input!$F$111),Input!$G$111),Input!$H$111)</f>
        <v>0.9</v>
      </c>
      <c r="BK19" s="60">
        <f t="shared" si="19"/>
        <v>0</v>
      </c>
      <c r="BL19" s="60">
        <f t="shared" si="35"/>
        <v>31</v>
      </c>
      <c r="BM19" s="60">
        <f t="shared" si="20"/>
        <v>0</v>
      </c>
      <c r="BN19" s="60">
        <f>ROUND(BM19*BL19*Input!$C$3/365,0)</f>
        <v>0</v>
      </c>
      <c r="BO19" s="61">
        <f>IF($A19&lt;=Input!$C$6,0,IF('Fixed Tenure'!BK19&lt;'Fixed Tenure'!BM19,'Fixed Tenure'!BK19-BN19,'Fixed Tenure'!BM19))</f>
        <v>0</v>
      </c>
      <c r="BP19" s="61">
        <f t="shared" si="21"/>
        <v>0</v>
      </c>
      <c r="BQ19" s="60">
        <f t="shared" si="22"/>
        <v>0</v>
      </c>
      <c r="BR19" s="198"/>
    </row>
    <row r="20" spans="1:70" x14ac:dyDescent="0.25">
      <c r="A20" s="169">
        <v>16</v>
      </c>
      <c r="B20" s="1">
        <f t="shared" si="23"/>
        <v>46006</v>
      </c>
      <c r="C20" s="60">
        <f t="shared" si="1"/>
        <v>16470000</v>
      </c>
      <c r="D20" s="60">
        <f t="shared" si="2"/>
        <v>14823000</v>
      </c>
      <c r="E20" s="60">
        <f t="shared" si="24"/>
        <v>30</v>
      </c>
      <c r="F20" s="60">
        <f t="shared" si="25"/>
        <v>929635473.22744608</v>
      </c>
      <c r="G20" s="60">
        <f>ROUND(F20*E20*Input!$C$3/365,0)</f>
        <v>11461259</v>
      </c>
      <c r="H20" s="60">
        <f>IF($A20&lt;=Input!$C$6,0,IF('Fixed Tenure'!D20&lt;'Fixed Tenure'!F20,'Fixed Tenure'!D20-G20,'Fixed Tenure'!F20))</f>
        <v>3361741</v>
      </c>
      <c r="I20" s="60">
        <f t="shared" si="26"/>
        <v>14823000</v>
      </c>
      <c r="J20" s="60">
        <f t="shared" si="27"/>
        <v>926273732.22744608</v>
      </c>
      <c r="K20" s="202">
        <f>J20/Input!$K$5</f>
        <v>3.0875791074248204</v>
      </c>
      <c r="L20" s="232"/>
      <c r="M20" s="60">
        <f>IF($B20&lt;Input!$H$43,IF($B20&lt;Input!$G$43,IF($B20&lt;Input!$F$43,IF($B20&lt;Input!$E$43,IF($B20&lt;Input!$D$43,Input!$C$49,Input!$D$49),Input!$E$49),Input!$F$49),Input!$G$49),Input!$H$49)</f>
        <v>16470000</v>
      </c>
      <c r="N20" s="190">
        <f>IF($A20&lt;Input!$H$50,IF($A20&lt;Input!$G$50,IF($A20&lt;Input!$F$50,IF($A20&lt;Input!$E$50,IF($A20&lt;Input!$D$50,Input!$C$51,Input!$D$51),Input!$E$51),Input!$F$51),Input!$G$51),Input!$H$51)</f>
        <v>0.9</v>
      </c>
      <c r="O20" s="60">
        <f t="shared" si="0"/>
        <v>14823000</v>
      </c>
      <c r="P20" s="60">
        <f t="shared" si="3"/>
        <v>30</v>
      </c>
      <c r="Q20" s="60">
        <f t="shared" si="4"/>
        <v>929635473.22744608</v>
      </c>
      <c r="R20" s="60">
        <f>ROUND(Q20*$P20*Input!$C$3/365,0)</f>
        <v>11461259</v>
      </c>
      <c r="S20" s="60">
        <f>IF(A20&lt;=Input!$C$6,0,IF('Fixed Tenure'!O20&lt;'Fixed Tenure'!Q20,'Fixed Tenure'!O20-R20,'Fixed Tenure'!Q20))</f>
        <v>3361741</v>
      </c>
      <c r="T20" s="60">
        <f t="shared" si="5"/>
        <v>14823000</v>
      </c>
      <c r="U20" s="60">
        <f t="shared" si="6"/>
        <v>926273732.22744608</v>
      </c>
      <c r="V20" s="193"/>
      <c r="W20" s="169">
        <v>16</v>
      </c>
      <c r="X20" s="1">
        <f t="shared" si="28"/>
        <v>46006</v>
      </c>
      <c r="Y20" s="60">
        <f>IF($X20&lt;Input!$H$58,IF($X20&lt;Input!$G$58,IF($X20&lt;Input!$F$58,IF($X20&lt;Input!$E$58,IF($X20&lt;Input!$D$58,Input!$C$64,Input!$D$64),Input!$E$64),Input!$F$64),Input!$G$64),Input!$H$64)</f>
        <v>0</v>
      </c>
      <c r="Z20" s="190">
        <f>IF($A20&lt;Input!$H$65,IF($A20&lt;Input!$G$65,IF($A20&lt;Input!$F$65,IF($A20&lt;Input!$E$65,IF($A20&lt;Input!$D$65,Input!$C$66,Input!$D$66),Input!$E$66),Input!$F$66),Input!$G$66),Input!$H$66)</f>
        <v>0.9</v>
      </c>
      <c r="AA20" s="60">
        <f t="shared" si="7"/>
        <v>0</v>
      </c>
      <c r="AB20" s="60">
        <f t="shared" si="29"/>
        <v>30</v>
      </c>
      <c r="AC20" s="60">
        <f t="shared" si="8"/>
        <v>0</v>
      </c>
      <c r="AD20" s="60">
        <f>ROUND(AC20*AB20*Input!$C$3/365,0)</f>
        <v>0</v>
      </c>
      <c r="AE20" s="61">
        <f>IF($A20&lt;=Input!$C$6,0,IF('Fixed Tenure'!AA20&lt;'Fixed Tenure'!AC20,'Fixed Tenure'!AA20-AD20,'Fixed Tenure'!AC20))</f>
        <v>0</v>
      </c>
      <c r="AF20" s="61">
        <f t="shared" si="9"/>
        <v>0</v>
      </c>
      <c r="AG20" s="60">
        <f t="shared" si="10"/>
        <v>0</v>
      </c>
      <c r="AH20" s="193"/>
      <c r="AI20" s="169">
        <v>16</v>
      </c>
      <c r="AJ20" s="1">
        <f t="shared" si="30"/>
        <v>46006</v>
      </c>
      <c r="AK20" s="60">
        <f>IF($X20&lt;Input!$H$73,IF($X20&lt;Input!$G$73,IF($X20&lt;Input!$F$73,IF($X20&lt;Input!$E$73,IF($X20&lt;Input!$D$73,Input!$C$79,Input!$D$79),Input!$E$79),Input!$F$79),Input!$G$79),Input!$H$79)</f>
        <v>0</v>
      </c>
      <c r="AL20" s="190">
        <f>IF($A20&lt;Input!$H$80,IF($A20&lt;Input!$G$80,IF($A20&lt;Input!$F$80,IF($A20&lt;Input!$E$80,IF($A20&lt;Input!$D$80,Input!$C$81,Input!$D$81),Input!$E$81),Input!$F$81),Input!$G$81),Input!$H$81)</f>
        <v>0.9</v>
      </c>
      <c r="AM20" s="60">
        <f t="shared" si="11"/>
        <v>0</v>
      </c>
      <c r="AN20" s="60">
        <f t="shared" si="31"/>
        <v>30</v>
      </c>
      <c r="AO20" s="60">
        <f t="shared" si="12"/>
        <v>0</v>
      </c>
      <c r="AP20" s="60">
        <f>ROUND(AO20*AN20*Input!$C$3/365,0)</f>
        <v>0</v>
      </c>
      <c r="AQ20" s="61">
        <f>IF($A20&lt;=Input!$C$6,0,IF('Fixed Tenure'!AM20&lt;'Fixed Tenure'!AO20,'Fixed Tenure'!AM20-AP20,'Fixed Tenure'!AO20))</f>
        <v>0</v>
      </c>
      <c r="AR20" s="61">
        <f t="shared" si="13"/>
        <v>0</v>
      </c>
      <c r="AS20" s="60">
        <f t="shared" si="14"/>
        <v>0</v>
      </c>
      <c r="AT20" s="193"/>
      <c r="AU20" s="169">
        <v>16</v>
      </c>
      <c r="AV20" s="1">
        <f t="shared" si="32"/>
        <v>46006</v>
      </c>
      <c r="AW20" s="60">
        <f>IF($X20&lt;Input!$H$88,IF($X20&lt;Input!$G$88,IF($X20&lt;Input!$F$88,IF($X20&lt;Input!$E$88,IF($X20&lt;Input!$D$88,Input!$C$94,Input!$D$94),Input!$E$94),Input!$F$94),Input!$G$94),Input!$H$94)</f>
        <v>0</v>
      </c>
      <c r="AX20" s="190">
        <f>IF($A20&lt;Input!$H$95,IF($A20&lt;Input!$G$95,IF($A20&lt;Input!$F$95,IF($A20&lt;Input!$E$95,IF($A20&lt;Input!$D$95,Input!$C$96,Input!$D$96),Input!$E$96),Input!$F$96),Input!$G$96),Input!$H$96)</f>
        <v>0.9</v>
      </c>
      <c r="AY20" s="60">
        <f t="shared" si="15"/>
        <v>0</v>
      </c>
      <c r="AZ20" s="60">
        <f t="shared" si="33"/>
        <v>30</v>
      </c>
      <c r="BA20" s="60">
        <f t="shared" si="16"/>
        <v>0</v>
      </c>
      <c r="BB20" s="60">
        <f>ROUND(BA20*AZ20*Input!$C$3/365,0)</f>
        <v>0</v>
      </c>
      <c r="BC20" s="61">
        <f>IF($A20&lt;=Input!$C$6,0,IF('Fixed Tenure'!AY20&lt;'Fixed Tenure'!BA20,'Fixed Tenure'!AY20-BB20,'Fixed Tenure'!BA20))</f>
        <v>0</v>
      </c>
      <c r="BD20" s="61">
        <f t="shared" si="17"/>
        <v>0</v>
      </c>
      <c r="BE20" s="60">
        <f t="shared" si="18"/>
        <v>0</v>
      </c>
      <c r="BF20" s="193"/>
      <c r="BG20" s="169">
        <v>16</v>
      </c>
      <c r="BH20" s="1">
        <f t="shared" si="34"/>
        <v>46006</v>
      </c>
      <c r="BI20" s="60">
        <f>IF($X20&lt;Input!$H$103,IF($X20&lt;Input!$G$103,IF($X20&lt;Input!$F$103,IF($X20&lt;Input!$E$103,IF($X20&lt;Input!$D$103,Input!$C$109,Input!$D$109),Input!$E$109),Input!$F$109),Input!$G$109),Input!$H$109)</f>
        <v>0</v>
      </c>
      <c r="BJ20" s="190">
        <f>IF($A20&lt;Input!$H$110,IF($A20&lt;Input!$G$110,IF($A20&lt;Input!$F$110,IF($A20&lt;Input!$E$110,IF($A20&lt;Input!$D$110,Input!$C$111,Input!$D$111),Input!$E$111),Input!$F$111),Input!$G$111),Input!$H$111)</f>
        <v>0.9</v>
      </c>
      <c r="BK20" s="60">
        <f t="shared" si="19"/>
        <v>0</v>
      </c>
      <c r="BL20" s="60">
        <f t="shared" si="35"/>
        <v>30</v>
      </c>
      <c r="BM20" s="60">
        <f t="shared" si="20"/>
        <v>0</v>
      </c>
      <c r="BN20" s="60">
        <f>ROUND(BM20*BL20*Input!$C$3/365,0)</f>
        <v>0</v>
      </c>
      <c r="BO20" s="61">
        <f>IF($A20&lt;=Input!$C$6,0,IF('Fixed Tenure'!BK20&lt;'Fixed Tenure'!BM20,'Fixed Tenure'!BK20-BN20,'Fixed Tenure'!BM20))</f>
        <v>0</v>
      </c>
      <c r="BP20" s="61">
        <f t="shared" si="21"/>
        <v>0</v>
      </c>
      <c r="BQ20" s="60">
        <f t="shared" si="22"/>
        <v>0</v>
      </c>
      <c r="BR20" s="198"/>
    </row>
    <row r="21" spans="1:70" x14ac:dyDescent="0.25">
      <c r="A21" s="169">
        <v>17</v>
      </c>
      <c r="B21" s="1">
        <f t="shared" si="23"/>
        <v>46037</v>
      </c>
      <c r="C21" s="60">
        <f t="shared" si="1"/>
        <v>16470000</v>
      </c>
      <c r="D21" s="60">
        <f t="shared" si="2"/>
        <v>14823000</v>
      </c>
      <c r="E21" s="60">
        <f t="shared" si="24"/>
        <v>31</v>
      </c>
      <c r="F21" s="60">
        <f t="shared" si="25"/>
        <v>926273732.22744608</v>
      </c>
      <c r="G21" s="60">
        <f>ROUND(F21*E21*Input!$C$3/365,0)</f>
        <v>11800474</v>
      </c>
      <c r="H21" s="60">
        <f>IF($A21&lt;=Input!$C$6,0,IF('Fixed Tenure'!D21&lt;'Fixed Tenure'!F21,'Fixed Tenure'!D21-G21,'Fixed Tenure'!F21))</f>
        <v>3022526</v>
      </c>
      <c r="I21" s="60">
        <f t="shared" si="26"/>
        <v>14823000</v>
      </c>
      <c r="J21" s="60">
        <f t="shared" si="27"/>
        <v>923251206.22744608</v>
      </c>
      <c r="K21" s="202">
        <f>J21/Input!$K$5</f>
        <v>3.0775040207581537</v>
      </c>
      <c r="L21" s="232"/>
      <c r="M21" s="60">
        <f>IF($B21&lt;Input!$H$43,IF($B21&lt;Input!$G$43,IF($B21&lt;Input!$F$43,IF($B21&lt;Input!$E$43,IF($B21&lt;Input!$D$43,Input!$C$49,Input!$D$49),Input!$E$49),Input!$F$49),Input!$G$49),Input!$H$49)</f>
        <v>16470000</v>
      </c>
      <c r="N21" s="190">
        <f>IF($A21&lt;Input!$H$50,IF($A21&lt;Input!$G$50,IF($A21&lt;Input!$F$50,IF($A21&lt;Input!$E$50,IF($A21&lt;Input!$D$50,Input!$C$51,Input!$D$51),Input!$E$51),Input!$F$51),Input!$G$51),Input!$H$51)</f>
        <v>0.9</v>
      </c>
      <c r="O21" s="60">
        <f t="shared" si="0"/>
        <v>14823000</v>
      </c>
      <c r="P21" s="60">
        <f t="shared" si="3"/>
        <v>31</v>
      </c>
      <c r="Q21" s="60">
        <f t="shared" si="4"/>
        <v>926273732.22744608</v>
      </c>
      <c r="R21" s="60">
        <f>ROUND(Q21*$P21*Input!$C$3/365,0)</f>
        <v>11800474</v>
      </c>
      <c r="S21" s="60">
        <f>IF(A21&lt;=Input!$C$6,0,IF('Fixed Tenure'!O21&lt;'Fixed Tenure'!Q21,'Fixed Tenure'!O21-R21,'Fixed Tenure'!Q21))</f>
        <v>3022526</v>
      </c>
      <c r="T21" s="60">
        <f t="shared" si="5"/>
        <v>14823000</v>
      </c>
      <c r="U21" s="60">
        <f t="shared" si="6"/>
        <v>923251206.22744608</v>
      </c>
      <c r="V21" s="193"/>
      <c r="W21" s="169">
        <v>17</v>
      </c>
      <c r="X21" s="1">
        <f t="shared" si="28"/>
        <v>46037</v>
      </c>
      <c r="Y21" s="60">
        <f>IF($X21&lt;Input!$H$58,IF($X21&lt;Input!$G$58,IF($X21&lt;Input!$F$58,IF($X21&lt;Input!$E$58,IF($X21&lt;Input!$D$58,Input!$C$64,Input!$D$64),Input!$E$64),Input!$F$64),Input!$G$64),Input!$H$64)</f>
        <v>0</v>
      </c>
      <c r="Z21" s="190">
        <f>IF($A21&lt;Input!$H$65,IF($A21&lt;Input!$G$65,IF($A21&lt;Input!$F$65,IF($A21&lt;Input!$E$65,IF($A21&lt;Input!$D$65,Input!$C$66,Input!$D$66),Input!$E$66),Input!$F$66),Input!$G$66),Input!$H$66)</f>
        <v>0.9</v>
      </c>
      <c r="AA21" s="60">
        <f t="shared" si="7"/>
        <v>0</v>
      </c>
      <c r="AB21" s="60">
        <f t="shared" si="29"/>
        <v>31</v>
      </c>
      <c r="AC21" s="60">
        <f t="shared" si="8"/>
        <v>0</v>
      </c>
      <c r="AD21" s="60">
        <f>ROUND(AC21*AB21*Input!$C$3/365,0)</f>
        <v>0</v>
      </c>
      <c r="AE21" s="61">
        <f>IF($A21&lt;=Input!$C$6,0,IF('Fixed Tenure'!AA21&lt;'Fixed Tenure'!AC21,'Fixed Tenure'!AA21-AD21,'Fixed Tenure'!AC21))</f>
        <v>0</v>
      </c>
      <c r="AF21" s="61">
        <f t="shared" si="9"/>
        <v>0</v>
      </c>
      <c r="AG21" s="60">
        <f t="shared" si="10"/>
        <v>0</v>
      </c>
      <c r="AH21" s="193"/>
      <c r="AI21" s="169">
        <v>17</v>
      </c>
      <c r="AJ21" s="1">
        <f t="shared" si="30"/>
        <v>46037</v>
      </c>
      <c r="AK21" s="60">
        <f>IF($X21&lt;Input!$H$73,IF($X21&lt;Input!$G$73,IF($X21&lt;Input!$F$73,IF($X21&lt;Input!$E$73,IF($X21&lt;Input!$D$73,Input!$C$79,Input!$D$79),Input!$E$79),Input!$F$79),Input!$G$79),Input!$H$79)</f>
        <v>0</v>
      </c>
      <c r="AL21" s="190">
        <f>IF($A21&lt;Input!$H$80,IF($A21&lt;Input!$G$80,IF($A21&lt;Input!$F$80,IF($A21&lt;Input!$E$80,IF($A21&lt;Input!$D$80,Input!$C$81,Input!$D$81),Input!$E$81),Input!$F$81),Input!$G$81),Input!$H$81)</f>
        <v>0.9</v>
      </c>
      <c r="AM21" s="60">
        <f t="shared" si="11"/>
        <v>0</v>
      </c>
      <c r="AN21" s="60">
        <f t="shared" si="31"/>
        <v>31</v>
      </c>
      <c r="AO21" s="60">
        <f t="shared" si="12"/>
        <v>0</v>
      </c>
      <c r="AP21" s="60">
        <f>ROUND(AO21*AN21*Input!$C$3/365,0)</f>
        <v>0</v>
      </c>
      <c r="AQ21" s="61">
        <f>IF($A21&lt;=Input!$C$6,0,IF('Fixed Tenure'!AM21&lt;'Fixed Tenure'!AO21,'Fixed Tenure'!AM21-AP21,'Fixed Tenure'!AO21))</f>
        <v>0</v>
      </c>
      <c r="AR21" s="61">
        <f t="shared" si="13"/>
        <v>0</v>
      </c>
      <c r="AS21" s="60">
        <f t="shared" si="14"/>
        <v>0</v>
      </c>
      <c r="AT21" s="193"/>
      <c r="AU21" s="169">
        <v>17</v>
      </c>
      <c r="AV21" s="1">
        <f t="shared" si="32"/>
        <v>46037</v>
      </c>
      <c r="AW21" s="60">
        <f>IF($X21&lt;Input!$H$88,IF($X21&lt;Input!$G$88,IF($X21&lt;Input!$F$88,IF($X21&lt;Input!$E$88,IF($X21&lt;Input!$D$88,Input!$C$94,Input!$D$94),Input!$E$94),Input!$F$94),Input!$G$94),Input!$H$94)</f>
        <v>0</v>
      </c>
      <c r="AX21" s="190">
        <f>IF($A21&lt;Input!$H$95,IF($A21&lt;Input!$G$95,IF($A21&lt;Input!$F$95,IF($A21&lt;Input!$E$95,IF($A21&lt;Input!$D$95,Input!$C$96,Input!$D$96),Input!$E$96),Input!$F$96),Input!$G$96),Input!$H$96)</f>
        <v>0.9</v>
      </c>
      <c r="AY21" s="60">
        <f t="shared" si="15"/>
        <v>0</v>
      </c>
      <c r="AZ21" s="60">
        <f t="shared" si="33"/>
        <v>31</v>
      </c>
      <c r="BA21" s="60">
        <f t="shared" si="16"/>
        <v>0</v>
      </c>
      <c r="BB21" s="60">
        <f>ROUND(BA21*AZ21*Input!$C$3/365,0)</f>
        <v>0</v>
      </c>
      <c r="BC21" s="61">
        <f>IF($A21&lt;=Input!$C$6,0,IF('Fixed Tenure'!AY21&lt;'Fixed Tenure'!BA21,'Fixed Tenure'!AY21-BB21,'Fixed Tenure'!BA21))</f>
        <v>0</v>
      </c>
      <c r="BD21" s="61">
        <f t="shared" si="17"/>
        <v>0</v>
      </c>
      <c r="BE21" s="60">
        <f t="shared" si="18"/>
        <v>0</v>
      </c>
      <c r="BF21" s="193"/>
      <c r="BG21" s="169">
        <v>17</v>
      </c>
      <c r="BH21" s="1">
        <f t="shared" si="34"/>
        <v>46037</v>
      </c>
      <c r="BI21" s="60">
        <f>IF($X21&lt;Input!$H$103,IF($X21&lt;Input!$G$103,IF($X21&lt;Input!$F$103,IF($X21&lt;Input!$E$103,IF($X21&lt;Input!$D$103,Input!$C$109,Input!$D$109),Input!$E$109),Input!$F$109),Input!$G$109),Input!$H$109)</f>
        <v>0</v>
      </c>
      <c r="BJ21" s="190">
        <f>IF($A21&lt;Input!$H$110,IF($A21&lt;Input!$G$110,IF($A21&lt;Input!$F$110,IF($A21&lt;Input!$E$110,IF($A21&lt;Input!$D$110,Input!$C$111,Input!$D$111),Input!$E$111),Input!$F$111),Input!$G$111),Input!$H$111)</f>
        <v>0.9</v>
      </c>
      <c r="BK21" s="60">
        <f t="shared" si="19"/>
        <v>0</v>
      </c>
      <c r="BL21" s="60">
        <f t="shared" si="35"/>
        <v>31</v>
      </c>
      <c r="BM21" s="60">
        <f t="shared" si="20"/>
        <v>0</v>
      </c>
      <c r="BN21" s="60">
        <f>ROUND(BM21*BL21*Input!$C$3/365,0)</f>
        <v>0</v>
      </c>
      <c r="BO21" s="61">
        <f>IF($A21&lt;=Input!$C$6,0,IF('Fixed Tenure'!BK21&lt;'Fixed Tenure'!BM21,'Fixed Tenure'!BK21-BN21,'Fixed Tenure'!BM21))</f>
        <v>0</v>
      </c>
      <c r="BP21" s="61">
        <f t="shared" si="21"/>
        <v>0</v>
      </c>
      <c r="BQ21" s="60">
        <f t="shared" si="22"/>
        <v>0</v>
      </c>
      <c r="BR21" s="198"/>
    </row>
    <row r="22" spans="1:70" x14ac:dyDescent="0.25">
      <c r="A22" s="169">
        <v>18</v>
      </c>
      <c r="B22" s="1">
        <f t="shared" si="23"/>
        <v>46068</v>
      </c>
      <c r="C22" s="60">
        <f t="shared" si="1"/>
        <v>16470000</v>
      </c>
      <c r="D22" s="60">
        <f t="shared" si="2"/>
        <v>14823000</v>
      </c>
      <c r="E22" s="60">
        <f t="shared" si="24"/>
        <v>31</v>
      </c>
      <c r="F22" s="60">
        <f t="shared" si="25"/>
        <v>923251206.22744608</v>
      </c>
      <c r="G22" s="60">
        <f>ROUND(F22*E22*Input!$C$3/365,0)</f>
        <v>11761967</v>
      </c>
      <c r="H22" s="60">
        <f>IF($A22&lt;=Input!$C$6,0,IF('Fixed Tenure'!D22&lt;'Fixed Tenure'!F22,'Fixed Tenure'!D22-G22,'Fixed Tenure'!F22))</f>
        <v>3061033</v>
      </c>
      <c r="I22" s="60">
        <f t="shared" si="26"/>
        <v>14823000</v>
      </c>
      <c r="J22" s="60">
        <f t="shared" si="27"/>
        <v>920190173.22744608</v>
      </c>
      <c r="K22" s="202">
        <f>J22/Input!$K$5</f>
        <v>3.0673005774248203</v>
      </c>
      <c r="L22" s="232"/>
      <c r="M22" s="60">
        <f>IF($B22&lt;Input!$H$43,IF($B22&lt;Input!$G$43,IF($B22&lt;Input!$F$43,IF($B22&lt;Input!$E$43,IF($B22&lt;Input!$D$43,Input!$C$49,Input!$D$49),Input!$E$49),Input!$F$49),Input!$G$49),Input!$H$49)</f>
        <v>16470000</v>
      </c>
      <c r="N22" s="190">
        <f>IF($A22&lt;Input!$H$50,IF($A22&lt;Input!$G$50,IF($A22&lt;Input!$F$50,IF($A22&lt;Input!$E$50,IF($A22&lt;Input!$D$50,Input!$C$51,Input!$D$51),Input!$E$51),Input!$F$51),Input!$G$51),Input!$H$51)</f>
        <v>0.9</v>
      </c>
      <c r="O22" s="60">
        <f t="shared" si="0"/>
        <v>14823000</v>
      </c>
      <c r="P22" s="60">
        <f t="shared" si="3"/>
        <v>31</v>
      </c>
      <c r="Q22" s="60">
        <f t="shared" si="4"/>
        <v>923251206.22744608</v>
      </c>
      <c r="R22" s="60">
        <f>ROUND(Q22*$P22*Input!$C$3/365,0)</f>
        <v>11761967</v>
      </c>
      <c r="S22" s="60">
        <f>IF(A22&lt;=Input!$C$6,0,IF('Fixed Tenure'!O22&lt;'Fixed Tenure'!Q22,'Fixed Tenure'!O22-R22,'Fixed Tenure'!Q22))</f>
        <v>3061033</v>
      </c>
      <c r="T22" s="60">
        <f t="shared" si="5"/>
        <v>14823000</v>
      </c>
      <c r="U22" s="60">
        <f t="shared" si="6"/>
        <v>920190173.22744608</v>
      </c>
      <c r="V22" s="193"/>
      <c r="W22" s="169">
        <v>18</v>
      </c>
      <c r="X22" s="1">
        <f t="shared" si="28"/>
        <v>46068</v>
      </c>
      <c r="Y22" s="60">
        <f>IF($X22&lt;Input!$H$58,IF($X22&lt;Input!$G$58,IF($X22&lt;Input!$F$58,IF($X22&lt;Input!$E$58,IF($X22&lt;Input!$D$58,Input!$C$64,Input!$D$64),Input!$E$64),Input!$F$64),Input!$G$64),Input!$H$64)</f>
        <v>0</v>
      </c>
      <c r="Z22" s="190">
        <f>IF($A22&lt;Input!$H$65,IF($A22&lt;Input!$G$65,IF($A22&lt;Input!$F$65,IF($A22&lt;Input!$E$65,IF($A22&lt;Input!$D$65,Input!$C$66,Input!$D$66),Input!$E$66),Input!$F$66),Input!$G$66),Input!$H$66)</f>
        <v>0.9</v>
      </c>
      <c r="AA22" s="60">
        <f t="shared" si="7"/>
        <v>0</v>
      </c>
      <c r="AB22" s="60">
        <f t="shared" si="29"/>
        <v>31</v>
      </c>
      <c r="AC22" s="60">
        <f t="shared" si="8"/>
        <v>0</v>
      </c>
      <c r="AD22" s="60">
        <f>ROUND(AC22*AB22*Input!$C$3/365,0)</f>
        <v>0</v>
      </c>
      <c r="AE22" s="61">
        <f>IF($A22&lt;=Input!$C$6,0,IF('Fixed Tenure'!AA22&lt;'Fixed Tenure'!AC22,'Fixed Tenure'!AA22-AD22,'Fixed Tenure'!AC22))</f>
        <v>0</v>
      </c>
      <c r="AF22" s="61">
        <f t="shared" si="9"/>
        <v>0</v>
      </c>
      <c r="AG22" s="60">
        <f t="shared" si="10"/>
        <v>0</v>
      </c>
      <c r="AH22" s="193"/>
      <c r="AI22" s="169">
        <v>18</v>
      </c>
      <c r="AJ22" s="1">
        <f t="shared" si="30"/>
        <v>46068</v>
      </c>
      <c r="AK22" s="60">
        <f>IF($X22&lt;Input!$H$73,IF($X22&lt;Input!$G$73,IF($X22&lt;Input!$F$73,IF($X22&lt;Input!$E$73,IF($X22&lt;Input!$D$73,Input!$C$79,Input!$D$79),Input!$E$79),Input!$F$79),Input!$G$79),Input!$H$79)</f>
        <v>0</v>
      </c>
      <c r="AL22" s="190">
        <f>IF($A22&lt;Input!$H$80,IF($A22&lt;Input!$G$80,IF($A22&lt;Input!$F$80,IF($A22&lt;Input!$E$80,IF($A22&lt;Input!$D$80,Input!$C$81,Input!$D$81),Input!$E$81),Input!$F$81),Input!$G$81),Input!$H$81)</f>
        <v>0.9</v>
      </c>
      <c r="AM22" s="60">
        <f t="shared" si="11"/>
        <v>0</v>
      </c>
      <c r="AN22" s="60">
        <f t="shared" si="31"/>
        <v>31</v>
      </c>
      <c r="AO22" s="60">
        <f t="shared" si="12"/>
        <v>0</v>
      </c>
      <c r="AP22" s="60">
        <f>ROUND(AO22*AN22*Input!$C$3/365,0)</f>
        <v>0</v>
      </c>
      <c r="AQ22" s="61">
        <f>IF($A22&lt;=Input!$C$6,0,IF('Fixed Tenure'!AM22&lt;'Fixed Tenure'!AO22,'Fixed Tenure'!AM22-AP22,'Fixed Tenure'!AO22))</f>
        <v>0</v>
      </c>
      <c r="AR22" s="61">
        <f t="shared" si="13"/>
        <v>0</v>
      </c>
      <c r="AS22" s="60">
        <f t="shared" si="14"/>
        <v>0</v>
      </c>
      <c r="AT22" s="193"/>
      <c r="AU22" s="169">
        <v>18</v>
      </c>
      <c r="AV22" s="1">
        <f t="shared" si="32"/>
        <v>46068</v>
      </c>
      <c r="AW22" s="60">
        <f>IF($X22&lt;Input!$H$88,IF($X22&lt;Input!$G$88,IF($X22&lt;Input!$F$88,IF($X22&lt;Input!$E$88,IF($X22&lt;Input!$D$88,Input!$C$94,Input!$D$94),Input!$E$94),Input!$F$94),Input!$G$94),Input!$H$94)</f>
        <v>0</v>
      </c>
      <c r="AX22" s="190">
        <f>IF($A22&lt;Input!$H$95,IF($A22&lt;Input!$G$95,IF($A22&lt;Input!$F$95,IF($A22&lt;Input!$E$95,IF($A22&lt;Input!$D$95,Input!$C$96,Input!$D$96),Input!$E$96),Input!$F$96),Input!$G$96),Input!$H$96)</f>
        <v>0.9</v>
      </c>
      <c r="AY22" s="60">
        <f t="shared" si="15"/>
        <v>0</v>
      </c>
      <c r="AZ22" s="60">
        <f t="shared" si="33"/>
        <v>31</v>
      </c>
      <c r="BA22" s="60">
        <f t="shared" si="16"/>
        <v>0</v>
      </c>
      <c r="BB22" s="60">
        <f>ROUND(BA22*AZ22*Input!$C$3/365,0)</f>
        <v>0</v>
      </c>
      <c r="BC22" s="61">
        <f>IF($A22&lt;=Input!$C$6,0,IF('Fixed Tenure'!AY22&lt;'Fixed Tenure'!BA22,'Fixed Tenure'!AY22-BB22,'Fixed Tenure'!BA22))</f>
        <v>0</v>
      </c>
      <c r="BD22" s="61">
        <f t="shared" si="17"/>
        <v>0</v>
      </c>
      <c r="BE22" s="60">
        <f t="shared" si="18"/>
        <v>0</v>
      </c>
      <c r="BF22" s="193"/>
      <c r="BG22" s="169">
        <v>18</v>
      </c>
      <c r="BH22" s="1">
        <f t="shared" si="34"/>
        <v>46068</v>
      </c>
      <c r="BI22" s="60">
        <f>IF($X22&lt;Input!$H$103,IF($X22&lt;Input!$G$103,IF($X22&lt;Input!$F$103,IF($X22&lt;Input!$E$103,IF($X22&lt;Input!$D$103,Input!$C$109,Input!$D$109),Input!$E$109),Input!$F$109),Input!$G$109),Input!$H$109)</f>
        <v>0</v>
      </c>
      <c r="BJ22" s="190">
        <f>IF($A22&lt;Input!$H$110,IF($A22&lt;Input!$G$110,IF($A22&lt;Input!$F$110,IF($A22&lt;Input!$E$110,IF($A22&lt;Input!$D$110,Input!$C$111,Input!$D$111),Input!$E$111),Input!$F$111),Input!$G$111),Input!$H$111)</f>
        <v>0.9</v>
      </c>
      <c r="BK22" s="60">
        <f t="shared" si="19"/>
        <v>0</v>
      </c>
      <c r="BL22" s="60">
        <f t="shared" si="35"/>
        <v>31</v>
      </c>
      <c r="BM22" s="60">
        <f t="shared" si="20"/>
        <v>0</v>
      </c>
      <c r="BN22" s="60">
        <f>ROUND(BM22*BL22*Input!$C$3/365,0)</f>
        <v>0</v>
      </c>
      <c r="BO22" s="61">
        <f>IF($A22&lt;=Input!$C$6,0,IF('Fixed Tenure'!BK22&lt;'Fixed Tenure'!BM22,'Fixed Tenure'!BK22-BN22,'Fixed Tenure'!BM22))</f>
        <v>0</v>
      </c>
      <c r="BP22" s="61">
        <f t="shared" si="21"/>
        <v>0</v>
      </c>
      <c r="BQ22" s="60">
        <f t="shared" si="22"/>
        <v>0</v>
      </c>
      <c r="BR22" s="198"/>
    </row>
    <row r="23" spans="1:70" x14ac:dyDescent="0.25">
      <c r="A23" s="169">
        <v>19</v>
      </c>
      <c r="B23" s="1">
        <f t="shared" si="23"/>
        <v>46096</v>
      </c>
      <c r="C23" s="60">
        <f t="shared" si="1"/>
        <v>16470000</v>
      </c>
      <c r="D23" s="60">
        <f t="shared" si="2"/>
        <v>14823000</v>
      </c>
      <c r="E23" s="60">
        <f t="shared" si="24"/>
        <v>28</v>
      </c>
      <c r="F23" s="60">
        <f t="shared" si="25"/>
        <v>920190173.22744608</v>
      </c>
      <c r="G23" s="60">
        <f>ROUND(F23*E23*Input!$C$3/365,0)</f>
        <v>10588490</v>
      </c>
      <c r="H23" s="60">
        <f>IF($A23&lt;=Input!$C$6,0,IF('Fixed Tenure'!D23&lt;'Fixed Tenure'!F23,'Fixed Tenure'!D23-G23,'Fixed Tenure'!F23))</f>
        <v>4234510</v>
      </c>
      <c r="I23" s="60">
        <f t="shared" si="26"/>
        <v>14823000</v>
      </c>
      <c r="J23" s="60">
        <f t="shared" si="27"/>
        <v>915955663.22744608</v>
      </c>
      <c r="K23" s="202">
        <f>J23/Input!$K$5</f>
        <v>3.053185544091487</v>
      </c>
      <c r="L23" s="232"/>
      <c r="M23" s="60">
        <f>IF($B23&lt;Input!$H$43,IF($B23&lt;Input!$G$43,IF($B23&lt;Input!$F$43,IF($B23&lt;Input!$E$43,IF($B23&lt;Input!$D$43,Input!$C$49,Input!$D$49),Input!$E$49),Input!$F$49),Input!$G$49),Input!$H$49)</f>
        <v>16470000</v>
      </c>
      <c r="N23" s="190">
        <f>IF($A23&lt;Input!$H$50,IF($A23&lt;Input!$G$50,IF($A23&lt;Input!$F$50,IF($A23&lt;Input!$E$50,IF($A23&lt;Input!$D$50,Input!$C$51,Input!$D$51),Input!$E$51),Input!$F$51),Input!$G$51),Input!$H$51)</f>
        <v>0.9</v>
      </c>
      <c r="O23" s="60">
        <f t="shared" si="0"/>
        <v>14823000</v>
      </c>
      <c r="P23" s="60">
        <f t="shared" si="3"/>
        <v>28</v>
      </c>
      <c r="Q23" s="60">
        <f t="shared" si="4"/>
        <v>920190173.22744608</v>
      </c>
      <c r="R23" s="60">
        <f>ROUND(Q23*$P23*Input!$C$3/365,0)</f>
        <v>10588490</v>
      </c>
      <c r="S23" s="60">
        <f>IF(A23&lt;=Input!$C$6,0,IF('Fixed Tenure'!O23&lt;'Fixed Tenure'!Q23,'Fixed Tenure'!O23-R23,'Fixed Tenure'!Q23))</f>
        <v>4234510</v>
      </c>
      <c r="T23" s="60">
        <f t="shared" si="5"/>
        <v>14823000</v>
      </c>
      <c r="U23" s="60">
        <f t="shared" si="6"/>
        <v>915955663.22744608</v>
      </c>
      <c r="V23" s="193"/>
      <c r="W23" s="169">
        <v>19</v>
      </c>
      <c r="X23" s="1">
        <f t="shared" si="28"/>
        <v>46096</v>
      </c>
      <c r="Y23" s="60">
        <f>IF($X23&lt;Input!$H$58,IF($X23&lt;Input!$G$58,IF($X23&lt;Input!$F$58,IF($X23&lt;Input!$E$58,IF($X23&lt;Input!$D$58,Input!$C$64,Input!$D$64),Input!$E$64),Input!$F$64),Input!$G$64),Input!$H$64)</f>
        <v>0</v>
      </c>
      <c r="Z23" s="190">
        <f>IF($A23&lt;Input!$H$65,IF($A23&lt;Input!$G$65,IF($A23&lt;Input!$F$65,IF($A23&lt;Input!$E$65,IF($A23&lt;Input!$D$65,Input!$C$66,Input!$D$66),Input!$E$66),Input!$F$66),Input!$G$66),Input!$H$66)</f>
        <v>0.9</v>
      </c>
      <c r="AA23" s="60">
        <f t="shared" si="7"/>
        <v>0</v>
      </c>
      <c r="AB23" s="60">
        <f t="shared" si="29"/>
        <v>28</v>
      </c>
      <c r="AC23" s="60">
        <f t="shared" si="8"/>
        <v>0</v>
      </c>
      <c r="AD23" s="60">
        <f>ROUND(AC23*AB23*Input!$C$3/365,0)</f>
        <v>0</v>
      </c>
      <c r="AE23" s="61">
        <f>IF($A23&lt;=Input!$C$6,0,IF('Fixed Tenure'!AA23&lt;'Fixed Tenure'!AC23,'Fixed Tenure'!AA23-AD23,'Fixed Tenure'!AC23))</f>
        <v>0</v>
      </c>
      <c r="AF23" s="61">
        <f t="shared" si="9"/>
        <v>0</v>
      </c>
      <c r="AG23" s="60">
        <f t="shared" si="10"/>
        <v>0</v>
      </c>
      <c r="AH23" s="193"/>
      <c r="AI23" s="169">
        <v>19</v>
      </c>
      <c r="AJ23" s="1">
        <f t="shared" si="30"/>
        <v>46096</v>
      </c>
      <c r="AK23" s="60">
        <f>IF($X23&lt;Input!$H$73,IF($X23&lt;Input!$G$73,IF($X23&lt;Input!$F$73,IF($X23&lt;Input!$E$73,IF($X23&lt;Input!$D$73,Input!$C$79,Input!$D$79),Input!$E$79),Input!$F$79),Input!$G$79),Input!$H$79)</f>
        <v>0</v>
      </c>
      <c r="AL23" s="190">
        <f>IF($A23&lt;Input!$H$80,IF($A23&lt;Input!$G$80,IF($A23&lt;Input!$F$80,IF($A23&lt;Input!$E$80,IF($A23&lt;Input!$D$80,Input!$C$81,Input!$D$81),Input!$E$81),Input!$F$81),Input!$G$81),Input!$H$81)</f>
        <v>0.9</v>
      </c>
      <c r="AM23" s="60">
        <f t="shared" si="11"/>
        <v>0</v>
      </c>
      <c r="AN23" s="60">
        <f t="shared" si="31"/>
        <v>28</v>
      </c>
      <c r="AO23" s="60">
        <f t="shared" si="12"/>
        <v>0</v>
      </c>
      <c r="AP23" s="60">
        <f>ROUND(AO23*AN23*Input!$C$3/365,0)</f>
        <v>0</v>
      </c>
      <c r="AQ23" s="61">
        <f>IF($A23&lt;=Input!$C$6,0,IF('Fixed Tenure'!AM23&lt;'Fixed Tenure'!AO23,'Fixed Tenure'!AM23-AP23,'Fixed Tenure'!AO23))</f>
        <v>0</v>
      </c>
      <c r="AR23" s="61">
        <f t="shared" si="13"/>
        <v>0</v>
      </c>
      <c r="AS23" s="60">
        <f t="shared" si="14"/>
        <v>0</v>
      </c>
      <c r="AT23" s="193"/>
      <c r="AU23" s="169">
        <v>19</v>
      </c>
      <c r="AV23" s="1">
        <f t="shared" si="32"/>
        <v>46096</v>
      </c>
      <c r="AW23" s="60">
        <f>IF($X23&lt;Input!$H$88,IF($X23&lt;Input!$G$88,IF($X23&lt;Input!$F$88,IF($X23&lt;Input!$E$88,IF($X23&lt;Input!$D$88,Input!$C$94,Input!$D$94),Input!$E$94),Input!$F$94),Input!$G$94),Input!$H$94)</f>
        <v>0</v>
      </c>
      <c r="AX23" s="190">
        <f>IF($A23&lt;Input!$H$95,IF($A23&lt;Input!$G$95,IF($A23&lt;Input!$F$95,IF($A23&lt;Input!$E$95,IF($A23&lt;Input!$D$95,Input!$C$96,Input!$D$96),Input!$E$96),Input!$F$96),Input!$G$96),Input!$H$96)</f>
        <v>0.9</v>
      </c>
      <c r="AY23" s="60">
        <f t="shared" si="15"/>
        <v>0</v>
      </c>
      <c r="AZ23" s="60">
        <f t="shared" si="33"/>
        <v>28</v>
      </c>
      <c r="BA23" s="60">
        <f t="shared" si="16"/>
        <v>0</v>
      </c>
      <c r="BB23" s="60">
        <f>ROUND(BA23*AZ23*Input!$C$3/365,0)</f>
        <v>0</v>
      </c>
      <c r="BC23" s="61">
        <f>IF($A23&lt;=Input!$C$6,0,IF('Fixed Tenure'!AY23&lt;'Fixed Tenure'!BA23,'Fixed Tenure'!AY23-BB23,'Fixed Tenure'!BA23))</f>
        <v>0</v>
      </c>
      <c r="BD23" s="61">
        <f t="shared" si="17"/>
        <v>0</v>
      </c>
      <c r="BE23" s="60">
        <f t="shared" si="18"/>
        <v>0</v>
      </c>
      <c r="BF23" s="193"/>
      <c r="BG23" s="169">
        <v>19</v>
      </c>
      <c r="BH23" s="1">
        <f t="shared" si="34"/>
        <v>46096</v>
      </c>
      <c r="BI23" s="60">
        <f>IF($X23&lt;Input!$H$103,IF($X23&lt;Input!$G$103,IF($X23&lt;Input!$F$103,IF($X23&lt;Input!$E$103,IF($X23&lt;Input!$D$103,Input!$C$109,Input!$D$109),Input!$E$109),Input!$F$109),Input!$G$109),Input!$H$109)</f>
        <v>0</v>
      </c>
      <c r="BJ23" s="190">
        <f>IF($A23&lt;Input!$H$110,IF($A23&lt;Input!$G$110,IF($A23&lt;Input!$F$110,IF($A23&lt;Input!$E$110,IF($A23&lt;Input!$D$110,Input!$C$111,Input!$D$111),Input!$E$111),Input!$F$111),Input!$G$111),Input!$H$111)</f>
        <v>0.9</v>
      </c>
      <c r="BK23" s="60">
        <f t="shared" si="19"/>
        <v>0</v>
      </c>
      <c r="BL23" s="60">
        <f t="shared" si="35"/>
        <v>28</v>
      </c>
      <c r="BM23" s="60">
        <f t="shared" si="20"/>
        <v>0</v>
      </c>
      <c r="BN23" s="60">
        <f>ROUND(BM23*BL23*Input!$C$3/365,0)</f>
        <v>0</v>
      </c>
      <c r="BO23" s="61">
        <f>IF($A23&lt;=Input!$C$6,0,IF('Fixed Tenure'!BK23&lt;'Fixed Tenure'!BM23,'Fixed Tenure'!BK23-BN23,'Fixed Tenure'!BM23))</f>
        <v>0</v>
      </c>
      <c r="BP23" s="61">
        <f t="shared" si="21"/>
        <v>0</v>
      </c>
      <c r="BQ23" s="60">
        <f t="shared" si="22"/>
        <v>0</v>
      </c>
      <c r="BR23" s="198"/>
    </row>
    <row r="24" spans="1:70" x14ac:dyDescent="0.25">
      <c r="A24" s="169">
        <v>20</v>
      </c>
      <c r="B24" s="1">
        <f t="shared" si="23"/>
        <v>46127</v>
      </c>
      <c r="C24" s="60">
        <f t="shared" si="1"/>
        <v>16470000</v>
      </c>
      <c r="D24" s="60">
        <f t="shared" si="2"/>
        <v>14823000</v>
      </c>
      <c r="E24" s="60">
        <f t="shared" si="24"/>
        <v>31</v>
      </c>
      <c r="F24" s="60">
        <f t="shared" si="25"/>
        <v>915955663.22744608</v>
      </c>
      <c r="G24" s="60">
        <f>ROUND(F24*E24*Input!$C$3/365,0)</f>
        <v>11669024</v>
      </c>
      <c r="H24" s="60">
        <f>IF($A24&lt;=Input!$C$6,0,IF('Fixed Tenure'!D24&lt;'Fixed Tenure'!F24,'Fixed Tenure'!D24-G24,'Fixed Tenure'!F24))</f>
        <v>3153976</v>
      </c>
      <c r="I24" s="60">
        <f t="shared" si="26"/>
        <v>14823000</v>
      </c>
      <c r="J24" s="60">
        <f t="shared" si="27"/>
        <v>912801687.22744608</v>
      </c>
      <c r="K24" s="202">
        <f>J24/Input!$K$5</f>
        <v>3.0426722907581536</v>
      </c>
      <c r="L24" s="232"/>
      <c r="M24" s="60">
        <f>IF($B24&lt;Input!$H$43,IF($B24&lt;Input!$G$43,IF($B24&lt;Input!$F$43,IF($B24&lt;Input!$E$43,IF($B24&lt;Input!$D$43,Input!$C$49,Input!$D$49),Input!$E$49),Input!$F$49),Input!$G$49),Input!$H$49)</f>
        <v>16470000</v>
      </c>
      <c r="N24" s="190">
        <f>IF($A24&lt;Input!$H$50,IF($A24&lt;Input!$G$50,IF($A24&lt;Input!$F$50,IF($A24&lt;Input!$E$50,IF($A24&lt;Input!$D$50,Input!$C$51,Input!$D$51),Input!$E$51),Input!$F$51),Input!$G$51),Input!$H$51)</f>
        <v>0.9</v>
      </c>
      <c r="O24" s="60">
        <f t="shared" si="0"/>
        <v>14823000</v>
      </c>
      <c r="P24" s="60">
        <f t="shared" si="3"/>
        <v>31</v>
      </c>
      <c r="Q24" s="60">
        <f t="shared" si="4"/>
        <v>915955663.22744608</v>
      </c>
      <c r="R24" s="60">
        <f>ROUND(Q24*$P24*Input!$C$3/365,0)</f>
        <v>11669024</v>
      </c>
      <c r="S24" s="60">
        <f>IF(A24&lt;=Input!$C$6,0,IF('Fixed Tenure'!O24&lt;'Fixed Tenure'!Q24,'Fixed Tenure'!O24-R24,'Fixed Tenure'!Q24))</f>
        <v>3153976</v>
      </c>
      <c r="T24" s="60">
        <f t="shared" si="5"/>
        <v>14823000</v>
      </c>
      <c r="U24" s="60">
        <f t="shared" si="6"/>
        <v>912801687.22744608</v>
      </c>
      <c r="V24" s="193"/>
      <c r="W24" s="169">
        <v>20</v>
      </c>
      <c r="X24" s="1">
        <f t="shared" si="28"/>
        <v>46127</v>
      </c>
      <c r="Y24" s="60">
        <f>IF($X24&lt;Input!$H$58,IF($X24&lt;Input!$G$58,IF($X24&lt;Input!$F$58,IF($X24&lt;Input!$E$58,IF($X24&lt;Input!$D$58,Input!$C$64,Input!$D$64),Input!$E$64),Input!$F$64),Input!$G$64),Input!$H$64)</f>
        <v>0</v>
      </c>
      <c r="Z24" s="190">
        <f>IF($A24&lt;Input!$H$65,IF($A24&lt;Input!$G$65,IF($A24&lt;Input!$F$65,IF($A24&lt;Input!$E$65,IF($A24&lt;Input!$D$65,Input!$C$66,Input!$D$66),Input!$E$66),Input!$F$66),Input!$G$66),Input!$H$66)</f>
        <v>0.9</v>
      </c>
      <c r="AA24" s="60">
        <f t="shared" si="7"/>
        <v>0</v>
      </c>
      <c r="AB24" s="60">
        <f t="shared" si="29"/>
        <v>31</v>
      </c>
      <c r="AC24" s="60">
        <f t="shared" si="8"/>
        <v>0</v>
      </c>
      <c r="AD24" s="60">
        <f>ROUND(AC24*AB24*Input!$C$3/365,0)</f>
        <v>0</v>
      </c>
      <c r="AE24" s="61">
        <f>IF($A24&lt;=Input!$C$6,0,IF('Fixed Tenure'!AA24&lt;'Fixed Tenure'!AC24,'Fixed Tenure'!AA24-AD24,'Fixed Tenure'!AC24))</f>
        <v>0</v>
      </c>
      <c r="AF24" s="61">
        <f t="shared" si="9"/>
        <v>0</v>
      </c>
      <c r="AG24" s="60">
        <f t="shared" si="10"/>
        <v>0</v>
      </c>
      <c r="AH24" s="193"/>
      <c r="AI24" s="169">
        <v>20</v>
      </c>
      <c r="AJ24" s="1">
        <f t="shared" si="30"/>
        <v>46127</v>
      </c>
      <c r="AK24" s="60">
        <f>IF($X24&lt;Input!$H$73,IF($X24&lt;Input!$G$73,IF($X24&lt;Input!$F$73,IF($X24&lt;Input!$E$73,IF($X24&lt;Input!$D$73,Input!$C$79,Input!$D$79),Input!$E$79),Input!$F$79),Input!$G$79),Input!$H$79)</f>
        <v>0</v>
      </c>
      <c r="AL24" s="190">
        <f>IF($A24&lt;Input!$H$80,IF($A24&lt;Input!$G$80,IF($A24&lt;Input!$F$80,IF($A24&lt;Input!$E$80,IF($A24&lt;Input!$D$80,Input!$C$81,Input!$D$81),Input!$E$81),Input!$F$81),Input!$G$81),Input!$H$81)</f>
        <v>0.9</v>
      </c>
      <c r="AM24" s="60">
        <f t="shared" si="11"/>
        <v>0</v>
      </c>
      <c r="AN24" s="60">
        <f t="shared" si="31"/>
        <v>31</v>
      </c>
      <c r="AO24" s="60">
        <f t="shared" si="12"/>
        <v>0</v>
      </c>
      <c r="AP24" s="60">
        <f>ROUND(AO24*AN24*Input!$C$3/365,0)</f>
        <v>0</v>
      </c>
      <c r="AQ24" s="61">
        <f>IF($A24&lt;=Input!$C$6,0,IF('Fixed Tenure'!AM24&lt;'Fixed Tenure'!AO24,'Fixed Tenure'!AM24-AP24,'Fixed Tenure'!AO24))</f>
        <v>0</v>
      </c>
      <c r="AR24" s="61">
        <f t="shared" si="13"/>
        <v>0</v>
      </c>
      <c r="AS24" s="60">
        <f t="shared" si="14"/>
        <v>0</v>
      </c>
      <c r="AT24" s="193"/>
      <c r="AU24" s="169">
        <v>20</v>
      </c>
      <c r="AV24" s="1">
        <f t="shared" si="32"/>
        <v>46127</v>
      </c>
      <c r="AW24" s="60">
        <f>IF($X24&lt;Input!$H$88,IF($X24&lt;Input!$G$88,IF($X24&lt;Input!$F$88,IF($X24&lt;Input!$E$88,IF($X24&lt;Input!$D$88,Input!$C$94,Input!$D$94),Input!$E$94),Input!$F$94),Input!$G$94),Input!$H$94)</f>
        <v>0</v>
      </c>
      <c r="AX24" s="190">
        <f>IF($A24&lt;Input!$H$95,IF($A24&lt;Input!$G$95,IF($A24&lt;Input!$F$95,IF($A24&lt;Input!$E$95,IF($A24&lt;Input!$D$95,Input!$C$96,Input!$D$96),Input!$E$96),Input!$F$96),Input!$G$96),Input!$H$96)</f>
        <v>0.9</v>
      </c>
      <c r="AY24" s="60">
        <f t="shared" si="15"/>
        <v>0</v>
      </c>
      <c r="AZ24" s="60">
        <f t="shared" si="33"/>
        <v>31</v>
      </c>
      <c r="BA24" s="60">
        <f t="shared" si="16"/>
        <v>0</v>
      </c>
      <c r="BB24" s="60">
        <f>ROUND(BA24*AZ24*Input!$C$3/365,0)</f>
        <v>0</v>
      </c>
      <c r="BC24" s="61">
        <f>IF($A24&lt;=Input!$C$6,0,IF('Fixed Tenure'!AY24&lt;'Fixed Tenure'!BA24,'Fixed Tenure'!AY24-BB24,'Fixed Tenure'!BA24))</f>
        <v>0</v>
      </c>
      <c r="BD24" s="61">
        <f t="shared" si="17"/>
        <v>0</v>
      </c>
      <c r="BE24" s="60">
        <f t="shared" si="18"/>
        <v>0</v>
      </c>
      <c r="BF24" s="193"/>
      <c r="BG24" s="169">
        <v>20</v>
      </c>
      <c r="BH24" s="1">
        <f t="shared" si="34"/>
        <v>46127</v>
      </c>
      <c r="BI24" s="60">
        <f>IF($X24&lt;Input!$H$103,IF($X24&lt;Input!$G$103,IF($X24&lt;Input!$F$103,IF($X24&lt;Input!$E$103,IF($X24&lt;Input!$D$103,Input!$C$109,Input!$D$109),Input!$E$109),Input!$F$109),Input!$G$109),Input!$H$109)</f>
        <v>0</v>
      </c>
      <c r="BJ24" s="190">
        <f>IF($A24&lt;Input!$H$110,IF($A24&lt;Input!$G$110,IF($A24&lt;Input!$F$110,IF($A24&lt;Input!$E$110,IF($A24&lt;Input!$D$110,Input!$C$111,Input!$D$111),Input!$E$111),Input!$F$111),Input!$G$111),Input!$H$111)</f>
        <v>0.9</v>
      </c>
      <c r="BK24" s="60">
        <f t="shared" si="19"/>
        <v>0</v>
      </c>
      <c r="BL24" s="60">
        <f t="shared" si="35"/>
        <v>31</v>
      </c>
      <c r="BM24" s="60">
        <f t="shared" si="20"/>
        <v>0</v>
      </c>
      <c r="BN24" s="60">
        <f>ROUND(BM24*BL24*Input!$C$3/365,0)</f>
        <v>0</v>
      </c>
      <c r="BO24" s="61">
        <f>IF($A24&lt;=Input!$C$6,0,IF('Fixed Tenure'!BK24&lt;'Fixed Tenure'!BM24,'Fixed Tenure'!BK24-BN24,'Fixed Tenure'!BM24))</f>
        <v>0</v>
      </c>
      <c r="BP24" s="61">
        <f t="shared" si="21"/>
        <v>0</v>
      </c>
      <c r="BQ24" s="60">
        <f t="shared" si="22"/>
        <v>0</v>
      </c>
      <c r="BR24" s="198"/>
    </row>
    <row r="25" spans="1:70" x14ac:dyDescent="0.25">
      <c r="A25" s="169">
        <v>21</v>
      </c>
      <c r="B25" s="1">
        <f t="shared" si="23"/>
        <v>46157</v>
      </c>
      <c r="C25" s="60">
        <f t="shared" si="1"/>
        <v>16470000</v>
      </c>
      <c r="D25" s="60">
        <f t="shared" si="2"/>
        <v>14823000</v>
      </c>
      <c r="E25" s="60">
        <f t="shared" si="24"/>
        <v>30</v>
      </c>
      <c r="F25" s="60">
        <f t="shared" si="25"/>
        <v>912801687.22744608</v>
      </c>
      <c r="G25" s="60">
        <f>ROUND(F25*E25*Input!$C$3/365,0)</f>
        <v>11253719</v>
      </c>
      <c r="H25" s="60">
        <f>IF($A25&lt;=Input!$C$6,0,IF('Fixed Tenure'!D25&lt;'Fixed Tenure'!F25,'Fixed Tenure'!D25-G25,'Fixed Tenure'!F25))</f>
        <v>3569281</v>
      </c>
      <c r="I25" s="60">
        <f t="shared" si="26"/>
        <v>14823000</v>
      </c>
      <c r="J25" s="60">
        <f t="shared" si="27"/>
        <v>909232406.22744608</v>
      </c>
      <c r="K25" s="202">
        <f>J25/Input!$K$5</f>
        <v>3.0307746874248203</v>
      </c>
      <c r="L25" s="232"/>
      <c r="M25" s="60">
        <f>IF($B25&lt;Input!$H$43,IF($B25&lt;Input!$G$43,IF($B25&lt;Input!$F$43,IF($B25&lt;Input!$E$43,IF($B25&lt;Input!$D$43,Input!$C$49,Input!$D$49),Input!$E$49),Input!$F$49),Input!$G$49),Input!$H$49)</f>
        <v>16470000</v>
      </c>
      <c r="N25" s="190">
        <f>IF($A25&lt;Input!$H$50,IF($A25&lt;Input!$G$50,IF($A25&lt;Input!$F$50,IF($A25&lt;Input!$E$50,IF($A25&lt;Input!$D$50,Input!$C$51,Input!$D$51),Input!$E$51),Input!$F$51),Input!$G$51),Input!$H$51)</f>
        <v>0.9</v>
      </c>
      <c r="O25" s="60">
        <f t="shared" si="0"/>
        <v>14823000</v>
      </c>
      <c r="P25" s="60">
        <f t="shared" si="3"/>
        <v>30</v>
      </c>
      <c r="Q25" s="60">
        <f t="shared" si="4"/>
        <v>912801687.22744608</v>
      </c>
      <c r="R25" s="60">
        <f>ROUND(Q25*$P25*Input!$C$3/365,0)</f>
        <v>11253719</v>
      </c>
      <c r="S25" s="60">
        <f>IF(A25&lt;=Input!$C$6,0,IF('Fixed Tenure'!O25&lt;'Fixed Tenure'!Q25,'Fixed Tenure'!O25-R25,'Fixed Tenure'!Q25))</f>
        <v>3569281</v>
      </c>
      <c r="T25" s="60">
        <f t="shared" si="5"/>
        <v>14823000</v>
      </c>
      <c r="U25" s="60">
        <f t="shared" si="6"/>
        <v>909232406.22744608</v>
      </c>
      <c r="V25" s="193"/>
      <c r="W25" s="169">
        <v>21</v>
      </c>
      <c r="X25" s="1">
        <f t="shared" si="28"/>
        <v>46157</v>
      </c>
      <c r="Y25" s="60">
        <f>IF($X25&lt;Input!$H$58,IF($X25&lt;Input!$G$58,IF($X25&lt;Input!$F$58,IF($X25&lt;Input!$E$58,IF($X25&lt;Input!$D$58,Input!$C$64,Input!$D$64),Input!$E$64),Input!$F$64),Input!$G$64),Input!$H$64)</f>
        <v>0</v>
      </c>
      <c r="Z25" s="190">
        <f>IF($A25&lt;Input!$H$65,IF($A25&lt;Input!$G$65,IF($A25&lt;Input!$F$65,IF($A25&lt;Input!$E$65,IF($A25&lt;Input!$D$65,Input!$C$66,Input!$D$66),Input!$E$66),Input!$F$66),Input!$G$66),Input!$H$66)</f>
        <v>0.9</v>
      </c>
      <c r="AA25" s="60">
        <f t="shared" si="7"/>
        <v>0</v>
      </c>
      <c r="AB25" s="60">
        <f t="shared" si="29"/>
        <v>30</v>
      </c>
      <c r="AC25" s="60">
        <f t="shared" si="8"/>
        <v>0</v>
      </c>
      <c r="AD25" s="60">
        <f>ROUND(AC25*AB25*Input!$C$3/365,0)</f>
        <v>0</v>
      </c>
      <c r="AE25" s="61">
        <f>IF($A25&lt;=Input!$C$6,0,IF('Fixed Tenure'!AA25&lt;'Fixed Tenure'!AC25,'Fixed Tenure'!AA25-AD25,'Fixed Tenure'!AC25))</f>
        <v>0</v>
      </c>
      <c r="AF25" s="61">
        <f t="shared" si="9"/>
        <v>0</v>
      </c>
      <c r="AG25" s="60">
        <f t="shared" si="10"/>
        <v>0</v>
      </c>
      <c r="AH25" s="193"/>
      <c r="AI25" s="169">
        <v>21</v>
      </c>
      <c r="AJ25" s="1">
        <f t="shared" si="30"/>
        <v>46157</v>
      </c>
      <c r="AK25" s="60">
        <f>IF($X25&lt;Input!$H$73,IF($X25&lt;Input!$G$73,IF($X25&lt;Input!$F$73,IF($X25&lt;Input!$E$73,IF($X25&lt;Input!$D$73,Input!$C$79,Input!$D$79),Input!$E$79),Input!$F$79),Input!$G$79),Input!$H$79)</f>
        <v>0</v>
      </c>
      <c r="AL25" s="190">
        <f>IF($A25&lt;Input!$H$80,IF($A25&lt;Input!$G$80,IF($A25&lt;Input!$F$80,IF($A25&lt;Input!$E$80,IF($A25&lt;Input!$D$80,Input!$C$81,Input!$D$81),Input!$E$81),Input!$F$81),Input!$G$81),Input!$H$81)</f>
        <v>0.9</v>
      </c>
      <c r="AM25" s="60">
        <f t="shared" si="11"/>
        <v>0</v>
      </c>
      <c r="AN25" s="60">
        <f t="shared" si="31"/>
        <v>30</v>
      </c>
      <c r="AO25" s="60">
        <f t="shared" si="12"/>
        <v>0</v>
      </c>
      <c r="AP25" s="60">
        <f>ROUND(AO25*AN25*Input!$C$3/365,0)</f>
        <v>0</v>
      </c>
      <c r="AQ25" s="61">
        <f>IF($A25&lt;=Input!$C$6,0,IF('Fixed Tenure'!AM25&lt;'Fixed Tenure'!AO25,'Fixed Tenure'!AM25-AP25,'Fixed Tenure'!AO25))</f>
        <v>0</v>
      </c>
      <c r="AR25" s="61">
        <f t="shared" si="13"/>
        <v>0</v>
      </c>
      <c r="AS25" s="60">
        <f t="shared" si="14"/>
        <v>0</v>
      </c>
      <c r="AT25" s="193"/>
      <c r="AU25" s="169">
        <v>21</v>
      </c>
      <c r="AV25" s="1">
        <f t="shared" si="32"/>
        <v>46157</v>
      </c>
      <c r="AW25" s="60">
        <f>IF($X25&lt;Input!$H$88,IF($X25&lt;Input!$G$88,IF($X25&lt;Input!$F$88,IF($X25&lt;Input!$E$88,IF($X25&lt;Input!$D$88,Input!$C$94,Input!$D$94),Input!$E$94),Input!$F$94),Input!$G$94),Input!$H$94)</f>
        <v>0</v>
      </c>
      <c r="AX25" s="190">
        <f>IF($A25&lt;Input!$H$95,IF($A25&lt;Input!$G$95,IF($A25&lt;Input!$F$95,IF($A25&lt;Input!$E$95,IF($A25&lt;Input!$D$95,Input!$C$96,Input!$D$96),Input!$E$96),Input!$F$96),Input!$G$96),Input!$H$96)</f>
        <v>0.9</v>
      </c>
      <c r="AY25" s="60">
        <f t="shared" si="15"/>
        <v>0</v>
      </c>
      <c r="AZ25" s="60">
        <f t="shared" si="33"/>
        <v>30</v>
      </c>
      <c r="BA25" s="60">
        <f t="shared" si="16"/>
        <v>0</v>
      </c>
      <c r="BB25" s="60">
        <f>ROUND(BA25*AZ25*Input!$C$3/365,0)</f>
        <v>0</v>
      </c>
      <c r="BC25" s="61">
        <f>IF($A25&lt;=Input!$C$6,0,IF('Fixed Tenure'!AY25&lt;'Fixed Tenure'!BA25,'Fixed Tenure'!AY25-BB25,'Fixed Tenure'!BA25))</f>
        <v>0</v>
      </c>
      <c r="BD25" s="61">
        <f t="shared" si="17"/>
        <v>0</v>
      </c>
      <c r="BE25" s="60">
        <f t="shared" si="18"/>
        <v>0</v>
      </c>
      <c r="BF25" s="193"/>
      <c r="BG25" s="169">
        <v>21</v>
      </c>
      <c r="BH25" s="1">
        <f t="shared" si="34"/>
        <v>46157</v>
      </c>
      <c r="BI25" s="60">
        <f>IF($X25&lt;Input!$H$103,IF($X25&lt;Input!$G$103,IF($X25&lt;Input!$F$103,IF($X25&lt;Input!$E$103,IF($X25&lt;Input!$D$103,Input!$C$109,Input!$D$109),Input!$E$109),Input!$F$109),Input!$G$109),Input!$H$109)</f>
        <v>0</v>
      </c>
      <c r="BJ25" s="190">
        <f>IF($A25&lt;Input!$H$110,IF($A25&lt;Input!$G$110,IF($A25&lt;Input!$F$110,IF($A25&lt;Input!$E$110,IF($A25&lt;Input!$D$110,Input!$C$111,Input!$D$111),Input!$E$111),Input!$F$111),Input!$G$111),Input!$H$111)</f>
        <v>0.9</v>
      </c>
      <c r="BK25" s="60">
        <f t="shared" si="19"/>
        <v>0</v>
      </c>
      <c r="BL25" s="60">
        <f t="shared" si="35"/>
        <v>30</v>
      </c>
      <c r="BM25" s="60">
        <f t="shared" si="20"/>
        <v>0</v>
      </c>
      <c r="BN25" s="60">
        <f>ROUND(BM25*BL25*Input!$C$3/365,0)</f>
        <v>0</v>
      </c>
      <c r="BO25" s="61">
        <f>IF($A25&lt;=Input!$C$6,0,IF('Fixed Tenure'!BK25&lt;'Fixed Tenure'!BM25,'Fixed Tenure'!BK25-BN25,'Fixed Tenure'!BM25))</f>
        <v>0</v>
      </c>
      <c r="BP25" s="61">
        <f t="shared" si="21"/>
        <v>0</v>
      </c>
      <c r="BQ25" s="60">
        <f t="shared" si="22"/>
        <v>0</v>
      </c>
      <c r="BR25" s="198"/>
    </row>
    <row r="26" spans="1:70" x14ac:dyDescent="0.25">
      <c r="A26" s="169">
        <v>22</v>
      </c>
      <c r="B26" s="1">
        <f t="shared" si="23"/>
        <v>46188</v>
      </c>
      <c r="C26" s="60">
        <f t="shared" si="1"/>
        <v>16470000</v>
      </c>
      <c r="D26" s="60">
        <f t="shared" si="2"/>
        <v>14823000</v>
      </c>
      <c r="E26" s="60">
        <f t="shared" si="24"/>
        <v>31</v>
      </c>
      <c r="F26" s="60">
        <f t="shared" si="25"/>
        <v>909232406.22744608</v>
      </c>
      <c r="G26" s="60">
        <f>ROUND(F26*E26*Input!$C$3/365,0)</f>
        <v>11583372</v>
      </c>
      <c r="H26" s="60">
        <f>IF($A26&lt;=Input!$C$6,0,IF('Fixed Tenure'!D26&lt;'Fixed Tenure'!F26,'Fixed Tenure'!D26-G26,'Fixed Tenure'!F26))</f>
        <v>3239628</v>
      </c>
      <c r="I26" s="60">
        <f t="shared" si="26"/>
        <v>14823000</v>
      </c>
      <c r="J26" s="60">
        <f t="shared" si="27"/>
        <v>905992778.22744608</v>
      </c>
      <c r="K26" s="202">
        <f>J26/Input!$K$5</f>
        <v>3.0199759274248201</v>
      </c>
      <c r="L26" s="232"/>
      <c r="M26" s="60">
        <f>IF($B26&lt;Input!$H$43,IF($B26&lt;Input!$G$43,IF($B26&lt;Input!$F$43,IF($B26&lt;Input!$E$43,IF($B26&lt;Input!$D$43,Input!$C$49,Input!$D$49),Input!$E$49),Input!$F$49),Input!$G$49),Input!$H$49)</f>
        <v>16470000</v>
      </c>
      <c r="N26" s="190">
        <f>IF($A26&lt;Input!$H$50,IF($A26&lt;Input!$G$50,IF($A26&lt;Input!$F$50,IF($A26&lt;Input!$E$50,IF($A26&lt;Input!$D$50,Input!$C$51,Input!$D$51),Input!$E$51),Input!$F$51),Input!$G$51),Input!$H$51)</f>
        <v>0.9</v>
      </c>
      <c r="O26" s="60">
        <f t="shared" si="0"/>
        <v>14823000</v>
      </c>
      <c r="P26" s="60">
        <f t="shared" si="3"/>
        <v>31</v>
      </c>
      <c r="Q26" s="60">
        <f t="shared" si="4"/>
        <v>909232406.22744608</v>
      </c>
      <c r="R26" s="60">
        <f>ROUND(Q26*$P26*Input!$C$3/365,0)</f>
        <v>11583372</v>
      </c>
      <c r="S26" s="60">
        <f>IF(A26&lt;=Input!$C$6,0,IF('Fixed Tenure'!O26&lt;'Fixed Tenure'!Q26,'Fixed Tenure'!O26-R26,'Fixed Tenure'!Q26))</f>
        <v>3239628</v>
      </c>
      <c r="T26" s="60">
        <f t="shared" si="5"/>
        <v>14823000</v>
      </c>
      <c r="U26" s="60">
        <f t="shared" si="6"/>
        <v>905992778.22744608</v>
      </c>
      <c r="V26" s="193"/>
      <c r="W26" s="169">
        <v>22</v>
      </c>
      <c r="X26" s="1">
        <f t="shared" si="28"/>
        <v>46188</v>
      </c>
      <c r="Y26" s="60">
        <f>IF($X26&lt;Input!$H$58,IF($X26&lt;Input!$G$58,IF($X26&lt;Input!$F$58,IF($X26&lt;Input!$E$58,IF($X26&lt;Input!$D$58,Input!$C$64,Input!$D$64),Input!$E$64),Input!$F$64),Input!$G$64),Input!$H$64)</f>
        <v>0</v>
      </c>
      <c r="Z26" s="190">
        <f>IF($A26&lt;Input!$H$65,IF($A26&lt;Input!$G$65,IF($A26&lt;Input!$F$65,IF($A26&lt;Input!$E$65,IF($A26&lt;Input!$D$65,Input!$C$66,Input!$D$66),Input!$E$66),Input!$F$66),Input!$G$66),Input!$H$66)</f>
        <v>0.9</v>
      </c>
      <c r="AA26" s="60">
        <f t="shared" si="7"/>
        <v>0</v>
      </c>
      <c r="AB26" s="60">
        <f t="shared" si="29"/>
        <v>31</v>
      </c>
      <c r="AC26" s="60">
        <f t="shared" si="8"/>
        <v>0</v>
      </c>
      <c r="AD26" s="60">
        <f>ROUND(AC26*AB26*Input!$C$3/365,0)</f>
        <v>0</v>
      </c>
      <c r="AE26" s="61">
        <f>IF($A26&lt;=Input!$C$6,0,IF('Fixed Tenure'!AA26&lt;'Fixed Tenure'!AC26,'Fixed Tenure'!AA26-AD26,'Fixed Tenure'!AC26))</f>
        <v>0</v>
      </c>
      <c r="AF26" s="61">
        <f t="shared" si="9"/>
        <v>0</v>
      </c>
      <c r="AG26" s="60">
        <f t="shared" si="10"/>
        <v>0</v>
      </c>
      <c r="AH26" s="193"/>
      <c r="AI26" s="169">
        <v>22</v>
      </c>
      <c r="AJ26" s="1">
        <f t="shared" si="30"/>
        <v>46188</v>
      </c>
      <c r="AK26" s="60">
        <f>IF($X26&lt;Input!$H$73,IF($X26&lt;Input!$G$73,IF($X26&lt;Input!$F$73,IF($X26&lt;Input!$E$73,IF($X26&lt;Input!$D$73,Input!$C$79,Input!$D$79),Input!$E$79),Input!$F$79),Input!$G$79),Input!$H$79)</f>
        <v>0</v>
      </c>
      <c r="AL26" s="190">
        <f>IF($A26&lt;Input!$H$80,IF($A26&lt;Input!$G$80,IF($A26&lt;Input!$F$80,IF($A26&lt;Input!$E$80,IF($A26&lt;Input!$D$80,Input!$C$81,Input!$D$81),Input!$E$81),Input!$F$81),Input!$G$81),Input!$H$81)</f>
        <v>0.9</v>
      </c>
      <c r="AM26" s="60">
        <f t="shared" si="11"/>
        <v>0</v>
      </c>
      <c r="AN26" s="60">
        <f t="shared" si="31"/>
        <v>31</v>
      </c>
      <c r="AO26" s="60">
        <f t="shared" si="12"/>
        <v>0</v>
      </c>
      <c r="AP26" s="60">
        <f>ROUND(AO26*AN26*Input!$C$3/365,0)</f>
        <v>0</v>
      </c>
      <c r="AQ26" s="61">
        <f>IF($A26&lt;=Input!$C$6,0,IF('Fixed Tenure'!AM26&lt;'Fixed Tenure'!AO26,'Fixed Tenure'!AM26-AP26,'Fixed Tenure'!AO26))</f>
        <v>0</v>
      </c>
      <c r="AR26" s="61">
        <f t="shared" si="13"/>
        <v>0</v>
      </c>
      <c r="AS26" s="60">
        <f t="shared" si="14"/>
        <v>0</v>
      </c>
      <c r="AT26" s="193"/>
      <c r="AU26" s="169">
        <v>22</v>
      </c>
      <c r="AV26" s="1">
        <f t="shared" si="32"/>
        <v>46188</v>
      </c>
      <c r="AW26" s="60">
        <f>IF($X26&lt;Input!$H$88,IF($X26&lt;Input!$G$88,IF($X26&lt;Input!$F$88,IF($X26&lt;Input!$E$88,IF($X26&lt;Input!$D$88,Input!$C$94,Input!$D$94),Input!$E$94),Input!$F$94),Input!$G$94),Input!$H$94)</f>
        <v>0</v>
      </c>
      <c r="AX26" s="190">
        <f>IF($A26&lt;Input!$H$95,IF($A26&lt;Input!$G$95,IF($A26&lt;Input!$F$95,IF($A26&lt;Input!$E$95,IF($A26&lt;Input!$D$95,Input!$C$96,Input!$D$96),Input!$E$96),Input!$F$96),Input!$G$96),Input!$H$96)</f>
        <v>0.9</v>
      </c>
      <c r="AY26" s="60">
        <f t="shared" si="15"/>
        <v>0</v>
      </c>
      <c r="AZ26" s="60">
        <f t="shared" si="33"/>
        <v>31</v>
      </c>
      <c r="BA26" s="60">
        <f t="shared" si="16"/>
        <v>0</v>
      </c>
      <c r="BB26" s="60">
        <f>ROUND(BA26*AZ26*Input!$C$3/365,0)</f>
        <v>0</v>
      </c>
      <c r="BC26" s="61">
        <f>IF($A26&lt;=Input!$C$6,0,IF('Fixed Tenure'!AY26&lt;'Fixed Tenure'!BA26,'Fixed Tenure'!AY26-BB26,'Fixed Tenure'!BA26))</f>
        <v>0</v>
      </c>
      <c r="BD26" s="61">
        <f t="shared" si="17"/>
        <v>0</v>
      </c>
      <c r="BE26" s="60">
        <f t="shared" si="18"/>
        <v>0</v>
      </c>
      <c r="BF26" s="193"/>
      <c r="BG26" s="169">
        <v>22</v>
      </c>
      <c r="BH26" s="1">
        <f t="shared" si="34"/>
        <v>46188</v>
      </c>
      <c r="BI26" s="60">
        <f>IF($X26&lt;Input!$H$103,IF($X26&lt;Input!$G$103,IF($X26&lt;Input!$F$103,IF($X26&lt;Input!$E$103,IF($X26&lt;Input!$D$103,Input!$C$109,Input!$D$109),Input!$E$109),Input!$F$109),Input!$G$109),Input!$H$109)</f>
        <v>0</v>
      </c>
      <c r="BJ26" s="190">
        <f>IF($A26&lt;Input!$H$110,IF($A26&lt;Input!$G$110,IF($A26&lt;Input!$F$110,IF($A26&lt;Input!$E$110,IF($A26&lt;Input!$D$110,Input!$C$111,Input!$D$111),Input!$E$111),Input!$F$111),Input!$G$111),Input!$H$111)</f>
        <v>0.9</v>
      </c>
      <c r="BK26" s="60">
        <f t="shared" si="19"/>
        <v>0</v>
      </c>
      <c r="BL26" s="60">
        <f t="shared" si="35"/>
        <v>31</v>
      </c>
      <c r="BM26" s="60">
        <f t="shared" si="20"/>
        <v>0</v>
      </c>
      <c r="BN26" s="60">
        <f>ROUND(BM26*BL26*Input!$C$3/365,0)</f>
        <v>0</v>
      </c>
      <c r="BO26" s="61">
        <f>IF($A26&lt;=Input!$C$6,0,IF('Fixed Tenure'!BK26&lt;'Fixed Tenure'!BM26,'Fixed Tenure'!BK26-BN26,'Fixed Tenure'!BM26))</f>
        <v>0</v>
      </c>
      <c r="BP26" s="61">
        <f t="shared" si="21"/>
        <v>0</v>
      </c>
      <c r="BQ26" s="60">
        <f t="shared" si="22"/>
        <v>0</v>
      </c>
      <c r="BR26" s="198"/>
    </row>
    <row r="27" spans="1:70" x14ac:dyDescent="0.25">
      <c r="A27" s="169">
        <v>23</v>
      </c>
      <c r="B27" s="1">
        <f t="shared" si="23"/>
        <v>46218</v>
      </c>
      <c r="C27" s="60">
        <f t="shared" si="1"/>
        <v>16470000</v>
      </c>
      <c r="D27" s="60">
        <f t="shared" si="2"/>
        <v>14823000</v>
      </c>
      <c r="E27" s="60">
        <f t="shared" si="24"/>
        <v>30</v>
      </c>
      <c r="F27" s="60">
        <f t="shared" si="25"/>
        <v>905992778.22744608</v>
      </c>
      <c r="G27" s="60">
        <f>ROUND(F27*E27*Input!$C$3/365,0)</f>
        <v>11169774</v>
      </c>
      <c r="H27" s="60">
        <f>IF($A27&lt;=Input!$C$6,0,IF('Fixed Tenure'!D27&lt;'Fixed Tenure'!F27,'Fixed Tenure'!D27-G27,'Fixed Tenure'!F27))</f>
        <v>3653226</v>
      </c>
      <c r="I27" s="60">
        <f t="shared" si="26"/>
        <v>14823000</v>
      </c>
      <c r="J27" s="60">
        <f t="shared" si="27"/>
        <v>902339552.22744608</v>
      </c>
      <c r="K27" s="202">
        <f>J27/Input!$K$5</f>
        <v>3.0077985074248201</v>
      </c>
      <c r="L27" s="232"/>
      <c r="M27" s="60">
        <f>IF($B27&lt;Input!$H$43,IF($B27&lt;Input!$G$43,IF($B27&lt;Input!$F$43,IF($B27&lt;Input!$E$43,IF($B27&lt;Input!$D$43,Input!$C$49,Input!$D$49),Input!$E$49),Input!$F$49),Input!$G$49),Input!$H$49)</f>
        <v>16470000</v>
      </c>
      <c r="N27" s="190">
        <f>IF($A27&lt;Input!$H$50,IF($A27&lt;Input!$G$50,IF($A27&lt;Input!$F$50,IF($A27&lt;Input!$E$50,IF($A27&lt;Input!$D$50,Input!$C$51,Input!$D$51),Input!$E$51),Input!$F$51),Input!$G$51),Input!$H$51)</f>
        <v>0.9</v>
      </c>
      <c r="O27" s="60">
        <f t="shared" si="0"/>
        <v>14823000</v>
      </c>
      <c r="P27" s="60">
        <f t="shared" si="3"/>
        <v>30</v>
      </c>
      <c r="Q27" s="60">
        <f t="shared" si="4"/>
        <v>905992778.22744608</v>
      </c>
      <c r="R27" s="60">
        <f>ROUND(Q27*$P27*Input!$C$3/365,0)</f>
        <v>11169774</v>
      </c>
      <c r="S27" s="60">
        <f>IF(A27&lt;=Input!$C$6,0,IF('Fixed Tenure'!O27&lt;'Fixed Tenure'!Q27,'Fixed Tenure'!O27-R27,'Fixed Tenure'!Q27))</f>
        <v>3653226</v>
      </c>
      <c r="T27" s="60">
        <f t="shared" si="5"/>
        <v>14823000</v>
      </c>
      <c r="U27" s="60">
        <f t="shared" si="6"/>
        <v>902339552.22744608</v>
      </c>
      <c r="V27" s="193"/>
      <c r="W27" s="169">
        <v>23</v>
      </c>
      <c r="X27" s="1">
        <f t="shared" si="28"/>
        <v>46218</v>
      </c>
      <c r="Y27" s="60">
        <f>IF($X27&lt;Input!$H$58,IF($X27&lt;Input!$G$58,IF($X27&lt;Input!$F$58,IF($X27&lt;Input!$E$58,IF($X27&lt;Input!$D$58,Input!$C$64,Input!$D$64),Input!$E$64),Input!$F$64),Input!$G$64),Input!$H$64)</f>
        <v>0</v>
      </c>
      <c r="Z27" s="190">
        <f>IF($A27&lt;Input!$H$65,IF($A27&lt;Input!$G$65,IF($A27&lt;Input!$F$65,IF($A27&lt;Input!$E$65,IF($A27&lt;Input!$D$65,Input!$C$66,Input!$D$66),Input!$E$66),Input!$F$66),Input!$G$66),Input!$H$66)</f>
        <v>0.9</v>
      </c>
      <c r="AA27" s="60">
        <f t="shared" si="7"/>
        <v>0</v>
      </c>
      <c r="AB27" s="60">
        <f t="shared" si="29"/>
        <v>30</v>
      </c>
      <c r="AC27" s="60">
        <f t="shared" si="8"/>
        <v>0</v>
      </c>
      <c r="AD27" s="60">
        <f>ROUND(AC27*AB27*Input!$C$3/365,0)</f>
        <v>0</v>
      </c>
      <c r="AE27" s="61">
        <f>IF($A27&lt;=Input!$C$6,0,IF('Fixed Tenure'!AA27&lt;'Fixed Tenure'!AC27,'Fixed Tenure'!AA27-AD27,'Fixed Tenure'!AC27))</f>
        <v>0</v>
      </c>
      <c r="AF27" s="61">
        <f t="shared" si="9"/>
        <v>0</v>
      </c>
      <c r="AG27" s="60">
        <f t="shared" si="10"/>
        <v>0</v>
      </c>
      <c r="AH27" s="193"/>
      <c r="AI27" s="169">
        <v>23</v>
      </c>
      <c r="AJ27" s="1">
        <f t="shared" si="30"/>
        <v>46218</v>
      </c>
      <c r="AK27" s="60">
        <f>IF($X27&lt;Input!$H$73,IF($X27&lt;Input!$G$73,IF($X27&lt;Input!$F$73,IF($X27&lt;Input!$E$73,IF($X27&lt;Input!$D$73,Input!$C$79,Input!$D$79),Input!$E$79),Input!$F$79),Input!$G$79),Input!$H$79)</f>
        <v>0</v>
      </c>
      <c r="AL27" s="190">
        <f>IF($A27&lt;Input!$H$80,IF($A27&lt;Input!$G$80,IF($A27&lt;Input!$F$80,IF($A27&lt;Input!$E$80,IF($A27&lt;Input!$D$80,Input!$C$81,Input!$D$81),Input!$E$81),Input!$F$81),Input!$G$81),Input!$H$81)</f>
        <v>0.9</v>
      </c>
      <c r="AM27" s="60">
        <f t="shared" si="11"/>
        <v>0</v>
      </c>
      <c r="AN27" s="60">
        <f t="shared" si="31"/>
        <v>30</v>
      </c>
      <c r="AO27" s="60">
        <f t="shared" si="12"/>
        <v>0</v>
      </c>
      <c r="AP27" s="60">
        <f>ROUND(AO27*AN27*Input!$C$3/365,0)</f>
        <v>0</v>
      </c>
      <c r="AQ27" s="61">
        <f>IF($A27&lt;=Input!$C$6,0,IF('Fixed Tenure'!AM27&lt;'Fixed Tenure'!AO27,'Fixed Tenure'!AM27-AP27,'Fixed Tenure'!AO27))</f>
        <v>0</v>
      </c>
      <c r="AR27" s="61">
        <f t="shared" si="13"/>
        <v>0</v>
      </c>
      <c r="AS27" s="60">
        <f t="shared" si="14"/>
        <v>0</v>
      </c>
      <c r="AT27" s="193"/>
      <c r="AU27" s="169">
        <v>23</v>
      </c>
      <c r="AV27" s="1">
        <f t="shared" si="32"/>
        <v>46218</v>
      </c>
      <c r="AW27" s="60">
        <f>IF($X27&lt;Input!$H$88,IF($X27&lt;Input!$G$88,IF($X27&lt;Input!$F$88,IF($X27&lt;Input!$E$88,IF($X27&lt;Input!$D$88,Input!$C$94,Input!$D$94),Input!$E$94),Input!$F$94),Input!$G$94),Input!$H$94)</f>
        <v>0</v>
      </c>
      <c r="AX27" s="190">
        <f>IF($A27&lt;Input!$H$95,IF($A27&lt;Input!$G$95,IF($A27&lt;Input!$F$95,IF($A27&lt;Input!$E$95,IF($A27&lt;Input!$D$95,Input!$C$96,Input!$D$96),Input!$E$96),Input!$F$96),Input!$G$96),Input!$H$96)</f>
        <v>0.9</v>
      </c>
      <c r="AY27" s="60">
        <f t="shared" si="15"/>
        <v>0</v>
      </c>
      <c r="AZ27" s="60">
        <f t="shared" si="33"/>
        <v>30</v>
      </c>
      <c r="BA27" s="60">
        <f t="shared" si="16"/>
        <v>0</v>
      </c>
      <c r="BB27" s="60">
        <f>ROUND(BA27*AZ27*Input!$C$3/365,0)</f>
        <v>0</v>
      </c>
      <c r="BC27" s="61">
        <f>IF($A27&lt;=Input!$C$6,0,IF('Fixed Tenure'!AY27&lt;'Fixed Tenure'!BA27,'Fixed Tenure'!AY27-BB27,'Fixed Tenure'!BA27))</f>
        <v>0</v>
      </c>
      <c r="BD27" s="61">
        <f t="shared" si="17"/>
        <v>0</v>
      </c>
      <c r="BE27" s="60">
        <f t="shared" si="18"/>
        <v>0</v>
      </c>
      <c r="BF27" s="193"/>
      <c r="BG27" s="169">
        <v>23</v>
      </c>
      <c r="BH27" s="1">
        <f t="shared" si="34"/>
        <v>46218</v>
      </c>
      <c r="BI27" s="60">
        <f>IF($X27&lt;Input!$H$103,IF($X27&lt;Input!$G$103,IF($X27&lt;Input!$F$103,IF($X27&lt;Input!$E$103,IF($X27&lt;Input!$D$103,Input!$C$109,Input!$D$109),Input!$E$109),Input!$F$109),Input!$G$109),Input!$H$109)</f>
        <v>0</v>
      </c>
      <c r="BJ27" s="190">
        <f>IF($A27&lt;Input!$H$110,IF($A27&lt;Input!$G$110,IF($A27&lt;Input!$F$110,IF($A27&lt;Input!$E$110,IF($A27&lt;Input!$D$110,Input!$C$111,Input!$D$111),Input!$E$111),Input!$F$111),Input!$G$111),Input!$H$111)</f>
        <v>0.9</v>
      </c>
      <c r="BK27" s="60">
        <f t="shared" si="19"/>
        <v>0</v>
      </c>
      <c r="BL27" s="60">
        <f t="shared" si="35"/>
        <v>30</v>
      </c>
      <c r="BM27" s="60">
        <f t="shared" si="20"/>
        <v>0</v>
      </c>
      <c r="BN27" s="60">
        <f>ROUND(BM27*BL27*Input!$C$3/365,0)</f>
        <v>0</v>
      </c>
      <c r="BO27" s="61">
        <f>IF($A27&lt;=Input!$C$6,0,IF('Fixed Tenure'!BK27&lt;'Fixed Tenure'!BM27,'Fixed Tenure'!BK27-BN27,'Fixed Tenure'!BM27))</f>
        <v>0</v>
      </c>
      <c r="BP27" s="61">
        <f t="shared" si="21"/>
        <v>0</v>
      </c>
      <c r="BQ27" s="60">
        <f t="shared" si="22"/>
        <v>0</v>
      </c>
      <c r="BR27" s="198"/>
    </row>
    <row r="28" spans="1:70" x14ac:dyDescent="0.25">
      <c r="A28" s="169">
        <v>24</v>
      </c>
      <c r="B28" s="1">
        <f t="shared" si="23"/>
        <v>46249</v>
      </c>
      <c r="C28" s="60">
        <f t="shared" si="1"/>
        <v>16470000</v>
      </c>
      <c r="D28" s="60">
        <f t="shared" si="2"/>
        <v>14823000</v>
      </c>
      <c r="E28" s="60">
        <f t="shared" si="24"/>
        <v>31</v>
      </c>
      <c r="F28" s="60">
        <f t="shared" si="25"/>
        <v>902339552.22744608</v>
      </c>
      <c r="G28" s="60">
        <f>ROUND(F28*E28*Input!$C$3/365,0)</f>
        <v>11495559</v>
      </c>
      <c r="H28" s="60">
        <f>IF($A28&lt;=Input!$C$6,0,IF('Fixed Tenure'!D28&lt;'Fixed Tenure'!F28,'Fixed Tenure'!D28-G28,'Fixed Tenure'!F28))</f>
        <v>3327441</v>
      </c>
      <c r="I28" s="60">
        <f t="shared" si="26"/>
        <v>14823000</v>
      </c>
      <c r="J28" s="60">
        <f t="shared" si="27"/>
        <v>899012111.22744608</v>
      </c>
      <c r="K28" s="202">
        <f>J28/Input!$K$5</f>
        <v>2.9967070374248204</v>
      </c>
      <c r="L28" s="232"/>
      <c r="M28" s="60">
        <f>IF($B28&lt;Input!$H$43,IF($B28&lt;Input!$G$43,IF($B28&lt;Input!$F$43,IF($B28&lt;Input!$E$43,IF($B28&lt;Input!$D$43,Input!$C$49,Input!$D$49),Input!$E$49),Input!$F$49),Input!$G$49),Input!$H$49)</f>
        <v>16470000</v>
      </c>
      <c r="N28" s="190">
        <f>IF($A28&lt;Input!$H$50,IF($A28&lt;Input!$G$50,IF($A28&lt;Input!$F$50,IF($A28&lt;Input!$E$50,IF($A28&lt;Input!$D$50,Input!$C$51,Input!$D$51),Input!$E$51),Input!$F$51),Input!$G$51),Input!$H$51)</f>
        <v>0.9</v>
      </c>
      <c r="O28" s="60">
        <f t="shared" si="0"/>
        <v>14823000</v>
      </c>
      <c r="P28" s="60">
        <f t="shared" si="3"/>
        <v>31</v>
      </c>
      <c r="Q28" s="60">
        <f t="shared" si="4"/>
        <v>902339552.22744608</v>
      </c>
      <c r="R28" s="60">
        <f>ROUND(Q28*$P28*Input!$C$3/365,0)</f>
        <v>11495559</v>
      </c>
      <c r="S28" s="60">
        <f>IF(A28&lt;=Input!$C$6,0,IF('Fixed Tenure'!O28&lt;'Fixed Tenure'!Q28,'Fixed Tenure'!O28-R28,'Fixed Tenure'!Q28))</f>
        <v>3327441</v>
      </c>
      <c r="T28" s="60">
        <f t="shared" si="5"/>
        <v>14823000</v>
      </c>
      <c r="U28" s="60">
        <f t="shared" si="6"/>
        <v>899012111.22744608</v>
      </c>
      <c r="V28" s="193"/>
      <c r="W28" s="169">
        <v>24</v>
      </c>
      <c r="X28" s="1">
        <f t="shared" si="28"/>
        <v>46249</v>
      </c>
      <c r="Y28" s="60">
        <f>IF($X28&lt;Input!$H$58,IF($X28&lt;Input!$G$58,IF($X28&lt;Input!$F$58,IF($X28&lt;Input!$E$58,IF($X28&lt;Input!$D$58,Input!$C$64,Input!$D$64),Input!$E$64),Input!$F$64),Input!$G$64),Input!$H$64)</f>
        <v>0</v>
      </c>
      <c r="Z28" s="190">
        <f>IF($A28&lt;Input!$H$65,IF($A28&lt;Input!$G$65,IF($A28&lt;Input!$F$65,IF($A28&lt;Input!$E$65,IF($A28&lt;Input!$D$65,Input!$C$66,Input!$D$66),Input!$E$66),Input!$F$66),Input!$G$66),Input!$H$66)</f>
        <v>0.9</v>
      </c>
      <c r="AA28" s="60">
        <f t="shared" si="7"/>
        <v>0</v>
      </c>
      <c r="AB28" s="60">
        <f t="shared" si="29"/>
        <v>31</v>
      </c>
      <c r="AC28" s="60">
        <f t="shared" si="8"/>
        <v>0</v>
      </c>
      <c r="AD28" s="60">
        <f>ROUND(AC28*AB28*Input!$C$3/365,0)</f>
        <v>0</v>
      </c>
      <c r="AE28" s="61">
        <f>IF($A28&lt;=Input!$C$6,0,IF('Fixed Tenure'!AA28&lt;'Fixed Tenure'!AC28,'Fixed Tenure'!AA28-AD28,'Fixed Tenure'!AC28))</f>
        <v>0</v>
      </c>
      <c r="AF28" s="61">
        <f t="shared" si="9"/>
        <v>0</v>
      </c>
      <c r="AG28" s="60">
        <f t="shared" si="10"/>
        <v>0</v>
      </c>
      <c r="AH28" s="193"/>
      <c r="AI28" s="169">
        <v>24</v>
      </c>
      <c r="AJ28" s="1">
        <f t="shared" si="30"/>
        <v>46249</v>
      </c>
      <c r="AK28" s="60">
        <f>IF($X28&lt;Input!$H$73,IF($X28&lt;Input!$G$73,IF($X28&lt;Input!$F$73,IF($X28&lt;Input!$E$73,IF($X28&lt;Input!$D$73,Input!$C$79,Input!$D$79),Input!$E$79),Input!$F$79),Input!$G$79),Input!$H$79)</f>
        <v>0</v>
      </c>
      <c r="AL28" s="190">
        <f>IF($A28&lt;Input!$H$80,IF($A28&lt;Input!$G$80,IF($A28&lt;Input!$F$80,IF($A28&lt;Input!$E$80,IF($A28&lt;Input!$D$80,Input!$C$81,Input!$D$81),Input!$E$81),Input!$F$81),Input!$G$81),Input!$H$81)</f>
        <v>0.9</v>
      </c>
      <c r="AM28" s="60">
        <f t="shared" si="11"/>
        <v>0</v>
      </c>
      <c r="AN28" s="60">
        <f t="shared" si="31"/>
        <v>31</v>
      </c>
      <c r="AO28" s="60">
        <f t="shared" si="12"/>
        <v>0</v>
      </c>
      <c r="AP28" s="60">
        <f>ROUND(AO28*AN28*Input!$C$3/365,0)</f>
        <v>0</v>
      </c>
      <c r="AQ28" s="61">
        <f>IF($A28&lt;=Input!$C$6,0,IF('Fixed Tenure'!AM28&lt;'Fixed Tenure'!AO28,'Fixed Tenure'!AM28-AP28,'Fixed Tenure'!AO28))</f>
        <v>0</v>
      </c>
      <c r="AR28" s="61">
        <f t="shared" si="13"/>
        <v>0</v>
      </c>
      <c r="AS28" s="60">
        <f t="shared" si="14"/>
        <v>0</v>
      </c>
      <c r="AT28" s="193"/>
      <c r="AU28" s="169">
        <v>24</v>
      </c>
      <c r="AV28" s="1">
        <f t="shared" si="32"/>
        <v>46249</v>
      </c>
      <c r="AW28" s="60">
        <f>IF($X28&lt;Input!$H$88,IF($X28&lt;Input!$G$88,IF($X28&lt;Input!$F$88,IF($X28&lt;Input!$E$88,IF($X28&lt;Input!$D$88,Input!$C$94,Input!$D$94),Input!$E$94),Input!$F$94),Input!$G$94),Input!$H$94)</f>
        <v>0</v>
      </c>
      <c r="AX28" s="190">
        <f>IF($A28&lt;Input!$H$95,IF($A28&lt;Input!$G$95,IF($A28&lt;Input!$F$95,IF($A28&lt;Input!$E$95,IF($A28&lt;Input!$D$95,Input!$C$96,Input!$D$96),Input!$E$96),Input!$F$96),Input!$G$96),Input!$H$96)</f>
        <v>0.9</v>
      </c>
      <c r="AY28" s="60">
        <f t="shared" si="15"/>
        <v>0</v>
      </c>
      <c r="AZ28" s="60">
        <f t="shared" si="33"/>
        <v>31</v>
      </c>
      <c r="BA28" s="60">
        <f t="shared" si="16"/>
        <v>0</v>
      </c>
      <c r="BB28" s="60">
        <f>ROUND(BA28*AZ28*Input!$C$3/365,0)</f>
        <v>0</v>
      </c>
      <c r="BC28" s="61">
        <f>IF($A28&lt;=Input!$C$6,0,IF('Fixed Tenure'!AY28&lt;'Fixed Tenure'!BA28,'Fixed Tenure'!AY28-BB28,'Fixed Tenure'!BA28))</f>
        <v>0</v>
      </c>
      <c r="BD28" s="61">
        <f t="shared" si="17"/>
        <v>0</v>
      </c>
      <c r="BE28" s="60">
        <f t="shared" si="18"/>
        <v>0</v>
      </c>
      <c r="BF28" s="193"/>
      <c r="BG28" s="169">
        <v>24</v>
      </c>
      <c r="BH28" s="1">
        <f t="shared" si="34"/>
        <v>46249</v>
      </c>
      <c r="BI28" s="60">
        <f>IF($X28&lt;Input!$H$103,IF($X28&lt;Input!$G$103,IF($X28&lt;Input!$F$103,IF($X28&lt;Input!$E$103,IF($X28&lt;Input!$D$103,Input!$C$109,Input!$D$109),Input!$E$109),Input!$F$109),Input!$G$109),Input!$H$109)</f>
        <v>0</v>
      </c>
      <c r="BJ28" s="190">
        <f>IF($A28&lt;Input!$H$110,IF($A28&lt;Input!$G$110,IF($A28&lt;Input!$F$110,IF($A28&lt;Input!$E$110,IF($A28&lt;Input!$D$110,Input!$C$111,Input!$D$111),Input!$E$111),Input!$F$111),Input!$G$111),Input!$H$111)</f>
        <v>0.9</v>
      </c>
      <c r="BK28" s="60">
        <f t="shared" si="19"/>
        <v>0</v>
      </c>
      <c r="BL28" s="60">
        <f t="shared" si="35"/>
        <v>31</v>
      </c>
      <c r="BM28" s="60">
        <f t="shared" si="20"/>
        <v>0</v>
      </c>
      <c r="BN28" s="60">
        <f>ROUND(BM28*BL28*Input!$C$3/365,0)</f>
        <v>0</v>
      </c>
      <c r="BO28" s="61">
        <f>IF($A28&lt;=Input!$C$6,0,IF('Fixed Tenure'!BK28&lt;'Fixed Tenure'!BM28,'Fixed Tenure'!BK28-BN28,'Fixed Tenure'!BM28))</f>
        <v>0</v>
      </c>
      <c r="BP28" s="61">
        <f t="shared" si="21"/>
        <v>0</v>
      </c>
      <c r="BQ28" s="60">
        <f t="shared" si="22"/>
        <v>0</v>
      </c>
      <c r="BR28" s="198"/>
    </row>
    <row r="29" spans="1:70" x14ac:dyDescent="0.25">
      <c r="A29" s="169">
        <v>25</v>
      </c>
      <c r="B29" s="1">
        <f t="shared" si="23"/>
        <v>46280</v>
      </c>
      <c r="C29" s="60">
        <f t="shared" si="1"/>
        <v>16470000</v>
      </c>
      <c r="D29" s="60">
        <f t="shared" si="2"/>
        <v>14823000</v>
      </c>
      <c r="E29" s="60">
        <f t="shared" si="24"/>
        <v>31</v>
      </c>
      <c r="F29" s="60">
        <f t="shared" si="25"/>
        <v>899012111.22744608</v>
      </c>
      <c r="G29" s="60">
        <f>ROUND(F29*E29*Input!$C$3/365,0)</f>
        <v>11453168</v>
      </c>
      <c r="H29" s="60">
        <f>IF($A29&lt;=Input!$C$6,0,IF('Fixed Tenure'!D29&lt;'Fixed Tenure'!F29,'Fixed Tenure'!D29-G29,'Fixed Tenure'!F29))</f>
        <v>3369832</v>
      </c>
      <c r="I29" s="60">
        <f t="shared" si="26"/>
        <v>14823000</v>
      </c>
      <c r="J29" s="60">
        <f t="shared" si="27"/>
        <v>895642279.22744608</v>
      </c>
      <c r="K29" s="202">
        <f>J29/Input!$K$5</f>
        <v>2.9854742640914869</v>
      </c>
      <c r="L29" s="232"/>
      <c r="M29" s="60">
        <f>IF($B29&lt;Input!$H$43,IF($B29&lt;Input!$G$43,IF($B29&lt;Input!$F$43,IF($B29&lt;Input!$E$43,IF($B29&lt;Input!$D$43,Input!$C$49,Input!$D$49),Input!$E$49),Input!$F$49),Input!$G$49),Input!$H$49)</f>
        <v>16470000</v>
      </c>
      <c r="N29" s="190">
        <f>IF($A29&lt;Input!$H$50,IF($A29&lt;Input!$G$50,IF($A29&lt;Input!$F$50,IF($A29&lt;Input!$E$50,IF($A29&lt;Input!$D$50,Input!$C$51,Input!$D$51),Input!$E$51),Input!$F$51),Input!$G$51),Input!$H$51)</f>
        <v>0.9</v>
      </c>
      <c r="O29" s="60">
        <f t="shared" si="0"/>
        <v>14823000</v>
      </c>
      <c r="P29" s="60">
        <f t="shared" si="3"/>
        <v>31</v>
      </c>
      <c r="Q29" s="60">
        <f t="shared" si="4"/>
        <v>899012111.22744608</v>
      </c>
      <c r="R29" s="60">
        <f>ROUND(Q29*$P29*Input!$C$3/365,0)</f>
        <v>11453168</v>
      </c>
      <c r="S29" s="60">
        <f>IF(A29&lt;=Input!$C$6,0,IF('Fixed Tenure'!O29&lt;'Fixed Tenure'!Q29,'Fixed Tenure'!O29-R29,'Fixed Tenure'!Q29))</f>
        <v>3369832</v>
      </c>
      <c r="T29" s="60">
        <f t="shared" si="5"/>
        <v>14823000</v>
      </c>
      <c r="U29" s="60">
        <f t="shared" si="6"/>
        <v>895642279.22744608</v>
      </c>
      <c r="V29" s="193"/>
      <c r="W29" s="169">
        <v>25</v>
      </c>
      <c r="X29" s="1">
        <f t="shared" si="28"/>
        <v>46280</v>
      </c>
      <c r="Y29" s="60">
        <f>IF($X29&lt;Input!$H$58,IF($X29&lt;Input!$G$58,IF($X29&lt;Input!$F$58,IF($X29&lt;Input!$E$58,IF($X29&lt;Input!$D$58,Input!$C$64,Input!$D$64),Input!$E$64),Input!$F$64),Input!$G$64),Input!$H$64)</f>
        <v>0</v>
      </c>
      <c r="Z29" s="190">
        <f>IF($A29&lt;Input!$H$65,IF($A29&lt;Input!$G$65,IF($A29&lt;Input!$F$65,IF($A29&lt;Input!$E$65,IF($A29&lt;Input!$D$65,Input!$C$66,Input!$D$66),Input!$E$66),Input!$F$66),Input!$G$66),Input!$H$66)</f>
        <v>0.9</v>
      </c>
      <c r="AA29" s="60">
        <f t="shared" si="7"/>
        <v>0</v>
      </c>
      <c r="AB29" s="60">
        <f t="shared" si="29"/>
        <v>31</v>
      </c>
      <c r="AC29" s="60">
        <f t="shared" si="8"/>
        <v>0</v>
      </c>
      <c r="AD29" s="60">
        <f>ROUND(AC29*AB29*Input!$C$3/365,0)</f>
        <v>0</v>
      </c>
      <c r="AE29" s="61">
        <f>IF($A29&lt;=Input!$C$6,0,IF('Fixed Tenure'!AA29&lt;'Fixed Tenure'!AC29,'Fixed Tenure'!AA29-AD29,'Fixed Tenure'!AC29))</f>
        <v>0</v>
      </c>
      <c r="AF29" s="61">
        <f t="shared" si="9"/>
        <v>0</v>
      </c>
      <c r="AG29" s="60">
        <f t="shared" si="10"/>
        <v>0</v>
      </c>
      <c r="AH29" s="193"/>
      <c r="AI29" s="169">
        <v>25</v>
      </c>
      <c r="AJ29" s="1">
        <f t="shared" si="30"/>
        <v>46280</v>
      </c>
      <c r="AK29" s="60">
        <f>IF($X29&lt;Input!$H$73,IF($X29&lt;Input!$G$73,IF($X29&lt;Input!$F$73,IF($X29&lt;Input!$E$73,IF($X29&lt;Input!$D$73,Input!$C$79,Input!$D$79),Input!$E$79),Input!$F$79),Input!$G$79),Input!$H$79)</f>
        <v>0</v>
      </c>
      <c r="AL29" s="190">
        <f>IF($A29&lt;Input!$H$80,IF($A29&lt;Input!$G$80,IF($A29&lt;Input!$F$80,IF($A29&lt;Input!$E$80,IF($A29&lt;Input!$D$80,Input!$C$81,Input!$D$81),Input!$E$81),Input!$F$81),Input!$G$81),Input!$H$81)</f>
        <v>0.9</v>
      </c>
      <c r="AM29" s="60">
        <f t="shared" si="11"/>
        <v>0</v>
      </c>
      <c r="AN29" s="60">
        <f t="shared" si="31"/>
        <v>31</v>
      </c>
      <c r="AO29" s="60">
        <f t="shared" si="12"/>
        <v>0</v>
      </c>
      <c r="AP29" s="60">
        <f>ROUND(AO29*AN29*Input!$C$3/365,0)</f>
        <v>0</v>
      </c>
      <c r="AQ29" s="61">
        <f>IF($A29&lt;=Input!$C$6,0,IF('Fixed Tenure'!AM29&lt;'Fixed Tenure'!AO29,'Fixed Tenure'!AM29-AP29,'Fixed Tenure'!AO29))</f>
        <v>0</v>
      </c>
      <c r="AR29" s="61">
        <f t="shared" si="13"/>
        <v>0</v>
      </c>
      <c r="AS29" s="60">
        <f t="shared" si="14"/>
        <v>0</v>
      </c>
      <c r="AT29" s="193"/>
      <c r="AU29" s="169">
        <v>25</v>
      </c>
      <c r="AV29" s="1">
        <f t="shared" si="32"/>
        <v>46280</v>
      </c>
      <c r="AW29" s="60">
        <f>IF($X29&lt;Input!$H$88,IF($X29&lt;Input!$G$88,IF($X29&lt;Input!$F$88,IF($X29&lt;Input!$E$88,IF($X29&lt;Input!$D$88,Input!$C$94,Input!$D$94),Input!$E$94),Input!$F$94),Input!$G$94),Input!$H$94)</f>
        <v>0</v>
      </c>
      <c r="AX29" s="190">
        <f>IF($A29&lt;Input!$H$95,IF($A29&lt;Input!$G$95,IF($A29&lt;Input!$F$95,IF($A29&lt;Input!$E$95,IF($A29&lt;Input!$D$95,Input!$C$96,Input!$D$96),Input!$E$96),Input!$F$96),Input!$G$96),Input!$H$96)</f>
        <v>0.9</v>
      </c>
      <c r="AY29" s="60">
        <f t="shared" si="15"/>
        <v>0</v>
      </c>
      <c r="AZ29" s="60">
        <f t="shared" si="33"/>
        <v>31</v>
      </c>
      <c r="BA29" s="60">
        <f t="shared" si="16"/>
        <v>0</v>
      </c>
      <c r="BB29" s="60">
        <f>ROUND(BA29*AZ29*Input!$C$3/365,0)</f>
        <v>0</v>
      </c>
      <c r="BC29" s="61">
        <f>IF($A29&lt;=Input!$C$6,0,IF('Fixed Tenure'!AY29&lt;'Fixed Tenure'!BA29,'Fixed Tenure'!AY29-BB29,'Fixed Tenure'!BA29))</f>
        <v>0</v>
      </c>
      <c r="BD29" s="61">
        <f t="shared" si="17"/>
        <v>0</v>
      </c>
      <c r="BE29" s="60">
        <f t="shared" si="18"/>
        <v>0</v>
      </c>
      <c r="BF29" s="193"/>
      <c r="BG29" s="169">
        <v>25</v>
      </c>
      <c r="BH29" s="1">
        <f t="shared" si="34"/>
        <v>46280</v>
      </c>
      <c r="BI29" s="60">
        <f>IF($X29&lt;Input!$H$103,IF($X29&lt;Input!$G$103,IF($X29&lt;Input!$F$103,IF($X29&lt;Input!$E$103,IF($X29&lt;Input!$D$103,Input!$C$109,Input!$D$109),Input!$E$109),Input!$F$109),Input!$G$109),Input!$H$109)</f>
        <v>0</v>
      </c>
      <c r="BJ29" s="190">
        <f>IF($A29&lt;Input!$H$110,IF($A29&lt;Input!$G$110,IF($A29&lt;Input!$F$110,IF($A29&lt;Input!$E$110,IF($A29&lt;Input!$D$110,Input!$C$111,Input!$D$111),Input!$E$111),Input!$F$111),Input!$G$111),Input!$H$111)</f>
        <v>0.9</v>
      </c>
      <c r="BK29" s="60">
        <f t="shared" si="19"/>
        <v>0</v>
      </c>
      <c r="BL29" s="60">
        <f t="shared" si="35"/>
        <v>31</v>
      </c>
      <c r="BM29" s="60">
        <f t="shared" si="20"/>
        <v>0</v>
      </c>
      <c r="BN29" s="60">
        <f>ROUND(BM29*BL29*Input!$C$3/365,0)</f>
        <v>0</v>
      </c>
      <c r="BO29" s="61">
        <f>IF($A29&lt;=Input!$C$6,0,IF('Fixed Tenure'!BK29&lt;'Fixed Tenure'!BM29,'Fixed Tenure'!BK29-BN29,'Fixed Tenure'!BM29))</f>
        <v>0</v>
      </c>
      <c r="BP29" s="61">
        <f t="shared" si="21"/>
        <v>0</v>
      </c>
      <c r="BQ29" s="60">
        <f t="shared" si="22"/>
        <v>0</v>
      </c>
      <c r="BR29" s="198"/>
    </row>
    <row r="30" spans="1:70" x14ac:dyDescent="0.25">
      <c r="A30" s="169">
        <v>26</v>
      </c>
      <c r="B30" s="1">
        <f t="shared" si="23"/>
        <v>46310</v>
      </c>
      <c r="C30" s="60">
        <f t="shared" si="1"/>
        <v>16470000</v>
      </c>
      <c r="D30" s="60">
        <f t="shared" si="2"/>
        <v>14823000</v>
      </c>
      <c r="E30" s="60">
        <f t="shared" si="24"/>
        <v>30</v>
      </c>
      <c r="F30" s="60">
        <f t="shared" si="25"/>
        <v>895642279.22744608</v>
      </c>
      <c r="G30" s="60">
        <f>ROUND(F30*E30*Input!$C$3/365,0)</f>
        <v>11042165</v>
      </c>
      <c r="H30" s="60">
        <f>IF($A30&lt;=Input!$C$6,0,IF('Fixed Tenure'!D30&lt;'Fixed Tenure'!F30,'Fixed Tenure'!D30-G30,'Fixed Tenure'!F30))</f>
        <v>3780835</v>
      </c>
      <c r="I30" s="60">
        <f t="shared" si="26"/>
        <v>14823000</v>
      </c>
      <c r="J30" s="60">
        <f t="shared" si="27"/>
        <v>891861444.22744608</v>
      </c>
      <c r="K30" s="202">
        <f>J30/Input!$K$5</f>
        <v>2.9728714807581538</v>
      </c>
      <c r="L30" s="232"/>
      <c r="M30" s="60">
        <f>IF($B30&lt;Input!$H$43,IF($B30&lt;Input!$G$43,IF($B30&lt;Input!$F$43,IF($B30&lt;Input!$E$43,IF($B30&lt;Input!$D$43,Input!$C$49,Input!$D$49),Input!$E$49),Input!$F$49),Input!$G$49),Input!$H$49)</f>
        <v>16470000</v>
      </c>
      <c r="N30" s="190">
        <f>IF($A30&lt;Input!$H$50,IF($A30&lt;Input!$G$50,IF($A30&lt;Input!$F$50,IF($A30&lt;Input!$E$50,IF($A30&lt;Input!$D$50,Input!$C$51,Input!$D$51),Input!$E$51),Input!$F$51),Input!$G$51),Input!$H$51)</f>
        <v>0.9</v>
      </c>
      <c r="O30" s="60">
        <f t="shared" si="0"/>
        <v>14823000</v>
      </c>
      <c r="P30" s="60">
        <f t="shared" si="3"/>
        <v>30</v>
      </c>
      <c r="Q30" s="60">
        <f t="shared" si="4"/>
        <v>895642279.22744608</v>
      </c>
      <c r="R30" s="60">
        <f>ROUND(Q30*$P30*Input!$C$3/365,0)</f>
        <v>11042165</v>
      </c>
      <c r="S30" s="60">
        <f>IF(A30&lt;=Input!$C$6,0,IF('Fixed Tenure'!O30&lt;'Fixed Tenure'!Q30,'Fixed Tenure'!O30-R30,'Fixed Tenure'!Q30))</f>
        <v>3780835</v>
      </c>
      <c r="T30" s="60">
        <f t="shared" si="5"/>
        <v>14823000</v>
      </c>
      <c r="U30" s="60">
        <f t="shared" si="6"/>
        <v>891861444.22744608</v>
      </c>
      <c r="V30" s="193"/>
      <c r="W30" s="169">
        <v>26</v>
      </c>
      <c r="X30" s="1">
        <f t="shared" si="28"/>
        <v>46310</v>
      </c>
      <c r="Y30" s="60">
        <f>IF($X30&lt;Input!$H$58,IF($X30&lt;Input!$G$58,IF($X30&lt;Input!$F$58,IF($X30&lt;Input!$E$58,IF($X30&lt;Input!$D$58,Input!$C$64,Input!$D$64),Input!$E$64),Input!$F$64),Input!$G$64),Input!$H$64)</f>
        <v>0</v>
      </c>
      <c r="Z30" s="190">
        <f>IF($A30&lt;Input!$H$65,IF($A30&lt;Input!$G$65,IF($A30&lt;Input!$F$65,IF($A30&lt;Input!$E$65,IF($A30&lt;Input!$D$65,Input!$C$66,Input!$D$66),Input!$E$66),Input!$F$66),Input!$G$66),Input!$H$66)</f>
        <v>0.9</v>
      </c>
      <c r="AA30" s="60">
        <f t="shared" si="7"/>
        <v>0</v>
      </c>
      <c r="AB30" s="60">
        <f t="shared" si="29"/>
        <v>30</v>
      </c>
      <c r="AC30" s="60">
        <f t="shared" si="8"/>
        <v>0</v>
      </c>
      <c r="AD30" s="60">
        <f>ROUND(AC30*AB30*Input!$C$3/365,0)</f>
        <v>0</v>
      </c>
      <c r="AE30" s="61">
        <f>IF($A30&lt;=Input!$C$6,0,IF('Fixed Tenure'!AA30&lt;'Fixed Tenure'!AC30,'Fixed Tenure'!AA30-AD30,'Fixed Tenure'!AC30))</f>
        <v>0</v>
      </c>
      <c r="AF30" s="61">
        <f t="shared" si="9"/>
        <v>0</v>
      </c>
      <c r="AG30" s="60">
        <f t="shared" si="10"/>
        <v>0</v>
      </c>
      <c r="AH30" s="193"/>
      <c r="AI30" s="169">
        <v>26</v>
      </c>
      <c r="AJ30" s="1">
        <f t="shared" si="30"/>
        <v>46310</v>
      </c>
      <c r="AK30" s="60">
        <f>IF($X30&lt;Input!$H$73,IF($X30&lt;Input!$G$73,IF($X30&lt;Input!$F$73,IF($X30&lt;Input!$E$73,IF($X30&lt;Input!$D$73,Input!$C$79,Input!$D$79),Input!$E$79),Input!$F$79),Input!$G$79),Input!$H$79)</f>
        <v>0</v>
      </c>
      <c r="AL30" s="190">
        <f>IF($A30&lt;Input!$H$80,IF($A30&lt;Input!$G$80,IF($A30&lt;Input!$F$80,IF($A30&lt;Input!$E$80,IF($A30&lt;Input!$D$80,Input!$C$81,Input!$D$81),Input!$E$81),Input!$F$81),Input!$G$81),Input!$H$81)</f>
        <v>0.9</v>
      </c>
      <c r="AM30" s="60">
        <f t="shared" si="11"/>
        <v>0</v>
      </c>
      <c r="AN30" s="60">
        <f t="shared" si="31"/>
        <v>30</v>
      </c>
      <c r="AO30" s="60">
        <f t="shared" si="12"/>
        <v>0</v>
      </c>
      <c r="AP30" s="60">
        <f>ROUND(AO30*AN30*Input!$C$3/365,0)</f>
        <v>0</v>
      </c>
      <c r="AQ30" s="61">
        <f>IF($A30&lt;=Input!$C$6,0,IF('Fixed Tenure'!AM30&lt;'Fixed Tenure'!AO30,'Fixed Tenure'!AM30-AP30,'Fixed Tenure'!AO30))</f>
        <v>0</v>
      </c>
      <c r="AR30" s="61">
        <f t="shared" si="13"/>
        <v>0</v>
      </c>
      <c r="AS30" s="60">
        <f t="shared" si="14"/>
        <v>0</v>
      </c>
      <c r="AT30" s="193"/>
      <c r="AU30" s="169">
        <v>26</v>
      </c>
      <c r="AV30" s="1">
        <f t="shared" si="32"/>
        <v>46310</v>
      </c>
      <c r="AW30" s="60">
        <f>IF($X30&lt;Input!$H$88,IF($X30&lt;Input!$G$88,IF($X30&lt;Input!$F$88,IF($X30&lt;Input!$E$88,IF($X30&lt;Input!$D$88,Input!$C$94,Input!$D$94),Input!$E$94),Input!$F$94),Input!$G$94),Input!$H$94)</f>
        <v>0</v>
      </c>
      <c r="AX30" s="190">
        <f>IF($A30&lt;Input!$H$95,IF($A30&lt;Input!$G$95,IF($A30&lt;Input!$F$95,IF($A30&lt;Input!$E$95,IF($A30&lt;Input!$D$95,Input!$C$96,Input!$D$96),Input!$E$96),Input!$F$96),Input!$G$96),Input!$H$96)</f>
        <v>0.9</v>
      </c>
      <c r="AY30" s="60">
        <f t="shared" si="15"/>
        <v>0</v>
      </c>
      <c r="AZ30" s="60">
        <f t="shared" si="33"/>
        <v>30</v>
      </c>
      <c r="BA30" s="60">
        <f t="shared" si="16"/>
        <v>0</v>
      </c>
      <c r="BB30" s="60">
        <f>ROUND(BA30*AZ30*Input!$C$3/365,0)</f>
        <v>0</v>
      </c>
      <c r="BC30" s="61">
        <f>IF($A30&lt;=Input!$C$6,0,IF('Fixed Tenure'!AY30&lt;'Fixed Tenure'!BA30,'Fixed Tenure'!AY30-BB30,'Fixed Tenure'!BA30))</f>
        <v>0</v>
      </c>
      <c r="BD30" s="61">
        <f t="shared" si="17"/>
        <v>0</v>
      </c>
      <c r="BE30" s="60">
        <f t="shared" si="18"/>
        <v>0</v>
      </c>
      <c r="BF30" s="193"/>
      <c r="BG30" s="169">
        <v>26</v>
      </c>
      <c r="BH30" s="1">
        <f t="shared" si="34"/>
        <v>46310</v>
      </c>
      <c r="BI30" s="60">
        <f>IF($X30&lt;Input!$H$103,IF($X30&lt;Input!$G$103,IF($X30&lt;Input!$F$103,IF($X30&lt;Input!$E$103,IF($X30&lt;Input!$D$103,Input!$C$109,Input!$D$109),Input!$E$109),Input!$F$109),Input!$G$109),Input!$H$109)</f>
        <v>0</v>
      </c>
      <c r="BJ30" s="190">
        <f>IF($A30&lt;Input!$H$110,IF($A30&lt;Input!$G$110,IF($A30&lt;Input!$F$110,IF($A30&lt;Input!$E$110,IF($A30&lt;Input!$D$110,Input!$C$111,Input!$D$111),Input!$E$111),Input!$F$111),Input!$G$111),Input!$H$111)</f>
        <v>0.9</v>
      </c>
      <c r="BK30" s="60">
        <f t="shared" si="19"/>
        <v>0</v>
      </c>
      <c r="BL30" s="60">
        <f t="shared" si="35"/>
        <v>30</v>
      </c>
      <c r="BM30" s="60">
        <f t="shared" si="20"/>
        <v>0</v>
      </c>
      <c r="BN30" s="60">
        <f>ROUND(BM30*BL30*Input!$C$3/365,0)</f>
        <v>0</v>
      </c>
      <c r="BO30" s="61">
        <f>IF($A30&lt;=Input!$C$6,0,IF('Fixed Tenure'!BK30&lt;'Fixed Tenure'!BM30,'Fixed Tenure'!BK30-BN30,'Fixed Tenure'!BM30))</f>
        <v>0</v>
      </c>
      <c r="BP30" s="61">
        <f t="shared" si="21"/>
        <v>0</v>
      </c>
      <c r="BQ30" s="60">
        <f t="shared" si="22"/>
        <v>0</v>
      </c>
      <c r="BR30" s="198"/>
    </row>
    <row r="31" spans="1:70" x14ac:dyDescent="0.25">
      <c r="A31" s="169">
        <v>27</v>
      </c>
      <c r="B31" s="1">
        <f t="shared" si="23"/>
        <v>46341</v>
      </c>
      <c r="C31" s="60">
        <f t="shared" si="1"/>
        <v>16470000</v>
      </c>
      <c r="D31" s="60">
        <f t="shared" si="2"/>
        <v>14823000</v>
      </c>
      <c r="E31" s="60">
        <f t="shared" si="24"/>
        <v>31</v>
      </c>
      <c r="F31" s="60">
        <f t="shared" si="25"/>
        <v>891861444.22744608</v>
      </c>
      <c r="G31" s="60">
        <f>ROUND(F31*E31*Input!$C$3/365,0)</f>
        <v>11362070</v>
      </c>
      <c r="H31" s="60">
        <f>IF($A31&lt;=Input!$C$6,0,IF('Fixed Tenure'!D31&lt;'Fixed Tenure'!F31,'Fixed Tenure'!D31-G31,'Fixed Tenure'!F31))</f>
        <v>3460930</v>
      </c>
      <c r="I31" s="60">
        <f t="shared" si="26"/>
        <v>14823000</v>
      </c>
      <c r="J31" s="60">
        <f t="shared" si="27"/>
        <v>888400514.22744608</v>
      </c>
      <c r="K31" s="202">
        <f>J31/Input!$K$5</f>
        <v>2.9613350474248201</v>
      </c>
      <c r="L31" s="232"/>
      <c r="M31" s="60">
        <f>IF($B31&lt;Input!$H$43,IF($B31&lt;Input!$G$43,IF($B31&lt;Input!$F$43,IF($B31&lt;Input!$E$43,IF($B31&lt;Input!$D$43,Input!$C$49,Input!$D$49),Input!$E$49),Input!$F$49),Input!$G$49),Input!$H$49)</f>
        <v>16470000</v>
      </c>
      <c r="N31" s="190">
        <f>IF($A31&lt;Input!$H$50,IF($A31&lt;Input!$G$50,IF($A31&lt;Input!$F$50,IF($A31&lt;Input!$E$50,IF($A31&lt;Input!$D$50,Input!$C$51,Input!$D$51),Input!$E$51),Input!$F$51),Input!$G$51),Input!$H$51)</f>
        <v>0.9</v>
      </c>
      <c r="O31" s="60">
        <f t="shared" si="0"/>
        <v>14823000</v>
      </c>
      <c r="P31" s="60">
        <f t="shared" si="3"/>
        <v>31</v>
      </c>
      <c r="Q31" s="60">
        <f t="shared" si="4"/>
        <v>891861444.22744608</v>
      </c>
      <c r="R31" s="60">
        <f>ROUND(Q31*$P31*Input!$C$3/365,0)</f>
        <v>11362070</v>
      </c>
      <c r="S31" s="60">
        <f>IF(A31&lt;=Input!$C$6,0,IF('Fixed Tenure'!O31&lt;'Fixed Tenure'!Q31,'Fixed Tenure'!O31-R31,'Fixed Tenure'!Q31))</f>
        <v>3460930</v>
      </c>
      <c r="T31" s="60">
        <f t="shared" si="5"/>
        <v>14823000</v>
      </c>
      <c r="U31" s="60">
        <f t="shared" si="6"/>
        <v>888400514.22744608</v>
      </c>
      <c r="V31" s="193"/>
      <c r="W31" s="169">
        <v>27</v>
      </c>
      <c r="X31" s="1">
        <f t="shared" si="28"/>
        <v>46341</v>
      </c>
      <c r="Y31" s="60">
        <f>IF($X31&lt;Input!$H$58,IF($X31&lt;Input!$G$58,IF($X31&lt;Input!$F$58,IF($X31&lt;Input!$E$58,IF($X31&lt;Input!$D$58,Input!$C$64,Input!$D$64),Input!$E$64),Input!$F$64),Input!$G$64),Input!$H$64)</f>
        <v>0</v>
      </c>
      <c r="Z31" s="190">
        <f>IF($A31&lt;Input!$H$65,IF($A31&lt;Input!$G$65,IF($A31&lt;Input!$F$65,IF($A31&lt;Input!$E$65,IF($A31&lt;Input!$D$65,Input!$C$66,Input!$D$66),Input!$E$66),Input!$F$66),Input!$G$66),Input!$H$66)</f>
        <v>0.9</v>
      </c>
      <c r="AA31" s="60">
        <f t="shared" si="7"/>
        <v>0</v>
      </c>
      <c r="AB31" s="60">
        <f t="shared" si="29"/>
        <v>31</v>
      </c>
      <c r="AC31" s="60">
        <f t="shared" si="8"/>
        <v>0</v>
      </c>
      <c r="AD31" s="60">
        <f>ROUND(AC31*AB31*Input!$C$3/365,0)</f>
        <v>0</v>
      </c>
      <c r="AE31" s="61">
        <f>IF($A31&lt;=Input!$C$6,0,IF('Fixed Tenure'!AA31&lt;'Fixed Tenure'!AC31,'Fixed Tenure'!AA31-AD31,'Fixed Tenure'!AC31))</f>
        <v>0</v>
      </c>
      <c r="AF31" s="61">
        <f t="shared" si="9"/>
        <v>0</v>
      </c>
      <c r="AG31" s="60">
        <f t="shared" si="10"/>
        <v>0</v>
      </c>
      <c r="AH31" s="193"/>
      <c r="AI31" s="169">
        <v>27</v>
      </c>
      <c r="AJ31" s="1">
        <f t="shared" si="30"/>
        <v>46341</v>
      </c>
      <c r="AK31" s="60">
        <f>IF($X31&lt;Input!$H$73,IF($X31&lt;Input!$G$73,IF($X31&lt;Input!$F$73,IF($X31&lt;Input!$E$73,IF($X31&lt;Input!$D$73,Input!$C$79,Input!$D$79),Input!$E$79),Input!$F$79),Input!$G$79),Input!$H$79)</f>
        <v>0</v>
      </c>
      <c r="AL31" s="190">
        <f>IF($A31&lt;Input!$H$80,IF($A31&lt;Input!$G$80,IF($A31&lt;Input!$F$80,IF($A31&lt;Input!$E$80,IF($A31&lt;Input!$D$80,Input!$C$81,Input!$D$81),Input!$E$81),Input!$F$81),Input!$G$81),Input!$H$81)</f>
        <v>0.9</v>
      </c>
      <c r="AM31" s="60">
        <f t="shared" si="11"/>
        <v>0</v>
      </c>
      <c r="AN31" s="60">
        <f t="shared" si="31"/>
        <v>31</v>
      </c>
      <c r="AO31" s="60">
        <f t="shared" si="12"/>
        <v>0</v>
      </c>
      <c r="AP31" s="60">
        <f>ROUND(AO31*AN31*Input!$C$3/365,0)</f>
        <v>0</v>
      </c>
      <c r="AQ31" s="61">
        <f>IF($A31&lt;=Input!$C$6,0,IF('Fixed Tenure'!AM31&lt;'Fixed Tenure'!AO31,'Fixed Tenure'!AM31-AP31,'Fixed Tenure'!AO31))</f>
        <v>0</v>
      </c>
      <c r="AR31" s="61">
        <f t="shared" si="13"/>
        <v>0</v>
      </c>
      <c r="AS31" s="60">
        <f t="shared" si="14"/>
        <v>0</v>
      </c>
      <c r="AT31" s="193"/>
      <c r="AU31" s="169">
        <v>27</v>
      </c>
      <c r="AV31" s="1">
        <f t="shared" si="32"/>
        <v>46341</v>
      </c>
      <c r="AW31" s="60">
        <f>IF($X31&lt;Input!$H$88,IF($X31&lt;Input!$G$88,IF($X31&lt;Input!$F$88,IF($X31&lt;Input!$E$88,IF($X31&lt;Input!$D$88,Input!$C$94,Input!$D$94),Input!$E$94),Input!$F$94),Input!$G$94),Input!$H$94)</f>
        <v>0</v>
      </c>
      <c r="AX31" s="190">
        <f>IF($A31&lt;Input!$H$95,IF($A31&lt;Input!$G$95,IF($A31&lt;Input!$F$95,IF($A31&lt;Input!$E$95,IF($A31&lt;Input!$D$95,Input!$C$96,Input!$D$96),Input!$E$96),Input!$F$96),Input!$G$96),Input!$H$96)</f>
        <v>0.9</v>
      </c>
      <c r="AY31" s="60">
        <f t="shared" si="15"/>
        <v>0</v>
      </c>
      <c r="AZ31" s="60">
        <f t="shared" si="33"/>
        <v>31</v>
      </c>
      <c r="BA31" s="60">
        <f t="shared" si="16"/>
        <v>0</v>
      </c>
      <c r="BB31" s="60">
        <f>ROUND(BA31*AZ31*Input!$C$3/365,0)</f>
        <v>0</v>
      </c>
      <c r="BC31" s="61">
        <f>IF($A31&lt;=Input!$C$6,0,IF('Fixed Tenure'!AY31&lt;'Fixed Tenure'!BA31,'Fixed Tenure'!AY31-BB31,'Fixed Tenure'!BA31))</f>
        <v>0</v>
      </c>
      <c r="BD31" s="61">
        <f t="shared" si="17"/>
        <v>0</v>
      </c>
      <c r="BE31" s="60">
        <f t="shared" si="18"/>
        <v>0</v>
      </c>
      <c r="BF31" s="193"/>
      <c r="BG31" s="169">
        <v>27</v>
      </c>
      <c r="BH31" s="1">
        <f t="shared" si="34"/>
        <v>46341</v>
      </c>
      <c r="BI31" s="60">
        <f>IF($X31&lt;Input!$H$103,IF($X31&lt;Input!$G$103,IF($X31&lt;Input!$F$103,IF($X31&lt;Input!$E$103,IF($X31&lt;Input!$D$103,Input!$C$109,Input!$D$109),Input!$E$109),Input!$F$109),Input!$G$109),Input!$H$109)</f>
        <v>0</v>
      </c>
      <c r="BJ31" s="190">
        <f>IF($A31&lt;Input!$H$110,IF($A31&lt;Input!$G$110,IF($A31&lt;Input!$F$110,IF($A31&lt;Input!$E$110,IF($A31&lt;Input!$D$110,Input!$C$111,Input!$D$111),Input!$E$111),Input!$F$111),Input!$G$111),Input!$H$111)</f>
        <v>0.9</v>
      </c>
      <c r="BK31" s="60">
        <f t="shared" si="19"/>
        <v>0</v>
      </c>
      <c r="BL31" s="60">
        <f t="shared" si="35"/>
        <v>31</v>
      </c>
      <c r="BM31" s="60">
        <f t="shared" si="20"/>
        <v>0</v>
      </c>
      <c r="BN31" s="60">
        <f>ROUND(BM31*BL31*Input!$C$3/365,0)</f>
        <v>0</v>
      </c>
      <c r="BO31" s="61">
        <f>IF($A31&lt;=Input!$C$6,0,IF('Fixed Tenure'!BK31&lt;'Fixed Tenure'!BM31,'Fixed Tenure'!BK31-BN31,'Fixed Tenure'!BM31))</f>
        <v>0</v>
      </c>
      <c r="BP31" s="61">
        <f t="shared" si="21"/>
        <v>0</v>
      </c>
      <c r="BQ31" s="60">
        <f t="shared" si="22"/>
        <v>0</v>
      </c>
      <c r="BR31" s="198"/>
    </row>
    <row r="32" spans="1:70" x14ac:dyDescent="0.25">
      <c r="A32" s="169">
        <v>28</v>
      </c>
      <c r="B32" s="1">
        <f t="shared" si="23"/>
        <v>46371</v>
      </c>
      <c r="C32" s="60">
        <f t="shared" si="1"/>
        <v>16470000</v>
      </c>
      <c r="D32" s="60">
        <f t="shared" si="2"/>
        <v>14823000</v>
      </c>
      <c r="E32" s="60">
        <f t="shared" si="24"/>
        <v>30</v>
      </c>
      <c r="F32" s="60">
        <f t="shared" si="25"/>
        <v>888400514.22744608</v>
      </c>
      <c r="G32" s="60">
        <f>ROUND(F32*E32*Input!$C$3/365,0)</f>
        <v>10952883</v>
      </c>
      <c r="H32" s="60">
        <f>IF($A32&lt;=Input!$C$6,0,IF('Fixed Tenure'!D32&lt;'Fixed Tenure'!F32,'Fixed Tenure'!D32-G32,'Fixed Tenure'!F32))</f>
        <v>3870117</v>
      </c>
      <c r="I32" s="60">
        <f t="shared" si="26"/>
        <v>14823000</v>
      </c>
      <c r="J32" s="60">
        <f t="shared" si="27"/>
        <v>884530397.22744608</v>
      </c>
      <c r="K32" s="202">
        <f>J32/Input!$K$5</f>
        <v>2.9484346574248201</v>
      </c>
      <c r="L32" s="232"/>
      <c r="M32" s="60">
        <f>IF($B32&lt;Input!$H$43,IF($B32&lt;Input!$G$43,IF($B32&lt;Input!$F$43,IF($B32&lt;Input!$E$43,IF($B32&lt;Input!$D$43,Input!$C$49,Input!$D$49),Input!$E$49),Input!$F$49),Input!$G$49),Input!$H$49)</f>
        <v>16470000</v>
      </c>
      <c r="N32" s="190">
        <f>IF($A32&lt;Input!$H$50,IF($A32&lt;Input!$G$50,IF($A32&lt;Input!$F$50,IF($A32&lt;Input!$E$50,IF($A32&lt;Input!$D$50,Input!$C$51,Input!$D$51),Input!$E$51),Input!$F$51),Input!$G$51),Input!$H$51)</f>
        <v>0.9</v>
      </c>
      <c r="O32" s="60">
        <f t="shared" si="0"/>
        <v>14823000</v>
      </c>
      <c r="P32" s="60">
        <f t="shared" si="3"/>
        <v>30</v>
      </c>
      <c r="Q32" s="60">
        <f t="shared" si="4"/>
        <v>888400514.22744608</v>
      </c>
      <c r="R32" s="60">
        <f>ROUND(Q32*$P32*Input!$C$3/365,0)</f>
        <v>10952883</v>
      </c>
      <c r="S32" s="60">
        <f>IF(A32&lt;=Input!$C$6,0,IF('Fixed Tenure'!O32&lt;'Fixed Tenure'!Q32,'Fixed Tenure'!O32-R32,'Fixed Tenure'!Q32))</f>
        <v>3870117</v>
      </c>
      <c r="T32" s="60">
        <f t="shared" si="5"/>
        <v>14823000</v>
      </c>
      <c r="U32" s="60">
        <f t="shared" si="6"/>
        <v>884530397.22744608</v>
      </c>
      <c r="V32" s="193"/>
      <c r="W32" s="169">
        <v>28</v>
      </c>
      <c r="X32" s="1">
        <f t="shared" si="28"/>
        <v>46371</v>
      </c>
      <c r="Y32" s="60">
        <f>IF($X32&lt;Input!$H$58,IF($X32&lt;Input!$G$58,IF($X32&lt;Input!$F$58,IF($X32&lt;Input!$E$58,IF($X32&lt;Input!$D$58,Input!$C$64,Input!$D$64),Input!$E$64),Input!$F$64),Input!$G$64),Input!$H$64)</f>
        <v>0</v>
      </c>
      <c r="Z32" s="190">
        <f>IF($A32&lt;Input!$H$65,IF($A32&lt;Input!$G$65,IF($A32&lt;Input!$F$65,IF($A32&lt;Input!$E$65,IF($A32&lt;Input!$D$65,Input!$C$66,Input!$D$66),Input!$E$66),Input!$F$66),Input!$G$66),Input!$H$66)</f>
        <v>0.9</v>
      </c>
      <c r="AA32" s="60">
        <f t="shared" si="7"/>
        <v>0</v>
      </c>
      <c r="AB32" s="60">
        <f t="shared" si="29"/>
        <v>30</v>
      </c>
      <c r="AC32" s="60">
        <f t="shared" si="8"/>
        <v>0</v>
      </c>
      <c r="AD32" s="60">
        <f>ROUND(AC32*AB32*Input!$C$3/365,0)</f>
        <v>0</v>
      </c>
      <c r="AE32" s="61">
        <f>IF($A32&lt;=Input!$C$6,0,IF('Fixed Tenure'!AA32&lt;'Fixed Tenure'!AC32,'Fixed Tenure'!AA32-AD32,'Fixed Tenure'!AC32))</f>
        <v>0</v>
      </c>
      <c r="AF32" s="61">
        <f t="shared" si="9"/>
        <v>0</v>
      </c>
      <c r="AG32" s="60">
        <f t="shared" si="10"/>
        <v>0</v>
      </c>
      <c r="AH32" s="193"/>
      <c r="AI32" s="169">
        <v>28</v>
      </c>
      <c r="AJ32" s="1">
        <f t="shared" si="30"/>
        <v>46371</v>
      </c>
      <c r="AK32" s="60">
        <f>IF($X32&lt;Input!$H$73,IF($X32&lt;Input!$G$73,IF($X32&lt;Input!$F$73,IF($X32&lt;Input!$E$73,IF($X32&lt;Input!$D$73,Input!$C$79,Input!$D$79),Input!$E$79),Input!$F$79),Input!$G$79),Input!$H$79)</f>
        <v>0</v>
      </c>
      <c r="AL32" s="190">
        <f>IF($A32&lt;Input!$H$80,IF($A32&lt;Input!$G$80,IF($A32&lt;Input!$F$80,IF($A32&lt;Input!$E$80,IF($A32&lt;Input!$D$80,Input!$C$81,Input!$D$81),Input!$E$81),Input!$F$81),Input!$G$81),Input!$H$81)</f>
        <v>0.9</v>
      </c>
      <c r="AM32" s="60">
        <f t="shared" si="11"/>
        <v>0</v>
      </c>
      <c r="AN32" s="60">
        <f t="shared" si="31"/>
        <v>30</v>
      </c>
      <c r="AO32" s="60">
        <f t="shared" si="12"/>
        <v>0</v>
      </c>
      <c r="AP32" s="60">
        <f>ROUND(AO32*AN32*Input!$C$3/365,0)</f>
        <v>0</v>
      </c>
      <c r="AQ32" s="61">
        <f>IF($A32&lt;=Input!$C$6,0,IF('Fixed Tenure'!AM32&lt;'Fixed Tenure'!AO32,'Fixed Tenure'!AM32-AP32,'Fixed Tenure'!AO32))</f>
        <v>0</v>
      </c>
      <c r="AR32" s="61">
        <f t="shared" si="13"/>
        <v>0</v>
      </c>
      <c r="AS32" s="60">
        <f t="shared" si="14"/>
        <v>0</v>
      </c>
      <c r="AT32" s="193"/>
      <c r="AU32" s="169">
        <v>28</v>
      </c>
      <c r="AV32" s="1">
        <f t="shared" si="32"/>
        <v>46371</v>
      </c>
      <c r="AW32" s="60">
        <f>IF($X32&lt;Input!$H$88,IF($X32&lt;Input!$G$88,IF($X32&lt;Input!$F$88,IF($X32&lt;Input!$E$88,IF($X32&lt;Input!$D$88,Input!$C$94,Input!$D$94),Input!$E$94),Input!$F$94),Input!$G$94),Input!$H$94)</f>
        <v>0</v>
      </c>
      <c r="AX32" s="190">
        <f>IF($A32&lt;Input!$H$95,IF($A32&lt;Input!$G$95,IF($A32&lt;Input!$F$95,IF($A32&lt;Input!$E$95,IF($A32&lt;Input!$D$95,Input!$C$96,Input!$D$96),Input!$E$96),Input!$F$96),Input!$G$96),Input!$H$96)</f>
        <v>0.9</v>
      </c>
      <c r="AY32" s="60">
        <f t="shared" si="15"/>
        <v>0</v>
      </c>
      <c r="AZ32" s="60">
        <f t="shared" si="33"/>
        <v>30</v>
      </c>
      <c r="BA32" s="60">
        <f t="shared" si="16"/>
        <v>0</v>
      </c>
      <c r="BB32" s="60">
        <f>ROUND(BA32*AZ32*Input!$C$3/365,0)</f>
        <v>0</v>
      </c>
      <c r="BC32" s="61">
        <f>IF($A32&lt;=Input!$C$6,0,IF('Fixed Tenure'!AY32&lt;'Fixed Tenure'!BA32,'Fixed Tenure'!AY32-BB32,'Fixed Tenure'!BA32))</f>
        <v>0</v>
      </c>
      <c r="BD32" s="61">
        <f t="shared" si="17"/>
        <v>0</v>
      </c>
      <c r="BE32" s="60">
        <f t="shared" si="18"/>
        <v>0</v>
      </c>
      <c r="BF32" s="193"/>
      <c r="BG32" s="169">
        <v>28</v>
      </c>
      <c r="BH32" s="1">
        <f t="shared" si="34"/>
        <v>46371</v>
      </c>
      <c r="BI32" s="60">
        <f>IF($X32&lt;Input!$H$103,IF($X32&lt;Input!$G$103,IF($X32&lt;Input!$F$103,IF($X32&lt;Input!$E$103,IF($X32&lt;Input!$D$103,Input!$C$109,Input!$D$109),Input!$E$109),Input!$F$109),Input!$G$109),Input!$H$109)</f>
        <v>0</v>
      </c>
      <c r="BJ32" s="190">
        <f>IF($A32&lt;Input!$H$110,IF($A32&lt;Input!$G$110,IF($A32&lt;Input!$F$110,IF($A32&lt;Input!$E$110,IF($A32&lt;Input!$D$110,Input!$C$111,Input!$D$111),Input!$E$111),Input!$F$111),Input!$G$111),Input!$H$111)</f>
        <v>0.9</v>
      </c>
      <c r="BK32" s="60">
        <f t="shared" si="19"/>
        <v>0</v>
      </c>
      <c r="BL32" s="60">
        <f t="shared" si="35"/>
        <v>30</v>
      </c>
      <c r="BM32" s="60">
        <f t="shared" si="20"/>
        <v>0</v>
      </c>
      <c r="BN32" s="60">
        <f>ROUND(BM32*BL32*Input!$C$3/365,0)</f>
        <v>0</v>
      </c>
      <c r="BO32" s="61">
        <f>IF($A32&lt;=Input!$C$6,0,IF('Fixed Tenure'!BK32&lt;'Fixed Tenure'!BM32,'Fixed Tenure'!BK32-BN32,'Fixed Tenure'!BM32))</f>
        <v>0</v>
      </c>
      <c r="BP32" s="61">
        <f t="shared" si="21"/>
        <v>0</v>
      </c>
      <c r="BQ32" s="60">
        <f t="shared" si="22"/>
        <v>0</v>
      </c>
      <c r="BR32" s="198"/>
    </row>
    <row r="33" spans="1:70" x14ac:dyDescent="0.25">
      <c r="A33" s="169">
        <v>29</v>
      </c>
      <c r="B33" s="1">
        <f t="shared" si="23"/>
        <v>46402</v>
      </c>
      <c r="C33" s="60">
        <f t="shared" si="1"/>
        <v>16470000</v>
      </c>
      <c r="D33" s="60">
        <f t="shared" si="2"/>
        <v>14823000</v>
      </c>
      <c r="E33" s="60">
        <f t="shared" si="24"/>
        <v>31</v>
      </c>
      <c r="F33" s="60">
        <f t="shared" si="25"/>
        <v>884530397.22744608</v>
      </c>
      <c r="G33" s="60">
        <f>ROUND(F33*E33*Input!$C$3/365,0)</f>
        <v>11268675</v>
      </c>
      <c r="H33" s="60">
        <f>IF($A33&lt;=Input!$C$6,0,IF('Fixed Tenure'!D33&lt;'Fixed Tenure'!F33,'Fixed Tenure'!D33-G33,'Fixed Tenure'!F33))</f>
        <v>3554325</v>
      </c>
      <c r="I33" s="60">
        <f t="shared" si="26"/>
        <v>14823000</v>
      </c>
      <c r="J33" s="60">
        <f t="shared" si="27"/>
        <v>880976072.22744608</v>
      </c>
      <c r="K33" s="202">
        <f>J33/Input!$K$5</f>
        <v>2.9365869074248203</v>
      </c>
      <c r="L33" s="232"/>
      <c r="M33" s="60">
        <f>IF($B33&lt;Input!$H$43,IF($B33&lt;Input!$G$43,IF($B33&lt;Input!$F$43,IF($B33&lt;Input!$E$43,IF($B33&lt;Input!$D$43,Input!$C$49,Input!$D$49),Input!$E$49),Input!$F$49),Input!$G$49),Input!$H$49)</f>
        <v>16470000</v>
      </c>
      <c r="N33" s="190">
        <f>IF($A33&lt;Input!$H$50,IF($A33&lt;Input!$G$50,IF($A33&lt;Input!$F$50,IF($A33&lt;Input!$E$50,IF($A33&lt;Input!$D$50,Input!$C$51,Input!$D$51),Input!$E$51),Input!$F$51),Input!$G$51),Input!$H$51)</f>
        <v>0.9</v>
      </c>
      <c r="O33" s="60">
        <f t="shared" si="0"/>
        <v>14823000</v>
      </c>
      <c r="P33" s="60">
        <f t="shared" si="3"/>
        <v>31</v>
      </c>
      <c r="Q33" s="60">
        <f t="shared" si="4"/>
        <v>884530397.22744608</v>
      </c>
      <c r="R33" s="60">
        <f>ROUND(Q33*$P33*Input!$C$3/365,0)</f>
        <v>11268675</v>
      </c>
      <c r="S33" s="60">
        <f>IF(A33&lt;=Input!$C$6,0,IF('Fixed Tenure'!O33&lt;'Fixed Tenure'!Q33,'Fixed Tenure'!O33-R33,'Fixed Tenure'!Q33))</f>
        <v>3554325</v>
      </c>
      <c r="T33" s="60">
        <f t="shared" si="5"/>
        <v>14823000</v>
      </c>
      <c r="U33" s="60">
        <f t="shared" si="6"/>
        <v>880976072.22744608</v>
      </c>
      <c r="V33" s="193"/>
      <c r="W33" s="169">
        <v>29</v>
      </c>
      <c r="X33" s="1">
        <f t="shared" si="28"/>
        <v>46402</v>
      </c>
      <c r="Y33" s="60">
        <f>IF($X33&lt;Input!$H$58,IF($X33&lt;Input!$G$58,IF($X33&lt;Input!$F$58,IF($X33&lt;Input!$E$58,IF($X33&lt;Input!$D$58,Input!$C$64,Input!$D$64),Input!$E$64),Input!$F$64),Input!$G$64),Input!$H$64)</f>
        <v>0</v>
      </c>
      <c r="Z33" s="190">
        <f>IF($A33&lt;Input!$H$65,IF($A33&lt;Input!$G$65,IF($A33&lt;Input!$F$65,IF($A33&lt;Input!$E$65,IF($A33&lt;Input!$D$65,Input!$C$66,Input!$D$66),Input!$E$66),Input!$F$66),Input!$G$66),Input!$H$66)</f>
        <v>0.9</v>
      </c>
      <c r="AA33" s="60">
        <f t="shared" si="7"/>
        <v>0</v>
      </c>
      <c r="AB33" s="60">
        <f t="shared" si="29"/>
        <v>31</v>
      </c>
      <c r="AC33" s="60">
        <f t="shared" si="8"/>
        <v>0</v>
      </c>
      <c r="AD33" s="60">
        <f>ROUND(AC33*AB33*Input!$C$3/365,0)</f>
        <v>0</v>
      </c>
      <c r="AE33" s="61">
        <f>IF($A33&lt;=Input!$C$6,0,IF('Fixed Tenure'!AA33&lt;'Fixed Tenure'!AC33,'Fixed Tenure'!AA33-AD33,'Fixed Tenure'!AC33))</f>
        <v>0</v>
      </c>
      <c r="AF33" s="61">
        <f t="shared" si="9"/>
        <v>0</v>
      </c>
      <c r="AG33" s="60">
        <f t="shared" si="10"/>
        <v>0</v>
      </c>
      <c r="AH33" s="193"/>
      <c r="AI33" s="169">
        <v>29</v>
      </c>
      <c r="AJ33" s="1">
        <f t="shared" si="30"/>
        <v>46402</v>
      </c>
      <c r="AK33" s="60">
        <f>IF($X33&lt;Input!$H$73,IF($X33&lt;Input!$G$73,IF($X33&lt;Input!$F$73,IF($X33&lt;Input!$E$73,IF($X33&lt;Input!$D$73,Input!$C$79,Input!$D$79),Input!$E$79),Input!$F$79),Input!$G$79),Input!$H$79)</f>
        <v>0</v>
      </c>
      <c r="AL33" s="190">
        <f>IF($A33&lt;Input!$H$80,IF($A33&lt;Input!$G$80,IF($A33&lt;Input!$F$80,IF($A33&lt;Input!$E$80,IF($A33&lt;Input!$D$80,Input!$C$81,Input!$D$81),Input!$E$81),Input!$F$81),Input!$G$81),Input!$H$81)</f>
        <v>0.9</v>
      </c>
      <c r="AM33" s="60">
        <f t="shared" si="11"/>
        <v>0</v>
      </c>
      <c r="AN33" s="60">
        <f t="shared" si="31"/>
        <v>31</v>
      </c>
      <c r="AO33" s="60">
        <f t="shared" si="12"/>
        <v>0</v>
      </c>
      <c r="AP33" s="60">
        <f>ROUND(AO33*AN33*Input!$C$3/365,0)</f>
        <v>0</v>
      </c>
      <c r="AQ33" s="61">
        <f>IF($A33&lt;=Input!$C$6,0,IF('Fixed Tenure'!AM33&lt;'Fixed Tenure'!AO33,'Fixed Tenure'!AM33-AP33,'Fixed Tenure'!AO33))</f>
        <v>0</v>
      </c>
      <c r="AR33" s="61">
        <f t="shared" si="13"/>
        <v>0</v>
      </c>
      <c r="AS33" s="60">
        <f t="shared" si="14"/>
        <v>0</v>
      </c>
      <c r="AT33" s="193"/>
      <c r="AU33" s="169">
        <v>29</v>
      </c>
      <c r="AV33" s="1">
        <f t="shared" si="32"/>
        <v>46402</v>
      </c>
      <c r="AW33" s="60">
        <f>IF($X33&lt;Input!$H$88,IF($X33&lt;Input!$G$88,IF($X33&lt;Input!$F$88,IF($X33&lt;Input!$E$88,IF($X33&lt;Input!$D$88,Input!$C$94,Input!$D$94),Input!$E$94),Input!$F$94),Input!$G$94),Input!$H$94)</f>
        <v>0</v>
      </c>
      <c r="AX33" s="190">
        <f>IF($A33&lt;Input!$H$95,IF($A33&lt;Input!$G$95,IF($A33&lt;Input!$F$95,IF($A33&lt;Input!$E$95,IF($A33&lt;Input!$D$95,Input!$C$96,Input!$D$96),Input!$E$96),Input!$F$96),Input!$G$96),Input!$H$96)</f>
        <v>0.9</v>
      </c>
      <c r="AY33" s="60">
        <f t="shared" si="15"/>
        <v>0</v>
      </c>
      <c r="AZ33" s="60">
        <f t="shared" si="33"/>
        <v>31</v>
      </c>
      <c r="BA33" s="60">
        <f t="shared" si="16"/>
        <v>0</v>
      </c>
      <c r="BB33" s="60">
        <f>ROUND(BA33*AZ33*Input!$C$3/365,0)</f>
        <v>0</v>
      </c>
      <c r="BC33" s="61">
        <f>IF($A33&lt;=Input!$C$6,0,IF('Fixed Tenure'!AY33&lt;'Fixed Tenure'!BA33,'Fixed Tenure'!AY33-BB33,'Fixed Tenure'!BA33))</f>
        <v>0</v>
      </c>
      <c r="BD33" s="61">
        <f t="shared" si="17"/>
        <v>0</v>
      </c>
      <c r="BE33" s="60">
        <f t="shared" si="18"/>
        <v>0</v>
      </c>
      <c r="BF33" s="193"/>
      <c r="BG33" s="169">
        <v>29</v>
      </c>
      <c r="BH33" s="1">
        <f t="shared" si="34"/>
        <v>46402</v>
      </c>
      <c r="BI33" s="60">
        <f>IF($X33&lt;Input!$H$103,IF($X33&lt;Input!$G$103,IF($X33&lt;Input!$F$103,IF($X33&lt;Input!$E$103,IF($X33&lt;Input!$D$103,Input!$C$109,Input!$D$109),Input!$E$109),Input!$F$109),Input!$G$109),Input!$H$109)</f>
        <v>0</v>
      </c>
      <c r="BJ33" s="190">
        <f>IF($A33&lt;Input!$H$110,IF($A33&lt;Input!$G$110,IF($A33&lt;Input!$F$110,IF($A33&lt;Input!$E$110,IF($A33&lt;Input!$D$110,Input!$C$111,Input!$D$111),Input!$E$111),Input!$F$111),Input!$G$111),Input!$H$111)</f>
        <v>0.9</v>
      </c>
      <c r="BK33" s="60">
        <f t="shared" si="19"/>
        <v>0</v>
      </c>
      <c r="BL33" s="60">
        <f t="shared" si="35"/>
        <v>31</v>
      </c>
      <c r="BM33" s="60">
        <f t="shared" si="20"/>
        <v>0</v>
      </c>
      <c r="BN33" s="60">
        <f>ROUND(BM33*BL33*Input!$C$3/365,0)</f>
        <v>0</v>
      </c>
      <c r="BO33" s="61">
        <f>IF($A33&lt;=Input!$C$6,0,IF('Fixed Tenure'!BK33&lt;'Fixed Tenure'!BM33,'Fixed Tenure'!BK33-BN33,'Fixed Tenure'!BM33))</f>
        <v>0</v>
      </c>
      <c r="BP33" s="61">
        <f t="shared" si="21"/>
        <v>0</v>
      </c>
      <c r="BQ33" s="60">
        <f t="shared" si="22"/>
        <v>0</v>
      </c>
      <c r="BR33" s="198"/>
    </row>
    <row r="34" spans="1:70" x14ac:dyDescent="0.25">
      <c r="A34" s="169">
        <v>30</v>
      </c>
      <c r="B34" s="1">
        <f t="shared" si="23"/>
        <v>46433</v>
      </c>
      <c r="C34" s="60">
        <f t="shared" si="1"/>
        <v>16470000</v>
      </c>
      <c r="D34" s="60">
        <f t="shared" si="2"/>
        <v>14823000</v>
      </c>
      <c r="E34" s="60">
        <f t="shared" si="24"/>
        <v>31</v>
      </c>
      <c r="F34" s="60">
        <f t="shared" si="25"/>
        <v>880976072.22744608</v>
      </c>
      <c r="G34" s="60">
        <f>ROUND(F34*E34*Input!$C$3/365,0)</f>
        <v>11223394</v>
      </c>
      <c r="H34" s="60">
        <f>IF($A34&lt;=Input!$C$6,0,IF('Fixed Tenure'!D34&lt;'Fixed Tenure'!F34,'Fixed Tenure'!D34-G34,'Fixed Tenure'!F34))</f>
        <v>3599606</v>
      </c>
      <c r="I34" s="60">
        <f t="shared" si="26"/>
        <v>14823000</v>
      </c>
      <c r="J34" s="60">
        <f t="shared" si="27"/>
        <v>877376466.22744608</v>
      </c>
      <c r="K34" s="202">
        <f>J34/Input!$K$5</f>
        <v>2.9245882207581535</v>
      </c>
      <c r="L34" s="232"/>
      <c r="M34" s="60">
        <f>IF($B34&lt;Input!$H$43,IF($B34&lt;Input!$G$43,IF($B34&lt;Input!$F$43,IF($B34&lt;Input!$E$43,IF($B34&lt;Input!$D$43,Input!$C$49,Input!$D$49),Input!$E$49),Input!$F$49),Input!$G$49),Input!$H$49)</f>
        <v>16470000</v>
      </c>
      <c r="N34" s="190">
        <f>IF($A34&lt;Input!$H$50,IF($A34&lt;Input!$G$50,IF($A34&lt;Input!$F$50,IF($A34&lt;Input!$E$50,IF($A34&lt;Input!$D$50,Input!$C$51,Input!$D$51),Input!$E$51),Input!$F$51),Input!$G$51),Input!$H$51)</f>
        <v>0.9</v>
      </c>
      <c r="O34" s="60">
        <f t="shared" si="0"/>
        <v>14823000</v>
      </c>
      <c r="P34" s="60">
        <f t="shared" si="3"/>
        <v>31</v>
      </c>
      <c r="Q34" s="60">
        <f t="shared" si="4"/>
        <v>880976072.22744608</v>
      </c>
      <c r="R34" s="60">
        <f>ROUND(Q34*$P34*Input!$C$3/365,0)</f>
        <v>11223394</v>
      </c>
      <c r="S34" s="60">
        <f>IF(A34&lt;=Input!$C$6,0,IF('Fixed Tenure'!O34&lt;'Fixed Tenure'!Q34,'Fixed Tenure'!O34-R34,'Fixed Tenure'!Q34))</f>
        <v>3599606</v>
      </c>
      <c r="T34" s="60">
        <f t="shared" si="5"/>
        <v>14823000</v>
      </c>
      <c r="U34" s="60">
        <f t="shared" si="6"/>
        <v>877376466.22744608</v>
      </c>
      <c r="V34" s="193"/>
      <c r="W34" s="169">
        <v>30</v>
      </c>
      <c r="X34" s="1">
        <f t="shared" si="28"/>
        <v>46433</v>
      </c>
      <c r="Y34" s="60">
        <f>IF($X34&lt;Input!$H$58,IF($X34&lt;Input!$G$58,IF($X34&lt;Input!$F$58,IF($X34&lt;Input!$E$58,IF($X34&lt;Input!$D$58,Input!$C$64,Input!$D$64),Input!$E$64),Input!$F$64),Input!$G$64),Input!$H$64)</f>
        <v>0</v>
      </c>
      <c r="Z34" s="190">
        <f>IF($A34&lt;Input!$H$65,IF($A34&lt;Input!$G$65,IF($A34&lt;Input!$F$65,IF($A34&lt;Input!$E$65,IF($A34&lt;Input!$D$65,Input!$C$66,Input!$D$66),Input!$E$66),Input!$F$66),Input!$G$66),Input!$H$66)</f>
        <v>0.9</v>
      </c>
      <c r="AA34" s="60">
        <f t="shared" si="7"/>
        <v>0</v>
      </c>
      <c r="AB34" s="60">
        <f t="shared" si="29"/>
        <v>31</v>
      </c>
      <c r="AC34" s="60">
        <f t="shared" si="8"/>
        <v>0</v>
      </c>
      <c r="AD34" s="60">
        <f>ROUND(AC34*AB34*Input!$C$3/365,0)</f>
        <v>0</v>
      </c>
      <c r="AE34" s="61">
        <f>IF($A34&lt;=Input!$C$6,0,IF('Fixed Tenure'!AA34&lt;'Fixed Tenure'!AC34,'Fixed Tenure'!AA34-AD34,'Fixed Tenure'!AC34))</f>
        <v>0</v>
      </c>
      <c r="AF34" s="61">
        <f t="shared" si="9"/>
        <v>0</v>
      </c>
      <c r="AG34" s="60">
        <f t="shared" si="10"/>
        <v>0</v>
      </c>
      <c r="AH34" s="193"/>
      <c r="AI34" s="169">
        <v>30</v>
      </c>
      <c r="AJ34" s="1">
        <f t="shared" si="30"/>
        <v>46433</v>
      </c>
      <c r="AK34" s="60">
        <f>IF($X34&lt;Input!$H$73,IF($X34&lt;Input!$G$73,IF($X34&lt;Input!$F$73,IF($X34&lt;Input!$E$73,IF($X34&lt;Input!$D$73,Input!$C$79,Input!$D$79),Input!$E$79),Input!$F$79),Input!$G$79),Input!$H$79)</f>
        <v>0</v>
      </c>
      <c r="AL34" s="190">
        <f>IF($A34&lt;Input!$H$80,IF($A34&lt;Input!$G$80,IF($A34&lt;Input!$F$80,IF($A34&lt;Input!$E$80,IF($A34&lt;Input!$D$80,Input!$C$81,Input!$D$81),Input!$E$81),Input!$F$81),Input!$G$81),Input!$H$81)</f>
        <v>0.9</v>
      </c>
      <c r="AM34" s="60">
        <f t="shared" si="11"/>
        <v>0</v>
      </c>
      <c r="AN34" s="60">
        <f t="shared" si="31"/>
        <v>31</v>
      </c>
      <c r="AO34" s="60">
        <f t="shared" si="12"/>
        <v>0</v>
      </c>
      <c r="AP34" s="60">
        <f>ROUND(AO34*AN34*Input!$C$3/365,0)</f>
        <v>0</v>
      </c>
      <c r="AQ34" s="61">
        <f>IF($A34&lt;=Input!$C$6,0,IF('Fixed Tenure'!AM34&lt;'Fixed Tenure'!AO34,'Fixed Tenure'!AM34-AP34,'Fixed Tenure'!AO34))</f>
        <v>0</v>
      </c>
      <c r="AR34" s="61">
        <f t="shared" si="13"/>
        <v>0</v>
      </c>
      <c r="AS34" s="60">
        <f t="shared" si="14"/>
        <v>0</v>
      </c>
      <c r="AT34" s="193"/>
      <c r="AU34" s="169">
        <v>30</v>
      </c>
      <c r="AV34" s="1">
        <f t="shared" si="32"/>
        <v>46433</v>
      </c>
      <c r="AW34" s="60">
        <f>IF($X34&lt;Input!$H$88,IF($X34&lt;Input!$G$88,IF($X34&lt;Input!$F$88,IF($X34&lt;Input!$E$88,IF($X34&lt;Input!$D$88,Input!$C$94,Input!$D$94),Input!$E$94),Input!$F$94),Input!$G$94),Input!$H$94)</f>
        <v>0</v>
      </c>
      <c r="AX34" s="190">
        <f>IF($A34&lt;Input!$H$95,IF($A34&lt;Input!$G$95,IF($A34&lt;Input!$F$95,IF($A34&lt;Input!$E$95,IF($A34&lt;Input!$D$95,Input!$C$96,Input!$D$96),Input!$E$96),Input!$F$96),Input!$G$96),Input!$H$96)</f>
        <v>0.9</v>
      </c>
      <c r="AY34" s="60">
        <f t="shared" si="15"/>
        <v>0</v>
      </c>
      <c r="AZ34" s="60">
        <f t="shared" si="33"/>
        <v>31</v>
      </c>
      <c r="BA34" s="60">
        <f t="shared" si="16"/>
        <v>0</v>
      </c>
      <c r="BB34" s="60">
        <f>ROUND(BA34*AZ34*Input!$C$3/365,0)</f>
        <v>0</v>
      </c>
      <c r="BC34" s="61">
        <f>IF($A34&lt;=Input!$C$6,0,IF('Fixed Tenure'!AY34&lt;'Fixed Tenure'!BA34,'Fixed Tenure'!AY34-BB34,'Fixed Tenure'!BA34))</f>
        <v>0</v>
      </c>
      <c r="BD34" s="61">
        <f t="shared" si="17"/>
        <v>0</v>
      </c>
      <c r="BE34" s="60">
        <f t="shared" si="18"/>
        <v>0</v>
      </c>
      <c r="BF34" s="193"/>
      <c r="BG34" s="169">
        <v>30</v>
      </c>
      <c r="BH34" s="1">
        <f t="shared" si="34"/>
        <v>46433</v>
      </c>
      <c r="BI34" s="60">
        <f>IF($X34&lt;Input!$H$103,IF($X34&lt;Input!$G$103,IF($X34&lt;Input!$F$103,IF($X34&lt;Input!$E$103,IF($X34&lt;Input!$D$103,Input!$C$109,Input!$D$109),Input!$E$109),Input!$F$109),Input!$G$109),Input!$H$109)</f>
        <v>0</v>
      </c>
      <c r="BJ34" s="190">
        <f>IF($A34&lt;Input!$H$110,IF($A34&lt;Input!$G$110,IF($A34&lt;Input!$F$110,IF($A34&lt;Input!$E$110,IF($A34&lt;Input!$D$110,Input!$C$111,Input!$D$111),Input!$E$111),Input!$F$111),Input!$G$111),Input!$H$111)</f>
        <v>0.9</v>
      </c>
      <c r="BK34" s="60">
        <f t="shared" si="19"/>
        <v>0</v>
      </c>
      <c r="BL34" s="60">
        <f t="shared" si="35"/>
        <v>31</v>
      </c>
      <c r="BM34" s="60">
        <f t="shared" si="20"/>
        <v>0</v>
      </c>
      <c r="BN34" s="60">
        <f>ROUND(BM34*BL34*Input!$C$3/365,0)</f>
        <v>0</v>
      </c>
      <c r="BO34" s="61">
        <f>IF($A34&lt;=Input!$C$6,0,IF('Fixed Tenure'!BK34&lt;'Fixed Tenure'!BM34,'Fixed Tenure'!BK34-BN34,'Fixed Tenure'!BM34))</f>
        <v>0</v>
      </c>
      <c r="BP34" s="61">
        <f t="shared" si="21"/>
        <v>0</v>
      </c>
      <c r="BQ34" s="60">
        <f t="shared" si="22"/>
        <v>0</v>
      </c>
      <c r="BR34" s="198"/>
    </row>
    <row r="35" spans="1:70" x14ac:dyDescent="0.25">
      <c r="A35" s="169">
        <v>31</v>
      </c>
      <c r="B35" s="1">
        <f t="shared" si="23"/>
        <v>46461</v>
      </c>
      <c r="C35" s="60">
        <f t="shared" si="1"/>
        <v>16470000</v>
      </c>
      <c r="D35" s="60">
        <f t="shared" si="2"/>
        <v>14823000</v>
      </c>
      <c r="E35" s="60">
        <f t="shared" si="24"/>
        <v>28</v>
      </c>
      <c r="F35" s="60">
        <f t="shared" si="25"/>
        <v>877376466.22744608</v>
      </c>
      <c r="G35" s="60">
        <f>ROUND(F35*E35*Input!$C$3/365,0)</f>
        <v>10095839</v>
      </c>
      <c r="H35" s="60">
        <f>IF($A35&lt;=Input!$C$6,0,IF('Fixed Tenure'!D35&lt;'Fixed Tenure'!F35,'Fixed Tenure'!D35-G35,'Fixed Tenure'!F35))</f>
        <v>4727161</v>
      </c>
      <c r="I35" s="60">
        <f t="shared" si="26"/>
        <v>14823000</v>
      </c>
      <c r="J35" s="60">
        <f t="shared" si="27"/>
        <v>872649305.22744608</v>
      </c>
      <c r="K35" s="202">
        <f>J35/Input!$K$5</f>
        <v>2.9088310174248204</v>
      </c>
      <c r="L35" s="232"/>
      <c r="M35" s="60">
        <f>IF($B35&lt;Input!$H$43,IF($B35&lt;Input!$G$43,IF($B35&lt;Input!$F$43,IF($B35&lt;Input!$E$43,IF($B35&lt;Input!$D$43,Input!$C$49,Input!$D$49),Input!$E$49),Input!$F$49),Input!$G$49),Input!$H$49)</f>
        <v>16470000</v>
      </c>
      <c r="N35" s="190">
        <f>IF($A35&lt;Input!$H$50,IF($A35&lt;Input!$G$50,IF($A35&lt;Input!$F$50,IF($A35&lt;Input!$E$50,IF($A35&lt;Input!$D$50,Input!$C$51,Input!$D$51),Input!$E$51),Input!$F$51),Input!$G$51),Input!$H$51)</f>
        <v>0.9</v>
      </c>
      <c r="O35" s="60">
        <f t="shared" si="0"/>
        <v>14823000</v>
      </c>
      <c r="P35" s="60">
        <f t="shared" si="3"/>
        <v>28</v>
      </c>
      <c r="Q35" s="60">
        <f t="shared" si="4"/>
        <v>877376466.22744608</v>
      </c>
      <c r="R35" s="60">
        <f>ROUND(Q35*$P35*Input!$C$3/365,0)</f>
        <v>10095839</v>
      </c>
      <c r="S35" s="60">
        <f>IF(A35&lt;=Input!$C$6,0,IF('Fixed Tenure'!O35&lt;'Fixed Tenure'!Q35,'Fixed Tenure'!O35-R35,'Fixed Tenure'!Q35))</f>
        <v>4727161</v>
      </c>
      <c r="T35" s="60">
        <f t="shared" si="5"/>
        <v>14823000</v>
      </c>
      <c r="U35" s="60">
        <f t="shared" si="6"/>
        <v>872649305.22744608</v>
      </c>
      <c r="V35" s="193"/>
      <c r="W35" s="169">
        <v>31</v>
      </c>
      <c r="X35" s="1">
        <f t="shared" si="28"/>
        <v>46461</v>
      </c>
      <c r="Y35" s="60">
        <f>IF($X35&lt;Input!$H$58,IF($X35&lt;Input!$G$58,IF($X35&lt;Input!$F$58,IF($X35&lt;Input!$E$58,IF($X35&lt;Input!$D$58,Input!$C$64,Input!$D$64),Input!$E$64),Input!$F$64),Input!$G$64),Input!$H$64)</f>
        <v>0</v>
      </c>
      <c r="Z35" s="190">
        <f>IF($A35&lt;Input!$H$65,IF($A35&lt;Input!$G$65,IF($A35&lt;Input!$F$65,IF($A35&lt;Input!$E$65,IF($A35&lt;Input!$D$65,Input!$C$66,Input!$D$66),Input!$E$66),Input!$F$66),Input!$G$66),Input!$H$66)</f>
        <v>0.9</v>
      </c>
      <c r="AA35" s="60">
        <f t="shared" si="7"/>
        <v>0</v>
      </c>
      <c r="AB35" s="60">
        <f t="shared" si="29"/>
        <v>28</v>
      </c>
      <c r="AC35" s="60">
        <f t="shared" si="8"/>
        <v>0</v>
      </c>
      <c r="AD35" s="60">
        <f>ROUND(AC35*AB35*Input!$C$3/365,0)</f>
        <v>0</v>
      </c>
      <c r="AE35" s="61">
        <f>IF($A35&lt;=Input!$C$6,0,IF('Fixed Tenure'!AA35&lt;'Fixed Tenure'!AC35,'Fixed Tenure'!AA35-AD35,'Fixed Tenure'!AC35))</f>
        <v>0</v>
      </c>
      <c r="AF35" s="61">
        <f t="shared" si="9"/>
        <v>0</v>
      </c>
      <c r="AG35" s="60">
        <f t="shared" si="10"/>
        <v>0</v>
      </c>
      <c r="AH35" s="193"/>
      <c r="AI35" s="169">
        <v>31</v>
      </c>
      <c r="AJ35" s="1">
        <f t="shared" si="30"/>
        <v>46461</v>
      </c>
      <c r="AK35" s="60">
        <f>IF($X35&lt;Input!$H$73,IF($X35&lt;Input!$G$73,IF($X35&lt;Input!$F$73,IF($X35&lt;Input!$E$73,IF($X35&lt;Input!$D$73,Input!$C$79,Input!$D$79),Input!$E$79),Input!$F$79),Input!$G$79),Input!$H$79)</f>
        <v>0</v>
      </c>
      <c r="AL35" s="190">
        <f>IF($A35&lt;Input!$H$80,IF($A35&lt;Input!$G$80,IF($A35&lt;Input!$F$80,IF($A35&lt;Input!$E$80,IF($A35&lt;Input!$D$80,Input!$C$81,Input!$D$81),Input!$E$81),Input!$F$81),Input!$G$81),Input!$H$81)</f>
        <v>0.9</v>
      </c>
      <c r="AM35" s="60">
        <f t="shared" si="11"/>
        <v>0</v>
      </c>
      <c r="AN35" s="60">
        <f t="shared" si="31"/>
        <v>28</v>
      </c>
      <c r="AO35" s="60">
        <f t="shared" si="12"/>
        <v>0</v>
      </c>
      <c r="AP35" s="60">
        <f>ROUND(AO35*AN35*Input!$C$3/365,0)</f>
        <v>0</v>
      </c>
      <c r="AQ35" s="61">
        <f>IF($A35&lt;=Input!$C$6,0,IF('Fixed Tenure'!AM35&lt;'Fixed Tenure'!AO35,'Fixed Tenure'!AM35-AP35,'Fixed Tenure'!AO35))</f>
        <v>0</v>
      </c>
      <c r="AR35" s="61">
        <f t="shared" si="13"/>
        <v>0</v>
      </c>
      <c r="AS35" s="60">
        <f t="shared" si="14"/>
        <v>0</v>
      </c>
      <c r="AT35" s="193"/>
      <c r="AU35" s="169">
        <v>31</v>
      </c>
      <c r="AV35" s="1">
        <f t="shared" si="32"/>
        <v>46461</v>
      </c>
      <c r="AW35" s="60">
        <f>IF($X35&lt;Input!$H$88,IF($X35&lt;Input!$G$88,IF($X35&lt;Input!$F$88,IF($X35&lt;Input!$E$88,IF($X35&lt;Input!$D$88,Input!$C$94,Input!$D$94),Input!$E$94),Input!$F$94),Input!$G$94),Input!$H$94)</f>
        <v>0</v>
      </c>
      <c r="AX35" s="190">
        <f>IF($A35&lt;Input!$H$95,IF($A35&lt;Input!$G$95,IF($A35&lt;Input!$F$95,IF($A35&lt;Input!$E$95,IF($A35&lt;Input!$D$95,Input!$C$96,Input!$D$96),Input!$E$96),Input!$F$96),Input!$G$96),Input!$H$96)</f>
        <v>0.9</v>
      </c>
      <c r="AY35" s="60">
        <f t="shared" si="15"/>
        <v>0</v>
      </c>
      <c r="AZ35" s="60">
        <f t="shared" si="33"/>
        <v>28</v>
      </c>
      <c r="BA35" s="60">
        <f t="shared" si="16"/>
        <v>0</v>
      </c>
      <c r="BB35" s="60">
        <f>ROUND(BA35*AZ35*Input!$C$3/365,0)</f>
        <v>0</v>
      </c>
      <c r="BC35" s="61">
        <f>IF($A35&lt;=Input!$C$6,0,IF('Fixed Tenure'!AY35&lt;'Fixed Tenure'!BA35,'Fixed Tenure'!AY35-BB35,'Fixed Tenure'!BA35))</f>
        <v>0</v>
      </c>
      <c r="BD35" s="61">
        <f t="shared" si="17"/>
        <v>0</v>
      </c>
      <c r="BE35" s="60">
        <f t="shared" si="18"/>
        <v>0</v>
      </c>
      <c r="BF35" s="193"/>
      <c r="BG35" s="169">
        <v>31</v>
      </c>
      <c r="BH35" s="1">
        <f t="shared" si="34"/>
        <v>46461</v>
      </c>
      <c r="BI35" s="60">
        <f>IF($X35&lt;Input!$H$103,IF($X35&lt;Input!$G$103,IF($X35&lt;Input!$F$103,IF($X35&lt;Input!$E$103,IF($X35&lt;Input!$D$103,Input!$C$109,Input!$D$109),Input!$E$109),Input!$F$109),Input!$G$109),Input!$H$109)</f>
        <v>0</v>
      </c>
      <c r="BJ35" s="190">
        <f>IF($A35&lt;Input!$H$110,IF($A35&lt;Input!$G$110,IF($A35&lt;Input!$F$110,IF($A35&lt;Input!$E$110,IF($A35&lt;Input!$D$110,Input!$C$111,Input!$D$111),Input!$E$111),Input!$F$111),Input!$G$111),Input!$H$111)</f>
        <v>0.9</v>
      </c>
      <c r="BK35" s="60">
        <f t="shared" si="19"/>
        <v>0</v>
      </c>
      <c r="BL35" s="60">
        <f t="shared" si="35"/>
        <v>28</v>
      </c>
      <c r="BM35" s="60">
        <f t="shared" si="20"/>
        <v>0</v>
      </c>
      <c r="BN35" s="60">
        <f>ROUND(BM35*BL35*Input!$C$3/365,0)</f>
        <v>0</v>
      </c>
      <c r="BO35" s="61">
        <f>IF($A35&lt;=Input!$C$6,0,IF('Fixed Tenure'!BK35&lt;'Fixed Tenure'!BM35,'Fixed Tenure'!BK35-BN35,'Fixed Tenure'!BM35))</f>
        <v>0</v>
      </c>
      <c r="BP35" s="61">
        <f t="shared" si="21"/>
        <v>0</v>
      </c>
      <c r="BQ35" s="60">
        <f t="shared" si="22"/>
        <v>0</v>
      </c>
      <c r="BR35" s="198"/>
    </row>
    <row r="36" spans="1:70" x14ac:dyDescent="0.25">
      <c r="A36" s="169">
        <v>32</v>
      </c>
      <c r="B36" s="1">
        <f t="shared" si="23"/>
        <v>46492</v>
      </c>
      <c r="C36" s="60">
        <f t="shared" si="1"/>
        <v>16470000</v>
      </c>
      <c r="D36" s="60">
        <f t="shared" si="2"/>
        <v>14823000</v>
      </c>
      <c r="E36" s="60">
        <f t="shared" si="24"/>
        <v>31</v>
      </c>
      <c r="F36" s="60">
        <f t="shared" si="25"/>
        <v>872649305.22744608</v>
      </c>
      <c r="G36" s="60">
        <f>ROUND(F36*E36*Input!$C$3/365,0)</f>
        <v>11117313</v>
      </c>
      <c r="H36" s="60">
        <f>IF($A36&lt;=Input!$C$6,0,IF('Fixed Tenure'!D36&lt;'Fixed Tenure'!F36,'Fixed Tenure'!D36-G36,'Fixed Tenure'!F36))</f>
        <v>3705687</v>
      </c>
      <c r="I36" s="60">
        <f t="shared" si="26"/>
        <v>14823000</v>
      </c>
      <c r="J36" s="60">
        <f t="shared" si="27"/>
        <v>868943618.22744608</v>
      </c>
      <c r="K36" s="202">
        <f>J36/Input!$K$5</f>
        <v>2.89647872742482</v>
      </c>
      <c r="L36" s="232"/>
      <c r="M36" s="60">
        <f>IF($B36&lt;Input!$H$43,IF($B36&lt;Input!$G$43,IF($B36&lt;Input!$F$43,IF($B36&lt;Input!$E$43,IF($B36&lt;Input!$D$43,Input!$C$49,Input!$D$49),Input!$E$49),Input!$F$49),Input!$G$49),Input!$H$49)</f>
        <v>16470000</v>
      </c>
      <c r="N36" s="190">
        <f>IF($A36&lt;Input!$H$50,IF($A36&lt;Input!$G$50,IF($A36&lt;Input!$F$50,IF($A36&lt;Input!$E$50,IF($A36&lt;Input!$D$50,Input!$C$51,Input!$D$51),Input!$E$51),Input!$F$51),Input!$G$51),Input!$H$51)</f>
        <v>0.9</v>
      </c>
      <c r="O36" s="60">
        <f t="shared" ref="O36:O67" si="36">M36*N36</f>
        <v>14823000</v>
      </c>
      <c r="P36" s="60">
        <f t="shared" si="3"/>
        <v>31</v>
      </c>
      <c r="Q36" s="60">
        <f t="shared" si="4"/>
        <v>872649305.22744608</v>
      </c>
      <c r="R36" s="60">
        <f>ROUND(Q36*$P36*Input!$C$3/365,0)</f>
        <v>11117313</v>
      </c>
      <c r="S36" s="60">
        <f>IF(A36&lt;=Input!$C$6,0,IF('Fixed Tenure'!O36&lt;'Fixed Tenure'!Q36,'Fixed Tenure'!O36-R36,'Fixed Tenure'!Q36))</f>
        <v>3705687</v>
      </c>
      <c r="T36" s="60">
        <f t="shared" si="5"/>
        <v>14823000</v>
      </c>
      <c r="U36" s="60">
        <f t="shared" si="6"/>
        <v>868943618.22744608</v>
      </c>
      <c r="V36" s="193"/>
      <c r="W36" s="169">
        <v>32</v>
      </c>
      <c r="X36" s="1">
        <f t="shared" si="28"/>
        <v>46492</v>
      </c>
      <c r="Y36" s="60">
        <f>IF($X36&lt;Input!$H$58,IF($X36&lt;Input!$G$58,IF($X36&lt;Input!$F$58,IF($X36&lt;Input!$E$58,IF($X36&lt;Input!$D$58,Input!$C$64,Input!$D$64),Input!$E$64),Input!$F$64),Input!$G$64),Input!$H$64)</f>
        <v>0</v>
      </c>
      <c r="Z36" s="190">
        <f>IF($A36&lt;Input!$H$65,IF($A36&lt;Input!$G$65,IF($A36&lt;Input!$F$65,IF($A36&lt;Input!$E$65,IF($A36&lt;Input!$D$65,Input!$C$66,Input!$D$66),Input!$E$66),Input!$F$66),Input!$G$66),Input!$H$66)</f>
        <v>0.9</v>
      </c>
      <c r="AA36" s="60">
        <f t="shared" si="7"/>
        <v>0</v>
      </c>
      <c r="AB36" s="60">
        <f t="shared" si="29"/>
        <v>31</v>
      </c>
      <c r="AC36" s="60">
        <f t="shared" si="8"/>
        <v>0</v>
      </c>
      <c r="AD36" s="60">
        <f>ROUND(AC36*AB36*Input!$C$3/365,0)</f>
        <v>0</v>
      </c>
      <c r="AE36" s="61">
        <f>IF($A36&lt;=Input!$C$6,0,IF('Fixed Tenure'!AA36&lt;'Fixed Tenure'!AC36,'Fixed Tenure'!AA36-AD36,'Fixed Tenure'!AC36))</f>
        <v>0</v>
      </c>
      <c r="AF36" s="61">
        <f t="shared" si="9"/>
        <v>0</v>
      </c>
      <c r="AG36" s="60">
        <f t="shared" si="10"/>
        <v>0</v>
      </c>
      <c r="AH36" s="193"/>
      <c r="AI36" s="169">
        <v>32</v>
      </c>
      <c r="AJ36" s="1">
        <f t="shared" si="30"/>
        <v>46492</v>
      </c>
      <c r="AK36" s="60">
        <f>IF($X36&lt;Input!$H$73,IF($X36&lt;Input!$G$73,IF($X36&lt;Input!$F$73,IF($X36&lt;Input!$E$73,IF($X36&lt;Input!$D$73,Input!$C$79,Input!$D$79),Input!$E$79),Input!$F$79),Input!$G$79),Input!$H$79)</f>
        <v>0</v>
      </c>
      <c r="AL36" s="190">
        <f>IF($A36&lt;Input!$H$80,IF($A36&lt;Input!$G$80,IF($A36&lt;Input!$F$80,IF($A36&lt;Input!$E$80,IF($A36&lt;Input!$D$80,Input!$C$81,Input!$D$81),Input!$E$81),Input!$F$81),Input!$G$81),Input!$H$81)</f>
        <v>0.9</v>
      </c>
      <c r="AM36" s="60">
        <f t="shared" si="11"/>
        <v>0</v>
      </c>
      <c r="AN36" s="60">
        <f t="shared" si="31"/>
        <v>31</v>
      </c>
      <c r="AO36" s="60">
        <f t="shared" si="12"/>
        <v>0</v>
      </c>
      <c r="AP36" s="60">
        <f>ROUND(AO36*AN36*Input!$C$3/365,0)</f>
        <v>0</v>
      </c>
      <c r="AQ36" s="61">
        <f>IF($A36&lt;=Input!$C$6,0,IF('Fixed Tenure'!AM36&lt;'Fixed Tenure'!AO36,'Fixed Tenure'!AM36-AP36,'Fixed Tenure'!AO36))</f>
        <v>0</v>
      </c>
      <c r="AR36" s="61">
        <f t="shared" si="13"/>
        <v>0</v>
      </c>
      <c r="AS36" s="60">
        <f t="shared" si="14"/>
        <v>0</v>
      </c>
      <c r="AT36" s="193"/>
      <c r="AU36" s="169">
        <v>32</v>
      </c>
      <c r="AV36" s="1">
        <f t="shared" si="32"/>
        <v>46492</v>
      </c>
      <c r="AW36" s="60">
        <f>IF($X36&lt;Input!$H$88,IF($X36&lt;Input!$G$88,IF($X36&lt;Input!$F$88,IF($X36&lt;Input!$E$88,IF($X36&lt;Input!$D$88,Input!$C$94,Input!$D$94),Input!$E$94),Input!$F$94),Input!$G$94),Input!$H$94)</f>
        <v>0</v>
      </c>
      <c r="AX36" s="190">
        <f>IF($A36&lt;Input!$H$95,IF($A36&lt;Input!$G$95,IF($A36&lt;Input!$F$95,IF($A36&lt;Input!$E$95,IF($A36&lt;Input!$D$95,Input!$C$96,Input!$D$96),Input!$E$96),Input!$F$96),Input!$G$96),Input!$H$96)</f>
        <v>0.9</v>
      </c>
      <c r="AY36" s="60">
        <f t="shared" si="15"/>
        <v>0</v>
      </c>
      <c r="AZ36" s="60">
        <f t="shared" si="33"/>
        <v>31</v>
      </c>
      <c r="BA36" s="60">
        <f t="shared" si="16"/>
        <v>0</v>
      </c>
      <c r="BB36" s="60">
        <f>ROUND(BA36*AZ36*Input!$C$3/365,0)</f>
        <v>0</v>
      </c>
      <c r="BC36" s="61">
        <f>IF($A36&lt;=Input!$C$6,0,IF('Fixed Tenure'!AY36&lt;'Fixed Tenure'!BA36,'Fixed Tenure'!AY36-BB36,'Fixed Tenure'!BA36))</f>
        <v>0</v>
      </c>
      <c r="BD36" s="61">
        <f t="shared" si="17"/>
        <v>0</v>
      </c>
      <c r="BE36" s="60">
        <f t="shared" si="18"/>
        <v>0</v>
      </c>
      <c r="BF36" s="193"/>
      <c r="BG36" s="169">
        <v>32</v>
      </c>
      <c r="BH36" s="1">
        <f t="shared" si="34"/>
        <v>46492</v>
      </c>
      <c r="BI36" s="60">
        <f>IF($X36&lt;Input!$H$103,IF($X36&lt;Input!$G$103,IF($X36&lt;Input!$F$103,IF($X36&lt;Input!$E$103,IF($X36&lt;Input!$D$103,Input!$C$109,Input!$D$109),Input!$E$109),Input!$F$109),Input!$G$109),Input!$H$109)</f>
        <v>0</v>
      </c>
      <c r="BJ36" s="190">
        <f>IF($A36&lt;Input!$H$110,IF($A36&lt;Input!$G$110,IF($A36&lt;Input!$F$110,IF($A36&lt;Input!$E$110,IF($A36&lt;Input!$D$110,Input!$C$111,Input!$D$111),Input!$E$111),Input!$F$111),Input!$G$111),Input!$H$111)</f>
        <v>0.9</v>
      </c>
      <c r="BK36" s="60">
        <f t="shared" si="19"/>
        <v>0</v>
      </c>
      <c r="BL36" s="60">
        <f t="shared" si="35"/>
        <v>31</v>
      </c>
      <c r="BM36" s="60">
        <f t="shared" si="20"/>
        <v>0</v>
      </c>
      <c r="BN36" s="60">
        <f>ROUND(BM36*BL36*Input!$C$3/365,0)</f>
        <v>0</v>
      </c>
      <c r="BO36" s="61">
        <f>IF($A36&lt;=Input!$C$6,0,IF('Fixed Tenure'!BK36&lt;'Fixed Tenure'!BM36,'Fixed Tenure'!BK36-BN36,'Fixed Tenure'!BM36))</f>
        <v>0</v>
      </c>
      <c r="BP36" s="61">
        <f t="shared" si="21"/>
        <v>0</v>
      </c>
      <c r="BQ36" s="60">
        <f t="shared" si="22"/>
        <v>0</v>
      </c>
      <c r="BR36" s="198"/>
    </row>
    <row r="37" spans="1:70" x14ac:dyDescent="0.25">
      <c r="A37" s="169">
        <v>33</v>
      </c>
      <c r="B37" s="1">
        <f t="shared" si="23"/>
        <v>46522</v>
      </c>
      <c r="C37" s="60">
        <f t="shared" si="1"/>
        <v>16470000</v>
      </c>
      <c r="D37" s="60">
        <f t="shared" si="2"/>
        <v>14823000</v>
      </c>
      <c r="E37" s="60">
        <f t="shared" si="24"/>
        <v>30</v>
      </c>
      <c r="F37" s="60">
        <f t="shared" si="25"/>
        <v>868943618.22744608</v>
      </c>
      <c r="G37" s="60">
        <f>ROUND(F37*E37*Input!$C$3/365,0)</f>
        <v>10713004</v>
      </c>
      <c r="H37" s="60">
        <f>IF($A37&lt;=Input!$C$6,0,IF('Fixed Tenure'!D37&lt;'Fixed Tenure'!F37,'Fixed Tenure'!D37-G37,'Fixed Tenure'!F37))</f>
        <v>4109996</v>
      </c>
      <c r="I37" s="60">
        <f t="shared" si="26"/>
        <v>14823000</v>
      </c>
      <c r="J37" s="60">
        <f t="shared" si="27"/>
        <v>864833622.22744608</v>
      </c>
      <c r="K37" s="202">
        <f>J37/Input!$K$5</f>
        <v>2.8827787407581535</v>
      </c>
      <c r="L37" s="232"/>
      <c r="M37" s="60">
        <f>IF($B37&lt;Input!$H$43,IF($B37&lt;Input!$G$43,IF($B37&lt;Input!$F$43,IF($B37&lt;Input!$E$43,IF($B37&lt;Input!$D$43,Input!$C$49,Input!$D$49),Input!$E$49),Input!$F$49),Input!$G$49),Input!$H$49)</f>
        <v>16470000</v>
      </c>
      <c r="N37" s="190">
        <f>IF($A37&lt;Input!$H$50,IF($A37&lt;Input!$G$50,IF($A37&lt;Input!$F$50,IF($A37&lt;Input!$E$50,IF($A37&lt;Input!$D$50,Input!$C$51,Input!$D$51),Input!$E$51),Input!$F$51),Input!$G$51),Input!$H$51)</f>
        <v>0.9</v>
      </c>
      <c r="O37" s="60">
        <f t="shared" si="36"/>
        <v>14823000</v>
      </c>
      <c r="P37" s="60">
        <f t="shared" ref="P37:P68" si="37">B37-B36</f>
        <v>30</v>
      </c>
      <c r="Q37" s="60">
        <f t="shared" si="4"/>
        <v>868943618.22744608</v>
      </c>
      <c r="R37" s="60">
        <f>ROUND(Q37*$P37*Input!$C$3/365,0)</f>
        <v>10713004</v>
      </c>
      <c r="S37" s="60">
        <f>IF(A37&lt;=Input!$C$6,0,IF('Fixed Tenure'!O37&lt;'Fixed Tenure'!Q37,'Fixed Tenure'!O37-R37,'Fixed Tenure'!Q37))</f>
        <v>4109996</v>
      </c>
      <c r="T37" s="60">
        <f t="shared" si="5"/>
        <v>14823000</v>
      </c>
      <c r="U37" s="60">
        <f t="shared" si="6"/>
        <v>864833622.22744608</v>
      </c>
      <c r="V37" s="193"/>
      <c r="W37" s="169">
        <v>33</v>
      </c>
      <c r="X37" s="1">
        <f t="shared" si="28"/>
        <v>46522</v>
      </c>
      <c r="Y37" s="60">
        <f>IF($X37&lt;Input!$H$58,IF($X37&lt;Input!$G$58,IF($X37&lt;Input!$F$58,IF($X37&lt;Input!$E$58,IF($X37&lt;Input!$D$58,Input!$C$64,Input!$D$64),Input!$E$64),Input!$F$64),Input!$G$64),Input!$H$64)</f>
        <v>0</v>
      </c>
      <c r="Z37" s="190">
        <f>IF($A37&lt;Input!$H$65,IF($A37&lt;Input!$G$65,IF($A37&lt;Input!$F$65,IF($A37&lt;Input!$E$65,IF($A37&lt;Input!$D$65,Input!$C$66,Input!$D$66),Input!$E$66),Input!$F$66),Input!$G$66),Input!$H$66)</f>
        <v>0.9</v>
      </c>
      <c r="AA37" s="60">
        <f t="shared" si="7"/>
        <v>0</v>
      </c>
      <c r="AB37" s="60">
        <f t="shared" si="29"/>
        <v>30</v>
      </c>
      <c r="AC37" s="60">
        <f t="shared" si="8"/>
        <v>0</v>
      </c>
      <c r="AD37" s="60">
        <f>ROUND(AC37*AB37*Input!$C$3/365,0)</f>
        <v>0</v>
      </c>
      <c r="AE37" s="61">
        <f>IF($A37&lt;=Input!$C$6,0,IF('Fixed Tenure'!AA37&lt;'Fixed Tenure'!AC37,'Fixed Tenure'!AA37-AD37,'Fixed Tenure'!AC37))</f>
        <v>0</v>
      </c>
      <c r="AF37" s="61">
        <f t="shared" si="9"/>
        <v>0</v>
      </c>
      <c r="AG37" s="60">
        <f t="shared" si="10"/>
        <v>0</v>
      </c>
      <c r="AH37" s="193"/>
      <c r="AI37" s="169">
        <v>33</v>
      </c>
      <c r="AJ37" s="1">
        <f t="shared" si="30"/>
        <v>46522</v>
      </c>
      <c r="AK37" s="60">
        <f>IF($X37&lt;Input!$H$73,IF($X37&lt;Input!$G$73,IF($X37&lt;Input!$F$73,IF($X37&lt;Input!$E$73,IF($X37&lt;Input!$D$73,Input!$C$79,Input!$D$79),Input!$E$79),Input!$F$79),Input!$G$79),Input!$H$79)</f>
        <v>0</v>
      </c>
      <c r="AL37" s="190">
        <f>IF($A37&lt;Input!$H$80,IF($A37&lt;Input!$G$80,IF($A37&lt;Input!$F$80,IF($A37&lt;Input!$E$80,IF($A37&lt;Input!$D$80,Input!$C$81,Input!$D$81),Input!$E$81),Input!$F$81),Input!$G$81),Input!$H$81)</f>
        <v>0.9</v>
      </c>
      <c r="AM37" s="60">
        <f t="shared" si="11"/>
        <v>0</v>
      </c>
      <c r="AN37" s="60">
        <f t="shared" si="31"/>
        <v>30</v>
      </c>
      <c r="AO37" s="60">
        <f t="shared" si="12"/>
        <v>0</v>
      </c>
      <c r="AP37" s="60">
        <f>ROUND(AO37*AN37*Input!$C$3/365,0)</f>
        <v>0</v>
      </c>
      <c r="AQ37" s="61">
        <f>IF($A37&lt;=Input!$C$6,0,IF('Fixed Tenure'!AM37&lt;'Fixed Tenure'!AO37,'Fixed Tenure'!AM37-AP37,'Fixed Tenure'!AO37))</f>
        <v>0</v>
      </c>
      <c r="AR37" s="61">
        <f t="shared" si="13"/>
        <v>0</v>
      </c>
      <c r="AS37" s="60">
        <f t="shared" si="14"/>
        <v>0</v>
      </c>
      <c r="AT37" s="193"/>
      <c r="AU37" s="169">
        <v>33</v>
      </c>
      <c r="AV37" s="1">
        <f t="shared" si="32"/>
        <v>46522</v>
      </c>
      <c r="AW37" s="60">
        <f>IF($X37&lt;Input!$H$88,IF($X37&lt;Input!$G$88,IF($X37&lt;Input!$F$88,IF($X37&lt;Input!$E$88,IF($X37&lt;Input!$D$88,Input!$C$94,Input!$D$94),Input!$E$94),Input!$F$94),Input!$G$94),Input!$H$94)</f>
        <v>0</v>
      </c>
      <c r="AX37" s="190">
        <f>IF($A37&lt;Input!$H$95,IF($A37&lt;Input!$G$95,IF($A37&lt;Input!$F$95,IF($A37&lt;Input!$E$95,IF($A37&lt;Input!$D$95,Input!$C$96,Input!$D$96),Input!$E$96),Input!$F$96),Input!$G$96),Input!$H$96)</f>
        <v>0.9</v>
      </c>
      <c r="AY37" s="60">
        <f t="shared" si="15"/>
        <v>0</v>
      </c>
      <c r="AZ37" s="60">
        <f t="shared" si="33"/>
        <v>30</v>
      </c>
      <c r="BA37" s="60">
        <f t="shared" si="16"/>
        <v>0</v>
      </c>
      <c r="BB37" s="60">
        <f>ROUND(BA37*AZ37*Input!$C$3/365,0)</f>
        <v>0</v>
      </c>
      <c r="BC37" s="61">
        <f>IF($A37&lt;=Input!$C$6,0,IF('Fixed Tenure'!AY37&lt;'Fixed Tenure'!BA37,'Fixed Tenure'!AY37-BB37,'Fixed Tenure'!BA37))</f>
        <v>0</v>
      </c>
      <c r="BD37" s="61">
        <f t="shared" si="17"/>
        <v>0</v>
      </c>
      <c r="BE37" s="60">
        <f t="shared" si="18"/>
        <v>0</v>
      </c>
      <c r="BF37" s="193"/>
      <c r="BG37" s="169">
        <v>33</v>
      </c>
      <c r="BH37" s="1">
        <f t="shared" si="34"/>
        <v>46522</v>
      </c>
      <c r="BI37" s="60">
        <f>IF($X37&lt;Input!$H$103,IF($X37&lt;Input!$G$103,IF($X37&lt;Input!$F$103,IF($X37&lt;Input!$E$103,IF($X37&lt;Input!$D$103,Input!$C$109,Input!$D$109),Input!$E$109),Input!$F$109),Input!$G$109),Input!$H$109)</f>
        <v>0</v>
      </c>
      <c r="BJ37" s="190">
        <f>IF($A37&lt;Input!$H$110,IF($A37&lt;Input!$G$110,IF($A37&lt;Input!$F$110,IF($A37&lt;Input!$E$110,IF($A37&lt;Input!$D$110,Input!$C$111,Input!$D$111),Input!$E$111),Input!$F$111),Input!$G$111),Input!$H$111)</f>
        <v>0.9</v>
      </c>
      <c r="BK37" s="60">
        <f t="shared" si="19"/>
        <v>0</v>
      </c>
      <c r="BL37" s="60">
        <f t="shared" si="35"/>
        <v>30</v>
      </c>
      <c r="BM37" s="60">
        <f t="shared" si="20"/>
        <v>0</v>
      </c>
      <c r="BN37" s="60">
        <f>ROUND(BM37*BL37*Input!$C$3/365,0)</f>
        <v>0</v>
      </c>
      <c r="BO37" s="61">
        <f>IF($A37&lt;=Input!$C$6,0,IF('Fixed Tenure'!BK37&lt;'Fixed Tenure'!BM37,'Fixed Tenure'!BK37-BN37,'Fixed Tenure'!BM37))</f>
        <v>0</v>
      </c>
      <c r="BP37" s="61">
        <f t="shared" si="21"/>
        <v>0</v>
      </c>
      <c r="BQ37" s="60">
        <f t="shared" si="22"/>
        <v>0</v>
      </c>
      <c r="BR37" s="198"/>
    </row>
    <row r="38" spans="1:70" x14ac:dyDescent="0.25">
      <c r="A38" s="169">
        <v>34</v>
      </c>
      <c r="B38" s="1">
        <f t="shared" si="23"/>
        <v>46553</v>
      </c>
      <c r="C38" s="60">
        <f t="shared" si="1"/>
        <v>16470000</v>
      </c>
      <c r="D38" s="60">
        <f t="shared" si="2"/>
        <v>14823000</v>
      </c>
      <c r="E38" s="60">
        <f t="shared" si="24"/>
        <v>31</v>
      </c>
      <c r="F38" s="60">
        <f t="shared" si="25"/>
        <v>864833622.22744608</v>
      </c>
      <c r="G38" s="60">
        <f>ROUND(F38*E38*Input!$C$3/365,0)</f>
        <v>11017743</v>
      </c>
      <c r="H38" s="60">
        <f>IF($A38&lt;=Input!$C$6,0,IF('Fixed Tenure'!D38&lt;'Fixed Tenure'!F38,'Fixed Tenure'!D38-G38,'Fixed Tenure'!F38))</f>
        <v>3805257</v>
      </c>
      <c r="I38" s="60">
        <f t="shared" si="26"/>
        <v>14823000</v>
      </c>
      <c r="J38" s="60">
        <f t="shared" si="27"/>
        <v>861028365.22744608</v>
      </c>
      <c r="K38" s="202">
        <f>J38/Input!$K$5</f>
        <v>2.8700945507581537</v>
      </c>
      <c r="L38" s="232"/>
      <c r="M38" s="60">
        <f>IF($B38&lt;Input!$H$43,IF($B38&lt;Input!$G$43,IF($B38&lt;Input!$F$43,IF($B38&lt;Input!$E$43,IF($B38&lt;Input!$D$43,Input!$C$49,Input!$D$49),Input!$E$49),Input!$F$49),Input!$G$49),Input!$H$49)</f>
        <v>16470000</v>
      </c>
      <c r="N38" s="190">
        <f>IF($A38&lt;Input!$H$50,IF($A38&lt;Input!$G$50,IF($A38&lt;Input!$F$50,IF($A38&lt;Input!$E$50,IF($A38&lt;Input!$D$50,Input!$C$51,Input!$D$51),Input!$E$51),Input!$F$51),Input!$G$51),Input!$H$51)</f>
        <v>0.9</v>
      </c>
      <c r="O38" s="60">
        <f t="shared" si="36"/>
        <v>14823000</v>
      </c>
      <c r="P38" s="60">
        <f t="shared" si="37"/>
        <v>31</v>
      </c>
      <c r="Q38" s="60">
        <f t="shared" si="4"/>
        <v>864833622.22744608</v>
      </c>
      <c r="R38" s="60">
        <f>ROUND(Q38*$P38*Input!$C$3/365,0)</f>
        <v>11017743</v>
      </c>
      <c r="S38" s="60">
        <f>IF(A38&lt;=Input!$C$6,0,IF('Fixed Tenure'!O38&lt;'Fixed Tenure'!Q38,'Fixed Tenure'!O38-R38,'Fixed Tenure'!Q38))</f>
        <v>3805257</v>
      </c>
      <c r="T38" s="60">
        <f t="shared" si="5"/>
        <v>14823000</v>
      </c>
      <c r="U38" s="60">
        <f t="shared" si="6"/>
        <v>861028365.22744608</v>
      </c>
      <c r="V38" s="193"/>
      <c r="W38" s="169">
        <v>34</v>
      </c>
      <c r="X38" s="1">
        <f t="shared" si="28"/>
        <v>46553</v>
      </c>
      <c r="Y38" s="60">
        <f>IF($X38&lt;Input!$H$58,IF($X38&lt;Input!$G$58,IF($X38&lt;Input!$F$58,IF($X38&lt;Input!$E$58,IF($X38&lt;Input!$D$58,Input!$C$64,Input!$D$64),Input!$E$64),Input!$F$64),Input!$G$64),Input!$H$64)</f>
        <v>0</v>
      </c>
      <c r="Z38" s="190">
        <f>IF($A38&lt;Input!$H$65,IF($A38&lt;Input!$G$65,IF($A38&lt;Input!$F$65,IF($A38&lt;Input!$E$65,IF($A38&lt;Input!$D$65,Input!$C$66,Input!$D$66),Input!$E$66),Input!$F$66),Input!$G$66),Input!$H$66)</f>
        <v>0.9</v>
      </c>
      <c r="AA38" s="60">
        <f t="shared" si="7"/>
        <v>0</v>
      </c>
      <c r="AB38" s="60">
        <f t="shared" si="29"/>
        <v>31</v>
      </c>
      <c r="AC38" s="60">
        <f t="shared" si="8"/>
        <v>0</v>
      </c>
      <c r="AD38" s="60">
        <f>ROUND(AC38*AB38*Input!$C$3/365,0)</f>
        <v>0</v>
      </c>
      <c r="AE38" s="61">
        <f>IF($A38&lt;=Input!$C$6,0,IF('Fixed Tenure'!AA38&lt;'Fixed Tenure'!AC38,'Fixed Tenure'!AA38-AD38,'Fixed Tenure'!AC38))</f>
        <v>0</v>
      </c>
      <c r="AF38" s="61">
        <f t="shared" si="9"/>
        <v>0</v>
      </c>
      <c r="AG38" s="60">
        <f t="shared" si="10"/>
        <v>0</v>
      </c>
      <c r="AH38" s="193"/>
      <c r="AI38" s="169">
        <v>34</v>
      </c>
      <c r="AJ38" s="1">
        <f t="shared" si="30"/>
        <v>46553</v>
      </c>
      <c r="AK38" s="60">
        <f>IF($X38&lt;Input!$H$73,IF($X38&lt;Input!$G$73,IF($X38&lt;Input!$F$73,IF($X38&lt;Input!$E$73,IF($X38&lt;Input!$D$73,Input!$C$79,Input!$D$79),Input!$E$79),Input!$F$79),Input!$G$79),Input!$H$79)</f>
        <v>0</v>
      </c>
      <c r="AL38" s="190">
        <f>IF($A38&lt;Input!$H$80,IF($A38&lt;Input!$G$80,IF($A38&lt;Input!$F$80,IF($A38&lt;Input!$E$80,IF($A38&lt;Input!$D$80,Input!$C$81,Input!$D$81),Input!$E$81),Input!$F$81),Input!$G$81),Input!$H$81)</f>
        <v>0.9</v>
      </c>
      <c r="AM38" s="60">
        <f t="shared" si="11"/>
        <v>0</v>
      </c>
      <c r="AN38" s="60">
        <f t="shared" si="31"/>
        <v>31</v>
      </c>
      <c r="AO38" s="60">
        <f t="shared" si="12"/>
        <v>0</v>
      </c>
      <c r="AP38" s="60">
        <f>ROUND(AO38*AN38*Input!$C$3/365,0)</f>
        <v>0</v>
      </c>
      <c r="AQ38" s="61">
        <f>IF($A38&lt;=Input!$C$6,0,IF('Fixed Tenure'!AM38&lt;'Fixed Tenure'!AO38,'Fixed Tenure'!AM38-AP38,'Fixed Tenure'!AO38))</f>
        <v>0</v>
      </c>
      <c r="AR38" s="61">
        <f t="shared" si="13"/>
        <v>0</v>
      </c>
      <c r="AS38" s="60">
        <f t="shared" si="14"/>
        <v>0</v>
      </c>
      <c r="AT38" s="193"/>
      <c r="AU38" s="169">
        <v>34</v>
      </c>
      <c r="AV38" s="1">
        <f t="shared" si="32"/>
        <v>46553</v>
      </c>
      <c r="AW38" s="60">
        <f>IF($X38&lt;Input!$H$88,IF($X38&lt;Input!$G$88,IF($X38&lt;Input!$F$88,IF($X38&lt;Input!$E$88,IF($X38&lt;Input!$D$88,Input!$C$94,Input!$D$94),Input!$E$94),Input!$F$94),Input!$G$94),Input!$H$94)</f>
        <v>0</v>
      </c>
      <c r="AX38" s="190">
        <f>IF($A38&lt;Input!$H$95,IF($A38&lt;Input!$G$95,IF($A38&lt;Input!$F$95,IF($A38&lt;Input!$E$95,IF($A38&lt;Input!$D$95,Input!$C$96,Input!$D$96),Input!$E$96),Input!$F$96),Input!$G$96),Input!$H$96)</f>
        <v>0.9</v>
      </c>
      <c r="AY38" s="60">
        <f t="shared" si="15"/>
        <v>0</v>
      </c>
      <c r="AZ38" s="60">
        <f t="shared" si="33"/>
        <v>31</v>
      </c>
      <c r="BA38" s="60">
        <f t="shared" si="16"/>
        <v>0</v>
      </c>
      <c r="BB38" s="60">
        <f>ROUND(BA38*AZ38*Input!$C$3/365,0)</f>
        <v>0</v>
      </c>
      <c r="BC38" s="61">
        <f>IF($A38&lt;=Input!$C$6,0,IF('Fixed Tenure'!AY38&lt;'Fixed Tenure'!BA38,'Fixed Tenure'!AY38-BB38,'Fixed Tenure'!BA38))</f>
        <v>0</v>
      </c>
      <c r="BD38" s="61">
        <f t="shared" si="17"/>
        <v>0</v>
      </c>
      <c r="BE38" s="60">
        <f t="shared" si="18"/>
        <v>0</v>
      </c>
      <c r="BF38" s="193"/>
      <c r="BG38" s="169">
        <v>34</v>
      </c>
      <c r="BH38" s="1">
        <f t="shared" si="34"/>
        <v>46553</v>
      </c>
      <c r="BI38" s="60">
        <f>IF($X38&lt;Input!$H$103,IF($X38&lt;Input!$G$103,IF($X38&lt;Input!$F$103,IF($X38&lt;Input!$E$103,IF($X38&lt;Input!$D$103,Input!$C$109,Input!$D$109),Input!$E$109),Input!$F$109),Input!$G$109),Input!$H$109)</f>
        <v>0</v>
      </c>
      <c r="BJ38" s="190">
        <f>IF($A38&lt;Input!$H$110,IF($A38&lt;Input!$G$110,IF($A38&lt;Input!$F$110,IF($A38&lt;Input!$E$110,IF($A38&lt;Input!$D$110,Input!$C$111,Input!$D$111),Input!$E$111),Input!$F$111),Input!$G$111),Input!$H$111)</f>
        <v>0.9</v>
      </c>
      <c r="BK38" s="60">
        <f t="shared" si="19"/>
        <v>0</v>
      </c>
      <c r="BL38" s="60">
        <f t="shared" si="35"/>
        <v>31</v>
      </c>
      <c r="BM38" s="60">
        <f t="shared" si="20"/>
        <v>0</v>
      </c>
      <c r="BN38" s="60">
        <f>ROUND(BM38*BL38*Input!$C$3/365,0)</f>
        <v>0</v>
      </c>
      <c r="BO38" s="61">
        <f>IF($A38&lt;=Input!$C$6,0,IF('Fixed Tenure'!BK38&lt;'Fixed Tenure'!BM38,'Fixed Tenure'!BK38-BN38,'Fixed Tenure'!BM38))</f>
        <v>0</v>
      </c>
      <c r="BP38" s="61">
        <f t="shared" si="21"/>
        <v>0</v>
      </c>
      <c r="BQ38" s="60">
        <f t="shared" si="22"/>
        <v>0</v>
      </c>
      <c r="BR38" s="198"/>
    </row>
    <row r="39" spans="1:70" x14ac:dyDescent="0.25">
      <c r="A39" s="169">
        <v>35</v>
      </c>
      <c r="B39" s="1">
        <f t="shared" si="23"/>
        <v>46583</v>
      </c>
      <c r="C39" s="60">
        <f t="shared" si="1"/>
        <v>16470000</v>
      </c>
      <c r="D39" s="60">
        <f t="shared" si="2"/>
        <v>14823000</v>
      </c>
      <c r="E39" s="60">
        <f t="shared" si="24"/>
        <v>30</v>
      </c>
      <c r="F39" s="60">
        <f t="shared" si="25"/>
        <v>861028365.22744608</v>
      </c>
      <c r="G39" s="60">
        <f>ROUND(F39*E39*Input!$C$3/365,0)</f>
        <v>10615418</v>
      </c>
      <c r="H39" s="60">
        <f>IF($A39&lt;=Input!$C$6,0,IF('Fixed Tenure'!D39&lt;'Fixed Tenure'!F39,'Fixed Tenure'!D39-G39,'Fixed Tenure'!F39))</f>
        <v>4207582</v>
      </c>
      <c r="I39" s="60">
        <f t="shared" si="26"/>
        <v>14823000</v>
      </c>
      <c r="J39" s="60">
        <f t="shared" si="27"/>
        <v>856820783.22744608</v>
      </c>
      <c r="K39" s="202">
        <f>J39/Input!$K$5</f>
        <v>2.8560692774248202</v>
      </c>
      <c r="L39" s="232"/>
      <c r="M39" s="60">
        <f>IF($B39&lt;Input!$H$43,IF($B39&lt;Input!$G$43,IF($B39&lt;Input!$F$43,IF($B39&lt;Input!$E$43,IF($B39&lt;Input!$D$43,Input!$C$49,Input!$D$49),Input!$E$49),Input!$F$49),Input!$G$49),Input!$H$49)</f>
        <v>16470000</v>
      </c>
      <c r="N39" s="190">
        <f>IF($A39&lt;Input!$H$50,IF($A39&lt;Input!$G$50,IF($A39&lt;Input!$F$50,IF($A39&lt;Input!$E$50,IF($A39&lt;Input!$D$50,Input!$C$51,Input!$D$51),Input!$E$51),Input!$F$51),Input!$G$51),Input!$H$51)</f>
        <v>0.9</v>
      </c>
      <c r="O39" s="60">
        <f t="shared" si="36"/>
        <v>14823000</v>
      </c>
      <c r="P39" s="60">
        <f t="shared" si="37"/>
        <v>30</v>
      </c>
      <c r="Q39" s="60">
        <f t="shared" si="4"/>
        <v>861028365.22744608</v>
      </c>
      <c r="R39" s="60">
        <f>ROUND(Q39*$P39*Input!$C$3/365,0)</f>
        <v>10615418</v>
      </c>
      <c r="S39" s="60">
        <f>IF(A39&lt;=Input!$C$6,0,IF('Fixed Tenure'!O39&lt;'Fixed Tenure'!Q39,'Fixed Tenure'!O39-R39,'Fixed Tenure'!Q39))</f>
        <v>4207582</v>
      </c>
      <c r="T39" s="60">
        <f t="shared" si="5"/>
        <v>14823000</v>
      </c>
      <c r="U39" s="60">
        <f t="shared" si="6"/>
        <v>856820783.22744608</v>
      </c>
      <c r="V39" s="193"/>
      <c r="W39" s="169">
        <v>35</v>
      </c>
      <c r="X39" s="1">
        <f t="shared" si="28"/>
        <v>46583</v>
      </c>
      <c r="Y39" s="60">
        <f>IF($X39&lt;Input!$H$58,IF($X39&lt;Input!$G$58,IF($X39&lt;Input!$F$58,IF($X39&lt;Input!$E$58,IF($X39&lt;Input!$D$58,Input!$C$64,Input!$D$64),Input!$E$64),Input!$F$64),Input!$G$64),Input!$H$64)</f>
        <v>0</v>
      </c>
      <c r="Z39" s="190">
        <f>IF($A39&lt;Input!$H$65,IF($A39&lt;Input!$G$65,IF($A39&lt;Input!$F$65,IF($A39&lt;Input!$E$65,IF($A39&lt;Input!$D$65,Input!$C$66,Input!$D$66),Input!$E$66),Input!$F$66),Input!$G$66),Input!$H$66)</f>
        <v>0.9</v>
      </c>
      <c r="AA39" s="60">
        <f t="shared" si="7"/>
        <v>0</v>
      </c>
      <c r="AB39" s="60">
        <f t="shared" si="29"/>
        <v>30</v>
      </c>
      <c r="AC39" s="60">
        <f t="shared" si="8"/>
        <v>0</v>
      </c>
      <c r="AD39" s="60">
        <f>ROUND(AC39*AB39*Input!$C$3/365,0)</f>
        <v>0</v>
      </c>
      <c r="AE39" s="61">
        <f>IF($A39&lt;=Input!$C$6,0,IF('Fixed Tenure'!AA39&lt;'Fixed Tenure'!AC39,'Fixed Tenure'!AA39-AD39,'Fixed Tenure'!AC39))</f>
        <v>0</v>
      </c>
      <c r="AF39" s="61">
        <f t="shared" si="9"/>
        <v>0</v>
      </c>
      <c r="AG39" s="60">
        <f t="shared" si="10"/>
        <v>0</v>
      </c>
      <c r="AH39" s="193"/>
      <c r="AI39" s="169">
        <v>35</v>
      </c>
      <c r="AJ39" s="1">
        <f t="shared" si="30"/>
        <v>46583</v>
      </c>
      <c r="AK39" s="60">
        <f>IF($X39&lt;Input!$H$73,IF($X39&lt;Input!$G$73,IF($X39&lt;Input!$F$73,IF($X39&lt;Input!$E$73,IF($X39&lt;Input!$D$73,Input!$C$79,Input!$D$79),Input!$E$79),Input!$F$79),Input!$G$79),Input!$H$79)</f>
        <v>0</v>
      </c>
      <c r="AL39" s="190">
        <f>IF($A39&lt;Input!$H$80,IF($A39&lt;Input!$G$80,IF($A39&lt;Input!$F$80,IF($A39&lt;Input!$E$80,IF($A39&lt;Input!$D$80,Input!$C$81,Input!$D$81),Input!$E$81),Input!$F$81),Input!$G$81),Input!$H$81)</f>
        <v>0.9</v>
      </c>
      <c r="AM39" s="60">
        <f t="shared" si="11"/>
        <v>0</v>
      </c>
      <c r="AN39" s="60">
        <f t="shared" si="31"/>
        <v>30</v>
      </c>
      <c r="AO39" s="60">
        <f t="shared" si="12"/>
        <v>0</v>
      </c>
      <c r="AP39" s="60">
        <f>ROUND(AO39*AN39*Input!$C$3/365,0)</f>
        <v>0</v>
      </c>
      <c r="AQ39" s="61">
        <f>IF($A39&lt;=Input!$C$6,0,IF('Fixed Tenure'!AM39&lt;'Fixed Tenure'!AO39,'Fixed Tenure'!AM39-AP39,'Fixed Tenure'!AO39))</f>
        <v>0</v>
      </c>
      <c r="AR39" s="61">
        <f t="shared" si="13"/>
        <v>0</v>
      </c>
      <c r="AS39" s="60">
        <f t="shared" si="14"/>
        <v>0</v>
      </c>
      <c r="AT39" s="193"/>
      <c r="AU39" s="169">
        <v>35</v>
      </c>
      <c r="AV39" s="1">
        <f t="shared" si="32"/>
        <v>46583</v>
      </c>
      <c r="AW39" s="60">
        <f>IF($X39&lt;Input!$H$88,IF($X39&lt;Input!$G$88,IF($X39&lt;Input!$F$88,IF($X39&lt;Input!$E$88,IF($X39&lt;Input!$D$88,Input!$C$94,Input!$D$94),Input!$E$94),Input!$F$94),Input!$G$94),Input!$H$94)</f>
        <v>0</v>
      </c>
      <c r="AX39" s="190">
        <f>IF($A39&lt;Input!$H$95,IF($A39&lt;Input!$G$95,IF($A39&lt;Input!$F$95,IF($A39&lt;Input!$E$95,IF($A39&lt;Input!$D$95,Input!$C$96,Input!$D$96),Input!$E$96),Input!$F$96),Input!$G$96),Input!$H$96)</f>
        <v>0.9</v>
      </c>
      <c r="AY39" s="60">
        <f t="shared" si="15"/>
        <v>0</v>
      </c>
      <c r="AZ39" s="60">
        <f t="shared" si="33"/>
        <v>30</v>
      </c>
      <c r="BA39" s="60">
        <f t="shared" si="16"/>
        <v>0</v>
      </c>
      <c r="BB39" s="60">
        <f>ROUND(BA39*AZ39*Input!$C$3/365,0)</f>
        <v>0</v>
      </c>
      <c r="BC39" s="61">
        <f>IF($A39&lt;=Input!$C$6,0,IF('Fixed Tenure'!AY39&lt;'Fixed Tenure'!BA39,'Fixed Tenure'!AY39-BB39,'Fixed Tenure'!BA39))</f>
        <v>0</v>
      </c>
      <c r="BD39" s="61">
        <f t="shared" si="17"/>
        <v>0</v>
      </c>
      <c r="BE39" s="60">
        <f t="shared" si="18"/>
        <v>0</v>
      </c>
      <c r="BF39" s="193"/>
      <c r="BG39" s="169">
        <v>35</v>
      </c>
      <c r="BH39" s="1">
        <f t="shared" si="34"/>
        <v>46583</v>
      </c>
      <c r="BI39" s="60">
        <f>IF($X39&lt;Input!$H$103,IF($X39&lt;Input!$G$103,IF($X39&lt;Input!$F$103,IF($X39&lt;Input!$E$103,IF($X39&lt;Input!$D$103,Input!$C$109,Input!$D$109),Input!$E$109),Input!$F$109),Input!$G$109),Input!$H$109)</f>
        <v>0</v>
      </c>
      <c r="BJ39" s="190">
        <f>IF($A39&lt;Input!$H$110,IF($A39&lt;Input!$G$110,IF($A39&lt;Input!$F$110,IF($A39&lt;Input!$E$110,IF($A39&lt;Input!$D$110,Input!$C$111,Input!$D$111),Input!$E$111),Input!$F$111),Input!$G$111),Input!$H$111)</f>
        <v>0.9</v>
      </c>
      <c r="BK39" s="60">
        <f t="shared" si="19"/>
        <v>0</v>
      </c>
      <c r="BL39" s="60">
        <f t="shared" si="35"/>
        <v>30</v>
      </c>
      <c r="BM39" s="60">
        <f t="shared" si="20"/>
        <v>0</v>
      </c>
      <c r="BN39" s="60">
        <f>ROUND(BM39*BL39*Input!$C$3/365,0)</f>
        <v>0</v>
      </c>
      <c r="BO39" s="61">
        <f>IF($A39&lt;=Input!$C$6,0,IF('Fixed Tenure'!BK39&lt;'Fixed Tenure'!BM39,'Fixed Tenure'!BK39-BN39,'Fixed Tenure'!BM39))</f>
        <v>0</v>
      </c>
      <c r="BP39" s="61">
        <f t="shared" si="21"/>
        <v>0</v>
      </c>
      <c r="BQ39" s="60">
        <f t="shared" si="22"/>
        <v>0</v>
      </c>
      <c r="BR39" s="198"/>
    </row>
    <row r="40" spans="1:70" x14ac:dyDescent="0.25">
      <c r="A40" s="169">
        <v>36</v>
      </c>
      <c r="B40" s="1">
        <f t="shared" si="23"/>
        <v>46614</v>
      </c>
      <c r="C40" s="60">
        <f t="shared" si="1"/>
        <v>16470000</v>
      </c>
      <c r="D40" s="60">
        <f t="shared" si="2"/>
        <v>14823000</v>
      </c>
      <c r="E40" s="60">
        <f t="shared" si="24"/>
        <v>31</v>
      </c>
      <c r="F40" s="60">
        <f t="shared" si="25"/>
        <v>856820783.22744608</v>
      </c>
      <c r="G40" s="60">
        <f>ROUND(F40*E40*Input!$C$3/365,0)</f>
        <v>10915662</v>
      </c>
      <c r="H40" s="60">
        <f>IF($A40&lt;=Input!$C$6,0,IF('Fixed Tenure'!D40&lt;'Fixed Tenure'!F40,'Fixed Tenure'!D40-G40,'Fixed Tenure'!F40))</f>
        <v>3907338</v>
      </c>
      <c r="I40" s="60">
        <f t="shared" si="26"/>
        <v>14823000</v>
      </c>
      <c r="J40" s="60">
        <f t="shared" si="27"/>
        <v>852913445.22744608</v>
      </c>
      <c r="K40" s="202">
        <f>J40/Input!$K$5</f>
        <v>2.8430448174248202</v>
      </c>
      <c r="L40" s="232"/>
      <c r="M40" s="60">
        <f>IF($B40&lt;Input!$H$43,IF($B40&lt;Input!$G$43,IF($B40&lt;Input!$F$43,IF($B40&lt;Input!$E$43,IF($B40&lt;Input!$D$43,Input!$C$49,Input!$D$49),Input!$E$49),Input!$F$49),Input!$G$49),Input!$H$49)</f>
        <v>16470000</v>
      </c>
      <c r="N40" s="190">
        <f>IF($A40&lt;Input!$H$50,IF($A40&lt;Input!$G$50,IF($A40&lt;Input!$F$50,IF($A40&lt;Input!$E$50,IF($A40&lt;Input!$D$50,Input!$C$51,Input!$D$51),Input!$E$51),Input!$F$51),Input!$G$51),Input!$H$51)</f>
        <v>0.9</v>
      </c>
      <c r="O40" s="60">
        <f t="shared" si="36"/>
        <v>14823000</v>
      </c>
      <c r="P40" s="60">
        <f t="shared" si="37"/>
        <v>31</v>
      </c>
      <c r="Q40" s="60">
        <f t="shared" si="4"/>
        <v>856820783.22744608</v>
      </c>
      <c r="R40" s="60">
        <f>ROUND(Q40*$P40*Input!$C$3/365,0)</f>
        <v>10915662</v>
      </c>
      <c r="S40" s="60">
        <f>IF(A40&lt;=Input!$C$6,0,IF('Fixed Tenure'!O40&lt;'Fixed Tenure'!Q40,'Fixed Tenure'!O40-R40,'Fixed Tenure'!Q40))</f>
        <v>3907338</v>
      </c>
      <c r="T40" s="60">
        <f t="shared" si="5"/>
        <v>14823000</v>
      </c>
      <c r="U40" s="60">
        <f t="shared" si="6"/>
        <v>852913445.22744608</v>
      </c>
      <c r="V40" s="193"/>
      <c r="W40" s="169">
        <v>36</v>
      </c>
      <c r="X40" s="1">
        <f t="shared" si="28"/>
        <v>46614</v>
      </c>
      <c r="Y40" s="60">
        <f>IF($X40&lt;Input!$H$58,IF($X40&lt;Input!$G$58,IF($X40&lt;Input!$F$58,IF($X40&lt;Input!$E$58,IF($X40&lt;Input!$D$58,Input!$C$64,Input!$D$64),Input!$E$64),Input!$F$64),Input!$G$64),Input!$H$64)</f>
        <v>0</v>
      </c>
      <c r="Z40" s="190">
        <f>IF($A40&lt;Input!$H$65,IF($A40&lt;Input!$G$65,IF($A40&lt;Input!$F$65,IF($A40&lt;Input!$E$65,IF($A40&lt;Input!$D$65,Input!$C$66,Input!$D$66),Input!$E$66),Input!$F$66),Input!$G$66),Input!$H$66)</f>
        <v>0.9</v>
      </c>
      <c r="AA40" s="60">
        <f t="shared" si="7"/>
        <v>0</v>
      </c>
      <c r="AB40" s="60">
        <f t="shared" si="29"/>
        <v>31</v>
      </c>
      <c r="AC40" s="60">
        <f t="shared" si="8"/>
        <v>0</v>
      </c>
      <c r="AD40" s="60">
        <f>ROUND(AC40*AB40*Input!$C$3/365,0)</f>
        <v>0</v>
      </c>
      <c r="AE40" s="61">
        <f>IF($A40&lt;=Input!$C$6,0,IF('Fixed Tenure'!AA40&lt;'Fixed Tenure'!AC40,'Fixed Tenure'!AA40-AD40,'Fixed Tenure'!AC40))</f>
        <v>0</v>
      </c>
      <c r="AF40" s="61">
        <f t="shared" si="9"/>
        <v>0</v>
      </c>
      <c r="AG40" s="60">
        <f t="shared" si="10"/>
        <v>0</v>
      </c>
      <c r="AH40" s="193"/>
      <c r="AI40" s="169">
        <v>36</v>
      </c>
      <c r="AJ40" s="1">
        <f t="shared" si="30"/>
        <v>46614</v>
      </c>
      <c r="AK40" s="60">
        <f>IF($X40&lt;Input!$H$73,IF($X40&lt;Input!$G$73,IF($X40&lt;Input!$F$73,IF($X40&lt;Input!$E$73,IF($X40&lt;Input!$D$73,Input!$C$79,Input!$D$79),Input!$E$79),Input!$F$79),Input!$G$79),Input!$H$79)</f>
        <v>0</v>
      </c>
      <c r="AL40" s="190">
        <f>IF($A40&lt;Input!$H$80,IF($A40&lt;Input!$G$80,IF($A40&lt;Input!$F$80,IF($A40&lt;Input!$E$80,IF($A40&lt;Input!$D$80,Input!$C$81,Input!$D$81),Input!$E$81),Input!$F$81),Input!$G$81),Input!$H$81)</f>
        <v>0.9</v>
      </c>
      <c r="AM40" s="60">
        <f t="shared" si="11"/>
        <v>0</v>
      </c>
      <c r="AN40" s="60">
        <f t="shared" si="31"/>
        <v>31</v>
      </c>
      <c r="AO40" s="60">
        <f t="shared" si="12"/>
        <v>0</v>
      </c>
      <c r="AP40" s="60">
        <f>ROUND(AO40*AN40*Input!$C$3/365,0)</f>
        <v>0</v>
      </c>
      <c r="AQ40" s="61">
        <f>IF($A40&lt;=Input!$C$6,0,IF('Fixed Tenure'!AM40&lt;'Fixed Tenure'!AO40,'Fixed Tenure'!AM40-AP40,'Fixed Tenure'!AO40))</f>
        <v>0</v>
      </c>
      <c r="AR40" s="61">
        <f t="shared" si="13"/>
        <v>0</v>
      </c>
      <c r="AS40" s="60">
        <f t="shared" si="14"/>
        <v>0</v>
      </c>
      <c r="AT40" s="193"/>
      <c r="AU40" s="169">
        <v>36</v>
      </c>
      <c r="AV40" s="1">
        <f t="shared" si="32"/>
        <v>46614</v>
      </c>
      <c r="AW40" s="60">
        <f>IF($X40&lt;Input!$H$88,IF($X40&lt;Input!$G$88,IF($X40&lt;Input!$F$88,IF($X40&lt;Input!$E$88,IF($X40&lt;Input!$D$88,Input!$C$94,Input!$D$94),Input!$E$94),Input!$F$94),Input!$G$94),Input!$H$94)</f>
        <v>0</v>
      </c>
      <c r="AX40" s="190">
        <f>IF($A40&lt;Input!$H$95,IF($A40&lt;Input!$G$95,IF($A40&lt;Input!$F$95,IF($A40&lt;Input!$E$95,IF($A40&lt;Input!$D$95,Input!$C$96,Input!$D$96),Input!$E$96),Input!$F$96),Input!$G$96),Input!$H$96)</f>
        <v>0.9</v>
      </c>
      <c r="AY40" s="60">
        <f t="shared" si="15"/>
        <v>0</v>
      </c>
      <c r="AZ40" s="60">
        <f t="shared" si="33"/>
        <v>31</v>
      </c>
      <c r="BA40" s="60">
        <f t="shared" si="16"/>
        <v>0</v>
      </c>
      <c r="BB40" s="60">
        <f>ROUND(BA40*AZ40*Input!$C$3/365,0)</f>
        <v>0</v>
      </c>
      <c r="BC40" s="61">
        <f>IF($A40&lt;=Input!$C$6,0,IF('Fixed Tenure'!AY40&lt;'Fixed Tenure'!BA40,'Fixed Tenure'!AY40-BB40,'Fixed Tenure'!BA40))</f>
        <v>0</v>
      </c>
      <c r="BD40" s="61">
        <f t="shared" si="17"/>
        <v>0</v>
      </c>
      <c r="BE40" s="60">
        <f t="shared" si="18"/>
        <v>0</v>
      </c>
      <c r="BF40" s="193"/>
      <c r="BG40" s="169">
        <v>36</v>
      </c>
      <c r="BH40" s="1">
        <f t="shared" si="34"/>
        <v>46614</v>
      </c>
      <c r="BI40" s="60">
        <f>IF($X40&lt;Input!$H$103,IF($X40&lt;Input!$G$103,IF($X40&lt;Input!$F$103,IF($X40&lt;Input!$E$103,IF($X40&lt;Input!$D$103,Input!$C$109,Input!$D$109),Input!$E$109),Input!$F$109),Input!$G$109),Input!$H$109)</f>
        <v>0</v>
      </c>
      <c r="BJ40" s="190">
        <f>IF($A40&lt;Input!$H$110,IF($A40&lt;Input!$G$110,IF($A40&lt;Input!$F$110,IF($A40&lt;Input!$E$110,IF($A40&lt;Input!$D$110,Input!$C$111,Input!$D$111),Input!$E$111),Input!$F$111),Input!$G$111),Input!$H$111)</f>
        <v>0.9</v>
      </c>
      <c r="BK40" s="60">
        <f t="shared" si="19"/>
        <v>0</v>
      </c>
      <c r="BL40" s="60">
        <f t="shared" si="35"/>
        <v>31</v>
      </c>
      <c r="BM40" s="60">
        <f t="shared" si="20"/>
        <v>0</v>
      </c>
      <c r="BN40" s="60">
        <f>ROUND(BM40*BL40*Input!$C$3/365,0)</f>
        <v>0</v>
      </c>
      <c r="BO40" s="61">
        <f>IF($A40&lt;=Input!$C$6,0,IF('Fixed Tenure'!BK40&lt;'Fixed Tenure'!BM40,'Fixed Tenure'!BK40-BN40,'Fixed Tenure'!BM40))</f>
        <v>0</v>
      </c>
      <c r="BP40" s="61">
        <f t="shared" si="21"/>
        <v>0</v>
      </c>
      <c r="BQ40" s="60">
        <f t="shared" si="22"/>
        <v>0</v>
      </c>
      <c r="BR40" s="198"/>
    </row>
    <row r="41" spans="1:70" x14ac:dyDescent="0.25">
      <c r="A41" s="169">
        <v>37</v>
      </c>
      <c r="B41" s="1">
        <f t="shared" si="23"/>
        <v>46645</v>
      </c>
      <c r="C41" s="60">
        <f t="shared" si="1"/>
        <v>18940500</v>
      </c>
      <c r="D41" s="60">
        <f t="shared" si="2"/>
        <v>17046450</v>
      </c>
      <c r="E41" s="60">
        <f t="shared" si="24"/>
        <v>31</v>
      </c>
      <c r="F41" s="60">
        <f t="shared" si="25"/>
        <v>852913445.22744608</v>
      </c>
      <c r="G41" s="60">
        <f>ROUND(F41*E41*Input!$C$3/365,0)</f>
        <v>10865884</v>
      </c>
      <c r="H41" s="60">
        <f>IF($A41&lt;=Input!$C$6,0,IF('Fixed Tenure'!D41&lt;'Fixed Tenure'!F41,'Fixed Tenure'!D41-G41,'Fixed Tenure'!F41))</f>
        <v>6180566</v>
      </c>
      <c r="I41" s="60">
        <f t="shared" si="26"/>
        <v>17046450</v>
      </c>
      <c r="J41" s="60">
        <f t="shared" si="27"/>
        <v>846732879.22744608</v>
      </c>
      <c r="K41" s="202">
        <f>J41/Input!$K$5</f>
        <v>2.8224429307581538</v>
      </c>
      <c r="L41" s="232"/>
      <c r="M41" s="60">
        <f>IF($B41&lt;Input!$H$43,IF($B41&lt;Input!$G$43,IF($B41&lt;Input!$F$43,IF($B41&lt;Input!$E$43,IF($B41&lt;Input!$D$43,Input!$C$49,Input!$D$49),Input!$E$49),Input!$F$49),Input!$G$49),Input!$H$49)</f>
        <v>18940500</v>
      </c>
      <c r="N41" s="190">
        <f>IF($A41&lt;Input!$H$50,IF($A41&lt;Input!$G$50,IF($A41&lt;Input!$F$50,IF($A41&lt;Input!$E$50,IF($A41&lt;Input!$D$50,Input!$C$51,Input!$D$51),Input!$E$51),Input!$F$51),Input!$G$51),Input!$H$51)</f>
        <v>0.9</v>
      </c>
      <c r="O41" s="60">
        <f t="shared" si="36"/>
        <v>17046450</v>
      </c>
      <c r="P41" s="60">
        <f t="shared" si="37"/>
        <v>31</v>
      </c>
      <c r="Q41" s="60">
        <f t="shared" si="4"/>
        <v>852913445.22744608</v>
      </c>
      <c r="R41" s="60">
        <f>ROUND(Q41*$P41*Input!$C$3/365,0)</f>
        <v>10865884</v>
      </c>
      <c r="S41" s="60">
        <f>IF(A41&lt;=Input!$C$6,0,IF('Fixed Tenure'!O41&lt;'Fixed Tenure'!Q41,'Fixed Tenure'!O41-R41,'Fixed Tenure'!Q41))</f>
        <v>6180566</v>
      </c>
      <c r="T41" s="60">
        <f t="shared" si="5"/>
        <v>17046450</v>
      </c>
      <c r="U41" s="60">
        <f t="shared" si="6"/>
        <v>846732879.22744608</v>
      </c>
      <c r="V41" s="193"/>
      <c r="W41" s="169">
        <v>37</v>
      </c>
      <c r="X41" s="1">
        <f t="shared" si="28"/>
        <v>46645</v>
      </c>
      <c r="Y41" s="60">
        <f>IF($X41&lt;Input!$H$58,IF($X41&lt;Input!$G$58,IF($X41&lt;Input!$F$58,IF($X41&lt;Input!$E$58,IF($X41&lt;Input!$D$58,Input!$C$64,Input!$D$64),Input!$E$64),Input!$F$64),Input!$G$64),Input!$H$64)</f>
        <v>0</v>
      </c>
      <c r="Z41" s="190">
        <f>IF($A41&lt;Input!$H$65,IF($A41&lt;Input!$G$65,IF($A41&lt;Input!$F$65,IF($A41&lt;Input!$E$65,IF($A41&lt;Input!$D$65,Input!$C$66,Input!$D$66),Input!$E$66),Input!$F$66),Input!$G$66),Input!$H$66)</f>
        <v>0.9</v>
      </c>
      <c r="AA41" s="60">
        <f t="shared" si="7"/>
        <v>0</v>
      </c>
      <c r="AB41" s="60">
        <f t="shared" si="29"/>
        <v>31</v>
      </c>
      <c r="AC41" s="60">
        <f t="shared" si="8"/>
        <v>0</v>
      </c>
      <c r="AD41" s="60">
        <f>ROUND(AC41*AB41*Input!$C$3/365,0)</f>
        <v>0</v>
      </c>
      <c r="AE41" s="61">
        <f>IF($A41&lt;=Input!$C$6,0,IF('Fixed Tenure'!AA41&lt;'Fixed Tenure'!AC41,'Fixed Tenure'!AA41-AD41,'Fixed Tenure'!AC41))</f>
        <v>0</v>
      </c>
      <c r="AF41" s="61">
        <f t="shared" si="9"/>
        <v>0</v>
      </c>
      <c r="AG41" s="60">
        <f t="shared" si="10"/>
        <v>0</v>
      </c>
      <c r="AH41" s="193"/>
      <c r="AI41" s="169">
        <v>37</v>
      </c>
      <c r="AJ41" s="1">
        <f t="shared" si="30"/>
        <v>46645</v>
      </c>
      <c r="AK41" s="60">
        <f>IF($X41&lt;Input!$H$73,IF($X41&lt;Input!$G$73,IF($X41&lt;Input!$F$73,IF($X41&lt;Input!$E$73,IF($X41&lt;Input!$D$73,Input!$C$79,Input!$D$79),Input!$E$79),Input!$F$79),Input!$G$79),Input!$H$79)</f>
        <v>0</v>
      </c>
      <c r="AL41" s="190">
        <f>IF($A41&lt;Input!$H$80,IF($A41&lt;Input!$G$80,IF($A41&lt;Input!$F$80,IF($A41&lt;Input!$E$80,IF($A41&lt;Input!$D$80,Input!$C$81,Input!$D$81),Input!$E$81),Input!$F$81),Input!$G$81),Input!$H$81)</f>
        <v>0.9</v>
      </c>
      <c r="AM41" s="60">
        <f t="shared" si="11"/>
        <v>0</v>
      </c>
      <c r="AN41" s="60">
        <f t="shared" si="31"/>
        <v>31</v>
      </c>
      <c r="AO41" s="60">
        <f t="shared" si="12"/>
        <v>0</v>
      </c>
      <c r="AP41" s="60">
        <f>ROUND(AO41*AN41*Input!$C$3/365,0)</f>
        <v>0</v>
      </c>
      <c r="AQ41" s="61">
        <f>IF($A41&lt;=Input!$C$6,0,IF('Fixed Tenure'!AM41&lt;'Fixed Tenure'!AO41,'Fixed Tenure'!AM41-AP41,'Fixed Tenure'!AO41))</f>
        <v>0</v>
      </c>
      <c r="AR41" s="61">
        <f t="shared" si="13"/>
        <v>0</v>
      </c>
      <c r="AS41" s="60">
        <f t="shared" si="14"/>
        <v>0</v>
      </c>
      <c r="AT41" s="193"/>
      <c r="AU41" s="169">
        <v>37</v>
      </c>
      <c r="AV41" s="1">
        <f t="shared" si="32"/>
        <v>46645</v>
      </c>
      <c r="AW41" s="60">
        <f>IF($X41&lt;Input!$H$88,IF($X41&lt;Input!$G$88,IF($X41&lt;Input!$F$88,IF($X41&lt;Input!$E$88,IF($X41&lt;Input!$D$88,Input!$C$94,Input!$D$94),Input!$E$94),Input!$F$94),Input!$G$94),Input!$H$94)</f>
        <v>0</v>
      </c>
      <c r="AX41" s="190">
        <f>IF($A41&lt;Input!$H$95,IF($A41&lt;Input!$G$95,IF($A41&lt;Input!$F$95,IF($A41&lt;Input!$E$95,IF($A41&lt;Input!$D$95,Input!$C$96,Input!$D$96),Input!$E$96),Input!$F$96),Input!$G$96),Input!$H$96)</f>
        <v>0.9</v>
      </c>
      <c r="AY41" s="60">
        <f t="shared" si="15"/>
        <v>0</v>
      </c>
      <c r="AZ41" s="60">
        <f t="shared" si="33"/>
        <v>31</v>
      </c>
      <c r="BA41" s="60">
        <f t="shared" si="16"/>
        <v>0</v>
      </c>
      <c r="BB41" s="60">
        <f>ROUND(BA41*AZ41*Input!$C$3/365,0)</f>
        <v>0</v>
      </c>
      <c r="BC41" s="61">
        <f>IF($A41&lt;=Input!$C$6,0,IF('Fixed Tenure'!AY41&lt;'Fixed Tenure'!BA41,'Fixed Tenure'!AY41-BB41,'Fixed Tenure'!BA41))</f>
        <v>0</v>
      </c>
      <c r="BD41" s="61">
        <f t="shared" si="17"/>
        <v>0</v>
      </c>
      <c r="BE41" s="60">
        <f t="shared" si="18"/>
        <v>0</v>
      </c>
      <c r="BF41" s="193"/>
      <c r="BG41" s="169">
        <v>37</v>
      </c>
      <c r="BH41" s="1">
        <f t="shared" si="34"/>
        <v>46645</v>
      </c>
      <c r="BI41" s="60">
        <f>IF($X41&lt;Input!$H$103,IF($X41&lt;Input!$G$103,IF($X41&lt;Input!$F$103,IF($X41&lt;Input!$E$103,IF($X41&lt;Input!$D$103,Input!$C$109,Input!$D$109),Input!$E$109),Input!$F$109),Input!$G$109),Input!$H$109)</f>
        <v>0</v>
      </c>
      <c r="BJ41" s="190">
        <f>IF($A41&lt;Input!$H$110,IF($A41&lt;Input!$G$110,IF($A41&lt;Input!$F$110,IF($A41&lt;Input!$E$110,IF($A41&lt;Input!$D$110,Input!$C$111,Input!$D$111),Input!$E$111),Input!$F$111),Input!$G$111),Input!$H$111)</f>
        <v>0.9</v>
      </c>
      <c r="BK41" s="60">
        <f t="shared" si="19"/>
        <v>0</v>
      </c>
      <c r="BL41" s="60">
        <f t="shared" si="35"/>
        <v>31</v>
      </c>
      <c r="BM41" s="60">
        <f t="shared" si="20"/>
        <v>0</v>
      </c>
      <c r="BN41" s="60">
        <f>ROUND(BM41*BL41*Input!$C$3/365,0)</f>
        <v>0</v>
      </c>
      <c r="BO41" s="61">
        <f>IF($A41&lt;=Input!$C$6,0,IF('Fixed Tenure'!BK41&lt;'Fixed Tenure'!BM41,'Fixed Tenure'!BK41-BN41,'Fixed Tenure'!BM41))</f>
        <v>0</v>
      </c>
      <c r="BP41" s="61">
        <f t="shared" si="21"/>
        <v>0</v>
      </c>
      <c r="BQ41" s="60">
        <f t="shared" si="22"/>
        <v>0</v>
      </c>
      <c r="BR41" s="198"/>
    </row>
    <row r="42" spans="1:70" x14ac:dyDescent="0.25">
      <c r="A42" s="169">
        <v>38</v>
      </c>
      <c r="B42" s="1">
        <f t="shared" si="23"/>
        <v>46675</v>
      </c>
      <c r="C42" s="60">
        <f t="shared" si="1"/>
        <v>18940500</v>
      </c>
      <c r="D42" s="60">
        <f t="shared" si="2"/>
        <v>17046450</v>
      </c>
      <c r="E42" s="60">
        <f t="shared" si="24"/>
        <v>30</v>
      </c>
      <c r="F42" s="60">
        <f t="shared" si="25"/>
        <v>846732879.22744608</v>
      </c>
      <c r="G42" s="60">
        <f>ROUND(F42*E42*Input!$C$3/365,0)</f>
        <v>10439172</v>
      </c>
      <c r="H42" s="60">
        <f>IF($A42&lt;=Input!$C$6,0,IF('Fixed Tenure'!D42&lt;'Fixed Tenure'!F42,'Fixed Tenure'!D42-G42,'Fixed Tenure'!F42))</f>
        <v>6607278</v>
      </c>
      <c r="I42" s="60">
        <f t="shared" si="26"/>
        <v>17046450</v>
      </c>
      <c r="J42" s="60">
        <f t="shared" si="27"/>
        <v>840125601.22744608</v>
      </c>
      <c r="K42" s="202">
        <f>J42/Input!$K$5</f>
        <v>2.8004186707581535</v>
      </c>
      <c r="L42" s="232"/>
      <c r="M42" s="60">
        <f>IF($B42&lt;Input!$H$43,IF($B42&lt;Input!$G$43,IF($B42&lt;Input!$F$43,IF($B42&lt;Input!$E$43,IF($B42&lt;Input!$D$43,Input!$C$49,Input!$D$49),Input!$E$49),Input!$F$49),Input!$G$49),Input!$H$49)</f>
        <v>18940500</v>
      </c>
      <c r="N42" s="190">
        <f>IF($A42&lt;Input!$H$50,IF($A42&lt;Input!$G$50,IF($A42&lt;Input!$F$50,IF($A42&lt;Input!$E$50,IF($A42&lt;Input!$D$50,Input!$C$51,Input!$D$51),Input!$E$51),Input!$F$51),Input!$G$51),Input!$H$51)</f>
        <v>0.9</v>
      </c>
      <c r="O42" s="60">
        <f t="shared" si="36"/>
        <v>17046450</v>
      </c>
      <c r="P42" s="60">
        <f t="shared" si="37"/>
        <v>30</v>
      </c>
      <c r="Q42" s="60">
        <f t="shared" si="4"/>
        <v>846732879.22744608</v>
      </c>
      <c r="R42" s="60">
        <f>ROUND(Q42*$P42*Input!$C$3/365,0)</f>
        <v>10439172</v>
      </c>
      <c r="S42" s="60">
        <f>IF(A42&lt;=Input!$C$6,0,IF('Fixed Tenure'!O42&lt;'Fixed Tenure'!Q42,'Fixed Tenure'!O42-R42,'Fixed Tenure'!Q42))</f>
        <v>6607278</v>
      </c>
      <c r="T42" s="60">
        <f t="shared" si="5"/>
        <v>17046450</v>
      </c>
      <c r="U42" s="60">
        <f t="shared" si="6"/>
        <v>840125601.22744608</v>
      </c>
      <c r="V42" s="193"/>
      <c r="W42" s="169">
        <v>38</v>
      </c>
      <c r="X42" s="1">
        <f t="shared" si="28"/>
        <v>46675</v>
      </c>
      <c r="Y42" s="60">
        <f>IF($X42&lt;Input!$H$58,IF($X42&lt;Input!$G$58,IF($X42&lt;Input!$F$58,IF($X42&lt;Input!$E$58,IF($X42&lt;Input!$D$58,Input!$C$64,Input!$D$64),Input!$E$64),Input!$F$64),Input!$G$64),Input!$H$64)</f>
        <v>0</v>
      </c>
      <c r="Z42" s="190">
        <f>IF($A42&lt;Input!$H$65,IF($A42&lt;Input!$G$65,IF($A42&lt;Input!$F$65,IF($A42&lt;Input!$E$65,IF($A42&lt;Input!$D$65,Input!$C$66,Input!$D$66),Input!$E$66),Input!$F$66),Input!$G$66),Input!$H$66)</f>
        <v>0.9</v>
      </c>
      <c r="AA42" s="60">
        <f t="shared" si="7"/>
        <v>0</v>
      </c>
      <c r="AB42" s="60">
        <f t="shared" si="29"/>
        <v>30</v>
      </c>
      <c r="AC42" s="60">
        <f t="shared" si="8"/>
        <v>0</v>
      </c>
      <c r="AD42" s="60">
        <f>ROUND(AC42*AB42*Input!$C$3/365,0)</f>
        <v>0</v>
      </c>
      <c r="AE42" s="61">
        <f>IF($A42&lt;=Input!$C$6,0,IF('Fixed Tenure'!AA42&lt;'Fixed Tenure'!AC42,'Fixed Tenure'!AA42-AD42,'Fixed Tenure'!AC42))</f>
        <v>0</v>
      </c>
      <c r="AF42" s="61">
        <f t="shared" si="9"/>
        <v>0</v>
      </c>
      <c r="AG42" s="60">
        <f t="shared" si="10"/>
        <v>0</v>
      </c>
      <c r="AH42" s="193"/>
      <c r="AI42" s="169">
        <v>38</v>
      </c>
      <c r="AJ42" s="1">
        <f t="shared" si="30"/>
        <v>46675</v>
      </c>
      <c r="AK42" s="60">
        <f>IF($X42&lt;Input!$H$73,IF($X42&lt;Input!$G$73,IF($X42&lt;Input!$F$73,IF($X42&lt;Input!$E$73,IF($X42&lt;Input!$D$73,Input!$C$79,Input!$D$79),Input!$E$79),Input!$F$79),Input!$G$79),Input!$H$79)</f>
        <v>0</v>
      </c>
      <c r="AL42" s="190">
        <f>IF($A42&lt;Input!$H$80,IF($A42&lt;Input!$G$80,IF($A42&lt;Input!$F$80,IF($A42&lt;Input!$E$80,IF($A42&lt;Input!$D$80,Input!$C$81,Input!$D$81),Input!$E$81),Input!$F$81),Input!$G$81),Input!$H$81)</f>
        <v>0.9</v>
      </c>
      <c r="AM42" s="60">
        <f t="shared" si="11"/>
        <v>0</v>
      </c>
      <c r="AN42" s="60">
        <f t="shared" si="31"/>
        <v>30</v>
      </c>
      <c r="AO42" s="60">
        <f t="shared" si="12"/>
        <v>0</v>
      </c>
      <c r="AP42" s="60">
        <f>ROUND(AO42*AN42*Input!$C$3/365,0)</f>
        <v>0</v>
      </c>
      <c r="AQ42" s="61">
        <f>IF($A42&lt;=Input!$C$6,0,IF('Fixed Tenure'!AM42&lt;'Fixed Tenure'!AO42,'Fixed Tenure'!AM42-AP42,'Fixed Tenure'!AO42))</f>
        <v>0</v>
      </c>
      <c r="AR42" s="61">
        <f t="shared" si="13"/>
        <v>0</v>
      </c>
      <c r="AS42" s="60">
        <f t="shared" si="14"/>
        <v>0</v>
      </c>
      <c r="AT42" s="193"/>
      <c r="AU42" s="169">
        <v>38</v>
      </c>
      <c r="AV42" s="1">
        <f t="shared" si="32"/>
        <v>46675</v>
      </c>
      <c r="AW42" s="60">
        <f>IF($X42&lt;Input!$H$88,IF($X42&lt;Input!$G$88,IF($X42&lt;Input!$F$88,IF($X42&lt;Input!$E$88,IF($X42&lt;Input!$D$88,Input!$C$94,Input!$D$94),Input!$E$94),Input!$F$94),Input!$G$94),Input!$H$94)</f>
        <v>0</v>
      </c>
      <c r="AX42" s="190">
        <f>IF($A42&lt;Input!$H$95,IF($A42&lt;Input!$G$95,IF($A42&lt;Input!$F$95,IF($A42&lt;Input!$E$95,IF($A42&lt;Input!$D$95,Input!$C$96,Input!$D$96),Input!$E$96),Input!$F$96),Input!$G$96),Input!$H$96)</f>
        <v>0.9</v>
      </c>
      <c r="AY42" s="60">
        <f t="shared" si="15"/>
        <v>0</v>
      </c>
      <c r="AZ42" s="60">
        <f t="shared" si="33"/>
        <v>30</v>
      </c>
      <c r="BA42" s="60">
        <f t="shared" si="16"/>
        <v>0</v>
      </c>
      <c r="BB42" s="60">
        <f>ROUND(BA42*AZ42*Input!$C$3/365,0)</f>
        <v>0</v>
      </c>
      <c r="BC42" s="61">
        <f>IF($A42&lt;=Input!$C$6,0,IF('Fixed Tenure'!AY42&lt;'Fixed Tenure'!BA42,'Fixed Tenure'!AY42-BB42,'Fixed Tenure'!BA42))</f>
        <v>0</v>
      </c>
      <c r="BD42" s="61">
        <f t="shared" si="17"/>
        <v>0</v>
      </c>
      <c r="BE42" s="60">
        <f t="shared" si="18"/>
        <v>0</v>
      </c>
      <c r="BF42" s="193"/>
      <c r="BG42" s="169">
        <v>38</v>
      </c>
      <c r="BH42" s="1">
        <f t="shared" si="34"/>
        <v>46675</v>
      </c>
      <c r="BI42" s="60">
        <f>IF($X42&lt;Input!$H$103,IF($X42&lt;Input!$G$103,IF($X42&lt;Input!$F$103,IF($X42&lt;Input!$E$103,IF($X42&lt;Input!$D$103,Input!$C$109,Input!$D$109),Input!$E$109),Input!$F$109),Input!$G$109),Input!$H$109)</f>
        <v>0</v>
      </c>
      <c r="BJ42" s="190">
        <f>IF($A42&lt;Input!$H$110,IF($A42&lt;Input!$G$110,IF($A42&lt;Input!$F$110,IF($A42&lt;Input!$E$110,IF($A42&lt;Input!$D$110,Input!$C$111,Input!$D$111),Input!$E$111),Input!$F$111),Input!$G$111),Input!$H$111)</f>
        <v>0.9</v>
      </c>
      <c r="BK42" s="60">
        <f t="shared" si="19"/>
        <v>0</v>
      </c>
      <c r="BL42" s="60">
        <f t="shared" si="35"/>
        <v>30</v>
      </c>
      <c r="BM42" s="60">
        <f t="shared" si="20"/>
        <v>0</v>
      </c>
      <c r="BN42" s="60">
        <f>ROUND(BM42*BL42*Input!$C$3/365,0)</f>
        <v>0</v>
      </c>
      <c r="BO42" s="61">
        <f>IF($A42&lt;=Input!$C$6,0,IF('Fixed Tenure'!BK42&lt;'Fixed Tenure'!BM42,'Fixed Tenure'!BK42-BN42,'Fixed Tenure'!BM42))</f>
        <v>0</v>
      </c>
      <c r="BP42" s="61">
        <f t="shared" si="21"/>
        <v>0</v>
      </c>
      <c r="BQ42" s="60">
        <f t="shared" si="22"/>
        <v>0</v>
      </c>
      <c r="BR42" s="198"/>
    </row>
    <row r="43" spans="1:70" x14ac:dyDescent="0.25">
      <c r="A43" s="169">
        <v>39</v>
      </c>
      <c r="B43" s="1">
        <f t="shared" si="23"/>
        <v>46706</v>
      </c>
      <c r="C43" s="60">
        <f t="shared" si="1"/>
        <v>18940500</v>
      </c>
      <c r="D43" s="60">
        <f t="shared" si="2"/>
        <v>17046450</v>
      </c>
      <c r="E43" s="60">
        <f t="shared" si="24"/>
        <v>31</v>
      </c>
      <c r="F43" s="60">
        <f t="shared" si="25"/>
        <v>840125601.22744608</v>
      </c>
      <c r="G43" s="60">
        <f>ROUND(F43*E43*Input!$C$3/365,0)</f>
        <v>10702970</v>
      </c>
      <c r="H43" s="60">
        <f>IF($A43&lt;=Input!$C$6,0,IF('Fixed Tenure'!D43&lt;'Fixed Tenure'!F43,'Fixed Tenure'!D43-G43,'Fixed Tenure'!F43))</f>
        <v>6343480</v>
      </c>
      <c r="I43" s="60">
        <f t="shared" si="26"/>
        <v>17046450</v>
      </c>
      <c r="J43" s="60">
        <f t="shared" si="27"/>
        <v>833782121.22744608</v>
      </c>
      <c r="K43" s="202">
        <f>J43/Input!$K$5</f>
        <v>2.7792737374248202</v>
      </c>
      <c r="L43" s="232"/>
      <c r="M43" s="60">
        <f>IF($B43&lt;Input!$H$43,IF($B43&lt;Input!$G$43,IF($B43&lt;Input!$F$43,IF($B43&lt;Input!$E$43,IF($B43&lt;Input!$D$43,Input!$C$49,Input!$D$49),Input!$E$49),Input!$F$49),Input!$G$49),Input!$H$49)</f>
        <v>18940500</v>
      </c>
      <c r="N43" s="190">
        <f>IF($A43&lt;Input!$H$50,IF($A43&lt;Input!$G$50,IF($A43&lt;Input!$F$50,IF($A43&lt;Input!$E$50,IF($A43&lt;Input!$D$50,Input!$C$51,Input!$D$51),Input!$E$51),Input!$F$51),Input!$G$51),Input!$H$51)</f>
        <v>0.9</v>
      </c>
      <c r="O43" s="60">
        <f t="shared" si="36"/>
        <v>17046450</v>
      </c>
      <c r="P43" s="60">
        <f t="shared" si="37"/>
        <v>31</v>
      </c>
      <c r="Q43" s="60">
        <f t="shared" si="4"/>
        <v>840125601.22744608</v>
      </c>
      <c r="R43" s="60">
        <f>ROUND(Q43*$P43*Input!$C$3/365,0)</f>
        <v>10702970</v>
      </c>
      <c r="S43" s="60">
        <f>IF(A43&lt;=Input!$C$6,0,IF('Fixed Tenure'!O43&lt;'Fixed Tenure'!Q43,'Fixed Tenure'!O43-R43,'Fixed Tenure'!Q43))</f>
        <v>6343480</v>
      </c>
      <c r="T43" s="60">
        <f t="shared" si="5"/>
        <v>17046450</v>
      </c>
      <c r="U43" s="60">
        <f t="shared" si="6"/>
        <v>833782121.22744608</v>
      </c>
      <c r="V43" s="193"/>
      <c r="W43" s="169">
        <v>39</v>
      </c>
      <c r="X43" s="1">
        <f t="shared" si="28"/>
        <v>46706</v>
      </c>
      <c r="Y43" s="60">
        <f>IF($X43&lt;Input!$H$58,IF($X43&lt;Input!$G$58,IF($X43&lt;Input!$F$58,IF($X43&lt;Input!$E$58,IF($X43&lt;Input!$D$58,Input!$C$64,Input!$D$64),Input!$E$64),Input!$F$64),Input!$G$64),Input!$H$64)</f>
        <v>0</v>
      </c>
      <c r="Z43" s="190">
        <f>IF($A43&lt;Input!$H$65,IF($A43&lt;Input!$G$65,IF($A43&lt;Input!$F$65,IF($A43&lt;Input!$E$65,IF($A43&lt;Input!$D$65,Input!$C$66,Input!$D$66),Input!$E$66),Input!$F$66),Input!$G$66),Input!$H$66)</f>
        <v>0.9</v>
      </c>
      <c r="AA43" s="60">
        <f t="shared" si="7"/>
        <v>0</v>
      </c>
      <c r="AB43" s="60">
        <f t="shared" si="29"/>
        <v>31</v>
      </c>
      <c r="AC43" s="60">
        <f t="shared" si="8"/>
        <v>0</v>
      </c>
      <c r="AD43" s="60">
        <f>ROUND(AC43*AB43*Input!$C$3/365,0)</f>
        <v>0</v>
      </c>
      <c r="AE43" s="61">
        <f>IF($A43&lt;=Input!$C$6,0,IF('Fixed Tenure'!AA43&lt;'Fixed Tenure'!AC43,'Fixed Tenure'!AA43-AD43,'Fixed Tenure'!AC43))</f>
        <v>0</v>
      </c>
      <c r="AF43" s="61">
        <f t="shared" si="9"/>
        <v>0</v>
      </c>
      <c r="AG43" s="60">
        <f t="shared" si="10"/>
        <v>0</v>
      </c>
      <c r="AH43" s="193"/>
      <c r="AI43" s="169">
        <v>39</v>
      </c>
      <c r="AJ43" s="1">
        <f t="shared" si="30"/>
        <v>46706</v>
      </c>
      <c r="AK43" s="60">
        <f>IF($X43&lt;Input!$H$73,IF($X43&lt;Input!$G$73,IF($X43&lt;Input!$F$73,IF($X43&lt;Input!$E$73,IF($X43&lt;Input!$D$73,Input!$C$79,Input!$D$79),Input!$E$79),Input!$F$79),Input!$G$79),Input!$H$79)</f>
        <v>0</v>
      </c>
      <c r="AL43" s="190">
        <f>IF($A43&lt;Input!$H$80,IF($A43&lt;Input!$G$80,IF($A43&lt;Input!$F$80,IF($A43&lt;Input!$E$80,IF($A43&lt;Input!$D$80,Input!$C$81,Input!$D$81),Input!$E$81),Input!$F$81),Input!$G$81),Input!$H$81)</f>
        <v>0.9</v>
      </c>
      <c r="AM43" s="60">
        <f t="shared" si="11"/>
        <v>0</v>
      </c>
      <c r="AN43" s="60">
        <f t="shared" si="31"/>
        <v>31</v>
      </c>
      <c r="AO43" s="60">
        <f t="shared" si="12"/>
        <v>0</v>
      </c>
      <c r="AP43" s="60">
        <f>ROUND(AO43*AN43*Input!$C$3/365,0)</f>
        <v>0</v>
      </c>
      <c r="AQ43" s="61">
        <f>IF($A43&lt;=Input!$C$6,0,IF('Fixed Tenure'!AM43&lt;'Fixed Tenure'!AO43,'Fixed Tenure'!AM43-AP43,'Fixed Tenure'!AO43))</f>
        <v>0</v>
      </c>
      <c r="AR43" s="61">
        <f t="shared" si="13"/>
        <v>0</v>
      </c>
      <c r="AS43" s="60">
        <f t="shared" si="14"/>
        <v>0</v>
      </c>
      <c r="AT43" s="193"/>
      <c r="AU43" s="169">
        <v>39</v>
      </c>
      <c r="AV43" s="1">
        <f t="shared" si="32"/>
        <v>46706</v>
      </c>
      <c r="AW43" s="60">
        <f>IF($X43&lt;Input!$H$88,IF($X43&lt;Input!$G$88,IF($X43&lt;Input!$F$88,IF($X43&lt;Input!$E$88,IF($X43&lt;Input!$D$88,Input!$C$94,Input!$D$94),Input!$E$94),Input!$F$94),Input!$G$94),Input!$H$94)</f>
        <v>0</v>
      </c>
      <c r="AX43" s="190">
        <f>IF($A43&lt;Input!$H$95,IF($A43&lt;Input!$G$95,IF($A43&lt;Input!$F$95,IF($A43&lt;Input!$E$95,IF($A43&lt;Input!$D$95,Input!$C$96,Input!$D$96),Input!$E$96),Input!$F$96),Input!$G$96),Input!$H$96)</f>
        <v>0.9</v>
      </c>
      <c r="AY43" s="60">
        <f t="shared" si="15"/>
        <v>0</v>
      </c>
      <c r="AZ43" s="60">
        <f t="shared" si="33"/>
        <v>31</v>
      </c>
      <c r="BA43" s="60">
        <f t="shared" si="16"/>
        <v>0</v>
      </c>
      <c r="BB43" s="60">
        <f>ROUND(BA43*AZ43*Input!$C$3/365,0)</f>
        <v>0</v>
      </c>
      <c r="BC43" s="61">
        <f>IF($A43&lt;=Input!$C$6,0,IF('Fixed Tenure'!AY43&lt;'Fixed Tenure'!BA43,'Fixed Tenure'!AY43-BB43,'Fixed Tenure'!BA43))</f>
        <v>0</v>
      </c>
      <c r="BD43" s="61">
        <f t="shared" si="17"/>
        <v>0</v>
      </c>
      <c r="BE43" s="60">
        <f t="shared" si="18"/>
        <v>0</v>
      </c>
      <c r="BF43" s="193"/>
      <c r="BG43" s="169">
        <v>39</v>
      </c>
      <c r="BH43" s="1">
        <f t="shared" si="34"/>
        <v>46706</v>
      </c>
      <c r="BI43" s="60">
        <f>IF($X43&lt;Input!$H$103,IF($X43&lt;Input!$G$103,IF($X43&lt;Input!$F$103,IF($X43&lt;Input!$E$103,IF($X43&lt;Input!$D$103,Input!$C$109,Input!$D$109),Input!$E$109),Input!$F$109),Input!$G$109),Input!$H$109)</f>
        <v>0</v>
      </c>
      <c r="BJ43" s="190">
        <f>IF($A43&lt;Input!$H$110,IF($A43&lt;Input!$G$110,IF($A43&lt;Input!$F$110,IF($A43&lt;Input!$E$110,IF($A43&lt;Input!$D$110,Input!$C$111,Input!$D$111),Input!$E$111),Input!$F$111),Input!$G$111),Input!$H$111)</f>
        <v>0.9</v>
      </c>
      <c r="BK43" s="60">
        <f t="shared" si="19"/>
        <v>0</v>
      </c>
      <c r="BL43" s="60">
        <f t="shared" si="35"/>
        <v>31</v>
      </c>
      <c r="BM43" s="60">
        <f t="shared" si="20"/>
        <v>0</v>
      </c>
      <c r="BN43" s="60">
        <f>ROUND(BM43*BL43*Input!$C$3/365,0)</f>
        <v>0</v>
      </c>
      <c r="BO43" s="61">
        <f>IF($A43&lt;=Input!$C$6,0,IF('Fixed Tenure'!BK43&lt;'Fixed Tenure'!BM43,'Fixed Tenure'!BK43-BN43,'Fixed Tenure'!BM43))</f>
        <v>0</v>
      </c>
      <c r="BP43" s="61">
        <f t="shared" si="21"/>
        <v>0</v>
      </c>
      <c r="BQ43" s="60">
        <f t="shared" si="22"/>
        <v>0</v>
      </c>
      <c r="BR43" s="198"/>
    </row>
    <row r="44" spans="1:70" x14ac:dyDescent="0.25">
      <c r="A44" s="169">
        <v>40</v>
      </c>
      <c r="B44" s="1">
        <f t="shared" si="23"/>
        <v>46736</v>
      </c>
      <c r="C44" s="60">
        <f t="shared" si="1"/>
        <v>18940500</v>
      </c>
      <c r="D44" s="60">
        <f t="shared" si="2"/>
        <v>17046450</v>
      </c>
      <c r="E44" s="60">
        <f t="shared" si="24"/>
        <v>30</v>
      </c>
      <c r="F44" s="60">
        <f t="shared" si="25"/>
        <v>833782121.22744608</v>
      </c>
      <c r="G44" s="60">
        <f>ROUND(F44*E44*Input!$C$3/365,0)</f>
        <v>10279506</v>
      </c>
      <c r="H44" s="60">
        <f>IF($A44&lt;=Input!$C$6,0,IF('Fixed Tenure'!D44&lt;'Fixed Tenure'!F44,'Fixed Tenure'!D44-G44,'Fixed Tenure'!F44))</f>
        <v>6766944</v>
      </c>
      <c r="I44" s="60">
        <f t="shared" si="26"/>
        <v>17046450</v>
      </c>
      <c r="J44" s="60">
        <f t="shared" si="27"/>
        <v>827015177.22744608</v>
      </c>
      <c r="K44" s="202">
        <f>J44/Input!$K$5</f>
        <v>2.7567172574248202</v>
      </c>
      <c r="L44" s="232"/>
      <c r="M44" s="60">
        <f>IF($B44&lt;Input!$H$43,IF($B44&lt;Input!$G$43,IF($B44&lt;Input!$F$43,IF($B44&lt;Input!$E$43,IF($B44&lt;Input!$D$43,Input!$C$49,Input!$D$49),Input!$E$49),Input!$F$49),Input!$G$49),Input!$H$49)</f>
        <v>18940500</v>
      </c>
      <c r="N44" s="190">
        <f>IF($A44&lt;Input!$H$50,IF($A44&lt;Input!$G$50,IF($A44&lt;Input!$F$50,IF($A44&lt;Input!$E$50,IF($A44&lt;Input!$D$50,Input!$C$51,Input!$D$51),Input!$E$51),Input!$F$51),Input!$G$51),Input!$H$51)</f>
        <v>0.9</v>
      </c>
      <c r="O44" s="60">
        <f t="shared" si="36"/>
        <v>17046450</v>
      </c>
      <c r="P44" s="60">
        <f t="shared" si="37"/>
        <v>30</v>
      </c>
      <c r="Q44" s="60">
        <f t="shared" si="4"/>
        <v>833782121.22744608</v>
      </c>
      <c r="R44" s="60">
        <f>ROUND(Q44*$P44*Input!$C$3/365,0)</f>
        <v>10279506</v>
      </c>
      <c r="S44" s="60">
        <f>IF(A44&lt;=Input!$C$6,0,IF('Fixed Tenure'!O44&lt;'Fixed Tenure'!Q44,'Fixed Tenure'!O44-R44,'Fixed Tenure'!Q44))</f>
        <v>6766944</v>
      </c>
      <c r="T44" s="60">
        <f t="shared" si="5"/>
        <v>17046450</v>
      </c>
      <c r="U44" s="60">
        <f t="shared" si="6"/>
        <v>827015177.22744608</v>
      </c>
      <c r="V44" s="193"/>
      <c r="W44" s="169">
        <v>40</v>
      </c>
      <c r="X44" s="1">
        <f t="shared" si="28"/>
        <v>46736</v>
      </c>
      <c r="Y44" s="60">
        <f>IF($X44&lt;Input!$H$58,IF($X44&lt;Input!$G$58,IF($X44&lt;Input!$F$58,IF($X44&lt;Input!$E$58,IF($X44&lt;Input!$D$58,Input!$C$64,Input!$D$64),Input!$E$64),Input!$F$64),Input!$G$64),Input!$H$64)</f>
        <v>0</v>
      </c>
      <c r="Z44" s="190">
        <f>IF($A44&lt;Input!$H$65,IF($A44&lt;Input!$G$65,IF($A44&lt;Input!$F$65,IF($A44&lt;Input!$E$65,IF($A44&lt;Input!$D$65,Input!$C$66,Input!$D$66),Input!$E$66),Input!$F$66),Input!$G$66),Input!$H$66)</f>
        <v>0.9</v>
      </c>
      <c r="AA44" s="60">
        <f t="shared" si="7"/>
        <v>0</v>
      </c>
      <c r="AB44" s="60">
        <f t="shared" si="29"/>
        <v>30</v>
      </c>
      <c r="AC44" s="60">
        <f t="shared" si="8"/>
        <v>0</v>
      </c>
      <c r="AD44" s="60">
        <f>ROUND(AC44*AB44*Input!$C$3/365,0)</f>
        <v>0</v>
      </c>
      <c r="AE44" s="61">
        <f>IF($A44&lt;=Input!$C$6,0,IF('Fixed Tenure'!AA44&lt;'Fixed Tenure'!AC44,'Fixed Tenure'!AA44-AD44,'Fixed Tenure'!AC44))</f>
        <v>0</v>
      </c>
      <c r="AF44" s="61">
        <f t="shared" si="9"/>
        <v>0</v>
      </c>
      <c r="AG44" s="60">
        <f t="shared" si="10"/>
        <v>0</v>
      </c>
      <c r="AH44" s="193"/>
      <c r="AI44" s="169">
        <v>40</v>
      </c>
      <c r="AJ44" s="1">
        <f t="shared" si="30"/>
        <v>46736</v>
      </c>
      <c r="AK44" s="60">
        <f>IF($X44&lt;Input!$H$73,IF($X44&lt;Input!$G$73,IF($X44&lt;Input!$F$73,IF($X44&lt;Input!$E$73,IF($X44&lt;Input!$D$73,Input!$C$79,Input!$D$79),Input!$E$79),Input!$F$79),Input!$G$79),Input!$H$79)</f>
        <v>0</v>
      </c>
      <c r="AL44" s="190">
        <f>IF($A44&lt;Input!$H$80,IF($A44&lt;Input!$G$80,IF($A44&lt;Input!$F$80,IF($A44&lt;Input!$E$80,IF($A44&lt;Input!$D$80,Input!$C$81,Input!$D$81),Input!$E$81),Input!$F$81),Input!$G$81),Input!$H$81)</f>
        <v>0.9</v>
      </c>
      <c r="AM44" s="60">
        <f t="shared" si="11"/>
        <v>0</v>
      </c>
      <c r="AN44" s="60">
        <f t="shared" si="31"/>
        <v>30</v>
      </c>
      <c r="AO44" s="60">
        <f t="shared" si="12"/>
        <v>0</v>
      </c>
      <c r="AP44" s="60">
        <f>ROUND(AO44*AN44*Input!$C$3/365,0)</f>
        <v>0</v>
      </c>
      <c r="AQ44" s="61">
        <f>IF($A44&lt;=Input!$C$6,0,IF('Fixed Tenure'!AM44&lt;'Fixed Tenure'!AO44,'Fixed Tenure'!AM44-AP44,'Fixed Tenure'!AO44))</f>
        <v>0</v>
      </c>
      <c r="AR44" s="61">
        <f t="shared" si="13"/>
        <v>0</v>
      </c>
      <c r="AS44" s="60">
        <f t="shared" si="14"/>
        <v>0</v>
      </c>
      <c r="AT44" s="193"/>
      <c r="AU44" s="169">
        <v>40</v>
      </c>
      <c r="AV44" s="1">
        <f t="shared" si="32"/>
        <v>46736</v>
      </c>
      <c r="AW44" s="60">
        <f>IF($X44&lt;Input!$H$88,IF($X44&lt;Input!$G$88,IF($X44&lt;Input!$F$88,IF($X44&lt;Input!$E$88,IF($X44&lt;Input!$D$88,Input!$C$94,Input!$D$94),Input!$E$94),Input!$F$94),Input!$G$94),Input!$H$94)</f>
        <v>0</v>
      </c>
      <c r="AX44" s="190">
        <f>IF($A44&lt;Input!$H$95,IF($A44&lt;Input!$G$95,IF($A44&lt;Input!$F$95,IF($A44&lt;Input!$E$95,IF($A44&lt;Input!$D$95,Input!$C$96,Input!$D$96),Input!$E$96),Input!$F$96),Input!$G$96),Input!$H$96)</f>
        <v>0.9</v>
      </c>
      <c r="AY44" s="60">
        <f t="shared" si="15"/>
        <v>0</v>
      </c>
      <c r="AZ44" s="60">
        <f t="shared" si="33"/>
        <v>30</v>
      </c>
      <c r="BA44" s="60">
        <f t="shared" si="16"/>
        <v>0</v>
      </c>
      <c r="BB44" s="60">
        <f>ROUND(BA44*AZ44*Input!$C$3/365,0)</f>
        <v>0</v>
      </c>
      <c r="BC44" s="61">
        <f>IF($A44&lt;=Input!$C$6,0,IF('Fixed Tenure'!AY44&lt;'Fixed Tenure'!BA44,'Fixed Tenure'!AY44-BB44,'Fixed Tenure'!BA44))</f>
        <v>0</v>
      </c>
      <c r="BD44" s="61">
        <f t="shared" si="17"/>
        <v>0</v>
      </c>
      <c r="BE44" s="60">
        <f t="shared" si="18"/>
        <v>0</v>
      </c>
      <c r="BF44" s="193"/>
      <c r="BG44" s="169">
        <v>40</v>
      </c>
      <c r="BH44" s="1">
        <f t="shared" si="34"/>
        <v>46736</v>
      </c>
      <c r="BI44" s="60">
        <f>IF($X44&lt;Input!$H$103,IF($X44&lt;Input!$G$103,IF($X44&lt;Input!$F$103,IF($X44&lt;Input!$E$103,IF($X44&lt;Input!$D$103,Input!$C$109,Input!$D$109),Input!$E$109),Input!$F$109),Input!$G$109),Input!$H$109)</f>
        <v>0</v>
      </c>
      <c r="BJ44" s="190">
        <f>IF($A44&lt;Input!$H$110,IF($A44&lt;Input!$G$110,IF($A44&lt;Input!$F$110,IF($A44&lt;Input!$E$110,IF($A44&lt;Input!$D$110,Input!$C$111,Input!$D$111),Input!$E$111),Input!$F$111),Input!$G$111),Input!$H$111)</f>
        <v>0.9</v>
      </c>
      <c r="BK44" s="60">
        <f t="shared" si="19"/>
        <v>0</v>
      </c>
      <c r="BL44" s="60">
        <f t="shared" si="35"/>
        <v>30</v>
      </c>
      <c r="BM44" s="60">
        <f t="shared" si="20"/>
        <v>0</v>
      </c>
      <c r="BN44" s="60">
        <f>ROUND(BM44*BL44*Input!$C$3/365,0)</f>
        <v>0</v>
      </c>
      <c r="BO44" s="61">
        <f>IF($A44&lt;=Input!$C$6,0,IF('Fixed Tenure'!BK44&lt;'Fixed Tenure'!BM44,'Fixed Tenure'!BK44-BN44,'Fixed Tenure'!BM44))</f>
        <v>0</v>
      </c>
      <c r="BP44" s="61">
        <f t="shared" si="21"/>
        <v>0</v>
      </c>
      <c r="BQ44" s="60">
        <f t="shared" si="22"/>
        <v>0</v>
      </c>
      <c r="BR44" s="198"/>
    </row>
    <row r="45" spans="1:70" x14ac:dyDescent="0.25">
      <c r="A45" s="169">
        <v>41</v>
      </c>
      <c r="B45" s="1">
        <f t="shared" si="23"/>
        <v>46767</v>
      </c>
      <c r="C45" s="60">
        <f t="shared" si="1"/>
        <v>18940500</v>
      </c>
      <c r="D45" s="60">
        <f t="shared" si="2"/>
        <v>17046450</v>
      </c>
      <c r="E45" s="60">
        <f t="shared" si="24"/>
        <v>31</v>
      </c>
      <c r="F45" s="60">
        <f t="shared" si="25"/>
        <v>827015177.22744608</v>
      </c>
      <c r="G45" s="60">
        <f>ROUND(F45*E45*Input!$C$3/365,0)</f>
        <v>10535947</v>
      </c>
      <c r="H45" s="60">
        <f>IF($A45&lt;=Input!$C$6,0,IF('Fixed Tenure'!D45&lt;'Fixed Tenure'!F45,'Fixed Tenure'!D45-G45,'Fixed Tenure'!F45))</f>
        <v>6510503</v>
      </c>
      <c r="I45" s="60">
        <f t="shared" si="26"/>
        <v>17046450</v>
      </c>
      <c r="J45" s="60">
        <f t="shared" si="27"/>
        <v>820504674.22744608</v>
      </c>
      <c r="K45" s="202">
        <f>J45/Input!$K$5</f>
        <v>2.7350155807581538</v>
      </c>
      <c r="L45" s="232"/>
      <c r="M45" s="60">
        <f>IF($B45&lt;Input!$H$43,IF($B45&lt;Input!$G$43,IF($B45&lt;Input!$F$43,IF($B45&lt;Input!$E$43,IF($B45&lt;Input!$D$43,Input!$C$49,Input!$D$49),Input!$E$49),Input!$F$49),Input!$G$49),Input!$H$49)</f>
        <v>18940500</v>
      </c>
      <c r="N45" s="190">
        <f>IF($A45&lt;Input!$H$50,IF($A45&lt;Input!$G$50,IF($A45&lt;Input!$F$50,IF($A45&lt;Input!$E$50,IF($A45&lt;Input!$D$50,Input!$C$51,Input!$D$51),Input!$E$51),Input!$F$51),Input!$G$51),Input!$H$51)</f>
        <v>0.9</v>
      </c>
      <c r="O45" s="60">
        <f t="shared" si="36"/>
        <v>17046450</v>
      </c>
      <c r="P45" s="60">
        <f t="shared" si="37"/>
        <v>31</v>
      </c>
      <c r="Q45" s="60">
        <f t="shared" si="4"/>
        <v>827015177.22744608</v>
      </c>
      <c r="R45" s="60">
        <f>ROUND(Q45*$P45*Input!$C$3/365,0)</f>
        <v>10535947</v>
      </c>
      <c r="S45" s="60">
        <f>IF(A45&lt;=Input!$C$6,0,IF('Fixed Tenure'!O45&lt;'Fixed Tenure'!Q45,'Fixed Tenure'!O45-R45,'Fixed Tenure'!Q45))</f>
        <v>6510503</v>
      </c>
      <c r="T45" s="60">
        <f t="shared" si="5"/>
        <v>17046450</v>
      </c>
      <c r="U45" s="60">
        <f t="shared" si="6"/>
        <v>820504674.22744608</v>
      </c>
      <c r="V45" s="193"/>
      <c r="W45" s="169">
        <v>41</v>
      </c>
      <c r="X45" s="1">
        <f t="shared" si="28"/>
        <v>46767</v>
      </c>
      <c r="Y45" s="60">
        <f>IF($X45&lt;Input!$H$58,IF($X45&lt;Input!$G$58,IF($X45&lt;Input!$F$58,IF($X45&lt;Input!$E$58,IF($X45&lt;Input!$D$58,Input!$C$64,Input!$D$64),Input!$E$64),Input!$F$64),Input!$G$64),Input!$H$64)</f>
        <v>0</v>
      </c>
      <c r="Z45" s="190">
        <f>IF($A45&lt;Input!$H$65,IF($A45&lt;Input!$G$65,IF($A45&lt;Input!$F$65,IF($A45&lt;Input!$E$65,IF($A45&lt;Input!$D$65,Input!$C$66,Input!$D$66),Input!$E$66),Input!$F$66),Input!$G$66),Input!$H$66)</f>
        <v>0.9</v>
      </c>
      <c r="AA45" s="60">
        <f t="shared" si="7"/>
        <v>0</v>
      </c>
      <c r="AB45" s="60">
        <f t="shared" si="29"/>
        <v>31</v>
      </c>
      <c r="AC45" s="60">
        <f t="shared" si="8"/>
        <v>0</v>
      </c>
      <c r="AD45" s="60">
        <f>ROUND(AC45*AB45*Input!$C$3/365,0)</f>
        <v>0</v>
      </c>
      <c r="AE45" s="61">
        <f>IF($A45&lt;=Input!$C$6,0,IF('Fixed Tenure'!AA45&lt;'Fixed Tenure'!AC45,'Fixed Tenure'!AA45-AD45,'Fixed Tenure'!AC45))</f>
        <v>0</v>
      </c>
      <c r="AF45" s="61">
        <f t="shared" si="9"/>
        <v>0</v>
      </c>
      <c r="AG45" s="60">
        <f t="shared" si="10"/>
        <v>0</v>
      </c>
      <c r="AH45" s="193"/>
      <c r="AI45" s="169">
        <v>41</v>
      </c>
      <c r="AJ45" s="1">
        <f t="shared" si="30"/>
        <v>46767</v>
      </c>
      <c r="AK45" s="60">
        <f>IF($X45&lt;Input!$H$73,IF($X45&lt;Input!$G$73,IF($X45&lt;Input!$F$73,IF($X45&lt;Input!$E$73,IF($X45&lt;Input!$D$73,Input!$C$79,Input!$D$79),Input!$E$79),Input!$F$79),Input!$G$79),Input!$H$79)</f>
        <v>0</v>
      </c>
      <c r="AL45" s="190">
        <f>IF($A45&lt;Input!$H$80,IF($A45&lt;Input!$G$80,IF($A45&lt;Input!$F$80,IF($A45&lt;Input!$E$80,IF($A45&lt;Input!$D$80,Input!$C$81,Input!$D$81),Input!$E$81),Input!$F$81),Input!$G$81),Input!$H$81)</f>
        <v>0.9</v>
      </c>
      <c r="AM45" s="60">
        <f t="shared" si="11"/>
        <v>0</v>
      </c>
      <c r="AN45" s="60">
        <f t="shared" si="31"/>
        <v>31</v>
      </c>
      <c r="AO45" s="60">
        <f t="shared" si="12"/>
        <v>0</v>
      </c>
      <c r="AP45" s="60">
        <f>ROUND(AO45*AN45*Input!$C$3/365,0)</f>
        <v>0</v>
      </c>
      <c r="AQ45" s="61">
        <f>IF($A45&lt;=Input!$C$6,0,IF('Fixed Tenure'!AM45&lt;'Fixed Tenure'!AO45,'Fixed Tenure'!AM45-AP45,'Fixed Tenure'!AO45))</f>
        <v>0</v>
      </c>
      <c r="AR45" s="61">
        <f t="shared" si="13"/>
        <v>0</v>
      </c>
      <c r="AS45" s="60">
        <f t="shared" si="14"/>
        <v>0</v>
      </c>
      <c r="AT45" s="193"/>
      <c r="AU45" s="169">
        <v>41</v>
      </c>
      <c r="AV45" s="1">
        <f t="shared" si="32"/>
        <v>46767</v>
      </c>
      <c r="AW45" s="60">
        <f>IF($X45&lt;Input!$H$88,IF($X45&lt;Input!$G$88,IF($X45&lt;Input!$F$88,IF($X45&lt;Input!$E$88,IF($X45&lt;Input!$D$88,Input!$C$94,Input!$D$94),Input!$E$94),Input!$F$94),Input!$G$94),Input!$H$94)</f>
        <v>0</v>
      </c>
      <c r="AX45" s="190">
        <f>IF($A45&lt;Input!$H$95,IF($A45&lt;Input!$G$95,IF($A45&lt;Input!$F$95,IF($A45&lt;Input!$E$95,IF($A45&lt;Input!$D$95,Input!$C$96,Input!$D$96),Input!$E$96),Input!$F$96),Input!$G$96),Input!$H$96)</f>
        <v>0.9</v>
      </c>
      <c r="AY45" s="60">
        <f t="shared" si="15"/>
        <v>0</v>
      </c>
      <c r="AZ45" s="60">
        <f t="shared" si="33"/>
        <v>31</v>
      </c>
      <c r="BA45" s="60">
        <f t="shared" si="16"/>
        <v>0</v>
      </c>
      <c r="BB45" s="60">
        <f>ROUND(BA45*AZ45*Input!$C$3/365,0)</f>
        <v>0</v>
      </c>
      <c r="BC45" s="61">
        <f>IF($A45&lt;=Input!$C$6,0,IF('Fixed Tenure'!AY45&lt;'Fixed Tenure'!BA45,'Fixed Tenure'!AY45-BB45,'Fixed Tenure'!BA45))</f>
        <v>0</v>
      </c>
      <c r="BD45" s="61">
        <f t="shared" si="17"/>
        <v>0</v>
      </c>
      <c r="BE45" s="60">
        <f t="shared" si="18"/>
        <v>0</v>
      </c>
      <c r="BF45" s="193"/>
      <c r="BG45" s="169">
        <v>41</v>
      </c>
      <c r="BH45" s="1">
        <f t="shared" si="34"/>
        <v>46767</v>
      </c>
      <c r="BI45" s="60">
        <f>IF($X45&lt;Input!$H$103,IF($X45&lt;Input!$G$103,IF($X45&lt;Input!$F$103,IF($X45&lt;Input!$E$103,IF($X45&lt;Input!$D$103,Input!$C$109,Input!$D$109),Input!$E$109),Input!$F$109),Input!$G$109),Input!$H$109)</f>
        <v>0</v>
      </c>
      <c r="BJ45" s="190">
        <f>IF($A45&lt;Input!$H$110,IF($A45&lt;Input!$G$110,IF($A45&lt;Input!$F$110,IF($A45&lt;Input!$E$110,IF($A45&lt;Input!$D$110,Input!$C$111,Input!$D$111),Input!$E$111),Input!$F$111),Input!$G$111),Input!$H$111)</f>
        <v>0.9</v>
      </c>
      <c r="BK45" s="60">
        <f t="shared" si="19"/>
        <v>0</v>
      </c>
      <c r="BL45" s="60">
        <f t="shared" si="35"/>
        <v>31</v>
      </c>
      <c r="BM45" s="60">
        <f t="shared" si="20"/>
        <v>0</v>
      </c>
      <c r="BN45" s="60">
        <f>ROUND(BM45*BL45*Input!$C$3/365,0)</f>
        <v>0</v>
      </c>
      <c r="BO45" s="61">
        <f>IF($A45&lt;=Input!$C$6,0,IF('Fixed Tenure'!BK45&lt;'Fixed Tenure'!BM45,'Fixed Tenure'!BK45-BN45,'Fixed Tenure'!BM45))</f>
        <v>0</v>
      </c>
      <c r="BP45" s="61">
        <f t="shared" si="21"/>
        <v>0</v>
      </c>
      <c r="BQ45" s="60">
        <f t="shared" si="22"/>
        <v>0</v>
      </c>
      <c r="BR45" s="198"/>
    </row>
    <row r="46" spans="1:70" x14ac:dyDescent="0.25">
      <c r="A46" s="169">
        <v>42</v>
      </c>
      <c r="B46" s="1">
        <f t="shared" si="23"/>
        <v>46798</v>
      </c>
      <c r="C46" s="60">
        <f t="shared" si="1"/>
        <v>18940500</v>
      </c>
      <c r="D46" s="60">
        <f t="shared" si="2"/>
        <v>17046450</v>
      </c>
      <c r="E46" s="60">
        <f t="shared" si="24"/>
        <v>31</v>
      </c>
      <c r="F46" s="60">
        <f t="shared" si="25"/>
        <v>820504674.22744608</v>
      </c>
      <c r="G46" s="60">
        <f>ROUND(F46*E46*Input!$C$3/365,0)</f>
        <v>10453005</v>
      </c>
      <c r="H46" s="60">
        <f>IF($A46&lt;=Input!$C$6,0,IF('Fixed Tenure'!D46&lt;'Fixed Tenure'!F46,'Fixed Tenure'!D46-G46,'Fixed Tenure'!F46))</f>
        <v>6593445</v>
      </c>
      <c r="I46" s="60">
        <f t="shared" si="26"/>
        <v>17046450</v>
      </c>
      <c r="J46" s="60">
        <f t="shared" si="27"/>
        <v>813911229.22744608</v>
      </c>
      <c r="K46" s="202">
        <f>J46/Input!$K$5</f>
        <v>2.7130374307581535</v>
      </c>
      <c r="L46" s="232"/>
      <c r="M46" s="60">
        <f>IF($B46&lt;Input!$H$43,IF($B46&lt;Input!$G$43,IF($B46&lt;Input!$F$43,IF($B46&lt;Input!$E$43,IF($B46&lt;Input!$D$43,Input!$C$49,Input!$D$49),Input!$E$49),Input!$F$49),Input!$G$49),Input!$H$49)</f>
        <v>18940500</v>
      </c>
      <c r="N46" s="190">
        <f>IF($A46&lt;Input!$H$50,IF($A46&lt;Input!$G$50,IF($A46&lt;Input!$F$50,IF($A46&lt;Input!$E$50,IF($A46&lt;Input!$D$50,Input!$C$51,Input!$D$51),Input!$E$51),Input!$F$51),Input!$G$51),Input!$H$51)</f>
        <v>0.9</v>
      </c>
      <c r="O46" s="60">
        <f t="shared" si="36"/>
        <v>17046450</v>
      </c>
      <c r="P46" s="60">
        <f t="shared" si="37"/>
        <v>31</v>
      </c>
      <c r="Q46" s="60">
        <f t="shared" si="4"/>
        <v>820504674.22744608</v>
      </c>
      <c r="R46" s="60">
        <f>ROUND(Q46*$P46*Input!$C$3/365,0)</f>
        <v>10453005</v>
      </c>
      <c r="S46" s="60">
        <f>IF(A46&lt;=Input!$C$6,0,IF('Fixed Tenure'!O46&lt;'Fixed Tenure'!Q46,'Fixed Tenure'!O46-R46,'Fixed Tenure'!Q46))</f>
        <v>6593445</v>
      </c>
      <c r="T46" s="60">
        <f t="shared" si="5"/>
        <v>17046450</v>
      </c>
      <c r="U46" s="60">
        <f t="shared" si="6"/>
        <v>813911229.22744608</v>
      </c>
      <c r="V46" s="193"/>
      <c r="W46" s="169">
        <v>42</v>
      </c>
      <c r="X46" s="1">
        <f t="shared" si="28"/>
        <v>46798</v>
      </c>
      <c r="Y46" s="60">
        <f>IF($X46&lt;Input!$H$58,IF($X46&lt;Input!$G$58,IF($X46&lt;Input!$F$58,IF($X46&lt;Input!$E$58,IF($X46&lt;Input!$D$58,Input!$C$64,Input!$D$64),Input!$E$64),Input!$F$64),Input!$G$64),Input!$H$64)</f>
        <v>0</v>
      </c>
      <c r="Z46" s="190">
        <f>IF($A46&lt;Input!$H$65,IF($A46&lt;Input!$G$65,IF($A46&lt;Input!$F$65,IF($A46&lt;Input!$E$65,IF($A46&lt;Input!$D$65,Input!$C$66,Input!$D$66),Input!$E$66),Input!$F$66),Input!$G$66),Input!$H$66)</f>
        <v>0.9</v>
      </c>
      <c r="AA46" s="60">
        <f t="shared" si="7"/>
        <v>0</v>
      </c>
      <c r="AB46" s="60">
        <f t="shared" si="29"/>
        <v>31</v>
      </c>
      <c r="AC46" s="60">
        <f t="shared" si="8"/>
        <v>0</v>
      </c>
      <c r="AD46" s="60">
        <f>ROUND(AC46*AB46*Input!$C$3/365,0)</f>
        <v>0</v>
      </c>
      <c r="AE46" s="61">
        <f>IF($A46&lt;=Input!$C$6,0,IF('Fixed Tenure'!AA46&lt;'Fixed Tenure'!AC46,'Fixed Tenure'!AA46-AD46,'Fixed Tenure'!AC46))</f>
        <v>0</v>
      </c>
      <c r="AF46" s="61">
        <f t="shared" si="9"/>
        <v>0</v>
      </c>
      <c r="AG46" s="60">
        <f t="shared" si="10"/>
        <v>0</v>
      </c>
      <c r="AH46" s="193"/>
      <c r="AI46" s="169">
        <v>42</v>
      </c>
      <c r="AJ46" s="1">
        <f t="shared" si="30"/>
        <v>46798</v>
      </c>
      <c r="AK46" s="60">
        <f>IF($X46&lt;Input!$H$73,IF($X46&lt;Input!$G$73,IF($X46&lt;Input!$F$73,IF($X46&lt;Input!$E$73,IF($X46&lt;Input!$D$73,Input!$C$79,Input!$D$79),Input!$E$79),Input!$F$79),Input!$G$79),Input!$H$79)</f>
        <v>0</v>
      </c>
      <c r="AL46" s="190">
        <f>IF($A46&lt;Input!$H$80,IF($A46&lt;Input!$G$80,IF($A46&lt;Input!$F$80,IF($A46&lt;Input!$E$80,IF($A46&lt;Input!$D$80,Input!$C$81,Input!$D$81),Input!$E$81),Input!$F$81),Input!$G$81),Input!$H$81)</f>
        <v>0.9</v>
      </c>
      <c r="AM46" s="60">
        <f t="shared" si="11"/>
        <v>0</v>
      </c>
      <c r="AN46" s="60">
        <f t="shared" si="31"/>
        <v>31</v>
      </c>
      <c r="AO46" s="60">
        <f t="shared" si="12"/>
        <v>0</v>
      </c>
      <c r="AP46" s="60">
        <f>ROUND(AO46*AN46*Input!$C$3/365,0)</f>
        <v>0</v>
      </c>
      <c r="AQ46" s="61">
        <f>IF($A46&lt;=Input!$C$6,0,IF('Fixed Tenure'!AM46&lt;'Fixed Tenure'!AO46,'Fixed Tenure'!AM46-AP46,'Fixed Tenure'!AO46))</f>
        <v>0</v>
      </c>
      <c r="AR46" s="61">
        <f t="shared" si="13"/>
        <v>0</v>
      </c>
      <c r="AS46" s="60">
        <f t="shared" si="14"/>
        <v>0</v>
      </c>
      <c r="AT46" s="193"/>
      <c r="AU46" s="169">
        <v>42</v>
      </c>
      <c r="AV46" s="1">
        <f t="shared" si="32"/>
        <v>46798</v>
      </c>
      <c r="AW46" s="60">
        <f>IF($X46&lt;Input!$H$88,IF($X46&lt;Input!$G$88,IF($X46&lt;Input!$F$88,IF($X46&lt;Input!$E$88,IF($X46&lt;Input!$D$88,Input!$C$94,Input!$D$94),Input!$E$94),Input!$F$94),Input!$G$94),Input!$H$94)</f>
        <v>0</v>
      </c>
      <c r="AX46" s="190">
        <f>IF($A46&lt;Input!$H$95,IF($A46&lt;Input!$G$95,IF($A46&lt;Input!$F$95,IF($A46&lt;Input!$E$95,IF($A46&lt;Input!$D$95,Input!$C$96,Input!$D$96),Input!$E$96),Input!$F$96),Input!$G$96),Input!$H$96)</f>
        <v>0.9</v>
      </c>
      <c r="AY46" s="60">
        <f t="shared" si="15"/>
        <v>0</v>
      </c>
      <c r="AZ46" s="60">
        <f t="shared" si="33"/>
        <v>31</v>
      </c>
      <c r="BA46" s="60">
        <f t="shared" si="16"/>
        <v>0</v>
      </c>
      <c r="BB46" s="60">
        <f>ROUND(BA46*AZ46*Input!$C$3/365,0)</f>
        <v>0</v>
      </c>
      <c r="BC46" s="61">
        <f>IF($A46&lt;=Input!$C$6,0,IF('Fixed Tenure'!AY46&lt;'Fixed Tenure'!BA46,'Fixed Tenure'!AY46-BB46,'Fixed Tenure'!BA46))</f>
        <v>0</v>
      </c>
      <c r="BD46" s="61">
        <f t="shared" si="17"/>
        <v>0</v>
      </c>
      <c r="BE46" s="60">
        <f t="shared" si="18"/>
        <v>0</v>
      </c>
      <c r="BF46" s="193"/>
      <c r="BG46" s="169">
        <v>42</v>
      </c>
      <c r="BH46" s="1">
        <f t="shared" si="34"/>
        <v>46798</v>
      </c>
      <c r="BI46" s="60">
        <f>IF($X46&lt;Input!$H$103,IF($X46&lt;Input!$G$103,IF($X46&lt;Input!$F$103,IF($X46&lt;Input!$E$103,IF($X46&lt;Input!$D$103,Input!$C$109,Input!$D$109),Input!$E$109),Input!$F$109),Input!$G$109),Input!$H$109)</f>
        <v>0</v>
      </c>
      <c r="BJ46" s="190">
        <f>IF($A46&lt;Input!$H$110,IF($A46&lt;Input!$G$110,IF($A46&lt;Input!$F$110,IF($A46&lt;Input!$E$110,IF($A46&lt;Input!$D$110,Input!$C$111,Input!$D$111),Input!$E$111),Input!$F$111),Input!$G$111),Input!$H$111)</f>
        <v>0.9</v>
      </c>
      <c r="BK46" s="60">
        <f t="shared" si="19"/>
        <v>0</v>
      </c>
      <c r="BL46" s="60">
        <f t="shared" si="35"/>
        <v>31</v>
      </c>
      <c r="BM46" s="60">
        <f t="shared" si="20"/>
        <v>0</v>
      </c>
      <c r="BN46" s="60">
        <f>ROUND(BM46*BL46*Input!$C$3/365,0)</f>
        <v>0</v>
      </c>
      <c r="BO46" s="61">
        <f>IF($A46&lt;=Input!$C$6,0,IF('Fixed Tenure'!BK46&lt;'Fixed Tenure'!BM46,'Fixed Tenure'!BK46-BN46,'Fixed Tenure'!BM46))</f>
        <v>0</v>
      </c>
      <c r="BP46" s="61">
        <f t="shared" si="21"/>
        <v>0</v>
      </c>
      <c r="BQ46" s="60">
        <f t="shared" si="22"/>
        <v>0</v>
      </c>
      <c r="BR46" s="198"/>
    </row>
    <row r="47" spans="1:70" x14ac:dyDescent="0.25">
      <c r="A47" s="169">
        <v>43</v>
      </c>
      <c r="B47" s="1">
        <f t="shared" si="23"/>
        <v>46827</v>
      </c>
      <c r="C47" s="60">
        <f t="shared" si="1"/>
        <v>18940500</v>
      </c>
      <c r="D47" s="60">
        <f t="shared" si="2"/>
        <v>17046450</v>
      </c>
      <c r="E47" s="60">
        <f t="shared" si="24"/>
        <v>29</v>
      </c>
      <c r="F47" s="60">
        <f t="shared" si="25"/>
        <v>813911229.22744608</v>
      </c>
      <c r="G47" s="60">
        <f>ROUND(F47*E47*Input!$C$3/365,0)</f>
        <v>9700038</v>
      </c>
      <c r="H47" s="60">
        <f>IF($A47&lt;=Input!$C$6,0,IF('Fixed Tenure'!D47&lt;'Fixed Tenure'!F47,'Fixed Tenure'!D47-G47,'Fixed Tenure'!F47))</f>
        <v>7346412</v>
      </c>
      <c r="I47" s="60">
        <f t="shared" si="26"/>
        <v>17046450</v>
      </c>
      <c r="J47" s="60">
        <f t="shared" si="27"/>
        <v>806564817.22744608</v>
      </c>
      <c r="K47" s="202">
        <f>J47/Input!$K$5</f>
        <v>2.6885493907581535</v>
      </c>
      <c r="L47" s="232"/>
      <c r="M47" s="60">
        <f>IF($B47&lt;Input!$H$43,IF($B47&lt;Input!$G$43,IF($B47&lt;Input!$F$43,IF($B47&lt;Input!$E$43,IF($B47&lt;Input!$D$43,Input!$C$49,Input!$D$49),Input!$E$49),Input!$F$49),Input!$G$49),Input!$H$49)</f>
        <v>18940500</v>
      </c>
      <c r="N47" s="190">
        <f>IF($A47&lt;Input!$H$50,IF($A47&lt;Input!$G$50,IF($A47&lt;Input!$F$50,IF($A47&lt;Input!$E$50,IF($A47&lt;Input!$D$50,Input!$C$51,Input!$D$51),Input!$E$51),Input!$F$51),Input!$G$51),Input!$H$51)</f>
        <v>0.9</v>
      </c>
      <c r="O47" s="60">
        <f t="shared" si="36"/>
        <v>17046450</v>
      </c>
      <c r="P47" s="60">
        <f t="shared" si="37"/>
        <v>29</v>
      </c>
      <c r="Q47" s="60">
        <f t="shared" si="4"/>
        <v>813911229.22744608</v>
      </c>
      <c r="R47" s="60">
        <f>ROUND(Q47*$P47*Input!$C$3/365,0)</f>
        <v>9700038</v>
      </c>
      <c r="S47" s="60">
        <f>IF(A47&lt;=Input!$C$6,0,IF('Fixed Tenure'!O47&lt;'Fixed Tenure'!Q47,'Fixed Tenure'!O47-R47,'Fixed Tenure'!Q47))</f>
        <v>7346412</v>
      </c>
      <c r="T47" s="60">
        <f t="shared" si="5"/>
        <v>17046450</v>
      </c>
      <c r="U47" s="60">
        <f t="shared" si="6"/>
        <v>806564817.22744608</v>
      </c>
      <c r="V47" s="193"/>
      <c r="W47" s="169">
        <v>43</v>
      </c>
      <c r="X47" s="1">
        <f t="shared" si="28"/>
        <v>46827</v>
      </c>
      <c r="Y47" s="60">
        <f>IF($X47&lt;Input!$H$58,IF($X47&lt;Input!$G$58,IF($X47&lt;Input!$F$58,IF($X47&lt;Input!$E$58,IF($X47&lt;Input!$D$58,Input!$C$64,Input!$D$64),Input!$E$64),Input!$F$64),Input!$G$64),Input!$H$64)</f>
        <v>0</v>
      </c>
      <c r="Z47" s="190">
        <f>IF($A47&lt;Input!$H$65,IF($A47&lt;Input!$G$65,IF($A47&lt;Input!$F$65,IF($A47&lt;Input!$E$65,IF($A47&lt;Input!$D$65,Input!$C$66,Input!$D$66),Input!$E$66),Input!$F$66),Input!$G$66),Input!$H$66)</f>
        <v>0.9</v>
      </c>
      <c r="AA47" s="60">
        <f t="shared" si="7"/>
        <v>0</v>
      </c>
      <c r="AB47" s="60">
        <f t="shared" si="29"/>
        <v>29</v>
      </c>
      <c r="AC47" s="60">
        <f t="shared" si="8"/>
        <v>0</v>
      </c>
      <c r="AD47" s="60">
        <f>ROUND(AC47*AB47*Input!$C$3/365,0)</f>
        <v>0</v>
      </c>
      <c r="AE47" s="61">
        <f>IF($A47&lt;=Input!$C$6,0,IF('Fixed Tenure'!AA47&lt;'Fixed Tenure'!AC47,'Fixed Tenure'!AA47-AD47,'Fixed Tenure'!AC47))</f>
        <v>0</v>
      </c>
      <c r="AF47" s="61">
        <f t="shared" si="9"/>
        <v>0</v>
      </c>
      <c r="AG47" s="60">
        <f t="shared" si="10"/>
        <v>0</v>
      </c>
      <c r="AH47" s="193"/>
      <c r="AI47" s="169">
        <v>43</v>
      </c>
      <c r="AJ47" s="1">
        <f t="shared" si="30"/>
        <v>46827</v>
      </c>
      <c r="AK47" s="60">
        <f>IF($X47&lt;Input!$H$73,IF($X47&lt;Input!$G$73,IF($X47&lt;Input!$F$73,IF($X47&lt;Input!$E$73,IF($X47&lt;Input!$D$73,Input!$C$79,Input!$D$79),Input!$E$79),Input!$F$79),Input!$G$79),Input!$H$79)</f>
        <v>0</v>
      </c>
      <c r="AL47" s="190">
        <f>IF($A47&lt;Input!$H$80,IF($A47&lt;Input!$G$80,IF($A47&lt;Input!$F$80,IF($A47&lt;Input!$E$80,IF($A47&lt;Input!$D$80,Input!$C$81,Input!$D$81),Input!$E$81),Input!$F$81),Input!$G$81),Input!$H$81)</f>
        <v>0.9</v>
      </c>
      <c r="AM47" s="60">
        <f t="shared" si="11"/>
        <v>0</v>
      </c>
      <c r="AN47" s="60">
        <f t="shared" si="31"/>
        <v>29</v>
      </c>
      <c r="AO47" s="60">
        <f t="shared" si="12"/>
        <v>0</v>
      </c>
      <c r="AP47" s="60">
        <f>ROUND(AO47*AN47*Input!$C$3/365,0)</f>
        <v>0</v>
      </c>
      <c r="AQ47" s="61">
        <f>IF($A47&lt;=Input!$C$6,0,IF('Fixed Tenure'!AM47&lt;'Fixed Tenure'!AO47,'Fixed Tenure'!AM47-AP47,'Fixed Tenure'!AO47))</f>
        <v>0</v>
      </c>
      <c r="AR47" s="61">
        <f t="shared" si="13"/>
        <v>0</v>
      </c>
      <c r="AS47" s="60">
        <f t="shared" si="14"/>
        <v>0</v>
      </c>
      <c r="AT47" s="193"/>
      <c r="AU47" s="169">
        <v>43</v>
      </c>
      <c r="AV47" s="1">
        <f t="shared" si="32"/>
        <v>46827</v>
      </c>
      <c r="AW47" s="60">
        <f>IF($X47&lt;Input!$H$88,IF($X47&lt;Input!$G$88,IF($X47&lt;Input!$F$88,IF($X47&lt;Input!$E$88,IF($X47&lt;Input!$D$88,Input!$C$94,Input!$D$94),Input!$E$94),Input!$F$94),Input!$G$94),Input!$H$94)</f>
        <v>0</v>
      </c>
      <c r="AX47" s="190">
        <f>IF($A47&lt;Input!$H$95,IF($A47&lt;Input!$G$95,IF($A47&lt;Input!$F$95,IF($A47&lt;Input!$E$95,IF($A47&lt;Input!$D$95,Input!$C$96,Input!$D$96),Input!$E$96),Input!$F$96),Input!$G$96),Input!$H$96)</f>
        <v>0.9</v>
      </c>
      <c r="AY47" s="60">
        <f t="shared" si="15"/>
        <v>0</v>
      </c>
      <c r="AZ47" s="60">
        <f t="shared" si="33"/>
        <v>29</v>
      </c>
      <c r="BA47" s="60">
        <f t="shared" si="16"/>
        <v>0</v>
      </c>
      <c r="BB47" s="60">
        <f>ROUND(BA47*AZ47*Input!$C$3/365,0)</f>
        <v>0</v>
      </c>
      <c r="BC47" s="61">
        <f>IF($A47&lt;=Input!$C$6,0,IF('Fixed Tenure'!AY47&lt;'Fixed Tenure'!BA47,'Fixed Tenure'!AY47-BB47,'Fixed Tenure'!BA47))</f>
        <v>0</v>
      </c>
      <c r="BD47" s="61">
        <f t="shared" si="17"/>
        <v>0</v>
      </c>
      <c r="BE47" s="60">
        <f t="shared" si="18"/>
        <v>0</v>
      </c>
      <c r="BF47" s="193"/>
      <c r="BG47" s="169">
        <v>43</v>
      </c>
      <c r="BH47" s="1">
        <f t="shared" si="34"/>
        <v>46827</v>
      </c>
      <c r="BI47" s="60">
        <f>IF($X47&lt;Input!$H$103,IF($X47&lt;Input!$G$103,IF($X47&lt;Input!$F$103,IF($X47&lt;Input!$E$103,IF($X47&lt;Input!$D$103,Input!$C$109,Input!$D$109),Input!$E$109),Input!$F$109),Input!$G$109),Input!$H$109)</f>
        <v>0</v>
      </c>
      <c r="BJ47" s="190">
        <f>IF($A47&lt;Input!$H$110,IF($A47&lt;Input!$G$110,IF($A47&lt;Input!$F$110,IF($A47&lt;Input!$E$110,IF($A47&lt;Input!$D$110,Input!$C$111,Input!$D$111),Input!$E$111),Input!$F$111),Input!$G$111),Input!$H$111)</f>
        <v>0.9</v>
      </c>
      <c r="BK47" s="60">
        <f t="shared" si="19"/>
        <v>0</v>
      </c>
      <c r="BL47" s="60">
        <f t="shared" si="35"/>
        <v>29</v>
      </c>
      <c r="BM47" s="60">
        <f t="shared" si="20"/>
        <v>0</v>
      </c>
      <c r="BN47" s="60">
        <f>ROUND(BM47*BL47*Input!$C$3/365,0)</f>
        <v>0</v>
      </c>
      <c r="BO47" s="61">
        <f>IF($A47&lt;=Input!$C$6,0,IF('Fixed Tenure'!BK47&lt;'Fixed Tenure'!BM47,'Fixed Tenure'!BK47-BN47,'Fixed Tenure'!BM47))</f>
        <v>0</v>
      </c>
      <c r="BP47" s="61">
        <f t="shared" si="21"/>
        <v>0</v>
      </c>
      <c r="BQ47" s="60">
        <f t="shared" si="22"/>
        <v>0</v>
      </c>
      <c r="BR47" s="198"/>
    </row>
    <row r="48" spans="1:70" x14ac:dyDescent="0.25">
      <c r="A48" s="169">
        <v>44</v>
      </c>
      <c r="B48" s="1">
        <f t="shared" si="23"/>
        <v>46858</v>
      </c>
      <c r="C48" s="60">
        <f t="shared" si="1"/>
        <v>18940500</v>
      </c>
      <c r="D48" s="60">
        <f t="shared" si="2"/>
        <v>17046450</v>
      </c>
      <c r="E48" s="60">
        <f t="shared" si="24"/>
        <v>31</v>
      </c>
      <c r="F48" s="60">
        <f t="shared" si="25"/>
        <v>806564817.22744608</v>
      </c>
      <c r="G48" s="60">
        <f>ROUND(F48*E48*Input!$C$3/365,0)</f>
        <v>10275415</v>
      </c>
      <c r="H48" s="60">
        <f>IF($A48&lt;=Input!$C$6,0,IF('Fixed Tenure'!D48&lt;'Fixed Tenure'!F48,'Fixed Tenure'!D48-G48,'Fixed Tenure'!F48))</f>
        <v>6771035</v>
      </c>
      <c r="I48" s="60">
        <f t="shared" si="26"/>
        <v>17046450</v>
      </c>
      <c r="J48" s="60">
        <f t="shared" si="27"/>
        <v>799793782.22744608</v>
      </c>
      <c r="K48" s="202">
        <f>J48/Input!$K$5</f>
        <v>2.6659792740914869</v>
      </c>
      <c r="L48" s="232"/>
      <c r="M48" s="60">
        <f>IF($B48&lt;Input!$H$43,IF($B48&lt;Input!$G$43,IF($B48&lt;Input!$F$43,IF($B48&lt;Input!$E$43,IF($B48&lt;Input!$D$43,Input!$C$49,Input!$D$49),Input!$E$49),Input!$F$49),Input!$G$49),Input!$H$49)</f>
        <v>18940500</v>
      </c>
      <c r="N48" s="190">
        <f>IF($A48&lt;Input!$H$50,IF($A48&lt;Input!$G$50,IF($A48&lt;Input!$F$50,IF($A48&lt;Input!$E$50,IF($A48&lt;Input!$D$50,Input!$C$51,Input!$D$51),Input!$E$51),Input!$F$51),Input!$G$51),Input!$H$51)</f>
        <v>0.9</v>
      </c>
      <c r="O48" s="60">
        <f t="shared" si="36"/>
        <v>17046450</v>
      </c>
      <c r="P48" s="60">
        <f t="shared" si="37"/>
        <v>31</v>
      </c>
      <c r="Q48" s="60">
        <f t="shared" si="4"/>
        <v>806564817.22744608</v>
      </c>
      <c r="R48" s="60">
        <f>ROUND(Q48*$P48*Input!$C$3/365,0)</f>
        <v>10275415</v>
      </c>
      <c r="S48" s="60">
        <f>IF(A48&lt;=Input!$C$6,0,IF('Fixed Tenure'!O48&lt;'Fixed Tenure'!Q48,'Fixed Tenure'!O48-R48,'Fixed Tenure'!Q48))</f>
        <v>6771035</v>
      </c>
      <c r="T48" s="60">
        <f t="shared" si="5"/>
        <v>17046450</v>
      </c>
      <c r="U48" s="60">
        <f t="shared" si="6"/>
        <v>799793782.22744608</v>
      </c>
      <c r="V48" s="193"/>
      <c r="W48" s="169">
        <v>44</v>
      </c>
      <c r="X48" s="1">
        <f t="shared" si="28"/>
        <v>46858</v>
      </c>
      <c r="Y48" s="60">
        <f>IF($X48&lt;Input!$H$58,IF($X48&lt;Input!$G$58,IF($X48&lt;Input!$F$58,IF($X48&lt;Input!$E$58,IF($X48&lt;Input!$D$58,Input!$C$64,Input!$D$64),Input!$E$64),Input!$F$64),Input!$G$64),Input!$H$64)</f>
        <v>0</v>
      </c>
      <c r="Z48" s="190">
        <f>IF($A48&lt;Input!$H$65,IF($A48&lt;Input!$G$65,IF($A48&lt;Input!$F$65,IF($A48&lt;Input!$E$65,IF($A48&lt;Input!$D$65,Input!$C$66,Input!$D$66),Input!$E$66),Input!$F$66),Input!$G$66),Input!$H$66)</f>
        <v>0.9</v>
      </c>
      <c r="AA48" s="60">
        <f t="shared" si="7"/>
        <v>0</v>
      </c>
      <c r="AB48" s="60">
        <f t="shared" si="29"/>
        <v>31</v>
      </c>
      <c r="AC48" s="60">
        <f t="shared" si="8"/>
        <v>0</v>
      </c>
      <c r="AD48" s="60">
        <f>ROUND(AC48*AB48*Input!$C$3/365,0)</f>
        <v>0</v>
      </c>
      <c r="AE48" s="61">
        <f>IF($A48&lt;=Input!$C$6,0,IF('Fixed Tenure'!AA48&lt;'Fixed Tenure'!AC48,'Fixed Tenure'!AA48-AD48,'Fixed Tenure'!AC48))</f>
        <v>0</v>
      </c>
      <c r="AF48" s="61">
        <f t="shared" si="9"/>
        <v>0</v>
      </c>
      <c r="AG48" s="60">
        <f t="shared" si="10"/>
        <v>0</v>
      </c>
      <c r="AH48" s="193"/>
      <c r="AI48" s="169">
        <v>44</v>
      </c>
      <c r="AJ48" s="1">
        <f t="shared" si="30"/>
        <v>46858</v>
      </c>
      <c r="AK48" s="60">
        <f>IF($X48&lt;Input!$H$73,IF($X48&lt;Input!$G$73,IF($X48&lt;Input!$F$73,IF($X48&lt;Input!$E$73,IF($X48&lt;Input!$D$73,Input!$C$79,Input!$D$79),Input!$E$79),Input!$F$79),Input!$G$79),Input!$H$79)</f>
        <v>0</v>
      </c>
      <c r="AL48" s="190">
        <f>IF($A48&lt;Input!$H$80,IF($A48&lt;Input!$G$80,IF($A48&lt;Input!$F$80,IF($A48&lt;Input!$E$80,IF($A48&lt;Input!$D$80,Input!$C$81,Input!$D$81),Input!$E$81),Input!$F$81),Input!$G$81),Input!$H$81)</f>
        <v>0.9</v>
      </c>
      <c r="AM48" s="60">
        <f t="shared" si="11"/>
        <v>0</v>
      </c>
      <c r="AN48" s="60">
        <f t="shared" si="31"/>
        <v>31</v>
      </c>
      <c r="AO48" s="60">
        <f t="shared" si="12"/>
        <v>0</v>
      </c>
      <c r="AP48" s="60">
        <f>ROUND(AO48*AN48*Input!$C$3/365,0)</f>
        <v>0</v>
      </c>
      <c r="AQ48" s="61">
        <f>IF($A48&lt;=Input!$C$6,0,IF('Fixed Tenure'!AM48&lt;'Fixed Tenure'!AO48,'Fixed Tenure'!AM48-AP48,'Fixed Tenure'!AO48))</f>
        <v>0</v>
      </c>
      <c r="AR48" s="61">
        <f t="shared" si="13"/>
        <v>0</v>
      </c>
      <c r="AS48" s="60">
        <f t="shared" si="14"/>
        <v>0</v>
      </c>
      <c r="AT48" s="193"/>
      <c r="AU48" s="169">
        <v>44</v>
      </c>
      <c r="AV48" s="1">
        <f t="shared" si="32"/>
        <v>46858</v>
      </c>
      <c r="AW48" s="60">
        <f>IF($X48&lt;Input!$H$88,IF($X48&lt;Input!$G$88,IF($X48&lt;Input!$F$88,IF($X48&lt;Input!$E$88,IF($X48&lt;Input!$D$88,Input!$C$94,Input!$D$94),Input!$E$94),Input!$F$94),Input!$G$94),Input!$H$94)</f>
        <v>0</v>
      </c>
      <c r="AX48" s="190">
        <f>IF($A48&lt;Input!$H$95,IF($A48&lt;Input!$G$95,IF($A48&lt;Input!$F$95,IF($A48&lt;Input!$E$95,IF($A48&lt;Input!$D$95,Input!$C$96,Input!$D$96),Input!$E$96),Input!$F$96),Input!$G$96),Input!$H$96)</f>
        <v>0.9</v>
      </c>
      <c r="AY48" s="60">
        <f t="shared" si="15"/>
        <v>0</v>
      </c>
      <c r="AZ48" s="60">
        <f t="shared" si="33"/>
        <v>31</v>
      </c>
      <c r="BA48" s="60">
        <f t="shared" si="16"/>
        <v>0</v>
      </c>
      <c r="BB48" s="60">
        <f>ROUND(BA48*AZ48*Input!$C$3/365,0)</f>
        <v>0</v>
      </c>
      <c r="BC48" s="61">
        <f>IF($A48&lt;=Input!$C$6,0,IF('Fixed Tenure'!AY48&lt;'Fixed Tenure'!BA48,'Fixed Tenure'!AY48-BB48,'Fixed Tenure'!BA48))</f>
        <v>0</v>
      </c>
      <c r="BD48" s="61">
        <f t="shared" si="17"/>
        <v>0</v>
      </c>
      <c r="BE48" s="60">
        <f t="shared" si="18"/>
        <v>0</v>
      </c>
      <c r="BF48" s="193"/>
      <c r="BG48" s="169">
        <v>44</v>
      </c>
      <c r="BH48" s="1">
        <f t="shared" si="34"/>
        <v>46858</v>
      </c>
      <c r="BI48" s="60">
        <f>IF($X48&lt;Input!$H$103,IF($X48&lt;Input!$G$103,IF($X48&lt;Input!$F$103,IF($X48&lt;Input!$E$103,IF($X48&lt;Input!$D$103,Input!$C$109,Input!$D$109),Input!$E$109),Input!$F$109),Input!$G$109),Input!$H$109)</f>
        <v>0</v>
      </c>
      <c r="BJ48" s="190">
        <f>IF($A48&lt;Input!$H$110,IF($A48&lt;Input!$G$110,IF($A48&lt;Input!$F$110,IF($A48&lt;Input!$E$110,IF($A48&lt;Input!$D$110,Input!$C$111,Input!$D$111),Input!$E$111),Input!$F$111),Input!$G$111),Input!$H$111)</f>
        <v>0.9</v>
      </c>
      <c r="BK48" s="60">
        <f t="shared" si="19"/>
        <v>0</v>
      </c>
      <c r="BL48" s="60">
        <f t="shared" si="35"/>
        <v>31</v>
      </c>
      <c r="BM48" s="60">
        <f t="shared" si="20"/>
        <v>0</v>
      </c>
      <c r="BN48" s="60">
        <f>ROUND(BM48*BL48*Input!$C$3/365,0)</f>
        <v>0</v>
      </c>
      <c r="BO48" s="61">
        <f>IF($A48&lt;=Input!$C$6,0,IF('Fixed Tenure'!BK48&lt;'Fixed Tenure'!BM48,'Fixed Tenure'!BK48-BN48,'Fixed Tenure'!BM48))</f>
        <v>0</v>
      </c>
      <c r="BP48" s="61">
        <f t="shared" si="21"/>
        <v>0</v>
      </c>
      <c r="BQ48" s="60">
        <f t="shared" si="22"/>
        <v>0</v>
      </c>
      <c r="BR48" s="198"/>
    </row>
    <row r="49" spans="1:70" x14ac:dyDescent="0.25">
      <c r="A49" s="169">
        <v>45</v>
      </c>
      <c r="B49" s="1">
        <f t="shared" si="23"/>
        <v>46888</v>
      </c>
      <c r="C49" s="60">
        <f t="shared" si="1"/>
        <v>18940500</v>
      </c>
      <c r="D49" s="60">
        <f t="shared" si="2"/>
        <v>17046450</v>
      </c>
      <c r="E49" s="60">
        <f t="shared" si="24"/>
        <v>30</v>
      </c>
      <c r="F49" s="60">
        <f t="shared" si="25"/>
        <v>799793782.22744608</v>
      </c>
      <c r="G49" s="60">
        <f>ROUND(F49*E49*Input!$C$3/365,0)</f>
        <v>9860471</v>
      </c>
      <c r="H49" s="60">
        <f>IF($A49&lt;=Input!$C$6,0,IF('Fixed Tenure'!D49&lt;'Fixed Tenure'!F49,'Fixed Tenure'!D49-G49,'Fixed Tenure'!F49))</f>
        <v>7185979</v>
      </c>
      <c r="I49" s="60">
        <f t="shared" si="26"/>
        <v>17046450</v>
      </c>
      <c r="J49" s="60">
        <f t="shared" si="27"/>
        <v>792607803.22744608</v>
      </c>
      <c r="K49" s="202">
        <f>J49/Input!$K$5</f>
        <v>2.6420260107581535</v>
      </c>
      <c r="L49" s="232"/>
      <c r="M49" s="60">
        <f>IF($B49&lt;Input!$H$43,IF($B49&lt;Input!$G$43,IF($B49&lt;Input!$F$43,IF($B49&lt;Input!$E$43,IF($B49&lt;Input!$D$43,Input!$C$49,Input!$D$49),Input!$E$49),Input!$F$49),Input!$G$49),Input!$H$49)</f>
        <v>18940500</v>
      </c>
      <c r="N49" s="190">
        <f>IF($A49&lt;Input!$H$50,IF($A49&lt;Input!$G$50,IF($A49&lt;Input!$F$50,IF($A49&lt;Input!$E$50,IF($A49&lt;Input!$D$50,Input!$C$51,Input!$D$51),Input!$E$51),Input!$F$51),Input!$G$51),Input!$H$51)</f>
        <v>0.9</v>
      </c>
      <c r="O49" s="60">
        <f t="shared" si="36"/>
        <v>17046450</v>
      </c>
      <c r="P49" s="60">
        <f t="shared" si="37"/>
        <v>30</v>
      </c>
      <c r="Q49" s="60">
        <f t="shared" si="4"/>
        <v>799793782.22744608</v>
      </c>
      <c r="R49" s="60">
        <f>ROUND(Q49*$P49*Input!$C$3/365,0)</f>
        <v>9860471</v>
      </c>
      <c r="S49" s="60">
        <f>IF(A49&lt;=Input!$C$6,0,IF('Fixed Tenure'!O49&lt;'Fixed Tenure'!Q49,'Fixed Tenure'!O49-R49,'Fixed Tenure'!Q49))</f>
        <v>7185979</v>
      </c>
      <c r="T49" s="60">
        <f t="shared" si="5"/>
        <v>17046450</v>
      </c>
      <c r="U49" s="60">
        <f t="shared" si="6"/>
        <v>792607803.22744608</v>
      </c>
      <c r="V49" s="193"/>
      <c r="W49" s="169">
        <v>45</v>
      </c>
      <c r="X49" s="1">
        <f t="shared" si="28"/>
        <v>46888</v>
      </c>
      <c r="Y49" s="60">
        <f>IF($X49&lt;Input!$H$58,IF($X49&lt;Input!$G$58,IF($X49&lt;Input!$F$58,IF($X49&lt;Input!$E$58,IF($X49&lt;Input!$D$58,Input!$C$64,Input!$D$64),Input!$E$64),Input!$F$64),Input!$G$64),Input!$H$64)</f>
        <v>0</v>
      </c>
      <c r="Z49" s="190">
        <f>IF($A49&lt;Input!$H$65,IF($A49&lt;Input!$G$65,IF($A49&lt;Input!$F$65,IF($A49&lt;Input!$E$65,IF($A49&lt;Input!$D$65,Input!$C$66,Input!$D$66),Input!$E$66),Input!$F$66),Input!$G$66),Input!$H$66)</f>
        <v>0.9</v>
      </c>
      <c r="AA49" s="60">
        <f t="shared" si="7"/>
        <v>0</v>
      </c>
      <c r="AB49" s="60">
        <f t="shared" si="29"/>
        <v>30</v>
      </c>
      <c r="AC49" s="60">
        <f t="shared" si="8"/>
        <v>0</v>
      </c>
      <c r="AD49" s="60">
        <f>ROUND(AC49*AB49*Input!$C$3/365,0)</f>
        <v>0</v>
      </c>
      <c r="AE49" s="61">
        <f>IF($A49&lt;=Input!$C$6,0,IF('Fixed Tenure'!AA49&lt;'Fixed Tenure'!AC49,'Fixed Tenure'!AA49-AD49,'Fixed Tenure'!AC49))</f>
        <v>0</v>
      </c>
      <c r="AF49" s="61">
        <f t="shared" si="9"/>
        <v>0</v>
      </c>
      <c r="AG49" s="60">
        <f t="shared" si="10"/>
        <v>0</v>
      </c>
      <c r="AH49" s="193"/>
      <c r="AI49" s="169">
        <v>45</v>
      </c>
      <c r="AJ49" s="1">
        <f t="shared" si="30"/>
        <v>46888</v>
      </c>
      <c r="AK49" s="60">
        <f>IF($X49&lt;Input!$H$73,IF($X49&lt;Input!$G$73,IF($X49&lt;Input!$F$73,IF($X49&lt;Input!$E$73,IF($X49&lt;Input!$D$73,Input!$C$79,Input!$D$79),Input!$E$79),Input!$F$79),Input!$G$79),Input!$H$79)</f>
        <v>0</v>
      </c>
      <c r="AL49" s="190">
        <f>IF($A49&lt;Input!$H$80,IF($A49&lt;Input!$G$80,IF($A49&lt;Input!$F$80,IF($A49&lt;Input!$E$80,IF($A49&lt;Input!$D$80,Input!$C$81,Input!$D$81),Input!$E$81),Input!$F$81),Input!$G$81),Input!$H$81)</f>
        <v>0.9</v>
      </c>
      <c r="AM49" s="60">
        <f t="shared" si="11"/>
        <v>0</v>
      </c>
      <c r="AN49" s="60">
        <f t="shared" si="31"/>
        <v>30</v>
      </c>
      <c r="AO49" s="60">
        <f t="shared" si="12"/>
        <v>0</v>
      </c>
      <c r="AP49" s="60">
        <f>ROUND(AO49*AN49*Input!$C$3/365,0)</f>
        <v>0</v>
      </c>
      <c r="AQ49" s="61">
        <f>IF($A49&lt;=Input!$C$6,0,IF('Fixed Tenure'!AM49&lt;'Fixed Tenure'!AO49,'Fixed Tenure'!AM49-AP49,'Fixed Tenure'!AO49))</f>
        <v>0</v>
      </c>
      <c r="AR49" s="61">
        <f t="shared" si="13"/>
        <v>0</v>
      </c>
      <c r="AS49" s="60">
        <f t="shared" si="14"/>
        <v>0</v>
      </c>
      <c r="AT49" s="193"/>
      <c r="AU49" s="169">
        <v>45</v>
      </c>
      <c r="AV49" s="1">
        <f t="shared" si="32"/>
        <v>46888</v>
      </c>
      <c r="AW49" s="60">
        <f>IF($X49&lt;Input!$H$88,IF($X49&lt;Input!$G$88,IF($X49&lt;Input!$F$88,IF($X49&lt;Input!$E$88,IF($X49&lt;Input!$D$88,Input!$C$94,Input!$D$94),Input!$E$94),Input!$F$94),Input!$G$94),Input!$H$94)</f>
        <v>0</v>
      </c>
      <c r="AX49" s="190">
        <f>IF($A49&lt;Input!$H$95,IF($A49&lt;Input!$G$95,IF($A49&lt;Input!$F$95,IF($A49&lt;Input!$E$95,IF($A49&lt;Input!$D$95,Input!$C$96,Input!$D$96),Input!$E$96),Input!$F$96),Input!$G$96),Input!$H$96)</f>
        <v>0.9</v>
      </c>
      <c r="AY49" s="60">
        <f t="shared" si="15"/>
        <v>0</v>
      </c>
      <c r="AZ49" s="60">
        <f t="shared" si="33"/>
        <v>30</v>
      </c>
      <c r="BA49" s="60">
        <f t="shared" si="16"/>
        <v>0</v>
      </c>
      <c r="BB49" s="60">
        <f>ROUND(BA49*AZ49*Input!$C$3/365,0)</f>
        <v>0</v>
      </c>
      <c r="BC49" s="61">
        <f>IF($A49&lt;=Input!$C$6,0,IF('Fixed Tenure'!AY49&lt;'Fixed Tenure'!BA49,'Fixed Tenure'!AY49-BB49,'Fixed Tenure'!BA49))</f>
        <v>0</v>
      </c>
      <c r="BD49" s="61">
        <f t="shared" si="17"/>
        <v>0</v>
      </c>
      <c r="BE49" s="60">
        <f t="shared" si="18"/>
        <v>0</v>
      </c>
      <c r="BF49" s="193"/>
      <c r="BG49" s="169">
        <v>45</v>
      </c>
      <c r="BH49" s="1">
        <f t="shared" si="34"/>
        <v>46888</v>
      </c>
      <c r="BI49" s="60">
        <f>IF($X49&lt;Input!$H$103,IF($X49&lt;Input!$G$103,IF($X49&lt;Input!$F$103,IF($X49&lt;Input!$E$103,IF($X49&lt;Input!$D$103,Input!$C$109,Input!$D$109),Input!$E$109),Input!$F$109),Input!$G$109),Input!$H$109)</f>
        <v>0</v>
      </c>
      <c r="BJ49" s="190">
        <f>IF($A49&lt;Input!$H$110,IF($A49&lt;Input!$G$110,IF($A49&lt;Input!$F$110,IF($A49&lt;Input!$E$110,IF($A49&lt;Input!$D$110,Input!$C$111,Input!$D$111),Input!$E$111),Input!$F$111),Input!$G$111),Input!$H$111)</f>
        <v>0.9</v>
      </c>
      <c r="BK49" s="60">
        <f t="shared" si="19"/>
        <v>0</v>
      </c>
      <c r="BL49" s="60">
        <f t="shared" si="35"/>
        <v>30</v>
      </c>
      <c r="BM49" s="60">
        <f t="shared" si="20"/>
        <v>0</v>
      </c>
      <c r="BN49" s="60">
        <f>ROUND(BM49*BL49*Input!$C$3/365,0)</f>
        <v>0</v>
      </c>
      <c r="BO49" s="61">
        <f>IF($A49&lt;=Input!$C$6,0,IF('Fixed Tenure'!BK49&lt;'Fixed Tenure'!BM49,'Fixed Tenure'!BK49-BN49,'Fixed Tenure'!BM49))</f>
        <v>0</v>
      </c>
      <c r="BP49" s="61">
        <f t="shared" si="21"/>
        <v>0</v>
      </c>
      <c r="BQ49" s="60">
        <f t="shared" si="22"/>
        <v>0</v>
      </c>
      <c r="BR49" s="198"/>
    </row>
    <row r="50" spans="1:70" x14ac:dyDescent="0.25">
      <c r="A50" s="169">
        <v>46</v>
      </c>
      <c r="B50" s="1">
        <f t="shared" si="23"/>
        <v>46919</v>
      </c>
      <c r="C50" s="60">
        <f t="shared" si="1"/>
        <v>18940500</v>
      </c>
      <c r="D50" s="60">
        <f t="shared" si="2"/>
        <v>17046450</v>
      </c>
      <c r="E50" s="60">
        <f t="shared" si="24"/>
        <v>31</v>
      </c>
      <c r="F50" s="60">
        <f t="shared" si="25"/>
        <v>792607803.22744608</v>
      </c>
      <c r="G50" s="60">
        <f>ROUND(F50*E50*Input!$C$3/365,0)</f>
        <v>10097606</v>
      </c>
      <c r="H50" s="60">
        <f>IF($A50&lt;=Input!$C$6,0,IF('Fixed Tenure'!D50&lt;'Fixed Tenure'!F50,'Fixed Tenure'!D50-G50,'Fixed Tenure'!F50))</f>
        <v>6948844</v>
      </c>
      <c r="I50" s="60">
        <f t="shared" si="26"/>
        <v>17046450</v>
      </c>
      <c r="J50" s="60">
        <f t="shared" si="27"/>
        <v>785658959.22744608</v>
      </c>
      <c r="K50" s="202">
        <f>J50/Input!$K$5</f>
        <v>2.6188631974248202</v>
      </c>
      <c r="L50" s="232"/>
      <c r="M50" s="60">
        <f>IF($B50&lt;Input!$H$43,IF($B50&lt;Input!$G$43,IF($B50&lt;Input!$F$43,IF($B50&lt;Input!$E$43,IF($B50&lt;Input!$D$43,Input!$C$49,Input!$D$49),Input!$E$49),Input!$F$49),Input!$G$49),Input!$H$49)</f>
        <v>18940500</v>
      </c>
      <c r="N50" s="190">
        <f>IF($A50&lt;Input!$H$50,IF($A50&lt;Input!$G$50,IF($A50&lt;Input!$F$50,IF($A50&lt;Input!$E$50,IF($A50&lt;Input!$D$50,Input!$C$51,Input!$D$51),Input!$E$51),Input!$F$51),Input!$G$51),Input!$H$51)</f>
        <v>0.9</v>
      </c>
      <c r="O50" s="60">
        <f t="shared" si="36"/>
        <v>17046450</v>
      </c>
      <c r="P50" s="60">
        <f t="shared" si="37"/>
        <v>31</v>
      </c>
      <c r="Q50" s="60">
        <f t="shared" si="4"/>
        <v>792607803.22744608</v>
      </c>
      <c r="R50" s="60">
        <f>ROUND(Q50*$P50*Input!$C$3/365,0)</f>
        <v>10097606</v>
      </c>
      <c r="S50" s="60">
        <f>IF(A50&lt;=Input!$C$6,0,IF('Fixed Tenure'!O50&lt;'Fixed Tenure'!Q50,'Fixed Tenure'!O50-R50,'Fixed Tenure'!Q50))</f>
        <v>6948844</v>
      </c>
      <c r="T50" s="60">
        <f t="shared" si="5"/>
        <v>17046450</v>
      </c>
      <c r="U50" s="60">
        <f t="shared" si="6"/>
        <v>785658959.22744608</v>
      </c>
      <c r="V50" s="193"/>
      <c r="W50" s="169">
        <v>46</v>
      </c>
      <c r="X50" s="1">
        <f t="shared" si="28"/>
        <v>46919</v>
      </c>
      <c r="Y50" s="60">
        <f>IF($X50&lt;Input!$H$58,IF($X50&lt;Input!$G$58,IF($X50&lt;Input!$F$58,IF($X50&lt;Input!$E$58,IF($X50&lt;Input!$D$58,Input!$C$64,Input!$D$64),Input!$E$64),Input!$F$64),Input!$G$64),Input!$H$64)</f>
        <v>0</v>
      </c>
      <c r="Z50" s="190">
        <f>IF($A50&lt;Input!$H$65,IF($A50&lt;Input!$G$65,IF($A50&lt;Input!$F$65,IF($A50&lt;Input!$E$65,IF($A50&lt;Input!$D$65,Input!$C$66,Input!$D$66),Input!$E$66),Input!$F$66),Input!$G$66),Input!$H$66)</f>
        <v>0.9</v>
      </c>
      <c r="AA50" s="60">
        <f t="shared" si="7"/>
        <v>0</v>
      </c>
      <c r="AB50" s="60">
        <f t="shared" si="29"/>
        <v>31</v>
      </c>
      <c r="AC50" s="60">
        <f t="shared" si="8"/>
        <v>0</v>
      </c>
      <c r="AD50" s="60">
        <f>ROUND(AC50*AB50*Input!$C$3/365,0)</f>
        <v>0</v>
      </c>
      <c r="AE50" s="61">
        <f>IF($A50&lt;=Input!$C$6,0,IF('Fixed Tenure'!AA50&lt;'Fixed Tenure'!AC50,'Fixed Tenure'!AA50-AD50,'Fixed Tenure'!AC50))</f>
        <v>0</v>
      </c>
      <c r="AF50" s="61">
        <f t="shared" si="9"/>
        <v>0</v>
      </c>
      <c r="AG50" s="60">
        <f t="shared" si="10"/>
        <v>0</v>
      </c>
      <c r="AH50" s="193"/>
      <c r="AI50" s="169">
        <v>46</v>
      </c>
      <c r="AJ50" s="1">
        <f t="shared" si="30"/>
        <v>46919</v>
      </c>
      <c r="AK50" s="60">
        <f>IF($X50&lt;Input!$H$73,IF($X50&lt;Input!$G$73,IF($X50&lt;Input!$F$73,IF($X50&lt;Input!$E$73,IF($X50&lt;Input!$D$73,Input!$C$79,Input!$D$79),Input!$E$79),Input!$F$79),Input!$G$79),Input!$H$79)</f>
        <v>0</v>
      </c>
      <c r="AL50" s="190">
        <f>IF($A50&lt;Input!$H$80,IF($A50&lt;Input!$G$80,IF($A50&lt;Input!$F$80,IF($A50&lt;Input!$E$80,IF($A50&lt;Input!$D$80,Input!$C$81,Input!$D$81),Input!$E$81),Input!$F$81),Input!$G$81),Input!$H$81)</f>
        <v>0.9</v>
      </c>
      <c r="AM50" s="60">
        <f t="shared" si="11"/>
        <v>0</v>
      </c>
      <c r="AN50" s="60">
        <f t="shared" si="31"/>
        <v>31</v>
      </c>
      <c r="AO50" s="60">
        <f t="shared" si="12"/>
        <v>0</v>
      </c>
      <c r="AP50" s="60">
        <f>ROUND(AO50*AN50*Input!$C$3/365,0)</f>
        <v>0</v>
      </c>
      <c r="AQ50" s="61">
        <f>IF($A50&lt;=Input!$C$6,0,IF('Fixed Tenure'!AM50&lt;'Fixed Tenure'!AO50,'Fixed Tenure'!AM50-AP50,'Fixed Tenure'!AO50))</f>
        <v>0</v>
      </c>
      <c r="AR50" s="61">
        <f t="shared" si="13"/>
        <v>0</v>
      </c>
      <c r="AS50" s="60">
        <f t="shared" si="14"/>
        <v>0</v>
      </c>
      <c r="AT50" s="193"/>
      <c r="AU50" s="169">
        <v>46</v>
      </c>
      <c r="AV50" s="1">
        <f t="shared" si="32"/>
        <v>46919</v>
      </c>
      <c r="AW50" s="60">
        <f>IF($X50&lt;Input!$H$88,IF($X50&lt;Input!$G$88,IF($X50&lt;Input!$F$88,IF($X50&lt;Input!$E$88,IF($X50&lt;Input!$D$88,Input!$C$94,Input!$D$94),Input!$E$94),Input!$F$94),Input!$G$94),Input!$H$94)</f>
        <v>0</v>
      </c>
      <c r="AX50" s="190">
        <f>IF($A50&lt;Input!$H$95,IF($A50&lt;Input!$G$95,IF($A50&lt;Input!$F$95,IF($A50&lt;Input!$E$95,IF($A50&lt;Input!$D$95,Input!$C$96,Input!$D$96),Input!$E$96),Input!$F$96),Input!$G$96),Input!$H$96)</f>
        <v>0.9</v>
      </c>
      <c r="AY50" s="60">
        <f t="shared" si="15"/>
        <v>0</v>
      </c>
      <c r="AZ50" s="60">
        <f t="shared" si="33"/>
        <v>31</v>
      </c>
      <c r="BA50" s="60">
        <f t="shared" si="16"/>
        <v>0</v>
      </c>
      <c r="BB50" s="60">
        <f>ROUND(BA50*AZ50*Input!$C$3/365,0)</f>
        <v>0</v>
      </c>
      <c r="BC50" s="61">
        <f>IF($A50&lt;=Input!$C$6,0,IF('Fixed Tenure'!AY50&lt;'Fixed Tenure'!BA50,'Fixed Tenure'!AY50-BB50,'Fixed Tenure'!BA50))</f>
        <v>0</v>
      </c>
      <c r="BD50" s="61">
        <f t="shared" si="17"/>
        <v>0</v>
      </c>
      <c r="BE50" s="60">
        <f t="shared" si="18"/>
        <v>0</v>
      </c>
      <c r="BF50" s="193"/>
      <c r="BG50" s="169">
        <v>46</v>
      </c>
      <c r="BH50" s="1">
        <f t="shared" si="34"/>
        <v>46919</v>
      </c>
      <c r="BI50" s="60">
        <f>IF($X50&lt;Input!$H$103,IF($X50&lt;Input!$G$103,IF($X50&lt;Input!$F$103,IF($X50&lt;Input!$E$103,IF($X50&lt;Input!$D$103,Input!$C$109,Input!$D$109),Input!$E$109),Input!$F$109),Input!$G$109),Input!$H$109)</f>
        <v>0</v>
      </c>
      <c r="BJ50" s="190">
        <f>IF($A50&lt;Input!$H$110,IF($A50&lt;Input!$G$110,IF($A50&lt;Input!$F$110,IF($A50&lt;Input!$E$110,IF($A50&lt;Input!$D$110,Input!$C$111,Input!$D$111),Input!$E$111),Input!$F$111),Input!$G$111),Input!$H$111)</f>
        <v>0.9</v>
      </c>
      <c r="BK50" s="60">
        <f t="shared" si="19"/>
        <v>0</v>
      </c>
      <c r="BL50" s="60">
        <f t="shared" si="35"/>
        <v>31</v>
      </c>
      <c r="BM50" s="60">
        <f t="shared" si="20"/>
        <v>0</v>
      </c>
      <c r="BN50" s="60">
        <f>ROUND(BM50*BL50*Input!$C$3/365,0)</f>
        <v>0</v>
      </c>
      <c r="BO50" s="61">
        <f>IF($A50&lt;=Input!$C$6,0,IF('Fixed Tenure'!BK50&lt;'Fixed Tenure'!BM50,'Fixed Tenure'!BK50-BN50,'Fixed Tenure'!BM50))</f>
        <v>0</v>
      </c>
      <c r="BP50" s="61">
        <f t="shared" si="21"/>
        <v>0</v>
      </c>
      <c r="BQ50" s="60">
        <f t="shared" si="22"/>
        <v>0</v>
      </c>
      <c r="BR50" s="198"/>
    </row>
    <row r="51" spans="1:70" x14ac:dyDescent="0.25">
      <c r="A51" s="169">
        <v>47</v>
      </c>
      <c r="B51" s="1">
        <f t="shared" si="23"/>
        <v>46949</v>
      </c>
      <c r="C51" s="60">
        <f t="shared" si="1"/>
        <v>18940500</v>
      </c>
      <c r="D51" s="60">
        <f t="shared" si="2"/>
        <v>17046450</v>
      </c>
      <c r="E51" s="60">
        <f t="shared" si="24"/>
        <v>30</v>
      </c>
      <c r="F51" s="60">
        <f t="shared" si="25"/>
        <v>785658959.22744608</v>
      </c>
      <c r="G51" s="60">
        <f>ROUND(F51*E51*Input!$C$3/365,0)</f>
        <v>9686206</v>
      </c>
      <c r="H51" s="60">
        <f>IF($A51&lt;=Input!$C$6,0,IF('Fixed Tenure'!D51&lt;'Fixed Tenure'!F51,'Fixed Tenure'!D51-G51,'Fixed Tenure'!F51))</f>
        <v>7360244</v>
      </c>
      <c r="I51" s="60">
        <f t="shared" si="26"/>
        <v>17046450</v>
      </c>
      <c r="J51" s="60">
        <f t="shared" si="27"/>
        <v>778298715.22744608</v>
      </c>
      <c r="K51" s="202">
        <f>J51/Input!$K$5</f>
        <v>2.5943290507581538</v>
      </c>
      <c r="L51" s="232"/>
      <c r="M51" s="60">
        <f>IF($B51&lt;Input!$H$43,IF($B51&lt;Input!$G$43,IF($B51&lt;Input!$F$43,IF($B51&lt;Input!$E$43,IF($B51&lt;Input!$D$43,Input!$C$49,Input!$D$49),Input!$E$49),Input!$F$49),Input!$G$49),Input!$H$49)</f>
        <v>18940500</v>
      </c>
      <c r="N51" s="190">
        <f>IF($A51&lt;Input!$H$50,IF($A51&lt;Input!$G$50,IF($A51&lt;Input!$F$50,IF($A51&lt;Input!$E$50,IF($A51&lt;Input!$D$50,Input!$C$51,Input!$D$51),Input!$E$51),Input!$F$51),Input!$G$51),Input!$H$51)</f>
        <v>0.9</v>
      </c>
      <c r="O51" s="60">
        <f t="shared" si="36"/>
        <v>17046450</v>
      </c>
      <c r="P51" s="60">
        <f t="shared" si="37"/>
        <v>30</v>
      </c>
      <c r="Q51" s="60">
        <f t="shared" si="4"/>
        <v>785658959.22744608</v>
      </c>
      <c r="R51" s="60">
        <f>ROUND(Q51*$P51*Input!$C$3/365,0)</f>
        <v>9686206</v>
      </c>
      <c r="S51" s="60">
        <f>IF(A51&lt;=Input!$C$6,0,IF('Fixed Tenure'!O51&lt;'Fixed Tenure'!Q51,'Fixed Tenure'!O51-R51,'Fixed Tenure'!Q51))</f>
        <v>7360244</v>
      </c>
      <c r="T51" s="60">
        <f t="shared" si="5"/>
        <v>17046450</v>
      </c>
      <c r="U51" s="60">
        <f t="shared" si="6"/>
        <v>778298715.22744608</v>
      </c>
      <c r="V51" s="193"/>
      <c r="W51" s="169">
        <v>47</v>
      </c>
      <c r="X51" s="1">
        <f t="shared" si="28"/>
        <v>46949</v>
      </c>
      <c r="Y51" s="60">
        <f>IF($X51&lt;Input!$H$58,IF($X51&lt;Input!$G$58,IF($X51&lt;Input!$F$58,IF($X51&lt;Input!$E$58,IF($X51&lt;Input!$D$58,Input!$C$64,Input!$D$64),Input!$E$64),Input!$F$64),Input!$G$64),Input!$H$64)</f>
        <v>0</v>
      </c>
      <c r="Z51" s="190">
        <f>IF($A51&lt;Input!$H$65,IF($A51&lt;Input!$G$65,IF($A51&lt;Input!$F$65,IF($A51&lt;Input!$E$65,IF($A51&lt;Input!$D$65,Input!$C$66,Input!$D$66),Input!$E$66),Input!$F$66),Input!$G$66),Input!$H$66)</f>
        <v>0.9</v>
      </c>
      <c r="AA51" s="60">
        <f t="shared" si="7"/>
        <v>0</v>
      </c>
      <c r="AB51" s="60">
        <f t="shared" si="29"/>
        <v>30</v>
      </c>
      <c r="AC51" s="60">
        <f t="shared" si="8"/>
        <v>0</v>
      </c>
      <c r="AD51" s="60">
        <f>ROUND(AC51*AB51*Input!$C$3/365,0)</f>
        <v>0</v>
      </c>
      <c r="AE51" s="61">
        <f>IF($A51&lt;=Input!$C$6,0,IF('Fixed Tenure'!AA51&lt;'Fixed Tenure'!AC51,'Fixed Tenure'!AA51-AD51,'Fixed Tenure'!AC51))</f>
        <v>0</v>
      </c>
      <c r="AF51" s="61">
        <f t="shared" si="9"/>
        <v>0</v>
      </c>
      <c r="AG51" s="60">
        <f t="shared" si="10"/>
        <v>0</v>
      </c>
      <c r="AH51" s="193"/>
      <c r="AI51" s="169">
        <v>47</v>
      </c>
      <c r="AJ51" s="1">
        <f t="shared" si="30"/>
        <v>46949</v>
      </c>
      <c r="AK51" s="60">
        <f>IF($X51&lt;Input!$H$73,IF($X51&lt;Input!$G$73,IF($X51&lt;Input!$F$73,IF($X51&lt;Input!$E$73,IF($X51&lt;Input!$D$73,Input!$C$79,Input!$D$79),Input!$E$79),Input!$F$79),Input!$G$79),Input!$H$79)</f>
        <v>0</v>
      </c>
      <c r="AL51" s="190">
        <f>IF($A51&lt;Input!$H$80,IF($A51&lt;Input!$G$80,IF($A51&lt;Input!$F$80,IF($A51&lt;Input!$E$80,IF($A51&lt;Input!$D$80,Input!$C$81,Input!$D$81),Input!$E$81),Input!$F$81),Input!$G$81),Input!$H$81)</f>
        <v>0.9</v>
      </c>
      <c r="AM51" s="60">
        <f t="shared" si="11"/>
        <v>0</v>
      </c>
      <c r="AN51" s="60">
        <f t="shared" si="31"/>
        <v>30</v>
      </c>
      <c r="AO51" s="60">
        <f t="shared" si="12"/>
        <v>0</v>
      </c>
      <c r="AP51" s="60">
        <f>ROUND(AO51*AN51*Input!$C$3/365,0)</f>
        <v>0</v>
      </c>
      <c r="AQ51" s="61">
        <f>IF($A51&lt;=Input!$C$6,0,IF('Fixed Tenure'!AM51&lt;'Fixed Tenure'!AO51,'Fixed Tenure'!AM51-AP51,'Fixed Tenure'!AO51))</f>
        <v>0</v>
      </c>
      <c r="AR51" s="61">
        <f t="shared" si="13"/>
        <v>0</v>
      </c>
      <c r="AS51" s="60">
        <f t="shared" si="14"/>
        <v>0</v>
      </c>
      <c r="AT51" s="193"/>
      <c r="AU51" s="169">
        <v>47</v>
      </c>
      <c r="AV51" s="1">
        <f t="shared" si="32"/>
        <v>46949</v>
      </c>
      <c r="AW51" s="60">
        <f>IF($X51&lt;Input!$H$88,IF($X51&lt;Input!$G$88,IF($X51&lt;Input!$F$88,IF($X51&lt;Input!$E$88,IF($X51&lt;Input!$D$88,Input!$C$94,Input!$D$94),Input!$E$94),Input!$F$94),Input!$G$94),Input!$H$94)</f>
        <v>0</v>
      </c>
      <c r="AX51" s="190">
        <f>IF($A51&lt;Input!$H$95,IF($A51&lt;Input!$G$95,IF($A51&lt;Input!$F$95,IF($A51&lt;Input!$E$95,IF($A51&lt;Input!$D$95,Input!$C$96,Input!$D$96),Input!$E$96),Input!$F$96),Input!$G$96),Input!$H$96)</f>
        <v>0.9</v>
      </c>
      <c r="AY51" s="60">
        <f t="shared" si="15"/>
        <v>0</v>
      </c>
      <c r="AZ51" s="60">
        <f t="shared" si="33"/>
        <v>30</v>
      </c>
      <c r="BA51" s="60">
        <f t="shared" si="16"/>
        <v>0</v>
      </c>
      <c r="BB51" s="60">
        <f>ROUND(BA51*AZ51*Input!$C$3/365,0)</f>
        <v>0</v>
      </c>
      <c r="BC51" s="61">
        <f>IF($A51&lt;=Input!$C$6,0,IF('Fixed Tenure'!AY51&lt;'Fixed Tenure'!BA51,'Fixed Tenure'!AY51-BB51,'Fixed Tenure'!BA51))</f>
        <v>0</v>
      </c>
      <c r="BD51" s="61">
        <f t="shared" si="17"/>
        <v>0</v>
      </c>
      <c r="BE51" s="60">
        <f t="shared" si="18"/>
        <v>0</v>
      </c>
      <c r="BF51" s="193"/>
      <c r="BG51" s="169">
        <v>47</v>
      </c>
      <c r="BH51" s="1">
        <f t="shared" si="34"/>
        <v>46949</v>
      </c>
      <c r="BI51" s="60">
        <f>IF($X51&lt;Input!$H$103,IF($X51&lt;Input!$G$103,IF($X51&lt;Input!$F$103,IF($X51&lt;Input!$E$103,IF($X51&lt;Input!$D$103,Input!$C$109,Input!$D$109),Input!$E$109),Input!$F$109),Input!$G$109),Input!$H$109)</f>
        <v>0</v>
      </c>
      <c r="BJ51" s="190">
        <f>IF($A51&lt;Input!$H$110,IF($A51&lt;Input!$G$110,IF($A51&lt;Input!$F$110,IF($A51&lt;Input!$E$110,IF($A51&lt;Input!$D$110,Input!$C$111,Input!$D$111),Input!$E$111),Input!$F$111),Input!$G$111),Input!$H$111)</f>
        <v>0.9</v>
      </c>
      <c r="BK51" s="60">
        <f t="shared" si="19"/>
        <v>0</v>
      </c>
      <c r="BL51" s="60">
        <f t="shared" si="35"/>
        <v>30</v>
      </c>
      <c r="BM51" s="60">
        <f t="shared" si="20"/>
        <v>0</v>
      </c>
      <c r="BN51" s="60">
        <f>ROUND(BM51*BL51*Input!$C$3/365,0)</f>
        <v>0</v>
      </c>
      <c r="BO51" s="61">
        <f>IF($A51&lt;=Input!$C$6,0,IF('Fixed Tenure'!BK51&lt;'Fixed Tenure'!BM51,'Fixed Tenure'!BK51-BN51,'Fixed Tenure'!BM51))</f>
        <v>0</v>
      </c>
      <c r="BP51" s="61">
        <f t="shared" si="21"/>
        <v>0</v>
      </c>
      <c r="BQ51" s="60">
        <f t="shared" si="22"/>
        <v>0</v>
      </c>
      <c r="BR51" s="198"/>
    </row>
    <row r="52" spans="1:70" x14ac:dyDescent="0.25">
      <c r="A52" s="169">
        <v>48</v>
      </c>
      <c r="B52" s="1">
        <f t="shared" si="23"/>
        <v>46980</v>
      </c>
      <c r="C52" s="60">
        <f t="shared" si="1"/>
        <v>18940500</v>
      </c>
      <c r="D52" s="60">
        <f t="shared" si="2"/>
        <v>17046450</v>
      </c>
      <c r="E52" s="60">
        <f t="shared" si="24"/>
        <v>31</v>
      </c>
      <c r="F52" s="60">
        <f t="shared" si="25"/>
        <v>778298715.22744608</v>
      </c>
      <c r="G52" s="60">
        <f>ROUND(F52*E52*Input!$C$3/365,0)</f>
        <v>9915312</v>
      </c>
      <c r="H52" s="60">
        <f>IF($A52&lt;=Input!$C$6,0,IF('Fixed Tenure'!D52&lt;'Fixed Tenure'!F52,'Fixed Tenure'!D52-G52,'Fixed Tenure'!F52))</f>
        <v>7131138</v>
      </c>
      <c r="I52" s="60">
        <f t="shared" si="26"/>
        <v>17046450</v>
      </c>
      <c r="J52" s="60">
        <f t="shared" si="27"/>
        <v>771167577.22744608</v>
      </c>
      <c r="K52" s="202">
        <f>J52/Input!$K$5</f>
        <v>2.5705585907581536</v>
      </c>
      <c r="L52" s="232"/>
      <c r="M52" s="60">
        <f>IF($B52&lt;Input!$H$43,IF($B52&lt;Input!$G$43,IF($B52&lt;Input!$F$43,IF($B52&lt;Input!$E$43,IF($B52&lt;Input!$D$43,Input!$C$49,Input!$D$49),Input!$E$49),Input!$F$49),Input!$G$49),Input!$H$49)</f>
        <v>18940500</v>
      </c>
      <c r="N52" s="190">
        <f>IF($A52&lt;Input!$H$50,IF($A52&lt;Input!$G$50,IF($A52&lt;Input!$F$50,IF($A52&lt;Input!$E$50,IF($A52&lt;Input!$D$50,Input!$C$51,Input!$D$51),Input!$E$51),Input!$F$51),Input!$G$51),Input!$H$51)</f>
        <v>0.9</v>
      </c>
      <c r="O52" s="60">
        <f t="shared" si="36"/>
        <v>17046450</v>
      </c>
      <c r="P52" s="60">
        <f t="shared" si="37"/>
        <v>31</v>
      </c>
      <c r="Q52" s="60">
        <f t="shared" si="4"/>
        <v>778298715.22744608</v>
      </c>
      <c r="R52" s="60">
        <f>ROUND(Q52*$P52*Input!$C$3/365,0)</f>
        <v>9915312</v>
      </c>
      <c r="S52" s="60">
        <f>IF(A52&lt;=Input!$C$6,0,IF('Fixed Tenure'!O52&lt;'Fixed Tenure'!Q52,'Fixed Tenure'!O52-R52,'Fixed Tenure'!Q52))</f>
        <v>7131138</v>
      </c>
      <c r="T52" s="60">
        <f t="shared" si="5"/>
        <v>17046450</v>
      </c>
      <c r="U52" s="60">
        <f t="shared" si="6"/>
        <v>771167577.22744608</v>
      </c>
      <c r="V52" s="193"/>
      <c r="W52" s="169">
        <v>48</v>
      </c>
      <c r="X52" s="1">
        <f t="shared" si="28"/>
        <v>46980</v>
      </c>
      <c r="Y52" s="60">
        <f>IF($X52&lt;Input!$H$58,IF($X52&lt;Input!$G$58,IF($X52&lt;Input!$F$58,IF($X52&lt;Input!$E$58,IF($X52&lt;Input!$D$58,Input!$C$64,Input!$D$64),Input!$E$64),Input!$F$64),Input!$G$64),Input!$H$64)</f>
        <v>0</v>
      </c>
      <c r="Z52" s="190">
        <f>IF($A52&lt;Input!$H$65,IF($A52&lt;Input!$G$65,IF($A52&lt;Input!$F$65,IF($A52&lt;Input!$E$65,IF($A52&lt;Input!$D$65,Input!$C$66,Input!$D$66),Input!$E$66),Input!$F$66),Input!$G$66),Input!$H$66)</f>
        <v>0.9</v>
      </c>
      <c r="AA52" s="60">
        <f t="shared" si="7"/>
        <v>0</v>
      </c>
      <c r="AB52" s="60">
        <f t="shared" si="29"/>
        <v>31</v>
      </c>
      <c r="AC52" s="60">
        <f t="shared" si="8"/>
        <v>0</v>
      </c>
      <c r="AD52" s="60">
        <f>ROUND(AC52*AB52*Input!$C$3/365,0)</f>
        <v>0</v>
      </c>
      <c r="AE52" s="61">
        <f>IF($A52&lt;=Input!$C$6,0,IF('Fixed Tenure'!AA52&lt;'Fixed Tenure'!AC52,'Fixed Tenure'!AA52-AD52,'Fixed Tenure'!AC52))</f>
        <v>0</v>
      </c>
      <c r="AF52" s="61">
        <f t="shared" si="9"/>
        <v>0</v>
      </c>
      <c r="AG52" s="60">
        <f t="shared" si="10"/>
        <v>0</v>
      </c>
      <c r="AH52" s="193"/>
      <c r="AI52" s="169">
        <v>48</v>
      </c>
      <c r="AJ52" s="1">
        <f t="shared" si="30"/>
        <v>46980</v>
      </c>
      <c r="AK52" s="60">
        <f>IF($X52&lt;Input!$H$73,IF($X52&lt;Input!$G$73,IF($X52&lt;Input!$F$73,IF($X52&lt;Input!$E$73,IF($X52&lt;Input!$D$73,Input!$C$79,Input!$D$79),Input!$E$79),Input!$F$79),Input!$G$79),Input!$H$79)</f>
        <v>0</v>
      </c>
      <c r="AL52" s="190">
        <f>IF($A52&lt;Input!$H$80,IF($A52&lt;Input!$G$80,IF($A52&lt;Input!$F$80,IF($A52&lt;Input!$E$80,IF($A52&lt;Input!$D$80,Input!$C$81,Input!$D$81),Input!$E$81),Input!$F$81),Input!$G$81),Input!$H$81)</f>
        <v>0.9</v>
      </c>
      <c r="AM52" s="60">
        <f t="shared" si="11"/>
        <v>0</v>
      </c>
      <c r="AN52" s="60">
        <f t="shared" si="31"/>
        <v>31</v>
      </c>
      <c r="AO52" s="60">
        <f t="shared" si="12"/>
        <v>0</v>
      </c>
      <c r="AP52" s="60">
        <f>ROUND(AO52*AN52*Input!$C$3/365,0)</f>
        <v>0</v>
      </c>
      <c r="AQ52" s="61">
        <f>IF($A52&lt;=Input!$C$6,0,IF('Fixed Tenure'!AM52&lt;'Fixed Tenure'!AO52,'Fixed Tenure'!AM52-AP52,'Fixed Tenure'!AO52))</f>
        <v>0</v>
      </c>
      <c r="AR52" s="61">
        <f t="shared" si="13"/>
        <v>0</v>
      </c>
      <c r="AS52" s="60">
        <f t="shared" si="14"/>
        <v>0</v>
      </c>
      <c r="AT52" s="193"/>
      <c r="AU52" s="169">
        <v>48</v>
      </c>
      <c r="AV52" s="1">
        <f t="shared" si="32"/>
        <v>46980</v>
      </c>
      <c r="AW52" s="60">
        <f>IF($X52&lt;Input!$H$88,IF($X52&lt;Input!$G$88,IF($X52&lt;Input!$F$88,IF($X52&lt;Input!$E$88,IF($X52&lt;Input!$D$88,Input!$C$94,Input!$D$94),Input!$E$94),Input!$F$94),Input!$G$94),Input!$H$94)</f>
        <v>0</v>
      </c>
      <c r="AX52" s="190">
        <f>IF($A52&lt;Input!$H$95,IF($A52&lt;Input!$G$95,IF($A52&lt;Input!$F$95,IF($A52&lt;Input!$E$95,IF($A52&lt;Input!$D$95,Input!$C$96,Input!$D$96),Input!$E$96),Input!$F$96),Input!$G$96),Input!$H$96)</f>
        <v>0.9</v>
      </c>
      <c r="AY52" s="60">
        <f t="shared" si="15"/>
        <v>0</v>
      </c>
      <c r="AZ52" s="60">
        <f t="shared" si="33"/>
        <v>31</v>
      </c>
      <c r="BA52" s="60">
        <f t="shared" si="16"/>
        <v>0</v>
      </c>
      <c r="BB52" s="60">
        <f>ROUND(BA52*AZ52*Input!$C$3/365,0)</f>
        <v>0</v>
      </c>
      <c r="BC52" s="61">
        <f>IF($A52&lt;=Input!$C$6,0,IF('Fixed Tenure'!AY52&lt;'Fixed Tenure'!BA52,'Fixed Tenure'!AY52-BB52,'Fixed Tenure'!BA52))</f>
        <v>0</v>
      </c>
      <c r="BD52" s="61">
        <f t="shared" si="17"/>
        <v>0</v>
      </c>
      <c r="BE52" s="60">
        <f t="shared" si="18"/>
        <v>0</v>
      </c>
      <c r="BF52" s="193"/>
      <c r="BG52" s="169">
        <v>48</v>
      </c>
      <c r="BH52" s="1">
        <f t="shared" si="34"/>
        <v>46980</v>
      </c>
      <c r="BI52" s="60">
        <f>IF($X52&lt;Input!$H$103,IF($X52&lt;Input!$G$103,IF($X52&lt;Input!$F$103,IF($X52&lt;Input!$E$103,IF($X52&lt;Input!$D$103,Input!$C$109,Input!$D$109),Input!$E$109),Input!$F$109),Input!$G$109),Input!$H$109)</f>
        <v>0</v>
      </c>
      <c r="BJ52" s="190">
        <f>IF($A52&lt;Input!$H$110,IF($A52&lt;Input!$G$110,IF($A52&lt;Input!$F$110,IF($A52&lt;Input!$E$110,IF($A52&lt;Input!$D$110,Input!$C$111,Input!$D$111),Input!$E$111),Input!$F$111),Input!$G$111),Input!$H$111)</f>
        <v>0.9</v>
      </c>
      <c r="BK52" s="60">
        <f t="shared" si="19"/>
        <v>0</v>
      </c>
      <c r="BL52" s="60">
        <f t="shared" si="35"/>
        <v>31</v>
      </c>
      <c r="BM52" s="60">
        <f t="shared" si="20"/>
        <v>0</v>
      </c>
      <c r="BN52" s="60">
        <f>ROUND(BM52*BL52*Input!$C$3/365,0)</f>
        <v>0</v>
      </c>
      <c r="BO52" s="61">
        <f>IF($A52&lt;=Input!$C$6,0,IF('Fixed Tenure'!BK52&lt;'Fixed Tenure'!BM52,'Fixed Tenure'!BK52-BN52,'Fixed Tenure'!BM52))</f>
        <v>0</v>
      </c>
      <c r="BP52" s="61">
        <f t="shared" si="21"/>
        <v>0</v>
      </c>
      <c r="BQ52" s="60">
        <f t="shared" si="22"/>
        <v>0</v>
      </c>
      <c r="BR52" s="198"/>
    </row>
    <row r="53" spans="1:70" x14ac:dyDescent="0.25">
      <c r="A53" s="169">
        <v>49</v>
      </c>
      <c r="B53" s="1">
        <f t="shared" si="23"/>
        <v>47011</v>
      </c>
      <c r="C53" s="60">
        <f t="shared" si="1"/>
        <v>18940500</v>
      </c>
      <c r="D53" s="60">
        <f t="shared" si="2"/>
        <v>17046450</v>
      </c>
      <c r="E53" s="60">
        <f t="shared" si="24"/>
        <v>31</v>
      </c>
      <c r="F53" s="60">
        <f t="shared" si="25"/>
        <v>771167577.22744608</v>
      </c>
      <c r="G53" s="60">
        <f>ROUND(F53*E53*Input!$C$3/365,0)</f>
        <v>9824464</v>
      </c>
      <c r="H53" s="60">
        <f>IF($A53&lt;=Input!$C$6,0,IF('Fixed Tenure'!D53&lt;'Fixed Tenure'!F53,'Fixed Tenure'!D53-G53,'Fixed Tenure'!F53))</f>
        <v>7221986</v>
      </c>
      <c r="I53" s="60">
        <f t="shared" si="26"/>
        <v>17046450</v>
      </c>
      <c r="J53" s="60">
        <f t="shared" si="27"/>
        <v>763945591.22744608</v>
      </c>
      <c r="K53" s="202">
        <f>J53/Input!$K$5</f>
        <v>2.5464853040914868</v>
      </c>
      <c r="L53" s="232"/>
      <c r="M53" s="60">
        <f>IF($B53&lt;Input!$H$43,IF($B53&lt;Input!$G$43,IF($B53&lt;Input!$F$43,IF($B53&lt;Input!$E$43,IF($B53&lt;Input!$D$43,Input!$C$49,Input!$D$49),Input!$E$49),Input!$F$49),Input!$G$49),Input!$H$49)</f>
        <v>18940500</v>
      </c>
      <c r="N53" s="190">
        <f>IF($A53&lt;Input!$H$50,IF($A53&lt;Input!$G$50,IF($A53&lt;Input!$F$50,IF($A53&lt;Input!$E$50,IF($A53&lt;Input!$D$50,Input!$C$51,Input!$D$51),Input!$E$51),Input!$F$51),Input!$G$51),Input!$H$51)</f>
        <v>0.9</v>
      </c>
      <c r="O53" s="60">
        <f t="shared" si="36"/>
        <v>17046450</v>
      </c>
      <c r="P53" s="60">
        <f t="shared" si="37"/>
        <v>31</v>
      </c>
      <c r="Q53" s="60">
        <f t="shared" si="4"/>
        <v>771167577.22744608</v>
      </c>
      <c r="R53" s="60">
        <f>ROUND(Q53*$P53*Input!$C$3/365,0)</f>
        <v>9824464</v>
      </c>
      <c r="S53" s="60">
        <f>IF(A53&lt;=Input!$C$6,0,IF('Fixed Tenure'!O53&lt;'Fixed Tenure'!Q53,'Fixed Tenure'!O53-R53,'Fixed Tenure'!Q53))</f>
        <v>7221986</v>
      </c>
      <c r="T53" s="60">
        <f t="shared" si="5"/>
        <v>17046450</v>
      </c>
      <c r="U53" s="60">
        <f t="shared" si="6"/>
        <v>763945591.22744608</v>
      </c>
      <c r="V53" s="193"/>
      <c r="W53" s="169">
        <v>49</v>
      </c>
      <c r="X53" s="1">
        <f t="shared" si="28"/>
        <v>47011</v>
      </c>
      <c r="Y53" s="60">
        <f>IF($X53&lt;Input!$H$58,IF($X53&lt;Input!$G$58,IF($X53&lt;Input!$F$58,IF($X53&lt;Input!$E$58,IF($X53&lt;Input!$D$58,Input!$C$64,Input!$D$64),Input!$E$64),Input!$F$64),Input!$G$64),Input!$H$64)</f>
        <v>0</v>
      </c>
      <c r="Z53" s="190">
        <f>IF($A53&lt;Input!$H$65,IF($A53&lt;Input!$G$65,IF($A53&lt;Input!$F$65,IF($A53&lt;Input!$E$65,IF($A53&lt;Input!$D$65,Input!$C$66,Input!$D$66),Input!$E$66),Input!$F$66),Input!$G$66),Input!$H$66)</f>
        <v>0.9</v>
      </c>
      <c r="AA53" s="60">
        <f t="shared" si="7"/>
        <v>0</v>
      </c>
      <c r="AB53" s="60">
        <f t="shared" si="29"/>
        <v>31</v>
      </c>
      <c r="AC53" s="60">
        <f t="shared" si="8"/>
        <v>0</v>
      </c>
      <c r="AD53" s="60">
        <f>ROUND(AC53*AB53*Input!$C$3/365,0)</f>
        <v>0</v>
      </c>
      <c r="AE53" s="61">
        <f>IF($A53&lt;=Input!$C$6,0,IF('Fixed Tenure'!AA53&lt;'Fixed Tenure'!AC53,'Fixed Tenure'!AA53-AD53,'Fixed Tenure'!AC53))</f>
        <v>0</v>
      </c>
      <c r="AF53" s="61">
        <f t="shared" si="9"/>
        <v>0</v>
      </c>
      <c r="AG53" s="60">
        <f t="shared" si="10"/>
        <v>0</v>
      </c>
      <c r="AH53" s="193"/>
      <c r="AI53" s="169">
        <v>49</v>
      </c>
      <c r="AJ53" s="1">
        <f t="shared" si="30"/>
        <v>47011</v>
      </c>
      <c r="AK53" s="60">
        <f>IF($X53&lt;Input!$H$73,IF($X53&lt;Input!$G$73,IF($X53&lt;Input!$F$73,IF($X53&lt;Input!$E$73,IF($X53&lt;Input!$D$73,Input!$C$79,Input!$D$79),Input!$E$79),Input!$F$79),Input!$G$79),Input!$H$79)</f>
        <v>0</v>
      </c>
      <c r="AL53" s="190">
        <f>IF($A53&lt;Input!$H$80,IF($A53&lt;Input!$G$80,IF($A53&lt;Input!$F$80,IF($A53&lt;Input!$E$80,IF($A53&lt;Input!$D$80,Input!$C$81,Input!$D$81),Input!$E$81),Input!$F$81),Input!$G$81),Input!$H$81)</f>
        <v>0.9</v>
      </c>
      <c r="AM53" s="60">
        <f t="shared" si="11"/>
        <v>0</v>
      </c>
      <c r="AN53" s="60">
        <f t="shared" si="31"/>
        <v>31</v>
      </c>
      <c r="AO53" s="60">
        <f t="shared" si="12"/>
        <v>0</v>
      </c>
      <c r="AP53" s="60">
        <f>ROUND(AO53*AN53*Input!$C$3/365,0)</f>
        <v>0</v>
      </c>
      <c r="AQ53" s="61">
        <f>IF($A53&lt;=Input!$C$6,0,IF('Fixed Tenure'!AM53&lt;'Fixed Tenure'!AO53,'Fixed Tenure'!AM53-AP53,'Fixed Tenure'!AO53))</f>
        <v>0</v>
      </c>
      <c r="AR53" s="61">
        <f t="shared" si="13"/>
        <v>0</v>
      </c>
      <c r="AS53" s="60">
        <f t="shared" si="14"/>
        <v>0</v>
      </c>
      <c r="AT53" s="193"/>
      <c r="AU53" s="169">
        <v>49</v>
      </c>
      <c r="AV53" s="1">
        <f t="shared" si="32"/>
        <v>47011</v>
      </c>
      <c r="AW53" s="60">
        <f>IF($X53&lt;Input!$H$88,IF($X53&lt;Input!$G$88,IF($X53&lt;Input!$F$88,IF($X53&lt;Input!$E$88,IF($X53&lt;Input!$D$88,Input!$C$94,Input!$D$94),Input!$E$94),Input!$F$94),Input!$G$94),Input!$H$94)</f>
        <v>0</v>
      </c>
      <c r="AX53" s="190">
        <f>IF($A53&lt;Input!$H$95,IF($A53&lt;Input!$G$95,IF($A53&lt;Input!$F$95,IF($A53&lt;Input!$E$95,IF($A53&lt;Input!$D$95,Input!$C$96,Input!$D$96),Input!$E$96),Input!$F$96),Input!$G$96),Input!$H$96)</f>
        <v>0.9</v>
      </c>
      <c r="AY53" s="60">
        <f t="shared" si="15"/>
        <v>0</v>
      </c>
      <c r="AZ53" s="60">
        <f t="shared" si="33"/>
        <v>31</v>
      </c>
      <c r="BA53" s="60">
        <f t="shared" si="16"/>
        <v>0</v>
      </c>
      <c r="BB53" s="60">
        <f>ROUND(BA53*AZ53*Input!$C$3/365,0)</f>
        <v>0</v>
      </c>
      <c r="BC53" s="61">
        <f>IF($A53&lt;=Input!$C$6,0,IF('Fixed Tenure'!AY53&lt;'Fixed Tenure'!BA53,'Fixed Tenure'!AY53-BB53,'Fixed Tenure'!BA53))</f>
        <v>0</v>
      </c>
      <c r="BD53" s="61">
        <f t="shared" si="17"/>
        <v>0</v>
      </c>
      <c r="BE53" s="60">
        <f t="shared" si="18"/>
        <v>0</v>
      </c>
      <c r="BF53" s="193"/>
      <c r="BG53" s="169">
        <v>49</v>
      </c>
      <c r="BH53" s="1">
        <f t="shared" si="34"/>
        <v>47011</v>
      </c>
      <c r="BI53" s="60">
        <f>IF($X53&lt;Input!$H$103,IF($X53&lt;Input!$G$103,IF($X53&lt;Input!$F$103,IF($X53&lt;Input!$E$103,IF($X53&lt;Input!$D$103,Input!$C$109,Input!$D$109),Input!$E$109),Input!$F$109),Input!$G$109),Input!$H$109)</f>
        <v>0</v>
      </c>
      <c r="BJ53" s="190">
        <f>IF($A53&lt;Input!$H$110,IF($A53&lt;Input!$G$110,IF($A53&lt;Input!$F$110,IF($A53&lt;Input!$E$110,IF($A53&lt;Input!$D$110,Input!$C$111,Input!$D$111),Input!$E$111),Input!$F$111),Input!$G$111),Input!$H$111)</f>
        <v>0.9</v>
      </c>
      <c r="BK53" s="60">
        <f t="shared" si="19"/>
        <v>0</v>
      </c>
      <c r="BL53" s="60">
        <f t="shared" si="35"/>
        <v>31</v>
      </c>
      <c r="BM53" s="60">
        <f t="shared" si="20"/>
        <v>0</v>
      </c>
      <c r="BN53" s="60">
        <f>ROUND(BM53*BL53*Input!$C$3/365,0)</f>
        <v>0</v>
      </c>
      <c r="BO53" s="61">
        <f>IF($A53&lt;=Input!$C$6,0,IF('Fixed Tenure'!BK53&lt;'Fixed Tenure'!BM53,'Fixed Tenure'!BK53-BN53,'Fixed Tenure'!BM53))</f>
        <v>0</v>
      </c>
      <c r="BP53" s="61">
        <f t="shared" si="21"/>
        <v>0</v>
      </c>
      <c r="BQ53" s="60">
        <f t="shared" si="22"/>
        <v>0</v>
      </c>
      <c r="BR53" s="198"/>
    </row>
    <row r="54" spans="1:70" x14ac:dyDescent="0.25">
      <c r="A54" s="169">
        <v>50</v>
      </c>
      <c r="B54" s="1">
        <f t="shared" si="23"/>
        <v>47041</v>
      </c>
      <c r="C54" s="60">
        <f t="shared" si="1"/>
        <v>18940500</v>
      </c>
      <c r="D54" s="60">
        <f t="shared" si="2"/>
        <v>17046450</v>
      </c>
      <c r="E54" s="60">
        <f t="shared" si="24"/>
        <v>30</v>
      </c>
      <c r="F54" s="60">
        <f t="shared" si="25"/>
        <v>763945591.22744608</v>
      </c>
      <c r="G54" s="60">
        <f>ROUND(F54*E54*Input!$C$3/365,0)</f>
        <v>9418507</v>
      </c>
      <c r="H54" s="60">
        <f>IF($A54&lt;=Input!$C$6,0,IF('Fixed Tenure'!D54&lt;'Fixed Tenure'!F54,'Fixed Tenure'!D54-G54,'Fixed Tenure'!F54))</f>
        <v>7627943</v>
      </c>
      <c r="I54" s="60">
        <f t="shared" si="26"/>
        <v>17046450</v>
      </c>
      <c r="J54" s="60">
        <f t="shared" si="27"/>
        <v>756317648.22744608</v>
      </c>
      <c r="K54" s="202">
        <f>J54/Input!$K$5</f>
        <v>2.5210588274248202</v>
      </c>
      <c r="L54" s="232"/>
      <c r="M54" s="60">
        <f>IF($B54&lt;Input!$H$43,IF($B54&lt;Input!$G$43,IF($B54&lt;Input!$F$43,IF($B54&lt;Input!$E$43,IF($B54&lt;Input!$D$43,Input!$C$49,Input!$D$49),Input!$E$49),Input!$F$49),Input!$G$49),Input!$H$49)</f>
        <v>18940500</v>
      </c>
      <c r="N54" s="190">
        <f>IF($A54&lt;Input!$H$50,IF($A54&lt;Input!$G$50,IF($A54&lt;Input!$F$50,IF($A54&lt;Input!$E$50,IF($A54&lt;Input!$D$50,Input!$C$51,Input!$D$51),Input!$E$51),Input!$F$51),Input!$G$51),Input!$H$51)</f>
        <v>0.9</v>
      </c>
      <c r="O54" s="60">
        <f t="shared" si="36"/>
        <v>17046450</v>
      </c>
      <c r="P54" s="60">
        <f t="shared" si="37"/>
        <v>30</v>
      </c>
      <c r="Q54" s="60">
        <f t="shared" si="4"/>
        <v>763945591.22744608</v>
      </c>
      <c r="R54" s="60">
        <f>ROUND(Q54*$P54*Input!$C$3/365,0)</f>
        <v>9418507</v>
      </c>
      <c r="S54" s="60">
        <f>IF(A54&lt;=Input!$C$6,0,IF('Fixed Tenure'!O54&lt;'Fixed Tenure'!Q54,'Fixed Tenure'!O54-R54,'Fixed Tenure'!Q54))</f>
        <v>7627943</v>
      </c>
      <c r="T54" s="60">
        <f t="shared" si="5"/>
        <v>17046450</v>
      </c>
      <c r="U54" s="60">
        <f t="shared" si="6"/>
        <v>756317648.22744608</v>
      </c>
      <c r="V54" s="193"/>
      <c r="W54" s="169">
        <v>50</v>
      </c>
      <c r="X54" s="1">
        <f t="shared" si="28"/>
        <v>47041</v>
      </c>
      <c r="Y54" s="60">
        <f>IF($X54&lt;Input!$H$58,IF($X54&lt;Input!$G$58,IF($X54&lt;Input!$F$58,IF($X54&lt;Input!$E$58,IF($X54&lt;Input!$D$58,Input!$C$64,Input!$D$64),Input!$E$64),Input!$F$64),Input!$G$64),Input!$H$64)</f>
        <v>0</v>
      </c>
      <c r="Z54" s="190">
        <f>IF($A54&lt;Input!$H$65,IF($A54&lt;Input!$G$65,IF($A54&lt;Input!$F$65,IF($A54&lt;Input!$E$65,IF($A54&lt;Input!$D$65,Input!$C$66,Input!$D$66),Input!$E$66),Input!$F$66),Input!$G$66),Input!$H$66)</f>
        <v>0.9</v>
      </c>
      <c r="AA54" s="60">
        <f t="shared" si="7"/>
        <v>0</v>
      </c>
      <c r="AB54" s="60">
        <f t="shared" si="29"/>
        <v>30</v>
      </c>
      <c r="AC54" s="60">
        <f t="shared" si="8"/>
        <v>0</v>
      </c>
      <c r="AD54" s="60">
        <f>ROUND(AC54*AB54*Input!$C$3/365,0)</f>
        <v>0</v>
      </c>
      <c r="AE54" s="61">
        <f>IF($A54&lt;=Input!$C$6,0,IF('Fixed Tenure'!AA54&lt;'Fixed Tenure'!AC54,'Fixed Tenure'!AA54-AD54,'Fixed Tenure'!AC54))</f>
        <v>0</v>
      </c>
      <c r="AF54" s="61">
        <f t="shared" si="9"/>
        <v>0</v>
      </c>
      <c r="AG54" s="60">
        <f t="shared" si="10"/>
        <v>0</v>
      </c>
      <c r="AH54" s="193"/>
      <c r="AI54" s="169">
        <v>50</v>
      </c>
      <c r="AJ54" s="1">
        <f t="shared" si="30"/>
        <v>47041</v>
      </c>
      <c r="AK54" s="60">
        <f>IF($X54&lt;Input!$H$73,IF($X54&lt;Input!$G$73,IF($X54&lt;Input!$F$73,IF($X54&lt;Input!$E$73,IF($X54&lt;Input!$D$73,Input!$C$79,Input!$D$79),Input!$E$79),Input!$F$79),Input!$G$79),Input!$H$79)</f>
        <v>0</v>
      </c>
      <c r="AL54" s="190">
        <f>IF($A54&lt;Input!$H$80,IF($A54&lt;Input!$G$80,IF($A54&lt;Input!$F$80,IF($A54&lt;Input!$E$80,IF($A54&lt;Input!$D$80,Input!$C$81,Input!$D$81),Input!$E$81),Input!$F$81),Input!$G$81),Input!$H$81)</f>
        <v>0.9</v>
      </c>
      <c r="AM54" s="60">
        <f t="shared" si="11"/>
        <v>0</v>
      </c>
      <c r="AN54" s="60">
        <f t="shared" si="31"/>
        <v>30</v>
      </c>
      <c r="AO54" s="60">
        <f t="shared" si="12"/>
        <v>0</v>
      </c>
      <c r="AP54" s="60">
        <f>ROUND(AO54*AN54*Input!$C$3/365,0)</f>
        <v>0</v>
      </c>
      <c r="AQ54" s="61">
        <f>IF($A54&lt;=Input!$C$6,0,IF('Fixed Tenure'!AM54&lt;'Fixed Tenure'!AO54,'Fixed Tenure'!AM54-AP54,'Fixed Tenure'!AO54))</f>
        <v>0</v>
      </c>
      <c r="AR54" s="61">
        <f t="shared" si="13"/>
        <v>0</v>
      </c>
      <c r="AS54" s="60">
        <f t="shared" si="14"/>
        <v>0</v>
      </c>
      <c r="AT54" s="193"/>
      <c r="AU54" s="169">
        <v>50</v>
      </c>
      <c r="AV54" s="1">
        <f t="shared" si="32"/>
        <v>47041</v>
      </c>
      <c r="AW54" s="60">
        <f>IF($X54&lt;Input!$H$88,IF($X54&lt;Input!$G$88,IF($X54&lt;Input!$F$88,IF($X54&lt;Input!$E$88,IF($X54&lt;Input!$D$88,Input!$C$94,Input!$D$94),Input!$E$94),Input!$F$94),Input!$G$94),Input!$H$94)</f>
        <v>0</v>
      </c>
      <c r="AX54" s="190">
        <f>IF($A54&lt;Input!$H$95,IF($A54&lt;Input!$G$95,IF($A54&lt;Input!$F$95,IF($A54&lt;Input!$E$95,IF($A54&lt;Input!$D$95,Input!$C$96,Input!$D$96),Input!$E$96),Input!$F$96),Input!$G$96),Input!$H$96)</f>
        <v>0.9</v>
      </c>
      <c r="AY54" s="60">
        <f t="shared" si="15"/>
        <v>0</v>
      </c>
      <c r="AZ54" s="60">
        <f t="shared" si="33"/>
        <v>30</v>
      </c>
      <c r="BA54" s="60">
        <f t="shared" si="16"/>
        <v>0</v>
      </c>
      <c r="BB54" s="60">
        <f>ROUND(BA54*AZ54*Input!$C$3/365,0)</f>
        <v>0</v>
      </c>
      <c r="BC54" s="61">
        <f>IF($A54&lt;=Input!$C$6,0,IF('Fixed Tenure'!AY54&lt;'Fixed Tenure'!BA54,'Fixed Tenure'!AY54-BB54,'Fixed Tenure'!BA54))</f>
        <v>0</v>
      </c>
      <c r="BD54" s="61">
        <f t="shared" si="17"/>
        <v>0</v>
      </c>
      <c r="BE54" s="60">
        <f t="shared" si="18"/>
        <v>0</v>
      </c>
      <c r="BF54" s="193"/>
      <c r="BG54" s="169">
        <v>50</v>
      </c>
      <c r="BH54" s="1">
        <f t="shared" si="34"/>
        <v>47041</v>
      </c>
      <c r="BI54" s="60">
        <f>IF($X54&lt;Input!$H$103,IF($X54&lt;Input!$G$103,IF($X54&lt;Input!$F$103,IF($X54&lt;Input!$E$103,IF($X54&lt;Input!$D$103,Input!$C$109,Input!$D$109),Input!$E$109),Input!$F$109),Input!$G$109),Input!$H$109)</f>
        <v>0</v>
      </c>
      <c r="BJ54" s="190">
        <f>IF($A54&lt;Input!$H$110,IF($A54&lt;Input!$G$110,IF($A54&lt;Input!$F$110,IF($A54&lt;Input!$E$110,IF($A54&lt;Input!$D$110,Input!$C$111,Input!$D$111),Input!$E$111),Input!$F$111),Input!$G$111),Input!$H$111)</f>
        <v>0.9</v>
      </c>
      <c r="BK54" s="60">
        <f t="shared" si="19"/>
        <v>0</v>
      </c>
      <c r="BL54" s="60">
        <f t="shared" si="35"/>
        <v>30</v>
      </c>
      <c r="BM54" s="60">
        <f t="shared" si="20"/>
        <v>0</v>
      </c>
      <c r="BN54" s="60">
        <f>ROUND(BM54*BL54*Input!$C$3/365,0)</f>
        <v>0</v>
      </c>
      <c r="BO54" s="61">
        <f>IF($A54&lt;=Input!$C$6,0,IF('Fixed Tenure'!BK54&lt;'Fixed Tenure'!BM54,'Fixed Tenure'!BK54-BN54,'Fixed Tenure'!BM54))</f>
        <v>0</v>
      </c>
      <c r="BP54" s="61">
        <f t="shared" si="21"/>
        <v>0</v>
      </c>
      <c r="BQ54" s="60">
        <f t="shared" si="22"/>
        <v>0</v>
      </c>
      <c r="BR54" s="198"/>
    </row>
    <row r="55" spans="1:70" x14ac:dyDescent="0.25">
      <c r="A55" s="169">
        <v>51</v>
      </c>
      <c r="B55" s="1">
        <f t="shared" si="23"/>
        <v>47072</v>
      </c>
      <c r="C55" s="60">
        <f t="shared" si="1"/>
        <v>18940500</v>
      </c>
      <c r="D55" s="60">
        <f t="shared" si="2"/>
        <v>17046450</v>
      </c>
      <c r="E55" s="60">
        <f t="shared" si="24"/>
        <v>31</v>
      </c>
      <c r="F55" s="60">
        <f t="shared" si="25"/>
        <v>756317648.22744608</v>
      </c>
      <c r="G55" s="60">
        <f>ROUND(F55*E55*Input!$C$3/365,0)</f>
        <v>9635280</v>
      </c>
      <c r="H55" s="60">
        <f>IF($A55&lt;=Input!$C$6,0,IF('Fixed Tenure'!D55&lt;'Fixed Tenure'!F55,'Fixed Tenure'!D55-G55,'Fixed Tenure'!F55))</f>
        <v>7411170</v>
      </c>
      <c r="I55" s="60">
        <f t="shared" si="26"/>
        <v>17046450</v>
      </c>
      <c r="J55" s="60">
        <f t="shared" si="27"/>
        <v>748906478.22744608</v>
      </c>
      <c r="K55" s="202">
        <f>J55/Input!$K$5</f>
        <v>2.4963549274248202</v>
      </c>
      <c r="L55" s="232"/>
      <c r="M55" s="60">
        <f>IF($B55&lt;Input!$H$43,IF($B55&lt;Input!$G$43,IF($B55&lt;Input!$F$43,IF($B55&lt;Input!$E$43,IF($B55&lt;Input!$D$43,Input!$C$49,Input!$D$49),Input!$E$49),Input!$F$49),Input!$G$49),Input!$H$49)</f>
        <v>18940500</v>
      </c>
      <c r="N55" s="190">
        <f>IF($A55&lt;Input!$H$50,IF($A55&lt;Input!$G$50,IF($A55&lt;Input!$F$50,IF($A55&lt;Input!$E$50,IF($A55&lt;Input!$D$50,Input!$C$51,Input!$D$51),Input!$E$51),Input!$F$51),Input!$G$51),Input!$H$51)</f>
        <v>0.9</v>
      </c>
      <c r="O55" s="60">
        <f t="shared" si="36"/>
        <v>17046450</v>
      </c>
      <c r="P55" s="60">
        <f t="shared" si="37"/>
        <v>31</v>
      </c>
      <c r="Q55" s="60">
        <f t="shared" si="4"/>
        <v>756317648.22744608</v>
      </c>
      <c r="R55" s="60">
        <f>ROUND(Q55*$P55*Input!$C$3/365,0)</f>
        <v>9635280</v>
      </c>
      <c r="S55" s="60">
        <f>IF(A55&lt;=Input!$C$6,0,IF('Fixed Tenure'!O55&lt;'Fixed Tenure'!Q55,'Fixed Tenure'!O55-R55,'Fixed Tenure'!Q55))</f>
        <v>7411170</v>
      </c>
      <c r="T55" s="60">
        <f t="shared" si="5"/>
        <v>17046450</v>
      </c>
      <c r="U55" s="60">
        <f t="shared" si="6"/>
        <v>748906478.22744608</v>
      </c>
      <c r="V55" s="193"/>
      <c r="W55" s="169">
        <v>51</v>
      </c>
      <c r="X55" s="1">
        <f t="shared" si="28"/>
        <v>47072</v>
      </c>
      <c r="Y55" s="60">
        <f>IF($X55&lt;Input!$H$58,IF($X55&lt;Input!$G$58,IF($X55&lt;Input!$F$58,IF($X55&lt;Input!$E$58,IF($X55&lt;Input!$D$58,Input!$C$64,Input!$D$64),Input!$E$64),Input!$F$64),Input!$G$64),Input!$H$64)</f>
        <v>0</v>
      </c>
      <c r="Z55" s="190">
        <f>IF($A55&lt;Input!$H$65,IF($A55&lt;Input!$G$65,IF($A55&lt;Input!$F$65,IF($A55&lt;Input!$E$65,IF($A55&lt;Input!$D$65,Input!$C$66,Input!$D$66),Input!$E$66),Input!$F$66),Input!$G$66),Input!$H$66)</f>
        <v>0.9</v>
      </c>
      <c r="AA55" s="60">
        <f t="shared" si="7"/>
        <v>0</v>
      </c>
      <c r="AB55" s="60">
        <f t="shared" si="29"/>
        <v>31</v>
      </c>
      <c r="AC55" s="60">
        <f t="shared" si="8"/>
        <v>0</v>
      </c>
      <c r="AD55" s="60">
        <f>ROUND(AC55*AB55*Input!$C$3/365,0)</f>
        <v>0</v>
      </c>
      <c r="AE55" s="61">
        <f>IF($A55&lt;=Input!$C$6,0,IF('Fixed Tenure'!AA55&lt;'Fixed Tenure'!AC55,'Fixed Tenure'!AA55-AD55,'Fixed Tenure'!AC55))</f>
        <v>0</v>
      </c>
      <c r="AF55" s="61">
        <f t="shared" si="9"/>
        <v>0</v>
      </c>
      <c r="AG55" s="60">
        <f t="shared" si="10"/>
        <v>0</v>
      </c>
      <c r="AH55" s="193"/>
      <c r="AI55" s="169">
        <v>51</v>
      </c>
      <c r="AJ55" s="1">
        <f t="shared" si="30"/>
        <v>47072</v>
      </c>
      <c r="AK55" s="60">
        <f>IF($X55&lt;Input!$H$73,IF($X55&lt;Input!$G$73,IF($X55&lt;Input!$F$73,IF($X55&lt;Input!$E$73,IF($X55&lt;Input!$D$73,Input!$C$79,Input!$D$79),Input!$E$79),Input!$F$79),Input!$G$79),Input!$H$79)</f>
        <v>0</v>
      </c>
      <c r="AL55" s="190">
        <f>IF($A55&lt;Input!$H$80,IF($A55&lt;Input!$G$80,IF($A55&lt;Input!$F$80,IF($A55&lt;Input!$E$80,IF($A55&lt;Input!$D$80,Input!$C$81,Input!$D$81),Input!$E$81),Input!$F$81),Input!$G$81),Input!$H$81)</f>
        <v>0.9</v>
      </c>
      <c r="AM55" s="60">
        <f t="shared" si="11"/>
        <v>0</v>
      </c>
      <c r="AN55" s="60">
        <f t="shared" si="31"/>
        <v>31</v>
      </c>
      <c r="AO55" s="60">
        <f t="shared" si="12"/>
        <v>0</v>
      </c>
      <c r="AP55" s="60">
        <f>ROUND(AO55*AN55*Input!$C$3/365,0)</f>
        <v>0</v>
      </c>
      <c r="AQ55" s="61">
        <f>IF($A55&lt;=Input!$C$6,0,IF('Fixed Tenure'!AM55&lt;'Fixed Tenure'!AO55,'Fixed Tenure'!AM55-AP55,'Fixed Tenure'!AO55))</f>
        <v>0</v>
      </c>
      <c r="AR55" s="61">
        <f t="shared" si="13"/>
        <v>0</v>
      </c>
      <c r="AS55" s="60">
        <f t="shared" si="14"/>
        <v>0</v>
      </c>
      <c r="AT55" s="193"/>
      <c r="AU55" s="169">
        <v>51</v>
      </c>
      <c r="AV55" s="1">
        <f t="shared" si="32"/>
        <v>47072</v>
      </c>
      <c r="AW55" s="60">
        <f>IF($X55&lt;Input!$H$88,IF($X55&lt;Input!$G$88,IF($X55&lt;Input!$F$88,IF($X55&lt;Input!$E$88,IF($X55&lt;Input!$D$88,Input!$C$94,Input!$D$94),Input!$E$94),Input!$F$94),Input!$G$94),Input!$H$94)</f>
        <v>0</v>
      </c>
      <c r="AX55" s="190">
        <f>IF($A55&lt;Input!$H$95,IF($A55&lt;Input!$G$95,IF($A55&lt;Input!$F$95,IF($A55&lt;Input!$E$95,IF($A55&lt;Input!$D$95,Input!$C$96,Input!$D$96),Input!$E$96),Input!$F$96),Input!$G$96),Input!$H$96)</f>
        <v>0.9</v>
      </c>
      <c r="AY55" s="60">
        <f t="shared" si="15"/>
        <v>0</v>
      </c>
      <c r="AZ55" s="60">
        <f t="shared" si="33"/>
        <v>31</v>
      </c>
      <c r="BA55" s="60">
        <f t="shared" si="16"/>
        <v>0</v>
      </c>
      <c r="BB55" s="60">
        <f>ROUND(BA55*AZ55*Input!$C$3/365,0)</f>
        <v>0</v>
      </c>
      <c r="BC55" s="61">
        <f>IF($A55&lt;=Input!$C$6,0,IF('Fixed Tenure'!AY55&lt;'Fixed Tenure'!BA55,'Fixed Tenure'!AY55-BB55,'Fixed Tenure'!BA55))</f>
        <v>0</v>
      </c>
      <c r="BD55" s="61">
        <f t="shared" si="17"/>
        <v>0</v>
      </c>
      <c r="BE55" s="60">
        <f t="shared" si="18"/>
        <v>0</v>
      </c>
      <c r="BF55" s="193"/>
      <c r="BG55" s="169">
        <v>51</v>
      </c>
      <c r="BH55" s="1">
        <f t="shared" si="34"/>
        <v>47072</v>
      </c>
      <c r="BI55" s="60">
        <f>IF($X55&lt;Input!$H$103,IF($X55&lt;Input!$G$103,IF($X55&lt;Input!$F$103,IF($X55&lt;Input!$E$103,IF($X55&lt;Input!$D$103,Input!$C$109,Input!$D$109),Input!$E$109),Input!$F$109),Input!$G$109),Input!$H$109)</f>
        <v>0</v>
      </c>
      <c r="BJ55" s="190">
        <f>IF($A55&lt;Input!$H$110,IF($A55&lt;Input!$G$110,IF($A55&lt;Input!$F$110,IF($A55&lt;Input!$E$110,IF($A55&lt;Input!$D$110,Input!$C$111,Input!$D$111),Input!$E$111),Input!$F$111),Input!$G$111),Input!$H$111)</f>
        <v>0.9</v>
      </c>
      <c r="BK55" s="60">
        <f t="shared" si="19"/>
        <v>0</v>
      </c>
      <c r="BL55" s="60">
        <f t="shared" si="35"/>
        <v>31</v>
      </c>
      <c r="BM55" s="60">
        <f t="shared" si="20"/>
        <v>0</v>
      </c>
      <c r="BN55" s="60">
        <f>ROUND(BM55*BL55*Input!$C$3/365,0)</f>
        <v>0</v>
      </c>
      <c r="BO55" s="61">
        <f>IF($A55&lt;=Input!$C$6,0,IF('Fixed Tenure'!BK55&lt;'Fixed Tenure'!BM55,'Fixed Tenure'!BK55-BN55,'Fixed Tenure'!BM55))</f>
        <v>0</v>
      </c>
      <c r="BP55" s="61">
        <f t="shared" si="21"/>
        <v>0</v>
      </c>
      <c r="BQ55" s="60">
        <f t="shared" si="22"/>
        <v>0</v>
      </c>
      <c r="BR55" s="198"/>
    </row>
    <row r="56" spans="1:70" x14ac:dyDescent="0.25">
      <c r="A56" s="169">
        <v>52</v>
      </c>
      <c r="B56" s="1">
        <f t="shared" si="23"/>
        <v>47102</v>
      </c>
      <c r="C56" s="60">
        <f t="shared" si="1"/>
        <v>18940500</v>
      </c>
      <c r="D56" s="60">
        <f t="shared" si="2"/>
        <v>17046450</v>
      </c>
      <c r="E56" s="60">
        <f t="shared" si="24"/>
        <v>30</v>
      </c>
      <c r="F56" s="60">
        <f t="shared" si="25"/>
        <v>748906478.22744608</v>
      </c>
      <c r="G56" s="60">
        <f>ROUND(F56*E56*Input!$C$3/365,0)</f>
        <v>9233094</v>
      </c>
      <c r="H56" s="60">
        <f>IF($A56&lt;=Input!$C$6,0,IF('Fixed Tenure'!D56&lt;'Fixed Tenure'!F56,'Fixed Tenure'!D56-G56,'Fixed Tenure'!F56))</f>
        <v>7813356</v>
      </c>
      <c r="I56" s="60">
        <f t="shared" si="26"/>
        <v>17046450</v>
      </c>
      <c r="J56" s="60">
        <f t="shared" si="27"/>
        <v>741093122.22744608</v>
      </c>
      <c r="K56" s="202">
        <f>J56/Input!$K$5</f>
        <v>2.4703104074248201</v>
      </c>
      <c r="L56" s="232"/>
      <c r="M56" s="60">
        <f>IF($B56&lt;Input!$H$43,IF($B56&lt;Input!$G$43,IF($B56&lt;Input!$F$43,IF($B56&lt;Input!$E$43,IF($B56&lt;Input!$D$43,Input!$C$49,Input!$D$49),Input!$E$49),Input!$F$49),Input!$G$49),Input!$H$49)</f>
        <v>18940500</v>
      </c>
      <c r="N56" s="190">
        <f>IF($A56&lt;Input!$H$50,IF($A56&lt;Input!$G$50,IF($A56&lt;Input!$F$50,IF($A56&lt;Input!$E$50,IF($A56&lt;Input!$D$50,Input!$C$51,Input!$D$51),Input!$E$51),Input!$F$51),Input!$G$51),Input!$H$51)</f>
        <v>0.9</v>
      </c>
      <c r="O56" s="60">
        <f t="shared" si="36"/>
        <v>17046450</v>
      </c>
      <c r="P56" s="60">
        <f t="shared" si="37"/>
        <v>30</v>
      </c>
      <c r="Q56" s="60">
        <f t="shared" si="4"/>
        <v>748906478.22744608</v>
      </c>
      <c r="R56" s="60">
        <f>ROUND(Q56*$P56*Input!$C$3/365,0)</f>
        <v>9233094</v>
      </c>
      <c r="S56" s="60">
        <f>IF(A56&lt;=Input!$C$6,0,IF('Fixed Tenure'!O56&lt;'Fixed Tenure'!Q56,'Fixed Tenure'!O56-R56,'Fixed Tenure'!Q56))</f>
        <v>7813356</v>
      </c>
      <c r="T56" s="60">
        <f t="shared" si="5"/>
        <v>17046450</v>
      </c>
      <c r="U56" s="60">
        <f t="shared" si="6"/>
        <v>741093122.22744608</v>
      </c>
      <c r="V56" s="193"/>
      <c r="W56" s="169">
        <v>52</v>
      </c>
      <c r="X56" s="1">
        <f t="shared" si="28"/>
        <v>47102</v>
      </c>
      <c r="Y56" s="60">
        <f>IF($X56&lt;Input!$H$58,IF($X56&lt;Input!$G$58,IF($X56&lt;Input!$F$58,IF($X56&lt;Input!$E$58,IF($X56&lt;Input!$D$58,Input!$C$64,Input!$D$64),Input!$E$64),Input!$F$64),Input!$G$64),Input!$H$64)</f>
        <v>0</v>
      </c>
      <c r="Z56" s="190">
        <f>IF($A56&lt;Input!$H$65,IF($A56&lt;Input!$G$65,IF($A56&lt;Input!$F$65,IF($A56&lt;Input!$E$65,IF($A56&lt;Input!$D$65,Input!$C$66,Input!$D$66),Input!$E$66),Input!$F$66),Input!$G$66),Input!$H$66)</f>
        <v>0.9</v>
      </c>
      <c r="AA56" s="60">
        <f t="shared" si="7"/>
        <v>0</v>
      </c>
      <c r="AB56" s="60">
        <f t="shared" si="29"/>
        <v>30</v>
      </c>
      <c r="AC56" s="60">
        <f t="shared" si="8"/>
        <v>0</v>
      </c>
      <c r="AD56" s="60">
        <f>ROUND(AC56*AB56*Input!$C$3/365,0)</f>
        <v>0</v>
      </c>
      <c r="AE56" s="61">
        <f>IF($A56&lt;=Input!$C$6,0,IF('Fixed Tenure'!AA56&lt;'Fixed Tenure'!AC56,'Fixed Tenure'!AA56-AD56,'Fixed Tenure'!AC56))</f>
        <v>0</v>
      </c>
      <c r="AF56" s="61">
        <f t="shared" si="9"/>
        <v>0</v>
      </c>
      <c r="AG56" s="60">
        <f t="shared" si="10"/>
        <v>0</v>
      </c>
      <c r="AH56" s="193"/>
      <c r="AI56" s="169">
        <v>52</v>
      </c>
      <c r="AJ56" s="1">
        <f t="shared" si="30"/>
        <v>47102</v>
      </c>
      <c r="AK56" s="60">
        <f>IF($X56&lt;Input!$H$73,IF($X56&lt;Input!$G$73,IF($X56&lt;Input!$F$73,IF($X56&lt;Input!$E$73,IF($X56&lt;Input!$D$73,Input!$C$79,Input!$D$79),Input!$E$79),Input!$F$79),Input!$G$79),Input!$H$79)</f>
        <v>0</v>
      </c>
      <c r="AL56" s="190">
        <f>IF($A56&lt;Input!$H$80,IF($A56&lt;Input!$G$80,IF($A56&lt;Input!$F$80,IF($A56&lt;Input!$E$80,IF($A56&lt;Input!$D$80,Input!$C$81,Input!$D$81),Input!$E$81),Input!$F$81),Input!$G$81),Input!$H$81)</f>
        <v>0.9</v>
      </c>
      <c r="AM56" s="60">
        <f t="shared" si="11"/>
        <v>0</v>
      </c>
      <c r="AN56" s="60">
        <f t="shared" si="31"/>
        <v>30</v>
      </c>
      <c r="AO56" s="60">
        <f t="shared" si="12"/>
        <v>0</v>
      </c>
      <c r="AP56" s="60">
        <f>ROUND(AO56*AN56*Input!$C$3/365,0)</f>
        <v>0</v>
      </c>
      <c r="AQ56" s="61">
        <f>IF($A56&lt;=Input!$C$6,0,IF('Fixed Tenure'!AM56&lt;'Fixed Tenure'!AO56,'Fixed Tenure'!AM56-AP56,'Fixed Tenure'!AO56))</f>
        <v>0</v>
      </c>
      <c r="AR56" s="61">
        <f t="shared" si="13"/>
        <v>0</v>
      </c>
      <c r="AS56" s="60">
        <f t="shared" si="14"/>
        <v>0</v>
      </c>
      <c r="AT56" s="193"/>
      <c r="AU56" s="169">
        <v>52</v>
      </c>
      <c r="AV56" s="1">
        <f t="shared" si="32"/>
        <v>47102</v>
      </c>
      <c r="AW56" s="60">
        <f>IF($X56&lt;Input!$H$88,IF($X56&lt;Input!$G$88,IF($X56&lt;Input!$F$88,IF($X56&lt;Input!$E$88,IF($X56&lt;Input!$D$88,Input!$C$94,Input!$D$94),Input!$E$94),Input!$F$94),Input!$G$94),Input!$H$94)</f>
        <v>0</v>
      </c>
      <c r="AX56" s="190">
        <f>IF($A56&lt;Input!$H$95,IF($A56&lt;Input!$G$95,IF($A56&lt;Input!$F$95,IF($A56&lt;Input!$E$95,IF($A56&lt;Input!$D$95,Input!$C$96,Input!$D$96),Input!$E$96),Input!$F$96),Input!$G$96),Input!$H$96)</f>
        <v>0.9</v>
      </c>
      <c r="AY56" s="60">
        <f t="shared" si="15"/>
        <v>0</v>
      </c>
      <c r="AZ56" s="60">
        <f t="shared" si="33"/>
        <v>30</v>
      </c>
      <c r="BA56" s="60">
        <f t="shared" si="16"/>
        <v>0</v>
      </c>
      <c r="BB56" s="60">
        <f>ROUND(BA56*AZ56*Input!$C$3/365,0)</f>
        <v>0</v>
      </c>
      <c r="BC56" s="61">
        <f>IF($A56&lt;=Input!$C$6,0,IF('Fixed Tenure'!AY56&lt;'Fixed Tenure'!BA56,'Fixed Tenure'!AY56-BB56,'Fixed Tenure'!BA56))</f>
        <v>0</v>
      </c>
      <c r="BD56" s="61">
        <f t="shared" si="17"/>
        <v>0</v>
      </c>
      <c r="BE56" s="60">
        <f t="shared" si="18"/>
        <v>0</v>
      </c>
      <c r="BF56" s="193"/>
      <c r="BG56" s="169">
        <v>52</v>
      </c>
      <c r="BH56" s="1">
        <f t="shared" si="34"/>
        <v>47102</v>
      </c>
      <c r="BI56" s="60">
        <f>IF($X56&lt;Input!$H$103,IF($X56&lt;Input!$G$103,IF($X56&lt;Input!$F$103,IF($X56&lt;Input!$E$103,IF($X56&lt;Input!$D$103,Input!$C$109,Input!$D$109),Input!$E$109),Input!$F$109),Input!$G$109),Input!$H$109)</f>
        <v>0</v>
      </c>
      <c r="BJ56" s="190">
        <f>IF($A56&lt;Input!$H$110,IF($A56&lt;Input!$G$110,IF($A56&lt;Input!$F$110,IF($A56&lt;Input!$E$110,IF($A56&lt;Input!$D$110,Input!$C$111,Input!$D$111),Input!$E$111),Input!$F$111),Input!$G$111),Input!$H$111)</f>
        <v>0.9</v>
      </c>
      <c r="BK56" s="60">
        <f t="shared" si="19"/>
        <v>0</v>
      </c>
      <c r="BL56" s="60">
        <f t="shared" si="35"/>
        <v>30</v>
      </c>
      <c r="BM56" s="60">
        <f t="shared" si="20"/>
        <v>0</v>
      </c>
      <c r="BN56" s="60">
        <f>ROUND(BM56*BL56*Input!$C$3/365,0)</f>
        <v>0</v>
      </c>
      <c r="BO56" s="61">
        <f>IF($A56&lt;=Input!$C$6,0,IF('Fixed Tenure'!BK56&lt;'Fixed Tenure'!BM56,'Fixed Tenure'!BK56-BN56,'Fixed Tenure'!BM56))</f>
        <v>0</v>
      </c>
      <c r="BP56" s="61">
        <f t="shared" si="21"/>
        <v>0</v>
      </c>
      <c r="BQ56" s="60">
        <f t="shared" si="22"/>
        <v>0</v>
      </c>
      <c r="BR56" s="198"/>
    </row>
    <row r="57" spans="1:70" x14ac:dyDescent="0.25">
      <c r="A57" s="169">
        <v>53</v>
      </c>
      <c r="B57" s="1">
        <f t="shared" si="23"/>
        <v>47133</v>
      </c>
      <c r="C57" s="60">
        <f t="shared" si="1"/>
        <v>18940500</v>
      </c>
      <c r="D57" s="60">
        <f t="shared" si="2"/>
        <v>17046450</v>
      </c>
      <c r="E57" s="60">
        <f t="shared" si="24"/>
        <v>31</v>
      </c>
      <c r="F57" s="60">
        <f t="shared" si="25"/>
        <v>741093122.22744608</v>
      </c>
      <c r="G57" s="60">
        <f>ROUND(F57*E57*Input!$C$3/365,0)</f>
        <v>9441323</v>
      </c>
      <c r="H57" s="60">
        <f>IF($A57&lt;=Input!$C$6,0,IF('Fixed Tenure'!D57&lt;'Fixed Tenure'!F57,'Fixed Tenure'!D57-G57,'Fixed Tenure'!F57))</f>
        <v>7605127</v>
      </c>
      <c r="I57" s="60">
        <f t="shared" si="26"/>
        <v>17046450</v>
      </c>
      <c r="J57" s="60">
        <f t="shared" si="27"/>
        <v>733487995.22744608</v>
      </c>
      <c r="K57" s="202">
        <f>J57/Input!$K$5</f>
        <v>2.4449599840914868</v>
      </c>
      <c r="L57" s="232"/>
      <c r="M57" s="60">
        <f>IF($B57&lt;Input!$H$43,IF($B57&lt;Input!$G$43,IF($B57&lt;Input!$F$43,IF($B57&lt;Input!$E$43,IF($B57&lt;Input!$D$43,Input!$C$49,Input!$D$49),Input!$E$49),Input!$F$49),Input!$G$49),Input!$H$49)</f>
        <v>18940500</v>
      </c>
      <c r="N57" s="190">
        <f>IF($A57&lt;Input!$H$50,IF($A57&lt;Input!$G$50,IF($A57&lt;Input!$F$50,IF($A57&lt;Input!$E$50,IF($A57&lt;Input!$D$50,Input!$C$51,Input!$D$51),Input!$E$51),Input!$F$51),Input!$G$51),Input!$H$51)</f>
        <v>0.9</v>
      </c>
      <c r="O57" s="60">
        <f t="shared" si="36"/>
        <v>17046450</v>
      </c>
      <c r="P57" s="60">
        <f t="shared" si="37"/>
        <v>31</v>
      </c>
      <c r="Q57" s="60">
        <f t="shared" si="4"/>
        <v>741093122.22744608</v>
      </c>
      <c r="R57" s="60">
        <f>ROUND(Q57*$P57*Input!$C$3/365,0)</f>
        <v>9441323</v>
      </c>
      <c r="S57" s="60">
        <f>IF(A57&lt;=Input!$C$6,0,IF('Fixed Tenure'!O57&lt;'Fixed Tenure'!Q57,'Fixed Tenure'!O57-R57,'Fixed Tenure'!Q57))</f>
        <v>7605127</v>
      </c>
      <c r="T57" s="60">
        <f t="shared" si="5"/>
        <v>17046450</v>
      </c>
      <c r="U57" s="60">
        <f t="shared" si="6"/>
        <v>733487995.22744608</v>
      </c>
      <c r="V57" s="193"/>
      <c r="W57" s="169">
        <v>53</v>
      </c>
      <c r="X57" s="1">
        <f t="shared" si="28"/>
        <v>47133</v>
      </c>
      <c r="Y57" s="60">
        <f>IF($X57&lt;Input!$H$58,IF($X57&lt;Input!$G$58,IF($X57&lt;Input!$F$58,IF($X57&lt;Input!$E$58,IF($X57&lt;Input!$D$58,Input!$C$64,Input!$D$64),Input!$E$64),Input!$F$64),Input!$G$64),Input!$H$64)</f>
        <v>0</v>
      </c>
      <c r="Z57" s="190">
        <f>IF($A57&lt;Input!$H$65,IF($A57&lt;Input!$G$65,IF($A57&lt;Input!$F$65,IF($A57&lt;Input!$E$65,IF($A57&lt;Input!$D$65,Input!$C$66,Input!$D$66),Input!$E$66),Input!$F$66),Input!$G$66),Input!$H$66)</f>
        <v>0.9</v>
      </c>
      <c r="AA57" s="60">
        <f t="shared" si="7"/>
        <v>0</v>
      </c>
      <c r="AB57" s="60">
        <f t="shared" si="29"/>
        <v>31</v>
      </c>
      <c r="AC57" s="60">
        <f t="shared" si="8"/>
        <v>0</v>
      </c>
      <c r="AD57" s="60">
        <f>ROUND(AC57*AB57*Input!$C$3/365,0)</f>
        <v>0</v>
      </c>
      <c r="AE57" s="61">
        <f>IF($A57&lt;=Input!$C$6,0,IF('Fixed Tenure'!AA57&lt;'Fixed Tenure'!AC57,'Fixed Tenure'!AA57-AD57,'Fixed Tenure'!AC57))</f>
        <v>0</v>
      </c>
      <c r="AF57" s="61">
        <f t="shared" si="9"/>
        <v>0</v>
      </c>
      <c r="AG57" s="60">
        <f t="shared" si="10"/>
        <v>0</v>
      </c>
      <c r="AH57" s="193"/>
      <c r="AI57" s="169">
        <v>53</v>
      </c>
      <c r="AJ57" s="1">
        <f t="shared" si="30"/>
        <v>47133</v>
      </c>
      <c r="AK57" s="60">
        <f>IF($X57&lt;Input!$H$73,IF($X57&lt;Input!$G$73,IF($X57&lt;Input!$F$73,IF($X57&lt;Input!$E$73,IF($X57&lt;Input!$D$73,Input!$C$79,Input!$D$79),Input!$E$79),Input!$F$79),Input!$G$79),Input!$H$79)</f>
        <v>0</v>
      </c>
      <c r="AL57" s="190">
        <f>IF($A57&lt;Input!$H$80,IF($A57&lt;Input!$G$80,IF($A57&lt;Input!$F$80,IF($A57&lt;Input!$E$80,IF($A57&lt;Input!$D$80,Input!$C$81,Input!$D$81),Input!$E$81),Input!$F$81),Input!$G$81),Input!$H$81)</f>
        <v>0.9</v>
      </c>
      <c r="AM57" s="60">
        <f t="shared" si="11"/>
        <v>0</v>
      </c>
      <c r="AN57" s="60">
        <f t="shared" si="31"/>
        <v>31</v>
      </c>
      <c r="AO57" s="60">
        <f t="shared" si="12"/>
        <v>0</v>
      </c>
      <c r="AP57" s="60">
        <f>ROUND(AO57*AN57*Input!$C$3/365,0)</f>
        <v>0</v>
      </c>
      <c r="AQ57" s="61">
        <f>IF($A57&lt;=Input!$C$6,0,IF('Fixed Tenure'!AM57&lt;'Fixed Tenure'!AO57,'Fixed Tenure'!AM57-AP57,'Fixed Tenure'!AO57))</f>
        <v>0</v>
      </c>
      <c r="AR57" s="61">
        <f t="shared" si="13"/>
        <v>0</v>
      </c>
      <c r="AS57" s="60">
        <f t="shared" si="14"/>
        <v>0</v>
      </c>
      <c r="AT57" s="193"/>
      <c r="AU57" s="169">
        <v>53</v>
      </c>
      <c r="AV57" s="1">
        <f t="shared" si="32"/>
        <v>47133</v>
      </c>
      <c r="AW57" s="60">
        <f>IF($X57&lt;Input!$H$88,IF($X57&lt;Input!$G$88,IF($X57&lt;Input!$F$88,IF($X57&lt;Input!$E$88,IF($X57&lt;Input!$D$88,Input!$C$94,Input!$D$94),Input!$E$94),Input!$F$94),Input!$G$94),Input!$H$94)</f>
        <v>0</v>
      </c>
      <c r="AX57" s="190">
        <f>IF($A57&lt;Input!$H$95,IF($A57&lt;Input!$G$95,IF($A57&lt;Input!$F$95,IF($A57&lt;Input!$E$95,IF($A57&lt;Input!$D$95,Input!$C$96,Input!$D$96),Input!$E$96),Input!$F$96),Input!$G$96),Input!$H$96)</f>
        <v>0.9</v>
      </c>
      <c r="AY57" s="60">
        <f t="shared" si="15"/>
        <v>0</v>
      </c>
      <c r="AZ57" s="60">
        <f t="shared" si="33"/>
        <v>31</v>
      </c>
      <c r="BA57" s="60">
        <f t="shared" si="16"/>
        <v>0</v>
      </c>
      <c r="BB57" s="60">
        <f>ROUND(BA57*AZ57*Input!$C$3/365,0)</f>
        <v>0</v>
      </c>
      <c r="BC57" s="61">
        <f>IF($A57&lt;=Input!$C$6,0,IF('Fixed Tenure'!AY57&lt;'Fixed Tenure'!BA57,'Fixed Tenure'!AY57-BB57,'Fixed Tenure'!BA57))</f>
        <v>0</v>
      </c>
      <c r="BD57" s="61">
        <f t="shared" si="17"/>
        <v>0</v>
      </c>
      <c r="BE57" s="60">
        <f t="shared" si="18"/>
        <v>0</v>
      </c>
      <c r="BF57" s="193"/>
      <c r="BG57" s="169">
        <v>53</v>
      </c>
      <c r="BH57" s="1">
        <f t="shared" si="34"/>
        <v>47133</v>
      </c>
      <c r="BI57" s="60">
        <f>IF($X57&lt;Input!$H$103,IF($X57&lt;Input!$G$103,IF($X57&lt;Input!$F$103,IF($X57&lt;Input!$E$103,IF($X57&lt;Input!$D$103,Input!$C$109,Input!$D$109),Input!$E$109),Input!$F$109),Input!$G$109),Input!$H$109)</f>
        <v>0</v>
      </c>
      <c r="BJ57" s="190">
        <f>IF($A57&lt;Input!$H$110,IF($A57&lt;Input!$G$110,IF($A57&lt;Input!$F$110,IF($A57&lt;Input!$E$110,IF($A57&lt;Input!$D$110,Input!$C$111,Input!$D$111),Input!$E$111),Input!$F$111),Input!$G$111),Input!$H$111)</f>
        <v>0.9</v>
      </c>
      <c r="BK57" s="60">
        <f t="shared" si="19"/>
        <v>0</v>
      </c>
      <c r="BL57" s="60">
        <f t="shared" si="35"/>
        <v>31</v>
      </c>
      <c r="BM57" s="60">
        <f t="shared" si="20"/>
        <v>0</v>
      </c>
      <c r="BN57" s="60">
        <f>ROUND(BM57*BL57*Input!$C$3/365,0)</f>
        <v>0</v>
      </c>
      <c r="BO57" s="61">
        <f>IF($A57&lt;=Input!$C$6,0,IF('Fixed Tenure'!BK57&lt;'Fixed Tenure'!BM57,'Fixed Tenure'!BK57-BN57,'Fixed Tenure'!BM57))</f>
        <v>0</v>
      </c>
      <c r="BP57" s="61">
        <f t="shared" si="21"/>
        <v>0</v>
      </c>
      <c r="BQ57" s="60">
        <f t="shared" si="22"/>
        <v>0</v>
      </c>
      <c r="BR57" s="198"/>
    </row>
    <row r="58" spans="1:70" x14ac:dyDescent="0.25">
      <c r="A58" s="169">
        <v>54</v>
      </c>
      <c r="B58" s="1">
        <f t="shared" si="23"/>
        <v>47164</v>
      </c>
      <c r="C58" s="60">
        <f t="shared" si="1"/>
        <v>18940500</v>
      </c>
      <c r="D58" s="60">
        <f t="shared" si="2"/>
        <v>17046450</v>
      </c>
      <c r="E58" s="60">
        <f t="shared" si="24"/>
        <v>31</v>
      </c>
      <c r="F58" s="60">
        <f t="shared" si="25"/>
        <v>733487995.22744608</v>
      </c>
      <c r="G58" s="60">
        <f>ROUND(F58*E58*Input!$C$3/365,0)</f>
        <v>9344436</v>
      </c>
      <c r="H58" s="60">
        <f>IF($A58&lt;=Input!$C$6,0,IF('Fixed Tenure'!D58&lt;'Fixed Tenure'!F58,'Fixed Tenure'!D58-G58,'Fixed Tenure'!F58))</f>
        <v>7702014</v>
      </c>
      <c r="I58" s="60">
        <f t="shared" si="26"/>
        <v>17046450</v>
      </c>
      <c r="J58" s="60">
        <f t="shared" si="27"/>
        <v>725785981.22744608</v>
      </c>
      <c r="K58" s="202">
        <f>J58/Input!$K$5</f>
        <v>2.4192866040914871</v>
      </c>
      <c r="L58" s="232"/>
      <c r="M58" s="60">
        <f>IF($B58&lt;Input!$H$43,IF($B58&lt;Input!$G$43,IF($B58&lt;Input!$F$43,IF($B58&lt;Input!$E$43,IF($B58&lt;Input!$D$43,Input!$C$49,Input!$D$49),Input!$E$49),Input!$F$49),Input!$G$49),Input!$H$49)</f>
        <v>18940500</v>
      </c>
      <c r="N58" s="190">
        <f>IF($A58&lt;Input!$H$50,IF($A58&lt;Input!$G$50,IF($A58&lt;Input!$F$50,IF($A58&lt;Input!$E$50,IF($A58&lt;Input!$D$50,Input!$C$51,Input!$D$51),Input!$E$51),Input!$F$51),Input!$G$51),Input!$H$51)</f>
        <v>0.9</v>
      </c>
      <c r="O58" s="60">
        <f t="shared" si="36"/>
        <v>17046450</v>
      </c>
      <c r="P58" s="60">
        <f t="shared" si="37"/>
        <v>31</v>
      </c>
      <c r="Q58" s="60">
        <f t="shared" si="4"/>
        <v>733487995.22744608</v>
      </c>
      <c r="R58" s="60">
        <f>ROUND(Q58*$P58*Input!$C$3/365,0)</f>
        <v>9344436</v>
      </c>
      <c r="S58" s="60">
        <f>IF(A58&lt;=Input!$C$6,0,IF('Fixed Tenure'!O58&lt;'Fixed Tenure'!Q58,'Fixed Tenure'!O58-R58,'Fixed Tenure'!Q58))</f>
        <v>7702014</v>
      </c>
      <c r="T58" s="60">
        <f t="shared" si="5"/>
        <v>17046450</v>
      </c>
      <c r="U58" s="60">
        <f t="shared" si="6"/>
        <v>725785981.22744608</v>
      </c>
      <c r="V58" s="193"/>
      <c r="W58" s="169">
        <v>54</v>
      </c>
      <c r="X58" s="1">
        <f t="shared" si="28"/>
        <v>47164</v>
      </c>
      <c r="Y58" s="60">
        <f>IF($X58&lt;Input!$H$58,IF($X58&lt;Input!$G$58,IF($X58&lt;Input!$F$58,IF($X58&lt;Input!$E$58,IF($X58&lt;Input!$D$58,Input!$C$64,Input!$D$64),Input!$E$64),Input!$F$64),Input!$G$64),Input!$H$64)</f>
        <v>0</v>
      </c>
      <c r="Z58" s="190">
        <f>IF($A58&lt;Input!$H$65,IF($A58&lt;Input!$G$65,IF($A58&lt;Input!$F$65,IF($A58&lt;Input!$E$65,IF($A58&lt;Input!$D$65,Input!$C$66,Input!$D$66),Input!$E$66),Input!$F$66),Input!$G$66),Input!$H$66)</f>
        <v>0.9</v>
      </c>
      <c r="AA58" s="60">
        <f t="shared" si="7"/>
        <v>0</v>
      </c>
      <c r="AB58" s="60">
        <f t="shared" si="29"/>
        <v>31</v>
      </c>
      <c r="AC58" s="60">
        <f t="shared" si="8"/>
        <v>0</v>
      </c>
      <c r="AD58" s="60">
        <f>ROUND(AC58*AB58*Input!$C$3/365,0)</f>
        <v>0</v>
      </c>
      <c r="AE58" s="61">
        <f>IF($A58&lt;=Input!$C$6,0,IF('Fixed Tenure'!AA58&lt;'Fixed Tenure'!AC58,'Fixed Tenure'!AA58-AD58,'Fixed Tenure'!AC58))</f>
        <v>0</v>
      </c>
      <c r="AF58" s="61">
        <f t="shared" si="9"/>
        <v>0</v>
      </c>
      <c r="AG58" s="60">
        <f t="shared" si="10"/>
        <v>0</v>
      </c>
      <c r="AH58" s="193"/>
      <c r="AI58" s="169">
        <v>54</v>
      </c>
      <c r="AJ58" s="1">
        <f t="shared" si="30"/>
        <v>47164</v>
      </c>
      <c r="AK58" s="60">
        <f>IF($X58&lt;Input!$H$73,IF($X58&lt;Input!$G$73,IF($X58&lt;Input!$F$73,IF($X58&lt;Input!$E$73,IF($X58&lt;Input!$D$73,Input!$C$79,Input!$D$79),Input!$E$79),Input!$F$79),Input!$G$79),Input!$H$79)</f>
        <v>0</v>
      </c>
      <c r="AL58" s="190">
        <f>IF($A58&lt;Input!$H$80,IF($A58&lt;Input!$G$80,IF($A58&lt;Input!$F$80,IF($A58&lt;Input!$E$80,IF($A58&lt;Input!$D$80,Input!$C$81,Input!$D$81),Input!$E$81),Input!$F$81),Input!$G$81),Input!$H$81)</f>
        <v>0.9</v>
      </c>
      <c r="AM58" s="60">
        <f t="shared" si="11"/>
        <v>0</v>
      </c>
      <c r="AN58" s="60">
        <f t="shared" si="31"/>
        <v>31</v>
      </c>
      <c r="AO58" s="60">
        <f t="shared" si="12"/>
        <v>0</v>
      </c>
      <c r="AP58" s="60">
        <f>ROUND(AO58*AN58*Input!$C$3/365,0)</f>
        <v>0</v>
      </c>
      <c r="AQ58" s="61">
        <f>IF($A58&lt;=Input!$C$6,0,IF('Fixed Tenure'!AM58&lt;'Fixed Tenure'!AO58,'Fixed Tenure'!AM58-AP58,'Fixed Tenure'!AO58))</f>
        <v>0</v>
      </c>
      <c r="AR58" s="61">
        <f t="shared" si="13"/>
        <v>0</v>
      </c>
      <c r="AS58" s="60">
        <f t="shared" si="14"/>
        <v>0</v>
      </c>
      <c r="AT58" s="193"/>
      <c r="AU58" s="169">
        <v>54</v>
      </c>
      <c r="AV58" s="1">
        <f t="shared" si="32"/>
        <v>47164</v>
      </c>
      <c r="AW58" s="60">
        <f>IF($X58&lt;Input!$H$88,IF($X58&lt;Input!$G$88,IF($X58&lt;Input!$F$88,IF($X58&lt;Input!$E$88,IF($X58&lt;Input!$D$88,Input!$C$94,Input!$D$94),Input!$E$94),Input!$F$94),Input!$G$94),Input!$H$94)</f>
        <v>0</v>
      </c>
      <c r="AX58" s="190">
        <f>IF($A58&lt;Input!$H$95,IF($A58&lt;Input!$G$95,IF($A58&lt;Input!$F$95,IF($A58&lt;Input!$E$95,IF($A58&lt;Input!$D$95,Input!$C$96,Input!$D$96),Input!$E$96),Input!$F$96),Input!$G$96),Input!$H$96)</f>
        <v>0.9</v>
      </c>
      <c r="AY58" s="60">
        <f t="shared" si="15"/>
        <v>0</v>
      </c>
      <c r="AZ58" s="60">
        <f t="shared" si="33"/>
        <v>31</v>
      </c>
      <c r="BA58" s="60">
        <f t="shared" si="16"/>
        <v>0</v>
      </c>
      <c r="BB58" s="60">
        <f>ROUND(BA58*AZ58*Input!$C$3/365,0)</f>
        <v>0</v>
      </c>
      <c r="BC58" s="61">
        <f>IF($A58&lt;=Input!$C$6,0,IF('Fixed Tenure'!AY58&lt;'Fixed Tenure'!BA58,'Fixed Tenure'!AY58-BB58,'Fixed Tenure'!BA58))</f>
        <v>0</v>
      </c>
      <c r="BD58" s="61">
        <f t="shared" si="17"/>
        <v>0</v>
      </c>
      <c r="BE58" s="60">
        <f t="shared" si="18"/>
        <v>0</v>
      </c>
      <c r="BF58" s="193"/>
      <c r="BG58" s="169">
        <v>54</v>
      </c>
      <c r="BH58" s="1">
        <f t="shared" si="34"/>
        <v>47164</v>
      </c>
      <c r="BI58" s="60">
        <f>IF($X58&lt;Input!$H$103,IF($X58&lt;Input!$G$103,IF($X58&lt;Input!$F$103,IF($X58&lt;Input!$E$103,IF($X58&lt;Input!$D$103,Input!$C$109,Input!$D$109),Input!$E$109),Input!$F$109),Input!$G$109),Input!$H$109)</f>
        <v>0</v>
      </c>
      <c r="BJ58" s="190">
        <f>IF($A58&lt;Input!$H$110,IF($A58&lt;Input!$G$110,IF($A58&lt;Input!$F$110,IF($A58&lt;Input!$E$110,IF($A58&lt;Input!$D$110,Input!$C$111,Input!$D$111),Input!$E$111),Input!$F$111),Input!$G$111),Input!$H$111)</f>
        <v>0.9</v>
      </c>
      <c r="BK58" s="60">
        <f t="shared" si="19"/>
        <v>0</v>
      </c>
      <c r="BL58" s="60">
        <f t="shared" si="35"/>
        <v>31</v>
      </c>
      <c r="BM58" s="60">
        <f t="shared" si="20"/>
        <v>0</v>
      </c>
      <c r="BN58" s="60">
        <f>ROUND(BM58*BL58*Input!$C$3/365,0)</f>
        <v>0</v>
      </c>
      <c r="BO58" s="61">
        <f>IF($A58&lt;=Input!$C$6,0,IF('Fixed Tenure'!BK58&lt;'Fixed Tenure'!BM58,'Fixed Tenure'!BK58-BN58,'Fixed Tenure'!BM58))</f>
        <v>0</v>
      </c>
      <c r="BP58" s="61">
        <f t="shared" si="21"/>
        <v>0</v>
      </c>
      <c r="BQ58" s="60">
        <f t="shared" si="22"/>
        <v>0</v>
      </c>
      <c r="BR58" s="198"/>
    </row>
    <row r="59" spans="1:70" x14ac:dyDescent="0.25">
      <c r="A59" s="169">
        <v>55</v>
      </c>
      <c r="B59" s="1">
        <f t="shared" si="23"/>
        <v>47192</v>
      </c>
      <c r="C59" s="60">
        <f t="shared" si="1"/>
        <v>18940500</v>
      </c>
      <c r="D59" s="60">
        <f t="shared" si="2"/>
        <v>17046450</v>
      </c>
      <c r="E59" s="60">
        <f t="shared" si="24"/>
        <v>28</v>
      </c>
      <c r="F59" s="60">
        <f t="shared" si="25"/>
        <v>725785981.22744608</v>
      </c>
      <c r="G59" s="60">
        <f>ROUND(F59*E59*Input!$C$3/365,0)</f>
        <v>8351510</v>
      </c>
      <c r="H59" s="60">
        <f>IF($A59&lt;=Input!$C$6,0,IF('Fixed Tenure'!D59&lt;'Fixed Tenure'!F59,'Fixed Tenure'!D59-G59,'Fixed Tenure'!F59))</f>
        <v>8694940</v>
      </c>
      <c r="I59" s="60">
        <f t="shared" si="26"/>
        <v>17046450</v>
      </c>
      <c r="J59" s="60">
        <f t="shared" si="27"/>
        <v>717091041.22744608</v>
      </c>
      <c r="K59" s="202">
        <f>J59/Input!$K$5</f>
        <v>2.3903034707581536</v>
      </c>
      <c r="L59" s="232"/>
      <c r="M59" s="60">
        <f>IF($B59&lt;Input!$H$43,IF($B59&lt;Input!$G$43,IF($B59&lt;Input!$F$43,IF($B59&lt;Input!$E$43,IF($B59&lt;Input!$D$43,Input!$C$49,Input!$D$49),Input!$E$49),Input!$F$49),Input!$G$49),Input!$H$49)</f>
        <v>18940500</v>
      </c>
      <c r="N59" s="190">
        <f>IF($A59&lt;Input!$H$50,IF($A59&lt;Input!$G$50,IF($A59&lt;Input!$F$50,IF($A59&lt;Input!$E$50,IF($A59&lt;Input!$D$50,Input!$C$51,Input!$D$51),Input!$E$51),Input!$F$51),Input!$G$51),Input!$H$51)</f>
        <v>0.9</v>
      </c>
      <c r="O59" s="60">
        <f t="shared" si="36"/>
        <v>17046450</v>
      </c>
      <c r="P59" s="60">
        <f t="shared" si="37"/>
        <v>28</v>
      </c>
      <c r="Q59" s="60">
        <f t="shared" si="4"/>
        <v>725785981.22744608</v>
      </c>
      <c r="R59" s="60">
        <f>ROUND(Q59*$P59*Input!$C$3/365,0)</f>
        <v>8351510</v>
      </c>
      <c r="S59" s="60">
        <f>IF(A59&lt;=Input!$C$6,0,IF('Fixed Tenure'!O59&lt;'Fixed Tenure'!Q59,'Fixed Tenure'!O59-R59,'Fixed Tenure'!Q59))</f>
        <v>8694940</v>
      </c>
      <c r="T59" s="60">
        <f t="shared" si="5"/>
        <v>17046450</v>
      </c>
      <c r="U59" s="60">
        <f t="shared" si="6"/>
        <v>717091041.22744608</v>
      </c>
      <c r="V59" s="193"/>
      <c r="W59" s="169">
        <v>55</v>
      </c>
      <c r="X59" s="1">
        <f t="shared" si="28"/>
        <v>47192</v>
      </c>
      <c r="Y59" s="60">
        <f>IF($X59&lt;Input!$H$58,IF($X59&lt;Input!$G$58,IF($X59&lt;Input!$F$58,IF($X59&lt;Input!$E$58,IF($X59&lt;Input!$D$58,Input!$C$64,Input!$D$64),Input!$E$64),Input!$F$64),Input!$G$64),Input!$H$64)</f>
        <v>0</v>
      </c>
      <c r="Z59" s="190">
        <f>IF($A59&lt;Input!$H$65,IF($A59&lt;Input!$G$65,IF($A59&lt;Input!$F$65,IF($A59&lt;Input!$E$65,IF($A59&lt;Input!$D$65,Input!$C$66,Input!$D$66),Input!$E$66),Input!$F$66),Input!$G$66),Input!$H$66)</f>
        <v>0.9</v>
      </c>
      <c r="AA59" s="60">
        <f t="shared" si="7"/>
        <v>0</v>
      </c>
      <c r="AB59" s="60">
        <f t="shared" si="29"/>
        <v>28</v>
      </c>
      <c r="AC59" s="60">
        <f t="shared" si="8"/>
        <v>0</v>
      </c>
      <c r="AD59" s="60">
        <f>ROUND(AC59*AB59*Input!$C$3/365,0)</f>
        <v>0</v>
      </c>
      <c r="AE59" s="61">
        <f>IF($A59&lt;=Input!$C$6,0,IF('Fixed Tenure'!AA59&lt;'Fixed Tenure'!AC59,'Fixed Tenure'!AA59-AD59,'Fixed Tenure'!AC59))</f>
        <v>0</v>
      </c>
      <c r="AF59" s="61">
        <f t="shared" si="9"/>
        <v>0</v>
      </c>
      <c r="AG59" s="60">
        <f t="shared" si="10"/>
        <v>0</v>
      </c>
      <c r="AH59" s="193"/>
      <c r="AI59" s="169">
        <v>55</v>
      </c>
      <c r="AJ59" s="1">
        <f t="shared" si="30"/>
        <v>47192</v>
      </c>
      <c r="AK59" s="60">
        <f>IF($X59&lt;Input!$H$73,IF($X59&lt;Input!$G$73,IF($X59&lt;Input!$F$73,IF($X59&lt;Input!$E$73,IF($X59&lt;Input!$D$73,Input!$C$79,Input!$D$79),Input!$E$79),Input!$F$79),Input!$G$79),Input!$H$79)</f>
        <v>0</v>
      </c>
      <c r="AL59" s="190">
        <f>IF($A59&lt;Input!$H$80,IF($A59&lt;Input!$G$80,IF($A59&lt;Input!$F$80,IF($A59&lt;Input!$E$80,IF($A59&lt;Input!$D$80,Input!$C$81,Input!$D$81),Input!$E$81),Input!$F$81),Input!$G$81),Input!$H$81)</f>
        <v>0.9</v>
      </c>
      <c r="AM59" s="60">
        <f t="shared" si="11"/>
        <v>0</v>
      </c>
      <c r="AN59" s="60">
        <f t="shared" si="31"/>
        <v>28</v>
      </c>
      <c r="AO59" s="60">
        <f t="shared" si="12"/>
        <v>0</v>
      </c>
      <c r="AP59" s="60">
        <f>ROUND(AO59*AN59*Input!$C$3/365,0)</f>
        <v>0</v>
      </c>
      <c r="AQ59" s="61">
        <f>IF($A59&lt;=Input!$C$6,0,IF('Fixed Tenure'!AM59&lt;'Fixed Tenure'!AO59,'Fixed Tenure'!AM59-AP59,'Fixed Tenure'!AO59))</f>
        <v>0</v>
      </c>
      <c r="AR59" s="61">
        <f t="shared" si="13"/>
        <v>0</v>
      </c>
      <c r="AS59" s="60">
        <f t="shared" si="14"/>
        <v>0</v>
      </c>
      <c r="AT59" s="193"/>
      <c r="AU59" s="169">
        <v>55</v>
      </c>
      <c r="AV59" s="1">
        <f t="shared" si="32"/>
        <v>47192</v>
      </c>
      <c r="AW59" s="60">
        <f>IF($X59&lt;Input!$H$88,IF($X59&lt;Input!$G$88,IF($X59&lt;Input!$F$88,IF($X59&lt;Input!$E$88,IF($X59&lt;Input!$D$88,Input!$C$94,Input!$D$94),Input!$E$94),Input!$F$94),Input!$G$94),Input!$H$94)</f>
        <v>0</v>
      </c>
      <c r="AX59" s="190">
        <f>IF($A59&lt;Input!$H$95,IF($A59&lt;Input!$G$95,IF($A59&lt;Input!$F$95,IF($A59&lt;Input!$E$95,IF($A59&lt;Input!$D$95,Input!$C$96,Input!$D$96),Input!$E$96),Input!$F$96),Input!$G$96),Input!$H$96)</f>
        <v>0.9</v>
      </c>
      <c r="AY59" s="60">
        <f t="shared" si="15"/>
        <v>0</v>
      </c>
      <c r="AZ59" s="60">
        <f t="shared" si="33"/>
        <v>28</v>
      </c>
      <c r="BA59" s="60">
        <f t="shared" si="16"/>
        <v>0</v>
      </c>
      <c r="BB59" s="60">
        <f>ROUND(BA59*AZ59*Input!$C$3/365,0)</f>
        <v>0</v>
      </c>
      <c r="BC59" s="61">
        <f>IF($A59&lt;=Input!$C$6,0,IF('Fixed Tenure'!AY59&lt;'Fixed Tenure'!BA59,'Fixed Tenure'!AY59-BB59,'Fixed Tenure'!BA59))</f>
        <v>0</v>
      </c>
      <c r="BD59" s="61">
        <f t="shared" si="17"/>
        <v>0</v>
      </c>
      <c r="BE59" s="60">
        <f t="shared" si="18"/>
        <v>0</v>
      </c>
      <c r="BF59" s="193"/>
      <c r="BG59" s="169">
        <v>55</v>
      </c>
      <c r="BH59" s="1">
        <f t="shared" si="34"/>
        <v>47192</v>
      </c>
      <c r="BI59" s="60">
        <f>IF($X59&lt;Input!$H$103,IF($X59&lt;Input!$G$103,IF($X59&lt;Input!$F$103,IF($X59&lt;Input!$E$103,IF($X59&lt;Input!$D$103,Input!$C$109,Input!$D$109),Input!$E$109),Input!$F$109),Input!$G$109),Input!$H$109)</f>
        <v>0</v>
      </c>
      <c r="BJ59" s="190">
        <f>IF($A59&lt;Input!$H$110,IF($A59&lt;Input!$G$110,IF($A59&lt;Input!$F$110,IF($A59&lt;Input!$E$110,IF($A59&lt;Input!$D$110,Input!$C$111,Input!$D$111),Input!$E$111),Input!$F$111),Input!$G$111),Input!$H$111)</f>
        <v>0.9</v>
      </c>
      <c r="BK59" s="60">
        <f t="shared" si="19"/>
        <v>0</v>
      </c>
      <c r="BL59" s="60">
        <f t="shared" si="35"/>
        <v>28</v>
      </c>
      <c r="BM59" s="60">
        <f t="shared" si="20"/>
        <v>0</v>
      </c>
      <c r="BN59" s="60">
        <f>ROUND(BM59*BL59*Input!$C$3/365,0)</f>
        <v>0</v>
      </c>
      <c r="BO59" s="61">
        <f>IF($A59&lt;=Input!$C$6,0,IF('Fixed Tenure'!BK59&lt;'Fixed Tenure'!BM59,'Fixed Tenure'!BK59-BN59,'Fixed Tenure'!BM59))</f>
        <v>0</v>
      </c>
      <c r="BP59" s="61">
        <f t="shared" si="21"/>
        <v>0</v>
      </c>
      <c r="BQ59" s="60">
        <f t="shared" si="22"/>
        <v>0</v>
      </c>
      <c r="BR59" s="198"/>
    </row>
    <row r="60" spans="1:70" x14ac:dyDescent="0.25">
      <c r="A60" s="169">
        <v>56</v>
      </c>
      <c r="B60" s="1">
        <f t="shared" si="23"/>
        <v>47223</v>
      </c>
      <c r="C60" s="60">
        <f t="shared" si="1"/>
        <v>18940500</v>
      </c>
      <c r="D60" s="60">
        <f t="shared" si="2"/>
        <v>17046450</v>
      </c>
      <c r="E60" s="60">
        <f t="shared" si="24"/>
        <v>31</v>
      </c>
      <c r="F60" s="60">
        <f t="shared" si="25"/>
        <v>717091041.22744608</v>
      </c>
      <c r="G60" s="60">
        <f>ROUND(F60*E60*Input!$C$3/365,0)</f>
        <v>9135543</v>
      </c>
      <c r="H60" s="60">
        <f>IF($A60&lt;=Input!$C$6,0,IF('Fixed Tenure'!D60&lt;'Fixed Tenure'!F60,'Fixed Tenure'!D60-G60,'Fixed Tenure'!F60))</f>
        <v>7910907</v>
      </c>
      <c r="I60" s="60">
        <f t="shared" si="26"/>
        <v>17046450</v>
      </c>
      <c r="J60" s="60">
        <f t="shared" si="27"/>
        <v>709180134.22744608</v>
      </c>
      <c r="K60" s="202">
        <f>J60/Input!$K$5</f>
        <v>2.3639337807581535</v>
      </c>
      <c r="L60" s="232"/>
      <c r="M60" s="60">
        <f>IF($B60&lt;Input!$H$43,IF($B60&lt;Input!$G$43,IF($B60&lt;Input!$F$43,IF($B60&lt;Input!$E$43,IF($B60&lt;Input!$D$43,Input!$C$49,Input!$D$49),Input!$E$49),Input!$F$49),Input!$G$49),Input!$H$49)</f>
        <v>18940500</v>
      </c>
      <c r="N60" s="190">
        <f>IF($A60&lt;Input!$H$50,IF($A60&lt;Input!$G$50,IF($A60&lt;Input!$F$50,IF($A60&lt;Input!$E$50,IF($A60&lt;Input!$D$50,Input!$C$51,Input!$D$51),Input!$E$51),Input!$F$51),Input!$G$51),Input!$H$51)</f>
        <v>0.9</v>
      </c>
      <c r="O60" s="60">
        <f t="shared" si="36"/>
        <v>17046450</v>
      </c>
      <c r="P60" s="60">
        <f t="shared" si="37"/>
        <v>31</v>
      </c>
      <c r="Q60" s="60">
        <f t="shared" si="4"/>
        <v>717091041.22744608</v>
      </c>
      <c r="R60" s="60">
        <f>ROUND(Q60*$P60*Input!$C$3/365,0)</f>
        <v>9135543</v>
      </c>
      <c r="S60" s="60">
        <f>IF(A60&lt;=Input!$C$6,0,IF('Fixed Tenure'!O60&lt;'Fixed Tenure'!Q60,'Fixed Tenure'!O60-R60,'Fixed Tenure'!Q60))</f>
        <v>7910907</v>
      </c>
      <c r="T60" s="60">
        <f t="shared" si="5"/>
        <v>17046450</v>
      </c>
      <c r="U60" s="60">
        <f t="shared" si="6"/>
        <v>709180134.22744608</v>
      </c>
      <c r="V60" s="193"/>
      <c r="W60" s="169">
        <v>56</v>
      </c>
      <c r="X60" s="1">
        <f t="shared" si="28"/>
        <v>47223</v>
      </c>
      <c r="Y60" s="60">
        <f>IF($X60&lt;Input!$H$58,IF($X60&lt;Input!$G$58,IF($X60&lt;Input!$F$58,IF($X60&lt;Input!$E$58,IF($X60&lt;Input!$D$58,Input!$C$64,Input!$D$64),Input!$E$64),Input!$F$64),Input!$G$64),Input!$H$64)</f>
        <v>0</v>
      </c>
      <c r="Z60" s="190">
        <f>IF($A60&lt;Input!$H$65,IF($A60&lt;Input!$G$65,IF($A60&lt;Input!$F$65,IF($A60&lt;Input!$E$65,IF($A60&lt;Input!$D$65,Input!$C$66,Input!$D$66),Input!$E$66),Input!$F$66),Input!$G$66),Input!$H$66)</f>
        <v>0.9</v>
      </c>
      <c r="AA60" s="60">
        <f t="shared" si="7"/>
        <v>0</v>
      </c>
      <c r="AB60" s="60">
        <f t="shared" si="29"/>
        <v>31</v>
      </c>
      <c r="AC60" s="60">
        <f t="shared" si="8"/>
        <v>0</v>
      </c>
      <c r="AD60" s="60">
        <f>ROUND(AC60*AB60*Input!$C$3/365,0)</f>
        <v>0</v>
      </c>
      <c r="AE60" s="61">
        <f>IF($A60&lt;=Input!$C$6,0,IF('Fixed Tenure'!AA60&lt;'Fixed Tenure'!AC60,'Fixed Tenure'!AA60-AD60,'Fixed Tenure'!AC60))</f>
        <v>0</v>
      </c>
      <c r="AF60" s="61">
        <f t="shared" si="9"/>
        <v>0</v>
      </c>
      <c r="AG60" s="60">
        <f t="shared" si="10"/>
        <v>0</v>
      </c>
      <c r="AH60" s="193"/>
      <c r="AI60" s="169">
        <v>56</v>
      </c>
      <c r="AJ60" s="1">
        <f t="shared" si="30"/>
        <v>47223</v>
      </c>
      <c r="AK60" s="60">
        <f>IF($X60&lt;Input!$H$73,IF($X60&lt;Input!$G$73,IF($X60&lt;Input!$F$73,IF($X60&lt;Input!$E$73,IF($X60&lt;Input!$D$73,Input!$C$79,Input!$D$79),Input!$E$79),Input!$F$79),Input!$G$79),Input!$H$79)</f>
        <v>0</v>
      </c>
      <c r="AL60" s="190">
        <f>IF($A60&lt;Input!$H$80,IF($A60&lt;Input!$G$80,IF($A60&lt;Input!$F$80,IF($A60&lt;Input!$E$80,IF($A60&lt;Input!$D$80,Input!$C$81,Input!$D$81),Input!$E$81),Input!$F$81),Input!$G$81),Input!$H$81)</f>
        <v>0.9</v>
      </c>
      <c r="AM60" s="60">
        <f t="shared" si="11"/>
        <v>0</v>
      </c>
      <c r="AN60" s="60">
        <f t="shared" si="31"/>
        <v>31</v>
      </c>
      <c r="AO60" s="60">
        <f t="shared" si="12"/>
        <v>0</v>
      </c>
      <c r="AP60" s="60">
        <f>ROUND(AO60*AN60*Input!$C$3/365,0)</f>
        <v>0</v>
      </c>
      <c r="AQ60" s="61">
        <f>IF($A60&lt;=Input!$C$6,0,IF('Fixed Tenure'!AM60&lt;'Fixed Tenure'!AO60,'Fixed Tenure'!AM60-AP60,'Fixed Tenure'!AO60))</f>
        <v>0</v>
      </c>
      <c r="AR60" s="61">
        <f t="shared" si="13"/>
        <v>0</v>
      </c>
      <c r="AS60" s="60">
        <f t="shared" si="14"/>
        <v>0</v>
      </c>
      <c r="AT60" s="193"/>
      <c r="AU60" s="169">
        <v>56</v>
      </c>
      <c r="AV60" s="1">
        <f t="shared" si="32"/>
        <v>47223</v>
      </c>
      <c r="AW60" s="60">
        <f>IF($X60&lt;Input!$H$88,IF($X60&lt;Input!$G$88,IF($X60&lt;Input!$F$88,IF($X60&lt;Input!$E$88,IF($X60&lt;Input!$D$88,Input!$C$94,Input!$D$94),Input!$E$94),Input!$F$94),Input!$G$94),Input!$H$94)</f>
        <v>0</v>
      </c>
      <c r="AX60" s="190">
        <f>IF($A60&lt;Input!$H$95,IF($A60&lt;Input!$G$95,IF($A60&lt;Input!$F$95,IF($A60&lt;Input!$E$95,IF($A60&lt;Input!$D$95,Input!$C$96,Input!$D$96),Input!$E$96),Input!$F$96),Input!$G$96),Input!$H$96)</f>
        <v>0.9</v>
      </c>
      <c r="AY60" s="60">
        <f t="shared" si="15"/>
        <v>0</v>
      </c>
      <c r="AZ60" s="60">
        <f t="shared" si="33"/>
        <v>31</v>
      </c>
      <c r="BA60" s="60">
        <f t="shared" si="16"/>
        <v>0</v>
      </c>
      <c r="BB60" s="60">
        <f>ROUND(BA60*AZ60*Input!$C$3/365,0)</f>
        <v>0</v>
      </c>
      <c r="BC60" s="61">
        <f>IF($A60&lt;=Input!$C$6,0,IF('Fixed Tenure'!AY60&lt;'Fixed Tenure'!BA60,'Fixed Tenure'!AY60-BB60,'Fixed Tenure'!BA60))</f>
        <v>0</v>
      </c>
      <c r="BD60" s="61">
        <f t="shared" si="17"/>
        <v>0</v>
      </c>
      <c r="BE60" s="60">
        <f t="shared" si="18"/>
        <v>0</v>
      </c>
      <c r="BF60" s="193"/>
      <c r="BG60" s="169">
        <v>56</v>
      </c>
      <c r="BH60" s="1">
        <f t="shared" si="34"/>
        <v>47223</v>
      </c>
      <c r="BI60" s="60">
        <f>IF($X60&lt;Input!$H$103,IF($X60&lt;Input!$G$103,IF($X60&lt;Input!$F$103,IF($X60&lt;Input!$E$103,IF($X60&lt;Input!$D$103,Input!$C$109,Input!$D$109),Input!$E$109),Input!$F$109),Input!$G$109),Input!$H$109)</f>
        <v>0</v>
      </c>
      <c r="BJ60" s="190">
        <f>IF($A60&lt;Input!$H$110,IF($A60&lt;Input!$G$110,IF($A60&lt;Input!$F$110,IF($A60&lt;Input!$E$110,IF($A60&lt;Input!$D$110,Input!$C$111,Input!$D$111),Input!$E$111),Input!$F$111),Input!$G$111),Input!$H$111)</f>
        <v>0.9</v>
      </c>
      <c r="BK60" s="60">
        <f t="shared" si="19"/>
        <v>0</v>
      </c>
      <c r="BL60" s="60">
        <f t="shared" si="35"/>
        <v>31</v>
      </c>
      <c r="BM60" s="60">
        <f t="shared" si="20"/>
        <v>0</v>
      </c>
      <c r="BN60" s="60">
        <f>ROUND(BM60*BL60*Input!$C$3/365,0)</f>
        <v>0</v>
      </c>
      <c r="BO60" s="61">
        <f>IF($A60&lt;=Input!$C$6,0,IF('Fixed Tenure'!BK60&lt;'Fixed Tenure'!BM60,'Fixed Tenure'!BK60-BN60,'Fixed Tenure'!BM60))</f>
        <v>0</v>
      </c>
      <c r="BP60" s="61">
        <f t="shared" si="21"/>
        <v>0</v>
      </c>
      <c r="BQ60" s="60">
        <f t="shared" si="22"/>
        <v>0</v>
      </c>
      <c r="BR60" s="198"/>
    </row>
    <row r="61" spans="1:70" x14ac:dyDescent="0.25">
      <c r="A61" s="169">
        <v>57</v>
      </c>
      <c r="B61" s="1">
        <f t="shared" si="23"/>
        <v>47253</v>
      </c>
      <c r="C61" s="60">
        <f t="shared" si="1"/>
        <v>18940500</v>
      </c>
      <c r="D61" s="60">
        <f t="shared" si="2"/>
        <v>17046450</v>
      </c>
      <c r="E61" s="60">
        <f t="shared" si="24"/>
        <v>30</v>
      </c>
      <c r="F61" s="60">
        <f t="shared" si="25"/>
        <v>709180134.22744608</v>
      </c>
      <c r="G61" s="60">
        <f>ROUND(F61*E61*Input!$C$3/365,0)</f>
        <v>8743317</v>
      </c>
      <c r="H61" s="60">
        <f>IF($A61&lt;=Input!$C$6,0,IF('Fixed Tenure'!D61&lt;'Fixed Tenure'!F61,'Fixed Tenure'!D61-G61,'Fixed Tenure'!F61))</f>
        <v>8303133</v>
      </c>
      <c r="I61" s="60">
        <f t="shared" si="26"/>
        <v>17046450</v>
      </c>
      <c r="J61" s="60">
        <f t="shared" si="27"/>
        <v>700877001.22744608</v>
      </c>
      <c r="K61" s="202">
        <f>J61/Input!$K$5</f>
        <v>2.3362566707581536</v>
      </c>
      <c r="L61" s="232"/>
      <c r="M61" s="60">
        <f>IF($B61&lt;Input!$H$43,IF($B61&lt;Input!$G$43,IF($B61&lt;Input!$F$43,IF($B61&lt;Input!$E$43,IF($B61&lt;Input!$D$43,Input!$C$49,Input!$D$49),Input!$E$49),Input!$F$49),Input!$G$49),Input!$H$49)</f>
        <v>18940500</v>
      </c>
      <c r="N61" s="190">
        <f>IF($A61&lt;Input!$H$50,IF($A61&lt;Input!$G$50,IF($A61&lt;Input!$F$50,IF($A61&lt;Input!$E$50,IF($A61&lt;Input!$D$50,Input!$C$51,Input!$D$51),Input!$E$51),Input!$F$51),Input!$G$51),Input!$H$51)</f>
        <v>0.9</v>
      </c>
      <c r="O61" s="60">
        <f t="shared" si="36"/>
        <v>17046450</v>
      </c>
      <c r="P61" s="60">
        <f t="shared" si="37"/>
        <v>30</v>
      </c>
      <c r="Q61" s="60">
        <f t="shared" si="4"/>
        <v>709180134.22744608</v>
      </c>
      <c r="R61" s="60">
        <f>ROUND(Q61*$P61*Input!$C$3/365,0)</f>
        <v>8743317</v>
      </c>
      <c r="S61" s="60">
        <f>IF(A61&lt;=Input!$C$6,0,IF('Fixed Tenure'!O61&lt;'Fixed Tenure'!Q61,'Fixed Tenure'!O61-R61,'Fixed Tenure'!Q61))</f>
        <v>8303133</v>
      </c>
      <c r="T61" s="60">
        <f t="shared" si="5"/>
        <v>17046450</v>
      </c>
      <c r="U61" s="60">
        <f t="shared" si="6"/>
        <v>700877001.22744608</v>
      </c>
      <c r="V61" s="193"/>
      <c r="W61" s="169">
        <v>57</v>
      </c>
      <c r="X61" s="1">
        <f t="shared" si="28"/>
        <v>47253</v>
      </c>
      <c r="Y61" s="60">
        <f>IF($X61&lt;Input!$H$58,IF($X61&lt;Input!$G$58,IF($X61&lt;Input!$F$58,IF($X61&lt;Input!$E$58,IF($X61&lt;Input!$D$58,Input!$C$64,Input!$D$64),Input!$E$64),Input!$F$64),Input!$G$64),Input!$H$64)</f>
        <v>0</v>
      </c>
      <c r="Z61" s="190">
        <f>IF($A61&lt;Input!$H$65,IF($A61&lt;Input!$G$65,IF($A61&lt;Input!$F$65,IF($A61&lt;Input!$E$65,IF($A61&lt;Input!$D$65,Input!$C$66,Input!$D$66),Input!$E$66),Input!$F$66),Input!$G$66),Input!$H$66)</f>
        <v>0.9</v>
      </c>
      <c r="AA61" s="60">
        <f t="shared" si="7"/>
        <v>0</v>
      </c>
      <c r="AB61" s="60">
        <f t="shared" si="29"/>
        <v>30</v>
      </c>
      <c r="AC61" s="60">
        <f t="shared" si="8"/>
        <v>0</v>
      </c>
      <c r="AD61" s="60">
        <f>ROUND(AC61*AB61*Input!$C$3/365,0)</f>
        <v>0</v>
      </c>
      <c r="AE61" s="61">
        <f>IF($A61&lt;=Input!$C$6,0,IF('Fixed Tenure'!AA61&lt;'Fixed Tenure'!AC61,'Fixed Tenure'!AA61-AD61,'Fixed Tenure'!AC61))</f>
        <v>0</v>
      </c>
      <c r="AF61" s="61">
        <f t="shared" si="9"/>
        <v>0</v>
      </c>
      <c r="AG61" s="60">
        <f t="shared" si="10"/>
        <v>0</v>
      </c>
      <c r="AH61" s="193"/>
      <c r="AI61" s="169">
        <v>57</v>
      </c>
      <c r="AJ61" s="1">
        <f t="shared" si="30"/>
        <v>47253</v>
      </c>
      <c r="AK61" s="60">
        <f>IF($X61&lt;Input!$H$73,IF($X61&lt;Input!$G$73,IF($X61&lt;Input!$F$73,IF($X61&lt;Input!$E$73,IF($X61&lt;Input!$D$73,Input!$C$79,Input!$D$79),Input!$E$79),Input!$F$79),Input!$G$79),Input!$H$79)</f>
        <v>0</v>
      </c>
      <c r="AL61" s="190">
        <f>IF($A61&lt;Input!$H$80,IF($A61&lt;Input!$G$80,IF($A61&lt;Input!$F$80,IF($A61&lt;Input!$E$80,IF($A61&lt;Input!$D$80,Input!$C$81,Input!$D$81),Input!$E$81),Input!$F$81),Input!$G$81),Input!$H$81)</f>
        <v>0.9</v>
      </c>
      <c r="AM61" s="60">
        <f t="shared" si="11"/>
        <v>0</v>
      </c>
      <c r="AN61" s="60">
        <f t="shared" si="31"/>
        <v>30</v>
      </c>
      <c r="AO61" s="60">
        <f t="shared" si="12"/>
        <v>0</v>
      </c>
      <c r="AP61" s="60">
        <f>ROUND(AO61*AN61*Input!$C$3/365,0)</f>
        <v>0</v>
      </c>
      <c r="AQ61" s="61">
        <f>IF($A61&lt;=Input!$C$6,0,IF('Fixed Tenure'!AM61&lt;'Fixed Tenure'!AO61,'Fixed Tenure'!AM61-AP61,'Fixed Tenure'!AO61))</f>
        <v>0</v>
      </c>
      <c r="AR61" s="61">
        <f t="shared" si="13"/>
        <v>0</v>
      </c>
      <c r="AS61" s="60">
        <f t="shared" si="14"/>
        <v>0</v>
      </c>
      <c r="AT61" s="193"/>
      <c r="AU61" s="169">
        <v>57</v>
      </c>
      <c r="AV61" s="1">
        <f t="shared" si="32"/>
        <v>47253</v>
      </c>
      <c r="AW61" s="60">
        <f>IF($X61&lt;Input!$H$88,IF($X61&lt;Input!$G$88,IF($X61&lt;Input!$F$88,IF($X61&lt;Input!$E$88,IF($X61&lt;Input!$D$88,Input!$C$94,Input!$D$94),Input!$E$94),Input!$F$94),Input!$G$94),Input!$H$94)</f>
        <v>0</v>
      </c>
      <c r="AX61" s="190">
        <f>IF($A61&lt;Input!$H$95,IF($A61&lt;Input!$G$95,IF($A61&lt;Input!$F$95,IF($A61&lt;Input!$E$95,IF($A61&lt;Input!$D$95,Input!$C$96,Input!$D$96),Input!$E$96),Input!$F$96),Input!$G$96),Input!$H$96)</f>
        <v>0.9</v>
      </c>
      <c r="AY61" s="60">
        <f t="shared" si="15"/>
        <v>0</v>
      </c>
      <c r="AZ61" s="60">
        <f t="shared" si="33"/>
        <v>30</v>
      </c>
      <c r="BA61" s="60">
        <f t="shared" si="16"/>
        <v>0</v>
      </c>
      <c r="BB61" s="60">
        <f>ROUND(BA61*AZ61*Input!$C$3/365,0)</f>
        <v>0</v>
      </c>
      <c r="BC61" s="61">
        <f>IF($A61&lt;=Input!$C$6,0,IF('Fixed Tenure'!AY61&lt;'Fixed Tenure'!BA61,'Fixed Tenure'!AY61-BB61,'Fixed Tenure'!BA61))</f>
        <v>0</v>
      </c>
      <c r="BD61" s="61">
        <f t="shared" si="17"/>
        <v>0</v>
      </c>
      <c r="BE61" s="60">
        <f t="shared" si="18"/>
        <v>0</v>
      </c>
      <c r="BF61" s="193"/>
      <c r="BG61" s="169">
        <v>57</v>
      </c>
      <c r="BH61" s="1">
        <f t="shared" si="34"/>
        <v>47253</v>
      </c>
      <c r="BI61" s="60">
        <f>IF($X61&lt;Input!$H$103,IF($X61&lt;Input!$G$103,IF($X61&lt;Input!$F$103,IF($X61&lt;Input!$E$103,IF($X61&lt;Input!$D$103,Input!$C$109,Input!$D$109),Input!$E$109),Input!$F$109),Input!$G$109),Input!$H$109)</f>
        <v>0</v>
      </c>
      <c r="BJ61" s="190">
        <f>IF($A61&lt;Input!$H$110,IF($A61&lt;Input!$G$110,IF($A61&lt;Input!$F$110,IF($A61&lt;Input!$E$110,IF($A61&lt;Input!$D$110,Input!$C$111,Input!$D$111),Input!$E$111),Input!$F$111),Input!$G$111),Input!$H$111)</f>
        <v>0.9</v>
      </c>
      <c r="BK61" s="60">
        <f t="shared" si="19"/>
        <v>0</v>
      </c>
      <c r="BL61" s="60">
        <f t="shared" si="35"/>
        <v>30</v>
      </c>
      <c r="BM61" s="60">
        <f t="shared" si="20"/>
        <v>0</v>
      </c>
      <c r="BN61" s="60">
        <f>ROUND(BM61*BL61*Input!$C$3/365,0)</f>
        <v>0</v>
      </c>
      <c r="BO61" s="61">
        <f>IF($A61&lt;=Input!$C$6,0,IF('Fixed Tenure'!BK61&lt;'Fixed Tenure'!BM61,'Fixed Tenure'!BK61-BN61,'Fixed Tenure'!BM61))</f>
        <v>0</v>
      </c>
      <c r="BP61" s="61">
        <f t="shared" si="21"/>
        <v>0</v>
      </c>
      <c r="BQ61" s="60">
        <f t="shared" si="22"/>
        <v>0</v>
      </c>
      <c r="BR61" s="198"/>
    </row>
    <row r="62" spans="1:70" x14ac:dyDescent="0.25">
      <c r="A62" s="169">
        <v>58</v>
      </c>
      <c r="B62" s="1">
        <f t="shared" si="23"/>
        <v>47284</v>
      </c>
      <c r="C62" s="60">
        <f t="shared" si="1"/>
        <v>18940500</v>
      </c>
      <c r="D62" s="60">
        <f t="shared" si="2"/>
        <v>17046450</v>
      </c>
      <c r="E62" s="60">
        <f t="shared" si="24"/>
        <v>31</v>
      </c>
      <c r="F62" s="60">
        <f t="shared" si="25"/>
        <v>700877001.22744608</v>
      </c>
      <c r="G62" s="60">
        <f>ROUND(F62*E62*Input!$C$3/365,0)</f>
        <v>8928981</v>
      </c>
      <c r="H62" s="60">
        <f>IF($A62&lt;=Input!$C$6,0,IF('Fixed Tenure'!D62&lt;'Fixed Tenure'!F62,'Fixed Tenure'!D62-G62,'Fixed Tenure'!F62))</f>
        <v>8117469</v>
      </c>
      <c r="I62" s="60">
        <f t="shared" si="26"/>
        <v>17046450</v>
      </c>
      <c r="J62" s="60">
        <f t="shared" si="27"/>
        <v>692759532.22744608</v>
      </c>
      <c r="K62" s="202">
        <f>J62/Input!$K$5</f>
        <v>2.3091984407581534</v>
      </c>
      <c r="L62" s="232"/>
      <c r="M62" s="60">
        <f>IF($B62&lt;Input!$H$43,IF($B62&lt;Input!$G$43,IF($B62&lt;Input!$F$43,IF($B62&lt;Input!$E$43,IF($B62&lt;Input!$D$43,Input!$C$49,Input!$D$49),Input!$E$49),Input!$F$49),Input!$G$49),Input!$H$49)</f>
        <v>18940500</v>
      </c>
      <c r="N62" s="190">
        <f>IF($A62&lt;Input!$H$50,IF($A62&lt;Input!$G$50,IF($A62&lt;Input!$F$50,IF($A62&lt;Input!$E$50,IF($A62&lt;Input!$D$50,Input!$C$51,Input!$D$51),Input!$E$51),Input!$F$51),Input!$G$51),Input!$H$51)</f>
        <v>0.9</v>
      </c>
      <c r="O62" s="60">
        <f t="shared" si="36"/>
        <v>17046450</v>
      </c>
      <c r="P62" s="60">
        <f t="shared" si="37"/>
        <v>31</v>
      </c>
      <c r="Q62" s="60">
        <f t="shared" si="4"/>
        <v>700877001.22744608</v>
      </c>
      <c r="R62" s="60">
        <f>ROUND(Q62*$P62*Input!$C$3/365,0)</f>
        <v>8928981</v>
      </c>
      <c r="S62" s="60">
        <f>IF(A62&lt;=Input!$C$6,0,IF('Fixed Tenure'!O62&lt;'Fixed Tenure'!Q62,'Fixed Tenure'!O62-R62,'Fixed Tenure'!Q62))</f>
        <v>8117469</v>
      </c>
      <c r="T62" s="60">
        <f t="shared" si="5"/>
        <v>17046450</v>
      </c>
      <c r="U62" s="60">
        <f t="shared" si="6"/>
        <v>692759532.22744608</v>
      </c>
      <c r="V62" s="193"/>
      <c r="W62" s="169">
        <v>58</v>
      </c>
      <c r="X62" s="1">
        <f t="shared" si="28"/>
        <v>47284</v>
      </c>
      <c r="Y62" s="60">
        <f>IF($X62&lt;Input!$H$58,IF($X62&lt;Input!$G$58,IF($X62&lt;Input!$F$58,IF($X62&lt;Input!$E$58,IF($X62&lt;Input!$D$58,Input!$C$64,Input!$D$64),Input!$E$64),Input!$F$64),Input!$G$64),Input!$H$64)</f>
        <v>0</v>
      </c>
      <c r="Z62" s="190">
        <f>IF($A62&lt;Input!$H$65,IF($A62&lt;Input!$G$65,IF($A62&lt;Input!$F$65,IF($A62&lt;Input!$E$65,IF($A62&lt;Input!$D$65,Input!$C$66,Input!$D$66),Input!$E$66),Input!$F$66),Input!$G$66),Input!$H$66)</f>
        <v>0.9</v>
      </c>
      <c r="AA62" s="60">
        <f t="shared" si="7"/>
        <v>0</v>
      </c>
      <c r="AB62" s="60">
        <f t="shared" si="29"/>
        <v>31</v>
      </c>
      <c r="AC62" s="60">
        <f t="shared" si="8"/>
        <v>0</v>
      </c>
      <c r="AD62" s="60">
        <f>ROUND(AC62*AB62*Input!$C$3/365,0)</f>
        <v>0</v>
      </c>
      <c r="AE62" s="61">
        <f>IF($A62&lt;=Input!$C$6,0,IF('Fixed Tenure'!AA62&lt;'Fixed Tenure'!AC62,'Fixed Tenure'!AA62-AD62,'Fixed Tenure'!AC62))</f>
        <v>0</v>
      </c>
      <c r="AF62" s="61">
        <f t="shared" si="9"/>
        <v>0</v>
      </c>
      <c r="AG62" s="60">
        <f t="shared" si="10"/>
        <v>0</v>
      </c>
      <c r="AH62" s="193"/>
      <c r="AI62" s="169">
        <v>58</v>
      </c>
      <c r="AJ62" s="1">
        <f t="shared" si="30"/>
        <v>47284</v>
      </c>
      <c r="AK62" s="60">
        <f>IF($X62&lt;Input!$H$73,IF($X62&lt;Input!$G$73,IF($X62&lt;Input!$F$73,IF($X62&lt;Input!$E$73,IF($X62&lt;Input!$D$73,Input!$C$79,Input!$D$79),Input!$E$79),Input!$F$79),Input!$G$79),Input!$H$79)</f>
        <v>0</v>
      </c>
      <c r="AL62" s="190">
        <f>IF($A62&lt;Input!$H$80,IF($A62&lt;Input!$G$80,IF($A62&lt;Input!$F$80,IF($A62&lt;Input!$E$80,IF($A62&lt;Input!$D$80,Input!$C$81,Input!$D$81),Input!$E$81),Input!$F$81),Input!$G$81),Input!$H$81)</f>
        <v>0.9</v>
      </c>
      <c r="AM62" s="60">
        <f t="shared" si="11"/>
        <v>0</v>
      </c>
      <c r="AN62" s="60">
        <f t="shared" si="31"/>
        <v>31</v>
      </c>
      <c r="AO62" s="60">
        <f t="shared" si="12"/>
        <v>0</v>
      </c>
      <c r="AP62" s="60">
        <f>ROUND(AO62*AN62*Input!$C$3/365,0)</f>
        <v>0</v>
      </c>
      <c r="AQ62" s="61">
        <f>IF($A62&lt;=Input!$C$6,0,IF('Fixed Tenure'!AM62&lt;'Fixed Tenure'!AO62,'Fixed Tenure'!AM62-AP62,'Fixed Tenure'!AO62))</f>
        <v>0</v>
      </c>
      <c r="AR62" s="61">
        <f t="shared" si="13"/>
        <v>0</v>
      </c>
      <c r="AS62" s="60">
        <f t="shared" si="14"/>
        <v>0</v>
      </c>
      <c r="AT62" s="193"/>
      <c r="AU62" s="169">
        <v>58</v>
      </c>
      <c r="AV62" s="1">
        <f t="shared" si="32"/>
        <v>47284</v>
      </c>
      <c r="AW62" s="60">
        <f>IF($X62&lt;Input!$H$88,IF($X62&lt;Input!$G$88,IF($X62&lt;Input!$F$88,IF($X62&lt;Input!$E$88,IF($X62&lt;Input!$D$88,Input!$C$94,Input!$D$94),Input!$E$94),Input!$F$94),Input!$G$94),Input!$H$94)</f>
        <v>0</v>
      </c>
      <c r="AX62" s="190">
        <f>IF($A62&lt;Input!$H$95,IF($A62&lt;Input!$G$95,IF($A62&lt;Input!$F$95,IF($A62&lt;Input!$E$95,IF($A62&lt;Input!$D$95,Input!$C$96,Input!$D$96),Input!$E$96),Input!$F$96),Input!$G$96),Input!$H$96)</f>
        <v>0.9</v>
      </c>
      <c r="AY62" s="60">
        <f t="shared" si="15"/>
        <v>0</v>
      </c>
      <c r="AZ62" s="60">
        <f t="shared" si="33"/>
        <v>31</v>
      </c>
      <c r="BA62" s="60">
        <f t="shared" si="16"/>
        <v>0</v>
      </c>
      <c r="BB62" s="60">
        <f>ROUND(BA62*AZ62*Input!$C$3/365,0)</f>
        <v>0</v>
      </c>
      <c r="BC62" s="61">
        <f>IF($A62&lt;=Input!$C$6,0,IF('Fixed Tenure'!AY62&lt;'Fixed Tenure'!BA62,'Fixed Tenure'!AY62-BB62,'Fixed Tenure'!BA62))</f>
        <v>0</v>
      </c>
      <c r="BD62" s="61">
        <f t="shared" si="17"/>
        <v>0</v>
      </c>
      <c r="BE62" s="60">
        <f t="shared" si="18"/>
        <v>0</v>
      </c>
      <c r="BF62" s="193"/>
      <c r="BG62" s="169">
        <v>58</v>
      </c>
      <c r="BH62" s="1">
        <f t="shared" si="34"/>
        <v>47284</v>
      </c>
      <c r="BI62" s="60">
        <f>IF($X62&lt;Input!$H$103,IF($X62&lt;Input!$G$103,IF($X62&lt;Input!$F$103,IF($X62&lt;Input!$E$103,IF($X62&lt;Input!$D$103,Input!$C$109,Input!$D$109),Input!$E$109),Input!$F$109),Input!$G$109),Input!$H$109)</f>
        <v>0</v>
      </c>
      <c r="BJ62" s="190">
        <f>IF($A62&lt;Input!$H$110,IF($A62&lt;Input!$G$110,IF($A62&lt;Input!$F$110,IF($A62&lt;Input!$E$110,IF($A62&lt;Input!$D$110,Input!$C$111,Input!$D$111),Input!$E$111),Input!$F$111),Input!$G$111),Input!$H$111)</f>
        <v>0.9</v>
      </c>
      <c r="BK62" s="60">
        <f t="shared" si="19"/>
        <v>0</v>
      </c>
      <c r="BL62" s="60">
        <f t="shared" si="35"/>
        <v>31</v>
      </c>
      <c r="BM62" s="60">
        <f t="shared" si="20"/>
        <v>0</v>
      </c>
      <c r="BN62" s="60">
        <f>ROUND(BM62*BL62*Input!$C$3/365,0)</f>
        <v>0</v>
      </c>
      <c r="BO62" s="61">
        <f>IF($A62&lt;=Input!$C$6,0,IF('Fixed Tenure'!BK62&lt;'Fixed Tenure'!BM62,'Fixed Tenure'!BK62-BN62,'Fixed Tenure'!BM62))</f>
        <v>0</v>
      </c>
      <c r="BP62" s="61">
        <f t="shared" si="21"/>
        <v>0</v>
      </c>
      <c r="BQ62" s="60">
        <f t="shared" si="22"/>
        <v>0</v>
      </c>
      <c r="BR62" s="198"/>
    </row>
    <row r="63" spans="1:70" x14ac:dyDescent="0.25">
      <c r="A63" s="169">
        <v>59</v>
      </c>
      <c r="B63" s="1">
        <f t="shared" si="23"/>
        <v>47314</v>
      </c>
      <c r="C63" s="60">
        <f t="shared" si="1"/>
        <v>18940500</v>
      </c>
      <c r="D63" s="60">
        <f t="shared" si="2"/>
        <v>17046450</v>
      </c>
      <c r="E63" s="60">
        <f t="shared" si="24"/>
        <v>30</v>
      </c>
      <c r="F63" s="60">
        <f t="shared" si="25"/>
        <v>692759532.22744608</v>
      </c>
      <c r="G63" s="60">
        <f>ROUND(F63*E63*Input!$C$3/365,0)</f>
        <v>8540871</v>
      </c>
      <c r="H63" s="60">
        <f>IF($A63&lt;=Input!$C$6,0,IF('Fixed Tenure'!D63&lt;'Fixed Tenure'!F63,'Fixed Tenure'!D63-G63,'Fixed Tenure'!F63))</f>
        <v>8505579</v>
      </c>
      <c r="I63" s="60">
        <f t="shared" si="26"/>
        <v>17046450</v>
      </c>
      <c r="J63" s="60">
        <f t="shared" si="27"/>
        <v>684253953.22744608</v>
      </c>
      <c r="K63" s="202">
        <f>J63/Input!$K$5</f>
        <v>2.2808465107581535</v>
      </c>
      <c r="L63" s="232"/>
      <c r="M63" s="60">
        <f>IF($B63&lt;Input!$H$43,IF($B63&lt;Input!$G$43,IF($B63&lt;Input!$F$43,IF($B63&lt;Input!$E$43,IF($B63&lt;Input!$D$43,Input!$C$49,Input!$D$49),Input!$E$49),Input!$F$49),Input!$G$49),Input!$H$49)</f>
        <v>18940500</v>
      </c>
      <c r="N63" s="190">
        <f>IF($A63&lt;Input!$H$50,IF($A63&lt;Input!$G$50,IF($A63&lt;Input!$F$50,IF($A63&lt;Input!$E$50,IF($A63&lt;Input!$D$50,Input!$C$51,Input!$D$51),Input!$E$51),Input!$F$51),Input!$G$51),Input!$H$51)</f>
        <v>0.9</v>
      </c>
      <c r="O63" s="60">
        <f t="shared" si="36"/>
        <v>17046450</v>
      </c>
      <c r="P63" s="60">
        <f t="shared" si="37"/>
        <v>30</v>
      </c>
      <c r="Q63" s="60">
        <f t="shared" si="4"/>
        <v>692759532.22744608</v>
      </c>
      <c r="R63" s="60">
        <f>ROUND(Q63*$P63*Input!$C$3/365,0)</f>
        <v>8540871</v>
      </c>
      <c r="S63" s="60">
        <f>IF(A63&lt;=Input!$C$6,0,IF('Fixed Tenure'!O63&lt;'Fixed Tenure'!Q63,'Fixed Tenure'!O63-R63,'Fixed Tenure'!Q63))</f>
        <v>8505579</v>
      </c>
      <c r="T63" s="60">
        <f t="shared" si="5"/>
        <v>17046450</v>
      </c>
      <c r="U63" s="60">
        <f t="shared" si="6"/>
        <v>684253953.22744608</v>
      </c>
      <c r="V63" s="193"/>
      <c r="W63" s="169">
        <v>59</v>
      </c>
      <c r="X63" s="1">
        <f t="shared" si="28"/>
        <v>47314</v>
      </c>
      <c r="Y63" s="60">
        <f>IF($X63&lt;Input!$H$58,IF($X63&lt;Input!$G$58,IF($X63&lt;Input!$F$58,IF($X63&lt;Input!$E$58,IF($X63&lt;Input!$D$58,Input!$C$64,Input!$D$64),Input!$E$64),Input!$F$64),Input!$G$64),Input!$H$64)</f>
        <v>0</v>
      </c>
      <c r="Z63" s="190">
        <f>IF($A63&lt;Input!$H$65,IF($A63&lt;Input!$G$65,IF($A63&lt;Input!$F$65,IF($A63&lt;Input!$E$65,IF($A63&lt;Input!$D$65,Input!$C$66,Input!$D$66),Input!$E$66),Input!$F$66),Input!$G$66),Input!$H$66)</f>
        <v>0.9</v>
      </c>
      <c r="AA63" s="60">
        <f t="shared" si="7"/>
        <v>0</v>
      </c>
      <c r="AB63" s="60">
        <f t="shared" si="29"/>
        <v>30</v>
      </c>
      <c r="AC63" s="60">
        <f t="shared" si="8"/>
        <v>0</v>
      </c>
      <c r="AD63" s="60">
        <f>ROUND(AC63*AB63*Input!$C$3/365,0)</f>
        <v>0</v>
      </c>
      <c r="AE63" s="61">
        <f>IF($A63&lt;=Input!$C$6,0,IF('Fixed Tenure'!AA63&lt;'Fixed Tenure'!AC63,'Fixed Tenure'!AA63-AD63,'Fixed Tenure'!AC63))</f>
        <v>0</v>
      </c>
      <c r="AF63" s="61">
        <f t="shared" si="9"/>
        <v>0</v>
      </c>
      <c r="AG63" s="60">
        <f t="shared" si="10"/>
        <v>0</v>
      </c>
      <c r="AH63" s="193"/>
      <c r="AI63" s="169">
        <v>59</v>
      </c>
      <c r="AJ63" s="1">
        <f t="shared" si="30"/>
        <v>47314</v>
      </c>
      <c r="AK63" s="60">
        <f>IF($X63&lt;Input!$H$73,IF($X63&lt;Input!$G$73,IF($X63&lt;Input!$F$73,IF($X63&lt;Input!$E$73,IF($X63&lt;Input!$D$73,Input!$C$79,Input!$D$79),Input!$E$79),Input!$F$79),Input!$G$79),Input!$H$79)</f>
        <v>0</v>
      </c>
      <c r="AL63" s="190">
        <f>IF($A63&lt;Input!$H$80,IF($A63&lt;Input!$G$80,IF($A63&lt;Input!$F$80,IF($A63&lt;Input!$E$80,IF($A63&lt;Input!$D$80,Input!$C$81,Input!$D$81),Input!$E$81),Input!$F$81),Input!$G$81),Input!$H$81)</f>
        <v>0.9</v>
      </c>
      <c r="AM63" s="60">
        <f t="shared" si="11"/>
        <v>0</v>
      </c>
      <c r="AN63" s="60">
        <f t="shared" si="31"/>
        <v>30</v>
      </c>
      <c r="AO63" s="60">
        <f t="shared" si="12"/>
        <v>0</v>
      </c>
      <c r="AP63" s="60">
        <f>ROUND(AO63*AN63*Input!$C$3/365,0)</f>
        <v>0</v>
      </c>
      <c r="AQ63" s="61">
        <f>IF($A63&lt;=Input!$C$6,0,IF('Fixed Tenure'!AM63&lt;'Fixed Tenure'!AO63,'Fixed Tenure'!AM63-AP63,'Fixed Tenure'!AO63))</f>
        <v>0</v>
      </c>
      <c r="AR63" s="61">
        <f t="shared" si="13"/>
        <v>0</v>
      </c>
      <c r="AS63" s="60">
        <f t="shared" si="14"/>
        <v>0</v>
      </c>
      <c r="AT63" s="193"/>
      <c r="AU63" s="169">
        <v>59</v>
      </c>
      <c r="AV63" s="1">
        <f t="shared" si="32"/>
        <v>47314</v>
      </c>
      <c r="AW63" s="60">
        <f>IF($X63&lt;Input!$H$88,IF($X63&lt;Input!$G$88,IF($X63&lt;Input!$F$88,IF($X63&lt;Input!$E$88,IF($X63&lt;Input!$D$88,Input!$C$94,Input!$D$94),Input!$E$94),Input!$F$94),Input!$G$94),Input!$H$94)</f>
        <v>0</v>
      </c>
      <c r="AX63" s="190">
        <f>IF($A63&lt;Input!$H$95,IF($A63&lt;Input!$G$95,IF($A63&lt;Input!$F$95,IF($A63&lt;Input!$E$95,IF($A63&lt;Input!$D$95,Input!$C$96,Input!$D$96),Input!$E$96),Input!$F$96),Input!$G$96),Input!$H$96)</f>
        <v>0.9</v>
      </c>
      <c r="AY63" s="60">
        <f t="shared" si="15"/>
        <v>0</v>
      </c>
      <c r="AZ63" s="60">
        <f t="shared" si="33"/>
        <v>30</v>
      </c>
      <c r="BA63" s="60">
        <f t="shared" si="16"/>
        <v>0</v>
      </c>
      <c r="BB63" s="60">
        <f>ROUND(BA63*AZ63*Input!$C$3/365,0)</f>
        <v>0</v>
      </c>
      <c r="BC63" s="61">
        <f>IF($A63&lt;=Input!$C$6,0,IF('Fixed Tenure'!AY63&lt;'Fixed Tenure'!BA63,'Fixed Tenure'!AY63-BB63,'Fixed Tenure'!BA63))</f>
        <v>0</v>
      </c>
      <c r="BD63" s="61">
        <f t="shared" si="17"/>
        <v>0</v>
      </c>
      <c r="BE63" s="60">
        <f t="shared" si="18"/>
        <v>0</v>
      </c>
      <c r="BF63" s="193"/>
      <c r="BG63" s="169">
        <v>59</v>
      </c>
      <c r="BH63" s="1">
        <f t="shared" si="34"/>
        <v>47314</v>
      </c>
      <c r="BI63" s="60">
        <f>IF($X63&lt;Input!$H$103,IF($X63&lt;Input!$G$103,IF($X63&lt;Input!$F$103,IF($X63&lt;Input!$E$103,IF($X63&lt;Input!$D$103,Input!$C$109,Input!$D$109),Input!$E$109),Input!$F$109),Input!$G$109),Input!$H$109)</f>
        <v>0</v>
      </c>
      <c r="BJ63" s="190">
        <f>IF($A63&lt;Input!$H$110,IF($A63&lt;Input!$G$110,IF($A63&lt;Input!$F$110,IF($A63&lt;Input!$E$110,IF($A63&lt;Input!$D$110,Input!$C$111,Input!$D$111),Input!$E$111),Input!$F$111),Input!$G$111),Input!$H$111)</f>
        <v>0.9</v>
      </c>
      <c r="BK63" s="60">
        <f t="shared" si="19"/>
        <v>0</v>
      </c>
      <c r="BL63" s="60">
        <f t="shared" si="35"/>
        <v>30</v>
      </c>
      <c r="BM63" s="60">
        <f t="shared" si="20"/>
        <v>0</v>
      </c>
      <c r="BN63" s="60">
        <f>ROUND(BM63*BL63*Input!$C$3/365,0)</f>
        <v>0</v>
      </c>
      <c r="BO63" s="61">
        <f>IF($A63&lt;=Input!$C$6,0,IF('Fixed Tenure'!BK63&lt;'Fixed Tenure'!BM63,'Fixed Tenure'!BK63-BN63,'Fixed Tenure'!BM63))</f>
        <v>0</v>
      </c>
      <c r="BP63" s="61">
        <f t="shared" si="21"/>
        <v>0</v>
      </c>
      <c r="BQ63" s="60">
        <f t="shared" si="22"/>
        <v>0</v>
      </c>
      <c r="BR63" s="198"/>
    </row>
    <row r="64" spans="1:70" x14ac:dyDescent="0.25">
      <c r="A64" s="169">
        <v>60</v>
      </c>
      <c r="B64" s="1">
        <f t="shared" si="23"/>
        <v>47345</v>
      </c>
      <c r="C64" s="60">
        <f t="shared" si="1"/>
        <v>18940500</v>
      </c>
      <c r="D64" s="60">
        <f t="shared" si="2"/>
        <v>17046450</v>
      </c>
      <c r="E64" s="60">
        <f t="shared" si="24"/>
        <v>31</v>
      </c>
      <c r="F64" s="60">
        <f t="shared" si="25"/>
        <v>684253953.22744608</v>
      </c>
      <c r="G64" s="60">
        <f>ROUND(F64*E64*Input!$C$3/365,0)</f>
        <v>8717208</v>
      </c>
      <c r="H64" s="60">
        <f>IF($A64&lt;=Input!$C$6,0,IF('Fixed Tenure'!D64&lt;'Fixed Tenure'!F64,'Fixed Tenure'!D64-G64,'Fixed Tenure'!F64))</f>
        <v>8329242</v>
      </c>
      <c r="I64" s="60">
        <f t="shared" si="26"/>
        <v>17046450</v>
      </c>
      <c r="J64" s="60">
        <f t="shared" si="27"/>
        <v>675924711.22744608</v>
      </c>
      <c r="K64" s="202">
        <f>J64/Input!$K$5</f>
        <v>2.2530823707581535</v>
      </c>
      <c r="L64" s="232"/>
      <c r="M64" s="60">
        <f>IF($B64&lt;Input!$H$43,IF($B64&lt;Input!$G$43,IF($B64&lt;Input!$F$43,IF($B64&lt;Input!$E$43,IF($B64&lt;Input!$D$43,Input!$C$49,Input!$D$49),Input!$E$49),Input!$F$49),Input!$G$49),Input!$H$49)</f>
        <v>18940500</v>
      </c>
      <c r="N64" s="190">
        <f>IF($A64&lt;Input!$H$50,IF($A64&lt;Input!$G$50,IF($A64&lt;Input!$F$50,IF($A64&lt;Input!$E$50,IF($A64&lt;Input!$D$50,Input!$C$51,Input!$D$51),Input!$E$51),Input!$F$51),Input!$G$51),Input!$H$51)</f>
        <v>0.9</v>
      </c>
      <c r="O64" s="60">
        <f t="shared" si="36"/>
        <v>17046450</v>
      </c>
      <c r="P64" s="60">
        <f t="shared" si="37"/>
        <v>31</v>
      </c>
      <c r="Q64" s="60">
        <f t="shared" si="4"/>
        <v>684253953.22744608</v>
      </c>
      <c r="R64" s="60">
        <f>ROUND(Q64*$P64*Input!$C$3/365,0)</f>
        <v>8717208</v>
      </c>
      <c r="S64" s="60">
        <f>IF(A64&lt;=Input!$C$6,0,IF('Fixed Tenure'!O64&lt;'Fixed Tenure'!Q64,'Fixed Tenure'!O64-R64,'Fixed Tenure'!Q64))</f>
        <v>8329242</v>
      </c>
      <c r="T64" s="60">
        <f t="shared" si="5"/>
        <v>17046450</v>
      </c>
      <c r="U64" s="60">
        <f t="shared" si="6"/>
        <v>675924711.22744608</v>
      </c>
      <c r="V64" s="193"/>
      <c r="W64" s="169">
        <v>60</v>
      </c>
      <c r="X64" s="1">
        <f t="shared" si="28"/>
        <v>47345</v>
      </c>
      <c r="Y64" s="60">
        <f>IF($X64&lt;Input!$H$58,IF($X64&lt;Input!$G$58,IF($X64&lt;Input!$F$58,IF($X64&lt;Input!$E$58,IF($X64&lt;Input!$D$58,Input!$C$64,Input!$D$64),Input!$E$64),Input!$F$64),Input!$G$64),Input!$H$64)</f>
        <v>0</v>
      </c>
      <c r="Z64" s="190">
        <f>IF($A64&lt;Input!$H$65,IF($A64&lt;Input!$G$65,IF($A64&lt;Input!$F$65,IF($A64&lt;Input!$E$65,IF($A64&lt;Input!$D$65,Input!$C$66,Input!$D$66),Input!$E$66),Input!$F$66),Input!$G$66),Input!$H$66)</f>
        <v>0.9</v>
      </c>
      <c r="AA64" s="60">
        <f t="shared" si="7"/>
        <v>0</v>
      </c>
      <c r="AB64" s="60">
        <f t="shared" si="29"/>
        <v>31</v>
      </c>
      <c r="AC64" s="60">
        <f t="shared" si="8"/>
        <v>0</v>
      </c>
      <c r="AD64" s="60">
        <f>ROUND(AC64*AB64*Input!$C$3/365,0)</f>
        <v>0</v>
      </c>
      <c r="AE64" s="61">
        <f>IF($A64&lt;=Input!$C$6,0,IF('Fixed Tenure'!AA64&lt;'Fixed Tenure'!AC64,'Fixed Tenure'!AA64-AD64,'Fixed Tenure'!AC64))</f>
        <v>0</v>
      </c>
      <c r="AF64" s="61">
        <f t="shared" si="9"/>
        <v>0</v>
      </c>
      <c r="AG64" s="60">
        <f t="shared" si="10"/>
        <v>0</v>
      </c>
      <c r="AH64" s="193"/>
      <c r="AI64" s="169">
        <v>60</v>
      </c>
      <c r="AJ64" s="1">
        <f t="shared" si="30"/>
        <v>47345</v>
      </c>
      <c r="AK64" s="60">
        <f>IF($X64&lt;Input!$H$73,IF($X64&lt;Input!$G$73,IF($X64&lt;Input!$F$73,IF($X64&lt;Input!$E$73,IF($X64&lt;Input!$D$73,Input!$C$79,Input!$D$79),Input!$E$79),Input!$F$79),Input!$G$79),Input!$H$79)</f>
        <v>0</v>
      </c>
      <c r="AL64" s="190">
        <f>IF($A64&lt;Input!$H$80,IF($A64&lt;Input!$G$80,IF($A64&lt;Input!$F$80,IF($A64&lt;Input!$E$80,IF($A64&lt;Input!$D$80,Input!$C$81,Input!$D$81),Input!$E$81),Input!$F$81),Input!$G$81),Input!$H$81)</f>
        <v>0.9</v>
      </c>
      <c r="AM64" s="60">
        <f t="shared" si="11"/>
        <v>0</v>
      </c>
      <c r="AN64" s="60">
        <f t="shared" si="31"/>
        <v>31</v>
      </c>
      <c r="AO64" s="60">
        <f t="shared" si="12"/>
        <v>0</v>
      </c>
      <c r="AP64" s="60">
        <f>ROUND(AO64*AN64*Input!$C$3/365,0)</f>
        <v>0</v>
      </c>
      <c r="AQ64" s="61">
        <f>IF($A64&lt;=Input!$C$6,0,IF('Fixed Tenure'!AM64&lt;'Fixed Tenure'!AO64,'Fixed Tenure'!AM64-AP64,'Fixed Tenure'!AO64))</f>
        <v>0</v>
      </c>
      <c r="AR64" s="61">
        <f t="shared" si="13"/>
        <v>0</v>
      </c>
      <c r="AS64" s="60">
        <f t="shared" si="14"/>
        <v>0</v>
      </c>
      <c r="AT64" s="193"/>
      <c r="AU64" s="169">
        <v>60</v>
      </c>
      <c r="AV64" s="1">
        <f t="shared" si="32"/>
        <v>47345</v>
      </c>
      <c r="AW64" s="60">
        <f>IF($X64&lt;Input!$H$88,IF($X64&lt;Input!$G$88,IF($X64&lt;Input!$F$88,IF($X64&lt;Input!$E$88,IF($X64&lt;Input!$D$88,Input!$C$94,Input!$D$94),Input!$E$94),Input!$F$94),Input!$G$94),Input!$H$94)</f>
        <v>0</v>
      </c>
      <c r="AX64" s="190">
        <f>IF($A64&lt;Input!$H$95,IF($A64&lt;Input!$G$95,IF($A64&lt;Input!$F$95,IF($A64&lt;Input!$E$95,IF($A64&lt;Input!$D$95,Input!$C$96,Input!$D$96),Input!$E$96),Input!$F$96),Input!$G$96),Input!$H$96)</f>
        <v>0.9</v>
      </c>
      <c r="AY64" s="60">
        <f t="shared" si="15"/>
        <v>0</v>
      </c>
      <c r="AZ64" s="60">
        <f t="shared" si="33"/>
        <v>31</v>
      </c>
      <c r="BA64" s="60">
        <f t="shared" si="16"/>
        <v>0</v>
      </c>
      <c r="BB64" s="60">
        <f>ROUND(BA64*AZ64*Input!$C$3/365,0)</f>
        <v>0</v>
      </c>
      <c r="BC64" s="61">
        <f>IF($A64&lt;=Input!$C$6,0,IF('Fixed Tenure'!AY64&lt;'Fixed Tenure'!BA64,'Fixed Tenure'!AY64-BB64,'Fixed Tenure'!BA64))</f>
        <v>0</v>
      </c>
      <c r="BD64" s="61">
        <f t="shared" si="17"/>
        <v>0</v>
      </c>
      <c r="BE64" s="60">
        <f t="shared" si="18"/>
        <v>0</v>
      </c>
      <c r="BF64" s="193"/>
      <c r="BG64" s="169">
        <v>60</v>
      </c>
      <c r="BH64" s="1">
        <f t="shared" si="34"/>
        <v>47345</v>
      </c>
      <c r="BI64" s="60">
        <f>IF($X64&lt;Input!$H$103,IF($X64&lt;Input!$G$103,IF($X64&lt;Input!$F$103,IF($X64&lt;Input!$E$103,IF($X64&lt;Input!$D$103,Input!$C$109,Input!$D$109),Input!$E$109),Input!$F$109),Input!$G$109),Input!$H$109)</f>
        <v>0</v>
      </c>
      <c r="BJ64" s="190">
        <f>IF($A64&lt;Input!$H$110,IF($A64&lt;Input!$G$110,IF($A64&lt;Input!$F$110,IF($A64&lt;Input!$E$110,IF($A64&lt;Input!$D$110,Input!$C$111,Input!$D$111),Input!$E$111),Input!$F$111),Input!$G$111),Input!$H$111)</f>
        <v>0.9</v>
      </c>
      <c r="BK64" s="60">
        <f t="shared" si="19"/>
        <v>0</v>
      </c>
      <c r="BL64" s="60">
        <f t="shared" si="35"/>
        <v>31</v>
      </c>
      <c r="BM64" s="60">
        <f t="shared" si="20"/>
        <v>0</v>
      </c>
      <c r="BN64" s="60">
        <f>ROUND(BM64*BL64*Input!$C$3/365,0)</f>
        <v>0</v>
      </c>
      <c r="BO64" s="61">
        <f>IF($A64&lt;=Input!$C$6,0,IF('Fixed Tenure'!BK64&lt;'Fixed Tenure'!BM64,'Fixed Tenure'!BK64-BN64,'Fixed Tenure'!BM64))</f>
        <v>0</v>
      </c>
      <c r="BP64" s="61">
        <f t="shared" si="21"/>
        <v>0</v>
      </c>
      <c r="BQ64" s="60">
        <f t="shared" si="22"/>
        <v>0</v>
      </c>
      <c r="BR64" s="198"/>
    </row>
    <row r="65" spans="1:70" x14ac:dyDescent="0.25">
      <c r="A65" s="169">
        <v>61</v>
      </c>
      <c r="B65" s="1">
        <f t="shared" si="23"/>
        <v>47376</v>
      </c>
      <c r="C65" s="60">
        <f t="shared" si="1"/>
        <v>18940500</v>
      </c>
      <c r="D65" s="60">
        <f t="shared" si="2"/>
        <v>17046450</v>
      </c>
      <c r="E65" s="60">
        <f t="shared" si="24"/>
        <v>31</v>
      </c>
      <c r="F65" s="60">
        <f t="shared" si="25"/>
        <v>675924711.22744608</v>
      </c>
      <c r="G65" s="60">
        <f>ROUND(F65*E65*Input!$C$3/365,0)</f>
        <v>8611096</v>
      </c>
      <c r="H65" s="60">
        <f>IF($A65&lt;=Input!$C$6,0,IF('Fixed Tenure'!D65&lt;'Fixed Tenure'!F65,'Fixed Tenure'!D65-G65,'Fixed Tenure'!F65))</f>
        <v>8435354</v>
      </c>
      <c r="I65" s="60">
        <f t="shared" si="26"/>
        <v>17046450</v>
      </c>
      <c r="J65" s="60">
        <f t="shared" si="27"/>
        <v>667489357.22744608</v>
      </c>
      <c r="K65" s="202">
        <f>J65/Input!$K$5</f>
        <v>2.224964524091487</v>
      </c>
      <c r="L65" s="232"/>
      <c r="M65" s="60">
        <f>IF($B65&lt;Input!$H$43,IF($B65&lt;Input!$G$43,IF($B65&lt;Input!$F$43,IF($B65&lt;Input!$E$43,IF($B65&lt;Input!$D$43,Input!$C$49,Input!$D$49),Input!$E$49),Input!$F$49),Input!$G$49),Input!$H$49)</f>
        <v>18940500</v>
      </c>
      <c r="N65" s="190">
        <f>IF($A65&lt;Input!$H$50,IF($A65&lt;Input!$G$50,IF($A65&lt;Input!$F$50,IF($A65&lt;Input!$E$50,IF($A65&lt;Input!$D$50,Input!$C$51,Input!$D$51),Input!$E$51),Input!$F$51),Input!$G$51),Input!$H$51)</f>
        <v>0.9</v>
      </c>
      <c r="O65" s="60">
        <f t="shared" si="36"/>
        <v>17046450</v>
      </c>
      <c r="P65" s="60">
        <f t="shared" si="37"/>
        <v>31</v>
      </c>
      <c r="Q65" s="60">
        <f t="shared" si="4"/>
        <v>675924711.22744608</v>
      </c>
      <c r="R65" s="60">
        <f>ROUND(Q65*$P65*Input!$C$3/365,0)</f>
        <v>8611096</v>
      </c>
      <c r="S65" s="60">
        <f>IF(A65&lt;=Input!$C$6,0,IF('Fixed Tenure'!O65&lt;'Fixed Tenure'!Q65,'Fixed Tenure'!O65-R65,'Fixed Tenure'!Q65))</f>
        <v>8435354</v>
      </c>
      <c r="T65" s="60">
        <f t="shared" si="5"/>
        <v>17046450</v>
      </c>
      <c r="U65" s="60">
        <f t="shared" si="6"/>
        <v>667489357.22744608</v>
      </c>
      <c r="V65" s="193"/>
      <c r="W65" s="169">
        <v>61</v>
      </c>
      <c r="X65" s="1">
        <f t="shared" si="28"/>
        <v>47376</v>
      </c>
      <c r="Y65" s="60">
        <f>IF($X65&lt;Input!$H$58,IF($X65&lt;Input!$G$58,IF($X65&lt;Input!$F$58,IF($X65&lt;Input!$E$58,IF($X65&lt;Input!$D$58,Input!$C$64,Input!$D$64),Input!$E$64),Input!$F$64),Input!$G$64),Input!$H$64)</f>
        <v>0</v>
      </c>
      <c r="Z65" s="190">
        <f>IF($A65&lt;Input!$H$65,IF($A65&lt;Input!$G$65,IF($A65&lt;Input!$F$65,IF($A65&lt;Input!$E$65,IF($A65&lt;Input!$D$65,Input!$C$66,Input!$D$66),Input!$E$66),Input!$F$66),Input!$G$66),Input!$H$66)</f>
        <v>0.9</v>
      </c>
      <c r="AA65" s="60">
        <f t="shared" si="7"/>
        <v>0</v>
      </c>
      <c r="AB65" s="60">
        <f t="shared" si="29"/>
        <v>31</v>
      </c>
      <c r="AC65" s="60">
        <f t="shared" si="8"/>
        <v>0</v>
      </c>
      <c r="AD65" s="60">
        <f>ROUND(AC65*AB65*Input!$C$3/365,0)</f>
        <v>0</v>
      </c>
      <c r="AE65" s="61">
        <f>IF($A65&lt;=Input!$C$6,0,IF('Fixed Tenure'!AA65&lt;'Fixed Tenure'!AC65,'Fixed Tenure'!AA65-AD65,'Fixed Tenure'!AC65))</f>
        <v>0</v>
      </c>
      <c r="AF65" s="61">
        <f t="shared" si="9"/>
        <v>0</v>
      </c>
      <c r="AG65" s="60">
        <f t="shared" si="10"/>
        <v>0</v>
      </c>
      <c r="AH65" s="193"/>
      <c r="AI65" s="169">
        <v>61</v>
      </c>
      <c r="AJ65" s="1">
        <f t="shared" si="30"/>
        <v>47376</v>
      </c>
      <c r="AK65" s="60">
        <f>IF($X65&lt;Input!$H$73,IF($X65&lt;Input!$G$73,IF($X65&lt;Input!$F$73,IF($X65&lt;Input!$E$73,IF($X65&lt;Input!$D$73,Input!$C$79,Input!$D$79),Input!$E$79),Input!$F$79),Input!$G$79),Input!$H$79)</f>
        <v>0</v>
      </c>
      <c r="AL65" s="190">
        <f>IF($A65&lt;Input!$H$80,IF($A65&lt;Input!$G$80,IF($A65&lt;Input!$F$80,IF($A65&lt;Input!$E$80,IF($A65&lt;Input!$D$80,Input!$C$81,Input!$D$81),Input!$E$81),Input!$F$81),Input!$G$81),Input!$H$81)</f>
        <v>0.9</v>
      </c>
      <c r="AM65" s="60">
        <f t="shared" si="11"/>
        <v>0</v>
      </c>
      <c r="AN65" s="60">
        <f t="shared" si="31"/>
        <v>31</v>
      </c>
      <c r="AO65" s="60">
        <f t="shared" si="12"/>
        <v>0</v>
      </c>
      <c r="AP65" s="60">
        <f>ROUND(AO65*AN65*Input!$C$3/365,0)</f>
        <v>0</v>
      </c>
      <c r="AQ65" s="61">
        <f>IF($A65&lt;=Input!$C$6,0,IF('Fixed Tenure'!AM65&lt;'Fixed Tenure'!AO65,'Fixed Tenure'!AM65-AP65,'Fixed Tenure'!AO65))</f>
        <v>0</v>
      </c>
      <c r="AR65" s="61">
        <f t="shared" si="13"/>
        <v>0</v>
      </c>
      <c r="AS65" s="60">
        <f t="shared" si="14"/>
        <v>0</v>
      </c>
      <c r="AT65" s="193"/>
      <c r="AU65" s="169">
        <v>61</v>
      </c>
      <c r="AV65" s="1">
        <f t="shared" si="32"/>
        <v>47376</v>
      </c>
      <c r="AW65" s="60">
        <f>IF($X65&lt;Input!$H$88,IF($X65&lt;Input!$G$88,IF($X65&lt;Input!$F$88,IF($X65&lt;Input!$E$88,IF($X65&lt;Input!$D$88,Input!$C$94,Input!$D$94),Input!$E$94),Input!$F$94),Input!$G$94),Input!$H$94)</f>
        <v>0</v>
      </c>
      <c r="AX65" s="190">
        <f>IF($A65&lt;Input!$H$95,IF($A65&lt;Input!$G$95,IF($A65&lt;Input!$F$95,IF($A65&lt;Input!$E$95,IF($A65&lt;Input!$D$95,Input!$C$96,Input!$D$96),Input!$E$96),Input!$F$96),Input!$G$96),Input!$H$96)</f>
        <v>0.9</v>
      </c>
      <c r="AY65" s="60">
        <f t="shared" si="15"/>
        <v>0</v>
      </c>
      <c r="AZ65" s="60">
        <f t="shared" si="33"/>
        <v>31</v>
      </c>
      <c r="BA65" s="60">
        <f t="shared" si="16"/>
        <v>0</v>
      </c>
      <c r="BB65" s="60">
        <f>ROUND(BA65*AZ65*Input!$C$3/365,0)</f>
        <v>0</v>
      </c>
      <c r="BC65" s="61">
        <f>IF($A65&lt;=Input!$C$6,0,IF('Fixed Tenure'!AY65&lt;'Fixed Tenure'!BA65,'Fixed Tenure'!AY65-BB65,'Fixed Tenure'!BA65))</f>
        <v>0</v>
      </c>
      <c r="BD65" s="61">
        <f t="shared" si="17"/>
        <v>0</v>
      </c>
      <c r="BE65" s="60">
        <f t="shared" si="18"/>
        <v>0</v>
      </c>
      <c r="BF65" s="193"/>
      <c r="BG65" s="169">
        <v>61</v>
      </c>
      <c r="BH65" s="1">
        <f t="shared" si="34"/>
        <v>47376</v>
      </c>
      <c r="BI65" s="60">
        <f>IF($X65&lt;Input!$H$103,IF($X65&lt;Input!$G$103,IF($X65&lt;Input!$F$103,IF($X65&lt;Input!$E$103,IF($X65&lt;Input!$D$103,Input!$C$109,Input!$D$109),Input!$E$109),Input!$F$109),Input!$G$109),Input!$H$109)</f>
        <v>0</v>
      </c>
      <c r="BJ65" s="190">
        <f>IF($A65&lt;Input!$H$110,IF($A65&lt;Input!$G$110,IF($A65&lt;Input!$F$110,IF($A65&lt;Input!$E$110,IF($A65&lt;Input!$D$110,Input!$C$111,Input!$D$111),Input!$E$111),Input!$F$111),Input!$G$111),Input!$H$111)</f>
        <v>0.9</v>
      </c>
      <c r="BK65" s="60">
        <f t="shared" si="19"/>
        <v>0</v>
      </c>
      <c r="BL65" s="60">
        <f t="shared" si="35"/>
        <v>31</v>
      </c>
      <c r="BM65" s="60">
        <f t="shared" si="20"/>
        <v>0</v>
      </c>
      <c r="BN65" s="60">
        <f>ROUND(BM65*BL65*Input!$C$3/365,0)</f>
        <v>0</v>
      </c>
      <c r="BO65" s="61">
        <f>IF($A65&lt;=Input!$C$6,0,IF('Fixed Tenure'!BK65&lt;'Fixed Tenure'!BM65,'Fixed Tenure'!BK65-BN65,'Fixed Tenure'!BM65))</f>
        <v>0</v>
      </c>
      <c r="BP65" s="61">
        <f t="shared" si="21"/>
        <v>0</v>
      </c>
      <c r="BQ65" s="60">
        <f t="shared" si="22"/>
        <v>0</v>
      </c>
      <c r="BR65" s="198"/>
    </row>
    <row r="66" spans="1:70" x14ac:dyDescent="0.25">
      <c r="A66" s="169">
        <v>62</v>
      </c>
      <c r="B66" s="1">
        <f t="shared" si="23"/>
        <v>47406</v>
      </c>
      <c r="C66" s="60">
        <f t="shared" si="1"/>
        <v>18940500</v>
      </c>
      <c r="D66" s="60">
        <f t="shared" si="2"/>
        <v>17046450</v>
      </c>
      <c r="E66" s="60">
        <f t="shared" si="24"/>
        <v>30</v>
      </c>
      <c r="F66" s="60">
        <f t="shared" si="25"/>
        <v>667489357.22744608</v>
      </c>
      <c r="G66" s="60">
        <f>ROUND(F66*E66*Input!$C$3/365,0)</f>
        <v>8229321</v>
      </c>
      <c r="H66" s="60">
        <f>IF($A66&lt;=Input!$C$6,0,IF('Fixed Tenure'!D66&lt;'Fixed Tenure'!F66,'Fixed Tenure'!D66-G66,'Fixed Tenure'!F66))</f>
        <v>8817129</v>
      </c>
      <c r="I66" s="60">
        <f t="shared" si="26"/>
        <v>17046450</v>
      </c>
      <c r="J66" s="60">
        <f t="shared" si="27"/>
        <v>658672228.22744608</v>
      </c>
      <c r="K66" s="202">
        <f>J66/Input!$K$5</f>
        <v>2.1955740940914867</v>
      </c>
      <c r="L66" s="232"/>
      <c r="M66" s="60">
        <f>IF($B66&lt;Input!$H$43,IF($B66&lt;Input!$G$43,IF($B66&lt;Input!$F$43,IF($B66&lt;Input!$E$43,IF($B66&lt;Input!$D$43,Input!$C$49,Input!$D$49),Input!$E$49),Input!$F$49),Input!$G$49),Input!$H$49)</f>
        <v>18940500</v>
      </c>
      <c r="N66" s="190">
        <f>IF($A66&lt;Input!$H$50,IF($A66&lt;Input!$G$50,IF($A66&lt;Input!$F$50,IF($A66&lt;Input!$E$50,IF($A66&lt;Input!$D$50,Input!$C$51,Input!$D$51),Input!$E$51),Input!$F$51),Input!$G$51),Input!$H$51)</f>
        <v>0.9</v>
      </c>
      <c r="O66" s="60">
        <f t="shared" si="36"/>
        <v>17046450</v>
      </c>
      <c r="P66" s="60">
        <f t="shared" si="37"/>
        <v>30</v>
      </c>
      <c r="Q66" s="60">
        <f t="shared" si="4"/>
        <v>667489357.22744608</v>
      </c>
      <c r="R66" s="60">
        <f>ROUND(Q66*$P66*Input!$C$3/365,0)</f>
        <v>8229321</v>
      </c>
      <c r="S66" s="60">
        <f>IF(A66&lt;=Input!$C$6,0,IF('Fixed Tenure'!O66&lt;'Fixed Tenure'!Q66,'Fixed Tenure'!O66-R66,'Fixed Tenure'!Q66))</f>
        <v>8817129</v>
      </c>
      <c r="T66" s="60">
        <f t="shared" si="5"/>
        <v>17046450</v>
      </c>
      <c r="U66" s="60">
        <f t="shared" si="6"/>
        <v>658672228.22744608</v>
      </c>
      <c r="V66" s="193"/>
      <c r="W66" s="169">
        <v>62</v>
      </c>
      <c r="X66" s="1">
        <f t="shared" si="28"/>
        <v>47406</v>
      </c>
      <c r="Y66" s="60">
        <f>IF($X66&lt;Input!$H$58,IF($X66&lt;Input!$G$58,IF($X66&lt;Input!$F$58,IF($X66&lt;Input!$E$58,IF($X66&lt;Input!$D$58,Input!$C$64,Input!$D$64),Input!$E$64),Input!$F$64),Input!$G$64),Input!$H$64)</f>
        <v>0</v>
      </c>
      <c r="Z66" s="190">
        <f>IF($A66&lt;Input!$H$65,IF($A66&lt;Input!$G$65,IF($A66&lt;Input!$F$65,IF($A66&lt;Input!$E$65,IF($A66&lt;Input!$D$65,Input!$C$66,Input!$D$66),Input!$E$66),Input!$F$66),Input!$G$66),Input!$H$66)</f>
        <v>0.9</v>
      </c>
      <c r="AA66" s="60">
        <f t="shared" si="7"/>
        <v>0</v>
      </c>
      <c r="AB66" s="60">
        <f t="shared" si="29"/>
        <v>30</v>
      </c>
      <c r="AC66" s="60">
        <f t="shared" si="8"/>
        <v>0</v>
      </c>
      <c r="AD66" s="60">
        <f>ROUND(AC66*AB66*Input!$C$3/365,0)</f>
        <v>0</v>
      </c>
      <c r="AE66" s="61">
        <f>IF($A66&lt;=Input!$C$6,0,IF('Fixed Tenure'!AA66&lt;'Fixed Tenure'!AC66,'Fixed Tenure'!AA66-AD66,'Fixed Tenure'!AC66))</f>
        <v>0</v>
      </c>
      <c r="AF66" s="61">
        <f t="shared" si="9"/>
        <v>0</v>
      </c>
      <c r="AG66" s="60">
        <f t="shared" si="10"/>
        <v>0</v>
      </c>
      <c r="AH66" s="193"/>
      <c r="AI66" s="169">
        <v>62</v>
      </c>
      <c r="AJ66" s="1">
        <f t="shared" si="30"/>
        <v>47406</v>
      </c>
      <c r="AK66" s="60">
        <f>IF($X66&lt;Input!$H$73,IF($X66&lt;Input!$G$73,IF($X66&lt;Input!$F$73,IF($X66&lt;Input!$E$73,IF($X66&lt;Input!$D$73,Input!$C$79,Input!$D$79),Input!$E$79),Input!$F$79),Input!$G$79),Input!$H$79)</f>
        <v>0</v>
      </c>
      <c r="AL66" s="190">
        <f>IF($A66&lt;Input!$H$80,IF($A66&lt;Input!$G$80,IF($A66&lt;Input!$F$80,IF($A66&lt;Input!$E$80,IF($A66&lt;Input!$D$80,Input!$C$81,Input!$D$81),Input!$E$81),Input!$F$81),Input!$G$81),Input!$H$81)</f>
        <v>0.9</v>
      </c>
      <c r="AM66" s="60">
        <f t="shared" si="11"/>
        <v>0</v>
      </c>
      <c r="AN66" s="60">
        <f t="shared" si="31"/>
        <v>30</v>
      </c>
      <c r="AO66" s="60">
        <f t="shared" si="12"/>
        <v>0</v>
      </c>
      <c r="AP66" s="60">
        <f>ROUND(AO66*AN66*Input!$C$3/365,0)</f>
        <v>0</v>
      </c>
      <c r="AQ66" s="61">
        <f>IF($A66&lt;=Input!$C$6,0,IF('Fixed Tenure'!AM66&lt;'Fixed Tenure'!AO66,'Fixed Tenure'!AM66-AP66,'Fixed Tenure'!AO66))</f>
        <v>0</v>
      </c>
      <c r="AR66" s="61">
        <f t="shared" si="13"/>
        <v>0</v>
      </c>
      <c r="AS66" s="60">
        <f t="shared" si="14"/>
        <v>0</v>
      </c>
      <c r="AT66" s="193"/>
      <c r="AU66" s="169">
        <v>62</v>
      </c>
      <c r="AV66" s="1">
        <f t="shared" si="32"/>
        <v>47406</v>
      </c>
      <c r="AW66" s="60">
        <f>IF($X66&lt;Input!$H$88,IF($X66&lt;Input!$G$88,IF($X66&lt;Input!$F$88,IF($X66&lt;Input!$E$88,IF($X66&lt;Input!$D$88,Input!$C$94,Input!$D$94),Input!$E$94),Input!$F$94),Input!$G$94),Input!$H$94)</f>
        <v>0</v>
      </c>
      <c r="AX66" s="190">
        <f>IF($A66&lt;Input!$H$95,IF($A66&lt;Input!$G$95,IF($A66&lt;Input!$F$95,IF($A66&lt;Input!$E$95,IF($A66&lt;Input!$D$95,Input!$C$96,Input!$D$96),Input!$E$96),Input!$F$96),Input!$G$96),Input!$H$96)</f>
        <v>0.9</v>
      </c>
      <c r="AY66" s="60">
        <f t="shared" si="15"/>
        <v>0</v>
      </c>
      <c r="AZ66" s="60">
        <f t="shared" si="33"/>
        <v>30</v>
      </c>
      <c r="BA66" s="60">
        <f t="shared" si="16"/>
        <v>0</v>
      </c>
      <c r="BB66" s="60">
        <f>ROUND(BA66*AZ66*Input!$C$3/365,0)</f>
        <v>0</v>
      </c>
      <c r="BC66" s="61">
        <f>IF($A66&lt;=Input!$C$6,0,IF('Fixed Tenure'!AY66&lt;'Fixed Tenure'!BA66,'Fixed Tenure'!AY66-BB66,'Fixed Tenure'!BA66))</f>
        <v>0</v>
      </c>
      <c r="BD66" s="61">
        <f t="shared" si="17"/>
        <v>0</v>
      </c>
      <c r="BE66" s="60">
        <f t="shared" si="18"/>
        <v>0</v>
      </c>
      <c r="BF66" s="193"/>
      <c r="BG66" s="169">
        <v>62</v>
      </c>
      <c r="BH66" s="1">
        <f t="shared" si="34"/>
        <v>47406</v>
      </c>
      <c r="BI66" s="60">
        <f>IF($X66&lt;Input!$H$103,IF($X66&lt;Input!$G$103,IF($X66&lt;Input!$F$103,IF($X66&lt;Input!$E$103,IF($X66&lt;Input!$D$103,Input!$C$109,Input!$D$109),Input!$E$109),Input!$F$109),Input!$G$109),Input!$H$109)</f>
        <v>0</v>
      </c>
      <c r="BJ66" s="190">
        <f>IF($A66&lt;Input!$H$110,IF($A66&lt;Input!$G$110,IF($A66&lt;Input!$F$110,IF($A66&lt;Input!$E$110,IF($A66&lt;Input!$D$110,Input!$C$111,Input!$D$111),Input!$E$111),Input!$F$111),Input!$G$111),Input!$H$111)</f>
        <v>0.9</v>
      </c>
      <c r="BK66" s="60">
        <f t="shared" si="19"/>
        <v>0</v>
      </c>
      <c r="BL66" s="60">
        <f t="shared" si="35"/>
        <v>30</v>
      </c>
      <c r="BM66" s="60">
        <f t="shared" si="20"/>
        <v>0</v>
      </c>
      <c r="BN66" s="60">
        <f>ROUND(BM66*BL66*Input!$C$3/365,0)</f>
        <v>0</v>
      </c>
      <c r="BO66" s="61">
        <f>IF($A66&lt;=Input!$C$6,0,IF('Fixed Tenure'!BK66&lt;'Fixed Tenure'!BM66,'Fixed Tenure'!BK66-BN66,'Fixed Tenure'!BM66))</f>
        <v>0</v>
      </c>
      <c r="BP66" s="61">
        <f t="shared" si="21"/>
        <v>0</v>
      </c>
      <c r="BQ66" s="60">
        <f t="shared" si="22"/>
        <v>0</v>
      </c>
      <c r="BR66" s="198"/>
    </row>
    <row r="67" spans="1:70" x14ac:dyDescent="0.25">
      <c r="A67" s="169">
        <v>63</v>
      </c>
      <c r="B67" s="1">
        <f t="shared" si="23"/>
        <v>47437</v>
      </c>
      <c r="C67" s="60">
        <f t="shared" si="1"/>
        <v>18940500</v>
      </c>
      <c r="D67" s="60">
        <f t="shared" si="2"/>
        <v>17046450</v>
      </c>
      <c r="E67" s="60">
        <f t="shared" si="24"/>
        <v>31</v>
      </c>
      <c r="F67" s="60">
        <f t="shared" si="25"/>
        <v>658672228.22744608</v>
      </c>
      <c r="G67" s="60">
        <f>ROUND(F67*E67*Input!$C$3/365,0)</f>
        <v>8391304</v>
      </c>
      <c r="H67" s="60">
        <f>IF($A67&lt;=Input!$C$6,0,IF('Fixed Tenure'!D67&lt;'Fixed Tenure'!F67,'Fixed Tenure'!D67-G67,'Fixed Tenure'!F67))</f>
        <v>8655146</v>
      </c>
      <c r="I67" s="60">
        <f t="shared" si="26"/>
        <v>17046450</v>
      </c>
      <c r="J67" s="60">
        <f t="shared" si="27"/>
        <v>650017082.22744608</v>
      </c>
      <c r="K67" s="202">
        <f>J67/Input!$K$5</f>
        <v>2.1667236074248204</v>
      </c>
      <c r="L67" s="232"/>
      <c r="M67" s="60">
        <f>IF($B67&lt;Input!$H$43,IF($B67&lt;Input!$G$43,IF($B67&lt;Input!$F$43,IF($B67&lt;Input!$E$43,IF($B67&lt;Input!$D$43,Input!$C$49,Input!$D$49),Input!$E$49),Input!$F$49),Input!$G$49),Input!$H$49)</f>
        <v>18940500</v>
      </c>
      <c r="N67" s="190">
        <f>IF($A67&lt;Input!$H$50,IF($A67&lt;Input!$G$50,IF($A67&lt;Input!$F$50,IF($A67&lt;Input!$E$50,IF($A67&lt;Input!$D$50,Input!$C$51,Input!$D$51),Input!$E$51),Input!$F$51),Input!$G$51),Input!$H$51)</f>
        <v>0.9</v>
      </c>
      <c r="O67" s="60">
        <f t="shared" si="36"/>
        <v>17046450</v>
      </c>
      <c r="P67" s="60">
        <f t="shared" si="37"/>
        <v>31</v>
      </c>
      <c r="Q67" s="60">
        <f t="shared" si="4"/>
        <v>658672228.22744608</v>
      </c>
      <c r="R67" s="60">
        <f>ROUND(Q67*$P67*Input!$C$3/365,0)</f>
        <v>8391304</v>
      </c>
      <c r="S67" s="60">
        <f>IF(A67&lt;=Input!$C$6,0,IF('Fixed Tenure'!O67&lt;'Fixed Tenure'!Q67,'Fixed Tenure'!O67-R67,'Fixed Tenure'!Q67))</f>
        <v>8655146</v>
      </c>
      <c r="T67" s="60">
        <f t="shared" si="5"/>
        <v>17046450</v>
      </c>
      <c r="U67" s="60">
        <f t="shared" si="6"/>
        <v>650017082.22744608</v>
      </c>
      <c r="V67" s="193"/>
      <c r="W67" s="169">
        <v>63</v>
      </c>
      <c r="X67" s="1">
        <f t="shared" si="28"/>
        <v>47437</v>
      </c>
      <c r="Y67" s="60">
        <f>IF($X67&lt;Input!$H$58,IF($X67&lt;Input!$G$58,IF($X67&lt;Input!$F$58,IF($X67&lt;Input!$E$58,IF($X67&lt;Input!$D$58,Input!$C$64,Input!$D$64),Input!$E$64),Input!$F$64),Input!$G$64),Input!$H$64)</f>
        <v>0</v>
      </c>
      <c r="Z67" s="190">
        <f>IF($A67&lt;Input!$H$65,IF($A67&lt;Input!$G$65,IF($A67&lt;Input!$F$65,IF($A67&lt;Input!$E$65,IF($A67&lt;Input!$D$65,Input!$C$66,Input!$D$66),Input!$E$66),Input!$F$66),Input!$G$66),Input!$H$66)</f>
        <v>0.9</v>
      </c>
      <c r="AA67" s="60">
        <f t="shared" si="7"/>
        <v>0</v>
      </c>
      <c r="AB67" s="60">
        <f t="shared" si="29"/>
        <v>31</v>
      </c>
      <c r="AC67" s="60">
        <f t="shared" si="8"/>
        <v>0</v>
      </c>
      <c r="AD67" s="60">
        <f>ROUND(AC67*AB67*Input!$C$3/365,0)</f>
        <v>0</v>
      </c>
      <c r="AE67" s="61">
        <f>IF($A67&lt;=Input!$C$6,0,IF('Fixed Tenure'!AA67&lt;'Fixed Tenure'!AC67,'Fixed Tenure'!AA67-AD67,'Fixed Tenure'!AC67))</f>
        <v>0</v>
      </c>
      <c r="AF67" s="61">
        <f t="shared" si="9"/>
        <v>0</v>
      </c>
      <c r="AG67" s="60">
        <f t="shared" si="10"/>
        <v>0</v>
      </c>
      <c r="AH67" s="193"/>
      <c r="AI67" s="169">
        <v>63</v>
      </c>
      <c r="AJ67" s="1">
        <f t="shared" si="30"/>
        <v>47437</v>
      </c>
      <c r="AK67" s="60">
        <f>IF($X67&lt;Input!$H$73,IF($X67&lt;Input!$G$73,IF($X67&lt;Input!$F$73,IF($X67&lt;Input!$E$73,IF($X67&lt;Input!$D$73,Input!$C$79,Input!$D$79),Input!$E$79),Input!$F$79),Input!$G$79),Input!$H$79)</f>
        <v>0</v>
      </c>
      <c r="AL67" s="190">
        <f>IF($A67&lt;Input!$H$80,IF($A67&lt;Input!$G$80,IF($A67&lt;Input!$F$80,IF($A67&lt;Input!$E$80,IF($A67&lt;Input!$D$80,Input!$C$81,Input!$D$81),Input!$E$81),Input!$F$81),Input!$G$81),Input!$H$81)</f>
        <v>0.9</v>
      </c>
      <c r="AM67" s="60">
        <f t="shared" si="11"/>
        <v>0</v>
      </c>
      <c r="AN67" s="60">
        <f t="shared" si="31"/>
        <v>31</v>
      </c>
      <c r="AO67" s="60">
        <f t="shared" si="12"/>
        <v>0</v>
      </c>
      <c r="AP67" s="60">
        <f>ROUND(AO67*AN67*Input!$C$3/365,0)</f>
        <v>0</v>
      </c>
      <c r="AQ67" s="61">
        <f>IF($A67&lt;=Input!$C$6,0,IF('Fixed Tenure'!AM67&lt;'Fixed Tenure'!AO67,'Fixed Tenure'!AM67-AP67,'Fixed Tenure'!AO67))</f>
        <v>0</v>
      </c>
      <c r="AR67" s="61">
        <f t="shared" si="13"/>
        <v>0</v>
      </c>
      <c r="AS67" s="60">
        <f t="shared" si="14"/>
        <v>0</v>
      </c>
      <c r="AT67" s="193"/>
      <c r="AU67" s="169">
        <v>63</v>
      </c>
      <c r="AV67" s="1">
        <f t="shared" si="32"/>
        <v>47437</v>
      </c>
      <c r="AW67" s="60">
        <f>IF($X67&lt;Input!$H$88,IF($X67&lt;Input!$G$88,IF($X67&lt;Input!$F$88,IF($X67&lt;Input!$E$88,IF($X67&lt;Input!$D$88,Input!$C$94,Input!$D$94),Input!$E$94),Input!$F$94),Input!$G$94),Input!$H$94)</f>
        <v>0</v>
      </c>
      <c r="AX67" s="190">
        <f>IF($A67&lt;Input!$H$95,IF($A67&lt;Input!$G$95,IF($A67&lt;Input!$F$95,IF($A67&lt;Input!$E$95,IF($A67&lt;Input!$D$95,Input!$C$96,Input!$D$96),Input!$E$96),Input!$F$96),Input!$G$96),Input!$H$96)</f>
        <v>0.9</v>
      </c>
      <c r="AY67" s="60">
        <f t="shared" si="15"/>
        <v>0</v>
      </c>
      <c r="AZ67" s="60">
        <f t="shared" si="33"/>
        <v>31</v>
      </c>
      <c r="BA67" s="60">
        <f t="shared" si="16"/>
        <v>0</v>
      </c>
      <c r="BB67" s="60">
        <f>ROUND(BA67*AZ67*Input!$C$3/365,0)</f>
        <v>0</v>
      </c>
      <c r="BC67" s="61">
        <f>IF($A67&lt;=Input!$C$6,0,IF('Fixed Tenure'!AY67&lt;'Fixed Tenure'!BA67,'Fixed Tenure'!AY67-BB67,'Fixed Tenure'!BA67))</f>
        <v>0</v>
      </c>
      <c r="BD67" s="61">
        <f t="shared" si="17"/>
        <v>0</v>
      </c>
      <c r="BE67" s="60">
        <f t="shared" si="18"/>
        <v>0</v>
      </c>
      <c r="BF67" s="193"/>
      <c r="BG67" s="169">
        <v>63</v>
      </c>
      <c r="BH67" s="1">
        <f t="shared" si="34"/>
        <v>47437</v>
      </c>
      <c r="BI67" s="60">
        <f>IF($X67&lt;Input!$H$103,IF($X67&lt;Input!$G$103,IF($X67&lt;Input!$F$103,IF($X67&lt;Input!$E$103,IF($X67&lt;Input!$D$103,Input!$C$109,Input!$D$109),Input!$E$109),Input!$F$109),Input!$G$109),Input!$H$109)</f>
        <v>0</v>
      </c>
      <c r="BJ67" s="190">
        <f>IF($A67&lt;Input!$H$110,IF($A67&lt;Input!$G$110,IF($A67&lt;Input!$F$110,IF($A67&lt;Input!$E$110,IF($A67&lt;Input!$D$110,Input!$C$111,Input!$D$111),Input!$E$111),Input!$F$111),Input!$G$111),Input!$H$111)</f>
        <v>0.9</v>
      </c>
      <c r="BK67" s="60">
        <f t="shared" si="19"/>
        <v>0</v>
      </c>
      <c r="BL67" s="60">
        <f t="shared" si="35"/>
        <v>31</v>
      </c>
      <c r="BM67" s="60">
        <f t="shared" si="20"/>
        <v>0</v>
      </c>
      <c r="BN67" s="60">
        <f>ROUND(BM67*BL67*Input!$C$3/365,0)</f>
        <v>0</v>
      </c>
      <c r="BO67" s="61">
        <f>IF($A67&lt;=Input!$C$6,0,IF('Fixed Tenure'!BK67&lt;'Fixed Tenure'!BM67,'Fixed Tenure'!BK67-BN67,'Fixed Tenure'!BM67))</f>
        <v>0</v>
      </c>
      <c r="BP67" s="61">
        <f t="shared" si="21"/>
        <v>0</v>
      </c>
      <c r="BQ67" s="60">
        <f t="shared" si="22"/>
        <v>0</v>
      </c>
      <c r="BR67" s="198"/>
    </row>
    <row r="68" spans="1:70" x14ac:dyDescent="0.25">
      <c r="A68" s="169">
        <v>64</v>
      </c>
      <c r="B68" s="1">
        <f t="shared" si="23"/>
        <v>47467</v>
      </c>
      <c r="C68" s="60">
        <f t="shared" si="1"/>
        <v>18940500</v>
      </c>
      <c r="D68" s="60">
        <f t="shared" si="2"/>
        <v>17046450</v>
      </c>
      <c r="E68" s="60">
        <f t="shared" si="24"/>
        <v>30</v>
      </c>
      <c r="F68" s="60">
        <f t="shared" si="25"/>
        <v>650017082.22744608</v>
      </c>
      <c r="G68" s="60">
        <f>ROUND(F68*E68*Input!$C$3/365,0)</f>
        <v>8013909</v>
      </c>
      <c r="H68" s="60">
        <f>IF($A68&lt;=Input!$C$6,0,IF('Fixed Tenure'!D68&lt;'Fixed Tenure'!F68,'Fixed Tenure'!D68-G68,'Fixed Tenure'!F68))</f>
        <v>9032541</v>
      </c>
      <c r="I68" s="60">
        <f t="shared" si="26"/>
        <v>17046450</v>
      </c>
      <c r="J68" s="60">
        <f t="shared" si="27"/>
        <v>640984541.22744608</v>
      </c>
      <c r="K68" s="202">
        <f>J68/Input!$K$5</f>
        <v>2.1366151374248203</v>
      </c>
      <c r="L68" s="232"/>
      <c r="M68" s="60">
        <f>IF($B68&lt;Input!$H$43,IF($B68&lt;Input!$G$43,IF($B68&lt;Input!$F$43,IF($B68&lt;Input!$E$43,IF($B68&lt;Input!$D$43,Input!$C$49,Input!$D$49),Input!$E$49),Input!$F$49),Input!$G$49),Input!$H$49)</f>
        <v>18940500</v>
      </c>
      <c r="N68" s="190">
        <f>IF($A68&lt;Input!$H$50,IF($A68&lt;Input!$G$50,IF($A68&lt;Input!$F$50,IF($A68&lt;Input!$E$50,IF($A68&lt;Input!$D$50,Input!$C$51,Input!$D$51),Input!$E$51),Input!$F$51),Input!$G$51),Input!$H$51)</f>
        <v>0.9</v>
      </c>
      <c r="O68" s="60">
        <f t="shared" ref="O68:O99" si="38">M68*N68</f>
        <v>17046450</v>
      </c>
      <c r="P68" s="60">
        <f t="shared" si="37"/>
        <v>30</v>
      </c>
      <c r="Q68" s="60">
        <f t="shared" si="4"/>
        <v>650017082.22744608</v>
      </c>
      <c r="R68" s="60">
        <f>ROUND(Q68*$P68*Input!$C$3/365,0)</f>
        <v>8013909</v>
      </c>
      <c r="S68" s="60">
        <f>IF(A68&lt;=Input!$C$6,0,IF('Fixed Tenure'!O68&lt;'Fixed Tenure'!Q68,'Fixed Tenure'!O68-R68,'Fixed Tenure'!Q68))</f>
        <v>9032541</v>
      </c>
      <c r="T68" s="60">
        <f t="shared" si="5"/>
        <v>17046450</v>
      </c>
      <c r="U68" s="60">
        <f t="shared" si="6"/>
        <v>640984541.22744608</v>
      </c>
      <c r="V68" s="193"/>
      <c r="W68" s="169">
        <v>64</v>
      </c>
      <c r="X68" s="1">
        <f t="shared" si="28"/>
        <v>47467</v>
      </c>
      <c r="Y68" s="60">
        <f>IF($X68&lt;Input!$H$58,IF($X68&lt;Input!$G$58,IF($X68&lt;Input!$F$58,IF($X68&lt;Input!$E$58,IF($X68&lt;Input!$D$58,Input!$C$64,Input!$D$64),Input!$E$64),Input!$F$64),Input!$G$64),Input!$H$64)</f>
        <v>0</v>
      </c>
      <c r="Z68" s="190">
        <f>IF($A68&lt;Input!$H$65,IF($A68&lt;Input!$G$65,IF($A68&lt;Input!$F$65,IF($A68&lt;Input!$E$65,IF($A68&lt;Input!$D$65,Input!$C$66,Input!$D$66),Input!$E$66),Input!$F$66),Input!$G$66),Input!$H$66)</f>
        <v>0.9</v>
      </c>
      <c r="AA68" s="60">
        <f t="shared" si="7"/>
        <v>0</v>
      </c>
      <c r="AB68" s="60">
        <f t="shared" si="29"/>
        <v>30</v>
      </c>
      <c r="AC68" s="60">
        <f t="shared" si="8"/>
        <v>0</v>
      </c>
      <c r="AD68" s="60">
        <f>ROUND(AC68*AB68*Input!$C$3/365,0)</f>
        <v>0</v>
      </c>
      <c r="AE68" s="61">
        <f>IF($A68&lt;=Input!$C$6,0,IF('Fixed Tenure'!AA68&lt;'Fixed Tenure'!AC68,'Fixed Tenure'!AA68-AD68,'Fixed Tenure'!AC68))</f>
        <v>0</v>
      </c>
      <c r="AF68" s="61">
        <f t="shared" si="9"/>
        <v>0</v>
      </c>
      <c r="AG68" s="60">
        <f t="shared" si="10"/>
        <v>0</v>
      </c>
      <c r="AH68" s="193"/>
      <c r="AI68" s="169">
        <v>64</v>
      </c>
      <c r="AJ68" s="1">
        <f t="shared" si="30"/>
        <v>47467</v>
      </c>
      <c r="AK68" s="60">
        <f>IF($X68&lt;Input!$H$73,IF($X68&lt;Input!$G$73,IF($X68&lt;Input!$F$73,IF($X68&lt;Input!$E$73,IF($X68&lt;Input!$D$73,Input!$C$79,Input!$D$79),Input!$E$79),Input!$F$79),Input!$G$79),Input!$H$79)</f>
        <v>0</v>
      </c>
      <c r="AL68" s="190">
        <f>IF($A68&lt;Input!$H$80,IF($A68&lt;Input!$G$80,IF($A68&lt;Input!$F$80,IF($A68&lt;Input!$E$80,IF($A68&lt;Input!$D$80,Input!$C$81,Input!$D$81),Input!$E$81),Input!$F$81),Input!$G$81),Input!$H$81)</f>
        <v>0.9</v>
      </c>
      <c r="AM68" s="60">
        <f t="shared" si="11"/>
        <v>0</v>
      </c>
      <c r="AN68" s="60">
        <f t="shared" si="31"/>
        <v>30</v>
      </c>
      <c r="AO68" s="60">
        <f t="shared" si="12"/>
        <v>0</v>
      </c>
      <c r="AP68" s="60">
        <f>ROUND(AO68*AN68*Input!$C$3/365,0)</f>
        <v>0</v>
      </c>
      <c r="AQ68" s="61">
        <f>IF($A68&lt;=Input!$C$6,0,IF('Fixed Tenure'!AM68&lt;'Fixed Tenure'!AO68,'Fixed Tenure'!AM68-AP68,'Fixed Tenure'!AO68))</f>
        <v>0</v>
      </c>
      <c r="AR68" s="61">
        <f t="shared" si="13"/>
        <v>0</v>
      </c>
      <c r="AS68" s="60">
        <f t="shared" si="14"/>
        <v>0</v>
      </c>
      <c r="AT68" s="193"/>
      <c r="AU68" s="169">
        <v>64</v>
      </c>
      <c r="AV68" s="1">
        <f t="shared" si="32"/>
        <v>47467</v>
      </c>
      <c r="AW68" s="60">
        <f>IF($X68&lt;Input!$H$88,IF($X68&lt;Input!$G$88,IF($X68&lt;Input!$F$88,IF($X68&lt;Input!$E$88,IF($X68&lt;Input!$D$88,Input!$C$94,Input!$D$94),Input!$E$94),Input!$F$94),Input!$G$94),Input!$H$94)</f>
        <v>0</v>
      </c>
      <c r="AX68" s="190">
        <f>IF($A68&lt;Input!$H$95,IF($A68&lt;Input!$G$95,IF($A68&lt;Input!$F$95,IF($A68&lt;Input!$E$95,IF($A68&lt;Input!$D$95,Input!$C$96,Input!$D$96),Input!$E$96),Input!$F$96),Input!$G$96),Input!$H$96)</f>
        <v>0.9</v>
      </c>
      <c r="AY68" s="60">
        <f t="shared" si="15"/>
        <v>0</v>
      </c>
      <c r="AZ68" s="60">
        <f t="shared" si="33"/>
        <v>30</v>
      </c>
      <c r="BA68" s="60">
        <f t="shared" si="16"/>
        <v>0</v>
      </c>
      <c r="BB68" s="60">
        <f>ROUND(BA68*AZ68*Input!$C$3/365,0)</f>
        <v>0</v>
      </c>
      <c r="BC68" s="61">
        <f>IF($A68&lt;=Input!$C$6,0,IF('Fixed Tenure'!AY68&lt;'Fixed Tenure'!BA68,'Fixed Tenure'!AY68-BB68,'Fixed Tenure'!BA68))</f>
        <v>0</v>
      </c>
      <c r="BD68" s="61">
        <f t="shared" si="17"/>
        <v>0</v>
      </c>
      <c r="BE68" s="60">
        <f t="shared" si="18"/>
        <v>0</v>
      </c>
      <c r="BF68" s="193"/>
      <c r="BG68" s="169">
        <v>64</v>
      </c>
      <c r="BH68" s="1">
        <f t="shared" si="34"/>
        <v>47467</v>
      </c>
      <c r="BI68" s="60">
        <f>IF($X68&lt;Input!$H$103,IF($X68&lt;Input!$G$103,IF($X68&lt;Input!$F$103,IF($X68&lt;Input!$E$103,IF($X68&lt;Input!$D$103,Input!$C$109,Input!$D$109),Input!$E$109),Input!$F$109),Input!$G$109),Input!$H$109)</f>
        <v>0</v>
      </c>
      <c r="BJ68" s="190">
        <f>IF($A68&lt;Input!$H$110,IF($A68&lt;Input!$G$110,IF($A68&lt;Input!$F$110,IF($A68&lt;Input!$E$110,IF($A68&lt;Input!$D$110,Input!$C$111,Input!$D$111),Input!$E$111),Input!$F$111),Input!$G$111),Input!$H$111)</f>
        <v>0.9</v>
      </c>
      <c r="BK68" s="60">
        <f t="shared" si="19"/>
        <v>0</v>
      </c>
      <c r="BL68" s="60">
        <f t="shared" si="35"/>
        <v>30</v>
      </c>
      <c r="BM68" s="60">
        <f t="shared" si="20"/>
        <v>0</v>
      </c>
      <c r="BN68" s="60">
        <f>ROUND(BM68*BL68*Input!$C$3/365,0)</f>
        <v>0</v>
      </c>
      <c r="BO68" s="61">
        <f>IF($A68&lt;=Input!$C$6,0,IF('Fixed Tenure'!BK68&lt;'Fixed Tenure'!BM68,'Fixed Tenure'!BK68-BN68,'Fixed Tenure'!BM68))</f>
        <v>0</v>
      </c>
      <c r="BP68" s="61">
        <f t="shared" si="21"/>
        <v>0</v>
      </c>
      <c r="BQ68" s="60">
        <f t="shared" si="22"/>
        <v>0</v>
      </c>
      <c r="BR68" s="198"/>
    </row>
    <row r="69" spans="1:70" x14ac:dyDescent="0.25">
      <c r="A69" s="169">
        <v>65</v>
      </c>
      <c r="B69" s="1">
        <f t="shared" si="23"/>
        <v>47498</v>
      </c>
      <c r="C69" s="60">
        <f t="shared" ref="C69:C132" si="39">M69+Y69+AK69+AW69+BI69</f>
        <v>18940500</v>
      </c>
      <c r="D69" s="60">
        <f t="shared" ref="D69:D132" si="40">O69+AA69+AM69+AY69+BK69</f>
        <v>17046450</v>
      </c>
      <c r="E69" s="60">
        <f t="shared" si="24"/>
        <v>31</v>
      </c>
      <c r="F69" s="60">
        <f t="shared" si="25"/>
        <v>640984541.22744608</v>
      </c>
      <c r="G69" s="60">
        <f>ROUND(F69*E69*Input!$C$3/365,0)</f>
        <v>8165967</v>
      </c>
      <c r="H69" s="60">
        <f>IF($A69&lt;=Input!$C$6,0,IF('Fixed Tenure'!D69&lt;'Fixed Tenure'!F69,'Fixed Tenure'!D69-G69,'Fixed Tenure'!F69))</f>
        <v>8880483</v>
      </c>
      <c r="I69" s="60">
        <f t="shared" si="26"/>
        <v>17046450</v>
      </c>
      <c r="J69" s="60">
        <f t="shared" si="27"/>
        <v>632104058.22744608</v>
      </c>
      <c r="K69" s="202">
        <f>J69/Input!$K$5</f>
        <v>2.1070135274248201</v>
      </c>
      <c r="L69" s="232"/>
      <c r="M69" s="60">
        <f>IF($B69&lt;Input!$H$43,IF($B69&lt;Input!$G$43,IF($B69&lt;Input!$F$43,IF($B69&lt;Input!$E$43,IF($B69&lt;Input!$D$43,Input!$C$49,Input!$D$49),Input!$E$49),Input!$F$49),Input!$G$49),Input!$H$49)</f>
        <v>18940500</v>
      </c>
      <c r="N69" s="190">
        <f>IF($A69&lt;Input!$H$50,IF($A69&lt;Input!$G$50,IF($A69&lt;Input!$F$50,IF($A69&lt;Input!$E$50,IF($A69&lt;Input!$D$50,Input!$C$51,Input!$D$51),Input!$E$51),Input!$F$51),Input!$G$51),Input!$H$51)</f>
        <v>0.9</v>
      </c>
      <c r="O69" s="60">
        <f t="shared" si="38"/>
        <v>17046450</v>
      </c>
      <c r="P69" s="60">
        <f t="shared" ref="P69:P100" si="41">B69-B68</f>
        <v>31</v>
      </c>
      <c r="Q69" s="60">
        <f t="shared" ref="Q69:Q132" si="42">U68</f>
        <v>640984541.22744608</v>
      </c>
      <c r="R69" s="60">
        <f>ROUND(Q69*$P69*Input!$C$3/365,0)</f>
        <v>8165967</v>
      </c>
      <c r="S69" s="60">
        <f>IF(A69&lt;=Input!$C$6,0,IF('Fixed Tenure'!O69&lt;'Fixed Tenure'!Q69,'Fixed Tenure'!O69-R69,'Fixed Tenure'!Q69))</f>
        <v>8880483</v>
      </c>
      <c r="T69" s="60">
        <f t="shared" ref="T69:T132" si="43">R69+S69</f>
        <v>17046450</v>
      </c>
      <c r="U69" s="60">
        <f t="shared" ref="U69:U132" si="44">U68-S69</f>
        <v>632104058.22744608</v>
      </c>
      <c r="V69" s="193"/>
      <c r="W69" s="169">
        <v>65</v>
      </c>
      <c r="X69" s="1">
        <f t="shared" si="28"/>
        <v>47498</v>
      </c>
      <c r="Y69" s="60">
        <f>IF($X69&lt;Input!$H$58,IF($X69&lt;Input!$G$58,IF($X69&lt;Input!$F$58,IF($X69&lt;Input!$E$58,IF($X69&lt;Input!$D$58,Input!$C$64,Input!$D$64),Input!$E$64),Input!$F$64),Input!$G$64),Input!$H$64)</f>
        <v>0</v>
      </c>
      <c r="Z69" s="190">
        <f>IF($A69&lt;Input!$H$65,IF($A69&lt;Input!$G$65,IF($A69&lt;Input!$F$65,IF($A69&lt;Input!$E$65,IF($A69&lt;Input!$D$65,Input!$C$66,Input!$D$66),Input!$E$66),Input!$F$66),Input!$G$66),Input!$H$66)</f>
        <v>0.9</v>
      </c>
      <c r="AA69" s="60">
        <f t="shared" ref="AA69:AA132" si="45">Y69*Z69</f>
        <v>0</v>
      </c>
      <c r="AB69" s="60">
        <f t="shared" si="29"/>
        <v>31</v>
      </c>
      <c r="AC69" s="60">
        <f t="shared" ref="AC69:AC132" si="46">AG68</f>
        <v>0</v>
      </c>
      <c r="AD69" s="60">
        <f>ROUND(AC69*AB69*Input!$C$3/365,0)</f>
        <v>0</v>
      </c>
      <c r="AE69" s="61">
        <f>IF($A69&lt;=Input!$C$6,0,IF('Fixed Tenure'!AA69&lt;'Fixed Tenure'!AC69,'Fixed Tenure'!AA69-AD69,'Fixed Tenure'!AC69))</f>
        <v>0</v>
      </c>
      <c r="AF69" s="61">
        <f t="shared" ref="AF69:AF132" si="47">AD69+AE69</f>
        <v>0</v>
      </c>
      <c r="AG69" s="60">
        <f t="shared" ref="AG69:AG132" si="48">AG68-AE69</f>
        <v>0</v>
      </c>
      <c r="AH69" s="193"/>
      <c r="AI69" s="169">
        <v>65</v>
      </c>
      <c r="AJ69" s="1">
        <f t="shared" si="30"/>
        <v>47498</v>
      </c>
      <c r="AK69" s="60">
        <f>IF($X69&lt;Input!$H$73,IF($X69&lt;Input!$G$73,IF($X69&lt;Input!$F$73,IF($X69&lt;Input!$E$73,IF($X69&lt;Input!$D$73,Input!$C$79,Input!$D$79),Input!$E$79),Input!$F$79),Input!$G$79),Input!$H$79)</f>
        <v>0</v>
      </c>
      <c r="AL69" s="190">
        <f>IF($A69&lt;Input!$H$80,IF($A69&lt;Input!$G$80,IF($A69&lt;Input!$F$80,IF($A69&lt;Input!$E$80,IF($A69&lt;Input!$D$80,Input!$C$81,Input!$D$81),Input!$E$81),Input!$F$81),Input!$G$81),Input!$H$81)</f>
        <v>0.9</v>
      </c>
      <c r="AM69" s="60">
        <f t="shared" ref="AM69:AM132" si="49">AK69*AL69</f>
        <v>0</v>
      </c>
      <c r="AN69" s="60">
        <f t="shared" si="31"/>
        <v>31</v>
      </c>
      <c r="AO69" s="60">
        <f t="shared" ref="AO69:AO132" si="50">AS68</f>
        <v>0</v>
      </c>
      <c r="AP69" s="60">
        <f>ROUND(AO69*AN69*Input!$C$3/365,0)</f>
        <v>0</v>
      </c>
      <c r="AQ69" s="61">
        <f>IF($A69&lt;=Input!$C$6,0,IF('Fixed Tenure'!AM69&lt;'Fixed Tenure'!AO69,'Fixed Tenure'!AM69-AP69,'Fixed Tenure'!AO69))</f>
        <v>0</v>
      </c>
      <c r="AR69" s="61">
        <f t="shared" ref="AR69:AR132" si="51">AP69+AQ69</f>
        <v>0</v>
      </c>
      <c r="AS69" s="60">
        <f t="shared" ref="AS69:AS132" si="52">AS68-AQ69</f>
        <v>0</v>
      </c>
      <c r="AT69" s="193"/>
      <c r="AU69" s="169">
        <v>65</v>
      </c>
      <c r="AV69" s="1">
        <f t="shared" si="32"/>
        <v>47498</v>
      </c>
      <c r="AW69" s="60">
        <f>IF($X69&lt;Input!$H$88,IF($X69&lt;Input!$G$88,IF($X69&lt;Input!$F$88,IF($X69&lt;Input!$E$88,IF($X69&lt;Input!$D$88,Input!$C$94,Input!$D$94),Input!$E$94),Input!$F$94),Input!$G$94),Input!$H$94)</f>
        <v>0</v>
      </c>
      <c r="AX69" s="190">
        <f>IF($A69&lt;Input!$H$95,IF($A69&lt;Input!$G$95,IF($A69&lt;Input!$F$95,IF($A69&lt;Input!$E$95,IF($A69&lt;Input!$D$95,Input!$C$96,Input!$D$96),Input!$E$96),Input!$F$96),Input!$G$96),Input!$H$96)</f>
        <v>0.9</v>
      </c>
      <c r="AY69" s="60">
        <f t="shared" ref="AY69:AY132" si="53">AW69*AX69</f>
        <v>0</v>
      </c>
      <c r="AZ69" s="60">
        <f t="shared" si="33"/>
        <v>31</v>
      </c>
      <c r="BA69" s="60">
        <f t="shared" ref="BA69:BA132" si="54">BE68</f>
        <v>0</v>
      </c>
      <c r="BB69" s="60">
        <f>ROUND(BA69*AZ69*Input!$C$3/365,0)</f>
        <v>0</v>
      </c>
      <c r="BC69" s="61">
        <f>IF($A69&lt;=Input!$C$6,0,IF('Fixed Tenure'!AY69&lt;'Fixed Tenure'!BA69,'Fixed Tenure'!AY69-BB69,'Fixed Tenure'!BA69))</f>
        <v>0</v>
      </c>
      <c r="BD69" s="61">
        <f t="shared" ref="BD69:BD132" si="55">BB69+BC69</f>
        <v>0</v>
      </c>
      <c r="BE69" s="60">
        <f t="shared" ref="BE69:BE132" si="56">BE68-BC69</f>
        <v>0</v>
      </c>
      <c r="BF69" s="193"/>
      <c r="BG69" s="169">
        <v>65</v>
      </c>
      <c r="BH69" s="1">
        <f t="shared" si="34"/>
        <v>47498</v>
      </c>
      <c r="BI69" s="60">
        <f>IF($X69&lt;Input!$H$103,IF($X69&lt;Input!$G$103,IF($X69&lt;Input!$F$103,IF($X69&lt;Input!$E$103,IF($X69&lt;Input!$D$103,Input!$C$109,Input!$D$109),Input!$E$109),Input!$F$109),Input!$G$109),Input!$H$109)</f>
        <v>0</v>
      </c>
      <c r="BJ69" s="190">
        <f>IF($A69&lt;Input!$H$110,IF($A69&lt;Input!$G$110,IF($A69&lt;Input!$F$110,IF($A69&lt;Input!$E$110,IF($A69&lt;Input!$D$110,Input!$C$111,Input!$D$111),Input!$E$111),Input!$F$111),Input!$G$111),Input!$H$111)</f>
        <v>0.9</v>
      </c>
      <c r="BK69" s="60">
        <f t="shared" ref="BK69:BK132" si="57">BI69*BJ69</f>
        <v>0</v>
      </c>
      <c r="BL69" s="60">
        <f t="shared" si="35"/>
        <v>31</v>
      </c>
      <c r="BM69" s="60">
        <f t="shared" ref="BM69:BM132" si="58">BQ68</f>
        <v>0</v>
      </c>
      <c r="BN69" s="60">
        <f>ROUND(BM69*BL69*Input!$C$3/365,0)</f>
        <v>0</v>
      </c>
      <c r="BO69" s="61">
        <f>IF($A69&lt;=Input!$C$6,0,IF('Fixed Tenure'!BK69&lt;'Fixed Tenure'!BM69,'Fixed Tenure'!BK69-BN69,'Fixed Tenure'!BM69))</f>
        <v>0</v>
      </c>
      <c r="BP69" s="61">
        <f t="shared" ref="BP69:BP132" si="59">BN69+BO69</f>
        <v>0</v>
      </c>
      <c r="BQ69" s="60">
        <f t="shared" ref="BQ69:BQ132" si="60">BQ68-BO69</f>
        <v>0</v>
      </c>
      <c r="BR69" s="198"/>
    </row>
    <row r="70" spans="1:70" x14ac:dyDescent="0.25">
      <c r="A70" s="169">
        <v>66</v>
      </c>
      <c r="B70" s="1">
        <f t="shared" ref="B70:B133" si="61">EDATE(B69,1)</f>
        <v>47529</v>
      </c>
      <c r="C70" s="60">
        <f t="shared" si="39"/>
        <v>18940500</v>
      </c>
      <c r="D70" s="60">
        <f t="shared" si="40"/>
        <v>17046450</v>
      </c>
      <c r="E70" s="60">
        <f t="shared" ref="E70:E133" si="62">B70-B69</f>
        <v>31</v>
      </c>
      <c r="F70" s="60">
        <f t="shared" ref="F70:F133" si="63">J69</f>
        <v>632104058.22744608</v>
      </c>
      <c r="G70" s="60">
        <f>ROUND(F70*E70*Input!$C$3/365,0)</f>
        <v>8052833</v>
      </c>
      <c r="H70" s="60">
        <f>IF($A70&lt;=Input!$C$6,0,IF('Fixed Tenure'!D70&lt;'Fixed Tenure'!F70,'Fixed Tenure'!D70-G70,'Fixed Tenure'!F70))</f>
        <v>8993617</v>
      </c>
      <c r="I70" s="60">
        <f t="shared" ref="I70:I133" si="64">G70+H70</f>
        <v>17046450</v>
      </c>
      <c r="J70" s="60">
        <f t="shared" ref="J70:J133" si="65">J69-H70</f>
        <v>623110441.22744608</v>
      </c>
      <c r="K70" s="202">
        <f>J70/Input!$K$5</f>
        <v>2.077034804091487</v>
      </c>
      <c r="L70" s="232"/>
      <c r="M70" s="60">
        <f>IF($B70&lt;Input!$H$43,IF($B70&lt;Input!$G$43,IF($B70&lt;Input!$F$43,IF($B70&lt;Input!$E$43,IF($B70&lt;Input!$D$43,Input!$C$49,Input!$D$49),Input!$E$49),Input!$F$49),Input!$G$49),Input!$H$49)</f>
        <v>18940500</v>
      </c>
      <c r="N70" s="190">
        <f>IF($A70&lt;Input!$H$50,IF($A70&lt;Input!$G$50,IF($A70&lt;Input!$F$50,IF($A70&lt;Input!$E$50,IF($A70&lt;Input!$D$50,Input!$C$51,Input!$D$51),Input!$E$51),Input!$F$51),Input!$G$51),Input!$H$51)</f>
        <v>0.9</v>
      </c>
      <c r="O70" s="60">
        <f t="shared" si="38"/>
        <v>17046450</v>
      </c>
      <c r="P70" s="60">
        <f t="shared" si="41"/>
        <v>31</v>
      </c>
      <c r="Q70" s="60">
        <f t="shared" si="42"/>
        <v>632104058.22744608</v>
      </c>
      <c r="R70" s="60">
        <f>ROUND(Q70*$P70*Input!$C$3/365,0)</f>
        <v>8052833</v>
      </c>
      <c r="S70" s="60">
        <f>IF(A70&lt;=Input!$C$6,0,IF('Fixed Tenure'!O70&lt;'Fixed Tenure'!Q70,'Fixed Tenure'!O70-R70,'Fixed Tenure'!Q70))</f>
        <v>8993617</v>
      </c>
      <c r="T70" s="60">
        <f t="shared" si="43"/>
        <v>17046450</v>
      </c>
      <c r="U70" s="60">
        <f t="shared" si="44"/>
        <v>623110441.22744608</v>
      </c>
      <c r="V70" s="193"/>
      <c r="W70" s="169">
        <v>66</v>
      </c>
      <c r="X70" s="1">
        <f t="shared" ref="X70:X133" si="66">EDATE(X69,1)</f>
        <v>47529</v>
      </c>
      <c r="Y70" s="60">
        <f>IF($X70&lt;Input!$H$58,IF($X70&lt;Input!$G$58,IF($X70&lt;Input!$F$58,IF($X70&lt;Input!$E$58,IF($X70&lt;Input!$D$58,Input!$C$64,Input!$D$64),Input!$E$64),Input!$F$64),Input!$G$64),Input!$H$64)</f>
        <v>0</v>
      </c>
      <c r="Z70" s="190">
        <f>IF($A70&lt;Input!$H$65,IF($A70&lt;Input!$G$65,IF($A70&lt;Input!$F$65,IF($A70&lt;Input!$E$65,IF($A70&lt;Input!$D$65,Input!$C$66,Input!$D$66),Input!$E$66),Input!$F$66),Input!$G$66),Input!$H$66)</f>
        <v>0.9</v>
      </c>
      <c r="AA70" s="60">
        <f t="shared" si="45"/>
        <v>0</v>
      </c>
      <c r="AB70" s="60">
        <f t="shared" ref="AB70:AB133" si="67">X70-X69</f>
        <v>31</v>
      </c>
      <c r="AC70" s="60">
        <f t="shared" si="46"/>
        <v>0</v>
      </c>
      <c r="AD70" s="60">
        <f>ROUND(AC70*AB70*Input!$C$3/365,0)</f>
        <v>0</v>
      </c>
      <c r="AE70" s="61">
        <f>IF($A70&lt;=Input!$C$6,0,IF('Fixed Tenure'!AA70&lt;'Fixed Tenure'!AC70,'Fixed Tenure'!AA70-AD70,'Fixed Tenure'!AC70))</f>
        <v>0</v>
      </c>
      <c r="AF70" s="61">
        <f t="shared" si="47"/>
        <v>0</v>
      </c>
      <c r="AG70" s="60">
        <f t="shared" si="48"/>
        <v>0</v>
      </c>
      <c r="AH70" s="193"/>
      <c r="AI70" s="169">
        <v>66</v>
      </c>
      <c r="AJ70" s="1">
        <f t="shared" ref="AJ70:AJ133" si="68">EDATE(AJ69,1)</f>
        <v>47529</v>
      </c>
      <c r="AK70" s="60">
        <f>IF($X70&lt;Input!$H$73,IF($X70&lt;Input!$G$73,IF($X70&lt;Input!$F$73,IF($X70&lt;Input!$E$73,IF($X70&lt;Input!$D$73,Input!$C$79,Input!$D$79),Input!$E$79),Input!$F$79),Input!$G$79),Input!$H$79)</f>
        <v>0</v>
      </c>
      <c r="AL70" s="190">
        <f>IF($A70&lt;Input!$H$80,IF($A70&lt;Input!$G$80,IF($A70&lt;Input!$F$80,IF($A70&lt;Input!$E$80,IF($A70&lt;Input!$D$80,Input!$C$81,Input!$D$81),Input!$E$81),Input!$F$81),Input!$G$81),Input!$H$81)</f>
        <v>0.9</v>
      </c>
      <c r="AM70" s="60">
        <f t="shared" si="49"/>
        <v>0</v>
      </c>
      <c r="AN70" s="60">
        <f t="shared" ref="AN70:AN133" si="69">AJ70-AJ69</f>
        <v>31</v>
      </c>
      <c r="AO70" s="60">
        <f t="shared" si="50"/>
        <v>0</v>
      </c>
      <c r="AP70" s="60">
        <f>ROUND(AO70*AN70*Input!$C$3/365,0)</f>
        <v>0</v>
      </c>
      <c r="AQ70" s="61">
        <f>IF($A70&lt;=Input!$C$6,0,IF('Fixed Tenure'!AM70&lt;'Fixed Tenure'!AO70,'Fixed Tenure'!AM70-AP70,'Fixed Tenure'!AO70))</f>
        <v>0</v>
      </c>
      <c r="AR70" s="61">
        <f t="shared" si="51"/>
        <v>0</v>
      </c>
      <c r="AS70" s="60">
        <f t="shared" si="52"/>
        <v>0</v>
      </c>
      <c r="AT70" s="193"/>
      <c r="AU70" s="169">
        <v>66</v>
      </c>
      <c r="AV70" s="1">
        <f t="shared" ref="AV70:AV133" si="70">EDATE(AV69,1)</f>
        <v>47529</v>
      </c>
      <c r="AW70" s="60">
        <f>IF($X70&lt;Input!$H$88,IF($X70&lt;Input!$G$88,IF($X70&lt;Input!$F$88,IF($X70&lt;Input!$E$88,IF($X70&lt;Input!$D$88,Input!$C$94,Input!$D$94),Input!$E$94),Input!$F$94),Input!$G$94),Input!$H$94)</f>
        <v>0</v>
      </c>
      <c r="AX70" s="190">
        <f>IF($A70&lt;Input!$H$95,IF($A70&lt;Input!$G$95,IF($A70&lt;Input!$F$95,IF($A70&lt;Input!$E$95,IF($A70&lt;Input!$D$95,Input!$C$96,Input!$D$96),Input!$E$96),Input!$F$96),Input!$G$96),Input!$H$96)</f>
        <v>0.9</v>
      </c>
      <c r="AY70" s="60">
        <f t="shared" si="53"/>
        <v>0</v>
      </c>
      <c r="AZ70" s="60">
        <f t="shared" ref="AZ70:AZ133" si="71">AV70-AV69</f>
        <v>31</v>
      </c>
      <c r="BA70" s="60">
        <f t="shared" si="54"/>
        <v>0</v>
      </c>
      <c r="BB70" s="60">
        <f>ROUND(BA70*AZ70*Input!$C$3/365,0)</f>
        <v>0</v>
      </c>
      <c r="BC70" s="61">
        <f>IF($A70&lt;=Input!$C$6,0,IF('Fixed Tenure'!AY70&lt;'Fixed Tenure'!BA70,'Fixed Tenure'!AY70-BB70,'Fixed Tenure'!BA70))</f>
        <v>0</v>
      </c>
      <c r="BD70" s="61">
        <f t="shared" si="55"/>
        <v>0</v>
      </c>
      <c r="BE70" s="60">
        <f t="shared" si="56"/>
        <v>0</v>
      </c>
      <c r="BF70" s="193"/>
      <c r="BG70" s="169">
        <v>66</v>
      </c>
      <c r="BH70" s="1">
        <f t="shared" ref="BH70:BH133" si="72">EDATE(BH69,1)</f>
        <v>47529</v>
      </c>
      <c r="BI70" s="60">
        <f>IF($X70&lt;Input!$H$103,IF($X70&lt;Input!$G$103,IF($X70&lt;Input!$F$103,IF($X70&lt;Input!$E$103,IF($X70&lt;Input!$D$103,Input!$C$109,Input!$D$109),Input!$E$109),Input!$F$109),Input!$G$109),Input!$H$109)</f>
        <v>0</v>
      </c>
      <c r="BJ70" s="190">
        <f>IF($A70&lt;Input!$H$110,IF($A70&lt;Input!$G$110,IF($A70&lt;Input!$F$110,IF($A70&lt;Input!$E$110,IF($A70&lt;Input!$D$110,Input!$C$111,Input!$D$111),Input!$E$111),Input!$F$111),Input!$G$111),Input!$H$111)</f>
        <v>0.9</v>
      </c>
      <c r="BK70" s="60">
        <f t="shared" si="57"/>
        <v>0</v>
      </c>
      <c r="BL70" s="60">
        <f t="shared" ref="BL70:BL133" si="73">BH70-BH69</f>
        <v>31</v>
      </c>
      <c r="BM70" s="60">
        <f t="shared" si="58"/>
        <v>0</v>
      </c>
      <c r="BN70" s="60">
        <f>ROUND(BM70*BL70*Input!$C$3/365,0)</f>
        <v>0</v>
      </c>
      <c r="BO70" s="61">
        <f>IF($A70&lt;=Input!$C$6,0,IF('Fixed Tenure'!BK70&lt;'Fixed Tenure'!BM70,'Fixed Tenure'!BK70-BN70,'Fixed Tenure'!BM70))</f>
        <v>0</v>
      </c>
      <c r="BP70" s="61">
        <f t="shared" si="59"/>
        <v>0</v>
      </c>
      <c r="BQ70" s="60">
        <f t="shared" si="60"/>
        <v>0</v>
      </c>
      <c r="BR70" s="198"/>
    </row>
    <row r="71" spans="1:70" x14ac:dyDescent="0.25">
      <c r="A71" s="169">
        <v>67</v>
      </c>
      <c r="B71" s="1">
        <f t="shared" si="61"/>
        <v>47557</v>
      </c>
      <c r="C71" s="60">
        <f t="shared" si="39"/>
        <v>18940500</v>
      </c>
      <c r="D71" s="60">
        <f t="shared" si="40"/>
        <v>17046450</v>
      </c>
      <c r="E71" s="60">
        <f t="shared" si="62"/>
        <v>28</v>
      </c>
      <c r="F71" s="60">
        <f t="shared" si="63"/>
        <v>623110441.22744608</v>
      </c>
      <c r="G71" s="60">
        <f>ROUND(F71*E71*Input!$C$3/365,0)</f>
        <v>7170038</v>
      </c>
      <c r="H71" s="60">
        <f>IF($A71&lt;=Input!$C$6,0,IF('Fixed Tenure'!D71&lt;'Fixed Tenure'!F71,'Fixed Tenure'!D71-G71,'Fixed Tenure'!F71))</f>
        <v>9876412</v>
      </c>
      <c r="I71" s="60">
        <f t="shared" si="64"/>
        <v>17046450</v>
      </c>
      <c r="J71" s="60">
        <f t="shared" si="65"/>
        <v>613234029.22744608</v>
      </c>
      <c r="K71" s="202">
        <f>J71/Input!$K$5</f>
        <v>2.0441134307581534</v>
      </c>
      <c r="L71" s="232"/>
      <c r="M71" s="60">
        <f>IF($B71&lt;Input!$H$43,IF($B71&lt;Input!$G$43,IF($B71&lt;Input!$F$43,IF($B71&lt;Input!$E$43,IF($B71&lt;Input!$D$43,Input!$C$49,Input!$D$49),Input!$E$49),Input!$F$49),Input!$G$49),Input!$H$49)</f>
        <v>18940500</v>
      </c>
      <c r="N71" s="190">
        <f>IF($A71&lt;Input!$H$50,IF($A71&lt;Input!$G$50,IF($A71&lt;Input!$F$50,IF($A71&lt;Input!$E$50,IF($A71&lt;Input!$D$50,Input!$C$51,Input!$D$51),Input!$E$51),Input!$F$51),Input!$G$51),Input!$H$51)</f>
        <v>0.9</v>
      </c>
      <c r="O71" s="60">
        <f t="shared" si="38"/>
        <v>17046450</v>
      </c>
      <c r="P71" s="60">
        <f t="shared" si="41"/>
        <v>28</v>
      </c>
      <c r="Q71" s="60">
        <f t="shared" si="42"/>
        <v>623110441.22744608</v>
      </c>
      <c r="R71" s="60">
        <f>ROUND(Q71*$P71*Input!$C$3/365,0)</f>
        <v>7170038</v>
      </c>
      <c r="S71" s="60">
        <f>IF(A71&lt;=Input!$C$6,0,IF('Fixed Tenure'!O71&lt;'Fixed Tenure'!Q71,'Fixed Tenure'!O71-R71,'Fixed Tenure'!Q71))</f>
        <v>9876412</v>
      </c>
      <c r="T71" s="60">
        <f t="shared" si="43"/>
        <v>17046450</v>
      </c>
      <c r="U71" s="60">
        <f t="shared" si="44"/>
        <v>613234029.22744608</v>
      </c>
      <c r="V71" s="193"/>
      <c r="W71" s="169">
        <v>67</v>
      </c>
      <c r="X71" s="1">
        <f t="shared" si="66"/>
        <v>47557</v>
      </c>
      <c r="Y71" s="60">
        <f>IF($X71&lt;Input!$H$58,IF($X71&lt;Input!$G$58,IF($X71&lt;Input!$F$58,IF($X71&lt;Input!$E$58,IF($X71&lt;Input!$D$58,Input!$C$64,Input!$D$64),Input!$E$64),Input!$F$64),Input!$G$64),Input!$H$64)</f>
        <v>0</v>
      </c>
      <c r="Z71" s="190">
        <f>IF($A71&lt;Input!$H$65,IF($A71&lt;Input!$G$65,IF($A71&lt;Input!$F$65,IF($A71&lt;Input!$E$65,IF($A71&lt;Input!$D$65,Input!$C$66,Input!$D$66),Input!$E$66),Input!$F$66),Input!$G$66),Input!$H$66)</f>
        <v>0.9</v>
      </c>
      <c r="AA71" s="60">
        <f t="shared" si="45"/>
        <v>0</v>
      </c>
      <c r="AB71" s="60">
        <f t="shared" si="67"/>
        <v>28</v>
      </c>
      <c r="AC71" s="60">
        <f t="shared" si="46"/>
        <v>0</v>
      </c>
      <c r="AD71" s="60">
        <f>ROUND(AC71*AB71*Input!$C$3/365,0)</f>
        <v>0</v>
      </c>
      <c r="AE71" s="61">
        <f>IF($A71&lt;=Input!$C$6,0,IF('Fixed Tenure'!AA71&lt;'Fixed Tenure'!AC71,'Fixed Tenure'!AA71-AD71,'Fixed Tenure'!AC71))</f>
        <v>0</v>
      </c>
      <c r="AF71" s="61">
        <f t="shared" si="47"/>
        <v>0</v>
      </c>
      <c r="AG71" s="60">
        <f t="shared" si="48"/>
        <v>0</v>
      </c>
      <c r="AH71" s="193"/>
      <c r="AI71" s="169">
        <v>67</v>
      </c>
      <c r="AJ71" s="1">
        <f t="shared" si="68"/>
        <v>47557</v>
      </c>
      <c r="AK71" s="60">
        <f>IF($X71&lt;Input!$H$73,IF($X71&lt;Input!$G$73,IF($X71&lt;Input!$F$73,IF($X71&lt;Input!$E$73,IF($X71&lt;Input!$D$73,Input!$C$79,Input!$D$79),Input!$E$79),Input!$F$79),Input!$G$79),Input!$H$79)</f>
        <v>0</v>
      </c>
      <c r="AL71" s="190">
        <f>IF($A71&lt;Input!$H$80,IF($A71&lt;Input!$G$80,IF($A71&lt;Input!$F$80,IF($A71&lt;Input!$E$80,IF($A71&lt;Input!$D$80,Input!$C$81,Input!$D$81),Input!$E$81),Input!$F$81),Input!$G$81),Input!$H$81)</f>
        <v>0.9</v>
      </c>
      <c r="AM71" s="60">
        <f t="shared" si="49"/>
        <v>0</v>
      </c>
      <c r="AN71" s="60">
        <f t="shared" si="69"/>
        <v>28</v>
      </c>
      <c r="AO71" s="60">
        <f t="shared" si="50"/>
        <v>0</v>
      </c>
      <c r="AP71" s="60">
        <f>ROUND(AO71*AN71*Input!$C$3/365,0)</f>
        <v>0</v>
      </c>
      <c r="AQ71" s="61">
        <f>IF($A71&lt;=Input!$C$6,0,IF('Fixed Tenure'!AM71&lt;'Fixed Tenure'!AO71,'Fixed Tenure'!AM71-AP71,'Fixed Tenure'!AO71))</f>
        <v>0</v>
      </c>
      <c r="AR71" s="61">
        <f t="shared" si="51"/>
        <v>0</v>
      </c>
      <c r="AS71" s="60">
        <f t="shared" si="52"/>
        <v>0</v>
      </c>
      <c r="AT71" s="193"/>
      <c r="AU71" s="169">
        <v>67</v>
      </c>
      <c r="AV71" s="1">
        <f t="shared" si="70"/>
        <v>47557</v>
      </c>
      <c r="AW71" s="60">
        <f>IF($X71&lt;Input!$H$88,IF($X71&lt;Input!$G$88,IF($X71&lt;Input!$F$88,IF($X71&lt;Input!$E$88,IF($X71&lt;Input!$D$88,Input!$C$94,Input!$D$94),Input!$E$94),Input!$F$94),Input!$G$94),Input!$H$94)</f>
        <v>0</v>
      </c>
      <c r="AX71" s="190">
        <f>IF($A71&lt;Input!$H$95,IF($A71&lt;Input!$G$95,IF($A71&lt;Input!$F$95,IF($A71&lt;Input!$E$95,IF($A71&lt;Input!$D$95,Input!$C$96,Input!$D$96),Input!$E$96),Input!$F$96),Input!$G$96),Input!$H$96)</f>
        <v>0.9</v>
      </c>
      <c r="AY71" s="60">
        <f t="shared" si="53"/>
        <v>0</v>
      </c>
      <c r="AZ71" s="60">
        <f t="shared" si="71"/>
        <v>28</v>
      </c>
      <c r="BA71" s="60">
        <f t="shared" si="54"/>
        <v>0</v>
      </c>
      <c r="BB71" s="60">
        <f>ROUND(BA71*AZ71*Input!$C$3/365,0)</f>
        <v>0</v>
      </c>
      <c r="BC71" s="61">
        <f>IF($A71&lt;=Input!$C$6,0,IF('Fixed Tenure'!AY71&lt;'Fixed Tenure'!BA71,'Fixed Tenure'!AY71-BB71,'Fixed Tenure'!BA71))</f>
        <v>0</v>
      </c>
      <c r="BD71" s="61">
        <f t="shared" si="55"/>
        <v>0</v>
      </c>
      <c r="BE71" s="60">
        <f t="shared" si="56"/>
        <v>0</v>
      </c>
      <c r="BF71" s="193"/>
      <c r="BG71" s="169">
        <v>67</v>
      </c>
      <c r="BH71" s="1">
        <f t="shared" si="72"/>
        <v>47557</v>
      </c>
      <c r="BI71" s="60">
        <f>IF($X71&lt;Input!$H$103,IF($X71&lt;Input!$G$103,IF($X71&lt;Input!$F$103,IF($X71&lt;Input!$E$103,IF($X71&lt;Input!$D$103,Input!$C$109,Input!$D$109),Input!$E$109),Input!$F$109),Input!$G$109),Input!$H$109)</f>
        <v>0</v>
      </c>
      <c r="BJ71" s="190">
        <f>IF($A71&lt;Input!$H$110,IF($A71&lt;Input!$G$110,IF($A71&lt;Input!$F$110,IF($A71&lt;Input!$E$110,IF($A71&lt;Input!$D$110,Input!$C$111,Input!$D$111),Input!$E$111),Input!$F$111),Input!$G$111),Input!$H$111)</f>
        <v>0.9</v>
      </c>
      <c r="BK71" s="60">
        <f t="shared" si="57"/>
        <v>0</v>
      </c>
      <c r="BL71" s="60">
        <f t="shared" si="73"/>
        <v>28</v>
      </c>
      <c r="BM71" s="60">
        <f t="shared" si="58"/>
        <v>0</v>
      </c>
      <c r="BN71" s="60">
        <f>ROUND(BM71*BL71*Input!$C$3/365,0)</f>
        <v>0</v>
      </c>
      <c r="BO71" s="61">
        <f>IF($A71&lt;=Input!$C$6,0,IF('Fixed Tenure'!BK71&lt;'Fixed Tenure'!BM71,'Fixed Tenure'!BK71-BN71,'Fixed Tenure'!BM71))</f>
        <v>0</v>
      </c>
      <c r="BP71" s="61">
        <f t="shared" si="59"/>
        <v>0</v>
      </c>
      <c r="BQ71" s="60">
        <f t="shared" si="60"/>
        <v>0</v>
      </c>
      <c r="BR71" s="198"/>
    </row>
    <row r="72" spans="1:70" x14ac:dyDescent="0.25">
      <c r="A72" s="169">
        <v>68</v>
      </c>
      <c r="B72" s="1">
        <f t="shared" si="61"/>
        <v>47588</v>
      </c>
      <c r="C72" s="60">
        <f t="shared" si="39"/>
        <v>18940500</v>
      </c>
      <c r="D72" s="60">
        <f t="shared" si="40"/>
        <v>17046450</v>
      </c>
      <c r="E72" s="60">
        <f t="shared" si="62"/>
        <v>31</v>
      </c>
      <c r="F72" s="60">
        <f t="shared" si="63"/>
        <v>613234029.22744608</v>
      </c>
      <c r="G72" s="60">
        <f>ROUND(F72*E72*Input!$C$3/365,0)</f>
        <v>7812434</v>
      </c>
      <c r="H72" s="60">
        <f>IF($A72&lt;=Input!$C$6,0,IF('Fixed Tenure'!D72&lt;'Fixed Tenure'!F72,'Fixed Tenure'!D72-G72,'Fixed Tenure'!F72))</f>
        <v>9234016</v>
      </c>
      <c r="I72" s="60">
        <f t="shared" si="64"/>
        <v>17046450</v>
      </c>
      <c r="J72" s="60">
        <f t="shared" si="65"/>
        <v>604000013.22744608</v>
      </c>
      <c r="K72" s="202">
        <f>J72/Input!$K$5</f>
        <v>2.0133333774248201</v>
      </c>
      <c r="L72" s="232"/>
      <c r="M72" s="60">
        <f>IF($B72&lt;Input!$H$43,IF($B72&lt;Input!$G$43,IF($B72&lt;Input!$F$43,IF($B72&lt;Input!$E$43,IF($B72&lt;Input!$D$43,Input!$C$49,Input!$D$49),Input!$E$49),Input!$F$49),Input!$G$49),Input!$H$49)</f>
        <v>18940500</v>
      </c>
      <c r="N72" s="190">
        <f>IF($A72&lt;Input!$H$50,IF($A72&lt;Input!$G$50,IF($A72&lt;Input!$F$50,IF($A72&lt;Input!$E$50,IF($A72&lt;Input!$D$50,Input!$C$51,Input!$D$51),Input!$E$51),Input!$F$51),Input!$G$51),Input!$H$51)</f>
        <v>0.9</v>
      </c>
      <c r="O72" s="60">
        <f t="shared" si="38"/>
        <v>17046450</v>
      </c>
      <c r="P72" s="60">
        <f t="shared" si="41"/>
        <v>31</v>
      </c>
      <c r="Q72" s="60">
        <f t="shared" si="42"/>
        <v>613234029.22744608</v>
      </c>
      <c r="R72" s="60">
        <f>ROUND(Q72*$P72*Input!$C$3/365,0)</f>
        <v>7812434</v>
      </c>
      <c r="S72" s="60">
        <f>IF(A72&lt;=Input!$C$6,0,IF('Fixed Tenure'!O72&lt;'Fixed Tenure'!Q72,'Fixed Tenure'!O72-R72,'Fixed Tenure'!Q72))</f>
        <v>9234016</v>
      </c>
      <c r="T72" s="60">
        <f t="shared" si="43"/>
        <v>17046450</v>
      </c>
      <c r="U72" s="60">
        <f t="shared" si="44"/>
        <v>604000013.22744608</v>
      </c>
      <c r="V72" s="193"/>
      <c r="W72" s="169">
        <v>68</v>
      </c>
      <c r="X72" s="1">
        <f t="shared" si="66"/>
        <v>47588</v>
      </c>
      <c r="Y72" s="60">
        <f>IF($X72&lt;Input!$H$58,IF($X72&lt;Input!$G$58,IF($X72&lt;Input!$F$58,IF($X72&lt;Input!$E$58,IF($X72&lt;Input!$D$58,Input!$C$64,Input!$D$64),Input!$E$64),Input!$F$64),Input!$G$64),Input!$H$64)</f>
        <v>0</v>
      </c>
      <c r="Z72" s="190">
        <f>IF($A72&lt;Input!$H$65,IF($A72&lt;Input!$G$65,IF($A72&lt;Input!$F$65,IF($A72&lt;Input!$E$65,IF($A72&lt;Input!$D$65,Input!$C$66,Input!$D$66),Input!$E$66),Input!$F$66),Input!$G$66),Input!$H$66)</f>
        <v>0.9</v>
      </c>
      <c r="AA72" s="60">
        <f t="shared" si="45"/>
        <v>0</v>
      </c>
      <c r="AB72" s="60">
        <f t="shared" si="67"/>
        <v>31</v>
      </c>
      <c r="AC72" s="60">
        <f t="shared" si="46"/>
        <v>0</v>
      </c>
      <c r="AD72" s="60">
        <f>ROUND(AC72*AB72*Input!$C$3/365,0)</f>
        <v>0</v>
      </c>
      <c r="AE72" s="61">
        <f>IF($A72&lt;=Input!$C$6,0,IF('Fixed Tenure'!AA72&lt;'Fixed Tenure'!AC72,'Fixed Tenure'!AA72-AD72,'Fixed Tenure'!AC72))</f>
        <v>0</v>
      </c>
      <c r="AF72" s="61">
        <f t="shared" si="47"/>
        <v>0</v>
      </c>
      <c r="AG72" s="60">
        <f t="shared" si="48"/>
        <v>0</v>
      </c>
      <c r="AH72" s="193"/>
      <c r="AI72" s="169">
        <v>68</v>
      </c>
      <c r="AJ72" s="1">
        <f t="shared" si="68"/>
        <v>47588</v>
      </c>
      <c r="AK72" s="60">
        <f>IF($X72&lt;Input!$H$73,IF($X72&lt;Input!$G$73,IF($X72&lt;Input!$F$73,IF($X72&lt;Input!$E$73,IF($X72&lt;Input!$D$73,Input!$C$79,Input!$D$79),Input!$E$79),Input!$F$79),Input!$G$79),Input!$H$79)</f>
        <v>0</v>
      </c>
      <c r="AL72" s="190">
        <f>IF($A72&lt;Input!$H$80,IF($A72&lt;Input!$G$80,IF($A72&lt;Input!$F$80,IF($A72&lt;Input!$E$80,IF($A72&lt;Input!$D$80,Input!$C$81,Input!$D$81),Input!$E$81),Input!$F$81),Input!$G$81),Input!$H$81)</f>
        <v>0.9</v>
      </c>
      <c r="AM72" s="60">
        <f t="shared" si="49"/>
        <v>0</v>
      </c>
      <c r="AN72" s="60">
        <f t="shared" si="69"/>
        <v>31</v>
      </c>
      <c r="AO72" s="60">
        <f t="shared" si="50"/>
        <v>0</v>
      </c>
      <c r="AP72" s="60">
        <f>ROUND(AO72*AN72*Input!$C$3/365,0)</f>
        <v>0</v>
      </c>
      <c r="AQ72" s="61">
        <f>IF($A72&lt;=Input!$C$6,0,IF('Fixed Tenure'!AM72&lt;'Fixed Tenure'!AO72,'Fixed Tenure'!AM72-AP72,'Fixed Tenure'!AO72))</f>
        <v>0</v>
      </c>
      <c r="AR72" s="61">
        <f t="shared" si="51"/>
        <v>0</v>
      </c>
      <c r="AS72" s="60">
        <f t="shared" si="52"/>
        <v>0</v>
      </c>
      <c r="AT72" s="193"/>
      <c r="AU72" s="169">
        <v>68</v>
      </c>
      <c r="AV72" s="1">
        <f t="shared" si="70"/>
        <v>47588</v>
      </c>
      <c r="AW72" s="60">
        <f>IF($X72&lt;Input!$H$88,IF($X72&lt;Input!$G$88,IF($X72&lt;Input!$F$88,IF($X72&lt;Input!$E$88,IF($X72&lt;Input!$D$88,Input!$C$94,Input!$D$94),Input!$E$94),Input!$F$94),Input!$G$94),Input!$H$94)</f>
        <v>0</v>
      </c>
      <c r="AX72" s="190">
        <f>IF($A72&lt;Input!$H$95,IF($A72&lt;Input!$G$95,IF($A72&lt;Input!$F$95,IF($A72&lt;Input!$E$95,IF($A72&lt;Input!$D$95,Input!$C$96,Input!$D$96),Input!$E$96),Input!$F$96),Input!$G$96),Input!$H$96)</f>
        <v>0.9</v>
      </c>
      <c r="AY72" s="60">
        <f t="shared" si="53"/>
        <v>0</v>
      </c>
      <c r="AZ72" s="60">
        <f t="shared" si="71"/>
        <v>31</v>
      </c>
      <c r="BA72" s="60">
        <f t="shared" si="54"/>
        <v>0</v>
      </c>
      <c r="BB72" s="60">
        <f>ROUND(BA72*AZ72*Input!$C$3/365,0)</f>
        <v>0</v>
      </c>
      <c r="BC72" s="61">
        <f>IF($A72&lt;=Input!$C$6,0,IF('Fixed Tenure'!AY72&lt;'Fixed Tenure'!BA72,'Fixed Tenure'!AY72-BB72,'Fixed Tenure'!BA72))</f>
        <v>0</v>
      </c>
      <c r="BD72" s="61">
        <f t="shared" si="55"/>
        <v>0</v>
      </c>
      <c r="BE72" s="60">
        <f t="shared" si="56"/>
        <v>0</v>
      </c>
      <c r="BF72" s="193"/>
      <c r="BG72" s="169">
        <v>68</v>
      </c>
      <c r="BH72" s="1">
        <f t="shared" si="72"/>
        <v>47588</v>
      </c>
      <c r="BI72" s="60">
        <f>IF($X72&lt;Input!$H$103,IF($X72&lt;Input!$G$103,IF($X72&lt;Input!$F$103,IF($X72&lt;Input!$E$103,IF($X72&lt;Input!$D$103,Input!$C$109,Input!$D$109),Input!$E$109),Input!$F$109),Input!$G$109),Input!$H$109)</f>
        <v>0</v>
      </c>
      <c r="BJ72" s="190">
        <f>IF($A72&lt;Input!$H$110,IF($A72&lt;Input!$G$110,IF($A72&lt;Input!$F$110,IF($A72&lt;Input!$E$110,IF($A72&lt;Input!$D$110,Input!$C$111,Input!$D$111),Input!$E$111),Input!$F$111),Input!$G$111),Input!$H$111)</f>
        <v>0.9</v>
      </c>
      <c r="BK72" s="60">
        <f t="shared" si="57"/>
        <v>0</v>
      </c>
      <c r="BL72" s="60">
        <f t="shared" si="73"/>
        <v>31</v>
      </c>
      <c r="BM72" s="60">
        <f t="shared" si="58"/>
        <v>0</v>
      </c>
      <c r="BN72" s="60">
        <f>ROUND(BM72*BL72*Input!$C$3/365,0)</f>
        <v>0</v>
      </c>
      <c r="BO72" s="61">
        <f>IF($A72&lt;=Input!$C$6,0,IF('Fixed Tenure'!BK72&lt;'Fixed Tenure'!BM72,'Fixed Tenure'!BK72-BN72,'Fixed Tenure'!BM72))</f>
        <v>0</v>
      </c>
      <c r="BP72" s="61">
        <f t="shared" si="59"/>
        <v>0</v>
      </c>
      <c r="BQ72" s="60">
        <f t="shared" si="60"/>
        <v>0</v>
      </c>
      <c r="BR72" s="198"/>
    </row>
    <row r="73" spans="1:70" x14ac:dyDescent="0.25">
      <c r="A73" s="169">
        <v>69</v>
      </c>
      <c r="B73" s="1">
        <f t="shared" si="61"/>
        <v>47618</v>
      </c>
      <c r="C73" s="60">
        <f t="shared" si="39"/>
        <v>18940500</v>
      </c>
      <c r="D73" s="60">
        <f t="shared" si="40"/>
        <v>17046450</v>
      </c>
      <c r="E73" s="60">
        <f t="shared" si="62"/>
        <v>30</v>
      </c>
      <c r="F73" s="60">
        <f t="shared" si="63"/>
        <v>604000013.22744608</v>
      </c>
      <c r="G73" s="60">
        <f>ROUND(F73*E73*Input!$C$3/365,0)</f>
        <v>7446576</v>
      </c>
      <c r="H73" s="60">
        <f>IF($A73&lt;=Input!$C$6,0,IF('Fixed Tenure'!D73&lt;'Fixed Tenure'!F73,'Fixed Tenure'!D73-G73,'Fixed Tenure'!F73))</f>
        <v>9599874</v>
      </c>
      <c r="I73" s="60">
        <f t="shared" si="64"/>
        <v>17046450</v>
      </c>
      <c r="J73" s="60">
        <f t="shared" si="65"/>
        <v>594400139.22744608</v>
      </c>
      <c r="K73" s="202">
        <f>J73/Input!$K$5</f>
        <v>1.9813337974248202</v>
      </c>
      <c r="L73" s="232"/>
      <c r="M73" s="60">
        <f>IF($B73&lt;Input!$H$43,IF($B73&lt;Input!$G$43,IF($B73&lt;Input!$F$43,IF($B73&lt;Input!$E$43,IF($B73&lt;Input!$D$43,Input!$C$49,Input!$D$49),Input!$E$49),Input!$F$49),Input!$G$49),Input!$H$49)</f>
        <v>18940500</v>
      </c>
      <c r="N73" s="190">
        <f>IF($A73&lt;Input!$H$50,IF($A73&lt;Input!$G$50,IF($A73&lt;Input!$F$50,IF($A73&lt;Input!$E$50,IF($A73&lt;Input!$D$50,Input!$C$51,Input!$D$51),Input!$E$51),Input!$F$51),Input!$G$51),Input!$H$51)</f>
        <v>0.9</v>
      </c>
      <c r="O73" s="60">
        <f t="shared" si="38"/>
        <v>17046450</v>
      </c>
      <c r="P73" s="60">
        <f t="shared" si="41"/>
        <v>30</v>
      </c>
      <c r="Q73" s="60">
        <f t="shared" si="42"/>
        <v>604000013.22744608</v>
      </c>
      <c r="R73" s="60">
        <f>ROUND(Q73*$P73*Input!$C$3/365,0)</f>
        <v>7446576</v>
      </c>
      <c r="S73" s="60">
        <f>IF(A73&lt;=Input!$C$6,0,IF('Fixed Tenure'!O73&lt;'Fixed Tenure'!Q73,'Fixed Tenure'!O73-R73,'Fixed Tenure'!Q73))</f>
        <v>9599874</v>
      </c>
      <c r="T73" s="60">
        <f t="shared" si="43"/>
        <v>17046450</v>
      </c>
      <c r="U73" s="60">
        <f t="shared" si="44"/>
        <v>594400139.22744608</v>
      </c>
      <c r="V73" s="193"/>
      <c r="W73" s="169">
        <v>69</v>
      </c>
      <c r="X73" s="1">
        <f t="shared" si="66"/>
        <v>47618</v>
      </c>
      <c r="Y73" s="60">
        <f>IF($X73&lt;Input!$H$58,IF($X73&lt;Input!$G$58,IF($X73&lt;Input!$F$58,IF($X73&lt;Input!$E$58,IF($X73&lt;Input!$D$58,Input!$C$64,Input!$D$64),Input!$E$64),Input!$F$64),Input!$G$64),Input!$H$64)</f>
        <v>0</v>
      </c>
      <c r="Z73" s="190">
        <f>IF($A73&lt;Input!$H$65,IF($A73&lt;Input!$G$65,IF($A73&lt;Input!$F$65,IF($A73&lt;Input!$E$65,IF($A73&lt;Input!$D$65,Input!$C$66,Input!$D$66),Input!$E$66),Input!$F$66),Input!$G$66),Input!$H$66)</f>
        <v>0.9</v>
      </c>
      <c r="AA73" s="60">
        <f t="shared" si="45"/>
        <v>0</v>
      </c>
      <c r="AB73" s="60">
        <f t="shared" si="67"/>
        <v>30</v>
      </c>
      <c r="AC73" s="60">
        <f t="shared" si="46"/>
        <v>0</v>
      </c>
      <c r="AD73" s="60">
        <f>ROUND(AC73*AB73*Input!$C$3/365,0)</f>
        <v>0</v>
      </c>
      <c r="AE73" s="61">
        <f>IF($A73&lt;=Input!$C$6,0,IF('Fixed Tenure'!AA73&lt;'Fixed Tenure'!AC73,'Fixed Tenure'!AA73-AD73,'Fixed Tenure'!AC73))</f>
        <v>0</v>
      </c>
      <c r="AF73" s="61">
        <f t="shared" si="47"/>
        <v>0</v>
      </c>
      <c r="AG73" s="60">
        <f t="shared" si="48"/>
        <v>0</v>
      </c>
      <c r="AH73" s="193"/>
      <c r="AI73" s="169">
        <v>69</v>
      </c>
      <c r="AJ73" s="1">
        <f t="shared" si="68"/>
        <v>47618</v>
      </c>
      <c r="AK73" s="60">
        <f>IF($X73&lt;Input!$H$73,IF($X73&lt;Input!$G$73,IF($X73&lt;Input!$F$73,IF($X73&lt;Input!$E$73,IF($X73&lt;Input!$D$73,Input!$C$79,Input!$D$79),Input!$E$79),Input!$F$79),Input!$G$79),Input!$H$79)</f>
        <v>0</v>
      </c>
      <c r="AL73" s="190">
        <f>IF($A73&lt;Input!$H$80,IF($A73&lt;Input!$G$80,IF($A73&lt;Input!$F$80,IF($A73&lt;Input!$E$80,IF($A73&lt;Input!$D$80,Input!$C$81,Input!$D$81),Input!$E$81),Input!$F$81),Input!$G$81),Input!$H$81)</f>
        <v>0.9</v>
      </c>
      <c r="AM73" s="60">
        <f t="shared" si="49"/>
        <v>0</v>
      </c>
      <c r="AN73" s="60">
        <f t="shared" si="69"/>
        <v>30</v>
      </c>
      <c r="AO73" s="60">
        <f t="shared" si="50"/>
        <v>0</v>
      </c>
      <c r="AP73" s="60">
        <f>ROUND(AO73*AN73*Input!$C$3/365,0)</f>
        <v>0</v>
      </c>
      <c r="AQ73" s="61">
        <f>IF($A73&lt;=Input!$C$6,0,IF('Fixed Tenure'!AM73&lt;'Fixed Tenure'!AO73,'Fixed Tenure'!AM73-AP73,'Fixed Tenure'!AO73))</f>
        <v>0</v>
      </c>
      <c r="AR73" s="61">
        <f t="shared" si="51"/>
        <v>0</v>
      </c>
      <c r="AS73" s="60">
        <f t="shared" si="52"/>
        <v>0</v>
      </c>
      <c r="AT73" s="193"/>
      <c r="AU73" s="169">
        <v>69</v>
      </c>
      <c r="AV73" s="1">
        <f t="shared" si="70"/>
        <v>47618</v>
      </c>
      <c r="AW73" s="60">
        <f>IF($X73&lt;Input!$H$88,IF($X73&lt;Input!$G$88,IF($X73&lt;Input!$F$88,IF($X73&lt;Input!$E$88,IF($X73&lt;Input!$D$88,Input!$C$94,Input!$D$94),Input!$E$94),Input!$F$94),Input!$G$94),Input!$H$94)</f>
        <v>0</v>
      </c>
      <c r="AX73" s="190">
        <f>IF($A73&lt;Input!$H$95,IF($A73&lt;Input!$G$95,IF($A73&lt;Input!$F$95,IF($A73&lt;Input!$E$95,IF($A73&lt;Input!$D$95,Input!$C$96,Input!$D$96),Input!$E$96),Input!$F$96),Input!$G$96),Input!$H$96)</f>
        <v>0.9</v>
      </c>
      <c r="AY73" s="60">
        <f t="shared" si="53"/>
        <v>0</v>
      </c>
      <c r="AZ73" s="60">
        <f t="shared" si="71"/>
        <v>30</v>
      </c>
      <c r="BA73" s="60">
        <f t="shared" si="54"/>
        <v>0</v>
      </c>
      <c r="BB73" s="60">
        <f>ROUND(BA73*AZ73*Input!$C$3/365,0)</f>
        <v>0</v>
      </c>
      <c r="BC73" s="61">
        <f>IF($A73&lt;=Input!$C$6,0,IF('Fixed Tenure'!AY73&lt;'Fixed Tenure'!BA73,'Fixed Tenure'!AY73-BB73,'Fixed Tenure'!BA73))</f>
        <v>0</v>
      </c>
      <c r="BD73" s="61">
        <f t="shared" si="55"/>
        <v>0</v>
      </c>
      <c r="BE73" s="60">
        <f t="shared" si="56"/>
        <v>0</v>
      </c>
      <c r="BF73" s="193"/>
      <c r="BG73" s="169">
        <v>69</v>
      </c>
      <c r="BH73" s="1">
        <f t="shared" si="72"/>
        <v>47618</v>
      </c>
      <c r="BI73" s="60">
        <f>IF($X73&lt;Input!$H$103,IF($X73&lt;Input!$G$103,IF($X73&lt;Input!$F$103,IF($X73&lt;Input!$E$103,IF($X73&lt;Input!$D$103,Input!$C$109,Input!$D$109),Input!$E$109),Input!$F$109),Input!$G$109),Input!$H$109)</f>
        <v>0</v>
      </c>
      <c r="BJ73" s="190">
        <f>IF($A73&lt;Input!$H$110,IF($A73&lt;Input!$G$110,IF($A73&lt;Input!$F$110,IF($A73&lt;Input!$E$110,IF($A73&lt;Input!$D$110,Input!$C$111,Input!$D$111),Input!$E$111),Input!$F$111),Input!$G$111),Input!$H$111)</f>
        <v>0.9</v>
      </c>
      <c r="BK73" s="60">
        <f t="shared" si="57"/>
        <v>0</v>
      </c>
      <c r="BL73" s="60">
        <f t="shared" si="73"/>
        <v>30</v>
      </c>
      <c r="BM73" s="60">
        <f t="shared" si="58"/>
        <v>0</v>
      </c>
      <c r="BN73" s="60">
        <f>ROUND(BM73*BL73*Input!$C$3/365,0)</f>
        <v>0</v>
      </c>
      <c r="BO73" s="61">
        <f>IF($A73&lt;=Input!$C$6,0,IF('Fixed Tenure'!BK73&lt;'Fixed Tenure'!BM73,'Fixed Tenure'!BK73-BN73,'Fixed Tenure'!BM73))</f>
        <v>0</v>
      </c>
      <c r="BP73" s="61">
        <f t="shared" si="59"/>
        <v>0</v>
      </c>
      <c r="BQ73" s="60">
        <f t="shared" si="60"/>
        <v>0</v>
      </c>
      <c r="BR73" s="198"/>
    </row>
    <row r="74" spans="1:70" x14ac:dyDescent="0.25">
      <c r="A74" s="169">
        <v>70</v>
      </c>
      <c r="B74" s="1">
        <f t="shared" si="61"/>
        <v>47649</v>
      </c>
      <c r="C74" s="60">
        <f t="shared" si="39"/>
        <v>18940500</v>
      </c>
      <c r="D74" s="60">
        <f t="shared" si="40"/>
        <v>17046450</v>
      </c>
      <c r="E74" s="60">
        <f t="shared" si="62"/>
        <v>31</v>
      </c>
      <c r="F74" s="60">
        <f t="shared" si="63"/>
        <v>594400139.22744608</v>
      </c>
      <c r="G74" s="60">
        <f>ROUND(F74*E74*Input!$C$3/365,0)</f>
        <v>7572495</v>
      </c>
      <c r="H74" s="60">
        <f>IF($A74&lt;=Input!$C$6,0,IF('Fixed Tenure'!D74&lt;'Fixed Tenure'!F74,'Fixed Tenure'!D74-G74,'Fixed Tenure'!F74))</f>
        <v>9473955</v>
      </c>
      <c r="I74" s="60">
        <f t="shared" si="64"/>
        <v>17046450</v>
      </c>
      <c r="J74" s="60">
        <f t="shared" si="65"/>
        <v>584926184.22744608</v>
      </c>
      <c r="K74" s="202">
        <f>J74/Input!$K$5</f>
        <v>1.9497539474248202</v>
      </c>
      <c r="L74" s="232"/>
      <c r="M74" s="60">
        <f>IF($B74&lt;Input!$H$43,IF($B74&lt;Input!$G$43,IF($B74&lt;Input!$F$43,IF($B74&lt;Input!$E$43,IF($B74&lt;Input!$D$43,Input!$C$49,Input!$D$49),Input!$E$49),Input!$F$49),Input!$G$49),Input!$H$49)</f>
        <v>18940500</v>
      </c>
      <c r="N74" s="190">
        <f>IF($A74&lt;Input!$H$50,IF($A74&lt;Input!$G$50,IF($A74&lt;Input!$F$50,IF($A74&lt;Input!$E$50,IF($A74&lt;Input!$D$50,Input!$C$51,Input!$D$51),Input!$E$51),Input!$F$51),Input!$G$51),Input!$H$51)</f>
        <v>0.9</v>
      </c>
      <c r="O74" s="60">
        <f t="shared" si="38"/>
        <v>17046450</v>
      </c>
      <c r="P74" s="60">
        <f t="shared" si="41"/>
        <v>31</v>
      </c>
      <c r="Q74" s="60">
        <f t="shared" si="42"/>
        <v>594400139.22744608</v>
      </c>
      <c r="R74" s="60">
        <f>ROUND(Q74*$P74*Input!$C$3/365,0)</f>
        <v>7572495</v>
      </c>
      <c r="S74" s="60">
        <f>IF(A74&lt;=Input!$C$6,0,IF('Fixed Tenure'!O74&lt;'Fixed Tenure'!Q74,'Fixed Tenure'!O74-R74,'Fixed Tenure'!Q74))</f>
        <v>9473955</v>
      </c>
      <c r="T74" s="60">
        <f t="shared" si="43"/>
        <v>17046450</v>
      </c>
      <c r="U74" s="60">
        <f t="shared" si="44"/>
        <v>584926184.22744608</v>
      </c>
      <c r="V74" s="193"/>
      <c r="W74" s="169">
        <v>70</v>
      </c>
      <c r="X74" s="1">
        <f t="shared" si="66"/>
        <v>47649</v>
      </c>
      <c r="Y74" s="60">
        <f>IF($X74&lt;Input!$H$58,IF($X74&lt;Input!$G$58,IF($X74&lt;Input!$F$58,IF($X74&lt;Input!$E$58,IF($X74&lt;Input!$D$58,Input!$C$64,Input!$D$64),Input!$E$64),Input!$F$64),Input!$G$64),Input!$H$64)</f>
        <v>0</v>
      </c>
      <c r="Z74" s="190">
        <f>IF($A74&lt;Input!$H$65,IF($A74&lt;Input!$G$65,IF($A74&lt;Input!$F$65,IF($A74&lt;Input!$E$65,IF($A74&lt;Input!$D$65,Input!$C$66,Input!$D$66),Input!$E$66),Input!$F$66),Input!$G$66),Input!$H$66)</f>
        <v>0.9</v>
      </c>
      <c r="AA74" s="60">
        <f t="shared" si="45"/>
        <v>0</v>
      </c>
      <c r="AB74" s="60">
        <f t="shared" si="67"/>
        <v>31</v>
      </c>
      <c r="AC74" s="60">
        <f t="shared" si="46"/>
        <v>0</v>
      </c>
      <c r="AD74" s="60">
        <f>ROUND(AC74*AB74*Input!$C$3/365,0)</f>
        <v>0</v>
      </c>
      <c r="AE74" s="61">
        <f>IF($A74&lt;=Input!$C$6,0,IF('Fixed Tenure'!AA74&lt;'Fixed Tenure'!AC74,'Fixed Tenure'!AA74-AD74,'Fixed Tenure'!AC74))</f>
        <v>0</v>
      </c>
      <c r="AF74" s="61">
        <f t="shared" si="47"/>
        <v>0</v>
      </c>
      <c r="AG74" s="60">
        <f t="shared" si="48"/>
        <v>0</v>
      </c>
      <c r="AH74" s="193"/>
      <c r="AI74" s="169">
        <v>70</v>
      </c>
      <c r="AJ74" s="1">
        <f t="shared" si="68"/>
        <v>47649</v>
      </c>
      <c r="AK74" s="60">
        <f>IF($X74&lt;Input!$H$73,IF($X74&lt;Input!$G$73,IF($X74&lt;Input!$F$73,IF($X74&lt;Input!$E$73,IF($X74&lt;Input!$D$73,Input!$C$79,Input!$D$79),Input!$E$79),Input!$F$79),Input!$G$79),Input!$H$79)</f>
        <v>0</v>
      </c>
      <c r="AL74" s="190">
        <f>IF($A74&lt;Input!$H$80,IF($A74&lt;Input!$G$80,IF($A74&lt;Input!$F$80,IF($A74&lt;Input!$E$80,IF($A74&lt;Input!$D$80,Input!$C$81,Input!$D$81),Input!$E$81),Input!$F$81),Input!$G$81),Input!$H$81)</f>
        <v>0.9</v>
      </c>
      <c r="AM74" s="60">
        <f t="shared" si="49"/>
        <v>0</v>
      </c>
      <c r="AN74" s="60">
        <f t="shared" si="69"/>
        <v>31</v>
      </c>
      <c r="AO74" s="60">
        <f t="shared" si="50"/>
        <v>0</v>
      </c>
      <c r="AP74" s="60">
        <f>ROUND(AO74*AN74*Input!$C$3/365,0)</f>
        <v>0</v>
      </c>
      <c r="AQ74" s="61">
        <f>IF($A74&lt;=Input!$C$6,0,IF('Fixed Tenure'!AM74&lt;'Fixed Tenure'!AO74,'Fixed Tenure'!AM74-AP74,'Fixed Tenure'!AO74))</f>
        <v>0</v>
      </c>
      <c r="AR74" s="61">
        <f t="shared" si="51"/>
        <v>0</v>
      </c>
      <c r="AS74" s="60">
        <f t="shared" si="52"/>
        <v>0</v>
      </c>
      <c r="AT74" s="193"/>
      <c r="AU74" s="169">
        <v>70</v>
      </c>
      <c r="AV74" s="1">
        <f t="shared" si="70"/>
        <v>47649</v>
      </c>
      <c r="AW74" s="60">
        <f>IF($X74&lt;Input!$H$88,IF($X74&lt;Input!$G$88,IF($X74&lt;Input!$F$88,IF($X74&lt;Input!$E$88,IF($X74&lt;Input!$D$88,Input!$C$94,Input!$D$94),Input!$E$94),Input!$F$94),Input!$G$94),Input!$H$94)</f>
        <v>0</v>
      </c>
      <c r="AX74" s="190">
        <f>IF($A74&lt;Input!$H$95,IF($A74&lt;Input!$G$95,IF($A74&lt;Input!$F$95,IF($A74&lt;Input!$E$95,IF($A74&lt;Input!$D$95,Input!$C$96,Input!$D$96),Input!$E$96),Input!$F$96),Input!$G$96),Input!$H$96)</f>
        <v>0.9</v>
      </c>
      <c r="AY74" s="60">
        <f t="shared" si="53"/>
        <v>0</v>
      </c>
      <c r="AZ74" s="60">
        <f t="shared" si="71"/>
        <v>31</v>
      </c>
      <c r="BA74" s="60">
        <f t="shared" si="54"/>
        <v>0</v>
      </c>
      <c r="BB74" s="60">
        <f>ROUND(BA74*AZ74*Input!$C$3/365,0)</f>
        <v>0</v>
      </c>
      <c r="BC74" s="61">
        <f>IF($A74&lt;=Input!$C$6,0,IF('Fixed Tenure'!AY74&lt;'Fixed Tenure'!BA74,'Fixed Tenure'!AY74-BB74,'Fixed Tenure'!BA74))</f>
        <v>0</v>
      </c>
      <c r="BD74" s="61">
        <f t="shared" si="55"/>
        <v>0</v>
      </c>
      <c r="BE74" s="60">
        <f t="shared" si="56"/>
        <v>0</v>
      </c>
      <c r="BF74" s="193"/>
      <c r="BG74" s="169">
        <v>70</v>
      </c>
      <c r="BH74" s="1">
        <f t="shared" si="72"/>
        <v>47649</v>
      </c>
      <c r="BI74" s="60">
        <f>IF($X74&lt;Input!$H$103,IF($X74&lt;Input!$G$103,IF($X74&lt;Input!$F$103,IF($X74&lt;Input!$E$103,IF($X74&lt;Input!$D$103,Input!$C$109,Input!$D$109),Input!$E$109),Input!$F$109),Input!$G$109),Input!$H$109)</f>
        <v>0</v>
      </c>
      <c r="BJ74" s="190">
        <f>IF($A74&lt;Input!$H$110,IF($A74&lt;Input!$G$110,IF($A74&lt;Input!$F$110,IF($A74&lt;Input!$E$110,IF($A74&lt;Input!$D$110,Input!$C$111,Input!$D$111),Input!$E$111),Input!$F$111),Input!$G$111),Input!$H$111)</f>
        <v>0.9</v>
      </c>
      <c r="BK74" s="60">
        <f t="shared" si="57"/>
        <v>0</v>
      </c>
      <c r="BL74" s="60">
        <f t="shared" si="73"/>
        <v>31</v>
      </c>
      <c r="BM74" s="60">
        <f t="shared" si="58"/>
        <v>0</v>
      </c>
      <c r="BN74" s="60">
        <f>ROUND(BM74*BL74*Input!$C$3/365,0)</f>
        <v>0</v>
      </c>
      <c r="BO74" s="61">
        <f>IF($A74&lt;=Input!$C$6,0,IF('Fixed Tenure'!BK74&lt;'Fixed Tenure'!BM74,'Fixed Tenure'!BK74-BN74,'Fixed Tenure'!BM74))</f>
        <v>0</v>
      </c>
      <c r="BP74" s="61">
        <f t="shared" si="59"/>
        <v>0</v>
      </c>
      <c r="BQ74" s="60">
        <f t="shared" si="60"/>
        <v>0</v>
      </c>
      <c r="BR74" s="198"/>
    </row>
    <row r="75" spans="1:70" x14ac:dyDescent="0.25">
      <c r="A75" s="169">
        <v>71</v>
      </c>
      <c r="B75" s="1">
        <f t="shared" si="61"/>
        <v>47679</v>
      </c>
      <c r="C75" s="60">
        <f t="shared" si="39"/>
        <v>18940500</v>
      </c>
      <c r="D75" s="60">
        <f t="shared" si="40"/>
        <v>17046450</v>
      </c>
      <c r="E75" s="60">
        <f t="shared" si="62"/>
        <v>30</v>
      </c>
      <c r="F75" s="60">
        <f t="shared" si="63"/>
        <v>584926184.22744608</v>
      </c>
      <c r="G75" s="60">
        <f>ROUND(F75*E75*Input!$C$3/365,0)</f>
        <v>7211419</v>
      </c>
      <c r="H75" s="60">
        <f>IF($A75&lt;=Input!$C$6,0,IF('Fixed Tenure'!D75&lt;'Fixed Tenure'!F75,'Fixed Tenure'!D75-G75,'Fixed Tenure'!F75))</f>
        <v>9835031</v>
      </c>
      <c r="I75" s="60">
        <f t="shared" si="64"/>
        <v>17046450</v>
      </c>
      <c r="J75" s="60">
        <f t="shared" si="65"/>
        <v>575091153.22744608</v>
      </c>
      <c r="K75" s="202">
        <f>J75/Input!$K$5</f>
        <v>1.9169705107581536</v>
      </c>
      <c r="L75" s="232"/>
      <c r="M75" s="60">
        <f>IF($B75&lt;Input!$H$43,IF($B75&lt;Input!$G$43,IF($B75&lt;Input!$F$43,IF($B75&lt;Input!$E$43,IF($B75&lt;Input!$D$43,Input!$C$49,Input!$D$49),Input!$E$49),Input!$F$49),Input!$G$49),Input!$H$49)</f>
        <v>18940500</v>
      </c>
      <c r="N75" s="190">
        <f>IF($A75&lt;Input!$H$50,IF($A75&lt;Input!$G$50,IF($A75&lt;Input!$F$50,IF($A75&lt;Input!$E$50,IF($A75&lt;Input!$D$50,Input!$C$51,Input!$D$51),Input!$E$51),Input!$F$51),Input!$G$51),Input!$H$51)</f>
        <v>0.9</v>
      </c>
      <c r="O75" s="60">
        <f t="shared" si="38"/>
        <v>17046450</v>
      </c>
      <c r="P75" s="60">
        <f t="shared" si="41"/>
        <v>30</v>
      </c>
      <c r="Q75" s="60">
        <f t="shared" si="42"/>
        <v>584926184.22744608</v>
      </c>
      <c r="R75" s="60">
        <f>ROUND(Q75*$P75*Input!$C$3/365,0)</f>
        <v>7211419</v>
      </c>
      <c r="S75" s="60">
        <f>IF(A75&lt;=Input!$C$6,0,IF('Fixed Tenure'!O75&lt;'Fixed Tenure'!Q75,'Fixed Tenure'!O75-R75,'Fixed Tenure'!Q75))</f>
        <v>9835031</v>
      </c>
      <c r="T75" s="60">
        <f t="shared" si="43"/>
        <v>17046450</v>
      </c>
      <c r="U75" s="60">
        <f t="shared" si="44"/>
        <v>575091153.22744608</v>
      </c>
      <c r="V75" s="193"/>
      <c r="W75" s="169">
        <v>71</v>
      </c>
      <c r="X75" s="1">
        <f t="shared" si="66"/>
        <v>47679</v>
      </c>
      <c r="Y75" s="60">
        <f>IF($X75&lt;Input!$H$58,IF($X75&lt;Input!$G$58,IF($X75&lt;Input!$F$58,IF($X75&lt;Input!$E$58,IF($X75&lt;Input!$D$58,Input!$C$64,Input!$D$64),Input!$E$64),Input!$F$64),Input!$G$64),Input!$H$64)</f>
        <v>0</v>
      </c>
      <c r="Z75" s="190">
        <f>IF($A75&lt;Input!$H$65,IF($A75&lt;Input!$G$65,IF($A75&lt;Input!$F$65,IF($A75&lt;Input!$E$65,IF($A75&lt;Input!$D$65,Input!$C$66,Input!$D$66),Input!$E$66),Input!$F$66),Input!$G$66),Input!$H$66)</f>
        <v>0.9</v>
      </c>
      <c r="AA75" s="60">
        <f t="shared" si="45"/>
        <v>0</v>
      </c>
      <c r="AB75" s="60">
        <f t="shared" si="67"/>
        <v>30</v>
      </c>
      <c r="AC75" s="60">
        <f t="shared" si="46"/>
        <v>0</v>
      </c>
      <c r="AD75" s="60">
        <f>ROUND(AC75*AB75*Input!$C$3/365,0)</f>
        <v>0</v>
      </c>
      <c r="AE75" s="61">
        <f>IF($A75&lt;=Input!$C$6,0,IF('Fixed Tenure'!AA75&lt;'Fixed Tenure'!AC75,'Fixed Tenure'!AA75-AD75,'Fixed Tenure'!AC75))</f>
        <v>0</v>
      </c>
      <c r="AF75" s="61">
        <f t="shared" si="47"/>
        <v>0</v>
      </c>
      <c r="AG75" s="60">
        <f t="shared" si="48"/>
        <v>0</v>
      </c>
      <c r="AH75" s="193"/>
      <c r="AI75" s="169">
        <v>71</v>
      </c>
      <c r="AJ75" s="1">
        <f t="shared" si="68"/>
        <v>47679</v>
      </c>
      <c r="AK75" s="60">
        <f>IF($X75&lt;Input!$H$73,IF($X75&lt;Input!$G$73,IF($X75&lt;Input!$F$73,IF($X75&lt;Input!$E$73,IF($X75&lt;Input!$D$73,Input!$C$79,Input!$D$79),Input!$E$79),Input!$F$79),Input!$G$79),Input!$H$79)</f>
        <v>0</v>
      </c>
      <c r="AL75" s="190">
        <f>IF($A75&lt;Input!$H$80,IF($A75&lt;Input!$G$80,IF($A75&lt;Input!$F$80,IF($A75&lt;Input!$E$80,IF($A75&lt;Input!$D$80,Input!$C$81,Input!$D$81),Input!$E$81),Input!$F$81),Input!$G$81),Input!$H$81)</f>
        <v>0.9</v>
      </c>
      <c r="AM75" s="60">
        <f t="shared" si="49"/>
        <v>0</v>
      </c>
      <c r="AN75" s="60">
        <f t="shared" si="69"/>
        <v>30</v>
      </c>
      <c r="AO75" s="60">
        <f t="shared" si="50"/>
        <v>0</v>
      </c>
      <c r="AP75" s="60">
        <f>ROUND(AO75*AN75*Input!$C$3/365,0)</f>
        <v>0</v>
      </c>
      <c r="AQ75" s="61">
        <f>IF($A75&lt;=Input!$C$6,0,IF('Fixed Tenure'!AM75&lt;'Fixed Tenure'!AO75,'Fixed Tenure'!AM75-AP75,'Fixed Tenure'!AO75))</f>
        <v>0</v>
      </c>
      <c r="AR75" s="61">
        <f t="shared" si="51"/>
        <v>0</v>
      </c>
      <c r="AS75" s="60">
        <f t="shared" si="52"/>
        <v>0</v>
      </c>
      <c r="AT75" s="193"/>
      <c r="AU75" s="169">
        <v>71</v>
      </c>
      <c r="AV75" s="1">
        <f t="shared" si="70"/>
        <v>47679</v>
      </c>
      <c r="AW75" s="60">
        <f>IF($X75&lt;Input!$H$88,IF($X75&lt;Input!$G$88,IF($X75&lt;Input!$F$88,IF($X75&lt;Input!$E$88,IF($X75&lt;Input!$D$88,Input!$C$94,Input!$D$94),Input!$E$94),Input!$F$94),Input!$G$94),Input!$H$94)</f>
        <v>0</v>
      </c>
      <c r="AX75" s="190">
        <f>IF($A75&lt;Input!$H$95,IF($A75&lt;Input!$G$95,IF($A75&lt;Input!$F$95,IF($A75&lt;Input!$E$95,IF($A75&lt;Input!$D$95,Input!$C$96,Input!$D$96),Input!$E$96),Input!$F$96),Input!$G$96),Input!$H$96)</f>
        <v>0.9</v>
      </c>
      <c r="AY75" s="60">
        <f t="shared" si="53"/>
        <v>0</v>
      </c>
      <c r="AZ75" s="60">
        <f t="shared" si="71"/>
        <v>30</v>
      </c>
      <c r="BA75" s="60">
        <f t="shared" si="54"/>
        <v>0</v>
      </c>
      <c r="BB75" s="60">
        <f>ROUND(BA75*AZ75*Input!$C$3/365,0)</f>
        <v>0</v>
      </c>
      <c r="BC75" s="61">
        <f>IF($A75&lt;=Input!$C$6,0,IF('Fixed Tenure'!AY75&lt;'Fixed Tenure'!BA75,'Fixed Tenure'!AY75-BB75,'Fixed Tenure'!BA75))</f>
        <v>0</v>
      </c>
      <c r="BD75" s="61">
        <f t="shared" si="55"/>
        <v>0</v>
      </c>
      <c r="BE75" s="60">
        <f t="shared" si="56"/>
        <v>0</v>
      </c>
      <c r="BF75" s="193"/>
      <c r="BG75" s="169">
        <v>71</v>
      </c>
      <c r="BH75" s="1">
        <f t="shared" si="72"/>
        <v>47679</v>
      </c>
      <c r="BI75" s="60">
        <f>IF($X75&lt;Input!$H$103,IF($X75&lt;Input!$G$103,IF($X75&lt;Input!$F$103,IF($X75&lt;Input!$E$103,IF($X75&lt;Input!$D$103,Input!$C$109,Input!$D$109),Input!$E$109),Input!$F$109),Input!$G$109),Input!$H$109)</f>
        <v>0</v>
      </c>
      <c r="BJ75" s="190">
        <f>IF($A75&lt;Input!$H$110,IF($A75&lt;Input!$G$110,IF($A75&lt;Input!$F$110,IF($A75&lt;Input!$E$110,IF($A75&lt;Input!$D$110,Input!$C$111,Input!$D$111),Input!$E$111),Input!$F$111),Input!$G$111),Input!$H$111)</f>
        <v>0.9</v>
      </c>
      <c r="BK75" s="60">
        <f t="shared" si="57"/>
        <v>0</v>
      </c>
      <c r="BL75" s="60">
        <f t="shared" si="73"/>
        <v>30</v>
      </c>
      <c r="BM75" s="60">
        <f t="shared" si="58"/>
        <v>0</v>
      </c>
      <c r="BN75" s="60">
        <f>ROUND(BM75*BL75*Input!$C$3/365,0)</f>
        <v>0</v>
      </c>
      <c r="BO75" s="61">
        <f>IF($A75&lt;=Input!$C$6,0,IF('Fixed Tenure'!BK75&lt;'Fixed Tenure'!BM75,'Fixed Tenure'!BK75-BN75,'Fixed Tenure'!BM75))</f>
        <v>0</v>
      </c>
      <c r="BP75" s="61">
        <f t="shared" si="59"/>
        <v>0</v>
      </c>
      <c r="BQ75" s="60">
        <f t="shared" si="60"/>
        <v>0</v>
      </c>
      <c r="BR75" s="198"/>
    </row>
    <row r="76" spans="1:70" x14ac:dyDescent="0.25">
      <c r="A76" s="169">
        <v>72</v>
      </c>
      <c r="B76" s="1">
        <f t="shared" si="61"/>
        <v>47710</v>
      </c>
      <c r="C76" s="60">
        <f t="shared" si="39"/>
        <v>18940500</v>
      </c>
      <c r="D76" s="60">
        <f t="shared" si="40"/>
        <v>17046450</v>
      </c>
      <c r="E76" s="60">
        <f t="shared" si="62"/>
        <v>31</v>
      </c>
      <c r="F76" s="60">
        <f t="shared" si="63"/>
        <v>575091153.22744608</v>
      </c>
      <c r="G76" s="60">
        <f>ROUND(F76*E76*Input!$C$3/365,0)</f>
        <v>7326504</v>
      </c>
      <c r="H76" s="60">
        <f>IF($A76&lt;=Input!$C$6,0,IF('Fixed Tenure'!D76&lt;'Fixed Tenure'!F76,'Fixed Tenure'!D76-G76,'Fixed Tenure'!F76))</f>
        <v>9719946</v>
      </c>
      <c r="I76" s="60">
        <f t="shared" si="64"/>
        <v>17046450</v>
      </c>
      <c r="J76" s="60">
        <f t="shared" si="65"/>
        <v>565371207.22744608</v>
      </c>
      <c r="K76" s="202">
        <f>J76/Input!$K$5</f>
        <v>1.8845706907581536</v>
      </c>
      <c r="L76" s="232"/>
      <c r="M76" s="60">
        <f>IF($B76&lt;Input!$H$43,IF($B76&lt;Input!$G$43,IF($B76&lt;Input!$F$43,IF($B76&lt;Input!$E$43,IF($B76&lt;Input!$D$43,Input!$C$49,Input!$D$49),Input!$E$49),Input!$F$49),Input!$G$49),Input!$H$49)</f>
        <v>18940500</v>
      </c>
      <c r="N76" s="190">
        <f>IF($A76&lt;Input!$H$50,IF($A76&lt;Input!$G$50,IF($A76&lt;Input!$F$50,IF($A76&lt;Input!$E$50,IF($A76&lt;Input!$D$50,Input!$C$51,Input!$D$51),Input!$E$51),Input!$F$51),Input!$G$51),Input!$H$51)</f>
        <v>0.9</v>
      </c>
      <c r="O76" s="60">
        <f t="shared" si="38"/>
        <v>17046450</v>
      </c>
      <c r="P76" s="60">
        <f t="shared" si="41"/>
        <v>31</v>
      </c>
      <c r="Q76" s="60">
        <f t="shared" si="42"/>
        <v>575091153.22744608</v>
      </c>
      <c r="R76" s="60">
        <f>ROUND(Q76*$P76*Input!$C$3/365,0)</f>
        <v>7326504</v>
      </c>
      <c r="S76" s="60">
        <f>IF(A76&lt;=Input!$C$6,0,IF('Fixed Tenure'!O76&lt;'Fixed Tenure'!Q76,'Fixed Tenure'!O76-R76,'Fixed Tenure'!Q76))</f>
        <v>9719946</v>
      </c>
      <c r="T76" s="60">
        <f t="shared" si="43"/>
        <v>17046450</v>
      </c>
      <c r="U76" s="60">
        <f t="shared" si="44"/>
        <v>565371207.22744608</v>
      </c>
      <c r="V76" s="193"/>
      <c r="W76" s="169">
        <v>72</v>
      </c>
      <c r="X76" s="1">
        <f t="shared" si="66"/>
        <v>47710</v>
      </c>
      <c r="Y76" s="60">
        <f>IF($X76&lt;Input!$H$58,IF($X76&lt;Input!$G$58,IF($X76&lt;Input!$F$58,IF($X76&lt;Input!$E$58,IF($X76&lt;Input!$D$58,Input!$C$64,Input!$D$64),Input!$E$64),Input!$F$64),Input!$G$64),Input!$H$64)</f>
        <v>0</v>
      </c>
      <c r="Z76" s="190">
        <f>IF($A76&lt;Input!$H$65,IF($A76&lt;Input!$G$65,IF($A76&lt;Input!$F$65,IF($A76&lt;Input!$E$65,IF($A76&lt;Input!$D$65,Input!$C$66,Input!$D$66),Input!$E$66),Input!$F$66),Input!$G$66),Input!$H$66)</f>
        <v>0.9</v>
      </c>
      <c r="AA76" s="60">
        <f t="shared" si="45"/>
        <v>0</v>
      </c>
      <c r="AB76" s="60">
        <f t="shared" si="67"/>
        <v>31</v>
      </c>
      <c r="AC76" s="60">
        <f t="shared" si="46"/>
        <v>0</v>
      </c>
      <c r="AD76" s="60">
        <f>ROUND(AC76*AB76*Input!$C$3/365,0)</f>
        <v>0</v>
      </c>
      <c r="AE76" s="61">
        <f>IF($A76&lt;=Input!$C$6,0,IF('Fixed Tenure'!AA76&lt;'Fixed Tenure'!AC76,'Fixed Tenure'!AA76-AD76,'Fixed Tenure'!AC76))</f>
        <v>0</v>
      </c>
      <c r="AF76" s="61">
        <f t="shared" si="47"/>
        <v>0</v>
      </c>
      <c r="AG76" s="60">
        <f t="shared" si="48"/>
        <v>0</v>
      </c>
      <c r="AH76" s="193"/>
      <c r="AI76" s="169">
        <v>72</v>
      </c>
      <c r="AJ76" s="1">
        <f t="shared" si="68"/>
        <v>47710</v>
      </c>
      <c r="AK76" s="60">
        <f>IF($X76&lt;Input!$H$73,IF($X76&lt;Input!$G$73,IF($X76&lt;Input!$F$73,IF($X76&lt;Input!$E$73,IF($X76&lt;Input!$D$73,Input!$C$79,Input!$D$79),Input!$E$79),Input!$F$79),Input!$G$79),Input!$H$79)</f>
        <v>0</v>
      </c>
      <c r="AL76" s="190">
        <f>IF($A76&lt;Input!$H$80,IF($A76&lt;Input!$G$80,IF($A76&lt;Input!$F$80,IF($A76&lt;Input!$E$80,IF($A76&lt;Input!$D$80,Input!$C$81,Input!$D$81),Input!$E$81),Input!$F$81),Input!$G$81),Input!$H$81)</f>
        <v>0.9</v>
      </c>
      <c r="AM76" s="60">
        <f t="shared" si="49"/>
        <v>0</v>
      </c>
      <c r="AN76" s="60">
        <f t="shared" si="69"/>
        <v>31</v>
      </c>
      <c r="AO76" s="60">
        <f t="shared" si="50"/>
        <v>0</v>
      </c>
      <c r="AP76" s="60">
        <f>ROUND(AO76*AN76*Input!$C$3/365,0)</f>
        <v>0</v>
      </c>
      <c r="AQ76" s="61">
        <f>IF($A76&lt;=Input!$C$6,0,IF('Fixed Tenure'!AM76&lt;'Fixed Tenure'!AO76,'Fixed Tenure'!AM76-AP76,'Fixed Tenure'!AO76))</f>
        <v>0</v>
      </c>
      <c r="AR76" s="61">
        <f t="shared" si="51"/>
        <v>0</v>
      </c>
      <c r="AS76" s="60">
        <f t="shared" si="52"/>
        <v>0</v>
      </c>
      <c r="AT76" s="193"/>
      <c r="AU76" s="169">
        <v>72</v>
      </c>
      <c r="AV76" s="1">
        <f t="shared" si="70"/>
        <v>47710</v>
      </c>
      <c r="AW76" s="60">
        <f>IF($X76&lt;Input!$H$88,IF($X76&lt;Input!$G$88,IF($X76&lt;Input!$F$88,IF($X76&lt;Input!$E$88,IF($X76&lt;Input!$D$88,Input!$C$94,Input!$D$94),Input!$E$94),Input!$F$94),Input!$G$94),Input!$H$94)</f>
        <v>0</v>
      </c>
      <c r="AX76" s="190">
        <f>IF($A76&lt;Input!$H$95,IF($A76&lt;Input!$G$95,IF($A76&lt;Input!$F$95,IF($A76&lt;Input!$E$95,IF($A76&lt;Input!$D$95,Input!$C$96,Input!$D$96),Input!$E$96),Input!$F$96),Input!$G$96),Input!$H$96)</f>
        <v>0.9</v>
      </c>
      <c r="AY76" s="60">
        <f t="shared" si="53"/>
        <v>0</v>
      </c>
      <c r="AZ76" s="60">
        <f t="shared" si="71"/>
        <v>31</v>
      </c>
      <c r="BA76" s="60">
        <f t="shared" si="54"/>
        <v>0</v>
      </c>
      <c r="BB76" s="60">
        <f>ROUND(BA76*AZ76*Input!$C$3/365,0)</f>
        <v>0</v>
      </c>
      <c r="BC76" s="61">
        <f>IF($A76&lt;=Input!$C$6,0,IF('Fixed Tenure'!AY76&lt;'Fixed Tenure'!BA76,'Fixed Tenure'!AY76-BB76,'Fixed Tenure'!BA76))</f>
        <v>0</v>
      </c>
      <c r="BD76" s="61">
        <f t="shared" si="55"/>
        <v>0</v>
      </c>
      <c r="BE76" s="60">
        <f t="shared" si="56"/>
        <v>0</v>
      </c>
      <c r="BF76" s="193"/>
      <c r="BG76" s="169">
        <v>72</v>
      </c>
      <c r="BH76" s="1">
        <f t="shared" si="72"/>
        <v>47710</v>
      </c>
      <c r="BI76" s="60">
        <f>IF($X76&lt;Input!$H$103,IF($X76&lt;Input!$G$103,IF($X76&lt;Input!$F$103,IF($X76&lt;Input!$E$103,IF($X76&lt;Input!$D$103,Input!$C$109,Input!$D$109),Input!$E$109),Input!$F$109),Input!$G$109),Input!$H$109)</f>
        <v>0</v>
      </c>
      <c r="BJ76" s="190">
        <f>IF($A76&lt;Input!$H$110,IF($A76&lt;Input!$G$110,IF($A76&lt;Input!$F$110,IF($A76&lt;Input!$E$110,IF($A76&lt;Input!$D$110,Input!$C$111,Input!$D$111),Input!$E$111),Input!$F$111),Input!$G$111),Input!$H$111)</f>
        <v>0.9</v>
      </c>
      <c r="BK76" s="60">
        <f t="shared" si="57"/>
        <v>0</v>
      </c>
      <c r="BL76" s="60">
        <f t="shared" si="73"/>
        <v>31</v>
      </c>
      <c r="BM76" s="60">
        <f t="shared" si="58"/>
        <v>0</v>
      </c>
      <c r="BN76" s="60">
        <f>ROUND(BM76*BL76*Input!$C$3/365,0)</f>
        <v>0</v>
      </c>
      <c r="BO76" s="61">
        <f>IF($A76&lt;=Input!$C$6,0,IF('Fixed Tenure'!BK76&lt;'Fixed Tenure'!BM76,'Fixed Tenure'!BK76-BN76,'Fixed Tenure'!BM76))</f>
        <v>0</v>
      </c>
      <c r="BP76" s="61">
        <f t="shared" si="59"/>
        <v>0</v>
      </c>
      <c r="BQ76" s="60">
        <f t="shared" si="60"/>
        <v>0</v>
      </c>
      <c r="BR76" s="198"/>
    </row>
    <row r="77" spans="1:70" x14ac:dyDescent="0.25">
      <c r="A77" s="169">
        <v>73</v>
      </c>
      <c r="B77" s="1">
        <f t="shared" si="61"/>
        <v>47741</v>
      </c>
      <c r="C77" s="60">
        <f t="shared" si="39"/>
        <v>21781574.999999996</v>
      </c>
      <c r="D77" s="60">
        <f t="shared" si="40"/>
        <v>19603417.499999996</v>
      </c>
      <c r="E77" s="60">
        <f t="shared" si="62"/>
        <v>31</v>
      </c>
      <c r="F77" s="60">
        <f t="shared" si="63"/>
        <v>565371207.22744608</v>
      </c>
      <c r="G77" s="60">
        <f>ROUND(F77*E77*Input!$C$3/365,0)</f>
        <v>7202674</v>
      </c>
      <c r="H77" s="60">
        <f>IF($A77&lt;=Input!$C$6,0,IF('Fixed Tenure'!D77&lt;'Fixed Tenure'!F77,'Fixed Tenure'!D77-G77,'Fixed Tenure'!F77))</f>
        <v>12400743.499999996</v>
      </c>
      <c r="I77" s="60">
        <f t="shared" si="64"/>
        <v>19603417.499999996</v>
      </c>
      <c r="J77" s="60">
        <f t="shared" si="65"/>
        <v>552970463.72744608</v>
      </c>
      <c r="K77" s="202">
        <f>J77/Input!$K$5</f>
        <v>1.843234879091487</v>
      </c>
      <c r="L77" s="232"/>
      <c r="M77" s="60">
        <f>IF($B77&lt;Input!$H$43,IF($B77&lt;Input!$G$43,IF($B77&lt;Input!$F$43,IF($B77&lt;Input!$E$43,IF($B77&lt;Input!$D$43,Input!$C$49,Input!$D$49),Input!$E$49),Input!$F$49),Input!$G$49),Input!$H$49)</f>
        <v>21781574.999999996</v>
      </c>
      <c r="N77" s="190">
        <f>IF($A77&lt;Input!$H$50,IF($A77&lt;Input!$G$50,IF($A77&lt;Input!$F$50,IF($A77&lt;Input!$E$50,IF($A77&lt;Input!$D$50,Input!$C$51,Input!$D$51),Input!$E$51),Input!$F$51),Input!$G$51),Input!$H$51)</f>
        <v>0.9</v>
      </c>
      <c r="O77" s="60">
        <f t="shared" si="38"/>
        <v>19603417.499999996</v>
      </c>
      <c r="P77" s="60">
        <f t="shared" si="41"/>
        <v>31</v>
      </c>
      <c r="Q77" s="60">
        <f t="shared" si="42"/>
        <v>565371207.22744608</v>
      </c>
      <c r="R77" s="60">
        <f>ROUND(Q77*$P77*Input!$C$3/365,0)</f>
        <v>7202674</v>
      </c>
      <c r="S77" s="60">
        <f>IF(A77&lt;=Input!$C$6,0,IF('Fixed Tenure'!O77&lt;'Fixed Tenure'!Q77,'Fixed Tenure'!O77-R77,'Fixed Tenure'!Q77))</f>
        <v>12400743.499999996</v>
      </c>
      <c r="T77" s="60">
        <f t="shared" si="43"/>
        <v>19603417.499999996</v>
      </c>
      <c r="U77" s="60">
        <f t="shared" si="44"/>
        <v>552970463.72744608</v>
      </c>
      <c r="V77" s="193"/>
      <c r="W77" s="169">
        <v>73</v>
      </c>
      <c r="X77" s="1">
        <f t="shared" si="66"/>
        <v>47741</v>
      </c>
      <c r="Y77" s="60">
        <f>IF($X77&lt;Input!$H$58,IF($X77&lt;Input!$G$58,IF($X77&lt;Input!$F$58,IF($X77&lt;Input!$E$58,IF($X77&lt;Input!$D$58,Input!$C$64,Input!$D$64),Input!$E$64),Input!$F$64),Input!$G$64),Input!$H$64)</f>
        <v>0</v>
      </c>
      <c r="Z77" s="190">
        <f>IF($A77&lt;Input!$H$65,IF($A77&lt;Input!$G$65,IF($A77&lt;Input!$F$65,IF($A77&lt;Input!$E$65,IF($A77&lt;Input!$D$65,Input!$C$66,Input!$D$66),Input!$E$66),Input!$F$66),Input!$G$66),Input!$H$66)</f>
        <v>0.9</v>
      </c>
      <c r="AA77" s="60">
        <f t="shared" si="45"/>
        <v>0</v>
      </c>
      <c r="AB77" s="60">
        <f t="shared" si="67"/>
        <v>31</v>
      </c>
      <c r="AC77" s="60">
        <f t="shared" si="46"/>
        <v>0</v>
      </c>
      <c r="AD77" s="60">
        <f>ROUND(AC77*AB77*Input!$C$3/365,0)</f>
        <v>0</v>
      </c>
      <c r="AE77" s="61">
        <f>IF($A77&lt;=Input!$C$6,0,IF('Fixed Tenure'!AA77&lt;'Fixed Tenure'!AC77,'Fixed Tenure'!AA77-AD77,'Fixed Tenure'!AC77))</f>
        <v>0</v>
      </c>
      <c r="AF77" s="61">
        <f t="shared" si="47"/>
        <v>0</v>
      </c>
      <c r="AG77" s="60">
        <f t="shared" si="48"/>
        <v>0</v>
      </c>
      <c r="AH77" s="193"/>
      <c r="AI77" s="169">
        <v>73</v>
      </c>
      <c r="AJ77" s="1">
        <f t="shared" si="68"/>
        <v>47741</v>
      </c>
      <c r="AK77" s="60">
        <f>IF($X77&lt;Input!$H$73,IF($X77&lt;Input!$G$73,IF($X77&lt;Input!$F$73,IF($X77&lt;Input!$E$73,IF($X77&lt;Input!$D$73,Input!$C$79,Input!$D$79),Input!$E$79),Input!$F$79),Input!$G$79),Input!$H$79)</f>
        <v>0</v>
      </c>
      <c r="AL77" s="190">
        <f>IF($A77&lt;Input!$H$80,IF($A77&lt;Input!$G$80,IF($A77&lt;Input!$F$80,IF($A77&lt;Input!$E$80,IF($A77&lt;Input!$D$80,Input!$C$81,Input!$D$81),Input!$E$81),Input!$F$81),Input!$G$81),Input!$H$81)</f>
        <v>0.9</v>
      </c>
      <c r="AM77" s="60">
        <f t="shared" si="49"/>
        <v>0</v>
      </c>
      <c r="AN77" s="60">
        <f t="shared" si="69"/>
        <v>31</v>
      </c>
      <c r="AO77" s="60">
        <f t="shared" si="50"/>
        <v>0</v>
      </c>
      <c r="AP77" s="60">
        <f>ROUND(AO77*AN77*Input!$C$3/365,0)</f>
        <v>0</v>
      </c>
      <c r="AQ77" s="61">
        <f>IF($A77&lt;=Input!$C$6,0,IF('Fixed Tenure'!AM77&lt;'Fixed Tenure'!AO77,'Fixed Tenure'!AM77-AP77,'Fixed Tenure'!AO77))</f>
        <v>0</v>
      </c>
      <c r="AR77" s="61">
        <f t="shared" si="51"/>
        <v>0</v>
      </c>
      <c r="AS77" s="60">
        <f t="shared" si="52"/>
        <v>0</v>
      </c>
      <c r="AT77" s="193"/>
      <c r="AU77" s="169">
        <v>73</v>
      </c>
      <c r="AV77" s="1">
        <f t="shared" si="70"/>
        <v>47741</v>
      </c>
      <c r="AW77" s="60">
        <f>IF($X77&lt;Input!$H$88,IF($X77&lt;Input!$G$88,IF($X77&lt;Input!$F$88,IF($X77&lt;Input!$E$88,IF($X77&lt;Input!$D$88,Input!$C$94,Input!$D$94),Input!$E$94),Input!$F$94),Input!$G$94),Input!$H$94)</f>
        <v>0</v>
      </c>
      <c r="AX77" s="190">
        <f>IF($A77&lt;Input!$H$95,IF($A77&lt;Input!$G$95,IF($A77&lt;Input!$F$95,IF($A77&lt;Input!$E$95,IF($A77&lt;Input!$D$95,Input!$C$96,Input!$D$96),Input!$E$96),Input!$F$96),Input!$G$96),Input!$H$96)</f>
        <v>0.9</v>
      </c>
      <c r="AY77" s="60">
        <f t="shared" si="53"/>
        <v>0</v>
      </c>
      <c r="AZ77" s="60">
        <f t="shared" si="71"/>
        <v>31</v>
      </c>
      <c r="BA77" s="60">
        <f t="shared" si="54"/>
        <v>0</v>
      </c>
      <c r="BB77" s="60">
        <f>ROUND(BA77*AZ77*Input!$C$3/365,0)</f>
        <v>0</v>
      </c>
      <c r="BC77" s="61">
        <f>IF($A77&lt;=Input!$C$6,0,IF('Fixed Tenure'!AY77&lt;'Fixed Tenure'!BA77,'Fixed Tenure'!AY77-BB77,'Fixed Tenure'!BA77))</f>
        <v>0</v>
      </c>
      <c r="BD77" s="61">
        <f t="shared" si="55"/>
        <v>0</v>
      </c>
      <c r="BE77" s="60">
        <f t="shared" si="56"/>
        <v>0</v>
      </c>
      <c r="BF77" s="193"/>
      <c r="BG77" s="169">
        <v>73</v>
      </c>
      <c r="BH77" s="1">
        <f t="shared" si="72"/>
        <v>47741</v>
      </c>
      <c r="BI77" s="60">
        <f>IF($X77&lt;Input!$H$103,IF($X77&lt;Input!$G$103,IF($X77&lt;Input!$F$103,IF($X77&lt;Input!$E$103,IF($X77&lt;Input!$D$103,Input!$C$109,Input!$D$109),Input!$E$109),Input!$F$109),Input!$G$109),Input!$H$109)</f>
        <v>0</v>
      </c>
      <c r="BJ77" s="190">
        <f>IF($A77&lt;Input!$H$110,IF($A77&lt;Input!$G$110,IF($A77&lt;Input!$F$110,IF($A77&lt;Input!$E$110,IF($A77&lt;Input!$D$110,Input!$C$111,Input!$D$111),Input!$E$111),Input!$F$111),Input!$G$111),Input!$H$111)</f>
        <v>0.9</v>
      </c>
      <c r="BK77" s="60">
        <f t="shared" si="57"/>
        <v>0</v>
      </c>
      <c r="BL77" s="60">
        <f t="shared" si="73"/>
        <v>31</v>
      </c>
      <c r="BM77" s="60">
        <f t="shared" si="58"/>
        <v>0</v>
      </c>
      <c r="BN77" s="60">
        <f>ROUND(BM77*BL77*Input!$C$3/365,0)</f>
        <v>0</v>
      </c>
      <c r="BO77" s="61">
        <f>IF($A77&lt;=Input!$C$6,0,IF('Fixed Tenure'!BK77&lt;'Fixed Tenure'!BM77,'Fixed Tenure'!BK77-BN77,'Fixed Tenure'!BM77))</f>
        <v>0</v>
      </c>
      <c r="BP77" s="61">
        <f t="shared" si="59"/>
        <v>0</v>
      </c>
      <c r="BQ77" s="60">
        <f t="shared" si="60"/>
        <v>0</v>
      </c>
      <c r="BR77" s="198"/>
    </row>
    <row r="78" spans="1:70" x14ac:dyDescent="0.25">
      <c r="A78" s="169">
        <v>74</v>
      </c>
      <c r="B78" s="1">
        <f t="shared" si="61"/>
        <v>47771</v>
      </c>
      <c r="C78" s="60">
        <f t="shared" si="39"/>
        <v>21781574.999999996</v>
      </c>
      <c r="D78" s="60">
        <f t="shared" si="40"/>
        <v>19603417.499999996</v>
      </c>
      <c r="E78" s="60">
        <f t="shared" si="62"/>
        <v>30</v>
      </c>
      <c r="F78" s="60">
        <f t="shared" si="63"/>
        <v>552970463.72744608</v>
      </c>
      <c r="G78" s="60">
        <f>ROUND(F78*E78*Input!$C$3/365,0)</f>
        <v>6817444</v>
      </c>
      <c r="H78" s="60">
        <f>IF($A78&lt;=Input!$C$6,0,IF('Fixed Tenure'!D78&lt;'Fixed Tenure'!F78,'Fixed Tenure'!D78-G78,'Fixed Tenure'!F78))</f>
        <v>12785973.499999996</v>
      </c>
      <c r="I78" s="60">
        <f t="shared" si="64"/>
        <v>19603417.499999996</v>
      </c>
      <c r="J78" s="60">
        <f t="shared" si="65"/>
        <v>540184490.22744608</v>
      </c>
      <c r="K78" s="202">
        <f>J78/Input!$K$5</f>
        <v>1.8006149674248202</v>
      </c>
      <c r="L78" s="232"/>
      <c r="M78" s="60">
        <f>IF($B78&lt;Input!$H$43,IF($B78&lt;Input!$G$43,IF($B78&lt;Input!$F$43,IF($B78&lt;Input!$E$43,IF($B78&lt;Input!$D$43,Input!$C$49,Input!$D$49),Input!$E$49),Input!$F$49),Input!$G$49),Input!$H$49)</f>
        <v>21781574.999999996</v>
      </c>
      <c r="N78" s="190">
        <f>IF($A78&lt;Input!$H$50,IF($A78&lt;Input!$G$50,IF($A78&lt;Input!$F$50,IF($A78&lt;Input!$E$50,IF($A78&lt;Input!$D$50,Input!$C$51,Input!$D$51),Input!$E$51),Input!$F$51),Input!$G$51),Input!$H$51)</f>
        <v>0.9</v>
      </c>
      <c r="O78" s="60">
        <f t="shared" si="38"/>
        <v>19603417.499999996</v>
      </c>
      <c r="P78" s="60">
        <f t="shared" si="41"/>
        <v>30</v>
      </c>
      <c r="Q78" s="60">
        <f t="shared" si="42"/>
        <v>552970463.72744608</v>
      </c>
      <c r="R78" s="60">
        <f>ROUND(Q78*$P78*Input!$C$3/365,0)</f>
        <v>6817444</v>
      </c>
      <c r="S78" s="60">
        <f>IF(A78&lt;=Input!$C$6,0,IF('Fixed Tenure'!O78&lt;'Fixed Tenure'!Q78,'Fixed Tenure'!O78-R78,'Fixed Tenure'!Q78))</f>
        <v>12785973.499999996</v>
      </c>
      <c r="T78" s="60">
        <f t="shared" si="43"/>
        <v>19603417.499999996</v>
      </c>
      <c r="U78" s="60">
        <f t="shared" si="44"/>
        <v>540184490.22744608</v>
      </c>
      <c r="V78" s="193"/>
      <c r="W78" s="169">
        <v>74</v>
      </c>
      <c r="X78" s="1">
        <f t="shared" si="66"/>
        <v>47771</v>
      </c>
      <c r="Y78" s="60">
        <f>IF($X78&lt;Input!$H$58,IF($X78&lt;Input!$G$58,IF($X78&lt;Input!$F$58,IF($X78&lt;Input!$E$58,IF($X78&lt;Input!$D$58,Input!$C$64,Input!$D$64),Input!$E$64),Input!$F$64),Input!$G$64),Input!$H$64)</f>
        <v>0</v>
      </c>
      <c r="Z78" s="190">
        <f>IF($A78&lt;Input!$H$65,IF($A78&lt;Input!$G$65,IF($A78&lt;Input!$F$65,IF($A78&lt;Input!$E$65,IF($A78&lt;Input!$D$65,Input!$C$66,Input!$D$66),Input!$E$66),Input!$F$66),Input!$G$66),Input!$H$66)</f>
        <v>0.9</v>
      </c>
      <c r="AA78" s="60">
        <f t="shared" si="45"/>
        <v>0</v>
      </c>
      <c r="AB78" s="60">
        <f t="shared" si="67"/>
        <v>30</v>
      </c>
      <c r="AC78" s="60">
        <f t="shared" si="46"/>
        <v>0</v>
      </c>
      <c r="AD78" s="60">
        <f>ROUND(AC78*AB78*Input!$C$3/365,0)</f>
        <v>0</v>
      </c>
      <c r="AE78" s="61">
        <f>IF($A78&lt;=Input!$C$6,0,IF('Fixed Tenure'!AA78&lt;'Fixed Tenure'!AC78,'Fixed Tenure'!AA78-AD78,'Fixed Tenure'!AC78))</f>
        <v>0</v>
      </c>
      <c r="AF78" s="61">
        <f t="shared" si="47"/>
        <v>0</v>
      </c>
      <c r="AG78" s="60">
        <f t="shared" si="48"/>
        <v>0</v>
      </c>
      <c r="AH78" s="193"/>
      <c r="AI78" s="169">
        <v>74</v>
      </c>
      <c r="AJ78" s="1">
        <f t="shared" si="68"/>
        <v>47771</v>
      </c>
      <c r="AK78" s="60">
        <f>IF($X78&lt;Input!$H$73,IF($X78&lt;Input!$G$73,IF($X78&lt;Input!$F$73,IF($X78&lt;Input!$E$73,IF($X78&lt;Input!$D$73,Input!$C$79,Input!$D$79),Input!$E$79),Input!$F$79),Input!$G$79),Input!$H$79)</f>
        <v>0</v>
      </c>
      <c r="AL78" s="190">
        <f>IF($A78&lt;Input!$H$80,IF($A78&lt;Input!$G$80,IF($A78&lt;Input!$F$80,IF($A78&lt;Input!$E$80,IF($A78&lt;Input!$D$80,Input!$C$81,Input!$D$81),Input!$E$81),Input!$F$81),Input!$G$81),Input!$H$81)</f>
        <v>0.9</v>
      </c>
      <c r="AM78" s="60">
        <f t="shared" si="49"/>
        <v>0</v>
      </c>
      <c r="AN78" s="60">
        <f t="shared" si="69"/>
        <v>30</v>
      </c>
      <c r="AO78" s="60">
        <f t="shared" si="50"/>
        <v>0</v>
      </c>
      <c r="AP78" s="60">
        <f>ROUND(AO78*AN78*Input!$C$3/365,0)</f>
        <v>0</v>
      </c>
      <c r="AQ78" s="61">
        <f>IF($A78&lt;=Input!$C$6,0,IF('Fixed Tenure'!AM78&lt;'Fixed Tenure'!AO78,'Fixed Tenure'!AM78-AP78,'Fixed Tenure'!AO78))</f>
        <v>0</v>
      </c>
      <c r="AR78" s="61">
        <f t="shared" si="51"/>
        <v>0</v>
      </c>
      <c r="AS78" s="60">
        <f t="shared" si="52"/>
        <v>0</v>
      </c>
      <c r="AT78" s="193"/>
      <c r="AU78" s="169">
        <v>74</v>
      </c>
      <c r="AV78" s="1">
        <f t="shared" si="70"/>
        <v>47771</v>
      </c>
      <c r="AW78" s="60">
        <f>IF($X78&lt;Input!$H$88,IF($X78&lt;Input!$G$88,IF($X78&lt;Input!$F$88,IF($X78&lt;Input!$E$88,IF($X78&lt;Input!$D$88,Input!$C$94,Input!$D$94),Input!$E$94),Input!$F$94),Input!$G$94),Input!$H$94)</f>
        <v>0</v>
      </c>
      <c r="AX78" s="190">
        <f>IF($A78&lt;Input!$H$95,IF($A78&lt;Input!$G$95,IF($A78&lt;Input!$F$95,IF($A78&lt;Input!$E$95,IF($A78&lt;Input!$D$95,Input!$C$96,Input!$D$96),Input!$E$96),Input!$F$96),Input!$G$96),Input!$H$96)</f>
        <v>0.9</v>
      </c>
      <c r="AY78" s="60">
        <f t="shared" si="53"/>
        <v>0</v>
      </c>
      <c r="AZ78" s="60">
        <f t="shared" si="71"/>
        <v>30</v>
      </c>
      <c r="BA78" s="60">
        <f t="shared" si="54"/>
        <v>0</v>
      </c>
      <c r="BB78" s="60">
        <f>ROUND(BA78*AZ78*Input!$C$3/365,0)</f>
        <v>0</v>
      </c>
      <c r="BC78" s="61">
        <f>IF($A78&lt;=Input!$C$6,0,IF('Fixed Tenure'!AY78&lt;'Fixed Tenure'!BA78,'Fixed Tenure'!AY78-BB78,'Fixed Tenure'!BA78))</f>
        <v>0</v>
      </c>
      <c r="BD78" s="61">
        <f t="shared" si="55"/>
        <v>0</v>
      </c>
      <c r="BE78" s="60">
        <f t="shared" si="56"/>
        <v>0</v>
      </c>
      <c r="BF78" s="193"/>
      <c r="BG78" s="169">
        <v>74</v>
      </c>
      <c r="BH78" s="1">
        <f t="shared" si="72"/>
        <v>47771</v>
      </c>
      <c r="BI78" s="60">
        <f>IF($X78&lt;Input!$H$103,IF($X78&lt;Input!$G$103,IF($X78&lt;Input!$F$103,IF($X78&lt;Input!$E$103,IF($X78&lt;Input!$D$103,Input!$C$109,Input!$D$109),Input!$E$109),Input!$F$109),Input!$G$109),Input!$H$109)</f>
        <v>0</v>
      </c>
      <c r="BJ78" s="190">
        <f>IF($A78&lt;Input!$H$110,IF($A78&lt;Input!$G$110,IF($A78&lt;Input!$F$110,IF($A78&lt;Input!$E$110,IF($A78&lt;Input!$D$110,Input!$C$111,Input!$D$111),Input!$E$111),Input!$F$111),Input!$G$111),Input!$H$111)</f>
        <v>0.9</v>
      </c>
      <c r="BK78" s="60">
        <f t="shared" si="57"/>
        <v>0</v>
      </c>
      <c r="BL78" s="60">
        <f t="shared" si="73"/>
        <v>30</v>
      </c>
      <c r="BM78" s="60">
        <f t="shared" si="58"/>
        <v>0</v>
      </c>
      <c r="BN78" s="60">
        <f>ROUND(BM78*BL78*Input!$C$3/365,0)</f>
        <v>0</v>
      </c>
      <c r="BO78" s="61">
        <f>IF($A78&lt;=Input!$C$6,0,IF('Fixed Tenure'!BK78&lt;'Fixed Tenure'!BM78,'Fixed Tenure'!BK78-BN78,'Fixed Tenure'!BM78))</f>
        <v>0</v>
      </c>
      <c r="BP78" s="61">
        <f t="shared" si="59"/>
        <v>0</v>
      </c>
      <c r="BQ78" s="60">
        <f t="shared" si="60"/>
        <v>0</v>
      </c>
      <c r="BR78" s="198"/>
    </row>
    <row r="79" spans="1:70" x14ac:dyDescent="0.25">
      <c r="A79" s="169">
        <v>75</v>
      </c>
      <c r="B79" s="1">
        <f t="shared" si="61"/>
        <v>47802</v>
      </c>
      <c r="C79" s="60">
        <f t="shared" si="39"/>
        <v>21781574.999999996</v>
      </c>
      <c r="D79" s="60">
        <f t="shared" si="40"/>
        <v>19603417.499999996</v>
      </c>
      <c r="E79" s="60">
        <f t="shared" si="62"/>
        <v>31</v>
      </c>
      <c r="F79" s="60">
        <f t="shared" si="63"/>
        <v>540184490.22744608</v>
      </c>
      <c r="G79" s="60">
        <f>ROUND(F79*E79*Input!$C$3/365,0)</f>
        <v>6881802</v>
      </c>
      <c r="H79" s="60">
        <f>IF($A79&lt;=Input!$C$6,0,IF('Fixed Tenure'!D79&lt;'Fixed Tenure'!F79,'Fixed Tenure'!D79-G79,'Fixed Tenure'!F79))</f>
        <v>12721615.499999996</v>
      </c>
      <c r="I79" s="60">
        <f t="shared" si="64"/>
        <v>19603417.499999996</v>
      </c>
      <c r="J79" s="60">
        <f t="shared" si="65"/>
        <v>527462874.72744608</v>
      </c>
      <c r="K79" s="202">
        <f>J79/Input!$K$5</f>
        <v>1.7582095824248203</v>
      </c>
      <c r="L79" s="232"/>
      <c r="M79" s="60">
        <f>IF($B79&lt;Input!$H$43,IF($B79&lt;Input!$G$43,IF($B79&lt;Input!$F$43,IF($B79&lt;Input!$E$43,IF($B79&lt;Input!$D$43,Input!$C$49,Input!$D$49),Input!$E$49),Input!$F$49),Input!$G$49),Input!$H$49)</f>
        <v>21781574.999999996</v>
      </c>
      <c r="N79" s="190">
        <f>IF($A79&lt;Input!$H$50,IF($A79&lt;Input!$G$50,IF($A79&lt;Input!$F$50,IF($A79&lt;Input!$E$50,IF($A79&lt;Input!$D$50,Input!$C$51,Input!$D$51),Input!$E$51),Input!$F$51),Input!$G$51),Input!$H$51)</f>
        <v>0.9</v>
      </c>
      <c r="O79" s="60">
        <f t="shared" si="38"/>
        <v>19603417.499999996</v>
      </c>
      <c r="P79" s="60">
        <f t="shared" si="41"/>
        <v>31</v>
      </c>
      <c r="Q79" s="60">
        <f t="shared" si="42"/>
        <v>540184490.22744608</v>
      </c>
      <c r="R79" s="60">
        <f>ROUND(Q79*$P79*Input!$C$3/365,0)</f>
        <v>6881802</v>
      </c>
      <c r="S79" s="60">
        <f>IF(A79&lt;=Input!$C$6,0,IF('Fixed Tenure'!O79&lt;'Fixed Tenure'!Q79,'Fixed Tenure'!O79-R79,'Fixed Tenure'!Q79))</f>
        <v>12721615.499999996</v>
      </c>
      <c r="T79" s="60">
        <f t="shared" si="43"/>
        <v>19603417.499999996</v>
      </c>
      <c r="U79" s="60">
        <f t="shared" si="44"/>
        <v>527462874.72744608</v>
      </c>
      <c r="V79" s="193"/>
      <c r="W79" s="169">
        <v>75</v>
      </c>
      <c r="X79" s="1">
        <f t="shared" si="66"/>
        <v>47802</v>
      </c>
      <c r="Y79" s="60">
        <f>IF($X79&lt;Input!$H$58,IF($X79&lt;Input!$G$58,IF($X79&lt;Input!$F$58,IF($X79&lt;Input!$E$58,IF($X79&lt;Input!$D$58,Input!$C$64,Input!$D$64),Input!$E$64),Input!$F$64),Input!$G$64),Input!$H$64)</f>
        <v>0</v>
      </c>
      <c r="Z79" s="190">
        <f>IF($A79&lt;Input!$H$65,IF($A79&lt;Input!$G$65,IF($A79&lt;Input!$F$65,IF($A79&lt;Input!$E$65,IF($A79&lt;Input!$D$65,Input!$C$66,Input!$D$66),Input!$E$66),Input!$F$66),Input!$G$66),Input!$H$66)</f>
        <v>0.9</v>
      </c>
      <c r="AA79" s="60">
        <f t="shared" si="45"/>
        <v>0</v>
      </c>
      <c r="AB79" s="60">
        <f t="shared" si="67"/>
        <v>31</v>
      </c>
      <c r="AC79" s="60">
        <f t="shared" si="46"/>
        <v>0</v>
      </c>
      <c r="AD79" s="60">
        <f>ROUND(AC79*AB79*Input!$C$3/365,0)</f>
        <v>0</v>
      </c>
      <c r="AE79" s="61">
        <f>IF($A79&lt;=Input!$C$6,0,IF('Fixed Tenure'!AA79&lt;'Fixed Tenure'!AC79,'Fixed Tenure'!AA79-AD79,'Fixed Tenure'!AC79))</f>
        <v>0</v>
      </c>
      <c r="AF79" s="61">
        <f t="shared" si="47"/>
        <v>0</v>
      </c>
      <c r="AG79" s="60">
        <f t="shared" si="48"/>
        <v>0</v>
      </c>
      <c r="AH79" s="193"/>
      <c r="AI79" s="169">
        <v>75</v>
      </c>
      <c r="AJ79" s="1">
        <f t="shared" si="68"/>
        <v>47802</v>
      </c>
      <c r="AK79" s="60">
        <f>IF($X79&lt;Input!$H$73,IF($X79&lt;Input!$G$73,IF($X79&lt;Input!$F$73,IF($X79&lt;Input!$E$73,IF($X79&lt;Input!$D$73,Input!$C$79,Input!$D$79),Input!$E$79),Input!$F$79),Input!$G$79),Input!$H$79)</f>
        <v>0</v>
      </c>
      <c r="AL79" s="190">
        <f>IF($A79&lt;Input!$H$80,IF($A79&lt;Input!$G$80,IF($A79&lt;Input!$F$80,IF($A79&lt;Input!$E$80,IF($A79&lt;Input!$D$80,Input!$C$81,Input!$D$81),Input!$E$81),Input!$F$81),Input!$G$81),Input!$H$81)</f>
        <v>0.9</v>
      </c>
      <c r="AM79" s="60">
        <f t="shared" si="49"/>
        <v>0</v>
      </c>
      <c r="AN79" s="60">
        <f t="shared" si="69"/>
        <v>31</v>
      </c>
      <c r="AO79" s="60">
        <f t="shared" si="50"/>
        <v>0</v>
      </c>
      <c r="AP79" s="60">
        <f>ROUND(AO79*AN79*Input!$C$3/365,0)</f>
        <v>0</v>
      </c>
      <c r="AQ79" s="61">
        <f>IF($A79&lt;=Input!$C$6,0,IF('Fixed Tenure'!AM79&lt;'Fixed Tenure'!AO79,'Fixed Tenure'!AM79-AP79,'Fixed Tenure'!AO79))</f>
        <v>0</v>
      </c>
      <c r="AR79" s="61">
        <f t="shared" si="51"/>
        <v>0</v>
      </c>
      <c r="AS79" s="60">
        <f t="shared" si="52"/>
        <v>0</v>
      </c>
      <c r="AT79" s="193"/>
      <c r="AU79" s="169">
        <v>75</v>
      </c>
      <c r="AV79" s="1">
        <f t="shared" si="70"/>
        <v>47802</v>
      </c>
      <c r="AW79" s="60">
        <f>IF($X79&lt;Input!$H$88,IF($X79&lt;Input!$G$88,IF($X79&lt;Input!$F$88,IF($X79&lt;Input!$E$88,IF($X79&lt;Input!$D$88,Input!$C$94,Input!$D$94),Input!$E$94),Input!$F$94),Input!$G$94),Input!$H$94)</f>
        <v>0</v>
      </c>
      <c r="AX79" s="190">
        <f>IF($A79&lt;Input!$H$95,IF($A79&lt;Input!$G$95,IF($A79&lt;Input!$F$95,IF($A79&lt;Input!$E$95,IF($A79&lt;Input!$D$95,Input!$C$96,Input!$D$96),Input!$E$96),Input!$F$96),Input!$G$96),Input!$H$96)</f>
        <v>0.9</v>
      </c>
      <c r="AY79" s="60">
        <f t="shared" si="53"/>
        <v>0</v>
      </c>
      <c r="AZ79" s="60">
        <f t="shared" si="71"/>
        <v>31</v>
      </c>
      <c r="BA79" s="60">
        <f t="shared" si="54"/>
        <v>0</v>
      </c>
      <c r="BB79" s="60">
        <f>ROUND(BA79*AZ79*Input!$C$3/365,0)</f>
        <v>0</v>
      </c>
      <c r="BC79" s="61">
        <f>IF($A79&lt;=Input!$C$6,0,IF('Fixed Tenure'!AY79&lt;'Fixed Tenure'!BA79,'Fixed Tenure'!AY79-BB79,'Fixed Tenure'!BA79))</f>
        <v>0</v>
      </c>
      <c r="BD79" s="61">
        <f t="shared" si="55"/>
        <v>0</v>
      </c>
      <c r="BE79" s="60">
        <f t="shared" si="56"/>
        <v>0</v>
      </c>
      <c r="BF79" s="193"/>
      <c r="BG79" s="169">
        <v>75</v>
      </c>
      <c r="BH79" s="1">
        <f t="shared" si="72"/>
        <v>47802</v>
      </c>
      <c r="BI79" s="60">
        <f>IF($X79&lt;Input!$H$103,IF($X79&lt;Input!$G$103,IF($X79&lt;Input!$F$103,IF($X79&lt;Input!$E$103,IF($X79&lt;Input!$D$103,Input!$C$109,Input!$D$109),Input!$E$109),Input!$F$109),Input!$G$109),Input!$H$109)</f>
        <v>0</v>
      </c>
      <c r="BJ79" s="190">
        <f>IF($A79&lt;Input!$H$110,IF($A79&lt;Input!$G$110,IF($A79&lt;Input!$F$110,IF($A79&lt;Input!$E$110,IF($A79&lt;Input!$D$110,Input!$C$111,Input!$D$111),Input!$E$111),Input!$F$111),Input!$G$111),Input!$H$111)</f>
        <v>0.9</v>
      </c>
      <c r="BK79" s="60">
        <f t="shared" si="57"/>
        <v>0</v>
      </c>
      <c r="BL79" s="60">
        <f t="shared" si="73"/>
        <v>31</v>
      </c>
      <c r="BM79" s="60">
        <f t="shared" si="58"/>
        <v>0</v>
      </c>
      <c r="BN79" s="60">
        <f>ROUND(BM79*BL79*Input!$C$3/365,0)</f>
        <v>0</v>
      </c>
      <c r="BO79" s="61">
        <f>IF($A79&lt;=Input!$C$6,0,IF('Fixed Tenure'!BK79&lt;'Fixed Tenure'!BM79,'Fixed Tenure'!BK79-BN79,'Fixed Tenure'!BM79))</f>
        <v>0</v>
      </c>
      <c r="BP79" s="61">
        <f t="shared" si="59"/>
        <v>0</v>
      </c>
      <c r="BQ79" s="60">
        <f t="shared" si="60"/>
        <v>0</v>
      </c>
      <c r="BR79" s="198"/>
    </row>
    <row r="80" spans="1:70" x14ac:dyDescent="0.25">
      <c r="A80" s="169">
        <v>76</v>
      </c>
      <c r="B80" s="1">
        <f t="shared" si="61"/>
        <v>47832</v>
      </c>
      <c r="C80" s="60">
        <f t="shared" si="39"/>
        <v>21781574.999999996</v>
      </c>
      <c r="D80" s="60">
        <f t="shared" si="40"/>
        <v>19603417.499999996</v>
      </c>
      <c r="E80" s="60">
        <f t="shared" si="62"/>
        <v>30</v>
      </c>
      <c r="F80" s="60">
        <f t="shared" si="63"/>
        <v>527462874.72744608</v>
      </c>
      <c r="G80" s="60">
        <f>ROUND(F80*E80*Input!$C$3/365,0)</f>
        <v>6502967</v>
      </c>
      <c r="H80" s="60">
        <f>IF($A80&lt;=Input!$C$6,0,IF('Fixed Tenure'!D80&lt;'Fixed Tenure'!F80,'Fixed Tenure'!D80-G80,'Fixed Tenure'!F80))</f>
        <v>13100450.499999996</v>
      </c>
      <c r="I80" s="60">
        <f t="shared" si="64"/>
        <v>19603417.499999996</v>
      </c>
      <c r="J80" s="60">
        <f t="shared" si="65"/>
        <v>514362424.22744608</v>
      </c>
      <c r="K80" s="202">
        <f>J80/Input!$K$5</f>
        <v>1.714541414091487</v>
      </c>
      <c r="L80" s="232"/>
      <c r="M80" s="60">
        <f>IF($B80&lt;Input!$H$43,IF($B80&lt;Input!$G$43,IF($B80&lt;Input!$F$43,IF($B80&lt;Input!$E$43,IF($B80&lt;Input!$D$43,Input!$C$49,Input!$D$49),Input!$E$49),Input!$F$49),Input!$G$49),Input!$H$49)</f>
        <v>21781574.999999996</v>
      </c>
      <c r="N80" s="190">
        <f>IF($A80&lt;Input!$H$50,IF($A80&lt;Input!$G$50,IF($A80&lt;Input!$F$50,IF($A80&lt;Input!$E$50,IF($A80&lt;Input!$D$50,Input!$C$51,Input!$D$51),Input!$E$51),Input!$F$51),Input!$G$51),Input!$H$51)</f>
        <v>0.9</v>
      </c>
      <c r="O80" s="60">
        <f t="shared" si="38"/>
        <v>19603417.499999996</v>
      </c>
      <c r="P80" s="60">
        <f t="shared" si="41"/>
        <v>30</v>
      </c>
      <c r="Q80" s="60">
        <f t="shared" si="42"/>
        <v>527462874.72744608</v>
      </c>
      <c r="R80" s="60">
        <f>ROUND(Q80*$P80*Input!$C$3/365,0)</f>
        <v>6502967</v>
      </c>
      <c r="S80" s="60">
        <f>IF(A80&lt;=Input!$C$6,0,IF('Fixed Tenure'!O80&lt;'Fixed Tenure'!Q80,'Fixed Tenure'!O80-R80,'Fixed Tenure'!Q80))</f>
        <v>13100450.499999996</v>
      </c>
      <c r="T80" s="60">
        <f t="shared" si="43"/>
        <v>19603417.499999996</v>
      </c>
      <c r="U80" s="60">
        <f t="shared" si="44"/>
        <v>514362424.22744608</v>
      </c>
      <c r="V80" s="193"/>
      <c r="W80" s="169">
        <v>76</v>
      </c>
      <c r="X80" s="1">
        <f t="shared" si="66"/>
        <v>47832</v>
      </c>
      <c r="Y80" s="60">
        <f>IF($X80&lt;Input!$H$58,IF($X80&lt;Input!$G$58,IF($X80&lt;Input!$F$58,IF($X80&lt;Input!$E$58,IF($X80&lt;Input!$D$58,Input!$C$64,Input!$D$64),Input!$E$64),Input!$F$64),Input!$G$64),Input!$H$64)</f>
        <v>0</v>
      </c>
      <c r="Z80" s="190">
        <f>IF($A80&lt;Input!$H$65,IF($A80&lt;Input!$G$65,IF($A80&lt;Input!$F$65,IF($A80&lt;Input!$E$65,IF($A80&lt;Input!$D$65,Input!$C$66,Input!$D$66),Input!$E$66),Input!$F$66),Input!$G$66),Input!$H$66)</f>
        <v>0.9</v>
      </c>
      <c r="AA80" s="60">
        <f t="shared" si="45"/>
        <v>0</v>
      </c>
      <c r="AB80" s="60">
        <f t="shared" si="67"/>
        <v>30</v>
      </c>
      <c r="AC80" s="60">
        <f t="shared" si="46"/>
        <v>0</v>
      </c>
      <c r="AD80" s="60">
        <f>ROUND(AC80*AB80*Input!$C$3/365,0)</f>
        <v>0</v>
      </c>
      <c r="AE80" s="61">
        <f>IF($A80&lt;=Input!$C$6,0,IF('Fixed Tenure'!AA80&lt;'Fixed Tenure'!AC80,'Fixed Tenure'!AA80-AD80,'Fixed Tenure'!AC80))</f>
        <v>0</v>
      </c>
      <c r="AF80" s="61">
        <f t="shared" si="47"/>
        <v>0</v>
      </c>
      <c r="AG80" s="60">
        <f t="shared" si="48"/>
        <v>0</v>
      </c>
      <c r="AH80" s="193"/>
      <c r="AI80" s="169">
        <v>76</v>
      </c>
      <c r="AJ80" s="1">
        <f t="shared" si="68"/>
        <v>47832</v>
      </c>
      <c r="AK80" s="60">
        <f>IF($X80&lt;Input!$H$73,IF($X80&lt;Input!$G$73,IF($X80&lt;Input!$F$73,IF($X80&lt;Input!$E$73,IF($X80&lt;Input!$D$73,Input!$C$79,Input!$D$79),Input!$E$79),Input!$F$79),Input!$G$79),Input!$H$79)</f>
        <v>0</v>
      </c>
      <c r="AL80" s="190">
        <f>IF($A80&lt;Input!$H$80,IF($A80&lt;Input!$G$80,IF($A80&lt;Input!$F$80,IF($A80&lt;Input!$E$80,IF($A80&lt;Input!$D$80,Input!$C$81,Input!$D$81),Input!$E$81),Input!$F$81),Input!$G$81),Input!$H$81)</f>
        <v>0.9</v>
      </c>
      <c r="AM80" s="60">
        <f t="shared" si="49"/>
        <v>0</v>
      </c>
      <c r="AN80" s="60">
        <f t="shared" si="69"/>
        <v>30</v>
      </c>
      <c r="AO80" s="60">
        <f t="shared" si="50"/>
        <v>0</v>
      </c>
      <c r="AP80" s="60">
        <f>ROUND(AO80*AN80*Input!$C$3/365,0)</f>
        <v>0</v>
      </c>
      <c r="AQ80" s="61">
        <f>IF($A80&lt;=Input!$C$6,0,IF('Fixed Tenure'!AM80&lt;'Fixed Tenure'!AO80,'Fixed Tenure'!AM80-AP80,'Fixed Tenure'!AO80))</f>
        <v>0</v>
      </c>
      <c r="AR80" s="61">
        <f t="shared" si="51"/>
        <v>0</v>
      </c>
      <c r="AS80" s="60">
        <f t="shared" si="52"/>
        <v>0</v>
      </c>
      <c r="AT80" s="193"/>
      <c r="AU80" s="169">
        <v>76</v>
      </c>
      <c r="AV80" s="1">
        <f t="shared" si="70"/>
        <v>47832</v>
      </c>
      <c r="AW80" s="60">
        <f>IF($X80&lt;Input!$H$88,IF($X80&lt;Input!$G$88,IF($X80&lt;Input!$F$88,IF($X80&lt;Input!$E$88,IF($X80&lt;Input!$D$88,Input!$C$94,Input!$D$94),Input!$E$94),Input!$F$94),Input!$G$94),Input!$H$94)</f>
        <v>0</v>
      </c>
      <c r="AX80" s="190">
        <f>IF($A80&lt;Input!$H$95,IF($A80&lt;Input!$G$95,IF($A80&lt;Input!$F$95,IF($A80&lt;Input!$E$95,IF($A80&lt;Input!$D$95,Input!$C$96,Input!$D$96),Input!$E$96),Input!$F$96),Input!$G$96),Input!$H$96)</f>
        <v>0.9</v>
      </c>
      <c r="AY80" s="60">
        <f t="shared" si="53"/>
        <v>0</v>
      </c>
      <c r="AZ80" s="60">
        <f t="shared" si="71"/>
        <v>30</v>
      </c>
      <c r="BA80" s="60">
        <f t="shared" si="54"/>
        <v>0</v>
      </c>
      <c r="BB80" s="60">
        <f>ROUND(BA80*AZ80*Input!$C$3/365,0)</f>
        <v>0</v>
      </c>
      <c r="BC80" s="61">
        <f>IF($A80&lt;=Input!$C$6,0,IF('Fixed Tenure'!AY80&lt;'Fixed Tenure'!BA80,'Fixed Tenure'!AY80-BB80,'Fixed Tenure'!BA80))</f>
        <v>0</v>
      </c>
      <c r="BD80" s="61">
        <f t="shared" si="55"/>
        <v>0</v>
      </c>
      <c r="BE80" s="60">
        <f t="shared" si="56"/>
        <v>0</v>
      </c>
      <c r="BF80" s="193"/>
      <c r="BG80" s="169">
        <v>76</v>
      </c>
      <c r="BH80" s="1">
        <f t="shared" si="72"/>
        <v>47832</v>
      </c>
      <c r="BI80" s="60">
        <f>IF($X80&lt;Input!$H$103,IF($X80&lt;Input!$G$103,IF($X80&lt;Input!$F$103,IF($X80&lt;Input!$E$103,IF($X80&lt;Input!$D$103,Input!$C$109,Input!$D$109),Input!$E$109),Input!$F$109),Input!$G$109),Input!$H$109)</f>
        <v>0</v>
      </c>
      <c r="BJ80" s="190">
        <f>IF($A80&lt;Input!$H$110,IF($A80&lt;Input!$G$110,IF($A80&lt;Input!$F$110,IF($A80&lt;Input!$E$110,IF($A80&lt;Input!$D$110,Input!$C$111,Input!$D$111),Input!$E$111),Input!$F$111),Input!$G$111),Input!$H$111)</f>
        <v>0.9</v>
      </c>
      <c r="BK80" s="60">
        <f t="shared" si="57"/>
        <v>0</v>
      </c>
      <c r="BL80" s="60">
        <f t="shared" si="73"/>
        <v>30</v>
      </c>
      <c r="BM80" s="60">
        <f t="shared" si="58"/>
        <v>0</v>
      </c>
      <c r="BN80" s="60">
        <f>ROUND(BM80*BL80*Input!$C$3/365,0)</f>
        <v>0</v>
      </c>
      <c r="BO80" s="61">
        <f>IF($A80&lt;=Input!$C$6,0,IF('Fixed Tenure'!BK80&lt;'Fixed Tenure'!BM80,'Fixed Tenure'!BK80-BN80,'Fixed Tenure'!BM80))</f>
        <v>0</v>
      </c>
      <c r="BP80" s="61">
        <f t="shared" si="59"/>
        <v>0</v>
      </c>
      <c r="BQ80" s="60">
        <f t="shared" si="60"/>
        <v>0</v>
      </c>
      <c r="BR80" s="198"/>
    </row>
    <row r="81" spans="1:70" x14ac:dyDescent="0.25">
      <c r="A81" s="169">
        <v>77</v>
      </c>
      <c r="B81" s="1">
        <f t="shared" si="61"/>
        <v>47863</v>
      </c>
      <c r="C81" s="60">
        <f t="shared" si="39"/>
        <v>21781574.999999996</v>
      </c>
      <c r="D81" s="60">
        <f t="shared" si="40"/>
        <v>19603417.499999996</v>
      </c>
      <c r="E81" s="60">
        <f t="shared" si="62"/>
        <v>31</v>
      </c>
      <c r="F81" s="60">
        <f t="shared" si="63"/>
        <v>514362424.22744608</v>
      </c>
      <c r="G81" s="60">
        <f>ROUND(F81*E81*Input!$C$3/365,0)</f>
        <v>6552836</v>
      </c>
      <c r="H81" s="60">
        <f>IF($A81&lt;=Input!$C$6,0,IF('Fixed Tenure'!D81&lt;'Fixed Tenure'!F81,'Fixed Tenure'!D81-G81,'Fixed Tenure'!F81))</f>
        <v>13050581.499999996</v>
      </c>
      <c r="I81" s="60">
        <f t="shared" si="64"/>
        <v>19603417.499999996</v>
      </c>
      <c r="J81" s="60">
        <f t="shared" si="65"/>
        <v>501311842.72744608</v>
      </c>
      <c r="K81" s="202">
        <f>J81/Input!$K$5</f>
        <v>1.6710394757581537</v>
      </c>
      <c r="L81" s="232"/>
      <c r="M81" s="60">
        <f>IF($B81&lt;Input!$H$43,IF($B81&lt;Input!$G$43,IF($B81&lt;Input!$F$43,IF($B81&lt;Input!$E$43,IF($B81&lt;Input!$D$43,Input!$C$49,Input!$D$49),Input!$E$49),Input!$F$49),Input!$G$49),Input!$H$49)</f>
        <v>21781574.999999996</v>
      </c>
      <c r="N81" s="190">
        <f>IF($A81&lt;Input!$H$50,IF($A81&lt;Input!$G$50,IF($A81&lt;Input!$F$50,IF($A81&lt;Input!$E$50,IF($A81&lt;Input!$D$50,Input!$C$51,Input!$D$51),Input!$E$51),Input!$F$51),Input!$G$51),Input!$H$51)</f>
        <v>0.9</v>
      </c>
      <c r="O81" s="60">
        <f t="shared" si="38"/>
        <v>19603417.499999996</v>
      </c>
      <c r="P81" s="60">
        <f t="shared" si="41"/>
        <v>31</v>
      </c>
      <c r="Q81" s="60">
        <f t="shared" si="42"/>
        <v>514362424.22744608</v>
      </c>
      <c r="R81" s="60">
        <f>ROUND(Q81*$P81*Input!$C$3/365,0)</f>
        <v>6552836</v>
      </c>
      <c r="S81" s="60">
        <f>IF(A81&lt;=Input!$C$6,0,IF('Fixed Tenure'!O81&lt;'Fixed Tenure'!Q81,'Fixed Tenure'!O81-R81,'Fixed Tenure'!Q81))</f>
        <v>13050581.499999996</v>
      </c>
      <c r="T81" s="60">
        <f t="shared" si="43"/>
        <v>19603417.499999996</v>
      </c>
      <c r="U81" s="60">
        <f t="shared" si="44"/>
        <v>501311842.72744608</v>
      </c>
      <c r="V81" s="193"/>
      <c r="W81" s="169">
        <v>77</v>
      </c>
      <c r="X81" s="1">
        <f t="shared" si="66"/>
        <v>47863</v>
      </c>
      <c r="Y81" s="60">
        <f>IF($X81&lt;Input!$H$58,IF($X81&lt;Input!$G$58,IF($X81&lt;Input!$F$58,IF($X81&lt;Input!$E$58,IF($X81&lt;Input!$D$58,Input!$C$64,Input!$D$64),Input!$E$64),Input!$F$64),Input!$G$64),Input!$H$64)</f>
        <v>0</v>
      </c>
      <c r="Z81" s="190">
        <f>IF($A81&lt;Input!$H$65,IF($A81&lt;Input!$G$65,IF($A81&lt;Input!$F$65,IF($A81&lt;Input!$E$65,IF($A81&lt;Input!$D$65,Input!$C$66,Input!$D$66),Input!$E$66),Input!$F$66),Input!$G$66),Input!$H$66)</f>
        <v>0.9</v>
      </c>
      <c r="AA81" s="60">
        <f t="shared" si="45"/>
        <v>0</v>
      </c>
      <c r="AB81" s="60">
        <f t="shared" si="67"/>
        <v>31</v>
      </c>
      <c r="AC81" s="60">
        <f t="shared" si="46"/>
        <v>0</v>
      </c>
      <c r="AD81" s="60">
        <f>ROUND(AC81*AB81*Input!$C$3/365,0)</f>
        <v>0</v>
      </c>
      <c r="AE81" s="61">
        <f>IF($A81&lt;=Input!$C$6,0,IF('Fixed Tenure'!AA81&lt;'Fixed Tenure'!AC81,'Fixed Tenure'!AA81-AD81,'Fixed Tenure'!AC81))</f>
        <v>0</v>
      </c>
      <c r="AF81" s="61">
        <f t="shared" si="47"/>
        <v>0</v>
      </c>
      <c r="AG81" s="60">
        <f t="shared" si="48"/>
        <v>0</v>
      </c>
      <c r="AH81" s="193"/>
      <c r="AI81" s="169">
        <v>77</v>
      </c>
      <c r="AJ81" s="1">
        <f t="shared" si="68"/>
        <v>47863</v>
      </c>
      <c r="AK81" s="60">
        <f>IF($X81&lt;Input!$H$73,IF($X81&lt;Input!$G$73,IF($X81&lt;Input!$F$73,IF($X81&lt;Input!$E$73,IF($X81&lt;Input!$D$73,Input!$C$79,Input!$D$79),Input!$E$79),Input!$F$79),Input!$G$79),Input!$H$79)</f>
        <v>0</v>
      </c>
      <c r="AL81" s="190">
        <f>IF($A81&lt;Input!$H$80,IF($A81&lt;Input!$G$80,IF($A81&lt;Input!$F$80,IF($A81&lt;Input!$E$80,IF($A81&lt;Input!$D$80,Input!$C$81,Input!$D$81),Input!$E$81),Input!$F$81),Input!$G$81),Input!$H$81)</f>
        <v>0.9</v>
      </c>
      <c r="AM81" s="60">
        <f t="shared" si="49"/>
        <v>0</v>
      </c>
      <c r="AN81" s="60">
        <f t="shared" si="69"/>
        <v>31</v>
      </c>
      <c r="AO81" s="60">
        <f t="shared" si="50"/>
        <v>0</v>
      </c>
      <c r="AP81" s="60">
        <f>ROUND(AO81*AN81*Input!$C$3/365,0)</f>
        <v>0</v>
      </c>
      <c r="AQ81" s="61">
        <f>IF($A81&lt;=Input!$C$6,0,IF('Fixed Tenure'!AM81&lt;'Fixed Tenure'!AO81,'Fixed Tenure'!AM81-AP81,'Fixed Tenure'!AO81))</f>
        <v>0</v>
      </c>
      <c r="AR81" s="61">
        <f t="shared" si="51"/>
        <v>0</v>
      </c>
      <c r="AS81" s="60">
        <f t="shared" si="52"/>
        <v>0</v>
      </c>
      <c r="AT81" s="193"/>
      <c r="AU81" s="169">
        <v>77</v>
      </c>
      <c r="AV81" s="1">
        <f t="shared" si="70"/>
        <v>47863</v>
      </c>
      <c r="AW81" s="60">
        <f>IF($X81&lt;Input!$H$88,IF($X81&lt;Input!$G$88,IF($X81&lt;Input!$F$88,IF($X81&lt;Input!$E$88,IF($X81&lt;Input!$D$88,Input!$C$94,Input!$D$94),Input!$E$94),Input!$F$94),Input!$G$94),Input!$H$94)</f>
        <v>0</v>
      </c>
      <c r="AX81" s="190">
        <f>IF($A81&lt;Input!$H$95,IF($A81&lt;Input!$G$95,IF($A81&lt;Input!$F$95,IF($A81&lt;Input!$E$95,IF($A81&lt;Input!$D$95,Input!$C$96,Input!$D$96),Input!$E$96),Input!$F$96),Input!$G$96),Input!$H$96)</f>
        <v>0.9</v>
      </c>
      <c r="AY81" s="60">
        <f t="shared" si="53"/>
        <v>0</v>
      </c>
      <c r="AZ81" s="60">
        <f t="shared" si="71"/>
        <v>31</v>
      </c>
      <c r="BA81" s="60">
        <f t="shared" si="54"/>
        <v>0</v>
      </c>
      <c r="BB81" s="60">
        <f>ROUND(BA81*AZ81*Input!$C$3/365,0)</f>
        <v>0</v>
      </c>
      <c r="BC81" s="61">
        <f>IF($A81&lt;=Input!$C$6,0,IF('Fixed Tenure'!AY81&lt;'Fixed Tenure'!BA81,'Fixed Tenure'!AY81-BB81,'Fixed Tenure'!BA81))</f>
        <v>0</v>
      </c>
      <c r="BD81" s="61">
        <f t="shared" si="55"/>
        <v>0</v>
      </c>
      <c r="BE81" s="60">
        <f t="shared" si="56"/>
        <v>0</v>
      </c>
      <c r="BF81" s="193"/>
      <c r="BG81" s="169">
        <v>77</v>
      </c>
      <c r="BH81" s="1">
        <f t="shared" si="72"/>
        <v>47863</v>
      </c>
      <c r="BI81" s="60">
        <f>IF($X81&lt;Input!$H$103,IF($X81&lt;Input!$G$103,IF($X81&lt;Input!$F$103,IF($X81&lt;Input!$E$103,IF($X81&lt;Input!$D$103,Input!$C$109,Input!$D$109),Input!$E$109),Input!$F$109),Input!$G$109),Input!$H$109)</f>
        <v>0</v>
      </c>
      <c r="BJ81" s="190">
        <f>IF($A81&lt;Input!$H$110,IF($A81&lt;Input!$G$110,IF($A81&lt;Input!$F$110,IF($A81&lt;Input!$E$110,IF($A81&lt;Input!$D$110,Input!$C$111,Input!$D$111),Input!$E$111),Input!$F$111),Input!$G$111),Input!$H$111)</f>
        <v>0.9</v>
      </c>
      <c r="BK81" s="60">
        <f t="shared" si="57"/>
        <v>0</v>
      </c>
      <c r="BL81" s="60">
        <f t="shared" si="73"/>
        <v>31</v>
      </c>
      <c r="BM81" s="60">
        <f t="shared" si="58"/>
        <v>0</v>
      </c>
      <c r="BN81" s="60">
        <f>ROUND(BM81*BL81*Input!$C$3/365,0)</f>
        <v>0</v>
      </c>
      <c r="BO81" s="61">
        <f>IF($A81&lt;=Input!$C$6,0,IF('Fixed Tenure'!BK81&lt;'Fixed Tenure'!BM81,'Fixed Tenure'!BK81-BN81,'Fixed Tenure'!BM81))</f>
        <v>0</v>
      </c>
      <c r="BP81" s="61">
        <f t="shared" si="59"/>
        <v>0</v>
      </c>
      <c r="BQ81" s="60">
        <f t="shared" si="60"/>
        <v>0</v>
      </c>
      <c r="BR81" s="198"/>
    </row>
    <row r="82" spans="1:70" x14ac:dyDescent="0.25">
      <c r="A82" s="169">
        <v>78</v>
      </c>
      <c r="B82" s="1">
        <f t="shared" si="61"/>
        <v>47894</v>
      </c>
      <c r="C82" s="60">
        <f t="shared" si="39"/>
        <v>21781574.999999996</v>
      </c>
      <c r="D82" s="60">
        <f t="shared" si="40"/>
        <v>19603417.499999996</v>
      </c>
      <c r="E82" s="60">
        <f t="shared" si="62"/>
        <v>31</v>
      </c>
      <c r="F82" s="60">
        <f t="shared" si="63"/>
        <v>501311842.72744608</v>
      </c>
      <c r="G82" s="60">
        <f>ROUND(F82*E82*Input!$C$3/365,0)</f>
        <v>6386576</v>
      </c>
      <c r="H82" s="60">
        <f>IF($A82&lt;=Input!$C$6,0,IF('Fixed Tenure'!D82&lt;'Fixed Tenure'!F82,'Fixed Tenure'!D82-G82,'Fixed Tenure'!F82))</f>
        <v>13216841.499999996</v>
      </c>
      <c r="I82" s="60">
        <f t="shared" si="64"/>
        <v>19603417.499999996</v>
      </c>
      <c r="J82" s="60">
        <f t="shared" si="65"/>
        <v>488095001.22744608</v>
      </c>
      <c r="K82" s="202">
        <f>J82/Input!$K$5</f>
        <v>1.6269833374248204</v>
      </c>
      <c r="L82" s="232"/>
      <c r="M82" s="60">
        <f>IF($B82&lt;Input!$H$43,IF($B82&lt;Input!$G$43,IF($B82&lt;Input!$F$43,IF($B82&lt;Input!$E$43,IF($B82&lt;Input!$D$43,Input!$C$49,Input!$D$49),Input!$E$49),Input!$F$49),Input!$G$49),Input!$H$49)</f>
        <v>21781574.999999996</v>
      </c>
      <c r="N82" s="190">
        <f>IF($A82&lt;Input!$H$50,IF($A82&lt;Input!$G$50,IF($A82&lt;Input!$F$50,IF($A82&lt;Input!$E$50,IF($A82&lt;Input!$D$50,Input!$C$51,Input!$D$51),Input!$E$51),Input!$F$51),Input!$G$51),Input!$H$51)</f>
        <v>0.9</v>
      </c>
      <c r="O82" s="60">
        <f t="shared" si="38"/>
        <v>19603417.499999996</v>
      </c>
      <c r="P82" s="60">
        <f t="shared" si="41"/>
        <v>31</v>
      </c>
      <c r="Q82" s="60">
        <f t="shared" si="42"/>
        <v>501311842.72744608</v>
      </c>
      <c r="R82" s="60">
        <f>ROUND(Q82*$P82*Input!$C$3/365,0)</f>
        <v>6386576</v>
      </c>
      <c r="S82" s="60">
        <f>IF(A82&lt;=Input!$C$6,0,IF('Fixed Tenure'!O82&lt;'Fixed Tenure'!Q82,'Fixed Tenure'!O82-R82,'Fixed Tenure'!Q82))</f>
        <v>13216841.499999996</v>
      </c>
      <c r="T82" s="60">
        <f t="shared" si="43"/>
        <v>19603417.499999996</v>
      </c>
      <c r="U82" s="60">
        <f t="shared" si="44"/>
        <v>488095001.22744608</v>
      </c>
      <c r="V82" s="193"/>
      <c r="W82" s="169">
        <v>78</v>
      </c>
      <c r="X82" s="1">
        <f t="shared" si="66"/>
        <v>47894</v>
      </c>
      <c r="Y82" s="60">
        <f>IF($X82&lt;Input!$H$58,IF($X82&lt;Input!$G$58,IF($X82&lt;Input!$F$58,IF($X82&lt;Input!$E$58,IF($X82&lt;Input!$D$58,Input!$C$64,Input!$D$64),Input!$E$64),Input!$F$64),Input!$G$64),Input!$H$64)</f>
        <v>0</v>
      </c>
      <c r="Z82" s="190">
        <f>IF($A82&lt;Input!$H$65,IF($A82&lt;Input!$G$65,IF($A82&lt;Input!$F$65,IF($A82&lt;Input!$E$65,IF($A82&lt;Input!$D$65,Input!$C$66,Input!$D$66),Input!$E$66),Input!$F$66),Input!$G$66),Input!$H$66)</f>
        <v>0.9</v>
      </c>
      <c r="AA82" s="60">
        <f t="shared" si="45"/>
        <v>0</v>
      </c>
      <c r="AB82" s="60">
        <f t="shared" si="67"/>
        <v>31</v>
      </c>
      <c r="AC82" s="60">
        <f t="shared" si="46"/>
        <v>0</v>
      </c>
      <c r="AD82" s="60">
        <f>ROUND(AC82*AB82*Input!$C$3/365,0)</f>
        <v>0</v>
      </c>
      <c r="AE82" s="61">
        <f>IF($A82&lt;=Input!$C$6,0,IF('Fixed Tenure'!AA82&lt;'Fixed Tenure'!AC82,'Fixed Tenure'!AA82-AD82,'Fixed Tenure'!AC82))</f>
        <v>0</v>
      </c>
      <c r="AF82" s="61">
        <f t="shared" si="47"/>
        <v>0</v>
      </c>
      <c r="AG82" s="60">
        <f t="shared" si="48"/>
        <v>0</v>
      </c>
      <c r="AH82" s="193"/>
      <c r="AI82" s="169">
        <v>78</v>
      </c>
      <c r="AJ82" s="1">
        <f t="shared" si="68"/>
        <v>47894</v>
      </c>
      <c r="AK82" s="60">
        <f>IF($X82&lt;Input!$H$73,IF($X82&lt;Input!$G$73,IF($X82&lt;Input!$F$73,IF($X82&lt;Input!$E$73,IF($X82&lt;Input!$D$73,Input!$C$79,Input!$D$79),Input!$E$79),Input!$F$79),Input!$G$79),Input!$H$79)</f>
        <v>0</v>
      </c>
      <c r="AL82" s="190">
        <f>IF($A82&lt;Input!$H$80,IF($A82&lt;Input!$G$80,IF($A82&lt;Input!$F$80,IF($A82&lt;Input!$E$80,IF($A82&lt;Input!$D$80,Input!$C$81,Input!$D$81),Input!$E$81),Input!$F$81),Input!$G$81),Input!$H$81)</f>
        <v>0.9</v>
      </c>
      <c r="AM82" s="60">
        <f t="shared" si="49"/>
        <v>0</v>
      </c>
      <c r="AN82" s="60">
        <f t="shared" si="69"/>
        <v>31</v>
      </c>
      <c r="AO82" s="60">
        <f t="shared" si="50"/>
        <v>0</v>
      </c>
      <c r="AP82" s="60">
        <f>ROUND(AO82*AN82*Input!$C$3/365,0)</f>
        <v>0</v>
      </c>
      <c r="AQ82" s="61">
        <f>IF($A82&lt;=Input!$C$6,0,IF('Fixed Tenure'!AM82&lt;'Fixed Tenure'!AO82,'Fixed Tenure'!AM82-AP82,'Fixed Tenure'!AO82))</f>
        <v>0</v>
      </c>
      <c r="AR82" s="61">
        <f t="shared" si="51"/>
        <v>0</v>
      </c>
      <c r="AS82" s="60">
        <f t="shared" si="52"/>
        <v>0</v>
      </c>
      <c r="AT82" s="193"/>
      <c r="AU82" s="169">
        <v>78</v>
      </c>
      <c r="AV82" s="1">
        <f t="shared" si="70"/>
        <v>47894</v>
      </c>
      <c r="AW82" s="60">
        <f>IF($X82&lt;Input!$H$88,IF($X82&lt;Input!$G$88,IF($X82&lt;Input!$F$88,IF($X82&lt;Input!$E$88,IF($X82&lt;Input!$D$88,Input!$C$94,Input!$D$94),Input!$E$94),Input!$F$94),Input!$G$94),Input!$H$94)</f>
        <v>0</v>
      </c>
      <c r="AX82" s="190">
        <f>IF($A82&lt;Input!$H$95,IF($A82&lt;Input!$G$95,IF($A82&lt;Input!$F$95,IF($A82&lt;Input!$E$95,IF($A82&lt;Input!$D$95,Input!$C$96,Input!$D$96),Input!$E$96),Input!$F$96),Input!$G$96),Input!$H$96)</f>
        <v>0.9</v>
      </c>
      <c r="AY82" s="60">
        <f t="shared" si="53"/>
        <v>0</v>
      </c>
      <c r="AZ82" s="60">
        <f t="shared" si="71"/>
        <v>31</v>
      </c>
      <c r="BA82" s="60">
        <f t="shared" si="54"/>
        <v>0</v>
      </c>
      <c r="BB82" s="60">
        <f>ROUND(BA82*AZ82*Input!$C$3/365,0)</f>
        <v>0</v>
      </c>
      <c r="BC82" s="61">
        <f>IF($A82&lt;=Input!$C$6,0,IF('Fixed Tenure'!AY82&lt;'Fixed Tenure'!BA82,'Fixed Tenure'!AY82-BB82,'Fixed Tenure'!BA82))</f>
        <v>0</v>
      </c>
      <c r="BD82" s="61">
        <f t="shared" si="55"/>
        <v>0</v>
      </c>
      <c r="BE82" s="60">
        <f t="shared" si="56"/>
        <v>0</v>
      </c>
      <c r="BF82" s="193"/>
      <c r="BG82" s="169">
        <v>78</v>
      </c>
      <c r="BH82" s="1">
        <f t="shared" si="72"/>
        <v>47894</v>
      </c>
      <c r="BI82" s="60">
        <f>IF($X82&lt;Input!$H$103,IF($X82&lt;Input!$G$103,IF($X82&lt;Input!$F$103,IF($X82&lt;Input!$E$103,IF($X82&lt;Input!$D$103,Input!$C$109,Input!$D$109),Input!$E$109),Input!$F$109),Input!$G$109),Input!$H$109)</f>
        <v>0</v>
      </c>
      <c r="BJ82" s="190">
        <f>IF($A82&lt;Input!$H$110,IF($A82&lt;Input!$G$110,IF($A82&lt;Input!$F$110,IF($A82&lt;Input!$E$110,IF($A82&lt;Input!$D$110,Input!$C$111,Input!$D$111),Input!$E$111),Input!$F$111),Input!$G$111),Input!$H$111)</f>
        <v>0.9</v>
      </c>
      <c r="BK82" s="60">
        <f t="shared" si="57"/>
        <v>0</v>
      </c>
      <c r="BL82" s="60">
        <f t="shared" si="73"/>
        <v>31</v>
      </c>
      <c r="BM82" s="60">
        <f t="shared" si="58"/>
        <v>0</v>
      </c>
      <c r="BN82" s="60">
        <f>ROUND(BM82*BL82*Input!$C$3/365,0)</f>
        <v>0</v>
      </c>
      <c r="BO82" s="61">
        <f>IF($A82&lt;=Input!$C$6,0,IF('Fixed Tenure'!BK82&lt;'Fixed Tenure'!BM82,'Fixed Tenure'!BK82-BN82,'Fixed Tenure'!BM82))</f>
        <v>0</v>
      </c>
      <c r="BP82" s="61">
        <f t="shared" si="59"/>
        <v>0</v>
      </c>
      <c r="BQ82" s="60">
        <f t="shared" si="60"/>
        <v>0</v>
      </c>
      <c r="BR82" s="198"/>
    </row>
    <row r="83" spans="1:70" x14ac:dyDescent="0.25">
      <c r="A83" s="169">
        <v>79</v>
      </c>
      <c r="B83" s="1">
        <f t="shared" si="61"/>
        <v>47922</v>
      </c>
      <c r="C83" s="60">
        <f t="shared" si="39"/>
        <v>21781574.999999996</v>
      </c>
      <c r="D83" s="60">
        <f t="shared" si="40"/>
        <v>19603417.499999996</v>
      </c>
      <c r="E83" s="60">
        <f t="shared" si="62"/>
        <v>28</v>
      </c>
      <c r="F83" s="60">
        <f t="shared" si="63"/>
        <v>488095001.22744608</v>
      </c>
      <c r="G83" s="60">
        <f>ROUND(F83*E83*Input!$C$3/365,0)</f>
        <v>5616436</v>
      </c>
      <c r="H83" s="60">
        <f>IF($A83&lt;=Input!$C$6,0,IF('Fixed Tenure'!D83&lt;'Fixed Tenure'!F83,'Fixed Tenure'!D83-G83,'Fixed Tenure'!F83))</f>
        <v>13986981.499999996</v>
      </c>
      <c r="I83" s="60">
        <f t="shared" si="64"/>
        <v>19603417.499999996</v>
      </c>
      <c r="J83" s="60">
        <f t="shared" si="65"/>
        <v>474108019.72744608</v>
      </c>
      <c r="K83" s="202">
        <f>J83/Input!$K$5</f>
        <v>1.5803600657581536</v>
      </c>
      <c r="L83" s="232"/>
      <c r="M83" s="60">
        <f>IF($B83&lt;Input!$H$43,IF($B83&lt;Input!$G$43,IF($B83&lt;Input!$F$43,IF($B83&lt;Input!$E$43,IF($B83&lt;Input!$D$43,Input!$C$49,Input!$D$49),Input!$E$49),Input!$F$49),Input!$G$49),Input!$H$49)</f>
        <v>21781574.999999996</v>
      </c>
      <c r="N83" s="190">
        <f>IF($A83&lt;Input!$H$50,IF($A83&lt;Input!$G$50,IF($A83&lt;Input!$F$50,IF($A83&lt;Input!$E$50,IF($A83&lt;Input!$D$50,Input!$C$51,Input!$D$51),Input!$E$51),Input!$F$51),Input!$G$51),Input!$H$51)</f>
        <v>0.9</v>
      </c>
      <c r="O83" s="60">
        <f t="shared" si="38"/>
        <v>19603417.499999996</v>
      </c>
      <c r="P83" s="60">
        <f t="shared" si="41"/>
        <v>28</v>
      </c>
      <c r="Q83" s="60">
        <f t="shared" si="42"/>
        <v>488095001.22744608</v>
      </c>
      <c r="R83" s="60">
        <f>ROUND(Q83*$P83*Input!$C$3/365,0)</f>
        <v>5616436</v>
      </c>
      <c r="S83" s="60">
        <f>IF(A83&lt;=Input!$C$6,0,IF('Fixed Tenure'!O83&lt;'Fixed Tenure'!Q83,'Fixed Tenure'!O83-R83,'Fixed Tenure'!Q83))</f>
        <v>13986981.499999996</v>
      </c>
      <c r="T83" s="60">
        <f t="shared" si="43"/>
        <v>19603417.499999996</v>
      </c>
      <c r="U83" s="60">
        <f t="shared" si="44"/>
        <v>474108019.72744608</v>
      </c>
      <c r="V83" s="193"/>
      <c r="W83" s="169">
        <v>79</v>
      </c>
      <c r="X83" s="1">
        <f t="shared" si="66"/>
        <v>47922</v>
      </c>
      <c r="Y83" s="60">
        <f>IF($X83&lt;Input!$H$58,IF($X83&lt;Input!$G$58,IF($X83&lt;Input!$F$58,IF($X83&lt;Input!$E$58,IF($X83&lt;Input!$D$58,Input!$C$64,Input!$D$64),Input!$E$64),Input!$F$64),Input!$G$64),Input!$H$64)</f>
        <v>0</v>
      </c>
      <c r="Z83" s="190">
        <f>IF($A83&lt;Input!$H$65,IF($A83&lt;Input!$G$65,IF($A83&lt;Input!$F$65,IF($A83&lt;Input!$E$65,IF($A83&lt;Input!$D$65,Input!$C$66,Input!$D$66),Input!$E$66),Input!$F$66),Input!$G$66),Input!$H$66)</f>
        <v>0.9</v>
      </c>
      <c r="AA83" s="60">
        <f t="shared" si="45"/>
        <v>0</v>
      </c>
      <c r="AB83" s="60">
        <f t="shared" si="67"/>
        <v>28</v>
      </c>
      <c r="AC83" s="60">
        <f t="shared" si="46"/>
        <v>0</v>
      </c>
      <c r="AD83" s="60">
        <f>ROUND(AC83*AB83*Input!$C$3/365,0)</f>
        <v>0</v>
      </c>
      <c r="AE83" s="61">
        <f>IF($A83&lt;=Input!$C$6,0,IF('Fixed Tenure'!AA83&lt;'Fixed Tenure'!AC83,'Fixed Tenure'!AA83-AD83,'Fixed Tenure'!AC83))</f>
        <v>0</v>
      </c>
      <c r="AF83" s="61">
        <f t="shared" si="47"/>
        <v>0</v>
      </c>
      <c r="AG83" s="60">
        <f t="shared" si="48"/>
        <v>0</v>
      </c>
      <c r="AH83" s="193"/>
      <c r="AI83" s="169">
        <v>79</v>
      </c>
      <c r="AJ83" s="1">
        <f t="shared" si="68"/>
        <v>47922</v>
      </c>
      <c r="AK83" s="60">
        <f>IF($X83&lt;Input!$H$73,IF($X83&lt;Input!$G$73,IF($X83&lt;Input!$F$73,IF($X83&lt;Input!$E$73,IF($X83&lt;Input!$D$73,Input!$C$79,Input!$D$79),Input!$E$79),Input!$F$79),Input!$G$79),Input!$H$79)</f>
        <v>0</v>
      </c>
      <c r="AL83" s="190">
        <f>IF($A83&lt;Input!$H$80,IF($A83&lt;Input!$G$80,IF($A83&lt;Input!$F$80,IF($A83&lt;Input!$E$80,IF($A83&lt;Input!$D$80,Input!$C$81,Input!$D$81),Input!$E$81),Input!$F$81),Input!$G$81),Input!$H$81)</f>
        <v>0.9</v>
      </c>
      <c r="AM83" s="60">
        <f t="shared" si="49"/>
        <v>0</v>
      </c>
      <c r="AN83" s="60">
        <f t="shared" si="69"/>
        <v>28</v>
      </c>
      <c r="AO83" s="60">
        <f t="shared" si="50"/>
        <v>0</v>
      </c>
      <c r="AP83" s="60">
        <f>ROUND(AO83*AN83*Input!$C$3/365,0)</f>
        <v>0</v>
      </c>
      <c r="AQ83" s="61">
        <f>IF($A83&lt;=Input!$C$6,0,IF('Fixed Tenure'!AM83&lt;'Fixed Tenure'!AO83,'Fixed Tenure'!AM83-AP83,'Fixed Tenure'!AO83))</f>
        <v>0</v>
      </c>
      <c r="AR83" s="61">
        <f t="shared" si="51"/>
        <v>0</v>
      </c>
      <c r="AS83" s="60">
        <f t="shared" si="52"/>
        <v>0</v>
      </c>
      <c r="AT83" s="193"/>
      <c r="AU83" s="169">
        <v>79</v>
      </c>
      <c r="AV83" s="1">
        <f t="shared" si="70"/>
        <v>47922</v>
      </c>
      <c r="AW83" s="60">
        <f>IF($X83&lt;Input!$H$88,IF($X83&lt;Input!$G$88,IF($X83&lt;Input!$F$88,IF($X83&lt;Input!$E$88,IF($X83&lt;Input!$D$88,Input!$C$94,Input!$D$94),Input!$E$94),Input!$F$94),Input!$G$94),Input!$H$94)</f>
        <v>0</v>
      </c>
      <c r="AX83" s="190">
        <f>IF($A83&lt;Input!$H$95,IF($A83&lt;Input!$G$95,IF($A83&lt;Input!$F$95,IF($A83&lt;Input!$E$95,IF($A83&lt;Input!$D$95,Input!$C$96,Input!$D$96),Input!$E$96),Input!$F$96),Input!$G$96),Input!$H$96)</f>
        <v>0.9</v>
      </c>
      <c r="AY83" s="60">
        <f t="shared" si="53"/>
        <v>0</v>
      </c>
      <c r="AZ83" s="60">
        <f t="shared" si="71"/>
        <v>28</v>
      </c>
      <c r="BA83" s="60">
        <f t="shared" si="54"/>
        <v>0</v>
      </c>
      <c r="BB83" s="60">
        <f>ROUND(BA83*AZ83*Input!$C$3/365,0)</f>
        <v>0</v>
      </c>
      <c r="BC83" s="61">
        <f>IF($A83&lt;=Input!$C$6,0,IF('Fixed Tenure'!AY83&lt;'Fixed Tenure'!BA83,'Fixed Tenure'!AY83-BB83,'Fixed Tenure'!BA83))</f>
        <v>0</v>
      </c>
      <c r="BD83" s="61">
        <f t="shared" si="55"/>
        <v>0</v>
      </c>
      <c r="BE83" s="60">
        <f t="shared" si="56"/>
        <v>0</v>
      </c>
      <c r="BF83" s="193"/>
      <c r="BG83" s="169">
        <v>79</v>
      </c>
      <c r="BH83" s="1">
        <f t="shared" si="72"/>
        <v>47922</v>
      </c>
      <c r="BI83" s="60">
        <f>IF($X83&lt;Input!$H$103,IF($X83&lt;Input!$G$103,IF($X83&lt;Input!$F$103,IF($X83&lt;Input!$E$103,IF($X83&lt;Input!$D$103,Input!$C$109,Input!$D$109),Input!$E$109),Input!$F$109),Input!$G$109),Input!$H$109)</f>
        <v>0</v>
      </c>
      <c r="BJ83" s="190">
        <f>IF($A83&lt;Input!$H$110,IF($A83&lt;Input!$G$110,IF($A83&lt;Input!$F$110,IF($A83&lt;Input!$E$110,IF($A83&lt;Input!$D$110,Input!$C$111,Input!$D$111),Input!$E$111),Input!$F$111),Input!$G$111),Input!$H$111)</f>
        <v>0.9</v>
      </c>
      <c r="BK83" s="60">
        <f t="shared" si="57"/>
        <v>0</v>
      </c>
      <c r="BL83" s="60">
        <f t="shared" si="73"/>
        <v>28</v>
      </c>
      <c r="BM83" s="60">
        <f t="shared" si="58"/>
        <v>0</v>
      </c>
      <c r="BN83" s="60">
        <f>ROUND(BM83*BL83*Input!$C$3/365,0)</f>
        <v>0</v>
      </c>
      <c r="BO83" s="61">
        <f>IF($A83&lt;=Input!$C$6,0,IF('Fixed Tenure'!BK83&lt;'Fixed Tenure'!BM83,'Fixed Tenure'!BK83-BN83,'Fixed Tenure'!BM83))</f>
        <v>0</v>
      </c>
      <c r="BP83" s="61">
        <f t="shared" si="59"/>
        <v>0</v>
      </c>
      <c r="BQ83" s="60">
        <f t="shared" si="60"/>
        <v>0</v>
      </c>
      <c r="BR83" s="198"/>
    </row>
    <row r="84" spans="1:70" x14ac:dyDescent="0.25">
      <c r="A84" s="169">
        <v>80</v>
      </c>
      <c r="B84" s="1">
        <f t="shared" si="61"/>
        <v>47953</v>
      </c>
      <c r="C84" s="60">
        <f t="shared" si="39"/>
        <v>21781574.999999996</v>
      </c>
      <c r="D84" s="60">
        <f t="shared" si="40"/>
        <v>19603417.499999996</v>
      </c>
      <c r="E84" s="60">
        <f t="shared" si="62"/>
        <v>31</v>
      </c>
      <c r="F84" s="60">
        <f t="shared" si="63"/>
        <v>474108019.72744608</v>
      </c>
      <c r="G84" s="60">
        <f>ROUND(F84*E84*Input!$C$3/365,0)</f>
        <v>6040006</v>
      </c>
      <c r="H84" s="60">
        <f>IF($A84&lt;=Input!$C$6,0,IF('Fixed Tenure'!D84&lt;'Fixed Tenure'!F84,'Fixed Tenure'!D84-G84,'Fixed Tenure'!F84))</f>
        <v>13563411.499999996</v>
      </c>
      <c r="I84" s="60">
        <f t="shared" si="64"/>
        <v>19603417.499999996</v>
      </c>
      <c r="J84" s="60">
        <f t="shared" si="65"/>
        <v>460544608.22744608</v>
      </c>
      <c r="K84" s="202">
        <f>J84/Input!$K$5</f>
        <v>1.5351486940914869</v>
      </c>
      <c r="L84" s="232"/>
      <c r="M84" s="60">
        <f>IF($B84&lt;Input!$H$43,IF($B84&lt;Input!$G$43,IF($B84&lt;Input!$F$43,IF($B84&lt;Input!$E$43,IF($B84&lt;Input!$D$43,Input!$C$49,Input!$D$49),Input!$E$49),Input!$F$49),Input!$G$49),Input!$H$49)</f>
        <v>21781574.999999996</v>
      </c>
      <c r="N84" s="190">
        <f>IF($A84&lt;Input!$H$50,IF($A84&lt;Input!$G$50,IF($A84&lt;Input!$F$50,IF($A84&lt;Input!$E$50,IF($A84&lt;Input!$D$50,Input!$C$51,Input!$D$51),Input!$E$51),Input!$F$51),Input!$G$51),Input!$H$51)</f>
        <v>0.9</v>
      </c>
      <c r="O84" s="60">
        <f t="shared" si="38"/>
        <v>19603417.499999996</v>
      </c>
      <c r="P84" s="60">
        <f t="shared" si="41"/>
        <v>31</v>
      </c>
      <c r="Q84" s="60">
        <f t="shared" si="42"/>
        <v>474108019.72744608</v>
      </c>
      <c r="R84" s="60">
        <f>ROUND(Q84*$P84*Input!$C$3/365,0)</f>
        <v>6040006</v>
      </c>
      <c r="S84" s="60">
        <f>IF(A84&lt;=Input!$C$6,0,IF('Fixed Tenure'!O84&lt;'Fixed Tenure'!Q84,'Fixed Tenure'!O84-R84,'Fixed Tenure'!Q84))</f>
        <v>13563411.499999996</v>
      </c>
      <c r="T84" s="60">
        <f t="shared" si="43"/>
        <v>19603417.499999996</v>
      </c>
      <c r="U84" s="60">
        <f t="shared" si="44"/>
        <v>460544608.22744608</v>
      </c>
      <c r="V84" s="193"/>
      <c r="W84" s="169">
        <v>80</v>
      </c>
      <c r="X84" s="1">
        <f t="shared" si="66"/>
        <v>47953</v>
      </c>
      <c r="Y84" s="60">
        <f>IF($X84&lt;Input!$H$58,IF($X84&lt;Input!$G$58,IF($X84&lt;Input!$F$58,IF($X84&lt;Input!$E$58,IF($X84&lt;Input!$D$58,Input!$C$64,Input!$D$64),Input!$E$64),Input!$F$64),Input!$G$64),Input!$H$64)</f>
        <v>0</v>
      </c>
      <c r="Z84" s="190">
        <f>IF($A84&lt;Input!$H$65,IF($A84&lt;Input!$G$65,IF($A84&lt;Input!$F$65,IF($A84&lt;Input!$E$65,IF($A84&lt;Input!$D$65,Input!$C$66,Input!$D$66),Input!$E$66),Input!$F$66),Input!$G$66),Input!$H$66)</f>
        <v>0.9</v>
      </c>
      <c r="AA84" s="60">
        <f t="shared" si="45"/>
        <v>0</v>
      </c>
      <c r="AB84" s="60">
        <f t="shared" si="67"/>
        <v>31</v>
      </c>
      <c r="AC84" s="60">
        <f t="shared" si="46"/>
        <v>0</v>
      </c>
      <c r="AD84" s="60">
        <f>ROUND(AC84*AB84*Input!$C$3/365,0)</f>
        <v>0</v>
      </c>
      <c r="AE84" s="61">
        <f>IF($A84&lt;=Input!$C$6,0,IF('Fixed Tenure'!AA84&lt;'Fixed Tenure'!AC84,'Fixed Tenure'!AA84-AD84,'Fixed Tenure'!AC84))</f>
        <v>0</v>
      </c>
      <c r="AF84" s="61">
        <f t="shared" si="47"/>
        <v>0</v>
      </c>
      <c r="AG84" s="60">
        <f t="shared" si="48"/>
        <v>0</v>
      </c>
      <c r="AH84" s="193"/>
      <c r="AI84" s="169">
        <v>80</v>
      </c>
      <c r="AJ84" s="1">
        <f t="shared" si="68"/>
        <v>47953</v>
      </c>
      <c r="AK84" s="60">
        <f>IF($X84&lt;Input!$H$73,IF($X84&lt;Input!$G$73,IF($X84&lt;Input!$F$73,IF($X84&lt;Input!$E$73,IF($X84&lt;Input!$D$73,Input!$C$79,Input!$D$79),Input!$E$79),Input!$F$79),Input!$G$79),Input!$H$79)</f>
        <v>0</v>
      </c>
      <c r="AL84" s="190">
        <f>IF($A84&lt;Input!$H$80,IF($A84&lt;Input!$G$80,IF($A84&lt;Input!$F$80,IF($A84&lt;Input!$E$80,IF($A84&lt;Input!$D$80,Input!$C$81,Input!$D$81),Input!$E$81),Input!$F$81),Input!$G$81),Input!$H$81)</f>
        <v>0.9</v>
      </c>
      <c r="AM84" s="60">
        <f t="shared" si="49"/>
        <v>0</v>
      </c>
      <c r="AN84" s="60">
        <f t="shared" si="69"/>
        <v>31</v>
      </c>
      <c r="AO84" s="60">
        <f t="shared" si="50"/>
        <v>0</v>
      </c>
      <c r="AP84" s="60">
        <f>ROUND(AO84*AN84*Input!$C$3/365,0)</f>
        <v>0</v>
      </c>
      <c r="AQ84" s="61">
        <f>IF($A84&lt;=Input!$C$6,0,IF('Fixed Tenure'!AM84&lt;'Fixed Tenure'!AO84,'Fixed Tenure'!AM84-AP84,'Fixed Tenure'!AO84))</f>
        <v>0</v>
      </c>
      <c r="AR84" s="61">
        <f t="shared" si="51"/>
        <v>0</v>
      </c>
      <c r="AS84" s="60">
        <f t="shared" si="52"/>
        <v>0</v>
      </c>
      <c r="AT84" s="193"/>
      <c r="AU84" s="169">
        <v>80</v>
      </c>
      <c r="AV84" s="1">
        <f t="shared" si="70"/>
        <v>47953</v>
      </c>
      <c r="AW84" s="60">
        <f>IF($X84&lt;Input!$H$88,IF($X84&lt;Input!$G$88,IF($X84&lt;Input!$F$88,IF($X84&lt;Input!$E$88,IF($X84&lt;Input!$D$88,Input!$C$94,Input!$D$94),Input!$E$94),Input!$F$94),Input!$G$94),Input!$H$94)</f>
        <v>0</v>
      </c>
      <c r="AX84" s="190">
        <f>IF($A84&lt;Input!$H$95,IF($A84&lt;Input!$G$95,IF($A84&lt;Input!$F$95,IF($A84&lt;Input!$E$95,IF($A84&lt;Input!$D$95,Input!$C$96,Input!$D$96),Input!$E$96),Input!$F$96),Input!$G$96),Input!$H$96)</f>
        <v>0.9</v>
      </c>
      <c r="AY84" s="60">
        <f t="shared" si="53"/>
        <v>0</v>
      </c>
      <c r="AZ84" s="60">
        <f t="shared" si="71"/>
        <v>31</v>
      </c>
      <c r="BA84" s="60">
        <f t="shared" si="54"/>
        <v>0</v>
      </c>
      <c r="BB84" s="60">
        <f>ROUND(BA84*AZ84*Input!$C$3/365,0)</f>
        <v>0</v>
      </c>
      <c r="BC84" s="61">
        <f>IF($A84&lt;=Input!$C$6,0,IF('Fixed Tenure'!AY84&lt;'Fixed Tenure'!BA84,'Fixed Tenure'!AY84-BB84,'Fixed Tenure'!BA84))</f>
        <v>0</v>
      </c>
      <c r="BD84" s="61">
        <f t="shared" si="55"/>
        <v>0</v>
      </c>
      <c r="BE84" s="60">
        <f t="shared" si="56"/>
        <v>0</v>
      </c>
      <c r="BF84" s="193"/>
      <c r="BG84" s="169">
        <v>80</v>
      </c>
      <c r="BH84" s="1">
        <f t="shared" si="72"/>
        <v>47953</v>
      </c>
      <c r="BI84" s="60">
        <f>IF($X84&lt;Input!$H$103,IF($X84&lt;Input!$G$103,IF($X84&lt;Input!$F$103,IF($X84&lt;Input!$E$103,IF($X84&lt;Input!$D$103,Input!$C$109,Input!$D$109),Input!$E$109),Input!$F$109),Input!$G$109),Input!$H$109)</f>
        <v>0</v>
      </c>
      <c r="BJ84" s="190">
        <f>IF($A84&lt;Input!$H$110,IF($A84&lt;Input!$G$110,IF($A84&lt;Input!$F$110,IF($A84&lt;Input!$E$110,IF($A84&lt;Input!$D$110,Input!$C$111,Input!$D$111),Input!$E$111),Input!$F$111),Input!$G$111),Input!$H$111)</f>
        <v>0.9</v>
      </c>
      <c r="BK84" s="60">
        <f t="shared" si="57"/>
        <v>0</v>
      </c>
      <c r="BL84" s="60">
        <f t="shared" si="73"/>
        <v>31</v>
      </c>
      <c r="BM84" s="60">
        <f t="shared" si="58"/>
        <v>0</v>
      </c>
      <c r="BN84" s="60">
        <f>ROUND(BM84*BL84*Input!$C$3/365,0)</f>
        <v>0</v>
      </c>
      <c r="BO84" s="61">
        <f>IF($A84&lt;=Input!$C$6,0,IF('Fixed Tenure'!BK84&lt;'Fixed Tenure'!BM84,'Fixed Tenure'!BK84-BN84,'Fixed Tenure'!BM84))</f>
        <v>0</v>
      </c>
      <c r="BP84" s="61">
        <f t="shared" si="59"/>
        <v>0</v>
      </c>
      <c r="BQ84" s="60">
        <f t="shared" si="60"/>
        <v>0</v>
      </c>
      <c r="BR84" s="198"/>
    </row>
    <row r="85" spans="1:70" x14ac:dyDescent="0.25">
      <c r="A85" s="169">
        <v>81</v>
      </c>
      <c r="B85" s="1">
        <f t="shared" si="61"/>
        <v>47983</v>
      </c>
      <c r="C85" s="60">
        <f t="shared" si="39"/>
        <v>21781574.999999996</v>
      </c>
      <c r="D85" s="60">
        <f t="shared" si="40"/>
        <v>19603417.499999996</v>
      </c>
      <c r="E85" s="60">
        <f t="shared" si="62"/>
        <v>30</v>
      </c>
      <c r="F85" s="60">
        <f t="shared" si="63"/>
        <v>460544608.22744608</v>
      </c>
      <c r="G85" s="60">
        <f>ROUND(F85*E85*Input!$C$3/365,0)</f>
        <v>5677947</v>
      </c>
      <c r="H85" s="60">
        <f>IF($A85&lt;=Input!$C$6,0,IF('Fixed Tenure'!D85&lt;'Fixed Tenure'!F85,'Fixed Tenure'!D85-G85,'Fixed Tenure'!F85))</f>
        <v>13925470.499999996</v>
      </c>
      <c r="I85" s="60">
        <f t="shared" si="64"/>
        <v>19603417.499999996</v>
      </c>
      <c r="J85" s="60">
        <f t="shared" si="65"/>
        <v>446619137.72744608</v>
      </c>
      <c r="K85" s="202">
        <f>J85/Input!$K$5</f>
        <v>1.4887304590914869</v>
      </c>
      <c r="L85" s="232"/>
      <c r="M85" s="60">
        <f>IF($B85&lt;Input!$H$43,IF($B85&lt;Input!$G$43,IF($B85&lt;Input!$F$43,IF($B85&lt;Input!$E$43,IF($B85&lt;Input!$D$43,Input!$C$49,Input!$D$49),Input!$E$49),Input!$F$49),Input!$G$49),Input!$H$49)</f>
        <v>21781574.999999996</v>
      </c>
      <c r="N85" s="190">
        <f>IF($A85&lt;Input!$H$50,IF($A85&lt;Input!$G$50,IF($A85&lt;Input!$F$50,IF($A85&lt;Input!$E$50,IF($A85&lt;Input!$D$50,Input!$C$51,Input!$D$51),Input!$E$51),Input!$F$51),Input!$G$51),Input!$H$51)</f>
        <v>0.9</v>
      </c>
      <c r="O85" s="60">
        <f t="shared" si="38"/>
        <v>19603417.499999996</v>
      </c>
      <c r="P85" s="60">
        <f t="shared" si="41"/>
        <v>30</v>
      </c>
      <c r="Q85" s="60">
        <f t="shared" si="42"/>
        <v>460544608.22744608</v>
      </c>
      <c r="R85" s="60">
        <f>ROUND(Q85*$P85*Input!$C$3/365,0)</f>
        <v>5677947</v>
      </c>
      <c r="S85" s="60">
        <f>IF(A85&lt;=Input!$C$6,0,IF('Fixed Tenure'!O85&lt;'Fixed Tenure'!Q85,'Fixed Tenure'!O85-R85,'Fixed Tenure'!Q85))</f>
        <v>13925470.499999996</v>
      </c>
      <c r="T85" s="60">
        <f t="shared" si="43"/>
        <v>19603417.499999996</v>
      </c>
      <c r="U85" s="60">
        <f t="shared" si="44"/>
        <v>446619137.72744608</v>
      </c>
      <c r="V85" s="193"/>
      <c r="W85" s="169">
        <v>81</v>
      </c>
      <c r="X85" s="1">
        <f t="shared" si="66"/>
        <v>47983</v>
      </c>
      <c r="Y85" s="60">
        <f>IF($X85&lt;Input!$H$58,IF($X85&lt;Input!$G$58,IF($X85&lt;Input!$F$58,IF($X85&lt;Input!$E$58,IF($X85&lt;Input!$D$58,Input!$C$64,Input!$D$64),Input!$E$64),Input!$F$64),Input!$G$64),Input!$H$64)</f>
        <v>0</v>
      </c>
      <c r="Z85" s="190">
        <f>IF($A85&lt;Input!$H$65,IF($A85&lt;Input!$G$65,IF($A85&lt;Input!$F$65,IF($A85&lt;Input!$E$65,IF($A85&lt;Input!$D$65,Input!$C$66,Input!$D$66),Input!$E$66),Input!$F$66),Input!$G$66),Input!$H$66)</f>
        <v>0.9</v>
      </c>
      <c r="AA85" s="60">
        <f t="shared" si="45"/>
        <v>0</v>
      </c>
      <c r="AB85" s="60">
        <f t="shared" si="67"/>
        <v>30</v>
      </c>
      <c r="AC85" s="60">
        <f t="shared" si="46"/>
        <v>0</v>
      </c>
      <c r="AD85" s="60">
        <f>ROUND(AC85*AB85*Input!$C$3/365,0)</f>
        <v>0</v>
      </c>
      <c r="AE85" s="61">
        <f>IF($A85&lt;=Input!$C$6,0,IF('Fixed Tenure'!AA85&lt;'Fixed Tenure'!AC85,'Fixed Tenure'!AA85-AD85,'Fixed Tenure'!AC85))</f>
        <v>0</v>
      </c>
      <c r="AF85" s="61">
        <f t="shared" si="47"/>
        <v>0</v>
      </c>
      <c r="AG85" s="60">
        <f t="shared" si="48"/>
        <v>0</v>
      </c>
      <c r="AH85" s="193"/>
      <c r="AI85" s="169">
        <v>81</v>
      </c>
      <c r="AJ85" s="1">
        <f t="shared" si="68"/>
        <v>47983</v>
      </c>
      <c r="AK85" s="60">
        <f>IF($X85&lt;Input!$H$73,IF($X85&lt;Input!$G$73,IF($X85&lt;Input!$F$73,IF($X85&lt;Input!$E$73,IF($X85&lt;Input!$D$73,Input!$C$79,Input!$D$79),Input!$E$79),Input!$F$79),Input!$G$79),Input!$H$79)</f>
        <v>0</v>
      </c>
      <c r="AL85" s="190">
        <f>IF($A85&lt;Input!$H$80,IF($A85&lt;Input!$G$80,IF($A85&lt;Input!$F$80,IF($A85&lt;Input!$E$80,IF($A85&lt;Input!$D$80,Input!$C$81,Input!$D$81),Input!$E$81),Input!$F$81),Input!$G$81),Input!$H$81)</f>
        <v>0.9</v>
      </c>
      <c r="AM85" s="60">
        <f t="shared" si="49"/>
        <v>0</v>
      </c>
      <c r="AN85" s="60">
        <f t="shared" si="69"/>
        <v>30</v>
      </c>
      <c r="AO85" s="60">
        <f t="shared" si="50"/>
        <v>0</v>
      </c>
      <c r="AP85" s="60">
        <f>ROUND(AO85*AN85*Input!$C$3/365,0)</f>
        <v>0</v>
      </c>
      <c r="AQ85" s="61">
        <f>IF($A85&lt;=Input!$C$6,0,IF('Fixed Tenure'!AM85&lt;'Fixed Tenure'!AO85,'Fixed Tenure'!AM85-AP85,'Fixed Tenure'!AO85))</f>
        <v>0</v>
      </c>
      <c r="AR85" s="61">
        <f t="shared" si="51"/>
        <v>0</v>
      </c>
      <c r="AS85" s="60">
        <f t="shared" si="52"/>
        <v>0</v>
      </c>
      <c r="AT85" s="193"/>
      <c r="AU85" s="169">
        <v>81</v>
      </c>
      <c r="AV85" s="1">
        <f t="shared" si="70"/>
        <v>47983</v>
      </c>
      <c r="AW85" s="60">
        <f>IF($X85&lt;Input!$H$88,IF($X85&lt;Input!$G$88,IF($X85&lt;Input!$F$88,IF($X85&lt;Input!$E$88,IF($X85&lt;Input!$D$88,Input!$C$94,Input!$D$94),Input!$E$94),Input!$F$94),Input!$G$94),Input!$H$94)</f>
        <v>0</v>
      </c>
      <c r="AX85" s="190">
        <f>IF($A85&lt;Input!$H$95,IF($A85&lt;Input!$G$95,IF($A85&lt;Input!$F$95,IF($A85&lt;Input!$E$95,IF($A85&lt;Input!$D$95,Input!$C$96,Input!$D$96),Input!$E$96),Input!$F$96),Input!$G$96),Input!$H$96)</f>
        <v>0.9</v>
      </c>
      <c r="AY85" s="60">
        <f t="shared" si="53"/>
        <v>0</v>
      </c>
      <c r="AZ85" s="60">
        <f t="shared" si="71"/>
        <v>30</v>
      </c>
      <c r="BA85" s="60">
        <f t="shared" si="54"/>
        <v>0</v>
      </c>
      <c r="BB85" s="60">
        <f>ROUND(BA85*AZ85*Input!$C$3/365,0)</f>
        <v>0</v>
      </c>
      <c r="BC85" s="61">
        <f>IF($A85&lt;=Input!$C$6,0,IF('Fixed Tenure'!AY85&lt;'Fixed Tenure'!BA85,'Fixed Tenure'!AY85-BB85,'Fixed Tenure'!BA85))</f>
        <v>0</v>
      </c>
      <c r="BD85" s="61">
        <f t="shared" si="55"/>
        <v>0</v>
      </c>
      <c r="BE85" s="60">
        <f t="shared" si="56"/>
        <v>0</v>
      </c>
      <c r="BF85" s="193"/>
      <c r="BG85" s="169">
        <v>81</v>
      </c>
      <c r="BH85" s="1">
        <f t="shared" si="72"/>
        <v>47983</v>
      </c>
      <c r="BI85" s="60">
        <f>IF($X85&lt;Input!$H$103,IF($X85&lt;Input!$G$103,IF($X85&lt;Input!$F$103,IF($X85&lt;Input!$E$103,IF($X85&lt;Input!$D$103,Input!$C$109,Input!$D$109),Input!$E$109),Input!$F$109),Input!$G$109),Input!$H$109)</f>
        <v>0</v>
      </c>
      <c r="BJ85" s="190">
        <f>IF($A85&lt;Input!$H$110,IF($A85&lt;Input!$G$110,IF($A85&lt;Input!$F$110,IF($A85&lt;Input!$E$110,IF($A85&lt;Input!$D$110,Input!$C$111,Input!$D$111),Input!$E$111),Input!$F$111),Input!$G$111),Input!$H$111)</f>
        <v>0.9</v>
      </c>
      <c r="BK85" s="60">
        <f t="shared" si="57"/>
        <v>0</v>
      </c>
      <c r="BL85" s="60">
        <f t="shared" si="73"/>
        <v>30</v>
      </c>
      <c r="BM85" s="60">
        <f t="shared" si="58"/>
        <v>0</v>
      </c>
      <c r="BN85" s="60">
        <f>ROUND(BM85*BL85*Input!$C$3/365,0)</f>
        <v>0</v>
      </c>
      <c r="BO85" s="61">
        <f>IF($A85&lt;=Input!$C$6,0,IF('Fixed Tenure'!BK85&lt;'Fixed Tenure'!BM85,'Fixed Tenure'!BK85-BN85,'Fixed Tenure'!BM85))</f>
        <v>0</v>
      </c>
      <c r="BP85" s="61">
        <f t="shared" si="59"/>
        <v>0</v>
      </c>
      <c r="BQ85" s="60">
        <f t="shared" si="60"/>
        <v>0</v>
      </c>
      <c r="BR85" s="198"/>
    </row>
    <row r="86" spans="1:70" x14ac:dyDescent="0.25">
      <c r="A86" s="169">
        <v>82</v>
      </c>
      <c r="B86" s="1">
        <f t="shared" si="61"/>
        <v>48014</v>
      </c>
      <c r="C86" s="60">
        <f t="shared" si="39"/>
        <v>21781574.999999996</v>
      </c>
      <c r="D86" s="60">
        <f t="shared" si="40"/>
        <v>19603417.499999996</v>
      </c>
      <c r="E86" s="60">
        <f t="shared" si="62"/>
        <v>31</v>
      </c>
      <c r="F86" s="60">
        <f t="shared" si="63"/>
        <v>446619137.72744608</v>
      </c>
      <c r="G86" s="60">
        <f>ROUND(F86*E86*Input!$C$3/365,0)</f>
        <v>5689805</v>
      </c>
      <c r="H86" s="60">
        <f>IF($A86&lt;=Input!$C$6,0,IF('Fixed Tenure'!D86&lt;'Fixed Tenure'!F86,'Fixed Tenure'!D86-G86,'Fixed Tenure'!F86))</f>
        <v>13913612.499999996</v>
      </c>
      <c r="I86" s="60">
        <f t="shared" si="64"/>
        <v>19603417.499999996</v>
      </c>
      <c r="J86" s="60">
        <f t="shared" si="65"/>
        <v>432705525.22744608</v>
      </c>
      <c r="K86" s="202">
        <f>J86/Input!$K$5</f>
        <v>1.4423517507581536</v>
      </c>
      <c r="L86" s="232"/>
      <c r="M86" s="60">
        <f>IF($B86&lt;Input!$H$43,IF($B86&lt;Input!$G$43,IF($B86&lt;Input!$F$43,IF($B86&lt;Input!$E$43,IF($B86&lt;Input!$D$43,Input!$C$49,Input!$D$49),Input!$E$49),Input!$F$49),Input!$G$49),Input!$H$49)</f>
        <v>21781574.999999996</v>
      </c>
      <c r="N86" s="190">
        <f>IF($A86&lt;Input!$H$50,IF($A86&lt;Input!$G$50,IF($A86&lt;Input!$F$50,IF($A86&lt;Input!$E$50,IF($A86&lt;Input!$D$50,Input!$C$51,Input!$D$51),Input!$E$51),Input!$F$51),Input!$G$51),Input!$H$51)</f>
        <v>0.9</v>
      </c>
      <c r="O86" s="60">
        <f t="shared" si="38"/>
        <v>19603417.499999996</v>
      </c>
      <c r="P86" s="60">
        <f t="shared" si="41"/>
        <v>31</v>
      </c>
      <c r="Q86" s="60">
        <f t="shared" si="42"/>
        <v>446619137.72744608</v>
      </c>
      <c r="R86" s="60">
        <f>ROUND(Q86*$P86*Input!$C$3/365,0)</f>
        <v>5689805</v>
      </c>
      <c r="S86" s="60">
        <f>IF(A86&lt;=Input!$C$6,0,IF('Fixed Tenure'!O86&lt;'Fixed Tenure'!Q86,'Fixed Tenure'!O86-R86,'Fixed Tenure'!Q86))</f>
        <v>13913612.499999996</v>
      </c>
      <c r="T86" s="60">
        <f t="shared" si="43"/>
        <v>19603417.499999996</v>
      </c>
      <c r="U86" s="60">
        <f t="shared" si="44"/>
        <v>432705525.22744608</v>
      </c>
      <c r="V86" s="193"/>
      <c r="W86" s="169">
        <v>82</v>
      </c>
      <c r="X86" s="1">
        <f t="shared" si="66"/>
        <v>48014</v>
      </c>
      <c r="Y86" s="60">
        <f>IF($X86&lt;Input!$H$58,IF($X86&lt;Input!$G$58,IF($X86&lt;Input!$F$58,IF($X86&lt;Input!$E$58,IF($X86&lt;Input!$D$58,Input!$C$64,Input!$D$64),Input!$E$64),Input!$F$64),Input!$G$64),Input!$H$64)</f>
        <v>0</v>
      </c>
      <c r="Z86" s="190">
        <f>IF($A86&lt;Input!$H$65,IF($A86&lt;Input!$G$65,IF($A86&lt;Input!$F$65,IF($A86&lt;Input!$E$65,IF($A86&lt;Input!$D$65,Input!$C$66,Input!$D$66),Input!$E$66),Input!$F$66),Input!$G$66),Input!$H$66)</f>
        <v>0.9</v>
      </c>
      <c r="AA86" s="60">
        <f t="shared" si="45"/>
        <v>0</v>
      </c>
      <c r="AB86" s="60">
        <f t="shared" si="67"/>
        <v>31</v>
      </c>
      <c r="AC86" s="60">
        <f t="shared" si="46"/>
        <v>0</v>
      </c>
      <c r="AD86" s="60">
        <f>ROUND(AC86*AB86*Input!$C$3/365,0)</f>
        <v>0</v>
      </c>
      <c r="AE86" s="61">
        <f>IF($A86&lt;=Input!$C$6,0,IF('Fixed Tenure'!AA86&lt;'Fixed Tenure'!AC86,'Fixed Tenure'!AA86-AD86,'Fixed Tenure'!AC86))</f>
        <v>0</v>
      </c>
      <c r="AF86" s="61">
        <f t="shared" si="47"/>
        <v>0</v>
      </c>
      <c r="AG86" s="60">
        <f t="shared" si="48"/>
        <v>0</v>
      </c>
      <c r="AH86" s="193"/>
      <c r="AI86" s="169">
        <v>82</v>
      </c>
      <c r="AJ86" s="1">
        <f t="shared" si="68"/>
        <v>48014</v>
      </c>
      <c r="AK86" s="60">
        <f>IF($X86&lt;Input!$H$73,IF($X86&lt;Input!$G$73,IF($X86&lt;Input!$F$73,IF($X86&lt;Input!$E$73,IF($X86&lt;Input!$D$73,Input!$C$79,Input!$D$79),Input!$E$79),Input!$F$79),Input!$G$79),Input!$H$79)</f>
        <v>0</v>
      </c>
      <c r="AL86" s="190">
        <f>IF($A86&lt;Input!$H$80,IF($A86&lt;Input!$G$80,IF($A86&lt;Input!$F$80,IF($A86&lt;Input!$E$80,IF($A86&lt;Input!$D$80,Input!$C$81,Input!$D$81),Input!$E$81),Input!$F$81),Input!$G$81),Input!$H$81)</f>
        <v>0.9</v>
      </c>
      <c r="AM86" s="60">
        <f t="shared" si="49"/>
        <v>0</v>
      </c>
      <c r="AN86" s="60">
        <f t="shared" si="69"/>
        <v>31</v>
      </c>
      <c r="AO86" s="60">
        <f t="shared" si="50"/>
        <v>0</v>
      </c>
      <c r="AP86" s="60">
        <f>ROUND(AO86*AN86*Input!$C$3/365,0)</f>
        <v>0</v>
      </c>
      <c r="AQ86" s="61">
        <f>IF($A86&lt;=Input!$C$6,0,IF('Fixed Tenure'!AM86&lt;'Fixed Tenure'!AO86,'Fixed Tenure'!AM86-AP86,'Fixed Tenure'!AO86))</f>
        <v>0</v>
      </c>
      <c r="AR86" s="61">
        <f t="shared" si="51"/>
        <v>0</v>
      </c>
      <c r="AS86" s="60">
        <f t="shared" si="52"/>
        <v>0</v>
      </c>
      <c r="AT86" s="193"/>
      <c r="AU86" s="169">
        <v>82</v>
      </c>
      <c r="AV86" s="1">
        <f t="shared" si="70"/>
        <v>48014</v>
      </c>
      <c r="AW86" s="60">
        <f>IF($X86&lt;Input!$H$88,IF($X86&lt;Input!$G$88,IF($X86&lt;Input!$F$88,IF($X86&lt;Input!$E$88,IF($X86&lt;Input!$D$88,Input!$C$94,Input!$D$94),Input!$E$94),Input!$F$94),Input!$G$94),Input!$H$94)</f>
        <v>0</v>
      </c>
      <c r="AX86" s="190">
        <f>IF($A86&lt;Input!$H$95,IF($A86&lt;Input!$G$95,IF($A86&lt;Input!$F$95,IF($A86&lt;Input!$E$95,IF($A86&lt;Input!$D$95,Input!$C$96,Input!$D$96),Input!$E$96),Input!$F$96),Input!$G$96),Input!$H$96)</f>
        <v>0.9</v>
      </c>
      <c r="AY86" s="60">
        <f t="shared" si="53"/>
        <v>0</v>
      </c>
      <c r="AZ86" s="60">
        <f t="shared" si="71"/>
        <v>31</v>
      </c>
      <c r="BA86" s="60">
        <f t="shared" si="54"/>
        <v>0</v>
      </c>
      <c r="BB86" s="60">
        <f>ROUND(BA86*AZ86*Input!$C$3/365,0)</f>
        <v>0</v>
      </c>
      <c r="BC86" s="61">
        <f>IF($A86&lt;=Input!$C$6,0,IF('Fixed Tenure'!AY86&lt;'Fixed Tenure'!BA86,'Fixed Tenure'!AY86-BB86,'Fixed Tenure'!BA86))</f>
        <v>0</v>
      </c>
      <c r="BD86" s="61">
        <f t="shared" si="55"/>
        <v>0</v>
      </c>
      <c r="BE86" s="60">
        <f t="shared" si="56"/>
        <v>0</v>
      </c>
      <c r="BF86" s="193"/>
      <c r="BG86" s="169">
        <v>82</v>
      </c>
      <c r="BH86" s="1">
        <f t="shared" si="72"/>
        <v>48014</v>
      </c>
      <c r="BI86" s="60">
        <f>IF($X86&lt;Input!$H$103,IF($X86&lt;Input!$G$103,IF($X86&lt;Input!$F$103,IF($X86&lt;Input!$E$103,IF($X86&lt;Input!$D$103,Input!$C$109,Input!$D$109),Input!$E$109),Input!$F$109),Input!$G$109),Input!$H$109)</f>
        <v>0</v>
      </c>
      <c r="BJ86" s="190">
        <f>IF($A86&lt;Input!$H$110,IF($A86&lt;Input!$G$110,IF($A86&lt;Input!$F$110,IF($A86&lt;Input!$E$110,IF($A86&lt;Input!$D$110,Input!$C$111,Input!$D$111),Input!$E$111),Input!$F$111),Input!$G$111),Input!$H$111)</f>
        <v>0.9</v>
      </c>
      <c r="BK86" s="60">
        <f t="shared" si="57"/>
        <v>0</v>
      </c>
      <c r="BL86" s="60">
        <f t="shared" si="73"/>
        <v>31</v>
      </c>
      <c r="BM86" s="60">
        <f t="shared" si="58"/>
        <v>0</v>
      </c>
      <c r="BN86" s="60">
        <f>ROUND(BM86*BL86*Input!$C$3/365,0)</f>
        <v>0</v>
      </c>
      <c r="BO86" s="61">
        <f>IF($A86&lt;=Input!$C$6,0,IF('Fixed Tenure'!BK86&lt;'Fixed Tenure'!BM86,'Fixed Tenure'!BK86-BN86,'Fixed Tenure'!BM86))</f>
        <v>0</v>
      </c>
      <c r="BP86" s="61">
        <f t="shared" si="59"/>
        <v>0</v>
      </c>
      <c r="BQ86" s="60">
        <f t="shared" si="60"/>
        <v>0</v>
      </c>
      <c r="BR86" s="198"/>
    </row>
    <row r="87" spans="1:70" x14ac:dyDescent="0.25">
      <c r="A87" s="169">
        <v>83</v>
      </c>
      <c r="B87" s="1">
        <f t="shared" si="61"/>
        <v>48044</v>
      </c>
      <c r="C87" s="60">
        <f t="shared" si="39"/>
        <v>21781574.999999996</v>
      </c>
      <c r="D87" s="60">
        <f t="shared" si="40"/>
        <v>19603417.499999996</v>
      </c>
      <c r="E87" s="60">
        <f t="shared" si="62"/>
        <v>30</v>
      </c>
      <c r="F87" s="60">
        <f t="shared" si="63"/>
        <v>432705525.22744608</v>
      </c>
      <c r="G87" s="60">
        <f>ROUND(F87*E87*Input!$C$3/365,0)</f>
        <v>5334726</v>
      </c>
      <c r="H87" s="60">
        <f>IF($A87&lt;=Input!$C$6,0,IF('Fixed Tenure'!D87&lt;'Fixed Tenure'!F87,'Fixed Tenure'!D87-G87,'Fixed Tenure'!F87))</f>
        <v>14268691.499999996</v>
      </c>
      <c r="I87" s="60">
        <f t="shared" si="64"/>
        <v>19603417.499999996</v>
      </c>
      <c r="J87" s="60">
        <f t="shared" si="65"/>
        <v>418436833.72744608</v>
      </c>
      <c r="K87" s="202">
        <f>J87/Input!$K$5</f>
        <v>1.3947894457581536</v>
      </c>
      <c r="L87" s="232"/>
      <c r="M87" s="60">
        <f>IF($B87&lt;Input!$H$43,IF($B87&lt;Input!$G$43,IF($B87&lt;Input!$F$43,IF($B87&lt;Input!$E$43,IF($B87&lt;Input!$D$43,Input!$C$49,Input!$D$49),Input!$E$49),Input!$F$49),Input!$G$49),Input!$H$49)</f>
        <v>21781574.999999996</v>
      </c>
      <c r="N87" s="190">
        <f>IF($A87&lt;Input!$H$50,IF($A87&lt;Input!$G$50,IF($A87&lt;Input!$F$50,IF($A87&lt;Input!$E$50,IF($A87&lt;Input!$D$50,Input!$C$51,Input!$D$51),Input!$E$51),Input!$F$51),Input!$G$51),Input!$H$51)</f>
        <v>0.9</v>
      </c>
      <c r="O87" s="60">
        <f t="shared" si="38"/>
        <v>19603417.499999996</v>
      </c>
      <c r="P87" s="60">
        <f t="shared" si="41"/>
        <v>30</v>
      </c>
      <c r="Q87" s="60">
        <f t="shared" si="42"/>
        <v>432705525.22744608</v>
      </c>
      <c r="R87" s="60">
        <f>ROUND(Q87*$P87*Input!$C$3/365,0)</f>
        <v>5334726</v>
      </c>
      <c r="S87" s="60">
        <f>IF(A87&lt;=Input!$C$6,0,IF('Fixed Tenure'!O87&lt;'Fixed Tenure'!Q87,'Fixed Tenure'!O87-R87,'Fixed Tenure'!Q87))</f>
        <v>14268691.499999996</v>
      </c>
      <c r="T87" s="60">
        <f t="shared" si="43"/>
        <v>19603417.499999996</v>
      </c>
      <c r="U87" s="60">
        <f t="shared" si="44"/>
        <v>418436833.72744608</v>
      </c>
      <c r="V87" s="193"/>
      <c r="W87" s="169">
        <v>83</v>
      </c>
      <c r="X87" s="1">
        <f t="shared" si="66"/>
        <v>48044</v>
      </c>
      <c r="Y87" s="60">
        <f>IF($X87&lt;Input!$H$58,IF($X87&lt;Input!$G$58,IF($X87&lt;Input!$F$58,IF($X87&lt;Input!$E$58,IF($X87&lt;Input!$D$58,Input!$C$64,Input!$D$64),Input!$E$64),Input!$F$64),Input!$G$64),Input!$H$64)</f>
        <v>0</v>
      </c>
      <c r="Z87" s="190">
        <f>IF($A87&lt;Input!$H$65,IF($A87&lt;Input!$G$65,IF($A87&lt;Input!$F$65,IF($A87&lt;Input!$E$65,IF($A87&lt;Input!$D$65,Input!$C$66,Input!$D$66),Input!$E$66),Input!$F$66),Input!$G$66),Input!$H$66)</f>
        <v>0.9</v>
      </c>
      <c r="AA87" s="60">
        <f t="shared" si="45"/>
        <v>0</v>
      </c>
      <c r="AB87" s="60">
        <f t="shared" si="67"/>
        <v>30</v>
      </c>
      <c r="AC87" s="60">
        <f t="shared" si="46"/>
        <v>0</v>
      </c>
      <c r="AD87" s="60">
        <f>ROUND(AC87*AB87*Input!$C$3/365,0)</f>
        <v>0</v>
      </c>
      <c r="AE87" s="61">
        <f>IF($A87&lt;=Input!$C$6,0,IF('Fixed Tenure'!AA87&lt;'Fixed Tenure'!AC87,'Fixed Tenure'!AA87-AD87,'Fixed Tenure'!AC87))</f>
        <v>0</v>
      </c>
      <c r="AF87" s="61">
        <f t="shared" si="47"/>
        <v>0</v>
      </c>
      <c r="AG87" s="60">
        <f t="shared" si="48"/>
        <v>0</v>
      </c>
      <c r="AH87" s="193"/>
      <c r="AI87" s="169">
        <v>83</v>
      </c>
      <c r="AJ87" s="1">
        <f t="shared" si="68"/>
        <v>48044</v>
      </c>
      <c r="AK87" s="60">
        <f>IF($X87&lt;Input!$H$73,IF($X87&lt;Input!$G$73,IF($X87&lt;Input!$F$73,IF($X87&lt;Input!$E$73,IF($X87&lt;Input!$D$73,Input!$C$79,Input!$D$79),Input!$E$79),Input!$F$79),Input!$G$79),Input!$H$79)</f>
        <v>0</v>
      </c>
      <c r="AL87" s="190">
        <f>IF($A87&lt;Input!$H$80,IF($A87&lt;Input!$G$80,IF($A87&lt;Input!$F$80,IF($A87&lt;Input!$E$80,IF($A87&lt;Input!$D$80,Input!$C$81,Input!$D$81),Input!$E$81),Input!$F$81),Input!$G$81),Input!$H$81)</f>
        <v>0.9</v>
      </c>
      <c r="AM87" s="60">
        <f t="shared" si="49"/>
        <v>0</v>
      </c>
      <c r="AN87" s="60">
        <f t="shared" si="69"/>
        <v>30</v>
      </c>
      <c r="AO87" s="60">
        <f t="shared" si="50"/>
        <v>0</v>
      </c>
      <c r="AP87" s="60">
        <f>ROUND(AO87*AN87*Input!$C$3/365,0)</f>
        <v>0</v>
      </c>
      <c r="AQ87" s="61">
        <f>IF($A87&lt;=Input!$C$6,0,IF('Fixed Tenure'!AM87&lt;'Fixed Tenure'!AO87,'Fixed Tenure'!AM87-AP87,'Fixed Tenure'!AO87))</f>
        <v>0</v>
      </c>
      <c r="AR87" s="61">
        <f t="shared" si="51"/>
        <v>0</v>
      </c>
      <c r="AS87" s="60">
        <f t="shared" si="52"/>
        <v>0</v>
      </c>
      <c r="AT87" s="193"/>
      <c r="AU87" s="169">
        <v>83</v>
      </c>
      <c r="AV87" s="1">
        <f t="shared" si="70"/>
        <v>48044</v>
      </c>
      <c r="AW87" s="60">
        <f>IF($X87&lt;Input!$H$88,IF($X87&lt;Input!$G$88,IF($X87&lt;Input!$F$88,IF($X87&lt;Input!$E$88,IF($X87&lt;Input!$D$88,Input!$C$94,Input!$D$94),Input!$E$94),Input!$F$94),Input!$G$94),Input!$H$94)</f>
        <v>0</v>
      </c>
      <c r="AX87" s="190">
        <f>IF($A87&lt;Input!$H$95,IF($A87&lt;Input!$G$95,IF($A87&lt;Input!$F$95,IF($A87&lt;Input!$E$95,IF($A87&lt;Input!$D$95,Input!$C$96,Input!$D$96),Input!$E$96),Input!$F$96),Input!$G$96),Input!$H$96)</f>
        <v>0.9</v>
      </c>
      <c r="AY87" s="60">
        <f t="shared" si="53"/>
        <v>0</v>
      </c>
      <c r="AZ87" s="60">
        <f t="shared" si="71"/>
        <v>30</v>
      </c>
      <c r="BA87" s="60">
        <f t="shared" si="54"/>
        <v>0</v>
      </c>
      <c r="BB87" s="60">
        <f>ROUND(BA87*AZ87*Input!$C$3/365,0)</f>
        <v>0</v>
      </c>
      <c r="BC87" s="61">
        <f>IF($A87&lt;=Input!$C$6,0,IF('Fixed Tenure'!AY87&lt;'Fixed Tenure'!BA87,'Fixed Tenure'!AY87-BB87,'Fixed Tenure'!BA87))</f>
        <v>0</v>
      </c>
      <c r="BD87" s="61">
        <f t="shared" si="55"/>
        <v>0</v>
      </c>
      <c r="BE87" s="60">
        <f t="shared" si="56"/>
        <v>0</v>
      </c>
      <c r="BF87" s="193"/>
      <c r="BG87" s="169">
        <v>83</v>
      </c>
      <c r="BH87" s="1">
        <f t="shared" si="72"/>
        <v>48044</v>
      </c>
      <c r="BI87" s="60">
        <f>IF($X87&lt;Input!$H$103,IF($X87&lt;Input!$G$103,IF($X87&lt;Input!$F$103,IF($X87&lt;Input!$E$103,IF($X87&lt;Input!$D$103,Input!$C$109,Input!$D$109),Input!$E$109),Input!$F$109),Input!$G$109),Input!$H$109)</f>
        <v>0</v>
      </c>
      <c r="BJ87" s="190">
        <f>IF($A87&lt;Input!$H$110,IF($A87&lt;Input!$G$110,IF($A87&lt;Input!$F$110,IF($A87&lt;Input!$E$110,IF($A87&lt;Input!$D$110,Input!$C$111,Input!$D$111),Input!$E$111),Input!$F$111),Input!$G$111),Input!$H$111)</f>
        <v>0.9</v>
      </c>
      <c r="BK87" s="60">
        <f t="shared" si="57"/>
        <v>0</v>
      </c>
      <c r="BL87" s="60">
        <f t="shared" si="73"/>
        <v>30</v>
      </c>
      <c r="BM87" s="60">
        <f t="shared" si="58"/>
        <v>0</v>
      </c>
      <c r="BN87" s="60">
        <f>ROUND(BM87*BL87*Input!$C$3/365,0)</f>
        <v>0</v>
      </c>
      <c r="BO87" s="61">
        <f>IF($A87&lt;=Input!$C$6,0,IF('Fixed Tenure'!BK87&lt;'Fixed Tenure'!BM87,'Fixed Tenure'!BK87-BN87,'Fixed Tenure'!BM87))</f>
        <v>0</v>
      </c>
      <c r="BP87" s="61">
        <f t="shared" si="59"/>
        <v>0</v>
      </c>
      <c r="BQ87" s="60">
        <f t="shared" si="60"/>
        <v>0</v>
      </c>
      <c r="BR87" s="198"/>
    </row>
    <row r="88" spans="1:70" x14ac:dyDescent="0.25">
      <c r="A88" s="169">
        <v>84</v>
      </c>
      <c r="B88" s="1">
        <f t="shared" si="61"/>
        <v>48075</v>
      </c>
      <c r="C88" s="60">
        <f t="shared" si="39"/>
        <v>21781574.999999996</v>
      </c>
      <c r="D88" s="60">
        <f t="shared" si="40"/>
        <v>19603417.499999996</v>
      </c>
      <c r="E88" s="60">
        <f t="shared" si="62"/>
        <v>31</v>
      </c>
      <c r="F88" s="60">
        <f t="shared" si="63"/>
        <v>418436833.72744608</v>
      </c>
      <c r="G88" s="60">
        <f>ROUND(F88*E88*Input!$C$3/365,0)</f>
        <v>5330771</v>
      </c>
      <c r="H88" s="60">
        <f>IF($A88&lt;=Input!$C$6,0,IF('Fixed Tenure'!D88&lt;'Fixed Tenure'!F88,'Fixed Tenure'!D88-G88,'Fixed Tenure'!F88))</f>
        <v>14272646.499999996</v>
      </c>
      <c r="I88" s="60">
        <f t="shared" si="64"/>
        <v>19603417.499999996</v>
      </c>
      <c r="J88" s="60">
        <f t="shared" si="65"/>
        <v>404164187.22744608</v>
      </c>
      <c r="K88" s="202">
        <f>J88/Input!$K$5</f>
        <v>1.3472139574248203</v>
      </c>
      <c r="L88" s="232"/>
      <c r="M88" s="60">
        <f>IF($B88&lt;Input!$H$43,IF($B88&lt;Input!$G$43,IF($B88&lt;Input!$F$43,IF($B88&lt;Input!$E$43,IF($B88&lt;Input!$D$43,Input!$C$49,Input!$D$49),Input!$E$49),Input!$F$49),Input!$G$49),Input!$H$49)</f>
        <v>21781574.999999996</v>
      </c>
      <c r="N88" s="190">
        <f>IF($A88&lt;Input!$H$50,IF($A88&lt;Input!$G$50,IF($A88&lt;Input!$F$50,IF($A88&lt;Input!$E$50,IF($A88&lt;Input!$D$50,Input!$C$51,Input!$D$51),Input!$E$51),Input!$F$51),Input!$G$51),Input!$H$51)</f>
        <v>0.9</v>
      </c>
      <c r="O88" s="60">
        <f t="shared" si="38"/>
        <v>19603417.499999996</v>
      </c>
      <c r="P88" s="60">
        <f t="shared" si="41"/>
        <v>31</v>
      </c>
      <c r="Q88" s="60">
        <f t="shared" si="42"/>
        <v>418436833.72744608</v>
      </c>
      <c r="R88" s="60">
        <f>ROUND(Q88*$P88*Input!$C$3/365,0)</f>
        <v>5330771</v>
      </c>
      <c r="S88" s="60">
        <f>IF(A88&lt;=Input!$C$6,0,IF('Fixed Tenure'!O88&lt;'Fixed Tenure'!Q88,'Fixed Tenure'!O88-R88,'Fixed Tenure'!Q88))</f>
        <v>14272646.499999996</v>
      </c>
      <c r="T88" s="60">
        <f t="shared" si="43"/>
        <v>19603417.499999996</v>
      </c>
      <c r="U88" s="60">
        <f t="shared" si="44"/>
        <v>404164187.22744608</v>
      </c>
      <c r="V88" s="193"/>
      <c r="W88" s="169">
        <v>84</v>
      </c>
      <c r="X88" s="1">
        <f t="shared" si="66"/>
        <v>48075</v>
      </c>
      <c r="Y88" s="60">
        <f>IF($X88&lt;Input!$H$58,IF($X88&lt;Input!$G$58,IF($X88&lt;Input!$F$58,IF($X88&lt;Input!$E$58,IF($X88&lt;Input!$D$58,Input!$C$64,Input!$D$64),Input!$E$64),Input!$F$64),Input!$G$64),Input!$H$64)</f>
        <v>0</v>
      </c>
      <c r="Z88" s="190">
        <f>IF($A88&lt;Input!$H$65,IF($A88&lt;Input!$G$65,IF($A88&lt;Input!$F$65,IF($A88&lt;Input!$E$65,IF($A88&lt;Input!$D$65,Input!$C$66,Input!$D$66),Input!$E$66),Input!$F$66),Input!$G$66),Input!$H$66)</f>
        <v>0.9</v>
      </c>
      <c r="AA88" s="60">
        <f t="shared" si="45"/>
        <v>0</v>
      </c>
      <c r="AB88" s="60">
        <f t="shared" si="67"/>
        <v>31</v>
      </c>
      <c r="AC88" s="60">
        <f t="shared" si="46"/>
        <v>0</v>
      </c>
      <c r="AD88" s="60">
        <f>ROUND(AC88*AB88*Input!$C$3/365,0)</f>
        <v>0</v>
      </c>
      <c r="AE88" s="61">
        <f>IF($A88&lt;=Input!$C$6,0,IF('Fixed Tenure'!AA88&lt;'Fixed Tenure'!AC88,'Fixed Tenure'!AA88-AD88,'Fixed Tenure'!AC88))</f>
        <v>0</v>
      </c>
      <c r="AF88" s="61">
        <f t="shared" si="47"/>
        <v>0</v>
      </c>
      <c r="AG88" s="60">
        <f t="shared" si="48"/>
        <v>0</v>
      </c>
      <c r="AH88" s="193"/>
      <c r="AI88" s="169">
        <v>84</v>
      </c>
      <c r="AJ88" s="1">
        <f t="shared" si="68"/>
        <v>48075</v>
      </c>
      <c r="AK88" s="60">
        <f>IF($X88&lt;Input!$H$73,IF($X88&lt;Input!$G$73,IF($X88&lt;Input!$F$73,IF($X88&lt;Input!$E$73,IF($X88&lt;Input!$D$73,Input!$C$79,Input!$D$79),Input!$E$79),Input!$F$79),Input!$G$79),Input!$H$79)</f>
        <v>0</v>
      </c>
      <c r="AL88" s="190">
        <f>IF($A88&lt;Input!$H$80,IF($A88&lt;Input!$G$80,IF($A88&lt;Input!$F$80,IF($A88&lt;Input!$E$80,IF($A88&lt;Input!$D$80,Input!$C$81,Input!$D$81),Input!$E$81),Input!$F$81),Input!$G$81),Input!$H$81)</f>
        <v>0.9</v>
      </c>
      <c r="AM88" s="60">
        <f t="shared" si="49"/>
        <v>0</v>
      </c>
      <c r="AN88" s="60">
        <f t="shared" si="69"/>
        <v>31</v>
      </c>
      <c r="AO88" s="60">
        <f t="shared" si="50"/>
        <v>0</v>
      </c>
      <c r="AP88" s="60">
        <f>ROUND(AO88*AN88*Input!$C$3/365,0)</f>
        <v>0</v>
      </c>
      <c r="AQ88" s="61">
        <f>IF($A88&lt;=Input!$C$6,0,IF('Fixed Tenure'!AM88&lt;'Fixed Tenure'!AO88,'Fixed Tenure'!AM88-AP88,'Fixed Tenure'!AO88))</f>
        <v>0</v>
      </c>
      <c r="AR88" s="61">
        <f t="shared" si="51"/>
        <v>0</v>
      </c>
      <c r="AS88" s="60">
        <f t="shared" si="52"/>
        <v>0</v>
      </c>
      <c r="AT88" s="193"/>
      <c r="AU88" s="169">
        <v>84</v>
      </c>
      <c r="AV88" s="1">
        <f t="shared" si="70"/>
        <v>48075</v>
      </c>
      <c r="AW88" s="60">
        <f>IF($X88&lt;Input!$H$88,IF($X88&lt;Input!$G$88,IF($X88&lt;Input!$F$88,IF($X88&lt;Input!$E$88,IF($X88&lt;Input!$D$88,Input!$C$94,Input!$D$94),Input!$E$94),Input!$F$94),Input!$G$94),Input!$H$94)</f>
        <v>0</v>
      </c>
      <c r="AX88" s="190">
        <f>IF($A88&lt;Input!$H$95,IF($A88&lt;Input!$G$95,IF($A88&lt;Input!$F$95,IF($A88&lt;Input!$E$95,IF($A88&lt;Input!$D$95,Input!$C$96,Input!$D$96),Input!$E$96),Input!$F$96),Input!$G$96),Input!$H$96)</f>
        <v>0.9</v>
      </c>
      <c r="AY88" s="60">
        <f t="shared" si="53"/>
        <v>0</v>
      </c>
      <c r="AZ88" s="60">
        <f t="shared" si="71"/>
        <v>31</v>
      </c>
      <c r="BA88" s="60">
        <f t="shared" si="54"/>
        <v>0</v>
      </c>
      <c r="BB88" s="60">
        <f>ROUND(BA88*AZ88*Input!$C$3/365,0)</f>
        <v>0</v>
      </c>
      <c r="BC88" s="61">
        <f>IF($A88&lt;=Input!$C$6,0,IF('Fixed Tenure'!AY88&lt;'Fixed Tenure'!BA88,'Fixed Tenure'!AY88-BB88,'Fixed Tenure'!BA88))</f>
        <v>0</v>
      </c>
      <c r="BD88" s="61">
        <f t="shared" si="55"/>
        <v>0</v>
      </c>
      <c r="BE88" s="60">
        <f t="shared" si="56"/>
        <v>0</v>
      </c>
      <c r="BF88" s="193"/>
      <c r="BG88" s="169">
        <v>84</v>
      </c>
      <c r="BH88" s="1">
        <f t="shared" si="72"/>
        <v>48075</v>
      </c>
      <c r="BI88" s="60">
        <f>IF($X88&lt;Input!$H$103,IF($X88&lt;Input!$G$103,IF($X88&lt;Input!$F$103,IF($X88&lt;Input!$E$103,IF($X88&lt;Input!$D$103,Input!$C$109,Input!$D$109),Input!$E$109),Input!$F$109),Input!$G$109),Input!$H$109)</f>
        <v>0</v>
      </c>
      <c r="BJ88" s="190">
        <f>IF($A88&lt;Input!$H$110,IF($A88&lt;Input!$G$110,IF($A88&lt;Input!$F$110,IF($A88&lt;Input!$E$110,IF($A88&lt;Input!$D$110,Input!$C$111,Input!$D$111),Input!$E$111),Input!$F$111),Input!$G$111),Input!$H$111)</f>
        <v>0.9</v>
      </c>
      <c r="BK88" s="60">
        <f t="shared" si="57"/>
        <v>0</v>
      </c>
      <c r="BL88" s="60">
        <f t="shared" si="73"/>
        <v>31</v>
      </c>
      <c r="BM88" s="60">
        <f t="shared" si="58"/>
        <v>0</v>
      </c>
      <c r="BN88" s="60">
        <f>ROUND(BM88*BL88*Input!$C$3/365,0)</f>
        <v>0</v>
      </c>
      <c r="BO88" s="61">
        <f>IF($A88&lt;=Input!$C$6,0,IF('Fixed Tenure'!BK88&lt;'Fixed Tenure'!BM88,'Fixed Tenure'!BK88-BN88,'Fixed Tenure'!BM88))</f>
        <v>0</v>
      </c>
      <c r="BP88" s="61">
        <f t="shared" si="59"/>
        <v>0</v>
      </c>
      <c r="BQ88" s="60">
        <f t="shared" si="60"/>
        <v>0</v>
      </c>
      <c r="BR88" s="198"/>
    </row>
    <row r="89" spans="1:70" x14ac:dyDescent="0.25">
      <c r="A89" s="169">
        <v>85</v>
      </c>
      <c r="B89" s="1">
        <f t="shared" si="61"/>
        <v>48106</v>
      </c>
      <c r="C89" s="60">
        <f t="shared" si="39"/>
        <v>21781574.999999996</v>
      </c>
      <c r="D89" s="60">
        <f t="shared" si="40"/>
        <v>19603417.499999996</v>
      </c>
      <c r="E89" s="60">
        <f t="shared" si="62"/>
        <v>31</v>
      </c>
      <c r="F89" s="60">
        <f t="shared" si="63"/>
        <v>404164187.22744608</v>
      </c>
      <c r="G89" s="60">
        <f>ROUND(F89*E89*Input!$C$3/365,0)</f>
        <v>5148941</v>
      </c>
      <c r="H89" s="60">
        <f>IF($A89&lt;=Input!$C$6,0,IF('Fixed Tenure'!D89&lt;'Fixed Tenure'!F89,'Fixed Tenure'!D89-G89,'Fixed Tenure'!F89))</f>
        <v>14454476.499999996</v>
      </c>
      <c r="I89" s="60">
        <f t="shared" si="64"/>
        <v>19603417.499999996</v>
      </c>
      <c r="J89" s="60">
        <f t="shared" si="65"/>
        <v>389709710.72744608</v>
      </c>
      <c r="K89" s="202">
        <f>J89/Input!$K$5</f>
        <v>1.2990323690914869</v>
      </c>
      <c r="L89" s="232"/>
      <c r="M89" s="60">
        <f>IF($B89&lt;Input!$H$43,IF($B89&lt;Input!$G$43,IF($B89&lt;Input!$F$43,IF($B89&lt;Input!$E$43,IF($B89&lt;Input!$D$43,Input!$C$49,Input!$D$49),Input!$E$49),Input!$F$49),Input!$G$49),Input!$H$49)</f>
        <v>21781574.999999996</v>
      </c>
      <c r="N89" s="190">
        <f>IF($A89&lt;Input!$H$50,IF($A89&lt;Input!$G$50,IF($A89&lt;Input!$F$50,IF($A89&lt;Input!$E$50,IF($A89&lt;Input!$D$50,Input!$C$51,Input!$D$51),Input!$E$51),Input!$F$51),Input!$G$51),Input!$H$51)</f>
        <v>0.9</v>
      </c>
      <c r="O89" s="60">
        <f t="shared" si="38"/>
        <v>19603417.499999996</v>
      </c>
      <c r="P89" s="60">
        <f t="shared" si="41"/>
        <v>31</v>
      </c>
      <c r="Q89" s="60">
        <f t="shared" si="42"/>
        <v>404164187.22744608</v>
      </c>
      <c r="R89" s="60">
        <f>ROUND(Q89*$P89*Input!$C$3/365,0)</f>
        <v>5148941</v>
      </c>
      <c r="S89" s="60">
        <f>IF(A89&lt;=Input!$C$6,0,IF('Fixed Tenure'!O89&lt;'Fixed Tenure'!Q89,'Fixed Tenure'!O89-R89,'Fixed Tenure'!Q89))</f>
        <v>14454476.499999996</v>
      </c>
      <c r="T89" s="60">
        <f t="shared" si="43"/>
        <v>19603417.499999996</v>
      </c>
      <c r="U89" s="60">
        <f t="shared" si="44"/>
        <v>389709710.72744608</v>
      </c>
      <c r="V89" s="193"/>
      <c r="W89" s="169">
        <v>85</v>
      </c>
      <c r="X89" s="1">
        <f t="shared" si="66"/>
        <v>48106</v>
      </c>
      <c r="Y89" s="60">
        <f>IF($X89&lt;Input!$H$58,IF($X89&lt;Input!$G$58,IF($X89&lt;Input!$F$58,IF($X89&lt;Input!$E$58,IF($X89&lt;Input!$D$58,Input!$C$64,Input!$D$64),Input!$E$64),Input!$F$64),Input!$G$64),Input!$H$64)</f>
        <v>0</v>
      </c>
      <c r="Z89" s="190">
        <f>IF($A89&lt;Input!$H$65,IF($A89&lt;Input!$G$65,IF($A89&lt;Input!$F$65,IF($A89&lt;Input!$E$65,IF($A89&lt;Input!$D$65,Input!$C$66,Input!$D$66),Input!$E$66),Input!$F$66),Input!$G$66),Input!$H$66)</f>
        <v>0.9</v>
      </c>
      <c r="AA89" s="60">
        <f t="shared" si="45"/>
        <v>0</v>
      </c>
      <c r="AB89" s="60">
        <f t="shared" si="67"/>
        <v>31</v>
      </c>
      <c r="AC89" s="60">
        <f t="shared" si="46"/>
        <v>0</v>
      </c>
      <c r="AD89" s="60">
        <f>ROUND(AC89*AB89*Input!$C$3/365,0)</f>
        <v>0</v>
      </c>
      <c r="AE89" s="61">
        <f>IF($A89&lt;=Input!$C$6,0,IF('Fixed Tenure'!AA89&lt;'Fixed Tenure'!AC89,'Fixed Tenure'!AA89-AD89,'Fixed Tenure'!AC89))</f>
        <v>0</v>
      </c>
      <c r="AF89" s="61">
        <f t="shared" si="47"/>
        <v>0</v>
      </c>
      <c r="AG89" s="60">
        <f t="shared" si="48"/>
        <v>0</v>
      </c>
      <c r="AH89" s="193"/>
      <c r="AI89" s="169">
        <v>85</v>
      </c>
      <c r="AJ89" s="1">
        <f t="shared" si="68"/>
        <v>48106</v>
      </c>
      <c r="AK89" s="60">
        <f>IF($X89&lt;Input!$H$73,IF($X89&lt;Input!$G$73,IF($X89&lt;Input!$F$73,IF($X89&lt;Input!$E$73,IF($X89&lt;Input!$D$73,Input!$C$79,Input!$D$79),Input!$E$79),Input!$F$79),Input!$G$79),Input!$H$79)</f>
        <v>0</v>
      </c>
      <c r="AL89" s="190">
        <f>IF($A89&lt;Input!$H$80,IF($A89&lt;Input!$G$80,IF($A89&lt;Input!$F$80,IF($A89&lt;Input!$E$80,IF($A89&lt;Input!$D$80,Input!$C$81,Input!$D$81),Input!$E$81),Input!$F$81),Input!$G$81),Input!$H$81)</f>
        <v>0.9</v>
      </c>
      <c r="AM89" s="60">
        <f t="shared" si="49"/>
        <v>0</v>
      </c>
      <c r="AN89" s="60">
        <f t="shared" si="69"/>
        <v>31</v>
      </c>
      <c r="AO89" s="60">
        <f t="shared" si="50"/>
        <v>0</v>
      </c>
      <c r="AP89" s="60">
        <f>ROUND(AO89*AN89*Input!$C$3/365,0)</f>
        <v>0</v>
      </c>
      <c r="AQ89" s="61">
        <f>IF($A89&lt;=Input!$C$6,0,IF('Fixed Tenure'!AM89&lt;'Fixed Tenure'!AO89,'Fixed Tenure'!AM89-AP89,'Fixed Tenure'!AO89))</f>
        <v>0</v>
      </c>
      <c r="AR89" s="61">
        <f t="shared" si="51"/>
        <v>0</v>
      </c>
      <c r="AS89" s="60">
        <f t="shared" si="52"/>
        <v>0</v>
      </c>
      <c r="AT89" s="193"/>
      <c r="AU89" s="169">
        <v>85</v>
      </c>
      <c r="AV89" s="1">
        <f t="shared" si="70"/>
        <v>48106</v>
      </c>
      <c r="AW89" s="60">
        <f>IF($X89&lt;Input!$H$88,IF($X89&lt;Input!$G$88,IF($X89&lt;Input!$F$88,IF($X89&lt;Input!$E$88,IF($X89&lt;Input!$D$88,Input!$C$94,Input!$D$94),Input!$E$94),Input!$F$94),Input!$G$94),Input!$H$94)</f>
        <v>0</v>
      </c>
      <c r="AX89" s="190">
        <f>IF($A89&lt;Input!$H$95,IF($A89&lt;Input!$G$95,IF($A89&lt;Input!$F$95,IF($A89&lt;Input!$E$95,IF($A89&lt;Input!$D$95,Input!$C$96,Input!$D$96),Input!$E$96),Input!$F$96),Input!$G$96),Input!$H$96)</f>
        <v>0.9</v>
      </c>
      <c r="AY89" s="60">
        <f t="shared" si="53"/>
        <v>0</v>
      </c>
      <c r="AZ89" s="60">
        <f t="shared" si="71"/>
        <v>31</v>
      </c>
      <c r="BA89" s="60">
        <f t="shared" si="54"/>
        <v>0</v>
      </c>
      <c r="BB89" s="60">
        <f>ROUND(BA89*AZ89*Input!$C$3/365,0)</f>
        <v>0</v>
      </c>
      <c r="BC89" s="61">
        <f>IF($A89&lt;=Input!$C$6,0,IF('Fixed Tenure'!AY89&lt;'Fixed Tenure'!BA89,'Fixed Tenure'!AY89-BB89,'Fixed Tenure'!BA89))</f>
        <v>0</v>
      </c>
      <c r="BD89" s="61">
        <f t="shared" si="55"/>
        <v>0</v>
      </c>
      <c r="BE89" s="60">
        <f t="shared" si="56"/>
        <v>0</v>
      </c>
      <c r="BF89" s="193"/>
      <c r="BG89" s="169">
        <v>85</v>
      </c>
      <c r="BH89" s="1">
        <f t="shared" si="72"/>
        <v>48106</v>
      </c>
      <c r="BI89" s="60">
        <f>IF($X89&lt;Input!$H$103,IF($X89&lt;Input!$G$103,IF($X89&lt;Input!$F$103,IF($X89&lt;Input!$E$103,IF($X89&lt;Input!$D$103,Input!$C$109,Input!$D$109),Input!$E$109),Input!$F$109),Input!$G$109),Input!$H$109)</f>
        <v>0</v>
      </c>
      <c r="BJ89" s="190">
        <f>IF($A89&lt;Input!$H$110,IF($A89&lt;Input!$G$110,IF($A89&lt;Input!$F$110,IF($A89&lt;Input!$E$110,IF($A89&lt;Input!$D$110,Input!$C$111,Input!$D$111),Input!$E$111),Input!$F$111),Input!$G$111),Input!$H$111)</f>
        <v>0.9</v>
      </c>
      <c r="BK89" s="60">
        <f t="shared" si="57"/>
        <v>0</v>
      </c>
      <c r="BL89" s="60">
        <f t="shared" si="73"/>
        <v>31</v>
      </c>
      <c r="BM89" s="60">
        <f t="shared" si="58"/>
        <v>0</v>
      </c>
      <c r="BN89" s="60">
        <f>ROUND(BM89*BL89*Input!$C$3/365,0)</f>
        <v>0</v>
      </c>
      <c r="BO89" s="61">
        <f>IF($A89&lt;=Input!$C$6,0,IF('Fixed Tenure'!BK89&lt;'Fixed Tenure'!BM89,'Fixed Tenure'!BK89-BN89,'Fixed Tenure'!BM89))</f>
        <v>0</v>
      </c>
      <c r="BP89" s="61">
        <f t="shared" si="59"/>
        <v>0</v>
      </c>
      <c r="BQ89" s="60">
        <f t="shared" si="60"/>
        <v>0</v>
      </c>
      <c r="BR89" s="198"/>
    </row>
    <row r="90" spans="1:70" x14ac:dyDescent="0.25">
      <c r="A90" s="169">
        <v>86</v>
      </c>
      <c r="B90" s="1">
        <f t="shared" si="61"/>
        <v>48136</v>
      </c>
      <c r="C90" s="60">
        <f t="shared" si="39"/>
        <v>21781574.999999996</v>
      </c>
      <c r="D90" s="60">
        <f t="shared" si="40"/>
        <v>19603417.499999996</v>
      </c>
      <c r="E90" s="60">
        <f t="shared" si="62"/>
        <v>30</v>
      </c>
      <c r="F90" s="60">
        <f t="shared" si="63"/>
        <v>389709710.72744608</v>
      </c>
      <c r="G90" s="60">
        <f>ROUND(F90*E90*Input!$C$3/365,0)</f>
        <v>4804640</v>
      </c>
      <c r="H90" s="60">
        <f>IF($A90&lt;=Input!$C$6,0,IF('Fixed Tenure'!D90&lt;'Fixed Tenure'!F90,'Fixed Tenure'!D90-G90,'Fixed Tenure'!F90))</f>
        <v>14798777.499999996</v>
      </c>
      <c r="I90" s="60">
        <f t="shared" si="64"/>
        <v>19603417.499999996</v>
      </c>
      <c r="J90" s="60">
        <f t="shared" si="65"/>
        <v>374910933.22744608</v>
      </c>
      <c r="K90" s="202">
        <f>J90/Input!$K$5</f>
        <v>1.2497031107581535</v>
      </c>
      <c r="L90" s="232"/>
      <c r="M90" s="60">
        <f>IF($B90&lt;Input!$H$43,IF($B90&lt;Input!$G$43,IF($B90&lt;Input!$F$43,IF($B90&lt;Input!$E$43,IF($B90&lt;Input!$D$43,Input!$C$49,Input!$D$49),Input!$E$49),Input!$F$49),Input!$G$49),Input!$H$49)</f>
        <v>21781574.999999996</v>
      </c>
      <c r="N90" s="190">
        <f>IF($A90&lt;Input!$H$50,IF($A90&lt;Input!$G$50,IF($A90&lt;Input!$F$50,IF($A90&lt;Input!$E$50,IF($A90&lt;Input!$D$50,Input!$C$51,Input!$D$51),Input!$E$51),Input!$F$51),Input!$G$51),Input!$H$51)</f>
        <v>0.9</v>
      </c>
      <c r="O90" s="60">
        <f t="shared" si="38"/>
        <v>19603417.499999996</v>
      </c>
      <c r="P90" s="60">
        <f t="shared" si="41"/>
        <v>30</v>
      </c>
      <c r="Q90" s="60">
        <f t="shared" si="42"/>
        <v>389709710.72744608</v>
      </c>
      <c r="R90" s="60">
        <f>ROUND(Q90*$P90*Input!$C$3/365,0)</f>
        <v>4804640</v>
      </c>
      <c r="S90" s="60">
        <f>IF(A90&lt;=Input!$C$6,0,IF('Fixed Tenure'!O90&lt;'Fixed Tenure'!Q90,'Fixed Tenure'!O90-R90,'Fixed Tenure'!Q90))</f>
        <v>14798777.499999996</v>
      </c>
      <c r="T90" s="60">
        <f t="shared" si="43"/>
        <v>19603417.499999996</v>
      </c>
      <c r="U90" s="60">
        <f t="shared" si="44"/>
        <v>374910933.22744608</v>
      </c>
      <c r="V90" s="193"/>
      <c r="W90" s="169">
        <v>86</v>
      </c>
      <c r="X90" s="1">
        <f t="shared" si="66"/>
        <v>48136</v>
      </c>
      <c r="Y90" s="60">
        <f>IF($X90&lt;Input!$H$58,IF($X90&lt;Input!$G$58,IF($X90&lt;Input!$F$58,IF($X90&lt;Input!$E$58,IF($X90&lt;Input!$D$58,Input!$C$64,Input!$D$64),Input!$E$64),Input!$F$64),Input!$G$64),Input!$H$64)</f>
        <v>0</v>
      </c>
      <c r="Z90" s="190">
        <f>IF($A90&lt;Input!$H$65,IF($A90&lt;Input!$G$65,IF($A90&lt;Input!$F$65,IF($A90&lt;Input!$E$65,IF($A90&lt;Input!$D$65,Input!$C$66,Input!$D$66),Input!$E$66),Input!$F$66),Input!$G$66),Input!$H$66)</f>
        <v>0.9</v>
      </c>
      <c r="AA90" s="60">
        <f t="shared" si="45"/>
        <v>0</v>
      </c>
      <c r="AB90" s="60">
        <f t="shared" si="67"/>
        <v>30</v>
      </c>
      <c r="AC90" s="60">
        <f t="shared" si="46"/>
        <v>0</v>
      </c>
      <c r="AD90" s="60">
        <f>ROUND(AC90*AB90*Input!$C$3/365,0)</f>
        <v>0</v>
      </c>
      <c r="AE90" s="61">
        <f>IF($A90&lt;=Input!$C$6,0,IF('Fixed Tenure'!AA90&lt;'Fixed Tenure'!AC90,'Fixed Tenure'!AA90-AD90,'Fixed Tenure'!AC90))</f>
        <v>0</v>
      </c>
      <c r="AF90" s="61">
        <f t="shared" si="47"/>
        <v>0</v>
      </c>
      <c r="AG90" s="60">
        <f t="shared" si="48"/>
        <v>0</v>
      </c>
      <c r="AH90" s="193"/>
      <c r="AI90" s="169">
        <v>86</v>
      </c>
      <c r="AJ90" s="1">
        <f t="shared" si="68"/>
        <v>48136</v>
      </c>
      <c r="AK90" s="60">
        <f>IF($X90&lt;Input!$H$73,IF($X90&lt;Input!$G$73,IF($X90&lt;Input!$F$73,IF($X90&lt;Input!$E$73,IF($X90&lt;Input!$D$73,Input!$C$79,Input!$D$79),Input!$E$79),Input!$F$79),Input!$G$79),Input!$H$79)</f>
        <v>0</v>
      </c>
      <c r="AL90" s="190">
        <f>IF($A90&lt;Input!$H$80,IF($A90&lt;Input!$G$80,IF($A90&lt;Input!$F$80,IF($A90&lt;Input!$E$80,IF($A90&lt;Input!$D$80,Input!$C$81,Input!$D$81),Input!$E$81),Input!$F$81),Input!$G$81),Input!$H$81)</f>
        <v>0.9</v>
      </c>
      <c r="AM90" s="60">
        <f t="shared" si="49"/>
        <v>0</v>
      </c>
      <c r="AN90" s="60">
        <f t="shared" si="69"/>
        <v>30</v>
      </c>
      <c r="AO90" s="60">
        <f t="shared" si="50"/>
        <v>0</v>
      </c>
      <c r="AP90" s="60">
        <f>ROUND(AO90*AN90*Input!$C$3/365,0)</f>
        <v>0</v>
      </c>
      <c r="AQ90" s="61">
        <f>IF($A90&lt;=Input!$C$6,0,IF('Fixed Tenure'!AM90&lt;'Fixed Tenure'!AO90,'Fixed Tenure'!AM90-AP90,'Fixed Tenure'!AO90))</f>
        <v>0</v>
      </c>
      <c r="AR90" s="61">
        <f t="shared" si="51"/>
        <v>0</v>
      </c>
      <c r="AS90" s="60">
        <f t="shared" si="52"/>
        <v>0</v>
      </c>
      <c r="AT90" s="193"/>
      <c r="AU90" s="169">
        <v>86</v>
      </c>
      <c r="AV90" s="1">
        <f t="shared" si="70"/>
        <v>48136</v>
      </c>
      <c r="AW90" s="60">
        <f>IF($X90&lt;Input!$H$88,IF($X90&lt;Input!$G$88,IF($X90&lt;Input!$F$88,IF($X90&lt;Input!$E$88,IF($X90&lt;Input!$D$88,Input!$C$94,Input!$D$94),Input!$E$94),Input!$F$94),Input!$G$94),Input!$H$94)</f>
        <v>0</v>
      </c>
      <c r="AX90" s="190">
        <f>IF($A90&lt;Input!$H$95,IF($A90&lt;Input!$G$95,IF($A90&lt;Input!$F$95,IF($A90&lt;Input!$E$95,IF($A90&lt;Input!$D$95,Input!$C$96,Input!$D$96),Input!$E$96),Input!$F$96),Input!$G$96),Input!$H$96)</f>
        <v>0.9</v>
      </c>
      <c r="AY90" s="60">
        <f t="shared" si="53"/>
        <v>0</v>
      </c>
      <c r="AZ90" s="60">
        <f t="shared" si="71"/>
        <v>30</v>
      </c>
      <c r="BA90" s="60">
        <f t="shared" si="54"/>
        <v>0</v>
      </c>
      <c r="BB90" s="60">
        <f>ROUND(BA90*AZ90*Input!$C$3/365,0)</f>
        <v>0</v>
      </c>
      <c r="BC90" s="61">
        <f>IF($A90&lt;=Input!$C$6,0,IF('Fixed Tenure'!AY90&lt;'Fixed Tenure'!BA90,'Fixed Tenure'!AY90-BB90,'Fixed Tenure'!BA90))</f>
        <v>0</v>
      </c>
      <c r="BD90" s="61">
        <f t="shared" si="55"/>
        <v>0</v>
      </c>
      <c r="BE90" s="60">
        <f t="shared" si="56"/>
        <v>0</v>
      </c>
      <c r="BF90" s="193"/>
      <c r="BG90" s="169">
        <v>86</v>
      </c>
      <c r="BH90" s="1">
        <f t="shared" si="72"/>
        <v>48136</v>
      </c>
      <c r="BI90" s="60">
        <f>IF($X90&lt;Input!$H$103,IF($X90&lt;Input!$G$103,IF($X90&lt;Input!$F$103,IF($X90&lt;Input!$E$103,IF($X90&lt;Input!$D$103,Input!$C$109,Input!$D$109),Input!$E$109),Input!$F$109),Input!$G$109),Input!$H$109)</f>
        <v>0</v>
      </c>
      <c r="BJ90" s="190">
        <f>IF($A90&lt;Input!$H$110,IF($A90&lt;Input!$G$110,IF($A90&lt;Input!$F$110,IF($A90&lt;Input!$E$110,IF($A90&lt;Input!$D$110,Input!$C$111,Input!$D$111),Input!$E$111),Input!$F$111),Input!$G$111),Input!$H$111)</f>
        <v>0.9</v>
      </c>
      <c r="BK90" s="60">
        <f t="shared" si="57"/>
        <v>0</v>
      </c>
      <c r="BL90" s="60">
        <f t="shared" si="73"/>
        <v>30</v>
      </c>
      <c r="BM90" s="60">
        <f t="shared" si="58"/>
        <v>0</v>
      </c>
      <c r="BN90" s="60">
        <f>ROUND(BM90*BL90*Input!$C$3/365,0)</f>
        <v>0</v>
      </c>
      <c r="BO90" s="61">
        <f>IF($A90&lt;=Input!$C$6,0,IF('Fixed Tenure'!BK90&lt;'Fixed Tenure'!BM90,'Fixed Tenure'!BK90-BN90,'Fixed Tenure'!BM90))</f>
        <v>0</v>
      </c>
      <c r="BP90" s="61">
        <f t="shared" si="59"/>
        <v>0</v>
      </c>
      <c r="BQ90" s="60">
        <f t="shared" si="60"/>
        <v>0</v>
      </c>
      <c r="BR90" s="198"/>
    </row>
    <row r="91" spans="1:70" x14ac:dyDescent="0.25">
      <c r="A91" s="169">
        <v>87</v>
      </c>
      <c r="B91" s="1">
        <f t="shared" si="61"/>
        <v>48167</v>
      </c>
      <c r="C91" s="60">
        <f t="shared" si="39"/>
        <v>21781574.999999996</v>
      </c>
      <c r="D91" s="60">
        <f t="shared" si="40"/>
        <v>19603417.499999996</v>
      </c>
      <c r="E91" s="60">
        <f t="shared" si="62"/>
        <v>31</v>
      </c>
      <c r="F91" s="60">
        <f t="shared" si="63"/>
        <v>374910933.22744608</v>
      </c>
      <c r="G91" s="60">
        <f>ROUND(F91*E91*Input!$C$3/365,0)</f>
        <v>4776263</v>
      </c>
      <c r="H91" s="60">
        <f>IF($A91&lt;=Input!$C$6,0,IF('Fixed Tenure'!D91&lt;'Fixed Tenure'!F91,'Fixed Tenure'!D91-G91,'Fixed Tenure'!F91))</f>
        <v>14827154.499999996</v>
      </c>
      <c r="I91" s="60">
        <f t="shared" si="64"/>
        <v>19603417.499999996</v>
      </c>
      <c r="J91" s="60">
        <f t="shared" si="65"/>
        <v>360083778.72744608</v>
      </c>
      <c r="K91" s="202">
        <f>J91/Input!$K$5</f>
        <v>1.2002792624248202</v>
      </c>
      <c r="L91" s="232"/>
      <c r="M91" s="60">
        <f>IF($B91&lt;Input!$H$43,IF($B91&lt;Input!$G$43,IF($B91&lt;Input!$F$43,IF($B91&lt;Input!$E$43,IF($B91&lt;Input!$D$43,Input!$C$49,Input!$D$49),Input!$E$49),Input!$F$49),Input!$G$49),Input!$H$49)</f>
        <v>21781574.999999996</v>
      </c>
      <c r="N91" s="190">
        <f>IF($A91&lt;Input!$H$50,IF($A91&lt;Input!$G$50,IF($A91&lt;Input!$F$50,IF($A91&lt;Input!$E$50,IF($A91&lt;Input!$D$50,Input!$C$51,Input!$D$51),Input!$E$51),Input!$F$51),Input!$G$51),Input!$H$51)</f>
        <v>0.9</v>
      </c>
      <c r="O91" s="60">
        <f t="shared" si="38"/>
        <v>19603417.499999996</v>
      </c>
      <c r="P91" s="60">
        <f t="shared" si="41"/>
        <v>31</v>
      </c>
      <c r="Q91" s="60">
        <f t="shared" si="42"/>
        <v>374910933.22744608</v>
      </c>
      <c r="R91" s="60">
        <f>ROUND(Q91*$P91*Input!$C$3/365,0)</f>
        <v>4776263</v>
      </c>
      <c r="S91" s="60">
        <f>IF(A91&lt;=Input!$C$6,0,IF('Fixed Tenure'!O91&lt;'Fixed Tenure'!Q91,'Fixed Tenure'!O91-R91,'Fixed Tenure'!Q91))</f>
        <v>14827154.499999996</v>
      </c>
      <c r="T91" s="60">
        <f t="shared" si="43"/>
        <v>19603417.499999996</v>
      </c>
      <c r="U91" s="60">
        <f t="shared" si="44"/>
        <v>360083778.72744608</v>
      </c>
      <c r="V91" s="193"/>
      <c r="W91" s="169">
        <v>87</v>
      </c>
      <c r="X91" s="1">
        <f t="shared" si="66"/>
        <v>48167</v>
      </c>
      <c r="Y91" s="60">
        <f>IF($X91&lt;Input!$H$58,IF($X91&lt;Input!$G$58,IF($X91&lt;Input!$F$58,IF($X91&lt;Input!$E$58,IF($X91&lt;Input!$D$58,Input!$C$64,Input!$D$64),Input!$E$64),Input!$F$64),Input!$G$64),Input!$H$64)</f>
        <v>0</v>
      </c>
      <c r="Z91" s="190">
        <f>IF($A91&lt;Input!$H$65,IF($A91&lt;Input!$G$65,IF($A91&lt;Input!$F$65,IF($A91&lt;Input!$E$65,IF($A91&lt;Input!$D$65,Input!$C$66,Input!$D$66),Input!$E$66),Input!$F$66),Input!$G$66),Input!$H$66)</f>
        <v>0.9</v>
      </c>
      <c r="AA91" s="60">
        <f t="shared" si="45"/>
        <v>0</v>
      </c>
      <c r="AB91" s="60">
        <f t="shared" si="67"/>
        <v>31</v>
      </c>
      <c r="AC91" s="60">
        <f t="shared" si="46"/>
        <v>0</v>
      </c>
      <c r="AD91" s="60">
        <f>ROUND(AC91*AB91*Input!$C$3/365,0)</f>
        <v>0</v>
      </c>
      <c r="AE91" s="61">
        <f>IF($A91&lt;=Input!$C$6,0,IF('Fixed Tenure'!AA91&lt;'Fixed Tenure'!AC91,'Fixed Tenure'!AA91-AD91,'Fixed Tenure'!AC91))</f>
        <v>0</v>
      </c>
      <c r="AF91" s="61">
        <f t="shared" si="47"/>
        <v>0</v>
      </c>
      <c r="AG91" s="60">
        <f t="shared" si="48"/>
        <v>0</v>
      </c>
      <c r="AH91" s="193"/>
      <c r="AI91" s="169">
        <v>87</v>
      </c>
      <c r="AJ91" s="1">
        <f t="shared" si="68"/>
        <v>48167</v>
      </c>
      <c r="AK91" s="60">
        <f>IF($X91&lt;Input!$H$73,IF($X91&lt;Input!$G$73,IF($X91&lt;Input!$F$73,IF($X91&lt;Input!$E$73,IF($X91&lt;Input!$D$73,Input!$C$79,Input!$D$79),Input!$E$79),Input!$F$79),Input!$G$79),Input!$H$79)</f>
        <v>0</v>
      </c>
      <c r="AL91" s="190">
        <f>IF($A91&lt;Input!$H$80,IF($A91&lt;Input!$G$80,IF($A91&lt;Input!$F$80,IF($A91&lt;Input!$E$80,IF($A91&lt;Input!$D$80,Input!$C$81,Input!$D$81),Input!$E$81),Input!$F$81),Input!$G$81),Input!$H$81)</f>
        <v>0.9</v>
      </c>
      <c r="AM91" s="60">
        <f t="shared" si="49"/>
        <v>0</v>
      </c>
      <c r="AN91" s="60">
        <f t="shared" si="69"/>
        <v>31</v>
      </c>
      <c r="AO91" s="60">
        <f t="shared" si="50"/>
        <v>0</v>
      </c>
      <c r="AP91" s="60">
        <f>ROUND(AO91*AN91*Input!$C$3/365,0)</f>
        <v>0</v>
      </c>
      <c r="AQ91" s="61">
        <f>IF($A91&lt;=Input!$C$6,0,IF('Fixed Tenure'!AM91&lt;'Fixed Tenure'!AO91,'Fixed Tenure'!AM91-AP91,'Fixed Tenure'!AO91))</f>
        <v>0</v>
      </c>
      <c r="AR91" s="61">
        <f t="shared" si="51"/>
        <v>0</v>
      </c>
      <c r="AS91" s="60">
        <f t="shared" si="52"/>
        <v>0</v>
      </c>
      <c r="AT91" s="193"/>
      <c r="AU91" s="169">
        <v>87</v>
      </c>
      <c r="AV91" s="1">
        <f t="shared" si="70"/>
        <v>48167</v>
      </c>
      <c r="AW91" s="60">
        <f>IF($X91&lt;Input!$H$88,IF($X91&lt;Input!$G$88,IF($X91&lt;Input!$F$88,IF($X91&lt;Input!$E$88,IF($X91&lt;Input!$D$88,Input!$C$94,Input!$D$94),Input!$E$94),Input!$F$94),Input!$G$94),Input!$H$94)</f>
        <v>0</v>
      </c>
      <c r="AX91" s="190">
        <f>IF($A91&lt;Input!$H$95,IF($A91&lt;Input!$G$95,IF($A91&lt;Input!$F$95,IF($A91&lt;Input!$E$95,IF($A91&lt;Input!$D$95,Input!$C$96,Input!$D$96),Input!$E$96),Input!$F$96),Input!$G$96),Input!$H$96)</f>
        <v>0.9</v>
      </c>
      <c r="AY91" s="60">
        <f t="shared" si="53"/>
        <v>0</v>
      </c>
      <c r="AZ91" s="60">
        <f t="shared" si="71"/>
        <v>31</v>
      </c>
      <c r="BA91" s="60">
        <f t="shared" si="54"/>
        <v>0</v>
      </c>
      <c r="BB91" s="60">
        <f>ROUND(BA91*AZ91*Input!$C$3/365,0)</f>
        <v>0</v>
      </c>
      <c r="BC91" s="61">
        <f>IF($A91&lt;=Input!$C$6,0,IF('Fixed Tenure'!AY91&lt;'Fixed Tenure'!BA91,'Fixed Tenure'!AY91-BB91,'Fixed Tenure'!BA91))</f>
        <v>0</v>
      </c>
      <c r="BD91" s="61">
        <f t="shared" si="55"/>
        <v>0</v>
      </c>
      <c r="BE91" s="60">
        <f t="shared" si="56"/>
        <v>0</v>
      </c>
      <c r="BF91" s="193"/>
      <c r="BG91" s="169">
        <v>87</v>
      </c>
      <c r="BH91" s="1">
        <f t="shared" si="72"/>
        <v>48167</v>
      </c>
      <c r="BI91" s="60">
        <f>IF($X91&lt;Input!$H$103,IF($X91&lt;Input!$G$103,IF($X91&lt;Input!$F$103,IF($X91&lt;Input!$E$103,IF($X91&lt;Input!$D$103,Input!$C$109,Input!$D$109),Input!$E$109),Input!$F$109),Input!$G$109),Input!$H$109)</f>
        <v>0</v>
      </c>
      <c r="BJ91" s="190">
        <f>IF($A91&lt;Input!$H$110,IF($A91&lt;Input!$G$110,IF($A91&lt;Input!$F$110,IF($A91&lt;Input!$E$110,IF($A91&lt;Input!$D$110,Input!$C$111,Input!$D$111),Input!$E$111),Input!$F$111),Input!$G$111),Input!$H$111)</f>
        <v>0.9</v>
      </c>
      <c r="BK91" s="60">
        <f t="shared" si="57"/>
        <v>0</v>
      </c>
      <c r="BL91" s="60">
        <f t="shared" si="73"/>
        <v>31</v>
      </c>
      <c r="BM91" s="60">
        <f t="shared" si="58"/>
        <v>0</v>
      </c>
      <c r="BN91" s="60">
        <f>ROUND(BM91*BL91*Input!$C$3/365,0)</f>
        <v>0</v>
      </c>
      <c r="BO91" s="61">
        <f>IF($A91&lt;=Input!$C$6,0,IF('Fixed Tenure'!BK91&lt;'Fixed Tenure'!BM91,'Fixed Tenure'!BK91-BN91,'Fixed Tenure'!BM91))</f>
        <v>0</v>
      </c>
      <c r="BP91" s="61">
        <f t="shared" si="59"/>
        <v>0</v>
      </c>
      <c r="BQ91" s="60">
        <f t="shared" si="60"/>
        <v>0</v>
      </c>
      <c r="BR91" s="198"/>
    </row>
    <row r="92" spans="1:70" x14ac:dyDescent="0.25">
      <c r="A92" s="169">
        <v>88</v>
      </c>
      <c r="B92" s="1">
        <f t="shared" si="61"/>
        <v>48197</v>
      </c>
      <c r="C92" s="60">
        <f t="shared" si="39"/>
        <v>21781574.999999996</v>
      </c>
      <c r="D92" s="60">
        <f t="shared" si="40"/>
        <v>19603417.499999996</v>
      </c>
      <c r="E92" s="60">
        <f t="shared" si="62"/>
        <v>30</v>
      </c>
      <c r="F92" s="60">
        <f t="shared" si="63"/>
        <v>360083778.72744608</v>
      </c>
      <c r="G92" s="60">
        <f>ROUND(F92*E92*Input!$C$3/365,0)</f>
        <v>4439389</v>
      </c>
      <c r="H92" s="60">
        <f>IF($A92&lt;=Input!$C$6,0,IF('Fixed Tenure'!D92&lt;'Fixed Tenure'!F92,'Fixed Tenure'!D92-G92,'Fixed Tenure'!F92))</f>
        <v>15164028.499999996</v>
      </c>
      <c r="I92" s="60">
        <f t="shared" si="64"/>
        <v>19603417.499999996</v>
      </c>
      <c r="J92" s="60">
        <f t="shared" si="65"/>
        <v>344919750.22744608</v>
      </c>
      <c r="K92" s="202">
        <f>J92/Input!$K$5</f>
        <v>1.1497325007581536</v>
      </c>
      <c r="L92" s="232"/>
      <c r="M92" s="60">
        <f>IF($B92&lt;Input!$H$43,IF($B92&lt;Input!$G$43,IF($B92&lt;Input!$F$43,IF($B92&lt;Input!$E$43,IF($B92&lt;Input!$D$43,Input!$C$49,Input!$D$49),Input!$E$49),Input!$F$49),Input!$G$49),Input!$H$49)</f>
        <v>21781574.999999996</v>
      </c>
      <c r="N92" s="190">
        <f>IF($A92&lt;Input!$H$50,IF($A92&lt;Input!$G$50,IF($A92&lt;Input!$F$50,IF($A92&lt;Input!$E$50,IF($A92&lt;Input!$D$50,Input!$C$51,Input!$D$51),Input!$E$51),Input!$F$51),Input!$G$51),Input!$H$51)</f>
        <v>0.9</v>
      </c>
      <c r="O92" s="60">
        <f t="shared" si="38"/>
        <v>19603417.499999996</v>
      </c>
      <c r="P92" s="60">
        <f t="shared" si="41"/>
        <v>30</v>
      </c>
      <c r="Q92" s="60">
        <f t="shared" si="42"/>
        <v>360083778.72744608</v>
      </c>
      <c r="R92" s="60">
        <f>ROUND(Q92*$P92*Input!$C$3/365,0)</f>
        <v>4439389</v>
      </c>
      <c r="S92" s="60">
        <f>IF(A92&lt;=Input!$C$6,0,IF('Fixed Tenure'!O92&lt;'Fixed Tenure'!Q92,'Fixed Tenure'!O92-R92,'Fixed Tenure'!Q92))</f>
        <v>15164028.499999996</v>
      </c>
      <c r="T92" s="60">
        <f t="shared" si="43"/>
        <v>19603417.499999996</v>
      </c>
      <c r="U92" s="60">
        <f t="shared" si="44"/>
        <v>344919750.22744608</v>
      </c>
      <c r="V92" s="193"/>
      <c r="W92" s="169">
        <v>88</v>
      </c>
      <c r="X92" s="1">
        <f t="shared" si="66"/>
        <v>48197</v>
      </c>
      <c r="Y92" s="60">
        <f>IF($X92&lt;Input!$H$58,IF($X92&lt;Input!$G$58,IF($X92&lt;Input!$F$58,IF($X92&lt;Input!$E$58,IF($X92&lt;Input!$D$58,Input!$C$64,Input!$D$64),Input!$E$64),Input!$F$64),Input!$G$64),Input!$H$64)</f>
        <v>0</v>
      </c>
      <c r="Z92" s="190">
        <f>IF($A92&lt;Input!$H$65,IF($A92&lt;Input!$G$65,IF($A92&lt;Input!$F$65,IF($A92&lt;Input!$E$65,IF($A92&lt;Input!$D$65,Input!$C$66,Input!$D$66),Input!$E$66),Input!$F$66),Input!$G$66),Input!$H$66)</f>
        <v>0.9</v>
      </c>
      <c r="AA92" s="60">
        <f t="shared" si="45"/>
        <v>0</v>
      </c>
      <c r="AB92" s="60">
        <f t="shared" si="67"/>
        <v>30</v>
      </c>
      <c r="AC92" s="60">
        <f t="shared" si="46"/>
        <v>0</v>
      </c>
      <c r="AD92" s="60">
        <f>ROUND(AC92*AB92*Input!$C$3/365,0)</f>
        <v>0</v>
      </c>
      <c r="AE92" s="61">
        <f>IF($A92&lt;=Input!$C$6,0,IF('Fixed Tenure'!AA92&lt;'Fixed Tenure'!AC92,'Fixed Tenure'!AA92-AD92,'Fixed Tenure'!AC92))</f>
        <v>0</v>
      </c>
      <c r="AF92" s="61">
        <f t="shared" si="47"/>
        <v>0</v>
      </c>
      <c r="AG92" s="60">
        <f t="shared" si="48"/>
        <v>0</v>
      </c>
      <c r="AH92" s="193"/>
      <c r="AI92" s="169">
        <v>88</v>
      </c>
      <c r="AJ92" s="1">
        <f t="shared" si="68"/>
        <v>48197</v>
      </c>
      <c r="AK92" s="60">
        <f>IF($X92&lt;Input!$H$73,IF($X92&lt;Input!$G$73,IF($X92&lt;Input!$F$73,IF($X92&lt;Input!$E$73,IF($X92&lt;Input!$D$73,Input!$C$79,Input!$D$79),Input!$E$79),Input!$F$79),Input!$G$79),Input!$H$79)</f>
        <v>0</v>
      </c>
      <c r="AL92" s="190">
        <f>IF($A92&lt;Input!$H$80,IF($A92&lt;Input!$G$80,IF($A92&lt;Input!$F$80,IF($A92&lt;Input!$E$80,IF($A92&lt;Input!$D$80,Input!$C$81,Input!$D$81),Input!$E$81),Input!$F$81),Input!$G$81),Input!$H$81)</f>
        <v>0.9</v>
      </c>
      <c r="AM92" s="60">
        <f t="shared" si="49"/>
        <v>0</v>
      </c>
      <c r="AN92" s="60">
        <f t="shared" si="69"/>
        <v>30</v>
      </c>
      <c r="AO92" s="60">
        <f t="shared" si="50"/>
        <v>0</v>
      </c>
      <c r="AP92" s="60">
        <f>ROUND(AO92*AN92*Input!$C$3/365,0)</f>
        <v>0</v>
      </c>
      <c r="AQ92" s="61">
        <f>IF($A92&lt;=Input!$C$6,0,IF('Fixed Tenure'!AM92&lt;'Fixed Tenure'!AO92,'Fixed Tenure'!AM92-AP92,'Fixed Tenure'!AO92))</f>
        <v>0</v>
      </c>
      <c r="AR92" s="61">
        <f t="shared" si="51"/>
        <v>0</v>
      </c>
      <c r="AS92" s="60">
        <f t="shared" si="52"/>
        <v>0</v>
      </c>
      <c r="AT92" s="193"/>
      <c r="AU92" s="169">
        <v>88</v>
      </c>
      <c r="AV92" s="1">
        <f t="shared" si="70"/>
        <v>48197</v>
      </c>
      <c r="AW92" s="60">
        <f>IF($X92&lt;Input!$H$88,IF($X92&lt;Input!$G$88,IF($X92&lt;Input!$F$88,IF($X92&lt;Input!$E$88,IF($X92&lt;Input!$D$88,Input!$C$94,Input!$D$94),Input!$E$94),Input!$F$94),Input!$G$94),Input!$H$94)</f>
        <v>0</v>
      </c>
      <c r="AX92" s="190">
        <f>IF($A92&lt;Input!$H$95,IF($A92&lt;Input!$G$95,IF($A92&lt;Input!$F$95,IF($A92&lt;Input!$E$95,IF($A92&lt;Input!$D$95,Input!$C$96,Input!$D$96),Input!$E$96),Input!$F$96),Input!$G$96),Input!$H$96)</f>
        <v>0.9</v>
      </c>
      <c r="AY92" s="60">
        <f t="shared" si="53"/>
        <v>0</v>
      </c>
      <c r="AZ92" s="60">
        <f t="shared" si="71"/>
        <v>30</v>
      </c>
      <c r="BA92" s="60">
        <f t="shared" si="54"/>
        <v>0</v>
      </c>
      <c r="BB92" s="60">
        <f>ROUND(BA92*AZ92*Input!$C$3/365,0)</f>
        <v>0</v>
      </c>
      <c r="BC92" s="61">
        <f>IF($A92&lt;=Input!$C$6,0,IF('Fixed Tenure'!AY92&lt;'Fixed Tenure'!BA92,'Fixed Tenure'!AY92-BB92,'Fixed Tenure'!BA92))</f>
        <v>0</v>
      </c>
      <c r="BD92" s="61">
        <f t="shared" si="55"/>
        <v>0</v>
      </c>
      <c r="BE92" s="60">
        <f t="shared" si="56"/>
        <v>0</v>
      </c>
      <c r="BF92" s="193"/>
      <c r="BG92" s="169">
        <v>88</v>
      </c>
      <c r="BH92" s="1">
        <f t="shared" si="72"/>
        <v>48197</v>
      </c>
      <c r="BI92" s="60">
        <f>IF($X92&lt;Input!$H$103,IF($X92&lt;Input!$G$103,IF($X92&lt;Input!$F$103,IF($X92&lt;Input!$E$103,IF($X92&lt;Input!$D$103,Input!$C$109,Input!$D$109),Input!$E$109),Input!$F$109),Input!$G$109),Input!$H$109)</f>
        <v>0</v>
      </c>
      <c r="BJ92" s="190">
        <f>IF($A92&lt;Input!$H$110,IF($A92&lt;Input!$G$110,IF($A92&lt;Input!$F$110,IF($A92&lt;Input!$E$110,IF($A92&lt;Input!$D$110,Input!$C$111,Input!$D$111),Input!$E$111),Input!$F$111),Input!$G$111),Input!$H$111)</f>
        <v>0.9</v>
      </c>
      <c r="BK92" s="60">
        <f t="shared" si="57"/>
        <v>0</v>
      </c>
      <c r="BL92" s="60">
        <f t="shared" si="73"/>
        <v>30</v>
      </c>
      <c r="BM92" s="60">
        <f t="shared" si="58"/>
        <v>0</v>
      </c>
      <c r="BN92" s="60">
        <f>ROUND(BM92*BL92*Input!$C$3/365,0)</f>
        <v>0</v>
      </c>
      <c r="BO92" s="61">
        <f>IF($A92&lt;=Input!$C$6,0,IF('Fixed Tenure'!BK92&lt;'Fixed Tenure'!BM92,'Fixed Tenure'!BK92-BN92,'Fixed Tenure'!BM92))</f>
        <v>0</v>
      </c>
      <c r="BP92" s="61">
        <f t="shared" si="59"/>
        <v>0</v>
      </c>
      <c r="BQ92" s="60">
        <f t="shared" si="60"/>
        <v>0</v>
      </c>
      <c r="BR92" s="198"/>
    </row>
    <row r="93" spans="1:70" x14ac:dyDescent="0.25">
      <c r="A93" s="169">
        <v>89</v>
      </c>
      <c r="B93" s="1">
        <f t="shared" si="61"/>
        <v>48228</v>
      </c>
      <c r="C93" s="60">
        <f t="shared" si="39"/>
        <v>21781574.999999996</v>
      </c>
      <c r="D93" s="60">
        <f t="shared" si="40"/>
        <v>19603417.499999996</v>
      </c>
      <c r="E93" s="60">
        <f t="shared" si="62"/>
        <v>31</v>
      </c>
      <c r="F93" s="60">
        <f t="shared" si="63"/>
        <v>344919750.22744608</v>
      </c>
      <c r="G93" s="60">
        <f>ROUND(F93*E93*Input!$C$3/365,0)</f>
        <v>4394183</v>
      </c>
      <c r="H93" s="60">
        <f>IF($A93&lt;=Input!$C$6,0,IF('Fixed Tenure'!D93&lt;'Fixed Tenure'!F93,'Fixed Tenure'!D93-G93,'Fixed Tenure'!F93))</f>
        <v>15209234.499999996</v>
      </c>
      <c r="I93" s="60">
        <f t="shared" si="64"/>
        <v>19603417.499999996</v>
      </c>
      <c r="J93" s="60">
        <f t="shared" si="65"/>
        <v>329710515.72744608</v>
      </c>
      <c r="K93" s="202">
        <f>J93/Input!$K$5</f>
        <v>1.0990350524248202</v>
      </c>
      <c r="L93" s="232"/>
      <c r="M93" s="60">
        <f>IF($B93&lt;Input!$H$43,IF($B93&lt;Input!$G$43,IF($B93&lt;Input!$F$43,IF($B93&lt;Input!$E$43,IF($B93&lt;Input!$D$43,Input!$C$49,Input!$D$49),Input!$E$49),Input!$F$49),Input!$G$49),Input!$H$49)</f>
        <v>21781574.999999996</v>
      </c>
      <c r="N93" s="190">
        <f>IF($A93&lt;Input!$H$50,IF($A93&lt;Input!$G$50,IF($A93&lt;Input!$F$50,IF($A93&lt;Input!$E$50,IF($A93&lt;Input!$D$50,Input!$C$51,Input!$D$51),Input!$E$51),Input!$F$51),Input!$G$51),Input!$H$51)</f>
        <v>0.9</v>
      </c>
      <c r="O93" s="60">
        <f t="shared" si="38"/>
        <v>19603417.499999996</v>
      </c>
      <c r="P93" s="60">
        <f t="shared" si="41"/>
        <v>31</v>
      </c>
      <c r="Q93" s="60">
        <f t="shared" si="42"/>
        <v>344919750.22744608</v>
      </c>
      <c r="R93" s="60">
        <f>ROUND(Q93*$P93*Input!$C$3/365,0)</f>
        <v>4394183</v>
      </c>
      <c r="S93" s="60">
        <f>IF(A93&lt;=Input!$C$6,0,IF('Fixed Tenure'!O93&lt;'Fixed Tenure'!Q93,'Fixed Tenure'!O93-R93,'Fixed Tenure'!Q93))</f>
        <v>15209234.499999996</v>
      </c>
      <c r="T93" s="60">
        <f t="shared" si="43"/>
        <v>19603417.499999996</v>
      </c>
      <c r="U93" s="60">
        <f t="shared" si="44"/>
        <v>329710515.72744608</v>
      </c>
      <c r="V93" s="193"/>
      <c r="W93" s="169">
        <v>89</v>
      </c>
      <c r="X93" s="1">
        <f t="shared" si="66"/>
        <v>48228</v>
      </c>
      <c r="Y93" s="60">
        <f>IF($X93&lt;Input!$H$58,IF($X93&lt;Input!$G$58,IF($X93&lt;Input!$F$58,IF($X93&lt;Input!$E$58,IF($X93&lt;Input!$D$58,Input!$C$64,Input!$D$64),Input!$E$64),Input!$F$64),Input!$G$64),Input!$H$64)</f>
        <v>0</v>
      </c>
      <c r="Z93" s="190">
        <f>IF($A93&lt;Input!$H$65,IF($A93&lt;Input!$G$65,IF($A93&lt;Input!$F$65,IF($A93&lt;Input!$E$65,IF($A93&lt;Input!$D$65,Input!$C$66,Input!$D$66),Input!$E$66),Input!$F$66),Input!$G$66),Input!$H$66)</f>
        <v>0.9</v>
      </c>
      <c r="AA93" s="60">
        <f t="shared" si="45"/>
        <v>0</v>
      </c>
      <c r="AB93" s="60">
        <f t="shared" si="67"/>
        <v>31</v>
      </c>
      <c r="AC93" s="60">
        <f t="shared" si="46"/>
        <v>0</v>
      </c>
      <c r="AD93" s="60">
        <f>ROUND(AC93*AB93*Input!$C$3/365,0)</f>
        <v>0</v>
      </c>
      <c r="AE93" s="61">
        <f>IF($A93&lt;=Input!$C$6,0,IF('Fixed Tenure'!AA93&lt;'Fixed Tenure'!AC93,'Fixed Tenure'!AA93-AD93,'Fixed Tenure'!AC93))</f>
        <v>0</v>
      </c>
      <c r="AF93" s="61">
        <f t="shared" si="47"/>
        <v>0</v>
      </c>
      <c r="AG93" s="60">
        <f t="shared" si="48"/>
        <v>0</v>
      </c>
      <c r="AH93" s="193"/>
      <c r="AI93" s="169">
        <v>89</v>
      </c>
      <c r="AJ93" s="1">
        <f t="shared" si="68"/>
        <v>48228</v>
      </c>
      <c r="AK93" s="60">
        <f>IF($X93&lt;Input!$H$73,IF($X93&lt;Input!$G$73,IF($X93&lt;Input!$F$73,IF($X93&lt;Input!$E$73,IF($X93&lt;Input!$D$73,Input!$C$79,Input!$D$79),Input!$E$79),Input!$F$79),Input!$G$79),Input!$H$79)</f>
        <v>0</v>
      </c>
      <c r="AL93" s="190">
        <f>IF($A93&lt;Input!$H$80,IF($A93&lt;Input!$G$80,IF($A93&lt;Input!$F$80,IF($A93&lt;Input!$E$80,IF($A93&lt;Input!$D$80,Input!$C$81,Input!$D$81),Input!$E$81),Input!$F$81),Input!$G$81),Input!$H$81)</f>
        <v>0.9</v>
      </c>
      <c r="AM93" s="60">
        <f t="shared" si="49"/>
        <v>0</v>
      </c>
      <c r="AN93" s="60">
        <f t="shared" si="69"/>
        <v>31</v>
      </c>
      <c r="AO93" s="60">
        <f t="shared" si="50"/>
        <v>0</v>
      </c>
      <c r="AP93" s="60">
        <f>ROUND(AO93*AN93*Input!$C$3/365,0)</f>
        <v>0</v>
      </c>
      <c r="AQ93" s="61">
        <f>IF($A93&lt;=Input!$C$6,0,IF('Fixed Tenure'!AM93&lt;'Fixed Tenure'!AO93,'Fixed Tenure'!AM93-AP93,'Fixed Tenure'!AO93))</f>
        <v>0</v>
      </c>
      <c r="AR93" s="61">
        <f t="shared" si="51"/>
        <v>0</v>
      </c>
      <c r="AS93" s="60">
        <f t="shared" si="52"/>
        <v>0</v>
      </c>
      <c r="AT93" s="193"/>
      <c r="AU93" s="169">
        <v>89</v>
      </c>
      <c r="AV93" s="1">
        <f t="shared" si="70"/>
        <v>48228</v>
      </c>
      <c r="AW93" s="60">
        <f>IF($X93&lt;Input!$H$88,IF($X93&lt;Input!$G$88,IF($X93&lt;Input!$F$88,IF($X93&lt;Input!$E$88,IF($X93&lt;Input!$D$88,Input!$C$94,Input!$D$94),Input!$E$94),Input!$F$94),Input!$G$94),Input!$H$94)</f>
        <v>0</v>
      </c>
      <c r="AX93" s="190">
        <f>IF($A93&lt;Input!$H$95,IF($A93&lt;Input!$G$95,IF($A93&lt;Input!$F$95,IF($A93&lt;Input!$E$95,IF($A93&lt;Input!$D$95,Input!$C$96,Input!$D$96),Input!$E$96),Input!$F$96),Input!$G$96),Input!$H$96)</f>
        <v>0.9</v>
      </c>
      <c r="AY93" s="60">
        <f t="shared" si="53"/>
        <v>0</v>
      </c>
      <c r="AZ93" s="60">
        <f t="shared" si="71"/>
        <v>31</v>
      </c>
      <c r="BA93" s="60">
        <f t="shared" si="54"/>
        <v>0</v>
      </c>
      <c r="BB93" s="60">
        <f>ROUND(BA93*AZ93*Input!$C$3/365,0)</f>
        <v>0</v>
      </c>
      <c r="BC93" s="61">
        <f>IF($A93&lt;=Input!$C$6,0,IF('Fixed Tenure'!AY93&lt;'Fixed Tenure'!BA93,'Fixed Tenure'!AY93-BB93,'Fixed Tenure'!BA93))</f>
        <v>0</v>
      </c>
      <c r="BD93" s="61">
        <f t="shared" si="55"/>
        <v>0</v>
      </c>
      <c r="BE93" s="60">
        <f t="shared" si="56"/>
        <v>0</v>
      </c>
      <c r="BF93" s="193"/>
      <c r="BG93" s="169">
        <v>89</v>
      </c>
      <c r="BH93" s="1">
        <f t="shared" si="72"/>
        <v>48228</v>
      </c>
      <c r="BI93" s="60">
        <f>IF($X93&lt;Input!$H$103,IF($X93&lt;Input!$G$103,IF($X93&lt;Input!$F$103,IF($X93&lt;Input!$E$103,IF($X93&lt;Input!$D$103,Input!$C$109,Input!$D$109),Input!$E$109),Input!$F$109),Input!$G$109),Input!$H$109)</f>
        <v>0</v>
      </c>
      <c r="BJ93" s="190">
        <f>IF($A93&lt;Input!$H$110,IF($A93&lt;Input!$G$110,IF($A93&lt;Input!$F$110,IF($A93&lt;Input!$E$110,IF($A93&lt;Input!$D$110,Input!$C$111,Input!$D$111),Input!$E$111),Input!$F$111),Input!$G$111),Input!$H$111)</f>
        <v>0.9</v>
      </c>
      <c r="BK93" s="60">
        <f t="shared" si="57"/>
        <v>0</v>
      </c>
      <c r="BL93" s="60">
        <f t="shared" si="73"/>
        <v>31</v>
      </c>
      <c r="BM93" s="60">
        <f t="shared" si="58"/>
        <v>0</v>
      </c>
      <c r="BN93" s="60">
        <f>ROUND(BM93*BL93*Input!$C$3/365,0)</f>
        <v>0</v>
      </c>
      <c r="BO93" s="61">
        <f>IF($A93&lt;=Input!$C$6,0,IF('Fixed Tenure'!BK93&lt;'Fixed Tenure'!BM93,'Fixed Tenure'!BK93-BN93,'Fixed Tenure'!BM93))</f>
        <v>0</v>
      </c>
      <c r="BP93" s="61">
        <f t="shared" si="59"/>
        <v>0</v>
      </c>
      <c r="BQ93" s="60">
        <f t="shared" si="60"/>
        <v>0</v>
      </c>
      <c r="BR93" s="198"/>
    </row>
    <row r="94" spans="1:70" x14ac:dyDescent="0.25">
      <c r="A94" s="169">
        <v>90</v>
      </c>
      <c r="B94" s="1">
        <f t="shared" si="61"/>
        <v>48259</v>
      </c>
      <c r="C94" s="60">
        <f t="shared" si="39"/>
        <v>21781574.999999996</v>
      </c>
      <c r="D94" s="60">
        <f t="shared" si="40"/>
        <v>19603417.499999996</v>
      </c>
      <c r="E94" s="60">
        <f t="shared" si="62"/>
        <v>31</v>
      </c>
      <c r="F94" s="60">
        <f t="shared" si="63"/>
        <v>329710515.72744608</v>
      </c>
      <c r="G94" s="60">
        <f>ROUND(F94*E94*Input!$C$3/365,0)</f>
        <v>4200422</v>
      </c>
      <c r="H94" s="60">
        <f>IF($A94&lt;=Input!$C$6,0,IF('Fixed Tenure'!D94&lt;'Fixed Tenure'!F94,'Fixed Tenure'!D94-G94,'Fixed Tenure'!F94))</f>
        <v>15402995.499999996</v>
      </c>
      <c r="I94" s="60">
        <f t="shared" si="64"/>
        <v>19603417.499999996</v>
      </c>
      <c r="J94" s="60">
        <f t="shared" si="65"/>
        <v>314307520.22744608</v>
      </c>
      <c r="K94" s="202">
        <f>J94/Input!$K$5</f>
        <v>1.0476917340914869</v>
      </c>
      <c r="L94" s="232"/>
      <c r="M94" s="60">
        <f>IF($B94&lt;Input!$H$43,IF($B94&lt;Input!$G$43,IF($B94&lt;Input!$F$43,IF($B94&lt;Input!$E$43,IF($B94&lt;Input!$D$43,Input!$C$49,Input!$D$49),Input!$E$49),Input!$F$49),Input!$G$49),Input!$H$49)</f>
        <v>21781574.999999996</v>
      </c>
      <c r="N94" s="190">
        <f>IF($A94&lt;Input!$H$50,IF($A94&lt;Input!$G$50,IF($A94&lt;Input!$F$50,IF($A94&lt;Input!$E$50,IF($A94&lt;Input!$D$50,Input!$C$51,Input!$D$51),Input!$E$51),Input!$F$51),Input!$G$51),Input!$H$51)</f>
        <v>0.9</v>
      </c>
      <c r="O94" s="60">
        <f t="shared" si="38"/>
        <v>19603417.499999996</v>
      </c>
      <c r="P94" s="60">
        <f t="shared" si="41"/>
        <v>31</v>
      </c>
      <c r="Q94" s="60">
        <f t="shared" si="42"/>
        <v>329710515.72744608</v>
      </c>
      <c r="R94" s="60">
        <f>ROUND(Q94*$P94*Input!$C$3/365,0)</f>
        <v>4200422</v>
      </c>
      <c r="S94" s="60">
        <f>IF(A94&lt;=Input!$C$6,0,IF('Fixed Tenure'!O94&lt;'Fixed Tenure'!Q94,'Fixed Tenure'!O94-R94,'Fixed Tenure'!Q94))</f>
        <v>15402995.499999996</v>
      </c>
      <c r="T94" s="60">
        <f t="shared" si="43"/>
        <v>19603417.499999996</v>
      </c>
      <c r="U94" s="60">
        <f t="shared" si="44"/>
        <v>314307520.22744608</v>
      </c>
      <c r="V94" s="193"/>
      <c r="W94" s="169">
        <v>90</v>
      </c>
      <c r="X94" s="1">
        <f t="shared" si="66"/>
        <v>48259</v>
      </c>
      <c r="Y94" s="60">
        <f>IF($X94&lt;Input!$H$58,IF($X94&lt;Input!$G$58,IF($X94&lt;Input!$F$58,IF($X94&lt;Input!$E$58,IF($X94&lt;Input!$D$58,Input!$C$64,Input!$D$64),Input!$E$64),Input!$F$64),Input!$G$64),Input!$H$64)</f>
        <v>0</v>
      </c>
      <c r="Z94" s="190">
        <f>IF($A94&lt;Input!$H$65,IF($A94&lt;Input!$G$65,IF($A94&lt;Input!$F$65,IF($A94&lt;Input!$E$65,IF($A94&lt;Input!$D$65,Input!$C$66,Input!$D$66),Input!$E$66),Input!$F$66),Input!$G$66),Input!$H$66)</f>
        <v>0.9</v>
      </c>
      <c r="AA94" s="60">
        <f t="shared" si="45"/>
        <v>0</v>
      </c>
      <c r="AB94" s="60">
        <f t="shared" si="67"/>
        <v>31</v>
      </c>
      <c r="AC94" s="60">
        <f t="shared" si="46"/>
        <v>0</v>
      </c>
      <c r="AD94" s="60">
        <f>ROUND(AC94*AB94*Input!$C$3/365,0)</f>
        <v>0</v>
      </c>
      <c r="AE94" s="61">
        <f>IF($A94&lt;=Input!$C$6,0,IF('Fixed Tenure'!AA94&lt;'Fixed Tenure'!AC94,'Fixed Tenure'!AA94-AD94,'Fixed Tenure'!AC94))</f>
        <v>0</v>
      </c>
      <c r="AF94" s="61">
        <f t="shared" si="47"/>
        <v>0</v>
      </c>
      <c r="AG94" s="60">
        <f t="shared" si="48"/>
        <v>0</v>
      </c>
      <c r="AH94" s="193"/>
      <c r="AI94" s="169">
        <v>90</v>
      </c>
      <c r="AJ94" s="1">
        <f t="shared" si="68"/>
        <v>48259</v>
      </c>
      <c r="AK94" s="60">
        <f>IF($X94&lt;Input!$H$73,IF($X94&lt;Input!$G$73,IF($X94&lt;Input!$F$73,IF($X94&lt;Input!$E$73,IF($X94&lt;Input!$D$73,Input!$C$79,Input!$D$79),Input!$E$79),Input!$F$79),Input!$G$79),Input!$H$79)</f>
        <v>0</v>
      </c>
      <c r="AL94" s="190">
        <f>IF($A94&lt;Input!$H$80,IF($A94&lt;Input!$G$80,IF($A94&lt;Input!$F$80,IF($A94&lt;Input!$E$80,IF($A94&lt;Input!$D$80,Input!$C$81,Input!$D$81),Input!$E$81),Input!$F$81),Input!$G$81),Input!$H$81)</f>
        <v>0.9</v>
      </c>
      <c r="AM94" s="60">
        <f t="shared" si="49"/>
        <v>0</v>
      </c>
      <c r="AN94" s="60">
        <f t="shared" si="69"/>
        <v>31</v>
      </c>
      <c r="AO94" s="60">
        <f t="shared" si="50"/>
        <v>0</v>
      </c>
      <c r="AP94" s="60">
        <f>ROUND(AO94*AN94*Input!$C$3/365,0)</f>
        <v>0</v>
      </c>
      <c r="AQ94" s="61">
        <f>IF($A94&lt;=Input!$C$6,0,IF('Fixed Tenure'!AM94&lt;'Fixed Tenure'!AO94,'Fixed Tenure'!AM94-AP94,'Fixed Tenure'!AO94))</f>
        <v>0</v>
      </c>
      <c r="AR94" s="61">
        <f t="shared" si="51"/>
        <v>0</v>
      </c>
      <c r="AS94" s="60">
        <f t="shared" si="52"/>
        <v>0</v>
      </c>
      <c r="AT94" s="193"/>
      <c r="AU94" s="169">
        <v>90</v>
      </c>
      <c r="AV94" s="1">
        <f t="shared" si="70"/>
        <v>48259</v>
      </c>
      <c r="AW94" s="60">
        <f>IF($X94&lt;Input!$H$88,IF($X94&lt;Input!$G$88,IF($X94&lt;Input!$F$88,IF($X94&lt;Input!$E$88,IF($X94&lt;Input!$D$88,Input!$C$94,Input!$D$94),Input!$E$94),Input!$F$94),Input!$G$94),Input!$H$94)</f>
        <v>0</v>
      </c>
      <c r="AX94" s="190">
        <f>IF($A94&lt;Input!$H$95,IF($A94&lt;Input!$G$95,IF($A94&lt;Input!$F$95,IF($A94&lt;Input!$E$95,IF($A94&lt;Input!$D$95,Input!$C$96,Input!$D$96),Input!$E$96),Input!$F$96),Input!$G$96),Input!$H$96)</f>
        <v>0.9</v>
      </c>
      <c r="AY94" s="60">
        <f t="shared" si="53"/>
        <v>0</v>
      </c>
      <c r="AZ94" s="60">
        <f t="shared" si="71"/>
        <v>31</v>
      </c>
      <c r="BA94" s="60">
        <f t="shared" si="54"/>
        <v>0</v>
      </c>
      <c r="BB94" s="60">
        <f>ROUND(BA94*AZ94*Input!$C$3/365,0)</f>
        <v>0</v>
      </c>
      <c r="BC94" s="61">
        <f>IF($A94&lt;=Input!$C$6,0,IF('Fixed Tenure'!AY94&lt;'Fixed Tenure'!BA94,'Fixed Tenure'!AY94-BB94,'Fixed Tenure'!BA94))</f>
        <v>0</v>
      </c>
      <c r="BD94" s="61">
        <f t="shared" si="55"/>
        <v>0</v>
      </c>
      <c r="BE94" s="60">
        <f t="shared" si="56"/>
        <v>0</v>
      </c>
      <c r="BF94" s="193"/>
      <c r="BG94" s="169">
        <v>90</v>
      </c>
      <c r="BH94" s="1">
        <f t="shared" si="72"/>
        <v>48259</v>
      </c>
      <c r="BI94" s="60">
        <f>IF($X94&lt;Input!$H$103,IF($X94&lt;Input!$G$103,IF($X94&lt;Input!$F$103,IF($X94&lt;Input!$E$103,IF($X94&lt;Input!$D$103,Input!$C$109,Input!$D$109),Input!$E$109),Input!$F$109),Input!$G$109),Input!$H$109)</f>
        <v>0</v>
      </c>
      <c r="BJ94" s="190">
        <f>IF($A94&lt;Input!$H$110,IF($A94&lt;Input!$G$110,IF($A94&lt;Input!$F$110,IF($A94&lt;Input!$E$110,IF($A94&lt;Input!$D$110,Input!$C$111,Input!$D$111),Input!$E$111),Input!$F$111),Input!$G$111),Input!$H$111)</f>
        <v>0.9</v>
      </c>
      <c r="BK94" s="60">
        <f t="shared" si="57"/>
        <v>0</v>
      </c>
      <c r="BL94" s="60">
        <f t="shared" si="73"/>
        <v>31</v>
      </c>
      <c r="BM94" s="60">
        <f t="shared" si="58"/>
        <v>0</v>
      </c>
      <c r="BN94" s="60">
        <f>ROUND(BM94*BL94*Input!$C$3/365,0)</f>
        <v>0</v>
      </c>
      <c r="BO94" s="61">
        <f>IF($A94&lt;=Input!$C$6,0,IF('Fixed Tenure'!BK94&lt;'Fixed Tenure'!BM94,'Fixed Tenure'!BK94-BN94,'Fixed Tenure'!BM94))</f>
        <v>0</v>
      </c>
      <c r="BP94" s="61">
        <f t="shared" si="59"/>
        <v>0</v>
      </c>
      <c r="BQ94" s="60">
        <f t="shared" si="60"/>
        <v>0</v>
      </c>
      <c r="BR94" s="198"/>
    </row>
    <row r="95" spans="1:70" x14ac:dyDescent="0.25">
      <c r="A95" s="169">
        <v>91</v>
      </c>
      <c r="B95" s="1">
        <f t="shared" si="61"/>
        <v>48288</v>
      </c>
      <c r="C95" s="60">
        <f t="shared" si="39"/>
        <v>21781574.999999996</v>
      </c>
      <c r="D95" s="60">
        <f t="shared" si="40"/>
        <v>19603417.499999996</v>
      </c>
      <c r="E95" s="60">
        <f t="shared" si="62"/>
        <v>29</v>
      </c>
      <c r="F95" s="60">
        <f t="shared" si="63"/>
        <v>314307520.22744608</v>
      </c>
      <c r="G95" s="60">
        <f>ROUND(F95*E95*Input!$C$3/365,0)</f>
        <v>3745857</v>
      </c>
      <c r="H95" s="60">
        <f>IF($A95&lt;=Input!$C$6,0,IF('Fixed Tenure'!D95&lt;'Fixed Tenure'!F95,'Fixed Tenure'!D95-G95,'Fixed Tenure'!F95))</f>
        <v>15857560.499999996</v>
      </c>
      <c r="I95" s="60">
        <f t="shared" si="64"/>
        <v>19603417.499999996</v>
      </c>
      <c r="J95" s="60">
        <f t="shared" si="65"/>
        <v>298449959.72744608</v>
      </c>
      <c r="K95" s="202">
        <f>J95/Input!$K$5</f>
        <v>0.99483319909148693</v>
      </c>
      <c r="L95" s="232"/>
      <c r="M95" s="60">
        <f>IF($B95&lt;Input!$H$43,IF($B95&lt;Input!$G$43,IF($B95&lt;Input!$F$43,IF($B95&lt;Input!$E$43,IF($B95&lt;Input!$D$43,Input!$C$49,Input!$D$49),Input!$E$49),Input!$F$49),Input!$G$49),Input!$H$49)</f>
        <v>21781574.999999996</v>
      </c>
      <c r="N95" s="190">
        <f>IF($A95&lt;Input!$H$50,IF($A95&lt;Input!$G$50,IF($A95&lt;Input!$F$50,IF($A95&lt;Input!$E$50,IF($A95&lt;Input!$D$50,Input!$C$51,Input!$D$51),Input!$E$51),Input!$F$51),Input!$G$51),Input!$H$51)</f>
        <v>0.9</v>
      </c>
      <c r="O95" s="60">
        <f t="shared" si="38"/>
        <v>19603417.499999996</v>
      </c>
      <c r="P95" s="60">
        <f t="shared" si="41"/>
        <v>29</v>
      </c>
      <c r="Q95" s="60">
        <f t="shared" si="42"/>
        <v>314307520.22744608</v>
      </c>
      <c r="R95" s="60">
        <f>ROUND(Q95*$P95*Input!$C$3/365,0)</f>
        <v>3745857</v>
      </c>
      <c r="S95" s="60">
        <f>IF(A95&lt;=Input!$C$6,0,IF('Fixed Tenure'!O95&lt;'Fixed Tenure'!Q95,'Fixed Tenure'!O95-R95,'Fixed Tenure'!Q95))</f>
        <v>15857560.499999996</v>
      </c>
      <c r="T95" s="60">
        <f t="shared" si="43"/>
        <v>19603417.499999996</v>
      </c>
      <c r="U95" s="60">
        <f t="shared" si="44"/>
        <v>298449959.72744608</v>
      </c>
      <c r="V95" s="193"/>
      <c r="W95" s="169">
        <v>91</v>
      </c>
      <c r="X95" s="1">
        <f t="shared" si="66"/>
        <v>48288</v>
      </c>
      <c r="Y95" s="60">
        <f>IF($X95&lt;Input!$H$58,IF($X95&lt;Input!$G$58,IF($X95&lt;Input!$F$58,IF($X95&lt;Input!$E$58,IF($X95&lt;Input!$D$58,Input!$C$64,Input!$D$64),Input!$E$64),Input!$F$64),Input!$G$64),Input!$H$64)</f>
        <v>0</v>
      </c>
      <c r="Z95" s="190">
        <f>IF($A95&lt;Input!$H$65,IF($A95&lt;Input!$G$65,IF($A95&lt;Input!$F$65,IF($A95&lt;Input!$E$65,IF($A95&lt;Input!$D$65,Input!$C$66,Input!$D$66),Input!$E$66),Input!$F$66),Input!$G$66),Input!$H$66)</f>
        <v>0.9</v>
      </c>
      <c r="AA95" s="60">
        <f t="shared" si="45"/>
        <v>0</v>
      </c>
      <c r="AB95" s="60">
        <f t="shared" si="67"/>
        <v>29</v>
      </c>
      <c r="AC95" s="60">
        <f t="shared" si="46"/>
        <v>0</v>
      </c>
      <c r="AD95" s="60">
        <f>ROUND(AC95*AB95*Input!$C$3/365,0)</f>
        <v>0</v>
      </c>
      <c r="AE95" s="61">
        <f>IF($A95&lt;=Input!$C$6,0,IF('Fixed Tenure'!AA95&lt;'Fixed Tenure'!AC95,'Fixed Tenure'!AA95-AD95,'Fixed Tenure'!AC95))</f>
        <v>0</v>
      </c>
      <c r="AF95" s="61">
        <f t="shared" si="47"/>
        <v>0</v>
      </c>
      <c r="AG95" s="60">
        <f t="shared" si="48"/>
        <v>0</v>
      </c>
      <c r="AH95" s="193"/>
      <c r="AI95" s="169">
        <v>91</v>
      </c>
      <c r="AJ95" s="1">
        <f t="shared" si="68"/>
        <v>48288</v>
      </c>
      <c r="AK95" s="60">
        <f>IF($X95&lt;Input!$H$73,IF($X95&lt;Input!$G$73,IF($X95&lt;Input!$F$73,IF($X95&lt;Input!$E$73,IF($X95&lt;Input!$D$73,Input!$C$79,Input!$D$79),Input!$E$79),Input!$F$79),Input!$G$79),Input!$H$79)</f>
        <v>0</v>
      </c>
      <c r="AL95" s="190">
        <f>IF($A95&lt;Input!$H$80,IF($A95&lt;Input!$G$80,IF($A95&lt;Input!$F$80,IF($A95&lt;Input!$E$80,IF($A95&lt;Input!$D$80,Input!$C$81,Input!$D$81),Input!$E$81),Input!$F$81),Input!$G$81),Input!$H$81)</f>
        <v>0.9</v>
      </c>
      <c r="AM95" s="60">
        <f t="shared" si="49"/>
        <v>0</v>
      </c>
      <c r="AN95" s="60">
        <f t="shared" si="69"/>
        <v>29</v>
      </c>
      <c r="AO95" s="60">
        <f t="shared" si="50"/>
        <v>0</v>
      </c>
      <c r="AP95" s="60">
        <f>ROUND(AO95*AN95*Input!$C$3/365,0)</f>
        <v>0</v>
      </c>
      <c r="AQ95" s="61">
        <f>IF($A95&lt;=Input!$C$6,0,IF('Fixed Tenure'!AM95&lt;'Fixed Tenure'!AO95,'Fixed Tenure'!AM95-AP95,'Fixed Tenure'!AO95))</f>
        <v>0</v>
      </c>
      <c r="AR95" s="61">
        <f t="shared" si="51"/>
        <v>0</v>
      </c>
      <c r="AS95" s="60">
        <f t="shared" si="52"/>
        <v>0</v>
      </c>
      <c r="AT95" s="193"/>
      <c r="AU95" s="169">
        <v>91</v>
      </c>
      <c r="AV95" s="1">
        <f t="shared" si="70"/>
        <v>48288</v>
      </c>
      <c r="AW95" s="60">
        <f>IF($X95&lt;Input!$H$88,IF($X95&lt;Input!$G$88,IF($X95&lt;Input!$F$88,IF($X95&lt;Input!$E$88,IF($X95&lt;Input!$D$88,Input!$C$94,Input!$D$94),Input!$E$94),Input!$F$94),Input!$G$94),Input!$H$94)</f>
        <v>0</v>
      </c>
      <c r="AX95" s="190">
        <f>IF($A95&lt;Input!$H$95,IF($A95&lt;Input!$G$95,IF($A95&lt;Input!$F$95,IF($A95&lt;Input!$E$95,IF($A95&lt;Input!$D$95,Input!$C$96,Input!$D$96),Input!$E$96),Input!$F$96),Input!$G$96),Input!$H$96)</f>
        <v>0.9</v>
      </c>
      <c r="AY95" s="60">
        <f t="shared" si="53"/>
        <v>0</v>
      </c>
      <c r="AZ95" s="60">
        <f t="shared" si="71"/>
        <v>29</v>
      </c>
      <c r="BA95" s="60">
        <f t="shared" si="54"/>
        <v>0</v>
      </c>
      <c r="BB95" s="60">
        <f>ROUND(BA95*AZ95*Input!$C$3/365,0)</f>
        <v>0</v>
      </c>
      <c r="BC95" s="61">
        <f>IF($A95&lt;=Input!$C$6,0,IF('Fixed Tenure'!AY95&lt;'Fixed Tenure'!BA95,'Fixed Tenure'!AY95-BB95,'Fixed Tenure'!BA95))</f>
        <v>0</v>
      </c>
      <c r="BD95" s="61">
        <f t="shared" si="55"/>
        <v>0</v>
      </c>
      <c r="BE95" s="60">
        <f t="shared" si="56"/>
        <v>0</v>
      </c>
      <c r="BF95" s="193"/>
      <c r="BG95" s="169">
        <v>91</v>
      </c>
      <c r="BH95" s="1">
        <f t="shared" si="72"/>
        <v>48288</v>
      </c>
      <c r="BI95" s="60">
        <f>IF($X95&lt;Input!$H$103,IF($X95&lt;Input!$G$103,IF($X95&lt;Input!$F$103,IF($X95&lt;Input!$E$103,IF($X95&lt;Input!$D$103,Input!$C$109,Input!$D$109),Input!$E$109),Input!$F$109),Input!$G$109),Input!$H$109)</f>
        <v>0</v>
      </c>
      <c r="BJ95" s="190">
        <f>IF($A95&lt;Input!$H$110,IF($A95&lt;Input!$G$110,IF($A95&lt;Input!$F$110,IF($A95&lt;Input!$E$110,IF($A95&lt;Input!$D$110,Input!$C$111,Input!$D$111),Input!$E$111),Input!$F$111),Input!$G$111),Input!$H$111)</f>
        <v>0.9</v>
      </c>
      <c r="BK95" s="60">
        <f t="shared" si="57"/>
        <v>0</v>
      </c>
      <c r="BL95" s="60">
        <f t="shared" si="73"/>
        <v>29</v>
      </c>
      <c r="BM95" s="60">
        <f t="shared" si="58"/>
        <v>0</v>
      </c>
      <c r="BN95" s="60">
        <f>ROUND(BM95*BL95*Input!$C$3/365,0)</f>
        <v>0</v>
      </c>
      <c r="BO95" s="61">
        <f>IF($A95&lt;=Input!$C$6,0,IF('Fixed Tenure'!BK95&lt;'Fixed Tenure'!BM95,'Fixed Tenure'!BK95-BN95,'Fixed Tenure'!BM95))</f>
        <v>0</v>
      </c>
      <c r="BP95" s="61">
        <f t="shared" si="59"/>
        <v>0</v>
      </c>
      <c r="BQ95" s="60">
        <f t="shared" si="60"/>
        <v>0</v>
      </c>
      <c r="BR95" s="198"/>
    </row>
    <row r="96" spans="1:70" x14ac:dyDescent="0.25">
      <c r="A96" s="169">
        <v>92</v>
      </c>
      <c r="B96" s="1">
        <f t="shared" si="61"/>
        <v>48319</v>
      </c>
      <c r="C96" s="60">
        <f t="shared" si="39"/>
        <v>21781574.999999996</v>
      </c>
      <c r="D96" s="60">
        <f t="shared" si="40"/>
        <v>19603417.499999996</v>
      </c>
      <c r="E96" s="60">
        <f t="shared" si="62"/>
        <v>31</v>
      </c>
      <c r="F96" s="60">
        <f t="shared" si="63"/>
        <v>298449959.72744608</v>
      </c>
      <c r="G96" s="60">
        <f>ROUND(F96*E96*Input!$C$3/365,0)</f>
        <v>3802171</v>
      </c>
      <c r="H96" s="60">
        <f>IF($A96&lt;=Input!$C$6,0,IF('Fixed Tenure'!D96&lt;'Fixed Tenure'!F96,'Fixed Tenure'!D96-G96,'Fixed Tenure'!F96))</f>
        <v>15801246.499999996</v>
      </c>
      <c r="I96" s="60">
        <f t="shared" si="64"/>
        <v>19603417.499999996</v>
      </c>
      <c r="J96" s="60">
        <f t="shared" si="65"/>
        <v>282648713.22744608</v>
      </c>
      <c r="K96" s="202">
        <f>J96/Input!$K$5</f>
        <v>0.94216237742482023</v>
      </c>
      <c r="L96" s="232"/>
      <c r="M96" s="60">
        <f>IF($B96&lt;Input!$H$43,IF($B96&lt;Input!$G$43,IF($B96&lt;Input!$F$43,IF($B96&lt;Input!$E$43,IF($B96&lt;Input!$D$43,Input!$C$49,Input!$D$49),Input!$E$49),Input!$F$49),Input!$G$49),Input!$H$49)</f>
        <v>21781574.999999996</v>
      </c>
      <c r="N96" s="190">
        <f>IF($A96&lt;Input!$H$50,IF($A96&lt;Input!$G$50,IF($A96&lt;Input!$F$50,IF($A96&lt;Input!$E$50,IF($A96&lt;Input!$D$50,Input!$C$51,Input!$D$51),Input!$E$51),Input!$F$51),Input!$G$51),Input!$H$51)</f>
        <v>0.9</v>
      </c>
      <c r="O96" s="60">
        <f t="shared" si="38"/>
        <v>19603417.499999996</v>
      </c>
      <c r="P96" s="60">
        <f t="shared" si="41"/>
        <v>31</v>
      </c>
      <c r="Q96" s="60">
        <f t="shared" si="42"/>
        <v>298449959.72744608</v>
      </c>
      <c r="R96" s="60">
        <f>ROUND(Q96*$P96*Input!$C$3/365,0)</f>
        <v>3802171</v>
      </c>
      <c r="S96" s="60">
        <f>IF(A96&lt;=Input!$C$6,0,IF('Fixed Tenure'!O96&lt;'Fixed Tenure'!Q96,'Fixed Tenure'!O96-R96,'Fixed Tenure'!Q96))</f>
        <v>15801246.499999996</v>
      </c>
      <c r="T96" s="60">
        <f t="shared" si="43"/>
        <v>19603417.499999996</v>
      </c>
      <c r="U96" s="60">
        <f t="shared" si="44"/>
        <v>282648713.22744608</v>
      </c>
      <c r="V96" s="193"/>
      <c r="W96" s="169">
        <v>92</v>
      </c>
      <c r="X96" s="1">
        <f t="shared" si="66"/>
        <v>48319</v>
      </c>
      <c r="Y96" s="60">
        <f>IF($X96&lt;Input!$H$58,IF($X96&lt;Input!$G$58,IF($X96&lt;Input!$F$58,IF($X96&lt;Input!$E$58,IF($X96&lt;Input!$D$58,Input!$C$64,Input!$D$64),Input!$E$64),Input!$F$64),Input!$G$64),Input!$H$64)</f>
        <v>0</v>
      </c>
      <c r="Z96" s="190">
        <f>IF($A96&lt;Input!$H$65,IF($A96&lt;Input!$G$65,IF($A96&lt;Input!$F$65,IF($A96&lt;Input!$E$65,IF($A96&lt;Input!$D$65,Input!$C$66,Input!$D$66),Input!$E$66),Input!$F$66),Input!$G$66),Input!$H$66)</f>
        <v>0.9</v>
      </c>
      <c r="AA96" s="60">
        <f t="shared" si="45"/>
        <v>0</v>
      </c>
      <c r="AB96" s="60">
        <f t="shared" si="67"/>
        <v>31</v>
      </c>
      <c r="AC96" s="60">
        <f t="shared" si="46"/>
        <v>0</v>
      </c>
      <c r="AD96" s="60">
        <f>ROUND(AC96*AB96*Input!$C$3/365,0)</f>
        <v>0</v>
      </c>
      <c r="AE96" s="61">
        <f>IF($A96&lt;=Input!$C$6,0,IF('Fixed Tenure'!AA96&lt;'Fixed Tenure'!AC96,'Fixed Tenure'!AA96-AD96,'Fixed Tenure'!AC96))</f>
        <v>0</v>
      </c>
      <c r="AF96" s="61">
        <f t="shared" si="47"/>
        <v>0</v>
      </c>
      <c r="AG96" s="60">
        <f t="shared" si="48"/>
        <v>0</v>
      </c>
      <c r="AH96" s="193"/>
      <c r="AI96" s="169">
        <v>92</v>
      </c>
      <c r="AJ96" s="1">
        <f t="shared" si="68"/>
        <v>48319</v>
      </c>
      <c r="AK96" s="60">
        <f>IF($X96&lt;Input!$H$73,IF($X96&lt;Input!$G$73,IF($X96&lt;Input!$F$73,IF($X96&lt;Input!$E$73,IF($X96&lt;Input!$D$73,Input!$C$79,Input!$D$79),Input!$E$79),Input!$F$79),Input!$G$79),Input!$H$79)</f>
        <v>0</v>
      </c>
      <c r="AL96" s="190">
        <f>IF($A96&lt;Input!$H$80,IF($A96&lt;Input!$G$80,IF($A96&lt;Input!$F$80,IF($A96&lt;Input!$E$80,IF($A96&lt;Input!$D$80,Input!$C$81,Input!$D$81),Input!$E$81),Input!$F$81),Input!$G$81),Input!$H$81)</f>
        <v>0.9</v>
      </c>
      <c r="AM96" s="60">
        <f t="shared" si="49"/>
        <v>0</v>
      </c>
      <c r="AN96" s="60">
        <f t="shared" si="69"/>
        <v>31</v>
      </c>
      <c r="AO96" s="60">
        <f t="shared" si="50"/>
        <v>0</v>
      </c>
      <c r="AP96" s="60">
        <f>ROUND(AO96*AN96*Input!$C$3/365,0)</f>
        <v>0</v>
      </c>
      <c r="AQ96" s="61">
        <f>IF($A96&lt;=Input!$C$6,0,IF('Fixed Tenure'!AM96&lt;'Fixed Tenure'!AO96,'Fixed Tenure'!AM96-AP96,'Fixed Tenure'!AO96))</f>
        <v>0</v>
      </c>
      <c r="AR96" s="61">
        <f t="shared" si="51"/>
        <v>0</v>
      </c>
      <c r="AS96" s="60">
        <f t="shared" si="52"/>
        <v>0</v>
      </c>
      <c r="AT96" s="193"/>
      <c r="AU96" s="169">
        <v>92</v>
      </c>
      <c r="AV96" s="1">
        <f t="shared" si="70"/>
        <v>48319</v>
      </c>
      <c r="AW96" s="60">
        <f>IF($X96&lt;Input!$H$88,IF($X96&lt;Input!$G$88,IF($X96&lt;Input!$F$88,IF($X96&lt;Input!$E$88,IF($X96&lt;Input!$D$88,Input!$C$94,Input!$D$94),Input!$E$94),Input!$F$94),Input!$G$94),Input!$H$94)</f>
        <v>0</v>
      </c>
      <c r="AX96" s="190">
        <f>IF($A96&lt;Input!$H$95,IF($A96&lt;Input!$G$95,IF($A96&lt;Input!$F$95,IF($A96&lt;Input!$E$95,IF($A96&lt;Input!$D$95,Input!$C$96,Input!$D$96),Input!$E$96),Input!$F$96),Input!$G$96),Input!$H$96)</f>
        <v>0.9</v>
      </c>
      <c r="AY96" s="60">
        <f t="shared" si="53"/>
        <v>0</v>
      </c>
      <c r="AZ96" s="60">
        <f t="shared" si="71"/>
        <v>31</v>
      </c>
      <c r="BA96" s="60">
        <f t="shared" si="54"/>
        <v>0</v>
      </c>
      <c r="BB96" s="60">
        <f>ROUND(BA96*AZ96*Input!$C$3/365,0)</f>
        <v>0</v>
      </c>
      <c r="BC96" s="61">
        <f>IF($A96&lt;=Input!$C$6,0,IF('Fixed Tenure'!AY96&lt;'Fixed Tenure'!BA96,'Fixed Tenure'!AY96-BB96,'Fixed Tenure'!BA96))</f>
        <v>0</v>
      </c>
      <c r="BD96" s="61">
        <f t="shared" si="55"/>
        <v>0</v>
      </c>
      <c r="BE96" s="60">
        <f t="shared" si="56"/>
        <v>0</v>
      </c>
      <c r="BF96" s="193"/>
      <c r="BG96" s="169">
        <v>92</v>
      </c>
      <c r="BH96" s="1">
        <f t="shared" si="72"/>
        <v>48319</v>
      </c>
      <c r="BI96" s="60">
        <f>IF($X96&lt;Input!$H$103,IF($X96&lt;Input!$G$103,IF($X96&lt;Input!$F$103,IF($X96&lt;Input!$E$103,IF($X96&lt;Input!$D$103,Input!$C$109,Input!$D$109),Input!$E$109),Input!$F$109),Input!$G$109),Input!$H$109)</f>
        <v>0</v>
      </c>
      <c r="BJ96" s="190">
        <f>IF($A96&lt;Input!$H$110,IF($A96&lt;Input!$G$110,IF($A96&lt;Input!$F$110,IF($A96&lt;Input!$E$110,IF($A96&lt;Input!$D$110,Input!$C$111,Input!$D$111),Input!$E$111),Input!$F$111),Input!$G$111),Input!$H$111)</f>
        <v>0.9</v>
      </c>
      <c r="BK96" s="60">
        <f t="shared" si="57"/>
        <v>0</v>
      </c>
      <c r="BL96" s="60">
        <f t="shared" si="73"/>
        <v>31</v>
      </c>
      <c r="BM96" s="60">
        <f t="shared" si="58"/>
        <v>0</v>
      </c>
      <c r="BN96" s="60">
        <f>ROUND(BM96*BL96*Input!$C$3/365,0)</f>
        <v>0</v>
      </c>
      <c r="BO96" s="61">
        <f>IF($A96&lt;=Input!$C$6,0,IF('Fixed Tenure'!BK96&lt;'Fixed Tenure'!BM96,'Fixed Tenure'!BK96-BN96,'Fixed Tenure'!BM96))</f>
        <v>0</v>
      </c>
      <c r="BP96" s="61">
        <f t="shared" si="59"/>
        <v>0</v>
      </c>
      <c r="BQ96" s="60">
        <f t="shared" si="60"/>
        <v>0</v>
      </c>
      <c r="BR96" s="198"/>
    </row>
    <row r="97" spans="1:70" x14ac:dyDescent="0.25">
      <c r="A97" s="169">
        <v>93</v>
      </c>
      <c r="B97" s="1">
        <f t="shared" si="61"/>
        <v>48349</v>
      </c>
      <c r="C97" s="60">
        <f t="shared" si="39"/>
        <v>21781574.999999996</v>
      </c>
      <c r="D97" s="60">
        <f t="shared" si="40"/>
        <v>19603417.499999996</v>
      </c>
      <c r="E97" s="60">
        <f t="shared" si="62"/>
        <v>30</v>
      </c>
      <c r="F97" s="60">
        <f t="shared" si="63"/>
        <v>282648713.22744608</v>
      </c>
      <c r="G97" s="60">
        <f>ROUND(F97*E97*Input!$C$3/365,0)</f>
        <v>3484710</v>
      </c>
      <c r="H97" s="60">
        <f>IF($A97&lt;=Input!$C$6,0,IF('Fixed Tenure'!D97&lt;'Fixed Tenure'!F97,'Fixed Tenure'!D97-G97,'Fixed Tenure'!F97))</f>
        <v>16118707.499999996</v>
      </c>
      <c r="I97" s="60">
        <f t="shared" si="64"/>
        <v>19603417.499999996</v>
      </c>
      <c r="J97" s="60">
        <f t="shared" si="65"/>
        <v>266530005.72744608</v>
      </c>
      <c r="K97" s="202">
        <f>J97/Input!$K$5</f>
        <v>0.88843335242482024</v>
      </c>
      <c r="L97" s="232"/>
      <c r="M97" s="60">
        <f>IF($B97&lt;Input!$H$43,IF($B97&lt;Input!$G$43,IF($B97&lt;Input!$F$43,IF($B97&lt;Input!$E$43,IF($B97&lt;Input!$D$43,Input!$C$49,Input!$D$49),Input!$E$49),Input!$F$49),Input!$G$49),Input!$H$49)</f>
        <v>21781574.999999996</v>
      </c>
      <c r="N97" s="190">
        <f>IF($A97&lt;Input!$H$50,IF($A97&lt;Input!$G$50,IF($A97&lt;Input!$F$50,IF($A97&lt;Input!$E$50,IF($A97&lt;Input!$D$50,Input!$C$51,Input!$D$51),Input!$E$51),Input!$F$51),Input!$G$51),Input!$H$51)</f>
        <v>0.9</v>
      </c>
      <c r="O97" s="60">
        <f t="shared" si="38"/>
        <v>19603417.499999996</v>
      </c>
      <c r="P97" s="60">
        <f t="shared" si="41"/>
        <v>30</v>
      </c>
      <c r="Q97" s="60">
        <f t="shared" si="42"/>
        <v>282648713.22744608</v>
      </c>
      <c r="R97" s="60">
        <f>ROUND(Q97*$P97*Input!$C$3/365,0)</f>
        <v>3484710</v>
      </c>
      <c r="S97" s="60">
        <f>IF(A97&lt;=Input!$C$6,0,IF('Fixed Tenure'!O97&lt;'Fixed Tenure'!Q97,'Fixed Tenure'!O97-R97,'Fixed Tenure'!Q97))</f>
        <v>16118707.499999996</v>
      </c>
      <c r="T97" s="60">
        <f t="shared" si="43"/>
        <v>19603417.499999996</v>
      </c>
      <c r="U97" s="60">
        <f t="shared" si="44"/>
        <v>266530005.72744608</v>
      </c>
      <c r="V97" s="193"/>
      <c r="W97" s="169">
        <v>93</v>
      </c>
      <c r="X97" s="1">
        <f t="shared" si="66"/>
        <v>48349</v>
      </c>
      <c r="Y97" s="60">
        <f>IF($X97&lt;Input!$H$58,IF($X97&lt;Input!$G$58,IF($X97&lt;Input!$F$58,IF($X97&lt;Input!$E$58,IF($X97&lt;Input!$D$58,Input!$C$64,Input!$D$64),Input!$E$64),Input!$F$64),Input!$G$64),Input!$H$64)</f>
        <v>0</v>
      </c>
      <c r="Z97" s="190">
        <f>IF($A97&lt;Input!$H$65,IF($A97&lt;Input!$G$65,IF($A97&lt;Input!$F$65,IF($A97&lt;Input!$E$65,IF($A97&lt;Input!$D$65,Input!$C$66,Input!$D$66),Input!$E$66),Input!$F$66),Input!$G$66),Input!$H$66)</f>
        <v>0.9</v>
      </c>
      <c r="AA97" s="60">
        <f t="shared" si="45"/>
        <v>0</v>
      </c>
      <c r="AB97" s="60">
        <f t="shared" si="67"/>
        <v>30</v>
      </c>
      <c r="AC97" s="60">
        <f t="shared" si="46"/>
        <v>0</v>
      </c>
      <c r="AD97" s="60">
        <f>ROUND(AC97*AB97*Input!$C$3/365,0)</f>
        <v>0</v>
      </c>
      <c r="AE97" s="61">
        <f>IF($A97&lt;=Input!$C$6,0,IF('Fixed Tenure'!AA97&lt;'Fixed Tenure'!AC97,'Fixed Tenure'!AA97-AD97,'Fixed Tenure'!AC97))</f>
        <v>0</v>
      </c>
      <c r="AF97" s="61">
        <f t="shared" si="47"/>
        <v>0</v>
      </c>
      <c r="AG97" s="60">
        <f t="shared" si="48"/>
        <v>0</v>
      </c>
      <c r="AH97" s="193"/>
      <c r="AI97" s="169">
        <v>93</v>
      </c>
      <c r="AJ97" s="1">
        <f t="shared" si="68"/>
        <v>48349</v>
      </c>
      <c r="AK97" s="60">
        <f>IF($X97&lt;Input!$H$73,IF($X97&lt;Input!$G$73,IF($X97&lt;Input!$F$73,IF($X97&lt;Input!$E$73,IF($X97&lt;Input!$D$73,Input!$C$79,Input!$D$79),Input!$E$79),Input!$F$79),Input!$G$79),Input!$H$79)</f>
        <v>0</v>
      </c>
      <c r="AL97" s="190">
        <f>IF($A97&lt;Input!$H$80,IF($A97&lt;Input!$G$80,IF($A97&lt;Input!$F$80,IF($A97&lt;Input!$E$80,IF($A97&lt;Input!$D$80,Input!$C$81,Input!$D$81),Input!$E$81),Input!$F$81),Input!$G$81),Input!$H$81)</f>
        <v>0.9</v>
      </c>
      <c r="AM97" s="60">
        <f t="shared" si="49"/>
        <v>0</v>
      </c>
      <c r="AN97" s="60">
        <f t="shared" si="69"/>
        <v>30</v>
      </c>
      <c r="AO97" s="60">
        <f t="shared" si="50"/>
        <v>0</v>
      </c>
      <c r="AP97" s="60">
        <f>ROUND(AO97*AN97*Input!$C$3/365,0)</f>
        <v>0</v>
      </c>
      <c r="AQ97" s="61">
        <f>IF($A97&lt;=Input!$C$6,0,IF('Fixed Tenure'!AM97&lt;'Fixed Tenure'!AO97,'Fixed Tenure'!AM97-AP97,'Fixed Tenure'!AO97))</f>
        <v>0</v>
      </c>
      <c r="AR97" s="61">
        <f t="shared" si="51"/>
        <v>0</v>
      </c>
      <c r="AS97" s="60">
        <f t="shared" si="52"/>
        <v>0</v>
      </c>
      <c r="AT97" s="193"/>
      <c r="AU97" s="169">
        <v>93</v>
      </c>
      <c r="AV97" s="1">
        <f t="shared" si="70"/>
        <v>48349</v>
      </c>
      <c r="AW97" s="60">
        <f>IF($X97&lt;Input!$H$88,IF($X97&lt;Input!$G$88,IF($X97&lt;Input!$F$88,IF($X97&lt;Input!$E$88,IF($X97&lt;Input!$D$88,Input!$C$94,Input!$D$94),Input!$E$94),Input!$F$94),Input!$G$94),Input!$H$94)</f>
        <v>0</v>
      </c>
      <c r="AX97" s="190">
        <f>IF($A97&lt;Input!$H$95,IF($A97&lt;Input!$G$95,IF($A97&lt;Input!$F$95,IF($A97&lt;Input!$E$95,IF($A97&lt;Input!$D$95,Input!$C$96,Input!$D$96),Input!$E$96),Input!$F$96),Input!$G$96),Input!$H$96)</f>
        <v>0.9</v>
      </c>
      <c r="AY97" s="60">
        <f t="shared" si="53"/>
        <v>0</v>
      </c>
      <c r="AZ97" s="60">
        <f t="shared" si="71"/>
        <v>30</v>
      </c>
      <c r="BA97" s="60">
        <f t="shared" si="54"/>
        <v>0</v>
      </c>
      <c r="BB97" s="60">
        <f>ROUND(BA97*AZ97*Input!$C$3/365,0)</f>
        <v>0</v>
      </c>
      <c r="BC97" s="61">
        <f>IF($A97&lt;=Input!$C$6,0,IF('Fixed Tenure'!AY97&lt;'Fixed Tenure'!BA97,'Fixed Tenure'!AY97-BB97,'Fixed Tenure'!BA97))</f>
        <v>0</v>
      </c>
      <c r="BD97" s="61">
        <f t="shared" si="55"/>
        <v>0</v>
      </c>
      <c r="BE97" s="60">
        <f t="shared" si="56"/>
        <v>0</v>
      </c>
      <c r="BF97" s="193"/>
      <c r="BG97" s="169">
        <v>93</v>
      </c>
      <c r="BH97" s="1">
        <f t="shared" si="72"/>
        <v>48349</v>
      </c>
      <c r="BI97" s="60">
        <f>IF($X97&lt;Input!$H$103,IF($X97&lt;Input!$G$103,IF($X97&lt;Input!$F$103,IF($X97&lt;Input!$E$103,IF($X97&lt;Input!$D$103,Input!$C$109,Input!$D$109),Input!$E$109),Input!$F$109),Input!$G$109),Input!$H$109)</f>
        <v>0</v>
      </c>
      <c r="BJ97" s="190">
        <f>IF($A97&lt;Input!$H$110,IF($A97&lt;Input!$G$110,IF($A97&lt;Input!$F$110,IF($A97&lt;Input!$E$110,IF($A97&lt;Input!$D$110,Input!$C$111,Input!$D$111),Input!$E$111),Input!$F$111),Input!$G$111),Input!$H$111)</f>
        <v>0.9</v>
      </c>
      <c r="BK97" s="60">
        <f t="shared" si="57"/>
        <v>0</v>
      </c>
      <c r="BL97" s="60">
        <f t="shared" si="73"/>
        <v>30</v>
      </c>
      <c r="BM97" s="60">
        <f t="shared" si="58"/>
        <v>0</v>
      </c>
      <c r="BN97" s="60">
        <f>ROUND(BM97*BL97*Input!$C$3/365,0)</f>
        <v>0</v>
      </c>
      <c r="BO97" s="61">
        <f>IF($A97&lt;=Input!$C$6,0,IF('Fixed Tenure'!BK97&lt;'Fixed Tenure'!BM97,'Fixed Tenure'!BK97-BN97,'Fixed Tenure'!BM97))</f>
        <v>0</v>
      </c>
      <c r="BP97" s="61">
        <f t="shared" si="59"/>
        <v>0</v>
      </c>
      <c r="BQ97" s="60">
        <f t="shared" si="60"/>
        <v>0</v>
      </c>
      <c r="BR97" s="198"/>
    </row>
    <row r="98" spans="1:70" x14ac:dyDescent="0.25">
      <c r="A98" s="169">
        <v>94</v>
      </c>
      <c r="B98" s="1">
        <f t="shared" si="61"/>
        <v>48380</v>
      </c>
      <c r="C98" s="60">
        <f t="shared" si="39"/>
        <v>21781574.999999996</v>
      </c>
      <c r="D98" s="60">
        <f t="shared" si="40"/>
        <v>19603417.499999996</v>
      </c>
      <c r="E98" s="60">
        <f t="shared" si="62"/>
        <v>31</v>
      </c>
      <c r="F98" s="60">
        <f t="shared" si="63"/>
        <v>266530005.72744608</v>
      </c>
      <c r="G98" s="60">
        <f>ROUND(F98*E98*Input!$C$3/365,0)</f>
        <v>3395519</v>
      </c>
      <c r="H98" s="60">
        <f>IF($A98&lt;=Input!$C$6,0,IF('Fixed Tenure'!D98&lt;'Fixed Tenure'!F98,'Fixed Tenure'!D98-G98,'Fixed Tenure'!F98))</f>
        <v>16207898.499999996</v>
      </c>
      <c r="I98" s="60">
        <f t="shared" si="64"/>
        <v>19603417.499999996</v>
      </c>
      <c r="J98" s="60">
        <f t="shared" si="65"/>
        <v>250322107.22744608</v>
      </c>
      <c r="K98" s="202">
        <f>J98/Input!$K$5</f>
        <v>0.83440702409148693</v>
      </c>
      <c r="L98" s="232"/>
      <c r="M98" s="60">
        <f>IF($B98&lt;Input!$H$43,IF($B98&lt;Input!$G$43,IF($B98&lt;Input!$F$43,IF($B98&lt;Input!$E$43,IF($B98&lt;Input!$D$43,Input!$C$49,Input!$D$49),Input!$E$49),Input!$F$49),Input!$G$49),Input!$H$49)</f>
        <v>21781574.999999996</v>
      </c>
      <c r="N98" s="190">
        <f>IF($A98&lt;Input!$H$50,IF($A98&lt;Input!$G$50,IF($A98&lt;Input!$F$50,IF($A98&lt;Input!$E$50,IF($A98&lt;Input!$D$50,Input!$C$51,Input!$D$51),Input!$E$51),Input!$F$51),Input!$G$51),Input!$H$51)</f>
        <v>0.9</v>
      </c>
      <c r="O98" s="60">
        <f t="shared" si="38"/>
        <v>19603417.499999996</v>
      </c>
      <c r="P98" s="60">
        <f t="shared" si="41"/>
        <v>31</v>
      </c>
      <c r="Q98" s="60">
        <f t="shared" si="42"/>
        <v>266530005.72744608</v>
      </c>
      <c r="R98" s="60">
        <f>ROUND(Q98*$P98*Input!$C$3/365,0)</f>
        <v>3395519</v>
      </c>
      <c r="S98" s="60">
        <f>IF(A98&lt;=Input!$C$6,0,IF('Fixed Tenure'!O98&lt;'Fixed Tenure'!Q98,'Fixed Tenure'!O98-R98,'Fixed Tenure'!Q98))</f>
        <v>16207898.499999996</v>
      </c>
      <c r="T98" s="60">
        <f t="shared" si="43"/>
        <v>19603417.499999996</v>
      </c>
      <c r="U98" s="60">
        <f t="shared" si="44"/>
        <v>250322107.22744608</v>
      </c>
      <c r="V98" s="193"/>
      <c r="W98" s="169">
        <v>94</v>
      </c>
      <c r="X98" s="1">
        <f t="shared" si="66"/>
        <v>48380</v>
      </c>
      <c r="Y98" s="60">
        <f>IF($X98&lt;Input!$H$58,IF($X98&lt;Input!$G$58,IF($X98&lt;Input!$F$58,IF($X98&lt;Input!$E$58,IF($X98&lt;Input!$D$58,Input!$C$64,Input!$D$64),Input!$E$64),Input!$F$64),Input!$G$64),Input!$H$64)</f>
        <v>0</v>
      </c>
      <c r="Z98" s="190">
        <f>IF($A98&lt;Input!$H$65,IF($A98&lt;Input!$G$65,IF($A98&lt;Input!$F$65,IF($A98&lt;Input!$E$65,IF($A98&lt;Input!$D$65,Input!$C$66,Input!$D$66),Input!$E$66),Input!$F$66),Input!$G$66),Input!$H$66)</f>
        <v>0.9</v>
      </c>
      <c r="AA98" s="60">
        <f t="shared" si="45"/>
        <v>0</v>
      </c>
      <c r="AB98" s="60">
        <f t="shared" si="67"/>
        <v>31</v>
      </c>
      <c r="AC98" s="60">
        <f t="shared" si="46"/>
        <v>0</v>
      </c>
      <c r="AD98" s="60">
        <f>ROUND(AC98*AB98*Input!$C$3/365,0)</f>
        <v>0</v>
      </c>
      <c r="AE98" s="61">
        <f>IF($A98&lt;=Input!$C$6,0,IF('Fixed Tenure'!AA98&lt;'Fixed Tenure'!AC98,'Fixed Tenure'!AA98-AD98,'Fixed Tenure'!AC98))</f>
        <v>0</v>
      </c>
      <c r="AF98" s="61">
        <f t="shared" si="47"/>
        <v>0</v>
      </c>
      <c r="AG98" s="60">
        <f t="shared" si="48"/>
        <v>0</v>
      </c>
      <c r="AH98" s="193"/>
      <c r="AI98" s="169">
        <v>94</v>
      </c>
      <c r="AJ98" s="1">
        <f t="shared" si="68"/>
        <v>48380</v>
      </c>
      <c r="AK98" s="60">
        <f>IF($X98&lt;Input!$H$73,IF($X98&lt;Input!$G$73,IF($X98&lt;Input!$F$73,IF($X98&lt;Input!$E$73,IF($X98&lt;Input!$D$73,Input!$C$79,Input!$D$79),Input!$E$79),Input!$F$79),Input!$G$79),Input!$H$79)</f>
        <v>0</v>
      </c>
      <c r="AL98" s="190">
        <f>IF($A98&lt;Input!$H$80,IF($A98&lt;Input!$G$80,IF($A98&lt;Input!$F$80,IF($A98&lt;Input!$E$80,IF($A98&lt;Input!$D$80,Input!$C$81,Input!$D$81),Input!$E$81),Input!$F$81),Input!$G$81),Input!$H$81)</f>
        <v>0.9</v>
      </c>
      <c r="AM98" s="60">
        <f t="shared" si="49"/>
        <v>0</v>
      </c>
      <c r="AN98" s="60">
        <f t="shared" si="69"/>
        <v>31</v>
      </c>
      <c r="AO98" s="60">
        <f t="shared" si="50"/>
        <v>0</v>
      </c>
      <c r="AP98" s="60">
        <f>ROUND(AO98*AN98*Input!$C$3/365,0)</f>
        <v>0</v>
      </c>
      <c r="AQ98" s="61">
        <f>IF($A98&lt;=Input!$C$6,0,IF('Fixed Tenure'!AM98&lt;'Fixed Tenure'!AO98,'Fixed Tenure'!AM98-AP98,'Fixed Tenure'!AO98))</f>
        <v>0</v>
      </c>
      <c r="AR98" s="61">
        <f t="shared" si="51"/>
        <v>0</v>
      </c>
      <c r="AS98" s="60">
        <f t="shared" si="52"/>
        <v>0</v>
      </c>
      <c r="AT98" s="193"/>
      <c r="AU98" s="169">
        <v>94</v>
      </c>
      <c r="AV98" s="1">
        <f t="shared" si="70"/>
        <v>48380</v>
      </c>
      <c r="AW98" s="60">
        <f>IF($X98&lt;Input!$H$88,IF($X98&lt;Input!$G$88,IF($X98&lt;Input!$F$88,IF($X98&lt;Input!$E$88,IF($X98&lt;Input!$D$88,Input!$C$94,Input!$D$94),Input!$E$94),Input!$F$94),Input!$G$94),Input!$H$94)</f>
        <v>0</v>
      </c>
      <c r="AX98" s="190">
        <f>IF($A98&lt;Input!$H$95,IF($A98&lt;Input!$G$95,IF($A98&lt;Input!$F$95,IF($A98&lt;Input!$E$95,IF($A98&lt;Input!$D$95,Input!$C$96,Input!$D$96),Input!$E$96),Input!$F$96),Input!$G$96),Input!$H$96)</f>
        <v>0.9</v>
      </c>
      <c r="AY98" s="60">
        <f t="shared" si="53"/>
        <v>0</v>
      </c>
      <c r="AZ98" s="60">
        <f t="shared" si="71"/>
        <v>31</v>
      </c>
      <c r="BA98" s="60">
        <f t="shared" si="54"/>
        <v>0</v>
      </c>
      <c r="BB98" s="60">
        <f>ROUND(BA98*AZ98*Input!$C$3/365,0)</f>
        <v>0</v>
      </c>
      <c r="BC98" s="61">
        <f>IF($A98&lt;=Input!$C$6,0,IF('Fixed Tenure'!AY98&lt;'Fixed Tenure'!BA98,'Fixed Tenure'!AY98-BB98,'Fixed Tenure'!BA98))</f>
        <v>0</v>
      </c>
      <c r="BD98" s="61">
        <f t="shared" si="55"/>
        <v>0</v>
      </c>
      <c r="BE98" s="60">
        <f t="shared" si="56"/>
        <v>0</v>
      </c>
      <c r="BF98" s="193"/>
      <c r="BG98" s="169">
        <v>94</v>
      </c>
      <c r="BH98" s="1">
        <f t="shared" si="72"/>
        <v>48380</v>
      </c>
      <c r="BI98" s="60">
        <f>IF($X98&lt;Input!$H$103,IF($X98&lt;Input!$G$103,IF($X98&lt;Input!$F$103,IF($X98&lt;Input!$E$103,IF($X98&lt;Input!$D$103,Input!$C$109,Input!$D$109),Input!$E$109),Input!$F$109),Input!$G$109),Input!$H$109)</f>
        <v>0</v>
      </c>
      <c r="BJ98" s="190">
        <f>IF($A98&lt;Input!$H$110,IF($A98&lt;Input!$G$110,IF($A98&lt;Input!$F$110,IF($A98&lt;Input!$E$110,IF($A98&lt;Input!$D$110,Input!$C$111,Input!$D$111),Input!$E$111),Input!$F$111),Input!$G$111),Input!$H$111)</f>
        <v>0.9</v>
      </c>
      <c r="BK98" s="60">
        <f t="shared" si="57"/>
        <v>0</v>
      </c>
      <c r="BL98" s="60">
        <f t="shared" si="73"/>
        <v>31</v>
      </c>
      <c r="BM98" s="60">
        <f t="shared" si="58"/>
        <v>0</v>
      </c>
      <c r="BN98" s="60">
        <f>ROUND(BM98*BL98*Input!$C$3/365,0)</f>
        <v>0</v>
      </c>
      <c r="BO98" s="61">
        <f>IF($A98&lt;=Input!$C$6,0,IF('Fixed Tenure'!BK98&lt;'Fixed Tenure'!BM98,'Fixed Tenure'!BK98-BN98,'Fixed Tenure'!BM98))</f>
        <v>0</v>
      </c>
      <c r="BP98" s="61">
        <f t="shared" si="59"/>
        <v>0</v>
      </c>
      <c r="BQ98" s="60">
        <f t="shared" si="60"/>
        <v>0</v>
      </c>
      <c r="BR98" s="198"/>
    </row>
    <row r="99" spans="1:70" x14ac:dyDescent="0.25">
      <c r="A99" s="169">
        <v>95</v>
      </c>
      <c r="B99" s="1">
        <f t="shared" si="61"/>
        <v>48410</v>
      </c>
      <c r="C99" s="60">
        <f t="shared" si="39"/>
        <v>21781574.999999996</v>
      </c>
      <c r="D99" s="60">
        <f t="shared" si="40"/>
        <v>19603417.499999996</v>
      </c>
      <c r="E99" s="60">
        <f t="shared" si="62"/>
        <v>30</v>
      </c>
      <c r="F99" s="60">
        <f t="shared" si="63"/>
        <v>250322107.22744608</v>
      </c>
      <c r="G99" s="60">
        <f>ROUND(F99*E99*Input!$C$3/365,0)</f>
        <v>3086163</v>
      </c>
      <c r="H99" s="60">
        <f>IF($A99&lt;=Input!$C$6,0,IF('Fixed Tenure'!D99&lt;'Fixed Tenure'!F99,'Fixed Tenure'!D99-G99,'Fixed Tenure'!F99))</f>
        <v>16517254.499999996</v>
      </c>
      <c r="I99" s="60">
        <f t="shared" si="64"/>
        <v>19603417.499999996</v>
      </c>
      <c r="J99" s="60">
        <f t="shared" si="65"/>
        <v>233804852.72744608</v>
      </c>
      <c r="K99" s="202">
        <f>J99/Input!$K$5</f>
        <v>0.77934950909148692</v>
      </c>
      <c r="L99" s="232"/>
      <c r="M99" s="60">
        <f>IF($B99&lt;Input!$H$43,IF($B99&lt;Input!$G$43,IF($B99&lt;Input!$F$43,IF($B99&lt;Input!$E$43,IF($B99&lt;Input!$D$43,Input!$C$49,Input!$D$49),Input!$E$49),Input!$F$49),Input!$G$49),Input!$H$49)</f>
        <v>21781574.999999996</v>
      </c>
      <c r="N99" s="190">
        <f>IF($A99&lt;Input!$H$50,IF($A99&lt;Input!$G$50,IF($A99&lt;Input!$F$50,IF($A99&lt;Input!$E$50,IF($A99&lt;Input!$D$50,Input!$C$51,Input!$D$51),Input!$E$51),Input!$F$51),Input!$G$51),Input!$H$51)</f>
        <v>0.9</v>
      </c>
      <c r="O99" s="60">
        <f t="shared" si="38"/>
        <v>19603417.499999996</v>
      </c>
      <c r="P99" s="60">
        <f t="shared" si="41"/>
        <v>30</v>
      </c>
      <c r="Q99" s="60">
        <f t="shared" si="42"/>
        <v>250322107.22744608</v>
      </c>
      <c r="R99" s="60">
        <f>ROUND(Q99*$P99*Input!$C$3/365,0)</f>
        <v>3086163</v>
      </c>
      <c r="S99" s="60">
        <f>IF(A99&lt;=Input!$C$6,0,IF('Fixed Tenure'!O99&lt;'Fixed Tenure'!Q99,'Fixed Tenure'!O99-R99,'Fixed Tenure'!Q99))</f>
        <v>16517254.499999996</v>
      </c>
      <c r="T99" s="60">
        <f t="shared" si="43"/>
        <v>19603417.499999996</v>
      </c>
      <c r="U99" s="60">
        <f t="shared" si="44"/>
        <v>233804852.72744608</v>
      </c>
      <c r="V99" s="193"/>
      <c r="W99" s="169">
        <v>95</v>
      </c>
      <c r="X99" s="1">
        <f t="shared" si="66"/>
        <v>48410</v>
      </c>
      <c r="Y99" s="60">
        <f>IF($X99&lt;Input!$H$58,IF($X99&lt;Input!$G$58,IF($X99&lt;Input!$F$58,IF($X99&lt;Input!$E$58,IF($X99&lt;Input!$D$58,Input!$C$64,Input!$D$64),Input!$E$64),Input!$F$64),Input!$G$64),Input!$H$64)</f>
        <v>0</v>
      </c>
      <c r="Z99" s="190">
        <f>IF($A99&lt;Input!$H$65,IF($A99&lt;Input!$G$65,IF($A99&lt;Input!$F$65,IF($A99&lt;Input!$E$65,IF($A99&lt;Input!$D$65,Input!$C$66,Input!$D$66),Input!$E$66),Input!$F$66),Input!$G$66),Input!$H$66)</f>
        <v>0.9</v>
      </c>
      <c r="AA99" s="60">
        <f t="shared" si="45"/>
        <v>0</v>
      </c>
      <c r="AB99" s="60">
        <f t="shared" si="67"/>
        <v>30</v>
      </c>
      <c r="AC99" s="60">
        <f t="shared" si="46"/>
        <v>0</v>
      </c>
      <c r="AD99" s="60">
        <f>ROUND(AC99*AB99*Input!$C$3/365,0)</f>
        <v>0</v>
      </c>
      <c r="AE99" s="61">
        <f>IF($A99&lt;=Input!$C$6,0,IF('Fixed Tenure'!AA99&lt;'Fixed Tenure'!AC99,'Fixed Tenure'!AA99-AD99,'Fixed Tenure'!AC99))</f>
        <v>0</v>
      </c>
      <c r="AF99" s="61">
        <f t="shared" si="47"/>
        <v>0</v>
      </c>
      <c r="AG99" s="60">
        <f t="shared" si="48"/>
        <v>0</v>
      </c>
      <c r="AH99" s="193"/>
      <c r="AI99" s="169">
        <v>95</v>
      </c>
      <c r="AJ99" s="1">
        <f t="shared" si="68"/>
        <v>48410</v>
      </c>
      <c r="AK99" s="60">
        <f>IF($X99&lt;Input!$H$73,IF($X99&lt;Input!$G$73,IF($X99&lt;Input!$F$73,IF($X99&lt;Input!$E$73,IF($X99&lt;Input!$D$73,Input!$C$79,Input!$D$79),Input!$E$79),Input!$F$79),Input!$G$79),Input!$H$79)</f>
        <v>0</v>
      </c>
      <c r="AL99" s="190">
        <f>IF($A99&lt;Input!$H$80,IF($A99&lt;Input!$G$80,IF($A99&lt;Input!$F$80,IF($A99&lt;Input!$E$80,IF($A99&lt;Input!$D$80,Input!$C$81,Input!$D$81),Input!$E$81),Input!$F$81),Input!$G$81),Input!$H$81)</f>
        <v>0.9</v>
      </c>
      <c r="AM99" s="60">
        <f t="shared" si="49"/>
        <v>0</v>
      </c>
      <c r="AN99" s="60">
        <f t="shared" si="69"/>
        <v>30</v>
      </c>
      <c r="AO99" s="60">
        <f t="shared" si="50"/>
        <v>0</v>
      </c>
      <c r="AP99" s="60">
        <f>ROUND(AO99*AN99*Input!$C$3/365,0)</f>
        <v>0</v>
      </c>
      <c r="AQ99" s="61">
        <f>IF($A99&lt;=Input!$C$6,0,IF('Fixed Tenure'!AM99&lt;'Fixed Tenure'!AO99,'Fixed Tenure'!AM99-AP99,'Fixed Tenure'!AO99))</f>
        <v>0</v>
      </c>
      <c r="AR99" s="61">
        <f t="shared" si="51"/>
        <v>0</v>
      </c>
      <c r="AS99" s="60">
        <f t="shared" si="52"/>
        <v>0</v>
      </c>
      <c r="AT99" s="193"/>
      <c r="AU99" s="169">
        <v>95</v>
      </c>
      <c r="AV99" s="1">
        <f t="shared" si="70"/>
        <v>48410</v>
      </c>
      <c r="AW99" s="60">
        <f>IF($X99&lt;Input!$H$88,IF($X99&lt;Input!$G$88,IF($X99&lt;Input!$F$88,IF($X99&lt;Input!$E$88,IF($X99&lt;Input!$D$88,Input!$C$94,Input!$D$94),Input!$E$94),Input!$F$94),Input!$G$94),Input!$H$94)</f>
        <v>0</v>
      </c>
      <c r="AX99" s="190">
        <f>IF($A99&lt;Input!$H$95,IF($A99&lt;Input!$G$95,IF($A99&lt;Input!$F$95,IF($A99&lt;Input!$E$95,IF($A99&lt;Input!$D$95,Input!$C$96,Input!$D$96),Input!$E$96),Input!$F$96),Input!$G$96),Input!$H$96)</f>
        <v>0.9</v>
      </c>
      <c r="AY99" s="60">
        <f t="shared" si="53"/>
        <v>0</v>
      </c>
      <c r="AZ99" s="60">
        <f t="shared" si="71"/>
        <v>30</v>
      </c>
      <c r="BA99" s="60">
        <f t="shared" si="54"/>
        <v>0</v>
      </c>
      <c r="BB99" s="60">
        <f>ROUND(BA99*AZ99*Input!$C$3/365,0)</f>
        <v>0</v>
      </c>
      <c r="BC99" s="61">
        <f>IF($A99&lt;=Input!$C$6,0,IF('Fixed Tenure'!AY99&lt;'Fixed Tenure'!BA99,'Fixed Tenure'!AY99-BB99,'Fixed Tenure'!BA99))</f>
        <v>0</v>
      </c>
      <c r="BD99" s="61">
        <f t="shared" si="55"/>
        <v>0</v>
      </c>
      <c r="BE99" s="60">
        <f t="shared" si="56"/>
        <v>0</v>
      </c>
      <c r="BF99" s="193"/>
      <c r="BG99" s="169">
        <v>95</v>
      </c>
      <c r="BH99" s="1">
        <f t="shared" si="72"/>
        <v>48410</v>
      </c>
      <c r="BI99" s="60">
        <f>IF($X99&lt;Input!$H$103,IF($X99&lt;Input!$G$103,IF($X99&lt;Input!$F$103,IF($X99&lt;Input!$E$103,IF($X99&lt;Input!$D$103,Input!$C$109,Input!$D$109),Input!$E$109),Input!$F$109),Input!$G$109),Input!$H$109)</f>
        <v>0</v>
      </c>
      <c r="BJ99" s="190">
        <f>IF($A99&lt;Input!$H$110,IF($A99&lt;Input!$G$110,IF($A99&lt;Input!$F$110,IF($A99&lt;Input!$E$110,IF($A99&lt;Input!$D$110,Input!$C$111,Input!$D$111),Input!$E$111),Input!$F$111),Input!$G$111),Input!$H$111)</f>
        <v>0.9</v>
      </c>
      <c r="BK99" s="60">
        <f t="shared" si="57"/>
        <v>0</v>
      </c>
      <c r="BL99" s="60">
        <f t="shared" si="73"/>
        <v>30</v>
      </c>
      <c r="BM99" s="60">
        <f t="shared" si="58"/>
        <v>0</v>
      </c>
      <c r="BN99" s="60">
        <f>ROUND(BM99*BL99*Input!$C$3/365,0)</f>
        <v>0</v>
      </c>
      <c r="BO99" s="61">
        <f>IF($A99&lt;=Input!$C$6,0,IF('Fixed Tenure'!BK99&lt;'Fixed Tenure'!BM99,'Fixed Tenure'!BK99-BN99,'Fixed Tenure'!BM99))</f>
        <v>0</v>
      </c>
      <c r="BP99" s="61">
        <f t="shared" si="59"/>
        <v>0</v>
      </c>
      <c r="BQ99" s="60">
        <f t="shared" si="60"/>
        <v>0</v>
      </c>
      <c r="BR99" s="198"/>
    </row>
    <row r="100" spans="1:70" x14ac:dyDescent="0.25">
      <c r="A100" s="169">
        <v>96</v>
      </c>
      <c r="B100" s="1">
        <f t="shared" si="61"/>
        <v>48441</v>
      </c>
      <c r="C100" s="60">
        <f t="shared" si="39"/>
        <v>21781574.999999996</v>
      </c>
      <c r="D100" s="60">
        <f t="shared" si="40"/>
        <v>19603417.499999996</v>
      </c>
      <c r="E100" s="60">
        <f t="shared" si="62"/>
        <v>31</v>
      </c>
      <c r="F100" s="60">
        <f t="shared" si="63"/>
        <v>233804852.72744608</v>
      </c>
      <c r="G100" s="60">
        <f>ROUND(F100*E100*Input!$C$3/365,0)</f>
        <v>2978610</v>
      </c>
      <c r="H100" s="60">
        <f>IF($A100&lt;=Input!$C$6,0,IF('Fixed Tenure'!D100&lt;'Fixed Tenure'!F100,'Fixed Tenure'!D100-G100,'Fixed Tenure'!F100))</f>
        <v>16624807.499999996</v>
      </c>
      <c r="I100" s="60">
        <f t="shared" si="64"/>
        <v>19603417.499999996</v>
      </c>
      <c r="J100" s="60">
        <f t="shared" si="65"/>
        <v>217180045.22744608</v>
      </c>
      <c r="K100" s="202">
        <f>J100/Input!$K$5</f>
        <v>0.72393348409148695</v>
      </c>
      <c r="L100" s="232"/>
      <c r="M100" s="60">
        <f>IF($B100&lt;Input!$H$43,IF($B100&lt;Input!$G$43,IF($B100&lt;Input!$F$43,IF($B100&lt;Input!$E$43,IF($B100&lt;Input!$D$43,Input!$C$49,Input!$D$49),Input!$E$49),Input!$F$49),Input!$G$49),Input!$H$49)</f>
        <v>21781574.999999996</v>
      </c>
      <c r="N100" s="190">
        <f>IF($A100&lt;Input!$H$50,IF($A100&lt;Input!$G$50,IF($A100&lt;Input!$F$50,IF($A100&lt;Input!$E$50,IF($A100&lt;Input!$D$50,Input!$C$51,Input!$D$51),Input!$E$51),Input!$F$51),Input!$G$51),Input!$H$51)</f>
        <v>0.9</v>
      </c>
      <c r="O100" s="60">
        <f t="shared" ref="O100:O131" si="74">M100*N100</f>
        <v>19603417.499999996</v>
      </c>
      <c r="P100" s="60">
        <f t="shared" si="41"/>
        <v>31</v>
      </c>
      <c r="Q100" s="60">
        <f t="shared" si="42"/>
        <v>233804852.72744608</v>
      </c>
      <c r="R100" s="60">
        <f>ROUND(Q100*$P100*Input!$C$3/365,0)</f>
        <v>2978610</v>
      </c>
      <c r="S100" s="60">
        <f>IF(A100&lt;=Input!$C$6,0,IF('Fixed Tenure'!O100&lt;'Fixed Tenure'!Q100,'Fixed Tenure'!O100-R100,'Fixed Tenure'!Q100))</f>
        <v>16624807.499999996</v>
      </c>
      <c r="T100" s="60">
        <f t="shared" si="43"/>
        <v>19603417.499999996</v>
      </c>
      <c r="U100" s="60">
        <f t="shared" si="44"/>
        <v>217180045.22744608</v>
      </c>
      <c r="V100" s="193"/>
      <c r="W100" s="169">
        <v>96</v>
      </c>
      <c r="X100" s="1">
        <f t="shared" si="66"/>
        <v>48441</v>
      </c>
      <c r="Y100" s="60">
        <f>IF($X100&lt;Input!$H$58,IF($X100&lt;Input!$G$58,IF($X100&lt;Input!$F$58,IF($X100&lt;Input!$E$58,IF($X100&lt;Input!$D$58,Input!$C$64,Input!$D$64),Input!$E$64),Input!$F$64),Input!$G$64),Input!$H$64)</f>
        <v>0</v>
      </c>
      <c r="Z100" s="190">
        <f>IF($A100&lt;Input!$H$65,IF($A100&lt;Input!$G$65,IF($A100&lt;Input!$F$65,IF($A100&lt;Input!$E$65,IF($A100&lt;Input!$D$65,Input!$C$66,Input!$D$66),Input!$E$66),Input!$F$66),Input!$G$66),Input!$H$66)</f>
        <v>0.9</v>
      </c>
      <c r="AA100" s="60">
        <f t="shared" si="45"/>
        <v>0</v>
      </c>
      <c r="AB100" s="60">
        <f t="shared" si="67"/>
        <v>31</v>
      </c>
      <c r="AC100" s="60">
        <f t="shared" si="46"/>
        <v>0</v>
      </c>
      <c r="AD100" s="60">
        <f>ROUND(AC100*AB100*Input!$C$3/365,0)</f>
        <v>0</v>
      </c>
      <c r="AE100" s="61">
        <f>IF($A100&lt;=Input!$C$6,0,IF('Fixed Tenure'!AA100&lt;'Fixed Tenure'!AC100,'Fixed Tenure'!AA100-AD100,'Fixed Tenure'!AC100))</f>
        <v>0</v>
      </c>
      <c r="AF100" s="61">
        <f t="shared" si="47"/>
        <v>0</v>
      </c>
      <c r="AG100" s="60">
        <f t="shared" si="48"/>
        <v>0</v>
      </c>
      <c r="AH100" s="193"/>
      <c r="AI100" s="169">
        <v>96</v>
      </c>
      <c r="AJ100" s="1">
        <f t="shared" si="68"/>
        <v>48441</v>
      </c>
      <c r="AK100" s="60">
        <f>IF($X100&lt;Input!$H$73,IF($X100&lt;Input!$G$73,IF($X100&lt;Input!$F$73,IF($X100&lt;Input!$E$73,IF($X100&lt;Input!$D$73,Input!$C$79,Input!$D$79),Input!$E$79),Input!$F$79),Input!$G$79),Input!$H$79)</f>
        <v>0</v>
      </c>
      <c r="AL100" s="190">
        <f>IF($A100&lt;Input!$H$80,IF($A100&lt;Input!$G$80,IF($A100&lt;Input!$F$80,IF($A100&lt;Input!$E$80,IF($A100&lt;Input!$D$80,Input!$C$81,Input!$D$81),Input!$E$81),Input!$F$81),Input!$G$81),Input!$H$81)</f>
        <v>0.9</v>
      </c>
      <c r="AM100" s="60">
        <f t="shared" si="49"/>
        <v>0</v>
      </c>
      <c r="AN100" s="60">
        <f t="shared" si="69"/>
        <v>31</v>
      </c>
      <c r="AO100" s="60">
        <f t="shared" si="50"/>
        <v>0</v>
      </c>
      <c r="AP100" s="60">
        <f>ROUND(AO100*AN100*Input!$C$3/365,0)</f>
        <v>0</v>
      </c>
      <c r="AQ100" s="61">
        <f>IF($A100&lt;=Input!$C$6,0,IF('Fixed Tenure'!AM100&lt;'Fixed Tenure'!AO100,'Fixed Tenure'!AM100-AP100,'Fixed Tenure'!AO100))</f>
        <v>0</v>
      </c>
      <c r="AR100" s="61">
        <f t="shared" si="51"/>
        <v>0</v>
      </c>
      <c r="AS100" s="60">
        <f t="shared" si="52"/>
        <v>0</v>
      </c>
      <c r="AT100" s="193"/>
      <c r="AU100" s="169">
        <v>96</v>
      </c>
      <c r="AV100" s="1">
        <f t="shared" si="70"/>
        <v>48441</v>
      </c>
      <c r="AW100" s="60">
        <f>IF($X100&lt;Input!$H$88,IF($X100&lt;Input!$G$88,IF($X100&lt;Input!$F$88,IF($X100&lt;Input!$E$88,IF($X100&lt;Input!$D$88,Input!$C$94,Input!$D$94),Input!$E$94),Input!$F$94),Input!$G$94),Input!$H$94)</f>
        <v>0</v>
      </c>
      <c r="AX100" s="190">
        <f>IF($A100&lt;Input!$H$95,IF($A100&lt;Input!$G$95,IF($A100&lt;Input!$F$95,IF($A100&lt;Input!$E$95,IF($A100&lt;Input!$D$95,Input!$C$96,Input!$D$96),Input!$E$96),Input!$F$96),Input!$G$96),Input!$H$96)</f>
        <v>0.9</v>
      </c>
      <c r="AY100" s="60">
        <f t="shared" si="53"/>
        <v>0</v>
      </c>
      <c r="AZ100" s="60">
        <f t="shared" si="71"/>
        <v>31</v>
      </c>
      <c r="BA100" s="60">
        <f t="shared" si="54"/>
        <v>0</v>
      </c>
      <c r="BB100" s="60">
        <f>ROUND(BA100*AZ100*Input!$C$3/365,0)</f>
        <v>0</v>
      </c>
      <c r="BC100" s="61">
        <f>IF($A100&lt;=Input!$C$6,0,IF('Fixed Tenure'!AY100&lt;'Fixed Tenure'!BA100,'Fixed Tenure'!AY100-BB100,'Fixed Tenure'!BA100))</f>
        <v>0</v>
      </c>
      <c r="BD100" s="61">
        <f t="shared" si="55"/>
        <v>0</v>
      </c>
      <c r="BE100" s="60">
        <f t="shared" si="56"/>
        <v>0</v>
      </c>
      <c r="BF100" s="193"/>
      <c r="BG100" s="169">
        <v>96</v>
      </c>
      <c r="BH100" s="1">
        <f t="shared" si="72"/>
        <v>48441</v>
      </c>
      <c r="BI100" s="60">
        <f>IF($X100&lt;Input!$H$103,IF($X100&lt;Input!$G$103,IF($X100&lt;Input!$F$103,IF($X100&lt;Input!$E$103,IF($X100&lt;Input!$D$103,Input!$C$109,Input!$D$109),Input!$E$109),Input!$F$109),Input!$G$109),Input!$H$109)</f>
        <v>0</v>
      </c>
      <c r="BJ100" s="190">
        <f>IF($A100&lt;Input!$H$110,IF($A100&lt;Input!$G$110,IF($A100&lt;Input!$F$110,IF($A100&lt;Input!$E$110,IF($A100&lt;Input!$D$110,Input!$C$111,Input!$D$111),Input!$E$111),Input!$F$111),Input!$G$111),Input!$H$111)</f>
        <v>0.9</v>
      </c>
      <c r="BK100" s="60">
        <f t="shared" si="57"/>
        <v>0</v>
      </c>
      <c r="BL100" s="60">
        <f t="shared" si="73"/>
        <v>31</v>
      </c>
      <c r="BM100" s="60">
        <f t="shared" si="58"/>
        <v>0</v>
      </c>
      <c r="BN100" s="60">
        <f>ROUND(BM100*BL100*Input!$C$3/365,0)</f>
        <v>0</v>
      </c>
      <c r="BO100" s="61">
        <f>IF($A100&lt;=Input!$C$6,0,IF('Fixed Tenure'!BK100&lt;'Fixed Tenure'!BM100,'Fixed Tenure'!BK100-BN100,'Fixed Tenure'!BM100))</f>
        <v>0</v>
      </c>
      <c r="BP100" s="61">
        <f t="shared" si="59"/>
        <v>0</v>
      </c>
      <c r="BQ100" s="60">
        <f t="shared" si="60"/>
        <v>0</v>
      </c>
      <c r="BR100" s="198"/>
    </row>
    <row r="101" spans="1:70" x14ac:dyDescent="0.25">
      <c r="A101" s="169">
        <v>97</v>
      </c>
      <c r="B101" s="1">
        <f t="shared" si="61"/>
        <v>48472</v>
      </c>
      <c r="C101" s="60">
        <f t="shared" si="39"/>
        <v>21781574.999999996</v>
      </c>
      <c r="D101" s="60">
        <f t="shared" si="40"/>
        <v>19603417.499999996</v>
      </c>
      <c r="E101" s="60">
        <f t="shared" si="62"/>
        <v>31</v>
      </c>
      <c r="F101" s="60">
        <f t="shared" si="63"/>
        <v>217180045.22744608</v>
      </c>
      <c r="G101" s="60">
        <f>ROUND(F101*E101*Input!$C$3/365,0)</f>
        <v>2766814</v>
      </c>
      <c r="H101" s="60">
        <f>IF($A101&lt;=Input!$C$6,0,IF('Fixed Tenure'!D101&lt;'Fixed Tenure'!F101,'Fixed Tenure'!D101-G101,'Fixed Tenure'!F101))</f>
        <v>16836603.499999996</v>
      </c>
      <c r="I101" s="60">
        <f t="shared" si="64"/>
        <v>19603417.499999996</v>
      </c>
      <c r="J101" s="60">
        <f t="shared" si="65"/>
        <v>200343441.72744608</v>
      </c>
      <c r="K101" s="202">
        <f>J101/Input!$K$5</f>
        <v>0.66781147242482031</v>
      </c>
      <c r="L101" s="232"/>
      <c r="M101" s="60">
        <f>IF($B101&lt;Input!$H$43,IF($B101&lt;Input!$G$43,IF($B101&lt;Input!$F$43,IF($B101&lt;Input!$E$43,IF($B101&lt;Input!$D$43,Input!$C$49,Input!$D$49),Input!$E$49),Input!$F$49),Input!$G$49),Input!$H$49)</f>
        <v>21781574.999999996</v>
      </c>
      <c r="N101" s="190">
        <f>IF($A101&lt;Input!$H$50,IF($A101&lt;Input!$G$50,IF($A101&lt;Input!$F$50,IF($A101&lt;Input!$E$50,IF($A101&lt;Input!$D$50,Input!$C$51,Input!$D$51),Input!$E$51),Input!$F$51),Input!$G$51),Input!$H$51)</f>
        <v>0.9</v>
      </c>
      <c r="O101" s="60">
        <f t="shared" si="74"/>
        <v>19603417.499999996</v>
      </c>
      <c r="P101" s="60">
        <f t="shared" ref="P101:P132" si="75">B101-B100</f>
        <v>31</v>
      </c>
      <c r="Q101" s="60">
        <f t="shared" si="42"/>
        <v>217180045.22744608</v>
      </c>
      <c r="R101" s="60">
        <f>ROUND(Q101*$P101*Input!$C$3/365,0)</f>
        <v>2766814</v>
      </c>
      <c r="S101" s="60">
        <f>IF(A101&lt;=Input!$C$6,0,IF('Fixed Tenure'!O101&lt;'Fixed Tenure'!Q101,'Fixed Tenure'!O101-R101,'Fixed Tenure'!Q101))</f>
        <v>16836603.499999996</v>
      </c>
      <c r="T101" s="60">
        <f t="shared" si="43"/>
        <v>19603417.499999996</v>
      </c>
      <c r="U101" s="60">
        <f t="shared" si="44"/>
        <v>200343441.72744608</v>
      </c>
      <c r="V101" s="193"/>
      <c r="W101" s="169">
        <v>97</v>
      </c>
      <c r="X101" s="1">
        <f t="shared" si="66"/>
        <v>48472</v>
      </c>
      <c r="Y101" s="60">
        <f>IF($X101&lt;Input!$H$58,IF($X101&lt;Input!$G$58,IF($X101&lt;Input!$F$58,IF($X101&lt;Input!$E$58,IF($X101&lt;Input!$D$58,Input!$C$64,Input!$D$64),Input!$E$64),Input!$F$64),Input!$G$64),Input!$H$64)</f>
        <v>0</v>
      </c>
      <c r="Z101" s="190">
        <f>IF($A101&lt;Input!$H$65,IF($A101&lt;Input!$G$65,IF($A101&lt;Input!$F$65,IF($A101&lt;Input!$E$65,IF($A101&lt;Input!$D$65,Input!$C$66,Input!$D$66),Input!$E$66),Input!$F$66),Input!$G$66),Input!$H$66)</f>
        <v>0.9</v>
      </c>
      <c r="AA101" s="60">
        <f t="shared" si="45"/>
        <v>0</v>
      </c>
      <c r="AB101" s="60">
        <f t="shared" si="67"/>
        <v>31</v>
      </c>
      <c r="AC101" s="60">
        <f t="shared" si="46"/>
        <v>0</v>
      </c>
      <c r="AD101" s="60">
        <f>ROUND(AC101*AB101*Input!$C$3/365,0)</f>
        <v>0</v>
      </c>
      <c r="AE101" s="61">
        <f>IF($A101&lt;=Input!$C$6,0,IF('Fixed Tenure'!AA101&lt;'Fixed Tenure'!AC101,'Fixed Tenure'!AA101-AD101,'Fixed Tenure'!AC101))</f>
        <v>0</v>
      </c>
      <c r="AF101" s="61">
        <f t="shared" si="47"/>
        <v>0</v>
      </c>
      <c r="AG101" s="60">
        <f t="shared" si="48"/>
        <v>0</v>
      </c>
      <c r="AH101" s="193"/>
      <c r="AI101" s="169">
        <v>97</v>
      </c>
      <c r="AJ101" s="1">
        <f t="shared" si="68"/>
        <v>48472</v>
      </c>
      <c r="AK101" s="60">
        <f>IF($X101&lt;Input!$H$73,IF($X101&lt;Input!$G$73,IF($X101&lt;Input!$F$73,IF($X101&lt;Input!$E$73,IF($X101&lt;Input!$D$73,Input!$C$79,Input!$D$79),Input!$E$79),Input!$F$79),Input!$G$79),Input!$H$79)</f>
        <v>0</v>
      </c>
      <c r="AL101" s="190">
        <f>IF($A101&lt;Input!$H$80,IF($A101&lt;Input!$G$80,IF($A101&lt;Input!$F$80,IF($A101&lt;Input!$E$80,IF($A101&lt;Input!$D$80,Input!$C$81,Input!$D$81),Input!$E$81),Input!$F$81),Input!$G$81),Input!$H$81)</f>
        <v>0.9</v>
      </c>
      <c r="AM101" s="60">
        <f t="shared" si="49"/>
        <v>0</v>
      </c>
      <c r="AN101" s="60">
        <f t="shared" si="69"/>
        <v>31</v>
      </c>
      <c r="AO101" s="60">
        <f t="shared" si="50"/>
        <v>0</v>
      </c>
      <c r="AP101" s="60">
        <f>ROUND(AO101*AN101*Input!$C$3/365,0)</f>
        <v>0</v>
      </c>
      <c r="AQ101" s="61">
        <f>IF($A101&lt;=Input!$C$6,0,IF('Fixed Tenure'!AM101&lt;'Fixed Tenure'!AO101,'Fixed Tenure'!AM101-AP101,'Fixed Tenure'!AO101))</f>
        <v>0</v>
      </c>
      <c r="AR101" s="61">
        <f t="shared" si="51"/>
        <v>0</v>
      </c>
      <c r="AS101" s="60">
        <f t="shared" si="52"/>
        <v>0</v>
      </c>
      <c r="AT101" s="193"/>
      <c r="AU101" s="169">
        <v>97</v>
      </c>
      <c r="AV101" s="1">
        <f t="shared" si="70"/>
        <v>48472</v>
      </c>
      <c r="AW101" s="60">
        <f>IF($X101&lt;Input!$H$88,IF($X101&lt;Input!$G$88,IF($X101&lt;Input!$F$88,IF($X101&lt;Input!$E$88,IF($X101&lt;Input!$D$88,Input!$C$94,Input!$D$94),Input!$E$94),Input!$F$94),Input!$G$94),Input!$H$94)</f>
        <v>0</v>
      </c>
      <c r="AX101" s="190">
        <f>IF($A101&lt;Input!$H$95,IF($A101&lt;Input!$G$95,IF($A101&lt;Input!$F$95,IF($A101&lt;Input!$E$95,IF($A101&lt;Input!$D$95,Input!$C$96,Input!$D$96),Input!$E$96),Input!$F$96),Input!$G$96),Input!$H$96)</f>
        <v>0.9</v>
      </c>
      <c r="AY101" s="60">
        <f t="shared" si="53"/>
        <v>0</v>
      </c>
      <c r="AZ101" s="60">
        <f t="shared" si="71"/>
        <v>31</v>
      </c>
      <c r="BA101" s="60">
        <f t="shared" si="54"/>
        <v>0</v>
      </c>
      <c r="BB101" s="60">
        <f>ROUND(BA101*AZ101*Input!$C$3/365,0)</f>
        <v>0</v>
      </c>
      <c r="BC101" s="61">
        <f>IF($A101&lt;=Input!$C$6,0,IF('Fixed Tenure'!AY101&lt;'Fixed Tenure'!BA101,'Fixed Tenure'!AY101-BB101,'Fixed Tenure'!BA101))</f>
        <v>0</v>
      </c>
      <c r="BD101" s="61">
        <f t="shared" si="55"/>
        <v>0</v>
      </c>
      <c r="BE101" s="60">
        <f t="shared" si="56"/>
        <v>0</v>
      </c>
      <c r="BF101" s="193"/>
      <c r="BG101" s="169">
        <v>97</v>
      </c>
      <c r="BH101" s="1">
        <f t="shared" si="72"/>
        <v>48472</v>
      </c>
      <c r="BI101" s="60">
        <f>IF($X101&lt;Input!$H$103,IF($X101&lt;Input!$G$103,IF($X101&lt;Input!$F$103,IF($X101&lt;Input!$E$103,IF($X101&lt;Input!$D$103,Input!$C$109,Input!$D$109),Input!$E$109),Input!$F$109),Input!$G$109),Input!$H$109)</f>
        <v>0</v>
      </c>
      <c r="BJ101" s="190">
        <f>IF($A101&lt;Input!$H$110,IF($A101&lt;Input!$G$110,IF($A101&lt;Input!$F$110,IF($A101&lt;Input!$E$110,IF($A101&lt;Input!$D$110,Input!$C$111,Input!$D$111),Input!$E$111),Input!$F$111),Input!$G$111),Input!$H$111)</f>
        <v>0.9</v>
      </c>
      <c r="BK101" s="60">
        <f t="shared" si="57"/>
        <v>0</v>
      </c>
      <c r="BL101" s="60">
        <f t="shared" si="73"/>
        <v>31</v>
      </c>
      <c r="BM101" s="60">
        <f t="shared" si="58"/>
        <v>0</v>
      </c>
      <c r="BN101" s="60">
        <f>ROUND(BM101*BL101*Input!$C$3/365,0)</f>
        <v>0</v>
      </c>
      <c r="BO101" s="61">
        <f>IF($A101&lt;=Input!$C$6,0,IF('Fixed Tenure'!BK101&lt;'Fixed Tenure'!BM101,'Fixed Tenure'!BK101-BN101,'Fixed Tenure'!BM101))</f>
        <v>0</v>
      </c>
      <c r="BP101" s="61">
        <f t="shared" si="59"/>
        <v>0</v>
      </c>
      <c r="BQ101" s="60">
        <f t="shared" si="60"/>
        <v>0</v>
      </c>
      <c r="BR101" s="198"/>
    </row>
    <row r="102" spans="1:70" x14ac:dyDescent="0.25">
      <c r="A102" s="169">
        <v>98</v>
      </c>
      <c r="B102" s="1">
        <f t="shared" si="61"/>
        <v>48502</v>
      </c>
      <c r="C102" s="60">
        <f t="shared" si="39"/>
        <v>21781574.999999996</v>
      </c>
      <c r="D102" s="60">
        <f t="shared" si="40"/>
        <v>19603417.499999996</v>
      </c>
      <c r="E102" s="60">
        <f t="shared" si="62"/>
        <v>30</v>
      </c>
      <c r="F102" s="60">
        <f t="shared" si="63"/>
        <v>200343441.72744608</v>
      </c>
      <c r="G102" s="60">
        <f>ROUND(F102*E102*Input!$C$3/365,0)</f>
        <v>2469988</v>
      </c>
      <c r="H102" s="60">
        <f>IF($A102&lt;=Input!$C$6,0,IF('Fixed Tenure'!D102&lt;'Fixed Tenure'!F102,'Fixed Tenure'!D102-G102,'Fixed Tenure'!F102))</f>
        <v>17133429.499999996</v>
      </c>
      <c r="I102" s="60">
        <f t="shared" si="64"/>
        <v>19603417.499999996</v>
      </c>
      <c r="J102" s="60">
        <f t="shared" si="65"/>
        <v>183210012.22744608</v>
      </c>
      <c r="K102" s="202">
        <f>J102/Input!$K$5</f>
        <v>0.61070004075815365</v>
      </c>
      <c r="L102" s="232"/>
      <c r="M102" s="60">
        <f>IF($B102&lt;Input!$H$43,IF($B102&lt;Input!$G$43,IF($B102&lt;Input!$F$43,IF($B102&lt;Input!$E$43,IF($B102&lt;Input!$D$43,Input!$C$49,Input!$D$49),Input!$E$49),Input!$F$49),Input!$G$49),Input!$H$49)</f>
        <v>21781574.999999996</v>
      </c>
      <c r="N102" s="190">
        <f>IF($A102&lt;Input!$H$50,IF($A102&lt;Input!$G$50,IF($A102&lt;Input!$F$50,IF($A102&lt;Input!$E$50,IF($A102&lt;Input!$D$50,Input!$C$51,Input!$D$51),Input!$E$51),Input!$F$51),Input!$G$51),Input!$H$51)</f>
        <v>0.9</v>
      </c>
      <c r="O102" s="60">
        <f t="shared" si="74"/>
        <v>19603417.499999996</v>
      </c>
      <c r="P102" s="60">
        <f t="shared" si="75"/>
        <v>30</v>
      </c>
      <c r="Q102" s="60">
        <f t="shared" si="42"/>
        <v>200343441.72744608</v>
      </c>
      <c r="R102" s="60">
        <f>ROUND(Q102*$P102*Input!$C$3/365,0)</f>
        <v>2469988</v>
      </c>
      <c r="S102" s="60">
        <f>IF(A102&lt;=Input!$C$6,0,IF('Fixed Tenure'!O102&lt;'Fixed Tenure'!Q102,'Fixed Tenure'!O102-R102,'Fixed Tenure'!Q102))</f>
        <v>17133429.499999996</v>
      </c>
      <c r="T102" s="60">
        <f t="shared" si="43"/>
        <v>19603417.499999996</v>
      </c>
      <c r="U102" s="60">
        <f t="shared" si="44"/>
        <v>183210012.22744608</v>
      </c>
      <c r="V102" s="193"/>
      <c r="W102" s="169">
        <v>98</v>
      </c>
      <c r="X102" s="1">
        <f t="shared" si="66"/>
        <v>48502</v>
      </c>
      <c r="Y102" s="60">
        <f>IF($X102&lt;Input!$H$58,IF($X102&lt;Input!$G$58,IF($X102&lt;Input!$F$58,IF($X102&lt;Input!$E$58,IF($X102&lt;Input!$D$58,Input!$C$64,Input!$D$64),Input!$E$64),Input!$F$64),Input!$G$64),Input!$H$64)</f>
        <v>0</v>
      </c>
      <c r="Z102" s="190">
        <f>IF($A102&lt;Input!$H$65,IF($A102&lt;Input!$G$65,IF($A102&lt;Input!$F$65,IF($A102&lt;Input!$E$65,IF($A102&lt;Input!$D$65,Input!$C$66,Input!$D$66),Input!$E$66),Input!$F$66),Input!$G$66),Input!$H$66)</f>
        <v>0.9</v>
      </c>
      <c r="AA102" s="60">
        <f t="shared" si="45"/>
        <v>0</v>
      </c>
      <c r="AB102" s="60">
        <f t="shared" si="67"/>
        <v>30</v>
      </c>
      <c r="AC102" s="60">
        <f t="shared" si="46"/>
        <v>0</v>
      </c>
      <c r="AD102" s="60">
        <f>ROUND(AC102*AB102*Input!$C$3/365,0)</f>
        <v>0</v>
      </c>
      <c r="AE102" s="61">
        <f>IF($A102&lt;=Input!$C$6,0,IF('Fixed Tenure'!AA102&lt;'Fixed Tenure'!AC102,'Fixed Tenure'!AA102-AD102,'Fixed Tenure'!AC102))</f>
        <v>0</v>
      </c>
      <c r="AF102" s="61">
        <f t="shared" si="47"/>
        <v>0</v>
      </c>
      <c r="AG102" s="60">
        <f t="shared" si="48"/>
        <v>0</v>
      </c>
      <c r="AH102" s="193"/>
      <c r="AI102" s="169">
        <v>98</v>
      </c>
      <c r="AJ102" s="1">
        <f t="shared" si="68"/>
        <v>48502</v>
      </c>
      <c r="AK102" s="60">
        <f>IF($X102&lt;Input!$H$73,IF($X102&lt;Input!$G$73,IF($X102&lt;Input!$F$73,IF($X102&lt;Input!$E$73,IF($X102&lt;Input!$D$73,Input!$C$79,Input!$D$79),Input!$E$79),Input!$F$79),Input!$G$79),Input!$H$79)</f>
        <v>0</v>
      </c>
      <c r="AL102" s="190">
        <f>IF($A102&lt;Input!$H$80,IF($A102&lt;Input!$G$80,IF($A102&lt;Input!$F$80,IF($A102&lt;Input!$E$80,IF($A102&lt;Input!$D$80,Input!$C$81,Input!$D$81),Input!$E$81),Input!$F$81),Input!$G$81),Input!$H$81)</f>
        <v>0.9</v>
      </c>
      <c r="AM102" s="60">
        <f t="shared" si="49"/>
        <v>0</v>
      </c>
      <c r="AN102" s="60">
        <f t="shared" si="69"/>
        <v>30</v>
      </c>
      <c r="AO102" s="60">
        <f t="shared" si="50"/>
        <v>0</v>
      </c>
      <c r="AP102" s="60">
        <f>ROUND(AO102*AN102*Input!$C$3/365,0)</f>
        <v>0</v>
      </c>
      <c r="AQ102" s="61">
        <f>IF($A102&lt;=Input!$C$6,0,IF('Fixed Tenure'!AM102&lt;'Fixed Tenure'!AO102,'Fixed Tenure'!AM102-AP102,'Fixed Tenure'!AO102))</f>
        <v>0</v>
      </c>
      <c r="AR102" s="61">
        <f t="shared" si="51"/>
        <v>0</v>
      </c>
      <c r="AS102" s="60">
        <f t="shared" si="52"/>
        <v>0</v>
      </c>
      <c r="AT102" s="193"/>
      <c r="AU102" s="169">
        <v>98</v>
      </c>
      <c r="AV102" s="1">
        <f t="shared" si="70"/>
        <v>48502</v>
      </c>
      <c r="AW102" s="60">
        <f>IF($X102&lt;Input!$H$88,IF($X102&lt;Input!$G$88,IF($X102&lt;Input!$F$88,IF($X102&lt;Input!$E$88,IF($X102&lt;Input!$D$88,Input!$C$94,Input!$D$94),Input!$E$94),Input!$F$94),Input!$G$94),Input!$H$94)</f>
        <v>0</v>
      </c>
      <c r="AX102" s="190">
        <f>IF($A102&lt;Input!$H$95,IF($A102&lt;Input!$G$95,IF($A102&lt;Input!$F$95,IF($A102&lt;Input!$E$95,IF($A102&lt;Input!$D$95,Input!$C$96,Input!$D$96),Input!$E$96),Input!$F$96),Input!$G$96),Input!$H$96)</f>
        <v>0.9</v>
      </c>
      <c r="AY102" s="60">
        <f t="shared" si="53"/>
        <v>0</v>
      </c>
      <c r="AZ102" s="60">
        <f t="shared" si="71"/>
        <v>30</v>
      </c>
      <c r="BA102" s="60">
        <f t="shared" si="54"/>
        <v>0</v>
      </c>
      <c r="BB102" s="60">
        <f>ROUND(BA102*AZ102*Input!$C$3/365,0)</f>
        <v>0</v>
      </c>
      <c r="BC102" s="61">
        <f>IF($A102&lt;=Input!$C$6,0,IF('Fixed Tenure'!AY102&lt;'Fixed Tenure'!BA102,'Fixed Tenure'!AY102-BB102,'Fixed Tenure'!BA102))</f>
        <v>0</v>
      </c>
      <c r="BD102" s="61">
        <f t="shared" si="55"/>
        <v>0</v>
      </c>
      <c r="BE102" s="60">
        <f t="shared" si="56"/>
        <v>0</v>
      </c>
      <c r="BF102" s="193"/>
      <c r="BG102" s="169">
        <v>98</v>
      </c>
      <c r="BH102" s="1">
        <f t="shared" si="72"/>
        <v>48502</v>
      </c>
      <c r="BI102" s="60">
        <f>IF($X102&lt;Input!$H$103,IF($X102&lt;Input!$G$103,IF($X102&lt;Input!$F$103,IF($X102&lt;Input!$E$103,IF($X102&lt;Input!$D$103,Input!$C$109,Input!$D$109),Input!$E$109),Input!$F$109),Input!$G$109),Input!$H$109)</f>
        <v>0</v>
      </c>
      <c r="BJ102" s="190">
        <f>IF($A102&lt;Input!$H$110,IF($A102&lt;Input!$G$110,IF($A102&lt;Input!$F$110,IF($A102&lt;Input!$E$110,IF($A102&lt;Input!$D$110,Input!$C$111,Input!$D$111),Input!$E$111),Input!$F$111),Input!$G$111),Input!$H$111)</f>
        <v>0.9</v>
      </c>
      <c r="BK102" s="60">
        <f t="shared" si="57"/>
        <v>0</v>
      </c>
      <c r="BL102" s="60">
        <f t="shared" si="73"/>
        <v>30</v>
      </c>
      <c r="BM102" s="60">
        <f t="shared" si="58"/>
        <v>0</v>
      </c>
      <c r="BN102" s="60">
        <f>ROUND(BM102*BL102*Input!$C$3/365,0)</f>
        <v>0</v>
      </c>
      <c r="BO102" s="61">
        <f>IF($A102&lt;=Input!$C$6,0,IF('Fixed Tenure'!BK102&lt;'Fixed Tenure'!BM102,'Fixed Tenure'!BK102-BN102,'Fixed Tenure'!BM102))</f>
        <v>0</v>
      </c>
      <c r="BP102" s="61">
        <f t="shared" si="59"/>
        <v>0</v>
      </c>
      <c r="BQ102" s="60">
        <f t="shared" si="60"/>
        <v>0</v>
      </c>
      <c r="BR102" s="198"/>
    </row>
    <row r="103" spans="1:70" x14ac:dyDescent="0.25">
      <c r="A103" s="169">
        <v>99</v>
      </c>
      <c r="B103" s="1">
        <f t="shared" si="61"/>
        <v>48533</v>
      </c>
      <c r="C103" s="60">
        <f t="shared" si="39"/>
        <v>21781574.999999996</v>
      </c>
      <c r="D103" s="60">
        <f t="shared" si="40"/>
        <v>19603417.499999996</v>
      </c>
      <c r="E103" s="60">
        <f t="shared" si="62"/>
        <v>31</v>
      </c>
      <c r="F103" s="60">
        <f t="shared" si="63"/>
        <v>183210012.22744608</v>
      </c>
      <c r="G103" s="60">
        <f>ROUND(F103*E103*Input!$C$3/365,0)</f>
        <v>2334045</v>
      </c>
      <c r="H103" s="60">
        <f>IF($A103&lt;=Input!$C$6,0,IF('Fixed Tenure'!D103&lt;'Fixed Tenure'!F103,'Fixed Tenure'!D103-G103,'Fixed Tenure'!F103))</f>
        <v>17269372.499999996</v>
      </c>
      <c r="I103" s="60">
        <f t="shared" si="64"/>
        <v>19603417.499999996</v>
      </c>
      <c r="J103" s="60">
        <f t="shared" si="65"/>
        <v>165940639.72744608</v>
      </c>
      <c r="K103" s="202">
        <f>J103/Input!$K$5</f>
        <v>0.55313546575815364</v>
      </c>
      <c r="L103" s="232"/>
      <c r="M103" s="60">
        <f>IF($B103&lt;Input!$H$43,IF($B103&lt;Input!$G$43,IF($B103&lt;Input!$F$43,IF($B103&lt;Input!$E$43,IF($B103&lt;Input!$D$43,Input!$C$49,Input!$D$49),Input!$E$49),Input!$F$49),Input!$G$49),Input!$H$49)</f>
        <v>21781574.999999996</v>
      </c>
      <c r="N103" s="190">
        <f>IF($A103&lt;Input!$H$50,IF($A103&lt;Input!$G$50,IF($A103&lt;Input!$F$50,IF($A103&lt;Input!$E$50,IF($A103&lt;Input!$D$50,Input!$C$51,Input!$D$51),Input!$E$51),Input!$F$51),Input!$G$51),Input!$H$51)</f>
        <v>0.9</v>
      </c>
      <c r="O103" s="60">
        <f t="shared" si="74"/>
        <v>19603417.499999996</v>
      </c>
      <c r="P103" s="60">
        <f t="shared" si="75"/>
        <v>31</v>
      </c>
      <c r="Q103" s="60">
        <f t="shared" si="42"/>
        <v>183210012.22744608</v>
      </c>
      <c r="R103" s="60">
        <f>ROUND(Q103*$P103*Input!$C$3/365,0)</f>
        <v>2334045</v>
      </c>
      <c r="S103" s="60">
        <f>IF(A103&lt;=Input!$C$6,0,IF('Fixed Tenure'!O103&lt;'Fixed Tenure'!Q103,'Fixed Tenure'!O103-R103,'Fixed Tenure'!Q103))</f>
        <v>17269372.499999996</v>
      </c>
      <c r="T103" s="60">
        <f t="shared" si="43"/>
        <v>19603417.499999996</v>
      </c>
      <c r="U103" s="60">
        <f t="shared" si="44"/>
        <v>165940639.72744608</v>
      </c>
      <c r="V103" s="193"/>
      <c r="W103" s="169">
        <v>99</v>
      </c>
      <c r="X103" s="1">
        <f t="shared" si="66"/>
        <v>48533</v>
      </c>
      <c r="Y103" s="60">
        <f>IF($X103&lt;Input!$H$58,IF($X103&lt;Input!$G$58,IF($X103&lt;Input!$F$58,IF($X103&lt;Input!$E$58,IF($X103&lt;Input!$D$58,Input!$C$64,Input!$D$64),Input!$E$64),Input!$F$64),Input!$G$64),Input!$H$64)</f>
        <v>0</v>
      </c>
      <c r="Z103" s="190">
        <f>IF($A103&lt;Input!$H$65,IF($A103&lt;Input!$G$65,IF($A103&lt;Input!$F$65,IF($A103&lt;Input!$E$65,IF($A103&lt;Input!$D$65,Input!$C$66,Input!$D$66),Input!$E$66),Input!$F$66),Input!$G$66),Input!$H$66)</f>
        <v>0.9</v>
      </c>
      <c r="AA103" s="60">
        <f t="shared" si="45"/>
        <v>0</v>
      </c>
      <c r="AB103" s="60">
        <f t="shared" si="67"/>
        <v>31</v>
      </c>
      <c r="AC103" s="60">
        <f t="shared" si="46"/>
        <v>0</v>
      </c>
      <c r="AD103" s="60">
        <f>ROUND(AC103*AB103*Input!$C$3/365,0)</f>
        <v>0</v>
      </c>
      <c r="AE103" s="61">
        <f>IF($A103&lt;=Input!$C$6,0,IF('Fixed Tenure'!AA103&lt;'Fixed Tenure'!AC103,'Fixed Tenure'!AA103-AD103,'Fixed Tenure'!AC103))</f>
        <v>0</v>
      </c>
      <c r="AF103" s="61">
        <f t="shared" si="47"/>
        <v>0</v>
      </c>
      <c r="AG103" s="60">
        <f t="shared" si="48"/>
        <v>0</v>
      </c>
      <c r="AH103" s="193"/>
      <c r="AI103" s="169">
        <v>99</v>
      </c>
      <c r="AJ103" s="1">
        <f t="shared" si="68"/>
        <v>48533</v>
      </c>
      <c r="AK103" s="60">
        <f>IF($X103&lt;Input!$H$73,IF($X103&lt;Input!$G$73,IF($X103&lt;Input!$F$73,IF($X103&lt;Input!$E$73,IF($X103&lt;Input!$D$73,Input!$C$79,Input!$D$79),Input!$E$79),Input!$F$79),Input!$G$79),Input!$H$79)</f>
        <v>0</v>
      </c>
      <c r="AL103" s="190">
        <f>IF($A103&lt;Input!$H$80,IF($A103&lt;Input!$G$80,IF($A103&lt;Input!$F$80,IF($A103&lt;Input!$E$80,IF($A103&lt;Input!$D$80,Input!$C$81,Input!$D$81),Input!$E$81),Input!$F$81),Input!$G$81),Input!$H$81)</f>
        <v>0.9</v>
      </c>
      <c r="AM103" s="60">
        <f t="shared" si="49"/>
        <v>0</v>
      </c>
      <c r="AN103" s="60">
        <f t="shared" si="69"/>
        <v>31</v>
      </c>
      <c r="AO103" s="60">
        <f t="shared" si="50"/>
        <v>0</v>
      </c>
      <c r="AP103" s="60">
        <f>ROUND(AO103*AN103*Input!$C$3/365,0)</f>
        <v>0</v>
      </c>
      <c r="AQ103" s="61">
        <f>IF($A103&lt;=Input!$C$6,0,IF('Fixed Tenure'!AM103&lt;'Fixed Tenure'!AO103,'Fixed Tenure'!AM103-AP103,'Fixed Tenure'!AO103))</f>
        <v>0</v>
      </c>
      <c r="AR103" s="61">
        <f t="shared" si="51"/>
        <v>0</v>
      </c>
      <c r="AS103" s="60">
        <f t="shared" si="52"/>
        <v>0</v>
      </c>
      <c r="AT103" s="193"/>
      <c r="AU103" s="169">
        <v>99</v>
      </c>
      <c r="AV103" s="1">
        <f t="shared" si="70"/>
        <v>48533</v>
      </c>
      <c r="AW103" s="60">
        <f>IF($X103&lt;Input!$H$88,IF($X103&lt;Input!$G$88,IF($X103&lt;Input!$F$88,IF($X103&lt;Input!$E$88,IF($X103&lt;Input!$D$88,Input!$C$94,Input!$D$94),Input!$E$94),Input!$F$94),Input!$G$94),Input!$H$94)</f>
        <v>0</v>
      </c>
      <c r="AX103" s="190">
        <f>IF($A103&lt;Input!$H$95,IF($A103&lt;Input!$G$95,IF($A103&lt;Input!$F$95,IF($A103&lt;Input!$E$95,IF($A103&lt;Input!$D$95,Input!$C$96,Input!$D$96),Input!$E$96),Input!$F$96),Input!$G$96),Input!$H$96)</f>
        <v>0.9</v>
      </c>
      <c r="AY103" s="60">
        <f t="shared" si="53"/>
        <v>0</v>
      </c>
      <c r="AZ103" s="60">
        <f t="shared" si="71"/>
        <v>31</v>
      </c>
      <c r="BA103" s="60">
        <f t="shared" si="54"/>
        <v>0</v>
      </c>
      <c r="BB103" s="60">
        <f>ROUND(BA103*AZ103*Input!$C$3/365,0)</f>
        <v>0</v>
      </c>
      <c r="BC103" s="61">
        <f>IF($A103&lt;=Input!$C$6,0,IF('Fixed Tenure'!AY103&lt;'Fixed Tenure'!BA103,'Fixed Tenure'!AY103-BB103,'Fixed Tenure'!BA103))</f>
        <v>0</v>
      </c>
      <c r="BD103" s="61">
        <f t="shared" si="55"/>
        <v>0</v>
      </c>
      <c r="BE103" s="60">
        <f t="shared" si="56"/>
        <v>0</v>
      </c>
      <c r="BF103" s="193"/>
      <c r="BG103" s="169">
        <v>99</v>
      </c>
      <c r="BH103" s="1">
        <f t="shared" si="72"/>
        <v>48533</v>
      </c>
      <c r="BI103" s="60">
        <f>IF($X103&lt;Input!$H$103,IF($X103&lt;Input!$G$103,IF($X103&lt;Input!$F$103,IF($X103&lt;Input!$E$103,IF($X103&lt;Input!$D$103,Input!$C$109,Input!$D$109),Input!$E$109),Input!$F$109),Input!$G$109),Input!$H$109)</f>
        <v>0</v>
      </c>
      <c r="BJ103" s="190">
        <f>IF($A103&lt;Input!$H$110,IF($A103&lt;Input!$G$110,IF($A103&lt;Input!$F$110,IF($A103&lt;Input!$E$110,IF($A103&lt;Input!$D$110,Input!$C$111,Input!$D$111),Input!$E$111),Input!$F$111),Input!$G$111),Input!$H$111)</f>
        <v>0.9</v>
      </c>
      <c r="BK103" s="60">
        <f t="shared" si="57"/>
        <v>0</v>
      </c>
      <c r="BL103" s="60">
        <f t="shared" si="73"/>
        <v>31</v>
      </c>
      <c r="BM103" s="60">
        <f t="shared" si="58"/>
        <v>0</v>
      </c>
      <c r="BN103" s="60">
        <f>ROUND(BM103*BL103*Input!$C$3/365,0)</f>
        <v>0</v>
      </c>
      <c r="BO103" s="61">
        <f>IF($A103&lt;=Input!$C$6,0,IF('Fixed Tenure'!BK103&lt;'Fixed Tenure'!BM103,'Fixed Tenure'!BK103-BN103,'Fixed Tenure'!BM103))</f>
        <v>0</v>
      </c>
      <c r="BP103" s="61">
        <f t="shared" si="59"/>
        <v>0</v>
      </c>
      <c r="BQ103" s="60">
        <f t="shared" si="60"/>
        <v>0</v>
      </c>
      <c r="BR103" s="198"/>
    </row>
    <row r="104" spans="1:70" x14ac:dyDescent="0.25">
      <c r="A104" s="169">
        <v>100</v>
      </c>
      <c r="B104" s="1">
        <f t="shared" si="61"/>
        <v>48563</v>
      </c>
      <c r="C104" s="60">
        <f t="shared" si="39"/>
        <v>21781574.999999996</v>
      </c>
      <c r="D104" s="60">
        <f t="shared" si="40"/>
        <v>19603417.499999996</v>
      </c>
      <c r="E104" s="60">
        <f t="shared" si="62"/>
        <v>30</v>
      </c>
      <c r="F104" s="60">
        <f t="shared" si="63"/>
        <v>165940639.72744608</v>
      </c>
      <c r="G104" s="60">
        <f>ROUND(F104*E104*Input!$C$3/365,0)</f>
        <v>2045844</v>
      </c>
      <c r="H104" s="60">
        <f>IF($A104&lt;=Input!$C$6,0,IF('Fixed Tenure'!D104&lt;'Fixed Tenure'!F104,'Fixed Tenure'!D104-G104,'Fixed Tenure'!F104))</f>
        <v>17557573.499999996</v>
      </c>
      <c r="I104" s="60">
        <f t="shared" si="64"/>
        <v>19603417.499999996</v>
      </c>
      <c r="J104" s="60">
        <f t="shared" si="65"/>
        <v>148383066.22744608</v>
      </c>
      <c r="K104" s="202">
        <f>J104/Input!$K$5</f>
        <v>0.49461022075815358</v>
      </c>
      <c r="L104" s="232"/>
      <c r="M104" s="60">
        <f>IF($B104&lt;Input!$H$43,IF($B104&lt;Input!$G$43,IF($B104&lt;Input!$F$43,IF($B104&lt;Input!$E$43,IF($B104&lt;Input!$D$43,Input!$C$49,Input!$D$49),Input!$E$49),Input!$F$49),Input!$G$49),Input!$H$49)</f>
        <v>21781574.999999996</v>
      </c>
      <c r="N104" s="190">
        <f>IF($A104&lt;Input!$H$50,IF($A104&lt;Input!$G$50,IF($A104&lt;Input!$F$50,IF($A104&lt;Input!$E$50,IF($A104&lt;Input!$D$50,Input!$C$51,Input!$D$51),Input!$E$51),Input!$F$51),Input!$G$51),Input!$H$51)</f>
        <v>0.9</v>
      </c>
      <c r="O104" s="60">
        <f t="shared" si="74"/>
        <v>19603417.499999996</v>
      </c>
      <c r="P104" s="60">
        <f t="shared" si="75"/>
        <v>30</v>
      </c>
      <c r="Q104" s="60">
        <f t="shared" si="42"/>
        <v>165940639.72744608</v>
      </c>
      <c r="R104" s="60">
        <f>ROUND(Q104*$P104*Input!$C$3/365,0)</f>
        <v>2045844</v>
      </c>
      <c r="S104" s="60">
        <f>IF(A104&lt;=Input!$C$6,0,IF('Fixed Tenure'!O104&lt;'Fixed Tenure'!Q104,'Fixed Tenure'!O104-R104,'Fixed Tenure'!Q104))</f>
        <v>17557573.499999996</v>
      </c>
      <c r="T104" s="60">
        <f t="shared" si="43"/>
        <v>19603417.499999996</v>
      </c>
      <c r="U104" s="60">
        <f t="shared" si="44"/>
        <v>148383066.22744608</v>
      </c>
      <c r="V104" s="193"/>
      <c r="W104" s="169">
        <v>100</v>
      </c>
      <c r="X104" s="1">
        <f t="shared" si="66"/>
        <v>48563</v>
      </c>
      <c r="Y104" s="60">
        <f>IF($X104&lt;Input!$H$58,IF($X104&lt;Input!$G$58,IF($X104&lt;Input!$F$58,IF($X104&lt;Input!$E$58,IF($X104&lt;Input!$D$58,Input!$C$64,Input!$D$64),Input!$E$64),Input!$F$64),Input!$G$64),Input!$H$64)</f>
        <v>0</v>
      </c>
      <c r="Z104" s="190">
        <f>IF($A104&lt;Input!$H$65,IF($A104&lt;Input!$G$65,IF($A104&lt;Input!$F$65,IF($A104&lt;Input!$E$65,IF($A104&lt;Input!$D$65,Input!$C$66,Input!$D$66),Input!$E$66),Input!$F$66),Input!$G$66),Input!$H$66)</f>
        <v>0.9</v>
      </c>
      <c r="AA104" s="60">
        <f t="shared" si="45"/>
        <v>0</v>
      </c>
      <c r="AB104" s="60">
        <f t="shared" si="67"/>
        <v>30</v>
      </c>
      <c r="AC104" s="60">
        <f t="shared" si="46"/>
        <v>0</v>
      </c>
      <c r="AD104" s="60">
        <f>ROUND(AC104*AB104*Input!$C$3/365,0)</f>
        <v>0</v>
      </c>
      <c r="AE104" s="61">
        <f>IF($A104&lt;=Input!$C$6,0,IF('Fixed Tenure'!AA104&lt;'Fixed Tenure'!AC104,'Fixed Tenure'!AA104-AD104,'Fixed Tenure'!AC104))</f>
        <v>0</v>
      </c>
      <c r="AF104" s="61">
        <f t="shared" si="47"/>
        <v>0</v>
      </c>
      <c r="AG104" s="60">
        <f t="shared" si="48"/>
        <v>0</v>
      </c>
      <c r="AH104" s="193"/>
      <c r="AI104" s="169">
        <v>100</v>
      </c>
      <c r="AJ104" s="1">
        <f t="shared" si="68"/>
        <v>48563</v>
      </c>
      <c r="AK104" s="60">
        <f>IF($X104&lt;Input!$H$73,IF($X104&lt;Input!$G$73,IF($X104&lt;Input!$F$73,IF($X104&lt;Input!$E$73,IF($X104&lt;Input!$D$73,Input!$C$79,Input!$D$79),Input!$E$79),Input!$F$79),Input!$G$79),Input!$H$79)</f>
        <v>0</v>
      </c>
      <c r="AL104" s="190">
        <f>IF($A104&lt;Input!$H$80,IF($A104&lt;Input!$G$80,IF($A104&lt;Input!$F$80,IF($A104&lt;Input!$E$80,IF($A104&lt;Input!$D$80,Input!$C$81,Input!$D$81),Input!$E$81),Input!$F$81),Input!$G$81),Input!$H$81)</f>
        <v>0.9</v>
      </c>
      <c r="AM104" s="60">
        <f t="shared" si="49"/>
        <v>0</v>
      </c>
      <c r="AN104" s="60">
        <f t="shared" si="69"/>
        <v>30</v>
      </c>
      <c r="AO104" s="60">
        <f t="shared" si="50"/>
        <v>0</v>
      </c>
      <c r="AP104" s="60">
        <f>ROUND(AO104*AN104*Input!$C$3/365,0)</f>
        <v>0</v>
      </c>
      <c r="AQ104" s="61">
        <f>IF($A104&lt;=Input!$C$6,0,IF('Fixed Tenure'!AM104&lt;'Fixed Tenure'!AO104,'Fixed Tenure'!AM104-AP104,'Fixed Tenure'!AO104))</f>
        <v>0</v>
      </c>
      <c r="AR104" s="61">
        <f t="shared" si="51"/>
        <v>0</v>
      </c>
      <c r="AS104" s="60">
        <f t="shared" si="52"/>
        <v>0</v>
      </c>
      <c r="AT104" s="193"/>
      <c r="AU104" s="169">
        <v>100</v>
      </c>
      <c r="AV104" s="1">
        <f t="shared" si="70"/>
        <v>48563</v>
      </c>
      <c r="AW104" s="60">
        <f>IF($X104&lt;Input!$H$88,IF($X104&lt;Input!$G$88,IF($X104&lt;Input!$F$88,IF($X104&lt;Input!$E$88,IF($X104&lt;Input!$D$88,Input!$C$94,Input!$D$94),Input!$E$94),Input!$F$94),Input!$G$94),Input!$H$94)</f>
        <v>0</v>
      </c>
      <c r="AX104" s="190">
        <f>IF($A104&lt;Input!$H$95,IF($A104&lt;Input!$G$95,IF($A104&lt;Input!$F$95,IF($A104&lt;Input!$E$95,IF($A104&lt;Input!$D$95,Input!$C$96,Input!$D$96),Input!$E$96),Input!$F$96),Input!$G$96),Input!$H$96)</f>
        <v>0.9</v>
      </c>
      <c r="AY104" s="60">
        <f t="shared" si="53"/>
        <v>0</v>
      </c>
      <c r="AZ104" s="60">
        <f t="shared" si="71"/>
        <v>30</v>
      </c>
      <c r="BA104" s="60">
        <f t="shared" si="54"/>
        <v>0</v>
      </c>
      <c r="BB104" s="60">
        <f>ROUND(BA104*AZ104*Input!$C$3/365,0)</f>
        <v>0</v>
      </c>
      <c r="BC104" s="61">
        <f>IF($A104&lt;=Input!$C$6,0,IF('Fixed Tenure'!AY104&lt;'Fixed Tenure'!BA104,'Fixed Tenure'!AY104-BB104,'Fixed Tenure'!BA104))</f>
        <v>0</v>
      </c>
      <c r="BD104" s="61">
        <f t="shared" si="55"/>
        <v>0</v>
      </c>
      <c r="BE104" s="60">
        <f t="shared" si="56"/>
        <v>0</v>
      </c>
      <c r="BF104" s="193"/>
      <c r="BG104" s="169">
        <v>100</v>
      </c>
      <c r="BH104" s="1">
        <f t="shared" si="72"/>
        <v>48563</v>
      </c>
      <c r="BI104" s="60">
        <f>IF($X104&lt;Input!$H$103,IF($X104&lt;Input!$G$103,IF($X104&lt;Input!$F$103,IF($X104&lt;Input!$E$103,IF($X104&lt;Input!$D$103,Input!$C$109,Input!$D$109),Input!$E$109),Input!$F$109),Input!$G$109),Input!$H$109)</f>
        <v>0</v>
      </c>
      <c r="BJ104" s="190">
        <f>IF($A104&lt;Input!$H$110,IF($A104&lt;Input!$G$110,IF($A104&lt;Input!$F$110,IF($A104&lt;Input!$E$110,IF($A104&lt;Input!$D$110,Input!$C$111,Input!$D$111),Input!$E$111),Input!$F$111),Input!$G$111),Input!$H$111)</f>
        <v>0.9</v>
      </c>
      <c r="BK104" s="60">
        <f t="shared" si="57"/>
        <v>0</v>
      </c>
      <c r="BL104" s="60">
        <f t="shared" si="73"/>
        <v>30</v>
      </c>
      <c r="BM104" s="60">
        <f t="shared" si="58"/>
        <v>0</v>
      </c>
      <c r="BN104" s="60">
        <f>ROUND(BM104*BL104*Input!$C$3/365,0)</f>
        <v>0</v>
      </c>
      <c r="BO104" s="61">
        <f>IF($A104&lt;=Input!$C$6,0,IF('Fixed Tenure'!BK104&lt;'Fixed Tenure'!BM104,'Fixed Tenure'!BK104-BN104,'Fixed Tenure'!BM104))</f>
        <v>0</v>
      </c>
      <c r="BP104" s="61">
        <f t="shared" si="59"/>
        <v>0</v>
      </c>
      <c r="BQ104" s="60">
        <f t="shared" si="60"/>
        <v>0</v>
      </c>
      <c r="BR104" s="198"/>
    </row>
    <row r="105" spans="1:70" x14ac:dyDescent="0.25">
      <c r="A105" s="169">
        <v>101</v>
      </c>
      <c r="B105" s="1">
        <f t="shared" si="61"/>
        <v>48594</v>
      </c>
      <c r="C105" s="60">
        <f t="shared" si="39"/>
        <v>21781574.999999996</v>
      </c>
      <c r="D105" s="60">
        <f t="shared" si="40"/>
        <v>19603417.499999996</v>
      </c>
      <c r="E105" s="60">
        <f t="shared" si="62"/>
        <v>31</v>
      </c>
      <c r="F105" s="60">
        <f t="shared" si="63"/>
        <v>148383066.22744608</v>
      </c>
      <c r="G105" s="60">
        <f>ROUND(F105*E105*Input!$C$3/365,0)</f>
        <v>1890360</v>
      </c>
      <c r="H105" s="60">
        <f>IF($A105&lt;=Input!$C$6,0,IF('Fixed Tenure'!D105&lt;'Fixed Tenure'!F105,'Fixed Tenure'!D105-G105,'Fixed Tenure'!F105))</f>
        <v>17713057.499999996</v>
      </c>
      <c r="I105" s="60">
        <f t="shared" si="64"/>
        <v>19603417.499999996</v>
      </c>
      <c r="J105" s="60">
        <f t="shared" si="65"/>
        <v>130670008.72744608</v>
      </c>
      <c r="K105" s="202">
        <f>J105/Input!$K$5</f>
        <v>0.4355666957581536</v>
      </c>
      <c r="L105" s="232"/>
      <c r="M105" s="60">
        <f>IF($B105&lt;Input!$H$43,IF($B105&lt;Input!$G$43,IF($B105&lt;Input!$F$43,IF($B105&lt;Input!$E$43,IF($B105&lt;Input!$D$43,Input!$C$49,Input!$D$49),Input!$E$49),Input!$F$49),Input!$G$49),Input!$H$49)</f>
        <v>21781574.999999996</v>
      </c>
      <c r="N105" s="190">
        <f>IF($A105&lt;Input!$H$50,IF($A105&lt;Input!$G$50,IF($A105&lt;Input!$F$50,IF($A105&lt;Input!$E$50,IF($A105&lt;Input!$D$50,Input!$C$51,Input!$D$51),Input!$E$51),Input!$F$51),Input!$G$51),Input!$H$51)</f>
        <v>0.9</v>
      </c>
      <c r="O105" s="60">
        <f t="shared" si="74"/>
        <v>19603417.499999996</v>
      </c>
      <c r="P105" s="60">
        <f t="shared" si="75"/>
        <v>31</v>
      </c>
      <c r="Q105" s="60">
        <f t="shared" si="42"/>
        <v>148383066.22744608</v>
      </c>
      <c r="R105" s="60">
        <f>ROUND(Q105*$P105*Input!$C$3/365,0)</f>
        <v>1890360</v>
      </c>
      <c r="S105" s="60">
        <f>IF(A105&lt;=Input!$C$6,0,IF('Fixed Tenure'!O105&lt;'Fixed Tenure'!Q105,'Fixed Tenure'!O105-R105,'Fixed Tenure'!Q105))</f>
        <v>17713057.499999996</v>
      </c>
      <c r="T105" s="60">
        <f t="shared" si="43"/>
        <v>19603417.499999996</v>
      </c>
      <c r="U105" s="60">
        <f t="shared" si="44"/>
        <v>130670008.72744608</v>
      </c>
      <c r="V105" s="193"/>
      <c r="W105" s="169">
        <v>101</v>
      </c>
      <c r="X105" s="1">
        <f t="shared" si="66"/>
        <v>48594</v>
      </c>
      <c r="Y105" s="60">
        <f>IF($X105&lt;Input!$H$58,IF($X105&lt;Input!$G$58,IF($X105&lt;Input!$F$58,IF($X105&lt;Input!$E$58,IF($X105&lt;Input!$D$58,Input!$C$64,Input!$D$64),Input!$E$64),Input!$F$64),Input!$G$64),Input!$H$64)</f>
        <v>0</v>
      </c>
      <c r="Z105" s="190">
        <f>IF($A105&lt;Input!$H$65,IF($A105&lt;Input!$G$65,IF($A105&lt;Input!$F$65,IF($A105&lt;Input!$E$65,IF($A105&lt;Input!$D$65,Input!$C$66,Input!$D$66),Input!$E$66),Input!$F$66),Input!$G$66),Input!$H$66)</f>
        <v>0.9</v>
      </c>
      <c r="AA105" s="60">
        <f t="shared" si="45"/>
        <v>0</v>
      </c>
      <c r="AB105" s="60">
        <f t="shared" si="67"/>
        <v>31</v>
      </c>
      <c r="AC105" s="60">
        <f t="shared" si="46"/>
        <v>0</v>
      </c>
      <c r="AD105" s="60">
        <f>ROUND(AC105*AB105*Input!$C$3/365,0)</f>
        <v>0</v>
      </c>
      <c r="AE105" s="61">
        <f>IF($A105&lt;=Input!$C$6,0,IF('Fixed Tenure'!AA105&lt;'Fixed Tenure'!AC105,'Fixed Tenure'!AA105-AD105,'Fixed Tenure'!AC105))</f>
        <v>0</v>
      </c>
      <c r="AF105" s="61">
        <f t="shared" si="47"/>
        <v>0</v>
      </c>
      <c r="AG105" s="60">
        <f t="shared" si="48"/>
        <v>0</v>
      </c>
      <c r="AH105" s="193"/>
      <c r="AI105" s="169">
        <v>101</v>
      </c>
      <c r="AJ105" s="1">
        <f t="shared" si="68"/>
        <v>48594</v>
      </c>
      <c r="AK105" s="60">
        <f>IF($X105&lt;Input!$H$73,IF($X105&lt;Input!$G$73,IF($X105&lt;Input!$F$73,IF($X105&lt;Input!$E$73,IF($X105&lt;Input!$D$73,Input!$C$79,Input!$D$79),Input!$E$79),Input!$F$79),Input!$G$79),Input!$H$79)</f>
        <v>0</v>
      </c>
      <c r="AL105" s="190">
        <f>IF($A105&lt;Input!$H$80,IF($A105&lt;Input!$G$80,IF($A105&lt;Input!$F$80,IF($A105&lt;Input!$E$80,IF($A105&lt;Input!$D$80,Input!$C$81,Input!$D$81),Input!$E$81),Input!$F$81),Input!$G$81),Input!$H$81)</f>
        <v>0.9</v>
      </c>
      <c r="AM105" s="60">
        <f t="shared" si="49"/>
        <v>0</v>
      </c>
      <c r="AN105" s="60">
        <f t="shared" si="69"/>
        <v>31</v>
      </c>
      <c r="AO105" s="60">
        <f t="shared" si="50"/>
        <v>0</v>
      </c>
      <c r="AP105" s="60">
        <f>ROUND(AO105*AN105*Input!$C$3/365,0)</f>
        <v>0</v>
      </c>
      <c r="AQ105" s="61">
        <f>IF($A105&lt;=Input!$C$6,0,IF('Fixed Tenure'!AM105&lt;'Fixed Tenure'!AO105,'Fixed Tenure'!AM105-AP105,'Fixed Tenure'!AO105))</f>
        <v>0</v>
      </c>
      <c r="AR105" s="61">
        <f t="shared" si="51"/>
        <v>0</v>
      </c>
      <c r="AS105" s="60">
        <f t="shared" si="52"/>
        <v>0</v>
      </c>
      <c r="AT105" s="193"/>
      <c r="AU105" s="169">
        <v>101</v>
      </c>
      <c r="AV105" s="1">
        <f t="shared" si="70"/>
        <v>48594</v>
      </c>
      <c r="AW105" s="60">
        <f>IF($X105&lt;Input!$H$88,IF($X105&lt;Input!$G$88,IF($X105&lt;Input!$F$88,IF($X105&lt;Input!$E$88,IF($X105&lt;Input!$D$88,Input!$C$94,Input!$D$94),Input!$E$94),Input!$F$94),Input!$G$94),Input!$H$94)</f>
        <v>0</v>
      </c>
      <c r="AX105" s="190">
        <f>IF($A105&lt;Input!$H$95,IF($A105&lt;Input!$G$95,IF($A105&lt;Input!$F$95,IF($A105&lt;Input!$E$95,IF($A105&lt;Input!$D$95,Input!$C$96,Input!$D$96),Input!$E$96),Input!$F$96),Input!$G$96),Input!$H$96)</f>
        <v>0.9</v>
      </c>
      <c r="AY105" s="60">
        <f t="shared" si="53"/>
        <v>0</v>
      </c>
      <c r="AZ105" s="60">
        <f t="shared" si="71"/>
        <v>31</v>
      </c>
      <c r="BA105" s="60">
        <f t="shared" si="54"/>
        <v>0</v>
      </c>
      <c r="BB105" s="60">
        <f>ROUND(BA105*AZ105*Input!$C$3/365,0)</f>
        <v>0</v>
      </c>
      <c r="BC105" s="61">
        <f>IF($A105&lt;=Input!$C$6,0,IF('Fixed Tenure'!AY105&lt;'Fixed Tenure'!BA105,'Fixed Tenure'!AY105-BB105,'Fixed Tenure'!BA105))</f>
        <v>0</v>
      </c>
      <c r="BD105" s="61">
        <f t="shared" si="55"/>
        <v>0</v>
      </c>
      <c r="BE105" s="60">
        <f t="shared" si="56"/>
        <v>0</v>
      </c>
      <c r="BF105" s="193"/>
      <c r="BG105" s="169">
        <v>101</v>
      </c>
      <c r="BH105" s="1">
        <f t="shared" si="72"/>
        <v>48594</v>
      </c>
      <c r="BI105" s="60">
        <f>IF($X105&lt;Input!$H$103,IF($X105&lt;Input!$G$103,IF($X105&lt;Input!$F$103,IF($X105&lt;Input!$E$103,IF($X105&lt;Input!$D$103,Input!$C$109,Input!$D$109),Input!$E$109),Input!$F$109),Input!$G$109),Input!$H$109)</f>
        <v>0</v>
      </c>
      <c r="BJ105" s="190">
        <f>IF($A105&lt;Input!$H$110,IF($A105&lt;Input!$G$110,IF($A105&lt;Input!$F$110,IF($A105&lt;Input!$E$110,IF($A105&lt;Input!$D$110,Input!$C$111,Input!$D$111),Input!$E$111),Input!$F$111),Input!$G$111),Input!$H$111)</f>
        <v>0.9</v>
      </c>
      <c r="BK105" s="60">
        <f t="shared" si="57"/>
        <v>0</v>
      </c>
      <c r="BL105" s="60">
        <f t="shared" si="73"/>
        <v>31</v>
      </c>
      <c r="BM105" s="60">
        <f t="shared" si="58"/>
        <v>0</v>
      </c>
      <c r="BN105" s="60">
        <f>ROUND(BM105*BL105*Input!$C$3/365,0)</f>
        <v>0</v>
      </c>
      <c r="BO105" s="61">
        <f>IF($A105&lt;=Input!$C$6,0,IF('Fixed Tenure'!BK105&lt;'Fixed Tenure'!BM105,'Fixed Tenure'!BK105-BN105,'Fixed Tenure'!BM105))</f>
        <v>0</v>
      </c>
      <c r="BP105" s="61">
        <f t="shared" si="59"/>
        <v>0</v>
      </c>
      <c r="BQ105" s="60">
        <f t="shared" si="60"/>
        <v>0</v>
      </c>
      <c r="BR105" s="198"/>
    </row>
    <row r="106" spans="1:70" x14ac:dyDescent="0.25">
      <c r="A106" s="169">
        <v>102</v>
      </c>
      <c r="B106" s="1">
        <f t="shared" si="61"/>
        <v>48625</v>
      </c>
      <c r="C106" s="60">
        <f t="shared" si="39"/>
        <v>21781574.999999996</v>
      </c>
      <c r="D106" s="60">
        <f t="shared" si="40"/>
        <v>19603417.499999996</v>
      </c>
      <c r="E106" s="60">
        <f t="shared" si="62"/>
        <v>31</v>
      </c>
      <c r="F106" s="60">
        <f t="shared" si="63"/>
        <v>130670008.72744608</v>
      </c>
      <c r="G106" s="60">
        <f>ROUND(F106*E106*Input!$C$3/365,0)</f>
        <v>1664700</v>
      </c>
      <c r="H106" s="60">
        <f>IF($A106&lt;=Input!$C$6,0,IF('Fixed Tenure'!D106&lt;'Fixed Tenure'!F106,'Fixed Tenure'!D106-G106,'Fixed Tenure'!F106))</f>
        <v>17938717.499999996</v>
      </c>
      <c r="I106" s="60">
        <f t="shared" si="64"/>
        <v>19603417.499999996</v>
      </c>
      <c r="J106" s="60">
        <f t="shared" si="65"/>
        <v>112731291.22744608</v>
      </c>
      <c r="K106" s="202">
        <f>J106/Input!$K$5</f>
        <v>0.37577097075815358</v>
      </c>
      <c r="L106" s="232"/>
      <c r="M106" s="60">
        <f>IF($B106&lt;Input!$H$43,IF($B106&lt;Input!$G$43,IF($B106&lt;Input!$F$43,IF($B106&lt;Input!$E$43,IF($B106&lt;Input!$D$43,Input!$C$49,Input!$D$49),Input!$E$49),Input!$F$49),Input!$G$49),Input!$H$49)</f>
        <v>21781574.999999996</v>
      </c>
      <c r="N106" s="190">
        <f>IF($A106&lt;Input!$H$50,IF($A106&lt;Input!$G$50,IF($A106&lt;Input!$F$50,IF($A106&lt;Input!$E$50,IF($A106&lt;Input!$D$50,Input!$C$51,Input!$D$51),Input!$E$51),Input!$F$51),Input!$G$51),Input!$H$51)</f>
        <v>0.9</v>
      </c>
      <c r="O106" s="60">
        <f t="shared" si="74"/>
        <v>19603417.499999996</v>
      </c>
      <c r="P106" s="60">
        <f t="shared" si="75"/>
        <v>31</v>
      </c>
      <c r="Q106" s="60">
        <f t="shared" si="42"/>
        <v>130670008.72744608</v>
      </c>
      <c r="R106" s="60">
        <f>ROUND(Q106*$P106*Input!$C$3/365,0)</f>
        <v>1664700</v>
      </c>
      <c r="S106" s="60">
        <f>IF(A106&lt;=Input!$C$6,0,IF('Fixed Tenure'!O106&lt;'Fixed Tenure'!Q106,'Fixed Tenure'!O106-R106,'Fixed Tenure'!Q106))</f>
        <v>17938717.499999996</v>
      </c>
      <c r="T106" s="60">
        <f t="shared" si="43"/>
        <v>19603417.499999996</v>
      </c>
      <c r="U106" s="60">
        <f t="shared" si="44"/>
        <v>112731291.22744608</v>
      </c>
      <c r="V106" s="193"/>
      <c r="W106" s="169">
        <v>102</v>
      </c>
      <c r="X106" s="1">
        <f t="shared" si="66"/>
        <v>48625</v>
      </c>
      <c r="Y106" s="60">
        <f>IF($X106&lt;Input!$H$58,IF($X106&lt;Input!$G$58,IF($X106&lt;Input!$F$58,IF($X106&lt;Input!$E$58,IF($X106&lt;Input!$D$58,Input!$C$64,Input!$D$64),Input!$E$64),Input!$F$64),Input!$G$64),Input!$H$64)</f>
        <v>0</v>
      </c>
      <c r="Z106" s="190">
        <f>IF($A106&lt;Input!$H$65,IF($A106&lt;Input!$G$65,IF($A106&lt;Input!$F$65,IF($A106&lt;Input!$E$65,IF($A106&lt;Input!$D$65,Input!$C$66,Input!$D$66),Input!$E$66),Input!$F$66),Input!$G$66),Input!$H$66)</f>
        <v>0.9</v>
      </c>
      <c r="AA106" s="60">
        <f t="shared" si="45"/>
        <v>0</v>
      </c>
      <c r="AB106" s="60">
        <f t="shared" si="67"/>
        <v>31</v>
      </c>
      <c r="AC106" s="60">
        <f t="shared" si="46"/>
        <v>0</v>
      </c>
      <c r="AD106" s="60">
        <f>ROUND(AC106*AB106*Input!$C$3/365,0)</f>
        <v>0</v>
      </c>
      <c r="AE106" s="61">
        <f>IF($A106&lt;=Input!$C$6,0,IF('Fixed Tenure'!AA106&lt;'Fixed Tenure'!AC106,'Fixed Tenure'!AA106-AD106,'Fixed Tenure'!AC106))</f>
        <v>0</v>
      </c>
      <c r="AF106" s="61">
        <f t="shared" si="47"/>
        <v>0</v>
      </c>
      <c r="AG106" s="60">
        <f t="shared" si="48"/>
        <v>0</v>
      </c>
      <c r="AH106" s="193"/>
      <c r="AI106" s="169">
        <v>102</v>
      </c>
      <c r="AJ106" s="1">
        <f t="shared" si="68"/>
        <v>48625</v>
      </c>
      <c r="AK106" s="60">
        <f>IF($X106&lt;Input!$H$73,IF($X106&lt;Input!$G$73,IF($X106&lt;Input!$F$73,IF($X106&lt;Input!$E$73,IF($X106&lt;Input!$D$73,Input!$C$79,Input!$D$79),Input!$E$79),Input!$F$79),Input!$G$79),Input!$H$79)</f>
        <v>0</v>
      </c>
      <c r="AL106" s="190">
        <f>IF($A106&lt;Input!$H$80,IF($A106&lt;Input!$G$80,IF($A106&lt;Input!$F$80,IF($A106&lt;Input!$E$80,IF($A106&lt;Input!$D$80,Input!$C$81,Input!$D$81),Input!$E$81),Input!$F$81),Input!$G$81),Input!$H$81)</f>
        <v>0.9</v>
      </c>
      <c r="AM106" s="60">
        <f t="shared" si="49"/>
        <v>0</v>
      </c>
      <c r="AN106" s="60">
        <f t="shared" si="69"/>
        <v>31</v>
      </c>
      <c r="AO106" s="60">
        <f t="shared" si="50"/>
        <v>0</v>
      </c>
      <c r="AP106" s="60">
        <f>ROUND(AO106*AN106*Input!$C$3/365,0)</f>
        <v>0</v>
      </c>
      <c r="AQ106" s="61">
        <f>IF($A106&lt;=Input!$C$6,0,IF('Fixed Tenure'!AM106&lt;'Fixed Tenure'!AO106,'Fixed Tenure'!AM106-AP106,'Fixed Tenure'!AO106))</f>
        <v>0</v>
      </c>
      <c r="AR106" s="61">
        <f t="shared" si="51"/>
        <v>0</v>
      </c>
      <c r="AS106" s="60">
        <f t="shared" si="52"/>
        <v>0</v>
      </c>
      <c r="AT106" s="193"/>
      <c r="AU106" s="169">
        <v>102</v>
      </c>
      <c r="AV106" s="1">
        <f t="shared" si="70"/>
        <v>48625</v>
      </c>
      <c r="AW106" s="60">
        <f>IF($X106&lt;Input!$H$88,IF($X106&lt;Input!$G$88,IF($X106&lt;Input!$F$88,IF($X106&lt;Input!$E$88,IF($X106&lt;Input!$D$88,Input!$C$94,Input!$D$94),Input!$E$94),Input!$F$94),Input!$G$94),Input!$H$94)</f>
        <v>0</v>
      </c>
      <c r="AX106" s="190">
        <f>IF($A106&lt;Input!$H$95,IF($A106&lt;Input!$G$95,IF($A106&lt;Input!$F$95,IF($A106&lt;Input!$E$95,IF($A106&lt;Input!$D$95,Input!$C$96,Input!$D$96),Input!$E$96),Input!$F$96),Input!$G$96),Input!$H$96)</f>
        <v>0.9</v>
      </c>
      <c r="AY106" s="60">
        <f t="shared" si="53"/>
        <v>0</v>
      </c>
      <c r="AZ106" s="60">
        <f t="shared" si="71"/>
        <v>31</v>
      </c>
      <c r="BA106" s="60">
        <f t="shared" si="54"/>
        <v>0</v>
      </c>
      <c r="BB106" s="60">
        <f>ROUND(BA106*AZ106*Input!$C$3/365,0)</f>
        <v>0</v>
      </c>
      <c r="BC106" s="61">
        <f>IF($A106&lt;=Input!$C$6,0,IF('Fixed Tenure'!AY106&lt;'Fixed Tenure'!BA106,'Fixed Tenure'!AY106-BB106,'Fixed Tenure'!BA106))</f>
        <v>0</v>
      </c>
      <c r="BD106" s="61">
        <f t="shared" si="55"/>
        <v>0</v>
      </c>
      <c r="BE106" s="60">
        <f t="shared" si="56"/>
        <v>0</v>
      </c>
      <c r="BF106" s="193"/>
      <c r="BG106" s="169">
        <v>102</v>
      </c>
      <c r="BH106" s="1">
        <f t="shared" si="72"/>
        <v>48625</v>
      </c>
      <c r="BI106" s="60">
        <f>IF($X106&lt;Input!$H$103,IF($X106&lt;Input!$G$103,IF($X106&lt;Input!$F$103,IF($X106&lt;Input!$E$103,IF($X106&lt;Input!$D$103,Input!$C$109,Input!$D$109),Input!$E$109),Input!$F$109),Input!$G$109),Input!$H$109)</f>
        <v>0</v>
      </c>
      <c r="BJ106" s="190">
        <f>IF($A106&lt;Input!$H$110,IF($A106&lt;Input!$G$110,IF($A106&lt;Input!$F$110,IF($A106&lt;Input!$E$110,IF($A106&lt;Input!$D$110,Input!$C$111,Input!$D$111),Input!$E$111),Input!$F$111),Input!$G$111),Input!$H$111)</f>
        <v>0.9</v>
      </c>
      <c r="BK106" s="60">
        <f t="shared" si="57"/>
        <v>0</v>
      </c>
      <c r="BL106" s="60">
        <f t="shared" si="73"/>
        <v>31</v>
      </c>
      <c r="BM106" s="60">
        <f t="shared" si="58"/>
        <v>0</v>
      </c>
      <c r="BN106" s="60">
        <f>ROUND(BM106*BL106*Input!$C$3/365,0)</f>
        <v>0</v>
      </c>
      <c r="BO106" s="61">
        <f>IF($A106&lt;=Input!$C$6,0,IF('Fixed Tenure'!BK106&lt;'Fixed Tenure'!BM106,'Fixed Tenure'!BK106-BN106,'Fixed Tenure'!BM106))</f>
        <v>0</v>
      </c>
      <c r="BP106" s="61">
        <f t="shared" si="59"/>
        <v>0</v>
      </c>
      <c r="BQ106" s="60">
        <f t="shared" si="60"/>
        <v>0</v>
      </c>
      <c r="BR106" s="198"/>
    </row>
    <row r="107" spans="1:70" x14ac:dyDescent="0.25">
      <c r="A107" s="169">
        <v>103</v>
      </c>
      <c r="B107" s="1">
        <f t="shared" si="61"/>
        <v>48653</v>
      </c>
      <c r="C107" s="60">
        <f t="shared" si="39"/>
        <v>21781574.999999996</v>
      </c>
      <c r="D107" s="60">
        <f t="shared" si="40"/>
        <v>19603417.499999996</v>
      </c>
      <c r="E107" s="60">
        <f t="shared" si="62"/>
        <v>28</v>
      </c>
      <c r="F107" s="60">
        <f t="shared" si="63"/>
        <v>112731291.22744608</v>
      </c>
      <c r="G107" s="60">
        <f>ROUND(F107*E107*Input!$C$3/365,0)</f>
        <v>1297182</v>
      </c>
      <c r="H107" s="60">
        <f>IF($A107&lt;=Input!$C$6,0,IF('Fixed Tenure'!D107&lt;'Fixed Tenure'!F107,'Fixed Tenure'!D107-G107,'Fixed Tenure'!F107))</f>
        <v>18306235.499999996</v>
      </c>
      <c r="I107" s="60">
        <f t="shared" si="64"/>
        <v>19603417.499999996</v>
      </c>
      <c r="J107" s="60">
        <f t="shared" si="65"/>
        <v>94425055.727446079</v>
      </c>
      <c r="K107" s="202">
        <f>J107/Input!$K$5</f>
        <v>0.31475018575815361</v>
      </c>
      <c r="L107" s="232"/>
      <c r="M107" s="60">
        <f>IF($B107&lt;Input!$H$43,IF($B107&lt;Input!$G$43,IF($B107&lt;Input!$F$43,IF($B107&lt;Input!$E$43,IF($B107&lt;Input!$D$43,Input!$C$49,Input!$D$49),Input!$E$49),Input!$F$49),Input!$G$49),Input!$H$49)</f>
        <v>21781574.999999996</v>
      </c>
      <c r="N107" s="190">
        <f>IF($A107&lt;Input!$H$50,IF($A107&lt;Input!$G$50,IF($A107&lt;Input!$F$50,IF($A107&lt;Input!$E$50,IF($A107&lt;Input!$D$50,Input!$C$51,Input!$D$51),Input!$E$51),Input!$F$51),Input!$G$51),Input!$H$51)</f>
        <v>0.9</v>
      </c>
      <c r="O107" s="60">
        <f t="shared" si="74"/>
        <v>19603417.499999996</v>
      </c>
      <c r="P107" s="60">
        <f t="shared" si="75"/>
        <v>28</v>
      </c>
      <c r="Q107" s="60">
        <f t="shared" si="42"/>
        <v>112731291.22744608</v>
      </c>
      <c r="R107" s="60">
        <f>ROUND(Q107*$P107*Input!$C$3/365,0)</f>
        <v>1297182</v>
      </c>
      <c r="S107" s="60">
        <f>IF(A107&lt;=Input!$C$6,0,IF('Fixed Tenure'!O107&lt;'Fixed Tenure'!Q107,'Fixed Tenure'!O107-R107,'Fixed Tenure'!Q107))</f>
        <v>18306235.499999996</v>
      </c>
      <c r="T107" s="60">
        <f t="shared" si="43"/>
        <v>19603417.499999996</v>
      </c>
      <c r="U107" s="60">
        <f t="shared" si="44"/>
        <v>94425055.727446079</v>
      </c>
      <c r="V107" s="193"/>
      <c r="W107" s="169">
        <v>103</v>
      </c>
      <c r="X107" s="1">
        <f t="shared" si="66"/>
        <v>48653</v>
      </c>
      <c r="Y107" s="60">
        <f>IF($X107&lt;Input!$H$58,IF($X107&lt;Input!$G$58,IF($X107&lt;Input!$F$58,IF($X107&lt;Input!$E$58,IF($X107&lt;Input!$D$58,Input!$C$64,Input!$D$64),Input!$E$64),Input!$F$64),Input!$G$64),Input!$H$64)</f>
        <v>0</v>
      </c>
      <c r="Z107" s="190">
        <f>IF($A107&lt;Input!$H$65,IF($A107&lt;Input!$G$65,IF($A107&lt;Input!$F$65,IF($A107&lt;Input!$E$65,IF($A107&lt;Input!$D$65,Input!$C$66,Input!$D$66),Input!$E$66),Input!$F$66),Input!$G$66),Input!$H$66)</f>
        <v>0.9</v>
      </c>
      <c r="AA107" s="60">
        <f t="shared" si="45"/>
        <v>0</v>
      </c>
      <c r="AB107" s="60">
        <f t="shared" si="67"/>
        <v>28</v>
      </c>
      <c r="AC107" s="60">
        <f t="shared" si="46"/>
        <v>0</v>
      </c>
      <c r="AD107" s="60">
        <f>ROUND(AC107*AB107*Input!$C$3/365,0)</f>
        <v>0</v>
      </c>
      <c r="AE107" s="61">
        <f>IF($A107&lt;=Input!$C$6,0,IF('Fixed Tenure'!AA107&lt;'Fixed Tenure'!AC107,'Fixed Tenure'!AA107-AD107,'Fixed Tenure'!AC107))</f>
        <v>0</v>
      </c>
      <c r="AF107" s="61">
        <f t="shared" si="47"/>
        <v>0</v>
      </c>
      <c r="AG107" s="60">
        <f t="shared" si="48"/>
        <v>0</v>
      </c>
      <c r="AH107" s="193"/>
      <c r="AI107" s="169">
        <v>103</v>
      </c>
      <c r="AJ107" s="1">
        <f t="shared" si="68"/>
        <v>48653</v>
      </c>
      <c r="AK107" s="60">
        <f>IF($X107&lt;Input!$H$73,IF($X107&lt;Input!$G$73,IF($X107&lt;Input!$F$73,IF($X107&lt;Input!$E$73,IF($X107&lt;Input!$D$73,Input!$C$79,Input!$D$79),Input!$E$79),Input!$F$79),Input!$G$79),Input!$H$79)</f>
        <v>0</v>
      </c>
      <c r="AL107" s="190">
        <f>IF($A107&lt;Input!$H$80,IF($A107&lt;Input!$G$80,IF($A107&lt;Input!$F$80,IF($A107&lt;Input!$E$80,IF($A107&lt;Input!$D$80,Input!$C$81,Input!$D$81),Input!$E$81),Input!$F$81),Input!$G$81),Input!$H$81)</f>
        <v>0.9</v>
      </c>
      <c r="AM107" s="60">
        <f t="shared" si="49"/>
        <v>0</v>
      </c>
      <c r="AN107" s="60">
        <f t="shared" si="69"/>
        <v>28</v>
      </c>
      <c r="AO107" s="60">
        <f t="shared" si="50"/>
        <v>0</v>
      </c>
      <c r="AP107" s="60">
        <f>ROUND(AO107*AN107*Input!$C$3/365,0)</f>
        <v>0</v>
      </c>
      <c r="AQ107" s="61">
        <f>IF($A107&lt;=Input!$C$6,0,IF('Fixed Tenure'!AM107&lt;'Fixed Tenure'!AO107,'Fixed Tenure'!AM107-AP107,'Fixed Tenure'!AO107))</f>
        <v>0</v>
      </c>
      <c r="AR107" s="61">
        <f t="shared" si="51"/>
        <v>0</v>
      </c>
      <c r="AS107" s="60">
        <f t="shared" si="52"/>
        <v>0</v>
      </c>
      <c r="AT107" s="193"/>
      <c r="AU107" s="169">
        <v>103</v>
      </c>
      <c r="AV107" s="1">
        <f t="shared" si="70"/>
        <v>48653</v>
      </c>
      <c r="AW107" s="60">
        <f>IF($X107&lt;Input!$H$88,IF($X107&lt;Input!$G$88,IF($X107&lt;Input!$F$88,IF($X107&lt;Input!$E$88,IF($X107&lt;Input!$D$88,Input!$C$94,Input!$D$94),Input!$E$94),Input!$F$94),Input!$G$94),Input!$H$94)</f>
        <v>0</v>
      </c>
      <c r="AX107" s="190">
        <f>IF($A107&lt;Input!$H$95,IF($A107&lt;Input!$G$95,IF($A107&lt;Input!$F$95,IF($A107&lt;Input!$E$95,IF($A107&lt;Input!$D$95,Input!$C$96,Input!$D$96),Input!$E$96),Input!$F$96),Input!$G$96),Input!$H$96)</f>
        <v>0.9</v>
      </c>
      <c r="AY107" s="60">
        <f t="shared" si="53"/>
        <v>0</v>
      </c>
      <c r="AZ107" s="60">
        <f t="shared" si="71"/>
        <v>28</v>
      </c>
      <c r="BA107" s="60">
        <f t="shared" si="54"/>
        <v>0</v>
      </c>
      <c r="BB107" s="60">
        <f>ROUND(BA107*AZ107*Input!$C$3/365,0)</f>
        <v>0</v>
      </c>
      <c r="BC107" s="61">
        <f>IF($A107&lt;=Input!$C$6,0,IF('Fixed Tenure'!AY107&lt;'Fixed Tenure'!BA107,'Fixed Tenure'!AY107-BB107,'Fixed Tenure'!BA107))</f>
        <v>0</v>
      </c>
      <c r="BD107" s="61">
        <f t="shared" si="55"/>
        <v>0</v>
      </c>
      <c r="BE107" s="60">
        <f t="shared" si="56"/>
        <v>0</v>
      </c>
      <c r="BF107" s="193"/>
      <c r="BG107" s="169">
        <v>103</v>
      </c>
      <c r="BH107" s="1">
        <f t="shared" si="72"/>
        <v>48653</v>
      </c>
      <c r="BI107" s="60">
        <f>IF($X107&lt;Input!$H$103,IF($X107&lt;Input!$G$103,IF($X107&lt;Input!$F$103,IF($X107&lt;Input!$E$103,IF($X107&lt;Input!$D$103,Input!$C$109,Input!$D$109),Input!$E$109),Input!$F$109),Input!$G$109),Input!$H$109)</f>
        <v>0</v>
      </c>
      <c r="BJ107" s="190">
        <f>IF($A107&lt;Input!$H$110,IF($A107&lt;Input!$G$110,IF($A107&lt;Input!$F$110,IF($A107&lt;Input!$E$110,IF($A107&lt;Input!$D$110,Input!$C$111,Input!$D$111),Input!$E$111),Input!$F$111),Input!$G$111),Input!$H$111)</f>
        <v>0.9</v>
      </c>
      <c r="BK107" s="60">
        <f t="shared" si="57"/>
        <v>0</v>
      </c>
      <c r="BL107" s="60">
        <f t="shared" si="73"/>
        <v>28</v>
      </c>
      <c r="BM107" s="60">
        <f t="shared" si="58"/>
        <v>0</v>
      </c>
      <c r="BN107" s="60">
        <f>ROUND(BM107*BL107*Input!$C$3/365,0)</f>
        <v>0</v>
      </c>
      <c r="BO107" s="61">
        <f>IF($A107&lt;=Input!$C$6,0,IF('Fixed Tenure'!BK107&lt;'Fixed Tenure'!BM107,'Fixed Tenure'!BK107-BN107,'Fixed Tenure'!BM107))</f>
        <v>0</v>
      </c>
      <c r="BP107" s="61">
        <f t="shared" si="59"/>
        <v>0</v>
      </c>
      <c r="BQ107" s="60">
        <f t="shared" si="60"/>
        <v>0</v>
      </c>
      <c r="BR107" s="198"/>
    </row>
    <row r="108" spans="1:70" x14ac:dyDescent="0.25">
      <c r="A108" s="169">
        <v>104</v>
      </c>
      <c r="B108" s="1">
        <f t="shared" si="61"/>
        <v>48684</v>
      </c>
      <c r="C108" s="60">
        <f t="shared" si="39"/>
        <v>21781574.999999996</v>
      </c>
      <c r="D108" s="60">
        <f t="shared" si="40"/>
        <v>19603417.499999996</v>
      </c>
      <c r="E108" s="60">
        <f t="shared" si="62"/>
        <v>31</v>
      </c>
      <c r="F108" s="60">
        <f t="shared" si="63"/>
        <v>94425055.727446079</v>
      </c>
      <c r="G108" s="60">
        <f>ROUND(F108*E108*Input!$C$3/365,0)</f>
        <v>1202949</v>
      </c>
      <c r="H108" s="60">
        <f>IF($A108&lt;=Input!$C$6,0,IF('Fixed Tenure'!D108&lt;'Fixed Tenure'!F108,'Fixed Tenure'!D108-G108,'Fixed Tenure'!F108))</f>
        <v>18400468.499999996</v>
      </c>
      <c r="I108" s="60">
        <f t="shared" si="64"/>
        <v>19603417.499999996</v>
      </c>
      <c r="J108" s="60">
        <f t="shared" si="65"/>
        <v>76024587.227446079</v>
      </c>
      <c r="K108" s="202">
        <f>J108/Input!$K$5</f>
        <v>0.25341529075815361</v>
      </c>
      <c r="L108" s="232"/>
      <c r="M108" s="60">
        <f>IF($B108&lt;Input!$H$43,IF($B108&lt;Input!$G$43,IF($B108&lt;Input!$F$43,IF($B108&lt;Input!$E$43,IF($B108&lt;Input!$D$43,Input!$C$49,Input!$D$49),Input!$E$49),Input!$F$49),Input!$G$49),Input!$H$49)</f>
        <v>21781574.999999996</v>
      </c>
      <c r="N108" s="190">
        <f>IF($A108&lt;Input!$H$50,IF($A108&lt;Input!$G$50,IF($A108&lt;Input!$F$50,IF($A108&lt;Input!$E$50,IF($A108&lt;Input!$D$50,Input!$C$51,Input!$D$51),Input!$E$51),Input!$F$51),Input!$G$51),Input!$H$51)</f>
        <v>0.9</v>
      </c>
      <c r="O108" s="60">
        <f t="shared" si="74"/>
        <v>19603417.499999996</v>
      </c>
      <c r="P108" s="60">
        <f t="shared" si="75"/>
        <v>31</v>
      </c>
      <c r="Q108" s="60">
        <f t="shared" si="42"/>
        <v>94425055.727446079</v>
      </c>
      <c r="R108" s="60">
        <f>ROUND(Q108*$P108*Input!$C$3/365,0)</f>
        <v>1202949</v>
      </c>
      <c r="S108" s="60">
        <f>IF(A108&lt;=Input!$C$6,0,IF('Fixed Tenure'!O108&lt;'Fixed Tenure'!Q108,'Fixed Tenure'!O108-R108,'Fixed Tenure'!Q108))</f>
        <v>18400468.499999996</v>
      </c>
      <c r="T108" s="60">
        <f t="shared" si="43"/>
        <v>19603417.499999996</v>
      </c>
      <c r="U108" s="60">
        <f t="shared" si="44"/>
        <v>76024587.227446079</v>
      </c>
      <c r="V108" s="193"/>
      <c r="W108" s="169">
        <v>104</v>
      </c>
      <c r="X108" s="1">
        <f t="shared" si="66"/>
        <v>48684</v>
      </c>
      <c r="Y108" s="60">
        <f>IF($X108&lt;Input!$H$58,IF($X108&lt;Input!$G$58,IF($X108&lt;Input!$F$58,IF($X108&lt;Input!$E$58,IF($X108&lt;Input!$D$58,Input!$C$64,Input!$D$64),Input!$E$64),Input!$F$64),Input!$G$64),Input!$H$64)</f>
        <v>0</v>
      </c>
      <c r="Z108" s="190">
        <f>IF($A108&lt;Input!$H$65,IF($A108&lt;Input!$G$65,IF($A108&lt;Input!$F$65,IF($A108&lt;Input!$E$65,IF($A108&lt;Input!$D$65,Input!$C$66,Input!$D$66),Input!$E$66),Input!$F$66),Input!$G$66),Input!$H$66)</f>
        <v>0.9</v>
      </c>
      <c r="AA108" s="60">
        <f t="shared" si="45"/>
        <v>0</v>
      </c>
      <c r="AB108" s="60">
        <f t="shared" si="67"/>
        <v>31</v>
      </c>
      <c r="AC108" s="60">
        <f t="shared" si="46"/>
        <v>0</v>
      </c>
      <c r="AD108" s="60">
        <f>ROUND(AC108*AB108*Input!$C$3/365,0)</f>
        <v>0</v>
      </c>
      <c r="AE108" s="61">
        <f>IF($A108&lt;=Input!$C$6,0,IF('Fixed Tenure'!AA108&lt;'Fixed Tenure'!AC108,'Fixed Tenure'!AA108-AD108,'Fixed Tenure'!AC108))</f>
        <v>0</v>
      </c>
      <c r="AF108" s="61">
        <f t="shared" si="47"/>
        <v>0</v>
      </c>
      <c r="AG108" s="60">
        <f t="shared" si="48"/>
        <v>0</v>
      </c>
      <c r="AH108" s="193"/>
      <c r="AI108" s="169">
        <v>104</v>
      </c>
      <c r="AJ108" s="1">
        <f t="shared" si="68"/>
        <v>48684</v>
      </c>
      <c r="AK108" s="60">
        <f>IF($X108&lt;Input!$H$73,IF($X108&lt;Input!$G$73,IF($X108&lt;Input!$F$73,IF($X108&lt;Input!$E$73,IF($X108&lt;Input!$D$73,Input!$C$79,Input!$D$79),Input!$E$79),Input!$F$79),Input!$G$79),Input!$H$79)</f>
        <v>0</v>
      </c>
      <c r="AL108" s="190">
        <f>IF($A108&lt;Input!$H$80,IF($A108&lt;Input!$G$80,IF($A108&lt;Input!$F$80,IF($A108&lt;Input!$E$80,IF($A108&lt;Input!$D$80,Input!$C$81,Input!$D$81),Input!$E$81),Input!$F$81),Input!$G$81),Input!$H$81)</f>
        <v>0.9</v>
      </c>
      <c r="AM108" s="60">
        <f t="shared" si="49"/>
        <v>0</v>
      </c>
      <c r="AN108" s="60">
        <f t="shared" si="69"/>
        <v>31</v>
      </c>
      <c r="AO108" s="60">
        <f t="shared" si="50"/>
        <v>0</v>
      </c>
      <c r="AP108" s="60">
        <f>ROUND(AO108*AN108*Input!$C$3/365,0)</f>
        <v>0</v>
      </c>
      <c r="AQ108" s="61">
        <f>IF($A108&lt;=Input!$C$6,0,IF('Fixed Tenure'!AM108&lt;'Fixed Tenure'!AO108,'Fixed Tenure'!AM108-AP108,'Fixed Tenure'!AO108))</f>
        <v>0</v>
      </c>
      <c r="AR108" s="61">
        <f t="shared" si="51"/>
        <v>0</v>
      </c>
      <c r="AS108" s="60">
        <f t="shared" si="52"/>
        <v>0</v>
      </c>
      <c r="AT108" s="193"/>
      <c r="AU108" s="169">
        <v>104</v>
      </c>
      <c r="AV108" s="1">
        <f t="shared" si="70"/>
        <v>48684</v>
      </c>
      <c r="AW108" s="60">
        <f>IF($X108&lt;Input!$H$88,IF($X108&lt;Input!$G$88,IF($X108&lt;Input!$F$88,IF($X108&lt;Input!$E$88,IF($X108&lt;Input!$D$88,Input!$C$94,Input!$D$94),Input!$E$94),Input!$F$94),Input!$G$94),Input!$H$94)</f>
        <v>0</v>
      </c>
      <c r="AX108" s="190">
        <f>IF($A108&lt;Input!$H$95,IF($A108&lt;Input!$G$95,IF($A108&lt;Input!$F$95,IF($A108&lt;Input!$E$95,IF($A108&lt;Input!$D$95,Input!$C$96,Input!$D$96),Input!$E$96),Input!$F$96),Input!$G$96),Input!$H$96)</f>
        <v>0.9</v>
      </c>
      <c r="AY108" s="60">
        <f t="shared" si="53"/>
        <v>0</v>
      </c>
      <c r="AZ108" s="60">
        <f t="shared" si="71"/>
        <v>31</v>
      </c>
      <c r="BA108" s="60">
        <f t="shared" si="54"/>
        <v>0</v>
      </c>
      <c r="BB108" s="60">
        <f>ROUND(BA108*AZ108*Input!$C$3/365,0)</f>
        <v>0</v>
      </c>
      <c r="BC108" s="61">
        <f>IF($A108&lt;=Input!$C$6,0,IF('Fixed Tenure'!AY108&lt;'Fixed Tenure'!BA108,'Fixed Tenure'!AY108-BB108,'Fixed Tenure'!BA108))</f>
        <v>0</v>
      </c>
      <c r="BD108" s="61">
        <f t="shared" si="55"/>
        <v>0</v>
      </c>
      <c r="BE108" s="60">
        <f t="shared" si="56"/>
        <v>0</v>
      </c>
      <c r="BF108" s="193"/>
      <c r="BG108" s="169">
        <v>104</v>
      </c>
      <c r="BH108" s="1">
        <f t="shared" si="72"/>
        <v>48684</v>
      </c>
      <c r="BI108" s="60">
        <f>IF($X108&lt;Input!$H$103,IF($X108&lt;Input!$G$103,IF($X108&lt;Input!$F$103,IF($X108&lt;Input!$E$103,IF($X108&lt;Input!$D$103,Input!$C$109,Input!$D$109),Input!$E$109),Input!$F$109),Input!$G$109),Input!$H$109)</f>
        <v>0</v>
      </c>
      <c r="BJ108" s="190">
        <f>IF($A108&lt;Input!$H$110,IF($A108&lt;Input!$G$110,IF($A108&lt;Input!$F$110,IF($A108&lt;Input!$E$110,IF($A108&lt;Input!$D$110,Input!$C$111,Input!$D$111),Input!$E$111),Input!$F$111),Input!$G$111),Input!$H$111)</f>
        <v>0.9</v>
      </c>
      <c r="BK108" s="60">
        <f t="shared" si="57"/>
        <v>0</v>
      </c>
      <c r="BL108" s="60">
        <f t="shared" si="73"/>
        <v>31</v>
      </c>
      <c r="BM108" s="60">
        <f t="shared" si="58"/>
        <v>0</v>
      </c>
      <c r="BN108" s="60">
        <f>ROUND(BM108*BL108*Input!$C$3/365,0)</f>
        <v>0</v>
      </c>
      <c r="BO108" s="61">
        <f>IF($A108&lt;=Input!$C$6,0,IF('Fixed Tenure'!BK108&lt;'Fixed Tenure'!BM108,'Fixed Tenure'!BK108-BN108,'Fixed Tenure'!BM108))</f>
        <v>0</v>
      </c>
      <c r="BP108" s="61">
        <f t="shared" si="59"/>
        <v>0</v>
      </c>
      <c r="BQ108" s="60">
        <f t="shared" si="60"/>
        <v>0</v>
      </c>
      <c r="BR108" s="198"/>
    </row>
    <row r="109" spans="1:70" x14ac:dyDescent="0.25">
      <c r="A109" s="169">
        <v>105</v>
      </c>
      <c r="B109" s="1">
        <f t="shared" si="61"/>
        <v>48714</v>
      </c>
      <c r="C109" s="60">
        <f t="shared" si="39"/>
        <v>21781574.999999996</v>
      </c>
      <c r="D109" s="60">
        <f t="shared" si="40"/>
        <v>19603417.499999996</v>
      </c>
      <c r="E109" s="60">
        <f t="shared" si="62"/>
        <v>30</v>
      </c>
      <c r="F109" s="60">
        <f t="shared" si="63"/>
        <v>76024587.227446079</v>
      </c>
      <c r="G109" s="60">
        <f>ROUND(F109*E109*Input!$C$3/365,0)</f>
        <v>937289</v>
      </c>
      <c r="H109" s="60">
        <f>IF($A109&lt;=Input!$C$6,0,IF('Fixed Tenure'!D109&lt;'Fixed Tenure'!F109,'Fixed Tenure'!D109-G109,'Fixed Tenure'!F109))</f>
        <v>18666128.499999996</v>
      </c>
      <c r="I109" s="60">
        <f t="shared" si="64"/>
        <v>19603417.499999996</v>
      </c>
      <c r="J109" s="60">
        <f t="shared" si="65"/>
        <v>57358458.727446079</v>
      </c>
      <c r="K109" s="202">
        <f>J109/Input!$K$5</f>
        <v>0.19119486242482026</v>
      </c>
      <c r="L109" s="232"/>
      <c r="M109" s="60">
        <f>IF($B109&lt;Input!$H$43,IF($B109&lt;Input!$G$43,IF($B109&lt;Input!$F$43,IF($B109&lt;Input!$E$43,IF($B109&lt;Input!$D$43,Input!$C$49,Input!$D$49),Input!$E$49),Input!$F$49),Input!$G$49),Input!$H$49)</f>
        <v>21781574.999999996</v>
      </c>
      <c r="N109" s="190">
        <f>IF($A109&lt;Input!$H$50,IF($A109&lt;Input!$G$50,IF($A109&lt;Input!$F$50,IF($A109&lt;Input!$E$50,IF($A109&lt;Input!$D$50,Input!$C$51,Input!$D$51),Input!$E$51),Input!$F$51),Input!$G$51),Input!$H$51)</f>
        <v>0.9</v>
      </c>
      <c r="O109" s="60">
        <f t="shared" si="74"/>
        <v>19603417.499999996</v>
      </c>
      <c r="P109" s="60">
        <f t="shared" si="75"/>
        <v>30</v>
      </c>
      <c r="Q109" s="60">
        <f t="shared" si="42"/>
        <v>76024587.227446079</v>
      </c>
      <c r="R109" s="60">
        <f>ROUND(Q109*$P109*Input!$C$3/365,0)</f>
        <v>937289</v>
      </c>
      <c r="S109" s="60">
        <f>IF(A109&lt;=Input!$C$6,0,IF('Fixed Tenure'!O109&lt;'Fixed Tenure'!Q109,'Fixed Tenure'!O109-R109,'Fixed Tenure'!Q109))</f>
        <v>18666128.499999996</v>
      </c>
      <c r="T109" s="60">
        <f t="shared" si="43"/>
        <v>19603417.499999996</v>
      </c>
      <c r="U109" s="60">
        <f t="shared" si="44"/>
        <v>57358458.727446079</v>
      </c>
      <c r="V109" s="193"/>
      <c r="W109" s="169">
        <v>105</v>
      </c>
      <c r="X109" s="1">
        <f t="shared" si="66"/>
        <v>48714</v>
      </c>
      <c r="Y109" s="60">
        <f>IF($X109&lt;Input!$H$58,IF($X109&lt;Input!$G$58,IF($X109&lt;Input!$F$58,IF($X109&lt;Input!$E$58,IF($X109&lt;Input!$D$58,Input!$C$64,Input!$D$64),Input!$E$64),Input!$F$64),Input!$G$64),Input!$H$64)</f>
        <v>0</v>
      </c>
      <c r="Z109" s="190">
        <f>IF($A109&lt;Input!$H$65,IF($A109&lt;Input!$G$65,IF($A109&lt;Input!$F$65,IF($A109&lt;Input!$E$65,IF($A109&lt;Input!$D$65,Input!$C$66,Input!$D$66),Input!$E$66),Input!$F$66),Input!$G$66),Input!$H$66)</f>
        <v>0.9</v>
      </c>
      <c r="AA109" s="60">
        <f t="shared" si="45"/>
        <v>0</v>
      </c>
      <c r="AB109" s="60">
        <f t="shared" si="67"/>
        <v>30</v>
      </c>
      <c r="AC109" s="60">
        <f t="shared" si="46"/>
        <v>0</v>
      </c>
      <c r="AD109" s="60">
        <f>ROUND(AC109*AB109*Input!$C$3/365,0)</f>
        <v>0</v>
      </c>
      <c r="AE109" s="61">
        <f>IF($A109&lt;=Input!$C$6,0,IF('Fixed Tenure'!AA109&lt;'Fixed Tenure'!AC109,'Fixed Tenure'!AA109-AD109,'Fixed Tenure'!AC109))</f>
        <v>0</v>
      </c>
      <c r="AF109" s="61">
        <f t="shared" si="47"/>
        <v>0</v>
      </c>
      <c r="AG109" s="60">
        <f t="shared" si="48"/>
        <v>0</v>
      </c>
      <c r="AH109" s="193"/>
      <c r="AI109" s="169">
        <v>105</v>
      </c>
      <c r="AJ109" s="1">
        <f t="shared" si="68"/>
        <v>48714</v>
      </c>
      <c r="AK109" s="60">
        <f>IF($X109&lt;Input!$H$73,IF($X109&lt;Input!$G$73,IF($X109&lt;Input!$F$73,IF($X109&lt;Input!$E$73,IF($X109&lt;Input!$D$73,Input!$C$79,Input!$D$79),Input!$E$79),Input!$F$79),Input!$G$79),Input!$H$79)</f>
        <v>0</v>
      </c>
      <c r="AL109" s="190">
        <f>IF($A109&lt;Input!$H$80,IF($A109&lt;Input!$G$80,IF($A109&lt;Input!$F$80,IF($A109&lt;Input!$E$80,IF($A109&lt;Input!$D$80,Input!$C$81,Input!$D$81),Input!$E$81),Input!$F$81),Input!$G$81),Input!$H$81)</f>
        <v>0.9</v>
      </c>
      <c r="AM109" s="60">
        <f t="shared" si="49"/>
        <v>0</v>
      </c>
      <c r="AN109" s="60">
        <f t="shared" si="69"/>
        <v>30</v>
      </c>
      <c r="AO109" s="60">
        <f t="shared" si="50"/>
        <v>0</v>
      </c>
      <c r="AP109" s="60">
        <f>ROUND(AO109*AN109*Input!$C$3/365,0)</f>
        <v>0</v>
      </c>
      <c r="AQ109" s="61">
        <f>IF($A109&lt;=Input!$C$6,0,IF('Fixed Tenure'!AM109&lt;'Fixed Tenure'!AO109,'Fixed Tenure'!AM109-AP109,'Fixed Tenure'!AO109))</f>
        <v>0</v>
      </c>
      <c r="AR109" s="61">
        <f t="shared" si="51"/>
        <v>0</v>
      </c>
      <c r="AS109" s="60">
        <f t="shared" si="52"/>
        <v>0</v>
      </c>
      <c r="AT109" s="193"/>
      <c r="AU109" s="169">
        <v>105</v>
      </c>
      <c r="AV109" s="1">
        <f t="shared" si="70"/>
        <v>48714</v>
      </c>
      <c r="AW109" s="60">
        <f>IF($X109&lt;Input!$H$88,IF($X109&lt;Input!$G$88,IF($X109&lt;Input!$F$88,IF($X109&lt;Input!$E$88,IF($X109&lt;Input!$D$88,Input!$C$94,Input!$D$94),Input!$E$94),Input!$F$94),Input!$G$94),Input!$H$94)</f>
        <v>0</v>
      </c>
      <c r="AX109" s="190">
        <f>IF($A109&lt;Input!$H$95,IF($A109&lt;Input!$G$95,IF($A109&lt;Input!$F$95,IF($A109&lt;Input!$E$95,IF($A109&lt;Input!$D$95,Input!$C$96,Input!$D$96),Input!$E$96),Input!$F$96),Input!$G$96),Input!$H$96)</f>
        <v>0.9</v>
      </c>
      <c r="AY109" s="60">
        <f t="shared" si="53"/>
        <v>0</v>
      </c>
      <c r="AZ109" s="60">
        <f t="shared" si="71"/>
        <v>30</v>
      </c>
      <c r="BA109" s="60">
        <f t="shared" si="54"/>
        <v>0</v>
      </c>
      <c r="BB109" s="60">
        <f>ROUND(BA109*AZ109*Input!$C$3/365,0)</f>
        <v>0</v>
      </c>
      <c r="BC109" s="61">
        <f>IF($A109&lt;=Input!$C$6,0,IF('Fixed Tenure'!AY109&lt;'Fixed Tenure'!BA109,'Fixed Tenure'!AY109-BB109,'Fixed Tenure'!BA109))</f>
        <v>0</v>
      </c>
      <c r="BD109" s="61">
        <f t="shared" si="55"/>
        <v>0</v>
      </c>
      <c r="BE109" s="60">
        <f t="shared" si="56"/>
        <v>0</v>
      </c>
      <c r="BF109" s="193"/>
      <c r="BG109" s="169">
        <v>105</v>
      </c>
      <c r="BH109" s="1">
        <f t="shared" si="72"/>
        <v>48714</v>
      </c>
      <c r="BI109" s="60">
        <f>IF($X109&lt;Input!$H$103,IF($X109&lt;Input!$G$103,IF($X109&lt;Input!$F$103,IF($X109&lt;Input!$E$103,IF($X109&lt;Input!$D$103,Input!$C$109,Input!$D$109),Input!$E$109),Input!$F$109),Input!$G$109),Input!$H$109)</f>
        <v>0</v>
      </c>
      <c r="BJ109" s="190">
        <f>IF($A109&lt;Input!$H$110,IF($A109&lt;Input!$G$110,IF($A109&lt;Input!$F$110,IF($A109&lt;Input!$E$110,IF($A109&lt;Input!$D$110,Input!$C$111,Input!$D$111),Input!$E$111),Input!$F$111),Input!$G$111),Input!$H$111)</f>
        <v>0.9</v>
      </c>
      <c r="BK109" s="60">
        <f t="shared" si="57"/>
        <v>0</v>
      </c>
      <c r="BL109" s="60">
        <f t="shared" si="73"/>
        <v>30</v>
      </c>
      <c r="BM109" s="60">
        <f t="shared" si="58"/>
        <v>0</v>
      </c>
      <c r="BN109" s="60">
        <f>ROUND(BM109*BL109*Input!$C$3/365,0)</f>
        <v>0</v>
      </c>
      <c r="BO109" s="61">
        <f>IF($A109&lt;=Input!$C$6,0,IF('Fixed Tenure'!BK109&lt;'Fixed Tenure'!BM109,'Fixed Tenure'!BK109-BN109,'Fixed Tenure'!BM109))</f>
        <v>0</v>
      </c>
      <c r="BP109" s="61">
        <f t="shared" si="59"/>
        <v>0</v>
      </c>
      <c r="BQ109" s="60">
        <f t="shared" si="60"/>
        <v>0</v>
      </c>
      <c r="BR109" s="198"/>
    </row>
    <row r="110" spans="1:70" x14ac:dyDescent="0.25">
      <c r="A110" s="169">
        <v>106</v>
      </c>
      <c r="B110" s="1">
        <f t="shared" si="61"/>
        <v>48745</v>
      </c>
      <c r="C110" s="60">
        <f t="shared" si="39"/>
        <v>21781574.999999996</v>
      </c>
      <c r="D110" s="60">
        <f t="shared" si="40"/>
        <v>19603417.499999996</v>
      </c>
      <c r="E110" s="60">
        <f t="shared" si="62"/>
        <v>31</v>
      </c>
      <c r="F110" s="60">
        <f t="shared" si="63"/>
        <v>57358458.727446079</v>
      </c>
      <c r="G110" s="60">
        <f>ROUND(F110*E110*Input!$C$3/365,0)</f>
        <v>730731</v>
      </c>
      <c r="H110" s="60">
        <f>IF($A110&lt;=Input!$C$6,0,IF('Fixed Tenure'!D110&lt;'Fixed Tenure'!F110,'Fixed Tenure'!D110-G110,'Fixed Tenure'!F110))</f>
        <v>18872686.499999996</v>
      </c>
      <c r="I110" s="60">
        <f t="shared" si="64"/>
        <v>19603417.499999996</v>
      </c>
      <c r="J110" s="60">
        <f t="shared" si="65"/>
        <v>38485772.227446079</v>
      </c>
      <c r="K110" s="202">
        <f>J110/Input!$K$5</f>
        <v>0.12828590742482027</v>
      </c>
      <c r="L110" s="232"/>
      <c r="M110" s="60">
        <f>IF($B110&lt;Input!$H$43,IF($B110&lt;Input!$G$43,IF($B110&lt;Input!$F$43,IF($B110&lt;Input!$E$43,IF($B110&lt;Input!$D$43,Input!$C$49,Input!$D$49),Input!$E$49),Input!$F$49),Input!$G$49),Input!$H$49)</f>
        <v>21781574.999999996</v>
      </c>
      <c r="N110" s="190">
        <f>IF($A110&lt;Input!$H$50,IF($A110&lt;Input!$G$50,IF($A110&lt;Input!$F$50,IF($A110&lt;Input!$E$50,IF($A110&lt;Input!$D$50,Input!$C$51,Input!$D$51),Input!$E$51),Input!$F$51),Input!$G$51),Input!$H$51)</f>
        <v>0.9</v>
      </c>
      <c r="O110" s="60">
        <f t="shared" si="74"/>
        <v>19603417.499999996</v>
      </c>
      <c r="P110" s="60">
        <f t="shared" si="75"/>
        <v>31</v>
      </c>
      <c r="Q110" s="60">
        <f t="shared" si="42"/>
        <v>57358458.727446079</v>
      </c>
      <c r="R110" s="60">
        <f>ROUND(Q110*$P110*Input!$C$3/365,0)</f>
        <v>730731</v>
      </c>
      <c r="S110" s="60">
        <f>IF(A110&lt;=Input!$C$6,0,IF('Fixed Tenure'!O110&lt;'Fixed Tenure'!Q110,'Fixed Tenure'!O110-R110,'Fixed Tenure'!Q110))</f>
        <v>18872686.499999996</v>
      </c>
      <c r="T110" s="60">
        <f t="shared" si="43"/>
        <v>19603417.499999996</v>
      </c>
      <c r="U110" s="60">
        <f t="shared" si="44"/>
        <v>38485772.227446079</v>
      </c>
      <c r="V110" s="193"/>
      <c r="W110" s="169">
        <v>106</v>
      </c>
      <c r="X110" s="1">
        <f t="shared" si="66"/>
        <v>48745</v>
      </c>
      <c r="Y110" s="60">
        <f>IF($X110&lt;Input!$H$58,IF($X110&lt;Input!$G$58,IF($X110&lt;Input!$F$58,IF($X110&lt;Input!$E$58,IF($X110&lt;Input!$D$58,Input!$C$64,Input!$D$64),Input!$E$64),Input!$F$64),Input!$G$64),Input!$H$64)</f>
        <v>0</v>
      </c>
      <c r="Z110" s="190">
        <f>IF($A110&lt;Input!$H$65,IF($A110&lt;Input!$G$65,IF($A110&lt;Input!$F$65,IF($A110&lt;Input!$E$65,IF($A110&lt;Input!$D$65,Input!$C$66,Input!$D$66),Input!$E$66),Input!$F$66),Input!$G$66),Input!$H$66)</f>
        <v>0.9</v>
      </c>
      <c r="AA110" s="60">
        <f t="shared" si="45"/>
        <v>0</v>
      </c>
      <c r="AB110" s="60">
        <f t="shared" si="67"/>
        <v>31</v>
      </c>
      <c r="AC110" s="60">
        <f t="shared" si="46"/>
        <v>0</v>
      </c>
      <c r="AD110" s="60">
        <f>ROUND(AC110*AB110*Input!$C$3/365,0)</f>
        <v>0</v>
      </c>
      <c r="AE110" s="61">
        <f>IF($A110&lt;=Input!$C$6,0,IF('Fixed Tenure'!AA110&lt;'Fixed Tenure'!AC110,'Fixed Tenure'!AA110-AD110,'Fixed Tenure'!AC110))</f>
        <v>0</v>
      </c>
      <c r="AF110" s="61">
        <f t="shared" si="47"/>
        <v>0</v>
      </c>
      <c r="AG110" s="60">
        <f t="shared" si="48"/>
        <v>0</v>
      </c>
      <c r="AH110" s="193"/>
      <c r="AI110" s="169">
        <v>106</v>
      </c>
      <c r="AJ110" s="1">
        <f t="shared" si="68"/>
        <v>48745</v>
      </c>
      <c r="AK110" s="60">
        <f>IF($X110&lt;Input!$H$73,IF($X110&lt;Input!$G$73,IF($X110&lt;Input!$F$73,IF($X110&lt;Input!$E$73,IF($X110&lt;Input!$D$73,Input!$C$79,Input!$D$79),Input!$E$79),Input!$F$79),Input!$G$79),Input!$H$79)</f>
        <v>0</v>
      </c>
      <c r="AL110" s="190">
        <f>IF($A110&lt;Input!$H$80,IF($A110&lt;Input!$G$80,IF($A110&lt;Input!$F$80,IF($A110&lt;Input!$E$80,IF($A110&lt;Input!$D$80,Input!$C$81,Input!$D$81),Input!$E$81),Input!$F$81),Input!$G$81),Input!$H$81)</f>
        <v>0.9</v>
      </c>
      <c r="AM110" s="60">
        <f t="shared" si="49"/>
        <v>0</v>
      </c>
      <c r="AN110" s="60">
        <f t="shared" si="69"/>
        <v>31</v>
      </c>
      <c r="AO110" s="60">
        <f t="shared" si="50"/>
        <v>0</v>
      </c>
      <c r="AP110" s="60">
        <f>ROUND(AO110*AN110*Input!$C$3/365,0)</f>
        <v>0</v>
      </c>
      <c r="AQ110" s="61">
        <f>IF($A110&lt;=Input!$C$6,0,IF('Fixed Tenure'!AM110&lt;'Fixed Tenure'!AO110,'Fixed Tenure'!AM110-AP110,'Fixed Tenure'!AO110))</f>
        <v>0</v>
      </c>
      <c r="AR110" s="61">
        <f t="shared" si="51"/>
        <v>0</v>
      </c>
      <c r="AS110" s="60">
        <f t="shared" si="52"/>
        <v>0</v>
      </c>
      <c r="AT110" s="193"/>
      <c r="AU110" s="169">
        <v>106</v>
      </c>
      <c r="AV110" s="1">
        <f t="shared" si="70"/>
        <v>48745</v>
      </c>
      <c r="AW110" s="60">
        <f>IF($X110&lt;Input!$H$88,IF($X110&lt;Input!$G$88,IF($X110&lt;Input!$F$88,IF($X110&lt;Input!$E$88,IF($X110&lt;Input!$D$88,Input!$C$94,Input!$D$94),Input!$E$94),Input!$F$94),Input!$G$94),Input!$H$94)</f>
        <v>0</v>
      </c>
      <c r="AX110" s="190">
        <f>IF($A110&lt;Input!$H$95,IF($A110&lt;Input!$G$95,IF($A110&lt;Input!$F$95,IF($A110&lt;Input!$E$95,IF($A110&lt;Input!$D$95,Input!$C$96,Input!$D$96),Input!$E$96),Input!$F$96),Input!$G$96),Input!$H$96)</f>
        <v>0.9</v>
      </c>
      <c r="AY110" s="60">
        <f t="shared" si="53"/>
        <v>0</v>
      </c>
      <c r="AZ110" s="60">
        <f t="shared" si="71"/>
        <v>31</v>
      </c>
      <c r="BA110" s="60">
        <f t="shared" si="54"/>
        <v>0</v>
      </c>
      <c r="BB110" s="60">
        <f>ROUND(BA110*AZ110*Input!$C$3/365,0)</f>
        <v>0</v>
      </c>
      <c r="BC110" s="61">
        <f>IF($A110&lt;=Input!$C$6,0,IF('Fixed Tenure'!AY110&lt;'Fixed Tenure'!BA110,'Fixed Tenure'!AY110-BB110,'Fixed Tenure'!BA110))</f>
        <v>0</v>
      </c>
      <c r="BD110" s="61">
        <f t="shared" si="55"/>
        <v>0</v>
      </c>
      <c r="BE110" s="60">
        <f t="shared" si="56"/>
        <v>0</v>
      </c>
      <c r="BF110" s="193"/>
      <c r="BG110" s="169">
        <v>106</v>
      </c>
      <c r="BH110" s="1">
        <f t="shared" si="72"/>
        <v>48745</v>
      </c>
      <c r="BI110" s="60">
        <f>IF($X110&lt;Input!$H$103,IF($X110&lt;Input!$G$103,IF($X110&lt;Input!$F$103,IF($X110&lt;Input!$E$103,IF($X110&lt;Input!$D$103,Input!$C$109,Input!$D$109),Input!$E$109),Input!$F$109),Input!$G$109),Input!$H$109)</f>
        <v>0</v>
      </c>
      <c r="BJ110" s="190">
        <f>IF($A110&lt;Input!$H$110,IF($A110&lt;Input!$G$110,IF($A110&lt;Input!$F$110,IF($A110&lt;Input!$E$110,IF($A110&lt;Input!$D$110,Input!$C$111,Input!$D$111),Input!$E$111),Input!$F$111),Input!$G$111),Input!$H$111)</f>
        <v>0.9</v>
      </c>
      <c r="BK110" s="60">
        <f t="shared" si="57"/>
        <v>0</v>
      </c>
      <c r="BL110" s="60">
        <f t="shared" si="73"/>
        <v>31</v>
      </c>
      <c r="BM110" s="60">
        <f t="shared" si="58"/>
        <v>0</v>
      </c>
      <c r="BN110" s="60">
        <f>ROUND(BM110*BL110*Input!$C$3/365,0)</f>
        <v>0</v>
      </c>
      <c r="BO110" s="61">
        <f>IF($A110&lt;=Input!$C$6,0,IF('Fixed Tenure'!BK110&lt;'Fixed Tenure'!BM110,'Fixed Tenure'!BK110-BN110,'Fixed Tenure'!BM110))</f>
        <v>0</v>
      </c>
      <c r="BP110" s="61">
        <f t="shared" si="59"/>
        <v>0</v>
      </c>
      <c r="BQ110" s="60">
        <f t="shared" si="60"/>
        <v>0</v>
      </c>
      <c r="BR110" s="198"/>
    </row>
    <row r="111" spans="1:70" x14ac:dyDescent="0.25">
      <c r="A111" s="169">
        <v>107</v>
      </c>
      <c r="B111" s="1">
        <f t="shared" si="61"/>
        <v>48775</v>
      </c>
      <c r="C111" s="60">
        <f t="shared" si="39"/>
        <v>21781574.999999996</v>
      </c>
      <c r="D111" s="60">
        <f t="shared" si="40"/>
        <v>19603417.499999996</v>
      </c>
      <c r="E111" s="60">
        <f t="shared" si="62"/>
        <v>30</v>
      </c>
      <c r="F111" s="60">
        <f t="shared" si="63"/>
        <v>38485772.227446079</v>
      </c>
      <c r="G111" s="60">
        <f>ROUND(F111*E111*Input!$C$3/365,0)</f>
        <v>474482</v>
      </c>
      <c r="H111" s="60">
        <f>IF($A111&lt;=Input!$C$6,0,IF('Fixed Tenure'!D111&lt;'Fixed Tenure'!F111,'Fixed Tenure'!D111-G111,'Fixed Tenure'!F111))</f>
        <v>19128935.499999996</v>
      </c>
      <c r="I111" s="60">
        <f t="shared" si="64"/>
        <v>19603417.499999996</v>
      </c>
      <c r="J111" s="60">
        <f t="shared" si="65"/>
        <v>19356836.727446083</v>
      </c>
      <c r="K111" s="202">
        <f>J111/Input!$K$5</f>
        <v>6.452278909148694E-2</v>
      </c>
      <c r="L111" s="232"/>
      <c r="M111" s="60">
        <f>IF($B111&lt;Input!$H$43,IF($B111&lt;Input!$G$43,IF($B111&lt;Input!$F$43,IF($B111&lt;Input!$E$43,IF($B111&lt;Input!$D$43,Input!$C$49,Input!$D$49),Input!$E$49),Input!$F$49),Input!$G$49),Input!$H$49)</f>
        <v>21781574.999999996</v>
      </c>
      <c r="N111" s="190">
        <f>IF($A111&lt;Input!$H$50,IF($A111&lt;Input!$G$50,IF($A111&lt;Input!$F$50,IF($A111&lt;Input!$E$50,IF($A111&lt;Input!$D$50,Input!$C$51,Input!$D$51),Input!$E$51),Input!$F$51),Input!$G$51),Input!$H$51)</f>
        <v>0.9</v>
      </c>
      <c r="O111" s="60">
        <f t="shared" si="74"/>
        <v>19603417.499999996</v>
      </c>
      <c r="P111" s="60">
        <f t="shared" si="75"/>
        <v>30</v>
      </c>
      <c r="Q111" s="60">
        <f t="shared" si="42"/>
        <v>38485772.227446079</v>
      </c>
      <c r="R111" s="60">
        <f>ROUND(Q111*$P111*Input!$C$3/365,0)</f>
        <v>474482</v>
      </c>
      <c r="S111" s="60">
        <f>IF(A111&lt;=Input!$C$6,0,IF('Fixed Tenure'!O111&lt;'Fixed Tenure'!Q111,'Fixed Tenure'!O111-R111,'Fixed Tenure'!Q111))</f>
        <v>19128935.499999996</v>
      </c>
      <c r="T111" s="60">
        <f t="shared" si="43"/>
        <v>19603417.499999996</v>
      </c>
      <c r="U111" s="60">
        <f t="shared" si="44"/>
        <v>19356836.727446083</v>
      </c>
      <c r="V111" s="193"/>
      <c r="W111" s="169">
        <v>107</v>
      </c>
      <c r="X111" s="1">
        <f t="shared" si="66"/>
        <v>48775</v>
      </c>
      <c r="Y111" s="60">
        <f>IF($X111&lt;Input!$H$58,IF($X111&lt;Input!$G$58,IF($X111&lt;Input!$F$58,IF($X111&lt;Input!$E$58,IF($X111&lt;Input!$D$58,Input!$C$64,Input!$D$64),Input!$E$64),Input!$F$64),Input!$G$64),Input!$H$64)</f>
        <v>0</v>
      </c>
      <c r="Z111" s="190">
        <f>IF($A111&lt;Input!$H$65,IF($A111&lt;Input!$G$65,IF($A111&lt;Input!$F$65,IF($A111&lt;Input!$E$65,IF($A111&lt;Input!$D$65,Input!$C$66,Input!$D$66),Input!$E$66),Input!$F$66),Input!$G$66),Input!$H$66)</f>
        <v>0.9</v>
      </c>
      <c r="AA111" s="60">
        <f t="shared" si="45"/>
        <v>0</v>
      </c>
      <c r="AB111" s="60">
        <f t="shared" si="67"/>
        <v>30</v>
      </c>
      <c r="AC111" s="60">
        <f t="shared" si="46"/>
        <v>0</v>
      </c>
      <c r="AD111" s="60">
        <f>ROUND(AC111*AB111*Input!$C$3/365,0)</f>
        <v>0</v>
      </c>
      <c r="AE111" s="61">
        <f>IF($A111&lt;=Input!$C$6,0,IF('Fixed Tenure'!AA111&lt;'Fixed Tenure'!AC111,'Fixed Tenure'!AA111-AD111,'Fixed Tenure'!AC111))</f>
        <v>0</v>
      </c>
      <c r="AF111" s="61">
        <f t="shared" si="47"/>
        <v>0</v>
      </c>
      <c r="AG111" s="60">
        <f t="shared" si="48"/>
        <v>0</v>
      </c>
      <c r="AH111" s="193"/>
      <c r="AI111" s="169">
        <v>107</v>
      </c>
      <c r="AJ111" s="1">
        <f t="shared" si="68"/>
        <v>48775</v>
      </c>
      <c r="AK111" s="60">
        <f>IF($X111&lt;Input!$H$73,IF($X111&lt;Input!$G$73,IF($X111&lt;Input!$F$73,IF($X111&lt;Input!$E$73,IF($X111&lt;Input!$D$73,Input!$C$79,Input!$D$79),Input!$E$79),Input!$F$79),Input!$G$79),Input!$H$79)</f>
        <v>0</v>
      </c>
      <c r="AL111" s="190">
        <f>IF($A111&lt;Input!$H$80,IF($A111&lt;Input!$G$80,IF($A111&lt;Input!$F$80,IF($A111&lt;Input!$E$80,IF($A111&lt;Input!$D$80,Input!$C$81,Input!$D$81),Input!$E$81),Input!$F$81),Input!$G$81),Input!$H$81)</f>
        <v>0.9</v>
      </c>
      <c r="AM111" s="60">
        <f t="shared" si="49"/>
        <v>0</v>
      </c>
      <c r="AN111" s="60">
        <f t="shared" si="69"/>
        <v>30</v>
      </c>
      <c r="AO111" s="60">
        <f t="shared" si="50"/>
        <v>0</v>
      </c>
      <c r="AP111" s="60">
        <f>ROUND(AO111*AN111*Input!$C$3/365,0)</f>
        <v>0</v>
      </c>
      <c r="AQ111" s="61">
        <f>IF($A111&lt;=Input!$C$6,0,IF('Fixed Tenure'!AM111&lt;'Fixed Tenure'!AO111,'Fixed Tenure'!AM111-AP111,'Fixed Tenure'!AO111))</f>
        <v>0</v>
      </c>
      <c r="AR111" s="61">
        <f t="shared" si="51"/>
        <v>0</v>
      </c>
      <c r="AS111" s="60">
        <f t="shared" si="52"/>
        <v>0</v>
      </c>
      <c r="AT111" s="193"/>
      <c r="AU111" s="169">
        <v>107</v>
      </c>
      <c r="AV111" s="1">
        <f t="shared" si="70"/>
        <v>48775</v>
      </c>
      <c r="AW111" s="60">
        <f>IF($X111&lt;Input!$H$88,IF($X111&lt;Input!$G$88,IF($X111&lt;Input!$F$88,IF($X111&lt;Input!$E$88,IF($X111&lt;Input!$D$88,Input!$C$94,Input!$D$94),Input!$E$94),Input!$F$94),Input!$G$94),Input!$H$94)</f>
        <v>0</v>
      </c>
      <c r="AX111" s="190">
        <f>IF($A111&lt;Input!$H$95,IF($A111&lt;Input!$G$95,IF($A111&lt;Input!$F$95,IF($A111&lt;Input!$E$95,IF($A111&lt;Input!$D$95,Input!$C$96,Input!$D$96),Input!$E$96),Input!$F$96),Input!$G$96),Input!$H$96)</f>
        <v>0.9</v>
      </c>
      <c r="AY111" s="60">
        <f t="shared" si="53"/>
        <v>0</v>
      </c>
      <c r="AZ111" s="60">
        <f t="shared" si="71"/>
        <v>30</v>
      </c>
      <c r="BA111" s="60">
        <f t="shared" si="54"/>
        <v>0</v>
      </c>
      <c r="BB111" s="60">
        <f>ROUND(BA111*AZ111*Input!$C$3/365,0)</f>
        <v>0</v>
      </c>
      <c r="BC111" s="61">
        <f>IF($A111&lt;=Input!$C$6,0,IF('Fixed Tenure'!AY111&lt;'Fixed Tenure'!BA111,'Fixed Tenure'!AY111-BB111,'Fixed Tenure'!BA111))</f>
        <v>0</v>
      </c>
      <c r="BD111" s="61">
        <f t="shared" si="55"/>
        <v>0</v>
      </c>
      <c r="BE111" s="60">
        <f t="shared" si="56"/>
        <v>0</v>
      </c>
      <c r="BF111" s="193"/>
      <c r="BG111" s="169">
        <v>107</v>
      </c>
      <c r="BH111" s="1">
        <f t="shared" si="72"/>
        <v>48775</v>
      </c>
      <c r="BI111" s="60">
        <f>IF($X111&lt;Input!$H$103,IF($X111&lt;Input!$G$103,IF($X111&lt;Input!$F$103,IF($X111&lt;Input!$E$103,IF($X111&lt;Input!$D$103,Input!$C$109,Input!$D$109),Input!$E$109),Input!$F$109),Input!$G$109),Input!$H$109)</f>
        <v>0</v>
      </c>
      <c r="BJ111" s="190">
        <f>IF($A111&lt;Input!$H$110,IF($A111&lt;Input!$G$110,IF($A111&lt;Input!$F$110,IF($A111&lt;Input!$E$110,IF($A111&lt;Input!$D$110,Input!$C$111,Input!$D$111),Input!$E$111),Input!$F$111),Input!$G$111),Input!$H$111)</f>
        <v>0.9</v>
      </c>
      <c r="BK111" s="60">
        <f t="shared" si="57"/>
        <v>0</v>
      </c>
      <c r="BL111" s="60">
        <f t="shared" si="73"/>
        <v>30</v>
      </c>
      <c r="BM111" s="60">
        <f t="shared" si="58"/>
        <v>0</v>
      </c>
      <c r="BN111" s="60">
        <f>ROUND(BM111*BL111*Input!$C$3/365,0)</f>
        <v>0</v>
      </c>
      <c r="BO111" s="61">
        <f>IF($A111&lt;=Input!$C$6,0,IF('Fixed Tenure'!BK111&lt;'Fixed Tenure'!BM111,'Fixed Tenure'!BK111-BN111,'Fixed Tenure'!BM111))</f>
        <v>0</v>
      </c>
      <c r="BP111" s="61">
        <f t="shared" si="59"/>
        <v>0</v>
      </c>
      <c r="BQ111" s="60">
        <f t="shared" si="60"/>
        <v>0</v>
      </c>
      <c r="BR111" s="198"/>
    </row>
    <row r="112" spans="1:70" x14ac:dyDescent="0.25">
      <c r="A112" s="169">
        <v>108</v>
      </c>
      <c r="B112" s="1">
        <f t="shared" si="61"/>
        <v>48806</v>
      </c>
      <c r="C112" s="60">
        <f t="shared" si="39"/>
        <v>21781574.999999996</v>
      </c>
      <c r="D112" s="60">
        <f t="shared" si="40"/>
        <v>19603417.499999996</v>
      </c>
      <c r="E112" s="60">
        <f t="shared" si="62"/>
        <v>31</v>
      </c>
      <c r="F112" s="60">
        <f t="shared" si="63"/>
        <v>19356836.727446083</v>
      </c>
      <c r="G112" s="60">
        <f>ROUND(F112*E112*Input!$C$3/365,0)</f>
        <v>246601</v>
      </c>
      <c r="H112" s="60">
        <f>IF($A112&lt;=Input!$C$6,0,IF('Fixed Tenure'!D112&lt;'Fixed Tenure'!F112,'Fixed Tenure'!D112-G112,'Fixed Tenure'!F112))</f>
        <v>19356836.727446083</v>
      </c>
      <c r="I112" s="60">
        <f t="shared" si="64"/>
        <v>19603437.727446083</v>
      </c>
      <c r="J112" s="60">
        <f t="shared" si="65"/>
        <v>0</v>
      </c>
      <c r="K112" s="202">
        <f>J112/Input!$K$5</f>
        <v>0</v>
      </c>
      <c r="L112" s="232"/>
      <c r="M112" s="60">
        <f>IF($B112&lt;Input!$H$43,IF($B112&lt;Input!$G$43,IF($B112&lt;Input!$F$43,IF($B112&lt;Input!$E$43,IF($B112&lt;Input!$D$43,Input!$C$49,Input!$D$49),Input!$E$49),Input!$F$49),Input!$G$49),Input!$H$49)</f>
        <v>21781574.999999996</v>
      </c>
      <c r="N112" s="190">
        <f>IF($A112&lt;Input!$H$50,IF($A112&lt;Input!$G$50,IF($A112&lt;Input!$F$50,IF($A112&lt;Input!$E$50,IF($A112&lt;Input!$D$50,Input!$C$51,Input!$D$51),Input!$E$51),Input!$F$51),Input!$G$51),Input!$H$51)</f>
        <v>0.9</v>
      </c>
      <c r="O112" s="60">
        <f t="shared" si="74"/>
        <v>19603417.499999996</v>
      </c>
      <c r="P112" s="60">
        <f t="shared" si="75"/>
        <v>31</v>
      </c>
      <c r="Q112" s="60">
        <f t="shared" si="42"/>
        <v>19356836.727446083</v>
      </c>
      <c r="R112" s="60">
        <f>ROUND(Q112*$P112*Input!$C$3/365,0)</f>
        <v>246601</v>
      </c>
      <c r="S112" s="60">
        <f>IF(A112&lt;=Input!$C$6,0,IF('Fixed Tenure'!O112&lt;'Fixed Tenure'!Q112,'Fixed Tenure'!O112-R112,'Fixed Tenure'!Q112))</f>
        <v>19356836.727446083</v>
      </c>
      <c r="T112" s="60">
        <f t="shared" si="43"/>
        <v>19603437.727446083</v>
      </c>
      <c r="U112" s="60">
        <f t="shared" si="44"/>
        <v>0</v>
      </c>
      <c r="V112" s="193"/>
      <c r="W112" s="169">
        <v>108</v>
      </c>
      <c r="X112" s="1">
        <f t="shared" si="66"/>
        <v>48806</v>
      </c>
      <c r="Y112" s="60">
        <f>IF($X112&lt;Input!$H$58,IF($X112&lt;Input!$G$58,IF($X112&lt;Input!$F$58,IF($X112&lt;Input!$E$58,IF($X112&lt;Input!$D$58,Input!$C$64,Input!$D$64),Input!$E$64),Input!$F$64),Input!$G$64),Input!$H$64)</f>
        <v>0</v>
      </c>
      <c r="Z112" s="190">
        <f>IF($A112&lt;Input!$H$65,IF($A112&lt;Input!$G$65,IF($A112&lt;Input!$F$65,IF($A112&lt;Input!$E$65,IF($A112&lt;Input!$D$65,Input!$C$66,Input!$D$66),Input!$E$66),Input!$F$66),Input!$G$66),Input!$H$66)</f>
        <v>0.9</v>
      </c>
      <c r="AA112" s="60">
        <f t="shared" si="45"/>
        <v>0</v>
      </c>
      <c r="AB112" s="60">
        <f t="shared" si="67"/>
        <v>31</v>
      </c>
      <c r="AC112" s="60">
        <f t="shared" si="46"/>
        <v>0</v>
      </c>
      <c r="AD112" s="60">
        <f>ROUND(AC112*AB112*Input!$C$3/365,0)</f>
        <v>0</v>
      </c>
      <c r="AE112" s="61">
        <f>IF($A112&lt;=Input!$C$6,0,IF('Fixed Tenure'!AA112&lt;'Fixed Tenure'!AC112,'Fixed Tenure'!AA112-AD112,'Fixed Tenure'!AC112))</f>
        <v>0</v>
      </c>
      <c r="AF112" s="61">
        <f t="shared" si="47"/>
        <v>0</v>
      </c>
      <c r="AG112" s="60">
        <f t="shared" si="48"/>
        <v>0</v>
      </c>
      <c r="AH112" s="193"/>
      <c r="AI112" s="169">
        <v>108</v>
      </c>
      <c r="AJ112" s="1">
        <f t="shared" si="68"/>
        <v>48806</v>
      </c>
      <c r="AK112" s="60">
        <f>IF($X112&lt;Input!$H$73,IF($X112&lt;Input!$G$73,IF($X112&lt;Input!$F$73,IF($X112&lt;Input!$E$73,IF($X112&lt;Input!$D$73,Input!$C$79,Input!$D$79),Input!$E$79),Input!$F$79),Input!$G$79),Input!$H$79)</f>
        <v>0</v>
      </c>
      <c r="AL112" s="190">
        <f>IF($A112&lt;Input!$H$80,IF($A112&lt;Input!$G$80,IF($A112&lt;Input!$F$80,IF($A112&lt;Input!$E$80,IF($A112&lt;Input!$D$80,Input!$C$81,Input!$D$81),Input!$E$81),Input!$F$81),Input!$G$81),Input!$H$81)</f>
        <v>0.9</v>
      </c>
      <c r="AM112" s="60">
        <f t="shared" si="49"/>
        <v>0</v>
      </c>
      <c r="AN112" s="60">
        <f t="shared" si="69"/>
        <v>31</v>
      </c>
      <c r="AO112" s="60">
        <f t="shared" si="50"/>
        <v>0</v>
      </c>
      <c r="AP112" s="60">
        <f>ROUND(AO112*AN112*Input!$C$3/365,0)</f>
        <v>0</v>
      </c>
      <c r="AQ112" s="61">
        <f>IF($A112&lt;=Input!$C$6,0,IF('Fixed Tenure'!AM112&lt;'Fixed Tenure'!AO112,'Fixed Tenure'!AM112-AP112,'Fixed Tenure'!AO112))</f>
        <v>0</v>
      </c>
      <c r="AR112" s="61">
        <f t="shared" si="51"/>
        <v>0</v>
      </c>
      <c r="AS112" s="60">
        <f t="shared" si="52"/>
        <v>0</v>
      </c>
      <c r="AT112" s="193"/>
      <c r="AU112" s="169">
        <v>108</v>
      </c>
      <c r="AV112" s="1">
        <f t="shared" si="70"/>
        <v>48806</v>
      </c>
      <c r="AW112" s="60">
        <f>IF($X112&lt;Input!$H$88,IF($X112&lt;Input!$G$88,IF($X112&lt;Input!$F$88,IF($X112&lt;Input!$E$88,IF($X112&lt;Input!$D$88,Input!$C$94,Input!$D$94),Input!$E$94),Input!$F$94),Input!$G$94),Input!$H$94)</f>
        <v>0</v>
      </c>
      <c r="AX112" s="190">
        <f>IF($A112&lt;Input!$H$95,IF($A112&lt;Input!$G$95,IF($A112&lt;Input!$F$95,IF($A112&lt;Input!$E$95,IF($A112&lt;Input!$D$95,Input!$C$96,Input!$D$96),Input!$E$96),Input!$F$96),Input!$G$96),Input!$H$96)</f>
        <v>0.9</v>
      </c>
      <c r="AY112" s="60">
        <f t="shared" si="53"/>
        <v>0</v>
      </c>
      <c r="AZ112" s="60">
        <f t="shared" si="71"/>
        <v>31</v>
      </c>
      <c r="BA112" s="60">
        <f t="shared" si="54"/>
        <v>0</v>
      </c>
      <c r="BB112" s="60">
        <f>ROUND(BA112*AZ112*Input!$C$3/365,0)</f>
        <v>0</v>
      </c>
      <c r="BC112" s="61">
        <f>IF($A112&lt;=Input!$C$6,0,IF('Fixed Tenure'!AY112&lt;'Fixed Tenure'!BA112,'Fixed Tenure'!AY112-BB112,'Fixed Tenure'!BA112))</f>
        <v>0</v>
      </c>
      <c r="BD112" s="61">
        <f t="shared" si="55"/>
        <v>0</v>
      </c>
      <c r="BE112" s="60">
        <f t="shared" si="56"/>
        <v>0</v>
      </c>
      <c r="BF112" s="193"/>
      <c r="BG112" s="169">
        <v>108</v>
      </c>
      <c r="BH112" s="1">
        <f t="shared" si="72"/>
        <v>48806</v>
      </c>
      <c r="BI112" s="60">
        <f>IF($X112&lt;Input!$H$103,IF($X112&lt;Input!$G$103,IF($X112&lt;Input!$F$103,IF($X112&lt;Input!$E$103,IF($X112&lt;Input!$D$103,Input!$C$109,Input!$D$109),Input!$E$109),Input!$F$109),Input!$G$109),Input!$H$109)</f>
        <v>0</v>
      </c>
      <c r="BJ112" s="190">
        <f>IF($A112&lt;Input!$H$110,IF($A112&lt;Input!$G$110,IF($A112&lt;Input!$F$110,IF($A112&lt;Input!$E$110,IF($A112&lt;Input!$D$110,Input!$C$111,Input!$D$111),Input!$E$111),Input!$F$111),Input!$G$111),Input!$H$111)</f>
        <v>0.9</v>
      </c>
      <c r="BK112" s="60">
        <f t="shared" si="57"/>
        <v>0</v>
      </c>
      <c r="BL112" s="60">
        <f t="shared" si="73"/>
        <v>31</v>
      </c>
      <c r="BM112" s="60">
        <f t="shared" si="58"/>
        <v>0</v>
      </c>
      <c r="BN112" s="60">
        <f>ROUND(BM112*BL112*Input!$C$3/365,0)</f>
        <v>0</v>
      </c>
      <c r="BO112" s="61">
        <f>IF($A112&lt;=Input!$C$6,0,IF('Fixed Tenure'!BK112&lt;'Fixed Tenure'!BM112,'Fixed Tenure'!BK112-BN112,'Fixed Tenure'!BM112))</f>
        <v>0</v>
      </c>
      <c r="BP112" s="61">
        <f t="shared" si="59"/>
        <v>0</v>
      </c>
      <c r="BQ112" s="60">
        <f t="shared" si="60"/>
        <v>0</v>
      </c>
      <c r="BR112" s="198"/>
    </row>
    <row r="113" spans="1:70" x14ac:dyDescent="0.25">
      <c r="A113" s="169">
        <v>109</v>
      </c>
      <c r="B113" s="1">
        <f t="shared" si="61"/>
        <v>48837</v>
      </c>
      <c r="C113" s="60">
        <f t="shared" si="39"/>
        <v>33127052.878124986</v>
      </c>
      <c r="D113" s="60">
        <f t="shared" si="40"/>
        <v>29814347.590312488</v>
      </c>
      <c r="E113" s="60">
        <f t="shared" si="62"/>
        <v>31</v>
      </c>
      <c r="F113" s="60">
        <f t="shared" si="63"/>
        <v>0</v>
      </c>
      <c r="G113" s="60">
        <f>ROUND(F113*E113*Input!$C$3/365,0)</f>
        <v>0</v>
      </c>
      <c r="H113" s="60">
        <f>IF($A113&lt;=Input!$C$6,0,IF('Fixed Tenure'!D113&lt;'Fixed Tenure'!F113,'Fixed Tenure'!D113-G113,'Fixed Tenure'!F113))</f>
        <v>0</v>
      </c>
      <c r="I113" s="60">
        <f t="shared" si="64"/>
        <v>0</v>
      </c>
      <c r="J113" s="60">
        <f t="shared" si="65"/>
        <v>0</v>
      </c>
      <c r="K113" s="202">
        <f>J113/Input!$K$5</f>
        <v>0</v>
      </c>
      <c r="L113" s="232"/>
      <c r="M113" s="60">
        <f>IF($B113&lt;Input!$H$43,IF($B113&lt;Input!$G$43,IF($B113&lt;Input!$F$43,IF($B113&lt;Input!$E$43,IF($B113&lt;Input!$D$43,Input!$C$49,Input!$D$49),Input!$E$49),Input!$F$49),Input!$G$49),Input!$H$49)</f>
        <v>33127052.878124986</v>
      </c>
      <c r="N113" s="190">
        <f>IF($A113&lt;Input!$H$50,IF($A113&lt;Input!$G$50,IF($A113&lt;Input!$F$50,IF($A113&lt;Input!$E$50,IF($A113&lt;Input!$D$50,Input!$C$51,Input!$D$51),Input!$E$51),Input!$F$51),Input!$G$51),Input!$H$51)</f>
        <v>0.9</v>
      </c>
      <c r="O113" s="60">
        <f t="shared" si="74"/>
        <v>29814347.590312488</v>
      </c>
      <c r="P113" s="60">
        <f t="shared" si="75"/>
        <v>31</v>
      </c>
      <c r="Q113" s="60">
        <f t="shared" si="42"/>
        <v>0</v>
      </c>
      <c r="R113" s="60">
        <f>ROUND(Q113*$P113*Input!$C$3/365,0)</f>
        <v>0</v>
      </c>
      <c r="S113" s="60">
        <f>IF(A113&lt;=Input!$C$6,0,IF('Fixed Tenure'!O113&lt;'Fixed Tenure'!Q113,'Fixed Tenure'!O113-R113,'Fixed Tenure'!Q113))</f>
        <v>0</v>
      </c>
      <c r="T113" s="60">
        <f t="shared" si="43"/>
        <v>0</v>
      </c>
      <c r="U113" s="60">
        <f t="shared" si="44"/>
        <v>0</v>
      </c>
      <c r="V113" s="193"/>
      <c r="W113" s="169">
        <v>109</v>
      </c>
      <c r="X113" s="1">
        <f t="shared" si="66"/>
        <v>48837</v>
      </c>
      <c r="Y113" s="60">
        <f>IF($X113&lt;Input!$H$58,IF($X113&lt;Input!$G$58,IF($X113&lt;Input!$F$58,IF($X113&lt;Input!$E$58,IF($X113&lt;Input!$D$58,Input!$C$64,Input!$D$64),Input!$E$64),Input!$F$64),Input!$G$64),Input!$H$64)</f>
        <v>0</v>
      </c>
      <c r="Z113" s="190">
        <f>IF($A113&lt;Input!$H$65,IF($A113&lt;Input!$G$65,IF($A113&lt;Input!$F$65,IF($A113&lt;Input!$E$65,IF($A113&lt;Input!$D$65,Input!$C$66,Input!$D$66),Input!$E$66),Input!$F$66),Input!$G$66),Input!$H$66)</f>
        <v>0.9</v>
      </c>
      <c r="AA113" s="60">
        <f t="shared" si="45"/>
        <v>0</v>
      </c>
      <c r="AB113" s="60">
        <f t="shared" si="67"/>
        <v>31</v>
      </c>
      <c r="AC113" s="60">
        <f t="shared" si="46"/>
        <v>0</v>
      </c>
      <c r="AD113" s="60">
        <f>ROUND(AC113*AB113*Input!$C$3/365,0)</f>
        <v>0</v>
      </c>
      <c r="AE113" s="61">
        <f>IF($A113&lt;=Input!$C$6,0,IF('Fixed Tenure'!AA113&lt;'Fixed Tenure'!AC113,'Fixed Tenure'!AA113-AD113,'Fixed Tenure'!AC113))</f>
        <v>0</v>
      </c>
      <c r="AF113" s="61">
        <f t="shared" si="47"/>
        <v>0</v>
      </c>
      <c r="AG113" s="60">
        <f t="shared" si="48"/>
        <v>0</v>
      </c>
      <c r="AH113" s="193"/>
      <c r="AI113" s="169">
        <v>109</v>
      </c>
      <c r="AJ113" s="1">
        <f t="shared" si="68"/>
        <v>48837</v>
      </c>
      <c r="AK113" s="60">
        <f>IF($X113&lt;Input!$H$73,IF($X113&lt;Input!$G$73,IF($X113&lt;Input!$F$73,IF($X113&lt;Input!$E$73,IF($X113&lt;Input!$D$73,Input!$C$79,Input!$D$79),Input!$E$79),Input!$F$79),Input!$G$79),Input!$H$79)</f>
        <v>0</v>
      </c>
      <c r="AL113" s="190">
        <f>IF($A113&lt;Input!$H$80,IF($A113&lt;Input!$G$80,IF($A113&lt;Input!$F$80,IF($A113&lt;Input!$E$80,IF($A113&lt;Input!$D$80,Input!$C$81,Input!$D$81),Input!$E$81),Input!$F$81),Input!$G$81),Input!$H$81)</f>
        <v>0.9</v>
      </c>
      <c r="AM113" s="60">
        <f t="shared" si="49"/>
        <v>0</v>
      </c>
      <c r="AN113" s="60">
        <f t="shared" si="69"/>
        <v>31</v>
      </c>
      <c r="AO113" s="60">
        <f t="shared" si="50"/>
        <v>0</v>
      </c>
      <c r="AP113" s="60">
        <f>ROUND(AO113*AN113*Input!$C$3/365,0)</f>
        <v>0</v>
      </c>
      <c r="AQ113" s="61">
        <f>IF($A113&lt;=Input!$C$6,0,IF('Fixed Tenure'!AM113&lt;'Fixed Tenure'!AO113,'Fixed Tenure'!AM113-AP113,'Fixed Tenure'!AO113))</f>
        <v>0</v>
      </c>
      <c r="AR113" s="61">
        <f t="shared" si="51"/>
        <v>0</v>
      </c>
      <c r="AS113" s="60">
        <f t="shared" si="52"/>
        <v>0</v>
      </c>
      <c r="AT113" s="193"/>
      <c r="AU113" s="169">
        <v>109</v>
      </c>
      <c r="AV113" s="1">
        <f t="shared" si="70"/>
        <v>48837</v>
      </c>
      <c r="AW113" s="60">
        <f>IF($X113&lt;Input!$H$88,IF($X113&lt;Input!$G$88,IF($X113&lt;Input!$F$88,IF($X113&lt;Input!$E$88,IF($X113&lt;Input!$D$88,Input!$C$94,Input!$D$94),Input!$E$94),Input!$F$94),Input!$G$94),Input!$H$94)</f>
        <v>0</v>
      </c>
      <c r="AX113" s="190">
        <f>IF($A113&lt;Input!$H$95,IF($A113&lt;Input!$G$95,IF($A113&lt;Input!$F$95,IF($A113&lt;Input!$E$95,IF($A113&lt;Input!$D$95,Input!$C$96,Input!$D$96),Input!$E$96),Input!$F$96),Input!$G$96),Input!$H$96)</f>
        <v>0.9</v>
      </c>
      <c r="AY113" s="60">
        <f t="shared" si="53"/>
        <v>0</v>
      </c>
      <c r="AZ113" s="60">
        <f t="shared" si="71"/>
        <v>31</v>
      </c>
      <c r="BA113" s="60">
        <f t="shared" si="54"/>
        <v>0</v>
      </c>
      <c r="BB113" s="60">
        <f>ROUND(BA113*AZ113*Input!$C$3/365,0)</f>
        <v>0</v>
      </c>
      <c r="BC113" s="61">
        <f>IF($A113&lt;=Input!$C$6,0,IF('Fixed Tenure'!AY113&lt;'Fixed Tenure'!BA113,'Fixed Tenure'!AY113-BB113,'Fixed Tenure'!BA113))</f>
        <v>0</v>
      </c>
      <c r="BD113" s="61">
        <f t="shared" si="55"/>
        <v>0</v>
      </c>
      <c r="BE113" s="60">
        <f t="shared" si="56"/>
        <v>0</v>
      </c>
      <c r="BF113" s="193"/>
      <c r="BG113" s="169">
        <v>109</v>
      </c>
      <c r="BH113" s="1">
        <f t="shared" si="72"/>
        <v>48837</v>
      </c>
      <c r="BI113" s="60">
        <f>IF($X113&lt;Input!$H$103,IF($X113&lt;Input!$G$103,IF($X113&lt;Input!$F$103,IF($X113&lt;Input!$E$103,IF($X113&lt;Input!$D$103,Input!$C$109,Input!$D$109),Input!$E$109),Input!$F$109),Input!$G$109),Input!$H$109)</f>
        <v>0</v>
      </c>
      <c r="BJ113" s="190">
        <f>IF($A113&lt;Input!$H$110,IF($A113&lt;Input!$G$110,IF($A113&lt;Input!$F$110,IF($A113&lt;Input!$E$110,IF($A113&lt;Input!$D$110,Input!$C$111,Input!$D$111),Input!$E$111),Input!$F$111),Input!$G$111),Input!$H$111)</f>
        <v>0.9</v>
      </c>
      <c r="BK113" s="60">
        <f t="shared" si="57"/>
        <v>0</v>
      </c>
      <c r="BL113" s="60">
        <f t="shared" si="73"/>
        <v>31</v>
      </c>
      <c r="BM113" s="60">
        <f t="shared" si="58"/>
        <v>0</v>
      </c>
      <c r="BN113" s="60">
        <f>ROUND(BM113*BL113*Input!$C$3/365,0)</f>
        <v>0</v>
      </c>
      <c r="BO113" s="61">
        <f>IF($A113&lt;=Input!$C$6,0,IF('Fixed Tenure'!BK113&lt;'Fixed Tenure'!BM113,'Fixed Tenure'!BK113-BN113,'Fixed Tenure'!BM113))</f>
        <v>0</v>
      </c>
      <c r="BP113" s="61">
        <f t="shared" si="59"/>
        <v>0</v>
      </c>
      <c r="BQ113" s="60">
        <f t="shared" si="60"/>
        <v>0</v>
      </c>
      <c r="BR113" s="198"/>
    </row>
    <row r="114" spans="1:70" x14ac:dyDescent="0.25">
      <c r="A114" s="169">
        <v>110</v>
      </c>
      <c r="B114" s="1">
        <f t="shared" si="61"/>
        <v>48867</v>
      </c>
      <c r="C114" s="60">
        <f t="shared" si="39"/>
        <v>33127052.878124986</v>
      </c>
      <c r="D114" s="60">
        <f t="shared" si="40"/>
        <v>29814347.590312488</v>
      </c>
      <c r="E114" s="60">
        <f t="shared" si="62"/>
        <v>30</v>
      </c>
      <c r="F114" s="60">
        <f t="shared" si="63"/>
        <v>0</v>
      </c>
      <c r="G114" s="60">
        <f>ROUND(F114*E114*Input!$C$3/365,0)</f>
        <v>0</v>
      </c>
      <c r="H114" s="60">
        <f>IF($A114&lt;=Input!$C$6,0,IF('Fixed Tenure'!D114&lt;'Fixed Tenure'!F114,'Fixed Tenure'!D114-G114,'Fixed Tenure'!F114))</f>
        <v>0</v>
      </c>
      <c r="I114" s="60">
        <f t="shared" si="64"/>
        <v>0</v>
      </c>
      <c r="J114" s="60">
        <f t="shared" si="65"/>
        <v>0</v>
      </c>
      <c r="K114" s="202">
        <f>J114/Input!$K$5</f>
        <v>0</v>
      </c>
      <c r="L114" s="232"/>
      <c r="M114" s="60">
        <f>IF($B114&lt;Input!$H$43,IF($B114&lt;Input!$G$43,IF($B114&lt;Input!$F$43,IF($B114&lt;Input!$E$43,IF($B114&lt;Input!$D$43,Input!$C$49,Input!$D$49),Input!$E$49),Input!$F$49),Input!$G$49),Input!$H$49)</f>
        <v>33127052.878124986</v>
      </c>
      <c r="N114" s="190">
        <f>IF($A114&lt;Input!$H$50,IF($A114&lt;Input!$G$50,IF($A114&lt;Input!$F$50,IF($A114&lt;Input!$E$50,IF($A114&lt;Input!$D$50,Input!$C$51,Input!$D$51),Input!$E$51),Input!$F$51),Input!$G$51),Input!$H$51)</f>
        <v>0.9</v>
      </c>
      <c r="O114" s="60">
        <f t="shared" si="74"/>
        <v>29814347.590312488</v>
      </c>
      <c r="P114" s="60">
        <f t="shared" si="75"/>
        <v>30</v>
      </c>
      <c r="Q114" s="60">
        <f t="shared" si="42"/>
        <v>0</v>
      </c>
      <c r="R114" s="60">
        <f>ROUND(Q114*$P114*Input!$C$3/365,0)</f>
        <v>0</v>
      </c>
      <c r="S114" s="60">
        <f>IF(A114&lt;=Input!$C$6,0,IF('Fixed Tenure'!O114&lt;'Fixed Tenure'!Q114,'Fixed Tenure'!O114-R114,'Fixed Tenure'!Q114))</f>
        <v>0</v>
      </c>
      <c r="T114" s="60">
        <f t="shared" si="43"/>
        <v>0</v>
      </c>
      <c r="U114" s="60">
        <f t="shared" si="44"/>
        <v>0</v>
      </c>
      <c r="V114" s="193"/>
      <c r="W114" s="169">
        <v>110</v>
      </c>
      <c r="X114" s="1">
        <f t="shared" si="66"/>
        <v>48867</v>
      </c>
      <c r="Y114" s="60">
        <f>IF($X114&lt;Input!$H$58,IF($X114&lt;Input!$G$58,IF($X114&lt;Input!$F$58,IF($X114&lt;Input!$E$58,IF($X114&lt;Input!$D$58,Input!$C$64,Input!$D$64),Input!$E$64),Input!$F$64),Input!$G$64),Input!$H$64)</f>
        <v>0</v>
      </c>
      <c r="Z114" s="190">
        <f>IF($A114&lt;Input!$H$65,IF($A114&lt;Input!$G$65,IF($A114&lt;Input!$F$65,IF($A114&lt;Input!$E$65,IF($A114&lt;Input!$D$65,Input!$C$66,Input!$D$66),Input!$E$66),Input!$F$66),Input!$G$66),Input!$H$66)</f>
        <v>0.9</v>
      </c>
      <c r="AA114" s="60">
        <f t="shared" si="45"/>
        <v>0</v>
      </c>
      <c r="AB114" s="60">
        <f t="shared" si="67"/>
        <v>30</v>
      </c>
      <c r="AC114" s="60">
        <f t="shared" si="46"/>
        <v>0</v>
      </c>
      <c r="AD114" s="60">
        <f>ROUND(AC114*AB114*Input!$C$3/365,0)</f>
        <v>0</v>
      </c>
      <c r="AE114" s="61">
        <f>IF($A114&lt;=Input!$C$6,0,IF('Fixed Tenure'!AA114&lt;'Fixed Tenure'!AC114,'Fixed Tenure'!AA114-AD114,'Fixed Tenure'!AC114))</f>
        <v>0</v>
      </c>
      <c r="AF114" s="61">
        <f t="shared" si="47"/>
        <v>0</v>
      </c>
      <c r="AG114" s="60">
        <f t="shared" si="48"/>
        <v>0</v>
      </c>
      <c r="AH114" s="193"/>
      <c r="AI114" s="169">
        <v>110</v>
      </c>
      <c r="AJ114" s="1">
        <f t="shared" si="68"/>
        <v>48867</v>
      </c>
      <c r="AK114" s="60">
        <f>IF($X114&lt;Input!$H$73,IF($X114&lt;Input!$G$73,IF($X114&lt;Input!$F$73,IF($X114&lt;Input!$E$73,IF($X114&lt;Input!$D$73,Input!$C$79,Input!$D$79),Input!$E$79),Input!$F$79),Input!$G$79),Input!$H$79)</f>
        <v>0</v>
      </c>
      <c r="AL114" s="190">
        <f>IF($A114&lt;Input!$H$80,IF($A114&lt;Input!$G$80,IF($A114&lt;Input!$F$80,IF($A114&lt;Input!$E$80,IF($A114&lt;Input!$D$80,Input!$C$81,Input!$D$81),Input!$E$81),Input!$F$81),Input!$G$81),Input!$H$81)</f>
        <v>0.9</v>
      </c>
      <c r="AM114" s="60">
        <f t="shared" si="49"/>
        <v>0</v>
      </c>
      <c r="AN114" s="60">
        <f t="shared" si="69"/>
        <v>30</v>
      </c>
      <c r="AO114" s="60">
        <f t="shared" si="50"/>
        <v>0</v>
      </c>
      <c r="AP114" s="60">
        <f>ROUND(AO114*AN114*Input!$C$3/365,0)</f>
        <v>0</v>
      </c>
      <c r="AQ114" s="61">
        <f>IF($A114&lt;=Input!$C$6,0,IF('Fixed Tenure'!AM114&lt;'Fixed Tenure'!AO114,'Fixed Tenure'!AM114-AP114,'Fixed Tenure'!AO114))</f>
        <v>0</v>
      </c>
      <c r="AR114" s="61">
        <f t="shared" si="51"/>
        <v>0</v>
      </c>
      <c r="AS114" s="60">
        <f t="shared" si="52"/>
        <v>0</v>
      </c>
      <c r="AT114" s="193"/>
      <c r="AU114" s="169">
        <v>110</v>
      </c>
      <c r="AV114" s="1">
        <f t="shared" si="70"/>
        <v>48867</v>
      </c>
      <c r="AW114" s="60">
        <f>IF($X114&lt;Input!$H$88,IF($X114&lt;Input!$G$88,IF($X114&lt;Input!$F$88,IF($X114&lt;Input!$E$88,IF($X114&lt;Input!$D$88,Input!$C$94,Input!$D$94),Input!$E$94),Input!$F$94),Input!$G$94),Input!$H$94)</f>
        <v>0</v>
      </c>
      <c r="AX114" s="190">
        <f>IF($A114&lt;Input!$H$95,IF($A114&lt;Input!$G$95,IF($A114&lt;Input!$F$95,IF($A114&lt;Input!$E$95,IF($A114&lt;Input!$D$95,Input!$C$96,Input!$D$96),Input!$E$96),Input!$F$96),Input!$G$96),Input!$H$96)</f>
        <v>0.9</v>
      </c>
      <c r="AY114" s="60">
        <f t="shared" si="53"/>
        <v>0</v>
      </c>
      <c r="AZ114" s="60">
        <f t="shared" si="71"/>
        <v>30</v>
      </c>
      <c r="BA114" s="60">
        <f t="shared" si="54"/>
        <v>0</v>
      </c>
      <c r="BB114" s="60">
        <f>ROUND(BA114*AZ114*Input!$C$3/365,0)</f>
        <v>0</v>
      </c>
      <c r="BC114" s="61">
        <f>IF($A114&lt;=Input!$C$6,0,IF('Fixed Tenure'!AY114&lt;'Fixed Tenure'!BA114,'Fixed Tenure'!AY114-BB114,'Fixed Tenure'!BA114))</f>
        <v>0</v>
      </c>
      <c r="BD114" s="61">
        <f t="shared" si="55"/>
        <v>0</v>
      </c>
      <c r="BE114" s="60">
        <f t="shared" si="56"/>
        <v>0</v>
      </c>
      <c r="BF114" s="193"/>
      <c r="BG114" s="169">
        <v>110</v>
      </c>
      <c r="BH114" s="1">
        <f t="shared" si="72"/>
        <v>48867</v>
      </c>
      <c r="BI114" s="60">
        <f>IF($X114&lt;Input!$H$103,IF($X114&lt;Input!$G$103,IF($X114&lt;Input!$F$103,IF($X114&lt;Input!$E$103,IF($X114&lt;Input!$D$103,Input!$C$109,Input!$D$109),Input!$E$109),Input!$F$109),Input!$G$109),Input!$H$109)</f>
        <v>0</v>
      </c>
      <c r="BJ114" s="190">
        <f>IF($A114&lt;Input!$H$110,IF($A114&lt;Input!$G$110,IF($A114&lt;Input!$F$110,IF($A114&lt;Input!$E$110,IF($A114&lt;Input!$D$110,Input!$C$111,Input!$D$111),Input!$E$111),Input!$F$111),Input!$G$111),Input!$H$111)</f>
        <v>0.9</v>
      </c>
      <c r="BK114" s="60">
        <f t="shared" si="57"/>
        <v>0</v>
      </c>
      <c r="BL114" s="60">
        <f t="shared" si="73"/>
        <v>30</v>
      </c>
      <c r="BM114" s="60">
        <f t="shared" si="58"/>
        <v>0</v>
      </c>
      <c r="BN114" s="60">
        <f>ROUND(BM114*BL114*Input!$C$3/365,0)</f>
        <v>0</v>
      </c>
      <c r="BO114" s="61">
        <f>IF($A114&lt;=Input!$C$6,0,IF('Fixed Tenure'!BK114&lt;'Fixed Tenure'!BM114,'Fixed Tenure'!BK114-BN114,'Fixed Tenure'!BM114))</f>
        <v>0</v>
      </c>
      <c r="BP114" s="61">
        <f t="shared" si="59"/>
        <v>0</v>
      </c>
      <c r="BQ114" s="60">
        <f t="shared" si="60"/>
        <v>0</v>
      </c>
      <c r="BR114" s="198"/>
    </row>
    <row r="115" spans="1:70" x14ac:dyDescent="0.25">
      <c r="A115" s="169">
        <v>111</v>
      </c>
      <c r="B115" s="1">
        <f t="shared" si="61"/>
        <v>48898</v>
      </c>
      <c r="C115" s="60">
        <f t="shared" si="39"/>
        <v>33127052.878124986</v>
      </c>
      <c r="D115" s="60">
        <f t="shared" si="40"/>
        <v>29814347.590312488</v>
      </c>
      <c r="E115" s="60">
        <f t="shared" si="62"/>
        <v>31</v>
      </c>
      <c r="F115" s="60">
        <f t="shared" si="63"/>
        <v>0</v>
      </c>
      <c r="G115" s="60">
        <f>ROUND(F115*E115*Input!$C$3/365,0)</f>
        <v>0</v>
      </c>
      <c r="H115" s="60">
        <f>IF($A115&lt;=Input!$C$6,0,IF('Fixed Tenure'!D115&lt;'Fixed Tenure'!F115,'Fixed Tenure'!D115-G115,'Fixed Tenure'!F115))</f>
        <v>0</v>
      </c>
      <c r="I115" s="60">
        <f t="shared" si="64"/>
        <v>0</v>
      </c>
      <c r="J115" s="60">
        <f t="shared" si="65"/>
        <v>0</v>
      </c>
      <c r="K115" s="202">
        <f>J115/Input!$K$5</f>
        <v>0</v>
      </c>
      <c r="L115" s="232"/>
      <c r="M115" s="60">
        <f>IF($B115&lt;Input!$H$43,IF($B115&lt;Input!$G$43,IF($B115&lt;Input!$F$43,IF($B115&lt;Input!$E$43,IF($B115&lt;Input!$D$43,Input!$C$49,Input!$D$49),Input!$E$49),Input!$F$49),Input!$G$49),Input!$H$49)</f>
        <v>33127052.878124986</v>
      </c>
      <c r="N115" s="190">
        <f>IF($A115&lt;Input!$H$50,IF($A115&lt;Input!$G$50,IF($A115&lt;Input!$F$50,IF($A115&lt;Input!$E$50,IF($A115&lt;Input!$D$50,Input!$C$51,Input!$D$51),Input!$E$51),Input!$F$51),Input!$G$51),Input!$H$51)</f>
        <v>0.9</v>
      </c>
      <c r="O115" s="60">
        <f t="shared" si="74"/>
        <v>29814347.590312488</v>
      </c>
      <c r="P115" s="60">
        <f t="shared" si="75"/>
        <v>31</v>
      </c>
      <c r="Q115" s="60">
        <f t="shared" si="42"/>
        <v>0</v>
      </c>
      <c r="R115" s="60">
        <f>ROUND(Q115*$P115*Input!$C$3/365,0)</f>
        <v>0</v>
      </c>
      <c r="S115" s="60">
        <f>IF(A115&lt;=Input!$C$6,0,IF('Fixed Tenure'!O115&lt;'Fixed Tenure'!Q115,'Fixed Tenure'!O115-R115,'Fixed Tenure'!Q115))</f>
        <v>0</v>
      </c>
      <c r="T115" s="60">
        <f t="shared" si="43"/>
        <v>0</v>
      </c>
      <c r="U115" s="60">
        <f t="shared" si="44"/>
        <v>0</v>
      </c>
      <c r="V115" s="193"/>
      <c r="W115" s="169">
        <v>111</v>
      </c>
      <c r="X115" s="1">
        <f t="shared" si="66"/>
        <v>48898</v>
      </c>
      <c r="Y115" s="60">
        <f>IF($X115&lt;Input!$H$58,IF($X115&lt;Input!$G$58,IF($X115&lt;Input!$F$58,IF($X115&lt;Input!$E$58,IF($X115&lt;Input!$D$58,Input!$C$64,Input!$D$64),Input!$E$64),Input!$F$64),Input!$G$64),Input!$H$64)</f>
        <v>0</v>
      </c>
      <c r="Z115" s="190">
        <f>IF($A115&lt;Input!$H$65,IF($A115&lt;Input!$G$65,IF($A115&lt;Input!$F$65,IF($A115&lt;Input!$E$65,IF($A115&lt;Input!$D$65,Input!$C$66,Input!$D$66),Input!$E$66),Input!$F$66),Input!$G$66),Input!$H$66)</f>
        <v>0.9</v>
      </c>
      <c r="AA115" s="60">
        <f t="shared" si="45"/>
        <v>0</v>
      </c>
      <c r="AB115" s="60">
        <f t="shared" si="67"/>
        <v>31</v>
      </c>
      <c r="AC115" s="60">
        <f t="shared" si="46"/>
        <v>0</v>
      </c>
      <c r="AD115" s="60">
        <f>ROUND(AC115*AB115*Input!$C$3/365,0)</f>
        <v>0</v>
      </c>
      <c r="AE115" s="61">
        <f>IF($A115&lt;=Input!$C$6,0,IF('Fixed Tenure'!AA115&lt;'Fixed Tenure'!AC115,'Fixed Tenure'!AA115-AD115,'Fixed Tenure'!AC115))</f>
        <v>0</v>
      </c>
      <c r="AF115" s="61">
        <f t="shared" si="47"/>
        <v>0</v>
      </c>
      <c r="AG115" s="60">
        <f t="shared" si="48"/>
        <v>0</v>
      </c>
      <c r="AH115" s="193"/>
      <c r="AI115" s="169">
        <v>111</v>
      </c>
      <c r="AJ115" s="1">
        <f t="shared" si="68"/>
        <v>48898</v>
      </c>
      <c r="AK115" s="60">
        <f>IF($X115&lt;Input!$H$73,IF($X115&lt;Input!$G$73,IF($X115&lt;Input!$F$73,IF($X115&lt;Input!$E$73,IF($X115&lt;Input!$D$73,Input!$C$79,Input!$D$79),Input!$E$79),Input!$F$79),Input!$G$79),Input!$H$79)</f>
        <v>0</v>
      </c>
      <c r="AL115" s="190">
        <f>IF($A115&lt;Input!$H$80,IF($A115&lt;Input!$G$80,IF($A115&lt;Input!$F$80,IF($A115&lt;Input!$E$80,IF($A115&lt;Input!$D$80,Input!$C$81,Input!$D$81),Input!$E$81),Input!$F$81),Input!$G$81),Input!$H$81)</f>
        <v>0.9</v>
      </c>
      <c r="AM115" s="60">
        <f t="shared" si="49"/>
        <v>0</v>
      </c>
      <c r="AN115" s="60">
        <f t="shared" si="69"/>
        <v>31</v>
      </c>
      <c r="AO115" s="60">
        <f t="shared" si="50"/>
        <v>0</v>
      </c>
      <c r="AP115" s="60">
        <f>ROUND(AO115*AN115*Input!$C$3/365,0)</f>
        <v>0</v>
      </c>
      <c r="AQ115" s="61">
        <f>IF($A115&lt;=Input!$C$6,0,IF('Fixed Tenure'!AM115&lt;'Fixed Tenure'!AO115,'Fixed Tenure'!AM115-AP115,'Fixed Tenure'!AO115))</f>
        <v>0</v>
      </c>
      <c r="AR115" s="61">
        <f t="shared" si="51"/>
        <v>0</v>
      </c>
      <c r="AS115" s="60">
        <f t="shared" si="52"/>
        <v>0</v>
      </c>
      <c r="AT115" s="193"/>
      <c r="AU115" s="169">
        <v>111</v>
      </c>
      <c r="AV115" s="1">
        <f t="shared" si="70"/>
        <v>48898</v>
      </c>
      <c r="AW115" s="60">
        <f>IF($X115&lt;Input!$H$88,IF($X115&lt;Input!$G$88,IF($X115&lt;Input!$F$88,IF($X115&lt;Input!$E$88,IF($X115&lt;Input!$D$88,Input!$C$94,Input!$D$94),Input!$E$94),Input!$F$94),Input!$G$94),Input!$H$94)</f>
        <v>0</v>
      </c>
      <c r="AX115" s="190">
        <f>IF($A115&lt;Input!$H$95,IF($A115&lt;Input!$G$95,IF($A115&lt;Input!$F$95,IF($A115&lt;Input!$E$95,IF($A115&lt;Input!$D$95,Input!$C$96,Input!$D$96),Input!$E$96),Input!$F$96),Input!$G$96),Input!$H$96)</f>
        <v>0.9</v>
      </c>
      <c r="AY115" s="60">
        <f t="shared" si="53"/>
        <v>0</v>
      </c>
      <c r="AZ115" s="60">
        <f t="shared" si="71"/>
        <v>31</v>
      </c>
      <c r="BA115" s="60">
        <f t="shared" si="54"/>
        <v>0</v>
      </c>
      <c r="BB115" s="60">
        <f>ROUND(BA115*AZ115*Input!$C$3/365,0)</f>
        <v>0</v>
      </c>
      <c r="BC115" s="61">
        <f>IF($A115&lt;=Input!$C$6,0,IF('Fixed Tenure'!AY115&lt;'Fixed Tenure'!BA115,'Fixed Tenure'!AY115-BB115,'Fixed Tenure'!BA115))</f>
        <v>0</v>
      </c>
      <c r="BD115" s="61">
        <f t="shared" si="55"/>
        <v>0</v>
      </c>
      <c r="BE115" s="60">
        <f t="shared" si="56"/>
        <v>0</v>
      </c>
      <c r="BF115" s="193"/>
      <c r="BG115" s="169">
        <v>111</v>
      </c>
      <c r="BH115" s="1">
        <f t="shared" si="72"/>
        <v>48898</v>
      </c>
      <c r="BI115" s="60">
        <f>IF($X115&lt;Input!$H$103,IF($X115&lt;Input!$G$103,IF($X115&lt;Input!$F$103,IF($X115&lt;Input!$E$103,IF($X115&lt;Input!$D$103,Input!$C$109,Input!$D$109),Input!$E$109),Input!$F$109),Input!$G$109),Input!$H$109)</f>
        <v>0</v>
      </c>
      <c r="BJ115" s="190">
        <f>IF($A115&lt;Input!$H$110,IF($A115&lt;Input!$G$110,IF($A115&lt;Input!$F$110,IF($A115&lt;Input!$E$110,IF($A115&lt;Input!$D$110,Input!$C$111,Input!$D$111),Input!$E$111),Input!$F$111),Input!$G$111),Input!$H$111)</f>
        <v>0.9</v>
      </c>
      <c r="BK115" s="60">
        <f t="shared" si="57"/>
        <v>0</v>
      </c>
      <c r="BL115" s="60">
        <f t="shared" si="73"/>
        <v>31</v>
      </c>
      <c r="BM115" s="60">
        <f t="shared" si="58"/>
        <v>0</v>
      </c>
      <c r="BN115" s="60">
        <f>ROUND(BM115*BL115*Input!$C$3/365,0)</f>
        <v>0</v>
      </c>
      <c r="BO115" s="61">
        <f>IF($A115&lt;=Input!$C$6,0,IF('Fixed Tenure'!BK115&lt;'Fixed Tenure'!BM115,'Fixed Tenure'!BK115-BN115,'Fixed Tenure'!BM115))</f>
        <v>0</v>
      </c>
      <c r="BP115" s="61">
        <f t="shared" si="59"/>
        <v>0</v>
      </c>
      <c r="BQ115" s="60">
        <f t="shared" si="60"/>
        <v>0</v>
      </c>
      <c r="BR115" s="198"/>
    </row>
    <row r="116" spans="1:70" x14ac:dyDescent="0.25">
      <c r="A116" s="169">
        <v>112</v>
      </c>
      <c r="B116" s="1">
        <f t="shared" si="61"/>
        <v>48928</v>
      </c>
      <c r="C116" s="60">
        <f t="shared" si="39"/>
        <v>33127052.878124986</v>
      </c>
      <c r="D116" s="60">
        <f t="shared" si="40"/>
        <v>29814347.590312488</v>
      </c>
      <c r="E116" s="60">
        <f t="shared" si="62"/>
        <v>30</v>
      </c>
      <c r="F116" s="60">
        <f t="shared" si="63"/>
        <v>0</v>
      </c>
      <c r="G116" s="60">
        <f>ROUND(F116*E116*Input!$C$3/365,0)</f>
        <v>0</v>
      </c>
      <c r="H116" s="60">
        <f>IF($A116&lt;=Input!$C$6,0,IF('Fixed Tenure'!D116&lt;'Fixed Tenure'!F116,'Fixed Tenure'!D116-G116,'Fixed Tenure'!F116))</f>
        <v>0</v>
      </c>
      <c r="I116" s="60">
        <f t="shared" si="64"/>
        <v>0</v>
      </c>
      <c r="J116" s="60">
        <f t="shared" si="65"/>
        <v>0</v>
      </c>
      <c r="K116" s="202">
        <f>J116/Input!$K$5</f>
        <v>0</v>
      </c>
      <c r="L116" s="232"/>
      <c r="M116" s="60">
        <f>IF($B116&lt;Input!$H$43,IF($B116&lt;Input!$G$43,IF($B116&lt;Input!$F$43,IF($B116&lt;Input!$E$43,IF($B116&lt;Input!$D$43,Input!$C$49,Input!$D$49),Input!$E$49),Input!$F$49),Input!$G$49),Input!$H$49)</f>
        <v>33127052.878124986</v>
      </c>
      <c r="N116" s="190">
        <f>IF($A116&lt;Input!$H$50,IF($A116&lt;Input!$G$50,IF($A116&lt;Input!$F$50,IF($A116&lt;Input!$E$50,IF($A116&lt;Input!$D$50,Input!$C$51,Input!$D$51),Input!$E$51),Input!$F$51),Input!$G$51),Input!$H$51)</f>
        <v>0.9</v>
      </c>
      <c r="O116" s="60">
        <f t="shared" si="74"/>
        <v>29814347.590312488</v>
      </c>
      <c r="P116" s="60">
        <f t="shared" si="75"/>
        <v>30</v>
      </c>
      <c r="Q116" s="60">
        <f t="shared" si="42"/>
        <v>0</v>
      </c>
      <c r="R116" s="60">
        <f>ROUND(Q116*$P116*Input!$C$3/365,0)</f>
        <v>0</v>
      </c>
      <c r="S116" s="60">
        <f>IF(A116&lt;=Input!$C$6,0,IF('Fixed Tenure'!O116&lt;'Fixed Tenure'!Q116,'Fixed Tenure'!O116-R116,'Fixed Tenure'!Q116))</f>
        <v>0</v>
      </c>
      <c r="T116" s="60">
        <f t="shared" si="43"/>
        <v>0</v>
      </c>
      <c r="U116" s="60">
        <f t="shared" si="44"/>
        <v>0</v>
      </c>
      <c r="V116" s="193"/>
      <c r="W116" s="169">
        <v>112</v>
      </c>
      <c r="X116" s="1">
        <f t="shared" si="66"/>
        <v>48928</v>
      </c>
      <c r="Y116" s="60">
        <f>IF($X116&lt;Input!$H$58,IF($X116&lt;Input!$G$58,IF($X116&lt;Input!$F$58,IF($X116&lt;Input!$E$58,IF($X116&lt;Input!$D$58,Input!$C$64,Input!$D$64),Input!$E$64),Input!$F$64),Input!$G$64),Input!$H$64)</f>
        <v>0</v>
      </c>
      <c r="Z116" s="190">
        <f>IF($A116&lt;Input!$H$65,IF($A116&lt;Input!$G$65,IF($A116&lt;Input!$F$65,IF($A116&lt;Input!$E$65,IF($A116&lt;Input!$D$65,Input!$C$66,Input!$D$66),Input!$E$66),Input!$F$66),Input!$G$66),Input!$H$66)</f>
        <v>0.9</v>
      </c>
      <c r="AA116" s="60">
        <f t="shared" si="45"/>
        <v>0</v>
      </c>
      <c r="AB116" s="60">
        <f t="shared" si="67"/>
        <v>30</v>
      </c>
      <c r="AC116" s="60">
        <f t="shared" si="46"/>
        <v>0</v>
      </c>
      <c r="AD116" s="60">
        <f>ROUND(AC116*AB116*Input!$C$3/365,0)</f>
        <v>0</v>
      </c>
      <c r="AE116" s="61">
        <f>IF($A116&lt;=Input!$C$6,0,IF('Fixed Tenure'!AA116&lt;'Fixed Tenure'!AC116,'Fixed Tenure'!AA116-AD116,'Fixed Tenure'!AC116))</f>
        <v>0</v>
      </c>
      <c r="AF116" s="61">
        <f t="shared" si="47"/>
        <v>0</v>
      </c>
      <c r="AG116" s="60">
        <f t="shared" si="48"/>
        <v>0</v>
      </c>
      <c r="AH116" s="193"/>
      <c r="AI116" s="169">
        <v>112</v>
      </c>
      <c r="AJ116" s="1">
        <f t="shared" si="68"/>
        <v>48928</v>
      </c>
      <c r="AK116" s="60">
        <f>IF($X116&lt;Input!$H$73,IF($X116&lt;Input!$G$73,IF($X116&lt;Input!$F$73,IF($X116&lt;Input!$E$73,IF($X116&lt;Input!$D$73,Input!$C$79,Input!$D$79),Input!$E$79),Input!$F$79),Input!$G$79),Input!$H$79)</f>
        <v>0</v>
      </c>
      <c r="AL116" s="190">
        <f>IF($A116&lt;Input!$H$80,IF($A116&lt;Input!$G$80,IF($A116&lt;Input!$F$80,IF($A116&lt;Input!$E$80,IF($A116&lt;Input!$D$80,Input!$C$81,Input!$D$81),Input!$E$81),Input!$F$81),Input!$G$81),Input!$H$81)</f>
        <v>0.9</v>
      </c>
      <c r="AM116" s="60">
        <f t="shared" si="49"/>
        <v>0</v>
      </c>
      <c r="AN116" s="60">
        <f t="shared" si="69"/>
        <v>30</v>
      </c>
      <c r="AO116" s="60">
        <f t="shared" si="50"/>
        <v>0</v>
      </c>
      <c r="AP116" s="60">
        <f>ROUND(AO116*AN116*Input!$C$3/365,0)</f>
        <v>0</v>
      </c>
      <c r="AQ116" s="61">
        <f>IF($A116&lt;=Input!$C$6,0,IF('Fixed Tenure'!AM116&lt;'Fixed Tenure'!AO116,'Fixed Tenure'!AM116-AP116,'Fixed Tenure'!AO116))</f>
        <v>0</v>
      </c>
      <c r="AR116" s="61">
        <f t="shared" si="51"/>
        <v>0</v>
      </c>
      <c r="AS116" s="60">
        <f t="shared" si="52"/>
        <v>0</v>
      </c>
      <c r="AT116" s="193"/>
      <c r="AU116" s="169">
        <v>112</v>
      </c>
      <c r="AV116" s="1">
        <f t="shared" si="70"/>
        <v>48928</v>
      </c>
      <c r="AW116" s="60">
        <f>IF($X116&lt;Input!$H$88,IF($X116&lt;Input!$G$88,IF($X116&lt;Input!$F$88,IF($X116&lt;Input!$E$88,IF($X116&lt;Input!$D$88,Input!$C$94,Input!$D$94),Input!$E$94),Input!$F$94),Input!$G$94),Input!$H$94)</f>
        <v>0</v>
      </c>
      <c r="AX116" s="190">
        <f>IF($A116&lt;Input!$H$95,IF($A116&lt;Input!$G$95,IF($A116&lt;Input!$F$95,IF($A116&lt;Input!$E$95,IF($A116&lt;Input!$D$95,Input!$C$96,Input!$D$96),Input!$E$96),Input!$F$96),Input!$G$96),Input!$H$96)</f>
        <v>0.9</v>
      </c>
      <c r="AY116" s="60">
        <f t="shared" si="53"/>
        <v>0</v>
      </c>
      <c r="AZ116" s="60">
        <f t="shared" si="71"/>
        <v>30</v>
      </c>
      <c r="BA116" s="60">
        <f t="shared" si="54"/>
        <v>0</v>
      </c>
      <c r="BB116" s="60">
        <f>ROUND(BA116*AZ116*Input!$C$3/365,0)</f>
        <v>0</v>
      </c>
      <c r="BC116" s="61">
        <f>IF($A116&lt;=Input!$C$6,0,IF('Fixed Tenure'!AY116&lt;'Fixed Tenure'!BA116,'Fixed Tenure'!AY116-BB116,'Fixed Tenure'!BA116))</f>
        <v>0</v>
      </c>
      <c r="BD116" s="61">
        <f t="shared" si="55"/>
        <v>0</v>
      </c>
      <c r="BE116" s="60">
        <f t="shared" si="56"/>
        <v>0</v>
      </c>
      <c r="BF116" s="193"/>
      <c r="BG116" s="169">
        <v>112</v>
      </c>
      <c r="BH116" s="1">
        <f t="shared" si="72"/>
        <v>48928</v>
      </c>
      <c r="BI116" s="60">
        <f>IF($X116&lt;Input!$H$103,IF($X116&lt;Input!$G$103,IF($X116&lt;Input!$F$103,IF($X116&lt;Input!$E$103,IF($X116&lt;Input!$D$103,Input!$C$109,Input!$D$109),Input!$E$109),Input!$F$109),Input!$G$109),Input!$H$109)</f>
        <v>0</v>
      </c>
      <c r="BJ116" s="190">
        <f>IF($A116&lt;Input!$H$110,IF($A116&lt;Input!$G$110,IF($A116&lt;Input!$F$110,IF($A116&lt;Input!$E$110,IF($A116&lt;Input!$D$110,Input!$C$111,Input!$D$111),Input!$E$111),Input!$F$111),Input!$G$111),Input!$H$111)</f>
        <v>0.9</v>
      </c>
      <c r="BK116" s="60">
        <f t="shared" si="57"/>
        <v>0</v>
      </c>
      <c r="BL116" s="60">
        <f t="shared" si="73"/>
        <v>30</v>
      </c>
      <c r="BM116" s="60">
        <f t="shared" si="58"/>
        <v>0</v>
      </c>
      <c r="BN116" s="60">
        <f>ROUND(BM116*BL116*Input!$C$3/365,0)</f>
        <v>0</v>
      </c>
      <c r="BO116" s="61">
        <f>IF($A116&lt;=Input!$C$6,0,IF('Fixed Tenure'!BK116&lt;'Fixed Tenure'!BM116,'Fixed Tenure'!BK116-BN116,'Fixed Tenure'!BM116))</f>
        <v>0</v>
      </c>
      <c r="BP116" s="61">
        <f t="shared" si="59"/>
        <v>0</v>
      </c>
      <c r="BQ116" s="60">
        <f t="shared" si="60"/>
        <v>0</v>
      </c>
      <c r="BR116" s="198"/>
    </row>
    <row r="117" spans="1:70" x14ac:dyDescent="0.25">
      <c r="A117" s="169">
        <v>113</v>
      </c>
      <c r="B117" s="1">
        <f t="shared" si="61"/>
        <v>48959</v>
      </c>
      <c r="C117" s="60">
        <f t="shared" si="39"/>
        <v>33127052.878124986</v>
      </c>
      <c r="D117" s="60">
        <f t="shared" si="40"/>
        <v>29814347.590312488</v>
      </c>
      <c r="E117" s="60">
        <f t="shared" si="62"/>
        <v>31</v>
      </c>
      <c r="F117" s="60">
        <f t="shared" si="63"/>
        <v>0</v>
      </c>
      <c r="G117" s="60">
        <f>ROUND(F117*E117*Input!$C$3/365,0)</f>
        <v>0</v>
      </c>
      <c r="H117" s="60">
        <f>IF($A117&lt;=Input!$C$6,0,IF('Fixed Tenure'!D117&lt;'Fixed Tenure'!F117,'Fixed Tenure'!D117-G117,'Fixed Tenure'!F117))</f>
        <v>0</v>
      </c>
      <c r="I117" s="60">
        <f t="shared" si="64"/>
        <v>0</v>
      </c>
      <c r="J117" s="60">
        <f t="shared" si="65"/>
        <v>0</v>
      </c>
      <c r="K117" s="202">
        <f>J117/Input!$K$5</f>
        <v>0</v>
      </c>
      <c r="L117" s="232"/>
      <c r="M117" s="60">
        <f>IF($B117&lt;Input!$H$43,IF($B117&lt;Input!$G$43,IF($B117&lt;Input!$F$43,IF($B117&lt;Input!$E$43,IF($B117&lt;Input!$D$43,Input!$C$49,Input!$D$49),Input!$E$49),Input!$F$49),Input!$G$49),Input!$H$49)</f>
        <v>33127052.878124986</v>
      </c>
      <c r="N117" s="190">
        <f>IF($A117&lt;Input!$H$50,IF($A117&lt;Input!$G$50,IF($A117&lt;Input!$F$50,IF($A117&lt;Input!$E$50,IF($A117&lt;Input!$D$50,Input!$C$51,Input!$D$51),Input!$E$51),Input!$F$51),Input!$G$51),Input!$H$51)</f>
        <v>0.9</v>
      </c>
      <c r="O117" s="60">
        <f t="shared" si="74"/>
        <v>29814347.590312488</v>
      </c>
      <c r="P117" s="60">
        <f t="shared" si="75"/>
        <v>31</v>
      </c>
      <c r="Q117" s="60">
        <f t="shared" si="42"/>
        <v>0</v>
      </c>
      <c r="R117" s="60">
        <f>ROUND(Q117*$P117*Input!$C$3/365,0)</f>
        <v>0</v>
      </c>
      <c r="S117" s="60">
        <f>IF(A117&lt;=Input!$C$6,0,IF('Fixed Tenure'!O117&lt;'Fixed Tenure'!Q117,'Fixed Tenure'!O117-R117,'Fixed Tenure'!Q117))</f>
        <v>0</v>
      </c>
      <c r="T117" s="60">
        <f t="shared" si="43"/>
        <v>0</v>
      </c>
      <c r="U117" s="60">
        <f t="shared" si="44"/>
        <v>0</v>
      </c>
      <c r="V117" s="193"/>
      <c r="W117" s="169">
        <v>113</v>
      </c>
      <c r="X117" s="1">
        <f t="shared" si="66"/>
        <v>48959</v>
      </c>
      <c r="Y117" s="60">
        <f>IF($X117&lt;Input!$H$58,IF($X117&lt;Input!$G$58,IF($X117&lt;Input!$F$58,IF($X117&lt;Input!$E$58,IF($X117&lt;Input!$D$58,Input!$C$64,Input!$D$64),Input!$E$64),Input!$F$64),Input!$G$64),Input!$H$64)</f>
        <v>0</v>
      </c>
      <c r="Z117" s="190">
        <f>IF($A117&lt;Input!$H$65,IF($A117&lt;Input!$G$65,IF($A117&lt;Input!$F$65,IF($A117&lt;Input!$E$65,IF($A117&lt;Input!$D$65,Input!$C$66,Input!$D$66),Input!$E$66),Input!$F$66),Input!$G$66),Input!$H$66)</f>
        <v>0.9</v>
      </c>
      <c r="AA117" s="60">
        <f t="shared" si="45"/>
        <v>0</v>
      </c>
      <c r="AB117" s="60">
        <f t="shared" si="67"/>
        <v>31</v>
      </c>
      <c r="AC117" s="60">
        <f t="shared" si="46"/>
        <v>0</v>
      </c>
      <c r="AD117" s="60">
        <f>ROUND(AC117*AB117*Input!$C$3/365,0)</f>
        <v>0</v>
      </c>
      <c r="AE117" s="61">
        <f>IF($A117&lt;=Input!$C$6,0,IF('Fixed Tenure'!AA117&lt;'Fixed Tenure'!AC117,'Fixed Tenure'!AA117-AD117,'Fixed Tenure'!AC117))</f>
        <v>0</v>
      </c>
      <c r="AF117" s="61">
        <f t="shared" si="47"/>
        <v>0</v>
      </c>
      <c r="AG117" s="60">
        <f t="shared" si="48"/>
        <v>0</v>
      </c>
      <c r="AH117" s="193"/>
      <c r="AI117" s="169">
        <v>113</v>
      </c>
      <c r="AJ117" s="1">
        <f t="shared" si="68"/>
        <v>48959</v>
      </c>
      <c r="AK117" s="60">
        <f>IF($X117&lt;Input!$H$73,IF($X117&lt;Input!$G$73,IF($X117&lt;Input!$F$73,IF($X117&lt;Input!$E$73,IF($X117&lt;Input!$D$73,Input!$C$79,Input!$D$79),Input!$E$79),Input!$F$79),Input!$G$79),Input!$H$79)</f>
        <v>0</v>
      </c>
      <c r="AL117" s="190">
        <f>IF($A117&lt;Input!$H$80,IF($A117&lt;Input!$G$80,IF($A117&lt;Input!$F$80,IF($A117&lt;Input!$E$80,IF($A117&lt;Input!$D$80,Input!$C$81,Input!$D$81),Input!$E$81),Input!$F$81),Input!$G$81),Input!$H$81)</f>
        <v>0.9</v>
      </c>
      <c r="AM117" s="60">
        <f t="shared" si="49"/>
        <v>0</v>
      </c>
      <c r="AN117" s="60">
        <f t="shared" si="69"/>
        <v>31</v>
      </c>
      <c r="AO117" s="60">
        <f t="shared" si="50"/>
        <v>0</v>
      </c>
      <c r="AP117" s="60">
        <f>ROUND(AO117*AN117*Input!$C$3/365,0)</f>
        <v>0</v>
      </c>
      <c r="AQ117" s="61">
        <f>IF($A117&lt;=Input!$C$6,0,IF('Fixed Tenure'!AM117&lt;'Fixed Tenure'!AO117,'Fixed Tenure'!AM117-AP117,'Fixed Tenure'!AO117))</f>
        <v>0</v>
      </c>
      <c r="AR117" s="61">
        <f t="shared" si="51"/>
        <v>0</v>
      </c>
      <c r="AS117" s="60">
        <f t="shared" si="52"/>
        <v>0</v>
      </c>
      <c r="AT117" s="193"/>
      <c r="AU117" s="169">
        <v>113</v>
      </c>
      <c r="AV117" s="1">
        <f t="shared" si="70"/>
        <v>48959</v>
      </c>
      <c r="AW117" s="60">
        <f>IF($X117&lt;Input!$H$88,IF($X117&lt;Input!$G$88,IF($X117&lt;Input!$F$88,IF($X117&lt;Input!$E$88,IF($X117&lt;Input!$D$88,Input!$C$94,Input!$D$94),Input!$E$94),Input!$F$94),Input!$G$94),Input!$H$94)</f>
        <v>0</v>
      </c>
      <c r="AX117" s="190">
        <f>IF($A117&lt;Input!$H$95,IF($A117&lt;Input!$G$95,IF($A117&lt;Input!$F$95,IF($A117&lt;Input!$E$95,IF($A117&lt;Input!$D$95,Input!$C$96,Input!$D$96),Input!$E$96),Input!$F$96),Input!$G$96),Input!$H$96)</f>
        <v>0.9</v>
      </c>
      <c r="AY117" s="60">
        <f t="shared" si="53"/>
        <v>0</v>
      </c>
      <c r="AZ117" s="60">
        <f t="shared" si="71"/>
        <v>31</v>
      </c>
      <c r="BA117" s="60">
        <f t="shared" si="54"/>
        <v>0</v>
      </c>
      <c r="BB117" s="60">
        <f>ROUND(BA117*AZ117*Input!$C$3/365,0)</f>
        <v>0</v>
      </c>
      <c r="BC117" s="61">
        <f>IF($A117&lt;=Input!$C$6,0,IF('Fixed Tenure'!AY117&lt;'Fixed Tenure'!BA117,'Fixed Tenure'!AY117-BB117,'Fixed Tenure'!BA117))</f>
        <v>0</v>
      </c>
      <c r="BD117" s="61">
        <f t="shared" si="55"/>
        <v>0</v>
      </c>
      <c r="BE117" s="60">
        <f t="shared" si="56"/>
        <v>0</v>
      </c>
      <c r="BF117" s="193"/>
      <c r="BG117" s="169">
        <v>113</v>
      </c>
      <c r="BH117" s="1">
        <f t="shared" si="72"/>
        <v>48959</v>
      </c>
      <c r="BI117" s="60">
        <f>IF($X117&lt;Input!$H$103,IF($X117&lt;Input!$G$103,IF($X117&lt;Input!$F$103,IF($X117&lt;Input!$E$103,IF($X117&lt;Input!$D$103,Input!$C$109,Input!$D$109),Input!$E$109),Input!$F$109),Input!$G$109),Input!$H$109)</f>
        <v>0</v>
      </c>
      <c r="BJ117" s="190">
        <f>IF($A117&lt;Input!$H$110,IF($A117&lt;Input!$G$110,IF($A117&lt;Input!$F$110,IF($A117&lt;Input!$E$110,IF($A117&lt;Input!$D$110,Input!$C$111,Input!$D$111),Input!$E$111),Input!$F$111),Input!$G$111),Input!$H$111)</f>
        <v>0.9</v>
      </c>
      <c r="BK117" s="60">
        <f t="shared" si="57"/>
        <v>0</v>
      </c>
      <c r="BL117" s="60">
        <f t="shared" si="73"/>
        <v>31</v>
      </c>
      <c r="BM117" s="60">
        <f t="shared" si="58"/>
        <v>0</v>
      </c>
      <c r="BN117" s="60">
        <f>ROUND(BM117*BL117*Input!$C$3/365,0)</f>
        <v>0</v>
      </c>
      <c r="BO117" s="61">
        <f>IF($A117&lt;=Input!$C$6,0,IF('Fixed Tenure'!BK117&lt;'Fixed Tenure'!BM117,'Fixed Tenure'!BK117-BN117,'Fixed Tenure'!BM117))</f>
        <v>0</v>
      </c>
      <c r="BP117" s="61">
        <f t="shared" si="59"/>
        <v>0</v>
      </c>
      <c r="BQ117" s="60">
        <f t="shared" si="60"/>
        <v>0</v>
      </c>
      <c r="BR117" s="198"/>
    </row>
    <row r="118" spans="1:70" x14ac:dyDescent="0.25">
      <c r="A118" s="169">
        <v>114</v>
      </c>
      <c r="B118" s="1">
        <f t="shared" si="61"/>
        <v>48990</v>
      </c>
      <c r="C118" s="60">
        <f t="shared" si="39"/>
        <v>33127052.878124986</v>
      </c>
      <c r="D118" s="60">
        <f t="shared" si="40"/>
        <v>29814347.590312488</v>
      </c>
      <c r="E118" s="60">
        <f t="shared" si="62"/>
        <v>31</v>
      </c>
      <c r="F118" s="60">
        <f t="shared" si="63"/>
        <v>0</v>
      </c>
      <c r="G118" s="60">
        <f>ROUND(F118*E118*Input!$C$3/365,0)</f>
        <v>0</v>
      </c>
      <c r="H118" s="60">
        <f>IF($A118&lt;=Input!$C$6,0,IF('Fixed Tenure'!D118&lt;'Fixed Tenure'!F118,'Fixed Tenure'!D118-G118,'Fixed Tenure'!F118))</f>
        <v>0</v>
      </c>
      <c r="I118" s="60">
        <f t="shared" si="64"/>
        <v>0</v>
      </c>
      <c r="J118" s="60">
        <f t="shared" si="65"/>
        <v>0</v>
      </c>
      <c r="K118" s="202">
        <f>J118/Input!$K$5</f>
        <v>0</v>
      </c>
      <c r="L118" s="232"/>
      <c r="M118" s="60">
        <f>IF($B118&lt;Input!$H$43,IF($B118&lt;Input!$G$43,IF($B118&lt;Input!$F$43,IF($B118&lt;Input!$E$43,IF($B118&lt;Input!$D$43,Input!$C$49,Input!$D$49),Input!$E$49),Input!$F$49),Input!$G$49),Input!$H$49)</f>
        <v>33127052.878124986</v>
      </c>
      <c r="N118" s="190">
        <f>IF($A118&lt;Input!$H$50,IF($A118&lt;Input!$G$50,IF($A118&lt;Input!$F$50,IF($A118&lt;Input!$E$50,IF($A118&lt;Input!$D$50,Input!$C$51,Input!$D$51),Input!$E$51),Input!$F$51),Input!$G$51),Input!$H$51)</f>
        <v>0.9</v>
      </c>
      <c r="O118" s="60">
        <f t="shared" si="74"/>
        <v>29814347.590312488</v>
      </c>
      <c r="P118" s="60">
        <f t="shared" si="75"/>
        <v>31</v>
      </c>
      <c r="Q118" s="60">
        <f t="shared" si="42"/>
        <v>0</v>
      </c>
      <c r="R118" s="60">
        <f>ROUND(Q118*$P118*Input!$C$3/365,0)</f>
        <v>0</v>
      </c>
      <c r="S118" s="60">
        <f>IF(A118&lt;=Input!$C$6,0,IF('Fixed Tenure'!O118&lt;'Fixed Tenure'!Q118,'Fixed Tenure'!O118-R118,'Fixed Tenure'!Q118))</f>
        <v>0</v>
      </c>
      <c r="T118" s="60">
        <f t="shared" si="43"/>
        <v>0</v>
      </c>
      <c r="U118" s="60">
        <f t="shared" si="44"/>
        <v>0</v>
      </c>
      <c r="V118" s="193"/>
      <c r="W118" s="169">
        <v>114</v>
      </c>
      <c r="X118" s="1">
        <f t="shared" si="66"/>
        <v>48990</v>
      </c>
      <c r="Y118" s="60">
        <f>IF($X118&lt;Input!$H$58,IF($X118&lt;Input!$G$58,IF($X118&lt;Input!$F$58,IF($X118&lt;Input!$E$58,IF($X118&lt;Input!$D$58,Input!$C$64,Input!$D$64),Input!$E$64),Input!$F$64),Input!$G$64),Input!$H$64)</f>
        <v>0</v>
      </c>
      <c r="Z118" s="190">
        <f>IF($A118&lt;Input!$H$65,IF($A118&lt;Input!$G$65,IF($A118&lt;Input!$F$65,IF($A118&lt;Input!$E$65,IF($A118&lt;Input!$D$65,Input!$C$66,Input!$D$66),Input!$E$66),Input!$F$66),Input!$G$66),Input!$H$66)</f>
        <v>0.9</v>
      </c>
      <c r="AA118" s="60">
        <f t="shared" si="45"/>
        <v>0</v>
      </c>
      <c r="AB118" s="60">
        <f t="shared" si="67"/>
        <v>31</v>
      </c>
      <c r="AC118" s="60">
        <f t="shared" si="46"/>
        <v>0</v>
      </c>
      <c r="AD118" s="60">
        <f>ROUND(AC118*AB118*Input!$C$3/365,0)</f>
        <v>0</v>
      </c>
      <c r="AE118" s="61">
        <f>IF($A118&lt;=Input!$C$6,0,IF('Fixed Tenure'!AA118&lt;'Fixed Tenure'!AC118,'Fixed Tenure'!AA118-AD118,'Fixed Tenure'!AC118))</f>
        <v>0</v>
      </c>
      <c r="AF118" s="61">
        <f t="shared" si="47"/>
        <v>0</v>
      </c>
      <c r="AG118" s="60">
        <f t="shared" si="48"/>
        <v>0</v>
      </c>
      <c r="AH118" s="193"/>
      <c r="AI118" s="169">
        <v>114</v>
      </c>
      <c r="AJ118" s="1">
        <f t="shared" si="68"/>
        <v>48990</v>
      </c>
      <c r="AK118" s="60">
        <f>IF($X118&lt;Input!$H$73,IF($X118&lt;Input!$G$73,IF($X118&lt;Input!$F$73,IF($X118&lt;Input!$E$73,IF($X118&lt;Input!$D$73,Input!$C$79,Input!$D$79),Input!$E$79),Input!$F$79),Input!$G$79),Input!$H$79)</f>
        <v>0</v>
      </c>
      <c r="AL118" s="190">
        <f>IF($A118&lt;Input!$H$80,IF($A118&lt;Input!$G$80,IF($A118&lt;Input!$F$80,IF($A118&lt;Input!$E$80,IF($A118&lt;Input!$D$80,Input!$C$81,Input!$D$81),Input!$E$81),Input!$F$81),Input!$G$81),Input!$H$81)</f>
        <v>0.9</v>
      </c>
      <c r="AM118" s="60">
        <f t="shared" si="49"/>
        <v>0</v>
      </c>
      <c r="AN118" s="60">
        <f t="shared" si="69"/>
        <v>31</v>
      </c>
      <c r="AO118" s="60">
        <f t="shared" si="50"/>
        <v>0</v>
      </c>
      <c r="AP118" s="60">
        <f>ROUND(AO118*AN118*Input!$C$3/365,0)</f>
        <v>0</v>
      </c>
      <c r="AQ118" s="61">
        <f>IF($A118&lt;=Input!$C$6,0,IF('Fixed Tenure'!AM118&lt;'Fixed Tenure'!AO118,'Fixed Tenure'!AM118-AP118,'Fixed Tenure'!AO118))</f>
        <v>0</v>
      </c>
      <c r="AR118" s="61">
        <f t="shared" si="51"/>
        <v>0</v>
      </c>
      <c r="AS118" s="60">
        <f t="shared" si="52"/>
        <v>0</v>
      </c>
      <c r="AT118" s="193"/>
      <c r="AU118" s="169">
        <v>114</v>
      </c>
      <c r="AV118" s="1">
        <f t="shared" si="70"/>
        <v>48990</v>
      </c>
      <c r="AW118" s="60">
        <f>IF($X118&lt;Input!$H$88,IF($X118&lt;Input!$G$88,IF($X118&lt;Input!$F$88,IF($X118&lt;Input!$E$88,IF($X118&lt;Input!$D$88,Input!$C$94,Input!$D$94),Input!$E$94),Input!$F$94),Input!$G$94),Input!$H$94)</f>
        <v>0</v>
      </c>
      <c r="AX118" s="190">
        <f>IF($A118&lt;Input!$H$95,IF($A118&lt;Input!$G$95,IF($A118&lt;Input!$F$95,IF($A118&lt;Input!$E$95,IF($A118&lt;Input!$D$95,Input!$C$96,Input!$D$96),Input!$E$96),Input!$F$96),Input!$G$96),Input!$H$96)</f>
        <v>0.9</v>
      </c>
      <c r="AY118" s="60">
        <f t="shared" si="53"/>
        <v>0</v>
      </c>
      <c r="AZ118" s="60">
        <f t="shared" si="71"/>
        <v>31</v>
      </c>
      <c r="BA118" s="60">
        <f t="shared" si="54"/>
        <v>0</v>
      </c>
      <c r="BB118" s="60">
        <f>ROUND(BA118*AZ118*Input!$C$3/365,0)</f>
        <v>0</v>
      </c>
      <c r="BC118" s="61">
        <f>IF($A118&lt;=Input!$C$6,0,IF('Fixed Tenure'!AY118&lt;'Fixed Tenure'!BA118,'Fixed Tenure'!AY118-BB118,'Fixed Tenure'!BA118))</f>
        <v>0</v>
      </c>
      <c r="BD118" s="61">
        <f t="shared" si="55"/>
        <v>0</v>
      </c>
      <c r="BE118" s="60">
        <f t="shared" si="56"/>
        <v>0</v>
      </c>
      <c r="BF118" s="193"/>
      <c r="BG118" s="169">
        <v>114</v>
      </c>
      <c r="BH118" s="1">
        <f t="shared" si="72"/>
        <v>48990</v>
      </c>
      <c r="BI118" s="60">
        <f>IF($X118&lt;Input!$H$103,IF($X118&lt;Input!$G$103,IF($X118&lt;Input!$F$103,IF($X118&lt;Input!$E$103,IF($X118&lt;Input!$D$103,Input!$C$109,Input!$D$109),Input!$E$109),Input!$F$109),Input!$G$109),Input!$H$109)</f>
        <v>0</v>
      </c>
      <c r="BJ118" s="190">
        <f>IF($A118&lt;Input!$H$110,IF($A118&lt;Input!$G$110,IF($A118&lt;Input!$F$110,IF($A118&lt;Input!$E$110,IF($A118&lt;Input!$D$110,Input!$C$111,Input!$D$111),Input!$E$111),Input!$F$111),Input!$G$111),Input!$H$111)</f>
        <v>0.9</v>
      </c>
      <c r="BK118" s="60">
        <f t="shared" si="57"/>
        <v>0</v>
      </c>
      <c r="BL118" s="60">
        <f t="shared" si="73"/>
        <v>31</v>
      </c>
      <c r="BM118" s="60">
        <f t="shared" si="58"/>
        <v>0</v>
      </c>
      <c r="BN118" s="60">
        <f>ROUND(BM118*BL118*Input!$C$3/365,0)</f>
        <v>0</v>
      </c>
      <c r="BO118" s="61">
        <f>IF($A118&lt;=Input!$C$6,0,IF('Fixed Tenure'!BK118&lt;'Fixed Tenure'!BM118,'Fixed Tenure'!BK118-BN118,'Fixed Tenure'!BM118))</f>
        <v>0</v>
      </c>
      <c r="BP118" s="61">
        <f t="shared" si="59"/>
        <v>0</v>
      </c>
      <c r="BQ118" s="60">
        <f t="shared" si="60"/>
        <v>0</v>
      </c>
      <c r="BR118" s="198"/>
    </row>
    <row r="119" spans="1:70" x14ac:dyDescent="0.25">
      <c r="A119" s="169">
        <v>115</v>
      </c>
      <c r="B119" s="1">
        <f t="shared" si="61"/>
        <v>49018</v>
      </c>
      <c r="C119" s="60">
        <f t="shared" si="39"/>
        <v>33127052.878124986</v>
      </c>
      <c r="D119" s="60">
        <f t="shared" si="40"/>
        <v>29814347.590312488</v>
      </c>
      <c r="E119" s="60">
        <f t="shared" si="62"/>
        <v>28</v>
      </c>
      <c r="F119" s="60">
        <f t="shared" si="63"/>
        <v>0</v>
      </c>
      <c r="G119" s="60">
        <f>ROUND(F119*E119*Input!$C$3/365,0)</f>
        <v>0</v>
      </c>
      <c r="H119" s="60">
        <f>IF($A119&lt;=Input!$C$6,0,IF('Fixed Tenure'!D119&lt;'Fixed Tenure'!F119,'Fixed Tenure'!D119-G119,'Fixed Tenure'!F119))</f>
        <v>0</v>
      </c>
      <c r="I119" s="60">
        <f t="shared" si="64"/>
        <v>0</v>
      </c>
      <c r="J119" s="60">
        <f t="shared" si="65"/>
        <v>0</v>
      </c>
      <c r="K119" s="202">
        <f>J119/Input!$K$5</f>
        <v>0</v>
      </c>
      <c r="L119" s="232"/>
      <c r="M119" s="60">
        <f>IF($B119&lt;Input!$H$43,IF($B119&lt;Input!$G$43,IF($B119&lt;Input!$F$43,IF($B119&lt;Input!$E$43,IF($B119&lt;Input!$D$43,Input!$C$49,Input!$D$49),Input!$E$49),Input!$F$49),Input!$G$49),Input!$H$49)</f>
        <v>33127052.878124986</v>
      </c>
      <c r="N119" s="190">
        <f>IF($A119&lt;Input!$H$50,IF($A119&lt;Input!$G$50,IF($A119&lt;Input!$F$50,IF($A119&lt;Input!$E$50,IF($A119&lt;Input!$D$50,Input!$C$51,Input!$D$51),Input!$E$51),Input!$F$51),Input!$G$51),Input!$H$51)</f>
        <v>0.9</v>
      </c>
      <c r="O119" s="60">
        <f t="shared" si="74"/>
        <v>29814347.590312488</v>
      </c>
      <c r="P119" s="60">
        <f t="shared" si="75"/>
        <v>28</v>
      </c>
      <c r="Q119" s="60">
        <f t="shared" si="42"/>
        <v>0</v>
      </c>
      <c r="R119" s="60">
        <f>ROUND(Q119*$P119*Input!$C$3/365,0)</f>
        <v>0</v>
      </c>
      <c r="S119" s="60">
        <f>IF(A119&lt;=Input!$C$6,0,IF('Fixed Tenure'!O119&lt;'Fixed Tenure'!Q119,'Fixed Tenure'!O119-R119,'Fixed Tenure'!Q119))</f>
        <v>0</v>
      </c>
      <c r="T119" s="60">
        <f t="shared" si="43"/>
        <v>0</v>
      </c>
      <c r="U119" s="60">
        <f t="shared" si="44"/>
        <v>0</v>
      </c>
      <c r="V119" s="193"/>
      <c r="W119" s="169">
        <v>115</v>
      </c>
      <c r="X119" s="1">
        <f t="shared" si="66"/>
        <v>49018</v>
      </c>
      <c r="Y119" s="60">
        <f>IF($X119&lt;Input!$H$58,IF($X119&lt;Input!$G$58,IF($X119&lt;Input!$F$58,IF($X119&lt;Input!$E$58,IF($X119&lt;Input!$D$58,Input!$C$64,Input!$D$64),Input!$E$64),Input!$F$64),Input!$G$64),Input!$H$64)</f>
        <v>0</v>
      </c>
      <c r="Z119" s="190">
        <f>IF($A119&lt;Input!$H$65,IF($A119&lt;Input!$G$65,IF($A119&lt;Input!$F$65,IF($A119&lt;Input!$E$65,IF($A119&lt;Input!$D$65,Input!$C$66,Input!$D$66),Input!$E$66),Input!$F$66),Input!$G$66),Input!$H$66)</f>
        <v>0.9</v>
      </c>
      <c r="AA119" s="60">
        <f t="shared" si="45"/>
        <v>0</v>
      </c>
      <c r="AB119" s="60">
        <f t="shared" si="67"/>
        <v>28</v>
      </c>
      <c r="AC119" s="60">
        <f t="shared" si="46"/>
        <v>0</v>
      </c>
      <c r="AD119" s="60">
        <f>ROUND(AC119*AB119*Input!$C$3/365,0)</f>
        <v>0</v>
      </c>
      <c r="AE119" s="61">
        <f>IF($A119&lt;=Input!$C$6,0,IF('Fixed Tenure'!AA119&lt;'Fixed Tenure'!AC119,'Fixed Tenure'!AA119-AD119,'Fixed Tenure'!AC119))</f>
        <v>0</v>
      </c>
      <c r="AF119" s="61">
        <f t="shared" si="47"/>
        <v>0</v>
      </c>
      <c r="AG119" s="60">
        <f t="shared" si="48"/>
        <v>0</v>
      </c>
      <c r="AH119" s="193"/>
      <c r="AI119" s="169">
        <v>115</v>
      </c>
      <c r="AJ119" s="1">
        <f t="shared" si="68"/>
        <v>49018</v>
      </c>
      <c r="AK119" s="60">
        <f>IF($X119&lt;Input!$H$73,IF($X119&lt;Input!$G$73,IF($X119&lt;Input!$F$73,IF($X119&lt;Input!$E$73,IF($X119&lt;Input!$D$73,Input!$C$79,Input!$D$79),Input!$E$79),Input!$F$79),Input!$G$79),Input!$H$79)</f>
        <v>0</v>
      </c>
      <c r="AL119" s="190">
        <f>IF($A119&lt;Input!$H$80,IF($A119&lt;Input!$G$80,IF($A119&lt;Input!$F$80,IF($A119&lt;Input!$E$80,IF($A119&lt;Input!$D$80,Input!$C$81,Input!$D$81),Input!$E$81),Input!$F$81),Input!$G$81),Input!$H$81)</f>
        <v>0.9</v>
      </c>
      <c r="AM119" s="60">
        <f t="shared" si="49"/>
        <v>0</v>
      </c>
      <c r="AN119" s="60">
        <f t="shared" si="69"/>
        <v>28</v>
      </c>
      <c r="AO119" s="60">
        <f t="shared" si="50"/>
        <v>0</v>
      </c>
      <c r="AP119" s="60">
        <f>ROUND(AO119*AN119*Input!$C$3/365,0)</f>
        <v>0</v>
      </c>
      <c r="AQ119" s="61">
        <f>IF($A119&lt;=Input!$C$6,0,IF('Fixed Tenure'!AM119&lt;'Fixed Tenure'!AO119,'Fixed Tenure'!AM119-AP119,'Fixed Tenure'!AO119))</f>
        <v>0</v>
      </c>
      <c r="AR119" s="61">
        <f t="shared" si="51"/>
        <v>0</v>
      </c>
      <c r="AS119" s="60">
        <f t="shared" si="52"/>
        <v>0</v>
      </c>
      <c r="AT119" s="193"/>
      <c r="AU119" s="169">
        <v>115</v>
      </c>
      <c r="AV119" s="1">
        <f t="shared" si="70"/>
        <v>49018</v>
      </c>
      <c r="AW119" s="60">
        <f>IF($X119&lt;Input!$H$88,IF($X119&lt;Input!$G$88,IF($X119&lt;Input!$F$88,IF($X119&lt;Input!$E$88,IF($X119&lt;Input!$D$88,Input!$C$94,Input!$D$94),Input!$E$94),Input!$F$94),Input!$G$94),Input!$H$94)</f>
        <v>0</v>
      </c>
      <c r="AX119" s="190">
        <f>IF($A119&lt;Input!$H$95,IF($A119&lt;Input!$G$95,IF($A119&lt;Input!$F$95,IF($A119&lt;Input!$E$95,IF($A119&lt;Input!$D$95,Input!$C$96,Input!$D$96),Input!$E$96),Input!$F$96),Input!$G$96),Input!$H$96)</f>
        <v>0.9</v>
      </c>
      <c r="AY119" s="60">
        <f t="shared" si="53"/>
        <v>0</v>
      </c>
      <c r="AZ119" s="60">
        <f t="shared" si="71"/>
        <v>28</v>
      </c>
      <c r="BA119" s="60">
        <f t="shared" si="54"/>
        <v>0</v>
      </c>
      <c r="BB119" s="60">
        <f>ROUND(BA119*AZ119*Input!$C$3/365,0)</f>
        <v>0</v>
      </c>
      <c r="BC119" s="61">
        <f>IF($A119&lt;=Input!$C$6,0,IF('Fixed Tenure'!AY119&lt;'Fixed Tenure'!BA119,'Fixed Tenure'!AY119-BB119,'Fixed Tenure'!BA119))</f>
        <v>0</v>
      </c>
      <c r="BD119" s="61">
        <f t="shared" si="55"/>
        <v>0</v>
      </c>
      <c r="BE119" s="60">
        <f t="shared" si="56"/>
        <v>0</v>
      </c>
      <c r="BF119" s="193"/>
      <c r="BG119" s="169">
        <v>115</v>
      </c>
      <c r="BH119" s="1">
        <f t="shared" si="72"/>
        <v>49018</v>
      </c>
      <c r="BI119" s="60">
        <f>IF($X119&lt;Input!$H$103,IF($X119&lt;Input!$G$103,IF($X119&lt;Input!$F$103,IF($X119&lt;Input!$E$103,IF($X119&lt;Input!$D$103,Input!$C$109,Input!$D$109),Input!$E$109),Input!$F$109),Input!$G$109),Input!$H$109)</f>
        <v>0</v>
      </c>
      <c r="BJ119" s="190">
        <f>IF($A119&lt;Input!$H$110,IF($A119&lt;Input!$G$110,IF($A119&lt;Input!$F$110,IF($A119&lt;Input!$E$110,IF($A119&lt;Input!$D$110,Input!$C$111,Input!$D$111),Input!$E$111),Input!$F$111),Input!$G$111),Input!$H$111)</f>
        <v>0.9</v>
      </c>
      <c r="BK119" s="60">
        <f t="shared" si="57"/>
        <v>0</v>
      </c>
      <c r="BL119" s="60">
        <f t="shared" si="73"/>
        <v>28</v>
      </c>
      <c r="BM119" s="60">
        <f t="shared" si="58"/>
        <v>0</v>
      </c>
      <c r="BN119" s="60">
        <f>ROUND(BM119*BL119*Input!$C$3/365,0)</f>
        <v>0</v>
      </c>
      <c r="BO119" s="61">
        <f>IF($A119&lt;=Input!$C$6,0,IF('Fixed Tenure'!BK119&lt;'Fixed Tenure'!BM119,'Fixed Tenure'!BK119-BN119,'Fixed Tenure'!BM119))</f>
        <v>0</v>
      </c>
      <c r="BP119" s="61">
        <f t="shared" si="59"/>
        <v>0</v>
      </c>
      <c r="BQ119" s="60">
        <f t="shared" si="60"/>
        <v>0</v>
      </c>
      <c r="BR119" s="198"/>
    </row>
    <row r="120" spans="1:70" x14ac:dyDescent="0.25">
      <c r="A120" s="169">
        <v>116</v>
      </c>
      <c r="B120" s="1">
        <f t="shared" si="61"/>
        <v>49049</v>
      </c>
      <c r="C120" s="60">
        <f t="shared" si="39"/>
        <v>33127052.878124986</v>
      </c>
      <c r="D120" s="60">
        <f t="shared" si="40"/>
        <v>29814347.590312488</v>
      </c>
      <c r="E120" s="60">
        <f t="shared" si="62"/>
        <v>31</v>
      </c>
      <c r="F120" s="60">
        <f t="shared" si="63"/>
        <v>0</v>
      </c>
      <c r="G120" s="60">
        <f>ROUND(F120*E120*Input!$C$3/365,0)</f>
        <v>0</v>
      </c>
      <c r="H120" s="60">
        <f>IF($A120&lt;=Input!$C$6,0,IF('Fixed Tenure'!D120&lt;'Fixed Tenure'!F120,'Fixed Tenure'!D120-G120,'Fixed Tenure'!F120))</f>
        <v>0</v>
      </c>
      <c r="I120" s="60">
        <f t="shared" si="64"/>
        <v>0</v>
      </c>
      <c r="J120" s="60">
        <f t="shared" si="65"/>
        <v>0</v>
      </c>
      <c r="K120" s="202">
        <f>J120/Input!$K$5</f>
        <v>0</v>
      </c>
      <c r="L120" s="232"/>
      <c r="M120" s="60">
        <f>IF($B120&lt;Input!$H$43,IF($B120&lt;Input!$G$43,IF($B120&lt;Input!$F$43,IF($B120&lt;Input!$E$43,IF($B120&lt;Input!$D$43,Input!$C$49,Input!$D$49),Input!$E$49),Input!$F$49),Input!$G$49),Input!$H$49)</f>
        <v>33127052.878124986</v>
      </c>
      <c r="N120" s="190">
        <f>IF($A120&lt;Input!$H$50,IF($A120&lt;Input!$G$50,IF($A120&lt;Input!$F$50,IF($A120&lt;Input!$E$50,IF($A120&lt;Input!$D$50,Input!$C$51,Input!$D$51),Input!$E$51),Input!$F$51),Input!$G$51),Input!$H$51)</f>
        <v>0.9</v>
      </c>
      <c r="O120" s="60">
        <f t="shared" si="74"/>
        <v>29814347.590312488</v>
      </c>
      <c r="P120" s="60">
        <f t="shared" si="75"/>
        <v>31</v>
      </c>
      <c r="Q120" s="60">
        <f t="shared" si="42"/>
        <v>0</v>
      </c>
      <c r="R120" s="60">
        <f>ROUND(Q120*$P120*Input!$C$3/365,0)</f>
        <v>0</v>
      </c>
      <c r="S120" s="60">
        <f>IF(A120&lt;=Input!$C$6,0,IF('Fixed Tenure'!O120&lt;'Fixed Tenure'!Q120,'Fixed Tenure'!O120-R120,'Fixed Tenure'!Q120))</f>
        <v>0</v>
      </c>
      <c r="T120" s="60">
        <f t="shared" si="43"/>
        <v>0</v>
      </c>
      <c r="U120" s="60">
        <f t="shared" si="44"/>
        <v>0</v>
      </c>
      <c r="V120" s="193"/>
      <c r="W120" s="169">
        <v>116</v>
      </c>
      <c r="X120" s="1">
        <f t="shared" si="66"/>
        <v>49049</v>
      </c>
      <c r="Y120" s="60">
        <f>IF($X120&lt;Input!$H$58,IF($X120&lt;Input!$G$58,IF($X120&lt;Input!$F$58,IF($X120&lt;Input!$E$58,IF($X120&lt;Input!$D$58,Input!$C$64,Input!$D$64),Input!$E$64),Input!$F$64),Input!$G$64),Input!$H$64)</f>
        <v>0</v>
      </c>
      <c r="Z120" s="190">
        <f>IF($A120&lt;Input!$H$65,IF($A120&lt;Input!$G$65,IF($A120&lt;Input!$F$65,IF($A120&lt;Input!$E$65,IF($A120&lt;Input!$D$65,Input!$C$66,Input!$D$66),Input!$E$66),Input!$F$66),Input!$G$66),Input!$H$66)</f>
        <v>0.9</v>
      </c>
      <c r="AA120" s="60">
        <f t="shared" si="45"/>
        <v>0</v>
      </c>
      <c r="AB120" s="60">
        <f t="shared" si="67"/>
        <v>31</v>
      </c>
      <c r="AC120" s="60">
        <f t="shared" si="46"/>
        <v>0</v>
      </c>
      <c r="AD120" s="60">
        <f>ROUND(AC120*AB120*Input!$C$3/365,0)</f>
        <v>0</v>
      </c>
      <c r="AE120" s="61">
        <f>IF($A120&lt;=Input!$C$6,0,IF('Fixed Tenure'!AA120&lt;'Fixed Tenure'!AC120,'Fixed Tenure'!AA120-AD120,'Fixed Tenure'!AC120))</f>
        <v>0</v>
      </c>
      <c r="AF120" s="61">
        <f t="shared" si="47"/>
        <v>0</v>
      </c>
      <c r="AG120" s="60">
        <f t="shared" si="48"/>
        <v>0</v>
      </c>
      <c r="AH120" s="193"/>
      <c r="AI120" s="169">
        <v>116</v>
      </c>
      <c r="AJ120" s="1">
        <f t="shared" si="68"/>
        <v>49049</v>
      </c>
      <c r="AK120" s="60">
        <f>IF($X120&lt;Input!$H$73,IF($X120&lt;Input!$G$73,IF($X120&lt;Input!$F$73,IF($X120&lt;Input!$E$73,IF($X120&lt;Input!$D$73,Input!$C$79,Input!$D$79),Input!$E$79),Input!$F$79),Input!$G$79),Input!$H$79)</f>
        <v>0</v>
      </c>
      <c r="AL120" s="190">
        <f>IF($A120&lt;Input!$H$80,IF($A120&lt;Input!$G$80,IF($A120&lt;Input!$F$80,IF($A120&lt;Input!$E$80,IF($A120&lt;Input!$D$80,Input!$C$81,Input!$D$81),Input!$E$81),Input!$F$81),Input!$G$81),Input!$H$81)</f>
        <v>0.9</v>
      </c>
      <c r="AM120" s="60">
        <f t="shared" si="49"/>
        <v>0</v>
      </c>
      <c r="AN120" s="60">
        <f t="shared" si="69"/>
        <v>31</v>
      </c>
      <c r="AO120" s="60">
        <f t="shared" si="50"/>
        <v>0</v>
      </c>
      <c r="AP120" s="60">
        <f>ROUND(AO120*AN120*Input!$C$3/365,0)</f>
        <v>0</v>
      </c>
      <c r="AQ120" s="61">
        <f>IF($A120&lt;=Input!$C$6,0,IF('Fixed Tenure'!AM120&lt;'Fixed Tenure'!AO120,'Fixed Tenure'!AM120-AP120,'Fixed Tenure'!AO120))</f>
        <v>0</v>
      </c>
      <c r="AR120" s="61">
        <f t="shared" si="51"/>
        <v>0</v>
      </c>
      <c r="AS120" s="60">
        <f t="shared" si="52"/>
        <v>0</v>
      </c>
      <c r="AT120" s="193"/>
      <c r="AU120" s="169">
        <v>116</v>
      </c>
      <c r="AV120" s="1">
        <f t="shared" si="70"/>
        <v>49049</v>
      </c>
      <c r="AW120" s="60">
        <f>IF($X120&lt;Input!$H$88,IF($X120&lt;Input!$G$88,IF($X120&lt;Input!$F$88,IF($X120&lt;Input!$E$88,IF($X120&lt;Input!$D$88,Input!$C$94,Input!$D$94),Input!$E$94),Input!$F$94),Input!$G$94),Input!$H$94)</f>
        <v>0</v>
      </c>
      <c r="AX120" s="190">
        <f>IF($A120&lt;Input!$H$95,IF($A120&lt;Input!$G$95,IF($A120&lt;Input!$F$95,IF($A120&lt;Input!$E$95,IF($A120&lt;Input!$D$95,Input!$C$96,Input!$D$96),Input!$E$96),Input!$F$96),Input!$G$96),Input!$H$96)</f>
        <v>0.9</v>
      </c>
      <c r="AY120" s="60">
        <f t="shared" si="53"/>
        <v>0</v>
      </c>
      <c r="AZ120" s="60">
        <f t="shared" si="71"/>
        <v>31</v>
      </c>
      <c r="BA120" s="60">
        <f t="shared" si="54"/>
        <v>0</v>
      </c>
      <c r="BB120" s="60">
        <f>ROUND(BA120*AZ120*Input!$C$3/365,0)</f>
        <v>0</v>
      </c>
      <c r="BC120" s="61">
        <f>IF($A120&lt;=Input!$C$6,0,IF('Fixed Tenure'!AY120&lt;'Fixed Tenure'!BA120,'Fixed Tenure'!AY120-BB120,'Fixed Tenure'!BA120))</f>
        <v>0</v>
      </c>
      <c r="BD120" s="61">
        <f t="shared" si="55"/>
        <v>0</v>
      </c>
      <c r="BE120" s="60">
        <f t="shared" si="56"/>
        <v>0</v>
      </c>
      <c r="BF120" s="193"/>
      <c r="BG120" s="169">
        <v>116</v>
      </c>
      <c r="BH120" s="1">
        <f t="shared" si="72"/>
        <v>49049</v>
      </c>
      <c r="BI120" s="60">
        <f>IF($X120&lt;Input!$H$103,IF($X120&lt;Input!$G$103,IF($X120&lt;Input!$F$103,IF($X120&lt;Input!$E$103,IF($X120&lt;Input!$D$103,Input!$C$109,Input!$D$109),Input!$E$109),Input!$F$109),Input!$G$109),Input!$H$109)</f>
        <v>0</v>
      </c>
      <c r="BJ120" s="190">
        <f>IF($A120&lt;Input!$H$110,IF($A120&lt;Input!$G$110,IF($A120&lt;Input!$F$110,IF($A120&lt;Input!$E$110,IF($A120&lt;Input!$D$110,Input!$C$111,Input!$D$111),Input!$E$111),Input!$F$111),Input!$G$111),Input!$H$111)</f>
        <v>0.9</v>
      </c>
      <c r="BK120" s="60">
        <f t="shared" si="57"/>
        <v>0</v>
      </c>
      <c r="BL120" s="60">
        <f t="shared" si="73"/>
        <v>31</v>
      </c>
      <c r="BM120" s="60">
        <f t="shared" si="58"/>
        <v>0</v>
      </c>
      <c r="BN120" s="60">
        <f>ROUND(BM120*BL120*Input!$C$3/365,0)</f>
        <v>0</v>
      </c>
      <c r="BO120" s="61">
        <f>IF($A120&lt;=Input!$C$6,0,IF('Fixed Tenure'!BK120&lt;'Fixed Tenure'!BM120,'Fixed Tenure'!BK120-BN120,'Fixed Tenure'!BM120))</f>
        <v>0</v>
      </c>
      <c r="BP120" s="61">
        <f t="shared" si="59"/>
        <v>0</v>
      </c>
      <c r="BQ120" s="60">
        <f t="shared" si="60"/>
        <v>0</v>
      </c>
      <c r="BR120" s="198"/>
    </row>
    <row r="121" spans="1:70" x14ac:dyDescent="0.25">
      <c r="A121" s="169">
        <v>117</v>
      </c>
      <c r="B121" s="1">
        <f t="shared" si="61"/>
        <v>49079</v>
      </c>
      <c r="C121" s="60">
        <f t="shared" si="39"/>
        <v>33127052.878124986</v>
      </c>
      <c r="D121" s="60">
        <f t="shared" si="40"/>
        <v>29814347.590312488</v>
      </c>
      <c r="E121" s="60">
        <f t="shared" si="62"/>
        <v>30</v>
      </c>
      <c r="F121" s="60">
        <f t="shared" si="63"/>
        <v>0</v>
      </c>
      <c r="G121" s="60">
        <f>ROUND(F121*E121*Input!$C$3/365,0)</f>
        <v>0</v>
      </c>
      <c r="H121" s="60">
        <f>IF($A121&lt;=Input!$C$6,0,IF('Fixed Tenure'!D121&lt;'Fixed Tenure'!F121,'Fixed Tenure'!D121-G121,'Fixed Tenure'!F121))</f>
        <v>0</v>
      </c>
      <c r="I121" s="60">
        <f t="shared" si="64"/>
        <v>0</v>
      </c>
      <c r="J121" s="60">
        <f t="shared" si="65"/>
        <v>0</v>
      </c>
      <c r="K121" s="202">
        <f>J121/Input!$K$5</f>
        <v>0</v>
      </c>
      <c r="L121" s="232"/>
      <c r="M121" s="60">
        <f>IF($B121&lt;Input!$H$43,IF($B121&lt;Input!$G$43,IF($B121&lt;Input!$F$43,IF($B121&lt;Input!$E$43,IF($B121&lt;Input!$D$43,Input!$C$49,Input!$D$49),Input!$E$49),Input!$F$49),Input!$G$49),Input!$H$49)</f>
        <v>33127052.878124986</v>
      </c>
      <c r="N121" s="190">
        <f>IF($A121&lt;Input!$H$50,IF($A121&lt;Input!$G$50,IF($A121&lt;Input!$F$50,IF($A121&lt;Input!$E$50,IF($A121&lt;Input!$D$50,Input!$C$51,Input!$D$51),Input!$E$51),Input!$F$51),Input!$G$51),Input!$H$51)</f>
        <v>0.9</v>
      </c>
      <c r="O121" s="60">
        <f t="shared" si="74"/>
        <v>29814347.590312488</v>
      </c>
      <c r="P121" s="60">
        <f t="shared" si="75"/>
        <v>30</v>
      </c>
      <c r="Q121" s="60">
        <f t="shared" si="42"/>
        <v>0</v>
      </c>
      <c r="R121" s="60">
        <f>ROUND(Q121*$P121*Input!$C$3/365,0)</f>
        <v>0</v>
      </c>
      <c r="S121" s="60">
        <f>IF(A121&lt;=Input!$C$6,0,IF('Fixed Tenure'!O121&lt;'Fixed Tenure'!Q121,'Fixed Tenure'!O121-R121,'Fixed Tenure'!Q121))</f>
        <v>0</v>
      </c>
      <c r="T121" s="60">
        <f t="shared" si="43"/>
        <v>0</v>
      </c>
      <c r="U121" s="60">
        <f t="shared" si="44"/>
        <v>0</v>
      </c>
      <c r="V121" s="193"/>
      <c r="W121" s="169">
        <v>117</v>
      </c>
      <c r="X121" s="1">
        <f t="shared" si="66"/>
        <v>49079</v>
      </c>
      <c r="Y121" s="60">
        <f>IF($X121&lt;Input!$H$58,IF($X121&lt;Input!$G$58,IF($X121&lt;Input!$F$58,IF($X121&lt;Input!$E$58,IF($X121&lt;Input!$D$58,Input!$C$64,Input!$D$64),Input!$E$64),Input!$F$64),Input!$G$64),Input!$H$64)</f>
        <v>0</v>
      </c>
      <c r="Z121" s="190">
        <f>IF($A121&lt;Input!$H$65,IF($A121&lt;Input!$G$65,IF($A121&lt;Input!$F$65,IF($A121&lt;Input!$E$65,IF($A121&lt;Input!$D$65,Input!$C$66,Input!$D$66),Input!$E$66),Input!$F$66),Input!$G$66),Input!$H$66)</f>
        <v>0.9</v>
      </c>
      <c r="AA121" s="60">
        <f t="shared" si="45"/>
        <v>0</v>
      </c>
      <c r="AB121" s="60">
        <f t="shared" si="67"/>
        <v>30</v>
      </c>
      <c r="AC121" s="60">
        <f t="shared" si="46"/>
        <v>0</v>
      </c>
      <c r="AD121" s="60">
        <f>ROUND(AC121*AB121*Input!$C$3/365,0)</f>
        <v>0</v>
      </c>
      <c r="AE121" s="61">
        <f>IF($A121&lt;=Input!$C$6,0,IF('Fixed Tenure'!AA121&lt;'Fixed Tenure'!AC121,'Fixed Tenure'!AA121-AD121,'Fixed Tenure'!AC121))</f>
        <v>0</v>
      </c>
      <c r="AF121" s="61">
        <f t="shared" si="47"/>
        <v>0</v>
      </c>
      <c r="AG121" s="60">
        <f t="shared" si="48"/>
        <v>0</v>
      </c>
      <c r="AH121" s="193"/>
      <c r="AI121" s="169">
        <v>117</v>
      </c>
      <c r="AJ121" s="1">
        <f t="shared" si="68"/>
        <v>49079</v>
      </c>
      <c r="AK121" s="60">
        <f>IF($X121&lt;Input!$H$73,IF($X121&lt;Input!$G$73,IF($X121&lt;Input!$F$73,IF($X121&lt;Input!$E$73,IF($X121&lt;Input!$D$73,Input!$C$79,Input!$D$79),Input!$E$79),Input!$F$79),Input!$G$79),Input!$H$79)</f>
        <v>0</v>
      </c>
      <c r="AL121" s="190">
        <f>IF($A121&lt;Input!$H$80,IF($A121&lt;Input!$G$80,IF($A121&lt;Input!$F$80,IF($A121&lt;Input!$E$80,IF($A121&lt;Input!$D$80,Input!$C$81,Input!$D$81),Input!$E$81),Input!$F$81),Input!$G$81),Input!$H$81)</f>
        <v>0.9</v>
      </c>
      <c r="AM121" s="60">
        <f t="shared" si="49"/>
        <v>0</v>
      </c>
      <c r="AN121" s="60">
        <f t="shared" si="69"/>
        <v>30</v>
      </c>
      <c r="AO121" s="60">
        <f t="shared" si="50"/>
        <v>0</v>
      </c>
      <c r="AP121" s="60">
        <f>ROUND(AO121*AN121*Input!$C$3/365,0)</f>
        <v>0</v>
      </c>
      <c r="AQ121" s="61">
        <f>IF($A121&lt;=Input!$C$6,0,IF('Fixed Tenure'!AM121&lt;'Fixed Tenure'!AO121,'Fixed Tenure'!AM121-AP121,'Fixed Tenure'!AO121))</f>
        <v>0</v>
      </c>
      <c r="AR121" s="61">
        <f t="shared" si="51"/>
        <v>0</v>
      </c>
      <c r="AS121" s="60">
        <f t="shared" si="52"/>
        <v>0</v>
      </c>
      <c r="AT121" s="193"/>
      <c r="AU121" s="169">
        <v>117</v>
      </c>
      <c r="AV121" s="1">
        <f t="shared" si="70"/>
        <v>49079</v>
      </c>
      <c r="AW121" s="60">
        <f>IF($X121&lt;Input!$H$88,IF($X121&lt;Input!$G$88,IF($X121&lt;Input!$F$88,IF($X121&lt;Input!$E$88,IF($X121&lt;Input!$D$88,Input!$C$94,Input!$D$94),Input!$E$94),Input!$F$94),Input!$G$94),Input!$H$94)</f>
        <v>0</v>
      </c>
      <c r="AX121" s="190">
        <f>IF($A121&lt;Input!$H$95,IF($A121&lt;Input!$G$95,IF($A121&lt;Input!$F$95,IF($A121&lt;Input!$E$95,IF($A121&lt;Input!$D$95,Input!$C$96,Input!$D$96),Input!$E$96),Input!$F$96),Input!$G$96),Input!$H$96)</f>
        <v>0.9</v>
      </c>
      <c r="AY121" s="60">
        <f t="shared" si="53"/>
        <v>0</v>
      </c>
      <c r="AZ121" s="60">
        <f t="shared" si="71"/>
        <v>30</v>
      </c>
      <c r="BA121" s="60">
        <f t="shared" si="54"/>
        <v>0</v>
      </c>
      <c r="BB121" s="60">
        <f>ROUND(BA121*AZ121*Input!$C$3/365,0)</f>
        <v>0</v>
      </c>
      <c r="BC121" s="61">
        <f>IF($A121&lt;=Input!$C$6,0,IF('Fixed Tenure'!AY121&lt;'Fixed Tenure'!BA121,'Fixed Tenure'!AY121-BB121,'Fixed Tenure'!BA121))</f>
        <v>0</v>
      </c>
      <c r="BD121" s="61">
        <f t="shared" si="55"/>
        <v>0</v>
      </c>
      <c r="BE121" s="60">
        <f t="shared" si="56"/>
        <v>0</v>
      </c>
      <c r="BF121" s="193"/>
      <c r="BG121" s="169">
        <v>117</v>
      </c>
      <c r="BH121" s="1">
        <f t="shared" si="72"/>
        <v>49079</v>
      </c>
      <c r="BI121" s="60">
        <f>IF($X121&lt;Input!$H$103,IF($X121&lt;Input!$G$103,IF($X121&lt;Input!$F$103,IF($X121&lt;Input!$E$103,IF($X121&lt;Input!$D$103,Input!$C$109,Input!$D$109),Input!$E$109),Input!$F$109),Input!$G$109),Input!$H$109)</f>
        <v>0</v>
      </c>
      <c r="BJ121" s="190">
        <f>IF($A121&lt;Input!$H$110,IF($A121&lt;Input!$G$110,IF($A121&lt;Input!$F$110,IF($A121&lt;Input!$E$110,IF($A121&lt;Input!$D$110,Input!$C$111,Input!$D$111),Input!$E$111),Input!$F$111),Input!$G$111),Input!$H$111)</f>
        <v>0.9</v>
      </c>
      <c r="BK121" s="60">
        <f t="shared" si="57"/>
        <v>0</v>
      </c>
      <c r="BL121" s="60">
        <f t="shared" si="73"/>
        <v>30</v>
      </c>
      <c r="BM121" s="60">
        <f t="shared" si="58"/>
        <v>0</v>
      </c>
      <c r="BN121" s="60">
        <f>ROUND(BM121*BL121*Input!$C$3/365,0)</f>
        <v>0</v>
      </c>
      <c r="BO121" s="61">
        <f>IF($A121&lt;=Input!$C$6,0,IF('Fixed Tenure'!BK121&lt;'Fixed Tenure'!BM121,'Fixed Tenure'!BK121-BN121,'Fixed Tenure'!BM121))</f>
        <v>0</v>
      </c>
      <c r="BP121" s="61">
        <f t="shared" si="59"/>
        <v>0</v>
      </c>
      <c r="BQ121" s="60">
        <f t="shared" si="60"/>
        <v>0</v>
      </c>
      <c r="BR121" s="198"/>
    </row>
    <row r="122" spans="1:70" x14ac:dyDescent="0.25">
      <c r="A122" s="169">
        <v>118</v>
      </c>
      <c r="B122" s="1">
        <f t="shared" si="61"/>
        <v>49110</v>
      </c>
      <c r="C122" s="60">
        <f t="shared" si="39"/>
        <v>33127052.878124986</v>
      </c>
      <c r="D122" s="60">
        <f t="shared" si="40"/>
        <v>29814347.590312488</v>
      </c>
      <c r="E122" s="60">
        <f t="shared" si="62"/>
        <v>31</v>
      </c>
      <c r="F122" s="60">
        <f t="shared" si="63"/>
        <v>0</v>
      </c>
      <c r="G122" s="60">
        <f>ROUND(F122*E122*Input!$C$3/365,0)</f>
        <v>0</v>
      </c>
      <c r="H122" s="60">
        <f>IF($A122&lt;=Input!$C$6,0,IF('Fixed Tenure'!D122&lt;'Fixed Tenure'!F122,'Fixed Tenure'!D122-G122,'Fixed Tenure'!F122))</f>
        <v>0</v>
      </c>
      <c r="I122" s="60">
        <f t="shared" si="64"/>
        <v>0</v>
      </c>
      <c r="J122" s="60">
        <f t="shared" si="65"/>
        <v>0</v>
      </c>
      <c r="K122" s="202">
        <f>J122/Input!$K$5</f>
        <v>0</v>
      </c>
      <c r="L122" s="232"/>
      <c r="M122" s="60">
        <f>IF($B122&lt;Input!$H$43,IF($B122&lt;Input!$G$43,IF($B122&lt;Input!$F$43,IF($B122&lt;Input!$E$43,IF($B122&lt;Input!$D$43,Input!$C$49,Input!$D$49),Input!$E$49),Input!$F$49),Input!$G$49),Input!$H$49)</f>
        <v>33127052.878124986</v>
      </c>
      <c r="N122" s="190">
        <f>IF($A122&lt;Input!$H$50,IF($A122&lt;Input!$G$50,IF($A122&lt;Input!$F$50,IF($A122&lt;Input!$E$50,IF($A122&lt;Input!$D$50,Input!$C$51,Input!$D$51),Input!$E$51),Input!$F$51),Input!$G$51),Input!$H$51)</f>
        <v>0.9</v>
      </c>
      <c r="O122" s="60">
        <f t="shared" si="74"/>
        <v>29814347.590312488</v>
      </c>
      <c r="P122" s="60">
        <f t="shared" si="75"/>
        <v>31</v>
      </c>
      <c r="Q122" s="60">
        <f t="shared" si="42"/>
        <v>0</v>
      </c>
      <c r="R122" s="60">
        <f>ROUND(Q122*$P122*Input!$C$3/365,0)</f>
        <v>0</v>
      </c>
      <c r="S122" s="60">
        <f>IF(A122&lt;=Input!$C$6,0,IF('Fixed Tenure'!O122&lt;'Fixed Tenure'!Q122,'Fixed Tenure'!O122-R122,'Fixed Tenure'!Q122))</f>
        <v>0</v>
      </c>
      <c r="T122" s="60">
        <f t="shared" si="43"/>
        <v>0</v>
      </c>
      <c r="U122" s="60">
        <f t="shared" si="44"/>
        <v>0</v>
      </c>
      <c r="V122" s="193"/>
      <c r="W122" s="169">
        <v>118</v>
      </c>
      <c r="X122" s="1">
        <f t="shared" si="66"/>
        <v>49110</v>
      </c>
      <c r="Y122" s="60">
        <f>IF($X122&lt;Input!$H$58,IF($X122&lt;Input!$G$58,IF($X122&lt;Input!$F$58,IF($X122&lt;Input!$E$58,IF($X122&lt;Input!$D$58,Input!$C$64,Input!$D$64),Input!$E$64),Input!$F$64),Input!$G$64),Input!$H$64)</f>
        <v>0</v>
      </c>
      <c r="Z122" s="190">
        <f>IF($A122&lt;Input!$H$65,IF($A122&lt;Input!$G$65,IF($A122&lt;Input!$F$65,IF($A122&lt;Input!$E$65,IF($A122&lt;Input!$D$65,Input!$C$66,Input!$D$66),Input!$E$66),Input!$F$66),Input!$G$66),Input!$H$66)</f>
        <v>0.9</v>
      </c>
      <c r="AA122" s="60">
        <f t="shared" si="45"/>
        <v>0</v>
      </c>
      <c r="AB122" s="60">
        <f t="shared" si="67"/>
        <v>31</v>
      </c>
      <c r="AC122" s="60">
        <f t="shared" si="46"/>
        <v>0</v>
      </c>
      <c r="AD122" s="60">
        <f>ROUND(AC122*AB122*Input!$C$3/365,0)</f>
        <v>0</v>
      </c>
      <c r="AE122" s="61">
        <f>IF($A122&lt;=Input!$C$6,0,IF('Fixed Tenure'!AA122&lt;'Fixed Tenure'!AC122,'Fixed Tenure'!AA122-AD122,'Fixed Tenure'!AC122))</f>
        <v>0</v>
      </c>
      <c r="AF122" s="61">
        <f t="shared" si="47"/>
        <v>0</v>
      </c>
      <c r="AG122" s="60">
        <f t="shared" si="48"/>
        <v>0</v>
      </c>
      <c r="AH122" s="193"/>
      <c r="AI122" s="169">
        <v>118</v>
      </c>
      <c r="AJ122" s="1">
        <f t="shared" si="68"/>
        <v>49110</v>
      </c>
      <c r="AK122" s="60">
        <f>IF($X122&lt;Input!$H$73,IF($X122&lt;Input!$G$73,IF($X122&lt;Input!$F$73,IF($X122&lt;Input!$E$73,IF($X122&lt;Input!$D$73,Input!$C$79,Input!$D$79),Input!$E$79),Input!$F$79),Input!$G$79),Input!$H$79)</f>
        <v>0</v>
      </c>
      <c r="AL122" s="190">
        <f>IF($A122&lt;Input!$H$80,IF($A122&lt;Input!$G$80,IF($A122&lt;Input!$F$80,IF($A122&lt;Input!$E$80,IF($A122&lt;Input!$D$80,Input!$C$81,Input!$D$81),Input!$E$81),Input!$F$81),Input!$G$81),Input!$H$81)</f>
        <v>0.9</v>
      </c>
      <c r="AM122" s="60">
        <f t="shared" si="49"/>
        <v>0</v>
      </c>
      <c r="AN122" s="60">
        <f t="shared" si="69"/>
        <v>31</v>
      </c>
      <c r="AO122" s="60">
        <f t="shared" si="50"/>
        <v>0</v>
      </c>
      <c r="AP122" s="60">
        <f>ROUND(AO122*AN122*Input!$C$3/365,0)</f>
        <v>0</v>
      </c>
      <c r="AQ122" s="61">
        <f>IF($A122&lt;=Input!$C$6,0,IF('Fixed Tenure'!AM122&lt;'Fixed Tenure'!AO122,'Fixed Tenure'!AM122-AP122,'Fixed Tenure'!AO122))</f>
        <v>0</v>
      </c>
      <c r="AR122" s="61">
        <f t="shared" si="51"/>
        <v>0</v>
      </c>
      <c r="AS122" s="60">
        <f t="shared" si="52"/>
        <v>0</v>
      </c>
      <c r="AT122" s="193"/>
      <c r="AU122" s="169">
        <v>118</v>
      </c>
      <c r="AV122" s="1">
        <f t="shared" si="70"/>
        <v>49110</v>
      </c>
      <c r="AW122" s="60">
        <f>IF($X122&lt;Input!$H$88,IF($X122&lt;Input!$G$88,IF($X122&lt;Input!$F$88,IF($X122&lt;Input!$E$88,IF($X122&lt;Input!$D$88,Input!$C$94,Input!$D$94),Input!$E$94),Input!$F$94),Input!$G$94),Input!$H$94)</f>
        <v>0</v>
      </c>
      <c r="AX122" s="190">
        <f>IF($A122&lt;Input!$H$95,IF($A122&lt;Input!$G$95,IF($A122&lt;Input!$F$95,IF($A122&lt;Input!$E$95,IF($A122&lt;Input!$D$95,Input!$C$96,Input!$D$96),Input!$E$96),Input!$F$96),Input!$G$96),Input!$H$96)</f>
        <v>0.9</v>
      </c>
      <c r="AY122" s="60">
        <f t="shared" si="53"/>
        <v>0</v>
      </c>
      <c r="AZ122" s="60">
        <f t="shared" si="71"/>
        <v>31</v>
      </c>
      <c r="BA122" s="60">
        <f t="shared" si="54"/>
        <v>0</v>
      </c>
      <c r="BB122" s="60">
        <f>ROUND(BA122*AZ122*Input!$C$3/365,0)</f>
        <v>0</v>
      </c>
      <c r="BC122" s="61">
        <f>IF($A122&lt;=Input!$C$6,0,IF('Fixed Tenure'!AY122&lt;'Fixed Tenure'!BA122,'Fixed Tenure'!AY122-BB122,'Fixed Tenure'!BA122))</f>
        <v>0</v>
      </c>
      <c r="BD122" s="61">
        <f t="shared" si="55"/>
        <v>0</v>
      </c>
      <c r="BE122" s="60">
        <f t="shared" si="56"/>
        <v>0</v>
      </c>
      <c r="BF122" s="193"/>
      <c r="BG122" s="169">
        <v>118</v>
      </c>
      <c r="BH122" s="1">
        <f t="shared" si="72"/>
        <v>49110</v>
      </c>
      <c r="BI122" s="60">
        <f>IF($X122&lt;Input!$H$103,IF($X122&lt;Input!$G$103,IF($X122&lt;Input!$F$103,IF($X122&lt;Input!$E$103,IF($X122&lt;Input!$D$103,Input!$C$109,Input!$D$109),Input!$E$109),Input!$F$109),Input!$G$109),Input!$H$109)</f>
        <v>0</v>
      </c>
      <c r="BJ122" s="190">
        <f>IF($A122&lt;Input!$H$110,IF($A122&lt;Input!$G$110,IF($A122&lt;Input!$F$110,IF($A122&lt;Input!$E$110,IF($A122&lt;Input!$D$110,Input!$C$111,Input!$D$111),Input!$E$111),Input!$F$111),Input!$G$111),Input!$H$111)</f>
        <v>0.9</v>
      </c>
      <c r="BK122" s="60">
        <f t="shared" si="57"/>
        <v>0</v>
      </c>
      <c r="BL122" s="60">
        <f t="shared" si="73"/>
        <v>31</v>
      </c>
      <c r="BM122" s="60">
        <f t="shared" si="58"/>
        <v>0</v>
      </c>
      <c r="BN122" s="60">
        <f>ROUND(BM122*BL122*Input!$C$3/365,0)</f>
        <v>0</v>
      </c>
      <c r="BO122" s="61">
        <f>IF($A122&lt;=Input!$C$6,0,IF('Fixed Tenure'!BK122&lt;'Fixed Tenure'!BM122,'Fixed Tenure'!BK122-BN122,'Fixed Tenure'!BM122))</f>
        <v>0</v>
      </c>
      <c r="BP122" s="61">
        <f t="shared" si="59"/>
        <v>0</v>
      </c>
      <c r="BQ122" s="60">
        <f t="shared" si="60"/>
        <v>0</v>
      </c>
      <c r="BR122" s="198"/>
    </row>
    <row r="123" spans="1:70" x14ac:dyDescent="0.25">
      <c r="A123" s="169">
        <v>119</v>
      </c>
      <c r="B123" s="1">
        <f t="shared" si="61"/>
        <v>49140</v>
      </c>
      <c r="C123" s="60">
        <f t="shared" si="39"/>
        <v>33127052.878124986</v>
      </c>
      <c r="D123" s="60">
        <f t="shared" si="40"/>
        <v>29814347.590312488</v>
      </c>
      <c r="E123" s="60">
        <f t="shared" si="62"/>
        <v>30</v>
      </c>
      <c r="F123" s="60">
        <f t="shared" si="63"/>
        <v>0</v>
      </c>
      <c r="G123" s="60">
        <f>ROUND(F123*E123*Input!$C$3/365,0)</f>
        <v>0</v>
      </c>
      <c r="H123" s="60">
        <f>IF($A123&lt;=Input!$C$6,0,IF('Fixed Tenure'!D123&lt;'Fixed Tenure'!F123,'Fixed Tenure'!D123-G123,'Fixed Tenure'!F123))</f>
        <v>0</v>
      </c>
      <c r="I123" s="60">
        <f t="shared" si="64"/>
        <v>0</v>
      </c>
      <c r="J123" s="60">
        <f t="shared" si="65"/>
        <v>0</v>
      </c>
      <c r="K123" s="202">
        <f>J123/Input!$K$5</f>
        <v>0</v>
      </c>
      <c r="L123" s="232"/>
      <c r="M123" s="60">
        <f>IF($B123&lt;Input!$H$43,IF($B123&lt;Input!$G$43,IF($B123&lt;Input!$F$43,IF($B123&lt;Input!$E$43,IF($B123&lt;Input!$D$43,Input!$C$49,Input!$D$49),Input!$E$49),Input!$F$49),Input!$G$49),Input!$H$49)</f>
        <v>33127052.878124986</v>
      </c>
      <c r="N123" s="190">
        <f>IF($A123&lt;Input!$H$50,IF($A123&lt;Input!$G$50,IF($A123&lt;Input!$F$50,IF($A123&lt;Input!$E$50,IF($A123&lt;Input!$D$50,Input!$C$51,Input!$D$51),Input!$E$51),Input!$F$51),Input!$G$51),Input!$H$51)</f>
        <v>0.9</v>
      </c>
      <c r="O123" s="60">
        <f t="shared" si="74"/>
        <v>29814347.590312488</v>
      </c>
      <c r="P123" s="60">
        <f t="shared" si="75"/>
        <v>30</v>
      </c>
      <c r="Q123" s="60">
        <f t="shared" si="42"/>
        <v>0</v>
      </c>
      <c r="R123" s="60">
        <f>ROUND(Q123*$P123*Input!$C$3/365,0)</f>
        <v>0</v>
      </c>
      <c r="S123" s="60">
        <f>IF(A123&lt;=Input!$C$6,0,IF('Fixed Tenure'!O123&lt;'Fixed Tenure'!Q123,'Fixed Tenure'!O123-R123,'Fixed Tenure'!Q123))</f>
        <v>0</v>
      </c>
      <c r="T123" s="60">
        <f t="shared" si="43"/>
        <v>0</v>
      </c>
      <c r="U123" s="60">
        <f t="shared" si="44"/>
        <v>0</v>
      </c>
      <c r="V123" s="193"/>
      <c r="W123" s="169">
        <v>119</v>
      </c>
      <c r="X123" s="1">
        <f t="shared" si="66"/>
        <v>49140</v>
      </c>
      <c r="Y123" s="60">
        <f>IF($X123&lt;Input!$H$58,IF($X123&lt;Input!$G$58,IF($X123&lt;Input!$F$58,IF($X123&lt;Input!$E$58,IF($X123&lt;Input!$D$58,Input!$C$64,Input!$D$64),Input!$E$64),Input!$F$64),Input!$G$64),Input!$H$64)</f>
        <v>0</v>
      </c>
      <c r="Z123" s="190">
        <f>IF($A123&lt;Input!$H$65,IF($A123&lt;Input!$G$65,IF($A123&lt;Input!$F$65,IF($A123&lt;Input!$E$65,IF($A123&lt;Input!$D$65,Input!$C$66,Input!$D$66),Input!$E$66),Input!$F$66),Input!$G$66),Input!$H$66)</f>
        <v>0.9</v>
      </c>
      <c r="AA123" s="60">
        <f t="shared" si="45"/>
        <v>0</v>
      </c>
      <c r="AB123" s="60">
        <f t="shared" si="67"/>
        <v>30</v>
      </c>
      <c r="AC123" s="60">
        <f t="shared" si="46"/>
        <v>0</v>
      </c>
      <c r="AD123" s="60">
        <f>ROUND(AC123*AB123*Input!$C$3/365,0)</f>
        <v>0</v>
      </c>
      <c r="AE123" s="61">
        <f>IF($A123&lt;=Input!$C$6,0,IF('Fixed Tenure'!AA123&lt;'Fixed Tenure'!AC123,'Fixed Tenure'!AA123-AD123,'Fixed Tenure'!AC123))</f>
        <v>0</v>
      </c>
      <c r="AF123" s="61">
        <f t="shared" si="47"/>
        <v>0</v>
      </c>
      <c r="AG123" s="60">
        <f t="shared" si="48"/>
        <v>0</v>
      </c>
      <c r="AH123" s="193"/>
      <c r="AI123" s="169">
        <v>119</v>
      </c>
      <c r="AJ123" s="1">
        <f t="shared" si="68"/>
        <v>49140</v>
      </c>
      <c r="AK123" s="60">
        <f>IF($X123&lt;Input!$H$73,IF($X123&lt;Input!$G$73,IF($X123&lt;Input!$F$73,IF($X123&lt;Input!$E$73,IF($X123&lt;Input!$D$73,Input!$C$79,Input!$D$79),Input!$E$79),Input!$F$79),Input!$G$79),Input!$H$79)</f>
        <v>0</v>
      </c>
      <c r="AL123" s="190">
        <f>IF($A123&lt;Input!$H$80,IF($A123&lt;Input!$G$80,IF($A123&lt;Input!$F$80,IF($A123&lt;Input!$E$80,IF($A123&lt;Input!$D$80,Input!$C$81,Input!$D$81),Input!$E$81),Input!$F$81),Input!$G$81),Input!$H$81)</f>
        <v>0.9</v>
      </c>
      <c r="AM123" s="60">
        <f t="shared" si="49"/>
        <v>0</v>
      </c>
      <c r="AN123" s="60">
        <f t="shared" si="69"/>
        <v>30</v>
      </c>
      <c r="AO123" s="60">
        <f t="shared" si="50"/>
        <v>0</v>
      </c>
      <c r="AP123" s="60">
        <f>ROUND(AO123*AN123*Input!$C$3/365,0)</f>
        <v>0</v>
      </c>
      <c r="AQ123" s="61">
        <f>IF($A123&lt;=Input!$C$6,0,IF('Fixed Tenure'!AM123&lt;'Fixed Tenure'!AO123,'Fixed Tenure'!AM123-AP123,'Fixed Tenure'!AO123))</f>
        <v>0</v>
      </c>
      <c r="AR123" s="61">
        <f t="shared" si="51"/>
        <v>0</v>
      </c>
      <c r="AS123" s="60">
        <f t="shared" si="52"/>
        <v>0</v>
      </c>
      <c r="AT123" s="193"/>
      <c r="AU123" s="169">
        <v>119</v>
      </c>
      <c r="AV123" s="1">
        <f t="shared" si="70"/>
        <v>49140</v>
      </c>
      <c r="AW123" s="60">
        <f>IF($X123&lt;Input!$H$88,IF($X123&lt;Input!$G$88,IF($X123&lt;Input!$F$88,IF($X123&lt;Input!$E$88,IF($X123&lt;Input!$D$88,Input!$C$94,Input!$D$94),Input!$E$94),Input!$F$94),Input!$G$94),Input!$H$94)</f>
        <v>0</v>
      </c>
      <c r="AX123" s="190">
        <f>IF($A123&lt;Input!$H$95,IF($A123&lt;Input!$G$95,IF($A123&lt;Input!$F$95,IF($A123&lt;Input!$E$95,IF($A123&lt;Input!$D$95,Input!$C$96,Input!$D$96),Input!$E$96),Input!$F$96),Input!$G$96),Input!$H$96)</f>
        <v>0.9</v>
      </c>
      <c r="AY123" s="60">
        <f t="shared" si="53"/>
        <v>0</v>
      </c>
      <c r="AZ123" s="60">
        <f t="shared" si="71"/>
        <v>30</v>
      </c>
      <c r="BA123" s="60">
        <f t="shared" si="54"/>
        <v>0</v>
      </c>
      <c r="BB123" s="60">
        <f>ROUND(BA123*AZ123*Input!$C$3/365,0)</f>
        <v>0</v>
      </c>
      <c r="BC123" s="61">
        <f>IF($A123&lt;=Input!$C$6,0,IF('Fixed Tenure'!AY123&lt;'Fixed Tenure'!BA123,'Fixed Tenure'!AY123-BB123,'Fixed Tenure'!BA123))</f>
        <v>0</v>
      </c>
      <c r="BD123" s="61">
        <f t="shared" si="55"/>
        <v>0</v>
      </c>
      <c r="BE123" s="60">
        <f t="shared" si="56"/>
        <v>0</v>
      </c>
      <c r="BF123" s="193"/>
      <c r="BG123" s="169">
        <v>119</v>
      </c>
      <c r="BH123" s="1">
        <f t="shared" si="72"/>
        <v>49140</v>
      </c>
      <c r="BI123" s="60">
        <f>IF($X123&lt;Input!$H$103,IF($X123&lt;Input!$G$103,IF($X123&lt;Input!$F$103,IF($X123&lt;Input!$E$103,IF($X123&lt;Input!$D$103,Input!$C$109,Input!$D$109),Input!$E$109),Input!$F$109),Input!$G$109),Input!$H$109)</f>
        <v>0</v>
      </c>
      <c r="BJ123" s="190">
        <f>IF($A123&lt;Input!$H$110,IF($A123&lt;Input!$G$110,IF($A123&lt;Input!$F$110,IF($A123&lt;Input!$E$110,IF($A123&lt;Input!$D$110,Input!$C$111,Input!$D$111),Input!$E$111),Input!$F$111),Input!$G$111),Input!$H$111)</f>
        <v>0.9</v>
      </c>
      <c r="BK123" s="60">
        <f t="shared" si="57"/>
        <v>0</v>
      </c>
      <c r="BL123" s="60">
        <f t="shared" si="73"/>
        <v>30</v>
      </c>
      <c r="BM123" s="60">
        <f t="shared" si="58"/>
        <v>0</v>
      </c>
      <c r="BN123" s="60">
        <f>ROUND(BM123*BL123*Input!$C$3/365,0)</f>
        <v>0</v>
      </c>
      <c r="BO123" s="61">
        <f>IF($A123&lt;=Input!$C$6,0,IF('Fixed Tenure'!BK123&lt;'Fixed Tenure'!BM123,'Fixed Tenure'!BK123-BN123,'Fixed Tenure'!BM123))</f>
        <v>0</v>
      </c>
      <c r="BP123" s="61">
        <f t="shared" si="59"/>
        <v>0</v>
      </c>
      <c r="BQ123" s="60">
        <f t="shared" si="60"/>
        <v>0</v>
      </c>
      <c r="BR123" s="198"/>
    </row>
    <row r="124" spans="1:70" x14ac:dyDescent="0.25">
      <c r="A124" s="169">
        <v>120</v>
      </c>
      <c r="B124" s="1">
        <f t="shared" si="61"/>
        <v>49171</v>
      </c>
      <c r="C124" s="60">
        <f t="shared" si="39"/>
        <v>33127052.878124986</v>
      </c>
      <c r="D124" s="60">
        <f t="shared" si="40"/>
        <v>29814347.590312488</v>
      </c>
      <c r="E124" s="60">
        <f t="shared" si="62"/>
        <v>31</v>
      </c>
      <c r="F124" s="60">
        <f t="shared" si="63"/>
        <v>0</v>
      </c>
      <c r="G124" s="60">
        <f>ROUND(F124*E124*Input!$C$3/365,0)</f>
        <v>0</v>
      </c>
      <c r="H124" s="60">
        <f>IF($A124&lt;=Input!$C$6,0,IF('Fixed Tenure'!D124&lt;'Fixed Tenure'!F124,'Fixed Tenure'!D124-G124,'Fixed Tenure'!F124))</f>
        <v>0</v>
      </c>
      <c r="I124" s="60">
        <f t="shared" si="64"/>
        <v>0</v>
      </c>
      <c r="J124" s="60">
        <f t="shared" si="65"/>
        <v>0</v>
      </c>
      <c r="K124" s="202">
        <f>J124/Input!$K$5</f>
        <v>0</v>
      </c>
      <c r="L124" s="232"/>
      <c r="M124" s="60">
        <f>IF($B124&lt;Input!$H$43,IF($B124&lt;Input!$G$43,IF($B124&lt;Input!$F$43,IF($B124&lt;Input!$E$43,IF($B124&lt;Input!$D$43,Input!$C$49,Input!$D$49),Input!$E$49),Input!$F$49),Input!$G$49),Input!$H$49)</f>
        <v>33127052.878124986</v>
      </c>
      <c r="N124" s="190">
        <f>IF($A124&lt;Input!$H$50,IF($A124&lt;Input!$G$50,IF($A124&lt;Input!$F$50,IF($A124&lt;Input!$E$50,IF($A124&lt;Input!$D$50,Input!$C$51,Input!$D$51),Input!$E$51),Input!$F$51),Input!$G$51),Input!$H$51)</f>
        <v>0.9</v>
      </c>
      <c r="O124" s="60">
        <f t="shared" si="74"/>
        <v>29814347.590312488</v>
      </c>
      <c r="P124" s="60">
        <f t="shared" si="75"/>
        <v>31</v>
      </c>
      <c r="Q124" s="60">
        <f t="shared" si="42"/>
        <v>0</v>
      </c>
      <c r="R124" s="60">
        <f>ROUND(Q124*$P124*Input!$C$3/365,0)</f>
        <v>0</v>
      </c>
      <c r="S124" s="60">
        <f>IF(A124&lt;=Input!$C$6,0,IF('Fixed Tenure'!O124&lt;'Fixed Tenure'!Q124,'Fixed Tenure'!O124-R124,'Fixed Tenure'!Q124))</f>
        <v>0</v>
      </c>
      <c r="T124" s="60">
        <f t="shared" si="43"/>
        <v>0</v>
      </c>
      <c r="U124" s="60">
        <f t="shared" si="44"/>
        <v>0</v>
      </c>
      <c r="V124" s="193"/>
      <c r="W124" s="169">
        <v>120</v>
      </c>
      <c r="X124" s="1">
        <f t="shared" si="66"/>
        <v>49171</v>
      </c>
      <c r="Y124" s="60">
        <f>IF($X124&lt;Input!$H$58,IF($X124&lt;Input!$G$58,IF($X124&lt;Input!$F$58,IF($X124&lt;Input!$E$58,IF($X124&lt;Input!$D$58,Input!$C$64,Input!$D$64),Input!$E$64),Input!$F$64),Input!$G$64),Input!$H$64)</f>
        <v>0</v>
      </c>
      <c r="Z124" s="190">
        <f>IF($A124&lt;Input!$H$65,IF($A124&lt;Input!$G$65,IF($A124&lt;Input!$F$65,IF($A124&lt;Input!$E$65,IF($A124&lt;Input!$D$65,Input!$C$66,Input!$D$66),Input!$E$66),Input!$F$66),Input!$G$66),Input!$H$66)</f>
        <v>0.9</v>
      </c>
      <c r="AA124" s="60">
        <f t="shared" si="45"/>
        <v>0</v>
      </c>
      <c r="AB124" s="60">
        <f t="shared" si="67"/>
        <v>31</v>
      </c>
      <c r="AC124" s="60">
        <f t="shared" si="46"/>
        <v>0</v>
      </c>
      <c r="AD124" s="60">
        <f>ROUND(AC124*AB124*Input!$C$3/365,0)</f>
        <v>0</v>
      </c>
      <c r="AE124" s="61">
        <f>IF($A124&lt;=Input!$C$6,0,IF('Fixed Tenure'!AA124&lt;'Fixed Tenure'!AC124,'Fixed Tenure'!AA124-AD124,'Fixed Tenure'!AC124))</f>
        <v>0</v>
      </c>
      <c r="AF124" s="61">
        <f t="shared" si="47"/>
        <v>0</v>
      </c>
      <c r="AG124" s="60">
        <f t="shared" si="48"/>
        <v>0</v>
      </c>
      <c r="AH124" s="193"/>
      <c r="AI124" s="169">
        <v>120</v>
      </c>
      <c r="AJ124" s="1">
        <f t="shared" si="68"/>
        <v>49171</v>
      </c>
      <c r="AK124" s="60">
        <f>IF($X124&lt;Input!$H$73,IF($X124&lt;Input!$G$73,IF($X124&lt;Input!$F$73,IF($X124&lt;Input!$E$73,IF($X124&lt;Input!$D$73,Input!$C$79,Input!$D$79),Input!$E$79),Input!$F$79),Input!$G$79),Input!$H$79)</f>
        <v>0</v>
      </c>
      <c r="AL124" s="190">
        <f>IF($A124&lt;Input!$H$80,IF($A124&lt;Input!$G$80,IF($A124&lt;Input!$F$80,IF($A124&lt;Input!$E$80,IF($A124&lt;Input!$D$80,Input!$C$81,Input!$D$81),Input!$E$81),Input!$F$81),Input!$G$81),Input!$H$81)</f>
        <v>0.9</v>
      </c>
      <c r="AM124" s="60">
        <f t="shared" si="49"/>
        <v>0</v>
      </c>
      <c r="AN124" s="60">
        <f t="shared" si="69"/>
        <v>31</v>
      </c>
      <c r="AO124" s="60">
        <f t="shared" si="50"/>
        <v>0</v>
      </c>
      <c r="AP124" s="60">
        <f>ROUND(AO124*AN124*Input!$C$3/365,0)</f>
        <v>0</v>
      </c>
      <c r="AQ124" s="61">
        <f>IF($A124&lt;=Input!$C$6,0,IF('Fixed Tenure'!AM124&lt;'Fixed Tenure'!AO124,'Fixed Tenure'!AM124-AP124,'Fixed Tenure'!AO124))</f>
        <v>0</v>
      </c>
      <c r="AR124" s="61">
        <f t="shared" si="51"/>
        <v>0</v>
      </c>
      <c r="AS124" s="60">
        <f t="shared" si="52"/>
        <v>0</v>
      </c>
      <c r="AT124" s="193"/>
      <c r="AU124" s="169">
        <v>120</v>
      </c>
      <c r="AV124" s="1">
        <f t="shared" si="70"/>
        <v>49171</v>
      </c>
      <c r="AW124" s="60">
        <f>IF($X124&lt;Input!$H$88,IF($X124&lt;Input!$G$88,IF($X124&lt;Input!$F$88,IF($X124&lt;Input!$E$88,IF($X124&lt;Input!$D$88,Input!$C$94,Input!$D$94),Input!$E$94),Input!$F$94),Input!$G$94),Input!$H$94)</f>
        <v>0</v>
      </c>
      <c r="AX124" s="190">
        <f>IF($A124&lt;Input!$H$95,IF($A124&lt;Input!$G$95,IF($A124&lt;Input!$F$95,IF($A124&lt;Input!$E$95,IF($A124&lt;Input!$D$95,Input!$C$96,Input!$D$96),Input!$E$96),Input!$F$96),Input!$G$96),Input!$H$96)</f>
        <v>0.9</v>
      </c>
      <c r="AY124" s="60">
        <f t="shared" si="53"/>
        <v>0</v>
      </c>
      <c r="AZ124" s="60">
        <f t="shared" si="71"/>
        <v>31</v>
      </c>
      <c r="BA124" s="60">
        <f t="shared" si="54"/>
        <v>0</v>
      </c>
      <c r="BB124" s="60">
        <f>ROUND(BA124*AZ124*Input!$C$3/365,0)</f>
        <v>0</v>
      </c>
      <c r="BC124" s="61">
        <f>IF($A124&lt;=Input!$C$6,0,IF('Fixed Tenure'!AY124&lt;'Fixed Tenure'!BA124,'Fixed Tenure'!AY124-BB124,'Fixed Tenure'!BA124))</f>
        <v>0</v>
      </c>
      <c r="BD124" s="61">
        <f t="shared" si="55"/>
        <v>0</v>
      </c>
      <c r="BE124" s="60">
        <f t="shared" si="56"/>
        <v>0</v>
      </c>
      <c r="BF124" s="193"/>
      <c r="BG124" s="169">
        <v>120</v>
      </c>
      <c r="BH124" s="1">
        <f t="shared" si="72"/>
        <v>49171</v>
      </c>
      <c r="BI124" s="60">
        <f>IF($X124&lt;Input!$H$103,IF($X124&lt;Input!$G$103,IF($X124&lt;Input!$F$103,IF($X124&lt;Input!$E$103,IF($X124&lt;Input!$D$103,Input!$C$109,Input!$D$109),Input!$E$109),Input!$F$109),Input!$G$109),Input!$H$109)</f>
        <v>0</v>
      </c>
      <c r="BJ124" s="190">
        <f>IF($A124&lt;Input!$H$110,IF($A124&lt;Input!$G$110,IF($A124&lt;Input!$F$110,IF($A124&lt;Input!$E$110,IF($A124&lt;Input!$D$110,Input!$C$111,Input!$D$111),Input!$E$111),Input!$F$111),Input!$G$111),Input!$H$111)</f>
        <v>0.9</v>
      </c>
      <c r="BK124" s="60">
        <f t="shared" si="57"/>
        <v>0</v>
      </c>
      <c r="BL124" s="60">
        <f t="shared" si="73"/>
        <v>31</v>
      </c>
      <c r="BM124" s="60">
        <f t="shared" si="58"/>
        <v>0</v>
      </c>
      <c r="BN124" s="60">
        <f>ROUND(BM124*BL124*Input!$C$3/365,0)</f>
        <v>0</v>
      </c>
      <c r="BO124" s="61">
        <f>IF($A124&lt;=Input!$C$6,0,IF('Fixed Tenure'!BK124&lt;'Fixed Tenure'!BM124,'Fixed Tenure'!BK124-BN124,'Fixed Tenure'!BM124))</f>
        <v>0</v>
      </c>
      <c r="BP124" s="61">
        <f t="shared" si="59"/>
        <v>0</v>
      </c>
      <c r="BQ124" s="60">
        <f t="shared" si="60"/>
        <v>0</v>
      </c>
      <c r="BR124" s="198"/>
    </row>
    <row r="125" spans="1:70" x14ac:dyDescent="0.25">
      <c r="A125" s="169">
        <v>121</v>
      </c>
      <c r="B125" s="1">
        <f t="shared" si="61"/>
        <v>49202</v>
      </c>
      <c r="C125" s="60">
        <f t="shared" si="39"/>
        <v>33127052.878124986</v>
      </c>
      <c r="D125" s="60">
        <f t="shared" si="40"/>
        <v>29814347.590312488</v>
      </c>
      <c r="E125" s="60">
        <f t="shared" si="62"/>
        <v>31</v>
      </c>
      <c r="F125" s="60">
        <f t="shared" si="63"/>
        <v>0</v>
      </c>
      <c r="G125" s="60">
        <f>ROUND(F125*E125*Input!$C$3/365,0)</f>
        <v>0</v>
      </c>
      <c r="H125" s="60">
        <f>IF($A125&lt;=Input!$C$6,0,IF('Fixed Tenure'!D125&lt;'Fixed Tenure'!F125,'Fixed Tenure'!D125-G125,'Fixed Tenure'!F125))</f>
        <v>0</v>
      </c>
      <c r="I125" s="60">
        <f t="shared" si="64"/>
        <v>0</v>
      </c>
      <c r="J125" s="60">
        <f t="shared" si="65"/>
        <v>0</v>
      </c>
      <c r="K125" s="202">
        <f>J125/Input!$K$5</f>
        <v>0</v>
      </c>
      <c r="L125" s="232"/>
      <c r="M125" s="60">
        <f>IF($B125&lt;Input!$H$43,IF($B125&lt;Input!$G$43,IF($B125&lt;Input!$F$43,IF($B125&lt;Input!$E$43,IF($B125&lt;Input!$D$43,Input!$C$49,Input!$D$49),Input!$E$49),Input!$F$49),Input!$G$49),Input!$H$49)</f>
        <v>33127052.878124986</v>
      </c>
      <c r="N125" s="190">
        <f>IF($A125&lt;Input!$H$50,IF($A125&lt;Input!$G$50,IF($A125&lt;Input!$F$50,IF($A125&lt;Input!$E$50,IF($A125&lt;Input!$D$50,Input!$C$51,Input!$D$51),Input!$E$51),Input!$F$51),Input!$G$51),Input!$H$51)</f>
        <v>0.9</v>
      </c>
      <c r="O125" s="60">
        <f t="shared" si="74"/>
        <v>29814347.590312488</v>
      </c>
      <c r="P125" s="60">
        <f t="shared" si="75"/>
        <v>31</v>
      </c>
      <c r="Q125" s="60">
        <f t="shared" si="42"/>
        <v>0</v>
      </c>
      <c r="R125" s="60">
        <f>ROUND(Q125*$P125*Input!$C$3/365,0)</f>
        <v>0</v>
      </c>
      <c r="S125" s="60">
        <f>IF(A125&lt;=Input!$C$6,0,IF('Fixed Tenure'!O125&lt;'Fixed Tenure'!Q125,'Fixed Tenure'!O125-R125,'Fixed Tenure'!Q125))</f>
        <v>0</v>
      </c>
      <c r="T125" s="60">
        <f t="shared" si="43"/>
        <v>0</v>
      </c>
      <c r="U125" s="60">
        <f t="shared" si="44"/>
        <v>0</v>
      </c>
      <c r="V125" s="193"/>
      <c r="W125" s="169">
        <v>121</v>
      </c>
      <c r="X125" s="1">
        <f t="shared" si="66"/>
        <v>49202</v>
      </c>
      <c r="Y125" s="60">
        <f>IF($X125&lt;Input!$H$58,IF($X125&lt;Input!$G$58,IF($X125&lt;Input!$F$58,IF($X125&lt;Input!$E$58,IF($X125&lt;Input!$D$58,Input!$C$64,Input!$D$64),Input!$E$64),Input!$F$64),Input!$G$64),Input!$H$64)</f>
        <v>0</v>
      </c>
      <c r="Z125" s="190">
        <f>IF($A125&lt;Input!$H$65,IF($A125&lt;Input!$G$65,IF($A125&lt;Input!$F$65,IF($A125&lt;Input!$E$65,IF($A125&lt;Input!$D$65,Input!$C$66,Input!$D$66),Input!$E$66),Input!$F$66),Input!$G$66),Input!$H$66)</f>
        <v>0.9</v>
      </c>
      <c r="AA125" s="60">
        <f t="shared" si="45"/>
        <v>0</v>
      </c>
      <c r="AB125" s="60">
        <f t="shared" si="67"/>
        <v>31</v>
      </c>
      <c r="AC125" s="60">
        <f t="shared" si="46"/>
        <v>0</v>
      </c>
      <c r="AD125" s="60">
        <f>ROUND(AC125*AB125*Input!$C$3/365,0)</f>
        <v>0</v>
      </c>
      <c r="AE125" s="61">
        <f>IF($A125&lt;=Input!$C$6,0,IF('Fixed Tenure'!AA125&lt;'Fixed Tenure'!AC125,'Fixed Tenure'!AA125-AD125,'Fixed Tenure'!AC125))</f>
        <v>0</v>
      </c>
      <c r="AF125" s="61">
        <f t="shared" si="47"/>
        <v>0</v>
      </c>
      <c r="AG125" s="60">
        <f t="shared" si="48"/>
        <v>0</v>
      </c>
      <c r="AH125" s="193"/>
      <c r="AI125" s="169">
        <v>121</v>
      </c>
      <c r="AJ125" s="1">
        <f t="shared" si="68"/>
        <v>49202</v>
      </c>
      <c r="AK125" s="60">
        <f>IF($X125&lt;Input!$H$73,IF($X125&lt;Input!$G$73,IF($X125&lt;Input!$F$73,IF($X125&lt;Input!$E$73,IF($X125&lt;Input!$D$73,Input!$C$79,Input!$D$79),Input!$E$79),Input!$F$79),Input!$G$79),Input!$H$79)</f>
        <v>0</v>
      </c>
      <c r="AL125" s="190">
        <f>IF($A125&lt;Input!$H$80,IF($A125&lt;Input!$G$80,IF($A125&lt;Input!$F$80,IF($A125&lt;Input!$E$80,IF($A125&lt;Input!$D$80,Input!$C$81,Input!$D$81),Input!$E$81),Input!$F$81),Input!$G$81),Input!$H$81)</f>
        <v>0.9</v>
      </c>
      <c r="AM125" s="60">
        <f t="shared" si="49"/>
        <v>0</v>
      </c>
      <c r="AN125" s="60">
        <f t="shared" si="69"/>
        <v>31</v>
      </c>
      <c r="AO125" s="60">
        <f t="shared" si="50"/>
        <v>0</v>
      </c>
      <c r="AP125" s="60">
        <f>ROUND(AO125*AN125*Input!$C$3/365,0)</f>
        <v>0</v>
      </c>
      <c r="AQ125" s="61">
        <f>IF($A125&lt;=Input!$C$6,0,IF('Fixed Tenure'!AM125&lt;'Fixed Tenure'!AO125,'Fixed Tenure'!AM125-AP125,'Fixed Tenure'!AO125))</f>
        <v>0</v>
      </c>
      <c r="AR125" s="61">
        <f t="shared" si="51"/>
        <v>0</v>
      </c>
      <c r="AS125" s="60">
        <f t="shared" si="52"/>
        <v>0</v>
      </c>
      <c r="AT125" s="193"/>
      <c r="AU125" s="169">
        <v>121</v>
      </c>
      <c r="AV125" s="1">
        <f t="shared" si="70"/>
        <v>49202</v>
      </c>
      <c r="AW125" s="60">
        <f>IF($X125&lt;Input!$H$88,IF($X125&lt;Input!$G$88,IF($X125&lt;Input!$F$88,IF($X125&lt;Input!$E$88,IF($X125&lt;Input!$D$88,Input!$C$94,Input!$D$94),Input!$E$94),Input!$F$94),Input!$G$94),Input!$H$94)</f>
        <v>0</v>
      </c>
      <c r="AX125" s="190">
        <f>IF($A125&lt;Input!$H$95,IF($A125&lt;Input!$G$95,IF($A125&lt;Input!$F$95,IF($A125&lt;Input!$E$95,IF($A125&lt;Input!$D$95,Input!$C$96,Input!$D$96),Input!$E$96),Input!$F$96),Input!$G$96),Input!$H$96)</f>
        <v>0.9</v>
      </c>
      <c r="AY125" s="60">
        <f t="shared" si="53"/>
        <v>0</v>
      </c>
      <c r="AZ125" s="60">
        <f t="shared" si="71"/>
        <v>31</v>
      </c>
      <c r="BA125" s="60">
        <f t="shared" si="54"/>
        <v>0</v>
      </c>
      <c r="BB125" s="60">
        <f>ROUND(BA125*AZ125*Input!$C$3/365,0)</f>
        <v>0</v>
      </c>
      <c r="BC125" s="61">
        <f>IF($A125&lt;=Input!$C$6,0,IF('Fixed Tenure'!AY125&lt;'Fixed Tenure'!BA125,'Fixed Tenure'!AY125-BB125,'Fixed Tenure'!BA125))</f>
        <v>0</v>
      </c>
      <c r="BD125" s="61">
        <f t="shared" si="55"/>
        <v>0</v>
      </c>
      <c r="BE125" s="60">
        <f t="shared" si="56"/>
        <v>0</v>
      </c>
      <c r="BF125" s="193"/>
      <c r="BG125" s="169">
        <v>121</v>
      </c>
      <c r="BH125" s="1">
        <f t="shared" si="72"/>
        <v>49202</v>
      </c>
      <c r="BI125" s="60">
        <f>IF($X125&lt;Input!$H$103,IF($X125&lt;Input!$G$103,IF($X125&lt;Input!$F$103,IF($X125&lt;Input!$E$103,IF($X125&lt;Input!$D$103,Input!$C$109,Input!$D$109),Input!$E$109),Input!$F$109),Input!$G$109),Input!$H$109)</f>
        <v>0</v>
      </c>
      <c r="BJ125" s="190">
        <f>IF($A125&lt;Input!$H$110,IF($A125&lt;Input!$G$110,IF($A125&lt;Input!$F$110,IF($A125&lt;Input!$E$110,IF($A125&lt;Input!$D$110,Input!$C$111,Input!$D$111),Input!$E$111),Input!$F$111),Input!$G$111),Input!$H$111)</f>
        <v>0.9</v>
      </c>
      <c r="BK125" s="60">
        <f t="shared" si="57"/>
        <v>0</v>
      </c>
      <c r="BL125" s="60">
        <f t="shared" si="73"/>
        <v>31</v>
      </c>
      <c r="BM125" s="60">
        <f t="shared" si="58"/>
        <v>0</v>
      </c>
      <c r="BN125" s="60">
        <f>ROUND(BM125*BL125*Input!$C$3/365,0)</f>
        <v>0</v>
      </c>
      <c r="BO125" s="61">
        <f>IF($A125&lt;=Input!$C$6,0,IF('Fixed Tenure'!BK125&lt;'Fixed Tenure'!BM125,'Fixed Tenure'!BK125-BN125,'Fixed Tenure'!BM125))</f>
        <v>0</v>
      </c>
      <c r="BP125" s="61">
        <f t="shared" si="59"/>
        <v>0</v>
      </c>
      <c r="BQ125" s="60">
        <f t="shared" si="60"/>
        <v>0</v>
      </c>
      <c r="BR125" s="198"/>
    </row>
    <row r="126" spans="1:70" x14ac:dyDescent="0.25">
      <c r="A126" s="169">
        <v>122</v>
      </c>
      <c r="B126" s="1">
        <f t="shared" si="61"/>
        <v>49232</v>
      </c>
      <c r="C126" s="60">
        <f t="shared" si="39"/>
        <v>33127052.878124986</v>
      </c>
      <c r="D126" s="60">
        <f t="shared" si="40"/>
        <v>29814347.590312488</v>
      </c>
      <c r="E126" s="60">
        <f t="shared" si="62"/>
        <v>30</v>
      </c>
      <c r="F126" s="60">
        <f t="shared" si="63"/>
        <v>0</v>
      </c>
      <c r="G126" s="60">
        <f>ROUND(F126*E126*Input!$C$3/365,0)</f>
        <v>0</v>
      </c>
      <c r="H126" s="60">
        <f>IF($A126&lt;=Input!$C$6,0,IF('Fixed Tenure'!D126&lt;'Fixed Tenure'!F126,'Fixed Tenure'!D126-G126,'Fixed Tenure'!F126))</f>
        <v>0</v>
      </c>
      <c r="I126" s="60">
        <f t="shared" si="64"/>
        <v>0</v>
      </c>
      <c r="J126" s="60">
        <f t="shared" si="65"/>
        <v>0</v>
      </c>
      <c r="K126" s="202">
        <f>J126/Input!$K$5</f>
        <v>0</v>
      </c>
      <c r="L126" s="232"/>
      <c r="M126" s="60">
        <f>IF($B126&lt;Input!$H$43,IF($B126&lt;Input!$G$43,IF($B126&lt;Input!$F$43,IF($B126&lt;Input!$E$43,IF($B126&lt;Input!$D$43,Input!$C$49,Input!$D$49),Input!$E$49),Input!$F$49),Input!$G$49),Input!$H$49)</f>
        <v>33127052.878124986</v>
      </c>
      <c r="N126" s="190">
        <f>IF($A126&lt;Input!$H$50,IF($A126&lt;Input!$G$50,IF($A126&lt;Input!$F$50,IF($A126&lt;Input!$E$50,IF($A126&lt;Input!$D$50,Input!$C$51,Input!$D$51),Input!$E$51),Input!$F$51),Input!$G$51),Input!$H$51)</f>
        <v>0.9</v>
      </c>
      <c r="O126" s="60">
        <f t="shared" si="74"/>
        <v>29814347.590312488</v>
      </c>
      <c r="P126" s="60">
        <f t="shared" si="75"/>
        <v>30</v>
      </c>
      <c r="Q126" s="60">
        <f t="shared" si="42"/>
        <v>0</v>
      </c>
      <c r="R126" s="60">
        <f>ROUND(Q126*$P126*Input!$C$3/365,0)</f>
        <v>0</v>
      </c>
      <c r="S126" s="60">
        <f>IF(A126&lt;=Input!$C$6,0,IF('Fixed Tenure'!O126&lt;'Fixed Tenure'!Q126,'Fixed Tenure'!O126-R126,'Fixed Tenure'!Q126))</f>
        <v>0</v>
      </c>
      <c r="T126" s="60">
        <f t="shared" si="43"/>
        <v>0</v>
      </c>
      <c r="U126" s="60">
        <f t="shared" si="44"/>
        <v>0</v>
      </c>
      <c r="V126" s="193"/>
      <c r="W126" s="169">
        <v>122</v>
      </c>
      <c r="X126" s="1">
        <f t="shared" si="66"/>
        <v>49232</v>
      </c>
      <c r="Y126" s="60">
        <f>IF($X126&lt;Input!$H$58,IF($X126&lt;Input!$G$58,IF($X126&lt;Input!$F$58,IF($X126&lt;Input!$E$58,IF($X126&lt;Input!$D$58,Input!$C$64,Input!$D$64),Input!$E$64),Input!$F$64),Input!$G$64),Input!$H$64)</f>
        <v>0</v>
      </c>
      <c r="Z126" s="190">
        <f>IF($A126&lt;Input!$H$65,IF($A126&lt;Input!$G$65,IF($A126&lt;Input!$F$65,IF($A126&lt;Input!$E$65,IF($A126&lt;Input!$D$65,Input!$C$66,Input!$D$66),Input!$E$66),Input!$F$66),Input!$G$66),Input!$H$66)</f>
        <v>0.9</v>
      </c>
      <c r="AA126" s="60">
        <f t="shared" si="45"/>
        <v>0</v>
      </c>
      <c r="AB126" s="60">
        <f t="shared" si="67"/>
        <v>30</v>
      </c>
      <c r="AC126" s="60">
        <f t="shared" si="46"/>
        <v>0</v>
      </c>
      <c r="AD126" s="60">
        <f>ROUND(AC126*AB126*Input!$C$3/365,0)</f>
        <v>0</v>
      </c>
      <c r="AE126" s="61">
        <f>IF($A126&lt;=Input!$C$6,0,IF('Fixed Tenure'!AA126&lt;'Fixed Tenure'!AC126,'Fixed Tenure'!AA126-AD126,'Fixed Tenure'!AC126))</f>
        <v>0</v>
      </c>
      <c r="AF126" s="61">
        <f t="shared" si="47"/>
        <v>0</v>
      </c>
      <c r="AG126" s="60">
        <f t="shared" si="48"/>
        <v>0</v>
      </c>
      <c r="AH126" s="193"/>
      <c r="AI126" s="169">
        <v>122</v>
      </c>
      <c r="AJ126" s="1">
        <f t="shared" si="68"/>
        <v>49232</v>
      </c>
      <c r="AK126" s="60">
        <f>IF($X126&lt;Input!$H$73,IF($X126&lt;Input!$G$73,IF($X126&lt;Input!$F$73,IF($X126&lt;Input!$E$73,IF($X126&lt;Input!$D$73,Input!$C$79,Input!$D$79),Input!$E$79),Input!$F$79),Input!$G$79),Input!$H$79)</f>
        <v>0</v>
      </c>
      <c r="AL126" s="190">
        <f>IF($A126&lt;Input!$H$80,IF($A126&lt;Input!$G$80,IF($A126&lt;Input!$F$80,IF($A126&lt;Input!$E$80,IF($A126&lt;Input!$D$80,Input!$C$81,Input!$D$81),Input!$E$81),Input!$F$81),Input!$G$81),Input!$H$81)</f>
        <v>0.9</v>
      </c>
      <c r="AM126" s="60">
        <f t="shared" si="49"/>
        <v>0</v>
      </c>
      <c r="AN126" s="60">
        <f t="shared" si="69"/>
        <v>30</v>
      </c>
      <c r="AO126" s="60">
        <f t="shared" si="50"/>
        <v>0</v>
      </c>
      <c r="AP126" s="60">
        <f>ROUND(AO126*AN126*Input!$C$3/365,0)</f>
        <v>0</v>
      </c>
      <c r="AQ126" s="61">
        <f>IF($A126&lt;=Input!$C$6,0,IF('Fixed Tenure'!AM126&lt;'Fixed Tenure'!AO126,'Fixed Tenure'!AM126-AP126,'Fixed Tenure'!AO126))</f>
        <v>0</v>
      </c>
      <c r="AR126" s="61">
        <f t="shared" si="51"/>
        <v>0</v>
      </c>
      <c r="AS126" s="60">
        <f t="shared" si="52"/>
        <v>0</v>
      </c>
      <c r="AT126" s="193"/>
      <c r="AU126" s="169">
        <v>122</v>
      </c>
      <c r="AV126" s="1">
        <f t="shared" si="70"/>
        <v>49232</v>
      </c>
      <c r="AW126" s="60">
        <f>IF($X126&lt;Input!$H$88,IF($X126&lt;Input!$G$88,IF($X126&lt;Input!$F$88,IF($X126&lt;Input!$E$88,IF($X126&lt;Input!$D$88,Input!$C$94,Input!$D$94),Input!$E$94),Input!$F$94),Input!$G$94),Input!$H$94)</f>
        <v>0</v>
      </c>
      <c r="AX126" s="190">
        <f>IF($A126&lt;Input!$H$95,IF($A126&lt;Input!$G$95,IF($A126&lt;Input!$F$95,IF($A126&lt;Input!$E$95,IF($A126&lt;Input!$D$95,Input!$C$96,Input!$D$96),Input!$E$96),Input!$F$96),Input!$G$96),Input!$H$96)</f>
        <v>0.9</v>
      </c>
      <c r="AY126" s="60">
        <f t="shared" si="53"/>
        <v>0</v>
      </c>
      <c r="AZ126" s="60">
        <f t="shared" si="71"/>
        <v>30</v>
      </c>
      <c r="BA126" s="60">
        <f t="shared" si="54"/>
        <v>0</v>
      </c>
      <c r="BB126" s="60">
        <f>ROUND(BA126*AZ126*Input!$C$3/365,0)</f>
        <v>0</v>
      </c>
      <c r="BC126" s="61">
        <f>IF($A126&lt;=Input!$C$6,0,IF('Fixed Tenure'!AY126&lt;'Fixed Tenure'!BA126,'Fixed Tenure'!AY126-BB126,'Fixed Tenure'!BA126))</f>
        <v>0</v>
      </c>
      <c r="BD126" s="61">
        <f t="shared" si="55"/>
        <v>0</v>
      </c>
      <c r="BE126" s="60">
        <f t="shared" si="56"/>
        <v>0</v>
      </c>
      <c r="BF126" s="193"/>
      <c r="BG126" s="169">
        <v>122</v>
      </c>
      <c r="BH126" s="1">
        <f t="shared" si="72"/>
        <v>49232</v>
      </c>
      <c r="BI126" s="60">
        <f>IF($X126&lt;Input!$H$103,IF($X126&lt;Input!$G$103,IF($X126&lt;Input!$F$103,IF($X126&lt;Input!$E$103,IF($X126&lt;Input!$D$103,Input!$C$109,Input!$D$109),Input!$E$109),Input!$F$109),Input!$G$109),Input!$H$109)</f>
        <v>0</v>
      </c>
      <c r="BJ126" s="190">
        <f>IF($A126&lt;Input!$H$110,IF($A126&lt;Input!$G$110,IF($A126&lt;Input!$F$110,IF($A126&lt;Input!$E$110,IF($A126&lt;Input!$D$110,Input!$C$111,Input!$D$111),Input!$E$111),Input!$F$111),Input!$G$111),Input!$H$111)</f>
        <v>0.9</v>
      </c>
      <c r="BK126" s="60">
        <f t="shared" si="57"/>
        <v>0</v>
      </c>
      <c r="BL126" s="60">
        <f t="shared" si="73"/>
        <v>30</v>
      </c>
      <c r="BM126" s="60">
        <f t="shared" si="58"/>
        <v>0</v>
      </c>
      <c r="BN126" s="60">
        <f>ROUND(BM126*BL126*Input!$C$3/365,0)</f>
        <v>0</v>
      </c>
      <c r="BO126" s="61">
        <f>IF($A126&lt;=Input!$C$6,0,IF('Fixed Tenure'!BK126&lt;'Fixed Tenure'!BM126,'Fixed Tenure'!BK126-BN126,'Fixed Tenure'!BM126))</f>
        <v>0</v>
      </c>
      <c r="BP126" s="61">
        <f t="shared" si="59"/>
        <v>0</v>
      </c>
      <c r="BQ126" s="60">
        <f t="shared" si="60"/>
        <v>0</v>
      </c>
      <c r="BR126" s="198"/>
    </row>
    <row r="127" spans="1:70" x14ac:dyDescent="0.25">
      <c r="A127" s="169">
        <v>123</v>
      </c>
      <c r="B127" s="1">
        <f t="shared" si="61"/>
        <v>49263</v>
      </c>
      <c r="C127" s="60">
        <f t="shared" si="39"/>
        <v>33127052.878124986</v>
      </c>
      <c r="D127" s="60">
        <f t="shared" si="40"/>
        <v>29814347.590312488</v>
      </c>
      <c r="E127" s="60">
        <f t="shared" si="62"/>
        <v>31</v>
      </c>
      <c r="F127" s="60">
        <f t="shared" si="63"/>
        <v>0</v>
      </c>
      <c r="G127" s="60">
        <f>ROUND(F127*E127*Input!$C$3/365,0)</f>
        <v>0</v>
      </c>
      <c r="H127" s="60">
        <f>IF($A127&lt;=Input!$C$6,0,IF('Fixed Tenure'!D127&lt;'Fixed Tenure'!F127,'Fixed Tenure'!D127-G127,'Fixed Tenure'!F127))</f>
        <v>0</v>
      </c>
      <c r="I127" s="60">
        <f t="shared" si="64"/>
        <v>0</v>
      </c>
      <c r="J127" s="60">
        <f t="shared" si="65"/>
        <v>0</v>
      </c>
      <c r="K127" s="202">
        <f>J127/Input!$K$5</f>
        <v>0</v>
      </c>
      <c r="L127" s="232"/>
      <c r="M127" s="60">
        <f>IF($B127&lt;Input!$H$43,IF($B127&lt;Input!$G$43,IF($B127&lt;Input!$F$43,IF($B127&lt;Input!$E$43,IF($B127&lt;Input!$D$43,Input!$C$49,Input!$D$49),Input!$E$49),Input!$F$49),Input!$G$49),Input!$H$49)</f>
        <v>33127052.878124986</v>
      </c>
      <c r="N127" s="190">
        <f>IF($A127&lt;Input!$H$50,IF($A127&lt;Input!$G$50,IF($A127&lt;Input!$F$50,IF($A127&lt;Input!$E$50,IF($A127&lt;Input!$D$50,Input!$C$51,Input!$D$51),Input!$E$51),Input!$F$51),Input!$G$51),Input!$H$51)</f>
        <v>0.9</v>
      </c>
      <c r="O127" s="60">
        <f t="shared" si="74"/>
        <v>29814347.590312488</v>
      </c>
      <c r="P127" s="60">
        <f t="shared" si="75"/>
        <v>31</v>
      </c>
      <c r="Q127" s="60">
        <f t="shared" si="42"/>
        <v>0</v>
      </c>
      <c r="R127" s="60">
        <f>ROUND(Q127*$P127*Input!$C$3/365,0)</f>
        <v>0</v>
      </c>
      <c r="S127" s="60">
        <f>IF(A127&lt;=Input!$C$6,0,IF('Fixed Tenure'!O127&lt;'Fixed Tenure'!Q127,'Fixed Tenure'!O127-R127,'Fixed Tenure'!Q127))</f>
        <v>0</v>
      </c>
      <c r="T127" s="60">
        <f t="shared" si="43"/>
        <v>0</v>
      </c>
      <c r="U127" s="60">
        <f t="shared" si="44"/>
        <v>0</v>
      </c>
      <c r="V127" s="193"/>
      <c r="W127" s="169">
        <v>123</v>
      </c>
      <c r="X127" s="1">
        <f t="shared" si="66"/>
        <v>49263</v>
      </c>
      <c r="Y127" s="60">
        <f>IF($X127&lt;Input!$H$58,IF($X127&lt;Input!$G$58,IF($X127&lt;Input!$F$58,IF($X127&lt;Input!$E$58,IF($X127&lt;Input!$D$58,Input!$C$64,Input!$D$64),Input!$E$64),Input!$F$64),Input!$G$64),Input!$H$64)</f>
        <v>0</v>
      </c>
      <c r="Z127" s="190">
        <f>IF($A127&lt;Input!$H$65,IF($A127&lt;Input!$G$65,IF($A127&lt;Input!$F$65,IF($A127&lt;Input!$E$65,IF($A127&lt;Input!$D$65,Input!$C$66,Input!$D$66),Input!$E$66),Input!$F$66),Input!$G$66),Input!$H$66)</f>
        <v>0.9</v>
      </c>
      <c r="AA127" s="60">
        <f t="shared" si="45"/>
        <v>0</v>
      </c>
      <c r="AB127" s="60">
        <f t="shared" si="67"/>
        <v>31</v>
      </c>
      <c r="AC127" s="60">
        <f t="shared" si="46"/>
        <v>0</v>
      </c>
      <c r="AD127" s="60">
        <f>ROUND(AC127*AB127*Input!$C$3/365,0)</f>
        <v>0</v>
      </c>
      <c r="AE127" s="61">
        <f>IF($A127&lt;=Input!$C$6,0,IF('Fixed Tenure'!AA127&lt;'Fixed Tenure'!AC127,'Fixed Tenure'!AA127-AD127,'Fixed Tenure'!AC127))</f>
        <v>0</v>
      </c>
      <c r="AF127" s="61">
        <f t="shared" si="47"/>
        <v>0</v>
      </c>
      <c r="AG127" s="60">
        <f t="shared" si="48"/>
        <v>0</v>
      </c>
      <c r="AH127" s="193"/>
      <c r="AI127" s="169">
        <v>123</v>
      </c>
      <c r="AJ127" s="1">
        <f t="shared" si="68"/>
        <v>49263</v>
      </c>
      <c r="AK127" s="60">
        <f>IF($X127&lt;Input!$H$73,IF($X127&lt;Input!$G$73,IF($X127&lt;Input!$F$73,IF($X127&lt;Input!$E$73,IF($X127&lt;Input!$D$73,Input!$C$79,Input!$D$79),Input!$E$79),Input!$F$79),Input!$G$79),Input!$H$79)</f>
        <v>0</v>
      </c>
      <c r="AL127" s="190">
        <f>IF($A127&lt;Input!$H$80,IF($A127&lt;Input!$G$80,IF($A127&lt;Input!$F$80,IF($A127&lt;Input!$E$80,IF($A127&lt;Input!$D$80,Input!$C$81,Input!$D$81),Input!$E$81),Input!$F$81),Input!$G$81),Input!$H$81)</f>
        <v>0.9</v>
      </c>
      <c r="AM127" s="60">
        <f t="shared" si="49"/>
        <v>0</v>
      </c>
      <c r="AN127" s="60">
        <f t="shared" si="69"/>
        <v>31</v>
      </c>
      <c r="AO127" s="60">
        <f t="shared" si="50"/>
        <v>0</v>
      </c>
      <c r="AP127" s="60">
        <f>ROUND(AO127*AN127*Input!$C$3/365,0)</f>
        <v>0</v>
      </c>
      <c r="AQ127" s="61">
        <f>IF($A127&lt;=Input!$C$6,0,IF('Fixed Tenure'!AM127&lt;'Fixed Tenure'!AO127,'Fixed Tenure'!AM127-AP127,'Fixed Tenure'!AO127))</f>
        <v>0</v>
      </c>
      <c r="AR127" s="61">
        <f t="shared" si="51"/>
        <v>0</v>
      </c>
      <c r="AS127" s="60">
        <f t="shared" si="52"/>
        <v>0</v>
      </c>
      <c r="AT127" s="193"/>
      <c r="AU127" s="169">
        <v>123</v>
      </c>
      <c r="AV127" s="1">
        <f t="shared" si="70"/>
        <v>49263</v>
      </c>
      <c r="AW127" s="60">
        <f>IF($X127&lt;Input!$H$88,IF($X127&lt;Input!$G$88,IF($X127&lt;Input!$F$88,IF($X127&lt;Input!$E$88,IF($X127&lt;Input!$D$88,Input!$C$94,Input!$D$94),Input!$E$94),Input!$F$94),Input!$G$94),Input!$H$94)</f>
        <v>0</v>
      </c>
      <c r="AX127" s="190">
        <f>IF($A127&lt;Input!$H$95,IF($A127&lt;Input!$G$95,IF($A127&lt;Input!$F$95,IF($A127&lt;Input!$E$95,IF($A127&lt;Input!$D$95,Input!$C$96,Input!$D$96),Input!$E$96),Input!$F$96),Input!$G$96),Input!$H$96)</f>
        <v>0.9</v>
      </c>
      <c r="AY127" s="60">
        <f t="shared" si="53"/>
        <v>0</v>
      </c>
      <c r="AZ127" s="60">
        <f t="shared" si="71"/>
        <v>31</v>
      </c>
      <c r="BA127" s="60">
        <f t="shared" si="54"/>
        <v>0</v>
      </c>
      <c r="BB127" s="60">
        <f>ROUND(BA127*AZ127*Input!$C$3/365,0)</f>
        <v>0</v>
      </c>
      <c r="BC127" s="61">
        <f>IF($A127&lt;=Input!$C$6,0,IF('Fixed Tenure'!AY127&lt;'Fixed Tenure'!BA127,'Fixed Tenure'!AY127-BB127,'Fixed Tenure'!BA127))</f>
        <v>0</v>
      </c>
      <c r="BD127" s="61">
        <f t="shared" si="55"/>
        <v>0</v>
      </c>
      <c r="BE127" s="60">
        <f t="shared" si="56"/>
        <v>0</v>
      </c>
      <c r="BF127" s="193"/>
      <c r="BG127" s="169">
        <v>123</v>
      </c>
      <c r="BH127" s="1">
        <f t="shared" si="72"/>
        <v>49263</v>
      </c>
      <c r="BI127" s="60">
        <f>IF($X127&lt;Input!$H$103,IF($X127&lt;Input!$G$103,IF($X127&lt;Input!$F$103,IF($X127&lt;Input!$E$103,IF($X127&lt;Input!$D$103,Input!$C$109,Input!$D$109),Input!$E$109),Input!$F$109),Input!$G$109),Input!$H$109)</f>
        <v>0</v>
      </c>
      <c r="BJ127" s="190">
        <f>IF($A127&lt;Input!$H$110,IF($A127&lt;Input!$G$110,IF($A127&lt;Input!$F$110,IF($A127&lt;Input!$E$110,IF($A127&lt;Input!$D$110,Input!$C$111,Input!$D$111),Input!$E$111),Input!$F$111),Input!$G$111),Input!$H$111)</f>
        <v>0.9</v>
      </c>
      <c r="BK127" s="60">
        <f t="shared" si="57"/>
        <v>0</v>
      </c>
      <c r="BL127" s="60">
        <f t="shared" si="73"/>
        <v>31</v>
      </c>
      <c r="BM127" s="60">
        <f t="shared" si="58"/>
        <v>0</v>
      </c>
      <c r="BN127" s="60">
        <f>ROUND(BM127*BL127*Input!$C$3/365,0)</f>
        <v>0</v>
      </c>
      <c r="BO127" s="61">
        <f>IF($A127&lt;=Input!$C$6,0,IF('Fixed Tenure'!BK127&lt;'Fixed Tenure'!BM127,'Fixed Tenure'!BK127-BN127,'Fixed Tenure'!BM127))</f>
        <v>0</v>
      </c>
      <c r="BP127" s="61">
        <f t="shared" si="59"/>
        <v>0</v>
      </c>
      <c r="BQ127" s="60">
        <f t="shared" si="60"/>
        <v>0</v>
      </c>
      <c r="BR127" s="198"/>
    </row>
    <row r="128" spans="1:70" x14ac:dyDescent="0.25">
      <c r="A128" s="169">
        <v>124</v>
      </c>
      <c r="B128" s="1">
        <f t="shared" si="61"/>
        <v>49293</v>
      </c>
      <c r="C128" s="60">
        <f t="shared" si="39"/>
        <v>33127052.878124986</v>
      </c>
      <c r="D128" s="60">
        <f t="shared" si="40"/>
        <v>29814347.590312488</v>
      </c>
      <c r="E128" s="60">
        <f t="shared" si="62"/>
        <v>30</v>
      </c>
      <c r="F128" s="60">
        <f t="shared" si="63"/>
        <v>0</v>
      </c>
      <c r="G128" s="60">
        <f>ROUND(F128*E128*Input!$C$3/365,0)</f>
        <v>0</v>
      </c>
      <c r="H128" s="60">
        <f>IF($A128&lt;=Input!$C$6,0,IF('Fixed Tenure'!D128&lt;'Fixed Tenure'!F128,'Fixed Tenure'!D128-G128,'Fixed Tenure'!F128))</f>
        <v>0</v>
      </c>
      <c r="I128" s="60">
        <f t="shared" si="64"/>
        <v>0</v>
      </c>
      <c r="J128" s="60">
        <f t="shared" si="65"/>
        <v>0</v>
      </c>
      <c r="K128" s="202">
        <f>J128/Input!$K$5</f>
        <v>0</v>
      </c>
      <c r="L128" s="232"/>
      <c r="M128" s="60">
        <f>IF($B128&lt;Input!$H$43,IF($B128&lt;Input!$G$43,IF($B128&lt;Input!$F$43,IF($B128&lt;Input!$E$43,IF($B128&lt;Input!$D$43,Input!$C$49,Input!$D$49),Input!$E$49),Input!$F$49),Input!$G$49),Input!$H$49)</f>
        <v>33127052.878124986</v>
      </c>
      <c r="N128" s="190">
        <f>IF($A128&lt;Input!$H$50,IF($A128&lt;Input!$G$50,IF($A128&lt;Input!$F$50,IF($A128&lt;Input!$E$50,IF($A128&lt;Input!$D$50,Input!$C$51,Input!$D$51),Input!$E$51),Input!$F$51),Input!$G$51),Input!$H$51)</f>
        <v>0.9</v>
      </c>
      <c r="O128" s="60">
        <f t="shared" si="74"/>
        <v>29814347.590312488</v>
      </c>
      <c r="P128" s="60">
        <f t="shared" si="75"/>
        <v>30</v>
      </c>
      <c r="Q128" s="60">
        <f t="shared" si="42"/>
        <v>0</v>
      </c>
      <c r="R128" s="60">
        <f>ROUND(Q128*$P128*Input!$C$3/365,0)</f>
        <v>0</v>
      </c>
      <c r="S128" s="60">
        <f>IF(A128&lt;=Input!$C$6,0,IF('Fixed Tenure'!O128&lt;'Fixed Tenure'!Q128,'Fixed Tenure'!O128-R128,'Fixed Tenure'!Q128))</f>
        <v>0</v>
      </c>
      <c r="T128" s="60">
        <f t="shared" si="43"/>
        <v>0</v>
      </c>
      <c r="U128" s="60">
        <f t="shared" si="44"/>
        <v>0</v>
      </c>
      <c r="V128" s="193"/>
      <c r="W128" s="169">
        <v>124</v>
      </c>
      <c r="X128" s="1">
        <f t="shared" si="66"/>
        <v>49293</v>
      </c>
      <c r="Y128" s="60">
        <f>IF($X128&lt;Input!$H$58,IF($X128&lt;Input!$G$58,IF($X128&lt;Input!$F$58,IF($X128&lt;Input!$E$58,IF($X128&lt;Input!$D$58,Input!$C$64,Input!$D$64),Input!$E$64),Input!$F$64),Input!$G$64),Input!$H$64)</f>
        <v>0</v>
      </c>
      <c r="Z128" s="190">
        <f>IF($A128&lt;Input!$H$65,IF($A128&lt;Input!$G$65,IF($A128&lt;Input!$F$65,IF($A128&lt;Input!$E$65,IF($A128&lt;Input!$D$65,Input!$C$66,Input!$D$66),Input!$E$66),Input!$F$66),Input!$G$66),Input!$H$66)</f>
        <v>0.9</v>
      </c>
      <c r="AA128" s="60">
        <f t="shared" si="45"/>
        <v>0</v>
      </c>
      <c r="AB128" s="60">
        <f t="shared" si="67"/>
        <v>30</v>
      </c>
      <c r="AC128" s="60">
        <f t="shared" si="46"/>
        <v>0</v>
      </c>
      <c r="AD128" s="60">
        <f>ROUND(AC128*AB128*Input!$C$3/365,0)</f>
        <v>0</v>
      </c>
      <c r="AE128" s="61">
        <f>IF($A128&lt;=Input!$C$6,0,IF('Fixed Tenure'!AA128&lt;'Fixed Tenure'!AC128,'Fixed Tenure'!AA128-AD128,'Fixed Tenure'!AC128))</f>
        <v>0</v>
      </c>
      <c r="AF128" s="61">
        <f t="shared" si="47"/>
        <v>0</v>
      </c>
      <c r="AG128" s="60">
        <f t="shared" si="48"/>
        <v>0</v>
      </c>
      <c r="AH128" s="193"/>
      <c r="AI128" s="169">
        <v>124</v>
      </c>
      <c r="AJ128" s="1">
        <f t="shared" si="68"/>
        <v>49293</v>
      </c>
      <c r="AK128" s="60">
        <f>IF($X128&lt;Input!$H$73,IF($X128&lt;Input!$G$73,IF($X128&lt;Input!$F$73,IF($X128&lt;Input!$E$73,IF($X128&lt;Input!$D$73,Input!$C$79,Input!$D$79),Input!$E$79),Input!$F$79),Input!$G$79),Input!$H$79)</f>
        <v>0</v>
      </c>
      <c r="AL128" s="190">
        <f>IF($A128&lt;Input!$H$80,IF($A128&lt;Input!$G$80,IF($A128&lt;Input!$F$80,IF($A128&lt;Input!$E$80,IF($A128&lt;Input!$D$80,Input!$C$81,Input!$D$81),Input!$E$81),Input!$F$81),Input!$G$81),Input!$H$81)</f>
        <v>0.9</v>
      </c>
      <c r="AM128" s="60">
        <f t="shared" si="49"/>
        <v>0</v>
      </c>
      <c r="AN128" s="60">
        <f t="shared" si="69"/>
        <v>30</v>
      </c>
      <c r="AO128" s="60">
        <f t="shared" si="50"/>
        <v>0</v>
      </c>
      <c r="AP128" s="60">
        <f>ROUND(AO128*AN128*Input!$C$3/365,0)</f>
        <v>0</v>
      </c>
      <c r="AQ128" s="61">
        <f>IF($A128&lt;=Input!$C$6,0,IF('Fixed Tenure'!AM128&lt;'Fixed Tenure'!AO128,'Fixed Tenure'!AM128-AP128,'Fixed Tenure'!AO128))</f>
        <v>0</v>
      </c>
      <c r="AR128" s="61">
        <f t="shared" si="51"/>
        <v>0</v>
      </c>
      <c r="AS128" s="60">
        <f t="shared" si="52"/>
        <v>0</v>
      </c>
      <c r="AT128" s="193"/>
      <c r="AU128" s="169">
        <v>124</v>
      </c>
      <c r="AV128" s="1">
        <f t="shared" si="70"/>
        <v>49293</v>
      </c>
      <c r="AW128" s="60">
        <f>IF($X128&lt;Input!$H$88,IF($X128&lt;Input!$G$88,IF($X128&lt;Input!$F$88,IF($X128&lt;Input!$E$88,IF($X128&lt;Input!$D$88,Input!$C$94,Input!$D$94),Input!$E$94),Input!$F$94),Input!$G$94),Input!$H$94)</f>
        <v>0</v>
      </c>
      <c r="AX128" s="190">
        <f>IF($A128&lt;Input!$H$95,IF($A128&lt;Input!$G$95,IF($A128&lt;Input!$F$95,IF($A128&lt;Input!$E$95,IF($A128&lt;Input!$D$95,Input!$C$96,Input!$D$96),Input!$E$96),Input!$F$96),Input!$G$96),Input!$H$96)</f>
        <v>0.9</v>
      </c>
      <c r="AY128" s="60">
        <f t="shared" si="53"/>
        <v>0</v>
      </c>
      <c r="AZ128" s="60">
        <f t="shared" si="71"/>
        <v>30</v>
      </c>
      <c r="BA128" s="60">
        <f t="shared" si="54"/>
        <v>0</v>
      </c>
      <c r="BB128" s="60">
        <f>ROUND(BA128*AZ128*Input!$C$3/365,0)</f>
        <v>0</v>
      </c>
      <c r="BC128" s="61">
        <f>IF($A128&lt;=Input!$C$6,0,IF('Fixed Tenure'!AY128&lt;'Fixed Tenure'!BA128,'Fixed Tenure'!AY128-BB128,'Fixed Tenure'!BA128))</f>
        <v>0</v>
      </c>
      <c r="BD128" s="61">
        <f t="shared" si="55"/>
        <v>0</v>
      </c>
      <c r="BE128" s="60">
        <f t="shared" si="56"/>
        <v>0</v>
      </c>
      <c r="BF128" s="193"/>
      <c r="BG128" s="169">
        <v>124</v>
      </c>
      <c r="BH128" s="1">
        <f t="shared" si="72"/>
        <v>49293</v>
      </c>
      <c r="BI128" s="60">
        <f>IF($X128&lt;Input!$H$103,IF($X128&lt;Input!$G$103,IF($X128&lt;Input!$F$103,IF($X128&lt;Input!$E$103,IF($X128&lt;Input!$D$103,Input!$C$109,Input!$D$109),Input!$E$109),Input!$F$109),Input!$G$109),Input!$H$109)</f>
        <v>0</v>
      </c>
      <c r="BJ128" s="190">
        <f>IF($A128&lt;Input!$H$110,IF($A128&lt;Input!$G$110,IF($A128&lt;Input!$F$110,IF($A128&lt;Input!$E$110,IF($A128&lt;Input!$D$110,Input!$C$111,Input!$D$111),Input!$E$111),Input!$F$111),Input!$G$111),Input!$H$111)</f>
        <v>0.9</v>
      </c>
      <c r="BK128" s="60">
        <f t="shared" si="57"/>
        <v>0</v>
      </c>
      <c r="BL128" s="60">
        <f t="shared" si="73"/>
        <v>30</v>
      </c>
      <c r="BM128" s="60">
        <f t="shared" si="58"/>
        <v>0</v>
      </c>
      <c r="BN128" s="60">
        <f>ROUND(BM128*BL128*Input!$C$3/365,0)</f>
        <v>0</v>
      </c>
      <c r="BO128" s="61">
        <f>IF($A128&lt;=Input!$C$6,0,IF('Fixed Tenure'!BK128&lt;'Fixed Tenure'!BM128,'Fixed Tenure'!BK128-BN128,'Fixed Tenure'!BM128))</f>
        <v>0</v>
      </c>
      <c r="BP128" s="61">
        <f t="shared" si="59"/>
        <v>0</v>
      </c>
      <c r="BQ128" s="60">
        <f t="shared" si="60"/>
        <v>0</v>
      </c>
      <c r="BR128" s="198"/>
    </row>
    <row r="129" spans="1:70" x14ac:dyDescent="0.25">
      <c r="A129" s="169">
        <v>125</v>
      </c>
      <c r="B129" s="1">
        <f t="shared" si="61"/>
        <v>49324</v>
      </c>
      <c r="C129" s="60">
        <f t="shared" si="39"/>
        <v>33127052.878124986</v>
      </c>
      <c r="D129" s="60">
        <f t="shared" si="40"/>
        <v>29814347.590312488</v>
      </c>
      <c r="E129" s="60">
        <f t="shared" si="62"/>
        <v>31</v>
      </c>
      <c r="F129" s="60">
        <f t="shared" si="63"/>
        <v>0</v>
      </c>
      <c r="G129" s="60">
        <f>ROUND(F129*E129*Input!$C$3/365,0)</f>
        <v>0</v>
      </c>
      <c r="H129" s="60">
        <f>IF($A129&lt;=Input!$C$6,0,IF('Fixed Tenure'!D129&lt;'Fixed Tenure'!F129,'Fixed Tenure'!D129-G129,'Fixed Tenure'!F129))</f>
        <v>0</v>
      </c>
      <c r="I129" s="60">
        <f t="shared" si="64"/>
        <v>0</v>
      </c>
      <c r="J129" s="60">
        <f t="shared" si="65"/>
        <v>0</v>
      </c>
      <c r="K129" s="202">
        <f>J129/Input!$K$5</f>
        <v>0</v>
      </c>
      <c r="L129" s="232"/>
      <c r="M129" s="60">
        <f>IF($B129&lt;Input!$H$43,IF($B129&lt;Input!$G$43,IF($B129&lt;Input!$F$43,IF($B129&lt;Input!$E$43,IF($B129&lt;Input!$D$43,Input!$C$49,Input!$D$49),Input!$E$49),Input!$F$49),Input!$G$49),Input!$H$49)</f>
        <v>33127052.878124986</v>
      </c>
      <c r="N129" s="190">
        <f>IF($A129&lt;Input!$H$50,IF($A129&lt;Input!$G$50,IF($A129&lt;Input!$F$50,IF($A129&lt;Input!$E$50,IF($A129&lt;Input!$D$50,Input!$C$51,Input!$D$51),Input!$E$51),Input!$F$51),Input!$G$51),Input!$H$51)</f>
        <v>0.9</v>
      </c>
      <c r="O129" s="60">
        <f t="shared" si="74"/>
        <v>29814347.590312488</v>
      </c>
      <c r="P129" s="60">
        <f t="shared" si="75"/>
        <v>31</v>
      </c>
      <c r="Q129" s="60">
        <f t="shared" si="42"/>
        <v>0</v>
      </c>
      <c r="R129" s="60">
        <f>ROUND(Q129*$P129*Input!$C$3/365,0)</f>
        <v>0</v>
      </c>
      <c r="S129" s="60">
        <f>IF(A129&lt;=Input!$C$6,0,IF('Fixed Tenure'!O129&lt;'Fixed Tenure'!Q129,'Fixed Tenure'!O129-R129,'Fixed Tenure'!Q129))</f>
        <v>0</v>
      </c>
      <c r="T129" s="60">
        <f t="shared" si="43"/>
        <v>0</v>
      </c>
      <c r="U129" s="60">
        <f t="shared" si="44"/>
        <v>0</v>
      </c>
      <c r="V129" s="193"/>
      <c r="W129" s="169">
        <v>125</v>
      </c>
      <c r="X129" s="1">
        <f t="shared" si="66"/>
        <v>49324</v>
      </c>
      <c r="Y129" s="60">
        <f>IF($X129&lt;Input!$H$58,IF($X129&lt;Input!$G$58,IF($X129&lt;Input!$F$58,IF($X129&lt;Input!$E$58,IF($X129&lt;Input!$D$58,Input!$C$64,Input!$D$64),Input!$E$64),Input!$F$64),Input!$G$64),Input!$H$64)</f>
        <v>0</v>
      </c>
      <c r="Z129" s="190">
        <f>IF($A129&lt;Input!$H$65,IF($A129&lt;Input!$G$65,IF($A129&lt;Input!$F$65,IF($A129&lt;Input!$E$65,IF($A129&lt;Input!$D$65,Input!$C$66,Input!$D$66),Input!$E$66),Input!$F$66),Input!$G$66),Input!$H$66)</f>
        <v>0.9</v>
      </c>
      <c r="AA129" s="60">
        <f t="shared" si="45"/>
        <v>0</v>
      </c>
      <c r="AB129" s="60">
        <f t="shared" si="67"/>
        <v>31</v>
      </c>
      <c r="AC129" s="60">
        <f t="shared" si="46"/>
        <v>0</v>
      </c>
      <c r="AD129" s="60">
        <f>ROUND(AC129*AB129*Input!$C$3/365,0)</f>
        <v>0</v>
      </c>
      <c r="AE129" s="61">
        <f>IF($A129&lt;=Input!$C$6,0,IF('Fixed Tenure'!AA129&lt;'Fixed Tenure'!AC129,'Fixed Tenure'!AA129-AD129,'Fixed Tenure'!AC129))</f>
        <v>0</v>
      </c>
      <c r="AF129" s="61">
        <f t="shared" si="47"/>
        <v>0</v>
      </c>
      <c r="AG129" s="60">
        <f t="shared" si="48"/>
        <v>0</v>
      </c>
      <c r="AH129" s="193"/>
      <c r="AI129" s="169">
        <v>125</v>
      </c>
      <c r="AJ129" s="1">
        <f t="shared" si="68"/>
        <v>49324</v>
      </c>
      <c r="AK129" s="60">
        <f>IF($X129&lt;Input!$H$73,IF($X129&lt;Input!$G$73,IF($X129&lt;Input!$F$73,IF($X129&lt;Input!$E$73,IF($X129&lt;Input!$D$73,Input!$C$79,Input!$D$79),Input!$E$79),Input!$F$79),Input!$G$79),Input!$H$79)</f>
        <v>0</v>
      </c>
      <c r="AL129" s="190">
        <f>IF($A129&lt;Input!$H$80,IF($A129&lt;Input!$G$80,IF($A129&lt;Input!$F$80,IF($A129&lt;Input!$E$80,IF($A129&lt;Input!$D$80,Input!$C$81,Input!$D$81),Input!$E$81),Input!$F$81),Input!$G$81),Input!$H$81)</f>
        <v>0.9</v>
      </c>
      <c r="AM129" s="60">
        <f t="shared" si="49"/>
        <v>0</v>
      </c>
      <c r="AN129" s="60">
        <f t="shared" si="69"/>
        <v>31</v>
      </c>
      <c r="AO129" s="60">
        <f t="shared" si="50"/>
        <v>0</v>
      </c>
      <c r="AP129" s="60">
        <f>ROUND(AO129*AN129*Input!$C$3/365,0)</f>
        <v>0</v>
      </c>
      <c r="AQ129" s="61">
        <f>IF($A129&lt;=Input!$C$6,0,IF('Fixed Tenure'!AM129&lt;'Fixed Tenure'!AO129,'Fixed Tenure'!AM129-AP129,'Fixed Tenure'!AO129))</f>
        <v>0</v>
      </c>
      <c r="AR129" s="61">
        <f t="shared" si="51"/>
        <v>0</v>
      </c>
      <c r="AS129" s="60">
        <f t="shared" si="52"/>
        <v>0</v>
      </c>
      <c r="AT129" s="193"/>
      <c r="AU129" s="169">
        <v>125</v>
      </c>
      <c r="AV129" s="1">
        <f t="shared" si="70"/>
        <v>49324</v>
      </c>
      <c r="AW129" s="60">
        <f>IF($X129&lt;Input!$H$88,IF($X129&lt;Input!$G$88,IF($X129&lt;Input!$F$88,IF($X129&lt;Input!$E$88,IF($X129&lt;Input!$D$88,Input!$C$94,Input!$D$94),Input!$E$94),Input!$F$94),Input!$G$94),Input!$H$94)</f>
        <v>0</v>
      </c>
      <c r="AX129" s="190">
        <f>IF($A129&lt;Input!$H$95,IF($A129&lt;Input!$G$95,IF($A129&lt;Input!$F$95,IF($A129&lt;Input!$E$95,IF($A129&lt;Input!$D$95,Input!$C$96,Input!$D$96),Input!$E$96),Input!$F$96),Input!$G$96),Input!$H$96)</f>
        <v>0.9</v>
      </c>
      <c r="AY129" s="60">
        <f t="shared" si="53"/>
        <v>0</v>
      </c>
      <c r="AZ129" s="60">
        <f t="shared" si="71"/>
        <v>31</v>
      </c>
      <c r="BA129" s="60">
        <f t="shared" si="54"/>
        <v>0</v>
      </c>
      <c r="BB129" s="60">
        <f>ROUND(BA129*AZ129*Input!$C$3/365,0)</f>
        <v>0</v>
      </c>
      <c r="BC129" s="61">
        <f>IF($A129&lt;=Input!$C$6,0,IF('Fixed Tenure'!AY129&lt;'Fixed Tenure'!BA129,'Fixed Tenure'!AY129-BB129,'Fixed Tenure'!BA129))</f>
        <v>0</v>
      </c>
      <c r="BD129" s="61">
        <f t="shared" si="55"/>
        <v>0</v>
      </c>
      <c r="BE129" s="60">
        <f t="shared" si="56"/>
        <v>0</v>
      </c>
      <c r="BF129" s="193"/>
      <c r="BG129" s="169">
        <v>125</v>
      </c>
      <c r="BH129" s="1">
        <f t="shared" si="72"/>
        <v>49324</v>
      </c>
      <c r="BI129" s="60">
        <f>IF($X129&lt;Input!$H$103,IF($X129&lt;Input!$G$103,IF($X129&lt;Input!$F$103,IF($X129&lt;Input!$E$103,IF($X129&lt;Input!$D$103,Input!$C$109,Input!$D$109),Input!$E$109),Input!$F$109),Input!$G$109),Input!$H$109)</f>
        <v>0</v>
      </c>
      <c r="BJ129" s="190">
        <f>IF($A129&lt;Input!$H$110,IF($A129&lt;Input!$G$110,IF($A129&lt;Input!$F$110,IF($A129&lt;Input!$E$110,IF($A129&lt;Input!$D$110,Input!$C$111,Input!$D$111),Input!$E$111),Input!$F$111),Input!$G$111),Input!$H$111)</f>
        <v>0.9</v>
      </c>
      <c r="BK129" s="60">
        <f t="shared" si="57"/>
        <v>0</v>
      </c>
      <c r="BL129" s="60">
        <f t="shared" si="73"/>
        <v>31</v>
      </c>
      <c r="BM129" s="60">
        <f t="shared" si="58"/>
        <v>0</v>
      </c>
      <c r="BN129" s="60">
        <f>ROUND(BM129*BL129*Input!$C$3/365,0)</f>
        <v>0</v>
      </c>
      <c r="BO129" s="61">
        <f>IF($A129&lt;=Input!$C$6,0,IF('Fixed Tenure'!BK129&lt;'Fixed Tenure'!BM129,'Fixed Tenure'!BK129-BN129,'Fixed Tenure'!BM129))</f>
        <v>0</v>
      </c>
      <c r="BP129" s="61">
        <f t="shared" si="59"/>
        <v>0</v>
      </c>
      <c r="BQ129" s="60">
        <f t="shared" si="60"/>
        <v>0</v>
      </c>
      <c r="BR129" s="198"/>
    </row>
    <row r="130" spans="1:70" x14ac:dyDescent="0.25">
      <c r="A130" s="169">
        <v>126</v>
      </c>
      <c r="B130" s="1">
        <f t="shared" si="61"/>
        <v>49355</v>
      </c>
      <c r="C130" s="60">
        <f t="shared" si="39"/>
        <v>33127052.878124986</v>
      </c>
      <c r="D130" s="60">
        <f t="shared" si="40"/>
        <v>29814347.590312488</v>
      </c>
      <c r="E130" s="60">
        <f t="shared" si="62"/>
        <v>31</v>
      </c>
      <c r="F130" s="60">
        <f t="shared" si="63"/>
        <v>0</v>
      </c>
      <c r="G130" s="60">
        <f>ROUND(F130*E130*Input!$C$3/365,0)</f>
        <v>0</v>
      </c>
      <c r="H130" s="60">
        <f>IF($A130&lt;=Input!$C$6,0,IF('Fixed Tenure'!D130&lt;'Fixed Tenure'!F130,'Fixed Tenure'!D130-G130,'Fixed Tenure'!F130))</f>
        <v>0</v>
      </c>
      <c r="I130" s="60">
        <f t="shared" si="64"/>
        <v>0</v>
      </c>
      <c r="J130" s="60">
        <f t="shared" si="65"/>
        <v>0</v>
      </c>
      <c r="K130" s="202">
        <f>J130/Input!$K$5</f>
        <v>0</v>
      </c>
      <c r="L130" s="232"/>
      <c r="M130" s="60">
        <f>IF($B130&lt;Input!$H$43,IF($B130&lt;Input!$G$43,IF($B130&lt;Input!$F$43,IF($B130&lt;Input!$E$43,IF($B130&lt;Input!$D$43,Input!$C$49,Input!$D$49),Input!$E$49),Input!$F$49),Input!$G$49),Input!$H$49)</f>
        <v>33127052.878124986</v>
      </c>
      <c r="N130" s="190">
        <f>IF($A130&lt;Input!$H$50,IF($A130&lt;Input!$G$50,IF($A130&lt;Input!$F$50,IF($A130&lt;Input!$E$50,IF($A130&lt;Input!$D$50,Input!$C$51,Input!$D$51),Input!$E$51),Input!$F$51),Input!$G$51),Input!$H$51)</f>
        <v>0.9</v>
      </c>
      <c r="O130" s="60">
        <f t="shared" si="74"/>
        <v>29814347.590312488</v>
      </c>
      <c r="P130" s="60">
        <f t="shared" si="75"/>
        <v>31</v>
      </c>
      <c r="Q130" s="60">
        <f t="shared" si="42"/>
        <v>0</v>
      </c>
      <c r="R130" s="60">
        <f>ROUND(Q130*$P130*Input!$C$3/365,0)</f>
        <v>0</v>
      </c>
      <c r="S130" s="60">
        <f>IF(A130&lt;=Input!$C$6,0,IF('Fixed Tenure'!O130&lt;'Fixed Tenure'!Q130,'Fixed Tenure'!O130-R130,'Fixed Tenure'!Q130))</f>
        <v>0</v>
      </c>
      <c r="T130" s="60">
        <f t="shared" si="43"/>
        <v>0</v>
      </c>
      <c r="U130" s="60">
        <f t="shared" si="44"/>
        <v>0</v>
      </c>
      <c r="V130" s="193"/>
      <c r="W130" s="169">
        <v>126</v>
      </c>
      <c r="X130" s="1">
        <f t="shared" si="66"/>
        <v>49355</v>
      </c>
      <c r="Y130" s="60">
        <f>IF($X130&lt;Input!$H$58,IF($X130&lt;Input!$G$58,IF($X130&lt;Input!$F$58,IF($X130&lt;Input!$E$58,IF($X130&lt;Input!$D$58,Input!$C$64,Input!$D$64),Input!$E$64),Input!$F$64),Input!$G$64),Input!$H$64)</f>
        <v>0</v>
      </c>
      <c r="Z130" s="190">
        <f>IF($A130&lt;Input!$H$65,IF($A130&lt;Input!$G$65,IF($A130&lt;Input!$F$65,IF($A130&lt;Input!$E$65,IF($A130&lt;Input!$D$65,Input!$C$66,Input!$D$66),Input!$E$66),Input!$F$66),Input!$G$66),Input!$H$66)</f>
        <v>0.9</v>
      </c>
      <c r="AA130" s="60">
        <f t="shared" si="45"/>
        <v>0</v>
      </c>
      <c r="AB130" s="60">
        <f t="shared" si="67"/>
        <v>31</v>
      </c>
      <c r="AC130" s="60">
        <f t="shared" si="46"/>
        <v>0</v>
      </c>
      <c r="AD130" s="60">
        <f>ROUND(AC130*AB130*Input!$C$3/365,0)</f>
        <v>0</v>
      </c>
      <c r="AE130" s="61">
        <f>IF($A130&lt;=Input!$C$6,0,IF('Fixed Tenure'!AA130&lt;'Fixed Tenure'!AC130,'Fixed Tenure'!AA130-AD130,'Fixed Tenure'!AC130))</f>
        <v>0</v>
      </c>
      <c r="AF130" s="61">
        <f t="shared" si="47"/>
        <v>0</v>
      </c>
      <c r="AG130" s="60">
        <f t="shared" si="48"/>
        <v>0</v>
      </c>
      <c r="AH130" s="193"/>
      <c r="AI130" s="169">
        <v>126</v>
      </c>
      <c r="AJ130" s="1">
        <f t="shared" si="68"/>
        <v>49355</v>
      </c>
      <c r="AK130" s="60">
        <f>IF($X130&lt;Input!$H$73,IF($X130&lt;Input!$G$73,IF($X130&lt;Input!$F$73,IF($X130&lt;Input!$E$73,IF($X130&lt;Input!$D$73,Input!$C$79,Input!$D$79),Input!$E$79),Input!$F$79),Input!$G$79),Input!$H$79)</f>
        <v>0</v>
      </c>
      <c r="AL130" s="190">
        <f>IF($A130&lt;Input!$H$80,IF($A130&lt;Input!$G$80,IF($A130&lt;Input!$F$80,IF($A130&lt;Input!$E$80,IF($A130&lt;Input!$D$80,Input!$C$81,Input!$D$81),Input!$E$81),Input!$F$81),Input!$G$81),Input!$H$81)</f>
        <v>0.9</v>
      </c>
      <c r="AM130" s="60">
        <f t="shared" si="49"/>
        <v>0</v>
      </c>
      <c r="AN130" s="60">
        <f t="shared" si="69"/>
        <v>31</v>
      </c>
      <c r="AO130" s="60">
        <f t="shared" si="50"/>
        <v>0</v>
      </c>
      <c r="AP130" s="60">
        <f>ROUND(AO130*AN130*Input!$C$3/365,0)</f>
        <v>0</v>
      </c>
      <c r="AQ130" s="61">
        <f>IF($A130&lt;=Input!$C$6,0,IF('Fixed Tenure'!AM130&lt;'Fixed Tenure'!AO130,'Fixed Tenure'!AM130-AP130,'Fixed Tenure'!AO130))</f>
        <v>0</v>
      </c>
      <c r="AR130" s="61">
        <f t="shared" si="51"/>
        <v>0</v>
      </c>
      <c r="AS130" s="60">
        <f t="shared" si="52"/>
        <v>0</v>
      </c>
      <c r="AT130" s="193"/>
      <c r="AU130" s="169">
        <v>126</v>
      </c>
      <c r="AV130" s="1">
        <f t="shared" si="70"/>
        <v>49355</v>
      </c>
      <c r="AW130" s="60">
        <f>IF($X130&lt;Input!$H$88,IF($X130&lt;Input!$G$88,IF($X130&lt;Input!$F$88,IF($X130&lt;Input!$E$88,IF($X130&lt;Input!$D$88,Input!$C$94,Input!$D$94),Input!$E$94),Input!$F$94),Input!$G$94),Input!$H$94)</f>
        <v>0</v>
      </c>
      <c r="AX130" s="190">
        <f>IF($A130&lt;Input!$H$95,IF($A130&lt;Input!$G$95,IF($A130&lt;Input!$F$95,IF($A130&lt;Input!$E$95,IF($A130&lt;Input!$D$95,Input!$C$96,Input!$D$96),Input!$E$96),Input!$F$96),Input!$G$96),Input!$H$96)</f>
        <v>0.9</v>
      </c>
      <c r="AY130" s="60">
        <f t="shared" si="53"/>
        <v>0</v>
      </c>
      <c r="AZ130" s="60">
        <f t="shared" si="71"/>
        <v>31</v>
      </c>
      <c r="BA130" s="60">
        <f t="shared" si="54"/>
        <v>0</v>
      </c>
      <c r="BB130" s="60">
        <f>ROUND(BA130*AZ130*Input!$C$3/365,0)</f>
        <v>0</v>
      </c>
      <c r="BC130" s="61">
        <f>IF($A130&lt;=Input!$C$6,0,IF('Fixed Tenure'!AY130&lt;'Fixed Tenure'!BA130,'Fixed Tenure'!AY130-BB130,'Fixed Tenure'!BA130))</f>
        <v>0</v>
      </c>
      <c r="BD130" s="61">
        <f t="shared" si="55"/>
        <v>0</v>
      </c>
      <c r="BE130" s="60">
        <f t="shared" si="56"/>
        <v>0</v>
      </c>
      <c r="BF130" s="193"/>
      <c r="BG130" s="169">
        <v>126</v>
      </c>
      <c r="BH130" s="1">
        <f t="shared" si="72"/>
        <v>49355</v>
      </c>
      <c r="BI130" s="60">
        <f>IF($X130&lt;Input!$H$103,IF($X130&lt;Input!$G$103,IF($X130&lt;Input!$F$103,IF($X130&lt;Input!$E$103,IF($X130&lt;Input!$D$103,Input!$C$109,Input!$D$109),Input!$E$109),Input!$F$109),Input!$G$109),Input!$H$109)</f>
        <v>0</v>
      </c>
      <c r="BJ130" s="190">
        <f>IF($A130&lt;Input!$H$110,IF($A130&lt;Input!$G$110,IF($A130&lt;Input!$F$110,IF($A130&lt;Input!$E$110,IF($A130&lt;Input!$D$110,Input!$C$111,Input!$D$111),Input!$E$111),Input!$F$111),Input!$G$111),Input!$H$111)</f>
        <v>0.9</v>
      </c>
      <c r="BK130" s="60">
        <f t="shared" si="57"/>
        <v>0</v>
      </c>
      <c r="BL130" s="60">
        <f t="shared" si="73"/>
        <v>31</v>
      </c>
      <c r="BM130" s="60">
        <f t="shared" si="58"/>
        <v>0</v>
      </c>
      <c r="BN130" s="60">
        <f>ROUND(BM130*BL130*Input!$C$3/365,0)</f>
        <v>0</v>
      </c>
      <c r="BO130" s="61">
        <f>IF($A130&lt;=Input!$C$6,0,IF('Fixed Tenure'!BK130&lt;'Fixed Tenure'!BM130,'Fixed Tenure'!BK130-BN130,'Fixed Tenure'!BM130))</f>
        <v>0</v>
      </c>
      <c r="BP130" s="61">
        <f t="shared" si="59"/>
        <v>0</v>
      </c>
      <c r="BQ130" s="60">
        <f t="shared" si="60"/>
        <v>0</v>
      </c>
      <c r="BR130" s="198"/>
    </row>
    <row r="131" spans="1:70" x14ac:dyDescent="0.25">
      <c r="A131" s="169">
        <v>127</v>
      </c>
      <c r="B131" s="1">
        <f t="shared" si="61"/>
        <v>49383</v>
      </c>
      <c r="C131" s="60">
        <f t="shared" si="39"/>
        <v>33127052.878124986</v>
      </c>
      <c r="D131" s="60">
        <f t="shared" si="40"/>
        <v>29814347.590312488</v>
      </c>
      <c r="E131" s="60">
        <f t="shared" si="62"/>
        <v>28</v>
      </c>
      <c r="F131" s="60">
        <f t="shared" si="63"/>
        <v>0</v>
      </c>
      <c r="G131" s="60">
        <f>ROUND(F131*E131*Input!$C$3/365,0)</f>
        <v>0</v>
      </c>
      <c r="H131" s="60">
        <f>IF($A131&lt;=Input!$C$6,0,IF('Fixed Tenure'!D131&lt;'Fixed Tenure'!F131,'Fixed Tenure'!D131-G131,'Fixed Tenure'!F131))</f>
        <v>0</v>
      </c>
      <c r="I131" s="60">
        <f t="shared" si="64"/>
        <v>0</v>
      </c>
      <c r="J131" s="60">
        <f t="shared" si="65"/>
        <v>0</v>
      </c>
      <c r="K131" s="202">
        <f>J131/Input!$K$5</f>
        <v>0</v>
      </c>
      <c r="L131" s="232"/>
      <c r="M131" s="60">
        <f>IF($B131&lt;Input!$H$43,IF($B131&lt;Input!$G$43,IF($B131&lt;Input!$F$43,IF($B131&lt;Input!$E$43,IF($B131&lt;Input!$D$43,Input!$C$49,Input!$D$49),Input!$E$49),Input!$F$49),Input!$G$49),Input!$H$49)</f>
        <v>33127052.878124986</v>
      </c>
      <c r="N131" s="190">
        <f>IF($A131&lt;Input!$H$50,IF($A131&lt;Input!$G$50,IF($A131&lt;Input!$F$50,IF($A131&lt;Input!$E$50,IF($A131&lt;Input!$D$50,Input!$C$51,Input!$D$51),Input!$E$51),Input!$F$51),Input!$G$51),Input!$H$51)</f>
        <v>0.9</v>
      </c>
      <c r="O131" s="60">
        <f t="shared" si="74"/>
        <v>29814347.590312488</v>
      </c>
      <c r="P131" s="60">
        <f t="shared" si="75"/>
        <v>28</v>
      </c>
      <c r="Q131" s="60">
        <f t="shared" si="42"/>
        <v>0</v>
      </c>
      <c r="R131" s="60">
        <f>ROUND(Q131*$P131*Input!$C$3/365,0)</f>
        <v>0</v>
      </c>
      <c r="S131" s="60">
        <f>IF(A131&lt;=Input!$C$6,0,IF('Fixed Tenure'!O131&lt;'Fixed Tenure'!Q131,'Fixed Tenure'!O131-R131,'Fixed Tenure'!Q131))</f>
        <v>0</v>
      </c>
      <c r="T131" s="60">
        <f t="shared" si="43"/>
        <v>0</v>
      </c>
      <c r="U131" s="60">
        <f t="shared" si="44"/>
        <v>0</v>
      </c>
      <c r="V131" s="193"/>
      <c r="W131" s="169">
        <v>127</v>
      </c>
      <c r="X131" s="1">
        <f t="shared" si="66"/>
        <v>49383</v>
      </c>
      <c r="Y131" s="60">
        <f>IF($X131&lt;Input!$H$58,IF($X131&lt;Input!$G$58,IF($X131&lt;Input!$F$58,IF($X131&lt;Input!$E$58,IF($X131&lt;Input!$D$58,Input!$C$64,Input!$D$64),Input!$E$64),Input!$F$64),Input!$G$64),Input!$H$64)</f>
        <v>0</v>
      </c>
      <c r="Z131" s="190">
        <f>IF($A131&lt;Input!$H$65,IF($A131&lt;Input!$G$65,IF($A131&lt;Input!$F$65,IF($A131&lt;Input!$E$65,IF($A131&lt;Input!$D$65,Input!$C$66,Input!$D$66),Input!$E$66),Input!$F$66),Input!$G$66),Input!$H$66)</f>
        <v>0.9</v>
      </c>
      <c r="AA131" s="60">
        <f t="shared" si="45"/>
        <v>0</v>
      </c>
      <c r="AB131" s="60">
        <f t="shared" si="67"/>
        <v>28</v>
      </c>
      <c r="AC131" s="60">
        <f t="shared" si="46"/>
        <v>0</v>
      </c>
      <c r="AD131" s="60">
        <f>ROUND(AC131*AB131*Input!$C$3/365,0)</f>
        <v>0</v>
      </c>
      <c r="AE131" s="61">
        <f>IF($A131&lt;=Input!$C$6,0,IF('Fixed Tenure'!AA131&lt;'Fixed Tenure'!AC131,'Fixed Tenure'!AA131-AD131,'Fixed Tenure'!AC131))</f>
        <v>0</v>
      </c>
      <c r="AF131" s="61">
        <f t="shared" si="47"/>
        <v>0</v>
      </c>
      <c r="AG131" s="60">
        <f t="shared" si="48"/>
        <v>0</v>
      </c>
      <c r="AH131" s="193"/>
      <c r="AI131" s="169">
        <v>127</v>
      </c>
      <c r="AJ131" s="1">
        <f t="shared" si="68"/>
        <v>49383</v>
      </c>
      <c r="AK131" s="60">
        <f>IF($X131&lt;Input!$H$73,IF($X131&lt;Input!$G$73,IF($X131&lt;Input!$F$73,IF($X131&lt;Input!$E$73,IF($X131&lt;Input!$D$73,Input!$C$79,Input!$D$79),Input!$E$79),Input!$F$79),Input!$G$79),Input!$H$79)</f>
        <v>0</v>
      </c>
      <c r="AL131" s="190">
        <f>IF($A131&lt;Input!$H$80,IF($A131&lt;Input!$G$80,IF($A131&lt;Input!$F$80,IF($A131&lt;Input!$E$80,IF($A131&lt;Input!$D$80,Input!$C$81,Input!$D$81),Input!$E$81),Input!$F$81),Input!$G$81),Input!$H$81)</f>
        <v>0.9</v>
      </c>
      <c r="AM131" s="60">
        <f t="shared" si="49"/>
        <v>0</v>
      </c>
      <c r="AN131" s="60">
        <f t="shared" si="69"/>
        <v>28</v>
      </c>
      <c r="AO131" s="60">
        <f t="shared" si="50"/>
        <v>0</v>
      </c>
      <c r="AP131" s="60">
        <f>ROUND(AO131*AN131*Input!$C$3/365,0)</f>
        <v>0</v>
      </c>
      <c r="AQ131" s="61">
        <f>IF($A131&lt;=Input!$C$6,0,IF('Fixed Tenure'!AM131&lt;'Fixed Tenure'!AO131,'Fixed Tenure'!AM131-AP131,'Fixed Tenure'!AO131))</f>
        <v>0</v>
      </c>
      <c r="AR131" s="61">
        <f t="shared" si="51"/>
        <v>0</v>
      </c>
      <c r="AS131" s="60">
        <f t="shared" si="52"/>
        <v>0</v>
      </c>
      <c r="AT131" s="193"/>
      <c r="AU131" s="169">
        <v>127</v>
      </c>
      <c r="AV131" s="1">
        <f t="shared" si="70"/>
        <v>49383</v>
      </c>
      <c r="AW131" s="60">
        <f>IF($X131&lt;Input!$H$88,IF($X131&lt;Input!$G$88,IF($X131&lt;Input!$F$88,IF($X131&lt;Input!$E$88,IF($X131&lt;Input!$D$88,Input!$C$94,Input!$D$94),Input!$E$94),Input!$F$94),Input!$G$94),Input!$H$94)</f>
        <v>0</v>
      </c>
      <c r="AX131" s="190">
        <f>IF($A131&lt;Input!$H$95,IF($A131&lt;Input!$G$95,IF($A131&lt;Input!$F$95,IF($A131&lt;Input!$E$95,IF($A131&lt;Input!$D$95,Input!$C$96,Input!$D$96),Input!$E$96),Input!$F$96),Input!$G$96),Input!$H$96)</f>
        <v>0.9</v>
      </c>
      <c r="AY131" s="60">
        <f t="shared" si="53"/>
        <v>0</v>
      </c>
      <c r="AZ131" s="60">
        <f t="shared" si="71"/>
        <v>28</v>
      </c>
      <c r="BA131" s="60">
        <f t="shared" si="54"/>
        <v>0</v>
      </c>
      <c r="BB131" s="60">
        <f>ROUND(BA131*AZ131*Input!$C$3/365,0)</f>
        <v>0</v>
      </c>
      <c r="BC131" s="61">
        <f>IF($A131&lt;=Input!$C$6,0,IF('Fixed Tenure'!AY131&lt;'Fixed Tenure'!BA131,'Fixed Tenure'!AY131-BB131,'Fixed Tenure'!BA131))</f>
        <v>0</v>
      </c>
      <c r="BD131" s="61">
        <f t="shared" si="55"/>
        <v>0</v>
      </c>
      <c r="BE131" s="60">
        <f t="shared" si="56"/>
        <v>0</v>
      </c>
      <c r="BF131" s="193"/>
      <c r="BG131" s="169">
        <v>127</v>
      </c>
      <c r="BH131" s="1">
        <f t="shared" si="72"/>
        <v>49383</v>
      </c>
      <c r="BI131" s="60">
        <f>IF($X131&lt;Input!$H$103,IF($X131&lt;Input!$G$103,IF($X131&lt;Input!$F$103,IF($X131&lt;Input!$E$103,IF($X131&lt;Input!$D$103,Input!$C$109,Input!$D$109),Input!$E$109),Input!$F$109),Input!$G$109),Input!$H$109)</f>
        <v>0</v>
      </c>
      <c r="BJ131" s="190">
        <f>IF($A131&lt;Input!$H$110,IF($A131&lt;Input!$G$110,IF($A131&lt;Input!$F$110,IF($A131&lt;Input!$E$110,IF($A131&lt;Input!$D$110,Input!$C$111,Input!$D$111),Input!$E$111),Input!$F$111),Input!$G$111),Input!$H$111)</f>
        <v>0.9</v>
      </c>
      <c r="BK131" s="60">
        <f t="shared" si="57"/>
        <v>0</v>
      </c>
      <c r="BL131" s="60">
        <f t="shared" si="73"/>
        <v>28</v>
      </c>
      <c r="BM131" s="60">
        <f t="shared" si="58"/>
        <v>0</v>
      </c>
      <c r="BN131" s="60">
        <f>ROUND(BM131*BL131*Input!$C$3/365,0)</f>
        <v>0</v>
      </c>
      <c r="BO131" s="61">
        <f>IF($A131&lt;=Input!$C$6,0,IF('Fixed Tenure'!BK131&lt;'Fixed Tenure'!BM131,'Fixed Tenure'!BK131-BN131,'Fixed Tenure'!BM131))</f>
        <v>0</v>
      </c>
      <c r="BP131" s="61">
        <f t="shared" si="59"/>
        <v>0</v>
      </c>
      <c r="BQ131" s="60">
        <f t="shared" si="60"/>
        <v>0</v>
      </c>
      <c r="BR131" s="198"/>
    </row>
    <row r="132" spans="1:70" x14ac:dyDescent="0.25">
      <c r="A132" s="169">
        <v>128</v>
      </c>
      <c r="B132" s="1">
        <f t="shared" si="61"/>
        <v>49414</v>
      </c>
      <c r="C132" s="60">
        <f t="shared" si="39"/>
        <v>33127052.878124986</v>
      </c>
      <c r="D132" s="60">
        <f t="shared" si="40"/>
        <v>29814347.590312488</v>
      </c>
      <c r="E132" s="60">
        <f t="shared" si="62"/>
        <v>31</v>
      </c>
      <c r="F132" s="60">
        <f t="shared" si="63"/>
        <v>0</v>
      </c>
      <c r="G132" s="60">
        <f>ROUND(F132*E132*Input!$C$3/365,0)</f>
        <v>0</v>
      </c>
      <c r="H132" s="60">
        <f>IF($A132&lt;=Input!$C$6,0,IF('Fixed Tenure'!D132&lt;'Fixed Tenure'!F132,'Fixed Tenure'!D132-G132,'Fixed Tenure'!F132))</f>
        <v>0</v>
      </c>
      <c r="I132" s="60">
        <f t="shared" si="64"/>
        <v>0</v>
      </c>
      <c r="J132" s="60">
        <f t="shared" si="65"/>
        <v>0</v>
      </c>
      <c r="K132" s="202">
        <f>J132/Input!$K$5</f>
        <v>0</v>
      </c>
      <c r="L132" s="232"/>
      <c r="M132" s="60">
        <f>IF($B132&lt;Input!$H$43,IF($B132&lt;Input!$G$43,IF($B132&lt;Input!$F$43,IF($B132&lt;Input!$E$43,IF($B132&lt;Input!$D$43,Input!$C$49,Input!$D$49),Input!$E$49),Input!$F$49),Input!$G$49),Input!$H$49)</f>
        <v>33127052.878124986</v>
      </c>
      <c r="N132" s="190">
        <f>IF($A132&lt;Input!$H$50,IF($A132&lt;Input!$G$50,IF($A132&lt;Input!$F$50,IF($A132&lt;Input!$E$50,IF($A132&lt;Input!$D$50,Input!$C$51,Input!$D$51),Input!$E$51),Input!$F$51),Input!$G$51),Input!$H$51)</f>
        <v>0.9</v>
      </c>
      <c r="O132" s="60">
        <f t="shared" ref="O132:O163" si="76">M132*N132</f>
        <v>29814347.590312488</v>
      </c>
      <c r="P132" s="60">
        <f t="shared" si="75"/>
        <v>31</v>
      </c>
      <c r="Q132" s="60">
        <f t="shared" si="42"/>
        <v>0</v>
      </c>
      <c r="R132" s="60">
        <f>ROUND(Q132*$P132*Input!$C$3/365,0)</f>
        <v>0</v>
      </c>
      <c r="S132" s="60">
        <f>IF(A132&lt;=Input!$C$6,0,IF('Fixed Tenure'!O132&lt;'Fixed Tenure'!Q132,'Fixed Tenure'!O132-R132,'Fixed Tenure'!Q132))</f>
        <v>0</v>
      </c>
      <c r="T132" s="60">
        <f t="shared" si="43"/>
        <v>0</v>
      </c>
      <c r="U132" s="60">
        <f t="shared" si="44"/>
        <v>0</v>
      </c>
      <c r="V132" s="193"/>
      <c r="W132" s="169">
        <v>128</v>
      </c>
      <c r="X132" s="1">
        <f t="shared" si="66"/>
        <v>49414</v>
      </c>
      <c r="Y132" s="60">
        <f>IF($X132&lt;Input!$H$58,IF($X132&lt;Input!$G$58,IF($X132&lt;Input!$F$58,IF($X132&lt;Input!$E$58,IF($X132&lt;Input!$D$58,Input!$C$64,Input!$D$64),Input!$E$64),Input!$F$64),Input!$G$64),Input!$H$64)</f>
        <v>0</v>
      </c>
      <c r="Z132" s="190">
        <f>IF($A132&lt;Input!$H$65,IF($A132&lt;Input!$G$65,IF($A132&lt;Input!$F$65,IF($A132&lt;Input!$E$65,IF($A132&lt;Input!$D$65,Input!$C$66,Input!$D$66),Input!$E$66),Input!$F$66),Input!$G$66),Input!$H$66)</f>
        <v>0.9</v>
      </c>
      <c r="AA132" s="60">
        <f t="shared" si="45"/>
        <v>0</v>
      </c>
      <c r="AB132" s="60">
        <f t="shared" si="67"/>
        <v>31</v>
      </c>
      <c r="AC132" s="60">
        <f t="shared" si="46"/>
        <v>0</v>
      </c>
      <c r="AD132" s="60">
        <f>ROUND(AC132*AB132*Input!$C$3/365,0)</f>
        <v>0</v>
      </c>
      <c r="AE132" s="61">
        <f>IF($A132&lt;=Input!$C$6,0,IF('Fixed Tenure'!AA132&lt;'Fixed Tenure'!AC132,'Fixed Tenure'!AA132-AD132,'Fixed Tenure'!AC132))</f>
        <v>0</v>
      </c>
      <c r="AF132" s="61">
        <f t="shared" si="47"/>
        <v>0</v>
      </c>
      <c r="AG132" s="60">
        <f t="shared" si="48"/>
        <v>0</v>
      </c>
      <c r="AH132" s="193"/>
      <c r="AI132" s="169">
        <v>128</v>
      </c>
      <c r="AJ132" s="1">
        <f t="shared" si="68"/>
        <v>49414</v>
      </c>
      <c r="AK132" s="60">
        <f>IF($X132&lt;Input!$H$73,IF($X132&lt;Input!$G$73,IF($X132&lt;Input!$F$73,IF($X132&lt;Input!$E$73,IF($X132&lt;Input!$D$73,Input!$C$79,Input!$D$79),Input!$E$79),Input!$F$79),Input!$G$79),Input!$H$79)</f>
        <v>0</v>
      </c>
      <c r="AL132" s="190">
        <f>IF($A132&lt;Input!$H$80,IF($A132&lt;Input!$G$80,IF($A132&lt;Input!$F$80,IF($A132&lt;Input!$E$80,IF($A132&lt;Input!$D$80,Input!$C$81,Input!$D$81),Input!$E$81),Input!$F$81),Input!$G$81),Input!$H$81)</f>
        <v>0.9</v>
      </c>
      <c r="AM132" s="60">
        <f t="shared" si="49"/>
        <v>0</v>
      </c>
      <c r="AN132" s="60">
        <f t="shared" si="69"/>
        <v>31</v>
      </c>
      <c r="AO132" s="60">
        <f t="shared" si="50"/>
        <v>0</v>
      </c>
      <c r="AP132" s="60">
        <f>ROUND(AO132*AN132*Input!$C$3/365,0)</f>
        <v>0</v>
      </c>
      <c r="AQ132" s="61">
        <f>IF($A132&lt;=Input!$C$6,0,IF('Fixed Tenure'!AM132&lt;'Fixed Tenure'!AO132,'Fixed Tenure'!AM132-AP132,'Fixed Tenure'!AO132))</f>
        <v>0</v>
      </c>
      <c r="AR132" s="61">
        <f t="shared" si="51"/>
        <v>0</v>
      </c>
      <c r="AS132" s="60">
        <f t="shared" si="52"/>
        <v>0</v>
      </c>
      <c r="AT132" s="193"/>
      <c r="AU132" s="169">
        <v>128</v>
      </c>
      <c r="AV132" s="1">
        <f t="shared" si="70"/>
        <v>49414</v>
      </c>
      <c r="AW132" s="60">
        <f>IF($X132&lt;Input!$H$88,IF($X132&lt;Input!$G$88,IF($X132&lt;Input!$F$88,IF($X132&lt;Input!$E$88,IF($X132&lt;Input!$D$88,Input!$C$94,Input!$D$94),Input!$E$94),Input!$F$94),Input!$G$94),Input!$H$94)</f>
        <v>0</v>
      </c>
      <c r="AX132" s="190">
        <f>IF($A132&lt;Input!$H$95,IF($A132&lt;Input!$G$95,IF($A132&lt;Input!$F$95,IF($A132&lt;Input!$E$95,IF($A132&lt;Input!$D$95,Input!$C$96,Input!$D$96),Input!$E$96),Input!$F$96),Input!$G$96),Input!$H$96)</f>
        <v>0.9</v>
      </c>
      <c r="AY132" s="60">
        <f t="shared" si="53"/>
        <v>0</v>
      </c>
      <c r="AZ132" s="60">
        <f t="shared" si="71"/>
        <v>31</v>
      </c>
      <c r="BA132" s="60">
        <f t="shared" si="54"/>
        <v>0</v>
      </c>
      <c r="BB132" s="60">
        <f>ROUND(BA132*AZ132*Input!$C$3/365,0)</f>
        <v>0</v>
      </c>
      <c r="BC132" s="61">
        <f>IF($A132&lt;=Input!$C$6,0,IF('Fixed Tenure'!AY132&lt;'Fixed Tenure'!BA132,'Fixed Tenure'!AY132-BB132,'Fixed Tenure'!BA132))</f>
        <v>0</v>
      </c>
      <c r="BD132" s="61">
        <f t="shared" si="55"/>
        <v>0</v>
      </c>
      <c r="BE132" s="60">
        <f t="shared" si="56"/>
        <v>0</v>
      </c>
      <c r="BF132" s="193"/>
      <c r="BG132" s="169">
        <v>128</v>
      </c>
      <c r="BH132" s="1">
        <f t="shared" si="72"/>
        <v>49414</v>
      </c>
      <c r="BI132" s="60">
        <f>IF($X132&lt;Input!$H$103,IF($X132&lt;Input!$G$103,IF($X132&lt;Input!$F$103,IF($X132&lt;Input!$E$103,IF($X132&lt;Input!$D$103,Input!$C$109,Input!$D$109),Input!$E$109),Input!$F$109),Input!$G$109),Input!$H$109)</f>
        <v>0</v>
      </c>
      <c r="BJ132" s="190">
        <f>IF($A132&lt;Input!$H$110,IF($A132&lt;Input!$G$110,IF($A132&lt;Input!$F$110,IF($A132&lt;Input!$E$110,IF($A132&lt;Input!$D$110,Input!$C$111,Input!$D$111),Input!$E$111),Input!$F$111),Input!$G$111),Input!$H$111)</f>
        <v>0.9</v>
      </c>
      <c r="BK132" s="60">
        <f t="shared" si="57"/>
        <v>0</v>
      </c>
      <c r="BL132" s="60">
        <f t="shared" si="73"/>
        <v>31</v>
      </c>
      <c r="BM132" s="60">
        <f t="shared" si="58"/>
        <v>0</v>
      </c>
      <c r="BN132" s="60">
        <f>ROUND(BM132*BL132*Input!$C$3/365,0)</f>
        <v>0</v>
      </c>
      <c r="BO132" s="61">
        <f>IF($A132&lt;=Input!$C$6,0,IF('Fixed Tenure'!BK132&lt;'Fixed Tenure'!BM132,'Fixed Tenure'!BK132-BN132,'Fixed Tenure'!BM132))</f>
        <v>0</v>
      </c>
      <c r="BP132" s="61">
        <f t="shared" si="59"/>
        <v>0</v>
      </c>
      <c r="BQ132" s="60">
        <f t="shared" si="60"/>
        <v>0</v>
      </c>
      <c r="BR132" s="198"/>
    </row>
    <row r="133" spans="1:70" x14ac:dyDescent="0.25">
      <c r="A133" s="169">
        <v>129</v>
      </c>
      <c r="B133" s="1">
        <f t="shared" si="61"/>
        <v>49444</v>
      </c>
      <c r="C133" s="60">
        <f t="shared" ref="C133:C184" si="77">M133+Y133+AK133+AW133+BI133</f>
        <v>33127052.878124986</v>
      </c>
      <c r="D133" s="60">
        <f t="shared" ref="D133:D184" si="78">O133+AA133+AM133+AY133+BK133</f>
        <v>29814347.590312488</v>
      </c>
      <c r="E133" s="60">
        <f t="shared" si="62"/>
        <v>30</v>
      </c>
      <c r="F133" s="60">
        <f t="shared" si="63"/>
        <v>0</v>
      </c>
      <c r="G133" s="60">
        <f>ROUND(F133*E133*Input!$C$3/365,0)</f>
        <v>0</v>
      </c>
      <c r="H133" s="60">
        <f>IF($A133&lt;=Input!$C$6,0,IF('Fixed Tenure'!D133&lt;'Fixed Tenure'!F133,'Fixed Tenure'!D133-G133,'Fixed Tenure'!F133))</f>
        <v>0</v>
      </c>
      <c r="I133" s="60">
        <f t="shared" si="64"/>
        <v>0</v>
      </c>
      <c r="J133" s="60">
        <f t="shared" si="65"/>
        <v>0</v>
      </c>
      <c r="K133" s="202">
        <f>J133/Input!$K$5</f>
        <v>0</v>
      </c>
      <c r="L133" s="232"/>
      <c r="M133" s="60">
        <f>IF($B133&lt;Input!$H$43,IF($B133&lt;Input!$G$43,IF($B133&lt;Input!$F$43,IF($B133&lt;Input!$E$43,IF($B133&lt;Input!$D$43,Input!$C$49,Input!$D$49),Input!$E$49),Input!$F$49),Input!$G$49),Input!$H$49)</f>
        <v>33127052.878124986</v>
      </c>
      <c r="N133" s="190">
        <f>IF($A133&lt;Input!$H$50,IF($A133&lt;Input!$G$50,IF($A133&lt;Input!$F$50,IF($A133&lt;Input!$E$50,IF($A133&lt;Input!$D$50,Input!$C$51,Input!$D$51),Input!$E$51),Input!$F$51),Input!$G$51),Input!$H$51)</f>
        <v>0.9</v>
      </c>
      <c r="O133" s="60">
        <f t="shared" si="76"/>
        <v>29814347.590312488</v>
      </c>
      <c r="P133" s="60">
        <f t="shared" ref="P133:P164" si="79">B133-B132</f>
        <v>30</v>
      </c>
      <c r="Q133" s="60">
        <f t="shared" ref="Q133:Q184" si="80">U132</f>
        <v>0</v>
      </c>
      <c r="R133" s="60">
        <f>ROUND(Q133*$P133*Input!$C$3/365,0)</f>
        <v>0</v>
      </c>
      <c r="S133" s="60">
        <f>IF(A133&lt;=Input!$C$6,0,IF('Fixed Tenure'!O133&lt;'Fixed Tenure'!Q133,'Fixed Tenure'!O133-R133,'Fixed Tenure'!Q133))</f>
        <v>0</v>
      </c>
      <c r="T133" s="60">
        <f t="shared" ref="T133:T184" si="81">R133+S133</f>
        <v>0</v>
      </c>
      <c r="U133" s="60">
        <f t="shared" ref="U133:U184" si="82">U132-S133</f>
        <v>0</v>
      </c>
      <c r="V133" s="193"/>
      <c r="W133" s="169">
        <v>129</v>
      </c>
      <c r="X133" s="1">
        <f t="shared" si="66"/>
        <v>49444</v>
      </c>
      <c r="Y133" s="60">
        <f>IF($X133&lt;Input!$H$58,IF($X133&lt;Input!$G$58,IF($X133&lt;Input!$F$58,IF($X133&lt;Input!$E$58,IF($X133&lt;Input!$D$58,Input!$C$64,Input!$D$64),Input!$E$64),Input!$F$64),Input!$G$64),Input!$H$64)</f>
        <v>0</v>
      </c>
      <c r="Z133" s="190">
        <f>IF($A133&lt;Input!$H$65,IF($A133&lt;Input!$G$65,IF($A133&lt;Input!$F$65,IF($A133&lt;Input!$E$65,IF($A133&lt;Input!$D$65,Input!$C$66,Input!$D$66),Input!$E$66),Input!$F$66),Input!$G$66),Input!$H$66)</f>
        <v>0.9</v>
      </c>
      <c r="AA133" s="60">
        <f t="shared" ref="AA133:AA184" si="83">Y133*Z133</f>
        <v>0</v>
      </c>
      <c r="AB133" s="60">
        <f t="shared" si="67"/>
        <v>30</v>
      </c>
      <c r="AC133" s="60">
        <f t="shared" ref="AC133:AC184" si="84">AG132</f>
        <v>0</v>
      </c>
      <c r="AD133" s="60">
        <f>ROUND(AC133*AB133*Input!$C$3/365,0)</f>
        <v>0</v>
      </c>
      <c r="AE133" s="61">
        <f>IF($A133&lt;=Input!$C$6,0,IF('Fixed Tenure'!AA133&lt;'Fixed Tenure'!AC133,'Fixed Tenure'!AA133-AD133,'Fixed Tenure'!AC133))</f>
        <v>0</v>
      </c>
      <c r="AF133" s="61">
        <f t="shared" ref="AF133:AF184" si="85">AD133+AE133</f>
        <v>0</v>
      </c>
      <c r="AG133" s="60">
        <f t="shared" ref="AG133:AG184" si="86">AG132-AE133</f>
        <v>0</v>
      </c>
      <c r="AH133" s="193"/>
      <c r="AI133" s="169">
        <v>129</v>
      </c>
      <c r="AJ133" s="1">
        <f t="shared" si="68"/>
        <v>49444</v>
      </c>
      <c r="AK133" s="60">
        <f>IF($X133&lt;Input!$H$73,IF($X133&lt;Input!$G$73,IF($X133&lt;Input!$F$73,IF($X133&lt;Input!$E$73,IF($X133&lt;Input!$D$73,Input!$C$79,Input!$D$79),Input!$E$79),Input!$F$79),Input!$G$79),Input!$H$79)</f>
        <v>0</v>
      </c>
      <c r="AL133" s="190">
        <f>IF($A133&lt;Input!$H$80,IF($A133&lt;Input!$G$80,IF($A133&lt;Input!$F$80,IF($A133&lt;Input!$E$80,IF($A133&lt;Input!$D$80,Input!$C$81,Input!$D$81),Input!$E$81),Input!$F$81),Input!$G$81),Input!$H$81)</f>
        <v>0.9</v>
      </c>
      <c r="AM133" s="60">
        <f t="shared" ref="AM133:AM184" si="87">AK133*AL133</f>
        <v>0</v>
      </c>
      <c r="AN133" s="60">
        <f t="shared" si="69"/>
        <v>30</v>
      </c>
      <c r="AO133" s="60">
        <f t="shared" ref="AO133:AO184" si="88">AS132</f>
        <v>0</v>
      </c>
      <c r="AP133" s="60">
        <f>ROUND(AO133*AN133*Input!$C$3/365,0)</f>
        <v>0</v>
      </c>
      <c r="AQ133" s="61">
        <f>IF($A133&lt;=Input!$C$6,0,IF('Fixed Tenure'!AM133&lt;'Fixed Tenure'!AO133,'Fixed Tenure'!AM133-AP133,'Fixed Tenure'!AO133))</f>
        <v>0</v>
      </c>
      <c r="AR133" s="61">
        <f t="shared" ref="AR133:AR184" si="89">AP133+AQ133</f>
        <v>0</v>
      </c>
      <c r="AS133" s="60">
        <f t="shared" ref="AS133:AS184" si="90">AS132-AQ133</f>
        <v>0</v>
      </c>
      <c r="AT133" s="193"/>
      <c r="AU133" s="169">
        <v>129</v>
      </c>
      <c r="AV133" s="1">
        <f t="shared" si="70"/>
        <v>49444</v>
      </c>
      <c r="AW133" s="60">
        <f>IF($X133&lt;Input!$H$88,IF($X133&lt;Input!$G$88,IF($X133&lt;Input!$F$88,IF($X133&lt;Input!$E$88,IF($X133&lt;Input!$D$88,Input!$C$94,Input!$D$94),Input!$E$94),Input!$F$94),Input!$G$94),Input!$H$94)</f>
        <v>0</v>
      </c>
      <c r="AX133" s="190">
        <f>IF($A133&lt;Input!$H$95,IF($A133&lt;Input!$G$95,IF($A133&lt;Input!$F$95,IF($A133&lt;Input!$E$95,IF($A133&lt;Input!$D$95,Input!$C$96,Input!$D$96),Input!$E$96),Input!$F$96),Input!$G$96),Input!$H$96)</f>
        <v>0.9</v>
      </c>
      <c r="AY133" s="60">
        <f t="shared" ref="AY133:AY184" si="91">AW133*AX133</f>
        <v>0</v>
      </c>
      <c r="AZ133" s="60">
        <f t="shared" si="71"/>
        <v>30</v>
      </c>
      <c r="BA133" s="60">
        <f t="shared" ref="BA133:BA184" si="92">BE132</f>
        <v>0</v>
      </c>
      <c r="BB133" s="60">
        <f>ROUND(BA133*AZ133*Input!$C$3/365,0)</f>
        <v>0</v>
      </c>
      <c r="BC133" s="61">
        <f>IF($A133&lt;=Input!$C$6,0,IF('Fixed Tenure'!AY133&lt;'Fixed Tenure'!BA133,'Fixed Tenure'!AY133-BB133,'Fixed Tenure'!BA133))</f>
        <v>0</v>
      </c>
      <c r="BD133" s="61">
        <f t="shared" ref="BD133:BD184" si="93">BB133+BC133</f>
        <v>0</v>
      </c>
      <c r="BE133" s="60">
        <f t="shared" ref="BE133:BE184" si="94">BE132-BC133</f>
        <v>0</v>
      </c>
      <c r="BF133" s="193"/>
      <c r="BG133" s="169">
        <v>129</v>
      </c>
      <c r="BH133" s="1">
        <f t="shared" si="72"/>
        <v>49444</v>
      </c>
      <c r="BI133" s="60">
        <f>IF($X133&lt;Input!$H$103,IF($X133&lt;Input!$G$103,IF($X133&lt;Input!$F$103,IF($X133&lt;Input!$E$103,IF($X133&lt;Input!$D$103,Input!$C$109,Input!$D$109),Input!$E$109),Input!$F$109),Input!$G$109),Input!$H$109)</f>
        <v>0</v>
      </c>
      <c r="BJ133" s="190">
        <f>IF($A133&lt;Input!$H$110,IF($A133&lt;Input!$G$110,IF($A133&lt;Input!$F$110,IF($A133&lt;Input!$E$110,IF($A133&lt;Input!$D$110,Input!$C$111,Input!$D$111),Input!$E$111),Input!$F$111),Input!$G$111),Input!$H$111)</f>
        <v>0.9</v>
      </c>
      <c r="BK133" s="60">
        <f t="shared" ref="BK133:BK184" si="95">BI133*BJ133</f>
        <v>0</v>
      </c>
      <c r="BL133" s="60">
        <f t="shared" si="73"/>
        <v>30</v>
      </c>
      <c r="BM133" s="60">
        <f t="shared" ref="BM133:BM184" si="96">BQ132</f>
        <v>0</v>
      </c>
      <c r="BN133" s="60">
        <f>ROUND(BM133*BL133*Input!$C$3/365,0)</f>
        <v>0</v>
      </c>
      <c r="BO133" s="61">
        <f>IF($A133&lt;=Input!$C$6,0,IF('Fixed Tenure'!BK133&lt;'Fixed Tenure'!BM133,'Fixed Tenure'!BK133-BN133,'Fixed Tenure'!BM133))</f>
        <v>0</v>
      </c>
      <c r="BP133" s="61">
        <f t="shared" ref="BP133:BP184" si="97">BN133+BO133</f>
        <v>0</v>
      </c>
      <c r="BQ133" s="60">
        <f t="shared" ref="BQ133:BQ184" si="98">BQ132-BO133</f>
        <v>0</v>
      </c>
      <c r="BR133" s="198"/>
    </row>
    <row r="134" spans="1:70" x14ac:dyDescent="0.25">
      <c r="A134" s="169">
        <v>130</v>
      </c>
      <c r="B134" s="1">
        <f t="shared" ref="B134:B184" si="99">EDATE(B133,1)</f>
        <v>49475</v>
      </c>
      <c r="C134" s="60">
        <f t="shared" si="77"/>
        <v>33127052.878124986</v>
      </c>
      <c r="D134" s="60">
        <f t="shared" si="78"/>
        <v>29814347.590312488</v>
      </c>
      <c r="E134" s="60">
        <f t="shared" ref="E134:E184" si="100">B134-B133</f>
        <v>31</v>
      </c>
      <c r="F134" s="60">
        <f t="shared" ref="F134:F184" si="101">J133</f>
        <v>0</v>
      </c>
      <c r="G134" s="60">
        <f>ROUND(F134*E134*Input!$C$3/365,0)</f>
        <v>0</v>
      </c>
      <c r="H134" s="60">
        <f>IF($A134&lt;=Input!$C$6,0,IF('Fixed Tenure'!D134&lt;'Fixed Tenure'!F134,'Fixed Tenure'!D134-G134,'Fixed Tenure'!F134))</f>
        <v>0</v>
      </c>
      <c r="I134" s="60">
        <f t="shared" ref="I134:I184" si="102">G134+H134</f>
        <v>0</v>
      </c>
      <c r="J134" s="60">
        <f t="shared" ref="J134:J184" si="103">J133-H134</f>
        <v>0</v>
      </c>
      <c r="K134" s="202">
        <f>J134/Input!$K$5</f>
        <v>0</v>
      </c>
      <c r="L134" s="232"/>
      <c r="M134" s="60">
        <f>IF($B134&lt;Input!$H$43,IF($B134&lt;Input!$G$43,IF($B134&lt;Input!$F$43,IF($B134&lt;Input!$E$43,IF($B134&lt;Input!$D$43,Input!$C$49,Input!$D$49),Input!$E$49),Input!$F$49),Input!$G$49),Input!$H$49)</f>
        <v>33127052.878124986</v>
      </c>
      <c r="N134" s="190">
        <f>IF($A134&lt;Input!$H$50,IF($A134&lt;Input!$G$50,IF($A134&lt;Input!$F$50,IF($A134&lt;Input!$E$50,IF($A134&lt;Input!$D$50,Input!$C$51,Input!$D$51),Input!$E$51),Input!$F$51),Input!$G$51),Input!$H$51)</f>
        <v>0.9</v>
      </c>
      <c r="O134" s="60">
        <f t="shared" si="76"/>
        <v>29814347.590312488</v>
      </c>
      <c r="P134" s="60">
        <f t="shared" si="79"/>
        <v>31</v>
      </c>
      <c r="Q134" s="60">
        <f t="shared" si="80"/>
        <v>0</v>
      </c>
      <c r="R134" s="60">
        <f>ROUND(Q134*$P134*Input!$C$3/365,0)</f>
        <v>0</v>
      </c>
      <c r="S134" s="60">
        <f>IF(A134&lt;=Input!$C$6,0,IF('Fixed Tenure'!O134&lt;'Fixed Tenure'!Q134,'Fixed Tenure'!O134-R134,'Fixed Tenure'!Q134))</f>
        <v>0</v>
      </c>
      <c r="T134" s="60">
        <f t="shared" si="81"/>
        <v>0</v>
      </c>
      <c r="U134" s="60">
        <f t="shared" si="82"/>
        <v>0</v>
      </c>
      <c r="V134" s="193"/>
      <c r="W134" s="169">
        <v>130</v>
      </c>
      <c r="X134" s="1">
        <f t="shared" ref="X134:X184" si="104">EDATE(X133,1)</f>
        <v>49475</v>
      </c>
      <c r="Y134" s="60">
        <f>IF($X134&lt;Input!$H$58,IF($X134&lt;Input!$G$58,IF($X134&lt;Input!$F$58,IF($X134&lt;Input!$E$58,IF($X134&lt;Input!$D$58,Input!$C$64,Input!$D$64),Input!$E$64),Input!$F$64),Input!$G$64),Input!$H$64)</f>
        <v>0</v>
      </c>
      <c r="Z134" s="190">
        <f>IF($A134&lt;Input!$H$65,IF($A134&lt;Input!$G$65,IF($A134&lt;Input!$F$65,IF($A134&lt;Input!$E$65,IF($A134&lt;Input!$D$65,Input!$C$66,Input!$D$66),Input!$E$66),Input!$F$66),Input!$G$66),Input!$H$66)</f>
        <v>0.9</v>
      </c>
      <c r="AA134" s="60">
        <f t="shared" si="83"/>
        <v>0</v>
      </c>
      <c r="AB134" s="60">
        <f t="shared" ref="AB134:AB184" si="105">X134-X133</f>
        <v>31</v>
      </c>
      <c r="AC134" s="60">
        <f t="shared" si="84"/>
        <v>0</v>
      </c>
      <c r="AD134" s="60">
        <f>ROUND(AC134*AB134*Input!$C$3/365,0)</f>
        <v>0</v>
      </c>
      <c r="AE134" s="61">
        <f>IF($A134&lt;=Input!$C$6,0,IF('Fixed Tenure'!AA134&lt;'Fixed Tenure'!AC134,'Fixed Tenure'!AA134-AD134,'Fixed Tenure'!AC134))</f>
        <v>0</v>
      </c>
      <c r="AF134" s="61">
        <f t="shared" si="85"/>
        <v>0</v>
      </c>
      <c r="AG134" s="60">
        <f t="shared" si="86"/>
        <v>0</v>
      </c>
      <c r="AH134" s="193"/>
      <c r="AI134" s="169">
        <v>130</v>
      </c>
      <c r="AJ134" s="1">
        <f t="shared" ref="AJ134:AJ184" si="106">EDATE(AJ133,1)</f>
        <v>49475</v>
      </c>
      <c r="AK134" s="60">
        <f>IF($X134&lt;Input!$H$73,IF($X134&lt;Input!$G$73,IF($X134&lt;Input!$F$73,IF($X134&lt;Input!$E$73,IF($X134&lt;Input!$D$73,Input!$C$79,Input!$D$79),Input!$E$79),Input!$F$79),Input!$G$79),Input!$H$79)</f>
        <v>0</v>
      </c>
      <c r="AL134" s="190">
        <f>IF($A134&lt;Input!$H$80,IF($A134&lt;Input!$G$80,IF($A134&lt;Input!$F$80,IF($A134&lt;Input!$E$80,IF($A134&lt;Input!$D$80,Input!$C$81,Input!$D$81),Input!$E$81),Input!$F$81),Input!$G$81),Input!$H$81)</f>
        <v>0.9</v>
      </c>
      <c r="AM134" s="60">
        <f t="shared" si="87"/>
        <v>0</v>
      </c>
      <c r="AN134" s="60">
        <f t="shared" ref="AN134:AN184" si="107">AJ134-AJ133</f>
        <v>31</v>
      </c>
      <c r="AO134" s="60">
        <f t="shared" si="88"/>
        <v>0</v>
      </c>
      <c r="AP134" s="60">
        <f>ROUND(AO134*AN134*Input!$C$3/365,0)</f>
        <v>0</v>
      </c>
      <c r="AQ134" s="61">
        <f>IF($A134&lt;=Input!$C$6,0,IF('Fixed Tenure'!AM134&lt;'Fixed Tenure'!AO134,'Fixed Tenure'!AM134-AP134,'Fixed Tenure'!AO134))</f>
        <v>0</v>
      </c>
      <c r="AR134" s="61">
        <f t="shared" si="89"/>
        <v>0</v>
      </c>
      <c r="AS134" s="60">
        <f t="shared" si="90"/>
        <v>0</v>
      </c>
      <c r="AT134" s="193"/>
      <c r="AU134" s="169">
        <v>130</v>
      </c>
      <c r="AV134" s="1">
        <f t="shared" ref="AV134:AV184" si="108">EDATE(AV133,1)</f>
        <v>49475</v>
      </c>
      <c r="AW134" s="60">
        <f>IF($X134&lt;Input!$H$88,IF($X134&lt;Input!$G$88,IF($X134&lt;Input!$F$88,IF($X134&lt;Input!$E$88,IF($X134&lt;Input!$D$88,Input!$C$94,Input!$D$94),Input!$E$94),Input!$F$94),Input!$G$94),Input!$H$94)</f>
        <v>0</v>
      </c>
      <c r="AX134" s="190">
        <f>IF($A134&lt;Input!$H$95,IF($A134&lt;Input!$G$95,IF($A134&lt;Input!$F$95,IF($A134&lt;Input!$E$95,IF($A134&lt;Input!$D$95,Input!$C$96,Input!$D$96),Input!$E$96),Input!$F$96),Input!$G$96),Input!$H$96)</f>
        <v>0.9</v>
      </c>
      <c r="AY134" s="60">
        <f t="shared" si="91"/>
        <v>0</v>
      </c>
      <c r="AZ134" s="60">
        <f t="shared" ref="AZ134:AZ184" si="109">AV134-AV133</f>
        <v>31</v>
      </c>
      <c r="BA134" s="60">
        <f t="shared" si="92"/>
        <v>0</v>
      </c>
      <c r="BB134" s="60">
        <f>ROUND(BA134*AZ134*Input!$C$3/365,0)</f>
        <v>0</v>
      </c>
      <c r="BC134" s="61">
        <f>IF($A134&lt;=Input!$C$6,0,IF('Fixed Tenure'!AY134&lt;'Fixed Tenure'!BA134,'Fixed Tenure'!AY134-BB134,'Fixed Tenure'!BA134))</f>
        <v>0</v>
      </c>
      <c r="BD134" s="61">
        <f t="shared" si="93"/>
        <v>0</v>
      </c>
      <c r="BE134" s="60">
        <f t="shared" si="94"/>
        <v>0</v>
      </c>
      <c r="BF134" s="193"/>
      <c r="BG134" s="169">
        <v>130</v>
      </c>
      <c r="BH134" s="1">
        <f t="shared" ref="BH134:BH184" si="110">EDATE(BH133,1)</f>
        <v>49475</v>
      </c>
      <c r="BI134" s="60">
        <f>IF($X134&lt;Input!$H$103,IF($X134&lt;Input!$G$103,IF($X134&lt;Input!$F$103,IF($X134&lt;Input!$E$103,IF($X134&lt;Input!$D$103,Input!$C$109,Input!$D$109),Input!$E$109),Input!$F$109),Input!$G$109),Input!$H$109)</f>
        <v>0</v>
      </c>
      <c r="BJ134" s="190">
        <f>IF($A134&lt;Input!$H$110,IF($A134&lt;Input!$G$110,IF($A134&lt;Input!$F$110,IF($A134&lt;Input!$E$110,IF($A134&lt;Input!$D$110,Input!$C$111,Input!$D$111),Input!$E$111),Input!$F$111),Input!$G$111),Input!$H$111)</f>
        <v>0.9</v>
      </c>
      <c r="BK134" s="60">
        <f t="shared" si="95"/>
        <v>0</v>
      </c>
      <c r="BL134" s="60">
        <f t="shared" ref="BL134:BL184" si="111">BH134-BH133</f>
        <v>31</v>
      </c>
      <c r="BM134" s="60">
        <f t="shared" si="96"/>
        <v>0</v>
      </c>
      <c r="BN134" s="60">
        <f>ROUND(BM134*BL134*Input!$C$3/365,0)</f>
        <v>0</v>
      </c>
      <c r="BO134" s="61">
        <f>IF($A134&lt;=Input!$C$6,0,IF('Fixed Tenure'!BK134&lt;'Fixed Tenure'!BM134,'Fixed Tenure'!BK134-BN134,'Fixed Tenure'!BM134))</f>
        <v>0</v>
      </c>
      <c r="BP134" s="61">
        <f t="shared" si="97"/>
        <v>0</v>
      </c>
      <c r="BQ134" s="60">
        <f t="shared" si="98"/>
        <v>0</v>
      </c>
      <c r="BR134" s="198"/>
    </row>
    <row r="135" spans="1:70" x14ac:dyDescent="0.25">
      <c r="A135" s="169">
        <v>131</v>
      </c>
      <c r="B135" s="1">
        <f t="shared" si="99"/>
        <v>49505</v>
      </c>
      <c r="C135" s="60">
        <f t="shared" si="77"/>
        <v>33127052.878124986</v>
      </c>
      <c r="D135" s="60">
        <f t="shared" si="78"/>
        <v>29814347.590312488</v>
      </c>
      <c r="E135" s="60">
        <f t="shared" si="100"/>
        <v>30</v>
      </c>
      <c r="F135" s="60">
        <f t="shared" si="101"/>
        <v>0</v>
      </c>
      <c r="G135" s="60">
        <f>ROUND(F135*E135*Input!$C$3/365,0)</f>
        <v>0</v>
      </c>
      <c r="H135" s="60">
        <f>IF($A135&lt;=Input!$C$6,0,IF('Fixed Tenure'!D135&lt;'Fixed Tenure'!F135,'Fixed Tenure'!D135-G135,'Fixed Tenure'!F135))</f>
        <v>0</v>
      </c>
      <c r="I135" s="60">
        <f t="shared" si="102"/>
        <v>0</v>
      </c>
      <c r="J135" s="60">
        <f t="shared" si="103"/>
        <v>0</v>
      </c>
      <c r="K135" s="202">
        <f>J135/Input!$K$5</f>
        <v>0</v>
      </c>
      <c r="L135" s="232"/>
      <c r="M135" s="60">
        <f>IF($B135&lt;Input!$H$43,IF($B135&lt;Input!$G$43,IF($B135&lt;Input!$F$43,IF($B135&lt;Input!$E$43,IF($B135&lt;Input!$D$43,Input!$C$49,Input!$D$49),Input!$E$49),Input!$F$49),Input!$G$49),Input!$H$49)</f>
        <v>33127052.878124986</v>
      </c>
      <c r="N135" s="190">
        <f>IF($A135&lt;Input!$H$50,IF($A135&lt;Input!$G$50,IF($A135&lt;Input!$F$50,IF($A135&lt;Input!$E$50,IF($A135&lt;Input!$D$50,Input!$C$51,Input!$D$51),Input!$E$51),Input!$F$51),Input!$G$51),Input!$H$51)</f>
        <v>0.9</v>
      </c>
      <c r="O135" s="60">
        <f t="shared" si="76"/>
        <v>29814347.590312488</v>
      </c>
      <c r="P135" s="60">
        <f t="shared" si="79"/>
        <v>30</v>
      </c>
      <c r="Q135" s="60">
        <f t="shared" si="80"/>
        <v>0</v>
      </c>
      <c r="R135" s="60">
        <f>ROUND(Q135*$P135*Input!$C$3/365,0)</f>
        <v>0</v>
      </c>
      <c r="S135" s="60">
        <f>IF(A135&lt;=Input!$C$6,0,IF('Fixed Tenure'!O135&lt;'Fixed Tenure'!Q135,'Fixed Tenure'!O135-R135,'Fixed Tenure'!Q135))</f>
        <v>0</v>
      </c>
      <c r="T135" s="60">
        <f t="shared" si="81"/>
        <v>0</v>
      </c>
      <c r="U135" s="60">
        <f t="shared" si="82"/>
        <v>0</v>
      </c>
      <c r="V135" s="193"/>
      <c r="W135" s="169">
        <v>131</v>
      </c>
      <c r="X135" s="1">
        <f t="shared" si="104"/>
        <v>49505</v>
      </c>
      <c r="Y135" s="60">
        <f>IF($X135&lt;Input!$H$58,IF($X135&lt;Input!$G$58,IF($X135&lt;Input!$F$58,IF($X135&lt;Input!$E$58,IF($X135&lt;Input!$D$58,Input!$C$64,Input!$D$64),Input!$E$64),Input!$F$64),Input!$G$64),Input!$H$64)</f>
        <v>0</v>
      </c>
      <c r="Z135" s="190">
        <f>IF($A135&lt;Input!$H$65,IF($A135&lt;Input!$G$65,IF($A135&lt;Input!$F$65,IF($A135&lt;Input!$E$65,IF($A135&lt;Input!$D$65,Input!$C$66,Input!$D$66),Input!$E$66),Input!$F$66),Input!$G$66),Input!$H$66)</f>
        <v>0.9</v>
      </c>
      <c r="AA135" s="60">
        <f t="shared" si="83"/>
        <v>0</v>
      </c>
      <c r="AB135" s="60">
        <f t="shared" si="105"/>
        <v>30</v>
      </c>
      <c r="AC135" s="60">
        <f t="shared" si="84"/>
        <v>0</v>
      </c>
      <c r="AD135" s="60">
        <f>ROUND(AC135*AB135*Input!$C$3/365,0)</f>
        <v>0</v>
      </c>
      <c r="AE135" s="61">
        <f>IF($A135&lt;=Input!$C$6,0,IF('Fixed Tenure'!AA135&lt;'Fixed Tenure'!AC135,'Fixed Tenure'!AA135-AD135,'Fixed Tenure'!AC135))</f>
        <v>0</v>
      </c>
      <c r="AF135" s="61">
        <f t="shared" si="85"/>
        <v>0</v>
      </c>
      <c r="AG135" s="60">
        <f t="shared" si="86"/>
        <v>0</v>
      </c>
      <c r="AH135" s="193"/>
      <c r="AI135" s="169">
        <v>131</v>
      </c>
      <c r="AJ135" s="1">
        <f t="shared" si="106"/>
        <v>49505</v>
      </c>
      <c r="AK135" s="60">
        <f>IF($X135&lt;Input!$H$73,IF($X135&lt;Input!$G$73,IF($X135&lt;Input!$F$73,IF($X135&lt;Input!$E$73,IF($X135&lt;Input!$D$73,Input!$C$79,Input!$D$79),Input!$E$79),Input!$F$79),Input!$G$79),Input!$H$79)</f>
        <v>0</v>
      </c>
      <c r="AL135" s="190">
        <f>IF($A135&lt;Input!$H$80,IF($A135&lt;Input!$G$80,IF($A135&lt;Input!$F$80,IF($A135&lt;Input!$E$80,IF($A135&lt;Input!$D$80,Input!$C$81,Input!$D$81),Input!$E$81),Input!$F$81),Input!$G$81),Input!$H$81)</f>
        <v>0.9</v>
      </c>
      <c r="AM135" s="60">
        <f t="shared" si="87"/>
        <v>0</v>
      </c>
      <c r="AN135" s="60">
        <f t="shared" si="107"/>
        <v>30</v>
      </c>
      <c r="AO135" s="60">
        <f t="shared" si="88"/>
        <v>0</v>
      </c>
      <c r="AP135" s="60">
        <f>ROUND(AO135*AN135*Input!$C$3/365,0)</f>
        <v>0</v>
      </c>
      <c r="AQ135" s="61">
        <f>IF($A135&lt;=Input!$C$6,0,IF('Fixed Tenure'!AM135&lt;'Fixed Tenure'!AO135,'Fixed Tenure'!AM135-AP135,'Fixed Tenure'!AO135))</f>
        <v>0</v>
      </c>
      <c r="AR135" s="61">
        <f t="shared" si="89"/>
        <v>0</v>
      </c>
      <c r="AS135" s="60">
        <f t="shared" si="90"/>
        <v>0</v>
      </c>
      <c r="AT135" s="193"/>
      <c r="AU135" s="169">
        <v>131</v>
      </c>
      <c r="AV135" s="1">
        <f t="shared" si="108"/>
        <v>49505</v>
      </c>
      <c r="AW135" s="60">
        <f>IF($X135&lt;Input!$H$88,IF($X135&lt;Input!$G$88,IF($X135&lt;Input!$F$88,IF($X135&lt;Input!$E$88,IF($X135&lt;Input!$D$88,Input!$C$94,Input!$D$94),Input!$E$94),Input!$F$94),Input!$G$94),Input!$H$94)</f>
        <v>0</v>
      </c>
      <c r="AX135" s="190">
        <f>IF($A135&lt;Input!$H$95,IF($A135&lt;Input!$G$95,IF($A135&lt;Input!$F$95,IF($A135&lt;Input!$E$95,IF($A135&lt;Input!$D$95,Input!$C$96,Input!$D$96),Input!$E$96),Input!$F$96),Input!$G$96),Input!$H$96)</f>
        <v>0.9</v>
      </c>
      <c r="AY135" s="60">
        <f t="shared" si="91"/>
        <v>0</v>
      </c>
      <c r="AZ135" s="60">
        <f t="shared" si="109"/>
        <v>30</v>
      </c>
      <c r="BA135" s="60">
        <f t="shared" si="92"/>
        <v>0</v>
      </c>
      <c r="BB135" s="60">
        <f>ROUND(BA135*AZ135*Input!$C$3/365,0)</f>
        <v>0</v>
      </c>
      <c r="BC135" s="61">
        <f>IF($A135&lt;=Input!$C$6,0,IF('Fixed Tenure'!AY135&lt;'Fixed Tenure'!BA135,'Fixed Tenure'!AY135-BB135,'Fixed Tenure'!BA135))</f>
        <v>0</v>
      </c>
      <c r="BD135" s="61">
        <f t="shared" si="93"/>
        <v>0</v>
      </c>
      <c r="BE135" s="60">
        <f t="shared" si="94"/>
        <v>0</v>
      </c>
      <c r="BF135" s="193"/>
      <c r="BG135" s="169">
        <v>131</v>
      </c>
      <c r="BH135" s="1">
        <f t="shared" si="110"/>
        <v>49505</v>
      </c>
      <c r="BI135" s="60">
        <f>IF($X135&lt;Input!$H$103,IF($X135&lt;Input!$G$103,IF($X135&lt;Input!$F$103,IF($X135&lt;Input!$E$103,IF($X135&lt;Input!$D$103,Input!$C$109,Input!$D$109),Input!$E$109),Input!$F$109),Input!$G$109),Input!$H$109)</f>
        <v>0</v>
      </c>
      <c r="BJ135" s="190">
        <f>IF($A135&lt;Input!$H$110,IF($A135&lt;Input!$G$110,IF($A135&lt;Input!$F$110,IF($A135&lt;Input!$E$110,IF($A135&lt;Input!$D$110,Input!$C$111,Input!$D$111),Input!$E$111),Input!$F$111),Input!$G$111),Input!$H$111)</f>
        <v>0.9</v>
      </c>
      <c r="BK135" s="60">
        <f t="shared" si="95"/>
        <v>0</v>
      </c>
      <c r="BL135" s="60">
        <f t="shared" si="111"/>
        <v>30</v>
      </c>
      <c r="BM135" s="60">
        <f t="shared" si="96"/>
        <v>0</v>
      </c>
      <c r="BN135" s="60">
        <f>ROUND(BM135*BL135*Input!$C$3/365,0)</f>
        <v>0</v>
      </c>
      <c r="BO135" s="61">
        <f>IF($A135&lt;=Input!$C$6,0,IF('Fixed Tenure'!BK135&lt;'Fixed Tenure'!BM135,'Fixed Tenure'!BK135-BN135,'Fixed Tenure'!BM135))</f>
        <v>0</v>
      </c>
      <c r="BP135" s="61">
        <f t="shared" si="97"/>
        <v>0</v>
      </c>
      <c r="BQ135" s="60">
        <f t="shared" si="98"/>
        <v>0</v>
      </c>
      <c r="BR135" s="198"/>
    </row>
    <row r="136" spans="1:70" x14ac:dyDescent="0.25">
      <c r="A136" s="169">
        <v>132</v>
      </c>
      <c r="B136" s="1">
        <f t="shared" si="99"/>
        <v>49536</v>
      </c>
      <c r="C136" s="60">
        <f t="shared" si="77"/>
        <v>33127052.878124986</v>
      </c>
      <c r="D136" s="60">
        <f t="shared" si="78"/>
        <v>29814347.590312488</v>
      </c>
      <c r="E136" s="60">
        <f t="shared" si="100"/>
        <v>31</v>
      </c>
      <c r="F136" s="60">
        <f t="shared" si="101"/>
        <v>0</v>
      </c>
      <c r="G136" s="60">
        <f>ROUND(F136*E136*Input!$C$3/365,0)</f>
        <v>0</v>
      </c>
      <c r="H136" s="60">
        <f>IF($A136&lt;=Input!$C$6,0,IF('Fixed Tenure'!D136&lt;'Fixed Tenure'!F136,'Fixed Tenure'!D136-G136,'Fixed Tenure'!F136))</f>
        <v>0</v>
      </c>
      <c r="I136" s="60">
        <f t="shared" si="102"/>
        <v>0</v>
      </c>
      <c r="J136" s="60">
        <f t="shared" si="103"/>
        <v>0</v>
      </c>
      <c r="K136" s="202">
        <f>J136/Input!$K$5</f>
        <v>0</v>
      </c>
      <c r="L136" s="232"/>
      <c r="M136" s="60">
        <f>IF($B136&lt;Input!$H$43,IF($B136&lt;Input!$G$43,IF($B136&lt;Input!$F$43,IF($B136&lt;Input!$E$43,IF($B136&lt;Input!$D$43,Input!$C$49,Input!$D$49),Input!$E$49),Input!$F$49),Input!$G$49),Input!$H$49)</f>
        <v>33127052.878124986</v>
      </c>
      <c r="N136" s="190">
        <f>IF($A136&lt;Input!$H$50,IF($A136&lt;Input!$G$50,IF($A136&lt;Input!$F$50,IF($A136&lt;Input!$E$50,IF($A136&lt;Input!$D$50,Input!$C$51,Input!$D$51),Input!$E$51),Input!$F$51),Input!$G$51),Input!$H$51)</f>
        <v>0.9</v>
      </c>
      <c r="O136" s="60">
        <f t="shared" si="76"/>
        <v>29814347.590312488</v>
      </c>
      <c r="P136" s="60">
        <f t="shared" si="79"/>
        <v>31</v>
      </c>
      <c r="Q136" s="60">
        <f t="shared" si="80"/>
        <v>0</v>
      </c>
      <c r="R136" s="60">
        <f>ROUND(Q136*$P136*Input!$C$3/365,0)</f>
        <v>0</v>
      </c>
      <c r="S136" s="60">
        <f>IF(A136&lt;=Input!$C$6,0,IF('Fixed Tenure'!O136&lt;'Fixed Tenure'!Q136,'Fixed Tenure'!O136-R136,'Fixed Tenure'!Q136))</f>
        <v>0</v>
      </c>
      <c r="T136" s="60">
        <f t="shared" si="81"/>
        <v>0</v>
      </c>
      <c r="U136" s="60">
        <f t="shared" si="82"/>
        <v>0</v>
      </c>
      <c r="V136" s="193"/>
      <c r="W136" s="169">
        <v>132</v>
      </c>
      <c r="X136" s="1">
        <f t="shared" si="104"/>
        <v>49536</v>
      </c>
      <c r="Y136" s="60">
        <f>IF($X136&lt;Input!$H$58,IF($X136&lt;Input!$G$58,IF($X136&lt;Input!$F$58,IF($X136&lt;Input!$E$58,IF($X136&lt;Input!$D$58,Input!$C$64,Input!$D$64),Input!$E$64),Input!$F$64),Input!$G$64),Input!$H$64)</f>
        <v>0</v>
      </c>
      <c r="Z136" s="190">
        <f>IF($A136&lt;Input!$H$65,IF($A136&lt;Input!$G$65,IF($A136&lt;Input!$F$65,IF($A136&lt;Input!$E$65,IF($A136&lt;Input!$D$65,Input!$C$66,Input!$D$66),Input!$E$66),Input!$F$66),Input!$G$66),Input!$H$66)</f>
        <v>0.9</v>
      </c>
      <c r="AA136" s="60">
        <f t="shared" si="83"/>
        <v>0</v>
      </c>
      <c r="AB136" s="60">
        <f t="shared" si="105"/>
        <v>31</v>
      </c>
      <c r="AC136" s="60">
        <f t="shared" si="84"/>
        <v>0</v>
      </c>
      <c r="AD136" s="60">
        <f>ROUND(AC136*AB136*Input!$C$3/365,0)</f>
        <v>0</v>
      </c>
      <c r="AE136" s="61">
        <f>IF($A136&lt;=Input!$C$6,0,IF('Fixed Tenure'!AA136&lt;'Fixed Tenure'!AC136,'Fixed Tenure'!AA136-AD136,'Fixed Tenure'!AC136))</f>
        <v>0</v>
      </c>
      <c r="AF136" s="61">
        <f t="shared" si="85"/>
        <v>0</v>
      </c>
      <c r="AG136" s="60">
        <f t="shared" si="86"/>
        <v>0</v>
      </c>
      <c r="AH136" s="193"/>
      <c r="AI136" s="169">
        <v>132</v>
      </c>
      <c r="AJ136" s="1">
        <f t="shared" si="106"/>
        <v>49536</v>
      </c>
      <c r="AK136" s="60">
        <f>IF($X136&lt;Input!$H$73,IF($X136&lt;Input!$G$73,IF($X136&lt;Input!$F$73,IF($X136&lt;Input!$E$73,IF($X136&lt;Input!$D$73,Input!$C$79,Input!$D$79),Input!$E$79),Input!$F$79),Input!$G$79),Input!$H$79)</f>
        <v>0</v>
      </c>
      <c r="AL136" s="190">
        <f>IF($A136&lt;Input!$H$80,IF($A136&lt;Input!$G$80,IF($A136&lt;Input!$F$80,IF($A136&lt;Input!$E$80,IF($A136&lt;Input!$D$80,Input!$C$81,Input!$D$81),Input!$E$81),Input!$F$81),Input!$G$81),Input!$H$81)</f>
        <v>0.9</v>
      </c>
      <c r="AM136" s="60">
        <f t="shared" si="87"/>
        <v>0</v>
      </c>
      <c r="AN136" s="60">
        <f t="shared" si="107"/>
        <v>31</v>
      </c>
      <c r="AO136" s="60">
        <f t="shared" si="88"/>
        <v>0</v>
      </c>
      <c r="AP136" s="60">
        <f>ROUND(AO136*AN136*Input!$C$3/365,0)</f>
        <v>0</v>
      </c>
      <c r="AQ136" s="61">
        <f>IF($A136&lt;=Input!$C$6,0,IF('Fixed Tenure'!AM136&lt;'Fixed Tenure'!AO136,'Fixed Tenure'!AM136-AP136,'Fixed Tenure'!AO136))</f>
        <v>0</v>
      </c>
      <c r="AR136" s="61">
        <f t="shared" si="89"/>
        <v>0</v>
      </c>
      <c r="AS136" s="60">
        <f t="shared" si="90"/>
        <v>0</v>
      </c>
      <c r="AT136" s="193"/>
      <c r="AU136" s="169">
        <v>132</v>
      </c>
      <c r="AV136" s="1">
        <f t="shared" si="108"/>
        <v>49536</v>
      </c>
      <c r="AW136" s="60">
        <f>IF($X136&lt;Input!$H$88,IF($X136&lt;Input!$G$88,IF($X136&lt;Input!$F$88,IF($X136&lt;Input!$E$88,IF($X136&lt;Input!$D$88,Input!$C$94,Input!$D$94),Input!$E$94),Input!$F$94),Input!$G$94),Input!$H$94)</f>
        <v>0</v>
      </c>
      <c r="AX136" s="190">
        <f>IF($A136&lt;Input!$H$95,IF($A136&lt;Input!$G$95,IF($A136&lt;Input!$F$95,IF($A136&lt;Input!$E$95,IF($A136&lt;Input!$D$95,Input!$C$96,Input!$D$96),Input!$E$96),Input!$F$96),Input!$G$96),Input!$H$96)</f>
        <v>0.9</v>
      </c>
      <c r="AY136" s="60">
        <f t="shared" si="91"/>
        <v>0</v>
      </c>
      <c r="AZ136" s="60">
        <f t="shared" si="109"/>
        <v>31</v>
      </c>
      <c r="BA136" s="60">
        <f t="shared" si="92"/>
        <v>0</v>
      </c>
      <c r="BB136" s="60">
        <f>ROUND(BA136*AZ136*Input!$C$3/365,0)</f>
        <v>0</v>
      </c>
      <c r="BC136" s="61">
        <f>IF($A136&lt;=Input!$C$6,0,IF('Fixed Tenure'!AY136&lt;'Fixed Tenure'!BA136,'Fixed Tenure'!AY136-BB136,'Fixed Tenure'!BA136))</f>
        <v>0</v>
      </c>
      <c r="BD136" s="61">
        <f t="shared" si="93"/>
        <v>0</v>
      </c>
      <c r="BE136" s="60">
        <f t="shared" si="94"/>
        <v>0</v>
      </c>
      <c r="BF136" s="193"/>
      <c r="BG136" s="169">
        <v>132</v>
      </c>
      <c r="BH136" s="1">
        <f t="shared" si="110"/>
        <v>49536</v>
      </c>
      <c r="BI136" s="60">
        <f>IF($X136&lt;Input!$H$103,IF($X136&lt;Input!$G$103,IF($X136&lt;Input!$F$103,IF($X136&lt;Input!$E$103,IF($X136&lt;Input!$D$103,Input!$C$109,Input!$D$109),Input!$E$109),Input!$F$109),Input!$G$109),Input!$H$109)</f>
        <v>0</v>
      </c>
      <c r="BJ136" s="190">
        <f>IF($A136&lt;Input!$H$110,IF($A136&lt;Input!$G$110,IF($A136&lt;Input!$F$110,IF($A136&lt;Input!$E$110,IF($A136&lt;Input!$D$110,Input!$C$111,Input!$D$111),Input!$E$111),Input!$F$111),Input!$G$111),Input!$H$111)</f>
        <v>0.9</v>
      </c>
      <c r="BK136" s="60">
        <f t="shared" si="95"/>
        <v>0</v>
      </c>
      <c r="BL136" s="60">
        <f t="shared" si="111"/>
        <v>31</v>
      </c>
      <c r="BM136" s="60">
        <f t="shared" si="96"/>
        <v>0</v>
      </c>
      <c r="BN136" s="60">
        <f>ROUND(BM136*BL136*Input!$C$3/365,0)</f>
        <v>0</v>
      </c>
      <c r="BO136" s="61">
        <f>IF($A136&lt;=Input!$C$6,0,IF('Fixed Tenure'!BK136&lt;'Fixed Tenure'!BM136,'Fixed Tenure'!BK136-BN136,'Fixed Tenure'!BM136))</f>
        <v>0</v>
      </c>
      <c r="BP136" s="61">
        <f t="shared" si="97"/>
        <v>0</v>
      </c>
      <c r="BQ136" s="60">
        <f t="shared" si="98"/>
        <v>0</v>
      </c>
      <c r="BR136" s="198"/>
    </row>
    <row r="137" spans="1:70" x14ac:dyDescent="0.25">
      <c r="A137" s="169">
        <v>133</v>
      </c>
      <c r="B137" s="1">
        <f t="shared" si="99"/>
        <v>49567</v>
      </c>
      <c r="C137" s="60">
        <f t="shared" si="77"/>
        <v>33127052.878124986</v>
      </c>
      <c r="D137" s="60">
        <f t="shared" si="78"/>
        <v>29814347.590312488</v>
      </c>
      <c r="E137" s="60">
        <f t="shared" si="100"/>
        <v>31</v>
      </c>
      <c r="F137" s="60">
        <f t="shared" si="101"/>
        <v>0</v>
      </c>
      <c r="G137" s="60">
        <f>ROUND(F137*E137*Input!$C$3/365,0)</f>
        <v>0</v>
      </c>
      <c r="H137" s="60">
        <f>IF($A137&lt;=Input!$C$6,0,IF('Fixed Tenure'!D137&lt;'Fixed Tenure'!F137,'Fixed Tenure'!D137-G137,'Fixed Tenure'!F137))</f>
        <v>0</v>
      </c>
      <c r="I137" s="60">
        <f t="shared" si="102"/>
        <v>0</v>
      </c>
      <c r="J137" s="60">
        <f t="shared" si="103"/>
        <v>0</v>
      </c>
      <c r="K137" s="202">
        <f>J137/Input!$K$5</f>
        <v>0</v>
      </c>
      <c r="L137" s="232"/>
      <c r="M137" s="60">
        <f>IF($B137&lt;Input!$H$43,IF($B137&lt;Input!$G$43,IF($B137&lt;Input!$F$43,IF($B137&lt;Input!$E$43,IF($B137&lt;Input!$D$43,Input!$C$49,Input!$D$49),Input!$E$49),Input!$F$49),Input!$G$49),Input!$H$49)</f>
        <v>33127052.878124986</v>
      </c>
      <c r="N137" s="190">
        <f>IF($A137&lt;Input!$H$50,IF($A137&lt;Input!$G$50,IF($A137&lt;Input!$F$50,IF($A137&lt;Input!$E$50,IF($A137&lt;Input!$D$50,Input!$C$51,Input!$D$51),Input!$E$51),Input!$F$51),Input!$G$51),Input!$H$51)</f>
        <v>0.9</v>
      </c>
      <c r="O137" s="60">
        <f t="shared" si="76"/>
        <v>29814347.590312488</v>
      </c>
      <c r="P137" s="60">
        <f t="shared" si="79"/>
        <v>31</v>
      </c>
      <c r="Q137" s="60">
        <f t="shared" si="80"/>
        <v>0</v>
      </c>
      <c r="R137" s="60">
        <f>ROUND(Q137*$P137*Input!$C$3/365,0)</f>
        <v>0</v>
      </c>
      <c r="S137" s="60">
        <f>IF(A137&lt;=Input!$C$6,0,IF('Fixed Tenure'!O137&lt;'Fixed Tenure'!Q137,'Fixed Tenure'!O137-R137,'Fixed Tenure'!Q137))</f>
        <v>0</v>
      </c>
      <c r="T137" s="60">
        <f t="shared" si="81"/>
        <v>0</v>
      </c>
      <c r="U137" s="60">
        <f t="shared" si="82"/>
        <v>0</v>
      </c>
      <c r="V137" s="193"/>
      <c r="W137" s="169">
        <v>133</v>
      </c>
      <c r="X137" s="1">
        <f t="shared" si="104"/>
        <v>49567</v>
      </c>
      <c r="Y137" s="60">
        <f>IF($X137&lt;Input!$H$58,IF($X137&lt;Input!$G$58,IF($X137&lt;Input!$F$58,IF($X137&lt;Input!$E$58,IF($X137&lt;Input!$D$58,Input!$C$64,Input!$D$64),Input!$E$64),Input!$F$64),Input!$G$64),Input!$H$64)</f>
        <v>0</v>
      </c>
      <c r="Z137" s="190">
        <f>IF($A137&lt;Input!$H$65,IF($A137&lt;Input!$G$65,IF($A137&lt;Input!$F$65,IF($A137&lt;Input!$E$65,IF($A137&lt;Input!$D$65,Input!$C$66,Input!$D$66),Input!$E$66),Input!$F$66),Input!$G$66),Input!$H$66)</f>
        <v>0.9</v>
      </c>
      <c r="AA137" s="60">
        <f t="shared" si="83"/>
        <v>0</v>
      </c>
      <c r="AB137" s="60">
        <f t="shared" si="105"/>
        <v>31</v>
      </c>
      <c r="AC137" s="60">
        <f t="shared" si="84"/>
        <v>0</v>
      </c>
      <c r="AD137" s="60">
        <f>ROUND(AC137*AB137*Input!$C$3/365,0)</f>
        <v>0</v>
      </c>
      <c r="AE137" s="61">
        <f>IF($A137&lt;=Input!$C$6,0,IF('Fixed Tenure'!AA137&lt;'Fixed Tenure'!AC137,'Fixed Tenure'!AA137-AD137,'Fixed Tenure'!AC137))</f>
        <v>0</v>
      </c>
      <c r="AF137" s="61">
        <f t="shared" si="85"/>
        <v>0</v>
      </c>
      <c r="AG137" s="60">
        <f t="shared" si="86"/>
        <v>0</v>
      </c>
      <c r="AH137" s="193"/>
      <c r="AI137" s="169">
        <v>133</v>
      </c>
      <c r="AJ137" s="1">
        <f t="shared" si="106"/>
        <v>49567</v>
      </c>
      <c r="AK137" s="60">
        <f>IF($X137&lt;Input!$H$73,IF($X137&lt;Input!$G$73,IF($X137&lt;Input!$F$73,IF($X137&lt;Input!$E$73,IF($X137&lt;Input!$D$73,Input!$C$79,Input!$D$79),Input!$E$79),Input!$F$79),Input!$G$79),Input!$H$79)</f>
        <v>0</v>
      </c>
      <c r="AL137" s="190">
        <f>IF($A137&lt;Input!$H$80,IF($A137&lt;Input!$G$80,IF($A137&lt;Input!$F$80,IF($A137&lt;Input!$E$80,IF($A137&lt;Input!$D$80,Input!$C$81,Input!$D$81),Input!$E$81),Input!$F$81),Input!$G$81),Input!$H$81)</f>
        <v>0.9</v>
      </c>
      <c r="AM137" s="60">
        <f t="shared" si="87"/>
        <v>0</v>
      </c>
      <c r="AN137" s="60">
        <f t="shared" si="107"/>
        <v>31</v>
      </c>
      <c r="AO137" s="60">
        <f t="shared" si="88"/>
        <v>0</v>
      </c>
      <c r="AP137" s="60">
        <f>ROUND(AO137*AN137*Input!$C$3/365,0)</f>
        <v>0</v>
      </c>
      <c r="AQ137" s="61">
        <f>IF($A137&lt;=Input!$C$6,0,IF('Fixed Tenure'!AM137&lt;'Fixed Tenure'!AO137,'Fixed Tenure'!AM137-AP137,'Fixed Tenure'!AO137))</f>
        <v>0</v>
      </c>
      <c r="AR137" s="61">
        <f t="shared" si="89"/>
        <v>0</v>
      </c>
      <c r="AS137" s="60">
        <f t="shared" si="90"/>
        <v>0</v>
      </c>
      <c r="AT137" s="193"/>
      <c r="AU137" s="169">
        <v>133</v>
      </c>
      <c r="AV137" s="1">
        <f t="shared" si="108"/>
        <v>49567</v>
      </c>
      <c r="AW137" s="60">
        <f>IF($X137&lt;Input!$H$88,IF($X137&lt;Input!$G$88,IF($X137&lt;Input!$F$88,IF($X137&lt;Input!$E$88,IF($X137&lt;Input!$D$88,Input!$C$94,Input!$D$94),Input!$E$94),Input!$F$94),Input!$G$94),Input!$H$94)</f>
        <v>0</v>
      </c>
      <c r="AX137" s="190">
        <f>IF($A137&lt;Input!$H$95,IF($A137&lt;Input!$G$95,IF($A137&lt;Input!$F$95,IF($A137&lt;Input!$E$95,IF($A137&lt;Input!$D$95,Input!$C$96,Input!$D$96),Input!$E$96),Input!$F$96),Input!$G$96),Input!$H$96)</f>
        <v>0.9</v>
      </c>
      <c r="AY137" s="60">
        <f t="shared" si="91"/>
        <v>0</v>
      </c>
      <c r="AZ137" s="60">
        <f t="shared" si="109"/>
        <v>31</v>
      </c>
      <c r="BA137" s="60">
        <f t="shared" si="92"/>
        <v>0</v>
      </c>
      <c r="BB137" s="60">
        <f>ROUND(BA137*AZ137*Input!$C$3/365,0)</f>
        <v>0</v>
      </c>
      <c r="BC137" s="61">
        <f>IF($A137&lt;=Input!$C$6,0,IF('Fixed Tenure'!AY137&lt;'Fixed Tenure'!BA137,'Fixed Tenure'!AY137-BB137,'Fixed Tenure'!BA137))</f>
        <v>0</v>
      </c>
      <c r="BD137" s="61">
        <f t="shared" si="93"/>
        <v>0</v>
      </c>
      <c r="BE137" s="60">
        <f t="shared" si="94"/>
        <v>0</v>
      </c>
      <c r="BF137" s="193"/>
      <c r="BG137" s="169">
        <v>133</v>
      </c>
      <c r="BH137" s="1">
        <f t="shared" si="110"/>
        <v>49567</v>
      </c>
      <c r="BI137" s="60">
        <f>IF($X137&lt;Input!$H$103,IF($X137&lt;Input!$G$103,IF($X137&lt;Input!$F$103,IF($X137&lt;Input!$E$103,IF($X137&lt;Input!$D$103,Input!$C$109,Input!$D$109),Input!$E$109),Input!$F$109),Input!$G$109),Input!$H$109)</f>
        <v>0</v>
      </c>
      <c r="BJ137" s="190">
        <f>IF($A137&lt;Input!$H$110,IF($A137&lt;Input!$G$110,IF($A137&lt;Input!$F$110,IF($A137&lt;Input!$E$110,IF($A137&lt;Input!$D$110,Input!$C$111,Input!$D$111),Input!$E$111),Input!$F$111),Input!$G$111),Input!$H$111)</f>
        <v>0.9</v>
      </c>
      <c r="BK137" s="60">
        <f t="shared" si="95"/>
        <v>0</v>
      </c>
      <c r="BL137" s="60">
        <f t="shared" si="111"/>
        <v>31</v>
      </c>
      <c r="BM137" s="60">
        <f t="shared" si="96"/>
        <v>0</v>
      </c>
      <c r="BN137" s="60">
        <f>ROUND(BM137*BL137*Input!$C$3/365,0)</f>
        <v>0</v>
      </c>
      <c r="BO137" s="61">
        <f>IF($A137&lt;=Input!$C$6,0,IF('Fixed Tenure'!BK137&lt;'Fixed Tenure'!BM137,'Fixed Tenure'!BK137-BN137,'Fixed Tenure'!BM137))</f>
        <v>0</v>
      </c>
      <c r="BP137" s="61">
        <f t="shared" si="97"/>
        <v>0</v>
      </c>
      <c r="BQ137" s="60">
        <f t="shared" si="98"/>
        <v>0</v>
      </c>
      <c r="BR137" s="198"/>
    </row>
    <row r="138" spans="1:70" x14ac:dyDescent="0.25">
      <c r="A138" s="169">
        <v>134</v>
      </c>
      <c r="B138" s="1">
        <f t="shared" si="99"/>
        <v>49597</v>
      </c>
      <c r="C138" s="60">
        <f t="shared" si="77"/>
        <v>33127052.878124986</v>
      </c>
      <c r="D138" s="60">
        <f t="shared" si="78"/>
        <v>29814347.590312488</v>
      </c>
      <c r="E138" s="60">
        <f t="shared" si="100"/>
        <v>30</v>
      </c>
      <c r="F138" s="60">
        <f t="shared" si="101"/>
        <v>0</v>
      </c>
      <c r="G138" s="60">
        <f>ROUND(F138*E138*Input!$C$3/365,0)</f>
        <v>0</v>
      </c>
      <c r="H138" s="60">
        <f>IF($A138&lt;=Input!$C$6,0,IF('Fixed Tenure'!D138&lt;'Fixed Tenure'!F138,'Fixed Tenure'!D138-G138,'Fixed Tenure'!F138))</f>
        <v>0</v>
      </c>
      <c r="I138" s="60">
        <f t="shared" si="102"/>
        <v>0</v>
      </c>
      <c r="J138" s="60">
        <f t="shared" si="103"/>
        <v>0</v>
      </c>
      <c r="K138" s="202">
        <f>J138/Input!$K$5</f>
        <v>0</v>
      </c>
      <c r="L138" s="232"/>
      <c r="M138" s="60">
        <f>IF($B138&lt;Input!$H$43,IF($B138&lt;Input!$G$43,IF($B138&lt;Input!$F$43,IF($B138&lt;Input!$E$43,IF($B138&lt;Input!$D$43,Input!$C$49,Input!$D$49),Input!$E$49),Input!$F$49),Input!$G$49),Input!$H$49)</f>
        <v>33127052.878124986</v>
      </c>
      <c r="N138" s="190">
        <f>IF($A138&lt;Input!$H$50,IF($A138&lt;Input!$G$50,IF($A138&lt;Input!$F$50,IF($A138&lt;Input!$E$50,IF($A138&lt;Input!$D$50,Input!$C$51,Input!$D$51),Input!$E$51),Input!$F$51),Input!$G$51),Input!$H$51)</f>
        <v>0.9</v>
      </c>
      <c r="O138" s="60">
        <f t="shared" si="76"/>
        <v>29814347.590312488</v>
      </c>
      <c r="P138" s="60">
        <f t="shared" si="79"/>
        <v>30</v>
      </c>
      <c r="Q138" s="60">
        <f t="shared" si="80"/>
        <v>0</v>
      </c>
      <c r="R138" s="60">
        <f>ROUND(Q138*$P138*Input!$C$3/365,0)</f>
        <v>0</v>
      </c>
      <c r="S138" s="60">
        <f>IF(A138&lt;=Input!$C$6,0,IF('Fixed Tenure'!O138&lt;'Fixed Tenure'!Q138,'Fixed Tenure'!O138-R138,'Fixed Tenure'!Q138))</f>
        <v>0</v>
      </c>
      <c r="T138" s="60">
        <f t="shared" si="81"/>
        <v>0</v>
      </c>
      <c r="U138" s="60">
        <f t="shared" si="82"/>
        <v>0</v>
      </c>
      <c r="V138" s="193"/>
      <c r="W138" s="169">
        <v>134</v>
      </c>
      <c r="X138" s="1">
        <f t="shared" si="104"/>
        <v>49597</v>
      </c>
      <c r="Y138" s="60">
        <f>IF($X138&lt;Input!$H$58,IF($X138&lt;Input!$G$58,IF($X138&lt;Input!$F$58,IF($X138&lt;Input!$E$58,IF($X138&lt;Input!$D$58,Input!$C$64,Input!$D$64),Input!$E$64),Input!$F$64),Input!$G$64),Input!$H$64)</f>
        <v>0</v>
      </c>
      <c r="Z138" s="190">
        <f>IF($A138&lt;Input!$H$65,IF($A138&lt;Input!$G$65,IF($A138&lt;Input!$F$65,IF($A138&lt;Input!$E$65,IF($A138&lt;Input!$D$65,Input!$C$66,Input!$D$66),Input!$E$66),Input!$F$66),Input!$G$66),Input!$H$66)</f>
        <v>0.9</v>
      </c>
      <c r="AA138" s="60">
        <f t="shared" si="83"/>
        <v>0</v>
      </c>
      <c r="AB138" s="60">
        <f t="shared" si="105"/>
        <v>30</v>
      </c>
      <c r="AC138" s="60">
        <f t="shared" si="84"/>
        <v>0</v>
      </c>
      <c r="AD138" s="60">
        <f>ROUND(AC138*AB138*Input!$C$3/365,0)</f>
        <v>0</v>
      </c>
      <c r="AE138" s="61">
        <f>IF($A138&lt;=Input!$C$6,0,IF('Fixed Tenure'!AA138&lt;'Fixed Tenure'!AC138,'Fixed Tenure'!AA138-AD138,'Fixed Tenure'!AC138))</f>
        <v>0</v>
      </c>
      <c r="AF138" s="61">
        <f t="shared" si="85"/>
        <v>0</v>
      </c>
      <c r="AG138" s="60">
        <f t="shared" si="86"/>
        <v>0</v>
      </c>
      <c r="AH138" s="193"/>
      <c r="AI138" s="169">
        <v>134</v>
      </c>
      <c r="AJ138" s="1">
        <f t="shared" si="106"/>
        <v>49597</v>
      </c>
      <c r="AK138" s="60">
        <f>IF($X138&lt;Input!$H$73,IF($X138&lt;Input!$G$73,IF($X138&lt;Input!$F$73,IF($X138&lt;Input!$E$73,IF($X138&lt;Input!$D$73,Input!$C$79,Input!$D$79),Input!$E$79),Input!$F$79),Input!$G$79),Input!$H$79)</f>
        <v>0</v>
      </c>
      <c r="AL138" s="190">
        <f>IF($A138&lt;Input!$H$80,IF($A138&lt;Input!$G$80,IF($A138&lt;Input!$F$80,IF($A138&lt;Input!$E$80,IF($A138&lt;Input!$D$80,Input!$C$81,Input!$D$81),Input!$E$81),Input!$F$81),Input!$G$81),Input!$H$81)</f>
        <v>0.9</v>
      </c>
      <c r="AM138" s="60">
        <f t="shared" si="87"/>
        <v>0</v>
      </c>
      <c r="AN138" s="60">
        <f t="shared" si="107"/>
        <v>30</v>
      </c>
      <c r="AO138" s="60">
        <f t="shared" si="88"/>
        <v>0</v>
      </c>
      <c r="AP138" s="60">
        <f>ROUND(AO138*AN138*Input!$C$3/365,0)</f>
        <v>0</v>
      </c>
      <c r="AQ138" s="61">
        <f>IF($A138&lt;=Input!$C$6,0,IF('Fixed Tenure'!AM138&lt;'Fixed Tenure'!AO138,'Fixed Tenure'!AM138-AP138,'Fixed Tenure'!AO138))</f>
        <v>0</v>
      </c>
      <c r="AR138" s="61">
        <f t="shared" si="89"/>
        <v>0</v>
      </c>
      <c r="AS138" s="60">
        <f t="shared" si="90"/>
        <v>0</v>
      </c>
      <c r="AT138" s="193"/>
      <c r="AU138" s="169">
        <v>134</v>
      </c>
      <c r="AV138" s="1">
        <f t="shared" si="108"/>
        <v>49597</v>
      </c>
      <c r="AW138" s="60">
        <f>IF($X138&lt;Input!$H$88,IF($X138&lt;Input!$G$88,IF($X138&lt;Input!$F$88,IF($X138&lt;Input!$E$88,IF($X138&lt;Input!$D$88,Input!$C$94,Input!$D$94),Input!$E$94),Input!$F$94),Input!$G$94),Input!$H$94)</f>
        <v>0</v>
      </c>
      <c r="AX138" s="190">
        <f>IF($A138&lt;Input!$H$95,IF($A138&lt;Input!$G$95,IF($A138&lt;Input!$F$95,IF($A138&lt;Input!$E$95,IF($A138&lt;Input!$D$95,Input!$C$96,Input!$D$96),Input!$E$96),Input!$F$96),Input!$G$96),Input!$H$96)</f>
        <v>0.9</v>
      </c>
      <c r="AY138" s="60">
        <f t="shared" si="91"/>
        <v>0</v>
      </c>
      <c r="AZ138" s="60">
        <f t="shared" si="109"/>
        <v>30</v>
      </c>
      <c r="BA138" s="60">
        <f t="shared" si="92"/>
        <v>0</v>
      </c>
      <c r="BB138" s="60">
        <f>ROUND(BA138*AZ138*Input!$C$3/365,0)</f>
        <v>0</v>
      </c>
      <c r="BC138" s="61">
        <f>IF($A138&lt;=Input!$C$6,0,IF('Fixed Tenure'!AY138&lt;'Fixed Tenure'!BA138,'Fixed Tenure'!AY138-BB138,'Fixed Tenure'!BA138))</f>
        <v>0</v>
      </c>
      <c r="BD138" s="61">
        <f t="shared" si="93"/>
        <v>0</v>
      </c>
      <c r="BE138" s="60">
        <f t="shared" si="94"/>
        <v>0</v>
      </c>
      <c r="BF138" s="193"/>
      <c r="BG138" s="169">
        <v>134</v>
      </c>
      <c r="BH138" s="1">
        <f t="shared" si="110"/>
        <v>49597</v>
      </c>
      <c r="BI138" s="60">
        <f>IF($X138&lt;Input!$H$103,IF($X138&lt;Input!$G$103,IF($X138&lt;Input!$F$103,IF($X138&lt;Input!$E$103,IF($X138&lt;Input!$D$103,Input!$C$109,Input!$D$109),Input!$E$109),Input!$F$109),Input!$G$109),Input!$H$109)</f>
        <v>0</v>
      </c>
      <c r="BJ138" s="190">
        <f>IF($A138&lt;Input!$H$110,IF($A138&lt;Input!$G$110,IF($A138&lt;Input!$F$110,IF($A138&lt;Input!$E$110,IF($A138&lt;Input!$D$110,Input!$C$111,Input!$D$111),Input!$E$111),Input!$F$111),Input!$G$111),Input!$H$111)</f>
        <v>0.9</v>
      </c>
      <c r="BK138" s="60">
        <f t="shared" si="95"/>
        <v>0</v>
      </c>
      <c r="BL138" s="60">
        <f t="shared" si="111"/>
        <v>30</v>
      </c>
      <c r="BM138" s="60">
        <f t="shared" si="96"/>
        <v>0</v>
      </c>
      <c r="BN138" s="60">
        <f>ROUND(BM138*BL138*Input!$C$3/365,0)</f>
        <v>0</v>
      </c>
      <c r="BO138" s="61">
        <f>IF($A138&lt;=Input!$C$6,0,IF('Fixed Tenure'!BK138&lt;'Fixed Tenure'!BM138,'Fixed Tenure'!BK138-BN138,'Fixed Tenure'!BM138))</f>
        <v>0</v>
      </c>
      <c r="BP138" s="61">
        <f t="shared" si="97"/>
        <v>0</v>
      </c>
      <c r="BQ138" s="60">
        <f t="shared" si="98"/>
        <v>0</v>
      </c>
      <c r="BR138" s="198"/>
    </row>
    <row r="139" spans="1:70" x14ac:dyDescent="0.25">
      <c r="A139" s="169">
        <v>135</v>
      </c>
      <c r="B139" s="1">
        <f t="shared" si="99"/>
        <v>49628</v>
      </c>
      <c r="C139" s="60">
        <f t="shared" si="77"/>
        <v>33127052.878124986</v>
      </c>
      <c r="D139" s="60">
        <f t="shared" si="78"/>
        <v>29814347.590312488</v>
      </c>
      <c r="E139" s="60">
        <f t="shared" si="100"/>
        <v>31</v>
      </c>
      <c r="F139" s="60">
        <f t="shared" si="101"/>
        <v>0</v>
      </c>
      <c r="G139" s="60">
        <f>ROUND(F139*E139*Input!$C$3/365,0)</f>
        <v>0</v>
      </c>
      <c r="H139" s="60">
        <f>IF($A139&lt;=Input!$C$6,0,IF('Fixed Tenure'!D139&lt;'Fixed Tenure'!F139,'Fixed Tenure'!D139-G139,'Fixed Tenure'!F139))</f>
        <v>0</v>
      </c>
      <c r="I139" s="60">
        <f t="shared" si="102"/>
        <v>0</v>
      </c>
      <c r="J139" s="60">
        <f t="shared" si="103"/>
        <v>0</v>
      </c>
      <c r="K139" s="202">
        <f>J139/Input!$K$5</f>
        <v>0</v>
      </c>
      <c r="L139" s="232"/>
      <c r="M139" s="60">
        <f>IF($B139&lt;Input!$H$43,IF($B139&lt;Input!$G$43,IF($B139&lt;Input!$F$43,IF($B139&lt;Input!$E$43,IF($B139&lt;Input!$D$43,Input!$C$49,Input!$D$49),Input!$E$49),Input!$F$49),Input!$G$49),Input!$H$49)</f>
        <v>33127052.878124986</v>
      </c>
      <c r="N139" s="190">
        <f>IF($A139&lt;Input!$H$50,IF($A139&lt;Input!$G$50,IF($A139&lt;Input!$F$50,IF($A139&lt;Input!$E$50,IF($A139&lt;Input!$D$50,Input!$C$51,Input!$D$51),Input!$E$51),Input!$F$51),Input!$G$51),Input!$H$51)</f>
        <v>0.9</v>
      </c>
      <c r="O139" s="60">
        <f t="shared" si="76"/>
        <v>29814347.590312488</v>
      </c>
      <c r="P139" s="60">
        <f t="shared" si="79"/>
        <v>31</v>
      </c>
      <c r="Q139" s="60">
        <f t="shared" si="80"/>
        <v>0</v>
      </c>
      <c r="R139" s="60">
        <f>ROUND(Q139*$P139*Input!$C$3/365,0)</f>
        <v>0</v>
      </c>
      <c r="S139" s="60">
        <f>IF(A139&lt;=Input!$C$6,0,IF('Fixed Tenure'!O139&lt;'Fixed Tenure'!Q139,'Fixed Tenure'!O139-R139,'Fixed Tenure'!Q139))</f>
        <v>0</v>
      </c>
      <c r="T139" s="60">
        <f t="shared" si="81"/>
        <v>0</v>
      </c>
      <c r="U139" s="60">
        <f t="shared" si="82"/>
        <v>0</v>
      </c>
      <c r="V139" s="193"/>
      <c r="W139" s="169">
        <v>135</v>
      </c>
      <c r="X139" s="1">
        <f t="shared" si="104"/>
        <v>49628</v>
      </c>
      <c r="Y139" s="60">
        <f>IF($X139&lt;Input!$H$58,IF($X139&lt;Input!$G$58,IF($X139&lt;Input!$F$58,IF($X139&lt;Input!$E$58,IF($X139&lt;Input!$D$58,Input!$C$64,Input!$D$64),Input!$E$64),Input!$F$64),Input!$G$64),Input!$H$64)</f>
        <v>0</v>
      </c>
      <c r="Z139" s="190">
        <f>IF($A139&lt;Input!$H$65,IF($A139&lt;Input!$G$65,IF($A139&lt;Input!$F$65,IF($A139&lt;Input!$E$65,IF($A139&lt;Input!$D$65,Input!$C$66,Input!$D$66),Input!$E$66),Input!$F$66),Input!$G$66),Input!$H$66)</f>
        <v>0.9</v>
      </c>
      <c r="AA139" s="60">
        <f t="shared" si="83"/>
        <v>0</v>
      </c>
      <c r="AB139" s="60">
        <f t="shared" si="105"/>
        <v>31</v>
      </c>
      <c r="AC139" s="60">
        <f t="shared" si="84"/>
        <v>0</v>
      </c>
      <c r="AD139" s="60">
        <f>ROUND(AC139*AB139*Input!$C$3/365,0)</f>
        <v>0</v>
      </c>
      <c r="AE139" s="61">
        <f>IF($A139&lt;=Input!$C$6,0,IF('Fixed Tenure'!AA139&lt;'Fixed Tenure'!AC139,'Fixed Tenure'!AA139-AD139,'Fixed Tenure'!AC139))</f>
        <v>0</v>
      </c>
      <c r="AF139" s="61">
        <f t="shared" si="85"/>
        <v>0</v>
      </c>
      <c r="AG139" s="60">
        <f t="shared" si="86"/>
        <v>0</v>
      </c>
      <c r="AH139" s="193"/>
      <c r="AI139" s="169">
        <v>135</v>
      </c>
      <c r="AJ139" s="1">
        <f t="shared" si="106"/>
        <v>49628</v>
      </c>
      <c r="AK139" s="60">
        <f>IF($X139&lt;Input!$H$73,IF($X139&lt;Input!$G$73,IF($X139&lt;Input!$F$73,IF($X139&lt;Input!$E$73,IF($X139&lt;Input!$D$73,Input!$C$79,Input!$D$79),Input!$E$79),Input!$F$79),Input!$G$79),Input!$H$79)</f>
        <v>0</v>
      </c>
      <c r="AL139" s="190">
        <f>IF($A139&lt;Input!$H$80,IF($A139&lt;Input!$G$80,IF($A139&lt;Input!$F$80,IF($A139&lt;Input!$E$80,IF($A139&lt;Input!$D$80,Input!$C$81,Input!$D$81),Input!$E$81),Input!$F$81),Input!$G$81),Input!$H$81)</f>
        <v>0.9</v>
      </c>
      <c r="AM139" s="60">
        <f t="shared" si="87"/>
        <v>0</v>
      </c>
      <c r="AN139" s="60">
        <f t="shared" si="107"/>
        <v>31</v>
      </c>
      <c r="AO139" s="60">
        <f t="shared" si="88"/>
        <v>0</v>
      </c>
      <c r="AP139" s="60">
        <f>ROUND(AO139*AN139*Input!$C$3/365,0)</f>
        <v>0</v>
      </c>
      <c r="AQ139" s="61">
        <f>IF($A139&lt;=Input!$C$6,0,IF('Fixed Tenure'!AM139&lt;'Fixed Tenure'!AO139,'Fixed Tenure'!AM139-AP139,'Fixed Tenure'!AO139))</f>
        <v>0</v>
      </c>
      <c r="AR139" s="61">
        <f t="shared" si="89"/>
        <v>0</v>
      </c>
      <c r="AS139" s="60">
        <f t="shared" si="90"/>
        <v>0</v>
      </c>
      <c r="AT139" s="193"/>
      <c r="AU139" s="169">
        <v>135</v>
      </c>
      <c r="AV139" s="1">
        <f t="shared" si="108"/>
        <v>49628</v>
      </c>
      <c r="AW139" s="60">
        <f>IF($X139&lt;Input!$H$88,IF($X139&lt;Input!$G$88,IF($X139&lt;Input!$F$88,IF($X139&lt;Input!$E$88,IF($X139&lt;Input!$D$88,Input!$C$94,Input!$D$94),Input!$E$94),Input!$F$94),Input!$G$94),Input!$H$94)</f>
        <v>0</v>
      </c>
      <c r="AX139" s="190">
        <f>IF($A139&lt;Input!$H$95,IF($A139&lt;Input!$G$95,IF($A139&lt;Input!$F$95,IF($A139&lt;Input!$E$95,IF($A139&lt;Input!$D$95,Input!$C$96,Input!$D$96),Input!$E$96),Input!$F$96),Input!$G$96),Input!$H$96)</f>
        <v>0.9</v>
      </c>
      <c r="AY139" s="60">
        <f t="shared" si="91"/>
        <v>0</v>
      </c>
      <c r="AZ139" s="60">
        <f t="shared" si="109"/>
        <v>31</v>
      </c>
      <c r="BA139" s="60">
        <f t="shared" si="92"/>
        <v>0</v>
      </c>
      <c r="BB139" s="60">
        <f>ROUND(BA139*AZ139*Input!$C$3/365,0)</f>
        <v>0</v>
      </c>
      <c r="BC139" s="61">
        <f>IF($A139&lt;=Input!$C$6,0,IF('Fixed Tenure'!AY139&lt;'Fixed Tenure'!BA139,'Fixed Tenure'!AY139-BB139,'Fixed Tenure'!BA139))</f>
        <v>0</v>
      </c>
      <c r="BD139" s="61">
        <f t="shared" si="93"/>
        <v>0</v>
      </c>
      <c r="BE139" s="60">
        <f t="shared" si="94"/>
        <v>0</v>
      </c>
      <c r="BF139" s="193"/>
      <c r="BG139" s="169">
        <v>135</v>
      </c>
      <c r="BH139" s="1">
        <f t="shared" si="110"/>
        <v>49628</v>
      </c>
      <c r="BI139" s="60">
        <f>IF($X139&lt;Input!$H$103,IF($X139&lt;Input!$G$103,IF($X139&lt;Input!$F$103,IF($X139&lt;Input!$E$103,IF($X139&lt;Input!$D$103,Input!$C$109,Input!$D$109),Input!$E$109),Input!$F$109),Input!$G$109),Input!$H$109)</f>
        <v>0</v>
      </c>
      <c r="BJ139" s="190">
        <f>IF($A139&lt;Input!$H$110,IF($A139&lt;Input!$G$110,IF($A139&lt;Input!$F$110,IF($A139&lt;Input!$E$110,IF($A139&lt;Input!$D$110,Input!$C$111,Input!$D$111),Input!$E$111),Input!$F$111),Input!$G$111),Input!$H$111)</f>
        <v>0.9</v>
      </c>
      <c r="BK139" s="60">
        <f t="shared" si="95"/>
        <v>0</v>
      </c>
      <c r="BL139" s="60">
        <f t="shared" si="111"/>
        <v>31</v>
      </c>
      <c r="BM139" s="60">
        <f t="shared" si="96"/>
        <v>0</v>
      </c>
      <c r="BN139" s="60">
        <f>ROUND(BM139*BL139*Input!$C$3/365,0)</f>
        <v>0</v>
      </c>
      <c r="BO139" s="61">
        <f>IF($A139&lt;=Input!$C$6,0,IF('Fixed Tenure'!BK139&lt;'Fixed Tenure'!BM139,'Fixed Tenure'!BK139-BN139,'Fixed Tenure'!BM139))</f>
        <v>0</v>
      </c>
      <c r="BP139" s="61">
        <f t="shared" si="97"/>
        <v>0</v>
      </c>
      <c r="BQ139" s="60">
        <f t="shared" si="98"/>
        <v>0</v>
      </c>
      <c r="BR139" s="198"/>
    </row>
    <row r="140" spans="1:70" x14ac:dyDescent="0.25">
      <c r="A140" s="169">
        <v>136</v>
      </c>
      <c r="B140" s="1">
        <f t="shared" si="99"/>
        <v>49658</v>
      </c>
      <c r="C140" s="60">
        <f t="shared" si="77"/>
        <v>33127052.878124986</v>
      </c>
      <c r="D140" s="60">
        <f t="shared" si="78"/>
        <v>29814347.590312488</v>
      </c>
      <c r="E140" s="60">
        <f t="shared" si="100"/>
        <v>30</v>
      </c>
      <c r="F140" s="60">
        <f t="shared" si="101"/>
        <v>0</v>
      </c>
      <c r="G140" s="60">
        <f>ROUND(F140*E140*Input!$C$3/365,0)</f>
        <v>0</v>
      </c>
      <c r="H140" s="60">
        <f>IF($A140&lt;=Input!$C$6,0,IF('Fixed Tenure'!D140&lt;'Fixed Tenure'!F140,'Fixed Tenure'!D140-G140,'Fixed Tenure'!F140))</f>
        <v>0</v>
      </c>
      <c r="I140" s="60">
        <f t="shared" si="102"/>
        <v>0</v>
      </c>
      <c r="J140" s="60">
        <f t="shared" si="103"/>
        <v>0</v>
      </c>
      <c r="K140" s="202">
        <f>J140/Input!$K$5</f>
        <v>0</v>
      </c>
      <c r="L140" s="232"/>
      <c r="M140" s="60">
        <f>IF($B140&lt;Input!$H$43,IF($B140&lt;Input!$G$43,IF($B140&lt;Input!$F$43,IF($B140&lt;Input!$E$43,IF($B140&lt;Input!$D$43,Input!$C$49,Input!$D$49),Input!$E$49),Input!$F$49),Input!$G$49),Input!$H$49)</f>
        <v>33127052.878124986</v>
      </c>
      <c r="N140" s="190">
        <f>IF($A140&lt;Input!$H$50,IF($A140&lt;Input!$G$50,IF($A140&lt;Input!$F$50,IF($A140&lt;Input!$E$50,IF($A140&lt;Input!$D$50,Input!$C$51,Input!$D$51),Input!$E$51),Input!$F$51),Input!$G$51),Input!$H$51)</f>
        <v>0.9</v>
      </c>
      <c r="O140" s="60">
        <f t="shared" si="76"/>
        <v>29814347.590312488</v>
      </c>
      <c r="P140" s="60">
        <f t="shared" si="79"/>
        <v>30</v>
      </c>
      <c r="Q140" s="60">
        <f t="shared" si="80"/>
        <v>0</v>
      </c>
      <c r="R140" s="60">
        <f>ROUND(Q140*$P140*Input!$C$3/365,0)</f>
        <v>0</v>
      </c>
      <c r="S140" s="60">
        <f>IF(A140&lt;=Input!$C$6,0,IF('Fixed Tenure'!O140&lt;'Fixed Tenure'!Q140,'Fixed Tenure'!O140-R140,'Fixed Tenure'!Q140))</f>
        <v>0</v>
      </c>
      <c r="T140" s="60">
        <f t="shared" si="81"/>
        <v>0</v>
      </c>
      <c r="U140" s="60">
        <f t="shared" si="82"/>
        <v>0</v>
      </c>
      <c r="V140" s="193"/>
      <c r="W140" s="169">
        <v>136</v>
      </c>
      <c r="X140" s="1">
        <f t="shared" si="104"/>
        <v>49658</v>
      </c>
      <c r="Y140" s="60">
        <f>IF($X140&lt;Input!$H$58,IF($X140&lt;Input!$G$58,IF($X140&lt;Input!$F$58,IF($X140&lt;Input!$E$58,IF($X140&lt;Input!$D$58,Input!$C$64,Input!$D$64),Input!$E$64),Input!$F$64),Input!$G$64),Input!$H$64)</f>
        <v>0</v>
      </c>
      <c r="Z140" s="190">
        <f>IF($A140&lt;Input!$H$65,IF($A140&lt;Input!$G$65,IF($A140&lt;Input!$F$65,IF($A140&lt;Input!$E$65,IF($A140&lt;Input!$D$65,Input!$C$66,Input!$D$66),Input!$E$66),Input!$F$66),Input!$G$66),Input!$H$66)</f>
        <v>0.9</v>
      </c>
      <c r="AA140" s="60">
        <f t="shared" si="83"/>
        <v>0</v>
      </c>
      <c r="AB140" s="60">
        <f t="shared" si="105"/>
        <v>30</v>
      </c>
      <c r="AC140" s="60">
        <f t="shared" si="84"/>
        <v>0</v>
      </c>
      <c r="AD140" s="60">
        <f>ROUND(AC140*AB140*Input!$C$3/365,0)</f>
        <v>0</v>
      </c>
      <c r="AE140" s="61">
        <f>IF($A140&lt;=Input!$C$6,0,IF('Fixed Tenure'!AA140&lt;'Fixed Tenure'!AC140,'Fixed Tenure'!AA140-AD140,'Fixed Tenure'!AC140))</f>
        <v>0</v>
      </c>
      <c r="AF140" s="61">
        <f t="shared" si="85"/>
        <v>0</v>
      </c>
      <c r="AG140" s="60">
        <f t="shared" si="86"/>
        <v>0</v>
      </c>
      <c r="AH140" s="193"/>
      <c r="AI140" s="169">
        <v>136</v>
      </c>
      <c r="AJ140" s="1">
        <f t="shared" si="106"/>
        <v>49658</v>
      </c>
      <c r="AK140" s="60">
        <f>IF($X140&lt;Input!$H$73,IF($X140&lt;Input!$G$73,IF($X140&lt;Input!$F$73,IF($X140&lt;Input!$E$73,IF($X140&lt;Input!$D$73,Input!$C$79,Input!$D$79),Input!$E$79),Input!$F$79),Input!$G$79),Input!$H$79)</f>
        <v>0</v>
      </c>
      <c r="AL140" s="190">
        <f>IF($A140&lt;Input!$H$80,IF($A140&lt;Input!$G$80,IF($A140&lt;Input!$F$80,IF($A140&lt;Input!$E$80,IF($A140&lt;Input!$D$80,Input!$C$81,Input!$D$81),Input!$E$81),Input!$F$81),Input!$G$81),Input!$H$81)</f>
        <v>0.9</v>
      </c>
      <c r="AM140" s="60">
        <f t="shared" si="87"/>
        <v>0</v>
      </c>
      <c r="AN140" s="60">
        <f t="shared" si="107"/>
        <v>30</v>
      </c>
      <c r="AO140" s="60">
        <f t="shared" si="88"/>
        <v>0</v>
      </c>
      <c r="AP140" s="60">
        <f>ROUND(AO140*AN140*Input!$C$3/365,0)</f>
        <v>0</v>
      </c>
      <c r="AQ140" s="61">
        <f>IF($A140&lt;=Input!$C$6,0,IF('Fixed Tenure'!AM140&lt;'Fixed Tenure'!AO140,'Fixed Tenure'!AM140-AP140,'Fixed Tenure'!AO140))</f>
        <v>0</v>
      </c>
      <c r="AR140" s="61">
        <f t="shared" si="89"/>
        <v>0</v>
      </c>
      <c r="AS140" s="60">
        <f t="shared" si="90"/>
        <v>0</v>
      </c>
      <c r="AT140" s="193"/>
      <c r="AU140" s="169">
        <v>136</v>
      </c>
      <c r="AV140" s="1">
        <f t="shared" si="108"/>
        <v>49658</v>
      </c>
      <c r="AW140" s="60">
        <f>IF($X140&lt;Input!$H$88,IF($X140&lt;Input!$G$88,IF($X140&lt;Input!$F$88,IF($X140&lt;Input!$E$88,IF($X140&lt;Input!$D$88,Input!$C$94,Input!$D$94),Input!$E$94),Input!$F$94),Input!$G$94),Input!$H$94)</f>
        <v>0</v>
      </c>
      <c r="AX140" s="190">
        <f>IF($A140&lt;Input!$H$95,IF($A140&lt;Input!$G$95,IF($A140&lt;Input!$F$95,IF($A140&lt;Input!$E$95,IF($A140&lt;Input!$D$95,Input!$C$96,Input!$D$96),Input!$E$96),Input!$F$96),Input!$G$96),Input!$H$96)</f>
        <v>0.9</v>
      </c>
      <c r="AY140" s="60">
        <f t="shared" si="91"/>
        <v>0</v>
      </c>
      <c r="AZ140" s="60">
        <f t="shared" si="109"/>
        <v>30</v>
      </c>
      <c r="BA140" s="60">
        <f t="shared" si="92"/>
        <v>0</v>
      </c>
      <c r="BB140" s="60">
        <f>ROUND(BA140*AZ140*Input!$C$3/365,0)</f>
        <v>0</v>
      </c>
      <c r="BC140" s="61">
        <f>IF($A140&lt;=Input!$C$6,0,IF('Fixed Tenure'!AY140&lt;'Fixed Tenure'!BA140,'Fixed Tenure'!AY140-BB140,'Fixed Tenure'!BA140))</f>
        <v>0</v>
      </c>
      <c r="BD140" s="61">
        <f t="shared" si="93"/>
        <v>0</v>
      </c>
      <c r="BE140" s="60">
        <f t="shared" si="94"/>
        <v>0</v>
      </c>
      <c r="BF140" s="193"/>
      <c r="BG140" s="169">
        <v>136</v>
      </c>
      <c r="BH140" s="1">
        <f t="shared" si="110"/>
        <v>49658</v>
      </c>
      <c r="BI140" s="60">
        <f>IF($X140&lt;Input!$H$103,IF($X140&lt;Input!$G$103,IF($X140&lt;Input!$F$103,IF($X140&lt;Input!$E$103,IF($X140&lt;Input!$D$103,Input!$C$109,Input!$D$109),Input!$E$109),Input!$F$109),Input!$G$109),Input!$H$109)</f>
        <v>0</v>
      </c>
      <c r="BJ140" s="190">
        <f>IF($A140&lt;Input!$H$110,IF($A140&lt;Input!$G$110,IF($A140&lt;Input!$F$110,IF($A140&lt;Input!$E$110,IF($A140&lt;Input!$D$110,Input!$C$111,Input!$D$111),Input!$E$111),Input!$F$111),Input!$G$111),Input!$H$111)</f>
        <v>0.9</v>
      </c>
      <c r="BK140" s="60">
        <f t="shared" si="95"/>
        <v>0</v>
      </c>
      <c r="BL140" s="60">
        <f t="shared" si="111"/>
        <v>30</v>
      </c>
      <c r="BM140" s="60">
        <f t="shared" si="96"/>
        <v>0</v>
      </c>
      <c r="BN140" s="60">
        <f>ROUND(BM140*BL140*Input!$C$3/365,0)</f>
        <v>0</v>
      </c>
      <c r="BO140" s="61">
        <f>IF($A140&lt;=Input!$C$6,0,IF('Fixed Tenure'!BK140&lt;'Fixed Tenure'!BM140,'Fixed Tenure'!BK140-BN140,'Fixed Tenure'!BM140))</f>
        <v>0</v>
      </c>
      <c r="BP140" s="61">
        <f t="shared" si="97"/>
        <v>0</v>
      </c>
      <c r="BQ140" s="60">
        <f t="shared" si="98"/>
        <v>0</v>
      </c>
      <c r="BR140" s="198"/>
    </row>
    <row r="141" spans="1:70" x14ac:dyDescent="0.25">
      <c r="A141" s="169">
        <v>137</v>
      </c>
      <c r="B141" s="1">
        <f t="shared" si="99"/>
        <v>49689</v>
      </c>
      <c r="C141" s="60">
        <f t="shared" si="77"/>
        <v>33127052.878124986</v>
      </c>
      <c r="D141" s="60">
        <f t="shared" si="78"/>
        <v>29814347.590312488</v>
      </c>
      <c r="E141" s="60">
        <f t="shared" si="100"/>
        <v>31</v>
      </c>
      <c r="F141" s="60">
        <f t="shared" si="101"/>
        <v>0</v>
      </c>
      <c r="G141" s="60">
        <f>ROUND(F141*E141*Input!$C$3/365,0)</f>
        <v>0</v>
      </c>
      <c r="H141" s="60">
        <f>IF($A141&lt;=Input!$C$6,0,IF('Fixed Tenure'!D141&lt;'Fixed Tenure'!F141,'Fixed Tenure'!D141-G141,'Fixed Tenure'!F141))</f>
        <v>0</v>
      </c>
      <c r="I141" s="60">
        <f t="shared" si="102"/>
        <v>0</v>
      </c>
      <c r="J141" s="60">
        <f t="shared" si="103"/>
        <v>0</v>
      </c>
      <c r="K141" s="202">
        <f>J141/Input!$K$5</f>
        <v>0</v>
      </c>
      <c r="L141" s="232"/>
      <c r="M141" s="60">
        <f>IF($B141&lt;Input!$H$43,IF($B141&lt;Input!$G$43,IF($B141&lt;Input!$F$43,IF($B141&lt;Input!$E$43,IF($B141&lt;Input!$D$43,Input!$C$49,Input!$D$49),Input!$E$49),Input!$F$49),Input!$G$49),Input!$H$49)</f>
        <v>33127052.878124986</v>
      </c>
      <c r="N141" s="190">
        <f>IF($A141&lt;Input!$H$50,IF($A141&lt;Input!$G$50,IF($A141&lt;Input!$F$50,IF($A141&lt;Input!$E$50,IF($A141&lt;Input!$D$50,Input!$C$51,Input!$D$51),Input!$E$51),Input!$F$51),Input!$G$51),Input!$H$51)</f>
        <v>0.9</v>
      </c>
      <c r="O141" s="60">
        <f t="shared" si="76"/>
        <v>29814347.590312488</v>
      </c>
      <c r="P141" s="60">
        <f t="shared" si="79"/>
        <v>31</v>
      </c>
      <c r="Q141" s="60">
        <f t="shared" si="80"/>
        <v>0</v>
      </c>
      <c r="R141" s="60">
        <f>ROUND(Q141*$P141*Input!$C$3/365,0)</f>
        <v>0</v>
      </c>
      <c r="S141" s="60">
        <f>IF(A141&lt;=Input!$C$6,0,IF('Fixed Tenure'!O141&lt;'Fixed Tenure'!Q141,'Fixed Tenure'!O141-R141,'Fixed Tenure'!Q141))</f>
        <v>0</v>
      </c>
      <c r="T141" s="60">
        <f t="shared" si="81"/>
        <v>0</v>
      </c>
      <c r="U141" s="60">
        <f t="shared" si="82"/>
        <v>0</v>
      </c>
      <c r="V141" s="193"/>
      <c r="W141" s="169">
        <v>137</v>
      </c>
      <c r="X141" s="1">
        <f t="shared" si="104"/>
        <v>49689</v>
      </c>
      <c r="Y141" s="60">
        <f>IF($X141&lt;Input!$H$58,IF($X141&lt;Input!$G$58,IF($X141&lt;Input!$F$58,IF($X141&lt;Input!$E$58,IF($X141&lt;Input!$D$58,Input!$C$64,Input!$D$64),Input!$E$64),Input!$F$64),Input!$G$64),Input!$H$64)</f>
        <v>0</v>
      </c>
      <c r="Z141" s="190">
        <f>IF($A141&lt;Input!$H$65,IF($A141&lt;Input!$G$65,IF($A141&lt;Input!$F$65,IF($A141&lt;Input!$E$65,IF($A141&lt;Input!$D$65,Input!$C$66,Input!$D$66),Input!$E$66),Input!$F$66),Input!$G$66),Input!$H$66)</f>
        <v>0.9</v>
      </c>
      <c r="AA141" s="60">
        <f t="shared" si="83"/>
        <v>0</v>
      </c>
      <c r="AB141" s="60">
        <f t="shared" si="105"/>
        <v>31</v>
      </c>
      <c r="AC141" s="60">
        <f t="shared" si="84"/>
        <v>0</v>
      </c>
      <c r="AD141" s="60">
        <f>ROUND(AC141*AB141*Input!$C$3/365,0)</f>
        <v>0</v>
      </c>
      <c r="AE141" s="61">
        <f>IF($A141&lt;=Input!$C$6,0,IF('Fixed Tenure'!AA141&lt;'Fixed Tenure'!AC141,'Fixed Tenure'!AA141-AD141,'Fixed Tenure'!AC141))</f>
        <v>0</v>
      </c>
      <c r="AF141" s="61">
        <f t="shared" si="85"/>
        <v>0</v>
      </c>
      <c r="AG141" s="60">
        <f t="shared" si="86"/>
        <v>0</v>
      </c>
      <c r="AH141" s="193"/>
      <c r="AI141" s="169">
        <v>137</v>
      </c>
      <c r="AJ141" s="1">
        <f t="shared" si="106"/>
        <v>49689</v>
      </c>
      <c r="AK141" s="60">
        <f>IF($X141&lt;Input!$H$73,IF($X141&lt;Input!$G$73,IF($X141&lt;Input!$F$73,IF($X141&lt;Input!$E$73,IF($X141&lt;Input!$D$73,Input!$C$79,Input!$D$79),Input!$E$79),Input!$F$79),Input!$G$79),Input!$H$79)</f>
        <v>0</v>
      </c>
      <c r="AL141" s="190">
        <f>IF($A141&lt;Input!$H$80,IF($A141&lt;Input!$G$80,IF($A141&lt;Input!$F$80,IF($A141&lt;Input!$E$80,IF($A141&lt;Input!$D$80,Input!$C$81,Input!$D$81),Input!$E$81),Input!$F$81),Input!$G$81),Input!$H$81)</f>
        <v>0.9</v>
      </c>
      <c r="AM141" s="60">
        <f t="shared" si="87"/>
        <v>0</v>
      </c>
      <c r="AN141" s="60">
        <f t="shared" si="107"/>
        <v>31</v>
      </c>
      <c r="AO141" s="60">
        <f t="shared" si="88"/>
        <v>0</v>
      </c>
      <c r="AP141" s="60">
        <f>ROUND(AO141*AN141*Input!$C$3/365,0)</f>
        <v>0</v>
      </c>
      <c r="AQ141" s="61">
        <f>IF($A141&lt;=Input!$C$6,0,IF('Fixed Tenure'!AM141&lt;'Fixed Tenure'!AO141,'Fixed Tenure'!AM141-AP141,'Fixed Tenure'!AO141))</f>
        <v>0</v>
      </c>
      <c r="AR141" s="61">
        <f t="shared" si="89"/>
        <v>0</v>
      </c>
      <c r="AS141" s="60">
        <f t="shared" si="90"/>
        <v>0</v>
      </c>
      <c r="AT141" s="193"/>
      <c r="AU141" s="169">
        <v>137</v>
      </c>
      <c r="AV141" s="1">
        <f t="shared" si="108"/>
        <v>49689</v>
      </c>
      <c r="AW141" s="60">
        <f>IF($X141&lt;Input!$H$88,IF($X141&lt;Input!$G$88,IF($X141&lt;Input!$F$88,IF($X141&lt;Input!$E$88,IF($X141&lt;Input!$D$88,Input!$C$94,Input!$D$94),Input!$E$94),Input!$F$94),Input!$G$94),Input!$H$94)</f>
        <v>0</v>
      </c>
      <c r="AX141" s="190">
        <f>IF($A141&lt;Input!$H$95,IF($A141&lt;Input!$G$95,IF($A141&lt;Input!$F$95,IF($A141&lt;Input!$E$95,IF($A141&lt;Input!$D$95,Input!$C$96,Input!$D$96),Input!$E$96),Input!$F$96),Input!$G$96),Input!$H$96)</f>
        <v>0.9</v>
      </c>
      <c r="AY141" s="60">
        <f t="shared" si="91"/>
        <v>0</v>
      </c>
      <c r="AZ141" s="60">
        <f t="shared" si="109"/>
        <v>31</v>
      </c>
      <c r="BA141" s="60">
        <f t="shared" si="92"/>
        <v>0</v>
      </c>
      <c r="BB141" s="60">
        <f>ROUND(BA141*AZ141*Input!$C$3/365,0)</f>
        <v>0</v>
      </c>
      <c r="BC141" s="61">
        <f>IF($A141&lt;=Input!$C$6,0,IF('Fixed Tenure'!AY141&lt;'Fixed Tenure'!BA141,'Fixed Tenure'!AY141-BB141,'Fixed Tenure'!BA141))</f>
        <v>0</v>
      </c>
      <c r="BD141" s="61">
        <f t="shared" si="93"/>
        <v>0</v>
      </c>
      <c r="BE141" s="60">
        <f t="shared" si="94"/>
        <v>0</v>
      </c>
      <c r="BF141" s="193"/>
      <c r="BG141" s="169">
        <v>137</v>
      </c>
      <c r="BH141" s="1">
        <f t="shared" si="110"/>
        <v>49689</v>
      </c>
      <c r="BI141" s="60">
        <f>IF($X141&lt;Input!$H$103,IF($X141&lt;Input!$G$103,IF($X141&lt;Input!$F$103,IF($X141&lt;Input!$E$103,IF($X141&lt;Input!$D$103,Input!$C$109,Input!$D$109),Input!$E$109),Input!$F$109),Input!$G$109),Input!$H$109)</f>
        <v>0</v>
      </c>
      <c r="BJ141" s="190">
        <f>IF($A141&lt;Input!$H$110,IF($A141&lt;Input!$G$110,IF($A141&lt;Input!$F$110,IF($A141&lt;Input!$E$110,IF($A141&lt;Input!$D$110,Input!$C$111,Input!$D$111),Input!$E$111),Input!$F$111),Input!$G$111),Input!$H$111)</f>
        <v>0.9</v>
      </c>
      <c r="BK141" s="60">
        <f t="shared" si="95"/>
        <v>0</v>
      </c>
      <c r="BL141" s="60">
        <f t="shared" si="111"/>
        <v>31</v>
      </c>
      <c r="BM141" s="60">
        <f t="shared" si="96"/>
        <v>0</v>
      </c>
      <c r="BN141" s="60">
        <f>ROUND(BM141*BL141*Input!$C$3/365,0)</f>
        <v>0</v>
      </c>
      <c r="BO141" s="61">
        <f>IF($A141&lt;=Input!$C$6,0,IF('Fixed Tenure'!BK141&lt;'Fixed Tenure'!BM141,'Fixed Tenure'!BK141-BN141,'Fixed Tenure'!BM141))</f>
        <v>0</v>
      </c>
      <c r="BP141" s="61">
        <f t="shared" si="97"/>
        <v>0</v>
      </c>
      <c r="BQ141" s="60">
        <f t="shared" si="98"/>
        <v>0</v>
      </c>
      <c r="BR141" s="198"/>
    </row>
    <row r="142" spans="1:70" x14ac:dyDescent="0.25">
      <c r="A142" s="169">
        <v>138</v>
      </c>
      <c r="B142" s="1">
        <f t="shared" si="99"/>
        <v>49720</v>
      </c>
      <c r="C142" s="60">
        <f t="shared" si="77"/>
        <v>33127052.878124986</v>
      </c>
      <c r="D142" s="60">
        <f t="shared" si="78"/>
        <v>29814347.590312488</v>
      </c>
      <c r="E142" s="60">
        <f t="shared" si="100"/>
        <v>31</v>
      </c>
      <c r="F142" s="60">
        <f t="shared" si="101"/>
        <v>0</v>
      </c>
      <c r="G142" s="60">
        <f>ROUND(F142*E142*Input!$C$3/365,0)</f>
        <v>0</v>
      </c>
      <c r="H142" s="60">
        <f>IF($A142&lt;=Input!$C$6,0,IF('Fixed Tenure'!D142&lt;'Fixed Tenure'!F142,'Fixed Tenure'!D142-G142,'Fixed Tenure'!F142))</f>
        <v>0</v>
      </c>
      <c r="I142" s="60">
        <f t="shared" si="102"/>
        <v>0</v>
      </c>
      <c r="J142" s="60">
        <f t="shared" si="103"/>
        <v>0</v>
      </c>
      <c r="K142" s="202">
        <f>J142/Input!$K$5</f>
        <v>0</v>
      </c>
      <c r="L142" s="232"/>
      <c r="M142" s="60">
        <f>IF($B142&lt;Input!$H$43,IF($B142&lt;Input!$G$43,IF($B142&lt;Input!$F$43,IF($B142&lt;Input!$E$43,IF($B142&lt;Input!$D$43,Input!$C$49,Input!$D$49),Input!$E$49),Input!$F$49),Input!$G$49),Input!$H$49)</f>
        <v>33127052.878124986</v>
      </c>
      <c r="N142" s="190">
        <f>IF($A142&lt;Input!$H$50,IF($A142&lt;Input!$G$50,IF($A142&lt;Input!$F$50,IF($A142&lt;Input!$E$50,IF($A142&lt;Input!$D$50,Input!$C$51,Input!$D$51),Input!$E$51),Input!$F$51),Input!$G$51),Input!$H$51)</f>
        <v>0.9</v>
      </c>
      <c r="O142" s="60">
        <f t="shared" si="76"/>
        <v>29814347.590312488</v>
      </c>
      <c r="P142" s="60">
        <f t="shared" si="79"/>
        <v>31</v>
      </c>
      <c r="Q142" s="60">
        <f t="shared" si="80"/>
        <v>0</v>
      </c>
      <c r="R142" s="60">
        <f>ROUND(Q142*$P142*Input!$C$3/365,0)</f>
        <v>0</v>
      </c>
      <c r="S142" s="60">
        <f>IF(A142&lt;=Input!$C$6,0,IF('Fixed Tenure'!O142&lt;'Fixed Tenure'!Q142,'Fixed Tenure'!O142-R142,'Fixed Tenure'!Q142))</f>
        <v>0</v>
      </c>
      <c r="T142" s="60">
        <f t="shared" si="81"/>
        <v>0</v>
      </c>
      <c r="U142" s="60">
        <f t="shared" si="82"/>
        <v>0</v>
      </c>
      <c r="V142" s="193"/>
      <c r="W142" s="169">
        <v>138</v>
      </c>
      <c r="X142" s="1">
        <f t="shared" si="104"/>
        <v>49720</v>
      </c>
      <c r="Y142" s="60">
        <f>IF($X142&lt;Input!$H$58,IF($X142&lt;Input!$G$58,IF($X142&lt;Input!$F$58,IF($X142&lt;Input!$E$58,IF($X142&lt;Input!$D$58,Input!$C$64,Input!$D$64),Input!$E$64),Input!$F$64),Input!$G$64),Input!$H$64)</f>
        <v>0</v>
      </c>
      <c r="Z142" s="190">
        <f>IF($A142&lt;Input!$H$65,IF($A142&lt;Input!$G$65,IF($A142&lt;Input!$F$65,IF($A142&lt;Input!$E$65,IF($A142&lt;Input!$D$65,Input!$C$66,Input!$D$66),Input!$E$66),Input!$F$66),Input!$G$66),Input!$H$66)</f>
        <v>0.9</v>
      </c>
      <c r="AA142" s="60">
        <f t="shared" si="83"/>
        <v>0</v>
      </c>
      <c r="AB142" s="60">
        <f t="shared" si="105"/>
        <v>31</v>
      </c>
      <c r="AC142" s="60">
        <f t="shared" si="84"/>
        <v>0</v>
      </c>
      <c r="AD142" s="60">
        <f>ROUND(AC142*AB142*Input!$C$3/365,0)</f>
        <v>0</v>
      </c>
      <c r="AE142" s="61">
        <f>IF($A142&lt;=Input!$C$6,0,IF('Fixed Tenure'!AA142&lt;'Fixed Tenure'!AC142,'Fixed Tenure'!AA142-AD142,'Fixed Tenure'!AC142))</f>
        <v>0</v>
      </c>
      <c r="AF142" s="61">
        <f t="shared" si="85"/>
        <v>0</v>
      </c>
      <c r="AG142" s="60">
        <f t="shared" si="86"/>
        <v>0</v>
      </c>
      <c r="AH142" s="193"/>
      <c r="AI142" s="169">
        <v>138</v>
      </c>
      <c r="AJ142" s="1">
        <f t="shared" si="106"/>
        <v>49720</v>
      </c>
      <c r="AK142" s="60">
        <f>IF($X142&lt;Input!$H$73,IF($X142&lt;Input!$G$73,IF($X142&lt;Input!$F$73,IF($X142&lt;Input!$E$73,IF($X142&lt;Input!$D$73,Input!$C$79,Input!$D$79),Input!$E$79),Input!$F$79),Input!$G$79),Input!$H$79)</f>
        <v>0</v>
      </c>
      <c r="AL142" s="190">
        <f>IF($A142&lt;Input!$H$80,IF($A142&lt;Input!$G$80,IF($A142&lt;Input!$F$80,IF($A142&lt;Input!$E$80,IF($A142&lt;Input!$D$80,Input!$C$81,Input!$D$81),Input!$E$81),Input!$F$81),Input!$G$81),Input!$H$81)</f>
        <v>0.9</v>
      </c>
      <c r="AM142" s="60">
        <f t="shared" si="87"/>
        <v>0</v>
      </c>
      <c r="AN142" s="60">
        <f t="shared" si="107"/>
        <v>31</v>
      </c>
      <c r="AO142" s="60">
        <f t="shared" si="88"/>
        <v>0</v>
      </c>
      <c r="AP142" s="60">
        <f>ROUND(AO142*AN142*Input!$C$3/365,0)</f>
        <v>0</v>
      </c>
      <c r="AQ142" s="61">
        <f>IF($A142&lt;=Input!$C$6,0,IF('Fixed Tenure'!AM142&lt;'Fixed Tenure'!AO142,'Fixed Tenure'!AM142-AP142,'Fixed Tenure'!AO142))</f>
        <v>0</v>
      </c>
      <c r="AR142" s="61">
        <f t="shared" si="89"/>
        <v>0</v>
      </c>
      <c r="AS142" s="60">
        <f t="shared" si="90"/>
        <v>0</v>
      </c>
      <c r="AT142" s="193"/>
      <c r="AU142" s="169">
        <v>138</v>
      </c>
      <c r="AV142" s="1">
        <f t="shared" si="108"/>
        <v>49720</v>
      </c>
      <c r="AW142" s="60">
        <f>IF($X142&lt;Input!$H$88,IF($X142&lt;Input!$G$88,IF($X142&lt;Input!$F$88,IF($X142&lt;Input!$E$88,IF($X142&lt;Input!$D$88,Input!$C$94,Input!$D$94),Input!$E$94),Input!$F$94),Input!$G$94),Input!$H$94)</f>
        <v>0</v>
      </c>
      <c r="AX142" s="190">
        <f>IF($A142&lt;Input!$H$95,IF($A142&lt;Input!$G$95,IF($A142&lt;Input!$F$95,IF($A142&lt;Input!$E$95,IF($A142&lt;Input!$D$95,Input!$C$96,Input!$D$96),Input!$E$96),Input!$F$96),Input!$G$96),Input!$H$96)</f>
        <v>0.9</v>
      </c>
      <c r="AY142" s="60">
        <f t="shared" si="91"/>
        <v>0</v>
      </c>
      <c r="AZ142" s="60">
        <f t="shared" si="109"/>
        <v>31</v>
      </c>
      <c r="BA142" s="60">
        <f t="shared" si="92"/>
        <v>0</v>
      </c>
      <c r="BB142" s="60">
        <f>ROUND(BA142*AZ142*Input!$C$3/365,0)</f>
        <v>0</v>
      </c>
      <c r="BC142" s="61">
        <f>IF($A142&lt;=Input!$C$6,0,IF('Fixed Tenure'!AY142&lt;'Fixed Tenure'!BA142,'Fixed Tenure'!AY142-BB142,'Fixed Tenure'!BA142))</f>
        <v>0</v>
      </c>
      <c r="BD142" s="61">
        <f t="shared" si="93"/>
        <v>0</v>
      </c>
      <c r="BE142" s="60">
        <f t="shared" si="94"/>
        <v>0</v>
      </c>
      <c r="BF142" s="193"/>
      <c r="BG142" s="169">
        <v>138</v>
      </c>
      <c r="BH142" s="1">
        <f t="shared" si="110"/>
        <v>49720</v>
      </c>
      <c r="BI142" s="60">
        <f>IF($X142&lt;Input!$H$103,IF($X142&lt;Input!$G$103,IF($X142&lt;Input!$F$103,IF($X142&lt;Input!$E$103,IF($X142&lt;Input!$D$103,Input!$C$109,Input!$D$109),Input!$E$109),Input!$F$109),Input!$G$109),Input!$H$109)</f>
        <v>0</v>
      </c>
      <c r="BJ142" s="190">
        <f>IF($A142&lt;Input!$H$110,IF($A142&lt;Input!$G$110,IF($A142&lt;Input!$F$110,IF($A142&lt;Input!$E$110,IF($A142&lt;Input!$D$110,Input!$C$111,Input!$D$111),Input!$E$111),Input!$F$111),Input!$G$111),Input!$H$111)</f>
        <v>0.9</v>
      </c>
      <c r="BK142" s="60">
        <f t="shared" si="95"/>
        <v>0</v>
      </c>
      <c r="BL142" s="60">
        <f t="shared" si="111"/>
        <v>31</v>
      </c>
      <c r="BM142" s="60">
        <f t="shared" si="96"/>
        <v>0</v>
      </c>
      <c r="BN142" s="60">
        <f>ROUND(BM142*BL142*Input!$C$3/365,0)</f>
        <v>0</v>
      </c>
      <c r="BO142" s="61">
        <f>IF($A142&lt;=Input!$C$6,0,IF('Fixed Tenure'!BK142&lt;'Fixed Tenure'!BM142,'Fixed Tenure'!BK142-BN142,'Fixed Tenure'!BM142))</f>
        <v>0</v>
      </c>
      <c r="BP142" s="61">
        <f t="shared" si="97"/>
        <v>0</v>
      </c>
      <c r="BQ142" s="60">
        <f t="shared" si="98"/>
        <v>0</v>
      </c>
      <c r="BR142" s="198"/>
    </row>
    <row r="143" spans="1:70" x14ac:dyDescent="0.25">
      <c r="A143" s="169">
        <v>139</v>
      </c>
      <c r="B143" s="1">
        <f t="shared" si="99"/>
        <v>49749</v>
      </c>
      <c r="C143" s="60">
        <f t="shared" si="77"/>
        <v>33127052.878124986</v>
      </c>
      <c r="D143" s="60">
        <f t="shared" si="78"/>
        <v>29814347.590312488</v>
      </c>
      <c r="E143" s="60">
        <f t="shared" si="100"/>
        <v>29</v>
      </c>
      <c r="F143" s="60">
        <f t="shared" si="101"/>
        <v>0</v>
      </c>
      <c r="G143" s="60">
        <f>ROUND(F143*E143*Input!$C$3/365,0)</f>
        <v>0</v>
      </c>
      <c r="H143" s="60">
        <f>IF($A143&lt;=Input!$C$6,0,IF('Fixed Tenure'!D143&lt;'Fixed Tenure'!F143,'Fixed Tenure'!D143-G143,'Fixed Tenure'!F143))</f>
        <v>0</v>
      </c>
      <c r="I143" s="60">
        <f t="shared" si="102"/>
        <v>0</v>
      </c>
      <c r="J143" s="60">
        <f t="shared" si="103"/>
        <v>0</v>
      </c>
      <c r="K143" s="202">
        <f>J143/Input!$K$5</f>
        <v>0</v>
      </c>
      <c r="L143" s="232"/>
      <c r="M143" s="60">
        <f>IF($B143&lt;Input!$H$43,IF($B143&lt;Input!$G$43,IF($B143&lt;Input!$F$43,IF($B143&lt;Input!$E$43,IF($B143&lt;Input!$D$43,Input!$C$49,Input!$D$49),Input!$E$49),Input!$F$49),Input!$G$49),Input!$H$49)</f>
        <v>33127052.878124986</v>
      </c>
      <c r="N143" s="190">
        <f>IF($A143&lt;Input!$H$50,IF($A143&lt;Input!$G$50,IF($A143&lt;Input!$F$50,IF($A143&lt;Input!$E$50,IF($A143&lt;Input!$D$50,Input!$C$51,Input!$D$51),Input!$E$51),Input!$F$51),Input!$G$51),Input!$H$51)</f>
        <v>0.9</v>
      </c>
      <c r="O143" s="60">
        <f t="shared" si="76"/>
        <v>29814347.590312488</v>
      </c>
      <c r="P143" s="60">
        <f t="shared" si="79"/>
        <v>29</v>
      </c>
      <c r="Q143" s="60">
        <f t="shared" si="80"/>
        <v>0</v>
      </c>
      <c r="R143" s="60">
        <f>ROUND(Q143*$P143*Input!$C$3/365,0)</f>
        <v>0</v>
      </c>
      <c r="S143" s="60">
        <f>IF(A143&lt;=Input!$C$6,0,IF('Fixed Tenure'!O143&lt;'Fixed Tenure'!Q143,'Fixed Tenure'!O143-R143,'Fixed Tenure'!Q143))</f>
        <v>0</v>
      </c>
      <c r="T143" s="60">
        <f t="shared" si="81"/>
        <v>0</v>
      </c>
      <c r="U143" s="60">
        <f t="shared" si="82"/>
        <v>0</v>
      </c>
      <c r="V143" s="193"/>
      <c r="W143" s="169">
        <v>139</v>
      </c>
      <c r="X143" s="1">
        <f t="shared" si="104"/>
        <v>49749</v>
      </c>
      <c r="Y143" s="60">
        <f>IF($X143&lt;Input!$H$58,IF($X143&lt;Input!$G$58,IF($X143&lt;Input!$F$58,IF($X143&lt;Input!$E$58,IF($X143&lt;Input!$D$58,Input!$C$64,Input!$D$64),Input!$E$64),Input!$F$64),Input!$G$64),Input!$H$64)</f>
        <v>0</v>
      </c>
      <c r="Z143" s="190">
        <f>IF($A143&lt;Input!$H$65,IF($A143&lt;Input!$G$65,IF($A143&lt;Input!$F$65,IF($A143&lt;Input!$E$65,IF($A143&lt;Input!$D$65,Input!$C$66,Input!$D$66),Input!$E$66),Input!$F$66),Input!$G$66),Input!$H$66)</f>
        <v>0.9</v>
      </c>
      <c r="AA143" s="60">
        <f t="shared" si="83"/>
        <v>0</v>
      </c>
      <c r="AB143" s="60">
        <f t="shared" si="105"/>
        <v>29</v>
      </c>
      <c r="AC143" s="60">
        <f t="shared" si="84"/>
        <v>0</v>
      </c>
      <c r="AD143" s="60">
        <f>ROUND(AC143*AB143*Input!$C$3/365,0)</f>
        <v>0</v>
      </c>
      <c r="AE143" s="61">
        <f>IF($A143&lt;=Input!$C$6,0,IF('Fixed Tenure'!AA143&lt;'Fixed Tenure'!AC143,'Fixed Tenure'!AA143-AD143,'Fixed Tenure'!AC143))</f>
        <v>0</v>
      </c>
      <c r="AF143" s="61">
        <f t="shared" si="85"/>
        <v>0</v>
      </c>
      <c r="AG143" s="60">
        <f t="shared" si="86"/>
        <v>0</v>
      </c>
      <c r="AH143" s="193"/>
      <c r="AI143" s="169">
        <v>139</v>
      </c>
      <c r="AJ143" s="1">
        <f t="shared" si="106"/>
        <v>49749</v>
      </c>
      <c r="AK143" s="60">
        <f>IF($X143&lt;Input!$H$73,IF($X143&lt;Input!$G$73,IF($X143&lt;Input!$F$73,IF($X143&lt;Input!$E$73,IF($X143&lt;Input!$D$73,Input!$C$79,Input!$D$79),Input!$E$79),Input!$F$79),Input!$G$79),Input!$H$79)</f>
        <v>0</v>
      </c>
      <c r="AL143" s="190">
        <f>IF($A143&lt;Input!$H$80,IF($A143&lt;Input!$G$80,IF($A143&lt;Input!$F$80,IF($A143&lt;Input!$E$80,IF($A143&lt;Input!$D$80,Input!$C$81,Input!$D$81),Input!$E$81),Input!$F$81),Input!$G$81),Input!$H$81)</f>
        <v>0.9</v>
      </c>
      <c r="AM143" s="60">
        <f t="shared" si="87"/>
        <v>0</v>
      </c>
      <c r="AN143" s="60">
        <f t="shared" si="107"/>
        <v>29</v>
      </c>
      <c r="AO143" s="60">
        <f t="shared" si="88"/>
        <v>0</v>
      </c>
      <c r="AP143" s="60">
        <f>ROUND(AO143*AN143*Input!$C$3/365,0)</f>
        <v>0</v>
      </c>
      <c r="AQ143" s="61">
        <f>IF($A143&lt;=Input!$C$6,0,IF('Fixed Tenure'!AM143&lt;'Fixed Tenure'!AO143,'Fixed Tenure'!AM143-AP143,'Fixed Tenure'!AO143))</f>
        <v>0</v>
      </c>
      <c r="AR143" s="61">
        <f t="shared" si="89"/>
        <v>0</v>
      </c>
      <c r="AS143" s="60">
        <f t="shared" si="90"/>
        <v>0</v>
      </c>
      <c r="AT143" s="193"/>
      <c r="AU143" s="169">
        <v>139</v>
      </c>
      <c r="AV143" s="1">
        <f t="shared" si="108"/>
        <v>49749</v>
      </c>
      <c r="AW143" s="60">
        <f>IF($X143&lt;Input!$H$88,IF($X143&lt;Input!$G$88,IF($X143&lt;Input!$F$88,IF($X143&lt;Input!$E$88,IF($X143&lt;Input!$D$88,Input!$C$94,Input!$D$94),Input!$E$94),Input!$F$94),Input!$G$94),Input!$H$94)</f>
        <v>0</v>
      </c>
      <c r="AX143" s="190">
        <f>IF($A143&lt;Input!$H$95,IF($A143&lt;Input!$G$95,IF($A143&lt;Input!$F$95,IF($A143&lt;Input!$E$95,IF($A143&lt;Input!$D$95,Input!$C$96,Input!$D$96),Input!$E$96),Input!$F$96),Input!$G$96),Input!$H$96)</f>
        <v>0.9</v>
      </c>
      <c r="AY143" s="60">
        <f t="shared" si="91"/>
        <v>0</v>
      </c>
      <c r="AZ143" s="60">
        <f t="shared" si="109"/>
        <v>29</v>
      </c>
      <c r="BA143" s="60">
        <f t="shared" si="92"/>
        <v>0</v>
      </c>
      <c r="BB143" s="60">
        <f>ROUND(BA143*AZ143*Input!$C$3/365,0)</f>
        <v>0</v>
      </c>
      <c r="BC143" s="61">
        <f>IF($A143&lt;=Input!$C$6,0,IF('Fixed Tenure'!AY143&lt;'Fixed Tenure'!BA143,'Fixed Tenure'!AY143-BB143,'Fixed Tenure'!BA143))</f>
        <v>0</v>
      </c>
      <c r="BD143" s="61">
        <f t="shared" si="93"/>
        <v>0</v>
      </c>
      <c r="BE143" s="60">
        <f t="shared" si="94"/>
        <v>0</v>
      </c>
      <c r="BF143" s="193"/>
      <c r="BG143" s="169">
        <v>139</v>
      </c>
      <c r="BH143" s="1">
        <f t="shared" si="110"/>
        <v>49749</v>
      </c>
      <c r="BI143" s="60">
        <f>IF($X143&lt;Input!$H$103,IF($X143&lt;Input!$G$103,IF($X143&lt;Input!$F$103,IF($X143&lt;Input!$E$103,IF($X143&lt;Input!$D$103,Input!$C$109,Input!$D$109),Input!$E$109),Input!$F$109),Input!$G$109),Input!$H$109)</f>
        <v>0</v>
      </c>
      <c r="BJ143" s="190">
        <f>IF($A143&lt;Input!$H$110,IF($A143&lt;Input!$G$110,IF($A143&lt;Input!$F$110,IF($A143&lt;Input!$E$110,IF($A143&lt;Input!$D$110,Input!$C$111,Input!$D$111),Input!$E$111),Input!$F$111),Input!$G$111),Input!$H$111)</f>
        <v>0.9</v>
      </c>
      <c r="BK143" s="60">
        <f t="shared" si="95"/>
        <v>0</v>
      </c>
      <c r="BL143" s="60">
        <f t="shared" si="111"/>
        <v>29</v>
      </c>
      <c r="BM143" s="60">
        <f t="shared" si="96"/>
        <v>0</v>
      </c>
      <c r="BN143" s="60">
        <f>ROUND(BM143*BL143*Input!$C$3/365,0)</f>
        <v>0</v>
      </c>
      <c r="BO143" s="61">
        <f>IF($A143&lt;=Input!$C$6,0,IF('Fixed Tenure'!BK143&lt;'Fixed Tenure'!BM143,'Fixed Tenure'!BK143-BN143,'Fixed Tenure'!BM143))</f>
        <v>0</v>
      </c>
      <c r="BP143" s="61">
        <f t="shared" si="97"/>
        <v>0</v>
      </c>
      <c r="BQ143" s="60">
        <f t="shared" si="98"/>
        <v>0</v>
      </c>
      <c r="BR143" s="198"/>
    </row>
    <row r="144" spans="1:70" x14ac:dyDescent="0.25">
      <c r="A144" s="169">
        <v>140</v>
      </c>
      <c r="B144" s="1">
        <f t="shared" si="99"/>
        <v>49780</v>
      </c>
      <c r="C144" s="60">
        <f t="shared" si="77"/>
        <v>33127052.878124986</v>
      </c>
      <c r="D144" s="60">
        <f t="shared" si="78"/>
        <v>29814347.590312488</v>
      </c>
      <c r="E144" s="60">
        <f t="shared" si="100"/>
        <v>31</v>
      </c>
      <c r="F144" s="60">
        <f t="shared" si="101"/>
        <v>0</v>
      </c>
      <c r="G144" s="60">
        <f>ROUND(F144*E144*Input!$C$3/365,0)</f>
        <v>0</v>
      </c>
      <c r="H144" s="60">
        <f>IF($A144&lt;=Input!$C$6,0,IF('Fixed Tenure'!D144&lt;'Fixed Tenure'!F144,'Fixed Tenure'!D144-G144,'Fixed Tenure'!F144))</f>
        <v>0</v>
      </c>
      <c r="I144" s="60">
        <f t="shared" si="102"/>
        <v>0</v>
      </c>
      <c r="J144" s="60">
        <f t="shared" si="103"/>
        <v>0</v>
      </c>
      <c r="K144" s="202">
        <f>J144/Input!$K$5</f>
        <v>0</v>
      </c>
      <c r="L144" s="232"/>
      <c r="M144" s="60">
        <f>IF($B144&lt;Input!$H$43,IF($B144&lt;Input!$G$43,IF($B144&lt;Input!$F$43,IF($B144&lt;Input!$E$43,IF($B144&lt;Input!$D$43,Input!$C$49,Input!$D$49),Input!$E$49),Input!$F$49),Input!$G$49),Input!$H$49)</f>
        <v>33127052.878124986</v>
      </c>
      <c r="N144" s="190">
        <f>IF($A144&lt;Input!$H$50,IF($A144&lt;Input!$G$50,IF($A144&lt;Input!$F$50,IF($A144&lt;Input!$E$50,IF($A144&lt;Input!$D$50,Input!$C$51,Input!$D$51),Input!$E$51),Input!$F$51),Input!$G$51),Input!$H$51)</f>
        <v>0.9</v>
      </c>
      <c r="O144" s="60">
        <f t="shared" si="76"/>
        <v>29814347.590312488</v>
      </c>
      <c r="P144" s="60">
        <f t="shared" si="79"/>
        <v>31</v>
      </c>
      <c r="Q144" s="60">
        <f t="shared" si="80"/>
        <v>0</v>
      </c>
      <c r="R144" s="60">
        <f>ROUND(Q144*$P144*Input!$C$3/365,0)</f>
        <v>0</v>
      </c>
      <c r="S144" s="60">
        <f>IF(A144&lt;=Input!$C$6,0,IF('Fixed Tenure'!O144&lt;'Fixed Tenure'!Q144,'Fixed Tenure'!O144-R144,'Fixed Tenure'!Q144))</f>
        <v>0</v>
      </c>
      <c r="T144" s="60">
        <f t="shared" si="81"/>
        <v>0</v>
      </c>
      <c r="U144" s="60">
        <f t="shared" si="82"/>
        <v>0</v>
      </c>
      <c r="V144" s="193"/>
      <c r="W144" s="169">
        <v>140</v>
      </c>
      <c r="X144" s="1">
        <f t="shared" si="104"/>
        <v>49780</v>
      </c>
      <c r="Y144" s="60">
        <f>IF($X144&lt;Input!$H$58,IF($X144&lt;Input!$G$58,IF($X144&lt;Input!$F$58,IF($X144&lt;Input!$E$58,IF($X144&lt;Input!$D$58,Input!$C$64,Input!$D$64),Input!$E$64),Input!$F$64),Input!$G$64),Input!$H$64)</f>
        <v>0</v>
      </c>
      <c r="Z144" s="190">
        <f>IF($A144&lt;Input!$H$65,IF($A144&lt;Input!$G$65,IF($A144&lt;Input!$F$65,IF($A144&lt;Input!$E$65,IF($A144&lt;Input!$D$65,Input!$C$66,Input!$D$66),Input!$E$66),Input!$F$66),Input!$G$66),Input!$H$66)</f>
        <v>0.9</v>
      </c>
      <c r="AA144" s="60">
        <f t="shared" si="83"/>
        <v>0</v>
      </c>
      <c r="AB144" s="60">
        <f t="shared" si="105"/>
        <v>31</v>
      </c>
      <c r="AC144" s="60">
        <f t="shared" si="84"/>
        <v>0</v>
      </c>
      <c r="AD144" s="60">
        <f>ROUND(AC144*AB144*Input!$C$3/365,0)</f>
        <v>0</v>
      </c>
      <c r="AE144" s="61">
        <f>IF($A144&lt;=Input!$C$6,0,IF('Fixed Tenure'!AA144&lt;'Fixed Tenure'!AC144,'Fixed Tenure'!AA144-AD144,'Fixed Tenure'!AC144))</f>
        <v>0</v>
      </c>
      <c r="AF144" s="61">
        <f t="shared" si="85"/>
        <v>0</v>
      </c>
      <c r="AG144" s="60">
        <f t="shared" si="86"/>
        <v>0</v>
      </c>
      <c r="AH144" s="193"/>
      <c r="AI144" s="169">
        <v>140</v>
      </c>
      <c r="AJ144" s="1">
        <f t="shared" si="106"/>
        <v>49780</v>
      </c>
      <c r="AK144" s="60">
        <f>IF($X144&lt;Input!$H$73,IF($X144&lt;Input!$G$73,IF($X144&lt;Input!$F$73,IF($X144&lt;Input!$E$73,IF($X144&lt;Input!$D$73,Input!$C$79,Input!$D$79),Input!$E$79),Input!$F$79),Input!$G$79),Input!$H$79)</f>
        <v>0</v>
      </c>
      <c r="AL144" s="190">
        <f>IF($A144&lt;Input!$H$80,IF($A144&lt;Input!$G$80,IF($A144&lt;Input!$F$80,IF($A144&lt;Input!$E$80,IF($A144&lt;Input!$D$80,Input!$C$81,Input!$D$81),Input!$E$81),Input!$F$81),Input!$G$81),Input!$H$81)</f>
        <v>0.9</v>
      </c>
      <c r="AM144" s="60">
        <f t="shared" si="87"/>
        <v>0</v>
      </c>
      <c r="AN144" s="60">
        <f t="shared" si="107"/>
        <v>31</v>
      </c>
      <c r="AO144" s="60">
        <f t="shared" si="88"/>
        <v>0</v>
      </c>
      <c r="AP144" s="60">
        <f>ROUND(AO144*AN144*Input!$C$3/365,0)</f>
        <v>0</v>
      </c>
      <c r="AQ144" s="61">
        <f>IF($A144&lt;=Input!$C$6,0,IF('Fixed Tenure'!AM144&lt;'Fixed Tenure'!AO144,'Fixed Tenure'!AM144-AP144,'Fixed Tenure'!AO144))</f>
        <v>0</v>
      </c>
      <c r="AR144" s="61">
        <f t="shared" si="89"/>
        <v>0</v>
      </c>
      <c r="AS144" s="60">
        <f t="shared" si="90"/>
        <v>0</v>
      </c>
      <c r="AT144" s="193"/>
      <c r="AU144" s="169">
        <v>140</v>
      </c>
      <c r="AV144" s="1">
        <f t="shared" si="108"/>
        <v>49780</v>
      </c>
      <c r="AW144" s="60">
        <f>IF($X144&lt;Input!$H$88,IF($X144&lt;Input!$G$88,IF($X144&lt;Input!$F$88,IF($X144&lt;Input!$E$88,IF($X144&lt;Input!$D$88,Input!$C$94,Input!$D$94),Input!$E$94),Input!$F$94),Input!$G$94),Input!$H$94)</f>
        <v>0</v>
      </c>
      <c r="AX144" s="190">
        <f>IF($A144&lt;Input!$H$95,IF($A144&lt;Input!$G$95,IF($A144&lt;Input!$F$95,IF($A144&lt;Input!$E$95,IF($A144&lt;Input!$D$95,Input!$C$96,Input!$D$96),Input!$E$96),Input!$F$96),Input!$G$96),Input!$H$96)</f>
        <v>0.9</v>
      </c>
      <c r="AY144" s="60">
        <f t="shared" si="91"/>
        <v>0</v>
      </c>
      <c r="AZ144" s="60">
        <f t="shared" si="109"/>
        <v>31</v>
      </c>
      <c r="BA144" s="60">
        <f t="shared" si="92"/>
        <v>0</v>
      </c>
      <c r="BB144" s="60">
        <f>ROUND(BA144*AZ144*Input!$C$3/365,0)</f>
        <v>0</v>
      </c>
      <c r="BC144" s="61">
        <f>IF($A144&lt;=Input!$C$6,0,IF('Fixed Tenure'!AY144&lt;'Fixed Tenure'!BA144,'Fixed Tenure'!AY144-BB144,'Fixed Tenure'!BA144))</f>
        <v>0</v>
      </c>
      <c r="BD144" s="61">
        <f t="shared" si="93"/>
        <v>0</v>
      </c>
      <c r="BE144" s="60">
        <f t="shared" si="94"/>
        <v>0</v>
      </c>
      <c r="BF144" s="193"/>
      <c r="BG144" s="169">
        <v>140</v>
      </c>
      <c r="BH144" s="1">
        <f t="shared" si="110"/>
        <v>49780</v>
      </c>
      <c r="BI144" s="60">
        <f>IF($X144&lt;Input!$H$103,IF($X144&lt;Input!$G$103,IF($X144&lt;Input!$F$103,IF($X144&lt;Input!$E$103,IF($X144&lt;Input!$D$103,Input!$C$109,Input!$D$109),Input!$E$109),Input!$F$109),Input!$G$109),Input!$H$109)</f>
        <v>0</v>
      </c>
      <c r="BJ144" s="190">
        <f>IF($A144&lt;Input!$H$110,IF($A144&lt;Input!$G$110,IF($A144&lt;Input!$F$110,IF($A144&lt;Input!$E$110,IF($A144&lt;Input!$D$110,Input!$C$111,Input!$D$111),Input!$E$111),Input!$F$111),Input!$G$111),Input!$H$111)</f>
        <v>0.9</v>
      </c>
      <c r="BK144" s="60">
        <f t="shared" si="95"/>
        <v>0</v>
      </c>
      <c r="BL144" s="60">
        <f t="shared" si="111"/>
        <v>31</v>
      </c>
      <c r="BM144" s="60">
        <f t="shared" si="96"/>
        <v>0</v>
      </c>
      <c r="BN144" s="60">
        <f>ROUND(BM144*BL144*Input!$C$3/365,0)</f>
        <v>0</v>
      </c>
      <c r="BO144" s="61">
        <f>IF($A144&lt;=Input!$C$6,0,IF('Fixed Tenure'!BK144&lt;'Fixed Tenure'!BM144,'Fixed Tenure'!BK144-BN144,'Fixed Tenure'!BM144))</f>
        <v>0</v>
      </c>
      <c r="BP144" s="61">
        <f t="shared" si="97"/>
        <v>0</v>
      </c>
      <c r="BQ144" s="60">
        <f t="shared" si="98"/>
        <v>0</v>
      </c>
      <c r="BR144" s="198"/>
    </row>
    <row r="145" spans="1:70" x14ac:dyDescent="0.25">
      <c r="A145" s="169">
        <v>141</v>
      </c>
      <c r="B145" s="1">
        <f t="shared" si="99"/>
        <v>49810</v>
      </c>
      <c r="C145" s="60">
        <f t="shared" si="77"/>
        <v>33127052.878124986</v>
      </c>
      <c r="D145" s="60">
        <f t="shared" si="78"/>
        <v>29814347.590312488</v>
      </c>
      <c r="E145" s="60">
        <f t="shared" si="100"/>
        <v>30</v>
      </c>
      <c r="F145" s="60">
        <f t="shared" si="101"/>
        <v>0</v>
      </c>
      <c r="G145" s="60">
        <f>ROUND(F145*E145*Input!$C$3/365,0)</f>
        <v>0</v>
      </c>
      <c r="H145" s="60">
        <f>IF($A145&lt;=Input!$C$6,0,IF('Fixed Tenure'!D145&lt;'Fixed Tenure'!F145,'Fixed Tenure'!D145-G145,'Fixed Tenure'!F145))</f>
        <v>0</v>
      </c>
      <c r="I145" s="60">
        <f t="shared" si="102"/>
        <v>0</v>
      </c>
      <c r="J145" s="60">
        <f t="shared" si="103"/>
        <v>0</v>
      </c>
      <c r="K145" s="202">
        <f>J145/Input!$K$5</f>
        <v>0</v>
      </c>
      <c r="L145" s="232"/>
      <c r="M145" s="60">
        <f>IF($B145&lt;Input!$H$43,IF($B145&lt;Input!$G$43,IF($B145&lt;Input!$F$43,IF($B145&lt;Input!$E$43,IF($B145&lt;Input!$D$43,Input!$C$49,Input!$D$49),Input!$E$49),Input!$F$49),Input!$G$49),Input!$H$49)</f>
        <v>33127052.878124986</v>
      </c>
      <c r="N145" s="190">
        <f>IF($A145&lt;Input!$H$50,IF($A145&lt;Input!$G$50,IF($A145&lt;Input!$F$50,IF($A145&lt;Input!$E$50,IF($A145&lt;Input!$D$50,Input!$C$51,Input!$D$51),Input!$E$51),Input!$F$51),Input!$G$51),Input!$H$51)</f>
        <v>0.9</v>
      </c>
      <c r="O145" s="60">
        <f t="shared" si="76"/>
        <v>29814347.590312488</v>
      </c>
      <c r="P145" s="60">
        <f t="shared" si="79"/>
        <v>30</v>
      </c>
      <c r="Q145" s="60">
        <f t="shared" si="80"/>
        <v>0</v>
      </c>
      <c r="R145" s="60">
        <f>ROUND(Q145*$P145*Input!$C$3/365,0)</f>
        <v>0</v>
      </c>
      <c r="S145" s="60">
        <f>IF(A145&lt;=Input!$C$6,0,IF('Fixed Tenure'!O145&lt;'Fixed Tenure'!Q145,'Fixed Tenure'!O145-R145,'Fixed Tenure'!Q145))</f>
        <v>0</v>
      </c>
      <c r="T145" s="60">
        <f t="shared" si="81"/>
        <v>0</v>
      </c>
      <c r="U145" s="60">
        <f t="shared" si="82"/>
        <v>0</v>
      </c>
      <c r="V145" s="193"/>
      <c r="W145" s="169">
        <v>141</v>
      </c>
      <c r="X145" s="1">
        <f t="shared" si="104"/>
        <v>49810</v>
      </c>
      <c r="Y145" s="60">
        <f>IF($X145&lt;Input!$H$58,IF($X145&lt;Input!$G$58,IF($X145&lt;Input!$F$58,IF($X145&lt;Input!$E$58,IF($X145&lt;Input!$D$58,Input!$C$64,Input!$D$64),Input!$E$64),Input!$F$64),Input!$G$64),Input!$H$64)</f>
        <v>0</v>
      </c>
      <c r="Z145" s="190">
        <f>IF($A145&lt;Input!$H$65,IF($A145&lt;Input!$G$65,IF($A145&lt;Input!$F$65,IF($A145&lt;Input!$E$65,IF($A145&lt;Input!$D$65,Input!$C$66,Input!$D$66),Input!$E$66),Input!$F$66),Input!$G$66),Input!$H$66)</f>
        <v>0.9</v>
      </c>
      <c r="AA145" s="60">
        <f t="shared" si="83"/>
        <v>0</v>
      </c>
      <c r="AB145" s="60">
        <f t="shared" si="105"/>
        <v>30</v>
      </c>
      <c r="AC145" s="60">
        <f t="shared" si="84"/>
        <v>0</v>
      </c>
      <c r="AD145" s="60">
        <f>ROUND(AC145*AB145*Input!$C$3/365,0)</f>
        <v>0</v>
      </c>
      <c r="AE145" s="61">
        <f>IF($A145&lt;=Input!$C$6,0,IF('Fixed Tenure'!AA145&lt;'Fixed Tenure'!AC145,'Fixed Tenure'!AA145-AD145,'Fixed Tenure'!AC145))</f>
        <v>0</v>
      </c>
      <c r="AF145" s="61">
        <f t="shared" si="85"/>
        <v>0</v>
      </c>
      <c r="AG145" s="60">
        <f t="shared" si="86"/>
        <v>0</v>
      </c>
      <c r="AH145" s="193"/>
      <c r="AI145" s="169">
        <v>141</v>
      </c>
      <c r="AJ145" s="1">
        <f t="shared" si="106"/>
        <v>49810</v>
      </c>
      <c r="AK145" s="60">
        <f>IF($X145&lt;Input!$H$73,IF($X145&lt;Input!$G$73,IF($X145&lt;Input!$F$73,IF($X145&lt;Input!$E$73,IF($X145&lt;Input!$D$73,Input!$C$79,Input!$D$79),Input!$E$79),Input!$F$79),Input!$G$79),Input!$H$79)</f>
        <v>0</v>
      </c>
      <c r="AL145" s="190">
        <f>IF($A145&lt;Input!$H$80,IF($A145&lt;Input!$G$80,IF($A145&lt;Input!$F$80,IF($A145&lt;Input!$E$80,IF($A145&lt;Input!$D$80,Input!$C$81,Input!$D$81),Input!$E$81),Input!$F$81),Input!$G$81),Input!$H$81)</f>
        <v>0.9</v>
      </c>
      <c r="AM145" s="60">
        <f t="shared" si="87"/>
        <v>0</v>
      </c>
      <c r="AN145" s="60">
        <f t="shared" si="107"/>
        <v>30</v>
      </c>
      <c r="AO145" s="60">
        <f t="shared" si="88"/>
        <v>0</v>
      </c>
      <c r="AP145" s="60">
        <f>ROUND(AO145*AN145*Input!$C$3/365,0)</f>
        <v>0</v>
      </c>
      <c r="AQ145" s="61">
        <f>IF($A145&lt;=Input!$C$6,0,IF('Fixed Tenure'!AM145&lt;'Fixed Tenure'!AO145,'Fixed Tenure'!AM145-AP145,'Fixed Tenure'!AO145))</f>
        <v>0</v>
      </c>
      <c r="AR145" s="61">
        <f t="shared" si="89"/>
        <v>0</v>
      </c>
      <c r="AS145" s="60">
        <f t="shared" si="90"/>
        <v>0</v>
      </c>
      <c r="AT145" s="193"/>
      <c r="AU145" s="169">
        <v>141</v>
      </c>
      <c r="AV145" s="1">
        <f t="shared" si="108"/>
        <v>49810</v>
      </c>
      <c r="AW145" s="60">
        <f>IF($X145&lt;Input!$H$88,IF($X145&lt;Input!$G$88,IF($X145&lt;Input!$F$88,IF($X145&lt;Input!$E$88,IF($X145&lt;Input!$D$88,Input!$C$94,Input!$D$94),Input!$E$94),Input!$F$94),Input!$G$94),Input!$H$94)</f>
        <v>0</v>
      </c>
      <c r="AX145" s="190">
        <f>IF($A145&lt;Input!$H$95,IF($A145&lt;Input!$G$95,IF($A145&lt;Input!$F$95,IF($A145&lt;Input!$E$95,IF($A145&lt;Input!$D$95,Input!$C$96,Input!$D$96),Input!$E$96),Input!$F$96),Input!$G$96),Input!$H$96)</f>
        <v>0.9</v>
      </c>
      <c r="AY145" s="60">
        <f t="shared" si="91"/>
        <v>0</v>
      </c>
      <c r="AZ145" s="60">
        <f t="shared" si="109"/>
        <v>30</v>
      </c>
      <c r="BA145" s="60">
        <f t="shared" si="92"/>
        <v>0</v>
      </c>
      <c r="BB145" s="60">
        <f>ROUND(BA145*AZ145*Input!$C$3/365,0)</f>
        <v>0</v>
      </c>
      <c r="BC145" s="61">
        <f>IF($A145&lt;=Input!$C$6,0,IF('Fixed Tenure'!AY145&lt;'Fixed Tenure'!BA145,'Fixed Tenure'!AY145-BB145,'Fixed Tenure'!BA145))</f>
        <v>0</v>
      </c>
      <c r="BD145" s="61">
        <f t="shared" si="93"/>
        <v>0</v>
      </c>
      <c r="BE145" s="60">
        <f t="shared" si="94"/>
        <v>0</v>
      </c>
      <c r="BF145" s="193"/>
      <c r="BG145" s="169">
        <v>141</v>
      </c>
      <c r="BH145" s="1">
        <f t="shared" si="110"/>
        <v>49810</v>
      </c>
      <c r="BI145" s="60">
        <f>IF($X145&lt;Input!$H$103,IF($X145&lt;Input!$G$103,IF($X145&lt;Input!$F$103,IF($X145&lt;Input!$E$103,IF($X145&lt;Input!$D$103,Input!$C$109,Input!$D$109),Input!$E$109),Input!$F$109),Input!$G$109),Input!$H$109)</f>
        <v>0</v>
      </c>
      <c r="BJ145" s="190">
        <f>IF($A145&lt;Input!$H$110,IF($A145&lt;Input!$G$110,IF($A145&lt;Input!$F$110,IF($A145&lt;Input!$E$110,IF($A145&lt;Input!$D$110,Input!$C$111,Input!$D$111),Input!$E$111),Input!$F$111),Input!$G$111),Input!$H$111)</f>
        <v>0.9</v>
      </c>
      <c r="BK145" s="60">
        <f t="shared" si="95"/>
        <v>0</v>
      </c>
      <c r="BL145" s="60">
        <f t="shared" si="111"/>
        <v>30</v>
      </c>
      <c r="BM145" s="60">
        <f t="shared" si="96"/>
        <v>0</v>
      </c>
      <c r="BN145" s="60">
        <f>ROUND(BM145*BL145*Input!$C$3/365,0)</f>
        <v>0</v>
      </c>
      <c r="BO145" s="61">
        <f>IF($A145&lt;=Input!$C$6,0,IF('Fixed Tenure'!BK145&lt;'Fixed Tenure'!BM145,'Fixed Tenure'!BK145-BN145,'Fixed Tenure'!BM145))</f>
        <v>0</v>
      </c>
      <c r="BP145" s="61">
        <f t="shared" si="97"/>
        <v>0</v>
      </c>
      <c r="BQ145" s="60">
        <f t="shared" si="98"/>
        <v>0</v>
      </c>
      <c r="BR145" s="198"/>
    </row>
    <row r="146" spans="1:70" x14ac:dyDescent="0.25">
      <c r="A146" s="169">
        <v>142</v>
      </c>
      <c r="B146" s="1">
        <f t="shared" si="99"/>
        <v>49841</v>
      </c>
      <c r="C146" s="60">
        <f t="shared" si="77"/>
        <v>33127052.878124986</v>
      </c>
      <c r="D146" s="60">
        <f t="shared" si="78"/>
        <v>29814347.590312488</v>
      </c>
      <c r="E146" s="60">
        <f t="shared" si="100"/>
        <v>31</v>
      </c>
      <c r="F146" s="60">
        <f t="shared" si="101"/>
        <v>0</v>
      </c>
      <c r="G146" s="60">
        <f>ROUND(F146*E146*Input!$C$3/365,0)</f>
        <v>0</v>
      </c>
      <c r="H146" s="60">
        <f>IF($A146&lt;=Input!$C$6,0,IF('Fixed Tenure'!D146&lt;'Fixed Tenure'!F146,'Fixed Tenure'!D146-G146,'Fixed Tenure'!F146))</f>
        <v>0</v>
      </c>
      <c r="I146" s="60">
        <f t="shared" si="102"/>
        <v>0</v>
      </c>
      <c r="J146" s="60">
        <f t="shared" si="103"/>
        <v>0</v>
      </c>
      <c r="K146" s="202">
        <f>J146/Input!$K$5</f>
        <v>0</v>
      </c>
      <c r="L146" s="232"/>
      <c r="M146" s="60">
        <f>IF($B146&lt;Input!$H$43,IF($B146&lt;Input!$G$43,IF($B146&lt;Input!$F$43,IF($B146&lt;Input!$E$43,IF($B146&lt;Input!$D$43,Input!$C$49,Input!$D$49),Input!$E$49),Input!$F$49),Input!$G$49),Input!$H$49)</f>
        <v>33127052.878124986</v>
      </c>
      <c r="N146" s="190">
        <f>IF($A146&lt;Input!$H$50,IF($A146&lt;Input!$G$50,IF($A146&lt;Input!$F$50,IF($A146&lt;Input!$E$50,IF($A146&lt;Input!$D$50,Input!$C$51,Input!$D$51),Input!$E$51),Input!$F$51),Input!$G$51),Input!$H$51)</f>
        <v>0.9</v>
      </c>
      <c r="O146" s="60">
        <f t="shared" si="76"/>
        <v>29814347.590312488</v>
      </c>
      <c r="P146" s="60">
        <f t="shared" si="79"/>
        <v>31</v>
      </c>
      <c r="Q146" s="60">
        <f t="shared" si="80"/>
        <v>0</v>
      </c>
      <c r="R146" s="60">
        <f>ROUND(Q146*$P146*Input!$C$3/365,0)</f>
        <v>0</v>
      </c>
      <c r="S146" s="60">
        <f>IF(A146&lt;=Input!$C$6,0,IF('Fixed Tenure'!O146&lt;'Fixed Tenure'!Q146,'Fixed Tenure'!O146-R146,'Fixed Tenure'!Q146))</f>
        <v>0</v>
      </c>
      <c r="T146" s="60">
        <f t="shared" si="81"/>
        <v>0</v>
      </c>
      <c r="U146" s="60">
        <f t="shared" si="82"/>
        <v>0</v>
      </c>
      <c r="V146" s="193"/>
      <c r="W146" s="169">
        <v>142</v>
      </c>
      <c r="X146" s="1">
        <f t="shared" si="104"/>
        <v>49841</v>
      </c>
      <c r="Y146" s="60">
        <f>IF($X146&lt;Input!$H$58,IF($X146&lt;Input!$G$58,IF($X146&lt;Input!$F$58,IF($X146&lt;Input!$E$58,IF($X146&lt;Input!$D$58,Input!$C$64,Input!$D$64),Input!$E$64),Input!$F$64),Input!$G$64),Input!$H$64)</f>
        <v>0</v>
      </c>
      <c r="Z146" s="190">
        <f>IF($A146&lt;Input!$H$65,IF($A146&lt;Input!$G$65,IF($A146&lt;Input!$F$65,IF($A146&lt;Input!$E$65,IF($A146&lt;Input!$D$65,Input!$C$66,Input!$D$66),Input!$E$66),Input!$F$66),Input!$G$66),Input!$H$66)</f>
        <v>0.9</v>
      </c>
      <c r="AA146" s="60">
        <f t="shared" si="83"/>
        <v>0</v>
      </c>
      <c r="AB146" s="60">
        <f t="shared" si="105"/>
        <v>31</v>
      </c>
      <c r="AC146" s="60">
        <f t="shared" si="84"/>
        <v>0</v>
      </c>
      <c r="AD146" s="60">
        <f>ROUND(AC146*AB146*Input!$C$3/365,0)</f>
        <v>0</v>
      </c>
      <c r="AE146" s="61">
        <f>IF($A146&lt;=Input!$C$6,0,IF('Fixed Tenure'!AA146&lt;'Fixed Tenure'!AC146,'Fixed Tenure'!AA146-AD146,'Fixed Tenure'!AC146))</f>
        <v>0</v>
      </c>
      <c r="AF146" s="61">
        <f t="shared" si="85"/>
        <v>0</v>
      </c>
      <c r="AG146" s="60">
        <f t="shared" si="86"/>
        <v>0</v>
      </c>
      <c r="AH146" s="193"/>
      <c r="AI146" s="169">
        <v>142</v>
      </c>
      <c r="AJ146" s="1">
        <f t="shared" si="106"/>
        <v>49841</v>
      </c>
      <c r="AK146" s="60">
        <f>IF($X146&lt;Input!$H$73,IF($X146&lt;Input!$G$73,IF($X146&lt;Input!$F$73,IF($X146&lt;Input!$E$73,IF($X146&lt;Input!$D$73,Input!$C$79,Input!$D$79),Input!$E$79),Input!$F$79),Input!$G$79),Input!$H$79)</f>
        <v>0</v>
      </c>
      <c r="AL146" s="190">
        <f>IF($A146&lt;Input!$H$80,IF($A146&lt;Input!$G$80,IF($A146&lt;Input!$F$80,IF($A146&lt;Input!$E$80,IF($A146&lt;Input!$D$80,Input!$C$81,Input!$D$81),Input!$E$81),Input!$F$81),Input!$G$81),Input!$H$81)</f>
        <v>0.9</v>
      </c>
      <c r="AM146" s="60">
        <f t="shared" si="87"/>
        <v>0</v>
      </c>
      <c r="AN146" s="60">
        <f t="shared" si="107"/>
        <v>31</v>
      </c>
      <c r="AO146" s="60">
        <f t="shared" si="88"/>
        <v>0</v>
      </c>
      <c r="AP146" s="60">
        <f>ROUND(AO146*AN146*Input!$C$3/365,0)</f>
        <v>0</v>
      </c>
      <c r="AQ146" s="61">
        <f>IF($A146&lt;=Input!$C$6,0,IF('Fixed Tenure'!AM146&lt;'Fixed Tenure'!AO146,'Fixed Tenure'!AM146-AP146,'Fixed Tenure'!AO146))</f>
        <v>0</v>
      </c>
      <c r="AR146" s="61">
        <f t="shared" si="89"/>
        <v>0</v>
      </c>
      <c r="AS146" s="60">
        <f t="shared" si="90"/>
        <v>0</v>
      </c>
      <c r="AT146" s="193"/>
      <c r="AU146" s="169">
        <v>142</v>
      </c>
      <c r="AV146" s="1">
        <f t="shared" si="108"/>
        <v>49841</v>
      </c>
      <c r="AW146" s="60">
        <f>IF($X146&lt;Input!$H$88,IF($X146&lt;Input!$G$88,IF($X146&lt;Input!$F$88,IF($X146&lt;Input!$E$88,IF($X146&lt;Input!$D$88,Input!$C$94,Input!$D$94),Input!$E$94),Input!$F$94),Input!$G$94),Input!$H$94)</f>
        <v>0</v>
      </c>
      <c r="AX146" s="190">
        <f>IF($A146&lt;Input!$H$95,IF($A146&lt;Input!$G$95,IF($A146&lt;Input!$F$95,IF($A146&lt;Input!$E$95,IF($A146&lt;Input!$D$95,Input!$C$96,Input!$D$96),Input!$E$96),Input!$F$96),Input!$G$96),Input!$H$96)</f>
        <v>0.9</v>
      </c>
      <c r="AY146" s="60">
        <f t="shared" si="91"/>
        <v>0</v>
      </c>
      <c r="AZ146" s="60">
        <f t="shared" si="109"/>
        <v>31</v>
      </c>
      <c r="BA146" s="60">
        <f t="shared" si="92"/>
        <v>0</v>
      </c>
      <c r="BB146" s="60">
        <f>ROUND(BA146*AZ146*Input!$C$3/365,0)</f>
        <v>0</v>
      </c>
      <c r="BC146" s="61">
        <f>IF($A146&lt;=Input!$C$6,0,IF('Fixed Tenure'!AY146&lt;'Fixed Tenure'!BA146,'Fixed Tenure'!AY146-BB146,'Fixed Tenure'!BA146))</f>
        <v>0</v>
      </c>
      <c r="BD146" s="61">
        <f t="shared" si="93"/>
        <v>0</v>
      </c>
      <c r="BE146" s="60">
        <f t="shared" si="94"/>
        <v>0</v>
      </c>
      <c r="BF146" s="193"/>
      <c r="BG146" s="169">
        <v>142</v>
      </c>
      <c r="BH146" s="1">
        <f t="shared" si="110"/>
        <v>49841</v>
      </c>
      <c r="BI146" s="60">
        <f>IF($X146&lt;Input!$H$103,IF($X146&lt;Input!$G$103,IF($X146&lt;Input!$F$103,IF($X146&lt;Input!$E$103,IF($X146&lt;Input!$D$103,Input!$C$109,Input!$D$109),Input!$E$109),Input!$F$109),Input!$G$109),Input!$H$109)</f>
        <v>0</v>
      </c>
      <c r="BJ146" s="190">
        <f>IF($A146&lt;Input!$H$110,IF($A146&lt;Input!$G$110,IF($A146&lt;Input!$F$110,IF($A146&lt;Input!$E$110,IF($A146&lt;Input!$D$110,Input!$C$111,Input!$D$111),Input!$E$111),Input!$F$111),Input!$G$111),Input!$H$111)</f>
        <v>0.9</v>
      </c>
      <c r="BK146" s="60">
        <f t="shared" si="95"/>
        <v>0</v>
      </c>
      <c r="BL146" s="60">
        <f t="shared" si="111"/>
        <v>31</v>
      </c>
      <c r="BM146" s="60">
        <f t="shared" si="96"/>
        <v>0</v>
      </c>
      <c r="BN146" s="60">
        <f>ROUND(BM146*BL146*Input!$C$3/365,0)</f>
        <v>0</v>
      </c>
      <c r="BO146" s="61">
        <f>IF($A146&lt;=Input!$C$6,0,IF('Fixed Tenure'!BK146&lt;'Fixed Tenure'!BM146,'Fixed Tenure'!BK146-BN146,'Fixed Tenure'!BM146))</f>
        <v>0</v>
      </c>
      <c r="BP146" s="61">
        <f t="shared" si="97"/>
        <v>0</v>
      </c>
      <c r="BQ146" s="60">
        <f t="shared" si="98"/>
        <v>0</v>
      </c>
      <c r="BR146" s="198"/>
    </row>
    <row r="147" spans="1:70" x14ac:dyDescent="0.25">
      <c r="A147" s="169">
        <v>143</v>
      </c>
      <c r="B147" s="1">
        <f t="shared" si="99"/>
        <v>49871</v>
      </c>
      <c r="C147" s="60">
        <f t="shared" si="77"/>
        <v>33127052.878124986</v>
      </c>
      <c r="D147" s="60">
        <f t="shared" si="78"/>
        <v>29814347.590312488</v>
      </c>
      <c r="E147" s="60">
        <f t="shared" si="100"/>
        <v>30</v>
      </c>
      <c r="F147" s="60">
        <f t="shared" si="101"/>
        <v>0</v>
      </c>
      <c r="G147" s="60">
        <f>ROUND(F147*E147*Input!$C$3/365,0)</f>
        <v>0</v>
      </c>
      <c r="H147" s="60">
        <f>IF($A147&lt;=Input!$C$6,0,IF('Fixed Tenure'!D147&lt;'Fixed Tenure'!F147,'Fixed Tenure'!D147-G147,'Fixed Tenure'!F147))</f>
        <v>0</v>
      </c>
      <c r="I147" s="60">
        <f t="shared" si="102"/>
        <v>0</v>
      </c>
      <c r="J147" s="60">
        <f t="shared" si="103"/>
        <v>0</v>
      </c>
      <c r="K147" s="202">
        <f>J147/Input!$K$5</f>
        <v>0</v>
      </c>
      <c r="L147" s="232"/>
      <c r="M147" s="60">
        <f>IF($B147&lt;Input!$H$43,IF($B147&lt;Input!$G$43,IF($B147&lt;Input!$F$43,IF($B147&lt;Input!$E$43,IF($B147&lt;Input!$D$43,Input!$C$49,Input!$D$49),Input!$E$49),Input!$F$49),Input!$G$49),Input!$H$49)</f>
        <v>33127052.878124986</v>
      </c>
      <c r="N147" s="190">
        <f>IF($A147&lt;Input!$H$50,IF($A147&lt;Input!$G$50,IF($A147&lt;Input!$F$50,IF($A147&lt;Input!$E$50,IF($A147&lt;Input!$D$50,Input!$C$51,Input!$D$51),Input!$E$51),Input!$F$51),Input!$G$51),Input!$H$51)</f>
        <v>0.9</v>
      </c>
      <c r="O147" s="60">
        <f t="shared" si="76"/>
        <v>29814347.590312488</v>
      </c>
      <c r="P147" s="60">
        <f t="shared" si="79"/>
        <v>30</v>
      </c>
      <c r="Q147" s="60">
        <f t="shared" si="80"/>
        <v>0</v>
      </c>
      <c r="R147" s="60">
        <f>ROUND(Q147*$P147*Input!$C$3/365,0)</f>
        <v>0</v>
      </c>
      <c r="S147" s="60">
        <f>IF(A147&lt;=Input!$C$6,0,IF('Fixed Tenure'!O147&lt;'Fixed Tenure'!Q147,'Fixed Tenure'!O147-R147,'Fixed Tenure'!Q147))</f>
        <v>0</v>
      </c>
      <c r="T147" s="60">
        <f t="shared" si="81"/>
        <v>0</v>
      </c>
      <c r="U147" s="60">
        <f t="shared" si="82"/>
        <v>0</v>
      </c>
      <c r="V147" s="193"/>
      <c r="W147" s="169">
        <v>143</v>
      </c>
      <c r="X147" s="1">
        <f t="shared" si="104"/>
        <v>49871</v>
      </c>
      <c r="Y147" s="60">
        <f>IF($X147&lt;Input!$H$58,IF($X147&lt;Input!$G$58,IF($X147&lt;Input!$F$58,IF($X147&lt;Input!$E$58,IF($X147&lt;Input!$D$58,Input!$C$64,Input!$D$64),Input!$E$64),Input!$F$64),Input!$G$64),Input!$H$64)</f>
        <v>0</v>
      </c>
      <c r="Z147" s="190">
        <f>IF($A147&lt;Input!$H$65,IF($A147&lt;Input!$G$65,IF($A147&lt;Input!$F$65,IF($A147&lt;Input!$E$65,IF($A147&lt;Input!$D$65,Input!$C$66,Input!$D$66),Input!$E$66),Input!$F$66),Input!$G$66),Input!$H$66)</f>
        <v>0.9</v>
      </c>
      <c r="AA147" s="60">
        <f t="shared" si="83"/>
        <v>0</v>
      </c>
      <c r="AB147" s="60">
        <f t="shared" si="105"/>
        <v>30</v>
      </c>
      <c r="AC147" s="60">
        <f t="shared" si="84"/>
        <v>0</v>
      </c>
      <c r="AD147" s="60">
        <f>ROUND(AC147*AB147*Input!$C$3/365,0)</f>
        <v>0</v>
      </c>
      <c r="AE147" s="61">
        <f>IF($A147&lt;=Input!$C$6,0,IF('Fixed Tenure'!AA147&lt;'Fixed Tenure'!AC147,'Fixed Tenure'!AA147-AD147,'Fixed Tenure'!AC147))</f>
        <v>0</v>
      </c>
      <c r="AF147" s="61">
        <f t="shared" si="85"/>
        <v>0</v>
      </c>
      <c r="AG147" s="60">
        <f t="shared" si="86"/>
        <v>0</v>
      </c>
      <c r="AH147" s="193"/>
      <c r="AI147" s="169">
        <v>143</v>
      </c>
      <c r="AJ147" s="1">
        <f t="shared" si="106"/>
        <v>49871</v>
      </c>
      <c r="AK147" s="60">
        <f>IF($X147&lt;Input!$H$73,IF($X147&lt;Input!$G$73,IF($X147&lt;Input!$F$73,IF($X147&lt;Input!$E$73,IF($X147&lt;Input!$D$73,Input!$C$79,Input!$D$79),Input!$E$79),Input!$F$79),Input!$G$79),Input!$H$79)</f>
        <v>0</v>
      </c>
      <c r="AL147" s="190">
        <f>IF($A147&lt;Input!$H$80,IF($A147&lt;Input!$G$80,IF($A147&lt;Input!$F$80,IF($A147&lt;Input!$E$80,IF($A147&lt;Input!$D$80,Input!$C$81,Input!$D$81),Input!$E$81),Input!$F$81),Input!$G$81),Input!$H$81)</f>
        <v>0.9</v>
      </c>
      <c r="AM147" s="60">
        <f t="shared" si="87"/>
        <v>0</v>
      </c>
      <c r="AN147" s="60">
        <f t="shared" si="107"/>
        <v>30</v>
      </c>
      <c r="AO147" s="60">
        <f t="shared" si="88"/>
        <v>0</v>
      </c>
      <c r="AP147" s="60">
        <f>ROUND(AO147*AN147*Input!$C$3/365,0)</f>
        <v>0</v>
      </c>
      <c r="AQ147" s="61">
        <f>IF($A147&lt;=Input!$C$6,0,IF('Fixed Tenure'!AM147&lt;'Fixed Tenure'!AO147,'Fixed Tenure'!AM147-AP147,'Fixed Tenure'!AO147))</f>
        <v>0</v>
      </c>
      <c r="AR147" s="61">
        <f t="shared" si="89"/>
        <v>0</v>
      </c>
      <c r="AS147" s="60">
        <f t="shared" si="90"/>
        <v>0</v>
      </c>
      <c r="AT147" s="193"/>
      <c r="AU147" s="169">
        <v>143</v>
      </c>
      <c r="AV147" s="1">
        <f t="shared" si="108"/>
        <v>49871</v>
      </c>
      <c r="AW147" s="60">
        <f>IF($X147&lt;Input!$H$88,IF($X147&lt;Input!$G$88,IF($X147&lt;Input!$F$88,IF($X147&lt;Input!$E$88,IF($X147&lt;Input!$D$88,Input!$C$94,Input!$D$94),Input!$E$94),Input!$F$94),Input!$G$94),Input!$H$94)</f>
        <v>0</v>
      </c>
      <c r="AX147" s="190">
        <f>IF($A147&lt;Input!$H$95,IF($A147&lt;Input!$G$95,IF($A147&lt;Input!$F$95,IF($A147&lt;Input!$E$95,IF($A147&lt;Input!$D$95,Input!$C$96,Input!$D$96),Input!$E$96),Input!$F$96),Input!$G$96),Input!$H$96)</f>
        <v>0.9</v>
      </c>
      <c r="AY147" s="60">
        <f t="shared" si="91"/>
        <v>0</v>
      </c>
      <c r="AZ147" s="60">
        <f t="shared" si="109"/>
        <v>30</v>
      </c>
      <c r="BA147" s="60">
        <f t="shared" si="92"/>
        <v>0</v>
      </c>
      <c r="BB147" s="60">
        <f>ROUND(BA147*AZ147*Input!$C$3/365,0)</f>
        <v>0</v>
      </c>
      <c r="BC147" s="61">
        <f>IF($A147&lt;=Input!$C$6,0,IF('Fixed Tenure'!AY147&lt;'Fixed Tenure'!BA147,'Fixed Tenure'!AY147-BB147,'Fixed Tenure'!BA147))</f>
        <v>0</v>
      </c>
      <c r="BD147" s="61">
        <f t="shared" si="93"/>
        <v>0</v>
      </c>
      <c r="BE147" s="60">
        <f t="shared" si="94"/>
        <v>0</v>
      </c>
      <c r="BF147" s="193"/>
      <c r="BG147" s="169">
        <v>143</v>
      </c>
      <c r="BH147" s="1">
        <f t="shared" si="110"/>
        <v>49871</v>
      </c>
      <c r="BI147" s="60">
        <f>IF($X147&lt;Input!$H$103,IF($X147&lt;Input!$G$103,IF($X147&lt;Input!$F$103,IF($X147&lt;Input!$E$103,IF($X147&lt;Input!$D$103,Input!$C$109,Input!$D$109),Input!$E$109),Input!$F$109),Input!$G$109),Input!$H$109)</f>
        <v>0</v>
      </c>
      <c r="BJ147" s="190">
        <f>IF($A147&lt;Input!$H$110,IF($A147&lt;Input!$G$110,IF($A147&lt;Input!$F$110,IF($A147&lt;Input!$E$110,IF($A147&lt;Input!$D$110,Input!$C$111,Input!$D$111),Input!$E$111),Input!$F$111),Input!$G$111),Input!$H$111)</f>
        <v>0.9</v>
      </c>
      <c r="BK147" s="60">
        <f t="shared" si="95"/>
        <v>0</v>
      </c>
      <c r="BL147" s="60">
        <f t="shared" si="111"/>
        <v>30</v>
      </c>
      <c r="BM147" s="60">
        <f t="shared" si="96"/>
        <v>0</v>
      </c>
      <c r="BN147" s="60">
        <f>ROUND(BM147*BL147*Input!$C$3/365,0)</f>
        <v>0</v>
      </c>
      <c r="BO147" s="61">
        <f>IF($A147&lt;=Input!$C$6,0,IF('Fixed Tenure'!BK147&lt;'Fixed Tenure'!BM147,'Fixed Tenure'!BK147-BN147,'Fixed Tenure'!BM147))</f>
        <v>0</v>
      </c>
      <c r="BP147" s="61">
        <f t="shared" si="97"/>
        <v>0</v>
      </c>
      <c r="BQ147" s="60">
        <f t="shared" si="98"/>
        <v>0</v>
      </c>
      <c r="BR147" s="198"/>
    </row>
    <row r="148" spans="1:70" x14ac:dyDescent="0.25">
      <c r="A148" s="169">
        <v>144</v>
      </c>
      <c r="B148" s="1">
        <f t="shared" si="99"/>
        <v>49902</v>
      </c>
      <c r="C148" s="60">
        <f t="shared" si="77"/>
        <v>33127052.878124986</v>
      </c>
      <c r="D148" s="60">
        <f t="shared" si="78"/>
        <v>29814347.590312488</v>
      </c>
      <c r="E148" s="60">
        <f t="shared" si="100"/>
        <v>31</v>
      </c>
      <c r="F148" s="60">
        <f t="shared" si="101"/>
        <v>0</v>
      </c>
      <c r="G148" s="60">
        <f>ROUND(F148*E148*Input!$C$3/365,0)</f>
        <v>0</v>
      </c>
      <c r="H148" s="60">
        <f>IF($A148&lt;=Input!$C$6,0,IF('Fixed Tenure'!D148&lt;'Fixed Tenure'!F148,'Fixed Tenure'!D148-G148,'Fixed Tenure'!F148))</f>
        <v>0</v>
      </c>
      <c r="I148" s="60">
        <f t="shared" si="102"/>
        <v>0</v>
      </c>
      <c r="J148" s="60">
        <f t="shared" si="103"/>
        <v>0</v>
      </c>
      <c r="K148" s="202">
        <f>J148/Input!$K$5</f>
        <v>0</v>
      </c>
      <c r="L148" s="232"/>
      <c r="M148" s="60">
        <f>IF($B148&lt;Input!$H$43,IF($B148&lt;Input!$G$43,IF($B148&lt;Input!$F$43,IF($B148&lt;Input!$E$43,IF($B148&lt;Input!$D$43,Input!$C$49,Input!$D$49),Input!$E$49),Input!$F$49),Input!$G$49),Input!$H$49)</f>
        <v>33127052.878124986</v>
      </c>
      <c r="N148" s="190">
        <f>IF($A148&lt;Input!$H$50,IF($A148&lt;Input!$G$50,IF($A148&lt;Input!$F$50,IF($A148&lt;Input!$E$50,IF($A148&lt;Input!$D$50,Input!$C$51,Input!$D$51),Input!$E$51),Input!$F$51),Input!$G$51),Input!$H$51)</f>
        <v>0.9</v>
      </c>
      <c r="O148" s="60">
        <f t="shared" si="76"/>
        <v>29814347.590312488</v>
      </c>
      <c r="P148" s="60">
        <f t="shared" si="79"/>
        <v>31</v>
      </c>
      <c r="Q148" s="60">
        <f t="shared" si="80"/>
        <v>0</v>
      </c>
      <c r="R148" s="60">
        <f>ROUND(Q148*$P148*Input!$C$3/365,0)</f>
        <v>0</v>
      </c>
      <c r="S148" s="60">
        <f>IF(A148&lt;=Input!$C$6,0,IF('Fixed Tenure'!O148&lt;'Fixed Tenure'!Q148,'Fixed Tenure'!O148-R148,'Fixed Tenure'!Q148))</f>
        <v>0</v>
      </c>
      <c r="T148" s="60">
        <f t="shared" si="81"/>
        <v>0</v>
      </c>
      <c r="U148" s="60">
        <f t="shared" si="82"/>
        <v>0</v>
      </c>
      <c r="V148" s="193"/>
      <c r="W148" s="169">
        <v>144</v>
      </c>
      <c r="X148" s="1">
        <f t="shared" si="104"/>
        <v>49902</v>
      </c>
      <c r="Y148" s="60">
        <f>IF($X148&lt;Input!$H$58,IF($X148&lt;Input!$G$58,IF($X148&lt;Input!$F$58,IF($X148&lt;Input!$E$58,IF($X148&lt;Input!$D$58,Input!$C$64,Input!$D$64),Input!$E$64),Input!$F$64),Input!$G$64),Input!$H$64)</f>
        <v>0</v>
      </c>
      <c r="Z148" s="190">
        <f>IF($A148&lt;Input!$H$65,IF($A148&lt;Input!$G$65,IF($A148&lt;Input!$F$65,IF($A148&lt;Input!$E$65,IF($A148&lt;Input!$D$65,Input!$C$66,Input!$D$66),Input!$E$66),Input!$F$66),Input!$G$66),Input!$H$66)</f>
        <v>0.9</v>
      </c>
      <c r="AA148" s="60">
        <f t="shared" si="83"/>
        <v>0</v>
      </c>
      <c r="AB148" s="60">
        <f t="shared" si="105"/>
        <v>31</v>
      </c>
      <c r="AC148" s="60">
        <f t="shared" si="84"/>
        <v>0</v>
      </c>
      <c r="AD148" s="60">
        <f>ROUND(AC148*AB148*Input!$C$3/365,0)</f>
        <v>0</v>
      </c>
      <c r="AE148" s="61">
        <f>IF($A148&lt;=Input!$C$6,0,IF('Fixed Tenure'!AA148&lt;'Fixed Tenure'!AC148,'Fixed Tenure'!AA148-AD148,'Fixed Tenure'!AC148))</f>
        <v>0</v>
      </c>
      <c r="AF148" s="61">
        <f t="shared" si="85"/>
        <v>0</v>
      </c>
      <c r="AG148" s="60">
        <f t="shared" si="86"/>
        <v>0</v>
      </c>
      <c r="AH148" s="193"/>
      <c r="AI148" s="169">
        <v>144</v>
      </c>
      <c r="AJ148" s="1">
        <f t="shared" si="106"/>
        <v>49902</v>
      </c>
      <c r="AK148" s="60">
        <f>IF($X148&lt;Input!$H$73,IF($X148&lt;Input!$G$73,IF($X148&lt;Input!$F$73,IF($X148&lt;Input!$E$73,IF($X148&lt;Input!$D$73,Input!$C$79,Input!$D$79),Input!$E$79),Input!$F$79),Input!$G$79),Input!$H$79)</f>
        <v>0</v>
      </c>
      <c r="AL148" s="190">
        <f>IF($A148&lt;Input!$H$80,IF($A148&lt;Input!$G$80,IF($A148&lt;Input!$F$80,IF($A148&lt;Input!$E$80,IF($A148&lt;Input!$D$80,Input!$C$81,Input!$D$81),Input!$E$81),Input!$F$81),Input!$G$81),Input!$H$81)</f>
        <v>0.9</v>
      </c>
      <c r="AM148" s="60">
        <f t="shared" si="87"/>
        <v>0</v>
      </c>
      <c r="AN148" s="60">
        <f t="shared" si="107"/>
        <v>31</v>
      </c>
      <c r="AO148" s="60">
        <f t="shared" si="88"/>
        <v>0</v>
      </c>
      <c r="AP148" s="60">
        <f>ROUND(AO148*AN148*Input!$C$3/365,0)</f>
        <v>0</v>
      </c>
      <c r="AQ148" s="61">
        <f>IF($A148&lt;=Input!$C$6,0,IF('Fixed Tenure'!AM148&lt;'Fixed Tenure'!AO148,'Fixed Tenure'!AM148-AP148,'Fixed Tenure'!AO148))</f>
        <v>0</v>
      </c>
      <c r="AR148" s="61">
        <f t="shared" si="89"/>
        <v>0</v>
      </c>
      <c r="AS148" s="60">
        <f t="shared" si="90"/>
        <v>0</v>
      </c>
      <c r="AT148" s="193"/>
      <c r="AU148" s="169">
        <v>144</v>
      </c>
      <c r="AV148" s="1">
        <f t="shared" si="108"/>
        <v>49902</v>
      </c>
      <c r="AW148" s="60">
        <f>IF($X148&lt;Input!$H$88,IF($X148&lt;Input!$G$88,IF($X148&lt;Input!$F$88,IF($X148&lt;Input!$E$88,IF($X148&lt;Input!$D$88,Input!$C$94,Input!$D$94),Input!$E$94),Input!$F$94),Input!$G$94),Input!$H$94)</f>
        <v>0</v>
      </c>
      <c r="AX148" s="190">
        <f>IF($A148&lt;Input!$H$95,IF($A148&lt;Input!$G$95,IF($A148&lt;Input!$F$95,IF($A148&lt;Input!$E$95,IF($A148&lt;Input!$D$95,Input!$C$96,Input!$D$96),Input!$E$96),Input!$F$96),Input!$G$96),Input!$H$96)</f>
        <v>0.9</v>
      </c>
      <c r="AY148" s="60">
        <f t="shared" si="91"/>
        <v>0</v>
      </c>
      <c r="AZ148" s="60">
        <f t="shared" si="109"/>
        <v>31</v>
      </c>
      <c r="BA148" s="60">
        <f t="shared" si="92"/>
        <v>0</v>
      </c>
      <c r="BB148" s="60">
        <f>ROUND(BA148*AZ148*Input!$C$3/365,0)</f>
        <v>0</v>
      </c>
      <c r="BC148" s="61">
        <f>IF($A148&lt;=Input!$C$6,0,IF('Fixed Tenure'!AY148&lt;'Fixed Tenure'!BA148,'Fixed Tenure'!AY148-BB148,'Fixed Tenure'!BA148))</f>
        <v>0</v>
      </c>
      <c r="BD148" s="61">
        <f t="shared" si="93"/>
        <v>0</v>
      </c>
      <c r="BE148" s="60">
        <f t="shared" si="94"/>
        <v>0</v>
      </c>
      <c r="BF148" s="193"/>
      <c r="BG148" s="169">
        <v>144</v>
      </c>
      <c r="BH148" s="1">
        <f t="shared" si="110"/>
        <v>49902</v>
      </c>
      <c r="BI148" s="60">
        <f>IF($X148&lt;Input!$H$103,IF($X148&lt;Input!$G$103,IF($X148&lt;Input!$F$103,IF($X148&lt;Input!$E$103,IF($X148&lt;Input!$D$103,Input!$C$109,Input!$D$109),Input!$E$109),Input!$F$109),Input!$G$109),Input!$H$109)</f>
        <v>0</v>
      </c>
      <c r="BJ148" s="190">
        <f>IF($A148&lt;Input!$H$110,IF($A148&lt;Input!$G$110,IF($A148&lt;Input!$F$110,IF($A148&lt;Input!$E$110,IF($A148&lt;Input!$D$110,Input!$C$111,Input!$D$111),Input!$E$111),Input!$F$111),Input!$G$111),Input!$H$111)</f>
        <v>0.9</v>
      </c>
      <c r="BK148" s="60">
        <f t="shared" si="95"/>
        <v>0</v>
      </c>
      <c r="BL148" s="60">
        <f t="shared" si="111"/>
        <v>31</v>
      </c>
      <c r="BM148" s="60">
        <f t="shared" si="96"/>
        <v>0</v>
      </c>
      <c r="BN148" s="60">
        <f>ROUND(BM148*BL148*Input!$C$3/365,0)</f>
        <v>0</v>
      </c>
      <c r="BO148" s="61">
        <f>IF($A148&lt;=Input!$C$6,0,IF('Fixed Tenure'!BK148&lt;'Fixed Tenure'!BM148,'Fixed Tenure'!BK148-BN148,'Fixed Tenure'!BM148))</f>
        <v>0</v>
      </c>
      <c r="BP148" s="61">
        <f t="shared" si="97"/>
        <v>0</v>
      </c>
      <c r="BQ148" s="60">
        <f t="shared" si="98"/>
        <v>0</v>
      </c>
      <c r="BR148" s="198"/>
    </row>
    <row r="149" spans="1:70" x14ac:dyDescent="0.25">
      <c r="A149" s="169">
        <v>145</v>
      </c>
      <c r="B149" s="1">
        <f t="shared" si="99"/>
        <v>49933</v>
      </c>
      <c r="C149" s="60">
        <f t="shared" si="77"/>
        <v>33127052.878124986</v>
      </c>
      <c r="D149" s="60">
        <f t="shared" si="78"/>
        <v>29814347.590312488</v>
      </c>
      <c r="E149" s="60">
        <f t="shared" si="100"/>
        <v>31</v>
      </c>
      <c r="F149" s="60">
        <f t="shared" si="101"/>
        <v>0</v>
      </c>
      <c r="G149" s="60">
        <f>ROUND(F149*E149*Input!$C$3/365,0)</f>
        <v>0</v>
      </c>
      <c r="H149" s="60">
        <f>IF($A149&lt;=Input!$C$6,0,IF('Fixed Tenure'!D149&lt;'Fixed Tenure'!F149,'Fixed Tenure'!D149-G149,'Fixed Tenure'!F149))</f>
        <v>0</v>
      </c>
      <c r="I149" s="60">
        <f t="shared" si="102"/>
        <v>0</v>
      </c>
      <c r="J149" s="60">
        <f t="shared" si="103"/>
        <v>0</v>
      </c>
      <c r="K149" s="202">
        <f>J149/Input!$K$5</f>
        <v>0</v>
      </c>
      <c r="L149" s="232"/>
      <c r="M149" s="60">
        <f>IF($B149&lt;Input!$H$43,IF($B149&lt;Input!$G$43,IF($B149&lt;Input!$F$43,IF($B149&lt;Input!$E$43,IF($B149&lt;Input!$D$43,Input!$C$49,Input!$D$49),Input!$E$49),Input!$F$49),Input!$G$49),Input!$H$49)</f>
        <v>33127052.878124986</v>
      </c>
      <c r="N149" s="190">
        <f>IF($A149&lt;Input!$H$50,IF($A149&lt;Input!$G$50,IF($A149&lt;Input!$F$50,IF($A149&lt;Input!$E$50,IF($A149&lt;Input!$D$50,Input!$C$51,Input!$D$51),Input!$E$51),Input!$F$51),Input!$G$51),Input!$H$51)</f>
        <v>0.9</v>
      </c>
      <c r="O149" s="60">
        <f t="shared" si="76"/>
        <v>29814347.590312488</v>
      </c>
      <c r="P149" s="60">
        <f t="shared" si="79"/>
        <v>31</v>
      </c>
      <c r="Q149" s="60">
        <f t="shared" si="80"/>
        <v>0</v>
      </c>
      <c r="R149" s="60">
        <f>ROUND(Q149*$P149*Input!$C$3/365,0)</f>
        <v>0</v>
      </c>
      <c r="S149" s="60">
        <f>IF(A149&lt;=Input!$C$6,0,IF('Fixed Tenure'!O149&lt;'Fixed Tenure'!Q149,'Fixed Tenure'!O149-R149,'Fixed Tenure'!Q149))</f>
        <v>0</v>
      </c>
      <c r="T149" s="60">
        <f t="shared" si="81"/>
        <v>0</v>
      </c>
      <c r="U149" s="60">
        <f t="shared" si="82"/>
        <v>0</v>
      </c>
      <c r="V149" s="193"/>
      <c r="W149" s="169">
        <v>145</v>
      </c>
      <c r="X149" s="1">
        <f t="shared" si="104"/>
        <v>49933</v>
      </c>
      <c r="Y149" s="60">
        <f>IF($X149&lt;Input!$H$58,IF($X149&lt;Input!$G$58,IF($X149&lt;Input!$F$58,IF($X149&lt;Input!$E$58,IF($X149&lt;Input!$D$58,Input!$C$64,Input!$D$64),Input!$E$64),Input!$F$64),Input!$G$64),Input!$H$64)</f>
        <v>0</v>
      </c>
      <c r="Z149" s="190">
        <f>IF($A149&lt;Input!$H$65,IF($A149&lt;Input!$G$65,IF($A149&lt;Input!$F$65,IF($A149&lt;Input!$E$65,IF($A149&lt;Input!$D$65,Input!$C$66,Input!$D$66),Input!$E$66),Input!$F$66),Input!$G$66),Input!$H$66)</f>
        <v>0.9</v>
      </c>
      <c r="AA149" s="60">
        <f t="shared" si="83"/>
        <v>0</v>
      </c>
      <c r="AB149" s="60">
        <f t="shared" si="105"/>
        <v>31</v>
      </c>
      <c r="AC149" s="60">
        <f t="shared" si="84"/>
        <v>0</v>
      </c>
      <c r="AD149" s="60">
        <f>ROUND(AC149*AB149*Input!$C$3/365,0)</f>
        <v>0</v>
      </c>
      <c r="AE149" s="61">
        <f>IF($A149&lt;=Input!$C$6,0,IF('Fixed Tenure'!AA149&lt;'Fixed Tenure'!AC149,'Fixed Tenure'!AA149-AD149,'Fixed Tenure'!AC149))</f>
        <v>0</v>
      </c>
      <c r="AF149" s="61">
        <f t="shared" si="85"/>
        <v>0</v>
      </c>
      <c r="AG149" s="60">
        <f t="shared" si="86"/>
        <v>0</v>
      </c>
      <c r="AH149" s="193"/>
      <c r="AI149" s="169">
        <v>145</v>
      </c>
      <c r="AJ149" s="1">
        <f t="shared" si="106"/>
        <v>49933</v>
      </c>
      <c r="AK149" s="60">
        <f>IF($X149&lt;Input!$H$73,IF($X149&lt;Input!$G$73,IF($X149&lt;Input!$F$73,IF($X149&lt;Input!$E$73,IF($X149&lt;Input!$D$73,Input!$C$79,Input!$D$79),Input!$E$79),Input!$F$79),Input!$G$79),Input!$H$79)</f>
        <v>0</v>
      </c>
      <c r="AL149" s="190">
        <f>IF($A149&lt;Input!$H$80,IF($A149&lt;Input!$G$80,IF($A149&lt;Input!$F$80,IF($A149&lt;Input!$E$80,IF($A149&lt;Input!$D$80,Input!$C$81,Input!$D$81),Input!$E$81),Input!$F$81),Input!$G$81),Input!$H$81)</f>
        <v>0.9</v>
      </c>
      <c r="AM149" s="60">
        <f t="shared" si="87"/>
        <v>0</v>
      </c>
      <c r="AN149" s="60">
        <f t="shared" si="107"/>
        <v>31</v>
      </c>
      <c r="AO149" s="60">
        <f t="shared" si="88"/>
        <v>0</v>
      </c>
      <c r="AP149" s="60">
        <f>ROUND(AO149*AN149*Input!$C$3/365,0)</f>
        <v>0</v>
      </c>
      <c r="AQ149" s="61">
        <f>IF($A149&lt;=Input!$C$6,0,IF('Fixed Tenure'!AM149&lt;'Fixed Tenure'!AO149,'Fixed Tenure'!AM149-AP149,'Fixed Tenure'!AO149))</f>
        <v>0</v>
      </c>
      <c r="AR149" s="61">
        <f t="shared" si="89"/>
        <v>0</v>
      </c>
      <c r="AS149" s="60">
        <f t="shared" si="90"/>
        <v>0</v>
      </c>
      <c r="AT149" s="193"/>
      <c r="AU149" s="169">
        <v>145</v>
      </c>
      <c r="AV149" s="1">
        <f t="shared" si="108"/>
        <v>49933</v>
      </c>
      <c r="AW149" s="60">
        <f>IF($X149&lt;Input!$H$88,IF($X149&lt;Input!$G$88,IF($X149&lt;Input!$F$88,IF($X149&lt;Input!$E$88,IF($X149&lt;Input!$D$88,Input!$C$94,Input!$D$94),Input!$E$94),Input!$F$94),Input!$G$94),Input!$H$94)</f>
        <v>0</v>
      </c>
      <c r="AX149" s="190">
        <f>IF($A149&lt;Input!$H$95,IF($A149&lt;Input!$G$95,IF($A149&lt;Input!$F$95,IF($A149&lt;Input!$E$95,IF($A149&lt;Input!$D$95,Input!$C$96,Input!$D$96),Input!$E$96),Input!$F$96),Input!$G$96),Input!$H$96)</f>
        <v>0.9</v>
      </c>
      <c r="AY149" s="60">
        <f t="shared" si="91"/>
        <v>0</v>
      </c>
      <c r="AZ149" s="60">
        <f t="shared" si="109"/>
        <v>31</v>
      </c>
      <c r="BA149" s="60">
        <f t="shared" si="92"/>
        <v>0</v>
      </c>
      <c r="BB149" s="60">
        <f>ROUND(BA149*AZ149*Input!$C$3/365,0)</f>
        <v>0</v>
      </c>
      <c r="BC149" s="61">
        <f>IF($A149&lt;=Input!$C$6,0,IF('Fixed Tenure'!AY149&lt;'Fixed Tenure'!BA149,'Fixed Tenure'!AY149-BB149,'Fixed Tenure'!BA149))</f>
        <v>0</v>
      </c>
      <c r="BD149" s="61">
        <f t="shared" si="93"/>
        <v>0</v>
      </c>
      <c r="BE149" s="60">
        <f t="shared" si="94"/>
        <v>0</v>
      </c>
      <c r="BF149" s="193"/>
      <c r="BG149" s="169">
        <v>145</v>
      </c>
      <c r="BH149" s="1">
        <f t="shared" si="110"/>
        <v>49933</v>
      </c>
      <c r="BI149" s="60">
        <f>IF($X149&lt;Input!$H$103,IF($X149&lt;Input!$G$103,IF($X149&lt;Input!$F$103,IF($X149&lt;Input!$E$103,IF($X149&lt;Input!$D$103,Input!$C$109,Input!$D$109),Input!$E$109),Input!$F$109),Input!$G$109),Input!$H$109)</f>
        <v>0</v>
      </c>
      <c r="BJ149" s="190">
        <f>IF($A149&lt;Input!$H$110,IF($A149&lt;Input!$G$110,IF($A149&lt;Input!$F$110,IF($A149&lt;Input!$E$110,IF($A149&lt;Input!$D$110,Input!$C$111,Input!$D$111),Input!$E$111),Input!$F$111),Input!$G$111),Input!$H$111)</f>
        <v>0.9</v>
      </c>
      <c r="BK149" s="60">
        <f t="shared" si="95"/>
        <v>0</v>
      </c>
      <c r="BL149" s="60">
        <f t="shared" si="111"/>
        <v>31</v>
      </c>
      <c r="BM149" s="60">
        <f t="shared" si="96"/>
        <v>0</v>
      </c>
      <c r="BN149" s="60">
        <f>ROUND(BM149*BL149*Input!$C$3/365,0)</f>
        <v>0</v>
      </c>
      <c r="BO149" s="61">
        <f>IF($A149&lt;=Input!$C$6,0,IF('Fixed Tenure'!BK149&lt;'Fixed Tenure'!BM149,'Fixed Tenure'!BK149-BN149,'Fixed Tenure'!BM149))</f>
        <v>0</v>
      </c>
      <c r="BP149" s="61">
        <f t="shared" si="97"/>
        <v>0</v>
      </c>
      <c r="BQ149" s="60">
        <f t="shared" si="98"/>
        <v>0</v>
      </c>
      <c r="BR149" s="198"/>
    </row>
    <row r="150" spans="1:70" x14ac:dyDescent="0.25">
      <c r="A150" s="169">
        <v>146</v>
      </c>
      <c r="B150" s="1">
        <f t="shared" si="99"/>
        <v>49963</v>
      </c>
      <c r="C150" s="60">
        <f t="shared" si="77"/>
        <v>33127052.878124986</v>
      </c>
      <c r="D150" s="60">
        <f t="shared" si="78"/>
        <v>29814347.590312488</v>
      </c>
      <c r="E150" s="60">
        <f t="shared" si="100"/>
        <v>30</v>
      </c>
      <c r="F150" s="60">
        <f t="shared" si="101"/>
        <v>0</v>
      </c>
      <c r="G150" s="60">
        <f>ROUND(F150*E150*Input!$C$3/365,0)</f>
        <v>0</v>
      </c>
      <c r="H150" s="60">
        <f>IF($A150&lt;=Input!$C$6,0,IF('Fixed Tenure'!D150&lt;'Fixed Tenure'!F150,'Fixed Tenure'!D150-G150,'Fixed Tenure'!F150))</f>
        <v>0</v>
      </c>
      <c r="I150" s="60">
        <f t="shared" si="102"/>
        <v>0</v>
      </c>
      <c r="J150" s="60">
        <f t="shared" si="103"/>
        <v>0</v>
      </c>
      <c r="K150" s="202">
        <f>J150/Input!$K$5</f>
        <v>0</v>
      </c>
      <c r="L150" s="232"/>
      <c r="M150" s="60">
        <f>IF($B150&lt;Input!$H$43,IF($B150&lt;Input!$G$43,IF($B150&lt;Input!$F$43,IF($B150&lt;Input!$E$43,IF($B150&lt;Input!$D$43,Input!$C$49,Input!$D$49),Input!$E$49),Input!$F$49),Input!$G$49),Input!$H$49)</f>
        <v>33127052.878124986</v>
      </c>
      <c r="N150" s="190">
        <f>IF($A150&lt;Input!$H$50,IF($A150&lt;Input!$G$50,IF($A150&lt;Input!$F$50,IF($A150&lt;Input!$E$50,IF($A150&lt;Input!$D$50,Input!$C$51,Input!$D$51),Input!$E$51),Input!$F$51),Input!$G$51),Input!$H$51)</f>
        <v>0.9</v>
      </c>
      <c r="O150" s="60">
        <f t="shared" si="76"/>
        <v>29814347.590312488</v>
      </c>
      <c r="P150" s="60">
        <f t="shared" si="79"/>
        <v>30</v>
      </c>
      <c r="Q150" s="60">
        <f t="shared" si="80"/>
        <v>0</v>
      </c>
      <c r="R150" s="60">
        <f>ROUND(Q150*$P150*Input!$C$3/365,0)</f>
        <v>0</v>
      </c>
      <c r="S150" s="60">
        <f>IF(A150&lt;=Input!$C$6,0,IF('Fixed Tenure'!O150&lt;'Fixed Tenure'!Q150,'Fixed Tenure'!O150-R150,'Fixed Tenure'!Q150))</f>
        <v>0</v>
      </c>
      <c r="T150" s="60">
        <f t="shared" si="81"/>
        <v>0</v>
      </c>
      <c r="U150" s="60">
        <f t="shared" si="82"/>
        <v>0</v>
      </c>
      <c r="V150" s="193"/>
      <c r="W150" s="169">
        <v>146</v>
      </c>
      <c r="X150" s="1">
        <f t="shared" si="104"/>
        <v>49963</v>
      </c>
      <c r="Y150" s="60">
        <f>IF($X150&lt;Input!$H$58,IF($X150&lt;Input!$G$58,IF($X150&lt;Input!$F$58,IF($X150&lt;Input!$E$58,IF($X150&lt;Input!$D$58,Input!$C$64,Input!$D$64),Input!$E$64),Input!$F$64),Input!$G$64),Input!$H$64)</f>
        <v>0</v>
      </c>
      <c r="Z150" s="190">
        <f>IF($A150&lt;Input!$H$65,IF($A150&lt;Input!$G$65,IF($A150&lt;Input!$F$65,IF($A150&lt;Input!$E$65,IF($A150&lt;Input!$D$65,Input!$C$66,Input!$D$66),Input!$E$66),Input!$F$66),Input!$G$66),Input!$H$66)</f>
        <v>0.9</v>
      </c>
      <c r="AA150" s="60">
        <f t="shared" si="83"/>
        <v>0</v>
      </c>
      <c r="AB150" s="60">
        <f t="shared" si="105"/>
        <v>30</v>
      </c>
      <c r="AC150" s="60">
        <f t="shared" si="84"/>
        <v>0</v>
      </c>
      <c r="AD150" s="60">
        <f>ROUND(AC150*AB150*Input!$C$3/365,0)</f>
        <v>0</v>
      </c>
      <c r="AE150" s="61">
        <f>IF($A150&lt;=Input!$C$6,0,IF('Fixed Tenure'!AA150&lt;'Fixed Tenure'!AC150,'Fixed Tenure'!AA150-AD150,'Fixed Tenure'!AC150))</f>
        <v>0</v>
      </c>
      <c r="AF150" s="61">
        <f t="shared" si="85"/>
        <v>0</v>
      </c>
      <c r="AG150" s="60">
        <f t="shared" si="86"/>
        <v>0</v>
      </c>
      <c r="AH150" s="193"/>
      <c r="AI150" s="169">
        <v>146</v>
      </c>
      <c r="AJ150" s="1">
        <f t="shared" si="106"/>
        <v>49963</v>
      </c>
      <c r="AK150" s="60">
        <f>IF($X150&lt;Input!$H$73,IF($X150&lt;Input!$G$73,IF($X150&lt;Input!$F$73,IF($X150&lt;Input!$E$73,IF($X150&lt;Input!$D$73,Input!$C$79,Input!$D$79),Input!$E$79),Input!$F$79),Input!$G$79),Input!$H$79)</f>
        <v>0</v>
      </c>
      <c r="AL150" s="190">
        <f>IF($A150&lt;Input!$H$80,IF($A150&lt;Input!$G$80,IF($A150&lt;Input!$F$80,IF($A150&lt;Input!$E$80,IF($A150&lt;Input!$D$80,Input!$C$81,Input!$D$81),Input!$E$81),Input!$F$81),Input!$G$81),Input!$H$81)</f>
        <v>0.9</v>
      </c>
      <c r="AM150" s="60">
        <f t="shared" si="87"/>
        <v>0</v>
      </c>
      <c r="AN150" s="60">
        <f t="shared" si="107"/>
        <v>30</v>
      </c>
      <c r="AO150" s="60">
        <f t="shared" si="88"/>
        <v>0</v>
      </c>
      <c r="AP150" s="60">
        <f>ROUND(AO150*AN150*Input!$C$3/365,0)</f>
        <v>0</v>
      </c>
      <c r="AQ150" s="61">
        <f>IF($A150&lt;=Input!$C$6,0,IF('Fixed Tenure'!AM150&lt;'Fixed Tenure'!AO150,'Fixed Tenure'!AM150-AP150,'Fixed Tenure'!AO150))</f>
        <v>0</v>
      </c>
      <c r="AR150" s="61">
        <f t="shared" si="89"/>
        <v>0</v>
      </c>
      <c r="AS150" s="60">
        <f t="shared" si="90"/>
        <v>0</v>
      </c>
      <c r="AT150" s="193"/>
      <c r="AU150" s="169">
        <v>146</v>
      </c>
      <c r="AV150" s="1">
        <f t="shared" si="108"/>
        <v>49963</v>
      </c>
      <c r="AW150" s="60">
        <f>IF($X150&lt;Input!$H$88,IF($X150&lt;Input!$G$88,IF($X150&lt;Input!$F$88,IF($X150&lt;Input!$E$88,IF($X150&lt;Input!$D$88,Input!$C$94,Input!$D$94),Input!$E$94),Input!$F$94),Input!$G$94),Input!$H$94)</f>
        <v>0</v>
      </c>
      <c r="AX150" s="190">
        <f>IF($A150&lt;Input!$H$95,IF($A150&lt;Input!$G$95,IF($A150&lt;Input!$F$95,IF($A150&lt;Input!$E$95,IF($A150&lt;Input!$D$95,Input!$C$96,Input!$D$96),Input!$E$96),Input!$F$96),Input!$G$96),Input!$H$96)</f>
        <v>0.9</v>
      </c>
      <c r="AY150" s="60">
        <f t="shared" si="91"/>
        <v>0</v>
      </c>
      <c r="AZ150" s="60">
        <f t="shared" si="109"/>
        <v>30</v>
      </c>
      <c r="BA150" s="60">
        <f t="shared" si="92"/>
        <v>0</v>
      </c>
      <c r="BB150" s="60">
        <f>ROUND(BA150*AZ150*Input!$C$3/365,0)</f>
        <v>0</v>
      </c>
      <c r="BC150" s="61">
        <f>IF($A150&lt;=Input!$C$6,0,IF('Fixed Tenure'!AY150&lt;'Fixed Tenure'!BA150,'Fixed Tenure'!AY150-BB150,'Fixed Tenure'!BA150))</f>
        <v>0</v>
      </c>
      <c r="BD150" s="61">
        <f t="shared" si="93"/>
        <v>0</v>
      </c>
      <c r="BE150" s="60">
        <f t="shared" si="94"/>
        <v>0</v>
      </c>
      <c r="BF150" s="193"/>
      <c r="BG150" s="169">
        <v>146</v>
      </c>
      <c r="BH150" s="1">
        <f t="shared" si="110"/>
        <v>49963</v>
      </c>
      <c r="BI150" s="60">
        <f>IF($X150&lt;Input!$H$103,IF($X150&lt;Input!$G$103,IF($X150&lt;Input!$F$103,IF($X150&lt;Input!$E$103,IF($X150&lt;Input!$D$103,Input!$C$109,Input!$D$109),Input!$E$109),Input!$F$109),Input!$G$109),Input!$H$109)</f>
        <v>0</v>
      </c>
      <c r="BJ150" s="190">
        <f>IF($A150&lt;Input!$H$110,IF($A150&lt;Input!$G$110,IF($A150&lt;Input!$F$110,IF($A150&lt;Input!$E$110,IF($A150&lt;Input!$D$110,Input!$C$111,Input!$D$111),Input!$E$111),Input!$F$111),Input!$G$111),Input!$H$111)</f>
        <v>0.9</v>
      </c>
      <c r="BK150" s="60">
        <f t="shared" si="95"/>
        <v>0</v>
      </c>
      <c r="BL150" s="60">
        <f t="shared" si="111"/>
        <v>30</v>
      </c>
      <c r="BM150" s="60">
        <f t="shared" si="96"/>
        <v>0</v>
      </c>
      <c r="BN150" s="60">
        <f>ROUND(BM150*BL150*Input!$C$3/365,0)</f>
        <v>0</v>
      </c>
      <c r="BO150" s="61">
        <f>IF($A150&lt;=Input!$C$6,0,IF('Fixed Tenure'!BK150&lt;'Fixed Tenure'!BM150,'Fixed Tenure'!BK150-BN150,'Fixed Tenure'!BM150))</f>
        <v>0</v>
      </c>
      <c r="BP150" s="61">
        <f t="shared" si="97"/>
        <v>0</v>
      </c>
      <c r="BQ150" s="60">
        <f t="shared" si="98"/>
        <v>0</v>
      </c>
      <c r="BR150" s="198"/>
    </row>
    <row r="151" spans="1:70" x14ac:dyDescent="0.25">
      <c r="A151" s="169">
        <v>147</v>
      </c>
      <c r="B151" s="1">
        <f t="shared" si="99"/>
        <v>49994</v>
      </c>
      <c r="C151" s="60">
        <f t="shared" si="77"/>
        <v>33127052.878124986</v>
      </c>
      <c r="D151" s="60">
        <f t="shared" si="78"/>
        <v>29814347.590312488</v>
      </c>
      <c r="E151" s="60">
        <f t="shared" si="100"/>
        <v>31</v>
      </c>
      <c r="F151" s="60">
        <f t="shared" si="101"/>
        <v>0</v>
      </c>
      <c r="G151" s="60">
        <f>ROUND(F151*E151*Input!$C$3/365,0)</f>
        <v>0</v>
      </c>
      <c r="H151" s="60">
        <f>IF($A151&lt;=Input!$C$6,0,IF('Fixed Tenure'!D151&lt;'Fixed Tenure'!F151,'Fixed Tenure'!D151-G151,'Fixed Tenure'!F151))</f>
        <v>0</v>
      </c>
      <c r="I151" s="60">
        <f t="shared" si="102"/>
        <v>0</v>
      </c>
      <c r="J151" s="60">
        <f t="shared" si="103"/>
        <v>0</v>
      </c>
      <c r="K151" s="202">
        <f>J151/Input!$K$5</f>
        <v>0</v>
      </c>
      <c r="L151" s="232"/>
      <c r="M151" s="60">
        <f>IF($B151&lt;Input!$H$43,IF($B151&lt;Input!$G$43,IF($B151&lt;Input!$F$43,IF($B151&lt;Input!$E$43,IF($B151&lt;Input!$D$43,Input!$C$49,Input!$D$49),Input!$E$49),Input!$F$49),Input!$G$49),Input!$H$49)</f>
        <v>33127052.878124986</v>
      </c>
      <c r="N151" s="190">
        <f>IF($A151&lt;Input!$H$50,IF($A151&lt;Input!$G$50,IF($A151&lt;Input!$F$50,IF($A151&lt;Input!$E$50,IF($A151&lt;Input!$D$50,Input!$C$51,Input!$D$51),Input!$E$51),Input!$F$51),Input!$G$51),Input!$H$51)</f>
        <v>0.9</v>
      </c>
      <c r="O151" s="60">
        <f t="shared" si="76"/>
        <v>29814347.590312488</v>
      </c>
      <c r="P151" s="60">
        <f t="shared" si="79"/>
        <v>31</v>
      </c>
      <c r="Q151" s="60">
        <f t="shared" si="80"/>
        <v>0</v>
      </c>
      <c r="R151" s="60">
        <f>ROUND(Q151*$P151*Input!$C$3/365,0)</f>
        <v>0</v>
      </c>
      <c r="S151" s="60">
        <f>IF(A151&lt;=Input!$C$6,0,IF('Fixed Tenure'!O151&lt;'Fixed Tenure'!Q151,'Fixed Tenure'!O151-R151,'Fixed Tenure'!Q151))</f>
        <v>0</v>
      </c>
      <c r="T151" s="60">
        <f t="shared" si="81"/>
        <v>0</v>
      </c>
      <c r="U151" s="60">
        <f t="shared" si="82"/>
        <v>0</v>
      </c>
      <c r="V151" s="193"/>
      <c r="W151" s="169">
        <v>147</v>
      </c>
      <c r="X151" s="1">
        <f t="shared" si="104"/>
        <v>49994</v>
      </c>
      <c r="Y151" s="60">
        <f>IF($X151&lt;Input!$H$58,IF($X151&lt;Input!$G$58,IF($X151&lt;Input!$F$58,IF($X151&lt;Input!$E$58,IF($X151&lt;Input!$D$58,Input!$C$64,Input!$D$64),Input!$E$64),Input!$F$64),Input!$G$64),Input!$H$64)</f>
        <v>0</v>
      </c>
      <c r="Z151" s="190">
        <f>IF($A151&lt;Input!$H$65,IF($A151&lt;Input!$G$65,IF($A151&lt;Input!$F$65,IF($A151&lt;Input!$E$65,IF($A151&lt;Input!$D$65,Input!$C$66,Input!$D$66),Input!$E$66),Input!$F$66),Input!$G$66),Input!$H$66)</f>
        <v>0.9</v>
      </c>
      <c r="AA151" s="60">
        <f t="shared" si="83"/>
        <v>0</v>
      </c>
      <c r="AB151" s="60">
        <f t="shared" si="105"/>
        <v>31</v>
      </c>
      <c r="AC151" s="60">
        <f t="shared" si="84"/>
        <v>0</v>
      </c>
      <c r="AD151" s="60">
        <f>ROUND(AC151*AB151*Input!$C$3/365,0)</f>
        <v>0</v>
      </c>
      <c r="AE151" s="61">
        <f>IF($A151&lt;=Input!$C$6,0,IF('Fixed Tenure'!AA151&lt;'Fixed Tenure'!AC151,'Fixed Tenure'!AA151-AD151,'Fixed Tenure'!AC151))</f>
        <v>0</v>
      </c>
      <c r="AF151" s="61">
        <f t="shared" si="85"/>
        <v>0</v>
      </c>
      <c r="AG151" s="60">
        <f t="shared" si="86"/>
        <v>0</v>
      </c>
      <c r="AH151" s="193"/>
      <c r="AI151" s="169">
        <v>147</v>
      </c>
      <c r="AJ151" s="1">
        <f t="shared" si="106"/>
        <v>49994</v>
      </c>
      <c r="AK151" s="60">
        <f>IF($X151&lt;Input!$H$73,IF($X151&lt;Input!$G$73,IF($X151&lt;Input!$F$73,IF($X151&lt;Input!$E$73,IF($X151&lt;Input!$D$73,Input!$C$79,Input!$D$79),Input!$E$79),Input!$F$79),Input!$G$79),Input!$H$79)</f>
        <v>0</v>
      </c>
      <c r="AL151" s="190">
        <f>IF($A151&lt;Input!$H$80,IF($A151&lt;Input!$G$80,IF($A151&lt;Input!$F$80,IF($A151&lt;Input!$E$80,IF($A151&lt;Input!$D$80,Input!$C$81,Input!$D$81),Input!$E$81),Input!$F$81),Input!$G$81),Input!$H$81)</f>
        <v>0.9</v>
      </c>
      <c r="AM151" s="60">
        <f t="shared" si="87"/>
        <v>0</v>
      </c>
      <c r="AN151" s="60">
        <f t="shared" si="107"/>
        <v>31</v>
      </c>
      <c r="AO151" s="60">
        <f t="shared" si="88"/>
        <v>0</v>
      </c>
      <c r="AP151" s="60">
        <f>ROUND(AO151*AN151*Input!$C$3/365,0)</f>
        <v>0</v>
      </c>
      <c r="AQ151" s="61">
        <f>IF($A151&lt;=Input!$C$6,0,IF('Fixed Tenure'!AM151&lt;'Fixed Tenure'!AO151,'Fixed Tenure'!AM151-AP151,'Fixed Tenure'!AO151))</f>
        <v>0</v>
      </c>
      <c r="AR151" s="61">
        <f t="shared" si="89"/>
        <v>0</v>
      </c>
      <c r="AS151" s="60">
        <f t="shared" si="90"/>
        <v>0</v>
      </c>
      <c r="AT151" s="193"/>
      <c r="AU151" s="169">
        <v>147</v>
      </c>
      <c r="AV151" s="1">
        <f t="shared" si="108"/>
        <v>49994</v>
      </c>
      <c r="AW151" s="60">
        <f>IF($X151&lt;Input!$H$88,IF($X151&lt;Input!$G$88,IF($X151&lt;Input!$F$88,IF($X151&lt;Input!$E$88,IF($X151&lt;Input!$D$88,Input!$C$94,Input!$D$94),Input!$E$94),Input!$F$94),Input!$G$94),Input!$H$94)</f>
        <v>0</v>
      </c>
      <c r="AX151" s="190">
        <f>IF($A151&lt;Input!$H$95,IF($A151&lt;Input!$G$95,IF($A151&lt;Input!$F$95,IF($A151&lt;Input!$E$95,IF($A151&lt;Input!$D$95,Input!$C$96,Input!$D$96),Input!$E$96),Input!$F$96),Input!$G$96),Input!$H$96)</f>
        <v>0.9</v>
      </c>
      <c r="AY151" s="60">
        <f t="shared" si="91"/>
        <v>0</v>
      </c>
      <c r="AZ151" s="60">
        <f t="shared" si="109"/>
        <v>31</v>
      </c>
      <c r="BA151" s="60">
        <f t="shared" si="92"/>
        <v>0</v>
      </c>
      <c r="BB151" s="60">
        <f>ROUND(BA151*AZ151*Input!$C$3/365,0)</f>
        <v>0</v>
      </c>
      <c r="BC151" s="61">
        <f>IF($A151&lt;=Input!$C$6,0,IF('Fixed Tenure'!AY151&lt;'Fixed Tenure'!BA151,'Fixed Tenure'!AY151-BB151,'Fixed Tenure'!BA151))</f>
        <v>0</v>
      </c>
      <c r="BD151" s="61">
        <f t="shared" si="93"/>
        <v>0</v>
      </c>
      <c r="BE151" s="60">
        <f t="shared" si="94"/>
        <v>0</v>
      </c>
      <c r="BF151" s="193"/>
      <c r="BG151" s="169">
        <v>147</v>
      </c>
      <c r="BH151" s="1">
        <f t="shared" si="110"/>
        <v>49994</v>
      </c>
      <c r="BI151" s="60">
        <f>IF($X151&lt;Input!$H$103,IF($X151&lt;Input!$G$103,IF($X151&lt;Input!$F$103,IF($X151&lt;Input!$E$103,IF($X151&lt;Input!$D$103,Input!$C$109,Input!$D$109),Input!$E$109),Input!$F$109),Input!$G$109),Input!$H$109)</f>
        <v>0</v>
      </c>
      <c r="BJ151" s="190">
        <f>IF($A151&lt;Input!$H$110,IF($A151&lt;Input!$G$110,IF($A151&lt;Input!$F$110,IF($A151&lt;Input!$E$110,IF($A151&lt;Input!$D$110,Input!$C$111,Input!$D$111),Input!$E$111),Input!$F$111),Input!$G$111),Input!$H$111)</f>
        <v>0.9</v>
      </c>
      <c r="BK151" s="60">
        <f t="shared" si="95"/>
        <v>0</v>
      </c>
      <c r="BL151" s="60">
        <f t="shared" si="111"/>
        <v>31</v>
      </c>
      <c r="BM151" s="60">
        <f t="shared" si="96"/>
        <v>0</v>
      </c>
      <c r="BN151" s="60">
        <f>ROUND(BM151*BL151*Input!$C$3/365,0)</f>
        <v>0</v>
      </c>
      <c r="BO151" s="61">
        <f>IF($A151&lt;=Input!$C$6,0,IF('Fixed Tenure'!BK151&lt;'Fixed Tenure'!BM151,'Fixed Tenure'!BK151-BN151,'Fixed Tenure'!BM151))</f>
        <v>0</v>
      </c>
      <c r="BP151" s="61">
        <f t="shared" si="97"/>
        <v>0</v>
      </c>
      <c r="BQ151" s="60">
        <f t="shared" si="98"/>
        <v>0</v>
      </c>
      <c r="BR151" s="198"/>
    </row>
    <row r="152" spans="1:70" x14ac:dyDescent="0.25">
      <c r="A152" s="169">
        <v>148</v>
      </c>
      <c r="B152" s="1">
        <f t="shared" si="99"/>
        <v>50024</v>
      </c>
      <c r="C152" s="60">
        <f t="shared" si="77"/>
        <v>33127052.878124986</v>
      </c>
      <c r="D152" s="60">
        <f t="shared" si="78"/>
        <v>29814347.590312488</v>
      </c>
      <c r="E152" s="60">
        <f t="shared" si="100"/>
        <v>30</v>
      </c>
      <c r="F152" s="60">
        <f t="shared" si="101"/>
        <v>0</v>
      </c>
      <c r="G152" s="60">
        <f>ROUND(F152*E152*Input!$C$3/365,0)</f>
        <v>0</v>
      </c>
      <c r="H152" s="60">
        <f>IF($A152&lt;=Input!$C$6,0,IF('Fixed Tenure'!D152&lt;'Fixed Tenure'!F152,'Fixed Tenure'!D152-G152,'Fixed Tenure'!F152))</f>
        <v>0</v>
      </c>
      <c r="I152" s="60">
        <f t="shared" si="102"/>
        <v>0</v>
      </c>
      <c r="J152" s="60">
        <f t="shared" si="103"/>
        <v>0</v>
      </c>
      <c r="K152" s="202">
        <f>J152/Input!$K$5</f>
        <v>0</v>
      </c>
      <c r="L152" s="232"/>
      <c r="M152" s="60">
        <f>IF($B152&lt;Input!$H$43,IF($B152&lt;Input!$G$43,IF($B152&lt;Input!$F$43,IF($B152&lt;Input!$E$43,IF($B152&lt;Input!$D$43,Input!$C$49,Input!$D$49),Input!$E$49),Input!$F$49),Input!$G$49),Input!$H$49)</f>
        <v>33127052.878124986</v>
      </c>
      <c r="N152" s="190">
        <f>IF($A152&lt;Input!$H$50,IF($A152&lt;Input!$G$50,IF($A152&lt;Input!$F$50,IF($A152&lt;Input!$E$50,IF($A152&lt;Input!$D$50,Input!$C$51,Input!$D$51),Input!$E$51),Input!$F$51),Input!$G$51),Input!$H$51)</f>
        <v>0.9</v>
      </c>
      <c r="O152" s="60">
        <f t="shared" si="76"/>
        <v>29814347.590312488</v>
      </c>
      <c r="P152" s="60">
        <f t="shared" si="79"/>
        <v>30</v>
      </c>
      <c r="Q152" s="60">
        <f t="shared" si="80"/>
        <v>0</v>
      </c>
      <c r="R152" s="60">
        <f>ROUND(Q152*$P152*Input!$C$3/365,0)</f>
        <v>0</v>
      </c>
      <c r="S152" s="60">
        <f>IF(A152&lt;=Input!$C$6,0,IF('Fixed Tenure'!O152&lt;'Fixed Tenure'!Q152,'Fixed Tenure'!O152-R152,'Fixed Tenure'!Q152))</f>
        <v>0</v>
      </c>
      <c r="T152" s="60">
        <f t="shared" si="81"/>
        <v>0</v>
      </c>
      <c r="U152" s="60">
        <f t="shared" si="82"/>
        <v>0</v>
      </c>
      <c r="V152" s="193"/>
      <c r="W152" s="169">
        <v>148</v>
      </c>
      <c r="X152" s="1">
        <f t="shared" si="104"/>
        <v>50024</v>
      </c>
      <c r="Y152" s="60">
        <f>IF($X152&lt;Input!$H$58,IF($X152&lt;Input!$G$58,IF($X152&lt;Input!$F$58,IF($X152&lt;Input!$E$58,IF($X152&lt;Input!$D$58,Input!$C$64,Input!$D$64),Input!$E$64),Input!$F$64),Input!$G$64),Input!$H$64)</f>
        <v>0</v>
      </c>
      <c r="Z152" s="190">
        <f>IF($A152&lt;Input!$H$65,IF($A152&lt;Input!$G$65,IF($A152&lt;Input!$F$65,IF($A152&lt;Input!$E$65,IF($A152&lt;Input!$D$65,Input!$C$66,Input!$D$66),Input!$E$66),Input!$F$66),Input!$G$66),Input!$H$66)</f>
        <v>0.9</v>
      </c>
      <c r="AA152" s="60">
        <f t="shared" si="83"/>
        <v>0</v>
      </c>
      <c r="AB152" s="60">
        <f t="shared" si="105"/>
        <v>30</v>
      </c>
      <c r="AC152" s="60">
        <f t="shared" si="84"/>
        <v>0</v>
      </c>
      <c r="AD152" s="60">
        <f>ROUND(AC152*AB152*Input!$C$3/365,0)</f>
        <v>0</v>
      </c>
      <c r="AE152" s="61">
        <f>IF($A152&lt;=Input!$C$6,0,IF('Fixed Tenure'!AA152&lt;'Fixed Tenure'!AC152,'Fixed Tenure'!AA152-AD152,'Fixed Tenure'!AC152))</f>
        <v>0</v>
      </c>
      <c r="AF152" s="61">
        <f t="shared" si="85"/>
        <v>0</v>
      </c>
      <c r="AG152" s="60">
        <f t="shared" si="86"/>
        <v>0</v>
      </c>
      <c r="AH152" s="193"/>
      <c r="AI152" s="169">
        <v>148</v>
      </c>
      <c r="AJ152" s="1">
        <f t="shared" si="106"/>
        <v>50024</v>
      </c>
      <c r="AK152" s="60">
        <f>IF($X152&lt;Input!$H$73,IF($X152&lt;Input!$G$73,IF($X152&lt;Input!$F$73,IF($X152&lt;Input!$E$73,IF($X152&lt;Input!$D$73,Input!$C$79,Input!$D$79),Input!$E$79),Input!$F$79),Input!$G$79),Input!$H$79)</f>
        <v>0</v>
      </c>
      <c r="AL152" s="190">
        <f>IF($A152&lt;Input!$H$80,IF($A152&lt;Input!$G$80,IF($A152&lt;Input!$F$80,IF($A152&lt;Input!$E$80,IF($A152&lt;Input!$D$80,Input!$C$81,Input!$D$81),Input!$E$81),Input!$F$81),Input!$G$81),Input!$H$81)</f>
        <v>0.9</v>
      </c>
      <c r="AM152" s="60">
        <f t="shared" si="87"/>
        <v>0</v>
      </c>
      <c r="AN152" s="60">
        <f t="shared" si="107"/>
        <v>30</v>
      </c>
      <c r="AO152" s="60">
        <f t="shared" si="88"/>
        <v>0</v>
      </c>
      <c r="AP152" s="60">
        <f>ROUND(AO152*AN152*Input!$C$3/365,0)</f>
        <v>0</v>
      </c>
      <c r="AQ152" s="61">
        <f>IF($A152&lt;=Input!$C$6,0,IF('Fixed Tenure'!AM152&lt;'Fixed Tenure'!AO152,'Fixed Tenure'!AM152-AP152,'Fixed Tenure'!AO152))</f>
        <v>0</v>
      </c>
      <c r="AR152" s="61">
        <f t="shared" si="89"/>
        <v>0</v>
      </c>
      <c r="AS152" s="60">
        <f t="shared" si="90"/>
        <v>0</v>
      </c>
      <c r="AT152" s="193"/>
      <c r="AU152" s="169">
        <v>148</v>
      </c>
      <c r="AV152" s="1">
        <f t="shared" si="108"/>
        <v>50024</v>
      </c>
      <c r="AW152" s="60">
        <f>IF($X152&lt;Input!$H$88,IF($X152&lt;Input!$G$88,IF($X152&lt;Input!$F$88,IF($X152&lt;Input!$E$88,IF($X152&lt;Input!$D$88,Input!$C$94,Input!$D$94),Input!$E$94),Input!$F$94),Input!$G$94),Input!$H$94)</f>
        <v>0</v>
      </c>
      <c r="AX152" s="190">
        <f>IF($A152&lt;Input!$H$95,IF($A152&lt;Input!$G$95,IF($A152&lt;Input!$F$95,IF($A152&lt;Input!$E$95,IF($A152&lt;Input!$D$95,Input!$C$96,Input!$D$96),Input!$E$96),Input!$F$96),Input!$G$96),Input!$H$96)</f>
        <v>0.9</v>
      </c>
      <c r="AY152" s="60">
        <f t="shared" si="91"/>
        <v>0</v>
      </c>
      <c r="AZ152" s="60">
        <f t="shared" si="109"/>
        <v>30</v>
      </c>
      <c r="BA152" s="60">
        <f t="shared" si="92"/>
        <v>0</v>
      </c>
      <c r="BB152" s="60">
        <f>ROUND(BA152*AZ152*Input!$C$3/365,0)</f>
        <v>0</v>
      </c>
      <c r="BC152" s="61">
        <f>IF($A152&lt;=Input!$C$6,0,IF('Fixed Tenure'!AY152&lt;'Fixed Tenure'!BA152,'Fixed Tenure'!AY152-BB152,'Fixed Tenure'!BA152))</f>
        <v>0</v>
      </c>
      <c r="BD152" s="61">
        <f t="shared" si="93"/>
        <v>0</v>
      </c>
      <c r="BE152" s="60">
        <f t="shared" si="94"/>
        <v>0</v>
      </c>
      <c r="BF152" s="193"/>
      <c r="BG152" s="169">
        <v>148</v>
      </c>
      <c r="BH152" s="1">
        <f t="shared" si="110"/>
        <v>50024</v>
      </c>
      <c r="BI152" s="60">
        <f>IF($X152&lt;Input!$H$103,IF($X152&lt;Input!$G$103,IF($X152&lt;Input!$F$103,IF($X152&lt;Input!$E$103,IF($X152&lt;Input!$D$103,Input!$C$109,Input!$D$109),Input!$E$109),Input!$F$109),Input!$G$109),Input!$H$109)</f>
        <v>0</v>
      </c>
      <c r="BJ152" s="190">
        <f>IF($A152&lt;Input!$H$110,IF($A152&lt;Input!$G$110,IF($A152&lt;Input!$F$110,IF($A152&lt;Input!$E$110,IF($A152&lt;Input!$D$110,Input!$C$111,Input!$D$111),Input!$E$111),Input!$F$111),Input!$G$111),Input!$H$111)</f>
        <v>0.9</v>
      </c>
      <c r="BK152" s="60">
        <f t="shared" si="95"/>
        <v>0</v>
      </c>
      <c r="BL152" s="60">
        <f t="shared" si="111"/>
        <v>30</v>
      </c>
      <c r="BM152" s="60">
        <f t="shared" si="96"/>
        <v>0</v>
      </c>
      <c r="BN152" s="60">
        <f>ROUND(BM152*BL152*Input!$C$3/365,0)</f>
        <v>0</v>
      </c>
      <c r="BO152" s="61">
        <f>IF($A152&lt;=Input!$C$6,0,IF('Fixed Tenure'!BK152&lt;'Fixed Tenure'!BM152,'Fixed Tenure'!BK152-BN152,'Fixed Tenure'!BM152))</f>
        <v>0</v>
      </c>
      <c r="BP152" s="61">
        <f t="shared" si="97"/>
        <v>0</v>
      </c>
      <c r="BQ152" s="60">
        <f t="shared" si="98"/>
        <v>0</v>
      </c>
      <c r="BR152" s="198"/>
    </row>
    <row r="153" spans="1:70" x14ac:dyDescent="0.25">
      <c r="A153" s="169">
        <v>149</v>
      </c>
      <c r="B153" s="1">
        <f t="shared" si="99"/>
        <v>50055</v>
      </c>
      <c r="C153" s="60">
        <f t="shared" si="77"/>
        <v>33127052.878124986</v>
      </c>
      <c r="D153" s="60">
        <f t="shared" si="78"/>
        <v>29814347.590312488</v>
      </c>
      <c r="E153" s="60">
        <f t="shared" si="100"/>
        <v>31</v>
      </c>
      <c r="F153" s="60">
        <f t="shared" si="101"/>
        <v>0</v>
      </c>
      <c r="G153" s="60">
        <f>ROUND(F153*E153*Input!$C$3/365,0)</f>
        <v>0</v>
      </c>
      <c r="H153" s="60">
        <f>IF($A153&lt;=Input!$C$6,0,IF('Fixed Tenure'!D153&lt;'Fixed Tenure'!F153,'Fixed Tenure'!D153-G153,'Fixed Tenure'!F153))</f>
        <v>0</v>
      </c>
      <c r="I153" s="60">
        <f t="shared" si="102"/>
        <v>0</v>
      </c>
      <c r="J153" s="60">
        <f t="shared" si="103"/>
        <v>0</v>
      </c>
      <c r="K153" s="202">
        <f>J153/Input!$K$5</f>
        <v>0</v>
      </c>
      <c r="L153" s="232"/>
      <c r="M153" s="60">
        <f>IF($B153&lt;Input!$H$43,IF($B153&lt;Input!$G$43,IF($B153&lt;Input!$F$43,IF($B153&lt;Input!$E$43,IF($B153&lt;Input!$D$43,Input!$C$49,Input!$D$49),Input!$E$49),Input!$F$49),Input!$G$49),Input!$H$49)</f>
        <v>33127052.878124986</v>
      </c>
      <c r="N153" s="190">
        <f>IF($A153&lt;Input!$H$50,IF($A153&lt;Input!$G$50,IF($A153&lt;Input!$F$50,IF($A153&lt;Input!$E$50,IF($A153&lt;Input!$D$50,Input!$C$51,Input!$D$51),Input!$E$51),Input!$F$51),Input!$G$51),Input!$H$51)</f>
        <v>0.9</v>
      </c>
      <c r="O153" s="60">
        <f t="shared" si="76"/>
        <v>29814347.590312488</v>
      </c>
      <c r="P153" s="60">
        <f t="shared" si="79"/>
        <v>31</v>
      </c>
      <c r="Q153" s="60">
        <f t="shared" si="80"/>
        <v>0</v>
      </c>
      <c r="R153" s="60">
        <f>ROUND(Q153*$P153*Input!$C$3/365,0)</f>
        <v>0</v>
      </c>
      <c r="S153" s="60">
        <f>IF(A153&lt;=Input!$C$6,0,IF('Fixed Tenure'!O153&lt;'Fixed Tenure'!Q153,'Fixed Tenure'!O153-R153,'Fixed Tenure'!Q153))</f>
        <v>0</v>
      </c>
      <c r="T153" s="60">
        <f t="shared" si="81"/>
        <v>0</v>
      </c>
      <c r="U153" s="60">
        <f t="shared" si="82"/>
        <v>0</v>
      </c>
      <c r="V153" s="193"/>
      <c r="W153" s="169">
        <v>149</v>
      </c>
      <c r="X153" s="1">
        <f t="shared" si="104"/>
        <v>50055</v>
      </c>
      <c r="Y153" s="60">
        <f>IF($X153&lt;Input!$H$58,IF($X153&lt;Input!$G$58,IF($X153&lt;Input!$F$58,IF($X153&lt;Input!$E$58,IF($X153&lt;Input!$D$58,Input!$C$64,Input!$D$64),Input!$E$64),Input!$F$64),Input!$G$64),Input!$H$64)</f>
        <v>0</v>
      </c>
      <c r="Z153" s="190">
        <f>IF($A153&lt;Input!$H$65,IF($A153&lt;Input!$G$65,IF($A153&lt;Input!$F$65,IF($A153&lt;Input!$E$65,IF($A153&lt;Input!$D$65,Input!$C$66,Input!$D$66),Input!$E$66),Input!$F$66),Input!$G$66),Input!$H$66)</f>
        <v>0.9</v>
      </c>
      <c r="AA153" s="60">
        <f t="shared" si="83"/>
        <v>0</v>
      </c>
      <c r="AB153" s="60">
        <f t="shared" si="105"/>
        <v>31</v>
      </c>
      <c r="AC153" s="60">
        <f t="shared" si="84"/>
        <v>0</v>
      </c>
      <c r="AD153" s="60">
        <f>ROUND(AC153*AB153*Input!$C$3/365,0)</f>
        <v>0</v>
      </c>
      <c r="AE153" s="61">
        <f>IF($A153&lt;=Input!$C$6,0,IF('Fixed Tenure'!AA153&lt;'Fixed Tenure'!AC153,'Fixed Tenure'!AA153-AD153,'Fixed Tenure'!AC153))</f>
        <v>0</v>
      </c>
      <c r="AF153" s="61">
        <f t="shared" si="85"/>
        <v>0</v>
      </c>
      <c r="AG153" s="60">
        <f t="shared" si="86"/>
        <v>0</v>
      </c>
      <c r="AH153" s="193"/>
      <c r="AI153" s="169">
        <v>149</v>
      </c>
      <c r="AJ153" s="1">
        <f t="shared" si="106"/>
        <v>50055</v>
      </c>
      <c r="AK153" s="60">
        <f>IF($X153&lt;Input!$H$73,IF($X153&lt;Input!$G$73,IF($X153&lt;Input!$F$73,IF($X153&lt;Input!$E$73,IF($X153&lt;Input!$D$73,Input!$C$79,Input!$D$79),Input!$E$79),Input!$F$79),Input!$G$79),Input!$H$79)</f>
        <v>0</v>
      </c>
      <c r="AL153" s="190">
        <f>IF($A153&lt;Input!$H$80,IF($A153&lt;Input!$G$80,IF($A153&lt;Input!$F$80,IF($A153&lt;Input!$E$80,IF($A153&lt;Input!$D$80,Input!$C$81,Input!$D$81),Input!$E$81),Input!$F$81),Input!$G$81),Input!$H$81)</f>
        <v>0.9</v>
      </c>
      <c r="AM153" s="60">
        <f t="shared" si="87"/>
        <v>0</v>
      </c>
      <c r="AN153" s="60">
        <f t="shared" si="107"/>
        <v>31</v>
      </c>
      <c r="AO153" s="60">
        <f t="shared" si="88"/>
        <v>0</v>
      </c>
      <c r="AP153" s="60">
        <f>ROUND(AO153*AN153*Input!$C$3/365,0)</f>
        <v>0</v>
      </c>
      <c r="AQ153" s="61">
        <f>IF($A153&lt;=Input!$C$6,0,IF('Fixed Tenure'!AM153&lt;'Fixed Tenure'!AO153,'Fixed Tenure'!AM153-AP153,'Fixed Tenure'!AO153))</f>
        <v>0</v>
      </c>
      <c r="AR153" s="61">
        <f t="shared" si="89"/>
        <v>0</v>
      </c>
      <c r="AS153" s="60">
        <f t="shared" si="90"/>
        <v>0</v>
      </c>
      <c r="AT153" s="193"/>
      <c r="AU153" s="169">
        <v>149</v>
      </c>
      <c r="AV153" s="1">
        <f t="shared" si="108"/>
        <v>50055</v>
      </c>
      <c r="AW153" s="60">
        <f>IF($X153&lt;Input!$H$88,IF($X153&lt;Input!$G$88,IF($X153&lt;Input!$F$88,IF($X153&lt;Input!$E$88,IF($X153&lt;Input!$D$88,Input!$C$94,Input!$D$94),Input!$E$94),Input!$F$94),Input!$G$94),Input!$H$94)</f>
        <v>0</v>
      </c>
      <c r="AX153" s="190">
        <f>IF($A153&lt;Input!$H$95,IF($A153&lt;Input!$G$95,IF($A153&lt;Input!$F$95,IF($A153&lt;Input!$E$95,IF($A153&lt;Input!$D$95,Input!$C$96,Input!$D$96),Input!$E$96),Input!$F$96),Input!$G$96),Input!$H$96)</f>
        <v>0.9</v>
      </c>
      <c r="AY153" s="60">
        <f t="shared" si="91"/>
        <v>0</v>
      </c>
      <c r="AZ153" s="60">
        <f t="shared" si="109"/>
        <v>31</v>
      </c>
      <c r="BA153" s="60">
        <f t="shared" si="92"/>
        <v>0</v>
      </c>
      <c r="BB153" s="60">
        <f>ROUND(BA153*AZ153*Input!$C$3/365,0)</f>
        <v>0</v>
      </c>
      <c r="BC153" s="61">
        <f>IF($A153&lt;=Input!$C$6,0,IF('Fixed Tenure'!AY153&lt;'Fixed Tenure'!BA153,'Fixed Tenure'!AY153-BB153,'Fixed Tenure'!BA153))</f>
        <v>0</v>
      </c>
      <c r="BD153" s="61">
        <f t="shared" si="93"/>
        <v>0</v>
      </c>
      <c r="BE153" s="60">
        <f t="shared" si="94"/>
        <v>0</v>
      </c>
      <c r="BF153" s="193"/>
      <c r="BG153" s="169">
        <v>149</v>
      </c>
      <c r="BH153" s="1">
        <f t="shared" si="110"/>
        <v>50055</v>
      </c>
      <c r="BI153" s="60">
        <f>IF($X153&lt;Input!$H$103,IF($X153&lt;Input!$G$103,IF($X153&lt;Input!$F$103,IF($X153&lt;Input!$E$103,IF($X153&lt;Input!$D$103,Input!$C$109,Input!$D$109),Input!$E$109),Input!$F$109),Input!$G$109),Input!$H$109)</f>
        <v>0</v>
      </c>
      <c r="BJ153" s="190">
        <f>IF($A153&lt;Input!$H$110,IF($A153&lt;Input!$G$110,IF($A153&lt;Input!$F$110,IF($A153&lt;Input!$E$110,IF($A153&lt;Input!$D$110,Input!$C$111,Input!$D$111),Input!$E$111),Input!$F$111),Input!$G$111),Input!$H$111)</f>
        <v>0.9</v>
      </c>
      <c r="BK153" s="60">
        <f t="shared" si="95"/>
        <v>0</v>
      </c>
      <c r="BL153" s="60">
        <f t="shared" si="111"/>
        <v>31</v>
      </c>
      <c r="BM153" s="60">
        <f t="shared" si="96"/>
        <v>0</v>
      </c>
      <c r="BN153" s="60">
        <f>ROUND(BM153*BL153*Input!$C$3/365,0)</f>
        <v>0</v>
      </c>
      <c r="BO153" s="61">
        <f>IF($A153&lt;=Input!$C$6,0,IF('Fixed Tenure'!BK153&lt;'Fixed Tenure'!BM153,'Fixed Tenure'!BK153-BN153,'Fixed Tenure'!BM153))</f>
        <v>0</v>
      </c>
      <c r="BP153" s="61">
        <f t="shared" si="97"/>
        <v>0</v>
      </c>
      <c r="BQ153" s="60">
        <f t="shared" si="98"/>
        <v>0</v>
      </c>
      <c r="BR153" s="198"/>
    </row>
    <row r="154" spans="1:70" x14ac:dyDescent="0.25">
      <c r="A154" s="169">
        <v>150</v>
      </c>
      <c r="B154" s="1">
        <f t="shared" si="99"/>
        <v>50086</v>
      </c>
      <c r="C154" s="60">
        <f t="shared" si="77"/>
        <v>33127052.878124986</v>
      </c>
      <c r="D154" s="60">
        <f t="shared" si="78"/>
        <v>29814347.590312488</v>
      </c>
      <c r="E154" s="60">
        <f t="shared" si="100"/>
        <v>31</v>
      </c>
      <c r="F154" s="60">
        <f t="shared" si="101"/>
        <v>0</v>
      </c>
      <c r="G154" s="60">
        <f>ROUND(F154*E154*Input!$C$3/365,0)</f>
        <v>0</v>
      </c>
      <c r="H154" s="60">
        <f>IF($A154&lt;=Input!$C$6,0,IF('Fixed Tenure'!D154&lt;'Fixed Tenure'!F154,'Fixed Tenure'!D154-G154,'Fixed Tenure'!F154))</f>
        <v>0</v>
      </c>
      <c r="I154" s="60">
        <f t="shared" si="102"/>
        <v>0</v>
      </c>
      <c r="J154" s="60">
        <f t="shared" si="103"/>
        <v>0</v>
      </c>
      <c r="K154" s="202">
        <f>J154/Input!$K$5</f>
        <v>0</v>
      </c>
      <c r="L154" s="232"/>
      <c r="M154" s="60">
        <f>IF($B154&lt;Input!$H$43,IF($B154&lt;Input!$G$43,IF($B154&lt;Input!$F$43,IF($B154&lt;Input!$E$43,IF($B154&lt;Input!$D$43,Input!$C$49,Input!$D$49),Input!$E$49),Input!$F$49),Input!$G$49),Input!$H$49)</f>
        <v>33127052.878124986</v>
      </c>
      <c r="N154" s="190">
        <f>IF($A154&lt;Input!$H$50,IF($A154&lt;Input!$G$50,IF($A154&lt;Input!$F$50,IF($A154&lt;Input!$E$50,IF($A154&lt;Input!$D$50,Input!$C$51,Input!$D$51),Input!$E$51),Input!$F$51),Input!$G$51),Input!$H$51)</f>
        <v>0.9</v>
      </c>
      <c r="O154" s="60">
        <f t="shared" si="76"/>
        <v>29814347.590312488</v>
      </c>
      <c r="P154" s="60">
        <f t="shared" si="79"/>
        <v>31</v>
      </c>
      <c r="Q154" s="60">
        <f t="shared" si="80"/>
        <v>0</v>
      </c>
      <c r="R154" s="60">
        <f>ROUND(Q154*$P154*Input!$C$3/365,0)</f>
        <v>0</v>
      </c>
      <c r="S154" s="60">
        <f>IF(A154&lt;=Input!$C$6,0,IF('Fixed Tenure'!O154&lt;'Fixed Tenure'!Q154,'Fixed Tenure'!O154-R154,'Fixed Tenure'!Q154))</f>
        <v>0</v>
      </c>
      <c r="T154" s="60">
        <f t="shared" si="81"/>
        <v>0</v>
      </c>
      <c r="U154" s="60">
        <f t="shared" si="82"/>
        <v>0</v>
      </c>
      <c r="V154" s="193"/>
      <c r="W154" s="169">
        <v>150</v>
      </c>
      <c r="X154" s="1">
        <f t="shared" si="104"/>
        <v>50086</v>
      </c>
      <c r="Y154" s="60">
        <f>IF($X154&lt;Input!$H$58,IF($X154&lt;Input!$G$58,IF($X154&lt;Input!$F$58,IF($X154&lt;Input!$E$58,IF($X154&lt;Input!$D$58,Input!$C$64,Input!$D$64),Input!$E$64),Input!$F$64),Input!$G$64),Input!$H$64)</f>
        <v>0</v>
      </c>
      <c r="Z154" s="190">
        <f>IF($A154&lt;Input!$H$65,IF($A154&lt;Input!$G$65,IF($A154&lt;Input!$F$65,IF($A154&lt;Input!$E$65,IF($A154&lt;Input!$D$65,Input!$C$66,Input!$D$66),Input!$E$66),Input!$F$66),Input!$G$66),Input!$H$66)</f>
        <v>0.9</v>
      </c>
      <c r="AA154" s="60">
        <f t="shared" si="83"/>
        <v>0</v>
      </c>
      <c r="AB154" s="60">
        <f t="shared" si="105"/>
        <v>31</v>
      </c>
      <c r="AC154" s="60">
        <f t="shared" si="84"/>
        <v>0</v>
      </c>
      <c r="AD154" s="60">
        <f>ROUND(AC154*AB154*Input!$C$3/365,0)</f>
        <v>0</v>
      </c>
      <c r="AE154" s="61">
        <f>IF($A154&lt;=Input!$C$6,0,IF('Fixed Tenure'!AA154&lt;'Fixed Tenure'!AC154,'Fixed Tenure'!AA154-AD154,'Fixed Tenure'!AC154))</f>
        <v>0</v>
      </c>
      <c r="AF154" s="61">
        <f t="shared" si="85"/>
        <v>0</v>
      </c>
      <c r="AG154" s="60">
        <f t="shared" si="86"/>
        <v>0</v>
      </c>
      <c r="AH154" s="193"/>
      <c r="AI154" s="169">
        <v>150</v>
      </c>
      <c r="AJ154" s="1">
        <f t="shared" si="106"/>
        <v>50086</v>
      </c>
      <c r="AK154" s="60">
        <f>IF($X154&lt;Input!$H$73,IF($X154&lt;Input!$G$73,IF($X154&lt;Input!$F$73,IF($X154&lt;Input!$E$73,IF($X154&lt;Input!$D$73,Input!$C$79,Input!$D$79),Input!$E$79),Input!$F$79),Input!$G$79),Input!$H$79)</f>
        <v>0</v>
      </c>
      <c r="AL154" s="190">
        <f>IF($A154&lt;Input!$H$80,IF($A154&lt;Input!$G$80,IF($A154&lt;Input!$F$80,IF($A154&lt;Input!$E$80,IF($A154&lt;Input!$D$80,Input!$C$81,Input!$D$81),Input!$E$81),Input!$F$81),Input!$G$81),Input!$H$81)</f>
        <v>0.9</v>
      </c>
      <c r="AM154" s="60">
        <f t="shared" si="87"/>
        <v>0</v>
      </c>
      <c r="AN154" s="60">
        <f t="shared" si="107"/>
        <v>31</v>
      </c>
      <c r="AO154" s="60">
        <f t="shared" si="88"/>
        <v>0</v>
      </c>
      <c r="AP154" s="60">
        <f>ROUND(AO154*AN154*Input!$C$3/365,0)</f>
        <v>0</v>
      </c>
      <c r="AQ154" s="61">
        <f>IF($A154&lt;=Input!$C$6,0,IF('Fixed Tenure'!AM154&lt;'Fixed Tenure'!AO154,'Fixed Tenure'!AM154-AP154,'Fixed Tenure'!AO154))</f>
        <v>0</v>
      </c>
      <c r="AR154" s="61">
        <f t="shared" si="89"/>
        <v>0</v>
      </c>
      <c r="AS154" s="60">
        <f t="shared" si="90"/>
        <v>0</v>
      </c>
      <c r="AT154" s="193"/>
      <c r="AU154" s="169">
        <v>150</v>
      </c>
      <c r="AV154" s="1">
        <f t="shared" si="108"/>
        <v>50086</v>
      </c>
      <c r="AW154" s="60">
        <f>IF($X154&lt;Input!$H$88,IF($X154&lt;Input!$G$88,IF($X154&lt;Input!$F$88,IF($X154&lt;Input!$E$88,IF($X154&lt;Input!$D$88,Input!$C$94,Input!$D$94),Input!$E$94),Input!$F$94),Input!$G$94),Input!$H$94)</f>
        <v>0</v>
      </c>
      <c r="AX154" s="190">
        <f>IF($A154&lt;Input!$H$95,IF($A154&lt;Input!$G$95,IF($A154&lt;Input!$F$95,IF($A154&lt;Input!$E$95,IF($A154&lt;Input!$D$95,Input!$C$96,Input!$D$96),Input!$E$96),Input!$F$96),Input!$G$96),Input!$H$96)</f>
        <v>0.9</v>
      </c>
      <c r="AY154" s="60">
        <f t="shared" si="91"/>
        <v>0</v>
      </c>
      <c r="AZ154" s="60">
        <f t="shared" si="109"/>
        <v>31</v>
      </c>
      <c r="BA154" s="60">
        <f t="shared" si="92"/>
        <v>0</v>
      </c>
      <c r="BB154" s="60">
        <f>ROUND(BA154*AZ154*Input!$C$3/365,0)</f>
        <v>0</v>
      </c>
      <c r="BC154" s="61">
        <f>IF($A154&lt;=Input!$C$6,0,IF('Fixed Tenure'!AY154&lt;'Fixed Tenure'!BA154,'Fixed Tenure'!AY154-BB154,'Fixed Tenure'!BA154))</f>
        <v>0</v>
      </c>
      <c r="BD154" s="61">
        <f t="shared" si="93"/>
        <v>0</v>
      </c>
      <c r="BE154" s="60">
        <f t="shared" si="94"/>
        <v>0</v>
      </c>
      <c r="BF154" s="193"/>
      <c r="BG154" s="169">
        <v>150</v>
      </c>
      <c r="BH154" s="1">
        <f t="shared" si="110"/>
        <v>50086</v>
      </c>
      <c r="BI154" s="60">
        <f>IF($X154&lt;Input!$H$103,IF($X154&lt;Input!$G$103,IF($X154&lt;Input!$F$103,IF($X154&lt;Input!$E$103,IF($X154&lt;Input!$D$103,Input!$C$109,Input!$D$109),Input!$E$109),Input!$F$109),Input!$G$109),Input!$H$109)</f>
        <v>0</v>
      </c>
      <c r="BJ154" s="190">
        <f>IF($A154&lt;Input!$H$110,IF($A154&lt;Input!$G$110,IF($A154&lt;Input!$F$110,IF($A154&lt;Input!$E$110,IF($A154&lt;Input!$D$110,Input!$C$111,Input!$D$111),Input!$E$111),Input!$F$111),Input!$G$111),Input!$H$111)</f>
        <v>0.9</v>
      </c>
      <c r="BK154" s="60">
        <f t="shared" si="95"/>
        <v>0</v>
      </c>
      <c r="BL154" s="60">
        <f t="shared" si="111"/>
        <v>31</v>
      </c>
      <c r="BM154" s="60">
        <f t="shared" si="96"/>
        <v>0</v>
      </c>
      <c r="BN154" s="60">
        <f>ROUND(BM154*BL154*Input!$C$3/365,0)</f>
        <v>0</v>
      </c>
      <c r="BO154" s="61">
        <f>IF($A154&lt;=Input!$C$6,0,IF('Fixed Tenure'!BK154&lt;'Fixed Tenure'!BM154,'Fixed Tenure'!BK154-BN154,'Fixed Tenure'!BM154))</f>
        <v>0</v>
      </c>
      <c r="BP154" s="61">
        <f t="shared" si="97"/>
        <v>0</v>
      </c>
      <c r="BQ154" s="60">
        <f t="shared" si="98"/>
        <v>0</v>
      </c>
      <c r="BR154" s="198"/>
    </row>
    <row r="155" spans="1:70" x14ac:dyDescent="0.25">
      <c r="A155" s="169">
        <v>151</v>
      </c>
      <c r="B155" s="1">
        <f t="shared" si="99"/>
        <v>50114</v>
      </c>
      <c r="C155" s="60">
        <f t="shared" si="77"/>
        <v>33127052.878124986</v>
      </c>
      <c r="D155" s="60">
        <f t="shared" si="78"/>
        <v>29814347.590312488</v>
      </c>
      <c r="E155" s="60">
        <f t="shared" si="100"/>
        <v>28</v>
      </c>
      <c r="F155" s="60">
        <f t="shared" si="101"/>
        <v>0</v>
      </c>
      <c r="G155" s="60">
        <f>ROUND(F155*E155*Input!$C$3/365,0)</f>
        <v>0</v>
      </c>
      <c r="H155" s="60">
        <f>IF($A155&lt;=Input!$C$6,0,IF('Fixed Tenure'!D155&lt;'Fixed Tenure'!F155,'Fixed Tenure'!D155-G155,'Fixed Tenure'!F155))</f>
        <v>0</v>
      </c>
      <c r="I155" s="60">
        <f t="shared" si="102"/>
        <v>0</v>
      </c>
      <c r="J155" s="60">
        <f t="shared" si="103"/>
        <v>0</v>
      </c>
      <c r="K155" s="202">
        <f>J155/Input!$K$5</f>
        <v>0</v>
      </c>
      <c r="L155" s="232"/>
      <c r="M155" s="60">
        <f>IF($B155&lt;Input!$H$43,IF($B155&lt;Input!$G$43,IF($B155&lt;Input!$F$43,IF($B155&lt;Input!$E$43,IF($B155&lt;Input!$D$43,Input!$C$49,Input!$D$49),Input!$E$49),Input!$F$49),Input!$G$49),Input!$H$49)</f>
        <v>33127052.878124986</v>
      </c>
      <c r="N155" s="190">
        <f>IF($A155&lt;Input!$H$50,IF($A155&lt;Input!$G$50,IF($A155&lt;Input!$F$50,IF($A155&lt;Input!$E$50,IF($A155&lt;Input!$D$50,Input!$C$51,Input!$D$51),Input!$E$51),Input!$F$51),Input!$G$51),Input!$H$51)</f>
        <v>0.9</v>
      </c>
      <c r="O155" s="60">
        <f t="shared" si="76"/>
        <v>29814347.590312488</v>
      </c>
      <c r="P155" s="60">
        <f t="shared" si="79"/>
        <v>28</v>
      </c>
      <c r="Q155" s="60">
        <f t="shared" si="80"/>
        <v>0</v>
      </c>
      <c r="R155" s="60">
        <f>ROUND(Q155*$P155*Input!$C$3/365,0)</f>
        <v>0</v>
      </c>
      <c r="S155" s="60">
        <f>IF(A155&lt;=Input!$C$6,0,IF('Fixed Tenure'!O155&lt;'Fixed Tenure'!Q155,'Fixed Tenure'!O155-R155,'Fixed Tenure'!Q155))</f>
        <v>0</v>
      </c>
      <c r="T155" s="60">
        <f t="shared" si="81"/>
        <v>0</v>
      </c>
      <c r="U155" s="60">
        <f t="shared" si="82"/>
        <v>0</v>
      </c>
      <c r="V155" s="193"/>
      <c r="W155" s="169">
        <v>151</v>
      </c>
      <c r="X155" s="1">
        <f t="shared" si="104"/>
        <v>50114</v>
      </c>
      <c r="Y155" s="60">
        <f>IF($X155&lt;Input!$H$58,IF($X155&lt;Input!$G$58,IF($X155&lt;Input!$F$58,IF($X155&lt;Input!$E$58,IF($X155&lt;Input!$D$58,Input!$C$64,Input!$D$64),Input!$E$64),Input!$F$64),Input!$G$64),Input!$H$64)</f>
        <v>0</v>
      </c>
      <c r="Z155" s="190">
        <f>IF($A155&lt;Input!$H$65,IF($A155&lt;Input!$G$65,IF($A155&lt;Input!$F$65,IF($A155&lt;Input!$E$65,IF($A155&lt;Input!$D$65,Input!$C$66,Input!$D$66),Input!$E$66),Input!$F$66),Input!$G$66),Input!$H$66)</f>
        <v>0.9</v>
      </c>
      <c r="AA155" s="60">
        <f t="shared" si="83"/>
        <v>0</v>
      </c>
      <c r="AB155" s="60">
        <f t="shared" si="105"/>
        <v>28</v>
      </c>
      <c r="AC155" s="60">
        <f t="shared" si="84"/>
        <v>0</v>
      </c>
      <c r="AD155" s="60">
        <f>ROUND(AC155*AB155*Input!$C$3/365,0)</f>
        <v>0</v>
      </c>
      <c r="AE155" s="61">
        <f>IF($A155&lt;=Input!$C$6,0,IF('Fixed Tenure'!AA155&lt;'Fixed Tenure'!AC155,'Fixed Tenure'!AA155-AD155,'Fixed Tenure'!AC155))</f>
        <v>0</v>
      </c>
      <c r="AF155" s="61">
        <f t="shared" si="85"/>
        <v>0</v>
      </c>
      <c r="AG155" s="60">
        <f t="shared" si="86"/>
        <v>0</v>
      </c>
      <c r="AH155" s="193"/>
      <c r="AI155" s="169">
        <v>151</v>
      </c>
      <c r="AJ155" s="1">
        <f t="shared" si="106"/>
        <v>50114</v>
      </c>
      <c r="AK155" s="60">
        <f>IF($X155&lt;Input!$H$73,IF($X155&lt;Input!$G$73,IF($X155&lt;Input!$F$73,IF($X155&lt;Input!$E$73,IF($X155&lt;Input!$D$73,Input!$C$79,Input!$D$79),Input!$E$79),Input!$F$79),Input!$G$79),Input!$H$79)</f>
        <v>0</v>
      </c>
      <c r="AL155" s="190">
        <f>IF($A155&lt;Input!$H$80,IF($A155&lt;Input!$G$80,IF($A155&lt;Input!$F$80,IF($A155&lt;Input!$E$80,IF($A155&lt;Input!$D$80,Input!$C$81,Input!$D$81),Input!$E$81),Input!$F$81),Input!$G$81),Input!$H$81)</f>
        <v>0.9</v>
      </c>
      <c r="AM155" s="60">
        <f t="shared" si="87"/>
        <v>0</v>
      </c>
      <c r="AN155" s="60">
        <f t="shared" si="107"/>
        <v>28</v>
      </c>
      <c r="AO155" s="60">
        <f t="shared" si="88"/>
        <v>0</v>
      </c>
      <c r="AP155" s="60">
        <f>ROUND(AO155*AN155*Input!$C$3/365,0)</f>
        <v>0</v>
      </c>
      <c r="AQ155" s="61">
        <f>IF($A155&lt;=Input!$C$6,0,IF('Fixed Tenure'!AM155&lt;'Fixed Tenure'!AO155,'Fixed Tenure'!AM155-AP155,'Fixed Tenure'!AO155))</f>
        <v>0</v>
      </c>
      <c r="AR155" s="61">
        <f t="shared" si="89"/>
        <v>0</v>
      </c>
      <c r="AS155" s="60">
        <f t="shared" si="90"/>
        <v>0</v>
      </c>
      <c r="AT155" s="193"/>
      <c r="AU155" s="169">
        <v>151</v>
      </c>
      <c r="AV155" s="1">
        <f t="shared" si="108"/>
        <v>50114</v>
      </c>
      <c r="AW155" s="60">
        <f>IF($X155&lt;Input!$H$88,IF($X155&lt;Input!$G$88,IF($X155&lt;Input!$F$88,IF($X155&lt;Input!$E$88,IF($X155&lt;Input!$D$88,Input!$C$94,Input!$D$94),Input!$E$94),Input!$F$94),Input!$G$94),Input!$H$94)</f>
        <v>0</v>
      </c>
      <c r="AX155" s="190">
        <f>IF($A155&lt;Input!$H$95,IF($A155&lt;Input!$G$95,IF($A155&lt;Input!$F$95,IF($A155&lt;Input!$E$95,IF($A155&lt;Input!$D$95,Input!$C$96,Input!$D$96),Input!$E$96),Input!$F$96),Input!$G$96),Input!$H$96)</f>
        <v>0.9</v>
      </c>
      <c r="AY155" s="60">
        <f t="shared" si="91"/>
        <v>0</v>
      </c>
      <c r="AZ155" s="60">
        <f t="shared" si="109"/>
        <v>28</v>
      </c>
      <c r="BA155" s="60">
        <f t="shared" si="92"/>
        <v>0</v>
      </c>
      <c r="BB155" s="60">
        <f>ROUND(BA155*AZ155*Input!$C$3/365,0)</f>
        <v>0</v>
      </c>
      <c r="BC155" s="61">
        <f>IF($A155&lt;=Input!$C$6,0,IF('Fixed Tenure'!AY155&lt;'Fixed Tenure'!BA155,'Fixed Tenure'!AY155-BB155,'Fixed Tenure'!BA155))</f>
        <v>0</v>
      </c>
      <c r="BD155" s="61">
        <f t="shared" si="93"/>
        <v>0</v>
      </c>
      <c r="BE155" s="60">
        <f t="shared" si="94"/>
        <v>0</v>
      </c>
      <c r="BF155" s="193"/>
      <c r="BG155" s="169">
        <v>151</v>
      </c>
      <c r="BH155" s="1">
        <f t="shared" si="110"/>
        <v>50114</v>
      </c>
      <c r="BI155" s="60">
        <f>IF($X155&lt;Input!$H$103,IF($X155&lt;Input!$G$103,IF($X155&lt;Input!$F$103,IF($X155&lt;Input!$E$103,IF($X155&lt;Input!$D$103,Input!$C$109,Input!$D$109),Input!$E$109),Input!$F$109),Input!$G$109),Input!$H$109)</f>
        <v>0</v>
      </c>
      <c r="BJ155" s="190">
        <f>IF($A155&lt;Input!$H$110,IF($A155&lt;Input!$G$110,IF($A155&lt;Input!$F$110,IF($A155&lt;Input!$E$110,IF($A155&lt;Input!$D$110,Input!$C$111,Input!$D$111),Input!$E$111),Input!$F$111),Input!$G$111),Input!$H$111)</f>
        <v>0.9</v>
      </c>
      <c r="BK155" s="60">
        <f t="shared" si="95"/>
        <v>0</v>
      </c>
      <c r="BL155" s="60">
        <f t="shared" si="111"/>
        <v>28</v>
      </c>
      <c r="BM155" s="60">
        <f t="shared" si="96"/>
        <v>0</v>
      </c>
      <c r="BN155" s="60">
        <f>ROUND(BM155*BL155*Input!$C$3/365,0)</f>
        <v>0</v>
      </c>
      <c r="BO155" s="61">
        <f>IF($A155&lt;=Input!$C$6,0,IF('Fixed Tenure'!BK155&lt;'Fixed Tenure'!BM155,'Fixed Tenure'!BK155-BN155,'Fixed Tenure'!BM155))</f>
        <v>0</v>
      </c>
      <c r="BP155" s="61">
        <f t="shared" si="97"/>
        <v>0</v>
      </c>
      <c r="BQ155" s="60">
        <f t="shared" si="98"/>
        <v>0</v>
      </c>
      <c r="BR155" s="198"/>
    </row>
    <row r="156" spans="1:70" x14ac:dyDescent="0.25">
      <c r="A156" s="169">
        <v>152</v>
      </c>
      <c r="B156" s="1">
        <f t="shared" si="99"/>
        <v>50145</v>
      </c>
      <c r="C156" s="60">
        <f t="shared" si="77"/>
        <v>33127052.878124986</v>
      </c>
      <c r="D156" s="60">
        <f t="shared" si="78"/>
        <v>29814347.590312488</v>
      </c>
      <c r="E156" s="60">
        <f t="shared" si="100"/>
        <v>31</v>
      </c>
      <c r="F156" s="60">
        <f t="shared" si="101"/>
        <v>0</v>
      </c>
      <c r="G156" s="60">
        <f>ROUND(F156*E156*Input!$C$3/365,0)</f>
        <v>0</v>
      </c>
      <c r="H156" s="60">
        <f>IF($A156&lt;=Input!$C$6,0,IF('Fixed Tenure'!D156&lt;'Fixed Tenure'!F156,'Fixed Tenure'!D156-G156,'Fixed Tenure'!F156))</f>
        <v>0</v>
      </c>
      <c r="I156" s="60">
        <f t="shared" si="102"/>
        <v>0</v>
      </c>
      <c r="J156" s="60">
        <f t="shared" si="103"/>
        <v>0</v>
      </c>
      <c r="K156" s="202">
        <f>J156/Input!$K$5</f>
        <v>0</v>
      </c>
      <c r="L156" s="232"/>
      <c r="M156" s="60">
        <f>IF($B156&lt;Input!$H$43,IF($B156&lt;Input!$G$43,IF($B156&lt;Input!$F$43,IF($B156&lt;Input!$E$43,IF($B156&lt;Input!$D$43,Input!$C$49,Input!$D$49),Input!$E$49),Input!$F$49),Input!$G$49),Input!$H$49)</f>
        <v>33127052.878124986</v>
      </c>
      <c r="N156" s="190">
        <f>IF($A156&lt;Input!$H$50,IF($A156&lt;Input!$G$50,IF($A156&lt;Input!$F$50,IF($A156&lt;Input!$E$50,IF($A156&lt;Input!$D$50,Input!$C$51,Input!$D$51),Input!$E$51),Input!$F$51),Input!$G$51),Input!$H$51)</f>
        <v>0.9</v>
      </c>
      <c r="O156" s="60">
        <f t="shared" si="76"/>
        <v>29814347.590312488</v>
      </c>
      <c r="P156" s="60">
        <f t="shared" si="79"/>
        <v>31</v>
      </c>
      <c r="Q156" s="60">
        <f t="shared" si="80"/>
        <v>0</v>
      </c>
      <c r="R156" s="60">
        <f>ROUND(Q156*$P156*Input!$C$3/365,0)</f>
        <v>0</v>
      </c>
      <c r="S156" s="60">
        <f>IF(A156&lt;=Input!$C$6,0,IF('Fixed Tenure'!O156&lt;'Fixed Tenure'!Q156,'Fixed Tenure'!O156-R156,'Fixed Tenure'!Q156))</f>
        <v>0</v>
      </c>
      <c r="T156" s="60">
        <f t="shared" si="81"/>
        <v>0</v>
      </c>
      <c r="U156" s="60">
        <f t="shared" si="82"/>
        <v>0</v>
      </c>
      <c r="V156" s="193"/>
      <c r="W156" s="169">
        <v>152</v>
      </c>
      <c r="X156" s="1">
        <f t="shared" si="104"/>
        <v>50145</v>
      </c>
      <c r="Y156" s="60">
        <f>IF($X156&lt;Input!$H$58,IF($X156&lt;Input!$G$58,IF($X156&lt;Input!$F$58,IF($X156&lt;Input!$E$58,IF($X156&lt;Input!$D$58,Input!$C$64,Input!$D$64),Input!$E$64),Input!$F$64),Input!$G$64),Input!$H$64)</f>
        <v>0</v>
      </c>
      <c r="Z156" s="190">
        <f>IF($A156&lt;Input!$H$65,IF($A156&lt;Input!$G$65,IF($A156&lt;Input!$F$65,IF($A156&lt;Input!$E$65,IF($A156&lt;Input!$D$65,Input!$C$66,Input!$D$66),Input!$E$66),Input!$F$66),Input!$G$66),Input!$H$66)</f>
        <v>0.9</v>
      </c>
      <c r="AA156" s="60">
        <f t="shared" si="83"/>
        <v>0</v>
      </c>
      <c r="AB156" s="60">
        <f t="shared" si="105"/>
        <v>31</v>
      </c>
      <c r="AC156" s="60">
        <f t="shared" si="84"/>
        <v>0</v>
      </c>
      <c r="AD156" s="60">
        <f>ROUND(AC156*AB156*Input!$C$3/365,0)</f>
        <v>0</v>
      </c>
      <c r="AE156" s="61">
        <f>IF($A156&lt;=Input!$C$6,0,IF('Fixed Tenure'!AA156&lt;'Fixed Tenure'!AC156,'Fixed Tenure'!AA156-AD156,'Fixed Tenure'!AC156))</f>
        <v>0</v>
      </c>
      <c r="AF156" s="61">
        <f t="shared" si="85"/>
        <v>0</v>
      </c>
      <c r="AG156" s="60">
        <f t="shared" si="86"/>
        <v>0</v>
      </c>
      <c r="AH156" s="193"/>
      <c r="AI156" s="169">
        <v>152</v>
      </c>
      <c r="AJ156" s="1">
        <f t="shared" si="106"/>
        <v>50145</v>
      </c>
      <c r="AK156" s="60">
        <f>IF($X156&lt;Input!$H$73,IF($X156&lt;Input!$G$73,IF($X156&lt;Input!$F$73,IF($X156&lt;Input!$E$73,IF($X156&lt;Input!$D$73,Input!$C$79,Input!$D$79),Input!$E$79),Input!$F$79),Input!$G$79),Input!$H$79)</f>
        <v>0</v>
      </c>
      <c r="AL156" s="190">
        <f>IF($A156&lt;Input!$H$80,IF($A156&lt;Input!$G$80,IF($A156&lt;Input!$F$80,IF($A156&lt;Input!$E$80,IF($A156&lt;Input!$D$80,Input!$C$81,Input!$D$81),Input!$E$81),Input!$F$81),Input!$G$81),Input!$H$81)</f>
        <v>0.9</v>
      </c>
      <c r="AM156" s="60">
        <f t="shared" si="87"/>
        <v>0</v>
      </c>
      <c r="AN156" s="60">
        <f t="shared" si="107"/>
        <v>31</v>
      </c>
      <c r="AO156" s="60">
        <f t="shared" si="88"/>
        <v>0</v>
      </c>
      <c r="AP156" s="60">
        <f>ROUND(AO156*AN156*Input!$C$3/365,0)</f>
        <v>0</v>
      </c>
      <c r="AQ156" s="61">
        <f>IF($A156&lt;=Input!$C$6,0,IF('Fixed Tenure'!AM156&lt;'Fixed Tenure'!AO156,'Fixed Tenure'!AM156-AP156,'Fixed Tenure'!AO156))</f>
        <v>0</v>
      </c>
      <c r="AR156" s="61">
        <f t="shared" si="89"/>
        <v>0</v>
      </c>
      <c r="AS156" s="60">
        <f t="shared" si="90"/>
        <v>0</v>
      </c>
      <c r="AT156" s="193"/>
      <c r="AU156" s="169">
        <v>152</v>
      </c>
      <c r="AV156" s="1">
        <f t="shared" si="108"/>
        <v>50145</v>
      </c>
      <c r="AW156" s="60">
        <f>IF($X156&lt;Input!$H$88,IF($X156&lt;Input!$G$88,IF($X156&lt;Input!$F$88,IF($X156&lt;Input!$E$88,IF($X156&lt;Input!$D$88,Input!$C$94,Input!$D$94),Input!$E$94),Input!$F$94),Input!$G$94),Input!$H$94)</f>
        <v>0</v>
      </c>
      <c r="AX156" s="190">
        <f>IF($A156&lt;Input!$H$95,IF($A156&lt;Input!$G$95,IF($A156&lt;Input!$F$95,IF($A156&lt;Input!$E$95,IF($A156&lt;Input!$D$95,Input!$C$96,Input!$D$96),Input!$E$96),Input!$F$96),Input!$G$96),Input!$H$96)</f>
        <v>0.9</v>
      </c>
      <c r="AY156" s="60">
        <f t="shared" si="91"/>
        <v>0</v>
      </c>
      <c r="AZ156" s="60">
        <f t="shared" si="109"/>
        <v>31</v>
      </c>
      <c r="BA156" s="60">
        <f t="shared" si="92"/>
        <v>0</v>
      </c>
      <c r="BB156" s="60">
        <f>ROUND(BA156*AZ156*Input!$C$3/365,0)</f>
        <v>0</v>
      </c>
      <c r="BC156" s="61">
        <f>IF($A156&lt;=Input!$C$6,0,IF('Fixed Tenure'!AY156&lt;'Fixed Tenure'!BA156,'Fixed Tenure'!AY156-BB156,'Fixed Tenure'!BA156))</f>
        <v>0</v>
      </c>
      <c r="BD156" s="61">
        <f t="shared" si="93"/>
        <v>0</v>
      </c>
      <c r="BE156" s="60">
        <f t="shared" si="94"/>
        <v>0</v>
      </c>
      <c r="BF156" s="193"/>
      <c r="BG156" s="169">
        <v>152</v>
      </c>
      <c r="BH156" s="1">
        <f t="shared" si="110"/>
        <v>50145</v>
      </c>
      <c r="BI156" s="60">
        <f>IF($X156&lt;Input!$H$103,IF($X156&lt;Input!$G$103,IF($X156&lt;Input!$F$103,IF($X156&lt;Input!$E$103,IF($X156&lt;Input!$D$103,Input!$C$109,Input!$D$109),Input!$E$109),Input!$F$109),Input!$G$109),Input!$H$109)</f>
        <v>0</v>
      </c>
      <c r="BJ156" s="190">
        <f>IF($A156&lt;Input!$H$110,IF($A156&lt;Input!$G$110,IF($A156&lt;Input!$F$110,IF($A156&lt;Input!$E$110,IF($A156&lt;Input!$D$110,Input!$C$111,Input!$D$111),Input!$E$111),Input!$F$111),Input!$G$111),Input!$H$111)</f>
        <v>0.9</v>
      </c>
      <c r="BK156" s="60">
        <f t="shared" si="95"/>
        <v>0</v>
      </c>
      <c r="BL156" s="60">
        <f t="shared" si="111"/>
        <v>31</v>
      </c>
      <c r="BM156" s="60">
        <f t="shared" si="96"/>
        <v>0</v>
      </c>
      <c r="BN156" s="60">
        <f>ROUND(BM156*BL156*Input!$C$3/365,0)</f>
        <v>0</v>
      </c>
      <c r="BO156" s="61">
        <f>IF($A156&lt;=Input!$C$6,0,IF('Fixed Tenure'!BK156&lt;'Fixed Tenure'!BM156,'Fixed Tenure'!BK156-BN156,'Fixed Tenure'!BM156))</f>
        <v>0</v>
      </c>
      <c r="BP156" s="61">
        <f t="shared" si="97"/>
        <v>0</v>
      </c>
      <c r="BQ156" s="60">
        <f t="shared" si="98"/>
        <v>0</v>
      </c>
      <c r="BR156" s="198"/>
    </row>
    <row r="157" spans="1:70" x14ac:dyDescent="0.25">
      <c r="A157" s="169">
        <v>153</v>
      </c>
      <c r="B157" s="1">
        <f t="shared" si="99"/>
        <v>50175</v>
      </c>
      <c r="C157" s="60">
        <f t="shared" si="77"/>
        <v>33127052.878124986</v>
      </c>
      <c r="D157" s="60">
        <f t="shared" si="78"/>
        <v>29814347.590312488</v>
      </c>
      <c r="E157" s="60">
        <f t="shared" si="100"/>
        <v>30</v>
      </c>
      <c r="F157" s="60">
        <f t="shared" si="101"/>
        <v>0</v>
      </c>
      <c r="G157" s="60">
        <f>ROUND(F157*E157*Input!$C$3/365,0)</f>
        <v>0</v>
      </c>
      <c r="H157" s="60">
        <f>IF($A157&lt;=Input!$C$6,0,IF('Fixed Tenure'!D157&lt;'Fixed Tenure'!F157,'Fixed Tenure'!D157-G157,'Fixed Tenure'!F157))</f>
        <v>0</v>
      </c>
      <c r="I157" s="60">
        <f t="shared" si="102"/>
        <v>0</v>
      </c>
      <c r="J157" s="60">
        <f t="shared" si="103"/>
        <v>0</v>
      </c>
      <c r="K157" s="202">
        <f>J157/Input!$K$5</f>
        <v>0</v>
      </c>
      <c r="L157" s="232"/>
      <c r="M157" s="60">
        <f>IF($B157&lt;Input!$H$43,IF($B157&lt;Input!$G$43,IF($B157&lt;Input!$F$43,IF($B157&lt;Input!$E$43,IF($B157&lt;Input!$D$43,Input!$C$49,Input!$D$49),Input!$E$49),Input!$F$49),Input!$G$49),Input!$H$49)</f>
        <v>33127052.878124986</v>
      </c>
      <c r="N157" s="190">
        <f>IF($A157&lt;Input!$H$50,IF($A157&lt;Input!$G$50,IF($A157&lt;Input!$F$50,IF($A157&lt;Input!$E$50,IF($A157&lt;Input!$D$50,Input!$C$51,Input!$D$51),Input!$E$51),Input!$F$51),Input!$G$51),Input!$H$51)</f>
        <v>0.9</v>
      </c>
      <c r="O157" s="60">
        <f t="shared" si="76"/>
        <v>29814347.590312488</v>
      </c>
      <c r="P157" s="60">
        <f t="shared" si="79"/>
        <v>30</v>
      </c>
      <c r="Q157" s="60">
        <f t="shared" si="80"/>
        <v>0</v>
      </c>
      <c r="R157" s="60">
        <f>ROUND(Q157*$P157*Input!$C$3/365,0)</f>
        <v>0</v>
      </c>
      <c r="S157" s="60">
        <f>IF(A157&lt;=Input!$C$6,0,IF('Fixed Tenure'!O157&lt;'Fixed Tenure'!Q157,'Fixed Tenure'!O157-R157,'Fixed Tenure'!Q157))</f>
        <v>0</v>
      </c>
      <c r="T157" s="60">
        <f t="shared" si="81"/>
        <v>0</v>
      </c>
      <c r="U157" s="60">
        <f t="shared" si="82"/>
        <v>0</v>
      </c>
      <c r="V157" s="193"/>
      <c r="W157" s="169">
        <v>153</v>
      </c>
      <c r="X157" s="1">
        <f t="shared" si="104"/>
        <v>50175</v>
      </c>
      <c r="Y157" s="60">
        <f>IF($X157&lt;Input!$H$58,IF($X157&lt;Input!$G$58,IF($X157&lt;Input!$F$58,IF($X157&lt;Input!$E$58,IF($X157&lt;Input!$D$58,Input!$C$64,Input!$D$64),Input!$E$64),Input!$F$64),Input!$G$64),Input!$H$64)</f>
        <v>0</v>
      </c>
      <c r="Z157" s="190">
        <f>IF($A157&lt;Input!$H$65,IF($A157&lt;Input!$G$65,IF($A157&lt;Input!$F$65,IF($A157&lt;Input!$E$65,IF($A157&lt;Input!$D$65,Input!$C$66,Input!$D$66),Input!$E$66),Input!$F$66),Input!$G$66),Input!$H$66)</f>
        <v>0.9</v>
      </c>
      <c r="AA157" s="60">
        <f t="shared" si="83"/>
        <v>0</v>
      </c>
      <c r="AB157" s="60">
        <f t="shared" si="105"/>
        <v>30</v>
      </c>
      <c r="AC157" s="60">
        <f t="shared" si="84"/>
        <v>0</v>
      </c>
      <c r="AD157" s="60">
        <f>ROUND(AC157*AB157*Input!$C$3/365,0)</f>
        <v>0</v>
      </c>
      <c r="AE157" s="61">
        <f>IF($A157&lt;=Input!$C$6,0,IF('Fixed Tenure'!AA157&lt;'Fixed Tenure'!AC157,'Fixed Tenure'!AA157-AD157,'Fixed Tenure'!AC157))</f>
        <v>0</v>
      </c>
      <c r="AF157" s="61">
        <f t="shared" si="85"/>
        <v>0</v>
      </c>
      <c r="AG157" s="60">
        <f t="shared" si="86"/>
        <v>0</v>
      </c>
      <c r="AH157" s="193"/>
      <c r="AI157" s="169">
        <v>153</v>
      </c>
      <c r="AJ157" s="1">
        <f t="shared" si="106"/>
        <v>50175</v>
      </c>
      <c r="AK157" s="60">
        <f>IF($X157&lt;Input!$H$73,IF($X157&lt;Input!$G$73,IF($X157&lt;Input!$F$73,IF($X157&lt;Input!$E$73,IF($X157&lt;Input!$D$73,Input!$C$79,Input!$D$79),Input!$E$79),Input!$F$79),Input!$G$79),Input!$H$79)</f>
        <v>0</v>
      </c>
      <c r="AL157" s="190">
        <f>IF($A157&lt;Input!$H$80,IF($A157&lt;Input!$G$80,IF($A157&lt;Input!$F$80,IF($A157&lt;Input!$E$80,IF($A157&lt;Input!$D$80,Input!$C$81,Input!$D$81),Input!$E$81),Input!$F$81),Input!$G$81),Input!$H$81)</f>
        <v>0.9</v>
      </c>
      <c r="AM157" s="60">
        <f t="shared" si="87"/>
        <v>0</v>
      </c>
      <c r="AN157" s="60">
        <f t="shared" si="107"/>
        <v>30</v>
      </c>
      <c r="AO157" s="60">
        <f t="shared" si="88"/>
        <v>0</v>
      </c>
      <c r="AP157" s="60">
        <f>ROUND(AO157*AN157*Input!$C$3/365,0)</f>
        <v>0</v>
      </c>
      <c r="AQ157" s="61">
        <f>IF($A157&lt;=Input!$C$6,0,IF('Fixed Tenure'!AM157&lt;'Fixed Tenure'!AO157,'Fixed Tenure'!AM157-AP157,'Fixed Tenure'!AO157))</f>
        <v>0</v>
      </c>
      <c r="AR157" s="61">
        <f t="shared" si="89"/>
        <v>0</v>
      </c>
      <c r="AS157" s="60">
        <f t="shared" si="90"/>
        <v>0</v>
      </c>
      <c r="AT157" s="193"/>
      <c r="AU157" s="169">
        <v>153</v>
      </c>
      <c r="AV157" s="1">
        <f t="shared" si="108"/>
        <v>50175</v>
      </c>
      <c r="AW157" s="60">
        <f>IF($X157&lt;Input!$H$88,IF($X157&lt;Input!$G$88,IF($X157&lt;Input!$F$88,IF($X157&lt;Input!$E$88,IF($X157&lt;Input!$D$88,Input!$C$94,Input!$D$94),Input!$E$94),Input!$F$94),Input!$G$94),Input!$H$94)</f>
        <v>0</v>
      </c>
      <c r="AX157" s="190">
        <f>IF($A157&lt;Input!$H$95,IF($A157&lt;Input!$G$95,IF($A157&lt;Input!$F$95,IF($A157&lt;Input!$E$95,IF($A157&lt;Input!$D$95,Input!$C$96,Input!$D$96),Input!$E$96),Input!$F$96),Input!$G$96),Input!$H$96)</f>
        <v>0.9</v>
      </c>
      <c r="AY157" s="60">
        <f t="shared" si="91"/>
        <v>0</v>
      </c>
      <c r="AZ157" s="60">
        <f t="shared" si="109"/>
        <v>30</v>
      </c>
      <c r="BA157" s="60">
        <f t="shared" si="92"/>
        <v>0</v>
      </c>
      <c r="BB157" s="60">
        <f>ROUND(BA157*AZ157*Input!$C$3/365,0)</f>
        <v>0</v>
      </c>
      <c r="BC157" s="61">
        <f>IF($A157&lt;=Input!$C$6,0,IF('Fixed Tenure'!AY157&lt;'Fixed Tenure'!BA157,'Fixed Tenure'!AY157-BB157,'Fixed Tenure'!BA157))</f>
        <v>0</v>
      </c>
      <c r="BD157" s="61">
        <f t="shared" si="93"/>
        <v>0</v>
      </c>
      <c r="BE157" s="60">
        <f t="shared" si="94"/>
        <v>0</v>
      </c>
      <c r="BF157" s="193"/>
      <c r="BG157" s="169">
        <v>153</v>
      </c>
      <c r="BH157" s="1">
        <f t="shared" si="110"/>
        <v>50175</v>
      </c>
      <c r="BI157" s="60">
        <f>IF($X157&lt;Input!$H$103,IF($X157&lt;Input!$G$103,IF($X157&lt;Input!$F$103,IF($X157&lt;Input!$E$103,IF($X157&lt;Input!$D$103,Input!$C$109,Input!$D$109),Input!$E$109),Input!$F$109),Input!$G$109),Input!$H$109)</f>
        <v>0</v>
      </c>
      <c r="BJ157" s="190">
        <f>IF($A157&lt;Input!$H$110,IF($A157&lt;Input!$G$110,IF($A157&lt;Input!$F$110,IF($A157&lt;Input!$E$110,IF($A157&lt;Input!$D$110,Input!$C$111,Input!$D$111),Input!$E$111),Input!$F$111),Input!$G$111),Input!$H$111)</f>
        <v>0.9</v>
      </c>
      <c r="BK157" s="60">
        <f t="shared" si="95"/>
        <v>0</v>
      </c>
      <c r="BL157" s="60">
        <f t="shared" si="111"/>
        <v>30</v>
      </c>
      <c r="BM157" s="60">
        <f t="shared" si="96"/>
        <v>0</v>
      </c>
      <c r="BN157" s="60">
        <f>ROUND(BM157*BL157*Input!$C$3/365,0)</f>
        <v>0</v>
      </c>
      <c r="BO157" s="61">
        <f>IF($A157&lt;=Input!$C$6,0,IF('Fixed Tenure'!BK157&lt;'Fixed Tenure'!BM157,'Fixed Tenure'!BK157-BN157,'Fixed Tenure'!BM157))</f>
        <v>0</v>
      </c>
      <c r="BP157" s="61">
        <f t="shared" si="97"/>
        <v>0</v>
      </c>
      <c r="BQ157" s="60">
        <f t="shared" si="98"/>
        <v>0</v>
      </c>
      <c r="BR157" s="198"/>
    </row>
    <row r="158" spans="1:70" x14ac:dyDescent="0.25">
      <c r="A158" s="169">
        <v>154</v>
      </c>
      <c r="B158" s="1">
        <f t="shared" si="99"/>
        <v>50206</v>
      </c>
      <c r="C158" s="60">
        <f t="shared" si="77"/>
        <v>33127052.878124986</v>
      </c>
      <c r="D158" s="60">
        <f t="shared" si="78"/>
        <v>29814347.590312488</v>
      </c>
      <c r="E158" s="60">
        <f t="shared" si="100"/>
        <v>31</v>
      </c>
      <c r="F158" s="60">
        <f t="shared" si="101"/>
        <v>0</v>
      </c>
      <c r="G158" s="60">
        <f>ROUND(F158*E158*Input!$C$3/365,0)</f>
        <v>0</v>
      </c>
      <c r="H158" s="60">
        <f>IF($A158&lt;=Input!$C$6,0,IF('Fixed Tenure'!D158&lt;'Fixed Tenure'!F158,'Fixed Tenure'!D158-G158,'Fixed Tenure'!F158))</f>
        <v>0</v>
      </c>
      <c r="I158" s="60">
        <f t="shared" si="102"/>
        <v>0</v>
      </c>
      <c r="J158" s="60">
        <f t="shared" si="103"/>
        <v>0</v>
      </c>
      <c r="K158" s="202">
        <f>J158/Input!$K$5</f>
        <v>0</v>
      </c>
      <c r="L158" s="232"/>
      <c r="M158" s="60">
        <f>IF($B158&lt;Input!$H$43,IF($B158&lt;Input!$G$43,IF($B158&lt;Input!$F$43,IF($B158&lt;Input!$E$43,IF($B158&lt;Input!$D$43,Input!$C$49,Input!$D$49),Input!$E$49),Input!$F$49),Input!$G$49),Input!$H$49)</f>
        <v>33127052.878124986</v>
      </c>
      <c r="N158" s="190">
        <f>IF($A158&lt;Input!$H$50,IF($A158&lt;Input!$G$50,IF($A158&lt;Input!$F$50,IF($A158&lt;Input!$E$50,IF($A158&lt;Input!$D$50,Input!$C$51,Input!$D$51),Input!$E$51),Input!$F$51),Input!$G$51),Input!$H$51)</f>
        <v>0.9</v>
      </c>
      <c r="O158" s="60">
        <f t="shared" si="76"/>
        <v>29814347.590312488</v>
      </c>
      <c r="P158" s="60">
        <f t="shared" si="79"/>
        <v>31</v>
      </c>
      <c r="Q158" s="60">
        <f t="shared" si="80"/>
        <v>0</v>
      </c>
      <c r="R158" s="60">
        <f>ROUND(Q158*$P158*Input!$C$3/365,0)</f>
        <v>0</v>
      </c>
      <c r="S158" s="60">
        <f>IF(A158&lt;=Input!$C$6,0,IF('Fixed Tenure'!O158&lt;'Fixed Tenure'!Q158,'Fixed Tenure'!O158-R158,'Fixed Tenure'!Q158))</f>
        <v>0</v>
      </c>
      <c r="T158" s="60">
        <f t="shared" si="81"/>
        <v>0</v>
      </c>
      <c r="U158" s="60">
        <f t="shared" si="82"/>
        <v>0</v>
      </c>
      <c r="V158" s="193"/>
      <c r="W158" s="169">
        <v>154</v>
      </c>
      <c r="X158" s="1">
        <f t="shared" si="104"/>
        <v>50206</v>
      </c>
      <c r="Y158" s="60">
        <f>IF($X158&lt;Input!$H$58,IF($X158&lt;Input!$G$58,IF($X158&lt;Input!$F$58,IF($X158&lt;Input!$E$58,IF($X158&lt;Input!$D$58,Input!$C$64,Input!$D$64),Input!$E$64),Input!$F$64),Input!$G$64),Input!$H$64)</f>
        <v>0</v>
      </c>
      <c r="Z158" s="190">
        <f>IF($A158&lt;Input!$H$65,IF($A158&lt;Input!$G$65,IF($A158&lt;Input!$F$65,IF($A158&lt;Input!$E$65,IF($A158&lt;Input!$D$65,Input!$C$66,Input!$D$66),Input!$E$66),Input!$F$66),Input!$G$66),Input!$H$66)</f>
        <v>0.9</v>
      </c>
      <c r="AA158" s="60">
        <f t="shared" si="83"/>
        <v>0</v>
      </c>
      <c r="AB158" s="60">
        <f t="shared" si="105"/>
        <v>31</v>
      </c>
      <c r="AC158" s="60">
        <f t="shared" si="84"/>
        <v>0</v>
      </c>
      <c r="AD158" s="60">
        <f>ROUND(AC158*AB158*Input!$C$3/365,0)</f>
        <v>0</v>
      </c>
      <c r="AE158" s="61">
        <f>IF($A158&lt;=Input!$C$6,0,IF('Fixed Tenure'!AA158&lt;'Fixed Tenure'!AC158,'Fixed Tenure'!AA158-AD158,'Fixed Tenure'!AC158))</f>
        <v>0</v>
      </c>
      <c r="AF158" s="61">
        <f t="shared" si="85"/>
        <v>0</v>
      </c>
      <c r="AG158" s="60">
        <f t="shared" si="86"/>
        <v>0</v>
      </c>
      <c r="AH158" s="193"/>
      <c r="AI158" s="169">
        <v>154</v>
      </c>
      <c r="AJ158" s="1">
        <f t="shared" si="106"/>
        <v>50206</v>
      </c>
      <c r="AK158" s="60">
        <f>IF($X158&lt;Input!$H$73,IF($X158&lt;Input!$G$73,IF($X158&lt;Input!$F$73,IF($X158&lt;Input!$E$73,IF($X158&lt;Input!$D$73,Input!$C$79,Input!$D$79),Input!$E$79),Input!$F$79),Input!$G$79),Input!$H$79)</f>
        <v>0</v>
      </c>
      <c r="AL158" s="190">
        <f>IF($A158&lt;Input!$H$80,IF($A158&lt;Input!$G$80,IF($A158&lt;Input!$F$80,IF($A158&lt;Input!$E$80,IF($A158&lt;Input!$D$80,Input!$C$81,Input!$D$81),Input!$E$81),Input!$F$81),Input!$G$81),Input!$H$81)</f>
        <v>0.9</v>
      </c>
      <c r="AM158" s="60">
        <f t="shared" si="87"/>
        <v>0</v>
      </c>
      <c r="AN158" s="60">
        <f t="shared" si="107"/>
        <v>31</v>
      </c>
      <c r="AO158" s="60">
        <f t="shared" si="88"/>
        <v>0</v>
      </c>
      <c r="AP158" s="60">
        <f>ROUND(AO158*AN158*Input!$C$3/365,0)</f>
        <v>0</v>
      </c>
      <c r="AQ158" s="61">
        <f>IF($A158&lt;=Input!$C$6,0,IF('Fixed Tenure'!AM158&lt;'Fixed Tenure'!AO158,'Fixed Tenure'!AM158-AP158,'Fixed Tenure'!AO158))</f>
        <v>0</v>
      </c>
      <c r="AR158" s="61">
        <f t="shared" si="89"/>
        <v>0</v>
      </c>
      <c r="AS158" s="60">
        <f t="shared" si="90"/>
        <v>0</v>
      </c>
      <c r="AT158" s="193"/>
      <c r="AU158" s="169">
        <v>154</v>
      </c>
      <c r="AV158" s="1">
        <f t="shared" si="108"/>
        <v>50206</v>
      </c>
      <c r="AW158" s="60">
        <f>IF($X158&lt;Input!$H$88,IF($X158&lt;Input!$G$88,IF($X158&lt;Input!$F$88,IF($X158&lt;Input!$E$88,IF($X158&lt;Input!$D$88,Input!$C$94,Input!$D$94),Input!$E$94),Input!$F$94),Input!$G$94),Input!$H$94)</f>
        <v>0</v>
      </c>
      <c r="AX158" s="190">
        <f>IF($A158&lt;Input!$H$95,IF($A158&lt;Input!$G$95,IF($A158&lt;Input!$F$95,IF($A158&lt;Input!$E$95,IF($A158&lt;Input!$D$95,Input!$C$96,Input!$D$96),Input!$E$96),Input!$F$96),Input!$G$96),Input!$H$96)</f>
        <v>0.9</v>
      </c>
      <c r="AY158" s="60">
        <f t="shared" si="91"/>
        <v>0</v>
      </c>
      <c r="AZ158" s="60">
        <f t="shared" si="109"/>
        <v>31</v>
      </c>
      <c r="BA158" s="60">
        <f t="shared" si="92"/>
        <v>0</v>
      </c>
      <c r="BB158" s="60">
        <f>ROUND(BA158*AZ158*Input!$C$3/365,0)</f>
        <v>0</v>
      </c>
      <c r="BC158" s="61">
        <f>IF($A158&lt;=Input!$C$6,0,IF('Fixed Tenure'!AY158&lt;'Fixed Tenure'!BA158,'Fixed Tenure'!AY158-BB158,'Fixed Tenure'!BA158))</f>
        <v>0</v>
      </c>
      <c r="BD158" s="61">
        <f t="shared" si="93"/>
        <v>0</v>
      </c>
      <c r="BE158" s="60">
        <f t="shared" si="94"/>
        <v>0</v>
      </c>
      <c r="BF158" s="193"/>
      <c r="BG158" s="169">
        <v>154</v>
      </c>
      <c r="BH158" s="1">
        <f t="shared" si="110"/>
        <v>50206</v>
      </c>
      <c r="BI158" s="60">
        <f>IF($X158&lt;Input!$H$103,IF($X158&lt;Input!$G$103,IF($X158&lt;Input!$F$103,IF($X158&lt;Input!$E$103,IF($X158&lt;Input!$D$103,Input!$C$109,Input!$D$109),Input!$E$109),Input!$F$109),Input!$G$109),Input!$H$109)</f>
        <v>0</v>
      </c>
      <c r="BJ158" s="190">
        <f>IF($A158&lt;Input!$H$110,IF($A158&lt;Input!$G$110,IF($A158&lt;Input!$F$110,IF($A158&lt;Input!$E$110,IF($A158&lt;Input!$D$110,Input!$C$111,Input!$D$111),Input!$E$111),Input!$F$111),Input!$G$111),Input!$H$111)</f>
        <v>0.9</v>
      </c>
      <c r="BK158" s="60">
        <f t="shared" si="95"/>
        <v>0</v>
      </c>
      <c r="BL158" s="60">
        <f t="shared" si="111"/>
        <v>31</v>
      </c>
      <c r="BM158" s="60">
        <f t="shared" si="96"/>
        <v>0</v>
      </c>
      <c r="BN158" s="60">
        <f>ROUND(BM158*BL158*Input!$C$3/365,0)</f>
        <v>0</v>
      </c>
      <c r="BO158" s="61">
        <f>IF($A158&lt;=Input!$C$6,0,IF('Fixed Tenure'!BK158&lt;'Fixed Tenure'!BM158,'Fixed Tenure'!BK158-BN158,'Fixed Tenure'!BM158))</f>
        <v>0</v>
      </c>
      <c r="BP158" s="61">
        <f t="shared" si="97"/>
        <v>0</v>
      </c>
      <c r="BQ158" s="60">
        <f t="shared" si="98"/>
        <v>0</v>
      </c>
      <c r="BR158" s="198"/>
    </row>
    <row r="159" spans="1:70" x14ac:dyDescent="0.25">
      <c r="A159" s="169">
        <v>155</v>
      </c>
      <c r="B159" s="1">
        <f t="shared" si="99"/>
        <v>50236</v>
      </c>
      <c r="C159" s="60">
        <f t="shared" si="77"/>
        <v>33127052.878124986</v>
      </c>
      <c r="D159" s="60">
        <f t="shared" si="78"/>
        <v>29814347.590312488</v>
      </c>
      <c r="E159" s="60">
        <f t="shared" si="100"/>
        <v>30</v>
      </c>
      <c r="F159" s="60">
        <f t="shared" si="101"/>
        <v>0</v>
      </c>
      <c r="G159" s="60">
        <f>ROUND(F159*E159*Input!$C$3/365,0)</f>
        <v>0</v>
      </c>
      <c r="H159" s="60">
        <f>IF($A159&lt;=Input!$C$6,0,IF('Fixed Tenure'!D159&lt;'Fixed Tenure'!F159,'Fixed Tenure'!D159-G159,'Fixed Tenure'!F159))</f>
        <v>0</v>
      </c>
      <c r="I159" s="60">
        <f t="shared" si="102"/>
        <v>0</v>
      </c>
      <c r="J159" s="60">
        <f t="shared" si="103"/>
        <v>0</v>
      </c>
      <c r="K159" s="202">
        <f>J159/Input!$K$5</f>
        <v>0</v>
      </c>
      <c r="L159" s="232"/>
      <c r="M159" s="60">
        <f>IF($B159&lt;Input!$H$43,IF($B159&lt;Input!$G$43,IF($B159&lt;Input!$F$43,IF($B159&lt;Input!$E$43,IF($B159&lt;Input!$D$43,Input!$C$49,Input!$D$49),Input!$E$49),Input!$F$49),Input!$G$49),Input!$H$49)</f>
        <v>33127052.878124986</v>
      </c>
      <c r="N159" s="190">
        <f>IF($A159&lt;Input!$H$50,IF($A159&lt;Input!$G$50,IF($A159&lt;Input!$F$50,IF($A159&lt;Input!$E$50,IF($A159&lt;Input!$D$50,Input!$C$51,Input!$D$51),Input!$E$51),Input!$F$51),Input!$G$51),Input!$H$51)</f>
        <v>0.9</v>
      </c>
      <c r="O159" s="60">
        <f t="shared" si="76"/>
        <v>29814347.590312488</v>
      </c>
      <c r="P159" s="60">
        <f t="shared" si="79"/>
        <v>30</v>
      </c>
      <c r="Q159" s="60">
        <f t="shared" si="80"/>
        <v>0</v>
      </c>
      <c r="R159" s="60">
        <f>ROUND(Q159*$P159*Input!$C$3/365,0)</f>
        <v>0</v>
      </c>
      <c r="S159" s="60">
        <f>IF(A159&lt;=Input!$C$6,0,IF('Fixed Tenure'!O159&lt;'Fixed Tenure'!Q159,'Fixed Tenure'!O159-R159,'Fixed Tenure'!Q159))</f>
        <v>0</v>
      </c>
      <c r="T159" s="60">
        <f t="shared" si="81"/>
        <v>0</v>
      </c>
      <c r="U159" s="60">
        <f t="shared" si="82"/>
        <v>0</v>
      </c>
      <c r="V159" s="193"/>
      <c r="W159" s="169">
        <v>155</v>
      </c>
      <c r="X159" s="1">
        <f t="shared" si="104"/>
        <v>50236</v>
      </c>
      <c r="Y159" s="60">
        <f>IF($X159&lt;Input!$H$58,IF($X159&lt;Input!$G$58,IF($X159&lt;Input!$F$58,IF($X159&lt;Input!$E$58,IF($X159&lt;Input!$D$58,Input!$C$64,Input!$D$64),Input!$E$64),Input!$F$64),Input!$G$64),Input!$H$64)</f>
        <v>0</v>
      </c>
      <c r="Z159" s="190">
        <f>IF($A159&lt;Input!$H$65,IF($A159&lt;Input!$G$65,IF($A159&lt;Input!$F$65,IF($A159&lt;Input!$E$65,IF($A159&lt;Input!$D$65,Input!$C$66,Input!$D$66),Input!$E$66),Input!$F$66),Input!$G$66),Input!$H$66)</f>
        <v>0.9</v>
      </c>
      <c r="AA159" s="60">
        <f t="shared" si="83"/>
        <v>0</v>
      </c>
      <c r="AB159" s="60">
        <f t="shared" si="105"/>
        <v>30</v>
      </c>
      <c r="AC159" s="60">
        <f t="shared" si="84"/>
        <v>0</v>
      </c>
      <c r="AD159" s="60">
        <f>ROUND(AC159*AB159*Input!$C$3/365,0)</f>
        <v>0</v>
      </c>
      <c r="AE159" s="61">
        <f>IF($A159&lt;=Input!$C$6,0,IF('Fixed Tenure'!AA159&lt;'Fixed Tenure'!AC159,'Fixed Tenure'!AA159-AD159,'Fixed Tenure'!AC159))</f>
        <v>0</v>
      </c>
      <c r="AF159" s="61">
        <f t="shared" si="85"/>
        <v>0</v>
      </c>
      <c r="AG159" s="60">
        <f t="shared" si="86"/>
        <v>0</v>
      </c>
      <c r="AH159" s="193"/>
      <c r="AI159" s="169">
        <v>155</v>
      </c>
      <c r="AJ159" s="1">
        <f t="shared" si="106"/>
        <v>50236</v>
      </c>
      <c r="AK159" s="60">
        <f>IF($X159&lt;Input!$H$73,IF($X159&lt;Input!$G$73,IF($X159&lt;Input!$F$73,IF($X159&lt;Input!$E$73,IF($X159&lt;Input!$D$73,Input!$C$79,Input!$D$79),Input!$E$79),Input!$F$79),Input!$G$79),Input!$H$79)</f>
        <v>0</v>
      </c>
      <c r="AL159" s="190">
        <f>IF($A159&lt;Input!$H$80,IF($A159&lt;Input!$G$80,IF($A159&lt;Input!$F$80,IF($A159&lt;Input!$E$80,IF($A159&lt;Input!$D$80,Input!$C$81,Input!$D$81),Input!$E$81),Input!$F$81),Input!$G$81),Input!$H$81)</f>
        <v>0.9</v>
      </c>
      <c r="AM159" s="60">
        <f t="shared" si="87"/>
        <v>0</v>
      </c>
      <c r="AN159" s="60">
        <f t="shared" si="107"/>
        <v>30</v>
      </c>
      <c r="AO159" s="60">
        <f t="shared" si="88"/>
        <v>0</v>
      </c>
      <c r="AP159" s="60">
        <f>ROUND(AO159*AN159*Input!$C$3/365,0)</f>
        <v>0</v>
      </c>
      <c r="AQ159" s="61">
        <f>IF($A159&lt;=Input!$C$6,0,IF('Fixed Tenure'!AM159&lt;'Fixed Tenure'!AO159,'Fixed Tenure'!AM159-AP159,'Fixed Tenure'!AO159))</f>
        <v>0</v>
      </c>
      <c r="AR159" s="61">
        <f t="shared" si="89"/>
        <v>0</v>
      </c>
      <c r="AS159" s="60">
        <f t="shared" si="90"/>
        <v>0</v>
      </c>
      <c r="AT159" s="193"/>
      <c r="AU159" s="169">
        <v>155</v>
      </c>
      <c r="AV159" s="1">
        <f t="shared" si="108"/>
        <v>50236</v>
      </c>
      <c r="AW159" s="60">
        <f>IF($X159&lt;Input!$H$88,IF($X159&lt;Input!$G$88,IF($X159&lt;Input!$F$88,IF($X159&lt;Input!$E$88,IF($X159&lt;Input!$D$88,Input!$C$94,Input!$D$94),Input!$E$94),Input!$F$94),Input!$G$94),Input!$H$94)</f>
        <v>0</v>
      </c>
      <c r="AX159" s="190">
        <f>IF($A159&lt;Input!$H$95,IF($A159&lt;Input!$G$95,IF($A159&lt;Input!$F$95,IF($A159&lt;Input!$E$95,IF($A159&lt;Input!$D$95,Input!$C$96,Input!$D$96),Input!$E$96),Input!$F$96),Input!$G$96),Input!$H$96)</f>
        <v>0.9</v>
      </c>
      <c r="AY159" s="60">
        <f t="shared" si="91"/>
        <v>0</v>
      </c>
      <c r="AZ159" s="60">
        <f t="shared" si="109"/>
        <v>30</v>
      </c>
      <c r="BA159" s="60">
        <f t="shared" si="92"/>
        <v>0</v>
      </c>
      <c r="BB159" s="60">
        <f>ROUND(BA159*AZ159*Input!$C$3/365,0)</f>
        <v>0</v>
      </c>
      <c r="BC159" s="61">
        <f>IF($A159&lt;=Input!$C$6,0,IF('Fixed Tenure'!AY159&lt;'Fixed Tenure'!BA159,'Fixed Tenure'!AY159-BB159,'Fixed Tenure'!BA159))</f>
        <v>0</v>
      </c>
      <c r="BD159" s="61">
        <f t="shared" si="93"/>
        <v>0</v>
      </c>
      <c r="BE159" s="60">
        <f t="shared" si="94"/>
        <v>0</v>
      </c>
      <c r="BF159" s="193"/>
      <c r="BG159" s="169">
        <v>155</v>
      </c>
      <c r="BH159" s="1">
        <f t="shared" si="110"/>
        <v>50236</v>
      </c>
      <c r="BI159" s="60">
        <f>IF($X159&lt;Input!$H$103,IF($X159&lt;Input!$G$103,IF($X159&lt;Input!$F$103,IF($X159&lt;Input!$E$103,IF($X159&lt;Input!$D$103,Input!$C$109,Input!$D$109),Input!$E$109),Input!$F$109),Input!$G$109),Input!$H$109)</f>
        <v>0</v>
      </c>
      <c r="BJ159" s="190">
        <f>IF($A159&lt;Input!$H$110,IF($A159&lt;Input!$G$110,IF($A159&lt;Input!$F$110,IF($A159&lt;Input!$E$110,IF($A159&lt;Input!$D$110,Input!$C$111,Input!$D$111),Input!$E$111),Input!$F$111),Input!$G$111),Input!$H$111)</f>
        <v>0.9</v>
      </c>
      <c r="BK159" s="60">
        <f t="shared" si="95"/>
        <v>0</v>
      </c>
      <c r="BL159" s="60">
        <f t="shared" si="111"/>
        <v>30</v>
      </c>
      <c r="BM159" s="60">
        <f t="shared" si="96"/>
        <v>0</v>
      </c>
      <c r="BN159" s="60">
        <f>ROUND(BM159*BL159*Input!$C$3/365,0)</f>
        <v>0</v>
      </c>
      <c r="BO159" s="61">
        <f>IF($A159&lt;=Input!$C$6,0,IF('Fixed Tenure'!BK159&lt;'Fixed Tenure'!BM159,'Fixed Tenure'!BK159-BN159,'Fixed Tenure'!BM159))</f>
        <v>0</v>
      </c>
      <c r="BP159" s="61">
        <f t="shared" si="97"/>
        <v>0</v>
      </c>
      <c r="BQ159" s="60">
        <f t="shared" si="98"/>
        <v>0</v>
      </c>
      <c r="BR159" s="198"/>
    </row>
    <row r="160" spans="1:70" x14ac:dyDescent="0.25">
      <c r="A160" s="169">
        <v>156</v>
      </c>
      <c r="B160" s="1">
        <f t="shared" si="99"/>
        <v>50267</v>
      </c>
      <c r="C160" s="60">
        <f t="shared" si="77"/>
        <v>33127052.878124986</v>
      </c>
      <c r="D160" s="60">
        <f t="shared" si="78"/>
        <v>29814347.590312488</v>
      </c>
      <c r="E160" s="60">
        <f t="shared" si="100"/>
        <v>31</v>
      </c>
      <c r="F160" s="60">
        <f t="shared" si="101"/>
        <v>0</v>
      </c>
      <c r="G160" s="60">
        <f>ROUND(F160*E160*Input!$C$3/365,0)</f>
        <v>0</v>
      </c>
      <c r="H160" s="60">
        <f>IF($A160&lt;=Input!$C$6,0,IF('Fixed Tenure'!D160&lt;'Fixed Tenure'!F160,'Fixed Tenure'!D160-G160,'Fixed Tenure'!F160))</f>
        <v>0</v>
      </c>
      <c r="I160" s="60">
        <f t="shared" si="102"/>
        <v>0</v>
      </c>
      <c r="J160" s="60">
        <f t="shared" si="103"/>
        <v>0</v>
      </c>
      <c r="K160" s="202">
        <f>J160/Input!$K$5</f>
        <v>0</v>
      </c>
      <c r="L160" s="232"/>
      <c r="M160" s="60">
        <f>IF($B160&lt;Input!$H$43,IF($B160&lt;Input!$G$43,IF($B160&lt;Input!$F$43,IF($B160&lt;Input!$E$43,IF($B160&lt;Input!$D$43,Input!$C$49,Input!$D$49),Input!$E$49),Input!$F$49),Input!$G$49),Input!$H$49)</f>
        <v>33127052.878124986</v>
      </c>
      <c r="N160" s="190">
        <f>IF($A160&lt;Input!$H$50,IF($A160&lt;Input!$G$50,IF($A160&lt;Input!$F$50,IF($A160&lt;Input!$E$50,IF($A160&lt;Input!$D$50,Input!$C$51,Input!$D$51),Input!$E$51),Input!$F$51),Input!$G$51),Input!$H$51)</f>
        <v>0.9</v>
      </c>
      <c r="O160" s="60">
        <f t="shared" si="76"/>
        <v>29814347.590312488</v>
      </c>
      <c r="P160" s="60">
        <f t="shared" si="79"/>
        <v>31</v>
      </c>
      <c r="Q160" s="60">
        <f t="shared" si="80"/>
        <v>0</v>
      </c>
      <c r="R160" s="60">
        <f>ROUND(Q160*$P160*Input!$C$3/365,0)</f>
        <v>0</v>
      </c>
      <c r="S160" s="60">
        <f>IF(A160&lt;=Input!$C$6,0,IF('Fixed Tenure'!O160&lt;'Fixed Tenure'!Q160,'Fixed Tenure'!O160-R160,'Fixed Tenure'!Q160))</f>
        <v>0</v>
      </c>
      <c r="T160" s="60">
        <f t="shared" si="81"/>
        <v>0</v>
      </c>
      <c r="U160" s="60">
        <f t="shared" si="82"/>
        <v>0</v>
      </c>
      <c r="V160" s="193"/>
      <c r="W160" s="169">
        <v>156</v>
      </c>
      <c r="X160" s="1">
        <f t="shared" si="104"/>
        <v>50267</v>
      </c>
      <c r="Y160" s="60">
        <f>IF($X160&lt;Input!$H$58,IF($X160&lt;Input!$G$58,IF($X160&lt;Input!$F$58,IF($X160&lt;Input!$E$58,IF($X160&lt;Input!$D$58,Input!$C$64,Input!$D$64),Input!$E$64),Input!$F$64),Input!$G$64),Input!$H$64)</f>
        <v>0</v>
      </c>
      <c r="Z160" s="190">
        <f>IF($A160&lt;Input!$H$65,IF($A160&lt;Input!$G$65,IF($A160&lt;Input!$F$65,IF($A160&lt;Input!$E$65,IF($A160&lt;Input!$D$65,Input!$C$66,Input!$D$66),Input!$E$66),Input!$F$66),Input!$G$66),Input!$H$66)</f>
        <v>0.9</v>
      </c>
      <c r="AA160" s="60">
        <f t="shared" si="83"/>
        <v>0</v>
      </c>
      <c r="AB160" s="60">
        <f t="shared" si="105"/>
        <v>31</v>
      </c>
      <c r="AC160" s="60">
        <f t="shared" si="84"/>
        <v>0</v>
      </c>
      <c r="AD160" s="60">
        <f>ROUND(AC160*AB160*Input!$C$3/365,0)</f>
        <v>0</v>
      </c>
      <c r="AE160" s="61">
        <f>IF($A160&lt;=Input!$C$6,0,IF('Fixed Tenure'!AA160&lt;'Fixed Tenure'!AC160,'Fixed Tenure'!AA160-AD160,'Fixed Tenure'!AC160))</f>
        <v>0</v>
      </c>
      <c r="AF160" s="61">
        <f t="shared" si="85"/>
        <v>0</v>
      </c>
      <c r="AG160" s="60">
        <f t="shared" si="86"/>
        <v>0</v>
      </c>
      <c r="AH160" s="193"/>
      <c r="AI160" s="169">
        <v>156</v>
      </c>
      <c r="AJ160" s="1">
        <f t="shared" si="106"/>
        <v>50267</v>
      </c>
      <c r="AK160" s="60">
        <f>IF($X160&lt;Input!$H$73,IF($X160&lt;Input!$G$73,IF($X160&lt;Input!$F$73,IF($X160&lt;Input!$E$73,IF($X160&lt;Input!$D$73,Input!$C$79,Input!$D$79),Input!$E$79),Input!$F$79),Input!$G$79),Input!$H$79)</f>
        <v>0</v>
      </c>
      <c r="AL160" s="190">
        <f>IF($A160&lt;Input!$H$80,IF($A160&lt;Input!$G$80,IF($A160&lt;Input!$F$80,IF($A160&lt;Input!$E$80,IF($A160&lt;Input!$D$80,Input!$C$81,Input!$D$81),Input!$E$81),Input!$F$81),Input!$G$81),Input!$H$81)</f>
        <v>0.9</v>
      </c>
      <c r="AM160" s="60">
        <f t="shared" si="87"/>
        <v>0</v>
      </c>
      <c r="AN160" s="60">
        <f t="shared" si="107"/>
        <v>31</v>
      </c>
      <c r="AO160" s="60">
        <f t="shared" si="88"/>
        <v>0</v>
      </c>
      <c r="AP160" s="60">
        <f>ROUND(AO160*AN160*Input!$C$3/365,0)</f>
        <v>0</v>
      </c>
      <c r="AQ160" s="61">
        <f>IF($A160&lt;=Input!$C$6,0,IF('Fixed Tenure'!AM160&lt;'Fixed Tenure'!AO160,'Fixed Tenure'!AM160-AP160,'Fixed Tenure'!AO160))</f>
        <v>0</v>
      </c>
      <c r="AR160" s="61">
        <f t="shared" si="89"/>
        <v>0</v>
      </c>
      <c r="AS160" s="60">
        <f t="shared" si="90"/>
        <v>0</v>
      </c>
      <c r="AT160" s="193"/>
      <c r="AU160" s="169">
        <v>156</v>
      </c>
      <c r="AV160" s="1">
        <f t="shared" si="108"/>
        <v>50267</v>
      </c>
      <c r="AW160" s="60">
        <f>IF($X160&lt;Input!$H$88,IF($X160&lt;Input!$G$88,IF($X160&lt;Input!$F$88,IF($X160&lt;Input!$E$88,IF($X160&lt;Input!$D$88,Input!$C$94,Input!$D$94),Input!$E$94),Input!$F$94),Input!$G$94),Input!$H$94)</f>
        <v>0</v>
      </c>
      <c r="AX160" s="190">
        <f>IF($A160&lt;Input!$H$95,IF($A160&lt;Input!$G$95,IF($A160&lt;Input!$F$95,IF($A160&lt;Input!$E$95,IF($A160&lt;Input!$D$95,Input!$C$96,Input!$D$96),Input!$E$96),Input!$F$96),Input!$G$96),Input!$H$96)</f>
        <v>0.9</v>
      </c>
      <c r="AY160" s="60">
        <f t="shared" si="91"/>
        <v>0</v>
      </c>
      <c r="AZ160" s="60">
        <f t="shared" si="109"/>
        <v>31</v>
      </c>
      <c r="BA160" s="60">
        <f t="shared" si="92"/>
        <v>0</v>
      </c>
      <c r="BB160" s="60">
        <f>ROUND(BA160*AZ160*Input!$C$3/365,0)</f>
        <v>0</v>
      </c>
      <c r="BC160" s="61">
        <f>IF($A160&lt;=Input!$C$6,0,IF('Fixed Tenure'!AY160&lt;'Fixed Tenure'!BA160,'Fixed Tenure'!AY160-BB160,'Fixed Tenure'!BA160))</f>
        <v>0</v>
      </c>
      <c r="BD160" s="61">
        <f t="shared" si="93"/>
        <v>0</v>
      </c>
      <c r="BE160" s="60">
        <f t="shared" si="94"/>
        <v>0</v>
      </c>
      <c r="BF160" s="193"/>
      <c r="BG160" s="169">
        <v>156</v>
      </c>
      <c r="BH160" s="1">
        <f t="shared" si="110"/>
        <v>50267</v>
      </c>
      <c r="BI160" s="60">
        <f>IF($X160&lt;Input!$H$103,IF($X160&lt;Input!$G$103,IF($X160&lt;Input!$F$103,IF($X160&lt;Input!$E$103,IF($X160&lt;Input!$D$103,Input!$C$109,Input!$D$109),Input!$E$109),Input!$F$109),Input!$G$109),Input!$H$109)</f>
        <v>0</v>
      </c>
      <c r="BJ160" s="190">
        <f>IF($A160&lt;Input!$H$110,IF($A160&lt;Input!$G$110,IF($A160&lt;Input!$F$110,IF($A160&lt;Input!$E$110,IF($A160&lt;Input!$D$110,Input!$C$111,Input!$D$111),Input!$E$111),Input!$F$111),Input!$G$111),Input!$H$111)</f>
        <v>0.9</v>
      </c>
      <c r="BK160" s="60">
        <f t="shared" si="95"/>
        <v>0</v>
      </c>
      <c r="BL160" s="60">
        <f t="shared" si="111"/>
        <v>31</v>
      </c>
      <c r="BM160" s="60">
        <f t="shared" si="96"/>
        <v>0</v>
      </c>
      <c r="BN160" s="60">
        <f>ROUND(BM160*BL160*Input!$C$3/365,0)</f>
        <v>0</v>
      </c>
      <c r="BO160" s="61">
        <f>IF($A160&lt;=Input!$C$6,0,IF('Fixed Tenure'!BK160&lt;'Fixed Tenure'!BM160,'Fixed Tenure'!BK160-BN160,'Fixed Tenure'!BM160))</f>
        <v>0</v>
      </c>
      <c r="BP160" s="61">
        <f t="shared" si="97"/>
        <v>0</v>
      </c>
      <c r="BQ160" s="60">
        <f t="shared" si="98"/>
        <v>0</v>
      </c>
      <c r="BR160" s="198"/>
    </row>
    <row r="161" spans="1:70" x14ac:dyDescent="0.25">
      <c r="A161" s="169">
        <v>157</v>
      </c>
      <c r="B161" s="1">
        <f t="shared" si="99"/>
        <v>50298</v>
      </c>
      <c r="C161" s="60">
        <f t="shared" si="77"/>
        <v>33127052.878124986</v>
      </c>
      <c r="D161" s="60">
        <f t="shared" si="78"/>
        <v>29814347.590312488</v>
      </c>
      <c r="E161" s="60">
        <f t="shared" si="100"/>
        <v>31</v>
      </c>
      <c r="F161" s="60">
        <f t="shared" si="101"/>
        <v>0</v>
      </c>
      <c r="G161" s="60">
        <f>ROUND(F161*E161*Input!$C$3/365,0)</f>
        <v>0</v>
      </c>
      <c r="H161" s="60">
        <f>IF($A161&lt;=Input!$C$6,0,IF('Fixed Tenure'!D161&lt;'Fixed Tenure'!F161,'Fixed Tenure'!D161-G161,'Fixed Tenure'!F161))</f>
        <v>0</v>
      </c>
      <c r="I161" s="60">
        <f t="shared" si="102"/>
        <v>0</v>
      </c>
      <c r="J161" s="60">
        <f t="shared" si="103"/>
        <v>0</v>
      </c>
      <c r="K161" s="202">
        <f>J161/Input!$K$5</f>
        <v>0</v>
      </c>
      <c r="L161" s="232"/>
      <c r="M161" s="60">
        <f>IF($B161&lt;Input!$H$43,IF($B161&lt;Input!$G$43,IF($B161&lt;Input!$F$43,IF($B161&lt;Input!$E$43,IF($B161&lt;Input!$D$43,Input!$C$49,Input!$D$49),Input!$E$49),Input!$F$49),Input!$G$49),Input!$H$49)</f>
        <v>33127052.878124986</v>
      </c>
      <c r="N161" s="190">
        <f>IF($A161&lt;Input!$H$50,IF($A161&lt;Input!$G$50,IF($A161&lt;Input!$F$50,IF($A161&lt;Input!$E$50,IF($A161&lt;Input!$D$50,Input!$C$51,Input!$D$51),Input!$E$51),Input!$F$51),Input!$G$51),Input!$H$51)</f>
        <v>0.9</v>
      </c>
      <c r="O161" s="60">
        <f t="shared" si="76"/>
        <v>29814347.590312488</v>
      </c>
      <c r="P161" s="60">
        <f t="shared" si="79"/>
        <v>31</v>
      </c>
      <c r="Q161" s="60">
        <f t="shared" si="80"/>
        <v>0</v>
      </c>
      <c r="R161" s="60">
        <f>ROUND(Q161*$P161*Input!$C$3/365,0)</f>
        <v>0</v>
      </c>
      <c r="S161" s="60">
        <f>IF(A161&lt;=Input!$C$6,0,IF('Fixed Tenure'!O161&lt;'Fixed Tenure'!Q161,'Fixed Tenure'!O161-R161,'Fixed Tenure'!Q161))</f>
        <v>0</v>
      </c>
      <c r="T161" s="60">
        <f t="shared" si="81"/>
        <v>0</v>
      </c>
      <c r="U161" s="60">
        <f t="shared" si="82"/>
        <v>0</v>
      </c>
      <c r="V161" s="193"/>
      <c r="W161" s="169">
        <v>157</v>
      </c>
      <c r="X161" s="1">
        <f t="shared" si="104"/>
        <v>50298</v>
      </c>
      <c r="Y161" s="60">
        <f>IF($X161&lt;Input!$H$58,IF($X161&lt;Input!$G$58,IF($X161&lt;Input!$F$58,IF($X161&lt;Input!$E$58,IF($X161&lt;Input!$D$58,Input!$C$64,Input!$D$64),Input!$E$64),Input!$F$64),Input!$G$64),Input!$H$64)</f>
        <v>0</v>
      </c>
      <c r="Z161" s="190">
        <f>IF($A161&lt;Input!$H$65,IF($A161&lt;Input!$G$65,IF($A161&lt;Input!$F$65,IF($A161&lt;Input!$E$65,IF($A161&lt;Input!$D$65,Input!$C$66,Input!$D$66),Input!$E$66),Input!$F$66),Input!$G$66),Input!$H$66)</f>
        <v>0.9</v>
      </c>
      <c r="AA161" s="60">
        <f t="shared" si="83"/>
        <v>0</v>
      </c>
      <c r="AB161" s="60">
        <f t="shared" si="105"/>
        <v>31</v>
      </c>
      <c r="AC161" s="60">
        <f t="shared" si="84"/>
        <v>0</v>
      </c>
      <c r="AD161" s="60">
        <f>ROUND(AC161*AB161*Input!$C$3/365,0)</f>
        <v>0</v>
      </c>
      <c r="AE161" s="61">
        <f>IF($A161&lt;=Input!$C$6,0,IF('Fixed Tenure'!AA161&lt;'Fixed Tenure'!AC161,'Fixed Tenure'!AA161-AD161,'Fixed Tenure'!AC161))</f>
        <v>0</v>
      </c>
      <c r="AF161" s="61">
        <f t="shared" si="85"/>
        <v>0</v>
      </c>
      <c r="AG161" s="60">
        <f t="shared" si="86"/>
        <v>0</v>
      </c>
      <c r="AH161" s="193"/>
      <c r="AI161" s="169">
        <v>157</v>
      </c>
      <c r="AJ161" s="1">
        <f t="shared" si="106"/>
        <v>50298</v>
      </c>
      <c r="AK161" s="60">
        <f>IF($X161&lt;Input!$H$73,IF($X161&lt;Input!$G$73,IF($X161&lt;Input!$F$73,IF($X161&lt;Input!$E$73,IF($X161&lt;Input!$D$73,Input!$C$79,Input!$D$79),Input!$E$79),Input!$F$79),Input!$G$79),Input!$H$79)</f>
        <v>0</v>
      </c>
      <c r="AL161" s="190">
        <f>IF($A161&lt;Input!$H$80,IF($A161&lt;Input!$G$80,IF($A161&lt;Input!$F$80,IF($A161&lt;Input!$E$80,IF($A161&lt;Input!$D$80,Input!$C$81,Input!$D$81),Input!$E$81),Input!$F$81),Input!$G$81),Input!$H$81)</f>
        <v>0.9</v>
      </c>
      <c r="AM161" s="60">
        <f t="shared" si="87"/>
        <v>0</v>
      </c>
      <c r="AN161" s="60">
        <f t="shared" si="107"/>
        <v>31</v>
      </c>
      <c r="AO161" s="60">
        <f t="shared" si="88"/>
        <v>0</v>
      </c>
      <c r="AP161" s="60">
        <f>ROUND(AO161*AN161*Input!$C$3/365,0)</f>
        <v>0</v>
      </c>
      <c r="AQ161" s="61">
        <f>IF($A161&lt;=Input!$C$6,0,IF('Fixed Tenure'!AM161&lt;'Fixed Tenure'!AO161,'Fixed Tenure'!AM161-AP161,'Fixed Tenure'!AO161))</f>
        <v>0</v>
      </c>
      <c r="AR161" s="61">
        <f t="shared" si="89"/>
        <v>0</v>
      </c>
      <c r="AS161" s="60">
        <f t="shared" si="90"/>
        <v>0</v>
      </c>
      <c r="AT161" s="193"/>
      <c r="AU161" s="169">
        <v>157</v>
      </c>
      <c r="AV161" s="1">
        <f t="shared" si="108"/>
        <v>50298</v>
      </c>
      <c r="AW161" s="60">
        <f>IF($X161&lt;Input!$H$88,IF($X161&lt;Input!$G$88,IF($X161&lt;Input!$F$88,IF($X161&lt;Input!$E$88,IF($X161&lt;Input!$D$88,Input!$C$94,Input!$D$94),Input!$E$94),Input!$F$94),Input!$G$94),Input!$H$94)</f>
        <v>0</v>
      </c>
      <c r="AX161" s="190">
        <f>IF($A161&lt;Input!$H$95,IF($A161&lt;Input!$G$95,IF($A161&lt;Input!$F$95,IF($A161&lt;Input!$E$95,IF($A161&lt;Input!$D$95,Input!$C$96,Input!$D$96),Input!$E$96),Input!$F$96),Input!$G$96),Input!$H$96)</f>
        <v>0.9</v>
      </c>
      <c r="AY161" s="60">
        <f t="shared" si="91"/>
        <v>0</v>
      </c>
      <c r="AZ161" s="60">
        <f t="shared" si="109"/>
        <v>31</v>
      </c>
      <c r="BA161" s="60">
        <f t="shared" si="92"/>
        <v>0</v>
      </c>
      <c r="BB161" s="60">
        <f>ROUND(BA161*AZ161*Input!$C$3/365,0)</f>
        <v>0</v>
      </c>
      <c r="BC161" s="61">
        <f>IF($A161&lt;=Input!$C$6,0,IF('Fixed Tenure'!AY161&lt;'Fixed Tenure'!BA161,'Fixed Tenure'!AY161-BB161,'Fixed Tenure'!BA161))</f>
        <v>0</v>
      </c>
      <c r="BD161" s="61">
        <f t="shared" si="93"/>
        <v>0</v>
      </c>
      <c r="BE161" s="60">
        <f t="shared" si="94"/>
        <v>0</v>
      </c>
      <c r="BF161" s="193"/>
      <c r="BG161" s="169">
        <v>157</v>
      </c>
      <c r="BH161" s="1">
        <f t="shared" si="110"/>
        <v>50298</v>
      </c>
      <c r="BI161" s="60">
        <f>IF($X161&lt;Input!$H$103,IF($X161&lt;Input!$G$103,IF($X161&lt;Input!$F$103,IF($X161&lt;Input!$E$103,IF($X161&lt;Input!$D$103,Input!$C$109,Input!$D$109),Input!$E$109),Input!$F$109),Input!$G$109),Input!$H$109)</f>
        <v>0</v>
      </c>
      <c r="BJ161" s="190">
        <f>IF($A161&lt;Input!$H$110,IF($A161&lt;Input!$G$110,IF($A161&lt;Input!$F$110,IF($A161&lt;Input!$E$110,IF($A161&lt;Input!$D$110,Input!$C$111,Input!$D$111),Input!$E$111),Input!$F$111),Input!$G$111),Input!$H$111)</f>
        <v>0.9</v>
      </c>
      <c r="BK161" s="60">
        <f t="shared" si="95"/>
        <v>0</v>
      </c>
      <c r="BL161" s="60">
        <f t="shared" si="111"/>
        <v>31</v>
      </c>
      <c r="BM161" s="60">
        <f t="shared" si="96"/>
        <v>0</v>
      </c>
      <c r="BN161" s="60">
        <f>ROUND(BM161*BL161*Input!$C$3/365,0)</f>
        <v>0</v>
      </c>
      <c r="BO161" s="61">
        <f>IF($A161&lt;=Input!$C$6,0,IF('Fixed Tenure'!BK161&lt;'Fixed Tenure'!BM161,'Fixed Tenure'!BK161-BN161,'Fixed Tenure'!BM161))</f>
        <v>0</v>
      </c>
      <c r="BP161" s="61">
        <f t="shared" si="97"/>
        <v>0</v>
      </c>
      <c r="BQ161" s="60">
        <f t="shared" si="98"/>
        <v>0</v>
      </c>
      <c r="BR161" s="198"/>
    </row>
    <row r="162" spans="1:70" x14ac:dyDescent="0.25">
      <c r="A162" s="169">
        <v>158</v>
      </c>
      <c r="B162" s="1">
        <f t="shared" si="99"/>
        <v>50328</v>
      </c>
      <c r="C162" s="60">
        <f t="shared" si="77"/>
        <v>33127052.878124986</v>
      </c>
      <c r="D162" s="60">
        <f t="shared" si="78"/>
        <v>29814347.590312488</v>
      </c>
      <c r="E162" s="60">
        <f t="shared" si="100"/>
        <v>30</v>
      </c>
      <c r="F162" s="60">
        <f t="shared" si="101"/>
        <v>0</v>
      </c>
      <c r="G162" s="60">
        <f>ROUND(F162*E162*Input!$C$3/365,0)</f>
        <v>0</v>
      </c>
      <c r="H162" s="60">
        <f>IF($A162&lt;=Input!$C$6,0,IF('Fixed Tenure'!D162&lt;'Fixed Tenure'!F162,'Fixed Tenure'!D162-G162,'Fixed Tenure'!F162))</f>
        <v>0</v>
      </c>
      <c r="I162" s="60">
        <f t="shared" si="102"/>
        <v>0</v>
      </c>
      <c r="J162" s="60">
        <f t="shared" si="103"/>
        <v>0</v>
      </c>
      <c r="K162" s="202">
        <f>J162/Input!$K$5</f>
        <v>0</v>
      </c>
      <c r="L162" s="232"/>
      <c r="M162" s="60">
        <f>IF($B162&lt;Input!$H$43,IF($B162&lt;Input!$G$43,IF($B162&lt;Input!$F$43,IF($B162&lt;Input!$E$43,IF($B162&lt;Input!$D$43,Input!$C$49,Input!$D$49),Input!$E$49),Input!$F$49),Input!$G$49),Input!$H$49)</f>
        <v>33127052.878124986</v>
      </c>
      <c r="N162" s="190">
        <f>IF($A162&lt;Input!$H$50,IF($A162&lt;Input!$G$50,IF($A162&lt;Input!$F$50,IF($A162&lt;Input!$E$50,IF($A162&lt;Input!$D$50,Input!$C$51,Input!$D$51),Input!$E$51),Input!$F$51),Input!$G$51),Input!$H$51)</f>
        <v>0.9</v>
      </c>
      <c r="O162" s="60">
        <f t="shared" si="76"/>
        <v>29814347.590312488</v>
      </c>
      <c r="P162" s="60">
        <f t="shared" si="79"/>
        <v>30</v>
      </c>
      <c r="Q162" s="60">
        <f t="shared" si="80"/>
        <v>0</v>
      </c>
      <c r="R162" s="60">
        <f>ROUND(Q162*$P162*Input!$C$3/365,0)</f>
        <v>0</v>
      </c>
      <c r="S162" s="60">
        <f>IF(A162&lt;=Input!$C$6,0,IF('Fixed Tenure'!O162&lt;'Fixed Tenure'!Q162,'Fixed Tenure'!O162-R162,'Fixed Tenure'!Q162))</f>
        <v>0</v>
      </c>
      <c r="T162" s="60">
        <f t="shared" si="81"/>
        <v>0</v>
      </c>
      <c r="U162" s="60">
        <f t="shared" si="82"/>
        <v>0</v>
      </c>
      <c r="V162" s="193"/>
      <c r="W162" s="169">
        <v>158</v>
      </c>
      <c r="X162" s="1">
        <f t="shared" si="104"/>
        <v>50328</v>
      </c>
      <c r="Y162" s="60">
        <f>IF($X162&lt;Input!$H$58,IF($X162&lt;Input!$G$58,IF($X162&lt;Input!$F$58,IF($X162&lt;Input!$E$58,IF($X162&lt;Input!$D$58,Input!$C$64,Input!$D$64),Input!$E$64),Input!$F$64),Input!$G$64),Input!$H$64)</f>
        <v>0</v>
      </c>
      <c r="Z162" s="190">
        <f>IF($A162&lt;Input!$H$65,IF($A162&lt;Input!$G$65,IF($A162&lt;Input!$F$65,IF($A162&lt;Input!$E$65,IF($A162&lt;Input!$D$65,Input!$C$66,Input!$D$66),Input!$E$66),Input!$F$66),Input!$G$66),Input!$H$66)</f>
        <v>0.9</v>
      </c>
      <c r="AA162" s="60">
        <f t="shared" si="83"/>
        <v>0</v>
      </c>
      <c r="AB162" s="60">
        <f t="shared" si="105"/>
        <v>30</v>
      </c>
      <c r="AC162" s="60">
        <f t="shared" si="84"/>
        <v>0</v>
      </c>
      <c r="AD162" s="60">
        <f>ROUND(AC162*AB162*Input!$C$3/365,0)</f>
        <v>0</v>
      </c>
      <c r="AE162" s="61">
        <f>IF($A162&lt;=Input!$C$6,0,IF('Fixed Tenure'!AA162&lt;'Fixed Tenure'!AC162,'Fixed Tenure'!AA162-AD162,'Fixed Tenure'!AC162))</f>
        <v>0</v>
      </c>
      <c r="AF162" s="61">
        <f t="shared" si="85"/>
        <v>0</v>
      </c>
      <c r="AG162" s="60">
        <f t="shared" si="86"/>
        <v>0</v>
      </c>
      <c r="AH162" s="193"/>
      <c r="AI162" s="169">
        <v>158</v>
      </c>
      <c r="AJ162" s="1">
        <f t="shared" si="106"/>
        <v>50328</v>
      </c>
      <c r="AK162" s="60">
        <f>IF($X162&lt;Input!$H$73,IF($X162&lt;Input!$G$73,IF($X162&lt;Input!$F$73,IF($X162&lt;Input!$E$73,IF($X162&lt;Input!$D$73,Input!$C$79,Input!$D$79),Input!$E$79),Input!$F$79),Input!$G$79),Input!$H$79)</f>
        <v>0</v>
      </c>
      <c r="AL162" s="190">
        <f>IF($A162&lt;Input!$H$80,IF($A162&lt;Input!$G$80,IF($A162&lt;Input!$F$80,IF($A162&lt;Input!$E$80,IF($A162&lt;Input!$D$80,Input!$C$81,Input!$D$81),Input!$E$81),Input!$F$81),Input!$G$81),Input!$H$81)</f>
        <v>0.9</v>
      </c>
      <c r="AM162" s="60">
        <f t="shared" si="87"/>
        <v>0</v>
      </c>
      <c r="AN162" s="60">
        <f t="shared" si="107"/>
        <v>30</v>
      </c>
      <c r="AO162" s="60">
        <f t="shared" si="88"/>
        <v>0</v>
      </c>
      <c r="AP162" s="60">
        <f>ROUND(AO162*AN162*Input!$C$3/365,0)</f>
        <v>0</v>
      </c>
      <c r="AQ162" s="61">
        <f>IF($A162&lt;=Input!$C$6,0,IF('Fixed Tenure'!AM162&lt;'Fixed Tenure'!AO162,'Fixed Tenure'!AM162-AP162,'Fixed Tenure'!AO162))</f>
        <v>0</v>
      </c>
      <c r="AR162" s="61">
        <f t="shared" si="89"/>
        <v>0</v>
      </c>
      <c r="AS162" s="60">
        <f t="shared" si="90"/>
        <v>0</v>
      </c>
      <c r="AT162" s="193"/>
      <c r="AU162" s="169">
        <v>158</v>
      </c>
      <c r="AV162" s="1">
        <f t="shared" si="108"/>
        <v>50328</v>
      </c>
      <c r="AW162" s="60">
        <f>IF($X162&lt;Input!$H$88,IF($X162&lt;Input!$G$88,IF($X162&lt;Input!$F$88,IF($X162&lt;Input!$E$88,IF($X162&lt;Input!$D$88,Input!$C$94,Input!$D$94),Input!$E$94),Input!$F$94),Input!$G$94),Input!$H$94)</f>
        <v>0</v>
      </c>
      <c r="AX162" s="190">
        <f>IF($A162&lt;Input!$H$95,IF($A162&lt;Input!$G$95,IF($A162&lt;Input!$F$95,IF($A162&lt;Input!$E$95,IF($A162&lt;Input!$D$95,Input!$C$96,Input!$D$96),Input!$E$96),Input!$F$96),Input!$G$96),Input!$H$96)</f>
        <v>0.9</v>
      </c>
      <c r="AY162" s="60">
        <f t="shared" si="91"/>
        <v>0</v>
      </c>
      <c r="AZ162" s="60">
        <f t="shared" si="109"/>
        <v>30</v>
      </c>
      <c r="BA162" s="60">
        <f t="shared" si="92"/>
        <v>0</v>
      </c>
      <c r="BB162" s="60">
        <f>ROUND(BA162*AZ162*Input!$C$3/365,0)</f>
        <v>0</v>
      </c>
      <c r="BC162" s="61">
        <f>IF($A162&lt;=Input!$C$6,0,IF('Fixed Tenure'!AY162&lt;'Fixed Tenure'!BA162,'Fixed Tenure'!AY162-BB162,'Fixed Tenure'!BA162))</f>
        <v>0</v>
      </c>
      <c r="BD162" s="61">
        <f t="shared" si="93"/>
        <v>0</v>
      </c>
      <c r="BE162" s="60">
        <f t="shared" si="94"/>
        <v>0</v>
      </c>
      <c r="BF162" s="193"/>
      <c r="BG162" s="169">
        <v>158</v>
      </c>
      <c r="BH162" s="1">
        <f t="shared" si="110"/>
        <v>50328</v>
      </c>
      <c r="BI162" s="60">
        <f>IF($X162&lt;Input!$H$103,IF($X162&lt;Input!$G$103,IF($X162&lt;Input!$F$103,IF($X162&lt;Input!$E$103,IF($X162&lt;Input!$D$103,Input!$C$109,Input!$D$109),Input!$E$109),Input!$F$109),Input!$G$109),Input!$H$109)</f>
        <v>0</v>
      </c>
      <c r="BJ162" s="190">
        <f>IF($A162&lt;Input!$H$110,IF($A162&lt;Input!$G$110,IF($A162&lt;Input!$F$110,IF($A162&lt;Input!$E$110,IF($A162&lt;Input!$D$110,Input!$C$111,Input!$D$111),Input!$E$111),Input!$F$111),Input!$G$111),Input!$H$111)</f>
        <v>0.9</v>
      </c>
      <c r="BK162" s="60">
        <f t="shared" si="95"/>
        <v>0</v>
      </c>
      <c r="BL162" s="60">
        <f t="shared" si="111"/>
        <v>30</v>
      </c>
      <c r="BM162" s="60">
        <f t="shared" si="96"/>
        <v>0</v>
      </c>
      <c r="BN162" s="60">
        <f>ROUND(BM162*BL162*Input!$C$3/365,0)</f>
        <v>0</v>
      </c>
      <c r="BO162" s="61">
        <f>IF($A162&lt;=Input!$C$6,0,IF('Fixed Tenure'!BK162&lt;'Fixed Tenure'!BM162,'Fixed Tenure'!BK162-BN162,'Fixed Tenure'!BM162))</f>
        <v>0</v>
      </c>
      <c r="BP162" s="61">
        <f t="shared" si="97"/>
        <v>0</v>
      </c>
      <c r="BQ162" s="60">
        <f t="shared" si="98"/>
        <v>0</v>
      </c>
      <c r="BR162" s="198"/>
    </row>
    <row r="163" spans="1:70" x14ac:dyDescent="0.25">
      <c r="A163" s="169">
        <v>159</v>
      </c>
      <c r="B163" s="1">
        <f t="shared" si="99"/>
        <v>50359</v>
      </c>
      <c r="C163" s="60">
        <f t="shared" si="77"/>
        <v>33127052.878124986</v>
      </c>
      <c r="D163" s="60">
        <f t="shared" si="78"/>
        <v>29814347.590312488</v>
      </c>
      <c r="E163" s="60">
        <f t="shared" si="100"/>
        <v>31</v>
      </c>
      <c r="F163" s="60">
        <f t="shared" si="101"/>
        <v>0</v>
      </c>
      <c r="G163" s="60">
        <f>ROUND(F163*E163*Input!$C$3/365,0)</f>
        <v>0</v>
      </c>
      <c r="H163" s="60">
        <f>IF($A163&lt;=Input!$C$6,0,IF('Fixed Tenure'!D163&lt;'Fixed Tenure'!F163,'Fixed Tenure'!D163-G163,'Fixed Tenure'!F163))</f>
        <v>0</v>
      </c>
      <c r="I163" s="60">
        <f t="shared" si="102"/>
        <v>0</v>
      </c>
      <c r="J163" s="60">
        <f t="shared" si="103"/>
        <v>0</v>
      </c>
      <c r="K163" s="202">
        <f>J163/Input!$K$5</f>
        <v>0</v>
      </c>
      <c r="L163" s="232"/>
      <c r="M163" s="60">
        <f>IF($B163&lt;Input!$H$43,IF($B163&lt;Input!$G$43,IF($B163&lt;Input!$F$43,IF($B163&lt;Input!$E$43,IF($B163&lt;Input!$D$43,Input!$C$49,Input!$D$49),Input!$E$49),Input!$F$49),Input!$G$49),Input!$H$49)</f>
        <v>33127052.878124986</v>
      </c>
      <c r="N163" s="190">
        <f>IF($A163&lt;Input!$H$50,IF($A163&lt;Input!$G$50,IF($A163&lt;Input!$F$50,IF($A163&lt;Input!$E$50,IF($A163&lt;Input!$D$50,Input!$C$51,Input!$D$51),Input!$E$51),Input!$F$51),Input!$G$51),Input!$H$51)</f>
        <v>0.9</v>
      </c>
      <c r="O163" s="60">
        <f t="shared" si="76"/>
        <v>29814347.590312488</v>
      </c>
      <c r="P163" s="60">
        <f t="shared" si="79"/>
        <v>31</v>
      </c>
      <c r="Q163" s="60">
        <f t="shared" si="80"/>
        <v>0</v>
      </c>
      <c r="R163" s="60">
        <f>ROUND(Q163*$P163*Input!$C$3/365,0)</f>
        <v>0</v>
      </c>
      <c r="S163" s="60">
        <f>IF(A163&lt;=Input!$C$6,0,IF('Fixed Tenure'!O163&lt;'Fixed Tenure'!Q163,'Fixed Tenure'!O163-R163,'Fixed Tenure'!Q163))</f>
        <v>0</v>
      </c>
      <c r="T163" s="60">
        <f t="shared" si="81"/>
        <v>0</v>
      </c>
      <c r="U163" s="60">
        <f t="shared" si="82"/>
        <v>0</v>
      </c>
      <c r="V163" s="193"/>
      <c r="W163" s="169">
        <v>159</v>
      </c>
      <c r="X163" s="1">
        <f t="shared" si="104"/>
        <v>50359</v>
      </c>
      <c r="Y163" s="60">
        <f>IF($X163&lt;Input!$H$58,IF($X163&lt;Input!$G$58,IF($X163&lt;Input!$F$58,IF($X163&lt;Input!$E$58,IF($X163&lt;Input!$D$58,Input!$C$64,Input!$D$64),Input!$E$64),Input!$F$64),Input!$G$64),Input!$H$64)</f>
        <v>0</v>
      </c>
      <c r="Z163" s="190">
        <f>IF($A163&lt;Input!$H$65,IF($A163&lt;Input!$G$65,IF($A163&lt;Input!$F$65,IF($A163&lt;Input!$E$65,IF($A163&lt;Input!$D$65,Input!$C$66,Input!$D$66),Input!$E$66),Input!$F$66),Input!$G$66),Input!$H$66)</f>
        <v>0.9</v>
      </c>
      <c r="AA163" s="60">
        <f t="shared" si="83"/>
        <v>0</v>
      </c>
      <c r="AB163" s="60">
        <f t="shared" si="105"/>
        <v>31</v>
      </c>
      <c r="AC163" s="60">
        <f t="shared" si="84"/>
        <v>0</v>
      </c>
      <c r="AD163" s="60">
        <f>ROUND(AC163*AB163*Input!$C$3/365,0)</f>
        <v>0</v>
      </c>
      <c r="AE163" s="61">
        <f>IF($A163&lt;=Input!$C$6,0,IF('Fixed Tenure'!AA163&lt;'Fixed Tenure'!AC163,'Fixed Tenure'!AA163-AD163,'Fixed Tenure'!AC163))</f>
        <v>0</v>
      </c>
      <c r="AF163" s="61">
        <f t="shared" si="85"/>
        <v>0</v>
      </c>
      <c r="AG163" s="60">
        <f t="shared" si="86"/>
        <v>0</v>
      </c>
      <c r="AH163" s="193"/>
      <c r="AI163" s="169">
        <v>159</v>
      </c>
      <c r="AJ163" s="1">
        <f t="shared" si="106"/>
        <v>50359</v>
      </c>
      <c r="AK163" s="60">
        <f>IF($X163&lt;Input!$H$73,IF($X163&lt;Input!$G$73,IF($X163&lt;Input!$F$73,IF($X163&lt;Input!$E$73,IF($X163&lt;Input!$D$73,Input!$C$79,Input!$D$79),Input!$E$79),Input!$F$79),Input!$G$79),Input!$H$79)</f>
        <v>0</v>
      </c>
      <c r="AL163" s="190">
        <f>IF($A163&lt;Input!$H$80,IF($A163&lt;Input!$G$80,IF($A163&lt;Input!$F$80,IF($A163&lt;Input!$E$80,IF($A163&lt;Input!$D$80,Input!$C$81,Input!$D$81),Input!$E$81),Input!$F$81),Input!$G$81),Input!$H$81)</f>
        <v>0.9</v>
      </c>
      <c r="AM163" s="60">
        <f t="shared" si="87"/>
        <v>0</v>
      </c>
      <c r="AN163" s="60">
        <f t="shared" si="107"/>
        <v>31</v>
      </c>
      <c r="AO163" s="60">
        <f t="shared" si="88"/>
        <v>0</v>
      </c>
      <c r="AP163" s="60">
        <f>ROUND(AO163*AN163*Input!$C$3/365,0)</f>
        <v>0</v>
      </c>
      <c r="AQ163" s="61">
        <f>IF($A163&lt;=Input!$C$6,0,IF('Fixed Tenure'!AM163&lt;'Fixed Tenure'!AO163,'Fixed Tenure'!AM163-AP163,'Fixed Tenure'!AO163))</f>
        <v>0</v>
      </c>
      <c r="AR163" s="61">
        <f t="shared" si="89"/>
        <v>0</v>
      </c>
      <c r="AS163" s="60">
        <f t="shared" si="90"/>
        <v>0</v>
      </c>
      <c r="AT163" s="193"/>
      <c r="AU163" s="169">
        <v>159</v>
      </c>
      <c r="AV163" s="1">
        <f t="shared" si="108"/>
        <v>50359</v>
      </c>
      <c r="AW163" s="60">
        <f>IF($X163&lt;Input!$H$88,IF($X163&lt;Input!$G$88,IF($X163&lt;Input!$F$88,IF($X163&lt;Input!$E$88,IF($X163&lt;Input!$D$88,Input!$C$94,Input!$D$94),Input!$E$94),Input!$F$94),Input!$G$94),Input!$H$94)</f>
        <v>0</v>
      </c>
      <c r="AX163" s="190">
        <f>IF($A163&lt;Input!$H$95,IF($A163&lt;Input!$G$95,IF($A163&lt;Input!$F$95,IF($A163&lt;Input!$E$95,IF($A163&lt;Input!$D$95,Input!$C$96,Input!$D$96),Input!$E$96),Input!$F$96),Input!$G$96),Input!$H$96)</f>
        <v>0.9</v>
      </c>
      <c r="AY163" s="60">
        <f t="shared" si="91"/>
        <v>0</v>
      </c>
      <c r="AZ163" s="60">
        <f t="shared" si="109"/>
        <v>31</v>
      </c>
      <c r="BA163" s="60">
        <f t="shared" si="92"/>
        <v>0</v>
      </c>
      <c r="BB163" s="60">
        <f>ROUND(BA163*AZ163*Input!$C$3/365,0)</f>
        <v>0</v>
      </c>
      <c r="BC163" s="61">
        <f>IF($A163&lt;=Input!$C$6,0,IF('Fixed Tenure'!AY163&lt;'Fixed Tenure'!BA163,'Fixed Tenure'!AY163-BB163,'Fixed Tenure'!BA163))</f>
        <v>0</v>
      </c>
      <c r="BD163" s="61">
        <f t="shared" si="93"/>
        <v>0</v>
      </c>
      <c r="BE163" s="60">
        <f t="shared" si="94"/>
        <v>0</v>
      </c>
      <c r="BF163" s="193"/>
      <c r="BG163" s="169">
        <v>159</v>
      </c>
      <c r="BH163" s="1">
        <f t="shared" si="110"/>
        <v>50359</v>
      </c>
      <c r="BI163" s="60">
        <f>IF($X163&lt;Input!$H$103,IF($X163&lt;Input!$G$103,IF($X163&lt;Input!$F$103,IF($X163&lt;Input!$E$103,IF($X163&lt;Input!$D$103,Input!$C$109,Input!$D$109),Input!$E$109),Input!$F$109),Input!$G$109),Input!$H$109)</f>
        <v>0</v>
      </c>
      <c r="BJ163" s="190">
        <f>IF($A163&lt;Input!$H$110,IF($A163&lt;Input!$G$110,IF($A163&lt;Input!$F$110,IF($A163&lt;Input!$E$110,IF($A163&lt;Input!$D$110,Input!$C$111,Input!$D$111),Input!$E$111),Input!$F$111),Input!$G$111),Input!$H$111)</f>
        <v>0.9</v>
      </c>
      <c r="BK163" s="60">
        <f t="shared" si="95"/>
        <v>0</v>
      </c>
      <c r="BL163" s="60">
        <f t="shared" si="111"/>
        <v>31</v>
      </c>
      <c r="BM163" s="60">
        <f t="shared" si="96"/>
        <v>0</v>
      </c>
      <c r="BN163" s="60">
        <f>ROUND(BM163*BL163*Input!$C$3/365,0)</f>
        <v>0</v>
      </c>
      <c r="BO163" s="61">
        <f>IF($A163&lt;=Input!$C$6,0,IF('Fixed Tenure'!BK163&lt;'Fixed Tenure'!BM163,'Fixed Tenure'!BK163-BN163,'Fixed Tenure'!BM163))</f>
        <v>0</v>
      </c>
      <c r="BP163" s="61">
        <f t="shared" si="97"/>
        <v>0</v>
      </c>
      <c r="BQ163" s="60">
        <f t="shared" si="98"/>
        <v>0</v>
      </c>
      <c r="BR163" s="198"/>
    </row>
    <row r="164" spans="1:70" x14ac:dyDescent="0.25">
      <c r="A164" s="169">
        <v>160</v>
      </c>
      <c r="B164" s="1">
        <f t="shared" si="99"/>
        <v>50389</v>
      </c>
      <c r="C164" s="60">
        <f t="shared" si="77"/>
        <v>33127052.878124986</v>
      </c>
      <c r="D164" s="60">
        <f t="shared" si="78"/>
        <v>29814347.590312488</v>
      </c>
      <c r="E164" s="60">
        <f t="shared" si="100"/>
        <v>30</v>
      </c>
      <c r="F164" s="60">
        <f t="shared" si="101"/>
        <v>0</v>
      </c>
      <c r="G164" s="60">
        <f>ROUND(F164*E164*Input!$C$3/365,0)</f>
        <v>0</v>
      </c>
      <c r="H164" s="60">
        <f>IF($A164&lt;=Input!$C$6,0,IF('Fixed Tenure'!D164&lt;'Fixed Tenure'!F164,'Fixed Tenure'!D164-G164,'Fixed Tenure'!F164))</f>
        <v>0</v>
      </c>
      <c r="I164" s="60">
        <f t="shared" si="102"/>
        <v>0</v>
      </c>
      <c r="J164" s="60">
        <f t="shared" si="103"/>
        <v>0</v>
      </c>
      <c r="K164" s="202">
        <f>J164/Input!$K$5</f>
        <v>0</v>
      </c>
      <c r="L164" s="232"/>
      <c r="M164" s="60">
        <f>IF($B164&lt;Input!$H$43,IF($B164&lt;Input!$G$43,IF($B164&lt;Input!$F$43,IF($B164&lt;Input!$E$43,IF($B164&lt;Input!$D$43,Input!$C$49,Input!$D$49),Input!$E$49),Input!$F$49),Input!$G$49),Input!$H$49)</f>
        <v>33127052.878124986</v>
      </c>
      <c r="N164" s="190">
        <f>IF($A164&lt;Input!$H$50,IF($A164&lt;Input!$G$50,IF($A164&lt;Input!$F$50,IF($A164&lt;Input!$E$50,IF($A164&lt;Input!$D$50,Input!$C$51,Input!$D$51),Input!$E$51),Input!$F$51),Input!$G$51),Input!$H$51)</f>
        <v>0.9</v>
      </c>
      <c r="O164" s="60">
        <f t="shared" ref="O164:O184" si="112">M164*N164</f>
        <v>29814347.590312488</v>
      </c>
      <c r="P164" s="60">
        <f t="shared" si="79"/>
        <v>30</v>
      </c>
      <c r="Q164" s="60">
        <f t="shared" si="80"/>
        <v>0</v>
      </c>
      <c r="R164" s="60">
        <f>ROUND(Q164*$P164*Input!$C$3/365,0)</f>
        <v>0</v>
      </c>
      <c r="S164" s="60">
        <f>IF(A164&lt;=Input!$C$6,0,IF('Fixed Tenure'!O164&lt;'Fixed Tenure'!Q164,'Fixed Tenure'!O164-R164,'Fixed Tenure'!Q164))</f>
        <v>0</v>
      </c>
      <c r="T164" s="60">
        <f t="shared" si="81"/>
        <v>0</v>
      </c>
      <c r="U164" s="60">
        <f t="shared" si="82"/>
        <v>0</v>
      </c>
      <c r="V164" s="193"/>
      <c r="W164" s="169">
        <v>160</v>
      </c>
      <c r="X164" s="1">
        <f t="shared" si="104"/>
        <v>50389</v>
      </c>
      <c r="Y164" s="60">
        <f>IF($X164&lt;Input!$H$58,IF($X164&lt;Input!$G$58,IF($X164&lt;Input!$F$58,IF($X164&lt;Input!$E$58,IF($X164&lt;Input!$D$58,Input!$C$64,Input!$D$64),Input!$E$64),Input!$F$64),Input!$G$64),Input!$H$64)</f>
        <v>0</v>
      </c>
      <c r="Z164" s="190">
        <f>IF($A164&lt;Input!$H$65,IF($A164&lt;Input!$G$65,IF($A164&lt;Input!$F$65,IF($A164&lt;Input!$E$65,IF($A164&lt;Input!$D$65,Input!$C$66,Input!$D$66),Input!$E$66),Input!$F$66),Input!$G$66),Input!$H$66)</f>
        <v>0.9</v>
      </c>
      <c r="AA164" s="60">
        <f t="shared" si="83"/>
        <v>0</v>
      </c>
      <c r="AB164" s="60">
        <f t="shared" si="105"/>
        <v>30</v>
      </c>
      <c r="AC164" s="60">
        <f t="shared" si="84"/>
        <v>0</v>
      </c>
      <c r="AD164" s="60">
        <f>ROUND(AC164*AB164*Input!$C$3/365,0)</f>
        <v>0</v>
      </c>
      <c r="AE164" s="61">
        <f>IF($A164&lt;=Input!$C$6,0,IF('Fixed Tenure'!AA164&lt;'Fixed Tenure'!AC164,'Fixed Tenure'!AA164-AD164,'Fixed Tenure'!AC164))</f>
        <v>0</v>
      </c>
      <c r="AF164" s="61">
        <f t="shared" si="85"/>
        <v>0</v>
      </c>
      <c r="AG164" s="60">
        <f t="shared" si="86"/>
        <v>0</v>
      </c>
      <c r="AH164" s="193"/>
      <c r="AI164" s="169">
        <v>160</v>
      </c>
      <c r="AJ164" s="1">
        <f t="shared" si="106"/>
        <v>50389</v>
      </c>
      <c r="AK164" s="60">
        <f>IF($X164&lt;Input!$H$73,IF($X164&lt;Input!$G$73,IF($X164&lt;Input!$F$73,IF($X164&lt;Input!$E$73,IF($X164&lt;Input!$D$73,Input!$C$79,Input!$D$79),Input!$E$79),Input!$F$79),Input!$G$79),Input!$H$79)</f>
        <v>0</v>
      </c>
      <c r="AL164" s="190">
        <f>IF($A164&lt;Input!$H$80,IF($A164&lt;Input!$G$80,IF($A164&lt;Input!$F$80,IF($A164&lt;Input!$E$80,IF($A164&lt;Input!$D$80,Input!$C$81,Input!$D$81),Input!$E$81),Input!$F$81),Input!$G$81),Input!$H$81)</f>
        <v>0.9</v>
      </c>
      <c r="AM164" s="60">
        <f t="shared" si="87"/>
        <v>0</v>
      </c>
      <c r="AN164" s="60">
        <f t="shared" si="107"/>
        <v>30</v>
      </c>
      <c r="AO164" s="60">
        <f t="shared" si="88"/>
        <v>0</v>
      </c>
      <c r="AP164" s="60">
        <f>ROUND(AO164*AN164*Input!$C$3/365,0)</f>
        <v>0</v>
      </c>
      <c r="AQ164" s="61">
        <f>IF($A164&lt;=Input!$C$6,0,IF('Fixed Tenure'!AM164&lt;'Fixed Tenure'!AO164,'Fixed Tenure'!AM164-AP164,'Fixed Tenure'!AO164))</f>
        <v>0</v>
      </c>
      <c r="AR164" s="61">
        <f t="shared" si="89"/>
        <v>0</v>
      </c>
      <c r="AS164" s="60">
        <f t="shared" si="90"/>
        <v>0</v>
      </c>
      <c r="AT164" s="193"/>
      <c r="AU164" s="169">
        <v>160</v>
      </c>
      <c r="AV164" s="1">
        <f t="shared" si="108"/>
        <v>50389</v>
      </c>
      <c r="AW164" s="60">
        <f>IF($X164&lt;Input!$H$88,IF($X164&lt;Input!$G$88,IF($X164&lt;Input!$F$88,IF($X164&lt;Input!$E$88,IF($X164&lt;Input!$D$88,Input!$C$94,Input!$D$94),Input!$E$94),Input!$F$94),Input!$G$94),Input!$H$94)</f>
        <v>0</v>
      </c>
      <c r="AX164" s="190">
        <f>IF($A164&lt;Input!$H$95,IF($A164&lt;Input!$G$95,IF($A164&lt;Input!$F$95,IF($A164&lt;Input!$E$95,IF($A164&lt;Input!$D$95,Input!$C$96,Input!$D$96),Input!$E$96),Input!$F$96),Input!$G$96),Input!$H$96)</f>
        <v>0.9</v>
      </c>
      <c r="AY164" s="60">
        <f t="shared" si="91"/>
        <v>0</v>
      </c>
      <c r="AZ164" s="60">
        <f t="shared" si="109"/>
        <v>30</v>
      </c>
      <c r="BA164" s="60">
        <f t="shared" si="92"/>
        <v>0</v>
      </c>
      <c r="BB164" s="60">
        <f>ROUND(BA164*AZ164*Input!$C$3/365,0)</f>
        <v>0</v>
      </c>
      <c r="BC164" s="61">
        <f>IF($A164&lt;=Input!$C$6,0,IF('Fixed Tenure'!AY164&lt;'Fixed Tenure'!BA164,'Fixed Tenure'!AY164-BB164,'Fixed Tenure'!BA164))</f>
        <v>0</v>
      </c>
      <c r="BD164" s="61">
        <f t="shared" si="93"/>
        <v>0</v>
      </c>
      <c r="BE164" s="60">
        <f t="shared" si="94"/>
        <v>0</v>
      </c>
      <c r="BF164" s="193"/>
      <c r="BG164" s="169">
        <v>160</v>
      </c>
      <c r="BH164" s="1">
        <f t="shared" si="110"/>
        <v>50389</v>
      </c>
      <c r="BI164" s="60">
        <f>IF($X164&lt;Input!$H$103,IF($X164&lt;Input!$G$103,IF($X164&lt;Input!$F$103,IF($X164&lt;Input!$E$103,IF($X164&lt;Input!$D$103,Input!$C$109,Input!$D$109),Input!$E$109),Input!$F$109),Input!$G$109),Input!$H$109)</f>
        <v>0</v>
      </c>
      <c r="BJ164" s="190">
        <f>IF($A164&lt;Input!$H$110,IF($A164&lt;Input!$G$110,IF($A164&lt;Input!$F$110,IF($A164&lt;Input!$E$110,IF($A164&lt;Input!$D$110,Input!$C$111,Input!$D$111),Input!$E$111),Input!$F$111),Input!$G$111),Input!$H$111)</f>
        <v>0.9</v>
      </c>
      <c r="BK164" s="60">
        <f t="shared" si="95"/>
        <v>0</v>
      </c>
      <c r="BL164" s="60">
        <f t="shared" si="111"/>
        <v>30</v>
      </c>
      <c r="BM164" s="60">
        <f t="shared" si="96"/>
        <v>0</v>
      </c>
      <c r="BN164" s="60">
        <f>ROUND(BM164*BL164*Input!$C$3/365,0)</f>
        <v>0</v>
      </c>
      <c r="BO164" s="61">
        <f>IF($A164&lt;=Input!$C$6,0,IF('Fixed Tenure'!BK164&lt;'Fixed Tenure'!BM164,'Fixed Tenure'!BK164-BN164,'Fixed Tenure'!BM164))</f>
        <v>0</v>
      </c>
      <c r="BP164" s="61">
        <f t="shared" si="97"/>
        <v>0</v>
      </c>
      <c r="BQ164" s="60">
        <f t="shared" si="98"/>
        <v>0</v>
      </c>
      <c r="BR164" s="198"/>
    </row>
    <row r="165" spans="1:70" x14ac:dyDescent="0.25">
      <c r="A165" s="169">
        <v>161</v>
      </c>
      <c r="B165" s="1">
        <f t="shared" si="99"/>
        <v>50420</v>
      </c>
      <c r="C165" s="60">
        <f t="shared" si="77"/>
        <v>33127052.878124986</v>
      </c>
      <c r="D165" s="60">
        <f t="shared" si="78"/>
        <v>29814347.590312488</v>
      </c>
      <c r="E165" s="60">
        <f t="shared" si="100"/>
        <v>31</v>
      </c>
      <c r="F165" s="60">
        <f t="shared" si="101"/>
        <v>0</v>
      </c>
      <c r="G165" s="60">
        <f>ROUND(F165*E165*Input!$C$3/365,0)</f>
        <v>0</v>
      </c>
      <c r="H165" s="60">
        <f>IF($A165&lt;=Input!$C$6,0,IF('Fixed Tenure'!D165&lt;'Fixed Tenure'!F165,'Fixed Tenure'!D165-G165,'Fixed Tenure'!F165))</f>
        <v>0</v>
      </c>
      <c r="I165" s="60">
        <f t="shared" si="102"/>
        <v>0</v>
      </c>
      <c r="J165" s="60">
        <f t="shared" si="103"/>
        <v>0</v>
      </c>
      <c r="K165" s="202">
        <f>J165/Input!$K$5</f>
        <v>0</v>
      </c>
      <c r="L165" s="232"/>
      <c r="M165" s="60">
        <f>IF($B165&lt;Input!$H$43,IF($B165&lt;Input!$G$43,IF($B165&lt;Input!$F$43,IF($B165&lt;Input!$E$43,IF($B165&lt;Input!$D$43,Input!$C$49,Input!$D$49),Input!$E$49),Input!$F$49),Input!$G$49),Input!$H$49)</f>
        <v>33127052.878124986</v>
      </c>
      <c r="N165" s="190">
        <f>IF($A165&lt;Input!$H$50,IF($A165&lt;Input!$G$50,IF($A165&lt;Input!$F$50,IF($A165&lt;Input!$E$50,IF($A165&lt;Input!$D$50,Input!$C$51,Input!$D$51),Input!$E$51),Input!$F$51),Input!$G$51),Input!$H$51)</f>
        <v>0.9</v>
      </c>
      <c r="O165" s="60">
        <f t="shared" si="112"/>
        <v>29814347.590312488</v>
      </c>
      <c r="P165" s="60">
        <f t="shared" ref="P165:P184" si="113">B165-B164</f>
        <v>31</v>
      </c>
      <c r="Q165" s="60">
        <f t="shared" si="80"/>
        <v>0</v>
      </c>
      <c r="R165" s="60">
        <f>ROUND(Q165*$P165*Input!$C$3/365,0)</f>
        <v>0</v>
      </c>
      <c r="S165" s="60">
        <f>IF(A165&lt;=Input!$C$6,0,IF('Fixed Tenure'!O165&lt;'Fixed Tenure'!Q165,'Fixed Tenure'!O165-R165,'Fixed Tenure'!Q165))</f>
        <v>0</v>
      </c>
      <c r="T165" s="60">
        <f t="shared" si="81"/>
        <v>0</v>
      </c>
      <c r="U165" s="60">
        <f t="shared" si="82"/>
        <v>0</v>
      </c>
      <c r="V165" s="193"/>
      <c r="W165" s="169">
        <v>161</v>
      </c>
      <c r="X165" s="1">
        <f t="shared" si="104"/>
        <v>50420</v>
      </c>
      <c r="Y165" s="60">
        <f>IF($X165&lt;Input!$H$58,IF($X165&lt;Input!$G$58,IF($X165&lt;Input!$F$58,IF($X165&lt;Input!$E$58,IF($X165&lt;Input!$D$58,Input!$C$64,Input!$D$64),Input!$E$64),Input!$F$64),Input!$G$64),Input!$H$64)</f>
        <v>0</v>
      </c>
      <c r="Z165" s="190">
        <f>IF($A165&lt;Input!$H$65,IF($A165&lt;Input!$G$65,IF($A165&lt;Input!$F$65,IF($A165&lt;Input!$E$65,IF($A165&lt;Input!$D$65,Input!$C$66,Input!$D$66),Input!$E$66),Input!$F$66),Input!$G$66),Input!$H$66)</f>
        <v>0.9</v>
      </c>
      <c r="AA165" s="60">
        <f t="shared" si="83"/>
        <v>0</v>
      </c>
      <c r="AB165" s="60">
        <f t="shared" si="105"/>
        <v>31</v>
      </c>
      <c r="AC165" s="60">
        <f t="shared" si="84"/>
        <v>0</v>
      </c>
      <c r="AD165" s="60">
        <f>ROUND(AC165*AB165*Input!$C$3/365,0)</f>
        <v>0</v>
      </c>
      <c r="AE165" s="61">
        <f>IF($A165&lt;=Input!$C$6,0,IF('Fixed Tenure'!AA165&lt;'Fixed Tenure'!AC165,'Fixed Tenure'!AA165-AD165,'Fixed Tenure'!AC165))</f>
        <v>0</v>
      </c>
      <c r="AF165" s="61">
        <f t="shared" si="85"/>
        <v>0</v>
      </c>
      <c r="AG165" s="60">
        <f t="shared" si="86"/>
        <v>0</v>
      </c>
      <c r="AH165" s="193"/>
      <c r="AI165" s="169">
        <v>161</v>
      </c>
      <c r="AJ165" s="1">
        <f t="shared" si="106"/>
        <v>50420</v>
      </c>
      <c r="AK165" s="60">
        <f>IF($X165&lt;Input!$H$73,IF($X165&lt;Input!$G$73,IF($X165&lt;Input!$F$73,IF($X165&lt;Input!$E$73,IF($X165&lt;Input!$D$73,Input!$C$79,Input!$D$79),Input!$E$79),Input!$F$79),Input!$G$79),Input!$H$79)</f>
        <v>0</v>
      </c>
      <c r="AL165" s="190">
        <f>IF($A165&lt;Input!$H$80,IF($A165&lt;Input!$G$80,IF($A165&lt;Input!$F$80,IF($A165&lt;Input!$E$80,IF($A165&lt;Input!$D$80,Input!$C$81,Input!$D$81),Input!$E$81),Input!$F$81),Input!$G$81),Input!$H$81)</f>
        <v>0.9</v>
      </c>
      <c r="AM165" s="60">
        <f t="shared" si="87"/>
        <v>0</v>
      </c>
      <c r="AN165" s="60">
        <f t="shared" si="107"/>
        <v>31</v>
      </c>
      <c r="AO165" s="60">
        <f t="shared" si="88"/>
        <v>0</v>
      </c>
      <c r="AP165" s="60">
        <f>ROUND(AO165*AN165*Input!$C$3/365,0)</f>
        <v>0</v>
      </c>
      <c r="AQ165" s="61">
        <f>IF($A165&lt;=Input!$C$6,0,IF('Fixed Tenure'!AM165&lt;'Fixed Tenure'!AO165,'Fixed Tenure'!AM165-AP165,'Fixed Tenure'!AO165))</f>
        <v>0</v>
      </c>
      <c r="AR165" s="61">
        <f t="shared" si="89"/>
        <v>0</v>
      </c>
      <c r="AS165" s="60">
        <f t="shared" si="90"/>
        <v>0</v>
      </c>
      <c r="AT165" s="193"/>
      <c r="AU165" s="169">
        <v>161</v>
      </c>
      <c r="AV165" s="1">
        <f t="shared" si="108"/>
        <v>50420</v>
      </c>
      <c r="AW165" s="60">
        <f>IF($X165&lt;Input!$H$88,IF($X165&lt;Input!$G$88,IF($X165&lt;Input!$F$88,IF($X165&lt;Input!$E$88,IF($X165&lt;Input!$D$88,Input!$C$94,Input!$D$94),Input!$E$94),Input!$F$94),Input!$G$94),Input!$H$94)</f>
        <v>0</v>
      </c>
      <c r="AX165" s="190">
        <f>IF($A165&lt;Input!$H$95,IF($A165&lt;Input!$G$95,IF($A165&lt;Input!$F$95,IF($A165&lt;Input!$E$95,IF($A165&lt;Input!$D$95,Input!$C$96,Input!$D$96),Input!$E$96),Input!$F$96),Input!$G$96),Input!$H$96)</f>
        <v>0.9</v>
      </c>
      <c r="AY165" s="60">
        <f t="shared" si="91"/>
        <v>0</v>
      </c>
      <c r="AZ165" s="60">
        <f t="shared" si="109"/>
        <v>31</v>
      </c>
      <c r="BA165" s="60">
        <f t="shared" si="92"/>
        <v>0</v>
      </c>
      <c r="BB165" s="60">
        <f>ROUND(BA165*AZ165*Input!$C$3/365,0)</f>
        <v>0</v>
      </c>
      <c r="BC165" s="61">
        <f>IF($A165&lt;=Input!$C$6,0,IF('Fixed Tenure'!AY165&lt;'Fixed Tenure'!BA165,'Fixed Tenure'!AY165-BB165,'Fixed Tenure'!BA165))</f>
        <v>0</v>
      </c>
      <c r="BD165" s="61">
        <f t="shared" si="93"/>
        <v>0</v>
      </c>
      <c r="BE165" s="60">
        <f t="shared" si="94"/>
        <v>0</v>
      </c>
      <c r="BF165" s="193"/>
      <c r="BG165" s="169">
        <v>161</v>
      </c>
      <c r="BH165" s="1">
        <f t="shared" si="110"/>
        <v>50420</v>
      </c>
      <c r="BI165" s="60">
        <f>IF($X165&lt;Input!$H$103,IF($X165&lt;Input!$G$103,IF($X165&lt;Input!$F$103,IF($X165&lt;Input!$E$103,IF($X165&lt;Input!$D$103,Input!$C$109,Input!$D$109),Input!$E$109),Input!$F$109),Input!$G$109),Input!$H$109)</f>
        <v>0</v>
      </c>
      <c r="BJ165" s="190">
        <f>IF($A165&lt;Input!$H$110,IF($A165&lt;Input!$G$110,IF($A165&lt;Input!$F$110,IF($A165&lt;Input!$E$110,IF($A165&lt;Input!$D$110,Input!$C$111,Input!$D$111),Input!$E$111),Input!$F$111),Input!$G$111),Input!$H$111)</f>
        <v>0.9</v>
      </c>
      <c r="BK165" s="60">
        <f t="shared" si="95"/>
        <v>0</v>
      </c>
      <c r="BL165" s="60">
        <f t="shared" si="111"/>
        <v>31</v>
      </c>
      <c r="BM165" s="60">
        <f t="shared" si="96"/>
        <v>0</v>
      </c>
      <c r="BN165" s="60">
        <f>ROUND(BM165*BL165*Input!$C$3/365,0)</f>
        <v>0</v>
      </c>
      <c r="BO165" s="61">
        <f>IF($A165&lt;=Input!$C$6,0,IF('Fixed Tenure'!BK165&lt;'Fixed Tenure'!BM165,'Fixed Tenure'!BK165-BN165,'Fixed Tenure'!BM165))</f>
        <v>0</v>
      </c>
      <c r="BP165" s="61">
        <f t="shared" si="97"/>
        <v>0</v>
      </c>
      <c r="BQ165" s="60">
        <f t="shared" si="98"/>
        <v>0</v>
      </c>
      <c r="BR165" s="198"/>
    </row>
    <row r="166" spans="1:70" x14ac:dyDescent="0.25">
      <c r="A166" s="169">
        <v>162</v>
      </c>
      <c r="B166" s="1">
        <f t="shared" si="99"/>
        <v>50451</v>
      </c>
      <c r="C166" s="60">
        <f t="shared" si="77"/>
        <v>33127052.878124986</v>
      </c>
      <c r="D166" s="60">
        <f t="shared" si="78"/>
        <v>29814347.590312488</v>
      </c>
      <c r="E166" s="60">
        <f t="shared" si="100"/>
        <v>31</v>
      </c>
      <c r="F166" s="60">
        <f t="shared" si="101"/>
        <v>0</v>
      </c>
      <c r="G166" s="60">
        <f>ROUND(F166*E166*Input!$C$3/365,0)</f>
        <v>0</v>
      </c>
      <c r="H166" s="60">
        <f>IF($A166&lt;=Input!$C$6,0,IF('Fixed Tenure'!D166&lt;'Fixed Tenure'!F166,'Fixed Tenure'!D166-G166,'Fixed Tenure'!F166))</f>
        <v>0</v>
      </c>
      <c r="I166" s="60">
        <f t="shared" si="102"/>
        <v>0</v>
      </c>
      <c r="J166" s="60">
        <f t="shared" si="103"/>
        <v>0</v>
      </c>
      <c r="K166" s="202">
        <f>J166/Input!$K$5</f>
        <v>0</v>
      </c>
      <c r="L166" s="232"/>
      <c r="M166" s="60">
        <f>IF($B166&lt;Input!$H$43,IF($B166&lt;Input!$G$43,IF($B166&lt;Input!$F$43,IF($B166&lt;Input!$E$43,IF($B166&lt;Input!$D$43,Input!$C$49,Input!$D$49),Input!$E$49),Input!$F$49),Input!$G$49),Input!$H$49)</f>
        <v>33127052.878124986</v>
      </c>
      <c r="N166" s="190">
        <f>IF($A166&lt;Input!$H$50,IF($A166&lt;Input!$G$50,IF($A166&lt;Input!$F$50,IF($A166&lt;Input!$E$50,IF($A166&lt;Input!$D$50,Input!$C$51,Input!$D$51),Input!$E$51),Input!$F$51),Input!$G$51),Input!$H$51)</f>
        <v>0.9</v>
      </c>
      <c r="O166" s="60">
        <f t="shared" si="112"/>
        <v>29814347.590312488</v>
      </c>
      <c r="P166" s="60">
        <f t="shared" si="113"/>
        <v>31</v>
      </c>
      <c r="Q166" s="60">
        <f t="shared" si="80"/>
        <v>0</v>
      </c>
      <c r="R166" s="60">
        <f>ROUND(Q166*$P166*Input!$C$3/365,0)</f>
        <v>0</v>
      </c>
      <c r="S166" s="60">
        <f>IF(A166&lt;=Input!$C$6,0,IF('Fixed Tenure'!O166&lt;'Fixed Tenure'!Q166,'Fixed Tenure'!O166-R166,'Fixed Tenure'!Q166))</f>
        <v>0</v>
      </c>
      <c r="T166" s="60">
        <f t="shared" si="81"/>
        <v>0</v>
      </c>
      <c r="U166" s="60">
        <f t="shared" si="82"/>
        <v>0</v>
      </c>
      <c r="V166" s="193"/>
      <c r="W166" s="169">
        <v>162</v>
      </c>
      <c r="X166" s="1">
        <f t="shared" si="104"/>
        <v>50451</v>
      </c>
      <c r="Y166" s="60">
        <f>IF($X166&lt;Input!$H$58,IF($X166&lt;Input!$G$58,IF($X166&lt;Input!$F$58,IF($X166&lt;Input!$E$58,IF($X166&lt;Input!$D$58,Input!$C$64,Input!$D$64),Input!$E$64),Input!$F$64),Input!$G$64),Input!$H$64)</f>
        <v>0</v>
      </c>
      <c r="Z166" s="190">
        <f>IF($A166&lt;Input!$H$65,IF($A166&lt;Input!$G$65,IF($A166&lt;Input!$F$65,IF($A166&lt;Input!$E$65,IF($A166&lt;Input!$D$65,Input!$C$66,Input!$D$66),Input!$E$66),Input!$F$66),Input!$G$66),Input!$H$66)</f>
        <v>0.9</v>
      </c>
      <c r="AA166" s="60">
        <f t="shared" si="83"/>
        <v>0</v>
      </c>
      <c r="AB166" s="60">
        <f t="shared" si="105"/>
        <v>31</v>
      </c>
      <c r="AC166" s="60">
        <f t="shared" si="84"/>
        <v>0</v>
      </c>
      <c r="AD166" s="60">
        <f>ROUND(AC166*AB166*Input!$C$3/365,0)</f>
        <v>0</v>
      </c>
      <c r="AE166" s="61">
        <f>IF($A166&lt;=Input!$C$6,0,IF('Fixed Tenure'!AA166&lt;'Fixed Tenure'!AC166,'Fixed Tenure'!AA166-AD166,'Fixed Tenure'!AC166))</f>
        <v>0</v>
      </c>
      <c r="AF166" s="61">
        <f t="shared" si="85"/>
        <v>0</v>
      </c>
      <c r="AG166" s="60">
        <f t="shared" si="86"/>
        <v>0</v>
      </c>
      <c r="AH166" s="193"/>
      <c r="AI166" s="169">
        <v>162</v>
      </c>
      <c r="AJ166" s="1">
        <f t="shared" si="106"/>
        <v>50451</v>
      </c>
      <c r="AK166" s="60">
        <f>IF($X166&lt;Input!$H$73,IF($X166&lt;Input!$G$73,IF($X166&lt;Input!$F$73,IF($X166&lt;Input!$E$73,IF($X166&lt;Input!$D$73,Input!$C$79,Input!$D$79),Input!$E$79),Input!$F$79),Input!$G$79),Input!$H$79)</f>
        <v>0</v>
      </c>
      <c r="AL166" s="190">
        <f>IF($A166&lt;Input!$H$80,IF($A166&lt;Input!$G$80,IF($A166&lt;Input!$F$80,IF($A166&lt;Input!$E$80,IF($A166&lt;Input!$D$80,Input!$C$81,Input!$D$81),Input!$E$81),Input!$F$81),Input!$G$81),Input!$H$81)</f>
        <v>0.9</v>
      </c>
      <c r="AM166" s="60">
        <f t="shared" si="87"/>
        <v>0</v>
      </c>
      <c r="AN166" s="60">
        <f t="shared" si="107"/>
        <v>31</v>
      </c>
      <c r="AO166" s="60">
        <f t="shared" si="88"/>
        <v>0</v>
      </c>
      <c r="AP166" s="60">
        <f>ROUND(AO166*AN166*Input!$C$3/365,0)</f>
        <v>0</v>
      </c>
      <c r="AQ166" s="61">
        <f>IF($A166&lt;=Input!$C$6,0,IF('Fixed Tenure'!AM166&lt;'Fixed Tenure'!AO166,'Fixed Tenure'!AM166-AP166,'Fixed Tenure'!AO166))</f>
        <v>0</v>
      </c>
      <c r="AR166" s="61">
        <f t="shared" si="89"/>
        <v>0</v>
      </c>
      <c r="AS166" s="60">
        <f t="shared" si="90"/>
        <v>0</v>
      </c>
      <c r="AT166" s="193"/>
      <c r="AU166" s="169">
        <v>162</v>
      </c>
      <c r="AV166" s="1">
        <f t="shared" si="108"/>
        <v>50451</v>
      </c>
      <c r="AW166" s="60">
        <f>IF($X166&lt;Input!$H$88,IF($X166&lt;Input!$G$88,IF($X166&lt;Input!$F$88,IF($X166&lt;Input!$E$88,IF($X166&lt;Input!$D$88,Input!$C$94,Input!$D$94),Input!$E$94),Input!$F$94),Input!$G$94),Input!$H$94)</f>
        <v>0</v>
      </c>
      <c r="AX166" s="190">
        <f>IF($A166&lt;Input!$H$95,IF($A166&lt;Input!$G$95,IF($A166&lt;Input!$F$95,IF($A166&lt;Input!$E$95,IF($A166&lt;Input!$D$95,Input!$C$96,Input!$D$96),Input!$E$96),Input!$F$96),Input!$G$96),Input!$H$96)</f>
        <v>0.9</v>
      </c>
      <c r="AY166" s="60">
        <f t="shared" si="91"/>
        <v>0</v>
      </c>
      <c r="AZ166" s="60">
        <f t="shared" si="109"/>
        <v>31</v>
      </c>
      <c r="BA166" s="60">
        <f t="shared" si="92"/>
        <v>0</v>
      </c>
      <c r="BB166" s="60">
        <f>ROUND(BA166*AZ166*Input!$C$3/365,0)</f>
        <v>0</v>
      </c>
      <c r="BC166" s="61">
        <f>IF($A166&lt;=Input!$C$6,0,IF('Fixed Tenure'!AY166&lt;'Fixed Tenure'!BA166,'Fixed Tenure'!AY166-BB166,'Fixed Tenure'!BA166))</f>
        <v>0</v>
      </c>
      <c r="BD166" s="61">
        <f t="shared" si="93"/>
        <v>0</v>
      </c>
      <c r="BE166" s="60">
        <f t="shared" si="94"/>
        <v>0</v>
      </c>
      <c r="BF166" s="193"/>
      <c r="BG166" s="169">
        <v>162</v>
      </c>
      <c r="BH166" s="1">
        <f t="shared" si="110"/>
        <v>50451</v>
      </c>
      <c r="BI166" s="60">
        <f>IF($X166&lt;Input!$H$103,IF($X166&lt;Input!$G$103,IF($X166&lt;Input!$F$103,IF($X166&lt;Input!$E$103,IF($X166&lt;Input!$D$103,Input!$C$109,Input!$D$109),Input!$E$109),Input!$F$109),Input!$G$109),Input!$H$109)</f>
        <v>0</v>
      </c>
      <c r="BJ166" s="190">
        <f>IF($A166&lt;Input!$H$110,IF($A166&lt;Input!$G$110,IF($A166&lt;Input!$F$110,IF($A166&lt;Input!$E$110,IF($A166&lt;Input!$D$110,Input!$C$111,Input!$D$111),Input!$E$111),Input!$F$111),Input!$G$111),Input!$H$111)</f>
        <v>0.9</v>
      </c>
      <c r="BK166" s="60">
        <f t="shared" si="95"/>
        <v>0</v>
      </c>
      <c r="BL166" s="60">
        <f t="shared" si="111"/>
        <v>31</v>
      </c>
      <c r="BM166" s="60">
        <f t="shared" si="96"/>
        <v>0</v>
      </c>
      <c r="BN166" s="60">
        <f>ROUND(BM166*BL166*Input!$C$3/365,0)</f>
        <v>0</v>
      </c>
      <c r="BO166" s="61">
        <f>IF($A166&lt;=Input!$C$6,0,IF('Fixed Tenure'!BK166&lt;'Fixed Tenure'!BM166,'Fixed Tenure'!BK166-BN166,'Fixed Tenure'!BM166))</f>
        <v>0</v>
      </c>
      <c r="BP166" s="61">
        <f t="shared" si="97"/>
        <v>0</v>
      </c>
      <c r="BQ166" s="60">
        <f t="shared" si="98"/>
        <v>0</v>
      </c>
      <c r="BR166" s="198"/>
    </row>
    <row r="167" spans="1:70" x14ac:dyDescent="0.25">
      <c r="A167" s="169">
        <v>163</v>
      </c>
      <c r="B167" s="1">
        <f t="shared" si="99"/>
        <v>50479</v>
      </c>
      <c r="C167" s="60">
        <f t="shared" si="77"/>
        <v>33127052.878124986</v>
      </c>
      <c r="D167" s="60">
        <f t="shared" si="78"/>
        <v>29814347.590312488</v>
      </c>
      <c r="E167" s="60">
        <f t="shared" si="100"/>
        <v>28</v>
      </c>
      <c r="F167" s="60">
        <f t="shared" si="101"/>
        <v>0</v>
      </c>
      <c r="G167" s="60">
        <f>ROUND(F167*E167*Input!$C$3/365,0)</f>
        <v>0</v>
      </c>
      <c r="H167" s="60">
        <f>IF($A167&lt;=Input!$C$6,0,IF('Fixed Tenure'!D167&lt;'Fixed Tenure'!F167,'Fixed Tenure'!D167-G167,'Fixed Tenure'!F167))</f>
        <v>0</v>
      </c>
      <c r="I167" s="60">
        <f t="shared" si="102"/>
        <v>0</v>
      </c>
      <c r="J167" s="60">
        <f t="shared" si="103"/>
        <v>0</v>
      </c>
      <c r="K167" s="202">
        <f>J167/Input!$K$5</f>
        <v>0</v>
      </c>
      <c r="L167" s="232"/>
      <c r="M167" s="60">
        <f>IF($B167&lt;Input!$H$43,IF($B167&lt;Input!$G$43,IF($B167&lt;Input!$F$43,IF($B167&lt;Input!$E$43,IF($B167&lt;Input!$D$43,Input!$C$49,Input!$D$49),Input!$E$49),Input!$F$49),Input!$G$49),Input!$H$49)</f>
        <v>33127052.878124986</v>
      </c>
      <c r="N167" s="190">
        <f>IF($A167&lt;Input!$H$50,IF($A167&lt;Input!$G$50,IF($A167&lt;Input!$F$50,IF($A167&lt;Input!$E$50,IF($A167&lt;Input!$D$50,Input!$C$51,Input!$D$51),Input!$E$51),Input!$F$51),Input!$G$51),Input!$H$51)</f>
        <v>0.9</v>
      </c>
      <c r="O167" s="60">
        <f t="shared" si="112"/>
        <v>29814347.590312488</v>
      </c>
      <c r="P167" s="60">
        <f t="shared" si="113"/>
        <v>28</v>
      </c>
      <c r="Q167" s="60">
        <f t="shared" si="80"/>
        <v>0</v>
      </c>
      <c r="R167" s="60">
        <f>ROUND(Q167*$P167*Input!$C$3/365,0)</f>
        <v>0</v>
      </c>
      <c r="S167" s="60">
        <f>IF(A167&lt;=Input!$C$6,0,IF('Fixed Tenure'!O167&lt;'Fixed Tenure'!Q167,'Fixed Tenure'!O167-R167,'Fixed Tenure'!Q167))</f>
        <v>0</v>
      </c>
      <c r="T167" s="60">
        <f t="shared" si="81"/>
        <v>0</v>
      </c>
      <c r="U167" s="60">
        <f t="shared" si="82"/>
        <v>0</v>
      </c>
      <c r="V167" s="193"/>
      <c r="W167" s="169">
        <v>163</v>
      </c>
      <c r="X167" s="1">
        <f t="shared" si="104"/>
        <v>50479</v>
      </c>
      <c r="Y167" s="60">
        <f>IF($X167&lt;Input!$H$58,IF($X167&lt;Input!$G$58,IF($X167&lt;Input!$F$58,IF($X167&lt;Input!$E$58,IF($X167&lt;Input!$D$58,Input!$C$64,Input!$D$64),Input!$E$64),Input!$F$64),Input!$G$64),Input!$H$64)</f>
        <v>0</v>
      </c>
      <c r="Z167" s="190">
        <f>IF($A167&lt;Input!$H$65,IF($A167&lt;Input!$G$65,IF($A167&lt;Input!$F$65,IF($A167&lt;Input!$E$65,IF($A167&lt;Input!$D$65,Input!$C$66,Input!$D$66),Input!$E$66),Input!$F$66),Input!$G$66),Input!$H$66)</f>
        <v>0.9</v>
      </c>
      <c r="AA167" s="60">
        <f t="shared" si="83"/>
        <v>0</v>
      </c>
      <c r="AB167" s="60">
        <f t="shared" si="105"/>
        <v>28</v>
      </c>
      <c r="AC167" s="60">
        <f t="shared" si="84"/>
        <v>0</v>
      </c>
      <c r="AD167" s="60">
        <f>ROUND(AC167*AB167*Input!$C$3/365,0)</f>
        <v>0</v>
      </c>
      <c r="AE167" s="61">
        <f>IF($A167&lt;=Input!$C$6,0,IF('Fixed Tenure'!AA167&lt;'Fixed Tenure'!AC167,'Fixed Tenure'!AA167-AD167,'Fixed Tenure'!AC167))</f>
        <v>0</v>
      </c>
      <c r="AF167" s="61">
        <f t="shared" si="85"/>
        <v>0</v>
      </c>
      <c r="AG167" s="60">
        <f t="shared" si="86"/>
        <v>0</v>
      </c>
      <c r="AH167" s="193"/>
      <c r="AI167" s="169">
        <v>163</v>
      </c>
      <c r="AJ167" s="1">
        <f t="shared" si="106"/>
        <v>50479</v>
      </c>
      <c r="AK167" s="60">
        <f>IF($X167&lt;Input!$H$73,IF($X167&lt;Input!$G$73,IF($X167&lt;Input!$F$73,IF($X167&lt;Input!$E$73,IF($X167&lt;Input!$D$73,Input!$C$79,Input!$D$79),Input!$E$79),Input!$F$79),Input!$G$79),Input!$H$79)</f>
        <v>0</v>
      </c>
      <c r="AL167" s="190">
        <f>IF($A167&lt;Input!$H$80,IF($A167&lt;Input!$G$80,IF($A167&lt;Input!$F$80,IF($A167&lt;Input!$E$80,IF($A167&lt;Input!$D$80,Input!$C$81,Input!$D$81),Input!$E$81),Input!$F$81),Input!$G$81),Input!$H$81)</f>
        <v>0.9</v>
      </c>
      <c r="AM167" s="60">
        <f t="shared" si="87"/>
        <v>0</v>
      </c>
      <c r="AN167" s="60">
        <f t="shared" si="107"/>
        <v>28</v>
      </c>
      <c r="AO167" s="60">
        <f t="shared" si="88"/>
        <v>0</v>
      </c>
      <c r="AP167" s="60">
        <f>ROUND(AO167*AN167*Input!$C$3/365,0)</f>
        <v>0</v>
      </c>
      <c r="AQ167" s="61">
        <f>IF($A167&lt;=Input!$C$6,0,IF('Fixed Tenure'!AM167&lt;'Fixed Tenure'!AO167,'Fixed Tenure'!AM167-AP167,'Fixed Tenure'!AO167))</f>
        <v>0</v>
      </c>
      <c r="AR167" s="61">
        <f t="shared" si="89"/>
        <v>0</v>
      </c>
      <c r="AS167" s="60">
        <f t="shared" si="90"/>
        <v>0</v>
      </c>
      <c r="AT167" s="193"/>
      <c r="AU167" s="169">
        <v>163</v>
      </c>
      <c r="AV167" s="1">
        <f t="shared" si="108"/>
        <v>50479</v>
      </c>
      <c r="AW167" s="60">
        <f>IF($X167&lt;Input!$H$88,IF($X167&lt;Input!$G$88,IF($X167&lt;Input!$F$88,IF($X167&lt;Input!$E$88,IF($X167&lt;Input!$D$88,Input!$C$94,Input!$D$94),Input!$E$94),Input!$F$94),Input!$G$94),Input!$H$94)</f>
        <v>0</v>
      </c>
      <c r="AX167" s="190">
        <f>IF($A167&lt;Input!$H$95,IF($A167&lt;Input!$G$95,IF($A167&lt;Input!$F$95,IF($A167&lt;Input!$E$95,IF($A167&lt;Input!$D$95,Input!$C$96,Input!$D$96),Input!$E$96),Input!$F$96),Input!$G$96),Input!$H$96)</f>
        <v>0.9</v>
      </c>
      <c r="AY167" s="60">
        <f t="shared" si="91"/>
        <v>0</v>
      </c>
      <c r="AZ167" s="60">
        <f t="shared" si="109"/>
        <v>28</v>
      </c>
      <c r="BA167" s="60">
        <f t="shared" si="92"/>
        <v>0</v>
      </c>
      <c r="BB167" s="60">
        <f>ROUND(BA167*AZ167*Input!$C$3/365,0)</f>
        <v>0</v>
      </c>
      <c r="BC167" s="61">
        <f>IF($A167&lt;=Input!$C$6,0,IF('Fixed Tenure'!AY167&lt;'Fixed Tenure'!BA167,'Fixed Tenure'!AY167-BB167,'Fixed Tenure'!BA167))</f>
        <v>0</v>
      </c>
      <c r="BD167" s="61">
        <f t="shared" si="93"/>
        <v>0</v>
      </c>
      <c r="BE167" s="60">
        <f t="shared" si="94"/>
        <v>0</v>
      </c>
      <c r="BF167" s="193"/>
      <c r="BG167" s="169">
        <v>163</v>
      </c>
      <c r="BH167" s="1">
        <f t="shared" si="110"/>
        <v>50479</v>
      </c>
      <c r="BI167" s="60">
        <f>IF($X167&lt;Input!$H$103,IF($X167&lt;Input!$G$103,IF($X167&lt;Input!$F$103,IF($X167&lt;Input!$E$103,IF($X167&lt;Input!$D$103,Input!$C$109,Input!$D$109),Input!$E$109),Input!$F$109),Input!$G$109),Input!$H$109)</f>
        <v>0</v>
      </c>
      <c r="BJ167" s="190">
        <f>IF($A167&lt;Input!$H$110,IF($A167&lt;Input!$G$110,IF($A167&lt;Input!$F$110,IF($A167&lt;Input!$E$110,IF($A167&lt;Input!$D$110,Input!$C$111,Input!$D$111),Input!$E$111),Input!$F$111),Input!$G$111),Input!$H$111)</f>
        <v>0.9</v>
      </c>
      <c r="BK167" s="60">
        <f t="shared" si="95"/>
        <v>0</v>
      </c>
      <c r="BL167" s="60">
        <f t="shared" si="111"/>
        <v>28</v>
      </c>
      <c r="BM167" s="60">
        <f t="shared" si="96"/>
        <v>0</v>
      </c>
      <c r="BN167" s="60">
        <f>ROUND(BM167*BL167*Input!$C$3/365,0)</f>
        <v>0</v>
      </c>
      <c r="BO167" s="61">
        <f>IF($A167&lt;=Input!$C$6,0,IF('Fixed Tenure'!BK167&lt;'Fixed Tenure'!BM167,'Fixed Tenure'!BK167-BN167,'Fixed Tenure'!BM167))</f>
        <v>0</v>
      </c>
      <c r="BP167" s="61">
        <f t="shared" si="97"/>
        <v>0</v>
      </c>
      <c r="BQ167" s="60">
        <f t="shared" si="98"/>
        <v>0</v>
      </c>
      <c r="BR167" s="198"/>
    </row>
    <row r="168" spans="1:70" x14ac:dyDescent="0.25">
      <c r="A168" s="169">
        <v>164</v>
      </c>
      <c r="B168" s="1">
        <f t="shared" si="99"/>
        <v>50510</v>
      </c>
      <c r="C168" s="60">
        <f t="shared" si="77"/>
        <v>33127052.878124986</v>
      </c>
      <c r="D168" s="60">
        <f t="shared" si="78"/>
        <v>29814347.590312488</v>
      </c>
      <c r="E168" s="60">
        <f t="shared" si="100"/>
        <v>31</v>
      </c>
      <c r="F168" s="60">
        <f t="shared" si="101"/>
        <v>0</v>
      </c>
      <c r="G168" s="60">
        <f>ROUND(F168*E168*Input!$C$3/365,0)</f>
        <v>0</v>
      </c>
      <c r="H168" s="60">
        <f>IF($A168&lt;=Input!$C$6,0,IF('Fixed Tenure'!D168&lt;'Fixed Tenure'!F168,'Fixed Tenure'!D168-G168,'Fixed Tenure'!F168))</f>
        <v>0</v>
      </c>
      <c r="I168" s="60">
        <f t="shared" si="102"/>
        <v>0</v>
      </c>
      <c r="J168" s="60">
        <f t="shared" si="103"/>
        <v>0</v>
      </c>
      <c r="K168" s="202">
        <f>J168/Input!$K$5</f>
        <v>0</v>
      </c>
      <c r="L168" s="232"/>
      <c r="M168" s="60">
        <f>IF($B168&lt;Input!$H$43,IF($B168&lt;Input!$G$43,IF($B168&lt;Input!$F$43,IF($B168&lt;Input!$E$43,IF($B168&lt;Input!$D$43,Input!$C$49,Input!$D$49),Input!$E$49),Input!$F$49),Input!$G$49),Input!$H$49)</f>
        <v>33127052.878124986</v>
      </c>
      <c r="N168" s="190">
        <f>IF($A168&lt;Input!$H$50,IF($A168&lt;Input!$G$50,IF($A168&lt;Input!$F$50,IF($A168&lt;Input!$E$50,IF($A168&lt;Input!$D$50,Input!$C$51,Input!$D$51),Input!$E$51),Input!$F$51),Input!$G$51),Input!$H$51)</f>
        <v>0.9</v>
      </c>
      <c r="O168" s="60">
        <f t="shared" si="112"/>
        <v>29814347.590312488</v>
      </c>
      <c r="P168" s="60">
        <f t="shared" si="113"/>
        <v>31</v>
      </c>
      <c r="Q168" s="60">
        <f t="shared" si="80"/>
        <v>0</v>
      </c>
      <c r="R168" s="60">
        <f>ROUND(Q168*$P168*Input!$C$3/365,0)</f>
        <v>0</v>
      </c>
      <c r="S168" s="60">
        <f>IF(A168&lt;=Input!$C$6,0,IF('Fixed Tenure'!O168&lt;'Fixed Tenure'!Q168,'Fixed Tenure'!O168-R168,'Fixed Tenure'!Q168))</f>
        <v>0</v>
      </c>
      <c r="T168" s="60">
        <f t="shared" si="81"/>
        <v>0</v>
      </c>
      <c r="U168" s="60">
        <f t="shared" si="82"/>
        <v>0</v>
      </c>
      <c r="V168" s="193"/>
      <c r="W168" s="169">
        <v>164</v>
      </c>
      <c r="X168" s="1">
        <f t="shared" si="104"/>
        <v>50510</v>
      </c>
      <c r="Y168" s="60">
        <f>IF($X168&lt;Input!$H$58,IF($X168&lt;Input!$G$58,IF($X168&lt;Input!$F$58,IF($X168&lt;Input!$E$58,IF($X168&lt;Input!$D$58,Input!$C$64,Input!$D$64),Input!$E$64),Input!$F$64),Input!$G$64),Input!$H$64)</f>
        <v>0</v>
      </c>
      <c r="Z168" s="190">
        <f>IF($A168&lt;Input!$H$65,IF($A168&lt;Input!$G$65,IF($A168&lt;Input!$F$65,IF($A168&lt;Input!$E$65,IF($A168&lt;Input!$D$65,Input!$C$66,Input!$D$66),Input!$E$66),Input!$F$66),Input!$G$66),Input!$H$66)</f>
        <v>0.9</v>
      </c>
      <c r="AA168" s="60">
        <f t="shared" si="83"/>
        <v>0</v>
      </c>
      <c r="AB168" s="60">
        <f t="shared" si="105"/>
        <v>31</v>
      </c>
      <c r="AC168" s="60">
        <f t="shared" si="84"/>
        <v>0</v>
      </c>
      <c r="AD168" s="60">
        <f>ROUND(AC168*AB168*Input!$C$3/365,0)</f>
        <v>0</v>
      </c>
      <c r="AE168" s="61">
        <f>IF($A168&lt;=Input!$C$6,0,IF('Fixed Tenure'!AA168&lt;'Fixed Tenure'!AC168,'Fixed Tenure'!AA168-AD168,'Fixed Tenure'!AC168))</f>
        <v>0</v>
      </c>
      <c r="AF168" s="61">
        <f t="shared" si="85"/>
        <v>0</v>
      </c>
      <c r="AG168" s="60">
        <f t="shared" si="86"/>
        <v>0</v>
      </c>
      <c r="AH168" s="193"/>
      <c r="AI168" s="169">
        <v>164</v>
      </c>
      <c r="AJ168" s="1">
        <f t="shared" si="106"/>
        <v>50510</v>
      </c>
      <c r="AK168" s="60">
        <f>IF($X168&lt;Input!$H$73,IF($X168&lt;Input!$G$73,IF($X168&lt;Input!$F$73,IF($X168&lt;Input!$E$73,IF($X168&lt;Input!$D$73,Input!$C$79,Input!$D$79),Input!$E$79),Input!$F$79),Input!$G$79),Input!$H$79)</f>
        <v>0</v>
      </c>
      <c r="AL168" s="190">
        <f>IF($A168&lt;Input!$H$80,IF($A168&lt;Input!$G$80,IF($A168&lt;Input!$F$80,IF($A168&lt;Input!$E$80,IF($A168&lt;Input!$D$80,Input!$C$81,Input!$D$81),Input!$E$81),Input!$F$81),Input!$G$81),Input!$H$81)</f>
        <v>0.9</v>
      </c>
      <c r="AM168" s="60">
        <f t="shared" si="87"/>
        <v>0</v>
      </c>
      <c r="AN168" s="60">
        <f t="shared" si="107"/>
        <v>31</v>
      </c>
      <c r="AO168" s="60">
        <f t="shared" si="88"/>
        <v>0</v>
      </c>
      <c r="AP168" s="60">
        <f>ROUND(AO168*AN168*Input!$C$3/365,0)</f>
        <v>0</v>
      </c>
      <c r="AQ168" s="61">
        <f>IF($A168&lt;=Input!$C$6,0,IF('Fixed Tenure'!AM168&lt;'Fixed Tenure'!AO168,'Fixed Tenure'!AM168-AP168,'Fixed Tenure'!AO168))</f>
        <v>0</v>
      </c>
      <c r="AR168" s="61">
        <f t="shared" si="89"/>
        <v>0</v>
      </c>
      <c r="AS168" s="60">
        <f t="shared" si="90"/>
        <v>0</v>
      </c>
      <c r="AT168" s="193"/>
      <c r="AU168" s="169">
        <v>164</v>
      </c>
      <c r="AV168" s="1">
        <f t="shared" si="108"/>
        <v>50510</v>
      </c>
      <c r="AW168" s="60">
        <f>IF($X168&lt;Input!$H$88,IF($X168&lt;Input!$G$88,IF($X168&lt;Input!$F$88,IF($X168&lt;Input!$E$88,IF($X168&lt;Input!$D$88,Input!$C$94,Input!$D$94),Input!$E$94),Input!$F$94),Input!$G$94),Input!$H$94)</f>
        <v>0</v>
      </c>
      <c r="AX168" s="190">
        <f>IF($A168&lt;Input!$H$95,IF($A168&lt;Input!$G$95,IF($A168&lt;Input!$F$95,IF($A168&lt;Input!$E$95,IF($A168&lt;Input!$D$95,Input!$C$96,Input!$D$96),Input!$E$96),Input!$F$96),Input!$G$96),Input!$H$96)</f>
        <v>0.9</v>
      </c>
      <c r="AY168" s="60">
        <f t="shared" si="91"/>
        <v>0</v>
      </c>
      <c r="AZ168" s="60">
        <f t="shared" si="109"/>
        <v>31</v>
      </c>
      <c r="BA168" s="60">
        <f t="shared" si="92"/>
        <v>0</v>
      </c>
      <c r="BB168" s="60">
        <f>ROUND(BA168*AZ168*Input!$C$3/365,0)</f>
        <v>0</v>
      </c>
      <c r="BC168" s="61">
        <f>IF($A168&lt;=Input!$C$6,0,IF('Fixed Tenure'!AY168&lt;'Fixed Tenure'!BA168,'Fixed Tenure'!AY168-BB168,'Fixed Tenure'!BA168))</f>
        <v>0</v>
      </c>
      <c r="BD168" s="61">
        <f t="shared" si="93"/>
        <v>0</v>
      </c>
      <c r="BE168" s="60">
        <f t="shared" si="94"/>
        <v>0</v>
      </c>
      <c r="BF168" s="193"/>
      <c r="BG168" s="169">
        <v>164</v>
      </c>
      <c r="BH168" s="1">
        <f t="shared" si="110"/>
        <v>50510</v>
      </c>
      <c r="BI168" s="60">
        <f>IF($X168&lt;Input!$H$103,IF($X168&lt;Input!$G$103,IF($X168&lt;Input!$F$103,IF($X168&lt;Input!$E$103,IF($X168&lt;Input!$D$103,Input!$C$109,Input!$D$109),Input!$E$109),Input!$F$109),Input!$G$109),Input!$H$109)</f>
        <v>0</v>
      </c>
      <c r="BJ168" s="190">
        <f>IF($A168&lt;Input!$H$110,IF($A168&lt;Input!$G$110,IF($A168&lt;Input!$F$110,IF($A168&lt;Input!$E$110,IF($A168&lt;Input!$D$110,Input!$C$111,Input!$D$111),Input!$E$111),Input!$F$111),Input!$G$111),Input!$H$111)</f>
        <v>0.9</v>
      </c>
      <c r="BK168" s="60">
        <f t="shared" si="95"/>
        <v>0</v>
      </c>
      <c r="BL168" s="60">
        <f t="shared" si="111"/>
        <v>31</v>
      </c>
      <c r="BM168" s="60">
        <f t="shared" si="96"/>
        <v>0</v>
      </c>
      <c r="BN168" s="60">
        <f>ROUND(BM168*BL168*Input!$C$3/365,0)</f>
        <v>0</v>
      </c>
      <c r="BO168" s="61">
        <f>IF($A168&lt;=Input!$C$6,0,IF('Fixed Tenure'!BK168&lt;'Fixed Tenure'!BM168,'Fixed Tenure'!BK168-BN168,'Fixed Tenure'!BM168))</f>
        <v>0</v>
      </c>
      <c r="BP168" s="61">
        <f t="shared" si="97"/>
        <v>0</v>
      </c>
      <c r="BQ168" s="60">
        <f t="shared" si="98"/>
        <v>0</v>
      </c>
      <c r="BR168" s="198"/>
    </row>
    <row r="169" spans="1:70" x14ac:dyDescent="0.25">
      <c r="A169" s="169">
        <v>165</v>
      </c>
      <c r="B169" s="1">
        <f t="shared" si="99"/>
        <v>50540</v>
      </c>
      <c r="C169" s="60">
        <f t="shared" si="77"/>
        <v>33127052.878124986</v>
      </c>
      <c r="D169" s="60">
        <f t="shared" si="78"/>
        <v>29814347.590312488</v>
      </c>
      <c r="E169" s="60">
        <f t="shared" si="100"/>
        <v>30</v>
      </c>
      <c r="F169" s="60">
        <f t="shared" si="101"/>
        <v>0</v>
      </c>
      <c r="G169" s="60">
        <f>ROUND(F169*E169*Input!$C$3/365,0)</f>
        <v>0</v>
      </c>
      <c r="H169" s="60">
        <f>IF($A169&lt;=Input!$C$6,0,IF('Fixed Tenure'!D169&lt;'Fixed Tenure'!F169,'Fixed Tenure'!D169-G169,'Fixed Tenure'!F169))</f>
        <v>0</v>
      </c>
      <c r="I169" s="60">
        <f t="shared" si="102"/>
        <v>0</v>
      </c>
      <c r="J169" s="60">
        <f t="shared" si="103"/>
        <v>0</v>
      </c>
      <c r="K169" s="202">
        <f>J169/Input!$K$5</f>
        <v>0</v>
      </c>
      <c r="L169" s="232"/>
      <c r="M169" s="60">
        <f>IF($B169&lt;Input!$H$43,IF($B169&lt;Input!$G$43,IF($B169&lt;Input!$F$43,IF($B169&lt;Input!$E$43,IF($B169&lt;Input!$D$43,Input!$C$49,Input!$D$49),Input!$E$49),Input!$F$49),Input!$G$49),Input!$H$49)</f>
        <v>33127052.878124986</v>
      </c>
      <c r="N169" s="190">
        <f>IF($A169&lt;Input!$H$50,IF($A169&lt;Input!$G$50,IF($A169&lt;Input!$F$50,IF($A169&lt;Input!$E$50,IF($A169&lt;Input!$D$50,Input!$C$51,Input!$D$51),Input!$E$51),Input!$F$51),Input!$G$51),Input!$H$51)</f>
        <v>0.9</v>
      </c>
      <c r="O169" s="60">
        <f t="shared" si="112"/>
        <v>29814347.590312488</v>
      </c>
      <c r="P169" s="60">
        <f t="shared" si="113"/>
        <v>30</v>
      </c>
      <c r="Q169" s="60">
        <f t="shared" si="80"/>
        <v>0</v>
      </c>
      <c r="R169" s="60">
        <f>ROUND(Q169*$P169*Input!$C$3/365,0)</f>
        <v>0</v>
      </c>
      <c r="S169" s="60">
        <f>IF(A169&lt;=Input!$C$6,0,IF('Fixed Tenure'!O169&lt;'Fixed Tenure'!Q169,'Fixed Tenure'!O169-R169,'Fixed Tenure'!Q169))</f>
        <v>0</v>
      </c>
      <c r="T169" s="60">
        <f t="shared" si="81"/>
        <v>0</v>
      </c>
      <c r="U169" s="60">
        <f t="shared" si="82"/>
        <v>0</v>
      </c>
      <c r="V169" s="193"/>
      <c r="W169" s="169">
        <v>165</v>
      </c>
      <c r="X169" s="1">
        <f t="shared" si="104"/>
        <v>50540</v>
      </c>
      <c r="Y169" s="60">
        <f>IF($X169&lt;Input!$H$58,IF($X169&lt;Input!$G$58,IF($X169&lt;Input!$F$58,IF($X169&lt;Input!$E$58,IF($X169&lt;Input!$D$58,Input!$C$64,Input!$D$64),Input!$E$64),Input!$F$64),Input!$G$64),Input!$H$64)</f>
        <v>0</v>
      </c>
      <c r="Z169" s="190">
        <f>IF($A169&lt;Input!$H$65,IF($A169&lt;Input!$G$65,IF($A169&lt;Input!$F$65,IF($A169&lt;Input!$E$65,IF($A169&lt;Input!$D$65,Input!$C$66,Input!$D$66),Input!$E$66),Input!$F$66),Input!$G$66),Input!$H$66)</f>
        <v>0.9</v>
      </c>
      <c r="AA169" s="60">
        <f t="shared" si="83"/>
        <v>0</v>
      </c>
      <c r="AB169" s="60">
        <f t="shared" si="105"/>
        <v>30</v>
      </c>
      <c r="AC169" s="60">
        <f t="shared" si="84"/>
        <v>0</v>
      </c>
      <c r="AD169" s="60">
        <f>ROUND(AC169*AB169*Input!$C$3/365,0)</f>
        <v>0</v>
      </c>
      <c r="AE169" s="61">
        <f>IF($A169&lt;=Input!$C$6,0,IF('Fixed Tenure'!AA169&lt;'Fixed Tenure'!AC169,'Fixed Tenure'!AA169-AD169,'Fixed Tenure'!AC169))</f>
        <v>0</v>
      </c>
      <c r="AF169" s="61">
        <f t="shared" si="85"/>
        <v>0</v>
      </c>
      <c r="AG169" s="60">
        <f t="shared" si="86"/>
        <v>0</v>
      </c>
      <c r="AH169" s="193"/>
      <c r="AI169" s="169">
        <v>165</v>
      </c>
      <c r="AJ169" s="1">
        <f t="shared" si="106"/>
        <v>50540</v>
      </c>
      <c r="AK169" s="60">
        <f>IF($X169&lt;Input!$H$73,IF($X169&lt;Input!$G$73,IF($X169&lt;Input!$F$73,IF($X169&lt;Input!$E$73,IF($X169&lt;Input!$D$73,Input!$C$79,Input!$D$79),Input!$E$79),Input!$F$79),Input!$G$79),Input!$H$79)</f>
        <v>0</v>
      </c>
      <c r="AL169" s="190">
        <f>IF($A169&lt;Input!$H$80,IF($A169&lt;Input!$G$80,IF($A169&lt;Input!$F$80,IF($A169&lt;Input!$E$80,IF($A169&lt;Input!$D$80,Input!$C$81,Input!$D$81),Input!$E$81),Input!$F$81),Input!$G$81),Input!$H$81)</f>
        <v>0.9</v>
      </c>
      <c r="AM169" s="60">
        <f t="shared" si="87"/>
        <v>0</v>
      </c>
      <c r="AN169" s="60">
        <f t="shared" si="107"/>
        <v>30</v>
      </c>
      <c r="AO169" s="60">
        <f t="shared" si="88"/>
        <v>0</v>
      </c>
      <c r="AP169" s="60">
        <f>ROUND(AO169*AN169*Input!$C$3/365,0)</f>
        <v>0</v>
      </c>
      <c r="AQ169" s="61">
        <f>IF($A169&lt;=Input!$C$6,0,IF('Fixed Tenure'!AM169&lt;'Fixed Tenure'!AO169,'Fixed Tenure'!AM169-AP169,'Fixed Tenure'!AO169))</f>
        <v>0</v>
      </c>
      <c r="AR169" s="61">
        <f t="shared" si="89"/>
        <v>0</v>
      </c>
      <c r="AS169" s="60">
        <f t="shared" si="90"/>
        <v>0</v>
      </c>
      <c r="AT169" s="193"/>
      <c r="AU169" s="169">
        <v>165</v>
      </c>
      <c r="AV169" s="1">
        <f t="shared" si="108"/>
        <v>50540</v>
      </c>
      <c r="AW169" s="60">
        <f>IF($X169&lt;Input!$H$88,IF($X169&lt;Input!$G$88,IF($X169&lt;Input!$F$88,IF($X169&lt;Input!$E$88,IF($X169&lt;Input!$D$88,Input!$C$94,Input!$D$94),Input!$E$94),Input!$F$94),Input!$G$94),Input!$H$94)</f>
        <v>0</v>
      </c>
      <c r="AX169" s="190">
        <f>IF($A169&lt;Input!$H$95,IF($A169&lt;Input!$G$95,IF($A169&lt;Input!$F$95,IF($A169&lt;Input!$E$95,IF($A169&lt;Input!$D$95,Input!$C$96,Input!$D$96),Input!$E$96),Input!$F$96),Input!$G$96),Input!$H$96)</f>
        <v>0.9</v>
      </c>
      <c r="AY169" s="60">
        <f t="shared" si="91"/>
        <v>0</v>
      </c>
      <c r="AZ169" s="60">
        <f t="shared" si="109"/>
        <v>30</v>
      </c>
      <c r="BA169" s="60">
        <f t="shared" si="92"/>
        <v>0</v>
      </c>
      <c r="BB169" s="60">
        <f>ROUND(BA169*AZ169*Input!$C$3/365,0)</f>
        <v>0</v>
      </c>
      <c r="BC169" s="61">
        <f>IF($A169&lt;=Input!$C$6,0,IF('Fixed Tenure'!AY169&lt;'Fixed Tenure'!BA169,'Fixed Tenure'!AY169-BB169,'Fixed Tenure'!BA169))</f>
        <v>0</v>
      </c>
      <c r="BD169" s="61">
        <f t="shared" si="93"/>
        <v>0</v>
      </c>
      <c r="BE169" s="60">
        <f t="shared" si="94"/>
        <v>0</v>
      </c>
      <c r="BF169" s="193"/>
      <c r="BG169" s="169">
        <v>165</v>
      </c>
      <c r="BH169" s="1">
        <f t="shared" si="110"/>
        <v>50540</v>
      </c>
      <c r="BI169" s="60">
        <f>IF($X169&lt;Input!$H$103,IF($X169&lt;Input!$G$103,IF($X169&lt;Input!$F$103,IF($X169&lt;Input!$E$103,IF($X169&lt;Input!$D$103,Input!$C$109,Input!$D$109),Input!$E$109),Input!$F$109),Input!$G$109),Input!$H$109)</f>
        <v>0</v>
      </c>
      <c r="BJ169" s="190">
        <f>IF($A169&lt;Input!$H$110,IF($A169&lt;Input!$G$110,IF($A169&lt;Input!$F$110,IF($A169&lt;Input!$E$110,IF($A169&lt;Input!$D$110,Input!$C$111,Input!$D$111),Input!$E$111),Input!$F$111),Input!$G$111),Input!$H$111)</f>
        <v>0.9</v>
      </c>
      <c r="BK169" s="60">
        <f t="shared" si="95"/>
        <v>0</v>
      </c>
      <c r="BL169" s="60">
        <f t="shared" si="111"/>
        <v>30</v>
      </c>
      <c r="BM169" s="60">
        <f t="shared" si="96"/>
        <v>0</v>
      </c>
      <c r="BN169" s="60">
        <f>ROUND(BM169*BL169*Input!$C$3/365,0)</f>
        <v>0</v>
      </c>
      <c r="BO169" s="61">
        <f>IF($A169&lt;=Input!$C$6,0,IF('Fixed Tenure'!BK169&lt;'Fixed Tenure'!BM169,'Fixed Tenure'!BK169-BN169,'Fixed Tenure'!BM169))</f>
        <v>0</v>
      </c>
      <c r="BP169" s="61">
        <f t="shared" si="97"/>
        <v>0</v>
      </c>
      <c r="BQ169" s="60">
        <f t="shared" si="98"/>
        <v>0</v>
      </c>
      <c r="BR169" s="198"/>
    </row>
    <row r="170" spans="1:70" x14ac:dyDescent="0.25">
      <c r="A170" s="169">
        <v>166</v>
      </c>
      <c r="B170" s="1">
        <f t="shared" si="99"/>
        <v>50571</v>
      </c>
      <c r="C170" s="60">
        <f t="shared" si="77"/>
        <v>33127052.878124986</v>
      </c>
      <c r="D170" s="60">
        <f t="shared" si="78"/>
        <v>29814347.590312488</v>
      </c>
      <c r="E170" s="60">
        <f t="shared" si="100"/>
        <v>31</v>
      </c>
      <c r="F170" s="60">
        <f t="shared" si="101"/>
        <v>0</v>
      </c>
      <c r="G170" s="60">
        <f>ROUND(F170*E170*Input!$C$3/365,0)</f>
        <v>0</v>
      </c>
      <c r="H170" s="60">
        <f>IF($A170&lt;=Input!$C$6,0,IF('Fixed Tenure'!D170&lt;'Fixed Tenure'!F170,'Fixed Tenure'!D170-G170,'Fixed Tenure'!F170))</f>
        <v>0</v>
      </c>
      <c r="I170" s="60">
        <f t="shared" si="102"/>
        <v>0</v>
      </c>
      <c r="J170" s="60">
        <f t="shared" si="103"/>
        <v>0</v>
      </c>
      <c r="K170" s="202">
        <f>J170/Input!$K$5</f>
        <v>0</v>
      </c>
      <c r="L170" s="232"/>
      <c r="M170" s="60">
        <f>IF($B170&lt;Input!$H$43,IF($B170&lt;Input!$G$43,IF($B170&lt;Input!$F$43,IF($B170&lt;Input!$E$43,IF($B170&lt;Input!$D$43,Input!$C$49,Input!$D$49),Input!$E$49),Input!$F$49),Input!$G$49),Input!$H$49)</f>
        <v>33127052.878124986</v>
      </c>
      <c r="N170" s="190">
        <f>IF($A170&lt;Input!$H$50,IF($A170&lt;Input!$G$50,IF($A170&lt;Input!$F$50,IF($A170&lt;Input!$E$50,IF($A170&lt;Input!$D$50,Input!$C$51,Input!$D$51),Input!$E$51),Input!$F$51),Input!$G$51),Input!$H$51)</f>
        <v>0.9</v>
      </c>
      <c r="O170" s="60">
        <f t="shared" si="112"/>
        <v>29814347.590312488</v>
      </c>
      <c r="P170" s="60">
        <f t="shared" si="113"/>
        <v>31</v>
      </c>
      <c r="Q170" s="60">
        <f t="shared" si="80"/>
        <v>0</v>
      </c>
      <c r="R170" s="60">
        <f>ROUND(Q170*$P170*Input!$C$3/365,0)</f>
        <v>0</v>
      </c>
      <c r="S170" s="60">
        <f>IF(A170&lt;=Input!$C$6,0,IF('Fixed Tenure'!O170&lt;'Fixed Tenure'!Q170,'Fixed Tenure'!O170-R170,'Fixed Tenure'!Q170))</f>
        <v>0</v>
      </c>
      <c r="T170" s="60">
        <f t="shared" si="81"/>
        <v>0</v>
      </c>
      <c r="U170" s="60">
        <f t="shared" si="82"/>
        <v>0</v>
      </c>
      <c r="V170" s="193"/>
      <c r="W170" s="169">
        <v>166</v>
      </c>
      <c r="X170" s="1">
        <f t="shared" si="104"/>
        <v>50571</v>
      </c>
      <c r="Y170" s="60">
        <f>IF($X170&lt;Input!$H$58,IF($X170&lt;Input!$G$58,IF($X170&lt;Input!$F$58,IF($X170&lt;Input!$E$58,IF($X170&lt;Input!$D$58,Input!$C$64,Input!$D$64),Input!$E$64),Input!$F$64),Input!$G$64),Input!$H$64)</f>
        <v>0</v>
      </c>
      <c r="Z170" s="190">
        <f>IF($A170&lt;Input!$H$65,IF($A170&lt;Input!$G$65,IF($A170&lt;Input!$F$65,IF($A170&lt;Input!$E$65,IF($A170&lt;Input!$D$65,Input!$C$66,Input!$D$66),Input!$E$66),Input!$F$66),Input!$G$66),Input!$H$66)</f>
        <v>0.9</v>
      </c>
      <c r="AA170" s="60">
        <f t="shared" si="83"/>
        <v>0</v>
      </c>
      <c r="AB170" s="60">
        <f t="shared" si="105"/>
        <v>31</v>
      </c>
      <c r="AC170" s="60">
        <f t="shared" si="84"/>
        <v>0</v>
      </c>
      <c r="AD170" s="60">
        <f>ROUND(AC170*AB170*Input!$C$3/365,0)</f>
        <v>0</v>
      </c>
      <c r="AE170" s="61">
        <f>IF($A170&lt;=Input!$C$6,0,IF('Fixed Tenure'!AA170&lt;'Fixed Tenure'!AC170,'Fixed Tenure'!AA170-AD170,'Fixed Tenure'!AC170))</f>
        <v>0</v>
      </c>
      <c r="AF170" s="61">
        <f t="shared" si="85"/>
        <v>0</v>
      </c>
      <c r="AG170" s="60">
        <f t="shared" si="86"/>
        <v>0</v>
      </c>
      <c r="AH170" s="193"/>
      <c r="AI170" s="169">
        <v>166</v>
      </c>
      <c r="AJ170" s="1">
        <f t="shared" si="106"/>
        <v>50571</v>
      </c>
      <c r="AK170" s="60">
        <f>IF($X170&lt;Input!$H$73,IF($X170&lt;Input!$G$73,IF($X170&lt;Input!$F$73,IF($X170&lt;Input!$E$73,IF($X170&lt;Input!$D$73,Input!$C$79,Input!$D$79),Input!$E$79),Input!$F$79),Input!$G$79),Input!$H$79)</f>
        <v>0</v>
      </c>
      <c r="AL170" s="190">
        <f>IF($A170&lt;Input!$H$80,IF($A170&lt;Input!$G$80,IF($A170&lt;Input!$F$80,IF($A170&lt;Input!$E$80,IF($A170&lt;Input!$D$80,Input!$C$81,Input!$D$81),Input!$E$81),Input!$F$81),Input!$G$81),Input!$H$81)</f>
        <v>0.9</v>
      </c>
      <c r="AM170" s="60">
        <f t="shared" si="87"/>
        <v>0</v>
      </c>
      <c r="AN170" s="60">
        <f t="shared" si="107"/>
        <v>31</v>
      </c>
      <c r="AO170" s="60">
        <f t="shared" si="88"/>
        <v>0</v>
      </c>
      <c r="AP170" s="60">
        <f>ROUND(AO170*AN170*Input!$C$3/365,0)</f>
        <v>0</v>
      </c>
      <c r="AQ170" s="61">
        <f>IF($A170&lt;=Input!$C$6,0,IF('Fixed Tenure'!AM170&lt;'Fixed Tenure'!AO170,'Fixed Tenure'!AM170-AP170,'Fixed Tenure'!AO170))</f>
        <v>0</v>
      </c>
      <c r="AR170" s="61">
        <f t="shared" si="89"/>
        <v>0</v>
      </c>
      <c r="AS170" s="60">
        <f t="shared" si="90"/>
        <v>0</v>
      </c>
      <c r="AT170" s="193"/>
      <c r="AU170" s="169">
        <v>166</v>
      </c>
      <c r="AV170" s="1">
        <f t="shared" si="108"/>
        <v>50571</v>
      </c>
      <c r="AW170" s="60">
        <f>IF($X170&lt;Input!$H$88,IF($X170&lt;Input!$G$88,IF($X170&lt;Input!$F$88,IF($X170&lt;Input!$E$88,IF($X170&lt;Input!$D$88,Input!$C$94,Input!$D$94),Input!$E$94),Input!$F$94),Input!$G$94),Input!$H$94)</f>
        <v>0</v>
      </c>
      <c r="AX170" s="190">
        <f>IF($A170&lt;Input!$H$95,IF($A170&lt;Input!$G$95,IF($A170&lt;Input!$F$95,IF($A170&lt;Input!$E$95,IF($A170&lt;Input!$D$95,Input!$C$96,Input!$D$96),Input!$E$96),Input!$F$96),Input!$G$96),Input!$H$96)</f>
        <v>0.9</v>
      </c>
      <c r="AY170" s="60">
        <f t="shared" si="91"/>
        <v>0</v>
      </c>
      <c r="AZ170" s="60">
        <f t="shared" si="109"/>
        <v>31</v>
      </c>
      <c r="BA170" s="60">
        <f t="shared" si="92"/>
        <v>0</v>
      </c>
      <c r="BB170" s="60">
        <f>ROUND(BA170*AZ170*Input!$C$3/365,0)</f>
        <v>0</v>
      </c>
      <c r="BC170" s="61">
        <f>IF($A170&lt;=Input!$C$6,0,IF('Fixed Tenure'!AY170&lt;'Fixed Tenure'!BA170,'Fixed Tenure'!AY170-BB170,'Fixed Tenure'!BA170))</f>
        <v>0</v>
      </c>
      <c r="BD170" s="61">
        <f t="shared" si="93"/>
        <v>0</v>
      </c>
      <c r="BE170" s="60">
        <f t="shared" si="94"/>
        <v>0</v>
      </c>
      <c r="BF170" s="193"/>
      <c r="BG170" s="169">
        <v>166</v>
      </c>
      <c r="BH170" s="1">
        <f t="shared" si="110"/>
        <v>50571</v>
      </c>
      <c r="BI170" s="60">
        <f>IF($X170&lt;Input!$H$103,IF($X170&lt;Input!$G$103,IF($X170&lt;Input!$F$103,IF($X170&lt;Input!$E$103,IF($X170&lt;Input!$D$103,Input!$C$109,Input!$D$109),Input!$E$109),Input!$F$109),Input!$G$109),Input!$H$109)</f>
        <v>0</v>
      </c>
      <c r="BJ170" s="190">
        <f>IF($A170&lt;Input!$H$110,IF($A170&lt;Input!$G$110,IF($A170&lt;Input!$F$110,IF($A170&lt;Input!$E$110,IF($A170&lt;Input!$D$110,Input!$C$111,Input!$D$111),Input!$E$111),Input!$F$111),Input!$G$111),Input!$H$111)</f>
        <v>0.9</v>
      </c>
      <c r="BK170" s="60">
        <f t="shared" si="95"/>
        <v>0</v>
      </c>
      <c r="BL170" s="60">
        <f t="shared" si="111"/>
        <v>31</v>
      </c>
      <c r="BM170" s="60">
        <f t="shared" si="96"/>
        <v>0</v>
      </c>
      <c r="BN170" s="60">
        <f>ROUND(BM170*BL170*Input!$C$3/365,0)</f>
        <v>0</v>
      </c>
      <c r="BO170" s="61">
        <f>IF($A170&lt;=Input!$C$6,0,IF('Fixed Tenure'!BK170&lt;'Fixed Tenure'!BM170,'Fixed Tenure'!BK170-BN170,'Fixed Tenure'!BM170))</f>
        <v>0</v>
      </c>
      <c r="BP170" s="61">
        <f t="shared" si="97"/>
        <v>0</v>
      </c>
      <c r="BQ170" s="60">
        <f t="shared" si="98"/>
        <v>0</v>
      </c>
      <c r="BR170" s="198"/>
    </row>
    <row r="171" spans="1:70" x14ac:dyDescent="0.25">
      <c r="A171" s="169">
        <v>167</v>
      </c>
      <c r="B171" s="1">
        <f t="shared" si="99"/>
        <v>50601</v>
      </c>
      <c r="C171" s="60">
        <f t="shared" si="77"/>
        <v>33127052.878124986</v>
      </c>
      <c r="D171" s="60">
        <f t="shared" si="78"/>
        <v>29814347.590312488</v>
      </c>
      <c r="E171" s="60">
        <f t="shared" si="100"/>
        <v>30</v>
      </c>
      <c r="F171" s="60">
        <f t="shared" si="101"/>
        <v>0</v>
      </c>
      <c r="G171" s="60">
        <f>ROUND(F171*E171*Input!$C$3/365,0)</f>
        <v>0</v>
      </c>
      <c r="H171" s="60">
        <f>IF($A171&lt;=Input!$C$6,0,IF('Fixed Tenure'!D171&lt;'Fixed Tenure'!F171,'Fixed Tenure'!D171-G171,'Fixed Tenure'!F171))</f>
        <v>0</v>
      </c>
      <c r="I171" s="60">
        <f t="shared" si="102"/>
        <v>0</v>
      </c>
      <c r="J171" s="60">
        <f t="shared" si="103"/>
        <v>0</v>
      </c>
      <c r="K171" s="202">
        <f>J171/Input!$K$5</f>
        <v>0</v>
      </c>
      <c r="L171" s="232"/>
      <c r="M171" s="60">
        <f>IF($B171&lt;Input!$H$43,IF($B171&lt;Input!$G$43,IF($B171&lt;Input!$F$43,IF($B171&lt;Input!$E$43,IF($B171&lt;Input!$D$43,Input!$C$49,Input!$D$49),Input!$E$49),Input!$F$49),Input!$G$49),Input!$H$49)</f>
        <v>33127052.878124986</v>
      </c>
      <c r="N171" s="190">
        <f>IF($A171&lt;Input!$H$50,IF($A171&lt;Input!$G$50,IF($A171&lt;Input!$F$50,IF($A171&lt;Input!$E$50,IF($A171&lt;Input!$D$50,Input!$C$51,Input!$D$51),Input!$E$51),Input!$F$51),Input!$G$51),Input!$H$51)</f>
        <v>0.9</v>
      </c>
      <c r="O171" s="60">
        <f t="shared" si="112"/>
        <v>29814347.590312488</v>
      </c>
      <c r="P171" s="60">
        <f t="shared" si="113"/>
        <v>30</v>
      </c>
      <c r="Q171" s="60">
        <f t="shared" si="80"/>
        <v>0</v>
      </c>
      <c r="R171" s="60">
        <f>ROUND(Q171*$P171*Input!$C$3/365,0)</f>
        <v>0</v>
      </c>
      <c r="S171" s="60">
        <f>IF(A171&lt;=Input!$C$6,0,IF('Fixed Tenure'!O171&lt;'Fixed Tenure'!Q171,'Fixed Tenure'!O171-R171,'Fixed Tenure'!Q171))</f>
        <v>0</v>
      </c>
      <c r="T171" s="60">
        <f t="shared" si="81"/>
        <v>0</v>
      </c>
      <c r="U171" s="60">
        <f t="shared" si="82"/>
        <v>0</v>
      </c>
      <c r="V171" s="193"/>
      <c r="W171" s="169">
        <v>167</v>
      </c>
      <c r="X171" s="1">
        <f t="shared" si="104"/>
        <v>50601</v>
      </c>
      <c r="Y171" s="60">
        <f>IF($X171&lt;Input!$H$58,IF($X171&lt;Input!$G$58,IF($X171&lt;Input!$F$58,IF($X171&lt;Input!$E$58,IF($X171&lt;Input!$D$58,Input!$C$64,Input!$D$64),Input!$E$64),Input!$F$64),Input!$G$64),Input!$H$64)</f>
        <v>0</v>
      </c>
      <c r="Z171" s="190">
        <f>IF($A171&lt;Input!$H$65,IF($A171&lt;Input!$G$65,IF($A171&lt;Input!$F$65,IF($A171&lt;Input!$E$65,IF($A171&lt;Input!$D$65,Input!$C$66,Input!$D$66),Input!$E$66),Input!$F$66),Input!$G$66),Input!$H$66)</f>
        <v>0.9</v>
      </c>
      <c r="AA171" s="60">
        <f t="shared" si="83"/>
        <v>0</v>
      </c>
      <c r="AB171" s="60">
        <f t="shared" si="105"/>
        <v>30</v>
      </c>
      <c r="AC171" s="60">
        <f t="shared" si="84"/>
        <v>0</v>
      </c>
      <c r="AD171" s="60">
        <f>ROUND(AC171*AB171*Input!$C$3/365,0)</f>
        <v>0</v>
      </c>
      <c r="AE171" s="61">
        <f>IF($A171&lt;=Input!$C$6,0,IF('Fixed Tenure'!AA171&lt;'Fixed Tenure'!AC171,'Fixed Tenure'!AA171-AD171,'Fixed Tenure'!AC171))</f>
        <v>0</v>
      </c>
      <c r="AF171" s="61">
        <f t="shared" si="85"/>
        <v>0</v>
      </c>
      <c r="AG171" s="60">
        <f t="shared" si="86"/>
        <v>0</v>
      </c>
      <c r="AH171" s="193"/>
      <c r="AI171" s="169">
        <v>167</v>
      </c>
      <c r="AJ171" s="1">
        <f t="shared" si="106"/>
        <v>50601</v>
      </c>
      <c r="AK171" s="60">
        <f>IF($X171&lt;Input!$H$73,IF($X171&lt;Input!$G$73,IF($X171&lt;Input!$F$73,IF($X171&lt;Input!$E$73,IF($X171&lt;Input!$D$73,Input!$C$79,Input!$D$79),Input!$E$79),Input!$F$79),Input!$G$79),Input!$H$79)</f>
        <v>0</v>
      </c>
      <c r="AL171" s="190">
        <f>IF($A171&lt;Input!$H$80,IF($A171&lt;Input!$G$80,IF($A171&lt;Input!$F$80,IF($A171&lt;Input!$E$80,IF($A171&lt;Input!$D$80,Input!$C$81,Input!$D$81),Input!$E$81),Input!$F$81),Input!$G$81),Input!$H$81)</f>
        <v>0.9</v>
      </c>
      <c r="AM171" s="60">
        <f t="shared" si="87"/>
        <v>0</v>
      </c>
      <c r="AN171" s="60">
        <f t="shared" si="107"/>
        <v>30</v>
      </c>
      <c r="AO171" s="60">
        <f t="shared" si="88"/>
        <v>0</v>
      </c>
      <c r="AP171" s="60">
        <f>ROUND(AO171*AN171*Input!$C$3/365,0)</f>
        <v>0</v>
      </c>
      <c r="AQ171" s="61">
        <f>IF($A171&lt;=Input!$C$6,0,IF('Fixed Tenure'!AM171&lt;'Fixed Tenure'!AO171,'Fixed Tenure'!AM171-AP171,'Fixed Tenure'!AO171))</f>
        <v>0</v>
      </c>
      <c r="AR171" s="61">
        <f t="shared" si="89"/>
        <v>0</v>
      </c>
      <c r="AS171" s="60">
        <f t="shared" si="90"/>
        <v>0</v>
      </c>
      <c r="AT171" s="193"/>
      <c r="AU171" s="169">
        <v>167</v>
      </c>
      <c r="AV171" s="1">
        <f t="shared" si="108"/>
        <v>50601</v>
      </c>
      <c r="AW171" s="60">
        <f>IF($X171&lt;Input!$H$88,IF($X171&lt;Input!$G$88,IF($X171&lt;Input!$F$88,IF($X171&lt;Input!$E$88,IF($X171&lt;Input!$D$88,Input!$C$94,Input!$D$94),Input!$E$94),Input!$F$94),Input!$G$94),Input!$H$94)</f>
        <v>0</v>
      </c>
      <c r="AX171" s="190">
        <f>IF($A171&lt;Input!$H$95,IF($A171&lt;Input!$G$95,IF($A171&lt;Input!$F$95,IF($A171&lt;Input!$E$95,IF($A171&lt;Input!$D$95,Input!$C$96,Input!$D$96),Input!$E$96),Input!$F$96),Input!$G$96),Input!$H$96)</f>
        <v>0.9</v>
      </c>
      <c r="AY171" s="60">
        <f t="shared" si="91"/>
        <v>0</v>
      </c>
      <c r="AZ171" s="60">
        <f t="shared" si="109"/>
        <v>30</v>
      </c>
      <c r="BA171" s="60">
        <f t="shared" si="92"/>
        <v>0</v>
      </c>
      <c r="BB171" s="60">
        <f>ROUND(BA171*AZ171*Input!$C$3/365,0)</f>
        <v>0</v>
      </c>
      <c r="BC171" s="61">
        <f>IF($A171&lt;=Input!$C$6,0,IF('Fixed Tenure'!AY171&lt;'Fixed Tenure'!BA171,'Fixed Tenure'!AY171-BB171,'Fixed Tenure'!BA171))</f>
        <v>0</v>
      </c>
      <c r="BD171" s="61">
        <f t="shared" si="93"/>
        <v>0</v>
      </c>
      <c r="BE171" s="60">
        <f t="shared" si="94"/>
        <v>0</v>
      </c>
      <c r="BF171" s="193"/>
      <c r="BG171" s="169">
        <v>167</v>
      </c>
      <c r="BH171" s="1">
        <f t="shared" si="110"/>
        <v>50601</v>
      </c>
      <c r="BI171" s="60">
        <f>IF($X171&lt;Input!$H$103,IF($X171&lt;Input!$G$103,IF($X171&lt;Input!$F$103,IF($X171&lt;Input!$E$103,IF($X171&lt;Input!$D$103,Input!$C$109,Input!$D$109),Input!$E$109),Input!$F$109),Input!$G$109),Input!$H$109)</f>
        <v>0</v>
      </c>
      <c r="BJ171" s="190">
        <f>IF($A171&lt;Input!$H$110,IF($A171&lt;Input!$G$110,IF($A171&lt;Input!$F$110,IF($A171&lt;Input!$E$110,IF($A171&lt;Input!$D$110,Input!$C$111,Input!$D$111),Input!$E$111),Input!$F$111),Input!$G$111),Input!$H$111)</f>
        <v>0.9</v>
      </c>
      <c r="BK171" s="60">
        <f t="shared" si="95"/>
        <v>0</v>
      </c>
      <c r="BL171" s="60">
        <f t="shared" si="111"/>
        <v>30</v>
      </c>
      <c r="BM171" s="60">
        <f t="shared" si="96"/>
        <v>0</v>
      </c>
      <c r="BN171" s="60">
        <f>ROUND(BM171*BL171*Input!$C$3/365,0)</f>
        <v>0</v>
      </c>
      <c r="BO171" s="61">
        <f>IF($A171&lt;=Input!$C$6,0,IF('Fixed Tenure'!BK171&lt;'Fixed Tenure'!BM171,'Fixed Tenure'!BK171-BN171,'Fixed Tenure'!BM171))</f>
        <v>0</v>
      </c>
      <c r="BP171" s="61">
        <f t="shared" si="97"/>
        <v>0</v>
      </c>
      <c r="BQ171" s="60">
        <f t="shared" si="98"/>
        <v>0</v>
      </c>
      <c r="BR171" s="198"/>
    </row>
    <row r="172" spans="1:70" x14ac:dyDescent="0.25">
      <c r="A172" s="169">
        <v>168</v>
      </c>
      <c r="B172" s="1">
        <f t="shared" si="99"/>
        <v>50632</v>
      </c>
      <c r="C172" s="60">
        <f t="shared" si="77"/>
        <v>33127052.878124986</v>
      </c>
      <c r="D172" s="60">
        <f t="shared" si="78"/>
        <v>29814347.590312488</v>
      </c>
      <c r="E172" s="60">
        <f t="shared" si="100"/>
        <v>31</v>
      </c>
      <c r="F172" s="60">
        <f t="shared" si="101"/>
        <v>0</v>
      </c>
      <c r="G172" s="60">
        <f>ROUND(F172*E172*Input!$C$3/365,0)</f>
        <v>0</v>
      </c>
      <c r="H172" s="60">
        <f>IF($A172&lt;=Input!$C$6,0,IF('Fixed Tenure'!D172&lt;'Fixed Tenure'!F172,'Fixed Tenure'!D172-G172,'Fixed Tenure'!F172))</f>
        <v>0</v>
      </c>
      <c r="I172" s="60">
        <f t="shared" si="102"/>
        <v>0</v>
      </c>
      <c r="J172" s="60">
        <f t="shared" si="103"/>
        <v>0</v>
      </c>
      <c r="K172" s="202">
        <f>J172/Input!$K$5</f>
        <v>0</v>
      </c>
      <c r="L172" s="232"/>
      <c r="M172" s="60">
        <f>IF($B172&lt;Input!$H$43,IF($B172&lt;Input!$G$43,IF($B172&lt;Input!$F$43,IF($B172&lt;Input!$E$43,IF($B172&lt;Input!$D$43,Input!$C$49,Input!$D$49),Input!$E$49),Input!$F$49),Input!$G$49),Input!$H$49)</f>
        <v>33127052.878124986</v>
      </c>
      <c r="N172" s="190">
        <f>IF($A172&lt;Input!$H$50,IF($A172&lt;Input!$G$50,IF($A172&lt;Input!$F$50,IF($A172&lt;Input!$E$50,IF($A172&lt;Input!$D$50,Input!$C$51,Input!$D$51),Input!$E$51),Input!$F$51),Input!$G$51),Input!$H$51)</f>
        <v>0.9</v>
      </c>
      <c r="O172" s="60">
        <f t="shared" si="112"/>
        <v>29814347.590312488</v>
      </c>
      <c r="P172" s="60">
        <f t="shared" si="113"/>
        <v>31</v>
      </c>
      <c r="Q172" s="60">
        <f t="shared" si="80"/>
        <v>0</v>
      </c>
      <c r="R172" s="60">
        <f>ROUND(Q172*$P172*Input!$C$3/365,0)</f>
        <v>0</v>
      </c>
      <c r="S172" s="60">
        <f>IF(A172&lt;=Input!$C$6,0,IF('Fixed Tenure'!O172&lt;'Fixed Tenure'!Q172,'Fixed Tenure'!O172-R172,'Fixed Tenure'!Q172))</f>
        <v>0</v>
      </c>
      <c r="T172" s="60">
        <f t="shared" si="81"/>
        <v>0</v>
      </c>
      <c r="U172" s="60">
        <f t="shared" si="82"/>
        <v>0</v>
      </c>
      <c r="V172" s="193"/>
      <c r="W172" s="169">
        <v>168</v>
      </c>
      <c r="X172" s="1">
        <f t="shared" si="104"/>
        <v>50632</v>
      </c>
      <c r="Y172" s="60">
        <f>IF($X172&lt;Input!$H$58,IF($X172&lt;Input!$G$58,IF($X172&lt;Input!$F$58,IF($X172&lt;Input!$E$58,IF($X172&lt;Input!$D$58,Input!$C$64,Input!$D$64),Input!$E$64),Input!$F$64),Input!$G$64),Input!$H$64)</f>
        <v>0</v>
      </c>
      <c r="Z172" s="190">
        <f>IF($A172&lt;Input!$H$65,IF($A172&lt;Input!$G$65,IF($A172&lt;Input!$F$65,IF($A172&lt;Input!$E$65,IF($A172&lt;Input!$D$65,Input!$C$66,Input!$D$66),Input!$E$66),Input!$F$66),Input!$G$66),Input!$H$66)</f>
        <v>0.9</v>
      </c>
      <c r="AA172" s="60">
        <f t="shared" si="83"/>
        <v>0</v>
      </c>
      <c r="AB172" s="60">
        <f t="shared" si="105"/>
        <v>31</v>
      </c>
      <c r="AC172" s="60">
        <f t="shared" si="84"/>
        <v>0</v>
      </c>
      <c r="AD172" s="60">
        <f>ROUND(AC172*AB172*Input!$C$3/365,0)</f>
        <v>0</v>
      </c>
      <c r="AE172" s="61">
        <f>IF($A172&lt;=Input!$C$6,0,IF('Fixed Tenure'!AA172&lt;'Fixed Tenure'!AC172,'Fixed Tenure'!AA172-AD172,'Fixed Tenure'!AC172))</f>
        <v>0</v>
      </c>
      <c r="AF172" s="61">
        <f t="shared" si="85"/>
        <v>0</v>
      </c>
      <c r="AG172" s="60">
        <f t="shared" si="86"/>
        <v>0</v>
      </c>
      <c r="AH172" s="193"/>
      <c r="AI172" s="169">
        <v>168</v>
      </c>
      <c r="AJ172" s="1">
        <f t="shared" si="106"/>
        <v>50632</v>
      </c>
      <c r="AK172" s="60">
        <f>IF($X172&lt;Input!$H$73,IF($X172&lt;Input!$G$73,IF($X172&lt;Input!$F$73,IF($X172&lt;Input!$E$73,IF($X172&lt;Input!$D$73,Input!$C$79,Input!$D$79),Input!$E$79),Input!$F$79),Input!$G$79),Input!$H$79)</f>
        <v>0</v>
      </c>
      <c r="AL172" s="190">
        <f>IF($A172&lt;Input!$H$80,IF($A172&lt;Input!$G$80,IF($A172&lt;Input!$F$80,IF($A172&lt;Input!$E$80,IF($A172&lt;Input!$D$80,Input!$C$81,Input!$D$81),Input!$E$81),Input!$F$81),Input!$G$81),Input!$H$81)</f>
        <v>0.9</v>
      </c>
      <c r="AM172" s="60">
        <f t="shared" si="87"/>
        <v>0</v>
      </c>
      <c r="AN172" s="60">
        <f t="shared" si="107"/>
        <v>31</v>
      </c>
      <c r="AO172" s="60">
        <f t="shared" si="88"/>
        <v>0</v>
      </c>
      <c r="AP172" s="60">
        <f>ROUND(AO172*AN172*Input!$C$3/365,0)</f>
        <v>0</v>
      </c>
      <c r="AQ172" s="61">
        <f>IF($A172&lt;=Input!$C$6,0,IF('Fixed Tenure'!AM172&lt;'Fixed Tenure'!AO172,'Fixed Tenure'!AM172-AP172,'Fixed Tenure'!AO172))</f>
        <v>0</v>
      </c>
      <c r="AR172" s="61">
        <f t="shared" si="89"/>
        <v>0</v>
      </c>
      <c r="AS172" s="60">
        <f t="shared" si="90"/>
        <v>0</v>
      </c>
      <c r="AT172" s="193"/>
      <c r="AU172" s="169">
        <v>168</v>
      </c>
      <c r="AV172" s="1">
        <f t="shared" si="108"/>
        <v>50632</v>
      </c>
      <c r="AW172" s="60">
        <f>IF($X172&lt;Input!$H$88,IF($X172&lt;Input!$G$88,IF($X172&lt;Input!$F$88,IF($X172&lt;Input!$E$88,IF($X172&lt;Input!$D$88,Input!$C$94,Input!$D$94),Input!$E$94),Input!$F$94),Input!$G$94),Input!$H$94)</f>
        <v>0</v>
      </c>
      <c r="AX172" s="190">
        <f>IF($A172&lt;Input!$H$95,IF($A172&lt;Input!$G$95,IF($A172&lt;Input!$F$95,IF($A172&lt;Input!$E$95,IF($A172&lt;Input!$D$95,Input!$C$96,Input!$D$96),Input!$E$96),Input!$F$96),Input!$G$96),Input!$H$96)</f>
        <v>0.9</v>
      </c>
      <c r="AY172" s="60">
        <f t="shared" si="91"/>
        <v>0</v>
      </c>
      <c r="AZ172" s="60">
        <f t="shared" si="109"/>
        <v>31</v>
      </c>
      <c r="BA172" s="60">
        <f t="shared" si="92"/>
        <v>0</v>
      </c>
      <c r="BB172" s="60">
        <f>ROUND(BA172*AZ172*Input!$C$3/365,0)</f>
        <v>0</v>
      </c>
      <c r="BC172" s="61">
        <f>IF($A172&lt;=Input!$C$6,0,IF('Fixed Tenure'!AY172&lt;'Fixed Tenure'!BA172,'Fixed Tenure'!AY172-BB172,'Fixed Tenure'!BA172))</f>
        <v>0</v>
      </c>
      <c r="BD172" s="61">
        <f t="shared" si="93"/>
        <v>0</v>
      </c>
      <c r="BE172" s="60">
        <f t="shared" si="94"/>
        <v>0</v>
      </c>
      <c r="BF172" s="193"/>
      <c r="BG172" s="169">
        <v>168</v>
      </c>
      <c r="BH172" s="1">
        <f t="shared" si="110"/>
        <v>50632</v>
      </c>
      <c r="BI172" s="60">
        <f>IF($X172&lt;Input!$H$103,IF($X172&lt;Input!$G$103,IF($X172&lt;Input!$F$103,IF($X172&lt;Input!$E$103,IF($X172&lt;Input!$D$103,Input!$C$109,Input!$D$109),Input!$E$109),Input!$F$109),Input!$G$109),Input!$H$109)</f>
        <v>0</v>
      </c>
      <c r="BJ172" s="190">
        <f>IF($A172&lt;Input!$H$110,IF($A172&lt;Input!$G$110,IF($A172&lt;Input!$F$110,IF($A172&lt;Input!$E$110,IF($A172&lt;Input!$D$110,Input!$C$111,Input!$D$111),Input!$E$111),Input!$F$111),Input!$G$111),Input!$H$111)</f>
        <v>0.9</v>
      </c>
      <c r="BK172" s="60">
        <f t="shared" si="95"/>
        <v>0</v>
      </c>
      <c r="BL172" s="60">
        <f t="shared" si="111"/>
        <v>31</v>
      </c>
      <c r="BM172" s="60">
        <f t="shared" si="96"/>
        <v>0</v>
      </c>
      <c r="BN172" s="60">
        <f>ROUND(BM172*BL172*Input!$C$3/365,0)</f>
        <v>0</v>
      </c>
      <c r="BO172" s="61">
        <f>IF($A172&lt;=Input!$C$6,0,IF('Fixed Tenure'!BK172&lt;'Fixed Tenure'!BM172,'Fixed Tenure'!BK172-BN172,'Fixed Tenure'!BM172))</f>
        <v>0</v>
      </c>
      <c r="BP172" s="61">
        <f t="shared" si="97"/>
        <v>0</v>
      </c>
      <c r="BQ172" s="60">
        <f t="shared" si="98"/>
        <v>0</v>
      </c>
      <c r="BR172" s="198"/>
    </row>
    <row r="173" spans="1:70" x14ac:dyDescent="0.25">
      <c r="A173" s="169">
        <v>169</v>
      </c>
      <c r="B173" s="1">
        <f t="shared" si="99"/>
        <v>50663</v>
      </c>
      <c r="C173" s="60">
        <f t="shared" si="77"/>
        <v>33127052.878124986</v>
      </c>
      <c r="D173" s="60">
        <f t="shared" si="78"/>
        <v>29814347.590312488</v>
      </c>
      <c r="E173" s="60">
        <f t="shared" si="100"/>
        <v>31</v>
      </c>
      <c r="F173" s="60">
        <f t="shared" si="101"/>
        <v>0</v>
      </c>
      <c r="G173" s="60">
        <f>ROUND(F173*E173*Input!$C$3/365,0)</f>
        <v>0</v>
      </c>
      <c r="H173" s="60">
        <f>IF($A173&lt;=Input!$C$6,0,IF('Fixed Tenure'!D173&lt;'Fixed Tenure'!F173,'Fixed Tenure'!D173-G173,'Fixed Tenure'!F173))</f>
        <v>0</v>
      </c>
      <c r="I173" s="60">
        <f t="shared" si="102"/>
        <v>0</v>
      </c>
      <c r="J173" s="60">
        <f t="shared" si="103"/>
        <v>0</v>
      </c>
      <c r="K173" s="202">
        <f>J173/Input!$K$5</f>
        <v>0</v>
      </c>
      <c r="L173" s="232"/>
      <c r="M173" s="60">
        <f>IF($B173&lt;Input!$H$43,IF($B173&lt;Input!$G$43,IF($B173&lt;Input!$F$43,IF($B173&lt;Input!$E$43,IF($B173&lt;Input!$D$43,Input!$C$49,Input!$D$49),Input!$E$49),Input!$F$49),Input!$G$49),Input!$H$49)</f>
        <v>33127052.878124986</v>
      </c>
      <c r="N173" s="190">
        <f>IF($A173&lt;Input!$H$50,IF($A173&lt;Input!$G$50,IF($A173&lt;Input!$F$50,IF($A173&lt;Input!$E$50,IF($A173&lt;Input!$D$50,Input!$C$51,Input!$D$51),Input!$E$51),Input!$F$51),Input!$G$51),Input!$H$51)</f>
        <v>0.9</v>
      </c>
      <c r="O173" s="60">
        <f t="shared" si="112"/>
        <v>29814347.590312488</v>
      </c>
      <c r="P173" s="60">
        <f t="shared" si="113"/>
        <v>31</v>
      </c>
      <c r="Q173" s="60">
        <f t="shared" si="80"/>
        <v>0</v>
      </c>
      <c r="R173" s="60">
        <f>ROUND(Q173*$P173*Input!$C$3/365,0)</f>
        <v>0</v>
      </c>
      <c r="S173" s="60">
        <f>IF(A173&lt;=Input!$C$6,0,IF('Fixed Tenure'!O173&lt;'Fixed Tenure'!Q173,'Fixed Tenure'!O173-R173,'Fixed Tenure'!Q173))</f>
        <v>0</v>
      </c>
      <c r="T173" s="60">
        <f t="shared" si="81"/>
        <v>0</v>
      </c>
      <c r="U173" s="60">
        <f t="shared" si="82"/>
        <v>0</v>
      </c>
      <c r="V173" s="193"/>
      <c r="W173" s="169">
        <v>169</v>
      </c>
      <c r="X173" s="1">
        <f t="shared" si="104"/>
        <v>50663</v>
      </c>
      <c r="Y173" s="60">
        <f>IF($X173&lt;Input!$H$58,IF($X173&lt;Input!$G$58,IF($X173&lt;Input!$F$58,IF($X173&lt;Input!$E$58,IF($X173&lt;Input!$D$58,Input!$C$64,Input!$D$64),Input!$E$64),Input!$F$64),Input!$G$64),Input!$H$64)</f>
        <v>0</v>
      </c>
      <c r="Z173" s="190">
        <f>IF($A173&lt;Input!$H$65,IF($A173&lt;Input!$G$65,IF($A173&lt;Input!$F$65,IF($A173&lt;Input!$E$65,IF($A173&lt;Input!$D$65,Input!$C$66,Input!$D$66),Input!$E$66),Input!$F$66),Input!$G$66),Input!$H$66)</f>
        <v>0.9</v>
      </c>
      <c r="AA173" s="60">
        <f t="shared" si="83"/>
        <v>0</v>
      </c>
      <c r="AB173" s="60">
        <f t="shared" si="105"/>
        <v>31</v>
      </c>
      <c r="AC173" s="60">
        <f t="shared" si="84"/>
        <v>0</v>
      </c>
      <c r="AD173" s="60">
        <f>ROUND(AC173*AB173*Input!$C$3/365,0)</f>
        <v>0</v>
      </c>
      <c r="AE173" s="61">
        <f>IF($A173&lt;=Input!$C$6,0,IF('Fixed Tenure'!AA173&lt;'Fixed Tenure'!AC173,'Fixed Tenure'!AA173-AD173,'Fixed Tenure'!AC173))</f>
        <v>0</v>
      </c>
      <c r="AF173" s="61">
        <f t="shared" si="85"/>
        <v>0</v>
      </c>
      <c r="AG173" s="60">
        <f t="shared" si="86"/>
        <v>0</v>
      </c>
      <c r="AH173" s="193"/>
      <c r="AI173" s="169">
        <v>169</v>
      </c>
      <c r="AJ173" s="1">
        <f t="shared" si="106"/>
        <v>50663</v>
      </c>
      <c r="AK173" s="60">
        <f>IF($X173&lt;Input!$H$73,IF($X173&lt;Input!$G$73,IF($X173&lt;Input!$F$73,IF($X173&lt;Input!$E$73,IF($X173&lt;Input!$D$73,Input!$C$79,Input!$D$79),Input!$E$79),Input!$F$79),Input!$G$79),Input!$H$79)</f>
        <v>0</v>
      </c>
      <c r="AL173" s="190">
        <f>IF($A173&lt;Input!$H$80,IF($A173&lt;Input!$G$80,IF($A173&lt;Input!$F$80,IF($A173&lt;Input!$E$80,IF($A173&lt;Input!$D$80,Input!$C$81,Input!$D$81),Input!$E$81),Input!$F$81),Input!$G$81),Input!$H$81)</f>
        <v>0.9</v>
      </c>
      <c r="AM173" s="60">
        <f t="shared" si="87"/>
        <v>0</v>
      </c>
      <c r="AN173" s="60">
        <f t="shared" si="107"/>
        <v>31</v>
      </c>
      <c r="AO173" s="60">
        <f t="shared" si="88"/>
        <v>0</v>
      </c>
      <c r="AP173" s="60">
        <f>ROUND(AO173*AN173*Input!$C$3/365,0)</f>
        <v>0</v>
      </c>
      <c r="AQ173" s="61">
        <f>IF($A173&lt;=Input!$C$6,0,IF('Fixed Tenure'!AM173&lt;'Fixed Tenure'!AO173,'Fixed Tenure'!AM173-AP173,'Fixed Tenure'!AO173))</f>
        <v>0</v>
      </c>
      <c r="AR173" s="61">
        <f t="shared" si="89"/>
        <v>0</v>
      </c>
      <c r="AS173" s="60">
        <f t="shared" si="90"/>
        <v>0</v>
      </c>
      <c r="AT173" s="193"/>
      <c r="AU173" s="169">
        <v>169</v>
      </c>
      <c r="AV173" s="1">
        <f t="shared" si="108"/>
        <v>50663</v>
      </c>
      <c r="AW173" s="60">
        <f>IF($X173&lt;Input!$H$88,IF($X173&lt;Input!$G$88,IF($X173&lt;Input!$F$88,IF($X173&lt;Input!$E$88,IF($X173&lt;Input!$D$88,Input!$C$94,Input!$D$94),Input!$E$94),Input!$F$94),Input!$G$94),Input!$H$94)</f>
        <v>0</v>
      </c>
      <c r="AX173" s="190">
        <f>IF($A173&lt;Input!$H$95,IF($A173&lt;Input!$G$95,IF($A173&lt;Input!$F$95,IF($A173&lt;Input!$E$95,IF($A173&lt;Input!$D$95,Input!$C$96,Input!$D$96),Input!$E$96),Input!$F$96),Input!$G$96),Input!$H$96)</f>
        <v>0.9</v>
      </c>
      <c r="AY173" s="60">
        <f t="shared" si="91"/>
        <v>0</v>
      </c>
      <c r="AZ173" s="60">
        <f t="shared" si="109"/>
        <v>31</v>
      </c>
      <c r="BA173" s="60">
        <f t="shared" si="92"/>
        <v>0</v>
      </c>
      <c r="BB173" s="60">
        <f>ROUND(BA173*AZ173*Input!$C$3/365,0)</f>
        <v>0</v>
      </c>
      <c r="BC173" s="61">
        <f>IF($A173&lt;=Input!$C$6,0,IF('Fixed Tenure'!AY173&lt;'Fixed Tenure'!BA173,'Fixed Tenure'!AY173-BB173,'Fixed Tenure'!BA173))</f>
        <v>0</v>
      </c>
      <c r="BD173" s="61">
        <f t="shared" si="93"/>
        <v>0</v>
      </c>
      <c r="BE173" s="60">
        <f t="shared" si="94"/>
        <v>0</v>
      </c>
      <c r="BF173" s="193"/>
      <c r="BG173" s="169">
        <v>169</v>
      </c>
      <c r="BH173" s="1">
        <f t="shared" si="110"/>
        <v>50663</v>
      </c>
      <c r="BI173" s="60">
        <f>IF($X173&lt;Input!$H$103,IF($X173&lt;Input!$G$103,IF($X173&lt;Input!$F$103,IF($X173&lt;Input!$E$103,IF($X173&lt;Input!$D$103,Input!$C$109,Input!$D$109),Input!$E$109),Input!$F$109),Input!$G$109),Input!$H$109)</f>
        <v>0</v>
      </c>
      <c r="BJ173" s="190">
        <f>IF($A173&lt;Input!$H$110,IF($A173&lt;Input!$G$110,IF($A173&lt;Input!$F$110,IF($A173&lt;Input!$E$110,IF($A173&lt;Input!$D$110,Input!$C$111,Input!$D$111),Input!$E$111),Input!$F$111),Input!$G$111),Input!$H$111)</f>
        <v>0.9</v>
      </c>
      <c r="BK173" s="60">
        <f t="shared" si="95"/>
        <v>0</v>
      </c>
      <c r="BL173" s="60">
        <f t="shared" si="111"/>
        <v>31</v>
      </c>
      <c r="BM173" s="60">
        <f t="shared" si="96"/>
        <v>0</v>
      </c>
      <c r="BN173" s="60">
        <f>ROUND(BM173*BL173*Input!$C$3/365,0)</f>
        <v>0</v>
      </c>
      <c r="BO173" s="61">
        <f>IF($A173&lt;=Input!$C$6,0,IF('Fixed Tenure'!BK173&lt;'Fixed Tenure'!BM173,'Fixed Tenure'!BK173-BN173,'Fixed Tenure'!BM173))</f>
        <v>0</v>
      </c>
      <c r="BP173" s="61">
        <f t="shared" si="97"/>
        <v>0</v>
      </c>
      <c r="BQ173" s="60">
        <f t="shared" si="98"/>
        <v>0</v>
      </c>
      <c r="BR173" s="198"/>
    </row>
    <row r="174" spans="1:70" x14ac:dyDescent="0.25">
      <c r="A174" s="169">
        <v>170</v>
      </c>
      <c r="B174" s="1">
        <f t="shared" si="99"/>
        <v>50693</v>
      </c>
      <c r="C174" s="60">
        <f t="shared" si="77"/>
        <v>33127052.878124986</v>
      </c>
      <c r="D174" s="60">
        <f t="shared" si="78"/>
        <v>29814347.590312488</v>
      </c>
      <c r="E174" s="60">
        <f t="shared" si="100"/>
        <v>30</v>
      </c>
      <c r="F174" s="60">
        <f t="shared" si="101"/>
        <v>0</v>
      </c>
      <c r="G174" s="60">
        <f>ROUND(F174*E174*Input!$C$3/365,0)</f>
        <v>0</v>
      </c>
      <c r="H174" s="60">
        <f>IF($A174&lt;=Input!$C$6,0,IF('Fixed Tenure'!D174&lt;'Fixed Tenure'!F174,'Fixed Tenure'!D174-G174,'Fixed Tenure'!F174))</f>
        <v>0</v>
      </c>
      <c r="I174" s="60">
        <f t="shared" si="102"/>
        <v>0</v>
      </c>
      <c r="J174" s="60">
        <f t="shared" si="103"/>
        <v>0</v>
      </c>
      <c r="K174" s="202">
        <f>J174/Input!$K$5</f>
        <v>0</v>
      </c>
      <c r="L174" s="232"/>
      <c r="M174" s="60">
        <f>IF($B174&lt;Input!$H$43,IF($B174&lt;Input!$G$43,IF($B174&lt;Input!$F$43,IF($B174&lt;Input!$E$43,IF($B174&lt;Input!$D$43,Input!$C$49,Input!$D$49),Input!$E$49),Input!$F$49),Input!$G$49),Input!$H$49)</f>
        <v>33127052.878124986</v>
      </c>
      <c r="N174" s="190">
        <f>IF($A174&lt;Input!$H$50,IF($A174&lt;Input!$G$50,IF($A174&lt;Input!$F$50,IF($A174&lt;Input!$E$50,IF($A174&lt;Input!$D$50,Input!$C$51,Input!$D$51),Input!$E$51),Input!$F$51),Input!$G$51),Input!$H$51)</f>
        <v>0.9</v>
      </c>
      <c r="O174" s="60">
        <f t="shared" si="112"/>
        <v>29814347.590312488</v>
      </c>
      <c r="P174" s="60">
        <f t="shared" si="113"/>
        <v>30</v>
      </c>
      <c r="Q174" s="60">
        <f t="shared" si="80"/>
        <v>0</v>
      </c>
      <c r="R174" s="60">
        <f>ROUND(Q174*$P174*Input!$C$3/365,0)</f>
        <v>0</v>
      </c>
      <c r="S174" s="60">
        <f>IF(A174&lt;=Input!$C$6,0,IF('Fixed Tenure'!O174&lt;'Fixed Tenure'!Q174,'Fixed Tenure'!O174-R174,'Fixed Tenure'!Q174))</f>
        <v>0</v>
      </c>
      <c r="T174" s="60">
        <f t="shared" si="81"/>
        <v>0</v>
      </c>
      <c r="U174" s="60">
        <f t="shared" si="82"/>
        <v>0</v>
      </c>
      <c r="V174" s="193"/>
      <c r="W174" s="169">
        <v>170</v>
      </c>
      <c r="X174" s="1">
        <f t="shared" si="104"/>
        <v>50693</v>
      </c>
      <c r="Y174" s="60">
        <f>IF($X174&lt;Input!$H$58,IF($X174&lt;Input!$G$58,IF($X174&lt;Input!$F$58,IF($X174&lt;Input!$E$58,IF($X174&lt;Input!$D$58,Input!$C$64,Input!$D$64),Input!$E$64),Input!$F$64),Input!$G$64),Input!$H$64)</f>
        <v>0</v>
      </c>
      <c r="Z174" s="190">
        <f>IF($A174&lt;Input!$H$65,IF($A174&lt;Input!$G$65,IF($A174&lt;Input!$F$65,IF($A174&lt;Input!$E$65,IF($A174&lt;Input!$D$65,Input!$C$66,Input!$D$66),Input!$E$66),Input!$F$66),Input!$G$66),Input!$H$66)</f>
        <v>0.9</v>
      </c>
      <c r="AA174" s="60">
        <f t="shared" si="83"/>
        <v>0</v>
      </c>
      <c r="AB174" s="60">
        <f t="shared" si="105"/>
        <v>30</v>
      </c>
      <c r="AC174" s="60">
        <f t="shared" si="84"/>
        <v>0</v>
      </c>
      <c r="AD174" s="60">
        <f>ROUND(AC174*AB174*Input!$C$3/365,0)</f>
        <v>0</v>
      </c>
      <c r="AE174" s="61">
        <f>IF($A174&lt;=Input!$C$6,0,IF('Fixed Tenure'!AA174&lt;'Fixed Tenure'!AC174,'Fixed Tenure'!AA174-AD174,'Fixed Tenure'!AC174))</f>
        <v>0</v>
      </c>
      <c r="AF174" s="61">
        <f t="shared" si="85"/>
        <v>0</v>
      </c>
      <c r="AG174" s="60">
        <f t="shared" si="86"/>
        <v>0</v>
      </c>
      <c r="AH174" s="193"/>
      <c r="AI174" s="169">
        <v>170</v>
      </c>
      <c r="AJ174" s="1">
        <f t="shared" si="106"/>
        <v>50693</v>
      </c>
      <c r="AK174" s="60">
        <f>IF($X174&lt;Input!$H$73,IF($X174&lt;Input!$G$73,IF($X174&lt;Input!$F$73,IF($X174&lt;Input!$E$73,IF($X174&lt;Input!$D$73,Input!$C$79,Input!$D$79),Input!$E$79),Input!$F$79),Input!$G$79),Input!$H$79)</f>
        <v>0</v>
      </c>
      <c r="AL174" s="190">
        <f>IF($A174&lt;Input!$H$80,IF($A174&lt;Input!$G$80,IF($A174&lt;Input!$F$80,IF($A174&lt;Input!$E$80,IF($A174&lt;Input!$D$80,Input!$C$81,Input!$D$81),Input!$E$81),Input!$F$81),Input!$G$81),Input!$H$81)</f>
        <v>0.9</v>
      </c>
      <c r="AM174" s="60">
        <f t="shared" si="87"/>
        <v>0</v>
      </c>
      <c r="AN174" s="60">
        <f t="shared" si="107"/>
        <v>30</v>
      </c>
      <c r="AO174" s="60">
        <f t="shared" si="88"/>
        <v>0</v>
      </c>
      <c r="AP174" s="60">
        <f>ROUND(AO174*AN174*Input!$C$3/365,0)</f>
        <v>0</v>
      </c>
      <c r="AQ174" s="61">
        <f>IF($A174&lt;=Input!$C$6,0,IF('Fixed Tenure'!AM174&lt;'Fixed Tenure'!AO174,'Fixed Tenure'!AM174-AP174,'Fixed Tenure'!AO174))</f>
        <v>0</v>
      </c>
      <c r="AR174" s="61">
        <f t="shared" si="89"/>
        <v>0</v>
      </c>
      <c r="AS174" s="60">
        <f t="shared" si="90"/>
        <v>0</v>
      </c>
      <c r="AT174" s="193"/>
      <c r="AU174" s="169">
        <v>170</v>
      </c>
      <c r="AV174" s="1">
        <f t="shared" si="108"/>
        <v>50693</v>
      </c>
      <c r="AW174" s="60">
        <f>IF($X174&lt;Input!$H$88,IF($X174&lt;Input!$G$88,IF($X174&lt;Input!$F$88,IF($X174&lt;Input!$E$88,IF($X174&lt;Input!$D$88,Input!$C$94,Input!$D$94),Input!$E$94),Input!$F$94),Input!$G$94),Input!$H$94)</f>
        <v>0</v>
      </c>
      <c r="AX174" s="190">
        <f>IF($A174&lt;Input!$H$95,IF($A174&lt;Input!$G$95,IF($A174&lt;Input!$F$95,IF($A174&lt;Input!$E$95,IF($A174&lt;Input!$D$95,Input!$C$96,Input!$D$96),Input!$E$96),Input!$F$96),Input!$G$96),Input!$H$96)</f>
        <v>0.9</v>
      </c>
      <c r="AY174" s="60">
        <f t="shared" si="91"/>
        <v>0</v>
      </c>
      <c r="AZ174" s="60">
        <f t="shared" si="109"/>
        <v>30</v>
      </c>
      <c r="BA174" s="60">
        <f t="shared" si="92"/>
        <v>0</v>
      </c>
      <c r="BB174" s="60">
        <f>ROUND(BA174*AZ174*Input!$C$3/365,0)</f>
        <v>0</v>
      </c>
      <c r="BC174" s="61">
        <f>IF($A174&lt;=Input!$C$6,0,IF('Fixed Tenure'!AY174&lt;'Fixed Tenure'!BA174,'Fixed Tenure'!AY174-BB174,'Fixed Tenure'!BA174))</f>
        <v>0</v>
      </c>
      <c r="BD174" s="61">
        <f t="shared" si="93"/>
        <v>0</v>
      </c>
      <c r="BE174" s="60">
        <f t="shared" si="94"/>
        <v>0</v>
      </c>
      <c r="BF174" s="193"/>
      <c r="BG174" s="169">
        <v>170</v>
      </c>
      <c r="BH174" s="1">
        <f t="shared" si="110"/>
        <v>50693</v>
      </c>
      <c r="BI174" s="60">
        <f>IF($X174&lt;Input!$H$103,IF($X174&lt;Input!$G$103,IF($X174&lt;Input!$F$103,IF($X174&lt;Input!$E$103,IF($X174&lt;Input!$D$103,Input!$C$109,Input!$D$109),Input!$E$109),Input!$F$109),Input!$G$109),Input!$H$109)</f>
        <v>0</v>
      </c>
      <c r="BJ174" s="190">
        <f>IF($A174&lt;Input!$H$110,IF($A174&lt;Input!$G$110,IF($A174&lt;Input!$F$110,IF($A174&lt;Input!$E$110,IF($A174&lt;Input!$D$110,Input!$C$111,Input!$D$111),Input!$E$111),Input!$F$111),Input!$G$111),Input!$H$111)</f>
        <v>0.9</v>
      </c>
      <c r="BK174" s="60">
        <f t="shared" si="95"/>
        <v>0</v>
      </c>
      <c r="BL174" s="60">
        <f t="shared" si="111"/>
        <v>30</v>
      </c>
      <c r="BM174" s="60">
        <f t="shared" si="96"/>
        <v>0</v>
      </c>
      <c r="BN174" s="60">
        <f>ROUND(BM174*BL174*Input!$C$3/365,0)</f>
        <v>0</v>
      </c>
      <c r="BO174" s="61">
        <f>IF($A174&lt;=Input!$C$6,0,IF('Fixed Tenure'!BK174&lt;'Fixed Tenure'!BM174,'Fixed Tenure'!BK174-BN174,'Fixed Tenure'!BM174))</f>
        <v>0</v>
      </c>
      <c r="BP174" s="61">
        <f t="shared" si="97"/>
        <v>0</v>
      </c>
      <c r="BQ174" s="60">
        <f t="shared" si="98"/>
        <v>0</v>
      </c>
      <c r="BR174" s="198"/>
    </row>
    <row r="175" spans="1:70" x14ac:dyDescent="0.25">
      <c r="A175" s="169">
        <v>171</v>
      </c>
      <c r="B175" s="1">
        <f t="shared" si="99"/>
        <v>50724</v>
      </c>
      <c r="C175" s="60">
        <f t="shared" si="77"/>
        <v>33127052.878124986</v>
      </c>
      <c r="D175" s="60">
        <f t="shared" si="78"/>
        <v>29814347.590312488</v>
      </c>
      <c r="E175" s="60">
        <f t="shared" si="100"/>
        <v>31</v>
      </c>
      <c r="F175" s="60">
        <f t="shared" si="101"/>
        <v>0</v>
      </c>
      <c r="G175" s="60">
        <f>ROUND(F175*E175*Input!$C$3/365,0)</f>
        <v>0</v>
      </c>
      <c r="H175" s="60">
        <f>IF($A175&lt;=Input!$C$6,0,IF('Fixed Tenure'!D175&lt;'Fixed Tenure'!F175,'Fixed Tenure'!D175-G175,'Fixed Tenure'!F175))</f>
        <v>0</v>
      </c>
      <c r="I175" s="60">
        <f t="shared" si="102"/>
        <v>0</v>
      </c>
      <c r="J175" s="60">
        <f t="shared" si="103"/>
        <v>0</v>
      </c>
      <c r="K175" s="202">
        <f>J175/Input!$K$5</f>
        <v>0</v>
      </c>
      <c r="L175" s="232"/>
      <c r="M175" s="60">
        <f>IF($B175&lt;Input!$H$43,IF($B175&lt;Input!$G$43,IF($B175&lt;Input!$F$43,IF($B175&lt;Input!$E$43,IF($B175&lt;Input!$D$43,Input!$C$49,Input!$D$49),Input!$E$49),Input!$F$49),Input!$G$49),Input!$H$49)</f>
        <v>33127052.878124986</v>
      </c>
      <c r="N175" s="190">
        <f>IF($A175&lt;Input!$H$50,IF($A175&lt;Input!$G$50,IF($A175&lt;Input!$F$50,IF($A175&lt;Input!$E$50,IF($A175&lt;Input!$D$50,Input!$C$51,Input!$D$51),Input!$E$51),Input!$F$51),Input!$G$51),Input!$H$51)</f>
        <v>0.9</v>
      </c>
      <c r="O175" s="60">
        <f t="shared" si="112"/>
        <v>29814347.590312488</v>
      </c>
      <c r="P175" s="60">
        <f t="shared" si="113"/>
        <v>31</v>
      </c>
      <c r="Q175" s="60">
        <f t="shared" si="80"/>
        <v>0</v>
      </c>
      <c r="R175" s="60">
        <f>ROUND(Q175*$P175*Input!$C$3/365,0)</f>
        <v>0</v>
      </c>
      <c r="S175" s="60">
        <f>IF(A175&lt;=Input!$C$6,0,IF('Fixed Tenure'!O175&lt;'Fixed Tenure'!Q175,'Fixed Tenure'!O175-R175,'Fixed Tenure'!Q175))</f>
        <v>0</v>
      </c>
      <c r="T175" s="60">
        <f t="shared" si="81"/>
        <v>0</v>
      </c>
      <c r="U175" s="60">
        <f t="shared" si="82"/>
        <v>0</v>
      </c>
      <c r="V175" s="193"/>
      <c r="W175" s="169">
        <v>171</v>
      </c>
      <c r="X175" s="1">
        <f t="shared" si="104"/>
        <v>50724</v>
      </c>
      <c r="Y175" s="60">
        <f>IF($X175&lt;Input!$H$58,IF($X175&lt;Input!$G$58,IF($X175&lt;Input!$F$58,IF($X175&lt;Input!$E$58,IF($X175&lt;Input!$D$58,Input!$C$64,Input!$D$64),Input!$E$64),Input!$F$64),Input!$G$64),Input!$H$64)</f>
        <v>0</v>
      </c>
      <c r="Z175" s="190">
        <f>IF($A175&lt;Input!$H$65,IF($A175&lt;Input!$G$65,IF($A175&lt;Input!$F$65,IF($A175&lt;Input!$E$65,IF($A175&lt;Input!$D$65,Input!$C$66,Input!$D$66),Input!$E$66),Input!$F$66),Input!$G$66),Input!$H$66)</f>
        <v>0.9</v>
      </c>
      <c r="AA175" s="60">
        <f t="shared" si="83"/>
        <v>0</v>
      </c>
      <c r="AB175" s="60">
        <f t="shared" si="105"/>
        <v>31</v>
      </c>
      <c r="AC175" s="60">
        <f t="shared" si="84"/>
        <v>0</v>
      </c>
      <c r="AD175" s="60">
        <f>ROUND(AC175*AB175*Input!$C$3/365,0)</f>
        <v>0</v>
      </c>
      <c r="AE175" s="61">
        <f>IF($A175&lt;=Input!$C$6,0,IF('Fixed Tenure'!AA175&lt;'Fixed Tenure'!AC175,'Fixed Tenure'!AA175-AD175,'Fixed Tenure'!AC175))</f>
        <v>0</v>
      </c>
      <c r="AF175" s="61">
        <f t="shared" si="85"/>
        <v>0</v>
      </c>
      <c r="AG175" s="60">
        <f t="shared" si="86"/>
        <v>0</v>
      </c>
      <c r="AH175" s="193"/>
      <c r="AI175" s="169">
        <v>171</v>
      </c>
      <c r="AJ175" s="1">
        <f t="shared" si="106"/>
        <v>50724</v>
      </c>
      <c r="AK175" s="60">
        <f>IF($X175&lt;Input!$H$73,IF($X175&lt;Input!$G$73,IF($X175&lt;Input!$F$73,IF($X175&lt;Input!$E$73,IF($X175&lt;Input!$D$73,Input!$C$79,Input!$D$79),Input!$E$79),Input!$F$79),Input!$G$79),Input!$H$79)</f>
        <v>0</v>
      </c>
      <c r="AL175" s="190">
        <f>IF($A175&lt;Input!$H$80,IF($A175&lt;Input!$G$80,IF($A175&lt;Input!$F$80,IF($A175&lt;Input!$E$80,IF($A175&lt;Input!$D$80,Input!$C$81,Input!$D$81),Input!$E$81),Input!$F$81),Input!$G$81),Input!$H$81)</f>
        <v>0.9</v>
      </c>
      <c r="AM175" s="60">
        <f t="shared" si="87"/>
        <v>0</v>
      </c>
      <c r="AN175" s="60">
        <f t="shared" si="107"/>
        <v>31</v>
      </c>
      <c r="AO175" s="60">
        <f t="shared" si="88"/>
        <v>0</v>
      </c>
      <c r="AP175" s="60">
        <f>ROUND(AO175*AN175*Input!$C$3/365,0)</f>
        <v>0</v>
      </c>
      <c r="AQ175" s="61">
        <f>IF($A175&lt;=Input!$C$6,0,IF('Fixed Tenure'!AM175&lt;'Fixed Tenure'!AO175,'Fixed Tenure'!AM175-AP175,'Fixed Tenure'!AO175))</f>
        <v>0</v>
      </c>
      <c r="AR175" s="61">
        <f t="shared" si="89"/>
        <v>0</v>
      </c>
      <c r="AS175" s="60">
        <f t="shared" si="90"/>
        <v>0</v>
      </c>
      <c r="AT175" s="193"/>
      <c r="AU175" s="169">
        <v>171</v>
      </c>
      <c r="AV175" s="1">
        <f t="shared" si="108"/>
        <v>50724</v>
      </c>
      <c r="AW175" s="60">
        <f>IF($X175&lt;Input!$H$88,IF($X175&lt;Input!$G$88,IF($X175&lt;Input!$F$88,IF($X175&lt;Input!$E$88,IF($X175&lt;Input!$D$88,Input!$C$94,Input!$D$94),Input!$E$94),Input!$F$94),Input!$G$94),Input!$H$94)</f>
        <v>0</v>
      </c>
      <c r="AX175" s="190">
        <f>IF($A175&lt;Input!$H$95,IF($A175&lt;Input!$G$95,IF($A175&lt;Input!$F$95,IF($A175&lt;Input!$E$95,IF($A175&lt;Input!$D$95,Input!$C$96,Input!$D$96),Input!$E$96),Input!$F$96),Input!$G$96),Input!$H$96)</f>
        <v>0.9</v>
      </c>
      <c r="AY175" s="60">
        <f t="shared" si="91"/>
        <v>0</v>
      </c>
      <c r="AZ175" s="60">
        <f t="shared" si="109"/>
        <v>31</v>
      </c>
      <c r="BA175" s="60">
        <f t="shared" si="92"/>
        <v>0</v>
      </c>
      <c r="BB175" s="60">
        <f>ROUND(BA175*AZ175*Input!$C$3/365,0)</f>
        <v>0</v>
      </c>
      <c r="BC175" s="61">
        <f>IF($A175&lt;=Input!$C$6,0,IF('Fixed Tenure'!AY175&lt;'Fixed Tenure'!BA175,'Fixed Tenure'!AY175-BB175,'Fixed Tenure'!BA175))</f>
        <v>0</v>
      </c>
      <c r="BD175" s="61">
        <f t="shared" si="93"/>
        <v>0</v>
      </c>
      <c r="BE175" s="60">
        <f t="shared" si="94"/>
        <v>0</v>
      </c>
      <c r="BF175" s="193"/>
      <c r="BG175" s="169">
        <v>171</v>
      </c>
      <c r="BH175" s="1">
        <f t="shared" si="110"/>
        <v>50724</v>
      </c>
      <c r="BI175" s="60">
        <f>IF($X175&lt;Input!$H$103,IF($X175&lt;Input!$G$103,IF($X175&lt;Input!$F$103,IF($X175&lt;Input!$E$103,IF($X175&lt;Input!$D$103,Input!$C$109,Input!$D$109),Input!$E$109),Input!$F$109),Input!$G$109),Input!$H$109)</f>
        <v>0</v>
      </c>
      <c r="BJ175" s="190">
        <f>IF($A175&lt;Input!$H$110,IF($A175&lt;Input!$G$110,IF($A175&lt;Input!$F$110,IF($A175&lt;Input!$E$110,IF($A175&lt;Input!$D$110,Input!$C$111,Input!$D$111),Input!$E$111),Input!$F$111),Input!$G$111),Input!$H$111)</f>
        <v>0.9</v>
      </c>
      <c r="BK175" s="60">
        <f t="shared" si="95"/>
        <v>0</v>
      </c>
      <c r="BL175" s="60">
        <f t="shared" si="111"/>
        <v>31</v>
      </c>
      <c r="BM175" s="60">
        <f t="shared" si="96"/>
        <v>0</v>
      </c>
      <c r="BN175" s="60">
        <f>ROUND(BM175*BL175*Input!$C$3/365,0)</f>
        <v>0</v>
      </c>
      <c r="BO175" s="61">
        <f>IF($A175&lt;=Input!$C$6,0,IF('Fixed Tenure'!BK175&lt;'Fixed Tenure'!BM175,'Fixed Tenure'!BK175-BN175,'Fixed Tenure'!BM175))</f>
        <v>0</v>
      </c>
      <c r="BP175" s="61">
        <f t="shared" si="97"/>
        <v>0</v>
      </c>
      <c r="BQ175" s="60">
        <f t="shared" si="98"/>
        <v>0</v>
      </c>
      <c r="BR175" s="198"/>
    </row>
    <row r="176" spans="1:70" x14ac:dyDescent="0.25">
      <c r="A176" s="169">
        <v>172</v>
      </c>
      <c r="B176" s="1">
        <f t="shared" si="99"/>
        <v>50754</v>
      </c>
      <c r="C176" s="60">
        <f t="shared" si="77"/>
        <v>33127052.878124986</v>
      </c>
      <c r="D176" s="60">
        <f t="shared" si="78"/>
        <v>29814347.590312488</v>
      </c>
      <c r="E176" s="60">
        <f t="shared" si="100"/>
        <v>30</v>
      </c>
      <c r="F176" s="60">
        <f t="shared" si="101"/>
        <v>0</v>
      </c>
      <c r="G176" s="60">
        <f>ROUND(F176*E176*Input!$C$3/365,0)</f>
        <v>0</v>
      </c>
      <c r="H176" s="60">
        <f>IF($A176&lt;=Input!$C$6,0,IF('Fixed Tenure'!D176&lt;'Fixed Tenure'!F176,'Fixed Tenure'!D176-G176,'Fixed Tenure'!F176))</f>
        <v>0</v>
      </c>
      <c r="I176" s="60">
        <f t="shared" si="102"/>
        <v>0</v>
      </c>
      <c r="J176" s="60">
        <f t="shared" si="103"/>
        <v>0</v>
      </c>
      <c r="K176" s="202">
        <f>J176/Input!$K$5</f>
        <v>0</v>
      </c>
      <c r="L176" s="232"/>
      <c r="M176" s="60">
        <f>IF($B176&lt;Input!$H$43,IF($B176&lt;Input!$G$43,IF($B176&lt;Input!$F$43,IF($B176&lt;Input!$E$43,IF($B176&lt;Input!$D$43,Input!$C$49,Input!$D$49),Input!$E$49),Input!$F$49),Input!$G$49),Input!$H$49)</f>
        <v>33127052.878124986</v>
      </c>
      <c r="N176" s="190">
        <f>IF($A176&lt;Input!$H$50,IF($A176&lt;Input!$G$50,IF($A176&lt;Input!$F$50,IF($A176&lt;Input!$E$50,IF($A176&lt;Input!$D$50,Input!$C$51,Input!$D$51),Input!$E$51),Input!$F$51),Input!$G$51),Input!$H$51)</f>
        <v>0.9</v>
      </c>
      <c r="O176" s="60">
        <f t="shared" si="112"/>
        <v>29814347.590312488</v>
      </c>
      <c r="P176" s="60">
        <f t="shared" si="113"/>
        <v>30</v>
      </c>
      <c r="Q176" s="60">
        <f t="shared" si="80"/>
        <v>0</v>
      </c>
      <c r="R176" s="60">
        <f>ROUND(Q176*$P176*Input!$C$3/365,0)</f>
        <v>0</v>
      </c>
      <c r="S176" s="60">
        <f>IF(A176&lt;=Input!$C$6,0,IF('Fixed Tenure'!O176&lt;'Fixed Tenure'!Q176,'Fixed Tenure'!O176-R176,'Fixed Tenure'!Q176))</f>
        <v>0</v>
      </c>
      <c r="T176" s="60">
        <f t="shared" si="81"/>
        <v>0</v>
      </c>
      <c r="U176" s="60">
        <f t="shared" si="82"/>
        <v>0</v>
      </c>
      <c r="V176" s="193"/>
      <c r="W176" s="169">
        <v>172</v>
      </c>
      <c r="X176" s="1">
        <f t="shared" si="104"/>
        <v>50754</v>
      </c>
      <c r="Y176" s="60">
        <f>IF($X176&lt;Input!$H$58,IF($X176&lt;Input!$G$58,IF($X176&lt;Input!$F$58,IF($X176&lt;Input!$E$58,IF($X176&lt;Input!$D$58,Input!$C$64,Input!$D$64),Input!$E$64),Input!$F$64),Input!$G$64),Input!$H$64)</f>
        <v>0</v>
      </c>
      <c r="Z176" s="190">
        <f>IF($A176&lt;Input!$H$65,IF($A176&lt;Input!$G$65,IF($A176&lt;Input!$F$65,IF($A176&lt;Input!$E$65,IF($A176&lt;Input!$D$65,Input!$C$66,Input!$D$66),Input!$E$66),Input!$F$66),Input!$G$66),Input!$H$66)</f>
        <v>0.9</v>
      </c>
      <c r="AA176" s="60">
        <f t="shared" si="83"/>
        <v>0</v>
      </c>
      <c r="AB176" s="60">
        <f t="shared" si="105"/>
        <v>30</v>
      </c>
      <c r="AC176" s="60">
        <f t="shared" si="84"/>
        <v>0</v>
      </c>
      <c r="AD176" s="60">
        <f>ROUND(AC176*AB176*Input!$C$3/365,0)</f>
        <v>0</v>
      </c>
      <c r="AE176" s="61">
        <f>IF($A176&lt;=Input!$C$6,0,IF('Fixed Tenure'!AA176&lt;'Fixed Tenure'!AC176,'Fixed Tenure'!AA176-AD176,'Fixed Tenure'!AC176))</f>
        <v>0</v>
      </c>
      <c r="AF176" s="61">
        <f t="shared" si="85"/>
        <v>0</v>
      </c>
      <c r="AG176" s="60">
        <f t="shared" si="86"/>
        <v>0</v>
      </c>
      <c r="AH176" s="193"/>
      <c r="AI176" s="169">
        <v>172</v>
      </c>
      <c r="AJ176" s="1">
        <f t="shared" si="106"/>
        <v>50754</v>
      </c>
      <c r="AK176" s="60">
        <f>IF($X176&lt;Input!$H$73,IF($X176&lt;Input!$G$73,IF($X176&lt;Input!$F$73,IF($X176&lt;Input!$E$73,IF($X176&lt;Input!$D$73,Input!$C$79,Input!$D$79),Input!$E$79),Input!$F$79),Input!$G$79),Input!$H$79)</f>
        <v>0</v>
      </c>
      <c r="AL176" s="190">
        <f>IF($A176&lt;Input!$H$80,IF($A176&lt;Input!$G$80,IF($A176&lt;Input!$F$80,IF($A176&lt;Input!$E$80,IF($A176&lt;Input!$D$80,Input!$C$81,Input!$D$81),Input!$E$81),Input!$F$81),Input!$G$81),Input!$H$81)</f>
        <v>0.9</v>
      </c>
      <c r="AM176" s="60">
        <f t="shared" si="87"/>
        <v>0</v>
      </c>
      <c r="AN176" s="60">
        <f t="shared" si="107"/>
        <v>30</v>
      </c>
      <c r="AO176" s="60">
        <f t="shared" si="88"/>
        <v>0</v>
      </c>
      <c r="AP176" s="60">
        <f>ROUND(AO176*AN176*Input!$C$3/365,0)</f>
        <v>0</v>
      </c>
      <c r="AQ176" s="61">
        <f>IF($A176&lt;=Input!$C$6,0,IF('Fixed Tenure'!AM176&lt;'Fixed Tenure'!AO176,'Fixed Tenure'!AM176-AP176,'Fixed Tenure'!AO176))</f>
        <v>0</v>
      </c>
      <c r="AR176" s="61">
        <f t="shared" si="89"/>
        <v>0</v>
      </c>
      <c r="AS176" s="60">
        <f t="shared" si="90"/>
        <v>0</v>
      </c>
      <c r="AT176" s="193"/>
      <c r="AU176" s="169">
        <v>172</v>
      </c>
      <c r="AV176" s="1">
        <f t="shared" si="108"/>
        <v>50754</v>
      </c>
      <c r="AW176" s="60">
        <f>IF($X176&lt;Input!$H$88,IF($X176&lt;Input!$G$88,IF($X176&lt;Input!$F$88,IF($X176&lt;Input!$E$88,IF($X176&lt;Input!$D$88,Input!$C$94,Input!$D$94),Input!$E$94),Input!$F$94),Input!$G$94),Input!$H$94)</f>
        <v>0</v>
      </c>
      <c r="AX176" s="190">
        <f>IF($A176&lt;Input!$H$95,IF($A176&lt;Input!$G$95,IF($A176&lt;Input!$F$95,IF($A176&lt;Input!$E$95,IF($A176&lt;Input!$D$95,Input!$C$96,Input!$D$96),Input!$E$96),Input!$F$96),Input!$G$96),Input!$H$96)</f>
        <v>0.9</v>
      </c>
      <c r="AY176" s="60">
        <f t="shared" si="91"/>
        <v>0</v>
      </c>
      <c r="AZ176" s="60">
        <f t="shared" si="109"/>
        <v>30</v>
      </c>
      <c r="BA176" s="60">
        <f t="shared" si="92"/>
        <v>0</v>
      </c>
      <c r="BB176" s="60">
        <f>ROUND(BA176*AZ176*Input!$C$3/365,0)</f>
        <v>0</v>
      </c>
      <c r="BC176" s="61">
        <f>IF($A176&lt;=Input!$C$6,0,IF('Fixed Tenure'!AY176&lt;'Fixed Tenure'!BA176,'Fixed Tenure'!AY176-BB176,'Fixed Tenure'!BA176))</f>
        <v>0</v>
      </c>
      <c r="BD176" s="61">
        <f t="shared" si="93"/>
        <v>0</v>
      </c>
      <c r="BE176" s="60">
        <f t="shared" si="94"/>
        <v>0</v>
      </c>
      <c r="BF176" s="193"/>
      <c r="BG176" s="169">
        <v>172</v>
      </c>
      <c r="BH176" s="1">
        <f t="shared" si="110"/>
        <v>50754</v>
      </c>
      <c r="BI176" s="60">
        <f>IF($X176&lt;Input!$H$103,IF($X176&lt;Input!$G$103,IF($X176&lt;Input!$F$103,IF($X176&lt;Input!$E$103,IF($X176&lt;Input!$D$103,Input!$C$109,Input!$D$109),Input!$E$109),Input!$F$109),Input!$G$109),Input!$H$109)</f>
        <v>0</v>
      </c>
      <c r="BJ176" s="190">
        <f>IF($A176&lt;Input!$H$110,IF($A176&lt;Input!$G$110,IF($A176&lt;Input!$F$110,IF($A176&lt;Input!$E$110,IF($A176&lt;Input!$D$110,Input!$C$111,Input!$D$111),Input!$E$111),Input!$F$111),Input!$G$111),Input!$H$111)</f>
        <v>0.9</v>
      </c>
      <c r="BK176" s="60">
        <f t="shared" si="95"/>
        <v>0</v>
      </c>
      <c r="BL176" s="60">
        <f t="shared" si="111"/>
        <v>30</v>
      </c>
      <c r="BM176" s="60">
        <f t="shared" si="96"/>
        <v>0</v>
      </c>
      <c r="BN176" s="60">
        <f>ROUND(BM176*BL176*Input!$C$3/365,0)</f>
        <v>0</v>
      </c>
      <c r="BO176" s="61">
        <f>IF($A176&lt;=Input!$C$6,0,IF('Fixed Tenure'!BK176&lt;'Fixed Tenure'!BM176,'Fixed Tenure'!BK176-BN176,'Fixed Tenure'!BM176))</f>
        <v>0</v>
      </c>
      <c r="BP176" s="61">
        <f t="shared" si="97"/>
        <v>0</v>
      </c>
      <c r="BQ176" s="60">
        <f t="shared" si="98"/>
        <v>0</v>
      </c>
      <c r="BR176" s="198"/>
    </row>
    <row r="177" spans="1:70" x14ac:dyDescent="0.25">
      <c r="A177" s="169">
        <v>173</v>
      </c>
      <c r="B177" s="1">
        <f t="shared" si="99"/>
        <v>50785</v>
      </c>
      <c r="C177" s="60">
        <f t="shared" si="77"/>
        <v>33127052.878124986</v>
      </c>
      <c r="D177" s="60">
        <f t="shared" si="78"/>
        <v>29814347.590312488</v>
      </c>
      <c r="E177" s="60">
        <f t="shared" si="100"/>
        <v>31</v>
      </c>
      <c r="F177" s="60">
        <f t="shared" si="101"/>
        <v>0</v>
      </c>
      <c r="G177" s="60">
        <f>ROUND(F177*E177*Input!$C$3/365,0)</f>
        <v>0</v>
      </c>
      <c r="H177" s="60">
        <f>IF($A177&lt;=Input!$C$6,0,IF('Fixed Tenure'!D177&lt;'Fixed Tenure'!F177,'Fixed Tenure'!D177-G177,'Fixed Tenure'!F177))</f>
        <v>0</v>
      </c>
      <c r="I177" s="60">
        <f t="shared" si="102"/>
        <v>0</v>
      </c>
      <c r="J177" s="60">
        <f t="shared" si="103"/>
        <v>0</v>
      </c>
      <c r="K177" s="202">
        <f>J177/Input!$K$5</f>
        <v>0</v>
      </c>
      <c r="L177" s="232"/>
      <c r="M177" s="60">
        <f>IF($B177&lt;Input!$H$43,IF($B177&lt;Input!$G$43,IF($B177&lt;Input!$F$43,IF($B177&lt;Input!$E$43,IF($B177&lt;Input!$D$43,Input!$C$49,Input!$D$49),Input!$E$49),Input!$F$49),Input!$G$49),Input!$H$49)</f>
        <v>33127052.878124986</v>
      </c>
      <c r="N177" s="190">
        <f>IF($A177&lt;Input!$H$50,IF($A177&lt;Input!$G$50,IF($A177&lt;Input!$F$50,IF($A177&lt;Input!$E$50,IF($A177&lt;Input!$D$50,Input!$C$51,Input!$D$51),Input!$E$51),Input!$F$51),Input!$G$51),Input!$H$51)</f>
        <v>0.9</v>
      </c>
      <c r="O177" s="60">
        <f t="shared" si="112"/>
        <v>29814347.590312488</v>
      </c>
      <c r="P177" s="60">
        <f t="shared" si="113"/>
        <v>31</v>
      </c>
      <c r="Q177" s="60">
        <f t="shared" si="80"/>
        <v>0</v>
      </c>
      <c r="R177" s="60">
        <f>ROUND(Q177*$P177*Input!$C$3/365,0)</f>
        <v>0</v>
      </c>
      <c r="S177" s="60">
        <f>IF(A177&lt;=Input!$C$6,0,IF('Fixed Tenure'!O177&lt;'Fixed Tenure'!Q177,'Fixed Tenure'!O177-R177,'Fixed Tenure'!Q177))</f>
        <v>0</v>
      </c>
      <c r="T177" s="60">
        <f t="shared" si="81"/>
        <v>0</v>
      </c>
      <c r="U177" s="60">
        <f t="shared" si="82"/>
        <v>0</v>
      </c>
      <c r="V177" s="193"/>
      <c r="W177" s="169">
        <v>173</v>
      </c>
      <c r="X177" s="1">
        <f t="shared" si="104"/>
        <v>50785</v>
      </c>
      <c r="Y177" s="60">
        <f>IF($X177&lt;Input!$H$58,IF($X177&lt;Input!$G$58,IF($X177&lt;Input!$F$58,IF($X177&lt;Input!$E$58,IF($X177&lt;Input!$D$58,Input!$C$64,Input!$D$64),Input!$E$64),Input!$F$64),Input!$G$64),Input!$H$64)</f>
        <v>0</v>
      </c>
      <c r="Z177" s="190">
        <f>IF($A177&lt;Input!$H$65,IF($A177&lt;Input!$G$65,IF($A177&lt;Input!$F$65,IF($A177&lt;Input!$E$65,IF($A177&lt;Input!$D$65,Input!$C$66,Input!$D$66),Input!$E$66),Input!$F$66),Input!$G$66),Input!$H$66)</f>
        <v>0.9</v>
      </c>
      <c r="AA177" s="60">
        <f t="shared" si="83"/>
        <v>0</v>
      </c>
      <c r="AB177" s="60">
        <f t="shared" si="105"/>
        <v>31</v>
      </c>
      <c r="AC177" s="60">
        <f t="shared" si="84"/>
        <v>0</v>
      </c>
      <c r="AD177" s="60">
        <f>ROUND(AC177*AB177*Input!$C$3/365,0)</f>
        <v>0</v>
      </c>
      <c r="AE177" s="61">
        <f>IF($A177&lt;=Input!$C$6,0,IF('Fixed Tenure'!AA177&lt;'Fixed Tenure'!AC177,'Fixed Tenure'!AA177-AD177,'Fixed Tenure'!AC177))</f>
        <v>0</v>
      </c>
      <c r="AF177" s="61">
        <f t="shared" si="85"/>
        <v>0</v>
      </c>
      <c r="AG177" s="60">
        <f t="shared" si="86"/>
        <v>0</v>
      </c>
      <c r="AH177" s="193"/>
      <c r="AI177" s="169">
        <v>173</v>
      </c>
      <c r="AJ177" s="1">
        <f t="shared" si="106"/>
        <v>50785</v>
      </c>
      <c r="AK177" s="60">
        <f>IF($X177&lt;Input!$H$73,IF($X177&lt;Input!$G$73,IF($X177&lt;Input!$F$73,IF($X177&lt;Input!$E$73,IF($X177&lt;Input!$D$73,Input!$C$79,Input!$D$79),Input!$E$79),Input!$F$79),Input!$G$79),Input!$H$79)</f>
        <v>0</v>
      </c>
      <c r="AL177" s="190">
        <f>IF($A177&lt;Input!$H$80,IF($A177&lt;Input!$G$80,IF($A177&lt;Input!$F$80,IF($A177&lt;Input!$E$80,IF($A177&lt;Input!$D$80,Input!$C$81,Input!$D$81),Input!$E$81),Input!$F$81),Input!$G$81),Input!$H$81)</f>
        <v>0.9</v>
      </c>
      <c r="AM177" s="60">
        <f t="shared" si="87"/>
        <v>0</v>
      </c>
      <c r="AN177" s="60">
        <f t="shared" si="107"/>
        <v>31</v>
      </c>
      <c r="AO177" s="60">
        <f t="shared" si="88"/>
        <v>0</v>
      </c>
      <c r="AP177" s="60">
        <f>ROUND(AO177*AN177*Input!$C$3/365,0)</f>
        <v>0</v>
      </c>
      <c r="AQ177" s="61">
        <f>IF($A177&lt;=Input!$C$6,0,IF('Fixed Tenure'!AM177&lt;'Fixed Tenure'!AO177,'Fixed Tenure'!AM177-AP177,'Fixed Tenure'!AO177))</f>
        <v>0</v>
      </c>
      <c r="AR177" s="61">
        <f t="shared" si="89"/>
        <v>0</v>
      </c>
      <c r="AS177" s="60">
        <f t="shared" si="90"/>
        <v>0</v>
      </c>
      <c r="AT177" s="193"/>
      <c r="AU177" s="169">
        <v>173</v>
      </c>
      <c r="AV177" s="1">
        <f t="shared" si="108"/>
        <v>50785</v>
      </c>
      <c r="AW177" s="60">
        <f>IF($X177&lt;Input!$H$88,IF($X177&lt;Input!$G$88,IF($X177&lt;Input!$F$88,IF($X177&lt;Input!$E$88,IF($X177&lt;Input!$D$88,Input!$C$94,Input!$D$94),Input!$E$94),Input!$F$94),Input!$G$94),Input!$H$94)</f>
        <v>0</v>
      </c>
      <c r="AX177" s="190">
        <f>IF($A177&lt;Input!$H$95,IF($A177&lt;Input!$G$95,IF($A177&lt;Input!$F$95,IF($A177&lt;Input!$E$95,IF($A177&lt;Input!$D$95,Input!$C$96,Input!$D$96),Input!$E$96),Input!$F$96),Input!$G$96),Input!$H$96)</f>
        <v>0.9</v>
      </c>
      <c r="AY177" s="60">
        <f t="shared" si="91"/>
        <v>0</v>
      </c>
      <c r="AZ177" s="60">
        <f t="shared" si="109"/>
        <v>31</v>
      </c>
      <c r="BA177" s="60">
        <f t="shared" si="92"/>
        <v>0</v>
      </c>
      <c r="BB177" s="60">
        <f>ROUND(BA177*AZ177*Input!$C$3/365,0)</f>
        <v>0</v>
      </c>
      <c r="BC177" s="61">
        <f>IF($A177&lt;=Input!$C$6,0,IF('Fixed Tenure'!AY177&lt;'Fixed Tenure'!BA177,'Fixed Tenure'!AY177-BB177,'Fixed Tenure'!BA177))</f>
        <v>0</v>
      </c>
      <c r="BD177" s="61">
        <f t="shared" si="93"/>
        <v>0</v>
      </c>
      <c r="BE177" s="60">
        <f t="shared" si="94"/>
        <v>0</v>
      </c>
      <c r="BF177" s="193"/>
      <c r="BG177" s="169">
        <v>173</v>
      </c>
      <c r="BH177" s="1">
        <f t="shared" si="110"/>
        <v>50785</v>
      </c>
      <c r="BI177" s="60">
        <f>IF($X177&lt;Input!$H$103,IF($X177&lt;Input!$G$103,IF($X177&lt;Input!$F$103,IF($X177&lt;Input!$E$103,IF($X177&lt;Input!$D$103,Input!$C$109,Input!$D$109),Input!$E$109),Input!$F$109),Input!$G$109),Input!$H$109)</f>
        <v>0</v>
      </c>
      <c r="BJ177" s="190">
        <f>IF($A177&lt;Input!$H$110,IF($A177&lt;Input!$G$110,IF($A177&lt;Input!$F$110,IF($A177&lt;Input!$E$110,IF($A177&lt;Input!$D$110,Input!$C$111,Input!$D$111),Input!$E$111),Input!$F$111),Input!$G$111),Input!$H$111)</f>
        <v>0.9</v>
      </c>
      <c r="BK177" s="60">
        <f t="shared" si="95"/>
        <v>0</v>
      </c>
      <c r="BL177" s="60">
        <f t="shared" si="111"/>
        <v>31</v>
      </c>
      <c r="BM177" s="60">
        <f t="shared" si="96"/>
        <v>0</v>
      </c>
      <c r="BN177" s="60">
        <f>ROUND(BM177*BL177*Input!$C$3/365,0)</f>
        <v>0</v>
      </c>
      <c r="BO177" s="61">
        <f>IF($A177&lt;=Input!$C$6,0,IF('Fixed Tenure'!BK177&lt;'Fixed Tenure'!BM177,'Fixed Tenure'!BK177-BN177,'Fixed Tenure'!BM177))</f>
        <v>0</v>
      </c>
      <c r="BP177" s="61">
        <f t="shared" si="97"/>
        <v>0</v>
      </c>
      <c r="BQ177" s="60">
        <f t="shared" si="98"/>
        <v>0</v>
      </c>
      <c r="BR177" s="198"/>
    </row>
    <row r="178" spans="1:70" x14ac:dyDescent="0.25">
      <c r="A178" s="169">
        <v>174</v>
      </c>
      <c r="B178" s="1">
        <f t="shared" si="99"/>
        <v>50816</v>
      </c>
      <c r="C178" s="60">
        <f t="shared" si="77"/>
        <v>33127052.878124986</v>
      </c>
      <c r="D178" s="60">
        <f t="shared" si="78"/>
        <v>29814347.590312488</v>
      </c>
      <c r="E178" s="60">
        <f t="shared" si="100"/>
        <v>31</v>
      </c>
      <c r="F178" s="60">
        <f t="shared" si="101"/>
        <v>0</v>
      </c>
      <c r="G178" s="60">
        <f>ROUND(F178*E178*Input!$C$3/365,0)</f>
        <v>0</v>
      </c>
      <c r="H178" s="60">
        <f>IF($A178&lt;=Input!$C$6,0,IF('Fixed Tenure'!D178&lt;'Fixed Tenure'!F178,'Fixed Tenure'!D178-G178,'Fixed Tenure'!F178))</f>
        <v>0</v>
      </c>
      <c r="I178" s="60">
        <f t="shared" si="102"/>
        <v>0</v>
      </c>
      <c r="J178" s="60">
        <f t="shared" si="103"/>
        <v>0</v>
      </c>
      <c r="K178" s="202">
        <f>J178/Input!$K$5</f>
        <v>0</v>
      </c>
      <c r="L178" s="232"/>
      <c r="M178" s="60">
        <f>IF($B178&lt;Input!$H$43,IF($B178&lt;Input!$G$43,IF($B178&lt;Input!$F$43,IF($B178&lt;Input!$E$43,IF($B178&lt;Input!$D$43,Input!$C$49,Input!$D$49),Input!$E$49),Input!$F$49),Input!$G$49),Input!$H$49)</f>
        <v>33127052.878124986</v>
      </c>
      <c r="N178" s="190">
        <f>IF($A178&lt;Input!$H$50,IF($A178&lt;Input!$G$50,IF($A178&lt;Input!$F$50,IF($A178&lt;Input!$E$50,IF($A178&lt;Input!$D$50,Input!$C$51,Input!$D$51),Input!$E$51),Input!$F$51),Input!$G$51),Input!$H$51)</f>
        <v>0.9</v>
      </c>
      <c r="O178" s="60">
        <f t="shared" si="112"/>
        <v>29814347.590312488</v>
      </c>
      <c r="P178" s="60">
        <f t="shared" si="113"/>
        <v>31</v>
      </c>
      <c r="Q178" s="60">
        <f t="shared" si="80"/>
        <v>0</v>
      </c>
      <c r="R178" s="60">
        <f>ROUND(Q178*$P178*Input!$C$3/365,0)</f>
        <v>0</v>
      </c>
      <c r="S178" s="60">
        <f>IF(A178&lt;=Input!$C$6,0,IF('Fixed Tenure'!O178&lt;'Fixed Tenure'!Q178,'Fixed Tenure'!O178-R178,'Fixed Tenure'!Q178))</f>
        <v>0</v>
      </c>
      <c r="T178" s="60">
        <f t="shared" si="81"/>
        <v>0</v>
      </c>
      <c r="U178" s="60">
        <f t="shared" si="82"/>
        <v>0</v>
      </c>
      <c r="V178" s="193"/>
      <c r="W178" s="169">
        <v>174</v>
      </c>
      <c r="X178" s="1">
        <f t="shared" si="104"/>
        <v>50816</v>
      </c>
      <c r="Y178" s="60">
        <f>IF($X178&lt;Input!$H$58,IF($X178&lt;Input!$G$58,IF($X178&lt;Input!$F$58,IF($X178&lt;Input!$E$58,IF($X178&lt;Input!$D$58,Input!$C$64,Input!$D$64),Input!$E$64),Input!$F$64),Input!$G$64),Input!$H$64)</f>
        <v>0</v>
      </c>
      <c r="Z178" s="190">
        <f>IF($A178&lt;Input!$H$65,IF($A178&lt;Input!$G$65,IF($A178&lt;Input!$F$65,IF($A178&lt;Input!$E$65,IF($A178&lt;Input!$D$65,Input!$C$66,Input!$D$66),Input!$E$66),Input!$F$66),Input!$G$66),Input!$H$66)</f>
        <v>0.9</v>
      </c>
      <c r="AA178" s="60">
        <f t="shared" si="83"/>
        <v>0</v>
      </c>
      <c r="AB178" s="60">
        <f t="shared" si="105"/>
        <v>31</v>
      </c>
      <c r="AC178" s="60">
        <f t="shared" si="84"/>
        <v>0</v>
      </c>
      <c r="AD178" s="60">
        <f>ROUND(AC178*AB178*Input!$C$3/365,0)</f>
        <v>0</v>
      </c>
      <c r="AE178" s="61">
        <f>IF($A178&lt;=Input!$C$6,0,IF('Fixed Tenure'!AA178&lt;'Fixed Tenure'!AC178,'Fixed Tenure'!AA178-AD178,'Fixed Tenure'!AC178))</f>
        <v>0</v>
      </c>
      <c r="AF178" s="61">
        <f t="shared" si="85"/>
        <v>0</v>
      </c>
      <c r="AG178" s="60">
        <f t="shared" si="86"/>
        <v>0</v>
      </c>
      <c r="AH178" s="193"/>
      <c r="AI178" s="169">
        <v>174</v>
      </c>
      <c r="AJ178" s="1">
        <f t="shared" si="106"/>
        <v>50816</v>
      </c>
      <c r="AK178" s="60">
        <f>IF($X178&lt;Input!$H$73,IF($X178&lt;Input!$G$73,IF($X178&lt;Input!$F$73,IF($X178&lt;Input!$E$73,IF($X178&lt;Input!$D$73,Input!$C$79,Input!$D$79),Input!$E$79),Input!$F$79),Input!$G$79),Input!$H$79)</f>
        <v>0</v>
      </c>
      <c r="AL178" s="190">
        <f>IF($A178&lt;Input!$H$80,IF($A178&lt;Input!$G$80,IF($A178&lt;Input!$F$80,IF($A178&lt;Input!$E$80,IF($A178&lt;Input!$D$80,Input!$C$81,Input!$D$81),Input!$E$81),Input!$F$81),Input!$G$81),Input!$H$81)</f>
        <v>0.9</v>
      </c>
      <c r="AM178" s="60">
        <f t="shared" si="87"/>
        <v>0</v>
      </c>
      <c r="AN178" s="60">
        <f t="shared" si="107"/>
        <v>31</v>
      </c>
      <c r="AO178" s="60">
        <f t="shared" si="88"/>
        <v>0</v>
      </c>
      <c r="AP178" s="60">
        <f>ROUND(AO178*AN178*Input!$C$3/365,0)</f>
        <v>0</v>
      </c>
      <c r="AQ178" s="61">
        <f>IF($A178&lt;=Input!$C$6,0,IF('Fixed Tenure'!AM178&lt;'Fixed Tenure'!AO178,'Fixed Tenure'!AM178-AP178,'Fixed Tenure'!AO178))</f>
        <v>0</v>
      </c>
      <c r="AR178" s="61">
        <f t="shared" si="89"/>
        <v>0</v>
      </c>
      <c r="AS178" s="60">
        <f t="shared" si="90"/>
        <v>0</v>
      </c>
      <c r="AT178" s="193"/>
      <c r="AU178" s="169">
        <v>174</v>
      </c>
      <c r="AV178" s="1">
        <f t="shared" si="108"/>
        <v>50816</v>
      </c>
      <c r="AW178" s="60">
        <f>IF($X178&lt;Input!$H$88,IF($X178&lt;Input!$G$88,IF($X178&lt;Input!$F$88,IF($X178&lt;Input!$E$88,IF($X178&lt;Input!$D$88,Input!$C$94,Input!$D$94),Input!$E$94),Input!$F$94),Input!$G$94),Input!$H$94)</f>
        <v>0</v>
      </c>
      <c r="AX178" s="190">
        <f>IF($A178&lt;Input!$H$95,IF($A178&lt;Input!$G$95,IF($A178&lt;Input!$F$95,IF($A178&lt;Input!$E$95,IF($A178&lt;Input!$D$95,Input!$C$96,Input!$D$96),Input!$E$96),Input!$F$96),Input!$G$96),Input!$H$96)</f>
        <v>0.9</v>
      </c>
      <c r="AY178" s="60">
        <f t="shared" si="91"/>
        <v>0</v>
      </c>
      <c r="AZ178" s="60">
        <f t="shared" si="109"/>
        <v>31</v>
      </c>
      <c r="BA178" s="60">
        <f t="shared" si="92"/>
        <v>0</v>
      </c>
      <c r="BB178" s="60">
        <f>ROUND(BA178*AZ178*Input!$C$3/365,0)</f>
        <v>0</v>
      </c>
      <c r="BC178" s="61">
        <f>IF($A178&lt;=Input!$C$6,0,IF('Fixed Tenure'!AY178&lt;'Fixed Tenure'!BA178,'Fixed Tenure'!AY178-BB178,'Fixed Tenure'!BA178))</f>
        <v>0</v>
      </c>
      <c r="BD178" s="61">
        <f t="shared" si="93"/>
        <v>0</v>
      </c>
      <c r="BE178" s="60">
        <f t="shared" si="94"/>
        <v>0</v>
      </c>
      <c r="BF178" s="193"/>
      <c r="BG178" s="169">
        <v>174</v>
      </c>
      <c r="BH178" s="1">
        <f t="shared" si="110"/>
        <v>50816</v>
      </c>
      <c r="BI178" s="60">
        <f>IF($X178&lt;Input!$H$103,IF($X178&lt;Input!$G$103,IF($X178&lt;Input!$F$103,IF($X178&lt;Input!$E$103,IF($X178&lt;Input!$D$103,Input!$C$109,Input!$D$109),Input!$E$109),Input!$F$109),Input!$G$109),Input!$H$109)</f>
        <v>0</v>
      </c>
      <c r="BJ178" s="190">
        <f>IF($A178&lt;Input!$H$110,IF($A178&lt;Input!$G$110,IF($A178&lt;Input!$F$110,IF($A178&lt;Input!$E$110,IF($A178&lt;Input!$D$110,Input!$C$111,Input!$D$111),Input!$E$111),Input!$F$111),Input!$G$111),Input!$H$111)</f>
        <v>0.9</v>
      </c>
      <c r="BK178" s="60">
        <f t="shared" si="95"/>
        <v>0</v>
      </c>
      <c r="BL178" s="60">
        <f t="shared" si="111"/>
        <v>31</v>
      </c>
      <c r="BM178" s="60">
        <f t="shared" si="96"/>
        <v>0</v>
      </c>
      <c r="BN178" s="60">
        <f>ROUND(BM178*BL178*Input!$C$3/365,0)</f>
        <v>0</v>
      </c>
      <c r="BO178" s="61">
        <f>IF($A178&lt;=Input!$C$6,0,IF('Fixed Tenure'!BK178&lt;'Fixed Tenure'!BM178,'Fixed Tenure'!BK178-BN178,'Fixed Tenure'!BM178))</f>
        <v>0</v>
      </c>
      <c r="BP178" s="61">
        <f t="shared" si="97"/>
        <v>0</v>
      </c>
      <c r="BQ178" s="60">
        <f t="shared" si="98"/>
        <v>0</v>
      </c>
      <c r="BR178" s="198"/>
    </row>
    <row r="179" spans="1:70" x14ac:dyDescent="0.25">
      <c r="A179" s="169">
        <v>175</v>
      </c>
      <c r="B179" s="1">
        <f t="shared" si="99"/>
        <v>50844</v>
      </c>
      <c r="C179" s="60">
        <f t="shared" si="77"/>
        <v>33127052.878124986</v>
      </c>
      <c r="D179" s="60">
        <f t="shared" si="78"/>
        <v>29814347.590312488</v>
      </c>
      <c r="E179" s="60">
        <f t="shared" si="100"/>
        <v>28</v>
      </c>
      <c r="F179" s="60">
        <f t="shared" si="101"/>
        <v>0</v>
      </c>
      <c r="G179" s="60">
        <f>ROUND(F179*E179*Input!$C$3/365,0)</f>
        <v>0</v>
      </c>
      <c r="H179" s="60">
        <f>IF($A179&lt;=Input!$C$6,0,IF('Fixed Tenure'!D179&lt;'Fixed Tenure'!F179,'Fixed Tenure'!D179-G179,'Fixed Tenure'!F179))</f>
        <v>0</v>
      </c>
      <c r="I179" s="60">
        <f t="shared" si="102"/>
        <v>0</v>
      </c>
      <c r="J179" s="60">
        <f t="shared" si="103"/>
        <v>0</v>
      </c>
      <c r="K179" s="202">
        <f>J179/Input!$K$5</f>
        <v>0</v>
      </c>
      <c r="L179" s="232"/>
      <c r="M179" s="60">
        <f>IF($B179&lt;Input!$H$43,IF($B179&lt;Input!$G$43,IF($B179&lt;Input!$F$43,IF($B179&lt;Input!$E$43,IF($B179&lt;Input!$D$43,Input!$C$49,Input!$D$49),Input!$E$49),Input!$F$49),Input!$G$49),Input!$H$49)</f>
        <v>33127052.878124986</v>
      </c>
      <c r="N179" s="190">
        <f>IF($A179&lt;Input!$H$50,IF($A179&lt;Input!$G$50,IF($A179&lt;Input!$F$50,IF($A179&lt;Input!$E$50,IF($A179&lt;Input!$D$50,Input!$C$51,Input!$D$51),Input!$E$51),Input!$F$51),Input!$G$51),Input!$H$51)</f>
        <v>0.9</v>
      </c>
      <c r="O179" s="60">
        <f t="shared" si="112"/>
        <v>29814347.590312488</v>
      </c>
      <c r="P179" s="60">
        <f t="shared" si="113"/>
        <v>28</v>
      </c>
      <c r="Q179" s="60">
        <f t="shared" si="80"/>
        <v>0</v>
      </c>
      <c r="R179" s="60">
        <f>ROUND(Q179*$P179*Input!$C$3/365,0)</f>
        <v>0</v>
      </c>
      <c r="S179" s="60">
        <f>IF(A179&lt;=Input!$C$6,0,IF('Fixed Tenure'!O179&lt;'Fixed Tenure'!Q179,'Fixed Tenure'!O179-R179,'Fixed Tenure'!Q179))</f>
        <v>0</v>
      </c>
      <c r="T179" s="60">
        <f t="shared" si="81"/>
        <v>0</v>
      </c>
      <c r="U179" s="60">
        <f t="shared" si="82"/>
        <v>0</v>
      </c>
      <c r="V179" s="193"/>
      <c r="W179" s="169">
        <v>175</v>
      </c>
      <c r="X179" s="1">
        <f t="shared" si="104"/>
        <v>50844</v>
      </c>
      <c r="Y179" s="60">
        <f>IF($X179&lt;Input!$H$58,IF($X179&lt;Input!$G$58,IF($X179&lt;Input!$F$58,IF($X179&lt;Input!$E$58,IF($X179&lt;Input!$D$58,Input!$C$64,Input!$D$64),Input!$E$64),Input!$F$64),Input!$G$64),Input!$H$64)</f>
        <v>0</v>
      </c>
      <c r="Z179" s="190">
        <f>IF($A179&lt;Input!$H$65,IF($A179&lt;Input!$G$65,IF($A179&lt;Input!$F$65,IF($A179&lt;Input!$E$65,IF($A179&lt;Input!$D$65,Input!$C$66,Input!$D$66),Input!$E$66),Input!$F$66),Input!$G$66),Input!$H$66)</f>
        <v>0.9</v>
      </c>
      <c r="AA179" s="60">
        <f t="shared" si="83"/>
        <v>0</v>
      </c>
      <c r="AB179" s="60">
        <f t="shared" si="105"/>
        <v>28</v>
      </c>
      <c r="AC179" s="60">
        <f t="shared" si="84"/>
        <v>0</v>
      </c>
      <c r="AD179" s="60">
        <f>ROUND(AC179*AB179*Input!$C$3/365,0)</f>
        <v>0</v>
      </c>
      <c r="AE179" s="61">
        <f>IF($A179&lt;=Input!$C$6,0,IF('Fixed Tenure'!AA179&lt;'Fixed Tenure'!AC179,'Fixed Tenure'!AA179-AD179,'Fixed Tenure'!AC179))</f>
        <v>0</v>
      </c>
      <c r="AF179" s="61">
        <f t="shared" si="85"/>
        <v>0</v>
      </c>
      <c r="AG179" s="60">
        <f t="shared" si="86"/>
        <v>0</v>
      </c>
      <c r="AH179" s="193"/>
      <c r="AI179" s="169">
        <v>175</v>
      </c>
      <c r="AJ179" s="1">
        <f t="shared" si="106"/>
        <v>50844</v>
      </c>
      <c r="AK179" s="60">
        <f>IF($X179&lt;Input!$H$73,IF($X179&lt;Input!$G$73,IF($X179&lt;Input!$F$73,IF($X179&lt;Input!$E$73,IF($X179&lt;Input!$D$73,Input!$C$79,Input!$D$79),Input!$E$79),Input!$F$79),Input!$G$79),Input!$H$79)</f>
        <v>0</v>
      </c>
      <c r="AL179" s="190">
        <f>IF($A179&lt;Input!$H$80,IF($A179&lt;Input!$G$80,IF($A179&lt;Input!$F$80,IF($A179&lt;Input!$E$80,IF($A179&lt;Input!$D$80,Input!$C$81,Input!$D$81),Input!$E$81),Input!$F$81),Input!$G$81),Input!$H$81)</f>
        <v>0.9</v>
      </c>
      <c r="AM179" s="60">
        <f t="shared" si="87"/>
        <v>0</v>
      </c>
      <c r="AN179" s="60">
        <f t="shared" si="107"/>
        <v>28</v>
      </c>
      <c r="AO179" s="60">
        <f t="shared" si="88"/>
        <v>0</v>
      </c>
      <c r="AP179" s="60">
        <f>ROUND(AO179*AN179*Input!$C$3/365,0)</f>
        <v>0</v>
      </c>
      <c r="AQ179" s="61">
        <f>IF($A179&lt;=Input!$C$6,0,IF('Fixed Tenure'!AM179&lt;'Fixed Tenure'!AO179,'Fixed Tenure'!AM179-AP179,'Fixed Tenure'!AO179))</f>
        <v>0</v>
      </c>
      <c r="AR179" s="61">
        <f t="shared" si="89"/>
        <v>0</v>
      </c>
      <c r="AS179" s="60">
        <f t="shared" si="90"/>
        <v>0</v>
      </c>
      <c r="AT179" s="193"/>
      <c r="AU179" s="169">
        <v>175</v>
      </c>
      <c r="AV179" s="1">
        <f t="shared" si="108"/>
        <v>50844</v>
      </c>
      <c r="AW179" s="60">
        <f>IF($X179&lt;Input!$H$88,IF($X179&lt;Input!$G$88,IF($X179&lt;Input!$F$88,IF($X179&lt;Input!$E$88,IF($X179&lt;Input!$D$88,Input!$C$94,Input!$D$94),Input!$E$94),Input!$F$94),Input!$G$94),Input!$H$94)</f>
        <v>0</v>
      </c>
      <c r="AX179" s="190">
        <f>IF($A179&lt;Input!$H$95,IF($A179&lt;Input!$G$95,IF($A179&lt;Input!$F$95,IF($A179&lt;Input!$E$95,IF($A179&lt;Input!$D$95,Input!$C$96,Input!$D$96),Input!$E$96),Input!$F$96),Input!$G$96),Input!$H$96)</f>
        <v>0.9</v>
      </c>
      <c r="AY179" s="60">
        <f t="shared" si="91"/>
        <v>0</v>
      </c>
      <c r="AZ179" s="60">
        <f t="shared" si="109"/>
        <v>28</v>
      </c>
      <c r="BA179" s="60">
        <f t="shared" si="92"/>
        <v>0</v>
      </c>
      <c r="BB179" s="60">
        <f>ROUND(BA179*AZ179*Input!$C$3/365,0)</f>
        <v>0</v>
      </c>
      <c r="BC179" s="61">
        <f>IF($A179&lt;=Input!$C$6,0,IF('Fixed Tenure'!AY179&lt;'Fixed Tenure'!BA179,'Fixed Tenure'!AY179-BB179,'Fixed Tenure'!BA179))</f>
        <v>0</v>
      </c>
      <c r="BD179" s="61">
        <f t="shared" si="93"/>
        <v>0</v>
      </c>
      <c r="BE179" s="60">
        <f t="shared" si="94"/>
        <v>0</v>
      </c>
      <c r="BF179" s="193"/>
      <c r="BG179" s="169">
        <v>175</v>
      </c>
      <c r="BH179" s="1">
        <f t="shared" si="110"/>
        <v>50844</v>
      </c>
      <c r="BI179" s="60">
        <f>IF($X179&lt;Input!$H$103,IF($X179&lt;Input!$G$103,IF($X179&lt;Input!$F$103,IF($X179&lt;Input!$E$103,IF($X179&lt;Input!$D$103,Input!$C$109,Input!$D$109),Input!$E$109),Input!$F$109),Input!$G$109),Input!$H$109)</f>
        <v>0</v>
      </c>
      <c r="BJ179" s="190">
        <f>IF($A179&lt;Input!$H$110,IF($A179&lt;Input!$G$110,IF($A179&lt;Input!$F$110,IF($A179&lt;Input!$E$110,IF($A179&lt;Input!$D$110,Input!$C$111,Input!$D$111),Input!$E$111),Input!$F$111),Input!$G$111),Input!$H$111)</f>
        <v>0.9</v>
      </c>
      <c r="BK179" s="60">
        <f t="shared" si="95"/>
        <v>0</v>
      </c>
      <c r="BL179" s="60">
        <f t="shared" si="111"/>
        <v>28</v>
      </c>
      <c r="BM179" s="60">
        <f t="shared" si="96"/>
        <v>0</v>
      </c>
      <c r="BN179" s="60">
        <f>ROUND(BM179*BL179*Input!$C$3/365,0)</f>
        <v>0</v>
      </c>
      <c r="BO179" s="61">
        <f>IF($A179&lt;=Input!$C$6,0,IF('Fixed Tenure'!BK179&lt;'Fixed Tenure'!BM179,'Fixed Tenure'!BK179-BN179,'Fixed Tenure'!BM179))</f>
        <v>0</v>
      </c>
      <c r="BP179" s="61">
        <f t="shared" si="97"/>
        <v>0</v>
      </c>
      <c r="BQ179" s="60">
        <f t="shared" si="98"/>
        <v>0</v>
      </c>
      <c r="BR179" s="198"/>
    </row>
    <row r="180" spans="1:70" x14ac:dyDescent="0.25">
      <c r="A180" s="169">
        <v>176</v>
      </c>
      <c r="B180" s="1">
        <f t="shared" si="99"/>
        <v>50875</v>
      </c>
      <c r="C180" s="60">
        <f t="shared" si="77"/>
        <v>33127052.878124986</v>
      </c>
      <c r="D180" s="60">
        <f t="shared" si="78"/>
        <v>29814347.590312488</v>
      </c>
      <c r="E180" s="60">
        <f t="shared" si="100"/>
        <v>31</v>
      </c>
      <c r="F180" s="60">
        <f t="shared" si="101"/>
        <v>0</v>
      </c>
      <c r="G180" s="60">
        <f>ROUND(F180*E180*Input!$C$3/365,0)</f>
        <v>0</v>
      </c>
      <c r="H180" s="60">
        <f>IF($A180&lt;=Input!$C$6,0,IF('Fixed Tenure'!D180&lt;'Fixed Tenure'!F180,'Fixed Tenure'!D180-G180,'Fixed Tenure'!F180))</f>
        <v>0</v>
      </c>
      <c r="I180" s="60">
        <f t="shared" si="102"/>
        <v>0</v>
      </c>
      <c r="J180" s="60">
        <f t="shared" si="103"/>
        <v>0</v>
      </c>
      <c r="K180" s="202">
        <f>J180/Input!$K$5</f>
        <v>0</v>
      </c>
      <c r="L180" s="232"/>
      <c r="M180" s="60">
        <f>IF($B180&lt;Input!$H$43,IF($B180&lt;Input!$G$43,IF($B180&lt;Input!$F$43,IF($B180&lt;Input!$E$43,IF($B180&lt;Input!$D$43,Input!$C$49,Input!$D$49),Input!$E$49),Input!$F$49),Input!$G$49),Input!$H$49)</f>
        <v>33127052.878124986</v>
      </c>
      <c r="N180" s="190">
        <f>IF($A180&lt;Input!$H$50,IF($A180&lt;Input!$G$50,IF($A180&lt;Input!$F$50,IF($A180&lt;Input!$E$50,IF($A180&lt;Input!$D$50,Input!$C$51,Input!$D$51),Input!$E$51),Input!$F$51),Input!$G$51),Input!$H$51)</f>
        <v>0.9</v>
      </c>
      <c r="O180" s="60">
        <f t="shared" si="112"/>
        <v>29814347.590312488</v>
      </c>
      <c r="P180" s="60">
        <f t="shared" si="113"/>
        <v>31</v>
      </c>
      <c r="Q180" s="60">
        <f t="shared" si="80"/>
        <v>0</v>
      </c>
      <c r="R180" s="60">
        <f>ROUND(Q180*$P180*Input!$C$3/365,0)</f>
        <v>0</v>
      </c>
      <c r="S180" s="60">
        <f>IF(A180&lt;=Input!$C$6,0,IF('Fixed Tenure'!O180&lt;'Fixed Tenure'!Q180,'Fixed Tenure'!O180-R180,'Fixed Tenure'!Q180))</f>
        <v>0</v>
      </c>
      <c r="T180" s="60">
        <f t="shared" si="81"/>
        <v>0</v>
      </c>
      <c r="U180" s="60">
        <f t="shared" si="82"/>
        <v>0</v>
      </c>
      <c r="V180" s="193"/>
      <c r="W180" s="169">
        <v>176</v>
      </c>
      <c r="X180" s="1">
        <f t="shared" si="104"/>
        <v>50875</v>
      </c>
      <c r="Y180" s="60">
        <f>IF($X180&lt;Input!$H$58,IF($X180&lt;Input!$G$58,IF($X180&lt;Input!$F$58,IF($X180&lt;Input!$E$58,IF($X180&lt;Input!$D$58,Input!$C$64,Input!$D$64),Input!$E$64),Input!$F$64),Input!$G$64),Input!$H$64)</f>
        <v>0</v>
      </c>
      <c r="Z180" s="190">
        <f>IF($A180&lt;Input!$H$65,IF($A180&lt;Input!$G$65,IF($A180&lt;Input!$F$65,IF($A180&lt;Input!$E$65,IF($A180&lt;Input!$D$65,Input!$C$66,Input!$D$66),Input!$E$66),Input!$F$66),Input!$G$66),Input!$H$66)</f>
        <v>0.9</v>
      </c>
      <c r="AA180" s="60">
        <f t="shared" si="83"/>
        <v>0</v>
      </c>
      <c r="AB180" s="60">
        <f t="shared" si="105"/>
        <v>31</v>
      </c>
      <c r="AC180" s="60">
        <f t="shared" si="84"/>
        <v>0</v>
      </c>
      <c r="AD180" s="60">
        <f>ROUND(AC180*AB180*Input!$C$3/365,0)</f>
        <v>0</v>
      </c>
      <c r="AE180" s="61">
        <f>IF($A180&lt;=Input!$C$6,0,IF('Fixed Tenure'!AA180&lt;'Fixed Tenure'!AC180,'Fixed Tenure'!AA180-AD180,'Fixed Tenure'!AC180))</f>
        <v>0</v>
      </c>
      <c r="AF180" s="61">
        <f t="shared" si="85"/>
        <v>0</v>
      </c>
      <c r="AG180" s="60">
        <f t="shared" si="86"/>
        <v>0</v>
      </c>
      <c r="AH180" s="193"/>
      <c r="AI180" s="169">
        <v>176</v>
      </c>
      <c r="AJ180" s="1">
        <f t="shared" si="106"/>
        <v>50875</v>
      </c>
      <c r="AK180" s="60">
        <f>IF($X180&lt;Input!$H$73,IF($X180&lt;Input!$G$73,IF($X180&lt;Input!$F$73,IF($X180&lt;Input!$E$73,IF($X180&lt;Input!$D$73,Input!$C$79,Input!$D$79),Input!$E$79),Input!$F$79),Input!$G$79),Input!$H$79)</f>
        <v>0</v>
      </c>
      <c r="AL180" s="190">
        <f>IF($A180&lt;Input!$H$80,IF($A180&lt;Input!$G$80,IF($A180&lt;Input!$F$80,IF($A180&lt;Input!$E$80,IF($A180&lt;Input!$D$80,Input!$C$81,Input!$D$81),Input!$E$81),Input!$F$81),Input!$G$81),Input!$H$81)</f>
        <v>0.9</v>
      </c>
      <c r="AM180" s="60">
        <f t="shared" si="87"/>
        <v>0</v>
      </c>
      <c r="AN180" s="60">
        <f t="shared" si="107"/>
        <v>31</v>
      </c>
      <c r="AO180" s="60">
        <f t="shared" si="88"/>
        <v>0</v>
      </c>
      <c r="AP180" s="60">
        <f>ROUND(AO180*AN180*Input!$C$3/365,0)</f>
        <v>0</v>
      </c>
      <c r="AQ180" s="61">
        <f>IF($A180&lt;=Input!$C$6,0,IF('Fixed Tenure'!AM180&lt;'Fixed Tenure'!AO180,'Fixed Tenure'!AM180-AP180,'Fixed Tenure'!AO180))</f>
        <v>0</v>
      </c>
      <c r="AR180" s="61">
        <f t="shared" si="89"/>
        <v>0</v>
      </c>
      <c r="AS180" s="60">
        <f t="shared" si="90"/>
        <v>0</v>
      </c>
      <c r="AT180" s="193"/>
      <c r="AU180" s="169">
        <v>176</v>
      </c>
      <c r="AV180" s="1">
        <f t="shared" si="108"/>
        <v>50875</v>
      </c>
      <c r="AW180" s="60">
        <f>IF($X180&lt;Input!$H$88,IF($X180&lt;Input!$G$88,IF($X180&lt;Input!$F$88,IF($X180&lt;Input!$E$88,IF($X180&lt;Input!$D$88,Input!$C$94,Input!$D$94),Input!$E$94),Input!$F$94),Input!$G$94),Input!$H$94)</f>
        <v>0</v>
      </c>
      <c r="AX180" s="190">
        <f>IF($A180&lt;Input!$H$95,IF($A180&lt;Input!$G$95,IF($A180&lt;Input!$F$95,IF($A180&lt;Input!$E$95,IF($A180&lt;Input!$D$95,Input!$C$96,Input!$D$96),Input!$E$96),Input!$F$96),Input!$G$96),Input!$H$96)</f>
        <v>0.9</v>
      </c>
      <c r="AY180" s="60">
        <f t="shared" si="91"/>
        <v>0</v>
      </c>
      <c r="AZ180" s="60">
        <f t="shared" si="109"/>
        <v>31</v>
      </c>
      <c r="BA180" s="60">
        <f t="shared" si="92"/>
        <v>0</v>
      </c>
      <c r="BB180" s="60">
        <f>ROUND(BA180*AZ180*Input!$C$3/365,0)</f>
        <v>0</v>
      </c>
      <c r="BC180" s="61">
        <f>IF($A180&lt;=Input!$C$6,0,IF('Fixed Tenure'!AY180&lt;'Fixed Tenure'!BA180,'Fixed Tenure'!AY180-BB180,'Fixed Tenure'!BA180))</f>
        <v>0</v>
      </c>
      <c r="BD180" s="61">
        <f t="shared" si="93"/>
        <v>0</v>
      </c>
      <c r="BE180" s="60">
        <f t="shared" si="94"/>
        <v>0</v>
      </c>
      <c r="BF180" s="193"/>
      <c r="BG180" s="169">
        <v>176</v>
      </c>
      <c r="BH180" s="1">
        <f t="shared" si="110"/>
        <v>50875</v>
      </c>
      <c r="BI180" s="60">
        <f>IF($X180&lt;Input!$H$103,IF($X180&lt;Input!$G$103,IF($X180&lt;Input!$F$103,IF($X180&lt;Input!$E$103,IF($X180&lt;Input!$D$103,Input!$C$109,Input!$D$109),Input!$E$109),Input!$F$109),Input!$G$109),Input!$H$109)</f>
        <v>0</v>
      </c>
      <c r="BJ180" s="190">
        <f>IF($A180&lt;Input!$H$110,IF($A180&lt;Input!$G$110,IF($A180&lt;Input!$F$110,IF($A180&lt;Input!$E$110,IF($A180&lt;Input!$D$110,Input!$C$111,Input!$D$111),Input!$E$111),Input!$F$111),Input!$G$111),Input!$H$111)</f>
        <v>0.9</v>
      </c>
      <c r="BK180" s="60">
        <f t="shared" si="95"/>
        <v>0</v>
      </c>
      <c r="BL180" s="60">
        <f t="shared" si="111"/>
        <v>31</v>
      </c>
      <c r="BM180" s="60">
        <f t="shared" si="96"/>
        <v>0</v>
      </c>
      <c r="BN180" s="60">
        <f>ROUND(BM180*BL180*Input!$C$3/365,0)</f>
        <v>0</v>
      </c>
      <c r="BO180" s="61">
        <f>IF($A180&lt;=Input!$C$6,0,IF('Fixed Tenure'!BK180&lt;'Fixed Tenure'!BM180,'Fixed Tenure'!BK180-BN180,'Fixed Tenure'!BM180))</f>
        <v>0</v>
      </c>
      <c r="BP180" s="61">
        <f t="shared" si="97"/>
        <v>0</v>
      </c>
      <c r="BQ180" s="60">
        <f t="shared" si="98"/>
        <v>0</v>
      </c>
      <c r="BR180" s="198"/>
    </row>
    <row r="181" spans="1:70" x14ac:dyDescent="0.25">
      <c r="A181" s="169">
        <v>177</v>
      </c>
      <c r="B181" s="1">
        <f t="shared" si="99"/>
        <v>50905</v>
      </c>
      <c r="C181" s="60">
        <f t="shared" si="77"/>
        <v>33127052.878124986</v>
      </c>
      <c r="D181" s="60">
        <f t="shared" si="78"/>
        <v>29814347.590312488</v>
      </c>
      <c r="E181" s="60">
        <f t="shared" si="100"/>
        <v>30</v>
      </c>
      <c r="F181" s="60">
        <f t="shared" si="101"/>
        <v>0</v>
      </c>
      <c r="G181" s="60">
        <f>ROUND(F181*E181*Input!$C$3/365,0)</f>
        <v>0</v>
      </c>
      <c r="H181" s="60">
        <f>IF($A181&lt;=Input!$C$6,0,IF('Fixed Tenure'!D181&lt;'Fixed Tenure'!F181,'Fixed Tenure'!D181-G181,'Fixed Tenure'!F181))</f>
        <v>0</v>
      </c>
      <c r="I181" s="60">
        <f t="shared" si="102"/>
        <v>0</v>
      </c>
      <c r="J181" s="60">
        <f t="shared" si="103"/>
        <v>0</v>
      </c>
      <c r="K181" s="202">
        <f>J181/Input!$K$5</f>
        <v>0</v>
      </c>
      <c r="L181" s="232"/>
      <c r="M181" s="60">
        <f>IF($B181&lt;Input!$H$43,IF($B181&lt;Input!$G$43,IF($B181&lt;Input!$F$43,IF($B181&lt;Input!$E$43,IF($B181&lt;Input!$D$43,Input!$C$49,Input!$D$49),Input!$E$49),Input!$F$49),Input!$G$49),Input!$H$49)</f>
        <v>33127052.878124986</v>
      </c>
      <c r="N181" s="190">
        <f>IF($A181&lt;Input!$H$50,IF($A181&lt;Input!$G$50,IF($A181&lt;Input!$F$50,IF($A181&lt;Input!$E$50,IF($A181&lt;Input!$D$50,Input!$C$51,Input!$D$51),Input!$E$51),Input!$F$51),Input!$G$51),Input!$H$51)</f>
        <v>0.9</v>
      </c>
      <c r="O181" s="60">
        <f t="shared" si="112"/>
        <v>29814347.590312488</v>
      </c>
      <c r="P181" s="60">
        <f t="shared" si="113"/>
        <v>30</v>
      </c>
      <c r="Q181" s="60">
        <f t="shared" si="80"/>
        <v>0</v>
      </c>
      <c r="R181" s="60">
        <f>ROUND(Q181*$P181*Input!$C$3/365,0)</f>
        <v>0</v>
      </c>
      <c r="S181" s="60">
        <f>IF(A181&lt;=Input!$C$6,0,IF('Fixed Tenure'!O181&lt;'Fixed Tenure'!Q181,'Fixed Tenure'!O181-R181,'Fixed Tenure'!Q181))</f>
        <v>0</v>
      </c>
      <c r="T181" s="60">
        <f t="shared" si="81"/>
        <v>0</v>
      </c>
      <c r="U181" s="60">
        <f t="shared" si="82"/>
        <v>0</v>
      </c>
      <c r="V181" s="193"/>
      <c r="W181" s="169">
        <v>177</v>
      </c>
      <c r="X181" s="1">
        <f t="shared" si="104"/>
        <v>50905</v>
      </c>
      <c r="Y181" s="60">
        <f>IF($X181&lt;Input!$H$58,IF($X181&lt;Input!$G$58,IF($X181&lt;Input!$F$58,IF($X181&lt;Input!$E$58,IF($X181&lt;Input!$D$58,Input!$C$64,Input!$D$64),Input!$E$64),Input!$F$64),Input!$G$64),Input!$H$64)</f>
        <v>0</v>
      </c>
      <c r="Z181" s="190">
        <f>IF($A181&lt;Input!$H$65,IF($A181&lt;Input!$G$65,IF($A181&lt;Input!$F$65,IF($A181&lt;Input!$E$65,IF($A181&lt;Input!$D$65,Input!$C$66,Input!$D$66),Input!$E$66),Input!$F$66),Input!$G$66),Input!$H$66)</f>
        <v>0.9</v>
      </c>
      <c r="AA181" s="60">
        <f t="shared" si="83"/>
        <v>0</v>
      </c>
      <c r="AB181" s="60">
        <f t="shared" si="105"/>
        <v>30</v>
      </c>
      <c r="AC181" s="60">
        <f t="shared" si="84"/>
        <v>0</v>
      </c>
      <c r="AD181" s="60">
        <f>ROUND(AC181*AB181*Input!$C$3/365,0)</f>
        <v>0</v>
      </c>
      <c r="AE181" s="61">
        <f>IF($A181&lt;=Input!$C$6,0,IF('Fixed Tenure'!AA181&lt;'Fixed Tenure'!AC181,'Fixed Tenure'!AA181-AD181,'Fixed Tenure'!AC181))</f>
        <v>0</v>
      </c>
      <c r="AF181" s="61">
        <f t="shared" si="85"/>
        <v>0</v>
      </c>
      <c r="AG181" s="60">
        <f t="shared" si="86"/>
        <v>0</v>
      </c>
      <c r="AH181" s="193"/>
      <c r="AI181" s="169">
        <v>177</v>
      </c>
      <c r="AJ181" s="1">
        <f t="shared" si="106"/>
        <v>50905</v>
      </c>
      <c r="AK181" s="60">
        <f>IF($X181&lt;Input!$H$73,IF($X181&lt;Input!$G$73,IF($X181&lt;Input!$F$73,IF($X181&lt;Input!$E$73,IF($X181&lt;Input!$D$73,Input!$C$79,Input!$D$79),Input!$E$79),Input!$F$79),Input!$G$79),Input!$H$79)</f>
        <v>0</v>
      </c>
      <c r="AL181" s="190">
        <f>IF($A181&lt;Input!$H$80,IF($A181&lt;Input!$G$80,IF($A181&lt;Input!$F$80,IF($A181&lt;Input!$E$80,IF($A181&lt;Input!$D$80,Input!$C$81,Input!$D$81),Input!$E$81),Input!$F$81),Input!$G$81),Input!$H$81)</f>
        <v>0.9</v>
      </c>
      <c r="AM181" s="60">
        <f t="shared" si="87"/>
        <v>0</v>
      </c>
      <c r="AN181" s="60">
        <f t="shared" si="107"/>
        <v>30</v>
      </c>
      <c r="AO181" s="60">
        <f t="shared" si="88"/>
        <v>0</v>
      </c>
      <c r="AP181" s="60">
        <f>ROUND(AO181*AN181*Input!$C$3/365,0)</f>
        <v>0</v>
      </c>
      <c r="AQ181" s="61">
        <f>IF($A181&lt;=Input!$C$6,0,IF('Fixed Tenure'!AM181&lt;'Fixed Tenure'!AO181,'Fixed Tenure'!AM181-AP181,'Fixed Tenure'!AO181))</f>
        <v>0</v>
      </c>
      <c r="AR181" s="61">
        <f t="shared" si="89"/>
        <v>0</v>
      </c>
      <c r="AS181" s="60">
        <f t="shared" si="90"/>
        <v>0</v>
      </c>
      <c r="AT181" s="193"/>
      <c r="AU181" s="169">
        <v>177</v>
      </c>
      <c r="AV181" s="1">
        <f t="shared" si="108"/>
        <v>50905</v>
      </c>
      <c r="AW181" s="60">
        <f>IF($X181&lt;Input!$H$88,IF($X181&lt;Input!$G$88,IF($X181&lt;Input!$F$88,IF($X181&lt;Input!$E$88,IF($X181&lt;Input!$D$88,Input!$C$94,Input!$D$94),Input!$E$94),Input!$F$94),Input!$G$94),Input!$H$94)</f>
        <v>0</v>
      </c>
      <c r="AX181" s="190">
        <f>IF($A181&lt;Input!$H$95,IF($A181&lt;Input!$G$95,IF($A181&lt;Input!$F$95,IF($A181&lt;Input!$E$95,IF($A181&lt;Input!$D$95,Input!$C$96,Input!$D$96),Input!$E$96),Input!$F$96),Input!$G$96),Input!$H$96)</f>
        <v>0.9</v>
      </c>
      <c r="AY181" s="60">
        <f t="shared" si="91"/>
        <v>0</v>
      </c>
      <c r="AZ181" s="60">
        <f t="shared" si="109"/>
        <v>30</v>
      </c>
      <c r="BA181" s="60">
        <f t="shared" si="92"/>
        <v>0</v>
      </c>
      <c r="BB181" s="60">
        <f>ROUND(BA181*AZ181*Input!$C$3/365,0)</f>
        <v>0</v>
      </c>
      <c r="BC181" s="61">
        <f>IF($A181&lt;=Input!$C$6,0,IF('Fixed Tenure'!AY181&lt;'Fixed Tenure'!BA181,'Fixed Tenure'!AY181-BB181,'Fixed Tenure'!BA181))</f>
        <v>0</v>
      </c>
      <c r="BD181" s="61">
        <f t="shared" si="93"/>
        <v>0</v>
      </c>
      <c r="BE181" s="60">
        <f t="shared" si="94"/>
        <v>0</v>
      </c>
      <c r="BF181" s="193"/>
      <c r="BG181" s="169">
        <v>177</v>
      </c>
      <c r="BH181" s="1">
        <f t="shared" si="110"/>
        <v>50905</v>
      </c>
      <c r="BI181" s="60">
        <f>IF($X181&lt;Input!$H$103,IF($X181&lt;Input!$G$103,IF($X181&lt;Input!$F$103,IF($X181&lt;Input!$E$103,IF($X181&lt;Input!$D$103,Input!$C$109,Input!$D$109),Input!$E$109),Input!$F$109),Input!$G$109),Input!$H$109)</f>
        <v>0</v>
      </c>
      <c r="BJ181" s="190">
        <f>IF($A181&lt;Input!$H$110,IF($A181&lt;Input!$G$110,IF($A181&lt;Input!$F$110,IF($A181&lt;Input!$E$110,IF($A181&lt;Input!$D$110,Input!$C$111,Input!$D$111),Input!$E$111),Input!$F$111),Input!$G$111),Input!$H$111)</f>
        <v>0.9</v>
      </c>
      <c r="BK181" s="60">
        <f t="shared" si="95"/>
        <v>0</v>
      </c>
      <c r="BL181" s="60">
        <f t="shared" si="111"/>
        <v>30</v>
      </c>
      <c r="BM181" s="60">
        <f t="shared" si="96"/>
        <v>0</v>
      </c>
      <c r="BN181" s="60">
        <f>ROUND(BM181*BL181*Input!$C$3/365,0)</f>
        <v>0</v>
      </c>
      <c r="BO181" s="61">
        <f>IF($A181&lt;=Input!$C$6,0,IF('Fixed Tenure'!BK181&lt;'Fixed Tenure'!BM181,'Fixed Tenure'!BK181-BN181,'Fixed Tenure'!BM181))</f>
        <v>0</v>
      </c>
      <c r="BP181" s="61">
        <f t="shared" si="97"/>
        <v>0</v>
      </c>
      <c r="BQ181" s="60">
        <f t="shared" si="98"/>
        <v>0</v>
      </c>
      <c r="BR181" s="198"/>
    </row>
    <row r="182" spans="1:70" x14ac:dyDescent="0.25">
      <c r="A182" s="169">
        <v>178</v>
      </c>
      <c r="B182" s="1">
        <f t="shared" si="99"/>
        <v>50936</v>
      </c>
      <c r="C182" s="60">
        <f t="shared" si="77"/>
        <v>33127052.878124986</v>
      </c>
      <c r="D182" s="60">
        <f t="shared" si="78"/>
        <v>29814347.590312488</v>
      </c>
      <c r="E182" s="60">
        <f t="shared" si="100"/>
        <v>31</v>
      </c>
      <c r="F182" s="60">
        <f t="shared" si="101"/>
        <v>0</v>
      </c>
      <c r="G182" s="60">
        <f>ROUND(F182*E182*Input!$C$3/365,0)</f>
        <v>0</v>
      </c>
      <c r="H182" s="60">
        <f>IF($A182&lt;=Input!$C$6,0,IF('Fixed Tenure'!D182&lt;'Fixed Tenure'!F182,'Fixed Tenure'!D182-G182,'Fixed Tenure'!F182))</f>
        <v>0</v>
      </c>
      <c r="I182" s="60">
        <f t="shared" si="102"/>
        <v>0</v>
      </c>
      <c r="J182" s="60">
        <f t="shared" si="103"/>
        <v>0</v>
      </c>
      <c r="K182" s="202">
        <f>J182/Input!$K$5</f>
        <v>0</v>
      </c>
      <c r="L182" s="232"/>
      <c r="M182" s="60">
        <f>IF($B182&lt;Input!$H$43,IF($B182&lt;Input!$G$43,IF($B182&lt;Input!$F$43,IF($B182&lt;Input!$E$43,IF($B182&lt;Input!$D$43,Input!$C$49,Input!$D$49),Input!$E$49),Input!$F$49),Input!$G$49),Input!$H$49)</f>
        <v>33127052.878124986</v>
      </c>
      <c r="N182" s="190">
        <f>IF($A182&lt;Input!$H$50,IF($A182&lt;Input!$G$50,IF($A182&lt;Input!$F$50,IF($A182&lt;Input!$E$50,IF($A182&lt;Input!$D$50,Input!$C$51,Input!$D$51),Input!$E$51),Input!$F$51),Input!$G$51),Input!$H$51)</f>
        <v>0.9</v>
      </c>
      <c r="O182" s="60">
        <f t="shared" si="112"/>
        <v>29814347.590312488</v>
      </c>
      <c r="P182" s="60">
        <f t="shared" si="113"/>
        <v>31</v>
      </c>
      <c r="Q182" s="60">
        <f t="shared" si="80"/>
        <v>0</v>
      </c>
      <c r="R182" s="60">
        <f>ROUND(Q182*$P182*Input!$C$3/365,0)</f>
        <v>0</v>
      </c>
      <c r="S182" s="60">
        <f>IF(A182&lt;=Input!$C$6,0,IF('Fixed Tenure'!O182&lt;'Fixed Tenure'!Q182,'Fixed Tenure'!O182-R182,'Fixed Tenure'!Q182))</f>
        <v>0</v>
      </c>
      <c r="T182" s="60">
        <f t="shared" si="81"/>
        <v>0</v>
      </c>
      <c r="U182" s="60">
        <f t="shared" si="82"/>
        <v>0</v>
      </c>
      <c r="V182" s="193"/>
      <c r="W182" s="169">
        <v>178</v>
      </c>
      <c r="X182" s="1">
        <f t="shared" si="104"/>
        <v>50936</v>
      </c>
      <c r="Y182" s="60">
        <f>IF($X182&lt;Input!$H$58,IF($X182&lt;Input!$G$58,IF($X182&lt;Input!$F$58,IF($X182&lt;Input!$E$58,IF($X182&lt;Input!$D$58,Input!$C$64,Input!$D$64),Input!$E$64),Input!$F$64),Input!$G$64),Input!$H$64)</f>
        <v>0</v>
      </c>
      <c r="Z182" s="190">
        <f>IF($A182&lt;Input!$H$65,IF($A182&lt;Input!$G$65,IF($A182&lt;Input!$F$65,IF($A182&lt;Input!$E$65,IF($A182&lt;Input!$D$65,Input!$C$66,Input!$D$66),Input!$E$66),Input!$F$66),Input!$G$66),Input!$H$66)</f>
        <v>0.9</v>
      </c>
      <c r="AA182" s="60">
        <f t="shared" si="83"/>
        <v>0</v>
      </c>
      <c r="AB182" s="60">
        <f t="shared" si="105"/>
        <v>31</v>
      </c>
      <c r="AC182" s="60">
        <f t="shared" si="84"/>
        <v>0</v>
      </c>
      <c r="AD182" s="60">
        <f>ROUND(AC182*AB182*Input!$C$3/365,0)</f>
        <v>0</v>
      </c>
      <c r="AE182" s="61">
        <f>IF($A182&lt;=Input!$C$6,0,IF('Fixed Tenure'!AA182&lt;'Fixed Tenure'!AC182,'Fixed Tenure'!AA182-AD182,'Fixed Tenure'!AC182))</f>
        <v>0</v>
      </c>
      <c r="AF182" s="61">
        <f t="shared" si="85"/>
        <v>0</v>
      </c>
      <c r="AG182" s="60">
        <f t="shared" si="86"/>
        <v>0</v>
      </c>
      <c r="AH182" s="193"/>
      <c r="AI182" s="169">
        <v>178</v>
      </c>
      <c r="AJ182" s="1">
        <f t="shared" si="106"/>
        <v>50936</v>
      </c>
      <c r="AK182" s="60">
        <f>IF($X182&lt;Input!$H$73,IF($X182&lt;Input!$G$73,IF($X182&lt;Input!$F$73,IF($X182&lt;Input!$E$73,IF($X182&lt;Input!$D$73,Input!$C$79,Input!$D$79),Input!$E$79),Input!$F$79),Input!$G$79),Input!$H$79)</f>
        <v>0</v>
      </c>
      <c r="AL182" s="190">
        <f>IF($A182&lt;Input!$H$80,IF($A182&lt;Input!$G$80,IF($A182&lt;Input!$F$80,IF($A182&lt;Input!$E$80,IF($A182&lt;Input!$D$80,Input!$C$81,Input!$D$81),Input!$E$81),Input!$F$81),Input!$G$81),Input!$H$81)</f>
        <v>0.9</v>
      </c>
      <c r="AM182" s="60">
        <f t="shared" si="87"/>
        <v>0</v>
      </c>
      <c r="AN182" s="60">
        <f t="shared" si="107"/>
        <v>31</v>
      </c>
      <c r="AO182" s="60">
        <f t="shared" si="88"/>
        <v>0</v>
      </c>
      <c r="AP182" s="60">
        <f>ROUND(AO182*AN182*Input!$C$3/365,0)</f>
        <v>0</v>
      </c>
      <c r="AQ182" s="61">
        <f>IF($A182&lt;=Input!$C$6,0,IF('Fixed Tenure'!AM182&lt;'Fixed Tenure'!AO182,'Fixed Tenure'!AM182-AP182,'Fixed Tenure'!AO182))</f>
        <v>0</v>
      </c>
      <c r="AR182" s="61">
        <f t="shared" si="89"/>
        <v>0</v>
      </c>
      <c r="AS182" s="60">
        <f t="shared" si="90"/>
        <v>0</v>
      </c>
      <c r="AT182" s="193"/>
      <c r="AU182" s="169">
        <v>178</v>
      </c>
      <c r="AV182" s="1">
        <f t="shared" si="108"/>
        <v>50936</v>
      </c>
      <c r="AW182" s="60">
        <f>IF($X182&lt;Input!$H$88,IF($X182&lt;Input!$G$88,IF($X182&lt;Input!$F$88,IF($X182&lt;Input!$E$88,IF($X182&lt;Input!$D$88,Input!$C$94,Input!$D$94),Input!$E$94),Input!$F$94),Input!$G$94),Input!$H$94)</f>
        <v>0</v>
      </c>
      <c r="AX182" s="190">
        <f>IF($A182&lt;Input!$H$95,IF($A182&lt;Input!$G$95,IF($A182&lt;Input!$F$95,IF($A182&lt;Input!$E$95,IF($A182&lt;Input!$D$95,Input!$C$96,Input!$D$96),Input!$E$96),Input!$F$96),Input!$G$96),Input!$H$96)</f>
        <v>0.9</v>
      </c>
      <c r="AY182" s="60">
        <f t="shared" si="91"/>
        <v>0</v>
      </c>
      <c r="AZ182" s="60">
        <f t="shared" si="109"/>
        <v>31</v>
      </c>
      <c r="BA182" s="60">
        <f t="shared" si="92"/>
        <v>0</v>
      </c>
      <c r="BB182" s="60">
        <f>ROUND(BA182*AZ182*Input!$C$3/365,0)</f>
        <v>0</v>
      </c>
      <c r="BC182" s="61">
        <f>IF($A182&lt;=Input!$C$6,0,IF('Fixed Tenure'!AY182&lt;'Fixed Tenure'!BA182,'Fixed Tenure'!AY182-BB182,'Fixed Tenure'!BA182))</f>
        <v>0</v>
      </c>
      <c r="BD182" s="61">
        <f t="shared" si="93"/>
        <v>0</v>
      </c>
      <c r="BE182" s="60">
        <f t="shared" si="94"/>
        <v>0</v>
      </c>
      <c r="BF182" s="193"/>
      <c r="BG182" s="169">
        <v>178</v>
      </c>
      <c r="BH182" s="1">
        <f t="shared" si="110"/>
        <v>50936</v>
      </c>
      <c r="BI182" s="60">
        <f>IF($X182&lt;Input!$H$103,IF($X182&lt;Input!$G$103,IF($X182&lt;Input!$F$103,IF($X182&lt;Input!$E$103,IF($X182&lt;Input!$D$103,Input!$C$109,Input!$D$109),Input!$E$109),Input!$F$109),Input!$G$109),Input!$H$109)</f>
        <v>0</v>
      </c>
      <c r="BJ182" s="190">
        <f>IF($A182&lt;Input!$H$110,IF($A182&lt;Input!$G$110,IF($A182&lt;Input!$F$110,IF($A182&lt;Input!$E$110,IF($A182&lt;Input!$D$110,Input!$C$111,Input!$D$111),Input!$E$111),Input!$F$111),Input!$G$111),Input!$H$111)</f>
        <v>0.9</v>
      </c>
      <c r="BK182" s="60">
        <f t="shared" si="95"/>
        <v>0</v>
      </c>
      <c r="BL182" s="60">
        <f t="shared" si="111"/>
        <v>31</v>
      </c>
      <c r="BM182" s="60">
        <f t="shared" si="96"/>
        <v>0</v>
      </c>
      <c r="BN182" s="60">
        <f>ROUND(BM182*BL182*Input!$C$3/365,0)</f>
        <v>0</v>
      </c>
      <c r="BO182" s="61">
        <f>IF($A182&lt;=Input!$C$6,0,IF('Fixed Tenure'!BK182&lt;'Fixed Tenure'!BM182,'Fixed Tenure'!BK182-BN182,'Fixed Tenure'!BM182))</f>
        <v>0</v>
      </c>
      <c r="BP182" s="61">
        <f t="shared" si="97"/>
        <v>0</v>
      </c>
      <c r="BQ182" s="60">
        <f t="shared" si="98"/>
        <v>0</v>
      </c>
      <c r="BR182" s="198"/>
    </row>
    <row r="183" spans="1:70" x14ac:dyDescent="0.25">
      <c r="A183" s="169">
        <v>179</v>
      </c>
      <c r="B183" s="1">
        <f t="shared" si="99"/>
        <v>50966</v>
      </c>
      <c r="C183" s="60">
        <f t="shared" si="77"/>
        <v>33127052.878124986</v>
      </c>
      <c r="D183" s="60">
        <f t="shared" si="78"/>
        <v>29814347.590312488</v>
      </c>
      <c r="E183" s="60">
        <f t="shared" si="100"/>
        <v>30</v>
      </c>
      <c r="F183" s="60">
        <f t="shared" si="101"/>
        <v>0</v>
      </c>
      <c r="G183" s="60">
        <f>ROUND(F183*E183*Input!$C$3/365,0)</f>
        <v>0</v>
      </c>
      <c r="H183" s="60">
        <f>IF($A183&lt;=Input!$C$6,0,IF('Fixed Tenure'!D183&lt;'Fixed Tenure'!F183,'Fixed Tenure'!D183-G183,'Fixed Tenure'!F183))</f>
        <v>0</v>
      </c>
      <c r="I183" s="60">
        <f t="shared" si="102"/>
        <v>0</v>
      </c>
      <c r="J183" s="60">
        <f t="shared" si="103"/>
        <v>0</v>
      </c>
      <c r="K183" s="202">
        <f>J183/Input!$K$5</f>
        <v>0</v>
      </c>
      <c r="L183" s="232"/>
      <c r="M183" s="60">
        <f>IF($B183&lt;Input!$H$43,IF($B183&lt;Input!$G$43,IF($B183&lt;Input!$F$43,IF($B183&lt;Input!$E$43,IF($B183&lt;Input!$D$43,Input!$C$49,Input!$D$49),Input!$E$49),Input!$F$49),Input!$G$49),Input!$H$49)</f>
        <v>33127052.878124986</v>
      </c>
      <c r="N183" s="190">
        <f>IF($A183&lt;Input!$H$50,IF($A183&lt;Input!$G$50,IF($A183&lt;Input!$F$50,IF($A183&lt;Input!$E$50,IF($A183&lt;Input!$D$50,Input!$C$51,Input!$D$51),Input!$E$51),Input!$F$51),Input!$G$51),Input!$H$51)</f>
        <v>0.9</v>
      </c>
      <c r="O183" s="60">
        <f t="shared" si="112"/>
        <v>29814347.590312488</v>
      </c>
      <c r="P183" s="60">
        <f t="shared" si="113"/>
        <v>30</v>
      </c>
      <c r="Q183" s="60">
        <f t="shared" si="80"/>
        <v>0</v>
      </c>
      <c r="R183" s="60">
        <f>ROUND(Q183*$P183*Input!$C$3/365,0)</f>
        <v>0</v>
      </c>
      <c r="S183" s="60">
        <f>IF(A183&lt;=Input!$C$6,0,IF('Fixed Tenure'!O183&lt;'Fixed Tenure'!Q183,'Fixed Tenure'!O183-R183,'Fixed Tenure'!Q183))</f>
        <v>0</v>
      </c>
      <c r="T183" s="60">
        <f t="shared" si="81"/>
        <v>0</v>
      </c>
      <c r="U183" s="60">
        <f t="shared" si="82"/>
        <v>0</v>
      </c>
      <c r="V183" s="193"/>
      <c r="W183" s="169">
        <v>179</v>
      </c>
      <c r="X183" s="1">
        <f t="shared" si="104"/>
        <v>50966</v>
      </c>
      <c r="Y183" s="60">
        <f>IF($X183&lt;Input!$H$58,IF($X183&lt;Input!$G$58,IF($X183&lt;Input!$F$58,IF($X183&lt;Input!$E$58,IF($X183&lt;Input!$D$58,Input!$C$64,Input!$D$64),Input!$E$64),Input!$F$64),Input!$G$64),Input!$H$64)</f>
        <v>0</v>
      </c>
      <c r="Z183" s="190">
        <f>IF($A183&lt;Input!$H$65,IF($A183&lt;Input!$G$65,IF($A183&lt;Input!$F$65,IF($A183&lt;Input!$E$65,IF($A183&lt;Input!$D$65,Input!$C$66,Input!$D$66),Input!$E$66),Input!$F$66),Input!$G$66),Input!$H$66)</f>
        <v>0.9</v>
      </c>
      <c r="AA183" s="60">
        <f t="shared" si="83"/>
        <v>0</v>
      </c>
      <c r="AB183" s="60">
        <f t="shared" si="105"/>
        <v>30</v>
      </c>
      <c r="AC183" s="60">
        <f t="shared" si="84"/>
        <v>0</v>
      </c>
      <c r="AD183" s="60">
        <f>ROUND(AC183*AB183*Input!$C$3/365,0)</f>
        <v>0</v>
      </c>
      <c r="AE183" s="61">
        <f>IF($A183&lt;=Input!$C$6,0,IF('Fixed Tenure'!AA183&lt;'Fixed Tenure'!AC183,'Fixed Tenure'!AA183-AD183,'Fixed Tenure'!AC183))</f>
        <v>0</v>
      </c>
      <c r="AF183" s="61">
        <f t="shared" si="85"/>
        <v>0</v>
      </c>
      <c r="AG183" s="60">
        <f t="shared" si="86"/>
        <v>0</v>
      </c>
      <c r="AH183" s="193"/>
      <c r="AI183" s="169">
        <v>179</v>
      </c>
      <c r="AJ183" s="1">
        <f t="shared" si="106"/>
        <v>50966</v>
      </c>
      <c r="AK183" s="60">
        <f>IF($X183&lt;Input!$H$73,IF($X183&lt;Input!$G$73,IF($X183&lt;Input!$F$73,IF($X183&lt;Input!$E$73,IF($X183&lt;Input!$D$73,Input!$C$79,Input!$D$79),Input!$E$79),Input!$F$79),Input!$G$79),Input!$H$79)</f>
        <v>0</v>
      </c>
      <c r="AL183" s="190">
        <f>IF($A183&lt;Input!$H$80,IF($A183&lt;Input!$G$80,IF($A183&lt;Input!$F$80,IF($A183&lt;Input!$E$80,IF($A183&lt;Input!$D$80,Input!$C$81,Input!$D$81),Input!$E$81),Input!$F$81),Input!$G$81),Input!$H$81)</f>
        <v>0.9</v>
      </c>
      <c r="AM183" s="60">
        <f t="shared" si="87"/>
        <v>0</v>
      </c>
      <c r="AN183" s="60">
        <f t="shared" si="107"/>
        <v>30</v>
      </c>
      <c r="AO183" s="60">
        <f t="shared" si="88"/>
        <v>0</v>
      </c>
      <c r="AP183" s="60">
        <f>ROUND(AO183*AN183*Input!$C$3/365,0)</f>
        <v>0</v>
      </c>
      <c r="AQ183" s="61">
        <f>IF($A183&lt;=Input!$C$6,0,IF('Fixed Tenure'!AM183&lt;'Fixed Tenure'!AO183,'Fixed Tenure'!AM183-AP183,'Fixed Tenure'!AO183))</f>
        <v>0</v>
      </c>
      <c r="AR183" s="61">
        <f t="shared" si="89"/>
        <v>0</v>
      </c>
      <c r="AS183" s="60">
        <f t="shared" si="90"/>
        <v>0</v>
      </c>
      <c r="AT183" s="193"/>
      <c r="AU183" s="169">
        <v>179</v>
      </c>
      <c r="AV183" s="1">
        <f t="shared" si="108"/>
        <v>50966</v>
      </c>
      <c r="AW183" s="60">
        <f>IF($X183&lt;Input!$H$88,IF($X183&lt;Input!$G$88,IF($X183&lt;Input!$F$88,IF($X183&lt;Input!$E$88,IF($X183&lt;Input!$D$88,Input!$C$94,Input!$D$94),Input!$E$94),Input!$F$94),Input!$G$94),Input!$H$94)</f>
        <v>0</v>
      </c>
      <c r="AX183" s="190">
        <f>IF($A183&lt;Input!$H$95,IF($A183&lt;Input!$G$95,IF($A183&lt;Input!$F$95,IF($A183&lt;Input!$E$95,IF($A183&lt;Input!$D$95,Input!$C$96,Input!$D$96),Input!$E$96),Input!$F$96),Input!$G$96),Input!$H$96)</f>
        <v>0.9</v>
      </c>
      <c r="AY183" s="60">
        <f t="shared" si="91"/>
        <v>0</v>
      </c>
      <c r="AZ183" s="60">
        <f t="shared" si="109"/>
        <v>30</v>
      </c>
      <c r="BA183" s="60">
        <f t="shared" si="92"/>
        <v>0</v>
      </c>
      <c r="BB183" s="60">
        <f>ROUND(BA183*AZ183*Input!$C$3/365,0)</f>
        <v>0</v>
      </c>
      <c r="BC183" s="61">
        <f>IF($A183&lt;=Input!$C$6,0,IF('Fixed Tenure'!AY183&lt;'Fixed Tenure'!BA183,'Fixed Tenure'!AY183-BB183,'Fixed Tenure'!BA183))</f>
        <v>0</v>
      </c>
      <c r="BD183" s="61">
        <f t="shared" si="93"/>
        <v>0</v>
      </c>
      <c r="BE183" s="60">
        <f t="shared" si="94"/>
        <v>0</v>
      </c>
      <c r="BF183" s="193"/>
      <c r="BG183" s="169">
        <v>179</v>
      </c>
      <c r="BH183" s="1">
        <f t="shared" si="110"/>
        <v>50966</v>
      </c>
      <c r="BI183" s="60">
        <f>IF($X183&lt;Input!$H$103,IF($X183&lt;Input!$G$103,IF($X183&lt;Input!$F$103,IF($X183&lt;Input!$E$103,IF($X183&lt;Input!$D$103,Input!$C$109,Input!$D$109),Input!$E$109),Input!$F$109),Input!$G$109),Input!$H$109)</f>
        <v>0</v>
      </c>
      <c r="BJ183" s="190">
        <f>IF($A183&lt;Input!$H$110,IF($A183&lt;Input!$G$110,IF($A183&lt;Input!$F$110,IF($A183&lt;Input!$E$110,IF($A183&lt;Input!$D$110,Input!$C$111,Input!$D$111),Input!$E$111),Input!$F$111),Input!$G$111),Input!$H$111)</f>
        <v>0.9</v>
      </c>
      <c r="BK183" s="60">
        <f t="shared" si="95"/>
        <v>0</v>
      </c>
      <c r="BL183" s="60">
        <f t="shared" si="111"/>
        <v>30</v>
      </c>
      <c r="BM183" s="60">
        <f t="shared" si="96"/>
        <v>0</v>
      </c>
      <c r="BN183" s="60">
        <f>ROUND(BM183*BL183*Input!$C$3/365,0)</f>
        <v>0</v>
      </c>
      <c r="BO183" s="61">
        <f>IF($A183&lt;=Input!$C$6,0,IF('Fixed Tenure'!BK183&lt;'Fixed Tenure'!BM183,'Fixed Tenure'!BK183-BN183,'Fixed Tenure'!BM183))</f>
        <v>0</v>
      </c>
      <c r="BP183" s="61">
        <f t="shared" si="97"/>
        <v>0</v>
      </c>
      <c r="BQ183" s="60">
        <f t="shared" si="98"/>
        <v>0</v>
      </c>
      <c r="BR183" s="198"/>
    </row>
    <row r="184" spans="1:70" x14ac:dyDescent="0.25">
      <c r="A184" s="169">
        <v>180</v>
      </c>
      <c r="B184" s="1">
        <f t="shared" si="99"/>
        <v>50997</v>
      </c>
      <c r="C184" s="60">
        <f t="shared" si="77"/>
        <v>33127052.878124986</v>
      </c>
      <c r="D184" s="60">
        <f t="shared" si="78"/>
        <v>29814347.590312488</v>
      </c>
      <c r="E184" s="60">
        <f t="shared" si="100"/>
        <v>31</v>
      </c>
      <c r="F184" s="60">
        <f t="shared" si="101"/>
        <v>0</v>
      </c>
      <c r="G184" s="60">
        <f>ROUND(F184*E184*Input!$C$3/365,0)</f>
        <v>0</v>
      </c>
      <c r="H184" s="60">
        <f>IF($A184&lt;=Input!$C$6,0,IF('Fixed Tenure'!D184&lt;'Fixed Tenure'!F184,'Fixed Tenure'!D184-G184,'Fixed Tenure'!F184))</f>
        <v>0</v>
      </c>
      <c r="I184" s="60">
        <f t="shared" si="102"/>
        <v>0</v>
      </c>
      <c r="J184" s="60">
        <f t="shared" si="103"/>
        <v>0</v>
      </c>
      <c r="K184" s="202">
        <f>J184/Input!$K$5</f>
        <v>0</v>
      </c>
      <c r="L184" s="232"/>
      <c r="M184" s="60">
        <f>IF($B184&lt;Input!$H$43,IF($B184&lt;Input!$G$43,IF($B184&lt;Input!$F$43,IF($B184&lt;Input!$E$43,IF($B184&lt;Input!$D$43,Input!$C$49,Input!$D$49),Input!$E$49),Input!$F$49),Input!$G$49),Input!$H$49)</f>
        <v>33127052.878124986</v>
      </c>
      <c r="N184" s="190">
        <f>IF($A184&lt;Input!$H$50,IF($A184&lt;Input!$G$50,IF($A184&lt;Input!$F$50,IF($A184&lt;Input!$E$50,IF($A184&lt;Input!$D$50,Input!$C$51,Input!$D$51),Input!$E$51),Input!$F$51),Input!$G$51),Input!$H$51)</f>
        <v>0.9</v>
      </c>
      <c r="O184" s="60">
        <f t="shared" si="112"/>
        <v>29814347.590312488</v>
      </c>
      <c r="P184" s="60">
        <f t="shared" si="113"/>
        <v>31</v>
      </c>
      <c r="Q184" s="60">
        <f t="shared" si="80"/>
        <v>0</v>
      </c>
      <c r="R184" s="60">
        <f>ROUND(Q184*$P184*Input!$C$3/365,0)</f>
        <v>0</v>
      </c>
      <c r="S184" s="60">
        <f>IF(A184&lt;=Input!$C$6,0,IF('Fixed Tenure'!O184&lt;'Fixed Tenure'!Q184,'Fixed Tenure'!O184-R184,'Fixed Tenure'!Q184))</f>
        <v>0</v>
      </c>
      <c r="T184" s="60">
        <f t="shared" si="81"/>
        <v>0</v>
      </c>
      <c r="U184" s="60">
        <f t="shared" si="82"/>
        <v>0</v>
      </c>
      <c r="V184" s="193"/>
      <c r="W184" s="169">
        <v>180</v>
      </c>
      <c r="X184" s="1">
        <f t="shared" si="104"/>
        <v>50997</v>
      </c>
      <c r="Y184" s="60">
        <f>IF($X184&lt;Input!$H$58,IF($X184&lt;Input!$G$58,IF($X184&lt;Input!$F$58,IF($X184&lt;Input!$E$58,IF($X184&lt;Input!$D$58,Input!$C$64,Input!$D$64),Input!$E$64),Input!$F$64),Input!$G$64),Input!$H$64)</f>
        <v>0</v>
      </c>
      <c r="Z184" s="190">
        <f>IF($A184&lt;Input!$H$65,IF($A184&lt;Input!$G$65,IF($A184&lt;Input!$F$65,IF($A184&lt;Input!$E$65,IF($A184&lt;Input!$D$65,Input!$C$66,Input!$D$66),Input!$E$66),Input!$F$66),Input!$G$66),Input!$H$66)</f>
        <v>0.9</v>
      </c>
      <c r="AA184" s="60">
        <f t="shared" si="83"/>
        <v>0</v>
      </c>
      <c r="AB184" s="60">
        <f t="shared" si="105"/>
        <v>31</v>
      </c>
      <c r="AC184" s="60">
        <f t="shared" si="84"/>
        <v>0</v>
      </c>
      <c r="AD184" s="60">
        <f>ROUND(AC184*AB184*Input!$C$3/365,0)</f>
        <v>0</v>
      </c>
      <c r="AE184" s="61">
        <f>IF($A184&lt;=Input!$C$6,0,IF('Fixed Tenure'!AA184&lt;'Fixed Tenure'!AC184,'Fixed Tenure'!AA184-AD184,'Fixed Tenure'!AC184))</f>
        <v>0</v>
      </c>
      <c r="AF184" s="61">
        <f t="shared" si="85"/>
        <v>0</v>
      </c>
      <c r="AG184" s="60">
        <f t="shared" si="86"/>
        <v>0</v>
      </c>
      <c r="AH184" s="193"/>
      <c r="AI184" s="169">
        <v>180</v>
      </c>
      <c r="AJ184" s="1">
        <f t="shared" si="106"/>
        <v>50997</v>
      </c>
      <c r="AK184" s="60">
        <f>IF($X184&lt;Input!$H$73,IF($X184&lt;Input!$G$73,IF($X184&lt;Input!$F$73,IF($X184&lt;Input!$E$73,IF($X184&lt;Input!$D$73,Input!$C$79,Input!$D$79),Input!$E$79),Input!$F$79),Input!$G$79),Input!$H$79)</f>
        <v>0</v>
      </c>
      <c r="AL184" s="190">
        <f>IF($A184&lt;Input!$H$80,IF($A184&lt;Input!$G$80,IF($A184&lt;Input!$F$80,IF($A184&lt;Input!$E$80,IF($A184&lt;Input!$D$80,Input!$C$81,Input!$D$81),Input!$E$81),Input!$F$81),Input!$G$81),Input!$H$81)</f>
        <v>0.9</v>
      </c>
      <c r="AM184" s="60">
        <f t="shared" si="87"/>
        <v>0</v>
      </c>
      <c r="AN184" s="60">
        <f t="shared" si="107"/>
        <v>31</v>
      </c>
      <c r="AO184" s="60">
        <f t="shared" si="88"/>
        <v>0</v>
      </c>
      <c r="AP184" s="60">
        <f>ROUND(AO184*AN184*Input!$C$3/365,0)</f>
        <v>0</v>
      </c>
      <c r="AQ184" s="61">
        <f>IF($A184&lt;=Input!$C$6,0,IF('Fixed Tenure'!AM184&lt;'Fixed Tenure'!AO184,'Fixed Tenure'!AM184-AP184,'Fixed Tenure'!AO184))</f>
        <v>0</v>
      </c>
      <c r="AR184" s="61">
        <f t="shared" si="89"/>
        <v>0</v>
      </c>
      <c r="AS184" s="60">
        <f t="shared" si="90"/>
        <v>0</v>
      </c>
      <c r="AT184" s="193"/>
      <c r="AU184" s="169">
        <v>180</v>
      </c>
      <c r="AV184" s="1">
        <f t="shared" si="108"/>
        <v>50997</v>
      </c>
      <c r="AW184" s="60">
        <f>IF($X184&lt;Input!$H$88,IF($X184&lt;Input!$G$88,IF($X184&lt;Input!$F$88,IF($X184&lt;Input!$E$88,IF($X184&lt;Input!$D$88,Input!$C$94,Input!$D$94),Input!$E$94),Input!$F$94),Input!$G$94),Input!$H$94)</f>
        <v>0</v>
      </c>
      <c r="AX184" s="190">
        <f>IF($A184&lt;Input!$H$95,IF($A184&lt;Input!$G$95,IF($A184&lt;Input!$F$95,IF($A184&lt;Input!$E$95,IF($A184&lt;Input!$D$95,Input!$C$96,Input!$D$96),Input!$E$96),Input!$F$96),Input!$G$96),Input!$H$96)</f>
        <v>0.9</v>
      </c>
      <c r="AY184" s="60">
        <f t="shared" si="91"/>
        <v>0</v>
      </c>
      <c r="AZ184" s="60">
        <f t="shared" si="109"/>
        <v>31</v>
      </c>
      <c r="BA184" s="60">
        <f t="shared" si="92"/>
        <v>0</v>
      </c>
      <c r="BB184" s="60">
        <f>ROUND(BA184*AZ184*Input!$C$3/365,0)</f>
        <v>0</v>
      </c>
      <c r="BC184" s="61">
        <f>IF($A184&lt;=Input!$C$6,0,IF('Fixed Tenure'!AY184&lt;'Fixed Tenure'!BA184,'Fixed Tenure'!AY184-BB184,'Fixed Tenure'!BA184))</f>
        <v>0</v>
      </c>
      <c r="BD184" s="61">
        <f t="shared" si="93"/>
        <v>0</v>
      </c>
      <c r="BE184" s="60">
        <f t="shared" si="94"/>
        <v>0</v>
      </c>
      <c r="BF184" s="193"/>
      <c r="BG184" s="169">
        <v>180</v>
      </c>
      <c r="BH184" s="1">
        <f t="shared" si="110"/>
        <v>50997</v>
      </c>
      <c r="BI184" s="60">
        <f>IF($X184&lt;Input!$H$103,IF($X184&lt;Input!$G$103,IF($X184&lt;Input!$F$103,IF($X184&lt;Input!$E$103,IF($X184&lt;Input!$D$103,Input!$C$109,Input!$D$109),Input!$E$109),Input!$F$109),Input!$G$109),Input!$H$109)</f>
        <v>0</v>
      </c>
      <c r="BJ184" s="190">
        <f>IF($A184&lt;Input!$H$110,IF($A184&lt;Input!$G$110,IF($A184&lt;Input!$F$110,IF($A184&lt;Input!$E$110,IF($A184&lt;Input!$D$110,Input!$C$111,Input!$D$111),Input!$E$111),Input!$F$111),Input!$G$111),Input!$H$111)</f>
        <v>0.9</v>
      </c>
      <c r="BK184" s="60">
        <f t="shared" si="95"/>
        <v>0</v>
      </c>
      <c r="BL184" s="60">
        <f t="shared" si="111"/>
        <v>31</v>
      </c>
      <c r="BM184" s="60">
        <f t="shared" si="96"/>
        <v>0</v>
      </c>
      <c r="BN184" s="60">
        <f>ROUND(BM184*BL184*Input!$C$3/365,0)</f>
        <v>0</v>
      </c>
      <c r="BO184" s="61">
        <f>IF($A184&lt;=Input!$C$6,0,IF('Fixed Tenure'!BK184&lt;'Fixed Tenure'!BM184,'Fixed Tenure'!BK184-BN184,'Fixed Tenure'!BM184))</f>
        <v>0</v>
      </c>
      <c r="BP184" s="61">
        <f t="shared" si="97"/>
        <v>0</v>
      </c>
      <c r="BQ184" s="60">
        <f t="shared" si="98"/>
        <v>0</v>
      </c>
      <c r="BR184" s="198"/>
    </row>
  </sheetData>
  <sheetProtection algorithmName="SHA-512" hashValue="maRdPAiQpcVbW8D1FIfaEepIA8hKJMKYKyHqYmKBjOXDkfHhaTPXQyn14SHQ7RiXkAxgVU1dC5SO8W2s+BWXtQ==" saltValue="EJkpsU2CCS6kdrBXM2liEw==" spinCount="100000" sheet="1" formatCells="0" formatColumns="0" formatRows="0" pivotTables="0"/>
  <mergeCells count="7">
    <mergeCell ref="A1:BR1"/>
    <mergeCell ref="M3:T3"/>
    <mergeCell ref="W3:AF3"/>
    <mergeCell ref="AJ3:AR3"/>
    <mergeCell ref="AU3:BD3"/>
    <mergeCell ref="BG3:BP3"/>
    <mergeCell ref="A3:I3"/>
  </mergeCells>
  <conditionalFormatting sqref="N4:N184">
    <cfRule type="expression" dxfId="18" priority="6">
      <formula>N3&lt;&gt;N4</formula>
    </cfRule>
  </conditionalFormatting>
  <conditionalFormatting sqref="AL4:AL184">
    <cfRule type="expression" dxfId="17" priority="5">
      <formula>AL4&lt;&gt;AL3</formula>
    </cfRule>
  </conditionalFormatting>
  <conditionalFormatting sqref="Z4:Z184">
    <cfRule type="expression" dxfId="16" priority="4">
      <formula>Z4&lt;&gt;Z3</formula>
    </cfRule>
  </conditionalFormatting>
  <conditionalFormatting sqref="AX4:AX184">
    <cfRule type="expression" dxfId="15" priority="3">
      <formula>AX4&lt;&gt;AX3</formula>
    </cfRule>
  </conditionalFormatting>
  <conditionalFormatting sqref="BJ4:BJ184">
    <cfRule type="expression" dxfId="14" priority="2">
      <formula>BJ4&lt;&gt;BJ3</formula>
    </cfRule>
  </conditionalFormatting>
  <conditionalFormatting sqref="H4:H184">
    <cfRule type="cellIs" dxfId="13" priority="1" operator="lessThan">
      <formula>0</formula>
    </cfRule>
  </conditionalFormatting>
  <dataValidations count="1">
    <dataValidation type="custom" errorStyle="warning" allowBlank="1" showInputMessage="1" showErrorMessage="1" errorTitle="Sanction amount too high" error="Check negative values in principal run off and modify discounting factor / lower the loan amount" sqref="BC4:BC184 AE4:AE184 AQ4:AQ184 BO4:BO184" xr:uid="{A94A400A-BE89-4FF2-BFB3-856BB8AAA013}">
      <formula1>"&lt;0"</formula1>
    </dataValidation>
  </dataValidation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832E1-BD7B-43F9-8B92-ADFAB61B2B99}">
  <sheetPr codeName="Sheet17"/>
  <dimension ref="A1:BR184"/>
  <sheetViews>
    <sheetView zoomScale="87" zoomScaleNormal="87" workbookViewId="0">
      <selection activeCell="K3" sqref="K3"/>
    </sheetView>
  </sheetViews>
  <sheetFormatPr defaultRowHeight="15" x14ac:dyDescent="0.25"/>
  <cols>
    <col min="1" max="1" width="5.7109375" style="171" bestFit="1" customWidth="1"/>
    <col min="2" max="3" width="10" style="171" bestFit="1" customWidth="1"/>
    <col min="4" max="4" width="12.85546875" style="171" bestFit="1" customWidth="1"/>
    <col min="5" max="5" width="5.5703125" style="171" bestFit="1" customWidth="1"/>
    <col min="6" max="6" width="14" style="171" bestFit="1" customWidth="1"/>
    <col min="7" max="7" width="11.42578125" style="171" bestFit="1" customWidth="1"/>
    <col min="8" max="8" width="19.140625" style="171" bestFit="1" customWidth="1"/>
    <col min="9" max="9" width="10" style="171" customWidth="1"/>
    <col min="10" max="10" width="14" style="171" bestFit="1" customWidth="1"/>
    <col min="11" max="11" width="10" style="171" bestFit="1" customWidth="1"/>
    <col min="12" max="12" width="2" style="171" customWidth="1"/>
    <col min="13" max="13" width="10" style="171" bestFit="1" customWidth="1"/>
    <col min="14" max="14" width="7.5703125" style="171" bestFit="1" customWidth="1"/>
    <col min="15" max="15" width="10" style="171" customWidth="1"/>
    <col min="16" max="16" width="5.140625" style="171" bestFit="1" customWidth="1"/>
    <col min="17" max="17" width="14" style="171" bestFit="1" customWidth="1"/>
    <col min="18" max="18" width="11.42578125" style="171" bestFit="1" customWidth="1"/>
    <col min="19" max="19" width="12" style="171" bestFit="1" customWidth="1"/>
    <col min="20" max="20" width="10" style="171" bestFit="1" customWidth="1"/>
    <col min="21" max="21" width="14" style="171" bestFit="1" customWidth="1"/>
    <col min="22" max="22" width="0.5703125" style="171" customWidth="1"/>
    <col min="23" max="23" width="5.85546875" style="171" bestFit="1" customWidth="1"/>
    <col min="24" max="24" width="10" style="171" bestFit="1" customWidth="1"/>
    <col min="25" max="25" width="9" style="171" customWidth="1"/>
    <col min="26" max="26" width="7.5703125" style="171" bestFit="1" customWidth="1"/>
    <col min="27" max="27" width="9" style="171" customWidth="1"/>
    <col min="28" max="28" width="5.5703125" style="171" bestFit="1" customWidth="1"/>
    <col min="29" max="29" width="14" style="171" bestFit="1" customWidth="1"/>
    <col min="30" max="30" width="11.42578125" style="171" bestFit="1" customWidth="1"/>
    <col min="31" max="31" width="11" style="171" bestFit="1" customWidth="1"/>
    <col min="32" max="32" width="9.140625" style="171" bestFit="1" customWidth="1"/>
    <col min="33" max="33" width="14" style="171" bestFit="1" customWidth="1"/>
    <col min="34" max="34" width="1.28515625" style="171" customWidth="1"/>
    <col min="35" max="35" width="5.85546875" style="171" bestFit="1" customWidth="1"/>
    <col min="36" max="37" width="10" style="171" bestFit="1" customWidth="1"/>
    <col min="38" max="38" width="7.5703125" style="171" bestFit="1" customWidth="1"/>
    <col min="39" max="39" width="10" style="171" bestFit="1" customWidth="1"/>
    <col min="40" max="40" width="5.5703125" style="171" bestFit="1" customWidth="1"/>
    <col min="41" max="41" width="14" style="171" bestFit="1" customWidth="1"/>
    <col min="42" max="42" width="11.42578125" style="171" bestFit="1" customWidth="1"/>
    <col min="43" max="43" width="11" style="171" bestFit="1" customWidth="1"/>
    <col min="44" max="44" width="9.140625" style="171" bestFit="1" customWidth="1"/>
    <col min="45" max="45" width="14" style="171" bestFit="1" customWidth="1"/>
    <col min="46" max="46" width="1.5703125" style="171" customWidth="1"/>
    <col min="47" max="47" width="5.85546875" style="171" bestFit="1" customWidth="1"/>
    <col min="48" max="48" width="10" style="171" customWidth="1"/>
    <col min="49" max="49" width="9" style="171" bestFit="1" customWidth="1"/>
    <col min="50" max="50" width="7.5703125" style="171" bestFit="1" customWidth="1"/>
    <col min="51" max="51" width="10" style="171" customWidth="1"/>
    <col min="52" max="52" width="5.5703125" style="171" bestFit="1" customWidth="1"/>
    <col min="53" max="53" width="14" style="171" bestFit="1" customWidth="1"/>
    <col min="54" max="54" width="11.42578125" style="171" bestFit="1" customWidth="1"/>
    <col min="55" max="55" width="11" style="171" bestFit="1" customWidth="1"/>
    <col min="56" max="56" width="9.140625" style="171" bestFit="1" customWidth="1"/>
    <col min="57" max="57" width="14" style="171" bestFit="1" customWidth="1"/>
    <col min="58" max="58" width="2" style="171" customWidth="1"/>
    <col min="59" max="59" width="5.85546875" style="171" bestFit="1" customWidth="1"/>
    <col min="60" max="60" width="10" style="171" bestFit="1" customWidth="1"/>
    <col min="61" max="61" width="9" style="171" bestFit="1" customWidth="1"/>
    <col min="62" max="62" width="7.5703125" style="171" bestFit="1" customWidth="1"/>
    <col min="63" max="63" width="9" style="171" bestFit="1" customWidth="1"/>
    <col min="64" max="64" width="5.5703125" style="171" bestFit="1" customWidth="1"/>
    <col min="65" max="65" width="14" style="171" bestFit="1" customWidth="1"/>
    <col min="66" max="66" width="11.42578125" style="171" bestFit="1" customWidth="1"/>
    <col min="67" max="67" width="11" style="171" bestFit="1" customWidth="1"/>
    <col min="68" max="68" width="9.140625" style="171" customWidth="1"/>
    <col min="69" max="69" width="19.140625" style="171" bestFit="1" customWidth="1"/>
    <col min="70" max="70" width="2.28515625" style="171" customWidth="1"/>
    <col min="71" max="16384" width="9.140625" style="171"/>
  </cols>
  <sheetData>
    <row r="1" spans="1:70" s="51" customFormat="1" x14ac:dyDescent="0.25">
      <c r="A1" s="346" t="str">
        <f>CONCATENATE("Eligibility for ",Input!D16,Input!E16,Input!F16,Input!G16," and ",Input!H16," Months respectively")</f>
        <v>Eligibility for 1801207050 and 20 Months respectively</v>
      </c>
      <c r="B1" s="346"/>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c r="AI1" s="346"/>
      <c r="AJ1" s="346"/>
      <c r="AK1" s="346"/>
      <c r="AL1" s="346"/>
      <c r="AM1" s="346"/>
      <c r="AN1" s="346"/>
      <c r="AO1" s="346"/>
      <c r="AP1" s="346"/>
      <c r="AQ1" s="346"/>
      <c r="AR1" s="346"/>
      <c r="AS1" s="346"/>
      <c r="AT1" s="346"/>
      <c r="AU1" s="346"/>
      <c r="AV1" s="346"/>
      <c r="AW1" s="346"/>
      <c r="AX1" s="346"/>
      <c r="AY1" s="346"/>
      <c r="AZ1" s="346"/>
      <c r="BA1" s="346"/>
      <c r="BB1" s="346"/>
      <c r="BC1" s="346"/>
      <c r="BD1" s="346"/>
      <c r="BE1" s="346"/>
      <c r="BF1" s="346"/>
      <c r="BG1" s="346"/>
      <c r="BH1" s="346"/>
      <c r="BI1" s="346"/>
      <c r="BJ1" s="346"/>
      <c r="BK1" s="346"/>
      <c r="BL1" s="346"/>
      <c r="BM1" s="346"/>
      <c r="BN1" s="346"/>
      <c r="BO1" s="346"/>
      <c r="BP1" s="346"/>
      <c r="BQ1" s="346"/>
      <c r="BR1" s="346"/>
    </row>
    <row r="2" spans="1:70" s="51" customFormat="1" ht="69" customHeight="1" x14ac:dyDescent="0.25">
      <c r="A2" s="57" t="s">
        <v>20</v>
      </c>
      <c r="B2" s="58" t="s">
        <v>0</v>
      </c>
      <c r="C2" s="229" t="s">
        <v>150</v>
      </c>
      <c r="D2" s="58" t="s">
        <v>151</v>
      </c>
      <c r="E2" s="59" t="s">
        <v>4</v>
      </c>
      <c r="F2" s="59" t="s">
        <v>29</v>
      </c>
      <c r="G2" s="59" t="s">
        <v>2</v>
      </c>
      <c r="H2" s="59" t="s">
        <v>19</v>
      </c>
      <c r="I2" s="59" t="s">
        <v>27</v>
      </c>
      <c r="J2" s="59" t="s">
        <v>1</v>
      </c>
      <c r="K2" s="59" t="s">
        <v>32</v>
      </c>
      <c r="L2" s="230"/>
      <c r="M2" s="59" t="s">
        <v>146</v>
      </c>
      <c r="N2" s="59" t="s">
        <v>147</v>
      </c>
      <c r="O2" s="59" t="s">
        <v>148</v>
      </c>
      <c r="P2" s="59" t="s">
        <v>4</v>
      </c>
      <c r="Q2" s="59" t="s">
        <v>29</v>
      </c>
      <c r="R2" s="59" t="s">
        <v>2</v>
      </c>
      <c r="S2" s="59" t="s">
        <v>143</v>
      </c>
      <c r="T2" s="59" t="s">
        <v>27</v>
      </c>
      <c r="U2" s="59" t="s">
        <v>1</v>
      </c>
      <c r="V2" s="192"/>
      <c r="W2" s="58" t="s">
        <v>149</v>
      </c>
      <c r="X2" s="58" t="s">
        <v>0</v>
      </c>
      <c r="Y2" s="59" t="s">
        <v>146</v>
      </c>
      <c r="Z2" s="59" t="s">
        <v>147</v>
      </c>
      <c r="AA2" s="59" t="s">
        <v>148</v>
      </c>
      <c r="AB2" s="59" t="s">
        <v>4</v>
      </c>
      <c r="AC2" s="59" t="s">
        <v>29</v>
      </c>
      <c r="AD2" s="59" t="s">
        <v>2</v>
      </c>
      <c r="AE2" s="59" t="s">
        <v>143</v>
      </c>
      <c r="AF2" s="59" t="s">
        <v>27</v>
      </c>
      <c r="AG2" s="59" t="s">
        <v>1</v>
      </c>
      <c r="AH2" s="192"/>
      <c r="AI2" s="58" t="s">
        <v>149</v>
      </c>
      <c r="AJ2" s="58" t="s">
        <v>0</v>
      </c>
      <c r="AK2" s="59" t="s">
        <v>146</v>
      </c>
      <c r="AL2" s="59" t="s">
        <v>147</v>
      </c>
      <c r="AM2" s="59" t="s">
        <v>148</v>
      </c>
      <c r="AN2" s="59" t="s">
        <v>4</v>
      </c>
      <c r="AO2" s="59" t="s">
        <v>29</v>
      </c>
      <c r="AP2" s="59" t="s">
        <v>2</v>
      </c>
      <c r="AQ2" s="59" t="s">
        <v>143</v>
      </c>
      <c r="AR2" s="59" t="s">
        <v>27</v>
      </c>
      <c r="AS2" s="59" t="s">
        <v>1</v>
      </c>
      <c r="AT2" s="192"/>
      <c r="AU2" s="58" t="s">
        <v>149</v>
      </c>
      <c r="AV2" s="58" t="s">
        <v>0</v>
      </c>
      <c r="AW2" s="59" t="s">
        <v>146</v>
      </c>
      <c r="AX2" s="59" t="s">
        <v>147</v>
      </c>
      <c r="AY2" s="59" t="s">
        <v>148</v>
      </c>
      <c r="AZ2" s="59" t="s">
        <v>4</v>
      </c>
      <c r="BA2" s="59" t="s">
        <v>29</v>
      </c>
      <c r="BB2" s="59" t="s">
        <v>2</v>
      </c>
      <c r="BC2" s="59" t="s">
        <v>143</v>
      </c>
      <c r="BD2" s="59" t="s">
        <v>27</v>
      </c>
      <c r="BE2" s="59" t="s">
        <v>1</v>
      </c>
      <c r="BF2" s="192"/>
      <c r="BG2" s="58" t="s">
        <v>149</v>
      </c>
      <c r="BH2" s="58" t="s">
        <v>0</v>
      </c>
      <c r="BI2" s="59" t="s">
        <v>146</v>
      </c>
      <c r="BJ2" s="59" t="s">
        <v>147</v>
      </c>
      <c r="BK2" s="59" t="s">
        <v>148</v>
      </c>
      <c r="BL2" s="59" t="s">
        <v>4</v>
      </c>
      <c r="BM2" s="59" t="s">
        <v>29</v>
      </c>
      <c r="BN2" s="59" t="s">
        <v>2</v>
      </c>
      <c r="BO2" s="59" t="s">
        <v>143</v>
      </c>
      <c r="BP2" s="59" t="s">
        <v>27</v>
      </c>
      <c r="BQ2" s="59" t="s">
        <v>1</v>
      </c>
      <c r="BR2" s="192"/>
    </row>
    <row r="3" spans="1:70" ht="22.5" customHeight="1" x14ac:dyDescent="0.25">
      <c r="A3" s="347" t="str">
        <f>CONCATENATE("Eligibility for ",Input!D16,", ",Input!E16,", ",Input!F16,", ",Input!G16," and ",Input!H16," Months respectively")</f>
        <v>Eligibility for 180, 120, 70, 50 and 20 Months respectively</v>
      </c>
      <c r="B3" s="348"/>
      <c r="C3" s="348"/>
      <c r="D3" s="348"/>
      <c r="E3" s="348"/>
      <c r="F3" s="348"/>
      <c r="G3" s="349"/>
      <c r="H3" s="199"/>
      <c r="I3" s="191"/>
      <c r="J3" s="246">
        <v>1000000000</v>
      </c>
      <c r="K3" s="199"/>
      <c r="L3" s="231"/>
      <c r="M3" s="340" t="str">
        <f>Input!A39</f>
        <v>Lessee1- ABC</v>
      </c>
      <c r="N3" s="341"/>
      <c r="O3" s="341"/>
      <c r="P3" s="341"/>
      <c r="Q3" s="341"/>
      <c r="R3" s="341"/>
      <c r="S3" s="341"/>
      <c r="T3" s="341"/>
      <c r="U3" s="247">
        <v>1000000000</v>
      </c>
      <c r="V3" s="192"/>
      <c r="W3" s="340" t="str">
        <f>Input!A54</f>
        <v>Lessee2- DEF</v>
      </c>
      <c r="X3" s="341"/>
      <c r="Y3" s="341"/>
      <c r="Z3" s="341"/>
      <c r="AA3" s="341"/>
      <c r="AB3" s="341"/>
      <c r="AC3" s="341"/>
      <c r="AD3" s="341"/>
      <c r="AE3" s="341"/>
      <c r="AF3" s="342"/>
      <c r="AG3" s="248">
        <v>-1.7102521061897278</v>
      </c>
      <c r="AH3" s="192"/>
      <c r="AI3" s="170"/>
      <c r="AJ3" s="340" t="str">
        <f>Input!A69</f>
        <v>Lessee3- GHI</v>
      </c>
      <c r="AK3" s="341"/>
      <c r="AL3" s="341"/>
      <c r="AM3" s="341"/>
      <c r="AN3" s="341"/>
      <c r="AO3" s="341"/>
      <c r="AP3" s="341"/>
      <c r="AQ3" s="341"/>
      <c r="AR3" s="342"/>
      <c r="AS3" s="248">
        <v>-1.9168747067451477</v>
      </c>
      <c r="AT3" s="192"/>
      <c r="AU3" s="340" t="str">
        <f>Input!A84</f>
        <v>Lessee4- JKL</v>
      </c>
      <c r="AV3" s="341"/>
      <c r="AW3" s="341"/>
      <c r="AX3" s="341"/>
      <c r="AY3" s="341"/>
      <c r="AZ3" s="341"/>
      <c r="BA3" s="341"/>
      <c r="BB3" s="341"/>
      <c r="BC3" s="341"/>
      <c r="BD3" s="342"/>
      <c r="BE3" s="248">
        <v>-0.13427162170410156</v>
      </c>
      <c r="BF3" s="192"/>
      <c r="BG3" s="340" t="str">
        <f>Input!A99</f>
        <v>Lessee5- MNO</v>
      </c>
      <c r="BH3" s="341"/>
      <c r="BI3" s="341"/>
      <c r="BJ3" s="341"/>
      <c r="BK3" s="341"/>
      <c r="BL3" s="341"/>
      <c r="BM3" s="341"/>
      <c r="BN3" s="341"/>
      <c r="BO3" s="341"/>
      <c r="BP3" s="342"/>
      <c r="BQ3" s="248">
        <v>0</v>
      </c>
      <c r="BR3" s="245"/>
    </row>
    <row r="4" spans="1:70" s="51" customFormat="1" x14ac:dyDescent="0.25">
      <c r="A4" s="169">
        <v>0</v>
      </c>
      <c r="B4" s="1">
        <f>IF(Input!C5=15,IF(DAY(Input!C4)&lt;15,DATE(YEAR((Input!C4)),MONTH(Input!C4),15),IF(DAY(Input!C4)=15,Input!C4,DATE(YEAR((Input!C4)),MONTH(Input!C4)+1,15))),IF(DAY(Input!C4)&lt;5,DATE(YEAR((Input!C4)),MONTH(Input!C4),5),IF(DAY(Input!C4)=5,Input!C4,DATE(YEAR((Input!C4)),MONTH(Input!C4)+1,5))))</f>
        <v>45519</v>
      </c>
      <c r="C4" s="60">
        <f>SUM(
   IF(($A$4:$A$184 &lt;= Input!$D$16), M4, 0),
   IF(($A$4:$A$184 &lt;= Input!$E$16), Y4, 0),
   IF(($A$4:$A$184 &lt;= Input!$F$16), AK4, 0),
   IF(($A$4:$A$184 &lt;= Input!$G$16), AW4, 0),
   IF(($A$4:$A$184 &lt;= Input!$H$16), BI4, 0)
)</f>
        <v>16470000</v>
      </c>
      <c r="D4" s="60">
        <f>SUM(
   IF(($A$4:$A$184 &lt;= Input!$D$16), O4, 0),
   IF(($A$4:$A$184 &lt;= Input!$E$16), AA4, 0),
   IF(($A$4:$A$184 &lt;= Input!$F$16), AM4, 0),
   IF(($A$4:$A$184 &lt;= Input!$G$16), AY4, 0),
   IF(($A$4:$A$184 &lt;= Input!$H$16), BK4, 0)
)</f>
        <v>14823000</v>
      </c>
      <c r="E4" s="60">
        <f>B4-Input!$C$4</f>
        <v>15</v>
      </c>
      <c r="F4" s="60">
        <f>J3</f>
        <v>1000000000</v>
      </c>
      <c r="G4" s="60">
        <f>ROUND(F4*E4*Input!$C$3/365,0)</f>
        <v>6164384</v>
      </c>
      <c r="H4" s="60">
        <f>IF($A4&lt;=Input!$C$6,0,IF('Unique Tenure'!D4&lt;'Unique Tenure'!F4,'Unique Tenure'!F4-G4,'Unique Tenure'!F4))</f>
        <v>0</v>
      </c>
      <c r="I4" s="60">
        <f>G4+H4</f>
        <v>6164384</v>
      </c>
      <c r="J4" s="60">
        <f>J3-H4</f>
        <v>1000000000</v>
      </c>
      <c r="K4" s="202">
        <f>J4/Input!$K$5</f>
        <v>3.3333333333333335</v>
      </c>
      <c r="L4" s="232"/>
      <c r="M4" s="60">
        <f>IF($B4&lt;Input!$H$43,IF($B4&lt;Input!$G$43,IF($B4&lt;Input!$F$43,IF($B4&lt;Input!$E$43,IF($B4&lt;Input!$D$43,Input!$C$49,Input!$D$49),Input!$E$49),Input!$F$49),Input!$G$49),Input!$H$49)</f>
        <v>16470000</v>
      </c>
      <c r="N4" s="190">
        <f>IF($A4&lt;Input!$H$50,IF($A4&lt;Input!$G$50,IF($A4&lt;Input!$F$50,IF($A4&lt;Input!$E$50,IF($A4&lt;Input!$D$50,Input!$C$51,Input!$D$51),Input!$E$51),Input!$F$51),Input!$G$51),Input!$H$51)</f>
        <v>0.9</v>
      </c>
      <c r="O4" s="60">
        <f t="shared" ref="O4:O35" si="0">M4*N4</f>
        <v>14823000</v>
      </c>
      <c r="P4" s="60">
        <f>B4-Input!$C$4</f>
        <v>15</v>
      </c>
      <c r="Q4" s="60">
        <f>U3</f>
        <v>1000000000</v>
      </c>
      <c r="R4" s="60">
        <f>ROUND(Q4*P4*Input!$C$3/365,0)</f>
        <v>6164384</v>
      </c>
      <c r="S4" s="60">
        <f>IF($A4&lt;=Input!$C$6,0,IF('Unique Tenure'!O4&lt;'Unique Tenure'!Q4,'Unique Tenure'!Q4-R4,'Unique Tenure'!Q4))</f>
        <v>0</v>
      </c>
      <c r="T4" s="60">
        <f>R4+S4</f>
        <v>6164384</v>
      </c>
      <c r="U4" s="60">
        <f>U3-S4</f>
        <v>1000000000</v>
      </c>
      <c r="V4" s="193"/>
      <c r="W4" s="169">
        <v>0</v>
      </c>
      <c r="X4" s="1">
        <f>IF(Input!C5=15,IF(DAY(Input!C4)&lt;15,DATE(YEAR((Input!C4)),MONTH(Input!C4),15),IF(DAY(Input!C4)=15,Input!C4,DATE(YEAR((Input!C4)),MONTH(Input!C4)+1,15))),IF(DAY(Input!C4)&lt;5,DATE(YEAR((Input!C4)),MONTH(Input!C4),5),IF(DAY(Input!C4)=5,Input!C4,DATE(YEAR((Input!C4)),MONTH(Input!C4)+1,5))))</f>
        <v>45519</v>
      </c>
      <c r="Y4" s="60">
        <f>IF($X4&lt;Input!$H$58,IF($X4&lt;Input!$G$58,IF($X4&lt;Input!$F$58,IF($X4&lt;Input!$E$58,IF($X4&lt;Input!$D$58,Input!$C$64,Input!$D$64),Input!$E$64),Input!$F$64),Input!$G$64),Input!$H$64)</f>
        <v>0</v>
      </c>
      <c r="Z4" s="190">
        <f>IF($A4&lt;Input!$H$65,IF($A4&lt;Input!$G$65,IF($A4&lt;Input!$F$65,IF($A4&lt;Input!$E$65,IF($A4&lt;Input!$D$65,Input!$C$66,Input!$D$66),Input!$E$66),Input!$F$66),Input!$G$66),Input!$H$66)</f>
        <v>0.9</v>
      </c>
      <c r="AA4" s="60">
        <f>Y4*Z4</f>
        <v>0</v>
      </c>
      <c r="AB4" s="60">
        <f>X4-Input!$C$4</f>
        <v>15</v>
      </c>
      <c r="AC4" s="60">
        <f>AG3</f>
        <v>-1.7102521061897278</v>
      </c>
      <c r="AD4" s="60">
        <f>ROUND(AC4*AB4*Input!$C$3/365,0)</f>
        <v>0</v>
      </c>
      <c r="AE4" s="61">
        <f>IF($A4&lt;=Input!$C$6,0,IF('Unique Tenure'!AA4&lt;'Unique Tenure'!AC4,'Unique Tenure'!AA4-AD4,'Unique Tenure'!AC4))</f>
        <v>0</v>
      </c>
      <c r="AF4" s="61">
        <f>AD4+AE4</f>
        <v>0</v>
      </c>
      <c r="AG4" s="60">
        <f>AG3-AE4</f>
        <v>-1.7102521061897278</v>
      </c>
      <c r="AH4" s="193"/>
      <c r="AI4" s="169">
        <v>0</v>
      </c>
      <c r="AJ4" s="1">
        <f>IF(Input!C5=15,IF(DAY(Input!C4)&lt;15,DATE(YEAR((Input!C4)),MONTH(Input!C4),15),IF(DAY(Input!C4)=15,Input!C4,DATE(YEAR((Input!C4)),MONTH(Input!C4)+1,15))),IF(DAY(Input!C4)&lt;5,DATE(YEAR((Input!C4)),MONTH(Input!C4),5),IF(DAY(Input!C4)=5,Input!C4,DATE(YEAR((Input!C4)),MONTH(Input!C4)+1,5))))</f>
        <v>45519</v>
      </c>
      <c r="AK4" s="60">
        <f>IF($X4&lt;Input!$H$73,IF($X4&lt;Input!$G$73,IF($X4&lt;Input!$F$73,IF($X4&lt;Input!$E$73,IF($X4&lt;Input!$D$73,Input!$C$79,Input!$D$79),Input!$E$79),Input!$F$79),Input!$G$79),Input!$H$79)</f>
        <v>0</v>
      </c>
      <c r="AL4" s="190">
        <f>IF($A4&lt;Input!$H$80,IF($A4&lt;Input!$G$80,IF($A4&lt;Input!$F$80,IF($A4&lt;Input!$E$80,IF($A4&lt;Input!$D$80,Input!$C$81,Input!$D$81),Input!$E$81),Input!$F$81),Input!$G$81),Input!$H$81)</f>
        <v>0.9</v>
      </c>
      <c r="AM4" s="60">
        <f>AK4*AL4</f>
        <v>0</v>
      </c>
      <c r="AN4" s="60">
        <f>AJ4-Input!$C$4</f>
        <v>15</v>
      </c>
      <c r="AO4" s="60">
        <f>AS3</f>
        <v>-1.9168747067451477</v>
      </c>
      <c r="AP4" s="60">
        <f>ROUND(AO4*AN4*Input!$C$3/365,0)</f>
        <v>0</v>
      </c>
      <c r="AQ4" s="61">
        <f>IF($A4&lt;=Input!$C$6,0,IF('Unique Tenure'!AM4&lt;'Unique Tenure'!AO4,'Unique Tenure'!AM4-AP4,'Unique Tenure'!AO4))</f>
        <v>0</v>
      </c>
      <c r="AR4" s="61">
        <f>AP4+AQ4</f>
        <v>0</v>
      </c>
      <c r="AS4" s="60">
        <f>AS3-AQ4</f>
        <v>-1.9168747067451477</v>
      </c>
      <c r="AT4" s="193"/>
      <c r="AU4" s="169">
        <v>0</v>
      </c>
      <c r="AV4" s="1">
        <f>IF(Input!C5=15,IF(DAY(Input!C4)&lt;15,DATE(YEAR((Input!C4)),MONTH(Input!C4),15),IF(DAY(Input!C4)=15,Input!C4,DATE(YEAR((Input!C4)),MONTH(Input!C4)+1,15))),IF(DAY(Input!C4)&lt;5,DATE(YEAR((Input!C4)),MONTH(Input!C4),5),IF(DAY(Input!C4)=5,Input!C4,DATE(YEAR((Input!C4)),MONTH(Input!C4)+1,5))))</f>
        <v>45519</v>
      </c>
      <c r="AW4" s="60">
        <f>IF($X4&lt;Input!$H$88,IF($X4&lt;Input!$G$88,IF($X4&lt;Input!$F$88,IF($X4&lt;Input!$E$88,IF($X4&lt;Input!$D$88,Input!$C$94,Input!$D$94),Input!$E$94),Input!$F$94),Input!$G$94),Input!$H$94)</f>
        <v>0</v>
      </c>
      <c r="AX4" s="190">
        <f>IF($A4&lt;Input!$H$95,IF($A4&lt;Input!$G$95,IF($A4&lt;Input!$F$95,IF($A4&lt;Input!$E$95,IF($A4&lt;Input!$D$95,Input!$C$96,Input!$D$96),Input!$E$96),Input!$F$96),Input!$G$96),Input!$H$96)</f>
        <v>0.9</v>
      </c>
      <c r="AY4" s="60">
        <f>AW4*AX4</f>
        <v>0</v>
      </c>
      <c r="AZ4" s="60">
        <f>AV4-Input!$C$4</f>
        <v>15</v>
      </c>
      <c r="BA4" s="60">
        <f>BE3</f>
        <v>-0.13427162170410156</v>
      </c>
      <c r="BB4" s="60">
        <f>ROUND(BA4*AZ4*Input!$C$3/365,0)</f>
        <v>0</v>
      </c>
      <c r="BC4" s="61">
        <f>IF($A4&lt;=Input!$C$6,0,IF('Unique Tenure'!AY4&lt;'Unique Tenure'!BA4,'Unique Tenure'!AY4-BB4,'Unique Tenure'!BA4))</f>
        <v>0</v>
      </c>
      <c r="BD4" s="61">
        <f>BB4+BC4</f>
        <v>0</v>
      </c>
      <c r="BE4" s="60">
        <f>BE3-BC4</f>
        <v>-0.13427162170410156</v>
      </c>
      <c r="BF4" s="193"/>
      <c r="BG4" s="169">
        <v>0</v>
      </c>
      <c r="BH4" s="1">
        <f>IF(Input!C5=15,IF(DAY(Input!C4)&lt;15,DATE(YEAR((Input!C4)),MONTH(Input!C4),15),IF(DAY(Input!C4)=15,Input!C4,DATE(YEAR((Input!C4)),MONTH(Input!C4)+1,15))),IF(DAY(Input!C4)&lt;5,DATE(YEAR((Input!C4)),MONTH(Input!C4),5),IF(DAY(Input!C4)=5,Input!C4,DATE(YEAR((Input!C4)),MONTH(Input!C4)+1,5))))</f>
        <v>45519</v>
      </c>
      <c r="BI4" s="60">
        <f>IF($X4&lt;Input!$H$103,IF($X4&lt;Input!$G$103,IF($X4&lt;Input!$F$103,IF($X4&lt;Input!$E$103,IF($X4&lt;Input!$D$103,Input!$C$109,Input!$D$109),Input!$E$109),Input!$F$109),Input!$G$109),Input!$H$109)</f>
        <v>0</v>
      </c>
      <c r="BJ4" s="190">
        <f>IF($A4&lt;Input!$H$110,IF($A4&lt;Input!$G$110,IF($A4&lt;Input!$F$110,IF($A4&lt;Input!$E$110,IF($A4&lt;Input!$D$110,Input!$C$111,Input!$D$111),Input!$E$111),Input!$F$111),Input!$G$111),Input!$H$111)</f>
        <v>0.9</v>
      </c>
      <c r="BK4" s="60">
        <f>BI4*BJ4</f>
        <v>0</v>
      </c>
      <c r="BL4" s="60">
        <f>BH4-Input!$C$4</f>
        <v>15</v>
      </c>
      <c r="BM4" s="60">
        <f>BQ3</f>
        <v>0</v>
      </c>
      <c r="BN4" s="60">
        <f>ROUND(BM4*BL4*Input!$C$3/365,0)</f>
        <v>0</v>
      </c>
      <c r="BO4" s="61">
        <f>IF($A4&lt;=Input!$C$6,0,IF('Unique Tenure'!BK4&lt;'Unique Tenure'!BM4,'Unique Tenure'!BK4-BN4,'Unique Tenure'!BM4))</f>
        <v>0</v>
      </c>
      <c r="BP4" s="61">
        <f>BN4+BO4</f>
        <v>0</v>
      </c>
      <c r="BQ4" s="60">
        <f>BQ3-BO4</f>
        <v>0</v>
      </c>
      <c r="BR4" s="198"/>
    </row>
    <row r="5" spans="1:70" s="51" customFormat="1" x14ac:dyDescent="0.25">
      <c r="A5" s="169">
        <v>1</v>
      </c>
      <c r="B5" s="1">
        <f>EDATE(B4,1)</f>
        <v>45550</v>
      </c>
      <c r="C5" s="60">
        <f>SUM(
   IF(($A$4:$A$184 &lt;= Input!$D$16), M5, 0),
   IF(($A$4:$A$184 &lt;= Input!$E$16), Y5, 0),
   IF(($A$4:$A$184 &lt;= Input!$F$16), AK5, 0),
   IF(($A$4:$A$184 &lt;= Input!$G$16), AW5, 0),
   IF(($A$4:$A$184 &lt;= Input!$H$16), BI5, 0)
)</f>
        <v>16470000</v>
      </c>
      <c r="D5" s="60">
        <f>SUM(
   IF(($A$4:$A$184 &lt;= Input!$D$16), O5, 0),
   IF(($A$4:$A$184 &lt;= Input!$E$16), AA5, 0),
   IF(($A$4:$A$184 &lt;= Input!$F$16), AM5, 0),
   IF(($A$4:$A$184 &lt;= Input!$G$16), AY5, 0),
   IF(($A$4:$A$184 &lt;= Input!$H$16), BK5, 0)
)</f>
        <v>14823000</v>
      </c>
      <c r="E5" s="60">
        <f>B5-B4</f>
        <v>31</v>
      </c>
      <c r="F5" s="60">
        <f>J4</f>
        <v>1000000000</v>
      </c>
      <c r="G5" s="60">
        <f>ROUND(F5*E5*Input!$C$3/365,0)</f>
        <v>12739726</v>
      </c>
      <c r="H5" s="60">
        <f>IF($A5&lt;=Input!$C$6,0,IF('Unique Tenure'!D5&lt;'Unique Tenure'!F5,'Unique Tenure'!D5-G5,'Unique Tenure'!F5))</f>
        <v>2083274</v>
      </c>
      <c r="I5" s="60">
        <f>G5+H5</f>
        <v>14823000</v>
      </c>
      <c r="J5" s="60">
        <f>J4-H5</f>
        <v>997916726</v>
      </c>
      <c r="K5" s="202">
        <f>J5/Input!$K$5</f>
        <v>3.3263890866666666</v>
      </c>
      <c r="L5" s="232"/>
      <c r="M5" s="60">
        <f>IF($B5&lt;Input!$H$43,IF($B5&lt;Input!$G$43,IF($B5&lt;Input!$F$43,IF($B5&lt;Input!$E$43,IF($B5&lt;Input!$D$43,Input!$C$49,Input!$D$49),Input!$E$49),Input!$F$49),Input!$G$49),Input!$H$49)</f>
        <v>16470000</v>
      </c>
      <c r="N5" s="190">
        <f>IF($A5&lt;Input!$H$50,IF($A5&lt;Input!$G$50,IF($A5&lt;Input!$F$50,IF($A5&lt;Input!$E$50,IF($A5&lt;Input!$D$50,Input!$C$51,Input!$D$51),Input!$E$51),Input!$F$51),Input!$G$51),Input!$H$51)</f>
        <v>0.9</v>
      </c>
      <c r="O5" s="60">
        <f t="shared" si="0"/>
        <v>14823000</v>
      </c>
      <c r="P5" s="60">
        <f t="shared" ref="P5:P36" si="1">B5-B4</f>
        <v>31</v>
      </c>
      <c r="Q5" s="60">
        <f t="shared" ref="Q5:Q68" si="2">U4</f>
        <v>1000000000</v>
      </c>
      <c r="R5" s="60">
        <f>ROUND(Q5*$P5*Input!$C$3/365,0)</f>
        <v>12739726</v>
      </c>
      <c r="S5" s="60">
        <f>IF(A5&lt;=Input!$C$6,0,IF('Unique Tenure'!O5&lt;'Unique Tenure'!Q5,'Unique Tenure'!O5-R5,'Unique Tenure'!Q5))</f>
        <v>2083274</v>
      </c>
      <c r="T5" s="60">
        <f t="shared" ref="T5:T68" si="3">R5+S5</f>
        <v>14823000</v>
      </c>
      <c r="U5" s="60">
        <f t="shared" ref="U5:U68" si="4">U4-S5</f>
        <v>997916726</v>
      </c>
      <c r="V5" s="193"/>
      <c r="W5" s="169">
        <v>1</v>
      </c>
      <c r="X5" s="1">
        <f>EDATE(X4,1)</f>
        <v>45550</v>
      </c>
      <c r="Y5" s="60">
        <f>IF($X5&lt;Input!$H$58,IF($X5&lt;Input!$G$58,IF($X5&lt;Input!$F$58,IF($X5&lt;Input!$E$58,IF($X5&lt;Input!$D$58,Input!$C$64,Input!$D$64),Input!$E$64),Input!$F$64),Input!$G$64),Input!$H$64)</f>
        <v>0</v>
      </c>
      <c r="Z5" s="190">
        <f>IF($A5&lt;Input!$H$65,IF($A5&lt;Input!$G$65,IF($A5&lt;Input!$F$65,IF($A5&lt;Input!$E$65,IF($A5&lt;Input!$D$65,Input!$C$66,Input!$D$66),Input!$E$66),Input!$F$66),Input!$G$66),Input!$H$66)</f>
        <v>0.9</v>
      </c>
      <c r="AA5" s="60">
        <f t="shared" ref="AA5:AA68" si="5">Y5*Z5</f>
        <v>0</v>
      </c>
      <c r="AB5" s="60">
        <f>X5-X4</f>
        <v>31</v>
      </c>
      <c r="AC5" s="60">
        <f t="shared" ref="AC5:AC68" si="6">AG4</f>
        <v>-1.7102521061897278</v>
      </c>
      <c r="AD5" s="60">
        <f>ROUND(AC5*AB5*Input!$C$3/365,0)</f>
        <v>0</v>
      </c>
      <c r="AE5" s="61">
        <f>IF($A5&lt;=Input!$C$6,0,IF('Unique Tenure'!AA5&lt;'Unique Tenure'!AC5,'Unique Tenure'!AA5-AD5,'Unique Tenure'!AC5))</f>
        <v>-1.7102521061897278</v>
      </c>
      <c r="AF5" s="61">
        <f t="shared" ref="AF5:AF68" si="7">AD5+AE5</f>
        <v>-1.7102521061897278</v>
      </c>
      <c r="AG5" s="60">
        <f t="shared" ref="AG5:AG68" si="8">AG4-AE5</f>
        <v>0</v>
      </c>
      <c r="AH5" s="193"/>
      <c r="AI5" s="169">
        <v>1</v>
      </c>
      <c r="AJ5" s="1">
        <f>EDATE(AJ4,1)</f>
        <v>45550</v>
      </c>
      <c r="AK5" s="60">
        <f>IF($X5&lt;Input!$H$73,IF($X5&lt;Input!$G$73,IF($X5&lt;Input!$F$73,IF($X5&lt;Input!$E$73,IF($X5&lt;Input!$D$73,Input!$C$79,Input!$D$79),Input!$E$79),Input!$F$79),Input!$G$79),Input!$H$79)</f>
        <v>0</v>
      </c>
      <c r="AL5" s="190">
        <f>IF($A5&lt;Input!$H$80,IF($A5&lt;Input!$G$80,IF($A5&lt;Input!$F$80,IF($A5&lt;Input!$E$80,IF($A5&lt;Input!$D$80,Input!$C$81,Input!$D$81),Input!$E$81),Input!$F$81),Input!$G$81),Input!$H$81)</f>
        <v>0.9</v>
      </c>
      <c r="AM5" s="60">
        <f t="shared" ref="AM5:AM68" si="9">AK5*AL5</f>
        <v>0</v>
      </c>
      <c r="AN5" s="60">
        <f>AJ5-AJ4</f>
        <v>31</v>
      </c>
      <c r="AO5" s="60">
        <f t="shared" ref="AO5:AO68" si="10">AS4</f>
        <v>-1.9168747067451477</v>
      </c>
      <c r="AP5" s="60">
        <f>ROUND(AO5*AN5*Input!$C$3/365,0)</f>
        <v>0</v>
      </c>
      <c r="AQ5" s="61">
        <f>IF($A5&lt;=Input!$C$6,0,IF('Unique Tenure'!AM5&lt;'Unique Tenure'!AO5,'Unique Tenure'!AM5-AP5,'Unique Tenure'!AO5))</f>
        <v>-1.9168747067451477</v>
      </c>
      <c r="AR5" s="61">
        <f t="shared" ref="AR5:AR68" si="11">AP5+AQ5</f>
        <v>-1.9168747067451477</v>
      </c>
      <c r="AS5" s="60">
        <f t="shared" ref="AS5:AS68" si="12">AS4-AQ5</f>
        <v>0</v>
      </c>
      <c r="AT5" s="193"/>
      <c r="AU5" s="169">
        <v>1</v>
      </c>
      <c r="AV5" s="1">
        <f>EDATE(AV4,1)</f>
        <v>45550</v>
      </c>
      <c r="AW5" s="60">
        <f>IF($X5&lt;Input!$H$88,IF($X5&lt;Input!$G$88,IF($X5&lt;Input!$F$88,IF($X5&lt;Input!$E$88,IF($X5&lt;Input!$D$88,Input!$C$94,Input!$D$94),Input!$E$94),Input!$F$94),Input!$G$94),Input!$H$94)</f>
        <v>0</v>
      </c>
      <c r="AX5" s="190">
        <f>IF($A5&lt;Input!$H$95,IF($A5&lt;Input!$G$95,IF($A5&lt;Input!$F$95,IF($A5&lt;Input!$E$95,IF($A5&lt;Input!$D$95,Input!$C$96,Input!$D$96),Input!$E$96),Input!$F$96),Input!$G$96),Input!$H$96)</f>
        <v>0.9</v>
      </c>
      <c r="AY5" s="60">
        <f t="shared" ref="AY5:AY68" si="13">AW5*AX5</f>
        <v>0</v>
      </c>
      <c r="AZ5" s="60">
        <f>AV5-AV4</f>
        <v>31</v>
      </c>
      <c r="BA5" s="60">
        <f t="shared" ref="BA5:BA68" si="14">BE4</f>
        <v>-0.13427162170410156</v>
      </c>
      <c r="BB5" s="60">
        <f>ROUND(BA5*AZ5*Input!$C$3/365,0)</f>
        <v>0</v>
      </c>
      <c r="BC5" s="61">
        <f>IF($A5&lt;=Input!$C$6,0,IF('Unique Tenure'!AY5&lt;'Unique Tenure'!BA5,'Unique Tenure'!AY5-BB5,'Unique Tenure'!BA5))</f>
        <v>-0.13427162170410156</v>
      </c>
      <c r="BD5" s="61">
        <f t="shared" ref="BD5:BD68" si="15">BB5+BC5</f>
        <v>-0.13427162170410156</v>
      </c>
      <c r="BE5" s="60">
        <f t="shared" ref="BE5:BE68" si="16">BE4-BC5</f>
        <v>0</v>
      </c>
      <c r="BF5" s="193"/>
      <c r="BG5" s="169">
        <v>1</v>
      </c>
      <c r="BH5" s="1">
        <f>EDATE(BH4,1)</f>
        <v>45550</v>
      </c>
      <c r="BI5" s="60">
        <f>IF($X5&lt;Input!$H$103,IF($X5&lt;Input!$G$103,IF($X5&lt;Input!$F$103,IF($X5&lt;Input!$E$103,IF($X5&lt;Input!$D$103,Input!$C$109,Input!$D$109),Input!$E$109),Input!$F$109),Input!$G$109),Input!$H$109)</f>
        <v>0</v>
      </c>
      <c r="BJ5" s="190">
        <f>IF($A5&lt;Input!$H$110,IF($A5&lt;Input!$G$110,IF($A5&lt;Input!$F$110,IF($A5&lt;Input!$E$110,IF($A5&lt;Input!$D$110,Input!$C$111,Input!$D$111),Input!$E$111),Input!$F$111),Input!$G$111),Input!$H$111)</f>
        <v>0.9</v>
      </c>
      <c r="BK5" s="60">
        <f t="shared" ref="BK5:BK68" si="17">BI5*BJ5</f>
        <v>0</v>
      </c>
      <c r="BL5" s="60">
        <f>BH5-BH4</f>
        <v>31</v>
      </c>
      <c r="BM5" s="60">
        <f t="shared" ref="BM5:BM68" si="18">BQ4</f>
        <v>0</v>
      </c>
      <c r="BN5" s="60">
        <f>ROUND(BM5*BL5*Input!$C$3/365,0)</f>
        <v>0</v>
      </c>
      <c r="BO5" s="61">
        <f>IF($A5&lt;=Input!$C$6,0,IF('Unique Tenure'!BK5&lt;'Unique Tenure'!BM5,'Unique Tenure'!BK5-BN5,'Unique Tenure'!BM5))</f>
        <v>0</v>
      </c>
      <c r="BP5" s="61">
        <f t="shared" ref="BP5:BP68" si="19">BN5+BO5</f>
        <v>0</v>
      </c>
      <c r="BQ5" s="60">
        <f t="shared" ref="BQ5:BQ68" si="20">BQ4-BO5</f>
        <v>0</v>
      </c>
      <c r="BR5" s="198"/>
    </row>
    <row r="6" spans="1:70" s="51" customFormat="1" x14ac:dyDescent="0.25">
      <c r="A6" s="169">
        <v>2</v>
      </c>
      <c r="B6" s="1">
        <f t="shared" ref="B6:B69" si="21">EDATE(B5,1)</f>
        <v>45580</v>
      </c>
      <c r="C6" s="60">
        <f>SUM(
   IF(($A$4:$A$184 &lt;= Input!$D$16), M6, 0),
   IF(($A$4:$A$184 &lt;= Input!$E$16), Y6, 0),
   IF(($A$4:$A$184 &lt;= Input!$F$16), AK6, 0),
   IF(($A$4:$A$184 &lt;= Input!$G$16), AW6, 0),
   IF(($A$4:$A$184 &lt;= Input!$H$16), BI6, 0)
)</f>
        <v>16470000</v>
      </c>
      <c r="D6" s="60">
        <f>SUM(
   IF(($A$4:$A$184 &lt;= Input!$D$16), O6, 0),
   IF(($A$4:$A$184 &lt;= Input!$E$16), AA6, 0),
   IF(($A$4:$A$184 &lt;= Input!$F$16), AM6, 0),
   IF(($A$4:$A$184 &lt;= Input!$G$16), AY6, 0),
   IF(($A$4:$A$184 &lt;= Input!$H$16), BK6, 0)
)</f>
        <v>14823000</v>
      </c>
      <c r="E6" s="60">
        <f t="shared" ref="E6:E69" si="22">B6-B5</f>
        <v>30</v>
      </c>
      <c r="F6" s="60">
        <f t="shared" ref="F6:F69" si="23">J5</f>
        <v>997916726</v>
      </c>
      <c r="G6" s="60">
        <f>ROUND(F6*E6*Input!$C$3/365,0)</f>
        <v>12303083</v>
      </c>
      <c r="H6" s="60">
        <f>IF($A6&lt;=Input!$C$6,0,IF('Unique Tenure'!D6&lt;'Unique Tenure'!F6,'Unique Tenure'!D6-G6,'Unique Tenure'!F6))</f>
        <v>2519917</v>
      </c>
      <c r="I6" s="60">
        <f t="shared" ref="I6:I69" si="24">G6+H6</f>
        <v>14823000</v>
      </c>
      <c r="J6" s="60">
        <f t="shared" ref="J6:J69" si="25">J5-H6</f>
        <v>995396809</v>
      </c>
      <c r="K6" s="202">
        <f>J6/Input!$K$5</f>
        <v>3.3179893633333335</v>
      </c>
      <c r="L6" s="232"/>
      <c r="M6" s="60">
        <f>IF($B6&lt;Input!$H$43,IF($B6&lt;Input!$G$43,IF($B6&lt;Input!$F$43,IF($B6&lt;Input!$E$43,IF($B6&lt;Input!$D$43,Input!$C$49,Input!$D$49),Input!$E$49),Input!$F$49),Input!$G$49),Input!$H$49)</f>
        <v>16470000</v>
      </c>
      <c r="N6" s="190">
        <f>IF($A6&lt;Input!$H$50,IF($A6&lt;Input!$G$50,IF($A6&lt;Input!$F$50,IF($A6&lt;Input!$E$50,IF($A6&lt;Input!$D$50,Input!$C$51,Input!$D$51),Input!$E$51),Input!$F$51),Input!$G$51),Input!$H$51)</f>
        <v>0.9</v>
      </c>
      <c r="O6" s="60">
        <f t="shared" si="0"/>
        <v>14823000</v>
      </c>
      <c r="P6" s="60">
        <f t="shared" si="1"/>
        <v>30</v>
      </c>
      <c r="Q6" s="60">
        <f t="shared" si="2"/>
        <v>997916726</v>
      </c>
      <c r="R6" s="60">
        <f>ROUND(Q6*$P6*Input!$C$3/365,0)</f>
        <v>12303083</v>
      </c>
      <c r="S6" s="60">
        <f>IF(A6&lt;=Input!$C$6,0,IF('Unique Tenure'!O6&lt;'Unique Tenure'!Q6,'Unique Tenure'!O6-R6,'Unique Tenure'!Q6))</f>
        <v>2519917</v>
      </c>
      <c r="T6" s="60">
        <f t="shared" si="3"/>
        <v>14823000</v>
      </c>
      <c r="U6" s="60">
        <f t="shared" si="4"/>
        <v>995396809</v>
      </c>
      <c r="V6" s="193"/>
      <c r="W6" s="169">
        <v>2</v>
      </c>
      <c r="X6" s="1">
        <f t="shared" ref="X6:X69" si="26">EDATE(X5,1)</f>
        <v>45580</v>
      </c>
      <c r="Y6" s="60">
        <f>IF($X6&lt;Input!$H$58,IF($X6&lt;Input!$G$58,IF($X6&lt;Input!$F$58,IF($X6&lt;Input!$E$58,IF($X6&lt;Input!$D$58,Input!$C$64,Input!$D$64),Input!$E$64),Input!$F$64),Input!$G$64),Input!$H$64)</f>
        <v>0</v>
      </c>
      <c r="Z6" s="190">
        <f>IF($A6&lt;Input!$H$65,IF($A6&lt;Input!$G$65,IF($A6&lt;Input!$F$65,IF($A6&lt;Input!$E$65,IF($A6&lt;Input!$D$65,Input!$C$66,Input!$D$66),Input!$E$66),Input!$F$66),Input!$G$66),Input!$H$66)</f>
        <v>0.9</v>
      </c>
      <c r="AA6" s="60">
        <f t="shared" si="5"/>
        <v>0</v>
      </c>
      <c r="AB6" s="60">
        <f t="shared" ref="AB6:AB69" si="27">X6-X5</f>
        <v>30</v>
      </c>
      <c r="AC6" s="60">
        <f t="shared" si="6"/>
        <v>0</v>
      </c>
      <c r="AD6" s="60">
        <f>ROUND(AC6*AB6*Input!$C$3/365,0)</f>
        <v>0</v>
      </c>
      <c r="AE6" s="61">
        <f>IF($A6&lt;=Input!$C$6,0,IF('Unique Tenure'!AA6&lt;'Unique Tenure'!AC6,'Unique Tenure'!AA6-AD6,'Unique Tenure'!AC6))</f>
        <v>0</v>
      </c>
      <c r="AF6" s="61">
        <f t="shared" si="7"/>
        <v>0</v>
      </c>
      <c r="AG6" s="60">
        <f t="shared" si="8"/>
        <v>0</v>
      </c>
      <c r="AH6" s="193"/>
      <c r="AI6" s="169">
        <v>2</v>
      </c>
      <c r="AJ6" s="1">
        <f t="shared" ref="AJ6:AJ69" si="28">EDATE(AJ5,1)</f>
        <v>45580</v>
      </c>
      <c r="AK6" s="60">
        <f>IF($X6&lt;Input!$H$73,IF($X6&lt;Input!$G$73,IF($X6&lt;Input!$F$73,IF($X6&lt;Input!$E$73,IF($X6&lt;Input!$D$73,Input!$C$79,Input!$D$79),Input!$E$79),Input!$F$79),Input!$G$79),Input!$H$79)</f>
        <v>0</v>
      </c>
      <c r="AL6" s="190">
        <f>IF($A6&lt;Input!$H$80,IF($A6&lt;Input!$G$80,IF($A6&lt;Input!$F$80,IF($A6&lt;Input!$E$80,IF($A6&lt;Input!$D$80,Input!$C$81,Input!$D$81),Input!$E$81),Input!$F$81),Input!$G$81),Input!$H$81)</f>
        <v>0.9</v>
      </c>
      <c r="AM6" s="60">
        <f t="shared" si="9"/>
        <v>0</v>
      </c>
      <c r="AN6" s="60">
        <f t="shared" ref="AN6:AN69" si="29">AJ6-AJ5</f>
        <v>30</v>
      </c>
      <c r="AO6" s="60">
        <f t="shared" si="10"/>
        <v>0</v>
      </c>
      <c r="AP6" s="60">
        <f>ROUND(AO6*AN6*Input!$C$3/365,0)</f>
        <v>0</v>
      </c>
      <c r="AQ6" s="61">
        <f>IF($A6&lt;=Input!$C$6,0,IF('Unique Tenure'!AM6&lt;'Unique Tenure'!AO6,'Unique Tenure'!AM6-AP6,'Unique Tenure'!AO6))</f>
        <v>0</v>
      </c>
      <c r="AR6" s="61">
        <f t="shared" si="11"/>
        <v>0</v>
      </c>
      <c r="AS6" s="60">
        <f t="shared" si="12"/>
        <v>0</v>
      </c>
      <c r="AT6" s="193"/>
      <c r="AU6" s="169">
        <v>2</v>
      </c>
      <c r="AV6" s="1">
        <f t="shared" ref="AV6:AV69" si="30">EDATE(AV5,1)</f>
        <v>45580</v>
      </c>
      <c r="AW6" s="60">
        <f>IF($X6&lt;Input!$H$88,IF($X6&lt;Input!$G$88,IF($X6&lt;Input!$F$88,IF($X6&lt;Input!$E$88,IF($X6&lt;Input!$D$88,Input!$C$94,Input!$D$94),Input!$E$94),Input!$F$94),Input!$G$94),Input!$H$94)</f>
        <v>0</v>
      </c>
      <c r="AX6" s="190">
        <f>IF($A6&lt;Input!$H$95,IF($A6&lt;Input!$G$95,IF($A6&lt;Input!$F$95,IF($A6&lt;Input!$E$95,IF($A6&lt;Input!$D$95,Input!$C$96,Input!$D$96),Input!$E$96),Input!$F$96),Input!$G$96),Input!$H$96)</f>
        <v>0.9</v>
      </c>
      <c r="AY6" s="60">
        <f t="shared" si="13"/>
        <v>0</v>
      </c>
      <c r="AZ6" s="60">
        <f t="shared" ref="AZ6:AZ69" si="31">AV6-AV5</f>
        <v>30</v>
      </c>
      <c r="BA6" s="60">
        <f t="shared" si="14"/>
        <v>0</v>
      </c>
      <c r="BB6" s="60">
        <f>ROUND(BA6*AZ6*Input!$C$3/365,0)</f>
        <v>0</v>
      </c>
      <c r="BC6" s="61">
        <f>IF($A6&lt;=Input!$C$6,0,IF('Unique Tenure'!AY6&lt;'Unique Tenure'!BA6,'Unique Tenure'!AY6-BB6,'Unique Tenure'!BA6))</f>
        <v>0</v>
      </c>
      <c r="BD6" s="61">
        <f t="shared" si="15"/>
        <v>0</v>
      </c>
      <c r="BE6" s="60">
        <f t="shared" si="16"/>
        <v>0</v>
      </c>
      <c r="BF6" s="193"/>
      <c r="BG6" s="169">
        <v>2</v>
      </c>
      <c r="BH6" s="1">
        <f t="shared" ref="BH6:BH69" si="32">EDATE(BH5,1)</f>
        <v>45580</v>
      </c>
      <c r="BI6" s="60">
        <f>IF($X6&lt;Input!$H$103,IF($X6&lt;Input!$G$103,IF($X6&lt;Input!$F$103,IF($X6&lt;Input!$E$103,IF($X6&lt;Input!$D$103,Input!$C$109,Input!$D$109),Input!$E$109),Input!$F$109),Input!$G$109),Input!$H$109)</f>
        <v>0</v>
      </c>
      <c r="BJ6" s="190">
        <f>IF($A6&lt;Input!$H$110,IF($A6&lt;Input!$G$110,IF($A6&lt;Input!$F$110,IF($A6&lt;Input!$E$110,IF($A6&lt;Input!$D$110,Input!$C$111,Input!$D$111),Input!$E$111),Input!$F$111),Input!$G$111),Input!$H$111)</f>
        <v>0.9</v>
      </c>
      <c r="BK6" s="60">
        <f t="shared" si="17"/>
        <v>0</v>
      </c>
      <c r="BL6" s="60">
        <f t="shared" ref="BL6:BL69" si="33">BH6-BH5</f>
        <v>30</v>
      </c>
      <c r="BM6" s="60">
        <f t="shared" si="18"/>
        <v>0</v>
      </c>
      <c r="BN6" s="60">
        <f>ROUND(BM6*BL6*Input!$C$3/365,0)</f>
        <v>0</v>
      </c>
      <c r="BO6" s="61">
        <f>IF($A6&lt;=Input!$C$6,0,IF('Unique Tenure'!BK6&lt;'Unique Tenure'!BM6,'Unique Tenure'!BK6-BN6,'Unique Tenure'!BM6))</f>
        <v>0</v>
      </c>
      <c r="BP6" s="61">
        <f t="shared" si="19"/>
        <v>0</v>
      </c>
      <c r="BQ6" s="60">
        <f t="shared" si="20"/>
        <v>0</v>
      </c>
      <c r="BR6" s="198"/>
    </row>
    <row r="7" spans="1:70" s="51" customFormat="1" x14ac:dyDescent="0.25">
      <c r="A7" s="169">
        <v>3</v>
      </c>
      <c r="B7" s="1">
        <f t="shared" si="21"/>
        <v>45611</v>
      </c>
      <c r="C7" s="60">
        <f>SUM(
   IF(($A$4:$A$184 &lt;= Input!$D$16), M7, 0),
   IF(($A$4:$A$184 &lt;= Input!$E$16), Y7, 0),
   IF(($A$4:$A$184 &lt;= Input!$F$16), AK7, 0),
   IF(($A$4:$A$184 &lt;= Input!$G$16), AW7, 0),
   IF(($A$4:$A$184 &lt;= Input!$H$16), BI7, 0)
)</f>
        <v>16470000</v>
      </c>
      <c r="D7" s="60">
        <f>SUM(
   IF(($A$4:$A$184 &lt;= Input!$D$16), O7, 0),
   IF(($A$4:$A$184 &lt;= Input!$E$16), AA7, 0),
   IF(($A$4:$A$184 &lt;= Input!$F$16), AM7, 0),
   IF(($A$4:$A$184 &lt;= Input!$G$16), AY7, 0),
   IF(($A$4:$A$184 &lt;= Input!$H$16), BK7, 0)
)</f>
        <v>14823000</v>
      </c>
      <c r="E7" s="60">
        <f t="shared" si="22"/>
        <v>31</v>
      </c>
      <c r="F7" s="60">
        <f t="shared" si="23"/>
        <v>995396809</v>
      </c>
      <c r="G7" s="60">
        <f>ROUND(F7*E7*Input!$C$3/365,0)</f>
        <v>12681083</v>
      </c>
      <c r="H7" s="60">
        <f>IF($A7&lt;=Input!$C$6,0,IF('Unique Tenure'!D7&lt;'Unique Tenure'!F7,'Unique Tenure'!D7-G7,'Unique Tenure'!F7))</f>
        <v>2141917</v>
      </c>
      <c r="I7" s="60">
        <f t="shared" si="24"/>
        <v>14823000</v>
      </c>
      <c r="J7" s="60">
        <f t="shared" si="25"/>
        <v>993254892</v>
      </c>
      <c r="K7" s="202">
        <f>J7/Input!$K$5</f>
        <v>3.3108496399999998</v>
      </c>
      <c r="L7" s="232"/>
      <c r="M7" s="60">
        <f>IF($B7&lt;Input!$H$43,IF($B7&lt;Input!$G$43,IF($B7&lt;Input!$F$43,IF($B7&lt;Input!$E$43,IF($B7&lt;Input!$D$43,Input!$C$49,Input!$D$49),Input!$E$49),Input!$F$49),Input!$G$49),Input!$H$49)</f>
        <v>16470000</v>
      </c>
      <c r="N7" s="190">
        <f>IF($A7&lt;Input!$H$50,IF($A7&lt;Input!$G$50,IF($A7&lt;Input!$F$50,IF($A7&lt;Input!$E$50,IF($A7&lt;Input!$D$50,Input!$C$51,Input!$D$51),Input!$E$51),Input!$F$51),Input!$G$51),Input!$H$51)</f>
        <v>0.9</v>
      </c>
      <c r="O7" s="60">
        <f t="shared" si="0"/>
        <v>14823000</v>
      </c>
      <c r="P7" s="60">
        <f t="shared" si="1"/>
        <v>31</v>
      </c>
      <c r="Q7" s="60">
        <f t="shared" si="2"/>
        <v>995396809</v>
      </c>
      <c r="R7" s="60">
        <f>ROUND(Q7*$P7*Input!$C$3/365,0)</f>
        <v>12681083</v>
      </c>
      <c r="S7" s="60">
        <f>IF(A7&lt;=Input!$C$6,0,IF('Unique Tenure'!O7&lt;'Unique Tenure'!Q7,'Unique Tenure'!O7-R7,'Unique Tenure'!Q7))</f>
        <v>2141917</v>
      </c>
      <c r="T7" s="60">
        <f t="shared" si="3"/>
        <v>14823000</v>
      </c>
      <c r="U7" s="60">
        <f t="shared" si="4"/>
        <v>993254892</v>
      </c>
      <c r="V7" s="193"/>
      <c r="W7" s="169">
        <v>3</v>
      </c>
      <c r="X7" s="1">
        <f t="shared" si="26"/>
        <v>45611</v>
      </c>
      <c r="Y7" s="60">
        <f>IF($X7&lt;Input!$H$58,IF($X7&lt;Input!$G$58,IF($X7&lt;Input!$F$58,IF($X7&lt;Input!$E$58,IF($X7&lt;Input!$D$58,Input!$C$64,Input!$D$64),Input!$E$64),Input!$F$64),Input!$G$64),Input!$H$64)</f>
        <v>0</v>
      </c>
      <c r="Z7" s="190">
        <f>IF($A7&lt;Input!$H$65,IF($A7&lt;Input!$G$65,IF($A7&lt;Input!$F$65,IF($A7&lt;Input!$E$65,IF($A7&lt;Input!$D$65,Input!$C$66,Input!$D$66),Input!$E$66),Input!$F$66),Input!$G$66),Input!$H$66)</f>
        <v>0.9</v>
      </c>
      <c r="AA7" s="60">
        <f t="shared" si="5"/>
        <v>0</v>
      </c>
      <c r="AB7" s="60">
        <f t="shared" si="27"/>
        <v>31</v>
      </c>
      <c r="AC7" s="60">
        <f t="shared" si="6"/>
        <v>0</v>
      </c>
      <c r="AD7" s="60">
        <f>ROUND(AC7*AB7*Input!$C$3/365,0)</f>
        <v>0</v>
      </c>
      <c r="AE7" s="61">
        <f>IF($A7&lt;=Input!$C$6,0,IF('Unique Tenure'!AA7&lt;'Unique Tenure'!AC7,'Unique Tenure'!AA7-AD7,'Unique Tenure'!AC7))</f>
        <v>0</v>
      </c>
      <c r="AF7" s="61">
        <f t="shared" si="7"/>
        <v>0</v>
      </c>
      <c r="AG7" s="60">
        <f t="shared" si="8"/>
        <v>0</v>
      </c>
      <c r="AH7" s="193"/>
      <c r="AI7" s="169">
        <v>3</v>
      </c>
      <c r="AJ7" s="1">
        <f t="shared" si="28"/>
        <v>45611</v>
      </c>
      <c r="AK7" s="60">
        <f>IF($X7&lt;Input!$H$73,IF($X7&lt;Input!$G$73,IF($X7&lt;Input!$F$73,IF($X7&lt;Input!$E$73,IF($X7&lt;Input!$D$73,Input!$C$79,Input!$D$79),Input!$E$79),Input!$F$79),Input!$G$79),Input!$H$79)</f>
        <v>0</v>
      </c>
      <c r="AL7" s="190">
        <f>IF($A7&lt;Input!$H$80,IF($A7&lt;Input!$G$80,IF($A7&lt;Input!$F$80,IF($A7&lt;Input!$E$80,IF($A7&lt;Input!$D$80,Input!$C$81,Input!$D$81),Input!$E$81),Input!$F$81),Input!$G$81),Input!$H$81)</f>
        <v>0.9</v>
      </c>
      <c r="AM7" s="60">
        <f t="shared" si="9"/>
        <v>0</v>
      </c>
      <c r="AN7" s="60">
        <f t="shared" si="29"/>
        <v>31</v>
      </c>
      <c r="AO7" s="60">
        <f t="shared" si="10"/>
        <v>0</v>
      </c>
      <c r="AP7" s="60">
        <f>ROUND(AO7*AN7*Input!$C$3/365,0)</f>
        <v>0</v>
      </c>
      <c r="AQ7" s="61">
        <f>IF($A7&lt;=Input!$C$6,0,IF('Unique Tenure'!AM7&lt;'Unique Tenure'!AO7,'Unique Tenure'!AM7-AP7,'Unique Tenure'!AO7))</f>
        <v>0</v>
      </c>
      <c r="AR7" s="61">
        <f t="shared" si="11"/>
        <v>0</v>
      </c>
      <c r="AS7" s="60">
        <f t="shared" si="12"/>
        <v>0</v>
      </c>
      <c r="AT7" s="193"/>
      <c r="AU7" s="169">
        <v>3</v>
      </c>
      <c r="AV7" s="1">
        <f t="shared" si="30"/>
        <v>45611</v>
      </c>
      <c r="AW7" s="60">
        <f>IF($X7&lt;Input!$H$88,IF($X7&lt;Input!$G$88,IF($X7&lt;Input!$F$88,IF($X7&lt;Input!$E$88,IF($X7&lt;Input!$D$88,Input!$C$94,Input!$D$94),Input!$E$94),Input!$F$94),Input!$G$94),Input!$H$94)</f>
        <v>0</v>
      </c>
      <c r="AX7" s="190">
        <f>IF($A7&lt;Input!$H$95,IF($A7&lt;Input!$G$95,IF($A7&lt;Input!$F$95,IF($A7&lt;Input!$E$95,IF($A7&lt;Input!$D$95,Input!$C$96,Input!$D$96),Input!$E$96),Input!$F$96),Input!$G$96),Input!$H$96)</f>
        <v>0.9</v>
      </c>
      <c r="AY7" s="60">
        <f t="shared" si="13"/>
        <v>0</v>
      </c>
      <c r="AZ7" s="60">
        <f t="shared" si="31"/>
        <v>31</v>
      </c>
      <c r="BA7" s="60">
        <f t="shared" si="14"/>
        <v>0</v>
      </c>
      <c r="BB7" s="60">
        <f>ROUND(BA7*AZ7*Input!$C$3/365,0)</f>
        <v>0</v>
      </c>
      <c r="BC7" s="61">
        <f>IF($A7&lt;=Input!$C$6,0,IF('Unique Tenure'!AY7&lt;'Unique Tenure'!BA7,'Unique Tenure'!AY7-BB7,'Unique Tenure'!BA7))</f>
        <v>0</v>
      </c>
      <c r="BD7" s="61">
        <f t="shared" si="15"/>
        <v>0</v>
      </c>
      <c r="BE7" s="60">
        <f t="shared" si="16"/>
        <v>0</v>
      </c>
      <c r="BF7" s="193"/>
      <c r="BG7" s="169">
        <v>3</v>
      </c>
      <c r="BH7" s="1">
        <f t="shared" si="32"/>
        <v>45611</v>
      </c>
      <c r="BI7" s="60">
        <f>IF($X7&lt;Input!$H$103,IF($X7&lt;Input!$G$103,IF($X7&lt;Input!$F$103,IF($X7&lt;Input!$E$103,IF($X7&lt;Input!$D$103,Input!$C$109,Input!$D$109),Input!$E$109),Input!$F$109),Input!$G$109),Input!$H$109)</f>
        <v>0</v>
      </c>
      <c r="BJ7" s="190">
        <f>IF($A7&lt;Input!$H$110,IF($A7&lt;Input!$G$110,IF($A7&lt;Input!$F$110,IF($A7&lt;Input!$E$110,IF($A7&lt;Input!$D$110,Input!$C$111,Input!$D$111),Input!$E$111),Input!$F$111),Input!$G$111),Input!$H$111)</f>
        <v>0.9</v>
      </c>
      <c r="BK7" s="60">
        <f t="shared" si="17"/>
        <v>0</v>
      </c>
      <c r="BL7" s="60">
        <f t="shared" si="33"/>
        <v>31</v>
      </c>
      <c r="BM7" s="60">
        <f t="shared" si="18"/>
        <v>0</v>
      </c>
      <c r="BN7" s="60">
        <f>ROUND(BM7*BL7*Input!$C$3/365,0)</f>
        <v>0</v>
      </c>
      <c r="BO7" s="61">
        <f>IF($A7&lt;=Input!$C$6,0,IF('Unique Tenure'!BK7&lt;'Unique Tenure'!BM7,'Unique Tenure'!BK7-BN7,'Unique Tenure'!BM7))</f>
        <v>0</v>
      </c>
      <c r="BP7" s="61">
        <f t="shared" si="19"/>
        <v>0</v>
      </c>
      <c r="BQ7" s="60">
        <f t="shared" si="20"/>
        <v>0</v>
      </c>
      <c r="BR7" s="198"/>
    </row>
    <row r="8" spans="1:70" s="51" customFormat="1" x14ac:dyDescent="0.25">
      <c r="A8" s="169">
        <v>4</v>
      </c>
      <c r="B8" s="1">
        <f t="shared" si="21"/>
        <v>45641</v>
      </c>
      <c r="C8" s="60">
        <f>SUM(
   IF(($A$4:$A$184 &lt;= Input!$D$16), M8, 0),
   IF(($A$4:$A$184 &lt;= Input!$E$16), Y8, 0),
   IF(($A$4:$A$184 &lt;= Input!$F$16), AK8, 0),
   IF(($A$4:$A$184 &lt;= Input!$G$16), AW8, 0),
   IF(($A$4:$A$184 &lt;= Input!$H$16), BI8, 0)
)</f>
        <v>16470000</v>
      </c>
      <c r="D8" s="60">
        <f>SUM(
   IF(($A$4:$A$184 &lt;= Input!$D$16), O8, 0),
   IF(($A$4:$A$184 &lt;= Input!$E$16), AA8, 0),
   IF(($A$4:$A$184 &lt;= Input!$F$16), AM8, 0),
   IF(($A$4:$A$184 &lt;= Input!$G$16), AY8, 0),
   IF(($A$4:$A$184 &lt;= Input!$H$16), BK8, 0)
)</f>
        <v>14823000</v>
      </c>
      <c r="E8" s="60">
        <f t="shared" si="22"/>
        <v>30</v>
      </c>
      <c r="F8" s="60">
        <f t="shared" si="23"/>
        <v>993254892</v>
      </c>
      <c r="G8" s="60">
        <f>ROUND(F8*E8*Input!$C$3/365,0)</f>
        <v>12245608</v>
      </c>
      <c r="H8" s="60">
        <f>IF($A8&lt;=Input!$C$6,0,IF('Unique Tenure'!D8&lt;'Unique Tenure'!F8,'Unique Tenure'!D8-G8,'Unique Tenure'!F8))</f>
        <v>2577392</v>
      </c>
      <c r="I8" s="60">
        <f t="shared" si="24"/>
        <v>14823000</v>
      </c>
      <c r="J8" s="60">
        <f t="shared" si="25"/>
        <v>990677500</v>
      </c>
      <c r="K8" s="202">
        <f>J8/Input!$K$5</f>
        <v>3.3022583333333335</v>
      </c>
      <c r="L8" s="232"/>
      <c r="M8" s="60">
        <f>IF($B8&lt;Input!$H$43,IF($B8&lt;Input!$G$43,IF($B8&lt;Input!$F$43,IF($B8&lt;Input!$E$43,IF($B8&lt;Input!$D$43,Input!$C$49,Input!$D$49),Input!$E$49),Input!$F$49),Input!$G$49),Input!$H$49)</f>
        <v>16470000</v>
      </c>
      <c r="N8" s="190">
        <f>IF($A8&lt;Input!$H$50,IF($A8&lt;Input!$G$50,IF($A8&lt;Input!$F$50,IF($A8&lt;Input!$E$50,IF($A8&lt;Input!$D$50,Input!$C$51,Input!$D$51),Input!$E$51),Input!$F$51),Input!$G$51),Input!$H$51)</f>
        <v>0.9</v>
      </c>
      <c r="O8" s="60">
        <f t="shared" si="0"/>
        <v>14823000</v>
      </c>
      <c r="P8" s="60">
        <f t="shared" si="1"/>
        <v>30</v>
      </c>
      <c r="Q8" s="60">
        <f t="shared" si="2"/>
        <v>993254892</v>
      </c>
      <c r="R8" s="60">
        <f>ROUND(Q8*$P8*Input!$C$3/365,0)</f>
        <v>12245608</v>
      </c>
      <c r="S8" s="60">
        <f>IF(A8&lt;=Input!$C$6,0,IF('Unique Tenure'!O8&lt;'Unique Tenure'!Q8,'Unique Tenure'!O8-R8,'Unique Tenure'!Q8))</f>
        <v>2577392</v>
      </c>
      <c r="T8" s="60">
        <f t="shared" si="3"/>
        <v>14823000</v>
      </c>
      <c r="U8" s="60">
        <f t="shared" si="4"/>
        <v>990677500</v>
      </c>
      <c r="V8" s="193"/>
      <c r="W8" s="169">
        <v>4</v>
      </c>
      <c r="X8" s="1">
        <f t="shared" si="26"/>
        <v>45641</v>
      </c>
      <c r="Y8" s="60">
        <f>IF($X8&lt;Input!$H$58,IF($X8&lt;Input!$G$58,IF($X8&lt;Input!$F$58,IF($X8&lt;Input!$E$58,IF($X8&lt;Input!$D$58,Input!$C$64,Input!$D$64),Input!$E$64),Input!$F$64),Input!$G$64),Input!$H$64)</f>
        <v>0</v>
      </c>
      <c r="Z8" s="190">
        <f>IF($A8&lt;Input!$H$65,IF($A8&lt;Input!$G$65,IF($A8&lt;Input!$F$65,IF($A8&lt;Input!$E$65,IF($A8&lt;Input!$D$65,Input!$C$66,Input!$D$66),Input!$E$66),Input!$F$66),Input!$G$66),Input!$H$66)</f>
        <v>0.9</v>
      </c>
      <c r="AA8" s="60">
        <f t="shared" si="5"/>
        <v>0</v>
      </c>
      <c r="AB8" s="60">
        <f t="shared" si="27"/>
        <v>30</v>
      </c>
      <c r="AC8" s="60">
        <f t="shared" si="6"/>
        <v>0</v>
      </c>
      <c r="AD8" s="60">
        <f>ROUND(AC8*AB8*Input!$C$3/365,0)</f>
        <v>0</v>
      </c>
      <c r="AE8" s="61">
        <f>IF($A8&lt;=Input!$C$6,0,IF('Unique Tenure'!AA8&lt;'Unique Tenure'!AC8,'Unique Tenure'!AA8-AD8,'Unique Tenure'!AC8))</f>
        <v>0</v>
      </c>
      <c r="AF8" s="61">
        <f t="shared" si="7"/>
        <v>0</v>
      </c>
      <c r="AG8" s="60">
        <f t="shared" si="8"/>
        <v>0</v>
      </c>
      <c r="AH8" s="193"/>
      <c r="AI8" s="169">
        <v>4</v>
      </c>
      <c r="AJ8" s="1">
        <f t="shared" si="28"/>
        <v>45641</v>
      </c>
      <c r="AK8" s="60">
        <f>IF($X8&lt;Input!$H$73,IF($X8&lt;Input!$G$73,IF($X8&lt;Input!$F$73,IF($X8&lt;Input!$E$73,IF($X8&lt;Input!$D$73,Input!$C$79,Input!$D$79),Input!$E$79),Input!$F$79),Input!$G$79),Input!$H$79)</f>
        <v>0</v>
      </c>
      <c r="AL8" s="190">
        <f>IF($A8&lt;Input!$H$80,IF($A8&lt;Input!$G$80,IF($A8&lt;Input!$F$80,IF($A8&lt;Input!$E$80,IF($A8&lt;Input!$D$80,Input!$C$81,Input!$D$81),Input!$E$81),Input!$F$81),Input!$G$81),Input!$H$81)</f>
        <v>0.9</v>
      </c>
      <c r="AM8" s="60">
        <f t="shared" si="9"/>
        <v>0</v>
      </c>
      <c r="AN8" s="60">
        <f t="shared" si="29"/>
        <v>30</v>
      </c>
      <c r="AO8" s="60">
        <f t="shared" si="10"/>
        <v>0</v>
      </c>
      <c r="AP8" s="60">
        <f>ROUND(AO8*AN8*Input!$C$3/365,0)</f>
        <v>0</v>
      </c>
      <c r="AQ8" s="61">
        <f>IF($A8&lt;=Input!$C$6,0,IF('Unique Tenure'!AM8&lt;'Unique Tenure'!AO8,'Unique Tenure'!AM8-AP8,'Unique Tenure'!AO8))</f>
        <v>0</v>
      </c>
      <c r="AR8" s="61">
        <f t="shared" si="11"/>
        <v>0</v>
      </c>
      <c r="AS8" s="60">
        <f t="shared" si="12"/>
        <v>0</v>
      </c>
      <c r="AT8" s="193"/>
      <c r="AU8" s="169">
        <v>4</v>
      </c>
      <c r="AV8" s="1">
        <f t="shared" si="30"/>
        <v>45641</v>
      </c>
      <c r="AW8" s="60">
        <f>IF($X8&lt;Input!$H$88,IF($X8&lt;Input!$G$88,IF($X8&lt;Input!$F$88,IF($X8&lt;Input!$E$88,IF($X8&lt;Input!$D$88,Input!$C$94,Input!$D$94),Input!$E$94),Input!$F$94),Input!$G$94),Input!$H$94)</f>
        <v>0</v>
      </c>
      <c r="AX8" s="190">
        <f>IF($A8&lt;Input!$H$95,IF($A8&lt;Input!$G$95,IF($A8&lt;Input!$F$95,IF($A8&lt;Input!$E$95,IF($A8&lt;Input!$D$95,Input!$C$96,Input!$D$96),Input!$E$96),Input!$F$96),Input!$G$96),Input!$H$96)</f>
        <v>0.9</v>
      </c>
      <c r="AY8" s="60">
        <f t="shared" si="13"/>
        <v>0</v>
      </c>
      <c r="AZ8" s="60">
        <f t="shared" si="31"/>
        <v>30</v>
      </c>
      <c r="BA8" s="60">
        <f t="shared" si="14"/>
        <v>0</v>
      </c>
      <c r="BB8" s="60">
        <f>ROUND(BA8*AZ8*Input!$C$3/365,0)</f>
        <v>0</v>
      </c>
      <c r="BC8" s="61">
        <f>IF($A8&lt;=Input!$C$6,0,IF('Unique Tenure'!AY8&lt;'Unique Tenure'!BA8,'Unique Tenure'!AY8-BB8,'Unique Tenure'!BA8))</f>
        <v>0</v>
      </c>
      <c r="BD8" s="61">
        <f t="shared" si="15"/>
        <v>0</v>
      </c>
      <c r="BE8" s="60">
        <f t="shared" si="16"/>
        <v>0</v>
      </c>
      <c r="BF8" s="193"/>
      <c r="BG8" s="169">
        <v>4</v>
      </c>
      <c r="BH8" s="1">
        <f t="shared" si="32"/>
        <v>45641</v>
      </c>
      <c r="BI8" s="60">
        <f>IF($X8&lt;Input!$H$103,IF($X8&lt;Input!$G$103,IF($X8&lt;Input!$F$103,IF($X8&lt;Input!$E$103,IF($X8&lt;Input!$D$103,Input!$C$109,Input!$D$109),Input!$E$109),Input!$F$109),Input!$G$109),Input!$H$109)</f>
        <v>0</v>
      </c>
      <c r="BJ8" s="190">
        <f>IF($A8&lt;Input!$H$110,IF($A8&lt;Input!$G$110,IF($A8&lt;Input!$F$110,IF($A8&lt;Input!$E$110,IF($A8&lt;Input!$D$110,Input!$C$111,Input!$D$111),Input!$E$111),Input!$F$111),Input!$G$111),Input!$H$111)</f>
        <v>0.9</v>
      </c>
      <c r="BK8" s="60">
        <f t="shared" si="17"/>
        <v>0</v>
      </c>
      <c r="BL8" s="60">
        <f t="shared" si="33"/>
        <v>30</v>
      </c>
      <c r="BM8" s="60">
        <f t="shared" si="18"/>
        <v>0</v>
      </c>
      <c r="BN8" s="60">
        <f>ROUND(BM8*BL8*Input!$C$3/365,0)</f>
        <v>0</v>
      </c>
      <c r="BO8" s="61">
        <f>IF($A8&lt;=Input!$C$6,0,IF('Unique Tenure'!BK8&lt;'Unique Tenure'!BM8,'Unique Tenure'!BK8-BN8,'Unique Tenure'!BM8))</f>
        <v>0</v>
      </c>
      <c r="BP8" s="61">
        <f t="shared" si="19"/>
        <v>0</v>
      </c>
      <c r="BQ8" s="60">
        <f t="shared" si="20"/>
        <v>0</v>
      </c>
      <c r="BR8" s="198"/>
    </row>
    <row r="9" spans="1:70" s="51" customFormat="1" x14ac:dyDescent="0.25">
      <c r="A9" s="169">
        <v>5</v>
      </c>
      <c r="B9" s="1">
        <f t="shared" si="21"/>
        <v>45672</v>
      </c>
      <c r="C9" s="60">
        <f>SUM(
   IF(($A$4:$A$184 &lt;= Input!$D$16), M9, 0),
   IF(($A$4:$A$184 &lt;= Input!$E$16), Y9, 0),
   IF(($A$4:$A$184 &lt;= Input!$F$16), AK9, 0),
   IF(($A$4:$A$184 &lt;= Input!$G$16), AW9, 0),
   IF(($A$4:$A$184 &lt;= Input!$H$16), BI9, 0)
)</f>
        <v>16470000</v>
      </c>
      <c r="D9" s="60">
        <f>SUM(
   IF(($A$4:$A$184 &lt;= Input!$D$16), O9, 0),
   IF(($A$4:$A$184 &lt;= Input!$E$16), AA9, 0),
   IF(($A$4:$A$184 &lt;= Input!$F$16), AM9, 0),
   IF(($A$4:$A$184 &lt;= Input!$G$16), AY9, 0),
   IF(($A$4:$A$184 &lt;= Input!$H$16), BK9, 0)
)</f>
        <v>14823000</v>
      </c>
      <c r="E9" s="60">
        <f t="shared" si="22"/>
        <v>31</v>
      </c>
      <c r="F9" s="60">
        <f t="shared" si="23"/>
        <v>990677500</v>
      </c>
      <c r="G9" s="60">
        <f>ROUND(F9*E9*Input!$C$3/365,0)</f>
        <v>12620960</v>
      </c>
      <c r="H9" s="60">
        <f>IF($A9&lt;=Input!$C$6,0,IF('Unique Tenure'!D9&lt;'Unique Tenure'!F9,'Unique Tenure'!D9-G9,'Unique Tenure'!F9))</f>
        <v>2202040</v>
      </c>
      <c r="I9" s="60">
        <f t="shared" si="24"/>
        <v>14823000</v>
      </c>
      <c r="J9" s="60">
        <f t="shared" si="25"/>
        <v>988475460</v>
      </c>
      <c r="K9" s="202">
        <f>J9/Input!$K$5</f>
        <v>3.2949182000000001</v>
      </c>
      <c r="L9" s="232"/>
      <c r="M9" s="60">
        <f>IF($B9&lt;Input!$H$43,IF($B9&lt;Input!$G$43,IF($B9&lt;Input!$F$43,IF($B9&lt;Input!$E$43,IF($B9&lt;Input!$D$43,Input!$C$49,Input!$D$49),Input!$E$49),Input!$F$49),Input!$G$49),Input!$H$49)</f>
        <v>16470000</v>
      </c>
      <c r="N9" s="190">
        <f>IF($A9&lt;Input!$H$50,IF($A9&lt;Input!$G$50,IF($A9&lt;Input!$F$50,IF($A9&lt;Input!$E$50,IF($A9&lt;Input!$D$50,Input!$C$51,Input!$D$51),Input!$E$51),Input!$F$51),Input!$G$51),Input!$H$51)</f>
        <v>0.9</v>
      </c>
      <c r="O9" s="60">
        <f t="shared" si="0"/>
        <v>14823000</v>
      </c>
      <c r="P9" s="60">
        <f t="shared" si="1"/>
        <v>31</v>
      </c>
      <c r="Q9" s="60">
        <f t="shared" si="2"/>
        <v>990677500</v>
      </c>
      <c r="R9" s="60">
        <f>ROUND(Q9*$P9*Input!$C$3/365,0)</f>
        <v>12620960</v>
      </c>
      <c r="S9" s="60">
        <f>IF(A9&lt;=Input!$C$6,0,IF('Unique Tenure'!O9&lt;'Unique Tenure'!Q9,'Unique Tenure'!O9-R9,'Unique Tenure'!Q9))</f>
        <v>2202040</v>
      </c>
      <c r="T9" s="60">
        <f t="shared" si="3"/>
        <v>14823000</v>
      </c>
      <c r="U9" s="60">
        <f t="shared" si="4"/>
        <v>988475460</v>
      </c>
      <c r="V9" s="193"/>
      <c r="W9" s="169">
        <v>5</v>
      </c>
      <c r="X9" s="1">
        <f t="shared" si="26"/>
        <v>45672</v>
      </c>
      <c r="Y9" s="60">
        <f>IF($X9&lt;Input!$H$58,IF($X9&lt;Input!$G$58,IF($X9&lt;Input!$F$58,IF($X9&lt;Input!$E$58,IF($X9&lt;Input!$D$58,Input!$C$64,Input!$D$64),Input!$E$64),Input!$F$64),Input!$G$64),Input!$H$64)</f>
        <v>0</v>
      </c>
      <c r="Z9" s="190">
        <f>IF($A9&lt;Input!$H$65,IF($A9&lt;Input!$G$65,IF($A9&lt;Input!$F$65,IF($A9&lt;Input!$E$65,IF($A9&lt;Input!$D$65,Input!$C$66,Input!$D$66),Input!$E$66),Input!$F$66),Input!$G$66),Input!$H$66)</f>
        <v>0.9</v>
      </c>
      <c r="AA9" s="60">
        <f t="shared" si="5"/>
        <v>0</v>
      </c>
      <c r="AB9" s="60">
        <f t="shared" si="27"/>
        <v>31</v>
      </c>
      <c r="AC9" s="60">
        <f t="shared" si="6"/>
        <v>0</v>
      </c>
      <c r="AD9" s="60">
        <f>ROUND(AC9*AB9*Input!$C$3/365,0)</f>
        <v>0</v>
      </c>
      <c r="AE9" s="61">
        <f>IF($A9&lt;=Input!$C$6,0,IF('Unique Tenure'!AA9&lt;'Unique Tenure'!AC9,'Unique Tenure'!AA9-AD9,'Unique Tenure'!AC9))</f>
        <v>0</v>
      </c>
      <c r="AF9" s="61">
        <f t="shared" si="7"/>
        <v>0</v>
      </c>
      <c r="AG9" s="60">
        <f t="shared" si="8"/>
        <v>0</v>
      </c>
      <c r="AH9" s="193"/>
      <c r="AI9" s="169">
        <v>5</v>
      </c>
      <c r="AJ9" s="1">
        <f t="shared" si="28"/>
        <v>45672</v>
      </c>
      <c r="AK9" s="60">
        <f>IF($X9&lt;Input!$H$73,IF($X9&lt;Input!$G$73,IF($X9&lt;Input!$F$73,IF($X9&lt;Input!$E$73,IF($X9&lt;Input!$D$73,Input!$C$79,Input!$D$79),Input!$E$79),Input!$F$79),Input!$G$79),Input!$H$79)</f>
        <v>0</v>
      </c>
      <c r="AL9" s="190">
        <f>IF($A9&lt;Input!$H$80,IF($A9&lt;Input!$G$80,IF($A9&lt;Input!$F$80,IF($A9&lt;Input!$E$80,IF($A9&lt;Input!$D$80,Input!$C$81,Input!$D$81),Input!$E$81),Input!$F$81),Input!$G$81),Input!$H$81)</f>
        <v>0.9</v>
      </c>
      <c r="AM9" s="60">
        <f t="shared" si="9"/>
        <v>0</v>
      </c>
      <c r="AN9" s="60">
        <f t="shared" si="29"/>
        <v>31</v>
      </c>
      <c r="AO9" s="60">
        <f t="shared" si="10"/>
        <v>0</v>
      </c>
      <c r="AP9" s="60">
        <f>ROUND(AO9*AN9*Input!$C$3/365,0)</f>
        <v>0</v>
      </c>
      <c r="AQ9" s="61">
        <f>IF($A9&lt;=Input!$C$6,0,IF('Unique Tenure'!AM9&lt;'Unique Tenure'!AO9,'Unique Tenure'!AM9-AP9,'Unique Tenure'!AO9))</f>
        <v>0</v>
      </c>
      <c r="AR9" s="61">
        <f t="shared" si="11"/>
        <v>0</v>
      </c>
      <c r="AS9" s="60">
        <f t="shared" si="12"/>
        <v>0</v>
      </c>
      <c r="AT9" s="193"/>
      <c r="AU9" s="169">
        <v>5</v>
      </c>
      <c r="AV9" s="1">
        <f t="shared" si="30"/>
        <v>45672</v>
      </c>
      <c r="AW9" s="60">
        <f>IF($X9&lt;Input!$H$88,IF($X9&lt;Input!$G$88,IF($X9&lt;Input!$F$88,IF($X9&lt;Input!$E$88,IF($X9&lt;Input!$D$88,Input!$C$94,Input!$D$94),Input!$E$94),Input!$F$94),Input!$G$94),Input!$H$94)</f>
        <v>0</v>
      </c>
      <c r="AX9" s="190">
        <f>IF($A9&lt;Input!$H$95,IF($A9&lt;Input!$G$95,IF($A9&lt;Input!$F$95,IF($A9&lt;Input!$E$95,IF($A9&lt;Input!$D$95,Input!$C$96,Input!$D$96),Input!$E$96),Input!$F$96),Input!$G$96),Input!$H$96)</f>
        <v>0.9</v>
      </c>
      <c r="AY9" s="60">
        <f t="shared" si="13"/>
        <v>0</v>
      </c>
      <c r="AZ9" s="60">
        <f t="shared" si="31"/>
        <v>31</v>
      </c>
      <c r="BA9" s="60">
        <f t="shared" si="14"/>
        <v>0</v>
      </c>
      <c r="BB9" s="60">
        <f>ROUND(BA9*AZ9*Input!$C$3/365,0)</f>
        <v>0</v>
      </c>
      <c r="BC9" s="61">
        <f>IF($A9&lt;=Input!$C$6,0,IF('Unique Tenure'!AY9&lt;'Unique Tenure'!BA9,'Unique Tenure'!AY9-BB9,'Unique Tenure'!BA9))</f>
        <v>0</v>
      </c>
      <c r="BD9" s="61">
        <f t="shared" si="15"/>
        <v>0</v>
      </c>
      <c r="BE9" s="60">
        <f t="shared" si="16"/>
        <v>0</v>
      </c>
      <c r="BF9" s="193"/>
      <c r="BG9" s="169">
        <v>5</v>
      </c>
      <c r="BH9" s="1">
        <f t="shared" si="32"/>
        <v>45672</v>
      </c>
      <c r="BI9" s="60">
        <f>IF($X9&lt;Input!$H$103,IF($X9&lt;Input!$G$103,IF($X9&lt;Input!$F$103,IF($X9&lt;Input!$E$103,IF($X9&lt;Input!$D$103,Input!$C$109,Input!$D$109),Input!$E$109),Input!$F$109),Input!$G$109),Input!$H$109)</f>
        <v>0</v>
      </c>
      <c r="BJ9" s="190">
        <f>IF($A9&lt;Input!$H$110,IF($A9&lt;Input!$G$110,IF($A9&lt;Input!$F$110,IF($A9&lt;Input!$E$110,IF($A9&lt;Input!$D$110,Input!$C$111,Input!$D$111),Input!$E$111),Input!$F$111),Input!$G$111),Input!$H$111)</f>
        <v>0.9</v>
      </c>
      <c r="BK9" s="60">
        <f t="shared" si="17"/>
        <v>0</v>
      </c>
      <c r="BL9" s="60">
        <f t="shared" si="33"/>
        <v>31</v>
      </c>
      <c r="BM9" s="60">
        <f t="shared" si="18"/>
        <v>0</v>
      </c>
      <c r="BN9" s="60">
        <f>ROUND(BM9*BL9*Input!$C$3/365,0)</f>
        <v>0</v>
      </c>
      <c r="BO9" s="61">
        <f>IF($A9&lt;=Input!$C$6,0,IF('Unique Tenure'!BK9&lt;'Unique Tenure'!BM9,'Unique Tenure'!BK9-BN9,'Unique Tenure'!BM9))</f>
        <v>0</v>
      </c>
      <c r="BP9" s="61">
        <f t="shared" si="19"/>
        <v>0</v>
      </c>
      <c r="BQ9" s="60">
        <f t="shared" si="20"/>
        <v>0</v>
      </c>
      <c r="BR9" s="198"/>
    </row>
    <row r="10" spans="1:70" s="51" customFormat="1" x14ac:dyDescent="0.25">
      <c r="A10" s="169">
        <v>6</v>
      </c>
      <c r="B10" s="1">
        <f t="shared" si="21"/>
        <v>45703</v>
      </c>
      <c r="C10" s="60">
        <f>SUM(
   IF(($A$4:$A$184 &lt;= Input!$D$16), M10, 0),
   IF(($A$4:$A$184 &lt;= Input!$E$16), Y10, 0),
   IF(($A$4:$A$184 &lt;= Input!$F$16), AK10, 0),
   IF(($A$4:$A$184 &lt;= Input!$G$16), AW10, 0),
   IF(($A$4:$A$184 &lt;= Input!$H$16), BI10, 0)
)</f>
        <v>16470000</v>
      </c>
      <c r="D10" s="60">
        <f>SUM(
   IF(($A$4:$A$184 &lt;= Input!$D$16), O10, 0),
   IF(($A$4:$A$184 &lt;= Input!$E$16), AA10, 0),
   IF(($A$4:$A$184 &lt;= Input!$F$16), AM10, 0),
   IF(($A$4:$A$184 &lt;= Input!$G$16), AY10, 0),
   IF(($A$4:$A$184 &lt;= Input!$H$16), BK10, 0)
)</f>
        <v>14823000</v>
      </c>
      <c r="E10" s="60">
        <f t="shared" si="22"/>
        <v>31</v>
      </c>
      <c r="F10" s="60">
        <f t="shared" si="23"/>
        <v>988475460</v>
      </c>
      <c r="G10" s="60">
        <f>ROUND(F10*E10*Input!$C$3/365,0)</f>
        <v>12592907</v>
      </c>
      <c r="H10" s="60">
        <f>IF($A10&lt;=Input!$C$6,0,IF('Unique Tenure'!D10&lt;'Unique Tenure'!F10,'Unique Tenure'!D10-G10,'Unique Tenure'!F10))</f>
        <v>2230093</v>
      </c>
      <c r="I10" s="60">
        <f t="shared" si="24"/>
        <v>14823000</v>
      </c>
      <c r="J10" s="60">
        <f t="shared" si="25"/>
        <v>986245367</v>
      </c>
      <c r="K10" s="202">
        <f>J10/Input!$K$5</f>
        <v>3.2874845566666666</v>
      </c>
      <c r="L10" s="232"/>
      <c r="M10" s="60">
        <f>IF($B10&lt;Input!$H$43,IF($B10&lt;Input!$G$43,IF($B10&lt;Input!$F$43,IF($B10&lt;Input!$E$43,IF($B10&lt;Input!$D$43,Input!$C$49,Input!$D$49),Input!$E$49),Input!$F$49),Input!$G$49),Input!$H$49)</f>
        <v>16470000</v>
      </c>
      <c r="N10" s="190">
        <f>IF($A10&lt;Input!$H$50,IF($A10&lt;Input!$G$50,IF($A10&lt;Input!$F$50,IF($A10&lt;Input!$E$50,IF($A10&lt;Input!$D$50,Input!$C$51,Input!$D$51),Input!$E$51),Input!$F$51),Input!$G$51),Input!$H$51)</f>
        <v>0.9</v>
      </c>
      <c r="O10" s="60">
        <f t="shared" si="0"/>
        <v>14823000</v>
      </c>
      <c r="P10" s="60">
        <f t="shared" si="1"/>
        <v>31</v>
      </c>
      <c r="Q10" s="60">
        <f t="shared" si="2"/>
        <v>988475460</v>
      </c>
      <c r="R10" s="60">
        <f>ROUND(Q10*$P10*Input!$C$3/365,0)</f>
        <v>12592907</v>
      </c>
      <c r="S10" s="60">
        <f>IF(A10&lt;=Input!$C$6,0,IF('Unique Tenure'!O10&lt;'Unique Tenure'!Q10,'Unique Tenure'!O10-R10,'Unique Tenure'!Q10))</f>
        <v>2230093</v>
      </c>
      <c r="T10" s="60">
        <f t="shared" si="3"/>
        <v>14823000</v>
      </c>
      <c r="U10" s="60">
        <f t="shared" si="4"/>
        <v>986245367</v>
      </c>
      <c r="V10" s="193"/>
      <c r="W10" s="169">
        <v>6</v>
      </c>
      <c r="X10" s="1">
        <f t="shared" si="26"/>
        <v>45703</v>
      </c>
      <c r="Y10" s="60">
        <f>IF($X10&lt;Input!$H$58,IF($X10&lt;Input!$G$58,IF($X10&lt;Input!$F$58,IF($X10&lt;Input!$E$58,IF($X10&lt;Input!$D$58,Input!$C$64,Input!$D$64),Input!$E$64),Input!$F$64),Input!$G$64),Input!$H$64)</f>
        <v>0</v>
      </c>
      <c r="Z10" s="190">
        <f>IF($A10&lt;Input!$H$65,IF($A10&lt;Input!$G$65,IF($A10&lt;Input!$F$65,IF($A10&lt;Input!$E$65,IF($A10&lt;Input!$D$65,Input!$C$66,Input!$D$66),Input!$E$66),Input!$F$66),Input!$G$66),Input!$H$66)</f>
        <v>0.9</v>
      </c>
      <c r="AA10" s="60">
        <f t="shared" si="5"/>
        <v>0</v>
      </c>
      <c r="AB10" s="60">
        <f t="shared" si="27"/>
        <v>31</v>
      </c>
      <c r="AC10" s="60">
        <f t="shared" si="6"/>
        <v>0</v>
      </c>
      <c r="AD10" s="60">
        <f>ROUND(AC10*AB10*Input!$C$3/365,0)</f>
        <v>0</v>
      </c>
      <c r="AE10" s="61">
        <f>IF($A10&lt;=Input!$C$6,0,IF('Unique Tenure'!AA10&lt;'Unique Tenure'!AC10,'Unique Tenure'!AA10-AD10,'Unique Tenure'!AC10))</f>
        <v>0</v>
      </c>
      <c r="AF10" s="61">
        <f t="shared" si="7"/>
        <v>0</v>
      </c>
      <c r="AG10" s="60">
        <f t="shared" si="8"/>
        <v>0</v>
      </c>
      <c r="AH10" s="193"/>
      <c r="AI10" s="169">
        <v>6</v>
      </c>
      <c r="AJ10" s="1">
        <f t="shared" si="28"/>
        <v>45703</v>
      </c>
      <c r="AK10" s="60">
        <f>IF($X10&lt;Input!$H$73,IF($X10&lt;Input!$G$73,IF($X10&lt;Input!$F$73,IF($X10&lt;Input!$E$73,IF($X10&lt;Input!$D$73,Input!$C$79,Input!$D$79),Input!$E$79),Input!$F$79),Input!$G$79),Input!$H$79)</f>
        <v>0</v>
      </c>
      <c r="AL10" s="190">
        <f>IF($A10&lt;Input!$H$80,IF($A10&lt;Input!$G$80,IF($A10&lt;Input!$F$80,IF($A10&lt;Input!$E$80,IF($A10&lt;Input!$D$80,Input!$C$81,Input!$D$81),Input!$E$81),Input!$F$81),Input!$G$81),Input!$H$81)</f>
        <v>0.9</v>
      </c>
      <c r="AM10" s="60">
        <f t="shared" si="9"/>
        <v>0</v>
      </c>
      <c r="AN10" s="60">
        <f t="shared" si="29"/>
        <v>31</v>
      </c>
      <c r="AO10" s="60">
        <f t="shared" si="10"/>
        <v>0</v>
      </c>
      <c r="AP10" s="60">
        <f>ROUND(AO10*AN10*Input!$C$3/365,0)</f>
        <v>0</v>
      </c>
      <c r="AQ10" s="61">
        <f>IF($A10&lt;=Input!$C$6,0,IF('Unique Tenure'!AM10&lt;'Unique Tenure'!AO10,'Unique Tenure'!AM10-AP10,'Unique Tenure'!AO10))</f>
        <v>0</v>
      </c>
      <c r="AR10" s="61">
        <f t="shared" si="11"/>
        <v>0</v>
      </c>
      <c r="AS10" s="60">
        <f t="shared" si="12"/>
        <v>0</v>
      </c>
      <c r="AT10" s="193"/>
      <c r="AU10" s="169">
        <v>6</v>
      </c>
      <c r="AV10" s="1">
        <f t="shared" si="30"/>
        <v>45703</v>
      </c>
      <c r="AW10" s="60">
        <f>IF($X10&lt;Input!$H$88,IF($X10&lt;Input!$G$88,IF($X10&lt;Input!$F$88,IF($X10&lt;Input!$E$88,IF($X10&lt;Input!$D$88,Input!$C$94,Input!$D$94),Input!$E$94),Input!$F$94),Input!$G$94),Input!$H$94)</f>
        <v>0</v>
      </c>
      <c r="AX10" s="190">
        <f>IF($A10&lt;Input!$H$95,IF($A10&lt;Input!$G$95,IF($A10&lt;Input!$F$95,IF($A10&lt;Input!$E$95,IF($A10&lt;Input!$D$95,Input!$C$96,Input!$D$96),Input!$E$96),Input!$F$96),Input!$G$96),Input!$H$96)</f>
        <v>0.9</v>
      </c>
      <c r="AY10" s="60">
        <f t="shared" si="13"/>
        <v>0</v>
      </c>
      <c r="AZ10" s="60">
        <f t="shared" si="31"/>
        <v>31</v>
      </c>
      <c r="BA10" s="60">
        <f t="shared" si="14"/>
        <v>0</v>
      </c>
      <c r="BB10" s="60">
        <f>ROUND(BA10*AZ10*Input!$C$3/365,0)</f>
        <v>0</v>
      </c>
      <c r="BC10" s="61">
        <f>IF($A10&lt;=Input!$C$6,0,IF('Unique Tenure'!AY10&lt;'Unique Tenure'!BA10,'Unique Tenure'!AY10-BB10,'Unique Tenure'!BA10))</f>
        <v>0</v>
      </c>
      <c r="BD10" s="61">
        <f t="shared" si="15"/>
        <v>0</v>
      </c>
      <c r="BE10" s="60">
        <f t="shared" si="16"/>
        <v>0</v>
      </c>
      <c r="BF10" s="193"/>
      <c r="BG10" s="169">
        <v>6</v>
      </c>
      <c r="BH10" s="1">
        <f t="shared" si="32"/>
        <v>45703</v>
      </c>
      <c r="BI10" s="60">
        <f>IF($X10&lt;Input!$H$103,IF($X10&lt;Input!$G$103,IF($X10&lt;Input!$F$103,IF($X10&lt;Input!$E$103,IF($X10&lt;Input!$D$103,Input!$C$109,Input!$D$109),Input!$E$109),Input!$F$109),Input!$G$109),Input!$H$109)</f>
        <v>0</v>
      </c>
      <c r="BJ10" s="190">
        <f>IF($A10&lt;Input!$H$110,IF($A10&lt;Input!$G$110,IF($A10&lt;Input!$F$110,IF($A10&lt;Input!$E$110,IF($A10&lt;Input!$D$110,Input!$C$111,Input!$D$111),Input!$E$111),Input!$F$111),Input!$G$111),Input!$H$111)</f>
        <v>0.9</v>
      </c>
      <c r="BK10" s="60">
        <f t="shared" si="17"/>
        <v>0</v>
      </c>
      <c r="BL10" s="60">
        <f t="shared" si="33"/>
        <v>31</v>
      </c>
      <c r="BM10" s="60">
        <f t="shared" si="18"/>
        <v>0</v>
      </c>
      <c r="BN10" s="60">
        <f>ROUND(BM10*BL10*Input!$C$3/365,0)</f>
        <v>0</v>
      </c>
      <c r="BO10" s="61">
        <f>IF($A10&lt;=Input!$C$6,0,IF('Unique Tenure'!BK10&lt;'Unique Tenure'!BM10,'Unique Tenure'!BK10-BN10,'Unique Tenure'!BM10))</f>
        <v>0</v>
      </c>
      <c r="BP10" s="61">
        <f t="shared" si="19"/>
        <v>0</v>
      </c>
      <c r="BQ10" s="60">
        <f t="shared" si="20"/>
        <v>0</v>
      </c>
      <c r="BR10" s="198"/>
    </row>
    <row r="11" spans="1:70" s="51" customFormat="1" x14ac:dyDescent="0.25">
      <c r="A11" s="169">
        <v>7</v>
      </c>
      <c r="B11" s="1">
        <f t="shared" si="21"/>
        <v>45731</v>
      </c>
      <c r="C11" s="60">
        <f>SUM(
   IF(($A$4:$A$184 &lt;= Input!$D$16), M11, 0),
   IF(($A$4:$A$184 &lt;= Input!$E$16), Y11, 0),
   IF(($A$4:$A$184 &lt;= Input!$F$16), AK11, 0),
   IF(($A$4:$A$184 &lt;= Input!$G$16), AW11, 0),
   IF(($A$4:$A$184 &lt;= Input!$H$16), BI11, 0)
)</f>
        <v>16470000</v>
      </c>
      <c r="D11" s="60">
        <f>SUM(
   IF(($A$4:$A$184 &lt;= Input!$D$16), O11, 0),
   IF(($A$4:$A$184 &lt;= Input!$E$16), AA11, 0),
   IF(($A$4:$A$184 &lt;= Input!$F$16), AM11, 0),
   IF(($A$4:$A$184 &lt;= Input!$G$16), AY11, 0),
   IF(($A$4:$A$184 &lt;= Input!$H$16), BK11, 0)
)</f>
        <v>14823000</v>
      </c>
      <c r="E11" s="60">
        <f t="shared" si="22"/>
        <v>28</v>
      </c>
      <c r="F11" s="60">
        <f t="shared" si="23"/>
        <v>986245367</v>
      </c>
      <c r="G11" s="60">
        <f>ROUND(F11*E11*Input!$C$3/365,0)</f>
        <v>11348577</v>
      </c>
      <c r="H11" s="60">
        <f>IF($A11&lt;=Input!$C$6,0,IF('Unique Tenure'!D11&lt;'Unique Tenure'!F11,'Unique Tenure'!D11-G11,'Unique Tenure'!F11))</f>
        <v>3474423</v>
      </c>
      <c r="I11" s="60">
        <f t="shared" si="24"/>
        <v>14823000</v>
      </c>
      <c r="J11" s="60">
        <f t="shared" si="25"/>
        <v>982770944</v>
      </c>
      <c r="K11" s="202">
        <f>J11/Input!$K$5</f>
        <v>3.2759031466666668</v>
      </c>
      <c r="L11" s="232"/>
      <c r="M11" s="60">
        <f>IF($B11&lt;Input!$H$43,IF($B11&lt;Input!$G$43,IF($B11&lt;Input!$F$43,IF($B11&lt;Input!$E$43,IF($B11&lt;Input!$D$43,Input!$C$49,Input!$D$49),Input!$E$49),Input!$F$49),Input!$G$49),Input!$H$49)</f>
        <v>16470000</v>
      </c>
      <c r="N11" s="190">
        <f>IF($A11&lt;Input!$H$50,IF($A11&lt;Input!$G$50,IF($A11&lt;Input!$F$50,IF($A11&lt;Input!$E$50,IF($A11&lt;Input!$D$50,Input!$C$51,Input!$D$51),Input!$E$51),Input!$F$51),Input!$G$51),Input!$H$51)</f>
        <v>0.9</v>
      </c>
      <c r="O11" s="60">
        <f t="shared" si="0"/>
        <v>14823000</v>
      </c>
      <c r="P11" s="60">
        <f t="shared" si="1"/>
        <v>28</v>
      </c>
      <c r="Q11" s="60">
        <f t="shared" si="2"/>
        <v>986245367</v>
      </c>
      <c r="R11" s="60">
        <f>ROUND(Q11*$P11*Input!$C$3/365,0)</f>
        <v>11348577</v>
      </c>
      <c r="S11" s="60">
        <f>IF(A11&lt;=Input!$C$6,0,IF('Unique Tenure'!O11&lt;'Unique Tenure'!Q11,'Unique Tenure'!O11-R11,'Unique Tenure'!Q11))</f>
        <v>3474423</v>
      </c>
      <c r="T11" s="60">
        <f t="shared" si="3"/>
        <v>14823000</v>
      </c>
      <c r="U11" s="60">
        <f t="shared" si="4"/>
        <v>982770944</v>
      </c>
      <c r="V11" s="193"/>
      <c r="W11" s="169">
        <v>7</v>
      </c>
      <c r="X11" s="1">
        <f t="shared" si="26"/>
        <v>45731</v>
      </c>
      <c r="Y11" s="60">
        <f>IF($X11&lt;Input!$H$58,IF($X11&lt;Input!$G$58,IF($X11&lt;Input!$F$58,IF($X11&lt;Input!$E$58,IF($X11&lt;Input!$D$58,Input!$C$64,Input!$D$64),Input!$E$64),Input!$F$64),Input!$G$64),Input!$H$64)</f>
        <v>0</v>
      </c>
      <c r="Z11" s="190">
        <f>IF($A11&lt;Input!$H$65,IF($A11&lt;Input!$G$65,IF($A11&lt;Input!$F$65,IF($A11&lt;Input!$E$65,IF($A11&lt;Input!$D$65,Input!$C$66,Input!$D$66),Input!$E$66),Input!$F$66),Input!$G$66),Input!$H$66)</f>
        <v>0.9</v>
      </c>
      <c r="AA11" s="60">
        <f t="shared" si="5"/>
        <v>0</v>
      </c>
      <c r="AB11" s="60">
        <f t="shared" si="27"/>
        <v>28</v>
      </c>
      <c r="AC11" s="60">
        <f t="shared" si="6"/>
        <v>0</v>
      </c>
      <c r="AD11" s="60">
        <f>ROUND(AC11*AB11*Input!$C$3/365,0)</f>
        <v>0</v>
      </c>
      <c r="AE11" s="61">
        <f>IF($A11&lt;=Input!$C$6,0,IF('Unique Tenure'!AA11&lt;'Unique Tenure'!AC11,'Unique Tenure'!AA11-AD11,'Unique Tenure'!AC11))</f>
        <v>0</v>
      </c>
      <c r="AF11" s="61">
        <f t="shared" si="7"/>
        <v>0</v>
      </c>
      <c r="AG11" s="60">
        <f t="shared" si="8"/>
        <v>0</v>
      </c>
      <c r="AH11" s="193"/>
      <c r="AI11" s="169">
        <v>7</v>
      </c>
      <c r="AJ11" s="1">
        <f t="shared" si="28"/>
        <v>45731</v>
      </c>
      <c r="AK11" s="60">
        <f>IF($X11&lt;Input!$H$73,IF($X11&lt;Input!$G$73,IF($X11&lt;Input!$F$73,IF($X11&lt;Input!$E$73,IF($X11&lt;Input!$D$73,Input!$C$79,Input!$D$79),Input!$E$79),Input!$F$79),Input!$G$79),Input!$H$79)</f>
        <v>0</v>
      </c>
      <c r="AL11" s="190">
        <f>IF($A11&lt;Input!$H$80,IF($A11&lt;Input!$G$80,IF($A11&lt;Input!$F$80,IF($A11&lt;Input!$E$80,IF($A11&lt;Input!$D$80,Input!$C$81,Input!$D$81),Input!$E$81),Input!$F$81),Input!$G$81),Input!$H$81)</f>
        <v>0.9</v>
      </c>
      <c r="AM11" s="60">
        <f t="shared" si="9"/>
        <v>0</v>
      </c>
      <c r="AN11" s="60">
        <f t="shared" si="29"/>
        <v>28</v>
      </c>
      <c r="AO11" s="60">
        <f t="shared" si="10"/>
        <v>0</v>
      </c>
      <c r="AP11" s="60">
        <f>ROUND(AO11*AN11*Input!$C$3/365,0)</f>
        <v>0</v>
      </c>
      <c r="AQ11" s="61">
        <f>IF($A11&lt;=Input!$C$6,0,IF('Unique Tenure'!AM11&lt;'Unique Tenure'!AO11,'Unique Tenure'!AM11-AP11,'Unique Tenure'!AO11))</f>
        <v>0</v>
      </c>
      <c r="AR11" s="61">
        <f t="shared" si="11"/>
        <v>0</v>
      </c>
      <c r="AS11" s="60">
        <f t="shared" si="12"/>
        <v>0</v>
      </c>
      <c r="AT11" s="193"/>
      <c r="AU11" s="169">
        <v>7</v>
      </c>
      <c r="AV11" s="1">
        <f t="shared" si="30"/>
        <v>45731</v>
      </c>
      <c r="AW11" s="60">
        <f>IF($X11&lt;Input!$H$88,IF($X11&lt;Input!$G$88,IF($X11&lt;Input!$F$88,IF($X11&lt;Input!$E$88,IF($X11&lt;Input!$D$88,Input!$C$94,Input!$D$94),Input!$E$94),Input!$F$94),Input!$G$94),Input!$H$94)</f>
        <v>0</v>
      </c>
      <c r="AX11" s="190">
        <f>IF($A11&lt;Input!$H$95,IF($A11&lt;Input!$G$95,IF($A11&lt;Input!$F$95,IF($A11&lt;Input!$E$95,IF($A11&lt;Input!$D$95,Input!$C$96,Input!$D$96),Input!$E$96),Input!$F$96),Input!$G$96),Input!$H$96)</f>
        <v>0.9</v>
      </c>
      <c r="AY11" s="60">
        <f t="shared" si="13"/>
        <v>0</v>
      </c>
      <c r="AZ11" s="60">
        <f t="shared" si="31"/>
        <v>28</v>
      </c>
      <c r="BA11" s="60">
        <f t="shared" si="14"/>
        <v>0</v>
      </c>
      <c r="BB11" s="60">
        <f>ROUND(BA11*AZ11*Input!$C$3/365,0)</f>
        <v>0</v>
      </c>
      <c r="BC11" s="61">
        <f>IF($A11&lt;=Input!$C$6,0,IF('Unique Tenure'!AY11&lt;'Unique Tenure'!BA11,'Unique Tenure'!AY11-BB11,'Unique Tenure'!BA11))</f>
        <v>0</v>
      </c>
      <c r="BD11" s="61">
        <f t="shared" si="15"/>
        <v>0</v>
      </c>
      <c r="BE11" s="60">
        <f t="shared" si="16"/>
        <v>0</v>
      </c>
      <c r="BF11" s="193"/>
      <c r="BG11" s="169">
        <v>7</v>
      </c>
      <c r="BH11" s="1">
        <f t="shared" si="32"/>
        <v>45731</v>
      </c>
      <c r="BI11" s="60">
        <f>IF($X11&lt;Input!$H$103,IF($X11&lt;Input!$G$103,IF($X11&lt;Input!$F$103,IF($X11&lt;Input!$E$103,IF($X11&lt;Input!$D$103,Input!$C$109,Input!$D$109),Input!$E$109),Input!$F$109),Input!$G$109),Input!$H$109)</f>
        <v>0</v>
      </c>
      <c r="BJ11" s="190">
        <f>IF($A11&lt;Input!$H$110,IF($A11&lt;Input!$G$110,IF($A11&lt;Input!$F$110,IF($A11&lt;Input!$E$110,IF($A11&lt;Input!$D$110,Input!$C$111,Input!$D$111),Input!$E$111),Input!$F$111),Input!$G$111),Input!$H$111)</f>
        <v>0.9</v>
      </c>
      <c r="BK11" s="60">
        <f t="shared" si="17"/>
        <v>0</v>
      </c>
      <c r="BL11" s="60">
        <f t="shared" si="33"/>
        <v>28</v>
      </c>
      <c r="BM11" s="60">
        <f t="shared" si="18"/>
        <v>0</v>
      </c>
      <c r="BN11" s="60">
        <f>ROUND(BM11*BL11*Input!$C$3/365,0)</f>
        <v>0</v>
      </c>
      <c r="BO11" s="61">
        <f>IF($A11&lt;=Input!$C$6,0,IF('Unique Tenure'!BK11&lt;'Unique Tenure'!BM11,'Unique Tenure'!BK11-BN11,'Unique Tenure'!BM11))</f>
        <v>0</v>
      </c>
      <c r="BP11" s="61">
        <f t="shared" si="19"/>
        <v>0</v>
      </c>
      <c r="BQ11" s="60">
        <f t="shared" si="20"/>
        <v>0</v>
      </c>
      <c r="BR11" s="198"/>
    </row>
    <row r="12" spans="1:70" s="51" customFormat="1" x14ac:dyDescent="0.25">
      <c r="A12" s="169">
        <v>8</v>
      </c>
      <c r="B12" s="1">
        <f t="shared" si="21"/>
        <v>45762</v>
      </c>
      <c r="C12" s="60">
        <f>SUM(
   IF(($A$4:$A$184 &lt;= Input!$D$16), M12, 0),
   IF(($A$4:$A$184 &lt;= Input!$E$16), Y12, 0),
   IF(($A$4:$A$184 &lt;= Input!$F$16), AK12, 0),
   IF(($A$4:$A$184 &lt;= Input!$G$16), AW12, 0),
   IF(($A$4:$A$184 &lt;= Input!$H$16), BI12, 0)
)</f>
        <v>16470000</v>
      </c>
      <c r="D12" s="60">
        <f>SUM(
   IF(($A$4:$A$184 &lt;= Input!$D$16), O12, 0),
   IF(($A$4:$A$184 &lt;= Input!$E$16), AA12, 0),
   IF(($A$4:$A$184 &lt;= Input!$F$16), AM12, 0),
   IF(($A$4:$A$184 &lt;= Input!$G$16), AY12, 0),
   IF(($A$4:$A$184 &lt;= Input!$H$16), BK12, 0)
)</f>
        <v>14823000</v>
      </c>
      <c r="E12" s="60">
        <f t="shared" si="22"/>
        <v>31</v>
      </c>
      <c r="F12" s="60">
        <f t="shared" si="23"/>
        <v>982770944</v>
      </c>
      <c r="G12" s="60">
        <f>ROUND(F12*E12*Input!$C$3/365,0)</f>
        <v>12520233</v>
      </c>
      <c r="H12" s="60">
        <f>IF($A12&lt;=Input!$C$6,0,IF('Unique Tenure'!D12&lt;'Unique Tenure'!F12,'Unique Tenure'!D12-G12,'Unique Tenure'!F12))</f>
        <v>2302767</v>
      </c>
      <c r="I12" s="60">
        <f t="shared" si="24"/>
        <v>14823000</v>
      </c>
      <c r="J12" s="60">
        <f t="shared" si="25"/>
        <v>980468177</v>
      </c>
      <c r="K12" s="202">
        <f>J12/Input!$K$5</f>
        <v>3.2682272566666666</v>
      </c>
      <c r="L12" s="232"/>
      <c r="M12" s="60">
        <f>IF($B12&lt;Input!$H$43,IF($B12&lt;Input!$G$43,IF($B12&lt;Input!$F$43,IF($B12&lt;Input!$E$43,IF($B12&lt;Input!$D$43,Input!$C$49,Input!$D$49),Input!$E$49),Input!$F$49),Input!$G$49),Input!$H$49)</f>
        <v>16470000</v>
      </c>
      <c r="N12" s="190">
        <f>IF($A12&lt;Input!$H$50,IF($A12&lt;Input!$G$50,IF($A12&lt;Input!$F$50,IF($A12&lt;Input!$E$50,IF($A12&lt;Input!$D$50,Input!$C$51,Input!$D$51),Input!$E$51),Input!$F$51),Input!$G$51),Input!$H$51)</f>
        <v>0.9</v>
      </c>
      <c r="O12" s="60">
        <f t="shared" si="0"/>
        <v>14823000</v>
      </c>
      <c r="P12" s="60">
        <f t="shared" si="1"/>
        <v>31</v>
      </c>
      <c r="Q12" s="60">
        <f t="shared" si="2"/>
        <v>982770944</v>
      </c>
      <c r="R12" s="60">
        <f>ROUND(Q12*$P12*Input!$C$3/365,0)</f>
        <v>12520233</v>
      </c>
      <c r="S12" s="60">
        <f>IF(A12&lt;=Input!$C$6,0,IF('Unique Tenure'!O12&lt;'Unique Tenure'!Q12,'Unique Tenure'!O12-R12,'Unique Tenure'!Q12))</f>
        <v>2302767</v>
      </c>
      <c r="T12" s="60">
        <f t="shared" si="3"/>
        <v>14823000</v>
      </c>
      <c r="U12" s="60">
        <f t="shared" si="4"/>
        <v>980468177</v>
      </c>
      <c r="V12" s="193"/>
      <c r="W12" s="169">
        <v>8</v>
      </c>
      <c r="X12" s="1">
        <f t="shared" si="26"/>
        <v>45762</v>
      </c>
      <c r="Y12" s="60">
        <f>IF($X12&lt;Input!$H$58,IF($X12&lt;Input!$G$58,IF($X12&lt;Input!$F$58,IF($X12&lt;Input!$E$58,IF($X12&lt;Input!$D$58,Input!$C$64,Input!$D$64),Input!$E$64),Input!$F$64),Input!$G$64),Input!$H$64)</f>
        <v>0</v>
      </c>
      <c r="Z12" s="190">
        <f>IF($A12&lt;Input!$H$65,IF($A12&lt;Input!$G$65,IF($A12&lt;Input!$F$65,IF($A12&lt;Input!$E$65,IF($A12&lt;Input!$D$65,Input!$C$66,Input!$D$66),Input!$E$66),Input!$F$66),Input!$G$66),Input!$H$66)</f>
        <v>0.9</v>
      </c>
      <c r="AA12" s="60">
        <f t="shared" si="5"/>
        <v>0</v>
      </c>
      <c r="AB12" s="60">
        <f t="shared" si="27"/>
        <v>31</v>
      </c>
      <c r="AC12" s="60">
        <f t="shared" si="6"/>
        <v>0</v>
      </c>
      <c r="AD12" s="60">
        <f>ROUND(AC12*AB12*Input!$C$3/365,0)</f>
        <v>0</v>
      </c>
      <c r="AE12" s="61">
        <f>IF($A12&lt;=Input!$C$6,0,IF('Unique Tenure'!AA12&lt;'Unique Tenure'!AC12,'Unique Tenure'!AA12-AD12,'Unique Tenure'!AC12))</f>
        <v>0</v>
      </c>
      <c r="AF12" s="61">
        <f t="shared" si="7"/>
        <v>0</v>
      </c>
      <c r="AG12" s="60">
        <f t="shared" si="8"/>
        <v>0</v>
      </c>
      <c r="AH12" s="193"/>
      <c r="AI12" s="169">
        <v>8</v>
      </c>
      <c r="AJ12" s="1">
        <f t="shared" si="28"/>
        <v>45762</v>
      </c>
      <c r="AK12" s="60">
        <f>IF($X12&lt;Input!$H$73,IF($X12&lt;Input!$G$73,IF($X12&lt;Input!$F$73,IF($X12&lt;Input!$E$73,IF($X12&lt;Input!$D$73,Input!$C$79,Input!$D$79),Input!$E$79),Input!$F$79),Input!$G$79),Input!$H$79)</f>
        <v>0</v>
      </c>
      <c r="AL12" s="190">
        <f>IF($A12&lt;Input!$H$80,IF($A12&lt;Input!$G$80,IF($A12&lt;Input!$F$80,IF($A12&lt;Input!$E$80,IF($A12&lt;Input!$D$80,Input!$C$81,Input!$D$81),Input!$E$81),Input!$F$81),Input!$G$81),Input!$H$81)</f>
        <v>0.9</v>
      </c>
      <c r="AM12" s="60">
        <f t="shared" si="9"/>
        <v>0</v>
      </c>
      <c r="AN12" s="60">
        <f t="shared" si="29"/>
        <v>31</v>
      </c>
      <c r="AO12" s="60">
        <f t="shared" si="10"/>
        <v>0</v>
      </c>
      <c r="AP12" s="60">
        <f>ROUND(AO12*AN12*Input!$C$3/365,0)</f>
        <v>0</v>
      </c>
      <c r="AQ12" s="61">
        <f>IF($A12&lt;=Input!$C$6,0,IF('Unique Tenure'!AM12&lt;'Unique Tenure'!AO12,'Unique Tenure'!AM12-AP12,'Unique Tenure'!AO12))</f>
        <v>0</v>
      </c>
      <c r="AR12" s="61">
        <f t="shared" si="11"/>
        <v>0</v>
      </c>
      <c r="AS12" s="60">
        <f t="shared" si="12"/>
        <v>0</v>
      </c>
      <c r="AT12" s="193"/>
      <c r="AU12" s="169">
        <v>8</v>
      </c>
      <c r="AV12" s="1">
        <f t="shared" si="30"/>
        <v>45762</v>
      </c>
      <c r="AW12" s="60">
        <f>IF($X12&lt;Input!$H$88,IF($X12&lt;Input!$G$88,IF($X12&lt;Input!$F$88,IF($X12&lt;Input!$E$88,IF($X12&lt;Input!$D$88,Input!$C$94,Input!$D$94),Input!$E$94),Input!$F$94),Input!$G$94),Input!$H$94)</f>
        <v>0</v>
      </c>
      <c r="AX12" s="190">
        <f>IF($A12&lt;Input!$H$95,IF($A12&lt;Input!$G$95,IF($A12&lt;Input!$F$95,IF($A12&lt;Input!$E$95,IF($A12&lt;Input!$D$95,Input!$C$96,Input!$D$96),Input!$E$96),Input!$F$96),Input!$G$96),Input!$H$96)</f>
        <v>0.9</v>
      </c>
      <c r="AY12" s="60">
        <f t="shared" si="13"/>
        <v>0</v>
      </c>
      <c r="AZ12" s="60">
        <f t="shared" si="31"/>
        <v>31</v>
      </c>
      <c r="BA12" s="60">
        <f t="shared" si="14"/>
        <v>0</v>
      </c>
      <c r="BB12" s="60">
        <f>ROUND(BA12*AZ12*Input!$C$3/365,0)</f>
        <v>0</v>
      </c>
      <c r="BC12" s="61">
        <f>IF($A12&lt;=Input!$C$6,0,IF('Unique Tenure'!AY12&lt;'Unique Tenure'!BA12,'Unique Tenure'!AY12-BB12,'Unique Tenure'!BA12))</f>
        <v>0</v>
      </c>
      <c r="BD12" s="61">
        <f t="shared" si="15"/>
        <v>0</v>
      </c>
      <c r="BE12" s="60">
        <f t="shared" si="16"/>
        <v>0</v>
      </c>
      <c r="BF12" s="193"/>
      <c r="BG12" s="169">
        <v>8</v>
      </c>
      <c r="BH12" s="1">
        <f t="shared" si="32"/>
        <v>45762</v>
      </c>
      <c r="BI12" s="60">
        <f>IF($X12&lt;Input!$H$103,IF($X12&lt;Input!$G$103,IF($X12&lt;Input!$F$103,IF($X12&lt;Input!$E$103,IF($X12&lt;Input!$D$103,Input!$C$109,Input!$D$109),Input!$E$109),Input!$F$109),Input!$G$109),Input!$H$109)</f>
        <v>0</v>
      </c>
      <c r="BJ12" s="190">
        <f>IF($A12&lt;Input!$H$110,IF($A12&lt;Input!$G$110,IF($A12&lt;Input!$F$110,IF($A12&lt;Input!$E$110,IF($A12&lt;Input!$D$110,Input!$C$111,Input!$D$111),Input!$E$111),Input!$F$111),Input!$G$111),Input!$H$111)</f>
        <v>0.9</v>
      </c>
      <c r="BK12" s="60">
        <f t="shared" si="17"/>
        <v>0</v>
      </c>
      <c r="BL12" s="60">
        <f t="shared" si="33"/>
        <v>31</v>
      </c>
      <c r="BM12" s="60">
        <f t="shared" si="18"/>
        <v>0</v>
      </c>
      <c r="BN12" s="60">
        <f>ROUND(BM12*BL12*Input!$C$3/365,0)</f>
        <v>0</v>
      </c>
      <c r="BO12" s="61">
        <f>IF($A12&lt;=Input!$C$6,0,IF('Unique Tenure'!BK12&lt;'Unique Tenure'!BM12,'Unique Tenure'!BK12-BN12,'Unique Tenure'!BM12))</f>
        <v>0</v>
      </c>
      <c r="BP12" s="61">
        <f t="shared" si="19"/>
        <v>0</v>
      </c>
      <c r="BQ12" s="60">
        <f t="shared" si="20"/>
        <v>0</v>
      </c>
      <c r="BR12" s="198"/>
    </row>
    <row r="13" spans="1:70" s="51" customFormat="1" x14ac:dyDescent="0.25">
      <c r="A13" s="169">
        <v>9</v>
      </c>
      <c r="B13" s="1">
        <f t="shared" si="21"/>
        <v>45792</v>
      </c>
      <c r="C13" s="60">
        <f>SUM(
   IF(($A$4:$A$184 &lt;= Input!$D$16), M13, 0),
   IF(($A$4:$A$184 &lt;= Input!$E$16), Y13, 0),
   IF(($A$4:$A$184 &lt;= Input!$F$16), AK13, 0),
   IF(($A$4:$A$184 &lt;= Input!$G$16), AW13, 0),
   IF(($A$4:$A$184 &lt;= Input!$H$16), BI13, 0)
)</f>
        <v>16470000</v>
      </c>
      <c r="D13" s="60">
        <f>SUM(
   IF(($A$4:$A$184 &lt;= Input!$D$16), O13, 0),
   IF(($A$4:$A$184 &lt;= Input!$E$16), AA13, 0),
   IF(($A$4:$A$184 &lt;= Input!$F$16), AM13, 0),
   IF(($A$4:$A$184 &lt;= Input!$G$16), AY13, 0),
   IF(($A$4:$A$184 &lt;= Input!$H$16), BK13, 0)
)</f>
        <v>14823000</v>
      </c>
      <c r="E13" s="60">
        <f t="shared" si="22"/>
        <v>30</v>
      </c>
      <c r="F13" s="60">
        <f t="shared" si="23"/>
        <v>980468177</v>
      </c>
      <c r="G13" s="60">
        <f>ROUND(F13*E13*Input!$C$3/365,0)</f>
        <v>12087964</v>
      </c>
      <c r="H13" s="60">
        <f>IF($A13&lt;=Input!$C$6,0,IF('Unique Tenure'!D13&lt;'Unique Tenure'!F13,'Unique Tenure'!D13-G13,'Unique Tenure'!F13))</f>
        <v>2735036</v>
      </c>
      <c r="I13" s="60">
        <f t="shared" si="24"/>
        <v>14823000</v>
      </c>
      <c r="J13" s="60">
        <f t="shared" si="25"/>
        <v>977733141</v>
      </c>
      <c r="K13" s="202">
        <f>J13/Input!$K$5</f>
        <v>3.25911047</v>
      </c>
      <c r="L13" s="232"/>
      <c r="M13" s="60">
        <f>IF($B13&lt;Input!$H$43,IF($B13&lt;Input!$G$43,IF($B13&lt;Input!$F$43,IF($B13&lt;Input!$E$43,IF($B13&lt;Input!$D$43,Input!$C$49,Input!$D$49),Input!$E$49),Input!$F$49),Input!$G$49),Input!$H$49)</f>
        <v>16470000</v>
      </c>
      <c r="N13" s="190">
        <f>IF($A13&lt;Input!$H$50,IF($A13&lt;Input!$G$50,IF($A13&lt;Input!$F$50,IF($A13&lt;Input!$E$50,IF($A13&lt;Input!$D$50,Input!$C$51,Input!$D$51),Input!$E$51),Input!$F$51),Input!$G$51),Input!$H$51)</f>
        <v>0.9</v>
      </c>
      <c r="O13" s="60">
        <f t="shared" si="0"/>
        <v>14823000</v>
      </c>
      <c r="P13" s="60">
        <f t="shared" si="1"/>
        <v>30</v>
      </c>
      <c r="Q13" s="60">
        <f t="shared" si="2"/>
        <v>980468177</v>
      </c>
      <c r="R13" s="60">
        <f>ROUND(Q13*$P13*Input!$C$3/365,0)</f>
        <v>12087964</v>
      </c>
      <c r="S13" s="60">
        <f>IF(A13&lt;=Input!$C$6,0,IF('Unique Tenure'!O13&lt;'Unique Tenure'!Q13,'Unique Tenure'!O13-R13,'Unique Tenure'!Q13))</f>
        <v>2735036</v>
      </c>
      <c r="T13" s="60">
        <f t="shared" si="3"/>
        <v>14823000</v>
      </c>
      <c r="U13" s="60">
        <f t="shared" si="4"/>
        <v>977733141</v>
      </c>
      <c r="V13" s="193"/>
      <c r="W13" s="169">
        <v>9</v>
      </c>
      <c r="X13" s="1">
        <f t="shared" si="26"/>
        <v>45792</v>
      </c>
      <c r="Y13" s="60">
        <f>IF($X13&lt;Input!$H$58,IF($X13&lt;Input!$G$58,IF($X13&lt;Input!$F$58,IF($X13&lt;Input!$E$58,IF($X13&lt;Input!$D$58,Input!$C$64,Input!$D$64),Input!$E$64),Input!$F$64),Input!$G$64),Input!$H$64)</f>
        <v>0</v>
      </c>
      <c r="Z13" s="190">
        <f>IF($A13&lt;Input!$H$65,IF($A13&lt;Input!$G$65,IF($A13&lt;Input!$F$65,IF($A13&lt;Input!$E$65,IF($A13&lt;Input!$D$65,Input!$C$66,Input!$D$66),Input!$E$66),Input!$F$66),Input!$G$66),Input!$H$66)</f>
        <v>0.9</v>
      </c>
      <c r="AA13" s="60">
        <f t="shared" si="5"/>
        <v>0</v>
      </c>
      <c r="AB13" s="60">
        <f t="shared" si="27"/>
        <v>30</v>
      </c>
      <c r="AC13" s="60">
        <f t="shared" si="6"/>
        <v>0</v>
      </c>
      <c r="AD13" s="60">
        <f>ROUND(AC13*AB13*Input!$C$3/365,0)</f>
        <v>0</v>
      </c>
      <c r="AE13" s="61">
        <f>IF($A13&lt;=Input!$C$6,0,IF('Unique Tenure'!AA13&lt;'Unique Tenure'!AC13,'Unique Tenure'!AA13-AD13,'Unique Tenure'!AC13))</f>
        <v>0</v>
      </c>
      <c r="AF13" s="61">
        <f t="shared" si="7"/>
        <v>0</v>
      </c>
      <c r="AG13" s="60">
        <f t="shared" si="8"/>
        <v>0</v>
      </c>
      <c r="AH13" s="193"/>
      <c r="AI13" s="169">
        <v>9</v>
      </c>
      <c r="AJ13" s="1">
        <f t="shared" si="28"/>
        <v>45792</v>
      </c>
      <c r="AK13" s="60">
        <f>IF($X13&lt;Input!$H$73,IF($X13&lt;Input!$G$73,IF($X13&lt;Input!$F$73,IF($X13&lt;Input!$E$73,IF($X13&lt;Input!$D$73,Input!$C$79,Input!$D$79),Input!$E$79),Input!$F$79),Input!$G$79),Input!$H$79)</f>
        <v>0</v>
      </c>
      <c r="AL13" s="190">
        <f>IF($A13&lt;Input!$H$80,IF($A13&lt;Input!$G$80,IF($A13&lt;Input!$F$80,IF($A13&lt;Input!$E$80,IF($A13&lt;Input!$D$80,Input!$C$81,Input!$D$81),Input!$E$81),Input!$F$81),Input!$G$81),Input!$H$81)</f>
        <v>0.9</v>
      </c>
      <c r="AM13" s="60">
        <f t="shared" si="9"/>
        <v>0</v>
      </c>
      <c r="AN13" s="60">
        <f t="shared" si="29"/>
        <v>30</v>
      </c>
      <c r="AO13" s="60">
        <f t="shared" si="10"/>
        <v>0</v>
      </c>
      <c r="AP13" s="60">
        <f>ROUND(AO13*AN13*Input!$C$3/365,0)</f>
        <v>0</v>
      </c>
      <c r="AQ13" s="61">
        <f>IF($A13&lt;=Input!$C$6,0,IF('Unique Tenure'!AM13&lt;'Unique Tenure'!AO13,'Unique Tenure'!AM13-AP13,'Unique Tenure'!AO13))</f>
        <v>0</v>
      </c>
      <c r="AR13" s="61">
        <f t="shared" si="11"/>
        <v>0</v>
      </c>
      <c r="AS13" s="60">
        <f t="shared" si="12"/>
        <v>0</v>
      </c>
      <c r="AT13" s="193"/>
      <c r="AU13" s="169">
        <v>9</v>
      </c>
      <c r="AV13" s="1">
        <f t="shared" si="30"/>
        <v>45792</v>
      </c>
      <c r="AW13" s="60">
        <f>IF($X13&lt;Input!$H$88,IF($X13&lt;Input!$G$88,IF($X13&lt;Input!$F$88,IF($X13&lt;Input!$E$88,IF($X13&lt;Input!$D$88,Input!$C$94,Input!$D$94),Input!$E$94),Input!$F$94),Input!$G$94),Input!$H$94)</f>
        <v>0</v>
      </c>
      <c r="AX13" s="190">
        <f>IF($A13&lt;Input!$H$95,IF($A13&lt;Input!$G$95,IF($A13&lt;Input!$F$95,IF($A13&lt;Input!$E$95,IF($A13&lt;Input!$D$95,Input!$C$96,Input!$D$96),Input!$E$96),Input!$F$96),Input!$G$96),Input!$H$96)</f>
        <v>0.9</v>
      </c>
      <c r="AY13" s="60">
        <f t="shared" si="13"/>
        <v>0</v>
      </c>
      <c r="AZ13" s="60">
        <f t="shared" si="31"/>
        <v>30</v>
      </c>
      <c r="BA13" s="60">
        <f t="shared" si="14"/>
        <v>0</v>
      </c>
      <c r="BB13" s="60">
        <f>ROUND(BA13*AZ13*Input!$C$3/365,0)</f>
        <v>0</v>
      </c>
      <c r="BC13" s="61">
        <f>IF($A13&lt;=Input!$C$6,0,IF('Unique Tenure'!AY13&lt;'Unique Tenure'!BA13,'Unique Tenure'!AY13-BB13,'Unique Tenure'!BA13))</f>
        <v>0</v>
      </c>
      <c r="BD13" s="61">
        <f t="shared" si="15"/>
        <v>0</v>
      </c>
      <c r="BE13" s="60">
        <f t="shared" si="16"/>
        <v>0</v>
      </c>
      <c r="BF13" s="193"/>
      <c r="BG13" s="169">
        <v>9</v>
      </c>
      <c r="BH13" s="1">
        <f t="shared" si="32"/>
        <v>45792</v>
      </c>
      <c r="BI13" s="60">
        <f>IF($X13&lt;Input!$H$103,IF($X13&lt;Input!$G$103,IF($X13&lt;Input!$F$103,IF($X13&lt;Input!$E$103,IF($X13&lt;Input!$D$103,Input!$C$109,Input!$D$109),Input!$E$109),Input!$F$109),Input!$G$109),Input!$H$109)</f>
        <v>0</v>
      </c>
      <c r="BJ13" s="190">
        <f>IF($A13&lt;Input!$H$110,IF($A13&lt;Input!$G$110,IF($A13&lt;Input!$F$110,IF($A13&lt;Input!$E$110,IF($A13&lt;Input!$D$110,Input!$C$111,Input!$D$111),Input!$E$111),Input!$F$111),Input!$G$111),Input!$H$111)</f>
        <v>0.9</v>
      </c>
      <c r="BK13" s="60">
        <f t="shared" si="17"/>
        <v>0</v>
      </c>
      <c r="BL13" s="60">
        <f t="shared" si="33"/>
        <v>30</v>
      </c>
      <c r="BM13" s="60">
        <f t="shared" si="18"/>
        <v>0</v>
      </c>
      <c r="BN13" s="60">
        <f>ROUND(BM13*BL13*Input!$C$3/365,0)</f>
        <v>0</v>
      </c>
      <c r="BO13" s="61">
        <f>IF($A13&lt;=Input!$C$6,0,IF('Unique Tenure'!BK13&lt;'Unique Tenure'!BM13,'Unique Tenure'!BK13-BN13,'Unique Tenure'!BM13))</f>
        <v>0</v>
      </c>
      <c r="BP13" s="61">
        <f t="shared" si="19"/>
        <v>0</v>
      </c>
      <c r="BQ13" s="60">
        <f t="shared" si="20"/>
        <v>0</v>
      </c>
      <c r="BR13" s="198"/>
    </row>
    <row r="14" spans="1:70" s="51" customFormat="1" x14ac:dyDescent="0.25">
      <c r="A14" s="169">
        <v>10</v>
      </c>
      <c r="B14" s="1">
        <f t="shared" si="21"/>
        <v>45823</v>
      </c>
      <c r="C14" s="60">
        <f>SUM(
   IF(($A$4:$A$184 &lt;= Input!$D$16), M14, 0),
   IF(($A$4:$A$184 &lt;= Input!$E$16), Y14, 0),
   IF(($A$4:$A$184 &lt;= Input!$F$16), AK14, 0),
   IF(($A$4:$A$184 &lt;= Input!$G$16), AW14, 0),
   IF(($A$4:$A$184 &lt;= Input!$H$16), BI14, 0)
)</f>
        <v>16470000</v>
      </c>
      <c r="D14" s="60">
        <f>SUM(
   IF(($A$4:$A$184 &lt;= Input!$D$16), O14, 0),
   IF(($A$4:$A$184 &lt;= Input!$E$16), AA14, 0),
   IF(($A$4:$A$184 &lt;= Input!$F$16), AM14, 0),
   IF(($A$4:$A$184 &lt;= Input!$G$16), AY14, 0),
   IF(($A$4:$A$184 &lt;= Input!$H$16), BK14, 0)
)</f>
        <v>14823000</v>
      </c>
      <c r="E14" s="60">
        <f t="shared" si="22"/>
        <v>31</v>
      </c>
      <c r="F14" s="60">
        <f t="shared" si="23"/>
        <v>977733141</v>
      </c>
      <c r="G14" s="60">
        <f>ROUND(F14*E14*Input!$C$3/365,0)</f>
        <v>12456052</v>
      </c>
      <c r="H14" s="60">
        <f>IF($A14&lt;=Input!$C$6,0,IF('Unique Tenure'!D14&lt;'Unique Tenure'!F14,'Unique Tenure'!D14-G14,'Unique Tenure'!F14))</f>
        <v>2366948</v>
      </c>
      <c r="I14" s="60">
        <f t="shared" si="24"/>
        <v>14823000</v>
      </c>
      <c r="J14" s="60">
        <f t="shared" si="25"/>
        <v>975366193</v>
      </c>
      <c r="K14" s="202">
        <f>J14/Input!$K$5</f>
        <v>3.2512206433333333</v>
      </c>
      <c r="L14" s="232"/>
      <c r="M14" s="60">
        <f>IF($B14&lt;Input!$H$43,IF($B14&lt;Input!$G$43,IF($B14&lt;Input!$F$43,IF($B14&lt;Input!$E$43,IF($B14&lt;Input!$D$43,Input!$C$49,Input!$D$49),Input!$E$49),Input!$F$49),Input!$G$49),Input!$H$49)</f>
        <v>16470000</v>
      </c>
      <c r="N14" s="190">
        <f>IF($A14&lt;Input!$H$50,IF($A14&lt;Input!$G$50,IF($A14&lt;Input!$F$50,IF($A14&lt;Input!$E$50,IF($A14&lt;Input!$D$50,Input!$C$51,Input!$D$51),Input!$E$51),Input!$F$51),Input!$G$51),Input!$H$51)</f>
        <v>0.9</v>
      </c>
      <c r="O14" s="60">
        <f t="shared" si="0"/>
        <v>14823000</v>
      </c>
      <c r="P14" s="60">
        <f t="shared" si="1"/>
        <v>31</v>
      </c>
      <c r="Q14" s="60">
        <f t="shared" si="2"/>
        <v>977733141</v>
      </c>
      <c r="R14" s="60">
        <f>ROUND(Q14*$P14*Input!$C$3/365,0)</f>
        <v>12456052</v>
      </c>
      <c r="S14" s="60">
        <f>IF(A14&lt;=Input!$C$6,0,IF('Unique Tenure'!O14&lt;'Unique Tenure'!Q14,'Unique Tenure'!O14-R14,'Unique Tenure'!Q14))</f>
        <v>2366948</v>
      </c>
      <c r="T14" s="60">
        <f t="shared" si="3"/>
        <v>14823000</v>
      </c>
      <c r="U14" s="60">
        <f t="shared" si="4"/>
        <v>975366193</v>
      </c>
      <c r="V14" s="193"/>
      <c r="W14" s="169">
        <v>10</v>
      </c>
      <c r="X14" s="1">
        <f t="shared" si="26"/>
        <v>45823</v>
      </c>
      <c r="Y14" s="60">
        <f>IF($X14&lt;Input!$H$58,IF($X14&lt;Input!$G$58,IF($X14&lt;Input!$F$58,IF($X14&lt;Input!$E$58,IF($X14&lt;Input!$D$58,Input!$C$64,Input!$D$64),Input!$E$64),Input!$F$64),Input!$G$64),Input!$H$64)</f>
        <v>0</v>
      </c>
      <c r="Z14" s="190">
        <f>IF($A14&lt;Input!$H$65,IF($A14&lt;Input!$G$65,IF($A14&lt;Input!$F$65,IF($A14&lt;Input!$E$65,IF($A14&lt;Input!$D$65,Input!$C$66,Input!$D$66),Input!$E$66),Input!$F$66),Input!$G$66),Input!$H$66)</f>
        <v>0.9</v>
      </c>
      <c r="AA14" s="60">
        <f t="shared" si="5"/>
        <v>0</v>
      </c>
      <c r="AB14" s="60">
        <f t="shared" si="27"/>
        <v>31</v>
      </c>
      <c r="AC14" s="60">
        <f t="shared" si="6"/>
        <v>0</v>
      </c>
      <c r="AD14" s="60">
        <f>ROUND(AC14*AB14*Input!$C$3/365,0)</f>
        <v>0</v>
      </c>
      <c r="AE14" s="61">
        <f>IF($A14&lt;=Input!$C$6,0,IF('Unique Tenure'!AA14&lt;'Unique Tenure'!AC14,'Unique Tenure'!AA14-AD14,'Unique Tenure'!AC14))</f>
        <v>0</v>
      </c>
      <c r="AF14" s="61">
        <f t="shared" si="7"/>
        <v>0</v>
      </c>
      <c r="AG14" s="60">
        <f t="shared" si="8"/>
        <v>0</v>
      </c>
      <c r="AH14" s="193"/>
      <c r="AI14" s="169">
        <v>10</v>
      </c>
      <c r="AJ14" s="1">
        <f t="shared" si="28"/>
        <v>45823</v>
      </c>
      <c r="AK14" s="60">
        <f>IF($X14&lt;Input!$H$73,IF($X14&lt;Input!$G$73,IF($X14&lt;Input!$F$73,IF($X14&lt;Input!$E$73,IF($X14&lt;Input!$D$73,Input!$C$79,Input!$D$79),Input!$E$79),Input!$F$79),Input!$G$79),Input!$H$79)</f>
        <v>0</v>
      </c>
      <c r="AL14" s="190">
        <f>IF($A14&lt;Input!$H$80,IF($A14&lt;Input!$G$80,IF($A14&lt;Input!$F$80,IF($A14&lt;Input!$E$80,IF($A14&lt;Input!$D$80,Input!$C$81,Input!$D$81),Input!$E$81),Input!$F$81),Input!$G$81),Input!$H$81)</f>
        <v>0.9</v>
      </c>
      <c r="AM14" s="60">
        <f t="shared" si="9"/>
        <v>0</v>
      </c>
      <c r="AN14" s="60">
        <f t="shared" si="29"/>
        <v>31</v>
      </c>
      <c r="AO14" s="60">
        <f t="shared" si="10"/>
        <v>0</v>
      </c>
      <c r="AP14" s="60">
        <f>ROUND(AO14*AN14*Input!$C$3/365,0)</f>
        <v>0</v>
      </c>
      <c r="AQ14" s="61">
        <f>IF($A14&lt;=Input!$C$6,0,IF('Unique Tenure'!AM14&lt;'Unique Tenure'!AO14,'Unique Tenure'!AM14-AP14,'Unique Tenure'!AO14))</f>
        <v>0</v>
      </c>
      <c r="AR14" s="61">
        <f t="shared" si="11"/>
        <v>0</v>
      </c>
      <c r="AS14" s="60">
        <f t="shared" si="12"/>
        <v>0</v>
      </c>
      <c r="AT14" s="193"/>
      <c r="AU14" s="169">
        <v>10</v>
      </c>
      <c r="AV14" s="1">
        <f t="shared" si="30"/>
        <v>45823</v>
      </c>
      <c r="AW14" s="60">
        <f>IF($X14&lt;Input!$H$88,IF($X14&lt;Input!$G$88,IF($X14&lt;Input!$F$88,IF($X14&lt;Input!$E$88,IF($X14&lt;Input!$D$88,Input!$C$94,Input!$D$94),Input!$E$94),Input!$F$94),Input!$G$94),Input!$H$94)</f>
        <v>0</v>
      </c>
      <c r="AX14" s="190">
        <f>IF($A14&lt;Input!$H$95,IF($A14&lt;Input!$G$95,IF($A14&lt;Input!$F$95,IF($A14&lt;Input!$E$95,IF($A14&lt;Input!$D$95,Input!$C$96,Input!$D$96),Input!$E$96),Input!$F$96),Input!$G$96),Input!$H$96)</f>
        <v>0.9</v>
      </c>
      <c r="AY14" s="60">
        <f t="shared" si="13"/>
        <v>0</v>
      </c>
      <c r="AZ14" s="60">
        <f t="shared" si="31"/>
        <v>31</v>
      </c>
      <c r="BA14" s="60">
        <f t="shared" si="14"/>
        <v>0</v>
      </c>
      <c r="BB14" s="60">
        <f>ROUND(BA14*AZ14*Input!$C$3/365,0)</f>
        <v>0</v>
      </c>
      <c r="BC14" s="61">
        <f>IF($A14&lt;=Input!$C$6,0,IF('Unique Tenure'!AY14&lt;'Unique Tenure'!BA14,'Unique Tenure'!AY14-BB14,'Unique Tenure'!BA14))</f>
        <v>0</v>
      </c>
      <c r="BD14" s="61">
        <f t="shared" si="15"/>
        <v>0</v>
      </c>
      <c r="BE14" s="60">
        <f t="shared" si="16"/>
        <v>0</v>
      </c>
      <c r="BF14" s="193"/>
      <c r="BG14" s="169">
        <v>10</v>
      </c>
      <c r="BH14" s="1">
        <f t="shared" si="32"/>
        <v>45823</v>
      </c>
      <c r="BI14" s="60">
        <f>IF($X14&lt;Input!$H$103,IF($X14&lt;Input!$G$103,IF($X14&lt;Input!$F$103,IF($X14&lt;Input!$E$103,IF($X14&lt;Input!$D$103,Input!$C$109,Input!$D$109),Input!$E$109),Input!$F$109),Input!$G$109),Input!$H$109)</f>
        <v>0</v>
      </c>
      <c r="BJ14" s="190">
        <f>IF($A14&lt;Input!$H$110,IF($A14&lt;Input!$G$110,IF($A14&lt;Input!$F$110,IF($A14&lt;Input!$E$110,IF($A14&lt;Input!$D$110,Input!$C$111,Input!$D$111),Input!$E$111),Input!$F$111),Input!$G$111),Input!$H$111)</f>
        <v>0.9</v>
      </c>
      <c r="BK14" s="60">
        <f t="shared" si="17"/>
        <v>0</v>
      </c>
      <c r="BL14" s="60">
        <f t="shared" si="33"/>
        <v>31</v>
      </c>
      <c r="BM14" s="60">
        <f t="shared" si="18"/>
        <v>0</v>
      </c>
      <c r="BN14" s="60">
        <f>ROUND(BM14*BL14*Input!$C$3/365,0)</f>
        <v>0</v>
      </c>
      <c r="BO14" s="61">
        <f>IF($A14&lt;=Input!$C$6,0,IF('Unique Tenure'!BK14&lt;'Unique Tenure'!BM14,'Unique Tenure'!BK14-BN14,'Unique Tenure'!BM14))</f>
        <v>0</v>
      </c>
      <c r="BP14" s="61">
        <f t="shared" si="19"/>
        <v>0</v>
      </c>
      <c r="BQ14" s="60">
        <f t="shared" si="20"/>
        <v>0</v>
      </c>
      <c r="BR14" s="198"/>
    </row>
    <row r="15" spans="1:70" s="51" customFormat="1" x14ac:dyDescent="0.25">
      <c r="A15" s="169">
        <v>11</v>
      </c>
      <c r="B15" s="1">
        <f t="shared" si="21"/>
        <v>45853</v>
      </c>
      <c r="C15" s="60">
        <f>SUM(
   IF(($A$4:$A$184 &lt;= Input!$D$16), M15, 0),
   IF(($A$4:$A$184 &lt;= Input!$E$16), Y15, 0),
   IF(($A$4:$A$184 &lt;= Input!$F$16), AK15, 0),
   IF(($A$4:$A$184 &lt;= Input!$G$16), AW15, 0),
   IF(($A$4:$A$184 &lt;= Input!$H$16), BI15, 0)
)</f>
        <v>16470000</v>
      </c>
      <c r="D15" s="60">
        <f>SUM(
   IF(($A$4:$A$184 &lt;= Input!$D$16), O15, 0),
   IF(($A$4:$A$184 &lt;= Input!$E$16), AA15, 0),
   IF(($A$4:$A$184 &lt;= Input!$F$16), AM15, 0),
   IF(($A$4:$A$184 &lt;= Input!$G$16), AY15, 0),
   IF(($A$4:$A$184 &lt;= Input!$H$16), BK15, 0)
)</f>
        <v>14823000</v>
      </c>
      <c r="E15" s="60">
        <f t="shared" si="22"/>
        <v>30</v>
      </c>
      <c r="F15" s="60">
        <f t="shared" si="23"/>
        <v>975366193</v>
      </c>
      <c r="G15" s="60">
        <f>ROUND(F15*E15*Input!$C$3/365,0)</f>
        <v>12025063</v>
      </c>
      <c r="H15" s="60">
        <f>IF($A15&lt;=Input!$C$6,0,IF('Unique Tenure'!D15&lt;'Unique Tenure'!F15,'Unique Tenure'!D15-G15,'Unique Tenure'!F15))</f>
        <v>2797937</v>
      </c>
      <c r="I15" s="60">
        <f t="shared" si="24"/>
        <v>14823000</v>
      </c>
      <c r="J15" s="60">
        <f t="shared" si="25"/>
        <v>972568256</v>
      </c>
      <c r="K15" s="202">
        <f>J15/Input!$K$5</f>
        <v>3.2418941866666668</v>
      </c>
      <c r="L15" s="232"/>
      <c r="M15" s="60">
        <f>IF($B15&lt;Input!$H$43,IF($B15&lt;Input!$G$43,IF($B15&lt;Input!$F$43,IF($B15&lt;Input!$E$43,IF($B15&lt;Input!$D$43,Input!$C$49,Input!$D$49),Input!$E$49),Input!$F$49),Input!$G$49),Input!$H$49)</f>
        <v>16470000</v>
      </c>
      <c r="N15" s="190">
        <f>IF($A15&lt;Input!$H$50,IF($A15&lt;Input!$G$50,IF($A15&lt;Input!$F$50,IF($A15&lt;Input!$E$50,IF($A15&lt;Input!$D$50,Input!$C$51,Input!$D$51),Input!$E$51),Input!$F$51),Input!$G$51),Input!$H$51)</f>
        <v>0.9</v>
      </c>
      <c r="O15" s="60">
        <f t="shared" si="0"/>
        <v>14823000</v>
      </c>
      <c r="P15" s="60">
        <f t="shared" si="1"/>
        <v>30</v>
      </c>
      <c r="Q15" s="60">
        <f t="shared" si="2"/>
        <v>975366193</v>
      </c>
      <c r="R15" s="60">
        <f>ROUND(Q15*$P15*Input!$C$3/365,0)</f>
        <v>12025063</v>
      </c>
      <c r="S15" s="60">
        <f>IF(A15&lt;=Input!$C$6,0,IF('Unique Tenure'!O15&lt;'Unique Tenure'!Q15,'Unique Tenure'!O15-R15,'Unique Tenure'!Q15))</f>
        <v>2797937</v>
      </c>
      <c r="T15" s="60">
        <f t="shared" si="3"/>
        <v>14823000</v>
      </c>
      <c r="U15" s="60">
        <f t="shared" si="4"/>
        <v>972568256</v>
      </c>
      <c r="V15" s="193"/>
      <c r="W15" s="169">
        <v>11</v>
      </c>
      <c r="X15" s="1">
        <f t="shared" si="26"/>
        <v>45853</v>
      </c>
      <c r="Y15" s="60">
        <f>IF($X15&lt;Input!$H$58,IF($X15&lt;Input!$G$58,IF($X15&lt;Input!$F$58,IF($X15&lt;Input!$E$58,IF($X15&lt;Input!$D$58,Input!$C$64,Input!$D$64),Input!$E$64),Input!$F$64),Input!$G$64),Input!$H$64)</f>
        <v>0</v>
      </c>
      <c r="Z15" s="190">
        <f>IF($A15&lt;Input!$H$65,IF($A15&lt;Input!$G$65,IF($A15&lt;Input!$F$65,IF($A15&lt;Input!$E$65,IF($A15&lt;Input!$D$65,Input!$C$66,Input!$D$66),Input!$E$66),Input!$F$66),Input!$G$66),Input!$H$66)</f>
        <v>0.9</v>
      </c>
      <c r="AA15" s="60">
        <f t="shared" si="5"/>
        <v>0</v>
      </c>
      <c r="AB15" s="60">
        <f t="shared" si="27"/>
        <v>30</v>
      </c>
      <c r="AC15" s="60">
        <f t="shared" si="6"/>
        <v>0</v>
      </c>
      <c r="AD15" s="60">
        <f>ROUND(AC15*AB15*Input!$C$3/365,0)</f>
        <v>0</v>
      </c>
      <c r="AE15" s="61">
        <f>IF($A15&lt;=Input!$C$6,0,IF('Unique Tenure'!AA15&lt;'Unique Tenure'!AC15,'Unique Tenure'!AA15-AD15,'Unique Tenure'!AC15))</f>
        <v>0</v>
      </c>
      <c r="AF15" s="61">
        <f t="shared" si="7"/>
        <v>0</v>
      </c>
      <c r="AG15" s="60">
        <f t="shared" si="8"/>
        <v>0</v>
      </c>
      <c r="AH15" s="193"/>
      <c r="AI15" s="169">
        <v>11</v>
      </c>
      <c r="AJ15" s="1">
        <f t="shared" si="28"/>
        <v>45853</v>
      </c>
      <c r="AK15" s="60">
        <f>IF($X15&lt;Input!$H$73,IF($X15&lt;Input!$G$73,IF($X15&lt;Input!$F$73,IF($X15&lt;Input!$E$73,IF($X15&lt;Input!$D$73,Input!$C$79,Input!$D$79),Input!$E$79),Input!$F$79),Input!$G$79),Input!$H$79)</f>
        <v>0</v>
      </c>
      <c r="AL15" s="190">
        <f>IF($A15&lt;Input!$H$80,IF($A15&lt;Input!$G$80,IF($A15&lt;Input!$F$80,IF($A15&lt;Input!$E$80,IF($A15&lt;Input!$D$80,Input!$C$81,Input!$D$81),Input!$E$81),Input!$F$81),Input!$G$81),Input!$H$81)</f>
        <v>0.9</v>
      </c>
      <c r="AM15" s="60">
        <f t="shared" si="9"/>
        <v>0</v>
      </c>
      <c r="AN15" s="60">
        <f t="shared" si="29"/>
        <v>30</v>
      </c>
      <c r="AO15" s="60">
        <f t="shared" si="10"/>
        <v>0</v>
      </c>
      <c r="AP15" s="60">
        <f>ROUND(AO15*AN15*Input!$C$3/365,0)</f>
        <v>0</v>
      </c>
      <c r="AQ15" s="61">
        <f>IF($A15&lt;=Input!$C$6,0,IF('Unique Tenure'!AM15&lt;'Unique Tenure'!AO15,'Unique Tenure'!AM15-AP15,'Unique Tenure'!AO15))</f>
        <v>0</v>
      </c>
      <c r="AR15" s="61">
        <f t="shared" si="11"/>
        <v>0</v>
      </c>
      <c r="AS15" s="60">
        <f t="shared" si="12"/>
        <v>0</v>
      </c>
      <c r="AT15" s="193"/>
      <c r="AU15" s="169">
        <v>11</v>
      </c>
      <c r="AV15" s="1">
        <f t="shared" si="30"/>
        <v>45853</v>
      </c>
      <c r="AW15" s="60">
        <f>IF($X15&lt;Input!$H$88,IF($X15&lt;Input!$G$88,IF($X15&lt;Input!$F$88,IF($X15&lt;Input!$E$88,IF($X15&lt;Input!$D$88,Input!$C$94,Input!$D$94),Input!$E$94),Input!$F$94),Input!$G$94),Input!$H$94)</f>
        <v>0</v>
      </c>
      <c r="AX15" s="190">
        <f>IF($A15&lt;Input!$H$95,IF($A15&lt;Input!$G$95,IF($A15&lt;Input!$F$95,IF($A15&lt;Input!$E$95,IF($A15&lt;Input!$D$95,Input!$C$96,Input!$D$96),Input!$E$96),Input!$F$96),Input!$G$96),Input!$H$96)</f>
        <v>0.9</v>
      </c>
      <c r="AY15" s="60">
        <f t="shared" si="13"/>
        <v>0</v>
      </c>
      <c r="AZ15" s="60">
        <f t="shared" si="31"/>
        <v>30</v>
      </c>
      <c r="BA15" s="60">
        <f t="shared" si="14"/>
        <v>0</v>
      </c>
      <c r="BB15" s="60">
        <f>ROUND(BA15*AZ15*Input!$C$3/365,0)</f>
        <v>0</v>
      </c>
      <c r="BC15" s="61">
        <f>IF($A15&lt;=Input!$C$6,0,IF('Unique Tenure'!AY15&lt;'Unique Tenure'!BA15,'Unique Tenure'!AY15-BB15,'Unique Tenure'!BA15))</f>
        <v>0</v>
      </c>
      <c r="BD15" s="61">
        <f t="shared" si="15"/>
        <v>0</v>
      </c>
      <c r="BE15" s="60">
        <f t="shared" si="16"/>
        <v>0</v>
      </c>
      <c r="BF15" s="193"/>
      <c r="BG15" s="169">
        <v>11</v>
      </c>
      <c r="BH15" s="1">
        <f t="shared" si="32"/>
        <v>45853</v>
      </c>
      <c r="BI15" s="60">
        <f>IF($X15&lt;Input!$H$103,IF($X15&lt;Input!$G$103,IF($X15&lt;Input!$F$103,IF($X15&lt;Input!$E$103,IF($X15&lt;Input!$D$103,Input!$C$109,Input!$D$109),Input!$E$109),Input!$F$109),Input!$G$109),Input!$H$109)</f>
        <v>0</v>
      </c>
      <c r="BJ15" s="190">
        <f>IF($A15&lt;Input!$H$110,IF($A15&lt;Input!$G$110,IF($A15&lt;Input!$F$110,IF($A15&lt;Input!$E$110,IF($A15&lt;Input!$D$110,Input!$C$111,Input!$D$111),Input!$E$111),Input!$F$111),Input!$G$111),Input!$H$111)</f>
        <v>0.9</v>
      </c>
      <c r="BK15" s="60">
        <f t="shared" si="17"/>
        <v>0</v>
      </c>
      <c r="BL15" s="60">
        <f t="shared" si="33"/>
        <v>30</v>
      </c>
      <c r="BM15" s="60">
        <f t="shared" si="18"/>
        <v>0</v>
      </c>
      <c r="BN15" s="60">
        <f>ROUND(BM15*BL15*Input!$C$3/365,0)</f>
        <v>0</v>
      </c>
      <c r="BO15" s="61">
        <f>IF($A15&lt;=Input!$C$6,0,IF('Unique Tenure'!BK15&lt;'Unique Tenure'!BM15,'Unique Tenure'!BK15-BN15,'Unique Tenure'!BM15))</f>
        <v>0</v>
      </c>
      <c r="BP15" s="61">
        <f t="shared" si="19"/>
        <v>0</v>
      </c>
      <c r="BQ15" s="60">
        <f t="shared" si="20"/>
        <v>0</v>
      </c>
      <c r="BR15" s="198"/>
    </row>
    <row r="16" spans="1:70" s="51" customFormat="1" x14ac:dyDescent="0.25">
      <c r="A16" s="169">
        <v>12</v>
      </c>
      <c r="B16" s="1">
        <f t="shared" si="21"/>
        <v>45884</v>
      </c>
      <c r="C16" s="60">
        <f>SUM(
   IF(($A$4:$A$184 &lt;= Input!$D$16), M16, 0),
   IF(($A$4:$A$184 &lt;= Input!$E$16), Y16, 0),
   IF(($A$4:$A$184 &lt;= Input!$F$16), AK16, 0),
   IF(($A$4:$A$184 &lt;= Input!$G$16), AW16, 0),
   IF(($A$4:$A$184 &lt;= Input!$H$16), BI16, 0)
)</f>
        <v>16470000</v>
      </c>
      <c r="D16" s="60">
        <f>SUM(
   IF(($A$4:$A$184 &lt;= Input!$D$16), O16, 0),
   IF(($A$4:$A$184 &lt;= Input!$E$16), AA16, 0),
   IF(($A$4:$A$184 &lt;= Input!$F$16), AM16, 0),
   IF(($A$4:$A$184 &lt;= Input!$G$16), AY16, 0),
   IF(($A$4:$A$184 &lt;= Input!$H$16), BK16, 0)
)</f>
        <v>14823000</v>
      </c>
      <c r="E16" s="60">
        <f t="shared" si="22"/>
        <v>31</v>
      </c>
      <c r="F16" s="60">
        <f t="shared" si="23"/>
        <v>972568256</v>
      </c>
      <c r="G16" s="60">
        <f>ROUND(F16*E16*Input!$C$3/365,0)</f>
        <v>12390253</v>
      </c>
      <c r="H16" s="60">
        <f>IF($A16&lt;=Input!$C$6,0,IF('Unique Tenure'!D16&lt;'Unique Tenure'!F16,'Unique Tenure'!D16-G16,'Unique Tenure'!F16))</f>
        <v>2432747</v>
      </c>
      <c r="I16" s="60">
        <f t="shared" si="24"/>
        <v>14823000</v>
      </c>
      <c r="J16" s="60">
        <f t="shared" si="25"/>
        <v>970135509</v>
      </c>
      <c r="K16" s="202">
        <f>J16/Input!$K$5</f>
        <v>3.2337850299999999</v>
      </c>
      <c r="L16" s="232"/>
      <c r="M16" s="60">
        <f>IF($B16&lt;Input!$H$43,IF($B16&lt;Input!$G$43,IF($B16&lt;Input!$F$43,IF($B16&lt;Input!$E$43,IF($B16&lt;Input!$D$43,Input!$C$49,Input!$D$49),Input!$E$49),Input!$F$49),Input!$G$49),Input!$H$49)</f>
        <v>16470000</v>
      </c>
      <c r="N16" s="190">
        <f>IF($A16&lt;Input!$H$50,IF($A16&lt;Input!$G$50,IF($A16&lt;Input!$F$50,IF($A16&lt;Input!$E$50,IF($A16&lt;Input!$D$50,Input!$C$51,Input!$D$51),Input!$E$51),Input!$F$51),Input!$G$51),Input!$H$51)</f>
        <v>0.9</v>
      </c>
      <c r="O16" s="60">
        <f t="shared" si="0"/>
        <v>14823000</v>
      </c>
      <c r="P16" s="60">
        <f t="shared" si="1"/>
        <v>31</v>
      </c>
      <c r="Q16" s="60">
        <f t="shared" si="2"/>
        <v>972568256</v>
      </c>
      <c r="R16" s="60">
        <f>ROUND(Q16*$P16*Input!$C$3/365,0)</f>
        <v>12390253</v>
      </c>
      <c r="S16" s="60">
        <f>IF(A16&lt;=Input!$C$6,0,IF('Unique Tenure'!O16&lt;'Unique Tenure'!Q16,'Unique Tenure'!O16-R16,'Unique Tenure'!Q16))</f>
        <v>2432747</v>
      </c>
      <c r="T16" s="60">
        <f t="shared" si="3"/>
        <v>14823000</v>
      </c>
      <c r="U16" s="60">
        <f t="shared" si="4"/>
        <v>970135509</v>
      </c>
      <c r="V16" s="193"/>
      <c r="W16" s="169">
        <v>12</v>
      </c>
      <c r="X16" s="1">
        <f t="shared" si="26"/>
        <v>45884</v>
      </c>
      <c r="Y16" s="60">
        <f>IF($X16&lt;Input!$H$58,IF($X16&lt;Input!$G$58,IF($X16&lt;Input!$F$58,IF($X16&lt;Input!$E$58,IF($X16&lt;Input!$D$58,Input!$C$64,Input!$D$64),Input!$E$64),Input!$F$64),Input!$G$64),Input!$H$64)</f>
        <v>0</v>
      </c>
      <c r="Z16" s="190">
        <f>IF($A16&lt;Input!$H$65,IF($A16&lt;Input!$G$65,IF($A16&lt;Input!$F$65,IF($A16&lt;Input!$E$65,IF($A16&lt;Input!$D$65,Input!$C$66,Input!$D$66),Input!$E$66),Input!$F$66),Input!$G$66),Input!$H$66)</f>
        <v>0.9</v>
      </c>
      <c r="AA16" s="60">
        <f t="shared" si="5"/>
        <v>0</v>
      </c>
      <c r="AB16" s="60">
        <f t="shared" si="27"/>
        <v>31</v>
      </c>
      <c r="AC16" s="60">
        <f t="shared" si="6"/>
        <v>0</v>
      </c>
      <c r="AD16" s="60">
        <f>ROUND(AC16*AB16*Input!$C$3/365,0)</f>
        <v>0</v>
      </c>
      <c r="AE16" s="61">
        <f>IF($A16&lt;=Input!$C$6,0,IF('Unique Tenure'!AA16&lt;'Unique Tenure'!AC16,'Unique Tenure'!AA16-AD16,'Unique Tenure'!AC16))</f>
        <v>0</v>
      </c>
      <c r="AF16" s="61">
        <f t="shared" si="7"/>
        <v>0</v>
      </c>
      <c r="AG16" s="60">
        <f t="shared" si="8"/>
        <v>0</v>
      </c>
      <c r="AH16" s="193"/>
      <c r="AI16" s="169">
        <v>12</v>
      </c>
      <c r="AJ16" s="1">
        <f t="shared" si="28"/>
        <v>45884</v>
      </c>
      <c r="AK16" s="60">
        <f>IF($X16&lt;Input!$H$73,IF($X16&lt;Input!$G$73,IF($X16&lt;Input!$F$73,IF($X16&lt;Input!$E$73,IF($X16&lt;Input!$D$73,Input!$C$79,Input!$D$79),Input!$E$79),Input!$F$79),Input!$G$79),Input!$H$79)</f>
        <v>0</v>
      </c>
      <c r="AL16" s="190">
        <f>IF($A16&lt;Input!$H$80,IF($A16&lt;Input!$G$80,IF($A16&lt;Input!$F$80,IF($A16&lt;Input!$E$80,IF($A16&lt;Input!$D$80,Input!$C$81,Input!$D$81),Input!$E$81),Input!$F$81),Input!$G$81),Input!$H$81)</f>
        <v>0.9</v>
      </c>
      <c r="AM16" s="60">
        <f t="shared" si="9"/>
        <v>0</v>
      </c>
      <c r="AN16" s="60">
        <f t="shared" si="29"/>
        <v>31</v>
      </c>
      <c r="AO16" s="60">
        <f t="shared" si="10"/>
        <v>0</v>
      </c>
      <c r="AP16" s="60">
        <f>ROUND(AO16*AN16*Input!$C$3/365,0)</f>
        <v>0</v>
      </c>
      <c r="AQ16" s="61">
        <f>IF($A16&lt;=Input!$C$6,0,IF('Unique Tenure'!AM16&lt;'Unique Tenure'!AO16,'Unique Tenure'!AM16-AP16,'Unique Tenure'!AO16))</f>
        <v>0</v>
      </c>
      <c r="AR16" s="61">
        <f t="shared" si="11"/>
        <v>0</v>
      </c>
      <c r="AS16" s="60">
        <f t="shared" si="12"/>
        <v>0</v>
      </c>
      <c r="AT16" s="193"/>
      <c r="AU16" s="169">
        <v>12</v>
      </c>
      <c r="AV16" s="1">
        <f t="shared" si="30"/>
        <v>45884</v>
      </c>
      <c r="AW16" s="60">
        <f>IF($X16&lt;Input!$H$88,IF($X16&lt;Input!$G$88,IF($X16&lt;Input!$F$88,IF($X16&lt;Input!$E$88,IF($X16&lt;Input!$D$88,Input!$C$94,Input!$D$94),Input!$E$94),Input!$F$94),Input!$G$94),Input!$H$94)</f>
        <v>0</v>
      </c>
      <c r="AX16" s="190">
        <f>IF($A16&lt;Input!$H$95,IF($A16&lt;Input!$G$95,IF($A16&lt;Input!$F$95,IF($A16&lt;Input!$E$95,IF($A16&lt;Input!$D$95,Input!$C$96,Input!$D$96),Input!$E$96),Input!$F$96),Input!$G$96),Input!$H$96)</f>
        <v>0.9</v>
      </c>
      <c r="AY16" s="60">
        <f t="shared" si="13"/>
        <v>0</v>
      </c>
      <c r="AZ16" s="60">
        <f t="shared" si="31"/>
        <v>31</v>
      </c>
      <c r="BA16" s="60">
        <f t="shared" si="14"/>
        <v>0</v>
      </c>
      <c r="BB16" s="60">
        <f>ROUND(BA16*AZ16*Input!$C$3/365,0)</f>
        <v>0</v>
      </c>
      <c r="BC16" s="61">
        <f>IF($A16&lt;=Input!$C$6,0,IF('Unique Tenure'!AY16&lt;'Unique Tenure'!BA16,'Unique Tenure'!AY16-BB16,'Unique Tenure'!BA16))</f>
        <v>0</v>
      </c>
      <c r="BD16" s="61">
        <f t="shared" si="15"/>
        <v>0</v>
      </c>
      <c r="BE16" s="60">
        <f t="shared" si="16"/>
        <v>0</v>
      </c>
      <c r="BF16" s="193"/>
      <c r="BG16" s="169">
        <v>12</v>
      </c>
      <c r="BH16" s="1">
        <f t="shared" si="32"/>
        <v>45884</v>
      </c>
      <c r="BI16" s="60">
        <f>IF($X16&lt;Input!$H$103,IF($X16&lt;Input!$G$103,IF($X16&lt;Input!$F$103,IF($X16&lt;Input!$E$103,IF($X16&lt;Input!$D$103,Input!$C$109,Input!$D$109),Input!$E$109),Input!$F$109),Input!$G$109),Input!$H$109)</f>
        <v>0</v>
      </c>
      <c r="BJ16" s="190">
        <f>IF($A16&lt;Input!$H$110,IF($A16&lt;Input!$G$110,IF($A16&lt;Input!$F$110,IF($A16&lt;Input!$E$110,IF($A16&lt;Input!$D$110,Input!$C$111,Input!$D$111),Input!$E$111),Input!$F$111),Input!$G$111),Input!$H$111)</f>
        <v>0.9</v>
      </c>
      <c r="BK16" s="60">
        <f t="shared" si="17"/>
        <v>0</v>
      </c>
      <c r="BL16" s="60">
        <f t="shared" si="33"/>
        <v>31</v>
      </c>
      <c r="BM16" s="60">
        <f t="shared" si="18"/>
        <v>0</v>
      </c>
      <c r="BN16" s="60">
        <f>ROUND(BM16*BL16*Input!$C$3/365,0)</f>
        <v>0</v>
      </c>
      <c r="BO16" s="61">
        <f>IF($A16&lt;=Input!$C$6,0,IF('Unique Tenure'!BK16&lt;'Unique Tenure'!BM16,'Unique Tenure'!BK16-BN16,'Unique Tenure'!BM16))</f>
        <v>0</v>
      </c>
      <c r="BP16" s="61">
        <f t="shared" si="19"/>
        <v>0</v>
      </c>
      <c r="BQ16" s="60">
        <f t="shared" si="20"/>
        <v>0</v>
      </c>
      <c r="BR16" s="198"/>
    </row>
    <row r="17" spans="1:70" s="51" customFormat="1" x14ac:dyDescent="0.25">
      <c r="A17" s="169">
        <v>13</v>
      </c>
      <c r="B17" s="1">
        <f t="shared" si="21"/>
        <v>45915</v>
      </c>
      <c r="C17" s="60">
        <f>SUM(
   IF(($A$4:$A$184 &lt;= Input!$D$16), M17, 0),
   IF(($A$4:$A$184 &lt;= Input!$E$16), Y17, 0),
   IF(($A$4:$A$184 &lt;= Input!$F$16), AK17, 0),
   IF(($A$4:$A$184 &lt;= Input!$G$16), AW17, 0),
   IF(($A$4:$A$184 &lt;= Input!$H$16), BI17, 0)
)</f>
        <v>16470000</v>
      </c>
      <c r="D17" s="60">
        <f>SUM(
   IF(($A$4:$A$184 &lt;= Input!$D$16), O17, 0),
   IF(($A$4:$A$184 &lt;= Input!$E$16), AA17, 0),
   IF(($A$4:$A$184 &lt;= Input!$F$16), AM17, 0),
   IF(($A$4:$A$184 &lt;= Input!$G$16), AY17, 0),
   IF(($A$4:$A$184 &lt;= Input!$H$16), BK17, 0)
)</f>
        <v>14823000</v>
      </c>
      <c r="E17" s="60">
        <f t="shared" si="22"/>
        <v>31</v>
      </c>
      <c r="F17" s="60">
        <f t="shared" si="23"/>
        <v>970135509</v>
      </c>
      <c r="G17" s="60">
        <f>ROUND(F17*E17*Input!$C$3/365,0)</f>
        <v>12359261</v>
      </c>
      <c r="H17" s="60">
        <f>IF($A17&lt;=Input!$C$6,0,IF('Unique Tenure'!D17&lt;'Unique Tenure'!F17,'Unique Tenure'!D17-G17,'Unique Tenure'!F17))</f>
        <v>2463739</v>
      </c>
      <c r="I17" s="60">
        <f t="shared" si="24"/>
        <v>14823000</v>
      </c>
      <c r="J17" s="60">
        <f t="shared" si="25"/>
        <v>967671770</v>
      </c>
      <c r="K17" s="202">
        <f>J17/Input!$K$5</f>
        <v>3.2255725666666666</v>
      </c>
      <c r="L17" s="232"/>
      <c r="M17" s="60">
        <f>IF($B17&lt;Input!$H$43,IF($B17&lt;Input!$G$43,IF($B17&lt;Input!$F$43,IF($B17&lt;Input!$E$43,IF($B17&lt;Input!$D$43,Input!$C$49,Input!$D$49),Input!$E$49),Input!$F$49),Input!$G$49),Input!$H$49)</f>
        <v>16470000</v>
      </c>
      <c r="N17" s="190">
        <f>IF($A17&lt;Input!$H$50,IF($A17&lt;Input!$G$50,IF($A17&lt;Input!$F$50,IF($A17&lt;Input!$E$50,IF($A17&lt;Input!$D$50,Input!$C$51,Input!$D$51),Input!$E$51),Input!$F$51),Input!$G$51),Input!$H$51)</f>
        <v>0.9</v>
      </c>
      <c r="O17" s="60">
        <f t="shared" si="0"/>
        <v>14823000</v>
      </c>
      <c r="P17" s="60">
        <f t="shared" si="1"/>
        <v>31</v>
      </c>
      <c r="Q17" s="60">
        <f t="shared" si="2"/>
        <v>970135509</v>
      </c>
      <c r="R17" s="60">
        <f>ROUND(Q17*$P17*Input!$C$3/365,0)</f>
        <v>12359261</v>
      </c>
      <c r="S17" s="60">
        <f>IF(A17&lt;=Input!$C$6,0,IF('Unique Tenure'!O17&lt;'Unique Tenure'!Q17,'Unique Tenure'!O17-R17,'Unique Tenure'!Q17))</f>
        <v>2463739</v>
      </c>
      <c r="T17" s="60">
        <f t="shared" si="3"/>
        <v>14823000</v>
      </c>
      <c r="U17" s="60">
        <f t="shared" si="4"/>
        <v>967671770</v>
      </c>
      <c r="V17" s="193"/>
      <c r="W17" s="169">
        <v>13</v>
      </c>
      <c r="X17" s="1">
        <f t="shared" si="26"/>
        <v>45915</v>
      </c>
      <c r="Y17" s="60">
        <f>IF($X17&lt;Input!$H$58,IF($X17&lt;Input!$G$58,IF($X17&lt;Input!$F$58,IF($X17&lt;Input!$E$58,IF($X17&lt;Input!$D$58,Input!$C$64,Input!$D$64),Input!$E$64),Input!$F$64),Input!$G$64),Input!$H$64)</f>
        <v>0</v>
      </c>
      <c r="Z17" s="190">
        <f>IF($A17&lt;Input!$H$65,IF($A17&lt;Input!$G$65,IF($A17&lt;Input!$F$65,IF($A17&lt;Input!$E$65,IF($A17&lt;Input!$D$65,Input!$C$66,Input!$D$66),Input!$E$66),Input!$F$66),Input!$G$66),Input!$H$66)</f>
        <v>0.9</v>
      </c>
      <c r="AA17" s="60">
        <f t="shared" si="5"/>
        <v>0</v>
      </c>
      <c r="AB17" s="60">
        <f t="shared" si="27"/>
        <v>31</v>
      </c>
      <c r="AC17" s="60">
        <f t="shared" si="6"/>
        <v>0</v>
      </c>
      <c r="AD17" s="60">
        <f>ROUND(AC17*AB17*Input!$C$3/365,0)</f>
        <v>0</v>
      </c>
      <c r="AE17" s="61">
        <f>IF($A17&lt;=Input!$C$6,0,IF('Unique Tenure'!AA17&lt;'Unique Tenure'!AC17,'Unique Tenure'!AA17-AD17,'Unique Tenure'!AC17))</f>
        <v>0</v>
      </c>
      <c r="AF17" s="61">
        <f t="shared" si="7"/>
        <v>0</v>
      </c>
      <c r="AG17" s="60">
        <f t="shared" si="8"/>
        <v>0</v>
      </c>
      <c r="AH17" s="193"/>
      <c r="AI17" s="169">
        <v>13</v>
      </c>
      <c r="AJ17" s="1">
        <f t="shared" si="28"/>
        <v>45915</v>
      </c>
      <c r="AK17" s="60">
        <f>IF($X17&lt;Input!$H$73,IF($X17&lt;Input!$G$73,IF($X17&lt;Input!$F$73,IF($X17&lt;Input!$E$73,IF($X17&lt;Input!$D$73,Input!$C$79,Input!$D$79),Input!$E$79),Input!$F$79),Input!$G$79),Input!$H$79)</f>
        <v>0</v>
      </c>
      <c r="AL17" s="190">
        <f>IF($A17&lt;Input!$H$80,IF($A17&lt;Input!$G$80,IF($A17&lt;Input!$F$80,IF($A17&lt;Input!$E$80,IF($A17&lt;Input!$D$80,Input!$C$81,Input!$D$81),Input!$E$81),Input!$F$81),Input!$G$81),Input!$H$81)</f>
        <v>0.9</v>
      </c>
      <c r="AM17" s="60">
        <f t="shared" si="9"/>
        <v>0</v>
      </c>
      <c r="AN17" s="60">
        <f t="shared" si="29"/>
        <v>31</v>
      </c>
      <c r="AO17" s="60">
        <f t="shared" si="10"/>
        <v>0</v>
      </c>
      <c r="AP17" s="60">
        <f>ROUND(AO17*AN17*Input!$C$3/365,0)</f>
        <v>0</v>
      </c>
      <c r="AQ17" s="61">
        <f>IF($A17&lt;=Input!$C$6,0,IF('Unique Tenure'!AM17&lt;'Unique Tenure'!AO17,'Unique Tenure'!AM17-AP17,'Unique Tenure'!AO17))</f>
        <v>0</v>
      </c>
      <c r="AR17" s="61">
        <f t="shared" si="11"/>
        <v>0</v>
      </c>
      <c r="AS17" s="60">
        <f t="shared" si="12"/>
        <v>0</v>
      </c>
      <c r="AT17" s="193"/>
      <c r="AU17" s="169">
        <v>13</v>
      </c>
      <c r="AV17" s="1">
        <f t="shared" si="30"/>
        <v>45915</v>
      </c>
      <c r="AW17" s="60">
        <f>IF($X17&lt;Input!$H$88,IF($X17&lt;Input!$G$88,IF($X17&lt;Input!$F$88,IF($X17&lt;Input!$E$88,IF($X17&lt;Input!$D$88,Input!$C$94,Input!$D$94),Input!$E$94),Input!$F$94),Input!$G$94),Input!$H$94)</f>
        <v>0</v>
      </c>
      <c r="AX17" s="190">
        <f>IF($A17&lt;Input!$H$95,IF($A17&lt;Input!$G$95,IF($A17&lt;Input!$F$95,IF($A17&lt;Input!$E$95,IF($A17&lt;Input!$D$95,Input!$C$96,Input!$D$96),Input!$E$96),Input!$F$96),Input!$G$96),Input!$H$96)</f>
        <v>0.9</v>
      </c>
      <c r="AY17" s="60">
        <f t="shared" si="13"/>
        <v>0</v>
      </c>
      <c r="AZ17" s="60">
        <f t="shared" si="31"/>
        <v>31</v>
      </c>
      <c r="BA17" s="60">
        <f t="shared" si="14"/>
        <v>0</v>
      </c>
      <c r="BB17" s="60">
        <f>ROUND(BA17*AZ17*Input!$C$3/365,0)</f>
        <v>0</v>
      </c>
      <c r="BC17" s="61">
        <f>IF($A17&lt;=Input!$C$6,0,IF('Unique Tenure'!AY17&lt;'Unique Tenure'!BA17,'Unique Tenure'!AY17-BB17,'Unique Tenure'!BA17))</f>
        <v>0</v>
      </c>
      <c r="BD17" s="61">
        <f t="shared" si="15"/>
        <v>0</v>
      </c>
      <c r="BE17" s="60">
        <f t="shared" si="16"/>
        <v>0</v>
      </c>
      <c r="BF17" s="193"/>
      <c r="BG17" s="169">
        <v>13</v>
      </c>
      <c r="BH17" s="1">
        <f t="shared" si="32"/>
        <v>45915</v>
      </c>
      <c r="BI17" s="60">
        <f>IF($X17&lt;Input!$H$103,IF($X17&lt;Input!$G$103,IF($X17&lt;Input!$F$103,IF($X17&lt;Input!$E$103,IF($X17&lt;Input!$D$103,Input!$C$109,Input!$D$109),Input!$E$109),Input!$F$109),Input!$G$109),Input!$H$109)</f>
        <v>0</v>
      </c>
      <c r="BJ17" s="190">
        <f>IF($A17&lt;Input!$H$110,IF($A17&lt;Input!$G$110,IF($A17&lt;Input!$F$110,IF($A17&lt;Input!$E$110,IF($A17&lt;Input!$D$110,Input!$C$111,Input!$D$111),Input!$E$111),Input!$F$111),Input!$G$111),Input!$H$111)</f>
        <v>0.9</v>
      </c>
      <c r="BK17" s="60">
        <f t="shared" si="17"/>
        <v>0</v>
      </c>
      <c r="BL17" s="60">
        <f t="shared" si="33"/>
        <v>31</v>
      </c>
      <c r="BM17" s="60">
        <f t="shared" si="18"/>
        <v>0</v>
      </c>
      <c r="BN17" s="60">
        <f>ROUND(BM17*BL17*Input!$C$3/365,0)</f>
        <v>0</v>
      </c>
      <c r="BO17" s="61">
        <f>IF($A17&lt;=Input!$C$6,0,IF('Unique Tenure'!BK17&lt;'Unique Tenure'!BM17,'Unique Tenure'!BK17-BN17,'Unique Tenure'!BM17))</f>
        <v>0</v>
      </c>
      <c r="BP17" s="61">
        <f t="shared" si="19"/>
        <v>0</v>
      </c>
      <c r="BQ17" s="60">
        <f t="shared" si="20"/>
        <v>0</v>
      </c>
      <c r="BR17" s="198"/>
    </row>
    <row r="18" spans="1:70" s="51" customFormat="1" x14ac:dyDescent="0.25">
      <c r="A18" s="169">
        <v>14</v>
      </c>
      <c r="B18" s="1">
        <f t="shared" si="21"/>
        <v>45945</v>
      </c>
      <c r="C18" s="60">
        <f>SUM(
   IF(($A$4:$A$184 &lt;= Input!$D$16), M18, 0),
   IF(($A$4:$A$184 &lt;= Input!$E$16), Y18, 0),
   IF(($A$4:$A$184 &lt;= Input!$F$16), AK18, 0),
   IF(($A$4:$A$184 &lt;= Input!$G$16), AW18, 0),
   IF(($A$4:$A$184 &lt;= Input!$H$16), BI18, 0)
)</f>
        <v>16470000</v>
      </c>
      <c r="D18" s="60">
        <f>SUM(
   IF(($A$4:$A$184 &lt;= Input!$D$16), O18, 0),
   IF(($A$4:$A$184 &lt;= Input!$E$16), AA18, 0),
   IF(($A$4:$A$184 &lt;= Input!$F$16), AM18, 0),
   IF(($A$4:$A$184 &lt;= Input!$G$16), AY18, 0),
   IF(($A$4:$A$184 &lt;= Input!$H$16), BK18, 0)
)</f>
        <v>14823000</v>
      </c>
      <c r="E18" s="60">
        <f t="shared" si="22"/>
        <v>30</v>
      </c>
      <c r="F18" s="60">
        <f t="shared" si="23"/>
        <v>967671770</v>
      </c>
      <c r="G18" s="60">
        <f>ROUND(F18*E18*Input!$C$3/365,0)</f>
        <v>11930200</v>
      </c>
      <c r="H18" s="60">
        <f>IF($A18&lt;=Input!$C$6,0,IF('Unique Tenure'!D18&lt;'Unique Tenure'!F18,'Unique Tenure'!D18-G18,'Unique Tenure'!F18))</f>
        <v>2892800</v>
      </c>
      <c r="I18" s="60">
        <f t="shared" si="24"/>
        <v>14823000</v>
      </c>
      <c r="J18" s="60">
        <f t="shared" si="25"/>
        <v>964778970</v>
      </c>
      <c r="K18" s="202">
        <f>J18/Input!$K$5</f>
        <v>3.2159298999999999</v>
      </c>
      <c r="L18" s="232"/>
      <c r="M18" s="60">
        <f>IF($B18&lt;Input!$H$43,IF($B18&lt;Input!$G$43,IF($B18&lt;Input!$F$43,IF($B18&lt;Input!$E$43,IF($B18&lt;Input!$D$43,Input!$C$49,Input!$D$49),Input!$E$49),Input!$F$49),Input!$G$49),Input!$H$49)</f>
        <v>16470000</v>
      </c>
      <c r="N18" s="190">
        <f>IF($A18&lt;Input!$H$50,IF($A18&lt;Input!$G$50,IF($A18&lt;Input!$F$50,IF($A18&lt;Input!$E$50,IF($A18&lt;Input!$D$50,Input!$C$51,Input!$D$51),Input!$E$51),Input!$F$51),Input!$G$51),Input!$H$51)</f>
        <v>0.9</v>
      </c>
      <c r="O18" s="60">
        <f t="shared" si="0"/>
        <v>14823000</v>
      </c>
      <c r="P18" s="60">
        <f t="shared" si="1"/>
        <v>30</v>
      </c>
      <c r="Q18" s="60">
        <f t="shared" si="2"/>
        <v>967671770</v>
      </c>
      <c r="R18" s="60">
        <f>ROUND(Q18*$P18*Input!$C$3/365,0)</f>
        <v>11930200</v>
      </c>
      <c r="S18" s="60">
        <f>IF(A18&lt;=Input!$C$6,0,IF('Unique Tenure'!O18&lt;'Unique Tenure'!Q18,'Unique Tenure'!O18-R18,'Unique Tenure'!Q18))</f>
        <v>2892800</v>
      </c>
      <c r="T18" s="60">
        <f t="shared" si="3"/>
        <v>14823000</v>
      </c>
      <c r="U18" s="60">
        <f t="shared" si="4"/>
        <v>964778970</v>
      </c>
      <c r="V18" s="193"/>
      <c r="W18" s="169">
        <v>14</v>
      </c>
      <c r="X18" s="1">
        <f t="shared" si="26"/>
        <v>45945</v>
      </c>
      <c r="Y18" s="60">
        <f>IF($X18&lt;Input!$H$58,IF($X18&lt;Input!$G$58,IF($X18&lt;Input!$F$58,IF($X18&lt;Input!$E$58,IF($X18&lt;Input!$D$58,Input!$C$64,Input!$D$64),Input!$E$64),Input!$F$64),Input!$G$64),Input!$H$64)</f>
        <v>0</v>
      </c>
      <c r="Z18" s="190">
        <f>IF($A18&lt;Input!$H$65,IF($A18&lt;Input!$G$65,IF($A18&lt;Input!$F$65,IF($A18&lt;Input!$E$65,IF($A18&lt;Input!$D$65,Input!$C$66,Input!$D$66),Input!$E$66),Input!$F$66),Input!$G$66),Input!$H$66)</f>
        <v>0.9</v>
      </c>
      <c r="AA18" s="60">
        <f t="shared" si="5"/>
        <v>0</v>
      </c>
      <c r="AB18" s="60">
        <f t="shared" si="27"/>
        <v>30</v>
      </c>
      <c r="AC18" s="60">
        <f t="shared" si="6"/>
        <v>0</v>
      </c>
      <c r="AD18" s="60">
        <f>ROUND(AC18*AB18*Input!$C$3/365,0)</f>
        <v>0</v>
      </c>
      <c r="AE18" s="61">
        <f>IF($A18&lt;=Input!$C$6,0,IF('Unique Tenure'!AA18&lt;'Unique Tenure'!AC18,'Unique Tenure'!AA18-AD18,'Unique Tenure'!AC18))</f>
        <v>0</v>
      </c>
      <c r="AF18" s="61">
        <f t="shared" si="7"/>
        <v>0</v>
      </c>
      <c r="AG18" s="60">
        <f t="shared" si="8"/>
        <v>0</v>
      </c>
      <c r="AH18" s="193"/>
      <c r="AI18" s="169">
        <v>14</v>
      </c>
      <c r="AJ18" s="1">
        <f t="shared" si="28"/>
        <v>45945</v>
      </c>
      <c r="AK18" s="60">
        <f>IF($X18&lt;Input!$H$73,IF($X18&lt;Input!$G$73,IF($X18&lt;Input!$F$73,IF($X18&lt;Input!$E$73,IF($X18&lt;Input!$D$73,Input!$C$79,Input!$D$79),Input!$E$79),Input!$F$79),Input!$G$79),Input!$H$79)</f>
        <v>0</v>
      </c>
      <c r="AL18" s="190">
        <f>IF($A18&lt;Input!$H$80,IF($A18&lt;Input!$G$80,IF($A18&lt;Input!$F$80,IF($A18&lt;Input!$E$80,IF($A18&lt;Input!$D$80,Input!$C$81,Input!$D$81),Input!$E$81),Input!$F$81),Input!$G$81),Input!$H$81)</f>
        <v>0.9</v>
      </c>
      <c r="AM18" s="60">
        <f t="shared" si="9"/>
        <v>0</v>
      </c>
      <c r="AN18" s="60">
        <f t="shared" si="29"/>
        <v>30</v>
      </c>
      <c r="AO18" s="60">
        <f t="shared" si="10"/>
        <v>0</v>
      </c>
      <c r="AP18" s="60">
        <f>ROUND(AO18*AN18*Input!$C$3/365,0)</f>
        <v>0</v>
      </c>
      <c r="AQ18" s="61">
        <f>IF($A18&lt;=Input!$C$6,0,IF('Unique Tenure'!AM18&lt;'Unique Tenure'!AO18,'Unique Tenure'!AM18-AP18,'Unique Tenure'!AO18))</f>
        <v>0</v>
      </c>
      <c r="AR18" s="61">
        <f t="shared" si="11"/>
        <v>0</v>
      </c>
      <c r="AS18" s="60">
        <f t="shared" si="12"/>
        <v>0</v>
      </c>
      <c r="AT18" s="193"/>
      <c r="AU18" s="169">
        <v>14</v>
      </c>
      <c r="AV18" s="1">
        <f t="shared" si="30"/>
        <v>45945</v>
      </c>
      <c r="AW18" s="60">
        <f>IF($X18&lt;Input!$H$88,IF($X18&lt;Input!$G$88,IF($X18&lt;Input!$F$88,IF($X18&lt;Input!$E$88,IF($X18&lt;Input!$D$88,Input!$C$94,Input!$D$94),Input!$E$94),Input!$F$94),Input!$G$94),Input!$H$94)</f>
        <v>0</v>
      </c>
      <c r="AX18" s="190">
        <f>IF($A18&lt;Input!$H$95,IF($A18&lt;Input!$G$95,IF($A18&lt;Input!$F$95,IF($A18&lt;Input!$E$95,IF($A18&lt;Input!$D$95,Input!$C$96,Input!$D$96),Input!$E$96),Input!$F$96),Input!$G$96),Input!$H$96)</f>
        <v>0.9</v>
      </c>
      <c r="AY18" s="60">
        <f t="shared" si="13"/>
        <v>0</v>
      </c>
      <c r="AZ18" s="60">
        <f t="shared" si="31"/>
        <v>30</v>
      </c>
      <c r="BA18" s="60">
        <f t="shared" si="14"/>
        <v>0</v>
      </c>
      <c r="BB18" s="60">
        <f>ROUND(BA18*AZ18*Input!$C$3/365,0)</f>
        <v>0</v>
      </c>
      <c r="BC18" s="61">
        <f>IF($A18&lt;=Input!$C$6,0,IF('Unique Tenure'!AY18&lt;'Unique Tenure'!BA18,'Unique Tenure'!AY18-BB18,'Unique Tenure'!BA18))</f>
        <v>0</v>
      </c>
      <c r="BD18" s="61">
        <f t="shared" si="15"/>
        <v>0</v>
      </c>
      <c r="BE18" s="60">
        <f t="shared" si="16"/>
        <v>0</v>
      </c>
      <c r="BF18" s="193"/>
      <c r="BG18" s="169">
        <v>14</v>
      </c>
      <c r="BH18" s="1">
        <f t="shared" si="32"/>
        <v>45945</v>
      </c>
      <c r="BI18" s="60">
        <f>IF($X18&lt;Input!$H$103,IF($X18&lt;Input!$G$103,IF($X18&lt;Input!$F$103,IF($X18&lt;Input!$E$103,IF($X18&lt;Input!$D$103,Input!$C$109,Input!$D$109),Input!$E$109),Input!$F$109),Input!$G$109),Input!$H$109)</f>
        <v>0</v>
      </c>
      <c r="BJ18" s="190">
        <f>IF($A18&lt;Input!$H$110,IF($A18&lt;Input!$G$110,IF($A18&lt;Input!$F$110,IF($A18&lt;Input!$E$110,IF($A18&lt;Input!$D$110,Input!$C$111,Input!$D$111),Input!$E$111),Input!$F$111),Input!$G$111),Input!$H$111)</f>
        <v>0.9</v>
      </c>
      <c r="BK18" s="60">
        <f t="shared" si="17"/>
        <v>0</v>
      </c>
      <c r="BL18" s="60">
        <f t="shared" si="33"/>
        <v>30</v>
      </c>
      <c r="BM18" s="60">
        <f t="shared" si="18"/>
        <v>0</v>
      </c>
      <c r="BN18" s="60">
        <f>ROUND(BM18*BL18*Input!$C$3/365,0)</f>
        <v>0</v>
      </c>
      <c r="BO18" s="61">
        <f>IF($A18&lt;=Input!$C$6,0,IF('Unique Tenure'!BK18&lt;'Unique Tenure'!BM18,'Unique Tenure'!BK18-BN18,'Unique Tenure'!BM18))</f>
        <v>0</v>
      </c>
      <c r="BP18" s="61">
        <f t="shared" si="19"/>
        <v>0</v>
      </c>
      <c r="BQ18" s="60">
        <f t="shared" si="20"/>
        <v>0</v>
      </c>
      <c r="BR18" s="198"/>
    </row>
    <row r="19" spans="1:70" s="51" customFormat="1" x14ac:dyDescent="0.25">
      <c r="A19" s="169">
        <v>15</v>
      </c>
      <c r="B19" s="1">
        <f t="shared" si="21"/>
        <v>45976</v>
      </c>
      <c r="C19" s="60">
        <f>SUM(
   IF(($A$4:$A$184 &lt;= Input!$D$16), M19, 0),
   IF(($A$4:$A$184 &lt;= Input!$E$16), Y19, 0),
   IF(($A$4:$A$184 &lt;= Input!$F$16), AK19, 0),
   IF(($A$4:$A$184 &lt;= Input!$G$16), AW19, 0),
   IF(($A$4:$A$184 &lt;= Input!$H$16), BI19, 0)
)</f>
        <v>16470000</v>
      </c>
      <c r="D19" s="60">
        <f>SUM(
   IF(($A$4:$A$184 &lt;= Input!$D$16), O19, 0),
   IF(($A$4:$A$184 &lt;= Input!$E$16), AA19, 0),
   IF(($A$4:$A$184 &lt;= Input!$F$16), AM19, 0),
   IF(($A$4:$A$184 &lt;= Input!$G$16), AY19, 0),
   IF(($A$4:$A$184 &lt;= Input!$H$16), BK19, 0)
)</f>
        <v>14823000</v>
      </c>
      <c r="E19" s="60">
        <f t="shared" si="22"/>
        <v>31</v>
      </c>
      <c r="F19" s="60">
        <f t="shared" si="23"/>
        <v>964778970</v>
      </c>
      <c r="G19" s="60">
        <f>ROUND(F19*E19*Input!$C$3/365,0)</f>
        <v>12291020</v>
      </c>
      <c r="H19" s="60">
        <f>IF($A19&lt;=Input!$C$6,0,IF('Unique Tenure'!D19&lt;'Unique Tenure'!F19,'Unique Tenure'!D19-G19,'Unique Tenure'!F19))</f>
        <v>2531980</v>
      </c>
      <c r="I19" s="60">
        <f t="shared" si="24"/>
        <v>14823000</v>
      </c>
      <c r="J19" s="60">
        <f t="shared" si="25"/>
        <v>962246990</v>
      </c>
      <c r="K19" s="202">
        <f>J19/Input!$K$5</f>
        <v>3.2074899666666665</v>
      </c>
      <c r="L19" s="232"/>
      <c r="M19" s="60">
        <f>IF($B19&lt;Input!$H$43,IF($B19&lt;Input!$G$43,IF($B19&lt;Input!$F$43,IF($B19&lt;Input!$E$43,IF($B19&lt;Input!$D$43,Input!$C$49,Input!$D$49),Input!$E$49),Input!$F$49),Input!$G$49),Input!$H$49)</f>
        <v>16470000</v>
      </c>
      <c r="N19" s="190">
        <f>IF($A19&lt;Input!$H$50,IF($A19&lt;Input!$G$50,IF($A19&lt;Input!$F$50,IF($A19&lt;Input!$E$50,IF($A19&lt;Input!$D$50,Input!$C$51,Input!$D$51),Input!$E$51),Input!$F$51),Input!$G$51),Input!$H$51)</f>
        <v>0.9</v>
      </c>
      <c r="O19" s="60">
        <f t="shared" si="0"/>
        <v>14823000</v>
      </c>
      <c r="P19" s="60">
        <f t="shared" si="1"/>
        <v>31</v>
      </c>
      <c r="Q19" s="60">
        <f t="shared" si="2"/>
        <v>964778970</v>
      </c>
      <c r="R19" s="60">
        <f>ROUND(Q19*$P19*Input!$C$3/365,0)</f>
        <v>12291020</v>
      </c>
      <c r="S19" s="60">
        <f>IF(A19&lt;=Input!$C$6,0,IF('Unique Tenure'!O19&lt;'Unique Tenure'!Q19,'Unique Tenure'!O19-R19,'Unique Tenure'!Q19))</f>
        <v>2531980</v>
      </c>
      <c r="T19" s="60">
        <f t="shared" si="3"/>
        <v>14823000</v>
      </c>
      <c r="U19" s="60">
        <f t="shared" si="4"/>
        <v>962246990</v>
      </c>
      <c r="V19" s="193"/>
      <c r="W19" s="169">
        <v>15</v>
      </c>
      <c r="X19" s="1">
        <f t="shared" si="26"/>
        <v>45976</v>
      </c>
      <c r="Y19" s="60">
        <f>IF($X19&lt;Input!$H$58,IF($X19&lt;Input!$G$58,IF($X19&lt;Input!$F$58,IF($X19&lt;Input!$E$58,IF($X19&lt;Input!$D$58,Input!$C$64,Input!$D$64),Input!$E$64),Input!$F$64),Input!$G$64),Input!$H$64)</f>
        <v>0</v>
      </c>
      <c r="Z19" s="190">
        <f>IF($A19&lt;Input!$H$65,IF($A19&lt;Input!$G$65,IF($A19&lt;Input!$F$65,IF($A19&lt;Input!$E$65,IF($A19&lt;Input!$D$65,Input!$C$66,Input!$D$66),Input!$E$66),Input!$F$66),Input!$G$66),Input!$H$66)</f>
        <v>0.9</v>
      </c>
      <c r="AA19" s="60">
        <f t="shared" si="5"/>
        <v>0</v>
      </c>
      <c r="AB19" s="60">
        <f t="shared" si="27"/>
        <v>31</v>
      </c>
      <c r="AC19" s="60">
        <f t="shared" si="6"/>
        <v>0</v>
      </c>
      <c r="AD19" s="60">
        <f>ROUND(AC19*AB19*Input!$C$3/365,0)</f>
        <v>0</v>
      </c>
      <c r="AE19" s="61">
        <f>IF($A19&lt;=Input!$C$6,0,IF('Unique Tenure'!AA19&lt;'Unique Tenure'!AC19,'Unique Tenure'!AA19-AD19,'Unique Tenure'!AC19))</f>
        <v>0</v>
      </c>
      <c r="AF19" s="61">
        <f t="shared" si="7"/>
        <v>0</v>
      </c>
      <c r="AG19" s="60">
        <f t="shared" si="8"/>
        <v>0</v>
      </c>
      <c r="AH19" s="193"/>
      <c r="AI19" s="169">
        <v>15</v>
      </c>
      <c r="AJ19" s="1">
        <f t="shared" si="28"/>
        <v>45976</v>
      </c>
      <c r="AK19" s="60">
        <f>IF($X19&lt;Input!$H$73,IF($X19&lt;Input!$G$73,IF($X19&lt;Input!$F$73,IF($X19&lt;Input!$E$73,IF($X19&lt;Input!$D$73,Input!$C$79,Input!$D$79),Input!$E$79),Input!$F$79),Input!$G$79),Input!$H$79)</f>
        <v>0</v>
      </c>
      <c r="AL19" s="190">
        <f>IF($A19&lt;Input!$H$80,IF($A19&lt;Input!$G$80,IF($A19&lt;Input!$F$80,IF($A19&lt;Input!$E$80,IF($A19&lt;Input!$D$80,Input!$C$81,Input!$D$81),Input!$E$81),Input!$F$81),Input!$G$81),Input!$H$81)</f>
        <v>0.9</v>
      </c>
      <c r="AM19" s="60">
        <f t="shared" si="9"/>
        <v>0</v>
      </c>
      <c r="AN19" s="60">
        <f t="shared" si="29"/>
        <v>31</v>
      </c>
      <c r="AO19" s="60">
        <f t="shared" si="10"/>
        <v>0</v>
      </c>
      <c r="AP19" s="60">
        <f>ROUND(AO19*AN19*Input!$C$3/365,0)</f>
        <v>0</v>
      </c>
      <c r="AQ19" s="61">
        <f>IF($A19&lt;=Input!$C$6,0,IF('Unique Tenure'!AM19&lt;'Unique Tenure'!AO19,'Unique Tenure'!AM19-AP19,'Unique Tenure'!AO19))</f>
        <v>0</v>
      </c>
      <c r="AR19" s="61">
        <f t="shared" si="11"/>
        <v>0</v>
      </c>
      <c r="AS19" s="60">
        <f t="shared" si="12"/>
        <v>0</v>
      </c>
      <c r="AT19" s="193"/>
      <c r="AU19" s="169">
        <v>15</v>
      </c>
      <c r="AV19" s="1">
        <f t="shared" si="30"/>
        <v>45976</v>
      </c>
      <c r="AW19" s="60">
        <f>IF($X19&lt;Input!$H$88,IF($X19&lt;Input!$G$88,IF($X19&lt;Input!$F$88,IF($X19&lt;Input!$E$88,IF($X19&lt;Input!$D$88,Input!$C$94,Input!$D$94),Input!$E$94),Input!$F$94),Input!$G$94),Input!$H$94)</f>
        <v>0</v>
      </c>
      <c r="AX19" s="190">
        <f>IF($A19&lt;Input!$H$95,IF($A19&lt;Input!$G$95,IF($A19&lt;Input!$F$95,IF($A19&lt;Input!$E$95,IF($A19&lt;Input!$D$95,Input!$C$96,Input!$D$96),Input!$E$96),Input!$F$96),Input!$G$96),Input!$H$96)</f>
        <v>0.9</v>
      </c>
      <c r="AY19" s="60">
        <f t="shared" si="13"/>
        <v>0</v>
      </c>
      <c r="AZ19" s="60">
        <f t="shared" si="31"/>
        <v>31</v>
      </c>
      <c r="BA19" s="60">
        <f t="shared" si="14"/>
        <v>0</v>
      </c>
      <c r="BB19" s="60">
        <f>ROUND(BA19*AZ19*Input!$C$3/365,0)</f>
        <v>0</v>
      </c>
      <c r="BC19" s="61">
        <f>IF($A19&lt;=Input!$C$6,0,IF('Unique Tenure'!AY19&lt;'Unique Tenure'!BA19,'Unique Tenure'!AY19-BB19,'Unique Tenure'!BA19))</f>
        <v>0</v>
      </c>
      <c r="BD19" s="61">
        <f t="shared" si="15"/>
        <v>0</v>
      </c>
      <c r="BE19" s="60">
        <f t="shared" si="16"/>
        <v>0</v>
      </c>
      <c r="BF19" s="193"/>
      <c r="BG19" s="169">
        <v>15</v>
      </c>
      <c r="BH19" s="1">
        <f t="shared" si="32"/>
        <v>45976</v>
      </c>
      <c r="BI19" s="60">
        <f>IF($X19&lt;Input!$H$103,IF($X19&lt;Input!$G$103,IF($X19&lt;Input!$F$103,IF($X19&lt;Input!$E$103,IF($X19&lt;Input!$D$103,Input!$C$109,Input!$D$109),Input!$E$109),Input!$F$109),Input!$G$109),Input!$H$109)</f>
        <v>0</v>
      </c>
      <c r="BJ19" s="190">
        <f>IF($A19&lt;Input!$H$110,IF($A19&lt;Input!$G$110,IF($A19&lt;Input!$F$110,IF($A19&lt;Input!$E$110,IF($A19&lt;Input!$D$110,Input!$C$111,Input!$D$111),Input!$E$111),Input!$F$111),Input!$G$111),Input!$H$111)</f>
        <v>0.9</v>
      </c>
      <c r="BK19" s="60">
        <f t="shared" si="17"/>
        <v>0</v>
      </c>
      <c r="BL19" s="60">
        <f t="shared" si="33"/>
        <v>31</v>
      </c>
      <c r="BM19" s="60">
        <f t="shared" si="18"/>
        <v>0</v>
      </c>
      <c r="BN19" s="60">
        <f>ROUND(BM19*BL19*Input!$C$3/365,0)</f>
        <v>0</v>
      </c>
      <c r="BO19" s="61">
        <f>IF($A19&lt;=Input!$C$6,0,IF('Unique Tenure'!BK19&lt;'Unique Tenure'!BM19,'Unique Tenure'!BK19-BN19,'Unique Tenure'!BM19))</f>
        <v>0</v>
      </c>
      <c r="BP19" s="61">
        <f t="shared" si="19"/>
        <v>0</v>
      </c>
      <c r="BQ19" s="60">
        <f t="shared" si="20"/>
        <v>0</v>
      </c>
      <c r="BR19" s="198"/>
    </row>
    <row r="20" spans="1:70" s="51" customFormat="1" x14ac:dyDescent="0.25">
      <c r="A20" s="169">
        <v>16</v>
      </c>
      <c r="B20" s="1">
        <f t="shared" si="21"/>
        <v>46006</v>
      </c>
      <c r="C20" s="60">
        <f>SUM(
   IF(($A$4:$A$184 &lt;= Input!$D$16), M20, 0),
   IF(($A$4:$A$184 &lt;= Input!$E$16), Y20, 0),
   IF(($A$4:$A$184 &lt;= Input!$F$16), AK20, 0),
   IF(($A$4:$A$184 &lt;= Input!$G$16), AW20, 0),
   IF(($A$4:$A$184 &lt;= Input!$H$16), BI20, 0)
)</f>
        <v>16470000</v>
      </c>
      <c r="D20" s="60">
        <f>SUM(
   IF(($A$4:$A$184 &lt;= Input!$D$16), O20, 0),
   IF(($A$4:$A$184 &lt;= Input!$E$16), AA20, 0),
   IF(($A$4:$A$184 &lt;= Input!$F$16), AM20, 0),
   IF(($A$4:$A$184 &lt;= Input!$G$16), AY20, 0),
   IF(($A$4:$A$184 &lt;= Input!$H$16), BK20, 0)
)</f>
        <v>14823000</v>
      </c>
      <c r="E20" s="60">
        <f t="shared" si="22"/>
        <v>30</v>
      </c>
      <c r="F20" s="60">
        <f t="shared" si="23"/>
        <v>962246990</v>
      </c>
      <c r="G20" s="60">
        <f>ROUND(F20*E20*Input!$C$3/365,0)</f>
        <v>11863319</v>
      </c>
      <c r="H20" s="60">
        <f>IF($A20&lt;=Input!$C$6,0,IF('Unique Tenure'!D20&lt;'Unique Tenure'!F20,'Unique Tenure'!D20-G20,'Unique Tenure'!F20))</f>
        <v>2959681</v>
      </c>
      <c r="I20" s="60">
        <f t="shared" si="24"/>
        <v>14823000</v>
      </c>
      <c r="J20" s="60">
        <f t="shared" si="25"/>
        <v>959287309</v>
      </c>
      <c r="K20" s="202">
        <f>J20/Input!$K$5</f>
        <v>3.1976243633333334</v>
      </c>
      <c r="L20" s="232"/>
      <c r="M20" s="60">
        <f>IF($B20&lt;Input!$H$43,IF($B20&lt;Input!$G$43,IF($B20&lt;Input!$F$43,IF($B20&lt;Input!$E$43,IF($B20&lt;Input!$D$43,Input!$C$49,Input!$D$49),Input!$E$49),Input!$F$49),Input!$G$49),Input!$H$49)</f>
        <v>16470000</v>
      </c>
      <c r="N20" s="190">
        <f>IF($A20&lt;Input!$H$50,IF($A20&lt;Input!$G$50,IF($A20&lt;Input!$F$50,IF($A20&lt;Input!$E$50,IF($A20&lt;Input!$D$50,Input!$C$51,Input!$D$51),Input!$E$51),Input!$F$51),Input!$G$51),Input!$H$51)</f>
        <v>0.9</v>
      </c>
      <c r="O20" s="60">
        <f t="shared" si="0"/>
        <v>14823000</v>
      </c>
      <c r="P20" s="60">
        <f t="shared" si="1"/>
        <v>30</v>
      </c>
      <c r="Q20" s="60">
        <f t="shared" si="2"/>
        <v>962246990</v>
      </c>
      <c r="R20" s="60">
        <f>ROUND(Q20*$P20*Input!$C$3/365,0)</f>
        <v>11863319</v>
      </c>
      <c r="S20" s="60">
        <f>IF(A20&lt;=Input!$C$6,0,IF('Unique Tenure'!O20&lt;'Unique Tenure'!Q20,'Unique Tenure'!O20-R20,'Unique Tenure'!Q20))</f>
        <v>2959681</v>
      </c>
      <c r="T20" s="60">
        <f t="shared" si="3"/>
        <v>14823000</v>
      </c>
      <c r="U20" s="60">
        <f t="shared" si="4"/>
        <v>959287309</v>
      </c>
      <c r="V20" s="193"/>
      <c r="W20" s="169">
        <v>16</v>
      </c>
      <c r="X20" s="1">
        <f t="shared" si="26"/>
        <v>46006</v>
      </c>
      <c r="Y20" s="60">
        <f>IF($X20&lt;Input!$H$58,IF($X20&lt;Input!$G$58,IF($X20&lt;Input!$F$58,IF($X20&lt;Input!$E$58,IF($X20&lt;Input!$D$58,Input!$C$64,Input!$D$64),Input!$E$64),Input!$F$64),Input!$G$64),Input!$H$64)</f>
        <v>0</v>
      </c>
      <c r="Z20" s="190">
        <f>IF($A20&lt;Input!$H$65,IF($A20&lt;Input!$G$65,IF($A20&lt;Input!$F$65,IF($A20&lt;Input!$E$65,IF($A20&lt;Input!$D$65,Input!$C$66,Input!$D$66),Input!$E$66),Input!$F$66),Input!$G$66),Input!$H$66)</f>
        <v>0.9</v>
      </c>
      <c r="AA20" s="60">
        <f t="shared" si="5"/>
        <v>0</v>
      </c>
      <c r="AB20" s="60">
        <f t="shared" si="27"/>
        <v>30</v>
      </c>
      <c r="AC20" s="60">
        <f t="shared" si="6"/>
        <v>0</v>
      </c>
      <c r="AD20" s="60">
        <f>ROUND(AC20*AB20*Input!$C$3/365,0)</f>
        <v>0</v>
      </c>
      <c r="AE20" s="61">
        <f>IF($A20&lt;=Input!$C$6,0,IF('Unique Tenure'!AA20&lt;'Unique Tenure'!AC20,'Unique Tenure'!AA20-AD20,'Unique Tenure'!AC20))</f>
        <v>0</v>
      </c>
      <c r="AF20" s="61">
        <f t="shared" si="7"/>
        <v>0</v>
      </c>
      <c r="AG20" s="60">
        <f t="shared" si="8"/>
        <v>0</v>
      </c>
      <c r="AH20" s="193"/>
      <c r="AI20" s="169">
        <v>16</v>
      </c>
      <c r="AJ20" s="1">
        <f t="shared" si="28"/>
        <v>46006</v>
      </c>
      <c r="AK20" s="60">
        <f>IF($X20&lt;Input!$H$73,IF($X20&lt;Input!$G$73,IF($X20&lt;Input!$F$73,IF($X20&lt;Input!$E$73,IF($X20&lt;Input!$D$73,Input!$C$79,Input!$D$79),Input!$E$79),Input!$F$79),Input!$G$79),Input!$H$79)</f>
        <v>0</v>
      </c>
      <c r="AL20" s="190">
        <f>IF($A20&lt;Input!$H$80,IF($A20&lt;Input!$G$80,IF($A20&lt;Input!$F$80,IF($A20&lt;Input!$E$80,IF($A20&lt;Input!$D$80,Input!$C$81,Input!$D$81),Input!$E$81),Input!$F$81),Input!$G$81),Input!$H$81)</f>
        <v>0.9</v>
      </c>
      <c r="AM20" s="60">
        <f t="shared" si="9"/>
        <v>0</v>
      </c>
      <c r="AN20" s="60">
        <f t="shared" si="29"/>
        <v>30</v>
      </c>
      <c r="AO20" s="60">
        <f t="shared" si="10"/>
        <v>0</v>
      </c>
      <c r="AP20" s="60">
        <f>ROUND(AO20*AN20*Input!$C$3/365,0)</f>
        <v>0</v>
      </c>
      <c r="AQ20" s="61">
        <f>IF($A20&lt;=Input!$C$6,0,IF('Unique Tenure'!AM20&lt;'Unique Tenure'!AO20,'Unique Tenure'!AM20-AP20,'Unique Tenure'!AO20))</f>
        <v>0</v>
      </c>
      <c r="AR20" s="61">
        <f t="shared" si="11"/>
        <v>0</v>
      </c>
      <c r="AS20" s="60">
        <f t="shared" si="12"/>
        <v>0</v>
      </c>
      <c r="AT20" s="193"/>
      <c r="AU20" s="169">
        <v>16</v>
      </c>
      <c r="AV20" s="1">
        <f t="shared" si="30"/>
        <v>46006</v>
      </c>
      <c r="AW20" s="60">
        <f>IF($X20&lt;Input!$H$88,IF($X20&lt;Input!$G$88,IF($X20&lt;Input!$F$88,IF($X20&lt;Input!$E$88,IF($X20&lt;Input!$D$88,Input!$C$94,Input!$D$94),Input!$E$94),Input!$F$94),Input!$G$94),Input!$H$94)</f>
        <v>0</v>
      </c>
      <c r="AX20" s="190">
        <f>IF($A20&lt;Input!$H$95,IF($A20&lt;Input!$G$95,IF($A20&lt;Input!$F$95,IF($A20&lt;Input!$E$95,IF($A20&lt;Input!$D$95,Input!$C$96,Input!$D$96),Input!$E$96),Input!$F$96),Input!$G$96),Input!$H$96)</f>
        <v>0.9</v>
      </c>
      <c r="AY20" s="60">
        <f t="shared" si="13"/>
        <v>0</v>
      </c>
      <c r="AZ20" s="60">
        <f t="shared" si="31"/>
        <v>30</v>
      </c>
      <c r="BA20" s="60">
        <f t="shared" si="14"/>
        <v>0</v>
      </c>
      <c r="BB20" s="60">
        <f>ROUND(BA20*AZ20*Input!$C$3/365,0)</f>
        <v>0</v>
      </c>
      <c r="BC20" s="61">
        <f>IF($A20&lt;=Input!$C$6,0,IF('Unique Tenure'!AY20&lt;'Unique Tenure'!BA20,'Unique Tenure'!AY20-BB20,'Unique Tenure'!BA20))</f>
        <v>0</v>
      </c>
      <c r="BD20" s="61">
        <f t="shared" si="15"/>
        <v>0</v>
      </c>
      <c r="BE20" s="60">
        <f t="shared" si="16"/>
        <v>0</v>
      </c>
      <c r="BF20" s="193"/>
      <c r="BG20" s="169">
        <v>16</v>
      </c>
      <c r="BH20" s="1">
        <f t="shared" si="32"/>
        <v>46006</v>
      </c>
      <c r="BI20" s="60">
        <f>IF($X20&lt;Input!$H$103,IF($X20&lt;Input!$G$103,IF($X20&lt;Input!$F$103,IF($X20&lt;Input!$E$103,IF($X20&lt;Input!$D$103,Input!$C$109,Input!$D$109),Input!$E$109),Input!$F$109),Input!$G$109),Input!$H$109)</f>
        <v>0</v>
      </c>
      <c r="BJ20" s="190">
        <f>IF($A20&lt;Input!$H$110,IF($A20&lt;Input!$G$110,IF($A20&lt;Input!$F$110,IF($A20&lt;Input!$E$110,IF($A20&lt;Input!$D$110,Input!$C$111,Input!$D$111),Input!$E$111),Input!$F$111),Input!$G$111),Input!$H$111)</f>
        <v>0.9</v>
      </c>
      <c r="BK20" s="60">
        <f t="shared" si="17"/>
        <v>0</v>
      </c>
      <c r="BL20" s="60">
        <f t="shared" si="33"/>
        <v>30</v>
      </c>
      <c r="BM20" s="60">
        <f t="shared" si="18"/>
        <v>0</v>
      </c>
      <c r="BN20" s="60">
        <f>ROUND(BM20*BL20*Input!$C$3/365,0)</f>
        <v>0</v>
      </c>
      <c r="BO20" s="61">
        <f>IF($A20&lt;=Input!$C$6,0,IF('Unique Tenure'!BK20&lt;'Unique Tenure'!BM20,'Unique Tenure'!BK20-BN20,'Unique Tenure'!BM20))</f>
        <v>0</v>
      </c>
      <c r="BP20" s="61">
        <f t="shared" si="19"/>
        <v>0</v>
      </c>
      <c r="BQ20" s="60">
        <f t="shared" si="20"/>
        <v>0</v>
      </c>
      <c r="BR20" s="198"/>
    </row>
    <row r="21" spans="1:70" s="51" customFormat="1" x14ac:dyDescent="0.25">
      <c r="A21" s="169">
        <v>17</v>
      </c>
      <c r="B21" s="1">
        <f t="shared" si="21"/>
        <v>46037</v>
      </c>
      <c r="C21" s="60">
        <f>SUM(
   IF(($A$4:$A$184 &lt;= Input!$D$16), M21, 0),
   IF(($A$4:$A$184 &lt;= Input!$E$16), Y21, 0),
   IF(($A$4:$A$184 &lt;= Input!$F$16), AK21, 0),
   IF(($A$4:$A$184 &lt;= Input!$G$16), AW21, 0),
   IF(($A$4:$A$184 &lt;= Input!$H$16), BI21, 0)
)</f>
        <v>16470000</v>
      </c>
      <c r="D21" s="60">
        <f>SUM(
   IF(($A$4:$A$184 &lt;= Input!$D$16), O21, 0),
   IF(($A$4:$A$184 &lt;= Input!$E$16), AA21, 0),
   IF(($A$4:$A$184 &lt;= Input!$F$16), AM21, 0),
   IF(($A$4:$A$184 &lt;= Input!$G$16), AY21, 0),
   IF(($A$4:$A$184 &lt;= Input!$H$16), BK21, 0)
)</f>
        <v>14823000</v>
      </c>
      <c r="E21" s="60">
        <f t="shared" si="22"/>
        <v>31</v>
      </c>
      <c r="F21" s="60">
        <f t="shared" si="23"/>
        <v>959287309</v>
      </c>
      <c r="G21" s="60">
        <f>ROUND(F21*E21*Input!$C$3/365,0)</f>
        <v>12221057</v>
      </c>
      <c r="H21" s="60">
        <f>IF($A21&lt;=Input!$C$6,0,IF('Unique Tenure'!D21&lt;'Unique Tenure'!F21,'Unique Tenure'!D21-G21,'Unique Tenure'!F21))</f>
        <v>2601943</v>
      </c>
      <c r="I21" s="60">
        <f t="shared" si="24"/>
        <v>14823000</v>
      </c>
      <c r="J21" s="60">
        <f t="shared" si="25"/>
        <v>956685366</v>
      </c>
      <c r="K21" s="202">
        <f>J21/Input!$K$5</f>
        <v>3.1889512199999999</v>
      </c>
      <c r="L21" s="232"/>
      <c r="M21" s="60">
        <f>IF($B21&lt;Input!$H$43,IF($B21&lt;Input!$G$43,IF($B21&lt;Input!$F$43,IF($B21&lt;Input!$E$43,IF($B21&lt;Input!$D$43,Input!$C$49,Input!$D$49),Input!$E$49),Input!$F$49),Input!$G$49),Input!$H$49)</f>
        <v>16470000</v>
      </c>
      <c r="N21" s="190">
        <f>IF($A21&lt;Input!$H$50,IF($A21&lt;Input!$G$50,IF($A21&lt;Input!$F$50,IF($A21&lt;Input!$E$50,IF($A21&lt;Input!$D$50,Input!$C$51,Input!$D$51),Input!$E$51),Input!$F$51),Input!$G$51),Input!$H$51)</f>
        <v>0.9</v>
      </c>
      <c r="O21" s="60">
        <f t="shared" si="0"/>
        <v>14823000</v>
      </c>
      <c r="P21" s="60">
        <f t="shared" si="1"/>
        <v>31</v>
      </c>
      <c r="Q21" s="60">
        <f t="shared" si="2"/>
        <v>959287309</v>
      </c>
      <c r="R21" s="60">
        <f>ROUND(Q21*$P21*Input!$C$3/365,0)</f>
        <v>12221057</v>
      </c>
      <c r="S21" s="60">
        <f>IF(A21&lt;=Input!$C$6,0,IF('Unique Tenure'!O21&lt;'Unique Tenure'!Q21,'Unique Tenure'!O21-R21,'Unique Tenure'!Q21))</f>
        <v>2601943</v>
      </c>
      <c r="T21" s="60">
        <f t="shared" si="3"/>
        <v>14823000</v>
      </c>
      <c r="U21" s="60">
        <f t="shared" si="4"/>
        <v>956685366</v>
      </c>
      <c r="V21" s="193"/>
      <c r="W21" s="169">
        <v>17</v>
      </c>
      <c r="X21" s="1">
        <f t="shared" si="26"/>
        <v>46037</v>
      </c>
      <c r="Y21" s="60">
        <f>IF($X21&lt;Input!$H$58,IF($X21&lt;Input!$G$58,IF($X21&lt;Input!$F$58,IF($X21&lt;Input!$E$58,IF($X21&lt;Input!$D$58,Input!$C$64,Input!$D$64),Input!$E$64),Input!$F$64),Input!$G$64),Input!$H$64)</f>
        <v>0</v>
      </c>
      <c r="Z21" s="190">
        <f>IF($A21&lt;Input!$H$65,IF($A21&lt;Input!$G$65,IF($A21&lt;Input!$F$65,IF($A21&lt;Input!$E$65,IF($A21&lt;Input!$D$65,Input!$C$66,Input!$D$66),Input!$E$66),Input!$F$66),Input!$G$66),Input!$H$66)</f>
        <v>0.9</v>
      </c>
      <c r="AA21" s="60">
        <f t="shared" si="5"/>
        <v>0</v>
      </c>
      <c r="AB21" s="60">
        <f t="shared" si="27"/>
        <v>31</v>
      </c>
      <c r="AC21" s="60">
        <f t="shared" si="6"/>
        <v>0</v>
      </c>
      <c r="AD21" s="60">
        <f>ROUND(AC21*AB21*Input!$C$3/365,0)</f>
        <v>0</v>
      </c>
      <c r="AE21" s="61">
        <f>IF($A21&lt;=Input!$C$6,0,IF('Unique Tenure'!AA21&lt;'Unique Tenure'!AC21,'Unique Tenure'!AA21-AD21,'Unique Tenure'!AC21))</f>
        <v>0</v>
      </c>
      <c r="AF21" s="61">
        <f t="shared" si="7"/>
        <v>0</v>
      </c>
      <c r="AG21" s="60">
        <f t="shared" si="8"/>
        <v>0</v>
      </c>
      <c r="AH21" s="193"/>
      <c r="AI21" s="169">
        <v>17</v>
      </c>
      <c r="AJ21" s="1">
        <f t="shared" si="28"/>
        <v>46037</v>
      </c>
      <c r="AK21" s="60">
        <f>IF($X21&lt;Input!$H$73,IF($X21&lt;Input!$G$73,IF($X21&lt;Input!$F$73,IF($X21&lt;Input!$E$73,IF($X21&lt;Input!$D$73,Input!$C$79,Input!$D$79),Input!$E$79),Input!$F$79),Input!$G$79),Input!$H$79)</f>
        <v>0</v>
      </c>
      <c r="AL21" s="190">
        <f>IF($A21&lt;Input!$H$80,IF($A21&lt;Input!$G$80,IF($A21&lt;Input!$F$80,IF($A21&lt;Input!$E$80,IF($A21&lt;Input!$D$80,Input!$C$81,Input!$D$81),Input!$E$81),Input!$F$81),Input!$G$81),Input!$H$81)</f>
        <v>0.9</v>
      </c>
      <c r="AM21" s="60">
        <f t="shared" si="9"/>
        <v>0</v>
      </c>
      <c r="AN21" s="60">
        <f t="shared" si="29"/>
        <v>31</v>
      </c>
      <c r="AO21" s="60">
        <f t="shared" si="10"/>
        <v>0</v>
      </c>
      <c r="AP21" s="60">
        <f>ROUND(AO21*AN21*Input!$C$3/365,0)</f>
        <v>0</v>
      </c>
      <c r="AQ21" s="61">
        <f>IF($A21&lt;=Input!$C$6,0,IF('Unique Tenure'!AM21&lt;'Unique Tenure'!AO21,'Unique Tenure'!AM21-AP21,'Unique Tenure'!AO21))</f>
        <v>0</v>
      </c>
      <c r="AR21" s="61">
        <f t="shared" si="11"/>
        <v>0</v>
      </c>
      <c r="AS21" s="60">
        <f t="shared" si="12"/>
        <v>0</v>
      </c>
      <c r="AT21" s="193"/>
      <c r="AU21" s="169">
        <v>17</v>
      </c>
      <c r="AV21" s="1">
        <f t="shared" si="30"/>
        <v>46037</v>
      </c>
      <c r="AW21" s="60">
        <f>IF($X21&lt;Input!$H$88,IF($X21&lt;Input!$G$88,IF($X21&lt;Input!$F$88,IF($X21&lt;Input!$E$88,IF($X21&lt;Input!$D$88,Input!$C$94,Input!$D$94),Input!$E$94),Input!$F$94),Input!$G$94),Input!$H$94)</f>
        <v>0</v>
      </c>
      <c r="AX21" s="190">
        <f>IF($A21&lt;Input!$H$95,IF($A21&lt;Input!$G$95,IF($A21&lt;Input!$F$95,IF($A21&lt;Input!$E$95,IF($A21&lt;Input!$D$95,Input!$C$96,Input!$D$96),Input!$E$96),Input!$F$96),Input!$G$96),Input!$H$96)</f>
        <v>0.9</v>
      </c>
      <c r="AY21" s="60">
        <f t="shared" si="13"/>
        <v>0</v>
      </c>
      <c r="AZ21" s="60">
        <f t="shared" si="31"/>
        <v>31</v>
      </c>
      <c r="BA21" s="60">
        <f t="shared" si="14"/>
        <v>0</v>
      </c>
      <c r="BB21" s="60">
        <f>ROUND(BA21*AZ21*Input!$C$3/365,0)</f>
        <v>0</v>
      </c>
      <c r="BC21" s="61">
        <f>IF($A21&lt;=Input!$C$6,0,IF('Unique Tenure'!AY21&lt;'Unique Tenure'!BA21,'Unique Tenure'!AY21-BB21,'Unique Tenure'!BA21))</f>
        <v>0</v>
      </c>
      <c r="BD21" s="61">
        <f t="shared" si="15"/>
        <v>0</v>
      </c>
      <c r="BE21" s="60">
        <f t="shared" si="16"/>
        <v>0</v>
      </c>
      <c r="BF21" s="193"/>
      <c r="BG21" s="169">
        <v>17</v>
      </c>
      <c r="BH21" s="1">
        <f t="shared" si="32"/>
        <v>46037</v>
      </c>
      <c r="BI21" s="60">
        <f>IF($X21&lt;Input!$H$103,IF($X21&lt;Input!$G$103,IF($X21&lt;Input!$F$103,IF($X21&lt;Input!$E$103,IF($X21&lt;Input!$D$103,Input!$C$109,Input!$D$109),Input!$E$109),Input!$F$109),Input!$G$109),Input!$H$109)</f>
        <v>0</v>
      </c>
      <c r="BJ21" s="190">
        <f>IF($A21&lt;Input!$H$110,IF($A21&lt;Input!$G$110,IF($A21&lt;Input!$F$110,IF($A21&lt;Input!$E$110,IF($A21&lt;Input!$D$110,Input!$C$111,Input!$D$111),Input!$E$111),Input!$F$111),Input!$G$111),Input!$H$111)</f>
        <v>0.9</v>
      </c>
      <c r="BK21" s="60">
        <f t="shared" si="17"/>
        <v>0</v>
      </c>
      <c r="BL21" s="60">
        <f t="shared" si="33"/>
        <v>31</v>
      </c>
      <c r="BM21" s="60">
        <f t="shared" si="18"/>
        <v>0</v>
      </c>
      <c r="BN21" s="60">
        <f>ROUND(BM21*BL21*Input!$C$3/365,0)</f>
        <v>0</v>
      </c>
      <c r="BO21" s="61">
        <f>IF($A21&lt;=Input!$C$6,0,IF('Unique Tenure'!BK21&lt;'Unique Tenure'!BM21,'Unique Tenure'!BK21-BN21,'Unique Tenure'!BM21))</f>
        <v>0</v>
      </c>
      <c r="BP21" s="61">
        <f t="shared" si="19"/>
        <v>0</v>
      </c>
      <c r="BQ21" s="60">
        <f t="shared" si="20"/>
        <v>0</v>
      </c>
      <c r="BR21" s="198"/>
    </row>
    <row r="22" spans="1:70" s="51" customFormat="1" x14ac:dyDescent="0.25">
      <c r="A22" s="169">
        <v>18</v>
      </c>
      <c r="B22" s="1">
        <f t="shared" si="21"/>
        <v>46068</v>
      </c>
      <c r="C22" s="60">
        <f>SUM(
   IF(($A$4:$A$184 &lt;= Input!$D$16), M22, 0),
   IF(($A$4:$A$184 &lt;= Input!$E$16), Y22, 0),
   IF(($A$4:$A$184 &lt;= Input!$F$16), AK22, 0),
   IF(($A$4:$A$184 &lt;= Input!$G$16), AW22, 0),
   IF(($A$4:$A$184 &lt;= Input!$H$16), BI22, 0)
)</f>
        <v>16470000</v>
      </c>
      <c r="D22" s="60">
        <f>SUM(
   IF(($A$4:$A$184 &lt;= Input!$D$16), O22, 0),
   IF(($A$4:$A$184 &lt;= Input!$E$16), AA22, 0),
   IF(($A$4:$A$184 &lt;= Input!$F$16), AM22, 0),
   IF(($A$4:$A$184 &lt;= Input!$G$16), AY22, 0),
   IF(($A$4:$A$184 &lt;= Input!$H$16), BK22, 0)
)</f>
        <v>14823000</v>
      </c>
      <c r="E22" s="60">
        <f t="shared" si="22"/>
        <v>31</v>
      </c>
      <c r="F22" s="60">
        <f t="shared" si="23"/>
        <v>956685366</v>
      </c>
      <c r="G22" s="60">
        <f>ROUND(F22*E22*Input!$C$3/365,0)</f>
        <v>12187909</v>
      </c>
      <c r="H22" s="60">
        <f>IF($A22&lt;=Input!$C$6,0,IF('Unique Tenure'!D22&lt;'Unique Tenure'!F22,'Unique Tenure'!D22-G22,'Unique Tenure'!F22))</f>
        <v>2635091</v>
      </c>
      <c r="I22" s="60">
        <f t="shared" si="24"/>
        <v>14823000</v>
      </c>
      <c r="J22" s="60">
        <f t="shared" si="25"/>
        <v>954050275</v>
      </c>
      <c r="K22" s="202">
        <f>J22/Input!$K$5</f>
        <v>3.1801675833333332</v>
      </c>
      <c r="L22" s="232"/>
      <c r="M22" s="60">
        <f>IF($B22&lt;Input!$H$43,IF($B22&lt;Input!$G$43,IF($B22&lt;Input!$F$43,IF($B22&lt;Input!$E$43,IF($B22&lt;Input!$D$43,Input!$C$49,Input!$D$49),Input!$E$49),Input!$F$49),Input!$G$49),Input!$H$49)</f>
        <v>16470000</v>
      </c>
      <c r="N22" s="190">
        <f>IF($A22&lt;Input!$H$50,IF($A22&lt;Input!$G$50,IF($A22&lt;Input!$F$50,IF($A22&lt;Input!$E$50,IF($A22&lt;Input!$D$50,Input!$C$51,Input!$D$51),Input!$E$51),Input!$F$51),Input!$G$51),Input!$H$51)</f>
        <v>0.9</v>
      </c>
      <c r="O22" s="60">
        <f t="shared" si="0"/>
        <v>14823000</v>
      </c>
      <c r="P22" s="60">
        <f t="shared" si="1"/>
        <v>31</v>
      </c>
      <c r="Q22" s="60">
        <f t="shared" si="2"/>
        <v>956685366</v>
      </c>
      <c r="R22" s="60">
        <f>ROUND(Q22*$P22*Input!$C$3/365,0)</f>
        <v>12187909</v>
      </c>
      <c r="S22" s="60">
        <f>IF(A22&lt;=Input!$C$6,0,IF('Unique Tenure'!O22&lt;'Unique Tenure'!Q22,'Unique Tenure'!O22-R22,'Unique Tenure'!Q22))</f>
        <v>2635091</v>
      </c>
      <c r="T22" s="60">
        <f t="shared" si="3"/>
        <v>14823000</v>
      </c>
      <c r="U22" s="60">
        <f t="shared" si="4"/>
        <v>954050275</v>
      </c>
      <c r="V22" s="193"/>
      <c r="W22" s="169">
        <v>18</v>
      </c>
      <c r="X22" s="1">
        <f t="shared" si="26"/>
        <v>46068</v>
      </c>
      <c r="Y22" s="60">
        <f>IF($X22&lt;Input!$H$58,IF($X22&lt;Input!$G$58,IF($X22&lt;Input!$F$58,IF($X22&lt;Input!$E$58,IF($X22&lt;Input!$D$58,Input!$C$64,Input!$D$64),Input!$E$64),Input!$F$64),Input!$G$64),Input!$H$64)</f>
        <v>0</v>
      </c>
      <c r="Z22" s="190">
        <f>IF($A22&lt;Input!$H$65,IF($A22&lt;Input!$G$65,IF($A22&lt;Input!$F$65,IF($A22&lt;Input!$E$65,IF($A22&lt;Input!$D$65,Input!$C$66,Input!$D$66),Input!$E$66),Input!$F$66),Input!$G$66),Input!$H$66)</f>
        <v>0.9</v>
      </c>
      <c r="AA22" s="60">
        <f t="shared" si="5"/>
        <v>0</v>
      </c>
      <c r="AB22" s="60">
        <f t="shared" si="27"/>
        <v>31</v>
      </c>
      <c r="AC22" s="60">
        <f t="shared" si="6"/>
        <v>0</v>
      </c>
      <c r="AD22" s="60">
        <f>ROUND(AC22*AB22*Input!$C$3/365,0)</f>
        <v>0</v>
      </c>
      <c r="AE22" s="61">
        <f>IF($A22&lt;=Input!$C$6,0,IF('Unique Tenure'!AA22&lt;'Unique Tenure'!AC22,'Unique Tenure'!AA22-AD22,'Unique Tenure'!AC22))</f>
        <v>0</v>
      </c>
      <c r="AF22" s="61">
        <f t="shared" si="7"/>
        <v>0</v>
      </c>
      <c r="AG22" s="60">
        <f t="shared" si="8"/>
        <v>0</v>
      </c>
      <c r="AH22" s="193"/>
      <c r="AI22" s="169">
        <v>18</v>
      </c>
      <c r="AJ22" s="1">
        <f t="shared" si="28"/>
        <v>46068</v>
      </c>
      <c r="AK22" s="60">
        <f>IF($X22&lt;Input!$H$73,IF($X22&lt;Input!$G$73,IF($X22&lt;Input!$F$73,IF($X22&lt;Input!$E$73,IF($X22&lt;Input!$D$73,Input!$C$79,Input!$D$79),Input!$E$79),Input!$F$79),Input!$G$79),Input!$H$79)</f>
        <v>0</v>
      </c>
      <c r="AL22" s="190">
        <f>IF($A22&lt;Input!$H$80,IF($A22&lt;Input!$G$80,IF($A22&lt;Input!$F$80,IF($A22&lt;Input!$E$80,IF($A22&lt;Input!$D$80,Input!$C$81,Input!$D$81),Input!$E$81),Input!$F$81),Input!$G$81),Input!$H$81)</f>
        <v>0.9</v>
      </c>
      <c r="AM22" s="60">
        <f t="shared" si="9"/>
        <v>0</v>
      </c>
      <c r="AN22" s="60">
        <f t="shared" si="29"/>
        <v>31</v>
      </c>
      <c r="AO22" s="60">
        <f t="shared" si="10"/>
        <v>0</v>
      </c>
      <c r="AP22" s="60">
        <f>ROUND(AO22*AN22*Input!$C$3/365,0)</f>
        <v>0</v>
      </c>
      <c r="AQ22" s="61">
        <f>IF($A22&lt;=Input!$C$6,0,IF('Unique Tenure'!AM22&lt;'Unique Tenure'!AO22,'Unique Tenure'!AM22-AP22,'Unique Tenure'!AO22))</f>
        <v>0</v>
      </c>
      <c r="AR22" s="61">
        <f t="shared" si="11"/>
        <v>0</v>
      </c>
      <c r="AS22" s="60">
        <f t="shared" si="12"/>
        <v>0</v>
      </c>
      <c r="AT22" s="193"/>
      <c r="AU22" s="169">
        <v>18</v>
      </c>
      <c r="AV22" s="1">
        <f t="shared" si="30"/>
        <v>46068</v>
      </c>
      <c r="AW22" s="60">
        <f>IF($X22&lt;Input!$H$88,IF($X22&lt;Input!$G$88,IF($X22&lt;Input!$F$88,IF($X22&lt;Input!$E$88,IF($X22&lt;Input!$D$88,Input!$C$94,Input!$D$94),Input!$E$94),Input!$F$94),Input!$G$94),Input!$H$94)</f>
        <v>0</v>
      </c>
      <c r="AX22" s="190">
        <f>IF($A22&lt;Input!$H$95,IF($A22&lt;Input!$G$95,IF($A22&lt;Input!$F$95,IF($A22&lt;Input!$E$95,IF($A22&lt;Input!$D$95,Input!$C$96,Input!$D$96),Input!$E$96),Input!$F$96),Input!$G$96),Input!$H$96)</f>
        <v>0.9</v>
      </c>
      <c r="AY22" s="60">
        <f t="shared" si="13"/>
        <v>0</v>
      </c>
      <c r="AZ22" s="60">
        <f t="shared" si="31"/>
        <v>31</v>
      </c>
      <c r="BA22" s="60">
        <f t="shared" si="14"/>
        <v>0</v>
      </c>
      <c r="BB22" s="60">
        <f>ROUND(BA22*AZ22*Input!$C$3/365,0)</f>
        <v>0</v>
      </c>
      <c r="BC22" s="61">
        <f>IF($A22&lt;=Input!$C$6,0,IF('Unique Tenure'!AY22&lt;'Unique Tenure'!BA22,'Unique Tenure'!AY22-BB22,'Unique Tenure'!BA22))</f>
        <v>0</v>
      </c>
      <c r="BD22" s="61">
        <f t="shared" si="15"/>
        <v>0</v>
      </c>
      <c r="BE22" s="60">
        <f t="shared" si="16"/>
        <v>0</v>
      </c>
      <c r="BF22" s="193"/>
      <c r="BG22" s="169">
        <v>18</v>
      </c>
      <c r="BH22" s="1">
        <f t="shared" si="32"/>
        <v>46068</v>
      </c>
      <c r="BI22" s="60">
        <f>IF($X22&lt;Input!$H$103,IF($X22&lt;Input!$G$103,IF($X22&lt;Input!$F$103,IF($X22&lt;Input!$E$103,IF($X22&lt;Input!$D$103,Input!$C$109,Input!$D$109),Input!$E$109),Input!$F$109),Input!$G$109),Input!$H$109)</f>
        <v>0</v>
      </c>
      <c r="BJ22" s="190">
        <f>IF($A22&lt;Input!$H$110,IF($A22&lt;Input!$G$110,IF($A22&lt;Input!$F$110,IF($A22&lt;Input!$E$110,IF($A22&lt;Input!$D$110,Input!$C$111,Input!$D$111),Input!$E$111),Input!$F$111),Input!$G$111),Input!$H$111)</f>
        <v>0.9</v>
      </c>
      <c r="BK22" s="60">
        <f t="shared" si="17"/>
        <v>0</v>
      </c>
      <c r="BL22" s="60">
        <f t="shared" si="33"/>
        <v>31</v>
      </c>
      <c r="BM22" s="60">
        <f t="shared" si="18"/>
        <v>0</v>
      </c>
      <c r="BN22" s="60">
        <f>ROUND(BM22*BL22*Input!$C$3/365,0)</f>
        <v>0</v>
      </c>
      <c r="BO22" s="61">
        <f>IF($A22&lt;=Input!$C$6,0,IF('Unique Tenure'!BK22&lt;'Unique Tenure'!BM22,'Unique Tenure'!BK22-BN22,'Unique Tenure'!BM22))</f>
        <v>0</v>
      </c>
      <c r="BP22" s="61">
        <f t="shared" si="19"/>
        <v>0</v>
      </c>
      <c r="BQ22" s="60">
        <f t="shared" si="20"/>
        <v>0</v>
      </c>
      <c r="BR22" s="198"/>
    </row>
    <row r="23" spans="1:70" s="51" customFormat="1" x14ac:dyDescent="0.25">
      <c r="A23" s="169">
        <v>19</v>
      </c>
      <c r="B23" s="1">
        <f t="shared" si="21"/>
        <v>46096</v>
      </c>
      <c r="C23" s="60">
        <f>SUM(
   IF(($A$4:$A$184 &lt;= Input!$D$16), M23, 0),
   IF(($A$4:$A$184 &lt;= Input!$E$16), Y23, 0),
   IF(($A$4:$A$184 &lt;= Input!$F$16), AK23, 0),
   IF(($A$4:$A$184 &lt;= Input!$G$16), AW23, 0),
   IF(($A$4:$A$184 &lt;= Input!$H$16), BI23, 0)
)</f>
        <v>16470000</v>
      </c>
      <c r="D23" s="60">
        <f>SUM(
   IF(($A$4:$A$184 &lt;= Input!$D$16), O23, 0),
   IF(($A$4:$A$184 &lt;= Input!$E$16), AA23, 0),
   IF(($A$4:$A$184 &lt;= Input!$F$16), AM23, 0),
   IF(($A$4:$A$184 &lt;= Input!$G$16), AY23, 0),
   IF(($A$4:$A$184 &lt;= Input!$H$16), BK23, 0)
)</f>
        <v>14823000</v>
      </c>
      <c r="E23" s="60">
        <f t="shared" si="22"/>
        <v>28</v>
      </c>
      <c r="F23" s="60">
        <f t="shared" si="23"/>
        <v>954050275</v>
      </c>
      <c r="G23" s="60">
        <f>ROUND(F23*E23*Input!$C$3/365,0)</f>
        <v>10978113</v>
      </c>
      <c r="H23" s="60">
        <f>IF($A23&lt;=Input!$C$6,0,IF('Unique Tenure'!D23&lt;'Unique Tenure'!F23,'Unique Tenure'!D23-G23,'Unique Tenure'!F23))</f>
        <v>3844887</v>
      </c>
      <c r="I23" s="60">
        <f t="shared" si="24"/>
        <v>14823000</v>
      </c>
      <c r="J23" s="60">
        <f t="shared" si="25"/>
        <v>950205388</v>
      </c>
      <c r="K23" s="202">
        <f>J23/Input!$K$5</f>
        <v>3.1673512933333332</v>
      </c>
      <c r="L23" s="232"/>
      <c r="M23" s="60">
        <f>IF($B23&lt;Input!$H$43,IF($B23&lt;Input!$G$43,IF($B23&lt;Input!$F$43,IF($B23&lt;Input!$E$43,IF($B23&lt;Input!$D$43,Input!$C$49,Input!$D$49),Input!$E$49),Input!$F$49),Input!$G$49),Input!$H$49)</f>
        <v>16470000</v>
      </c>
      <c r="N23" s="190">
        <f>IF($A23&lt;Input!$H$50,IF($A23&lt;Input!$G$50,IF($A23&lt;Input!$F$50,IF($A23&lt;Input!$E$50,IF($A23&lt;Input!$D$50,Input!$C$51,Input!$D$51),Input!$E$51),Input!$F$51),Input!$G$51),Input!$H$51)</f>
        <v>0.9</v>
      </c>
      <c r="O23" s="60">
        <f t="shared" si="0"/>
        <v>14823000</v>
      </c>
      <c r="P23" s="60">
        <f t="shared" si="1"/>
        <v>28</v>
      </c>
      <c r="Q23" s="60">
        <f t="shared" si="2"/>
        <v>954050275</v>
      </c>
      <c r="R23" s="60">
        <f>ROUND(Q23*$P23*Input!$C$3/365,0)</f>
        <v>10978113</v>
      </c>
      <c r="S23" s="60">
        <f>IF(A23&lt;=Input!$C$6,0,IF('Unique Tenure'!O23&lt;'Unique Tenure'!Q23,'Unique Tenure'!O23-R23,'Unique Tenure'!Q23))</f>
        <v>3844887</v>
      </c>
      <c r="T23" s="60">
        <f t="shared" si="3"/>
        <v>14823000</v>
      </c>
      <c r="U23" s="60">
        <f t="shared" si="4"/>
        <v>950205388</v>
      </c>
      <c r="V23" s="193"/>
      <c r="W23" s="169">
        <v>19</v>
      </c>
      <c r="X23" s="1">
        <f t="shared" si="26"/>
        <v>46096</v>
      </c>
      <c r="Y23" s="60">
        <f>IF($X23&lt;Input!$H$58,IF($X23&lt;Input!$G$58,IF($X23&lt;Input!$F$58,IF($X23&lt;Input!$E$58,IF($X23&lt;Input!$D$58,Input!$C$64,Input!$D$64),Input!$E$64),Input!$F$64),Input!$G$64),Input!$H$64)</f>
        <v>0</v>
      </c>
      <c r="Z23" s="190">
        <f>IF($A23&lt;Input!$H$65,IF($A23&lt;Input!$G$65,IF($A23&lt;Input!$F$65,IF($A23&lt;Input!$E$65,IF($A23&lt;Input!$D$65,Input!$C$66,Input!$D$66),Input!$E$66),Input!$F$66),Input!$G$66),Input!$H$66)</f>
        <v>0.9</v>
      </c>
      <c r="AA23" s="60">
        <f t="shared" si="5"/>
        <v>0</v>
      </c>
      <c r="AB23" s="60">
        <f t="shared" si="27"/>
        <v>28</v>
      </c>
      <c r="AC23" s="60">
        <f t="shared" si="6"/>
        <v>0</v>
      </c>
      <c r="AD23" s="60">
        <f>ROUND(AC23*AB23*Input!$C$3/365,0)</f>
        <v>0</v>
      </c>
      <c r="AE23" s="61">
        <f>IF($A23&lt;=Input!$C$6,0,IF('Unique Tenure'!AA23&lt;'Unique Tenure'!AC23,'Unique Tenure'!AA23-AD23,'Unique Tenure'!AC23))</f>
        <v>0</v>
      </c>
      <c r="AF23" s="61">
        <f t="shared" si="7"/>
        <v>0</v>
      </c>
      <c r="AG23" s="60">
        <f t="shared" si="8"/>
        <v>0</v>
      </c>
      <c r="AH23" s="193"/>
      <c r="AI23" s="169">
        <v>19</v>
      </c>
      <c r="AJ23" s="1">
        <f t="shared" si="28"/>
        <v>46096</v>
      </c>
      <c r="AK23" s="60">
        <f>IF($X23&lt;Input!$H$73,IF($X23&lt;Input!$G$73,IF($X23&lt;Input!$F$73,IF($X23&lt;Input!$E$73,IF($X23&lt;Input!$D$73,Input!$C$79,Input!$D$79),Input!$E$79),Input!$F$79),Input!$G$79),Input!$H$79)</f>
        <v>0</v>
      </c>
      <c r="AL23" s="190">
        <f>IF($A23&lt;Input!$H$80,IF($A23&lt;Input!$G$80,IF($A23&lt;Input!$F$80,IF($A23&lt;Input!$E$80,IF($A23&lt;Input!$D$80,Input!$C$81,Input!$D$81),Input!$E$81),Input!$F$81),Input!$G$81),Input!$H$81)</f>
        <v>0.9</v>
      </c>
      <c r="AM23" s="60">
        <f t="shared" si="9"/>
        <v>0</v>
      </c>
      <c r="AN23" s="60">
        <f t="shared" si="29"/>
        <v>28</v>
      </c>
      <c r="AO23" s="60">
        <f t="shared" si="10"/>
        <v>0</v>
      </c>
      <c r="AP23" s="60">
        <f>ROUND(AO23*AN23*Input!$C$3/365,0)</f>
        <v>0</v>
      </c>
      <c r="AQ23" s="61">
        <f>IF($A23&lt;=Input!$C$6,0,IF('Unique Tenure'!AM23&lt;'Unique Tenure'!AO23,'Unique Tenure'!AM23-AP23,'Unique Tenure'!AO23))</f>
        <v>0</v>
      </c>
      <c r="AR23" s="61">
        <f t="shared" si="11"/>
        <v>0</v>
      </c>
      <c r="AS23" s="60">
        <f t="shared" si="12"/>
        <v>0</v>
      </c>
      <c r="AT23" s="193"/>
      <c r="AU23" s="169">
        <v>19</v>
      </c>
      <c r="AV23" s="1">
        <f t="shared" si="30"/>
        <v>46096</v>
      </c>
      <c r="AW23" s="60">
        <f>IF($X23&lt;Input!$H$88,IF($X23&lt;Input!$G$88,IF($X23&lt;Input!$F$88,IF($X23&lt;Input!$E$88,IF($X23&lt;Input!$D$88,Input!$C$94,Input!$D$94),Input!$E$94),Input!$F$94),Input!$G$94),Input!$H$94)</f>
        <v>0</v>
      </c>
      <c r="AX23" s="190">
        <f>IF($A23&lt;Input!$H$95,IF($A23&lt;Input!$G$95,IF($A23&lt;Input!$F$95,IF($A23&lt;Input!$E$95,IF($A23&lt;Input!$D$95,Input!$C$96,Input!$D$96),Input!$E$96),Input!$F$96),Input!$G$96),Input!$H$96)</f>
        <v>0.9</v>
      </c>
      <c r="AY23" s="60">
        <f t="shared" si="13"/>
        <v>0</v>
      </c>
      <c r="AZ23" s="60">
        <f t="shared" si="31"/>
        <v>28</v>
      </c>
      <c r="BA23" s="60">
        <f t="shared" si="14"/>
        <v>0</v>
      </c>
      <c r="BB23" s="60">
        <f>ROUND(BA23*AZ23*Input!$C$3/365,0)</f>
        <v>0</v>
      </c>
      <c r="BC23" s="61">
        <f>IF($A23&lt;=Input!$C$6,0,IF('Unique Tenure'!AY23&lt;'Unique Tenure'!BA23,'Unique Tenure'!AY23-BB23,'Unique Tenure'!BA23))</f>
        <v>0</v>
      </c>
      <c r="BD23" s="61">
        <f t="shared" si="15"/>
        <v>0</v>
      </c>
      <c r="BE23" s="60">
        <f t="shared" si="16"/>
        <v>0</v>
      </c>
      <c r="BF23" s="193"/>
      <c r="BG23" s="169">
        <v>19</v>
      </c>
      <c r="BH23" s="1">
        <f t="shared" si="32"/>
        <v>46096</v>
      </c>
      <c r="BI23" s="60">
        <f>IF($X23&lt;Input!$H$103,IF($X23&lt;Input!$G$103,IF($X23&lt;Input!$F$103,IF($X23&lt;Input!$E$103,IF($X23&lt;Input!$D$103,Input!$C$109,Input!$D$109),Input!$E$109),Input!$F$109),Input!$G$109),Input!$H$109)</f>
        <v>0</v>
      </c>
      <c r="BJ23" s="190">
        <f>IF($A23&lt;Input!$H$110,IF($A23&lt;Input!$G$110,IF($A23&lt;Input!$F$110,IF($A23&lt;Input!$E$110,IF($A23&lt;Input!$D$110,Input!$C$111,Input!$D$111),Input!$E$111),Input!$F$111),Input!$G$111),Input!$H$111)</f>
        <v>0.9</v>
      </c>
      <c r="BK23" s="60">
        <f t="shared" si="17"/>
        <v>0</v>
      </c>
      <c r="BL23" s="60">
        <f t="shared" si="33"/>
        <v>28</v>
      </c>
      <c r="BM23" s="60">
        <f t="shared" si="18"/>
        <v>0</v>
      </c>
      <c r="BN23" s="60">
        <f>ROUND(BM23*BL23*Input!$C$3/365,0)</f>
        <v>0</v>
      </c>
      <c r="BO23" s="61">
        <f>IF($A23&lt;=Input!$C$6,0,IF('Unique Tenure'!BK23&lt;'Unique Tenure'!BM23,'Unique Tenure'!BK23-BN23,'Unique Tenure'!BM23))</f>
        <v>0</v>
      </c>
      <c r="BP23" s="61">
        <f t="shared" si="19"/>
        <v>0</v>
      </c>
      <c r="BQ23" s="60">
        <f t="shared" si="20"/>
        <v>0</v>
      </c>
      <c r="BR23" s="198"/>
    </row>
    <row r="24" spans="1:70" s="51" customFormat="1" x14ac:dyDescent="0.25">
      <c r="A24" s="169">
        <v>20</v>
      </c>
      <c r="B24" s="1">
        <f t="shared" si="21"/>
        <v>46127</v>
      </c>
      <c r="C24" s="60">
        <f>SUM(
   IF(($A$4:$A$184 &lt;= Input!$D$16), M24, 0),
   IF(($A$4:$A$184 &lt;= Input!$E$16), Y24, 0),
   IF(($A$4:$A$184 &lt;= Input!$F$16), AK24, 0),
   IF(($A$4:$A$184 &lt;= Input!$G$16), AW24, 0),
   IF(($A$4:$A$184 &lt;= Input!$H$16), BI24, 0)
)</f>
        <v>16470000</v>
      </c>
      <c r="D24" s="60">
        <f>SUM(
   IF(($A$4:$A$184 &lt;= Input!$D$16), O24, 0),
   IF(($A$4:$A$184 &lt;= Input!$E$16), AA24, 0),
   IF(($A$4:$A$184 &lt;= Input!$F$16), AM24, 0),
   IF(($A$4:$A$184 &lt;= Input!$G$16), AY24, 0),
   IF(($A$4:$A$184 &lt;= Input!$H$16), BK24, 0)
)</f>
        <v>14823000</v>
      </c>
      <c r="E24" s="60">
        <f t="shared" si="22"/>
        <v>31</v>
      </c>
      <c r="F24" s="60">
        <f t="shared" si="23"/>
        <v>950205388</v>
      </c>
      <c r="G24" s="60">
        <f>ROUND(F24*E24*Input!$C$3/365,0)</f>
        <v>12105356</v>
      </c>
      <c r="H24" s="60">
        <f>IF($A24&lt;=Input!$C$6,0,IF('Unique Tenure'!D24&lt;'Unique Tenure'!F24,'Unique Tenure'!D24-G24,'Unique Tenure'!F24))</f>
        <v>2717644</v>
      </c>
      <c r="I24" s="60">
        <f t="shared" si="24"/>
        <v>14823000</v>
      </c>
      <c r="J24" s="60">
        <f t="shared" si="25"/>
        <v>947487744</v>
      </c>
      <c r="K24" s="202">
        <f>J24/Input!$K$5</f>
        <v>3.1582924800000001</v>
      </c>
      <c r="L24" s="232"/>
      <c r="M24" s="60">
        <f>IF($B24&lt;Input!$H$43,IF($B24&lt;Input!$G$43,IF($B24&lt;Input!$F$43,IF($B24&lt;Input!$E$43,IF($B24&lt;Input!$D$43,Input!$C$49,Input!$D$49),Input!$E$49),Input!$F$49),Input!$G$49),Input!$H$49)</f>
        <v>16470000</v>
      </c>
      <c r="N24" s="190">
        <f>IF($A24&lt;Input!$H$50,IF($A24&lt;Input!$G$50,IF($A24&lt;Input!$F$50,IF($A24&lt;Input!$E$50,IF($A24&lt;Input!$D$50,Input!$C$51,Input!$D$51),Input!$E$51),Input!$F$51),Input!$G$51),Input!$H$51)</f>
        <v>0.9</v>
      </c>
      <c r="O24" s="60">
        <f t="shared" si="0"/>
        <v>14823000</v>
      </c>
      <c r="P24" s="60">
        <f t="shared" si="1"/>
        <v>31</v>
      </c>
      <c r="Q24" s="60">
        <f t="shared" si="2"/>
        <v>950205388</v>
      </c>
      <c r="R24" s="60">
        <f>ROUND(Q24*$P24*Input!$C$3/365,0)</f>
        <v>12105356</v>
      </c>
      <c r="S24" s="60">
        <f>IF(A24&lt;=Input!$C$6,0,IF('Unique Tenure'!O24&lt;'Unique Tenure'!Q24,'Unique Tenure'!O24-R24,'Unique Tenure'!Q24))</f>
        <v>2717644</v>
      </c>
      <c r="T24" s="60">
        <f t="shared" si="3"/>
        <v>14823000</v>
      </c>
      <c r="U24" s="60">
        <f t="shared" si="4"/>
        <v>947487744</v>
      </c>
      <c r="V24" s="193"/>
      <c r="W24" s="169">
        <v>20</v>
      </c>
      <c r="X24" s="1">
        <f t="shared" si="26"/>
        <v>46127</v>
      </c>
      <c r="Y24" s="60">
        <f>IF($X24&lt;Input!$H$58,IF($X24&lt;Input!$G$58,IF($X24&lt;Input!$F$58,IF($X24&lt;Input!$E$58,IF($X24&lt;Input!$D$58,Input!$C$64,Input!$D$64),Input!$E$64),Input!$F$64),Input!$G$64),Input!$H$64)</f>
        <v>0</v>
      </c>
      <c r="Z24" s="190">
        <f>IF($A24&lt;Input!$H$65,IF($A24&lt;Input!$G$65,IF($A24&lt;Input!$F$65,IF($A24&lt;Input!$E$65,IF($A24&lt;Input!$D$65,Input!$C$66,Input!$D$66),Input!$E$66),Input!$F$66),Input!$G$66),Input!$H$66)</f>
        <v>0.9</v>
      </c>
      <c r="AA24" s="60">
        <f t="shared" si="5"/>
        <v>0</v>
      </c>
      <c r="AB24" s="60">
        <f t="shared" si="27"/>
        <v>31</v>
      </c>
      <c r="AC24" s="60">
        <f t="shared" si="6"/>
        <v>0</v>
      </c>
      <c r="AD24" s="60">
        <f>ROUND(AC24*AB24*Input!$C$3/365,0)</f>
        <v>0</v>
      </c>
      <c r="AE24" s="61">
        <f>IF($A24&lt;=Input!$C$6,0,IF('Unique Tenure'!AA24&lt;'Unique Tenure'!AC24,'Unique Tenure'!AA24-AD24,'Unique Tenure'!AC24))</f>
        <v>0</v>
      </c>
      <c r="AF24" s="61">
        <f t="shared" si="7"/>
        <v>0</v>
      </c>
      <c r="AG24" s="60">
        <f t="shared" si="8"/>
        <v>0</v>
      </c>
      <c r="AH24" s="193"/>
      <c r="AI24" s="169">
        <v>20</v>
      </c>
      <c r="AJ24" s="1">
        <f t="shared" si="28"/>
        <v>46127</v>
      </c>
      <c r="AK24" s="60">
        <f>IF($X24&lt;Input!$H$73,IF($X24&lt;Input!$G$73,IF($X24&lt;Input!$F$73,IF($X24&lt;Input!$E$73,IF($X24&lt;Input!$D$73,Input!$C$79,Input!$D$79),Input!$E$79),Input!$F$79),Input!$G$79),Input!$H$79)</f>
        <v>0</v>
      </c>
      <c r="AL24" s="190">
        <f>IF($A24&lt;Input!$H$80,IF($A24&lt;Input!$G$80,IF($A24&lt;Input!$F$80,IF($A24&lt;Input!$E$80,IF($A24&lt;Input!$D$80,Input!$C$81,Input!$D$81),Input!$E$81),Input!$F$81),Input!$G$81),Input!$H$81)</f>
        <v>0.9</v>
      </c>
      <c r="AM24" s="60">
        <f t="shared" si="9"/>
        <v>0</v>
      </c>
      <c r="AN24" s="60">
        <f t="shared" si="29"/>
        <v>31</v>
      </c>
      <c r="AO24" s="60">
        <f t="shared" si="10"/>
        <v>0</v>
      </c>
      <c r="AP24" s="60">
        <f>ROUND(AO24*AN24*Input!$C$3/365,0)</f>
        <v>0</v>
      </c>
      <c r="AQ24" s="61">
        <f>IF($A24&lt;=Input!$C$6,0,IF('Unique Tenure'!AM24&lt;'Unique Tenure'!AO24,'Unique Tenure'!AM24-AP24,'Unique Tenure'!AO24))</f>
        <v>0</v>
      </c>
      <c r="AR24" s="61">
        <f t="shared" si="11"/>
        <v>0</v>
      </c>
      <c r="AS24" s="60">
        <f t="shared" si="12"/>
        <v>0</v>
      </c>
      <c r="AT24" s="193"/>
      <c r="AU24" s="169">
        <v>20</v>
      </c>
      <c r="AV24" s="1">
        <f t="shared" si="30"/>
        <v>46127</v>
      </c>
      <c r="AW24" s="60">
        <f>IF($X24&lt;Input!$H$88,IF($X24&lt;Input!$G$88,IF($X24&lt;Input!$F$88,IF($X24&lt;Input!$E$88,IF($X24&lt;Input!$D$88,Input!$C$94,Input!$D$94),Input!$E$94),Input!$F$94),Input!$G$94),Input!$H$94)</f>
        <v>0</v>
      </c>
      <c r="AX24" s="190">
        <f>IF($A24&lt;Input!$H$95,IF($A24&lt;Input!$G$95,IF($A24&lt;Input!$F$95,IF($A24&lt;Input!$E$95,IF($A24&lt;Input!$D$95,Input!$C$96,Input!$D$96),Input!$E$96),Input!$F$96),Input!$G$96),Input!$H$96)</f>
        <v>0.9</v>
      </c>
      <c r="AY24" s="60">
        <f t="shared" si="13"/>
        <v>0</v>
      </c>
      <c r="AZ24" s="60">
        <f t="shared" si="31"/>
        <v>31</v>
      </c>
      <c r="BA24" s="60">
        <f t="shared" si="14"/>
        <v>0</v>
      </c>
      <c r="BB24" s="60">
        <f>ROUND(BA24*AZ24*Input!$C$3/365,0)</f>
        <v>0</v>
      </c>
      <c r="BC24" s="61">
        <f>IF($A24&lt;=Input!$C$6,0,IF('Unique Tenure'!AY24&lt;'Unique Tenure'!BA24,'Unique Tenure'!AY24-BB24,'Unique Tenure'!BA24))</f>
        <v>0</v>
      </c>
      <c r="BD24" s="61">
        <f t="shared" si="15"/>
        <v>0</v>
      </c>
      <c r="BE24" s="60">
        <f t="shared" si="16"/>
        <v>0</v>
      </c>
      <c r="BF24" s="193"/>
      <c r="BG24" s="169">
        <v>20</v>
      </c>
      <c r="BH24" s="1">
        <f t="shared" si="32"/>
        <v>46127</v>
      </c>
      <c r="BI24" s="60">
        <f>IF($X24&lt;Input!$H$103,IF($X24&lt;Input!$G$103,IF($X24&lt;Input!$F$103,IF($X24&lt;Input!$E$103,IF($X24&lt;Input!$D$103,Input!$C$109,Input!$D$109),Input!$E$109),Input!$F$109),Input!$G$109),Input!$H$109)</f>
        <v>0</v>
      </c>
      <c r="BJ24" s="190">
        <f>IF($A24&lt;Input!$H$110,IF($A24&lt;Input!$G$110,IF($A24&lt;Input!$F$110,IF($A24&lt;Input!$E$110,IF($A24&lt;Input!$D$110,Input!$C$111,Input!$D$111),Input!$E$111),Input!$F$111),Input!$G$111),Input!$H$111)</f>
        <v>0.9</v>
      </c>
      <c r="BK24" s="60">
        <f t="shared" si="17"/>
        <v>0</v>
      </c>
      <c r="BL24" s="60">
        <f t="shared" si="33"/>
        <v>31</v>
      </c>
      <c r="BM24" s="60">
        <f t="shared" si="18"/>
        <v>0</v>
      </c>
      <c r="BN24" s="60">
        <f>ROUND(BM24*BL24*Input!$C$3/365,0)</f>
        <v>0</v>
      </c>
      <c r="BO24" s="61">
        <f>IF($A24&lt;=Input!$C$6,0,IF('Unique Tenure'!BK24&lt;'Unique Tenure'!BM24,'Unique Tenure'!BK24-BN24,'Unique Tenure'!BM24))</f>
        <v>0</v>
      </c>
      <c r="BP24" s="61">
        <f t="shared" si="19"/>
        <v>0</v>
      </c>
      <c r="BQ24" s="60">
        <f t="shared" si="20"/>
        <v>0</v>
      </c>
      <c r="BR24" s="198"/>
    </row>
    <row r="25" spans="1:70" s="51" customFormat="1" x14ac:dyDescent="0.25">
      <c r="A25" s="169">
        <v>21</v>
      </c>
      <c r="B25" s="1">
        <f t="shared" si="21"/>
        <v>46157</v>
      </c>
      <c r="C25" s="60">
        <f>SUM(
   IF(($A$4:$A$184 &lt;= Input!$D$16), M25, 0),
   IF(($A$4:$A$184 &lt;= Input!$E$16), Y25, 0),
   IF(($A$4:$A$184 &lt;= Input!$F$16), AK25, 0),
   IF(($A$4:$A$184 &lt;= Input!$G$16), AW25, 0),
   IF(($A$4:$A$184 &lt;= Input!$H$16), BI25, 0)
)</f>
        <v>16470000</v>
      </c>
      <c r="D25" s="60">
        <f>SUM(
   IF(($A$4:$A$184 &lt;= Input!$D$16), O25, 0),
   IF(($A$4:$A$184 &lt;= Input!$E$16), AA25, 0),
   IF(($A$4:$A$184 &lt;= Input!$F$16), AM25, 0),
   IF(($A$4:$A$184 &lt;= Input!$G$16), AY25, 0),
   IF(($A$4:$A$184 &lt;= Input!$H$16), BK25, 0)
)</f>
        <v>14823000</v>
      </c>
      <c r="E25" s="60">
        <f t="shared" si="22"/>
        <v>30</v>
      </c>
      <c r="F25" s="60">
        <f t="shared" si="23"/>
        <v>947487744</v>
      </c>
      <c r="G25" s="60">
        <f>ROUND(F25*E25*Input!$C$3/365,0)</f>
        <v>11681356</v>
      </c>
      <c r="H25" s="60">
        <f>IF($A25&lt;=Input!$C$6,0,IF('Unique Tenure'!D25&lt;'Unique Tenure'!F25,'Unique Tenure'!D25-G25,'Unique Tenure'!F25))</f>
        <v>3141644</v>
      </c>
      <c r="I25" s="60">
        <f t="shared" si="24"/>
        <v>14823000</v>
      </c>
      <c r="J25" s="60">
        <f t="shared" si="25"/>
        <v>944346100</v>
      </c>
      <c r="K25" s="202">
        <f>J25/Input!$K$5</f>
        <v>3.1478203333333332</v>
      </c>
      <c r="L25" s="232"/>
      <c r="M25" s="60">
        <f>IF($B25&lt;Input!$H$43,IF($B25&lt;Input!$G$43,IF($B25&lt;Input!$F$43,IF($B25&lt;Input!$E$43,IF($B25&lt;Input!$D$43,Input!$C$49,Input!$D$49),Input!$E$49),Input!$F$49),Input!$G$49),Input!$H$49)</f>
        <v>16470000</v>
      </c>
      <c r="N25" s="190">
        <f>IF($A25&lt;Input!$H$50,IF($A25&lt;Input!$G$50,IF($A25&lt;Input!$F$50,IF($A25&lt;Input!$E$50,IF($A25&lt;Input!$D$50,Input!$C$51,Input!$D$51),Input!$E$51),Input!$F$51),Input!$G$51),Input!$H$51)</f>
        <v>0.9</v>
      </c>
      <c r="O25" s="60">
        <f t="shared" si="0"/>
        <v>14823000</v>
      </c>
      <c r="P25" s="60">
        <f t="shared" si="1"/>
        <v>30</v>
      </c>
      <c r="Q25" s="60">
        <f t="shared" si="2"/>
        <v>947487744</v>
      </c>
      <c r="R25" s="60">
        <f>ROUND(Q25*$P25*Input!$C$3/365,0)</f>
        <v>11681356</v>
      </c>
      <c r="S25" s="60">
        <f>IF(A25&lt;=Input!$C$6,0,IF('Unique Tenure'!O25&lt;'Unique Tenure'!Q25,'Unique Tenure'!O25-R25,'Unique Tenure'!Q25))</f>
        <v>3141644</v>
      </c>
      <c r="T25" s="60">
        <f t="shared" si="3"/>
        <v>14823000</v>
      </c>
      <c r="U25" s="60">
        <f t="shared" si="4"/>
        <v>944346100</v>
      </c>
      <c r="V25" s="193"/>
      <c r="W25" s="169">
        <v>21</v>
      </c>
      <c r="X25" s="1">
        <f t="shared" si="26"/>
        <v>46157</v>
      </c>
      <c r="Y25" s="60">
        <f>IF($X25&lt;Input!$H$58,IF($X25&lt;Input!$G$58,IF($X25&lt;Input!$F$58,IF($X25&lt;Input!$E$58,IF($X25&lt;Input!$D$58,Input!$C$64,Input!$D$64),Input!$E$64),Input!$F$64),Input!$G$64),Input!$H$64)</f>
        <v>0</v>
      </c>
      <c r="Z25" s="190">
        <f>IF($A25&lt;Input!$H$65,IF($A25&lt;Input!$G$65,IF($A25&lt;Input!$F$65,IF($A25&lt;Input!$E$65,IF($A25&lt;Input!$D$65,Input!$C$66,Input!$D$66),Input!$E$66),Input!$F$66),Input!$G$66),Input!$H$66)</f>
        <v>0.9</v>
      </c>
      <c r="AA25" s="60">
        <f t="shared" si="5"/>
        <v>0</v>
      </c>
      <c r="AB25" s="60">
        <f t="shared" si="27"/>
        <v>30</v>
      </c>
      <c r="AC25" s="60">
        <f t="shared" si="6"/>
        <v>0</v>
      </c>
      <c r="AD25" s="60">
        <f>ROUND(AC25*AB25*Input!$C$3/365,0)</f>
        <v>0</v>
      </c>
      <c r="AE25" s="61">
        <f>IF($A25&lt;=Input!$C$6,0,IF('Unique Tenure'!AA25&lt;'Unique Tenure'!AC25,'Unique Tenure'!AA25-AD25,'Unique Tenure'!AC25))</f>
        <v>0</v>
      </c>
      <c r="AF25" s="61">
        <f t="shared" si="7"/>
        <v>0</v>
      </c>
      <c r="AG25" s="60">
        <f t="shared" si="8"/>
        <v>0</v>
      </c>
      <c r="AH25" s="193"/>
      <c r="AI25" s="169">
        <v>21</v>
      </c>
      <c r="AJ25" s="1">
        <f t="shared" si="28"/>
        <v>46157</v>
      </c>
      <c r="AK25" s="60">
        <f>IF($X25&lt;Input!$H$73,IF($X25&lt;Input!$G$73,IF($X25&lt;Input!$F$73,IF($X25&lt;Input!$E$73,IF($X25&lt;Input!$D$73,Input!$C$79,Input!$D$79),Input!$E$79),Input!$F$79),Input!$G$79),Input!$H$79)</f>
        <v>0</v>
      </c>
      <c r="AL25" s="190">
        <f>IF($A25&lt;Input!$H$80,IF($A25&lt;Input!$G$80,IF($A25&lt;Input!$F$80,IF($A25&lt;Input!$E$80,IF($A25&lt;Input!$D$80,Input!$C$81,Input!$D$81),Input!$E$81),Input!$F$81),Input!$G$81),Input!$H$81)</f>
        <v>0.9</v>
      </c>
      <c r="AM25" s="60">
        <f t="shared" si="9"/>
        <v>0</v>
      </c>
      <c r="AN25" s="60">
        <f t="shared" si="29"/>
        <v>30</v>
      </c>
      <c r="AO25" s="60">
        <f t="shared" si="10"/>
        <v>0</v>
      </c>
      <c r="AP25" s="60">
        <f>ROUND(AO25*AN25*Input!$C$3/365,0)</f>
        <v>0</v>
      </c>
      <c r="AQ25" s="61">
        <f>IF($A25&lt;=Input!$C$6,0,IF('Unique Tenure'!AM25&lt;'Unique Tenure'!AO25,'Unique Tenure'!AM25-AP25,'Unique Tenure'!AO25))</f>
        <v>0</v>
      </c>
      <c r="AR25" s="61">
        <f t="shared" si="11"/>
        <v>0</v>
      </c>
      <c r="AS25" s="60">
        <f t="shared" si="12"/>
        <v>0</v>
      </c>
      <c r="AT25" s="193"/>
      <c r="AU25" s="169">
        <v>21</v>
      </c>
      <c r="AV25" s="1">
        <f t="shared" si="30"/>
        <v>46157</v>
      </c>
      <c r="AW25" s="60">
        <f>IF($X25&lt;Input!$H$88,IF($X25&lt;Input!$G$88,IF($X25&lt;Input!$F$88,IF($X25&lt;Input!$E$88,IF($X25&lt;Input!$D$88,Input!$C$94,Input!$D$94),Input!$E$94),Input!$F$94),Input!$G$94),Input!$H$94)</f>
        <v>0</v>
      </c>
      <c r="AX25" s="190">
        <f>IF($A25&lt;Input!$H$95,IF($A25&lt;Input!$G$95,IF($A25&lt;Input!$F$95,IF($A25&lt;Input!$E$95,IF($A25&lt;Input!$D$95,Input!$C$96,Input!$D$96),Input!$E$96),Input!$F$96),Input!$G$96),Input!$H$96)</f>
        <v>0.9</v>
      </c>
      <c r="AY25" s="60">
        <f t="shared" si="13"/>
        <v>0</v>
      </c>
      <c r="AZ25" s="60">
        <f t="shared" si="31"/>
        <v>30</v>
      </c>
      <c r="BA25" s="60">
        <f t="shared" si="14"/>
        <v>0</v>
      </c>
      <c r="BB25" s="60">
        <f>ROUND(BA25*AZ25*Input!$C$3/365,0)</f>
        <v>0</v>
      </c>
      <c r="BC25" s="61">
        <f>IF($A25&lt;=Input!$C$6,0,IF('Unique Tenure'!AY25&lt;'Unique Tenure'!BA25,'Unique Tenure'!AY25-BB25,'Unique Tenure'!BA25))</f>
        <v>0</v>
      </c>
      <c r="BD25" s="61">
        <f t="shared" si="15"/>
        <v>0</v>
      </c>
      <c r="BE25" s="60">
        <f t="shared" si="16"/>
        <v>0</v>
      </c>
      <c r="BF25" s="193"/>
      <c r="BG25" s="169">
        <v>21</v>
      </c>
      <c r="BH25" s="1">
        <f t="shared" si="32"/>
        <v>46157</v>
      </c>
      <c r="BI25" s="60">
        <f>IF($X25&lt;Input!$H$103,IF($X25&lt;Input!$G$103,IF($X25&lt;Input!$F$103,IF($X25&lt;Input!$E$103,IF($X25&lt;Input!$D$103,Input!$C$109,Input!$D$109),Input!$E$109),Input!$F$109),Input!$G$109),Input!$H$109)</f>
        <v>0</v>
      </c>
      <c r="BJ25" s="190">
        <f>IF($A25&lt;Input!$H$110,IF($A25&lt;Input!$G$110,IF($A25&lt;Input!$F$110,IF($A25&lt;Input!$E$110,IF($A25&lt;Input!$D$110,Input!$C$111,Input!$D$111),Input!$E$111),Input!$F$111),Input!$G$111),Input!$H$111)</f>
        <v>0.9</v>
      </c>
      <c r="BK25" s="60">
        <f t="shared" si="17"/>
        <v>0</v>
      </c>
      <c r="BL25" s="60">
        <f t="shared" si="33"/>
        <v>30</v>
      </c>
      <c r="BM25" s="60">
        <f t="shared" si="18"/>
        <v>0</v>
      </c>
      <c r="BN25" s="60">
        <f>ROUND(BM25*BL25*Input!$C$3/365,0)</f>
        <v>0</v>
      </c>
      <c r="BO25" s="61">
        <f>IF($A25&lt;=Input!$C$6,0,IF('Unique Tenure'!BK25&lt;'Unique Tenure'!BM25,'Unique Tenure'!BK25-BN25,'Unique Tenure'!BM25))</f>
        <v>0</v>
      </c>
      <c r="BP25" s="61">
        <f t="shared" si="19"/>
        <v>0</v>
      </c>
      <c r="BQ25" s="60">
        <f t="shared" si="20"/>
        <v>0</v>
      </c>
      <c r="BR25" s="198"/>
    </row>
    <row r="26" spans="1:70" s="51" customFormat="1" x14ac:dyDescent="0.25">
      <c r="A26" s="169">
        <v>22</v>
      </c>
      <c r="B26" s="1">
        <f t="shared" si="21"/>
        <v>46188</v>
      </c>
      <c r="C26" s="60">
        <f>SUM(
   IF(($A$4:$A$184 &lt;= Input!$D$16), M26, 0),
   IF(($A$4:$A$184 &lt;= Input!$E$16), Y26, 0),
   IF(($A$4:$A$184 &lt;= Input!$F$16), AK26, 0),
   IF(($A$4:$A$184 &lt;= Input!$G$16), AW26, 0),
   IF(($A$4:$A$184 &lt;= Input!$H$16), BI26, 0)
)</f>
        <v>16470000</v>
      </c>
      <c r="D26" s="60">
        <f>SUM(
   IF(($A$4:$A$184 &lt;= Input!$D$16), O26, 0),
   IF(($A$4:$A$184 &lt;= Input!$E$16), AA26, 0),
   IF(($A$4:$A$184 &lt;= Input!$F$16), AM26, 0),
   IF(($A$4:$A$184 &lt;= Input!$G$16), AY26, 0),
   IF(($A$4:$A$184 &lt;= Input!$H$16), BK26, 0)
)</f>
        <v>14823000</v>
      </c>
      <c r="E26" s="60">
        <f t="shared" si="22"/>
        <v>31</v>
      </c>
      <c r="F26" s="60">
        <f t="shared" si="23"/>
        <v>944346100</v>
      </c>
      <c r="G26" s="60">
        <f>ROUND(F26*E26*Input!$C$3/365,0)</f>
        <v>12030711</v>
      </c>
      <c r="H26" s="60">
        <f>IF($A26&lt;=Input!$C$6,0,IF('Unique Tenure'!D26&lt;'Unique Tenure'!F26,'Unique Tenure'!D26-G26,'Unique Tenure'!F26))</f>
        <v>2792289</v>
      </c>
      <c r="I26" s="60">
        <f t="shared" si="24"/>
        <v>14823000</v>
      </c>
      <c r="J26" s="60">
        <f t="shared" si="25"/>
        <v>941553811</v>
      </c>
      <c r="K26" s="202">
        <f>J26/Input!$K$5</f>
        <v>3.1385127033333333</v>
      </c>
      <c r="L26" s="232"/>
      <c r="M26" s="60">
        <f>IF($B26&lt;Input!$H$43,IF($B26&lt;Input!$G$43,IF($B26&lt;Input!$F$43,IF($B26&lt;Input!$E$43,IF($B26&lt;Input!$D$43,Input!$C$49,Input!$D$49),Input!$E$49),Input!$F$49),Input!$G$49),Input!$H$49)</f>
        <v>16470000</v>
      </c>
      <c r="N26" s="190">
        <f>IF($A26&lt;Input!$H$50,IF($A26&lt;Input!$G$50,IF($A26&lt;Input!$F$50,IF($A26&lt;Input!$E$50,IF($A26&lt;Input!$D$50,Input!$C$51,Input!$D$51),Input!$E$51),Input!$F$51),Input!$G$51),Input!$H$51)</f>
        <v>0.9</v>
      </c>
      <c r="O26" s="60">
        <f t="shared" si="0"/>
        <v>14823000</v>
      </c>
      <c r="P26" s="60">
        <f t="shared" si="1"/>
        <v>31</v>
      </c>
      <c r="Q26" s="60">
        <f t="shared" si="2"/>
        <v>944346100</v>
      </c>
      <c r="R26" s="60">
        <f>ROUND(Q26*$P26*Input!$C$3/365,0)</f>
        <v>12030711</v>
      </c>
      <c r="S26" s="60">
        <f>IF(A26&lt;=Input!$C$6,0,IF('Unique Tenure'!O26&lt;'Unique Tenure'!Q26,'Unique Tenure'!O26-R26,'Unique Tenure'!Q26))</f>
        <v>2792289</v>
      </c>
      <c r="T26" s="60">
        <f t="shared" si="3"/>
        <v>14823000</v>
      </c>
      <c r="U26" s="60">
        <f t="shared" si="4"/>
        <v>941553811</v>
      </c>
      <c r="V26" s="193"/>
      <c r="W26" s="169">
        <v>22</v>
      </c>
      <c r="X26" s="1">
        <f t="shared" si="26"/>
        <v>46188</v>
      </c>
      <c r="Y26" s="60">
        <f>IF($X26&lt;Input!$H$58,IF($X26&lt;Input!$G$58,IF($X26&lt;Input!$F$58,IF($X26&lt;Input!$E$58,IF($X26&lt;Input!$D$58,Input!$C$64,Input!$D$64),Input!$E$64),Input!$F$64),Input!$G$64),Input!$H$64)</f>
        <v>0</v>
      </c>
      <c r="Z26" s="190">
        <f>IF($A26&lt;Input!$H$65,IF($A26&lt;Input!$G$65,IF($A26&lt;Input!$F$65,IF($A26&lt;Input!$E$65,IF($A26&lt;Input!$D$65,Input!$C$66,Input!$D$66),Input!$E$66),Input!$F$66),Input!$G$66),Input!$H$66)</f>
        <v>0.9</v>
      </c>
      <c r="AA26" s="60">
        <f t="shared" si="5"/>
        <v>0</v>
      </c>
      <c r="AB26" s="60">
        <f t="shared" si="27"/>
        <v>31</v>
      </c>
      <c r="AC26" s="60">
        <f t="shared" si="6"/>
        <v>0</v>
      </c>
      <c r="AD26" s="60">
        <f>ROUND(AC26*AB26*Input!$C$3/365,0)</f>
        <v>0</v>
      </c>
      <c r="AE26" s="61">
        <f>IF($A26&lt;=Input!$C$6,0,IF('Unique Tenure'!AA26&lt;'Unique Tenure'!AC26,'Unique Tenure'!AA26-AD26,'Unique Tenure'!AC26))</f>
        <v>0</v>
      </c>
      <c r="AF26" s="61">
        <f t="shared" si="7"/>
        <v>0</v>
      </c>
      <c r="AG26" s="60">
        <f t="shared" si="8"/>
        <v>0</v>
      </c>
      <c r="AH26" s="193"/>
      <c r="AI26" s="169">
        <v>22</v>
      </c>
      <c r="AJ26" s="1">
        <f t="shared" si="28"/>
        <v>46188</v>
      </c>
      <c r="AK26" s="60">
        <f>IF($X26&lt;Input!$H$73,IF($X26&lt;Input!$G$73,IF($X26&lt;Input!$F$73,IF($X26&lt;Input!$E$73,IF($X26&lt;Input!$D$73,Input!$C$79,Input!$D$79),Input!$E$79),Input!$F$79),Input!$G$79),Input!$H$79)</f>
        <v>0</v>
      </c>
      <c r="AL26" s="190">
        <f>IF($A26&lt;Input!$H$80,IF($A26&lt;Input!$G$80,IF($A26&lt;Input!$F$80,IF($A26&lt;Input!$E$80,IF($A26&lt;Input!$D$80,Input!$C$81,Input!$D$81),Input!$E$81),Input!$F$81),Input!$G$81),Input!$H$81)</f>
        <v>0.9</v>
      </c>
      <c r="AM26" s="60">
        <f t="shared" si="9"/>
        <v>0</v>
      </c>
      <c r="AN26" s="60">
        <f t="shared" si="29"/>
        <v>31</v>
      </c>
      <c r="AO26" s="60">
        <f t="shared" si="10"/>
        <v>0</v>
      </c>
      <c r="AP26" s="60">
        <f>ROUND(AO26*AN26*Input!$C$3/365,0)</f>
        <v>0</v>
      </c>
      <c r="AQ26" s="61">
        <f>IF($A26&lt;=Input!$C$6,0,IF('Unique Tenure'!AM26&lt;'Unique Tenure'!AO26,'Unique Tenure'!AM26-AP26,'Unique Tenure'!AO26))</f>
        <v>0</v>
      </c>
      <c r="AR26" s="61">
        <f t="shared" si="11"/>
        <v>0</v>
      </c>
      <c r="AS26" s="60">
        <f t="shared" si="12"/>
        <v>0</v>
      </c>
      <c r="AT26" s="193"/>
      <c r="AU26" s="169">
        <v>22</v>
      </c>
      <c r="AV26" s="1">
        <f t="shared" si="30"/>
        <v>46188</v>
      </c>
      <c r="AW26" s="60">
        <f>IF($X26&lt;Input!$H$88,IF($X26&lt;Input!$G$88,IF($X26&lt;Input!$F$88,IF($X26&lt;Input!$E$88,IF($X26&lt;Input!$D$88,Input!$C$94,Input!$D$94),Input!$E$94),Input!$F$94),Input!$G$94),Input!$H$94)</f>
        <v>0</v>
      </c>
      <c r="AX26" s="190">
        <f>IF($A26&lt;Input!$H$95,IF($A26&lt;Input!$G$95,IF($A26&lt;Input!$F$95,IF($A26&lt;Input!$E$95,IF($A26&lt;Input!$D$95,Input!$C$96,Input!$D$96),Input!$E$96),Input!$F$96),Input!$G$96),Input!$H$96)</f>
        <v>0.9</v>
      </c>
      <c r="AY26" s="60">
        <f t="shared" si="13"/>
        <v>0</v>
      </c>
      <c r="AZ26" s="60">
        <f t="shared" si="31"/>
        <v>31</v>
      </c>
      <c r="BA26" s="60">
        <f t="shared" si="14"/>
        <v>0</v>
      </c>
      <c r="BB26" s="60">
        <f>ROUND(BA26*AZ26*Input!$C$3/365,0)</f>
        <v>0</v>
      </c>
      <c r="BC26" s="61">
        <f>IF($A26&lt;=Input!$C$6,0,IF('Unique Tenure'!AY26&lt;'Unique Tenure'!BA26,'Unique Tenure'!AY26-BB26,'Unique Tenure'!BA26))</f>
        <v>0</v>
      </c>
      <c r="BD26" s="61">
        <f t="shared" si="15"/>
        <v>0</v>
      </c>
      <c r="BE26" s="60">
        <f t="shared" si="16"/>
        <v>0</v>
      </c>
      <c r="BF26" s="193"/>
      <c r="BG26" s="169">
        <v>22</v>
      </c>
      <c r="BH26" s="1">
        <f t="shared" si="32"/>
        <v>46188</v>
      </c>
      <c r="BI26" s="60">
        <f>IF($X26&lt;Input!$H$103,IF($X26&lt;Input!$G$103,IF($X26&lt;Input!$F$103,IF($X26&lt;Input!$E$103,IF($X26&lt;Input!$D$103,Input!$C$109,Input!$D$109),Input!$E$109),Input!$F$109),Input!$G$109),Input!$H$109)</f>
        <v>0</v>
      </c>
      <c r="BJ26" s="190">
        <f>IF($A26&lt;Input!$H$110,IF($A26&lt;Input!$G$110,IF($A26&lt;Input!$F$110,IF($A26&lt;Input!$E$110,IF($A26&lt;Input!$D$110,Input!$C$111,Input!$D$111),Input!$E$111),Input!$F$111),Input!$G$111),Input!$H$111)</f>
        <v>0.9</v>
      </c>
      <c r="BK26" s="60">
        <f t="shared" si="17"/>
        <v>0</v>
      </c>
      <c r="BL26" s="60">
        <f t="shared" si="33"/>
        <v>31</v>
      </c>
      <c r="BM26" s="60">
        <f t="shared" si="18"/>
        <v>0</v>
      </c>
      <c r="BN26" s="60">
        <f>ROUND(BM26*BL26*Input!$C$3/365,0)</f>
        <v>0</v>
      </c>
      <c r="BO26" s="61">
        <f>IF($A26&lt;=Input!$C$6,0,IF('Unique Tenure'!BK26&lt;'Unique Tenure'!BM26,'Unique Tenure'!BK26-BN26,'Unique Tenure'!BM26))</f>
        <v>0</v>
      </c>
      <c r="BP26" s="61">
        <f t="shared" si="19"/>
        <v>0</v>
      </c>
      <c r="BQ26" s="60">
        <f t="shared" si="20"/>
        <v>0</v>
      </c>
      <c r="BR26" s="198"/>
    </row>
    <row r="27" spans="1:70" s="51" customFormat="1" x14ac:dyDescent="0.25">
      <c r="A27" s="169">
        <v>23</v>
      </c>
      <c r="B27" s="1">
        <f t="shared" si="21"/>
        <v>46218</v>
      </c>
      <c r="C27" s="60">
        <f>SUM(
   IF(($A$4:$A$184 &lt;= Input!$D$16), M27, 0),
   IF(($A$4:$A$184 &lt;= Input!$E$16), Y27, 0),
   IF(($A$4:$A$184 &lt;= Input!$F$16), AK27, 0),
   IF(($A$4:$A$184 &lt;= Input!$G$16), AW27, 0),
   IF(($A$4:$A$184 &lt;= Input!$H$16), BI27, 0)
)</f>
        <v>16470000</v>
      </c>
      <c r="D27" s="60">
        <f>SUM(
   IF(($A$4:$A$184 &lt;= Input!$D$16), O27, 0),
   IF(($A$4:$A$184 &lt;= Input!$E$16), AA27, 0),
   IF(($A$4:$A$184 &lt;= Input!$F$16), AM27, 0),
   IF(($A$4:$A$184 &lt;= Input!$G$16), AY27, 0),
   IF(($A$4:$A$184 &lt;= Input!$H$16), BK27, 0)
)</f>
        <v>14823000</v>
      </c>
      <c r="E27" s="60">
        <f t="shared" si="22"/>
        <v>30</v>
      </c>
      <c r="F27" s="60">
        <f t="shared" si="23"/>
        <v>941553811</v>
      </c>
      <c r="G27" s="60">
        <f>ROUND(F27*E27*Input!$C$3/365,0)</f>
        <v>11608198</v>
      </c>
      <c r="H27" s="60">
        <f>IF($A27&lt;=Input!$C$6,0,IF('Unique Tenure'!D27&lt;'Unique Tenure'!F27,'Unique Tenure'!D27-G27,'Unique Tenure'!F27))</f>
        <v>3214802</v>
      </c>
      <c r="I27" s="60">
        <f t="shared" si="24"/>
        <v>14823000</v>
      </c>
      <c r="J27" s="60">
        <f t="shared" si="25"/>
        <v>938339009</v>
      </c>
      <c r="K27" s="202">
        <f>J27/Input!$K$5</f>
        <v>3.1277966966666666</v>
      </c>
      <c r="L27" s="232"/>
      <c r="M27" s="60">
        <f>IF($B27&lt;Input!$H$43,IF($B27&lt;Input!$G$43,IF($B27&lt;Input!$F$43,IF($B27&lt;Input!$E$43,IF($B27&lt;Input!$D$43,Input!$C$49,Input!$D$49),Input!$E$49),Input!$F$49),Input!$G$49),Input!$H$49)</f>
        <v>16470000</v>
      </c>
      <c r="N27" s="190">
        <f>IF($A27&lt;Input!$H$50,IF($A27&lt;Input!$G$50,IF($A27&lt;Input!$F$50,IF($A27&lt;Input!$E$50,IF($A27&lt;Input!$D$50,Input!$C$51,Input!$D$51),Input!$E$51),Input!$F$51),Input!$G$51),Input!$H$51)</f>
        <v>0.9</v>
      </c>
      <c r="O27" s="60">
        <f t="shared" si="0"/>
        <v>14823000</v>
      </c>
      <c r="P27" s="60">
        <f t="shared" si="1"/>
        <v>30</v>
      </c>
      <c r="Q27" s="60">
        <f t="shared" si="2"/>
        <v>941553811</v>
      </c>
      <c r="R27" s="60">
        <f>ROUND(Q27*$P27*Input!$C$3/365,0)</f>
        <v>11608198</v>
      </c>
      <c r="S27" s="60">
        <f>IF(A27&lt;=Input!$C$6,0,IF('Unique Tenure'!O27&lt;'Unique Tenure'!Q27,'Unique Tenure'!O27-R27,'Unique Tenure'!Q27))</f>
        <v>3214802</v>
      </c>
      <c r="T27" s="60">
        <f t="shared" si="3"/>
        <v>14823000</v>
      </c>
      <c r="U27" s="60">
        <f t="shared" si="4"/>
        <v>938339009</v>
      </c>
      <c r="V27" s="193"/>
      <c r="W27" s="169">
        <v>23</v>
      </c>
      <c r="X27" s="1">
        <f t="shared" si="26"/>
        <v>46218</v>
      </c>
      <c r="Y27" s="60">
        <f>IF($X27&lt;Input!$H$58,IF($X27&lt;Input!$G$58,IF($X27&lt;Input!$F$58,IF($X27&lt;Input!$E$58,IF($X27&lt;Input!$D$58,Input!$C$64,Input!$D$64),Input!$E$64),Input!$F$64),Input!$G$64),Input!$H$64)</f>
        <v>0</v>
      </c>
      <c r="Z27" s="190">
        <f>IF($A27&lt;Input!$H$65,IF($A27&lt;Input!$G$65,IF($A27&lt;Input!$F$65,IF($A27&lt;Input!$E$65,IF($A27&lt;Input!$D$65,Input!$C$66,Input!$D$66),Input!$E$66),Input!$F$66),Input!$G$66),Input!$H$66)</f>
        <v>0.9</v>
      </c>
      <c r="AA27" s="60">
        <f t="shared" si="5"/>
        <v>0</v>
      </c>
      <c r="AB27" s="60">
        <f t="shared" si="27"/>
        <v>30</v>
      </c>
      <c r="AC27" s="60">
        <f t="shared" si="6"/>
        <v>0</v>
      </c>
      <c r="AD27" s="60">
        <f>ROUND(AC27*AB27*Input!$C$3/365,0)</f>
        <v>0</v>
      </c>
      <c r="AE27" s="61">
        <f>IF($A27&lt;=Input!$C$6,0,IF('Unique Tenure'!AA27&lt;'Unique Tenure'!AC27,'Unique Tenure'!AA27-AD27,'Unique Tenure'!AC27))</f>
        <v>0</v>
      </c>
      <c r="AF27" s="61">
        <f t="shared" si="7"/>
        <v>0</v>
      </c>
      <c r="AG27" s="60">
        <f t="shared" si="8"/>
        <v>0</v>
      </c>
      <c r="AH27" s="193"/>
      <c r="AI27" s="169">
        <v>23</v>
      </c>
      <c r="AJ27" s="1">
        <f t="shared" si="28"/>
        <v>46218</v>
      </c>
      <c r="AK27" s="60">
        <f>IF($X27&lt;Input!$H$73,IF($X27&lt;Input!$G$73,IF($X27&lt;Input!$F$73,IF($X27&lt;Input!$E$73,IF($X27&lt;Input!$D$73,Input!$C$79,Input!$D$79),Input!$E$79),Input!$F$79),Input!$G$79),Input!$H$79)</f>
        <v>0</v>
      </c>
      <c r="AL27" s="190">
        <f>IF($A27&lt;Input!$H$80,IF($A27&lt;Input!$G$80,IF($A27&lt;Input!$F$80,IF($A27&lt;Input!$E$80,IF($A27&lt;Input!$D$80,Input!$C$81,Input!$D$81),Input!$E$81),Input!$F$81),Input!$G$81),Input!$H$81)</f>
        <v>0.9</v>
      </c>
      <c r="AM27" s="60">
        <f t="shared" si="9"/>
        <v>0</v>
      </c>
      <c r="AN27" s="60">
        <f t="shared" si="29"/>
        <v>30</v>
      </c>
      <c r="AO27" s="60">
        <f t="shared" si="10"/>
        <v>0</v>
      </c>
      <c r="AP27" s="60">
        <f>ROUND(AO27*AN27*Input!$C$3/365,0)</f>
        <v>0</v>
      </c>
      <c r="AQ27" s="61">
        <f>IF($A27&lt;=Input!$C$6,0,IF('Unique Tenure'!AM27&lt;'Unique Tenure'!AO27,'Unique Tenure'!AM27-AP27,'Unique Tenure'!AO27))</f>
        <v>0</v>
      </c>
      <c r="AR27" s="61">
        <f t="shared" si="11"/>
        <v>0</v>
      </c>
      <c r="AS27" s="60">
        <f t="shared" si="12"/>
        <v>0</v>
      </c>
      <c r="AT27" s="193"/>
      <c r="AU27" s="169">
        <v>23</v>
      </c>
      <c r="AV27" s="1">
        <f t="shared" si="30"/>
        <v>46218</v>
      </c>
      <c r="AW27" s="60">
        <f>IF($X27&lt;Input!$H$88,IF($X27&lt;Input!$G$88,IF($X27&lt;Input!$F$88,IF($X27&lt;Input!$E$88,IF($X27&lt;Input!$D$88,Input!$C$94,Input!$D$94),Input!$E$94),Input!$F$94),Input!$G$94),Input!$H$94)</f>
        <v>0</v>
      </c>
      <c r="AX27" s="190">
        <f>IF($A27&lt;Input!$H$95,IF($A27&lt;Input!$G$95,IF($A27&lt;Input!$F$95,IF($A27&lt;Input!$E$95,IF($A27&lt;Input!$D$95,Input!$C$96,Input!$D$96),Input!$E$96),Input!$F$96),Input!$G$96),Input!$H$96)</f>
        <v>0.9</v>
      </c>
      <c r="AY27" s="60">
        <f t="shared" si="13"/>
        <v>0</v>
      </c>
      <c r="AZ27" s="60">
        <f t="shared" si="31"/>
        <v>30</v>
      </c>
      <c r="BA27" s="60">
        <f t="shared" si="14"/>
        <v>0</v>
      </c>
      <c r="BB27" s="60">
        <f>ROUND(BA27*AZ27*Input!$C$3/365,0)</f>
        <v>0</v>
      </c>
      <c r="BC27" s="61">
        <f>IF($A27&lt;=Input!$C$6,0,IF('Unique Tenure'!AY27&lt;'Unique Tenure'!BA27,'Unique Tenure'!AY27-BB27,'Unique Tenure'!BA27))</f>
        <v>0</v>
      </c>
      <c r="BD27" s="61">
        <f t="shared" si="15"/>
        <v>0</v>
      </c>
      <c r="BE27" s="60">
        <f t="shared" si="16"/>
        <v>0</v>
      </c>
      <c r="BF27" s="193"/>
      <c r="BG27" s="169">
        <v>23</v>
      </c>
      <c r="BH27" s="1">
        <f t="shared" si="32"/>
        <v>46218</v>
      </c>
      <c r="BI27" s="60">
        <f>IF($X27&lt;Input!$H$103,IF($X27&lt;Input!$G$103,IF($X27&lt;Input!$F$103,IF($X27&lt;Input!$E$103,IF($X27&lt;Input!$D$103,Input!$C$109,Input!$D$109),Input!$E$109),Input!$F$109),Input!$G$109),Input!$H$109)</f>
        <v>0</v>
      </c>
      <c r="BJ27" s="190">
        <f>IF($A27&lt;Input!$H$110,IF($A27&lt;Input!$G$110,IF($A27&lt;Input!$F$110,IF($A27&lt;Input!$E$110,IF($A27&lt;Input!$D$110,Input!$C$111,Input!$D$111),Input!$E$111),Input!$F$111),Input!$G$111),Input!$H$111)</f>
        <v>0.9</v>
      </c>
      <c r="BK27" s="60">
        <f t="shared" si="17"/>
        <v>0</v>
      </c>
      <c r="BL27" s="60">
        <f t="shared" si="33"/>
        <v>30</v>
      </c>
      <c r="BM27" s="60">
        <f t="shared" si="18"/>
        <v>0</v>
      </c>
      <c r="BN27" s="60">
        <f>ROUND(BM27*BL27*Input!$C$3/365,0)</f>
        <v>0</v>
      </c>
      <c r="BO27" s="61">
        <f>IF($A27&lt;=Input!$C$6,0,IF('Unique Tenure'!BK27&lt;'Unique Tenure'!BM27,'Unique Tenure'!BK27-BN27,'Unique Tenure'!BM27))</f>
        <v>0</v>
      </c>
      <c r="BP27" s="61">
        <f t="shared" si="19"/>
        <v>0</v>
      </c>
      <c r="BQ27" s="60">
        <f t="shared" si="20"/>
        <v>0</v>
      </c>
      <c r="BR27" s="198"/>
    </row>
    <row r="28" spans="1:70" s="51" customFormat="1" x14ac:dyDescent="0.25">
      <c r="A28" s="169">
        <v>24</v>
      </c>
      <c r="B28" s="1">
        <f t="shared" si="21"/>
        <v>46249</v>
      </c>
      <c r="C28" s="60">
        <f>SUM(
   IF(($A$4:$A$184 &lt;= Input!$D$16), M28, 0),
   IF(($A$4:$A$184 &lt;= Input!$E$16), Y28, 0),
   IF(($A$4:$A$184 &lt;= Input!$F$16), AK28, 0),
   IF(($A$4:$A$184 &lt;= Input!$G$16), AW28, 0),
   IF(($A$4:$A$184 &lt;= Input!$H$16), BI28, 0)
)</f>
        <v>16470000</v>
      </c>
      <c r="D28" s="60">
        <f>SUM(
   IF(($A$4:$A$184 &lt;= Input!$D$16), O28, 0),
   IF(($A$4:$A$184 &lt;= Input!$E$16), AA28, 0),
   IF(($A$4:$A$184 &lt;= Input!$F$16), AM28, 0),
   IF(($A$4:$A$184 &lt;= Input!$G$16), AY28, 0),
   IF(($A$4:$A$184 &lt;= Input!$H$16), BK28, 0)
)</f>
        <v>14823000</v>
      </c>
      <c r="E28" s="60">
        <f t="shared" si="22"/>
        <v>31</v>
      </c>
      <c r="F28" s="60">
        <f t="shared" si="23"/>
        <v>938339009</v>
      </c>
      <c r="G28" s="60">
        <f>ROUND(F28*E28*Input!$C$3/365,0)</f>
        <v>11954182</v>
      </c>
      <c r="H28" s="60">
        <f>IF($A28&lt;=Input!$C$6,0,IF('Unique Tenure'!D28&lt;'Unique Tenure'!F28,'Unique Tenure'!D28-G28,'Unique Tenure'!F28))</f>
        <v>2868818</v>
      </c>
      <c r="I28" s="60">
        <f t="shared" si="24"/>
        <v>14823000</v>
      </c>
      <c r="J28" s="60">
        <f t="shared" si="25"/>
        <v>935470191</v>
      </c>
      <c r="K28" s="202">
        <f>J28/Input!$K$5</f>
        <v>3.1182339699999999</v>
      </c>
      <c r="L28" s="232"/>
      <c r="M28" s="60">
        <f>IF($B28&lt;Input!$H$43,IF($B28&lt;Input!$G$43,IF($B28&lt;Input!$F$43,IF($B28&lt;Input!$E$43,IF($B28&lt;Input!$D$43,Input!$C$49,Input!$D$49),Input!$E$49),Input!$F$49),Input!$G$49),Input!$H$49)</f>
        <v>16470000</v>
      </c>
      <c r="N28" s="190">
        <f>IF($A28&lt;Input!$H$50,IF($A28&lt;Input!$G$50,IF($A28&lt;Input!$F$50,IF($A28&lt;Input!$E$50,IF($A28&lt;Input!$D$50,Input!$C$51,Input!$D$51),Input!$E$51),Input!$F$51),Input!$G$51),Input!$H$51)</f>
        <v>0.9</v>
      </c>
      <c r="O28" s="60">
        <f t="shared" si="0"/>
        <v>14823000</v>
      </c>
      <c r="P28" s="60">
        <f t="shared" si="1"/>
        <v>31</v>
      </c>
      <c r="Q28" s="60">
        <f t="shared" si="2"/>
        <v>938339009</v>
      </c>
      <c r="R28" s="60">
        <f>ROUND(Q28*$P28*Input!$C$3/365,0)</f>
        <v>11954182</v>
      </c>
      <c r="S28" s="60">
        <f>IF(A28&lt;=Input!$C$6,0,IF('Unique Tenure'!O28&lt;'Unique Tenure'!Q28,'Unique Tenure'!O28-R28,'Unique Tenure'!Q28))</f>
        <v>2868818</v>
      </c>
      <c r="T28" s="60">
        <f t="shared" si="3"/>
        <v>14823000</v>
      </c>
      <c r="U28" s="60">
        <f t="shared" si="4"/>
        <v>935470191</v>
      </c>
      <c r="V28" s="193"/>
      <c r="W28" s="169">
        <v>24</v>
      </c>
      <c r="X28" s="1">
        <f t="shared" si="26"/>
        <v>46249</v>
      </c>
      <c r="Y28" s="60">
        <f>IF($X28&lt;Input!$H$58,IF($X28&lt;Input!$G$58,IF($X28&lt;Input!$F$58,IF($X28&lt;Input!$E$58,IF($X28&lt;Input!$D$58,Input!$C$64,Input!$D$64),Input!$E$64),Input!$F$64),Input!$G$64),Input!$H$64)</f>
        <v>0</v>
      </c>
      <c r="Z28" s="190">
        <f>IF($A28&lt;Input!$H$65,IF($A28&lt;Input!$G$65,IF($A28&lt;Input!$F$65,IF($A28&lt;Input!$E$65,IF($A28&lt;Input!$D$65,Input!$C$66,Input!$D$66),Input!$E$66),Input!$F$66),Input!$G$66),Input!$H$66)</f>
        <v>0.9</v>
      </c>
      <c r="AA28" s="60">
        <f t="shared" si="5"/>
        <v>0</v>
      </c>
      <c r="AB28" s="60">
        <f t="shared" si="27"/>
        <v>31</v>
      </c>
      <c r="AC28" s="60">
        <f t="shared" si="6"/>
        <v>0</v>
      </c>
      <c r="AD28" s="60">
        <f>ROUND(AC28*AB28*Input!$C$3/365,0)</f>
        <v>0</v>
      </c>
      <c r="AE28" s="61">
        <f>IF($A28&lt;=Input!$C$6,0,IF('Unique Tenure'!AA28&lt;'Unique Tenure'!AC28,'Unique Tenure'!AA28-AD28,'Unique Tenure'!AC28))</f>
        <v>0</v>
      </c>
      <c r="AF28" s="61">
        <f t="shared" si="7"/>
        <v>0</v>
      </c>
      <c r="AG28" s="60">
        <f t="shared" si="8"/>
        <v>0</v>
      </c>
      <c r="AH28" s="193"/>
      <c r="AI28" s="169">
        <v>24</v>
      </c>
      <c r="AJ28" s="1">
        <f t="shared" si="28"/>
        <v>46249</v>
      </c>
      <c r="AK28" s="60">
        <f>IF($X28&lt;Input!$H$73,IF($X28&lt;Input!$G$73,IF($X28&lt;Input!$F$73,IF($X28&lt;Input!$E$73,IF($X28&lt;Input!$D$73,Input!$C$79,Input!$D$79),Input!$E$79),Input!$F$79),Input!$G$79),Input!$H$79)</f>
        <v>0</v>
      </c>
      <c r="AL28" s="190">
        <f>IF($A28&lt;Input!$H$80,IF($A28&lt;Input!$G$80,IF($A28&lt;Input!$F$80,IF($A28&lt;Input!$E$80,IF($A28&lt;Input!$D$80,Input!$C$81,Input!$D$81),Input!$E$81),Input!$F$81),Input!$G$81),Input!$H$81)</f>
        <v>0.9</v>
      </c>
      <c r="AM28" s="60">
        <f t="shared" si="9"/>
        <v>0</v>
      </c>
      <c r="AN28" s="60">
        <f t="shared" si="29"/>
        <v>31</v>
      </c>
      <c r="AO28" s="60">
        <f t="shared" si="10"/>
        <v>0</v>
      </c>
      <c r="AP28" s="60">
        <f>ROUND(AO28*AN28*Input!$C$3/365,0)</f>
        <v>0</v>
      </c>
      <c r="AQ28" s="61">
        <f>IF($A28&lt;=Input!$C$6,0,IF('Unique Tenure'!AM28&lt;'Unique Tenure'!AO28,'Unique Tenure'!AM28-AP28,'Unique Tenure'!AO28))</f>
        <v>0</v>
      </c>
      <c r="AR28" s="61">
        <f t="shared" si="11"/>
        <v>0</v>
      </c>
      <c r="AS28" s="60">
        <f t="shared" si="12"/>
        <v>0</v>
      </c>
      <c r="AT28" s="193"/>
      <c r="AU28" s="169">
        <v>24</v>
      </c>
      <c r="AV28" s="1">
        <f t="shared" si="30"/>
        <v>46249</v>
      </c>
      <c r="AW28" s="60">
        <f>IF($X28&lt;Input!$H$88,IF($X28&lt;Input!$G$88,IF($X28&lt;Input!$F$88,IF($X28&lt;Input!$E$88,IF($X28&lt;Input!$D$88,Input!$C$94,Input!$D$94),Input!$E$94),Input!$F$94),Input!$G$94),Input!$H$94)</f>
        <v>0</v>
      </c>
      <c r="AX28" s="190">
        <f>IF($A28&lt;Input!$H$95,IF($A28&lt;Input!$G$95,IF($A28&lt;Input!$F$95,IF($A28&lt;Input!$E$95,IF($A28&lt;Input!$D$95,Input!$C$96,Input!$D$96),Input!$E$96),Input!$F$96),Input!$G$96),Input!$H$96)</f>
        <v>0.9</v>
      </c>
      <c r="AY28" s="60">
        <f t="shared" si="13"/>
        <v>0</v>
      </c>
      <c r="AZ28" s="60">
        <f t="shared" si="31"/>
        <v>31</v>
      </c>
      <c r="BA28" s="60">
        <f t="shared" si="14"/>
        <v>0</v>
      </c>
      <c r="BB28" s="60">
        <f>ROUND(BA28*AZ28*Input!$C$3/365,0)</f>
        <v>0</v>
      </c>
      <c r="BC28" s="61">
        <f>IF($A28&lt;=Input!$C$6,0,IF('Unique Tenure'!AY28&lt;'Unique Tenure'!BA28,'Unique Tenure'!AY28-BB28,'Unique Tenure'!BA28))</f>
        <v>0</v>
      </c>
      <c r="BD28" s="61">
        <f t="shared" si="15"/>
        <v>0</v>
      </c>
      <c r="BE28" s="60">
        <f t="shared" si="16"/>
        <v>0</v>
      </c>
      <c r="BF28" s="193"/>
      <c r="BG28" s="169">
        <v>24</v>
      </c>
      <c r="BH28" s="1">
        <f t="shared" si="32"/>
        <v>46249</v>
      </c>
      <c r="BI28" s="60">
        <f>IF($X28&lt;Input!$H$103,IF($X28&lt;Input!$G$103,IF($X28&lt;Input!$F$103,IF($X28&lt;Input!$E$103,IF($X28&lt;Input!$D$103,Input!$C$109,Input!$D$109),Input!$E$109),Input!$F$109),Input!$G$109),Input!$H$109)</f>
        <v>0</v>
      </c>
      <c r="BJ28" s="190">
        <f>IF($A28&lt;Input!$H$110,IF($A28&lt;Input!$G$110,IF($A28&lt;Input!$F$110,IF($A28&lt;Input!$E$110,IF($A28&lt;Input!$D$110,Input!$C$111,Input!$D$111),Input!$E$111),Input!$F$111),Input!$G$111),Input!$H$111)</f>
        <v>0.9</v>
      </c>
      <c r="BK28" s="60">
        <f t="shared" si="17"/>
        <v>0</v>
      </c>
      <c r="BL28" s="60">
        <f t="shared" si="33"/>
        <v>31</v>
      </c>
      <c r="BM28" s="60">
        <f t="shared" si="18"/>
        <v>0</v>
      </c>
      <c r="BN28" s="60">
        <f>ROUND(BM28*BL28*Input!$C$3/365,0)</f>
        <v>0</v>
      </c>
      <c r="BO28" s="61">
        <f>IF($A28&lt;=Input!$C$6,0,IF('Unique Tenure'!BK28&lt;'Unique Tenure'!BM28,'Unique Tenure'!BK28-BN28,'Unique Tenure'!BM28))</f>
        <v>0</v>
      </c>
      <c r="BP28" s="61">
        <f t="shared" si="19"/>
        <v>0</v>
      </c>
      <c r="BQ28" s="60">
        <f t="shared" si="20"/>
        <v>0</v>
      </c>
      <c r="BR28" s="198"/>
    </row>
    <row r="29" spans="1:70" s="51" customFormat="1" x14ac:dyDescent="0.25">
      <c r="A29" s="169">
        <v>25</v>
      </c>
      <c r="B29" s="1">
        <f t="shared" si="21"/>
        <v>46280</v>
      </c>
      <c r="C29" s="60">
        <f>SUM(
   IF(($A$4:$A$184 &lt;= Input!$D$16), M29, 0),
   IF(($A$4:$A$184 &lt;= Input!$E$16), Y29, 0),
   IF(($A$4:$A$184 &lt;= Input!$F$16), AK29, 0),
   IF(($A$4:$A$184 &lt;= Input!$G$16), AW29, 0),
   IF(($A$4:$A$184 &lt;= Input!$H$16), BI29, 0)
)</f>
        <v>16470000</v>
      </c>
      <c r="D29" s="60">
        <f>SUM(
   IF(($A$4:$A$184 &lt;= Input!$D$16), O29, 0),
   IF(($A$4:$A$184 &lt;= Input!$E$16), AA29, 0),
   IF(($A$4:$A$184 &lt;= Input!$F$16), AM29, 0),
   IF(($A$4:$A$184 &lt;= Input!$G$16), AY29, 0),
   IF(($A$4:$A$184 &lt;= Input!$H$16), BK29, 0)
)</f>
        <v>14823000</v>
      </c>
      <c r="E29" s="60">
        <f t="shared" si="22"/>
        <v>31</v>
      </c>
      <c r="F29" s="60">
        <f t="shared" si="23"/>
        <v>935470191</v>
      </c>
      <c r="G29" s="60">
        <f>ROUND(F29*E29*Input!$C$3/365,0)</f>
        <v>11917634</v>
      </c>
      <c r="H29" s="60">
        <f>IF($A29&lt;=Input!$C$6,0,IF('Unique Tenure'!D29&lt;'Unique Tenure'!F29,'Unique Tenure'!D29-G29,'Unique Tenure'!F29))</f>
        <v>2905366</v>
      </c>
      <c r="I29" s="60">
        <f t="shared" si="24"/>
        <v>14823000</v>
      </c>
      <c r="J29" s="60">
        <f t="shared" si="25"/>
        <v>932564825</v>
      </c>
      <c r="K29" s="202">
        <f>J29/Input!$K$5</f>
        <v>3.1085494166666665</v>
      </c>
      <c r="L29" s="232"/>
      <c r="M29" s="60">
        <f>IF($B29&lt;Input!$H$43,IF($B29&lt;Input!$G$43,IF($B29&lt;Input!$F$43,IF($B29&lt;Input!$E$43,IF($B29&lt;Input!$D$43,Input!$C$49,Input!$D$49),Input!$E$49),Input!$F$49),Input!$G$49),Input!$H$49)</f>
        <v>16470000</v>
      </c>
      <c r="N29" s="190">
        <f>IF($A29&lt;Input!$H$50,IF($A29&lt;Input!$G$50,IF($A29&lt;Input!$F$50,IF($A29&lt;Input!$E$50,IF($A29&lt;Input!$D$50,Input!$C$51,Input!$D$51),Input!$E$51),Input!$F$51),Input!$G$51),Input!$H$51)</f>
        <v>0.9</v>
      </c>
      <c r="O29" s="60">
        <f t="shared" si="0"/>
        <v>14823000</v>
      </c>
      <c r="P29" s="60">
        <f t="shared" si="1"/>
        <v>31</v>
      </c>
      <c r="Q29" s="60">
        <f t="shared" si="2"/>
        <v>935470191</v>
      </c>
      <c r="R29" s="60">
        <f>ROUND(Q29*$P29*Input!$C$3/365,0)</f>
        <v>11917634</v>
      </c>
      <c r="S29" s="60">
        <f>IF(A29&lt;=Input!$C$6,0,IF('Unique Tenure'!O29&lt;'Unique Tenure'!Q29,'Unique Tenure'!O29-R29,'Unique Tenure'!Q29))</f>
        <v>2905366</v>
      </c>
      <c r="T29" s="60">
        <f t="shared" si="3"/>
        <v>14823000</v>
      </c>
      <c r="U29" s="60">
        <f t="shared" si="4"/>
        <v>932564825</v>
      </c>
      <c r="V29" s="193"/>
      <c r="W29" s="169">
        <v>25</v>
      </c>
      <c r="X29" s="1">
        <f t="shared" si="26"/>
        <v>46280</v>
      </c>
      <c r="Y29" s="60">
        <f>IF($X29&lt;Input!$H$58,IF($X29&lt;Input!$G$58,IF($X29&lt;Input!$F$58,IF($X29&lt;Input!$E$58,IF($X29&lt;Input!$D$58,Input!$C$64,Input!$D$64),Input!$E$64),Input!$F$64),Input!$G$64),Input!$H$64)</f>
        <v>0</v>
      </c>
      <c r="Z29" s="190">
        <f>IF($A29&lt;Input!$H$65,IF($A29&lt;Input!$G$65,IF($A29&lt;Input!$F$65,IF($A29&lt;Input!$E$65,IF($A29&lt;Input!$D$65,Input!$C$66,Input!$D$66),Input!$E$66),Input!$F$66),Input!$G$66),Input!$H$66)</f>
        <v>0.9</v>
      </c>
      <c r="AA29" s="60">
        <f t="shared" si="5"/>
        <v>0</v>
      </c>
      <c r="AB29" s="60">
        <f t="shared" si="27"/>
        <v>31</v>
      </c>
      <c r="AC29" s="60">
        <f t="shared" si="6"/>
        <v>0</v>
      </c>
      <c r="AD29" s="60">
        <f>ROUND(AC29*AB29*Input!$C$3/365,0)</f>
        <v>0</v>
      </c>
      <c r="AE29" s="61">
        <f>IF($A29&lt;=Input!$C$6,0,IF('Unique Tenure'!AA29&lt;'Unique Tenure'!AC29,'Unique Tenure'!AA29-AD29,'Unique Tenure'!AC29))</f>
        <v>0</v>
      </c>
      <c r="AF29" s="61">
        <f t="shared" si="7"/>
        <v>0</v>
      </c>
      <c r="AG29" s="60">
        <f t="shared" si="8"/>
        <v>0</v>
      </c>
      <c r="AH29" s="193"/>
      <c r="AI29" s="169">
        <v>25</v>
      </c>
      <c r="AJ29" s="1">
        <f t="shared" si="28"/>
        <v>46280</v>
      </c>
      <c r="AK29" s="60">
        <f>IF($X29&lt;Input!$H$73,IF($X29&lt;Input!$G$73,IF($X29&lt;Input!$F$73,IF($X29&lt;Input!$E$73,IF($X29&lt;Input!$D$73,Input!$C$79,Input!$D$79),Input!$E$79),Input!$F$79),Input!$G$79),Input!$H$79)</f>
        <v>0</v>
      </c>
      <c r="AL29" s="190">
        <f>IF($A29&lt;Input!$H$80,IF($A29&lt;Input!$G$80,IF($A29&lt;Input!$F$80,IF($A29&lt;Input!$E$80,IF($A29&lt;Input!$D$80,Input!$C$81,Input!$D$81),Input!$E$81),Input!$F$81),Input!$G$81),Input!$H$81)</f>
        <v>0.9</v>
      </c>
      <c r="AM29" s="60">
        <f t="shared" si="9"/>
        <v>0</v>
      </c>
      <c r="AN29" s="60">
        <f t="shared" si="29"/>
        <v>31</v>
      </c>
      <c r="AO29" s="60">
        <f t="shared" si="10"/>
        <v>0</v>
      </c>
      <c r="AP29" s="60">
        <f>ROUND(AO29*AN29*Input!$C$3/365,0)</f>
        <v>0</v>
      </c>
      <c r="AQ29" s="61">
        <f>IF($A29&lt;=Input!$C$6,0,IF('Unique Tenure'!AM29&lt;'Unique Tenure'!AO29,'Unique Tenure'!AM29-AP29,'Unique Tenure'!AO29))</f>
        <v>0</v>
      </c>
      <c r="AR29" s="61">
        <f t="shared" si="11"/>
        <v>0</v>
      </c>
      <c r="AS29" s="60">
        <f t="shared" si="12"/>
        <v>0</v>
      </c>
      <c r="AT29" s="193"/>
      <c r="AU29" s="169">
        <v>25</v>
      </c>
      <c r="AV29" s="1">
        <f t="shared" si="30"/>
        <v>46280</v>
      </c>
      <c r="AW29" s="60">
        <f>IF($X29&lt;Input!$H$88,IF($X29&lt;Input!$G$88,IF($X29&lt;Input!$F$88,IF($X29&lt;Input!$E$88,IF($X29&lt;Input!$D$88,Input!$C$94,Input!$D$94),Input!$E$94),Input!$F$94),Input!$G$94),Input!$H$94)</f>
        <v>0</v>
      </c>
      <c r="AX29" s="190">
        <f>IF($A29&lt;Input!$H$95,IF($A29&lt;Input!$G$95,IF($A29&lt;Input!$F$95,IF($A29&lt;Input!$E$95,IF($A29&lt;Input!$D$95,Input!$C$96,Input!$D$96),Input!$E$96),Input!$F$96),Input!$G$96),Input!$H$96)</f>
        <v>0.9</v>
      </c>
      <c r="AY29" s="60">
        <f t="shared" si="13"/>
        <v>0</v>
      </c>
      <c r="AZ29" s="60">
        <f t="shared" si="31"/>
        <v>31</v>
      </c>
      <c r="BA29" s="60">
        <f t="shared" si="14"/>
        <v>0</v>
      </c>
      <c r="BB29" s="60">
        <f>ROUND(BA29*AZ29*Input!$C$3/365,0)</f>
        <v>0</v>
      </c>
      <c r="BC29" s="61">
        <f>IF($A29&lt;=Input!$C$6,0,IF('Unique Tenure'!AY29&lt;'Unique Tenure'!BA29,'Unique Tenure'!AY29-BB29,'Unique Tenure'!BA29))</f>
        <v>0</v>
      </c>
      <c r="BD29" s="61">
        <f t="shared" si="15"/>
        <v>0</v>
      </c>
      <c r="BE29" s="60">
        <f t="shared" si="16"/>
        <v>0</v>
      </c>
      <c r="BF29" s="193"/>
      <c r="BG29" s="169">
        <v>25</v>
      </c>
      <c r="BH29" s="1">
        <f t="shared" si="32"/>
        <v>46280</v>
      </c>
      <c r="BI29" s="60">
        <f>IF($X29&lt;Input!$H$103,IF($X29&lt;Input!$G$103,IF($X29&lt;Input!$F$103,IF($X29&lt;Input!$E$103,IF($X29&lt;Input!$D$103,Input!$C$109,Input!$D$109),Input!$E$109),Input!$F$109),Input!$G$109),Input!$H$109)</f>
        <v>0</v>
      </c>
      <c r="BJ29" s="190">
        <f>IF($A29&lt;Input!$H$110,IF($A29&lt;Input!$G$110,IF($A29&lt;Input!$F$110,IF($A29&lt;Input!$E$110,IF($A29&lt;Input!$D$110,Input!$C$111,Input!$D$111),Input!$E$111),Input!$F$111),Input!$G$111),Input!$H$111)</f>
        <v>0.9</v>
      </c>
      <c r="BK29" s="60">
        <f t="shared" si="17"/>
        <v>0</v>
      </c>
      <c r="BL29" s="60">
        <f t="shared" si="33"/>
        <v>31</v>
      </c>
      <c r="BM29" s="60">
        <f t="shared" si="18"/>
        <v>0</v>
      </c>
      <c r="BN29" s="60">
        <f>ROUND(BM29*BL29*Input!$C$3/365,0)</f>
        <v>0</v>
      </c>
      <c r="BO29" s="61">
        <f>IF($A29&lt;=Input!$C$6,0,IF('Unique Tenure'!BK29&lt;'Unique Tenure'!BM29,'Unique Tenure'!BK29-BN29,'Unique Tenure'!BM29))</f>
        <v>0</v>
      </c>
      <c r="BP29" s="61">
        <f t="shared" si="19"/>
        <v>0</v>
      </c>
      <c r="BQ29" s="60">
        <f t="shared" si="20"/>
        <v>0</v>
      </c>
      <c r="BR29" s="198"/>
    </row>
    <row r="30" spans="1:70" s="51" customFormat="1" x14ac:dyDescent="0.25">
      <c r="A30" s="169">
        <v>26</v>
      </c>
      <c r="B30" s="1">
        <f t="shared" si="21"/>
        <v>46310</v>
      </c>
      <c r="C30" s="60">
        <f>SUM(
   IF(($A$4:$A$184 &lt;= Input!$D$16), M30, 0),
   IF(($A$4:$A$184 &lt;= Input!$E$16), Y30, 0),
   IF(($A$4:$A$184 &lt;= Input!$F$16), AK30, 0),
   IF(($A$4:$A$184 &lt;= Input!$G$16), AW30, 0),
   IF(($A$4:$A$184 &lt;= Input!$H$16), BI30, 0)
)</f>
        <v>16470000</v>
      </c>
      <c r="D30" s="60">
        <f>SUM(
   IF(($A$4:$A$184 &lt;= Input!$D$16), O30, 0),
   IF(($A$4:$A$184 &lt;= Input!$E$16), AA30, 0),
   IF(($A$4:$A$184 &lt;= Input!$F$16), AM30, 0),
   IF(($A$4:$A$184 &lt;= Input!$G$16), AY30, 0),
   IF(($A$4:$A$184 &lt;= Input!$H$16), BK30, 0)
)</f>
        <v>14823000</v>
      </c>
      <c r="E30" s="60">
        <f t="shared" si="22"/>
        <v>30</v>
      </c>
      <c r="F30" s="60">
        <f t="shared" si="23"/>
        <v>932564825</v>
      </c>
      <c r="G30" s="60">
        <f>ROUND(F30*E30*Input!$C$3/365,0)</f>
        <v>11497375</v>
      </c>
      <c r="H30" s="60">
        <f>IF($A30&lt;=Input!$C$6,0,IF('Unique Tenure'!D30&lt;'Unique Tenure'!F30,'Unique Tenure'!D30-G30,'Unique Tenure'!F30))</f>
        <v>3325625</v>
      </c>
      <c r="I30" s="60">
        <f t="shared" si="24"/>
        <v>14823000</v>
      </c>
      <c r="J30" s="60">
        <f t="shared" si="25"/>
        <v>929239200</v>
      </c>
      <c r="K30" s="202">
        <f>J30/Input!$K$5</f>
        <v>3.097464</v>
      </c>
      <c r="L30" s="232"/>
      <c r="M30" s="60">
        <f>IF($B30&lt;Input!$H$43,IF($B30&lt;Input!$G$43,IF($B30&lt;Input!$F$43,IF($B30&lt;Input!$E$43,IF($B30&lt;Input!$D$43,Input!$C$49,Input!$D$49),Input!$E$49),Input!$F$49),Input!$G$49),Input!$H$49)</f>
        <v>16470000</v>
      </c>
      <c r="N30" s="190">
        <f>IF($A30&lt;Input!$H$50,IF($A30&lt;Input!$G$50,IF($A30&lt;Input!$F$50,IF($A30&lt;Input!$E$50,IF($A30&lt;Input!$D$50,Input!$C$51,Input!$D$51),Input!$E$51),Input!$F$51),Input!$G$51),Input!$H$51)</f>
        <v>0.9</v>
      </c>
      <c r="O30" s="60">
        <f t="shared" si="0"/>
        <v>14823000</v>
      </c>
      <c r="P30" s="60">
        <f t="shared" si="1"/>
        <v>30</v>
      </c>
      <c r="Q30" s="60">
        <f t="shared" si="2"/>
        <v>932564825</v>
      </c>
      <c r="R30" s="60">
        <f>ROUND(Q30*$P30*Input!$C$3/365,0)</f>
        <v>11497375</v>
      </c>
      <c r="S30" s="60">
        <f>IF(A30&lt;=Input!$C$6,0,IF('Unique Tenure'!O30&lt;'Unique Tenure'!Q30,'Unique Tenure'!O30-R30,'Unique Tenure'!Q30))</f>
        <v>3325625</v>
      </c>
      <c r="T30" s="60">
        <f t="shared" si="3"/>
        <v>14823000</v>
      </c>
      <c r="U30" s="60">
        <f t="shared" si="4"/>
        <v>929239200</v>
      </c>
      <c r="V30" s="193"/>
      <c r="W30" s="169">
        <v>26</v>
      </c>
      <c r="X30" s="1">
        <f t="shared" si="26"/>
        <v>46310</v>
      </c>
      <c r="Y30" s="60">
        <f>IF($X30&lt;Input!$H$58,IF($X30&lt;Input!$G$58,IF($X30&lt;Input!$F$58,IF($X30&lt;Input!$E$58,IF($X30&lt;Input!$D$58,Input!$C$64,Input!$D$64),Input!$E$64),Input!$F$64),Input!$G$64),Input!$H$64)</f>
        <v>0</v>
      </c>
      <c r="Z30" s="190">
        <f>IF($A30&lt;Input!$H$65,IF($A30&lt;Input!$G$65,IF($A30&lt;Input!$F$65,IF($A30&lt;Input!$E$65,IF($A30&lt;Input!$D$65,Input!$C$66,Input!$D$66),Input!$E$66),Input!$F$66),Input!$G$66),Input!$H$66)</f>
        <v>0.9</v>
      </c>
      <c r="AA30" s="60">
        <f t="shared" si="5"/>
        <v>0</v>
      </c>
      <c r="AB30" s="60">
        <f t="shared" si="27"/>
        <v>30</v>
      </c>
      <c r="AC30" s="60">
        <f t="shared" si="6"/>
        <v>0</v>
      </c>
      <c r="AD30" s="60">
        <f>ROUND(AC30*AB30*Input!$C$3/365,0)</f>
        <v>0</v>
      </c>
      <c r="AE30" s="61">
        <f>IF($A30&lt;=Input!$C$6,0,IF('Unique Tenure'!AA30&lt;'Unique Tenure'!AC30,'Unique Tenure'!AA30-AD30,'Unique Tenure'!AC30))</f>
        <v>0</v>
      </c>
      <c r="AF30" s="61">
        <f t="shared" si="7"/>
        <v>0</v>
      </c>
      <c r="AG30" s="60">
        <f t="shared" si="8"/>
        <v>0</v>
      </c>
      <c r="AH30" s="193"/>
      <c r="AI30" s="169">
        <v>26</v>
      </c>
      <c r="AJ30" s="1">
        <f t="shared" si="28"/>
        <v>46310</v>
      </c>
      <c r="AK30" s="60">
        <f>IF($X30&lt;Input!$H$73,IF($X30&lt;Input!$G$73,IF($X30&lt;Input!$F$73,IF($X30&lt;Input!$E$73,IF($X30&lt;Input!$D$73,Input!$C$79,Input!$D$79),Input!$E$79),Input!$F$79),Input!$G$79),Input!$H$79)</f>
        <v>0</v>
      </c>
      <c r="AL30" s="190">
        <f>IF($A30&lt;Input!$H$80,IF($A30&lt;Input!$G$80,IF($A30&lt;Input!$F$80,IF($A30&lt;Input!$E$80,IF($A30&lt;Input!$D$80,Input!$C$81,Input!$D$81),Input!$E$81),Input!$F$81),Input!$G$81),Input!$H$81)</f>
        <v>0.9</v>
      </c>
      <c r="AM30" s="60">
        <f t="shared" si="9"/>
        <v>0</v>
      </c>
      <c r="AN30" s="60">
        <f t="shared" si="29"/>
        <v>30</v>
      </c>
      <c r="AO30" s="60">
        <f t="shared" si="10"/>
        <v>0</v>
      </c>
      <c r="AP30" s="60">
        <f>ROUND(AO30*AN30*Input!$C$3/365,0)</f>
        <v>0</v>
      </c>
      <c r="AQ30" s="61">
        <f>IF($A30&lt;=Input!$C$6,0,IF('Unique Tenure'!AM30&lt;'Unique Tenure'!AO30,'Unique Tenure'!AM30-AP30,'Unique Tenure'!AO30))</f>
        <v>0</v>
      </c>
      <c r="AR30" s="61">
        <f t="shared" si="11"/>
        <v>0</v>
      </c>
      <c r="AS30" s="60">
        <f t="shared" si="12"/>
        <v>0</v>
      </c>
      <c r="AT30" s="193"/>
      <c r="AU30" s="169">
        <v>26</v>
      </c>
      <c r="AV30" s="1">
        <f t="shared" si="30"/>
        <v>46310</v>
      </c>
      <c r="AW30" s="60">
        <f>IF($X30&lt;Input!$H$88,IF($X30&lt;Input!$G$88,IF($X30&lt;Input!$F$88,IF($X30&lt;Input!$E$88,IF($X30&lt;Input!$D$88,Input!$C$94,Input!$D$94),Input!$E$94),Input!$F$94),Input!$G$94),Input!$H$94)</f>
        <v>0</v>
      </c>
      <c r="AX30" s="190">
        <f>IF($A30&lt;Input!$H$95,IF($A30&lt;Input!$G$95,IF($A30&lt;Input!$F$95,IF($A30&lt;Input!$E$95,IF($A30&lt;Input!$D$95,Input!$C$96,Input!$D$96),Input!$E$96),Input!$F$96),Input!$G$96),Input!$H$96)</f>
        <v>0.9</v>
      </c>
      <c r="AY30" s="60">
        <f t="shared" si="13"/>
        <v>0</v>
      </c>
      <c r="AZ30" s="60">
        <f t="shared" si="31"/>
        <v>30</v>
      </c>
      <c r="BA30" s="60">
        <f t="shared" si="14"/>
        <v>0</v>
      </c>
      <c r="BB30" s="60">
        <f>ROUND(BA30*AZ30*Input!$C$3/365,0)</f>
        <v>0</v>
      </c>
      <c r="BC30" s="61">
        <f>IF($A30&lt;=Input!$C$6,0,IF('Unique Tenure'!AY30&lt;'Unique Tenure'!BA30,'Unique Tenure'!AY30-BB30,'Unique Tenure'!BA30))</f>
        <v>0</v>
      </c>
      <c r="BD30" s="61">
        <f t="shared" si="15"/>
        <v>0</v>
      </c>
      <c r="BE30" s="60">
        <f t="shared" si="16"/>
        <v>0</v>
      </c>
      <c r="BF30" s="193"/>
      <c r="BG30" s="169">
        <v>26</v>
      </c>
      <c r="BH30" s="1">
        <f t="shared" si="32"/>
        <v>46310</v>
      </c>
      <c r="BI30" s="60">
        <f>IF($X30&lt;Input!$H$103,IF($X30&lt;Input!$G$103,IF($X30&lt;Input!$F$103,IF($X30&lt;Input!$E$103,IF($X30&lt;Input!$D$103,Input!$C$109,Input!$D$109),Input!$E$109),Input!$F$109),Input!$G$109),Input!$H$109)</f>
        <v>0</v>
      </c>
      <c r="BJ30" s="190">
        <f>IF($A30&lt;Input!$H$110,IF($A30&lt;Input!$G$110,IF($A30&lt;Input!$F$110,IF($A30&lt;Input!$E$110,IF($A30&lt;Input!$D$110,Input!$C$111,Input!$D$111),Input!$E$111),Input!$F$111),Input!$G$111),Input!$H$111)</f>
        <v>0.9</v>
      </c>
      <c r="BK30" s="60">
        <f t="shared" si="17"/>
        <v>0</v>
      </c>
      <c r="BL30" s="60">
        <f t="shared" si="33"/>
        <v>30</v>
      </c>
      <c r="BM30" s="60">
        <f t="shared" si="18"/>
        <v>0</v>
      </c>
      <c r="BN30" s="60">
        <f>ROUND(BM30*BL30*Input!$C$3/365,0)</f>
        <v>0</v>
      </c>
      <c r="BO30" s="61">
        <f>IF($A30&lt;=Input!$C$6,0,IF('Unique Tenure'!BK30&lt;'Unique Tenure'!BM30,'Unique Tenure'!BK30-BN30,'Unique Tenure'!BM30))</f>
        <v>0</v>
      </c>
      <c r="BP30" s="61">
        <f t="shared" si="19"/>
        <v>0</v>
      </c>
      <c r="BQ30" s="60">
        <f t="shared" si="20"/>
        <v>0</v>
      </c>
      <c r="BR30" s="198"/>
    </row>
    <row r="31" spans="1:70" s="51" customFormat="1" x14ac:dyDescent="0.25">
      <c r="A31" s="169">
        <v>27</v>
      </c>
      <c r="B31" s="1">
        <f t="shared" si="21"/>
        <v>46341</v>
      </c>
      <c r="C31" s="60">
        <f>SUM(
   IF(($A$4:$A$184 &lt;= Input!$D$16), M31, 0),
   IF(($A$4:$A$184 &lt;= Input!$E$16), Y31, 0),
   IF(($A$4:$A$184 &lt;= Input!$F$16), AK31, 0),
   IF(($A$4:$A$184 &lt;= Input!$G$16), AW31, 0),
   IF(($A$4:$A$184 &lt;= Input!$H$16), BI31, 0)
)</f>
        <v>16470000</v>
      </c>
      <c r="D31" s="60">
        <f>SUM(
   IF(($A$4:$A$184 &lt;= Input!$D$16), O31, 0),
   IF(($A$4:$A$184 &lt;= Input!$E$16), AA31, 0),
   IF(($A$4:$A$184 &lt;= Input!$F$16), AM31, 0),
   IF(($A$4:$A$184 &lt;= Input!$G$16), AY31, 0),
   IF(($A$4:$A$184 &lt;= Input!$H$16), BK31, 0)
)</f>
        <v>14823000</v>
      </c>
      <c r="E31" s="60">
        <f t="shared" si="22"/>
        <v>31</v>
      </c>
      <c r="F31" s="60">
        <f t="shared" si="23"/>
        <v>929239200</v>
      </c>
      <c r="G31" s="60">
        <f>ROUND(F31*E31*Input!$C$3/365,0)</f>
        <v>11838253</v>
      </c>
      <c r="H31" s="60">
        <f>IF($A31&lt;=Input!$C$6,0,IF('Unique Tenure'!D31&lt;'Unique Tenure'!F31,'Unique Tenure'!D31-G31,'Unique Tenure'!F31))</f>
        <v>2984747</v>
      </c>
      <c r="I31" s="60">
        <f t="shared" si="24"/>
        <v>14823000</v>
      </c>
      <c r="J31" s="60">
        <f t="shared" si="25"/>
        <v>926254453</v>
      </c>
      <c r="K31" s="202">
        <f>J31/Input!$K$5</f>
        <v>3.0875148433333335</v>
      </c>
      <c r="L31" s="232"/>
      <c r="M31" s="60">
        <f>IF($B31&lt;Input!$H$43,IF($B31&lt;Input!$G$43,IF($B31&lt;Input!$F$43,IF($B31&lt;Input!$E$43,IF($B31&lt;Input!$D$43,Input!$C$49,Input!$D$49),Input!$E$49),Input!$F$49),Input!$G$49),Input!$H$49)</f>
        <v>16470000</v>
      </c>
      <c r="N31" s="190">
        <f>IF($A31&lt;Input!$H$50,IF($A31&lt;Input!$G$50,IF($A31&lt;Input!$F$50,IF($A31&lt;Input!$E$50,IF($A31&lt;Input!$D$50,Input!$C$51,Input!$D$51),Input!$E$51),Input!$F$51),Input!$G$51),Input!$H$51)</f>
        <v>0.9</v>
      </c>
      <c r="O31" s="60">
        <f t="shared" si="0"/>
        <v>14823000</v>
      </c>
      <c r="P31" s="60">
        <f t="shared" si="1"/>
        <v>31</v>
      </c>
      <c r="Q31" s="60">
        <f t="shared" si="2"/>
        <v>929239200</v>
      </c>
      <c r="R31" s="60">
        <f>ROUND(Q31*$P31*Input!$C$3/365,0)</f>
        <v>11838253</v>
      </c>
      <c r="S31" s="60">
        <f>IF(A31&lt;=Input!$C$6,0,IF('Unique Tenure'!O31&lt;'Unique Tenure'!Q31,'Unique Tenure'!O31-R31,'Unique Tenure'!Q31))</f>
        <v>2984747</v>
      </c>
      <c r="T31" s="60">
        <f t="shared" si="3"/>
        <v>14823000</v>
      </c>
      <c r="U31" s="60">
        <f t="shared" si="4"/>
        <v>926254453</v>
      </c>
      <c r="V31" s="193"/>
      <c r="W31" s="169">
        <v>27</v>
      </c>
      <c r="X31" s="1">
        <f t="shared" si="26"/>
        <v>46341</v>
      </c>
      <c r="Y31" s="60">
        <f>IF($X31&lt;Input!$H$58,IF($X31&lt;Input!$G$58,IF($X31&lt;Input!$F$58,IF($X31&lt;Input!$E$58,IF($X31&lt;Input!$D$58,Input!$C$64,Input!$D$64),Input!$E$64),Input!$F$64),Input!$G$64),Input!$H$64)</f>
        <v>0</v>
      </c>
      <c r="Z31" s="190">
        <f>IF($A31&lt;Input!$H$65,IF($A31&lt;Input!$G$65,IF($A31&lt;Input!$F$65,IF($A31&lt;Input!$E$65,IF($A31&lt;Input!$D$65,Input!$C$66,Input!$D$66),Input!$E$66),Input!$F$66),Input!$G$66),Input!$H$66)</f>
        <v>0.9</v>
      </c>
      <c r="AA31" s="60">
        <f t="shared" si="5"/>
        <v>0</v>
      </c>
      <c r="AB31" s="60">
        <f t="shared" si="27"/>
        <v>31</v>
      </c>
      <c r="AC31" s="60">
        <f t="shared" si="6"/>
        <v>0</v>
      </c>
      <c r="AD31" s="60">
        <f>ROUND(AC31*AB31*Input!$C$3/365,0)</f>
        <v>0</v>
      </c>
      <c r="AE31" s="61">
        <f>IF($A31&lt;=Input!$C$6,0,IF('Unique Tenure'!AA31&lt;'Unique Tenure'!AC31,'Unique Tenure'!AA31-AD31,'Unique Tenure'!AC31))</f>
        <v>0</v>
      </c>
      <c r="AF31" s="61">
        <f t="shared" si="7"/>
        <v>0</v>
      </c>
      <c r="AG31" s="60">
        <f t="shared" si="8"/>
        <v>0</v>
      </c>
      <c r="AH31" s="193"/>
      <c r="AI31" s="169">
        <v>27</v>
      </c>
      <c r="AJ31" s="1">
        <f t="shared" si="28"/>
        <v>46341</v>
      </c>
      <c r="AK31" s="60">
        <f>IF($X31&lt;Input!$H$73,IF($X31&lt;Input!$G$73,IF($X31&lt;Input!$F$73,IF($X31&lt;Input!$E$73,IF($X31&lt;Input!$D$73,Input!$C$79,Input!$D$79),Input!$E$79),Input!$F$79),Input!$G$79),Input!$H$79)</f>
        <v>0</v>
      </c>
      <c r="AL31" s="190">
        <f>IF($A31&lt;Input!$H$80,IF($A31&lt;Input!$G$80,IF($A31&lt;Input!$F$80,IF($A31&lt;Input!$E$80,IF($A31&lt;Input!$D$80,Input!$C$81,Input!$D$81),Input!$E$81),Input!$F$81),Input!$G$81),Input!$H$81)</f>
        <v>0.9</v>
      </c>
      <c r="AM31" s="60">
        <f t="shared" si="9"/>
        <v>0</v>
      </c>
      <c r="AN31" s="60">
        <f t="shared" si="29"/>
        <v>31</v>
      </c>
      <c r="AO31" s="60">
        <f t="shared" si="10"/>
        <v>0</v>
      </c>
      <c r="AP31" s="60">
        <f>ROUND(AO31*AN31*Input!$C$3/365,0)</f>
        <v>0</v>
      </c>
      <c r="AQ31" s="61">
        <f>IF($A31&lt;=Input!$C$6,0,IF('Unique Tenure'!AM31&lt;'Unique Tenure'!AO31,'Unique Tenure'!AM31-AP31,'Unique Tenure'!AO31))</f>
        <v>0</v>
      </c>
      <c r="AR31" s="61">
        <f t="shared" si="11"/>
        <v>0</v>
      </c>
      <c r="AS31" s="60">
        <f t="shared" si="12"/>
        <v>0</v>
      </c>
      <c r="AT31" s="193"/>
      <c r="AU31" s="169">
        <v>27</v>
      </c>
      <c r="AV31" s="1">
        <f t="shared" si="30"/>
        <v>46341</v>
      </c>
      <c r="AW31" s="60">
        <f>IF($X31&lt;Input!$H$88,IF($X31&lt;Input!$G$88,IF($X31&lt;Input!$F$88,IF($X31&lt;Input!$E$88,IF($X31&lt;Input!$D$88,Input!$C$94,Input!$D$94),Input!$E$94),Input!$F$94),Input!$G$94),Input!$H$94)</f>
        <v>0</v>
      </c>
      <c r="AX31" s="190">
        <f>IF($A31&lt;Input!$H$95,IF($A31&lt;Input!$G$95,IF($A31&lt;Input!$F$95,IF($A31&lt;Input!$E$95,IF($A31&lt;Input!$D$95,Input!$C$96,Input!$D$96),Input!$E$96),Input!$F$96),Input!$G$96),Input!$H$96)</f>
        <v>0.9</v>
      </c>
      <c r="AY31" s="60">
        <f t="shared" si="13"/>
        <v>0</v>
      </c>
      <c r="AZ31" s="60">
        <f t="shared" si="31"/>
        <v>31</v>
      </c>
      <c r="BA31" s="60">
        <f t="shared" si="14"/>
        <v>0</v>
      </c>
      <c r="BB31" s="60">
        <f>ROUND(BA31*AZ31*Input!$C$3/365,0)</f>
        <v>0</v>
      </c>
      <c r="BC31" s="61">
        <f>IF($A31&lt;=Input!$C$6,0,IF('Unique Tenure'!AY31&lt;'Unique Tenure'!BA31,'Unique Tenure'!AY31-BB31,'Unique Tenure'!BA31))</f>
        <v>0</v>
      </c>
      <c r="BD31" s="61">
        <f t="shared" si="15"/>
        <v>0</v>
      </c>
      <c r="BE31" s="60">
        <f t="shared" si="16"/>
        <v>0</v>
      </c>
      <c r="BF31" s="193"/>
      <c r="BG31" s="169">
        <v>27</v>
      </c>
      <c r="BH31" s="1">
        <f t="shared" si="32"/>
        <v>46341</v>
      </c>
      <c r="BI31" s="60">
        <f>IF($X31&lt;Input!$H$103,IF($X31&lt;Input!$G$103,IF($X31&lt;Input!$F$103,IF($X31&lt;Input!$E$103,IF($X31&lt;Input!$D$103,Input!$C$109,Input!$D$109),Input!$E$109),Input!$F$109),Input!$G$109),Input!$H$109)</f>
        <v>0</v>
      </c>
      <c r="BJ31" s="190">
        <f>IF($A31&lt;Input!$H$110,IF($A31&lt;Input!$G$110,IF($A31&lt;Input!$F$110,IF($A31&lt;Input!$E$110,IF($A31&lt;Input!$D$110,Input!$C$111,Input!$D$111),Input!$E$111),Input!$F$111),Input!$G$111),Input!$H$111)</f>
        <v>0.9</v>
      </c>
      <c r="BK31" s="60">
        <f t="shared" si="17"/>
        <v>0</v>
      </c>
      <c r="BL31" s="60">
        <f t="shared" si="33"/>
        <v>31</v>
      </c>
      <c r="BM31" s="60">
        <f t="shared" si="18"/>
        <v>0</v>
      </c>
      <c r="BN31" s="60">
        <f>ROUND(BM31*BL31*Input!$C$3/365,0)</f>
        <v>0</v>
      </c>
      <c r="BO31" s="61">
        <f>IF($A31&lt;=Input!$C$6,0,IF('Unique Tenure'!BK31&lt;'Unique Tenure'!BM31,'Unique Tenure'!BK31-BN31,'Unique Tenure'!BM31))</f>
        <v>0</v>
      </c>
      <c r="BP31" s="61">
        <f t="shared" si="19"/>
        <v>0</v>
      </c>
      <c r="BQ31" s="60">
        <f t="shared" si="20"/>
        <v>0</v>
      </c>
      <c r="BR31" s="198"/>
    </row>
    <row r="32" spans="1:70" s="51" customFormat="1" x14ac:dyDescent="0.25">
      <c r="A32" s="169">
        <v>28</v>
      </c>
      <c r="B32" s="1">
        <f t="shared" si="21"/>
        <v>46371</v>
      </c>
      <c r="C32" s="60">
        <f>SUM(
   IF(($A$4:$A$184 &lt;= Input!$D$16), M32, 0),
   IF(($A$4:$A$184 &lt;= Input!$E$16), Y32, 0),
   IF(($A$4:$A$184 &lt;= Input!$F$16), AK32, 0),
   IF(($A$4:$A$184 &lt;= Input!$G$16), AW32, 0),
   IF(($A$4:$A$184 &lt;= Input!$H$16), BI32, 0)
)</f>
        <v>16470000</v>
      </c>
      <c r="D32" s="60">
        <f>SUM(
   IF(($A$4:$A$184 &lt;= Input!$D$16), O32, 0),
   IF(($A$4:$A$184 &lt;= Input!$E$16), AA32, 0),
   IF(($A$4:$A$184 &lt;= Input!$F$16), AM32, 0),
   IF(($A$4:$A$184 &lt;= Input!$G$16), AY32, 0),
   IF(($A$4:$A$184 &lt;= Input!$H$16), BK32, 0)
)</f>
        <v>14823000</v>
      </c>
      <c r="E32" s="60">
        <f t="shared" si="22"/>
        <v>30</v>
      </c>
      <c r="F32" s="60">
        <f t="shared" si="23"/>
        <v>926254453</v>
      </c>
      <c r="G32" s="60">
        <f>ROUND(F32*E32*Input!$C$3/365,0)</f>
        <v>11419575</v>
      </c>
      <c r="H32" s="60">
        <f>IF($A32&lt;=Input!$C$6,0,IF('Unique Tenure'!D32&lt;'Unique Tenure'!F32,'Unique Tenure'!D32-G32,'Unique Tenure'!F32))</f>
        <v>3403425</v>
      </c>
      <c r="I32" s="60">
        <f t="shared" si="24"/>
        <v>14823000</v>
      </c>
      <c r="J32" s="60">
        <f t="shared" si="25"/>
        <v>922851028</v>
      </c>
      <c r="K32" s="202">
        <f>J32/Input!$K$5</f>
        <v>3.0761700933333334</v>
      </c>
      <c r="L32" s="232"/>
      <c r="M32" s="60">
        <f>IF($B32&lt;Input!$H$43,IF($B32&lt;Input!$G$43,IF($B32&lt;Input!$F$43,IF($B32&lt;Input!$E$43,IF($B32&lt;Input!$D$43,Input!$C$49,Input!$D$49),Input!$E$49),Input!$F$49),Input!$G$49),Input!$H$49)</f>
        <v>16470000</v>
      </c>
      <c r="N32" s="190">
        <f>IF($A32&lt;Input!$H$50,IF($A32&lt;Input!$G$50,IF($A32&lt;Input!$F$50,IF($A32&lt;Input!$E$50,IF($A32&lt;Input!$D$50,Input!$C$51,Input!$D$51),Input!$E$51),Input!$F$51),Input!$G$51),Input!$H$51)</f>
        <v>0.9</v>
      </c>
      <c r="O32" s="60">
        <f t="shared" si="0"/>
        <v>14823000</v>
      </c>
      <c r="P32" s="60">
        <f t="shared" si="1"/>
        <v>30</v>
      </c>
      <c r="Q32" s="60">
        <f t="shared" si="2"/>
        <v>926254453</v>
      </c>
      <c r="R32" s="60">
        <f>ROUND(Q32*$P32*Input!$C$3/365,0)</f>
        <v>11419575</v>
      </c>
      <c r="S32" s="60">
        <f>IF(A32&lt;=Input!$C$6,0,IF('Unique Tenure'!O32&lt;'Unique Tenure'!Q32,'Unique Tenure'!O32-R32,'Unique Tenure'!Q32))</f>
        <v>3403425</v>
      </c>
      <c r="T32" s="60">
        <f t="shared" si="3"/>
        <v>14823000</v>
      </c>
      <c r="U32" s="60">
        <f t="shared" si="4"/>
        <v>922851028</v>
      </c>
      <c r="V32" s="193"/>
      <c r="W32" s="169">
        <v>28</v>
      </c>
      <c r="X32" s="1">
        <f t="shared" si="26"/>
        <v>46371</v>
      </c>
      <c r="Y32" s="60">
        <f>IF($X32&lt;Input!$H$58,IF($X32&lt;Input!$G$58,IF($X32&lt;Input!$F$58,IF($X32&lt;Input!$E$58,IF($X32&lt;Input!$D$58,Input!$C$64,Input!$D$64),Input!$E$64),Input!$F$64),Input!$G$64),Input!$H$64)</f>
        <v>0</v>
      </c>
      <c r="Z32" s="190">
        <f>IF($A32&lt;Input!$H$65,IF($A32&lt;Input!$G$65,IF($A32&lt;Input!$F$65,IF($A32&lt;Input!$E$65,IF($A32&lt;Input!$D$65,Input!$C$66,Input!$D$66),Input!$E$66),Input!$F$66),Input!$G$66),Input!$H$66)</f>
        <v>0.9</v>
      </c>
      <c r="AA32" s="60">
        <f t="shared" si="5"/>
        <v>0</v>
      </c>
      <c r="AB32" s="60">
        <f t="shared" si="27"/>
        <v>30</v>
      </c>
      <c r="AC32" s="60">
        <f t="shared" si="6"/>
        <v>0</v>
      </c>
      <c r="AD32" s="60">
        <f>ROUND(AC32*AB32*Input!$C$3/365,0)</f>
        <v>0</v>
      </c>
      <c r="AE32" s="61">
        <f>IF($A32&lt;=Input!$C$6,0,IF('Unique Tenure'!AA32&lt;'Unique Tenure'!AC32,'Unique Tenure'!AA32-AD32,'Unique Tenure'!AC32))</f>
        <v>0</v>
      </c>
      <c r="AF32" s="61">
        <f t="shared" si="7"/>
        <v>0</v>
      </c>
      <c r="AG32" s="60">
        <f t="shared" si="8"/>
        <v>0</v>
      </c>
      <c r="AH32" s="193"/>
      <c r="AI32" s="169">
        <v>28</v>
      </c>
      <c r="AJ32" s="1">
        <f t="shared" si="28"/>
        <v>46371</v>
      </c>
      <c r="AK32" s="60">
        <f>IF($X32&lt;Input!$H$73,IF($X32&lt;Input!$G$73,IF($X32&lt;Input!$F$73,IF($X32&lt;Input!$E$73,IF($X32&lt;Input!$D$73,Input!$C$79,Input!$D$79),Input!$E$79),Input!$F$79),Input!$G$79),Input!$H$79)</f>
        <v>0</v>
      </c>
      <c r="AL32" s="190">
        <f>IF($A32&lt;Input!$H$80,IF($A32&lt;Input!$G$80,IF($A32&lt;Input!$F$80,IF($A32&lt;Input!$E$80,IF($A32&lt;Input!$D$80,Input!$C$81,Input!$D$81),Input!$E$81),Input!$F$81),Input!$G$81),Input!$H$81)</f>
        <v>0.9</v>
      </c>
      <c r="AM32" s="60">
        <f t="shared" si="9"/>
        <v>0</v>
      </c>
      <c r="AN32" s="60">
        <f t="shared" si="29"/>
        <v>30</v>
      </c>
      <c r="AO32" s="60">
        <f t="shared" si="10"/>
        <v>0</v>
      </c>
      <c r="AP32" s="60">
        <f>ROUND(AO32*AN32*Input!$C$3/365,0)</f>
        <v>0</v>
      </c>
      <c r="AQ32" s="61">
        <f>IF($A32&lt;=Input!$C$6,0,IF('Unique Tenure'!AM32&lt;'Unique Tenure'!AO32,'Unique Tenure'!AM32-AP32,'Unique Tenure'!AO32))</f>
        <v>0</v>
      </c>
      <c r="AR32" s="61">
        <f t="shared" si="11"/>
        <v>0</v>
      </c>
      <c r="AS32" s="60">
        <f t="shared" si="12"/>
        <v>0</v>
      </c>
      <c r="AT32" s="193"/>
      <c r="AU32" s="169">
        <v>28</v>
      </c>
      <c r="AV32" s="1">
        <f t="shared" si="30"/>
        <v>46371</v>
      </c>
      <c r="AW32" s="60">
        <f>IF($X32&lt;Input!$H$88,IF($X32&lt;Input!$G$88,IF($X32&lt;Input!$F$88,IF($X32&lt;Input!$E$88,IF($X32&lt;Input!$D$88,Input!$C$94,Input!$D$94),Input!$E$94),Input!$F$94),Input!$G$94),Input!$H$94)</f>
        <v>0</v>
      </c>
      <c r="AX32" s="190">
        <f>IF($A32&lt;Input!$H$95,IF($A32&lt;Input!$G$95,IF($A32&lt;Input!$F$95,IF($A32&lt;Input!$E$95,IF($A32&lt;Input!$D$95,Input!$C$96,Input!$D$96),Input!$E$96),Input!$F$96),Input!$G$96),Input!$H$96)</f>
        <v>0.9</v>
      </c>
      <c r="AY32" s="60">
        <f t="shared" si="13"/>
        <v>0</v>
      </c>
      <c r="AZ32" s="60">
        <f t="shared" si="31"/>
        <v>30</v>
      </c>
      <c r="BA32" s="60">
        <f t="shared" si="14"/>
        <v>0</v>
      </c>
      <c r="BB32" s="60">
        <f>ROUND(BA32*AZ32*Input!$C$3/365,0)</f>
        <v>0</v>
      </c>
      <c r="BC32" s="61">
        <f>IF($A32&lt;=Input!$C$6,0,IF('Unique Tenure'!AY32&lt;'Unique Tenure'!BA32,'Unique Tenure'!AY32-BB32,'Unique Tenure'!BA32))</f>
        <v>0</v>
      </c>
      <c r="BD32" s="61">
        <f t="shared" si="15"/>
        <v>0</v>
      </c>
      <c r="BE32" s="60">
        <f t="shared" si="16"/>
        <v>0</v>
      </c>
      <c r="BF32" s="193"/>
      <c r="BG32" s="169">
        <v>28</v>
      </c>
      <c r="BH32" s="1">
        <f t="shared" si="32"/>
        <v>46371</v>
      </c>
      <c r="BI32" s="60">
        <f>IF($X32&lt;Input!$H$103,IF($X32&lt;Input!$G$103,IF($X32&lt;Input!$F$103,IF($X32&lt;Input!$E$103,IF($X32&lt;Input!$D$103,Input!$C$109,Input!$D$109),Input!$E$109),Input!$F$109),Input!$G$109),Input!$H$109)</f>
        <v>0</v>
      </c>
      <c r="BJ32" s="190">
        <f>IF($A32&lt;Input!$H$110,IF($A32&lt;Input!$G$110,IF($A32&lt;Input!$F$110,IF($A32&lt;Input!$E$110,IF($A32&lt;Input!$D$110,Input!$C$111,Input!$D$111),Input!$E$111),Input!$F$111),Input!$G$111),Input!$H$111)</f>
        <v>0.9</v>
      </c>
      <c r="BK32" s="60">
        <f t="shared" si="17"/>
        <v>0</v>
      </c>
      <c r="BL32" s="60">
        <f t="shared" si="33"/>
        <v>30</v>
      </c>
      <c r="BM32" s="60">
        <f t="shared" si="18"/>
        <v>0</v>
      </c>
      <c r="BN32" s="60">
        <f>ROUND(BM32*BL32*Input!$C$3/365,0)</f>
        <v>0</v>
      </c>
      <c r="BO32" s="61">
        <f>IF($A32&lt;=Input!$C$6,0,IF('Unique Tenure'!BK32&lt;'Unique Tenure'!BM32,'Unique Tenure'!BK32-BN32,'Unique Tenure'!BM32))</f>
        <v>0</v>
      </c>
      <c r="BP32" s="61">
        <f t="shared" si="19"/>
        <v>0</v>
      </c>
      <c r="BQ32" s="60">
        <f t="shared" si="20"/>
        <v>0</v>
      </c>
      <c r="BR32" s="198"/>
    </row>
    <row r="33" spans="1:70" s="51" customFormat="1" x14ac:dyDescent="0.25">
      <c r="A33" s="169">
        <v>29</v>
      </c>
      <c r="B33" s="1">
        <f t="shared" si="21"/>
        <v>46402</v>
      </c>
      <c r="C33" s="60">
        <f>SUM(
   IF(($A$4:$A$184 &lt;= Input!$D$16), M33, 0),
   IF(($A$4:$A$184 &lt;= Input!$E$16), Y33, 0),
   IF(($A$4:$A$184 &lt;= Input!$F$16), AK33, 0),
   IF(($A$4:$A$184 &lt;= Input!$G$16), AW33, 0),
   IF(($A$4:$A$184 &lt;= Input!$H$16), BI33, 0)
)</f>
        <v>16470000</v>
      </c>
      <c r="D33" s="60">
        <f>SUM(
   IF(($A$4:$A$184 &lt;= Input!$D$16), O33, 0),
   IF(($A$4:$A$184 &lt;= Input!$E$16), AA33, 0),
   IF(($A$4:$A$184 &lt;= Input!$F$16), AM33, 0),
   IF(($A$4:$A$184 &lt;= Input!$G$16), AY33, 0),
   IF(($A$4:$A$184 &lt;= Input!$H$16), BK33, 0)
)</f>
        <v>14823000</v>
      </c>
      <c r="E33" s="60">
        <f t="shared" si="22"/>
        <v>31</v>
      </c>
      <c r="F33" s="60">
        <f t="shared" si="23"/>
        <v>922851028</v>
      </c>
      <c r="G33" s="60">
        <f>ROUND(F33*E33*Input!$C$3/365,0)</f>
        <v>11756869</v>
      </c>
      <c r="H33" s="60">
        <f>IF($A33&lt;=Input!$C$6,0,IF('Unique Tenure'!D33&lt;'Unique Tenure'!F33,'Unique Tenure'!D33-G33,'Unique Tenure'!F33))</f>
        <v>3066131</v>
      </c>
      <c r="I33" s="60">
        <f t="shared" si="24"/>
        <v>14823000</v>
      </c>
      <c r="J33" s="60">
        <f t="shared" si="25"/>
        <v>919784897</v>
      </c>
      <c r="K33" s="202">
        <f>J33/Input!$K$5</f>
        <v>3.0659496566666666</v>
      </c>
      <c r="L33" s="232"/>
      <c r="M33" s="60">
        <f>IF($B33&lt;Input!$H$43,IF($B33&lt;Input!$G$43,IF($B33&lt;Input!$F$43,IF($B33&lt;Input!$E$43,IF($B33&lt;Input!$D$43,Input!$C$49,Input!$D$49),Input!$E$49),Input!$F$49),Input!$G$49),Input!$H$49)</f>
        <v>16470000</v>
      </c>
      <c r="N33" s="190">
        <f>IF($A33&lt;Input!$H$50,IF($A33&lt;Input!$G$50,IF($A33&lt;Input!$F$50,IF($A33&lt;Input!$E$50,IF($A33&lt;Input!$D$50,Input!$C$51,Input!$D$51),Input!$E$51),Input!$F$51),Input!$G$51),Input!$H$51)</f>
        <v>0.9</v>
      </c>
      <c r="O33" s="60">
        <f t="shared" si="0"/>
        <v>14823000</v>
      </c>
      <c r="P33" s="60">
        <f t="shared" si="1"/>
        <v>31</v>
      </c>
      <c r="Q33" s="60">
        <f t="shared" si="2"/>
        <v>922851028</v>
      </c>
      <c r="R33" s="60">
        <f>ROUND(Q33*$P33*Input!$C$3/365,0)</f>
        <v>11756869</v>
      </c>
      <c r="S33" s="60">
        <f>IF(A33&lt;=Input!$C$6,0,IF('Unique Tenure'!O33&lt;'Unique Tenure'!Q33,'Unique Tenure'!O33-R33,'Unique Tenure'!Q33))</f>
        <v>3066131</v>
      </c>
      <c r="T33" s="60">
        <f t="shared" si="3"/>
        <v>14823000</v>
      </c>
      <c r="U33" s="60">
        <f t="shared" si="4"/>
        <v>919784897</v>
      </c>
      <c r="V33" s="193"/>
      <c r="W33" s="169">
        <v>29</v>
      </c>
      <c r="X33" s="1">
        <f t="shared" si="26"/>
        <v>46402</v>
      </c>
      <c r="Y33" s="60">
        <f>IF($X33&lt;Input!$H$58,IF($X33&lt;Input!$G$58,IF($X33&lt;Input!$F$58,IF($X33&lt;Input!$E$58,IF($X33&lt;Input!$D$58,Input!$C$64,Input!$D$64),Input!$E$64),Input!$F$64),Input!$G$64),Input!$H$64)</f>
        <v>0</v>
      </c>
      <c r="Z33" s="190">
        <f>IF($A33&lt;Input!$H$65,IF($A33&lt;Input!$G$65,IF($A33&lt;Input!$F$65,IF($A33&lt;Input!$E$65,IF($A33&lt;Input!$D$65,Input!$C$66,Input!$D$66),Input!$E$66),Input!$F$66),Input!$G$66),Input!$H$66)</f>
        <v>0.9</v>
      </c>
      <c r="AA33" s="60">
        <f t="shared" si="5"/>
        <v>0</v>
      </c>
      <c r="AB33" s="60">
        <f t="shared" si="27"/>
        <v>31</v>
      </c>
      <c r="AC33" s="60">
        <f t="shared" si="6"/>
        <v>0</v>
      </c>
      <c r="AD33" s="60">
        <f>ROUND(AC33*AB33*Input!$C$3/365,0)</f>
        <v>0</v>
      </c>
      <c r="AE33" s="61">
        <f>IF($A33&lt;=Input!$C$6,0,IF('Unique Tenure'!AA33&lt;'Unique Tenure'!AC33,'Unique Tenure'!AA33-AD33,'Unique Tenure'!AC33))</f>
        <v>0</v>
      </c>
      <c r="AF33" s="61">
        <f t="shared" si="7"/>
        <v>0</v>
      </c>
      <c r="AG33" s="60">
        <f t="shared" si="8"/>
        <v>0</v>
      </c>
      <c r="AH33" s="193"/>
      <c r="AI33" s="169">
        <v>29</v>
      </c>
      <c r="AJ33" s="1">
        <f t="shared" si="28"/>
        <v>46402</v>
      </c>
      <c r="AK33" s="60">
        <f>IF($X33&lt;Input!$H$73,IF($X33&lt;Input!$G$73,IF($X33&lt;Input!$F$73,IF($X33&lt;Input!$E$73,IF($X33&lt;Input!$D$73,Input!$C$79,Input!$D$79),Input!$E$79),Input!$F$79),Input!$G$79),Input!$H$79)</f>
        <v>0</v>
      </c>
      <c r="AL33" s="190">
        <f>IF($A33&lt;Input!$H$80,IF($A33&lt;Input!$G$80,IF($A33&lt;Input!$F$80,IF($A33&lt;Input!$E$80,IF($A33&lt;Input!$D$80,Input!$C$81,Input!$D$81),Input!$E$81),Input!$F$81),Input!$G$81),Input!$H$81)</f>
        <v>0.9</v>
      </c>
      <c r="AM33" s="60">
        <f t="shared" si="9"/>
        <v>0</v>
      </c>
      <c r="AN33" s="60">
        <f t="shared" si="29"/>
        <v>31</v>
      </c>
      <c r="AO33" s="60">
        <f t="shared" si="10"/>
        <v>0</v>
      </c>
      <c r="AP33" s="60">
        <f>ROUND(AO33*AN33*Input!$C$3/365,0)</f>
        <v>0</v>
      </c>
      <c r="AQ33" s="61">
        <f>IF($A33&lt;=Input!$C$6,0,IF('Unique Tenure'!AM33&lt;'Unique Tenure'!AO33,'Unique Tenure'!AM33-AP33,'Unique Tenure'!AO33))</f>
        <v>0</v>
      </c>
      <c r="AR33" s="61">
        <f t="shared" si="11"/>
        <v>0</v>
      </c>
      <c r="AS33" s="60">
        <f t="shared" si="12"/>
        <v>0</v>
      </c>
      <c r="AT33" s="193"/>
      <c r="AU33" s="169">
        <v>29</v>
      </c>
      <c r="AV33" s="1">
        <f t="shared" si="30"/>
        <v>46402</v>
      </c>
      <c r="AW33" s="60">
        <f>IF($X33&lt;Input!$H$88,IF($X33&lt;Input!$G$88,IF($X33&lt;Input!$F$88,IF($X33&lt;Input!$E$88,IF($X33&lt;Input!$D$88,Input!$C$94,Input!$D$94),Input!$E$94),Input!$F$94),Input!$G$94),Input!$H$94)</f>
        <v>0</v>
      </c>
      <c r="AX33" s="190">
        <f>IF($A33&lt;Input!$H$95,IF($A33&lt;Input!$G$95,IF($A33&lt;Input!$F$95,IF($A33&lt;Input!$E$95,IF($A33&lt;Input!$D$95,Input!$C$96,Input!$D$96),Input!$E$96),Input!$F$96),Input!$G$96),Input!$H$96)</f>
        <v>0.9</v>
      </c>
      <c r="AY33" s="60">
        <f t="shared" si="13"/>
        <v>0</v>
      </c>
      <c r="AZ33" s="60">
        <f t="shared" si="31"/>
        <v>31</v>
      </c>
      <c r="BA33" s="60">
        <f t="shared" si="14"/>
        <v>0</v>
      </c>
      <c r="BB33" s="60">
        <f>ROUND(BA33*AZ33*Input!$C$3/365,0)</f>
        <v>0</v>
      </c>
      <c r="BC33" s="61">
        <f>IF($A33&lt;=Input!$C$6,0,IF('Unique Tenure'!AY33&lt;'Unique Tenure'!BA33,'Unique Tenure'!AY33-BB33,'Unique Tenure'!BA33))</f>
        <v>0</v>
      </c>
      <c r="BD33" s="61">
        <f t="shared" si="15"/>
        <v>0</v>
      </c>
      <c r="BE33" s="60">
        <f t="shared" si="16"/>
        <v>0</v>
      </c>
      <c r="BF33" s="193"/>
      <c r="BG33" s="169">
        <v>29</v>
      </c>
      <c r="BH33" s="1">
        <f t="shared" si="32"/>
        <v>46402</v>
      </c>
      <c r="BI33" s="60">
        <f>IF($X33&lt;Input!$H$103,IF($X33&lt;Input!$G$103,IF($X33&lt;Input!$F$103,IF($X33&lt;Input!$E$103,IF($X33&lt;Input!$D$103,Input!$C$109,Input!$D$109),Input!$E$109),Input!$F$109),Input!$G$109),Input!$H$109)</f>
        <v>0</v>
      </c>
      <c r="BJ33" s="190">
        <f>IF($A33&lt;Input!$H$110,IF($A33&lt;Input!$G$110,IF($A33&lt;Input!$F$110,IF($A33&lt;Input!$E$110,IF($A33&lt;Input!$D$110,Input!$C$111,Input!$D$111),Input!$E$111),Input!$F$111),Input!$G$111),Input!$H$111)</f>
        <v>0.9</v>
      </c>
      <c r="BK33" s="60">
        <f t="shared" si="17"/>
        <v>0</v>
      </c>
      <c r="BL33" s="60">
        <f t="shared" si="33"/>
        <v>31</v>
      </c>
      <c r="BM33" s="60">
        <f t="shared" si="18"/>
        <v>0</v>
      </c>
      <c r="BN33" s="60">
        <f>ROUND(BM33*BL33*Input!$C$3/365,0)</f>
        <v>0</v>
      </c>
      <c r="BO33" s="61">
        <f>IF($A33&lt;=Input!$C$6,0,IF('Unique Tenure'!BK33&lt;'Unique Tenure'!BM33,'Unique Tenure'!BK33-BN33,'Unique Tenure'!BM33))</f>
        <v>0</v>
      </c>
      <c r="BP33" s="61">
        <f t="shared" si="19"/>
        <v>0</v>
      </c>
      <c r="BQ33" s="60">
        <f t="shared" si="20"/>
        <v>0</v>
      </c>
      <c r="BR33" s="198"/>
    </row>
    <row r="34" spans="1:70" s="51" customFormat="1" x14ac:dyDescent="0.25">
      <c r="A34" s="169">
        <v>30</v>
      </c>
      <c r="B34" s="1">
        <f t="shared" si="21"/>
        <v>46433</v>
      </c>
      <c r="C34" s="60">
        <f>SUM(
   IF(($A$4:$A$184 &lt;= Input!$D$16), M34, 0),
   IF(($A$4:$A$184 &lt;= Input!$E$16), Y34, 0),
   IF(($A$4:$A$184 &lt;= Input!$F$16), AK34, 0),
   IF(($A$4:$A$184 &lt;= Input!$G$16), AW34, 0),
   IF(($A$4:$A$184 &lt;= Input!$H$16), BI34, 0)
)</f>
        <v>16470000</v>
      </c>
      <c r="D34" s="60">
        <f>SUM(
   IF(($A$4:$A$184 &lt;= Input!$D$16), O34, 0),
   IF(($A$4:$A$184 &lt;= Input!$E$16), AA34, 0),
   IF(($A$4:$A$184 &lt;= Input!$F$16), AM34, 0),
   IF(($A$4:$A$184 &lt;= Input!$G$16), AY34, 0),
   IF(($A$4:$A$184 &lt;= Input!$H$16), BK34, 0)
)</f>
        <v>14823000</v>
      </c>
      <c r="E34" s="60">
        <f t="shared" si="22"/>
        <v>31</v>
      </c>
      <c r="F34" s="60">
        <f t="shared" si="23"/>
        <v>919784897</v>
      </c>
      <c r="G34" s="60">
        <f>ROUND(F34*E34*Input!$C$3/365,0)</f>
        <v>11717808</v>
      </c>
      <c r="H34" s="60">
        <f>IF($A34&lt;=Input!$C$6,0,IF('Unique Tenure'!D34&lt;'Unique Tenure'!F34,'Unique Tenure'!D34-G34,'Unique Tenure'!F34))</f>
        <v>3105192</v>
      </c>
      <c r="I34" s="60">
        <f t="shared" si="24"/>
        <v>14823000</v>
      </c>
      <c r="J34" s="60">
        <f t="shared" si="25"/>
        <v>916679705</v>
      </c>
      <c r="K34" s="202">
        <f>J34/Input!$K$5</f>
        <v>3.0555990166666667</v>
      </c>
      <c r="L34" s="232"/>
      <c r="M34" s="60">
        <f>IF($B34&lt;Input!$H$43,IF($B34&lt;Input!$G$43,IF($B34&lt;Input!$F$43,IF($B34&lt;Input!$E$43,IF($B34&lt;Input!$D$43,Input!$C$49,Input!$D$49),Input!$E$49),Input!$F$49),Input!$G$49),Input!$H$49)</f>
        <v>16470000</v>
      </c>
      <c r="N34" s="190">
        <f>IF($A34&lt;Input!$H$50,IF($A34&lt;Input!$G$50,IF($A34&lt;Input!$F$50,IF($A34&lt;Input!$E$50,IF($A34&lt;Input!$D$50,Input!$C$51,Input!$D$51),Input!$E$51),Input!$F$51),Input!$G$51),Input!$H$51)</f>
        <v>0.9</v>
      </c>
      <c r="O34" s="60">
        <f t="shared" si="0"/>
        <v>14823000</v>
      </c>
      <c r="P34" s="60">
        <f t="shared" si="1"/>
        <v>31</v>
      </c>
      <c r="Q34" s="60">
        <f t="shared" si="2"/>
        <v>919784897</v>
      </c>
      <c r="R34" s="60">
        <f>ROUND(Q34*$P34*Input!$C$3/365,0)</f>
        <v>11717808</v>
      </c>
      <c r="S34" s="60">
        <f>IF(A34&lt;=Input!$C$6,0,IF('Unique Tenure'!O34&lt;'Unique Tenure'!Q34,'Unique Tenure'!O34-R34,'Unique Tenure'!Q34))</f>
        <v>3105192</v>
      </c>
      <c r="T34" s="60">
        <f t="shared" si="3"/>
        <v>14823000</v>
      </c>
      <c r="U34" s="60">
        <f t="shared" si="4"/>
        <v>916679705</v>
      </c>
      <c r="V34" s="193"/>
      <c r="W34" s="169">
        <v>30</v>
      </c>
      <c r="X34" s="1">
        <f t="shared" si="26"/>
        <v>46433</v>
      </c>
      <c r="Y34" s="60">
        <f>IF($X34&lt;Input!$H$58,IF($X34&lt;Input!$G$58,IF($X34&lt;Input!$F$58,IF($X34&lt;Input!$E$58,IF($X34&lt;Input!$D$58,Input!$C$64,Input!$D$64),Input!$E$64),Input!$F$64),Input!$G$64),Input!$H$64)</f>
        <v>0</v>
      </c>
      <c r="Z34" s="190">
        <f>IF($A34&lt;Input!$H$65,IF($A34&lt;Input!$G$65,IF($A34&lt;Input!$F$65,IF($A34&lt;Input!$E$65,IF($A34&lt;Input!$D$65,Input!$C$66,Input!$D$66),Input!$E$66),Input!$F$66),Input!$G$66),Input!$H$66)</f>
        <v>0.9</v>
      </c>
      <c r="AA34" s="60">
        <f t="shared" si="5"/>
        <v>0</v>
      </c>
      <c r="AB34" s="60">
        <f t="shared" si="27"/>
        <v>31</v>
      </c>
      <c r="AC34" s="60">
        <f t="shared" si="6"/>
        <v>0</v>
      </c>
      <c r="AD34" s="60">
        <f>ROUND(AC34*AB34*Input!$C$3/365,0)</f>
        <v>0</v>
      </c>
      <c r="AE34" s="61">
        <f>IF($A34&lt;=Input!$C$6,0,IF('Unique Tenure'!AA34&lt;'Unique Tenure'!AC34,'Unique Tenure'!AA34-AD34,'Unique Tenure'!AC34))</f>
        <v>0</v>
      </c>
      <c r="AF34" s="61">
        <f t="shared" si="7"/>
        <v>0</v>
      </c>
      <c r="AG34" s="60">
        <f t="shared" si="8"/>
        <v>0</v>
      </c>
      <c r="AH34" s="193"/>
      <c r="AI34" s="169">
        <v>30</v>
      </c>
      <c r="AJ34" s="1">
        <f t="shared" si="28"/>
        <v>46433</v>
      </c>
      <c r="AK34" s="60">
        <f>IF($X34&lt;Input!$H$73,IF($X34&lt;Input!$G$73,IF($X34&lt;Input!$F$73,IF($X34&lt;Input!$E$73,IF($X34&lt;Input!$D$73,Input!$C$79,Input!$D$79),Input!$E$79),Input!$F$79),Input!$G$79),Input!$H$79)</f>
        <v>0</v>
      </c>
      <c r="AL34" s="190">
        <f>IF($A34&lt;Input!$H$80,IF($A34&lt;Input!$G$80,IF($A34&lt;Input!$F$80,IF($A34&lt;Input!$E$80,IF($A34&lt;Input!$D$80,Input!$C$81,Input!$D$81),Input!$E$81),Input!$F$81),Input!$G$81),Input!$H$81)</f>
        <v>0.9</v>
      </c>
      <c r="AM34" s="60">
        <f t="shared" si="9"/>
        <v>0</v>
      </c>
      <c r="AN34" s="60">
        <f t="shared" si="29"/>
        <v>31</v>
      </c>
      <c r="AO34" s="60">
        <f t="shared" si="10"/>
        <v>0</v>
      </c>
      <c r="AP34" s="60">
        <f>ROUND(AO34*AN34*Input!$C$3/365,0)</f>
        <v>0</v>
      </c>
      <c r="AQ34" s="61">
        <f>IF($A34&lt;=Input!$C$6,0,IF('Unique Tenure'!AM34&lt;'Unique Tenure'!AO34,'Unique Tenure'!AM34-AP34,'Unique Tenure'!AO34))</f>
        <v>0</v>
      </c>
      <c r="AR34" s="61">
        <f t="shared" si="11"/>
        <v>0</v>
      </c>
      <c r="AS34" s="60">
        <f t="shared" si="12"/>
        <v>0</v>
      </c>
      <c r="AT34" s="193"/>
      <c r="AU34" s="169">
        <v>30</v>
      </c>
      <c r="AV34" s="1">
        <f t="shared" si="30"/>
        <v>46433</v>
      </c>
      <c r="AW34" s="60">
        <f>IF($X34&lt;Input!$H$88,IF($X34&lt;Input!$G$88,IF($X34&lt;Input!$F$88,IF($X34&lt;Input!$E$88,IF($X34&lt;Input!$D$88,Input!$C$94,Input!$D$94),Input!$E$94),Input!$F$94),Input!$G$94),Input!$H$94)</f>
        <v>0</v>
      </c>
      <c r="AX34" s="190">
        <f>IF($A34&lt;Input!$H$95,IF($A34&lt;Input!$G$95,IF($A34&lt;Input!$F$95,IF($A34&lt;Input!$E$95,IF($A34&lt;Input!$D$95,Input!$C$96,Input!$D$96),Input!$E$96),Input!$F$96),Input!$G$96),Input!$H$96)</f>
        <v>0.9</v>
      </c>
      <c r="AY34" s="60">
        <f t="shared" si="13"/>
        <v>0</v>
      </c>
      <c r="AZ34" s="60">
        <f t="shared" si="31"/>
        <v>31</v>
      </c>
      <c r="BA34" s="60">
        <f t="shared" si="14"/>
        <v>0</v>
      </c>
      <c r="BB34" s="60">
        <f>ROUND(BA34*AZ34*Input!$C$3/365,0)</f>
        <v>0</v>
      </c>
      <c r="BC34" s="61">
        <f>IF($A34&lt;=Input!$C$6,0,IF('Unique Tenure'!AY34&lt;'Unique Tenure'!BA34,'Unique Tenure'!AY34-BB34,'Unique Tenure'!BA34))</f>
        <v>0</v>
      </c>
      <c r="BD34" s="61">
        <f t="shared" si="15"/>
        <v>0</v>
      </c>
      <c r="BE34" s="60">
        <f t="shared" si="16"/>
        <v>0</v>
      </c>
      <c r="BF34" s="193"/>
      <c r="BG34" s="169">
        <v>30</v>
      </c>
      <c r="BH34" s="1">
        <f t="shared" si="32"/>
        <v>46433</v>
      </c>
      <c r="BI34" s="60">
        <f>IF($X34&lt;Input!$H$103,IF($X34&lt;Input!$G$103,IF($X34&lt;Input!$F$103,IF($X34&lt;Input!$E$103,IF($X34&lt;Input!$D$103,Input!$C$109,Input!$D$109),Input!$E$109),Input!$F$109),Input!$G$109),Input!$H$109)</f>
        <v>0</v>
      </c>
      <c r="BJ34" s="190">
        <f>IF($A34&lt;Input!$H$110,IF($A34&lt;Input!$G$110,IF($A34&lt;Input!$F$110,IF($A34&lt;Input!$E$110,IF($A34&lt;Input!$D$110,Input!$C$111,Input!$D$111),Input!$E$111),Input!$F$111),Input!$G$111),Input!$H$111)</f>
        <v>0.9</v>
      </c>
      <c r="BK34" s="60">
        <f t="shared" si="17"/>
        <v>0</v>
      </c>
      <c r="BL34" s="60">
        <f t="shared" si="33"/>
        <v>31</v>
      </c>
      <c r="BM34" s="60">
        <f t="shared" si="18"/>
        <v>0</v>
      </c>
      <c r="BN34" s="60">
        <f>ROUND(BM34*BL34*Input!$C$3/365,0)</f>
        <v>0</v>
      </c>
      <c r="BO34" s="61">
        <f>IF($A34&lt;=Input!$C$6,0,IF('Unique Tenure'!BK34&lt;'Unique Tenure'!BM34,'Unique Tenure'!BK34-BN34,'Unique Tenure'!BM34))</f>
        <v>0</v>
      </c>
      <c r="BP34" s="61">
        <f t="shared" si="19"/>
        <v>0</v>
      </c>
      <c r="BQ34" s="60">
        <f t="shared" si="20"/>
        <v>0</v>
      </c>
      <c r="BR34" s="198"/>
    </row>
    <row r="35" spans="1:70" s="51" customFormat="1" x14ac:dyDescent="0.25">
      <c r="A35" s="169">
        <v>31</v>
      </c>
      <c r="B35" s="1">
        <f t="shared" si="21"/>
        <v>46461</v>
      </c>
      <c r="C35" s="60">
        <f>SUM(
   IF(($A$4:$A$184 &lt;= Input!$D$16), M35, 0),
   IF(($A$4:$A$184 &lt;= Input!$E$16), Y35, 0),
   IF(($A$4:$A$184 &lt;= Input!$F$16), AK35, 0),
   IF(($A$4:$A$184 &lt;= Input!$G$16), AW35, 0),
   IF(($A$4:$A$184 &lt;= Input!$H$16), BI35, 0)
)</f>
        <v>16470000</v>
      </c>
      <c r="D35" s="60">
        <f>SUM(
   IF(($A$4:$A$184 &lt;= Input!$D$16), O35, 0),
   IF(($A$4:$A$184 &lt;= Input!$E$16), AA35, 0),
   IF(($A$4:$A$184 &lt;= Input!$F$16), AM35, 0),
   IF(($A$4:$A$184 &lt;= Input!$G$16), AY35, 0),
   IF(($A$4:$A$184 &lt;= Input!$H$16), BK35, 0)
)</f>
        <v>14823000</v>
      </c>
      <c r="E35" s="60">
        <f t="shared" si="22"/>
        <v>28</v>
      </c>
      <c r="F35" s="60">
        <f t="shared" si="23"/>
        <v>916679705</v>
      </c>
      <c r="G35" s="60">
        <f>ROUND(F35*E35*Input!$C$3/365,0)</f>
        <v>10548095</v>
      </c>
      <c r="H35" s="60">
        <f>IF($A35&lt;=Input!$C$6,0,IF('Unique Tenure'!D35&lt;'Unique Tenure'!F35,'Unique Tenure'!D35-G35,'Unique Tenure'!F35))</f>
        <v>4274905</v>
      </c>
      <c r="I35" s="60">
        <f t="shared" si="24"/>
        <v>14823000</v>
      </c>
      <c r="J35" s="60">
        <f t="shared" si="25"/>
        <v>912404800</v>
      </c>
      <c r="K35" s="202">
        <f>J35/Input!$K$5</f>
        <v>3.0413493333333332</v>
      </c>
      <c r="L35" s="232"/>
      <c r="M35" s="60">
        <f>IF($B35&lt;Input!$H$43,IF($B35&lt;Input!$G$43,IF($B35&lt;Input!$F$43,IF($B35&lt;Input!$E$43,IF($B35&lt;Input!$D$43,Input!$C$49,Input!$D$49),Input!$E$49),Input!$F$49),Input!$G$49),Input!$H$49)</f>
        <v>16470000</v>
      </c>
      <c r="N35" s="190">
        <f>IF($A35&lt;Input!$H$50,IF($A35&lt;Input!$G$50,IF($A35&lt;Input!$F$50,IF($A35&lt;Input!$E$50,IF($A35&lt;Input!$D$50,Input!$C$51,Input!$D$51),Input!$E$51),Input!$F$51),Input!$G$51),Input!$H$51)</f>
        <v>0.9</v>
      </c>
      <c r="O35" s="60">
        <f t="shared" si="0"/>
        <v>14823000</v>
      </c>
      <c r="P35" s="60">
        <f t="shared" si="1"/>
        <v>28</v>
      </c>
      <c r="Q35" s="60">
        <f t="shared" si="2"/>
        <v>916679705</v>
      </c>
      <c r="R35" s="60">
        <f>ROUND(Q35*$P35*Input!$C$3/365,0)</f>
        <v>10548095</v>
      </c>
      <c r="S35" s="60">
        <f>IF(A35&lt;=Input!$C$6,0,IF('Unique Tenure'!O35&lt;'Unique Tenure'!Q35,'Unique Tenure'!O35-R35,'Unique Tenure'!Q35))</f>
        <v>4274905</v>
      </c>
      <c r="T35" s="60">
        <f t="shared" si="3"/>
        <v>14823000</v>
      </c>
      <c r="U35" s="60">
        <f t="shared" si="4"/>
        <v>912404800</v>
      </c>
      <c r="V35" s="193"/>
      <c r="W35" s="169">
        <v>31</v>
      </c>
      <c r="X35" s="1">
        <f t="shared" si="26"/>
        <v>46461</v>
      </c>
      <c r="Y35" s="60">
        <f>IF($X35&lt;Input!$H$58,IF($X35&lt;Input!$G$58,IF($X35&lt;Input!$F$58,IF($X35&lt;Input!$E$58,IF($X35&lt;Input!$D$58,Input!$C$64,Input!$D$64),Input!$E$64),Input!$F$64),Input!$G$64),Input!$H$64)</f>
        <v>0</v>
      </c>
      <c r="Z35" s="190">
        <f>IF($A35&lt;Input!$H$65,IF($A35&lt;Input!$G$65,IF($A35&lt;Input!$F$65,IF($A35&lt;Input!$E$65,IF($A35&lt;Input!$D$65,Input!$C$66,Input!$D$66),Input!$E$66),Input!$F$66),Input!$G$66),Input!$H$66)</f>
        <v>0.9</v>
      </c>
      <c r="AA35" s="60">
        <f t="shared" si="5"/>
        <v>0</v>
      </c>
      <c r="AB35" s="60">
        <f t="shared" si="27"/>
        <v>28</v>
      </c>
      <c r="AC35" s="60">
        <f t="shared" si="6"/>
        <v>0</v>
      </c>
      <c r="AD35" s="60">
        <f>ROUND(AC35*AB35*Input!$C$3/365,0)</f>
        <v>0</v>
      </c>
      <c r="AE35" s="61">
        <f>IF($A35&lt;=Input!$C$6,0,IF('Unique Tenure'!AA35&lt;'Unique Tenure'!AC35,'Unique Tenure'!AA35-AD35,'Unique Tenure'!AC35))</f>
        <v>0</v>
      </c>
      <c r="AF35" s="61">
        <f t="shared" si="7"/>
        <v>0</v>
      </c>
      <c r="AG35" s="60">
        <f t="shared" si="8"/>
        <v>0</v>
      </c>
      <c r="AH35" s="193"/>
      <c r="AI35" s="169">
        <v>31</v>
      </c>
      <c r="AJ35" s="1">
        <f t="shared" si="28"/>
        <v>46461</v>
      </c>
      <c r="AK35" s="60">
        <f>IF($X35&lt;Input!$H$73,IF($X35&lt;Input!$G$73,IF($X35&lt;Input!$F$73,IF($X35&lt;Input!$E$73,IF($X35&lt;Input!$D$73,Input!$C$79,Input!$D$79),Input!$E$79),Input!$F$79),Input!$G$79),Input!$H$79)</f>
        <v>0</v>
      </c>
      <c r="AL35" s="190">
        <f>IF($A35&lt;Input!$H$80,IF($A35&lt;Input!$G$80,IF($A35&lt;Input!$F$80,IF($A35&lt;Input!$E$80,IF($A35&lt;Input!$D$80,Input!$C$81,Input!$D$81),Input!$E$81),Input!$F$81),Input!$G$81),Input!$H$81)</f>
        <v>0.9</v>
      </c>
      <c r="AM35" s="60">
        <f t="shared" si="9"/>
        <v>0</v>
      </c>
      <c r="AN35" s="60">
        <f t="shared" si="29"/>
        <v>28</v>
      </c>
      <c r="AO35" s="60">
        <f t="shared" si="10"/>
        <v>0</v>
      </c>
      <c r="AP35" s="60">
        <f>ROUND(AO35*AN35*Input!$C$3/365,0)</f>
        <v>0</v>
      </c>
      <c r="AQ35" s="61">
        <f>IF($A35&lt;=Input!$C$6,0,IF('Unique Tenure'!AM35&lt;'Unique Tenure'!AO35,'Unique Tenure'!AM35-AP35,'Unique Tenure'!AO35))</f>
        <v>0</v>
      </c>
      <c r="AR35" s="61">
        <f t="shared" si="11"/>
        <v>0</v>
      </c>
      <c r="AS35" s="60">
        <f t="shared" si="12"/>
        <v>0</v>
      </c>
      <c r="AT35" s="193"/>
      <c r="AU35" s="169">
        <v>31</v>
      </c>
      <c r="AV35" s="1">
        <f t="shared" si="30"/>
        <v>46461</v>
      </c>
      <c r="AW35" s="60">
        <f>IF($X35&lt;Input!$H$88,IF($X35&lt;Input!$G$88,IF($X35&lt;Input!$F$88,IF($X35&lt;Input!$E$88,IF($X35&lt;Input!$D$88,Input!$C$94,Input!$D$94),Input!$E$94),Input!$F$94),Input!$G$94),Input!$H$94)</f>
        <v>0</v>
      </c>
      <c r="AX35" s="190">
        <f>IF($A35&lt;Input!$H$95,IF($A35&lt;Input!$G$95,IF($A35&lt;Input!$F$95,IF($A35&lt;Input!$E$95,IF($A35&lt;Input!$D$95,Input!$C$96,Input!$D$96),Input!$E$96),Input!$F$96),Input!$G$96),Input!$H$96)</f>
        <v>0.9</v>
      </c>
      <c r="AY35" s="60">
        <f t="shared" si="13"/>
        <v>0</v>
      </c>
      <c r="AZ35" s="60">
        <f t="shared" si="31"/>
        <v>28</v>
      </c>
      <c r="BA35" s="60">
        <f t="shared" si="14"/>
        <v>0</v>
      </c>
      <c r="BB35" s="60">
        <f>ROUND(BA35*AZ35*Input!$C$3/365,0)</f>
        <v>0</v>
      </c>
      <c r="BC35" s="61">
        <f>IF($A35&lt;=Input!$C$6,0,IF('Unique Tenure'!AY35&lt;'Unique Tenure'!BA35,'Unique Tenure'!AY35-BB35,'Unique Tenure'!BA35))</f>
        <v>0</v>
      </c>
      <c r="BD35" s="61">
        <f t="shared" si="15"/>
        <v>0</v>
      </c>
      <c r="BE35" s="60">
        <f t="shared" si="16"/>
        <v>0</v>
      </c>
      <c r="BF35" s="193"/>
      <c r="BG35" s="169">
        <v>31</v>
      </c>
      <c r="BH35" s="1">
        <f t="shared" si="32"/>
        <v>46461</v>
      </c>
      <c r="BI35" s="60">
        <f>IF($X35&lt;Input!$H$103,IF($X35&lt;Input!$G$103,IF($X35&lt;Input!$F$103,IF($X35&lt;Input!$E$103,IF($X35&lt;Input!$D$103,Input!$C$109,Input!$D$109),Input!$E$109),Input!$F$109),Input!$G$109),Input!$H$109)</f>
        <v>0</v>
      </c>
      <c r="BJ35" s="190">
        <f>IF($A35&lt;Input!$H$110,IF($A35&lt;Input!$G$110,IF($A35&lt;Input!$F$110,IF($A35&lt;Input!$E$110,IF($A35&lt;Input!$D$110,Input!$C$111,Input!$D$111),Input!$E$111),Input!$F$111),Input!$G$111),Input!$H$111)</f>
        <v>0.9</v>
      </c>
      <c r="BK35" s="60">
        <f t="shared" si="17"/>
        <v>0</v>
      </c>
      <c r="BL35" s="60">
        <f t="shared" si="33"/>
        <v>28</v>
      </c>
      <c r="BM35" s="60">
        <f t="shared" si="18"/>
        <v>0</v>
      </c>
      <c r="BN35" s="60">
        <f>ROUND(BM35*BL35*Input!$C$3/365,0)</f>
        <v>0</v>
      </c>
      <c r="BO35" s="61">
        <f>IF($A35&lt;=Input!$C$6,0,IF('Unique Tenure'!BK35&lt;'Unique Tenure'!BM35,'Unique Tenure'!BK35-BN35,'Unique Tenure'!BM35))</f>
        <v>0</v>
      </c>
      <c r="BP35" s="61">
        <f t="shared" si="19"/>
        <v>0</v>
      </c>
      <c r="BQ35" s="60">
        <f t="shared" si="20"/>
        <v>0</v>
      </c>
      <c r="BR35" s="198"/>
    </row>
    <row r="36" spans="1:70" s="51" customFormat="1" x14ac:dyDescent="0.25">
      <c r="A36" s="169">
        <v>32</v>
      </c>
      <c r="B36" s="1">
        <f t="shared" si="21"/>
        <v>46492</v>
      </c>
      <c r="C36" s="60">
        <f>SUM(
   IF(($A$4:$A$184 &lt;= Input!$D$16), M36, 0),
   IF(($A$4:$A$184 &lt;= Input!$E$16), Y36, 0),
   IF(($A$4:$A$184 &lt;= Input!$F$16), AK36, 0),
   IF(($A$4:$A$184 &lt;= Input!$G$16), AW36, 0),
   IF(($A$4:$A$184 &lt;= Input!$H$16), BI36, 0)
)</f>
        <v>16470000</v>
      </c>
      <c r="D36" s="60">
        <f>SUM(
   IF(($A$4:$A$184 &lt;= Input!$D$16), O36, 0),
   IF(($A$4:$A$184 &lt;= Input!$E$16), AA36, 0),
   IF(($A$4:$A$184 &lt;= Input!$F$16), AM36, 0),
   IF(($A$4:$A$184 &lt;= Input!$G$16), AY36, 0),
   IF(($A$4:$A$184 &lt;= Input!$H$16), BK36, 0)
)</f>
        <v>14823000</v>
      </c>
      <c r="E36" s="60">
        <f t="shared" si="22"/>
        <v>31</v>
      </c>
      <c r="F36" s="60">
        <f t="shared" si="23"/>
        <v>912404800</v>
      </c>
      <c r="G36" s="60">
        <f>ROUND(F36*E36*Input!$C$3/365,0)</f>
        <v>11623787</v>
      </c>
      <c r="H36" s="60">
        <f>IF($A36&lt;=Input!$C$6,0,IF('Unique Tenure'!D36&lt;'Unique Tenure'!F36,'Unique Tenure'!D36-G36,'Unique Tenure'!F36))</f>
        <v>3199213</v>
      </c>
      <c r="I36" s="60">
        <f t="shared" si="24"/>
        <v>14823000</v>
      </c>
      <c r="J36" s="60">
        <f t="shared" si="25"/>
        <v>909205587</v>
      </c>
      <c r="K36" s="202">
        <f>J36/Input!$K$5</f>
        <v>3.0306852900000001</v>
      </c>
      <c r="L36" s="232"/>
      <c r="M36" s="60">
        <f>IF($B36&lt;Input!$H$43,IF($B36&lt;Input!$G$43,IF($B36&lt;Input!$F$43,IF($B36&lt;Input!$E$43,IF($B36&lt;Input!$D$43,Input!$C$49,Input!$D$49),Input!$E$49),Input!$F$49),Input!$G$49),Input!$H$49)</f>
        <v>16470000</v>
      </c>
      <c r="N36" s="190">
        <f>IF($A36&lt;Input!$H$50,IF($A36&lt;Input!$G$50,IF($A36&lt;Input!$F$50,IF($A36&lt;Input!$E$50,IF($A36&lt;Input!$D$50,Input!$C$51,Input!$D$51),Input!$E$51),Input!$F$51),Input!$G$51),Input!$H$51)</f>
        <v>0.9</v>
      </c>
      <c r="O36" s="60">
        <f t="shared" ref="O36:O67" si="34">M36*N36</f>
        <v>14823000</v>
      </c>
      <c r="P36" s="60">
        <f t="shared" si="1"/>
        <v>31</v>
      </c>
      <c r="Q36" s="60">
        <f t="shared" si="2"/>
        <v>912404800</v>
      </c>
      <c r="R36" s="60">
        <f>ROUND(Q36*$P36*Input!$C$3/365,0)</f>
        <v>11623787</v>
      </c>
      <c r="S36" s="60">
        <f>IF(A36&lt;=Input!$C$6,0,IF('Unique Tenure'!O36&lt;'Unique Tenure'!Q36,'Unique Tenure'!O36-R36,'Unique Tenure'!Q36))</f>
        <v>3199213</v>
      </c>
      <c r="T36" s="60">
        <f t="shared" si="3"/>
        <v>14823000</v>
      </c>
      <c r="U36" s="60">
        <f t="shared" si="4"/>
        <v>909205587</v>
      </c>
      <c r="V36" s="193"/>
      <c r="W36" s="169">
        <v>32</v>
      </c>
      <c r="X36" s="1">
        <f t="shared" si="26"/>
        <v>46492</v>
      </c>
      <c r="Y36" s="60">
        <f>IF($X36&lt;Input!$H$58,IF($X36&lt;Input!$G$58,IF($X36&lt;Input!$F$58,IF($X36&lt;Input!$E$58,IF($X36&lt;Input!$D$58,Input!$C$64,Input!$D$64),Input!$E$64),Input!$F$64),Input!$G$64),Input!$H$64)</f>
        <v>0</v>
      </c>
      <c r="Z36" s="190">
        <f>IF($A36&lt;Input!$H$65,IF($A36&lt;Input!$G$65,IF($A36&lt;Input!$F$65,IF($A36&lt;Input!$E$65,IF($A36&lt;Input!$D$65,Input!$C$66,Input!$D$66),Input!$E$66),Input!$F$66),Input!$G$66),Input!$H$66)</f>
        <v>0.9</v>
      </c>
      <c r="AA36" s="60">
        <f t="shared" si="5"/>
        <v>0</v>
      </c>
      <c r="AB36" s="60">
        <f t="shared" si="27"/>
        <v>31</v>
      </c>
      <c r="AC36" s="60">
        <f t="shared" si="6"/>
        <v>0</v>
      </c>
      <c r="AD36" s="60">
        <f>ROUND(AC36*AB36*Input!$C$3/365,0)</f>
        <v>0</v>
      </c>
      <c r="AE36" s="61">
        <f>IF($A36&lt;=Input!$C$6,0,IF('Unique Tenure'!AA36&lt;'Unique Tenure'!AC36,'Unique Tenure'!AA36-AD36,'Unique Tenure'!AC36))</f>
        <v>0</v>
      </c>
      <c r="AF36" s="61">
        <f t="shared" si="7"/>
        <v>0</v>
      </c>
      <c r="AG36" s="60">
        <f t="shared" si="8"/>
        <v>0</v>
      </c>
      <c r="AH36" s="193"/>
      <c r="AI36" s="169">
        <v>32</v>
      </c>
      <c r="AJ36" s="1">
        <f t="shared" si="28"/>
        <v>46492</v>
      </c>
      <c r="AK36" s="60">
        <f>IF($X36&lt;Input!$H$73,IF($X36&lt;Input!$G$73,IF($X36&lt;Input!$F$73,IF($X36&lt;Input!$E$73,IF($X36&lt;Input!$D$73,Input!$C$79,Input!$D$79),Input!$E$79),Input!$F$79),Input!$G$79),Input!$H$79)</f>
        <v>0</v>
      </c>
      <c r="AL36" s="190">
        <f>IF($A36&lt;Input!$H$80,IF($A36&lt;Input!$G$80,IF($A36&lt;Input!$F$80,IF($A36&lt;Input!$E$80,IF($A36&lt;Input!$D$80,Input!$C$81,Input!$D$81),Input!$E$81),Input!$F$81),Input!$G$81),Input!$H$81)</f>
        <v>0.9</v>
      </c>
      <c r="AM36" s="60">
        <f t="shared" si="9"/>
        <v>0</v>
      </c>
      <c r="AN36" s="60">
        <f t="shared" si="29"/>
        <v>31</v>
      </c>
      <c r="AO36" s="60">
        <f t="shared" si="10"/>
        <v>0</v>
      </c>
      <c r="AP36" s="60">
        <f>ROUND(AO36*AN36*Input!$C$3/365,0)</f>
        <v>0</v>
      </c>
      <c r="AQ36" s="61">
        <f>IF($A36&lt;=Input!$C$6,0,IF('Unique Tenure'!AM36&lt;'Unique Tenure'!AO36,'Unique Tenure'!AM36-AP36,'Unique Tenure'!AO36))</f>
        <v>0</v>
      </c>
      <c r="AR36" s="61">
        <f t="shared" si="11"/>
        <v>0</v>
      </c>
      <c r="AS36" s="60">
        <f t="shared" si="12"/>
        <v>0</v>
      </c>
      <c r="AT36" s="193"/>
      <c r="AU36" s="169">
        <v>32</v>
      </c>
      <c r="AV36" s="1">
        <f t="shared" si="30"/>
        <v>46492</v>
      </c>
      <c r="AW36" s="60">
        <f>IF($X36&lt;Input!$H$88,IF($X36&lt;Input!$G$88,IF($X36&lt;Input!$F$88,IF($X36&lt;Input!$E$88,IF($X36&lt;Input!$D$88,Input!$C$94,Input!$D$94),Input!$E$94),Input!$F$94),Input!$G$94),Input!$H$94)</f>
        <v>0</v>
      </c>
      <c r="AX36" s="190">
        <f>IF($A36&lt;Input!$H$95,IF($A36&lt;Input!$G$95,IF($A36&lt;Input!$F$95,IF($A36&lt;Input!$E$95,IF($A36&lt;Input!$D$95,Input!$C$96,Input!$D$96),Input!$E$96),Input!$F$96),Input!$G$96),Input!$H$96)</f>
        <v>0.9</v>
      </c>
      <c r="AY36" s="60">
        <f t="shared" si="13"/>
        <v>0</v>
      </c>
      <c r="AZ36" s="60">
        <f t="shared" si="31"/>
        <v>31</v>
      </c>
      <c r="BA36" s="60">
        <f t="shared" si="14"/>
        <v>0</v>
      </c>
      <c r="BB36" s="60">
        <f>ROUND(BA36*AZ36*Input!$C$3/365,0)</f>
        <v>0</v>
      </c>
      <c r="BC36" s="61">
        <f>IF($A36&lt;=Input!$C$6,0,IF('Unique Tenure'!AY36&lt;'Unique Tenure'!BA36,'Unique Tenure'!AY36-BB36,'Unique Tenure'!BA36))</f>
        <v>0</v>
      </c>
      <c r="BD36" s="61">
        <f t="shared" si="15"/>
        <v>0</v>
      </c>
      <c r="BE36" s="60">
        <f t="shared" si="16"/>
        <v>0</v>
      </c>
      <c r="BF36" s="193"/>
      <c r="BG36" s="169">
        <v>32</v>
      </c>
      <c r="BH36" s="1">
        <f t="shared" si="32"/>
        <v>46492</v>
      </c>
      <c r="BI36" s="60">
        <f>IF($X36&lt;Input!$H$103,IF($X36&lt;Input!$G$103,IF($X36&lt;Input!$F$103,IF($X36&lt;Input!$E$103,IF($X36&lt;Input!$D$103,Input!$C$109,Input!$D$109),Input!$E$109),Input!$F$109),Input!$G$109),Input!$H$109)</f>
        <v>0</v>
      </c>
      <c r="BJ36" s="190">
        <f>IF($A36&lt;Input!$H$110,IF($A36&lt;Input!$G$110,IF($A36&lt;Input!$F$110,IF($A36&lt;Input!$E$110,IF($A36&lt;Input!$D$110,Input!$C$111,Input!$D$111),Input!$E$111),Input!$F$111),Input!$G$111),Input!$H$111)</f>
        <v>0.9</v>
      </c>
      <c r="BK36" s="60">
        <f t="shared" si="17"/>
        <v>0</v>
      </c>
      <c r="BL36" s="60">
        <f t="shared" si="33"/>
        <v>31</v>
      </c>
      <c r="BM36" s="60">
        <f t="shared" si="18"/>
        <v>0</v>
      </c>
      <c r="BN36" s="60">
        <f>ROUND(BM36*BL36*Input!$C$3/365,0)</f>
        <v>0</v>
      </c>
      <c r="BO36" s="61">
        <f>IF($A36&lt;=Input!$C$6,0,IF('Unique Tenure'!BK36&lt;'Unique Tenure'!BM36,'Unique Tenure'!BK36-BN36,'Unique Tenure'!BM36))</f>
        <v>0</v>
      </c>
      <c r="BP36" s="61">
        <f t="shared" si="19"/>
        <v>0</v>
      </c>
      <c r="BQ36" s="60">
        <f t="shared" si="20"/>
        <v>0</v>
      </c>
      <c r="BR36" s="198"/>
    </row>
    <row r="37" spans="1:70" s="51" customFormat="1" x14ac:dyDescent="0.25">
      <c r="A37" s="169">
        <v>33</v>
      </c>
      <c r="B37" s="1">
        <f t="shared" si="21"/>
        <v>46522</v>
      </c>
      <c r="C37" s="60">
        <f>SUM(
   IF(($A$4:$A$184 &lt;= Input!$D$16), M37, 0),
   IF(($A$4:$A$184 &lt;= Input!$E$16), Y37, 0),
   IF(($A$4:$A$184 &lt;= Input!$F$16), AK37, 0),
   IF(($A$4:$A$184 &lt;= Input!$G$16), AW37, 0),
   IF(($A$4:$A$184 &lt;= Input!$H$16), BI37, 0)
)</f>
        <v>16470000</v>
      </c>
      <c r="D37" s="60">
        <f>SUM(
   IF(($A$4:$A$184 &lt;= Input!$D$16), O37, 0),
   IF(($A$4:$A$184 &lt;= Input!$E$16), AA37, 0),
   IF(($A$4:$A$184 &lt;= Input!$F$16), AM37, 0),
   IF(($A$4:$A$184 &lt;= Input!$G$16), AY37, 0),
   IF(($A$4:$A$184 &lt;= Input!$H$16), BK37, 0)
)</f>
        <v>14823000</v>
      </c>
      <c r="E37" s="60">
        <f t="shared" si="22"/>
        <v>30</v>
      </c>
      <c r="F37" s="60">
        <f t="shared" si="23"/>
        <v>909205587</v>
      </c>
      <c r="G37" s="60">
        <f>ROUND(F37*E37*Input!$C$3/365,0)</f>
        <v>11209384</v>
      </c>
      <c r="H37" s="60">
        <f>IF($A37&lt;=Input!$C$6,0,IF('Unique Tenure'!D37&lt;'Unique Tenure'!F37,'Unique Tenure'!D37-G37,'Unique Tenure'!F37))</f>
        <v>3613616</v>
      </c>
      <c r="I37" s="60">
        <f t="shared" si="24"/>
        <v>14823000</v>
      </c>
      <c r="J37" s="60">
        <f t="shared" si="25"/>
        <v>905591971</v>
      </c>
      <c r="K37" s="202">
        <f>J37/Input!$K$5</f>
        <v>3.0186399033333333</v>
      </c>
      <c r="L37" s="232"/>
      <c r="M37" s="60">
        <f>IF($B37&lt;Input!$H$43,IF($B37&lt;Input!$G$43,IF($B37&lt;Input!$F$43,IF($B37&lt;Input!$E$43,IF($B37&lt;Input!$D$43,Input!$C$49,Input!$D$49),Input!$E$49),Input!$F$49),Input!$G$49),Input!$H$49)</f>
        <v>16470000</v>
      </c>
      <c r="N37" s="190">
        <f>IF($A37&lt;Input!$H$50,IF($A37&lt;Input!$G$50,IF($A37&lt;Input!$F$50,IF($A37&lt;Input!$E$50,IF($A37&lt;Input!$D$50,Input!$C$51,Input!$D$51),Input!$E$51),Input!$F$51),Input!$G$51),Input!$H$51)</f>
        <v>0.9</v>
      </c>
      <c r="O37" s="60">
        <f t="shared" si="34"/>
        <v>14823000</v>
      </c>
      <c r="P37" s="60">
        <f t="shared" ref="P37:P68" si="35">B37-B36</f>
        <v>30</v>
      </c>
      <c r="Q37" s="60">
        <f t="shared" si="2"/>
        <v>909205587</v>
      </c>
      <c r="R37" s="60">
        <f>ROUND(Q37*$P37*Input!$C$3/365,0)</f>
        <v>11209384</v>
      </c>
      <c r="S37" s="60">
        <f>IF(A37&lt;=Input!$C$6,0,IF('Unique Tenure'!O37&lt;'Unique Tenure'!Q37,'Unique Tenure'!O37-R37,'Unique Tenure'!Q37))</f>
        <v>3613616</v>
      </c>
      <c r="T37" s="60">
        <f t="shared" si="3"/>
        <v>14823000</v>
      </c>
      <c r="U37" s="60">
        <f t="shared" si="4"/>
        <v>905591971</v>
      </c>
      <c r="V37" s="193"/>
      <c r="W37" s="169">
        <v>33</v>
      </c>
      <c r="X37" s="1">
        <f t="shared" si="26"/>
        <v>46522</v>
      </c>
      <c r="Y37" s="60">
        <f>IF($X37&lt;Input!$H$58,IF($X37&lt;Input!$G$58,IF($X37&lt;Input!$F$58,IF($X37&lt;Input!$E$58,IF($X37&lt;Input!$D$58,Input!$C$64,Input!$D$64),Input!$E$64),Input!$F$64),Input!$G$64),Input!$H$64)</f>
        <v>0</v>
      </c>
      <c r="Z37" s="190">
        <f>IF($A37&lt;Input!$H$65,IF($A37&lt;Input!$G$65,IF($A37&lt;Input!$F$65,IF($A37&lt;Input!$E$65,IF($A37&lt;Input!$D$65,Input!$C$66,Input!$D$66),Input!$E$66),Input!$F$66),Input!$G$66),Input!$H$66)</f>
        <v>0.9</v>
      </c>
      <c r="AA37" s="60">
        <f t="shared" si="5"/>
        <v>0</v>
      </c>
      <c r="AB37" s="60">
        <f t="shared" si="27"/>
        <v>30</v>
      </c>
      <c r="AC37" s="60">
        <f t="shared" si="6"/>
        <v>0</v>
      </c>
      <c r="AD37" s="60">
        <f>ROUND(AC37*AB37*Input!$C$3/365,0)</f>
        <v>0</v>
      </c>
      <c r="AE37" s="61">
        <f>IF($A37&lt;=Input!$C$6,0,IF('Unique Tenure'!AA37&lt;'Unique Tenure'!AC37,'Unique Tenure'!AA37-AD37,'Unique Tenure'!AC37))</f>
        <v>0</v>
      </c>
      <c r="AF37" s="61">
        <f t="shared" si="7"/>
        <v>0</v>
      </c>
      <c r="AG37" s="60">
        <f t="shared" si="8"/>
        <v>0</v>
      </c>
      <c r="AH37" s="193"/>
      <c r="AI37" s="169">
        <v>33</v>
      </c>
      <c r="AJ37" s="1">
        <f t="shared" si="28"/>
        <v>46522</v>
      </c>
      <c r="AK37" s="60">
        <f>IF($X37&lt;Input!$H$73,IF($X37&lt;Input!$G$73,IF($X37&lt;Input!$F$73,IF($X37&lt;Input!$E$73,IF($X37&lt;Input!$D$73,Input!$C$79,Input!$D$79),Input!$E$79),Input!$F$79),Input!$G$79),Input!$H$79)</f>
        <v>0</v>
      </c>
      <c r="AL37" s="190">
        <f>IF($A37&lt;Input!$H$80,IF($A37&lt;Input!$G$80,IF($A37&lt;Input!$F$80,IF($A37&lt;Input!$E$80,IF($A37&lt;Input!$D$80,Input!$C$81,Input!$D$81),Input!$E$81),Input!$F$81),Input!$G$81),Input!$H$81)</f>
        <v>0.9</v>
      </c>
      <c r="AM37" s="60">
        <f t="shared" si="9"/>
        <v>0</v>
      </c>
      <c r="AN37" s="60">
        <f t="shared" si="29"/>
        <v>30</v>
      </c>
      <c r="AO37" s="60">
        <f t="shared" si="10"/>
        <v>0</v>
      </c>
      <c r="AP37" s="60">
        <f>ROUND(AO37*AN37*Input!$C$3/365,0)</f>
        <v>0</v>
      </c>
      <c r="AQ37" s="61">
        <f>IF($A37&lt;=Input!$C$6,0,IF('Unique Tenure'!AM37&lt;'Unique Tenure'!AO37,'Unique Tenure'!AM37-AP37,'Unique Tenure'!AO37))</f>
        <v>0</v>
      </c>
      <c r="AR37" s="61">
        <f t="shared" si="11"/>
        <v>0</v>
      </c>
      <c r="AS37" s="60">
        <f t="shared" si="12"/>
        <v>0</v>
      </c>
      <c r="AT37" s="193"/>
      <c r="AU37" s="169">
        <v>33</v>
      </c>
      <c r="AV37" s="1">
        <f t="shared" si="30"/>
        <v>46522</v>
      </c>
      <c r="AW37" s="60">
        <f>IF($X37&lt;Input!$H$88,IF($X37&lt;Input!$G$88,IF($X37&lt;Input!$F$88,IF($X37&lt;Input!$E$88,IF($X37&lt;Input!$D$88,Input!$C$94,Input!$D$94),Input!$E$94),Input!$F$94),Input!$G$94),Input!$H$94)</f>
        <v>0</v>
      </c>
      <c r="AX37" s="190">
        <f>IF($A37&lt;Input!$H$95,IF($A37&lt;Input!$G$95,IF($A37&lt;Input!$F$95,IF($A37&lt;Input!$E$95,IF($A37&lt;Input!$D$95,Input!$C$96,Input!$D$96),Input!$E$96),Input!$F$96),Input!$G$96),Input!$H$96)</f>
        <v>0.9</v>
      </c>
      <c r="AY37" s="60">
        <f t="shared" si="13"/>
        <v>0</v>
      </c>
      <c r="AZ37" s="60">
        <f t="shared" si="31"/>
        <v>30</v>
      </c>
      <c r="BA37" s="60">
        <f t="shared" si="14"/>
        <v>0</v>
      </c>
      <c r="BB37" s="60">
        <f>ROUND(BA37*AZ37*Input!$C$3/365,0)</f>
        <v>0</v>
      </c>
      <c r="BC37" s="61">
        <f>IF($A37&lt;=Input!$C$6,0,IF('Unique Tenure'!AY37&lt;'Unique Tenure'!BA37,'Unique Tenure'!AY37-BB37,'Unique Tenure'!BA37))</f>
        <v>0</v>
      </c>
      <c r="BD37" s="61">
        <f t="shared" si="15"/>
        <v>0</v>
      </c>
      <c r="BE37" s="60">
        <f t="shared" si="16"/>
        <v>0</v>
      </c>
      <c r="BF37" s="193"/>
      <c r="BG37" s="169">
        <v>33</v>
      </c>
      <c r="BH37" s="1">
        <f t="shared" si="32"/>
        <v>46522</v>
      </c>
      <c r="BI37" s="60">
        <f>IF($X37&lt;Input!$H$103,IF($X37&lt;Input!$G$103,IF($X37&lt;Input!$F$103,IF($X37&lt;Input!$E$103,IF($X37&lt;Input!$D$103,Input!$C$109,Input!$D$109),Input!$E$109),Input!$F$109),Input!$G$109),Input!$H$109)</f>
        <v>0</v>
      </c>
      <c r="BJ37" s="190">
        <f>IF($A37&lt;Input!$H$110,IF($A37&lt;Input!$G$110,IF($A37&lt;Input!$F$110,IF($A37&lt;Input!$E$110,IF($A37&lt;Input!$D$110,Input!$C$111,Input!$D$111),Input!$E$111),Input!$F$111),Input!$G$111),Input!$H$111)</f>
        <v>0.9</v>
      </c>
      <c r="BK37" s="60">
        <f t="shared" si="17"/>
        <v>0</v>
      </c>
      <c r="BL37" s="60">
        <f t="shared" si="33"/>
        <v>30</v>
      </c>
      <c r="BM37" s="60">
        <f t="shared" si="18"/>
        <v>0</v>
      </c>
      <c r="BN37" s="60">
        <f>ROUND(BM37*BL37*Input!$C$3/365,0)</f>
        <v>0</v>
      </c>
      <c r="BO37" s="61">
        <f>IF($A37&lt;=Input!$C$6,0,IF('Unique Tenure'!BK37&lt;'Unique Tenure'!BM37,'Unique Tenure'!BK37-BN37,'Unique Tenure'!BM37))</f>
        <v>0</v>
      </c>
      <c r="BP37" s="61">
        <f t="shared" si="19"/>
        <v>0</v>
      </c>
      <c r="BQ37" s="60">
        <f t="shared" si="20"/>
        <v>0</v>
      </c>
      <c r="BR37" s="198"/>
    </row>
    <row r="38" spans="1:70" s="51" customFormat="1" x14ac:dyDescent="0.25">
      <c r="A38" s="169">
        <v>34</v>
      </c>
      <c r="B38" s="1">
        <f t="shared" si="21"/>
        <v>46553</v>
      </c>
      <c r="C38" s="60">
        <f>SUM(
   IF(($A$4:$A$184 &lt;= Input!$D$16), M38, 0),
   IF(($A$4:$A$184 &lt;= Input!$E$16), Y38, 0),
   IF(($A$4:$A$184 &lt;= Input!$F$16), AK38, 0),
   IF(($A$4:$A$184 &lt;= Input!$G$16), AW38, 0),
   IF(($A$4:$A$184 &lt;= Input!$H$16), BI38, 0)
)</f>
        <v>16470000</v>
      </c>
      <c r="D38" s="60">
        <f>SUM(
   IF(($A$4:$A$184 &lt;= Input!$D$16), O38, 0),
   IF(($A$4:$A$184 &lt;= Input!$E$16), AA38, 0),
   IF(($A$4:$A$184 &lt;= Input!$F$16), AM38, 0),
   IF(($A$4:$A$184 &lt;= Input!$G$16), AY38, 0),
   IF(($A$4:$A$184 &lt;= Input!$H$16), BK38, 0)
)</f>
        <v>14823000</v>
      </c>
      <c r="E38" s="60">
        <f t="shared" si="22"/>
        <v>31</v>
      </c>
      <c r="F38" s="60">
        <f t="shared" si="23"/>
        <v>905591971</v>
      </c>
      <c r="G38" s="60">
        <f>ROUND(F38*E38*Input!$C$3/365,0)</f>
        <v>11536994</v>
      </c>
      <c r="H38" s="60">
        <f>IF($A38&lt;=Input!$C$6,0,IF('Unique Tenure'!D38&lt;'Unique Tenure'!F38,'Unique Tenure'!D38-G38,'Unique Tenure'!F38))</f>
        <v>3286006</v>
      </c>
      <c r="I38" s="60">
        <f t="shared" si="24"/>
        <v>14823000</v>
      </c>
      <c r="J38" s="60">
        <f t="shared" si="25"/>
        <v>902305965</v>
      </c>
      <c r="K38" s="202">
        <f>J38/Input!$K$5</f>
        <v>3.0076865499999998</v>
      </c>
      <c r="L38" s="232"/>
      <c r="M38" s="60">
        <f>IF($B38&lt;Input!$H$43,IF($B38&lt;Input!$G$43,IF($B38&lt;Input!$F$43,IF($B38&lt;Input!$E$43,IF($B38&lt;Input!$D$43,Input!$C$49,Input!$D$49),Input!$E$49),Input!$F$49),Input!$G$49),Input!$H$49)</f>
        <v>16470000</v>
      </c>
      <c r="N38" s="190">
        <f>IF($A38&lt;Input!$H$50,IF($A38&lt;Input!$G$50,IF($A38&lt;Input!$F$50,IF($A38&lt;Input!$E$50,IF($A38&lt;Input!$D$50,Input!$C$51,Input!$D$51),Input!$E$51),Input!$F$51),Input!$G$51),Input!$H$51)</f>
        <v>0.9</v>
      </c>
      <c r="O38" s="60">
        <f t="shared" si="34"/>
        <v>14823000</v>
      </c>
      <c r="P38" s="60">
        <f t="shared" si="35"/>
        <v>31</v>
      </c>
      <c r="Q38" s="60">
        <f t="shared" si="2"/>
        <v>905591971</v>
      </c>
      <c r="R38" s="60">
        <f>ROUND(Q38*$P38*Input!$C$3/365,0)</f>
        <v>11536994</v>
      </c>
      <c r="S38" s="60">
        <f>IF(A38&lt;=Input!$C$6,0,IF('Unique Tenure'!O38&lt;'Unique Tenure'!Q38,'Unique Tenure'!O38-R38,'Unique Tenure'!Q38))</f>
        <v>3286006</v>
      </c>
      <c r="T38" s="60">
        <f t="shared" si="3"/>
        <v>14823000</v>
      </c>
      <c r="U38" s="60">
        <f t="shared" si="4"/>
        <v>902305965</v>
      </c>
      <c r="V38" s="193"/>
      <c r="W38" s="169">
        <v>34</v>
      </c>
      <c r="X38" s="1">
        <f t="shared" si="26"/>
        <v>46553</v>
      </c>
      <c r="Y38" s="60">
        <f>IF($X38&lt;Input!$H$58,IF($X38&lt;Input!$G$58,IF($X38&lt;Input!$F$58,IF($X38&lt;Input!$E$58,IF($X38&lt;Input!$D$58,Input!$C$64,Input!$D$64),Input!$E$64),Input!$F$64),Input!$G$64),Input!$H$64)</f>
        <v>0</v>
      </c>
      <c r="Z38" s="190">
        <f>IF($A38&lt;Input!$H$65,IF($A38&lt;Input!$G$65,IF($A38&lt;Input!$F$65,IF($A38&lt;Input!$E$65,IF($A38&lt;Input!$D$65,Input!$C$66,Input!$D$66),Input!$E$66),Input!$F$66),Input!$G$66),Input!$H$66)</f>
        <v>0.9</v>
      </c>
      <c r="AA38" s="60">
        <f t="shared" si="5"/>
        <v>0</v>
      </c>
      <c r="AB38" s="60">
        <f t="shared" si="27"/>
        <v>31</v>
      </c>
      <c r="AC38" s="60">
        <f t="shared" si="6"/>
        <v>0</v>
      </c>
      <c r="AD38" s="60">
        <f>ROUND(AC38*AB38*Input!$C$3/365,0)</f>
        <v>0</v>
      </c>
      <c r="AE38" s="61">
        <f>IF($A38&lt;=Input!$C$6,0,IF('Unique Tenure'!AA38&lt;'Unique Tenure'!AC38,'Unique Tenure'!AA38-AD38,'Unique Tenure'!AC38))</f>
        <v>0</v>
      </c>
      <c r="AF38" s="61">
        <f t="shared" si="7"/>
        <v>0</v>
      </c>
      <c r="AG38" s="60">
        <f t="shared" si="8"/>
        <v>0</v>
      </c>
      <c r="AH38" s="193"/>
      <c r="AI38" s="169">
        <v>34</v>
      </c>
      <c r="AJ38" s="1">
        <f t="shared" si="28"/>
        <v>46553</v>
      </c>
      <c r="AK38" s="60">
        <f>IF($X38&lt;Input!$H$73,IF($X38&lt;Input!$G$73,IF($X38&lt;Input!$F$73,IF($X38&lt;Input!$E$73,IF($X38&lt;Input!$D$73,Input!$C$79,Input!$D$79),Input!$E$79),Input!$F$79),Input!$G$79),Input!$H$79)</f>
        <v>0</v>
      </c>
      <c r="AL38" s="190">
        <f>IF($A38&lt;Input!$H$80,IF($A38&lt;Input!$G$80,IF($A38&lt;Input!$F$80,IF($A38&lt;Input!$E$80,IF($A38&lt;Input!$D$80,Input!$C$81,Input!$D$81),Input!$E$81),Input!$F$81),Input!$G$81),Input!$H$81)</f>
        <v>0.9</v>
      </c>
      <c r="AM38" s="60">
        <f t="shared" si="9"/>
        <v>0</v>
      </c>
      <c r="AN38" s="60">
        <f t="shared" si="29"/>
        <v>31</v>
      </c>
      <c r="AO38" s="60">
        <f t="shared" si="10"/>
        <v>0</v>
      </c>
      <c r="AP38" s="60">
        <f>ROUND(AO38*AN38*Input!$C$3/365,0)</f>
        <v>0</v>
      </c>
      <c r="AQ38" s="61">
        <f>IF($A38&lt;=Input!$C$6,0,IF('Unique Tenure'!AM38&lt;'Unique Tenure'!AO38,'Unique Tenure'!AM38-AP38,'Unique Tenure'!AO38))</f>
        <v>0</v>
      </c>
      <c r="AR38" s="61">
        <f t="shared" si="11"/>
        <v>0</v>
      </c>
      <c r="AS38" s="60">
        <f t="shared" si="12"/>
        <v>0</v>
      </c>
      <c r="AT38" s="193"/>
      <c r="AU38" s="169">
        <v>34</v>
      </c>
      <c r="AV38" s="1">
        <f t="shared" si="30"/>
        <v>46553</v>
      </c>
      <c r="AW38" s="60">
        <f>IF($X38&lt;Input!$H$88,IF($X38&lt;Input!$G$88,IF($X38&lt;Input!$F$88,IF($X38&lt;Input!$E$88,IF($X38&lt;Input!$D$88,Input!$C$94,Input!$D$94),Input!$E$94),Input!$F$94),Input!$G$94),Input!$H$94)</f>
        <v>0</v>
      </c>
      <c r="AX38" s="190">
        <f>IF($A38&lt;Input!$H$95,IF($A38&lt;Input!$G$95,IF($A38&lt;Input!$F$95,IF($A38&lt;Input!$E$95,IF($A38&lt;Input!$D$95,Input!$C$96,Input!$D$96),Input!$E$96),Input!$F$96),Input!$G$96),Input!$H$96)</f>
        <v>0.9</v>
      </c>
      <c r="AY38" s="60">
        <f t="shared" si="13"/>
        <v>0</v>
      </c>
      <c r="AZ38" s="60">
        <f t="shared" si="31"/>
        <v>31</v>
      </c>
      <c r="BA38" s="60">
        <f t="shared" si="14"/>
        <v>0</v>
      </c>
      <c r="BB38" s="60">
        <f>ROUND(BA38*AZ38*Input!$C$3/365,0)</f>
        <v>0</v>
      </c>
      <c r="BC38" s="61">
        <f>IF($A38&lt;=Input!$C$6,0,IF('Unique Tenure'!AY38&lt;'Unique Tenure'!BA38,'Unique Tenure'!AY38-BB38,'Unique Tenure'!BA38))</f>
        <v>0</v>
      </c>
      <c r="BD38" s="61">
        <f t="shared" si="15"/>
        <v>0</v>
      </c>
      <c r="BE38" s="60">
        <f t="shared" si="16"/>
        <v>0</v>
      </c>
      <c r="BF38" s="193"/>
      <c r="BG38" s="169">
        <v>34</v>
      </c>
      <c r="BH38" s="1">
        <f t="shared" si="32"/>
        <v>46553</v>
      </c>
      <c r="BI38" s="60">
        <f>IF($X38&lt;Input!$H$103,IF($X38&lt;Input!$G$103,IF($X38&lt;Input!$F$103,IF($X38&lt;Input!$E$103,IF($X38&lt;Input!$D$103,Input!$C$109,Input!$D$109),Input!$E$109),Input!$F$109),Input!$G$109),Input!$H$109)</f>
        <v>0</v>
      </c>
      <c r="BJ38" s="190">
        <f>IF($A38&lt;Input!$H$110,IF($A38&lt;Input!$G$110,IF($A38&lt;Input!$F$110,IF($A38&lt;Input!$E$110,IF($A38&lt;Input!$D$110,Input!$C$111,Input!$D$111),Input!$E$111),Input!$F$111),Input!$G$111),Input!$H$111)</f>
        <v>0.9</v>
      </c>
      <c r="BK38" s="60">
        <f t="shared" si="17"/>
        <v>0</v>
      </c>
      <c r="BL38" s="60">
        <f t="shared" si="33"/>
        <v>31</v>
      </c>
      <c r="BM38" s="60">
        <f t="shared" si="18"/>
        <v>0</v>
      </c>
      <c r="BN38" s="60">
        <f>ROUND(BM38*BL38*Input!$C$3/365,0)</f>
        <v>0</v>
      </c>
      <c r="BO38" s="61">
        <f>IF($A38&lt;=Input!$C$6,0,IF('Unique Tenure'!BK38&lt;'Unique Tenure'!BM38,'Unique Tenure'!BK38-BN38,'Unique Tenure'!BM38))</f>
        <v>0</v>
      </c>
      <c r="BP38" s="61">
        <f t="shared" si="19"/>
        <v>0</v>
      </c>
      <c r="BQ38" s="60">
        <f t="shared" si="20"/>
        <v>0</v>
      </c>
      <c r="BR38" s="198"/>
    </row>
    <row r="39" spans="1:70" s="51" customFormat="1" x14ac:dyDescent="0.25">
      <c r="A39" s="169">
        <v>35</v>
      </c>
      <c r="B39" s="1">
        <f t="shared" si="21"/>
        <v>46583</v>
      </c>
      <c r="C39" s="60">
        <f>SUM(
   IF(($A$4:$A$184 &lt;= Input!$D$16), M39, 0),
   IF(($A$4:$A$184 &lt;= Input!$E$16), Y39, 0),
   IF(($A$4:$A$184 &lt;= Input!$F$16), AK39, 0),
   IF(($A$4:$A$184 &lt;= Input!$G$16), AW39, 0),
   IF(($A$4:$A$184 &lt;= Input!$H$16), BI39, 0)
)</f>
        <v>16470000</v>
      </c>
      <c r="D39" s="60">
        <f>SUM(
   IF(($A$4:$A$184 &lt;= Input!$D$16), O39, 0),
   IF(($A$4:$A$184 &lt;= Input!$E$16), AA39, 0),
   IF(($A$4:$A$184 &lt;= Input!$F$16), AM39, 0),
   IF(($A$4:$A$184 &lt;= Input!$G$16), AY39, 0),
   IF(($A$4:$A$184 &lt;= Input!$H$16), BK39, 0)
)</f>
        <v>14823000</v>
      </c>
      <c r="E39" s="60">
        <f t="shared" si="22"/>
        <v>30</v>
      </c>
      <c r="F39" s="60">
        <f t="shared" si="23"/>
        <v>902305965</v>
      </c>
      <c r="G39" s="60">
        <f>ROUND(F39*E39*Input!$C$3/365,0)</f>
        <v>11124320</v>
      </c>
      <c r="H39" s="60">
        <f>IF($A39&lt;=Input!$C$6,0,IF('Unique Tenure'!D39&lt;'Unique Tenure'!F39,'Unique Tenure'!D39-G39,'Unique Tenure'!F39))</f>
        <v>3698680</v>
      </c>
      <c r="I39" s="60">
        <f t="shared" si="24"/>
        <v>14823000</v>
      </c>
      <c r="J39" s="60">
        <f t="shared" si="25"/>
        <v>898607285</v>
      </c>
      <c r="K39" s="202">
        <f>J39/Input!$K$5</f>
        <v>2.9953576166666664</v>
      </c>
      <c r="L39" s="232"/>
      <c r="M39" s="60">
        <f>IF($B39&lt;Input!$H$43,IF($B39&lt;Input!$G$43,IF($B39&lt;Input!$F$43,IF($B39&lt;Input!$E$43,IF($B39&lt;Input!$D$43,Input!$C$49,Input!$D$49),Input!$E$49),Input!$F$49),Input!$G$49),Input!$H$49)</f>
        <v>16470000</v>
      </c>
      <c r="N39" s="190">
        <f>IF($A39&lt;Input!$H$50,IF($A39&lt;Input!$G$50,IF($A39&lt;Input!$F$50,IF($A39&lt;Input!$E$50,IF($A39&lt;Input!$D$50,Input!$C$51,Input!$D$51),Input!$E$51),Input!$F$51),Input!$G$51),Input!$H$51)</f>
        <v>0.9</v>
      </c>
      <c r="O39" s="60">
        <f t="shared" si="34"/>
        <v>14823000</v>
      </c>
      <c r="P39" s="60">
        <f t="shared" si="35"/>
        <v>30</v>
      </c>
      <c r="Q39" s="60">
        <f t="shared" si="2"/>
        <v>902305965</v>
      </c>
      <c r="R39" s="60">
        <f>ROUND(Q39*$P39*Input!$C$3/365,0)</f>
        <v>11124320</v>
      </c>
      <c r="S39" s="60">
        <f>IF(A39&lt;=Input!$C$6,0,IF('Unique Tenure'!O39&lt;'Unique Tenure'!Q39,'Unique Tenure'!O39-R39,'Unique Tenure'!Q39))</f>
        <v>3698680</v>
      </c>
      <c r="T39" s="60">
        <f t="shared" si="3"/>
        <v>14823000</v>
      </c>
      <c r="U39" s="60">
        <f t="shared" si="4"/>
        <v>898607285</v>
      </c>
      <c r="V39" s="193"/>
      <c r="W39" s="169">
        <v>35</v>
      </c>
      <c r="X39" s="1">
        <f t="shared" si="26"/>
        <v>46583</v>
      </c>
      <c r="Y39" s="60">
        <f>IF($X39&lt;Input!$H$58,IF($X39&lt;Input!$G$58,IF($X39&lt;Input!$F$58,IF($X39&lt;Input!$E$58,IF($X39&lt;Input!$D$58,Input!$C$64,Input!$D$64),Input!$E$64),Input!$F$64),Input!$G$64),Input!$H$64)</f>
        <v>0</v>
      </c>
      <c r="Z39" s="190">
        <f>IF($A39&lt;Input!$H$65,IF($A39&lt;Input!$G$65,IF($A39&lt;Input!$F$65,IF($A39&lt;Input!$E$65,IF($A39&lt;Input!$D$65,Input!$C$66,Input!$D$66),Input!$E$66),Input!$F$66),Input!$G$66),Input!$H$66)</f>
        <v>0.9</v>
      </c>
      <c r="AA39" s="60">
        <f t="shared" si="5"/>
        <v>0</v>
      </c>
      <c r="AB39" s="60">
        <f t="shared" si="27"/>
        <v>30</v>
      </c>
      <c r="AC39" s="60">
        <f t="shared" si="6"/>
        <v>0</v>
      </c>
      <c r="AD39" s="60">
        <f>ROUND(AC39*AB39*Input!$C$3/365,0)</f>
        <v>0</v>
      </c>
      <c r="AE39" s="61">
        <f>IF($A39&lt;=Input!$C$6,0,IF('Unique Tenure'!AA39&lt;'Unique Tenure'!AC39,'Unique Tenure'!AA39-AD39,'Unique Tenure'!AC39))</f>
        <v>0</v>
      </c>
      <c r="AF39" s="61">
        <f t="shared" si="7"/>
        <v>0</v>
      </c>
      <c r="AG39" s="60">
        <f t="shared" si="8"/>
        <v>0</v>
      </c>
      <c r="AH39" s="193"/>
      <c r="AI39" s="169">
        <v>35</v>
      </c>
      <c r="AJ39" s="1">
        <f t="shared" si="28"/>
        <v>46583</v>
      </c>
      <c r="AK39" s="60">
        <f>IF($X39&lt;Input!$H$73,IF($X39&lt;Input!$G$73,IF($X39&lt;Input!$F$73,IF($X39&lt;Input!$E$73,IF($X39&lt;Input!$D$73,Input!$C$79,Input!$D$79),Input!$E$79),Input!$F$79),Input!$G$79),Input!$H$79)</f>
        <v>0</v>
      </c>
      <c r="AL39" s="190">
        <f>IF($A39&lt;Input!$H$80,IF($A39&lt;Input!$G$80,IF($A39&lt;Input!$F$80,IF($A39&lt;Input!$E$80,IF($A39&lt;Input!$D$80,Input!$C$81,Input!$D$81),Input!$E$81),Input!$F$81),Input!$G$81),Input!$H$81)</f>
        <v>0.9</v>
      </c>
      <c r="AM39" s="60">
        <f t="shared" si="9"/>
        <v>0</v>
      </c>
      <c r="AN39" s="60">
        <f t="shared" si="29"/>
        <v>30</v>
      </c>
      <c r="AO39" s="60">
        <f t="shared" si="10"/>
        <v>0</v>
      </c>
      <c r="AP39" s="60">
        <f>ROUND(AO39*AN39*Input!$C$3/365,0)</f>
        <v>0</v>
      </c>
      <c r="AQ39" s="61">
        <f>IF($A39&lt;=Input!$C$6,0,IF('Unique Tenure'!AM39&lt;'Unique Tenure'!AO39,'Unique Tenure'!AM39-AP39,'Unique Tenure'!AO39))</f>
        <v>0</v>
      </c>
      <c r="AR39" s="61">
        <f t="shared" si="11"/>
        <v>0</v>
      </c>
      <c r="AS39" s="60">
        <f t="shared" si="12"/>
        <v>0</v>
      </c>
      <c r="AT39" s="193"/>
      <c r="AU39" s="169">
        <v>35</v>
      </c>
      <c r="AV39" s="1">
        <f t="shared" si="30"/>
        <v>46583</v>
      </c>
      <c r="AW39" s="60">
        <f>IF($X39&lt;Input!$H$88,IF($X39&lt;Input!$G$88,IF($X39&lt;Input!$F$88,IF($X39&lt;Input!$E$88,IF($X39&lt;Input!$D$88,Input!$C$94,Input!$D$94),Input!$E$94),Input!$F$94),Input!$G$94),Input!$H$94)</f>
        <v>0</v>
      </c>
      <c r="AX39" s="190">
        <f>IF($A39&lt;Input!$H$95,IF($A39&lt;Input!$G$95,IF($A39&lt;Input!$F$95,IF($A39&lt;Input!$E$95,IF($A39&lt;Input!$D$95,Input!$C$96,Input!$D$96),Input!$E$96),Input!$F$96),Input!$G$96),Input!$H$96)</f>
        <v>0.9</v>
      </c>
      <c r="AY39" s="60">
        <f t="shared" si="13"/>
        <v>0</v>
      </c>
      <c r="AZ39" s="60">
        <f t="shared" si="31"/>
        <v>30</v>
      </c>
      <c r="BA39" s="60">
        <f t="shared" si="14"/>
        <v>0</v>
      </c>
      <c r="BB39" s="60">
        <f>ROUND(BA39*AZ39*Input!$C$3/365,0)</f>
        <v>0</v>
      </c>
      <c r="BC39" s="61">
        <f>IF($A39&lt;=Input!$C$6,0,IF('Unique Tenure'!AY39&lt;'Unique Tenure'!BA39,'Unique Tenure'!AY39-BB39,'Unique Tenure'!BA39))</f>
        <v>0</v>
      </c>
      <c r="BD39" s="61">
        <f t="shared" si="15"/>
        <v>0</v>
      </c>
      <c r="BE39" s="60">
        <f t="shared" si="16"/>
        <v>0</v>
      </c>
      <c r="BF39" s="193"/>
      <c r="BG39" s="169">
        <v>35</v>
      </c>
      <c r="BH39" s="1">
        <f t="shared" si="32"/>
        <v>46583</v>
      </c>
      <c r="BI39" s="60">
        <f>IF($X39&lt;Input!$H$103,IF($X39&lt;Input!$G$103,IF($X39&lt;Input!$F$103,IF($X39&lt;Input!$E$103,IF($X39&lt;Input!$D$103,Input!$C$109,Input!$D$109),Input!$E$109),Input!$F$109),Input!$G$109),Input!$H$109)</f>
        <v>0</v>
      </c>
      <c r="BJ39" s="190">
        <f>IF($A39&lt;Input!$H$110,IF($A39&lt;Input!$G$110,IF($A39&lt;Input!$F$110,IF($A39&lt;Input!$E$110,IF($A39&lt;Input!$D$110,Input!$C$111,Input!$D$111),Input!$E$111),Input!$F$111),Input!$G$111),Input!$H$111)</f>
        <v>0.9</v>
      </c>
      <c r="BK39" s="60">
        <f t="shared" si="17"/>
        <v>0</v>
      </c>
      <c r="BL39" s="60">
        <f t="shared" si="33"/>
        <v>30</v>
      </c>
      <c r="BM39" s="60">
        <f t="shared" si="18"/>
        <v>0</v>
      </c>
      <c r="BN39" s="60">
        <f>ROUND(BM39*BL39*Input!$C$3/365,0)</f>
        <v>0</v>
      </c>
      <c r="BO39" s="61">
        <f>IF($A39&lt;=Input!$C$6,0,IF('Unique Tenure'!BK39&lt;'Unique Tenure'!BM39,'Unique Tenure'!BK39-BN39,'Unique Tenure'!BM39))</f>
        <v>0</v>
      </c>
      <c r="BP39" s="61">
        <f t="shared" si="19"/>
        <v>0</v>
      </c>
      <c r="BQ39" s="60">
        <f t="shared" si="20"/>
        <v>0</v>
      </c>
      <c r="BR39" s="198"/>
    </row>
    <row r="40" spans="1:70" s="51" customFormat="1" x14ac:dyDescent="0.25">
      <c r="A40" s="169">
        <v>36</v>
      </c>
      <c r="B40" s="1">
        <f t="shared" si="21"/>
        <v>46614</v>
      </c>
      <c r="C40" s="60">
        <f>SUM(
   IF(($A$4:$A$184 &lt;= Input!$D$16), M40, 0),
   IF(($A$4:$A$184 &lt;= Input!$E$16), Y40, 0),
   IF(($A$4:$A$184 &lt;= Input!$F$16), AK40, 0),
   IF(($A$4:$A$184 &lt;= Input!$G$16), AW40, 0),
   IF(($A$4:$A$184 &lt;= Input!$H$16), BI40, 0)
)</f>
        <v>16470000</v>
      </c>
      <c r="D40" s="60">
        <f>SUM(
   IF(($A$4:$A$184 &lt;= Input!$D$16), O40, 0),
   IF(($A$4:$A$184 &lt;= Input!$E$16), AA40, 0),
   IF(($A$4:$A$184 &lt;= Input!$F$16), AM40, 0),
   IF(($A$4:$A$184 &lt;= Input!$G$16), AY40, 0),
   IF(($A$4:$A$184 &lt;= Input!$H$16), BK40, 0)
)</f>
        <v>14823000</v>
      </c>
      <c r="E40" s="60">
        <f t="shared" si="22"/>
        <v>31</v>
      </c>
      <c r="F40" s="60">
        <f t="shared" si="23"/>
        <v>898607285</v>
      </c>
      <c r="G40" s="60">
        <f>ROUND(F40*E40*Input!$C$3/365,0)</f>
        <v>11448011</v>
      </c>
      <c r="H40" s="60">
        <f>IF($A40&lt;=Input!$C$6,0,IF('Unique Tenure'!D40&lt;'Unique Tenure'!F40,'Unique Tenure'!D40-G40,'Unique Tenure'!F40))</f>
        <v>3374989</v>
      </c>
      <c r="I40" s="60">
        <f t="shared" si="24"/>
        <v>14823000</v>
      </c>
      <c r="J40" s="60">
        <f t="shared" si="25"/>
        <v>895232296</v>
      </c>
      <c r="K40" s="202">
        <f>J40/Input!$K$5</f>
        <v>2.9841076533333335</v>
      </c>
      <c r="L40" s="232"/>
      <c r="M40" s="60">
        <f>IF($B40&lt;Input!$H$43,IF($B40&lt;Input!$G$43,IF($B40&lt;Input!$F$43,IF($B40&lt;Input!$E$43,IF($B40&lt;Input!$D$43,Input!$C$49,Input!$D$49),Input!$E$49),Input!$F$49),Input!$G$49),Input!$H$49)</f>
        <v>16470000</v>
      </c>
      <c r="N40" s="190">
        <f>IF($A40&lt;Input!$H$50,IF($A40&lt;Input!$G$50,IF($A40&lt;Input!$F$50,IF($A40&lt;Input!$E$50,IF($A40&lt;Input!$D$50,Input!$C$51,Input!$D$51),Input!$E$51),Input!$F$51),Input!$G$51),Input!$H$51)</f>
        <v>0.9</v>
      </c>
      <c r="O40" s="60">
        <f t="shared" si="34"/>
        <v>14823000</v>
      </c>
      <c r="P40" s="60">
        <f t="shared" si="35"/>
        <v>31</v>
      </c>
      <c r="Q40" s="60">
        <f t="shared" si="2"/>
        <v>898607285</v>
      </c>
      <c r="R40" s="60">
        <f>ROUND(Q40*$P40*Input!$C$3/365,0)</f>
        <v>11448011</v>
      </c>
      <c r="S40" s="60">
        <f>IF(A40&lt;=Input!$C$6,0,IF('Unique Tenure'!O40&lt;'Unique Tenure'!Q40,'Unique Tenure'!O40-R40,'Unique Tenure'!Q40))</f>
        <v>3374989</v>
      </c>
      <c r="T40" s="60">
        <f t="shared" si="3"/>
        <v>14823000</v>
      </c>
      <c r="U40" s="60">
        <f t="shared" si="4"/>
        <v>895232296</v>
      </c>
      <c r="V40" s="193"/>
      <c r="W40" s="169">
        <v>36</v>
      </c>
      <c r="X40" s="1">
        <f t="shared" si="26"/>
        <v>46614</v>
      </c>
      <c r="Y40" s="60">
        <f>IF($X40&lt;Input!$H$58,IF($X40&lt;Input!$G$58,IF($X40&lt;Input!$F$58,IF($X40&lt;Input!$E$58,IF($X40&lt;Input!$D$58,Input!$C$64,Input!$D$64),Input!$E$64),Input!$F$64),Input!$G$64),Input!$H$64)</f>
        <v>0</v>
      </c>
      <c r="Z40" s="190">
        <f>IF($A40&lt;Input!$H$65,IF($A40&lt;Input!$G$65,IF($A40&lt;Input!$F$65,IF($A40&lt;Input!$E$65,IF($A40&lt;Input!$D$65,Input!$C$66,Input!$D$66),Input!$E$66),Input!$F$66),Input!$G$66),Input!$H$66)</f>
        <v>0.9</v>
      </c>
      <c r="AA40" s="60">
        <f t="shared" si="5"/>
        <v>0</v>
      </c>
      <c r="AB40" s="60">
        <f t="shared" si="27"/>
        <v>31</v>
      </c>
      <c r="AC40" s="60">
        <f t="shared" si="6"/>
        <v>0</v>
      </c>
      <c r="AD40" s="60">
        <f>ROUND(AC40*AB40*Input!$C$3/365,0)</f>
        <v>0</v>
      </c>
      <c r="AE40" s="61">
        <f>IF($A40&lt;=Input!$C$6,0,IF('Unique Tenure'!AA40&lt;'Unique Tenure'!AC40,'Unique Tenure'!AA40-AD40,'Unique Tenure'!AC40))</f>
        <v>0</v>
      </c>
      <c r="AF40" s="61">
        <f t="shared" si="7"/>
        <v>0</v>
      </c>
      <c r="AG40" s="60">
        <f t="shared" si="8"/>
        <v>0</v>
      </c>
      <c r="AH40" s="193"/>
      <c r="AI40" s="169">
        <v>36</v>
      </c>
      <c r="AJ40" s="1">
        <f t="shared" si="28"/>
        <v>46614</v>
      </c>
      <c r="AK40" s="60">
        <f>IF($X40&lt;Input!$H$73,IF($X40&lt;Input!$G$73,IF($X40&lt;Input!$F$73,IF($X40&lt;Input!$E$73,IF($X40&lt;Input!$D$73,Input!$C$79,Input!$D$79),Input!$E$79),Input!$F$79),Input!$G$79),Input!$H$79)</f>
        <v>0</v>
      </c>
      <c r="AL40" s="190">
        <f>IF($A40&lt;Input!$H$80,IF($A40&lt;Input!$G$80,IF($A40&lt;Input!$F$80,IF($A40&lt;Input!$E$80,IF($A40&lt;Input!$D$80,Input!$C$81,Input!$D$81),Input!$E$81),Input!$F$81),Input!$G$81),Input!$H$81)</f>
        <v>0.9</v>
      </c>
      <c r="AM40" s="60">
        <f t="shared" si="9"/>
        <v>0</v>
      </c>
      <c r="AN40" s="60">
        <f t="shared" si="29"/>
        <v>31</v>
      </c>
      <c r="AO40" s="60">
        <f t="shared" si="10"/>
        <v>0</v>
      </c>
      <c r="AP40" s="60">
        <f>ROUND(AO40*AN40*Input!$C$3/365,0)</f>
        <v>0</v>
      </c>
      <c r="AQ40" s="61">
        <f>IF($A40&lt;=Input!$C$6,0,IF('Unique Tenure'!AM40&lt;'Unique Tenure'!AO40,'Unique Tenure'!AM40-AP40,'Unique Tenure'!AO40))</f>
        <v>0</v>
      </c>
      <c r="AR40" s="61">
        <f t="shared" si="11"/>
        <v>0</v>
      </c>
      <c r="AS40" s="60">
        <f t="shared" si="12"/>
        <v>0</v>
      </c>
      <c r="AT40" s="193"/>
      <c r="AU40" s="169">
        <v>36</v>
      </c>
      <c r="AV40" s="1">
        <f t="shared" si="30"/>
        <v>46614</v>
      </c>
      <c r="AW40" s="60">
        <f>IF($X40&lt;Input!$H$88,IF($X40&lt;Input!$G$88,IF($X40&lt;Input!$F$88,IF($X40&lt;Input!$E$88,IF($X40&lt;Input!$D$88,Input!$C$94,Input!$D$94),Input!$E$94),Input!$F$94),Input!$G$94),Input!$H$94)</f>
        <v>0</v>
      </c>
      <c r="AX40" s="190">
        <f>IF($A40&lt;Input!$H$95,IF($A40&lt;Input!$G$95,IF($A40&lt;Input!$F$95,IF($A40&lt;Input!$E$95,IF($A40&lt;Input!$D$95,Input!$C$96,Input!$D$96),Input!$E$96),Input!$F$96),Input!$G$96),Input!$H$96)</f>
        <v>0.9</v>
      </c>
      <c r="AY40" s="60">
        <f t="shared" si="13"/>
        <v>0</v>
      </c>
      <c r="AZ40" s="60">
        <f t="shared" si="31"/>
        <v>31</v>
      </c>
      <c r="BA40" s="60">
        <f t="shared" si="14"/>
        <v>0</v>
      </c>
      <c r="BB40" s="60">
        <f>ROUND(BA40*AZ40*Input!$C$3/365,0)</f>
        <v>0</v>
      </c>
      <c r="BC40" s="61">
        <f>IF($A40&lt;=Input!$C$6,0,IF('Unique Tenure'!AY40&lt;'Unique Tenure'!BA40,'Unique Tenure'!AY40-BB40,'Unique Tenure'!BA40))</f>
        <v>0</v>
      </c>
      <c r="BD40" s="61">
        <f t="shared" si="15"/>
        <v>0</v>
      </c>
      <c r="BE40" s="60">
        <f t="shared" si="16"/>
        <v>0</v>
      </c>
      <c r="BF40" s="193"/>
      <c r="BG40" s="169">
        <v>36</v>
      </c>
      <c r="BH40" s="1">
        <f t="shared" si="32"/>
        <v>46614</v>
      </c>
      <c r="BI40" s="60">
        <f>IF($X40&lt;Input!$H$103,IF($X40&lt;Input!$G$103,IF($X40&lt;Input!$F$103,IF($X40&lt;Input!$E$103,IF($X40&lt;Input!$D$103,Input!$C$109,Input!$D$109),Input!$E$109),Input!$F$109),Input!$G$109),Input!$H$109)</f>
        <v>0</v>
      </c>
      <c r="BJ40" s="190">
        <f>IF($A40&lt;Input!$H$110,IF($A40&lt;Input!$G$110,IF($A40&lt;Input!$F$110,IF($A40&lt;Input!$E$110,IF($A40&lt;Input!$D$110,Input!$C$111,Input!$D$111),Input!$E$111),Input!$F$111),Input!$G$111),Input!$H$111)</f>
        <v>0.9</v>
      </c>
      <c r="BK40" s="60">
        <f t="shared" si="17"/>
        <v>0</v>
      </c>
      <c r="BL40" s="60">
        <f t="shared" si="33"/>
        <v>31</v>
      </c>
      <c r="BM40" s="60">
        <f t="shared" si="18"/>
        <v>0</v>
      </c>
      <c r="BN40" s="60">
        <f>ROUND(BM40*BL40*Input!$C$3/365,0)</f>
        <v>0</v>
      </c>
      <c r="BO40" s="61">
        <f>IF($A40&lt;=Input!$C$6,0,IF('Unique Tenure'!BK40&lt;'Unique Tenure'!BM40,'Unique Tenure'!BK40-BN40,'Unique Tenure'!BM40))</f>
        <v>0</v>
      </c>
      <c r="BP40" s="61">
        <f t="shared" si="19"/>
        <v>0</v>
      </c>
      <c r="BQ40" s="60">
        <f t="shared" si="20"/>
        <v>0</v>
      </c>
      <c r="BR40" s="198"/>
    </row>
    <row r="41" spans="1:70" s="51" customFormat="1" x14ac:dyDescent="0.25">
      <c r="A41" s="169">
        <v>37</v>
      </c>
      <c r="B41" s="1">
        <f t="shared" si="21"/>
        <v>46645</v>
      </c>
      <c r="C41" s="60">
        <f>SUM(
   IF(($A$4:$A$184 &lt;= Input!$D$16), M41, 0),
   IF(($A$4:$A$184 &lt;= Input!$E$16), Y41, 0),
   IF(($A$4:$A$184 &lt;= Input!$F$16), AK41, 0),
   IF(($A$4:$A$184 &lt;= Input!$G$16), AW41, 0),
   IF(($A$4:$A$184 &lt;= Input!$H$16), BI41, 0)
)</f>
        <v>18940500</v>
      </c>
      <c r="D41" s="60">
        <f>SUM(
   IF(($A$4:$A$184 &lt;= Input!$D$16), O41, 0),
   IF(($A$4:$A$184 &lt;= Input!$E$16), AA41, 0),
   IF(($A$4:$A$184 &lt;= Input!$F$16), AM41, 0),
   IF(($A$4:$A$184 &lt;= Input!$G$16), AY41, 0),
   IF(($A$4:$A$184 &lt;= Input!$H$16), BK41, 0)
)</f>
        <v>17046450</v>
      </c>
      <c r="E41" s="60">
        <f t="shared" si="22"/>
        <v>31</v>
      </c>
      <c r="F41" s="60">
        <f t="shared" si="23"/>
        <v>895232296</v>
      </c>
      <c r="G41" s="60">
        <f>ROUND(F41*E41*Input!$C$3/365,0)</f>
        <v>11405014</v>
      </c>
      <c r="H41" s="60">
        <f>IF($A41&lt;=Input!$C$6,0,IF('Unique Tenure'!D41&lt;'Unique Tenure'!F41,'Unique Tenure'!D41-G41,'Unique Tenure'!F41))</f>
        <v>5641436</v>
      </c>
      <c r="I41" s="60">
        <f t="shared" si="24"/>
        <v>17046450</v>
      </c>
      <c r="J41" s="60">
        <f t="shared" si="25"/>
        <v>889590860</v>
      </c>
      <c r="K41" s="202">
        <f>J41/Input!$K$5</f>
        <v>2.9653028666666668</v>
      </c>
      <c r="L41" s="232"/>
      <c r="M41" s="60">
        <f>IF($B41&lt;Input!$H$43,IF($B41&lt;Input!$G$43,IF($B41&lt;Input!$F$43,IF($B41&lt;Input!$E$43,IF($B41&lt;Input!$D$43,Input!$C$49,Input!$D$49),Input!$E$49),Input!$F$49),Input!$G$49),Input!$H$49)</f>
        <v>18940500</v>
      </c>
      <c r="N41" s="190">
        <f>IF($A41&lt;Input!$H$50,IF($A41&lt;Input!$G$50,IF($A41&lt;Input!$F$50,IF($A41&lt;Input!$E$50,IF($A41&lt;Input!$D$50,Input!$C$51,Input!$D$51),Input!$E$51),Input!$F$51),Input!$G$51),Input!$H$51)</f>
        <v>0.9</v>
      </c>
      <c r="O41" s="60">
        <f t="shared" si="34"/>
        <v>17046450</v>
      </c>
      <c r="P41" s="60">
        <f t="shared" si="35"/>
        <v>31</v>
      </c>
      <c r="Q41" s="60">
        <f t="shared" si="2"/>
        <v>895232296</v>
      </c>
      <c r="R41" s="60">
        <f>ROUND(Q41*$P41*Input!$C$3/365,0)</f>
        <v>11405014</v>
      </c>
      <c r="S41" s="60">
        <f>IF(A41&lt;=Input!$C$6,0,IF('Unique Tenure'!O41&lt;'Unique Tenure'!Q41,'Unique Tenure'!O41-R41,'Unique Tenure'!Q41))</f>
        <v>5641436</v>
      </c>
      <c r="T41" s="60">
        <f t="shared" si="3"/>
        <v>17046450</v>
      </c>
      <c r="U41" s="60">
        <f t="shared" si="4"/>
        <v>889590860</v>
      </c>
      <c r="V41" s="193"/>
      <c r="W41" s="169">
        <v>37</v>
      </c>
      <c r="X41" s="1">
        <f t="shared" si="26"/>
        <v>46645</v>
      </c>
      <c r="Y41" s="60">
        <f>IF($X41&lt;Input!$H$58,IF($X41&lt;Input!$G$58,IF($X41&lt;Input!$F$58,IF($X41&lt;Input!$E$58,IF($X41&lt;Input!$D$58,Input!$C$64,Input!$D$64),Input!$E$64),Input!$F$64),Input!$G$64),Input!$H$64)</f>
        <v>0</v>
      </c>
      <c r="Z41" s="190">
        <f>IF($A41&lt;Input!$H$65,IF($A41&lt;Input!$G$65,IF($A41&lt;Input!$F$65,IF($A41&lt;Input!$E$65,IF($A41&lt;Input!$D$65,Input!$C$66,Input!$D$66),Input!$E$66),Input!$F$66),Input!$G$66),Input!$H$66)</f>
        <v>0.9</v>
      </c>
      <c r="AA41" s="60">
        <f t="shared" si="5"/>
        <v>0</v>
      </c>
      <c r="AB41" s="60">
        <f t="shared" si="27"/>
        <v>31</v>
      </c>
      <c r="AC41" s="60">
        <f t="shared" si="6"/>
        <v>0</v>
      </c>
      <c r="AD41" s="60">
        <f>ROUND(AC41*AB41*Input!$C$3/365,0)</f>
        <v>0</v>
      </c>
      <c r="AE41" s="61">
        <f>IF($A41&lt;=Input!$C$6,0,IF('Unique Tenure'!AA41&lt;'Unique Tenure'!AC41,'Unique Tenure'!AA41-AD41,'Unique Tenure'!AC41))</f>
        <v>0</v>
      </c>
      <c r="AF41" s="61">
        <f t="shared" si="7"/>
        <v>0</v>
      </c>
      <c r="AG41" s="60">
        <f t="shared" si="8"/>
        <v>0</v>
      </c>
      <c r="AH41" s="193"/>
      <c r="AI41" s="169">
        <v>37</v>
      </c>
      <c r="AJ41" s="1">
        <f t="shared" si="28"/>
        <v>46645</v>
      </c>
      <c r="AK41" s="60">
        <f>IF($X41&lt;Input!$H$73,IF($X41&lt;Input!$G$73,IF($X41&lt;Input!$F$73,IF($X41&lt;Input!$E$73,IF($X41&lt;Input!$D$73,Input!$C$79,Input!$D$79),Input!$E$79),Input!$F$79),Input!$G$79),Input!$H$79)</f>
        <v>0</v>
      </c>
      <c r="AL41" s="190">
        <f>IF($A41&lt;Input!$H$80,IF($A41&lt;Input!$G$80,IF($A41&lt;Input!$F$80,IF($A41&lt;Input!$E$80,IF($A41&lt;Input!$D$80,Input!$C$81,Input!$D$81),Input!$E$81),Input!$F$81),Input!$G$81),Input!$H$81)</f>
        <v>0.9</v>
      </c>
      <c r="AM41" s="60">
        <f t="shared" si="9"/>
        <v>0</v>
      </c>
      <c r="AN41" s="60">
        <f t="shared" si="29"/>
        <v>31</v>
      </c>
      <c r="AO41" s="60">
        <f t="shared" si="10"/>
        <v>0</v>
      </c>
      <c r="AP41" s="60">
        <f>ROUND(AO41*AN41*Input!$C$3/365,0)</f>
        <v>0</v>
      </c>
      <c r="AQ41" s="61">
        <f>IF($A41&lt;=Input!$C$6,0,IF('Unique Tenure'!AM41&lt;'Unique Tenure'!AO41,'Unique Tenure'!AM41-AP41,'Unique Tenure'!AO41))</f>
        <v>0</v>
      </c>
      <c r="AR41" s="61">
        <f t="shared" si="11"/>
        <v>0</v>
      </c>
      <c r="AS41" s="60">
        <f t="shared" si="12"/>
        <v>0</v>
      </c>
      <c r="AT41" s="193"/>
      <c r="AU41" s="169">
        <v>37</v>
      </c>
      <c r="AV41" s="1">
        <f t="shared" si="30"/>
        <v>46645</v>
      </c>
      <c r="AW41" s="60">
        <f>IF($X41&lt;Input!$H$88,IF($X41&lt;Input!$G$88,IF($X41&lt;Input!$F$88,IF($X41&lt;Input!$E$88,IF($X41&lt;Input!$D$88,Input!$C$94,Input!$D$94),Input!$E$94),Input!$F$94),Input!$G$94),Input!$H$94)</f>
        <v>0</v>
      </c>
      <c r="AX41" s="190">
        <f>IF($A41&lt;Input!$H$95,IF($A41&lt;Input!$G$95,IF($A41&lt;Input!$F$95,IF($A41&lt;Input!$E$95,IF($A41&lt;Input!$D$95,Input!$C$96,Input!$D$96),Input!$E$96),Input!$F$96),Input!$G$96),Input!$H$96)</f>
        <v>0.9</v>
      </c>
      <c r="AY41" s="60">
        <f t="shared" si="13"/>
        <v>0</v>
      </c>
      <c r="AZ41" s="60">
        <f t="shared" si="31"/>
        <v>31</v>
      </c>
      <c r="BA41" s="60">
        <f t="shared" si="14"/>
        <v>0</v>
      </c>
      <c r="BB41" s="60">
        <f>ROUND(BA41*AZ41*Input!$C$3/365,0)</f>
        <v>0</v>
      </c>
      <c r="BC41" s="61">
        <f>IF($A41&lt;=Input!$C$6,0,IF('Unique Tenure'!AY41&lt;'Unique Tenure'!BA41,'Unique Tenure'!AY41-BB41,'Unique Tenure'!BA41))</f>
        <v>0</v>
      </c>
      <c r="BD41" s="61">
        <f t="shared" si="15"/>
        <v>0</v>
      </c>
      <c r="BE41" s="60">
        <f t="shared" si="16"/>
        <v>0</v>
      </c>
      <c r="BF41" s="193"/>
      <c r="BG41" s="169">
        <v>37</v>
      </c>
      <c r="BH41" s="1">
        <f t="shared" si="32"/>
        <v>46645</v>
      </c>
      <c r="BI41" s="60">
        <f>IF($X41&lt;Input!$H$103,IF($X41&lt;Input!$G$103,IF($X41&lt;Input!$F$103,IF($X41&lt;Input!$E$103,IF($X41&lt;Input!$D$103,Input!$C$109,Input!$D$109),Input!$E$109),Input!$F$109),Input!$G$109),Input!$H$109)</f>
        <v>0</v>
      </c>
      <c r="BJ41" s="190">
        <f>IF($A41&lt;Input!$H$110,IF($A41&lt;Input!$G$110,IF($A41&lt;Input!$F$110,IF($A41&lt;Input!$E$110,IF($A41&lt;Input!$D$110,Input!$C$111,Input!$D$111),Input!$E$111),Input!$F$111),Input!$G$111),Input!$H$111)</f>
        <v>0.9</v>
      </c>
      <c r="BK41" s="60">
        <f t="shared" si="17"/>
        <v>0</v>
      </c>
      <c r="BL41" s="60">
        <f t="shared" si="33"/>
        <v>31</v>
      </c>
      <c r="BM41" s="60">
        <f t="shared" si="18"/>
        <v>0</v>
      </c>
      <c r="BN41" s="60">
        <f>ROUND(BM41*BL41*Input!$C$3/365,0)</f>
        <v>0</v>
      </c>
      <c r="BO41" s="61">
        <f>IF($A41&lt;=Input!$C$6,0,IF('Unique Tenure'!BK41&lt;'Unique Tenure'!BM41,'Unique Tenure'!BK41-BN41,'Unique Tenure'!BM41))</f>
        <v>0</v>
      </c>
      <c r="BP41" s="61">
        <f t="shared" si="19"/>
        <v>0</v>
      </c>
      <c r="BQ41" s="60">
        <f t="shared" si="20"/>
        <v>0</v>
      </c>
      <c r="BR41" s="198"/>
    </row>
    <row r="42" spans="1:70" s="51" customFormat="1" x14ac:dyDescent="0.25">
      <c r="A42" s="169">
        <v>38</v>
      </c>
      <c r="B42" s="1">
        <f t="shared" si="21"/>
        <v>46675</v>
      </c>
      <c r="C42" s="60">
        <f>SUM(
   IF(($A$4:$A$184 &lt;= Input!$D$16), M42, 0),
   IF(($A$4:$A$184 &lt;= Input!$E$16), Y42, 0),
   IF(($A$4:$A$184 &lt;= Input!$F$16), AK42, 0),
   IF(($A$4:$A$184 &lt;= Input!$G$16), AW42, 0),
   IF(($A$4:$A$184 &lt;= Input!$H$16), BI42, 0)
)</f>
        <v>18940500</v>
      </c>
      <c r="D42" s="60">
        <f>SUM(
   IF(($A$4:$A$184 &lt;= Input!$D$16), O42, 0),
   IF(($A$4:$A$184 &lt;= Input!$E$16), AA42, 0),
   IF(($A$4:$A$184 &lt;= Input!$F$16), AM42, 0),
   IF(($A$4:$A$184 &lt;= Input!$G$16), AY42, 0),
   IF(($A$4:$A$184 &lt;= Input!$H$16), BK42, 0)
)</f>
        <v>17046450</v>
      </c>
      <c r="E42" s="60">
        <f t="shared" si="22"/>
        <v>30</v>
      </c>
      <c r="F42" s="60">
        <f t="shared" si="23"/>
        <v>889590860</v>
      </c>
      <c r="G42" s="60">
        <f>ROUND(F42*E42*Input!$C$3/365,0)</f>
        <v>10967559</v>
      </c>
      <c r="H42" s="60">
        <f>IF($A42&lt;=Input!$C$6,0,IF('Unique Tenure'!D42&lt;'Unique Tenure'!F42,'Unique Tenure'!D42-G42,'Unique Tenure'!F42))</f>
        <v>6078891</v>
      </c>
      <c r="I42" s="60">
        <f t="shared" si="24"/>
        <v>17046450</v>
      </c>
      <c r="J42" s="60">
        <f t="shared" si="25"/>
        <v>883511969</v>
      </c>
      <c r="K42" s="202">
        <f>J42/Input!$K$5</f>
        <v>2.9450398966666667</v>
      </c>
      <c r="L42" s="232"/>
      <c r="M42" s="60">
        <f>IF($B42&lt;Input!$H$43,IF($B42&lt;Input!$G$43,IF($B42&lt;Input!$F$43,IF($B42&lt;Input!$E$43,IF($B42&lt;Input!$D$43,Input!$C$49,Input!$D$49),Input!$E$49),Input!$F$49),Input!$G$49),Input!$H$49)</f>
        <v>18940500</v>
      </c>
      <c r="N42" s="190">
        <f>IF($A42&lt;Input!$H$50,IF($A42&lt;Input!$G$50,IF($A42&lt;Input!$F$50,IF($A42&lt;Input!$E$50,IF($A42&lt;Input!$D$50,Input!$C$51,Input!$D$51),Input!$E$51),Input!$F$51),Input!$G$51),Input!$H$51)</f>
        <v>0.9</v>
      </c>
      <c r="O42" s="60">
        <f t="shared" si="34"/>
        <v>17046450</v>
      </c>
      <c r="P42" s="60">
        <f t="shared" si="35"/>
        <v>30</v>
      </c>
      <c r="Q42" s="60">
        <f t="shared" si="2"/>
        <v>889590860</v>
      </c>
      <c r="R42" s="60">
        <f>ROUND(Q42*$P42*Input!$C$3/365,0)</f>
        <v>10967559</v>
      </c>
      <c r="S42" s="60">
        <f>IF(A42&lt;=Input!$C$6,0,IF('Unique Tenure'!O42&lt;'Unique Tenure'!Q42,'Unique Tenure'!O42-R42,'Unique Tenure'!Q42))</f>
        <v>6078891</v>
      </c>
      <c r="T42" s="60">
        <f t="shared" si="3"/>
        <v>17046450</v>
      </c>
      <c r="U42" s="60">
        <f t="shared" si="4"/>
        <v>883511969</v>
      </c>
      <c r="V42" s="193"/>
      <c r="W42" s="169">
        <v>38</v>
      </c>
      <c r="X42" s="1">
        <f t="shared" si="26"/>
        <v>46675</v>
      </c>
      <c r="Y42" s="60">
        <f>IF($X42&lt;Input!$H$58,IF($X42&lt;Input!$G$58,IF($X42&lt;Input!$F$58,IF($X42&lt;Input!$E$58,IF($X42&lt;Input!$D$58,Input!$C$64,Input!$D$64),Input!$E$64),Input!$F$64),Input!$G$64),Input!$H$64)</f>
        <v>0</v>
      </c>
      <c r="Z42" s="190">
        <f>IF($A42&lt;Input!$H$65,IF($A42&lt;Input!$G$65,IF($A42&lt;Input!$F$65,IF($A42&lt;Input!$E$65,IF($A42&lt;Input!$D$65,Input!$C$66,Input!$D$66),Input!$E$66),Input!$F$66),Input!$G$66),Input!$H$66)</f>
        <v>0.9</v>
      </c>
      <c r="AA42" s="60">
        <f t="shared" si="5"/>
        <v>0</v>
      </c>
      <c r="AB42" s="60">
        <f t="shared" si="27"/>
        <v>30</v>
      </c>
      <c r="AC42" s="60">
        <f t="shared" si="6"/>
        <v>0</v>
      </c>
      <c r="AD42" s="60">
        <f>ROUND(AC42*AB42*Input!$C$3/365,0)</f>
        <v>0</v>
      </c>
      <c r="AE42" s="61">
        <f>IF($A42&lt;=Input!$C$6,0,IF('Unique Tenure'!AA42&lt;'Unique Tenure'!AC42,'Unique Tenure'!AA42-AD42,'Unique Tenure'!AC42))</f>
        <v>0</v>
      </c>
      <c r="AF42" s="61">
        <f t="shared" si="7"/>
        <v>0</v>
      </c>
      <c r="AG42" s="60">
        <f t="shared" si="8"/>
        <v>0</v>
      </c>
      <c r="AH42" s="193"/>
      <c r="AI42" s="169">
        <v>38</v>
      </c>
      <c r="AJ42" s="1">
        <f t="shared" si="28"/>
        <v>46675</v>
      </c>
      <c r="AK42" s="60">
        <f>IF($X42&lt;Input!$H$73,IF($X42&lt;Input!$G$73,IF($X42&lt;Input!$F$73,IF($X42&lt;Input!$E$73,IF($X42&lt;Input!$D$73,Input!$C$79,Input!$D$79),Input!$E$79),Input!$F$79),Input!$G$79),Input!$H$79)</f>
        <v>0</v>
      </c>
      <c r="AL42" s="190">
        <f>IF($A42&lt;Input!$H$80,IF($A42&lt;Input!$G$80,IF($A42&lt;Input!$F$80,IF($A42&lt;Input!$E$80,IF($A42&lt;Input!$D$80,Input!$C$81,Input!$D$81),Input!$E$81),Input!$F$81),Input!$G$81),Input!$H$81)</f>
        <v>0.9</v>
      </c>
      <c r="AM42" s="60">
        <f t="shared" si="9"/>
        <v>0</v>
      </c>
      <c r="AN42" s="60">
        <f t="shared" si="29"/>
        <v>30</v>
      </c>
      <c r="AO42" s="60">
        <f t="shared" si="10"/>
        <v>0</v>
      </c>
      <c r="AP42" s="60">
        <f>ROUND(AO42*AN42*Input!$C$3/365,0)</f>
        <v>0</v>
      </c>
      <c r="AQ42" s="61">
        <f>IF($A42&lt;=Input!$C$6,0,IF('Unique Tenure'!AM42&lt;'Unique Tenure'!AO42,'Unique Tenure'!AM42-AP42,'Unique Tenure'!AO42))</f>
        <v>0</v>
      </c>
      <c r="AR42" s="61">
        <f t="shared" si="11"/>
        <v>0</v>
      </c>
      <c r="AS42" s="60">
        <f t="shared" si="12"/>
        <v>0</v>
      </c>
      <c r="AT42" s="193"/>
      <c r="AU42" s="169">
        <v>38</v>
      </c>
      <c r="AV42" s="1">
        <f t="shared" si="30"/>
        <v>46675</v>
      </c>
      <c r="AW42" s="60">
        <f>IF($X42&lt;Input!$H$88,IF($X42&lt;Input!$G$88,IF($X42&lt;Input!$F$88,IF($X42&lt;Input!$E$88,IF($X42&lt;Input!$D$88,Input!$C$94,Input!$D$94),Input!$E$94),Input!$F$94),Input!$G$94),Input!$H$94)</f>
        <v>0</v>
      </c>
      <c r="AX42" s="190">
        <f>IF($A42&lt;Input!$H$95,IF($A42&lt;Input!$G$95,IF($A42&lt;Input!$F$95,IF($A42&lt;Input!$E$95,IF($A42&lt;Input!$D$95,Input!$C$96,Input!$D$96),Input!$E$96),Input!$F$96),Input!$G$96),Input!$H$96)</f>
        <v>0.9</v>
      </c>
      <c r="AY42" s="60">
        <f t="shared" si="13"/>
        <v>0</v>
      </c>
      <c r="AZ42" s="60">
        <f t="shared" si="31"/>
        <v>30</v>
      </c>
      <c r="BA42" s="60">
        <f t="shared" si="14"/>
        <v>0</v>
      </c>
      <c r="BB42" s="60">
        <f>ROUND(BA42*AZ42*Input!$C$3/365,0)</f>
        <v>0</v>
      </c>
      <c r="BC42" s="61">
        <f>IF($A42&lt;=Input!$C$6,0,IF('Unique Tenure'!AY42&lt;'Unique Tenure'!BA42,'Unique Tenure'!AY42-BB42,'Unique Tenure'!BA42))</f>
        <v>0</v>
      </c>
      <c r="BD42" s="61">
        <f t="shared" si="15"/>
        <v>0</v>
      </c>
      <c r="BE42" s="60">
        <f t="shared" si="16"/>
        <v>0</v>
      </c>
      <c r="BF42" s="193"/>
      <c r="BG42" s="169">
        <v>38</v>
      </c>
      <c r="BH42" s="1">
        <f t="shared" si="32"/>
        <v>46675</v>
      </c>
      <c r="BI42" s="60">
        <f>IF($X42&lt;Input!$H$103,IF($X42&lt;Input!$G$103,IF($X42&lt;Input!$F$103,IF($X42&lt;Input!$E$103,IF($X42&lt;Input!$D$103,Input!$C$109,Input!$D$109),Input!$E$109),Input!$F$109),Input!$G$109),Input!$H$109)</f>
        <v>0</v>
      </c>
      <c r="BJ42" s="190">
        <f>IF($A42&lt;Input!$H$110,IF($A42&lt;Input!$G$110,IF($A42&lt;Input!$F$110,IF($A42&lt;Input!$E$110,IF($A42&lt;Input!$D$110,Input!$C$111,Input!$D$111),Input!$E$111),Input!$F$111),Input!$G$111),Input!$H$111)</f>
        <v>0.9</v>
      </c>
      <c r="BK42" s="60">
        <f t="shared" si="17"/>
        <v>0</v>
      </c>
      <c r="BL42" s="60">
        <f t="shared" si="33"/>
        <v>30</v>
      </c>
      <c r="BM42" s="60">
        <f t="shared" si="18"/>
        <v>0</v>
      </c>
      <c r="BN42" s="60">
        <f>ROUND(BM42*BL42*Input!$C$3/365,0)</f>
        <v>0</v>
      </c>
      <c r="BO42" s="61">
        <f>IF($A42&lt;=Input!$C$6,0,IF('Unique Tenure'!BK42&lt;'Unique Tenure'!BM42,'Unique Tenure'!BK42-BN42,'Unique Tenure'!BM42))</f>
        <v>0</v>
      </c>
      <c r="BP42" s="61">
        <f t="shared" si="19"/>
        <v>0</v>
      </c>
      <c r="BQ42" s="60">
        <f t="shared" si="20"/>
        <v>0</v>
      </c>
      <c r="BR42" s="198"/>
    </row>
    <row r="43" spans="1:70" s="51" customFormat="1" x14ac:dyDescent="0.25">
      <c r="A43" s="169">
        <v>39</v>
      </c>
      <c r="B43" s="1">
        <f t="shared" si="21"/>
        <v>46706</v>
      </c>
      <c r="C43" s="60">
        <f>SUM(
   IF(($A$4:$A$184 &lt;= Input!$D$16), M43, 0),
   IF(($A$4:$A$184 &lt;= Input!$E$16), Y43, 0),
   IF(($A$4:$A$184 &lt;= Input!$F$16), AK43, 0),
   IF(($A$4:$A$184 &lt;= Input!$G$16), AW43, 0),
   IF(($A$4:$A$184 &lt;= Input!$H$16), BI43, 0)
)</f>
        <v>18940500</v>
      </c>
      <c r="D43" s="60">
        <f>SUM(
   IF(($A$4:$A$184 &lt;= Input!$D$16), O43, 0),
   IF(($A$4:$A$184 &lt;= Input!$E$16), AA43, 0),
   IF(($A$4:$A$184 &lt;= Input!$F$16), AM43, 0),
   IF(($A$4:$A$184 &lt;= Input!$G$16), AY43, 0),
   IF(($A$4:$A$184 &lt;= Input!$H$16), BK43, 0)
)</f>
        <v>17046450</v>
      </c>
      <c r="E43" s="60">
        <f t="shared" si="22"/>
        <v>31</v>
      </c>
      <c r="F43" s="60">
        <f t="shared" si="23"/>
        <v>883511969</v>
      </c>
      <c r="G43" s="60">
        <f>ROUND(F43*E43*Input!$C$3/365,0)</f>
        <v>11255700</v>
      </c>
      <c r="H43" s="60">
        <f>IF($A43&lt;=Input!$C$6,0,IF('Unique Tenure'!D43&lt;'Unique Tenure'!F43,'Unique Tenure'!D43-G43,'Unique Tenure'!F43))</f>
        <v>5790750</v>
      </c>
      <c r="I43" s="60">
        <f t="shared" si="24"/>
        <v>17046450</v>
      </c>
      <c r="J43" s="60">
        <f t="shared" si="25"/>
        <v>877721219</v>
      </c>
      <c r="K43" s="202">
        <f>J43/Input!$K$5</f>
        <v>2.9257373966666669</v>
      </c>
      <c r="L43" s="232"/>
      <c r="M43" s="60">
        <f>IF($B43&lt;Input!$H$43,IF($B43&lt;Input!$G$43,IF($B43&lt;Input!$F$43,IF($B43&lt;Input!$E$43,IF($B43&lt;Input!$D$43,Input!$C$49,Input!$D$49),Input!$E$49),Input!$F$49),Input!$G$49),Input!$H$49)</f>
        <v>18940500</v>
      </c>
      <c r="N43" s="190">
        <f>IF($A43&lt;Input!$H$50,IF($A43&lt;Input!$G$50,IF($A43&lt;Input!$F$50,IF($A43&lt;Input!$E$50,IF($A43&lt;Input!$D$50,Input!$C$51,Input!$D$51),Input!$E$51),Input!$F$51),Input!$G$51),Input!$H$51)</f>
        <v>0.9</v>
      </c>
      <c r="O43" s="60">
        <f t="shared" si="34"/>
        <v>17046450</v>
      </c>
      <c r="P43" s="60">
        <f t="shared" si="35"/>
        <v>31</v>
      </c>
      <c r="Q43" s="60">
        <f t="shared" si="2"/>
        <v>883511969</v>
      </c>
      <c r="R43" s="60">
        <f>ROUND(Q43*$P43*Input!$C$3/365,0)</f>
        <v>11255700</v>
      </c>
      <c r="S43" s="60">
        <f>IF(A43&lt;=Input!$C$6,0,IF('Unique Tenure'!O43&lt;'Unique Tenure'!Q43,'Unique Tenure'!O43-R43,'Unique Tenure'!Q43))</f>
        <v>5790750</v>
      </c>
      <c r="T43" s="60">
        <f t="shared" si="3"/>
        <v>17046450</v>
      </c>
      <c r="U43" s="60">
        <f t="shared" si="4"/>
        <v>877721219</v>
      </c>
      <c r="V43" s="193"/>
      <c r="W43" s="169">
        <v>39</v>
      </c>
      <c r="X43" s="1">
        <f t="shared" si="26"/>
        <v>46706</v>
      </c>
      <c r="Y43" s="60">
        <f>IF($X43&lt;Input!$H$58,IF($X43&lt;Input!$G$58,IF($X43&lt;Input!$F$58,IF($X43&lt;Input!$E$58,IF($X43&lt;Input!$D$58,Input!$C$64,Input!$D$64),Input!$E$64),Input!$F$64),Input!$G$64),Input!$H$64)</f>
        <v>0</v>
      </c>
      <c r="Z43" s="190">
        <f>IF($A43&lt;Input!$H$65,IF($A43&lt;Input!$G$65,IF($A43&lt;Input!$F$65,IF($A43&lt;Input!$E$65,IF($A43&lt;Input!$D$65,Input!$C$66,Input!$D$66),Input!$E$66),Input!$F$66),Input!$G$66),Input!$H$66)</f>
        <v>0.9</v>
      </c>
      <c r="AA43" s="60">
        <f t="shared" si="5"/>
        <v>0</v>
      </c>
      <c r="AB43" s="60">
        <f t="shared" si="27"/>
        <v>31</v>
      </c>
      <c r="AC43" s="60">
        <f t="shared" si="6"/>
        <v>0</v>
      </c>
      <c r="AD43" s="60">
        <f>ROUND(AC43*AB43*Input!$C$3/365,0)</f>
        <v>0</v>
      </c>
      <c r="AE43" s="61">
        <f>IF($A43&lt;=Input!$C$6,0,IF('Unique Tenure'!AA43&lt;'Unique Tenure'!AC43,'Unique Tenure'!AA43-AD43,'Unique Tenure'!AC43))</f>
        <v>0</v>
      </c>
      <c r="AF43" s="61">
        <f t="shared" si="7"/>
        <v>0</v>
      </c>
      <c r="AG43" s="60">
        <f t="shared" si="8"/>
        <v>0</v>
      </c>
      <c r="AH43" s="193"/>
      <c r="AI43" s="169">
        <v>39</v>
      </c>
      <c r="AJ43" s="1">
        <f t="shared" si="28"/>
        <v>46706</v>
      </c>
      <c r="AK43" s="60">
        <f>IF($X43&lt;Input!$H$73,IF($X43&lt;Input!$G$73,IF($X43&lt;Input!$F$73,IF($X43&lt;Input!$E$73,IF($X43&lt;Input!$D$73,Input!$C$79,Input!$D$79),Input!$E$79),Input!$F$79),Input!$G$79),Input!$H$79)</f>
        <v>0</v>
      </c>
      <c r="AL43" s="190">
        <f>IF($A43&lt;Input!$H$80,IF($A43&lt;Input!$G$80,IF($A43&lt;Input!$F$80,IF($A43&lt;Input!$E$80,IF($A43&lt;Input!$D$80,Input!$C$81,Input!$D$81),Input!$E$81),Input!$F$81),Input!$G$81),Input!$H$81)</f>
        <v>0.9</v>
      </c>
      <c r="AM43" s="60">
        <f t="shared" si="9"/>
        <v>0</v>
      </c>
      <c r="AN43" s="60">
        <f t="shared" si="29"/>
        <v>31</v>
      </c>
      <c r="AO43" s="60">
        <f t="shared" si="10"/>
        <v>0</v>
      </c>
      <c r="AP43" s="60">
        <f>ROUND(AO43*AN43*Input!$C$3/365,0)</f>
        <v>0</v>
      </c>
      <c r="AQ43" s="61">
        <f>IF($A43&lt;=Input!$C$6,0,IF('Unique Tenure'!AM43&lt;'Unique Tenure'!AO43,'Unique Tenure'!AM43-AP43,'Unique Tenure'!AO43))</f>
        <v>0</v>
      </c>
      <c r="AR43" s="61">
        <f t="shared" si="11"/>
        <v>0</v>
      </c>
      <c r="AS43" s="60">
        <f t="shared" si="12"/>
        <v>0</v>
      </c>
      <c r="AT43" s="193"/>
      <c r="AU43" s="169">
        <v>39</v>
      </c>
      <c r="AV43" s="1">
        <f t="shared" si="30"/>
        <v>46706</v>
      </c>
      <c r="AW43" s="60">
        <f>IF($X43&lt;Input!$H$88,IF($X43&lt;Input!$G$88,IF($X43&lt;Input!$F$88,IF($X43&lt;Input!$E$88,IF($X43&lt;Input!$D$88,Input!$C$94,Input!$D$94),Input!$E$94),Input!$F$94),Input!$G$94),Input!$H$94)</f>
        <v>0</v>
      </c>
      <c r="AX43" s="190">
        <f>IF($A43&lt;Input!$H$95,IF($A43&lt;Input!$G$95,IF($A43&lt;Input!$F$95,IF($A43&lt;Input!$E$95,IF($A43&lt;Input!$D$95,Input!$C$96,Input!$D$96),Input!$E$96),Input!$F$96),Input!$G$96),Input!$H$96)</f>
        <v>0.9</v>
      </c>
      <c r="AY43" s="60">
        <f t="shared" si="13"/>
        <v>0</v>
      </c>
      <c r="AZ43" s="60">
        <f t="shared" si="31"/>
        <v>31</v>
      </c>
      <c r="BA43" s="60">
        <f t="shared" si="14"/>
        <v>0</v>
      </c>
      <c r="BB43" s="60">
        <f>ROUND(BA43*AZ43*Input!$C$3/365,0)</f>
        <v>0</v>
      </c>
      <c r="BC43" s="61">
        <f>IF($A43&lt;=Input!$C$6,0,IF('Unique Tenure'!AY43&lt;'Unique Tenure'!BA43,'Unique Tenure'!AY43-BB43,'Unique Tenure'!BA43))</f>
        <v>0</v>
      </c>
      <c r="BD43" s="61">
        <f t="shared" si="15"/>
        <v>0</v>
      </c>
      <c r="BE43" s="60">
        <f t="shared" si="16"/>
        <v>0</v>
      </c>
      <c r="BF43" s="193"/>
      <c r="BG43" s="169">
        <v>39</v>
      </c>
      <c r="BH43" s="1">
        <f t="shared" si="32"/>
        <v>46706</v>
      </c>
      <c r="BI43" s="60">
        <f>IF($X43&lt;Input!$H$103,IF($X43&lt;Input!$G$103,IF($X43&lt;Input!$F$103,IF($X43&lt;Input!$E$103,IF($X43&lt;Input!$D$103,Input!$C$109,Input!$D$109),Input!$E$109),Input!$F$109),Input!$G$109),Input!$H$109)</f>
        <v>0</v>
      </c>
      <c r="BJ43" s="190">
        <f>IF($A43&lt;Input!$H$110,IF($A43&lt;Input!$G$110,IF($A43&lt;Input!$F$110,IF($A43&lt;Input!$E$110,IF($A43&lt;Input!$D$110,Input!$C$111,Input!$D$111),Input!$E$111),Input!$F$111),Input!$G$111),Input!$H$111)</f>
        <v>0.9</v>
      </c>
      <c r="BK43" s="60">
        <f t="shared" si="17"/>
        <v>0</v>
      </c>
      <c r="BL43" s="60">
        <f t="shared" si="33"/>
        <v>31</v>
      </c>
      <c r="BM43" s="60">
        <f t="shared" si="18"/>
        <v>0</v>
      </c>
      <c r="BN43" s="60">
        <f>ROUND(BM43*BL43*Input!$C$3/365,0)</f>
        <v>0</v>
      </c>
      <c r="BO43" s="61">
        <f>IF($A43&lt;=Input!$C$6,0,IF('Unique Tenure'!BK43&lt;'Unique Tenure'!BM43,'Unique Tenure'!BK43-BN43,'Unique Tenure'!BM43))</f>
        <v>0</v>
      </c>
      <c r="BP43" s="61">
        <f t="shared" si="19"/>
        <v>0</v>
      </c>
      <c r="BQ43" s="60">
        <f t="shared" si="20"/>
        <v>0</v>
      </c>
      <c r="BR43" s="198"/>
    </row>
    <row r="44" spans="1:70" s="51" customFormat="1" x14ac:dyDescent="0.25">
      <c r="A44" s="169">
        <v>40</v>
      </c>
      <c r="B44" s="1">
        <f t="shared" si="21"/>
        <v>46736</v>
      </c>
      <c r="C44" s="60">
        <f>SUM(
   IF(($A$4:$A$184 &lt;= Input!$D$16), M44, 0),
   IF(($A$4:$A$184 &lt;= Input!$E$16), Y44, 0),
   IF(($A$4:$A$184 &lt;= Input!$F$16), AK44, 0),
   IF(($A$4:$A$184 &lt;= Input!$G$16), AW44, 0),
   IF(($A$4:$A$184 &lt;= Input!$H$16), BI44, 0)
)</f>
        <v>18940500</v>
      </c>
      <c r="D44" s="60">
        <f>SUM(
   IF(($A$4:$A$184 &lt;= Input!$D$16), O44, 0),
   IF(($A$4:$A$184 &lt;= Input!$E$16), AA44, 0),
   IF(($A$4:$A$184 &lt;= Input!$F$16), AM44, 0),
   IF(($A$4:$A$184 &lt;= Input!$G$16), AY44, 0),
   IF(($A$4:$A$184 &lt;= Input!$H$16), BK44, 0)
)</f>
        <v>17046450</v>
      </c>
      <c r="E44" s="60">
        <f t="shared" si="22"/>
        <v>30</v>
      </c>
      <c r="F44" s="60">
        <f t="shared" si="23"/>
        <v>877721219</v>
      </c>
      <c r="G44" s="60">
        <f>ROUND(F44*E44*Input!$C$3/365,0)</f>
        <v>10821221</v>
      </c>
      <c r="H44" s="60">
        <f>IF($A44&lt;=Input!$C$6,0,IF('Unique Tenure'!D44&lt;'Unique Tenure'!F44,'Unique Tenure'!D44-G44,'Unique Tenure'!F44))</f>
        <v>6225229</v>
      </c>
      <c r="I44" s="60">
        <f t="shared" si="24"/>
        <v>17046450</v>
      </c>
      <c r="J44" s="60">
        <f t="shared" si="25"/>
        <v>871495990</v>
      </c>
      <c r="K44" s="202">
        <f>J44/Input!$K$5</f>
        <v>2.9049866333333334</v>
      </c>
      <c r="L44" s="232"/>
      <c r="M44" s="60">
        <f>IF($B44&lt;Input!$H$43,IF($B44&lt;Input!$G$43,IF($B44&lt;Input!$F$43,IF($B44&lt;Input!$E$43,IF($B44&lt;Input!$D$43,Input!$C$49,Input!$D$49),Input!$E$49),Input!$F$49),Input!$G$49),Input!$H$49)</f>
        <v>18940500</v>
      </c>
      <c r="N44" s="190">
        <f>IF($A44&lt;Input!$H$50,IF($A44&lt;Input!$G$50,IF($A44&lt;Input!$F$50,IF($A44&lt;Input!$E$50,IF($A44&lt;Input!$D$50,Input!$C$51,Input!$D$51),Input!$E$51),Input!$F$51),Input!$G$51),Input!$H$51)</f>
        <v>0.9</v>
      </c>
      <c r="O44" s="60">
        <f t="shared" si="34"/>
        <v>17046450</v>
      </c>
      <c r="P44" s="60">
        <f t="shared" si="35"/>
        <v>30</v>
      </c>
      <c r="Q44" s="60">
        <f t="shared" si="2"/>
        <v>877721219</v>
      </c>
      <c r="R44" s="60">
        <f>ROUND(Q44*$P44*Input!$C$3/365,0)</f>
        <v>10821221</v>
      </c>
      <c r="S44" s="60">
        <f>IF(A44&lt;=Input!$C$6,0,IF('Unique Tenure'!O44&lt;'Unique Tenure'!Q44,'Unique Tenure'!O44-R44,'Unique Tenure'!Q44))</f>
        <v>6225229</v>
      </c>
      <c r="T44" s="60">
        <f t="shared" si="3"/>
        <v>17046450</v>
      </c>
      <c r="U44" s="60">
        <f t="shared" si="4"/>
        <v>871495990</v>
      </c>
      <c r="V44" s="193"/>
      <c r="W44" s="169">
        <v>40</v>
      </c>
      <c r="X44" s="1">
        <f t="shared" si="26"/>
        <v>46736</v>
      </c>
      <c r="Y44" s="60">
        <f>IF($X44&lt;Input!$H$58,IF($X44&lt;Input!$G$58,IF($X44&lt;Input!$F$58,IF($X44&lt;Input!$E$58,IF($X44&lt;Input!$D$58,Input!$C$64,Input!$D$64),Input!$E$64),Input!$F$64),Input!$G$64),Input!$H$64)</f>
        <v>0</v>
      </c>
      <c r="Z44" s="190">
        <f>IF($A44&lt;Input!$H$65,IF($A44&lt;Input!$G$65,IF($A44&lt;Input!$F$65,IF($A44&lt;Input!$E$65,IF($A44&lt;Input!$D$65,Input!$C$66,Input!$D$66),Input!$E$66),Input!$F$66),Input!$G$66),Input!$H$66)</f>
        <v>0.9</v>
      </c>
      <c r="AA44" s="60">
        <f t="shared" si="5"/>
        <v>0</v>
      </c>
      <c r="AB44" s="60">
        <f t="shared" si="27"/>
        <v>30</v>
      </c>
      <c r="AC44" s="60">
        <f t="shared" si="6"/>
        <v>0</v>
      </c>
      <c r="AD44" s="60">
        <f>ROUND(AC44*AB44*Input!$C$3/365,0)</f>
        <v>0</v>
      </c>
      <c r="AE44" s="61">
        <f>IF($A44&lt;=Input!$C$6,0,IF('Unique Tenure'!AA44&lt;'Unique Tenure'!AC44,'Unique Tenure'!AA44-AD44,'Unique Tenure'!AC44))</f>
        <v>0</v>
      </c>
      <c r="AF44" s="61">
        <f t="shared" si="7"/>
        <v>0</v>
      </c>
      <c r="AG44" s="60">
        <f t="shared" si="8"/>
        <v>0</v>
      </c>
      <c r="AH44" s="193"/>
      <c r="AI44" s="169">
        <v>40</v>
      </c>
      <c r="AJ44" s="1">
        <f t="shared" si="28"/>
        <v>46736</v>
      </c>
      <c r="AK44" s="60">
        <f>IF($X44&lt;Input!$H$73,IF($X44&lt;Input!$G$73,IF($X44&lt;Input!$F$73,IF($X44&lt;Input!$E$73,IF($X44&lt;Input!$D$73,Input!$C$79,Input!$D$79),Input!$E$79),Input!$F$79),Input!$G$79),Input!$H$79)</f>
        <v>0</v>
      </c>
      <c r="AL44" s="190">
        <f>IF($A44&lt;Input!$H$80,IF($A44&lt;Input!$G$80,IF($A44&lt;Input!$F$80,IF($A44&lt;Input!$E$80,IF($A44&lt;Input!$D$80,Input!$C$81,Input!$D$81),Input!$E$81),Input!$F$81),Input!$G$81),Input!$H$81)</f>
        <v>0.9</v>
      </c>
      <c r="AM44" s="60">
        <f t="shared" si="9"/>
        <v>0</v>
      </c>
      <c r="AN44" s="60">
        <f t="shared" si="29"/>
        <v>30</v>
      </c>
      <c r="AO44" s="60">
        <f t="shared" si="10"/>
        <v>0</v>
      </c>
      <c r="AP44" s="60">
        <f>ROUND(AO44*AN44*Input!$C$3/365,0)</f>
        <v>0</v>
      </c>
      <c r="AQ44" s="61">
        <f>IF($A44&lt;=Input!$C$6,0,IF('Unique Tenure'!AM44&lt;'Unique Tenure'!AO44,'Unique Tenure'!AM44-AP44,'Unique Tenure'!AO44))</f>
        <v>0</v>
      </c>
      <c r="AR44" s="61">
        <f t="shared" si="11"/>
        <v>0</v>
      </c>
      <c r="AS44" s="60">
        <f t="shared" si="12"/>
        <v>0</v>
      </c>
      <c r="AT44" s="193"/>
      <c r="AU44" s="169">
        <v>40</v>
      </c>
      <c r="AV44" s="1">
        <f t="shared" si="30"/>
        <v>46736</v>
      </c>
      <c r="AW44" s="60">
        <f>IF($X44&lt;Input!$H$88,IF($X44&lt;Input!$G$88,IF($X44&lt;Input!$F$88,IF($X44&lt;Input!$E$88,IF($X44&lt;Input!$D$88,Input!$C$94,Input!$D$94),Input!$E$94),Input!$F$94),Input!$G$94),Input!$H$94)</f>
        <v>0</v>
      </c>
      <c r="AX44" s="190">
        <f>IF($A44&lt;Input!$H$95,IF($A44&lt;Input!$G$95,IF($A44&lt;Input!$F$95,IF($A44&lt;Input!$E$95,IF($A44&lt;Input!$D$95,Input!$C$96,Input!$D$96),Input!$E$96),Input!$F$96),Input!$G$96),Input!$H$96)</f>
        <v>0.9</v>
      </c>
      <c r="AY44" s="60">
        <f t="shared" si="13"/>
        <v>0</v>
      </c>
      <c r="AZ44" s="60">
        <f t="shared" si="31"/>
        <v>30</v>
      </c>
      <c r="BA44" s="60">
        <f t="shared" si="14"/>
        <v>0</v>
      </c>
      <c r="BB44" s="60">
        <f>ROUND(BA44*AZ44*Input!$C$3/365,0)</f>
        <v>0</v>
      </c>
      <c r="BC44" s="61">
        <f>IF($A44&lt;=Input!$C$6,0,IF('Unique Tenure'!AY44&lt;'Unique Tenure'!BA44,'Unique Tenure'!AY44-BB44,'Unique Tenure'!BA44))</f>
        <v>0</v>
      </c>
      <c r="BD44" s="61">
        <f t="shared" si="15"/>
        <v>0</v>
      </c>
      <c r="BE44" s="60">
        <f t="shared" si="16"/>
        <v>0</v>
      </c>
      <c r="BF44" s="193"/>
      <c r="BG44" s="169">
        <v>40</v>
      </c>
      <c r="BH44" s="1">
        <f t="shared" si="32"/>
        <v>46736</v>
      </c>
      <c r="BI44" s="60">
        <f>IF($X44&lt;Input!$H$103,IF($X44&lt;Input!$G$103,IF($X44&lt;Input!$F$103,IF($X44&lt;Input!$E$103,IF($X44&lt;Input!$D$103,Input!$C$109,Input!$D$109),Input!$E$109),Input!$F$109),Input!$G$109),Input!$H$109)</f>
        <v>0</v>
      </c>
      <c r="BJ44" s="190">
        <f>IF($A44&lt;Input!$H$110,IF($A44&lt;Input!$G$110,IF($A44&lt;Input!$F$110,IF($A44&lt;Input!$E$110,IF($A44&lt;Input!$D$110,Input!$C$111,Input!$D$111),Input!$E$111),Input!$F$111),Input!$G$111),Input!$H$111)</f>
        <v>0.9</v>
      </c>
      <c r="BK44" s="60">
        <f t="shared" si="17"/>
        <v>0</v>
      </c>
      <c r="BL44" s="60">
        <f t="shared" si="33"/>
        <v>30</v>
      </c>
      <c r="BM44" s="60">
        <f t="shared" si="18"/>
        <v>0</v>
      </c>
      <c r="BN44" s="60">
        <f>ROUND(BM44*BL44*Input!$C$3/365,0)</f>
        <v>0</v>
      </c>
      <c r="BO44" s="61">
        <f>IF($A44&lt;=Input!$C$6,0,IF('Unique Tenure'!BK44&lt;'Unique Tenure'!BM44,'Unique Tenure'!BK44-BN44,'Unique Tenure'!BM44))</f>
        <v>0</v>
      </c>
      <c r="BP44" s="61">
        <f t="shared" si="19"/>
        <v>0</v>
      </c>
      <c r="BQ44" s="60">
        <f t="shared" si="20"/>
        <v>0</v>
      </c>
      <c r="BR44" s="198"/>
    </row>
    <row r="45" spans="1:70" s="51" customFormat="1" x14ac:dyDescent="0.25">
      <c r="A45" s="169">
        <v>41</v>
      </c>
      <c r="B45" s="1">
        <f t="shared" si="21"/>
        <v>46767</v>
      </c>
      <c r="C45" s="60">
        <f>SUM(
   IF(($A$4:$A$184 &lt;= Input!$D$16), M45, 0),
   IF(($A$4:$A$184 &lt;= Input!$E$16), Y45, 0),
   IF(($A$4:$A$184 &lt;= Input!$F$16), AK45, 0),
   IF(($A$4:$A$184 &lt;= Input!$G$16), AW45, 0),
   IF(($A$4:$A$184 &lt;= Input!$H$16), BI45, 0)
)</f>
        <v>18940500</v>
      </c>
      <c r="D45" s="60">
        <f>SUM(
   IF(($A$4:$A$184 &lt;= Input!$D$16), O45, 0),
   IF(($A$4:$A$184 &lt;= Input!$E$16), AA45, 0),
   IF(($A$4:$A$184 &lt;= Input!$F$16), AM45, 0),
   IF(($A$4:$A$184 &lt;= Input!$G$16), AY45, 0),
   IF(($A$4:$A$184 &lt;= Input!$H$16), BK45, 0)
)</f>
        <v>17046450</v>
      </c>
      <c r="E45" s="60">
        <f t="shared" si="22"/>
        <v>31</v>
      </c>
      <c r="F45" s="60">
        <f t="shared" si="23"/>
        <v>871495990</v>
      </c>
      <c r="G45" s="60">
        <f>ROUND(F45*E45*Input!$C$3/365,0)</f>
        <v>11102620</v>
      </c>
      <c r="H45" s="60">
        <f>IF($A45&lt;=Input!$C$6,0,IF('Unique Tenure'!D45&lt;'Unique Tenure'!F45,'Unique Tenure'!D45-G45,'Unique Tenure'!F45))</f>
        <v>5943830</v>
      </c>
      <c r="I45" s="60">
        <f t="shared" si="24"/>
        <v>17046450</v>
      </c>
      <c r="J45" s="60">
        <f t="shared" si="25"/>
        <v>865552160</v>
      </c>
      <c r="K45" s="202">
        <f>J45/Input!$K$5</f>
        <v>2.8851738666666669</v>
      </c>
      <c r="L45" s="232"/>
      <c r="M45" s="60">
        <f>IF($B45&lt;Input!$H$43,IF($B45&lt;Input!$G$43,IF($B45&lt;Input!$F$43,IF($B45&lt;Input!$E$43,IF($B45&lt;Input!$D$43,Input!$C$49,Input!$D$49),Input!$E$49),Input!$F$49),Input!$G$49),Input!$H$49)</f>
        <v>18940500</v>
      </c>
      <c r="N45" s="190">
        <f>IF($A45&lt;Input!$H$50,IF($A45&lt;Input!$G$50,IF($A45&lt;Input!$F$50,IF($A45&lt;Input!$E$50,IF($A45&lt;Input!$D$50,Input!$C$51,Input!$D$51),Input!$E$51),Input!$F$51),Input!$G$51),Input!$H$51)</f>
        <v>0.9</v>
      </c>
      <c r="O45" s="60">
        <f t="shared" si="34"/>
        <v>17046450</v>
      </c>
      <c r="P45" s="60">
        <f t="shared" si="35"/>
        <v>31</v>
      </c>
      <c r="Q45" s="60">
        <f t="shared" si="2"/>
        <v>871495990</v>
      </c>
      <c r="R45" s="60">
        <f>ROUND(Q45*$P45*Input!$C$3/365,0)</f>
        <v>11102620</v>
      </c>
      <c r="S45" s="60">
        <f>IF(A45&lt;=Input!$C$6,0,IF('Unique Tenure'!O45&lt;'Unique Tenure'!Q45,'Unique Tenure'!O45-R45,'Unique Tenure'!Q45))</f>
        <v>5943830</v>
      </c>
      <c r="T45" s="60">
        <f t="shared" si="3"/>
        <v>17046450</v>
      </c>
      <c r="U45" s="60">
        <f t="shared" si="4"/>
        <v>865552160</v>
      </c>
      <c r="V45" s="193"/>
      <c r="W45" s="169">
        <v>41</v>
      </c>
      <c r="X45" s="1">
        <f t="shared" si="26"/>
        <v>46767</v>
      </c>
      <c r="Y45" s="60">
        <f>IF($X45&lt;Input!$H$58,IF($X45&lt;Input!$G$58,IF($X45&lt;Input!$F$58,IF($X45&lt;Input!$E$58,IF($X45&lt;Input!$D$58,Input!$C$64,Input!$D$64),Input!$E$64),Input!$F$64),Input!$G$64),Input!$H$64)</f>
        <v>0</v>
      </c>
      <c r="Z45" s="190">
        <f>IF($A45&lt;Input!$H$65,IF($A45&lt;Input!$G$65,IF($A45&lt;Input!$F$65,IF($A45&lt;Input!$E$65,IF($A45&lt;Input!$D$65,Input!$C$66,Input!$D$66),Input!$E$66),Input!$F$66),Input!$G$66),Input!$H$66)</f>
        <v>0.9</v>
      </c>
      <c r="AA45" s="60">
        <f t="shared" si="5"/>
        <v>0</v>
      </c>
      <c r="AB45" s="60">
        <f t="shared" si="27"/>
        <v>31</v>
      </c>
      <c r="AC45" s="60">
        <f t="shared" si="6"/>
        <v>0</v>
      </c>
      <c r="AD45" s="60">
        <f>ROUND(AC45*AB45*Input!$C$3/365,0)</f>
        <v>0</v>
      </c>
      <c r="AE45" s="61">
        <f>IF($A45&lt;=Input!$C$6,0,IF('Unique Tenure'!AA45&lt;'Unique Tenure'!AC45,'Unique Tenure'!AA45-AD45,'Unique Tenure'!AC45))</f>
        <v>0</v>
      </c>
      <c r="AF45" s="61">
        <f t="shared" si="7"/>
        <v>0</v>
      </c>
      <c r="AG45" s="60">
        <f t="shared" si="8"/>
        <v>0</v>
      </c>
      <c r="AH45" s="193"/>
      <c r="AI45" s="169">
        <v>41</v>
      </c>
      <c r="AJ45" s="1">
        <f t="shared" si="28"/>
        <v>46767</v>
      </c>
      <c r="AK45" s="60">
        <f>IF($X45&lt;Input!$H$73,IF($X45&lt;Input!$G$73,IF($X45&lt;Input!$F$73,IF($X45&lt;Input!$E$73,IF($X45&lt;Input!$D$73,Input!$C$79,Input!$D$79),Input!$E$79),Input!$F$79),Input!$G$79),Input!$H$79)</f>
        <v>0</v>
      </c>
      <c r="AL45" s="190">
        <f>IF($A45&lt;Input!$H$80,IF($A45&lt;Input!$G$80,IF($A45&lt;Input!$F$80,IF($A45&lt;Input!$E$80,IF($A45&lt;Input!$D$80,Input!$C$81,Input!$D$81),Input!$E$81),Input!$F$81),Input!$G$81),Input!$H$81)</f>
        <v>0.9</v>
      </c>
      <c r="AM45" s="60">
        <f t="shared" si="9"/>
        <v>0</v>
      </c>
      <c r="AN45" s="60">
        <f t="shared" si="29"/>
        <v>31</v>
      </c>
      <c r="AO45" s="60">
        <f t="shared" si="10"/>
        <v>0</v>
      </c>
      <c r="AP45" s="60">
        <f>ROUND(AO45*AN45*Input!$C$3/365,0)</f>
        <v>0</v>
      </c>
      <c r="AQ45" s="61">
        <f>IF($A45&lt;=Input!$C$6,0,IF('Unique Tenure'!AM45&lt;'Unique Tenure'!AO45,'Unique Tenure'!AM45-AP45,'Unique Tenure'!AO45))</f>
        <v>0</v>
      </c>
      <c r="AR45" s="61">
        <f t="shared" si="11"/>
        <v>0</v>
      </c>
      <c r="AS45" s="60">
        <f t="shared" si="12"/>
        <v>0</v>
      </c>
      <c r="AT45" s="193"/>
      <c r="AU45" s="169">
        <v>41</v>
      </c>
      <c r="AV45" s="1">
        <f t="shared" si="30"/>
        <v>46767</v>
      </c>
      <c r="AW45" s="60">
        <f>IF($X45&lt;Input!$H$88,IF($X45&lt;Input!$G$88,IF($X45&lt;Input!$F$88,IF($X45&lt;Input!$E$88,IF($X45&lt;Input!$D$88,Input!$C$94,Input!$D$94),Input!$E$94),Input!$F$94),Input!$G$94),Input!$H$94)</f>
        <v>0</v>
      </c>
      <c r="AX45" s="190">
        <f>IF($A45&lt;Input!$H$95,IF($A45&lt;Input!$G$95,IF($A45&lt;Input!$F$95,IF($A45&lt;Input!$E$95,IF($A45&lt;Input!$D$95,Input!$C$96,Input!$D$96),Input!$E$96),Input!$F$96),Input!$G$96),Input!$H$96)</f>
        <v>0.9</v>
      </c>
      <c r="AY45" s="60">
        <f t="shared" si="13"/>
        <v>0</v>
      </c>
      <c r="AZ45" s="60">
        <f t="shared" si="31"/>
        <v>31</v>
      </c>
      <c r="BA45" s="60">
        <f t="shared" si="14"/>
        <v>0</v>
      </c>
      <c r="BB45" s="60">
        <f>ROUND(BA45*AZ45*Input!$C$3/365,0)</f>
        <v>0</v>
      </c>
      <c r="BC45" s="61">
        <f>IF($A45&lt;=Input!$C$6,0,IF('Unique Tenure'!AY45&lt;'Unique Tenure'!BA45,'Unique Tenure'!AY45-BB45,'Unique Tenure'!BA45))</f>
        <v>0</v>
      </c>
      <c r="BD45" s="61">
        <f t="shared" si="15"/>
        <v>0</v>
      </c>
      <c r="BE45" s="60">
        <f t="shared" si="16"/>
        <v>0</v>
      </c>
      <c r="BF45" s="193"/>
      <c r="BG45" s="169">
        <v>41</v>
      </c>
      <c r="BH45" s="1">
        <f t="shared" si="32"/>
        <v>46767</v>
      </c>
      <c r="BI45" s="60">
        <f>IF($X45&lt;Input!$H$103,IF($X45&lt;Input!$G$103,IF($X45&lt;Input!$F$103,IF($X45&lt;Input!$E$103,IF($X45&lt;Input!$D$103,Input!$C$109,Input!$D$109),Input!$E$109),Input!$F$109),Input!$G$109),Input!$H$109)</f>
        <v>0</v>
      </c>
      <c r="BJ45" s="190">
        <f>IF($A45&lt;Input!$H$110,IF($A45&lt;Input!$G$110,IF($A45&lt;Input!$F$110,IF($A45&lt;Input!$E$110,IF($A45&lt;Input!$D$110,Input!$C$111,Input!$D$111),Input!$E$111),Input!$F$111),Input!$G$111),Input!$H$111)</f>
        <v>0.9</v>
      </c>
      <c r="BK45" s="60">
        <f t="shared" si="17"/>
        <v>0</v>
      </c>
      <c r="BL45" s="60">
        <f t="shared" si="33"/>
        <v>31</v>
      </c>
      <c r="BM45" s="60">
        <f t="shared" si="18"/>
        <v>0</v>
      </c>
      <c r="BN45" s="60">
        <f>ROUND(BM45*BL45*Input!$C$3/365,0)</f>
        <v>0</v>
      </c>
      <c r="BO45" s="61">
        <f>IF($A45&lt;=Input!$C$6,0,IF('Unique Tenure'!BK45&lt;'Unique Tenure'!BM45,'Unique Tenure'!BK45-BN45,'Unique Tenure'!BM45))</f>
        <v>0</v>
      </c>
      <c r="BP45" s="61">
        <f t="shared" si="19"/>
        <v>0</v>
      </c>
      <c r="BQ45" s="60">
        <f t="shared" si="20"/>
        <v>0</v>
      </c>
      <c r="BR45" s="198"/>
    </row>
    <row r="46" spans="1:70" s="51" customFormat="1" x14ac:dyDescent="0.25">
      <c r="A46" s="169">
        <v>42</v>
      </c>
      <c r="B46" s="1">
        <f t="shared" si="21"/>
        <v>46798</v>
      </c>
      <c r="C46" s="60">
        <f>SUM(
   IF(($A$4:$A$184 &lt;= Input!$D$16), M46, 0),
   IF(($A$4:$A$184 &lt;= Input!$E$16), Y46, 0),
   IF(($A$4:$A$184 &lt;= Input!$F$16), AK46, 0),
   IF(($A$4:$A$184 &lt;= Input!$G$16), AW46, 0),
   IF(($A$4:$A$184 &lt;= Input!$H$16), BI46, 0)
)</f>
        <v>18940500</v>
      </c>
      <c r="D46" s="60">
        <f>SUM(
   IF(($A$4:$A$184 &lt;= Input!$D$16), O46, 0),
   IF(($A$4:$A$184 &lt;= Input!$E$16), AA46, 0),
   IF(($A$4:$A$184 &lt;= Input!$F$16), AM46, 0),
   IF(($A$4:$A$184 &lt;= Input!$G$16), AY46, 0),
   IF(($A$4:$A$184 &lt;= Input!$H$16), BK46, 0)
)</f>
        <v>17046450</v>
      </c>
      <c r="E46" s="60">
        <f t="shared" si="22"/>
        <v>31</v>
      </c>
      <c r="F46" s="60">
        <f t="shared" si="23"/>
        <v>865552160</v>
      </c>
      <c r="G46" s="60">
        <f>ROUND(F46*E46*Input!$C$3/365,0)</f>
        <v>11026897</v>
      </c>
      <c r="H46" s="60">
        <f>IF($A46&lt;=Input!$C$6,0,IF('Unique Tenure'!D46&lt;'Unique Tenure'!F46,'Unique Tenure'!D46-G46,'Unique Tenure'!F46))</f>
        <v>6019553</v>
      </c>
      <c r="I46" s="60">
        <f t="shared" si="24"/>
        <v>17046450</v>
      </c>
      <c r="J46" s="60">
        <f t="shared" si="25"/>
        <v>859532607</v>
      </c>
      <c r="K46" s="202">
        <f>J46/Input!$K$5</f>
        <v>2.86510869</v>
      </c>
      <c r="L46" s="232"/>
      <c r="M46" s="60">
        <f>IF($B46&lt;Input!$H$43,IF($B46&lt;Input!$G$43,IF($B46&lt;Input!$F$43,IF($B46&lt;Input!$E$43,IF($B46&lt;Input!$D$43,Input!$C$49,Input!$D$49),Input!$E$49),Input!$F$49),Input!$G$49),Input!$H$49)</f>
        <v>18940500</v>
      </c>
      <c r="N46" s="190">
        <f>IF($A46&lt;Input!$H$50,IF($A46&lt;Input!$G$50,IF($A46&lt;Input!$F$50,IF($A46&lt;Input!$E$50,IF($A46&lt;Input!$D$50,Input!$C$51,Input!$D$51),Input!$E$51),Input!$F$51),Input!$G$51),Input!$H$51)</f>
        <v>0.9</v>
      </c>
      <c r="O46" s="60">
        <f t="shared" si="34"/>
        <v>17046450</v>
      </c>
      <c r="P46" s="60">
        <f t="shared" si="35"/>
        <v>31</v>
      </c>
      <c r="Q46" s="60">
        <f t="shared" si="2"/>
        <v>865552160</v>
      </c>
      <c r="R46" s="60">
        <f>ROUND(Q46*$P46*Input!$C$3/365,0)</f>
        <v>11026897</v>
      </c>
      <c r="S46" s="60">
        <f>IF(A46&lt;=Input!$C$6,0,IF('Unique Tenure'!O46&lt;'Unique Tenure'!Q46,'Unique Tenure'!O46-R46,'Unique Tenure'!Q46))</f>
        <v>6019553</v>
      </c>
      <c r="T46" s="60">
        <f t="shared" si="3"/>
        <v>17046450</v>
      </c>
      <c r="U46" s="60">
        <f t="shared" si="4"/>
        <v>859532607</v>
      </c>
      <c r="V46" s="193"/>
      <c r="W46" s="169">
        <v>42</v>
      </c>
      <c r="X46" s="1">
        <f t="shared" si="26"/>
        <v>46798</v>
      </c>
      <c r="Y46" s="60">
        <f>IF($X46&lt;Input!$H$58,IF($X46&lt;Input!$G$58,IF($X46&lt;Input!$F$58,IF($X46&lt;Input!$E$58,IF($X46&lt;Input!$D$58,Input!$C$64,Input!$D$64),Input!$E$64),Input!$F$64),Input!$G$64),Input!$H$64)</f>
        <v>0</v>
      </c>
      <c r="Z46" s="190">
        <f>IF($A46&lt;Input!$H$65,IF($A46&lt;Input!$G$65,IF($A46&lt;Input!$F$65,IF($A46&lt;Input!$E$65,IF($A46&lt;Input!$D$65,Input!$C$66,Input!$D$66),Input!$E$66),Input!$F$66),Input!$G$66),Input!$H$66)</f>
        <v>0.9</v>
      </c>
      <c r="AA46" s="60">
        <f t="shared" si="5"/>
        <v>0</v>
      </c>
      <c r="AB46" s="60">
        <f t="shared" si="27"/>
        <v>31</v>
      </c>
      <c r="AC46" s="60">
        <f t="shared" si="6"/>
        <v>0</v>
      </c>
      <c r="AD46" s="60">
        <f>ROUND(AC46*AB46*Input!$C$3/365,0)</f>
        <v>0</v>
      </c>
      <c r="AE46" s="61">
        <f>IF($A46&lt;=Input!$C$6,0,IF('Unique Tenure'!AA46&lt;'Unique Tenure'!AC46,'Unique Tenure'!AA46-AD46,'Unique Tenure'!AC46))</f>
        <v>0</v>
      </c>
      <c r="AF46" s="61">
        <f t="shared" si="7"/>
        <v>0</v>
      </c>
      <c r="AG46" s="60">
        <f t="shared" si="8"/>
        <v>0</v>
      </c>
      <c r="AH46" s="193"/>
      <c r="AI46" s="169">
        <v>42</v>
      </c>
      <c r="AJ46" s="1">
        <f t="shared" si="28"/>
        <v>46798</v>
      </c>
      <c r="AK46" s="60">
        <f>IF($X46&lt;Input!$H$73,IF($X46&lt;Input!$G$73,IF($X46&lt;Input!$F$73,IF($X46&lt;Input!$E$73,IF($X46&lt;Input!$D$73,Input!$C$79,Input!$D$79),Input!$E$79),Input!$F$79),Input!$G$79),Input!$H$79)</f>
        <v>0</v>
      </c>
      <c r="AL46" s="190">
        <f>IF($A46&lt;Input!$H$80,IF($A46&lt;Input!$G$80,IF($A46&lt;Input!$F$80,IF($A46&lt;Input!$E$80,IF($A46&lt;Input!$D$80,Input!$C$81,Input!$D$81),Input!$E$81),Input!$F$81),Input!$G$81),Input!$H$81)</f>
        <v>0.9</v>
      </c>
      <c r="AM46" s="60">
        <f t="shared" si="9"/>
        <v>0</v>
      </c>
      <c r="AN46" s="60">
        <f t="shared" si="29"/>
        <v>31</v>
      </c>
      <c r="AO46" s="60">
        <f t="shared" si="10"/>
        <v>0</v>
      </c>
      <c r="AP46" s="60">
        <f>ROUND(AO46*AN46*Input!$C$3/365,0)</f>
        <v>0</v>
      </c>
      <c r="AQ46" s="61">
        <f>IF($A46&lt;=Input!$C$6,0,IF('Unique Tenure'!AM46&lt;'Unique Tenure'!AO46,'Unique Tenure'!AM46-AP46,'Unique Tenure'!AO46))</f>
        <v>0</v>
      </c>
      <c r="AR46" s="61">
        <f t="shared" si="11"/>
        <v>0</v>
      </c>
      <c r="AS46" s="60">
        <f t="shared" si="12"/>
        <v>0</v>
      </c>
      <c r="AT46" s="193"/>
      <c r="AU46" s="169">
        <v>42</v>
      </c>
      <c r="AV46" s="1">
        <f t="shared" si="30"/>
        <v>46798</v>
      </c>
      <c r="AW46" s="60">
        <f>IF($X46&lt;Input!$H$88,IF($X46&lt;Input!$G$88,IF($X46&lt;Input!$F$88,IF($X46&lt;Input!$E$88,IF($X46&lt;Input!$D$88,Input!$C$94,Input!$D$94),Input!$E$94),Input!$F$94),Input!$G$94),Input!$H$94)</f>
        <v>0</v>
      </c>
      <c r="AX46" s="190">
        <f>IF($A46&lt;Input!$H$95,IF($A46&lt;Input!$G$95,IF($A46&lt;Input!$F$95,IF($A46&lt;Input!$E$95,IF($A46&lt;Input!$D$95,Input!$C$96,Input!$D$96),Input!$E$96),Input!$F$96),Input!$G$96),Input!$H$96)</f>
        <v>0.9</v>
      </c>
      <c r="AY46" s="60">
        <f t="shared" si="13"/>
        <v>0</v>
      </c>
      <c r="AZ46" s="60">
        <f t="shared" si="31"/>
        <v>31</v>
      </c>
      <c r="BA46" s="60">
        <f t="shared" si="14"/>
        <v>0</v>
      </c>
      <c r="BB46" s="60">
        <f>ROUND(BA46*AZ46*Input!$C$3/365,0)</f>
        <v>0</v>
      </c>
      <c r="BC46" s="61">
        <f>IF($A46&lt;=Input!$C$6,0,IF('Unique Tenure'!AY46&lt;'Unique Tenure'!BA46,'Unique Tenure'!AY46-BB46,'Unique Tenure'!BA46))</f>
        <v>0</v>
      </c>
      <c r="BD46" s="61">
        <f t="shared" si="15"/>
        <v>0</v>
      </c>
      <c r="BE46" s="60">
        <f t="shared" si="16"/>
        <v>0</v>
      </c>
      <c r="BF46" s="193"/>
      <c r="BG46" s="169">
        <v>42</v>
      </c>
      <c r="BH46" s="1">
        <f t="shared" si="32"/>
        <v>46798</v>
      </c>
      <c r="BI46" s="60">
        <f>IF($X46&lt;Input!$H$103,IF($X46&lt;Input!$G$103,IF($X46&lt;Input!$F$103,IF($X46&lt;Input!$E$103,IF($X46&lt;Input!$D$103,Input!$C$109,Input!$D$109),Input!$E$109),Input!$F$109),Input!$G$109),Input!$H$109)</f>
        <v>0</v>
      </c>
      <c r="BJ46" s="190">
        <f>IF($A46&lt;Input!$H$110,IF($A46&lt;Input!$G$110,IF($A46&lt;Input!$F$110,IF($A46&lt;Input!$E$110,IF($A46&lt;Input!$D$110,Input!$C$111,Input!$D$111),Input!$E$111),Input!$F$111),Input!$G$111),Input!$H$111)</f>
        <v>0.9</v>
      </c>
      <c r="BK46" s="60">
        <f t="shared" si="17"/>
        <v>0</v>
      </c>
      <c r="BL46" s="60">
        <f t="shared" si="33"/>
        <v>31</v>
      </c>
      <c r="BM46" s="60">
        <f t="shared" si="18"/>
        <v>0</v>
      </c>
      <c r="BN46" s="60">
        <f>ROUND(BM46*BL46*Input!$C$3/365,0)</f>
        <v>0</v>
      </c>
      <c r="BO46" s="61">
        <f>IF($A46&lt;=Input!$C$6,0,IF('Unique Tenure'!BK46&lt;'Unique Tenure'!BM46,'Unique Tenure'!BK46-BN46,'Unique Tenure'!BM46))</f>
        <v>0</v>
      </c>
      <c r="BP46" s="61">
        <f t="shared" si="19"/>
        <v>0</v>
      </c>
      <c r="BQ46" s="60">
        <f t="shared" si="20"/>
        <v>0</v>
      </c>
      <c r="BR46" s="198"/>
    </row>
    <row r="47" spans="1:70" s="51" customFormat="1" x14ac:dyDescent="0.25">
      <c r="A47" s="169">
        <v>43</v>
      </c>
      <c r="B47" s="1">
        <f t="shared" si="21"/>
        <v>46827</v>
      </c>
      <c r="C47" s="60">
        <f>SUM(
   IF(($A$4:$A$184 &lt;= Input!$D$16), M47, 0),
   IF(($A$4:$A$184 &lt;= Input!$E$16), Y47, 0),
   IF(($A$4:$A$184 &lt;= Input!$F$16), AK47, 0),
   IF(($A$4:$A$184 &lt;= Input!$G$16), AW47, 0),
   IF(($A$4:$A$184 &lt;= Input!$H$16), BI47, 0)
)</f>
        <v>18940500</v>
      </c>
      <c r="D47" s="60">
        <f>SUM(
   IF(($A$4:$A$184 &lt;= Input!$D$16), O47, 0),
   IF(($A$4:$A$184 &lt;= Input!$E$16), AA47, 0),
   IF(($A$4:$A$184 &lt;= Input!$F$16), AM47, 0),
   IF(($A$4:$A$184 &lt;= Input!$G$16), AY47, 0),
   IF(($A$4:$A$184 &lt;= Input!$H$16), BK47, 0)
)</f>
        <v>17046450</v>
      </c>
      <c r="E47" s="60">
        <f t="shared" si="22"/>
        <v>29</v>
      </c>
      <c r="F47" s="60">
        <f t="shared" si="23"/>
        <v>859532607</v>
      </c>
      <c r="G47" s="60">
        <f>ROUND(F47*E47*Input!$C$3/365,0)</f>
        <v>10243745</v>
      </c>
      <c r="H47" s="60">
        <f>IF($A47&lt;=Input!$C$6,0,IF('Unique Tenure'!D47&lt;'Unique Tenure'!F47,'Unique Tenure'!D47-G47,'Unique Tenure'!F47))</f>
        <v>6802705</v>
      </c>
      <c r="I47" s="60">
        <f t="shared" si="24"/>
        <v>17046450</v>
      </c>
      <c r="J47" s="60">
        <f t="shared" si="25"/>
        <v>852729902</v>
      </c>
      <c r="K47" s="202">
        <f>J47/Input!$K$5</f>
        <v>2.8424330066666665</v>
      </c>
      <c r="L47" s="232"/>
      <c r="M47" s="60">
        <f>IF($B47&lt;Input!$H$43,IF($B47&lt;Input!$G$43,IF($B47&lt;Input!$F$43,IF($B47&lt;Input!$E$43,IF($B47&lt;Input!$D$43,Input!$C$49,Input!$D$49),Input!$E$49),Input!$F$49),Input!$G$49),Input!$H$49)</f>
        <v>18940500</v>
      </c>
      <c r="N47" s="190">
        <f>IF($A47&lt;Input!$H$50,IF($A47&lt;Input!$G$50,IF($A47&lt;Input!$F$50,IF($A47&lt;Input!$E$50,IF($A47&lt;Input!$D$50,Input!$C$51,Input!$D$51),Input!$E$51),Input!$F$51),Input!$G$51),Input!$H$51)</f>
        <v>0.9</v>
      </c>
      <c r="O47" s="60">
        <f t="shared" si="34"/>
        <v>17046450</v>
      </c>
      <c r="P47" s="60">
        <f t="shared" si="35"/>
        <v>29</v>
      </c>
      <c r="Q47" s="60">
        <f t="shared" si="2"/>
        <v>859532607</v>
      </c>
      <c r="R47" s="60">
        <f>ROUND(Q47*$P47*Input!$C$3/365,0)</f>
        <v>10243745</v>
      </c>
      <c r="S47" s="60">
        <f>IF(A47&lt;=Input!$C$6,0,IF('Unique Tenure'!O47&lt;'Unique Tenure'!Q47,'Unique Tenure'!O47-R47,'Unique Tenure'!Q47))</f>
        <v>6802705</v>
      </c>
      <c r="T47" s="60">
        <f t="shared" si="3"/>
        <v>17046450</v>
      </c>
      <c r="U47" s="60">
        <f t="shared" si="4"/>
        <v>852729902</v>
      </c>
      <c r="V47" s="193"/>
      <c r="W47" s="169">
        <v>43</v>
      </c>
      <c r="X47" s="1">
        <f t="shared" si="26"/>
        <v>46827</v>
      </c>
      <c r="Y47" s="60">
        <f>IF($X47&lt;Input!$H$58,IF($X47&lt;Input!$G$58,IF($X47&lt;Input!$F$58,IF($X47&lt;Input!$E$58,IF($X47&lt;Input!$D$58,Input!$C$64,Input!$D$64),Input!$E$64),Input!$F$64),Input!$G$64),Input!$H$64)</f>
        <v>0</v>
      </c>
      <c r="Z47" s="190">
        <f>IF($A47&lt;Input!$H$65,IF($A47&lt;Input!$G$65,IF($A47&lt;Input!$F$65,IF($A47&lt;Input!$E$65,IF($A47&lt;Input!$D$65,Input!$C$66,Input!$D$66),Input!$E$66),Input!$F$66),Input!$G$66),Input!$H$66)</f>
        <v>0.9</v>
      </c>
      <c r="AA47" s="60">
        <f t="shared" si="5"/>
        <v>0</v>
      </c>
      <c r="AB47" s="60">
        <f t="shared" si="27"/>
        <v>29</v>
      </c>
      <c r="AC47" s="60">
        <f t="shared" si="6"/>
        <v>0</v>
      </c>
      <c r="AD47" s="60">
        <f>ROUND(AC47*AB47*Input!$C$3/365,0)</f>
        <v>0</v>
      </c>
      <c r="AE47" s="61">
        <f>IF($A47&lt;=Input!$C$6,0,IF('Unique Tenure'!AA47&lt;'Unique Tenure'!AC47,'Unique Tenure'!AA47-AD47,'Unique Tenure'!AC47))</f>
        <v>0</v>
      </c>
      <c r="AF47" s="61">
        <f t="shared" si="7"/>
        <v>0</v>
      </c>
      <c r="AG47" s="60">
        <f t="shared" si="8"/>
        <v>0</v>
      </c>
      <c r="AH47" s="193"/>
      <c r="AI47" s="169">
        <v>43</v>
      </c>
      <c r="AJ47" s="1">
        <f t="shared" si="28"/>
        <v>46827</v>
      </c>
      <c r="AK47" s="60">
        <f>IF($X47&lt;Input!$H$73,IF($X47&lt;Input!$G$73,IF($X47&lt;Input!$F$73,IF($X47&lt;Input!$E$73,IF($X47&lt;Input!$D$73,Input!$C$79,Input!$D$79),Input!$E$79),Input!$F$79),Input!$G$79),Input!$H$79)</f>
        <v>0</v>
      </c>
      <c r="AL47" s="190">
        <f>IF($A47&lt;Input!$H$80,IF($A47&lt;Input!$G$80,IF($A47&lt;Input!$F$80,IF($A47&lt;Input!$E$80,IF($A47&lt;Input!$D$80,Input!$C$81,Input!$D$81),Input!$E$81),Input!$F$81),Input!$G$81),Input!$H$81)</f>
        <v>0.9</v>
      </c>
      <c r="AM47" s="60">
        <f t="shared" si="9"/>
        <v>0</v>
      </c>
      <c r="AN47" s="60">
        <f t="shared" si="29"/>
        <v>29</v>
      </c>
      <c r="AO47" s="60">
        <f t="shared" si="10"/>
        <v>0</v>
      </c>
      <c r="AP47" s="60">
        <f>ROUND(AO47*AN47*Input!$C$3/365,0)</f>
        <v>0</v>
      </c>
      <c r="AQ47" s="61">
        <f>IF($A47&lt;=Input!$C$6,0,IF('Unique Tenure'!AM47&lt;'Unique Tenure'!AO47,'Unique Tenure'!AM47-AP47,'Unique Tenure'!AO47))</f>
        <v>0</v>
      </c>
      <c r="AR47" s="61">
        <f t="shared" si="11"/>
        <v>0</v>
      </c>
      <c r="AS47" s="60">
        <f t="shared" si="12"/>
        <v>0</v>
      </c>
      <c r="AT47" s="193"/>
      <c r="AU47" s="169">
        <v>43</v>
      </c>
      <c r="AV47" s="1">
        <f t="shared" si="30"/>
        <v>46827</v>
      </c>
      <c r="AW47" s="60">
        <f>IF($X47&lt;Input!$H$88,IF($X47&lt;Input!$G$88,IF($X47&lt;Input!$F$88,IF($X47&lt;Input!$E$88,IF($X47&lt;Input!$D$88,Input!$C$94,Input!$D$94),Input!$E$94),Input!$F$94),Input!$G$94),Input!$H$94)</f>
        <v>0</v>
      </c>
      <c r="AX47" s="190">
        <f>IF($A47&lt;Input!$H$95,IF($A47&lt;Input!$G$95,IF($A47&lt;Input!$F$95,IF($A47&lt;Input!$E$95,IF($A47&lt;Input!$D$95,Input!$C$96,Input!$D$96),Input!$E$96),Input!$F$96),Input!$G$96),Input!$H$96)</f>
        <v>0.9</v>
      </c>
      <c r="AY47" s="60">
        <f t="shared" si="13"/>
        <v>0</v>
      </c>
      <c r="AZ47" s="60">
        <f t="shared" si="31"/>
        <v>29</v>
      </c>
      <c r="BA47" s="60">
        <f t="shared" si="14"/>
        <v>0</v>
      </c>
      <c r="BB47" s="60">
        <f>ROUND(BA47*AZ47*Input!$C$3/365,0)</f>
        <v>0</v>
      </c>
      <c r="BC47" s="61">
        <f>IF($A47&lt;=Input!$C$6,0,IF('Unique Tenure'!AY47&lt;'Unique Tenure'!BA47,'Unique Tenure'!AY47-BB47,'Unique Tenure'!BA47))</f>
        <v>0</v>
      </c>
      <c r="BD47" s="61">
        <f t="shared" si="15"/>
        <v>0</v>
      </c>
      <c r="BE47" s="60">
        <f t="shared" si="16"/>
        <v>0</v>
      </c>
      <c r="BF47" s="193"/>
      <c r="BG47" s="169">
        <v>43</v>
      </c>
      <c r="BH47" s="1">
        <f t="shared" si="32"/>
        <v>46827</v>
      </c>
      <c r="BI47" s="60">
        <f>IF($X47&lt;Input!$H$103,IF($X47&lt;Input!$G$103,IF($X47&lt;Input!$F$103,IF($X47&lt;Input!$E$103,IF($X47&lt;Input!$D$103,Input!$C$109,Input!$D$109),Input!$E$109),Input!$F$109),Input!$G$109),Input!$H$109)</f>
        <v>0</v>
      </c>
      <c r="BJ47" s="190">
        <f>IF($A47&lt;Input!$H$110,IF($A47&lt;Input!$G$110,IF($A47&lt;Input!$F$110,IF($A47&lt;Input!$E$110,IF($A47&lt;Input!$D$110,Input!$C$111,Input!$D$111),Input!$E$111),Input!$F$111),Input!$G$111),Input!$H$111)</f>
        <v>0.9</v>
      </c>
      <c r="BK47" s="60">
        <f t="shared" si="17"/>
        <v>0</v>
      </c>
      <c r="BL47" s="60">
        <f t="shared" si="33"/>
        <v>29</v>
      </c>
      <c r="BM47" s="60">
        <f t="shared" si="18"/>
        <v>0</v>
      </c>
      <c r="BN47" s="60">
        <f>ROUND(BM47*BL47*Input!$C$3/365,0)</f>
        <v>0</v>
      </c>
      <c r="BO47" s="61">
        <f>IF($A47&lt;=Input!$C$6,0,IF('Unique Tenure'!BK47&lt;'Unique Tenure'!BM47,'Unique Tenure'!BK47-BN47,'Unique Tenure'!BM47))</f>
        <v>0</v>
      </c>
      <c r="BP47" s="61">
        <f t="shared" si="19"/>
        <v>0</v>
      </c>
      <c r="BQ47" s="60">
        <f t="shared" si="20"/>
        <v>0</v>
      </c>
      <c r="BR47" s="198"/>
    </row>
    <row r="48" spans="1:70" s="51" customFormat="1" x14ac:dyDescent="0.25">
      <c r="A48" s="169">
        <v>44</v>
      </c>
      <c r="B48" s="1">
        <f t="shared" si="21"/>
        <v>46858</v>
      </c>
      <c r="C48" s="60">
        <f>SUM(
   IF(($A$4:$A$184 &lt;= Input!$D$16), M48, 0),
   IF(($A$4:$A$184 &lt;= Input!$E$16), Y48, 0),
   IF(($A$4:$A$184 &lt;= Input!$F$16), AK48, 0),
   IF(($A$4:$A$184 &lt;= Input!$G$16), AW48, 0),
   IF(($A$4:$A$184 &lt;= Input!$H$16), BI48, 0)
)</f>
        <v>18940500</v>
      </c>
      <c r="D48" s="60">
        <f>SUM(
   IF(($A$4:$A$184 &lt;= Input!$D$16), O48, 0),
   IF(($A$4:$A$184 &lt;= Input!$E$16), AA48, 0),
   IF(($A$4:$A$184 &lt;= Input!$F$16), AM48, 0),
   IF(($A$4:$A$184 &lt;= Input!$G$16), AY48, 0),
   IF(($A$4:$A$184 &lt;= Input!$H$16), BK48, 0)
)</f>
        <v>17046450</v>
      </c>
      <c r="E48" s="60">
        <f t="shared" si="22"/>
        <v>31</v>
      </c>
      <c r="F48" s="60">
        <f t="shared" si="23"/>
        <v>852729902</v>
      </c>
      <c r="G48" s="60">
        <f>ROUND(F48*E48*Input!$C$3/365,0)</f>
        <v>10863545</v>
      </c>
      <c r="H48" s="60">
        <f>IF($A48&lt;=Input!$C$6,0,IF('Unique Tenure'!D48&lt;'Unique Tenure'!F48,'Unique Tenure'!D48-G48,'Unique Tenure'!F48))</f>
        <v>6182905</v>
      </c>
      <c r="I48" s="60">
        <f t="shared" si="24"/>
        <v>17046450</v>
      </c>
      <c r="J48" s="60">
        <f t="shared" si="25"/>
        <v>846546997</v>
      </c>
      <c r="K48" s="202">
        <f>J48/Input!$K$5</f>
        <v>2.8218233233333332</v>
      </c>
      <c r="L48" s="232"/>
      <c r="M48" s="60">
        <f>IF($B48&lt;Input!$H$43,IF($B48&lt;Input!$G$43,IF($B48&lt;Input!$F$43,IF($B48&lt;Input!$E$43,IF($B48&lt;Input!$D$43,Input!$C$49,Input!$D$49),Input!$E$49),Input!$F$49),Input!$G$49),Input!$H$49)</f>
        <v>18940500</v>
      </c>
      <c r="N48" s="190">
        <f>IF($A48&lt;Input!$H$50,IF($A48&lt;Input!$G$50,IF($A48&lt;Input!$F$50,IF($A48&lt;Input!$E$50,IF($A48&lt;Input!$D$50,Input!$C$51,Input!$D$51),Input!$E$51),Input!$F$51),Input!$G$51),Input!$H$51)</f>
        <v>0.9</v>
      </c>
      <c r="O48" s="60">
        <f t="shared" si="34"/>
        <v>17046450</v>
      </c>
      <c r="P48" s="60">
        <f t="shared" si="35"/>
        <v>31</v>
      </c>
      <c r="Q48" s="60">
        <f t="shared" si="2"/>
        <v>852729902</v>
      </c>
      <c r="R48" s="60">
        <f>ROUND(Q48*$P48*Input!$C$3/365,0)</f>
        <v>10863545</v>
      </c>
      <c r="S48" s="60">
        <f>IF(A48&lt;=Input!$C$6,0,IF('Unique Tenure'!O48&lt;'Unique Tenure'!Q48,'Unique Tenure'!O48-R48,'Unique Tenure'!Q48))</f>
        <v>6182905</v>
      </c>
      <c r="T48" s="60">
        <f t="shared" si="3"/>
        <v>17046450</v>
      </c>
      <c r="U48" s="60">
        <f t="shared" si="4"/>
        <v>846546997</v>
      </c>
      <c r="V48" s="193"/>
      <c r="W48" s="169">
        <v>44</v>
      </c>
      <c r="X48" s="1">
        <f t="shared" si="26"/>
        <v>46858</v>
      </c>
      <c r="Y48" s="60">
        <f>IF($X48&lt;Input!$H$58,IF($X48&lt;Input!$G$58,IF($X48&lt;Input!$F$58,IF($X48&lt;Input!$E$58,IF($X48&lt;Input!$D$58,Input!$C$64,Input!$D$64),Input!$E$64),Input!$F$64),Input!$G$64),Input!$H$64)</f>
        <v>0</v>
      </c>
      <c r="Z48" s="190">
        <f>IF($A48&lt;Input!$H$65,IF($A48&lt;Input!$G$65,IF($A48&lt;Input!$F$65,IF($A48&lt;Input!$E$65,IF($A48&lt;Input!$D$65,Input!$C$66,Input!$D$66),Input!$E$66),Input!$F$66),Input!$G$66),Input!$H$66)</f>
        <v>0.9</v>
      </c>
      <c r="AA48" s="60">
        <f t="shared" si="5"/>
        <v>0</v>
      </c>
      <c r="AB48" s="60">
        <f t="shared" si="27"/>
        <v>31</v>
      </c>
      <c r="AC48" s="60">
        <f t="shared" si="6"/>
        <v>0</v>
      </c>
      <c r="AD48" s="60">
        <f>ROUND(AC48*AB48*Input!$C$3/365,0)</f>
        <v>0</v>
      </c>
      <c r="AE48" s="61">
        <f>IF($A48&lt;=Input!$C$6,0,IF('Unique Tenure'!AA48&lt;'Unique Tenure'!AC48,'Unique Tenure'!AA48-AD48,'Unique Tenure'!AC48))</f>
        <v>0</v>
      </c>
      <c r="AF48" s="61">
        <f t="shared" si="7"/>
        <v>0</v>
      </c>
      <c r="AG48" s="60">
        <f t="shared" si="8"/>
        <v>0</v>
      </c>
      <c r="AH48" s="193"/>
      <c r="AI48" s="169">
        <v>44</v>
      </c>
      <c r="AJ48" s="1">
        <f t="shared" si="28"/>
        <v>46858</v>
      </c>
      <c r="AK48" s="60">
        <f>IF($X48&lt;Input!$H$73,IF($X48&lt;Input!$G$73,IF($X48&lt;Input!$F$73,IF($X48&lt;Input!$E$73,IF($X48&lt;Input!$D$73,Input!$C$79,Input!$D$79),Input!$E$79),Input!$F$79),Input!$G$79),Input!$H$79)</f>
        <v>0</v>
      </c>
      <c r="AL48" s="190">
        <f>IF($A48&lt;Input!$H$80,IF($A48&lt;Input!$G$80,IF($A48&lt;Input!$F$80,IF($A48&lt;Input!$E$80,IF($A48&lt;Input!$D$80,Input!$C$81,Input!$D$81),Input!$E$81),Input!$F$81),Input!$G$81),Input!$H$81)</f>
        <v>0.9</v>
      </c>
      <c r="AM48" s="60">
        <f t="shared" si="9"/>
        <v>0</v>
      </c>
      <c r="AN48" s="60">
        <f t="shared" si="29"/>
        <v>31</v>
      </c>
      <c r="AO48" s="60">
        <f t="shared" si="10"/>
        <v>0</v>
      </c>
      <c r="AP48" s="60">
        <f>ROUND(AO48*AN48*Input!$C$3/365,0)</f>
        <v>0</v>
      </c>
      <c r="AQ48" s="61">
        <f>IF($A48&lt;=Input!$C$6,0,IF('Unique Tenure'!AM48&lt;'Unique Tenure'!AO48,'Unique Tenure'!AM48-AP48,'Unique Tenure'!AO48))</f>
        <v>0</v>
      </c>
      <c r="AR48" s="61">
        <f t="shared" si="11"/>
        <v>0</v>
      </c>
      <c r="AS48" s="60">
        <f t="shared" si="12"/>
        <v>0</v>
      </c>
      <c r="AT48" s="193"/>
      <c r="AU48" s="169">
        <v>44</v>
      </c>
      <c r="AV48" s="1">
        <f t="shared" si="30"/>
        <v>46858</v>
      </c>
      <c r="AW48" s="60">
        <f>IF($X48&lt;Input!$H$88,IF($X48&lt;Input!$G$88,IF($X48&lt;Input!$F$88,IF($X48&lt;Input!$E$88,IF($X48&lt;Input!$D$88,Input!$C$94,Input!$D$94),Input!$E$94),Input!$F$94),Input!$G$94),Input!$H$94)</f>
        <v>0</v>
      </c>
      <c r="AX48" s="190">
        <f>IF($A48&lt;Input!$H$95,IF($A48&lt;Input!$G$95,IF($A48&lt;Input!$F$95,IF($A48&lt;Input!$E$95,IF($A48&lt;Input!$D$95,Input!$C$96,Input!$D$96),Input!$E$96),Input!$F$96),Input!$G$96),Input!$H$96)</f>
        <v>0.9</v>
      </c>
      <c r="AY48" s="60">
        <f t="shared" si="13"/>
        <v>0</v>
      </c>
      <c r="AZ48" s="60">
        <f t="shared" si="31"/>
        <v>31</v>
      </c>
      <c r="BA48" s="60">
        <f t="shared" si="14"/>
        <v>0</v>
      </c>
      <c r="BB48" s="60">
        <f>ROUND(BA48*AZ48*Input!$C$3/365,0)</f>
        <v>0</v>
      </c>
      <c r="BC48" s="61">
        <f>IF($A48&lt;=Input!$C$6,0,IF('Unique Tenure'!AY48&lt;'Unique Tenure'!BA48,'Unique Tenure'!AY48-BB48,'Unique Tenure'!BA48))</f>
        <v>0</v>
      </c>
      <c r="BD48" s="61">
        <f t="shared" si="15"/>
        <v>0</v>
      </c>
      <c r="BE48" s="60">
        <f t="shared" si="16"/>
        <v>0</v>
      </c>
      <c r="BF48" s="193"/>
      <c r="BG48" s="169">
        <v>44</v>
      </c>
      <c r="BH48" s="1">
        <f t="shared" si="32"/>
        <v>46858</v>
      </c>
      <c r="BI48" s="60">
        <f>IF($X48&lt;Input!$H$103,IF($X48&lt;Input!$G$103,IF($X48&lt;Input!$F$103,IF($X48&lt;Input!$E$103,IF($X48&lt;Input!$D$103,Input!$C$109,Input!$D$109),Input!$E$109),Input!$F$109),Input!$G$109),Input!$H$109)</f>
        <v>0</v>
      </c>
      <c r="BJ48" s="190">
        <f>IF($A48&lt;Input!$H$110,IF($A48&lt;Input!$G$110,IF($A48&lt;Input!$F$110,IF($A48&lt;Input!$E$110,IF($A48&lt;Input!$D$110,Input!$C$111,Input!$D$111),Input!$E$111),Input!$F$111),Input!$G$111),Input!$H$111)</f>
        <v>0.9</v>
      </c>
      <c r="BK48" s="60">
        <f t="shared" si="17"/>
        <v>0</v>
      </c>
      <c r="BL48" s="60">
        <f t="shared" si="33"/>
        <v>31</v>
      </c>
      <c r="BM48" s="60">
        <f t="shared" si="18"/>
        <v>0</v>
      </c>
      <c r="BN48" s="60">
        <f>ROUND(BM48*BL48*Input!$C$3/365,0)</f>
        <v>0</v>
      </c>
      <c r="BO48" s="61">
        <f>IF($A48&lt;=Input!$C$6,0,IF('Unique Tenure'!BK48&lt;'Unique Tenure'!BM48,'Unique Tenure'!BK48-BN48,'Unique Tenure'!BM48))</f>
        <v>0</v>
      </c>
      <c r="BP48" s="61">
        <f t="shared" si="19"/>
        <v>0</v>
      </c>
      <c r="BQ48" s="60">
        <f t="shared" si="20"/>
        <v>0</v>
      </c>
      <c r="BR48" s="198"/>
    </row>
    <row r="49" spans="1:70" s="51" customFormat="1" x14ac:dyDescent="0.25">
      <c r="A49" s="169">
        <v>45</v>
      </c>
      <c r="B49" s="1">
        <f t="shared" si="21"/>
        <v>46888</v>
      </c>
      <c r="C49" s="60">
        <f>SUM(
   IF(($A$4:$A$184 &lt;= Input!$D$16), M49, 0),
   IF(($A$4:$A$184 &lt;= Input!$E$16), Y49, 0),
   IF(($A$4:$A$184 &lt;= Input!$F$16), AK49, 0),
   IF(($A$4:$A$184 &lt;= Input!$G$16), AW49, 0),
   IF(($A$4:$A$184 &lt;= Input!$H$16), BI49, 0)
)</f>
        <v>18940500</v>
      </c>
      <c r="D49" s="60">
        <f>SUM(
   IF(($A$4:$A$184 &lt;= Input!$D$16), O49, 0),
   IF(($A$4:$A$184 &lt;= Input!$E$16), AA49, 0),
   IF(($A$4:$A$184 &lt;= Input!$F$16), AM49, 0),
   IF(($A$4:$A$184 &lt;= Input!$G$16), AY49, 0),
   IF(($A$4:$A$184 &lt;= Input!$H$16), BK49, 0)
)</f>
        <v>17046450</v>
      </c>
      <c r="E49" s="60">
        <f t="shared" si="22"/>
        <v>30</v>
      </c>
      <c r="F49" s="60">
        <f t="shared" si="23"/>
        <v>846546997</v>
      </c>
      <c r="G49" s="60">
        <f>ROUND(F49*E49*Input!$C$3/365,0)</f>
        <v>10436881</v>
      </c>
      <c r="H49" s="60">
        <f>IF($A49&lt;=Input!$C$6,0,IF('Unique Tenure'!D49&lt;'Unique Tenure'!F49,'Unique Tenure'!D49-G49,'Unique Tenure'!F49))</f>
        <v>6609569</v>
      </c>
      <c r="I49" s="60">
        <f t="shared" si="24"/>
        <v>17046450</v>
      </c>
      <c r="J49" s="60">
        <f t="shared" si="25"/>
        <v>839937428</v>
      </c>
      <c r="K49" s="202">
        <f>J49/Input!$K$5</f>
        <v>2.7997914266666668</v>
      </c>
      <c r="L49" s="232"/>
      <c r="M49" s="60">
        <f>IF($B49&lt;Input!$H$43,IF($B49&lt;Input!$G$43,IF($B49&lt;Input!$F$43,IF($B49&lt;Input!$E$43,IF($B49&lt;Input!$D$43,Input!$C$49,Input!$D$49),Input!$E$49),Input!$F$49),Input!$G$49),Input!$H$49)</f>
        <v>18940500</v>
      </c>
      <c r="N49" s="190">
        <f>IF($A49&lt;Input!$H$50,IF($A49&lt;Input!$G$50,IF($A49&lt;Input!$F$50,IF($A49&lt;Input!$E$50,IF($A49&lt;Input!$D$50,Input!$C$51,Input!$D$51),Input!$E$51),Input!$F$51),Input!$G$51),Input!$H$51)</f>
        <v>0.9</v>
      </c>
      <c r="O49" s="60">
        <f t="shared" si="34"/>
        <v>17046450</v>
      </c>
      <c r="P49" s="60">
        <f t="shared" si="35"/>
        <v>30</v>
      </c>
      <c r="Q49" s="60">
        <f t="shared" si="2"/>
        <v>846546997</v>
      </c>
      <c r="R49" s="60">
        <f>ROUND(Q49*$P49*Input!$C$3/365,0)</f>
        <v>10436881</v>
      </c>
      <c r="S49" s="60">
        <f>IF(A49&lt;=Input!$C$6,0,IF('Unique Tenure'!O49&lt;'Unique Tenure'!Q49,'Unique Tenure'!O49-R49,'Unique Tenure'!Q49))</f>
        <v>6609569</v>
      </c>
      <c r="T49" s="60">
        <f t="shared" si="3"/>
        <v>17046450</v>
      </c>
      <c r="U49" s="60">
        <f t="shared" si="4"/>
        <v>839937428</v>
      </c>
      <c r="V49" s="193"/>
      <c r="W49" s="169">
        <v>45</v>
      </c>
      <c r="X49" s="1">
        <f t="shared" si="26"/>
        <v>46888</v>
      </c>
      <c r="Y49" s="60">
        <f>IF($X49&lt;Input!$H$58,IF($X49&lt;Input!$G$58,IF($X49&lt;Input!$F$58,IF($X49&lt;Input!$E$58,IF($X49&lt;Input!$D$58,Input!$C$64,Input!$D$64),Input!$E$64),Input!$F$64),Input!$G$64),Input!$H$64)</f>
        <v>0</v>
      </c>
      <c r="Z49" s="190">
        <f>IF($A49&lt;Input!$H$65,IF($A49&lt;Input!$G$65,IF($A49&lt;Input!$F$65,IF($A49&lt;Input!$E$65,IF($A49&lt;Input!$D$65,Input!$C$66,Input!$D$66),Input!$E$66),Input!$F$66),Input!$G$66),Input!$H$66)</f>
        <v>0.9</v>
      </c>
      <c r="AA49" s="60">
        <f t="shared" si="5"/>
        <v>0</v>
      </c>
      <c r="AB49" s="60">
        <f t="shared" si="27"/>
        <v>30</v>
      </c>
      <c r="AC49" s="60">
        <f t="shared" si="6"/>
        <v>0</v>
      </c>
      <c r="AD49" s="60">
        <f>ROUND(AC49*AB49*Input!$C$3/365,0)</f>
        <v>0</v>
      </c>
      <c r="AE49" s="61">
        <f>IF($A49&lt;=Input!$C$6,0,IF('Unique Tenure'!AA49&lt;'Unique Tenure'!AC49,'Unique Tenure'!AA49-AD49,'Unique Tenure'!AC49))</f>
        <v>0</v>
      </c>
      <c r="AF49" s="61">
        <f t="shared" si="7"/>
        <v>0</v>
      </c>
      <c r="AG49" s="60">
        <f t="shared" si="8"/>
        <v>0</v>
      </c>
      <c r="AH49" s="193"/>
      <c r="AI49" s="169">
        <v>45</v>
      </c>
      <c r="AJ49" s="1">
        <f t="shared" si="28"/>
        <v>46888</v>
      </c>
      <c r="AK49" s="60">
        <f>IF($X49&lt;Input!$H$73,IF($X49&lt;Input!$G$73,IF($X49&lt;Input!$F$73,IF($X49&lt;Input!$E$73,IF($X49&lt;Input!$D$73,Input!$C$79,Input!$D$79),Input!$E$79),Input!$F$79),Input!$G$79),Input!$H$79)</f>
        <v>0</v>
      </c>
      <c r="AL49" s="190">
        <f>IF($A49&lt;Input!$H$80,IF($A49&lt;Input!$G$80,IF($A49&lt;Input!$F$80,IF($A49&lt;Input!$E$80,IF($A49&lt;Input!$D$80,Input!$C$81,Input!$D$81),Input!$E$81),Input!$F$81),Input!$G$81),Input!$H$81)</f>
        <v>0.9</v>
      </c>
      <c r="AM49" s="60">
        <f t="shared" si="9"/>
        <v>0</v>
      </c>
      <c r="AN49" s="60">
        <f t="shared" si="29"/>
        <v>30</v>
      </c>
      <c r="AO49" s="60">
        <f t="shared" si="10"/>
        <v>0</v>
      </c>
      <c r="AP49" s="60">
        <f>ROUND(AO49*AN49*Input!$C$3/365,0)</f>
        <v>0</v>
      </c>
      <c r="AQ49" s="61">
        <f>IF($A49&lt;=Input!$C$6,0,IF('Unique Tenure'!AM49&lt;'Unique Tenure'!AO49,'Unique Tenure'!AM49-AP49,'Unique Tenure'!AO49))</f>
        <v>0</v>
      </c>
      <c r="AR49" s="61">
        <f t="shared" si="11"/>
        <v>0</v>
      </c>
      <c r="AS49" s="60">
        <f t="shared" si="12"/>
        <v>0</v>
      </c>
      <c r="AT49" s="193"/>
      <c r="AU49" s="169">
        <v>45</v>
      </c>
      <c r="AV49" s="1">
        <f t="shared" si="30"/>
        <v>46888</v>
      </c>
      <c r="AW49" s="60">
        <f>IF($X49&lt;Input!$H$88,IF($X49&lt;Input!$G$88,IF($X49&lt;Input!$F$88,IF($X49&lt;Input!$E$88,IF($X49&lt;Input!$D$88,Input!$C$94,Input!$D$94),Input!$E$94),Input!$F$94),Input!$G$94),Input!$H$94)</f>
        <v>0</v>
      </c>
      <c r="AX49" s="190">
        <f>IF($A49&lt;Input!$H$95,IF($A49&lt;Input!$G$95,IF($A49&lt;Input!$F$95,IF($A49&lt;Input!$E$95,IF($A49&lt;Input!$D$95,Input!$C$96,Input!$D$96),Input!$E$96),Input!$F$96),Input!$G$96),Input!$H$96)</f>
        <v>0.9</v>
      </c>
      <c r="AY49" s="60">
        <f t="shared" si="13"/>
        <v>0</v>
      </c>
      <c r="AZ49" s="60">
        <f t="shared" si="31"/>
        <v>30</v>
      </c>
      <c r="BA49" s="60">
        <f t="shared" si="14"/>
        <v>0</v>
      </c>
      <c r="BB49" s="60">
        <f>ROUND(BA49*AZ49*Input!$C$3/365,0)</f>
        <v>0</v>
      </c>
      <c r="BC49" s="61">
        <f>IF($A49&lt;=Input!$C$6,0,IF('Unique Tenure'!AY49&lt;'Unique Tenure'!BA49,'Unique Tenure'!AY49-BB49,'Unique Tenure'!BA49))</f>
        <v>0</v>
      </c>
      <c r="BD49" s="61">
        <f t="shared" si="15"/>
        <v>0</v>
      </c>
      <c r="BE49" s="60">
        <f t="shared" si="16"/>
        <v>0</v>
      </c>
      <c r="BF49" s="193"/>
      <c r="BG49" s="169">
        <v>45</v>
      </c>
      <c r="BH49" s="1">
        <f t="shared" si="32"/>
        <v>46888</v>
      </c>
      <c r="BI49" s="60">
        <f>IF($X49&lt;Input!$H$103,IF($X49&lt;Input!$G$103,IF($X49&lt;Input!$F$103,IF($X49&lt;Input!$E$103,IF($X49&lt;Input!$D$103,Input!$C$109,Input!$D$109),Input!$E$109),Input!$F$109),Input!$G$109),Input!$H$109)</f>
        <v>0</v>
      </c>
      <c r="BJ49" s="190">
        <f>IF($A49&lt;Input!$H$110,IF($A49&lt;Input!$G$110,IF($A49&lt;Input!$F$110,IF($A49&lt;Input!$E$110,IF($A49&lt;Input!$D$110,Input!$C$111,Input!$D$111),Input!$E$111),Input!$F$111),Input!$G$111),Input!$H$111)</f>
        <v>0.9</v>
      </c>
      <c r="BK49" s="60">
        <f t="shared" si="17"/>
        <v>0</v>
      </c>
      <c r="BL49" s="60">
        <f t="shared" si="33"/>
        <v>30</v>
      </c>
      <c r="BM49" s="60">
        <f t="shared" si="18"/>
        <v>0</v>
      </c>
      <c r="BN49" s="60">
        <f>ROUND(BM49*BL49*Input!$C$3/365,0)</f>
        <v>0</v>
      </c>
      <c r="BO49" s="61">
        <f>IF($A49&lt;=Input!$C$6,0,IF('Unique Tenure'!BK49&lt;'Unique Tenure'!BM49,'Unique Tenure'!BK49-BN49,'Unique Tenure'!BM49))</f>
        <v>0</v>
      </c>
      <c r="BP49" s="61">
        <f t="shared" si="19"/>
        <v>0</v>
      </c>
      <c r="BQ49" s="60">
        <f t="shared" si="20"/>
        <v>0</v>
      </c>
      <c r="BR49" s="198"/>
    </row>
    <row r="50" spans="1:70" s="51" customFormat="1" x14ac:dyDescent="0.25">
      <c r="A50" s="169">
        <v>46</v>
      </c>
      <c r="B50" s="1">
        <f t="shared" si="21"/>
        <v>46919</v>
      </c>
      <c r="C50" s="60">
        <f>SUM(
   IF(($A$4:$A$184 &lt;= Input!$D$16), M50, 0),
   IF(($A$4:$A$184 &lt;= Input!$E$16), Y50, 0),
   IF(($A$4:$A$184 &lt;= Input!$F$16), AK50, 0),
   IF(($A$4:$A$184 &lt;= Input!$G$16), AW50, 0),
   IF(($A$4:$A$184 &lt;= Input!$H$16), BI50, 0)
)</f>
        <v>18940500</v>
      </c>
      <c r="D50" s="60">
        <f>SUM(
   IF(($A$4:$A$184 &lt;= Input!$D$16), O50, 0),
   IF(($A$4:$A$184 &lt;= Input!$E$16), AA50, 0),
   IF(($A$4:$A$184 &lt;= Input!$F$16), AM50, 0),
   IF(($A$4:$A$184 &lt;= Input!$G$16), AY50, 0),
   IF(($A$4:$A$184 &lt;= Input!$H$16), BK50, 0)
)</f>
        <v>17046450</v>
      </c>
      <c r="E50" s="60">
        <f t="shared" si="22"/>
        <v>31</v>
      </c>
      <c r="F50" s="60">
        <f t="shared" si="23"/>
        <v>839937428</v>
      </c>
      <c r="G50" s="60">
        <f>ROUND(F50*E50*Input!$C$3/365,0)</f>
        <v>10700573</v>
      </c>
      <c r="H50" s="60">
        <f>IF($A50&lt;=Input!$C$6,0,IF('Unique Tenure'!D50&lt;'Unique Tenure'!F50,'Unique Tenure'!D50-G50,'Unique Tenure'!F50))</f>
        <v>6345877</v>
      </c>
      <c r="I50" s="60">
        <f t="shared" si="24"/>
        <v>17046450</v>
      </c>
      <c r="J50" s="60">
        <f t="shared" si="25"/>
        <v>833591551</v>
      </c>
      <c r="K50" s="202">
        <f>J50/Input!$K$5</f>
        <v>2.7786385033333332</v>
      </c>
      <c r="L50" s="232"/>
      <c r="M50" s="60">
        <f>IF($B50&lt;Input!$H$43,IF($B50&lt;Input!$G$43,IF($B50&lt;Input!$F$43,IF($B50&lt;Input!$E$43,IF($B50&lt;Input!$D$43,Input!$C$49,Input!$D$49),Input!$E$49),Input!$F$49),Input!$G$49),Input!$H$49)</f>
        <v>18940500</v>
      </c>
      <c r="N50" s="190">
        <f>IF($A50&lt;Input!$H$50,IF($A50&lt;Input!$G$50,IF($A50&lt;Input!$F$50,IF($A50&lt;Input!$E$50,IF($A50&lt;Input!$D$50,Input!$C$51,Input!$D$51),Input!$E$51),Input!$F$51),Input!$G$51),Input!$H$51)</f>
        <v>0.9</v>
      </c>
      <c r="O50" s="60">
        <f t="shared" si="34"/>
        <v>17046450</v>
      </c>
      <c r="P50" s="60">
        <f t="shared" si="35"/>
        <v>31</v>
      </c>
      <c r="Q50" s="60">
        <f t="shared" si="2"/>
        <v>839937428</v>
      </c>
      <c r="R50" s="60">
        <f>ROUND(Q50*$P50*Input!$C$3/365,0)</f>
        <v>10700573</v>
      </c>
      <c r="S50" s="60">
        <f>IF(A50&lt;=Input!$C$6,0,IF('Unique Tenure'!O50&lt;'Unique Tenure'!Q50,'Unique Tenure'!O50-R50,'Unique Tenure'!Q50))</f>
        <v>6345877</v>
      </c>
      <c r="T50" s="60">
        <f t="shared" si="3"/>
        <v>17046450</v>
      </c>
      <c r="U50" s="60">
        <f t="shared" si="4"/>
        <v>833591551</v>
      </c>
      <c r="V50" s="193"/>
      <c r="W50" s="169">
        <v>46</v>
      </c>
      <c r="X50" s="1">
        <f t="shared" si="26"/>
        <v>46919</v>
      </c>
      <c r="Y50" s="60">
        <f>IF($X50&lt;Input!$H$58,IF($X50&lt;Input!$G$58,IF($X50&lt;Input!$F$58,IF($X50&lt;Input!$E$58,IF($X50&lt;Input!$D$58,Input!$C$64,Input!$D$64),Input!$E$64),Input!$F$64),Input!$G$64),Input!$H$64)</f>
        <v>0</v>
      </c>
      <c r="Z50" s="190">
        <f>IF($A50&lt;Input!$H$65,IF($A50&lt;Input!$G$65,IF($A50&lt;Input!$F$65,IF($A50&lt;Input!$E$65,IF($A50&lt;Input!$D$65,Input!$C$66,Input!$D$66),Input!$E$66),Input!$F$66),Input!$G$66),Input!$H$66)</f>
        <v>0.9</v>
      </c>
      <c r="AA50" s="60">
        <f t="shared" si="5"/>
        <v>0</v>
      </c>
      <c r="AB50" s="60">
        <f t="shared" si="27"/>
        <v>31</v>
      </c>
      <c r="AC50" s="60">
        <f t="shared" si="6"/>
        <v>0</v>
      </c>
      <c r="AD50" s="60">
        <f>ROUND(AC50*AB50*Input!$C$3/365,0)</f>
        <v>0</v>
      </c>
      <c r="AE50" s="61">
        <f>IF($A50&lt;=Input!$C$6,0,IF('Unique Tenure'!AA50&lt;'Unique Tenure'!AC50,'Unique Tenure'!AA50-AD50,'Unique Tenure'!AC50))</f>
        <v>0</v>
      </c>
      <c r="AF50" s="61">
        <f t="shared" si="7"/>
        <v>0</v>
      </c>
      <c r="AG50" s="60">
        <f t="shared" si="8"/>
        <v>0</v>
      </c>
      <c r="AH50" s="193"/>
      <c r="AI50" s="169">
        <v>46</v>
      </c>
      <c r="AJ50" s="1">
        <f t="shared" si="28"/>
        <v>46919</v>
      </c>
      <c r="AK50" s="60">
        <f>IF($X50&lt;Input!$H$73,IF($X50&lt;Input!$G$73,IF($X50&lt;Input!$F$73,IF($X50&lt;Input!$E$73,IF($X50&lt;Input!$D$73,Input!$C$79,Input!$D$79),Input!$E$79),Input!$F$79),Input!$G$79),Input!$H$79)</f>
        <v>0</v>
      </c>
      <c r="AL50" s="190">
        <f>IF($A50&lt;Input!$H$80,IF($A50&lt;Input!$G$80,IF($A50&lt;Input!$F$80,IF($A50&lt;Input!$E$80,IF($A50&lt;Input!$D$80,Input!$C$81,Input!$D$81),Input!$E$81),Input!$F$81),Input!$G$81),Input!$H$81)</f>
        <v>0.9</v>
      </c>
      <c r="AM50" s="60">
        <f t="shared" si="9"/>
        <v>0</v>
      </c>
      <c r="AN50" s="60">
        <f t="shared" si="29"/>
        <v>31</v>
      </c>
      <c r="AO50" s="60">
        <f t="shared" si="10"/>
        <v>0</v>
      </c>
      <c r="AP50" s="60">
        <f>ROUND(AO50*AN50*Input!$C$3/365,0)</f>
        <v>0</v>
      </c>
      <c r="AQ50" s="61">
        <f>IF($A50&lt;=Input!$C$6,0,IF('Unique Tenure'!AM50&lt;'Unique Tenure'!AO50,'Unique Tenure'!AM50-AP50,'Unique Tenure'!AO50))</f>
        <v>0</v>
      </c>
      <c r="AR50" s="61">
        <f t="shared" si="11"/>
        <v>0</v>
      </c>
      <c r="AS50" s="60">
        <f t="shared" si="12"/>
        <v>0</v>
      </c>
      <c r="AT50" s="193"/>
      <c r="AU50" s="169">
        <v>46</v>
      </c>
      <c r="AV50" s="1">
        <f t="shared" si="30"/>
        <v>46919</v>
      </c>
      <c r="AW50" s="60">
        <f>IF($X50&lt;Input!$H$88,IF($X50&lt;Input!$G$88,IF($X50&lt;Input!$F$88,IF($X50&lt;Input!$E$88,IF($X50&lt;Input!$D$88,Input!$C$94,Input!$D$94),Input!$E$94),Input!$F$94),Input!$G$94),Input!$H$94)</f>
        <v>0</v>
      </c>
      <c r="AX50" s="190">
        <f>IF($A50&lt;Input!$H$95,IF($A50&lt;Input!$G$95,IF($A50&lt;Input!$F$95,IF($A50&lt;Input!$E$95,IF($A50&lt;Input!$D$95,Input!$C$96,Input!$D$96),Input!$E$96),Input!$F$96),Input!$G$96),Input!$H$96)</f>
        <v>0.9</v>
      </c>
      <c r="AY50" s="60">
        <f t="shared" si="13"/>
        <v>0</v>
      </c>
      <c r="AZ50" s="60">
        <f t="shared" si="31"/>
        <v>31</v>
      </c>
      <c r="BA50" s="60">
        <f t="shared" si="14"/>
        <v>0</v>
      </c>
      <c r="BB50" s="60">
        <f>ROUND(BA50*AZ50*Input!$C$3/365,0)</f>
        <v>0</v>
      </c>
      <c r="BC50" s="61">
        <f>IF($A50&lt;=Input!$C$6,0,IF('Unique Tenure'!AY50&lt;'Unique Tenure'!BA50,'Unique Tenure'!AY50-BB50,'Unique Tenure'!BA50))</f>
        <v>0</v>
      </c>
      <c r="BD50" s="61">
        <f t="shared" si="15"/>
        <v>0</v>
      </c>
      <c r="BE50" s="60">
        <f t="shared" si="16"/>
        <v>0</v>
      </c>
      <c r="BF50" s="193"/>
      <c r="BG50" s="169">
        <v>46</v>
      </c>
      <c r="BH50" s="1">
        <f t="shared" si="32"/>
        <v>46919</v>
      </c>
      <c r="BI50" s="60">
        <f>IF($X50&lt;Input!$H$103,IF($X50&lt;Input!$G$103,IF($X50&lt;Input!$F$103,IF($X50&lt;Input!$E$103,IF($X50&lt;Input!$D$103,Input!$C$109,Input!$D$109),Input!$E$109),Input!$F$109),Input!$G$109),Input!$H$109)</f>
        <v>0</v>
      </c>
      <c r="BJ50" s="190">
        <f>IF($A50&lt;Input!$H$110,IF($A50&lt;Input!$G$110,IF($A50&lt;Input!$F$110,IF($A50&lt;Input!$E$110,IF($A50&lt;Input!$D$110,Input!$C$111,Input!$D$111),Input!$E$111),Input!$F$111),Input!$G$111),Input!$H$111)</f>
        <v>0.9</v>
      </c>
      <c r="BK50" s="60">
        <f t="shared" si="17"/>
        <v>0</v>
      </c>
      <c r="BL50" s="60">
        <f t="shared" si="33"/>
        <v>31</v>
      </c>
      <c r="BM50" s="60">
        <f t="shared" si="18"/>
        <v>0</v>
      </c>
      <c r="BN50" s="60">
        <f>ROUND(BM50*BL50*Input!$C$3/365,0)</f>
        <v>0</v>
      </c>
      <c r="BO50" s="61">
        <f>IF($A50&lt;=Input!$C$6,0,IF('Unique Tenure'!BK50&lt;'Unique Tenure'!BM50,'Unique Tenure'!BK50-BN50,'Unique Tenure'!BM50))</f>
        <v>0</v>
      </c>
      <c r="BP50" s="61">
        <f t="shared" si="19"/>
        <v>0</v>
      </c>
      <c r="BQ50" s="60">
        <f t="shared" si="20"/>
        <v>0</v>
      </c>
      <c r="BR50" s="198"/>
    </row>
    <row r="51" spans="1:70" s="51" customFormat="1" x14ac:dyDescent="0.25">
      <c r="A51" s="169">
        <v>47</v>
      </c>
      <c r="B51" s="1">
        <f t="shared" si="21"/>
        <v>46949</v>
      </c>
      <c r="C51" s="60">
        <f>SUM(
   IF(($A$4:$A$184 &lt;= Input!$D$16), M51, 0),
   IF(($A$4:$A$184 &lt;= Input!$E$16), Y51, 0),
   IF(($A$4:$A$184 &lt;= Input!$F$16), AK51, 0),
   IF(($A$4:$A$184 &lt;= Input!$G$16), AW51, 0),
   IF(($A$4:$A$184 &lt;= Input!$H$16), BI51, 0)
)</f>
        <v>18940500</v>
      </c>
      <c r="D51" s="60">
        <f>SUM(
   IF(($A$4:$A$184 &lt;= Input!$D$16), O51, 0),
   IF(($A$4:$A$184 &lt;= Input!$E$16), AA51, 0),
   IF(($A$4:$A$184 &lt;= Input!$F$16), AM51, 0),
   IF(($A$4:$A$184 &lt;= Input!$G$16), AY51, 0),
   IF(($A$4:$A$184 &lt;= Input!$H$16), BK51, 0)
)</f>
        <v>17046450</v>
      </c>
      <c r="E51" s="60">
        <f t="shared" si="22"/>
        <v>30</v>
      </c>
      <c r="F51" s="60">
        <f t="shared" si="23"/>
        <v>833591551</v>
      </c>
      <c r="G51" s="60">
        <f>ROUND(F51*E51*Input!$C$3/365,0)</f>
        <v>10277156</v>
      </c>
      <c r="H51" s="60">
        <f>IF($A51&lt;=Input!$C$6,0,IF('Unique Tenure'!D51&lt;'Unique Tenure'!F51,'Unique Tenure'!D51-G51,'Unique Tenure'!F51))</f>
        <v>6769294</v>
      </c>
      <c r="I51" s="60">
        <f t="shared" si="24"/>
        <v>17046450</v>
      </c>
      <c r="J51" s="60">
        <f t="shared" si="25"/>
        <v>826822257</v>
      </c>
      <c r="K51" s="202">
        <f>J51/Input!$K$5</f>
        <v>2.7560741900000001</v>
      </c>
      <c r="L51" s="232"/>
      <c r="M51" s="60">
        <f>IF($B51&lt;Input!$H$43,IF($B51&lt;Input!$G$43,IF($B51&lt;Input!$F$43,IF($B51&lt;Input!$E$43,IF($B51&lt;Input!$D$43,Input!$C$49,Input!$D$49),Input!$E$49),Input!$F$49),Input!$G$49),Input!$H$49)</f>
        <v>18940500</v>
      </c>
      <c r="N51" s="190">
        <f>IF($A51&lt;Input!$H$50,IF($A51&lt;Input!$G$50,IF($A51&lt;Input!$F$50,IF($A51&lt;Input!$E$50,IF($A51&lt;Input!$D$50,Input!$C$51,Input!$D$51),Input!$E$51),Input!$F$51),Input!$G$51),Input!$H$51)</f>
        <v>0.9</v>
      </c>
      <c r="O51" s="60">
        <f t="shared" si="34"/>
        <v>17046450</v>
      </c>
      <c r="P51" s="60">
        <f t="shared" si="35"/>
        <v>30</v>
      </c>
      <c r="Q51" s="60">
        <f t="shared" si="2"/>
        <v>833591551</v>
      </c>
      <c r="R51" s="60">
        <f>ROUND(Q51*$P51*Input!$C$3/365,0)</f>
        <v>10277156</v>
      </c>
      <c r="S51" s="60">
        <f>IF(A51&lt;=Input!$C$6,0,IF('Unique Tenure'!O51&lt;'Unique Tenure'!Q51,'Unique Tenure'!O51-R51,'Unique Tenure'!Q51))</f>
        <v>6769294</v>
      </c>
      <c r="T51" s="60">
        <f t="shared" si="3"/>
        <v>17046450</v>
      </c>
      <c r="U51" s="60">
        <f t="shared" si="4"/>
        <v>826822257</v>
      </c>
      <c r="V51" s="193"/>
      <c r="W51" s="169">
        <v>47</v>
      </c>
      <c r="X51" s="1">
        <f t="shared" si="26"/>
        <v>46949</v>
      </c>
      <c r="Y51" s="60">
        <f>IF($X51&lt;Input!$H$58,IF($X51&lt;Input!$G$58,IF($X51&lt;Input!$F$58,IF($X51&lt;Input!$E$58,IF($X51&lt;Input!$D$58,Input!$C$64,Input!$D$64),Input!$E$64),Input!$F$64),Input!$G$64),Input!$H$64)</f>
        <v>0</v>
      </c>
      <c r="Z51" s="190">
        <f>IF($A51&lt;Input!$H$65,IF($A51&lt;Input!$G$65,IF($A51&lt;Input!$F$65,IF($A51&lt;Input!$E$65,IF($A51&lt;Input!$D$65,Input!$C$66,Input!$D$66),Input!$E$66),Input!$F$66),Input!$G$66),Input!$H$66)</f>
        <v>0.9</v>
      </c>
      <c r="AA51" s="60">
        <f t="shared" si="5"/>
        <v>0</v>
      </c>
      <c r="AB51" s="60">
        <f t="shared" si="27"/>
        <v>30</v>
      </c>
      <c r="AC51" s="60">
        <f t="shared" si="6"/>
        <v>0</v>
      </c>
      <c r="AD51" s="60">
        <f>ROUND(AC51*AB51*Input!$C$3/365,0)</f>
        <v>0</v>
      </c>
      <c r="AE51" s="61">
        <f>IF($A51&lt;=Input!$C$6,0,IF('Unique Tenure'!AA51&lt;'Unique Tenure'!AC51,'Unique Tenure'!AA51-AD51,'Unique Tenure'!AC51))</f>
        <v>0</v>
      </c>
      <c r="AF51" s="61">
        <f t="shared" si="7"/>
        <v>0</v>
      </c>
      <c r="AG51" s="60">
        <f t="shared" si="8"/>
        <v>0</v>
      </c>
      <c r="AH51" s="193"/>
      <c r="AI51" s="169">
        <v>47</v>
      </c>
      <c r="AJ51" s="1">
        <f t="shared" si="28"/>
        <v>46949</v>
      </c>
      <c r="AK51" s="60">
        <f>IF($X51&lt;Input!$H$73,IF($X51&lt;Input!$G$73,IF($X51&lt;Input!$F$73,IF($X51&lt;Input!$E$73,IF($X51&lt;Input!$D$73,Input!$C$79,Input!$D$79),Input!$E$79),Input!$F$79),Input!$G$79),Input!$H$79)</f>
        <v>0</v>
      </c>
      <c r="AL51" s="190">
        <f>IF($A51&lt;Input!$H$80,IF($A51&lt;Input!$G$80,IF($A51&lt;Input!$F$80,IF($A51&lt;Input!$E$80,IF($A51&lt;Input!$D$80,Input!$C$81,Input!$D$81),Input!$E$81),Input!$F$81),Input!$G$81),Input!$H$81)</f>
        <v>0.9</v>
      </c>
      <c r="AM51" s="60">
        <f t="shared" si="9"/>
        <v>0</v>
      </c>
      <c r="AN51" s="60">
        <f t="shared" si="29"/>
        <v>30</v>
      </c>
      <c r="AO51" s="60">
        <f t="shared" si="10"/>
        <v>0</v>
      </c>
      <c r="AP51" s="60">
        <f>ROUND(AO51*AN51*Input!$C$3/365,0)</f>
        <v>0</v>
      </c>
      <c r="AQ51" s="61">
        <f>IF($A51&lt;=Input!$C$6,0,IF('Unique Tenure'!AM51&lt;'Unique Tenure'!AO51,'Unique Tenure'!AM51-AP51,'Unique Tenure'!AO51))</f>
        <v>0</v>
      </c>
      <c r="AR51" s="61">
        <f t="shared" si="11"/>
        <v>0</v>
      </c>
      <c r="AS51" s="60">
        <f t="shared" si="12"/>
        <v>0</v>
      </c>
      <c r="AT51" s="193"/>
      <c r="AU51" s="169">
        <v>47</v>
      </c>
      <c r="AV51" s="1">
        <f t="shared" si="30"/>
        <v>46949</v>
      </c>
      <c r="AW51" s="60">
        <f>IF($X51&lt;Input!$H$88,IF($X51&lt;Input!$G$88,IF($X51&lt;Input!$F$88,IF($X51&lt;Input!$E$88,IF($X51&lt;Input!$D$88,Input!$C$94,Input!$D$94),Input!$E$94),Input!$F$94),Input!$G$94),Input!$H$94)</f>
        <v>0</v>
      </c>
      <c r="AX51" s="190">
        <f>IF($A51&lt;Input!$H$95,IF($A51&lt;Input!$G$95,IF($A51&lt;Input!$F$95,IF($A51&lt;Input!$E$95,IF($A51&lt;Input!$D$95,Input!$C$96,Input!$D$96),Input!$E$96),Input!$F$96),Input!$G$96),Input!$H$96)</f>
        <v>0.9</v>
      </c>
      <c r="AY51" s="60">
        <f t="shared" si="13"/>
        <v>0</v>
      </c>
      <c r="AZ51" s="60">
        <f t="shared" si="31"/>
        <v>30</v>
      </c>
      <c r="BA51" s="60">
        <f t="shared" si="14"/>
        <v>0</v>
      </c>
      <c r="BB51" s="60">
        <f>ROUND(BA51*AZ51*Input!$C$3/365,0)</f>
        <v>0</v>
      </c>
      <c r="BC51" s="61">
        <f>IF($A51&lt;=Input!$C$6,0,IF('Unique Tenure'!AY51&lt;'Unique Tenure'!BA51,'Unique Tenure'!AY51-BB51,'Unique Tenure'!BA51))</f>
        <v>0</v>
      </c>
      <c r="BD51" s="61">
        <f t="shared" si="15"/>
        <v>0</v>
      </c>
      <c r="BE51" s="60">
        <f t="shared" si="16"/>
        <v>0</v>
      </c>
      <c r="BF51" s="193"/>
      <c r="BG51" s="169">
        <v>47</v>
      </c>
      <c r="BH51" s="1">
        <f t="shared" si="32"/>
        <v>46949</v>
      </c>
      <c r="BI51" s="60">
        <f>IF($X51&lt;Input!$H$103,IF($X51&lt;Input!$G$103,IF($X51&lt;Input!$F$103,IF($X51&lt;Input!$E$103,IF($X51&lt;Input!$D$103,Input!$C$109,Input!$D$109),Input!$E$109),Input!$F$109),Input!$G$109),Input!$H$109)</f>
        <v>0</v>
      </c>
      <c r="BJ51" s="190">
        <f>IF($A51&lt;Input!$H$110,IF($A51&lt;Input!$G$110,IF($A51&lt;Input!$F$110,IF($A51&lt;Input!$E$110,IF($A51&lt;Input!$D$110,Input!$C$111,Input!$D$111),Input!$E$111),Input!$F$111),Input!$G$111),Input!$H$111)</f>
        <v>0.9</v>
      </c>
      <c r="BK51" s="60">
        <f t="shared" si="17"/>
        <v>0</v>
      </c>
      <c r="BL51" s="60">
        <f t="shared" si="33"/>
        <v>30</v>
      </c>
      <c r="BM51" s="60">
        <f t="shared" si="18"/>
        <v>0</v>
      </c>
      <c r="BN51" s="60">
        <f>ROUND(BM51*BL51*Input!$C$3/365,0)</f>
        <v>0</v>
      </c>
      <c r="BO51" s="61">
        <f>IF($A51&lt;=Input!$C$6,0,IF('Unique Tenure'!BK51&lt;'Unique Tenure'!BM51,'Unique Tenure'!BK51-BN51,'Unique Tenure'!BM51))</f>
        <v>0</v>
      </c>
      <c r="BP51" s="61">
        <f t="shared" si="19"/>
        <v>0</v>
      </c>
      <c r="BQ51" s="60">
        <f t="shared" si="20"/>
        <v>0</v>
      </c>
      <c r="BR51" s="198"/>
    </row>
    <row r="52" spans="1:70" s="51" customFormat="1" x14ac:dyDescent="0.25">
      <c r="A52" s="169">
        <v>48</v>
      </c>
      <c r="B52" s="1">
        <f t="shared" si="21"/>
        <v>46980</v>
      </c>
      <c r="C52" s="60">
        <f>SUM(
   IF(($A$4:$A$184 &lt;= Input!$D$16), M52, 0),
   IF(($A$4:$A$184 &lt;= Input!$E$16), Y52, 0),
   IF(($A$4:$A$184 &lt;= Input!$F$16), AK52, 0),
   IF(($A$4:$A$184 &lt;= Input!$G$16), AW52, 0),
   IF(($A$4:$A$184 &lt;= Input!$H$16), BI52, 0)
)</f>
        <v>18940500</v>
      </c>
      <c r="D52" s="60">
        <f>SUM(
   IF(($A$4:$A$184 &lt;= Input!$D$16), O52, 0),
   IF(($A$4:$A$184 &lt;= Input!$E$16), AA52, 0),
   IF(($A$4:$A$184 &lt;= Input!$F$16), AM52, 0),
   IF(($A$4:$A$184 &lt;= Input!$G$16), AY52, 0),
   IF(($A$4:$A$184 &lt;= Input!$H$16), BK52, 0)
)</f>
        <v>17046450</v>
      </c>
      <c r="E52" s="60">
        <f t="shared" si="22"/>
        <v>31</v>
      </c>
      <c r="F52" s="60">
        <f t="shared" si="23"/>
        <v>826822257</v>
      </c>
      <c r="G52" s="60">
        <f>ROUND(F52*E52*Input!$C$3/365,0)</f>
        <v>10533489</v>
      </c>
      <c r="H52" s="60">
        <f>IF($A52&lt;=Input!$C$6,0,IF('Unique Tenure'!D52&lt;'Unique Tenure'!F52,'Unique Tenure'!D52-G52,'Unique Tenure'!F52))</f>
        <v>6512961</v>
      </c>
      <c r="I52" s="60">
        <f t="shared" si="24"/>
        <v>17046450</v>
      </c>
      <c r="J52" s="60">
        <f t="shared" si="25"/>
        <v>820309296</v>
      </c>
      <c r="K52" s="202">
        <f>J52/Input!$K$5</f>
        <v>2.7343643200000001</v>
      </c>
      <c r="L52" s="232"/>
      <c r="M52" s="60">
        <f>IF($B52&lt;Input!$H$43,IF($B52&lt;Input!$G$43,IF($B52&lt;Input!$F$43,IF($B52&lt;Input!$E$43,IF($B52&lt;Input!$D$43,Input!$C$49,Input!$D$49),Input!$E$49),Input!$F$49),Input!$G$49),Input!$H$49)</f>
        <v>18940500</v>
      </c>
      <c r="N52" s="190">
        <f>IF($A52&lt;Input!$H$50,IF($A52&lt;Input!$G$50,IF($A52&lt;Input!$F$50,IF($A52&lt;Input!$E$50,IF($A52&lt;Input!$D$50,Input!$C$51,Input!$D$51),Input!$E$51),Input!$F$51),Input!$G$51),Input!$H$51)</f>
        <v>0.9</v>
      </c>
      <c r="O52" s="60">
        <f t="shared" si="34"/>
        <v>17046450</v>
      </c>
      <c r="P52" s="60">
        <f t="shared" si="35"/>
        <v>31</v>
      </c>
      <c r="Q52" s="60">
        <f t="shared" si="2"/>
        <v>826822257</v>
      </c>
      <c r="R52" s="60">
        <f>ROUND(Q52*$P52*Input!$C$3/365,0)</f>
        <v>10533489</v>
      </c>
      <c r="S52" s="60">
        <f>IF(A52&lt;=Input!$C$6,0,IF('Unique Tenure'!O52&lt;'Unique Tenure'!Q52,'Unique Tenure'!O52-R52,'Unique Tenure'!Q52))</f>
        <v>6512961</v>
      </c>
      <c r="T52" s="60">
        <f t="shared" si="3"/>
        <v>17046450</v>
      </c>
      <c r="U52" s="60">
        <f t="shared" si="4"/>
        <v>820309296</v>
      </c>
      <c r="V52" s="193"/>
      <c r="W52" s="169">
        <v>48</v>
      </c>
      <c r="X52" s="1">
        <f t="shared" si="26"/>
        <v>46980</v>
      </c>
      <c r="Y52" s="60">
        <f>IF($X52&lt;Input!$H$58,IF($X52&lt;Input!$G$58,IF($X52&lt;Input!$F$58,IF($X52&lt;Input!$E$58,IF($X52&lt;Input!$D$58,Input!$C$64,Input!$D$64),Input!$E$64),Input!$F$64),Input!$G$64),Input!$H$64)</f>
        <v>0</v>
      </c>
      <c r="Z52" s="190">
        <f>IF($A52&lt;Input!$H$65,IF($A52&lt;Input!$G$65,IF($A52&lt;Input!$F$65,IF($A52&lt;Input!$E$65,IF($A52&lt;Input!$D$65,Input!$C$66,Input!$D$66),Input!$E$66),Input!$F$66),Input!$G$66),Input!$H$66)</f>
        <v>0.9</v>
      </c>
      <c r="AA52" s="60">
        <f t="shared" si="5"/>
        <v>0</v>
      </c>
      <c r="AB52" s="60">
        <f t="shared" si="27"/>
        <v>31</v>
      </c>
      <c r="AC52" s="60">
        <f t="shared" si="6"/>
        <v>0</v>
      </c>
      <c r="AD52" s="60">
        <f>ROUND(AC52*AB52*Input!$C$3/365,0)</f>
        <v>0</v>
      </c>
      <c r="AE52" s="61">
        <f>IF($A52&lt;=Input!$C$6,0,IF('Unique Tenure'!AA52&lt;'Unique Tenure'!AC52,'Unique Tenure'!AA52-AD52,'Unique Tenure'!AC52))</f>
        <v>0</v>
      </c>
      <c r="AF52" s="61">
        <f t="shared" si="7"/>
        <v>0</v>
      </c>
      <c r="AG52" s="60">
        <f t="shared" si="8"/>
        <v>0</v>
      </c>
      <c r="AH52" s="193"/>
      <c r="AI52" s="169">
        <v>48</v>
      </c>
      <c r="AJ52" s="1">
        <f t="shared" si="28"/>
        <v>46980</v>
      </c>
      <c r="AK52" s="60">
        <f>IF($X52&lt;Input!$H$73,IF($X52&lt;Input!$G$73,IF($X52&lt;Input!$F$73,IF($X52&lt;Input!$E$73,IF($X52&lt;Input!$D$73,Input!$C$79,Input!$D$79),Input!$E$79),Input!$F$79),Input!$G$79),Input!$H$79)</f>
        <v>0</v>
      </c>
      <c r="AL52" s="190">
        <f>IF($A52&lt;Input!$H$80,IF($A52&lt;Input!$G$80,IF($A52&lt;Input!$F$80,IF($A52&lt;Input!$E$80,IF($A52&lt;Input!$D$80,Input!$C$81,Input!$D$81),Input!$E$81),Input!$F$81),Input!$G$81),Input!$H$81)</f>
        <v>0.9</v>
      </c>
      <c r="AM52" s="60">
        <f t="shared" si="9"/>
        <v>0</v>
      </c>
      <c r="AN52" s="60">
        <f t="shared" si="29"/>
        <v>31</v>
      </c>
      <c r="AO52" s="60">
        <f t="shared" si="10"/>
        <v>0</v>
      </c>
      <c r="AP52" s="60">
        <f>ROUND(AO52*AN52*Input!$C$3/365,0)</f>
        <v>0</v>
      </c>
      <c r="AQ52" s="61">
        <f>IF($A52&lt;=Input!$C$6,0,IF('Unique Tenure'!AM52&lt;'Unique Tenure'!AO52,'Unique Tenure'!AM52-AP52,'Unique Tenure'!AO52))</f>
        <v>0</v>
      </c>
      <c r="AR52" s="61">
        <f t="shared" si="11"/>
        <v>0</v>
      </c>
      <c r="AS52" s="60">
        <f t="shared" si="12"/>
        <v>0</v>
      </c>
      <c r="AT52" s="193"/>
      <c r="AU52" s="169">
        <v>48</v>
      </c>
      <c r="AV52" s="1">
        <f t="shared" si="30"/>
        <v>46980</v>
      </c>
      <c r="AW52" s="60">
        <f>IF($X52&lt;Input!$H$88,IF($X52&lt;Input!$G$88,IF($X52&lt;Input!$F$88,IF($X52&lt;Input!$E$88,IF($X52&lt;Input!$D$88,Input!$C$94,Input!$D$94),Input!$E$94),Input!$F$94),Input!$G$94),Input!$H$94)</f>
        <v>0</v>
      </c>
      <c r="AX52" s="190">
        <f>IF($A52&lt;Input!$H$95,IF($A52&lt;Input!$G$95,IF($A52&lt;Input!$F$95,IF($A52&lt;Input!$E$95,IF($A52&lt;Input!$D$95,Input!$C$96,Input!$D$96),Input!$E$96),Input!$F$96),Input!$G$96),Input!$H$96)</f>
        <v>0.9</v>
      </c>
      <c r="AY52" s="60">
        <f t="shared" si="13"/>
        <v>0</v>
      </c>
      <c r="AZ52" s="60">
        <f t="shared" si="31"/>
        <v>31</v>
      </c>
      <c r="BA52" s="60">
        <f t="shared" si="14"/>
        <v>0</v>
      </c>
      <c r="BB52" s="60">
        <f>ROUND(BA52*AZ52*Input!$C$3/365,0)</f>
        <v>0</v>
      </c>
      <c r="BC52" s="61">
        <f>IF($A52&lt;=Input!$C$6,0,IF('Unique Tenure'!AY52&lt;'Unique Tenure'!BA52,'Unique Tenure'!AY52-BB52,'Unique Tenure'!BA52))</f>
        <v>0</v>
      </c>
      <c r="BD52" s="61">
        <f t="shared" si="15"/>
        <v>0</v>
      </c>
      <c r="BE52" s="60">
        <f t="shared" si="16"/>
        <v>0</v>
      </c>
      <c r="BF52" s="193"/>
      <c r="BG52" s="169">
        <v>48</v>
      </c>
      <c r="BH52" s="1">
        <f t="shared" si="32"/>
        <v>46980</v>
      </c>
      <c r="BI52" s="60">
        <f>IF($X52&lt;Input!$H$103,IF($X52&lt;Input!$G$103,IF($X52&lt;Input!$F$103,IF($X52&lt;Input!$E$103,IF($X52&lt;Input!$D$103,Input!$C$109,Input!$D$109),Input!$E$109),Input!$F$109),Input!$G$109),Input!$H$109)</f>
        <v>0</v>
      </c>
      <c r="BJ52" s="190">
        <f>IF($A52&lt;Input!$H$110,IF($A52&lt;Input!$G$110,IF($A52&lt;Input!$F$110,IF($A52&lt;Input!$E$110,IF($A52&lt;Input!$D$110,Input!$C$111,Input!$D$111),Input!$E$111),Input!$F$111),Input!$G$111),Input!$H$111)</f>
        <v>0.9</v>
      </c>
      <c r="BK52" s="60">
        <f t="shared" si="17"/>
        <v>0</v>
      </c>
      <c r="BL52" s="60">
        <f t="shared" si="33"/>
        <v>31</v>
      </c>
      <c r="BM52" s="60">
        <f t="shared" si="18"/>
        <v>0</v>
      </c>
      <c r="BN52" s="60">
        <f>ROUND(BM52*BL52*Input!$C$3/365,0)</f>
        <v>0</v>
      </c>
      <c r="BO52" s="61">
        <f>IF($A52&lt;=Input!$C$6,0,IF('Unique Tenure'!BK52&lt;'Unique Tenure'!BM52,'Unique Tenure'!BK52-BN52,'Unique Tenure'!BM52))</f>
        <v>0</v>
      </c>
      <c r="BP52" s="61">
        <f t="shared" si="19"/>
        <v>0</v>
      </c>
      <c r="BQ52" s="60">
        <f t="shared" si="20"/>
        <v>0</v>
      </c>
      <c r="BR52" s="198"/>
    </row>
    <row r="53" spans="1:70" s="51" customFormat="1" x14ac:dyDescent="0.25">
      <c r="A53" s="169">
        <v>49</v>
      </c>
      <c r="B53" s="1">
        <f t="shared" si="21"/>
        <v>47011</v>
      </c>
      <c r="C53" s="60">
        <f>SUM(
   IF(($A$4:$A$184 &lt;= Input!$D$16), M53, 0),
   IF(($A$4:$A$184 &lt;= Input!$E$16), Y53, 0),
   IF(($A$4:$A$184 &lt;= Input!$F$16), AK53, 0),
   IF(($A$4:$A$184 &lt;= Input!$G$16), AW53, 0),
   IF(($A$4:$A$184 &lt;= Input!$H$16), BI53, 0)
)</f>
        <v>18940500</v>
      </c>
      <c r="D53" s="60">
        <f>SUM(
   IF(($A$4:$A$184 &lt;= Input!$D$16), O53, 0),
   IF(($A$4:$A$184 &lt;= Input!$E$16), AA53, 0),
   IF(($A$4:$A$184 &lt;= Input!$F$16), AM53, 0),
   IF(($A$4:$A$184 &lt;= Input!$G$16), AY53, 0),
   IF(($A$4:$A$184 &lt;= Input!$H$16), BK53, 0)
)</f>
        <v>17046450</v>
      </c>
      <c r="E53" s="60">
        <f t="shared" si="22"/>
        <v>31</v>
      </c>
      <c r="F53" s="60">
        <f t="shared" si="23"/>
        <v>820309296</v>
      </c>
      <c r="G53" s="60">
        <f>ROUND(F53*E53*Input!$C$3/365,0)</f>
        <v>10450516</v>
      </c>
      <c r="H53" s="60">
        <f>IF($A53&lt;=Input!$C$6,0,IF('Unique Tenure'!D53&lt;'Unique Tenure'!F53,'Unique Tenure'!D53-G53,'Unique Tenure'!F53))</f>
        <v>6595934</v>
      </c>
      <c r="I53" s="60">
        <f t="shared" si="24"/>
        <v>17046450</v>
      </c>
      <c r="J53" s="60">
        <f t="shared" si="25"/>
        <v>813713362</v>
      </c>
      <c r="K53" s="202">
        <f>J53/Input!$K$5</f>
        <v>2.7123778733333332</v>
      </c>
      <c r="L53" s="232"/>
      <c r="M53" s="60">
        <f>IF($B53&lt;Input!$H$43,IF($B53&lt;Input!$G$43,IF($B53&lt;Input!$F$43,IF($B53&lt;Input!$E$43,IF($B53&lt;Input!$D$43,Input!$C$49,Input!$D$49),Input!$E$49),Input!$F$49),Input!$G$49),Input!$H$49)</f>
        <v>18940500</v>
      </c>
      <c r="N53" s="190">
        <f>IF($A53&lt;Input!$H$50,IF($A53&lt;Input!$G$50,IF($A53&lt;Input!$F$50,IF($A53&lt;Input!$E$50,IF($A53&lt;Input!$D$50,Input!$C$51,Input!$D$51),Input!$E$51),Input!$F$51),Input!$G$51),Input!$H$51)</f>
        <v>0.9</v>
      </c>
      <c r="O53" s="60">
        <f t="shared" si="34"/>
        <v>17046450</v>
      </c>
      <c r="P53" s="60">
        <f t="shared" si="35"/>
        <v>31</v>
      </c>
      <c r="Q53" s="60">
        <f t="shared" si="2"/>
        <v>820309296</v>
      </c>
      <c r="R53" s="60">
        <f>ROUND(Q53*$P53*Input!$C$3/365,0)</f>
        <v>10450516</v>
      </c>
      <c r="S53" s="60">
        <f>IF(A53&lt;=Input!$C$6,0,IF('Unique Tenure'!O53&lt;'Unique Tenure'!Q53,'Unique Tenure'!O53-R53,'Unique Tenure'!Q53))</f>
        <v>6595934</v>
      </c>
      <c r="T53" s="60">
        <f t="shared" si="3"/>
        <v>17046450</v>
      </c>
      <c r="U53" s="60">
        <f t="shared" si="4"/>
        <v>813713362</v>
      </c>
      <c r="V53" s="193"/>
      <c r="W53" s="169">
        <v>49</v>
      </c>
      <c r="X53" s="1">
        <f t="shared" si="26"/>
        <v>47011</v>
      </c>
      <c r="Y53" s="60">
        <f>IF($X53&lt;Input!$H$58,IF($X53&lt;Input!$G$58,IF($X53&lt;Input!$F$58,IF($X53&lt;Input!$E$58,IF($X53&lt;Input!$D$58,Input!$C$64,Input!$D$64),Input!$E$64),Input!$F$64),Input!$G$64),Input!$H$64)</f>
        <v>0</v>
      </c>
      <c r="Z53" s="190">
        <f>IF($A53&lt;Input!$H$65,IF($A53&lt;Input!$G$65,IF($A53&lt;Input!$F$65,IF($A53&lt;Input!$E$65,IF($A53&lt;Input!$D$65,Input!$C$66,Input!$D$66),Input!$E$66),Input!$F$66),Input!$G$66),Input!$H$66)</f>
        <v>0.9</v>
      </c>
      <c r="AA53" s="60">
        <f t="shared" si="5"/>
        <v>0</v>
      </c>
      <c r="AB53" s="60">
        <f t="shared" si="27"/>
        <v>31</v>
      </c>
      <c r="AC53" s="60">
        <f t="shared" si="6"/>
        <v>0</v>
      </c>
      <c r="AD53" s="60">
        <f>ROUND(AC53*AB53*Input!$C$3/365,0)</f>
        <v>0</v>
      </c>
      <c r="AE53" s="61">
        <f>IF($A53&lt;=Input!$C$6,0,IF('Unique Tenure'!AA53&lt;'Unique Tenure'!AC53,'Unique Tenure'!AA53-AD53,'Unique Tenure'!AC53))</f>
        <v>0</v>
      </c>
      <c r="AF53" s="61">
        <f t="shared" si="7"/>
        <v>0</v>
      </c>
      <c r="AG53" s="60">
        <f t="shared" si="8"/>
        <v>0</v>
      </c>
      <c r="AH53" s="193"/>
      <c r="AI53" s="169">
        <v>49</v>
      </c>
      <c r="AJ53" s="1">
        <f t="shared" si="28"/>
        <v>47011</v>
      </c>
      <c r="AK53" s="60">
        <f>IF($X53&lt;Input!$H$73,IF($X53&lt;Input!$G$73,IF($X53&lt;Input!$F$73,IF($X53&lt;Input!$E$73,IF($X53&lt;Input!$D$73,Input!$C$79,Input!$D$79),Input!$E$79),Input!$F$79),Input!$G$79),Input!$H$79)</f>
        <v>0</v>
      </c>
      <c r="AL53" s="190">
        <f>IF($A53&lt;Input!$H$80,IF($A53&lt;Input!$G$80,IF($A53&lt;Input!$F$80,IF($A53&lt;Input!$E$80,IF($A53&lt;Input!$D$80,Input!$C$81,Input!$D$81),Input!$E$81),Input!$F$81),Input!$G$81),Input!$H$81)</f>
        <v>0.9</v>
      </c>
      <c r="AM53" s="60">
        <f t="shared" si="9"/>
        <v>0</v>
      </c>
      <c r="AN53" s="60">
        <f t="shared" si="29"/>
        <v>31</v>
      </c>
      <c r="AO53" s="60">
        <f t="shared" si="10"/>
        <v>0</v>
      </c>
      <c r="AP53" s="60">
        <f>ROUND(AO53*AN53*Input!$C$3/365,0)</f>
        <v>0</v>
      </c>
      <c r="AQ53" s="61">
        <f>IF($A53&lt;=Input!$C$6,0,IF('Unique Tenure'!AM53&lt;'Unique Tenure'!AO53,'Unique Tenure'!AM53-AP53,'Unique Tenure'!AO53))</f>
        <v>0</v>
      </c>
      <c r="AR53" s="61">
        <f t="shared" si="11"/>
        <v>0</v>
      </c>
      <c r="AS53" s="60">
        <f t="shared" si="12"/>
        <v>0</v>
      </c>
      <c r="AT53" s="193"/>
      <c r="AU53" s="169">
        <v>49</v>
      </c>
      <c r="AV53" s="1">
        <f t="shared" si="30"/>
        <v>47011</v>
      </c>
      <c r="AW53" s="60">
        <f>IF($X53&lt;Input!$H$88,IF($X53&lt;Input!$G$88,IF($X53&lt;Input!$F$88,IF($X53&lt;Input!$E$88,IF($X53&lt;Input!$D$88,Input!$C$94,Input!$D$94),Input!$E$94),Input!$F$94),Input!$G$94),Input!$H$94)</f>
        <v>0</v>
      </c>
      <c r="AX53" s="190">
        <f>IF($A53&lt;Input!$H$95,IF($A53&lt;Input!$G$95,IF($A53&lt;Input!$F$95,IF($A53&lt;Input!$E$95,IF($A53&lt;Input!$D$95,Input!$C$96,Input!$D$96),Input!$E$96),Input!$F$96),Input!$G$96),Input!$H$96)</f>
        <v>0.9</v>
      </c>
      <c r="AY53" s="60">
        <f t="shared" si="13"/>
        <v>0</v>
      </c>
      <c r="AZ53" s="60">
        <f t="shared" si="31"/>
        <v>31</v>
      </c>
      <c r="BA53" s="60">
        <f t="shared" si="14"/>
        <v>0</v>
      </c>
      <c r="BB53" s="60">
        <f>ROUND(BA53*AZ53*Input!$C$3/365,0)</f>
        <v>0</v>
      </c>
      <c r="BC53" s="61">
        <f>IF($A53&lt;=Input!$C$6,0,IF('Unique Tenure'!AY53&lt;'Unique Tenure'!BA53,'Unique Tenure'!AY53-BB53,'Unique Tenure'!BA53))</f>
        <v>0</v>
      </c>
      <c r="BD53" s="61">
        <f t="shared" si="15"/>
        <v>0</v>
      </c>
      <c r="BE53" s="60">
        <f t="shared" si="16"/>
        <v>0</v>
      </c>
      <c r="BF53" s="193"/>
      <c r="BG53" s="169">
        <v>49</v>
      </c>
      <c r="BH53" s="1">
        <f t="shared" si="32"/>
        <v>47011</v>
      </c>
      <c r="BI53" s="60">
        <f>IF($X53&lt;Input!$H$103,IF($X53&lt;Input!$G$103,IF($X53&lt;Input!$F$103,IF($X53&lt;Input!$E$103,IF($X53&lt;Input!$D$103,Input!$C$109,Input!$D$109),Input!$E$109),Input!$F$109),Input!$G$109),Input!$H$109)</f>
        <v>0</v>
      </c>
      <c r="BJ53" s="190">
        <f>IF($A53&lt;Input!$H$110,IF($A53&lt;Input!$G$110,IF($A53&lt;Input!$F$110,IF($A53&lt;Input!$E$110,IF($A53&lt;Input!$D$110,Input!$C$111,Input!$D$111),Input!$E$111),Input!$F$111),Input!$G$111),Input!$H$111)</f>
        <v>0.9</v>
      </c>
      <c r="BK53" s="60">
        <f t="shared" si="17"/>
        <v>0</v>
      </c>
      <c r="BL53" s="60">
        <f t="shared" si="33"/>
        <v>31</v>
      </c>
      <c r="BM53" s="60">
        <f t="shared" si="18"/>
        <v>0</v>
      </c>
      <c r="BN53" s="60">
        <f>ROUND(BM53*BL53*Input!$C$3/365,0)</f>
        <v>0</v>
      </c>
      <c r="BO53" s="61">
        <f>IF($A53&lt;=Input!$C$6,0,IF('Unique Tenure'!BK53&lt;'Unique Tenure'!BM53,'Unique Tenure'!BK53-BN53,'Unique Tenure'!BM53))</f>
        <v>0</v>
      </c>
      <c r="BP53" s="61">
        <f t="shared" si="19"/>
        <v>0</v>
      </c>
      <c r="BQ53" s="60">
        <f t="shared" si="20"/>
        <v>0</v>
      </c>
      <c r="BR53" s="198"/>
    </row>
    <row r="54" spans="1:70" s="51" customFormat="1" x14ac:dyDescent="0.25">
      <c r="A54" s="169">
        <v>50</v>
      </c>
      <c r="B54" s="1">
        <f t="shared" si="21"/>
        <v>47041</v>
      </c>
      <c r="C54" s="60">
        <f>SUM(
   IF(($A$4:$A$184 &lt;= Input!$D$16), M54, 0),
   IF(($A$4:$A$184 &lt;= Input!$E$16), Y54, 0),
   IF(($A$4:$A$184 &lt;= Input!$F$16), AK54, 0),
   IF(($A$4:$A$184 &lt;= Input!$G$16), AW54, 0),
   IF(($A$4:$A$184 &lt;= Input!$H$16), BI54, 0)
)</f>
        <v>18940500</v>
      </c>
      <c r="D54" s="60">
        <f>SUM(
   IF(($A$4:$A$184 &lt;= Input!$D$16), O54, 0),
   IF(($A$4:$A$184 &lt;= Input!$E$16), AA54, 0),
   IF(($A$4:$A$184 &lt;= Input!$F$16), AM54, 0),
   IF(($A$4:$A$184 &lt;= Input!$G$16), AY54, 0),
   IF(($A$4:$A$184 &lt;= Input!$H$16), BK54, 0)
)</f>
        <v>17046450</v>
      </c>
      <c r="E54" s="60">
        <f t="shared" si="22"/>
        <v>30</v>
      </c>
      <c r="F54" s="60">
        <f t="shared" si="23"/>
        <v>813713362</v>
      </c>
      <c r="G54" s="60">
        <f>ROUND(F54*E54*Input!$C$3/365,0)</f>
        <v>10032083</v>
      </c>
      <c r="H54" s="60">
        <f>IF($A54&lt;=Input!$C$6,0,IF('Unique Tenure'!D54&lt;'Unique Tenure'!F54,'Unique Tenure'!D54-G54,'Unique Tenure'!F54))</f>
        <v>7014367</v>
      </c>
      <c r="I54" s="60">
        <f t="shared" si="24"/>
        <v>17046450</v>
      </c>
      <c r="J54" s="60">
        <f t="shared" si="25"/>
        <v>806698995</v>
      </c>
      <c r="K54" s="202">
        <f>J54/Input!$K$5</f>
        <v>2.68899665</v>
      </c>
      <c r="L54" s="232"/>
      <c r="M54" s="60">
        <f>IF($B54&lt;Input!$H$43,IF($B54&lt;Input!$G$43,IF($B54&lt;Input!$F$43,IF($B54&lt;Input!$E$43,IF($B54&lt;Input!$D$43,Input!$C$49,Input!$D$49),Input!$E$49),Input!$F$49),Input!$G$49),Input!$H$49)</f>
        <v>18940500</v>
      </c>
      <c r="N54" s="190">
        <f>IF($A54&lt;Input!$H$50,IF($A54&lt;Input!$G$50,IF($A54&lt;Input!$F$50,IF($A54&lt;Input!$E$50,IF($A54&lt;Input!$D$50,Input!$C$51,Input!$D$51),Input!$E$51),Input!$F$51),Input!$G$51),Input!$H$51)</f>
        <v>0.9</v>
      </c>
      <c r="O54" s="60">
        <f t="shared" si="34"/>
        <v>17046450</v>
      </c>
      <c r="P54" s="60">
        <f t="shared" si="35"/>
        <v>30</v>
      </c>
      <c r="Q54" s="60">
        <f t="shared" si="2"/>
        <v>813713362</v>
      </c>
      <c r="R54" s="60">
        <f>ROUND(Q54*$P54*Input!$C$3/365,0)</f>
        <v>10032083</v>
      </c>
      <c r="S54" s="60">
        <f>IF(A54&lt;=Input!$C$6,0,IF('Unique Tenure'!O54&lt;'Unique Tenure'!Q54,'Unique Tenure'!O54-R54,'Unique Tenure'!Q54))</f>
        <v>7014367</v>
      </c>
      <c r="T54" s="60">
        <f t="shared" si="3"/>
        <v>17046450</v>
      </c>
      <c r="U54" s="60">
        <f t="shared" si="4"/>
        <v>806698995</v>
      </c>
      <c r="V54" s="193"/>
      <c r="W54" s="169">
        <v>50</v>
      </c>
      <c r="X54" s="1">
        <f t="shared" si="26"/>
        <v>47041</v>
      </c>
      <c r="Y54" s="60">
        <f>IF($X54&lt;Input!$H$58,IF($X54&lt;Input!$G$58,IF($X54&lt;Input!$F$58,IF($X54&lt;Input!$E$58,IF($X54&lt;Input!$D$58,Input!$C$64,Input!$D$64),Input!$E$64),Input!$F$64),Input!$G$64),Input!$H$64)</f>
        <v>0</v>
      </c>
      <c r="Z54" s="190">
        <f>IF($A54&lt;Input!$H$65,IF($A54&lt;Input!$G$65,IF($A54&lt;Input!$F$65,IF($A54&lt;Input!$E$65,IF($A54&lt;Input!$D$65,Input!$C$66,Input!$D$66),Input!$E$66),Input!$F$66),Input!$G$66),Input!$H$66)</f>
        <v>0.9</v>
      </c>
      <c r="AA54" s="60">
        <f t="shared" si="5"/>
        <v>0</v>
      </c>
      <c r="AB54" s="60">
        <f t="shared" si="27"/>
        <v>30</v>
      </c>
      <c r="AC54" s="60">
        <f t="shared" si="6"/>
        <v>0</v>
      </c>
      <c r="AD54" s="60">
        <f>ROUND(AC54*AB54*Input!$C$3/365,0)</f>
        <v>0</v>
      </c>
      <c r="AE54" s="61">
        <f>IF($A54&lt;=Input!$C$6,0,IF('Unique Tenure'!AA54&lt;'Unique Tenure'!AC54,'Unique Tenure'!AA54-AD54,'Unique Tenure'!AC54))</f>
        <v>0</v>
      </c>
      <c r="AF54" s="61">
        <f t="shared" si="7"/>
        <v>0</v>
      </c>
      <c r="AG54" s="60">
        <f t="shared" si="8"/>
        <v>0</v>
      </c>
      <c r="AH54" s="193"/>
      <c r="AI54" s="169">
        <v>50</v>
      </c>
      <c r="AJ54" s="1">
        <f t="shared" si="28"/>
        <v>47041</v>
      </c>
      <c r="AK54" s="60">
        <f>IF($X54&lt;Input!$H$73,IF($X54&lt;Input!$G$73,IF($X54&lt;Input!$F$73,IF($X54&lt;Input!$E$73,IF($X54&lt;Input!$D$73,Input!$C$79,Input!$D$79),Input!$E$79),Input!$F$79),Input!$G$79),Input!$H$79)</f>
        <v>0</v>
      </c>
      <c r="AL54" s="190">
        <f>IF($A54&lt;Input!$H$80,IF($A54&lt;Input!$G$80,IF($A54&lt;Input!$F$80,IF($A54&lt;Input!$E$80,IF($A54&lt;Input!$D$80,Input!$C$81,Input!$D$81),Input!$E$81),Input!$F$81),Input!$G$81),Input!$H$81)</f>
        <v>0.9</v>
      </c>
      <c r="AM54" s="60">
        <f t="shared" si="9"/>
        <v>0</v>
      </c>
      <c r="AN54" s="60">
        <f t="shared" si="29"/>
        <v>30</v>
      </c>
      <c r="AO54" s="60">
        <f t="shared" si="10"/>
        <v>0</v>
      </c>
      <c r="AP54" s="60">
        <f>ROUND(AO54*AN54*Input!$C$3/365,0)</f>
        <v>0</v>
      </c>
      <c r="AQ54" s="61">
        <f>IF($A54&lt;=Input!$C$6,0,IF('Unique Tenure'!AM54&lt;'Unique Tenure'!AO54,'Unique Tenure'!AM54-AP54,'Unique Tenure'!AO54))</f>
        <v>0</v>
      </c>
      <c r="AR54" s="61">
        <f t="shared" si="11"/>
        <v>0</v>
      </c>
      <c r="AS54" s="60">
        <f t="shared" si="12"/>
        <v>0</v>
      </c>
      <c r="AT54" s="193"/>
      <c r="AU54" s="169">
        <v>50</v>
      </c>
      <c r="AV54" s="1">
        <f t="shared" si="30"/>
        <v>47041</v>
      </c>
      <c r="AW54" s="60">
        <f>IF($X54&lt;Input!$H$88,IF($X54&lt;Input!$G$88,IF($X54&lt;Input!$F$88,IF($X54&lt;Input!$E$88,IF($X54&lt;Input!$D$88,Input!$C$94,Input!$D$94),Input!$E$94),Input!$F$94),Input!$G$94),Input!$H$94)</f>
        <v>0</v>
      </c>
      <c r="AX54" s="190">
        <f>IF($A54&lt;Input!$H$95,IF($A54&lt;Input!$G$95,IF($A54&lt;Input!$F$95,IF($A54&lt;Input!$E$95,IF($A54&lt;Input!$D$95,Input!$C$96,Input!$D$96),Input!$E$96),Input!$F$96),Input!$G$96),Input!$H$96)</f>
        <v>0.9</v>
      </c>
      <c r="AY54" s="60">
        <f t="shared" si="13"/>
        <v>0</v>
      </c>
      <c r="AZ54" s="60">
        <f t="shared" si="31"/>
        <v>30</v>
      </c>
      <c r="BA54" s="60">
        <f t="shared" si="14"/>
        <v>0</v>
      </c>
      <c r="BB54" s="60">
        <f>ROUND(BA54*AZ54*Input!$C$3/365,0)</f>
        <v>0</v>
      </c>
      <c r="BC54" s="61">
        <f>IF($A54&lt;=Input!$C$6,0,IF('Unique Tenure'!AY54&lt;'Unique Tenure'!BA54,'Unique Tenure'!AY54-BB54,'Unique Tenure'!BA54))</f>
        <v>0</v>
      </c>
      <c r="BD54" s="61">
        <f t="shared" si="15"/>
        <v>0</v>
      </c>
      <c r="BE54" s="60">
        <f t="shared" si="16"/>
        <v>0</v>
      </c>
      <c r="BF54" s="193"/>
      <c r="BG54" s="169">
        <v>50</v>
      </c>
      <c r="BH54" s="1">
        <f t="shared" si="32"/>
        <v>47041</v>
      </c>
      <c r="BI54" s="60">
        <f>IF($X54&lt;Input!$H$103,IF($X54&lt;Input!$G$103,IF($X54&lt;Input!$F$103,IF($X54&lt;Input!$E$103,IF($X54&lt;Input!$D$103,Input!$C$109,Input!$D$109),Input!$E$109),Input!$F$109),Input!$G$109),Input!$H$109)</f>
        <v>0</v>
      </c>
      <c r="BJ54" s="190">
        <f>IF($A54&lt;Input!$H$110,IF($A54&lt;Input!$G$110,IF($A54&lt;Input!$F$110,IF($A54&lt;Input!$E$110,IF($A54&lt;Input!$D$110,Input!$C$111,Input!$D$111),Input!$E$111),Input!$F$111),Input!$G$111),Input!$H$111)</f>
        <v>0.9</v>
      </c>
      <c r="BK54" s="60">
        <f t="shared" si="17"/>
        <v>0</v>
      </c>
      <c r="BL54" s="60">
        <f t="shared" si="33"/>
        <v>30</v>
      </c>
      <c r="BM54" s="60">
        <f t="shared" si="18"/>
        <v>0</v>
      </c>
      <c r="BN54" s="60">
        <f>ROUND(BM54*BL54*Input!$C$3/365,0)</f>
        <v>0</v>
      </c>
      <c r="BO54" s="61">
        <f>IF($A54&lt;=Input!$C$6,0,IF('Unique Tenure'!BK54&lt;'Unique Tenure'!BM54,'Unique Tenure'!BK54-BN54,'Unique Tenure'!BM54))</f>
        <v>0</v>
      </c>
      <c r="BP54" s="61">
        <f t="shared" si="19"/>
        <v>0</v>
      </c>
      <c r="BQ54" s="60">
        <f t="shared" si="20"/>
        <v>0</v>
      </c>
      <c r="BR54" s="198"/>
    </row>
    <row r="55" spans="1:70" s="51" customFormat="1" x14ac:dyDescent="0.25">
      <c r="A55" s="169">
        <v>51</v>
      </c>
      <c r="B55" s="1">
        <f t="shared" si="21"/>
        <v>47072</v>
      </c>
      <c r="C55" s="60">
        <f>SUM(
   IF(($A$4:$A$184 &lt;= Input!$D$16), M55, 0),
   IF(($A$4:$A$184 &lt;= Input!$E$16), Y55, 0),
   IF(($A$4:$A$184 &lt;= Input!$F$16), AK55, 0),
   IF(($A$4:$A$184 &lt;= Input!$G$16), AW55, 0),
   IF(($A$4:$A$184 &lt;= Input!$H$16), BI55, 0)
)</f>
        <v>18940500</v>
      </c>
      <c r="D55" s="60">
        <f>SUM(
   IF(($A$4:$A$184 &lt;= Input!$D$16), O55, 0),
   IF(($A$4:$A$184 &lt;= Input!$E$16), AA55, 0),
   IF(($A$4:$A$184 &lt;= Input!$F$16), AM55, 0),
   IF(($A$4:$A$184 &lt;= Input!$G$16), AY55, 0),
   IF(($A$4:$A$184 &lt;= Input!$H$16), BK55, 0)
)</f>
        <v>17046450</v>
      </c>
      <c r="E55" s="60">
        <f t="shared" si="22"/>
        <v>31</v>
      </c>
      <c r="F55" s="60">
        <f t="shared" si="23"/>
        <v>806698995</v>
      </c>
      <c r="G55" s="60">
        <f>ROUND(F55*E55*Input!$C$3/365,0)</f>
        <v>10277124</v>
      </c>
      <c r="H55" s="60">
        <f>IF($A55&lt;=Input!$C$6,0,IF('Unique Tenure'!D55&lt;'Unique Tenure'!F55,'Unique Tenure'!D55-G55,'Unique Tenure'!F55))</f>
        <v>6769326</v>
      </c>
      <c r="I55" s="60">
        <f t="shared" si="24"/>
        <v>17046450</v>
      </c>
      <c r="J55" s="60">
        <f t="shared" si="25"/>
        <v>799929669</v>
      </c>
      <c r="K55" s="202">
        <f>J55/Input!$K$5</f>
        <v>2.6664322299999998</v>
      </c>
      <c r="L55" s="232"/>
      <c r="M55" s="60">
        <f>IF($B55&lt;Input!$H$43,IF($B55&lt;Input!$G$43,IF($B55&lt;Input!$F$43,IF($B55&lt;Input!$E$43,IF($B55&lt;Input!$D$43,Input!$C$49,Input!$D$49),Input!$E$49),Input!$F$49),Input!$G$49),Input!$H$49)</f>
        <v>18940500</v>
      </c>
      <c r="N55" s="190">
        <f>IF($A55&lt;Input!$H$50,IF($A55&lt;Input!$G$50,IF($A55&lt;Input!$F$50,IF($A55&lt;Input!$E$50,IF($A55&lt;Input!$D$50,Input!$C$51,Input!$D$51),Input!$E$51),Input!$F$51),Input!$G$51),Input!$H$51)</f>
        <v>0.9</v>
      </c>
      <c r="O55" s="60">
        <f t="shared" si="34"/>
        <v>17046450</v>
      </c>
      <c r="P55" s="60">
        <f t="shared" si="35"/>
        <v>31</v>
      </c>
      <c r="Q55" s="60">
        <f t="shared" si="2"/>
        <v>806698995</v>
      </c>
      <c r="R55" s="60">
        <f>ROUND(Q55*$P55*Input!$C$3/365,0)</f>
        <v>10277124</v>
      </c>
      <c r="S55" s="60">
        <f>IF(A55&lt;=Input!$C$6,0,IF('Unique Tenure'!O55&lt;'Unique Tenure'!Q55,'Unique Tenure'!O55-R55,'Unique Tenure'!Q55))</f>
        <v>6769326</v>
      </c>
      <c r="T55" s="60">
        <f t="shared" si="3"/>
        <v>17046450</v>
      </c>
      <c r="U55" s="60">
        <f t="shared" si="4"/>
        <v>799929669</v>
      </c>
      <c r="V55" s="193"/>
      <c r="W55" s="169">
        <v>51</v>
      </c>
      <c r="X55" s="1">
        <f t="shared" si="26"/>
        <v>47072</v>
      </c>
      <c r="Y55" s="60">
        <f>IF($X55&lt;Input!$H$58,IF($X55&lt;Input!$G$58,IF($X55&lt;Input!$F$58,IF($X55&lt;Input!$E$58,IF($X55&lt;Input!$D$58,Input!$C$64,Input!$D$64),Input!$E$64),Input!$F$64),Input!$G$64),Input!$H$64)</f>
        <v>0</v>
      </c>
      <c r="Z55" s="190">
        <f>IF($A55&lt;Input!$H$65,IF($A55&lt;Input!$G$65,IF($A55&lt;Input!$F$65,IF($A55&lt;Input!$E$65,IF($A55&lt;Input!$D$65,Input!$C$66,Input!$D$66),Input!$E$66),Input!$F$66),Input!$G$66),Input!$H$66)</f>
        <v>0.9</v>
      </c>
      <c r="AA55" s="60">
        <f t="shared" si="5"/>
        <v>0</v>
      </c>
      <c r="AB55" s="60">
        <f t="shared" si="27"/>
        <v>31</v>
      </c>
      <c r="AC55" s="60">
        <f t="shared" si="6"/>
        <v>0</v>
      </c>
      <c r="AD55" s="60">
        <f>ROUND(AC55*AB55*Input!$C$3/365,0)</f>
        <v>0</v>
      </c>
      <c r="AE55" s="61">
        <f>IF($A55&lt;=Input!$C$6,0,IF('Unique Tenure'!AA55&lt;'Unique Tenure'!AC55,'Unique Tenure'!AA55-AD55,'Unique Tenure'!AC55))</f>
        <v>0</v>
      </c>
      <c r="AF55" s="61">
        <f t="shared" si="7"/>
        <v>0</v>
      </c>
      <c r="AG55" s="60">
        <f t="shared" si="8"/>
        <v>0</v>
      </c>
      <c r="AH55" s="193"/>
      <c r="AI55" s="169">
        <v>51</v>
      </c>
      <c r="AJ55" s="1">
        <f t="shared" si="28"/>
        <v>47072</v>
      </c>
      <c r="AK55" s="60">
        <f>IF($X55&lt;Input!$H$73,IF($X55&lt;Input!$G$73,IF($X55&lt;Input!$F$73,IF($X55&lt;Input!$E$73,IF($X55&lt;Input!$D$73,Input!$C$79,Input!$D$79),Input!$E$79),Input!$F$79),Input!$G$79),Input!$H$79)</f>
        <v>0</v>
      </c>
      <c r="AL55" s="190">
        <f>IF($A55&lt;Input!$H$80,IF($A55&lt;Input!$G$80,IF($A55&lt;Input!$F$80,IF($A55&lt;Input!$E$80,IF($A55&lt;Input!$D$80,Input!$C$81,Input!$D$81),Input!$E$81),Input!$F$81),Input!$G$81),Input!$H$81)</f>
        <v>0.9</v>
      </c>
      <c r="AM55" s="60">
        <f t="shared" si="9"/>
        <v>0</v>
      </c>
      <c r="AN55" s="60">
        <f t="shared" si="29"/>
        <v>31</v>
      </c>
      <c r="AO55" s="60">
        <f t="shared" si="10"/>
        <v>0</v>
      </c>
      <c r="AP55" s="60">
        <f>ROUND(AO55*AN55*Input!$C$3/365,0)</f>
        <v>0</v>
      </c>
      <c r="AQ55" s="61">
        <f>IF($A55&lt;=Input!$C$6,0,IF('Unique Tenure'!AM55&lt;'Unique Tenure'!AO55,'Unique Tenure'!AM55-AP55,'Unique Tenure'!AO55))</f>
        <v>0</v>
      </c>
      <c r="AR55" s="61">
        <f t="shared" si="11"/>
        <v>0</v>
      </c>
      <c r="AS55" s="60">
        <f t="shared" si="12"/>
        <v>0</v>
      </c>
      <c r="AT55" s="193"/>
      <c r="AU55" s="169">
        <v>51</v>
      </c>
      <c r="AV55" s="1">
        <f t="shared" si="30"/>
        <v>47072</v>
      </c>
      <c r="AW55" s="60">
        <f>IF($X55&lt;Input!$H$88,IF($X55&lt;Input!$G$88,IF($X55&lt;Input!$F$88,IF($X55&lt;Input!$E$88,IF($X55&lt;Input!$D$88,Input!$C$94,Input!$D$94),Input!$E$94),Input!$F$94),Input!$G$94),Input!$H$94)</f>
        <v>0</v>
      </c>
      <c r="AX55" s="190">
        <f>IF($A55&lt;Input!$H$95,IF($A55&lt;Input!$G$95,IF($A55&lt;Input!$F$95,IF($A55&lt;Input!$E$95,IF($A55&lt;Input!$D$95,Input!$C$96,Input!$D$96),Input!$E$96),Input!$F$96),Input!$G$96),Input!$H$96)</f>
        <v>0.9</v>
      </c>
      <c r="AY55" s="60">
        <f t="shared" si="13"/>
        <v>0</v>
      </c>
      <c r="AZ55" s="60">
        <f t="shared" si="31"/>
        <v>31</v>
      </c>
      <c r="BA55" s="60">
        <f t="shared" si="14"/>
        <v>0</v>
      </c>
      <c r="BB55" s="60">
        <f>ROUND(BA55*AZ55*Input!$C$3/365,0)</f>
        <v>0</v>
      </c>
      <c r="BC55" s="61">
        <f>IF($A55&lt;=Input!$C$6,0,IF('Unique Tenure'!AY55&lt;'Unique Tenure'!BA55,'Unique Tenure'!AY55-BB55,'Unique Tenure'!BA55))</f>
        <v>0</v>
      </c>
      <c r="BD55" s="61">
        <f t="shared" si="15"/>
        <v>0</v>
      </c>
      <c r="BE55" s="60">
        <f t="shared" si="16"/>
        <v>0</v>
      </c>
      <c r="BF55" s="193"/>
      <c r="BG55" s="169">
        <v>51</v>
      </c>
      <c r="BH55" s="1">
        <f t="shared" si="32"/>
        <v>47072</v>
      </c>
      <c r="BI55" s="60">
        <f>IF($X55&lt;Input!$H$103,IF($X55&lt;Input!$G$103,IF($X55&lt;Input!$F$103,IF($X55&lt;Input!$E$103,IF($X55&lt;Input!$D$103,Input!$C$109,Input!$D$109),Input!$E$109),Input!$F$109),Input!$G$109),Input!$H$109)</f>
        <v>0</v>
      </c>
      <c r="BJ55" s="190">
        <f>IF($A55&lt;Input!$H$110,IF($A55&lt;Input!$G$110,IF($A55&lt;Input!$F$110,IF($A55&lt;Input!$E$110,IF($A55&lt;Input!$D$110,Input!$C$111,Input!$D$111),Input!$E$111),Input!$F$111),Input!$G$111),Input!$H$111)</f>
        <v>0.9</v>
      </c>
      <c r="BK55" s="60">
        <f t="shared" si="17"/>
        <v>0</v>
      </c>
      <c r="BL55" s="60">
        <f t="shared" si="33"/>
        <v>31</v>
      </c>
      <c r="BM55" s="60">
        <f t="shared" si="18"/>
        <v>0</v>
      </c>
      <c r="BN55" s="60">
        <f>ROUND(BM55*BL55*Input!$C$3/365,0)</f>
        <v>0</v>
      </c>
      <c r="BO55" s="61">
        <f>IF($A55&lt;=Input!$C$6,0,IF('Unique Tenure'!BK55&lt;'Unique Tenure'!BM55,'Unique Tenure'!BK55-BN55,'Unique Tenure'!BM55))</f>
        <v>0</v>
      </c>
      <c r="BP55" s="61">
        <f t="shared" si="19"/>
        <v>0</v>
      </c>
      <c r="BQ55" s="60">
        <f t="shared" si="20"/>
        <v>0</v>
      </c>
      <c r="BR55" s="198"/>
    </row>
    <row r="56" spans="1:70" s="51" customFormat="1" x14ac:dyDescent="0.25">
      <c r="A56" s="169">
        <v>52</v>
      </c>
      <c r="B56" s="1">
        <f t="shared" si="21"/>
        <v>47102</v>
      </c>
      <c r="C56" s="60">
        <f>SUM(
   IF(($A$4:$A$184 &lt;= Input!$D$16), M56, 0),
   IF(($A$4:$A$184 &lt;= Input!$E$16), Y56, 0),
   IF(($A$4:$A$184 &lt;= Input!$F$16), AK56, 0),
   IF(($A$4:$A$184 &lt;= Input!$G$16), AW56, 0),
   IF(($A$4:$A$184 &lt;= Input!$H$16), BI56, 0)
)</f>
        <v>18940500</v>
      </c>
      <c r="D56" s="60">
        <f>SUM(
   IF(($A$4:$A$184 &lt;= Input!$D$16), O56, 0),
   IF(($A$4:$A$184 &lt;= Input!$E$16), AA56, 0),
   IF(($A$4:$A$184 &lt;= Input!$F$16), AM56, 0),
   IF(($A$4:$A$184 &lt;= Input!$G$16), AY56, 0),
   IF(($A$4:$A$184 &lt;= Input!$H$16), BK56, 0)
)</f>
        <v>17046450</v>
      </c>
      <c r="E56" s="60">
        <f t="shared" si="22"/>
        <v>30</v>
      </c>
      <c r="F56" s="60">
        <f t="shared" si="23"/>
        <v>799929669</v>
      </c>
      <c r="G56" s="60">
        <f>ROUND(F56*E56*Input!$C$3/365,0)</f>
        <v>9862147</v>
      </c>
      <c r="H56" s="60">
        <f>IF($A56&lt;=Input!$C$6,0,IF('Unique Tenure'!D56&lt;'Unique Tenure'!F56,'Unique Tenure'!D56-G56,'Unique Tenure'!F56))</f>
        <v>7184303</v>
      </c>
      <c r="I56" s="60">
        <f t="shared" si="24"/>
        <v>17046450</v>
      </c>
      <c r="J56" s="60">
        <f t="shared" si="25"/>
        <v>792745366</v>
      </c>
      <c r="K56" s="202">
        <f>J56/Input!$K$5</f>
        <v>2.6424845533333334</v>
      </c>
      <c r="L56" s="232"/>
      <c r="M56" s="60">
        <f>IF($B56&lt;Input!$H$43,IF($B56&lt;Input!$G$43,IF($B56&lt;Input!$F$43,IF($B56&lt;Input!$E$43,IF($B56&lt;Input!$D$43,Input!$C$49,Input!$D$49),Input!$E$49),Input!$F$49),Input!$G$49),Input!$H$49)</f>
        <v>18940500</v>
      </c>
      <c r="N56" s="190">
        <f>IF($A56&lt;Input!$H$50,IF($A56&lt;Input!$G$50,IF($A56&lt;Input!$F$50,IF($A56&lt;Input!$E$50,IF($A56&lt;Input!$D$50,Input!$C$51,Input!$D$51),Input!$E$51),Input!$F$51),Input!$G$51),Input!$H$51)</f>
        <v>0.9</v>
      </c>
      <c r="O56" s="60">
        <f t="shared" si="34"/>
        <v>17046450</v>
      </c>
      <c r="P56" s="60">
        <f t="shared" si="35"/>
        <v>30</v>
      </c>
      <c r="Q56" s="60">
        <f t="shared" si="2"/>
        <v>799929669</v>
      </c>
      <c r="R56" s="60">
        <f>ROUND(Q56*$P56*Input!$C$3/365,0)</f>
        <v>9862147</v>
      </c>
      <c r="S56" s="60">
        <f>IF(A56&lt;=Input!$C$6,0,IF('Unique Tenure'!O56&lt;'Unique Tenure'!Q56,'Unique Tenure'!O56-R56,'Unique Tenure'!Q56))</f>
        <v>7184303</v>
      </c>
      <c r="T56" s="60">
        <f t="shared" si="3"/>
        <v>17046450</v>
      </c>
      <c r="U56" s="60">
        <f t="shared" si="4"/>
        <v>792745366</v>
      </c>
      <c r="V56" s="193"/>
      <c r="W56" s="169">
        <v>52</v>
      </c>
      <c r="X56" s="1">
        <f t="shared" si="26"/>
        <v>47102</v>
      </c>
      <c r="Y56" s="60">
        <f>IF($X56&lt;Input!$H$58,IF($X56&lt;Input!$G$58,IF($X56&lt;Input!$F$58,IF($X56&lt;Input!$E$58,IF($X56&lt;Input!$D$58,Input!$C$64,Input!$D$64),Input!$E$64),Input!$F$64),Input!$G$64),Input!$H$64)</f>
        <v>0</v>
      </c>
      <c r="Z56" s="190">
        <f>IF($A56&lt;Input!$H$65,IF($A56&lt;Input!$G$65,IF($A56&lt;Input!$F$65,IF($A56&lt;Input!$E$65,IF($A56&lt;Input!$D$65,Input!$C$66,Input!$D$66),Input!$E$66),Input!$F$66),Input!$G$66),Input!$H$66)</f>
        <v>0.9</v>
      </c>
      <c r="AA56" s="60">
        <f t="shared" si="5"/>
        <v>0</v>
      </c>
      <c r="AB56" s="60">
        <f t="shared" si="27"/>
        <v>30</v>
      </c>
      <c r="AC56" s="60">
        <f t="shared" si="6"/>
        <v>0</v>
      </c>
      <c r="AD56" s="60">
        <f>ROUND(AC56*AB56*Input!$C$3/365,0)</f>
        <v>0</v>
      </c>
      <c r="AE56" s="61">
        <f>IF($A56&lt;=Input!$C$6,0,IF('Unique Tenure'!AA56&lt;'Unique Tenure'!AC56,'Unique Tenure'!AA56-AD56,'Unique Tenure'!AC56))</f>
        <v>0</v>
      </c>
      <c r="AF56" s="61">
        <f t="shared" si="7"/>
        <v>0</v>
      </c>
      <c r="AG56" s="60">
        <f t="shared" si="8"/>
        <v>0</v>
      </c>
      <c r="AH56" s="193"/>
      <c r="AI56" s="169">
        <v>52</v>
      </c>
      <c r="AJ56" s="1">
        <f t="shared" si="28"/>
        <v>47102</v>
      </c>
      <c r="AK56" s="60">
        <f>IF($X56&lt;Input!$H$73,IF($X56&lt;Input!$G$73,IF($X56&lt;Input!$F$73,IF($X56&lt;Input!$E$73,IF($X56&lt;Input!$D$73,Input!$C$79,Input!$D$79),Input!$E$79),Input!$F$79),Input!$G$79),Input!$H$79)</f>
        <v>0</v>
      </c>
      <c r="AL56" s="190">
        <f>IF($A56&lt;Input!$H$80,IF($A56&lt;Input!$G$80,IF($A56&lt;Input!$F$80,IF($A56&lt;Input!$E$80,IF($A56&lt;Input!$D$80,Input!$C$81,Input!$D$81),Input!$E$81),Input!$F$81),Input!$G$81),Input!$H$81)</f>
        <v>0.9</v>
      </c>
      <c r="AM56" s="60">
        <f t="shared" si="9"/>
        <v>0</v>
      </c>
      <c r="AN56" s="60">
        <f t="shared" si="29"/>
        <v>30</v>
      </c>
      <c r="AO56" s="60">
        <f t="shared" si="10"/>
        <v>0</v>
      </c>
      <c r="AP56" s="60">
        <f>ROUND(AO56*AN56*Input!$C$3/365,0)</f>
        <v>0</v>
      </c>
      <c r="AQ56" s="61">
        <f>IF($A56&lt;=Input!$C$6,0,IF('Unique Tenure'!AM56&lt;'Unique Tenure'!AO56,'Unique Tenure'!AM56-AP56,'Unique Tenure'!AO56))</f>
        <v>0</v>
      </c>
      <c r="AR56" s="61">
        <f t="shared" si="11"/>
        <v>0</v>
      </c>
      <c r="AS56" s="60">
        <f t="shared" si="12"/>
        <v>0</v>
      </c>
      <c r="AT56" s="193"/>
      <c r="AU56" s="169">
        <v>52</v>
      </c>
      <c r="AV56" s="1">
        <f t="shared" si="30"/>
        <v>47102</v>
      </c>
      <c r="AW56" s="60">
        <f>IF($X56&lt;Input!$H$88,IF($X56&lt;Input!$G$88,IF($X56&lt;Input!$F$88,IF($X56&lt;Input!$E$88,IF($X56&lt;Input!$D$88,Input!$C$94,Input!$D$94),Input!$E$94),Input!$F$94),Input!$G$94),Input!$H$94)</f>
        <v>0</v>
      </c>
      <c r="AX56" s="190">
        <f>IF($A56&lt;Input!$H$95,IF($A56&lt;Input!$G$95,IF($A56&lt;Input!$F$95,IF($A56&lt;Input!$E$95,IF($A56&lt;Input!$D$95,Input!$C$96,Input!$D$96),Input!$E$96),Input!$F$96),Input!$G$96),Input!$H$96)</f>
        <v>0.9</v>
      </c>
      <c r="AY56" s="60">
        <f t="shared" si="13"/>
        <v>0</v>
      </c>
      <c r="AZ56" s="60">
        <f t="shared" si="31"/>
        <v>30</v>
      </c>
      <c r="BA56" s="60">
        <f t="shared" si="14"/>
        <v>0</v>
      </c>
      <c r="BB56" s="60">
        <f>ROUND(BA56*AZ56*Input!$C$3/365,0)</f>
        <v>0</v>
      </c>
      <c r="BC56" s="61">
        <f>IF($A56&lt;=Input!$C$6,0,IF('Unique Tenure'!AY56&lt;'Unique Tenure'!BA56,'Unique Tenure'!AY56-BB56,'Unique Tenure'!BA56))</f>
        <v>0</v>
      </c>
      <c r="BD56" s="61">
        <f t="shared" si="15"/>
        <v>0</v>
      </c>
      <c r="BE56" s="60">
        <f t="shared" si="16"/>
        <v>0</v>
      </c>
      <c r="BF56" s="193"/>
      <c r="BG56" s="169">
        <v>52</v>
      </c>
      <c r="BH56" s="1">
        <f t="shared" si="32"/>
        <v>47102</v>
      </c>
      <c r="BI56" s="60">
        <f>IF($X56&lt;Input!$H$103,IF($X56&lt;Input!$G$103,IF($X56&lt;Input!$F$103,IF($X56&lt;Input!$E$103,IF($X56&lt;Input!$D$103,Input!$C$109,Input!$D$109),Input!$E$109),Input!$F$109),Input!$G$109),Input!$H$109)</f>
        <v>0</v>
      </c>
      <c r="BJ56" s="190">
        <f>IF($A56&lt;Input!$H$110,IF($A56&lt;Input!$G$110,IF($A56&lt;Input!$F$110,IF($A56&lt;Input!$E$110,IF($A56&lt;Input!$D$110,Input!$C$111,Input!$D$111),Input!$E$111),Input!$F$111),Input!$G$111),Input!$H$111)</f>
        <v>0.9</v>
      </c>
      <c r="BK56" s="60">
        <f t="shared" si="17"/>
        <v>0</v>
      </c>
      <c r="BL56" s="60">
        <f t="shared" si="33"/>
        <v>30</v>
      </c>
      <c r="BM56" s="60">
        <f t="shared" si="18"/>
        <v>0</v>
      </c>
      <c r="BN56" s="60">
        <f>ROUND(BM56*BL56*Input!$C$3/365,0)</f>
        <v>0</v>
      </c>
      <c r="BO56" s="61">
        <f>IF($A56&lt;=Input!$C$6,0,IF('Unique Tenure'!BK56&lt;'Unique Tenure'!BM56,'Unique Tenure'!BK56-BN56,'Unique Tenure'!BM56))</f>
        <v>0</v>
      </c>
      <c r="BP56" s="61">
        <f t="shared" si="19"/>
        <v>0</v>
      </c>
      <c r="BQ56" s="60">
        <f t="shared" si="20"/>
        <v>0</v>
      </c>
      <c r="BR56" s="198"/>
    </row>
    <row r="57" spans="1:70" s="51" customFormat="1" x14ac:dyDescent="0.25">
      <c r="A57" s="169">
        <v>53</v>
      </c>
      <c r="B57" s="1">
        <f t="shared" si="21"/>
        <v>47133</v>
      </c>
      <c r="C57" s="60">
        <f>SUM(
   IF(($A$4:$A$184 &lt;= Input!$D$16), M57, 0),
   IF(($A$4:$A$184 &lt;= Input!$E$16), Y57, 0),
   IF(($A$4:$A$184 &lt;= Input!$F$16), AK57, 0),
   IF(($A$4:$A$184 &lt;= Input!$G$16), AW57, 0),
   IF(($A$4:$A$184 &lt;= Input!$H$16), BI57, 0)
)</f>
        <v>18940500</v>
      </c>
      <c r="D57" s="60">
        <f>SUM(
   IF(($A$4:$A$184 &lt;= Input!$D$16), O57, 0),
   IF(($A$4:$A$184 &lt;= Input!$E$16), AA57, 0),
   IF(($A$4:$A$184 &lt;= Input!$F$16), AM57, 0),
   IF(($A$4:$A$184 &lt;= Input!$G$16), AY57, 0),
   IF(($A$4:$A$184 &lt;= Input!$H$16), BK57, 0)
)</f>
        <v>17046450</v>
      </c>
      <c r="E57" s="60">
        <f t="shared" si="22"/>
        <v>31</v>
      </c>
      <c r="F57" s="60">
        <f t="shared" si="23"/>
        <v>792745366</v>
      </c>
      <c r="G57" s="60">
        <f>ROUND(F57*E57*Input!$C$3/365,0)</f>
        <v>10099359</v>
      </c>
      <c r="H57" s="60">
        <f>IF($A57&lt;=Input!$C$6,0,IF('Unique Tenure'!D57&lt;'Unique Tenure'!F57,'Unique Tenure'!D57-G57,'Unique Tenure'!F57))</f>
        <v>6947091</v>
      </c>
      <c r="I57" s="60">
        <f t="shared" si="24"/>
        <v>17046450</v>
      </c>
      <c r="J57" s="60">
        <f t="shared" si="25"/>
        <v>785798275</v>
      </c>
      <c r="K57" s="202">
        <f>J57/Input!$K$5</f>
        <v>2.6193275833333334</v>
      </c>
      <c r="L57" s="232"/>
      <c r="M57" s="60">
        <f>IF($B57&lt;Input!$H$43,IF($B57&lt;Input!$G$43,IF($B57&lt;Input!$F$43,IF($B57&lt;Input!$E$43,IF($B57&lt;Input!$D$43,Input!$C$49,Input!$D$49),Input!$E$49),Input!$F$49),Input!$G$49),Input!$H$49)</f>
        <v>18940500</v>
      </c>
      <c r="N57" s="190">
        <f>IF($A57&lt;Input!$H$50,IF($A57&lt;Input!$G$50,IF($A57&lt;Input!$F$50,IF($A57&lt;Input!$E$50,IF($A57&lt;Input!$D$50,Input!$C$51,Input!$D$51),Input!$E$51),Input!$F$51),Input!$G$51),Input!$H$51)</f>
        <v>0.9</v>
      </c>
      <c r="O57" s="60">
        <f t="shared" si="34"/>
        <v>17046450</v>
      </c>
      <c r="P57" s="60">
        <f t="shared" si="35"/>
        <v>31</v>
      </c>
      <c r="Q57" s="60">
        <f t="shared" si="2"/>
        <v>792745366</v>
      </c>
      <c r="R57" s="60">
        <f>ROUND(Q57*$P57*Input!$C$3/365,0)</f>
        <v>10099359</v>
      </c>
      <c r="S57" s="60">
        <f>IF(A57&lt;=Input!$C$6,0,IF('Unique Tenure'!O57&lt;'Unique Tenure'!Q57,'Unique Tenure'!O57-R57,'Unique Tenure'!Q57))</f>
        <v>6947091</v>
      </c>
      <c r="T57" s="60">
        <f t="shared" si="3"/>
        <v>17046450</v>
      </c>
      <c r="U57" s="60">
        <f t="shared" si="4"/>
        <v>785798275</v>
      </c>
      <c r="V57" s="193"/>
      <c r="W57" s="169">
        <v>53</v>
      </c>
      <c r="X57" s="1">
        <f t="shared" si="26"/>
        <v>47133</v>
      </c>
      <c r="Y57" s="60">
        <f>IF($X57&lt;Input!$H$58,IF($X57&lt;Input!$G$58,IF($X57&lt;Input!$F$58,IF($X57&lt;Input!$E$58,IF($X57&lt;Input!$D$58,Input!$C$64,Input!$D$64),Input!$E$64),Input!$F$64),Input!$G$64),Input!$H$64)</f>
        <v>0</v>
      </c>
      <c r="Z57" s="190">
        <f>IF($A57&lt;Input!$H$65,IF($A57&lt;Input!$G$65,IF($A57&lt;Input!$F$65,IF($A57&lt;Input!$E$65,IF($A57&lt;Input!$D$65,Input!$C$66,Input!$D$66),Input!$E$66),Input!$F$66),Input!$G$66),Input!$H$66)</f>
        <v>0.9</v>
      </c>
      <c r="AA57" s="60">
        <f t="shared" si="5"/>
        <v>0</v>
      </c>
      <c r="AB57" s="60">
        <f t="shared" si="27"/>
        <v>31</v>
      </c>
      <c r="AC57" s="60">
        <f t="shared" si="6"/>
        <v>0</v>
      </c>
      <c r="AD57" s="60">
        <f>ROUND(AC57*AB57*Input!$C$3/365,0)</f>
        <v>0</v>
      </c>
      <c r="AE57" s="61">
        <f>IF($A57&lt;=Input!$C$6,0,IF('Unique Tenure'!AA57&lt;'Unique Tenure'!AC57,'Unique Tenure'!AA57-AD57,'Unique Tenure'!AC57))</f>
        <v>0</v>
      </c>
      <c r="AF57" s="61">
        <f t="shared" si="7"/>
        <v>0</v>
      </c>
      <c r="AG57" s="60">
        <f t="shared" si="8"/>
        <v>0</v>
      </c>
      <c r="AH57" s="193"/>
      <c r="AI57" s="169">
        <v>53</v>
      </c>
      <c r="AJ57" s="1">
        <f t="shared" si="28"/>
        <v>47133</v>
      </c>
      <c r="AK57" s="60">
        <f>IF($X57&lt;Input!$H$73,IF($X57&lt;Input!$G$73,IF($X57&lt;Input!$F$73,IF($X57&lt;Input!$E$73,IF($X57&lt;Input!$D$73,Input!$C$79,Input!$D$79),Input!$E$79),Input!$F$79),Input!$G$79),Input!$H$79)</f>
        <v>0</v>
      </c>
      <c r="AL57" s="190">
        <f>IF($A57&lt;Input!$H$80,IF($A57&lt;Input!$G$80,IF($A57&lt;Input!$F$80,IF($A57&lt;Input!$E$80,IF($A57&lt;Input!$D$80,Input!$C$81,Input!$D$81),Input!$E$81),Input!$F$81),Input!$G$81),Input!$H$81)</f>
        <v>0.9</v>
      </c>
      <c r="AM57" s="60">
        <f t="shared" si="9"/>
        <v>0</v>
      </c>
      <c r="AN57" s="60">
        <f t="shared" si="29"/>
        <v>31</v>
      </c>
      <c r="AO57" s="60">
        <f t="shared" si="10"/>
        <v>0</v>
      </c>
      <c r="AP57" s="60">
        <f>ROUND(AO57*AN57*Input!$C$3/365,0)</f>
        <v>0</v>
      </c>
      <c r="AQ57" s="61">
        <f>IF($A57&lt;=Input!$C$6,0,IF('Unique Tenure'!AM57&lt;'Unique Tenure'!AO57,'Unique Tenure'!AM57-AP57,'Unique Tenure'!AO57))</f>
        <v>0</v>
      </c>
      <c r="AR57" s="61">
        <f t="shared" si="11"/>
        <v>0</v>
      </c>
      <c r="AS57" s="60">
        <f t="shared" si="12"/>
        <v>0</v>
      </c>
      <c r="AT57" s="193"/>
      <c r="AU57" s="169">
        <v>53</v>
      </c>
      <c r="AV57" s="1">
        <f t="shared" si="30"/>
        <v>47133</v>
      </c>
      <c r="AW57" s="60">
        <f>IF($X57&lt;Input!$H$88,IF($X57&lt;Input!$G$88,IF($X57&lt;Input!$F$88,IF($X57&lt;Input!$E$88,IF($X57&lt;Input!$D$88,Input!$C$94,Input!$D$94),Input!$E$94),Input!$F$94),Input!$G$94),Input!$H$94)</f>
        <v>0</v>
      </c>
      <c r="AX57" s="190">
        <f>IF($A57&lt;Input!$H$95,IF($A57&lt;Input!$G$95,IF($A57&lt;Input!$F$95,IF($A57&lt;Input!$E$95,IF($A57&lt;Input!$D$95,Input!$C$96,Input!$D$96),Input!$E$96),Input!$F$96),Input!$G$96),Input!$H$96)</f>
        <v>0.9</v>
      </c>
      <c r="AY57" s="60">
        <f t="shared" si="13"/>
        <v>0</v>
      </c>
      <c r="AZ57" s="60">
        <f t="shared" si="31"/>
        <v>31</v>
      </c>
      <c r="BA57" s="60">
        <f t="shared" si="14"/>
        <v>0</v>
      </c>
      <c r="BB57" s="60">
        <f>ROUND(BA57*AZ57*Input!$C$3/365,0)</f>
        <v>0</v>
      </c>
      <c r="BC57" s="61">
        <f>IF($A57&lt;=Input!$C$6,0,IF('Unique Tenure'!AY57&lt;'Unique Tenure'!BA57,'Unique Tenure'!AY57-BB57,'Unique Tenure'!BA57))</f>
        <v>0</v>
      </c>
      <c r="BD57" s="61">
        <f t="shared" si="15"/>
        <v>0</v>
      </c>
      <c r="BE57" s="60">
        <f t="shared" si="16"/>
        <v>0</v>
      </c>
      <c r="BF57" s="193"/>
      <c r="BG57" s="169">
        <v>53</v>
      </c>
      <c r="BH57" s="1">
        <f t="shared" si="32"/>
        <v>47133</v>
      </c>
      <c r="BI57" s="60">
        <f>IF($X57&lt;Input!$H$103,IF($X57&lt;Input!$G$103,IF($X57&lt;Input!$F$103,IF($X57&lt;Input!$E$103,IF($X57&lt;Input!$D$103,Input!$C$109,Input!$D$109),Input!$E$109),Input!$F$109),Input!$G$109),Input!$H$109)</f>
        <v>0</v>
      </c>
      <c r="BJ57" s="190">
        <f>IF($A57&lt;Input!$H$110,IF($A57&lt;Input!$G$110,IF($A57&lt;Input!$F$110,IF($A57&lt;Input!$E$110,IF($A57&lt;Input!$D$110,Input!$C$111,Input!$D$111),Input!$E$111),Input!$F$111),Input!$G$111),Input!$H$111)</f>
        <v>0.9</v>
      </c>
      <c r="BK57" s="60">
        <f t="shared" si="17"/>
        <v>0</v>
      </c>
      <c r="BL57" s="60">
        <f t="shared" si="33"/>
        <v>31</v>
      </c>
      <c r="BM57" s="60">
        <f t="shared" si="18"/>
        <v>0</v>
      </c>
      <c r="BN57" s="60">
        <f>ROUND(BM57*BL57*Input!$C$3/365,0)</f>
        <v>0</v>
      </c>
      <c r="BO57" s="61">
        <f>IF($A57&lt;=Input!$C$6,0,IF('Unique Tenure'!BK57&lt;'Unique Tenure'!BM57,'Unique Tenure'!BK57-BN57,'Unique Tenure'!BM57))</f>
        <v>0</v>
      </c>
      <c r="BP57" s="61">
        <f t="shared" si="19"/>
        <v>0</v>
      </c>
      <c r="BQ57" s="60">
        <f t="shared" si="20"/>
        <v>0</v>
      </c>
      <c r="BR57" s="198"/>
    </row>
    <row r="58" spans="1:70" s="51" customFormat="1" x14ac:dyDescent="0.25">
      <c r="A58" s="169">
        <v>54</v>
      </c>
      <c r="B58" s="1">
        <f t="shared" si="21"/>
        <v>47164</v>
      </c>
      <c r="C58" s="60">
        <f>SUM(
   IF(($A$4:$A$184 &lt;= Input!$D$16), M58, 0),
   IF(($A$4:$A$184 &lt;= Input!$E$16), Y58, 0),
   IF(($A$4:$A$184 &lt;= Input!$F$16), AK58, 0),
   IF(($A$4:$A$184 &lt;= Input!$G$16), AW58, 0),
   IF(($A$4:$A$184 &lt;= Input!$H$16), BI58, 0)
)</f>
        <v>18940500</v>
      </c>
      <c r="D58" s="60">
        <f>SUM(
   IF(($A$4:$A$184 &lt;= Input!$D$16), O58, 0),
   IF(($A$4:$A$184 &lt;= Input!$E$16), AA58, 0),
   IF(($A$4:$A$184 &lt;= Input!$F$16), AM58, 0),
   IF(($A$4:$A$184 &lt;= Input!$G$16), AY58, 0),
   IF(($A$4:$A$184 &lt;= Input!$H$16), BK58, 0)
)</f>
        <v>17046450</v>
      </c>
      <c r="E58" s="60">
        <f t="shared" si="22"/>
        <v>31</v>
      </c>
      <c r="F58" s="60">
        <f t="shared" si="23"/>
        <v>785798275</v>
      </c>
      <c r="G58" s="60">
        <f>ROUND(F58*E58*Input!$C$3/365,0)</f>
        <v>10010855</v>
      </c>
      <c r="H58" s="60">
        <f>IF($A58&lt;=Input!$C$6,0,IF('Unique Tenure'!D58&lt;'Unique Tenure'!F58,'Unique Tenure'!D58-G58,'Unique Tenure'!F58))</f>
        <v>7035595</v>
      </c>
      <c r="I58" s="60">
        <f t="shared" si="24"/>
        <v>17046450</v>
      </c>
      <c r="J58" s="60">
        <f t="shared" si="25"/>
        <v>778762680</v>
      </c>
      <c r="K58" s="202">
        <f>J58/Input!$K$5</f>
        <v>2.5958755999999998</v>
      </c>
      <c r="L58" s="232"/>
      <c r="M58" s="60">
        <f>IF($B58&lt;Input!$H$43,IF($B58&lt;Input!$G$43,IF($B58&lt;Input!$F$43,IF($B58&lt;Input!$E$43,IF($B58&lt;Input!$D$43,Input!$C$49,Input!$D$49),Input!$E$49),Input!$F$49),Input!$G$49),Input!$H$49)</f>
        <v>18940500</v>
      </c>
      <c r="N58" s="190">
        <f>IF($A58&lt;Input!$H$50,IF($A58&lt;Input!$G$50,IF($A58&lt;Input!$F$50,IF($A58&lt;Input!$E$50,IF($A58&lt;Input!$D$50,Input!$C$51,Input!$D$51),Input!$E$51),Input!$F$51),Input!$G$51),Input!$H$51)</f>
        <v>0.9</v>
      </c>
      <c r="O58" s="60">
        <f t="shared" si="34"/>
        <v>17046450</v>
      </c>
      <c r="P58" s="60">
        <f t="shared" si="35"/>
        <v>31</v>
      </c>
      <c r="Q58" s="60">
        <f t="shared" si="2"/>
        <v>785798275</v>
      </c>
      <c r="R58" s="60">
        <f>ROUND(Q58*$P58*Input!$C$3/365,0)</f>
        <v>10010855</v>
      </c>
      <c r="S58" s="60">
        <f>IF(A58&lt;=Input!$C$6,0,IF('Unique Tenure'!O58&lt;'Unique Tenure'!Q58,'Unique Tenure'!O58-R58,'Unique Tenure'!Q58))</f>
        <v>7035595</v>
      </c>
      <c r="T58" s="60">
        <f t="shared" si="3"/>
        <v>17046450</v>
      </c>
      <c r="U58" s="60">
        <f t="shared" si="4"/>
        <v>778762680</v>
      </c>
      <c r="V58" s="193"/>
      <c r="W58" s="169">
        <v>54</v>
      </c>
      <c r="X58" s="1">
        <f t="shared" si="26"/>
        <v>47164</v>
      </c>
      <c r="Y58" s="60">
        <f>IF($X58&lt;Input!$H$58,IF($X58&lt;Input!$G$58,IF($X58&lt;Input!$F$58,IF($X58&lt;Input!$E$58,IF($X58&lt;Input!$D$58,Input!$C$64,Input!$D$64),Input!$E$64),Input!$F$64),Input!$G$64),Input!$H$64)</f>
        <v>0</v>
      </c>
      <c r="Z58" s="190">
        <f>IF($A58&lt;Input!$H$65,IF($A58&lt;Input!$G$65,IF($A58&lt;Input!$F$65,IF($A58&lt;Input!$E$65,IF($A58&lt;Input!$D$65,Input!$C$66,Input!$D$66),Input!$E$66),Input!$F$66),Input!$G$66),Input!$H$66)</f>
        <v>0.9</v>
      </c>
      <c r="AA58" s="60">
        <f t="shared" si="5"/>
        <v>0</v>
      </c>
      <c r="AB58" s="60">
        <f t="shared" si="27"/>
        <v>31</v>
      </c>
      <c r="AC58" s="60">
        <f t="shared" si="6"/>
        <v>0</v>
      </c>
      <c r="AD58" s="60">
        <f>ROUND(AC58*AB58*Input!$C$3/365,0)</f>
        <v>0</v>
      </c>
      <c r="AE58" s="61">
        <f>IF($A58&lt;=Input!$C$6,0,IF('Unique Tenure'!AA58&lt;'Unique Tenure'!AC58,'Unique Tenure'!AA58-AD58,'Unique Tenure'!AC58))</f>
        <v>0</v>
      </c>
      <c r="AF58" s="61">
        <f t="shared" si="7"/>
        <v>0</v>
      </c>
      <c r="AG58" s="60">
        <f t="shared" si="8"/>
        <v>0</v>
      </c>
      <c r="AH58" s="193"/>
      <c r="AI58" s="169">
        <v>54</v>
      </c>
      <c r="AJ58" s="1">
        <f t="shared" si="28"/>
        <v>47164</v>
      </c>
      <c r="AK58" s="60">
        <f>IF($X58&lt;Input!$H$73,IF($X58&lt;Input!$G$73,IF($X58&lt;Input!$F$73,IF($X58&lt;Input!$E$73,IF($X58&lt;Input!$D$73,Input!$C$79,Input!$D$79),Input!$E$79),Input!$F$79),Input!$G$79),Input!$H$79)</f>
        <v>0</v>
      </c>
      <c r="AL58" s="190">
        <f>IF($A58&lt;Input!$H$80,IF($A58&lt;Input!$G$80,IF($A58&lt;Input!$F$80,IF($A58&lt;Input!$E$80,IF($A58&lt;Input!$D$80,Input!$C$81,Input!$D$81),Input!$E$81),Input!$F$81),Input!$G$81),Input!$H$81)</f>
        <v>0.9</v>
      </c>
      <c r="AM58" s="60">
        <f t="shared" si="9"/>
        <v>0</v>
      </c>
      <c r="AN58" s="60">
        <f t="shared" si="29"/>
        <v>31</v>
      </c>
      <c r="AO58" s="60">
        <f t="shared" si="10"/>
        <v>0</v>
      </c>
      <c r="AP58" s="60">
        <f>ROUND(AO58*AN58*Input!$C$3/365,0)</f>
        <v>0</v>
      </c>
      <c r="AQ58" s="61">
        <f>IF($A58&lt;=Input!$C$6,0,IF('Unique Tenure'!AM58&lt;'Unique Tenure'!AO58,'Unique Tenure'!AM58-AP58,'Unique Tenure'!AO58))</f>
        <v>0</v>
      </c>
      <c r="AR58" s="61">
        <f t="shared" si="11"/>
        <v>0</v>
      </c>
      <c r="AS58" s="60">
        <f t="shared" si="12"/>
        <v>0</v>
      </c>
      <c r="AT58" s="193"/>
      <c r="AU58" s="169">
        <v>54</v>
      </c>
      <c r="AV58" s="1">
        <f t="shared" si="30"/>
        <v>47164</v>
      </c>
      <c r="AW58" s="60">
        <f>IF($X58&lt;Input!$H$88,IF($X58&lt;Input!$G$88,IF($X58&lt;Input!$F$88,IF($X58&lt;Input!$E$88,IF($X58&lt;Input!$D$88,Input!$C$94,Input!$D$94),Input!$E$94),Input!$F$94),Input!$G$94),Input!$H$94)</f>
        <v>0</v>
      </c>
      <c r="AX58" s="190">
        <f>IF($A58&lt;Input!$H$95,IF($A58&lt;Input!$G$95,IF($A58&lt;Input!$F$95,IF($A58&lt;Input!$E$95,IF($A58&lt;Input!$D$95,Input!$C$96,Input!$D$96),Input!$E$96),Input!$F$96),Input!$G$96),Input!$H$96)</f>
        <v>0.9</v>
      </c>
      <c r="AY58" s="60">
        <f t="shared" si="13"/>
        <v>0</v>
      </c>
      <c r="AZ58" s="60">
        <f t="shared" si="31"/>
        <v>31</v>
      </c>
      <c r="BA58" s="60">
        <f t="shared" si="14"/>
        <v>0</v>
      </c>
      <c r="BB58" s="60">
        <f>ROUND(BA58*AZ58*Input!$C$3/365,0)</f>
        <v>0</v>
      </c>
      <c r="BC58" s="61">
        <f>IF($A58&lt;=Input!$C$6,0,IF('Unique Tenure'!AY58&lt;'Unique Tenure'!BA58,'Unique Tenure'!AY58-BB58,'Unique Tenure'!BA58))</f>
        <v>0</v>
      </c>
      <c r="BD58" s="61">
        <f t="shared" si="15"/>
        <v>0</v>
      </c>
      <c r="BE58" s="60">
        <f t="shared" si="16"/>
        <v>0</v>
      </c>
      <c r="BF58" s="193"/>
      <c r="BG58" s="169">
        <v>54</v>
      </c>
      <c r="BH58" s="1">
        <f t="shared" si="32"/>
        <v>47164</v>
      </c>
      <c r="BI58" s="60">
        <f>IF($X58&lt;Input!$H$103,IF($X58&lt;Input!$G$103,IF($X58&lt;Input!$F$103,IF($X58&lt;Input!$E$103,IF($X58&lt;Input!$D$103,Input!$C$109,Input!$D$109),Input!$E$109),Input!$F$109),Input!$G$109),Input!$H$109)</f>
        <v>0</v>
      </c>
      <c r="BJ58" s="190">
        <f>IF($A58&lt;Input!$H$110,IF($A58&lt;Input!$G$110,IF($A58&lt;Input!$F$110,IF($A58&lt;Input!$E$110,IF($A58&lt;Input!$D$110,Input!$C$111,Input!$D$111),Input!$E$111),Input!$F$111),Input!$G$111),Input!$H$111)</f>
        <v>0.9</v>
      </c>
      <c r="BK58" s="60">
        <f t="shared" si="17"/>
        <v>0</v>
      </c>
      <c r="BL58" s="60">
        <f t="shared" si="33"/>
        <v>31</v>
      </c>
      <c r="BM58" s="60">
        <f t="shared" si="18"/>
        <v>0</v>
      </c>
      <c r="BN58" s="60">
        <f>ROUND(BM58*BL58*Input!$C$3/365,0)</f>
        <v>0</v>
      </c>
      <c r="BO58" s="61">
        <f>IF($A58&lt;=Input!$C$6,0,IF('Unique Tenure'!BK58&lt;'Unique Tenure'!BM58,'Unique Tenure'!BK58-BN58,'Unique Tenure'!BM58))</f>
        <v>0</v>
      </c>
      <c r="BP58" s="61">
        <f t="shared" si="19"/>
        <v>0</v>
      </c>
      <c r="BQ58" s="60">
        <f t="shared" si="20"/>
        <v>0</v>
      </c>
      <c r="BR58" s="198"/>
    </row>
    <row r="59" spans="1:70" s="51" customFormat="1" x14ac:dyDescent="0.25">
      <c r="A59" s="169">
        <v>55</v>
      </c>
      <c r="B59" s="1">
        <f t="shared" si="21"/>
        <v>47192</v>
      </c>
      <c r="C59" s="60">
        <f>SUM(
   IF(($A$4:$A$184 &lt;= Input!$D$16), M59, 0),
   IF(($A$4:$A$184 &lt;= Input!$E$16), Y59, 0),
   IF(($A$4:$A$184 &lt;= Input!$F$16), AK59, 0),
   IF(($A$4:$A$184 &lt;= Input!$G$16), AW59, 0),
   IF(($A$4:$A$184 &lt;= Input!$H$16), BI59, 0)
)</f>
        <v>18940500</v>
      </c>
      <c r="D59" s="60">
        <f>SUM(
   IF(($A$4:$A$184 &lt;= Input!$D$16), O59, 0),
   IF(($A$4:$A$184 &lt;= Input!$E$16), AA59, 0),
   IF(($A$4:$A$184 &lt;= Input!$F$16), AM59, 0),
   IF(($A$4:$A$184 &lt;= Input!$G$16), AY59, 0),
   IF(($A$4:$A$184 &lt;= Input!$H$16), BK59, 0)
)</f>
        <v>17046450</v>
      </c>
      <c r="E59" s="60">
        <f t="shared" si="22"/>
        <v>28</v>
      </c>
      <c r="F59" s="60">
        <f t="shared" si="23"/>
        <v>778762680</v>
      </c>
      <c r="G59" s="60">
        <f>ROUND(F59*E59*Input!$C$3/365,0)</f>
        <v>8961105</v>
      </c>
      <c r="H59" s="60">
        <f>IF($A59&lt;=Input!$C$6,0,IF('Unique Tenure'!D59&lt;'Unique Tenure'!F59,'Unique Tenure'!D59-G59,'Unique Tenure'!F59))</f>
        <v>8085345</v>
      </c>
      <c r="I59" s="60">
        <f t="shared" si="24"/>
        <v>17046450</v>
      </c>
      <c r="J59" s="60">
        <f t="shared" si="25"/>
        <v>770677335</v>
      </c>
      <c r="K59" s="202">
        <f>J59/Input!$K$5</f>
        <v>2.5689244499999999</v>
      </c>
      <c r="L59" s="232"/>
      <c r="M59" s="60">
        <f>IF($B59&lt;Input!$H$43,IF($B59&lt;Input!$G$43,IF($B59&lt;Input!$F$43,IF($B59&lt;Input!$E$43,IF($B59&lt;Input!$D$43,Input!$C$49,Input!$D$49),Input!$E$49),Input!$F$49),Input!$G$49),Input!$H$49)</f>
        <v>18940500</v>
      </c>
      <c r="N59" s="190">
        <f>IF($A59&lt;Input!$H$50,IF($A59&lt;Input!$G$50,IF($A59&lt;Input!$F$50,IF($A59&lt;Input!$E$50,IF($A59&lt;Input!$D$50,Input!$C$51,Input!$D$51),Input!$E$51),Input!$F$51),Input!$G$51),Input!$H$51)</f>
        <v>0.9</v>
      </c>
      <c r="O59" s="60">
        <f t="shared" si="34"/>
        <v>17046450</v>
      </c>
      <c r="P59" s="60">
        <f t="shared" si="35"/>
        <v>28</v>
      </c>
      <c r="Q59" s="60">
        <f t="shared" si="2"/>
        <v>778762680</v>
      </c>
      <c r="R59" s="60">
        <f>ROUND(Q59*$P59*Input!$C$3/365,0)</f>
        <v>8961105</v>
      </c>
      <c r="S59" s="60">
        <f>IF(A59&lt;=Input!$C$6,0,IF('Unique Tenure'!O59&lt;'Unique Tenure'!Q59,'Unique Tenure'!O59-R59,'Unique Tenure'!Q59))</f>
        <v>8085345</v>
      </c>
      <c r="T59" s="60">
        <f t="shared" si="3"/>
        <v>17046450</v>
      </c>
      <c r="U59" s="60">
        <f t="shared" si="4"/>
        <v>770677335</v>
      </c>
      <c r="V59" s="193"/>
      <c r="W59" s="169">
        <v>55</v>
      </c>
      <c r="X59" s="1">
        <f t="shared" si="26"/>
        <v>47192</v>
      </c>
      <c r="Y59" s="60">
        <f>IF($X59&lt;Input!$H$58,IF($X59&lt;Input!$G$58,IF($X59&lt;Input!$F$58,IF($X59&lt;Input!$E$58,IF($X59&lt;Input!$D$58,Input!$C$64,Input!$D$64),Input!$E$64),Input!$F$64),Input!$G$64),Input!$H$64)</f>
        <v>0</v>
      </c>
      <c r="Z59" s="190">
        <f>IF($A59&lt;Input!$H$65,IF($A59&lt;Input!$G$65,IF($A59&lt;Input!$F$65,IF($A59&lt;Input!$E$65,IF($A59&lt;Input!$D$65,Input!$C$66,Input!$D$66),Input!$E$66),Input!$F$66),Input!$G$66),Input!$H$66)</f>
        <v>0.9</v>
      </c>
      <c r="AA59" s="60">
        <f t="shared" si="5"/>
        <v>0</v>
      </c>
      <c r="AB59" s="60">
        <f t="shared" si="27"/>
        <v>28</v>
      </c>
      <c r="AC59" s="60">
        <f t="shared" si="6"/>
        <v>0</v>
      </c>
      <c r="AD59" s="60">
        <f>ROUND(AC59*AB59*Input!$C$3/365,0)</f>
        <v>0</v>
      </c>
      <c r="AE59" s="61">
        <f>IF($A59&lt;=Input!$C$6,0,IF('Unique Tenure'!AA59&lt;'Unique Tenure'!AC59,'Unique Tenure'!AA59-AD59,'Unique Tenure'!AC59))</f>
        <v>0</v>
      </c>
      <c r="AF59" s="61">
        <f t="shared" si="7"/>
        <v>0</v>
      </c>
      <c r="AG59" s="60">
        <f t="shared" si="8"/>
        <v>0</v>
      </c>
      <c r="AH59" s="193"/>
      <c r="AI59" s="169">
        <v>55</v>
      </c>
      <c r="AJ59" s="1">
        <f t="shared" si="28"/>
        <v>47192</v>
      </c>
      <c r="AK59" s="60">
        <f>IF($X59&lt;Input!$H$73,IF($X59&lt;Input!$G$73,IF($X59&lt;Input!$F$73,IF($X59&lt;Input!$E$73,IF($X59&lt;Input!$D$73,Input!$C$79,Input!$D$79),Input!$E$79),Input!$F$79),Input!$G$79),Input!$H$79)</f>
        <v>0</v>
      </c>
      <c r="AL59" s="190">
        <f>IF($A59&lt;Input!$H$80,IF($A59&lt;Input!$G$80,IF($A59&lt;Input!$F$80,IF($A59&lt;Input!$E$80,IF($A59&lt;Input!$D$80,Input!$C$81,Input!$D$81),Input!$E$81),Input!$F$81),Input!$G$81),Input!$H$81)</f>
        <v>0.9</v>
      </c>
      <c r="AM59" s="60">
        <f t="shared" si="9"/>
        <v>0</v>
      </c>
      <c r="AN59" s="60">
        <f t="shared" si="29"/>
        <v>28</v>
      </c>
      <c r="AO59" s="60">
        <f t="shared" si="10"/>
        <v>0</v>
      </c>
      <c r="AP59" s="60">
        <f>ROUND(AO59*AN59*Input!$C$3/365,0)</f>
        <v>0</v>
      </c>
      <c r="AQ59" s="61">
        <f>IF($A59&lt;=Input!$C$6,0,IF('Unique Tenure'!AM59&lt;'Unique Tenure'!AO59,'Unique Tenure'!AM59-AP59,'Unique Tenure'!AO59))</f>
        <v>0</v>
      </c>
      <c r="AR59" s="61">
        <f t="shared" si="11"/>
        <v>0</v>
      </c>
      <c r="AS59" s="60">
        <f t="shared" si="12"/>
        <v>0</v>
      </c>
      <c r="AT59" s="193"/>
      <c r="AU59" s="169">
        <v>55</v>
      </c>
      <c r="AV59" s="1">
        <f t="shared" si="30"/>
        <v>47192</v>
      </c>
      <c r="AW59" s="60">
        <f>IF($X59&lt;Input!$H$88,IF($X59&lt;Input!$G$88,IF($X59&lt;Input!$F$88,IF($X59&lt;Input!$E$88,IF($X59&lt;Input!$D$88,Input!$C$94,Input!$D$94),Input!$E$94),Input!$F$94),Input!$G$94),Input!$H$94)</f>
        <v>0</v>
      </c>
      <c r="AX59" s="190">
        <f>IF($A59&lt;Input!$H$95,IF($A59&lt;Input!$G$95,IF($A59&lt;Input!$F$95,IF($A59&lt;Input!$E$95,IF($A59&lt;Input!$D$95,Input!$C$96,Input!$D$96),Input!$E$96),Input!$F$96),Input!$G$96),Input!$H$96)</f>
        <v>0.9</v>
      </c>
      <c r="AY59" s="60">
        <f t="shared" si="13"/>
        <v>0</v>
      </c>
      <c r="AZ59" s="60">
        <f t="shared" si="31"/>
        <v>28</v>
      </c>
      <c r="BA59" s="60">
        <f t="shared" si="14"/>
        <v>0</v>
      </c>
      <c r="BB59" s="60">
        <f>ROUND(BA59*AZ59*Input!$C$3/365,0)</f>
        <v>0</v>
      </c>
      <c r="BC59" s="61">
        <f>IF($A59&lt;=Input!$C$6,0,IF('Unique Tenure'!AY59&lt;'Unique Tenure'!BA59,'Unique Tenure'!AY59-BB59,'Unique Tenure'!BA59))</f>
        <v>0</v>
      </c>
      <c r="BD59" s="61">
        <f t="shared" si="15"/>
        <v>0</v>
      </c>
      <c r="BE59" s="60">
        <f t="shared" si="16"/>
        <v>0</v>
      </c>
      <c r="BF59" s="193"/>
      <c r="BG59" s="169">
        <v>55</v>
      </c>
      <c r="BH59" s="1">
        <f t="shared" si="32"/>
        <v>47192</v>
      </c>
      <c r="BI59" s="60">
        <f>IF($X59&lt;Input!$H$103,IF($X59&lt;Input!$G$103,IF($X59&lt;Input!$F$103,IF($X59&lt;Input!$E$103,IF($X59&lt;Input!$D$103,Input!$C$109,Input!$D$109),Input!$E$109),Input!$F$109),Input!$G$109),Input!$H$109)</f>
        <v>0</v>
      </c>
      <c r="BJ59" s="190">
        <f>IF($A59&lt;Input!$H$110,IF($A59&lt;Input!$G$110,IF($A59&lt;Input!$F$110,IF($A59&lt;Input!$E$110,IF($A59&lt;Input!$D$110,Input!$C$111,Input!$D$111),Input!$E$111),Input!$F$111),Input!$G$111),Input!$H$111)</f>
        <v>0.9</v>
      </c>
      <c r="BK59" s="60">
        <f t="shared" si="17"/>
        <v>0</v>
      </c>
      <c r="BL59" s="60">
        <f t="shared" si="33"/>
        <v>28</v>
      </c>
      <c r="BM59" s="60">
        <f t="shared" si="18"/>
        <v>0</v>
      </c>
      <c r="BN59" s="60">
        <f>ROUND(BM59*BL59*Input!$C$3/365,0)</f>
        <v>0</v>
      </c>
      <c r="BO59" s="61">
        <f>IF($A59&lt;=Input!$C$6,0,IF('Unique Tenure'!BK59&lt;'Unique Tenure'!BM59,'Unique Tenure'!BK59-BN59,'Unique Tenure'!BM59))</f>
        <v>0</v>
      </c>
      <c r="BP59" s="61">
        <f t="shared" si="19"/>
        <v>0</v>
      </c>
      <c r="BQ59" s="60">
        <f t="shared" si="20"/>
        <v>0</v>
      </c>
      <c r="BR59" s="198"/>
    </row>
    <row r="60" spans="1:70" s="51" customFormat="1" x14ac:dyDescent="0.25">
      <c r="A60" s="169">
        <v>56</v>
      </c>
      <c r="B60" s="1">
        <f t="shared" si="21"/>
        <v>47223</v>
      </c>
      <c r="C60" s="60">
        <f>SUM(
   IF(($A$4:$A$184 &lt;= Input!$D$16), M60, 0),
   IF(($A$4:$A$184 &lt;= Input!$E$16), Y60, 0),
   IF(($A$4:$A$184 &lt;= Input!$F$16), AK60, 0),
   IF(($A$4:$A$184 &lt;= Input!$G$16), AW60, 0),
   IF(($A$4:$A$184 &lt;= Input!$H$16), BI60, 0)
)</f>
        <v>18940500</v>
      </c>
      <c r="D60" s="60">
        <f>SUM(
   IF(($A$4:$A$184 &lt;= Input!$D$16), O60, 0),
   IF(($A$4:$A$184 &lt;= Input!$E$16), AA60, 0),
   IF(($A$4:$A$184 &lt;= Input!$F$16), AM60, 0),
   IF(($A$4:$A$184 &lt;= Input!$G$16), AY60, 0),
   IF(($A$4:$A$184 &lt;= Input!$H$16), BK60, 0)
)</f>
        <v>17046450</v>
      </c>
      <c r="E60" s="60">
        <f t="shared" si="22"/>
        <v>31</v>
      </c>
      <c r="F60" s="60">
        <f t="shared" si="23"/>
        <v>770677335</v>
      </c>
      <c r="G60" s="60">
        <f>ROUND(F60*E60*Input!$C$3/365,0)</f>
        <v>9818218</v>
      </c>
      <c r="H60" s="60">
        <f>IF($A60&lt;=Input!$C$6,0,IF('Unique Tenure'!D60&lt;'Unique Tenure'!F60,'Unique Tenure'!D60-G60,'Unique Tenure'!F60))</f>
        <v>7228232</v>
      </c>
      <c r="I60" s="60">
        <f t="shared" si="24"/>
        <v>17046450</v>
      </c>
      <c r="J60" s="60">
        <f t="shared" si="25"/>
        <v>763449103</v>
      </c>
      <c r="K60" s="202">
        <f>J60/Input!$K$5</f>
        <v>2.5448303433333335</v>
      </c>
      <c r="L60" s="232"/>
      <c r="M60" s="60">
        <f>IF($B60&lt;Input!$H$43,IF($B60&lt;Input!$G$43,IF($B60&lt;Input!$F$43,IF($B60&lt;Input!$E$43,IF($B60&lt;Input!$D$43,Input!$C$49,Input!$D$49),Input!$E$49),Input!$F$49),Input!$G$49),Input!$H$49)</f>
        <v>18940500</v>
      </c>
      <c r="N60" s="190">
        <f>IF($A60&lt;Input!$H$50,IF($A60&lt;Input!$G$50,IF($A60&lt;Input!$F$50,IF($A60&lt;Input!$E$50,IF($A60&lt;Input!$D$50,Input!$C$51,Input!$D$51),Input!$E$51),Input!$F$51),Input!$G$51),Input!$H$51)</f>
        <v>0.9</v>
      </c>
      <c r="O60" s="60">
        <f t="shared" si="34"/>
        <v>17046450</v>
      </c>
      <c r="P60" s="60">
        <f t="shared" si="35"/>
        <v>31</v>
      </c>
      <c r="Q60" s="60">
        <f t="shared" si="2"/>
        <v>770677335</v>
      </c>
      <c r="R60" s="60">
        <f>ROUND(Q60*$P60*Input!$C$3/365,0)</f>
        <v>9818218</v>
      </c>
      <c r="S60" s="60">
        <f>IF(A60&lt;=Input!$C$6,0,IF('Unique Tenure'!O60&lt;'Unique Tenure'!Q60,'Unique Tenure'!O60-R60,'Unique Tenure'!Q60))</f>
        <v>7228232</v>
      </c>
      <c r="T60" s="60">
        <f t="shared" si="3"/>
        <v>17046450</v>
      </c>
      <c r="U60" s="60">
        <f t="shared" si="4"/>
        <v>763449103</v>
      </c>
      <c r="V60" s="193"/>
      <c r="W60" s="169">
        <v>56</v>
      </c>
      <c r="X60" s="1">
        <f t="shared" si="26"/>
        <v>47223</v>
      </c>
      <c r="Y60" s="60">
        <f>IF($X60&lt;Input!$H$58,IF($X60&lt;Input!$G$58,IF($X60&lt;Input!$F$58,IF($X60&lt;Input!$E$58,IF($X60&lt;Input!$D$58,Input!$C$64,Input!$D$64),Input!$E$64),Input!$F$64),Input!$G$64),Input!$H$64)</f>
        <v>0</v>
      </c>
      <c r="Z60" s="190">
        <f>IF($A60&lt;Input!$H$65,IF($A60&lt;Input!$G$65,IF($A60&lt;Input!$F$65,IF($A60&lt;Input!$E$65,IF($A60&lt;Input!$D$65,Input!$C$66,Input!$D$66),Input!$E$66),Input!$F$66),Input!$G$66),Input!$H$66)</f>
        <v>0.9</v>
      </c>
      <c r="AA60" s="60">
        <f t="shared" si="5"/>
        <v>0</v>
      </c>
      <c r="AB60" s="60">
        <f t="shared" si="27"/>
        <v>31</v>
      </c>
      <c r="AC60" s="60">
        <f t="shared" si="6"/>
        <v>0</v>
      </c>
      <c r="AD60" s="60">
        <f>ROUND(AC60*AB60*Input!$C$3/365,0)</f>
        <v>0</v>
      </c>
      <c r="AE60" s="61">
        <f>IF($A60&lt;=Input!$C$6,0,IF('Unique Tenure'!AA60&lt;'Unique Tenure'!AC60,'Unique Tenure'!AA60-AD60,'Unique Tenure'!AC60))</f>
        <v>0</v>
      </c>
      <c r="AF60" s="61">
        <f t="shared" si="7"/>
        <v>0</v>
      </c>
      <c r="AG60" s="60">
        <f t="shared" si="8"/>
        <v>0</v>
      </c>
      <c r="AH60" s="193"/>
      <c r="AI60" s="169">
        <v>56</v>
      </c>
      <c r="AJ60" s="1">
        <f t="shared" si="28"/>
        <v>47223</v>
      </c>
      <c r="AK60" s="60">
        <f>IF($X60&lt;Input!$H$73,IF($X60&lt;Input!$G$73,IF($X60&lt;Input!$F$73,IF($X60&lt;Input!$E$73,IF($X60&lt;Input!$D$73,Input!$C$79,Input!$D$79),Input!$E$79),Input!$F$79),Input!$G$79),Input!$H$79)</f>
        <v>0</v>
      </c>
      <c r="AL60" s="190">
        <f>IF($A60&lt;Input!$H$80,IF($A60&lt;Input!$G$80,IF($A60&lt;Input!$F$80,IF($A60&lt;Input!$E$80,IF($A60&lt;Input!$D$80,Input!$C$81,Input!$D$81),Input!$E$81),Input!$F$81),Input!$G$81),Input!$H$81)</f>
        <v>0.9</v>
      </c>
      <c r="AM60" s="60">
        <f t="shared" si="9"/>
        <v>0</v>
      </c>
      <c r="AN60" s="60">
        <f t="shared" si="29"/>
        <v>31</v>
      </c>
      <c r="AO60" s="60">
        <f t="shared" si="10"/>
        <v>0</v>
      </c>
      <c r="AP60" s="60">
        <f>ROUND(AO60*AN60*Input!$C$3/365,0)</f>
        <v>0</v>
      </c>
      <c r="AQ60" s="61">
        <f>IF($A60&lt;=Input!$C$6,0,IF('Unique Tenure'!AM60&lt;'Unique Tenure'!AO60,'Unique Tenure'!AM60-AP60,'Unique Tenure'!AO60))</f>
        <v>0</v>
      </c>
      <c r="AR60" s="61">
        <f t="shared" si="11"/>
        <v>0</v>
      </c>
      <c r="AS60" s="60">
        <f t="shared" si="12"/>
        <v>0</v>
      </c>
      <c r="AT60" s="193"/>
      <c r="AU60" s="169">
        <v>56</v>
      </c>
      <c r="AV60" s="1">
        <f t="shared" si="30"/>
        <v>47223</v>
      </c>
      <c r="AW60" s="60">
        <f>IF($X60&lt;Input!$H$88,IF($X60&lt;Input!$G$88,IF($X60&lt;Input!$F$88,IF($X60&lt;Input!$E$88,IF($X60&lt;Input!$D$88,Input!$C$94,Input!$D$94),Input!$E$94),Input!$F$94),Input!$G$94),Input!$H$94)</f>
        <v>0</v>
      </c>
      <c r="AX60" s="190">
        <f>IF($A60&lt;Input!$H$95,IF($A60&lt;Input!$G$95,IF($A60&lt;Input!$F$95,IF($A60&lt;Input!$E$95,IF($A60&lt;Input!$D$95,Input!$C$96,Input!$D$96),Input!$E$96),Input!$F$96),Input!$G$96),Input!$H$96)</f>
        <v>0.9</v>
      </c>
      <c r="AY60" s="60">
        <f t="shared" si="13"/>
        <v>0</v>
      </c>
      <c r="AZ60" s="60">
        <f t="shared" si="31"/>
        <v>31</v>
      </c>
      <c r="BA60" s="60">
        <f t="shared" si="14"/>
        <v>0</v>
      </c>
      <c r="BB60" s="60">
        <f>ROUND(BA60*AZ60*Input!$C$3/365,0)</f>
        <v>0</v>
      </c>
      <c r="BC60" s="61">
        <f>IF($A60&lt;=Input!$C$6,0,IF('Unique Tenure'!AY60&lt;'Unique Tenure'!BA60,'Unique Tenure'!AY60-BB60,'Unique Tenure'!BA60))</f>
        <v>0</v>
      </c>
      <c r="BD60" s="61">
        <f t="shared" si="15"/>
        <v>0</v>
      </c>
      <c r="BE60" s="60">
        <f t="shared" si="16"/>
        <v>0</v>
      </c>
      <c r="BF60" s="193"/>
      <c r="BG60" s="169">
        <v>56</v>
      </c>
      <c r="BH60" s="1">
        <f t="shared" si="32"/>
        <v>47223</v>
      </c>
      <c r="BI60" s="60">
        <f>IF($X60&lt;Input!$H$103,IF($X60&lt;Input!$G$103,IF($X60&lt;Input!$F$103,IF($X60&lt;Input!$E$103,IF($X60&lt;Input!$D$103,Input!$C$109,Input!$D$109),Input!$E$109),Input!$F$109),Input!$G$109),Input!$H$109)</f>
        <v>0</v>
      </c>
      <c r="BJ60" s="190">
        <f>IF($A60&lt;Input!$H$110,IF($A60&lt;Input!$G$110,IF($A60&lt;Input!$F$110,IF($A60&lt;Input!$E$110,IF($A60&lt;Input!$D$110,Input!$C$111,Input!$D$111),Input!$E$111),Input!$F$111),Input!$G$111),Input!$H$111)</f>
        <v>0.9</v>
      </c>
      <c r="BK60" s="60">
        <f t="shared" si="17"/>
        <v>0</v>
      </c>
      <c r="BL60" s="60">
        <f t="shared" si="33"/>
        <v>31</v>
      </c>
      <c r="BM60" s="60">
        <f t="shared" si="18"/>
        <v>0</v>
      </c>
      <c r="BN60" s="60">
        <f>ROUND(BM60*BL60*Input!$C$3/365,0)</f>
        <v>0</v>
      </c>
      <c r="BO60" s="61">
        <f>IF($A60&lt;=Input!$C$6,0,IF('Unique Tenure'!BK60&lt;'Unique Tenure'!BM60,'Unique Tenure'!BK60-BN60,'Unique Tenure'!BM60))</f>
        <v>0</v>
      </c>
      <c r="BP60" s="61">
        <f t="shared" si="19"/>
        <v>0</v>
      </c>
      <c r="BQ60" s="60">
        <f t="shared" si="20"/>
        <v>0</v>
      </c>
      <c r="BR60" s="198"/>
    </row>
    <row r="61" spans="1:70" s="51" customFormat="1" x14ac:dyDescent="0.25">
      <c r="A61" s="169">
        <v>57</v>
      </c>
      <c r="B61" s="1">
        <f t="shared" si="21"/>
        <v>47253</v>
      </c>
      <c r="C61" s="60">
        <f>SUM(
   IF(($A$4:$A$184 &lt;= Input!$D$16), M61, 0),
   IF(($A$4:$A$184 &lt;= Input!$E$16), Y61, 0),
   IF(($A$4:$A$184 &lt;= Input!$F$16), AK61, 0),
   IF(($A$4:$A$184 &lt;= Input!$G$16), AW61, 0),
   IF(($A$4:$A$184 &lt;= Input!$H$16), BI61, 0)
)</f>
        <v>18940500</v>
      </c>
      <c r="D61" s="60">
        <f>SUM(
   IF(($A$4:$A$184 &lt;= Input!$D$16), O61, 0),
   IF(($A$4:$A$184 &lt;= Input!$E$16), AA61, 0),
   IF(($A$4:$A$184 &lt;= Input!$F$16), AM61, 0),
   IF(($A$4:$A$184 &lt;= Input!$G$16), AY61, 0),
   IF(($A$4:$A$184 &lt;= Input!$H$16), BK61, 0)
)</f>
        <v>17046450</v>
      </c>
      <c r="E61" s="60">
        <f t="shared" si="22"/>
        <v>30</v>
      </c>
      <c r="F61" s="60">
        <f t="shared" si="23"/>
        <v>763449103</v>
      </c>
      <c r="G61" s="60">
        <f>ROUND(F61*E61*Input!$C$3/365,0)</f>
        <v>9412386</v>
      </c>
      <c r="H61" s="60">
        <f>IF($A61&lt;=Input!$C$6,0,IF('Unique Tenure'!D61&lt;'Unique Tenure'!F61,'Unique Tenure'!D61-G61,'Unique Tenure'!F61))</f>
        <v>7634064</v>
      </c>
      <c r="I61" s="60">
        <f t="shared" si="24"/>
        <v>17046450</v>
      </c>
      <c r="J61" s="60">
        <f t="shared" si="25"/>
        <v>755815039</v>
      </c>
      <c r="K61" s="202">
        <f>J61/Input!$K$5</f>
        <v>2.5193834633333334</v>
      </c>
      <c r="L61" s="232"/>
      <c r="M61" s="60">
        <f>IF($B61&lt;Input!$H$43,IF($B61&lt;Input!$G$43,IF($B61&lt;Input!$F$43,IF($B61&lt;Input!$E$43,IF($B61&lt;Input!$D$43,Input!$C$49,Input!$D$49),Input!$E$49),Input!$F$49),Input!$G$49),Input!$H$49)</f>
        <v>18940500</v>
      </c>
      <c r="N61" s="190">
        <f>IF($A61&lt;Input!$H$50,IF($A61&lt;Input!$G$50,IF($A61&lt;Input!$F$50,IF($A61&lt;Input!$E$50,IF($A61&lt;Input!$D$50,Input!$C$51,Input!$D$51),Input!$E$51),Input!$F$51),Input!$G$51),Input!$H$51)</f>
        <v>0.9</v>
      </c>
      <c r="O61" s="60">
        <f t="shared" si="34"/>
        <v>17046450</v>
      </c>
      <c r="P61" s="60">
        <f t="shared" si="35"/>
        <v>30</v>
      </c>
      <c r="Q61" s="60">
        <f t="shared" si="2"/>
        <v>763449103</v>
      </c>
      <c r="R61" s="60">
        <f>ROUND(Q61*$P61*Input!$C$3/365,0)</f>
        <v>9412386</v>
      </c>
      <c r="S61" s="60">
        <f>IF(A61&lt;=Input!$C$6,0,IF('Unique Tenure'!O61&lt;'Unique Tenure'!Q61,'Unique Tenure'!O61-R61,'Unique Tenure'!Q61))</f>
        <v>7634064</v>
      </c>
      <c r="T61" s="60">
        <f t="shared" si="3"/>
        <v>17046450</v>
      </c>
      <c r="U61" s="60">
        <f t="shared" si="4"/>
        <v>755815039</v>
      </c>
      <c r="V61" s="193"/>
      <c r="W61" s="169">
        <v>57</v>
      </c>
      <c r="X61" s="1">
        <f t="shared" si="26"/>
        <v>47253</v>
      </c>
      <c r="Y61" s="60">
        <f>IF($X61&lt;Input!$H$58,IF($X61&lt;Input!$G$58,IF($X61&lt;Input!$F$58,IF($X61&lt;Input!$E$58,IF($X61&lt;Input!$D$58,Input!$C$64,Input!$D$64),Input!$E$64),Input!$F$64),Input!$G$64),Input!$H$64)</f>
        <v>0</v>
      </c>
      <c r="Z61" s="190">
        <f>IF($A61&lt;Input!$H$65,IF($A61&lt;Input!$G$65,IF($A61&lt;Input!$F$65,IF($A61&lt;Input!$E$65,IF($A61&lt;Input!$D$65,Input!$C$66,Input!$D$66),Input!$E$66),Input!$F$66),Input!$G$66),Input!$H$66)</f>
        <v>0.9</v>
      </c>
      <c r="AA61" s="60">
        <f t="shared" si="5"/>
        <v>0</v>
      </c>
      <c r="AB61" s="60">
        <f t="shared" si="27"/>
        <v>30</v>
      </c>
      <c r="AC61" s="60">
        <f t="shared" si="6"/>
        <v>0</v>
      </c>
      <c r="AD61" s="60">
        <f>ROUND(AC61*AB61*Input!$C$3/365,0)</f>
        <v>0</v>
      </c>
      <c r="AE61" s="61">
        <f>IF($A61&lt;=Input!$C$6,0,IF('Unique Tenure'!AA61&lt;'Unique Tenure'!AC61,'Unique Tenure'!AA61-AD61,'Unique Tenure'!AC61))</f>
        <v>0</v>
      </c>
      <c r="AF61" s="61">
        <f t="shared" si="7"/>
        <v>0</v>
      </c>
      <c r="AG61" s="60">
        <f t="shared" si="8"/>
        <v>0</v>
      </c>
      <c r="AH61" s="193"/>
      <c r="AI61" s="169">
        <v>57</v>
      </c>
      <c r="AJ61" s="1">
        <f t="shared" si="28"/>
        <v>47253</v>
      </c>
      <c r="AK61" s="60">
        <f>IF($X61&lt;Input!$H$73,IF($X61&lt;Input!$G$73,IF($X61&lt;Input!$F$73,IF($X61&lt;Input!$E$73,IF($X61&lt;Input!$D$73,Input!$C$79,Input!$D$79),Input!$E$79),Input!$F$79),Input!$G$79),Input!$H$79)</f>
        <v>0</v>
      </c>
      <c r="AL61" s="190">
        <f>IF($A61&lt;Input!$H$80,IF($A61&lt;Input!$G$80,IF($A61&lt;Input!$F$80,IF($A61&lt;Input!$E$80,IF($A61&lt;Input!$D$80,Input!$C$81,Input!$D$81),Input!$E$81),Input!$F$81),Input!$G$81),Input!$H$81)</f>
        <v>0.9</v>
      </c>
      <c r="AM61" s="60">
        <f t="shared" si="9"/>
        <v>0</v>
      </c>
      <c r="AN61" s="60">
        <f t="shared" si="29"/>
        <v>30</v>
      </c>
      <c r="AO61" s="60">
        <f t="shared" si="10"/>
        <v>0</v>
      </c>
      <c r="AP61" s="60">
        <f>ROUND(AO61*AN61*Input!$C$3/365,0)</f>
        <v>0</v>
      </c>
      <c r="AQ61" s="61">
        <f>IF($A61&lt;=Input!$C$6,0,IF('Unique Tenure'!AM61&lt;'Unique Tenure'!AO61,'Unique Tenure'!AM61-AP61,'Unique Tenure'!AO61))</f>
        <v>0</v>
      </c>
      <c r="AR61" s="61">
        <f t="shared" si="11"/>
        <v>0</v>
      </c>
      <c r="AS61" s="60">
        <f t="shared" si="12"/>
        <v>0</v>
      </c>
      <c r="AT61" s="193"/>
      <c r="AU61" s="169">
        <v>57</v>
      </c>
      <c r="AV61" s="1">
        <f t="shared" si="30"/>
        <v>47253</v>
      </c>
      <c r="AW61" s="60">
        <f>IF($X61&lt;Input!$H$88,IF($X61&lt;Input!$G$88,IF($X61&lt;Input!$F$88,IF($X61&lt;Input!$E$88,IF($X61&lt;Input!$D$88,Input!$C$94,Input!$D$94),Input!$E$94),Input!$F$94),Input!$G$94),Input!$H$94)</f>
        <v>0</v>
      </c>
      <c r="AX61" s="190">
        <f>IF($A61&lt;Input!$H$95,IF($A61&lt;Input!$G$95,IF($A61&lt;Input!$F$95,IF($A61&lt;Input!$E$95,IF($A61&lt;Input!$D$95,Input!$C$96,Input!$D$96),Input!$E$96),Input!$F$96),Input!$G$96),Input!$H$96)</f>
        <v>0.9</v>
      </c>
      <c r="AY61" s="60">
        <f t="shared" si="13"/>
        <v>0</v>
      </c>
      <c r="AZ61" s="60">
        <f t="shared" si="31"/>
        <v>30</v>
      </c>
      <c r="BA61" s="60">
        <f t="shared" si="14"/>
        <v>0</v>
      </c>
      <c r="BB61" s="60">
        <f>ROUND(BA61*AZ61*Input!$C$3/365,0)</f>
        <v>0</v>
      </c>
      <c r="BC61" s="61">
        <f>IF($A61&lt;=Input!$C$6,0,IF('Unique Tenure'!AY61&lt;'Unique Tenure'!BA61,'Unique Tenure'!AY61-BB61,'Unique Tenure'!BA61))</f>
        <v>0</v>
      </c>
      <c r="BD61" s="61">
        <f t="shared" si="15"/>
        <v>0</v>
      </c>
      <c r="BE61" s="60">
        <f t="shared" si="16"/>
        <v>0</v>
      </c>
      <c r="BF61" s="193"/>
      <c r="BG61" s="169">
        <v>57</v>
      </c>
      <c r="BH61" s="1">
        <f t="shared" si="32"/>
        <v>47253</v>
      </c>
      <c r="BI61" s="60">
        <f>IF($X61&lt;Input!$H$103,IF($X61&lt;Input!$G$103,IF($X61&lt;Input!$F$103,IF($X61&lt;Input!$E$103,IF($X61&lt;Input!$D$103,Input!$C$109,Input!$D$109),Input!$E$109),Input!$F$109),Input!$G$109),Input!$H$109)</f>
        <v>0</v>
      </c>
      <c r="BJ61" s="190">
        <f>IF($A61&lt;Input!$H$110,IF($A61&lt;Input!$G$110,IF($A61&lt;Input!$F$110,IF($A61&lt;Input!$E$110,IF($A61&lt;Input!$D$110,Input!$C$111,Input!$D$111),Input!$E$111),Input!$F$111),Input!$G$111),Input!$H$111)</f>
        <v>0.9</v>
      </c>
      <c r="BK61" s="60">
        <f t="shared" si="17"/>
        <v>0</v>
      </c>
      <c r="BL61" s="60">
        <f t="shared" si="33"/>
        <v>30</v>
      </c>
      <c r="BM61" s="60">
        <f t="shared" si="18"/>
        <v>0</v>
      </c>
      <c r="BN61" s="60">
        <f>ROUND(BM61*BL61*Input!$C$3/365,0)</f>
        <v>0</v>
      </c>
      <c r="BO61" s="61">
        <f>IF($A61&lt;=Input!$C$6,0,IF('Unique Tenure'!BK61&lt;'Unique Tenure'!BM61,'Unique Tenure'!BK61-BN61,'Unique Tenure'!BM61))</f>
        <v>0</v>
      </c>
      <c r="BP61" s="61">
        <f t="shared" si="19"/>
        <v>0</v>
      </c>
      <c r="BQ61" s="60">
        <f t="shared" si="20"/>
        <v>0</v>
      </c>
      <c r="BR61" s="198"/>
    </row>
    <row r="62" spans="1:70" s="51" customFormat="1" x14ac:dyDescent="0.25">
      <c r="A62" s="169">
        <v>58</v>
      </c>
      <c r="B62" s="1">
        <f t="shared" si="21"/>
        <v>47284</v>
      </c>
      <c r="C62" s="60">
        <f>SUM(
   IF(($A$4:$A$184 &lt;= Input!$D$16), M62, 0),
   IF(($A$4:$A$184 &lt;= Input!$E$16), Y62, 0),
   IF(($A$4:$A$184 &lt;= Input!$F$16), AK62, 0),
   IF(($A$4:$A$184 &lt;= Input!$G$16), AW62, 0),
   IF(($A$4:$A$184 &lt;= Input!$H$16), BI62, 0)
)</f>
        <v>18940500</v>
      </c>
      <c r="D62" s="60">
        <f>SUM(
   IF(($A$4:$A$184 &lt;= Input!$D$16), O62, 0),
   IF(($A$4:$A$184 &lt;= Input!$E$16), AA62, 0),
   IF(($A$4:$A$184 &lt;= Input!$F$16), AM62, 0),
   IF(($A$4:$A$184 &lt;= Input!$G$16), AY62, 0),
   IF(($A$4:$A$184 &lt;= Input!$H$16), BK62, 0)
)</f>
        <v>17046450</v>
      </c>
      <c r="E62" s="60">
        <f t="shared" si="22"/>
        <v>31</v>
      </c>
      <c r="F62" s="60">
        <f t="shared" si="23"/>
        <v>755815039</v>
      </c>
      <c r="G62" s="60">
        <f>ROUND(F62*E62*Input!$C$3/365,0)</f>
        <v>9628877</v>
      </c>
      <c r="H62" s="60">
        <f>IF($A62&lt;=Input!$C$6,0,IF('Unique Tenure'!D62&lt;'Unique Tenure'!F62,'Unique Tenure'!D62-G62,'Unique Tenure'!F62))</f>
        <v>7417573</v>
      </c>
      <c r="I62" s="60">
        <f t="shared" si="24"/>
        <v>17046450</v>
      </c>
      <c r="J62" s="60">
        <f t="shared" si="25"/>
        <v>748397466</v>
      </c>
      <c r="K62" s="202">
        <f>J62/Input!$K$5</f>
        <v>2.4946582199999998</v>
      </c>
      <c r="L62" s="232"/>
      <c r="M62" s="60">
        <f>IF($B62&lt;Input!$H$43,IF($B62&lt;Input!$G$43,IF($B62&lt;Input!$F$43,IF($B62&lt;Input!$E$43,IF($B62&lt;Input!$D$43,Input!$C$49,Input!$D$49),Input!$E$49),Input!$F$49),Input!$G$49),Input!$H$49)</f>
        <v>18940500</v>
      </c>
      <c r="N62" s="190">
        <f>IF($A62&lt;Input!$H$50,IF($A62&lt;Input!$G$50,IF($A62&lt;Input!$F$50,IF($A62&lt;Input!$E$50,IF($A62&lt;Input!$D$50,Input!$C$51,Input!$D$51),Input!$E$51),Input!$F$51),Input!$G$51),Input!$H$51)</f>
        <v>0.9</v>
      </c>
      <c r="O62" s="60">
        <f t="shared" si="34"/>
        <v>17046450</v>
      </c>
      <c r="P62" s="60">
        <f t="shared" si="35"/>
        <v>31</v>
      </c>
      <c r="Q62" s="60">
        <f t="shared" si="2"/>
        <v>755815039</v>
      </c>
      <c r="R62" s="60">
        <f>ROUND(Q62*$P62*Input!$C$3/365,0)</f>
        <v>9628877</v>
      </c>
      <c r="S62" s="60">
        <f>IF(A62&lt;=Input!$C$6,0,IF('Unique Tenure'!O62&lt;'Unique Tenure'!Q62,'Unique Tenure'!O62-R62,'Unique Tenure'!Q62))</f>
        <v>7417573</v>
      </c>
      <c r="T62" s="60">
        <f t="shared" si="3"/>
        <v>17046450</v>
      </c>
      <c r="U62" s="60">
        <f t="shared" si="4"/>
        <v>748397466</v>
      </c>
      <c r="V62" s="193"/>
      <c r="W62" s="169">
        <v>58</v>
      </c>
      <c r="X62" s="1">
        <f t="shared" si="26"/>
        <v>47284</v>
      </c>
      <c r="Y62" s="60">
        <f>IF($X62&lt;Input!$H$58,IF($X62&lt;Input!$G$58,IF($X62&lt;Input!$F$58,IF($X62&lt;Input!$E$58,IF($X62&lt;Input!$D$58,Input!$C$64,Input!$D$64),Input!$E$64),Input!$F$64),Input!$G$64),Input!$H$64)</f>
        <v>0</v>
      </c>
      <c r="Z62" s="190">
        <f>IF($A62&lt;Input!$H$65,IF($A62&lt;Input!$G$65,IF($A62&lt;Input!$F$65,IF($A62&lt;Input!$E$65,IF($A62&lt;Input!$D$65,Input!$C$66,Input!$D$66),Input!$E$66),Input!$F$66),Input!$G$66),Input!$H$66)</f>
        <v>0.9</v>
      </c>
      <c r="AA62" s="60">
        <f t="shared" si="5"/>
        <v>0</v>
      </c>
      <c r="AB62" s="60">
        <f t="shared" si="27"/>
        <v>31</v>
      </c>
      <c r="AC62" s="60">
        <f t="shared" si="6"/>
        <v>0</v>
      </c>
      <c r="AD62" s="60">
        <f>ROUND(AC62*AB62*Input!$C$3/365,0)</f>
        <v>0</v>
      </c>
      <c r="AE62" s="61">
        <f>IF($A62&lt;=Input!$C$6,0,IF('Unique Tenure'!AA62&lt;'Unique Tenure'!AC62,'Unique Tenure'!AA62-AD62,'Unique Tenure'!AC62))</f>
        <v>0</v>
      </c>
      <c r="AF62" s="61">
        <f t="shared" si="7"/>
        <v>0</v>
      </c>
      <c r="AG62" s="60">
        <f t="shared" si="8"/>
        <v>0</v>
      </c>
      <c r="AH62" s="193"/>
      <c r="AI62" s="169">
        <v>58</v>
      </c>
      <c r="AJ62" s="1">
        <f t="shared" si="28"/>
        <v>47284</v>
      </c>
      <c r="AK62" s="60">
        <f>IF($X62&lt;Input!$H$73,IF($X62&lt;Input!$G$73,IF($X62&lt;Input!$F$73,IF($X62&lt;Input!$E$73,IF($X62&lt;Input!$D$73,Input!$C$79,Input!$D$79),Input!$E$79),Input!$F$79),Input!$G$79),Input!$H$79)</f>
        <v>0</v>
      </c>
      <c r="AL62" s="190">
        <f>IF($A62&lt;Input!$H$80,IF($A62&lt;Input!$G$80,IF($A62&lt;Input!$F$80,IF($A62&lt;Input!$E$80,IF($A62&lt;Input!$D$80,Input!$C$81,Input!$D$81),Input!$E$81),Input!$F$81),Input!$G$81),Input!$H$81)</f>
        <v>0.9</v>
      </c>
      <c r="AM62" s="60">
        <f t="shared" si="9"/>
        <v>0</v>
      </c>
      <c r="AN62" s="60">
        <f t="shared" si="29"/>
        <v>31</v>
      </c>
      <c r="AO62" s="60">
        <f t="shared" si="10"/>
        <v>0</v>
      </c>
      <c r="AP62" s="60">
        <f>ROUND(AO62*AN62*Input!$C$3/365,0)</f>
        <v>0</v>
      </c>
      <c r="AQ62" s="61">
        <f>IF($A62&lt;=Input!$C$6,0,IF('Unique Tenure'!AM62&lt;'Unique Tenure'!AO62,'Unique Tenure'!AM62-AP62,'Unique Tenure'!AO62))</f>
        <v>0</v>
      </c>
      <c r="AR62" s="61">
        <f t="shared" si="11"/>
        <v>0</v>
      </c>
      <c r="AS62" s="60">
        <f t="shared" si="12"/>
        <v>0</v>
      </c>
      <c r="AT62" s="193"/>
      <c r="AU62" s="169">
        <v>58</v>
      </c>
      <c r="AV62" s="1">
        <f t="shared" si="30"/>
        <v>47284</v>
      </c>
      <c r="AW62" s="60">
        <f>IF($X62&lt;Input!$H$88,IF($X62&lt;Input!$G$88,IF($X62&lt;Input!$F$88,IF($X62&lt;Input!$E$88,IF($X62&lt;Input!$D$88,Input!$C$94,Input!$D$94),Input!$E$94),Input!$F$94),Input!$G$94),Input!$H$94)</f>
        <v>0</v>
      </c>
      <c r="AX62" s="190">
        <f>IF($A62&lt;Input!$H$95,IF($A62&lt;Input!$G$95,IF($A62&lt;Input!$F$95,IF($A62&lt;Input!$E$95,IF($A62&lt;Input!$D$95,Input!$C$96,Input!$D$96),Input!$E$96),Input!$F$96),Input!$G$96),Input!$H$96)</f>
        <v>0.9</v>
      </c>
      <c r="AY62" s="60">
        <f t="shared" si="13"/>
        <v>0</v>
      </c>
      <c r="AZ62" s="60">
        <f t="shared" si="31"/>
        <v>31</v>
      </c>
      <c r="BA62" s="60">
        <f t="shared" si="14"/>
        <v>0</v>
      </c>
      <c r="BB62" s="60">
        <f>ROUND(BA62*AZ62*Input!$C$3/365,0)</f>
        <v>0</v>
      </c>
      <c r="BC62" s="61">
        <f>IF($A62&lt;=Input!$C$6,0,IF('Unique Tenure'!AY62&lt;'Unique Tenure'!BA62,'Unique Tenure'!AY62-BB62,'Unique Tenure'!BA62))</f>
        <v>0</v>
      </c>
      <c r="BD62" s="61">
        <f t="shared" si="15"/>
        <v>0</v>
      </c>
      <c r="BE62" s="60">
        <f t="shared" si="16"/>
        <v>0</v>
      </c>
      <c r="BF62" s="193"/>
      <c r="BG62" s="169">
        <v>58</v>
      </c>
      <c r="BH62" s="1">
        <f t="shared" si="32"/>
        <v>47284</v>
      </c>
      <c r="BI62" s="60">
        <f>IF($X62&lt;Input!$H$103,IF($X62&lt;Input!$G$103,IF($X62&lt;Input!$F$103,IF($X62&lt;Input!$E$103,IF($X62&lt;Input!$D$103,Input!$C$109,Input!$D$109),Input!$E$109),Input!$F$109),Input!$G$109),Input!$H$109)</f>
        <v>0</v>
      </c>
      <c r="BJ62" s="190">
        <f>IF($A62&lt;Input!$H$110,IF($A62&lt;Input!$G$110,IF($A62&lt;Input!$F$110,IF($A62&lt;Input!$E$110,IF($A62&lt;Input!$D$110,Input!$C$111,Input!$D$111),Input!$E$111),Input!$F$111),Input!$G$111),Input!$H$111)</f>
        <v>0.9</v>
      </c>
      <c r="BK62" s="60">
        <f t="shared" si="17"/>
        <v>0</v>
      </c>
      <c r="BL62" s="60">
        <f t="shared" si="33"/>
        <v>31</v>
      </c>
      <c r="BM62" s="60">
        <f t="shared" si="18"/>
        <v>0</v>
      </c>
      <c r="BN62" s="60">
        <f>ROUND(BM62*BL62*Input!$C$3/365,0)</f>
        <v>0</v>
      </c>
      <c r="BO62" s="61">
        <f>IF($A62&lt;=Input!$C$6,0,IF('Unique Tenure'!BK62&lt;'Unique Tenure'!BM62,'Unique Tenure'!BK62-BN62,'Unique Tenure'!BM62))</f>
        <v>0</v>
      </c>
      <c r="BP62" s="61">
        <f t="shared" si="19"/>
        <v>0</v>
      </c>
      <c r="BQ62" s="60">
        <f t="shared" si="20"/>
        <v>0</v>
      </c>
      <c r="BR62" s="198"/>
    </row>
    <row r="63" spans="1:70" s="51" customFormat="1" x14ac:dyDescent="0.25">
      <c r="A63" s="169">
        <v>59</v>
      </c>
      <c r="B63" s="1">
        <f t="shared" si="21"/>
        <v>47314</v>
      </c>
      <c r="C63" s="60">
        <f>SUM(
   IF(($A$4:$A$184 &lt;= Input!$D$16), M63, 0),
   IF(($A$4:$A$184 &lt;= Input!$E$16), Y63, 0),
   IF(($A$4:$A$184 &lt;= Input!$F$16), AK63, 0),
   IF(($A$4:$A$184 &lt;= Input!$G$16), AW63, 0),
   IF(($A$4:$A$184 &lt;= Input!$H$16), BI63, 0)
)</f>
        <v>18940500</v>
      </c>
      <c r="D63" s="60">
        <f>SUM(
   IF(($A$4:$A$184 &lt;= Input!$D$16), O63, 0),
   IF(($A$4:$A$184 &lt;= Input!$E$16), AA63, 0),
   IF(($A$4:$A$184 &lt;= Input!$F$16), AM63, 0),
   IF(($A$4:$A$184 &lt;= Input!$G$16), AY63, 0),
   IF(($A$4:$A$184 &lt;= Input!$H$16), BK63, 0)
)</f>
        <v>17046450</v>
      </c>
      <c r="E63" s="60">
        <f t="shared" si="22"/>
        <v>30</v>
      </c>
      <c r="F63" s="60">
        <f t="shared" si="23"/>
        <v>748397466</v>
      </c>
      <c r="G63" s="60">
        <f>ROUND(F63*E63*Input!$C$3/365,0)</f>
        <v>9226818</v>
      </c>
      <c r="H63" s="60">
        <f>IF($A63&lt;=Input!$C$6,0,IF('Unique Tenure'!D63&lt;'Unique Tenure'!F63,'Unique Tenure'!D63-G63,'Unique Tenure'!F63))</f>
        <v>7819632</v>
      </c>
      <c r="I63" s="60">
        <f t="shared" si="24"/>
        <v>17046450</v>
      </c>
      <c r="J63" s="60">
        <f t="shared" si="25"/>
        <v>740577834</v>
      </c>
      <c r="K63" s="202">
        <f>J63/Input!$K$5</f>
        <v>2.4685927799999998</v>
      </c>
      <c r="L63" s="232"/>
      <c r="M63" s="60">
        <f>IF($B63&lt;Input!$H$43,IF($B63&lt;Input!$G$43,IF($B63&lt;Input!$F$43,IF($B63&lt;Input!$E$43,IF($B63&lt;Input!$D$43,Input!$C$49,Input!$D$49),Input!$E$49),Input!$F$49),Input!$G$49),Input!$H$49)</f>
        <v>18940500</v>
      </c>
      <c r="N63" s="190">
        <f>IF($A63&lt;Input!$H$50,IF($A63&lt;Input!$G$50,IF($A63&lt;Input!$F$50,IF($A63&lt;Input!$E$50,IF($A63&lt;Input!$D$50,Input!$C$51,Input!$D$51),Input!$E$51),Input!$F$51),Input!$G$51),Input!$H$51)</f>
        <v>0.9</v>
      </c>
      <c r="O63" s="60">
        <f t="shared" si="34"/>
        <v>17046450</v>
      </c>
      <c r="P63" s="60">
        <f t="shared" si="35"/>
        <v>30</v>
      </c>
      <c r="Q63" s="60">
        <f t="shared" si="2"/>
        <v>748397466</v>
      </c>
      <c r="R63" s="60">
        <f>ROUND(Q63*$P63*Input!$C$3/365,0)</f>
        <v>9226818</v>
      </c>
      <c r="S63" s="60">
        <f>IF(A63&lt;=Input!$C$6,0,IF('Unique Tenure'!O63&lt;'Unique Tenure'!Q63,'Unique Tenure'!O63-R63,'Unique Tenure'!Q63))</f>
        <v>7819632</v>
      </c>
      <c r="T63" s="60">
        <f t="shared" si="3"/>
        <v>17046450</v>
      </c>
      <c r="U63" s="60">
        <f t="shared" si="4"/>
        <v>740577834</v>
      </c>
      <c r="V63" s="193"/>
      <c r="W63" s="169">
        <v>59</v>
      </c>
      <c r="X63" s="1">
        <f t="shared" si="26"/>
        <v>47314</v>
      </c>
      <c r="Y63" s="60">
        <f>IF($X63&lt;Input!$H$58,IF($X63&lt;Input!$G$58,IF($X63&lt;Input!$F$58,IF($X63&lt;Input!$E$58,IF($X63&lt;Input!$D$58,Input!$C$64,Input!$D$64),Input!$E$64),Input!$F$64),Input!$G$64),Input!$H$64)</f>
        <v>0</v>
      </c>
      <c r="Z63" s="190">
        <f>IF($A63&lt;Input!$H$65,IF($A63&lt;Input!$G$65,IF($A63&lt;Input!$F$65,IF($A63&lt;Input!$E$65,IF($A63&lt;Input!$D$65,Input!$C$66,Input!$D$66),Input!$E$66),Input!$F$66),Input!$G$66),Input!$H$66)</f>
        <v>0.9</v>
      </c>
      <c r="AA63" s="60">
        <f t="shared" si="5"/>
        <v>0</v>
      </c>
      <c r="AB63" s="60">
        <f t="shared" si="27"/>
        <v>30</v>
      </c>
      <c r="AC63" s="60">
        <f t="shared" si="6"/>
        <v>0</v>
      </c>
      <c r="AD63" s="60">
        <f>ROUND(AC63*AB63*Input!$C$3/365,0)</f>
        <v>0</v>
      </c>
      <c r="AE63" s="61">
        <f>IF($A63&lt;=Input!$C$6,0,IF('Unique Tenure'!AA63&lt;'Unique Tenure'!AC63,'Unique Tenure'!AA63-AD63,'Unique Tenure'!AC63))</f>
        <v>0</v>
      </c>
      <c r="AF63" s="61">
        <f t="shared" si="7"/>
        <v>0</v>
      </c>
      <c r="AG63" s="60">
        <f t="shared" si="8"/>
        <v>0</v>
      </c>
      <c r="AH63" s="193"/>
      <c r="AI63" s="169">
        <v>59</v>
      </c>
      <c r="AJ63" s="1">
        <f t="shared" si="28"/>
        <v>47314</v>
      </c>
      <c r="AK63" s="60">
        <f>IF($X63&lt;Input!$H$73,IF($X63&lt;Input!$G$73,IF($X63&lt;Input!$F$73,IF($X63&lt;Input!$E$73,IF($X63&lt;Input!$D$73,Input!$C$79,Input!$D$79),Input!$E$79),Input!$F$79),Input!$G$79),Input!$H$79)</f>
        <v>0</v>
      </c>
      <c r="AL63" s="190">
        <f>IF($A63&lt;Input!$H$80,IF($A63&lt;Input!$G$80,IF($A63&lt;Input!$F$80,IF($A63&lt;Input!$E$80,IF($A63&lt;Input!$D$80,Input!$C$81,Input!$D$81),Input!$E$81),Input!$F$81),Input!$G$81),Input!$H$81)</f>
        <v>0.9</v>
      </c>
      <c r="AM63" s="60">
        <f t="shared" si="9"/>
        <v>0</v>
      </c>
      <c r="AN63" s="60">
        <f t="shared" si="29"/>
        <v>30</v>
      </c>
      <c r="AO63" s="60">
        <f t="shared" si="10"/>
        <v>0</v>
      </c>
      <c r="AP63" s="60">
        <f>ROUND(AO63*AN63*Input!$C$3/365,0)</f>
        <v>0</v>
      </c>
      <c r="AQ63" s="61">
        <f>IF($A63&lt;=Input!$C$6,0,IF('Unique Tenure'!AM63&lt;'Unique Tenure'!AO63,'Unique Tenure'!AM63-AP63,'Unique Tenure'!AO63))</f>
        <v>0</v>
      </c>
      <c r="AR63" s="61">
        <f t="shared" si="11"/>
        <v>0</v>
      </c>
      <c r="AS63" s="60">
        <f t="shared" si="12"/>
        <v>0</v>
      </c>
      <c r="AT63" s="193"/>
      <c r="AU63" s="169">
        <v>59</v>
      </c>
      <c r="AV63" s="1">
        <f t="shared" si="30"/>
        <v>47314</v>
      </c>
      <c r="AW63" s="60">
        <f>IF($X63&lt;Input!$H$88,IF($X63&lt;Input!$G$88,IF($X63&lt;Input!$F$88,IF($X63&lt;Input!$E$88,IF($X63&lt;Input!$D$88,Input!$C$94,Input!$D$94),Input!$E$94),Input!$F$94),Input!$G$94),Input!$H$94)</f>
        <v>0</v>
      </c>
      <c r="AX63" s="190">
        <f>IF($A63&lt;Input!$H$95,IF($A63&lt;Input!$G$95,IF($A63&lt;Input!$F$95,IF($A63&lt;Input!$E$95,IF($A63&lt;Input!$D$95,Input!$C$96,Input!$D$96),Input!$E$96),Input!$F$96),Input!$G$96),Input!$H$96)</f>
        <v>0.9</v>
      </c>
      <c r="AY63" s="60">
        <f t="shared" si="13"/>
        <v>0</v>
      </c>
      <c r="AZ63" s="60">
        <f t="shared" si="31"/>
        <v>30</v>
      </c>
      <c r="BA63" s="60">
        <f t="shared" si="14"/>
        <v>0</v>
      </c>
      <c r="BB63" s="60">
        <f>ROUND(BA63*AZ63*Input!$C$3/365,0)</f>
        <v>0</v>
      </c>
      <c r="BC63" s="61">
        <f>IF($A63&lt;=Input!$C$6,0,IF('Unique Tenure'!AY63&lt;'Unique Tenure'!BA63,'Unique Tenure'!AY63-BB63,'Unique Tenure'!BA63))</f>
        <v>0</v>
      </c>
      <c r="BD63" s="61">
        <f t="shared" si="15"/>
        <v>0</v>
      </c>
      <c r="BE63" s="60">
        <f t="shared" si="16"/>
        <v>0</v>
      </c>
      <c r="BF63" s="193"/>
      <c r="BG63" s="169">
        <v>59</v>
      </c>
      <c r="BH63" s="1">
        <f t="shared" si="32"/>
        <v>47314</v>
      </c>
      <c r="BI63" s="60">
        <f>IF($X63&lt;Input!$H$103,IF($X63&lt;Input!$G$103,IF($X63&lt;Input!$F$103,IF($X63&lt;Input!$E$103,IF($X63&lt;Input!$D$103,Input!$C$109,Input!$D$109),Input!$E$109),Input!$F$109),Input!$G$109),Input!$H$109)</f>
        <v>0</v>
      </c>
      <c r="BJ63" s="190">
        <f>IF($A63&lt;Input!$H$110,IF($A63&lt;Input!$G$110,IF($A63&lt;Input!$F$110,IF($A63&lt;Input!$E$110,IF($A63&lt;Input!$D$110,Input!$C$111,Input!$D$111),Input!$E$111),Input!$F$111),Input!$G$111),Input!$H$111)</f>
        <v>0.9</v>
      </c>
      <c r="BK63" s="60">
        <f t="shared" si="17"/>
        <v>0</v>
      </c>
      <c r="BL63" s="60">
        <f t="shared" si="33"/>
        <v>30</v>
      </c>
      <c r="BM63" s="60">
        <f t="shared" si="18"/>
        <v>0</v>
      </c>
      <c r="BN63" s="60">
        <f>ROUND(BM63*BL63*Input!$C$3/365,0)</f>
        <v>0</v>
      </c>
      <c r="BO63" s="61">
        <f>IF($A63&lt;=Input!$C$6,0,IF('Unique Tenure'!BK63&lt;'Unique Tenure'!BM63,'Unique Tenure'!BK63-BN63,'Unique Tenure'!BM63))</f>
        <v>0</v>
      </c>
      <c r="BP63" s="61">
        <f t="shared" si="19"/>
        <v>0</v>
      </c>
      <c r="BQ63" s="60">
        <f t="shared" si="20"/>
        <v>0</v>
      </c>
      <c r="BR63" s="198"/>
    </row>
    <row r="64" spans="1:70" s="51" customFormat="1" x14ac:dyDescent="0.25">
      <c r="A64" s="169">
        <v>60</v>
      </c>
      <c r="B64" s="1">
        <f t="shared" si="21"/>
        <v>47345</v>
      </c>
      <c r="C64" s="60">
        <f>SUM(
   IF(($A$4:$A$184 &lt;= Input!$D$16), M64, 0),
   IF(($A$4:$A$184 &lt;= Input!$E$16), Y64, 0),
   IF(($A$4:$A$184 &lt;= Input!$F$16), AK64, 0),
   IF(($A$4:$A$184 &lt;= Input!$G$16), AW64, 0),
   IF(($A$4:$A$184 &lt;= Input!$H$16), BI64, 0)
)</f>
        <v>18940500</v>
      </c>
      <c r="D64" s="60">
        <f>SUM(
   IF(($A$4:$A$184 &lt;= Input!$D$16), O64, 0),
   IF(($A$4:$A$184 &lt;= Input!$E$16), AA64, 0),
   IF(($A$4:$A$184 &lt;= Input!$F$16), AM64, 0),
   IF(($A$4:$A$184 &lt;= Input!$G$16), AY64, 0),
   IF(($A$4:$A$184 &lt;= Input!$H$16), BK64, 0)
)</f>
        <v>17046450</v>
      </c>
      <c r="E64" s="60">
        <f t="shared" si="22"/>
        <v>31</v>
      </c>
      <c r="F64" s="60">
        <f t="shared" si="23"/>
        <v>740577834</v>
      </c>
      <c r="G64" s="60">
        <f>ROUND(F64*E64*Input!$C$3/365,0)</f>
        <v>9434759</v>
      </c>
      <c r="H64" s="60">
        <f>IF($A64&lt;=Input!$C$6,0,IF('Unique Tenure'!D64&lt;'Unique Tenure'!F64,'Unique Tenure'!D64-G64,'Unique Tenure'!F64))</f>
        <v>7611691</v>
      </c>
      <c r="I64" s="60">
        <f t="shared" si="24"/>
        <v>17046450</v>
      </c>
      <c r="J64" s="60">
        <f t="shared" si="25"/>
        <v>732966143</v>
      </c>
      <c r="K64" s="202">
        <f>J64/Input!$K$5</f>
        <v>2.4432204766666668</v>
      </c>
      <c r="L64" s="232"/>
      <c r="M64" s="60">
        <f>IF($B64&lt;Input!$H$43,IF($B64&lt;Input!$G$43,IF($B64&lt;Input!$F$43,IF($B64&lt;Input!$E$43,IF($B64&lt;Input!$D$43,Input!$C$49,Input!$D$49),Input!$E$49),Input!$F$49),Input!$G$49),Input!$H$49)</f>
        <v>18940500</v>
      </c>
      <c r="N64" s="190">
        <f>IF($A64&lt;Input!$H$50,IF($A64&lt;Input!$G$50,IF($A64&lt;Input!$F$50,IF($A64&lt;Input!$E$50,IF($A64&lt;Input!$D$50,Input!$C$51,Input!$D$51),Input!$E$51),Input!$F$51),Input!$G$51),Input!$H$51)</f>
        <v>0.9</v>
      </c>
      <c r="O64" s="60">
        <f t="shared" si="34"/>
        <v>17046450</v>
      </c>
      <c r="P64" s="60">
        <f t="shared" si="35"/>
        <v>31</v>
      </c>
      <c r="Q64" s="60">
        <f t="shared" si="2"/>
        <v>740577834</v>
      </c>
      <c r="R64" s="60">
        <f>ROUND(Q64*$P64*Input!$C$3/365,0)</f>
        <v>9434759</v>
      </c>
      <c r="S64" s="60">
        <f>IF(A64&lt;=Input!$C$6,0,IF('Unique Tenure'!O64&lt;'Unique Tenure'!Q64,'Unique Tenure'!O64-R64,'Unique Tenure'!Q64))</f>
        <v>7611691</v>
      </c>
      <c r="T64" s="60">
        <f t="shared" si="3"/>
        <v>17046450</v>
      </c>
      <c r="U64" s="60">
        <f t="shared" si="4"/>
        <v>732966143</v>
      </c>
      <c r="V64" s="193"/>
      <c r="W64" s="169">
        <v>60</v>
      </c>
      <c r="X64" s="1">
        <f t="shared" si="26"/>
        <v>47345</v>
      </c>
      <c r="Y64" s="60">
        <f>IF($X64&lt;Input!$H$58,IF($X64&lt;Input!$G$58,IF($X64&lt;Input!$F$58,IF($X64&lt;Input!$E$58,IF($X64&lt;Input!$D$58,Input!$C$64,Input!$D$64),Input!$E$64),Input!$F$64),Input!$G$64),Input!$H$64)</f>
        <v>0</v>
      </c>
      <c r="Z64" s="190">
        <f>IF($A64&lt;Input!$H$65,IF($A64&lt;Input!$G$65,IF($A64&lt;Input!$F$65,IF($A64&lt;Input!$E$65,IF($A64&lt;Input!$D$65,Input!$C$66,Input!$D$66),Input!$E$66),Input!$F$66),Input!$G$66),Input!$H$66)</f>
        <v>0.9</v>
      </c>
      <c r="AA64" s="60">
        <f t="shared" si="5"/>
        <v>0</v>
      </c>
      <c r="AB64" s="60">
        <f t="shared" si="27"/>
        <v>31</v>
      </c>
      <c r="AC64" s="60">
        <f t="shared" si="6"/>
        <v>0</v>
      </c>
      <c r="AD64" s="60">
        <f>ROUND(AC64*AB64*Input!$C$3/365,0)</f>
        <v>0</v>
      </c>
      <c r="AE64" s="61">
        <f>IF($A64&lt;=Input!$C$6,0,IF('Unique Tenure'!AA64&lt;'Unique Tenure'!AC64,'Unique Tenure'!AA64-AD64,'Unique Tenure'!AC64))</f>
        <v>0</v>
      </c>
      <c r="AF64" s="61">
        <f t="shared" si="7"/>
        <v>0</v>
      </c>
      <c r="AG64" s="60">
        <f t="shared" si="8"/>
        <v>0</v>
      </c>
      <c r="AH64" s="193"/>
      <c r="AI64" s="169">
        <v>60</v>
      </c>
      <c r="AJ64" s="1">
        <f t="shared" si="28"/>
        <v>47345</v>
      </c>
      <c r="AK64" s="60">
        <f>IF($X64&lt;Input!$H$73,IF($X64&lt;Input!$G$73,IF($X64&lt;Input!$F$73,IF($X64&lt;Input!$E$73,IF($X64&lt;Input!$D$73,Input!$C$79,Input!$D$79),Input!$E$79),Input!$F$79),Input!$G$79),Input!$H$79)</f>
        <v>0</v>
      </c>
      <c r="AL64" s="190">
        <f>IF($A64&lt;Input!$H$80,IF($A64&lt;Input!$G$80,IF($A64&lt;Input!$F$80,IF($A64&lt;Input!$E$80,IF($A64&lt;Input!$D$80,Input!$C$81,Input!$D$81),Input!$E$81),Input!$F$81),Input!$G$81),Input!$H$81)</f>
        <v>0.9</v>
      </c>
      <c r="AM64" s="60">
        <f t="shared" si="9"/>
        <v>0</v>
      </c>
      <c r="AN64" s="60">
        <f t="shared" si="29"/>
        <v>31</v>
      </c>
      <c r="AO64" s="60">
        <f t="shared" si="10"/>
        <v>0</v>
      </c>
      <c r="AP64" s="60">
        <f>ROUND(AO64*AN64*Input!$C$3/365,0)</f>
        <v>0</v>
      </c>
      <c r="AQ64" s="61">
        <f>IF($A64&lt;=Input!$C$6,0,IF('Unique Tenure'!AM64&lt;'Unique Tenure'!AO64,'Unique Tenure'!AM64-AP64,'Unique Tenure'!AO64))</f>
        <v>0</v>
      </c>
      <c r="AR64" s="61">
        <f t="shared" si="11"/>
        <v>0</v>
      </c>
      <c r="AS64" s="60">
        <f t="shared" si="12"/>
        <v>0</v>
      </c>
      <c r="AT64" s="193"/>
      <c r="AU64" s="169">
        <v>60</v>
      </c>
      <c r="AV64" s="1">
        <f t="shared" si="30"/>
        <v>47345</v>
      </c>
      <c r="AW64" s="60">
        <f>IF($X64&lt;Input!$H$88,IF($X64&lt;Input!$G$88,IF($X64&lt;Input!$F$88,IF($X64&lt;Input!$E$88,IF($X64&lt;Input!$D$88,Input!$C$94,Input!$D$94),Input!$E$94),Input!$F$94),Input!$G$94),Input!$H$94)</f>
        <v>0</v>
      </c>
      <c r="AX64" s="190">
        <f>IF($A64&lt;Input!$H$95,IF($A64&lt;Input!$G$95,IF($A64&lt;Input!$F$95,IF($A64&lt;Input!$E$95,IF($A64&lt;Input!$D$95,Input!$C$96,Input!$D$96),Input!$E$96),Input!$F$96),Input!$G$96),Input!$H$96)</f>
        <v>0.9</v>
      </c>
      <c r="AY64" s="60">
        <f t="shared" si="13"/>
        <v>0</v>
      </c>
      <c r="AZ64" s="60">
        <f t="shared" si="31"/>
        <v>31</v>
      </c>
      <c r="BA64" s="60">
        <f t="shared" si="14"/>
        <v>0</v>
      </c>
      <c r="BB64" s="60">
        <f>ROUND(BA64*AZ64*Input!$C$3/365,0)</f>
        <v>0</v>
      </c>
      <c r="BC64" s="61">
        <f>IF($A64&lt;=Input!$C$6,0,IF('Unique Tenure'!AY64&lt;'Unique Tenure'!BA64,'Unique Tenure'!AY64-BB64,'Unique Tenure'!BA64))</f>
        <v>0</v>
      </c>
      <c r="BD64" s="61">
        <f t="shared" si="15"/>
        <v>0</v>
      </c>
      <c r="BE64" s="60">
        <f t="shared" si="16"/>
        <v>0</v>
      </c>
      <c r="BF64" s="193"/>
      <c r="BG64" s="169">
        <v>60</v>
      </c>
      <c r="BH64" s="1">
        <f t="shared" si="32"/>
        <v>47345</v>
      </c>
      <c r="BI64" s="60">
        <f>IF($X64&lt;Input!$H$103,IF($X64&lt;Input!$G$103,IF($X64&lt;Input!$F$103,IF($X64&lt;Input!$E$103,IF($X64&lt;Input!$D$103,Input!$C$109,Input!$D$109),Input!$E$109),Input!$F$109),Input!$G$109),Input!$H$109)</f>
        <v>0</v>
      </c>
      <c r="BJ64" s="190">
        <f>IF($A64&lt;Input!$H$110,IF($A64&lt;Input!$G$110,IF($A64&lt;Input!$F$110,IF($A64&lt;Input!$E$110,IF($A64&lt;Input!$D$110,Input!$C$111,Input!$D$111),Input!$E$111),Input!$F$111),Input!$G$111),Input!$H$111)</f>
        <v>0.9</v>
      </c>
      <c r="BK64" s="60">
        <f t="shared" si="17"/>
        <v>0</v>
      </c>
      <c r="BL64" s="60">
        <f t="shared" si="33"/>
        <v>31</v>
      </c>
      <c r="BM64" s="60">
        <f t="shared" si="18"/>
        <v>0</v>
      </c>
      <c r="BN64" s="60">
        <f>ROUND(BM64*BL64*Input!$C$3/365,0)</f>
        <v>0</v>
      </c>
      <c r="BO64" s="61">
        <f>IF($A64&lt;=Input!$C$6,0,IF('Unique Tenure'!BK64&lt;'Unique Tenure'!BM64,'Unique Tenure'!BK64-BN64,'Unique Tenure'!BM64))</f>
        <v>0</v>
      </c>
      <c r="BP64" s="61">
        <f t="shared" si="19"/>
        <v>0</v>
      </c>
      <c r="BQ64" s="60">
        <f t="shared" si="20"/>
        <v>0</v>
      </c>
      <c r="BR64" s="198"/>
    </row>
    <row r="65" spans="1:70" s="51" customFormat="1" x14ac:dyDescent="0.25">
      <c r="A65" s="169">
        <v>61</v>
      </c>
      <c r="B65" s="1">
        <f t="shared" si="21"/>
        <v>47376</v>
      </c>
      <c r="C65" s="60">
        <f>SUM(
   IF(($A$4:$A$184 &lt;= Input!$D$16), M65, 0),
   IF(($A$4:$A$184 &lt;= Input!$E$16), Y65, 0),
   IF(($A$4:$A$184 &lt;= Input!$F$16), AK65, 0),
   IF(($A$4:$A$184 &lt;= Input!$G$16), AW65, 0),
   IF(($A$4:$A$184 &lt;= Input!$H$16), BI65, 0)
)</f>
        <v>18940500</v>
      </c>
      <c r="D65" s="60">
        <f>SUM(
   IF(($A$4:$A$184 &lt;= Input!$D$16), O65, 0),
   IF(($A$4:$A$184 &lt;= Input!$E$16), AA65, 0),
   IF(($A$4:$A$184 &lt;= Input!$F$16), AM65, 0),
   IF(($A$4:$A$184 &lt;= Input!$G$16), AY65, 0),
   IF(($A$4:$A$184 &lt;= Input!$H$16), BK65, 0)
)</f>
        <v>17046450</v>
      </c>
      <c r="E65" s="60">
        <f t="shared" si="22"/>
        <v>31</v>
      </c>
      <c r="F65" s="60">
        <f t="shared" si="23"/>
        <v>732966143</v>
      </c>
      <c r="G65" s="60">
        <f>ROUND(F65*E65*Input!$C$3/365,0)</f>
        <v>9337788</v>
      </c>
      <c r="H65" s="60">
        <f>IF($A65&lt;=Input!$C$6,0,IF('Unique Tenure'!D65&lt;'Unique Tenure'!F65,'Unique Tenure'!D65-G65,'Unique Tenure'!F65))</f>
        <v>7708662</v>
      </c>
      <c r="I65" s="60">
        <f t="shared" si="24"/>
        <v>17046450</v>
      </c>
      <c r="J65" s="60">
        <f t="shared" si="25"/>
        <v>725257481</v>
      </c>
      <c r="K65" s="202">
        <f>J65/Input!$K$5</f>
        <v>2.4175249366666667</v>
      </c>
      <c r="L65" s="232"/>
      <c r="M65" s="60">
        <f>IF($B65&lt;Input!$H$43,IF($B65&lt;Input!$G$43,IF($B65&lt;Input!$F$43,IF($B65&lt;Input!$E$43,IF($B65&lt;Input!$D$43,Input!$C$49,Input!$D$49),Input!$E$49),Input!$F$49),Input!$G$49),Input!$H$49)</f>
        <v>18940500</v>
      </c>
      <c r="N65" s="190">
        <f>IF($A65&lt;Input!$H$50,IF($A65&lt;Input!$G$50,IF($A65&lt;Input!$F$50,IF($A65&lt;Input!$E$50,IF($A65&lt;Input!$D$50,Input!$C$51,Input!$D$51),Input!$E$51),Input!$F$51),Input!$G$51),Input!$H$51)</f>
        <v>0.9</v>
      </c>
      <c r="O65" s="60">
        <f t="shared" si="34"/>
        <v>17046450</v>
      </c>
      <c r="P65" s="60">
        <f t="shared" si="35"/>
        <v>31</v>
      </c>
      <c r="Q65" s="60">
        <f t="shared" si="2"/>
        <v>732966143</v>
      </c>
      <c r="R65" s="60">
        <f>ROUND(Q65*$P65*Input!$C$3/365,0)</f>
        <v>9337788</v>
      </c>
      <c r="S65" s="60">
        <f>IF(A65&lt;=Input!$C$6,0,IF('Unique Tenure'!O65&lt;'Unique Tenure'!Q65,'Unique Tenure'!O65-R65,'Unique Tenure'!Q65))</f>
        <v>7708662</v>
      </c>
      <c r="T65" s="60">
        <f t="shared" si="3"/>
        <v>17046450</v>
      </c>
      <c r="U65" s="60">
        <f t="shared" si="4"/>
        <v>725257481</v>
      </c>
      <c r="V65" s="193"/>
      <c r="W65" s="169">
        <v>61</v>
      </c>
      <c r="X65" s="1">
        <f t="shared" si="26"/>
        <v>47376</v>
      </c>
      <c r="Y65" s="60">
        <f>IF($X65&lt;Input!$H$58,IF($X65&lt;Input!$G$58,IF($X65&lt;Input!$F$58,IF($X65&lt;Input!$E$58,IF($X65&lt;Input!$D$58,Input!$C$64,Input!$D$64),Input!$E$64),Input!$F$64),Input!$G$64),Input!$H$64)</f>
        <v>0</v>
      </c>
      <c r="Z65" s="190">
        <f>IF($A65&lt;Input!$H$65,IF($A65&lt;Input!$G$65,IF($A65&lt;Input!$F$65,IF($A65&lt;Input!$E$65,IF($A65&lt;Input!$D$65,Input!$C$66,Input!$D$66),Input!$E$66),Input!$F$66),Input!$G$66),Input!$H$66)</f>
        <v>0.9</v>
      </c>
      <c r="AA65" s="60">
        <f t="shared" si="5"/>
        <v>0</v>
      </c>
      <c r="AB65" s="60">
        <f t="shared" si="27"/>
        <v>31</v>
      </c>
      <c r="AC65" s="60">
        <f t="shared" si="6"/>
        <v>0</v>
      </c>
      <c r="AD65" s="60">
        <f>ROUND(AC65*AB65*Input!$C$3/365,0)</f>
        <v>0</v>
      </c>
      <c r="AE65" s="61">
        <f>IF($A65&lt;=Input!$C$6,0,IF('Unique Tenure'!AA65&lt;'Unique Tenure'!AC65,'Unique Tenure'!AA65-AD65,'Unique Tenure'!AC65))</f>
        <v>0</v>
      </c>
      <c r="AF65" s="61">
        <f t="shared" si="7"/>
        <v>0</v>
      </c>
      <c r="AG65" s="60">
        <f t="shared" si="8"/>
        <v>0</v>
      </c>
      <c r="AH65" s="193"/>
      <c r="AI65" s="169">
        <v>61</v>
      </c>
      <c r="AJ65" s="1">
        <f t="shared" si="28"/>
        <v>47376</v>
      </c>
      <c r="AK65" s="60">
        <f>IF($X65&lt;Input!$H$73,IF($X65&lt;Input!$G$73,IF($X65&lt;Input!$F$73,IF($X65&lt;Input!$E$73,IF($X65&lt;Input!$D$73,Input!$C$79,Input!$D$79),Input!$E$79),Input!$F$79),Input!$G$79),Input!$H$79)</f>
        <v>0</v>
      </c>
      <c r="AL65" s="190">
        <f>IF($A65&lt;Input!$H$80,IF($A65&lt;Input!$G$80,IF($A65&lt;Input!$F$80,IF($A65&lt;Input!$E$80,IF($A65&lt;Input!$D$80,Input!$C$81,Input!$D$81),Input!$E$81),Input!$F$81),Input!$G$81),Input!$H$81)</f>
        <v>0.9</v>
      </c>
      <c r="AM65" s="60">
        <f t="shared" si="9"/>
        <v>0</v>
      </c>
      <c r="AN65" s="60">
        <f t="shared" si="29"/>
        <v>31</v>
      </c>
      <c r="AO65" s="60">
        <f t="shared" si="10"/>
        <v>0</v>
      </c>
      <c r="AP65" s="60">
        <f>ROUND(AO65*AN65*Input!$C$3/365,0)</f>
        <v>0</v>
      </c>
      <c r="AQ65" s="61">
        <f>IF($A65&lt;=Input!$C$6,0,IF('Unique Tenure'!AM65&lt;'Unique Tenure'!AO65,'Unique Tenure'!AM65-AP65,'Unique Tenure'!AO65))</f>
        <v>0</v>
      </c>
      <c r="AR65" s="61">
        <f t="shared" si="11"/>
        <v>0</v>
      </c>
      <c r="AS65" s="60">
        <f t="shared" si="12"/>
        <v>0</v>
      </c>
      <c r="AT65" s="193"/>
      <c r="AU65" s="169">
        <v>61</v>
      </c>
      <c r="AV65" s="1">
        <f t="shared" si="30"/>
        <v>47376</v>
      </c>
      <c r="AW65" s="60">
        <f>IF($X65&lt;Input!$H$88,IF($X65&lt;Input!$G$88,IF($X65&lt;Input!$F$88,IF($X65&lt;Input!$E$88,IF($X65&lt;Input!$D$88,Input!$C$94,Input!$D$94),Input!$E$94),Input!$F$94),Input!$G$94),Input!$H$94)</f>
        <v>0</v>
      </c>
      <c r="AX65" s="190">
        <f>IF($A65&lt;Input!$H$95,IF($A65&lt;Input!$G$95,IF($A65&lt;Input!$F$95,IF($A65&lt;Input!$E$95,IF($A65&lt;Input!$D$95,Input!$C$96,Input!$D$96),Input!$E$96),Input!$F$96),Input!$G$96),Input!$H$96)</f>
        <v>0.9</v>
      </c>
      <c r="AY65" s="60">
        <f t="shared" si="13"/>
        <v>0</v>
      </c>
      <c r="AZ65" s="60">
        <f t="shared" si="31"/>
        <v>31</v>
      </c>
      <c r="BA65" s="60">
        <f t="shared" si="14"/>
        <v>0</v>
      </c>
      <c r="BB65" s="60">
        <f>ROUND(BA65*AZ65*Input!$C$3/365,0)</f>
        <v>0</v>
      </c>
      <c r="BC65" s="61">
        <f>IF($A65&lt;=Input!$C$6,0,IF('Unique Tenure'!AY65&lt;'Unique Tenure'!BA65,'Unique Tenure'!AY65-BB65,'Unique Tenure'!BA65))</f>
        <v>0</v>
      </c>
      <c r="BD65" s="61">
        <f t="shared" si="15"/>
        <v>0</v>
      </c>
      <c r="BE65" s="60">
        <f t="shared" si="16"/>
        <v>0</v>
      </c>
      <c r="BF65" s="193"/>
      <c r="BG65" s="169">
        <v>61</v>
      </c>
      <c r="BH65" s="1">
        <f t="shared" si="32"/>
        <v>47376</v>
      </c>
      <c r="BI65" s="60">
        <f>IF($X65&lt;Input!$H$103,IF($X65&lt;Input!$G$103,IF($X65&lt;Input!$F$103,IF($X65&lt;Input!$E$103,IF($X65&lt;Input!$D$103,Input!$C$109,Input!$D$109),Input!$E$109),Input!$F$109),Input!$G$109),Input!$H$109)</f>
        <v>0</v>
      </c>
      <c r="BJ65" s="190">
        <f>IF($A65&lt;Input!$H$110,IF($A65&lt;Input!$G$110,IF($A65&lt;Input!$F$110,IF($A65&lt;Input!$E$110,IF($A65&lt;Input!$D$110,Input!$C$111,Input!$D$111),Input!$E$111),Input!$F$111),Input!$G$111),Input!$H$111)</f>
        <v>0.9</v>
      </c>
      <c r="BK65" s="60">
        <f t="shared" si="17"/>
        <v>0</v>
      </c>
      <c r="BL65" s="60">
        <f t="shared" si="33"/>
        <v>31</v>
      </c>
      <c r="BM65" s="60">
        <f t="shared" si="18"/>
        <v>0</v>
      </c>
      <c r="BN65" s="60">
        <f>ROUND(BM65*BL65*Input!$C$3/365,0)</f>
        <v>0</v>
      </c>
      <c r="BO65" s="61">
        <f>IF($A65&lt;=Input!$C$6,0,IF('Unique Tenure'!BK65&lt;'Unique Tenure'!BM65,'Unique Tenure'!BK65-BN65,'Unique Tenure'!BM65))</f>
        <v>0</v>
      </c>
      <c r="BP65" s="61">
        <f t="shared" si="19"/>
        <v>0</v>
      </c>
      <c r="BQ65" s="60">
        <f t="shared" si="20"/>
        <v>0</v>
      </c>
      <c r="BR65" s="198"/>
    </row>
    <row r="66" spans="1:70" s="51" customFormat="1" x14ac:dyDescent="0.25">
      <c r="A66" s="169">
        <v>62</v>
      </c>
      <c r="B66" s="1">
        <f t="shared" si="21"/>
        <v>47406</v>
      </c>
      <c r="C66" s="60">
        <f>SUM(
   IF(($A$4:$A$184 &lt;= Input!$D$16), M66, 0),
   IF(($A$4:$A$184 &lt;= Input!$E$16), Y66, 0),
   IF(($A$4:$A$184 &lt;= Input!$F$16), AK66, 0),
   IF(($A$4:$A$184 &lt;= Input!$G$16), AW66, 0),
   IF(($A$4:$A$184 &lt;= Input!$H$16), BI66, 0)
)</f>
        <v>18940500</v>
      </c>
      <c r="D66" s="60">
        <f>SUM(
   IF(($A$4:$A$184 &lt;= Input!$D$16), O66, 0),
   IF(($A$4:$A$184 &lt;= Input!$E$16), AA66, 0),
   IF(($A$4:$A$184 &lt;= Input!$F$16), AM66, 0),
   IF(($A$4:$A$184 &lt;= Input!$G$16), AY66, 0),
   IF(($A$4:$A$184 &lt;= Input!$H$16), BK66, 0)
)</f>
        <v>17046450</v>
      </c>
      <c r="E66" s="60">
        <f t="shared" si="22"/>
        <v>30</v>
      </c>
      <c r="F66" s="60">
        <f t="shared" si="23"/>
        <v>725257481</v>
      </c>
      <c r="G66" s="60">
        <f>ROUND(F66*E66*Input!$C$3/365,0)</f>
        <v>8941531</v>
      </c>
      <c r="H66" s="60">
        <f>IF($A66&lt;=Input!$C$6,0,IF('Unique Tenure'!D66&lt;'Unique Tenure'!F66,'Unique Tenure'!D66-G66,'Unique Tenure'!F66))</f>
        <v>8104919</v>
      </c>
      <c r="I66" s="60">
        <f t="shared" si="24"/>
        <v>17046450</v>
      </c>
      <c r="J66" s="60">
        <f t="shared" si="25"/>
        <v>717152562</v>
      </c>
      <c r="K66" s="202">
        <f>J66/Input!$K$5</f>
        <v>2.3905085399999999</v>
      </c>
      <c r="L66" s="232"/>
      <c r="M66" s="60">
        <f>IF($B66&lt;Input!$H$43,IF($B66&lt;Input!$G$43,IF($B66&lt;Input!$F$43,IF($B66&lt;Input!$E$43,IF($B66&lt;Input!$D$43,Input!$C$49,Input!$D$49),Input!$E$49),Input!$F$49),Input!$G$49),Input!$H$49)</f>
        <v>18940500</v>
      </c>
      <c r="N66" s="190">
        <f>IF($A66&lt;Input!$H$50,IF($A66&lt;Input!$G$50,IF($A66&lt;Input!$F$50,IF($A66&lt;Input!$E$50,IF($A66&lt;Input!$D$50,Input!$C$51,Input!$D$51),Input!$E$51),Input!$F$51),Input!$G$51),Input!$H$51)</f>
        <v>0.9</v>
      </c>
      <c r="O66" s="60">
        <f t="shared" si="34"/>
        <v>17046450</v>
      </c>
      <c r="P66" s="60">
        <f t="shared" si="35"/>
        <v>30</v>
      </c>
      <c r="Q66" s="60">
        <f t="shared" si="2"/>
        <v>725257481</v>
      </c>
      <c r="R66" s="60">
        <f>ROUND(Q66*$P66*Input!$C$3/365,0)</f>
        <v>8941531</v>
      </c>
      <c r="S66" s="60">
        <f>IF(A66&lt;=Input!$C$6,0,IF('Unique Tenure'!O66&lt;'Unique Tenure'!Q66,'Unique Tenure'!O66-R66,'Unique Tenure'!Q66))</f>
        <v>8104919</v>
      </c>
      <c r="T66" s="60">
        <f t="shared" si="3"/>
        <v>17046450</v>
      </c>
      <c r="U66" s="60">
        <f t="shared" si="4"/>
        <v>717152562</v>
      </c>
      <c r="V66" s="193"/>
      <c r="W66" s="169">
        <v>62</v>
      </c>
      <c r="X66" s="1">
        <f t="shared" si="26"/>
        <v>47406</v>
      </c>
      <c r="Y66" s="60">
        <f>IF($X66&lt;Input!$H$58,IF($X66&lt;Input!$G$58,IF($X66&lt;Input!$F$58,IF($X66&lt;Input!$E$58,IF($X66&lt;Input!$D$58,Input!$C$64,Input!$D$64),Input!$E$64),Input!$F$64),Input!$G$64),Input!$H$64)</f>
        <v>0</v>
      </c>
      <c r="Z66" s="190">
        <f>IF($A66&lt;Input!$H$65,IF($A66&lt;Input!$G$65,IF($A66&lt;Input!$F$65,IF($A66&lt;Input!$E$65,IF($A66&lt;Input!$D$65,Input!$C$66,Input!$D$66),Input!$E$66),Input!$F$66),Input!$G$66),Input!$H$66)</f>
        <v>0.9</v>
      </c>
      <c r="AA66" s="60">
        <f t="shared" si="5"/>
        <v>0</v>
      </c>
      <c r="AB66" s="60">
        <f t="shared" si="27"/>
        <v>30</v>
      </c>
      <c r="AC66" s="60">
        <f t="shared" si="6"/>
        <v>0</v>
      </c>
      <c r="AD66" s="60">
        <f>ROUND(AC66*AB66*Input!$C$3/365,0)</f>
        <v>0</v>
      </c>
      <c r="AE66" s="61">
        <f>IF($A66&lt;=Input!$C$6,0,IF('Unique Tenure'!AA66&lt;'Unique Tenure'!AC66,'Unique Tenure'!AA66-AD66,'Unique Tenure'!AC66))</f>
        <v>0</v>
      </c>
      <c r="AF66" s="61">
        <f t="shared" si="7"/>
        <v>0</v>
      </c>
      <c r="AG66" s="60">
        <f t="shared" si="8"/>
        <v>0</v>
      </c>
      <c r="AH66" s="193"/>
      <c r="AI66" s="169">
        <v>62</v>
      </c>
      <c r="AJ66" s="1">
        <f t="shared" si="28"/>
        <v>47406</v>
      </c>
      <c r="AK66" s="60">
        <f>IF($X66&lt;Input!$H$73,IF($X66&lt;Input!$G$73,IF($X66&lt;Input!$F$73,IF($X66&lt;Input!$E$73,IF($X66&lt;Input!$D$73,Input!$C$79,Input!$D$79),Input!$E$79),Input!$F$79),Input!$G$79),Input!$H$79)</f>
        <v>0</v>
      </c>
      <c r="AL66" s="190">
        <f>IF($A66&lt;Input!$H$80,IF($A66&lt;Input!$G$80,IF($A66&lt;Input!$F$80,IF($A66&lt;Input!$E$80,IF($A66&lt;Input!$D$80,Input!$C$81,Input!$D$81),Input!$E$81),Input!$F$81),Input!$G$81),Input!$H$81)</f>
        <v>0.9</v>
      </c>
      <c r="AM66" s="60">
        <f t="shared" si="9"/>
        <v>0</v>
      </c>
      <c r="AN66" s="60">
        <f t="shared" si="29"/>
        <v>30</v>
      </c>
      <c r="AO66" s="60">
        <f t="shared" si="10"/>
        <v>0</v>
      </c>
      <c r="AP66" s="60">
        <f>ROUND(AO66*AN66*Input!$C$3/365,0)</f>
        <v>0</v>
      </c>
      <c r="AQ66" s="61">
        <f>IF($A66&lt;=Input!$C$6,0,IF('Unique Tenure'!AM66&lt;'Unique Tenure'!AO66,'Unique Tenure'!AM66-AP66,'Unique Tenure'!AO66))</f>
        <v>0</v>
      </c>
      <c r="AR66" s="61">
        <f t="shared" si="11"/>
        <v>0</v>
      </c>
      <c r="AS66" s="60">
        <f t="shared" si="12"/>
        <v>0</v>
      </c>
      <c r="AT66" s="193"/>
      <c r="AU66" s="169">
        <v>62</v>
      </c>
      <c r="AV66" s="1">
        <f t="shared" si="30"/>
        <v>47406</v>
      </c>
      <c r="AW66" s="60">
        <f>IF($X66&lt;Input!$H$88,IF($X66&lt;Input!$G$88,IF($X66&lt;Input!$F$88,IF($X66&lt;Input!$E$88,IF($X66&lt;Input!$D$88,Input!$C$94,Input!$D$94),Input!$E$94),Input!$F$94),Input!$G$94),Input!$H$94)</f>
        <v>0</v>
      </c>
      <c r="AX66" s="190">
        <f>IF($A66&lt;Input!$H$95,IF($A66&lt;Input!$G$95,IF($A66&lt;Input!$F$95,IF($A66&lt;Input!$E$95,IF($A66&lt;Input!$D$95,Input!$C$96,Input!$D$96),Input!$E$96),Input!$F$96),Input!$G$96),Input!$H$96)</f>
        <v>0.9</v>
      </c>
      <c r="AY66" s="60">
        <f t="shared" si="13"/>
        <v>0</v>
      </c>
      <c r="AZ66" s="60">
        <f t="shared" si="31"/>
        <v>30</v>
      </c>
      <c r="BA66" s="60">
        <f t="shared" si="14"/>
        <v>0</v>
      </c>
      <c r="BB66" s="60">
        <f>ROUND(BA66*AZ66*Input!$C$3/365,0)</f>
        <v>0</v>
      </c>
      <c r="BC66" s="61">
        <f>IF($A66&lt;=Input!$C$6,0,IF('Unique Tenure'!AY66&lt;'Unique Tenure'!BA66,'Unique Tenure'!AY66-BB66,'Unique Tenure'!BA66))</f>
        <v>0</v>
      </c>
      <c r="BD66" s="61">
        <f t="shared" si="15"/>
        <v>0</v>
      </c>
      <c r="BE66" s="60">
        <f t="shared" si="16"/>
        <v>0</v>
      </c>
      <c r="BF66" s="193"/>
      <c r="BG66" s="169">
        <v>62</v>
      </c>
      <c r="BH66" s="1">
        <f t="shared" si="32"/>
        <v>47406</v>
      </c>
      <c r="BI66" s="60">
        <f>IF($X66&lt;Input!$H$103,IF($X66&lt;Input!$G$103,IF($X66&lt;Input!$F$103,IF($X66&lt;Input!$E$103,IF($X66&lt;Input!$D$103,Input!$C$109,Input!$D$109),Input!$E$109),Input!$F$109),Input!$G$109),Input!$H$109)</f>
        <v>0</v>
      </c>
      <c r="BJ66" s="190">
        <f>IF($A66&lt;Input!$H$110,IF($A66&lt;Input!$G$110,IF($A66&lt;Input!$F$110,IF($A66&lt;Input!$E$110,IF($A66&lt;Input!$D$110,Input!$C$111,Input!$D$111),Input!$E$111),Input!$F$111),Input!$G$111),Input!$H$111)</f>
        <v>0.9</v>
      </c>
      <c r="BK66" s="60">
        <f t="shared" si="17"/>
        <v>0</v>
      </c>
      <c r="BL66" s="60">
        <f t="shared" si="33"/>
        <v>30</v>
      </c>
      <c r="BM66" s="60">
        <f t="shared" si="18"/>
        <v>0</v>
      </c>
      <c r="BN66" s="60">
        <f>ROUND(BM66*BL66*Input!$C$3/365,0)</f>
        <v>0</v>
      </c>
      <c r="BO66" s="61">
        <f>IF($A66&lt;=Input!$C$6,0,IF('Unique Tenure'!BK66&lt;'Unique Tenure'!BM66,'Unique Tenure'!BK66-BN66,'Unique Tenure'!BM66))</f>
        <v>0</v>
      </c>
      <c r="BP66" s="61">
        <f t="shared" si="19"/>
        <v>0</v>
      </c>
      <c r="BQ66" s="60">
        <f t="shared" si="20"/>
        <v>0</v>
      </c>
      <c r="BR66" s="198"/>
    </row>
    <row r="67" spans="1:70" s="51" customFormat="1" x14ac:dyDescent="0.25">
      <c r="A67" s="169">
        <v>63</v>
      </c>
      <c r="B67" s="1">
        <f t="shared" si="21"/>
        <v>47437</v>
      </c>
      <c r="C67" s="60">
        <f>SUM(
   IF(($A$4:$A$184 &lt;= Input!$D$16), M67, 0),
   IF(($A$4:$A$184 &lt;= Input!$E$16), Y67, 0),
   IF(($A$4:$A$184 &lt;= Input!$F$16), AK67, 0),
   IF(($A$4:$A$184 &lt;= Input!$G$16), AW67, 0),
   IF(($A$4:$A$184 &lt;= Input!$H$16), BI67, 0)
)</f>
        <v>18940500</v>
      </c>
      <c r="D67" s="60">
        <f>SUM(
   IF(($A$4:$A$184 &lt;= Input!$D$16), O67, 0),
   IF(($A$4:$A$184 &lt;= Input!$E$16), AA67, 0),
   IF(($A$4:$A$184 &lt;= Input!$F$16), AM67, 0),
   IF(($A$4:$A$184 &lt;= Input!$G$16), AY67, 0),
   IF(($A$4:$A$184 &lt;= Input!$H$16), BK67, 0)
)</f>
        <v>17046450</v>
      </c>
      <c r="E67" s="60">
        <f t="shared" si="22"/>
        <v>31</v>
      </c>
      <c r="F67" s="60">
        <f t="shared" si="23"/>
        <v>717152562</v>
      </c>
      <c r="G67" s="60">
        <f>ROUND(F67*E67*Input!$C$3/365,0)</f>
        <v>9136327</v>
      </c>
      <c r="H67" s="60">
        <f>IF($A67&lt;=Input!$C$6,0,IF('Unique Tenure'!D67&lt;'Unique Tenure'!F67,'Unique Tenure'!D67-G67,'Unique Tenure'!F67))</f>
        <v>7910123</v>
      </c>
      <c r="I67" s="60">
        <f t="shared" si="24"/>
        <v>17046450</v>
      </c>
      <c r="J67" s="60">
        <f t="shared" si="25"/>
        <v>709242439</v>
      </c>
      <c r="K67" s="202">
        <f>J67/Input!$K$5</f>
        <v>2.3641414633333335</v>
      </c>
      <c r="L67" s="232"/>
      <c r="M67" s="60">
        <f>IF($B67&lt;Input!$H$43,IF($B67&lt;Input!$G$43,IF($B67&lt;Input!$F$43,IF($B67&lt;Input!$E$43,IF($B67&lt;Input!$D$43,Input!$C$49,Input!$D$49),Input!$E$49),Input!$F$49),Input!$G$49),Input!$H$49)</f>
        <v>18940500</v>
      </c>
      <c r="N67" s="190">
        <f>IF($A67&lt;Input!$H$50,IF($A67&lt;Input!$G$50,IF($A67&lt;Input!$F$50,IF($A67&lt;Input!$E$50,IF($A67&lt;Input!$D$50,Input!$C$51,Input!$D$51),Input!$E$51),Input!$F$51),Input!$G$51),Input!$H$51)</f>
        <v>0.9</v>
      </c>
      <c r="O67" s="60">
        <f t="shared" si="34"/>
        <v>17046450</v>
      </c>
      <c r="P67" s="60">
        <f t="shared" si="35"/>
        <v>31</v>
      </c>
      <c r="Q67" s="60">
        <f t="shared" si="2"/>
        <v>717152562</v>
      </c>
      <c r="R67" s="60">
        <f>ROUND(Q67*$P67*Input!$C$3/365,0)</f>
        <v>9136327</v>
      </c>
      <c r="S67" s="60">
        <f>IF(A67&lt;=Input!$C$6,0,IF('Unique Tenure'!O67&lt;'Unique Tenure'!Q67,'Unique Tenure'!O67-R67,'Unique Tenure'!Q67))</f>
        <v>7910123</v>
      </c>
      <c r="T67" s="60">
        <f t="shared" si="3"/>
        <v>17046450</v>
      </c>
      <c r="U67" s="60">
        <f t="shared" si="4"/>
        <v>709242439</v>
      </c>
      <c r="V67" s="193"/>
      <c r="W67" s="169">
        <v>63</v>
      </c>
      <c r="X67" s="1">
        <f t="shared" si="26"/>
        <v>47437</v>
      </c>
      <c r="Y67" s="60">
        <f>IF($X67&lt;Input!$H$58,IF($X67&lt;Input!$G$58,IF($X67&lt;Input!$F$58,IF($X67&lt;Input!$E$58,IF($X67&lt;Input!$D$58,Input!$C$64,Input!$D$64),Input!$E$64),Input!$F$64),Input!$G$64),Input!$H$64)</f>
        <v>0</v>
      </c>
      <c r="Z67" s="190">
        <f>IF($A67&lt;Input!$H$65,IF($A67&lt;Input!$G$65,IF($A67&lt;Input!$F$65,IF($A67&lt;Input!$E$65,IF($A67&lt;Input!$D$65,Input!$C$66,Input!$D$66),Input!$E$66),Input!$F$66),Input!$G$66),Input!$H$66)</f>
        <v>0.9</v>
      </c>
      <c r="AA67" s="60">
        <f t="shared" si="5"/>
        <v>0</v>
      </c>
      <c r="AB67" s="60">
        <f t="shared" si="27"/>
        <v>31</v>
      </c>
      <c r="AC67" s="60">
        <f t="shared" si="6"/>
        <v>0</v>
      </c>
      <c r="AD67" s="60">
        <f>ROUND(AC67*AB67*Input!$C$3/365,0)</f>
        <v>0</v>
      </c>
      <c r="AE67" s="61">
        <f>IF($A67&lt;=Input!$C$6,0,IF('Unique Tenure'!AA67&lt;'Unique Tenure'!AC67,'Unique Tenure'!AA67-AD67,'Unique Tenure'!AC67))</f>
        <v>0</v>
      </c>
      <c r="AF67" s="61">
        <f t="shared" si="7"/>
        <v>0</v>
      </c>
      <c r="AG67" s="60">
        <f t="shared" si="8"/>
        <v>0</v>
      </c>
      <c r="AH67" s="193"/>
      <c r="AI67" s="169">
        <v>63</v>
      </c>
      <c r="AJ67" s="1">
        <f t="shared" si="28"/>
        <v>47437</v>
      </c>
      <c r="AK67" s="60">
        <f>IF($X67&lt;Input!$H$73,IF($X67&lt;Input!$G$73,IF($X67&lt;Input!$F$73,IF($X67&lt;Input!$E$73,IF($X67&lt;Input!$D$73,Input!$C$79,Input!$D$79),Input!$E$79),Input!$F$79),Input!$G$79),Input!$H$79)</f>
        <v>0</v>
      </c>
      <c r="AL67" s="190">
        <f>IF($A67&lt;Input!$H$80,IF($A67&lt;Input!$G$80,IF($A67&lt;Input!$F$80,IF($A67&lt;Input!$E$80,IF($A67&lt;Input!$D$80,Input!$C$81,Input!$D$81),Input!$E$81),Input!$F$81),Input!$G$81),Input!$H$81)</f>
        <v>0.9</v>
      </c>
      <c r="AM67" s="60">
        <f t="shared" si="9"/>
        <v>0</v>
      </c>
      <c r="AN67" s="60">
        <f t="shared" si="29"/>
        <v>31</v>
      </c>
      <c r="AO67" s="60">
        <f t="shared" si="10"/>
        <v>0</v>
      </c>
      <c r="AP67" s="60">
        <f>ROUND(AO67*AN67*Input!$C$3/365,0)</f>
        <v>0</v>
      </c>
      <c r="AQ67" s="61">
        <f>IF($A67&lt;=Input!$C$6,0,IF('Unique Tenure'!AM67&lt;'Unique Tenure'!AO67,'Unique Tenure'!AM67-AP67,'Unique Tenure'!AO67))</f>
        <v>0</v>
      </c>
      <c r="AR67" s="61">
        <f t="shared" si="11"/>
        <v>0</v>
      </c>
      <c r="AS67" s="60">
        <f t="shared" si="12"/>
        <v>0</v>
      </c>
      <c r="AT67" s="193"/>
      <c r="AU67" s="169">
        <v>63</v>
      </c>
      <c r="AV67" s="1">
        <f t="shared" si="30"/>
        <v>47437</v>
      </c>
      <c r="AW67" s="60">
        <f>IF($X67&lt;Input!$H$88,IF($X67&lt;Input!$G$88,IF($X67&lt;Input!$F$88,IF($X67&lt;Input!$E$88,IF($X67&lt;Input!$D$88,Input!$C$94,Input!$D$94),Input!$E$94),Input!$F$94),Input!$G$94),Input!$H$94)</f>
        <v>0</v>
      </c>
      <c r="AX67" s="190">
        <f>IF($A67&lt;Input!$H$95,IF($A67&lt;Input!$G$95,IF($A67&lt;Input!$F$95,IF($A67&lt;Input!$E$95,IF($A67&lt;Input!$D$95,Input!$C$96,Input!$D$96),Input!$E$96),Input!$F$96),Input!$G$96),Input!$H$96)</f>
        <v>0.9</v>
      </c>
      <c r="AY67" s="60">
        <f t="shared" si="13"/>
        <v>0</v>
      </c>
      <c r="AZ67" s="60">
        <f t="shared" si="31"/>
        <v>31</v>
      </c>
      <c r="BA67" s="60">
        <f t="shared" si="14"/>
        <v>0</v>
      </c>
      <c r="BB67" s="60">
        <f>ROUND(BA67*AZ67*Input!$C$3/365,0)</f>
        <v>0</v>
      </c>
      <c r="BC67" s="61">
        <f>IF($A67&lt;=Input!$C$6,0,IF('Unique Tenure'!AY67&lt;'Unique Tenure'!BA67,'Unique Tenure'!AY67-BB67,'Unique Tenure'!BA67))</f>
        <v>0</v>
      </c>
      <c r="BD67" s="61">
        <f t="shared" si="15"/>
        <v>0</v>
      </c>
      <c r="BE67" s="60">
        <f t="shared" si="16"/>
        <v>0</v>
      </c>
      <c r="BF67" s="193"/>
      <c r="BG67" s="169">
        <v>63</v>
      </c>
      <c r="BH67" s="1">
        <f t="shared" si="32"/>
        <v>47437</v>
      </c>
      <c r="BI67" s="60">
        <f>IF($X67&lt;Input!$H$103,IF($X67&lt;Input!$G$103,IF($X67&lt;Input!$F$103,IF($X67&lt;Input!$E$103,IF($X67&lt;Input!$D$103,Input!$C$109,Input!$D$109),Input!$E$109),Input!$F$109),Input!$G$109),Input!$H$109)</f>
        <v>0</v>
      </c>
      <c r="BJ67" s="190">
        <f>IF($A67&lt;Input!$H$110,IF($A67&lt;Input!$G$110,IF($A67&lt;Input!$F$110,IF($A67&lt;Input!$E$110,IF($A67&lt;Input!$D$110,Input!$C$111,Input!$D$111),Input!$E$111),Input!$F$111),Input!$G$111),Input!$H$111)</f>
        <v>0.9</v>
      </c>
      <c r="BK67" s="60">
        <f t="shared" si="17"/>
        <v>0</v>
      </c>
      <c r="BL67" s="60">
        <f t="shared" si="33"/>
        <v>31</v>
      </c>
      <c r="BM67" s="60">
        <f t="shared" si="18"/>
        <v>0</v>
      </c>
      <c r="BN67" s="60">
        <f>ROUND(BM67*BL67*Input!$C$3/365,0)</f>
        <v>0</v>
      </c>
      <c r="BO67" s="61">
        <f>IF($A67&lt;=Input!$C$6,0,IF('Unique Tenure'!BK67&lt;'Unique Tenure'!BM67,'Unique Tenure'!BK67-BN67,'Unique Tenure'!BM67))</f>
        <v>0</v>
      </c>
      <c r="BP67" s="61">
        <f t="shared" si="19"/>
        <v>0</v>
      </c>
      <c r="BQ67" s="60">
        <f t="shared" si="20"/>
        <v>0</v>
      </c>
      <c r="BR67" s="198"/>
    </row>
    <row r="68" spans="1:70" s="51" customFormat="1" x14ac:dyDescent="0.25">
      <c r="A68" s="169">
        <v>64</v>
      </c>
      <c r="B68" s="1">
        <f t="shared" si="21"/>
        <v>47467</v>
      </c>
      <c r="C68" s="60">
        <f>SUM(
   IF(($A$4:$A$184 &lt;= Input!$D$16), M68, 0),
   IF(($A$4:$A$184 &lt;= Input!$E$16), Y68, 0),
   IF(($A$4:$A$184 &lt;= Input!$F$16), AK68, 0),
   IF(($A$4:$A$184 &lt;= Input!$G$16), AW68, 0),
   IF(($A$4:$A$184 &lt;= Input!$H$16), BI68, 0)
)</f>
        <v>18940500</v>
      </c>
      <c r="D68" s="60">
        <f>SUM(
   IF(($A$4:$A$184 &lt;= Input!$D$16), O68, 0),
   IF(($A$4:$A$184 &lt;= Input!$E$16), AA68, 0),
   IF(($A$4:$A$184 &lt;= Input!$F$16), AM68, 0),
   IF(($A$4:$A$184 &lt;= Input!$G$16), AY68, 0),
   IF(($A$4:$A$184 &lt;= Input!$H$16), BK68, 0)
)</f>
        <v>17046450</v>
      </c>
      <c r="E68" s="60">
        <f t="shared" si="22"/>
        <v>30</v>
      </c>
      <c r="F68" s="60">
        <f t="shared" si="23"/>
        <v>709242439</v>
      </c>
      <c r="G68" s="60">
        <f>ROUND(F68*E68*Input!$C$3/365,0)</f>
        <v>8744085</v>
      </c>
      <c r="H68" s="60">
        <f>IF($A68&lt;=Input!$C$6,0,IF('Unique Tenure'!D68&lt;'Unique Tenure'!F68,'Unique Tenure'!D68-G68,'Unique Tenure'!F68))</f>
        <v>8302365</v>
      </c>
      <c r="I68" s="60">
        <f t="shared" si="24"/>
        <v>17046450</v>
      </c>
      <c r="J68" s="60">
        <f t="shared" si="25"/>
        <v>700940074</v>
      </c>
      <c r="K68" s="202">
        <f>J68/Input!$K$5</f>
        <v>2.3364669133333331</v>
      </c>
      <c r="L68" s="232"/>
      <c r="M68" s="60">
        <f>IF($B68&lt;Input!$H$43,IF($B68&lt;Input!$G$43,IF($B68&lt;Input!$F$43,IF($B68&lt;Input!$E$43,IF($B68&lt;Input!$D$43,Input!$C$49,Input!$D$49),Input!$E$49),Input!$F$49),Input!$G$49),Input!$H$49)</f>
        <v>18940500</v>
      </c>
      <c r="N68" s="190">
        <f>IF($A68&lt;Input!$H$50,IF($A68&lt;Input!$G$50,IF($A68&lt;Input!$F$50,IF($A68&lt;Input!$E$50,IF($A68&lt;Input!$D$50,Input!$C$51,Input!$D$51),Input!$E$51),Input!$F$51),Input!$G$51),Input!$H$51)</f>
        <v>0.9</v>
      </c>
      <c r="O68" s="60">
        <f t="shared" ref="O68:O99" si="36">M68*N68</f>
        <v>17046450</v>
      </c>
      <c r="P68" s="60">
        <f t="shared" si="35"/>
        <v>30</v>
      </c>
      <c r="Q68" s="60">
        <f t="shared" si="2"/>
        <v>709242439</v>
      </c>
      <c r="R68" s="60">
        <f>ROUND(Q68*$P68*Input!$C$3/365,0)</f>
        <v>8744085</v>
      </c>
      <c r="S68" s="60">
        <f>IF(A68&lt;=Input!$C$6,0,IF('Unique Tenure'!O68&lt;'Unique Tenure'!Q68,'Unique Tenure'!O68-R68,'Unique Tenure'!Q68))</f>
        <v>8302365</v>
      </c>
      <c r="T68" s="60">
        <f t="shared" si="3"/>
        <v>17046450</v>
      </c>
      <c r="U68" s="60">
        <f t="shared" si="4"/>
        <v>700940074</v>
      </c>
      <c r="V68" s="193"/>
      <c r="W68" s="169">
        <v>64</v>
      </c>
      <c r="X68" s="1">
        <f t="shared" si="26"/>
        <v>47467</v>
      </c>
      <c r="Y68" s="60">
        <f>IF($X68&lt;Input!$H$58,IF($X68&lt;Input!$G$58,IF($X68&lt;Input!$F$58,IF($X68&lt;Input!$E$58,IF($X68&lt;Input!$D$58,Input!$C$64,Input!$D$64),Input!$E$64),Input!$F$64),Input!$G$64),Input!$H$64)</f>
        <v>0</v>
      </c>
      <c r="Z68" s="190">
        <f>IF($A68&lt;Input!$H$65,IF($A68&lt;Input!$G$65,IF($A68&lt;Input!$F$65,IF($A68&lt;Input!$E$65,IF($A68&lt;Input!$D$65,Input!$C$66,Input!$D$66),Input!$E$66),Input!$F$66),Input!$G$66),Input!$H$66)</f>
        <v>0.9</v>
      </c>
      <c r="AA68" s="60">
        <f t="shared" si="5"/>
        <v>0</v>
      </c>
      <c r="AB68" s="60">
        <f t="shared" si="27"/>
        <v>30</v>
      </c>
      <c r="AC68" s="60">
        <f t="shared" si="6"/>
        <v>0</v>
      </c>
      <c r="AD68" s="60">
        <f>ROUND(AC68*AB68*Input!$C$3/365,0)</f>
        <v>0</v>
      </c>
      <c r="AE68" s="61">
        <f>IF($A68&lt;=Input!$C$6,0,IF('Unique Tenure'!AA68&lt;'Unique Tenure'!AC68,'Unique Tenure'!AA68-AD68,'Unique Tenure'!AC68))</f>
        <v>0</v>
      </c>
      <c r="AF68" s="61">
        <f t="shared" si="7"/>
        <v>0</v>
      </c>
      <c r="AG68" s="60">
        <f t="shared" si="8"/>
        <v>0</v>
      </c>
      <c r="AH68" s="193"/>
      <c r="AI68" s="169">
        <v>64</v>
      </c>
      <c r="AJ68" s="1">
        <f t="shared" si="28"/>
        <v>47467</v>
      </c>
      <c r="AK68" s="60">
        <f>IF($X68&lt;Input!$H$73,IF($X68&lt;Input!$G$73,IF($X68&lt;Input!$F$73,IF($X68&lt;Input!$E$73,IF($X68&lt;Input!$D$73,Input!$C$79,Input!$D$79),Input!$E$79),Input!$F$79),Input!$G$79),Input!$H$79)</f>
        <v>0</v>
      </c>
      <c r="AL68" s="190">
        <f>IF($A68&lt;Input!$H$80,IF($A68&lt;Input!$G$80,IF($A68&lt;Input!$F$80,IF($A68&lt;Input!$E$80,IF($A68&lt;Input!$D$80,Input!$C$81,Input!$D$81),Input!$E$81),Input!$F$81),Input!$G$81),Input!$H$81)</f>
        <v>0.9</v>
      </c>
      <c r="AM68" s="60">
        <f t="shared" si="9"/>
        <v>0</v>
      </c>
      <c r="AN68" s="60">
        <f t="shared" si="29"/>
        <v>30</v>
      </c>
      <c r="AO68" s="60">
        <f t="shared" si="10"/>
        <v>0</v>
      </c>
      <c r="AP68" s="60">
        <f>ROUND(AO68*AN68*Input!$C$3/365,0)</f>
        <v>0</v>
      </c>
      <c r="AQ68" s="61">
        <f>IF($A68&lt;=Input!$C$6,0,IF('Unique Tenure'!AM68&lt;'Unique Tenure'!AO68,'Unique Tenure'!AM68-AP68,'Unique Tenure'!AO68))</f>
        <v>0</v>
      </c>
      <c r="AR68" s="61">
        <f t="shared" si="11"/>
        <v>0</v>
      </c>
      <c r="AS68" s="60">
        <f t="shared" si="12"/>
        <v>0</v>
      </c>
      <c r="AT68" s="193"/>
      <c r="AU68" s="169">
        <v>64</v>
      </c>
      <c r="AV68" s="1">
        <f t="shared" si="30"/>
        <v>47467</v>
      </c>
      <c r="AW68" s="60">
        <f>IF($X68&lt;Input!$H$88,IF($X68&lt;Input!$G$88,IF($X68&lt;Input!$F$88,IF($X68&lt;Input!$E$88,IF($X68&lt;Input!$D$88,Input!$C$94,Input!$D$94),Input!$E$94),Input!$F$94),Input!$G$94),Input!$H$94)</f>
        <v>0</v>
      </c>
      <c r="AX68" s="190">
        <f>IF($A68&lt;Input!$H$95,IF($A68&lt;Input!$G$95,IF($A68&lt;Input!$F$95,IF($A68&lt;Input!$E$95,IF($A68&lt;Input!$D$95,Input!$C$96,Input!$D$96),Input!$E$96),Input!$F$96),Input!$G$96),Input!$H$96)</f>
        <v>0.9</v>
      </c>
      <c r="AY68" s="60">
        <f t="shared" si="13"/>
        <v>0</v>
      </c>
      <c r="AZ68" s="60">
        <f t="shared" si="31"/>
        <v>30</v>
      </c>
      <c r="BA68" s="60">
        <f t="shared" si="14"/>
        <v>0</v>
      </c>
      <c r="BB68" s="60">
        <f>ROUND(BA68*AZ68*Input!$C$3/365,0)</f>
        <v>0</v>
      </c>
      <c r="BC68" s="61">
        <f>IF($A68&lt;=Input!$C$6,0,IF('Unique Tenure'!AY68&lt;'Unique Tenure'!BA68,'Unique Tenure'!AY68-BB68,'Unique Tenure'!BA68))</f>
        <v>0</v>
      </c>
      <c r="BD68" s="61">
        <f t="shared" si="15"/>
        <v>0</v>
      </c>
      <c r="BE68" s="60">
        <f t="shared" si="16"/>
        <v>0</v>
      </c>
      <c r="BF68" s="193"/>
      <c r="BG68" s="169">
        <v>64</v>
      </c>
      <c r="BH68" s="1">
        <f t="shared" si="32"/>
        <v>47467</v>
      </c>
      <c r="BI68" s="60">
        <f>IF($X68&lt;Input!$H$103,IF($X68&lt;Input!$G$103,IF($X68&lt;Input!$F$103,IF($X68&lt;Input!$E$103,IF($X68&lt;Input!$D$103,Input!$C$109,Input!$D$109),Input!$E$109),Input!$F$109),Input!$G$109),Input!$H$109)</f>
        <v>0</v>
      </c>
      <c r="BJ68" s="190">
        <f>IF($A68&lt;Input!$H$110,IF($A68&lt;Input!$G$110,IF($A68&lt;Input!$F$110,IF($A68&lt;Input!$E$110,IF($A68&lt;Input!$D$110,Input!$C$111,Input!$D$111),Input!$E$111),Input!$F$111),Input!$G$111),Input!$H$111)</f>
        <v>0.9</v>
      </c>
      <c r="BK68" s="60">
        <f t="shared" si="17"/>
        <v>0</v>
      </c>
      <c r="BL68" s="60">
        <f t="shared" si="33"/>
        <v>30</v>
      </c>
      <c r="BM68" s="60">
        <f t="shared" si="18"/>
        <v>0</v>
      </c>
      <c r="BN68" s="60">
        <f>ROUND(BM68*BL68*Input!$C$3/365,0)</f>
        <v>0</v>
      </c>
      <c r="BO68" s="61">
        <f>IF($A68&lt;=Input!$C$6,0,IF('Unique Tenure'!BK68&lt;'Unique Tenure'!BM68,'Unique Tenure'!BK68-BN68,'Unique Tenure'!BM68))</f>
        <v>0</v>
      </c>
      <c r="BP68" s="61">
        <f t="shared" si="19"/>
        <v>0</v>
      </c>
      <c r="BQ68" s="60">
        <f t="shared" si="20"/>
        <v>0</v>
      </c>
      <c r="BR68" s="198"/>
    </row>
    <row r="69" spans="1:70" s="51" customFormat="1" x14ac:dyDescent="0.25">
      <c r="A69" s="169">
        <v>65</v>
      </c>
      <c r="B69" s="1">
        <f t="shared" si="21"/>
        <v>47498</v>
      </c>
      <c r="C69" s="60">
        <f>SUM(
   IF(($A$4:$A$184 &lt;= Input!$D$16), M69, 0),
   IF(($A$4:$A$184 &lt;= Input!$E$16), Y69, 0),
   IF(($A$4:$A$184 &lt;= Input!$F$16), AK69, 0),
   IF(($A$4:$A$184 &lt;= Input!$G$16), AW69, 0),
   IF(($A$4:$A$184 &lt;= Input!$H$16), BI69, 0)
)</f>
        <v>18940500</v>
      </c>
      <c r="D69" s="60">
        <f>SUM(
   IF(($A$4:$A$184 &lt;= Input!$D$16), O69, 0),
   IF(($A$4:$A$184 &lt;= Input!$E$16), AA69, 0),
   IF(($A$4:$A$184 &lt;= Input!$F$16), AM69, 0),
   IF(($A$4:$A$184 &lt;= Input!$G$16), AY69, 0),
   IF(($A$4:$A$184 &lt;= Input!$H$16), BK69, 0)
)</f>
        <v>17046450</v>
      </c>
      <c r="E69" s="60">
        <f t="shared" si="22"/>
        <v>31</v>
      </c>
      <c r="F69" s="60">
        <f t="shared" si="23"/>
        <v>700940074</v>
      </c>
      <c r="G69" s="60">
        <f>ROUND(F69*E69*Input!$C$3/365,0)</f>
        <v>8929785</v>
      </c>
      <c r="H69" s="60">
        <f>IF($A69&lt;=Input!$C$6,0,IF('Unique Tenure'!D69&lt;'Unique Tenure'!F69,'Unique Tenure'!D69-G69,'Unique Tenure'!F69))</f>
        <v>8116665</v>
      </c>
      <c r="I69" s="60">
        <f t="shared" si="24"/>
        <v>17046450</v>
      </c>
      <c r="J69" s="60">
        <f t="shared" si="25"/>
        <v>692823409</v>
      </c>
      <c r="K69" s="202">
        <f>J69/Input!$K$5</f>
        <v>2.3094113633333335</v>
      </c>
      <c r="L69" s="232"/>
      <c r="M69" s="60">
        <f>IF($B69&lt;Input!$H$43,IF($B69&lt;Input!$G$43,IF($B69&lt;Input!$F$43,IF($B69&lt;Input!$E$43,IF($B69&lt;Input!$D$43,Input!$C$49,Input!$D$49),Input!$E$49),Input!$F$49),Input!$G$49),Input!$H$49)</f>
        <v>18940500</v>
      </c>
      <c r="N69" s="190">
        <f>IF($A69&lt;Input!$H$50,IF($A69&lt;Input!$G$50,IF($A69&lt;Input!$F$50,IF($A69&lt;Input!$E$50,IF($A69&lt;Input!$D$50,Input!$C$51,Input!$D$51),Input!$E$51),Input!$F$51),Input!$G$51),Input!$H$51)</f>
        <v>0.9</v>
      </c>
      <c r="O69" s="60">
        <f t="shared" si="36"/>
        <v>17046450</v>
      </c>
      <c r="P69" s="60">
        <f t="shared" ref="P69:P100" si="37">B69-B68</f>
        <v>31</v>
      </c>
      <c r="Q69" s="60">
        <f t="shared" ref="Q69:Q132" si="38">U68</f>
        <v>700940074</v>
      </c>
      <c r="R69" s="60">
        <f>ROUND(Q69*$P69*Input!$C$3/365,0)</f>
        <v>8929785</v>
      </c>
      <c r="S69" s="60">
        <f>IF(A69&lt;=Input!$C$6,0,IF('Unique Tenure'!O69&lt;'Unique Tenure'!Q69,'Unique Tenure'!O69-R69,'Unique Tenure'!Q69))</f>
        <v>8116665</v>
      </c>
      <c r="T69" s="60">
        <f t="shared" ref="T69:T132" si="39">R69+S69</f>
        <v>17046450</v>
      </c>
      <c r="U69" s="60">
        <f t="shared" ref="U69:U132" si="40">U68-S69</f>
        <v>692823409</v>
      </c>
      <c r="V69" s="193"/>
      <c r="W69" s="169">
        <v>65</v>
      </c>
      <c r="X69" s="1">
        <f t="shared" si="26"/>
        <v>47498</v>
      </c>
      <c r="Y69" s="60">
        <f>IF($X69&lt;Input!$H$58,IF($X69&lt;Input!$G$58,IF($X69&lt;Input!$F$58,IF($X69&lt;Input!$E$58,IF($X69&lt;Input!$D$58,Input!$C$64,Input!$D$64),Input!$E$64),Input!$F$64),Input!$G$64),Input!$H$64)</f>
        <v>0</v>
      </c>
      <c r="Z69" s="190">
        <f>IF($A69&lt;Input!$H$65,IF($A69&lt;Input!$G$65,IF($A69&lt;Input!$F$65,IF($A69&lt;Input!$E$65,IF($A69&lt;Input!$D$65,Input!$C$66,Input!$D$66),Input!$E$66),Input!$F$66),Input!$G$66),Input!$H$66)</f>
        <v>0.9</v>
      </c>
      <c r="AA69" s="60">
        <f t="shared" ref="AA69:AA132" si="41">Y69*Z69</f>
        <v>0</v>
      </c>
      <c r="AB69" s="60">
        <f t="shared" si="27"/>
        <v>31</v>
      </c>
      <c r="AC69" s="60">
        <f t="shared" ref="AC69:AC132" si="42">AG68</f>
        <v>0</v>
      </c>
      <c r="AD69" s="60">
        <f>ROUND(AC69*AB69*Input!$C$3/365,0)</f>
        <v>0</v>
      </c>
      <c r="AE69" s="61">
        <f>IF($A69&lt;=Input!$C$6,0,IF('Unique Tenure'!AA69&lt;'Unique Tenure'!AC69,'Unique Tenure'!AA69-AD69,'Unique Tenure'!AC69))</f>
        <v>0</v>
      </c>
      <c r="AF69" s="61">
        <f t="shared" ref="AF69:AF132" si="43">AD69+AE69</f>
        <v>0</v>
      </c>
      <c r="AG69" s="60">
        <f t="shared" ref="AG69:AG132" si="44">AG68-AE69</f>
        <v>0</v>
      </c>
      <c r="AH69" s="193"/>
      <c r="AI69" s="169">
        <v>65</v>
      </c>
      <c r="AJ69" s="1">
        <f t="shared" si="28"/>
        <v>47498</v>
      </c>
      <c r="AK69" s="60">
        <f>IF($X69&lt;Input!$H$73,IF($X69&lt;Input!$G$73,IF($X69&lt;Input!$F$73,IF($X69&lt;Input!$E$73,IF($X69&lt;Input!$D$73,Input!$C$79,Input!$D$79),Input!$E$79),Input!$F$79),Input!$G$79),Input!$H$79)</f>
        <v>0</v>
      </c>
      <c r="AL69" s="190">
        <f>IF($A69&lt;Input!$H$80,IF($A69&lt;Input!$G$80,IF($A69&lt;Input!$F$80,IF($A69&lt;Input!$E$80,IF($A69&lt;Input!$D$80,Input!$C$81,Input!$D$81),Input!$E$81),Input!$F$81),Input!$G$81),Input!$H$81)</f>
        <v>0.9</v>
      </c>
      <c r="AM69" s="60">
        <f t="shared" ref="AM69:AM132" si="45">AK69*AL69</f>
        <v>0</v>
      </c>
      <c r="AN69" s="60">
        <f t="shared" si="29"/>
        <v>31</v>
      </c>
      <c r="AO69" s="60">
        <f t="shared" ref="AO69:AO132" si="46">AS68</f>
        <v>0</v>
      </c>
      <c r="AP69" s="60">
        <f>ROUND(AO69*AN69*Input!$C$3/365,0)</f>
        <v>0</v>
      </c>
      <c r="AQ69" s="61">
        <f>IF($A69&lt;=Input!$C$6,0,IF('Unique Tenure'!AM69&lt;'Unique Tenure'!AO69,'Unique Tenure'!AM69-AP69,'Unique Tenure'!AO69))</f>
        <v>0</v>
      </c>
      <c r="AR69" s="61">
        <f t="shared" ref="AR69:AR132" si="47">AP69+AQ69</f>
        <v>0</v>
      </c>
      <c r="AS69" s="60">
        <f t="shared" ref="AS69:AS132" si="48">AS68-AQ69</f>
        <v>0</v>
      </c>
      <c r="AT69" s="193"/>
      <c r="AU69" s="169">
        <v>65</v>
      </c>
      <c r="AV69" s="1">
        <f t="shared" si="30"/>
        <v>47498</v>
      </c>
      <c r="AW69" s="60">
        <f>IF($X69&lt;Input!$H$88,IF($X69&lt;Input!$G$88,IF($X69&lt;Input!$F$88,IF($X69&lt;Input!$E$88,IF($X69&lt;Input!$D$88,Input!$C$94,Input!$D$94),Input!$E$94),Input!$F$94),Input!$G$94),Input!$H$94)</f>
        <v>0</v>
      </c>
      <c r="AX69" s="190">
        <f>IF($A69&lt;Input!$H$95,IF($A69&lt;Input!$G$95,IF($A69&lt;Input!$F$95,IF($A69&lt;Input!$E$95,IF($A69&lt;Input!$D$95,Input!$C$96,Input!$D$96),Input!$E$96),Input!$F$96),Input!$G$96),Input!$H$96)</f>
        <v>0.9</v>
      </c>
      <c r="AY69" s="60">
        <f t="shared" ref="AY69:AY132" si="49">AW69*AX69</f>
        <v>0</v>
      </c>
      <c r="AZ69" s="60">
        <f t="shared" si="31"/>
        <v>31</v>
      </c>
      <c r="BA69" s="60">
        <f t="shared" ref="BA69:BA132" si="50">BE68</f>
        <v>0</v>
      </c>
      <c r="BB69" s="60">
        <f>ROUND(BA69*AZ69*Input!$C$3/365,0)</f>
        <v>0</v>
      </c>
      <c r="BC69" s="61">
        <f>IF($A69&lt;=Input!$C$6,0,IF('Unique Tenure'!AY69&lt;'Unique Tenure'!BA69,'Unique Tenure'!AY69-BB69,'Unique Tenure'!BA69))</f>
        <v>0</v>
      </c>
      <c r="BD69" s="61">
        <f t="shared" ref="BD69:BD132" si="51">BB69+BC69</f>
        <v>0</v>
      </c>
      <c r="BE69" s="60">
        <f t="shared" ref="BE69:BE132" si="52">BE68-BC69</f>
        <v>0</v>
      </c>
      <c r="BF69" s="193"/>
      <c r="BG69" s="169">
        <v>65</v>
      </c>
      <c r="BH69" s="1">
        <f t="shared" si="32"/>
        <v>47498</v>
      </c>
      <c r="BI69" s="60">
        <f>IF($X69&lt;Input!$H$103,IF($X69&lt;Input!$G$103,IF($X69&lt;Input!$F$103,IF($X69&lt;Input!$E$103,IF($X69&lt;Input!$D$103,Input!$C$109,Input!$D$109),Input!$E$109),Input!$F$109),Input!$G$109),Input!$H$109)</f>
        <v>0</v>
      </c>
      <c r="BJ69" s="190">
        <f>IF($A69&lt;Input!$H$110,IF($A69&lt;Input!$G$110,IF($A69&lt;Input!$F$110,IF($A69&lt;Input!$E$110,IF($A69&lt;Input!$D$110,Input!$C$111,Input!$D$111),Input!$E$111),Input!$F$111),Input!$G$111),Input!$H$111)</f>
        <v>0.9</v>
      </c>
      <c r="BK69" s="60">
        <f t="shared" ref="BK69:BK132" si="53">BI69*BJ69</f>
        <v>0</v>
      </c>
      <c r="BL69" s="60">
        <f t="shared" si="33"/>
        <v>31</v>
      </c>
      <c r="BM69" s="60">
        <f t="shared" ref="BM69:BM132" si="54">BQ68</f>
        <v>0</v>
      </c>
      <c r="BN69" s="60">
        <f>ROUND(BM69*BL69*Input!$C$3/365,0)</f>
        <v>0</v>
      </c>
      <c r="BO69" s="61">
        <f>IF($A69&lt;=Input!$C$6,0,IF('Unique Tenure'!BK69&lt;'Unique Tenure'!BM69,'Unique Tenure'!BK69-BN69,'Unique Tenure'!BM69))</f>
        <v>0</v>
      </c>
      <c r="BP69" s="61">
        <f t="shared" ref="BP69:BP132" si="55">BN69+BO69</f>
        <v>0</v>
      </c>
      <c r="BQ69" s="60">
        <f t="shared" ref="BQ69:BQ132" si="56">BQ68-BO69</f>
        <v>0</v>
      </c>
      <c r="BR69" s="198"/>
    </row>
    <row r="70" spans="1:70" s="51" customFormat="1" x14ac:dyDescent="0.25">
      <c r="A70" s="169">
        <v>66</v>
      </c>
      <c r="B70" s="1">
        <f t="shared" ref="B70:B133" si="57">EDATE(B69,1)</f>
        <v>47529</v>
      </c>
      <c r="C70" s="60">
        <f>SUM(
   IF(($A$4:$A$184 &lt;= Input!$D$16), M70, 0),
   IF(($A$4:$A$184 &lt;= Input!$E$16), Y70, 0),
   IF(($A$4:$A$184 &lt;= Input!$F$16), AK70, 0),
   IF(($A$4:$A$184 &lt;= Input!$G$16), AW70, 0),
   IF(($A$4:$A$184 &lt;= Input!$H$16), BI70, 0)
)</f>
        <v>18940500</v>
      </c>
      <c r="D70" s="60">
        <f>SUM(
   IF(($A$4:$A$184 &lt;= Input!$D$16), O70, 0),
   IF(($A$4:$A$184 &lt;= Input!$E$16), AA70, 0),
   IF(($A$4:$A$184 &lt;= Input!$F$16), AM70, 0),
   IF(($A$4:$A$184 &lt;= Input!$G$16), AY70, 0),
   IF(($A$4:$A$184 &lt;= Input!$H$16), BK70, 0)
)</f>
        <v>17046450</v>
      </c>
      <c r="E70" s="60">
        <f t="shared" ref="E70:E133" si="58">B70-B69</f>
        <v>31</v>
      </c>
      <c r="F70" s="60">
        <f t="shared" ref="F70:F133" si="59">J69</f>
        <v>692823409</v>
      </c>
      <c r="G70" s="60">
        <f>ROUND(F70*E70*Input!$C$3/365,0)</f>
        <v>8826380</v>
      </c>
      <c r="H70" s="60">
        <f>IF($A70&lt;=Input!$C$6,0,IF('Unique Tenure'!D70&lt;'Unique Tenure'!F70,'Unique Tenure'!D70-G70,'Unique Tenure'!F70))</f>
        <v>8220070</v>
      </c>
      <c r="I70" s="60">
        <f t="shared" ref="I70:I133" si="60">G70+H70</f>
        <v>17046450</v>
      </c>
      <c r="J70" s="60">
        <f t="shared" ref="J70:J133" si="61">J69-H70</f>
        <v>684603339</v>
      </c>
      <c r="K70" s="202">
        <f>J70/Input!$K$5</f>
        <v>2.2820111299999999</v>
      </c>
      <c r="L70" s="232"/>
      <c r="M70" s="60">
        <f>IF($B70&lt;Input!$H$43,IF($B70&lt;Input!$G$43,IF($B70&lt;Input!$F$43,IF($B70&lt;Input!$E$43,IF($B70&lt;Input!$D$43,Input!$C$49,Input!$D$49),Input!$E$49),Input!$F$49),Input!$G$49),Input!$H$49)</f>
        <v>18940500</v>
      </c>
      <c r="N70" s="190">
        <f>IF($A70&lt;Input!$H$50,IF($A70&lt;Input!$G$50,IF($A70&lt;Input!$F$50,IF($A70&lt;Input!$E$50,IF($A70&lt;Input!$D$50,Input!$C$51,Input!$D$51),Input!$E$51),Input!$F$51),Input!$G$51),Input!$H$51)</f>
        <v>0.9</v>
      </c>
      <c r="O70" s="60">
        <f t="shared" si="36"/>
        <v>17046450</v>
      </c>
      <c r="P70" s="60">
        <f t="shared" si="37"/>
        <v>31</v>
      </c>
      <c r="Q70" s="60">
        <f t="shared" si="38"/>
        <v>692823409</v>
      </c>
      <c r="R70" s="60">
        <f>ROUND(Q70*$P70*Input!$C$3/365,0)</f>
        <v>8826380</v>
      </c>
      <c r="S70" s="60">
        <f>IF(A70&lt;=Input!$C$6,0,IF('Unique Tenure'!O70&lt;'Unique Tenure'!Q70,'Unique Tenure'!O70-R70,'Unique Tenure'!Q70))</f>
        <v>8220070</v>
      </c>
      <c r="T70" s="60">
        <f t="shared" si="39"/>
        <v>17046450</v>
      </c>
      <c r="U70" s="60">
        <f t="shared" si="40"/>
        <v>684603339</v>
      </c>
      <c r="V70" s="193"/>
      <c r="W70" s="169">
        <v>66</v>
      </c>
      <c r="X70" s="1">
        <f t="shared" ref="X70:X133" si="62">EDATE(X69,1)</f>
        <v>47529</v>
      </c>
      <c r="Y70" s="60">
        <f>IF($X70&lt;Input!$H$58,IF($X70&lt;Input!$G$58,IF($X70&lt;Input!$F$58,IF($X70&lt;Input!$E$58,IF($X70&lt;Input!$D$58,Input!$C$64,Input!$D$64),Input!$E$64),Input!$F$64),Input!$G$64),Input!$H$64)</f>
        <v>0</v>
      </c>
      <c r="Z70" s="190">
        <f>IF($A70&lt;Input!$H$65,IF($A70&lt;Input!$G$65,IF($A70&lt;Input!$F$65,IF($A70&lt;Input!$E$65,IF($A70&lt;Input!$D$65,Input!$C$66,Input!$D$66),Input!$E$66),Input!$F$66),Input!$G$66),Input!$H$66)</f>
        <v>0.9</v>
      </c>
      <c r="AA70" s="60">
        <f t="shared" si="41"/>
        <v>0</v>
      </c>
      <c r="AB70" s="60">
        <f t="shared" ref="AB70:AB133" si="63">X70-X69</f>
        <v>31</v>
      </c>
      <c r="AC70" s="60">
        <f t="shared" si="42"/>
        <v>0</v>
      </c>
      <c r="AD70" s="60">
        <f>ROUND(AC70*AB70*Input!$C$3/365,0)</f>
        <v>0</v>
      </c>
      <c r="AE70" s="61">
        <f>IF($A70&lt;=Input!$C$6,0,IF('Unique Tenure'!AA70&lt;'Unique Tenure'!AC70,'Unique Tenure'!AA70-AD70,'Unique Tenure'!AC70))</f>
        <v>0</v>
      </c>
      <c r="AF70" s="61">
        <f t="shared" si="43"/>
        <v>0</v>
      </c>
      <c r="AG70" s="60">
        <f t="shared" si="44"/>
        <v>0</v>
      </c>
      <c r="AH70" s="193"/>
      <c r="AI70" s="169">
        <v>66</v>
      </c>
      <c r="AJ70" s="1">
        <f t="shared" ref="AJ70:AJ133" si="64">EDATE(AJ69,1)</f>
        <v>47529</v>
      </c>
      <c r="AK70" s="60">
        <f>IF($X70&lt;Input!$H$73,IF($X70&lt;Input!$G$73,IF($X70&lt;Input!$F$73,IF($X70&lt;Input!$E$73,IF($X70&lt;Input!$D$73,Input!$C$79,Input!$D$79),Input!$E$79),Input!$F$79),Input!$G$79),Input!$H$79)</f>
        <v>0</v>
      </c>
      <c r="AL70" s="190">
        <f>IF($A70&lt;Input!$H$80,IF($A70&lt;Input!$G$80,IF($A70&lt;Input!$F$80,IF($A70&lt;Input!$E$80,IF($A70&lt;Input!$D$80,Input!$C$81,Input!$D$81),Input!$E$81),Input!$F$81),Input!$G$81),Input!$H$81)</f>
        <v>0.9</v>
      </c>
      <c r="AM70" s="60">
        <f t="shared" si="45"/>
        <v>0</v>
      </c>
      <c r="AN70" s="60">
        <f t="shared" ref="AN70:AN133" si="65">AJ70-AJ69</f>
        <v>31</v>
      </c>
      <c r="AO70" s="60">
        <f t="shared" si="46"/>
        <v>0</v>
      </c>
      <c r="AP70" s="60">
        <f>ROUND(AO70*AN70*Input!$C$3/365,0)</f>
        <v>0</v>
      </c>
      <c r="AQ70" s="61">
        <f>IF($A70&lt;=Input!$C$6,0,IF('Unique Tenure'!AM70&lt;'Unique Tenure'!AO70,'Unique Tenure'!AM70-AP70,'Unique Tenure'!AO70))</f>
        <v>0</v>
      </c>
      <c r="AR70" s="61">
        <f t="shared" si="47"/>
        <v>0</v>
      </c>
      <c r="AS70" s="60">
        <f t="shared" si="48"/>
        <v>0</v>
      </c>
      <c r="AT70" s="193"/>
      <c r="AU70" s="169">
        <v>66</v>
      </c>
      <c r="AV70" s="1">
        <f t="shared" ref="AV70:AV133" si="66">EDATE(AV69,1)</f>
        <v>47529</v>
      </c>
      <c r="AW70" s="60">
        <f>IF($X70&lt;Input!$H$88,IF($X70&lt;Input!$G$88,IF($X70&lt;Input!$F$88,IF($X70&lt;Input!$E$88,IF($X70&lt;Input!$D$88,Input!$C$94,Input!$D$94),Input!$E$94),Input!$F$94),Input!$G$94),Input!$H$94)</f>
        <v>0</v>
      </c>
      <c r="AX70" s="190">
        <f>IF($A70&lt;Input!$H$95,IF($A70&lt;Input!$G$95,IF($A70&lt;Input!$F$95,IF($A70&lt;Input!$E$95,IF($A70&lt;Input!$D$95,Input!$C$96,Input!$D$96),Input!$E$96),Input!$F$96),Input!$G$96),Input!$H$96)</f>
        <v>0.9</v>
      </c>
      <c r="AY70" s="60">
        <f t="shared" si="49"/>
        <v>0</v>
      </c>
      <c r="AZ70" s="60">
        <f t="shared" ref="AZ70:AZ133" si="67">AV70-AV69</f>
        <v>31</v>
      </c>
      <c r="BA70" s="60">
        <f t="shared" si="50"/>
        <v>0</v>
      </c>
      <c r="BB70" s="60">
        <f>ROUND(BA70*AZ70*Input!$C$3/365,0)</f>
        <v>0</v>
      </c>
      <c r="BC70" s="61">
        <f>IF($A70&lt;=Input!$C$6,0,IF('Unique Tenure'!AY70&lt;'Unique Tenure'!BA70,'Unique Tenure'!AY70-BB70,'Unique Tenure'!BA70))</f>
        <v>0</v>
      </c>
      <c r="BD70" s="61">
        <f t="shared" si="51"/>
        <v>0</v>
      </c>
      <c r="BE70" s="60">
        <f t="shared" si="52"/>
        <v>0</v>
      </c>
      <c r="BF70" s="193"/>
      <c r="BG70" s="169">
        <v>66</v>
      </c>
      <c r="BH70" s="1">
        <f t="shared" ref="BH70:BH133" si="68">EDATE(BH69,1)</f>
        <v>47529</v>
      </c>
      <c r="BI70" s="60">
        <f>IF($X70&lt;Input!$H$103,IF($X70&lt;Input!$G$103,IF($X70&lt;Input!$F$103,IF($X70&lt;Input!$E$103,IF($X70&lt;Input!$D$103,Input!$C$109,Input!$D$109),Input!$E$109),Input!$F$109),Input!$G$109),Input!$H$109)</f>
        <v>0</v>
      </c>
      <c r="BJ70" s="190">
        <f>IF($A70&lt;Input!$H$110,IF($A70&lt;Input!$G$110,IF($A70&lt;Input!$F$110,IF($A70&lt;Input!$E$110,IF($A70&lt;Input!$D$110,Input!$C$111,Input!$D$111),Input!$E$111),Input!$F$111),Input!$G$111),Input!$H$111)</f>
        <v>0.9</v>
      </c>
      <c r="BK70" s="60">
        <f t="shared" si="53"/>
        <v>0</v>
      </c>
      <c r="BL70" s="60">
        <f t="shared" ref="BL70:BL133" si="69">BH70-BH69</f>
        <v>31</v>
      </c>
      <c r="BM70" s="60">
        <f t="shared" si="54"/>
        <v>0</v>
      </c>
      <c r="BN70" s="60">
        <f>ROUND(BM70*BL70*Input!$C$3/365,0)</f>
        <v>0</v>
      </c>
      <c r="BO70" s="61">
        <f>IF($A70&lt;=Input!$C$6,0,IF('Unique Tenure'!BK70&lt;'Unique Tenure'!BM70,'Unique Tenure'!BK70-BN70,'Unique Tenure'!BM70))</f>
        <v>0</v>
      </c>
      <c r="BP70" s="61">
        <f t="shared" si="55"/>
        <v>0</v>
      </c>
      <c r="BQ70" s="60">
        <f t="shared" si="56"/>
        <v>0</v>
      </c>
      <c r="BR70" s="198"/>
    </row>
    <row r="71" spans="1:70" s="51" customFormat="1" x14ac:dyDescent="0.25">
      <c r="A71" s="169">
        <v>67</v>
      </c>
      <c r="B71" s="1">
        <f t="shared" si="57"/>
        <v>47557</v>
      </c>
      <c r="C71" s="60">
        <f>SUM(
   IF(($A$4:$A$184 &lt;= Input!$D$16), M71, 0),
   IF(($A$4:$A$184 &lt;= Input!$E$16), Y71, 0),
   IF(($A$4:$A$184 &lt;= Input!$F$16), AK71, 0),
   IF(($A$4:$A$184 &lt;= Input!$G$16), AW71, 0),
   IF(($A$4:$A$184 &lt;= Input!$H$16), BI71, 0)
)</f>
        <v>18940500</v>
      </c>
      <c r="D71" s="60">
        <f>SUM(
   IF(($A$4:$A$184 &lt;= Input!$D$16), O71, 0),
   IF(($A$4:$A$184 &lt;= Input!$E$16), AA71, 0),
   IF(($A$4:$A$184 &lt;= Input!$F$16), AM71, 0),
   IF(($A$4:$A$184 &lt;= Input!$G$16), AY71, 0),
   IF(($A$4:$A$184 &lt;= Input!$H$16), BK71, 0)
)</f>
        <v>17046450</v>
      </c>
      <c r="E71" s="60">
        <f t="shared" si="58"/>
        <v>28</v>
      </c>
      <c r="F71" s="60">
        <f t="shared" si="59"/>
        <v>684603339</v>
      </c>
      <c r="G71" s="60">
        <f>ROUND(F71*E71*Input!$C$3/365,0)</f>
        <v>7877627</v>
      </c>
      <c r="H71" s="60">
        <f>IF($A71&lt;=Input!$C$6,0,IF('Unique Tenure'!D71&lt;'Unique Tenure'!F71,'Unique Tenure'!D71-G71,'Unique Tenure'!F71))</f>
        <v>9168823</v>
      </c>
      <c r="I71" s="60">
        <f t="shared" si="60"/>
        <v>17046450</v>
      </c>
      <c r="J71" s="60">
        <f t="shared" si="61"/>
        <v>675434516</v>
      </c>
      <c r="K71" s="202">
        <f>J71/Input!$K$5</f>
        <v>2.2514483866666666</v>
      </c>
      <c r="L71" s="232"/>
      <c r="M71" s="60">
        <f>IF($B71&lt;Input!$H$43,IF($B71&lt;Input!$G$43,IF($B71&lt;Input!$F$43,IF($B71&lt;Input!$E$43,IF($B71&lt;Input!$D$43,Input!$C$49,Input!$D$49),Input!$E$49),Input!$F$49),Input!$G$49),Input!$H$49)</f>
        <v>18940500</v>
      </c>
      <c r="N71" s="190">
        <f>IF($A71&lt;Input!$H$50,IF($A71&lt;Input!$G$50,IF($A71&lt;Input!$F$50,IF($A71&lt;Input!$E$50,IF($A71&lt;Input!$D$50,Input!$C$51,Input!$D$51),Input!$E$51),Input!$F$51),Input!$G$51),Input!$H$51)</f>
        <v>0.9</v>
      </c>
      <c r="O71" s="60">
        <f t="shared" si="36"/>
        <v>17046450</v>
      </c>
      <c r="P71" s="60">
        <f t="shared" si="37"/>
        <v>28</v>
      </c>
      <c r="Q71" s="60">
        <f t="shared" si="38"/>
        <v>684603339</v>
      </c>
      <c r="R71" s="60">
        <f>ROUND(Q71*$P71*Input!$C$3/365,0)</f>
        <v>7877627</v>
      </c>
      <c r="S71" s="60">
        <f>IF(A71&lt;=Input!$C$6,0,IF('Unique Tenure'!O71&lt;'Unique Tenure'!Q71,'Unique Tenure'!O71-R71,'Unique Tenure'!Q71))</f>
        <v>9168823</v>
      </c>
      <c r="T71" s="60">
        <f t="shared" si="39"/>
        <v>17046450</v>
      </c>
      <c r="U71" s="60">
        <f t="shared" si="40"/>
        <v>675434516</v>
      </c>
      <c r="V71" s="193"/>
      <c r="W71" s="169">
        <v>67</v>
      </c>
      <c r="X71" s="1">
        <f t="shared" si="62"/>
        <v>47557</v>
      </c>
      <c r="Y71" s="60">
        <f>IF($X71&lt;Input!$H$58,IF($X71&lt;Input!$G$58,IF($X71&lt;Input!$F$58,IF($X71&lt;Input!$E$58,IF($X71&lt;Input!$D$58,Input!$C$64,Input!$D$64),Input!$E$64),Input!$F$64),Input!$G$64),Input!$H$64)</f>
        <v>0</v>
      </c>
      <c r="Z71" s="190">
        <f>IF($A71&lt;Input!$H$65,IF($A71&lt;Input!$G$65,IF($A71&lt;Input!$F$65,IF($A71&lt;Input!$E$65,IF($A71&lt;Input!$D$65,Input!$C$66,Input!$D$66),Input!$E$66),Input!$F$66),Input!$G$66),Input!$H$66)</f>
        <v>0.9</v>
      </c>
      <c r="AA71" s="60">
        <f t="shared" si="41"/>
        <v>0</v>
      </c>
      <c r="AB71" s="60">
        <f t="shared" si="63"/>
        <v>28</v>
      </c>
      <c r="AC71" s="60">
        <f t="shared" si="42"/>
        <v>0</v>
      </c>
      <c r="AD71" s="60">
        <f>ROUND(AC71*AB71*Input!$C$3/365,0)</f>
        <v>0</v>
      </c>
      <c r="AE71" s="61">
        <f>IF($A71&lt;=Input!$C$6,0,IF('Unique Tenure'!AA71&lt;'Unique Tenure'!AC71,'Unique Tenure'!AA71-AD71,'Unique Tenure'!AC71))</f>
        <v>0</v>
      </c>
      <c r="AF71" s="61">
        <f t="shared" si="43"/>
        <v>0</v>
      </c>
      <c r="AG71" s="60">
        <f t="shared" si="44"/>
        <v>0</v>
      </c>
      <c r="AH71" s="193"/>
      <c r="AI71" s="169">
        <v>67</v>
      </c>
      <c r="AJ71" s="1">
        <f t="shared" si="64"/>
        <v>47557</v>
      </c>
      <c r="AK71" s="60">
        <f>IF($X71&lt;Input!$H$73,IF($X71&lt;Input!$G$73,IF($X71&lt;Input!$F$73,IF($X71&lt;Input!$E$73,IF($X71&lt;Input!$D$73,Input!$C$79,Input!$D$79),Input!$E$79),Input!$F$79),Input!$G$79),Input!$H$79)</f>
        <v>0</v>
      </c>
      <c r="AL71" s="190">
        <f>IF($A71&lt;Input!$H$80,IF($A71&lt;Input!$G$80,IF($A71&lt;Input!$F$80,IF($A71&lt;Input!$E$80,IF($A71&lt;Input!$D$80,Input!$C$81,Input!$D$81),Input!$E$81),Input!$F$81),Input!$G$81),Input!$H$81)</f>
        <v>0.9</v>
      </c>
      <c r="AM71" s="60">
        <f t="shared" si="45"/>
        <v>0</v>
      </c>
      <c r="AN71" s="60">
        <f t="shared" si="65"/>
        <v>28</v>
      </c>
      <c r="AO71" s="60">
        <f t="shared" si="46"/>
        <v>0</v>
      </c>
      <c r="AP71" s="60">
        <f>ROUND(AO71*AN71*Input!$C$3/365,0)</f>
        <v>0</v>
      </c>
      <c r="AQ71" s="61">
        <f>IF($A71&lt;=Input!$C$6,0,IF('Unique Tenure'!AM71&lt;'Unique Tenure'!AO71,'Unique Tenure'!AM71-AP71,'Unique Tenure'!AO71))</f>
        <v>0</v>
      </c>
      <c r="AR71" s="61">
        <f t="shared" si="47"/>
        <v>0</v>
      </c>
      <c r="AS71" s="60">
        <f t="shared" si="48"/>
        <v>0</v>
      </c>
      <c r="AT71" s="193"/>
      <c r="AU71" s="169">
        <v>67</v>
      </c>
      <c r="AV71" s="1">
        <f t="shared" si="66"/>
        <v>47557</v>
      </c>
      <c r="AW71" s="60">
        <f>IF($X71&lt;Input!$H$88,IF($X71&lt;Input!$G$88,IF($X71&lt;Input!$F$88,IF($X71&lt;Input!$E$88,IF($X71&lt;Input!$D$88,Input!$C$94,Input!$D$94),Input!$E$94),Input!$F$94),Input!$G$94),Input!$H$94)</f>
        <v>0</v>
      </c>
      <c r="AX71" s="190">
        <f>IF($A71&lt;Input!$H$95,IF($A71&lt;Input!$G$95,IF($A71&lt;Input!$F$95,IF($A71&lt;Input!$E$95,IF($A71&lt;Input!$D$95,Input!$C$96,Input!$D$96),Input!$E$96),Input!$F$96),Input!$G$96),Input!$H$96)</f>
        <v>0.9</v>
      </c>
      <c r="AY71" s="60">
        <f t="shared" si="49"/>
        <v>0</v>
      </c>
      <c r="AZ71" s="60">
        <f t="shared" si="67"/>
        <v>28</v>
      </c>
      <c r="BA71" s="60">
        <f t="shared" si="50"/>
        <v>0</v>
      </c>
      <c r="BB71" s="60">
        <f>ROUND(BA71*AZ71*Input!$C$3/365,0)</f>
        <v>0</v>
      </c>
      <c r="BC71" s="61">
        <f>IF($A71&lt;=Input!$C$6,0,IF('Unique Tenure'!AY71&lt;'Unique Tenure'!BA71,'Unique Tenure'!AY71-BB71,'Unique Tenure'!BA71))</f>
        <v>0</v>
      </c>
      <c r="BD71" s="61">
        <f t="shared" si="51"/>
        <v>0</v>
      </c>
      <c r="BE71" s="60">
        <f t="shared" si="52"/>
        <v>0</v>
      </c>
      <c r="BF71" s="193"/>
      <c r="BG71" s="169">
        <v>67</v>
      </c>
      <c r="BH71" s="1">
        <f t="shared" si="68"/>
        <v>47557</v>
      </c>
      <c r="BI71" s="60">
        <f>IF($X71&lt;Input!$H$103,IF($X71&lt;Input!$G$103,IF($X71&lt;Input!$F$103,IF($X71&lt;Input!$E$103,IF($X71&lt;Input!$D$103,Input!$C$109,Input!$D$109),Input!$E$109),Input!$F$109),Input!$G$109),Input!$H$109)</f>
        <v>0</v>
      </c>
      <c r="BJ71" s="190">
        <f>IF($A71&lt;Input!$H$110,IF($A71&lt;Input!$G$110,IF($A71&lt;Input!$F$110,IF($A71&lt;Input!$E$110,IF($A71&lt;Input!$D$110,Input!$C$111,Input!$D$111),Input!$E$111),Input!$F$111),Input!$G$111),Input!$H$111)</f>
        <v>0.9</v>
      </c>
      <c r="BK71" s="60">
        <f t="shared" si="53"/>
        <v>0</v>
      </c>
      <c r="BL71" s="60">
        <f t="shared" si="69"/>
        <v>28</v>
      </c>
      <c r="BM71" s="60">
        <f t="shared" si="54"/>
        <v>0</v>
      </c>
      <c r="BN71" s="60">
        <f>ROUND(BM71*BL71*Input!$C$3/365,0)</f>
        <v>0</v>
      </c>
      <c r="BO71" s="61">
        <f>IF($A71&lt;=Input!$C$6,0,IF('Unique Tenure'!BK71&lt;'Unique Tenure'!BM71,'Unique Tenure'!BK71-BN71,'Unique Tenure'!BM71))</f>
        <v>0</v>
      </c>
      <c r="BP71" s="61">
        <f t="shared" si="55"/>
        <v>0</v>
      </c>
      <c r="BQ71" s="60">
        <f t="shared" si="56"/>
        <v>0</v>
      </c>
      <c r="BR71" s="198"/>
    </row>
    <row r="72" spans="1:70" s="51" customFormat="1" x14ac:dyDescent="0.25">
      <c r="A72" s="169">
        <v>68</v>
      </c>
      <c r="B72" s="1">
        <f t="shared" si="57"/>
        <v>47588</v>
      </c>
      <c r="C72" s="60">
        <f>SUM(
   IF(($A$4:$A$184 &lt;= Input!$D$16), M72, 0),
   IF(($A$4:$A$184 &lt;= Input!$E$16), Y72, 0),
   IF(($A$4:$A$184 &lt;= Input!$F$16), AK72, 0),
   IF(($A$4:$A$184 &lt;= Input!$G$16), AW72, 0),
   IF(($A$4:$A$184 &lt;= Input!$H$16), BI72, 0)
)</f>
        <v>18940500</v>
      </c>
      <c r="D72" s="60">
        <f>SUM(
   IF(($A$4:$A$184 &lt;= Input!$D$16), O72, 0),
   IF(($A$4:$A$184 &lt;= Input!$E$16), AA72, 0),
   IF(($A$4:$A$184 &lt;= Input!$F$16), AM72, 0),
   IF(($A$4:$A$184 &lt;= Input!$G$16), AY72, 0),
   IF(($A$4:$A$184 &lt;= Input!$H$16), BK72, 0)
)</f>
        <v>17046450</v>
      </c>
      <c r="E72" s="60">
        <f t="shared" si="58"/>
        <v>31</v>
      </c>
      <c r="F72" s="60">
        <f t="shared" si="59"/>
        <v>675434516</v>
      </c>
      <c r="G72" s="60">
        <f>ROUND(F72*E72*Input!$C$3/365,0)</f>
        <v>8604851</v>
      </c>
      <c r="H72" s="60">
        <f>IF($A72&lt;=Input!$C$6,0,IF('Unique Tenure'!D72&lt;'Unique Tenure'!F72,'Unique Tenure'!D72-G72,'Unique Tenure'!F72))</f>
        <v>8441599</v>
      </c>
      <c r="I72" s="60">
        <f t="shared" si="60"/>
        <v>17046450</v>
      </c>
      <c r="J72" s="60">
        <f t="shared" si="61"/>
        <v>666992917</v>
      </c>
      <c r="K72" s="202">
        <f>J72/Input!$K$5</f>
        <v>2.2233097233333332</v>
      </c>
      <c r="L72" s="232"/>
      <c r="M72" s="60">
        <f>IF($B72&lt;Input!$H$43,IF($B72&lt;Input!$G$43,IF($B72&lt;Input!$F$43,IF($B72&lt;Input!$E$43,IF($B72&lt;Input!$D$43,Input!$C$49,Input!$D$49),Input!$E$49),Input!$F$49),Input!$G$49),Input!$H$49)</f>
        <v>18940500</v>
      </c>
      <c r="N72" s="190">
        <f>IF($A72&lt;Input!$H$50,IF($A72&lt;Input!$G$50,IF($A72&lt;Input!$F$50,IF($A72&lt;Input!$E$50,IF($A72&lt;Input!$D$50,Input!$C$51,Input!$D$51),Input!$E$51),Input!$F$51),Input!$G$51),Input!$H$51)</f>
        <v>0.9</v>
      </c>
      <c r="O72" s="60">
        <f t="shared" si="36"/>
        <v>17046450</v>
      </c>
      <c r="P72" s="60">
        <f t="shared" si="37"/>
        <v>31</v>
      </c>
      <c r="Q72" s="60">
        <f t="shared" si="38"/>
        <v>675434516</v>
      </c>
      <c r="R72" s="60">
        <f>ROUND(Q72*$P72*Input!$C$3/365,0)</f>
        <v>8604851</v>
      </c>
      <c r="S72" s="60">
        <f>IF(A72&lt;=Input!$C$6,0,IF('Unique Tenure'!O72&lt;'Unique Tenure'!Q72,'Unique Tenure'!O72-R72,'Unique Tenure'!Q72))</f>
        <v>8441599</v>
      </c>
      <c r="T72" s="60">
        <f t="shared" si="39"/>
        <v>17046450</v>
      </c>
      <c r="U72" s="60">
        <f t="shared" si="40"/>
        <v>666992917</v>
      </c>
      <c r="V72" s="193"/>
      <c r="W72" s="169">
        <v>68</v>
      </c>
      <c r="X72" s="1">
        <f t="shared" si="62"/>
        <v>47588</v>
      </c>
      <c r="Y72" s="60">
        <f>IF($X72&lt;Input!$H$58,IF($X72&lt;Input!$G$58,IF($X72&lt;Input!$F$58,IF($X72&lt;Input!$E$58,IF($X72&lt;Input!$D$58,Input!$C$64,Input!$D$64),Input!$E$64),Input!$F$64),Input!$G$64),Input!$H$64)</f>
        <v>0</v>
      </c>
      <c r="Z72" s="190">
        <f>IF($A72&lt;Input!$H$65,IF($A72&lt;Input!$G$65,IF($A72&lt;Input!$F$65,IF($A72&lt;Input!$E$65,IF($A72&lt;Input!$D$65,Input!$C$66,Input!$D$66),Input!$E$66),Input!$F$66),Input!$G$66),Input!$H$66)</f>
        <v>0.9</v>
      </c>
      <c r="AA72" s="60">
        <f t="shared" si="41"/>
        <v>0</v>
      </c>
      <c r="AB72" s="60">
        <f t="shared" si="63"/>
        <v>31</v>
      </c>
      <c r="AC72" s="60">
        <f t="shared" si="42"/>
        <v>0</v>
      </c>
      <c r="AD72" s="60">
        <f>ROUND(AC72*AB72*Input!$C$3/365,0)</f>
        <v>0</v>
      </c>
      <c r="AE72" s="61">
        <f>IF($A72&lt;=Input!$C$6,0,IF('Unique Tenure'!AA72&lt;'Unique Tenure'!AC72,'Unique Tenure'!AA72-AD72,'Unique Tenure'!AC72))</f>
        <v>0</v>
      </c>
      <c r="AF72" s="61">
        <f t="shared" si="43"/>
        <v>0</v>
      </c>
      <c r="AG72" s="60">
        <f t="shared" si="44"/>
        <v>0</v>
      </c>
      <c r="AH72" s="193"/>
      <c r="AI72" s="169">
        <v>68</v>
      </c>
      <c r="AJ72" s="1">
        <f t="shared" si="64"/>
        <v>47588</v>
      </c>
      <c r="AK72" s="60">
        <f>IF($X72&lt;Input!$H$73,IF($X72&lt;Input!$G$73,IF($X72&lt;Input!$F$73,IF($X72&lt;Input!$E$73,IF($X72&lt;Input!$D$73,Input!$C$79,Input!$D$79),Input!$E$79),Input!$F$79),Input!$G$79),Input!$H$79)</f>
        <v>0</v>
      </c>
      <c r="AL72" s="190">
        <f>IF($A72&lt;Input!$H$80,IF($A72&lt;Input!$G$80,IF($A72&lt;Input!$F$80,IF($A72&lt;Input!$E$80,IF($A72&lt;Input!$D$80,Input!$C$81,Input!$D$81),Input!$E$81),Input!$F$81),Input!$G$81),Input!$H$81)</f>
        <v>0.9</v>
      </c>
      <c r="AM72" s="60">
        <f t="shared" si="45"/>
        <v>0</v>
      </c>
      <c r="AN72" s="60">
        <f t="shared" si="65"/>
        <v>31</v>
      </c>
      <c r="AO72" s="60">
        <f t="shared" si="46"/>
        <v>0</v>
      </c>
      <c r="AP72" s="60">
        <f>ROUND(AO72*AN72*Input!$C$3/365,0)</f>
        <v>0</v>
      </c>
      <c r="AQ72" s="61">
        <f>IF($A72&lt;=Input!$C$6,0,IF('Unique Tenure'!AM72&lt;'Unique Tenure'!AO72,'Unique Tenure'!AM72-AP72,'Unique Tenure'!AO72))</f>
        <v>0</v>
      </c>
      <c r="AR72" s="61">
        <f t="shared" si="47"/>
        <v>0</v>
      </c>
      <c r="AS72" s="60">
        <f t="shared" si="48"/>
        <v>0</v>
      </c>
      <c r="AT72" s="193"/>
      <c r="AU72" s="169">
        <v>68</v>
      </c>
      <c r="AV72" s="1">
        <f t="shared" si="66"/>
        <v>47588</v>
      </c>
      <c r="AW72" s="60">
        <f>IF($X72&lt;Input!$H$88,IF($X72&lt;Input!$G$88,IF($X72&lt;Input!$F$88,IF($X72&lt;Input!$E$88,IF($X72&lt;Input!$D$88,Input!$C$94,Input!$D$94),Input!$E$94),Input!$F$94),Input!$G$94),Input!$H$94)</f>
        <v>0</v>
      </c>
      <c r="AX72" s="190">
        <f>IF($A72&lt;Input!$H$95,IF($A72&lt;Input!$G$95,IF($A72&lt;Input!$F$95,IF($A72&lt;Input!$E$95,IF($A72&lt;Input!$D$95,Input!$C$96,Input!$D$96),Input!$E$96),Input!$F$96),Input!$G$96),Input!$H$96)</f>
        <v>0.9</v>
      </c>
      <c r="AY72" s="60">
        <f t="shared" si="49"/>
        <v>0</v>
      </c>
      <c r="AZ72" s="60">
        <f t="shared" si="67"/>
        <v>31</v>
      </c>
      <c r="BA72" s="60">
        <f t="shared" si="50"/>
        <v>0</v>
      </c>
      <c r="BB72" s="60">
        <f>ROUND(BA72*AZ72*Input!$C$3/365,0)</f>
        <v>0</v>
      </c>
      <c r="BC72" s="61">
        <f>IF($A72&lt;=Input!$C$6,0,IF('Unique Tenure'!AY72&lt;'Unique Tenure'!BA72,'Unique Tenure'!AY72-BB72,'Unique Tenure'!BA72))</f>
        <v>0</v>
      </c>
      <c r="BD72" s="61">
        <f t="shared" si="51"/>
        <v>0</v>
      </c>
      <c r="BE72" s="60">
        <f t="shared" si="52"/>
        <v>0</v>
      </c>
      <c r="BF72" s="193"/>
      <c r="BG72" s="169">
        <v>68</v>
      </c>
      <c r="BH72" s="1">
        <f t="shared" si="68"/>
        <v>47588</v>
      </c>
      <c r="BI72" s="60">
        <f>IF($X72&lt;Input!$H$103,IF($X72&lt;Input!$G$103,IF($X72&lt;Input!$F$103,IF($X72&lt;Input!$E$103,IF($X72&lt;Input!$D$103,Input!$C$109,Input!$D$109),Input!$E$109),Input!$F$109),Input!$G$109),Input!$H$109)</f>
        <v>0</v>
      </c>
      <c r="BJ72" s="190">
        <f>IF($A72&lt;Input!$H$110,IF($A72&lt;Input!$G$110,IF($A72&lt;Input!$F$110,IF($A72&lt;Input!$E$110,IF($A72&lt;Input!$D$110,Input!$C$111,Input!$D$111),Input!$E$111),Input!$F$111),Input!$G$111),Input!$H$111)</f>
        <v>0.9</v>
      </c>
      <c r="BK72" s="60">
        <f t="shared" si="53"/>
        <v>0</v>
      </c>
      <c r="BL72" s="60">
        <f t="shared" si="69"/>
        <v>31</v>
      </c>
      <c r="BM72" s="60">
        <f t="shared" si="54"/>
        <v>0</v>
      </c>
      <c r="BN72" s="60">
        <f>ROUND(BM72*BL72*Input!$C$3/365,0)</f>
        <v>0</v>
      </c>
      <c r="BO72" s="61">
        <f>IF($A72&lt;=Input!$C$6,0,IF('Unique Tenure'!BK72&lt;'Unique Tenure'!BM72,'Unique Tenure'!BK72-BN72,'Unique Tenure'!BM72))</f>
        <v>0</v>
      </c>
      <c r="BP72" s="61">
        <f t="shared" si="55"/>
        <v>0</v>
      </c>
      <c r="BQ72" s="60">
        <f t="shared" si="56"/>
        <v>0</v>
      </c>
      <c r="BR72" s="198"/>
    </row>
    <row r="73" spans="1:70" s="51" customFormat="1" x14ac:dyDescent="0.25">
      <c r="A73" s="169">
        <v>69</v>
      </c>
      <c r="B73" s="1">
        <f t="shared" si="57"/>
        <v>47618</v>
      </c>
      <c r="C73" s="60">
        <f>SUM(
   IF(($A$4:$A$184 &lt;= Input!$D$16), M73, 0),
   IF(($A$4:$A$184 &lt;= Input!$E$16), Y73, 0),
   IF(($A$4:$A$184 &lt;= Input!$F$16), AK73, 0),
   IF(($A$4:$A$184 &lt;= Input!$G$16), AW73, 0),
   IF(($A$4:$A$184 &lt;= Input!$H$16), BI73, 0)
)</f>
        <v>18940500</v>
      </c>
      <c r="D73" s="60">
        <f>SUM(
   IF(($A$4:$A$184 &lt;= Input!$D$16), O73, 0),
   IF(($A$4:$A$184 &lt;= Input!$E$16), AA73, 0),
   IF(($A$4:$A$184 &lt;= Input!$F$16), AM73, 0),
   IF(($A$4:$A$184 &lt;= Input!$G$16), AY73, 0),
   IF(($A$4:$A$184 &lt;= Input!$H$16), BK73, 0)
)</f>
        <v>17046450</v>
      </c>
      <c r="E73" s="60">
        <f t="shared" si="58"/>
        <v>30</v>
      </c>
      <c r="F73" s="60">
        <f t="shared" si="59"/>
        <v>666992917</v>
      </c>
      <c r="G73" s="60">
        <f>ROUND(F73*E73*Input!$C$3/365,0)</f>
        <v>8223200</v>
      </c>
      <c r="H73" s="60">
        <f>IF($A73&lt;=Input!$C$6,0,IF('Unique Tenure'!D73&lt;'Unique Tenure'!F73,'Unique Tenure'!D73-G73,'Unique Tenure'!F73))</f>
        <v>8823250</v>
      </c>
      <c r="I73" s="60">
        <f t="shared" si="60"/>
        <v>17046450</v>
      </c>
      <c r="J73" s="60">
        <f t="shared" si="61"/>
        <v>658169667</v>
      </c>
      <c r="K73" s="202">
        <f>J73/Input!$K$5</f>
        <v>2.1938988899999998</v>
      </c>
      <c r="L73" s="232"/>
      <c r="M73" s="60">
        <f>IF($B73&lt;Input!$H$43,IF($B73&lt;Input!$G$43,IF($B73&lt;Input!$F$43,IF($B73&lt;Input!$E$43,IF($B73&lt;Input!$D$43,Input!$C$49,Input!$D$49),Input!$E$49),Input!$F$49),Input!$G$49),Input!$H$49)</f>
        <v>18940500</v>
      </c>
      <c r="N73" s="190">
        <f>IF($A73&lt;Input!$H$50,IF($A73&lt;Input!$G$50,IF($A73&lt;Input!$F$50,IF($A73&lt;Input!$E$50,IF($A73&lt;Input!$D$50,Input!$C$51,Input!$D$51),Input!$E$51),Input!$F$51),Input!$G$51),Input!$H$51)</f>
        <v>0.9</v>
      </c>
      <c r="O73" s="60">
        <f t="shared" si="36"/>
        <v>17046450</v>
      </c>
      <c r="P73" s="60">
        <f t="shared" si="37"/>
        <v>30</v>
      </c>
      <c r="Q73" s="60">
        <f t="shared" si="38"/>
        <v>666992917</v>
      </c>
      <c r="R73" s="60">
        <f>ROUND(Q73*$P73*Input!$C$3/365,0)</f>
        <v>8223200</v>
      </c>
      <c r="S73" s="60">
        <f>IF(A73&lt;=Input!$C$6,0,IF('Unique Tenure'!O73&lt;'Unique Tenure'!Q73,'Unique Tenure'!O73-R73,'Unique Tenure'!Q73))</f>
        <v>8823250</v>
      </c>
      <c r="T73" s="60">
        <f t="shared" si="39"/>
        <v>17046450</v>
      </c>
      <c r="U73" s="60">
        <f t="shared" si="40"/>
        <v>658169667</v>
      </c>
      <c r="V73" s="193"/>
      <c r="W73" s="169">
        <v>69</v>
      </c>
      <c r="X73" s="1">
        <f t="shared" si="62"/>
        <v>47618</v>
      </c>
      <c r="Y73" s="60">
        <f>IF($X73&lt;Input!$H$58,IF($X73&lt;Input!$G$58,IF($X73&lt;Input!$F$58,IF($X73&lt;Input!$E$58,IF($X73&lt;Input!$D$58,Input!$C$64,Input!$D$64),Input!$E$64),Input!$F$64),Input!$G$64),Input!$H$64)</f>
        <v>0</v>
      </c>
      <c r="Z73" s="190">
        <f>IF($A73&lt;Input!$H$65,IF($A73&lt;Input!$G$65,IF($A73&lt;Input!$F$65,IF($A73&lt;Input!$E$65,IF($A73&lt;Input!$D$65,Input!$C$66,Input!$D$66),Input!$E$66),Input!$F$66),Input!$G$66),Input!$H$66)</f>
        <v>0.9</v>
      </c>
      <c r="AA73" s="60">
        <f t="shared" si="41"/>
        <v>0</v>
      </c>
      <c r="AB73" s="60">
        <f t="shared" si="63"/>
        <v>30</v>
      </c>
      <c r="AC73" s="60">
        <f t="shared" si="42"/>
        <v>0</v>
      </c>
      <c r="AD73" s="60">
        <f>ROUND(AC73*AB73*Input!$C$3/365,0)</f>
        <v>0</v>
      </c>
      <c r="AE73" s="61">
        <f>IF($A73&lt;=Input!$C$6,0,IF('Unique Tenure'!AA73&lt;'Unique Tenure'!AC73,'Unique Tenure'!AA73-AD73,'Unique Tenure'!AC73))</f>
        <v>0</v>
      </c>
      <c r="AF73" s="61">
        <f t="shared" si="43"/>
        <v>0</v>
      </c>
      <c r="AG73" s="60">
        <f t="shared" si="44"/>
        <v>0</v>
      </c>
      <c r="AH73" s="193"/>
      <c r="AI73" s="169">
        <v>69</v>
      </c>
      <c r="AJ73" s="1">
        <f t="shared" si="64"/>
        <v>47618</v>
      </c>
      <c r="AK73" s="60">
        <f>IF($X73&lt;Input!$H$73,IF($X73&lt;Input!$G$73,IF($X73&lt;Input!$F$73,IF($X73&lt;Input!$E$73,IF($X73&lt;Input!$D$73,Input!$C$79,Input!$D$79),Input!$E$79),Input!$F$79),Input!$G$79),Input!$H$79)</f>
        <v>0</v>
      </c>
      <c r="AL73" s="190">
        <f>IF($A73&lt;Input!$H$80,IF($A73&lt;Input!$G$80,IF($A73&lt;Input!$F$80,IF($A73&lt;Input!$E$80,IF($A73&lt;Input!$D$80,Input!$C$81,Input!$D$81),Input!$E$81),Input!$F$81),Input!$G$81),Input!$H$81)</f>
        <v>0.9</v>
      </c>
      <c r="AM73" s="60">
        <f t="shared" si="45"/>
        <v>0</v>
      </c>
      <c r="AN73" s="60">
        <f t="shared" si="65"/>
        <v>30</v>
      </c>
      <c r="AO73" s="60">
        <f t="shared" si="46"/>
        <v>0</v>
      </c>
      <c r="AP73" s="60">
        <f>ROUND(AO73*AN73*Input!$C$3/365,0)</f>
        <v>0</v>
      </c>
      <c r="AQ73" s="61">
        <f>IF($A73&lt;=Input!$C$6,0,IF('Unique Tenure'!AM73&lt;'Unique Tenure'!AO73,'Unique Tenure'!AM73-AP73,'Unique Tenure'!AO73))</f>
        <v>0</v>
      </c>
      <c r="AR73" s="61">
        <f t="shared" si="47"/>
        <v>0</v>
      </c>
      <c r="AS73" s="60">
        <f t="shared" si="48"/>
        <v>0</v>
      </c>
      <c r="AT73" s="193"/>
      <c r="AU73" s="169">
        <v>69</v>
      </c>
      <c r="AV73" s="1">
        <f t="shared" si="66"/>
        <v>47618</v>
      </c>
      <c r="AW73" s="60">
        <f>IF($X73&lt;Input!$H$88,IF($X73&lt;Input!$G$88,IF($X73&lt;Input!$F$88,IF($X73&lt;Input!$E$88,IF($X73&lt;Input!$D$88,Input!$C$94,Input!$D$94),Input!$E$94),Input!$F$94),Input!$G$94),Input!$H$94)</f>
        <v>0</v>
      </c>
      <c r="AX73" s="190">
        <f>IF($A73&lt;Input!$H$95,IF($A73&lt;Input!$G$95,IF($A73&lt;Input!$F$95,IF($A73&lt;Input!$E$95,IF($A73&lt;Input!$D$95,Input!$C$96,Input!$D$96),Input!$E$96),Input!$F$96),Input!$G$96),Input!$H$96)</f>
        <v>0.9</v>
      </c>
      <c r="AY73" s="60">
        <f t="shared" si="49"/>
        <v>0</v>
      </c>
      <c r="AZ73" s="60">
        <f t="shared" si="67"/>
        <v>30</v>
      </c>
      <c r="BA73" s="60">
        <f t="shared" si="50"/>
        <v>0</v>
      </c>
      <c r="BB73" s="60">
        <f>ROUND(BA73*AZ73*Input!$C$3/365,0)</f>
        <v>0</v>
      </c>
      <c r="BC73" s="61">
        <f>IF($A73&lt;=Input!$C$6,0,IF('Unique Tenure'!AY73&lt;'Unique Tenure'!BA73,'Unique Tenure'!AY73-BB73,'Unique Tenure'!BA73))</f>
        <v>0</v>
      </c>
      <c r="BD73" s="61">
        <f t="shared" si="51"/>
        <v>0</v>
      </c>
      <c r="BE73" s="60">
        <f t="shared" si="52"/>
        <v>0</v>
      </c>
      <c r="BF73" s="193"/>
      <c r="BG73" s="169">
        <v>69</v>
      </c>
      <c r="BH73" s="1">
        <f t="shared" si="68"/>
        <v>47618</v>
      </c>
      <c r="BI73" s="60">
        <f>IF($X73&lt;Input!$H$103,IF($X73&lt;Input!$G$103,IF($X73&lt;Input!$F$103,IF($X73&lt;Input!$E$103,IF($X73&lt;Input!$D$103,Input!$C$109,Input!$D$109),Input!$E$109),Input!$F$109),Input!$G$109),Input!$H$109)</f>
        <v>0</v>
      </c>
      <c r="BJ73" s="190">
        <f>IF($A73&lt;Input!$H$110,IF($A73&lt;Input!$G$110,IF($A73&lt;Input!$F$110,IF($A73&lt;Input!$E$110,IF($A73&lt;Input!$D$110,Input!$C$111,Input!$D$111),Input!$E$111),Input!$F$111),Input!$G$111),Input!$H$111)</f>
        <v>0.9</v>
      </c>
      <c r="BK73" s="60">
        <f t="shared" si="53"/>
        <v>0</v>
      </c>
      <c r="BL73" s="60">
        <f t="shared" si="69"/>
        <v>30</v>
      </c>
      <c r="BM73" s="60">
        <f t="shared" si="54"/>
        <v>0</v>
      </c>
      <c r="BN73" s="60">
        <f>ROUND(BM73*BL73*Input!$C$3/365,0)</f>
        <v>0</v>
      </c>
      <c r="BO73" s="61">
        <f>IF($A73&lt;=Input!$C$6,0,IF('Unique Tenure'!BK73&lt;'Unique Tenure'!BM73,'Unique Tenure'!BK73-BN73,'Unique Tenure'!BM73))</f>
        <v>0</v>
      </c>
      <c r="BP73" s="61">
        <f t="shared" si="55"/>
        <v>0</v>
      </c>
      <c r="BQ73" s="60">
        <f t="shared" si="56"/>
        <v>0</v>
      </c>
      <c r="BR73" s="198"/>
    </row>
    <row r="74" spans="1:70" s="51" customFormat="1" x14ac:dyDescent="0.25">
      <c r="A74" s="169">
        <v>70</v>
      </c>
      <c r="B74" s="1">
        <f t="shared" si="57"/>
        <v>47649</v>
      </c>
      <c r="C74" s="60">
        <f>SUM(
   IF(($A$4:$A$184 &lt;= Input!$D$16), M74, 0),
   IF(($A$4:$A$184 &lt;= Input!$E$16), Y74, 0),
   IF(($A$4:$A$184 &lt;= Input!$F$16), AK74, 0),
   IF(($A$4:$A$184 &lt;= Input!$G$16), AW74, 0),
   IF(($A$4:$A$184 &lt;= Input!$H$16), BI74, 0)
)</f>
        <v>18940500</v>
      </c>
      <c r="D74" s="60">
        <f>SUM(
   IF(($A$4:$A$184 &lt;= Input!$D$16), O74, 0),
   IF(($A$4:$A$184 &lt;= Input!$E$16), AA74, 0),
   IF(($A$4:$A$184 &lt;= Input!$F$16), AM74, 0),
   IF(($A$4:$A$184 &lt;= Input!$G$16), AY74, 0),
   IF(($A$4:$A$184 &lt;= Input!$H$16), BK74, 0)
)</f>
        <v>17046450</v>
      </c>
      <c r="E74" s="60">
        <f t="shared" si="58"/>
        <v>31</v>
      </c>
      <c r="F74" s="60">
        <f t="shared" si="59"/>
        <v>658169667</v>
      </c>
      <c r="G74" s="60">
        <f>ROUND(F74*E74*Input!$C$3/365,0)</f>
        <v>8384901</v>
      </c>
      <c r="H74" s="60">
        <f>IF($A74&lt;=Input!$C$6,0,IF('Unique Tenure'!D74&lt;'Unique Tenure'!F74,'Unique Tenure'!D74-G74,'Unique Tenure'!F74))</f>
        <v>8661549</v>
      </c>
      <c r="I74" s="60">
        <f t="shared" si="60"/>
        <v>17046450</v>
      </c>
      <c r="J74" s="60">
        <f t="shared" si="61"/>
        <v>649508118</v>
      </c>
      <c r="K74" s="202">
        <f>J74/Input!$K$5</f>
        <v>2.1650270599999999</v>
      </c>
      <c r="L74" s="232"/>
      <c r="M74" s="60">
        <f>IF($B74&lt;Input!$H$43,IF($B74&lt;Input!$G$43,IF($B74&lt;Input!$F$43,IF($B74&lt;Input!$E$43,IF($B74&lt;Input!$D$43,Input!$C$49,Input!$D$49),Input!$E$49),Input!$F$49),Input!$G$49),Input!$H$49)</f>
        <v>18940500</v>
      </c>
      <c r="N74" s="190">
        <f>IF($A74&lt;Input!$H$50,IF($A74&lt;Input!$G$50,IF($A74&lt;Input!$F$50,IF($A74&lt;Input!$E$50,IF($A74&lt;Input!$D$50,Input!$C$51,Input!$D$51),Input!$E$51),Input!$F$51),Input!$G$51),Input!$H$51)</f>
        <v>0.9</v>
      </c>
      <c r="O74" s="60">
        <f t="shared" si="36"/>
        <v>17046450</v>
      </c>
      <c r="P74" s="60">
        <f t="shared" si="37"/>
        <v>31</v>
      </c>
      <c r="Q74" s="60">
        <f t="shared" si="38"/>
        <v>658169667</v>
      </c>
      <c r="R74" s="60">
        <f>ROUND(Q74*$P74*Input!$C$3/365,0)</f>
        <v>8384901</v>
      </c>
      <c r="S74" s="60">
        <f>IF(A74&lt;=Input!$C$6,0,IF('Unique Tenure'!O74&lt;'Unique Tenure'!Q74,'Unique Tenure'!O74-R74,'Unique Tenure'!Q74))</f>
        <v>8661549</v>
      </c>
      <c r="T74" s="60">
        <f t="shared" si="39"/>
        <v>17046450</v>
      </c>
      <c r="U74" s="60">
        <f t="shared" si="40"/>
        <v>649508118</v>
      </c>
      <c r="V74" s="193"/>
      <c r="W74" s="169">
        <v>70</v>
      </c>
      <c r="X74" s="1">
        <f t="shared" si="62"/>
        <v>47649</v>
      </c>
      <c r="Y74" s="60">
        <f>IF($X74&lt;Input!$H$58,IF($X74&lt;Input!$G$58,IF($X74&lt;Input!$F$58,IF($X74&lt;Input!$E$58,IF($X74&lt;Input!$D$58,Input!$C$64,Input!$D$64),Input!$E$64),Input!$F$64),Input!$G$64),Input!$H$64)</f>
        <v>0</v>
      </c>
      <c r="Z74" s="190">
        <f>IF($A74&lt;Input!$H$65,IF($A74&lt;Input!$G$65,IF($A74&lt;Input!$F$65,IF($A74&lt;Input!$E$65,IF($A74&lt;Input!$D$65,Input!$C$66,Input!$D$66),Input!$E$66),Input!$F$66),Input!$G$66),Input!$H$66)</f>
        <v>0.9</v>
      </c>
      <c r="AA74" s="60">
        <f t="shared" si="41"/>
        <v>0</v>
      </c>
      <c r="AB74" s="60">
        <f t="shared" si="63"/>
        <v>31</v>
      </c>
      <c r="AC74" s="60">
        <f t="shared" si="42"/>
        <v>0</v>
      </c>
      <c r="AD74" s="60">
        <f>ROUND(AC74*AB74*Input!$C$3/365,0)</f>
        <v>0</v>
      </c>
      <c r="AE74" s="61">
        <f>IF($A74&lt;=Input!$C$6,0,IF('Unique Tenure'!AA74&lt;'Unique Tenure'!AC74,'Unique Tenure'!AA74-AD74,'Unique Tenure'!AC74))</f>
        <v>0</v>
      </c>
      <c r="AF74" s="61">
        <f t="shared" si="43"/>
        <v>0</v>
      </c>
      <c r="AG74" s="60">
        <f t="shared" si="44"/>
        <v>0</v>
      </c>
      <c r="AH74" s="193"/>
      <c r="AI74" s="169">
        <v>70</v>
      </c>
      <c r="AJ74" s="1">
        <f t="shared" si="64"/>
        <v>47649</v>
      </c>
      <c r="AK74" s="60">
        <f>IF($X74&lt;Input!$H$73,IF($X74&lt;Input!$G$73,IF($X74&lt;Input!$F$73,IF($X74&lt;Input!$E$73,IF($X74&lt;Input!$D$73,Input!$C$79,Input!$D$79),Input!$E$79),Input!$F$79),Input!$G$79),Input!$H$79)</f>
        <v>0</v>
      </c>
      <c r="AL74" s="190">
        <f>IF($A74&lt;Input!$H$80,IF($A74&lt;Input!$G$80,IF($A74&lt;Input!$F$80,IF($A74&lt;Input!$E$80,IF($A74&lt;Input!$D$80,Input!$C$81,Input!$D$81),Input!$E$81),Input!$F$81),Input!$G$81),Input!$H$81)</f>
        <v>0.9</v>
      </c>
      <c r="AM74" s="60">
        <f t="shared" si="45"/>
        <v>0</v>
      </c>
      <c r="AN74" s="60">
        <f t="shared" si="65"/>
        <v>31</v>
      </c>
      <c r="AO74" s="60">
        <f t="shared" si="46"/>
        <v>0</v>
      </c>
      <c r="AP74" s="60">
        <f>ROUND(AO74*AN74*Input!$C$3/365,0)</f>
        <v>0</v>
      </c>
      <c r="AQ74" s="61">
        <f>IF($A74&lt;=Input!$C$6,0,IF('Unique Tenure'!AM74&lt;'Unique Tenure'!AO74,'Unique Tenure'!AM74-AP74,'Unique Tenure'!AO74))</f>
        <v>0</v>
      </c>
      <c r="AR74" s="61">
        <f t="shared" si="47"/>
        <v>0</v>
      </c>
      <c r="AS74" s="60">
        <f t="shared" si="48"/>
        <v>0</v>
      </c>
      <c r="AT74" s="193"/>
      <c r="AU74" s="169">
        <v>70</v>
      </c>
      <c r="AV74" s="1">
        <f t="shared" si="66"/>
        <v>47649</v>
      </c>
      <c r="AW74" s="60">
        <f>IF($X74&lt;Input!$H$88,IF($X74&lt;Input!$G$88,IF($X74&lt;Input!$F$88,IF($X74&lt;Input!$E$88,IF($X74&lt;Input!$D$88,Input!$C$94,Input!$D$94),Input!$E$94),Input!$F$94),Input!$G$94),Input!$H$94)</f>
        <v>0</v>
      </c>
      <c r="AX74" s="190">
        <f>IF($A74&lt;Input!$H$95,IF($A74&lt;Input!$G$95,IF($A74&lt;Input!$F$95,IF($A74&lt;Input!$E$95,IF($A74&lt;Input!$D$95,Input!$C$96,Input!$D$96),Input!$E$96),Input!$F$96),Input!$G$96),Input!$H$96)</f>
        <v>0.9</v>
      </c>
      <c r="AY74" s="60">
        <f t="shared" si="49"/>
        <v>0</v>
      </c>
      <c r="AZ74" s="60">
        <f t="shared" si="67"/>
        <v>31</v>
      </c>
      <c r="BA74" s="60">
        <f t="shared" si="50"/>
        <v>0</v>
      </c>
      <c r="BB74" s="60">
        <f>ROUND(BA74*AZ74*Input!$C$3/365,0)</f>
        <v>0</v>
      </c>
      <c r="BC74" s="61">
        <f>IF($A74&lt;=Input!$C$6,0,IF('Unique Tenure'!AY74&lt;'Unique Tenure'!BA74,'Unique Tenure'!AY74-BB74,'Unique Tenure'!BA74))</f>
        <v>0</v>
      </c>
      <c r="BD74" s="61">
        <f t="shared" si="51"/>
        <v>0</v>
      </c>
      <c r="BE74" s="60">
        <f t="shared" si="52"/>
        <v>0</v>
      </c>
      <c r="BF74" s="193"/>
      <c r="BG74" s="169">
        <v>70</v>
      </c>
      <c r="BH74" s="1">
        <f t="shared" si="68"/>
        <v>47649</v>
      </c>
      <c r="BI74" s="60">
        <f>IF($X74&lt;Input!$H$103,IF($X74&lt;Input!$G$103,IF($X74&lt;Input!$F$103,IF($X74&lt;Input!$E$103,IF($X74&lt;Input!$D$103,Input!$C$109,Input!$D$109),Input!$E$109),Input!$F$109),Input!$G$109),Input!$H$109)</f>
        <v>0</v>
      </c>
      <c r="BJ74" s="190">
        <f>IF($A74&lt;Input!$H$110,IF($A74&lt;Input!$G$110,IF($A74&lt;Input!$F$110,IF($A74&lt;Input!$E$110,IF($A74&lt;Input!$D$110,Input!$C$111,Input!$D$111),Input!$E$111),Input!$F$111),Input!$G$111),Input!$H$111)</f>
        <v>0.9</v>
      </c>
      <c r="BK74" s="60">
        <f t="shared" si="53"/>
        <v>0</v>
      </c>
      <c r="BL74" s="60">
        <f t="shared" si="69"/>
        <v>31</v>
      </c>
      <c r="BM74" s="60">
        <f t="shared" si="54"/>
        <v>0</v>
      </c>
      <c r="BN74" s="60">
        <f>ROUND(BM74*BL74*Input!$C$3/365,0)</f>
        <v>0</v>
      </c>
      <c r="BO74" s="61">
        <f>IF($A74&lt;=Input!$C$6,0,IF('Unique Tenure'!BK74&lt;'Unique Tenure'!BM74,'Unique Tenure'!BK74-BN74,'Unique Tenure'!BM74))</f>
        <v>0</v>
      </c>
      <c r="BP74" s="61">
        <f t="shared" si="55"/>
        <v>0</v>
      </c>
      <c r="BQ74" s="60">
        <f t="shared" si="56"/>
        <v>0</v>
      </c>
      <c r="BR74" s="198"/>
    </row>
    <row r="75" spans="1:70" s="51" customFormat="1" x14ac:dyDescent="0.25">
      <c r="A75" s="169">
        <v>71</v>
      </c>
      <c r="B75" s="1">
        <f t="shared" si="57"/>
        <v>47679</v>
      </c>
      <c r="C75" s="60">
        <f>SUM(
   IF(($A$4:$A$184 &lt;= Input!$D$16), M75, 0),
   IF(($A$4:$A$184 &lt;= Input!$E$16), Y75, 0),
   IF(($A$4:$A$184 &lt;= Input!$F$16), AK75, 0),
   IF(($A$4:$A$184 &lt;= Input!$G$16), AW75, 0),
   IF(($A$4:$A$184 &lt;= Input!$H$16), BI75, 0)
)</f>
        <v>18940500</v>
      </c>
      <c r="D75" s="60">
        <f>SUM(
   IF(($A$4:$A$184 &lt;= Input!$D$16), O75, 0),
   IF(($A$4:$A$184 &lt;= Input!$E$16), AA75, 0),
   IF(($A$4:$A$184 &lt;= Input!$F$16), AM75, 0),
   IF(($A$4:$A$184 &lt;= Input!$G$16), AY75, 0),
   IF(($A$4:$A$184 &lt;= Input!$H$16), BK75, 0)
)</f>
        <v>17046450</v>
      </c>
      <c r="E75" s="60">
        <f t="shared" si="58"/>
        <v>30</v>
      </c>
      <c r="F75" s="60">
        <f t="shared" si="59"/>
        <v>649508118</v>
      </c>
      <c r="G75" s="60">
        <f>ROUND(F75*E75*Input!$C$3/365,0)</f>
        <v>8007634</v>
      </c>
      <c r="H75" s="60">
        <f>IF($A75&lt;=Input!$C$6,0,IF('Unique Tenure'!D75&lt;'Unique Tenure'!F75,'Unique Tenure'!D75-G75,'Unique Tenure'!F75))</f>
        <v>9038816</v>
      </c>
      <c r="I75" s="60">
        <f t="shared" si="60"/>
        <v>17046450</v>
      </c>
      <c r="J75" s="60">
        <f t="shared" si="61"/>
        <v>640469302</v>
      </c>
      <c r="K75" s="202">
        <f>J75/Input!$K$5</f>
        <v>2.1348976733333331</v>
      </c>
      <c r="L75" s="232"/>
      <c r="M75" s="60">
        <f>IF($B75&lt;Input!$H$43,IF($B75&lt;Input!$G$43,IF($B75&lt;Input!$F$43,IF($B75&lt;Input!$E$43,IF($B75&lt;Input!$D$43,Input!$C$49,Input!$D$49),Input!$E$49),Input!$F$49),Input!$G$49),Input!$H$49)</f>
        <v>18940500</v>
      </c>
      <c r="N75" s="190">
        <f>IF($A75&lt;Input!$H$50,IF($A75&lt;Input!$G$50,IF($A75&lt;Input!$F$50,IF($A75&lt;Input!$E$50,IF($A75&lt;Input!$D$50,Input!$C$51,Input!$D$51),Input!$E$51),Input!$F$51),Input!$G$51),Input!$H$51)</f>
        <v>0.9</v>
      </c>
      <c r="O75" s="60">
        <f t="shared" si="36"/>
        <v>17046450</v>
      </c>
      <c r="P75" s="60">
        <f t="shared" si="37"/>
        <v>30</v>
      </c>
      <c r="Q75" s="60">
        <f t="shared" si="38"/>
        <v>649508118</v>
      </c>
      <c r="R75" s="60">
        <f>ROUND(Q75*$P75*Input!$C$3/365,0)</f>
        <v>8007634</v>
      </c>
      <c r="S75" s="60">
        <f>IF(A75&lt;=Input!$C$6,0,IF('Unique Tenure'!O75&lt;'Unique Tenure'!Q75,'Unique Tenure'!O75-R75,'Unique Tenure'!Q75))</f>
        <v>9038816</v>
      </c>
      <c r="T75" s="60">
        <f t="shared" si="39"/>
        <v>17046450</v>
      </c>
      <c r="U75" s="60">
        <f t="shared" si="40"/>
        <v>640469302</v>
      </c>
      <c r="V75" s="193"/>
      <c r="W75" s="169">
        <v>71</v>
      </c>
      <c r="X75" s="1">
        <f t="shared" si="62"/>
        <v>47679</v>
      </c>
      <c r="Y75" s="60">
        <f>IF($X75&lt;Input!$H$58,IF($X75&lt;Input!$G$58,IF($X75&lt;Input!$F$58,IF($X75&lt;Input!$E$58,IF($X75&lt;Input!$D$58,Input!$C$64,Input!$D$64),Input!$E$64),Input!$F$64),Input!$G$64),Input!$H$64)</f>
        <v>0</v>
      </c>
      <c r="Z75" s="190">
        <f>IF($A75&lt;Input!$H$65,IF($A75&lt;Input!$G$65,IF($A75&lt;Input!$F$65,IF($A75&lt;Input!$E$65,IF($A75&lt;Input!$D$65,Input!$C$66,Input!$D$66),Input!$E$66),Input!$F$66),Input!$G$66),Input!$H$66)</f>
        <v>0.9</v>
      </c>
      <c r="AA75" s="60">
        <f t="shared" si="41"/>
        <v>0</v>
      </c>
      <c r="AB75" s="60">
        <f t="shared" si="63"/>
        <v>30</v>
      </c>
      <c r="AC75" s="60">
        <f t="shared" si="42"/>
        <v>0</v>
      </c>
      <c r="AD75" s="60">
        <f>ROUND(AC75*AB75*Input!$C$3/365,0)</f>
        <v>0</v>
      </c>
      <c r="AE75" s="61">
        <f>IF($A75&lt;=Input!$C$6,0,IF('Unique Tenure'!AA75&lt;'Unique Tenure'!AC75,'Unique Tenure'!AA75-AD75,'Unique Tenure'!AC75))</f>
        <v>0</v>
      </c>
      <c r="AF75" s="61">
        <f t="shared" si="43"/>
        <v>0</v>
      </c>
      <c r="AG75" s="60">
        <f t="shared" si="44"/>
        <v>0</v>
      </c>
      <c r="AH75" s="193"/>
      <c r="AI75" s="169">
        <v>71</v>
      </c>
      <c r="AJ75" s="1">
        <f t="shared" si="64"/>
        <v>47679</v>
      </c>
      <c r="AK75" s="60">
        <f>IF($X75&lt;Input!$H$73,IF($X75&lt;Input!$G$73,IF($X75&lt;Input!$F$73,IF($X75&lt;Input!$E$73,IF($X75&lt;Input!$D$73,Input!$C$79,Input!$D$79),Input!$E$79),Input!$F$79),Input!$G$79),Input!$H$79)</f>
        <v>0</v>
      </c>
      <c r="AL75" s="190">
        <f>IF($A75&lt;Input!$H$80,IF($A75&lt;Input!$G$80,IF($A75&lt;Input!$F$80,IF($A75&lt;Input!$E$80,IF($A75&lt;Input!$D$80,Input!$C$81,Input!$D$81),Input!$E$81),Input!$F$81),Input!$G$81),Input!$H$81)</f>
        <v>0.9</v>
      </c>
      <c r="AM75" s="60">
        <f t="shared" si="45"/>
        <v>0</v>
      </c>
      <c r="AN75" s="60">
        <f t="shared" si="65"/>
        <v>30</v>
      </c>
      <c r="AO75" s="60">
        <f t="shared" si="46"/>
        <v>0</v>
      </c>
      <c r="AP75" s="60">
        <f>ROUND(AO75*AN75*Input!$C$3/365,0)</f>
        <v>0</v>
      </c>
      <c r="AQ75" s="61">
        <f>IF($A75&lt;=Input!$C$6,0,IF('Unique Tenure'!AM75&lt;'Unique Tenure'!AO75,'Unique Tenure'!AM75-AP75,'Unique Tenure'!AO75))</f>
        <v>0</v>
      </c>
      <c r="AR75" s="61">
        <f t="shared" si="47"/>
        <v>0</v>
      </c>
      <c r="AS75" s="60">
        <f t="shared" si="48"/>
        <v>0</v>
      </c>
      <c r="AT75" s="193"/>
      <c r="AU75" s="169">
        <v>71</v>
      </c>
      <c r="AV75" s="1">
        <f t="shared" si="66"/>
        <v>47679</v>
      </c>
      <c r="AW75" s="60">
        <f>IF($X75&lt;Input!$H$88,IF($X75&lt;Input!$G$88,IF($X75&lt;Input!$F$88,IF($X75&lt;Input!$E$88,IF($X75&lt;Input!$D$88,Input!$C$94,Input!$D$94),Input!$E$94),Input!$F$94),Input!$G$94),Input!$H$94)</f>
        <v>0</v>
      </c>
      <c r="AX75" s="190">
        <f>IF($A75&lt;Input!$H$95,IF($A75&lt;Input!$G$95,IF($A75&lt;Input!$F$95,IF($A75&lt;Input!$E$95,IF($A75&lt;Input!$D$95,Input!$C$96,Input!$D$96),Input!$E$96),Input!$F$96),Input!$G$96),Input!$H$96)</f>
        <v>0.9</v>
      </c>
      <c r="AY75" s="60">
        <f t="shared" si="49"/>
        <v>0</v>
      </c>
      <c r="AZ75" s="60">
        <f t="shared" si="67"/>
        <v>30</v>
      </c>
      <c r="BA75" s="60">
        <f t="shared" si="50"/>
        <v>0</v>
      </c>
      <c r="BB75" s="60">
        <f>ROUND(BA75*AZ75*Input!$C$3/365,0)</f>
        <v>0</v>
      </c>
      <c r="BC75" s="61">
        <f>IF($A75&lt;=Input!$C$6,0,IF('Unique Tenure'!AY75&lt;'Unique Tenure'!BA75,'Unique Tenure'!AY75-BB75,'Unique Tenure'!BA75))</f>
        <v>0</v>
      </c>
      <c r="BD75" s="61">
        <f t="shared" si="51"/>
        <v>0</v>
      </c>
      <c r="BE75" s="60">
        <f t="shared" si="52"/>
        <v>0</v>
      </c>
      <c r="BF75" s="193"/>
      <c r="BG75" s="169">
        <v>71</v>
      </c>
      <c r="BH75" s="1">
        <f t="shared" si="68"/>
        <v>47679</v>
      </c>
      <c r="BI75" s="60">
        <f>IF($X75&lt;Input!$H$103,IF($X75&lt;Input!$G$103,IF($X75&lt;Input!$F$103,IF($X75&lt;Input!$E$103,IF($X75&lt;Input!$D$103,Input!$C$109,Input!$D$109),Input!$E$109),Input!$F$109),Input!$G$109),Input!$H$109)</f>
        <v>0</v>
      </c>
      <c r="BJ75" s="190">
        <f>IF($A75&lt;Input!$H$110,IF($A75&lt;Input!$G$110,IF($A75&lt;Input!$F$110,IF($A75&lt;Input!$E$110,IF($A75&lt;Input!$D$110,Input!$C$111,Input!$D$111),Input!$E$111),Input!$F$111),Input!$G$111),Input!$H$111)</f>
        <v>0.9</v>
      </c>
      <c r="BK75" s="60">
        <f t="shared" si="53"/>
        <v>0</v>
      </c>
      <c r="BL75" s="60">
        <f t="shared" si="69"/>
        <v>30</v>
      </c>
      <c r="BM75" s="60">
        <f t="shared" si="54"/>
        <v>0</v>
      </c>
      <c r="BN75" s="60">
        <f>ROUND(BM75*BL75*Input!$C$3/365,0)</f>
        <v>0</v>
      </c>
      <c r="BO75" s="61">
        <f>IF($A75&lt;=Input!$C$6,0,IF('Unique Tenure'!BK75&lt;'Unique Tenure'!BM75,'Unique Tenure'!BK75-BN75,'Unique Tenure'!BM75))</f>
        <v>0</v>
      </c>
      <c r="BP75" s="61">
        <f t="shared" si="55"/>
        <v>0</v>
      </c>
      <c r="BQ75" s="60">
        <f t="shared" si="56"/>
        <v>0</v>
      </c>
      <c r="BR75" s="198"/>
    </row>
    <row r="76" spans="1:70" s="51" customFormat="1" x14ac:dyDescent="0.25">
      <c r="A76" s="169">
        <v>72</v>
      </c>
      <c r="B76" s="1">
        <f t="shared" si="57"/>
        <v>47710</v>
      </c>
      <c r="C76" s="60">
        <f>SUM(
   IF(($A$4:$A$184 &lt;= Input!$D$16), M76, 0),
   IF(($A$4:$A$184 &lt;= Input!$E$16), Y76, 0),
   IF(($A$4:$A$184 &lt;= Input!$F$16), AK76, 0),
   IF(($A$4:$A$184 &lt;= Input!$G$16), AW76, 0),
   IF(($A$4:$A$184 &lt;= Input!$H$16), BI76, 0)
)</f>
        <v>18940500</v>
      </c>
      <c r="D76" s="60">
        <f>SUM(
   IF(($A$4:$A$184 &lt;= Input!$D$16), O76, 0),
   IF(($A$4:$A$184 &lt;= Input!$E$16), AA76, 0),
   IF(($A$4:$A$184 &lt;= Input!$F$16), AM76, 0),
   IF(($A$4:$A$184 &lt;= Input!$G$16), AY76, 0),
   IF(($A$4:$A$184 &lt;= Input!$H$16), BK76, 0)
)</f>
        <v>17046450</v>
      </c>
      <c r="E76" s="60">
        <f t="shared" si="58"/>
        <v>31</v>
      </c>
      <c r="F76" s="60">
        <f t="shared" si="59"/>
        <v>640469302</v>
      </c>
      <c r="G76" s="60">
        <f>ROUND(F76*E76*Input!$C$3/365,0)</f>
        <v>8159403</v>
      </c>
      <c r="H76" s="60">
        <f>IF($A76&lt;=Input!$C$6,0,IF('Unique Tenure'!D76&lt;'Unique Tenure'!F76,'Unique Tenure'!D76-G76,'Unique Tenure'!F76))</f>
        <v>8887047</v>
      </c>
      <c r="I76" s="60">
        <f t="shared" si="60"/>
        <v>17046450</v>
      </c>
      <c r="J76" s="60">
        <f t="shared" si="61"/>
        <v>631582255</v>
      </c>
      <c r="K76" s="202">
        <f>J76/Input!$K$5</f>
        <v>2.1052741833333335</v>
      </c>
      <c r="L76" s="232"/>
      <c r="M76" s="60">
        <f>IF($B76&lt;Input!$H$43,IF($B76&lt;Input!$G$43,IF($B76&lt;Input!$F$43,IF($B76&lt;Input!$E$43,IF($B76&lt;Input!$D$43,Input!$C$49,Input!$D$49),Input!$E$49),Input!$F$49),Input!$G$49),Input!$H$49)</f>
        <v>18940500</v>
      </c>
      <c r="N76" s="190">
        <f>IF($A76&lt;Input!$H$50,IF($A76&lt;Input!$G$50,IF($A76&lt;Input!$F$50,IF($A76&lt;Input!$E$50,IF($A76&lt;Input!$D$50,Input!$C$51,Input!$D$51),Input!$E$51),Input!$F$51),Input!$G$51),Input!$H$51)</f>
        <v>0.9</v>
      </c>
      <c r="O76" s="60">
        <f t="shared" si="36"/>
        <v>17046450</v>
      </c>
      <c r="P76" s="60">
        <f t="shared" si="37"/>
        <v>31</v>
      </c>
      <c r="Q76" s="60">
        <f t="shared" si="38"/>
        <v>640469302</v>
      </c>
      <c r="R76" s="60">
        <f>ROUND(Q76*$P76*Input!$C$3/365,0)</f>
        <v>8159403</v>
      </c>
      <c r="S76" s="60">
        <f>IF(A76&lt;=Input!$C$6,0,IF('Unique Tenure'!O76&lt;'Unique Tenure'!Q76,'Unique Tenure'!O76-R76,'Unique Tenure'!Q76))</f>
        <v>8887047</v>
      </c>
      <c r="T76" s="60">
        <f t="shared" si="39"/>
        <v>17046450</v>
      </c>
      <c r="U76" s="60">
        <f t="shared" si="40"/>
        <v>631582255</v>
      </c>
      <c r="V76" s="193"/>
      <c r="W76" s="169">
        <v>72</v>
      </c>
      <c r="X76" s="1">
        <f t="shared" si="62"/>
        <v>47710</v>
      </c>
      <c r="Y76" s="60">
        <f>IF($X76&lt;Input!$H$58,IF($X76&lt;Input!$G$58,IF($X76&lt;Input!$F$58,IF($X76&lt;Input!$E$58,IF($X76&lt;Input!$D$58,Input!$C$64,Input!$D$64),Input!$E$64),Input!$F$64),Input!$G$64),Input!$H$64)</f>
        <v>0</v>
      </c>
      <c r="Z76" s="190">
        <f>IF($A76&lt;Input!$H$65,IF($A76&lt;Input!$G$65,IF($A76&lt;Input!$F$65,IF($A76&lt;Input!$E$65,IF($A76&lt;Input!$D$65,Input!$C$66,Input!$D$66),Input!$E$66),Input!$F$66),Input!$G$66),Input!$H$66)</f>
        <v>0.9</v>
      </c>
      <c r="AA76" s="60">
        <f t="shared" si="41"/>
        <v>0</v>
      </c>
      <c r="AB76" s="60">
        <f t="shared" si="63"/>
        <v>31</v>
      </c>
      <c r="AC76" s="60">
        <f t="shared" si="42"/>
        <v>0</v>
      </c>
      <c r="AD76" s="60">
        <f>ROUND(AC76*AB76*Input!$C$3/365,0)</f>
        <v>0</v>
      </c>
      <c r="AE76" s="61">
        <f>IF($A76&lt;=Input!$C$6,0,IF('Unique Tenure'!AA76&lt;'Unique Tenure'!AC76,'Unique Tenure'!AA76-AD76,'Unique Tenure'!AC76))</f>
        <v>0</v>
      </c>
      <c r="AF76" s="61">
        <f t="shared" si="43"/>
        <v>0</v>
      </c>
      <c r="AG76" s="60">
        <f t="shared" si="44"/>
        <v>0</v>
      </c>
      <c r="AH76" s="193"/>
      <c r="AI76" s="169">
        <v>72</v>
      </c>
      <c r="AJ76" s="1">
        <f t="shared" si="64"/>
        <v>47710</v>
      </c>
      <c r="AK76" s="60">
        <f>IF($X76&lt;Input!$H$73,IF($X76&lt;Input!$G$73,IF($X76&lt;Input!$F$73,IF($X76&lt;Input!$E$73,IF($X76&lt;Input!$D$73,Input!$C$79,Input!$D$79),Input!$E$79),Input!$F$79),Input!$G$79),Input!$H$79)</f>
        <v>0</v>
      </c>
      <c r="AL76" s="190">
        <f>IF($A76&lt;Input!$H$80,IF($A76&lt;Input!$G$80,IF($A76&lt;Input!$F$80,IF($A76&lt;Input!$E$80,IF($A76&lt;Input!$D$80,Input!$C$81,Input!$D$81),Input!$E$81),Input!$F$81),Input!$G$81),Input!$H$81)</f>
        <v>0.9</v>
      </c>
      <c r="AM76" s="60">
        <f t="shared" si="45"/>
        <v>0</v>
      </c>
      <c r="AN76" s="60">
        <f t="shared" si="65"/>
        <v>31</v>
      </c>
      <c r="AO76" s="60">
        <f t="shared" si="46"/>
        <v>0</v>
      </c>
      <c r="AP76" s="60">
        <f>ROUND(AO76*AN76*Input!$C$3/365,0)</f>
        <v>0</v>
      </c>
      <c r="AQ76" s="61">
        <f>IF($A76&lt;=Input!$C$6,0,IF('Unique Tenure'!AM76&lt;'Unique Tenure'!AO76,'Unique Tenure'!AM76-AP76,'Unique Tenure'!AO76))</f>
        <v>0</v>
      </c>
      <c r="AR76" s="61">
        <f t="shared" si="47"/>
        <v>0</v>
      </c>
      <c r="AS76" s="60">
        <f t="shared" si="48"/>
        <v>0</v>
      </c>
      <c r="AT76" s="193"/>
      <c r="AU76" s="169">
        <v>72</v>
      </c>
      <c r="AV76" s="1">
        <f t="shared" si="66"/>
        <v>47710</v>
      </c>
      <c r="AW76" s="60">
        <f>IF($X76&lt;Input!$H$88,IF($X76&lt;Input!$G$88,IF($X76&lt;Input!$F$88,IF($X76&lt;Input!$E$88,IF($X76&lt;Input!$D$88,Input!$C$94,Input!$D$94),Input!$E$94),Input!$F$94),Input!$G$94),Input!$H$94)</f>
        <v>0</v>
      </c>
      <c r="AX76" s="190">
        <f>IF($A76&lt;Input!$H$95,IF($A76&lt;Input!$G$95,IF($A76&lt;Input!$F$95,IF($A76&lt;Input!$E$95,IF($A76&lt;Input!$D$95,Input!$C$96,Input!$D$96),Input!$E$96),Input!$F$96),Input!$G$96),Input!$H$96)</f>
        <v>0.9</v>
      </c>
      <c r="AY76" s="60">
        <f t="shared" si="49"/>
        <v>0</v>
      </c>
      <c r="AZ76" s="60">
        <f t="shared" si="67"/>
        <v>31</v>
      </c>
      <c r="BA76" s="60">
        <f t="shared" si="50"/>
        <v>0</v>
      </c>
      <c r="BB76" s="60">
        <f>ROUND(BA76*AZ76*Input!$C$3/365,0)</f>
        <v>0</v>
      </c>
      <c r="BC76" s="61">
        <f>IF($A76&lt;=Input!$C$6,0,IF('Unique Tenure'!AY76&lt;'Unique Tenure'!BA76,'Unique Tenure'!AY76-BB76,'Unique Tenure'!BA76))</f>
        <v>0</v>
      </c>
      <c r="BD76" s="61">
        <f t="shared" si="51"/>
        <v>0</v>
      </c>
      <c r="BE76" s="60">
        <f t="shared" si="52"/>
        <v>0</v>
      </c>
      <c r="BF76" s="193"/>
      <c r="BG76" s="169">
        <v>72</v>
      </c>
      <c r="BH76" s="1">
        <f t="shared" si="68"/>
        <v>47710</v>
      </c>
      <c r="BI76" s="60">
        <f>IF($X76&lt;Input!$H$103,IF($X76&lt;Input!$G$103,IF($X76&lt;Input!$F$103,IF($X76&lt;Input!$E$103,IF($X76&lt;Input!$D$103,Input!$C$109,Input!$D$109),Input!$E$109),Input!$F$109),Input!$G$109),Input!$H$109)</f>
        <v>0</v>
      </c>
      <c r="BJ76" s="190">
        <f>IF($A76&lt;Input!$H$110,IF($A76&lt;Input!$G$110,IF($A76&lt;Input!$F$110,IF($A76&lt;Input!$E$110,IF($A76&lt;Input!$D$110,Input!$C$111,Input!$D$111),Input!$E$111),Input!$F$111),Input!$G$111),Input!$H$111)</f>
        <v>0.9</v>
      </c>
      <c r="BK76" s="60">
        <f t="shared" si="53"/>
        <v>0</v>
      </c>
      <c r="BL76" s="60">
        <f t="shared" si="69"/>
        <v>31</v>
      </c>
      <c r="BM76" s="60">
        <f t="shared" si="54"/>
        <v>0</v>
      </c>
      <c r="BN76" s="60">
        <f>ROUND(BM76*BL76*Input!$C$3/365,0)</f>
        <v>0</v>
      </c>
      <c r="BO76" s="61">
        <f>IF($A76&lt;=Input!$C$6,0,IF('Unique Tenure'!BK76&lt;'Unique Tenure'!BM76,'Unique Tenure'!BK76-BN76,'Unique Tenure'!BM76))</f>
        <v>0</v>
      </c>
      <c r="BP76" s="61">
        <f t="shared" si="55"/>
        <v>0</v>
      </c>
      <c r="BQ76" s="60">
        <f t="shared" si="56"/>
        <v>0</v>
      </c>
      <c r="BR76" s="198"/>
    </row>
    <row r="77" spans="1:70" s="51" customFormat="1" x14ac:dyDescent="0.25">
      <c r="A77" s="169">
        <v>73</v>
      </c>
      <c r="B77" s="1">
        <f t="shared" si="57"/>
        <v>47741</v>
      </c>
      <c r="C77" s="60">
        <f>SUM(
   IF(($A$4:$A$184 &lt;= Input!$D$16), M77, 0),
   IF(($A$4:$A$184 &lt;= Input!$E$16), Y77, 0),
   IF(($A$4:$A$184 &lt;= Input!$F$16), AK77, 0),
   IF(($A$4:$A$184 &lt;= Input!$G$16), AW77, 0),
   IF(($A$4:$A$184 &lt;= Input!$H$16), BI77, 0)
)</f>
        <v>21781574.999999996</v>
      </c>
      <c r="D77" s="60">
        <f>SUM(
   IF(($A$4:$A$184 &lt;= Input!$D$16), O77, 0),
   IF(($A$4:$A$184 &lt;= Input!$E$16), AA77, 0),
   IF(($A$4:$A$184 &lt;= Input!$F$16), AM77, 0),
   IF(($A$4:$A$184 &lt;= Input!$G$16), AY77, 0),
   IF(($A$4:$A$184 &lt;= Input!$H$16), BK77, 0)
)</f>
        <v>19603417.499999996</v>
      </c>
      <c r="E77" s="60">
        <f t="shared" si="58"/>
        <v>31</v>
      </c>
      <c r="F77" s="60">
        <f t="shared" si="59"/>
        <v>631582255</v>
      </c>
      <c r="G77" s="60">
        <f>ROUND(F77*E77*Input!$C$3/365,0)</f>
        <v>8046185</v>
      </c>
      <c r="H77" s="60">
        <f>IF($A77&lt;=Input!$C$6,0,IF('Unique Tenure'!D77&lt;'Unique Tenure'!F77,'Unique Tenure'!D77-G77,'Unique Tenure'!F77))</f>
        <v>11557232.499999996</v>
      </c>
      <c r="I77" s="60">
        <f t="shared" si="60"/>
        <v>19603417.499999996</v>
      </c>
      <c r="J77" s="60">
        <f t="shared" si="61"/>
        <v>620025022.5</v>
      </c>
      <c r="K77" s="202">
        <f>J77/Input!$K$5</f>
        <v>2.0667500749999999</v>
      </c>
      <c r="L77" s="232"/>
      <c r="M77" s="60">
        <f>IF($B77&lt;Input!$H$43,IF($B77&lt;Input!$G$43,IF($B77&lt;Input!$F$43,IF($B77&lt;Input!$E$43,IF($B77&lt;Input!$D$43,Input!$C$49,Input!$D$49),Input!$E$49),Input!$F$49),Input!$G$49),Input!$H$49)</f>
        <v>21781574.999999996</v>
      </c>
      <c r="N77" s="190">
        <f>IF($A77&lt;Input!$H$50,IF($A77&lt;Input!$G$50,IF($A77&lt;Input!$F$50,IF($A77&lt;Input!$E$50,IF($A77&lt;Input!$D$50,Input!$C$51,Input!$D$51),Input!$E$51),Input!$F$51),Input!$G$51),Input!$H$51)</f>
        <v>0.9</v>
      </c>
      <c r="O77" s="60">
        <f t="shared" si="36"/>
        <v>19603417.499999996</v>
      </c>
      <c r="P77" s="60">
        <f t="shared" si="37"/>
        <v>31</v>
      </c>
      <c r="Q77" s="60">
        <f t="shared" si="38"/>
        <v>631582255</v>
      </c>
      <c r="R77" s="60">
        <f>ROUND(Q77*$P77*Input!$C$3/365,0)</f>
        <v>8046185</v>
      </c>
      <c r="S77" s="60">
        <f>IF(A77&lt;=Input!$C$6,0,IF('Unique Tenure'!O77&lt;'Unique Tenure'!Q77,'Unique Tenure'!O77-R77,'Unique Tenure'!Q77))</f>
        <v>11557232.499999996</v>
      </c>
      <c r="T77" s="60">
        <f t="shared" si="39"/>
        <v>19603417.499999996</v>
      </c>
      <c r="U77" s="60">
        <f t="shared" si="40"/>
        <v>620025022.5</v>
      </c>
      <c r="V77" s="193"/>
      <c r="W77" s="169">
        <v>73</v>
      </c>
      <c r="X77" s="1">
        <f t="shared" si="62"/>
        <v>47741</v>
      </c>
      <c r="Y77" s="60">
        <f>IF($X77&lt;Input!$H$58,IF($X77&lt;Input!$G$58,IF($X77&lt;Input!$F$58,IF($X77&lt;Input!$E$58,IF($X77&lt;Input!$D$58,Input!$C$64,Input!$D$64),Input!$E$64),Input!$F$64),Input!$G$64),Input!$H$64)</f>
        <v>0</v>
      </c>
      <c r="Z77" s="190">
        <f>IF($A77&lt;Input!$H$65,IF($A77&lt;Input!$G$65,IF($A77&lt;Input!$F$65,IF($A77&lt;Input!$E$65,IF($A77&lt;Input!$D$65,Input!$C$66,Input!$D$66),Input!$E$66),Input!$F$66),Input!$G$66),Input!$H$66)</f>
        <v>0.9</v>
      </c>
      <c r="AA77" s="60">
        <f t="shared" si="41"/>
        <v>0</v>
      </c>
      <c r="AB77" s="60">
        <f t="shared" si="63"/>
        <v>31</v>
      </c>
      <c r="AC77" s="60">
        <f t="shared" si="42"/>
        <v>0</v>
      </c>
      <c r="AD77" s="60">
        <f>ROUND(AC77*AB77*Input!$C$3/365,0)</f>
        <v>0</v>
      </c>
      <c r="AE77" s="61">
        <f>IF($A77&lt;=Input!$C$6,0,IF('Unique Tenure'!AA77&lt;'Unique Tenure'!AC77,'Unique Tenure'!AA77-AD77,'Unique Tenure'!AC77))</f>
        <v>0</v>
      </c>
      <c r="AF77" s="61">
        <f t="shared" si="43"/>
        <v>0</v>
      </c>
      <c r="AG77" s="60">
        <f t="shared" si="44"/>
        <v>0</v>
      </c>
      <c r="AH77" s="193"/>
      <c r="AI77" s="169">
        <v>73</v>
      </c>
      <c r="AJ77" s="1">
        <f t="shared" si="64"/>
        <v>47741</v>
      </c>
      <c r="AK77" s="60">
        <f>IF($X77&lt;Input!$H$73,IF($X77&lt;Input!$G$73,IF($X77&lt;Input!$F$73,IF($X77&lt;Input!$E$73,IF($X77&lt;Input!$D$73,Input!$C$79,Input!$D$79),Input!$E$79),Input!$F$79),Input!$G$79),Input!$H$79)</f>
        <v>0</v>
      </c>
      <c r="AL77" s="190">
        <f>IF($A77&lt;Input!$H$80,IF($A77&lt;Input!$G$80,IF($A77&lt;Input!$F$80,IF($A77&lt;Input!$E$80,IF($A77&lt;Input!$D$80,Input!$C$81,Input!$D$81),Input!$E$81),Input!$F$81),Input!$G$81),Input!$H$81)</f>
        <v>0.9</v>
      </c>
      <c r="AM77" s="60">
        <f t="shared" si="45"/>
        <v>0</v>
      </c>
      <c r="AN77" s="60">
        <f t="shared" si="65"/>
        <v>31</v>
      </c>
      <c r="AO77" s="60">
        <f t="shared" si="46"/>
        <v>0</v>
      </c>
      <c r="AP77" s="60">
        <f>ROUND(AO77*AN77*Input!$C$3/365,0)</f>
        <v>0</v>
      </c>
      <c r="AQ77" s="61">
        <f>IF($A77&lt;=Input!$C$6,0,IF('Unique Tenure'!AM77&lt;'Unique Tenure'!AO77,'Unique Tenure'!AM77-AP77,'Unique Tenure'!AO77))</f>
        <v>0</v>
      </c>
      <c r="AR77" s="61">
        <f t="shared" si="47"/>
        <v>0</v>
      </c>
      <c r="AS77" s="60">
        <f t="shared" si="48"/>
        <v>0</v>
      </c>
      <c r="AT77" s="193"/>
      <c r="AU77" s="169">
        <v>73</v>
      </c>
      <c r="AV77" s="1">
        <f t="shared" si="66"/>
        <v>47741</v>
      </c>
      <c r="AW77" s="60">
        <f>IF($X77&lt;Input!$H$88,IF($X77&lt;Input!$G$88,IF($X77&lt;Input!$F$88,IF($X77&lt;Input!$E$88,IF($X77&lt;Input!$D$88,Input!$C$94,Input!$D$94),Input!$E$94),Input!$F$94),Input!$G$94),Input!$H$94)</f>
        <v>0</v>
      </c>
      <c r="AX77" s="190">
        <f>IF($A77&lt;Input!$H$95,IF($A77&lt;Input!$G$95,IF($A77&lt;Input!$F$95,IF($A77&lt;Input!$E$95,IF($A77&lt;Input!$D$95,Input!$C$96,Input!$D$96),Input!$E$96),Input!$F$96),Input!$G$96),Input!$H$96)</f>
        <v>0.9</v>
      </c>
      <c r="AY77" s="60">
        <f t="shared" si="49"/>
        <v>0</v>
      </c>
      <c r="AZ77" s="60">
        <f t="shared" si="67"/>
        <v>31</v>
      </c>
      <c r="BA77" s="60">
        <f t="shared" si="50"/>
        <v>0</v>
      </c>
      <c r="BB77" s="60">
        <f>ROUND(BA77*AZ77*Input!$C$3/365,0)</f>
        <v>0</v>
      </c>
      <c r="BC77" s="61">
        <f>IF($A77&lt;=Input!$C$6,0,IF('Unique Tenure'!AY77&lt;'Unique Tenure'!BA77,'Unique Tenure'!AY77-BB77,'Unique Tenure'!BA77))</f>
        <v>0</v>
      </c>
      <c r="BD77" s="61">
        <f t="shared" si="51"/>
        <v>0</v>
      </c>
      <c r="BE77" s="60">
        <f t="shared" si="52"/>
        <v>0</v>
      </c>
      <c r="BF77" s="193"/>
      <c r="BG77" s="169">
        <v>73</v>
      </c>
      <c r="BH77" s="1">
        <f t="shared" si="68"/>
        <v>47741</v>
      </c>
      <c r="BI77" s="60">
        <f>IF($X77&lt;Input!$H$103,IF($X77&lt;Input!$G$103,IF($X77&lt;Input!$F$103,IF($X77&lt;Input!$E$103,IF($X77&lt;Input!$D$103,Input!$C$109,Input!$D$109),Input!$E$109),Input!$F$109),Input!$G$109),Input!$H$109)</f>
        <v>0</v>
      </c>
      <c r="BJ77" s="190">
        <f>IF($A77&lt;Input!$H$110,IF($A77&lt;Input!$G$110,IF($A77&lt;Input!$F$110,IF($A77&lt;Input!$E$110,IF($A77&lt;Input!$D$110,Input!$C$111,Input!$D$111),Input!$E$111),Input!$F$111),Input!$G$111),Input!$H$111)</f>
        <v>0.9</v>
      </c>
      <c r="BK77" s="60">
        <f t="shared" si="53"/>
        <v>0</v>
      </c>
      <c r="BL77" s="60">
        <f t="shared" si="69"/>
        <v>31</v>
      </c>
      <c r="BM77" s="60">
        <f t="shared" si="54"/>
        <v>0</v>
      </c>
      <c r="BN77" s="60">
        <f>ROUND(BM77*BL77*Input!$C$3/365,0)</f>
        <v>0</v>
      </c>
      <c r="BO77" s="61">
        <f>IF($A77&lt;=Input!$C$6,0,IF('Unique Tenure'!BK77&lt;'Unique Tenure'!BM77,'Unique Tenure'!BK77-BN77,'Unique Tenure'!BM77))</f>
        <v>0</v>
      </c>
      <c r="BP77" s="61">
        <f t="shared" si="55"/>
        <v>0</v>
      </c>
      <c r="BQ77" s="60">
        <f t="shared" si="56"/>
        <v>0</v>
      </c>
      <c r="BR77" s="198"/>
    </row>
    <row r="78" spans="1:70" s="51" customFormat="1" x14ac:dyDescent="0.25">
      <c r="A78" s="169">
        <v>74</v>
      </c>
      <c r="B78" s="1">
        <f t="shared" si="57"/>
        <v>47771</v>
      </c>
      <c r="C78" s="60">
        <f>SUM(
   IF(($A$4:$A$184 &lt;= Input!$D$16), M78, 0),
   IF(($A$4:$A$184 &lt;= Input!$E$16), Y78, 0),
   IF(($A$4:$A$184 &lt;= Input!$F$16), AK78, 0),
   IF(($A$4:$A$184 &lt;= Input!$G$16), AW78, 0),
   IF(($A$4:$A$184 &lt;= Input!$H$16), BI78, 0)
)</f>
        <v>21781574.999999996</v>
      </c>
      <c r="D78" s="60">
        <f>SUM(
   IF(($A$4:$A$184 &lt;= Input!$D$16), O78, 0),
   IF(($A$4:$A$184 &lt;= Input!$E$16), AA78, 0),
   IF(($A$4:$A$184 &lt;= Input!$F$16), AM78, 0),
   IF(($A$4:$A$184 &lt;= Input!$G$16), AY78, 0),
   IF(($A$4:$A$184 &lt;= Input!$H$16), BK78, 0)
)</f>
        <v>19603417.499999996</v>
      </c>
      <c r="E78" s="60">
        <f t="shared" si="58"/>
        <v>30</v>
      </c>
      <c r="F78" s="60">
        <f t="shared" si="59"/>
        <v>620025022.5</v>
      </c>
      <c r="G78" s="60">
        <f>ROUND(F78*E78*Input!$C$3/365,0)</f>
        <v>7644144</v>
      </c>
      <c r="H78" s="60">
        <f>IF($A78&lt;=Input!$C$6,0,IF('Unique Tenure'!D78&lt;'Unique Tenure'!F78,'Unique Tenure'!D78-G78,'Unique Tenure'!F78))</f>
        <v>11959273.499999996</v>
      </c>
      <c r="I78" s="60">
        <f t="shared" si="60"/>
        <v>19603417.499999996</v>
      </c>
      <c r="J78" s="60">
        <f t="shared" si="61"/>
        <v>608065749</v>
      </c>
      <c r="K78" s="202">
        <f>J78/Input!$K$5</f>
        <v>2.0268858299999999</v>
      </c>
      <c r="L78" s="232"/>
      <c r="M78" s="60">
        <f>IF($B78&lt;Input!$H$43,IF($B78&lt;Input!$G$43,IF($B78&lt;Input!$F$43,IF($B78&lt;Input!$E$43,IF($B78&lt;Input!$D$43,Input!$C$49,Input!$D$49),Input!$E$49),Input!$F$49),Input!$G$49),Input!$H$49)</f>
        <v>21781574.999999996</v>
      </c>
      <c r="N78" s="190">
        <f>IF($A78&lt;Input!$H$50,IF($A78&lt;Input!$G$50,IF($A78&lt;Input!$F$50,IF($A78&lt;Input!$E$50,IF($A78&lt;Input!$D$50,Input!$C$51,Input!$D$51),Input!$E$51),Input!$F$51),Input!$G$51),Input!$H$51)</f>
        <v>0.9</v>
      </c>
      <c r="O78" s="60">
        <f t="shared" si="36"/>
        <v>19603417.499999996</v>
      </c>
      <c r="P78" s="60">
        <f t="shared" si="37"/>
        <v>30</v>
      </c>
      <c r="Q78" s="60">
        <f t="shared" si="38"/>
        <v>620025022.5</v>
      </c>
      <c r="R78" s="60">
        <f>ROUND(Q78*$P78*Input!$C$3/365,0)</f>
        <v>7644144</v>
      </c>
      <c r="S78" s="60">
        <f>IF(A78&lt;=Input!$C$6,0,IF('Unique Tenure'!O78&lt;'Unique Tenure'!Q78,'Unique Tenure'!O78-R78,'Unique Tenure'!Q78))</f>
        <v>11959273.499999996</v>
      </c>
      <c r="T78" s="60">
        <f t="shared" si="39"/>
        <v>19603417.499999996</v>
      </c>
      <c r="U78" s="60">
        <f t="shared" si="40"/>
        <v>608065749</v>
      </c>
      <c r="V78" s="193"/>
      <c r="W78" s="169">
        <v>74</v>
      </c>
      <c r="X78" s="1">
        <f t="shared" si="62"/>
        <v>47771</v>
      </c>
      <c r="Y78" s="60">
        <f>IF($X78&lt;Input!$H$58,IF($X78&lt;Input!$G$58,IF($X78&lt;Input!$F$58,IF($X78&lt;Input!$E$58,IF($X78&lt;Input!$D$58,Input!$C$64,Input!$D$64),Input!$E$64),Input!$F$64),Input!$G$64),Input!$H$64)</f>
        <v>0</v>
      </c>
      <c r="Z78" s="190">
        <f>IF($A78&lt;Input!$H$65,IF($A78&lt;Input!$G$65,IF($A78&lt;Input!$F$65,IF($A78&lt;Input!$E$65,IF($A78&lt;Input!$D$65,Input!$C$66,Input!$D$66),Input!$E$66),Input!$F$66),Input!$G$66),Input!$H$66)</f>
        <v>0.9</v>
      </c>
      <c r="AA78" s="60">
        <f t="shared" si="41"/>
        <v>0</v>
      </c>
      <c r="AB78" s="60">
        <f t="shared" si="63"/>
        <v>30</v>
      </c>
      <c r="AC78" s="60">
        <f t="shared" si="42"/>
        <v>0</v>
      </c>
      <c r="AD78" s="60">
        <f>ROUND(AC78*AB78*Input!$C$3/365,0)</f>
        <v>0</v>
      </c>
      <c r="AE78" s="61">
        <f>IF($A78&lt;=Input!$C$6,0,IF('Unique Tenure'!AA78&lt;'Unique Tenure'!AC78,'Unique Tenure'!AA78-AD78,'Unique Tenure'!AC78))</f>
        <v>0</v>
      </c>
      <c r="AF78" s="61">
        <f t="shared" si="43"/>
        <v>0</v>
      </c>
      <c r="AG78" s="60">
        <f t="shared" si="44"/>
        <v>0</v>
      </c>
      <c r="AH78" s="193"/>
      <c r="AI78" s="169">
        <v>74</v>
      </c>
      <c r="AJ78" s="1">
        <f t="shared" si="64"/>
        <v>47771</v>
      </c>
      <c r="AK78" s="60">
        <f>IF($X78&lt;Input!$H$73,IF($X78&lt;Input!$G$73,IF($X78&lt;Input!$F$73,IF($X78&lt;Input!$E$73,IF($X78&lt;Input!$D$73,Input!$C$79,Input!$D$79),Input!$E$79),Input!$F$79),Input!$G$79),Input!$H$79)</f>
        <v>0</v>
      </c>
      <c r="AL78" s="190">
        <f>IF($A78&lt;Input!$H$80,IF($A78&lt;Input!$G$80,IF($A78&lt;Input!$F$80,IF($A78&lt;Input!$E$80,IF($A78&lt;Input!$D$80,Input!$C$81,Input!$D$81),Input!$E$81),Input!$F$81),Input!$G$81),Input!$H$81)</f>
        <v>0.9</v>
      </c>
      <c r="AM78" s="60">
        <f t="shared" si="45"/>
        <v>0</v>
      </c>
      <c r="AN78" s="60">
        <f t="shared" si="65"/>
        <v>30</v>
      </c>
      <c r="AO78" s="60">
        <f t="shared" si="46"/>
        <v>0</v>
      </c>
      <c r="AP78" s="60">
        <f>ROUND(AO78*AN78*Input!$C$3/365,0)</f>
        <v>0</v>
      </c>
      <c r="AQ78" s="61">
        <f>IF($A78&lt;=Input!$C$6,0,IF('Unique Tenure'!AM78&lt;'Unique Tenure'!AO78,'Unique Tenure'!AM78-AP78,'Unique Tenure'!AO78))</f>
        <v>0</v>
      </c>
      <c r="AR78" s="61">
        <f t="shared" si="47"/>
        <v>0</v>
      </c>
      <c r="AS78" s="60">
        <f t="shared" si="48"/>
        <v>0</v>
      </c>
      <c r="AT78" s="193"/>
      <c r="AU78" s="169">
        <v>74</v>
      </c>
      <c r="AV78" s="1">
        <f t="shared" si="66"/>
        <v>47771</v>
      </c>
      <c r="AW78" s="60">
        <f>IF($X78&lt;Input!$H$88,IF($X78&lt;Input!$G$88,IF($X78&lt;Input!$F$88,IF($X78&lt;Input!$E$88,IF($X78&lt;Input!$D$88,Input!$C$94,Input!$D$94),Input!$E$94),Input!$F$94),Input!$G$94),Input!$H$94)</f>
        <v>0</v>
      </c>
      <c r="AX78" s="190">
        <f>IF($A78&lt;Input!$H$95,IF($A78&lt;Input!$G$95,IF($A78&lt;Input!$F$95,IF($A78&lt;Input!$E$95,IF($A78&lt;Input!$D$95,Input!$C$96,Input!$D$96),Input!$E$96),Input!$F$96),Input!$G$96),Input!$H$96)</f>
        <v>0.9</v>
      </c>
      <c r="AY78" s="60">
        <f t="shared" si="49"/>
        <v>0</v>
      </c>
      <c r="AZ78" s="60">
        <f t="shared" si="67"/>
        <v>30</v>
      </c>
      <c r="BA78" s="60">
        <f t="shared" si="50"/>
        <v>0</v>
      </c>
      <c r="BB78" s="60">
        <f>ROUND(BA78*AZ78*Input!$C$3/365,0)</f>
        <v>0</v>
      </c>
      <c r="BC78" s="61">
        <f>IF($A78&lt;=Input!$C$6,0,IF('Unique Tenure'!AY78&lt;'Unique Tenure'!BA78,'Unique Tenure'!AY78-BB78,'Unique Tenure'!BA78))</f>
        <v>0</v>
      </c>
      <c r="BD78" s="61">
        <f t="shared" si="51"/>
        <v>0</v>
      </c>
      <c r="BE78" s="60">
        <f t="shared" si="52"/>
        <v>0</v>
      </c>
      <c r="BF78" s="193"/>
      <c r="BG78" s="169">
        <v>74</v>
      </c>
      <c r="BH78" s="1">
        <f t="shared" si="68"/>
        <v>47771</v>
      </c>
      <c r="BI78" s="60">
        <f>IF($X78&lt;Input!$H$103,IF($X78&lt;Input!$G$103,IF($X78&lt;Input!$F$103,IF($X78&lt;Input!$E$103,IF($X78&lt;Input!$D$103,Input!$C$109,Input!$D$109),Input!$E$109),Input!$F$109),Input!$G$109),Input!$H$109)</f>
        <v>0</v>
      </c>
      <c r="BJ78" s="190">
        <f>IF($A78&lt;Input!$H$110,IF($A78&lt;Input!$G$110,IF($A78&lt;Input!$F$110,IF($A78&lt;Input!$E$110,IF($A78&lt;Input!$D$110,Input!$C$111,Input!$D$111),Input!$E$111),Input!$F$111),Input!$G$111),Input!$H$111)</f>
        <v>0.9</v>
      </c>
      <c r="BK78" s="60">
        <f t="shared" si="53"/>
        <v>0</v>
      </c>
      <c r="BL78" s="60">
        <f t="shared" si="69"/>
        <v>30</v>
      </c>
      <c r="BM78" s="60">
        <f t="shared" si="54"/>
        <v>0</v>
      </c>
      <c r="BN78" s="60">
        <f>ROUND(BM78*BL78*Input!$C$3/365,0)</f>
        <v>0</v>
      </c>
      <c r="BO78" s="61">
        <f>IF($A78&lt;=Input!$C$6,0,IF('Unique Tenure'!BK78&lt;'Unique Tenure'!BM78,'Unique Tenure'!BK78-BN78,'Unique Tenure'!BM78))</f>
        <v>0</v>
      </c>
      <c r="BP78" s="61">
        <f t="shared" si="55"/>
        <v>0</v>
      </c>
      <c r="BQ78" s="60">
        <f t="shared" si="56"/>
        <v>0</v>
      </c>
      <c r="BR78" s="198"/>
    </row>
    <row r="79" spans="1:70" s="51" customFormat="1" x14ac:dyDescent="0.25">
      <c r="A79" s="169">
        <v>75</v>
      </c>
      <c r="B79" s="1">
        <f t="shared" si="57"/>
        <v>47802</v>
      </c>
      <c r="C79" s="60">
        <f>SUM(
   IF(($A$4:$A$184 &lt;= Input!$D$16), M79, 0),
   IF(($A$4:$A$184 &lt;= Input!$E$16), Y79, 0),
   IF(($A$4:$A$184 &lt;= Input!$F$16), AK79, 0),
   IF(($A$4:$A$184 &lt;= Input!$G$16), AW79, 0),
   IF(($A$4:$A$184 &lt;= Input!$H$16), BI79, 0)
)</f>
        <v>21781574.999999996</v>
      </c>
      <c r="D79" s="60">
        <f>SUM(
   IF(($A$4:$A$184 &lt;= Input!$D$16), O79, 0),
   IF(($A$4:$A$184 &lt;= Input!$E$16), AA79, 0),
   IF(($A$4:$A$184 &lt;= Input!$F$16), AM79, 0),
   IF(($A$4:$A$184 &lt;= Input!$G$16), AY79, 0),
   IF(($A$4:$A$184 &lt;= Input!$H$16), BK79, 0)
)</f>
        <v>19603417.499999996</v>
      </c>
      <c r="E79" s="60">
        <f t="shared" si="58"/>
        <v>31</v>
      </c>
      <c r="F79" s="60">
        <f t="shared" si="59"/>
        <v>608065749</v>
      </c>
      <c r="G79" s="60">
        <f>ROUND(F79*E79*Input!$C$3/365,0)</f>
        <v>7746591</v>
      </c>
      <c r="H79" s="60">
        <f>IF($A79&lt;=Input!$C$6,0,IF('Unique Tenure'!D79&lt;'Unique Tenure'!F79,'Unique Tenure'!D79-G79,'Unique Tenure'!F79))</f>
        <v>11856826.499999996</v>
      </c>
      <c r="I79" s="60">
        <f t="shared" si="60"/>
        <v>19603417.499999996</v>
      </c>
      <c r="J79" s="60">
        <f t="shared" si="61"/>
        <v>596208922.5</v>
      </c>
      <c r="K79" s="202">
        <f>J79/Input!$K$5</f>
        <v>1.987363075</v>
      </c>
      <c r="L79" s="232"/>
      <c r="M79" s="60">
        <f>IF($B79&lt;Input!$H$43,IF($B79&lt;Input!$G$43,IF($B79&lt;Input!$F$43,IF($B79&lt;Input!$E$43,IF($B79&lt;Input!$D$43,Input!$C$49,Input!$D$49),Input!$E$49),Input!$F$49),Input!$G$49),Input!$H$49)</f>
        <v>21781574.999999996</v>
      </c>
      <c r="N79" s="190">
        <f>IF($A79&lt;Input!$H$50,IF($A79&lt;Input!$G$50,IF($A79&lt;Input!$F$50,IF($A79&lt;Input!$E$50,IF($A79&lt;Input!$D$50,Input!$C$51,Input!$D$51),Input!$E$51),Input!$F$51),Input!$G$51),Input!$H$51)</f>
        <v>0.9</v>
      </c>
      <c r="O79" s="60">
        <f t="shared" si="36"/>
        <v>19603417.499999996</v>
      </c>
      <c r="P79" s="60">
        <f t="shared" si="37"/>
        <v>31</v>
      </c>
      <c r="Q79" s="60">
        <f t="shared" si="38"/>
        <v>608065749</v>
      </c>
      <c r="R79" s="60">
        <f>ROUND(Q79*$P79*Input!$C$3/365,0)</f>
        <v>7746591</v>
      </c>
      <c r="S79" s="60">
        <f>IF(A79&lt;=Input!$C$6,0,IF('Unique Tenure'!O79&lt;'Unique Tenure'!Q79,'Unique Tenure'!O79-R79,'Unique Tenure'!Q79))</f>
        <v>11856826.499999996</v>
      </c>
      <c r="T79" s="60">
        <f t="shared" si="39"/>
        <v>19603417.499999996</v>
      </c>
      <c r="U79" s="60">
        <f t="shared" si="40"/>
        <v>596208922.5</v>
      </c>
      <c r="V79" s="193"/>
      <c r="W79" s="169">
        <v>75</v>
      </c>
      <c r="X79" s="1">
        <f t="shared" si="62"/>
        <v>47802</v>
      </c>
      <c r="Y79" s="60">
        <f>IF($X79&lt;Input!$H$58,IF($X79&lt;Input!$G$58,IF($X79&lt;Input!$F$58,IF($X79&lt;Input!$E$58,IF($X79&lt;Input!$D$58,Input!$C$64,Input!$D$64),Input!$E$64),Input!$F$64),Input!$G$64),Input!$H$64)</f>
        <v>0</v>
      </c>
      <c r="Z79" s="190">
        <f>IF($A79&lt;Input!$H$65,IF($A79&lt;Input!$G$65,IF($A79&lt;Input!$F$65,IF($A79&lt;Input!$E$65,IF($A79&lt;Input!$D$65,Input!$C$66,Input!$D$66),Input!$E$66),Input!$F$66),Input!$G$66),Input!$H$66)</f>
        <v>0.9</v>
      </c>
      <c r="AA79" s="60">
        <f t="shared" si="41"/>
        <v>0</v>
      </c>
      <c r="AB79" s="60">
        <f t="shared" si="63"/>
        <v>31</v>
      </c>
      <c r="AC79" s="60">
        <f t="shared" si="42"/>
        <v>0</v>
      </c>
      <c r="AD79" s="60">
        <f>ROUND(AC79*AB79*Input!$C$3/365,0)</f>
        <v>0</v>
      </c>
      <c r="AE79" s="61">
        <f>IF($A79&lt;=Input!$C$6,0,IF('Unique Tenure'!AA79&lt;'Unique Tenure'!AC79,'Unique Tenure'!AA79-AD79,'Unique Tenure'!AC79))</f>
        <v>0</v>
      </c>
      <c r="AF79" s="61">
        <f t="shared" si="43"/>
        <v>0</v>
      </c>
      <c r="AG79" s="60">
        <f t="shared" si="44"/>
        <v>0</v>
      </c>
      <c r="AH79" s="193"/>
      <c r="AI79" s="169">
        <v>75</v>
      </c>
      <c r="AJ79" s="1">
        <f t="shared" si="64"/>
        <v>47802</v>
      </c>
      <c r="AK79" s="60">
        <f>IF($X79&lt;Input!$H$73,IF($X79&lt;Input!$G$73,IF($X79&lt;Input!$F$73,IF($X79&lt;Input!$E$73,IF($X79&lt;Input!$D$73,Input!$C$79,Input!$D$79),Input!$E$79),Input!$F$79),Input!$G$79),Input!$H$79)</f>
        <v>0</v>
      </c>
      <c r="AL79" s="190">
        <f>IF($A79&lt;Input!$H$80,IF($A79&lt;Input!$G$80,IF($A79&lt;Input!$F$80,IF($A79&lt;Input!$E$80,IF($A79&lt;Input!$D$80,Input!$C$81,Input!$D$81),Input!$E$81),Input!$F$81),Input!$G$81),Input!$H$81)</f>
        <v>0.9</v>
      </c>
      <c r="AM79" s="60">
        <f t="shared" si="45"/>
        <v>0</v>
      </c>
      <c r="AN79" s="60">
        <f t="shared" si="65"/>
        <v>31</v>
      </c>
      <c r="AO79" s="60">
        <f t="shared" si="46"/>
        <v>0</v>
      </c>
      <c r="AP79" s="60">
        <f>ROUND(AO79*AN79*Input!$C$3/365,0)</f>
        <v>0</v>
      </c>
      <c r="AQ79" s="61">
        <f>IF($A79&lt;=Input!$C$6,0,IF('Unique Tenure'!AM79&lt;'Unique Tenure'!AO79,'Unique Tenure'!AM79-AP79,'Unique Tenure'!AO79))</f>
        <v>0</v>
      </c>
      <c r="AR79" s="61">
        <f t="shared" si="47"/>
        <v>0</v>
      </c>
      <c r="AS79" s="60">
        <f t="shared" si="48"/>
        <v>0</v>
      </c>
      <c r="AT79" s="193"/>
      <c r="AU79" s="169">
        <v>75</v>
      </c>
      <c r="AV79" s="1">
        <f t="shared" si="66"/>
        <v>47802</v>
      </c>
      <c r="AW79" s="60">
        <f>IF($X79&lt;Input!$H$88,IF($X79&lt;Input!$G$88,IF($X79&lt;Input!$F$88,IF($X79&lt;Input!$E$88,IF($X79&lt;Input!$D$88,Input!$C$94,Input!$D$94),Input!$E$94),Input!$F$94),Input!$G$94),Input!$H$94)</f>
        <v>0</v>
      </c>
      <c r="AX79" s="190">
        <f>IF($A79&lt;Input!$H$95,IF($A79&lt;Input!$G$95,IF($A79&lt;Input!$F$95,IF($A79&lt;Input!$E$95,IF($A79&lt;Input!$D$95,Input!$C$96,Input!$D$96),Input!$E$96),Input!$F$96),Input!$G$96),Input!$H$96)</f>
        <v>0.9</v>
      </c>
      <c r="AY79" s="60">
        <f t="shared" si="49"/>
        <v>0</v>
      </c>
      <c r="AZ79" s="60">
        <f t="shared" si="67"/>
        <v>31</v>
      </c>
      <c r="BA79" s="60">
        <f t="shared" si="50"/>
        <v>0</v>
      </c>
      <c r="BB79" s="60">
        <f>ROUND(BA79*AZ79*Input!$C$3/365,0)</f>
        <v>0</v>
      </c>
      <c r="BC79" s="61">
        <f>IF($A79&lt;=Input!$C$6,0,IF('Unique Tenure'!AY79&lt;'Unique Tenure'!BA79,'Unique Tenure'!AY79-BB79,'Unique Tenure'!BA79))</f>
        <v>0</v>
      </c>
      <c r="BD79" s="61">
        <f t="shared" si="51"/>
        <v>0</v>
      </c>
      <c r="BE79" s="60">
        <f t="shared" si="52"/>
        <v>0</v>
      </c>
      <c r="BF79" s="193"/>
      <c r="BG79" s="169">
        <v>75</v>
      </c>
      <c r="BH79" s="1">
        <f t="shared" si="68"/>
        <v>47802</v>
      </c>
      <c r="BI79" s="60">
        <f>IF($X79&lt;Input!$H$103,IF($X79&lt;Input!$G$103,IF($X79&lt;Input!$F$103,IF($X79&lt;Input!$E$103,IF($X79&lt;Input!$D$103,Input!$C$109,Input!$D$109),Input!$E$109),Input!$F$109),Input!$G$109),Input!$H$109)</f>
        <v>0</v>
      </c>
      <c r="BJ79" s="190">
        <f>IF($A79&lt;Input!$H$110,IF($A79&lt;Input!$G$110,IF($A79&lt;Input!$F$110,IF($A79&lt;Input!$E$110,IF($A79&lt;Input!$D$110,Input!$C$111,Input!$D$111),Input!$E$111),Input!$F$111),Input!$G$111),Input!$H$111)</f>
        <v>0.9</v>
      </c>
      <c r="BK79" s="60">
        <f t="shared" si="53"/>
        <v>0</v>
      </c>
      <c r="BL79" s="60">
        <f t="shared" si="69"/>
        <v>31</v>
      </c>
      <c r="BM79" s="60">
        <f t="shared" si="54"/>
        <v>0</v>
      </c>
      <c r="BN79" s="60">
        <f>ROUND(BM79*BL79*Input!$C$3/365,0)</f>
        <v>0</v>
      </c>
      <c r="BO79" s="61">
        <f>IF($A79&lt;=Input!$C$6,0,IF('Unique Tenure'!BK79&lt;'Unique Tenure'!BM79,'Unique Tenure'!BK79-BN79,'Unique Tenure'!BM79))</f>
        <v>0</v>
      </c>
      <c r="BP79" s="61">
        <f t="shared" si="55"/>
        <v>0</v>
      </c>
      <c r="BQ79" s="60">
        <f t="shared" si="56"/>
        <v>0</v>
      </c>
      <c r="BR79" s="198"/>
    </row>
    <row r="80" spans="1:70" s="51" customFormat="1" x14ac:dyDescent="0.25">
      <c r="A80" s="169">
        <v>76</v>
      </c>
      <c r="B80" s="1">
        <f t="shared" si="57"/>
        <v>47832</v>
      </c>
      <c r="C80" s="60">
        <f>SUM(
   IF(($A$4:$A$184 &lt;= Input!$D$16), M80, 0),
   IF(($A$4:$A$184 &lt;= Input!$E$16), Y80, 0),
   IF(($A$4:$A$184 &lt;= Input!$F$16), AK80, 0),
   IF(($A$4:$A$184 &lt;= Input!$G$16), AW80, 0),
   IF(($A$4:$A$184 &lt;= Input!$H$16), BI80, 0)
)</f>
        <v>21781574.999999996</v>
      </c>
      <c r="D80" s="60">
        <f>SUM(
   IF(($A$4:$A$184 &lt;= Input!$D$16), O80, 0),
   IF(($A$4:$A$184 &lt;= Input!$E$16), AA80, 0),
   IF(($A$4:$A$184 &lt;= Input!$F$16), AM80, 0),
   IF(($A$4:$A$184 &lt;= Input!$G$16), AY80, 0),
   IF(($A$4:$A$184 &lt;= Input!$H$16), BK80, 0)
)</f>
        <v>19603417.499999996</v>
      </c>
      <c r="E80" s="60">
        <f t="shared" si="58"/>
        <v>30</v>
      </c>
      <c r="F80" s="60">
        <f t="shared" si="59"/>
        <v>596208922.5</v>
      </c>
      <c r="G80" s="60">
        <f>ROUND(F80*E80*Input!$C$3/365,0)</f>
        <v>7350521</v>
      </c>
      <c r="H80" s="60">
        <f>IF($A80&lt;=Input!$C$6,0,IF('Unique Tenure'!D80&lt;'Unique Tenure'!F80,'Unique Tenure'!D80-G80,'Unique Tenure'!F80))</f>
        <v>12252896.499999996</v>
      </c>
      <c r="I80" s="60">
        <f t="shared" si="60"/>
        <v>19603417.499999996</v>
      </c>
      <c r="J80" s="60">
        <f t="shared" si="61"/>
        <v>583956026</v>
      </c>
      <c r="K80" s="202">
        <f>J80/Input!$K$5</f>
        <v>1.9465200866666668</v>
      </c>
      <c r="L80" s="232"/>
      <c r="M80" s="60">
        <f>IF($B80&lt;Input!$H$43,IF($B80&lt;Input!$G$43,IF($B80&lt;Input!$F$43,IF($B80&lt;Input!$E$43,IF($B80&lt;Input!$D$43,Input!$C$49,Input!$D$49),Input!$E$49),Input!$F$49),Input!$G$49),Input!$H$49)</f>
        <v>21781574.999999996</v>
      </c>
      <c r="N80" s="190">
        <f>IF($A80&lt;Input!$H$50,IF($A80&lt;Input!$G$50,IF($A80&lt;Input!$F$50,IF($A80&lt;Input!$E$50,IF($A80&lt;Input!$D$50,Input!$C$51,Input!$D$51),Input!$E$51),Input!$F$51),Input!$G$51),Input!$H$51)</f>
        <v>0.9</v>
      </c>
      <c r="O80" s="60">
        <f t="shared" si="36"/>
        <v>19603417.499999996</v>
      </c>
      <c r="P80" s="60">
        <f t="shared" si="37"/>
        <v>30</v>
      </c>
      <c r="Q80" s="60">
        <f t="shared" si="38"/>
        <v>596208922.5</v>
      </c>
      <c r="R80" s="60">
        <f>ROUND(Q80*$P80*Input!$C$3/365,0)</f>
        <v>7350521</v>
      </c>
      <c r="S80" s="60">
        <f>IF(A80&lt;=Input!$C$6,0,IF('Unique Tenure'!O80&lt;'Unique Tenure'!Q80,'Unique Tenure'!O80-R80,'Unique Tenure'!Q80))</f>
        <v>12252896.499999996</v>
      </c>
      <c r="T80" s="60">
        <f t="shared" si="39"/>
        <v>19603417.499999996</v>
      </c>
      <c r="U80" s="60">
        <f t="shared" si="40"/>
        <v>583956026</v>
      </c>
      <c r="V80" s="193"/>
      <c r="W80" s="169">
        <v>76</v>
      </c>
      <c r="X80" s="1">
        <f t="shared" si="62"/>
        <v>47832</v>
      </c>
      <c r="Y80" s="60">
        <f>IF($X80&lt;Input!$H$58,IF($X80&lt;Input!$G$58,IF($X80&lt;Input!$F$58,IF($X80&lt;Input!$E$58,IF($X80&lt;Input!$D$58,Input!$C$64,Input!$D$64),Input!$E$64),Input!$F$64),Input!$G$64),Input!$H$64)</f>
        <v>0</v>
      </c>
      <c r="Z80" s="190">
        <f>IF($A80&lt;Input!$H$65,IF($A80&lt;Input!$G$65,IF($A80&lt;Input!$F$65,IF($A80&lt;Input!$E$65,IF($A80&lt;Input!$D$65,Input!$C$66,Input!$D$66),Input!$E$66),Input!$F$66),Input!$G$66),Input!$H$66)</f>
        <v>0.9</v>
      </c>
      <c r="AA80" s="60">
        <f t="shared" si="41"/>
        <v>0</v>
      </c>
      <c r="AB80" s="60">
        <f t="shared" si="63"/>
        <v>30</v>
      </c>
      <c r="AC80" s="60">
        <f t="shared" si="42"/>
        <v>0</v>
      </c>
      <c r="AD80" s="60">
        <f>ROUND(AC80*AB80*Input!$C$3/365,0)</f>
        <v>0</v>
      </c>
      <c r="AE80" s="61">
        <f>IF($A80&lt;=Input!$C$6,0,IF('Unique Tenure'!AA80&lt;'Unique Tenure'!AC80,'Unique Tenure'!AA80-AD80,'Unique Tenure'!AC80))</f>
        <v>0</v>
      </c>
      <c r="AF80" s="61">
        <f t="shared" si="43"/>
        <v>0</v>
      </c>
      <c r="AG80" s="60">
        <f t="shared" si="44"/>
        <v>0</v>
      </c>
      <c r="AH80" s="193"/>
      <c r="AI80" s="169">
        <v>76</v>
      </c>
      <c r="AJ80" s="1">
        <f t="shared" si="64"/>
        <v>47832</v>
      </c>
      <c r="AK80" s="60">
        <f>IF($X80&lt;Input!$H$73,IF($X80&lt;Input!$G$73,IF($X80&lt;Input!$F$73,IF($X80&lt;Input!$E$73,IF($X80&lt;Input!$D$73,Input!$C$79,Input!$D$79),Input!$E$79),Input!$F$79),Input!$G$79),Input!$H$79)</f>
        <v>0</v>
      </c>
      <c r="AL80" s="190">
        <f>IF($A80&lt;Input!$H$80,IF($A80&lt;Input!$G$80,IF($A80&lt;Input!$F$80,IF($A80&lt;Input!$E$80,IF($A80&lt;Input!$D$80,Input!$C$81,Input!$D$81),Input!$E$81),Input!$F$81),Input!$G$81),Input!$H$81)</f>
        <v>0.9</v>
      </c>
      <c r="AM80" s="60">
        <f t="shared" si="45"/>
        <v>0</v>
      </c>
      <c r="AN80" s="60">
        <f t="shared" si="65"/>
        <v>30</v>
      </c>
      <c r="AO80" s="60">
        <f t="shared" si="46"/>
        <v>0</v>
      </c>
      <c r="AP80" s="60">
        <f>ROUND(AO80*AN80*Input!$C$3/365,0)</f>
        <v>0</v>
      </c>
      <c r="AQ80" s="61">
        <f>IF($A80&lt;=Input!$C$6,0,IF('Unique Tenure'!AM80&lt;'Unique Tenure'!AO80,'Unique Tenure'!AM80-AP80,'Unique Tenure'!AO80))</f>
        <v>0</v>
      </c>
      <c r="AR80" s="61">
        <f t="shared" si="47"/>
        <v>0</v>
      </c>
      <c r="AS80" s="60">
        <f t="shared" si="48"/>
        <v>0</v>
      </c>
      <c r="AT80" s="193"/>
      <c r="AU80" s="169">
        <v>76</v>
      </c>
      <c r="AV80" s="1">
        <f t="shared" si="66"/>
        <v>47832</v>
      </c>
      <c r="AW80" s="60">
        <f>IF($X80&lt;Input!$H$88,IF($X80&lt;Input!$G$88,IF($X80&lt;Input!$F$88,IF($X80&lt;Input!$E$88,IF($X80&lt;Input!$D$88,Input!$C$94,Input!$D$94),Input!$E$94),Input!$F$94),Input!$G$94),Input!$H$94)</f>
        <v>0</v>
      </c>
      <c r="AX80" s="190">
        <f>IF($A80&lt;Input!$H$95,IF($A80&lt;Input!$G$95,IF($A80&lt;Input!$F$95,IF($A80&lt;Input!$E$95,IF($A80&lt;Input!$D$95,Input!$C$96,Input!$D$96),Input!$E$96),Input!$F$96),Input!$G$96),Input!$H$96)</f>
        <v>0.9</v>
      </c>
      <c r="AY80" s="60">
        <f t="shared" si="49"/>
        <v>0</v>
      </c>
      <c r="AZ80" s="60">
        <f t="shared" si="67"/>
        <v>30</v>
      </c>
      <c r="BA80" s="60">
        <f t="shared" si="50"/>
        <v>0</v>
      </c>
      <c r="BB80" s="60">
        <f>ROUND(BA80*AZ80*Input!$C$3/365,0)</f>
        <v>0</v>
      </c>
      <c r="BC80" s="61">
        <f>IF($A80&lt;=Input!$C$6,0,IF('Unique Tenure'!AY80&lt;'Unique Tenure'!BA80,'Unique Tenure'!AY80-BB80,'Unique Tenure'!BA80))</f>
        <v>0</v>
      </c>
      <c r="BD80" s="61">
        <f t="shared" si="51"/>
        <v>0</v>
      </c>
      <c r="BE80" s="60">
        <f t="shared" si="52"/>
        <v>0</v>
      </c>
      <c r="BF80" s="193"/>
      <c r="BG80" s="169">
        <v>76</v>
      </c>
      <c r="BH80" s="1">
        <f t="shared" si="68"/>
        <v>47832</v>
      </c>
      <c r="BI80" s="60">
        <f>IF($X80&lt;Input!$H$103,IF($X80&lt;Input!$G$103,IF($X80&lt;Input!$F$103,IF($X80&lt;Input!$E$103,IF($X80&lt;Input!$D$103,Input!$C$109,Input!$D$109),Input!$E$109),Input!$F$109),Input!$G$109),Input!$H$109)</f>
        <v>0</v>
      </c>
      <c r="BJ80" s="190">
        <f>IF($A80&lt;Input!$H$110,IF($A80&lt;Input!$G$110,IF($A80&lt;Input!$F$110,IF($A80&lt;Input!$E$110,IF($A80&lt;Input!$D$110,Input!$C$111,Input!$D$111),Input!$E$111),Input!$F$111),Input!$G$111),Input!$H$111)</f>
        <v>0.9</v>
      </c>
      <c r="BK80" s="60">
        <f t="shared" si="53"/>
        <v>0</v>
      </c>
      <c r="BL80" s="60">
        <f t="shared" si="69"/>
        <v>30</v>
      </c>
      <c r="BM80" s="60">
        <f t="shared" si="54"/>
        <v>0</v>
      </c>
      <c r="BN80" s="60">
        <f>ROUND(BM80*BL80*Input!$C$3/365,0)</f>
        <v>0</v>
      </c>
      <c r="BO80" s="61">
        <f>IF($A80&lt;=Input!$C$6,0,IF('Unique Tenure'!BK80&lt;'Unique Tenure'!BM80,'Unique Tenure'!BK80-BN80,'Unique Tenure'!BM80))</f>
        <v>0</v>
      </c>
      <c r="BP80" s="61">
        <f t="shared" si="55"/>
        <v>0</v>
      </c>
      <c r="BQ80" s="60">
        <f t="shared" si="56"/>
        <v>0</v>
      </c>
      <c r="BR80" s="198"/>
    </row>
    <row r="81" spans="1:70" s="51" customFormat="1" x14ac:dyDescent="0.25">
      <c r="A81" s="169">
        <v>77</v>
      </c>
      <c r="B81" s="1">
        <f t="shared" si="57"/>
        <v>47863</v>
      </c>
      <c r="C81" s="60">
        <f>SUM(
   IF(($A$4:$A$184 &lt;= Input!$D$16), M81, 0),
   IF(($A$4:$A$184 &lt;= Input!$E$16), Y81, 0),
   IF(($A$4:$A$184 &lt;= Input!$F$16), AK81, 0),
   IF(($A$4:$A$184 &lt;= Input!$G$16), AW81, 0),
   IF(($A$4:$A$184 &lt;= Input!$H$16), BI81, 0)
)</f>
        <v>21781574.999999996</v>
      </c>
      <c r="D81" s="60">
        <f>SUM(
   IF(($A$4:$A$184 &lt;= Input!$D$16), O81, 0),
   IF(($A$4:$A$184 &lt;= Input!$E$16), AA81, 0),
   IF(($A$4:$A$184 &lt;= Input!$F$16), AM81, 0),
   IF(($A$4:$A$184 &lt;= Input!$G$16), AY81, 0),
   IF(($A$4:$A$184 &lt;= Input!$H$16), BK81, 0)
)</f>
        <v>19603417.499999996</v>
      </c>
      <c r="E81" s="60">
        <f t="shared" si="58"/>
        <v>31</v>
      </c>
      <c r="F81" s="60">
        <f t="shared" si="59"/>
        <v>583956026</v>
      </c>
      <c r="G81" s="60">
        <f>ROUND(F81*E81*Input!$C$3/365,0)</f>
        <v>7439440</v>
      </c>
      <c r="H81" s="60">
        <f>IF($A81&lt;=Input!$C$6,0,IF('Unique Tenure'!D81&lt;'Unique Tenure'!F81,'Unique Tenure'!D81-G81,'Unique Tenure'!F81))</f>
        <v>12163977.499999996</v>
      </c>
      <c r="I81" s="60">
        <f t="shared" si="60"/>
        <v>19603417.499999996</v>
      </c>
      <c r="J81" s="60">
        <f t="shared" si="61"/>
        <v>571792048.5</v>
      </c>
      <c r="K81" s="202">
        <f>J81/Input!$K$5</f>
        <v>1.905973495</v>
      </c>
      <c r="L81" s="232"/>
      <c r="M81" s="60">
        <f>IF($B81&lt;Input!$H$43,IF($B81&lt;Input!$G$43,IF($B81&lt;Input!$F$43,IF($B81&lt;Input!$E$43,IF($B81&lt;Input!$D$43,Input!$C$49,Input!$D$49),Input!$E$49),Input!$F$49),Input!$G$49),Input!$H$49)</f>
        <v>21781574.999999996</v>
      </c>
      <c r="N81" s="190">
        <f>IF($A81&lt;Input!$H$50,IF($A81&lt;Input!$G$50,IF($A81&lt;Input!$F$50,IF($A81&lt;Input!$E$50,IF($A81&lt;Input!$D$50,Input!$C$51,Input!$D$51),Input!$E$51),Input!$F$51),Input!$G$51),Input!$H$51)</f>
        <v>0.9</v>
      </c>
      <c r="O81" s="60">
        <f t="shared" si="36"/>
        <v>19603417.499999996</v>
      </c>
      <c r="P81" s="60">
        <f t="shared" si="37"/>
        <v>31</v>
      </c>
      <c r="Q81" s="60">
        <f t="shared" si="38"/>
        <v>583956026</v>
      </c>
      <c r="R81" s="60">
        <f>ROUND(Q81*$P81*Input!$C$3/365,0)</f>
        <v>7439440</v>
      </c>
      <c r="S81" s="60">
        <f>IF(A81&lt;=Input!$C$6,0,IF('Unique Tenure'!O81&lt;'Unique Tenure'!Q81,'Unique Tenure'!O81-R81,'Unique Tenure'!Q81))</f>
        <v>12163977.499999996</v>
      </c>
      <c r="T81" s="60">
        <f t="shared" si="39"/>
        <v>19603417.499999996</v>
      </c>
      <c r="U81" s="60">
        <f t="shared" si="40"/>
        <v>571792048.5</v>
      </c>
      <c r="V81" s="193"/>
      <c r="W81" s="169">
        <v>77</v>
      </c>
      <c r="X81" s="1">
        <f t="shared" si="62"/>
        <v>47863</v>
      </c>
      <c r="Y81" s="60">
        <f>IF($X81&lt;Input!$H$58,IF($X81&lt;Input!$G$58,IF($X81&lt;Input!$F$58,IF($X81&lt;Input!$E$58,IF($X81&lt;Input!$D$58,Input!$C$64,Input!$D$64),Input!$E$64),Input!$F$64),Input!$G$64),Input!$H$64)</f>
        <v>0</v>
      </c>
      <c r="Z81" s="190">
        <f>IF($A81&lt;Input!$H$65,IF($A81&lt;Input!$G$65,IF($A81&lt;Input!$F$65,IF($A81&lt;Input!$E$65,IF($A81&lt;Input!$D$65,Input!$C$66,Input!$D$66),Input!$E$66),Input!$F$66),Input!$G$66),Input!$H$66)</f>
        <v>0.9</v>
      </c>
      <c r="AA81" s="60">
        <f t="shared" si="41"/>
        <v>0</v>
      </c>
      <c r="AB81" s="60">
        <f t="shared" si="63"/>
        <v>31</v>
      </c>
      <c r="AC81" s="60">
        <f t="shared" si="42"/>
        <v>0</v>
      </c>
      <c r="AD81" s="60">
        <f>ROUND(AC81*AB81*Input!$C$3/365,0)</f>
        <v>0</v>
      </c>
      <c r="AE81" s="61">
        <f>IF($A81&lt;=Input!$C$6,0,IF('Unique Tenure'!AA81&lt;'Unique Tenure'!AC81,'Unique Tenure'!AA81-AD81,'Unique Tenure'!AC81))</f>
        <v>0</v>
      </c>
      <c r="AF81" s="61">
        <f t="shared" si="43"/>
        <v>0</v>
      </c>
      <c r="AG81" s="60">
        <f t="shared" si="44"/>
        <v>0</v>
      </c>
      <c r="AH81" s="193"/>
      <c r="AI81" s="169">
        <v>77</v>
      </c>
      <c r="AJ81" s="1">
        <f t="shared" si="64"/>
        <v>47863</v>
      </c>
      <c r="AK81" s="60">
        <f>IF($X81&lt;Input!$H$73,IF($X81&lt;Input!$G$73,IF($X81&lt;Input!$F$73,IF($X81&lt;Input!$E$73,IF($X81&lt;Input!$D$73,Input!$C$79,Input!$D$79),Input!$E$79),Input!$F$79),Input!$G$79),Input!$H$79)</f>
        <v>0</v>
      </c>
      <c r="AL81" s="190">
        <f>IF($A81&lt;Input!$H$80,IF($A81&lt;Input!$G$80,IF($A81&lt;Input!$F$80,IF($A81&lt;Input!$E$80,IF($A81&lt;Input!$D$80,Input!$C$81,Input!$D$81),Input!$E$81),Input!$F$81),Input!$G$81),Input!$H$81)</f>
        <v>0.9</v>
      </c>
      <c r="AM81" s="60">
        <f t="shared" si="45"/>
        <v>0</v>
      </c>
      <c r="AN81" s="60">
        <f t="shared" si="65"/>
        <v>31</v>
      </c>
      <c r="AO81" s="60">
        <f t="shared" si="46"/>
        <v>0</v>
      </c>
      <c r="AP81" s="60">
        <f>ROUND(AO81*AN81*Input!$C$3/365,0)</f>
        <v>0</v>
      </c>
      <c r="AQ81" s="61">
        <f>IF($A81&lt;=Input!$C$6,0,IF('Unique Tenure'!AM81&lt;'Unique Tenure'!AO81,'Unique Tenure'!AM81-AP81,'Unique Tenure'!AO81))</f>
        <v>0</v>
      </c>
      <c r="AR81" s="61">
        <f t="shared" si="47"/>
        <v>0</v>
      </c>
      <c r="AS81" s="60">
        <f t="shared" si="48"/>
        <v>0</v>
      </c>
      <c r="AT81" s="193"/>
      <c r="AU81" s="169">
        <v>77</v>
      </c>
      <c r="AV81" s="1">
        <f t="shared" si="66"/>
        <v>47863</v>
      </c>
      <c r="AW81" s="60">
        <f>IF($X81&lt;Input!$H$88,IF($X81&lt;Input!$G$88,IF($X81&lt;Input!$F$88,IF($X81&lt;Input!$E$88,IF($X81&lt;Input!$D$88,Input!$C$94,Input!$D$94),Input!$E$94),Input!$F$94),Input!$G$94),Input!$H$94)</f>
        <v>0</v>
      </c>
      <c r="AX81" s="190">
        <f>IF($A81&lt;Input!$H$95,IF($A81&lt;Input!$G$95,IF($A81&lt;Input!$F$95,IF($A81&lt;Input!$E$95,IF($A81&lt;Input!$D$95,Input!$C$96,Input!$D$96),Input!$E$96),Input!$F$96),Input!$G$96),Input!$H$96)</f>
        <v>0.9</v>
      </c>
      <c r="AY81" s="60">
        <f t="shared" si="49"/>
        <v>0</v>
      </c>
      <c r="AZ81" s="60">
        <f t="shared" si="67"/>
        <v>31</v>
      </c>
      <c r="BA81" s="60">
        <f t="shared" si="50"/>
        <v>0</v>
      </c>
      <c r="BB81" s="60">
        <f>ROUND(BA81*AZ81*Input!$C$3/365,0)</f>
        <v>0</v>
      </c>
      <c r="BC81" s="61">
        <f>IF($A81&lt;=Input!$C$6,0,IF('Unique Tenure'!AY81&lt;'Unique Tenure'!BA81,'Unique Tenure'!AY81-BB81,'Unique Tenure'!BA81))</f>
        <v>0</v>
      </c>
      <c r="BD81" s="61">
        <f t="shared" si="51"/>
        <v>0</v>
      </c>
      <c r="BE81" s="60">
        <f t="shared" si="52"/>
        <v>0</v>
      </c>
      <c r="BF81" s="193"/>
      <c r="BG81" s="169">
        <v>77</v>
      </c>
      <c r="BH81" s="1">
        <f t="shared" si="68"/>
        <v>47863</v>
      </c>
      <c r="BI81" s="60">
        <f>IF($X81&lt;Input!$H$103,IF($X81&lt;Input!$G$103,IF($X81&lt;Input!$F$103,IF($X81&lt;Input!$E$103,IF($X81&lt;Input!$D$103,Input!$C$109,Input!$D$109),Input!$E$109),Input!$F$109),Input!$G$109),Input!$H$109)</f>
        <v>0</v>
      </c>
      <c r="BJ81" s="190">
        <f>IF($A81&lt;Input!$H$110,IF($A81&lt;Input!$G$110,IF($A81&lt;Input!$F$110,IF($A81&lt;Input!$E$110,IF($A81&lt;Input!$D$110,Input!$C$111,Input!$D$111),Input!$E$111),Input!$F$111),Input!$G$111),Input!$H$111)</f>
        <v>0.9</v>
      </c>
      <c r="BK81" s="60">
        <f t="shared" si="53"/>
        <v>0</v>
      </c>
      <c r="BL81" s="60">
        <f t="shared" si="69"/>
        <v>31</v>
      </c>
      <c r="BM81" s="60">
        <f t="shared" si="54"/>
        <v>0</v>
      </c>
      <c r="BN81" s="60">
        <f>ROUND(BM81*BL81*Input!$C$3/365,0)</f>
        <v>0</v>
      </c>
      <c r="BO81" s="61">
        <f>IF($A81&lt;=Input!$C$6,0,IF('Unique Tenure'!BK81&lt;'Unique Tenure'!BM81,'Unique Tenure'!BK81-BN81,'Unique Tenure'!BM81))</f>
        <v>0</v>
      </c>
      <c r="BP81" s="61">
        <f t="shared" si="55"/>
        <v>0</v>
      </c>
      <c r="BQ81" s="60">
        <f t="shared" si="56"/>
        <v>0</v>
      </c>
      <c r="BR81" s="198"/>
    </row>
    <row r="82" spans="1:70" s="51" customFormat="1" x14ac:dyDescent="0.25">
      <c r="A82" s="169">
        <v>78</v>
      </c>
      <c r="B82" s="1">
        <f t="shared" si="57"/>
        <v>47894</v>
      </c>
      <c r="C82" s="60">
        <f>SUM(
   IF(($A$4:$A$184 &lt;= Input!$D$16), M82, 0),
   IF(($A$4:$A$184 &lt;= Input!$E$16), Y82, 0),
   IF(($A$4:$A$184 &lt;= Input!$F$16), AK82, 0),
   IF(($A$4:$A$184 &lt;= Input!$G$16), AW82, 0),
   IF(($A$4:$A$184 &lt;= Input!$H$16), BI82, 0)
)</f>
        <v>21781574.999999996</v>
      </c>
      <c r="D82" s="60">
        <f>SUM(
   IF(($A$4:$A$184 &lt;= Input!$D$16), O82, 0),
   IF(($A$4:$A$184 &lt;= Input!$E$16), AA82, 0),
   IF(($A$4:$A$184 &lt;= Input!$F$16), AM82, 0),
   IF(($A$4:$A$184 &lt;= Input!$G$16), AY82, 0),
   IF(($A$4:$A$184 &lt;= Input!$H$16), BK82, 0)
)</f>
        <v>19603417.499999996</v>
      </c>
      <c r="E82" s="60">
        <f t="shared" si="58"/>
        <v>31</v>
      </c>
      <c r="F82" s="60">
        <f t="shared" si="59"/>
        <v>571792048.5</v>
      </c>
      <c r="G82" s="60">
        <f>ROUND(F82*E82*Input!$C$3/365,0)</f>
        <v>7284474</v>
      </c>
      <c r="H82" s="60">
        <f>IF($A82&lt;=Input!$C$6,0,IF('Unique Tenure'!D82&lt;'Unique Tenure'!F82,'Unique Tenure'!D82-G82,'Unique Tenure'!F82))</f>
        <v>12318943.499999996</v>
      </c>
      <c r="I82" s="60">
        <f t="shared" si="60"/>
        <v>19603417.499999996</v>
      </c>
      <c r="J82" s="60">
        <f t="shared" si="61"/>
        <v>559473105</v>
      </c>
      <c r="K82" s="202">
        <f>J82/Input!$K$5</f>
        <v>1.8649103499999999</v>
      </c>
      <c r="L82" s="232"/>
      <c r="M82" s="60">
        <f>IF($B82&lt;Input!$H$43,IF($B82&lt;Input!$G$43,IF($B82&lt;Input!$F$43,IF($B82&lt;Input!$E$43,IF($B82&lt;Input!$D$43,Input!$C$49,Input!$D$49),Input!$E$49),Input!$F$49),Input!$G$49),Input!$H$49)</f>
        <v>21781574.999999996</v>
      </c>
      <c r="N82" s="190">
        <f>IF($A82&lt;Input!$H$50,IF($A82&lt;Input!$G$50,IF($A82&lt;Input!$F$50,IF($A82&lt;Input!$E$50,IF($A82&lt;Input!$D$50,Input!$C$51,Input!$D$51),Input!$E$51),Input!$F$51),Input!$G$51),Input!$H$51)</f>
        <v>0.9</v>
      </c>
      <c r="O82" s="60">
        <f t="shared" si="36"/>
        <v>19603417.499999996</v>
      </c>
      <c r="P82" s="60">
        <f t="shared" si="37"/>
        <v>31</v>
      </c>
      <c r="Q82" s="60">
        <f t="shared" si="38"/>
        <v>571792048.5</v>
      </c>
      <c r="R82" s="60">
        <f>ROUND(Q82*$P82*Input!$C$3/365,0)</f>
        <v>7284474</v>
      </c>
      <c r="S82" s="60">
        <f>IF(A82&lt;=Input!$C$6,0,IF('Unique Tenure'!O82&lt;'Unique Tenure'!Q82,'Unique Tenure'!O82-R82,'Unique Tenure'!Q82))</f>
        <v>12318943.499999996</v>
      </c>
      <c r="T82" s="60">
        <f t="shared" si="39"/>
        <v>19603417.499999996</v>
      </c>
      <c r="U82" s="60">
        <f t="shared" si="40"/>
        <v>559473105</v>
      </c>
      <c r="V82" s="193"/>
      <c r="W82" s="169">
        <v>78</v>
      </c>
      <c r="X82" s="1">
        <f t="shared" si="62"/>
        <v>47894</v>
      </c>
      <c r="Y82" s="60">
        <f>IF($X82&lt;Input!$H$58,IF($X82&lt;Input!$G$58,IF($X82&lt;Input!$F$58,IF($X82&lt;Input!$E$58,IF($X82&lt;Input!$D$58,Input!$C$64,Input!$D$64),Input!$E$64),Input!$F$64),Input!$G$64),Input!$H$64)</f>
        <v>0</v>
      </c>
      <c r="Z82" s="190">
        <f>IF($A82&lt;Input!$H$65,IF($A82&lt;Input!$G$65,IF($A82&lt;Input!$F$65,IF($A82&lt;Input!$E$65,IF($A82&lt;Input!$D$65,Input!$C$66,Input!$D$66),Input!$E$66),Input!$F$66),Input!$G$66),Input!$H$66)</f>
        <v>0.9</v>
      </c>
      <c r="AA82" s="60">
        <f t="shared" si="41"/>
        <v>0</v>
      </c>
      <c r="AB82" s="60">
        <f t="shared" si="63"/>
        <v>31</v>
      </c>
      <c r="AC82" s="60">
        <f t="shared" si="42"/>
        <v>0</v>
      </c>
      <c r="AD82" s="60">
        <f>ROUND(AC82*AB82*Input!$C$3/365,0)</f>
        <v>0</v>
      </c>
      <c r="AE82" s="61">
        <f>IF($A82&lt;=Input!$C$6,0,IF('Unique Tenure'!AA82&lt;'Unique Tenure'!AC82,'Unique Tenure'!AA82-AD82,'Unique Tenure'!AC82))</f>
        <v>0</v>
      </c>
      <c r="AF82" s="61">
        <f t="shared" si="43"/>
        <v>0</v>
      </c>
      <c r="AG82" s="60">
        <f t="shared" si="44"/>
        <v>0</v>
      </c>
      <c r="AH82" s="193"/>
      <c r="AI82" s="169">
        <v>78</v>
      </c>
      <c r="AJ82" s="1">
        <f t="shared" si="64"/>
        <v>47894</v>
      </c>
      <c r="AK82" s="60">
        <f>IF($X82&lt;Input!$H$73,IF($X82&lt;Input!$G$73,IF($X82&lt;Input!$F$73,IF($X82&lt;Input!$E$73,IF($X82&lt;Input!$D$73,Input!$C$79,Input!$D$79),Input!$E$79),Input!$F$79),Input!$G$79),Input!$H$79)</f>
        <v>0</v>
      </c>
      <c r="AL82" s="190">
        <f>IF($A82&lt;Input!$H$80,IF($A82&lt;Input!$G$80,IF($A82&lt;Input!$F$80,IF($A82&lt;Input!$E$80,IF($A82&lt;Input!$D$80,Input!$C$81,Input!$D$81),Input!$E$81),Input!$F$81),Input!$G$81),Input!$H$81)</f>
        <v>0.9</v>
      </c>
      <c r="AM82" s="60">
        <f t="shared" si="45"/>
        <v>0</v>
      </c>
      <c r="AN82" s="60">
        <f t="shared" si="65"/>
        <v>31</v>
      </c>
      <c r="AO82" s="60">
        <f t="shared" si="46"/>
        <v>0</v>
      </c>
      <c r="AP82" s="60">
        <f>ROUND(AO82*AN82*Input!$C$3/365,0)</f>
        <v>0</v>
      </c>
      <c r="AQ82" s="61">
        <f>IF($A82&lt;=Input!$C$6,0,IF('Unique Tenure'!AM82&lt;'Unique Tenure'!AO82,'Unique Tenure'!AM82-AP82,'Unique Tenure'!AO82))</f>
        <v>0</v>
      </c>
      <c r="AR82" s="61">
        <f t="shared" si="47"/>
        <v>0</v>
      </c>
      <c r="AS82" s="60">
        <f t="shared" si="48"/>
        <v>0</v>
      </c>
      <c r="AT82" s="193"/>
      <c r="AU82" s="169">
        <v>78</v>
      </c>
      <c r="AV82" s="1">
        <f t="shared" si="66"/>
        <v>47894</v>
      </c>
      <c r="AW82" s="60">
        <f>IF($X82&lt;Input!$H$88,IF($X82&lt;Input!$G$88,IF($X82&lt;Input!$F$88,IF($X82&lt;Input!$E$88,IF($X82&lt;Input!$D$88,Input!$C$94,Input!$D$94),Input!$E$94),Input!$F$94),Input!$G$94),Input!$H$94)</f>
        <v>0</v>
      </c>
      <c r="AX82" s="190">
        <f>IF($A82&lt;Input!$H$95,IF($A82&lt;Input!$G$95,IF($A82&lt;Input!$F$95,IF($A82&lt;Input!$E$95,IF($A82&lt;Input!$D$95,Input!$C$96,Input!$D$96),Input!$E$96),Input!$F$96),Input!$G$96),Input!$H$96)</f>
        <v>0.9</v>
      </c>
      <c r="AY82" s="60">
        <f t="shared" si="49"/>
        <v>0</v>
      </c>
      <c r="AZ82" s="60">
        <f t="shared" si="67"/>
        <v>31</v>
      </c>
      <c r="BA82" s="60">
        <f t="shared" si="50"/>
        <v>0</v>
      </c>
      <c r="BB82" s="60">
        <f>ROUND(BA82*AZ82*Input!$C$3/365,0)</f>
        <v>0</v>
      </c>
      <c r="BC82" s="61">
        <f>IF($A82&lt;=Input!$C$6,0,IF('Unique Tenure'!AY82&lt;'Unique Tenure'!BA82,'Unique Tenure'!AY82-BB82,'Unique Tenure'!BA82))</f>
        <v>0</v>
      </c>
      <c r="BD82" s="61">
        <f t="shared" si="51"/>
        <v>0</v>
      </c>
      <c r="BE82" s="60">
        <f t="shared" si="52"/>
        <v>0</v>
      </c>
      <c r="BF82" s="193"/>
      <c r="BG82" s="169">
        <v>78</v>
      </c>
      <c r="BH82" s="1">
        <f t="shared" si="68"/>
        <v>47894</v>
      </c>
      <c r="BI82" s="60">
        <f>IF($X82&lt;Input!$H$103,IF($X82&lt;Input!$G$103,IF($X82&lt;Input!$F$103,IF($X82&lt;Input!$E$103,IF($X82&lt;Input!$D$103,Input!$C$109,Input!$D$109),Input!$E$109),Input!$F$109),Input!$G$109),Input!$H$109)</f>
        <v>0</v>
      </c>
      <c r="BJ82" s="190">
        <f>IF($A82&lt;Input!$H$110,IF($A82&lt;Input!$G$110,IF($A82&lt;Input!$F$110,IF($A82&lt;Input!$E$110,IF($A82&lt;Input!$D$110,Input!$C$111,Input!$D$111),Input!$E$111),Input!$F$111),Input!$G$111),Input!$H$111)</f>
        <v>0.9</v>
      </c>
      <c r="BK82" s="60">
        <f t="shared" si="53"/>
        <v>0</v>
      </c>
      <c r="BL82" s="60">
        <f t="shared" si="69"/>
        <v>31</v>
      </c>
      <c r="BM82" s="60">
        <f t="shared" si="54"/>
        <v>0</v>
      </c>
      <c r="BN82" s="60">
        <f>ROUND(BM82*BL82*Input!$C$3/365,0)</f>
        <v>0</v>
      </c>
      <c r="BO82" s="61">
        <f>IF($A82&lt;=Input!$C$6,0,IF('Unique Tenure'!BK82&lt;'Unique Tenure'!BM82,'Unique Tenure'!BK82-BN82,'Unique Tenure'!BM82))</f>
        <v>0</v>
      </c>
      <c r="BP82" s="61">
        <f t="shared" si="55"/>
        <v>0</v>
      </c>
      <c r="BQ82" s="60">
        <f t="shared" si="56"/>
        <v>0</v>
      </c>
      <c r="BR82" s="198"/>
    </row>
    <row r="83" spans="1:70" s="51" customFormat="1" x14ac:dyDescent="0.25">
      <c r="A83" s="169">
        <v>79</v>
      </c>
      <c r="B83" s="1">
        <f t="shared" si="57"/>
        <v>47922</v>
      </c>
      <c r="C83" s="60">
        <f>SUM(
   IF(($A$4:$A$184 &lt;= Input!$D$16), M83, 0),
   IF(($A$4:$A$184 &lt;= Input!$E$16), Y83, 0),
   IF(($A$4:$A$184 &lt;= Input!$F$16), AK83, 0),
   IF(($A$4:$A$184 &lt;= Input!$G$16), AW83, 0),
   IF(($A$4:$A$184 &lt;= Input!$H$16), BI83, 0)
)</f>
        <v>21781574.999999996</v>
      </c>
      <c r="D83" s="60">
        <f>SUM(
   IF(($A$4:$A$184 &lt;= Input!$D$16), O83, 0),
   IF(($A$4:$A$184 &lt;= Input!$E$16), AA83, 0),
   IF(($A$4:$A$184 &lt;= Input!$F$16), AM83, 0),
   IF(($A$4:$A$184 &lt;= Input!$G$16), AY83, 0),
   IF(($A$4:$A$184 &lt;= Input!$H$16), BK83, 0)
)</f>
        <v>19603417.499999996</v>
      </c>
      <c r="E83" s="60">
        <f t="shared" si="58"/>
        <v>28</v>
      </c>
      <c r="F83" s="60">
        <f t="shared" si="59"/>
        <v>559473105</v>
      </c>
      <c r="G83" s="60">
        <f>ROUND(F83*E83*Input!$C$3/365,0)</f>
        <v>6437773</v>
      </c>
      <c r="H83" s="60">
        <f>IF($A83&lt;=Input!$C$6,0,IF('Unique Tenure'!D83&lt;'Unique Tenure'!F83,'Unique Tenure'!D83-G83,'Unique Tenure'!F83))</f>
        <v>13165644.499999996</v>
      </c>
      <c r="I83" s="60">
        <f t="shared" si="60"/>
        <v>19603417.499999996</v>
      </c>
      <c r="J83" s="60">
        <f t="shared" si="61"/>
        <v>546307460.5</v>
      </c>
      <c r="K83" s="202">
        <f>J83/Input!$K$5</f>
        <v>1.8210248683333334</v>
      </c>
      <c r="L83" s="232"/>
      <c r="M83" s="60">
        <f>IF($B83&lt;Input!$H$43,IF($B83&lt;Input!$G$43,IF($B83&lt;Input!$F$43,IF($B83&lt;Input!$E$43,IF($B83&lt;Input!$D$43,Input!$C$49,Input!$D$49),Input!$E$49),Input!$F$49),Input!$G$49),Input!$H$49)</f>
        <v>21781574.999999996</v>
      </c>
      <c r="N83" s="190">
        <f>IF($A83&lt;Input!$H$50,IF($A83&lt;Input!$G$50,IF($A83&lt;Input!$F$50,IF($A83&lt;Input!$E$50,IF($A83&lt;Input!$D$50,Input!$C$51,Input!$D$51),Input!$E$51),Input!$F$51),Input!$G$51),Input!$H$51)</f>
        <v>0.9</v>
      </c>
      <c r="O83" s="60">
        <f t="shared" si="36"/>
        <v>19603417.499999996</v>
      </c>
      <c r="P83" s="60">
        <f t="shared" si="37"/>
        <v>28</v>
      </c>
      <c r="Q83" s="60">
        <f t="shared" si="38"/>
        <v>559473105</v>
      </c>
      <c r="R83" s="60">
        <f>ROUND(Q83*$P83*Input!$C$3/365,0)</f>
        <v>6437773</v>
      </c>
      <c r="S83" s="60">
        <f>IF(A83&lt;=Input!$C$6,0,IF('Unique Tenure'!O83&lt;'Unique Tenure'!Q83,'Unique Tenure'!O83-R83,'Unique Tenure'!Q83))</f>
        <v>13165644.499999996</v>
      </c>
      <c r="T83" s="60">
        <f t="shared" si="39"/>
        <v>19603417.499999996</v>
      </c>
      <c r="U83" s="60">
        <f t="shared" si="40"/>
        <v>546307460.5</v>
      </c>
      <c r="V83" s="193"/>
      <c r="W83" s="169">
        <v>79</v>
      </c>
      <c r="X83" s="1">
        <f t="shared" si="62"/>
        <v>47922</v>
      </c>
      <c r="Y83" s="60">
        <f>IF($X83&lt;Input!$H$58,IF($X83&lt;Input!$G$58,IF($X83&lt;Input!$F$58,IF($X83&lt;Input!$E$58,IF($X83&lt;Input!$D$58,Input!$C$64,Input!$D$64),Input!$E$64),Input!$F$64),Input!$G$64),Input!$H$64)</f>
        <v>0</v>
      </c>
      <c r="Z83" s="190">
        <f>IF($A83&lt;Input!$H$65,IF($A83&lt;Input!$G$65,IF($A83&lt;Input!$F$65,IF($A83&lt;Input!$E$65,IF($A83&lt;Input!$D$65,Input!$C$66,Input!$D$66),Input!$E$66),Input!$F$66),Input!$G$66),Input!$H$66)</f>
        <v>0.9</v>
      </c>
      <c r="AA83" s="60">
        <f t="shared" si="41"/>
        <v>0</v>
      </c>
      <c r="AB83" s="60">
        <f t="shared" si="63"/>
        <v>28</v>
      </c>
      <c r="AC83" s="60">
        <f t="shared" si="42"/>
        <v>0</v>
      </c>
      <c r="AD83" s="60">
        <f>ROUND(AC83*AB83*Input!$C$3/365,0)</f>
        <v>0</v>
      </c>
      <c r="AE83" s="61">
        <f>IF($A83&lt;=Input!$C$6,0,IF('Unique Tenure'!AA83&lt;'Unique Tenure'!AC83,'Unique Tenure'!AA83-AD83,'Unique Tenure'!AC83))</f>
        <v>0</v>
      </c>
      <c r="AF83" s="61">
        <f t="shared" si="43"/>
        <v>0</v>
      </c>
      <c r="AG83" s="60">
        <f t="shared" si="44"/>
        <v>0</v>
      </c>
      <c r="AH83" s="193"/>
      <c r="AI83" s="169">
        <v>79</v>
      </c>
      <c r="AJ83" s="1">
        <f t="shared" si="64"/>
        <v>47922</v>
      </c>
      <c r="AK83" s="60">
        <f>IF($X83&lt;Input!$H$73,IF($X83&lt;Input!$G$73,IF($X83&lt;Input!$F$73,IF($X83&lt;Input!$E$73,IF($X83&lt;Input!$D$73,Input!$C$79,Input!$D$79),Input!$E$79),Input!$F$79),Input!$G$79),Input!$H$79)</f>
        <v>0</v>
      </c>
      <c r="AL83" s="190">
        <f>IF($A83&lt;Input!$H$80,IF($A83&lt;Input!$G$80,IF($A83&lt;Input!$F$80,IF($A83&lt;Input!$E$80,IF($A83&lt;Input!$D$80,Input!$C$81,Input!$D$81),Input!$E$81),Input!$F$81),Input!$G$81),Input!$H$81)</f>
        <v>0.9</v>
      </c>
      <c r="AM83" s="60">
        <f t="shared" si="45"/>
        <v>0</v>
      </c>
      <c r="AN83" s="60">
        <f t="shared" si="65"/>
        <v>28</v>
      </c>
      <c r="AO83" s="60">
        <f t="shared" si="46"/>
        <v>0</v>
      </c>
      <c r="AP83" s="60">
        <f>ROUND(AO83*AN83*Input!$C$3/365,0)</f>
        <v>0</v>
      </c>
      <c r="AQ83" s="61">
        <f>IF($A83&lt;=Input!$C$6,0,IF('Unique Tenure'!AM83&lt;'Unique Tenure'!AO83,'Unique Tenure'!AM83-AP83,'Unique Tenure'!AO83))</f>
        <v>0</v>
      </c>
      <c r="AR83" s="61">
        <f t="shared" si="47"/>
        <v>0</v>
      </c>
      <c r="AS83" s="60">
        <f t="shared" si="48"/>
        <v>0</v>
      </c>
      <c r="AT83" s="193"/>
      <c r="AU83" s="169">
        <v>79</v>
      </c>
      <c r="AV83" s="1">
        <f t="shared" si="66"/>
        <v>47922</v>
      </c>
      <c r="AW83" s="60">
        <f>IF($X83&lt;Input!$H$88,IF($X83&lt;Input!$G$88,IF($X83&lt;Input!$F$88,IF($X83&lt;Input!$E$88,IF($X83&lt;Input!$D$88,Input!$C$94,Input!$D$94),Input!$E$94),Input!$F$94),Input!$G$94),Input!$H$94)</f>
        <v>0</v>
      </c>
      <c r="AX83" s="190">
        <f>IF($A83&lt;Input!$H$95,IF($A83&lt;Input!$G$95,IF($A83&lt;Input!$F$95,IF($A83&lt;Input!$E$95,IF($A83&lt;Input!$D$95,Input!$C$96,Input!$D$96),Input!$E$96),Input!$F$96),Input!$G$96),Input!$H$96)</f>
        <v>0.9</v>
      </c>
      <c r="AY83" s="60">
        <f t="shared" si="49"/>
        <v>0</v>
      </c>
      <c r="AZ83" s="60">
        <f t="shared" si="67"/>
        <v>28</v>
      </c>
      <c r="BA83" s="60">
        <f t="shared" si="50"/>
        <v>0</v>
      </c>
      <c r="BB83" s="60">
        <f>ROUND(BA83*AZ83*Input!$C$3/365,0)</f>
        <v>0</v>
      </c>
      <c r="BC83" s="61">
        <f>IF($A83&lt;=Input!$C$6,0,IF('Unique Tenure'!AY83&lt;'Unique Tenure'!BA83,'Unique Tenure'!AY83-BB83,'Unique Tenure'!BA83))</f>
        <v>0</v>
      </c>
      <c r="BD83" s="61">
        <f t="shared" si="51"/>
        <v>0</v>
      </c>
      <c r="BE83" s="60">
        <f t="shared" si="52"/>
        <v>0</v>
      </c>
      <c r="BF83" s="193"/>
      <c r="BG83" s="169">
        <v>79</v>
      </c>
      <c r="BH83" s="1">
        <f t="shared" si="68"/>
        <v>47922</v>
      </c>
      <c r="BI83" s="60">
        <f>IF($X83&lt;Input!$H$103,IF($X83&lt;Input!$G$103,IF($X83&lt;Input!$F$103,IF($X83&lt;Input!$E$103,IF($X83&lt;Input!$D$103,Input!$C$109,Input!$D$109),Input!$E$109),Input!$F$109),Input!$G$109),Input!$H$109)</f>
        <v>0</v>
      </c>
      <c r="BJ83" s="190">
        <f>IF($A83&lt;Input!$H$110,IF($A83&lt;Input!$G$110,IF($A83&lt;Input!$F$110,IF($A83&lt;Input!$E$110,IF($A83&lt;Input!$D$110,Input!$C$111,Input!$D$111),Input!$E$111),Input!$F$111),Input!$G$111),Input!$H$111)</f>
        <v>0.9</v>
      </c>
      <c r="BK83" s="60">
        <f t="shared" si="53"/>
        <v>0</v>
      </c>
      <c r="BL83" s="60">
        <f t="shared" si="69"/>
        <v>28</v>
      </c>
      <c r="BM83" s="60">
        <f t="shared" si="54"/>
        <v>0</v>
      </c>
      <c r="BN83" s="60">
        <f>ROUND(BM83*BL83*Input!$C$3/365,0)</f>
        <v>0</v>
      </c>
      <c r="BO83" s="61">
        <f>IF($A83&lt;=Input!$C$6,0,IF('Unique Tenure'!BK83&lt;'Unique Tenure'!BM83,'Unique Tenure'!BK83-BN83,'Unique Tenure'!BM83))</f>
        <v>0</v>
      </c>
      <c r="BP83" s="61">
        <f t="shared" si="55"/>
        <v>0</v>
      </c>
      <c r="BQ83" s="60">
        <f t="shared" si="56"/>
        <v>0</v>
      </c>
      <c r="BR83" s="198"/>
    </row>
    <row r="84" spans="1:70" s="51" customFormat="1" x14ac:dyDescent="0.25">
      <c r="A84" s="169">
        <v>80</v>
      </c>
      <c r="B84" s="1">
        <f t="shared" si="57"/>
        <v>47953</v>
      </c>
      <c r="C84" s="60">
        <f>SUM(
   IF(($A$4:$A$184 &lt;= Input!$D$16), M84, 0),
   IF(($A$4:$A$184 &lt;= Input!$E$16), Y84, 0),
   IF(($A$4:$A$184 &lt;= Input!$F$16), AK84, 0),
   IF(($A$4:$A$184 &lt;= Input!$G$16), AW84, 0),
   IF(($A$4:$A$184 &lt;= Input!$H$16), BI84, 0)
)</f>
        <v>21781574.999999996</v>
      </c>
      <c r="D84" s="60">
        <f>SUM(
   IF(($A$4:$A$184 &lt;= Input!$D$16), O84, 0),
   IF(($A$4:$A$184 &lt;= Input!$E$16), AA84, 0),
   IF(($A$4:$A$184 &lt;= Input!$F$16), AM84, 0),
   IF(($A$4:$A$184 &lt;= Input!$G$16), AY84, 0),
   IF(($A$4:$A$184 &lt;= Input!$H$16), BK84, 0)
)</f>
        <v>19603417.499999996</v>
      </c>
      <c r="E84" s="60">
        <f t="shared" si="58"/>
        <v>31</v>
      </c>
      <c r="F84" s="60">
        <f t="shared" si="59"/>
        <v>546307460.5</v>
      </c>
      <c r="G84" s="60">
        <f>ROUND(F84*E84*Input!$C$3/365,0)</f>
        <v>6959807</v>
      </c>
      <c r="H84" s="60">
        <f>IF($A84&lt;=Input!$C$6,0,IF('Unique Tenure'!D84&lt;'Unique Tenure'!F84,'Unique Tenure'!D84-G84,'Unique Tenure'!F84))</f>
        <v>12643610.499999996</v>
      </c>
      <c r="I84" s="60">
        <f t="shared" si="60"/>
        <v>19603417.499999996</v>
      </c>
      <c r="J84" s="60">
        <f t="shared" si="61"/>
        <v>533663850</v>
      </c>
      <c r="K84" s="202">
        <f>J84/Input!$K$5</f>
        <v>1.7788794999999999</v>
      </c>
      <c r="L84" s="232"/>
      <c r="M84" s="60">
        <f>IF($B84&lt;Input!$H$43,IF($B84&lt;Input!$G$43,IF($B84&lt;Input!$F$43,IF($B84&lt;Input!$E$43,IF($B84&lt;Input!$D$43,Input!$C$49,Input!$D$49),Input!$E$49),Input!$F$49),Input!$G$49),Input!$H$49)</f>
        <v>21781574.999999996</v>
      </c>
      <c r="N84" s="190">
        <f>IF($A84&lt;Input!$H$50,IF($A84&lt;Input!$G$50,IF($A84&lt;Input!$F$50,IF($A84&lt;Input!$E$50,IF($A84&lt;Input!$D$50,Input!$C$51,Input!$D$51),Input!$E$51),Input!$F$51),Input!$G$51),Input!$H$51)</f>
        <v>0.9</v>
      </c>
      <c r="O84" s="60">
        <f t="shared" si="36"/>
        <v>19603417.499999996</v>
      </c>
      <c r="P84" s="60">
        <f t="shared" si="37"/>
        <v>31</v>
      </c>
      <c r="Q84" s="60">
        <f t="shared" si="38"/>
        <v>546307460.5</v>
      </c>
      <c r="R84" s="60">
        <f>ROUND(Q84*$P84*Input!$C$3/365,0)</f>
        <v>6959807</v>
      </c>
      <c r="S84" s="60">
        <f>IF(A84&lt;=Input!$C$6,0,IF('Unique Tenure'!O84&lt;'Unique Tenure'!Q84,'Unique Tenure'!O84-R84,'Unique Tenure'!Q84))</f>
        <v>12643610.499999996</v>
      </c>
      <c r="T84" s="60">
        <f t="shared" si="39"/>
        <v>19603417.499999996</v>
      </c>
      <c r="U84" s="60">
        <f t="shared" si="40"/>
        <v>533663850</v>
      </c>
      <c r="V84" s="193"/>
      <c r="W84" s="169">
        <v>80</v>
      </c>
      <c r="X84" s="1">
        <f t="shared" si="62"/>
        <v>47953</v>
      </c>
      <c r="Y84" s="60">
        <f>IF($X84&lt;Input!$H$58,IF($X84&lt;Input!$G$58,IF($X84&lt;Input!$F$58,IF($X84&lt;Input!$E$58,IF($X84&lt;Input!$D$58,Input!$C$64,Input!$D$64),Input!$E$64),Input!$F$64),Input!$G$64),Input!$H$64)</f>
        <v>0</v>
      </c>
      <c r="Z84" s="190">
        <f>IF($A84&lt;Input!$H$65,IF($A84&lt;Input!$G$65,IF($A84&lt;Input!$F$65,IF($A84&lt;Input!$E$65,IF($A84&lt;Input!$D$65,Input!$C$66,Input!$D$66),Input!$E$66),Input!$F$66),Input!$G$66),Input!$H$66)</f>
        <v>0.9</v>
      </c>
      <c r="AA84" s="60">
        <f t="shared" si="41"/>
        <v>0</v>
      </c>
      <c r="AB84" s="60">
        <f t="shared" si="63"/>
        <v>31</v>
      </c>
      <c r="AC84" s="60">
        <f t="shared" si="42"/>
        <v>0</v>
      </c>
      <c r="AD84" s="60">
        <f>ROUND(AC84*AB84*Input!$C$3/365,0)</f>
        <v>0</v>
      </c>
      <c r="AE84" s="61">
        <f>IF($A84&lt;=Input!$C$6,0,IF('Unique Tenure'!AA84&lt;'Unique Tenure'!AC84,'Unique Tenure'!AA84-AD84,'Unique Tenure'!AC84))</f>
        <v>0</v>
      </c>
      <c r="AF84" s="61">
        <f t="shared" si="43"/>
        <v>0</v>
      </c>
      <c r="AG84" s="60">
        <f t="shared" si="44"/>
        <v>0</v>
      </c>
      <c r="AH84" s="193"/>
      <c r="AI84" s="169">
        <v>80</v>
      </c>
      <c r="AJ84" s="1">
        <f t="shared" si="64"/>
        <v>47953</v>
      </c>
      <c r="AK84" s="60">
        <f>IF($X84&lt;Input!$H$73,IF($X84&lt;Input!$G$73,IF($X84&lt;Input!$F$73,IF($X84&lt;Input!$E$73,IF($X84&lt;Input!$D$73,Input!$C$79,Input!$D$79),Input!$E$79),Input!$F$79),Input!$G$79),Input!$H$79)</f>
        <v>0</v>
      </c>
      <c r="AL84" s="190">
        <f>IF($A84&lt;Input!$H$80,IF($A84&lt;Input!$G$80,IF($A84&lt;Input!$F$80,IF($A84&lt;Input!$E$80,IF($A84&lt;Input!$D$80,Input!$C$81,Input!$D$81),Input!$E$81),Input!$F$81),Input!$G$81),Input!$H$81)</f>
        <v>0.9</v>
      </c>
      <c r="AM84" s="60">
        <f t="shared" si="45"/>
        <v>0</v>
      </c>
      <c r="AN84" s="60">
        <f t="shared" si="65"/>
        <v>31</v>
      </c>
      <c r="AO84" s="60">
        <f t="shared" si="46"/>
        <v>0</v>
      </c>
      <c r="AP84" s="60">
        <f>ROUND(AO84*AN84*Input!$C$3/365,0)</f>
        <v>0</v>
      </c>
      <c r="AQ84" s="61">
        <f>IF($A84&lt;=Input!$C$6,0,IF('Unique Tenure'!AM84&lt;'Unique Tenure'!AO84,'Unique Tenure'!AM84-AP84,'Unique Tenure'!AO84))</f>
        <v>0</v>
      </c>
      <c r="AR84" s="61">
        <f t="shared" si="47"/>
        <v>0</v>
      </c>
      <c r="AS84" s="60">
        <f t="shared" si="48"/>
        <v>0</v>
      </c>
      <c r="AT84" s="193"/>
      <c r="AU84" s="169">
        <v>80</v>
      </c>
      <c r="AV84" s="1">
        <f t="shared" si="66"/>
        <v>47953</v>
      </c>
      <c r="AW84" s="60">
        <f>IF($X84&lt;Input!$H$88,IF($X84&lt;Input!$G$88,IF($X84&lt;Input!$F$88,IF($X84&lt;Input!$E$88,IF($X84&lt;Input!$D$88,Input!$C$94,Input!$D$94),Input!$E$94),Input!$F$94),Input!$G$94),Input!$H$94)</f>
        <v>0</v>
      </c>
      <c r="AX84" s="190">
        <f>IF($A84&lt;Input!$H$95,IF($A84&lt;Input!$G$95,IF($A84&lt;Input!$F$95,IF($A84&lt;Input!$E$95,IF($A84&lt;Input!$D$95,Input!$C$96,Input!$D$96),Input!$E$96),Input!$F$96),Input!$G$96),Input!$H$96)</f>
        <v>0.9</v>
      </c>
      <c r="AY84" s="60">
        <f t="shared" si="49"/>
        <v>0</v>
      </c>
      <c r="AZ84" s="60">
        <f t="shared" si="67"/>
        <v>31</v>
      </c>
      <c r="BA84" s="60">
        <f t="shared" si="50"/>
        <v>0</v>
      </c>
      <c r="BB84" s="60">
        <f>ROUND(BA84*AZ84*Input!$C$3/365,0)</f>
        <v>0</v>
      </c>
      <c r="BC84" s="61">
        <f>IF($A84&lt;=Input!$C$6,0,IF('Unique Tenure'!AY84&lt;'Unique Tenure'!BA84,'Unique Tenure'!AY84-BB84,'Unique Tenure'!BA84))</f>
        <v>0</v>
      </c>
      <c r="BD84" s="61">
        <f t="shared" si="51"/>
        <v>0</v>
      </c>
      <c r="BE84" s="60">
        <f t="shared" si="52"/>
        <v>0</v>
      </c>
      <c r="BF84" s="193"/>
      <c r="BG84" s="169">
        <v>80</v>
      </c>
      <c r="BH84" s="1">
        <f t="shared" si="68"/>
        <v>47953</v>
      </c>
      <c r="BI84" s="60">
        <f>IF($X84&lt;Input!$H$103,IF($X84&lt;Input!$G$103,IF($X84&lt;Input!$F$103,IF($X84&lt;Input!$E$103,IF($X84&lt;Input!$D$103,Input!$C$109,Input!$D$109),Input!$E$109),Input!$F$109),Input!$G$109),Input!$H$109)</f>
        <v>0</v>
      </c>
      <c r="BJ84" s="190">
        <f>IF($A84&lt;Input!$H$110,IF($A84&lt;Input!$G$110,IF($A84&lt;Input!$F$110,IF($A84&lt;Input!$E$110,IF($A84&lt;Input!$D$110,Input!$C$111,Input!$D$111),Input!$E$111),Input!$F$111),Input!$G$111),Input!$H$111)</f>
        <v>0.9</v>
      </c>
      <c r="BK84" s="60">
        <f t="shared" si="53"/>
        <v>0</v>
      </c>
      <c r="BL84" s="60">
        <f t="shared" si="69"/>
        <v>31</v>
      </c>
      <c r="BM84" s="60">
        <f t="shared" si="54"/>
        <v>0</v>
      </c>
      <c r="BN84" s="60">
        <f>ROUND(BM84*BL84*Input!$C$3/365,0)</f>
        <v>0</v>
      </c>
      <c r="BO84" s="61">
        <f>IF($A84&lt;=Input!$C$6,0,IF('Unique Tenure'!BK84&lt;'Unique Tenure'!BM84,'Unique Tenure'!BK84-BN84,'Unique Tenure'!BM84))</f>
        <v>0</v>
      </c>
      <c r="BP84" s="61">
        <f t="shared" si="55"/>
        <v>0</v>
      </c>
      <c r="BQ84" s="60">
        <f t="shared" si="56"/>
        <v>0</v>
      </c>
      <c r="BR84" s="198"/>
    </row>
    <row r="85" spans="1:70" s="51" customFormat="1" x14ac:dyDescent="0.25">
      <c r="A85" s="169">
        <v>81</v>
      </c>
      <c r="B85" s="1">
        <f t="shared" si="57"/>
        <v>47983</v>
      </c>
      <c r="C85" s="60">
        <f>SUM(
   IF(($A$4:$A$184 &lt;= Input!$D$16), M85, 0),
   IF(($A$4:$A$184 &lt;= Input!$E$16), Y85, 0),
   IF(($A$4:$A$184 &lt;= Input!$F$16), AK85, 0),
   IF(($A$4:$A$184 &lt;= Input!$G$16), AW85, 0),
   IF(($A$4:$A$184 &lt;= Input!$H$16), BI85, 0)
)</f>
        <v>21781574.999999996</v>
      </c>
      <c r="D85" s="60">
        <f>SUM(
   IF(($A$4:$A$184 &lt;= Input!$D$16), O85, 0),
   IF(($A$4:$A$184 &lt;= Input!$E$16), AA85, 0),
   IF(($A$4:$A$184 &lt;= Input!$F$16), AM85, 0),
   IF(($A$4:$A$184 &lt;= Input!$G$16), AY85, 0),
   IF(($A$4:$A$184 &lt;= Input!$H$16), BK85, 0)
)</f>
        <v>19603417.499999996</v>
      </c>
      <c r="E85" s="60">
        <f t="shared" si="58"/>
        <v>30</v>
      </c>
      <c r="F85" s="60">
        <f t="shared" si="59"/>
        <v>533663850</v>
      </c>
      <c r="G85" s="60">
        <f>ROUND(F85*E85*Input!$C$3/365,0)</f>
        <v>6579417</v>
      </c>
      <c r="H85" s="60">
        <f>IF($A85&lt;=Input!$C$6,0,IF('Unique Tenure'!D85&lt;'Unique Tenure'!F85,'Unique Tenure'!D85-G85,'Unique Tenure'!F85))</f>
        <v>13024000.499999996</v>
      </c>
      <c r="I85" s="60">
        <f t="shared" si="60"/>
        <v>19603417.499999996</v>
      </c>
      <c r="J85" s="60">
        <f t="shared" si="61"/>
        <v>520639849.5</v>
      </c>
      <c r="K85" s="202">
        <f>J85/Input!$K$5</f>
        <v>1.7354661650000001</v>
      </c>
      <c r="L85" s="232"/>
      <c r="M85" s="60">
        <f>IF($B85&lt;Input!$H$43,IF($B85&lt;Input!$G$43,IF($B85&lt;Input!$F$43,IF($B85&lt;Input!$E$43,IF($B85&lt;Input!$D$43,Input!$C$49,Input!$D$49),Input!$E$49),Input!$F$49),Input!$G$49),Input!$H$49)</f>
        <v>21781574.999999996</v>
      </c>
      <c r="N85" s="190">
        <f>IF($A85&lt;Input!$H$50,IF($A85&lt;Input!$G$50,IF($A85&lt;Input!$F$50,IF($A85&lt;Input!$E$50,IF($A85&lt;Input!$D$50,Input!$C$51,Input!$D$51),Input!$E$51),Input!$F$51),Input!$G$51),Input!$H$51)</f>
        <v>0.9</v>
      </c>
      <c r="O85" s="60">
        <f t="shared" si="36"/>
        <v>19603417.499999996</v>
      </c>
      <c r="P85" s="60">
        <f t="shared" si="37"/>
        <v>30</v>
      </c>
      <c r="Q85" s="60">
        <f t="shared" si="38"/>
        <v>533663850</v>
      </c>
      <c r="R85" s="60">
        <f>ROUND(Q85*$P85*Input!$C$3/365,0)</f>
        <v>6579417</v>
      </c>
      <c r="S85" s="60">
        <f>IF(A85&lt;=Input!$C$6,0,IF('Unique Tenure'!O85&lt;'Unique Tenure'!Q85,'Unique Tenure'!O85-R85,'Unique Tenure'!Q85))</f>
        <v>13024000.499999996</v>
      </c>
      <c r="T85" s="60">
        <f t="shared" si="39"/>
        <v>19603417.499999996</v>
      </c>
      <c r="U85" s="60">
        <f t="shared" si="40"/>
        <v>520639849.5</v>
      </c>
      <c r="V85" s="193"/>
      <c r="W85" s="169">
        <v>81</v>
      </c>
      <c r="X85" s="1">
        <f t="shared" si="62"/>
        <v>47983</v>
      </c>
      <c r="Y85" s="60">
        <f>IF($X85&lt;Input!$H$58,IF($X85&lt;Input!$G$58,IF($X85&lt;Input!$F$58,IF($X85&lt;Input!$E$58,IF($X85&lt;Input!$D$58,Input!$C$64,Input!$D$64),Input!$E$64),Input!$F$64),Input!$G$64),Input!$H$64)</f>
        <v>0</v>
      </c>
      <c r="Z85" s="190">
        <f>IF($A85&lt;Input!$H$65,IF($A85&lt;Input!$G$65,IF($A85&lt;Input!$F$65,IF($A85&lt;Input!$E$65,IF($A85&lt;Input!$D$65,Input!$C$66,Input!$D$66),Input!$E$66),Input!$F$66),Input!$G$66),Input!$H$66)</f>
        <v>0.9</v>
      </c>
      <c r="AA85" s="60">
        <f t="shared" si="41"/>
        <v>0</v>
      </c>
      <c r="AB85" s="60">
        <f t="shared" si="63"/>
        <v>30</v>
      </c>
      <c r="AC85" s="60">
        <f t="shared" si="42"/>
        <v>0</v>
      </c>
      <c r="AD85" s="60">
        <f>ROUND(AC85*AB85*Input!$C$3/365,0)</f>
        <v>0</v>
      </c>
      <c r="AE85" s="61">
        <f>IF($A85&lt;=Input!$C$6,0,IF('Unique Tenure'!AA85&lt;'Unique Tenure'!AC85,'Unique Tenure'!AA85-AD85,'Unique Tenure'!AC85))</f>
        <v>0</v>
      </c>
      <c r="AF85" s="61">
        <f t="shared" si="43"/>
        <v>0</v>
      </c>
      <c r="AG85" s="60">
        <f t="shared" si="44"/>
        <v>0</v>
      </c>
      <c r="AH85" s="193"/>
      <c r="AI85" s="169">
        <v>81</v>
      </c>
      <c r="AJ85" s="1">
        <f t="shared" si="64"/>
        <v>47983</v>
      </c>
      <c r="AK85" s="60">
        <f>IF($X85&lt;Input!$H$73,IF($X85&lt;Input!$G$73,IF($X85&lt;Input!$F$73,IF($X85&lt;Input!$E$73,IF($X85&lt;Input!$D$73,Input!$C$79,Input!$D$79),Input!$E$79),Input!$F$79),Input!$G$79),Input!$H$79)</f>
        <v>0</v>
      </c>
      <c r="AL85" s="190">
        <f>IF($A85&lt;Input!$H$80,IF($A85&lt;Input!$G$80,IF($A85&lt;Input!$F$80,IF($A85&lt;Input!$E$80,IF($A85&lt;Input!$D$80,Input!$C$81,Input!$D$81),Input!$E$81),Input!$F$81),Input!$G$81),Input!$H$81)</f>
        <v>0.9</v>
      </c>
      <c r="AM85" s="60">
        <f t="shared" si="45"/>
        <v>0</v>
      </c>
      <c r="AN85" s="60">
        <f t="shared" si="65"/>
        <v>30</v>
      </c>
      <c r="AO85" s="60">
        <f t="shared" si="46"/>
        <v>0</v>
      </c>
      <c r="AP85" s="60">
        <f>ROUND(AO85*AN85*Input!$C$3/365,0)</f>
        <v>0</v>
      </c>
      <c r="AQ85" s="61">
        <f>IF($A85&lt;=Input!$C$6,0,IF('Unique Tenure'!AM85&lt;'Unique Tenure'!AO85,'Unique Tenure'!AM85-AP85,'Unique Tenure'!AO85))</f>
        <v>0</v>
      </c>
      <c r="AR85" s="61">
        <f t="shared" si="47"/>
        <v>0</v>
      </c>
      <c r="AS85" s="60">
        <f t="shared" si="48"/>
        <v>0</v>
      </c>
      <c r="AT85" s="193"/>
      <c r="AU85" s="169">
        <v>81</v>
      </c>
      <c r="AV85" s="1">
        <f t="shared" si="66"/>
        <v>47983</v>
      </c>
      <c r="AW85" s="60">
        <f>IF($X85&lt;Input!$H$88,IF($X85&lt;Input!$G$88,IF($X85&lt;Input!$F$88,IF($X85&lt;Input!$E$88,IF($X85&lt;Input!$D$88,Input!$C$94,Input!$D$94),Input!$E$94),Input!$F$94),Input!$G$94),Input!$H$94)</f>
        <v>0</v>
      </c>
      <c r="AX85" s="190">
        <f>IF($A85&lt;Input!$H$95,IF($A85&lt;Input!$G$95,IF($A85&lt;Input!$F$95,IF($A85&lt;Input!$E$95,IF($A85&lt;Input!$D$95,Input!$C$96,Input!$D$96),Input!$E$96),Input!$F$96),Input!$G$96),Input!$H$96)</f>
        <v>0.9</v>
      </c>
      <c r="AY85" s="60">
        <f t="shared" si="49"/>
        <v>0</v>
      </c>
      <c r="AZ85" s="60">
        <f t="shared" si="67"/>
        <v>30</v>
      </c>
      <c r="BA85" s="60">
        <f t="shared" si="50"/>
        <v>0</v>
      </c>
      <c r="BB85" s="60">
        <f>ROUND(BA85*AZ85*Input!$C$3/365,0)</f>
        <v>0</v>
      </c>
      <c r="BC85" s="61">
        <f>IF($A85&lt;=Input!$C$6,0,IF('Unique Tenure'!AY85&lt;'Unique Tenure'!BA85,'Unique Tenure'!AY85-BB85,'Unique Tenure'!BA85))</f>
        <v>0</v>
      </c>
      <c r="BD85" s="61">
        <f t="shared" si="51"/>
        <v>0</v>
      </c>
      <c r="BE85" s="60">
        <f t="shared" si="52"/>
        <v>0</v>
      </c>
      <c r="BF85" s="193"/>
      <c r="BG85" s="169">
        <v>81</v>
      </c>
      <c r="BH85" s="1">
        <f t="shared" si="68"/>
        <v>47983</v>
      </c>
      <c r="BI85" s="60">
        <f>IF($X85&lt;Input!$H$103,IF($X85&lt;Input!$G$103,IF($X85&lt;Input!$F$103,IF($X85&lt;Input!$E$103,IF($X85&lt;Input!$D$103,Input!$C$109,Input!$D$109),Input!$E$109),Input!$F$109),Input!$G$109),Input!$H$109)</f>
        <v>0</v>
      </c>
      <c r="BJ85" s="190">
        <f>IF($A85&lt;Input!$H$110,IF($A85&lt;Input!$G$110,IF($A85&lt;Input!$F$110,IF($A85&lt;Input!$E$110,IF($A85&lt;Input!$D$110,Input!$C$111,Input!$D$111),Input!$E$111),Input!$F$111),Input!$G$111),Input!$H$111)</f>
        <v>0.9</v>
      </c>
      <c r="BK85" s="60">
        <f t="shared" si="53"/>
        <v>0</v>
      </c>
      <c r="BL85" s="60">
        <f t="shared" si="69"/>
        <v>30</v>
      </c>
      <c r="BM85" s="60">
        <f t="shared" si="54"/>
        <v>0</v>
      </c>
      <c r="BN85" s="60">
        <f>ROUND(BM85*BL85*Input!$C$3/365,0)</f>
        <v>0</v>
      </c>
      <c r="BO85" s="61">
        <f>IF($A85&lt;=Input!$C$6,0,IF('Unique Tenure'!BK85&lt;'Unique Tenure'!BM85,'Unique Tenure'!BK85-BN85,'Unique Tenure'!BM85))</f>
        <v>0</v>
      </c>
      <c r="BP85" s="61">
        <f t="shared" si="55"/>
        <v>0</v>
      </c>
      <c r="BQ85" s="60">
        <f t="shared" si="56"/>
        <v>0</v>
      </c>
      <c r="BR85" s="198"/>
    </row>
    <row r="86" spans="1:70" s="51" customFormat="1" x14ac:dyDescent="0.25">
      <c r="A86" s="169">
        <v>82</v>
      </c>
      <c r="B86" s="1">
        <f t="shared" si="57"/>
        <v>48014</v>
      </c>
      <c r="C86" s="60">
        <f>SUM(
   IF(($A$4:$A$184 &lt;= Input!$D$16), M86, 0),
   IF(($A$4:$A$184 &lt;= Input!$E$16), Y86, 0),
   IF(($A$4:$A$184 &lt;= Input!$F$16), AK86, 0),
   IF(($A$4:$A$184 &lt;= Input!$G$16), AW86, 0),
   IF(($A$4:$A$184 &lt;= Input!$H$16), BI86, 0)
)</f>
        <v>21781574.999999996</v>
      </c>
      <c r="D86" s="60">
        <f>SUM(
   IF(($A$4:$A$184 &lt;= Input!$D$16), O86, 0),
   IF(($A$4:$A$184 &lt;= Input!$E$16), AA86, 0),
   IF(($A$4:$A$184 &lt;= Input!$F$16), AM86, 0),
   IF(($A$4:$A$184 &lt;= Input!$G$16), AY86, 0),
   IF(($A$4:$A$184 &lt;= Input!$H$16), BK86, 0)
)</f>
        <v>19603417.499999996</v>
      </c>
      <c r="E86" s="60">
        <f t="shared" si="58"/>
        <v>31</v>
      </c>
      <c r="F86" s="60">
        <f t="shared" si="59"/>
        <v>520639849.5</v>
      </c>
      <c r="G86" s="60">
        <f>ROUND(F86*E86*Input!$C$3/365,0)</f>
        <v>6632809</v>
      </c>
      <c r="H86" s="60">
        <f>IF($A86&lt;=Input!$C$6,0,IF('Unique Tenure'!D86&lt;'Unique Tenure'!F86,'Unique Tenure'!D86-G86,'Unique Tenure'!F86))</f>
        <v>12970608.499999996</v>
      </c>
      <c r="I86" s="60">
        <f t="shared" si="60"/>
        <v>19603417.499999996</v>
      </c>
      <c r="J86" s="60">
        <f t="shared" si="61"/>
        <v>507669241</v>
      </c>
      <c r="K86" s="202">
        <f>J86/Input!$K$5</f>
        <v>1.6922308033333333</v>
      </c>
      <c r="L86" s="232"/>
      <c r="M86" s="60">
        <f>IF($B86&lt;Input!$H$43,IF($B86&lt;Input!$G$43,IF($B86&lt;Input!$F$43,IF($B86&lt;Input!$E$43,IF($B86&lt;Input!$D$43,Input!$C$49,Input!$D$49),Input!$E$49),Input!$F$49),Input!$G$49),Input!$H$49)</f>
        <v>21781574.999999996</v>
      </c>
      <c r="N86" s="190">
        <f>IF($A86&lt;Input!$H$50,IF($A86&lt;Input!$G$50,IF($A86&lt;Input!$F$50,IF($A86&lt;Input!$E$50,IF($A86&lt;Input!$D$50,Input!$C$51,Input!$D$51),Input!$E$51),Input!$F$51),Input!$G$51),Input!$H$51)</f>
        <v>0.9</v>
      </c>
      <c r="O86" s="60">
        <f t="shared" si="36"/>
        <v>19603417.499999996</v>
      </c>
      <c r="P86" s="60">
        <f t="shared" si="37"/>
        <v>31</v>
      </c>
      <c r="Q86" s="60">
        <f t="shared" si="38"/>
        <v>520639849.5</v>
      </c>
      <c r="R86" s="60">
        <f>ROUND(Q86*$P86*Input!$C$3/365,0)</f>
        <v>6632809</v>
      </c>
      <c r="S86" s="60">
        <f>IF(A86&lt;=Input!$C$6,0,IF('Unique Tenure'!O86&lt;'Unique Tenure'!Q86,'Unique Tenure'!O86-R86,'Unique Tenure'!Q86))</f>
        <v>12970608.499999996</v>
      </c>
      <c r="T86" s="60">
        <f t="shared" si="39"/>
        <v>19603417.499999996</v>
      </c>
      <c r="U86" s="60">
        <f t="shared" si="40"/>
        <v>507669241</v>
      </c>
      <c r="V86" s="193"/>
      <c r="W86" s="169">
        <v>82</v>
      </c>
      <c r="X86" s="1">
        <f t="shared" si="62"/>
        <v>48014</v>
      </c>
      <c r="Y86" s="60">
        <f>IF($X86&lt;Input!$H$58,IF($X86&lt;Input!$G$58,IF($X86&lt;Input!$F$58,IF($X86&lt;Input!$E$58,IF($X86&lt;Input!$D$58,Input!$C$64,Input!$D$64),Input!$E$64),Input!$F$64),Input!$G$64),Input!$H$64)</f>
        <v>0</v>
      </c>
      <c r="Z86" s="190">
        <f>IF($A86&lt;Input!$H$65,IF($A86&lt;Input!$G$65,IF($A86&lt;Input!$F$65,IF($A86&lt;Input!$E$65,IF($A86&lt;Input!$D$65,Input!$C$66,Input!$D$66),Input!$E$66),Input!$F$66),Input!$G$66),Input!$H$66)</f>
        <v>0.9</v>
      </c>
      <c r="AA86" s="60">
        <f t="shared" si="41"/>
        <v>0</v>
      </c>
      <c r="AB86" s="60">
        <f t="shared" si="63"/>
        <v>31</v>
      </c>
      <c r="AC86" s="60">
        <f t="shared" si="42"/>
        <v>0</v>
      </c>
      <c r="AD86" s="60">
        <f>ROUND(AC86*AB86*Input!$C$3/365,0)</f>
        <v>0</v>
      </c>
      <c r="AE86" s="61">
        <f>IF($A86&lt;=Input!$C$6,0,IF('Unique Tenure'!AA86&lt;'Unique Tenure'!AC86,'Unique Tenure'!AA86-AD86,'Unique Tenure'!AC86))</f>
        <v>0</v>
      </c>
      <c r="AF86" s="61">
        <f t="shared" si="43"/>
        <v>0</v>
      </c>
      <c r="AG86" s="60">
        <f t="shared" si="44"/>
        <v>0</v>
      </c>
      <c r="AH86" s="193"/>
      <c r="AI86" s="169">
        <v>82</v>
      </c>
      <c r="AJ86" s="1">
        <f t="shared" si="64"/>
        <v>48014</v>
      </c>
      <c r="AK86" s="60">
        <f>IF($X86&lt;Input!$H$73,IF($X86&lt;Input!$G$73,IF($X86&lt;Input!$F$73,IF($X86&lt;Input!$E$73,IF($X86&lt;Input!$D$73,Input!$C$79,Input!$D$79),Input!$E$79),Input!$F$79),Input!$G$79),Input!$H$79)</f>
        <v>0</v>
      </c>
      <c r="AL86" s="190">
        <f>IF($A86&lt;Input!$H$80,IF($A86&lt;Input!$G$80,IF($A86&lt;Input!$F$80,IF($A86&lt;Input!$E$80,IF($A86&lt;Input!$D$80,Input!$C$81,Input!$D$81),Input!$E$81),Input!$F$81),Input!$G$81),Input!$H$81)</f>
        <v>0.9</v>
      </c>
      <c r="AM86" s="60">
        <f t="shared" si="45"/>
        <v>0</v>
      </c>
      <c r="AN86" s="60">
        <f t="shared" si="65"/>
        <v>31</v>
      </c>
      <c r="AO86" s="60">
        <f t="shared" si="46"/>
        <v>0</v>
      </c>
      <c r="AP86" s="60">
        <f>ROUND(AO86*AN86*Input!$C$3/365,0)</f>
        <v>0</v>
      </c>
      <c r="AQ86" s="61">
        <f>IF($A86&lt;=Input!$C$6,0,IF('Unique Tenure'!AM86&lt;'Unique Tenure'!AO86,'Unique Tenure'!AM86-AP86,'Unique Tenure'!AO86))</f>
        <v>0</v>
      </c>
      <c r="AR86" s="61">
        <f t="shared" si="47"/>
        <v>0</v>
      </c>
      <c r="AS86" s="60">
        <f t="shared" si="48"/>
        <v>0</v>
      </c>
      <c r="AT86" s="193"/>
      <c r="AU86" s="169">
        <v>82</v>
      </c>
      <c r="AV86" s="1">
        <f t="shared" si="66"/>
        <v>48014</v>
      </c>
      <c r="AW86" s="60">
        <f>IF($X86&lt;Input!$H$88,IF($X86&lt;Input!$G$88,IF($X86&lt;Input!$F$88,IF($X86&lt;Input!$E$88,IF($X86&lt;Input!$D$88,Input!$C$94,Input!$D$94),Input!$E$94),Input!$F$94),Input!$G$94),Input!$H$94)</f>
        <v>0</v>
      </c>
      <c r="AX86" s="190">
        <f>IF($A86&lt;Input!$H$95,IF($A86&lt;Input!$G$95,IF($A86&lt;Input!$F$95,IF($A86&lt;Input!$E$95,IF($A86&lt;Input!$D$95,Input!$C$96,Input!$D$96),Input!$E$96),Input!$F$96),Input!$G$96),Input!$H$96)</f>
        <v>0.9</v>
      </c>
      <c r="AY86" s="60">
        <f t="shared" si="49"/>
        <v>0</v>
      </c>
      <c r="AZ86" s="60">
        <f t="shared" si="67"/>
        <v>31</v>
      </c>
      <c r="BA86" s="60">
        <f t="shared" si="50"/>
        <v>0</v>
      </c>
      <c r="BB86" s="60">
        <f>ROUND(BA86*AZ86*Input!$C$3/365,0)</f>
        <v>0</v>
      </c>
      <c r="BC86" s="61">
        <f>IF($A86&lt;=Input!$C$6,0,IF('Unique Tenure'!AY86&lt;'Unique Tenure'!BA86,'Unique Tenure'!AY86-BB86,'Unique Tenure'!BA86))</f>
        <v>0</v>
      </c>
      <c r="BD86" s="61">
        <f t="shared" si="51"/>
        <v>0</v>
      </c>
      <c r="BE86" s="60">
        <f t="shared" si="52"/>
        <v>0</v>
      </c>
      <c r="BF86" s="193"/>
      <c r="BG86" s="169">
        <v>82</v>
      </c>
      <c r="BH86" s="1">
        <f t="shared" si="68"/>
        <v>48014</v>
      </c>
      <c r="BI86" s="60">
        <f>IF($X86&lt;Input!$H$103,IF($X86&lt;Input!$G$103,IF($X86&lt;Input!$F$103,IF($X86&lt;Input!$E$103,IF($X86&lt;Input!$D$103,Input!$C$109,Input!$D$109),Input!$E$109),Input!$F$109),Input!$G$109),Input!$H$109)</f>
        <v>0</v>
      </c>
      <c r="BJ86" s="190">
        <f>IF($A86&lt;Input!$H$110,IF($A86&lt;Input!$G$110,IF($A86&lt;Input!$F$110,IF($A86&lt;Input!$E$110,IF($A86&lt;Input!$D$110,Input!$C$111,Input!$D$111),Input!$E$111),Input!$F$111),Input!$G$111),Input!$H$111)</f>
        <v>0.9</v>
      </c>
      <c r="BK86" s="60">
        <f t="shared" si="53"/>
        <v>0</v>
      </c>
      <c r="BL86" s="60">
        <f t="shared" si="69"/>
        <v>31</v>
      </c>
      <c r="BM86" s="60">
        <f t="shared" si="54"/>
        <v>0</v>
      </c>
      <c r="BN86" s="60">
        <f>ROUND(BM86*BL86*Input!$C$3/365,0)</f>
        <v>0</v>
      </c>
      <c r="BO86" s="61">
        <f>IF($A86&lt;=Input!$C$6,0,IF('Unique Tenure'!BK86&lt;'Unique Tenure'!BM86,'Unique Tenure'!BK86-BN86,'Unique Tenure'!BM86))</f>
        <v>0</v>
      </c>
      <c r="BP86" s="61">
        <f t="shared" si="55"/>
        <v>0</v>
      </c>
      <c r="BQ86" s="60">
        <f t="shared" si="56"/>
        <v>0</v>
      </c>
      <c r="BR86" s="198"/>
    </row>
    <row r="87" spans="1:70" s="51" customFormat="1" x14ac:dyDescent="0.25">
      <c r="A87" s="169">
        <v>83</v>
      </c>
      <c r="B87" s="1">
        <f t="shared" si="57"/>
        <v>48044</v>
      </c>
      <c r="C87" s="60">
        <f>SUM(
   IF(($A$4:$A$184 &lt;= Input!$D$16), M87, 0),
   IF(($A$4:$A$184 &lt;= Input!$E$16), Y87, 0),
   IF(($A$4:$A$184 &lt;= Input!$F$16), AK87, 0),
   IF(($A$4:$A$184 &lt;= Input!$G$16), AW87, 0),
   IF(($A$4:$A$184 &lt;= Input!$H$16), BI87, 0)
)</f>
        <v>21781574.999999996</v>
      </c>
      <c r="D87" s="60">
        <f>SUM(
   IF(($A$4:$A$184 &lt;= Input!$D$16), O87, 0),
   IF(($A$4:$A$184 &lt;= Input!$E$16), AA87, 0),
   IF(($A$4:$A$184 &lt;= Input!$F$16), AM87, 0),
   IF(($A$4:$A$184 &lt;= Input!$G$16), AY87, 0),
   IF(($A$4:$A$184 &lt;= Input!$H$16), BK87, 0)
)</f>
        <v>19603417.499999996</v>
      </c>
      <c r="E87" s="60">
        <f t="shared" si="58"/>
        <v>30</v>
      </c>
      <c r="F87" s="60">
        <f t="shared" si="59"/>
        <v>507669241</v>
      </c>
      <c r="G87" s="60">
        <f>ROUND(F87*E87*Input!$C$3/365,0)</f>
        <v>6258936</v>
      </c>
      <c r="H87" s="60">
        <f>IF($A87&lt;=Input!$C$6,0,IF('Unique Tenure'!D87&lt;'Unique Tenure'!F87,'Unique Tenure'!D87-G87,'Unique Tenure'!F87))</f>
        <v>13344481.499999996</v>
      </c>
      <c r="I87" s="60">
        <f t="shared" si="60"/>
        <v>19603417.499999996</v>
      </c>
      <c r="J87" s="60">
        <f t="shared" si="61"/>
        <v>494324759.5</v>
      </c>
      <c r="K87" s="202">
        <f>J87/Input!$K$5</f>
        <v>1.6477491983333334</v>
      </c>
      <c r="L87" s="232"/>
      <c r="M87" s="60">
        <f>IF($B87&lt;Input!$H$43,IF($B87&lt;Input!$G$43,IF($B87&lt;Input!$F$43,IF($B87&lt;Input!$E$43,IF($B87&lt;Input!$D$43,Input!$C$49,Input!$D$49),Input!$E$49),Input!$F$49),Input!$G$49),Input!$H$49)</f>
        <v>21781574.999999996</v>
      </c>
      <c r="N87" s="190">
        <f>IF($A87&lt;Input!$H$50,IF($A87&lt;Input!$G$50,IF($A87&lt;Input!$F$50,IF($A87&lt;Input!$E$50,IF($A87&lt;Input!$D$50,Input!$C$51,Input!$D$51),Input!$E$51),Input!$F$51),Input!$G$51),Input!$H$51)</f>
        <v>0.9</v>
      </c>
      <c r="O87" s="60">
        <f t="shared" si="36"/>
        <v>19603417.499999996</v>
      </c>
      <c r="P87" s="60">
        <f t="shared" si="37"/>
        <v>30</v>
      </c>
      <c r="Q87" s="60">
        <f t="shared" si="38"/>
        <v>507669241</v>
      </c>
      <c r="R87" s="60">
        <f>ROUND(Q87*$P87*Input!$C$3/365,0)</f>
        <v>6258936</v>
      </c>
      <c r="S87" s="60">
        <f>IF(A87&lt;=Input!$C$6,0,IF('Unique Tenure'!O87&lt;'Unique Tenure'!Q87,'Unique Tenure'!O87-R87,'Unique Tenure'!Q87))</f>
        <v>13344481.499999996</v>
      </c>
      <c r="T87" s="60">
        <f t="shared" si="39"/>
        <v>19603417.499999996</v>
      </c>
      <c r="U87" s="60">
        <f t="shared" si="40"/>
        <v>494324759.5</v>
      </c>
      <c r="V87" s="193"/>
      <c r="W87" s="169">
        <v>83</v>
      </c>
      <c r="X87" s="1">
        <f t="shared" si="62"/>
        <v>48044</v>
      </c>
      <c r="Y87" s="60">
        <f>IF($X87&lt;Input!$H$58,IF($X87&lt;Input!$G$58,IF($X87&lt;Input!$F$58,IF($X87&lt;Input!$E$58,IF($X87&lt;Input!$D$58,Input!$C$64,Input!$D$64),Input!$E$64),Input!$F$64),Input!$G$64),Input!$H$64)</f>
        <v>0</v>
      </c>
      <c r="Z87" s="190">
        <f>IF($A87&lt;Input!$H$65,IF($A87&lt;Input!$G$65,IF($A87&lt;Input!$F$65,IF($A87&lt;Input!$E$65,IF($A87&lt;Input!$D$65,Input!$C$66,Input!$D$66),Input!$E$66),Input!$F$66),Input!$G$66),Input!$H$66)</f>
        <v>0.9</v>
      </c>
      <c r="AA87" s="60">
        <f t="shared" si="41"/>
        <v>0</v>
      </c>
      <c r="AB87" s="60">
        <f t="shared" si="63"/>
        <v>30</v>
      </c>
      <c r="AC87" s="60">
        <f t="shared" si="42"/>
        <v>0</v>
      </c>
      <c r="AD87" s="60">
        <f>ROUND(AC87*AB87*Input!$C$3/365,0)</f>
        <v>0</v>
      </c>
      <c r="AE87" s="61">
        <f>IF($A87&lt;=Input!$C$6,0,IF('Unique Tenure'!AA87&lt;'Unique Tenure'!AC87,'Unique Tenure'!AA87-AD87,'Unique Tenure'!AC87))</f>
        <v>0</v>
      </c>
      <c r="AF87" s="61">
        <f t="shared" si="43"/>
        <v>0</v>
      </c>
      <c r="AG87" s="60">
        <f t="shared" si="44"/>
        <v>0</v>
      </c>
      <c r="AH87" s="193"/>
      <c r="AI87" s="169">
        <v>83</v>
      </c>
      <c r="AJ87" s="1">
        <f t="shared" si="64"/>
        <v>48044</v>
      </c>
      <c r="AK87" s="60">
        <f>IF($X87&lt;Input!$H$73,IF($X87&lt;Input!$G$73,IF($X87&lt;Input!$F$73,IF($X87&lt;Input!$E$73,IF($X87&lt;Input!$D$73,Input!$C$79,Input!$D$79),Input!$E$79),Input!$F$79),Input!$G$79),Input!$H$79)</f>
        <v>0</v>
      </c>
      <c r="AL87" s="190">
        <f>IF($A87&lt;Input!$H$80,IF($A87&lt;Input!$G$80,IF($A87&lt;Input!$F$80,IF($A87&lt;Input!$E$80,IF($A87&lt;Input!$D$80,Input!$C$81,Input!$D$81),Input!$E$81),Input!$F$81),Input!$G$81),Input!$H$81)</f>
        <v>0.9</v>
      </c>
      <c r="AM87" s="60">
        <f t="shared" si="45"/>
        <v>0</v>
      </c>
      <c r="AN87" s="60">
        <f t="shared" si="65"/>
        <v>30</v>
      </c>
      <c r="AO87" s="60">
        <f t="shared" si="46"/>
        <v>0</v>
      </c>
      <c r="AP87" s="60">
        <f>ROUND(AO87*AN87*Input!$C$3/365,0)</f>
        <v>0</v>
      </c>
      <c r="AQ87" s="61">
        <f>IF($A87&lt;=Input!$C$6,0,IF('Unique Tenure'!AM87&lt;'Unique Tenure'!AO87,'Unique Tenure'!AM87-AP87,'Unique Tenure'!AO87))</f>
        <v>0</v>
      </c>
      <c r="AR87" s="61">
        <f t="shared" si="47"/>
        <v>0</v>
      </c>
      <c r="AS87" s="60">
        <f t="shared" si="48"/>
        <v>0</v>
      </c>
      <c r="AT87" s="193"/>
      <c r="AU87" s="169">
        <v>83</v>
      </c>
      <c r="AV87" s="1">
        <f t="shared" si="66"/>
        <v>48044</v>
      </c>
      <c r="AW87" s="60">
        <f>IF($X87&lt;Input!$H$88,IF($X87&lt;Input!$G$88,IF($X87&lt;Input!$F$88,IF($X87&lt;Input!$E$88,IF($X87&lt;Input!$D$88,Input!$C$94,Input!$D$94),Input!$E$94),Input!$F$94),Input!$G$94),Input!$H$94)</f>
        <v>0</v>
      </c>
      <c r="AX87" s="190">
        <f>IF($A87&lt;Input!$H$95,IF($A87&lt;Input!$G$95,IF($A87&lt;Input!$F$95,IF($A87&lt;Input!$E$95,IF($A87&lt;Input!$D$95,Input!$C$96,Input!$D$96),Input!$E$96),Input!$F$96),Input!$G$96),Input!$H$96)</f>
        <v>0.9</v>
      </c>
      <c r="AY87" s="60">
        <f t="shared" si="49"/>
        <v>0</v>
      </c>
      <c r="AZ87" s="60">
        <f t="shared" si="67"/>
        <v>30</v>
      </c>
      <c r="BA87" s="60">
        <f t="shared" si="50"/>
        <v>0</v>
      </c>
      <c r="BB87" s="60">
        <f>ROUND(BA87*AZ87*Input!$C$3/365,0)</f>
        <v>0</v>
      </c>
      <c r="BC87" s="61">
        <f>IF($A87&lt;=Input!$C$6,0,IF('Unique Tenure'!AY87&lt;'Unique Tenure'!BA87,'Unique Tenure'!AY87-BB87,'Unique Tenure'!BA87))</f>
        <v>0</v>
      </c>
      <c r="BD87" s="61">
        <f t="shared" si="51"/>
        <v>0</v>
      </c>
      <c r="BE87" s="60">
        <f t="shared" si="52"/>
        <v>0</v>
      </c>
      <c r="BF87" s="193"/>
      <c r="BG87" s="169">
        <v>83</v>
      </c>
      <c r="BH87" s="1">
        <f t="shared" si="68"/>
        <v>48044</v>
      </c>
      <c r="BI87" s="60">
        <f>IF($X87&lt;Input!$H$103,IF($X87&lt;Input!$G$103,IF($X87&lt;Input!$F$103,IF($X87&lt;Input!$E$103,IF($X87&lt;Input!$D$103,Input!$C$109,Input!$D$109),Input!$E$109),Input!$F$109),Input!$G$109),Input!$H$109)</f>
        <v>0</v>
      </c>
      <c r="BJ87" s="190">
        <f>IF($A87&lt;Input!$H$110,IF($A87&lt;Input!$G$110,IF($A87&lt;Input!$F$110,IF($A87&lt;Input!$E$110,IF($A87&lt;Input!$D$110,Input!$C$111,Input!$D$111),Input!$E$111),Input!$F$111),Input!$G$111),Input!$H$111)</f>
        <v>0.9</v>
      </c>
      <c r="BK87" s="60">
        <f t="shared" si="53"/>
        <v>0</v>
      </c>
      <c r="BL87" s="60">
        <f t="shared" si="69"/>
        <v>30</v>
      </c>
      <c r="BM87" s="60">
        <f t="shared" si="54"/>
        <v>0</v>
      </c>
      <c r="BN87" s="60">
        <f>ROUND(BM87*BL87*Input!$C$3/365,0)</f>
        <v>0</v>
      </c>
      <c r="BO87" s="61">
        <f>IF($A87&lt;=Input!$C$6,0,IF('Unique Tenure'!BK87&lt;'Unique Tenure'!BM87,'Unique Tenure'!BK87-BN87,'Unique Tenure'!BM87))</f>
        <v>0</v>
      </c>
      <c r="BP87" s="61">
        <f t="shared" si="55"/>
        <v>0</v>
      </c>
      <c r="BQ87" s="60">
        <f t="shared" si="56"/>
        <v>0</v>
      </c>
      <c r="BR87" s="198"/>
    </row>
    <row r="88" spans="1:70" s="51" customFormat="1" x14ac:dyDescent="0.25">
      <c r="A88" s="169">
        <v>84</v>
      </c>
      <c r="B88" s="1">
        <f t="shared" si="57"/>
        <v>48075</v>
      </c>
      <c r="C88" s="60">
        <f>SUM(
   IF(($A$4:$A$184 &lt;= Input!$D$16), M88, 0),
   IF(($A$4:$A$184 &lt;= Input!$E$16), Y88, 0),
   IF(($A$4:$A$184 &lt;= Input!$F$16), AK88, 0),
   IF(($A$4:$A$184 &lt;= Input!$G$16), AW88, 0),
   IF(($A$4:$A$184 &lt;= Input!$H$16), BI88, 0)
)</f>
        <v>21781574.999999996</v>
      </c>
      <c r="D88" s="60">
        <f>SUM(
   IF(($A$4:$A$184 &lt;= Input!$D$16), O88, 0),
   IF(($A$4:$A$184 &lt;= Input!$E$16), AA88, 0),
   IF(($A$4:$A$184 &lt;= Input!$F$16), AM88, 0),
   IF(($A$4:$A$184 &lt;= Input!$G$16), AY88, 0),
   IF(($A$4:$A$184 &lt;= Input!$H$16), BK88, 0)
)</f>
        <v>19603417.499999996</v>
      </c>
      <c r="E88" s="60">
        <f t="shared" si="58"/>
        <v>31</v>
      </c>
      <c r="F88" s="60">
        <f t="shared" si="59"/>
        <v>494324759.5</v>
      </c>
      <c r="G88" s="60">
        <f>ROUND(F88*E88*Input!$C$3/365,0)</f>
        <v>6297562</v>
      </c>
      <c r="H88" s="60">
        <f>IF($A88&lt;=Input!$C$6,0,IF('Unique Tenure'!D88&lt;'Unique Tenure'!F88,'Unique Tenure'!D88-G88,'Unique Tenure'!F88))</f>
        <v>13305855.499999996</v>
      </c>
      <c r="I88" s="60">
        <f t="shared" si="60"/>
        <v>19603417.499999996</v>
      </c>
      <c r="J88" s="60">
        <f t="shared" si="61"/>
        <v>481018904</v>
      </c>
      <c r="K88" s="202">
        <f>J88/Input!$K$5</f>
        <v>1.6033963466666667</v>
      </c>
      <c r="L88" s="232"/>
      <c r="M88" s="60">
        <f>IF($B88&lt;Input!$H$43,IF($B88&lt;Input!$G$43,IF($B88&lt;Input!$F$43,IF($B88&lt;Input!$E$43,IF($B88&lt;Input!$D$43,Input!$C$49,Input!$D$49),Input!$E$49),Input!$F$49),Input!$G$49),Input!$H$49)</f>
        <v>21781574.999999996</v>
      </c>
      <c r="N88" s="190">
        <f>IF($A88&lt;Input!$H$50,IF($A88&lt;Input!$G$50,IF($A88&lt;Input!$F$50,IF($A88&lt;Input!$E$50,IF($A88&lt;Input!$D$50,Input!$C$51,Input!$D$51),Input!$E$51),Input!$F$51),Input!$G$51),Input!$H$51)</f>
        <v>0.9</v>
      </c>
      <c r="O88" s="60">
        <f t="shared" si="36"/>
        <v>19603417.499999996</v>
      </c>
      <c r="P88" s="60">
        <f t="shared" si="37"/>
        <v>31</v>
      </c>
      <c r="Q88" s="60">
        <f t="shared" si="38"/>
        <v>494324759.5</v>
      </c>
      <c r="R88" s="60">
        <f>ROUND(Q88*$P88*Input!$C$3/365,0)</f>
        <v>6297562</v>
      </c>
      <c r="S88" s="60">
        <f>IF(A88&lt;=Input!$C$6,0,IF('Unique Tenure'!O88&lt;'Unique Tenure'!Q88,'Unique Tenure'!O88-R88,'Unique Tenure'!Q88))</f>
        <v>13305855.499999996</v>
      </c>
      <c r="T88" s="60">
        <f t="shared" si="39"/>
        <v>19603417.499999996</v>
      </c>
      <c r="U88" s="60">
        <f t="shared" si="40"/>
        <v>481018904</v>
      </c>
      <c r="V88" s="193"/>
      <c r="W88" s="169">
        <v>84</v>
      </c>
      <c r="X88" s="1">
        <f t="shared" si="62"/>
        <v>48075</v>
      </c>
      <c r="Y88" s="60">
        <f>IF($X88&lt;Input!$H$58,IF($X88&lt;Input!$G$58,IF($X88&lt;Input!$F$58,IF($X88&lt;Input!$E$58,IF($X88&lt;Input!$D$58,Input!$C$64,Input!$D$64),Input!$E$64),Input!$F$64),Input!$G$64),Input!$H$64)</f>
        <v>0</v>
      </c>
      <c r="Z88" s="190">
        <f>IF($A88&lt;Input!$H$65,IF($A88&lt;Input!$G$65,IF($A88&lt;Input!$F$65,IF($A88&lt;Input!$E$65,IF($A88&lt;Input!$D$65,Input!$C$66,Input!$D$66),Input!$E$66),Input!$F$66),Input!$G$66),Input!$H$66)</f>
        <v>0.9</v>
      </c>
      <c r="AA88" s="60">
        <f t="shared" si="41"/>
        <v>0</v>
      </c>
      <c r="AB88" s="60">
        <f t="shared" si="63"/>
        <v>31</v>
      </c>
      <c r="AC88" s="60">
        <f t="shared" si="42"/>
        <v>0</v>
      </c>
      <c r="AD88" s="60">
        <f>ROUND(AC88*AB88*Input!$C$3/365,0)</f>
        <v>0</v>
      </c>
      <c r="AE88" s="61">
        <f>IF($A88&lt;=Input!$C$6,0,IF('Unique Tenure'!AA88&lt;'Unique Tenure'!AC88,'Unique Tenure'!AA88-AD88,'Unique Tenure'!AC88))</f>
        <v>0</v>
      </c>
      <c r="AF88" s="61">
        <f t="shared" si="43"/>
        <v>0</v>
      </c>
      <c r="AG88" s="60">
        <f t="shared" si="44"/>
        <v>0</v>
      </c>
      <c r="AH88" s="193"/>
      <c r="AI88" s="169">
        <v>84</v>
      </c>
      <c r="AJ88" s="1">
        <f t="shared" si="64"/>
        <v>48075</v>
      </c>
      <c r="AK88" s="60">
        <f>IF($X88&lt;Input!$H$73,IF($X88&lt;Input!$G$73,IF($X88&lt;Input!$F$73,IF($X88&lt;Input!$E$73,IF($X88&lt;Input!$D$73,Input!$C$79,Input!$D$79),Input!$E$79),Input!$F$79),Input!$G$79),Input!$H$79)</f>
        <v>0</v>
      </c>
      <c r="AL88" s="190">
        <f>IF($A88&lt;Input!$H$80,IF($A88&lt;Input!$G$80,IF($A88&lt;Input!$F$80,IF($A88&lt;Input!$E$80,IF($A88&lt;Input!$D$80,Input!$C$81,Input!$D$81),Input!$E$81),Input!$F$81),Input!$G$81),Input!$H$81)</f>
        <v>0.9</v>
      </c>
      <c r="AM88" s="60">
        <f t="shared" si="45"/>
        <v>0</v>
      </c>
      <c r="AN88" s="60">
        <f t="shared" si="65"/>
        <v>31</v>
      </c>
      <c r="AO88" s="60">
        <f t="shared" si="46"/>
        <v>0</v>
      </c>
      <c r="AP88" s="60">
        <f>ROUND(AO88*AN88*Input!$C$3/365,0)</f>
        <v>0</v>
      </c>
      <c r="AQ88" s="61">
        <f>IF($A88&lt;=Input!$C$6,0,IF('Unique Tenure'!AM88&lt;'Unique Tenure'!AO88,'Unique Tenure'!AM88-AP88,'Unique Tenure'!AO88))</f>
        <v>0</v>
      </c>
      <c r="AR88" s="61">
        <f t="shared" si="47"/>
        <v>0</v>
      </c>
      <c r="AS88" s="60">
        <f t="shared" si="48"/>
        <v>0</v>
      </c>
      <c r="AT88" s="193"/>
      <c r="AU88" s="169">
        <v>84</v>
      </c>
      <c r="AV88" s="1">
        <f t="shared" si="66"/>
        <v>48075</v>
      </c>
      <c r="AW88" s="60">
        <f>IF($X88&lt;Input!$H$88,IF($X88&lt;Input!$G$88,IF($X88&lt;Input!$F$88,IF($X88&lt;Input!$E$88,IF($X88&lt;Input!$D$88,Input!$C$94,Input!$D$94),Input!$E$94),Input!$F$94),Input!$G$94),Input!$H$94)</f>
        <v>0</v>
      </c>
      <c r="AX88" s="190">
        <f>IF($A88&lt;Input!$H$95,IF($A88&lt;Input!$G$95,IF($A88&lt;Input!$F$95,IF($A88&lt;Input!$E$95,IF($A88&lt;Input!$D$95,Input!$C$96,Input!$D$96),Input!$E$96),Input!$F$96),Input!$G$96),Input!$H$96)</f>
        <v>0.9</v>
      </c>
      <c r="AY88" s="60">
        <f t="shared" si="49"/>
        <v>0</v>
      </c>
      <c r="AZ88" s="60">
        <f t="shared" si="67"/>
        <v>31</v>
      </c>
      <c r="BA88" s="60">
        <f t="shared" si="50"/>
        <v>0</v>
      </c>
      <c r="BB88" s="60">
        <f>ROUND(BA88*AZ88*Input!$C$3/365,0)</f>
        <v>0</v>
      </c>
      <c r="BC88" s="61">
        <f>IF($A88&lt;=Input!$C$6,0,IF('Unique Tenure'!AY88&lt;'Unique Tenure'!BA88,'Unique Tenure'!AY88-BB88,'Unique Tenure'!BA88))</f>
        <v>0</v>
      </c>
      <c r="BD88" s="61">
        <f t="shared" si="51"/>
        <v>0</v>
      </c>
      <c r="BE88" s="60">
        <f t="shared" si="52"/>
        <v>0</v>
      </c>
      <c r="BF88" s="193"/>
      <c r="BG88" s="169">
        <v>84</v>
      </c>
      <c r="BH88" s="1">
        <f t="shared" si="68"/>
        <v>48075</v>
      </c>
      <c r="BI88" s="60">
        <f>IF($X88&lt;Input!$H$103,IF($X88&lt;Input!$G$103,IF($X88&lt;Input!$F$103,IF($X88&lt;Input!$E$103,IF($X88&lt;Input!$D$103,Input!$C$109,Input!$D$109),Input!$E$109),Input!$F$109),Input!$G$109),Input!$H$109)</f>
        <v>0</v>
      </c>
      <c r="BJ88" s="190">
        <f>IF($A88&lt;Input!$H$110,IF($A88&lt;Input!$G$110,IF($A88&lt;Input!$F$110,IF($A88&lt;Input!$E$110,IF($A88&lt;Input!$D$110,Input!$C$111,Input!$D$111),Input!$E$111),Input!$F$111),Input!$G$111),Input!$H$111)</f>
        <v>0.9</v>
      </c>
      <c r="BK88" s="60">
        <f t="shared" si="53"/>
        <v>0</v>
      </c>
      <c r="BL88" s="60">
        <f t="shared" si="69"/>
        <v>31</v>
      </c>
      <c r="BM88" s="60">
        <f t="shared" si="54"/>
        <v>0</v>
      </c>
      <c r="BN88" s="60">
        <f>ROUND(BM88*BL88*Input!$C$3/365,0)</f>
        <v>0</v>
      </c>
      <c r="BO88" s="61">
        <f>IF($A88&lt;=Input!$C$6,0,IF('Unique Tenure'!BK88&lt;'Unique Tenure'!BM88,'Unique Tenure'!BK88-BN88,'Unique Tenure'!BM88))</f>
        <v>0</v>
      </c>
      <c r="BP88" s="61">
        <f t="shared" si="55"/>
        <v>0</v>
      </c>
      <c r="BQ88" s="60">
        <f t="shared" si="56"/>
        <v>0</v>
      </c>
      <c r="BR88" s="198"/>
    </row>
    <row r="89" spans="1:70" s="51" customFormat="1" x14ac:dyDescent="0.25">
      <c r="A89" s="169">
        <v>85</v>
      </c>
      <c r="B89" s="1">
        <f t="shared" si="57"/>
        <v>48106</v>
      </c>
      <c r="C89" s="60">
        <f>SUM(
   IF(($A$4:$A$184 &lt;= Input!$D$16), M89, 0),
   IF(($A$4:$A$184 &lt;= Input!$E$16), Y89, 0),
   IF(($A$4:$A$184 &lt;= Input!$F$16), AK89, 0),
   IF(($A$4:$A$184 &lt;= Input!$G$16), AW89, 0),
   IF(($A$4:$A$184 &lt;= Input!$H$16), BI89, 0)
)</f>
        <v>21781574.999999996</v>
      </c>
      <c r="D89" s="60">
        <f>SUM(
   IF(($A$4:$A$184 &lt;= Input!$D$16), O89, 0),
   IF(($A$4:$A$184 &lt;= Input!$E$16), AA89, 0),
   IF(($A$4:$A$184 &lt;= Input!$F$16), AM89, 0),
   IF(($A$4:$A$184 &lt;= Input!$G$16), AY89, 0),
   IF(($A$4:$A$184 &lt;= Input!$H$16), BK89, 0)
)</f>
        <v>19603417.499999996</v>
      </c>
      <c r="E89" s="60">
        <f t="shared" si="58"/>
        <v>31</v>
      </c>
      <c r="F89" s="60">
        <f t="shared" si="59"/>
        <v>481018904</v>
      </c>
      <c r="G89" s="60">
        <f>ROUND(F89*E89*Input!$C$3/365,0)</f>
        <v>6128049</v>
      </c>
      <c r="H89" s="60">
        <f>IF($A89&lt;=Input!$C$6,0,IF('Unique Tenure'!D89&lt;'Unique Tenure'!F89,'Unique Tenure'!D89-G89,'Unique Tenure'!F89))</f>
        <v>13475368.499999996</v>
      </c>
      <c r="I89" s="60">
        <f t="shared" si="60"/>
        <v>19603417.499999996</v>
      </c>
      <c r="J89" s="60">
        <f t="shared" si="61"/>
        <v>467543535.5</v>
      </c>
      <c r="K89" s="202">
        <f>J89/Input!$K$5</f>
        <v>1.5584784516666668</v>
      </c>
      <c r="L89" s="232"/>
      <c r="M89" s="60">
        <f>IF($B89&lt;Input!$H$43,IF($B89&lt;Input!$G$43,IF($B89&lt;Input!$F$43,IF($B89&lt;Input!$E$43,IF($B89&lt;Input!$D$43,Input!$C$49,Input!$D$49),Input!$E$49),Input!$F$49),Input!$G$49),Input!$H$49)</f>
        <v>21781574.999999996</v>
      </c>
      <c r="N89" s="190">
        <f>IF($A89&lt;Input!$H$50,IF($A89&lt;Input!$G$50,IF($A89&lt;Input!$F$50,IF($A89&lt;Input!$E$50,IF($A89&lt;Input!$D$50,Input!$C$51,Input!$D$51),Input!$E$51),Input!$F$51),Input!$G$51),Input!$H$51)</f>
        <v>0.9</v>
      </c>
      <c r="O89" s="60">
        <f t="shared" si="36"/>
        <v>19603417.499999996</v>
      </c>
      <c r="P89" s="60">
        <f t="shared" si="37"/>
        <v>31</v>
      </c>
      <c r="Q89" s="60">
        <f t="shared" si="38"/>
        <v>481018904</v>
      </c>
      <c r="R89" s="60">
        <f>ROUND(Q89*$P89*Input!$C$3/365,0)</f>
        <v>6128049</v>
      </c>
      <c r="S89" s="60">
        <f>IF(A89&lt;=Input!$C$6,0,IF('Unique Tenure'!O89&lt;'Unique Tenure'!Q89,'Unique Tenure'!O89-R89,'Unique Tenure'!Q89))</f>
        <v>13475368.499999996</v>
      </c>
      <c r="T89" s="60">
        <f t="shared" si="39"/>
        <v>19603417.499999996</v>
      </c>
      <c r="U89" s="60">
        <f t="shared" si="40"/>
        <v>467543535.5</v>
      </c>
      <c r="V89" s="193"/>
      <c r="W89" s="169">
        <v>85</v>
      </c>
      <c r="X89" s="1">
        <f t="shared" si="62"/>
        <v>48106</v>
      </c>
      <c r="Y89" s="60">
        <f>IF($X89&lt;Input!$H$58,IF($X89&lt;Input!$G$58,IF($X89&lt;Input!$F$58,IF($X89&lt;Input!$E$58,IF($X89&lt;Input!$D$58,Input!$C$64,Input!$D$64),Input!$E$64),Input!$F$64),Input!$G$64),Input!$H$64)</f>
        <v>0</v>
      </c>
      <c r="Z89" s="190">
        <f>IF($A89&lt;Input!$H$65,IF($A89&lt;Input!$G$65,IF($A89&lt;Input!$F$65,IF($A89&lt;Input!$E$65,IF($A89&lt;Input!$D$65,Input!$C$66,Input!$D$66),Input!$E$66),Input!$F$66),Input!$G$66),Input!$H$66)</f>
        <v>0.9</v>
      </c>
      <c r="AA89" s="60">
        <f t="shared" si="41"/>
        <v>0</v>
      </c>
      <c r="AB89" s="60">
        <f t="shared" si="63"/>
        <v>31</v>
      </c>
      <c r="AC89" s="60">
        <f t="shared" si="42"/>
        <v>0</v>
      </c>
      <c r="AD89" s="60">
        <f>ROUND(AC89*AB89*Input!$C$3/365,0)</f>
        <v>0</v>
      </c>
      <c r="AE89" s="61">
        <f>IF($A89&lt;=Input!$C$6,0,IF('Unique Tenure'!AA89&lt;'Unique Tenure'!AC89,'Unique Tenure'!AA89-AD89,'Unique Tenure'!AC89))</f>
        <v>0</v>
      </c>
      <c r="AF89" s="61">
        <f t="shared" si="43"/>
        <v>0</v>
      </c>
      <c r="AG89" s="60">
        <f t="shared" si="44"/>
        <v>0</v>
      </c>
      <c r="AH89" s="193"/>
      <c r="AI89" s="169">
        <v>85</v>
      </c>
      <c r="AJ89" s="1">
        <f t="shared" si="64"/>
        <v>48106</v>
      </c>
      <c r="AK89" s="60">
        <f>IF($X89&lt;Input!$H$73,IF($X89&lt;Input!$G$73,IF($X89&lt;Input!$F$73,IF($X89&lt;Input!$E$73,IF($X89&lt;Input!$D$73,Input!$C$79,Input!$D$79),Input!$E$79),Input!$F$79),Input!$G$79),Input!$H$79)</f>
        <v>0</v>
      </c>
      <c r="AL89" s="190">
        <f>IF($A89&lt;Input!$H$80,IF($A89&lt;Input!$G$80,IF($A89&lt;Input!$F$80,IF($A89&lt;Input!$E$80,IF($A89&lt;Input!$D$80,Input!$C$81,Input!$D$81),Input!$E$81),Input!$F$81),Input!$G$81),Input!$H$81)</f>
        <v>0.9</v>
      </c>
      <c r="AM89" s="60">
        <f t="shared" si="45"/>
        <v>0</v>
      </c>
      <c r="AN89" s="60">
        <f t="shared" si="65"/>
        <v>31</v>
      </c>
      <c r="AO89" s="60">
        <f t="shared" si="46"/>
        <v>0</v>
      </c>
      <c r="AP89" s="60">
        <f>ROUND(AO89*AN89*Input!$C$3/365,0)</f>
        <v>0</v>
      </c>
      <c r="AQ89" s="61">
        <f>IF($A89&lt;=Input!$C$6,0,IF('Unique Tenure'!AM89&lt;'Unique Tenure'!AO89,'Unique Tenure'!AM89-AP89,'Unique Tenure'!AO89))</f>
        <v>0</v>
      </c>
      <c r="AR89" s="61">
        <f t="shared" si="47"/>
        <v>0</v>
      </c>
      <c r="AS89" s="60">
        <f t="shared" si="48"/>
        <v>0</v>
      </c>
      <c r="AT89" s="193"/>
      <c r="AU89" s="169">
        <v>85</v>
      </c>
      <c r="AV89" s="1">
        <f t="shared" si="66"/>
        <v>48106</v>
      </c>
      <c r="AW89" s="60">
        <f>IF($X89&lt;Input!$H$88,IF($X89&lt;Input!$G$88,IF($X89&lt;Input!$F$88,IF($X89&lt;Input!$E$88,IF($X89&lt;Input!$D$88,Input!$C$94,Input!$D$94),Input!$E$94),Input!$F$94),Input!$G$94),Input!$H$94)</f>
        <v>0</v>
      </c>
      <c r="AX89" s="190">
        <f>IF($A89&lt;Input!$H$95,IF($A89&lt;Input!$G$95,IF($A89&lt;Input!$F$95,IF($A89&lt;Input!$E$95,IF($A89&lt;Input!$D$95,Input!$C$96,Input!$D$96),Input!$E$96),Input!$F$96),Input!$G$96),Input!$H$96)</f>
        <v>0.9</v>
      </c>
      <c r="AY89" s="60">
        <f t="shared" si="49"/>
        <v>0</v>
      </c>
      <c r="AZ89" s="60">
        <f t="shared" si="67"/>
        <v>31</v>
      </c>
      <c r="BA89" s="60">
        <f t="shared" si="50"/>
        <v>0</v>
      </c>
      <c r="BB89" s="60">
        <f>ROUND(BA89*AZ89*Input!$C$3/365,0)</f>
        <v>0</v>
      </c>
      <c r="BC89" s="61">
        <f>IF($A89&lt;=Input!$C$6,0,IF('Unique Tenure'!AY89&lt;'Unique Tenure'!BA89,'Unique Tenure'!AY89-BB89,'Unique Tenure'!BA89))</f>
        <v>0</v>
      </c>
      <c r="BD89" s="61">
        <f t="shared" si="51"/>
        <v>0</v>
      </c>
      <c r="BE89" s="60">
        <f t="shared" si="52"/>
        <v>0</v>
      </c>
      <c r="BF89" s="193"/>
      <c r="BG89" s="169">
        <v>85</v>
      </c>
      <c r="BH89" s="1">
        <f t="shared" si="68"/>
        <v>48106</v>
      </c>
      <c r="BI89" s="60">
        <f>IF($X89&lt;Input!$H$103,IF($X89&lt;Input!$G$103,IF($X89&lt;Input!$F$103,IF($X89&lt;Input!$E$103,IF($X89&lt;Input!$D$103,Input!$C$109,Input!$D$109),Input!$E$109),Input!$F$109),Input!$G$109),Input!$H$109)</f>
        <v>0</v>
      </c>
      <c r="BJ89" s="190">
        <f>IF($A89&lt;Input!$H$110,IF($A89&lt;Input!$G$110,IF($A89&lt;Input!$F$110,IF($A89&lt;Input!$E$110,IF($A89&lt;Input!$D$110,Input!$C$111,Input!$D$111),Input!$E$111),Input!$F$111),Input!$G$111),Input!$H$111)</f>
        <v>0.9</v>
      </c>
      <c r="BK89" s="60">
        <f t="shared" si="53"/>
        <v>0</v>
      </c>
      <c r="BL89" s="60">
        <f t="shared" si="69"/>
        <v>31</v>
      </c>
      <c r="BM89" s="60">
        <f t="shared" si="54"/>
        <v>0</v>
      </c>
      <c r="BN89" s="60">
        <f>ROUND(BM89*BL89*Input!$C$3/365,0)</f>
        <v>0</v>
      </c>
      <c r="BO89" s="61">
        <f>IF($A89&lt;=Input!$C$6,0,IF('Unique Tenure'!BK89&lt;'Unique Tenure'!BM89,'Unique Tenure'!BK89-BN89,'Unique Tenure'!BM89))</f>
        <v>0</v>
      </c>
      <c r="BP89" s="61">
        <f t="shared" si="55"/>
        <v>0</v>
      </c>
      <c r="BQ89" s="60">
        <f t="shared" si="56"/>
        <v>0</v>
      </c>
      <c r="BR89" s="198"/>
    </row>
    <row r="90" spans="1:70" s="51" customFormat="1" x14ac:dyDescent="0.25">
      <c r="A90" s="169">
        <v>86</v>
      </c>
      <c r="B90" s="1">
        <f t="shared" si="57"/>
        <v>48136</v>
      </c>
      <c r="C90" s="60">
        <f>SUM(
   IF(($A$4:$A$184 &lt;= Input!$D$16), M90, 0),
   IF(($A$4:$A$184 &lt;= Input!$E$16), Y90, 0),
   IF(($A$4:$A$184 &lt;= Input!$F$16), AK90, 0),
   IF(($A$4:$A$184 &lt;= Input!$G$16), AW90, 0),
   IF(($A$4:$A$184 &lt;= Input!$H$16), BI90, 0)
)</f>
        <v>21781574.999999996</v>
      </c>
      <c r="D90" s="60">
        <f>SUM(
   IF(($A$4:$A$184 &lt;= Input!$D$16), O90, 0),
   IF(($A$4:$A$184 &lt;= Input!$E$16), AA90, 0),
   IF(($A$4:$A$184 &lt;= Input!$F$16), AM90, 0),
   IF(($A$4:$A$184 &lt;= Input!$G$16), AY90, 0),
   IF(($A$4:$A$184 &lt;= Input!$H$16), BK90, 0)
)</f>
        <v>19603417.499999996</v>
      </c>
      <c r="E90" s="60">
        <f t="shared" si="58"/>
        <v>30</v>
      </c>
      <c r="F90" s="60">
        <f t="shared" si="59"/>
        <v>467543535.5</v>
      </c>
      <c r="G90" s="60">
        <f>ROUND(F90*E90*Input!$C$3/365,0)</f>
        <v>5764235</v>
      </c>
      <c r="H90" s="60">
        <f>IF($A90&lt;=Input!$C$6,0,IF('Unique Tenure'!D90&lt;'Unique Tenure'!F90,'Unique Tenure'!D90-G90,'Unique Tenure'!F90))</f>
        <v>13839182.499999996</v>
      </c>
      <c r="I90" s="60">
        <f t="shared" si="60"/>
        <v>19603417.499999996</v>
      </c>
      <c r="J90" s="60">
        <f t="shared" si="61"/>
        <v>453704353</v>
      </c>
      <c r="K90" s="202">
        <f>J90/Input!$K$5</f>
        <v>1.5123478433333333</v>
      </c>
      <c r="L90" s="232"/>
      <c r="M90" s="60">
        <f>IF($B90&lt;Input!$H$43,IF($B90&lt;Input!$G$43,IF($B90&lt;Input!$F$43,IF($B90&lt;Input!$E$43,IF($B90&lt;Input!$D$43,Input!$C$49,Input!$D$49),Input!$E$49),Input!$F$49),Input!$G$49),Input!$H$49)</f>
        <v>21781574.999999996</v>
      </c>
      <c r="N90" s="190">
        <f>IF($A90&lt;Input!$H$50,IF($A90&lt;Input!$G$50,IF($A90&lt;Input!$F$50,IF($A90&lt;Input!$E$50,IF($A90&lt;Input!$D$50,Input!$C$51,Input!$D$51),Input!$E$51),Input!$F$51),Input!$G$51),Input!$H$51)</f>
        <v>0.9</v>
      </c>
      <c r="O90" s="60">
        <f t="shared" si="36"/>
        <v>19603417.499999996</v>
      </c>
      <c r="P90" s="60">
        <f t="shared" si="37"/>
        <v>30</v>
      </c>
      <c r="Q90" s="60">
        <f t="shared" si="38"/>
        <v>467543535.5</v>
      </c>
      <c r="R90" s="60">
        <f>ROUND(Q90*$P90*Input!$C$3/365,0)</f>
        <v>5764235</v>
      </c>
      <c r="S90" s="60">
        <f>IF(A90&lt;=Input!$C$6,0,IF('Unique Tenure'!O90&lt;'Unique Tenure'!Q90,'Unique Tenure'!O90-R90,'Unique Tenure'!Q90))</f>
        <v>13839182.499999996</v>
      </c>
      <c r="T90" s="60">
        <f t="shared" si="39"/>
        <v>19603417.499999996</v>
      </c>
      <c r="U90" s="60">
        <f t="shared" si="40"/>
        <v>453704353</v>
      </c>
      <c r="V90" s="193"/>
      <c r="W90" s="169">
        <v>86</v>
      </c>
      <c r="X90" s="1">
        <f t="shared" si="62"/>
        <v>48136</v>
      </c>
      <c r="Y90" s="60">
        <f>IF($X90&lt;Input!$H$58,IF($X90&lt;Input!$G$58,IF($X90&lt;Input!$F$58,IF($X90&lt;Input!$E$58,IF($X90&lt;Input!$D$58,Input!$C$64,Input!$D$64),Input!$E$64),Input!$F$64),Input!$G$64),Input!$H$64)</f>
        <v>0</v>
      </c>
      <c r="Z90" s="190">
        <f>IF($A90&lt;Input!$H$65,IF($A90&lt;Input!$G$65,IF($A90&lt;Input!$F$65,IF($A90&lt;Input!$E$65,IF($A90&lt;Input!$D$65,Input!$C$66,Input!$D$66),Input!$E$66),Input!$F$66),Input!$G$66),Input!$H$66)</f>
        <v>0.9</v>
      </c>
      <c r="AA90" s="60">
        <f t="shared" si="41"/>
        <v>0</v>
      </c>
      <c r="AB90" s="60">
        <f t="shared" si="63"/>
        <v>30</v>
      </c>
      <c r="AC90" s="60">
        <f t="shared" si="42"/>
        <v>0</v>
      </c>
      <c r="AD90" s="60">
        <f>ROUND(AC90*AB90*Input!$C$3/365,0)</f>
        <v>0</v>
      </c>
      <c r="AE90" s="61">
        <f>IF($A90&lt;=Input!$C$6,0,IF('Unique Tenure'!AA90&lt;'Unique Tenure'!AC90,'Unique Tenure'!AA90-AD90,'Unique Tenure'!AC90))</f>
        <v>0</v>
      </c>
      <c r="AF90" s="61">
        <f t="shared" si="43"/>
        <v>0</v>
      </c>
      <c r="AG90" s="60">
        <f t="shared" si="44"/>
        <v>0</v>
      </c>
      <c r="AH90" s="193"/>
      <c r="AI90" s="169">
        <v>86</v>
      </c>
      <c r="AJ90" s="1">
        <f t="shared" si="64"/>
        <v>48136</v>
      </c>
      <c r="AK90" s="60">
        <f>IF($X90&lt;Input!$H$73,IF($X90&lt;Input!$G$73,IF($X90&lt;Input!$F$73,IF($X90&lt;Input!$E$73,IF($X90&lt;Input!$D$73,Input!$C$79,Input!$D$79),Input!$E$79),Input!$F$79),Input!$G$79),Input!$H$79)</f>
        <v>0</v>
      </c>
      <c r="AL90" s="190">
        <f>IF($A90&lt;Input!$H$80,IF($A90&lt;Input!$G$80,IF($A90&lt;Input!$F$80,IF($A90&lt;Input!$E$80,IF($A90&lt;Input!$D$80,Input!$C$81,Input!$D$81),Input!$E$81),Input!$F$81),Input!$G$81),Input!$H$81)</f>
        <v>0.9</v>
      </c>
      <c r="AM90" s="60">
        <f t="shared" si="45"/>
        <v>0</v>
      </c>
      <c r="AN90" s="60">
        <f t="shared" si="65"/>
        <v>30</v>
      </c>
      <c r="AO90" s="60">
        <f t="shared" si="46"/>
        <v>0</v>
      </c>
      <c r="AP90" s="60">
        <f>ROUND(AO90*AN90*Input!$C$3/365,0)</f>
        <v>0</v>
      </c>
      <c r="AQ90" s="61">
        <f>IF($A90&lt;=Input!$C$6,0,IF('Unique Tenure'!AM90&lt;'Unique Tenure'!AO90,'Unique Tenure'!AM90-AP90,'Unique Tenure'!AO90))</f>
        <v>0</v>
      </c>
      <c r="AR90" s="61">
        <f t="shared" si="47"/>
        <v>0</v>
      </c>
      <c r="AS90" s="60">
        <f t="shared" si="48"/>
        <v>0</v>
      </c>
      <c r="AT90" s="193"/>
      <c r="AU90" s="169">
        <v>86</v>
      </c>
      <c r="AV90" s="1">
        <f t="shared" si="66"/>
        <v>48136</v>
      </c>
      <c r="AW90" s="60">
        <f>IF($X90&lt;Input!$H$88,IF($X90&lt;Input!$G$88,IF($X90&lt;Input!$F$88,IF($X90&lt;Input!$E$88,IF($X90&lt;Input!$D$88,Input!$C$94,Input!$D$94),Input!$E$94),Input!$F$94),Input!$G$94),Input!$H$94)</f>
        <v>0</v>
      </c>
      <c r="AX90" s="190">
        <f>IF($A90&lt;Input!$H$95,IF($A90&lt;Input!$G$95,IF($A90&lt;Input!$F$95,IF($A90&lt;Input!$E$95,IF($A90&lt;Input!$D$95,Input!$C$96,Input!$D$96),Input!$E$96),Input!$F$96),Input!$G$96),Input!$H$96)</f>
        <v>0.9</v>
      </c>
      <c r="AY90" s="60">
        <f t="shared" si="49"/>
        <v>0</v>
      </c>
      <c r="AZ90" s="60">
        <f t="shared" si="67"/>
        <v>30</v>
      </c>
      <c r="BA90" s="60">
        <f t="shared" si="50"/>
        <v>0</v>
      </c>
      <c r="BB90" s="60">
        <f>ROUND(BA90*AZ90*Input!$C$3/365,0)</f>
        <v>0</v>
      </c>
      <c r="BC90" s="61">
        <f>IF($A90&lt;=Input!$C$6,0,IF('Unique Tenure'!AY90&lt;'Unique Tenure'!BA90,'Unique Tenure'!AY90-BB90,'Unique Tenure'!BA90))</f>
        <v>0</v>
      </c>
      <c r="BD90" s="61">
        <f t="shared" si="51"/>
        <v>0</v>
      </c>
      <c r="BE90" s="60">
        <f t="shared" si="52"/>
        <v>0</v>
      </c>
      <c r="BF90" s="193"/>
      <c r="BG90" s="169">
        <v>86</v>
      </c>
      <c r="BH90" s="1">
        <f t="shared" si="68"/>
        <v>48136</v>
      </c>
      <c r="BI90" s="60">
        <f>IF($X90&lt;Input!$H$103,IF($X90&lt;Input!$G$103,IF($X90&lt;Input!$F$103,IF($X90&lt;Input!$E$103,IF($X90&lt;Input!$D$103,Input!$C$109,Input!$D$109),Input!$E$109),Input!$F$109),Input!$G$109),Input!$H$109)</f>
        <v>0</v>
      </c>
      <c r="BJ90" s="190">
        <f>IF($A90&lt;Input!$H$110,IF($A90&lt;Input!$G$110,IF($A90&lt;Input!$F$110,IF($A90&lt;Input!$E$110,IF($A90&lt;Input!$D$110,Input!$C$111,Input!$D$111),Input!$E$111),Input!$F$111),Input!$G$111),Input!$H$111)</f>
        <v>0.9</v>
      </c>
      <c r="BK90" s="60">
        <f t="shared" si="53"/>
        <v>0</v>
      </c>
      <c r="BL90" s="60">
        <f t="shared" si="69"/>
        <v>30</v>
      </c>
      <c r="BM90" s="60">
        <f t="shared" si="54"/>
        <v>0</v>
      </c>
      <c r="BN90" s="60">
        <f>ROUND(BM90*BL90*Input!$C$3/365,0)</f>
        <v>0</v>
      </c>
      <c r="BO90" s="61">
        <f>IF($A90&lt;=Input!$C$6,0,IF('Unique Tenure'!BK90&lt;'Unique Tenure'!BM90,'Unique Tenure'!BK90-BN90,'Unique Tenure'!BM90))</f>
        <v>0</v>
      </c>
      <c r="BP90" s="61">
        <f t="shared" si="55"/>
        <v>0</v>
      </c>
      <c r="BQ90" s="60">
        <f t="shared" si="56"/>
        <v>0</v>
      </c>
      <c r="BR90" s="198"/>
    </row>
    <row r="91" spans="1:70" s="51" customFormat="1" x14ac:dyDescent="0.25">
      <c r="A91" s="169">
        <v>87</v>
      </c>
      <c r="B91" s="1">
        <f t="shared" si="57"/>
        <v>48167</v>
      </c>
      <c r="C91" s="60">
        <f>SUM(
   IF(($A$4:$A$184 &lt;= Input!$D$16), M91, 0),
   IF(($A$4:$A$184 &lt;= Input!$E$16), Y91, 0),
   IF(($A$4:$A$184 &lt;= Input!$F$16), AK91, 0),
   IF(($A$4:$A$184 &lt;= Input!$G$16), AW91, 0),
   IF(($A$4:$A$184 &lt;= Input!$H$16), BI91, 0)
)</f>
        <v>21781574.999999996</v>
      </c>
      <c r="D91" s="60">
        <f>SUM(
   IF(($A$4:$A$184 &lt;= Input!$D$16), O91, 0),
   IF(($A$4:$A$184 &lt;= Input!$E$16), AA91, 0),
   IF(($A$4:$A$184 &lt;= Input!$F$16), AM91, 0),
   IF(($A$4:$A$184 &lt;= Input!$G$16), AY91, 0),
   IF(($A$4:$A$184 &lt;= Input!$H$16), BK91, 0)
)</f>
        <v>19603417.499999996</v>
      </c>
      <c r="E91" s="60">
        <f t="shared" si="58"/>
        <v>31</v>
      </c>
      <c r="F91" s="60">
        <f t="shared" si="59"/>
        <v>453704353</v>
      </c>
      <c r="G91" s="60">
        <f>ROUND(F91*E91*Input!$C$3/365,0)</f>
        <v>5780069</v>
      </c>
      <c r="H91" s="60">
        <f>IF($A91&lt;=Input!$C$6,0,IF('Unique Tenure'!D91&lt;'Unique Tenure'!F91,'Unique Tenure'!D91-G91,'Unique Tenure'!F91))</f>
        <v>13823348.499999996</v>
      </c>
      <c r="I91" s="60">
        <f t="shared" si="60"/>
        <v>19603417.499999996</v>
      </c>
      <c r="J91" s="60">
        <f t="shared" si="61"/>
        <v>439881004.5</v>
      </c>
      <c r="K91" s="202">
        <f>J91/Input!$K$5</f>
        <v>1.4662700150000001</v>
      </c>
      <c r="L91" s="232"/>
      <c r="M91" s="60">
        <f>IF($B91&lt;Input!$H$43,IF($B91&lt;Input!$G$43,IF($B91&lt;Input!$F$43,IF($B91&lt;Input!$E$43,IF($B91&lt;Input!$D$43,Input!$C$49,Input!$D$49),Input!$E$49),Input!$F$49),Input!$G$49),Input!$H$49)</f>
        <v>21781574.999999996</v>
      </c>
      <c r="N91" s="190">
        <f>IF($A91&lt;Input!$H$50,IF($A91&lt;Input!$G$50,IF($A91&lt;Input!$F$50,IF($A91&lt;Input!$E$50,IF($A91&lt;Input!$D$50,Input!$C$51,Input!$D$51),Input!$E$51),Input!$F$51),Input!$G$51),Input!$H$51)</f>
        <v>0.9</v>
      </c>
      <c r="O91" s="60">
        <f t="shared" si="36"/>
        <v>19603417.499999996</v>
      </c>
      <c r="P91" s="60">
        <f t="shared" si="37"/>
        <v>31</v>
      </c>
      <c r="Q91" s="60">
        <f t="shared" si="38"/>
        <v>453704353</v>
      </c>
      <c r="R91" s="60">
        <f>ROUND(Q91*$P91*Input!$C$3/365,0)</f>
        <v>5780069</v>
      </c>
      <c r="S91" s="60">
        <f>IF(A91&lt;=Input!$C$6,0,IF('Unique Tenure'!O91&lt;'Unique Tenure'!Q91,'Unique Tenure'!O91-R91,'Unique Tenure'!Q91))</f>
        <v>13823348.499999996</v>
      </c>
      <c r="T91" s="60">
        <f t="shared" si="39"/>
        <v>19603417.499999996</v>
      </c>
      <c r="U91" s="60">
        <f t="shared" si="40"/>
        <v>439881004.5</v>
      </c>
      <c r="V91" s="193"/>
      <c r="W91" s="169">
        <v>87</v>
      </c>
      <c r="X91" s="1">
        <f t="shared" si="62"/>
        <v>48167</v>
      </c>
      <c r="Y91" s="60">
        <f>IF($X91&lt;Input!$H$58,IF($X91&lt;Input!$G$58,IF($X91&lt;Input!$F$58,IF($X91&lt;Input!$E$58,IF($X91&lt;Input!$D$58,Input!$C$64,Input!$D$64),Input!$E$64),Input!$F$64),Input!$G$64),Input!$H$64)</f>
        <v>0</v>
      </c>
      <c r="Z91" s="190">
        <f>IF($A91&lt;Input!$H$65,IF($A91&lt;Input!$G$65,IF($A91&lt;Input!$F$65,IF($A91&lt;Input!$E$65,IF($A91&lt;Input!$D$65,Input!$C$66,Input!$D$66),Input!$E$66),Input!$F$66),Input!$G$66),Input!$H$66)</f>
        <v>0.9</v>
      </c>
      <c r="AA91" s="60">
        <f t="shared" si="41"/>
        <v>0</v>
      </c>
      <c r="AB91" s="60">
        <f t="shared" si="63"/>
        <v>31</v>
      </c>
      <c r="AC91" s="60">
        <f t="shared" si="42"/>
        <v>0</v>
      </c>
      <c r="AD91" s="60">
        <f>ROUND(AC91*AB91*Input!$C$3/365,0)</f>
        <v>0</v>
      </c>
      <c r="AE91" s="61">
        <f>IF($A91&lt;=Input!$C$6,0,IF('Unique Tenure'!AA91&lt;'Unique Tenure'!AC91,'Unique Tenure'!AA91-AD91,'Unique Tenure'!AC91))</f>
        <v>0</v>
      </c>
      <c r="AF91" s="61">
        <f t="shared" si="43"/>
        <v>0</v>
      </c>
      <c r="AG91" s="60">
        <f t="shared" si="44"/>
        <v>0</v>
      </c>
      <c r="AH91" s="193"/>
      <c r="AI91" s="169">
        <v>87</v>
      </c>
      <c r="AJ91" s="1">
        <f t="shared" si="64"/>
        <v>48167</v>
      </c>
      <c r="AK91" s="60">
        <f>IF($X91&lt;Input!$H$73,IF($X91&lt;Input!$G$73,IF($X91&lt;Input!$F$73,IF($X91&lt;Input!$E$73,IF($X91&lt;Input!$D$73,Input!$C$79,Input!$D$79),Input!$E$79),Input!$F$79),Input!$G$79),Input!$H$79)</f>
        <v>0</v>
      </c>
      <c r="AL91" s="190">
        <f>IF($A91&lt;Input!$H$80,IF($A91&lt;Input!$G$80,IF($A91&lt;Input!$F$80,IF($A91&lt;Input!$E$80,IF($A91&lt;Input!$D$80,Input!$C$81,Input!$D$81),Input!$E$81),Input!$F$81),Input!$G$81),Input!$H$81)</f>
        <v>0.9</v>
      </c>
      <c r="AM91" s="60">
        <f t="shared" si="45"/>
        <v>0</v>
      </c>
      <c r="AN91" s="60">
        <f t="shared" si="65"/>
        <v>31</v>
      </c>
      <c r="AO91" s="60">
        <f t="shared" si="46"/>
        <v>0</v>
      </c>
      <c r="AP91" s="60">
        <f>ROUND(AO91*AN91*Input!$C$3/365,0)</f>
        <v>0</v>
      </c>
      <c r="AQ91" s="61">
        <f>IF($A91&lt;=Input!$C$6,0,IF('Unique Tenure'!AM91&lt;'Unique Tenure'!AO91,'Unique Tenure'!AM91-AP91,'Unique Tenure'!AO91))</f>
        <v>0</v>
      </c>
      <c r="AR91" s="61">
        <f t="shared" si="47"/>
        <v>0</v>
      </c>
      <c r="AS91" s="60">
        <f t="shared" si="48"/>
        <v>0</v>
      </c>
      <c r="AT91" s="193"/>
      <c r="AU91" s="169">
        <v>87</v>
      </c>
      <c r="AV91" s="1">
        <f t="shared" si="66"/>
        <v>48167</v>
      </c>
      <c r="AW91" s="60">
        <f>IF($X91&lt;Input!$H$88,IF($X91&lt;Input!$G$88,IF($X91&lt;Input!$F$88,IF($X91&lt;Input!$E$88,IF($X91&lt;Input!$D$88,Input!$C$94,Input!$D$94),Input!$E$94),Input!$F$94),Input!$G$94),Input!$H$94)</f>
        <v>0</v>
      </c>
      <c r="AX91" s="190">
        <f>IF($A91&lt;Input!$H$95,IF($A91&lt;Input!$G$95,IF($A91&lt;Input!$F$95,IF($A91&lt;Input!$E$95,IF($A91&lt;Input!$D$95,Input!$C$96,Input!$D$96),Input!$E$96),Input!$F$96),Input!$G$96),Input!$H$96)</f>
        <v>0.9</v>
      </c>
      <c r="AY91" s="60">
        <f t="shared" si="49"/>
        <v>0</v>
      </c>
      <c r="AZ91" s="60">
        <f t="shared" si="67"/>
        <v>31</v>
      </c>
      <c r="BA91" s="60">
        <f t="shared" si="50"/>
        <v>0</v>
      </c>
      <c r="BB91" s="60">
        <f>ROUND(BA91*AZ91*Input!$C$3/365,0)</f>
        <v>0</v>
      </c>
      <c r="BC91" s="61">
        <f>IF($A91&lt;=Input!$C$6,0,IF('Unique Tenure'!AY91&lt;'Unique Tenure'!BA91,'Unique Tenure'!AY91-BB91,'Unique Tenure'!BA91))</f>
        <v>0</v>
      </c>
      <c r="BD91" s="61">
        <f t="shared" si="51"/>
        <v>0</v>
      </c>
      <c r="BE91" s="60">
        <f t="shared" si="52"/>
        <v>0</v>
      </c>
      <c r="BF91" s="193"/>
      <c r="BG91" s="169">
        <v>87</v>
      </c>
      <c r="BH91" s="1">
        <f t="shared" si="68"/>
        <v>48167</v>
      </c>
      <c r="BI91" s="60">
        <f>IF($X91&lt;Input!$H$103,IF($X91&lt;Input!$G$103,IF($X91&lt;Input!$F$103,IF($X91&lt;Input!$E$103,IF($X91&lt;Input!$D$103,Input!$C$109,Input!$D$109),Input!$E$109),Input!$F$109),Input!$G$109),Input!$H$109)</f>
        <v>0</v>
      </c>
      <c r="BJ91" s="190">
        <f>IF($A91&lt;Input!$H$110,IF($A91&lt;Input!$G$110,IF($A91&lt;Input!$F$110,IF($A91&lt;Input!$E$110,IF($A91&lt;Input!$D$110,Input!$C$111,Input!$D$111),Input!$E$111),Input!$F$111),Input!$G$111),Input!$H$111)</f>
        <v>0.9</v>
      </c>
      <c r="BK91" s="60">
        <f t="shared" si="53"/>
        <v>0</v>
      </c>
      <c r="BL91" s="60">
        <f t="shared" si="69"/>
        <v>31</v>
      </c>
      <c r="BM91" s="60">
        <f t="shared" si="54"/>
        <v>0</v>
      </c>
      <c r="BN91" s="60">
        <f>ROUND(BM91*BL91*Input!$C$3/365,0)</f>
        <v>0</v>
      </c>
      <c r="BO91" s="61">
        <f>IF($A91&lt;=Input!$C$6,0,IF('Unique Tenure'!BK91&lt;'Unique Tenure'!BM91,'Unique Tenure'!BK91-BN91,'Unique Tenure'!BM91))</f>
        <v>0</v>
      </c>
      <c r="BP91" s="61">
        <f t="shared" si="55"/>
        <v>0</v>
      </c>
      <c r="BQ91" s="60">
        <f t="shared" si="56"/>
        <v>0</v>
      </c>
      <c r="BR91" s="198"/>
    </row>
    <row r="92" spans="1:70" s="51" customFormat="1" x14ac:dyDescent="0.25">
      <c r="A92" s="169">
        <v>88</v>
      </c>
      <c r="B92" s="1">
        <f t="shared" si="57"/>
        <v>48197</v>
      </c>
      <c r="C92" s="60">
        <f>SUM(
   IF(($A$4:$A$184 &lt;= Input!$D$16), M92, 0),
   IF(($A$4:$A$184 &lt;= Input!$E$16), Y92, 0),
   IF(($A$4:$A$184 &lt;= Input!$F$16), AK92, 0),
   IF(($A$4:$A$184 &lt;= Input!$G$16), AW92, 0),
   IF(($A$4:$A$184 &lt;= Input!$H$16), BI92, 0)
)</f>
        <v>21781574.999999996</v>
      </c>
      <c r="D92" s="60">
        <f>SUM(
   IF(($A$4:$A$184 &lt;= Input!$D$16), O92, 0),
   IF(($A$4:$A$184 &lt;= Input!$E$16), AA92, 0),
   IF(($A$4:$A$184 &lt;= Input!$F$16), AM92, 0),
   IF(($A$4:$A$184 &lt;= Input!$G$16), AY92, 0),
   IF(($A$4:$A$184 &lt;= Input!$H$16), BK92, 0)
)</f>
        <v>19603417.499999996</v>
      </c>
      <c r="E92" s="60">
        <f t="shared" si="58"/>
        <v>30</v>
      </c>
      <c r="F92" s="60">
        <f t="shared" si="59"/>
        <v>439881004.5</v>
      </c>
      <c r="G92" s="60">
        <f>ROUND(F92*E92*Input!$C$3/365,0)</f>
        <v>5423190</v>
      </c>
      <c r="H92" s="60">
        <f>IF($A92&lt;=Input!$C$6,0,IF('Unique Tenure'!D92&lt;'Unique Tenure'!F92,'Unique Tenure'!D92-G92,'Unique Tenure'!F92))</f>
        <v>14180227.499999996</v>
      </c>
      <c r="I92" s="60">
        <f t="shared" si="60"/>
        <v>19603417.499999996</v>
      </c>
      <c r="J92" s="60">
        <f t="shared" si="61"/>
        <v>425700777</v>
      </c>
      <c r="K92" s="202">
        <f>J92/Input!$K$5</f>
        <v>1.4190025900000001</v>
      </c>
      <c r="L92" s="232"/>
      <c r="M92" s="60">
        <f>IF($B92&lt;Input!$H$43,IF($B92&lt;Input!$G$43,IF($B92&lt;Input!$F$43,IF($B92&lt;Input!$E$43,IF($B92&lt;Input!$D$43,Input!$C$49,Input!$D$49),Input!$E$49),Input!$F$49),Input!$G$49),Input!$H$49)</f>
        <v>21781574.999999996</v>
      </c>
      <c r="N92" s="190">
        <f>IF($A92&lt;Input!$H$50,IF($A92&lt;Input!$G$50,IF($A92&lt;Input!$F$50,IF($A92&lt;Input!$E$50,IF($A92&lt;Input!$D$50,Input!$C$51,Input!$D$51),Input!$E$51),Input!$F$51),Input!$G$51),Input!$H$51)</f>
        <v>0.9</v>
      </c>
      <c r="O92" s="60">
        <f t="shared" si="36"/>
        <v>19603417.499999996</v>
      </c>
      <c r="P92" s="60">
        <f t="shared" si="37"/>
        <v>30</v>
      </c>
      <c r="Q92" s="60">
        <f t="shared" si="38"/>
        <v>439881004.5</v>
      </c>
      <c r="R92" s="60">
        <f>ROUND(Q92*$P92*Input!$C$3/365,0)</f>
        <v>5423190</v>
      </c>
      <c r="S92" s="60">
        <f>IF(A92&lt;=Input!$C$6,0,IF('Unique Tenure'!O92&lt;'Unique Tenure'!Q92,'Unique Tenure'!O92-R92,'Unique Tenure'!Q92))</f>
        <v>14180227.499999996</v>
      </c>
      <c r="T92" s="60">
        <f t="shared" si="39"/>
        <v>19603417.499999996</v>
      </c>
      <c r="U92" s="60">
        <f t="shared" si="40"/>
        <v>425700777</v>
      </c>
      <c r="V92" s="193"/>
      <c r="W92" s="169">
        <v>88</v>
      </c>
      <c r="X92" s="1">
        <f t="shared" si="62"/>
        <v>48197</v>
      </c>
      <c r="Y92" s="60">
        <f>IF($X92&lt;Input!$H$58,IF($X92&lt;Input!$G$58,IF($X92&lt;Input!$F$58,IF($X92&lt;Input!$E$58,IF($X92&lt;Input!$D$58,Input!$C$64,Input!$D$64),Input!$E$64),Input!$F$64),Input!$G$64),Input!$H$64)</f>
        <v>0</v>
      </c>
      <c r="Z92" s="190">
        <f>IF($A92&lt;Input!$H$65,IF($A92&lt;Input!$G$65,IF($A92&lt;Input!$F$65,IF($A92&lt;Input!$E$65,IF($A92&lt;Input!$D$65,Input!$C$66,Input!$D$66),Input!$E$66),Input!$F$66),Input!$G$66),Input!$H$66)</f>
        <v>0.9</v>
      </c>
      <c r="AA92" s="60">
        <f t="shared" si="41"/>
        <v>0</v>
      </c>
      <c r="AB92" s="60">
        <f t="shared" si="63"/>
        <v>30</v>
      </c>
      <c r="AC92" s="60">
        <f t="shared" si="42"/>
        <v>0</v>
      </c>
      <c r="AD92" s="60">
        <f>ROUND(AC92*AB92*Input!$C$3/365,0)</f>
        <v>0</v>
      </c>
      <c r="AE92" s="61">
        <f>IF($A92&lt;=Input!$C$6,0,IF('Unique Tenure'!AA92&lt;'Unique Tenure'!AC92,'Unique Tenure'!AA92-AD92,'Unique Tenure'!AC92))</f>
        <v>0</v>
      </c>
      <c r="AF92" s="61">
        <f t="shared" si="43"/>
        <v>0</v>
      </c>
      <c r="AG92" s="60">
        <f t="shared" si="44"/>
        <v>0</v>
      </c>
      <c r="AH92" s="193"/>
      <c r="AI92" s="169">
        <v>88</v>
      </c>
      <c r="AJ92" s="1">
        <f t="shared" si="64"/>
        <v>48197</v>
      </c>
      <c r="AK92" s="60">
        <f>IF($X92&lt;Input!$H$73,IF($X92&lt;Input!$G$73,IF($X92&lt;Input!$F$73,IF($X92&lt;Input!$E$73,IF($X92&lt;Input!$D$73,Input!$C$79,Input!$D$79),Input!$E$79),Input!$F$79),Input!$G$79),Input!$H$79)</f>
        <v>0</v>
      </c>
      <c r="AL92" s="190">
        <f>IF($A92&lt;Input!$H$80,IF($A92&lt;Input!$G$80,IF($A92&lt;Input!$F$80,IF($A92&lt;Input!$E$80,IF($A92&lt;Input!$D$80,Input!$C$81,Input!$D$81),Input!$E$81),Input!$F$81),Input!$G$81),Input!$H$81)</f>
        <v>0.9</v>
      </c>
      <c r="AM92" s="60">
        <f t="shared" si="45"/>
        <v>0</v>
      </c>
      <c r="AN92" s="60">
        <f t="shared" si="65"/>
        <v>30</v>
      </c>
      <c r="AO92" s="60">
        <f t="shared" si="46"/>
        <v>0</v>
      </c>
      <c r="AP92" s="60">
        <f>ROUND(AO92*AN92*Input!$C$3/365,0)</f>
        <v>0</v>
      </c>
      <c r="AQ92" s="61">
        <f>IF($A92&lt;=Input!$C$6,0,IF('Unique Tenure'!AM92&lt;'Unique Tenure'!AO92,'Unique Tenure'!AM92-AP92,'Unique Tenure'!AO92))</f>
        <v>0</v>
      </c>
      <c r="AR92" s="61">
        <f t="shared" si="47"/>
        <v>0</v>
      </c>
      <c r="AS92" s="60">
        <f t="shared" si="48"/>
        <v>0</v>
      </c>
      <c r="AT92" s="193"/>
      <c r="AU92" s="169">
        <v>88</v>
      </c>
      <c r="AV92" s="1">
        <f t="shared" si="66"/>
        <v>48197</v>
      </c>
      <c r="AW92" s="60">
        <f>IF($X92&lt;Input!$H$88,IF($X92&lt;Input!$G$88,IF($X92&lt;Input!$F$88,IF($X92&lt;Input!$E$88,IF($X92&lt;Input!$D$88,Input!$C$94,Input!$D$94),Input!$E$94),Input!$F$94),Input!$G$94),Input!$H$94)</f>
        <v>0</v>
      </c>
      <c r="AX92" s="190">
        <f>IF($A92&lt;Input!$H$95,IF($A92&lt;Input!$G$95,IF($A92&lt;Input!$F$95,IF($A92&lt;Input!$E$95,IF($A92&lt;Input!$D$95,Input!$C$96,Input!$D$96),Input!$E$96),Input!$F$96),Input!$G$96),Input!$H$96)</f>
        <v>0.9</v>
      </c>
      <c r="AY92" s="60">
        <f t="shared" si="49"/>
        <v>0</v>
      </c>
      <c r="AZ92" s="60">
        <f t="shared" si="67"/>
        <v>30</v>
      </c>
      <c r="BA92" s="60">
        <f t="shared" si="50"/>
        <v>0</v>
      </c>
      <c r="BB92" s="60">
        <f>ROUND(BA92*AZ92*Input!$C$3/365,0)</f>
        <v>0</v>
      </c>
      <c r="BC92" s="61">
        <f>IF($A92&lt;=Input!$C$6,0,IF('Unique Tenure'!AY92&lt;'Unique Tenure'!BA92,'Unique Tenure'!AY92-BB92,'Unique Tenure'!BA92))</f>
        <v>0</v>
      </c>
      <c r="BD92" s="61">
        <f t="shared" si="51"/>
        <v>0</v>
      </c>
      <c r="BE92" s="60">
        <f t="shared" si="52"/>
        <v>0</v>
      </c>
      <c r="BF92" s="193"/>
      <c r="BG92" s="169">
        <v>88</v>
      </c>
      <c r="BH92" s="1">
        <f t="shared" si="68"/>
        <v>48197</v>
      </c>
      <c r="BI92" s="60">
        <f>IF($X92&lt;Input!$H$103,IF($X92&lt;Input!$G$103,IF($X92&lt;Input!$F$103,IF($X92&lt;Input!$E$103,IF($X92&lt;Input!$D$103,Input!$C$109,Input!$D$109),Input!$E$109),Input!$F$109),Input!$G$109),Input!$H$109)</f>
        <v>0</v>
      </c>
      <c r="BJ92" s="190">
        <f>IF($A92&lt;Input!$H$110,IF($A92&lt;Input!$G$110,IF($A92&lt;Input!$F$110,IF($A92&lt;Input!$E$110,IF($A92&lt;Input!$D$110,Input!$C$111,Input!$D$111),Input!$E$111),Input!$F$111),Input!$G$111),Input!$H$111)</f>
        <v>0.9</v>
      </c>
      <c r="BK92" s="60">
        <f t="shared" si="53"/>
        <v>0</v>
      </c>
      <c r="BL92" s="60">
        <f t="shared" si="69"/>
        <v>30</v>
      </c>
      <c r="BM92" s="60">
        <f t="shared" si="54"/>
        <v>0</v>
      </c>
      <c r="BN92" s="60">
        <f>ROUND(BM92*BL92*Input!$C$3/365,0)</f>
        <v>0</v>
      </c>
      <c r="BO92" s="61">
        <f>IF($A92&lt;=Input!$C$6,0,IF('Unique Tenure'!BK92&lt;'Unique Tenure'!BM92,'Unique Tenure'!BK92-BN92,'Unique Tenure'!BM92))</f>
        <v>0</v>
      </c>
      <c r="BP92" s="61">
        <f t="shared" si="55"/>
        <v>0</v>
      </c>
      <c r="BQ92" s="60">
        <f t="shared" si="56"/>
        <v>0</v>
      </c>
      <c r="BR92" s="198"/>
    </row>
    <row r="93" spans="1:70" s="51" customFormat="1" x14ac:dyDescent="0.25">
      <c r="A93" s="169">
        <v>89</v>
      </c>
      <c r="B93" s="1">
        <f t="shared" si="57"/>
        <v>48228</v>
      </c>
      <c r="C93" s="60">
        <f>SUM(
   IF(($A$4:$A$184 &lt;= Input!$D$16), M93, 0),
   IF(($A$4:$A$184 &lt;= Input!$E$16), Y93, 0),
   IF(($A$4:$A$184 &lt;= Input!$F$16), AK93, 0),
   IF(($A$4:$A$184 &lt;= Input!$G$16), AW93, 0),
   IF(($A$4:$A$184 &lt;= Input!$H$16), BI93, 0)
)</f>
        <v>21781574.999999996</v>
      </c>
      <c r="D93" s="60">
        <f>SUM(
   IF(($A$4:$A$184 &lt;= Input!$D$16), O93, 0),
   IF(($A$4:$A$184 &lt;= Input!$E$16), AA93, 0),
   IF(($A$4:$A$184 &lt;= Input!$F$16), AM93, 0),
   IF(($A$4:$A$184 &lt;= Input!$G$16), AY93, 0),
   IF(($A$4:$A$184 &lt;= Input!$H$16), BK93, 0)
)</f>
        <v>19603417.499999996</v>
      </c>
      <c r="E93" s="60">
        <f t="shared" si="58"/>
        <v>31</v>
      </c>
      <c r="F93" s="60">
        <f t="shared" si="59"/>
        <v>425700777</v>
      </c>
      <c r="G93" s="60">
        <f>ROUND(F93*E93*Input!$C$3/365,0)</f>
        <v>5423311</v>
      </c>
      <c r="H93" s="60">
        <f>IF($A93&lt;=Input!$C$6,0,IF('Unique Tenure'!D93&lt;'Unique Tenure'!F93,'Unique Tenure'!D93-G93,'Unique Tenure'!F93))</f>
        <v>14180106.499999996</v>
      </c>
      <c r="I93" s="60">
        <f t="shared" si="60"/>
        <v>19603417.499999996</v>
      </c>
      <c r="J93" s="60">
        <f t="shared" si="61"/>
        <v>411520670.5</v>
      </c>
      <c r="K93" s="202">
        <f>J93/Input!$K$5</f>
        <v>1.3717355683333334</v>
      </c>
      <c r="L93" s="232"/>
      <c r="M93" s="60">
        <f>IF($B93&lt;Input!$H$43,IF($B93&lt;Input!$G$43,IF($B93&lt;Input!$F$43,IF($B93&lt;Input!$E$43,IF($B93&lt;Input!$D$43,Input!$C$49,Input!$D$49),Input!$E$49),Input!$F$49),Input!$G$49),Input!$H$49)</f>
        <v>21781574.999999996</v>
      </c>
      <c r="N93" s="190">
        <f>IF($A93&lt;Input!$H$50,IF($A93&lt;Input!$G$50,IF($A93&lt;Input!$F$50,IF($A93&lt;Input!$E$50,IF($A93&lt;Input!$D$50,Input!$C$51,Input!$D$51),Input!$E$51),Input!$F$51),Input!$G$51),Input!$H$51)</f>
        <v>0.9</v>
      </c>
      <c r="O93" s="60">
        <f t="shared" si="36"/>
        <v>19603417.499999996</v>
      </c>
      <c r="P93" s="60">
        <f t="shared" si="37"/>
        <v>31</v>
      </c>
      <c r="Q93" s="60">
        <f t="shared" si="38"/>
        <v>425700777</v>
      </c>
      <c r="R93" s="60">
        <f>ROUND(Q93*$P93*Input!$C$3/365,0)</f>
        <v>5423311</v>
      </c>
      <c r="S93" s="60">
        <f>IF(A93&lt;=Input!$C$6,0,IF('Unique Tenure'!O93&lt;'Unique Tenure'!Q93,'Unique Tenure'!O93-R93,'Unique Tenure'!Q93))</f>
        <v>14180106.499999996</v>
      </c>
      <c r="T93" s="60">
        <f t="shared" si="39"/>
        <v>19603417.499999996</v>
      </c>
      <c r="U93" s="60">
        <f t="shared" si="40"/>
        <v>411520670.5</v>
      </c>
      <c r="V93" s="193"/>
      <c r="W93" s="169">
        <v>89</v>
      </c>
      <c r="X93" s="1">
        <f t="shared" si="62"/>
        <v>48228</v>
      </c>
      <c r="Y93" s="60">
        <f>IF($X93&lt;Input!$H$58,IF($X93&lt;Input!$G$58,IF($X93&lt;Input!$F$58,IF($X93&lt;Input!$E$58,IF($X93&lt;Input!$D$58,Input!$C$64,Input!$D$64),Input!$E$64),Input!$F$64),Input!$G$64),Input!$H$64)</f>
        <v>0</v>
      </c>
      <c r="Z93" s="190">
        <f>IF($A93&lt;Input!$H$65,IF($A93&lt;Input!$G$65,IF($A93&lt;Input!$F$65,IF($A93&lt;Input!$E$65,IF($A93&lt;Input!$D$65,Input!$C$66,Input!$D$66),Input!$E$66),Input!$F$66),Input!$G$66),Input!$H$66)</f>
        <v>0.9</v>
      </c>
      <c r="AA93" s="60">
        <f t="shared" si="41"/>
        <v>0</v>
      </c>
      <c r="AB93" s="60">
        <f t="shared" si="63"/>
        <v>31</v>
      </c>
      <c r="AC93" s="60">
        <f t="shared" si="42"/>
        <v>0</v>
      </c>
      <c r="AD93" s="60">
        <f>ROUND(AC93*AB93*Input!$C$3/365,0)</f>
        <v>0</v>
      </c>
      <c r="AE93" s="61">
        <f>IF($A93&lt;=Input!$C$6,0,IF('Unique Tenure'!AA93&lt;'Unique Tenure'!AC93,'Unique Tenure'!AA93-AD93,'Unique Tenure'!AC93))</f>
        <v>0</v>
      </c>
      <c r="AF93" s="61">
        <f t="shared" si="43"/>
        <v>0</v>
      </c>
      <c r="AG93" s="60">
        <f t="shared" si="44"/>
        <v>0</v>
      </c>
      <c r="AH93" s="193"/>
      <c r="AI93" s="169">
        <v>89</v>
      </c>
      <c r="AJ93" s="1">
        <f t="shared" si="64"/>
        <v>48228</v>
      </c>
      <c r="AK93" s="60">
        <f>IF($X93&lt;Input!$H$73,IF($X93&lt;Input!$G$73,IF($X93&lt;Input!$F$73,IF($X93&lt;Input!$E$73,IF($X93&lt;Input!$D$73,Input!$C$79,Input!$D$79),Input!$E$79),Input!$F$79),Input!$G$79),Input!$H$79)</f>
        <v>0</v>
      </c>
      <c r="AL93" s="190">
        <f>IF($A93&lt;Input!$H$80,IF($A93&lt;Input!$G$80,IF($A93&lt;Input!$F$80,IF($A93&lt;Input!$E$80,IF($A93&lt;Input!$D$80,Input!$C$81,Input!$D$81),Input!$E$81),Input!$F$81),Input!$G$81),Input!$H$81)</f>
        <v>0.9</v>
      </c>
      <c r="AM93" s="60">
        <f t="shared" si="45"/>
        <v>0</v>
      </c>
      <c r="AN93" s="60">
        <f t="shared" si="65"/>
        <v>31</v>
      </c>
      <c r="AO93" s="60">
        <f t="shared" si="46"/>
        <v>0</v>
      </c>
      <c r="AP93" s="60">
        <f>ROUND(AO93*AN93*Input!$C$3/365,0)</f>
        <v>0</v>
      </c>
      <c r="AQ93" s="61">
        <f>IF($A93&lt;=Input!$C$6,0,IF('Unique Tenure'!AM93&lt;'Unique Tenure'!AO93,'Unique Tenure'!AM93-AP93,'Unique Tenure'!AO93))</f>
        <v>0</v>
      </c>
      <c r="AR93" s="61">
        <f t="shared" si="47"/>
        <v>0</v>
      </c>
      <c r="AS93" s="60">
        <f t="shared" si="48"/>
        <v>0</v>
      </c>
      <c r="AT93" s="193"/>
      <c r="AU93" s="169">
        <v>89</v>
      </c>
      <c r="AV93" s="1">
        <f t="shared" si="66"/>
        <v>48228</v>
      </c>
      <c r="AW93" s="60">
        <f>IF($X93&lt;Input!$H$88,IF($X93&lt;Input!$G$88,IF($X93&lt;Input!$F$88,IF($X93&lt;Input!$E$88,IF($X93&lt;Input!$D$88,Input!$C$94,Input!$D$94),Input!$E$94),Input!$F$94),Input!$G$94),Input!$H$94)</f>
        <v>0</v>
      </c>
      <c r="AX93" s="190">
        <f>IF($A93&lt;Input!$H$95,IF($A93&lt;Input!$G$95,IF($A93&lt;Input!$F$95,IF($A93&lt;Input!$E$95,IF($A93&lt;Input!$D$95,Input!$C$96,Input!$D$96),Input!$E$96),Input!$F$96),Input!$G$96),Input!$H$96)</f>
        <v>0.9</v>
      </c>
      <c r="AY93" s="60">
        <f t="shared" si="49"/>
        <v>0</v>
      </c>
      <c r="AZ93" s="60">
        <f t="shared" si="67"/>
        <v>31</v>
      </c>
      <c r="BA93" s="60">
        <f t="shared" si="50"/>
        <v>0</v>
      </c>
      <c r="BB93" s="60">
        <f>ROUND(BA93*AZ93*Input!$C$3/365,0)</f>
        <v>0</v>
      </c>
      <c r="BC93" s="61">
        <f>IF($A93&lt;=Input!$C$6,0,IF('Unique Tenure'!AY93&lt;'Unique Tenure'!BA93,'Unique Tenure'!AY93-BB93,'Unique Tenure'!BA93))</f>
        <v>0</v>
      </c>
      <c r="BD93" s="61">
        <f t="shared" si="51"/>
        <v>0</v>
      </c>
      <c r="BE93" s="60">
        <f t="shared" si="52"/>
        <v>0</v>
      </c>
      <c r="BF93" s="193"/>
      <c r="BG93" s="169">
        <v>89</v>
      </c>
      <c r="BH93" s="1">
        <f t="shared" si="68"/>
        <v>48228</v>
      </c>
      <c r="BI93" s="60">
        <f>IF($X93&lt;Input!$H$103,IF($X93&lt;Input!$G$103,IF($X93&lt;Input!$F$103,IF($X93&lt;Input!$E$103,IF($X93&lt;Input!$D$103,Input!$C$109,Input!$D$109),Input!$E$109),Input!$F$109),Input!$G$109),Input!$H$109)</f>
        <v>0</v>
      </c>
      <c r="BJ93" s="190">
        <f>IF($A93&lt;Input!$H$110,IF($A93&lt;Input!$G$110,IF($A93&lt;Input!$F$110,IF($A93&lt;Input!$E$110,IF($A93&lt;Input!$D$110,Input!$C$111,Input!$D$111),Input!$E$111),Input!$F$111),Input!$G$111),Input!$H$111)</f>
        <v>0.9</v>
      </c>
      <c r="BK93" s="60">
        <f t="shared" si="53"/>
        <v>0</v>
      </c>
      <c r="BL93" s="60">
        <f t="shared" si="69"/>
        <v>31</v>
      </c>
      <c r="BM93" s="60">
        <f t="shared" si="54"/>
        <v>0</v>
      </c>
      <c r="BN93" s="60">
        <f>ROUND(BM93*BL93*Input!$C$3/365,0)</f>
        <v>0</v>
      </c>
      <c r="BO93" s="61">
        <f>IF($A93&lt;=Input!$C$6,0,IF('Unique Tenure'!BK93&lt;'Unique Tenure'!BM93,'Unique Tenure'!BK93-BN93,'Unique Tenure'!BM93))</f>
        <v>0</v>
      </c>
      <c r="BP93" s="61">
        <f t="shared" si="55"/>
        <v>0</v>
      </c>
      <c r="BQ93" s="60">
        <f t="shared" si="56"/>
        <v>0</v>
      </c>
      <c r="BR93" s="198"/>
    </row>
    <row r="94" spans="1:70" s="51" customFormat="1" x14ac:dyDescent="0.25">
      <c r="A94" s="169">
        <v>90</v>
      </c>
      <c r="B94" s="1">
        <f t="shared" si="57"/>
        <v>48259</v>
      </c>
      <c r="C94" s="60">
        <f>SUM(
   IF(($A$4:$A$184 &lt;= Input!$D$16), M94, 0),
   IF(($A$4:$A$184 &lt;= Input!$E$16), Y94, 0),
   IF(($A$4:$A$184 &lt;= Input!$F$16), AK94, 0),
   IF(($A$4:$A$184 &lt;= Input!$G$16), AW94, 0),
   IF(($A$4:$A$184 &lt;= Input!$H$16), BI94, 0)
)</f>
        <v>21781574.999999996</v>
      </c>
      <c r="D94" s="60">
        <f>SUM(
   IF(($A$4:$A$184 &lt;= Input!$D$16), O94, 0),
   IF(($A$4:$A$184 &lt;= Input!$E$16), AA94, 0),
   IF(($A$4:$A$184 &lt;= Input!$F$16), AM94, 0),
   IF(($A$4:$A$184 &lt;= Input!$G$16), AY94, 0),
   IF(($A$4:$A$184 &lt;= Input!$H$16), BK94, 0)
)</f>
        <v>19603417.499999996</v>
      </c>
      <c r="E94" s="60">
        <f t="shared" si="58"/>
        <v>31</v>
      </c>
      <c r="F94" s="60">
        <f t="shared" si="59"/>
        <v>411520670.5</v>
      </c>
      <c r="G94" s="60">
        <f>ROUND(F94*E94*Input!$C$3/365,0)</f>
        <v>5242661</v>
      </c>
      <c r="H94" s="60">
        <f>IF($A94&lt;=Input!$C$6,0,IF('Unique Tenure'!D94&lt;'Unique Tenure'!F94,'Unique Tenure'!D94-G94,'Unique Tenure'!F94))</f>
        <v>14360756.499999996</v>
      </c>
      <c r="I94" s="60">
        <f t="shared" si="60"/>
        <v>19603417.499999996</v>
      </c>
      <c r="J94" s="60">
        <f t="shared" si="61"/>
        <v>397159914</v>
      </c>
      <c r="K94" s="202">
        <f>J94/Input!$K$5</f>
        <v>1.3238663799999999</v>
      </c>
      <c r="L94" s="232"/>
      <c r="M94" s="60">
        <f>IF($B94&lt;Input!$H$43,IF($B94&lt;Input!$G$43,IF($B94&lt;Input!$F$43,IF($B94&lt;Input!$E$43,IF($B94&lt;Input!$D$43,Input!$C$49,Input!$D$49),Input!$E$49),Input!$F$49),Input!$G$49),Input!$H$49)</f>
        <v>21781574.999999996</v>
      </c>
      <c r="N94" s="190">
        <f>IF($A94&lt;Input!$H$50,IF($A94&lt;Input!$G$50,IF($A94&lt;Input!$F$50,IF($A94&lt;Input!$E$50,IF($A94&lt;Input!$D$50,Input!$C$51,Input!$D$51),Input!$E$51),Input!$F$51),Input!$G$51),Input!$H$51)</f>
        <v>0.9</v>
      </c>
      <c r="O94" s="60">
        <f t="shared" si="36"/>
        <v>19603417.499999996</v>
      </c>
      <c r="P94" s="60">
        <f t="shared" si="37"/>
        <v>31</v>
      </c>
      <c r="Q94" s="60">
        <f t="shared" si="38"/>
        <v>411520670.5</v>
      </c>
      <c r="R94" s="60">
        <f>ROUND(Q94*$P94*Input!$C$3/365,0)</f>
        <v>5242661</v>
      </c>
      <c r="S94" s="60">
        <f>IF(A94&lt;=Input!$C$6,0,IF('Unique Tenure'!O94&lt;'Unique Tenure'!Q94,'Unique Tenure'!O94-R94,'Unique Tenure'!Q94))</f>
        <v>14360756.499999996</v>
      </c>
      <c r="T94" s="60">
        <f t="shared" si="39"/>
        <v>19603417.499999996</v>
      </c>
      <c r="U94" s="60">
        <f t="shared" si="40"/>
        <v>397159914</v>
      </c>
      <c r="V94" s="193"/>
      <c r="W94" s="169">
        <v>90</v>
      </c>
      <c r="X94" s="1">
        <f t="shared" si="62"/>
        <v>48259</v>
      </c>
      <c r="Y94" s="60">
        <f>IF($X94&lt;Input!$H$58,IF($X94&lt;Input!$G$58,IF($X94&lt;Input!$F$58,IF($X94&lt;Input!$E$58,IF($X94&lt;Input!$D$58,Input!$C$64,Input!$D$64),Input!$E$64),Input!$F$64),Input!$G$64),Input!$H$64)</f>
        <v>0</v>
      </c>
      <c r="Z94" s="190">
        <f>IF($A94&lt;Input!$H$65,IF($A94&lt;Input!$G$65,IF($A94&lt;Input!$F$65,IF($A94&lt;Input!$E$65,IF($A94&lt;Input!$D$65,Input!$C$66,Input!$D$66),Input!$E$66),Input!$F$66),Input!$G$66),Input!$H$66)</f>
        <v>0.9</v>
      </c>
      <c r="AA94" s="60">
        <f t="shared" si="41"/>
        <v>0</v>
      </c>
      <c r="AB94" s="60">
        <f t="shared" si="63"/>
        <v>31</v>
      </c>
      <c r="AC94" s="60">
        <f t="shared" si="42"/>
        <v>0</v>
      </c>
      <c r="AD94" s="60">
        <f>ROUND(AC94*AB94*Input!$C$3/365,0)</f>
        <v>0</v>
      </c>
      <c r="AE94" s="61">
        <f>IF($A94&lt;=Input!$C$6,0,IF('Unique Tenure'!AA94&lt;'Unique Tenure'!AC94,'Unique Tenure'!AA94-AD94,'Unique Tenure'!AC94))</f>
        <v>0</v>
      </c>
      <c r="AF94" s="61">
        <f t="shared" si="43"/>
        <v>0</v>
      </c>
      <c r="AG94" s="60">
        <f t="shared" si="44"/>
        <v>0</v>
      </c>
      <c r="AH94" s="193"/>
      <c r="AI94" s="169">
        <v>90</v>
      </c>
      <c r="AJ94" s="1">
        <f t="shared" si="64"/>
        <v>48259</v>
      </c>
      <c r="AK94" s="60">
        <f>IF($X94&lt;Input!$H$73,IF($X94&lt;Input!$G$73,IF($X94&lt;Input!$F$73,IF($X94&lt;Input!$E$73,IF($X94&lt;Input!$D$73,Input!$C$79,Input!$D$79),Input!$E$79),Input!$F$79),Input!$G$79),Input!$H$79)</f>
        <v>0</v>
      </c>
      <c r="AL94" s="190">
        <f>IF($A94&lt;Input!$H$80,IF($A94&lt;Input!$G$80,IF($A94&lt;Input!$F$80,IF($A94&lt;Input!$E$80,IF($A94&lt;Input!$D$80,Input!$C$81,Input!$D$81),Input!$E$81),Input!$F$81),Input!$G$81),Input!$H$81)</f>
        <v>0.9</v>
      </c>
      <c r="AM94" s="60">
        <f t="shared" si="45"/>
        <v>0</v>
      </c>
      <c r="AN94" s="60">
        <f t="shared" si="65"/>
        <v>31</v>
      </c>
      <c r="AO94" s="60">
        <f t="shared" si="46"/>
        <v>0</v>
      </c>
      <c r="AP94" s="60">
        <f>ROUND(AO94*AN94*Input!$C$3/365,0)</f>
        <v>0</v>
      </c>
      <c r="AQ94" s="61">
        <f>IF($A94&lt;=Input!$C$6,0,IF('Unique Tenure'!AM94&lt;'Unique Tenure'!AO94,'Unique Tenure'!AM94-AP94,'Unique Tenure'!AO94))</f>
        <v>0</v>
      </c>
      <c r="AR94" s="61">
        <f t="shared" si="47"/>
        <v>0</v>
      </c>
      <c r="AS94" s="60">
        <f t="shared" si="48"/>
        <v>0</v>
      </c>
      <c r="AT94" s="193"/>
      <c r="AU94" s="169">
        <v>90</v>
      </c>
      <c r="AV94" s="1">
        <f t="shared" si="66"/>
        <v>48259</v>
      </c>
      <c r="AW94" s="60">
        <f>IF($X94&lt;Input!$H$88,IF($X94&lt;Input!$G$88,IF($X94&lt;Input!$F$88,IF($X94&lt;Input!$E$88,IF($X94&lt;Input!$D$88,Input!$C$94,Input!$D$94),Input!$E$94),Input!$F$94),Input!$G$94),Input!$H$94)</f>
        <v>0</v>
      </c>
      <c r="AX94" s="190">
        <f>IF($A94&lt;Input!$H$95,IF($A94&lt;Input!$G$95,IF($A94&lt;Input!$F$95,IF($A94&lt;Input!$E$95,IF($A94&lt;Input!$D$95,Input!$C$96,Input!$D$96),Input!$E$96),Input!$F$96),Input!$G$96),Input!$H$96)</f>
        <v>0.9</v>
      </c>
      <c r="AY94" s="60">
        <f t="shared" si="49"/>
        <v>0</v>
      </c>
      <c r="AZ94" s="60">
        <f t="shared" si="67"/>
        <v>31</v>
      </c>
      <c r="BA94" s="60">
        <f t="shared" si="50"/>
        <v>0</v>
      </c>
      <c r="BB94" s="60">
        <f>ROUND(BA94*AZ94*Input!$C$3/365,0)</f>
        <v>0</v>
      </c>
      <c r="BC94" s="61">
        <f>IF($A94&lt;=Input!$C$6,0,IF('Unique Tenure'!AY94&lt;'Unique Tenure'!BA94,'Unique Tenure'!AY94-BB94,'Unique Tenure'!BA94))</f>
        <v>0</v>
      </c>
      <c r="BD94" s="61">
        <f t="shared" si="51"/>
        <v>0</v>
      </c>
      <c r="BE94" s="60">
        <f t="shared" si="52"/>
        <v>0</v>
      </c>
      <c r="BF94" s="193"/>
      <c r="BG94" s="169">
        <v>90</v>
      </c>
      <c r="BH94" s="1">
        <f t="shared" si="68"/>
        <v>48259</v>
      </c>
      <c r="BI94" s="60">
        <f>IF($X94&lt;Input!$H$103,IF($X94&lt;Input!$G$103,IF($X94&lt;Input!$F$103,IF($X94&lt;Input!$E$103,IF($X94&lt;Input!$D$103,Input!$C$109,Input!$D$109),Input!$E$109),Input!$F$109),Input!$G$109),Input!$H$109)</f>
        <v>0</v>
      </c>
      <c r="BJ94" s="190">
        <f>IF($A94&lt;Input!$H$110,IF($A94&lt;Input!$G$110,IF($A94&lt;Input!$F$110,IF($A94&lt;Input!$E$110,IF($A94&lt;Input!$D$110,Input!$C$111,Input!$D$111),Input!$E$111),Input!$F$111),Input!$G$111),Input!$H$111)</f>
        <v>0.9</v>
      </c>
      <c r="BK94" s="60">
        <f t="shared" si="53"/>
        <v>0</v>
      </c>
      <c r="BL94" s="60">
        <f t="shared" si="69"/>
        <v>31</v>
      </c>
      <c r="BM94" s="60">
        <f t="shared" si="54"/>
        <v>0</v>
      </c>
      <c r="BN94" s="60">
        <f>ROUND(BM94*BL94*Input!$C$3/365,0)</f>
        <v>0</v>
      </c>
      <c r="BO94" s="61">
        <f>IF($A94&lt;=Input!$C$6,0,IF('Unique Tenure'!BK94&lt;'Unique Tenure'!BM94,'Unique Tenure'!BK94-BN94,'Unique Tenure'!BM94))</f>
        <v>0</v>
      </c>
      <c r="BP94" s="61">
        <f t="shared" si="55"/>
        <v>0</v>
      </c>
      <c r="BQ94" s="60">
        <f t="shared" si="56"/>
        <v>0</v>
      </c>
      <c r="BR94" s="198"/>
    </row>
    <row r="95" spans="1:70" s="51" customFormat="1" x14ac:dyDescent="0.25">
      <c r="A95" s="169">
        <v>91</v>
      </c>
      <c r="B95" s="1">
        <f t="shared" si="57"/>
        <v>48288</v>
      </c>
      <c r="C95" s="60">
        <f>SUM(
   IF(($A$4:$A$184 &lt;= Input!$D$16), M95, 0),
   IF(($A$4:$A$184 &lt;= Input!$E$16), Y95, 0),
   IF(($A$4:$A$184 &lt;= Input!$F$16), AK95, 0),
   IF(($A$4:$A$184 &lt;= Input!$G$16), AW95, 0),
   IF(($A$4:$A$184 &lt;= Input!$H$16), BI95, 0)
)</f>
        <v>21781574.999999996</v>
      </c>
      <c r="D95" s="60">
        <f>SUM(
   IF(($A$4:$A$184 &lt;= Input!$D$16), O95, 0),
   IF(($A$4:$A$184 &lt;= Input!$E$16), AA95, 0),
   IF(($A$4:$A$184 &lt;= Input!$F$16), AM95, 0),
   IF(($A$4:$A$184 &lt;= Input!$G$16), AY95, 0),
   IF(($A$4:$A$184 &lt;= Input!$H$16), BK95, 0)
)</f>
        <v>19603417.499999996</v>
      </c>
      <c r="E95" s="60">
        <f t="shared" si="58"/>
        <v>29</v>
      </c>
      <c r="F95" s="60">
        <f t="shared" si="59"/>
        <v>397159914</v>
      </c>
      <c r="G95" s="60">
        <f>ROUND(F95*E95*Input!$C$3/365,0)</f>
        <v>4733276</v>
      </c>
      <c r="H95" s="60">
        <f>IF($A95&lt;=Input!$C$6,0,IF('Unique Tenure'!D95&lt;'Unique Tenure'!F95,'Unique Tenure'!D95-G95,'Unique Tenure'!F95))</f>
        <v>14870141.499999996</v>
      </c>
      <c r="I95" s="60">
        <f t="shared" si="60"/>
        <v>19603417.499999996</v>
      </c>
      <c r="J95" s="60">
        <f t="shared" si="61"/>
        <v>382289772.5</v>
      </c>
      <c r="K95" s="202">
        <f>J95/Input!$K$5</f>
        <v>1.2742992416666667</v>
      </c>
      <c r="L95" s="232"/>
      <c r="M95" s="60">
        <f>IF($B95&lt;Input!$H$43,IF($B95&lt;Input!$G$43,IF($B95&lt;Input!$F$43,IF($B95&lt;Input!$E$43,IF($B95&lt;Input!$D$43,Input!$C$49,Input!$D$49),Input!$E$49),Input!$F$49),Input!$G$49),Input!$H$49)</f>
        <v>21781574.999999996</v>
      </c>
      <c r="N95" s="190">
        <f>IF($A95&lt;Input!$H$50,IF($A95&lt;Input!$G$50,IF($A95&lt;Input!$F$50,IF($A95&lt;Input!$E$50,IF($A95&lt;Input!$D$50,Input!$C$51,Input!$D$51),Input!$E$51),Input!$F$51),Input!$G$51),Input!$H$51)</f>
        <v>0.9</v>
      </c>
      <c r="O95" s="60">
        <f t="shared" si="36"/>
        <v>19603417.499999996</v>
      </c>
      <c r="P95" s="60">
        <f t="shared" si="37"/>
        <v>29</v>
      </c>
      <c r="Q95" s="60">
        <f t="shared" si="38"/>
        <v>397159914</v>
      </c>
      <c r="R95" s="60">
        <f>ROUND(Q95*$P95*Input!$C$3/365,0)</f>
        <v>4733276</v>
      </c>
      <c r="S95" s="60">
        <f>IF(A95&lt;=Input!$C$6,0,IF('Unique Tenure'!O95&lt;'Unique Tenure'!Q95,'Unique Tenure'!O95-R95,'Unique Tenure'!Q95))</f>
        <v>14870141.499999996</v>
      </c>
      <c r="T95" s="60">
        <f t="shared" si="39"/>
        <v>19603417.499999996</v>
      </c>
      <c r="U95" s="60">
        <f t="shared" si="40"/>
        <v>382289772.5</v>
      </c>
      <c r="V95" s="193"/>
      <c r="W95" s="169">
        <v>91</v>
      </c>
      <c r="X95" s="1">
        <f t="shared" si="62"/>
        <v>48288</v>
      </c>
      <c r="Y95" s="60">
        <f>IF($X95&lt;Input!$H$58,IF($X95&lt;Input!$G$58,IF($X95&lt;Input!$F$58,IF($X95&lt;Input!$E$58,IF($X95&lt;Input!$D$58,Input!$C$64,Input!$D$64),Input!$E$64),Input!$F$64),Input!$G$64),Input!$H$64)</f>
        <v>0</v>
      </c>
      <c r="Z95" s="190">
        <f>IF($A95&lt;Input!$H$65,IF($A95&lt;Input!$G$65,IF($A95&lt;Input!$F$65,IF($A95&lt;Input!$E$65,IF($A95&lt;Input!$D$65,Input!$C$66,Input!$D$66),Input!$E$66),Input!$F$66),Input!$G$66),Input!$H$66)</f>
        <v>0.9</v>
      </c>
      <c r="AA95" s="60">
        <f t="shared" si="41"/>
        <v>0</v>
      </c>
      <c r="AB95" s="60">
        <f t="shared" si="63"/>
        <v>29</v>
      </c>
      <c r="AC95" s="60">
        <f t="shared" si="42"/>
        <v>0</v>
      </c>
      <c r="AD95" s="60">
        <f>ROUND(AC95*AB95*Input!$C$3/365,0)</f>
        <v>0</v>
      </c>
      <c r="AE95" s="61">
        <f>IF($A95&lt;=Input!$C$6,0,IF('Unique Tenure'!AA95&lt;'Unique Tenure'!AC95,'Unique Tenure'!AA95-AD95,'Unique Tenure'!AC95))</f>
        <v>0</v>
      </c>
      <c r="AF95" s="61">
        <f t="shared" si="43"/>
        <v>0</v>
      </c>
      <c r="AG95" s="60">
        <f t="shared" si="44"/>
        <v>0</v>
      </c>
      <c r="AH95" s="193"/>
      <c r="AI95" s="169">
        <v>91</v>
      </c>
      <c r="AJ95" s="1">
        <f t="shared" si="64"/>
        <v>48288</v>
      </c>
      <c r="AK95" s="60">
        <f>IF($X95&lt;Input!$H$73,IF($X95&lt;Input!$G$73,IF($X95&lt;Input!$F$73,IF($X95&lt;Input!$E$73,IF($X95&lt;Input!$D$73,Input!$C$79,Input!$D$79),Input!$E$79),Input!$F$79),Input!$G$79),Input!$H$79)</f>
        <v>0</v>
      </c>
      <c r="AL95" s="190">
        <f>IF($A95&lt;Input!$H$80,IF($A95&lt;Input!$G$80,IF($A95&lt;Input!$F$80,IF($A95&lt;Input!$E$80,IF($A95&lt;Input!$D$80,Input!$C$81,Input!$D$81),Input!$E$81),Input!$F$81),Input!$G$81),Input!$H$81)</f>
        <v>0.9</v>
      </c>
      <c r="AM95" s="60">
        <f t="shared" si="45"/>
        <v>0</v>
      </c>
      <c r="AN95" s="60">
        <f t="shared" si="65"/>
        <v>29</v>
      </c>
      <c r="AO95" s="60">
        <f t="shared" si="46"/>
        <v>0</v>
      </c>
      <c r="AP95" s="60">
        <f>ROUND(AO95*AN95*Input!$C$3/365,0)</f>
        <v>0</v>
      </c>
      <c r="AQ95" s="61">
        <f>IF($A95&lt;=Input!$C$6,0,IF('Unique Tenure'!AM95&lt;'Unique Tenure'!AO95,'Unique Tenure'!AM95-AP95,'Unique Tenure'!AO95))</f>
        <v>0</v>
      </c>
      <c r="AR95" s="61">
        <f t="shared" si="47"/>
        <v>0</v>
      </c>
      <c r="AS95" s="60">
        <f t="shared" si="48"/>
        <v>0</v>
      </c>
      <c r="AT95" s="193"/>
      <c r="AU95" s="169">
        <v>91</v>
      </c>
      <c r="AV95" s="1">
        <f t="shared" si="66"/>
        <v>48288</v>
      </c>
      <c r="AW95" s="60">
        <f>IF($X95&lt;Input!$H$88,IF($X95&lt;Input!$G$88,IF($X95&lt;Input!$F$88,IF($X95&lt;Input!$E$88,IF($X95&lt;Input!$D$88,Input!$C$94,Input!$D$94),Input!$E$94),Input!$F$94),Input!$G$94),Input!$H$94)</f>
        <v>0</v>
      </c>
      <c r="AX95" s="190">
        <f>IF($A95&lt;Input!$H$95,IF($A95&lt;Input!$G$95,IF($A95&lt;Input!$F$95,IF($A95&lt;Input!$E$95,IF($A95&lt;Input!$D$95,Input!$C$96,Input!$D$96),Input!$E$96),Input!$F$96),Input!$G$96),Input!$H$96)</f>
        <v>0.9</v>
      </c>
      <c r="AY95" s="60">
        <f t="shared" si="49"/>
        <v>0</v>
      </c>
      <c r="AZ95" s="60">
        <f t="shared" si="67"/>
        <v>29</v>
      </c>
      <c r="BA95" s="60">
        <f t="shared" si="50"/>
        <v>0</v>
      </c>
      <c r="BB95" s="60">
        <f>ROUND(BA95*AZ95*Input!$C$3/365,0)</f>
        <v>0</v>
      </c>
      <c r="BC95" s="61">
        <f>IF($A95&lt;=Input!$C$6,0,IF('Unique Tenure'!AY95&lt;'Unique Tenure'!BA95,'Unique Tenure'!AY95-BB95,'Unique Tenure'!BA95))</f>
        <v>0</v>
      </c>
      <c r="BD95" s="61">
        <f t="shared" si="51"/>
        <v>0</v>
      </c>
      <c r="BE95" s="60">
        <f t="shared" si="52"/>
        <v>0</v>
      </c>
      <c r="BF95" s="193"/>
      <c r="BG95" s="169">
        <v>91</v>
      </c>
      <c r="BH95" s="1">
        <f t="shared" si="68"/>
        <v>48288</v>
      </c>
      <c r="BI95" s="60">
        <f>IF($X95&lt;Input!$H$103,IF($X95&lt;Input!$G$103,IF($X95&lt;Input!$F$103,IF($X95&lt;Input!$E$103,IF($X95&lt;Input!$D$103,Input!$C$109,Input!$D$109),Input!$E$109),Input!$F$109),Input!$G$109),Input!$H$109)</f>
        <v>0</v>
      </c>
      <c r="BJ95" s="190">
        <f>IF($A95&lt;Input!$H$110,IF($A95&lt;Input!$G$110,IF($A95&lt;Input!$F$110,IF($A95&lt;Input!$E$110,IF($A95&lt;Input!$D$110,Input!$C$111,Input!$D$111),Input!$E$111),Input!$F$111),Input!$G$111),Input!$H$111)</f>
        <v>0.9</v>
      </c>
      <c r="BK95" s="60">
        <f t="shared" si="53"/>
        <v>0</v>
      </c>
      <c r="BL95" s="60">
        <f t="shared" si="69"/>
        <v>29</v>
      </c>
      <c r="BM95" s="60">
        <f t="shared" si="54"/>
        <v>0</v>
      </c>
      <c r="BN95" s="60">
        <f>ROUND(BM95*BL95*Input!$C$3/365,0)</f>
        <v>0</v>
      </c>
      <c r="BO95" s="61">
        <f>IF($A95&lt;=Input!$C$6,0,IF('Unique Tenure'!BK95&lt;'Unique Tenure'!BM95,'Unique Tenure'!BK95-BN95,'Unique Tenure'!BM95))</f>
        <v>0</v>
      </c>
      <c r="BP95" s="61">
        <f t="shared" si="55"/>
        <v>0</v>
      </c>
      <c r="BQ95" s="60">
        <f t="shared" si="56"/>
        <v>0</v>
      </c>
      <c r="BR95" s="198"/>
    </row>
    <row r="96" spans="1:70" s="51" customFormat="1" x14ac:dyDescent="0.25">
      <c r="A96" s="169">
        <v>92</v>
      </c>
      <c r="B96" s="1">
        <f t="shared" si="57"/>
        <v>48319</v>
      </c>
      <c r="C96" s="60">
        <f>SUM(
   IF(($A$4:$A$184 &lt;= Input!$D$16), M96, 0),
   IF(($A$4:$A$184 &lt;= Input!$E$16), Y96, 0),
   IF(($A$4:$A$184 &lt;= Input!$F$16), AK96, 0),
   IF(($A$4:$A$184 &lt;= Input!$G$16), AW96, 0),
   IF(($A$4:$A$184 &lt;= Input!$H$16), BI96, 0)
)</f>
        <v>21781574.999999996</v>
      </c>
      <c r="D96" s="60">
        <f>SUM(
   IF(($A$4:$A$184 &lt;= Input!$D$16), O96, 0),
   IF(($A$4:$A$184 &lt;= Input!$E$16), AA96, 0),
   IF(($A$4:$A$184 &lt;= Input!$F$16), AM96, 0),
   IF(($A$4:$A$184 &lt;= Input!$G$16), AY96, 0),
   IF(($A$4:$A$184 &lt;= Input!$H$16), BK96, 0)
)</f>
        <v>19603417.499999996</v>
      </c>
      <c r="E96" s="60">
        <f t="shared" si="58"/>
        <v>31</v>
      </c>
      <c r="F96" s="60">
        <f t="shared" si="59"/>
        <v>382289772.5</v>
      </c>
      <c r="G96" s="60">
        <f>ROUND(F96*E96*Input!$C$3/365,0)</f>
        <v>4870267</v>
      </c>
      <c r="H96" s="60">
        <f>IF($A96&lt;=Input!$C$6,0,IF('Unique Tenure'!D96&lt;'Unique Tenure'!F96,'Unique Tenure'!D96-G96,'Unique Tenure'!F96))</f>
        <v>14733150.499999996</v>
      </c>
      <c r="I96" s="60">
        <f t="shared" si="60"/>
        <v>19603417.499999996</v>
      </c>
      <c r="J96" s="60">
        <f t="shared" si="61"/>
        <v>367556622</v>
      </c>
      <c r="K96" s="202">
        <f>J96/Input!$K$5</f>
        <v>1.2251887400000001</v>
      </c>
      <c r="L96" s="232"/>
      <c r="M96" s="60">
        <f>IF($B96&lt;Input!$H$43,IF($B96&lt;Input!$G$43,IF($B96&lt;Input!$F$43,IF($B96&lt;Input!$E$43,IF($B96&lt;Input!$D$43,Input!$C$49,Input!$D$49),Input!$E$49),Input!$F$49),Input!$G$49),Input!$H$49)</f>
        <v>21781574.999999996</v>
      </c>
      <c r="N96" s="190">
        <f>IF($A96&lt;Input!$H$50,IF($A96&lt;Input!$G$50,IF($A96&lt;Input!$F$50,IF($A96&lt;Input!$E$50,IF($A96&lt;Input!$D$50,Input!$C$51,Input!$D$51),Input!$E$51),Input!$F$51),Input!$G$51),Input!$H$51)</f>
        <v>0.9</v>
      </c>
      <c r="O96" s="60">
        <f t="shared" si="36"/>
        <v>19603417.499999996</v>
      </c>
      <c r="P96" s="60">
        <f t="shared" si="37"/>
        <v>31</v>
      </c>
      <c r="Q96" s="60">
        <f t="shared" si="38"/>
        <v>382289772.5</v>
      </c>
      <c r="R96" s="60">
        <f>ROUND(Q96*$P96*Input!$C$3/365,0)</f>
        <v>4870267</v>
      </c>
      <c r="S96" s="60">
        <f>IF(A96&lt;=Input!$C$6,0,IF('Unique Tenure'!O96&lt;'Unique Tenure'!Q96,'Unique Tenure'!O96-R96,'Unique Tenure'!Q96))</f>
        <v>14733150.499999996</v>
      </c>
      <c r="T96" s="60">
        <f t="shared" si="39"/>
        <v>19603417.499999996</v>
      </c>
      <c r="U96" s="60">
        <f t="shared" si="40"/>
        <v>367556622</v>
      </c>
      <c r="V96" s="193"/>
      <c r="W96" s="169">
        <v>92</v>
      </c>
      <c r="X96" s="1">
        <f t="shared" si="62"/>
        <v>48319</v>
      </c>
      <c r="Y96" s="60">
        <f>IF($X96&lt;Input!$H$58,IF($X96&lt;Input!$G$58,IF($X96&lt;Input!$F$58,IF($X96&lt;Input!$E$58,IF($X96&lt;Input!$D$58,Input!$C$64,Input!$D$64),Input!$E$64),Input!$F$64),Input!$G$64),Input!$H$64)</f>
        <v>0</v>
      </c>
      <c r="Z96" s="190">
        <f>IF($A96&lt;Input!$H$65,IF($A96&lt;Input!$G$65,IF($A96&lt;Input!$F$65,IF($A96&lt;Input!$E$65,IF($A96&lt;Input!$D$65,Input!$C$66,Input!$D$66),Input!$E$66),Input!$F$66),Input!$G$66),Input!$H$66)</f>
        <v>0.9</v>
      </c>
      <c r="AA96" s="60">
        <f t="shared" si="41"/>
        <v>0</v>
      </c>
      <c r="AB96" s="60">
        <f t="shared" si="63"/>
        <v>31</v>
      </c>
      <c r="AC96" s="60">
        <f t="shared" si="42"/>
        <v>0</v>
      </c>
      <c r="AD96" s="60">
        <f>ROUND(AC96*AB96*Input!$C$3/365,0)</f>
        <v>0</v>
      </c>
      <c r="AE96" s="61">
        <f>IF($A96&lt;=Input!$C$6,0,IF('Unique Tenure'!AA96&lt;'Unique Tenure'!AC96,'Unique Tenure'!AA96-AD96,'Unique Tenure'!AC96))</f>
        <v>0</v>
      </c>
      <c r="AF96" s="61">
        <f t="shared" si="43"/>
        <v>0</v>
      </c>
      <c r="AG96" s="60">
        <f t="shared" si="44"/>
        <v>0</v>
      </c>
      <c r="AH96" s="193"/>
      <c r="AI96" s="169">
        <v>92</v>
      </c>
      <c r="AJ96" s="1">
        <f t="shared" si="64"/>
        <v>48319</v>
      </c>
      <c r="AK96" s="60">
        <f>IF($X96&lt;Input!$H$73,IF($X96&lt;Input!$G$73,IF($X96&lt;Input!$F$73,IF($X96&lt;Input!$E$73,IF($X96&lt;Input!$D$73,Input!$C$79,Input!$D$79),Input!$E$79),Input!$F$79),Input!$G$79),Input!$H$79)</f>
        <v>0</v>
      </c>
      <c r="AL96" s="190">
        <f>IF($A96&lt;Input!$H$80,IF($A96&lt;Input!$G$80,IF($A96&lt;Input!$F$80,IF($A96&lt;Input!$E$80,IF($A96&lt;Input!$D$80,Input!$C$81,Input!$D$81),Input!$E$81),Input!$F$81),Input!$G$81),Input!$H$81)</f>
        <v>0.9</v>
      </c>
      <c r="AM96" s="60">
        <f t="shared" si="45"/>
        <v>0</v>
      </c>
      <c r="AN96" s="60">
        <f t="shared" si="65"/>
        <v>31</v>
      </c>
      <c r="AO96" s="60">
        <f t="shared" si="46"/>
        <v>0</v>
      </c>
      <c r="AP96" s="60">
        <f>ROUND(AO96*AN96*Input!$C$3/365,0)</f>
        <v>0</v>
      </c>
      <c r="AQ96" s="61">
        <f>IF($A96&lt;=Input!$C$6,0,IF('Unique Tenure'!AM96&lt;'Unique Tenure'!AO96,'Unique Tenure'!AM96-AP96,'Unique Tenure'!AO96))</f>
        <v>0</v>
      </c>
      <c r="AR96" s="61">
        <f t="shared" si="47"/>
        <v>0</v>
      </c>
      <c r="AS96" s="60">
        <f t="shared" si="48"/>
        <v>0</v>
      </c>
      <c r="AT96" s="193"/>
      <c r="AU96" s="169">
        <v>92</v>
      </c>
      <c r="AV96" s="1">
        <f t="shared" si="66"/>
        <v>48319</v>
      </c>
      <c r="AW96" s="60">
        <f>IF($X96&lt;Input!$H$88,IF($X96&lt;Input!$G$88,IF($X96&lt;Input!$F$88,IF($X96&lt;Input!$E$88,IF($X96&lt;Input!$D$88,Input!$C$94,Input!$D$94),Input!$E$94),Input!$F$94),Input!$G$94),Input!$H$94)</f>
        <v>0</v>
      </c>
      <c r="AX96" s="190">
        <f>IF($A96&lt;Input!$H$95,IF($A96&lt;Input!$G$95,IF($A96&lt;Input!$F$95,IF($A96&lt;Input!$E$95,IF($A96&lt;Input!$D$95,Input!$C$96,Input!$D$96),Input!$E$96),Input!$F$96),Input!$G$96),Input!$H$96)</f>
        <v>0.9</v>
      </c>
      <c r="AY96" s="60">
        <f t="shared" si="49"/>
        <v>0</v>
      </c>
      <c r="AZ96" s="60">
        <f t="shared" si="67"/>
        <v>31</v>
      </c>
      <c r="BA96" s="60">
        <f t="shared" si="50"/>
        <v>0</v>
      </c>
      <c r="BB96" s="60">
        <f>ROUND(BA96*AZ96*Input!$C$3/365,0)</f>
        <v>0</v>
      </c>
      <c r="BC96" s="61">
        <f>IF($A96&lt;=Input!$C$6,0,IF('Unique Tenure'!AY96&lt;'Unique Tenure'!BA96,'Unique Tenure'!AY96-BB96,'Unique Tenure'!BA96))</f>
        <v>0</v>
      </c>
      <c r="BD96" s="61">
        <f t="shared" si="51"/>
        <v>0</v>
      </c>
      <c r="BE96" s="60">
        <f t="shared" si="52"/>
        <v>0</v>
      </c>
      <c r="BF96" s="193"/>
      <c r="BG96" s="169">
        <v>92</v>
      </c>
      <c r="BH96" s="1">
        <f t="shared" si="68"/>
        <v>48319</v>
      </c>
      <c r="BI96" s="60">
        <f>IF($X96&lt;Input!$H$103,IF($X96&lt;Input!$G$103,IF($X96&lt;Input!$F$103,IF($X96&lt;Input!$E$103,IF($X96&lt;Input!$D$103,Input!$C$109,Input!$D$109),Input!$E$109),Input!$F$109),Input!$G$109),Input!$H$109)</f>
        <v>0</v>
      </c>
      <c r="BJ96" s="190">
        <f>IF($A96&lt;Input!$H$110,IF($A96&lt;Input!$G$110,IF($A96&lt;Input!$F$110,IF($A96&lt;Input!$E$110,IF($A96&lt;Input!$D$110,Input!$C$111,Input!$D$111),Input!$E$111),Input!$F$111),Input!$G$111),Input!$H$111)</f>
        <v>0.9</v>
      </c>
      <c r="BK96" s="60">
        <f t="shared" si="53"/>
        <v>0</v>
      </c>
      <c r="BL96" s="60">
        <f t="shared" si="69"/>
        <v>31</v>
      </c>
      <c r="BM96" s="60">
        <f t="shared" si="54"/>
        <v>0</v>
      </c>
      <c r="BN96" s="60">
        <f>ROUND(BM96*BL96*Input!$C$3/365,0)</f>
        <v>0</v>
      </c>
      <c r="BO96" s="61">
        <f>IF($A96&lt;=Input!$C$6,0,IF('Unique Tenure'!BK96&lt;'Unique Tenure'!BM96,'Unique Tenure'!BK96-BN96,'Unique Tenure'!BM96))</f>
        <v>0</v>
      </c>
      <c r="BP96" s="61">
        <f t="shared" si="55"/>
        <v>0</v>
      </c>
      <c r="BQ96" s="60">
        <f t="shared" si="56"/>
        <v>0</v>
      </c>
      <c r="BR96" s="198"/>
    </row>
    <row r="97" spans="1:70" s="51" customFormat="1" x14ac:dyDescent="0.25">
      <c r="A97" s="169">
        <v>93</v>
      </c>
      <c r="B97" s="1">
        <f t="shared" si="57"/>
        <v>48349</v>
      </c>
      <c r="C97" s="60">
        <f>SUM(
   IF(($A$4:$A$184 &lt;= Input!$D$16), M97, 0),
   IF(($A$4:$A$184 &lt;= Input!$E$16), Y97, 0),
   IF(($A$4:$A$184 &lt;= Input!$F$16), AK97, 0),
   IF(($A$4:$A$184 &lt;= Input!$G$16), AW97, 0),
   IF(($A$4:$A$184 &lt;= Input!$H$16), BI97, 0)
)</f>
        <v>21781574.999999996</v>
      </c>
      <c r="D97" s="60">
        <f>SUM(
   IF(($A$4:$A$184 &lt;= Input!$D$16), O97, 0),
   IF(($A$4:$A$184 &lt;= Input!$E$16), AA97, 0),
   IF(($A$4:$A$184 &lt;= Input!$F$16), AM97, 0),
   IF(($A$4:$A$184 &lt;= Input!$G$16), AY97, 0),
   IF(($A$4:$A$184 &lt;= Input!$H$16), BK97, 0)
)</f>
        <v>19603417.499999996</v>
      </c>
      <c r="E97" s="60">
        <f t="shared" si="58"/>
        <v>30</v>
      </c>
      <c r="F97" s="60">
        <f t="shared" si="59"/>
        <v>367556622</v>
      </c>
      <c r="G97" s="60">
        <f>ROUND(F97*E97*Input!$C$3/365,0)</f>
        <v>4531520</v>
      </c>
      <c r="H97" s="60">
        <f>IF($A97&lt;=Input!$C$6,0,IF('Unique Tenure'!D97&lt;'Unique Tenure'!F97,'Unique Tenure'!D97-G97,'Unique Tenure'!F97))</f>
        <v>15071897.499999996</v>
      </c>
      <c r="I97" s="60">
        <f t="shared" si="60"/>
        <v>19603417.499999996</v>
      </c>
      <c r="J97" s="60">
        <f t="shared" si="61"/>
        <v>352484724.5</v>
      </c>
      <c r="K97" s="202">
        <f>J97/Input!$K$5</f>
        <v>1.1749490816666666</v>
      </c>
      <c r="L97" s="232"/>
      <c r="M97" s="60">
        <f>IF($B97&lt;Input!$H$43,IF($B97&lt;Input!$G$43,IF($B97&lt;Input!$F$43,IF($B97&lt;Input!$E$43,IF($B97&lt;Input!$D$43,Input!$C$49,Input!$D$49),Input!$E$49),Input!$F$49),Input!$G$49),Input!$H$49)</f>
        <v>21781574.999999996</v>
      </c>
      <c r="N97" s="190">
        <f>IF($A97&lt;Input!$H$50,IF($A97&lt;Input!$G$50,IF($A97&lt;Input!$F$50,IF($A97&lt;Input!$E$50,IF($A97&lt;Input!$D$50,Input!$C$51,Input!$D$51),Input!$E$51),Input!$F$51),Input!$G$51),Input!$H$51)</f>
        <v>0.9</v>
      </c>
      <c r="O97" s="60">
        <f t="shared" si="36"/>
        <v>19603417.499999996</v>
      </c>
      <c r="P97" s="60">
        <f t="shared" si="37"/>
        <v>30</v>
      </c>
      <c r="Q97" s="60">
        <f t="shared" si="38"/>
        <v>367556622</v>
      </c>
      <c r="R97" s="60">
        <f>ROUND(Q97*$P97*Input!$C$3/365,0)</f>
        <v>4531520</v>
      </c>
      <c r="S97" s="60">
        <f>IF(A97&lt;=Input!$C$6,0,IF('Unique Tenure'!O97&lt;'Unique Tenure'!Q97,'Unique Tenure'!O97-R97,'Unique Tenure'!Q97))</f>
        <v>15071897.499999996</v>
      </c>
      <c r="T97" s="60">
        <f t="shared" si="39"/>
        <v>19603417.499999996</v>
      </c>
      <c r="U97" s="60">
        <f t="shared" si="40"/>
        <v>352484724.5</v>
      </c>
      <c r="V97" s="193"/>
      <c r="W97" s="169">
        <v>93</v>
      </c>
      <c r="X97" s="1">
        <f t="shared" si="62"/>
        <v>48349</v>
      </c>
      <c r="Y97" s="60">
        <f>IF($X97&lt;Input!$H$58,IF($X97&lt;Input!$G$58,IF($X97&lt;Input!$F$58,IF($X97&lt;Input!$E$58,IF($X97&lt;Input!$D$58,Input!$C$64,Input!$D$64),Input!$E$64),Input!$F$64),Input!$G$64),Input!$H$64)</f>
        <v>0</v>
      </c>
      <c r="Z97" s="190">
        <f>IF($A97&lt;Input!$H$65,IF($A97&lt;Input!$G$65,IF($A97&lt;Input!$F$65,IF($A97&lt;Input!$E$65,IF($A97&lt;Input!$D$65,Input!$C$66,Input!$D$66),Input!$E$66),Input!$F$66),Input!$G$66),Input!$H$66)</f>
        <v>0.9</v>
      </c>
      <c r="AA97" s="60">
        <f t="shared" si="41"/>
        <v>0</v>
      </c>
      <c r="AB97" s="60">
        <f t="shared" si="63"/>
        <v>30</v>
      </c>
      <c r="AC97" s="60">
        <f t="shared" si="42"/>
        <v>0</v>
      </c>
      <c r="AD97" s="60">
        <f>ROUND(AC97*AB97*Input!$C$3/365,0)</f>
        <v>0</v>
      </c>
      <c r="AE97" s="61">
        <f>IF($A97&lt;=Input!$C$6,0,IF('Unique Tenure'!AA97&lt;'Unique Tenure'!AC97,'Unique Tenure'!AA97-AD97,'Unique Tenure'!AC97))</f>
        <v>0</v>
      </c>
      <c r="AF97" s="61">
        <f t="shared" si="43"/>
        <v>0</v>
      </c>
      <c r="AG97" s="60">
        <f t="shared" si="44"/>
        <v>0</v>
      </c>
      <c r="AH97" s="193"/>
      <c r="AI97" s="169">
        <v>93</v>
      </c>
      <c r="AJ97" s="1">
        <f t="shared" si="64"/>
        <v>48349</v>
      </c>
      <c r="AK97" s="60">
        <f>IF($X97&lt;Input!$H$73,IF($X97&lt;Input!$G$73,IF($X97&lt;Input!$F$73,IF($X97&lt;Input!$E$73,IF($X97&lt;Input!$D$73,Input!$C$79,Input!$D$79),Input!$E$79),Input!$F$79),Input!$G$79),Input!$H$79)</f>
        <v>0</v>
      </c>
      <c r="AL97" s="190">
        <f>IF($A97&lt;Input!$H$80,IF($A97&lt;Input!$G$80,IF($A97&lt;Input!$F$80,IF($A97&lt;Input!$E$80,IF($A97&lt;Input!$D$80,Input!$C$81,Input!$D$81),Input!$E$81),Input!$F$81),Input!$G$81),Input!$H$81)</f>
        <v>0.9</v>
      </c>
      <c r="AM97" s="60">
        <f t="shared" si="45"/>
        <v>0</v>
      </c>
      <c r="AN97" s="60">
        <f t="shared" si="65"/>
        <v>30</v>
      </c>
      <c r="AO97" s="60">
        <f t="shared" si="46"/>
        <v>0</v>
      </c>
      <c r="AP97" s="60">
        <f>ROUND(AO97*AN97*Input!$C$3/365,0)</f>
        <v>0</v>
      </c>
      <c r="AQ97" s="61">
        <f>IF($A97&lt;=Input!$C$6,0,IF('Unique Tenure'!AM97&lt;'Unique Tenure'!AO97,'Unique Tenure'!AM97-AP97,'Unique Tenure'!AO97))</f>
        <v>0</v>
      </c>
      <c r="AR97" s="61">
        <f t="shared" si="47"/>
        <v>0</v>
      </c>
      <c r="AS97" s="60">
        <f t="shared" si="48"/>
        <v>0</v>
      </c>
      <c r="AT97" s="193"/>
      <c r="AU97" s="169">
        <v>93</v>
      </c>
      <c r="AV97" s="1">
        <f t="shared" si="66"/>
        <v>48349</v>
      </c>
      <c r="AW97" s="60">
        <f>IF($X97&lt;Input!$H$88,IF($X97&lt;Input!$G$88,IF($X97&lt;Input!$F$88,IF($X97&lt;Input!$E$88,IF($X97&lt;Input!$D$88,Input!$C$94,Input!$D$94),Input!$E$94),Input!$F$94),Input!$G$94),Input!$H$94)</f>
        <v>0</v>
      </c>
      <c r="AX97" s="190">
        <f>IF($A97&lt;Input!$H$95,IF($A97&lt;Input!$G$95,IF($A97&lt;Input!$F$95,IF($A97&lt;Input!$E$95,IF($A97&lt;Input!$D$95,Input!$C$96,Input!$D$96),Input!$E$96),Input!$F$96),Input!$G$96),Input!$H$96)</f>
        <v>0.9</v>
      </c>
      <c r="AY97" s="60">
        <f t="shared" si="49"/>
        <v>0</v>
      </c>
      <c r="AZ97" s="60">
        <f t="shared" si="67"/>
        <v>30</v>
      </c>
      <c r="BA97" s="60">
        <f t="shared" si="50"/>
        <v>0</v>
      </c>
      <c r="BB97" s="60">
        <f>ROUND(BA97*AZ97*Input!$C$3/365,0)</f>
        <v>0</v>
      </c>
      <c r="BC97" s="61">
        <f>IF($A97&lt;=Input!$C$6,0,IF('Unique Tenure'!AY97&lt;'Unique Tenure'!BA97,'Unique Tenure'!AY97-BB97,'Unique Tenure'!BA97))</f>
        <v>0</v>
      </c>
      <c r="BD97" s="61">
        <f t="shared" si="51"/>
        <v>0</v>
      </c>
      <c r="BE97" s="60">
        <f t="shared" si="52"/>
        <v>0</v>
      </c>
      <c r="BF97" s="193"/>
      <c r="BG97" s="169">
        <v>93</v>
      </c>
      <c r="BH97" s="1">
        <f t="shared" si="68"/>
        <v>48349</v>
      </c>
      <c r="BI97" s="60">
        <f>IF($X97&lt;Input!$H$103,IF($X97&lt;Input!$G$103,IF($X97&lt;Input!$F$103,IF($X97&lt;Input!$E$103,IF($X97&lt;Input!$D$103,Input!$C$109,Input!$D$109),Input!$E$109),Input!$F$109),Input!$G$109),Input!$H$109)</f>
        <v>0</v>
      </c>
      <c r="BJ97" s="190">
        <f>IF($A97&lt;Input!$H$110,IF($A97&lt;Input!$G$110,IF($A97&lt;Input!$F$110,IF($A97&lt;Input!$E$110,IF($A97&lt;Input!$D$110,Input!$C$111,Input!$D$111),Input!$E$111),Input!$F$111),Input!$G$111),Input!$H$111)</f>
        <v>0.9</v>
      </c>
      <c r="BK97" s="60">
        <f t="shared" si="53"/>
        <v>0</v>
      </c>
      <c r="BL97" s="60">
        <f t="shared" si="69"/>
        <v>30</v>
      </c>
      <c r="BM97" s="60">
        <f t="shared" si="54"/>
        <v>0</v>
      </c>
      <c r="BN97" s="60">
        <f>ROUND(BM97*BL97*Input!$C$3/365,0)</f>
        <v>0</v>
      </c>
      <c r="BO97" s="61">
        <f>IF($A97&lt;=Input!$C$6,0,IF('Unique Tenure'!BK97&lt;'Unique Tenure'!BM97,'Unique Tenure'!BK97-BN97,'Unique Tenure'!BM97))</f>
        <v>0</v>
      </c>
      <c r="BP97" s="61">
        <f t="shared" si="55"/>
        <v>0</v>
      </c>
      <c r="BQ97" s="60">
        <f t="shared" si="56"/>
        <v>0</v>
      </c>
      <c r="BR97" s="198"/>
    </row>
    <row r="98" spans="1:70" s="51" customFormat="1" x14ac:dyDescent="0.25">
      <c r="A98" s="169">
        <v>94</v>
      </c>
      <c r="B98" s="1">
        <f t="shared" si="57"/>
        <v>48380</v>
      </c>
      <c r="C98" s="60">
        <f>SUM(
   IF(($A$4:$A$184 &lt;= Input!$D$16), M98, 0),
   IF(($A$4:$A$184 &lt;= Input!$E$16), Y98, 0),
   IF(($A$4:$A$184 &lt;= Input!$F$16), AK98, 0),
   IF(($A$4:$A$184 &lt;= Input!$G$16), AW98, 0),
   IF(($A$4:$A$184 &lt;= Input!$H$16), BI98, 0)
)</f>
        <v>21781574.999999996</v>
      </c>
      <c r="D98" s="60">
        <f>SUM(
   IF(($A$4:$A$184 &lt;= Input!$D$16), O98, 0),
   IF(($A$4:$A$184 &lt;= Input!$E$16), AA98, 0),
   IF(($A$4:$A$184 &lt;= Input!$F$16), AM98, 0),
   IF(($A$4:$A$184 &lt;= Input!$G$16), AY98, 0),
   IF(($A$4:$A$184 &lt;= Input!$H$16), BK98, 0)
)</f>
        <v>19603417.499999996</v>
      </c>
      <c r="E98" s="60">
        <f t="shared" si="58"/>
        <v>31</v>
      </c>
      <c r="F98" s="60">
        <f t="shared" si="59"/>
        <v>352484724.5</v>
      </c>
      <c r="G98" s="60">
        <f>ROUND(F98*E98*Input!$C$3/365,0)</f>
        <v>4490559</v>
      </c>
      <c r="H98" s="60">
        <f>IF($A98&lt;=Input!$C$6,0,IF('Unique Tenure'!D98&lt;'Unique Tenure'!F98,'Unique Tenure'!D98-G98,'Unique Tenure'!F98))</f>
        <v>15112858.499999996</v>
      </c>
      <c r="I98" s="60">
        <f t="shared" si="60"/>
        <v>19603417.499999996</v>
      </c>
      <c r="J98" s="60">
        <f t="shared" si="61"/>
        <v>337371866</v>
      </c>
      <c r="K98" s="202">
        <f>J98/Input!$K$5</f>
        <v>1.1245728866666667</v>
      </c>
      <c r="L98" s="232"/>
      <c r="M98" s="60">
        <f>IF($B98&lt;Input!$H$43,IF($B98&lt;Input!$G$43,IF($B98&lt;Input!$F$43,IF($B98&lt;Input!$E$43,IF($B98&lt;Input!$D$43,Input!$C$49,Input!$D$49),Input!$E$49),Input!$F$49),Input!$G$49),Input!$H$49)</f>
        <v>21781574.999999996</v>
      </c>
      <c r="N98" s="190">
        <f>IF($A98&lt;Input!$H$50,IF($A98&lt;Input!$G$50,IF($A98&lt;Input!$F$50,IF($A98&lt;Input!$E$50,IF($A98&lt;Input!$D$50,Input!$C$51,Input!$D$51),Input!$E$51),Input!$F$51),Input!$G$51),Input!$H$51)</f>
        <v>0.9</v>
      </c>
      <c r="O98" s="60">
        <f t="shared" si="36"/>
        <v>19603417.499999996</v>
      </c>
      <c r="P98" s="60">
        <f t="shared" si="37"/>
        <v>31</v>
      </c>
      <c r="Q98" s="60">
        <f t="shared" si="38"/>
        <v>352484724.5</v>
      </c>
      <c r="R98" s="60">
        <f>ROUND(Q98*$P98*Input!$C$3/365,0)</f>
        <v>4490559</v>
      </c>
      <c r="S98" s="60">
        <f>IF(A98&lt;=Input!$C$6,0,IF('Unique Tenure'!O98&lt;'Unique Tenure'!Q98,'Unique Tenure'!O98-R98,'Unique Tenure'!Q98))</f>
        <v>15112858.499999996</v>
      </c>
      <c r="T98" s="60">
        <f t="shared" si="39"/>
        <v>19603417.499999996</v>
      </c>
      <c r="U98" s="60">
        <f t="shared" si="40"/>
        <v>337371866</v>
      </c>
      <c r="V98" s="193"/>
      <c r="W98" s="169">
        <v>94</v>
      </c>
      <c r="X98" s="1">
        <f t="shared" si="62"/>
        <v>48380</v>
      </c>
      <c r="Y98" s="60">
        <f>IF($X98&lt;Input!$H$58,IF($X98&lt;Input!$G$58,IF($X98&lt;Input!$F$58,IF($X98&lt;Input!$E$58,IF($X98&lt;Input!$D$58,Input!$C$64,Input!$D$64),Input!$E$64),Input!$F$64),Input!$G$64),Input!$H$64)</f>
        <v>0</v>
      </c>
      <c r="Z98" s="190">
        <f>IF($A98&lt;Input!$H$65,IF($A98&lt;Input!$G$65,IF($A98&lt;Input!$F$65,IF($A98&lt;Input!$E$65,IF($A98&lt;Input!$D$65,Input!$C$66,Input!$D$66),Input!$E$66),Input!$F$66),Input!$G$66),Input!$H$66)</f>
        <v>0.9</v>
      </c>
      <c r="AA98" s="60">
        <f t="shared" si="41"/>
        <v>0</v>
      </c>
      <c r="AB98" s="60">
        <f t="shared" si="63"/>
        <v>31</v>
      </c>
      <c r="AC98" s="60">
        <f t="shared" si="42"/>
        <v>0</v>
      </c>
      <c r="AD98" s="60">
        <f>ROUND(AC98*AB98*Input!$C$3/365,0)</f>
        <v>0</v>
      </c>
      <c r="AE98" s="61">
        <f>IF($A98&lt;=Input!$C$6,0,IF('Unique Tenure'!AA98&lt;'Unique Tenure'!AC98,'Unique Tenure'!AA98-AD98,'Unique Tenure'!AC98))</f>
        <v>0</v>
      </c>
      <c r="AF98" s="61">
        <f t="shared" si="43"/>
        <v>0</v>
      </c>
      <c r="AG98" s="60">
        <f t="shared" si="44"/>
        <v>0</v>
      </c>
      <c r="AH98" s="193"/>
      <c r="AI98" s="169">
        <v>94</v>
      </c>
      <c r="AJ98" s="1">
        <f t="shared" si="64"/>
        <v>48380</v>
      </c>
      <c r="AK98" s="60">
        <f>IF($X98&lt;Input!$H$73,IF($X98&lt;Input!$G$73,IF($X98&lt;Input!$F$73,IF($X98&lt;Input!$E$73,IF($X98&lt;Input!$D$73,Input!$C$79,Input!$D$79),Input!$E$79),Input!$F$79),Input!$G$79),Input!$H$79)</f>
        <v>0</v>
      </c>
      <c r="AL98" s="190">
        <f>IF($A98&lt;Input!$H$80,IF($A98&lt;Input!$G$80,IF($A98&lt;Input!$F$80,IF($A98&lt;Input!$E$80,IF($A98&lt;Input!$D$80,Input!$C$81,Input!$D$81),Input!$E$81),Input!$F$81),Input!$G$81),Input!$H$81)</f>
        <v>0.9</v>
      </c>
      <c r="AM98" s="60">
        <f t="shared" si="45"/>
        <v>0</v>
      </c>
      <c r="AN98" s="60">
        <f t="shared" si="65"/>
        <v>31</v>
      </c>
      <c r="AO98" s="60">
        <f t="shared" si="46"/>
        <v>0</v>
      </c>
      <c r="AP98" s="60">
        <f>ROUND(AO98*AN98*Input!$C$3/365,0)</f>
        <v>0</v>
      </c>
      <c r="AQ98" s="61">
        <f>IF($A98&lt;=Input!$C$6,0,IF('Unique Tenure'!AM98&lt;'Unique Tenure'!AO98,'Unique Tenure'!AM98-AP98,'Unique Tenure'!AO98))</f>
        <v>0</v>
      </c>
      <c r="AR98" s="61">
        <f t="shared" si="47"/>
        <v>0</v>
      </c>
      <c r="AS98" s="60">
        <f t="shared" si="48"/>
        <v>0</v>
      </c>
      <c r="AT98" s="193"/>
      <c r="AU98" s="169">
        <v>94</v>
      </c>
      <c r="AV98" s="1">
        <f t="shared" si="66"/>
        <v>48380</v>
      </c>
      <c r="AW98" s="60">
        <f>IF($X98&lt;Input!$H$88,IF($X98&lt;Input!$G$88,IF($X98&lt;Input!$F$88,IF($X98&lt;Input!$E$88,IF($X98&lt;Input!$D$88,Input!$C$94,Input!$D$94),Input!$E$94),Input!$F$94),Input!$G$94),Input!$H$94)</f>
        <v>0</v>
      </c>
      <c r="AX98" s="190">
        <f>IF($A98&lt;Input!$H$95,IF($A98&lt;Input!$G$95,IF($A98&lt;Input!$F$95,IF($A98&lt;Input!$E$95,IF($A98&lt;Input!$D$95,Input!$C$96,Input!$D$96),Input!$E$96),Input!$F$96),Input!$G$96),Input!$H$96)</f>
        <v>0.9</v>
      </c>
      <c r="AY98" s="60">
        <f t="shared" si="49"/>
        <v>0</v>
      </c>
      <c r="AZ98" s="60">
        <f t="shared" si="67"/>
        <v>31</v>
      </c>
      <c r="BA98" s="60">
        <f t="shared" si="50"/>
        <v>0</v>
      </c>
      <c r="BB98" s="60">
        <f>ROUND(BA98*AZ98*Input!$C$3/365,0)</f>
        <v>0</v>
      </c>
      <c r="BC98" s="61">
        <f>IF($A98&lt;=Input!$C$6,0,IF('Unique Tenure'!AY98&lt;'Unique Tenure'!BA98,'Unique Tenure'!AY98-BB98,'Unique Tenure'!BA98))</f>
        <v>0</v>
      </c>
      <c r="BD98" s="61">
        <f t="shared" si="51"/>
        <v>0</v>
      </c>
      <c r="BE98" s="60">
        <f t="shared" si="52"/>
        <v>0</v>
      </c>
      <c r="BF98" s="193"/>
      <c r="BG98" s="169">
        <v>94</v>
      </c>
      <c r="BH98" s="1">
        <f t="shared" si="68"/>
        <v>48380</v>
      </c>
      <c r="BI98" s="60">
        <f>IF($X98&lt;Input!$H$103,IF($X98&lt;Input!$G$103,IF($X98&lt;Input!$F$103,IF($X98&lt;Input!$E$103,IF($X98&lt;Input!$D$103,Input!$C$109,Input!$D$109),Input!$E$109),Input!$F$109),Input!$G$109),Input!$H$109)</f>
        <v>0</v>
      </c>
      <c r="BJ98" s="190">
        <f>IF($A98&lt;Input!$H$110,IF($A98&lt;Input!$G$110,IF($A98&lt;Input!$F$110,IF($A98&lt;Input!$E$110,IF($A98&lt;Input!$D$110,Input!$C$111,Input!$D$111),Input!$E$111),Input!$F$111),Input!$G$111),Input!$H$111)</f>
        <v>0.9</v>
      </c>
      <c r="BK98" s="60">
        <f t="shared" si="53"/>
        <v>0</v>
      </c>
      <c r="BL98" s="60">
        <f t="shared" si="69"/>
        <v>31</v>
      </c>
      <c r="BM98" s="60">
        <f t="shared" si="54"/>
        <v>0</v>
      </c>
      <c r="BN98" s="60">
        <f>ROUND(BM98*BL98*Input!$C$3/365,0)</f>
        <v>0</v>
      </c>
      <c r="BO98" s="61">
        <f>IF($A98&lt;=Input!$C$6,0,IF('Unique Tenure'!BK98&lt;'Unique Tenure'!BM98,'Unique Tenure'!BK98-BN98,'Unique Tenure'!BM98))</f>
        <v>0</v>
      </c>
      <c r="BP98" s="61">
        <f t="shared" si="55"/>
        <v>0</v>
      </c>
      <c r="BQ98" s="60">
        <f t="shared" si="56"/>
        <v>0</v>
      </c>
      <c r="BR98" s="198"/>
    </row>
    <row r="99" spans="1:70" s="51" customFormat="1" x14ac:dyDescent="0.25">
      <c r="A99" s="169">
        <v>95</v>
      </c>
      <c r="B99" s="1">
        <f t="shared" si="57"/>
        <v>48410</v>
      </c>
      <c r="C99" s="60">
        <f>SUM(
   IF(($A$4:$A$184 &lt;= Input!$D$16), M99, 0),
   IF(($A$4:$A$184 &lt;= Input!$E$16), Y99, 0),
   IF(($A$4:$A$184 &lt;= Input!$F$16), AK99, 0),
   IF(($A$4:$A$184 &lt;= Input!$G$16), AW99, 0),
   IF(($A$4:$A$184 &lt;= Input!$H$16), BI99, 0)
)</f>
        <v>21781574.999999996</v>
      </c>
      <c r="D99" s="60">
        <f>SUM(
   IF(($A$4:$A$184 &lt;= Input!$D$16), O99, 0),
   IF(($A$4:$A$184 &lt;= Input!$E$16), AA99, 0),
   IF(($A$4:$A$184 &lt;= Input!$F$16), AM99, 0),
   IF(($A$4:$A$184 &lt;= Input!$G$16), AY99, 0),
   IF(($A$4:$A$184 &lt;= Input!$H$16), BK99, 0)
)</f>
        <v>19603417.499999996</v>
      </c>
      <c r="E99" s="60">
        <f t="shared" si="58"/>
        <v>30</v>
      </c>
      <c r="F99" s="60">
        <f t="shared" si="59"/>
        <v>337371866</v>
      </c>
      <c r="G99" s="60">
        <f>ROUND(F99*E99*Input!$C$3/365,0)</f>
        <v>4159379</v>
      </c>
      <c r="H99" s="60">
        <f>IF($A99&lt;=Input!$C$6,0,IF('Unique Tenure'!D99&lt;'Unique Tenure'!F99,'Unique Tenure'!D99-G99,'Unique Tenure'!F99))</f>
        <v>15444038.499999996</v>
      </c>
      <c r="I99" s="60">
        <f t="shared" si="60"/>
        <v>19603417.499999996</v>
      </c>
      <c r="J99" s="60">
        <f t="shared" si="61"/>
        <v>321927827.5</v>
      </c>
      <c r="K99" s="202">
        <f>J99/Input!$K$5</f>
        <v>1.0730927583333334</v>
      </c>
      <c r="L99" s="232"/>
      <c r="M99" s="60">
        <f>IF($B99&lt;Input!$H$43,IF($B99&lt;Input!$G$43,IF($B99&lt;Input!$F$43,IF($B99&lt;Input!$E$43,IF($B99&lt;Input!$D$43,Input!$C$49,Input!$D$49),Input!$E$49),Input!$F$49),Input!$G$49),Input!$H$49)</f>
        <v>21781574.999999996</v>
      </c>
      <c r="N99" s="190">
        <f>IF($A99&lt;Input!$H$50,IF($A99&lt;Input!$G$50,IF($A99&lt;Input!$F$50,IF($A99&lt;Input!$E$50,IF($A99&lt;Input!$D$50,Input!$C$51,Input!$D$51),Input!$E$51),Input!$F$51),Input!$G$51),Input!$H$51)</f>
        <v>0.9</v>
      </c>
      <c r="O99" s="60">
        <f t="shared" si="36"/>
        <v>19603417.499999996</v>
      </c>
      <c r="P99" s="60">
        <f t="shared" si="37"/>
        <v>30</v>
      </c>
      <c r="Q99" s="60">
        <f t="shared" si="38"/>
        <v>337371866</v>
      </c>
      <c r="R99" s="60">
        <f>ROUND(Q99*$P99*Input!$C$3/365,0)</f>
        <v>4159379</v>
      </c>
      <c r="S99" s="60">
        <f>IF(A99&lt;=Input!$C$6,0,IF('Unique Tenure'!O99&lt;'Unique Tenure'!Q99,'Unique Tenure'!O99-R99,'Unique Tenure'!Q99))</f>
        <v>15444038.499999996</v>
      </c>
      <c r="T99" s="60">
        <f t="shared" si="39"/>
        <v>19603417.499999996</v>
      </c>
      <c r="U99" s="60">
        <f t="shared" si="40"/>
        <v>321927827.5</v>
      </c>
      <c r="V99" s="193"/>
      <c r="W99" s="169">
        <v>95</v>
      </c>
      <c r="X99" s="1">
        <f t="shared" si="62"/>
        <v>48410</v>
      </c>
      <c r="Y99" s="60">
        <f>IF($X99&lt;Input!$H$58,IF($X99&lt;Input!$G$58,IF($X99&lt;Input!$F$58,IF($X99&lt;Input!$E$58,IF($X99&lt;Input!$D$58,Input!$C$64,Input!$D$64),Input!$E$64),Input!$F$64),Input!$G$64),Input!$H$64)</f>
        <v>0</v>
      </c>
      <c r="Z99" s="190">
        <f>IF($A99&lt;Input!$H$65,IF($A99&lt;Input!$G$65,IF($A99&lt;Input!$F$65,IF($A99&lt;Input!$E$65,IF($A99&lt;Input!$D$65,Input!$C$66,Input!$D$66),Input!$E$66),Input!$F$66),Input!$G$66),Input!$H$66)</f>
        <v>0.9</v>
      </c>
      <c r="AA99" s="60">
        <f t="shared" si="41"/>
        <v>0</v>
      </c>
      <c r="AB99" s="60">
        <f t="shared" si="63"/>
        <v>30</v>
      </c>
      <c r="AC99" s="60">
        <f t="shared" si="42"/>
        <v>0</v>
      </c>
      <c r="AD99" s="60">
        <f>ROUND(AC99*AB99*Input!$C$3/365,0)</f>
        <v>0</v>
      </c>
      <c r="AE99" s="61">
        <f>IF($A99&lt;=Input!$C$6,0,IF('Unique Tenure'!AA99&lt;'Unique Tenure'!AC99,'Unique Tenure'!AA99-AD99,'Unique Tenure'!AC99))</f>
        <v>0</v>
      </c>
      <c r="AF99" s="61">
        <f t="shared" si="43"/>
        <v>0</v>
      </c>
      <c r="AG99" s="60">
        <f t="shared" si="44"/>
        <v>0</v>
      </c>
      <c r="AH99" s="193"/>
      <c r="AI99" s="169">
        <v>95</v>
      </c>
      <c r="AJ99" s="1">
        <f t="shared" si="64"/>
        <v>48410</v>
      </c>
      <c r="AK99" s="60">
        <f>IF($X99&lt;Input!$H$73,IF($X99&lt;Input!$G$73,IF($X99&lt;Input!$F$73,IF($X99&lt;Input!$E$73,IF($X99&lt;Input!$D$73,Input!$C$79,Input!$D$79),Input!$E$79),Input!$F$79),Input!$G$79),Input!$H$79)</f>
        <v>0</v>
      </c>
      <c r="AL99" s="190">
        <f>IF($A99&lt;Input!$H$80,IF($A99&lt;Input!$G$80,IF($A99&lt;Input!$F$80,IF($A99&lt;Input!$E$80,IF($A99&lt;Input!$D$80,Input!$C$81,Input!$D$81),Input!$E$81),Input!$F$81),Input!$G$81),Input!$H$81)</f>
        <v>0.9</v>
      </c>
      <c r="AM99" s="60">
        <f t="shared" si="45"/>
        <v>0</v>
      </c>
      <c r="AN99" s="60">
        <f t="shared" si="65"/>
        <v>30</v>
      </c>
      <c r="AO99" s="60">
        <f t="shared" si="46"/>
        <v>0</v>
      </c>
      <c r="AP99" s="60">
        <f>ROUND(AO99*AN99*Input!$C$3/365,0)</f>
        <v>0</v>
      </c>
      <c r="AQ99" s="61">
        <f>IF($A99&lt;=Input!$C$6,0,IF('Unique Tenure'!AM99&lt;'Unique Tenure'!AO99,'Unique Tenure'!AM99-AP99,'Unique Tenure'!AO99))</f>
        <v>0</v>
      </c>
      <c r="AR99" s="61">
        <f t="shared" si="47"/>
        <v>0</v>
      </c>
      <c r="AS99" s="60">
        <f t="shared" si="48"/>
        <v>0</v>
      </c>
      <c r="AT99" s="193"/>
      <c r="AU99" s="169">
        <v>95</v>
      </c>
      <c r="AV99" s="1">
        <f t="shared" si="66"/>
        <v>48410</v>
      </c>
      <c r="AW99" s="60">
        <f>IF($X99&lt;Input!$H$88,IF($X99&lt;Input!$G$88,IF($X99&lt;Input!$F$88,IF($X99&lt;Input!$E$88,IF($X99&lt;Input!$D$88,Input!$C$94,Input!$D$94),Input!$E$94),Input!$F$94),Input!$G$94),Input!$H$94)</f>
        <v>0</v>
      </c>
      <c r="AX99" s="190">
        <f>IF($A99&lt;Input!$H$95,IF($A99&lt;Input!$G$95,IF($A99&lt;Input!$F$95,IF($A99&lt;Input!$E$95,IF($A99&lt;Input!$D$95,Input!$C$96,Input!$D$96),Input!$E$96),Input!$F$96),Input!$G$96),Input!$H$96)</f>
        <v>0.9</v>
      </c>
      <c r="AY99" s="60">
        <f t="shared" si="49"/>
        <v>0</v>
      </c>
      <c r="AZ99" s="60">
        <f t="shared" si="67"/>
        <v>30</v>
      </c>
      <c r="BA99" s="60">
        <f t="shared" si="50"/>
        <v>0</v>
      </c>
      <c r="BB99" s="60">
        <f>ROUND(BA99*AZ99*Input!$C$3/365,0)</f>
        <v>0</v>
      </c>
      <c r="BC99" s="61">
        <f>IF($A99&lt;=Input!$C$6,0,IF('Unique Tenure'!AY99&lt;'Unique Tenure'!BA99,'Unique Tenure'!AY99-BB99,'Unique Tenure'!BA99))</f>
        <v>0</v>
      </c>
      <c r="BD99" s="61">
        <f t="shared" si="51"/>
        <v>0</v>
      </c>
      <c r="BE99" s="60">
        <f t="shared" si="52"/>
        <v>0</v>
      </c>
      <c r="BF99" s="193"/>
      <c r="BG99" s="169">
        <v>95</v>
      </c>
      <c r="BH99" s="1">
        <f t="shared" si="68"/>
        <v>48410</v>
      </c>
      <c r="BI99" s="60">
        <f>IF($X99&lt;Input!$H$103,IF($X99&lt;Input!$G$103,IF($X99&lt;Input!$F$103,IF($X99&lt;Input!$E$103,IF($X99&lt;Input!$D$103,Input!$C$109,Input!$D$109),Input!$E$109),Input!$F$109),Input!$G$109),Input!$H$109)</f>
        <v>0</v>
      </c>
      <c r="BJ99" s="190">
        <f>IF($A99&lt;Input!$H$110,IF($A99&lt;Input!$G$110,IF($A99&lt;Input!$F$110,IF($A99&lt;Input!$E$110,IF($A99&lt;Input!$D$110,Input!$C$111,Input!$D$111),Input!$E$111),Input!$F$111),Input!$G$111),Input!$H$111)</f>
        <v>0.9</v>
      </c>
      <c r="BK99" s="60">
        <f t="shared" si="53"/>
        <v>0</v>
      </c>
      <c r="BL99" s="60">
        <f t="shared" si="69"/>
        <v>30</v>
      </c>
      <c r="BM99" s="60">
        <f t="shared" si="54"/>
        <v>0</v>
      </c>
      <c r="BN99" s="60">
        <f>ROUND(BM99*BL99*Input!$C$3/365,0)</f>
        <v>0</v>
      </c>
      <c r="BO99" s="61">
        <f>IF($A99&lt;=Input!$C$6,0,IF('Unique Tenure'!BK99&lt;'Unique Tenure'!BM99,'Unique Tenure'!BK99-BN99,'Unique Tenure'!BM99))</f>
        <v>0</v>
      </c>
      <c r="BP99" s="61">
        <f t="shared" si="55"/>
        <v>0</v>
      </c>
      <c r="BQ99" s="60">
        <f t="shared" si="56"/>
        <v>0</v>
      </c>
      <c r="BR99" s="198"/>
    </row>
    <row r="100" spans="1:70" s="51" customFormat="1" x14ac:dyDescent="0.25">
      <c r="A100" s="169">
        <v>96</v>
      </c>
      <c r="B100" s="1">
        <f t="shared" si="57"/>
        <v>48441</v>
      </c>
      <c r="C100" s="60">
        <f>SUM(
   IF(($A$4:$A$184 &lt;= Input!$D$16), M100, 0),
   IF(($A$4:$A$184 &lt;= Input!$E$16), Y100, 0),
   IF(($A$4:$A$184 &lt;= Input!$F$16), AK100, 0),
   IF(($A$4:$A$184 &lt;= Input!$G$16), AW100, 0),
   IF(($A$4:$A$184 &lt;= Input!$H$16), BI100, 0)
)</f>
        <v>21781574.999999996</v>
      </c>
      <c r="D100" s="60">
        <f>SUM(
   IF(($A$4:$A$184 &lt;= Input!$D$16), O100, 0),
   IF(($A$4:$A$184 &lt;= Input!$E$16), AA100, 0),
   IF(($A$4:$A$184 &lt;= Input!$F$16), AM100, 0),
   IF(($A$4:$A$184 &lt;= Input!$G$16), AY100, 0),
   IF(($A$4:$A$184 &lt;= Input!$H$16), BK100, 0)
)</f>
        <v>19603417.499999996</v>
      </c>
      <c r="E100" s="60">
        <f t="shared" si="58"/>
        <v>31</v>
      </c>
      <c r="F100" s="60">
        <f t="shared" si="59"/>
        <v>321927827.5</v>
      </c>
      <c r="G100" s="60">
        <f>ROUND(F100*E100*Input!$C$3/365,0)</f>
        <v>4101272</v>
      </c>
      <c r="H100" s="60">
        <f>IF($A100&lt;=Input!$C$6,0,IF('Unique Tenure'!D100&lt;'Unique Tenure'!F100,'Unique Tenure'!D100-G100,'Unique Tenure'!F100))</f>
        <v>15502145.499999996</v>
      </c>
      <c r="I100" s="60">
        <f t="shared" si="60"/>
        <v>19603417.499999996</v>
      </c>
      <c r="J100" s="60">
        <f t="shared" si="61"/>
        <v>306425682</v>
      </c>
      <c r="K100" s="202">
        <f>J100/Input!$K$5</f>
        <v>1.02141894</v>
      </c>
      <c r="L100" s="232"/>
      <c r="M100" s="60">
        <f>IF($B100&lt;Input!$H$43,IF($B100&lt;Input!$G$43,IF($B100&lt;Input!$F$43,IF($B100&lt;Input!$E$43,IF($B100&lt;Input!$D$43,Input!$C$49,Input!$D$49),Input!$E$49),Input!$F$49),Input!$G$49),Input!$H$49)</f>
        <v>21781574.999999996</v>
      </c>
      <c r="N100" s="190">
        <f>IF($A100&lt;Input!$H$50,IF($A100&lt;Input!$G$50,IF($A100&lt;Input!$F$50,IF($A100&lt;Input!$E$50,IF($A100&lt;Input!$D$50,Input!$C$51,Input!$D$51),Input!$E$51),Input!$F$51),Input!$G$51),Input!$H$51)</f>
        <v>0.9</v>
      </c>
      <c r="O100" s="60">
        <f t="shared" ref="O100:O131" si="70">M100*N100</f>
        <v>19603417.499999996</v>
      </c>
      <c r="P100" s="60">
        <f t="shared" si="37"/>
        <v>31</v>
      </c>
      <c r="Q100" s="60">
        <f t="shared" si="38"/>
        <v>321927827.5</v>
      </c>
      <c r="R100" s="60">
        <f>ROUND(Q100*$P100*Input!$C$3/365,0)</f>
        <v>4101272</v>
      </c>
      <c r="S100" s="60">
        <f>IF(A100&lt;=Input!$C$6,0,IF('Unique Tenure'!O100&lt;'Unique Tenure'!Q100,'Unique Tenure'!O100-R100,'Unique Tenure'!Q100))</f>
        <v>15502145.499999996</v>
      </c>
      <c r="T100" s="60">
        <f t="shared" si="39"/>
        <v>19603417.499999996</v>
      </c>
      <c r="U100" s="60">
        <f t="shared" si="40"/>
        <v>306425682</v>
      </c>
      <c r="V100" s="193"/>
      <c r="W100" s="169">
        <v>96</v>
      </c>
      <c r="X100" s="1">
        <f t="shared" si="62"/>
        <v>48441</v>
      </c>
      <c r="Y100" s="60">
        <f>IF($X100&lt;Input!$H$58,IF($X100&lt;Input!$G$58,IF($X100&lt;Input!$F$58,IF($X100&lt;Input!$E$58,IF($X100&lt;Input!$D$58,Input!$C$64,Input!$D$64),Input!$E$64),Input!$F$64),Input!$G$64),Input!$H$64)</f>
        <v>0</v>
      </c>
      <c r="Z100" s="190">
        <f>IF($A100&lt;Input!$H$65,IF($A100&lt;Input!$G$65,IF($A100&lt;Input!$F$65,IF($A100&lt;Input!$E$65,IF($A100&lt;Input!$D$65,Input!$C$66,Input!$D$66),Input!$E$66),Input!$F$66),Input!$G$66),Input!$H$66)</f>
        <v>0.9</v>
      </c>
      <c r="AA100" s="60">
        <f t="shared" si="41"/>
        <v>0</v>
      </c>
      <c r="AB100" s="60">
        <f t="shared" si="63"/>
        <v>31</v>
      </c>
      <c r="AC100" s="60">
        <f t="shared" si="42"/>
        <v>0</v>
      </c>
      <c r="AD100" s="60">
        <f>ROUND(AC100*AB100*Input!$C$3/365,0)</f>
        <v>0</v>
      </c>
      <c r="AE100" s="61">
        <f>IF($A100&lt;=Input!$C$6,0,IF('Unique Tenure'!AA100&lt;'Unique Tenure'!AC100,'Unique Tenure'!AA100-AD100,'Unique Tenure'!AC100))</f>
        <v>0</v>
      </c>
      <c r="AF100" s="61">
        <f t="shared" si="43"/>
        <v>0</v>
      </c>
      <c r="AG100" s="60">
        <f t="shared" si="44"/>
        <v>0</v>
      </c>
      <c r="AH100" s="193"/>
      <c r="AI100" s="169">
        <v>96</v>
      </c>
      <c r="AJ100" s="1">
        <f t="shared" si="64"/>
        <v>48441</v>
      </c>
      <c r="AK100" s="60">
        <f>IF($X100&lt;Input!$H$73,IF($X100&lt;Input!$G$73,IF($X100&lt;Input!$F$73,IF($X100&lt;Input!$E$73,IF($X100&lt;Input!$D$73,Input!$C$79,Input!$D$79),Input!$E$79),Input!$F$79),Input!$G$79),Input!$H$79)</f>
        <v>0</v>
      </c>
      <c r="AL100" s="190">
        <f>IF($A100&lt;Input!$H$80,IF($A100&lt;Input!$G$80,IF($A100&lt;Input!$F$80,IF($A100&lt;Input!$E$80,IF($A100&lt;Input!$D$80,Input!$C$81,Input!$D$81),Input!$E$81),Input!$F$81),Input!$G$81),Input!$H$81)</f>
        <v>0.9</v>
      </c>
      <c r="AM100" s="60">
        <f t="shared" si="45"/>
        <v>0</v>
      </c>
      <c r="AN100" s="60">
        <f t="shared" si="65"/>
        <v>31</v>
      </c>
      <c r="AO100" s="60">
        <f t="shared" si="46"/>
        <v>0</v>
      </c>
      <c r="AP100" s="60">
        <f>ROUND(AO100*AN100*Input!$C$3/365,0)</f>
        <v>0</v>
      </c>
      <c r="AQ100" s="61">
        <f>IF($A100&lt;=Input!$C$6,0,IF('Unique Tenure'!AM100&lt;'Unique Tenure'!AO100,'Unique Tenure'!AM100-AP100,'Unique Tenure'!AO100))</f>
        <v>0</v>
      </c>
      <c r="AR100" s="61">
        <f t="shared" si="47"/>
        <v>0</v>
      </c>
      <c r="AS100" s="60">
        <f t="shared" si="48"/>
        <v>0</v>
      </c>
      <c r="AT100" s="193"/>
      <c r="AU100" s="169">
        <v>96</v>
      </c>
      <c r="AV100" s="1">
        <f t="shared" si="66"/>
        <v>48441</v>
      </c>
      <c r="AW100" s="60">
        <f>IF($X100&lt;Input!$H$88,IF($X100&lt;Input!$G$88,IF($X100&lt;Input!$F$88,IF($X100&lt;Input!$E$88,IF($X100&lt;Input!$D$88,Input!$C$94,Input!$D$94),Input!$E$94),Input!$F$94),Input!$G$94),Input!$H$94)</f>
        <v>0</v>
      </c>
      <c r="AX100" s="190">
        <f>IF($A100&lt;Input!$H$95,IF($A100&lt;Input!$G$95,IF($A100&lt;Input!$F$95,IF($A100&lt;Input!$E$95,IF($A100&lt;Input!$D$95,Input!$C$96,Input!$D$96),Input!$E$96),Input!$F$96),Input!$G$96),Input!$H$96)</f>
        <v>0.9</v>
      </c>
      <c r="AY100" s="60">
        <f t="shared" si="49"/>
        <v>0</v>
      </c>
      <c r="AZ100" s="60">
        <f t="shared" si="67"/>
        <v>31</v>
      </c>
      <c r="BA100" s="60">
        <f t="shared" si="50"/>
        <v>0</v>
      </c>
      <c r="BB100" s="60">
        <f>ROUND(BA100*AZ100*Input!$C$3/365,0)</f>
        <v>0</v>
      </c>
      <c r="BC100" s="61">
        <f>IF($A100&lt;=Input!$C$6,0,IF('Unique Tenure'!AY100&lt;'Unique Tenure'!BA100,'Unique Tenure'!AY100-BB100,'Unique Tenure'!BA100))</f>
        <v>0</v>
      </c>
      <c r="BD100" s="61">
        <f t="shared" si="51"/>
        <v>0</v>
      </c>
      <c r="BE100" s="60">
        <f t="shared" si="52"/>
        <v>0</v>
      </c>
      <c r="BF100" s="193"/>
      <c r="BG100" s="169">
        <v>96</v>
      </c>
      <c r="BH100" s="1">
        <f t="shared" si="68"/>
        <v>48441</v>
      </c>
      <c r="BI100" s="60">
        <f>IF($X100&lt;Input!$H$103,IF($X100&lt;Input!$G$103,IF($X100&lt;Input!$F$103,IF($X100&lt;Input!$E$103,IF($X100&lt;Input!$D$103,Input!$C$109,Input!$D$109),Input!$E$109),Input!$F$109),Input!$G$109),Input!$H$109)</f>
        <v>0</v>
      </c>
      <c r="BJ100" s="190">
        <f>IF($A100&lt;Input!$H$110,IF($A100&lt;Input!$G$110,IF($A100&lt;Input!$F$110,IF($A100&lt;Input!$E$110,IF($A100&lt;Input!$D$110,Input!$C$111,Input!$D$111),Input!$E$111),Input!$F$111),Input!$G$111),Input!$H$111)</f>
        <v>0.9</v>
      </c>
      <c r="BK100" s="60">
        <f t="shared" si="53"/>
        <v>0</v>
      </c>
      <c r="BL100" s="60">
        <f t="shared" si="69"/>
        <v>31</v>
      </c>
      <c r="BM100" s="60">
        <f t="shared" si="54"/>
        <v>0</v>
      </c>
      <c r="BN100" s="60">
        <f>ROUND(BM100*BL100*Input!$C$3/365,0)</f>
        <v>0</v>
      </c>
      <c r="BO100" s="61">
        <f>IF($A100&lt;=Input!$C$6,0,IF('Unique Tenure'!BK100&lt;'Unique Tenure'!BM100,'Unique Tenure'!BK100-BN100,'Unique Tenure'!BM100))</f>
        <v>0</v>
      </c>
      <c r="BP100" s="61">
        <f t="shared" si="55"/>
        <v>0</v>
      </c>
      <c r="BQ100" s="60">
        <f t="shared" si="56"/>
        <v>0</v>
      </c>
      <c r="BR100" s="198"/>
    </row>
    <row r="101" spans="1:70" s="51" customFormat="1" x14ac:dyDescent="0.25">
      <c r="A101" s="169">
        <v>97</v>
      </c>
      <c r="B101" s="1">
        <f t="shared" si="57"/>
        <v>48472</v>
      </c>
      <c r="C101" s="60">
        <f>SUM(
   IF(($A$4:$A$184 &lt;= Input!$D$16), M101, 0),
   IF(($A$4:$A$184 &lt;= Input!$E$16), Y101, 0),
   IF(($A$4:$A$184 &lt;= Input!$F$16), AK101, 0),
   IF(($A$4:$A$184 &lt;= Input!$G$16), AW101, 0),
   IF(($A$4:$A$184 &lt;= Input!$H$16), BI101, 0)
)</f>
        <v>21781574.999999996</v>
      </c>
      <c r="D101" s="60">
        <f>SUM(
   IF(($A$4:$A$184 &lt;= Input!$D$16), O101, 0),
   IF(($A$4:$A$184 &lt;= Input!$E$16), AA101, 0),
   IF(($A$4:$A$184 &lt;= Input!$F$16), AM101, 0),
   IF(($A$4:$A$184 &lt;= Input!$G$16), AY101, 0),
   IF(($A$4:$A$184 &lt;= Input!$H$16), BK101, 0)
)</f>
        <v>19603417.499999996</v>
      </c>
      <c r="E101" s="60">
        <f t="shared" si="58"/>
        <v>31</v>
      </c>
      <c r="F101" s="60">
        <f t="shared" si="59"/>
        <v>306425682</v>
      </c>
      <c r="G101" s="60">
        <f>ROUND(F101*E101*Input!$C$3/365,0)</f>
        <v>3903779</v>
      </c>
      <c r="H101" s="60">
        <f>IF($A101&lt;=Input!$C$6,0,IF('Unique Tenure'!D101&lt;'Unique Tenure'!F101,'Unique Tenure'!D101-G101,'Unique Tenure'!F101))</f>
        <v>15699638.499999996</v>
      </c>
      <c r="I101" s="60">
        <f t="shared" si="60"/>
        <v>19603417.499999996</v>
      </c>
      <c r="J101" s="60">
        <f t="shared" si="61"/>
        <v>290726043.5</v>
      </c>
      <c r="K101" s="202">
        <f>J101/Input!$K$5</f>
        <v>0.96908681166666666</v>
      </c>
      <c r="L101" s="232"/>
      <c r="M101" s="60">
        <f>IF($B101&lt;Input!$H$43,IF($B101&lt;Input!$G$43,IF($B101&lt;Input!$F$43,IF($B101&lt;Input!$E$43,IF($B101&lt;Input!$D$43,Input!$C$49,Input!$D$49),Input!$E$49),Input!$F$49),Input!$G$49),Input!$H$49)</f>
        <v>21781574.999999996</v>
      </c>
      <c r="N101" s="190">
        <f>IF($A101&lt;Input!$H$50,IF($A101&lt;Input!$G$50,IF($A101&lt;Input!$F$50,IF($A101&lt;Input!$E$50,IF($A101&lt;Input!$D$50,Input!$C$51,Input!$D$51),Input!$E$51),Input!$F$51),Input!$G$51),Input!$H$51)</f>
        <v>0.9</v>
      </c>
      <c r="O101" s="60">
        <f t="shared" si="70"/>
        <v>19603417.499999996</v>
      </c>
      <c r="P101" s="60">
        <f t="shared" ref="P101:P132" si="71">B101-B100</f>
        <v>31</v>
      </c>
      <c r="Q101" s="60">
        <f t="shared" si="38"/>
        <v>306425682</v>
      </c>
      <c r="R101" s="60">
        <f>ROUND(Q101*$P101*Input!$C$3/365,0)</f>
        <v>3903779</v>
      </c>
      <c r="S101" s="60">
        <f>IF(A101&lt;=Input!$C$6,0,IF('Unique Tenure'!O101&lt;'Unique Tenure'!Q101,'Unique Tenure'!O101-R101,'Unique Tenure'!Q101))</f>
        <v>15699638.499999996</v>
      </c>
      <c r="T101" s="60">
        <f t="shared" si="39"/>
        <v>19603417.499999996</v>
      </c>
      <c r="U101" s="60">
        <f t="shared" si="40"/>
        <v>290726043.5</v>
      </c>
      <c r="V101" s="193"/>
      <c r="W101" s="169">
        <v>97</v>
      </c>
      <c r="X101" s="1">
        <f t="shared" si="62"/>
        <v>48472</v>
      </c>
      <c r="Y101" s="60">
        <f>IF($X101&lt;Input!$H$58,IF($X101&lt;Input!$G$58,IF($X101&lt;Input!$F$58,IF($X101&lt;Input!$E$58,IF($X101&lt;Input!$D$58,Input!$C$64,Input!$D$64),Input!$E$64),Input!$F$64),Input!$G$64),Input!$H$64)</f>
        <v>0</v>
      </c>
      <c r="Z101" s="190">
        <f>IF($A101&lt;Input!$H$65,IF($A101&lt;Input!$G$65,IF($A101&lt;Input!$F$65,IF($A101&lt;Input!$E$65,IF($A101&lt;Input!$D$65,Input!$C$66,Input!$D$66),Input!$E$66),Input!$F$66),Input!$G$66),Input!$H$66)</f>
        <v>0.9</v>
      </c>
      <c r="AA101" s="60">
        <f t="shared" si="41"/>
        <v>0</v>
      </c>
      <c r="AB101" s="60">
        <f t="shared" si="63"/>
        <v>31</v>
      </c>
      <c r="AC101" s="60">
        <f t="shared" si="42"/>
        <v>0</v>
      </c>
      <c r="AD101" s="60">
        <f>ROUND(AC101*AB101*Input!$C$3/365,0)</f>
        <v>0</v>
      </c>
      <c r="AE101" s="61">
        <f>IF($A101&lt;=Input!$C$6,0,IF('Unique Tenure'!AA101&lt;'Unique Tenure'!AC101,'Unique Tenure'!AA101-AD101,'Unique Tenure'!AC101))</f>
        <v>0</v>
      </c>
      <c r="AF101" s="61">
        <f t="shared" si="43"/>
        <v>0</v>
      </c>
      <c r="AG101" s="60">
        <f t="shared" si="44"/>
        <v>0</v>
      </c>
      <c r="AH101" s="193"/>
      <c r="AI101" s="169">
        <v>97</v>
      </c>
      <c r="AJ101" s="1">
        <f t="shared" si="64"/>
        <v>48472</v>
      </c>
      <c r="AK101" s="60">
        <f>IF($X101&lt;Input!$H$73,IF($X101&lt;Input!$G$73,IF($X101&lt;Input!$F$73,IF($X101&lt;Input!$E$73,IF($X101&lt;Input!$D$73,Input!$C$79,Input!$D$79),Input!$E$79),Input!$F$79),Input!$G$79),Input!$H$79)</f>
        <v>0</v>
      </c>
      <c r="AL101" s="190">
        <f>IF($A101&lt;Input!$H$80,IF($A101&lt;Input!$G$80,IF($A101&lt;Input!$F$80,IF($A101&lt;Input!$E$80,IF($A101&lt;Input!$D$80,Input!$C$81,Input!$D$81),Input!$E$81),Input!$F$81),Input!$G$81),Input!$H$81)</f>
        <v>0.9</v>
      </c>
      <c r="AM101" s="60">
        <f t="shared" si="45"/>
        <v>0</v>
      </c>
      <c r="AN101" s="60">
        <f t="shared" si="65"/>
        <v>31</v>
      </c>
      <c r="AO101" s="60">
        <f t="shared" si="46"/>
        <v>0</v>
      </c>
      <c r="AP101" s="60">
        <f>ROUND(AO101*AN101*Input!$C$3/365,0)</f>
        <v>0</v>
      </c>
      <c r="AQ101" s="61">
        <f>IF($A101&lt;=Input!$C$6,0,IF('Unique Tenure'!AM101&lt;'Unique Tenure'!AO101,'Unique Tenure'!AM101-AP101,'Unique Tenure'!AO101))</f>
        <v>0</v>
      </c>
      <c r="AR101" s="61">
        <f t="shared" si="47"/>
        <v>0</v>
      </c>
      <c r="AS101" s="60">
        <f t="shared" si="48"/>
        <v>0</v>
      </c>
      <c r="AT101" s="193"/>
      <c r="AU101" s="169">
        <v>97</v>
      </c>
      <c r="AV101" s="1">
        <f t="shared" si="66"/>
        <v>48472</v>
      </c>
      <c r="AW101" s="60">
        <f>IF($X101&lt;Input!$H$88,IF($X101&lt;Input!$G$88,IF($X101&lt;Input!$F$88,IF($X101&lt;Input!$E$88,IF($X101&lt;Input!$D$88,Input!$C$94,Input!$D$94),Input!$E$94),Input!$F$94),Input!$G$94),Input!$H$94)</f>
        <v>0</v>
      </c>
      <c r="AX101" s="190">
        <f>IF($A101&lt;Input!$H$95,IF($A101&lt;Input!$G$95,IF($A101&lt;Input!$F$95,IF($A101&lt;Input!$E$95,IF($A101&lt;Input!$D$95,Input!$C$96,Input!$D$96),Input!$E$96),Input!$F$96),Input!$G$96),Input!$H$96)</f>
        <v>0.9</v>
      </c>
      <c r="AY101" s="60">
        <f t="shared" si="49"/>
        <v>0</v>
      </c>
      <c r="AZ101" s="60">
        <f t="shared" si="67"/>
        <v>31</v>
      </c>
      <c r="BA101" s="60">
        <f t="shared" si="50"/>
        <v>0</v>
      </c>
      <c r="BB101" s="60">
        <f>ROUND(BA101*AZ101*Input!$C$3/365,0)</f>
        <v>0</v>
      </c>
      <c r="BC101" s="61">
        <f>IF($A101&lt;=Input!$C$6,0,IF('Unique Tenure'!AY101&lt;'Unique Tenure'!BA101,'Unique Tenure'!AY101-BB101,'Unique Tenure'!BA101))</f>
        <v>0</v>
      </c>
      <c r="BD101" s="61">
        <f t="shared" si="51"/>
        <v>0</v>
      </c>
      <c r="BE101" s="60">
        <f t="shared" si="52"/>
        <v>0</v>
      </c>
      <c r="BF101" s="193"/>
      <c r="BG101" s="169">
        <v>97</v>
      </c>
      <c r="BH101" s="1">
        <f t="shared" si="68"/>
        <v>48472</v>
      </c>
      <c r="BI101" s="60">
        <f>IF($X101&lt;Input!$H$103,IF($X101&lt;Input!$G$103,IF($X101&lt;Input!$F$103,IF($X101&lt;Input!$E$103,IF($X101&lt;Input!$D$103,Input!$C$109,Input!$D$109),Input!$E$109),Input!$F$109),Input!$G$109),Input!$H$109)</f>
        <v>0</v>
      </c>
      <c r="BJ101" s="190">
        <f>IF($A101&lt;Input!$H$110,IF($A101&lt;Input!$G$110,IF($A101&lt;Input!$F$110,IF($A101&lt;Input!$E$110,IF($A101&lt;Input!$D$110,Input!$C$111,Input!$D$111),Input!$E$111),Input!$F$111),Input!$G$111),Input!$H$111)</f>
        <v>0.9</v>
      </c>
      <c r="BK101" s="60">
        <f t="shared" si="53"/>
        <v>0</v>
      </c>
      <c r="BL101" s="60">
        <f t="shared" si="69"/>
        <v>31</v>
      </c>
      <c r="BM101" s="60">
        <f t="shared" si="54"/>
        <v>0</v>
      </c>
      <c r="BN101" s="60">
        <f>ROUND(BM101*BL101*Input!$C$3/365,0)</f>
        <v>0</v>
      </c>
      <c r="BO101" s="61">
        <f>IF($A101&lt;=Input!$C$6,0,IF('Unique Tenure'!BK101&lt;'Unique Tenure'!BM101,'Unique Tenure'!BK101-BN101,'Unique Tenure'!BM101))</f>
        <v>0</v>
      </c>
      <c r="BP101" s="61">
        <f t="shared" si="55"/>
        <v>0</v>
      </c>
      <c r="BQ101" s="60">
        <f t="shared" si="56"/>
        <v>0</v>
      </c>
      <c r="BR101" s="198"/>
    </row>
    <row r="102" spans="1:70" s="51" customFormat="1" x14ac:dyDescent="0.25">
      <c r="A102" s="169">
        <v>98</v>
      </c>
      <c r="B102" s="1">
        <f t="shared" si="57"/>
        <v>48502</v>
      </c>
      <c r="C102" s="60">
        <f>SUM(
   IF(($A$4:$A$184 &lt;= Input!$D$16), M102, 0),
   IF(($A$4:$A$184 &lt;= Input!$E$16), Y102, 0),
   IF(($A$4:$A$184 &lt;= Input!$F$16), AK102, 0),
   IF(($A$4:$A$184 &lt;= Input!$G$16), AW102, 0),
   IF(($A$4:$A$184 &lt;= Input!$H$16), BI102, 0)
)</f>
        <v>21781574.999999996</v>
      </c>
      <c r="D102" s="60">
        <f>SUM(
   IF(($A$4:$A$184 &lt;= Input!$D$16), O102, 0),
   IF(($A$4:$A$184 &lt;= Input!$E$16), AA102, 0),
   IF(($A$4:$A$184 &lt;= Input!$F$16), AM102, 0),
   IF(($A$4:$A$184 &lt;= Input!$G$16), AY102, 0),
   IF(($A$4:$A$184 &lt;= Input!$H$16), BK102, 0)
)</f>
        <v>19603417.499999996</v>
      </c>
      <c r="E102" s="60">
        <f t="shared" si="58"/>
        <v>30</v>
      </c>
      <c r="F102" s="60">
        <f t="shared" si="59"/>
        <v>290726043.5</v>
      </c>
      <c r="G102" s="60">
        <f>ROUND(F102*E102*Input!$C$3/365,0)</f>
        <v>3584294</v>
      </c>
      <c r="H102" s="60">
        <f>IF($A102&lt;=Input!$C$6,0,IF('Unique Tenure'!D102&lt;'Unique Tenure'!F102,'Unique Tenure'!D102-G102,'Unique Tenure'!F102))</f>
        <v>16019123.499999996</v>
      </c>
      <c r="I102" s="60">
        <f t="shared" si="60"/>
        <v>19603417.499999996</v>
      </c>
      <c r="J102" s="60">
        <f t="shared" si="61"/>
        <v>274706920</v>
      </c>
      <c r="K102" s="202">
        <f>J102/Input!$K$5</f>
        <v>0.91568973333333337</v>
      </c>
      <c r="L102" s="232"/>
      <c r="M102" s="60">
        <f>IF($B102&lt;Input!$H$43,IF($B102&lt;Input!$G$43,IF($B102&lt;Input!$F$43,IF($B102&lt;Input!$E$43,IF($B102&lt;Input!$D$43,Input!$C$49,Input!$D$49),Input!$E$49),Input!$F$49),Input!$G$49),Input!$H$49)</f>
        <v>21781574.999999996</v>
      </c>
      <c r="N102" s="190">
        <f>IF($A102&lt;Input!$H$50,IF($A102&lt;Input!$G$50,IF($A102&lt;Input!$F$50,IF($A102&lt;Input!$E$50,IF($A102&lt;Input!$D$50,Input!$C$51,Input!$D$51),Input!$E$51),Input!$F$51),Input!$G$51),Input!$H$51)</f>
        <v>0.9</v>
      </c>
      <c r="O102" s="60">
        <f t="shared" si="70"/>
        <v>19603417.499999996</v>
      </c>
      <c r="P102" s="60">
        <f t="shared" si="71"/>
        <v>30</v>
      </c>
      <c r="Q102" s="60">
        <f t="shared" si="38"/>
        <v>290726043.5</v>
      </c>
      <c r="R102" s="60">
        <f>ROUND(Q102*$P102*Input!$C$3/365,0)</f>
        <v>3584294</v>
      </c>
      <c r="S102" s="60">
        <f>IF(A102&lt;=Input!$C$6,0,IF('Unique Tenure'!O102&lt;'Unique Tenure'!Q102,'Unique Tenure'!O102-R102,'Unique Tenure'!Q102))</f>
        <v>16019123.499999996</v>
      </c>
      <c r="T102" s="60">
        <f t="shared" si="39"/>
        <v>19603417.499999996</v>
      </c>
      <c r="U102" s="60">
        <f t="shared" si="40"/>
        <v>274706920</v>
      </c>
      <c r="V102" s="193"/>
      <c r="W102" s="169">
        <v>98</v>
      </c>
      <c r="X102" s="1">
        <f t="shared" si="62"/>
        <v>48502</v>
      </c>
      <c r="Y102" s="60">
        <f>IF($X102&lt;Input!$H$58,IF($X102&lt;Input!$G$58,IF($X102&lt;Input!$F$58,IF($X102&lt;Input!$E$58,IF($X102&lt;Input!$D$58,Input!$C$64,Input!$D$64),Input!$E$64),Input!$F$64),Input!$G$64),Input!$H$64)</f>
        <v>0</v>
      </c>
      <c r="Z102" s="190">
        <f>IF($A102&lt;Input!$H$65,IF($A102&lt;Input!$G$65,IF($A102&lt;Input!$F$65,IF($A102&lt;Input!$E$65,IF($A102&lt;Input!$D$65,Input!$C$66,Input!$D$66),Input!$E$66),Input!$F$66),Input!$G$66),Input!$H$66)</f>
        <v>0.9</v>
      </c>
      <c r="AA102" s="60">
        <f t="shared" si="41"/>
        <v>0</v>
      </c>
      <c r="AB102" s="60">
        <f t="shared" si="63"/>
        <v>30</v>
      </c>
      <c r="AC102" s="60">
        <f t="shared" si="42"/>
        <v>0</v>
      </c>
      <c r="AD102" s="60">
        <f>ROUND(AC102*AB102*Input!$C$3/365,0)</f>
        <v>0</v>
      </c>
      <c r="AE102" s="61">
        <f>IF($A102&lt;=Input!$C$6,0,IF('Unique Tenure'!AA102&lt;'Unique Tenure'!AC102,'Unique Tenure'!AA102-AD102,'Unique Tenure'!AC102))</f>
        <v>0</v>
      </c>
      <c r="AF102" s="61">
        <f t="shared" si="43"/>
        <v>0</v>
      </c>
      <c r="AG102" s="60">
        <f t="shared" si="44"/>
        <v>0</v>
      </c>
      <c r="AH102" s="193"/>
      <c r="AI102" s="169">
        <v>98</v>
      </c>
      <c r="AJ102" s="1">
        <f t="shared" si="64"/>
        <v>48502</v>
      </c>
      <c r="AK102" s="60">
        <f>IF($X102&lt;Input!$H$73,IF($X102&lt;Input!$G$73,IF($X102&lt;Input!$F$73,IF($X102&lt;Input!$E$73,IF($X102&lt;Input!$D$73,Input!$C$79,Input!$D$79),Input!$E$79),Input!$F$79),Input!$G$79),Input!$H$79)</f>
        <v>0</v>
      </c>
      <c r="AL102" s="190">
        <f>IF($A102&lt;Input!$H$80,IF($A102&lt;Input!$G$80,IF($A102&lt;Input!$F$80,IF($A102&lt;Input!$E$80,IF($A102&lt;Input!$D$80,Input!$C$81,Input!$D$81),Input!$E$81),Input!$F$81),Input!$G$81),Input!$H$81)</f>
        <v>0.9</v>
      </c>
      <c r="AM102" s="60">
        <f t="shared" si="45"/>
        <v>0</v>
      </c>
      <c r="AN102" s="60">
        <f t="shared" si="65"/>
        <v>30</v>
      </c>
      <c r="AO102" s="60">
        <f t="shared" si="46"/>
        <v>0</v>
      </c>
      <c r="AP102" s="60">
        <f>ROUND(AO102*AN102*Input!$C$3/365,0)</f>
        <v>0</v>
      </c>
      <c r="AQ102" s="61">
        <f>IF($A102&lt;=Input!$C$6,0,IF('Unique Tenure'!AM102&lt;'Unique Tenure'!AO102,'Unique Tenure'!AM102-AP102,'Unique Tenure'!AO102))</f>
        <v>0</v>
      </c>
      <c r="AR102" s="61">
        <f t="shared" si="47"/>
        <v>0</v>
      </c>
      <c r="AS102" s="60">
        <f t="shared" si="48"/>
        <v>0</v>
      </c>
      <c r="AT102" s="193"/>
      <c r="AU102" s="169">
        <v>98</v>
      </c>
      <c r="AV102" s="1">
        <f t="shared" si="66"/>
        <v>48502</v>
      </c>
      <c r="AW102" s="60">
        <f>IF($X102&lt;Input!$H$88,IF($X102&lt;Input!$G$88,IF($X102&lt;Input!$F$88,IF($X102&lt;Input!$E$88,IF($X102&lt;Input!$D$88,Input!$C$94,Input!$D$94),Input!$E$94),Input!$F$94),Input!$G$94),Input!$H$94)</f>
        <v>0</v>
      </c>
      <c r="AX102" s="190">
        <f>IF($A102&lt;Input!$H$95,IF($A102&lt;Input!$G$95,IF($A102&lt;Input!$F$95,IF($A102&lt;Input!$E$95,IF($A102&lt;Input!$D$95,Input!$C$96,Input!$D$96),Input!$E$96),Input!$F$96),Input!$G$96),Input!$H$96)</f>
        <v>0.9</v>
      </c>
      <c r="AY102" s="60">
        <f t="shared" si="49"/>
        <v>0</v>
      </c>
      <c r="AZ102" s="60">
        <f t="shared" si="67"/>
        <v>30</v>
      </c>
      <c r="BA102" s="60">
        <f t="shared" si="50"/>
        <v>0</v>
      </c>
      <c r="BB102" s="60">
        <f>ROUND(BA102*AZ102*Input!$C$3/365,0)</f>
        <v>0</v>
      </c>
      <c r="BC102" s="61">
        <f>IF($A102&lt;=Input!$C$6,0,IF('Unique Tenure'!AY102&lt;'Unique Tenure'!BA102,'Unique Tenure'!AY102-BB102,'Unique Tenure'!BA102))</f>
        <v>0</v>
      </c>
      <c r="BD102" s="61">
        <f t="shared" si="51"/>
        <v>0</v>
      </c>
      <c r="BE102" s="60">
        <f t="shared" si="52"/>
        <v>0</v>
      </c>
      <c r="BF102" s="193"/>
      <c r="BG102" s="169">
        <v>98</v>
      </c>
      <c r="BH102" s="1">
        <f t="shared" si="68"/>
        <v>48502</v>
      </c>
      <c r="BI102" s="60">
        <f>IF($X102&lt;Input!$H$103,IF($X102&lt;Input!$G$103,IF($X102&lt;Input!$F$103,IF($X102&lt;Input!$E$103,IF($X102&lt;Input!$D$103,Input!$C$109,Input!$D$109),Input!$E$109),Input!$F$109),Input!$G$109),Input!$H$109)</f>
        <v>0</v>
      </c>
      <c r="BJ102" s="190">
        <f>IF($A102&lt;Input!$H$110,IF($A102&lt;Input!$G$110,IF($A102&lt;Input!$F$110,IF($A102&lt;Input!$E$110,IF($A102&lt;Input!$D$110,Input!$C$111,Input!$D$111),Input!$E$111),Input!$F$111),Input!$G$111),Input!$H$111)</f>
        <v>0.9</v>
      </c>
      <c r="BK102" s="60">
        <f t="shared" si="53"/>
        <v>0</v>
      </c>
      <c r="BL102" s="60">
        <f t="shared" si="69"/>
        <v>30</v>
      </c>
      <c r="BM102" s="60">
        <f t="shared" si="54"/>
        <v>0</v>
      </c>
      <c r="BN102" s="60">
        <f>ROUND(BM102*BL102*Input!$C$3/365,0)</f>
        <v>0</v>
      </c>
      <c r="BO102" s="61">
        <f>IF($A102&lt;=Input!$C$6,0,IF('Unique Tenure'!BK102&lt;'Unique Tenure'!BM102,'Unique Tenure'!BK102-BN102,'Unique Tenure'!BM102))</f>
        <v>0</v>
      </c>
      <c r="BP102" s="61">
        <f t="shared" si="55"/>
        <v>0</v>
      </c>
      <c r="BQ102" s="60">
        <f t="shared" si="56"/>
        <v>0</v>
      </c>
      <c r="BR102" s="198"/>
    </row>
    <row r="103" spans="1:70" s="51" customFormat="1" x14ac:dyDescent="0.25">
      <c r="A103" s="169">
        <v>99</v>
      </c>
      <c r="B103" s="1">
        <f t="shared" si="57"/>
        <v>48533</v>
      </c>
      <c r="C103" s="60">
        <f>SUM(
   IF(($A$4:$A$184 &lt;= Input!$D$16), M103, 0),
   IF(($A$4:$A$184 &lt;= Input!$E$16), Y103, 0),
   IF(($A$4:$A$184 &lt;= Input!$F$16), AK103, 0),
   IF(($A$4:$A$184 &lt;= Input!$G$16), AW103, 0),
   IF(($A$4:$A$184 &lt;= Input!$H$16), BI103, 0)
)</f>
        <v>21781574.999999996</v>
      </c>
      <c r="D103" s="60">
        <f>SUM(
   IF(($A$4:$A$184 &lt;= Input!$D$16), O103, 0),
   IF(($A$4:$A$184 &lt;= Input!$E$16), AA103, 0),
   IF(($A$4:$A$184 &lt;= Input!$F$16), AM103, 0),
   IF(($A$4:$A$184 &lt;= Input!$G$16), AY103, 0),
   IF(($A$4:$A$184 &lt;= Input!$H$16), BK103, 0)
)</f>
        <v>19603417.499999996</v>
      </c>
      <c r="E103" s="60">
        <f t="shared" si="58"/>
        <v>31</v>
      </c>
      <c r="F103" s="60">
        <f t="shared" si="59"/>
        <v>274706920</v>
      </c>
      <c r="G103" s="60">
        <f>ROUND(F103*E103*Input!$C$3/365,0)</f>
        <v>3499691</v>
      </c>
      <c r="H103" s="60">
        <f>IF($A103&lt;=Input!$C$6,0,IF('Unique Tenure'!D103&lt;'Unique Tenure'!F103,'Unique Tenure'!D103-G103,'Unique Tenure'!F103))</f>
        <v>16103726.499999996</v>
      </c>
      <c r="I103" s="60">
        <f t="shared" si="60"/>
        <v>19603417.499999996</v>
      </c>
      <c r="J103" s="60">
        <f t="shared" si="61"/>
        <v>258603193.5</v>
      </c>
      <c r="K103" s="202">
        <f>J103/Input!$K$5</f>
        <v>0.86201064500000002</v>
      </c>
      <c r="L103" s="232"/>
      <c r="M103" s="60">
        <f>IF($B103&lt;Input!$H$43,IF($B103&lt;Input!$G$43,IF($B103&lt;Input!$F$43,IF($B103&lt;Input!$E$43,IF($B103&lt;Input!$D$43,Input!$C$49,Input!$D$49),Input!$E$49),Input!$F$49),Input!$G$49),Input!$H$49)</f>
        <v>21781574.999999996</v>
      </c>
      <c r="N103" s="190">
        <f>IF($A103&lt;Input!$H$50,IF($A103&lt;Input!$G$50,IF($A103&lt;Input!$F$50,IF($A103&lt;Input!$E$50,IF($A103&lt;Input!$D$50,Input!$C$51,Input!$D$51),Input!$E$51),Input!$F$51),Input!$G$51),Input!$H$51)</f>
        <v>0.9</v>
      </c>
      <c r="O103" s="60">
        <f t="shared" si="70"/>
        <v>19603417.499999996</v>
      </c>
      <c r="P103" s="60">
        <f t="shared" si="71"/>
        <v>31</v>
      </c>
      <c r="Q103" s="60">
        <f t="shared" si="38"/>
        <v>274706920</v>
      </c>
      <c r="R103" s="60">
        <f>ROUND(Q103*$P103*Input!$C$3/365,0)</f>
        <v>3499691</v>
      </c>
      <c r="S103" s="60">
        <f>IF(A103&lt;=Input!$C$6,0,IF('Unique Tenure'!O103&lt;'Unique Tenure'!Q103,'Unique Tenure'!O103-R103,'Unique Tenure'!Q103))</f>
        <v>16103726.499999996</v>
      </c>
      <c r="T103" s="60">
        <f t="shared" si="39"/>
        <v>19603417.499999996</v>
      </c>
      <c r="U103" s="60">
        <f t="shared" si="40"/>
        <v>258603193.5</v>
      </c>
      <c r="V103" s="193"/>
      <c r="W103" s="169">
        <v>99</v>
      </c>
      <c r="X103" s="1">
        <f t="shared" si="62"/>
        <v>48533</v>
      </c>
      <c r="Y103" s="60">
        <f>IF($X103&lt;Input!$H$58,IF($X103&lt;Input!$G$58,IF($X103&lt;Input!$F$58,IF($X103&lt;Input!$E$58,IF($X103&lt;Input!$D$58,Input!$C$64,Input!$D$64),Input!$E$64),Input!$F$64),Input!$G$64),Input!$H$64)</f>
        <v>0</v>
      </c>
      <c r="Z103" s="190">
        <f>IF($A103&lt;Input!$H$65,IF($A103&lt;Input!$G$65,IF($A103&lt;Input!$F$65,IF($A103&lt;Input!$E$65,IF($A103&lt;Input!$D$65,Input!$C$66,Input!$D$66),Input!$E$66),Input!$F$66),Input!$G$66),Input!$H$66)</f>
        <v>0.9</v>
      </c>
      <c r="AA103" s="60">
        <f t="shared" si="41"/>
        <v>0</v>
      </c>
      <c r="AB103" s="60">
        <f t="shared" si="63"/>
        <v>31</v>
      </c>
      <c r="AC103" s="60">
        <f t="shared" si="42"/>
        <v>0</v>
      </c>
      <c r="AD103" s="60">
        <f>ROUND(AC103*AB103*Input!$C$3/365,0)</f>
        <v>0</v>
      </c>
      <c r="AE103" s="61">
        <f>IF($A103&lt;=Input!$C$6,0,IF('Unique Tenure'!AA103&lt;'Unique Tenure'!AC103,'Unique Tenure'!AA103-AD103,'Unique Tenure'!AC103))</f>
        <v>0</v>
      </c>
      <c r="AF103" s="61">
        <f t="shared" si="43"/>
        <v>0</v>
      </c>
      <c r="AG103" s="60">
        <f t="shared" si="44"/>
        <v>0</v>
      </c>
      <c r="AH103" s="193"/>
      <c r="AI103" s="169">
        <v>99</v>
      </c>
      <c r="AJ103" s="1">
        <f t="shared" si="64"/>
        <v>48533</v>
      </c>
      <c r="AK103" s="60">
        <f>IF($X103&lt;Input!$H$73,IF($X103&lt;Input!$G$73,IF($X103&lt;Input!$F$73,IF($X103&lt;Input!$E$73,IF($X103&lt;Input!$D$73,Input!$C$79,Input!$D$79),Input!$E$79),Input!$F$79),Input!$G$79),Input!$H$79)</f>
        <v>0</v>
      </c>
      <c r="AL103" s="190">
        <f>IF($A103&lt;Input!$H$80,IF($A103&lt;Input!$G$80,IF($A103&lt;Input!$F$80,IF($A103&lt;Input!$E$80,IF($A103&lt;Input!$D$80,Input!$C$81,Input!$D$81),Input!$E$81),Input!$F$81),Input!$G$81),Input!$H$81)</f>
        <v>0.9</v>
      </c>
      <c r="AM103" s="60">
        <f t="shared" si="45"/>
        <v>0</v>
      </c>
      <c r="AN103" s="60">
        <f t="shared" si="65"/>
        <v>31</v>
      </c>
      <c r="AO103" s="60">
        <f t="shared" si="46"/>
        <v>0</v>
      </c>
      <c r="AP103" s="60">
        <f>ROUND(AO103*AN103*Input!$C$3/365,0)</f>
        <v>0</v>
      </c>
      <c r="AQ103" s="61">
        <f>IF($A103&lt;=Input!$C$6,0,IF('Unique Tenure'!AM103&lt;'Unique Tenure'!AO103,'Unique Tenure'!AM103-AP103,'Unique Tenure'!AO103))</f>
        <v>0</v>
      </c>
      <c r="AR103" s="61">
        <f t="shared" si="47"/>
        <v>0</v>
      </c>
      <c r="AS103" s="60">
        <f t="shared" si="48"/>
        <v>0</v>
      </c>
      <c r="AT103" s="193"/>
      <c r="AU103" s="169">
        <v>99</v>
      </c>
      <c r="AV103" s="1">
        <f t="shared" si="66"/>
        <v>48533</v>
      </c>
      <c r="AW103" s="60">
        <f>IF($X103&lt;Input!$H$88,IF($X103&lt;Input!$G$88,IF($X103&lt;Input!$F$88,IF($X103&lt;Input!$E$88,IF($X103&lt;Input!$D$88,Input!$C$94,Input!$D$94),Input!$E$94),Input!$F$94),Input!$G$94),Input!$H$94)</f>
        <v>0</v>
      </c>
      <c r="AX103" s="190">
        <f>IF($A103&lt;Input!$H$95,IF($A103&lt;Input!$G$95,IF($A103&lt;Input!$F$95,IF($A103&lt;Input!$E$95,IF($A103&lt;Input!$D$95,Input!$C$96,Input!$D$96),Input!$E$96),Input!$F$96),Input!$G$96),Input!$H$96)</f>
        <v>0.9</v>
      </c>
      <c r="AY103" s="60">
        <f t="shared" si="49"/>
        <v>0</v>
      </c>
      <c r="AZ103" s="60">
        <f t="shared" si="67"/>
        <v>31</v>
      </c>
      <c r="BA103" s="60">
        <f t="shared" si="50"/>
        <v>0</v>
      </c>
      <c r="BB103" s="60">
        <f>ROUND(BA103*AZ103*Input!$C$3/365,0)</f>
        <v>0</v>
      </c>
      <c r="BC103" s="61">
        <f>IF($A103&lt;=Input!$C$6,0,IF('Unique Tenure'!AY103&lt;'Unique Tenure'!BA103,'Unique Tenure'!AY103-BB103,'Unique Tenure'!BA103))</f>
        <v>0</v>
      </c>
      <c r="BD103" s="61">
        <f t="shared" si="51"/>
        <v>0</v>
      </c>
      <c r="BE103" s="60">
        <f t="shared" si="52"/>
        <v>0</v>
      </c>
      <c r="BF103" s="193"/>
      <c r="BG103" s="169">
        <v>99</v>
      </c>
      <c r="BH103" s="1">
        <f t="shared" si="68"/>
        <v>48533</v>
      </c>
      <c r="BI103" s="60">
        <f>IF($X103&lt;Input!$H$103,IF($X103&lt;Input!$G$103,IF($X103&lt;Input!$F$103,IF($X103&lt;Input!$E$103,IF($X103&lt;Input!$D$103,Input!$C$109,Input!$D$109),Input!$E$109),Input!$F$109),Input!$G$109),Input!$H$109)</f>
        <v>0</v>
      </c>
      <c r="BJ103" s="190">
        <f>IF($A103&lt;Input!$H$110,IF($A103&lt;Input!$G$110,IF($A103&lt;Input!$F$110,IF($A103&lt;Input!$E$110,IF($A103&lt;Input!$D$110,Input!$C$111,Input!$D$111),Input!$E$111),Input!$F$111),Input!$G$111),Input!$H$111)</f>
        <v>0.9</v>
      </c>
      <c r="BK103" s="60">
        <f t="shared" si="53"/>
        <v>0</v>
      </c>
      <c r="BL103" s="60">
        <f t="shared" si="69"/>
        <v>31</v>
      </c>
      <c r="BM103" s="60">
        <f t="shared" si="54"/>
        <v>0</v>
      </c>
      <c r="BN103" s="60">
        <f>ROUND(BM103*BL103*Input!$C$3/365,0)</f>
        <v>0</v>
      </c>
      <c r="BO103" s="61">
        <f>IF($A103&lt;=Input!$C$6,0,IF('Unique Tenure'!BK103&lt;'Unique Tenure'!BM103,'Unique Tenure'!BK103-BN103,'Unique Tenure'!BM103))</f>
        <v>0</v>
      </c>
      <c r="BP103" s="61">
        <f t="shared" si="55"/>
        <v>0</v>
      </c>
      <c r="BQ103" s="60">
        <f t="shared" si="56"/>
        <v>0</v>
      </c>
      <c r="BR103" s="198"/>
    </row>
    <row r="104" spans="1:70" s="51" customFormat="1" x14ac:dyDescent="0.25">
      <c r="A104" s="169">
        <v>100</v>
      </c>
      <c r="B104" s="1">
        <f t="shared" si="57"/>
        <v>48563</v>
      </c>
      <c r="C104" s="60">
        <f>SUM(
   IF(($A$4:$A$184 &lt;= Input!$D$16), M104, 0),
   IF(($A$4:$A$184 &lt;= Input!$E$16), Y104, 0),
   IF(($A$4:$A$184 &lt;= Input!$F$16), AK104, 0),
   IF(($A$4:$A$184 &lt;= Input!$G$16), AW104, 0),
   IF(($A$4:$A$184 &lt;= Input!$H$16), BI104, 0)
)</f>
        <v>21781574.999999996</v>
      </c>
      <c r="D104" s="60">
        <f>SUM(
   IF(($A$4:$A$184 &lt;= Input!$D$16), O104, 0),
   IF(($A$4:$A$184 &lt;= Input!$E$16), AA104, 0),
   IF(($A$4:$A$184 &lt;= Input!$F$16), AM104, 0),
   IF(($A$4:$A$184 &lt;= Input!$G$16), AY104, 0),
   IF(($A$4:$A$184 &lt;= Input!$H$16), BK104, 0)
)</f>
        <v>19603417.499999996</v>
      </c>
      <c r="E104" s="60">
        <f t="shared" si="58"/>
        <v>30</v>
      </c>
      <c r="F104" s="60">
        <f t="shared" si="59"/>
        <v>258603193.5</v>
      </c>
      <c r="G104" s="60">
        <f>ROUND(F104*E104*Input!$C$3/365,0)</f>
        <v>3188259</v>
      </c>
      <c r="H104" s="60">
        <f>IF($A104&lt;=Input!$C$6,0,IF('Unique Tenure'!D104&lt;'Unique Tenure'!F104,'Unique Tenure'!D104-G104,'Unique Tenure'!F104))</f>
        <v>16415158.499999996</v>
      </c>
      <c r="I104" s="60">
        <f t="shared" si="60"/>
        <v>19603417.499999996</v>
      </c>
      <c r="J104" s="60">
        <f t="shared" si="61"/>
        <v>242188035</v>
      </c>
      <c r="K104" s="202">
        <f>J104/Input!$K$5</f>
        <v>0.80729344999999997</v>
      </c>
      <c r="L104" s="232"/>
      <c r="M104" s="60">
        <f>IF($B104&lt;Input!$H$43,IF($B104&lt;Input!$G$43,IF($B104&lt;Input!$F$43,IF($B104&lt;Input!$E$43,IF($B104&lt;Input!$D$43,Input!$C$49,Input!$D$49),Input!$E$49),Input!$F$49),Input!$G$49),Input!$H$49)</f>
        <v>21781574.999999996</v>
      </c>
      <c r="N104" s="190">
        <f>IF($A104&lt;Input!$H$50,IF($A104&lt;Input!$G$50,IF($A104&lt;Input!$F$50,IF($A104&lt;Input!$E$50,IF($A104&lt;Input!$D$50,Input!$C$51,Input!$D$51),Input!$E$51),Input!$F$51),Input!$G$51),Input!$H$51)</f>
        <v>0.9</v>
      </c>
      <c r="O104" s="60">
        <f t="shared" si="70"/>
        <v>19603417.499999996</v>
      </c>
      <c r="P104" s="60">
        <f t="shared" si="71"/>
        <v>30</v>
      </c>
      <c r="Q104" s="60">
        <f t="shared" si="38"/>
        <v>258603193.5</v>
      </c>
      <c r="R104" s="60">
        <f>ROUND(Q104*$P104*Input!$C$3/365,0)</f>
        <v>3188259</v>
      </c>
      <c r="S104" s="60">
        <f>IF(A104&lt;=Input!$C$6,0,IF('Unique Tenure'!O104&lt;'Unique Tenure'!Q104,'Unique Tenure'!O104-R104,'Unique Tenure'!Q104))</f>
        <v>16415158.499999996</v>
      </c>
      <c r="T104" s="60">
        <f t="shared" si="39"/>
        <v>19603417.499999996</v>
      </c>
      <c r="U104" s="60">
        <f t="shared" si="40"/>
        <v>242188035</v>
      </c>
      <c r="V104" s="193"/>
      <c r="W104" s="169">
        <v>100</v>
      </c>
      <c r="X104" s="1">
        <f t="shared" si="62"/>
        <v>48563</v>
      </c>
      <c r="Y104" s="60">
        <f>IF($X104&lt;Input!$H$58,IF($X104&lt;Input!$G$58,IF($X104&lt;Input!$F$58,IF($X104&lt;Input!$E$58,IF($X104&lt;Input!$D$58,Input!$C$64,Input!$D$64),Input!$E$64),Input!$F$64),Input!$G$64),Input!$H$64)</f>
        <v>0</v>
      </c>
      <c r="Z104" s="190">
        <f>IF($A104&lt;Input!$H$65,IF($A104&lt;Input!$G$65,IF($A104&lt;Input!$F$65,IF($A104&lt;Input!$E$65,IF($A104&lt;Input!$D$65,Input!$C$66,Input!$D$66),Input!$E$66),Input!$F$66),Input!$G$66),Input!$H$66)</f>
        <v>0.9</v>
      </c>
      <c r="AA104" s="60">
        <f t="shared" si="41"/>
        <v>0</v>
      </c>
      <c r="AB104" s="60">
        <f t="shared" si="63"/>
        <v>30</v>
      </c>
      <c r="AC104" s="60">
        <f t="shared" si="42"/>
        <v>0</v>
      </c>
      <c r="AD104" s="60">
        <f>ROUND(AC104*AB104*Input!$C$3/365,0)</f>
        <v>0</v>
      </c>
      <c r="AE104" s="61">
        <f>IF($A104&lt;=Input!$C$6,0,IF('Unique Tenure'!AA104&lt;'Unique Tenure'!AC104,'Unique Tenure'!AA104-AD104,'Unique Tenure'!AC104))</f>
        <v>0</v>
      </c>
      <c r="AF104" s="61">
        <f t="shared" si="43"/>
        <v>0</v>
      </c>
      <c r="AG104" s="60">
        <f t="shared" si="44"/>
        <v>0</v>
      </c>
      <c r="AH104" s="193"/>
      <c r="AI104" s="169">
        <v>100</v>
      </c>
      <c r="AJ104" s="1">
        <f t="shared" si="64"/>
        <v>48563</v>
      </c>
      <c r="AK104" s="60">
        <f>IF($X104&lt;Input!$H$73,IF($X104&lt;Input!$G$73,IF($X104&lt;Input!$F$73,IF($X104&lt;Input!$E$73,IF($X104&lt;Input!$D$73,Input!$C$79,Input!$D$79),Input!$E$79),Input!$F$79),Input!$G$79),Input!$H$79)</f>
        <v>0</v>
      </c>
      <c r="AL104" s="190">
        <f>IF($A104&lt;Input!$H$80,IF($A104&lt;Input!$G$80,IF($A104&lt;Input!$F$80,IF($A104&lt;Input!$E$80,IF($A104&lt;Input!$D$80,Input!$C$81,Input!$D$81),Input!$E$81),Input!$F$81),Input!$G$81),Input!$H$81)</f>
        <v>0.9</v>
      </c>
      <c r="AM104" s="60">
        <f t="shared" si="45"/>
        <v>0</v>
      </c>
      <c r="AN104" s="60">
        <f t="shared" si="65"/>
        <v>30</v>
      </c>
      <c r="AO104" s="60">
        <f t="shared" si="46"/>
        <v>0</v>
      </c>
      <c r="AP104" s="60">
        <f>ROUND(AO104*AN104*Input!$C$3/365,0)</f>
        <v>0</v>
      </c>
      <c r="AQ104" s="61">
        <f>IF($A104&lt;=Input!$C$6,0,IF('Unique Tenure'!AM104&lt;'Unique Tenure'!AO104,'Unique Tenure'!AM104-AP104,'Unique Tenure'!AO104))</f>
        <v>0</v>
      </c>
      <c r="AR104" s="61">
        <f t="shared" si="47"/>
        <v>0</v>
      </c>
      <c r="AS104" s="60">
        <f t="shared" si="48"/>
        <v>0</v>
      </c>
      <c r="AT104" s="193"/>
      <c r="AU104" s="169">
        <v>100</v>
      </c>
      <c r="AV104" s="1">
        <f t="shared" si="66"/>
        <v>48563</v>
      </c>
      <c r="AW104" s="60">
        <f>IF($X104&lt;Input!$H$88,IF($X104&lt;Input!$G$88,IF($X104&lt;Input!$F$88,IF($X104&lt;Input!$E$88,IF($X104&lt;Input!$D$88,Input!$C$94,Input!$D$94),Input!$E$94),Input!$F$94),Input!$G$94),Input!$H$94)</f>
        <v>0</v>
      </c>
      <c r="AX104" s="190">
        <f>IF($A104&lt;Input!$H$95,IF($A104&lt;Input!$G$95,IF($A104&lt;Input!$F$95,IF($A104&lt;Input!$E$95,IF($A104&lt;Input!$D$95,Input!$C$96,Input!$D$96),Input!$E$96),Input!$F$96),Input!$G$96),Input!$H$96)</f>
        <v>0.9</v>
      </c>
      <c r="AY104" s="60">
        <f t="shared" si="49"/>
        <v>0</v>
      </c>
      <c r="AZ104" s="60">
        <f t="shared" si="67"/>
        <v>30</v>
      </c>
      <c r="BA104" s="60">
        <f t="shared" si="50"/>
        <v>0</v>
      </c>
      <c r="BB104" s="60">
        <f>ROUND(BA104*AZ104*Input!$C$3/365,0)</f>
        <v>0</v>
      </c>
      <c r="BC104" s="61">
        <f>IF($A104&lt;=Input!$C$6,0,IF('Unique Tenure'!AY104&lt;'Unique Tenure'!BA104,'Unique Tenure'!AY104-BB104,'Unique Tenure'!BA104))</f>
        <v>0</v>
      </c>
      <c r="BD104" s="61">
        <f t="shared" si="51"/>
        <v>0</v>
      </c>
      <c r="BE104" s="60">
        <f t="shared" si="52"/>
        <v>0</v>
      </c>
      <c r="BF104" s="193"/>
      <c r="BG104" s="169">
        <v>100</v>
      </c>
      <c r="BH104" s="1">
        <f t="shared" si="68"/>
        <v>48563</v>
      </c>
      <c r="BI104" s="60">
        <f>IF($X104&lt;Input!$H$103,IF($X104&lt;Input!$G$103,IF($X104&lt;Input!$F$103,IF($X104&lt;Input!$E$103,IF($X104&lt;Input!$D$103,Input!$C$109,Input!$D$109),Input!$E$109),Input!$F$109),Input!$G$109),Input!$H$109)</f>
        <v>0</v>
      </c>
      <c r="BJ104" s="190">
        <f>IF($A104&lt;Input!$H$110,IF($A104&lt;Input!$G$110,IF($A104&lt;Input!$F$110,IF($A104&lt;Input!$E$110,IF($A104&lt;Input!$D$110,Input!$C$111,Input!$D$111),Input!$E$111),Input!$F$111),Input!$G$111),Input!$H$111)</f>
        <v>0.9</v>
      </c>
      <c r="BK104" s="60">
        <f t="shared" si="53"/>
        <v>0</v>
      </c>
      <c r="BL104" s="60">
        <f t="shared" si="69"/>
        <v>30</v>
      </c>
      <c r="BM104" s="60">
        <f t="shared" si="54"/>
        <v>0</v>
      </c>
      <c r="BN104" s="60">
        <f>ROUND(BM104*BL104*Input!$C$3/365,0)</f>
        <v>0</v>
      </c>
      <c r="BO104" s="61">
        <f>IF($A104&lt;=Input!$C$6,0,IF('Unique Tenure'!BK104&lt;'Unique Tenure'!BM104,'Unique Tenure'!BK104-BN104,'Unique Tenure'!BM104))</f>
        <v>0</v>
      </c>
      <c r="BP104" s="61">
        <f t="shared" si="55"/>
        <v>0</v>
      </c>
      <c r="BQ104" s="60">
        <f t="shared" si="56"/>
        <v>0</v>
      </c>
      <c r="BR104" s="198"/>
    </row>
    <row r="105" spans="1:70" s="51" customFormat="1" x14ac:dyDescent="0.25">
      <c r="A105" s="169">
        <v>101</v>
      </c>
      <c r="B105" s="1">
        <f t="shared" si="57"/>
        <v>48594</v>
      </c>
      <c r="C105" s="60">
        <f>SUM(
   IF(($A$4:$A$184 &lt;= Input!$D$16), M105, 0),
   IF(($A$4:$A$184 &lt;= Input!$E$16), Y105, 0),
   IF(($A$4:$A$184 &lt;= Input!$F$16), AK105, 0),
   IF(($A$4:$A$184 &lt;= Input!$G$16), AW105, 0),
   IF(($A$4:$A$184 &lt;= Input!$H$16), BI105, 0)
)</f>
        <v>21781574.999999996</v>
      </c>
      <c r="D105" s="60">
        <f>SUM(
   IF(($A$4:$A$184 &lt;= Input!$D$16), O105, 0),
   IF(($A$4:$A$184 &lt;= Input!$E$16), AA105, 0),
   IF(($A$4:$A$184 &lt;= Input!$F$16), AM105, 0),
   IF(($A$4:$A$184 &lt;= Input!$G$16), AY105, 0),
   IF(($A$4:$A$184 &lt;= Input!$H$16), BK105, 0)
)</f>
        <v>19603417.499999996</v>
      </c>
      <c r="E105" s="60">
        <f t="shared" si="58"/>
        <v>31</v>
      </c>
      <c r="F105" s="60">
        <f t="shared" si="59"/>
        <v>242188035</v>
      </c>
      <c r="G105" s="60">
        <f>ROUND(F105*E105*Input!$C$3/365,0)</f>
        <v>3085409</v>
      </c>
      <c r="H105" s="60">
        <f>IF($A105&lt;=Input!$C$6,0,IF('Unique Tenure'!D105&lt;'Unique Tenure'!F105,'Unique Tenure'!D105-G105,'Unique Tenure'!F105))</f>
        <v>16518008.499999996</v>
      </c>
      <c r="I105" s="60">
        <f t="shared" si="60"/>
        <v>19603417.499999996</v>
      </c>
      <c r="J105" s="60">
        <f t="shared" si="61"/>
        <v>225670026.5</v>
      </c>
      <c r="K105" s="202">
        <f>J105/Input!$K$5</f>
        <v>0.75223342166666662</v>
      </c>
      <c r="L105" s="232"/>
      <c r="M105" s="60">
        <f>IF($B105&lt;Input!$H$43,IF($B105&lt;Input!$G$43,IF($B105&lt;Input!$F$43,IF($B105&lt;Input!$E$43,IF($B105&lt;Input!$D$43,Input!$C$49,Input!$D$49),Input!$E$49),Input!$F$49),Input!$G$49),Input!$H$49)</f>
        <v>21781574.999999996</v>
      </c>
      <c r="N105" s="190">
        <f>IF($A105&lt;Input!$H$50,IF($A105&lt;Input!$G$50,IF($A105&lt;Input!$F$50,IF($A105&lt;Input!$E$50,IF($A105&lt;Input!$D$50,Input!$C$51,Input!$D$51),Input!$E$51),Input!$F$51),Input!$G$51),Input!$H$51)</f>
        <v>0.9</v>
      </c>
      <c r="O105" s="60">
        <f t="shared" si="70"/>
        <v>19603417.499999996</v>
      </c>
      <c r="P105" s="60">
        <f t="shared" si="71"/>
        <v>31</v>
      </c>
      <c r="Q105" s="60">
        <f t="shared" si="38"/>
        <v>242188035</v>
      </c>
      <c r="R105" s="60">
        <f>ROUND(Q105*$P105*Input!$C$3/365,0)</f>
        <v>3085409</v>
      </c>
      <c r="S105" s="60">
        <f>IF(A105&lt;=Input!$C$6,0,IF('Unique Tenure'!O105&lt;'Unique Tenure'!Q105,'Unique Tenure'!O105-R105,'Unique Tenure'!Q105))</f>
        <v>16518008.499999996</v>
      </c>
      <c r="T105" s="60">
        <f t="shared" si="39"/>
        <v>19603417.499999996</v>
      </c>
      <c r="U105" s="60">
        <f t="shared" si="40"/>
        <v>225670026.5</v>
      </c>
      <c r="V105" s="193"/>
      <c r="W105" s="169">
        <v>101</v>
      </c>
      <c r="X105" s="1">
        <f t="shared" si="62"/>
        <v>48594</v>
      </c>
      <c r="Y105" s="60">
        <f>IF($X105&lt;Input!$H$58,IF($X105&lt;Input!$G$58,IF($X105&lt;Input!$F$58,IF($X105&lt;Input!$E$58,IF($X105&lt;Input!$D$58,Input!$C$64,Input!$D$64),Input!$E$64),Input!$F$64),Input!$G$64),Input!$H$64)</f>
        <v>0</v>
      </c>
      <c r="Z105" s="190">
        <f>IF($A105&lt;Input!$H$65,IF($A105&lt;Input!$G$65,IF($A105&lt;Input!$F$65,IF($A105&lt;Input!$E$65,IF($A105&lt;Input!$D$65,Input!$C$66,Input!$D$66),Input!$E$66),Input!$F$66),Input!$G$66),Input!$H$66)</f>
        <v>0.9</v>
      </c>
      <c r="AA105" s="60">
        <f t="shared" si="41"/>
        <v>0</v>
      </c>
      <c r="AB105" s="60">
        <f t="shared" si="63"/>
        <v>31</v>
      </c>
      <c r="AC105" s="60">
        <f t="shared" si="42"/>
        <v>0</v>
      </c>
      <c r="AD105" s="60">
        <f>ROUND(AC105*AB105*Input!$C$3/365,0)</f>
        <v>0</v>
      </c>
      <c r="AE105" s="61">
        <f>IF($A105&lt;=Input!$C$6,0,IF('Unique Tenure'!AA105&lt;'Unique Tenure'!AC105,'Unique Tenure'!AA105-AD105,'Unique Tenure'!AC105))</f>
        <v>0</v>
      </c>
      <c r="AF105" s="61">
        <f t="shared" si="43"/>
        <v>0</v>
      </c>
      <c r="AG105" s="60">
        <f t="shared" si="44"/>
        <v>0</v>
      </c>
      <c r="AH105" s="193"/>
      <c r="AI105" s="169">
        <v>101</v>
      </c>
      <c r="AJ105" s="1">
        <f t="shared" si="64"/>
        <v>48594</v>
      </c>
      <c r="AK105" s="60">
        <f>IF($X105&lt;Input!$H$73,IF($X105&lt;Input!$G$73,IF($X105&lt;Input!$F$73,IF($X105&lt;Input!$E$73,IF($X105&lt;Input!$D$73,Input!$C$79,Input!$D$79),Input!$E$79),Input!$F$79),Input!$G$79),Input!$H$79)</f>
        <v>0</v>
      </c>
      <c r="AL105" s="190">
        <f>IF($A105&lt;Input!$H$80,IF($A105&lt;Input!$G$80,IF($A105&lt;Input!$F$80,IF($A105&lt;Input!$E$80,IF($A105&lt;Input!$D$80,Input!$C$81,Input!$D$81),Input!$E$81),Input!$F$81),Input!$G$81),Input!$H$81)</f>
        <v>0.9</v>
      </c>
      <c r="AM105" s="60">
        <f t="shared" si="45"/>
        <v>0</v>
      </c>
      <c r="AN105" s="60">
        <f t="shared" si="65"/>
        <v>31</v>
      </c>
      <c r="AO105" s="60">
        <f t="shared" si="46"/>
        <v>0</v>
      </c>
      <c r="AP105" s="60">
        <f>ROUND(AO105*AN105*Input!$C$3/365,0)</f>
        <v>0</v>
      </c>
      <c r="AQ105" s="61">
        <f>IF($A105&lt;=Input!$C$6,0,IF('Unique Tenure'!AM105&lt;'Unique Tenure'!AO105,'Unique Tenure'!AM105-AP105,'Unique Tenure'!AO105))</f>
        <v>0</v>
      </c>
      <c r="AR105" s="61">
        <f t="shared" si="47"/>
        <v>0</v>
      </c>
      <c r="AS105" s="60">
        <f t="shared" si="48"/>
        <v>0</v>
      </c>
      <c r="AT105" s="193"/>
      <c r="AU105" s="169">
        <v>101</v>
      </c>
      <c r="AV105" s="1">
        <f t="shared" si="66"/>
        <v>48594</v>
      </c>
      <c r="AW105" s="60">
        <f>IF($X105&lt;Input!$H$88,IF($X105&lt;Input!$G$88,IF($X105&lt;Input!$F$88,IF($X105&lt;Input!$E$88,IF($X105&lt;Input!$D$88,Input!$C$94,Input!$D$94),Input!$E$94),Input!$F$94),Input!$G$94),Input!$H$94)</f>
        <v>0</v>
      </c>
      <c r="AX105" s="190">
        <f>IF($A105&lt;Input!$H$95,IF($A105&lt;Input!$G$95,IF($A105&lt;Input!$F$95,IF($A105&lt;Input!$E$95,IF($A105&lt;Input!$D$95,Input!$C$96,Input!$D$96),Input!$E$96),Input!$F$96),Input!$G$96),Input!$H$96)</f>
        <v>0.9</v>
      </c>
      <c r="AY105" s="60">
        <f t="shared" si="49"/>
        <v>0</v>
      </c>
      <c r="AZ105" s="60">
        <f t="shared" si="67"/>
        <v>31</v>
      </c>
      <c r="BA105" s="60">
        <f t="shared" si="50"/>
        <v>0</v>
      </c>
      <c r="BB105" s="60">
        <f>ROUND(BA105*AZ105*Input!$C$3/365,0)</f>
        <v>0</v>
      </c>
      <c r="BC105" s="61">
        <f>IF($A105&lt;=Input!$C$6,0,IF('Unique Tenure'!AY105&lt;'Unique Tenure'!BA105,'Unique Tenure'!AY105-BB105,'Unique Tenure'!BA105))</f>
        <v>0</v>
      </c>
      <c r="BD105" s="61">
        <f t="shared" si="51"/>
        <v>0</v>
      </c>
      <c r="BE105" s="60">
        <f t="shared" si="52"/>
        <v>0</v>
      </c>
      <c r="BF105" s="193"/>
      <c r="BG105" s="169">
        <v>101</v>
      </c>
      <c r="BH105" s="1">
        <f t="shared" si="68"/>
        <v>48594</v>
      </c>
      <c r="BI105" s="60">
        <f>IF($X105&lt;Input!$H$103,IF($X105&lt;Input!$G$103,IF($X105&lt;Input!$F$103,IF($X105&lt;Input!$E$103,IF($X105&lt;Input!$D$103,Input!$C$109,Input!$D$109),Input!$E$109),Input!$F$109),Input!$G$109),Input!$H$109)</f>
        <v>0</v>
      </c>
      <c r="BJ105" s="190">
        <f>IF($A105&lt;Input!$H$110,IF($A105&lt;Input!$G$110,IF($A105&lt;Input!$F$110,IF($A105&lt;Input!$E$110,IF($A105&lt;Input!$D$110,Input!$C$111,Input!$D$111),Input!$E$111),Input!$F$111),Input!$G$111),Input!$H$111)</f>
        <v>0.9</v>
      </c>
      <c r="BK105" s="60">
        <f t="shared" si="53"/>
        <v>0</v>
      </c>
      <c r="BL105" s="60">
        <f t="shared" si="69"/>
        <v>31</v>
      </c>
      <c r="BM105" s="60">
        <f t="shared" si="54"/>
        <v>0</v>
      </c>
      <c r="BN105" s="60">
        <f>ROUND(BM105*BL105*Input!$C$3/365,0)</f>
        <v>0</v>
      </c>
      <c r="BO105" s="61">
        <f>IF($A105&lt;=Input!$C$6,0,IF('Unique Tenure'!BK105&lt;'Unique Tenure'!BM105,'Unique Tenure'!BK105-BN105,'Unique Tenure'!BM105))</f>
        <v>0</v>
      </c>
      <c r="BP105" s="61">
        <f t="shared" si="55"/>
        <v>0</v>
      </c>
      <c r="BQ105" s="60">
        <f t="shared" si="56"/>
        <v>0</v>
      </c>
      <c r="BR105" s="198"/>
    </row>
    <row r="106" spans="1:70" s="51" customFormat="1" x14ac:dyDescent="0.25">
      <c r="A106" s="169">
        <v>102</v>
      </c>
      <c r="B106" s="1">
        <f t="shared" si="57"/>
        <v>48625</v>
      </c>
      <c r="C106" s="60">
        <f>SUM(
   IF(($A$4:$A$184 &lt;= Input!$D$16), M106, 0),
   IF(($A$4:$A$184 &lt;= Input!$E$16), Y106, 0),
   IF(($A$4:$A$184 &lt;= Input!$F$16), AK106, 0),
   IF(($A$4:$A$184 &lt;= Input!$G$16), AW106, 0),
   IF(($A$4:$A$184 &lt;= Input!$H$16), BI106, 0)
)</f>
        <v>21781574.999999996</v>
      </c>
      <c r="D106" s="60">
        <f>SUM(
   IF(($A$4:$A$184 &lt;= Input!$D$16), O106, 0),
   IF(($A$4:$A$184 &lt;= Input!$E$16), AA106, 0),
   IF(($A$4:$A$184 &lt;= Input!$F$16), AM106, 0),
   IF(($A$4:$A$184 &lt;= Input!$G$16), AY106, 0),
   IF(($A$4:$A$184 &lt;= Input!$H$16), BK106, 0)
)</f>
        <v>19603417.499999996</v>
      </c>
      <c r="E106" s="60">
        <f t="shared" si="58"/>
        <v>31</v>
      </c>
      <c r="F106" s="60">
        <f t="shared" si="59"/>
        <v>225670026.5</v>
      </c>
      <c r="G106" s="60">
        <f>ROUND(F106*E106*Input!$C$3/365,0)</f>
        <v>2874974</v>
      </c>
      <c r="H106" s="60">
        <f>IF($A106&lt;=Input!$C$6,0,IF('Unique Tenure'!D106&lt;'Unique Tenure'!F106,'Unique Tenure'!D106-G106,'Unique Tenure'!F106))</f>
        <v>16728443.499999996</v>
      </c>
      <c r="I106" s="60">
        <f t="shared" si="60"/>
        <v>19603417.499999996</v>
      </c>
      <c r="J106" s="60">
        <f t="shared" si="61"/>
        <v>208941583</v>
      </c>
      <c r="K106" s="202">
        <f>J106/Input!$K$5</f>
        <v>0.69647194333333329</v>
      </c>
      <c r="L106" s="232"/>
      <c r="M106" s="60">
        <f>IF($B106&lt;Input!$H$43,IF($B106&lt;Input!$G$43,IF($B106&lt;Input!$F$43,IF($B106&lt;Input!$E$43,IF($B106&lt;Input!$D$43,Input!$C$49,Input!$D$49),Input!$E$49),Input!$F$49),Input!$G$49),Input!$H$49)</f>
        <v>21781574.999999996</v>
      </c>
      <c r="N106" s="190">
        <f>IF($A106&lt;Input!$H$50,IF($A106&lt;Input!$G$50,IF($A106&lt;Input!$F$50,IF($A106&lt;Input!$E$50,IF($A106&lt;Input!$D$50,Input!$C$51,Input!$D$51),Input!$E$51),Input!$F$51),Input!$G$51),Input!$H$51)</f>
        <v>0.9</v>
      </c>
      <c r="O106" s="60">
        <f t="shared" si="70"/>
        <v>19603417.499999996</v>
      </c>
      <c r="P106" s="60">
        <f t="shared" si="71"/>
        <v>31</v>
      </c>
      <c r="Q106" s="60">
        <f t="shared" si="38"/>
        <v>225670026.5</v>
      </c>
      <c r="R106" s="60">
        <f>ROUND(Q106*$P106*Input!$C$3/365,0)</f>
        <v>2874974</v>
      </c>
      <c r="S106" s="60">
        <f>IF(A106&lt;=Input!$C$6,0,IF('Unique Tenure'!O106&lt;'Unique Tenure'!Q106,'Unique Tenure'!O106-R106,'Unique Tenure'!Q106))</f>
        <v>16728443.499999996</v>
      </c>
      <c r="T106" s="60">
        <f t="shared" si="39"/>
        <v>19603417.499999996</v>
      </c>
      <c r="U106" s="60">
        <f t="shared" si="40"/>
        <v>208941583</v>
      </c>
      <c r="V106" s="193"/>
      <c r="W106" s="169">
        <v>102</v>
      </c>
      <c r="X106" s="1">
        <f t="shared" si="62"/>
        <v>48625</v>
      </c>
      <c r="Y106" s="60">
        <f>IF($X106&lt;Input!$H$58,IF($X106&lt;Input!$G$58,IF($X106&lt;Input!$F$58,IF($X106&lt;Input!$E$58,IF($X106&lt;Input!$D$58,Input!$C$64,Input!$D$64),Input!$E$64),Input!$F$64),Input!$G$64),Input!$H$64)</f>
        <v>0</v>
      </c>
      <c r="Z106" s="190">
        <f>IF($A106&lt;Input!$H$65,IF($A106&lt;Input!$G$65,IF($A106&lt;Input!$F$65,IF($A106&lt;Input!$E$65,IF($A106&lt;Input!$D$65,Input!$C$66,Input!$D$66),Input!$E$66),Input!$F$66),Input!$G$66),Input!$H$66)</f>
        <v>0.9</v>
      </c>
      <c r="AA106" s="60">
        <f t="shared" si="41"/>
        <v>0</v>
      </c>
      <c r="AB106" s="60">
        <f t="shared" si="63"/>
        <v>31</v>
      </c>
      <c r="AC106" s="60">
        <f t="shared" si="42"/>
        <v>0</v>
      </c>
      <c r="AD106" s="60">
        <f>ROUND(AC106*AB106*Input!$C$3/365,0)</f>
        <v>0</v>
      </c>
      <c r="AE106" s="61">
        <f>IF($A106&lt;=Input!$C$6,0,IF('Unique Tenure'!AA106&lt;'Unique Tenure'!AC106,'Unique Tenure'!AA106-AD106,'Unique Tenure'!AC106))</f>
        <v>0</v>
      </c>
      <c r="AF106" s="61">
        <f t="shared" si="43"/>
        <v>0</v>
      </c>
      <c r="AG106" s="60">
        <f t="shared" si="44"/>
        <v>0</v>
      </c>
      <c r="AH106" s="193"/>
      <c r="AI106" s="169">
        <v>102</v>
      </c>
      <c r="AJ106" s="1">
        <f t="shared" si="64"/>
        <v>48625</v>
      </c>
      <c r="AK106" s="60">
        <f>IF($X106&lt;Input!$H$73,IF($X106&lt;Input!$G$73,IF($X106&lt;Input!$F$73,IF($X106&lt;Input!$E$73,IF($X106&lt;Input!$D$73,Input!$C$79,Input!$D$79),Input!$E$79),Input!$F$79),Input!$G$79),Input!$H$79)</f>
        <v>0</v>
      </c>
      <c r="AL106" s="190">
        <f>IF($A106&lt;Input!$H$80,IF($A106&lt;Input!$G$80,IF($A106&lt;Input!$F$80,IF($A106&lt;Input!$E$80,IF($A106&lt;Input!$D$80,Input!$C$81,Input!$D$81),Input!$E$81),Input!$F$81),Input!$G$81),Input!$H$81)</f>
        <v>0.9</v>
      </c>
      <c r="AM106" s="60">
        <f t="shared" si="45"/>
        <v>0</v>
      </c>
      <c r="AN106" s="60">
        <f t="shared" si="65"/>
        <v>31</v>
      </c>
      <c r="AO106" s="60">
        <f t="shared" si="46"/>
        <v>0</v>
      </c>
      <c r="AP106" s="60">
        <f>ROUND(AO106*AN106*Input!$C$3/365,0)</f>
        <v>0</v>
      </c>
      <c r="AQ106" s="61">
        <f>IF($A106&lt;=Input!$C$6,0,IF('Unique Tenure'!AM106&lt;'Unique Tenure'!AO106,'Unique Tenure'!AM106-AP106,'Unique Tenure'!AO106))</f>
        <v>0</v>
      </c>
      <c r="AR106" s="61">
        <f t="shared" si="47"/>
        <v>0</v>
      </c>
      <c r="AS106" s="60">
        <f t="shared" si="48"/>
        <v>0</v>
      </c>
      <c r="AT106" s="193"/>
      <c r="AU106" s="169">
        <v>102</v>
      </c>
      <c r="AV106" s="1">
        <f t="shared" si="66"/>
        <v>48625</v>
      </c>
      <c r="AW106" s="60">
        <f>IF($X106&lt;Input!$H$88,IF($X106&lt;Input!$G$88,IF($X106&lt;Input!$F$88,IF($X106&lt;Input!$E$88,IF($X106&lt;Input!$D$88,Input!$C$94,Input!$D$94),Input!$E$94),Input!$F$94),Input!$G$94),Input!$H$94)</f>
        <v>0</v>
      </c>
      <c r="AX106" s="190">
        <f>IF($A106&lt;Input!$H$95,IF($A106&lt;Input!$G$95,IF($A106&lt;Input!$F$95,IF($A106&lt;Input!$E$95,IF($A106&lt;Input!$D$95,Input!$C$96,Input!$D$96),Input!$E$96),Input!$F$96),Input!$G$96),Input!$H$96)</f>
        <v>0.9</v>
      </c>
      <c r="AY106" s="60">
        <f t="shared" si="49"/>
        <v>0</v>
      </c>
      <c r="AZ106" s="60">
        <f t="shared" si="67"/>
        <v>31</v>
      </c>
      <c r="BA106" s="60">
        <f t="shared" si="50"/>
        <v>0</v>
      </c>
      <c r="BB106" s="60">
        <f>ROUND(BA106*AZ106*Input!$C$3/365,0)</f>
        <v>0</v>
      </c>
      <c r="BC106" s="61">
        <f>IF($A106&lt;=Input!$C$6,0,IF('Unique Tenure'!AY106&lt;'Unique Tenure'!BA106,'Unique Tenure'!AY106-BB106,'Unique Tenure'!BA106))</f>
        <v>0</v>
      </c>
      <c r="BD106" s="61">
        <f t="shared" si="51"/>
        <v>0</v>
      </c>
      <c r="BE106" s="60">
        <f t="shared" si="52"/>
        <v>0</v>
      </c>
      <c r="BF106" s="193"/>
      <c r="BG106" s="169">
        <v>102</v>
      </c>
      <c r="BH106" s="1">
        <f t="shared" si="68"/>
        <v>48625</v>
      </c>
      <c r="BI106" s="60">
        <f>IF($X106&lt;Input!$H$103,IF($X106&lt;Input!$G$103,IF($X106&lt;Input!$F$103,IF($X106&lt;Input!$E$103,IF($X106&lt;Input!$D$103,Input!$C$109,Input!$D$109),Input!$E$109),Input!$F$109),Input!$G$109),Input!$H$109)</f>
        <v>0</v>
      </c>
      <c r="BJ106" s="190">
        <f>IF($A106&lt;Input!$H$110,IF($A106&lt;Input!$G$110,IF($A106&lt;Input!$F$110,IF($A106&lt;Input!$E$110,IF($A106&lt;Input!$D$110,Input!$C$111,Input!$D$111),Input!$E$111),Input!$F$111),Input!$G$111),Input!$H$111)</f>
        <v>0.9</v>
      </c>
      <c r="BK106" s="60">
        <f t="shared" si="53"/>
        <v>0</v>
      </c>
      <c r="BL106" s="60">
        <f t="shared" si="69"/>
        <v>31</v>
      </c>
      <c r="BM106" s="60">
        <f t="shared" si="54"/>
        <v>0</v>
      </c>
      <c r="BN106" s="60">
        <f>ROUND(BM106*BL106*Input!$C$3/365,0)</f>
        <v>0</v>
      </c>
      <c r="BO106" s="61">
        <f>IF($A106&lt;=Input!$C$6,0,IF('Unique Tenure'!BK106&lt;'Unique Tenure'!BM106,'Unique Tenure'!BK106-BN106,'Unique Tenure'!BM106))</f>
        <v>0</v>
      </c>
      <c r="BP106" s="61">
        <f t="shared" si="55"/>
        <v>0</v>
      </c>
      <c r="BQ106" s="60">
        <f t="shared" si="56"/>
        <v>0</v>
      </c>
      <c r="BR106" s="198"/>
    </row>
    <row r="107" spans="1:70" s="51" customFormat="1" x14ac:dyDescent="0.25">
      <c r="A107" s="169">
        <v>103</v>
      </c>
      <c r="B107" s="1">
        <f t="shared" si="57"/>
        <v>48653</v>
      </c>
      <c r="C107" s="60">
        <f>SUM(
   IF(($A$4:$A$184 &lt;= Input!$D$16), M107, 0),
   IF(($A$4:$A$184 &lt;= Input!$E$16), Y107, 0),
   IF(($A$4:$A$184 &lt;= Input!$F$16), AK107, 0),
   IF(($A$4:$A$184 &lt;= Input!$G$16), AW107, 0),
   IF(($A$4:$A$184 &lt;= Input!$H$16), BI107, 0)
)</f>
        <v>21781574.999999996</v>
      </c>
      <c r="D107" s="60">
        <f>SUM(
   IF(($A$4:$A$184 &lt;= Input!$D$16), O107, 0),
   IF(($A$4:$A$184 &lt;= Input!$E$16), AA107, 0),
   IF(($A$4:$A$184 &lt;= Input!$F$16), AM107, 0),
   IF(($A$4:$A$184 &lt;= Input!$G$16), AY107, 0),
   IF(($A$4:$A$184 &lt;= Input!$H$16), BK107, 0)
)</f>
        <v>19603417.499999996</v>
      </c>
      <c r="E107" s="60">
        <f t="shared" si="58"/>
        <v>28</v>
      </c>
      <c r="F107" s="60">
        <f t="shared" si="59"/>
        <v>208941583</v>
      </c>
      <c r="G107" s="60">
        <f>ROUND(F107*E107*Input!$C$3/365,0)</f>
        <v>2404259</v>
      </c>
      <c r="H107" s="60">
        <f>IF($A107&lt;=Input!$C$6,0,IF('Unique Tenure'!D107&lt;'Unique Tenure'!F107,'Unique Tenure'!D107-G107,'Unique Tenure'!F107))</f>
        <v>17199158.499999996</v>
      </c>
      <c r="I107" s="60">
        <f t="shared" si="60"/>
        <v>19603417.499999996</v>
      </c>
      <c r="J107" s="60">
        <f t="shared" si="61"/>
        <v>191742424.5</v>
      </c>
      <c r="K107" s="202">
        <f>J107/Input!$K$5</f>
        <v>0.63914141499999999</v>
      </c>
      <c r="L107" s="232"/>
      <c r="M107" s="60">
        <f>IF($B107&lt;Input!$H$43,IF($B107&lt;Input!$G$43,IF($B107&lt;Input!$F$43,IF($B107&lt;Input!$E$43,IF($B107&lt;Input!$D$43,Input!$C$49,Input!$D$49),Input!$E$49),Input!$F$49),Input!$G$49),Input!$H$49)</f>
        <v>21781574.999999996</v>
      </c>
      <c r="N107" s="190">
        <f>IF($A107&lt;Input!$H$50,IF($A107&lt;Input!$G$50,IF($A107&lt;Input!$F$50,IF($A107&lt;Input!$E$50,IF($A107&lt;Input!$D$50,Input!$C$51,Input!$D$51),Input!$E$51),Input!$F$51),Input!$G$51),Input!$H$51)</f>
        <v>0.9</v>
      </c>
      <c r="O107" s="60">
        <f t="shared" si="70"/>
        <v>19603417.499999996</v>
      </c>
      <c r="P107" s="60">
        <f t="shared" si="71"/>
        <v>28</v>
      </c>
      <c r="Q107" s="60">
        <f t="shared" si="38"/>
        <v>208941583</v>
      </c>
      <c r="R107" s="60">
        <f>ROUND(Q107*$P107*Input!$C$3/365,0)</f>
        <v>2404259</v>
      </c>
      <c r="S107" s="60">
        <f>IF(A107&lt;=Input!$C$6,0,IF('Unique Tenure'!O107&lt;'Unique Tenure'!Q107,'Unique Tenure'!O107-R107,'Unique Tenure'!Q107))</f>
        <v>17199158.499999996</v>
      </c>
      <c r="T107" s="60">
        <f t="shared" si="39"/>
        <v>19603417.499999996</v>
      </c>
      <c r="U107" s="60">
        <f t="shared" si="40"/>
        <v>191742424.5</v>
      </c>
      <c r="V107" s="193"/>
      <c r="W107" s="169">
        <v>103</v>
      </c>
      <c r="X107" s="1">
        <f t="shared" si="62"/>
        <v>48653</v>
      </c>
      <c r="Y107" s="60">
        <f>IF($X107&lt;Input!$H$58,IF($X107&lt;Input!$G$58,IF($X107&lt;Input!$F$58,IF($X107&lt;Input!$E$58,IF($X107&lt;Input!$D$58,Input!$C$64,Input!$D$64),Input!$E$64),Input!$F$64),Input!$G$64),Input!$H$64)</f>
        <v>0</v>
      </c>
      <c r="Z107" s="190">
        <f>IF($A107&lt;Input!$H$65,IF($A107&lt;Input!$G$65,IF($A107&lt;Input!$F$65,IF($A107&lt;Input!$E$65,IF($A107&lt;Input!$D$65,Input!$C$66,Input!$D$66),Input!$E$66),Input!$F$66),Input!$G$66),Input!$H$66)</f>
        <v>0.9</v>
      </c>
      <c r="AA107" s="60">
        <f t="shared" si="41"/>
        <v>0</v>
      </c>
      <c r="AB107" s="60">
        <f t="shared" si="63"/>
        <v>28</v>
      </c>
      <c r="AC107" s="60">
        <f t="shared" si="42"/>
        <v>0</v>
      </c>
      <c r="AD107" s="60">
        <f>ROUND(AC107*AB107*Input!$C$3/365,0)</f>
        <v>0</v>
      </c>
      <c r="AE107" s="61">
        <f>IF($A107&lt;=Input!$C$6,0,IF('Unique Tenure'!AA107&lt;'Unique Tenure'!AC107,'Unique Tenure'!AA107-AD107,'Unique Tenure'!AC107))</f>
        <v>0</v>
      </c>
      <c r="AF107" s="61">
        <f t="shared" si="43"/>
        <v>0</v>
      </c>
      <c r="AG107" s="60">
        <f t="shared" si="44"/>
        <v>0</v>
      </c>
      <c r="AH107" s="193"/>
      <c r="AI107" s="169">
        <v>103</v>
      </c>
      <c r="AJ107" s="1">
        <f t="shared" si="64"/>
        <v>48653</v>
      </c>
      <c r="AK107" s="60">
        <f>IF($X107&lt;Input!$H$73,IF($X107&lt;Input!$G$73,IF($X107&lt;Input!$F$73,IF($X107&lt;Input!$E$73,IF($X107&lt;Input!$D$73,Input!$C$79,Input!$D$79),Input!$E$79),Input!$F$79),Input!$G$79),Input!$H$79)</f>
        <v>0</v>
      </c>
      <c r="AL107" s="190">
        <f>IF($A107&lt;Input!$H$80,IF($A107&lt;Input!$G$80,IF($A107&lt;Input!$F$80,IF($A107&lt;Input!$E$80,IF($A107&lt;Input!$D$80,Input!$C$81,Input!$D$81),Input!$E$81),Input!$F$81),Input!$G$81),Input!$H$81)</f>
        <v>0.9</v>
      </c>
      <c r="AM107" s="60">
        <f t="shared" si="45"/>
        <v>0</v>
      </c>
      <c r="AN107" s="60">
        <f t="shared" si="65"/>
        <v>28</v>
      </c>
      <c r="AO107" s="60">
        <f t="shared" si="46"/>
        <v>0</v>
      </c>
      <c r="AP107" s="60">
        <f>ROUND(AO107*AN107*Input!$C$3/365,0)</f>
        <v>0</v>
      </c>
      <c r="AQ107" s="61">
        <f>IF($A107&lt;=Input!$C$6,0,IF('Unique Tenure'!AM107&lt;'Unique Tenure'!AO107,'Unique Tenure'!AM107-AP107,'Unique Tenure'!AO107))</f>
        <v>0</v>
      </c>
      <c r="AR107" s="61">
        <f t="shared" si="47"/>
        <v>0</v>
      </c>
      <c r="AS107" s="60">
        <f t="shared" si="48"/>
        <v>0</v>
      </c>
      <c r="AT107" s="193"/>
      <c r="AU107" s="169">
        <v>103</v>
      </c>
      <c r="AV107" s="1">
        <f t="shared" si="66"/>
        <v>48653</v>
      </c>
      <c r="AW107" s="60">
        <f>IF($X107&lt;Input!$H$88,IF($X107&lt;Input!$G$88,IF($X107&lt;Input!$F$88,IF($X107&lt;Input!$E$88,IF($X107&lt;Input!$D$88,Input!$C$94,Input!$D$94),Input!$E$94),Input!$F$94),Input!$G$94),Input!$H$94)</f>
        <v>0</v>
      </c>
      <c r="AX107" s="190">
        <f>IF($A107&lt;Input!$H$95,IF($A107&lt;Input!$G$95,IF($A107&lt;Input!$F$95,IF($A107&lt;Input!$E$95,IF($A107&lt;Input!$D$95,Input!$C$96,Input!$D$96),Input!$E$96),Input!$F$96),Input!$G$96),Input!$H$96)</f>
        <v>0.9</v>
      </c>
      <c r="AY107" s="60">
        <f t="shared" si="49"/>
        <v>0</v>
      </c>
      <c r="AZ107" s="60">
        <f t="shared" si="67"/>
        <v>28</v>
      </c>
      <c r="BA107" s="60">
        <f t="shared" si="50"/>
        <v>0</v>
      </c>
      <c r="BB107" s="60">
        <f>ROUND(BA107*AZ107*Input!$C$3/365,0)</f>
        <v>0</v>
      </c>
      <c r="BC107" s="61">
        <f>IF($A107&lt;=Input!$C$6,0,IF('Unique Tenure'!AY107&lt;'Unique Tenure'!BA107,'Unique Tenure'!AY107-BB107,'Unique Tenure'!BA107))</f>
        <v>0</v>
      </c>
      <c r="BD107" s="61">
        <f t="shared" si="51"/>
        <v>0</v>
      </c>
      <c r="BE107" s="60">
        <f t="shared" si="52"/>
        <v>0</v>
      </c>
      <c r="BF107" s="193"/>
      <c r="BG107" s="169">
        <v>103</v>
      </c>
      <c r="BH107" s="1">
        <f t="shared" si="68"/>
        <v>48653</v>
      </c>
      <c r="BI107" s="60">
        <f>IF($X107&lt;Input!$H$103,IF($X107&lt;Input!$G$103,IF($X107&lt;Input!$F$103,IF($X107&lt;Input!$E$103,IF($X107&lt;Input!$D$103,Input!$C$109,Input!$D$109),Input!$E$109),Input!$F$109),Input!$G$109),Input!$H$109)</f>
        <v>0</v>
      </c>
      <c r="BJ107" s="190">
        <f>IF($A107&lt;Input!$H$110,IF($A107&lt;Input!$G$110,IF($A107&lt;Input!$F$110,IF($A107&lt;Input!$E$110,IF($A107&lt;Input!$D$110,Input!$C$111,Input!$D$111),Input!$E$111),Input!$F$111),Input!$G$111),Input!$H$111)</f>
        <v>0.9</v>
      </c>
      <c r="BK107" s="60">
        <f t="shared" si="53"/>
        <v>0</v>
      </c>
      <c r="BL107" s="60">
        <f t="shared" si="69"/>
        <v>28</v>
      </c>
      <c r="BM107" s="60">
        <f t="shared" si="54"/>
        <v>0</v>
      </c>
      <c r="BN107" s="60">
        <f>ROUND(BM107*BL107*Input!$C$3/365,0)</f>
        <v>0</v>
      </c>
      <c r="BO107" s="61">
        <f>IF($A107&lt;=Input!$C$6,0,IF('Unique Tenure'!BK107&lt;'Unique Tenure'!BM107,'Unique Tenure'!BK107-BN107,'Unique Tenure'!BM107))</f>
        <v>0</v>
      </c>
      <c r="BP107" s="61">
        <f t="shared" si="55"/>
        <v>0</v>
      </c>
      <c r="BQ107" s="60">
        <f t="shared" si="56"/>
        <v>0</v>
      </c>
      <c r="BR107" s="198"/>
    </row>
    <row r="108" spans="1:70" s="51" customFormat="1" x14ac:dyDescent="0.25">
      <c r="A108" s="169">
        <v>104</v>
      </c>
      <c r="B108" s="1">
        <f t="shared" si="57"/>
        <v>48684</v>
      </c>
      <c r="C108" s="60">
        <f>SUM(
   IF(($A$4:$A$184 &lt;= Input!$D$16), M108, 0),
   IF(($A$4:$A$184 &lt;= Input!$E$16), Y108, 0),
   IF(($A$4:$A$184 &lt;= Input!$F$16), AK108, 0),
   IF(($A$4:$A$184 &lt;= Input!$G$16), AW108, 0),
   IF(($A$4:$A$184 &lt;= Input!$H$16), BI108, 0)
)</f>
        <v>21781574.999999996</v>
      </c>
      <c r="D108" s="60">
        <f>SUM(
   IF(($A$4:$A$184 &lt;= Input!$D$16), O108, 0),
   IF(($A$4:$A$184 &lt;= Input!$E$16), AA108, 0),
   IF(($A$4:$A$184 &lt;= Input!$F$16), AM108, 0),
   IF(($A$4:$A$184 &lt;= Input!$G$16), AY108, 0),
   IF(($A$4:$A$184 &lt;= Input!$H$16), BK108, 0)
)</f>
        <v>19603417.499999996</v>
      </c>
      <c r="E108" s="60">
        <f t="shared" si="58"/>
        <v>31</v>
      </c>
      <c r="F108" s="60">
        <f t="shared" si="59"/>
        <v>191742424.5</v>
      </c>
      <c r="G108" s="60">
        <f>ROUND(F108*E108*Input!$C$3/365,0)</f>
        <v>2442746</v>
      </c>
      <c r="H108" s="60">
        <f>IF($A108&lt;=Input!$C$6,0,IF('Unique Tenure'!D108&lt;'Unique Tenure'!F108,'Unique Tenure'!D108-G108,'Unique Tenure'!F108))</f>
        <v>17160671.499999996</v>
      </c>
      <c r="I108" s="60">
        <f t="shared" si="60"/>
        <v>19603417.499999996</v>
      </c>
      <c r="J108" s="60">
        <f t="shared" si="61"/>
        <v>174581753</v>
      </c>
      <c r="K108" s="202">
        <f>J108/Input!$K$5</f>
        <v>0.58193917666666661</v>
      </c>
      <c r="L108" s="232"/>
      <c r="M108" s="60">
        <f>IF($B108&lt;Input!$H$43,IF($B108&lt;Input!$G$43,IF($B108&lt;Input!$F$43,IF($B108&lt;Input!$E$43,IF($B108&lt;Input!$D$43,Input!$C$49,Input!$D$49),Input!$E$49),Input!$F$49),Input!$G$49),Input!$H$49)</f>
        <v>21781574.999999996</v>
      </c>
      <c r="N108" s="190">
        <f>IF($A108&lt;Input!$H$50,IF($A108&lt;Input!$G$50,IF($A108&lt;Input!$F$50,IF($A108&lt;Input!$E$50,IF($A108&lt;Input!$D$50,Input!$C$51,Input!$D$51),Input!$E$51),Input!$F$51),Input!$G$51),Input!$H$51)</f>
        <v>0.9</v>
      </c>
      <c r="O108" s="60">
        <f t="shared" si="70"/>
        <v>19603417.499999996</v>
      </c>
      <c r="P108" s="60">
        <f t="shared" si="71"/>
        <v>31</v>
      </c>
      <c r="Q108" s="60">
        <f t="shared" si="38"/>
        <v>191742424.5</v>
      </c>
      <c r="R108" s="60">
        <f>ROUND(Q108*$P108*Input!$C$3/365,0)</f>
        <v>2442746</v>
      </c>
      <c r="S108" s="60">
        <f>IF(A108&lt;=Input!$C$6,0,IF('Unique Tenure'!O108&lt;'Unique Tenure'!Q108,'Unique Tenure'!O108-R108,'Unique Tenure'!Q108))</f>
        <v>17160671.499999996</v>
      </c>
      <c r="T108" s="60">
        <f t="shared" si="39"/>
        <v>19603417.499999996</v>
      </c>
      <c r="U108" s="60">
        <f t="shared" si="40"/>
        <v>174581753</v>
      </c>
      <c r="V108" s="193"/>
      <c r="W108" s="169">
        <v>104</v>
      </c>
      <c r="X108" s="1">
        <f t="shared" si="62"/>
        <v>48684</v>
      </c>
      <c r="Y108" s="60">
        <f>IF($X108&lt;Input!$H$58,IF($X108&lt;Input!$G$58,IF($X108&lt;Input!$F$58,IF($X108&lt;Input!$E$58,IF($X108&lt;Input!$D$58,Input!$C$64,Input!$D$64),Input!$E$64),Input!$F$64),Input!$G$64),Input!$H$64)</f>
        <v>0</v>
      </c>
      <c r="Z108" s="190">
        <f>IF($A108&lt;Input!$H$65,IF($A108&lt;Input!$G$65,IF($A108&lt;Input!$F$65,IF($A108&lt;Input!$E$65,IF($A108&lt;Input!$D$65,Input!$C$66,Input!$D$66),Input!$E$66),Input!$F$66),Input!$G$66),Input!$H$66)</f>
        <v>0.9</v>
      </c>
      <c r="AA108" s="60">
        <f t="shared" si="41"/>
        <v>0</v>
      </c>
      <c r="AB108" s="60">
        <f t="shared" si="63"/>
        <v>31</v>
      </c>
      <c r="AC108" s="60">
        <f t="shared" si="42"/>
        <v>0</v>
      </c>
      <c r="AD108" s="60">
        <f>ROUND(AC108*AB108*Input!$C$3/365,0)</f>
        <v>0</v>
      </c>
      <c r="AE108" s="61">
        <f>IF($A108&lt;=Input!$C$6,0,IF('Unique Tenure'!AA108&lt;'Unique Tenure'!AC108,'Unique Tenure'!AA108-AD108,'Unique Tenure'!AC108))</f>
        <v>0</v>
      </c>
      <c r="AF108" s="61">
        <f t="shared" si="43"/>
        <v>0</v>
      </c>
      <c r="AG108" s="60">
        <f t="shared" si="44"/>
        <v>0</v>
      </c>
      <c r="AH108" s="193"/>
      <c r="AI108" s="169">
        <v>104</v>
      </c>
      <c r="AJ108" s="1">
        <f t="shared" si="64"/>
        <v>48684</v>
      </c>
      <c r="AK108" s="60">
        <f>IF($X108&lt;Input!$H$73,IF($X108&lt;Input!$G$73,IF($X108&lt;Input!$F$73,IF($X108&lt;Input!$E$73,IF($X108&lt;Input!$D$73,Input!$C$79,Input!$D$79),Input!$E$79),Input!$F$79),Input!$G$79),Input!$H$79)</f>
        <v>0</v>
      </c>
      <c r="AL108" s="190">
        <f>IF($A108&lt;Input!$H$80,IF($A108&lt;Input!$G$80,IF($A108&lt;Input!$F$80,IF($A108&lt;Input!$E$80,IF($A108&lt;Input!$D$80,Input!$C$81,Input!$D$81),Input!$E$81),Input!$F$81),Input!$G$81),Input!$H$81)</f>
        <v>0.9</v>
      </c>
      <c r="AM108" s="60">
        <f t="shared" si="45"/>
        <v>0</v>
      </c>
      <c r="AN108" s="60">
        <f t="shared" si="65"/>
        <v>31</v>
      </c>
      <c r="AO108" s="60">
        <f t="shared" si="46"/>
        <v>0</v>
      </c>
      <c r="AP108" s="60">
        <f>ROUND(AO108*AN108*Input!$C$3/365,0)</f>
        <v>0</v>
      </c>
      <c r="AQ108" s="61">
        <f>IF($A108&lt;=Input!$C$6,0,IF('Unique Tenure'!AM108&lt;'Unique Tenure'!AO108,'Unique Tenure'!AM108-AP108,'Unique Tenure'!AO108))</f>
        <v>0</v>
      </c>
      <c r="AR108" s="61">
        <f t="shared" si="47"/>
        <v>0</v>
      </c>
      <c r="AS108" s="60">
        <f t="shared" si="48"/>
        <v>0</v>
      </c>
      <c r="AT108" s="193"/>
      <c r="AU108" s="169">
        <v>104</v>
      </c>
      <c r="AV108" s="1">
        <f t="shared" si="66"/>
        <v>48684</v>
      </c>
      <c r="AW108" s="60">
        <f>IF($X108&lt;Input!$H$88,IF($X108&lt;Input!$G$88,IF($X108&lt;Input!$F$88,IF($X108&lt;Input!$E$88,IF($X108&lt;Input!$D$88,Input!$C$94,Input!$D$94),Input!$E$94),Input!$F$94),Input!$G$94),Input!$H$94)</f>
        <v>0</v>
      </c>
      <c r="AX108" s="190">
        <f>IF($A108&lt;Input!$H$95,IF($A108&lt;Input!$G$95,IF($A108&lt;Input!$F$95,IF($A108&lt;Input!$E$95,IF($A108&lt;Input!$D$95,Input!$C$96,Input!$D$96),Input!$E$96),Input!$F$96),Input!$G$96),Input!$H$96)</f>
        <v>0.9</v>
      </c>
      <c r="AY108" s="60">
        <f t="shared" si="49"/>
        <v>0</v>
      </c>
      <c r="AZ108" s="60">
        <f t="shared" si="67"/>
        <v>31</v>
      </c>
      <c r="BA108" s="60">
        <f t="shared" si="50"/>
        <v>0</v>
      </c>
      <c r="BB108" s="60">
        <f>ROUND(BA108*AZ108*Input!$C$3/365,0)</f>
        <v>0</v>
      </c>
      <c r="BC108" s="61">
        <f>IF($A108&lt;=Input!$C$6,0,IF('Unique Tenure'!AY108&lt;'Unique Tenure'!BA108,'Unique Tenure'!AY108-BB108,'Unique Tenure'!BA108))</f>
        <v>0</v>
      </c>
      <c r="BD108" s="61">
        <f t="shared" si="51"/>
        <v>0</v>
      </c>
      <c r="BE108" s="60">
        <f t="shared" si="52"/>
        <v>0</v>
      </c>
      <c r="BF108" s="193"/>
      <c r="BG108" s="169">
        <v>104</v>
      </c>
      <c r="BH108" s="1">
        <f t="shared" si="68"/>
        <v>48684</v>
      </c>
      <c r="BI108" s="60">
        <f>IF($X108&lt;Input!$H$103,IF($X108&lt;Input!$G$103,IF($X108&lt;Input!$F$103,IF($X108&lt;Input!$E$103,IF($X108&lt;Input!$D$103,Input!$C$109,Input!$D$109),Input!$E$109),Input!$F$109),Input!$G$109),Input!$H$109)</f>
        <v>0</v>
      </c>
      <c r="BJ108" s="190">
        <f>IF($A108&lt;Input!$H$110,IF($A108&lt;Input!$G$110,IF($A108&lt;Input!$F$110,IF($A108&lt;Input!$E$110,IF($A108&lt;Input!$D$110,Input!$C$111,Input!$D$111),Input!$E$111),Input!$F$111),Input!$G$111),Input!$H$111)</f>
        <v>0.9</v>
      </c>
      <c r="BK108" s="60">
        <f t="shared" si="53"/>
        <v>0</v>
      </c>
      <c r="BL108" s="60">
        <f t="shared" si="69"/>
        <v>31</v>
      </c>
      <c r="BM108" s="60">
        <f t="shared" si="54"/>
        <v>0</v>
      </c>
      <c r="BN108" s="60">
        <f>ROUND(BM108*BL108*Input!$C$3/365,0)</f>
        <v>0</v>
      </c>
      <c r="BO108" s="61">
        <f>IF($A108&lt;=Input!$C$6,0,IF('Unique Tenure'!BK108&lt;'Unique Tenure'!BM108,'Unique Tenure'!BK108-BN108,'Unique Tenure'!BM108))</f>
        <v>0</v>
      </c>
      <c r="BP108" s="61">
        <f t="shared" si="55"/>
        <v>0</v>
      </c>
      <c r="BQ108" s="60">
        <f t="shared" si="56"/>
        <v>0</v>
      </c>
      <c r="BR108" s="198"/>
    </row>
    <row r="109" spans="1:70" s="51" customFormat="1" x14ac:dyDescent="0.25">
      <c r="A109" s="169">
        <v>105</v>
      </c>
      <c r="B109" s="1">
        <f t="shared" si="57"/>
        <v>48714</v>
      </c>
      <c r="C109" s="60">
        <f>SUM(
   IF(($A$4:$A$184 &lt;= Input!$D$16), M109, 0),
   IF(($A$4:$A$184 &lt;= Input!$E$16), Y109, 0),
   IF(($A$4:$A$184 &lt;= Input!$F$16), AK109, 0),
   IF(($A$4:$A$184 &lt;= Input!$G$16), AW109, 0),
   IF(($A$4:$A$184 &lt;= Input!$H$16), BI109, 0)
)</f>
        <v>21781574.999999996</v>
      </c>
      <c r="D109" s="60">
        <f>SUM(
   IF(($A$4:$A$184 &lt;= Input!$D$16), O109, 0),
   IF(($A$4:$A$184 &lt;= Input!$E$16), AA109, 0),
   IF(($A$4:$A$184 &lt;= Input!$F$16), AM109, 0),
   IF(($A$4:$A$184 &lt;= Input!$G$16), AY109, 0),
   IF(($A$4:$A$184 &lt;= Input!$H$16), BK109, 0)
)</f>
        <v>19603417.499999996</v>
      </c>
      <c r="E109" s="60">
        <f t="shared" si="58"/>
        <v>30</v>
      </c>
      <c r="F109" s="60">
        <f t="shared" si="59"/>
        <v>174581753</v>
      </c>
      <c r="G109" s="60">
        <f>ROUND(F109*E109*Input!$C$3/365,0)</f>
        <v>2152378</v>
      </c>
      <c r="H109" s="60">
        <f>IF($A109&lt;=Input!$C$6,0,IF('Unique Tenure'!D109&lt;'Unique Tenure'!F109,'Unique Tenure'!D109-G109,'Unique Tenure'!F109))</f>
        <v>17451039.499999996</v>
      </c>
      <c r="I109" s="60">
        <f t="shared" si="60"/>
        <v>19603417.499999996</v>
      </c>
      <c r="J109" s="60">
        <f t="shared" si="61"/>
        <v>157130713.5</v>
      </c>
      <c r="K109" s="202">
        <f>J109/Input!$K$5</f>
        <v>0.52376904499999999</v>
      </c>
      <c r="L109" s="232"/>
      <c r="M109" s="60">
        <f>IF($B109&lt;Input!$H$43,IF($B109&lt;Input!$G$43,IF($B109&lt;Input!$F$43,IF($B109&lt;Input!$E$43,IF($B109&lt;Input!$D$43,Input!$C$49,Input!$D$49),Input!$E$49),Input!$F$49),Input!$G$49),Input!$H$49)</f>
        <v>21781574.999999996</v>
      </c>
      <c r="N109" s="190">
        <f>IF($A109&lt;Input!$H$50,IF($A109&lt;Input!$G$50,IF($A109&lt;Input!$F$50,IF($A109&lt;Input!$E$50,IF($A109&lt;Input!$D$50,Input!$C$51,Input!$D$51),Input!$E$51),Input!$F$51),Input!$G$51),Input!$H$51)</f>
        <v>0.9</v>
      </c>
      <c r="O109" s="60">
        <f t="shared" si="70"/>
        <v>19603417.499999996</v>
      </c>
      <c r="P109" s="60">
        <f t="shared" si="71"/>
        <v>30</v>
      </c>
      <c r="Q109" s="60">
        <f t="shared" si="38"/>
        <v>174581753</v>
      </c>
      <c r="R109" s="60">
        <f>ROUND(Q109*$P109*Input!$C$3/365,0)</f>
        <v>2152378</v>
      </c>
      <c r="S109" s="60">
        <f>IF(A109&lt;=Input!$C$6,0,IF('Unique Tenure'!O109&lt;'Unique Tenure'!Q109,'Unique Tenure'!O109-R109,'Unique Tenure'!Q109))</f>
        <v>17451039.499999996</v>
      </c>
      <c r="T109" s="60">
        <f t="shared" si="39"/>
        <v>19603417.499999996</v>
      </c>
      <c r="U109" s="60">
        <f t="shared" si="40"/>
        <v>157130713.5</v>
      </c>
      <c r="V109" s="193"/>
      <c r="W109" s="169">
        <v>105</v>
      </c>
      <c r="X109" s="1">
        <f t="shared" si="62"/>
        <v>48714</v>
      </c>
      <c r="Y109" s="60">
        <f>IF($X109&lt;Input!$H$58,IF($X109&lt;Input!$G$58,IF($X109&lt;Input!$F$58,IF($X109&lt;Input!$E$58,IF($X109&lt;Input!$D$58,Input!$C$64,Input!$D$64),Input!$E$64),Input!$F$64),Input!$G$64),Input!$H$64)</f>
        <v>0</v>
      </c>
      <c r="Z109" s="190">
        <f>IF($A109&lt;Input!$H$65,IF($A109&lt;Input!$G$65,IF($A109&lt;Input!$F$65,IF($A109&lt;Input!$E$65,IF($A109&lt;Input!$D$65,Input!$C$66,Input!$D$66),Input!$E$66),Input!$F$66),Input!$G$66),Input!$H$66)</f>
        <v>0.9</v>
      </c>
      <c r="AA109" s="60">
        <f t="shared" si="41"/>
        <v>0</v>
      </c>
      <c r="AB109" s="60">
        <f t="shared" si="63"/>
        <v>30</v>
      </c>
      <c r="AC109" s="60">
        <f t="shared" si="42"/>
        <v>0</v>
      </c>
      <c r="AD109" s="60">
        <f>ROUND(AC109*AB109*Input!$C$3/365,0)</f>
        <v>0</v>
      </c>
      <c r="AE109" s="61">
        <f>IF($A109&lt;=Input!$C$6,0,IF('Unique Tenure'!AA109&lt;'Unique Tenure'!AC109,'Unique Tenure'!AA109-AD109,'Unique Tenure'!AC109))</f>
        <v>0</v>
      </c>
      <c r="AF109" s="61">
        <f t="shared" si="43"/>
        <v>0</v>
      </c>
      <c r="AG109" s="60">
        <f t="shared" si="44"/>
        <v>0</v>
      </c>
      <c r="AH109" s="193"/>
      <c r="AI109" s="169">
        <v>105</v>
      </c>
      <c r="AJ109" s="1">
        <f t="shared" si="64"/>
        <v>48714</v>
      </c>
      <c r="AK109" s="60">
        <f>IF($X109&lt;Input!$H$73,IF($X109&lt;Input!$G$73,IF($X109&lt;Input!$F$73,IF($X109&lt;Input!$E$73,IF($X109&lt;Input!$D$73,Input!$C$79,Input!$D$79),Input!$E$79),Input!$F$79),Input!$G$79),Input!$H$79)</f>
        <v>0</v>
      </c>
      <c r="AL109" s="190">
        <f>IF($A109&lt;Input!$H$80,IF($A109&lt;Input!$G$80,IF($A109&lt;Input!$F$80,IF($A109&lt;Input!$E$80,IF($A109&lt;Input!$D$80,Input!$C$81,Input!$D$81),Input!$E$81),Input!$F$81),Input!$G$81),Input!$H$81)</f>
        <v>0.9</v>
      </c>
      <c r="AM109" s="60">
        <f t="shared" si="45"/>
        <v>0</v>
      </c>
      <c r="AN109" s="60">
        <f t="shared" si="65"/>
        <v>30</v>
      </c>
      <c r="AO109" s="60">
        <f t="shared" si="46"/>
        <v>0</v>
      </c>
      <c r="AP109" s="60">
        <f>ROUND(AO109*AN109*Input!$C$3/365,0)</f>
        <v>0</v>
      </c>
      <c r="AQ109" s="61">
        <f>IF($A109&lt;=Input!$C$6,0,IF('Unique Tenure'!AM109&lt;'Unique Tenure'!AO109,'Unique Tenure'!AM109-AP109,'Unique Tenure'!AO109))</f>
        <v>0</v>
      </c>
      <c r="AR109" s="61">
        <f t="shared" si="47"/>
        <v>0</v>
      </c>
      <c r="AS109" s="60">
        <f t="shared" si="48"/>
        <v>0</v>
      </c>
      <c r="AT109" s="193"/>
      <c r="AU109" s="169">
        <v>105</v>
      </c>
      <c r="AV109" s="1">
        <f t="shared" si="66"/>
        <v>48714</v>
      </c>
      <c r="AW109" s="60">
        <f>IF($X109&lt;Input!$H$88,IF($X109&lt;Input!$G$88,IF($X109&lt;Input!$F$88,IF($X109&lt;Input!$E$88,IF($X109&lt;Input!$D$88,Input!$C$94,Input!$D$94),Input!$E$94),Input!$F$94),Input!$G$94),Input!$H$94)</f>
        <v>0</v>
      </c>
      <c r="AX109" s="190">
        <f>IF($A109&lt;Input!$H$95,IF($A109&lt;Input!$G$95,IF($A109&lt;Input!$F$95,IF($A109&lt;Input!$E$95,IF($A109&lt;Input!$D$95,Input!$C$96,Input!$D$96),Input!$E$96),Input!$F$96),Input!$G$96),Input!$H$96)</f>
        <v>0.9</v>
      </c>
      <c r="AY109" s="60">
        <f t="shared" si="49"/>
        <v>0</v>
      </c>
      <c r="AZ109" s="60">
        <f t="shared" si="67"/>
        <v>30</v>
      </c>
      <c r="BA109" s="60">
        <f t="shared" si="50"/>
        <v>0</v>
      </c>
      <c r="BB109" s="60">
        <f>ROUND(BA109*AZ109*Input!$C$3/365,0)</f>
        <v>0</v>
      </c>
      <c r="BC109" s="61">
        <f>IF($A109&lt;=Input!$C$6,0,IF('Unique Tenure'!AY109&lt;'Unique Tenure'!BA109,'Unique Tenure'!AY109-BB109,'Unique Tenure'!BA109))</f>
        <v>0</v>
      </c>
      <c r="BD109" s="61">
        <f t="shared" si="51"/>
        <v>0</v>
      </c>
      <c r="BE109" s="60">
        <f t="shared" si="52"/>
        <v>0</v>
      </c>
      <c r="BF109" s="193"/>
      <c r="BG109" s="169">
        <v>105</v>
      </c>
      <c r="BH109" s="1">
        <f t="shared" si="68"/>
        <v>48714</v>
      </c>
      <c r="BI109" s="60">
        <f>IF($X109&lt;Input!$H$103,IF($X109&lt;Input!$G$103,IF($X109&lt;Input!$F$103,IF($X109&lt;Input!$E$103,IF($X109&lt;Input!$D$103,Input!$C$109,Input!$D$109),Input!$E$109),Input!$F$109),Input!$G$109),Input!$H$109)</f>
        <v>0</v>
      </c>
      <c r="BJ109" s="190">
        <f>IF($A109&lt;Input!$H$110,IF($A109&lt;Input!$G$110,IF($A109&lt;Input!$F$110,IF($A109&lt;Input!$E$110,IF($A109&lt;Input!$D$110,Input!$C$111,Input!$D$111),Input!$E$111),Input!$F$111),Input!$G$111),Input!$H$111)</f>
        <v>0.9</v>
      </c>
      <c r="BK109" s="60">
        <f t="shared" si="53"/>
        <v>0</v>
      </c>
      <c r="BL109" s="60">
        <f t="shared" si="69"/>
        <v>30</v>
      </c>
      <c r="BM109" s="60">
        <f t="shared" si="54"/>
        <v>0</v>
      </c>
      <c r="BN109" s="60">
        <f>ROUND(BM109*BL109*Input!$C$3/365,0)</f>
        <v>0</v>
      </c>
      <c r="BO109" s="61">
        <f>IF($A109&lt;=Input!$C$6,0,IF('Unique Tenure'!BK109&lt;'Unique Tenure'!BM109,'Unique Tenure'!BK109-BN109,'Unique Tenure'!BM109))</f>
        <v>0</v>
      </c>
      <c r="BP109" s="61">
        <f t="shared" si="55"/>
        <v>0</v>
      </c>
      <c r="BQ109" s="60">
        <f t="shared" si="56"/>
        <v>0</v>
      </c>
      <c r="BR109" s="198"/>
    </row>
    <row r="110" spans="1:70" s="51" customFormat="1" x14ac:dyDescent="0.25">
      <c r="A110" s="169">
        <v>106</v>
      </c>
      <c r="B110" s="1">
        <f t="shared" si="57"/>
        <v>48745</v>
      </c>
      <c r="C110" s="60">
        <f>SUM(
   IF(($A$4:$A$184 &lt;= Input!$D$16), M110, 0),
   IF(($A$4:$A$184 &lt;= Input!$E$16), Y110, 0),
   IF(($A$4:$A$184 &lt;= Input!$F$16), AK110, 0),
   IF(($A$4:$A$184 &lt;= Input!$G$16), AW110, 0),
   IF(($A$4:$A$184 &lt;= Input!$H$16), BI110, 0)
)</f>
        <v>21781574.999999996</v>
      </c>
      <c r="D110" s="60">
        <f>SUM(
   IF(($A$4:$A$184 &lt;= Input!$D$16), O110, 0),
   IF(($A$4:$A$184 &lt;= Input!$E$16), AA110, 0),
   IF(($A$4:$A$184 &lt;= Input!$F$16), AM110, 0),
   IF(($A$4:$A$184 &lt;= Input!$G$16), AY110, 0),
   IF(($A$4:$A$184 &lt;= Input!$H$16), BK110, 0)
)</f>
        <v>19603417.499999996</v>
      </c>
      <c r="E110" s="60">
        <f t="shared" si="58"/>
        <v>31</v>
      </c>
      <c r="F110" s="60">
        <f t="shared" si="59"/>
        <v>157130713.5</v>
      </c>
      <c r="G110" s="60">
        <f>ROUND(F110*E110*Input!$C$3/365,0)</f>
        <v>2001802</v>
      </c>
      <c r="H110" s="60">
        <f>IF($A110&lt;=Input!$C$6,0,IF('Unique Tenure'!D110&lt;'Unique Tenure'!F110,'Unique Tenure'!D110-G110,'Unique Tenure'!F110))</f>
        <v>17601615.499999996</v>
      </c>
      <c r="I110" s="60">
        <f t="shared" si="60"/>
        <v>19603417.499999996</v>
      </c>
      <c r="J110" s="60">
        <f t="shared" si="61"/>
        <v>139529098</v>
      </c>
      <c r="K110" s="202">
        <f>J110/Input!$K$5</f>
        <v>0.46509699333333332</v>
      </c>
      <c r="L110" s="232"/>
      <c r="M110" s="60">
        <f>IF($B110&lt;Input!$H$43,IF($B110&lt;Input!$G$43,IF($B110&lt;Input!$F$43,IF($B110&lt;Input!$E$43,IF($B110&lt;Input!$D$43,Input!$C$49,Input!$D$49),Input!$E$49),Input!$F$49),Input!$G$49),Input!$H$49)</f>
        <v>21781574.999999996</v>
      </c>
      <c r="N110" s="190">
        <f>IF($A110&lt;Input!$H$50,IF($A110&lt;Input!$G$50,IF($A110&lt;Input!$F$50,IF($A110&lt;Input!$E$50,IF($A110&lt;Input!$D$50,Input!$C$51,Input!$D$51),Input!$E$51),Input!$F$51),Input!$G$51),Input!$H$51)</f>
        <v>0.9</v>
      </c>
      <c r="O110" s="60">
        <f t="shared" si="70"/>
        <v>19603417.499999996</v>
      </c>
      <c r="P110" s="60">
        <f t="shared" si="71"/>
        <v>31</v>
      </c>
      <c r="Q110" s="60">
        <f t="shared" si="38"/>
        <v>157130713.5</v>
      </c>
      <c r="R110" s="60">
        <f>ROUND(Q110*$P110*Input!$C$3/365,0)</f>
        <v>2001802</v>
      </c>
      <c r="S110" s="60">
        <f>IF(A110&lt;=Input!$C$6,0,IF('Unique Tenure'!O110&lt;'Unique Tenure'!Q110,'Unique Tenure'!O110-R110,'Unique Tenure'!Q110))</f>
        <v>17601615.499999996</v>
      </c>
      <c r="T110" s="60">
        <f t="shared" si="39"/>
        <v>19603417.499999996</v>
      </c>
      <c r="U110" s="60">
        <f t="shared" si="40"/>
        <v>139529098</v>
      </c>
      <c r="V110" s="193"/>
      <c r="W110" s="169">
        <v>106</v>
      </c>
      <c r="X110" s="1">
        <f t="shared" si="62"/>
        <v>48745</v>
      </c>
      <c r="Y110" s="60">
        <f>IF($X110&lt;Input!$H$58,IF($X110&lt;Input!$G$58,IF($X110&lt;Input!$F$58,IF($X110&lt;Input!$E$58,IF($X110&lt;Input!$D$58,Input!$C$64,Input!$D$64),Input!$E$64),Input!$F$64),Input!$G$64),Input!$H$64)</f>
        <v>0</v>
      </c>
      <c r="Z110" s="190">
        <f>IF($A110&lt;Input!$H$65,IF($A110&lt;Input!$G$65,IF($A110&lt;Input!$F$65,IF($A110&lt;Input!$E$65,IF($A110&lt;Input!$D$65,Input!$C$66,Input!$D$66),Input!$E$66),Input!$F$66),Input!$G$66),Input!$H$66)</f>
        <v>0.9</v>
      </c>
      <c r="AA110" s="60">
        <f t="shared" si="41"/>
        <v>0</v>
      </c>
      <c r="AB110" s="60">
        <f t="shared" si="63"/>
        <v>31</v>
      </c>
      <c r="AC110" s="60">
        <f t="shared" si="42"/>
        <v>0</v>
      </c>
      <c r="AD110" s="60">
        <f>ROUND(AC110*AB110*Input!$C$3/365,0)</f>
        <v>0</v>
      </c>
      <c r="AE110" s="61">
        <f>IF($A110&lt;=Input!$C$6,0,IF('Unique Tenure'!AA110&lt;'Unique Tenure'!AC110,'Unique Tenure'!AA110-AD110,'Unique Tenure'!AC110))</f>
        <v>0</v>
      </c>
      <c r="AF110" s="61">
        <f t="shared" si="43"/>
        <v>0</v>
      </c>
      <c r="AG110" s="60">
        <f t="shared" si="44"/>
        <v>0</v>
      </c>
      <c r="AH110" s="193"/>
      <c r="AI110" s="169">
        <v>106</v>
      </c>
      <c r="AJ110" s="1">
        <f t="shared" si="64"/>
        <v>48745</v>
      </c>
      <c r="AK110" s="60">
        <f>IF($X110&lt;Input!$H$73,IF($X110&lt;Input!$G$73,IF($X110&lt;Input!$F$73,IF($X110&lt;Input!$E$73,IF($X110&lt;Input!$D$73,Input!$C$79,Input!$D$79),Input!$E$79),Input!$F$79),Input!$G$79),Input!$H$79)</f>
        <v>0</v>
      </c>
      <c r="AL110" s="190">
        <f>IF($A110&lt;Input!$H$80,IF($A110&lt;Input!$G$80,IF($A110&lt;Input!$F$80,IF($A110&lt;Input!$E$80,IF($A110&lt;Input!$D$80,Input!$C$81,Input!$D$81),Input!$E$81),Input!$F$81),Input!$G$81),Input!$H$81)</f>
        <v>0.9</v>
      </c>
      <c r="AM110" s="60">
        <f t="shared" si="45"/>
        <v>0</v>
      </c>
      <c r="AN110" s="60">
        <f t="shared" si="65"/>
        <v>31</v>
      </c>
      <c r="AO110" s="60">
        <f t="shared" si="46"/>
        <v>0</v>
      </c>
      <c r="AP110" s="60">
        <f>ROUND(AO110*AN110*Input!$C$3/365,0)</f>
        <v>0</v>
      </c>
      <c r="AQ110" s="61">
        <f>IF($A110&lt;=Input!$C$6,0,IF('Unique Tenure'!AM110&lt;'Unique Tenure'!AO110,'Unique Tenure'!AM110-AP110,'Unique Tenure'!AO110))</f>
        <v>0</v>
      </c>
      <c r="AR110" s="61">
        <f t="shared" si="47"/>
        <v>0</v>
      </c>
      <c r="AS110" s="60">
        <f t="shared" si="48"/>
        <v>0</v>
      </c>
      <c r="AT110" s="193"/>
      <c r="AU110" s="169">
        <v>106</v>
      </c>
      <c r="AV110" s="1">
        <f t="shared" si="66"/>
        <v>48745</v>
      </c>
      <c r="AW110" s="60">
        <f>IF($X110&lt;Input!$H$88,IF($X110&lt;Input!$G$88,IF($X110&lt;Input!$F$88,IF($X110&lt;Input!$E$88,IF($X110&lt;Input!$D$88,Input!$C$94,Input!$D$94),Input!$E$94),Input!$F$94),Input!$G$94),Input!$H$94)</f>
        <v>0</v>
      </c>
      <c r="AX110" s="190">
        <f>IF($A110&lt;Input!$H$95,IF($A110&lt;Input!$G$95,IF($A110&lt;Input!$F$95,IF($A110&lt;Input!$E$95,IF($A110&lt;Input!$D$95,Input!$C$96,Input!$D$96),Input!$E$96),Input!$F$96),Input!$G$96),Input!$H$96)</f>
        <v>0.9</v>
      </c>
      <c r="AY110" s="60">
        <f t="shared" si="49"/>
        <v>0</v>
      </c>
      <c r="AZ110" s="60">
        <f t="shared" si="67"/>
        <v>31</v>
      </c>
      <c r="BA110" s="60">
        <f t="shared" si="50"/>
        <v>0</v>
      </c>
      <c r="BB110" s="60">
        <f>ROUND(BA110*AZ110*Input!$C$3/365,0)</f>
        <v>0</v>
      </c>
      <c r="BC110" s="61">
        <f>IF($A110&lt;=Input!$C$6,0,IF('Unique Tenure'!AY110&lt;'Unique Tenure'!BA110,'Unique Tenure'!AY110-BB110,'Unique Tenure'!BA110))</f>
        <v>0</v>
      </c>
      <c r="BD110" s="61">
        <f t="shared" si="51"/>
        <v>0</v>
      </c>
      <c r="BE110" s="60">
        <f t="shared" si="52"/>
        <v>0</v>
      </c>
      <c r="BF110" s="193"/>
      <c r="BG110" s="169">
        <v>106</v>
      </c>
      <c r="BH110" s="1">
        <f t="shared" si="68"/>
        <v>48745</v>
      </c>
      <c r="BI110" s="60">
        <f>IF($X110&lt;Input!$H$103,IF($X110&lt;Input!$G$103,IF($X110&lt;Input!$F$103,IF($X110&lt;Input!$E$103,IF($X110&lt;Input!$D$103,Input!$C$109,Input!$D$109),Input!$E$109),Input!$F$109),Input!$G$109),Input!$H$109)</f>
        <v>0</v>
      </c>
      <c r="BJ110" s="190">
        <f>IF($A110&lt;Input!$H$110,IF($A110&lt;Input!$G$110,IF($A110&lt;Input!$F$110,IF($A110&lt;Input!$E$110,IF($A110&lt;Input!$D$110,Input!$C$111,Input!$D$111),Input!$E$111),Input!$F$111),Input!$G$111),Input!$H$111)</f>
        <v>0.9</v>
      </c>
      <c r="BK110" s="60">
        <f t="shared" si="53"/>
        <v>0</v>
      </c>
      <c r="BL110" s="60">
        <f t="shared" si="69"/>
        <v>31</v>
      </c>
      <c r="BM110" s="60">
        <f t="shared" si="54"/>
        <v>0</v>
      </c>
      <c r="BN110" s="60">
        <f>ROUND(BM110*BL110*Input!$C$3/365,0)</f>
        <v>0</v>
      </c>
      <c r="BO110" s="61">
        <f>IF($A110&lt;=Input!$C$6,0,IF('Unique Tenure'!BK110&lt;'Unique Tenure'!BM110,'Unique Tenure'!BK110-BN110,'Unique Tenure'!BM110))</f>
        <v>0</v>
      </c>
      <c r="BP110" s="61">
        <f t="shared" si="55"/>
        <v>0</v>
      </c>
      <c r="BQ110" s="60">
        <f t="shared" si="56"/>
        <v>0</v>
      </c>
      <c r="BR110" s="198"/>
    </row>
    <row r="111" spans="1:70" s="51" customFormat="1" x14ac:dyDescent="0.25">
      <c r="A111" s="169">
        <v>107</v>
      </c>
      <c r="B111" s="1">
        <f t="shared" si="57"/>
        <v>48775</v>
      </c>
      <c r="C111" s="60">
        <f>SUM(
   IF(($A$4:$A$184 &lt;= Input!$D$16), M111, 0),
   IF(($A$4:$A$184 &lt;= Input!$E$16), Y111, 0),
   IF(($A$4:$A$184 &lt;= Input!$F$16), AK111, 0),
   IF(($A$4:$A$184 &lt;= Input!$G$16), AW111, 0),
   IF(($A$4:$A$184 &lt;= Input!$H$16), BI111, 0)
)</f>
        <v>21781574.999999996</v>
      </c>
      <c r="D111" s="60">
        <f>SUM(
   IF(($A$4:$A$184 &lt;= Input!$D$16), O111, 0),
   IF(($A$4:$A$184 &lt;= Input!$E$16), AA111, 0),
   IF(($A$4:$A$184 &lt;= Input!$F$16), AM111, 0),
   IF(($A$4:$A$184 &lt;= Input!$G$16), AY111, 0),
   IF(($A$4:$A$184 &lt;= Input!$H$16), BK111, 0)
)</f>
        <v>19603417.499999996</v>
      </c>
      <c r="E111" s="60">
        <f t="shared" si="58"/>
        <v>30</v>
      </c>
      <c r="F111" s="60">
        <f t="shared" si="59"/>
        <v>139529098</v>
      </c>
      <c r="G111" s="60">
        <f>ROUND(F111*E111*Input!$C$3/365,0)</f>
        <v>1720222</v>
      </c>
      <c r="H111" s="60">
        <f>IF($A111&lt;=Input!$C$6,0,IF('Unique Tenure'!D111&lt;'Unique Tenure'!F111,'Unique Tenure'!D111-G111,'Unique Tenure'!F111))</f>
        <v>17883195.499999996</v>
      </c>
      <c r="I111" s="60">
        <f t="shared" si="60"/>
        <v>19603417.499999996</v>
      </c>
      <c r="J111" s="60">
        <f t="shared" si="61"/>
        <v>121645902.5</v>
      </c>
      <c r="K111" s="202">
        <f>J111/Input!$K$5</f>
        <v>0.40548634166666669</v>
      </c>
      <c r="L111" s="232"/>
      <c r="M111" s="60">
        <f>IF($B111&lt;Input!$H$43,IF($B111&lt;Input!$G$43,IF($B111&lt;Input!$F$43,IF($B111&lt;Input!$E$43,IF($B111&lt;Input!$D$43,Input!$C$49,Input!$D$49),Input!$E$49),Input!$F$49),Input!$G$49),Input!$H$49)</f>
        <v>21781574.999999996</v>
      </c>
      <c r="N111" s="190">
        <f>IF($A111&lt;Input!$H$50,IF($A111&lt;Input!$G$50,IF($A111&lt;Input!$F$50,IF($A111&lt;Input!$E$50,IF($A111&lt;Input!$D$50,Input!$C$51,Input!$D$51),Input!$E$51),Input!$F$51),Input!$G$51),Input!$H$51)</f>
        <v>0.9</v>
      </c>
      <c r="O111" s="60">
        <f t="shared" si="70"/>
        <v>19603417.499999996</v>
      </c>
      <c r="P111" s="60">
        <f t="shared" si="71"/>
        <v>30</v>
      </c>
      <c r="Q111" s="60">
        <f t="shared" si="38"/>
        <v>139529098</v>
      </c>
      <c r="R111" s="60">
        <f>ROUND(Q111*$P111*Input!$C$3/365,0)</f>
        <v>1720222</v>
      </c>
      <c r="S111" s="60">
        <f>IF(A111&lt;=Input!$C$6,0,IF('Unique Tenure'!O111&lt;'Unique Tenure'!Q111,'Unique Tenure'!O111-R111,'Unique Tenure'!Q111))</f>
        <v>17883195.499999996</v>
      </c>
      <c r="T111" s="60">
        <f t="shared" si="39"/>
        <v>19603417.499999996</v>
      </c>
      <c r="U111" s="60">
        <f t="shared" si="40"/>
        <v>121645902.5</v>
      </c>
      <c r="V111" s="193"/>
      <c r="W111" s="169">
        <v>107</v>
      </c>
      <c r="X111" s="1">
        <f t="shared" si="62"/>
        <v>48775</v>
      </c>
      <c r="Y111" s="60">
        <f>IF($X111&lt;Input!$H$58,IF($X111&lt;Input!$G$58,IF($X111&lt;Input!$F$58,IF($X111&lt;Input!$E$58,IF($X111&lt;Input!$D$58,Input!$C$64,Input!$D$64),Input!$E$64),Input!$F$64),Input!$G$64),Input!$H$64)</f>
        <v>0</v>
      </c>
      <c r="Z111" s="190">
        <f>IF($A111&lt;Input!$H$65,IF($A111&lt;Input!$G$65,IF($A111&lt;Input!$F$65,IF($A111&lt;Input!$E$65,IF($A111&lt;Input!$D$65,Input!$C$66,Input!$D$66),Input!$E$66),Input!$F$66),Input!$G$66),Input!$H$66)</f>
        <v>0.9</v>
      </c>
      <c r="AA111" s="60">
        <f t="shared" si="41"/>
        <v>0</v>
      </c>
      <c r="AB111" s="60">
        <f t="shared" si="63"/>
        <v>30</v>
      </c>
      <c r="AC111" s="60">
        <f t="shared" si="42"/>
        <v>0</v>
      </c>
      <c r="AD111" s="60">
        <f>ROUND(AC111*AB111*Input!$C$3/365,0)</f>
        <v>0</v>
      </c>
      <c r="AE111" s="61">
        <f>IF($A111&lt;=Input!$C$6,0,IF('Unique Tenure'!AA111&lt;'Unique Tenure'!AC111,'Unique Tenure'!AA111-AD111,'Unique Tenure'!AC111))</f>
        <v>0</v>
      </c>
      <c r="AF111" s="61">
        <f t="shared" si="43"/>
        <v>0</v>
      </c>
      <c r="AG111" s="60">
        <f t="shared" si="44"/>
        <v>0</v>
      </c>
      <c r="AH111" s="193"/>
      <c r="AI111" s="169">
        <v>107</v>
      </c>
      <c r="AJ111" s="1">
        <f t="shared" si="64"/>
        <v>48775</v>
      </c>
      <c r="AK111" s="60">
        <f>IF($X111&lt;Input!$H$73,IF($X111&lt;Input!$G$73,IF($X111&lt;Input!$F$73,IF($X111&lt;Input!$E$73,IF($X111&lt;Input!$D$73,Input!$C$79,Input!$D$79),Input!$E$79),Input!$F$79),Input!$G$79),Input!$H$79)</f>
        <v>0</v>
      </c>
      <c r="AL111" s="190">
        <f>IF($A111&lt;Input!$H$80,IF($A111&lt;Input!$G$80,IF($A111&lt;Input!$F$80,IF($A111&lt;Input!$E$80,IF($A111&lt;Input!$D$80,Input!$C$81,Input!$D$81),Input!$E$81),Input!$F$81),Input!$G$81),Input!$H$81)</f>
        <v>0.9</v>
      </c>
      <c r="AM111" s="60">
        <f t="shared" si="45"/>
        <v>0</v>
      </c>
      <c r="AN111" s="60">
        <f t="shared" si="65"/>
        <v>30</v>
      </c>
      <c r="AO111" s="60">
        <f t="shared" si="46"/>
        <v>0</v>
      </c>
      <c r="AP111" s="60">
        <f>ROUND(AO111*AN111*Input!$C$3/365,0)</f>
        <v>0</v>
      </c>
      <c r="AQ111" s="61">
        <f>IF($A111&lt;=Input!$C$6,0,IF('Unique Tenure'!AM111&lt;'Unique Tenure'!AO111,'Unique Tenure'!AM111-AP111,'Unique Tenure'!AO111))</f>
        <v>0</v>
      </c>
      <c r="AR111" s="61">
        <f t="shared" si="47"/>
        <v>0</v>
      </c>
      <c r="AS111" s="60">
        <f t="shared" si="48"/>
        <v>0</v>
      </c>
      <c r="AT111" s="193"/>
      <c r="AU111" s="169">
        <v>107</v>
      </c>
      <c r="AV111" s="1">
        <f t="shared" si="66"/>
        <v>48775</v>
      </c>
      <c r="AW111" s="60">
        <f>IF($X111&lt;Input!$H$88,IF($X111&lt;Input!$G$88,IF($X111&lt;Input!$F$88,IF($X111&lt;Input!$E$88,IF($X111&lt;Input!$D$88,Input!$C$94,Input!$D$94),Input!$E$94),Input!$F$94),Input!$G$94),Input!$H$94)</f>
        <v>0</v>
      </c>
      <c r="AX111" s="190">
        <f>IF($A111&lt;Input!$H$95,IF($A111&lt;Input!$G$95,IF($A111&lt;Input!$F$95,IF($A111&lt;Input!$E$95,IF($A111&lt;Input!$D$95,Input!$C$96,Input!$D$96),Input!$E$96),Input!$F$96),Input!$G$96),Input!$H$96)</f>
        <v>0.9</v>
      </c>
      <c r="AY111" s="60">
        <f t="shared" si="49"/>
        <v>0</v>
      </c>
      <c r="AZ111" s="60">
        <f t="shared" si="67"/>
        <v>30</v>
      </c>
      <c r="BA111" s="60">
        <f t="shared" si="50"/>
        <v>0</v>
      </c>
      <c r="BB111" s="60">
        <f>ROUND(BA111*AZ111*Input!$C$3/365,0)</f>
        <v>0</v>
      </c>
      <c r="BC111" s="61">
        <f>IF($A111&lt;=Input!$C$6,0,IF('Unique Tenure'!AY111&lt;'Unique Tenure'!BA111,'Unique Tenure'!AY111-BB111,'Unique Tenure'!BA111))</f>
        <v>0</v>
      </c>
      <c r="BD111" s="61">
        <f t="shared" si="51"/>
        <v>0</v>
      </c>
      <c r="BE111" s="60">
        <f t="shared" si="52"/>
        <v>0</v>
      </c>
      <c r="BF111" s="193"/>
      <c r="BG111" s="169">
        <v>107</v>
      </c>
      <c r="BH111" s="1">
        <f t="shared" si="68"/>
        <v>48775</v>
      </c>
      <c r="BI111" s="60">
        <f>IF($X111&lt;Input!$H$103,IF($X111&lt;Input!$G$103,IF($X111&lt;Input!$F$103,IF($X111&lt;Input!$E$103,IF($X111&lt;Input!$D$103,Input!$C$109,Input!$D$109),Input!$E$109),Input!$F$109),Input!$G$109),Input!$H$109)</f>
        <v>0</v>
      </c>
      <c r="BJ111" s="190">
        <f>IF($A111&lt;Input!$H$110,IF($A111&lt;Input!$G$110,IF($A111&lt;Input!$F$110,IF($A111&lt;Input!$E$110,IF($A111&lt;Input!$D$110,Input!$C$111,Input!$D$111),Input!$E$111),Input!$F$111),Input!$G$111),Input!$H$111)</f>
        <v>0.9</v>
      </c>
      <c r="BK111" s="60">
        <f t="shared" si="53"/>
        <v>0</v>
      </c>
      <c r="BL111" s="60">
        <f t="shared" si="69"/>
        <v>30</v>
      </c>
      <c r="BM111" s="60">
        <f t="shared" si="54"/>
        <v>0</v>
      </c>
      <c r="BN111" s="60">
        <f>ROUND(BM111*BL111*Input!$C$3/365,0)</f>
        <v>0</v>
      </c>
      <c r="BO111" s="61">
        <f>IF($A111&lt;=Input!$C$6,0,IF('Unique Tenure'!BK111&lt;'Unique Tenure'!BM111,'Unique Tenure'!BK111-BN111,'Unique Tenure'!BM111))</f>
        <v>0</v>
      </c>
      <c r="BP111" s="61">
        <f t="shared" si="55"/>
        <v>0</v>
      </c>
      <c r="BQ111" s="60">
        <f t="shared" si="56"/>
        <v>0</v>
      </c>
      <c r="BR111" s="198"/>
    </row>
    <row r="112" spans="1:70" s="51" customFormat="1" x14ac:dyDescent="0.25">
      <c r="A112" s="169">
        <v>108</v>
      </c>
      <c r="B112" s="1">
        <f t="shared" si="57"/>
        <v>48806</v>
      </c>
      <c r="C112" s="60">
        <f>SUM(
   IF(($A$4:$A$184 &lt;= Input!$D$16), M112, 0),
   IF(($A$4:$A$184 &lt;= Input!$E$16), Y112, 0),
   IF(($A$4:$A$184 &lt;= Input!$F$16), AK112, 0),
   IF(($A$4:$A$184 &lt;= Input!$G$16), AW112, 0),
   IF(($A$4:$A$184 &lt;= Input!$H$16), BI112, 0)
)</f>
        <v>21781574.999999996</v>
      </c>
      <c r="D112" s="60">
        <f>SUM(
   IF(($A$4:$A$184 &lt;= Input!$D$16), O112, 0),
   IF(($A$4:$A$184 &lt;= Input!$E$16), AA112, 0),
   IF(($A$4:$A$184 &lt;= Input!$F$16), AM112, 0),
   IF(($A$4:$A$184 &lt;= Input!$G$16), AY112, 0),
   IF(($A$4:$A$184 &lt;= Input!$H$16), BK112, 0)
)</f>
        <v>19603417.499999996</v>
      </c>
      <c r="E112" s="60">
        <f t="shared" si="58"/>
        <v>31</v>
      </c>
      <c r="F112" s="60">
        <f t="shared" si="59"/>
        <v>121645902.5</v>
      </c>
      <c r="G112" s="60">
        <f>ROUND(F112*E112*Input!$C$3/365,0)</f>
        <v>1549735</v>
      </c>
      <c r="H112" s="60">
        <f>IF($A112&lt;=Input!$C$6,0,IF('Unique Tenure'!D112&lt;'Unique Tenure'!F112,'Unique Tenure'!D112-G112,'Unique Tenure'!F112))</f>
        <v>18053682.499999996</v>
      </c>
      <c r="I112" s="60">
        <f t="shared" si="60"/>
        <v>19603417.499999996</v>
      </c>
      <c r="J112" s="60">
        <f t="shared" si="61"/>
        <v>103592220</v>
      </c>
      <c r="K112" s="202">
        <f>J112/Input!$K$5</f>
        <v>0.34530739999999999</v>
      </c>
      <c r="L112" s="232"/>
      <c r="M112" s="60">
        <f>IF($B112&lt;Input!$H$43,IF($B112&lt;Input!$G$43,IF($B112&lt;Input!$F$43,IF($B112&lt;Input!$E$43,IF($B112&lt;Input!$D$43,Input!$C$49,Input!$D$49),Input!$E$49),Input!$F$49),Input!$G$49),Input!$H$49)</f>
        <v>21781574.999999996</v>
      </c>
      <c r="N112" s="190">
        <f>IF($A112&lt;Input!$H$50,IF($A112&lt;Input!$G$50,IF($A112&lt;Input!$F$50,IF($A112&lt;Input!$E$50,IF($A112&lt;Input!$D$50,Input!$C$51,Input!$D$51),Input!$E$51),Input!$F$51),Input!$G$51),Input!$H$51)</f>
        <v>0.9</v>
      </c>
      <c r="O112" s="60">
        <f t="shared" si="70"/>
        <v>19603417.499999996</v>
      </c>
      <c r="P112" s="60">
        <f t="shared" si="71"/>
        <v>31</v>
      </c>
      <c r="Q112" s="60">
        <f t="shared" si="38"/>
        <v>121645902.5</v>
      </c>
      <c r="R112" s="60">
        <f>ROUND(Q112*$P112*Input!$C$3/365,0)</f>
        <v>1549735</v>
      </c>
      <c r="S112" s="60">
        <f>IF(A112&lt;=Input!$C$6,0,IF('Unique Tenure'!O112&lt;'Unique Tenure'!Q112,'Unique Tenure'!O112-R112,'Unique Tenure'!Q112))</f>
        <v>18053682.499999996</v>
      </c>
      <c r="T112" s="60">
        <f t="shared" si="39"/>
        <v>19603417.499999996</v>
      </c>
      <c r="U112" s="60">
        <f t="shared" si="40"/>
        <v>103592220</v>
      </c>
      <c r="V112" s="193"/>
      <c r="W112" s="169">
        <v>108</v>
      </c>
      <c r="X112" s="1">
        <f t="shared" si="62"/>
        <v>48806</v>
      </c>
      <c r="Y112" s="60">
        <f>IF($X112&lt;Input!$H$58,IF($X112&lt;Input!$G$58,IF($X112&lt;Input!$F$58,IF($X112&lt;Input!$E$58,IF($X112&lt;Input!$D$58,Input!$C$64,Input!$D$64),Input!$E$64),Input!$F$64),Input!$G$64),Input!$H$64)</f>
        <v>0</v>
      </c>
      <c r="Z112" s="190">
        <f>IF($A112&lt;Input!$H$65,IF($A112&lt;Input!$G$65,IF($A112&lt;Input!$F$65,IF($A112&lt;Input!$E$65,IF($A112&lt;Input!$D$65,Input!$C$66,Input!$D$66),Input!$E$66),Input!$F$66),Input!$G$66),Input!$H$66)</f>
        <v>0.9</v>
      </c>
      <c r="AA112" s="60">
        <f t="shared" si="41"/>
        <v>0</v>
      </c>
      <c r="AB112" s="60">
        <f t="shared" si="63"/>
        <v>31</v>
      </c>
      <c r="AC112" s="60">
        <f t="shared" si="42"/>
        <v>0</v>
      </c>
      <c r="AD112" s="60">
        <f>ROUND(AC112*AB112*Input!$C$3/365,0)</f>
        <v>0</v>
      </c>
      <c r="AE112" s="61">
        <f>IF($A112&lt;=Input!$C$6,0,IF('Unique Tenure'!AA112&lt;'Unique Tenure'!AC112,'Unique Tenure'!AA112-AD112,'Unique Tenure'!AC112))</f>
        <v>0</v>
      </c>
      <c r="AF112" s="61">
        <f t="shared" si="43"/>
        <v>0</v>
      </c>
      <c r="AG112" s="60">
        <f t="shared" si="44"/>
        <v>0</v>
      </c>
      <c r="AH112" s="193"/>
      <c r="AI112" s="169">
        <v>108</v>
      </c>
      <c r="AJ112" s="1">
        <f t="shared" si="64"/>
        <v>48806</v>
      </c>
      <c r="AK112" s="60">
        <f>IF($X112&lt;Input!$H$73,IF($X112&lt;Input!$G$73,IF($X112&lt;Input!$F$73,IF($X112&lt;Input!$E$73,IF($X112&lt;Input!$D$73,Input!$C$79,Input!$D$79),Input!$E$79),Input!$F$79),Input!$G$79),Input!$H$79)</f>
        <v>0</v>
      </c>
      <c r="AL112" s="190">
        <f>IF($A112&lt;Input!$H$80,IF($A112&lt;Input!$G$80,IF($A112&lt;Input!$F$80,IF($A112&lt;Input!$E$80,IF($A112&lt;Input!$D$80,Input!$C$81,Input!$D$81),Input!$E$81),Input!$F$81),Input!$G$81),Input!$H$81)</f>
        <v>0.9</v>
      </c>
      <c r="AM112" s="60">
        <f t="shared" si="45"/>
        <v>0</v>
      </c>
      <c r="AN112" s="60">
        <f t="shared" si="65"/>
        <v>31</v>
      </c>
      <c r="AO112" s="60">
        <f t="shared" si="46"/>
        <v>0</v>
      </c>
      <c r="AP112" s="60">
        <f>ROUND(AO112*AN112*Input!$C$3/365,0)</f>
        <v>0</v>
      </c>
      <c r="AQ112" s="61">
        <f>IF($A112&lt;=Input!$C$6,0,IF('Unique Tenure'!AM112&lt;'Unique Tenure'!AO112,'Unique Tenure'!AM112-AP112,'Unique Tenure'!AO112))</f>
        <v>0</v>
      </c>
      <c r="AR112" s="61">
        <f t="shared" si="47"/>
        <v>0</v>
      </c>
      <c r="AS112" s="60">
        <f t="shared" si="48"/>
        <v>0</v>
      </c>
      <c r="AT112" s="193"/>
      <c r="AU112" s="169">
        <v>108</v>
      </c>
      <c r="AV112" s="1">
        <f t="shared" si="66"/>
        <v>48806</v>
      </c>
      <c r="AW112" s="60">
        <f>IF($X112&lt;Input!$H$88,IF($X112&lt;Input!$G$88,IF($X112&lt;Input!$F$88,IF($X112&lt;Input!$E$88,IF($X112&lt;Input!$D$88,Input!$C$94,Input!$D$94),Input!$E$94),Input!$F$94),Input!$G$94),Input!$H$94)</f>
        <v>0</v>
      </c>
      <c r="AX112" s="190">
        <f>IF($A112&lt;Input!$H$95,IF($A112&lt;Input!$G$95,IF($A112&lt;Input!$F$95,IF($A112&lt;Input!$E$95,IF($A112&lt;Input!$D$95,Input!$C$96,Input!$D$96),Input!$E$96),Input!$F$96),Input!$G$96),Input!$H$96)</f>
        <v>0.9</v>
      </c>
      <c r="AY112" s="60">
        <f t="shared" si="49"/>
        <v>0</v>
      </c>
      <c r="AZ112" s="60">
        <f t="shared" si="67"/>
        <v>31</v>
      </c>
      <c r="BA112" s="60">
        <f t="shared" si="50"/>
        <v>0</v>
      </c>
      <c r="BB112" s="60">
        <f>ROUND(BA112*AZ112*Input!$C$3/365,0)</f>
        <v>0</v>
      </c>
      <c r="BC112" s="61">
        <f>IF($A112&lt;=Input!$C$6,0,IF('Unique Tenure'!AY112&lt;'Unique Tenure'!BA112,'Unique Tenure'!AY112-BB112,'Unique Tenure'!BA112))</f>
        <v>0</v>
      </c>
      <c r="BD112" s="61">
        <f t="shared" si="51"/>
        <v>0</v>
      </c>
      <c r="BE112" s="60">
        <f t="shared" si="52"/>
        <v>0</v>
      </c>
      <c r="BF112" s="193"/>
      <c r="BG112" s="169">
        <v>108</v>
      </c>
      <c r="BH112" s="1">
        <f t="shared" si="68"/>
        <v>48806</v>
      </c>
      <c r="BI112" s="60">
        <f>IF($X112&lt;Input!$H$103,IF($X112&lt;Input!$G$103,IF($X112&lt;Input!$F$103,IF($X112&lt;Input!$E$103,IF($X112&lt;Input!$D$103,Input!$C$109,Input!$D$109),Input!$E$109),Input!$F$109),Input!$G$109),Input!$H$109)</f>
        <v>0</v>
      </c>
      <c r="BJ112" s="190">
        <f>IF($A112&lt;Input!$H$110,IF($A112&lt;Input!$G$110,IF($A112&lt;Input!$F$110,IF($A112&lt;Input!$E$110,IF($A112&lt;Input!$D$110,Input!$C$111,Input!$D$111),Input!$E$111),Input!$F$111),Input!$G$111),Input!$H$111)</f>
        <v>0.9</v>
      </c>
      <c r="BK112" s="60">
        <f t="shared" si="53"/>
        <v>0</v>
      </c>
      <c r="BL112" s="60">
        <f t="shared" si="69"/>
        <v>31</v>
      </c>
      <c r="BM112" s="60">
        <f t="shared" si="54"/>
        <v>0</v>
      </c>
      <c r="BN112" s="60">
        <f>ROUND(BM112*BL112*Input!$C$3/365,0)</f>
        <v>0</v>
      </c>
      <c r="BO112" s="61">
        <f>IF($A112&lt;=Input!$C$6,0,IF('Unique Tenure'!BK112&lt;'Unique Tenure'!BM112,'Unique Tenure'!BK112-BN112,'Unique Tenure'!BM112))</f>
        <v>0</v>
      </c>
      <c r="BP112" s="61">
        <f t="shared" si="55"/>
        <v>0</v>
      </c>
      <c r="BQ112" s="60">
        <f t="shared" si="56"/>
        <v>0</v>
      </c>
      <c r="BR112" s="198"/>
    </row>
    <row r="113" spans="1:70" s="51" customFormat="1" x14ac:dyDescent="0.25">
      <c r="A113" s="169">
        <v>109</v>
      </c>
      <c r="B113" s="1">
        <f t="shared" si="57"/>
        <v>48837</v>
      </c>
      <c r="C113" s="60">
        <f>SUM(
   IF(($A$4:$A$184 &lt;= Input!$D$16), M113, 0),
   IF(($A$4:$A$184 &lt;= Input!$E$16), Y113, 0),
   IF(($A$4:$A$184 &lt;= Input!$F$16), AK113, 0),
   IF(($A$4:$A$184 &lt;= Input!$G$16), AW113, 0),
   IF(($A$4:$A$184 &lt;= Input!$H$16), BI113, 0)
)</f>
        <v>33127052.878124986</v>
      </c>
      <c r="D113" s="60">
        <f>SUM(
   IF(($A$4:$A$184 &lt;= Input!$D$16), O113, 0),
   IF(($A$4:$A$184 &lt;= Input!$E$16), AA113, 0),
   IF(($A$4:$A$184 &lt;= Input!$F$16), AM113, 0),
   IF(($A$4:$A$184 &lt;= Input!$G$16), AY113, 0),
   IF(($A$4:$A$184 &lt;= Input!$H$16), BK113, 0)
)</f>
        <v>29814347.590312488</v>
      </c>
      <c r="E113" s="60">
        <f t="shared" si="58"/>
        <v>31</v>
      </c>
      <c r="F113" s="60">
        <f t="shared" si="59"/>
        <v>103592220</v>
      </c>
      <c r="G113" s="60">
        <f>ROUND(F113*E113*Input!$C$3/365,0)</f>
        <v>1319737</v>
      </c>
      <c r="H113" s="60">
        <f>IF($A113&lt;=Input!$C$6,0,IF('Unique Tenure'!D113&lt;'Unique Tenure'!F113,'Unique Tenure'!D113-G113,'Unique Tenure'!F113))</f>
        <v>28494610.590312488</v>
      </c>
      <c r="I113" s="60">
        <f t="shared" si="60"/>
        <v>29814347.590312488</v>
      </c>
      <c r="J113" s="60">
        <f t="shared" si="61"/>
        <v>75097609.409687519</v>
      </c>
      <c r="K113" s="202">
        <f>J113/Input!$K$5</f>
        <v>0.25032536469895839</v>
      </c>
      <c r="L113" s="232"/>
      <c r="M113" s="60">
        <f>IF($B113&lt;Input!$H$43,IF($B113&lt;Input!$G$43,IF($B113&lt;Input!$F$43,IF($B113&lt;Input!$E$43,IF($B113&lt;Input!$D$43,Input!$C$49,Input!$D$49),Input!$E$49),Input!$F$49),Input!$G$49),Input!$H$49)</f>
        <v>33127052.878124986</v>
      </c>
      <c r="N113" s="190">
        <f>IF($A113&lt;Input!$H$50,IF($A113&lt;Input!$G$50,IF($A113&lt;Input!$F$50,IF($A113&lt;Input!$E$50,IF($A113&lt;Input!$D$50,Input!$C$51,Input!$D$51),Input!$E$51),Input!$F$51),Input!$G$51),Input!$H$51)</f>
        <v>0.9</v>
      </c>
      <c r="O113" s="60">
        <f t="shared" si="70"/>
        <v>29814347.590312488</v>
      </c>
      <c r="P113" s="60">
        <f t="shared" si="71"/>
        <v>31</v>
      </c>
      <c r="Q113" s="60">
        <f t="shared" si="38"/>
        <v>103592220</v>
      </c>
      <c r="R113" s="60">
        <f>ROUND(Q113*$P113*Input!$C$3/365,0)</f>
        <v>1319737</v>
      </c>
      <c r="S113" s="60">
        <f>IF(A113&lt;=Input!$C$6,0,IF('Unique Tenure'!O113&lt;'Unique Tenure'!Q113,'Unique Tenure'!O113-R113,'Unique Tenure'!Q113))</f>
        <v>28494610.590312488</v>
      </c>
      <c r="T113" s="60">
        <f t="shared" si="39"/>
        <v>29814347.590312488</v>
      </c>
      <c r="U113" s="60">
        <f t="shared" si="40"/>
        <v>75097609.409687519</v>
      </c>
      <c r="V113" s="193"/>
      <c r="W113" s="169">
        <v>109</v>
      </c>
      <c r="X113" s="1">
        <f t="shared" si="62"/>
        <v>48837</v>
      </c>
      <c r="Y113" s="60">
        <f>IF($X113&lt;Input!$H$58,IF($X113&lt;Input!$G$58,IF($X113&lt;Input!$F$58,IF($X113&lt;Input!$E$58,IF($X113&lt;Input!$D$58,Input!$C$64,Input!$D$64),Input!$E$64),Input!$F$64),Input!$G$64),Input!$H$64)</f>
        <v>0</v>
      </c>
      <c r="Z113" s="190">
        <f>IF($A113&lt;Input!$H$65,IF($A113&lt;Input!$G$65,IF($A113&lt;Input!$F$65,IF($A113&lt;Input!$E$65,IF($A113&lt;Input!$D$65,Input!$C$66,Input!$D$66),Input!$E$66),Input!$F$66),Input!$G$66),Input!$H$66)</f>
        <v>0.9</v>
      </c>
      <c r="AA113" s="60">
        <f t="shared" si="41"/>
        <v>0</v>
      </c>
      <c r="AB113" s="60">
        <f t="shared" si="63"/>
        <v>31</v>
      </c>
      <c r="AC113" s="60">
        <f t="shared" si="42"/>
        <v>0</v>
      </c>
      <c r="AD113" s="60">
        <f>ROUND(AC113*AB113*Input!$C$3/365,0)</f>
        <v>0</v>
      </c>
      <c r="AE113" s="61">
        <f>IF($A113&lt;=Input!$C$6,0,IF('Unique Tenure'!AA113&lt;'Unique Tenure'!AC113,'Unique Tenure'!AA113-AD113,'Unique Tenure'!AC113))</f>
        <v>0</v>
      </c>
      <c r="AF113" s="61">
        <f t="shared" si="43"/>
        <v>0</v>
      </c>
      <c r="AG113" s="60">
        <f t="shared" si="44"/>
        <v>0</v>
      </c>
      <c r="AH113" s="193"/>
      <c r="AI113" s="169">
        <v>109</v>
      </c>
      <c r="AJ113" s="1">
        <f t="shared" si="64"/>
        <v>48837</v>
      </c>
      <c r="AK113" s="60">
        <f>IF($X113&lt;Input!$H$73,IF($X113&lt;Input!$G$73,IF($X113&lt;Input!$F$73,IF($X113&lt;Input!$E$73,IF($X113&lt;Input!$D$73,Input!$C$79,Input!$D$79),Input!$E$79),Input!$F$79),Input!$G$79),Input!$H$79)</f>
        <v>0</v>
      </c>
      <c r="AL113" s="190">
        <f>IF($A113&lt;Input!$H$80,IF($A113&lt;Input!$G$80,IF($A113&lt;Input!$F$80,IF($A113&lt;Input!$E$80,IF($A113&lt;Input!$D$80,Input!$C$81,Input!$D$81),Input!$E$81),Input!$F$81),Input!$G$81),Input!$H$81)</f>
        <v>0.9</v>
      </c>
      <c r="AM113" s="60">
        <f t="shared" si="45"/>
        <v>0</v>
      </c>
      <c r="AN113" s="60">
        <f t="shared" si="65"/>
        <v>31</v>
      </c>
      <c r="AO113" s="60">
        <f t="shared" si="46"/>
        <v>0</v>
      </c>
      <c r="AP113" s="60">
        <f>ROUND(AO113*AN113*Input!$C$3/365,0)</f>
        <v>0</v>
      </c>
      <c r="AQ113" s="61">
        <f>IF($A113&lt;=Input!$C$6,0,IF('Unique Tenure'!AM113&lt;'Unique Tenure'!AO113,'Unique Tenure'!AM113-AP113,'Unique Tenure'!AO113))</f>
        <v>0</v>
      </c>
      <c r="AR113" s="61">
        <f t="shared" si="47"/>
        <v>0</v>
      </c>
      <c r="AS113" s="60">
        <f t="shared" si="48"/>
        <v>0</v>
      </c>
      <c r="AT113" s="193"/>
      <c r="AU113" s="169">
        <v>109</v>
      </c>
      <c r="AV113" s="1">
        <f t="shared" si="66"/>
        <v>48837</v>
      </c>
      <c r="AW113" s="60">
        <f>IF($X113&lt;Input!$H$88,IF($X113&lt;Input!$G$88,IF($X113&lt;Input!$F$88,IF($X113&lt;Input!$E$88,IF($X113&lt;Input!$D$88,Input!$C$94,Input!$D$94),Input!$E$94),Input!$F$94),Input!$G$94),Input!$H$94)</f>
        <v>0</v>
      </c>
      <c r="AX113" s="190">
        <f>IF($A113&lt;Input!$H$95,IF($A113&lt;Input!$G$95,IF($A113&lt;Input!$F$95,IF($A113&lt;Input!$E$95,IF($A113&lt;Input!$D$95,Input!$C$96,Input!$D$96),Input!$E$96),Input!$F$96),Input!$G$96),Input!$H$96)</f>
        <v>0.9</v>
      </c>
      <c r="AY113" s="60">
        <f t="shared" si="49"/>
        <v>0</v>
      </c>
      <c r="AZ113" s="60">
        <f t="shared" si="67"/>
        <v>31</v>
      </c>
      <c r="BA113" s="60">
        <f t="shared" si="50"/>
        <v>0</v>
      </c>
      <c r="BB113" s="60">
        <f>ROUND(BA113*AZ113*Input!$C$3/365,0)</f>
        <v>0</v>
      </c>
      <c r="BC113" s="61">
        <f>IF($A113&lt;=Input!$C$6,0,IF('Unique Tenure'!AY113&lt;'Unique Tenure'!BA113,'Unique Tenure'!AY113-BB113,'Unique Tenure'!BA113))</f>
        <v>0</v>
      </c>
      <c r="BD113" s="61">
        <f t="shared" si="51"/>
        <v>0</v>
      </c>
      <c r="BE113" s="60">
        <f t="shared" si="52"/>
        <v>0</v>
      </c>
      <c r="BF113" s="193"/>
      <c r="BG113" s="169">
        <v>109</v>
      </c>
      <c r="BH113" s="1">
        <f t="shared" si="68"/>
        <v>48837</v>
      </c>
      <c r="BI113" s="60">
        <f>IF($X113&lt;Input!$H$103,IF($X113&lt;Input!$G$103,IF($X113&lt;Input!$F$103,IF($X113&lt;Input!$E$103,IF($X113&lt;Input!$D$103,Input!$C$109,Input!$D$109),Input!$E$109),Input!$F$109),Input!$G$109),Input!$H$109)</f>
        <v>0</v>
      </c>
      <c r="BJ113" s="190">
        <f>IF($A113&lt;Input!$H$110,IF($A113&lt;Input!$G$110,IF($A113&lt;Input!$F$110,IF($A113&lt;Input!$E$110,IF($A113&lt;Input!$D$110,Input!$C$111,Input!$D$111),Input!$E$111),Input!$F$111),Input!$G$111),Input!$H$111)</f>
        <v>0.9</v>
      </c>
      <c r="BK113" s="60">
        <f t="shared" si="53"/>
        <v>0</v>
      </c>
      <c r="BL113" s="60">
        <f t="shared" si="69"/>
        <v>31</v>
      </c>
      <c r="BM113" s="60">
        <f t="shared" si="54"/>
        <v>0</v>
      </c>
      <c r="BN113" s="60">
        <f>ROUND(BM113*BL113*Input!$C$3/365,0)</f>
        <v>0</v>
      </c>
      <c r="BO113" s="61">
        <f>IF($A113&lt;=Input!$C$6,0,IF('Unique Tenure'!BK113&lt;'Unique Tenure'!BM113,'Unique Tenure'!BK113-BN113,'Unique Tenure'!BM113))</f>
        <v>0</v>
      </c>
      <c r="BP113" s="61">
        <f t="shared" si="55"/>
        <v>0</v>
      </c>
      <c r="BQ113" s="60">
        <f t="shared" si="56"/>
        <v>0</v>
      </c>
      <c r="BR113" s="198"/>
    </row>
    <row r="114" spans="1:70" s="51" customFormat="1" x14ac:dyDescent="0.25">
      <c r="A114" s="169">
        <v>110</v>
      </c>
      <c r="B114" s="1">
        <f t="shared" si="57"/>
        <v>48867</v>
      </c>
      <c r="C114" s="60">
        <f>SUM(
   IF(($A$4:$A$184 &lt;= Input!$D$16), M114, 0),
   IF(($A$4:$A$184 &lt;= Input!$E$16), Y114, 0),
   IF(($A$4:$A$184 &lt;= Input!$F$16), AK114, 0),
   IF(($A$4:$A$184 &lt;= Input!$G$16), AW114, 0),
   IF(($A$4:$A$184 &lt;= Input!$H$16), BI114, 0)
)</f>
        <v>33127052.878124986</v>
      </c>
      <c r="D114" s="60">
        <f>SUM(
   IF(($A$4:$A$184 &lt;= Input!$D$16), O114, 0),
   IF(($A$4:$A$184 &lt;= Input!$E$16), AA114, 0),
   IF(($A$4:$A$184 &lt;= Input!$F$16), AM114, 0),
   IF(($A$4:$A$184 &lt;= Input!$G$16), AY114, 0),
   IF(($A$4:$A$184 &lt;= Input!$H$16), BK114, 0)
)</f>
        <v>29814347.590312488</v>
      </c>
      <c r="E114" s="60">
        <f t="shared" si="58"/>
        <v>30</v>
      </c>
      <c r="F114" s="60">
        <f t="shared" si="59"/>
        <v>75097609.409687519</v>
      </c>
      <c r="G114" s="60">
        <f>ROUND(F114*E114*Input!$C$3/365,0)</f>
        <v>925861</v>
      </c>
      <c r="H114" s="60">
        <f>IF($A114&lt;=Input!$C$6,0,IF('Unique Tenure'!D114&lt;'Unique Tenure'!F114,'Unique Tenure'!D114-G114,'Unique Tenure'!F114))</f>
        <v>28888486.590312488</v>
      </c>
      <c r="I114" s="60">
        <f t="shared" si="60"/>
        <v>29814347.590312488</v>
      </c>
      <c r="J114" s="60">
        <f t="shared" si="61"/>
        <v>46209122.819375031</v>
      </c>
      <c r="K114" s="202">
        <f>J114/Input!$K$5</f>
        <v>0.15403040939791676</v>
      </c>
      <c r="L114" s="232"/>
      <c r="M114" s="60">
        <f>IF($B114&lt;Input!$H$43,IF($B114&lt;Input!$G$43,IF($B114&lt;Input!$F$43,IF($B114&lt;Input!$E$43,IF($B114&lt;Input!$D$43,Input!$C$49,Input!$D$49),Input!$E$49),Input!$F$49),Input!$G$49),Input!$H$49)</f>
        <v>33127052.878124986</v>
      </c>
      <c r="N114" s="190">
        <f>IF($A114&lt;Input!$H$50,IF($A114&lt;Input!$G$50,IF($A114&lt;Input!$F$50,IF($A114&lt;Input!$E$50,IF($A114&lt;Input!$D$50,Input!$C$51,Input!$D$51),Input!$E$51),Input!$F$51),Input!$G$51),Input!$H$51)</f>
        <v>0.9</v>
      </c>
      <c r="O114" s="60">
        <f t="shared" si="70"/>
        <v>29814347.590312488</v>
      </c>
      <c r="P114" s="60">
        <f t="shared" si="71"/>
        <v>30</v>
      </c>
      <c r="Q114" s="60">
        <f t="shared" si="38"/>
        <v>75097609.409687519</v>
      </c>
      <c r="R114" s="60">
        <f>ROUND(Q114*$P114*Input!$C$3/365,0)</f>
        <v>925861</v>
      </c>
      <c r="S114" s="60">
        <f>IF(A114&lt;=Input!$C$6,0,IF('Unique Tenure'!O114&lt;'Unique Tenure'!Q114,'Unique Tenure'!O114-R114,'Unique Tenure'!Q114))</f>
        <v>28888486.590312488</v>
      </c>
      <c r="T114" s="60">
        <f t="shared" si="39"/>
        <v>29814347.590312488</v>
      </c>
      <c r="U114" s="60">
        <f t="shared" si="40"/>
        <v>46209122.819375031</v>
      </c>
      <c r="V114" s="193"/>
      <c r="W114" s="169">
        <v>110</v>
      </c>
      <c r="X114" s="1">
        <f t="shared" si="62"/>
        <v>48867</v>
      </c>
      <c r="Y114" s="60">
        <f>IF($X114&lt;Input!$H$58,IF($X114&lt;Input!$G$58,IF($X114&lt;Input!$F$58,IF($X114&lt;Input!$E$58,IF($X114&lt;Input!$D$58,Input!$C$64,Input!$D$64),Input!$E$64),Input!$F$64),Input!$G$64),Input!$H$64)</f>
        <v>0</v>
      </c>
      <c r="Z114" s="190">
        <f>IF($A114&lt;Input!$H$65,IF($A114&lt;Input!$G$65,IF($A114&lt;Input!$F$65,IF($A114&lt;Input!$E$65,IF($A114&lt;Input!$D$65,Input!$C$66,Input!$D$66),Input!$E$66),Input!$F$66),Input!$G$66),Input!$H$66)</f>
        <v>0.9</v>
      </c>
      <c r="AA114" s="60">
        <f t="shared" si="41"/>
        <v>0</v>
      </c>
      <c r="AB114" s="60">
        <f t="shared" si="63"/>
        <v>30</v>
      </c>
      <c r="AC114" s="60">
        <f t="shared" si="42"/>
        <v>0</v>
      </c>
      <c r="AD114" s="60">
        <f>ROUND(AC114*AB114*Input!$C$3/365,0)</f>
        <v>0</v>
      </c>
      <c r="AE114" s="61">
        <f>IF($A114&lt;=Input!$C$6,0,IF('Unique Tenure'!AA114&lt;'Unique Tenure'!AC114,'Unique Tenure'!AA114-AD114,'Unique Tenure'!AC114))</f>
        <v>0</v>
      </c>
      <c r="AF114" s="61">
        <f t="shared" si="43"/>
        <v>0</v>
      </c>
      <c r="AG114" s="60">
        <f t="shared" si="44"/>
        <v>0</v>
      </c>
      <c r="AH114" s="193"/>
      <c r="AI114" s="169">
        <v>110</v>
      </c>
      <c r="AJ114" s="1">
        <f t="shared" si="64"/>
        <v>48867</v>
      </c>
      <c r="AK114" s="60">
        <f>IF($X114&lt;Input!$H$73,IF($X114&lt;Input!$G$73,IF($X114&lt;Input!$F$73,IF($X114&lt;Input!$E$73,IF($X114&lt;Input!$D$73,Input!$C$79,Input!$D$79),Input!$E$79),Input!$F$79),Input!$G$79),Input!$H$79)</f>
        <v>0</v>
      </c>
      <c r="AL114" s="190">
        <f>IF($A114&lt;Input!$H$80,IF($A114&lt;Input!$G$80,IF($A114&lt;Input!$F$80,IF($A114&lt;Input!$E$80,IF($A114&lt;Input!$D$80,Input!$C$81,Input!$D$81),Input!$E$81),Input!$F$81),Input!$G$81),Input!$H$81)</f>
        <v>0.9</v>
      </c>
      <c r="AM114" s="60">
        <f t="shared" si="45"/>
        <v>0</v>
      </c>
      <c r="AN114" s="60">
        <f t="shared" si="65"/>
        <v>30</v>
      </c>
      <c r="AO114" s="60">
        <f t="shared" si="46"/>
        <v>0</v>
      </c>
      <c r="AP114" s="60">
        <f>ROUND(AO114*AN114*Input!$C$3/365,0)</f>
        <v>0</v>
      </c>
      <c r="AQ114" s="61">
        <f>IF($A114&lt;=Input!$C$6,0,IF('Unique Tenure'!AM114&lt;'Unique Tenure'!AO114,'Unique Tenure'!AM114-AP114,'Unique Tenure'!AO114))</f>
        <v>0</v>
      </c>
      <c r="AR114" s="61">
        <f t="shared" si="47"/>
        <v>0</v>
      </c>
      <c r="AS114" s="60">
        <f t="shared" si="48"/>
        <v>0</v>
      </c>
      <c r="AT114" s="193"/>
      <c r="AU114" s="169">
        <v>110</v>
      </c>
      <c r="AV114" s="1">
        <f t="shared" si="66"/>
        <v>48867</v>
      </c>
      <c r="AW114" s="60">
        <f>IF($X114&lt;Input!$H$88,IF($X114&lt;Input!$G$88,IF($X114&lt;Input!$F$88,IF($X114&lt;Input!$E$88,IF($X114&lt;Input!$D$88,Input!$C$94,Input!$D$94),Input!$E$94),Input!$F$94),Input!$G$94),Input!$H$94)</f>
        <v>0</v>
      </c>
      <c r="AX114" s="190">
        <f>IF($A114&lt;Input!$H$95,IF($A114&lt;Input!$G$95,IF($A114&lt;Input!$F$95,IF($A114&lt;Input!$E$95,IF($A114&lt;Input!$D$95,Input!$C$96,Input!$D$96),Input!$E$96),Input!$F$96),Input!$G$96),Input!$H$96)</f>
        <v>0.9</v>
      </c>
      <c r="AY114" s="60">
        <f t="shared" si="49"/>
        <v>0</v>
      </c>
      <c r="AZ114" s="60">
        <f t="shared" si="67"/>
        <v>30</v>
      </c>
      <c r="BA114" s="60">
        <f t="shared" si="50"/>
        <v>0</v>
      </c>
      <c r="BB114" s="60">
        <f>ROUND(BA114*AZ114*Input!$C$3/365,0)</f>
        <v>0</v>
      </c>
      <c r="BC114" s="61">
        <f>IF($A114&lt;=Input!$C$6,0,IF('Unique Tenure'!AY114&lt;'Unique Tenure'!BA114,'Unique Tenure'!AY114-BB114,'Unique Tenure'!BA114))</f>
        <v>0</v>
      </c>
      <c r="BD114" s="61">
        <f t="shared" si="51"/>
        <v>0</v>
      </c>
      <c r="BE114" s="60">
        <f t="shared" si="52"/>
        <v>0</v>
      </c>
      <c r="BF114" s="193"/>
      <c r="BG114" s="169">
        <v>110</v>
      </c>
      <c r="BH114" s="1">
        <f t="shared" si="68"/>
        <v>48867</v>
      </c>
      <c r="BI114" s="60">
        <f>IF($X114&lt;Input!$H$103,IF($X114&lt;Input!$G$103,IF($X114&lt;Input!$F$103,IF($X114&lt;Input!$E$103,IF($X114&lt;Input!$D$103,Input!$C$109,Input!$D$109),Input!$E$109),Input!$F$109),Input!$G$109),Input!$H$109)</f>
        <v>0</v>
      </c>
      <c r="BJ114" s="190">
        <f>IF($A114&lt;Input!$H$110,IF($A114&lt;Input!$G$110,IF($A114&lt;Input!$F$110,IF($A114&lt;Input!$E$110,IF($A114&lt;Input!$D$110,Input!$C$111,Input!$D$111),Input!$E$111),Input!$F$111),Input!$G$111),Input!$H$111)</f>
        <v>0.9</v>
      </c>
      <c r="BK114" s="60">
        <f t="shared" si="53"/>
        <v>0</v>
      </c>
      <c r="BL114" s="60">
        <f t="shared" si="69"/>
        <v>30</v>
      </c>
      <c r="BM114" s="60">
        <f t="shared" si="54"/>
        <v>0</v>
      </c>
      <c r="BN114" s="60">
        <f>ROUND(BM114*BL114*Input!$C$3/365,0)</f>
        <v>0</v>
      </c>
      <c r="BO114" s="61">
        <f>IF($A114&lt;=Input!$C$6,0,IF('Unique Tenure'!BK114&lt;'Unique Tenure'!BM114,'Unique Tenure'!BK114-BN114,'Unique Tenure'!BM114))</f>
        <v>0</v>
      </c>
      <c r="BP114" s="61">
        <f t="shared" si="55"/>
        <v>0</v>
      </c>
      <c r="BQ114" s="60">
        <f t="shared" si="56"/>
        <v>0</v>
      </c>
      <c r="BR114" s="198"/>
    </row>
    <row r="115" spans="1:70" s="51" customFormat="1" x14ac:dyDescent="0.25">
      <c r="A115" s="169">
        <v>111</v>
      </c>
      <c r="B115" s="1">
        <f t="shared" si="57"/>
        <v>48898</v>
      </c>
      <c r="C115" s="60">
        <f>SUM(
   IF(($A$4:$A$184 &lt;= Input!$D$16), M115, 0),
   IF(($A$4:$A$184 &lt;= Input!$E$16), Y115, 0),
   IF(($A$4:$A$184 &lt;= Input!$F$16), AK115, 0),
   IF(($A$4:$A$184 &lt;= Input!$G$16), AW115, 0),
   IF(($A$4:$A$184 &lt;= Input!$H$16), BI115, 0)
)</f>
        <v>33127052.878124986</v>
      </c>
      <c r="D115" s="60">
        <f>SUM(
   IF(($A$4:$A$184 &lt;= Input!$D$16), O115, 0),
   IF(($A$4:$A$184 &lt;= Input!$E$16), AA115, 0),
   IF(($A$4:$A$184 &lt;= Input!$F$16), AM115, 0),
   IF(($A$4:$A$184 &lt;= Input!$G$16), AY115, 0),
   IF(($A$4:$A$184 &lt;= Input!$H$16), BK115, 0)
)</f>
        <v>29814347.590312488</v>
      </c>
      <c r="E115" s="60">
        <f t="shared" si="58"/>
        <v>31</v>
      </c>
      <c r="F115" s="60">
        <f t="shared" si="59"/>
        <v>46209122.819375031</v>
      </c>
      <c r="G115" s="60">
        <f>ROUND(F115*E115*Input!$C$3/365,0)</f>
        <v>588692</v>
      </c>
      <c r="H115" s="60">
        <f>IF($A115&lt;=Input!$C$6,0,IF('Unique Tenure'!D115&lt;'Unique Tenure'!F115,'Unique Tenure'!D115-G115,'Unique Tenure'!F115))</f>
        <v>29225655.590312488</v>
      </c>
      <c r="I115" s="60">
        <f t="shared" si="60"/>
        <v>29814347.590312488</v>
      </c>
      <c r="J115" s="60">
        <f t="shared" si="61"/>
        <v>16983467.229062542</v>
      </c>
      <c r="K115" s="202">
        <f>J115/Input!$K$5</f>
        <v>5.6611557430208473E-2</v>
      </c>
      <c r="L115" s="232"/>
      <c r="M115" s="60">
        <f>IF($B115&lt;Input!$H$43,IF($B115&lt;Input!$G$43,IF($B115&lt;Input!$F$43,IF($B115&lt;Input!$E$43,IF($B115&lt;Input!$D$43,Input!$C$49,Input!$D$49),Input!$E$49),Input!$F$49),Input!$G$49),Input!$H$49)</f>
        <v>33127052.878124986</v>
      </c>
      <c r="N115" s="190">
        <f>IF($A115&lt;Input!$H$50,IF($A115&lt;Input!$G$50,IF($A115&lt;Input!$F$50,IF($A115&lt;Input!$E$50,IF($A115&lt;Input!$D$50,Input!$C$51,Input!$D$51),Input!$E$51),Input!$F$51),Input!$G$51),Input!$H$51)</f>
        <v>0.9</v>
      </c>
      <c r="O115" s="60">
        <f t="shared" si="70"/>
        <v>29814347.590312488</v>
      </c>
      <c r="P115" s="60">
        <f t="shared" si="71"/>
        <v>31</v>
      </c>
      <c r="Q115" s="60">
        <f t="shared" si="38"/>
        <v>46209122.819375031</v>
      </c>
      <c r="R115" s="60">
        <f>ROUND(Q115*$P115*Input!$C$3/365,0)</f>
        <v>588692</v>
      </c>
      <c r="S115" s="60">
        <f>IF(A115&lt;=Input!$C$6,0,IF('Unique Tenure'!O115&lt;'Unique Tenure'!Q115,'Unique Tenure'!O115-R115,'Unique Tenure'!Q115))</f>
        <v>29225655.590312488</v>
      </c>
      <c r="T115" s="60">
        <f t="shared" si="39"/>
        <v>29814347.590312488</v>
      </c>
      <c r="U115" s="60">
        <f t="shared" si="40"/>
        <v>16983467.229062542</v>
      </c>
      <c r="V115" s="193"/>
      <c r="W115" s="169">
        <v>111</v>
      </c>
      <c r="X115" s="1">
        <f t="shared" si="62"/>
        <v>48898</v>
      </c>
      <c r="Y115" s="60">
        <f>IF($X115&lt;Input!$H$58,IF($X115&lt;Input!$G$58,IF($X115&lt;Input!$F$58,IF($X115&lt;Input!$E$58,IF($X115&lt;Input!$D$58,Input!$C$64,Input!$D$64),Input!$E$64),Input!$F$64),Input!$G$64),Input!$H$64)</f>
        <v>0</v>
      </c>
      <c r="Z115" s="190">
        <f>IF($A115&lt;Input!$H$65,IF($A115&lt;Input!$G$65,IF($A115&lt;Input!$F$65,IF($A115&lt;Input!$E$65,IF($A115&lt;Input!$D$65,Input!$C$66,Input!$D$66),Input!$E$66),Input!$F$66),Input!$G$66),Input!$H$66)</f>
        <v>0.9</v>
      </c>
      <c r="AA115" s="60">
        <f t="shared" si="41"/>
        <v>0</v>
      </c>
      <c r="AB115" s="60">
        <f t="shared" si="63"/>
        <v>31</v>
      </c>
      <c r="AC115" s="60">
        <f t="shared" si="42"/>
        <v>0</v>
      </c>
      <c r="AD115" s="60">
        <f>ROUND(AC115*AB115*Input!$C$3/365,0)</f>
        <v>0</v>
      </c>
      <c r="AE115" s="61">
        <f>IF($A115&lt;=Input!$C$6,0,IF('Unique Tenure'!AA115&lt;'Unique Tenure'!AC115,'Unique Tenure'!AA115-AD115,'Unique Tenure'!AC115))</f>
        <v>0</v>
      </c>
      <c r="AF115" s="61">
        <f t="shared" si="43"/>
        <v>0</v>
      </c>
      <c r="AG115" s="60">
        <f t="shared" si="44"/>
        <v>0</v>
      </c>
      <c r="AH115" s="193"/>
      <c r="AI115" s="169">
        <v>111</v>
      </c>
      <c r="AJ115" s="1">
        <f t="shared" si="64"/>
        <v>48898</v>
      </c>
      <c r="AK115" s="60">
        <f>IF($X115&lt;Input!$H$73,IF($X115&lt;Input!$G$73,IF($X115&lt;Input!$F$73,IF($X115&lt;Input!$E$73,IF($X115&lt;Input!$D$73,Input!$C$79,Input!$D$79),Input!$E$79),Input!$F$79),Input!$G$79),Input!$H$79)</f>
        <v>0</v>
      </c>
      <c r="AL115" s="190">
        <f>IF($A115&lt;Input!$H$80,IF($A115&lt;Input!$G$80,IF($A115&lt;Input!$F$80,IF($A115&lt;Input!$E$80,IF($A115&lt;Input!$D$80,Input!$C$81,Input!$D$81),Input!$E$81),Input!$F$81),Input!$G$81),Input!$H$81)</f>
        <v>0.9</v>
      </c>
      <c r="AM115" s="60">
        <f t="shared" si="45"/>
        <v>0</v>
      </c>
      <c r="AN115" s="60">
        <f t="shared" si="65"/>
        <v>31</v>
      </c>
      <c r="AO115" s="60">
        <f t="shared" si="46"/>
        <v>0</v>
      </c>
      <c r="AP115" s="60">
        <f>ROUND(AO115*AN115*Input!$C$3/365,0)</f>
        <v>0</v>
      </c>
      <c r="AQ115" s="61">
        <f>IF($A115&lt;=Input!$C$6,0,IF('Unique Tenure'!AM115&lt;'Unique Tenure'!AO115,'Unique Tenure'!AM115-AP115,'Unique Tenure'!AO115))</f>
        <v>0</v>
      </c>
      <c r="AR115" s="61">
        <f t="shared" si="47"/>
        <v>0</v>
      </c>
      <c r="AS115" s="60">
        <f t="shared" si="48"/>
        <v>0</v>
      </c>
      <c r="AT115" s="193"/>
      <c r="AU115" s="169">
        <v>111</v>
      </c>
      <c r="AV115" s="1">
        <f t="shared" si="66"/>
        <v>48898</v>
      </c>
      <c r="AW115" s="60">
        <f>IF($X115&lt;Input!$H$88,IF($X115&lt;Input!$G$88,IF($X115&lt;Input!$F$88,IF($X115&lt;Input!$E$88,IF($X115&lt;Input!$D$88,Input!$C$94,Input!$D$94),Input!$E$94),Input!$F$94),Input!$G$94),Input!$H$94)</f>
        <v>0</v>
      </c>
      <c r="AX115" s="190">
        <f>IF($A115&lt;Input!$H$95,IF($A115&lt;Input!$G$95,IF($A115&lt;Input!$F$95,IF($A115&lt;Input!$E$95,IF($A115&lt;Input!$D$95,Input!$C$96,Input!$D$96),Input!$E$96),Input!$F$96),Input!$G$96),Input!$H$96)</f>
        <v>0.9</v>
      </c>
      <c r="AY115" s="60">
        <f t="shared" si="49"/>
        <v>0</v>
      </c>
      <c r="AZ115" s="60">
        <f t="shared" si="67"/>
        <v>31</v>
      </c>
      <c r="BA115" s="60">
        <f t="shared" si="50"/>
        <v>0</v>
      </c>
      <c r="BB115" s="60">
        <f>ROUND(BA115*AZ115*Input!$C$3/365,0)</f>
        <v>0</v>
      </c>
      <c r="BC115" s="61">
        <f>IF($A115&lt;=Input!$C$6,0,IF('Unique Tenure'!AY115&lt;'Unique Tenure'!BA115,'Unique Tenure'!AY115-BB115,'Unique Tenure'!BA115))</f>
        <v>0</v>
      </c>
      <c r="BD115" s="61">
        <f t="shared" si="51"/>
        <v>0</v>
      </c>
      <c r="BE115" s="60">
        <f t="shared" si="52"/>
        <v>0</v>
      </c>
      <c r="BF115" s="193"/>
      <c r="BG115" s="169">
        <v>111</v>
      </c>
      <c r="BH115" s="1">
        <f t="shared" si="68"/>
        <v>48898</v>
      </c>
      <c r="BI115" s="60">
        <f>IF($X115&lt;Input!$H$103,IF($X115&lt;Input!$G$103,IF($X115&lt;Input!$F$103,IF($X115&lt;Input!$E$103,IF($X115&lt;Input!$D$103,Input!$C$109,Input!$D$109),Input!$E$109),Input!$F$109),Input!$G$109),Input!$H$109)</f>
        <v>0</v>
      </c>
      <c r="BJ115" s="190">
        <f>IF($A115&lt;Input!$H$110,IF($A115&lt;Input!$G$110,IF($A115&lt;Input!$F$110,IF($A115&lt;Input!$E$110,IF($A115&lt;Input!$D$110,Input!$C$111,Input!$D$111),Input!$E$111),Input!$F$111),Input!$G$111),Input!$H$111)</f>
        <v>0.9</v>
      </c>
      <c r="BK115" s="60">
        <f t="shared" si="53"/>
        <v>0</v>
      </c>
      <c r="BL115" s="60">
        <f t="shared" si="69"/>
        <v>31</v>
      </c>
      <c r="BM115" s="60">
        <f t="shared" si="54"/>
        <v>0</v>
      </c>
      <c r="BN115" s="60">
        <f>ROUND(BM115*BL115*Input!$C$3/365,0)</f>
        <v>0</v>
      </c>
      <c r="BO115" s="61">
        <f>IF($A115&lt;=Input!$C$6,0,IF('Unique Tenure'!BK115&lt;'Unique Tenure'!BM115,'Unique Tenure'!BK115-BN115,'Unique Tenure'!BM115))</f>
        <v>0</v>
      </c>
      <c r="BP115" s="61">
        <f t="shared" si="55"/>
        <v>0</v>
      </c>
      <c r="BQ115" s="60">
        <f t="shared" si="56"/>
        <v>0</v>
      </c>
      <c r="BR115" s="198"/>
    </row>
    <row r="116" spans="1:70" s="51" customFormat="1" x14ac:dyDescent="0.25">
      <c r="A116" s="169">
        <v>112</v>
      </c>
      <c r="B116" s="1">
        <f t="shared" si="57"/>
        <v>48928</v>
      </c>
      <c r="C116" s="60">
        <f>SUM(
   IF(($A$4:$A$184 &lt;= Input!$D$16), M116, 0),
   IF(($A$4:$A$184 &lt;= Input!$E$16), Y116, 0),
   IF(($A$4:$A$184 &lt;= Input!$F$16), AK116, 0),
   IF(($A$4:$A$184 &lt;= Input!$G$16), AW116, 0),
   IF(($A$4:$A$184 &lt;= Input!$H$16), BI116, 0)
)</f>
        <v>33127052.878124986</v>
      </c>
      <c r="D116" s="60">
        <f>SUM(
   IF(($A$4:$A$184 &lt;= Input!$D$16), O116, 0),
   IF(($A$4:$A$184 &lt;= Input!$E$16), AA116, 0),
   IF(($A$4:$A$184 &lt;= Input!$F$16), AM116, 0),
   IF(($A$4:$A$184 &lt;= Input!$G$16), AY116, 0),
   IF(($A$4:$A$184 &lt;= Input!$H$16), BK116, 0)
)</f>
        <v>29814347.590312488</v>
      </c>
      <c r="E116" s="60">
        <f t="shared" si="58"/>
        <v>30</v>
      </c>
      <c r="F116" s="60">
        <f t="shared" si="59"/>
        <v>16983467.229062542</v>
      </c>
      <c r="G116" s="60">
        <f>ROUND(F116*E116*Input!$C$3/365,0)</f>
        <v>209385</v>
      </c>
      <c r="H116" s="60">
        <f>IF($A116&lt;=Input!$C$6,0,IF('Unique Tenure'!D116&lt;'Unique Tenure'!F116,'Unique Tenure'!D116-G116,'Unique Tenure'!F116))</f>
        <v>16983467.229062542</v>
      </c>
      <c r="I116" s="60">
        <f t="shared" si="60"/>
        <v>17192852.229062542</v>
      </c>
      <c r="J116" s="60">
        <f t="shared" si="61"/>
        <v>0</v>
      </c>
      <c r="K116" s="202">
        <f>J116/Input!$K$5</f>
        <v>0</v>
      </c>
      <c r="L116" s="232"/>
      <c r="M116" s="60">
        <f>IF($B116&lt;Input!$H$43,IF($B116&lt;Input!$G$43,IF($B116&lt;Input!$F$43,IF($B116&lt;Input!$E$43,IF($B116&lt;Input!$D$43,Input!$C$49,Input!$D$49),Input!$E$49),Input!$F$49),Input!$G$49),Input!$H$49)</f>
        <v>33127052.878124986</v>
      </c>
      <c r="N116" s="190">
        <f>IF($A116&lt;Input!$H$50,IF($A116&lt;Input!$G$50,IF($A116&lt;Input!$F$50,IF($A116&lt;Input!$E$50,IF($A116&lt;Input!$D$50,Input!$C$51,Input!$D$51),Input!$E$51),Input!$F$51),Input!$G$51),Input!$H$51)</f>
        <v>0.9</v>
      </c>
      <c r="O116" s="60">
        <f t="shared" si="70"/>
        <v>29814347.590312488</v>
      </c>
      <c r="P116" s="60">
        <f t="shared" si="71"/>
        <v>30</v>
      </c>
      <c r="Q116" s="60">
        <f t="shared" si="38"/>
        <v>16983467.229062542</v>
      </c>
      <c r="R116" s="60">
        <f>ROUND(Q116*$P116*Input!$C$3/365,0)</f>
        <v>209385</v>
      </c>
      <c r="S116" s="60">
        <f>IF(A116&lt;=Input!$C$6,0,IF('Unique Tenure'!O116&lt;'Unique Tenure'!Q116,'Unique Tenure'!O116-R116,'Unique Tenure'!Q116))</f>
        <v>16983467.229062542</v>
      </c>
      <c r="T116" s="60">
        <f t="shared" si="39"/>
        <v>17192852.229062542</v>
      </c>
      <c r="U116" s="60">
        <f t="shared" si="40"/>
        <v>0</v>
      </c>
      <c r="V116" s="193"/>
      <c r="W116" s="169">
        <v>112</v>
      </c>
      <c r="X116" s="1">
        <f t="shared" si="62"/>
        <v>48928</v>
      </c>
      <c r="Y116" s="60">
        <f>IF($X116&lt;Input!$H$58,IF($X116&lt;Input!$G$58,IF($X116&lt;Input!$F$58,IF($X116&lt;Input!$E$58,IF($X116&lt;Input!$D$58,Input!$C$64,Input!$D$64),Input!$E$64),Input!$F$64),Input!$G$64),Input!$H$64)</f>
        <v>0</v>
      </c>
      <c r="Z116" s="190">
        <f>IF($A116&lt;Input!$H$65,IF($A116&lt;Input!$G$65,IF($A116&lt;Input!$F$65,IF($A116&lt;Input!$E$65,IF($A116&lt;Input!$D$65,Input!$C$66,Input!$D$66),Input!$E$66),Input!$F$66),Input!$G$66),Input!$H$66)</f>
        <v>0.9</v>
      </c>
      <c r="AA116" s="60">
        <f t="shared" si="41"/>
        <v>0</v>
      </c>
      <c r="AB116" s="60">
        <f t="shared" si="63"/>
        <v>30</v>
      </c>
      <c r="AC116" s="60">
        <f t="shared" si="42"/>
        <v>0</v>
      </c>
      <c r="AD116" s="60">
        <f>ROUND(AC116*AB116*Input!$C$3/365,0)</f>
        <v>0</v>
      </c>
      <c r="AE116" s="61">
        <f>IF($A116&lt;=Input!$C$6,0,IF('Unique Tenure'!AA116&lt;'Unique Tenure'!AC116,'Unique Tenure'!AA116-AD116,'Unique Tenure'!AC116))</f>
        <v>0</v>
      </c>
      <c r="AF116" s="61">
        <f t="shared" si="43"/>
        <v>0</v>
      </c>
      <c r="AG116" s="60">
        <f t="shared" si="44"/>
        <v>0</v>
      </c>
      <c r="AH116" s="193"/>
      <c r="AI116" s="169">
        <v>112</v>
      </c>
      <c r="AJ116" s="1">
        <f t="shared" si="64"/>
        <v>48928</v>
      </c>
      <c r="AK116" s="60">
        <f>IF($X116&lt;Input!$H$73,IF($X116&lt;Input!$G$73,IF($X116&lt;Input!$F$73,IF($X116&lt;Input!$E$73,IF($X116&lt;Input!$D$73,Input!$C$79,Input!$D$79),Input!$E$79),Input!$F$79),Input!$G$79),Input!$H$79)</f>
        <v>0</v>
      </c>
      <c r="AL116" s="190">
        <f>IF($A116&lt;Input!$H$80,IF($A116&lt;Input!$G$80,IF($A116&lt;Input!$F$80,IF($A116&lt;Input!$E$80,IF($A116&lt;Input!$D$80,Input!$C$81,Input!$D$81),Input!$E$81),Input!$F$81),Input!$G$81),Input!$H$81)</f>
        <v>0.9</v>
      </c>
      <c r="AM116" s="60">
        <f t="shared" si="45"/>
        <v>0</v>
      </c>
      <c r="AN116" s="60">
        <f t="shared" si="65"/>
        <v>30</v>
      </c>
      <c r="AO116" s="60">
        <f t="shared" si="46"/>
        <v>0</v>
      </c>
      <c r="AP116" s="60">
        <f>ROUND(AO116*AN116*Input!$C$3/365,0)</f>
        <v>0</v>
      </c>
      <c r="AQ116" s="61">
        <f>IF($A116&lt;=Input!$C$6,0,IF('Unique Tenure'!AM116&lt;'Unique Tenure'!AO116,'Unique Tenure'!AM116-AP116,'Unique Tenure'!AO116))</f>
        <v>0</v>
      </c>
      <c r="AR116" s="61">
        <f t="shared" si="47"/>
        <v>0</v>
      </c>
      <c r="AS116" s="60">
        <f t="shared" si="48"/>
        <v>0</v>
      </c>
      <c r="AT116" s="193"/>
      <c r="AU116" s="169">
        <v>112</v>
      </c>
      <c r="AV116" s="1">
        <f t="shared" si="66"/>
        <v>48928</v>
      </c>
      <c r="AW116" s="60">
        <f>IF($X116&lt;Input!$H$88,IF($X116&lt;Input!$G$88,IF($X116&lt;Input!$F$88,IF($X116&lt;Input!$E$88,IF($X116&lt;Input!$D$88,Input!$C$94,Input!$D$94),Input!$E$94),Input!$F$94),Input!$G$94),Input!$H$94)</f>
        <v>0</v>
      </c>
      <c r="AX116" s="190">
        <f>IF($A116&lt;Input!$H$95,IF($A116&lt;Input!$G$95,IF($A116&lt;Input!$F$95,IF($A116&lt;Input!$E$95,IF($A116&lt;Input!$D$95,Input!$C$96,Input!$D$96),Input!$E$96),Input!$F$96),Input!$G$96),Input!$H$96)</f>
        <v>0.9</v>
      </c>
      <c r="AY116" s="60">
        <f t="shared" si="49"/>
        <v>0</v>
      </c>
      <c r="AZ116" s="60">
        <f t="shared" si="67"/>
        <v>30</v>
      </c>
      <c r="BA116" s="60">
        <f t="shared" si="50"/>
        <v>0</v>
      </c>
      <c r="BB116" s="60">
        <f>ROUND(BA116*AZ116*Input!$C$3/365,0)</f>
        <v>0</v>
      </c>
      <c r="BC116" s="61">
        <f>IF($A116&lt;=Input!$C$6,0,IF('Unique Tenure'!AY116&lt;'Unique Tenure'!BA116,'Unique Tenure'!AY116-BB116,'Unique Tenure'!BA116))</f>
        <v>0</v>
      </c>
      <c r="BD116" s="61">
        <f t="shared" si="51"/>
        <v>0</v>
      </c>
      <c r="BE116" s="60">
        <f t="shared" si="52"/>
        <v>0</v>
      </c>
      <c r="BF116" s="193"/>
      <c r="BG116" s="169">
        <v>112</v>
      </c>
      <c r="BH116" s="1">
        <f t="shared" si="68"/>
        <v>48928</v>
      </c>
      <c r="BI116" s="60">
        <f>IF($X116&lt;Input!$H$103,IF($X116&lt;Input!$G$103,IF($X116&lt;Input!$F$103,IF($X116&lt;Input!$E$103,IF($X116&lt;Input!$D$103,Input!$C$109,Input!$D$109),Input!$E$109),Input!$F$109),Input!$G$109),Input!$H$109)</f>
        <v>0</v>
      </c>
      <c r="BJ116" s="190">
        <f>IF($A116&lt;Input!$H$110,IF($A116&lt;Input!$G$110,IF($A116&lt;Input!$F$110,IF($A116&lt;Input!$E$110,IF($A116&lt;Input!$D$110,Input!$C$111,Input!$D$111),Input!$E$111),Input!$F$111),Input!$G$111),Input!$H$111)</f>
        <v>0.9</v>
      </c>
      <c r="BK116" s="60">
        <f t="shared" si="53"/>
        <v>0</v>
      </c>
      <c r="BL116" s="60">
        <f t="shared" si="69"/>
        <v>30</v>
      </c>
      <c r="BM116" s="60">
        <f t="shared" si="54"/>
        <v>0</v>
      </c>
      <c r="BN116" s="60">
        <f>ROUND(BM116*BL116*Input!$C$3/365,0)</f>
        <v>0</v>
      </c>
      <c r="BO116" s="61">
        <f>IF($A116&lt;=Input!$C$6,0,IF('Unique Tenure'!BK116&lt;'Unique Tenure'!BM116,'Unique Tenure'!BK116-BN116,'Unique Tenure'!BM116))</f>
        <v>0</v>
      </c>
      <c r="BP116" s="61">
        <f t="shared" si="55"/>
        <v>0</v>
      </c>
      <c r="BQ116" s="60">
        <f t="shared" si="56"/>
        <v>0</v>
      </c>
      <c r="BR116" s="198"/>
    </row>
    <row r="117" spans="1:70" s="51" customFormat="1" x14ac:dyDescent="0.25">
      <c r="A117" s="169">
        <v>113</v>
      </c>
      <c r="B117" s="1">
        <f t="shared" si="57"/>
        <v>48959</v>
      </c>
      <c r="C117" s="60">
        <f>SUM(
   IF(($A$4:$A$184 &lt;= Input!$D$16), M117, 0),
   IF(($A$4:$A$184 &lt;= Input!$E$16), Y117, 0),
   IF(($A$4:$A$184 &lt;= Input!$F$16), AK117, 0),
   IF(($A$4:$A$184 &lt;= Input!$G$16), AW117, 0),
   IF(($A$4:$A$184 &lt;= Input!$H$16), BI117, 0)
)</f>
        <v>33127052.878124986</v>
      </c>
      <c r="D117" s="60">
        <f>SUM(
   IF(($A$4:$A$184 &lt;= Input!$D$16), O117, 0),
   IF(($A$4:$A$184 &lt;= Input!$E$16), AA117, 0),
   IF(($A$4:$A$184 &lt;= Input!$F$16), AM117, 0),
   IF(($A$4:$A$184 &lt;= Input!$G$16), AY117, 0),
   IF(($A$4:$A$184 &lt;= Input!$H$16), BK117, 0)
)</f>
        <v>29814347.590312488</v>
      </c>
      <c r="E117" s="60">
        <f t="shared" si="58"/>
        <v>31</v>
      </c>
      <c r="F117" s="60">
        <f t="shared" si="59"/>
        <v>0</v>
      </c>
      <c r="G117" s="60">
        <f>ROUND(F117*E117*Input!$C$3/365,0)</f>
        <v>0</v>
      </c>
      <c r="H117" s="60">
        <f>IF($A117&lt;=Input!$C$6,0,IF('Unique Tenure'!D117&lt;'Unique Tenure'!F117,'Unique Tenure'!D117-G117,'Unique Tenure'!F117))</f>
        <v>0</v>
      </c>
      <c r="I117" s="60">
        <f t="shared" si="60"/>
        <v>0</v>
      </c>
      <c r="J117" s="60">
        <f t="shared" si="61"/>
        <v>0</v>
      </c>
      <c r="K117" s="202">
        <f>J117/Input!$K$5</f>
        <v>0</v>
      </c>
      <c r="L117" s="232"/>
      <c r="M117" s="60">
        <f>IF($B117&lt;Input!$H$43,IF($B117&lt;Input!$G$43,IF($B117&lt;Input!$F$43,IF($B117&lt;Input!$E$43,IF($B117&lt;Input!$D$43,Input!$C$49,Input!$D$49),Input!$E$49),Input!$F$49),Input!$G$49),Input!$H$49)</f>
        <v>33127052.878124986</v>
      </c>
      <c r="N117" s="190">
        <f>IF($A117&lt;Input!$H$50,IF($A117&lt;Input!$G$50,IF($A117&lt;Input!$F$50,IF($A117&lt;Input!$E$50,IF($A117&lt;Input!$D$50,Input!$C$51,Input!$D$51),Input!$E$51),Input!$F$51),Input!$G$51),Input!$H$51)</f>
        <v>0.9</v>
      </c>
      <c r="O117" s="60">
        <f t="shared" si="70"/>
        <v>29814347.590312488</v>
      </c>
      <c r="P117" s="60">
        <f t="shared" si="71"/>
        <v>31</v>
      </c>
      <c r="Q117" s="60">
        <f t="shared" si="38"/>
        <v>0</v>
      </c>
      <c r="R117" s="60">
        <f>ROUND(Q117*$P117*Input!$C$3/365,0)</f>
        <v>0</v>
      </c>
      <c r="S117" s="60">
        <f>IF(A117&lt;=Input!$C$6,0,IF('Unique Tenure'!O117&lt;'Unique Tenure'!Q117,'Unique Tenure'!O117-R117,'Unique Tenure'!Q117))</f>
        <v>0</v>
      </c>
      <c r="T117" s="60">
        <f t="shared" si="39"/>
        <v>0</v>
      </c>
      <c r="U117" s="60">
        <f t="shared" si="40"/>
        <v>0</v>
      </c>
      <c r="V117" s="193"/>
      <c r="W117" s="169">
        <v>113</v>
      </c>
      <c r="X117" s="1">
        <f t="shared" si="62"/>
        <v>48959</v>
      </c>
      <c r="Y117" s="60">
        <f>IF($X117&lt;Input!$H$58,IF($X117&lt;Input!$G$58,IF($X117&lt;Input!$F$58,IF($X117&lt;Input!$E$58,IF($X117&lt;Input!$D$58,Input!$C$64,Input!$D$64),Input!$E$64),Input!$F$64),Input!$G$64),Input!$H$64)</f>
        <v>0</v>
      </c>
      <c r="Z117" s="190">
        <f>IF($A117&lt;Input!$H$65,IF($A117&lt;Input!$G$65,IF($A117&lt;Input!$F$65,IF($A117&lt;Input!$E$65,IF($A117&lt;Input!$D$65,Input!$C$66,Input!$D$66),Input!$E$66),Input!$F$66),Input!$G$66),Input!$H$66)</f>
        <v>0.9</v>
      </c>
      <c r="AA117" s="60">
        <f t="shared" si="41"/>
        <v>0</v>
      </c>
      <c r="AB117" s="60">
        <f t="shared" si="63"/>
        <v>31</v>
      </c>
      <c r="AC117" s="60">
        <f t="shared" si="42"/>
        <v>0</v>
      </c>
      <c r="AD117" s="60">
        <f>ROUND(AC117*AB117*Input!$C$3/365,0)</f>
        <v>0</v>
      </c>
      <c r="AE117" s="61">
        <f>IF($A117&lt;=Input!$C$6,0,IF('Unique Tenure'!AA117&lt;'Unique Tenure'!AC117,'Unique Tenure'!AA117-AD117,'Unique Tenure'!AC117))</f>
        <v>0</v>
      </c>
      <c r="AF117" s="61">
        <f t="shared" si="43"/>
        <v>0</v>
      </c>
      <c r="AG117" s="60">
        <f t="shared" si="44"/>
        <v>0</v>
      </c>
      <c r="AH117" s="193"/>
      <c r="AI117" s="169">
        <v>113</v>
      </c>
      <c r="AJ117" s="1">
        <f t="shared" si="64"/>
        <v>48959</v>
      </c>
      <c r="AK117" s="60">
        <f>IF($X117&lt;Input!$H$73,IF($X117&lt;Input!$G$73,IF($X117&lt;Input!$F$73,IF($X117&lt;Input!$E$73,IF($X117&lt;Input!$D$73,Input!$C$79,Input!$D$79),Input!$E$79),Input!$F$79),Input!$G$79),Input!$H$79)</f>
        <v>0</v>
      </c>
      <c r="AL117" s="190">
        <f>IF($A117&lt;Input!$H$80,IF($A117&lt;Input!$G$80,IF($A117&lt;Input!$F$80,IF($A117&lt;Input!$E$80,IF($A117&lt;Input!$D$80,Input!$C$81,Input!$D$81),Input!$E$81),Input!$F$81),Input!$G$81),Input!$H$81)</f>
        <v>0.9</v>
      </c>
      <c r="AM117" s="60">
        <f t="shared" si="45"/>
        <v>0</v>
      </c>
      <c r="AN117" s="60">
        <f t="shared" si="65"/>
        <v>31</v>
      </c>
      <c r="AO117" s="60">
        <f t="shared" si="46"/>
        <v>0</v>
      </c>
      <c r="AP117" s="60">
        <f>ROUND(AO117*AN117*Input!$C$3/365,0)</f>
        <v>0</v>
      </c>
      <c r="AQ117" s="61">
        <f>IF($A117&lt;=Input!$C$6,0,IF('Unique Tenure'!AM117&lt;'Unique Tenure'!AO117,'Unique Tenure'!AM117-AP117,'Unique Tenure'!AO117))</f>
        <v>0</v>
      </c>
      <c r="AR117" s="61">
        <f t="shared" si="47"/>
        <v>0</v>
      </c>
      <c r="AS117" s="60">
        <f t="shared" si="48"/>
        <v>0</v>
      </c>
      <c r="AT117" s="193"/>
      <c r="AU117" s="169">
        <v>113</v>
      </c>
      <c r="AV117" s="1">
        <f t="shared" si="66"/>
        <v>48959</v>
      </c>
      <c r="AW117" s="60">
        <f>IF($X117&lt;Input!$H$88,IF($X117&lt;Input!$G$88,IF($X117&lt;Input!$F$88,IF($X117&lt;Input!$E$88,IF($X117&lt;Input!$D$88,Input!$C$94,Input!$D$94),Input!$E$94),Input!$F$94),Input!$G$94),Input!$H$94)</f>
        <v>0</v>
      </c>
      <c r="AX117" s="190">
        <f>IF($A117&lt;Input!$H$95,IF($A117&lt;Input!$G$95,IF($A117&lt;Input!$F$95,IF($A117&lt;Input!$E$95,IF($A117&lt;Input!$D$95,Input!$C$96,Input!$D$96),Input!$E$96),Input!$F$96),Input!$G$96),Input!$H$96)</f>
        <v>0.9</v>
      </c>
      <c r="AY117" s="60">
        <f t="shared" si="49"/>
        <v>0</v>
      </c>
      <c r="AZ117" s="60">
        <f t="shared" si="67"/>
        <v>31</v>
      </c>
      <c r="BA117" s="60">
        <f t="shared" si="50"/>
        <v>0</v>
      </c>
      <c r="BB117" s="60">
        <f>ROUND(BA117*AZ117*Input!$C$3/365,0)</f>
        <v>0</v>
      </c>
      <c r="BC117" s="61">
        <f>IF($A117&lt;=Input!$C$6,0,IF('Unique Tenure'!AY117&lt;'Unique Tenure'!BA117,'Unique Tenure'!AY117-BB117,'Unique Tenure'!BA117))</f>
        <v>0</v>
      </c>
      <c r="BD117" s="61">
        <f t="shared" si="51"/>
        <v>0</v>
      </c>
      <c r="BE117" s="60">
        <f t="shared" si="52"/>
        <v>0</v>
      </c>
      <c r="BF117" s="193"/>
      <c r="BG117" s="169">
        <v>113</v>
      </c>
      <c r="BH117" s="1">
        <f t="shared" si="68"/>
        <v>48959</v>
      </c>
      <c r="BI117" s="60">
        <f>IF($X117&lt;Input!$H$103,IF($X117&lt;Input!$G$103,IF($X117&lt;Input!$F$103,IF($X117&lt;Input!$E$103,IF($X117&lt;Input!$D$103,Input!$C$109,Input!$D$109),Input!$E$109),Input!$F$109),Input!$G$109),Input!$H$109)</f>
        <v>0</v>
      </c>
      <c r="BJ117" s="190">
        <f>IF($A117&lt;Input!$H$110,IF($A117&lt;Input!$G$110,IF($A117&lt;Input!$F$110,IF($A117&lt;Input!$E$110,IF($A117&lt;Input!$D$110,Input!$C$111,Input!$D$111),Input!$E$111),Input!$F$111),Input!$G$111),Input!$H$111)</f>
        <v>0.9</v>
      </c>
      <c r="BK117" s="60">
        <f t="shared" si="53"/>
        <v>0</v>
      </c>
      <c r="BL117" s="60">
        <f t="shared" si="69"/>
        <v>31</v>
      </c>
      <c r="BM117" s="60">
        <f t="shared" si="54"/>
        <v>0</v>
      </c>
      <c r="BN117" s="60">
        <f>ROUND(BM117*BL117*Input!$C$3/365,0)</f>
        <v>0</v>
      </c>
      <c r="BO117" s="61">
        <f>IF($A117&lt;=Input!$C$6,0,IF('Unique Tenure'!BK117&lt;'Unique Tenure'!BM117,'Unique Tenure'!BK117-BN117,'Unique Tenure'!BM117))</f>
        <v>0</v>
      </c>
      <c r="BP117" s="61">
        <f t="shared" si="55"/>
        <v>0</v>
      </c>
      <c r="BQ117" s="60">
        <f t="shared" si="56"/>
        <v>0</v>
      </c>
      <c r="BR117" s="198"/>
    </row>
    <row r="118" spans="1:70" s="51" customFormat="1" x14ac:dyDescent="0.25">
      <c r="A118" s="169">
        <v>114</v>
      </c>
      <c r="B118" s="1">
        <f t="shared" si="57"/>
        <v>48990</v>
      </c>
      <c r="C118" s="60">
        <f>SUM(
   IF(($A$4:$A$184 &lt;= Input!$D$16), M118, 0),
   IF(($A$4:$A$184 &lt;= Input!$E$16), Y118, 0),
   IF(($A$4:$A$184 &lt;= Input!$F$16), AK118, 0),
   IF(($A$4:$A$184 &lt;= Input!$G$16), AW118, 0),
   IF(($A$4:$A$184 &lt;= Input!$H$16), BI118, 0)
)</f>
        <v>33127052.878124986</v>
      </c>
      <c r="D118" s="60">
        <f>SUM(
   IF(($A$4:$A$184 &lt;= Input!$D$16), O118, 0),
   IF(($A$4:$A$184 &lt;= Input!$E$16), AA118, 0),
   IF(($A$4:$A$184 &lt;= Input!$F$16), AM118, 0),
   IF(($A$4:$A$184 &lt;= Input!$G$16), AY118, 0),
   IF(($A$4:$A$184 &lt;= Input!$H$16), BK118, 0)
)</f>
        <v>29814347.590312488</v>
      </c>
      <c r="E118" s="60">
        <f t="shared" si="58"/>
        <v>31</v>
      </c>
      <c r="F118" s="60">
        <f t="shared" si="59"/>
        <v>0</v>
      </c>
      <c r="G118" s="60">
        <f>ROUND(F118*E118*Input!$C$3/365,0)</f>
        <v>0</v>
      </c>
      <c r="H118" s="60">
        <f>IF($A118&lt;=Input!$C$6,0,IF('Unique Tenure'!D118&lt;'Unique Tenure'!F118,'Unique Tenure'!D118-G118,'Unique Tenure'!F118))</f>
        <v>0</v>
      </c>
      <c r="I118" s="60">
        <f t="shared" si="60"/>
        <v>0</v>
      </c>
      <c r="J118" s="60">
        <f t="shared" si="61"/>
        <v>0</v>
      </c>
      <c r="K118" s="202">
        <f>J118/Input!$K$5</f>
        <v>0</v>
      </c>
      <c r="L118" s="232"/>
      <c r="M118" s="60">
        <f>IF($B118&lt;Input!$H$43,IF($B118&lt;Input!$G$43,IF($B118&lt;Input!$F$43,IF($B118&lt;Input!$E$43,IF($B118&lt;Input!$D$43,Input!$C$49,Input!$D$49),Input!$E$49),Input!$F$49),Input!$G$49),Input!$H$49)</f>
        <v>33127052.878124986</v>
      </c>
      <c r="N118" s="190">
        <f>IF($A118&lt;Input!$H$50,IF($A118&lt;Input!$G$50,IF($A118&lt;Input!$F$50,IF($A118&lt;Input!$E$50,IF($A118&lt;Input!$D$50,Input!$C$51,Input!$D$51),Input!$E$51),Input!$F$51),Input!$G$51),Input!$H$51)</f>
        <v>0.9</v>
      </c>
      <c r="O118" s="60">
        <f t="shared" si="70"/>
        <v>29814347.590312488</v>
      </c>
      <c r="P118" s="60">
        <f t="shared" si="71"/>
        <v>31</v>
      </c>
      <c r="Q118" s="60">
        <f t="shared" si="38"/>
        <v>0</v>
      </c>
      <c r="R118" s="60">
        <f>ROUND(Q118*$P118*Input!$C$3/365,0)</f>
        <v>0</v>
      </c>
      <c r="S118" s="60">
        <f>IF(A118&lt;=Input!$C$6,0,IF('Unique Tenure'!O118&lt;'Unique Tenure'!Q118,'Unique Tenure'!O118-R118,'Unique Tenure'!Q118))</f>
        <v>0</v>
      </c>
      <c r="T118" s="60">
        <f t="shared" si="39"/>
        <v>0</v>
      </c>
      <c r="U118" s="60">
        <f t="shared" si="40"/>
        <v>0</v>
      </c>
      <c r="V118" s="193"/>
      <c r="W118" s="169">
        <v>114</v>
      </c>
      <c r="X118" s="1">
        <f t="shared" si="62"/>
        <v>48990</v>
      </c>
      <c r="Y118" s="60">
        <f>IF($X118&lt;Input!$H$58,IF($X118&lt;Input!$G$58,IF($X118&lt;Input!$F$58,IF($X118&lt;Input!$E$58,IF($X118&lt;Input!$D$58,Input!$C$64,Input!$D$64),Input!$E$64),Input!$F$64),Input!$G$64),Input!$H$64)</f>
        <v>0</v>
      </c>
      <c r="Z118" s="190">
        <f>IF($A118&lt;Input!$H$65,IF($A118&lt;Input!$G$65,IF($A118&lt;Input!$F$65,IF($A118&lt;Input!$E$65,IF($A118&lt;Input!$D$65,Input!$C$66,Input!$D$66),Input!$E$66),Input!$F$66),Input!$G$66),Input!$H$66)</f>
        <v>0.9</v>
      </c>
      <c r="AA118" s="60">
        <f t="shared" si="41"/>
        <v>0</v>
      </c>
      <c r="AB118" s="60">
        <f t="shared" si="63"/>
        <v>31</v>
      </c>
      <c r="AC118" s="60">
        <f t="shared" si="42"/>
        <v>0</v>
      </c>
      <c r="AD118" s="60">
        <f>ROUND(AC118*AB118*Input!$C$3/365,0)</f>
        <v>0</v>
      </c>
      <c r="AE118" s="61">
        <f>IF($A118&lt;=Input!$C$6,0,IF('Unique Tenure'!AA118&lt;'Unique Tenure'!AC118,'Unique Tenure'!AA118-AD118,'Unique Tenure'!AC118))</f>
        <v>0</v>
      </c>
      <c r="AF118" s="61">
        <f t="shared" si="43"/>
        <v>0</v>
      </c>
      <c r="AG118" s="60">
        <f t="shared" si="44"/>
        <v>0</v>
      </c>
      <c r="AH118" s="193"/>
      <c r="AI118" s="169">
        <v>114</v>
      </c>
      <c r="AJ118" s="1">
        <f t="shared" si="64"/>
        <v>48990</v>
      </c>
      <c r="AK118" s="60">
        <f>IF($X118&lt;Input!$H$73,IF($X118&lt;Input!$G$73,IF($X118&lt;Input!$F$73,IF($X118&lt;Input!$E$73,IF($X118&lt;Input!$D$73,Input!$C$79,Input!$D$79),Input!$E$79),Input!$F$79),Input!$G$79),Input!$H$79)</f>
        <v>0</v>
      </c>
      <c r="AL118" s="190">
        <f>IF($A118&lt;Input!$H$80,IF($A118&lt;Input!$G$80,IF($A118&lt;Input!$F$80,IF($A118&lt;Input!$E$80,IF($A118&lt;Input!$D$80,Input!$C$81,Input!$D$81),Input!$E$81),Input!$F$81),Input!$G$81),Input!$H$81)</f>
        <v>0.9</v>
      </c>
      <c r="AM118" s="60">
        <f t="shared" si="45"/>
        <v>0</v>
      </c>
      <c r="AN118" s="60">
        <f t="shared" si="65"/>
        <v>31</v>
      </c>
      <c r="AO118" s="60">
        <f t="shared" si="46"/>
        <v>0</v>
      </c>
      <c r="AP118" s="60">
        <f>ROUND(AO118*AN118*Input!$C$3/365,0)</f>
        <v>0</v>
      </c>
      <c r="AQ118" s="61">
        <f>IF($A118&lt;=Input!$C$6,0,IF('Unique Tenure'!AM118&lt;'Unique Tenure'!AO118,'Unique Tenure'!AM118-AP118,'Unique Tenure'!AO118))</f>
        <v>0</v>
      </c>
      <c r="AR118" s="61">
        <f t="shared" si="47"/>
        <v>0</v>
      </c>
      <c r="AS118" s="60">
        <f t="shared" si="48"/>
        <v>0</v>
      </c>
      <c r="AT118" s="193"/>
      <c r="AU118" s="169">
        <v>114</v>
      </c>
      <c r="AV118" s="1">
        <f t="shared" si="66"/>
        <v>48990</v>
      </c>
      <c r="AW118" s="60">
        <f>IF($X118&lt;Input!$H$88,IF($X118&lt;Input!$G$88,IF($X118&lt;Input!$F$88,IF($X118&lt;Input!$E$88,IF($X118&lt;Input!$D$88,Input!$C$94,Input!$D$94),Input!$E$94),Input!$F$94),Input!$G$94),Input!$H$94)</f>
        <v>0</v>
      </c>
      <c r="AX118" s="190">
        <f>IF($A118&lt;Input!$H$95,IF($A118&lt;Input!$G$95,IF($A118&lt;Input!$F$95,IF($A118&lt;Input!$E$95,IF($A118&lt;Input!$D$95,Input!$C$96,Input!$D$96),Input!$E$96),Input!$F$96),Input!$G$96),Input!$H$96)</f>
        <v>0.9</v>
      </c>
      <c r="AY118" s="60">
        <f t="shared" si="49"/>
        <v>0</v>
      </c>
      <c r="AZ118" s="60">
        <f t="shared" si="67"/>
        <v>31</v>
      </c>
      <c r="BA118" s="60">
        <f t="shared" si="50"/>
        <v>0</v>
      </c>
      <c r="BB118" s="60">
        <f>ROUND(BA118*AZ118*Input!$C$3/365,0)</f>
        <v>0</v>
      </c>
      <c r="BC118" s="61">
        <f>IF($A118&lt;=Input!$C$6,0,IF('Unique Tenure'!AY118&lt;'Unique Tenure'!BA118,'Unique Tenure'!AY118-BB118,'Unique Tenure'!BA118))</f>
        <v>0</v>
      </c>
      <c r="BD118" s="61">
        <f t="shared" si="51"/>
        <v>0</v>
      </c>
      <c r="BE118" s="60">
        <f t="shared" si="52"/>
        <v>0</v>
      </c>
      <c r="BF118" s="193"/>
      <c r="BG118" s="169">
        <v>114</v>
      </c>
      <c r="BH118" s="1">
        <f t="shared" si="68"/>
        <v>48990</v>
      </c>
      <c r="BI118" s="60">
        <f>IF($X118&lt;Input!$H$103,IF($X118&lt;Input!$G$103,IF($X118&lt;Input!$F$103,IF($X118&lt;Input!$E$103,IF($X118&lt;Input!$D$103,Input!$C$109,Input!$D$109),Input!$E$109),Input!$F$109),Input!$G$109),Input!$H$109)</f>
        <v>0</v>
      </c>
      <c r="BJ118" s="190">
        <f>IF($A118&lt;Input!$H$110,IF($A118&lt;Input!$G$110,IF($A118&lt;Input!$F$110,IF($A118&lt;Input!$E$110,IF($A118&lt;Input!$D$110,Input!$C$111,Input!$D$111),Input!$E$111),Input!$F$111),Input!$G$111),Input!$H$111)</f>
        <v>0.9</v>
      </c>
      <c r="BK118" s="60">
        <f t="shared" si="53"/>
        <v>0</v>
      </c>
      <c r="BL118" s="60">
        <f t="shared" si="69"/>
        <v>31</v>
      </c>
      <c r="BM118" s="60">
        <f t="shared" si="54"/>
        <v>0</v>
      </c>
      <c r="BN118" s="60">
        <f>ROUND(BM118*BL118*Input!$C$3/365,0)</f>
        <v>0</v>
      </c>
      <c r="BO118" s="61">
        <f>IF($A118&lt;=Input!$C$6,0,IF('Unique Tenure'!BK118&lt;'Unique Tenure'!BM118,'Unique Tenure'!BK118-BN118,'Unique Tenure'!BM118))</f>
        <v>0</v>
      </c>
      <c r="BP118" s="61">
        <f t="shared" si="55"/>
        <v>0</v>
      </c>
      <c r="BQ118" s="60">
        <f t="shared" si="56"/>
        <v>0</v>
      </c>
      <c r="BR118" s="198"/>
    </row>
    <row r="119" spans="1:70" s="51" customFormat="1" x14ac:dyDescent="0.25">
      <c r="A119" s="169">
        <v>115</v>
      </c>
      <c r="B119" s="1">
        <f t="shared" si="57"/>
        <v>49018</v>
      </c>
      <c r="C119" s="60">
        <f>SUM(
   IF(($A$4:$A$184 &lt;= Input!$D$16), M119, 0),
   IF(($A$4:$A$184 &lt;= Input!$E$16), Y119, 0),
   IF(($A$4:$A$184 &lt;= Input!$F$16), AK119, 0),
   IF(($A$4:$A$184 &lt;= Input!$G$16), AW119, 0),
   IF(($A$4:$A$184 &lt;= Input!$H$16), BI119, 0)
)</f>
        <v>33127052.878124986</v>
      </c>
      <c r="D119" s="60">
        <f>SUM(
   IF(($A$4:$A$184 &lt;= Input!$D$16), O119, 0),
   IF(($A$4:$A$184 &lt;= Input!$E$16), AA119, 0),
   IF(($A$4:$A$184 &lt;= Input!$F$16), AM119, 0),
   IF(($A$4:$A$184 &lt;= Input!$G$16), AY119, 0),
   IF(($A$4:$A$184 &lt;= Input!$H$16), BK119, 0)
)</f>
        <v>29814347.590312488</v>
      </c>
      <c r="E119" s="60">
        <f t="shared" si="58"/>
        <v>28</v>
      </c>
      <c r="F119" s="60">
        <f t="shared" si="59"/>
        <v>0</v>
      </c>
      <c r="G119" s="60">
        <f>ROUND(F119*E119*Input!$C$3/365,0)</f>
        <v>0</v>
      </c>
      <c r="H119" s="60">
        <f>IF($A119&lt;=Input!$C$6,0,IF('Unique Tenure'!D119&lt;'Unique Tenure'!F119,'Unique Tenure'!D119-G119,'Unique Tenure'!F119))</f>
        <v>0</v>
      </c>
      <c r="I119" s="60">
        <f t="shared" si="60"/>
        <v>0</v>
      </c>
      <c r="J119" s="60">
        <f t="shared" si="61"/>
        <v>0</v>
      </c>
      <c r="K119" s="202">
        <f>J119/Input!$K$5</f>
        <v>0</v>
      </c>
      <c r="L119" s="232"/>
      <c r="M119" s="60">
        <f>IF($B119&lt;Input!$H$43,IF($B119&lt;Input!$G$43,IF($B119&lt;Input!$F$43,IF($B119&lt;Input!$E$43,IF($B119&lt;Input!$D$43,Input!$C$49,Input!$D$49),Input!$E$49),Input!$F$49),Input!$G$49),Input!$H$49)</f>
        <v>33127052.878124986</v>
      </c>
      <c r="N119" s="190">
        <f>IF($A119&lt;Input!$H$50,IF($A119&lt;Input!$G$50,IF($A119&lt;Input!$F$50,IF($A119&lt;Input!$E$50,IF($A119&lt;Input!$D$50,Input!$C$51,Input!$D$51),Input!$E$51),Input!$F$51),Input!$G$51),Input!$H$51)</f>
        <v>0.9</v>
      </c>
      <c r="O119" s="60">
        <f t="shared" si="70"/>
        <v>29814347.590312488</v>
      </c>
      <c r="P119" s="60">
        <f t="shared" si="71"/>
        <v>28</v>
      </c>
      <c r="Q119" s="60">
        <f t="shared" si="38"/>
        <v>0</v>
      </c>
      <c r="R119" s="60">
        <f>ROUND(Q119*$P119*Input!$C$3/365,0)</f>
        <v>0</v>
      </c>
      <c r="S119" s="60">
        <f>IF(A119&lt;=Input!$C$6,0,IF('Unique Tenure'!O119&lt;'Unique Tenure'!Q119,'Unique Tenure'!O119-R119,'Unique Tenure'!Q119))</f>
        <v>0</v>
      </c>
      <c r="T119" s="60">
        <f t="shared" si="39"/>
        <v>0</v>
      </c>
      <c r="U119" s="60">
        <f t="shared" si="40"/>
        <v>0</v>
      </c>
      <c r="V119" s="193"/>
      <c r="W119" s="169">
        <v>115</v>
      </c>
      <c r="X119" s="1">
        <f t="shared" si="62"/>
        <v>49018</v>
      </c>
      <c r="Y119" s="60">
        <f>IF($X119&lt;Input!$H$58,IF($X119&lt;Input!$G$58,IF($X119&lt;Input!$F$58,IF($X119&lt;Input!$E$58,IF($X119&lt;Input!$D$58,Input!$C$64,Input!$D$64),Input!$E$64),Input!$F$64),Input!$G$64),Input!$H$64)</f>
        <v>0</v>
      </c>
      <c r="Z119" s="190">
        <f>IF($A119&lt;Input!$H$65,IF($A119&lt;Input!$G$65,IF($A119&lt;Input!$F$65,IF($A119&lt;Input!$E$65,IF($A119&lt;Input!$D$65,Input!$C$66,Input!$D$66),Input!$E$66),Input!$F$66),Input!$G$66),Input!$H$66)</f>
        <v>0.9</v>
      </c>
      <c r="AA119" s="60">
        <f t="shared" si="41"/>
        <v>0</v>
      </c>
      <c r="AB119" s="60">
        <f t="shared" si="63"/>
        <v>28</v>
      </c>
      <c r="AC119" s="60">
        <f t="shared" si="42"/>
        <v>0</v>
      </c>
      <c r="AD119" s="60">
        <f>ROUND(AC119*AB119*Input!$C$3/365,0)</f>
        <v>0</v>
      </c>
      <c r="AE119" s="61">
        <f>IF($A119&lt;=Input!$C$6,0,IF('Unique Tenure'!AA119&lt;'Unique Tenure'!AC119,'Unique Tenure'!AA119-AD119,'Unique Tenure'!AC119))</f>
        <v>0</v>
      </c>
      <c r="AF119" s="61">
        <f t="shared" si="43"/>
        <v>0</v>
      </c>
      <c r="AG119" s="60">
        <f t="shared" si="44"/>
        <v>0</v>
      </c>
      <c r="AH119" s="193"/>
      <c r="AI119" s="169">
        <v>115</v>
      </c>
      <c r="AJ119" s="1">
        <f t="shared" si="64"/>
        <v>49018</v>
      </c>
      <c r="AK119" s="60">
        <f>IF($X119&lt;Input!$H$73,IF($X119&lt;Input!$G$73,IF($X119&lt;Input!$F$73,IF($X119&lt;Input!$E$73,IF($X119&lt;Input!$D$73,Input!$C$79,Input!$D$79),Input!$E$79),Input!$F$79),Input!$G$79),Input!$H$79)</f>
        <v>0</v>
      </c>
      <c r="AL119" s="190">
        <f>IF($A119&lt;Input!$H$80,IF($A119&lt;Input!$G$80,IF($A119&lt;Input!$F$80,IF($A119&lt;Input!$E$80,IF($A119&lt;Input!$D$80,Input!$C$81,Input!$D$81),Input!$E$81),Input!$F$81),Input!$G$81),Input!$H$81)</f>
        <v>0.9</v>
      </c>
      <c r="AM119" s="60">
        <f t="shared" si="45"/>
        <v>0</v>
      </c>
      <c r="AN119" s="60">
        <f t="shared" si="65"/>
        <v>28</v>
      </c>
      <c r="AO119" s="60">
        <f t="shared" si="46"/>
        <v>0</v>
      </c>
      <c r="AP119" s="60">
        <f>ROUND(AO119*AN119*Input!$C$3/365,0)</f>
        <v>0</v>
      </c>
      <c r="AQ119" s="61">
        <f>IF($A119&lt;=Input!$C$6,0,IF('Unique Tenure'!AM119&lt;'Unique Tenure'!AO119,'Unique Tenure'!AM119-AP119,'Unique Tenure'!AO119))</f>
        <v>0</v>
      </c>
      <c r="AR119" s="61">
        <f t="shared" si="47"/>
        <v>0</v>
      </c>
      <c r="AS119" s="60">
        <f t="shared" si="48"/>
        <v>0</v>
      </c>
      <c r="AT119" s="193"/>
      <c r="AU119" s="169">
        <v>115</v>
      </c>
      <c r="AV119" s="1">
        <f t="shared" si="66"/>
        <v>49018</v>
      </c>
      <c r="AW119" s="60">
        <f>IF($X119&lt;Input!$H$88,IF($X119&lt;Input!$G$88,IF($X119&lt;Input!$F$88,IF($X119&lt;Input!$E$88,IF($X119&lt;Input!$D$88,Input!$C$94,Input!$D$94),Input!$E$94),Input!$F$94),Input!$G$94),Input!$H$94)</f>
        <v>0</v>
      </c>
      <c r="AX119" s="190">
        <f>IF($A119&lt;Input!$H$95,IF($A119&lt;Input!$G$95,IF($A119&lt;Input!$F$95,IF($A119&lt;Input!$E$95,IF($A119&lt;Input!$D$95,Input!$C$96,Input!$D$96),Input!$E$96),Input!$F$96),Input!$G$96),Input!$H$96)</f>
        <v>0.9</v>
      </c>
      <c r="AY119" s="60">
        <f t="shared" si="49"/>
        <v>0</v>
      </c>
      <c r="AZ119" s="60">
        <f t="shared" si="67"/>
        <v>28</v>
      </c>
      <c r="BA119" s="60">
        <f t="shared" si="50"/>
        <v>0</v>
      </c>
      <c r="BB119" s="60">
        <f>ROUND(BA119*AZ119*Input!$C$3/365,0)</f>
        <v>0</v>
      </c>
      <c r="BC119" s="61">
        <f>IF($A119&lt;=Input!$C$6,0,IF('Unique Tenure'!AY119&lt;'Unique Tenure'!BA119,'Unique Tenure'!AY119-BB119,'Unique Tenure'!BA119))</f>
        <v>0</v>
      </c>
      <c r="BD119" s="61">
        <f t="shared" si="51"/>
        <v>0</v>
      </c>
      <c r="BE119" s="60">
        <f t="shared" si="52"/>
        <v>0</v>
      </c>
      <c r="BF119" s="193"/>
      <c r="BG119" s="169">
        <v>115</v>
      </c>
      <c r="BH119" s="1">
        <f t="shared" si="68"/>
        <v>49018</v>
      </c>
      <c r="BI119" s="60">
        <f>IF($X119&lt;Input!$H$103,IF($X119&lt;Input!$G$103,IF($X119&lt;Input!$F$103,IF($X119&lt;Input!$E$103,IF($X119&lt;Input!$D$103,Input!$C$109,Input!$D$109),Input!$E$109),Input!$F$109),Input!$G$109),Input!$H$109)</f>
        <v>0</v>
      </c>
      <c r="BJ119" s="190">
        <f>IF($A119&lt;Input!$H$110,IF($A119&lt;Input!$G$110,IF($A119&lt;Input!$F$110,IF($A119&lt;Input!$E$110,IF($A119&lt;Input!$D$110,Input!$C$111,Input!$D$111),Input!$E$111),Input!$F$111),Input!$G$111),Input!$H$111)</f>
        <v>0.9</v>
      </c>
      <c r="BK119" s="60">
        <f t="shared" si="53"/>
        <v>0</v>
      </c>
      <c r="BL119" s="60">
        <f t="shared" si="69"/>
        <v>28</v>
      </c>
      <c r="BM119" s="60">
        <f t="shared" si="54"/>
        <v>0</v>
      </c>
      <c r="BN119" s="60">
        <f>ROUND(BM119*BL119*Input!$C$3/365,0)</f>
        <v>0</v>
      </c>
      <c r="BO119" s="61">
        <f>IF($A119&lt;=Input!$C$6,0,IF('Unique Tenure'!BK119&lt;'Unique Tenure'!BM119,'Unique Tenure'!BK119-BN119,'Unique Tenure'!BM119))</f>
        <v>0</v>
      </c>
      <c r="BP119" s="61">
        <f t="shared" si="55"/>
        <v>0</v>
      </c>
      <c r="BQ119" s="60">
        <f t="shared" si="56"/>
        <v>0</v>
      </c>
      <c r="BR119" s="198"/>
    </row>
    <row r="120" spans="1:70" s="51" customFormat="1" x14ac:dyDescent="0.25">
      <c r="A120" s="169">
        <v>116</v>
      </c>
      <c r="B120" s="1">
        <f t="shared" si="57"/>
        <v>49049</v>
      </c>
      <c r="C120" s="60">
        <f>SUM(
   IF(($A$4:$A$184 &lt;= Input!$D$16), M120, 0),
   IF(($A$4:$A$184 &lt;= Input!$E$16), Y120, 0),
   IF(($A$4:$A$184 &lt;= Input!$F$16), AK120, 0),
   IF(($A$4:$A$184 &lt;= Input!$G$16), AW120, 0),
   IF(($A$4:$A$184 &lt;= Input!$H$16), BI120, 0)
)</f>
        <v>33127052.878124986</v>
      </c>
      <c r="D120" s="60">
        <f>SUM(
   IF(($A$4:$A$184 &lt;= Input!$D$16), O120, 0),
   IF(($A$4:$A$184 &lt;= Input!$E$16), AA120, 0),
   IF(($A$4:$A$184 &lt;= Input!$F$16), AM120, 0),
   IF(($A$4:$A$184 &lt;= Input!$G$16), AY120, 0),
   IF(($A$4:$A$184 &lt;= Input!$H$16), BK120, 0)
)</f>
        <v>29814347.590312488</v>
      </c>
      <c r="E120" s="60">
        <f t="shared" si="58"/>
        <v>31</v>
      </c>
      <c r="F120" s="60">
        <f t="shared" si="59"/>
        <v>0</v>
      </c>
      <c r="G120" s="60">
        <f>ROUND(F120*E120*Input!$C$3/365,0)</f>
        <v>0</v>
      </c>
      <c r="H120" s="60">
        <f>IF($A120&lt;=Input!$C$6,0,IF('Unique Tenure'!D120&lt;'Unique Tenure'!F120,'Unique Tenure'!D120-G120,'Unique Tenure'!F120))</f>
        <v>0</v>
      </c>
      <c r="I120" s="60">
        <f t="shared" si="60"/>
        <v>0</v>
      </c>
      <c r="J120" s="60">
        <f t="shared" si="61"/>
        <v>0</v>
      </c>
      <c r="K120" s="202">
        <f>J120/Input!$K$5</f>
        <v>0</v>
      </c>
      <c r="L120" s="232"/>
      <c r="M120" s="60">
        <f>IF($B120&lt;Input!$H$43,IF($B120&lt;Input!$G$43,IF($B120&lt;Input!$F$43,IF($B120&lt;Input!$E$43,IF($B120&lt;Input!$D$43,Input!$C$49,Input!$D$49),Input!$E$49),Input!$F$49),Input!$G$49),Input!$H$49)</f>
        <v>33127052.878124986</v>
      </c>
      <c r="N120" s="190">
        <f>IF($A120&lt;Input!$H$50,IF($A120&lt;Input!$G$50,IF($A120&lt;Input!$F$50,IF($A120&lt;Input!$E$50,IF($A120&lt;Input!$D$50,Input!$C$51,Input!$D$51),Input!$E$51),Input!$F$51),Input!$G$51),Input!$H$51)</f>
        <v>0.9</v>
      </c>
      <c r="O120" s="60">
        <f t="shared" si="70"/>
        <v>29814347.590312488</v>
      </c>
      <c r="P120" s="60">
        <f t="shared" si="71"/>
        <v>31</v>
      </c>
      <c r="Q120" s="60">
        <f t="shared" si="38"/>
        <v>0</v>
      </c>
      <c r="R120" s="60">
        <f>ROUND(Q120*$P120*Input!$C$3/365,0)</f>
        <v>0</v>
      </c>
      <c r="S120" s="60">
        <f>IF(A120&lt;=Input!$C$6,0,IF('Unique Tenure'!O120&lt;'Unique Tenure'!Q120,'Unique Tenure'!O120-R120,'Unique Tenure'!Q120))</f>
        <v>0</v>
      </c>
      <c r="T120" s="60">
        <f t="shared" si="39"/>
        <v>0</v>
      </c>
      <c r="U120" s="60">
        <f t="shared" si="40"/>
        <v>0</v>
      </c>
      <c r="V120" s="193"/>
      <c r="W120" s="169">
        <v>116</v>
      </c>
      <c r="X120" s="1">
        <f t="shared" si="62"/>
        <v>49049</v>
      </c>
      <c r="Y120" s="60">
        <f>IF($X120&lt;Input!$H$58,IF($X120&lt;Input!$G$58,IF($X120&lt;Input!$F$58,IF($X120&lt;Input!$E$58,IF($X120&lt;Input!$D$58,Input!$C$64,Input!$D$64),Input!$E$64),Input!$F$64),Input!$G$64),Input!$H$64)</f>
        <v>0</v>
      </c>
      <c r="Z120" s="190">
        <f>IF($A120&lt;Input!$H$65,IF($A120&lt;Input!$G$65,IF($A120&lt;Input!$F$65,IF($A120&lt;Input!$E$65,IF($A120&lt;Input!$D$65,Input!$C$66,Input!$D$66),Input!$E$66),Input!$F$66),Input!$G$66),Input!$H$66)</f>
        <v>0.9</v>
      </c>
      <c r="AA120" s="60">
        <f t="shared" si="41"/>
        <v>0</v>
      </c>
      <c r="AB120" s="60">
        <f t="shared" si="63"/>
        <v>31</v>
      </c>
      <c r="AC120" s="60">
        <f t="shared" si="42"/>
        <v>0</v>
      </c>
      <c r="AD120" s="60">
        <f>ROUND(AC120*AB120*Input!$C$3/365,0)</f>
        <v>0</v>
      </c>
      <c r="AE120" s="61">
        <f>IF($A120&lt;=Input!$C$6,0,IF('Unique Tenure'!AA120&lt;'Unique Tenure'!AC120,'Unique Tenure'!AA120-AD120,'Unique Tenure'!AC120))</f>
        <v>0</v>
      </c>
      <c r="AF120" s="61">
        <f t="shared" si="43"/>
        <v>0</v>
      </c>
      <c r="AG120" s="60">
        <f t="shared" si="44"/>
        <v>0</v>
      </c>
      <c r="AH120" s="193"/>
      <c r="AI120" s="169">
        <v>116</v>
      </c>
      <c r="AJ120" s="1">
        <f t="shared" si="64"/>
        <v>49049</v>
      </c>
      <c r="AK120" s="60">
        <f>IF($X120&lt;Input!$H$73,IF($X120&lt;Input!$G$73,IF($X120&lt;Input!$F$73,IF($X120&lt;Input!$E$73,IF($X120&lt;Input!$D$73,Input!$C$79,Input!$D$79),Input!$E$79),Input!$F$79),Input!$G$79),Input!$H$79)</f>
        <v>0</v>
      </c>
      <c r="AL120" s="190">
        <f>IF($A120&lt;Input!$H$80,IF($A120&lt;Input!$G$80,IF($A120&lt;Input!$F$80,IF($A120&lt;Input!$E$80,IF($A120&lt;Input!$D$80,Input!$C$81,Input!$D$81),Input!$E$81),Input!$F$81),Input!$G$81),Input!$H$81)</f>
        <v>0.9</v>
      </c>
      <c r="AM120" s="60">
        <f t="shared" si="45"/>
        <v>0</v>
      </c>
      <c r="AN120" s="60">
        <f t="shared" si="65"/>
        <v>31</v>
      </c>
      <c r="AO120" s="60">
        <f t="shared" si="46"/>
        <v>0</v>
      </c>
      <c r="AP120" s="60">
        <f>ROUND(AO120*AN120*Input!$C$3/365,0)</f>
        <v>0</v>
      </c>
      <c r="AQ120" s="61">
        <f>IF($A120&lt;=Input!$C$6,0,IF('Unique Tenure'!AM120&lt;'Unique Tenure'!AO120,'Unique Tenure'!AM120-AP120,'Unique Tenure'!AO120))</f>
        <v>0</v>
      </c>
      <c r="AR120" s="61">
        <f t="shared" si="47"/>
        <v>0</v>
      </c>
      <c r="AS120" s="60">
        <f t="shared" si="48"/>
        <v>0</v>
      </c>
      <c r="AT120" s="193"/>
      <c r="AU120" s="169">
        <v>116</v>
      </c>
      <c r="AV120" s="1">
        <f t="shared" si="66"/>
        <v>49049</v>
      </c>
      <c r="AW120" s="60">
        <f>IF($X120&lt;Input!$H$88,IF($X120&lt;Input!$G$88,IF($X120&lt;Input!$F$88,IF($X120&lt;Input!$E$88,IF($X120&lt;Input!$D$88,Input!$C$94,Input!$D$94),Input!$E$94),Input!$F$94),Input!$G$94),Input!$H$94)</f>
        <v>0</v>
      </c>
      <c r="AX120" s="190">
        <f>IF($A120&lt;Input!$H$95,IF($A120&lt;Input!$G$95,IF($A120&lt;Input!$F$95,IF($A120&lt;Input!$E$95,IF($A120&lt;Input!$D$95,Input!$C$96,Input!$D$96),Input!$E$96),Input!$F$96),Input!$G$96),Input!$H$96)</f>
        <v>0.9</v>
      </c>
      <c r="AY120" s="60">
        <f t="shared" si="49"/>
        <v>0</v>
      </c>
      <c r="AZ120" s="60">
        <f t="shared" si="67"/>
        <v>31</v>
      </c>
      <c r="BA120" s="60">
        <f t="shared" si="50"/>
        <v>0</v>
      </c>
      <c r="BB120" s="60">
        <f>ROUND(BA120*AZ120*Input!$C$3/365,0)</f>
        <v>0</v>
      </c>
      <c r="BC120" s="61">
        <f>IF($A120&lt;=Input!$C$6,0,IF('Unique Tenure'!AY120&lt;'Unique Tenure'!BA120,'Unique Tenure'!AY120-BB120,'Unique Tenure'!BA120))</f>
        <v>0</v>
      </c>
      <c r="BD120" s="61">
        <f t="shared" si="51"/>
        <v>0</v>
      </c>
      <c r="BE120" s="60">
        <f t="shared" si="52"/>
        <v>0</v>
      </c>
      <c r="BF120" s="193"/>
      <c r="BG120" s="169">
        <v>116</v>
      </c>
      <c r="BH120" s="1">
        <f t="shared" si="68"/>
        <v>49049</v>
      </c>
      <c r="BI120" s="60">
        <f>IF($X120&lt;Input!$H$103,IF($X120&lt;Input!$G$103,IF($X120&lt;Input!$F$103,IF($X120&lt;Input!$E$103,IF($X120&lt;Input!$D$103,Input!$C$109,Input!$D$109),Input!$E$109),Input!$F$109),Input!$G$109),Input!$H$109)</f>
        <v>0</v>
      </c>
      <c r="BJ120" s="190">
        <f>IF($A120&lt;Input!$H$110,IF($A120&lt;Input!$G$110,IF($A120&lt;Input!$F$110,IF($A120&lt;Input!$E$110,IF($A120&lt;Input!$D$110,Input!$C$111,Input!$D$111),Input!$E$111),Input!$F$111),Input!$G$111),Input!$H$111)</f>
        <v>0.9</v>
      </c>
      <c r="BK120" s="60">
        <f t="shared" si="53"/>
        <v>0</v>
      </c>
      <c r="BL120" s="60">
        <f t="shared" si="69"/>
        <v>31</v>
      </c>
      <c r="BM120" s="60">
        <f t="shared" si="54"/>
        <v>0</v>
      </c>
      <c r="BN120" s="60">
        <f>ROUND(BM120*BL120*Input!$C$3/365,0)</f>
        <v>0</v>
      </c>
      <c r="BO120" s="61">
        <f>IF($A120&lt;=Input!$C$6,0,IF('Unique Tenure'!BK120&lt;'Unique Tenure'!BM120,'Unique Tenure'!BK120-BN120,'Unique Tenure'!BM120))</f>
        <v>0</v>
      </c>
      <c r="BP120" s="61">
        <f t="shared" si="55"/>
        <v>0</v>
      </c>
      <c r="BQ120" s="60">
        <f t="shared" si="56"/>
        <v>0</v>
      </c>
      <c r="BR120" s="198"/>
    </row>
    <row r="121" spans="1:70" s="51" customFormat="1" x14ac:dyDescent="0.25">
      <c r="A121" s="169">
        <v>117</v>
      </c>
      <c r="B121" s="1">
        <f t="shared" si="57"/>
        <v>49079</v>
      </c>
      <c r="C121" s="60">
        <f>SUM(
   IF(($A$4:$A$184 &lt;= Input!$D$16), M121, 0),
   IF(($A$4:$A$184 &lt;= Input!$E$16), Y121, 0),
   IF(($A$4:$A$184 &lt;= Input!$F$16), AK121, 0),
   IF(($A$4:$A$184 &lt;= Input!$G$16), AW121, 0),
   IF(($A$4:$A$184 &lt;= Input!$H$16), BI121, 0)
)</f>
        <v>33127052.878124986</v>
      </c>
      <c r="D121" s="60">
        <f>SUM(
   IF(($A$4:$A$184 &lt;= Input!$D$16), O121, 0),
   IF(($A$4:$A$184 &lt;= Input!$E$16), AA121, 0),
   IF(($A$4:$A$184 &lt;= Input!$F$16), AM121, 0),
   IF(($A$4:$A$184 &lt;= Input!$G$16), AY121, 0),
   IF(($A$4:$A$184 &lt;= Input!$H$16), BK121, 0)
)</f>
        <v>29814347.590312488</v>
      </c>
      <c r="E121" s="60">
        <f t="shared" si="58"/>
        <v>30</v>
      </c>
      <c r="F121" s="60">
        <f t="shared" si="59"/>
        <v>0</v>
      </c>
      <c r="G121" s="60">
        <f>ROUND(F121*E121*Input!$C$3/365,0)</f>
        <v>0</v>
      </c>
      <c r="H121" s="60">
        <f>IF($A121&lt;=Input!$C$6,0,IF('Unique Tenure'!D121&lt;'Unique Tenure'!F121,'Unique Tenure'!D121-G121,'Unique Tenure'!F121))</f>
        <v>0</v>
      </c>
      <c r="I121" s="60">
        <f t="shared" si="60"/>
        <v>0</v>
      </c>
      <c r="J121" s="60">
        <f t="shared" si="61"/>
        <v>0</v>
      </c>
      <c r="K121" s="202">
        <f>J121/Input!$K$5</f>
        <v>0</v>
      </c>
      <c r="L121" s="232"/>
      <c r="M121" s="60">
        <f>IF($B121&lt;Input!$H$43,IF($B121&lt;Input!$G$43,IF($B121&lt;Input!$F$43,IF($B121&lt;Input!$E$43,IF($B121&lt;Input!$D$43,Input!$C$49,Input!$D$49),Input!$E$49),Input!$F$49),Input!$G$49),Input!$H$49)</f>
        <v>33127052.878124986</v>
      </c>
      <c r="N121" s="190">
        <f>IF($A121&lt;Input!$H$50,IF($A121&lt;Input!$G$50,IF($A121&lt;Input!$F$50,IF($A121&lt;Input!$E$50,IF($A121&lt;Input!$D$50,Input!$C$51,Input!$D$51),Input!$E$51),Input!$F$51),Input!$G$51),Input!$H$51)</f>
        <v>0.9</v>
      </c>
      <c r="O121" s="60">
        <f t="shared" si="70"/>
        <v>29814347.590312488</v>
      </c>
      <c r="P121" s="60">
        <f t="shared" si="71"/>
        <v>30</v>
      </c>
      <c r="Q121" s="60">
        <f t="shared" si="38"/>
        <v>0</v>
      </c>
      <c r="R121" s="60">
        <f>ROUND(Q121*$P121*Input!$C$3/365,0)</f>
        <v>0</v>
      </c>
      <c r="S121" s="60">
        <f>IF(A121&lt;=Input!$C$6,0,IF('Unique Tenure'!O121&lt;'Unique Tenure'!Q121,'Unique Tenure'!O121-R121,'Unique Tenure'!Q121))</f>
        <v>0</v>
      </c>
      <c r="T121" s="60">
        <f t="shared" si="39"/>
        <v>0</v>
      </c>
      <c r="U121" s="60">
        <f t="shared" si="40"/>
        <v>0</v>
      </c>
      <c r="V121" s="193"/>
      <c r="W121" s="169">
        <v>117</v>
      </c>
      <c r="X121" s="1">
        <f t="shared" si="62"/>
        <v>49079</v>
      </c>
      <c r="Y121" s="60">
        <f>IF($X121&lt;Input!$H$58,IF($X121&lt;Input!$G$58,IF($X121&lt;Input!$F$58,IF($X121&lt;Input!$E$58,IF($X121&lt;Input!$D$58,Input!$C$64,Input!$D$64),Input!$E$64),Input!$F$64),Input!$G$64),Input!$H$64)</f>
        <v>0</v>
      </c>
      <c r="Z121" s="190">
        <f>IF($A121&lt;Input!$H$65,IF($A121&lt;Input!$G$65,IF($A121&lt;Input!$F$65,IF($A121&lt;Input!$E$65,IF($A121&lt;Input!$D$65,Input!$C$66,Input!$D$66),Input!$E$66),Input!$F$66),Input!$G$66),Input!$H$66)</f>
        <v>0.9</v>
      </c>
      <c r="AA121" s="60">
        <f t="shared" si="41"/>
        <v>0</v>
      </c>
      <c r="AB121" s="60">
        <f t="shared" si="63"/>
        <v>30</v>
      </c>
      <c r="AC121" s="60">
        <f t="shared" si="42"/>
        <v>0</v>
      </c>
      <c r="AD121" s="60">
        <f>ROUND(AC121*AB121*Input!$C$3/365,0)</f>
        <v>0</v>
      </c>
      <c r="AE121" s="61">
        <f>IF($A121&lt;=Input!$C$6,0,IF('Unique Tenure'!AA121&lt;'Unique Tenure'!AC121,'Unique Tenure'!AA121-AD121,'Unique Tenure'!AC121))</f>
        <v>0</v>
      </c>
      <c r="AF121" s="61">
        <f t="shared" si="43"/>
        <v>0</v>
      </c>
      <c r="AG121" s="60">
        <f t="shared" si="44"/>
        <v>0</v>
      </c>
      <c r="AH121" s="193"/>
      <c r="AI121" s="169">
        <v>117</v>
      </c>
      <c r="AJ121" s="1">
        <f t="shared" si="64"/>
        <v>49079</v>
      </c>
      <c r="AK121" s="60">
        <f>IF($X121&lt;Input!$H$73,IF($X121&lt;Input!$G$73,IF($X121&lt;Input!$F$73,IF($X121&lt;Input!$E$73,IF($X121&lt;Input!$D$73,Input!$C$79,Input!$D$79),Input!$E$79),Input!$F$79),Input!$G$79),Input!$H$79)</f>
        <v>0</v>
      </c>
      <c r="AL121" s="190">
        <f>IF($A121&lt;Input!$H$80,IF($A121&lt;Input!$G$80,IF($A121&lt;Input!$F$80,IF($A121&lt;Input!$E$80,IF($A121&lt;Input!$D$80,Input!$C$81,Input!$D$81),Input!$E$81),Input!$F$81),Input!$G$81),Input!$H$81)</f>
        <v>0.9</v>
      </c>
      <c r="AM121" s="60">
        <f t="shared" si="45"/>
        <v>0</v>
      </c>
      <c r="AN121" s="60">
        <f t="shared" si="65"/>
        <v>30</v>
      </c>
      <c r="AO121" s="60">
        <f t="shared" si="46"/>
        <v>0</v>
      </c>
      <c r="AP121" s="60">
        <f>ROUND(AO121*AN121*Input!$C$3/365,0)</f>
        <v>0</v>
      </c>
      <c r="AQ121" s="61">
        <f>IF($A121&lt;=Input!$C$6,0,IF('Unique Tenure'!AM121&lt;'Unique Tenure'!AO121,'Unique Tenure'!AM121-AP121,'Unique Tenure'!AO121))</f>
        <v>0</v>
      </c>
      <c r="AR121" s="61">
        <f t="shared" si="47"/>
        <v>0</v>
      </c>
      <c r="AS121" s="60">
        <f t="shared" si="48"/>
        <v>0</v>
      </c>
      <c r="AT121" s="193"/>
      <c r="AU121" s="169">
        <v>117</v>
      </c>
      <c r="AV121" s="1">
        <f t="shared" si="66"/>
        <v>49079</v>
      </c>
      <c r="AW121" s="60">
        <f>IF($X121&lt;Input!$H$88,IF($X121&lt;Input!$G$88,IF($X121&lt;Input!$F$88,IF($X121&lt;Input!$E$88,IF($X121&lt;Input!$D$88,Input!$C$94,Input!$D$94),Input!$E$94),Input!$F$94),Input!$G$94),Input!$H$94)</f>
        <v>0</v>
      </c>
      <c r="AX121" s="190">
        <f>IF($A121&lt;Input!$H$95,IF($A121&lt;Input!$G$95,IF($A121&lt;Input!$F$95,IF($A121&lt;Input!$E$95,IF($A121&lt;Input!$D$95,Input!$C$96,Input!$D$96),Input!$E$96),Input!$F$96),Input!$G$96),Input!$H$96)</f>
        <v>0.9</v>
      </c>
      <c r="AY121" s="60">
        <f t="shared" si="49"/>
        <v>0</v>
      </c>
      <c r="AZ121" s="60">
        <f t="shared" si="67"/>
        <v>30</v>
      </c>
      <c r="BA121" s="60">
        <f t="shared" si="50"/>
        <v>0</v>
      </c>
      <c r="BB121" s="60">
        <f>ROUND(BA121*AZ121*Input!$C$3/365,0)</f>
        <v>0</v>
      </c>
      <c r="BC121" s="61">
        <f>IF($A121&lt;=Input!$C$6,0,IF('Unique Tenure'!AY121&lt;'Unique Tenure'!BA121,'Unique Tenure'!AY121-BB121,'Unique Tenure'!BA121))</f>
        <v>0</v>
      </c>
      <c r="BD121" s="61">
        <f t="shared" si="51"/>
        <v>0</v>
      </c>
      <c r="BE121" s="60">
        <f t="shared" si="52"/>
        <v>0</v>
      </c>
      <c r="BF121" s="193"/>
      <c r="BG121" s="169">
        <v>117</v>
      </c>
      <c r="BH121" s="1">
        <f t="shared" si="68"/>
        <v>49079</v>
      </c>
      <c r="BI121" s="60">
        <f>IF($X121&lt;Input!$H$103,IF($X121&lt;Input!$G$103,IF($X121&lt;Input!$F$103,IF($X121&lt;Input!$E$103,IF($X121&lt;Input!$D$103,Input!$C$109,Input!$D$109),Input!$E$109),Input!$F$109),Input!$G$109),Input!$H$109)</f>
        <v>0</v>
      </c>
      <c r="BJ121" s="190">
        <f>IF($A121&lt;Input!$H$110,IF($A121&lt;Input!$G$110,IF($A121&lt;Input!$F$110,IF($A121&lt;Input!$E$110,IF($A121&lt;Input!$D$110,Input!$C$111,Input!$D$111),Input!$E$111),Input!$F$111),Input!$G$111),Input!$H$111)</f>
        <v>0.9</v>
      </c>
      <c r="BK121" s="60">
        <f t="shared" si="53"/>
        <v>0</v>
      </c>
      <c r="BL121" s="60">
        <f t="shared" si="69"/>
        <v>30</v>
      </c>
      <c r="BM121" s="60">
        <f t="shared" si="54"/>
        <v>0</v>
      </c>
      <c r="BN121" s="60">
        <f>ROUND(BM121*BL121*Input!$C$3/365,0)</f>
        <v>0</v>
      </c>
      <c r="BO121" s="61">
        <f>IF($A121&lt;=Input!$C$6,0,IF('Unique Tenure'!BK121&lt;'Unique Tenure'!BM121,'Unique Tenure'!BK121-BN121,'Unique Tenure'!BM121))</f>
        <v>0</v>
      </c>
      <c r="BP121" s="61">
        <f t="shared" si="55"/>
        <v>0</v>
      </c>
      <c r="BQ121" s="60">
        <f t="shared" si="56"/>
        <v>0</v>
      </c>
      <c r="BR121" s="198"/>
    </row>
    <row r="122" spans="1:70" s="51" customFormat="1" x14ac:dyDescent="0.25">
      <c r="A122" s="169">
        <v>118</v>
      </c>
      <c r="B122" s="1">
        <f t="shared" si="57"/>
        <v>49110</v>
      </c>
      <c r="C122" s="60">
        <f>SUM(
   IF(($A$4:$A$184 &lt;= Input!$D$16), M122, 0),
   IF(($A$4:$A$184 &lt;= Input!$E$16), Y122, 0),
   IF(($A$4:$A$184 &lt;= Input!$F$16), AK122, 0),
   IF(($A$4:$A$184 &lt;= Input!$G$16), AW122, 0),
   IF(($A$4:$A$184 &lt;= Input!$H$16), BI122, 0)
)</f>
        <v>33127052.878124986</v>
      </c>
      <c r="D122" s="60">
        <f>SUM(
   IF(($A$4:$A$184 &lt;= Input!$D$16), O122, 0),
   IF(($A$4:$A$184 &lt;= Input!$E$16), AA122, 0),
   IF(($A$4:$A$184 &lt;= Input!$F$16), AM122, 0),
   IF(($A$4:$A$184 &lt;= Input!$G$16), AY122, 0),
   IF(($A$4:$A$184 &lt;= Input!$H$16), BK122, 0)
)</f>
        <v>29814347.590312488</v>
      </c>
      <c r="E122" s="60">
        <f t="shared" si="58"/>
        <v>31</v>
      </c>
      <c r="F122" s="60">
        <f t="shared" si="59"/>
        <v>0</v>
      </c>
      <c r="G122" s="60">
        <f>ROUND(F122*E122*Input!$C$3/365,0)</f>
        <v>0</v>
      </c>
      <c r="H122" s="60">
        <f>IF($A122&lt;=Input!$C$6,0,IF('Unique Tenure'!D122&lt;'Unique Tenure'!F122,'Unique Tenure'!D122-G122,'Unique Tenure'!F122))</f>
        <v>0</v>
      </c>
      <c r="I122" s="60">
        <f t="shared" si="60"/>
        <v>0</v>
      </c>
      <c r="J122" s="60">
        <f t="shared" si="61"/>
        <v>0</v>
      </c>
      <c r="K122" s="202">
        <f>J122/Input!$K$5</f>
        <v>0</v>
      </c>
      <c r="L122" s="232"/>
      <c r="M122" s="60">
        <f>IF($B122&lt;Input!$H$43,IF($B122&lt;Input!$G$43,IF($B122&lt;Input!$F$43,IF($B122&lt;Input!$E$43,IF($B122&lt;Input!$D$43,Input!$C$49,Input!$D$49),Input!$E$49),Input!$F$49),Input!$G$49),Input!$H$49)</f>
        <v>33127052.878124986</v>
      </c>
      <c r="N122" s="190">
        <f>IF($A122&lt;Input!$H$50,IF($A122&lt;Input!$G$50,IF($A122&lt;Input!$F$50,IF($A122&lt;Input!$E$50,IF($A122&lt;Input!$D$50,Input!$C$51,Input!$D$51),Input!$E$51),Input!$F$51),Input!$G$51),Input!$H$51)</f>
        <v>0.9</v>
      </c>
      <c r="O122" s="60">
        <f t="shared" si="70"/>
        <v>29814347.590312488</v>
      </c>
      <c r="P122" s="60">
        <f t="shared" si="71"/>
        <v>31</v>
      </c>
      <c r="Q122" s="60">
        <f t="shared" si="38"/>
        <v>0</v>
      </c>
      <c r="R122" s="60">
        <f>ROUND(Q122*$P122*Input!$C$3/365,0)</f>
        <v>0</v>
      </c>
      <c r="S122" s="60">
        <f>IF(A122&lt;=Input!$C$6,0,IF('Unique Tenure'!O122&lt;'Unique Tenure'!Q122,'Unique Tenure'!O122-R122,'Unique Tenure'!Q122))</f>
        <v>0</v>
      </c>
      <c r="T122" s="60">
        <f t="shared" si="39"/>
        <v>0</v>
      </c>
      <c r="U122" s="60">
        <f t="shared" si="40"/>
        <v>0</v>
      </c>
      <c r="V122" s="193"/>
      <c r="W122" s="169">
        <v>118</v>
      </c>
      <c r="X122" s="1">
        <f t="shared" si="62"/>
        <v>49110</v>
      </c>
      <c r="Y122" s="60">
        <f>IF($X122&lt;Input!$H$58,IF($X122&lt;Input!$G$58,IF($X122&lt;Input!$F$58,IF($X122&lt;Input!$E$58,IF($X122&lt;Input!$D$58,Input!$C$64,Input!$D$64),Input!$E$64),Input!$F$64),Input!$G$64),Input!$H$64)</f>
        <v>0</v>
      </c>
      <c r="Z122" s="190">
        <f>IF($A122&lt;Input!$H$65,IF($A122&lt;Input!$G$65,IF($A122&lt;Input!$F$65,IF($A122&lt;Input!$E$65,IF($A122&lt;Input!$D$65,Input!$C$66,Input!$D$66),Input!$E$66),Input!$F$66),Input!$G$66),Input!$H$66)</f>
        <v>0.9</v>
      </c>
      <c r="AA122" s="60">
        <f t="shared" si="41"/>
        <v>0</v>
      </c>
      <c r="AB122" s="60">
        <f t="shared" si="63"/>
        <v>31</v>
      </c>
      <c r="AC122" s="60">
        <f t="shared" si="42"/>
        <v>0</v>
      </c>
      <c r="AD122" s="60">
        <f>ROUND(AC122*AB122*Input!$C$3/365,0)</f>
        <v>0</v>
      </c>
      <c r="AE122" s="61">
        <f>IF($A122&lt;=Input!$C$6,0,IF('Unique Tenure'!AA122&lt;'Unique Tenure'!AC122,'Unique Tenure'!AA122-AD122,'Unique Tenure'!AC122))</f>
        <v>0</v>
      </c>
      <c r="AF122" s="61">
        <f t="shared" si="43"/>
        <v>0</v>
      </c>
      <c r="AG122" s="60">
        <f t="shared" si="44"/>
        <v>0</v>
      </c>
      <c r="AH122" s="193"/>
      <c r="AI122" s="169">
        <v>118</v>
      </c>
      <c r="AJ122" s="1">
        <f t="shared" si="64"/>
        <v>49110</v>
      </c>
      <c r="AK122" s="60">
        <f>IF($X122&lt;Input!$H$73,IF($X122&lt;Input!$G$73,IF($X122&lt;Input!$F$73,IF($X122&lt;Input!$E$73,IF($X122&lt;Input!$D$73,Input!$C$79,Input!$D$79),Input!$E$79),Input!$F$79),Input!$G$79),Input!$H$79)</f>
        <v>0</v>
      </c>
      <c r="AL122" s="190">
        <f>IF($A122&lt;Input!$H$80,IF($A122&lt;Input!$G$80,IF($A122&lt;Input!$F$80,IF($A122&lt;Input!$E$80,IF($A122&lt;Input!$D$80,Input!$C$81,Input!$D$81),Input!$E$81),Input!$F$81),Input!$G$81),Input!$H$81)</f>
        <v>0.9</v>
      </c>
      <c r="AM122" s="60">
        <f t="shared" si="45"/>
        <v>0</v>
      </c>
      <c r="AN122" s="60">
        <f t="shared" si="65"/>
        <v>31</v>
      </c>
      <c r="AO122" s="60">
        <f t="shared" si="46"/>
        <v>0</v>
      </c>
      <c r="AP122" s="60">
        <f>ROUND(AO122*AN122*Input!$C$3/365,0)</f>
        <v>0</v>
      </c>
      <c r="AQ122" s="61">
        <f>IF($A122&lt;=Input!$C$6,0,IF('Unique Tenure'!AM122&lt;'Unique Tenure'!AO122,'Unique Tenure'!AM122-AP122,'Unique Tenure'!AO122))</f>
        <v>0</v>
      </c>
      <c r="AR122" s="61">
        <f t="shared" si="47"/>
        <v>0</v>
      </c>
      <c r="AS122" s="60">
        <f t="shared" si="48"/>
        <v>0</v>
      </c>
      <c r="AT122" s="193"/>
      <c r="AU122" s="169">
        <v>118</v>
      </c>
      <c r="AV122" s="1">
        <f t="shared" si="66"/>
        <v>49110</v>
      </c>
      <c r="AW122" s="60">
        <f>IF($X122&lt;Input!$H$88,IF($X122&lt;Input!$G$88,IF($X122&lt;Input!$F$88,IF($X122&lt;Input!$E$88,IF($X122&lt;Input!$D$88,Input!$C$94,Input!$D$94),Input!$E$94),Input!$F$94),Input!$G$94),Input!$H$94)</f>
        <v>0</v>
      </c>
      <c r="AX122" s="190">
        <f>IF($A122&lt;Input!$H$95,IF($A122&lt;Input!$G$95,IF($A122&lt;Input!$F$95,IF($A122&lt;Input!$E$95,IF($A122&lt;Input!$D$95,Input!$C$96,Input!$D$96),Input!$E$96),Input!$F$96),Input!$G$96),Input!$H$96)</f>
        <v>0.9</v>
      </c>
      <c r="AY122" s="60">
        <f t="shared" si="49"/>
        <v>0</v>
      </c>
      <c r="AZ122" s="60">
        <f t="shared" si="67"/>
        <v>31</v>
      </c>
      <c r="BA122" s="60">
        <f t="shared" si="50"/>
        <v>0</v>
      </c>
      <c r="BB122" s="60">
        <f>ROUND(BA122*AZ122*Input!$C$3/365,0)</f>
        <v>0</v>
      </c>
      <c r="BC122" s="61">
        <f>IF($A122&lt;=Input!$C$6,0,IF('Unique Tenure'!AY122&lt;'Unique Tenure'!BA122,'Unique Tenure'!AY122-BB122,'Unique Tenure'!BA122))</f>
        <v>0</v>
      </c>
      <c r="BD122" s="61">
        <f t="shared" si="51"/>
        <v>0</v>
      </c>
      <c r="BE122" s="60">
        <f t="shared" si="52"/>
        <v>0</v>
      </c>
      <c r="BF122" s="193"/>
      <c r="BG122" s="169">
        <v>118</v>
      </c>
      <c r="BH122" s="1">
        <f t="shared" si="68"/>
        <v>49110</v>
      </c>
      <c r="BI122" s="60">
        <f>IF($X122&lt;Input!$H$103,IF($X122&lt;Input!$G$103,IF($X122&lt;Input!$F$103,IF($X122&lt;Input!$E$103,IF($X122&lt;Input!$D$103,Input!$C$109,Input!$D$109),Input!$E$109),Input!$F$109),Input!$G$109),Input!$H$109)</f>
        <v>0</v>
      </c>
      <c r="BJ122" s="190">
        <f>IF($A122&lt;Input!$H$110,IF($A122&lt;Input!$G$110,IF($A122&lt;Input!$F$110,IF($A122&lt;Input!$E$110,IF($A122&lt;Input!$D$110,Input!$C$111,Input!$D$111),Input!$E$111),Input!$F$111),Input!$G$111),Input!$H$111)</f>
        <v>0.9</v>
      </c>
      <c r="BK122" s="60">
        <f t="shared" si="53"/>
        <v>0</v>
      </c>
      <c r="BL122" s="60">
        <f t="shared" si="69"/>
        <v>31</v>
      </c>
      <c r="BM122" s="60">
        <f t="shared" si="54"/>
        <v>0</v>
      </c>
      <c r="BN122" s="60">
        <f>ROUND(BM122*BL122*Input!$C$3/365,0)</f>
        <v>0</v>
      </c>
      <c r="BO122" s="61">
        <f>IF($A122&lt;=Input!$C$6,0,IF('Unique Tenure'!BK122&lt;'Unique Tenure'!BM122,'Unique Tenure'!BK122-BN122,'Unique Tenure'!BM122))</f>
        <v>0</v>
      </c>
      <c r="BP122" s="61">
        <f t="shared" si="55"/>
        <v>0</v>
      </c>
      <c r="BQ122" s="60">
        <f t="shared" si="56"/>
        <v>0</v>
      </c>
      <c r="BR122" s="198"/>
    </row>
    <row r="123" spans="1:70" s="51" customFormat="1" x14ac:dyDescent="0.25">
      <c r="A123" s="169">
        <v>119</v>
      </c>
      <c r="B123" s="1">
        <f t="shared" si="57"/>
        <v>49140</v>
      </c>
      <c r="C123" s="60">
        <f>SUM(
   IF(($A$4:$A$184 &lt;= Input!$D$16), M123, 0),
   IF(($A$4:$A$184 &lt;= Input!$E$16), Y123, 0),
   IF(($A$4:$A$184 &lt;= Input!$F$16), AK123, 0),
   IF(($A$4:$A$184 &lt;= Input!$G$16), AW123, 0),
   IF(($A$4:$A$184 &lt;= Input!$H$16), BI123, 0)
)</f>
        <v>33127052.878124986</v>
      </c>
      <c r="D123" s="60">
        <f>SUM(
   IF(($A$4:$A$184 &lt;= Input!$D$16), O123, 0),
   IF(($A$4:$A$184 &lt;= Input!$E$16), AA123, 0),
   IF(($A$4:$A$184 &lt;= Input!$F$16), AM123, 0),
   IF(($A$4:$A$184 &lt;= Input!$G$16), AY123, 0),
   IF(($A$4:$A$184 &lt;= Input!$H$16), BK123, 0)
)</f>
        <v>29814347.590312488</v>
      </c>
      <c r="E123" s="60">
        <f t="shared" si="58"/>
        <v>30</v>
      </c>
      <c r="F123" s="60">
        <f t="shared" si="59"/>
        <v>0</v>
      </c>
      <c r="G123" s="60">
        <f>ROUND(F123*E123*Input!$C$3/365,0)</f>
        <v>0</v>
      </c>
      <c r="H123" s="60">
        <f>IF($A123&lt;=Input!$C$6,0,IF('Unique Tenure'!D123&lt;'Unique Tenure'!F123,'Unique Tenure'!D123-G123,'Unique Tenure'!F123))</f>
        <v>0</v>
      </c>
      <c r="I123" s="60">
        <f t="shared" si="60"/>
        <v>0</v>
      </c>
      <c r="J123" s="60">
        <f t="shared" si="61"/>
        <v>0</v>
      </c>
      <c r="K123" s="202">
        <f>J123/Input!$K$5</f>
        <v>0</v>
      </c>
      <c r="L123" s="232"/>
      <c r="M123" s="60">
        <f>IF($B123&lt;Input!$H$43,IF($B123&lt;Input!$G$43,IF($B123&lt;Input!$F$43,IF($B123&lt;Input!$E$43,IF($B123&lt;Input!$D$43,Input!$C$49,Input!$D$49),Input!$E$49),Input!$F$49),Input!$G$49),Input!$H$49)</f>
        <v>33127052.878124986</v>
      </c>
      <c r="N123" s="190">
        <f>IF($A123&lt;Input!$H$50,IF($A123&lt;Input!$G$50,IF($A123&lt;Input!$F$50,IF($A123&lt;Input!$E$50,IF($A123&lt;Input!$D$50,Input!$C$51,Input!$D$51),Input!$E$51),Input!$F$51),Input!$G$51),Input!$H$51)</f>
        <v>0.9</v>
      </c>
      <c r="O123" s="60">
        <f t="shared" si="70"/>
        <v>29814347.590312488</v>
      </c>
      <c r="P123" s="60">
        <f t="shared" si="71"/>
        <v>30</v>
      </c>
      <c r="Q123" s="60">
        <f t="shared" si="38"/>
        <v>0</v>
      </c>
      <c r="R123" s="60">
        <f>ROUND(Q123*$P123*Input!$C$3/365,0)</f>
        <v>0</v>
      </c>
      <c r="S123" s="60">
        <f>IF(A123&lt;=Input!$C$6,0,IF('Unique Tenure'!O123&lt;'Unique Tenure'!Q123,'Unique Tenure'!O123-R123,'Unique Tenure'!Q123))</f>
        <v>0</v>
      </c>
      <c r="T123" s="60">
        <f t="shared" si="39"/>
        <v>0</v>
      </c>
      <c r="U123" s="60">
        <f t="shared" si="40"/>
        <v>0</v>
      </c>
      <c r="V123" s="193"/>
      <c r="W123" s="169">
        <v>119</v>
      </c>
      <c r="X123" s="1">
        <f t="shared" si="62"/>
        <v>49140</v>
      </c>
      <c r="Y123" s="60">
        <f>IF($X123&lt;Input!$H$58,IF($X123&lt;Input!$G$58,IF($X123&lt;Input!$F$58,IF($X123&lt;Input!$E$58,IF($X123&lt;Input!$D$58,Input!$C$64,Input!$D$64),Input!$E$64),Input!$F$64),Input!$G$64),Input!$H$64)</f>
        <v>0</v>
      </c>
      <c r="Z123" s="190">
        <f>IF($A123&lt;Input!$H$65,IF($A123&lt;Input!$G$65,IF($A123&lt;Input!$F$65,IF($A123&lt;Input!$E$65,IF($A123&lt;Input!$D$65,Input!$C$66,Input!$D$66),Input!$E$66),Input!$F$66),Input!$G$66),Input!$H$66)</f>
        <v>0.9</v>
      </c>
      <c r="AA123" s="60">
        <f t="shared" si="41"/>
        <v>0</v>
      </c>
      <c r="AB123" s="60">
        <f t="shared" si="63"/>
        <v>30</v>
      </c>
      <c r="AC123" s="60">
        <f t="shared" si="42"/>
        <v>0</v>
      </c>
      <c r="AD123" s="60">
        <f>ROUND(AC123*AB123*Input!$C$3/365,0)</f>
        <v>0</v>
      </c>
      <c r="AE123" s="61">
        <f>IF($A123&lt;=Input!$C$6,0,IF('Unique Tenure'!AA123&lt;'Unique Tenure'!AC123,'Unique Tenure'!AA123-AD123,'Unique Tenure'!AC123))</f>
        <v>0</v>
      </c>
      <c r="AF123" s="61">
        <f t="shared" si="43"/>
        <v>0</v>
      </c>
      <c r="AG123" s="60">
        <f t="shared" si="44"/>
        <v>0</v>
      </c>
      <c r="AH123" s="193"/>
      <c r="AI123" s="169">
        <v>119</v>
      </c>
      <c r="AJ123" s="1">
        <f t="shared" si="64"/>
        <v>49140</v>
      </c>
      <c r="AK123" s="60">
        <f>IF($X123&lt;Input!$H$73,IF($X123&lt;Input!$G$73,IF($X123&lt;Input!$F$73,IF($X123&lt;Input!$E$73,IF($X123&lt;Input!$D$73,Input!$C$79,Input!$D$79),Input!$E$79),Input!$F$79),Input!$G$79),Input!$H$79)</f>
        <v>0</v>
      </c>
      <c r="AL123" s="190">
        <f>IF($A123&lt;Input!$H$80,IF($A123&lt;Input!$G$80,IF($A123&lt;Input!$F$80,IF($A123&lt;Input!$E$80,IF($A123&lt;Input!$D$80,Input!$C$81,Input!$D$81),Input!$E$81),Input!$F$81),Input!$G$81),Input!$H$81)</f>
        <v>0.9</v>
      </c>
      <c r="AM123" s="60">
        <f t="shared" si="45"/>
        <v>0</v>
      </c>
      <c r="AN123" s="60">
        <f t="shared" si="65"/>
        <v>30</v>
      </c>
      <c r="AO123" s="60">
        <f t="shared" si="46"/>
        <v>0</v>
      </c>
      <c r="AP123" s="60">
        <f>ROUND(AO123*AN123*Input!$C$3/365,0)</f>
        <v>0</v>
      </c>
      <c r="AQ123" s="61">
        <f>IF($A123&lt;=Input!$C$6,0,IF('Unique Tenure'!AM123&lt;'Unique Tenure'!AO123,'Unique Tenure'!AM123-AP123,'Unique Tenure'!AO123))</f>
        <v>0</v>
      </c>
      <c r="AR123" s="61">
        <f t="shared" si="47"/>
        <v>0</v>
      </c>
      <c r="AS123" s="60">
        <f t="shared" si="48"/>
        <v>0</v>
      </c>
      <c r="AT123" s="193"/>
      <c r="AU123" s="169">
        <v>119</v>
      </c>
      <c r="AV123" s="1">
        <f t="shared" si="66"/>
        <v>49140</v>
      </c>
      <c r="AW123" s="60">
        <f>IF($X123&lt;Input!$H$88,IF($X123&lt;Input!$G$88,IF($X123&lt;Input!$F$88,IF($X123&lt;Input!$E$88,IF($X123&lt;Input!$D$88,Input!$C$94,Input!$D$94),Input!$E$94),Input!$F$94),Input!$G$94),Input!$H$94)</f>
        <v>0</v>
      </c>
      <c r="AX123" s="190">
        <f>IF($A123&lt;Input!$H$95,IF($A123&lt;Input!$G$95,IF($A123&lt;Input!$F$95,IF($A123&lt;Input!$E$95,IF($A123&lt;Input!$D$95,Input!$C$96,Input!$D$96),Input!$E$96),Input!$F$96),Input!$G$96),Input!$H$96)</f>
        <v>0.9</v>
      </c>
      <c r="AY123" s="60">
        <f t="shared" si="49"/>
        <v>0</v>
      </c>
      <c r="AZ123" s="60">
        <f t="shared" si="67"/>
        <v>30</v>
      </c>
      <c r="BA123" s="60">
        <f t="shared" si="50"/>
        <v>0</v>
      </c>
      <c r="BB123" s="60">
        <f>ROUND(BA123*AZ123*Input!$C$3/365,0)</f>
        <v>0</v>
      </c>
      <c r="BC123" s="61">
        <f>IF($A123&lt;=Input!$C$6,0,IF('Unique Tenure'!AY123&lt;'Unique Tenure'!BA123,'Unique Tenure'!AY123-BB123,'Unique Tenure'!BA123))</f>
        <v>0</v>
      </c>
      <c r="BD123" s="61">
        <f t="shared" si="51"/>
        <v>0</v>
      </c>
      <c r="BE123" s="60">
        <f t="shared" si="52"/>
        <v>0</v>
      </c>
      <c r="BF123" s="193"/>
      <c r="BG123" s="169">
        <v>119</v>
      </c>
      <c r="BH123" s="1">
        <f t="shared" si="68"/>
        <v>49140</v>
      </c>
      <c r="BI123" s="60">
        <f>IF($X123&lt;Input!$H$103,IF($X123&lt;Input!$G$103,IF($X123&lt;Input!$F$103,IF($X123&lt;Input!$E$103,IF($X123&lt;Input!$D$103,Input!$C$109,Input!$D$109),Input!$E$109),Input!$F$109),Input!$G$109),Input!$H$109)</f>
        <v>0</v>
      </c>
      <c r="BJ123" s="190">
        <f>IF($A123&lt;Input!$H$110,IF($A123&lt;Input!$G$110,IF($A123&lt;Input!$F$110,IF($A123&lt;Input!$E$110,IF($A123&lt;Input!$D$110,Input!$C$111,Input!$D$111),Input!$E$111),Input!$F$111),Input!$G$111),Input!$H$111)</f>
        <v>0.9</v>
      </c>
      <c r="BK123" s="60">
        <f t="shared" si="53"/>
        <v>0</v>
      </c>
      <c r="BL123" s="60">
        <f t="shared" si="69"/>
        <v>30</v>
      </c>
      <c r="BM123" s="60">
        <f t="shared" si="54"/>
        <v>0</v>
      </c>
      <c r="BN123" s="60">
        <f>ROUND(BM123*BL123*Input!$C$3/365,0)</f>
        <v>0</v>
      </c>
      <c r="BO123" s="61">
        <f>IF($A123&lt;=Input!$C$6,0,IF('Unique Tenure'!BK123&lt;'Unique Tenure'!BM123,'Unique Tenure'!BK123-BN123,'Unique Tenure'!BM123))</f>
        <v>0</v>
      </c>
      <c r="BP123" s="61">
        <f t="shared" si="55"/>
        <v>0</v>
      </c>
      <c r="BQ123" s="60">
        <f t="shared" si="56"/>
        <v>0</v>
      </c>
      <c r="BR123" s="198"/>
    </row>
    <row r="124" spans="1:70" s="51" customFormat="1" x14ac:dyDescent="0.25">
      <c r="A124" s="169">
        <v>120</v>
      </c>
      <c r="B124" s="1">
        <f t="shared" si="57"/>
        <v>49171</v>
      </c>
      <c r="C124" s="60">
        <f>SUM(
   IF(($A$4:$A$184 &lt;= Input!$D$16), M124, 0),
   IF(($A$4:$A$184 &lt;= Input!$E$16), Y124, 0),
   IF(($A$4:$A$184 &lt;= Input!$F$16), AK124, 0),
   IF(($A$4:$A$184 &lt;= Input!$G$16), AW124, 0),
   IF(($A$4:$A$184 &lt;= Input!$H$16), BI124, 0)
)</f>
        <v>33127052.878124986</v>
      </c>
      <c r="D124" s="60">
        <f>SUM(
   IF(($A$4:$A$184 &lt;= Input!$D$16), O124, 0),
   IF(($A$4:$A$184 &lt;= Input!$E$16), AA124, 0),
   IF(($A$4:$A$184 &lt;= Input!$F$16), AM124, 0),
   IF(($A$4:$A$184 &lt;= Input!$G$16), AY124, 0),
   IF(($A$4:$A$184 &lt;= Input!$H$16), BK124, 0)
)</f>
        <v>29814347.590312488</v>
      </c>
      <c r="E124" s="60">
        <f t="shared" si="58"/>
        <v>31</v>
      </c>
      <c r="F124" s="60">
        <f t="shared" si="59"/>
        <v>0</v>
      </c>
      <c r="G124" s="60">
        <f>ROUND(F124*E124*Input!$C$3/365,0)</f>
        <v>0</v>
      </c>
      <c r="H124" s="60">
        <f>IF($A124&lt;=Input!$C$6,0,IF('Unique Tenure'!D124&lt;'Unique Tenure'!F124,'Unique Tenure'!D124-G124,'Unique Tenure'!F124))</f>
        <v>0</v>
      </c>
      <c r="I124" s="60">
        <f t="shared" si="60"/>
        <v>0</v>
      </c>
      <c r="J124" s="60">
        <f t="shared" si="61"/>
        <v>0</v>
      </c>
      <c r="K124" s="202">
        <f>J124/Input!$K$5</f>
        <v>0</v>
      </c>
      <c r="L124" s="232"/>
      <c r="M124" s="60">
        <f>IF($B124&lt;Input!$H$43,IF($B124&lt;Input!$G$43,IF($B124&lt;Input!$F$43,IF($B124&lt;Input!$E$43,IF($B124&lt;Input!$D$43,Input!$C$49,Input!$D$49),Input!$E$49),Input!$F$49),Input!$G$49),Input!$H$49)</f>
        <v>33127052.878124986</v>
      </c>
      <c r="N124" s="190">
        <f>IF($A124&lt;Input!$H$50,IF($A124&lt;Input!$G$50,IF($A124&lt;Input!$F$50,IF($A124&lt;Input!$E$50,IF($A124&lt;Input!$D$50,Input!$C$51,Input!$D$51),Input!$E$51),Input!$F$51),Input!$G$51),Input!$H$51)</f>
        <v>0.9</v>
      </c>
      <c r="O124" s="60">
        <f t="shared" si="70"/>
        <v>29814347.590312488</v>
      </c>
      <c r="P124" s="60">
        <f t="shared" si="71"/>
        <v>31</v>
      </c>
      <c r="Q124" s="60">
        <f t="shared" si="38"/>
        <v>0</v>
      </c>
      <c r="R124" s="60">
        <f>ROUND(Q124*$P124*Input!$C$3/365,0)</f>
        <v>0</v>
      </c>
      <c r="S124" s="60">
        <f>IF(A124&lt;=Input!$C$6,0,IF('Unique Tenure'!O124&lt;'Unique Tenure'!Q124,'Unique Tenure'!O124-R124,'Unique Tenure'!Q124))</f>
        <v>0</v>
      </c>
      <c r="T124" s="60">
        <f t="shared" si="39"/>
        <v>0</v>
      </c>
      <c r="U124" s="60">
        <f t="shared" si="40"/>
        <v>0</v>
      </c>
      <c r="V124" s="193"/>
      <c r="W124" s="169">
        <v>120</v>
      </c>
      <c r="X124" s="1">
        <f t="shared" si="62"/>
        <v>49171</v>
      </c>
      <c r="Y124" s="60">
        <f>IF($X124&lt;Input!$H$58,IF($X124&lt;Input!$G$58,IF($X124&lt;Input!$F$58,IF($X124&lt;Input!$E$58,IF($X124&lt;Input!$D$58,Input!$C$64,Input!$D$64),Input!$E$64),Input!$F$64),Input!$G$64),Input!$H$64)</f>
        <v>0</v>
      </c>
      <c r="Z124" s="190">
        <f>IF($A124&lt;Input!$H$65,IF($A124&lt;Input!$G$65,IF($A124&lt;Input!$F$65,IF($A124&lt;Input!$E$65,IF($A124&lt;Input!$D$65,Input!$C$66,Input!$D$66),Input!$E$66),Input!$F$66),Input!$G$66),Input!$H$66)</f>
        <v>0.9</v>
      </c>
      <c r="AA124" s="60">
        <f t="shared" si="41"/>
        <v>0</v>
      </c>
      <c r="AB124" s="60">
        <f t="shared" si="63"/>
        <v>31</v>
      </c>
      <c r="AC124" s="60">
        <f t="shared" si="42"/>
        <v>0</v>
      </c>
      <c r="AD124" s="60">
        <f>ROUND(AC124*AB124*Input!$C$3/365,0)</f>
        <v>0</v>
      </c>
      <c r="AE124" s="61">
        <f>IF($A124&lt;=Input!$C$6,0,IF('Unique Tenure'!AA124&lt;'Unique Tenure'!AC124,'Unique Tenure'!AA124-AD124,'Unique Tenure'!AC124))</f>
        <v>0</v>
      </c>
      <c r="AF124" s="61">
        <f t="shared" si="43"/>
        <v>0</v>
      </c>
      <c r="AG124" s="60">
        <f t="shared" si="44"/>
        <v>0</v>
      </c>
      <c r="AH124" s="193"/>
      <c r="AI124" s="169">
        <v>120</v>
      </c>
      <c r="AJ124" s="1">
        <f t="shared" si="64"/>
        <v>49171</v>
      </c>
      <c r="AK124" s="60">
        <f>IF($X124&lt;Input!$H$73,IF($X124&lt;Input!$G$73,IF($X124&lt;Input!$F$73,IF($X124&lt;Input!$E$73,IF($X124&lt;Input!$D$73,Input!$C$79,Input!$D$79),Input!$E$79),Input!$F$79),Input!$G$79),Input!$H$79)</f>
        <v>0</v>
      </c>
      <c r="AL124" s="190">
        <f>IF($A124&lt;Input!$H$80,IF($A124&lt;Input!$G$80,IF($A124&lt;Input!$F$80,IF($A124&lt;Input!$E$80,IF($A124&lt;Input!$D$80,Input!$C$81,Input!$D$81),Input!$E$81),Input!$F$81),Input!$G$81),Input!$H$81)</f>
        <v>0.9</v>
      </c>
      <c r="AM124" s="60">
        <f t="shared" si="45"/>
        <v>0</v>
      </c>
      <c r="AN124" s="60">
        <f t="shared" si="65"/>
        <v>31</v>
      </c>
      <c r="AO124" s="60">
        <f t="shared" si="46"/>
        <v>0</v>
      </c>
      <c r="AP124" s="60">
        <f>ROUND(AO124*AN124*Input!$C$3/365,0)</f>
        <v>0</v>
      </c>
      <c r="AQ124" s="61">
        <f>IF($A124&lt;=Input!$C$6,0,IF('Unique Tenure'!AM124&lt;'Unique Tenure'!AO124,'Unique Tenure'!AM124-AP124,'Unique Tenure'!AO124))</f>
        <v>0</v>
      </c>
      <c r="AR124" s="61">
        <f t="shared" si="47"/>
        <v>0</v>
      </c>
      <c r="AS124" s="60">
        <f t="shared" si="48"/>
        <v>0</v>
      </c>
      <c r="AT124" s="193"/>
      <c r="AU124" s="169">
        <v>120</v>
      </c>
      <c r="AV124" s="1">
        <f t="shared" si="66"/>
        <v>49171</v>
      </c>
      <c r="AW124" s="60">
        <f>IF($X124&lt;Input!$H$88,IF($X124&lt;Input!$G$88,IF($X124&lt;Input!$F$88,IF($X124&lt;Input!$E$88,IF($X124&lt;Input!$D$88,Input!$C$94,Input!$D$94),Input!$E$94),Input!$F$94),Input!$G$94),Input!$H$94)</f>
        <v>0</v>
      </c>
      <c r="AX124" s="190">
        <f>IF($A124&lt;Input!$H$95,IF($A124&lt;Input!$G$95,IF($A124&lt;Input!$F$95,IF($A124&lt;Input!$E$95,IF($A124&lt;Input!$D$95,Input!$C$96,Input!$D$96),Input!$E$96),Input!$F$96),Input!$G$96),Input!$H$96)</f>
        <v>0.9</v>
      </c>
      <c r="AY124" s="60">
        <f t="shared" si="49"/>
        <v>0</v>
      </c>
      <c r="AZ124" s="60">
        <f t="shared" si="67"/>
        <v>31</v>
      </c>
      <c r="BA124" s="60">
        <f t="shared" si="50"/>
        <v>0</v>
      </c>
      <c r="BB124" s="60">
        <f>ROUND(BA124*AZ124*Input!$C$3/365,0)</f>
        <v>0</v>
      </c>
      <c r="BC124" s="61">
        <f>IF($A124&lt;=Input!$C$6,0,IF('Unique Tenure'!AY124&lt;'Unique Tenure'!BA124,'Unique Tenure'!AY124-BB124,'Unique Tenure'!BA124))</f>
        <v>0</v>
      </c>
      <c r="BD124" s="61">
        <f t="shared" si="51"/>
        <v>0</v>
      </c>
      <c r="BE124" s="60">
        <f t="shared" si="52"/>
        <v>0</v>
      </c>
      <c r="BF124" s="193"/>
      <c r="BG124" s="169">
        <v>120</v>
      </c>
      <c r="BH124" s="1">
        <f t="shared" si="68"/>
        <v>49171</v>
      </c>
      <c r="BI124" s="60">
        <f>IF($X124&lt;Input!$H$103,IF($X124&lt;Input!$G$103,IF($X124&lt;Input!$F$103,IF($X124&lt;Input!$E$103,IF($X124&lt;Input!$D$103,Input!$C$109,Input!$D$109),Input!$E$109),Input!$F$109),Input!$G$109),Input!$H$109)</f>
        <v>0</v>
      </c>
      <c r="BJ124" s="190">
        <f>IF($A124&lt;Input!$H$110,IF($A124&lt;Input!$G$110,IF($A124&lt;Input!$F$110,IF($A124&lt;Input!$E$110,IF($A124&lt;Input!$D$110,Input!$C$111,Input!$D$111),Input!$E$111),Input!$F$111),Input!$G$111),Input!$H$111)</f>
        <v>0.9</v>
      </c>
      <c r="BK124" s="60">
        <f t="shared" si="53"/>
        <v>0</v>
      </c>
      <c r="BL124" s="60">
        <f t="shared" si="69"/>
        <v>31</v>
      </c>
      <c r="BM124" s="60">
        <f t="shared" si="54"/>
        <v>0</v>
      </c>
      <c r="BN124" s="60">
        <f>ROUND(BM124*BL124*Input!$C$3/365,0)</f>
        <v>0</v>
      </c>
      <c r="BO124" s="61">
        <f>IF($A124&lt;=Input!$C$6,0,IF('Unique Tenure'!BK124&lt;'Unique Tenure'!BM124,'Unique Tenure'!BK124-BN124,'Unique Tenure'!BM124))</f>
        <v>0</v>
      </c>
      <c r="BP124" s="61">
        <f t="shared" si="55"/>
        <v>0</v>
      </c>
      <c r="BQ124" s="60">
        <f t="shared" si="56"/>
        <v>0</v>
      </c>
      <c r="BR124" s="198"/>
    </row>
    <row r="125" spans="1:70" s="51" customFormat="1" x14ac:dyDescent="0.25">
      <c r="A125" s="169">
        <v>121</v>
      </c>
      <c r="B125" s="1">
        <f t="shared" si="57"/>
        <v>49202</v>
      </c>
      <c r="C125" s="60">
        <f>SUM(
   IF(($A$4:$A$184 &lt;= Input!$D$16), M125, 0),
   IF(($A$4:$A$184 &lt;= Input!$E$16), Y125, 0),
   IF(($A$4:$A$184 &lt;= Input!$F$16), AK125, 0),
   IF(($A$4:$A$184 &lt;= Input!$G$16), AW125, 0),
   IF(($A$4:$A$184 &lt;= Input!$H$16), BI125, 0)
)</f>
        <v>33127052.878124986</v>
      </c>
      <c r="D125" s="60">
        <f>SUM(
   IF(($A$4:$A$184 &lt;= Input!$D$16), O125, 0),
   IF(($A$4:$A$184 &lt;= Input!$E$16), AA125, 0),
   IF(($A$4:$A$184 &lt;= Input!$F$16), AM125, 0),
   IF(($A$4:$A$184 &lt;= Input!$G$16), AY125, 0),
   IF(($A$4:$A$184 &lt;= Input!$H$16), BK125, 0)
)</f>
        <v>29814347.590312488</v>
      </c>
      <c r="E125" s="60">
        <f t="shared" si="58"/>
        <v>31</v>
      </c>
      <c r="F125" s="60">
        <f t="shared" si="59"/>
        <v>0</v>
      </c>
      <c r="G125" s="60">
        <f>ROUND(F125*E125*Input!$C$3/365,0)</f>
        <v>0</v>
      </c>
      <c r="H125" s="60">
        <f>IF($A125&lt;=Input!$C$6,0,IF('Unique Tenure'!D125&lt;'Unique Tenure'!F125,'Unique Tenure'!D125-G125,'Unique Tenure'!F125))</f>
        <v>0</v>
      </c>
      <c r="I125" s="60">
        <f t="shared" si="60"/>
        <v>0</v>
      </c>
      <c r="J125" s="60">
        <f t="shared" si="61"/>
        <v>0</v>
      </c>
      <c r="K125" s="202">
        <f>J125/Input!$K$5</f>
        <v>0</v>
      </c>
      <c r="L125" s="232"/>
      <c r="M125" s="60">
        <f>IF($B125&lt;Input!$H$43,IF($B125&lt;Input!$G$43,IF($B125&lt;Input!$F$43,IF($B125&lt;Input!$E$43,IF($B125&lt;Input!$D$43,Input!$C$49,Input!$D$49),Input!$E$49),Input!$F$49),Input!$G$49),Input!$H$49)</f>
        <v>33127052.878124986</v>
      </c>
      <c r="N125" s="190">
        <f>IF($A125&lt;Input!$H$50,IF($A125&lt;Input!$G$50,IF($A125&lt;Input!$F$50,IF($A125&lt;Input!$E$50,IF($A125&lt;Input!$D$50,Input!$C$51,Input!$D$51),Input!$E$51),Input!$F$51),Input!$G$51),Input!$H$51)</f>
        <v>0.9</v>
      </c>
      <c r="O125" s="60">
        <f t="shared" si="70"/>
        <v>29814347.590312488</v>
      </c>
      <c r="P125" s="60">
        <f t="shared" si="71"/>
        <v>31</v>
      </c>
      <c r="Q125" s="60">
        <f t="shared" si="38"/>
        <v>0</v>
      </c>
      <c r="R125" s="60">
        <f>ROUND(Q125*$P125*Input!$C$3/365,0)</f>
        <v>0</v>
      </c>
      <c r="S125" s="60">
        <f>IF(A125&lt;=Input!$C$6,0,IF('Unique Tenure'!O125&lt;'Unique Tenure'!Q125,'Unique Tenure'!O125-R125,'Unique Tenure'!Q125))</f>
        <v>0</v>
      </c>
      <c r="T125" s="60">
        <f t="shared" si="39"/>
        <v>0</v>
      </c>
      <c r="U125" s="60">
        <f t="shared" si="40"/>
        <v>0</v>
      </c>
      <c r="V125" s="193"/>
      <c r="W125" s="169">
        <v>121</v>
      </c>
      <c r="X125" s="1">
        <f t="shared" si="62"/>
        <v>49202</v>
      </c>
      <c r="Y125" s="60">
        <f>IF($X125&lt;Input!$H$58,IF($X125&lt;Input!$G$58,IF($X125&lt;Input!$F$58,IF($X125&lt;Input!$E$58,IF($X125&lt;Input!$D$58,Input!$C$64,Input!$D$64),Input!$E$64),Input!$F$64),Input!$G$64),Input!$H$64)</f>
        <v>0</v>
      </c>
      <c r="Z125" s="190">
        <f>IF($A125&lt;Input!$H$65,IF($A125&lt;Input!$G$65,IF($A125&lt;Input!$F$65,IF($A125&lt;Input!$E$65,IF($A125&lt;Input!$D$65,Input!$C$66,Input!$D$66),Input!$E$66),Input!$F$66),Input!$G$66),Input!$H$66)</f>
        <v>0.9</v>
      </c>
      <c r="AA125" s="60">
        <f t="shared" si="41"/>
        <v>0</v>
      </c>
      <c r="AB125" s="60">
        <f t="shared" si="63"/>
        <v>31</v>
      </c>
      <c r="AC125" s="60">
        <f t="shared" si="42"/>
        <v>0</v>
      </c>
      <c r="AD125" s="60">
        <f>ROUND(AC125*AB125*Input!$C$3/365,0)</f>
        <v>0</v>
      </c>
      <c r="AE125" s="61">
        <f>IF($A125&lt;=Input!$C$6,0,IF('Unique Tenure'!AA125&lt;'Unique Tenure'!AC125,'Unique Tenure'!AA125-AD125,'Unique Tenure'!AC125))</f>
        <v>0</v>
      </c>
      <c r="AF125" s="61">
        <f t="shared" si="43"/>
        <v>0</v>
      </c>
      <c r="AG125" s="60">
        <f t="shared" si="44"/>
        <v>0</v>
      </c>
      <c r="AH125" s="193"/>
      <c r="AI125" s="169">
        <v>121</v>
      </c>
      <c r="AJ125" s="1">
        <f t="shared" si="64"/>
        <v>49202</v>
      </c>
      <c r="AK125" s="60">
        <f>IF($X125&lt;Input!$H$73,IF($X125&lt;Input!$G$73,IF($X125&lt;Input!$F$73,IF($X125&lt;Input!$E$73,IF($X125&lt;Input!$D$73,Input!$C$79,Input!$D$79),Input!$E$79),Input!$F$79),Input!$G$79),Input!$H$79)</f>
        <v>0</v>
      </c>
      <c r="AL125" s="190">
        <f>IF($A125&lt;Input!$H$80,IF($A125&lt;Input!$G$80,IF($A125&lt;Input!$F$80,IF($A125&lt;Input!$E$80,IF($A125&lt;Input!$D$80,Input!$C$81,Input!$D$81),Input!$E$81),Input!$F$81),Input!$G$81),Input!$H$81)</f>
        <v>0.9</v>
      </c>
      <c r="AM125" s="60">
        <f t="shared" si="45"/>
        <v>0</v>
      </c>
      <c r="AN125" s="60">
        <f t="shared" si="65"/>
        <v>31</v>
      </c>
      <c r="AO125" s="60">
        <f t="shared" si="46"/>
        <v>0</v>
      </c>
      <c r="AP125" s="60">
        <f>ROUND(AO125*AN125*Input!$C$3/365,0)</f>
        <v>0</v>
      </c>
      <c r="AQ125" s="61">
        <f>IF($A125&lt;=Input!$C$6,0,IF('Unique Tenure'!AM125&lt;'Unique Tenure'!AO125,'Unique Tenure'!AM125-AP125,'Unique Tenure'!AO125))</f>
        <v>0</v>
      </c>
      <c r="AR125" s="61">
        <f t="shared" si="47"/>
        <v>0</v>
      </c>
      <c r="AS125" s="60">
        <f t="shared" si="48"/>
        <v>0</v>
      </c>
      <c r="AT125" s="193"/>
      <c r="AU125" s="169">
        <v>121</v>
      </c>
      <c r="AV125" s="1">
        <f t="shared" si="66"/>
        <v>49202</v>
      </c>
      <c r="AW125" s="60">
        <f>IF($X125&lt;Input!$H$88,IF($X125&lt;Input!$G$88,IF($X125&lt;Input!$F$88,IF($X125&lt;Input!$E$88,IF($X125&lt;Input!$D$88,Input!$C$94,Input!$D$94),Input!$E$94),Input!$F$94),Input!$G$94),Input!$H$94)</f>
        <v>0</v>
      </c>
      <c r="AX125" s="190">
        <f>IF($A125&lt;Input!$H$95,IF($A125&lt;Input!$G$95,IF($A125&lt;Input!$F$95,IF($A125&lt;Input!$E$95,IF($A125&lt;Input!$D$95,Input!$C$96,Input!$D$96),Input!$E$96),Input!$F$96),Input!$G$96),Input!$H$96)</f>
        <v>0.9</v>
      </c>
      <c r="AY125" s="60">
        <f t="shared" si="49"/>
        <v>0</v>
      </c>
      <c r="AZ125" s="60">
        <f t="shared" si="67"/>
        <v>31</v>
      </c>
      <c r="BA125" s="60">
        <f t="shared" si="50"/>
        <v>0</v>
      </c>
      <c r="BB125" s="60">
        <f>ROUND(BA125*AZ125*Input!$C$3/365,0)</f>
        <v>0</v>
      </c>
      <c r="BC125" s="61">
        <f>IF($A125&lt;=Input!$C$6,0,IF('Unique Tenure'!AY125&lt;'Unique Tenure'!BA125,'Unique Tenure'!AY125-BB125,'Unique Tenure'!BA125))</f>
        <v>0</v>
      </c>
      <c r="BD125" s="61">
        <f t="shared" si="51"/>
        <v>0</v>
      </c>
      <c r="BE125" s="60">
        <f t="shared" si="52"/>
        <v>0</v>
      </c>
      <c r="BF125" s="193"/>
      <c r="BG125" s="169">
        <v>121</v>
      </c>
      <c r="BH125" s="1">
        <f t="shared" si="68"/>
        <v>49202</v>
      </c>
      <c r="BI125" s="60">
        <f>IF($X125&lt;Input!$H$103,IF($X125&lt;Input!$G$103,IF($X125&lt;Input!$F$103,IF($X125&lt;Input!$E$103,IF($X125&lt;Input!$D$103,Input!$C$109,Input!$D$109),Input!$E$109),Input!$F$109),Input!$G$109),Input!$H$109)</f>
        <v>0</v>
      </c>
      <c r="BJ125" s="190">
        <f>IF($A125&lt;Input!$H$110,IF($A125&lt;Input!$G$110,IF($A125&lt;Input!$F$110,IF($A125&lt;Input!$E$110,IF($A125&lt;Input!$D$110,Input!$C$111,Input!$D$111),Input!$E$111),Input!$F$111),Input!$G$111),Input!$H$111)</f>
        <v>0.9</v>
      </c>
      <c r="BK125" s="60">
        <f t="shared" si="53"/>
        <v>0</v>
      </c>
      <c r="BL125" s="60">
        <f t="shared" si="69"/>
        <v>31</v>
      </c>
      <c r="BM125" s="60">
        <f t="shared" si="54"/>
        <v>0</v>
      </c>
      <c r="BN125" s="60">
        <f>ROUND(BM125*BL125*Input!$C$3/365,0)</f>
        <v>0</v>
      </c>
      <c r="BO125" s="61">
        <f>IF($A125&lt;=Input!$C$6,0,IF('Unique Tenure'!BK125&lt;'Unique Tenure'!BM125,'Unique Tenure'!BK125-BN125,'Unique Tenure'!BM125))</f>
        <v>0</v>
      </c>
      <c r="BP125" s="61">
        <f t="shared" si="55"/>
        <v>0</v>
      </c>
      <c r="BQ125" s="60">
        <f t="shared" si="56"/>
        <v>0</v>
      </c>
      <c r="BR125" s="198"/>
    </row>
    <row r="126" spans="1:70" s="51" customFormat="1" x14ac:dyDescent="0.25">
      <c r="A126" s="169">
        <v>122</v>
      </c>
      <c r="B126" s="1">
        <f t="shared" si="57"/>
        <v>49232</v>
      </c>
      <c r="C126" s="60">
        <f>SUM(
   IF(($A$4:$A$184 &lt;= Input!$D$16), M126, 0),
   IF(($A$4:$A$184 &lt;= Input!$E$16), Y126, 0),
   IF(($A$4:$A$184 &lt;= Input!$F$16), AK126, 0),
   IF(($A$4:$A$184 &lt;= Input!$G$16), AW126, 0),
   IF(($A$4:$A$184 &lt;= Input!$H$16), BI126, 0)
)</f>
        <v>33127052.878124986</v>
      </c>
      <c r="D126" s="60">
        <f>SUM(
   IF(($A$4:$A$184 &lt;= Input!$D$16), O126, 0),
   IF(($A$4:$A$184 &lt;= Input!$E$16), AA126, 0),
   IF(($A$4:$A$184 &lt;= Input!$F$16), AM126, 0),
   IF(($A$4:$A$184 &lt;= Input!$G$16), AY126, 0),
   IF(($A$4:$A$184 &lt;= Input!$H$16), BK126, 0)
)</f>
        <v>29814347.590312488</v>
      </c>
      <c r="E126" s="60">
        <f t="shared" si="58"/>
        <v>30</v>
      </c>
      <c r="F126" s="60">
        <f t="shared" si="59"/>
        <v>0</v>
      </c>
      <c r="G126" s="60">
        <f>ROUND(F126*E126*Input!$C$3/365,0)</f>
        <v>0</v>
      </c>
      <c r="H126" s="60">
        <f>IF($A126&lt;=Input!$C$6,0,IF('Unique Tenure'!D126&lt;'Unique Tenure'!F126,'Unique Tenure'!D126-G126,'Unique Tenure'!F126))</f>
        <v>0</v>
      </c>
      <c r="I126" s="60">
        <f t="shared" si="60"/>
        <v>0</v>
      </c>
      <c r="J126" s="60">
        <f t="shared" si="61"/>
        <v>0</v>
      </c>
      <c r="K126" s="202">
        <f>J126/Input!$K$5</f>
        <v>0</v>
      </c>
      <c r="L126" s="232"/>
      <c r="M126" s="60">
        <f>IF($B126&lt;Input!$H$43,IF($B126&lt;Input!$G$43,IF($B126&lt;Input!$F$43,IF($B126&lt;Input!$E$43,IF($B126&lt;Input!$D$43,Input!$C$49,Input!$D$49),Input!$E$49),Input!$F$49),Input!$G$49),Input!$H$49)</f>
        <v>33127052.878124986</v>
      </c>
      <c r="N126" s="190">
        <f>IF($A126&lt;Input!$H$50,IF($A126&lt;Input!$G$50,IF($A126&lt;Input!$F$50,IF($A126&lt;Input!$E$50,IF($A126&lt;Input!$D$50,Input!$C$51,Input!$D$51),Input!$E$51),Input!$F$51),Input!$G$51),Input!$H$51)</f>
        <v>0.9</v>
      </c>
      <c r="O126" s="60">
        <f t="shared" si="70"/>
        <v>29814347.590312488</v>
      </c>
      <c r="P126" s="60">
        <f t="shared" si="71"/>
        <v>30</v>
      </c>
      <c r="Q126" s="60">
        <f t="shared" si="38"/>
        <v>0</v>
      </c>
      <c r="R126" s="60">
        <f>ROUND(Q126*$P126*Input!$C$3/365,0)</f>
        <v>0</v>
      </c>
      <c r="S126" s="60">
        <f>IF(A126&lt;=Input!$C$6,0,IF('Unique Tenure'!O126&lt;'Unique Tenure'!Q126,'Unique Tenure'!O126-R126,'Unique Tenure'!Q126))</f>
        <v>0</v>
      </c>
      <c r="T126" s="60">
        <f t="shared" si="39"/>
        <v>0</v>
      </c>
      <c r="U126" s="60">
        <f t="shared" si="40"/>
        <v>0</v>
      </c>
      <c r="V126" s="193"/>
      <c r="W126" s="169">
        <v>122</v>
      </c>
      <c r="X126" s="1">
        <f t="shared" si="62"/>
        <v>49232</v>
      </c>
      <c r="Y126" s="60">
        <f>IF($X126&lt;Input!$H$58,IF($X126&lt;Input!$G$58,IF($X126&lt;Input!$F$58,IF($X126&lt;Input!$E$58,IF($X126&lt;Input!$D$58,Input!$C$64,Input!$D$64),Input!$E$64),Input!$F$64),Input!$G$64),Input!$H$64)</f>
        <v>0</v>
      </c>
      <c r="Z126" s="190">
        <f>IF($A126&lt;Input!$H$65,IF($A126&lt;Input!$G$65,IF($A126&lt;Input!$F$65,IF($A126&lt;Input!$E$65,IF($A126&lt;Input!$D$65,Input!$C$66,Input!$D$66),Input!$E$66),Input!$F$66),Input!$G$66),Input!$H$66)</f>
        <v>0.9</v>
      </c>
      <c r="AA126" s="60">
        <f t="shared" si="41"/>
        <v>0</v>
      </c>
      <c r="AB126" s="60">
        <f t="shared" si="63"/>
        <v>30</v>
      </c>
      <c r="AC126" s="60">
        <f t="shared" si="42"/>
        <v>0</v>
      </c>
      <c r="AD126" s="60">
        <f>ROUND(AC126*AB126*Input!$C$3/365,0)</f>
        <v>0</v>
      </c>
      <c r="AE126" s="61">
        <f>IF($A126&lt;=Input!$C$6,0,IF('Unique Tenure'!AA126&lt;'Unique Tenure'!AC126,'Unique Tenure'!AA126-AD126,'Unique Tenure'!AC126))</f>
        <v>0</v>
      </c>
      <c r="AF126" s="61">
        <f t="shared" si="43"/>
        <v>0</v>
      </c>
      <c r="AG126" s="60">
        <f t="shared" si="44"/>
        <v>0</v>
      </c>
      <c r="AH126" s="193"/>
      <c r="AI126" s="169">
        <v>122</v>
      </c>
      <c r="AJ126" s="1">
        <f t="shared" si="64"/>
        <v>49232</v>
      </c>
      <c r="AK126" s="60">
        <f>IF($X126&lt;Input!$H$73,IF($X126&lt;Input!$G$73,IF($X126&lt;Input!$F$73,IF($X126&lt;Input!$E$73,IF($X126&lt;Input!$D$73,Input!$C$79,Input!$D$79),Input!$E$79),Input!$F$79),Input!$G$79),Input!$H$79)</f>
        <v>0</v>
      </c>
      <c r="AL126" s="190">
        <f>IF($A126&lt;Input!$H$80,IF($A126&lt;Input!$G$80,IF($A126&lt;Input!$F$80,IF($A126&lt;Input!$E$80,IF($A126&lt;Input!$D$80,Input!$C$81,Input!$D$81),Input!$E$81),Input!$F$81),Input!$G$81),Input!$H$81)</f>
        <v>0.9</v>
      </c>
      <c r="AM126" s="60">
        <f t="shared" si="45"/>
        <v>0</v>
      </c>
      <c r="AN126" s="60">
        <f t="shared" si="65"/>
        <v>30</v>
      </c>
      <c r="AO126" s="60">
        <f t="shared" si="46"/>
        <v>0</v>
      </c>
      <c r="AP126" s="60">
        <f>ROUND(AO126*AN126*Input!$C$3/365,0)</f>
        <v>0</v>
      </c>
      <c r="AQ126" s="61">
        <f>IF($A126&lt;=Input!$C$6,0,IF('Unique Tenure'!AM126&lt;'Unique Tenure'!AO126,'Unique Tenure'!AM126-AP126,'Unique Tenure'!AO126))</f>
        <v>0</v>
      </c>
      <c r="AR126" s="61">
        <f t="shared" si="47"/>
        <v>0</v>
      </c>
      <c r="AS126" s="60">
        <f t="shared" si="48"/>
        <v>0</v>
      </c>
      <c r="AT126" s="193"/>
      <c r="AU126" s="169">
        <v>122</v>
      </c>
      <c r="AV126" s="1">
        <f t="shared" si="66"/>
        <v>49232</v>
      </c>
      <c r="AW126" s="60">
        <f>IF($X126&lt;Input!$H$88,IF($X126&lt;Input!$G$88,IF($X126&lt;Input!$F$88,IF($X126&lt;Input!$E$88,IF($X126&lt;Input!$D$88,Input!$C$94,Input!$D$94),Input!$E$94),Input!$F$94),Input!$G$94),Input!$H$94)</f>
        <v>0</v>
      </c>
      <c r="AX126" s="190">
        <f>IF($A126&lt;Input!$H$95,IF($A126&lt;Input!$G$95,IF($A126&lt;Input!$F$95,IF($A126&lt;Input!$E$95,IF($A126&lt;Input!$D$95,Input!$C$96,Input!$D$96),Input!$E$96),Input!$F$96),Input!$G$96),Input!$H$96)</f>
        <v>0.9</v>
      </c>
      <c r="AY126" s="60">
        <f t="shared" si="49"/>
        <v>0</v>
      </c>
      <c r="AZ126" s="60">
        <f t="shared" si="67"/>
        <v>30</v>
      </c>
      <c r="BA126" s="60">
        <f t="shared" si="50"/>
        <v>0</v>
      </c>
      <c r="BB126" s="60">
        <f>ROUND(BA126*AZ126*Input!$C$3/365,0)</f>
        <v>0</v>
      </c>
      <c r="BC126" s="61">
        <f>IF($A126&lt;=Input!$C$6,0,IF('Unique Tenure'!AY126&lt;'Unique Tenure'!BA126,'Unique Tenure'!AY126-BB126,'Unique Tenure'!BA126))</f>
        <v>0</v>
      </c>
      <c r="BD126" s="61">
        <f t="shared" si="51"/>
        <v>0</v>
      </c>
      <c r="BE126" s="60">
        <f t="shared" si="52"/>
        <v>0</v>
      </c>
      <c r="BF126" s="193"/>
      <c r="BG126" s="169">
        <v>122</v>
      </c>
      <c r="BH126" s="1">
        <f t="shared" si="68"/>
        <v>49232</v>
      </c>
      <c r="BI126" s="60">
        <f>IF($X126&lt;Input!$H$103,IF($X126&lt;Input!$G$103,IF($X126&lt;Input!$F$103,IF($X126&lt;Input!$E$103,IF($X126&lt;Input!$D$103,Input!$C$109,Input!$D$109),Input!$E$109),Input!$F$109),Input!$G$109),Input!$H$109)</f>
        <v>0</v>
      </c>
      <c r="BJ126" s="190">
        <f>IF($A126&lt;Input!$H$110,IF($A126&lt;Input!$G$110,IF($A126&lt;Input!$F$110,IF($A126&lt;Input!$E$110,IF($A126&lt;Input!$D$110,Input!$C$111,Input!$D$111),Input!$E$111),Input!$F$111),Input!$G$111),Input!$H$111)</f>
        <v>0.9</v>
      </c>
      <c r="BK126" s="60">
        <f t="shared" si="53"/>
        <v>0</v>
      </c>
      <c r="BL126" s="60">
        <f t="shared" si="69"/>
        <v>30</v>
      </c>
      <c r="BM126" s="60">
        <f t="shared" si="54"/>
        <v>0</v>
      </c>
      <c r="BN126" s="60">
        <f>ROUND(BM126*BL126*Input!$C$3/365,0)</f>
        <v>0</v>
      </c>
      <c r="BO126" s="61">
        <f>IF($A126&lt;=Input!$C$6,0,IF('Unique Tenure'!BK126&lt;'Unique Tenure'!BM126,'Unique Tenure'!BK126-BN126,'Unique Tenure'!BM126))</f>
        <v>0</v>
      </c>
      <c r="BP126" s="61">
        <f t="shared" si="55"/>
        <v>0</v>
      </c>
      <c r="BQ126" s="60">
        <f t="shared" si="56"/>
        <v>0</v>
      </c>
      <c r="BR126" s="198"/>
    </row>
    <row r="127" spans="1:70" s="51" customFormat="1" x14ac:dyDescent="0.25">
      <c r="A127" s="169">
        <v>123</v>
      </c>
      <c r="B127" s="1">
        <f t="shared" si="57"/>
        <v>49263</v>
      </c>
      <c r="C127" s="60">
        <f>SUM(
   IF(($A$4:$A$184 &lt;= Input!$D$16), M127, 0),
   IF(($A$4:$A$184 &lt;= Input!$E$16), Y127, 0),
   IF(($A$4:$A$184 &lt;= Input!$F$16), AK127, 0),
   IF(($A$4:$A$184 &lt;= Input!$G$16), AW127, 0),
   IF(($A$4:$A$184 &lt;= Input!$H$16), BI127, 0)
)</f>
        <v>33127052.878124986</v>
      </c>
      <c r="D127" s="60">
        <f>SUM(
   IF(($A$4:$A$184 &lt;= Input!$D$16), O127, 0),
   IF(($A$4:$A$184 &lt;= Input!$E$16), AA127, 0),
   IF(($A$4:$A$184 &lt;= Input!$F$16), AM127, 0),
   IF(($A$4:$A$184 &lt;= Input!$G$16), AY127, 0),
   IF(($A$4:$A$184 &lt;= Input!$H$16), BK127, 0)
)</f>
        <v>29814347.590312488</v>
      </c>
      <c r="E127" s="60">
        <f t="shared" si="58"/>
        <v>31</v>
      </c>
      <c r="F127" s="60">
        <f t="shared" si="59"/>
        <v>0</v>
      </c>
      <c r="G127" s="60">
        <f>ROUND(F127*E127*Input!$C$3/365,0)</f>
        <v>0</v>
      </c>
      <c r="H127" s="60">
        <f>IF($A127&lt;=Input!$C$6,0,IF('Unique Tenure'!D127&lt;'Unique Tenure'!F127,'Unique Tenure'!D127-G127,'Unique Tenure'!F127))</f>
        <v>0</v>
      </c>
      <c r="I127" s="60">
        <f t="shared" si="60"/>
        <v>0</v>
      </c>
      <c r="J127" s="60">
        <f t="shared" si="61"/>
        <v>0</v>
      </c>
      <c r="K127" s="202">
        <f>J127/Input!$K$5</f>
        <v>0</v>
      </c>
      <c r="L127" s="232"/>
      <c r="M127" s="60">
        <f>IF($B127&lt;Input!$H$43,IF($B127&lt;Input!$G$43,IF($B127&lt;Input!$F$43,IF($B127&lt;Input!$E$43,IF($B127&lt;Input!$D$43,Input!$C$49,Input!$D$49),Input!$E$49),Input!$F$49),Input!$G$49),Input!$H$49)</f>
        <v>33127052.878124986</v>
      </c>
      <c r="N127" s="190">
        <f>IF($A127&lt;Input!$H$50,IF($A127&lt;Input!$G$50,IF($A127&lt;Input!$F$50,IF($A127&lt;Input!$E$50,IF($A127&lt;Input!$D$50,Input!$C$51,Input!$D$51),Input!$E$51),Input!$F$51),Input!$G$51),Input!$H$51)</f>
        <v>0.9</v>
      </c>
      <c r="O127" s="60">
        <f t="shared" si="70"/>
        <v>29814347.590312488</v>
      </c>
      <c r="P127" s="60">
        <f t="shared" si="71"/>
        <v>31</v>
      </c>
      <c r="Q127" s="60">
        <f t="shared" si="38"/>
        <v>0</v>
      </c>
      <c r="R127" s="60">
        <f>ROUND(Q127*$P127*Input!$C$3/365,0)</f>
        <v>0</v>
      </c>
      <c r="S127" s="60">
        <f>IF(A127&lt;=Input!$C$6,0,IF('Unique Tenure'!O127&lt;'Unique Tenure'!Q127,'Unique Tenure'!O127-R127,'Unique Tenure'!Q127))</f>
        <v>0</v>
      </c>
      <c r="T127" s="60">
        <f t="shared" si="39"/>
        <v>0</v>
      </c>
      <c r="U127" s="60">
        <f t="shared" si="40"/>
        <v>0</v>
      </c>
      <c r="V127" s="193"/>
      <c r="W127" s="169">
        <v>123</v>
      </c>
      <c r="X127" s="1">
        <f t="shared" si="62"/>
        <v>49263</v>
      </c>
      <c r="Y127" s="60">
        <f>IF($X127&lt;Input!$H$58,IF($X127&lt;Input!$G$58,IF($X127&lt;Input!$F$58,IF($X127&lt;Input!$E$58,IF($X127&lt;Input!$D$58,Input!$C$64,Input!$D$64),Input!$E$64),Input!$F$64),Input!$G$64),Input!$H$64)</f>
        <v>0</v>
      </c>
      <c r="Z127" s="190">
        <f>IF($A127&lt;Input!$H$65,IF($A127&lt;Input!$G$65,IF($A127&lt;Input!$F$65,IF($A127&lt;Input!$E$65,IF($A127&lt;Input!$D$65,Input!$C$66,Input!$D$66),Input!$E$66),Input!$F$66),Input!$G$66),Input!$H$66)</f>
        <v>0.9</v>
      </c>
      <c r="AA127" s="60">
        <f t="shared" si="41"/>
        <v>0</v>
      </c>
      <c r="AB127" s="60">
        <f t="shared" si="63"/>
        <v>31</v>
      </c>
      <c r="AC127" s="60">
        <f t="shared" si="42"/>
        <v>0</v>
      </c>
      <c r="AD127" s="60">
        <f>ROUND(AC127*AB127*Input!$C$3/365,0)</f>
        <v>0</v>
      </c>
      <c r="AE127" s="61">
        <f>IF($A127&lt;=Input!$C$6,0,IF('Unique Tenure'!AA127&lt;'Unique Tenure'!AC127,'Unique Tenure'!AA127-AD127,'Unique Tenure'!AC127))</f>
        <v>0</v>
      </c>
      <c r="AF127" s="61">
        <f t="shared" si="43"/>
        <v>0</v>
      </c>
      <c r="AG127" s="60">
        <f t="shared" si="44"/>
        <v>0</v>
      </c>
      <c r="AH127" s="193"/>
      <c r="AI127" s="169">
        <v>123</v>
      </c>
      <c r="AJ127" s="1">
        <f t="shared" si="64"/>
        <v>49263</v>
      </c>
      <c r="AK127" s="60">
        <f>IF($X127&lt;Input!$H$73,IF($X127&lt;Input!$G$73,IF($X127&lt;Input!$F$73,IF($X127&lt;Input!$E$73,IF($X127&lt;Input!$D$73,Input!$C$79,Input!$D$79),Input!$E$79),Input!$F$79),Input!$G$79),Input!$H$79)</f>
        <v>0</v>
      </c>
      <c r="AL127" s="190">
        <f>IF($A127&lt;Input!$H$80,IF($A127&lt;Input!$G$80,IF($A127&lt;Input!$F$80,IF($A127&lt;Input!$E$80,IF($A127&lt;Input!$D$80,Input!$C$81,Input!$D$81),Input!$E$81),Input!$F$81),Input!$G$81),Input!$H$81)</f>
        <v>0.9</v>
      </c>
      <c r="AM127" s="60">
        <f t="shared" si="45"/>
        <v>0</v>
      </c>
      <c r="AN127" s="60">
        <f t="shared" si="65"/>
        <v>31</v>
      </c>
      <c r="AO127" s="60">
        <f t="shared" si="46"/>
        <v>0</v>
      </c>
      <c r="AP127" s="60">
        <f>ROUND(AO127*AN127*Input!$C$3/365,0)</f>
        <v>0</v>
      </c>
      <c r="AQ127" s="61">
        <f>IF($A127&lt;=Input!$C$6,0,IF('Unique Tenure'!AM127&lt;'Unique Tenure'!AO127,'Unique Tenure'!AM127-AP127,'Unique Tenure'!AO127))</f>
        <v>0</v>
      </c>
      <c r="AR127" s="61">
        <f t="shared" si="47"/>
        <v>0</v>
      </c>
      <c r="AS127" s="60">
        <f t="shared" si="48"/>
        <v>0</v>
      </c>
      <c r="AT127" s="193"/>
      <c r="AU127" s="169">
        <v>123</v>
      </c>
      <c r="AV127" s="1">
        <f t="shared" si="66"/>
        <v>49263</v>
      </c>
      <c r="AW127" s="60">
        <f>IF($X127&lt;Input!$H$88,IF($X127&lt;Input!$G$88,IF($X127&lt;Input!$F$88,IF($X127&lt;Input!$E$88,IF($X127&lt;Input!$D$88,Input!$C$94,Input!$D$94),Input!$E$94),Input!$F$94),Input!$G$94),Input!$H$94)</f>
        <v>0</v>
      </c>
      <c r="AX127" s="190">
        <f>IF($A127&lt;Input!$H$95,IF($A127&lt;Input!$G$95,IF($A127&lt;Input!$F$95,IF($A127&lt;Input!$E$95,IF($A127&lt;Input!$D$95,Input!$C$96,Input!$D$96),Input!$E$96),Input!$F$96),Input!$G$96),Input!$H$96)</f>
        <v>0.9</v>
      </c>
      <c r="AY127" s="60">
        <f t="shared" si="49"/>
        <v>0</v>
      </c>
      <c r="AZ127" s="60">
        <f t="shared" si="67"/>
        <v>31</v>
      </c>
      <c r="BA127" s="60">
        <f t="shared" si="50"/>
        <v>0</v>
      </c>
      <c r="BB127" s="60">
        <f>ROUND(BA127*AZ127*Input!$C$3/365,0)</f>
        <v>0</v>
      </c>
      <c r="BC127" s="61">
        <f>IF($A127&lt;=Input!$C$6,0,IF('Unique Tenure'!AY127&lt;'Unique Tenure'!BA127,'Unique Tenure'!AY127-BB127,'Unique Tenure'!BA127))</f>
        <v>0</v>
      </c>
      <c r="BD127" s="61">
        <f t="shared" si="51"/>
        <v>0</v>
      </c>
      <c r="BE127" s="60">
        <f t="shared" si="52"/>
        <v>0</v>
      </c>
      <c r="BF127" s="193"/>
      <c r="BG127" s="169">
        <v>123</v>
      </c>
      <c r="BH127" s="1">
        <f t="shared" si="68"/>
        <v>49263</v>
      </c>
      <c r="BI127" s="60">
        <f>IF($X127&lt;Input!$H$103,IF($X127&lt;Input!$G$103,IF($X127&lt;Input!$F$103,IF($X127&lt;Input!$E$103,IF($X127&lt;Input!$D$103,Input!$C$109,Input!$D$109),Input!$E$109),Input!$F$109),Input!$G$109),Input!$H$109)</f>
        <v>0</v>
      </c>
      <c r="BJ127" s="190">
        <f>IF($A127&lt;Input!$H$110,IF($A127&lt;Input!$G$110,IF($A127&lt;Input!$F$110,IF($A127&lt;Input!$E$110,IF($A127&lt;Input!$D$110,Input!$C$111,Input!$D$111),Input!$E$111),Input!$F$111),Input!$G$111),Input!$H$111)</f>
        <v>0.9</v>
      </c>
      <c r="BK127" s="60">
        <f t="shared" si="53"/>
        <v>0</v>
      </c>
      <c r="BL127" s="60">
        <f t="shared" si="69"/>
        <v>31</v>
      </c>
      <c r="BM127" s="60">
        <f t="shared" si="54"/>
        <v>0</v>
      </c>
      <c r="BN127" s="60">
        <f>ROUND(BM127*BL127*Input!$C$3/365,0)</f>
        <v>0</v>
      </c>
      <c r="BO127" s="61">
        <f>IF($A127&lt;=Input!$C$6,0,IF('Unique Tenure'!BK127&lt;'Unique Tenure'!BM127,'Unique Tenure'!BK127-BN127,'Unique Tenure'!BM127))</f>
        <v>0</v>
      </c>
      <c r="BP127" s="61">
        <f t="shared" si="55"/>
        <v>0</v>
      </c>
      <c r="BQ127" s="60">
        <f t="shared" si="56"/>
        <v>0</v>
      </c>
      <c r="BR127" s="198"/>
    </row>
    <row r="128" spans="1:70" s="51" customFormat="1" x14ac:dyDescent="0.25">
      <c r="A128" s="169">
        <v>124</v>
      </c>
      <c r="B128" s="1">
        <f t="shared" si="57"/>
        <v>49293</v>
      </c>
      <c r="C128" s="60">
        <f>SUM(
   IF(($A$4:$A$184 &lt;= Input!$D$16), M128, 0),
   IF(($A$4:$A$184 &lt;= Input!$E$16), Y128, 0),
   IF(($A$4:$A$184 &lt;= Input!$F$16), AK128, 0),
   IF(($A$4:$A$184 &lt;= Input!$G$16), AW128, 0),
   IF(($A$4:$A$184 &lt;= Input!$H$16), BI128, 0)
)</f>
        <v>33127052.878124986</v>
      </c>
      <c r="D128" s="60">
        <f>SUM(
   IF(($A$4:$A$184 &lt;= Input!$D$16), O128, 0),
   IF(($A$4:$A$184 &lt;= Input!$E$16), AA128, 0),
   IF(($A$4:$A$184 &lt;= Input!$F$16), AM128, 0),
   IF(($A$4:$A$184 &lt;= Input!$G$16), AY128, 0),
   IF(($A$4:$A$184 &lt;= Input!$H$16), BK128, 0)
)</f>
        <v>29814347.590312488</v>
      </c>
      <c r="E128" s="60">
        <f t="shared" si="58"/>
        <v>30</v>
      </c>
      <c r="F128" s="60">
        <f t="shared" si="59"/>
        <v>0</v>
      </c>
      <c r="G128" s="60">
        <f>ROUND(F128*E128*Input!$C$3/365,0)</f>
        <v>0</v>
      </c>
      <c r="H128" s="60">
        <f>IF($A128&lt;=Input!$C$6,0,IF('Unique Tenure'!D128&lt;'Unique Tenure'!F128,'Unique Tenure'!D128-G128,'Unique Tenure'!F128))</f>
        <v>0</v>
      </c>
      <c r="I128" s="60">
        <f t="shared" si="60"/>
        <v>0</v>
      </c>
      <c r="J128" s="60">
        <f t="shared" si="61"/>
        <v>0</v>
      </c>
      <c r="K128" s="202">
        <f>J128/Input!$K$5</f>
        <v>0</v>
      </c>
      <c r="L128" s="232"/>
      <c r="M128" s="60">
        <f>IF($B128&lt;Input!$H$43,IF($B128&lt;Input!$G$43,IF($B128&lt;Input!$F$43,IF($B128&lt;Input!$E$43,IF($B128&lt;Input!$D$43,Input!$C$49,Input!$D$49),Input!$E$49),Input!$F$49),Input!$G$49),Input!$H$49)</f>
        <v>33127052.878124986</v>
      </c>
      <c r="N128" s="190">
        <f>IF($A128&lt;Input!$H$50,IF($A128&lt;Input!$G$50,IF($A128&lt;Input!$F$50,IF($A128&lt;Input!$E$50,IF($A128&lt;Input!$D$50,Input!$C$51,Input!$D$51),Input!$E$51),Input!$F$51),Input!$G$51),Input!$H$51)</f>
        <v>0.9</v>
      </c>
      <c r="O128" s="60">
        <f t="shared" si="70"/>
        <v>29814347.590312488</v>
      </c>
      <c r="P128" s="60">
        <f t="shared" si="71"/>
        <v>30</v>
      </c>
      <c r="Q128" s="60">
        <f t="shared" si="38"/>
        <v>0</v>
      </c>
      <c r="R128" s="60">
        <f>ROUND(Q128*$P128*Input!$C$3/365,0)</f>
        <v>0</v>
      </c>
      <c r="S128" s="60">
        <f>IF(A128&lt;=Input!$C$6,0,IF('Unique Tenure'!O128&lt;'Unique Tenure'!Q128,'Unique Tenure'!O128-R128,'Unique Tenure'!Q128))</f>
        <v>0</v>
      </c>
      <c r="T128" s="60">
        <f t="shared" si="39"/>
        <v>0</v>
      </c>
      <c r="U128" s="60">
        <f t="shared" si="40"/>
        <v>0</v>
      </c>
      <c r="V128" s="193"/>
      <c r="W128" s="169">
        <v>124</v>
      </c>
      <c r="X128" s="1">
        <f t="shared" si="62"/>
        <v>49293</v>
      </c>
      <c r="Y128" s="60">
        <f>IF($X128&lt;Input!$H$58,IF($X128&lt;Input!$G$58,IF($X128&lt;Input!$F$58,IF($X128&lt;Input!$E$58,IF($X128&lt;Input!$D$58,Input!$C$64,Input!$D$64),Input!$E$64),Input!$F$64),Input!$G$64),Input!$H$64)</f>
        <v>0</v>
      </c>
      <c r="Z128" s="190">
        <f>IF($A128&lt;Input!$H$65,IF($A128&lt;Input!$G$65,IF($A128&lt;Input!$F$65,IF($A128&lt;Input!$E$65,IF($A128&lt;Input!$D$65,Input!$C$66,Input!$D$66),Input!$E$66),Input!$F$66),Input!$G$66),Input!$H$66)</f>
        <v>0.9</v>
      </c>
      <c r="AA128" s="60">
        <f t="shared" si="41"/>
        <v>0</v>
      </c>
      <c r="AB128" s="60">
        <f t="shared" si="63"/>
        <v>30</v>
      </c>
      <c r="AC128" s="60">
        <f t="shared" si="42"/>
        <v>0</v>
      </c>
      <c r="AD128" s="60">
        <f>ROUND(AC128*AB128*Input!$C$3/365,0)</f>
        <v>0</v>
      </c>
      <c r="AE128" s="61">
        <f>IF($A128&lt;=Input!$C$6,0,IF('Unique Tenure'!AA128&lt;'Unique Tenure'!AC128,'Unique Tenure'!AA128-AD128,'Unique Tenure'!AC128))</f>
        <v>0</v>
      </c>
      <c r="AF128" s="61">
        <f t="shared" si="43"/>
        <v>0</v>
      </c>
      <c r="AG128" s="60">
        <f t="shared" si="44"/>
        <v>0</v>
      </c>
      <c r="AH128" s="193"/>
      <c r="AI128" s="169">
        <v>124</v>
      </c>
      <c r="AJ128" s="1">
        <f t="shared" si="64"/>
        <v>49293</v>
      </c>
      <c r="AK128" s="60">
        <f>IF($X128&lt;Input!$H$73,IF($X128&lt;Input!$G$73,IF($X128&lt;Input!$F$73,IF($X128&lt;Input!$E$73,IF($X128&lt;Input!$D$73,Input!$C$79,Input!$D$79),Input!$E$79),Input!$F$79),Input!$G$79),Input!$H$79)</f>
        <v>0</v>
      </c>
      <c r="AL128" s="190">
        <f>IF($A128&lt;Input!$H$80,IF($A128&lt;Input!$G$80,IF($A128&lt;Input!$F$80,IF($A128&lt;Input!$E$80,IF($A128&lt;Input!$D$80,Input!$C$81,Input!$D$81),Input!$E$81),Input!$F$81),Input!$G$81),Input!$H$81)</f>
        <v>0.9</v>
      </c>
      <c r="AM128" s="60">
        <f t="shared" si="45"/>
        <v>0</v>
      </c>
      <c r="AN128" s="60">
        <f t="shared" si="65"/>
        <v>30</v>
      </c>
      <c r="AO128" s="60">
        <f t="shared" si="46"/>
        <v>0</v>
      </c>
      <c r="AP128" s="60">
        <f>ROUND(AO128*AN128*Input!$C$3/365,0)</f>
        <v>0</v>
      </c>
      <c r="AQ128" s="61">
        <f>IF($A128&lt;=Input!$C$6,0,IF('Unique Tenure'!AM128&lt;'Unique Tenure'!AO128,'Unique Tenure'!AM128-AP128,'Unique Tenure'!AO128))</f>
        <v>0</v>
      </c>
      <c r="AR128" s="61">
        <f t="shared" si="47"/>
        <v>0</v>
      </c>
      <c r="AS128" s="60">
        <f t="shared" si="48"/>
        <v>0</v>
      </c>
      <c r="AT128" s="193"/>
      <c r="AU128" s="169">
        <v>124</v>
      </c>
      <c r="AV128" s="1">
        <f t="shared" si="66"/>
        <v>49293</v>
      </c>
      <c r="AW128" s="60">
        <f>IF($X128&lt;Input!$H$88,IF($X128&lt;Input!$G$88,IF($X128&lt;Input!$F$88,IF($X128&lt;Input!$E$88,IF($X128&lt;Input!$D$88,Input!$C$94,Input!$D$94),Input!$E$94),Input!$F$94),Input!$G$94),Input!$H$94)</f>
        <v>0</v>
      </c>
      <c r="AX128" s="190">
        <f>IF($A128&lt;Input!$H$95,IF($A128&lt;Input!$G$95,IF($A128&lt;Input!$F$95,IF($A128&lt;Input!$E$95,IF($A128&lt;Input!$D$95,Input!$C$96,Input!$D$96),Input!$E$96),Input!$F$96),Input!$G$96),Input!$H$96)</f>
        <v>0.9</v>
      </c>
      <c r="AY128" s="60">
        <f t="shared" si="49"/>
        <v>0</v>
      </c>
      <c r="AZ128" s="60">
        <f t="shared" si="67"/>
        <v>30</v>
      </c>
      <c r="BA128" s="60">
        <f t="shared" si="50"/>
        <v>0</v>
      </c>
      <c r="BB128" s="60">
        <f>ROUND(BA128*AZ128*Input!$C$3/365,0)</f>
        <v>0</v>
      </c>
      <c r="BC128" s="61">
        <f>IF($A128&lt;=Input!$C$6,0,IF('Unique Tenure'!AY128&lt;'Unique Tenure'!BA128,'Unique Tenure'!AY128-BB128,'Unique Tenure'!BA128))</f>
        <v>0</v>
      </c>
      <c r="BD128" s="61">
        <f t="shared" si="51"/>
        <v>0</v>
      </c>
      <c r="BE128" s="60">
        <f t="shared" si="52"/>
        <v>0</v>
      </c>
      <c r="BF128" s="193"/>
      <c r="BG128" s="169">
        <v>124</v>
      </c>
      <c r="BH128" s="1">
        <f t="shared" si="68"/>
        <v>49293</v>
      </c>
      <c r="BI128" s="60">
        <f>IF($X128&lt;Input!$H$103,IF($X128&lt;Input!$G$103,IF($X128&lt;Input!$F$103,IF($X128&lt;Input!$E$103,IF($X128&lt;Input!$D$103,Input!$C$109,Input!$D$109),Input!$E$109),Input!$F$109),Input!$G$109),Input!$H$109)</f>
        <v>0</v>
      </c>
      <c r="BJ128" s="190">
        <f>IF($A128&lt;Input!$H$110,IF($A128&lt;Input!$G$110,IF($A128&lt;Input!$F$110,IF($A128&lt;Input!$E$110,IF($A128&lt;Input!$D$110,Input!$C$111,Input!$D$111),Input!$E$111),Input!$F$111),Input!$G$111),Input!$H$111)</f>
        <v>0.9</v>
      </c>
      <c r="BK128" s="60">
        <f t="shared" si="53"/>
        <v>0</v>
      </c>
      <c r="BL128" s="60">
        <f t="shared" si="69"/>
        <v>30</v>
      </c>
      <c r="BM128" s="60">
        <f t="shared" si="54"/>
        <v>0</v>
      </c>
      <c r="BN128" s="60">
        <f>ROUND(BM128*BL128*Input!$C$3/365,0)</f>
        <v>0</v>
      </c>
      <c r="BO128" s="61">
        <f>IF($A128&lt;=Input!$C$6,0,IF('Unique Tenure'!BK128&lt;'Unique Tenure'!BM128,'Unique Tenure'!BK128-BN128,'Unique Tenure'!BM128))</f>
        <v>0</v>
      </c>
      <c r="BP128" s="61">
        <f t="shared" si="55"/>
        <v>0</v>
      </c>
      <c r="BQ128" s="60">
        <f t="shared" si="56"/>
        <v>0</v>
      </c>
      <c r="BR128" s="198"/>
    </row>
    <row r="129" spans="1:70" s="51" customFormat="1" x14ac:dyDescent="0.25">
      <c r="A129" s="169">
        <v>125</v>
      </c>
      <c r="B129" s="1">
        <f t="shared" si="57"/>
        <v>49324</v>
      </c>
      <c r="C129" s="60">
        <f>SUM(
   IF(($A$4:$A$184 &lt;= Input!$D$16), M129, 0),
   IF(($A$4:$A$184 &lt;= Input!$E$16), Y129, 0),
   IF(($A$4:$A$184 &lt;= Input!$F$16), AK129, 0),
   IF(($A$4:$A$184 &lt;= Input!$G$16), AW129, 0),
   IF(($A$4:$A$184 &lt;= Input!$H$16), BI129, 0)
)</f>
        <v>33127052.878124986</v>
      </c>
      <c r="D129" s="60">
        <f>SUM(
   IF(($A$4:$A$184 &lt;= Input!$D$16), O129, 0),
   IF(($A$4:$A$184 &lt;= Input!$E$16), AA129, 0),
   IF(($A$4:$A$184 &lt;= Input!$F$16), AM129, 0),
   IF(($A$4:$A$184 &lt;= Input!$G$16), AY129, 0),
   IF(($A$4:$A$184 &lt;= Input!$H$16), BK129, 0)
)</f>
        <v>29814347.590312488</v>
      </c>
      <c r="E129" s="60">
        <f t="shared" si="58"/>
        <v>31</v>
      </c>
      <c r="F129" s="60">
        <f t="shared" si="59"/>
        <v>0</v>
      </c>
      <c r="G129" s="60">
        <f>ROUND(F129*E129*Input!$C$3/365,0)</f>
        <v>0</v>
      </c>
      <c r="H129" s="60">
        <f>IF($A129&lt;=Input!$C$6,0,IF('Unique Tenure'!D129&lt;'Unique Tenure'!F129,'Unique Tenure'!D129-G129,'Unique Tenure'!F129))</f>
        <v>0</v>
      </c>
      <c r="I129" s="60">
        <f t="shared" si="60"/>
        <v>0</v>
      </c>
      <c r="J129" s="60">
        <f t="shared" si="61"/>
        <v>0</v>
      </c>
      <c r="K129" s="202">
        <f>J129/Input!$K$5</f>
        <v>0</v>
      </c>
      <c r="L129" s="232"/>
      <c r="M129" s="60">
        <f>IF($B129&lt;Input!$H$43,IF($B129&lt;Input!$G$43,IF($B129&lt;Input!$F$43,IF($B129&lt;Input!$E$43,IF($B129&lt;Input!$D$43,Input!$C$49,Input!$D$49),Input!$E$49),Input!$F$49),Input!$G$49),Input!$H$49)</f>
        <v>33127052.878124986</v>
      </c>
      <c r="N129" s="190">
        <f>IF($A129&lt;Input!$H$50,IF($A129&lt;Input!$G$50,IF($A129&lt;Input!$F$50,IF($A129&lt;Input!$E$50,IF($A129&lt;Input!$D$50,Input!$C$51,Input!$D$51),Input!$E$51),Input!$F$51),Input!$G$51),Input!$H$51)</f>
        <v>0.9</v>
      </c>
      <c r="O129" s="60">
        <f t="shared" si="70"/>
        <v>29814347.590312488</v>
      </c>
      <c r="P129" s="60">
        <f t="shared" si="71"/>
        <v>31</v>
      </c>
      <c r="Q129" s="60">
        <f t="shared" si="38"/>
        <v>0</v>
      </c>
      <c r="R129" s="60">
        <f>ROUND(Q129*$P129*Input!$C$3/365,0)</f>
        <v>0</v>
      </c>
      <c r="S129" s="60">
        <f>IF(A129&lt;=Input!$C$6,0,IF('Unique Tenure'!O129&lt;'Unique Tenure'!Q129,'Unique Tenure'!O129-R129,'Unique Tenure'!Q129))</f>
        <v>0</v>
      </c>
      <c r="T129" s="60">
        <f t="shared" si="39"/>
        <v>0</v>
      </c>
      <c r="U129" s="60">
        <f t="shared" si="40"/>
        <v>0</v>
      </c>
      <c r="V129" s="193"/>
      <c r="W129" s="169">
        <v>125</v>
      </c>
      <c r="X129" s="1">
        <f t="shared" si="62"/>
        <v>49324</v>
      </c>
      <c r="Y129" s="60">
        <f>IF($X129&lt;Input!$H$58,IF($X129&lt;Input!$G$58,IF($X129&lt;Input!$F$58,IF($X129&lt;Input!$E$58,IF($X129&lt;Input!$D$58,Input!$C$64,Input!$D$64),Input!$E$64),Input!$F$64),Input!$G$64),Input!$H$64)</f>
        <v>0</v>
      </c>
      <c r="Z129" s="190">
        <f>IF($A129&lt;Input!$H$65,IF($A129&lt;Input!$G$65,IF($A129&lt;Input!$F$65,IF($A129&lt;Input!$E$65,IF($A129&lt;Input!$D$65,Input!$C$66,Input!$D$66),Input!$E$66),Input!$F$66),Input!$G$66),Input!$H$66)</f>
        <v>0.9</v>
      </c>
      <c r="AA129" s="60">
        <f t="shared" si="41"/>
        <v>0</v>
      </c>
      <c r="AB129" s="60">
        <f t="shared" si="63"/>
        <v>31</v>
      </c>
      <c r="AC129" s="60">
        <f t="shared" si="42"/>
        <v>0</v>
      </c>
      <c r="AD129" s="60">
        <f>ROUND(AC129*AB129*Input!$C$3/365,0)</f>
        <v>0</v>
      </c>
      <c r="AE129" s="61">
        <f>IF($A129&lt;=Input!$C$6,0,IF('Unique Tenure'!AA129&lt;'Unique Tenure'!AC129,'Unique Tenure'!AA129-AD129,'Unique Tenure'!AC129))</f>
        <v>0</v>
      </c>
      <c r="AF129" s="61">
        <f t="shared" si="43"/>
        <v>0</v>
      </c>
      <c r="AG129" s="60">
        <f t="shared" si="44"/>
        <v>0</v>
      </c>
      <c r="AH129" s="193"/>
      <c r="AI129" s="169">
        <v>125</v>
      </c>
      <c r="AJ129" s="1">
        <f t="shared" si="64"/>
        <v>49324</v>
      </c>
      <c r="AK129" s="60">
        <f>IF($X129&lt;Input!$H$73,IF($X129&lt;Input!$G$73,IF($X129&lt;Input!$F$73,IF($X129&lt;Input!$E$73,IF($X129&lt;Input!$D$73,Input!$C$79,Input!$D$79),Input!$E$79),Input!$F$79),Input!$G$79),Input!$H$79)</f>
        <v>0</v>
      </c>
      <c r="AL129" s="190">
        <f>IF($A129&lt;Input!$H$80,IF($A129&lt;Input!$G$80,IF($A129&lt;Input!$F$80,IF($A129&lt;Input!$E$80,IF($A129&lt;Input!$D$80,Input!$C$81,Input!$D$81),Input!$E$81),Input!$F$81),Input!$G$81),Input!$H$81)</f>
        <v>0.9</v>
      </c>
      <c r="AM129" s="60">
        <f t="shared" si="45"/>
        <v>0</v>
      </c>
      <c r="AN129" s="60">
        <f t="shared" si="65"/>
        <v>31</v>
      </c>
      <c r="AO129" s="60">
        <f t="shared" si="46"/>
        <v>0</v>
      </c>
      <c r="AP129" s="60">
        <f>ROUND(AO129*AN129*Input!$C$3/365,0)</f>
        <v>0</v>
      </c>
      <c r="AQ129" s="61">
        <f>IF($A129&lt;=Input!$C$6,0,IF('Unique Tenure'!AM129&lt;'Unique Tenure'!AO129,'Unique Tenure'!AM129-AP129,'Unique Tenure'!AO129))</f>
        <v>0</v>
      </c>
      <c r="AR129" s="61">
        <f t="shared" si="47"/>
        <v>0</v>
      </c>
      <c r="AS129" s="60">
        <f t="shared" si="48"/>
        <v>0</v>
      </c>
      <c r="AT129" s="193"/>
      <c r="AU129" s="169">
        <v>125</v>
      </c>
      <c r="AV129" s="1">
        <f t="shared" si="66"/>
        <v>49324</v>
      </c>
      <c r="AW129" s="60">
        <f>IF($X129&lt;Input!$H$88,IF($X129&lt;Input!$G$88,IF($X129&lt;Input!$F$88,IF($X129&lt;Input!$E$88,IF($X129&lt;Input!$D$88,Input!$C$94,Input!$D$94),Input!$E$94),Input!$F$94),Input!$G$94),Input!$H$94)</f>
        <v>0</v>
      </c>
      <c r="AX129" s="190">
        <f>IF($A129&lt;Input!$H$95,IF($A129&lt;Input!$G$95,IF($A129&lt;Input!$F$95,IF($A129&lt;Input!$E$95,IF($A129&lt;Input!$D$95,Input!$C$96,Input!$D$96),Input!$E$96),Input!$F$96),Input!$G$96),Input!$H$96)</f>
        <v>0.9</v>
      </c>
      <c r="AY129" s="60">
        <f t="shared" si="49"/>
        <v>0</v>
      </c>
      <c r="AZ129" s="60">
        <f t="shared" si="67"/>
        <v>31</v>
      </c>
      <c r="BA129" s="60">
        <f t="shared" si="50"/>
        <v>0</v>
      </c>
      <c r="BB129" s="60">
        <f>ROUND(BA129*AZ129*Input!$C$3/365,0)</f>
        <v>0</v>
      </c>
      <c r="BC129" s="61">
        <f>IF($A129&lt;=Input!$C$6,0,IF('Unique Tenure'!AY129&lt;'Unique Tenure'!BA129,'Unique Tenure'!AY129-BB129,'Unique Tenure'!BA129))</f>
        <v>0</v>
      </c>
      <c r="BD129" s="61">
        <f t="shared" si="51"/>
        <v>0</v>
      </c>
      <c r="BE129" s="60">
        <f t="shared" si="52"/>
        <v>0</v>
      </c>
      <c r="BF129" s="193"/>
      <c r="BG129" s="169">
        <v>125</v>
      </c>
      <c r="BH129" s="1">
        <f t="shared" si="68"/>
        <v>49324</v>
      </c>
      <c r="BI129" s="60">
        <f>IF($X129&lt;Input!$H$103,IF($X129&lt;Input!$G$103,IF($X129&lt;Input!$F$103,IF($X129&lt;Input!$E$103,IF($X129&lt;Input!$D$103,Input!$C$109,Input!$D$109),Input!$E$109),Input!$F$109),Input!$G$109),Input!$H$109)</f>
        <v>0</v>
      </c>
      <c r="BJ129" s="190">
        <f>IF($A129&lt;Input!$H$110,IF($A129&lt;Input!$G$110,IF($A129&lt;Input!$F$110,IF($A129&lt;Input!$E$110,IF($A129&lt;Input!$D$110,Input!$C$111,Input!$D$111),Input!$E$111),Input!$F$111),Input!$G$111),Input!$H$111)</f>
        <v>0.9</v>
      </c>
      <c r="BK129" s="60">
        <f t="shared" si="53"/>
        <v>0</v>
      </c>
      <c r="BL129" s="60">
        <f t="shared" si="69"/>
        <v>31</v>
      </c>
      <c r="BM129" s="60">
        <f t="shared" si="54"/>
        <v>0</v>
      </c>
      <c r="BN129" s="60">
        <f>ROUND(BM129*BL129*Input!$C$3/365,0)</f>
        <v>0</v>
      </c>
      <c r="BO129" s="61">
        <f>IF($A129&lt;=Input!$C$6,0,IF('Unique Tenure'!BK129&lt;'Unique Tenure'!BM129,'Unique Tenure'!BK129-BN129,'Unique Tenure'!BM129))</f>
        <v>0</v>
      </c>
      <c r="BP129" s="61">
        <f t="shared" si="55"/>
        <v>0</v>
      </c>
      <c r="BQ129" s="60">
        <f t="shared" si="56"/>
        <v>0</v>
      </c>
      <c r="BR129" s="198"/>
    </row>
    <row r="130" spans="1:70" s="51" customFormat="1" x14ac:dyDescent="0.25">
      <c r="A130" s="169">
        <v>126</v>
      </c>
      <c r="B130" s="1">
        <f t="shared" si="57"/>
        <v>49355</v>
      </c>
      <c r="C130" s="60">
        <f>SUM(
   IF(($A$4:$A$184 &lt;= Input!$D$16), M130, 0),
   IF(($A$4:$A$184 &lt;= Input!$E$16), Y130, 0),
   IF(($A$4:$A$184 &lt;= Input!$F$16), AK130, 0),
   IF(($A$4:$A$184 &lt;= Input!$G$16), AW130, 0),
   IF(($A$4:$A$184 &lt;= Input!$H$16), BI130, 0)
)</f>
        <v>33127052.878124986</v>
      </c>
      <c r="D130" s="60">
        <f>SUM(
   IF(($A$4:$A$184 &lt;= Input!$D$16), O130, 0),
   IF(($A$4:$A$184 &lt;= Input!$E$16), AA130, 0),
   IF(($A$4:$A$184 &lt;= Input!$F$16), AM130, 0),
   IF(($A$4:$A$184 &lt;= Input!$G$16), AY130, 0),
   IF(($A$4:$A$184 &lt;= Input!$H$16), BK130, 0)
)</f>
        <v>29814347.590312488</v>
      </c>
      <c r="E130" s="60">
        <f t="shared" si="58"/>
        <v>31</v>
      </c>
      <c r="F130" s="60">
        <f t="shared" si="59"/>
        <v>0</v>
      </c>
      <c r="G130" s="60">
        <f>ROUND(F130*E130*Input!$C$3/365,0)</f>
        <v>0</v>
      </c>
      <c r="H130" s="60">
        <f>IF($A130&lt;=Input!$C$6,0,IF('Unique Tenure'!D130&lt;'Unique Tenure'!F130,'Unique Tenure'!D130-G130,'Unique Tenure'!F130))</f>
        <v>0</v>
      </c>
      <c r="I130" s="60">
        <f t="shared" si="60"/>
        <v>0</v>
      </c>
      <c r="J130" s="60">
        <f t="shared" si="61"/>
        <v>0</v>
      </c>
      <c r="K130" s="202">
        <f>J130/Input!$K$5</f>
        <v>0</v>
      </c>
      <c r="L130" s="232"/>
      <c r="M130" s="60">
        <f>IF($B130&lt;Input!$H$43,IF($B130&lt;Input!$G$43,IF($B130&lt;Input!$F$43,IF($B130&lt;Input!$E$43,IF($B130&lt;Input!$D$43,Input!$C$49,Input!$D$49),Input!$E$49),Input!$F$49),Input!$G$49),Input!$H$49)</f>
        <v>33127052.878124986</v>
      </c>
      <c r="N130" s="190">
        <f>IF($A130&lt;Input!$H$50,IF($A130&lt;Input!$G$50,IF($A130&lt;Input!$F$50,IF($A130&lt;Input!$E$50,IF($A130&lt;Input!$D$50,Input!$C$51,Input!$D$51),Input!$E$51),Input!$F$51),Input!$G$51),Input!$H$51)</f>
        <v>0.9</v>
      </c>
      <c r="O130" s="60">
        <f t="shared" si="70"/>
        <v>29814347.590312488</v>
      </c>
      <c r="P130" s="60">
        <f t="shared" si="71"/>
        <v>31</v>
      </c>
      <c r="Q130" s="60">
        <f t="shared" si="38"/>
        <v>0</v>
      </c>
      <c r="R130" s="60">
        <f>ROUND(Q130*$P130*Input!$C$3/365,0)</f>
        <v>0</v>
      </c>
      <c r="S130" s="60">
        <f>IF(A130&lt;=Input!$C$6,0,IF('Unique Tenure'!O130&lt;'Unique Tenure'!Q130,'Unique Tenure'!O130-R130,'Unique Tenure'!Q130))</f>
        <v>0</v>
      </c>
      <c r="T130" s="60">
        <f t="shared" si="39"/>
        <v>0</v>
      </c>
      <c r="U130" s="60">
        <f t="shared" si="40"/>
        <v>0</v>
      </c>
      <c r="V130" s="193"/>
      <c r="W130" s="169">
        <v>126</v>
      </c>
      <c r="X130" s="1">
        <f t="shared" si="62"/>
        <v>49355</v>
      </c>
      <c r="Y130" s="60">
        <f>IF($X130&lt;Input!$H$58,IF($X130&lt;Input!$G$58,IF($X130&lt;Input!$F$58,IF($X130&lt;Input!$E$58,IF($X130&lt;Input!$D$58,Input!$C$64,Input!$D$64),Input!$E$64),Input!$F$64),Input!$G$64),Input!$H$64)</f>
        <v>0</v>
      </c>
      <c r="Z130" s="190">
        <f>IF($A130&lt;Input!$H$65,IF($A130&lt;Input!$G$65,IF($A130&lt;Input!$F$65,IF($A130&lt;Input!$E$65,IF($A130&lt;Input!$D$65,Input!$C$66,Input!$D$66),Input!$E$66),Input!$F$66),Input!$G$66),Input!$H$66)</f>
        <v>0.9</v>
      </c>
      <c r="AA130" s="60">
        <f t="shared" si="41"/>
        <v>0</v>
      </c>
      <c r="AB130" s="60">
        <f t="shared" si="63"/>
        <v>31</v>
      </c>
      <c r="AC130" s="60">
        <f t="shared" si="42"/>
        <v>0</v>
      </c>
      <c r="AD130" s="60">
        <f>ROUND(AC130*AB130*Input!$C$3/365,0)</f>
        <v>0</v>
      </c>
      <c r="AE130" s="61">
        <f>IF($A130&lt;=Input!$C$6,0,IF('Unique Tenure'!AA130&lt;'Unique Tenure'!AC130,'Unique Tenure'!AA130-AD130,'Unique Tenure'!AC130))</f>
        <v>0</v>
      </c>
      <c r="AF130" s="61">
        <f t="shared" si="43"/>
        <v>0</v>
      </c>
      <c r="AG130" s="60">
        <f t="shared" si="44"/>
        <v>0</v>
      </c>
      <c r="AH130" s="193"/>
      <c r="AI130" s="169">
        <v>126</v>
      </c>
      <c r="AJ130" s="1">
        <f t="shared" si="64"/>
        <v>49355</v>
      </c>
      <c r="AK130" s="60">
        <f>IF($X130&lt;Input!$H$73,IF($X130&lt;Input!$G$73,IF($X130&lt;Input!$F$73,IF($X130&lt;Input!$E$73,IF($X130&lt;Input!$D$73,Input!$C$79,Input!$D$79),Input!$E$79),Input!$F$79),Input!$G$79),Input!$H$79)</f>
        <v>0</v>
      </c>
      <c r="AL130" s="190">
        <f>IF($A130&lt;Input!$H$80,IF($A130&lt;Input!$G$80,IF($A130&lt;Input!$F$80,IF($A130&lt;Input!$E$80,IF($A130&lt;Input!$D$80,Input!$C$81,Input!$D$81),Input!$E$81),Input!$F$81),Input!$G$81),Input!$H$81)</f>
        <v>0.9</v>
      </c>
      <c r="AM130" s="60">
        <f t="shared" si="45"/>
        <v>0</v>
      </c>
      <c r="AN130" s="60">
        <f t="shared" si="65"/>
        <v>31</v>
      </c>
      <c r="AO130" s="60">
        <f t="shared" si="46"/>
        <v>0</v>
      </c>
      <c r="AP130" s="60">
        <f>ROUND(AO130*AN130*Input!$C$3/365,0)</f>
        <v>0</v>
      </c>
      <c r="AQ130" s="61">
        <f>IF($A130&lt;=Input!$C$6,0,IF('Unique Tenure'!AM130&lt;'Unique Tenure'!AO130,'Unique Tenure'!AM130-AP130,'Unique Tenure'!AO130))</f>
        <v>0</v>
      </c>
      <c r="AR130" s="61">
        <f t="shared" si="47"/>
        <v>0</v>
      </c>
      <c r="AS130" s="60">
        <f t="shared" si="48"/>
        <v>0</v>
      </c>
      <c r="AT130" s="193"/>
      <c r="AU130" s="169">
        <v>126</v>
      </c>
      <c r="AV130" s="1">
        <f t="shared" si="66"/>
        <v>49355</v>
      </c>
      <c r="AW130" s="60">
        <f>IF($X130&lt;Input!$H$88,IF($X130&lt;Input!$G$88,IF($X130&lt;Input!$F$88,IF($X130&lt;Input!$E$88,IF($X130&lt;Input!$D$88,Input!$C$94,Input!$D$94),Input!$E$94),Input!$F$94),Input!$G$94),Input!$H$94)</f>
        <v>0</v>
      </c>
      <c r="AX130" s="190">
        <f>IF($A130&lt;Input!$H$95,IF($A130&lt;Input!$G$95,IF($A130&lt;Input!$F$95,IF($A130&lt;Input!$E$95,IF($A130&lt;Input!$D$95,Input!$C$96,Input!$D$96),Input!$E$96),Input!$F$96),Input!$G$96),Input!$H$96)</f>
        <v>0.9</v>
      </c>
      <c r="AY130" s="60">
        <f t="shared" si="49"/>
        <v>0</v>
      </c>
      <c r="AZ130" s="60">
        <f t="shared" si="67"/>
        <v>31</v>
      </c>
      <c r="BA130" s="60">
        <f t="shared" si="50"/>
        <v>0</v>
      </c>
      <c r="BB130" s="60">
        <f>ROUND(BA130*AZ130*Input!$C$3/365,0)</f>
        <v>0</v>
      </c>
      <c r="BC130" s="61">
        <f>IF($A130&lt;=Input!$C$6,0,IF('Unique Tenure'!AY130&lt;'Unique Tenure'!BA130,'Unique Tenure'!AY130-BB130,'Unique Tenure'!BA130))</f>
        <v>0</v>
      </c>
      <c r="BD130" s="61">
        <f t="shared" si="51"/>
        <v>0</v>
      </c>
      <c r="BE130" s="60">
        <f t="shared" si="52"/>
        <v>0</v>
      </c>
      <c r="BF130" s="193"/>
      <c r="BG130" s="169">
        <v>126</v>
      </c>
      <c r="BH130" s="1">
        <f t="shared" si="68"/>
        <v>49355</v>
      </c>
      <c r="BI130" s="60">
        <f>IF($X130&lt;Input!$H$103,IF($X130&lt;Input!$G$103,IF($X130&lt;Input!$F$103,IF($X130&lt;Input!$E$103,IF($X130&lt;Input!$D$103,Input!$C$109,Input!$D$109),Input!$E$109),Input!$F$109),Input!$G$109),Input!$H$109)</f>
        <v>0</v>
      </c>
      <c r="BJ130" s="190">
        <f>IF($A130&lt;Input!$H$110,IF($A130&lt;Input!$G$110,IF($A130&lt;Input!$F$110,IF($A130&lt;Input!$E$110,IF($A130&lt;Input!$D$110,Input!$C$111,Input!$D$111),Input!$E$111),Input!$F$111),Input!$G$111),Input!$H$111)</f>
        <v>0.9</v>
      </c>
      <c r="BK130" s="60">
        <f t="shared" si="53"/>
        <v>0</v>
      </c>
      <c r="BL130" s="60">
        <f t="shared" si="69"/>
        <v>31</v>
      </c>
      <c r="BM130" s="60">
        <f t="shared" si="54"/>
        <v>0</v>
      </c>
      <c r="BN130" s="60">
        <f>ROUND(BM130*BL130*Input!$C$3/365,0)</f>
        <v>0</v>
      </c>
      <c r="BO130" s="61">
        <f>IF($A130&lt;=Input!$C$6,0,IF('Unique Tenure'!BK130&lt;'Unique Tenure'!BM130,'Unique Tenure'!BK130-BN130,'Unique Tenure'!BM130))</f>
        <v>0</v>
      </c>
      <c r="BP130" s="61">
        <f t="shared" si="55"/>
        <v>0</v>
      </c>
      <c r="BQ130" s="60">
        <f t="shared" si="56"/>
        <v>0</v>
      </c>
      <c r="BR130" s="198"/>
    </row>
    <row r="131" spans="1:70" s="51" customFormat="1" x14ac:dyDescent="0.25">
      <c r="A131" s="169">
        <v>127</v>
      </c>
      <c r="B131" s="1">
        <f t="shared" si="57"/>
        <v>49383</v>
      </c>
      <c r="C131" s="60">
        <f>SUM(
   IF(($A$4:$A$184 &lt;= Input!$D$16), M131, 0),
   IF(($A$4:$A$184 &lt;= Input!$E$16), Y131, 0),
   IF(($A$4:$A$184 &lt;= Input!$F$16), AK131, 0),
   IF(($A$4:$A$184 &lt;= Input!$G$16), AW131, 0),
   IF(($A$4:$A$184 &lt;= Input!$H$16), BI131, 0)
)</f>
        <v>33127052.878124986</v>
      </c>
      <c r="D131" s="60">
        <f>SUM(
   IF(($A$4:$A$184 &lt;= Input!$D$16), O131, 0),
   IF(($A$4:$A$184 &lt;= Input!$E$16), AA131, 0),
   IF(($A$4:$A$184 &lt;= Input!$F$16), AM131, 0),
   IF(($A$4:$A$184 &lt;= Input!$G$16), AY131, 0),
   IF(($A$4:$A$184 &lt;= Input!$H$16), BK131, 0)
)</f>
        <v>29814347.590312488</v>
      </c>
      <c r="E131" s="60">
        <f t="shared" si="58"/>
        <v>28</v>
      </c>
      <c r="F131" s="60">
        <f t="shared" si="59"/>
        <v>0</v>
      </c>
      <c r="G131" s="60">
        <f>ROUND(F131*E131*Input!$C$3/365,0)</f>
        <v>0</v>
      </c>
      <c r="H131" s="60">
        <f>IF($A131&lt;=Input!$C$6,0,IF('Unique Tenure'!D131&lt;'Unique Tenure'!F131,'Unique Tenure'!D131-G131,'Unique Tenure'!F131))</f>
        <v>0</v>
      </c>
      <c r="I131" s="60">
        <f t="shared" si="60"/>
        <v>0</v>
      </c>
      <c r="J131" s="60">
        <f t="shared" si="61"/>
        <v>0</v>
      </c>
      <c r="K131" s="202">
        <f>J131/Input!$K$5</f>
        <v>0</v>
      </c>
      <c r="L131" s="232"/>
      <c r="M131" s="60">
        <f>IF($B131&lt;Input!$H$43,IF($B131&lt;Input!$G$43,IF($B131&lt;Input!$F$43,IF($B131&lt;Input!$E$43,IF($B131&lt;Input!$D$43,Input!$C$49,Input!$D$49),Input!$E$49),Input!$F$49),Input!$G$49),Input!$H$49)</f>
        <v>33127052.878124986</v>
      </c>
      <c r="N131" s="190">
        <f>IF($A131&lt;Input!$H$50,IF($A131&lt;Input!$G$50,IF($A131&lt;Input!$F$50,IF($A131&lt;Input!$E$50,IF($A131&lt;Input!$D$50,Input!$C$51,Input!$D$51),Input!$E$51),Input!$F$51),Input!$G$51),Input!$H$51)</f>
        <v>0.9</v>
      </c>
      <c r="O131" s="60">
        <f t="shared" si="70"/>
        <v>29814347.590312488</v>
      </c>
      <c r="P131" s="60">
        <f t="shared" si="71"/>
        <v>28</v>
      </c>
      <c r="Q131" s="60">
        <f t="shared" si="38"/>
        <v>0</v>
      </c>
      <c r="R131" s="60">
        <f>ROUND(Q131*$P131*Input!$C$3/365,0)</f>
        <v>0</v>
      </c>
      <c r="S131" s="60">
        <f>IF(A131&lt;=Input!$C$6,0,IF('Unique Tenure'!O131&lt;'Unique Tenure'!Q131,'Unique Tenure'!O131-R131,'Unique Tenure'!Q131))</f>
        <v>0</v>
      </c>
      <c r="T131" s="60">
        <f t="shared" si="39"/>
        <v>0</v>
      </c>
      <c r="U131" s="60">
        <f t="shared" si="40"/>
        <v>0</v>
      </c>
      <c r="V131" s="193"/>
      <c r="W131" s="169">
        <v>127</v>
      </c>
      <c r="X131" s="1">
        <f t="shared" si="62"/>
        <v>49383</v>
      </c>
      <c r="Y131" s="60">
        <f>IF($X131&lt;Input!$H$58,IF($X131&lt;Input!$G$58,IF($X131&lt;Input!$F$58,IF($X131&lt;Input!$E$58,IF($X131&lt;Input!$D$58,Input!$C$64,Input!$D$64),Input!$E$64),Input!$F$64),Input!$G$64),Input!$H$64)</f>
        <v>0</v>
      </c>
      <c r="Z131" s="190">
        <f>IF($A131&lt;Input!$H$65,IF($A131&lt;Input!$G$65,IF($A131&lt;Input!$F$65,IF($A131&lt;Input!$E$65,IF($A131&lt;Input!$D$65,Input!$C$66,Input!$D$66),Input!$E$66),Input!$F$66),Input!$G$66),Input!$H$66)</f>
        <v>0.9</v>
      </c>
      <c r="AA131" s="60">
        <f t="shared" si="41"/>
        <v>0</v>
      </c>
      <c r="AB131" s="60">
        <f t="shared" si="63"/>
        <v>28</v>
      </c>
      <c r="AC131" s="60">
        <f t="shared" si="42"/>
        <v>0</v>
      </c>
      <c r="AD131" s="60">
        <f>ROUND(AC131*AB131*Input!$C$3/365,0)</f>
        <v>0</v>
      </c>
      <c r="AE131" s="61">
        <f>IF($A131&lt;=Input!$C$6,0,IF('Unique Tenure'!AA131&lt;'Unique Tenure'!AC131,'Unique Tenure'!AA131-AD131,'Unique Tenure'!AC131))</f>
        <v>0</v>
      </c>
      <c r="AF131" s="61">
        <f t="shared" si="43"/>
        <v>0</v>
      </c>
      <c r="AG131" s="60">
        <f t="shared" si="44"/>
        <v>0</v>
      </c>
      <c r="AH131" s="193"/>
      <c r="AI131" s="169">
        <v>127</v>
      </c>
      <c r="AJ131" s="1">
        <f t="shared" si="64"/>
        <v>49383</v>
      </c>
      <c r="AK131" s="60">
        <f>IF($X131&lt;Input!$H$73,IF($X131&lt;Input!$G$73,IF($X131&lt;Input!$F$73,IF($X131&lt;Input!$E$73,IF($X131&lt;Input!$D$73,Input!$C$79,Input!$D$79),Input!$E$79),Input!$F$79),Input!$G$79),Input!$H$79)</f>
        <v>0</v>
      </c>
      <c r="AL131" s="190">
        <f>IF($A131&lt;Input!$H$80,IF($A131&lt;Input!$G$80,IF($A131&lt;Input!$F$80,IF($A131&lt;Input!$E$80,IF($A131&lt;Input!$D$80,Input!$C$81,Input!$D$81),Input!$E$81),Input!$F$81),Input!$G$81),Input!$H$81)</f>
        <v>0.9</v>
      </c>
      <c r="AM131" s="60">
        <f t="shared" si="45"/>
        <v>0</v>
      </c>
      <c r="AN131" s="60">
        <f t="shared" si="65"/>
        <v>28</v>
      </c>
      <c r="AO131" s="60">
        <f t="shared" si="46"/>
        <v>0</v>
      </c>
      <c r="AP131" s="60">
        <f>ROUND(AO131*AN131*Input!$C$3/365,0)</f>
        <v>0</v>
      </c>
      <c r="AQ131" s="61">
        <f>IF($A131&lt;=Input!$C$6,0,IF('Unique Tenure'!AM131&lt;'Unique Tenure'!AO131,'Unique Tenure'!AM131-AP131,'Unique Tenure'!AO131))</f>
        <v>0</v>
      </c>
      <c r="AR131" s="61">
        <f t="shared" si="47"/>
        <v>0</v>
      </c>
      <c r="AS131" s="60">
        <f t="shared" si="48"/>
        <v>0</v>
      </c>
      <c r="AT131" s="193"/>
      <c r="AU131" s="169">
        <v>127</v>
      </c>
      <c r="AV131" s="1">
        <f t="shared" si="66"/>
        <v>49383</v>
      </c>
      <c r="AW131" s="60">
        <f>IF($X131&lt;Input!$H$88,IF($X131&lt;Input!$G$88,IF($X131&lt;Input!$F$88,IF($X131&lt;Input!$E$88,IF($X131&lt;Input!$D$88,Input!$C$94,Input!$D$94),Input!$E$94),Input!$F$94),Input!$G$94),Input!$H$94)</f>
        <v>0</v>
      </c>
      <c r="AX131" s="190">
        <f>IF($A131&lt;Input!$H$95,IF($A131&lt;Input!$G$95,IF($A131&lt;Input!$F$95,IF($A131&lt;Input!$E$95,IF($A131&lt;Input!$D$95,Input!$C$96,Input!$D$96),Input!$E$96),Input!$F$96),Input!$G$96),Input!$H$96)</f>
        <v>0.9</v>
      </c>
      <c r="AY131" s="60">
        <f t="shared" si="49"/>
        <v>0</v>
      </c>
      <c r="AZ131" s="60">
        <f t="shared" si="67"/>
        <v>28</v>
      </c>
      <c r="BA131" s="60">
        <f t="shared" si="50"/>
        <v>0</v>
      </c>
      <c r="BB131" s="60">
        <f>ROUND(BA131*AZ131*Input!$C$3/365,0)</f>
        <v>0</v>
      </c>
      <c r="BC131" s="61">
        <f>IF($A131&lt;=Input!$C$6,0,IF('Unique Tenure'!AY131&lt;'Unique Tenure'!BA131,'Unique Tenure'!AY131-BB131,'Unique Tenure'!BA131))</f>
        <v>0</v>
      </c>
      <c r="BD131" s="61">
        <f t="shared" si="51"/>
        <v>0</v>
      </c>
      <c r="BE131" s="60">
        <f t="shared" si="52"/>
        <v>0</v>
      </c>
      <c r="BF131" s="193"/>
      <c r="BG131" s="169">
        <v>127</v>
      </c>
      <c r="BH131" s="1">
        <f t="shared" si="68"/>
        <v>49383</v>
      </c>
      <c r="BI131" s="60">
        <f>IF($X131&lt;Input!$H$103,IF($X131&lt;Input!$G$103,IF($X131&lt;Input!$F$103,IF($X131&lt;Input!$E$103,IF($X131&lt;Input!$D$103,Input!$C$109,Input!$D$109),Input!$E$109),Input!$F$109),Input!$G$109),Input!$H$109)</f>
        <v>0</v>
      </c>
      <c r="BJ131" s="190">
        <f>IF($A131&lt;Input!$H$110,IF($A131&lt;Input!$G$110,IF($A131&lt;Input!$F$110,IF($A131&lt;Input!$E$110,IF($A131&lt;Input!$D$110,Input!$C$111,Input!$D$111),Input!$E$111),Input!$F$111),Input!$G$111),Input!$H$111)</f>
        <v>0.9</v>
      </c>
      <c r="BK131" s="60">
        <f t="shared" si="53"/>
        <v>0</v>
      </c>
      <c r="BL131" s="60">
        <f t="shared" si="69"/>
        <v>28</v>
      </c>
      <c r="BM131" s="60">
        <f t="shared" si="54"/>
        <v>0</v>
      </c>
      <c r="BN131" s="60">
        <f>ROUND(BM131*BL131*Input!$C$3/365,0)</f>
        <v>0</v>
      </c>
      <c r="BO131" s="61">
        <f>IF($A131&lt;=Input!$C$6,0,IF('Unique Tenure'!BK131&lt;'Unique Tenure'!BM131,'Unique Tenure'!BK131-BN131,'Unique Tenure'!BM131))</f>
        <v>0</v>
      </c>
      <c r="BP131" s="61">
        <f t="shared" si="55"/>
        <v>0</v>
      </c>
      <c r="BQ131" s="60">
        <f t="shared" si="56"/>
        <v>0</v>
      </c>
      <c r="BR131" s="198"/>
    </row>
    <row r="132" spans="1:70" s="51" customFormat="1" x14ac:dyDescent="0.25">
      <c r="A132" s="169">
        <v>128</v>
      </c>
      <c r="B132" s="1">
        <f t="shared" si="57"/>
        <v>49414</v>
      </c>
      <c r="C132" s="60">
        <f>SUM(
   IF(($A$4:$A$184 &lt;= Input!$D$16), M132, 0),
   IF(($A$4:$A$184 &lt;= Input!$E$16), Y132, 0),
   IF(($A$4:$A$184 &lt;= Input!$F$16), AK132, 0),
   IF(($A$4:$A$184 &lt;= Input!$G$16), AW132, 0),
   IF(($A$4:$A$184 &lt;= Input!$H$16), BI132, 0)
)</f>
        <v>33127052.878124986</v>
      </c>
      <c r="D132" s="60">
        <f>SUM(
   IF(($A$4:$A$184 &lt;= Input!$D$16), O132, 0),
   IF(($A$4:$A$184 &lt;= Input!$E$16), AA132, 0),
   IF(($A$4:$A$184 &lt;= Input!$F$16), AM132, 0),
   IF(($A$4:$A$184 &lt;= Input!$G$16), AY132, 0),
   IF(($A$4:$A$184 &lt;= Input!$H$16), BK132, 0)
)</f>
        <v>29814347.590312488</v>
      </c>
      <c r="E132" s="60">
        <f t="shared" si="58"/>
        <v>31</v>
      </c>
      <c r="F132" s="60">
        <f t="shared" si="59"/>
        <v>0</v>
      </c>
      <c r="G132" s="60">
        <f>ROUND(F132*E132*Input!$C$3/365,0)</f>
        <v>0</v>
      </c>
      <c r="H132" s="60">
        <f>IF($A132&lt;=Input!$C$6,0,IF('Unique Tenure'!D132&lt;'Unique Tenure'!F132,'Unique Tenure'!D132-G132,'Unique Tenure'!F132))</f>
        <v>0</v>
      </c>
      <c r="I132" s="60">
        <f t="shared" si="60"/>
        <v>0</v>
      </c>
      <c r="J132" s="60">
        <f t="shared" si="61"/>
        <v>0</v>
      </c>
      <c r="K132" s="202">
        <f>J132/Input!$K$5</f>
        <v>0</v>
      </c>
      <c r="L132" s="232"/>
      <c r="M132" s="60">
        <f>IF($B132&lt;Input!$H$43,IF($B132&lt;Input!$G$43,IF($B132&lt;Input!$F$43,IF($B132&lt;Input!$E$43,IF($B132&lt;Input!$D$43,Input!$C$49,Input!$D$49),Input!$E$49),Input!$F$49),Input!$G$49),Input!$H$49)</f>
        <v>33127052.878124986</v>
      </c>
      <c r="N132" s="190">
        <f>IF($A132&lt;Input!$H$50,IF($A132&lt;Input!$G$50,IF($A132&lt;Input!$F$50,IF($A132&lt;Input!$E$50,IF($A132&lt;Input!$D$50,Input!$C$51,Input!$D$51),Input!$E$51),Input!$F$51),Input!$G$51),Input!$H$51)</f>
        <v>0.9</v>
      </c>
      <c r="O132" s="60">
        <f t="shared" ref="O132:O163" si="72">M132*N132</f>
        <v>29814347.590312488</v>
      </c>
      <c r="P132" s="60">
        <f t="shared" si="71"/>
        <v>31</v>
      </c>
      <c r="Q132" s="60">
        <f t="shared" si="38"/>
        <v>0</v>
      </c>
      <c r="R132" s="60">
        <f>ROUND(Q132*$P132*Input!$C$3/365,0)</f>
        <v>0</v>
      </c>
      <c r="S132" s="60">
        <f>IF(A132&lt;=Input!$C$6,0,IF('Unique Tenure'!O132&lt;'Unique Tenure'!Q132,'Unique Tenure'!O132-R132,'Unique Tenure'!Q132))</f>
        <v>0</v>
      </c>
      <c r="T132" s="60">
        <f t="shared" si="39"/>
        <v>0</v>
      </c>
      <c r="U132" s="60">
        <f t="shared" si="40"/>
        <v>0</v>
      </c>
      <c r="V132" s="193"/>
      <c r="W132" s="169">
        <v>128</v>
      </c>
      <c r="X132" s="1">
        <f t="shared" si="62"/>
        <v>49414</v>
      </c>
      <c r="Y132" s="60">
        <f>IF($X132&lt;Input!$H$58,IF($X132&lt;Input!$G$58,IF($X132&lt;Input!$F$58,IF($X132&lt;Input!$E$58,IF($X132&lt;Input!$D$58,Input!$C$64,Input!$D$64),Input!$E$64),Input!$F$64),Input!$G$64),Input!$H$64)</f>
        <v>0</v>
      </c>
      <c r="Z132" s="190">
        <f>IF($A132&lt;Input!$H$65,IF($A132&lt;Input!$G$65,IF($A132&lt;Input!$F$65,IF($A132&lt;Input!$E$65,IF($A132&lt;Input!$D$65,Input!$C$66,Input!$D$66),Input!$E$66),Input!$F$66),Input!$G$66),Input!$H$66)</f>
        <v>0.9</v>
      </c>
      <c r="AA132" s="60">
        <f t="shared" si="41"/>
        <v>0</v>
      </c>
      <c r="AB132" s="60">
        <f t="shared" si="63"/>
        <v>31</v>
      </c>
      <c r="AC132" s="60">
        <f t="shared" si="42"/>
        <v>0</v>
      </c>
      <c r="AD132" s="60">
        <f>ROUND(AC132*AB132*Input!$C$3/365,0)</f>
        <v>0</v>
      </c>
      <c r="AE132" s="61">
        <f>IF($A132&lt;=Input!$C$6,0,IF('Unique Tenure'!AA132&lt;'Unique Tenure'!AC132,'Unique Tenure'!AA132-AD132,'Unique Tenure'!AC132))</f>
        <v>0</v>
      </c>
      <c r="AF132" s="61">
        <f t="shared" si="43"/>
        <v>0</v>
      </c>
      <c r="AG132" s="60">
        <f t="shared" si="44"/>
        <v>0</v>
      </c>
      <c r="AH132" s="193"/>
      <c r="AI132" s="169">
        <v>128</v>
      </c>
      <c r="AJ132" s="1">
        <f t="shared" si="64"/>
        <v>49414</v>
      </c>
      <c r="AK132" s="60">
        <f>IF($X132&lt;Input!$H$73,IF($X132&lt;Input!$G$73,IF($X132&lt;Input!$F$73,IF($X132&lt;Input!$E$73,IF($X132&lt;Input!$D$73,Input!$C$79,Input!$D$79),Input!$E$79),Input!$F$79),Input!$G$79),Input!$H$79)</f>
        <v>0</v>
      </c>
      <c r="AL132" s="190">
        <f>IF($A132&lt;Input!$H$80,IF($A132&lt;Input!$G$80,IF($A132&lt;Input!$F$80,IF($A132&lt;Input!$E$80,IF($A132&lt;Input!$D$80,Input!$C$81,Input!$D$81),Input!$E$81),Input!$F$81),Input!$G$81),Input!$H$81)</f>
        <v>0.9</v>
      </c>
      <c r="AM132" s="60">
        <f t="shared" si="45"/>
        <v>0</v>
      </c>
      <c r="AN132" s="60">
        <f t="shared" si="65"/>
        <v>31</v>
      </c>
      <c r="AO132" s="60">
        <f t="shared" si="46"/>
        <v>0</v>
      </c>
      <c r="AP132" s="60">
        <f>ROUND(AO132*AN132*Input!$C$3/365,0)</f>
        <v>0</v>
      </c>
      <c r="AQ132" s="61">
        <f>IF($A132&lt;=Input!$C$6,0,IF('Unique Tenure'!AM132&lt;'Unique Tenure'!AO132,'Unique Tenure'!AM132-AP132,'Unique Tenure'!AO132))</f>
        <v>0</v>
      </c>
      <c r="AR132" s="61">
        <f t="shared" si="47"/>
        <v>0</v>
      </c>
      <c r="AS132" s="60">
        <f t="shared" si="48"/>
        <v>0</v>
      </c>
      <c r="AT132" s="193"/>
      <c r="AU132" s="169">
        <v>128</v>
      </c>
      <c r="AV132" s="1">
        <f t="shared" si="66"/>
        <v>49414</v>
      </c>
      <c r="AW132" s="60">
        <f>IF($X132&lt;Input!$H$88,IF($X132&lt;Input!$G$88,IF($X132&lt;Input!$F$88,IF($X132&lt;Input!$E$88,IF($X132&lt;Input!$D$88,Input!$C$94,Input!$D$94),Input!$E$94),Input!$F$94),Input!$G$94),Input!$H$94)</f>
        <v>0</v>
      </c>
      <c r="AX132" s="190">
        <f>IF($A132&lt;Input!$H$95,IF($A132&lt;Input!$G$95,IF($A132&lt;Input!$F$95,IF($A132&lt;Input!$E$95,IF($A132&lt;Input!$D$95,Input!$C$96,Input!$D$96),Input!$E$96),Input!$F$96),Input!$G$96),Input!$H$96)</f>
        <v>0.9</v>
      </c>
      <c r="AY132" s="60">
        <f t="shared" si="49"/>
        <v>0</v>
      </c>
      <c r="AZ132" s="60">
        <f t="shared" si="67"/>
        <v>31</v>
      </c>
      <c r="BA132" s="60">
        <f t="shared" si="50"/>
        <v>0</v>
      </c>
      <c r="BB132" s="60">
        <f>ROUND(BA132*AZ132*Input!$C$3/365,0)</f>
        <v>0</v>
      </c>
      <c r="BC132" s="61">
        <f>IF($A132&lt;=Input!$C$6,0,IF('Unique Tenure'!AY132&lt;'Unique Tenure'!BA132,'Unique Tenure'!AY132-BB132,'Unique Tenure'!BA132))</f>
        <v>0</v>
      </c>
      <c r="BD132" s="61">
        <f t="shared" si="51"/>
        <v>0</v>
      </c>
      <c r="BE132" s="60">
        <f t="shared" si="52"/>
        <v>0</v>
      </c>
      <c r="BF132" s="193"/>
      <c r="BG132" s="169">
        <v>128</v>
      </c>
      <c r="BH132" s="1">
        <f t="shared" si="68"/>
        <v>49414</v>
      </c>
      <c r="BI132" s="60">
        <f>IF($X132&lt;Input!$H$103,IF($X132&lt;Input!$G$103,IF($X132&lt;Input!$F$103,IF($X132&lt;Input!$E$103,IF($X132&lt;Input!$D$103,Input!$C$109,Input!$D$109),Input!$E$109),Input!$F$109),Input!$G$109),Input!$H$109)</f>
        <v>0</v>
      </c>
      <c r="BJ132" s="190">
        <f>IF($A132&lt;Input!$H$110,IF($A132&lt;Input!$G$110,IF($A132&lt;Input!$F$110,IF($A132&lt;Input!$E$110,IF($A132&lt;Input!$D$110,Input!$C$111,Input!$D$111),Input!$E$111),Input!$F$111),Input!$G$111),Input!$H$111)</f>
        <v>0.9</v>
      </c>
      <c r="BK132" s="60">
        <f t="shared" si="53"/>
        <v>0</v>
      </c>
      <c r="BL132" s="60">
        <f t="shared" si="69"/>
        <v>31</v>
      </c>
      <c r="BM132" s="60">
        <f t="shared" si="54"/>
        <v>0</v>
      </c>
      <c r="BN132" s="60">
        <f>ROUND(BM132*BL132*Input!$C$3/365,0)</f>
        <v>0</v>
      </c>
      <c r="BO132" s="61">
        <f>IF($A132&lt;=Input!$C$6,0,IF('Unique Tenure'!BK132&lt;'Unique Tenure'!BM132,'Unique Tenure'!BK132-BN132,'Unique Tenure'!BM132))</f>
        <v>0</v>
      </c>
      <c r="BP132" s="61">
        <f t="shared" si="55"/>
        <v>0</v>
      </c>
      <c r="BQ132" s="60">
        <f t="shared" si="56"/>
        <v>0</v>
      </c>
      <c r="BR132" s="198"/>
    </row>
    <row r="133" spans="1:70" s="51" customFormat="1" x14ac:dyDescent="0.25">
      <c r="A133" s="169">
        <v>129</v>
      </c>
      <c r="B133" s="1">
        <f t="shared" si="57"/>
        <v>49444</v>
      </c>
      <c r="C133" s="60">
        <f>SUM(
   IF(($A$4:$A$184 &lt;= Input!$D$16), M133, 0),
   IF(($A$4:$A$184 &lt;= Input!$E$16), Y133, 0),
   IF(($A$4:$A$184 &lt;= Input!$F$16), AK133, 0),
   IF(($A$4:$A$184 &lt;= Input!$G$16), AW133, 0),
   IF(($A$4:$A$184 &lt;= Input!$H$16), BI133, 0)
)</f>
        <v>33127052.878124986</v>
      </c>
      <c r="D133" s="60">
        <f>SUM(
   IF(($A$4:$A$184 &lt;= Input!$D$16), O133, 0),
   IF(($A$4:$A$184 &lt;= Input!$E$16), AA133, 0),
   IF(($A$4:$A$184 &lt;= Input!$F$16), AM133, 0),
   IF(($A$4:$A$184 &lt;= Input!$G$16), AY133, 0),
   IF(($A$4:$A$184 &lt;= Input!$H$16), BK133, 0)
)</f>
        <v>29814347.590312488</v>
      </c>
      <c r="E133" s="60">
        <f t="shared" si="58"/>
        <v>30</v>
      </c>
      <c r="F133" s="60">
        <f t="shared" si="59"/>
        <v>0</v>
      </c>
      <c r="G133" s="60">
        <f>ROUND(F133*E133*Input!$C$3/365,0)</f>
        <v>0</v>
      </c>
      <c r="H133" s="60">
        <f>IF($A133&lt;=Input!$C$6,0,IF('Unique Tenure'!D133&lt;'Unique Tenure'!F133,'Unique Tenure'!D133-G133,'Unique Tenure'!F133))</f>
        <v>0</v>
      </c>
      <c r="I133" s="60">
        <f t="shared" si="60"/>
        <v>0</v>
      </c>
      <c r="J133" s="60">
        <f t="shared" si="61"/>
        <v>0</v>
      </c>
      <c r="K133" s="202">
        <f>J133/Input!$K$5</f>
        <v>0</v>
      </c>
      <c r="L133" s="232"/>
      <c r="M133" s="60">
        <f>IF($B133&lt;Input!$H$43,IF($B133&lt;Input!$G$43,IF($B133&lt;Input!$F$43,IF($B133&lt;Input!$E$43,IF($B133&lt;Input!$D$43,Input!$C$49,Input!$D$49),Input!$E$49),Input!$F$49),Input!$G$49),Input!$H$49)</f>
        <v>33127052.878124986</v>
      </c>
      <c r="N133" s="190">
        <f>IF($A133&lt;Input!$H$50,IF($A133&lt;Input!$G$50,IF($A133&lt;Input!$F$50,IF($A133&lt;Input!$E$50,IF($A133&lt;Input!$D$50,Input!$C$51,Input!$D$51),Input!$E$51),Input!$F$51),Input!$G$51),Input!$H$51)</f>
        <v>0.9</v>
      </c>
      <c r="O133" s="60">
        <f t="shared" si="72"/>
        <v>29814347.590312488</v>
      </c>
      <c r="P133" s="60">
        <f t="shared" ref="P133:P164" si="73">B133-B132</f>
        <v>30</v>
      </c>
      <c r="Q133" s="60">
        <f t="shared" ref="Q133:Q184" si="74">U132</f>
        <v>0</v>
      </c>
      <c r="R133" s="60">
        <f>ROUND(Q133*$P133*Input!$C$3/365,0)</f>
        <v>0</v>
      </c>
      <c r="S133" s="60">
        <f>IF(A133&lt;=Input!$C$6,0,IF('Unique Tenure'!O133&lt;'Unique Tenure'!Q133,'Unique Tenure'!O133-R133,'Unique Tenure'!Q133))</f>
        <v>0</v>
      </c>
      <c r="T133" s="60">
        <f t="shared" ref="T133:T184" si="75">R133+S133</f>
        <v>0</v>
      </c>
      <c r="U133" s="60">
        <f t="shared" ref="U133:U184" si="76">U132-S133</f>
        <v>0</v>
      </c>
      <c r="V133" s="193"/>
      <c r="W133" s="169">
        <v>129</v>
      </c>
      <c r="X133" s="1">
        <f t="shared" si="62"/>
        <v>49444</v>
      </c>
      <c r="Y133" s="60">
        <f>IF($X133&lt;Input!$H$58,IF($X133&lt;Input!$G$58,IF($X133&lt;Input!$F$58,IF($X133&lt;Input!$E$58,IF($X133&lt;Input!$D$58,Input!$C$64,Input!$D$64),Input!$E$64),Input!$F$64),Input!$G$64),Input!$H$64)</f>
        <v>0</v>
      </c>
      <c r="Z133" s="190">
        <f>IF($A133&lt;Input!$H$65,IF($A133&lt;Input!$G$65,IF($A133&lt;Input!$F$65,IF($A133&lt;Input!$E$65,IF($A133&lt;Input!$D$65,Input!$C$66,Input!$D$66),Input!$E$66),Input!$F$66),Input!$G$66),Input!$H$66)</f>
        <v>0.9</v>
      </c>
      <c r="AA133" s="60">
        <f t="shared" ref="AA133:AA184" si="77">Y133*Z133</f>
        <v>0</v>
      </c>
      <c r="AB133" s="60">
        <f t="shared" si="63"/>
        <v>30</v>
      </c>
      <c r="AC133" s="60">
        <f t="shared" ref="AC133:AC184" si="78">AG132</f>
        <v>0</v>
      </c>
      <c r="AD133" s="60">
        <f>ROUND(AC133*AB133*Input!$C$3/365,0)</f>
        <v>0</v>
      </c>
      <c r="AE133" s="61">
        <f>IF($A133&lt;=Input!$C$6,0,IF('Unique Tenure'!AA133&lt;'Unique Tenure'!AC133,'Unique Tenure'!AA133-AD133,'Unique Tenure'!AC133))</f>
        <v>0</v>
      </c>
      <c r="AF133" s="61">
        <f t="shared" ref="AF133:AF184" si="79">AD133+AE133</f>
        <v>0</v>
      </c>
      <c r="AG133" s="60">
        <f t="shared" ref="AG133:AG184" si="80">AG132-AE133</f>
        <v>0</v>
      </c>
      <c r="AH133" s="193"/>
      <c r="AI133" s="169">
        <v>129</v>
      </c>
      <c r="AJ133" s="1">
        <f t="shared" si="64"/>
        <v>49444</v>
      </c>
      <c r="AK133" s="60">
        <f>IF($X133&lt;Input!$H$73,IF($X133&lt;Input!$G$73,IF($X133&lt;Input!$F$73,IF($X133&lt;Input!$E$73,IF($X133&lt;Input!$D$73,Input!$C$79,Input!$D$79),Input!$E$79),Input!$F$79),Input!$G$79),Input!$H$79)</f>
        <v>0</v>
      </c>
      <c r="AL133" s="190">
        <f>IF($A133&lt;Input!$H$80,IF($A133&lt;Input!$G$80,IF($A133&lt;Input!$F$80,IF($A133&lt;Input!$E$80,IF($A133&lt;Input!$D$80,Input!$C$81,Input!$D$81),Input!$E$81),Input!$F$81),Input!$G$81),Input!$H$81)</f>
        <v>0.9</v>
      </c>
      <c r="AM133" s="60">
        <f t="shared" ref="AM133:AM184" si="81">AK133*AL133</f>
        <v>0</v>
      </c>
      <c r="AN133" s="60">
        <f t="shared" si="65"/>
        <v>30</v>
      </c>
      <c r="AO133" s="60">
        <f t="shared" ref="AO133:AO184" si="82">AS132</f>
        <v>0</v>
      </c>
      <c r="AP133" s="60">
        <f>ROUND(AO133*AN133*Input!$C$3/365,0)</f>
        <v>0</v>
      </c>
      <c r="AQ133" s="61">
        <f>IF($A133&lt;=Input!$C$6,0,IF('Unique Tenure'!AM133&lt;'Unique Tenure'!AO133,'Unique Tenure'!AM133-AP133,'Unique Tenure'!AO133))</f>
        <v>0</v>
      </c>
      <c r="AR133" s="61">
        <f t="shared" ref="AR133:AR184" si="83">AP133+AQ133</f>
        <v>0</v>
      </c>
      <c r="AS133" s="60">
        <f t="shared" ref="AS133:AS184" si="84">AS132-AQ133</f>
        <v>0</v>
      </c>
      <c r="AT133" s="193"/>
      <c r="AU133" s="169">
        <v>129</v>
      </c>
      <c r="AV133" s="1">
        <f t="shared" si="66"/>
        <v>49444</v>
      </c>
      <c r="AW133" s="60">
        <f>IF($X133&lt;Input!$H$88,IF($X133&lt;Input!$G$88,IF($X133&lt;Input!$F$88,IF($X133&lt;Input!$E$88,IF($X133&lt;Input!$D$88,Input!$C$94,Input!$D$94),Input!$E$94),Input!$F$94),Input!$G$94),Input!$H$94)</f>
        <v>0</v>
      </c>
      <c r="AX133" s="190">
        <f>IF($A133&lt;Input!$H$95,IF($A133&lt;Input!$G$95,IF($A133&lt;Input!$F$95,IF($A133&lt;Input!$E$95,IF($A133&lt;Input!$D$95,Input!$C$96,Input!$D$96),Input!$E$96),Input!$F$96),Input!$G$96),Input!$H$96)</f>
        <v>0.9</v>
      </c>
      <c r="AY133" s="60">
        <f t="shared" ref="AY133:AY184" si="85">AW133*AX133</f>
        <v>0</v>
      </c>
      <c r="AZ133" s="60">
        <f t="shared" si="67"/>
        <v>30</v>
      </c>
      <c r="BA133" s="60">
        <f t="shared" ref="BA133:BA184" si="86">BE132</f>
        <v>0</v>
      </c>
      <c r="BB133" s="60">
        <f>ROUND(BA133*AZ133*Input!$C$3/365,0)</f>
        <v>0</v>
      </c>
      <c r="BC133" s="61">
        <f>IF($A133&lt;=Input!$C$6,0,IF('Unique Tenure'!AY133&lt;'Unique Tenure'!BA133,'Unique Tenure'!AY133-BB133,'Unique Tenure'!BA133))</f>
        <v>0</v>
      </c>
      <c r="BD133" s="61">
        <f t="shared" ref="BD133:BD184" si="87">BB133+BC133</f>
        <v>0</v>
      </c>
      <c r="BE133" s="60">
        <f t="shared" ref="BE133:BE184" si="88">BE132-BC133</f>
        <v>0</v>
      </c>
      <c r="BF133" s="193"/>
      <c r="BG133" s="169">
        <v>129</v>
      </c>
      <c r="BH133" s="1">
        <f t="shared" si="68"/>
        <v>49444</v>
      </c>
      <c r="BI133" s="60">
        <f>IF($X133&lt;Input!$H$103,IF($X133&lt;Input!$G$103,IF($X133&lt;Input!$F$103,IF($X133&lt;Input!$E$103,IF($X133&lt;Input!$D$103,Input!$C$109,Input!$D$109),Input!$E$109),Input!$F$109),Input!$G$109),Input!$H$109)</f>
        <v>0</v>
      </c>
      <c r="BJ133" s="190">
        <f>IF($A133&lt;Input!$H$110,IF($A133&lt;Input!$G$110,IF($A133&lt;Input!$F$110,IF($A133&lt;Input!$E$110,IF($A133&lt;Input!$D$110,Input!$C$111,Input!$D$111),Input!$E$111),Input!$F$111),Input!$G$111),Input!$H$111)</f>
        <v>0.9</v>
      </c>
      <c r="BK133" s="60">
        <f t="shared" ref="BK133:BK184" si="89">BI133*BJ133</f>
        <v>0</v>
      </c>
      <c r="BL133" s="60">
        <f t="shared" si="69"/>
        <v>30</v>
      </c>
      <c r="BM133" s="60">
        <f t="shared" ref="BM133:BM184" si="90">BQ132</f>
        <v>0</v>
      </c>
      <c r="BN133" s="60">
        <f>ROUND(BM133*BL133*Input!$C$3/365,0)</f>
        <v>0</v>
      </c>
      <c r="BO133" s="61">
        <f>IF($A133&lt;=Input!$C$6,0,IF('Unique Tenure'!BK133&lt;'Unique Tenure'!BM133,'Unique Tenure'!BK133-BN133,'Unique Tenure'!BM133))</f>
        <v>0</v>
      </c>
      <c r="BP133" s="61">
        <f t="shared" ref="BP133:BP184" si="91">BN133+BO133</f>
        <v>0</v>
      </c>
      <c r="BQ133" s="60">
        <f t="shared" ref="BQ133:BQ184" si="92">BQ132-BO133</f>
        <v>0</v>
      </c>
      <c r="BR133" s="198"/>
    </row>
    <row r="134" spans="1:70" s="51" customFormat="1" x14ac:dyDescent="0.25">
      <c r="A134" s="169">
        <v>130</v>
      </c>
      <c r="B134" s="1">
        <f t="shared" ref="B134:B184" si="93">EDATE(B133,1)</f>
        <v>49475</v>
      </c>
      <c r="C134" s="60">
        <f>SUM(
   IF(($A$4:$A$184 &lt;= Input!$D$16), M134, 0),
   IF(($A$4:$A$184 &lt;= Input!$E$16), Y134, 0),
   IF(($A$4:$A$184 &lt;= Input!$F$16), AK134, 0),
   IF(($A$4:$A$184 &lt;= Input!$G$16), AW134, 0),
   IF(($A$4:$A$184 &lt;= Input!$H$16), BI134, 0)
)</f>
        <v>33127052.878124986</v>
      </c>
      <c r="D134" s="60">
        <f>SUM(
   IF(($A$4:$A$184 &lt;= Input!$D$16), O134, 0),
   IF(($A$4:$A$184 &lt;= Input!$E$16), AA134, 0),
   IF(($A$4:$A$184 &lt;= Input!$F$16), AM134, 0),
   IF(($A$4:$A$184 &lt;= Input!$G$16), AY134, 0),
   IF(($A$4:$A$184 &lt;= Input!$H$16), BK134, 0)
)</f>
        <v>29814347.590312488</v>
      </c>
      <c r="E134" s="60">
        <f t="shared" ref="E134:E184" si="94">B134-B133</f>
        <v>31</v>
      </c>
      <c r="F134" s="60">
        <f t="shared" ref="F134:F184" si="95">J133</f>
        <v>0</v>
      </c>
      <c r="G134" s="60">
        <f>ROUND(F134*E134*Input!$C$3/365,0)</f>
        <v>0</v>
      </c>
      <c r="H134" s="60">
        <f>IF($A134&lt;=Input!$C$6,0,IF('Unique Tenure'!D134&lt;'Unique Tenure'!F134,'Unique Tenure'!D134-G134,'Unique Tenure'!F134))</f>
        <v>0</v>
      </c>
      <c r="I134" s="60">
        <f t="shared" ref="I134:I184" si="96">G134+H134</f>
        <v>0</v>
      </c>
      <c r="J134" s="60">
        <f t="shared" ref="J134:J184" si="97">J133-H134</f>
        <v>0</v>
      </c>
      <c r="K134" s="202">
        <f>J134/Input!$K$5</f>
        <v>0</v>
      </c>
      <c r="L134" s="232"/>
      <c r="M134" s="60">
        <f>IF($B134&lt;Input!$H$43,IF($B134&lt;Input!$G$43,IF($B134&lt;Input!$F$43,IF($B134&lt;Input!$E$43,IF($B134&lt;Input!$D$43,Input!$C$49,Input!$D$49),Input!$E$49),Input!$F$49),Input!$G$49),Input!$H$49)</f>
        <v>33127052.878124986</v>
      </c>
      <c r="N134" s="190">
        <f>IF($A134&lt;Input!$H$50,IF($A134&lt;Input!$G$50,IF($A134&lt;Input!$F$50,IF($A134&lt;Input!$E$50,IF($A134&lt;Input!$D$50,Input!$C$51,Input!$D$51),Input!$E$51),Input!$F$51),Input!$G$51),Input!$H$51)</f>
        <v>0.9</v>
      </c>
      <c r="O134" s="60">
        <f t="shared" si="72"/>
        <v>29814347.590312488</v>
      </c>
      <c r="P134" s="60">
        <f t="shared" si="73"/>
        <v>31</v>
      </c>
      <c r="Q134" s="60">
        <f t="shared" si="74"/>
        <v>0</v>
      </c>
      <c r="R134" s="60">
        <f>ROUND(Q134*$P134*Input!$C$3/365,0)</f>
        <v>0</v>
      </c>
      <c r="S134" s="60">
        <f>IF(A134&lt;=Input!$C$6,0,IF('Unique Tenure'!O134&lt;'Unique Tenure'!Q134,'Unique Tenure'!O134-R134,'Unique Tenure'!Q134))</f>
        <v>0</v>
      </c>
      <c r="T134" s="60">
        <f t="shared" si="75"/>
        <v>0</v>
      </c>
      <c r="U134" s="60">
        <f t="shared" si="76"/>
        <v>0</v>
      </c>
      <c r="V134" s="193"/>
      <c r="W134" s="169">
        <v>130</v>
      </c>
      <c r="X134" s="1">
        <f t="shared" ref="X134:X184" si="98">EDATE(X133,1)</f>
        <v>49475</v>
      </c>
      <c r="Y134" s="60">
        <f>IF($X134&lt;Input!$H$58,IF($X134&lt;Input!$G$58,IF($X134&lt;Input!$F$58,IF($X134&lt;Input!$E$58,IF($X134&lt;Input!$D$58,Input!$C$64,Input!$D$64),Input!$E$64),Input!$F$64),Input!$G$64),Input!$H$64)</f>
        <v>0</v>
      </c>
      <c r="Z134" s="190">
        <f>IF($A134&lt;Input!$H$65,IF($A134&lt;Input!$G$65,IF($A134&lt;Input!$F$65,IF($A134&lt;Input!$E$65,IF($A134&lt;Input!$D$65,Input!$C$66,Input!$D$66),Input!$E$66),Input!$F$66),Input!$G$66),Input!$H$66)</f>
        <v>0.9</v>
      </c>
      <c r="AA134" s="60">
        <f t="shared" si="77"/>
        <v>0</v>
      </c>
      <c r="AB134" s="60">
        <f t="shared" ref="AB134:AB184" si="99">X134-X133</f>
        <v>31</v>
      </c>
      <c r="AC134" s="60">
        <f t="shared" si="78"/>
        <v>0</v>
      </c>
      <c r="AD134" s="60">
        <f>ROUND(AC134*AB134*Input!$C$3/365,0)</f>
        <v>0</v>
      </c>
      <c r="AE134" s="61">
        <f>IF($A134&lt;=Input!$C$6,0,IF('Unique Tenure'!AA134&lt;'Unique Tenure'!AC134,'Unique Tenure'!AA134-AD134,'Unique Tenure'!AC134))</f>
        <v>0</v>
      </c>
      <c r="AF134" s="61">
        <f t="shared" si="79"/>
        <v>0</v>
      </c>
      <c r="AG134" s="60">
        <f t="shared" si="80"/>
        <v>0</v>
      </c>
      <c r="AH134" s="193"/>
      <c r="AI134" s="169">
        <v>130</v>
      </c>
      <c r="AJ134" s="1">
        <f t="shared" ref="AJ134:AJ184" si="100">EDATE(AJ133,1)</f>
        <v>49475</v>
      </c>
      <c r="AK134" s="60">
        <f>IF($X134&lt;Input!$H$73,IF($X134&lt;Input!$G$73,IF($X134&lt;Input!$F$73,IF($X134&lt;Input!$E$73,IF($X134&lt;Input!$D$73,Input!$C$79,Input!$D$79),Input!$E$79),Input!$F$79),Input!$G$79),Input!$H$79)</f>
        <v>0</v>
      </c>
      <c r="AL134" s="190">
        <f>IF($A134&lt;Input!$H$80,IF($A134&lt;Input!$G$80,IF($A134&lt;Input!$F$80,IF($A134&lt;Input!$E$80,IF($A134&lt;Input!$D$80,Input!$C$81,Input!$D$81),Input!$E$81),Input!$F$81),Input!$G$81),Input!$H$81)</f>
        <v>0.9</v>
      </c>
      <c r="AM134" s="60">
        <f t="shared" si="81"/>
        <v>0</v>
      </c>
      <c r="AN134" s="60">
        <f t="shared" ref="AN134:AN184" si="101">AJ134-AJ133</f>
        <v>31</v>
      </c>
      <c r="AO134" s="60">
        <f t="shared" si="82"/>
        <v>0</v>
      </c>
      <c r="AP134" s="60">
        <f>ROUND(AO134*AN134*Input!$C$3/365,0)</f>
        <v>0</v>
      </c>
      <c r="AQ134" s="61">
        <f>IF($A134&lt;=Input!$C$6,0,IF('Unique Tenure'!AM134&lt;'Unique Tenure'!AO134,'Unique Tenure'!AM134-AP134,'Unique Tenure'!AO134))</f>
        <v>0</v>
      </c>
      <c r="AR134" s="61">
        <f t="shared" si="83"/>
        <v>0</v>
      </c>
      <c r="AS134" s="60">
        <f t="shared" si="84"/>
        <v>0</v>
      </c>
      <c r="AT134" s="193"/>
      <c r="AU134" s="169">
        <v>130</v>
      </c>
      <c r="AV134" s="1">
        <f t="shared" ref="AV134:AV184" si="102">EDATE(AV133,1)</f>
        <v>49475</v>
      </c>
      <c r="AW134" s="60">
        <f>IF($X134&lt;Input!$H$88,IF($X134&lt;Input!$G$88,IF($X134&lt;Input!$F$88,IF($X134&lt;Input!$E$88,IF($X134&lt;Input!$D$88,Input!$C$94,Input!$D$94),Input!$E$94),Input!$F$94),Input!$G$94),Input!$H$94)</f>
        <v>0</v>
      </c>
      <c r="AX134" s="190">
        <f>IF($A134&lt;Input!$H$95,IF($A134&lt;Input!$G$95,IF($A134&lt;Input!$F$95,IF($A134&lt;Input!$E$95,IF($A134&lt;Input!$D$95,Input!$C$96,Input!$D$96),Input!$E$96),Input!$F$96),Input!$G$96),Input!$H$96)</f>
        <v>0.9</v>
      </c>
      <c r="AY134" s="60">
        <f t="shared" si="85"/>
        <v>0</v>
      </c>
      <c r="AZ134" s="60">
        <f t="shared" ref="AZ134:AZ184" si="103">AV134-AV133</f>
        <v>31</v>
      </c>
      <c r="BA134" s="60">
        <f t="shared" si="86"/>
        <v>0</v>
      </c>
      <c r="BB134" s="60">
        <f>ROUND(BA134*AZ134*Input!$C$3/365,0)</f>
        <v>0</v>
      </c>
      <c r="BC134" s="61">
        <f>IF($A134&lt;=Input!$C$6,0,IF('Unique Tenure'!AY134&lt;'Unique Tenure'!BA134,'Unique Tenure'!AY134-BB134,'Unique Tenure'!BA134))</f>
        <v>0</v>
      </c>
      <c r="BD134" s="61">
        <f t="shared" si="87"/>
        <v>0</v>
      </c>
      <c r="BE134" s="60">
        <f t="shared" si="88"/>
        <v>0</v>
      </c>
      <c r="BF134" s="193"/>
      <c r="BG134" s="169">
        <v>130</v>
      </c>
      <c r="BH134" s="1">
        <f t="shared" ref="BH134:BH184" si="104">EDATE(BH133,1)</f>
        <v>49475</v>
      </c>
      <c r="BI134" s="60">
        <f>IF($X134&lt;Input!$H$103,IF($X134&lt;Input!$G$103,IF($X134&lt;Input!$F$103,IF($X134&lt;Input!$E$103,IF($X134&lt;Input!$D$103,Input!$C$109,Input!$D$109),Input!$E$109),Input!$F$109),Input!$G$109),Input!$H$109)</f>
        <v>0</v>
      </c>
      <c r="BJ134" s="190">
        <f>IF($A134&lt;Input!$H$110,IF($A134&lt;Input!$G$110,IF($A134&lt;Input!$F$110,IF($A134&lt;Input!$E$110,IF($A134&lt;Input!$D$110,Input!$C$111,Input!$D$111),Input!$E$111),Input!$F$111),Input!$G$111),Input!$H$111)</f>
        <v>0.9</v>
      </c>
      <c r="BK134" s="60">
        <f t="shared" si="89"/>
        <v>0</v>
      </c>
      <c r="BL134" s="60">
        <f t="shared" ref="BL134:BL184" si="105">BH134-BH133</f>
        <v>31</v>
      </c>
      <c r="BM134" s="60">
        <f t="shared" si="90"/>
        <v>0</v>
      </c>
      <c r="BN134" s="60">
        <f>ROUND(BM134*BL134*Input!$C$3/365,0)</f>
        <v>0</v>
      </c>
      <c r="BO134" s="61">
        <f>IF($A134&lt;=Input!$C$6,0,IF('Unique Tenure'!BK134&lt;'Unique Tenure'!BM134,'Unique Tenure'!BK134-BN134,'Unique Tenure'!BM134))</f>
        <v>0</v>
      </c>
      <c r="BP134" s="61">
        <f t="shared" si="91"/>
        <v>0</v>
      </c>
      <c r="BQ134" s="60">
        <f t="shared" si="92"/>
        <v>0</v>
      </c>
      <c r="BR134" s="198"/>
    </row>
    <row r="135" spans="1:70" s="51" customFormat="1" x14ac:dyDescent="0.25">
      <c r="A135" s="169">
        <v>131</v>
      </c>
      <c r="B135" s="1">
        <f t="shared" si="93"/>
        <v>49505</v>
      </c>
      <c r="C135" s="60">
        <f>SUM(
   IF(($A$4:$A$184 &lt;= Input!$D$16), M135, 0),
   IF(($A$4:$A$184 &lt;= Input!$E$16), Y135, 0),
   IF(($A$4:$A$184 &lt;= Input!$F$16), AK135, 0),
   IF(($A$4:$A$184 &lt;= Input!$G$16), AW135, 0),
   IF(($A$4:$A$184 &lt;= Input!$H$16), BI135, 0)
)</f>
        <v>33127052.878124986</v>
      </c>
      <c r="D135" s="60">
        <f>SUM(
   IF(($A$4:$A$184 &lt;= Input!$D$16), O135, 0),
   IF(($A$4:$A$184 &lt;= Input!$E$16), AA135, 0),
   IF(($A$4:$A$184 &lt;= Input!$F$16), AM135, 0),
   IF(($A$4:$A$184 &lt;= Input!$G$16), AY135, 0),
   IF(($A$4:$A$184 &lt;= Input!$H$16), BK135, 0)
)</f>
        <v>29814347.590312488</v>
      </c>
      <c r="E135" s="60">
        <f t="shared" si="94"/>
        <v>30</v>
      </c>
      <c r="F135" s="60">
        <f t="shared" si="95"/>
        <v>0</v>
      </c>
      <c r="G135" s="60">
        <f>ROUND(F135*E135*Input!$C$3/365,0)</f>
        <v>0</v>
      </c>
      <c r="H135" s="60">
        <f>IF($A135&lt;=Input!$C$6,0,IF('Unique Tenure'!D135&lt;'Unique Tenure'!F135,'Unique Tenure'!D135-G135,'Unique Tenure'!F135))</f>
        <v>0</v>
      </c>
      <c r="I135" s="60">
        <f t="shared" si="96"/>
        <v>0</v>
      </c>
      <c r="J135" s="60">
        <f t="shared" si="97"/>
        <v>0</v>
      </c>
      <c r="K135" s="202">
        <f>J135/Input!$K$5</f>
        <v>0</v>
      </c>
      <c r="L135" s="232"/>
      <c r="M135" s="60">
        <f>IF($B135&lt;Input!$H$43,IF($B135&lt;Input!$G$43,IF($B135&lt;Input!$F$43,IF($B135&lt;Input!$E$43,IF($B135&lt;Input!$D$43,Input!$C$49,Input!$D$49),Input!$E$49),Input!$F$49),Input!$G$49),Input!$H$49)</f>
        <v>33127052.878124986</v>
      </c>
      <c r="N135" s="190">
        <f>IF($A135&lt;Input!$H$50,IF($A135&lt;Input!$G$50,IF($A135&lt;Input!$F$50,IF($A135&lt;Input!$E$50,IF($A135&lt;Input!$D$50,Input!$C$51,Input!$D$51),Input!$E$51),Input!$F$51),Input!$G$51),Input!$H$51)</f>
        <v>0.9</v>
      </c>
      <c r="O135" s="60">
        <f t="shared" si="72"/>
        <v>29814347.590312488</v>
      </c>
      <c r="P135" s="60">
        <f t="shared" si="73"/>
        <v>30</v>
      </c>
      <c r="Q135" s="60">
        <f t="shared" si="74"/>
        <v>0</v>
      </c>
      <c r="R135" s="60">
        <f>ROUND(Q135*$P135*Input!$C$3/365,0)</f>
        <v>0</v>
      </c>
      <c r="S135" s="60">
        <f>IF(A135&lt;=Input!$C$6,0,IF('Unique Tenure'!O135&lt;'Unique Tenure'!Q135,'Unique Tenure'!O135-R135,'Unique Tenure'!Q135))</f>
        <v>0</v>
      </c>
      <c r="T135" s="60">
        <f t="shared" si="75"/>
        <v>0</v>
      </c>
      <c r="U135" s="60">
        <f t="shared" si="76"/>
        <v>0</v>
      </c>
      <c r="V135" s="193"/>
      <c r="W135" s="169">
        <v>131</v>
      </c>
      <c r="X135" s="1">
        <f t="shared" si="98"/>
        <v>49505</v>
      </c>
      <c r="Y135" s="60">
        <f>IF($X135&lt;Input!$H$58,IF($X135&lt;Input!$G$58,IF($X135&lt;Input!$F$58,IF($X135&lt;Input!$E$58,IF($X135&lt;Input!$D$58,Input!$C$64,Input!$D$64),Input!$E$64),Input!$F$64),Input!$G$64),Input!$H$64)</f>
        <v>0</v>
      </c>
      <c r="Z135" s="190">
        <f>IF($A135&lt;Input!$H$65,IF($A135&lt;Input!$G$65,IF($A135&lt;Input!$F$65,IF($A135&lt;Input!$E$65,IF($A135&lt;Input!$D$65,Input!$C$66,Input!$D$66),Input!$E$66),Input!$F$66),Input!$G$66),Input!$H$66)</f>
        <v>0.9</v>
      </c>
      <c r="AA135" s="60">
        <f t="shared" si="77"/>
        <v>0</v>
      </c>
      <c r="AB135" s="60">
        <f t="shared" si="99"/>
        <v>30</v>
      </c>
      <c r="AC135" s="60">
        <f t="shared" si="78"/>
        <v>0</v>
      </c>
      <c r="AD135" s="60">
        <f>ROUND(AC135*AB135*Input!$C$3/365,0)</f>
        <v>0</v>
      </c>
      <c r="AE135" s="61">
        <f>IF($A135&lt;=Input!$C$6,0,IF('Unique Tenure'!AA135&lt;'Unique Tenure'!AC135,'Unique Tenure'!AA135-AD135,'Unique Tenure'!AC135))</f>
        <v>0</v>
      </c>
      <c r="AF135" s="61">
        <f t="shared" si="79"/>
        <v>0</v>
      </c>
      <c r="AG135" s="60">
        <f t="shared" si="80"/>
        <v>0</v>
      </c>
      <c r="AH135" s="193"/>
      <c r="AI135" s="169">
        <v>131</v>
      </c>
      <c r="AJ135" s="1">
        <f t="shared" si="100"/>
        <v>49505</v>
      </c>
      <c r="AK135" s="60">
        <f>IF($X135&lt;Input!$H$73,IF($X135&lt;Input!$G$73,IF($X135&lt;Input!$F$73,IF($X135&lt;Input!$E$73,IF($X135&lt;Input!$D$73,Input!$C$79,Input!$D$79),Input!$E$79),Input!$F$79),Input!$G$79),Input!$H$79)</f>
        <v>0</v>
      </c>
      <c r="AL135" s="190">
        <f>IF($A135&lt;Input!$H$80,IF($A135&lt;Input!$G$80,IF($A135&lt;Input!$F$80,IF($A135&lt;Input!$E$80,IF($A135&lt;Input!$D$80,Input!$C$81,Input!$D$81),Input!$E$81),Input!$F$81),Input!$G$81),Input!$H$81)</f>
        <v>0.9</v>
      </c>
      <c r="AM135" s="60">
        <f t="shared" si="81"/>
        <v>0</v>
      </c>
      <c r="AN135" s="60">
        <f t="shared" si="101"/>
        <v>30</v>
      </c>
      <c r="AO135" s="60">
        <f t="shared" si="82"/>
        <v>0</v>
      </c>
      <c r="AP135" s="60">
        <f>ROUND(AO135*AN135*Input!$C$3/365,0)</f>
        <v>0</v>
      </c>
      <c r="AQ135" s="61">
        <f>IF($A135&lt;=Input!$C$6,0,IF('Unique Tenure'!AM135&lt;'Unique Tenure'!AO135,'Unique Tenure'!AM135-AP135,'Unique Tenure'!AO135))</f>
        <v>0</v>
      </c>
      <c r="AR135" s="61">
        <f t="shared" si="83"/>
        <v>0</v>
      </c>
      <c r="AS135" s="60">
        <f t="shared" si="84"/>
        <v>0</v>
      </c>
      <c r="AT135" s="193"/>
      <c r="AU135" s="169">
        <v>131</v>
      </c>
      <c r="AV135" s="1">
        <f t="shared" si="102"/>
        <v>49505</v>
      </c>
      <c r="AW135" s="60">
        <f>IF($X135&lt;Input!$H$88,IF($X135&lt;Input!$G$88,IF($X135&lt;Input!$F$88,IF($X135&lt;Input!$E$88,IF($X135&lt;Input!$D$88,Input!$C$94,Input!$D$94),Input!$E$94),Input!$F$94),Input!$G$94),Input!$H$94)</f>
        <v>0</v>
      </c>
      <c r="AX135" s="190">
        <f>IF($A135&lt;Input!$H$95,IF($A135&lt;Input!$G$95,IF($A135&lt;Input!$F$95,IF($A135&lt;Input!$E$95,IF($A135&lt;Input!$D$95,Input!$C$96,Input!$D$96),Input!$E$96),Input!$F$96),Input!$G$96),Input!$H$96)</f>
        <v>0.9</v>
      </c>
      <c r="AY135" s="60">
        <f t="shared" si="85"/>
        <v>0</v>
      </c>
      <c r="AZ135" s="60">
        <f t="shared" si="103"/>
        <v>30</v>
      </c>
      <c r="BA135" s="60">
        <f t="shared" si="86"/>
        <v>0</v>
      </c>
      <c r="BB135" s="60">
        <f>ROUND(BA135*AZ135*Input!$C$3/365,0)</f>
        <v>0</v>
      </c>
      <c r="BC135" s="61">
        <f>IF($A135&lt;=Input!$C$6,0,IF('Unique Tenure'!AY135&lt;'Unique Tenure'!BA135,'Unique Tenure'!AY135-BB135,'Unique Tenure'!BA135))</f>
        <v>0</v>
      </c>
      <c r="BD135" s="61">
        <f t="shared" si="87"/>
        <v>0</v>
      </c>
      <c r="BE135" s="60">
        <f t="shared" si="88"/>
        <v>0</v>
      </c>
      <c r="BF135" s="193"/>
      <c r="BG135" s="169">
        <v>131</v>
      </c>
      <c r="BH135" s="1">
        <f t="shared" si="104"/>
        <v>49505</v>
      </c>
      <c r="BI135" s="60">
        <f>IF($X135&lt;Input!$H$103,IF($X135&lt;Input!$G$103,IF($X135&lt;Input!$F$103,IF($X135&lt;Input!$E$103,IF($X135&lt;Input!$D$103,Input!$C$109,Input!$D$109),Input!$E$109),Input!$F$109),Input!$G$109),Input!$H$109)</f>
        <v>0</v>
      </c>
      <c r="BJ135" s="190">
        <f>IF($A135&lt;Input!$H$110,IF($A135&lt;Input!$G$110,IF($A135&lt;Input!$F$110,IF($A135&lt;Input!$E$110,IF($A135&lt;Input!$D$110,Input!$C$111,Input!$D$111),Input!$E$111),Input!$F$111),Input!$G$111),Input!$H$111)</f>
        <v>0.9</v>
      </c>
      <c r="BK135" s="60">
        <f t="shared" si="89"/>
        <v>0</v>
      </c>
      <c r="BL135" s="60">
        <f t="shared" si="105"/>
        <v>30</v>
      </c>
      <c r="BM135" s="60">
        <f t="shared" si="90"/>
        <v>0</v>
      </c>
      <c r="BN135" s="60">
        <f>ROUND(BM135*BL135*Input!$C$3/365,0)</f>
        <v>0</v>
      </c>
      <c r="BO135" s="61">
        <f>IF($A135&lt;=Input!$C$6,0,IF('Unique Tenure'!BK135&lt;'Unique Tenure'!BM135,'Unique Tenure'!BK135-BN135,'Unique Tenure'!BM135))</f>
        <v>0</v>
      </c>
      <c r="BP135" s="61">
        <f t="shared" si="91"/>
        <v>0</v>
      </c>
      <c r="BQ135" s="60">
        <f t="shared" si="92"/>
        <v>0</v>
      </c>
      <c r="BR135" s="198"/>
    </row>
    <row r="136" spans="1:70" s="51" customFormat="1" x14ac:dyDescent="0.25">
      <c r="A136" s="169">
        <v>132</v>
      </c>
      <c r="B136" s="1">
        <f t="shared" si="93"/>
        <v>49536</v>
      </c>
      <c r="C136" s="60">
        <f>SUM(
   IF(($A$4:$A$184 &lt;= Input!$D$16), M136, 0),
   IF(($A$4:$A$184 &lt;= Input!$E$16), Y136, 0),
   IF(($A$4:$A$184 &lt;= Input!$F$16), AK136, 0),
   IF(($A$4:$A$184 &lt;= Input!$G$16), AW136, 0),
   IF(($A$4:$A$184 &lt;= Input!$H$16), BI136, 0)
)</f>
        <v>33127052.878124986</v>
      </c>
      <c r="D136" s="60">
        <f>SUM(
   IF(($A$4:$A$184 &lt;= Input!$D$16), O136, 0),
   IF(($A$4:$A$184 &lt;= Input!$E$16), AA136, 0),
   IF(($A$4:$A$184 &lt;= Input!$F$16), AM136, 0),
   IF(($A$4:$A$184 &lt;= Input!$G$16), AY136, 0),
   IF(($A$4:$A$184 &lt;= Input!$H$16), BK136, 0)
)</f>
        <v>29814347.590312488</v>
      </c>
      <c r="E136" s="60">
        <f t="shared" si="94"/>
        <v>31</v>
      </c>
      <c r="F136" s="60">
        <f t="shared" si="95"/>
        <v>0</v>
      </c>
      <c r="G136" s="60">
        <f>ROUND(F136*E136*Input!$C$3/365,0)</f>
        <v>0</v>
      </c>
      <c r="H136" s="60">
        <f>IF($A136&lt;=Input!$C$6,0,IF('Unique Tenure'!D136&lt;'Unique Tenure'!F136,'Unique Tenure'!D136-G136,'Unique Tenure'!F136))</f>
        <v>0</v>
      </c>
      <c r="I136" s="60">
        <f t="shared" si="96"/>
        <v>0</v>
      </c>
      <c r="J136" s="60">
        <f t="shared" si="97"/>
        <v>0</v>
      </c>
      <c r="K136" s="202">
        <f>J136/Input!$K$5</f>
        <v>0</v>
      </c>
      <c r="L136" s="232"/>
      <c r="M136" s="60">
        <f>IF($B136&lt;Input!$H$43,IF($B136&lt;Input!$G$43,IF($B136&lt;Input!$F$43,IF($B136&lt;Input!$E$43,IF($B136&lt;Input!$D$43,Input!$C$49,Input!$D$49),Input!$E$49),Input!$F$49),Input!$G$49),Input!$H$49)</f>
        <v>33127052.878124986</v>
      </c>
      <c r="N136" s="190">
        <f>IF($A136&lt;Input!$H$50,IF($A136&lt;Input!$G$50,IF($A136&lt;Input!$F$50,IF($A136&lt;Input!$E$50,IF($A136&lt;Input!$D$50,Input!$C$51,Input!$D$51),Input!$E$51),Input!$F$51),Input!$G$51),Input!$H$51)</f>
        <v>0.9</v>
      </c>
      <c r="O136" s="60">
        <f t="shared" si="72"/>
        <v>29814347.590312488</v>
      </c>
      <c r="P136" s="60">
        <f t="shared" si="73"/>
        <v>31</v>
      </c>
      <c r="Q136" s="60">
        <f t="shared" si="74"/>
        <v>0</v>
      </c>
      <c r="R136" s="60">
        <f>ROUND(Q136*$P136*Input!$C$3/365,0)</f>
        <v>0</v>
      </c>
      <c r="S136" s="60">
        <f>IF(A136&lt;=Input!$C$6,0,IF('Unique Tenure'!O136&lt;'Unique Tenure'!Q136,'Unique Tenure'!O136-R136,'Unique Tenure'!Q136))</f>
        <v>0</v>
      </c>
      <c r="T136" s="60">
        <f t="shared" si="75"/>
        <v>0</v>
      </c>
      <c r="U136" s="60">
        <f t="shared" si="76"/>
        <v>0</v>
      </c>
      <c r="V136" s="193"/>
      <c r="W136" s="169">
        <v>132</v>
      </c>
      <c r="X136" s="1">
        <f t="shared" si="98"/>
        <v>49536</v>
      </c>
      <c r="Y136" s="60">
        <f>IF($X136&lt;Input!$H$58,IF($X136&lt;Input!$G$58,IF($X136&lt;Input!$F$58,IF($X136&lt;Input!$E$58,IF($X136&lt;Input!$D$58,Input!$C$64,Input!$D$64),Input!$E$64),Input!$F$64),Input!$G$64),Input!$H$64)</f>
        <v>0</v>
      </c>
      <c r="Z136" s="190">
        <f>IF($A136&lt;Input!$H$65,IF($A136&lt;Input!$G$65,IF($A136&lt;Input!$F$65,IF($A136&lt;Input!$E$65,IF($A136&lt;Input!$D$65,Input!$C$66,Input!$D$66),Input!$E$66),Input!$F$66),Input!$G$66),Input!$H$66)</f>
        <v>0.9</v>
      </c>
      <c r="AA136" s="60">
        <f t="shared" si="77"/>
        <v>0</v>
      </c>
      <c r="AB136" s="60">
        <f t="shared" si="99"/>
        <v>31</v>
      </c>
      <c r="AC136" s="60">
        <f t="shared" si="78"/>
        <v>0</v>
      </c>
      <c r="AD136" s="60">
        <f>ROUND(AC136*AB136*Input!$C$3/365,0)</f>
        <v>0</v>
      </c>
      <c r="AE136" s="61">
        <f>IF($A136&lt;=Input!$C$6,0,IF('Unique Tenure'!AA136&lt;'Unique Tenure'!AC136,'Unique Tenure'!AA136-AD136,'Unique Tenure'!AC136))</f>
        <v>0</v>
      </c>
      <c r="AF136" s="61">
        <f t="shared" si="79"/>
        <v>0</v>
      </c>
      <c r="AG136" s="60">
        <f t="shared" si="80"/>
        <v>0</v>
      </c>
      <c r="AH136" s="193"/>
      <c r="AI136" s="169">
        <v>132</v>
      </c>
      <c r="AJ136" s="1">
        <f t="shared" si="100"/>
        <v>49536</v>
      </c>
      <c r="AK136" s="60">
        <f>IF($X136&lt;Input!$H$73,IF($X136&lt;Input!$G$73,IF($X136&lt;Input!$F$73,IF($X136&lt;Input!$E$73,IF($X136&lt;Input!$D$73,Input!$C$79,Input!$D$79),Input!$E$79),Input!$F$79),Input!$G$79),Input!$H$79)</f>
        <v>0</v>
      </c>
      <c r="AL136" s="190">
        <f>IF($A136&lt;Input!$H$80,IF($A136&lt;Input!$G$80,IF($A136&lt;Input!$F$80,IF($A136&lt;Input!$E$80,IF($A136&lt;Input!$D$80,Input!$C$81,Input!$D$81),Input!$E$81),Input!$F$81),Input!$G$81),Input!$H$81)</f>
        <v>0.9</v>
      </c>
      <c r="AM136" s="60">
        <f t="shared" si="81"/>
        <v>0</v>
      </c>
      <c r="AN136" s="60">
        <f t="shared" si="101"/>
        <v>31</v>
      </c>
      <c r="AO136" s="60">
        <f t="shared" si="82"/>
        <v>0</v>
      </c>
      <c r="AP136" s="60">
        <f>ROUND(AO136*AN136*Input!$C$3/365,0)</f>
        <v>0</v>
      </c>
      <c r="AQ136" s="61">
        <f>IF($A136&lt;=Input!$C$6,0,IF('Unique Tenure'!AM136&lt;'Unique Tenure'!AO136,'Unique Tenure'!AM136-AP136,'Unique Tenure'!AO136))</f>
        <v>0</v>
      </c>
      <c r="AR136" s="61">
        <f t="shared" si="83"/>
        <v>0</v>
      </c>
      <c r="AS136" s="60">
        <f t="shared" si="84"/>
        <v>0</v>
      </c>
      <c r="AT136" s="193"/>
      <c r="AU136" s="169">
        <v>132</v>
      </c>
      <c r="AV136" s="1">
        <f t="shared" si="102"/>
        <v>49536</v>
      </c>
      <c r="AW136" s="60">
        <f>IF($X136&lt;Input!$H$88,IF($X136&lt;Input!$G$88,IF($X136&lt;Input!$F$88,IF($X136&lt;Input!$E$88,IF($X136&lt;Input!$D$88,Input!$C$94,Input!$D$94),Input!$E$94),Input!$F$94),Input!$G$94),Input!$H$94)</f>
        <v>0</v>
      </c>
      <c r="AX136" s="190">
        <f>IF($A136&lt;Input!$H$95,IF($A136&lt;Input!$G$95,IF($A136&lt;Input!$F$95,IF($A136&lt;Input!$E$95,IF($A136&lt;Input!$D$95,Input!$C$96,Input!$D$96),Input!$E$96),Input!$F$96),Input!$G$96),Input!$H$96)</f>
        <v>0.9</v>
      </c>
      <c r="AY136" s="60">
        <f t="shared" si="85"/>
        <v>0</v>
      </c>
      <c r="AZ136" s="60">
        <f t="shared" si="103"/>
        <v>31</v>
      </c>
      <c r="BA136" s="60">
        <f t="shared" si="86"/>
        <v>0</v>
      </c>
      <c r="BB136" s="60">
        <f>ROUND(BA136*AZ136*Input!$C$3/365,0)</f>
        <v>0</v>
      </c>
      <c r="BC136" s="61">
        <f>IF($A136&lt;=Input!$C$6,0,IF('Unique Tenure'!AY136&lt;'Unique Tenure'!BA136,'Unique Tenure'!AY136-BB136,'Unique Tenure'!BA136))</f>
        <v>0</v>
      </c>
      <c r="BD136" s="61">
        <f t="shared" si="87"/>
        <v>0</v>
      </c>
      <c r="BE136" s="60">
        <f t="shared" si="88"/>
        <v>0</v>
      </c>
      <c r="BF136" s="193"/>
      <c r="BG136" s="169">
        <v>132</v>
      </c>
      <c r="BH136" s="1">
        <f t="shared" si="104"/>
        <v>49536</v>
      </c>
      <c r="BI136" s="60">
        <f>IF($X136&lt;Input!$H$103,IF($X136&lt;Input!$G$103,IF($X136&lt;Input!$F$103,IF($X136&lt;Input!$E$103,IF($X136&lt;Input!$D$103,Input!$C$109,Input!$D$109),Input!$E$109),Input!$F$109),Input!$G$109),Input!$H$109)</f>
        <v>0</v>
      </c>
      <c r="BJ136" s="190">
        <f>IF($A136&lt;Input!$H$110,IF($A136&lt;Input!$G$110,IF($A136&lt;Input!$F$110,IF($A136&lt;Input!$E$110,IF($A136&lt;Input!$D$110,Input!$C$111,Input!$D$111),Input!$E$111),Input!$F$111),Input!$G$111),Input!$H$111)</f>
        <v>0.9</v>
      </c>
      <c r="BK136" s="60">
        <f t="shared" si="89"/>
        <v>0</v>
      </c>
      <c r="BL136" s="60">
        <f t="shared" si="105"/>
        <v>31</v>
      </c>
      <c r="BM136" s="60">
        <f t="shared" si="90"/>
        <v>0</v>
      </c>
      <c r="BN136" s="60">
        <f>ROUND(BM136*BL136*Input!$C$3/365,0)</f>
        <v>0</v>
      </c>
      <c r="BO136" s="61">
        <f>IF($A136&lt;=Input!$C$6,0,IF('Unique Tenure'!BK136&lt;'Unique Tenure'!BM136,'Unique Tenure'!BK136-BN136,'Unique Tenure'!BM136))</f>
        <v>0</v>
      </c>
      <c r="BP136" s="61">
        <f t="shared" si="91"/>
        <v>0</v>
      </c>
      <c r="BQ136" s="60">
        <f t="shared" si="92"/>
        <v>0</v>
      </c>
      <c r="BR136" s="198"/>
    </row>
    <row r="137" spans="1:70" s="51" customFormat="1" x14ac:dyDescent="0.25">
      <c r="A137" s="169">
        <v>133</v>
      </c>
      <c r="B137" s="1">
        <f t="shared" si="93"/>
        <v>49567</v>
      </c>
      <c r="C137" s="60">
        <f>SUM(
   IF(($A$4:$A$184 &lt;= Input!$D$16), M137, 0),
   IF(($A$4:$A$184 &lt;= Input!$E$16), Y137, 0),
   IF(($A$4:$A$184 &lt;= Input!$F$16), AK137, 0),
   IF(($A$4:$A$184 &lt;= Input!$G$16), AW137, 0),
   IF(($A$4:$A$184 &lt;= Input!$H$16), BI137, 0)
)</f>
        <v>33127052.878124986</v>
      </c>
      <c r="D137" s="60">
        <f>SUM(
   IF(($A$4:$A$184 &lt;= Input!$D$16), O137, 0),
   IF(($A$4:$A$184 &lt;= Input!$E$16), AA137, 0),
   IF(($A$4:$A$184 &lt;= Input!$F$16), AM137, 0),
   IF(($A$4:$A$184 &lt;= Input!$G$16), AY137, 0),
   IF(($A$4:$A$184 &lt;= Input!$H$16), BK137, 0)
)</f>
        <v>29814347.590312488</v>
      </c>
      <c r="E137" s="60">
        <f t="shared" si="94"/>
        <v>31</v>
      </c>
      <c r="F137" s="60">
        <f t="shared" si="95"/>
        <v>0</v>
      </c>
      <c r="G137" s="60">
        <f>ROUND(F137*E137*Input!$C$3/365,0)</f>
        <v>0</v>
      </c>
      <c r="H137" s="60">
        <f>IF($A137&lt;=Input!$C$6,0,IF('Unique Tenure'!D137&lt;'Unique Tenure'!F137,'Unique Tenure'!D137-G137,'Unique Tenure'!F137))</f>
        <v>0</v>
      </c>
      <c r="I137" s="60">
        <f t="shared" si="96"/>
        <v>0</v>
      </c>
      <c r="J137" s="60">
        <f t="shared" si="97"/>
        <v>0</v>
      </c>
      <c r="K137" s="202">
        <f>J137/Input!$K$5</f>
        <v>0</v>
      </c>
      <c r="L137" s="232"/>
      <c r="M137" s="60">
        <f>IF($B137&lt;Input!$H$43,IF($B137&lt;Input!$G$43,IF($B137&lt;Input!$F$43,IF($B137&lt;Input!$E$43,IF($B137&lt;Input!$D$43,Input!$C$49,Input!$D$49),Input!$E$49),Input!$F$49),Input!$G$49),Input!$H$49)</f>
        <v>33127052.878124986</v>
      </c>
      <c r="N137" s="190">
        <f>IF($A137&lt;Input!$H$50,IF($A137&lt;Input!$G$50,IF($A137&lt;Input!$F$50,IF($A137&lt;Input!$E$50,IF($A137&lt;Input!$D$50,Input!$C$51,Input!$D$51),Input!$E$51),Input!$F$51),Input!$G$51),Input!$H$51)</f>
        <v>0.9</v>
      </c>
      <c r="O137" s="60">
        <f t="shared" si="72"/>
        <v>29814347.590312488</v>
      </c>
      <c r="P137" s="60">
        <f t="shared" si="73"/>
        <v>31</v>
      </c>
      <c r="Q137" s="60">
        <f t="shared" si="74"/>
        <v>0</v>
      </c>
      <c r="R137" s="60">
        <f>ROUND(Q137*$P137*Input!$C$3/365,0)</f>
        <v>0</v>
      </c>
      <c r="S137" s="60">
        <f>IF(A137&lt;=Input!$C$6,0,IF('Unique Tenure'!O137&lt;'Unique Tenure'!Q137,'Unique Tenure'!O137-R137,'Unique Tenure'!Q137))</f>
        <v>0</v>
      </c>
      <c r="T137" s="60">
        <f t="shared" si="75"/>
        <v>0</v>
      </c>
      <c r="U137" s="60">
        <f t="shared" si="76"/>
        <v>0</v>
      </c>
      <c r="V137" s="193"/>
      <c r="W137" s="169">
        <v>133</v>
      </c>
      <c r="X137" s="1">
        <f t="shared" si="98"/>
        <v>49567</v>
      </c>
      <c r="Y137" s="60">
        <f>IF($X137&lt;Input!$H$58,IF($X137&lt;Input!$G$58,IF($X137&lt;Input!$F$58,IF($X137&lt;Input!$E$58,IF($X137&lt;Input!$D$58,Input!$C$64,Input!$D$64),Input!$E$64),Input!$F$64),Input!$G$64),Input!$H$64)</f>
        <v>0</v>
      </c>
      <c r="Z137" s="190">
        <f>IF($A137&lt;Input!$H$65,IF($A137&lt;Input!$G$65,IF($A137&lt;Input!$F$65,IF($A137&lt;Input!$E$65,IF($A137&lt;Input!$D$65,Input!$C$66,Input!$D$66),Input!$E$66),Input!$F$66),Input!$G$66),Input!$H$66)</f>
        <v>0.9</v>
      </c>
      <c r="AA137" s="60">
        <f t="shared" si="77"/>
        <v>0</v>
      </c>
      <c r="AB137" s="60">
        <f t="shared" si="99"/>
        <v>31</v>
      </c>
      <c r="AC137" s="60">
        <f t="shared" si="78"/>
        <v>0</v>
      </c>
      <c r="AD137" s="60">
        <f>ROUND(AC137*AB137*Input!$C$3/365,0)</f>
        <v>0</v>
      </c>
      <c r="AE137" s="61">
        <f>IF($A137&lt;=Input!$C$6,0,IF('Unique Tenure'!AA137&lt;'Unique Tenure'!AC137,'Unique Tenure'!AA137-AD137,'Unique Tenure'!AC137))</f>
        <v>0</v>
      </c>
      <c r="AF137" s="61">
        <f t="shared" si="79"/>
        <v>0</v>
      </c>
      <c r="AG137" s="60">
        <f t="shared" si="80"/>
        <v>0</v>
      </c>
      <c r="AH137" s="193"/>
      <c r="AI137" s="169">
        <v>133</v>
      </c>
      <c r="AJ137" s="1">
        <f t="shared" si="100"/>
        <v>49567</v>
      </c>
      <c r="AK137" s="60">
        <f>IF($X137&lt;Input!$H$73,IF($X137&lt;Input!$G$73,IF($X137&lt;Input!$F$73,IF($X137&lt;Input!$E$73,IF($X137&lt;Input!$D$73,Input!$C$79,Input!$D$79),Input!$E$79),Input!$F$79),Input!$G$79),Input!$H$79)</f>
        <v>0</v>
      </c>
      <c r="AL137" s="190">
        <f>IF($A137&lt;Input!$H$80,IF($A137&lt;Input!$G$80,IF($A137&lt;Input!$F$80,IF($A137&lt;Input!$E$80,IF($A137&lt;Input!$D$80,Input!$C$81,Input!$D$81),Input!$E$81),Input!$F$81),Input!$G$81),Input!$H$81)</f>
        <v>0.9</v>
      </c>
      <c r="AM137" s="60">
        <f t="shared" si="81"/>
        <v>0</v>
      </c>
      <c r="AN137" s="60">
        <f t="shared" si="101"/>
        <v>31</v>
      </c>
      <c r="AO137" s="60">
        <f t="shared" si="82"/>
        <v>0</v>
      </c>
      <c r="AP137" s="60">
        <f>ROUND(AO137*AN137*Input!$C$3/365,0)</f>
        <v>0</v>
      </c>
      <c r="AQ137" s="61">
        <f>IF($A137&lt;=Input!$C$6,0,IF('Unique Tenure'!AM137&lt;'Unique Tenure'!AO137,'Unique Tenure'!AM137-AP137,'Unique Tenure'!AO137))</f>
        <v>0</v>
      </c>
      <c r="AR137" s="61">
        <f t="shared" si="83"/>
        <v>0</v>
      </c>
      <c r="AS137" s="60">
        <f t="shared" si="84"/>
        <v>0</v>
      </c>
      <c r="AT137" s="193"/>
      <c r="AU137" s="169">
        <v>133</v>
      </c>
      <c r="AV137" s="1">
        <f t="shared" si="102"/>
        <v>49567</v>
      </c>
      <c r="AW137" s="60">
        <f>IF($X137&lt;Input!$H$88,IF($X137&lt;Input!$G$88,IF($X137&lt;Input!$F$88,IF($X137&lt;Input!$E$88,IF($X137&lt;Input!$D$88,Input!$C$94,Input!$D$94),Input!$E$94),Input!$F$94),Input!$G$94),Input!$H$94)</f>
        <v>0</v>
      </c>
      <c r="AX137" s="190">
        <f>IF($A137&lt;Input!$H$95,IF($A137&lt;Input!$G$95,IF($A137&lt;Input!$F$95,IF($A137&lt;Input!$E$95,IF($A137&lt;Input!$D$95,Input!$C$96,Input!$D$96),Input!$E$96),Input!$F$96),Input!$G$96),Input!$H$96)</f>
        <v>0.9</v>
      </c>
      <c r="AY137" s="60">
        <f t="shared" si="85"/>
        <v>0</v>
      </c>
      <c r="AZ137" s="60">
        <f t="shared" si="103"/>
        <v>31</v>
      </c>
      <c r="BA137" s="60">
        <f t="shared" si="86"/>
        <v>0</v>
      </c>
      <c r="BB137" s="60">
        <f>ROUND(BA137*AZ137*Input!$C$3/365,0)</f>
        <v>0</v>
      </c>
      <c r="BC137" s="61">
        <f>IF($A137&lt;=Input!$C$6,0,IF('Unique Tenure'!AY137&lt;'Unique Tenure'!BA137,'Unique Tenure'!AY137-BB137,'Unique Tenure'!BA137))</f>
        <v>0</v>
      </c>
      <c r="BD137" s="61">
        <f t="shared" si="87"/>
        <v>0</v>
      </c>
      <c r="BE137" s="60">
        <f t="shared" si="88"/>
        <v>0</v>
      </c>
      <c r="BF137" s="193"/>
      <c r="BG137" s="169">
        <v>133</v>
      </c>
      <c r="BH137" s="1">
        <f t="shared" si="104"/>
        <v>49567</v>
      </c>
      <c r="BI137" s="60">
        <f>IF($X137&lt;Input!$H$103,IF($X137&lt;Input!$G$103,IF($X137&lt;Input!$F$103,IF($X137&lt;Input!$E$103,IF($X137&lt;Input!$D$103,Input!$C$109,Input!$D$109),Input!$E$109),Input!$F$109),Input!$G$109),Input!$H$109)</f>
        <v>0</v>
      </c>
      <c r="BJ137" s="190">
        <f>IF($A137&lt;Input!$H$110,IF($A137&lt;Input!$G$110,IF($A137&lt;Input!$F$110,IF($A137&lt;Input!$E$110,IF($A137&lt;Input!$D$110,Input!$C$111,Input!$D$111),Input!$E$111),Input!$F$111),Input!$G$111),Input!$H$111)</f>
        <v>0.9</v>
      </c>
      <c r="BK137" s="60">
        <f t="shared" si="89"/>
        <v>0</v>
      </c>
      <c r="BL137" s="60">
        <f t="shared" si="105"/>
        <v>31</v>
      </c>
      <c r="BM137" s="60">
        <f t="shared" si="90"/>
        <v>0</v>
      </c>
      <c r="BN137" s="60">
        <f>ROUND(BM137*BL137*Input!$C$3/365,0)</f>
        <v>0</v>
      </c>
      <c r="BO137" s="61">
        <f>IF($A137&lt;=Input!$C$6,0,IF('Unique Tenure'!BK137&lt;'Unique Tenure'!BM137,'Unique Tenure'!BK137-BN137,'Unique Tenure'!BM137))</f>
        <v>0</v>
      </c>
      <c r="BP137" s="61">
        <f t="shared" si="91"/>
        <v>0</v>
      </c>
      <c r="BQ137" s="60">
        <f t="shared" si="92"/>
        <v>0</v>
      </c>
      <c r="BR137" s="198"/>
    </row>
    <row r="138" spans="1:70" s="51" customFormat="1" x14ac:dyDescent="0.25">
      <c r="A138" s="169">
        <v>134</v>
      </c>
      <c r="B138" s="1">
        <f t="shared" si="93"/>
        <v>49597</v>
      </c>
      <c r="C138" s="60">
        <f>SUM(
   IF(($A$4:$A$184 &lt;= Input!$D$16), M138, 0),
   IF(($A$4:$A$184 &lt;= Input!$E$16), Y138, 0),
   IF(($A$4:$A$184 &lt;= Input!$F$16), AK138, 0),
   IF(($A$4:$A$184 &lt;= Input!$G$16), AW138, 0),
   IF(($A$4:$A$184 &lt;= Input!$H$16), BI138, 0)
)</f>
        <v>33127052.878124986</v>
      </c>
      <c r="D138" s="60">
        <f>SUM(
   IF(($A$4:$A$184 &lt;= Input!$D$16), O138, 0),
   IF(($A$4:$A$184 &lt;= Input!$E$16), AA138, 0),
   IF(($A$4:$A$184 &lt;= Input!$F$16), AM138, 0),
   IF(($A$4:$A$184 &lt;= Input!$G$16), AY138, 0),
   IF(($A$4:$A$184 &lt;= Input!$H$16), BK138, 0)
)</f>
        <v>29814347.590312488</v>
      </c>
      <c r="E138" s="60">
        <f t="shared" si="94"/>
        <v>30</v>
      </c>
      <c r="F138" s="60">
        <f t="shared" si="95"/>
        <v>0</v>
      </c>
      <c r="G138" s="60">
        <f>ROUND(F138*E138*Input!$C$3/365,0)</f>
        <v>0</v>
      </c>
      <c r="H138" s="60">
        <f>IF($A138&lt;=Input!$C$6,0,IF('Unique Tenure'!D138&lt;'Unique Tenure'!F138,'Unique Tenure'!D138-G138,'Unique Tenure'!F138))</f>
        <v>0</v>
      </c>
      <c r="I138" s="60">
        <f t="shared" si="96"/>
        <v>0</v>
      </c>
      <c r="J138" s="60">
        <f t="shared" si="97"/>
        <v>0</v>
      </c>
      <c r="K138" s="202">
        <f>J138/Input!$K$5</f>
        <v>0</v>
      </c>
      <c r="L138" s="232"/>
      <c r="M138" s="60">
        <f>IF($B138&lt;Input!$H$43,IF($B138&lt;Input!$G$43,IF($B138&lt;Input!$F$43,IF($B138&lt;Input!$E$43,IF($B138&lt;Input!$D$43,Input!$C$49,Input!$D$49),Input!$E$49),Input!$F$49),Input!$G$49),Input!$H$49)</f>
        <v>33127052.878124986</v>
      </c>
      <c r="N138" s="190">
        <f>IF($A138&lt;Input!$H$50,IF($A138&lt;Input!$G$50,IF($A138&lt;Input!$F$50,IF($A138&lt;Input!$E$50,IF($A138&lt;Input!$D$50,Input!$C$51,Input!$D$51),Input!$E$51),Input!$F$51),Input!$G$51),Input!$H$51)</f>
        <v>0.9</v>
      </c>
      <c r="O138" s="60">
        <f t="shared" si="72"/>
        <v>29814347.590312488</v>
      </c>
      <c r="P138" s="60">
        <f t="shared" si="73"/>
        <v>30</v>
      </c>
      <c r="Q138" s="60">
        <f t="shared" si="74"/>
        <v>0</v>
      </c>
      <c r="R138" s="60">
        <f>ROUND(Q138*$P138*Input!$C$3/365,0)</f>
        <v>0</v>
      </c>
      <c r="S138" s="60">
        <f>IF(A138&lt;=Input!$C$6,0,IF('Unique Tenure'!O138&lt;'Unique Tenure'!Q138,'Unique Tenure'!O138-R138,'Unique Tenure'!Q138))</f>
        <v>0</v>
      </c>
      <c r="T138" s="60">
        <f t="shared" si="75"/>
        <v>0</v>
      </c>
      <c r="U138" s="60">
        <f t="shared" si="76"/>
        <v>0</v>
      </c>
      <c r="V138" s="193"/>
      <c r="W138" s="169">
        <v>134</v>
      </c>
      <c r="X138" s="1">
        <f t="shared" si="98"/>
        <v>49597</v>
      </c>
      <c r="Y138" s="60">
        <f>IF($X138&lt;Input!$H$58,IF($X138&lt;Input!$G$58,IF($X138&lt;Input!$F$58,IF($X138&lt;Input!$E$58,IF($X138&lt;Input!$D$58,Input!$C$64,Input!$D$64),Input!$E$64),Input!$F$64),Input!$G$64),Input!$H$64)</f>
        <v>0</v>
      </c>
      <c r="Z138" s="190">
        <f>IF($A138&lt;Input!$H$65,IF($A138&lt;Input!$G$65,IF($A138&lt;Input!$F$65,IF($A138&lt;Input!$E$65,IF($A138&lt;Input!$D$65,Input!$C$66,Input!$D$66),Input!$E$66),Input!$F$66),Input!$G$66),Input!$H$66)</f>
        <v>0.9</v>
      </c>
      <c r="AA138" s="60">
        <f t="shared" si="77"/>
        <v>0</v>
      </c>
      <c r="AB138" s="60">
        <f t="shared" si="99"/>
        <v>30</v>
      </c>
      <c r="AC138" s="60">
        <f t="shared" si="78"/>
        <v>0</v>
      </c>
      <c r="AD138" s="60">
        <f>ROUND(AC138*AB138*Input!$C$3/365,0)</f>
        <v>0</v>
      </c>
      <c r="AE138" s="61">
        <f>IF($A138&lt;=Input!$C$6,0,IF('Unique Tenure'!AA138&lt;'Unique Tenure'!AC138,'Unique Tenure'!AA138-AD138,'Unique Tenure'!AC138))</f>
        <v>0</v>
      </c>
      <c r="AF138" s="61">
        <f t="shared" si="79"/>
        <v>0</v>
      </c>
      <c r="AG138" s="60">
        <f t="shared" si="80"/>
        <v>0</v>
      </c>
      <c r="AH138" s="193"/>
      <c r="AI138" s="169">
        <v>134</v>
      </c>
      <c r="AJ138" s="1">
        <f t="shared" si="100"/>
        <v>49597</v>
      </c>
      <c r="AK138" s="60">
        <f>IF($X138&lt;Input!$H$73,IF($X138&lt;Input!$G$73,IF($X138&lt;Input!$F$73,IF($X138&lt;Input!$E$73,IF($X138&lt;Input!$D$73,Input!$C$79,Input!$D$79),Input!$E$79),Input!$F$79),Input!$G$79),Input!$H$79)</f>
        <v>0</v>
      </c>
      <c r="AL138" s="190">
        <f>IF($A138&lt;Input!$H$80,IF($A138&lt;Input!$G$80,IF($A138&lt;Input!$F$80,IF($A138&lt;Input!$E$80,IF($A138&lt;Input!$D$80,Input!$C$81,Input!$D$81),Input!$E$81),Input!$F$81),Input!$G$81),Input!$H$81)</f>
        <v>0.9</v>
      </c>
      <c r="AM138" s="60">
        <f t="shared" si="81"/>
        <v>0</v>
      </c>
      <c r="AN138" s="60">
        <f t="shared" si="101"/>
        <v>30</v>
      </c>
      <c r="AO138" s="60">
        <f t="shared" si="82"/>
        <v>0</v>
      </c>
      <c r="AP138" s="60">
        <f>ROUND(AO138*AN138*Input!$C$3/365,0)</f>
        <v>0</v>
      </c>
      <c r="AQ138" s="61">
        <f>IF($A138&lt;=Input!$C$6,0,IF('Unique Tenure'!AM138&lt;'Unique Tenure'!AO138,'Unique Tenure'!AM138-AP138,'Unique Tenure'!AO138))</f>
        <v>0</v>
      </c>
      <c r="AR138" s="61">
        <f t="shared" si="83"/>
        <v>0</v>
      </c>
      <c r="AS138" s="60">
        <f t="shared" si="84"/>
        <v>0</v>
      </c>
      <c r="AT138" s="193"/>
      <c r="AU138" s="169">
        <v>134</v>
      </c>
      <c r="AV138" s="1">
        <f t="shared" si="102"/>
        <v>49597</v>
      </c>
      <c r="AW138" s="60">
        <f>IF($X138&lt;Input!$H$88,IF($X138&lt;Input!$G$88,IF($X138&lt;Input!$F$88,IF($X138&lt;Input!$E$88,IF($X138&lt;Input!$D$88,Input!$C$94,Input!$D$94),Input!$E$94),Input!$F$94),Input!$G$94),Input!$H$94)</f>
        <v>0</v>
      </c>
      <c r="AX138" s="190">
        <f>IF($A138&lt;Input!$H$95,IF($A138&lt;Input!$G$95,IF($A138&lt;Input!$F$95,IF($A138&lt;Input!$E$95,IF($A138&lt;Input!$D$95,Input!$C$96,Input!$D$96),Input!$E$96),Input!$F$96),Input!$G$96),Input!$H$96)</f>
        <v>0.9</v>
      </c>
      <c r="AY138" s="60">
        <f t="shared" si="85"/>
        <v>0</v>
      </c>
      <c r="AZ138" s="60">
        <f t="shared" si="103"/>
        <v>30</v>
      </c>
      <c r="BA138" s="60">
        <f t="shared" si="86"/>
        <v>0</v>
      </c>
      <c r="BB138" s="60">
        <f>ROUND(BA138*AZ138*Input!$C$3/365,0)</f>
        <v>0</v>
      </c>
      <c r="BC138" s="61">
        <f>IF($A138&lt;=Input!$C$6,0,IF('Unique Tenure'!AY138&lt;'Unique Tenure'!BA138,'Unique Tenure'!AY138-BB138,'Unique Tenure'!BA138))</f>
        <v>0</v>
      </c>
      <c r="BD138" s="61">
        <f t="shared" si="87"/>
        <v>0</v>
      </c>
      <c r="BE138" s="60">
        <f t="shared" si="88"/>
        <v>0</v>
      </c>
      <c r="BF138" s="193"/>
      <c r="BG138" s="169">
        <v>134</v>
      </c>
      <c r="BH138" s="1">
        <f t="shared" si="104"/>
        <v>49597</v>
      </c>
      <c r="BI138" s="60">
        <f>IF($X138&lt;Input!$H$103,IF($X138&lt;Input!$G$103,IF($X138&lt;Input!$F$103,IF($X138&lt;Input!$E$103,IF($X138&lt;Input!$D$103,Input!$C$109,Input!$D$109),Input!$E$109),Input!$F$109),Input!$G$109),Input!$H$109)</f>
        <v>0</v>
      </c>
      <c r="BJ138" s="190">
        <f>IF($A138&lt;Input!$H$110,IF($A138&lt;Input!$G$110,IF($A138&lt;Input!$F$110,IF($A138&lt;Input!$E$110,IF($A138&lt;Input!$D$110,Input!$C$111,Input!$D$111),Input!$E$111),Input!$F$111),Input!$G$111),Input!$H$111)</f>
        <v>0.9</v>
      </c>
      <c r="BK138" s="60">
        <f t="shared" si="89"/>
        <v>0</v>
      </c>
      <c r="BL138" s="60">
        <f t="shared" si="105"/>
        <v>30</v>
      </c>
      <c r="BM138" s="60">
        <f t="shared" si="90"/>
        <v>0</v>
      </c>
      <c r="BN138" s="60">
        <f>ROUND(BM138*BL138*Input!$C$3/365,0)</f>
        <v>0</v>
      </c>
      <c r="BO138" s="61">
        <f>IF($A138&lt;=Input!$C$6,0,IF('Unique Tenure'!BK138&lt;'Unique Tenure'!BM138,'Unique Tenure'!BK138-BN138,'Unique Tenure'!BM138))</f>
        <v>0</v>
      </c>
      <c r="BP138" s="61">
        <f t="shared" si="91"/>
        <v>0</v>
      </c>
      <c r="BQ138" s="60">
        <f t="shared" si="92"/>
        <v>0</v>
      </c>
      <c r="BR138" s="198"/>
    </row>
    <row r="139" spans="1:70" s="51" customFormat="1" x14ac:dyDescent="0.25">
      <c r="A139" s="169">
        <v>135</v>
      </c>
      <c r="B139" s="1">
        <f t="shared" si="93"/>
        <v>49628</v>
      </c>
      <c r="C139" s="60">
        <f>SUM(
   IF(($A$4:$A$184 &lt;= Input!$D$16), M139, 0),
   IF(($A$4:$A$184 &lt;= Input!$E$16), Y139, 0),
   IF(($A$4:$A$184 &lt;= Input!$F$16), AK139, 0),
   IF(($A$4:$A$184 &lt;= Input!$G$16), AW139, 0),
   IF(($A$4:$A$184 &lt;= Input!$H$16), BI139, 0)
)</f>
        <v>33127052.878124986</v>
      </c>
      <c r="D139" s="60">
        <f>SUM(
   IF(($A$4:$A$184 &lt;= Input!$D$16), O139, 0),
   IF(($A$4:$A$184 &lt;= Input!$E$16), AA139, 0),
   IF(($A$4:$A$184 &lt;= Input!$F$16), AM139, 0),
   IF(($A$4:$A$184 &lt;= Input!$G$16), AY139, 0),
   IF(($A$4:$A$184 &lt;= Input!$H$16), BK139, 0)
)</f>
        <v>29814347.590312488</v>
      </c>
      <c r="E139" s="60">
        <f t="shared" si="94"/>
        <v>31</v>
      </c>
      <c r="F139" s="60">
        <f t="shared" si="95"/>
        <v>0</v>
      </c>
      <c r="G139" s="60">
        <f>ROUND(F139*E139*Input!$C$3/365,0)</f>
        <v>0</v>
      </c>
      <c r="H139" s="60">
        <f>IF($A139&lt;=Input!$C$6,0,IF('Unique Tenure'!D139&lt;'Unique Tenure'!F139,'Unique Tenure'!D139-G139,'Unique Tenure'!F139))</f>
        <v>0</v>
      </c>
      <c r="I139" s="60">
        <f t="shared" si="96"/>
        <v>0</v>
      </c>
      <c r="J139" s="60">
        <f t="shared" si="97"/>
        <v>0</v>
      </c>
      <c r="K139" s="202">
        <f>J139/Input!$K$5</f>
        <v>0</v>
      </c>
      <c r="L139" s="232"/>
      <c r="M139" s="60">
        <f>IF($B139&lt;Input!$H$43,IF($B139&lt;Input!$G$43,IF($B139&lt;Input!$F$43,IF($B139&lt;Input!$E$43,IF($B139&lt;Input!$D$43,Input!$C$49,Input!$D$49),Input!$E$49),Input!$F$49),Input!$G$49),Input!$H$49)</f>
        <v>33127052.878124986</v>
      </c>
      <c r="N139" s="190">
        <f>IF($A139&lt;Input!$H$50,IF($A139&lt;Input!$G$50,IF($A139&lt;Input!$F$50,IF($A139&lt;Input!$E$50,IF($A139&lt;Input!$D$50,Input!$C$51,Input!$D$51),Input!$E$51),Input!$F$51),Input!$G$51),Input!$H$51)</f>
        <v>0.9</v>
      </c>
      <c r="O139" s="60">
        <f t="shared" si="72"/>
        <v>29814347.590312488</v>
      </c>
      <c r="P139" s="60">
        <f t="shared" si="73"/>
        <v>31</v>
      </c>
      <c r="Q139" s="60">
        <f t="shared" si="74"/>
        <v>0</v>
      </c>
      <c r="R139" s="60">
        <f>ROUND(Q139*$P139*Input!$C$3/365,0)</f>
        <v>0</v>
      </c>
      <c r="S139" s="60">
        <f>IF(A139&lt;=Input!$C$6,0,IF('Unique Tenure'!O139&lt;'Unique Tenure'!Q139,'Unique Tenure'!O139-R139,'Unique Tenure'!Q139))</f>
        <v>0</v>
      </c>
      <c r="T139" s="60">
        <f t="shared" si="75"/>
        <v>0</v>
      </c>
      <c r="U139" s="60">
        <f t="shared" si="76"/>
        <v>0</v>
      </c>
      <c r="V139" s="193"/>
      <c r="W139" s="169">
        <v>135</v>
      </c>
      <c r="X139" s="1">
        <f t="shared" si="98"/>
        <v>49628</v>
      </c>
      <c r="Y139" s="60">
        <f>IF($X139&lt;Input!$H$58,IF($X139&lt;Input!$G$58,IF($X139&lt;Input!$F$58,IF($X139&lt;Input!$E$58,IF($X139&lt;Input!$D$58,Input!$C$64,Input!$D$64),Input!$E$64),Input!$F$64),Input!$G$64),Input!$H$64)</f>
        <v>0</v>
      </c>
      <c r="Z139" s="190">
        <f>IF($A139&lt;Input!$H$65,IF($A139&lt;Input!$G$65,IF($A139&lt;Input!$F$65,IF($A139&lt;Input!$E$65,IF($A139&lt;Input!$D$65,Input!$C$66,Input!$D$66),Input!$E$66),Input!$F$66),Input!$G$66),Input!$H$66)</f>
        <v>0.9</v>
      </c>
      <c r="AA139" s="60">
        <f t="shared" si="77"/>
        <v>0</v>
      </c>
      <c r="AB139" s="60">
        <f t="shared" si="99"/>
        <v>31</v>
      </c>
      <c r="AC139" s="60">
        <f t="shared" si="78"/>
        <v>0</v>
      </c>
      <c r="AD139" s="60">
        <f>ROUND(AC139*AB139*Input!$C$3/365,0)</f>
        <v>0</v>
      </c>
      <c r="AE139" s="61">
        <f>IF($A139&lt;=Input!$C$6,0,IF('Unique Tenure'!AA139&lt;'Unique Tenure'!AC139,'Unique Tenure'!AA139-AD139,'Unique Tenure'!AC139))</f>
        <v>0</v>
      </c>
      <c r="AF139" s="61">
        <f t="shared" si="79"/>
        <v>0</v>
      </c>
      <c r="AG139" s="60">
        <f t="shared" si="80"/>
        <v>0</v>
      </c>
      <c r="AH139" s="193"/>
      <c r="AI139" s="169">
        <v>135</v>
      </c>
      <c r="AJ139" s="1">
        <f t="shared" si="100"/>
        <v>49628</v>
      </c>
      <c r="AK139" s="60">
        <f>IF($X139&lt;Input!$H$73,IF($X139&lt;Input!$G$73,IF($X139&lt;Input!$F$73,IF($X139&lt;Input!$E$73,IF($X139&lt;Input!$D$73,Input!$C$79,Input!$D$79),Input!$E$79),Input!$F$79),Input!$G$79),Input!$H$79)</f>
        <v>0</v>
      </c>
      <c r="AL139" s="190">
        <f>IF($A139&lt;Input!$H$80,IF($A139&lt;Input!$G$80,IF($A139&lt;Input!$F$80,IF($A139&lt;Input!$E$80,IF($A139&lt;Input!$D$80,Input!$C$81,Input!$D$81),Input!$E$81),Input!$F$81),Input!$G$81),Input!$H$81)</f>
        <v>0.9</v>
      </c>
      <c r="AM139" s="60">
        <f t="shared" si="81"/>
        <v>0</v>
      </c>
      <c r="AN139" s="60">
        <f t="shared" si="101"/>
        <v>31</v>
      </c>
      <c r="AO139" s="60">
        <f t="shared" si="82"/>
        <v>0</v>
      </c>
      <c r="AP139" s="60">
        <f>ROUND(AO139*AN139*Input!$C$3/365,0)</f>
        <v>0</v>
      </c>
      <c r="AQ139" s="61">
        <f>IF($A139&lt;=Input!$C$6,0,IF('Unique Tenure'!AM139&lt;'Unique Tenure'!AO139,'Unique Tenure'!AM139-AP139,'Unique Tenure'!AO139))</f>
        <v>0</v>
      </c>
      <c r="AR139" s="61">
        <f t="shared" si="83"/>
        <v>0</v>
      </c>
      <c r="AS139" s="60">
        <f t="shared" si="84"/>
        <v>0</v>
      </c>
      <c r="AT139" s="193"/>
      <c r="AU139" s="169">
        <v>135</v>
      </c>
      <c r="AV139" s="1">
        <f t="shared" si="102"/>
        <v>49628</v>
      </c>
      <c r="AW139" s="60">
        <f>IF($X139&lt;Input!$H$88,IF($X139&lt;Input!$G$88,IF($X139&lt;Input!$F$88,IF($X139&lt;Input!$E$88,IF($X139&lt;Input!$D$88,Input!$C$94,Input!$D$94),Input!$E$94),Input!$F$94),Input!$G$94),Input!$H$94)</f>
        <v>0</v>
      </c>
      <c r="AX139" s="190">
        <f>IF($A139&lt;Input!$H$95,IF($A139&lt;Input!$G$95,IF($A139&lt;Input!$F$95,IF($A139&lt;Input!$E$95,IF($A139&lt;Input!$D$95,Input!$C$96,Input!$D$96),Input!$E$96),Input!$F$96),Input!$G$96),Input!$H$96)</f>
        <v>0.9</v>
      </c>
      <c r="AY139" s="60">
        <f t="shared" si="85"/>
        <v>0</v>
      </c>
      <c r="AZ139" s="60">
        <f t="shared" si="103"/>
        <v>31</v>
      </c>
      <c r="BA139" s="60">
        <f t="shared" si="86"/>
        <v>0</v>
      </c>
      <c r="BB139" s="60">
        <f>ROUND(BA139*AZ139*Input!$C$3/365,0)</f>
        <v>0</v>
      </c>
      <c r="BC139" s="61">
        <f>IF($A139&lt;=Input!$C$6,0,IF('Unique Tenure'!AY139&lt;'Unique Tenure'!BA139,'Unique Tenure'!AY139-BB139,'Unique Tenure'!BA139))</f>
        <v>0</v>
      </c>
      <c r="BD139" s="61">
        <f t="shared" si="87"/>
        <v>0</v>
      </c>
      <c r="BE139" s="60">
        <f t="shared" si="88"/>
        <v>0</v>
      </c>
      <c r="BF139" s="193"/>
      <c r="BG139" s="169">
        <v>135</v>
      </c>
      <c r="BH139" s="1">
        <f t="shared" si="104"/>
        <v>49628</v>
      </c>
      <c r="BI139" s="60">
        <f>IF($X139&lt;Input!$H$103,IF($X139&lt;Input!$G$103,IF($X139&lt;Input!$F$103,IF($X139&lt;Input!$E$103,IF($X139&lt;Input!$D$103,Input!$C$109,Input!$D$109),Input!$E$109),Input!$F$109),Input!$G$109),Input!$H$109)</f>
        <v>0</v>
      </c>
      <c r="BJ139" s="190">
        <f>IF($A139&lt;Input!$H$110,IF($A139&lt;Input!$G$110,IF($A139&lt;Input!$F$110,IF($A139&lt;Input!$E$110,IF($A139&lt;Input!$D$110,Input!$C$111,Input!$D$111),Input!$E$111),Input!$F$111),Input!$G$111),Input!$H$111)</f>
        <v>0.9</v>
      </c>
      <c r="BK139" s="60">
        <f t="shared" si="89"/>
        <v>0</v>
      </c>
      <c r="BL139" s="60">
        <f t="shared" si="105"/>
        <v>31</v>
      </c>
      <c r="BM139" s="60">
        <f t="shared" si="90"/>
        <v>0</v>
      </c>
      <c r="BN139" s="60">
        <f>ROUND(BM139*BL139*Input!$C$3/365,0)</f>
        <v>0</v>
      </c>
      <c r="BO139" s="61">
        <f>IF($A139&lt;=Input!$C$6,0,IF('Unique Tenure'!BK139&lt;'Unique Tenure'!BM139,'Unique Tenure'!BK139-BN139,'Unique Tenure'!BM139))</f>
        <v>0</v>
      </c>
      <c r="BP139" s="61">
        <f t="shared" si="91"/>
        <v>0</v>
      </c>
      <c r="BQ139" s="60">
        <f t="shared" si="92"/>
        <v>0</v>
      </c>
      <c r="BR139" s="198"/>
    </row>
    <row r="140" spans="1:70" s="51" customFormat="1" x14ac:dyDescent="0.25">
      <c r="A140" s="169">
        <v>136</v>
      </c>
      <c r="B140" s="1">
        <f t="shared" si="93"/>
        <v>49658</v>
      </c>
      <c r="C140" s="60">
        <f>SUM(
   IF(($A$4:$A$184 &lt;= Input!$D$16), M140, 0),
   IF(($A$4:$A$184 &lt;= Input!$E$16), Y140, 0),
   IF(($A$4:$A$184 &lt;= Input!$F$16), AK140, 0),
   IF(($A$4:$A$184 &lt;= Input!$G$16), AW140, 0),
   IF(($A$4:$A$184 &lt;= Input!$H$16), BI140, 0)
)</f>
        <v>33127052.878124986</v>
      </c>
      <c r="D140" s="60">
        <f>SUM(
   IF(($A$4:$A$184 &lt;= Input!$D$16), O140, 0),
   IF(($A$4:$A$184 &lt;= Input!$E$16), AA140, 0),
   IF(($A$4:$A$184 &lt;= Input!$F$16), AM140, 0),
   IF(($A$4:$A$184 &lt;= Input!$G$16), AY140, 0),
   IF(($A$4:$A$184 &lt;= Input!$H$16), BK140, 0)
)</f>
        <v>29814347.590312488</v>
      </c>
      <c r="E140" s="60">
        <f t="shared" si="94"/>
        <v>30</v>
      </c>
      <c r="F140" s="60">
        <f t="shared" si="95"/>
        <v>0</v>
      </c>
      <c r="G140" s="60">
        <f>ROUND(F140*E140*Input!$C$3/365,0)</f>
        <v>0</v>
      </c>
      <c r="H140" s="60">
        <f>IF($A140&lt;=Input!$C$6,0,IF('Unique Tenure'!D140&lt;'Unique Tenure'!F140,'Unique Tenure'!D140-G140,'Unique Tenure'!F140))</f>
        <v>0</v>
      </c>
      <c r="I140" s="60">
        <f t="shared" si="96"/>
        <v>0</v>
      </c>
      <c r="J140" s="60">
        <f t="shared" si="97"/>
        <v>0</v>
      </c>
      <c r="K140" s="202">
        <f>J140/Input!$K$5</f>
        <v>0</v>
      </c>
      <c r="L140" s="232"/>
      <c r="M140" s="60">
        <f>IF($B140&lt;Input!$H$43,IF($B140&lt;Input!$G$43,IF($B140&lt;Input!$F$43,IF($B140&lt;Input!$E$43,IF($B140&lt;Input!$D$43,Input!$C$49,Input!$D$49),Input!$E$49),Input!$F$49),Input!$G$49),Input!$H$49)</f>
        <v>33127052.878124986</v>
      </c>
      <c r="N140" s="190">
        <f>IF($A140&lt;Input!$H$50,IF($A140&lt;Input!$G$50,IF($A140&lt;Input!$F$50,IF($A140&lt;Input!$E$50,IF($A140&lt;Input!$D$50,Input!$C$51,Input!$D$51),Input!$E$51),Input!$F$51),Input!$G$51),Input!$H$51)</f>
        <v>0.9</v>
      </c>
      <c r="O140" s="60">
        <f t="shared" si="72"/>
        <v>29814347.590312488</v>
      </c>
      <c r="P140" s="60">
        <f t="shared" si="73"/>
        <v>30</v>
      </c>
      <c r="Q140" s="60">
        <f t="shared" si="74"/>
        <v>0</v>
      </c>
      <c r="R140" s="60">
        <f>ROUND(Q140*$P140*Input!$C$3/365,0)</f>
        <v>0</v>
      </c>
      <c r="S140" s="60">
        <f>IF(A140&lt;=Input!$C$6,0,IF('Unique Tenure'!O140&lt;'Unique Tenure'!Q140,'Unique Tenure'!O140-R140,'Unique Tenure'!Q140))</f>
        <v>0</v>
      </c>
      <c r="T140" s="60">
        <f t="shared" si="75"/>
        <v>0</v>
      </c>
      <c r="U140" s="60">
        <f t="shared" si="76"/>
        <v>0</v>
      </c>
      <c r="V140" s="193"/>
      <c r="W140" s="169">
        <v>136</v>
      </c>
      <c r="X140" s="1">
        <f t="shared" si="98"/>
        <v>49658</v>
      </c>
      <c r="Y140" s="60">
        <f>IF($X140&lt;Input!$H$58,IF($X140&lt;Input!$G$58,IF($X140&lt;Input!$F$58,IF($X140&lt;Input!$E$58,IF($X140&lt;Input!$D$58,Input!$C$64,Input!$D$64),Input!$E$64),Input!$F$64),Input!$G$64),Input!$H$64)</f>
        <v>0</v>
      </c>
      <c r="Z140" s="190">
        <f>IF($A140&lt;Input!$H$65,IF($A140&lt;Input!$G$65,IF($A140&lt;Input!$F$65,IF($A140&lt;Input!$E$65,IF($A140&lt;Input!$D$65,Input!$C$66,Input!$D$66),Input!$E$66),Input!$F$66),Input!$G$66),Input!$H$66)</f>
        <v>0.9</v>
      </c>
      <c r="AA140" s="60">
        <f t="shared" si="77"/>
        <v>0</v>
      </c>
      <c r="AB140" s="60">
        <f t="shared" si="99"/>
        <v>30</v>
      </c>
      <c r="AC140" s="60">
        <f t="shared" si="78"/>
        <v>0</v>
      </c>
      <c r="AD140" s="60">
        <f>ROUND(AC140*AB140*Input!$C$3/365,0)</f>
        <v>0</v>
      </c>
      <c r="AE140" s="61">
        <f>IF($A140&lt;=Input!$C$6,0,IF('Unique Tenure'!AA140&lt;'Unique Tenure'!AC140,'Unique Tenure'!AA140-AD140,'Unique Tenure'!AC140))</f>
        <v>0</v>
      </c>
      <c r="AF140" s="61">
        <f t="shared" si="79"/>
        <v>0</v>
      </c>
      <c r="AG140" s="60">
        <f t="shared" si="80"/>
        <v>0</v>
      </c>
      <c r="AH140" s="193"/>
      <c r="AI140" s="169">
        <v>136</v>
      </c>
      <c r="AJ140" s="1">
        <f t="shared" si="100"/>
        <v>49658</v>
      </c>
      <c r="AK140" s="60">
        <f>IF($X140&lt;Input!$H$73,IF($X140&lt;Input!$G$73,IF($X140&lt;Input!$F$73,IF($X140&lt;Input!$E$73,IF($X140&lt;Input!$D$73,Input!$C$79,Input!$D$79),Input!$E$79),Input!$F$79),Input!$G$79),Input!$H$79)</f>
        <v>0</v>
      </c>
      <c r="AL140" s="190">
        <f>IF($A140&lt;Input!$H$80,IF($A140&lt;Input!$G$80,IF($A140&lt;Input!$F$80,IF($A140&lt;Input!$E$80,IF($A140&lt;Input!$D$80,Input!$C$81,Input!$D$81),Input!$E$81),Input!$F$81),Input!$G$81),Input!$H$81)</f>
        <v>0.9</v>
      </c>
      <c r="AM140" s="60">
        <f t="shared" si="81"/>
        <v>0</v>
      </c>
      <c r="AN140" s="60">
        <f t="shared" si="101"/>
        <v>30</v>
      </c>
      <c r="AO140" s="60">
        <f t="shared" si="82"/>
        <v>0</v>
      </c>
      <c r="AP140" s="60">
        <f>ROUND(AO140*AN140*Input!$C$3/365,0)</f>
        <v>0</v>
      </c>
      <c r="AQ140" s="61">
        <f>IF($A140&lt;=Input!$C$6,0,IF('Unique Tenure'!AM140&lt;'Unique Tenure'!AO140,'Unique Tenure'!AM140-AP140,'Unique Tenure'!AO140))</f>
        <v>0</v>
      </c>
      <c r="AR140" s="61">
        <f t="shared" si="83"/>
        <v>0</v>
      </c>
      <c r="AS140" s="60">
        <f t="shared" si="84"/>
        <v>0</v>
      </c>
      <c r="AT140" s="193"/>
      <c r="AU140" s="169">
        <v>136</v>
      </c>
      <c r="AV140" s="1">
        <f t="shared" si="102"/>
        <v>49658</v>
      </c>
      <c r="AW140" s="60">
        <f>IF($X140&lt;Input!$H$88,IF($X140&lt;Input!$G$88,IF($X140&lt;Input!$F$88,IF($X140&lt;Input!$E$88,IF($X140&lt;Input!$D$88,Input!$C$94,Input!$D$94),Input!$E$94),Input!$F$94),Input!$G$94),Input!$H$94)</f>
        <v>0</v>
      </c>
      <c r="AX140" s="190">
        <f>IF($A140&lt;Input!$H$95,IF($A140&lt;Input!$G$95,IF($A140&lt;Input!$F$95,IF($A140&lt;Input!$E$95,IF($A140&lt;Input!$D$95,Input!$C$96,Input!$D$96),Input!$E$96),Input!$F$96),Input!$G$96),Input!$H$96)</f>
        <v>0.9</v>
      </c>
      <c r="AY140" s="60">
        <f t="shared" si="85"/>
        <v>0</v>
      </c>
      <c r="AZ140" s="60">
        <f t="shared" si="103"/>
        <v>30</v>
      </c>
      <c r="BA140" s="60">
        <f t="shared" si="86"/>
        <v>0</v>
      </c>
      <c r="BB140" s="60">
        <f>ROUND(BA140*AZ140*Input!$C$3/365,0)</f>
        <v>0</v>
      </c>
      <c r="BC140" s="61">
        <f>IF($A140&lt;=Input!$C$6,0,IF('Unique Tenure'!AY140&lt;'Unique Tenure'!BA140,'Unique Tenure'!AY140-BB140,'Unique Tenure'!BA140))</f>
        <v>0</v>
      </c>
      <c r="BD140" s="61">
        <f t="shared" si="87"/>
        <v>0</v>
      </c>
      <c r="BE140" s="60">
        <f t="shared" si="88"/>
        <v>0</v>
      </c>
      <c r="BF140" s="193"/>
      <c r="BG140" s="169">
        <v>136</v>
      </c>
      <c r="BH140" s="1">
        <f t="shared" si="104"/>
        <v>49658</v>
      </c>
      <c r="BI140" s="60">
        <f>IF($X140&lt;Input!$H$103,IF($X140&lt;Input!$G$103,IF($X140&lt;Input!$F$103,IF($X140&lt;Input!$E$103,IF($X140&lt;Input!$D$103,Input!$C$109,Input!$D$109),Input!$E$109),Input!$F$109),Input!$G$109),Input!$H$109)</f>
        <v>0</v>
      </c>
      <c r="BJ140" s="190">
        <f>IF($A140&lt;Input!$H$110,IF($A140&lt;Input!$G$110,IF($A140&lt;Input!$F$110,IF($A140&lt;Input!$E$110,IF($A140&lt;Input!$D$110,Input!$C$111,Input!$D$111),Input!$E$111),Input!$F$111),Input!$G$111),Input!$H$111)</f>
        <v>0.9</v>
      </c>
      <c r="BK140" s="60">
        <f t="shared" si="89"/>
        <v>0</v>
      </c>
      <c r="BL140" s="60">
        <f t="shared" si="105"/>
        <v>30</v>
      </c>
      <c r="BM140" s="60">
        <f t="shared" si="90"/>
        <v>0</v>
      </c>
      <c r="BN140" s="60">
        <f>ROUND(BM140*BL140*Input!$C$3/365,0)</f>
        <v>0</v>
      </c>
      <c r="BO140" s="61">
        <f>IF($A140&lt;=Input!$C$6,0,IF('Unique Tenure'!BK140&lt;'Unique Tenure'!BM140,'Unique Tenure'!BK140-BN140,'Unique Tenure'!BM140))</f>
        <v>0</v>
      </c>
      <c r="BP140" s="61">
        <f t="shared" si="91"/>
        <v>0</v>
      </c>
      <c r="BQ140" s="60">
        <f t="shared" si="92"/>
        <v>0</v>
      </c>
      <c r="BR140" s="198"/>
    </row>
    <row r="141" spans="1:70" s="51" customFormat="1" x14ac:dyDescent="0.25">
      <c r="A141" s="169">
        <v>137</v>
      </c>
      <c r="B141" s="1">
        <f t="shared" si="93"/>
        <v>49689</v>
      </c>
      <c r="C141" s="60">
        <f>SUM(
   IF(($A$4:$A$184 &lt;= Input!$D$16), M141, 0),
   IF(($A$4:$A$184 &lt;= Input!$E$16), Y141, 0),
   IF(($A$4:$A$184 &lt;= Input!$F$16), AK141, 0),
   IF(($A$4:$A$184 &lt;= Input!$G$16), AW141, 0),
   IF(($A$4:$A$184 &lt;= Input!$H$16), BI141, 0)
)</f>
        <v>33127052.878124986</v>
      </c>
      <c r="D141" s="60">
        <f>SUM(
   IF(($A$4:$A$184 &lt;= Input!$D$16), O141, 0),
   IF(($A$4:$A$184 &lt;= Input!$E$16), AA141, 0),
   IF(($A$4:$A$184 &lt;= Input!$F$16), AM141, 0),
   IF(($A$4:$A$184 &lt;= Input!$G$16), AY141, 0),
   IF(($A$4:$A$184 &lt;= Input!$H$16), BK141, 0)
)</f>
        <v>29814347.590312488</v>
      </c>
      <c r="E141" s="60">
        <f t="shared" si="94"/>
        <v>31</v>
      </c>
      <c r="F141" s="60">
        <f t="shared" si="95"/>
        <v>0</v>
      </c>
      <c r="G141" s="60">
        <f>ROUND(F141*E141*Input!$C$3/365,0)</f>
        <v>0</v>
      </c>
      <c r="H141" s="60">
        <f>IF($A141&lt;=Input!$C$6,0,IF('Unique Tenure'!D141&lt;'Unique Tenure'!F141,'Unique Tenure'!D141-G141,'Unique Tenure'!F141))</f>
        <v>0</v>
      </c>
      <c r="I141" s="60">
        <f t="shared" si="96"/>
        <v>0</v>
      </c>
      <c r="J141" s="60">
        <f t="shared" si="97"/>
        <v>0</v>
      </c>
      <c r="K141" s="202">
        <f>J141/Input!$K$5</f>
        <v>0</v>
      </c>
      <c r="L141" s="232"/>
      <c r="M141" s="60">
        <f>IF($B141&lt;Input!$H$43,IF($B141&lt;Input!$G$43,IF($B141&lt;Input!$F$43,IF($B141&lt;Input!$E$43,IF($B141&lt;Input!$D$43,Input!$C$49,Input!$D$49),Input!$E$49),Input!$F$49),Input!$G$49),Input!$H$49)</f>
        <v>33127052.878124986</v>
      </c>
      <c r="N141" s="190">
        <f>IF($A141&lt;Input!$H$50,IF($A141&lt;Input!$G$50,IF($A141&lt;Input!$F$50,IF($A141&lt;Input!$E$50,IF($A141&lt;Input!$D$50,Input!$C$51,Input!$D$51),Input!$E$51),Input!$F$51),Input!$G$51),Input!$H$51)</f>
        <v>0.9</v>
      </c>
      <c r="O141" s="60">
        <f t="shared" si="72"/>
        <v>29814347.590312488</v>
      </c>
      <c r="P141" s="60">
        <f t="shared" si="73"/>
        <v>31</v>
      </c>
      <c r="Q141" s="60">
        <f t="shared" si="74"/>
        <v>0</v>
      </c>
      <c r="R141" s="60">
        <f>ROUND(Q141*$P141*Input!$C$3/365,0)</f>
        <v>0</v>
      </c>
      <c r="S141" s="60">
        <f>IF(A141&lt;=Input!$C$6,0,IF('Unique Tenure'!O141&lt;'Unique Tenure'!Q141,'Unique Tenure'!O141-R141,'Unique Tenure'!Q141))</f>
        <v>0</v>
      </c>
      <c r="T141" s="60">
        <f t="shared" si="75"/>
        <v>0</v>
      </c>
      <c r="U141" s="60">
        <f t="shared" si="76"/>
        <v>0</v>
      </c>
      <c r="V141" s="193"/>
      <c r="W141" s="169">
        <v>137</v>
      </c>
      <c r="X141" s="1">
        <f t="shared" si="98"/>
        <v>49689</v>
      </c>
      <c r="Y141" s="60">
        <f>IF($X141&lt;Input!$H$58,IF($X141&lt;Input!$G$58,IF($X141&lt;Input!$F$58,IF($X141&lt;Input!$E$58,IF($X141&lt;Input!$D$58,Input!$C$64,Input!$D$64),Input!$E$64),Input!$F$64),Input!$G$64),Input!$H$64)</f>
        <v>0</v>
      </c>
      <c r="Z141" s="190">
        <f>IF($A141&lt;Input!$H$65,IF($A141&lt;Input!$G$65,IF($A141&lt;Input!$F$65,IF($A141&lt;Input!$E$65,IF($A141&lt;Input!$D$65,Input!$C$66,Input!$D$66),Input!$E$66),Input!$F$66),Input!$G$66),Input!$H$66)</f>
        <v>0.9</v>
      </c>
      <c r="AA141" s="60">
        <f t="shared" si="77"/>
        <v>0</v>
      </c>
      <c r="AB141" s="60">
        <f t="shared" si="99"/>
        <v>31</v>
      </c>
      <c r="AC141" s="60">
        <f t="shared" si="78"/>
        <v>0</v>
      </c>
      <c r="AD141" s="60">
        <f>ROUND(AC141*AB141*Input!$C$3/365,0)</f>
        <v>0</v>
      </c>
      <c r="AE141" s="61">
        <f>IF($A141&lt;=Input!$C$6,0,IF('Unique Tenure'!AA141&lt;'Unique Tenure'!AC141,'Unique Tenure'!AA141-AD141,'Unique Tenure'!AC141))</f>
        <v>0</v>
      </c>
      <c r="AF141" s="61">
        <f t="shared" si="79"/>
        <v>0</v>
      </c>
      <c r="AG141" s="60">
        <f t="shared" si="80"/>
        <v>0</v>
      </c>
      <c r="AH141" s="193"/>
      <c r="AI141" s="169">
        <v>137</v>
      </c>
      <c r="AJ141" s="1">
        <f t="shared" si="100"/>
        <v>49689</v>
      </c>
      <c r="AK141" s="60">
        <f>IF($X141&lt;Input!$H$73,IF($X141&lt;Input!$G$73,IF($X141&lt;Input!$F$73,IF($X141&lt;Input!$E$73,IF($X141&lt;Input!$D$73,Input!$C$79,Input!$D$79),Input!$E$79),Input!$F$79),Input!$G$79),Input!$H$79)</f>
        <v>0</v>
      </c>
      <c r="AL141" s="190">
        <f>IF($A141&lt;Input!$H$80,IF($A141&lt;Input!$G$80,IF($A141&lt;Input!$F$80,IF($A141&lt;Input!$E$80,IF($A141&lt;Input!$D$80,Input!$C$81,Input!$D$81),Input!$E$81),Input!$F$81),Input!$G$81),Input!$H$81)</f>
        <v>0.9</v>
      </c>
      <c r="AM141" s="60">
        <f t="shared" si="81"/>
        <v>0</v>
      </c>
      <c r="AN141" s="60">
        <f t="shared" si="101"/>
        <v>31</v>
      </c>
      <c r="AO141" s="60">
        <f t="shared" si="82"/>
        <v>0</v>
      </c>
      <c r="AP141" s="60">
        <f>ROUND(AO141*AN141*Input!$C$3/365,0)</f>
        <v>0</v>
      </c>
      <c r="AQ141" s="61">
        <f>IF($A141&lt;=Input!$C$6,0,IF('Unique Tenure'!AM141&lt;'Unique Tenure'!AO141,'Unique Tenure'!AM141-AP141,'Unique Tenure'!AO141))</f>
        <v>0</v>
      </c>
      <c r="AR141" s="61">
        <f t="shared" si="83"/>
        <v>0</v>
      </c>
      <c r="AS141" s="60">
        <f t="shared" si="84"/>
        <v>0</v>
      </c>
      <c r="AT141" s="193"/>
      <c r="AU141" s="169">
        <v>137</v>
      </c>
      <c r="AV141" s="1">
        <f t="shared" si="102"/>
        <v>49689</v>
      </c>
      <c r="AW141" s="60">
        <f>IF($X141&lt;Input!$H$88,IF($X141&lt;Input!$G$88,IF($X141&lt;Input!$F$88,IF($X141&lt;Input!$E$88,IF($X141&lt;Input!$D$88,Input!$C$94,Input!$D$94),Input!$E$94),Input!$F$94),Input!$G$94),Input!$H$94)</f>
        <v>0</v>
      </c>
      <c r="AX141" s="190">
        <f>IF($A141&lt;Input!$H$95,IF($A141&lt;Input!$G$95,IF($A141&lt;Input!$F$95,IF($A141&lt;Input!$E$95,IF($A141&lt;Input!$D$95,Input!$C$96,Input!$D$96),Input!$E$96),Input!$F$96),Input!$G$96),Input!$H$96)</f>
        <v>0.9</v>
      </c>
      <c r="AY141" s="60">
        <f t="shared" si="85"/>
        <v>0</v>
      </c>
      <c r="AZ141" s="60">
        <f t="shared" si="103"/>
        <v>31</v>
      </c>
      <c r="BA141" s="60">
        <f t="shared" si="86"/>
        <v>0</v>
      </c>
      <c r="BB141" s="60">
        <f>ROUND(BA141*AZ141*Input!$C$3/365,0)</f>
        <v>0</v>
      </c>
      <c r="BC141" s="61">
        <f>IF($A141&lt;=Input!$C$6,0,IF('Unique Tenure'!AY141&lt;'Unique Tenure'!BA141,'Unique Tenure'!AY141-BB141,'Unique Tenure'!BA141))</f>
        <v>0</v>
      </c>
      <c r="BD141" s="61">
        <f t="shared" si="87"/>
        <v>0</v>
      </c>
      <c r="BE141" s="60">
        <f t="shared" si="88"/>
        <v>0</v>
      </c>
      <c r="BF141" s="193"/>
      <c r="BG141" s="169">
        <v>137</v>
      </c>
      <c r="BH141" s="1">
        <f t="shared" si="104"/>
        <v>49689</v>
      </c>
      <c r="BI141" s="60">
        <f>IF($X141&lt;Input!$H$103,IF($X141&lt;Input!$G$103,IF($X141&lt;Input!$F$103,IF($X141&lt;Input!$E$103,IF($X141&lt;Input!$D$103,Input!$C$109,Input!$D$109),Input!$E$109),Input!$F$109),Input!$G$109),Input!$H$109)</f>
        <v>0</v>
      </c>
      <c r="BJ141" s="190">
        <f>IF($A141&lt;Input!$H$110,IF($A141&lt;Input!$G$110,IF($A141&lt;Input!$F$110,IF($A141&lt;Input!$E$110,IF($A141&lt;Input!$D$110,Input!$C$111,Input!$D$111),Input!$E$111),Input!$F$111),Input!$G$111),Input!$H$111)</f>
        <v>0.9</v>
      </c>
      <c r="BK141" s="60">
        <f t="shared" si="89"/>
        <v>0</v>
      </c>
      <c r="BL141" s="60">
        <f t="shared" si="105"/>
        <v>31</v>
      </c>
      <c r="BM141" s="60">
        <f t="shared" si="90"/>
        <v>0</v>
      </c>
      <c r="BN141" s="60">
        <f>ROUND(BM141*BL141*Input!$C$3/365,0)</f>
        <v>0</v>
      </c>
      <c r="BO141" s="61">
        <f>IF($A141&lt;=Input!$C$6,0,IF('Unique Tenure'!BK141&lt;'Unique Tenure'!BM141,'Unique Tenure'!BK141-BN141,'Unique Tenure'!BM141))</f>
        <v>0</v>
      </c>
      <c r="BP141" s="61">
        <f t="shared" si="91"/>
        <v>0</v>
      </c>
      <c r="BQ141" s="60">
        <f t="shared" si="92"/>
        <v>0</v>
      </c>
      <c r="BR141" s="198"/>
    </row>
    <row r="142" spans="1:70" s="51" customFormat="1" x14ac:dyDescent="0.25">
      <c r="A142" s="169">
        <v>138</v>
      </c>
      <c r="B142" s="1">
        <f t="shared" si="93"/>
        <v>49720</v>
      </c>
      <c r="C142" s="60">
        <f>SUM(
   IF(($A$4:$A$184 &lt;= Input!$D$16), M142, 0),
   IF(($A$4:$A$184 &lt;= Input!$E$16), Y142, 0),
   IF(($A$4:$A$184 &lt;= Input!$F$16), AK142, 0),
   IF(($A$4:$A$184 &lt;= Input!$G$16), AW142, 0),
   IF(($A$4:$A$184 &lt;= Input!$H$16), BI142, 0)
)</f>
        <v>33127052.878124986</v>
      </c>
      <c r="D142" s="60">
        <f>SUM(
   IF(($A$4:$A$184 &lt;= Input!$D$16), O142, 0),
   IF(($A$4:$A$184 &lt;= Input!$E$16), AA142, 0),
   IF(($A$4:$A$184 &lt;= Input!$F$16), AM142, 0),
   IF(($A$4:$A$184 &lt;= Input!$G$16), AY142, 0),
   IF(($A$4:$A$184 &lt;= Input!$H$16), BK142, 0)
)</f>
        <v>29814347.590312488</v>
      </c>
      <c r="E142" s="60">
        <f t="shared" si="94"/>
        <v>31</v>
      </c>
      <c r="F142" s="60">
        <f t="shared" si="95"/>
        <v>0</v>
      </c>
      <c r="G142" s="60">
        <f>ROUND(F142*E142*Input!$C$3/365,0)</f>
        <v>0</v>
      </c>
      <c r="H142" s="60">
        <f>IF($A142&lt;=Input!$C$6,0,IF('Unique Tenure'!D142&lt;'Unique Tenure'!F142,'Unique Tenure'!D142-G142,'Unique Tenure'!F142))</f>
        <v>0</v>
      </c>
      <c r="I142" s="60">
        <f t="shared" si="96"/>
        <v>0</v>
      </c>
      <c r="J142" s="60">
        <f t="shared" si="97"/>
        <v>0</v>
      </c>
      <c r="K142" s="202">
        <f>J142/Input!$K$5</f>
        <v>0</v>
      </c>
      <c r="L142" s="232"/>
      <c r="M142" s="60">
        <f>IF($B142&lt;Input!$H$43,IF($B142&lt;Input!$G$43,IF($B142&lt;Input!$F$43,IF($B142&lt;Input!$E$43,IF($B142&lt;Input!$D$43,Input!$C$49,Input!$D$49),Input!$E$49),Input!$F$49),Input!$G$49),Input!$H$49)</f>
        <v>33127052.878124986</v>
      </c>
      <c r="N142" s="190">
        <f>IF($A142&lt;Input!$H$50,IF($A142&lt;Input!$G$50,IF($A142&lt;Input!$F$50,IF($A142&lt;Input!$E$50,IF($A142&lt;Input!$D$50,Input!$C$51,Input!$D$51),Input!$E$51),Input!$F$51),Input!$G$51),Input!$H$51)</f>
        <v>0.9</v>
      </c>
      <c r="O142" s="60">
        <f t="shared" si="72"/>
        <v>29814347.590312488</v>
      </c>
      <c r="P142" s="60">
        <f t="shared" si="73"/>
        <v>31</v>
      </c>
      <c r="Q142" s="60">
        <f t="shared" si="74"/>
        <v>0</v>
      </c>
      <c r="R142" s="60">
        <f>ROUND(Q142*$P142*Input!$C$3/365,0)</f>
        <v>0</v>
      </c>
      <c r="S142" s="60">
        <f>IF(A142&lt;=Input!$C$6,0,IF('Unique Tenure'!O142&lt;'Unique Tenure'!Q142,'Unique Tenure'!O142-R142,'Unique Tenure'!Q142))</f>
        <v>0</v>
      </c>
      <c r="T142" s="60">
        <f t="shared" si="75"/>
        <v>0</v>
      </c>
      <c r="U142" s="60">
        <f t="shared" si="76"/>
        <v>0</v>
      </c>
      <c r="V142" s="193"/>
      <c r="W142" s="169">
        <v>138</v>
      </c>
      <c r="X142" s="1">
        <f t="shared" si="98"/>
        <v>49720</v>
      </c>
      <c r="Y142" s="60">
        <f>IF($X142&lt;Input!$H$58,IF($X142&lt;Input!$G$58,IF($X142&lt;Input!$F$58,IF($X142&lt;Input!$E$58,IF($X142&lt;Input!$D$58,Input!$C$64,Input!$D$64),Input!$E$64),Input!$F$64),Input!$G$64),Input!$H$64)</f>
        <v>0</v>
      </c>
      <c r="Z142" s="190">
        <f>IF($A142&lt;Input!$H$65,IF($A142&lt;Input!$G$65,IF($A142&lt;Input!$F$65,IF($A142&lt;Input!$E$65,IF($A142&lt;Input!$D$65,Input!$C$66,Input!$D$66),Input!$E$66),Input!$F$66),Input!$G$66),Input!$H$66)</f>
        <v>0.9</v>
      </c>
      <c r="AA142" s="60">
        <f t="shared" si="77"/>
        <v>0</v>
      </c>
      <c r="AB142" s="60">
        <f t="shared" si="99"/>
        <v>31</v>
      </c>
      <c r="AC142" s="60">
        <f t="shared" si="78"/>
        <v>0</v>
      </c>
      <c r="AD142" s="60">
        <f>ROUND(AC142*AB142*Input!$C$3/365,0)</f>
        <v>0</v>
      </c>
      <c r="AE142" s="61">
        <f>IF($A142&lt;=Input!$C$6,0,IF('Unique Tenure'!AA142&lt;'Unique Tenure'!AC142,'Unique Tenure'!AA142-AD142,'Unique Tenure'!AC142))</f>
        <v>0</v>
      </c>
      <c r="AF142" s="61">
        <f t="shared" si="79"/>
        <v>0</v>
      </c>
      <c r="AG142" s="60">
        <f t="shared" si="80"/>
        <v>0</v>
      </c>
      <c r="AH142" s="193"/>
      <c r="AI142" s="169">
        <v>138</v>
      </c>
      <c r="AJ142" s="1">
        <f t="shared" si="100"/>
        <v>49720</v>
      </c>
      <c r="AK142" s="60">
        <f>IF($X142&lt;Input!$H$73,IF($X142&lt;Input!$G$73,IF($X142&lt;Input!$F$73,IF($X142&lt;Input!$E$73,IF($X142&lt;Input!$D$73,Input!$C$79,Input!$D$79),Input!$E$79),Input!$F$79),Input!$G$79),Input!$H$79)</f>
        <v>0</v>
      </c>
      <c r="AL142" s="190">
        <f>IF($A142&lt;Input!$H$80,IF($A142&lt;Input!$G$80,IF($A142&lt;Input!$F$80,IF($A142&lt;Input!$E$80,IF($A142&lt;Input!$D$80,Input!$C$81,Input!$D$81),Input!$E$81),Input!$F$81),Input!$G$81),Input!$H$81)</f>
        <v>0.9</v>
      </c>
      <c r="AM142" s="60">
        <f t="shared" si="81"/>
        <v>0</v>
      </c>
      <c r="AN142" s="60">
        <f t="shared" si="101"/>
        <v>31</v>
      </c>
      <c r="AO142" s="60">
        <f t="shared" si="82"/>
        <v>0</v>
      </c>
      <c r="AP142" s="60">
        <f>ROUND(AO142*AN142*Input!$C$3/365,0)</f>
        <v>0</v>
      </c>
      <c r="AQ142" s="61">
        <f>IF($A142&lt;=Input!$C$6,0,IF('Unique Tenure'!AM142&lt;'Unique Tenure'!AO142,'Unique Tenure'!AM142-AP142,'Unique Tenure'!AO142))</f>
        <v>0</v>
      </c>
      <c r="AR142" s="61">
        <f t="shared" si="83"/>
        <v>0</v>
      </c>
      <c r="AS142" s="60">
        <f t="shared" si="84"/>
        <v>0</v>
      </c>
      <c r="AT142" s="193"/>
      <c r="AU142" s="169">
        <v>138</v>
      </c>
      <c r="AV142" s="1">
        <f t="shared" si="102"/>
        <v>49720</v>
      </c>
      <c r="AW142" s="60">
        <f>IF($X142&lt;Input!$H$88,IF($X142&lt;Input!$G$88,IF($X142&lt;Input!$F$88,IF($X142&lt;Input!$E$88,IF($X142&lt;Input!$D$88,Input!$C$94,Input!$D$94),Input!$E$94),Input!$F$94),Input!$G$94),Input!$H$94)</f>
        <v>0</v>
      </c>
      <c r="AX142" s="190">
        <f>IF($A142&lt;Input!$H$95,IF($A142&lt;Input!$G$95,IF($A142&lt;Input!$F$95,IF($A142&lt;Input!$E$95,IF($A142&lt;Input!$D$95,Input!$C$96,Input!$D$96),Input!$E$96),Input!$F$96),Input!$G$96),Input!$H$96)</f>
        <v>0.9</v>
      </c>
      <c r="AY142" s="60">
        <f t="shared" si="85"/>
        <v>0</v>
      </c>
      <c r="AZ142" s="60">
        <f t="shared" si="103"/>
        <v>31</v>
      </c>
      <c r="BA142" s="60">
        <f t="shared" si="86"/>
        <v>0</v>
      </c>
      <c r="BB142" s="60">
        <f>ROUND(BA142*AZ142*Input!$C$3/365,0)</f>
        <v>0</v>
      </c>
      <c r="BC142" s="61">
        <f>IF($A142&lt;=Input!$C$6,0,IF('Unique Tenure'!AY142&lt;'Unique Tenure'!BA142,'Unique Tenure'!AY142-BB142,'Unique Tenure'!BA142))</f>
        <v>0</v>
      </c>
      <c r="BD142" s="61">
        <f t="shared" si="87"/>
        <v>0</v>
      </c>
      <c r="BE142" s="60">
        <f t="shared" si="88"/>
        <v>0</v>
      </c>
      <c r="BF142" s="193"/>
      <c r="BG142" s="169">
        <v>138</v>
      </c>
      <c r="BH142" s="1">
        <f t="shared" si="104"/>
        <v>49720</v>
      </c>
      <c r="BI142" s="60">
        <f>IF($X142&lt;Input!$H$103,IF($X142&lt;Input!$G$103,IF($X142&lt;Input!$F$103,IF($X142&lt;Input!$E$103,IF($X142&lt;Input!$D$103,Input!$C$109,Input!$D$109),Input!$E$109),Input!$F$109),Input!$G$109),Input!$H$109)</f>
        <v>0</v>
      </c>
      <c r="BJ142" s="190">
        <f>IF($A142&lt;Input!$H$110,IF($A142&lt;Input!$G$110,IF($A142&lt;Input!$F$110,IF($A142&lt;Input!$E$110,IF($A142&lt;Input!$D$110,Input!$C$111,Input!$D$111),Input!$E$111),Input!$F$111),Input!$G$111),Input!$H$111)</f>
        <v>0.9</v>
      </c>
      <c r="BK142" s="60">
        <f t="shared" si="89"/>
        <v>0</v>
      </c>
      <c r="BL142" s="60">
        <f t="shared" si="105"/>
        <v>31</v>
      </c>
      <c r="BM142" s="60">
        <f t="shared" si="90"/>
        <v>0</v>
      </c>
      <c r="BN142" s="60">
        <f>ROUND(BM142*BL142*Input!$C$3/365,0)</f>
        <v>0</v>
      </c>
      <c r="BO142" s="61">
        <f>IF($A142&lt;=Input!$C$6,0,IF('Unique Tenure'!BK142&lt;'Unique Tenure'!BM142,'Unique Tenure'!BK142-BN142,'Unique Tenure'!BM142))</f>
        <v>0</v>
      </c>
      <c r="BP142" s="61">
        <f t="shared" si="91"/>
        <v>0</v>
      </c>
      <c r="BQ142" s="60">
        <f t="shared" si="92"/>
        <v>0</v>
      </c>
      <c r="BR142" s="198"/>
    </row>
    <row r="143" spans="1:70" s="51" customFormat="1" x14ac:dyDescent="0.25">
      <c r="A143" s="169">
        <v>139</v>
      </c>
      <c r="B143" s="1">
        <f t="shared" si="93"/>
        <v>49749</v>
      </c>
      <c r="C143" s="60">
        <f>SUM(
   IF(($A$4:$A$184 &lt;= Input!$D$16), M143, 0),
   IF(($A$4:$A$184 &lt;= Input!$E$16), Y143, 0),
   IF(($A$4:$A$184 &lt;= Input!$F$16), AK143, 0),
   IF(($A$4:$A$184 &lt;= Input!$G$16), AW143, 0),
   IF(($A$4:$A$184 &lt;= Input!$H$16), BI143, 0)
)</f>
        <v>33127052.878124986</v>
      </c>
      <c r="D143" s="60">
        <f>SUM(
   IF(($A$4:$A$184 &lt;= Input!$D$16), O143, 0),
   IF(($A$4:$A$184 &lt;= Input!$E$16), AA143, 0),
   IF(($A$4:$A$184 &lt;= Input!$F$16), AM143, 0),
   IF(($A$4:$A$184 &lt;= Input!$G$16), AY143, 0),
   IF(($A$4:$A$184 &lt;= Input!$H$16), BK143, 0)
)</f>
        <v>29814347.590312488</v>
      </c>
      <c r="E143" s="60">
        <f t="shared" si="94"/>
        <v>29</v>
      </c>
      <c r="F143" s="60">
        <f t="shared" si="95"/>
        <v>0</v>
      </c>
      <c r="G143" s="60">
        <f>ROUND(F143*E143*Input!$C$3/365,0)</f>
        <v>0</v>
      </c>
      <c r="H143" s="60">
        <f>IF($A143&lt;=Input!$C$6,0,IF('Unique Tenure'!D143&lt;'Unique Tenure'!F143,'Unique Tenure'!D143-G143,'Unique Tenure'!F143))</f>
        <v>0</v>
      </c>
      <c r="I143" s="60">
        <f t="shared" si="96"/>
        <v>0</v>
      </c>
      <c r="J143" s="60">
        <f t="shared" si="97"/>
        <v>0</v>
      </c>
      <c r="K143" s="202">
        <f>J143/Input!$K$5</f>
        <v>0</v>
      </c>
      <c r="L143" s="232"/>
      <c r="M143" s="60">
        <f>IF($B143&lt;Input!$H$43,IF($B143&lt;Input!$G$43,IF($B143&lt;Input!$F$43,IF($B143&lt;Input!$E$43,IF($B143&lt;Input!$D$43,Input!$C$49,Input!$D$49),Input!$E$49),Input!$F$49),Input!$G$49),Input!$H$49)</f>
        <v>33127052.878124986</v>
      </c>
      <c r="N143" s="190">
        <f>IF($A143&lt;Input!$H$50,IF($A143&lt;Input!$G$50,IF($A143&lt;Input!$F$50,IF($A143&lt;Input!$E$50,IF($A143&lt;Input!$D$50,Input!$C$51,Input!$D$51),Input!$E$51),Input!$F$51),Input!$G$51),Input!$H$51)</f>
        <v>0.9</v>
      </c>
      <c r="O143" s="60">
        <f t="shared" si="72"/>
        <v>29814347.590312488</v>
      </c>
      <c r="P143" s="60">
        <f t="shared" si="73"/>
        <v>29</v>
      </c>
      <c r="Q143" s="60">
        <f t="shared" si="74"/>
        <v>0</v>
      </c>
      <c r="R143" s="60">
        <f>ROUND(Q143*$P143*Input!$C$3/365,0)</f>
        <v>0</v>
      </c>
      <c r="S143" s="60">
        <f>IF(A143&lt;=Input!$C$6,0,IF('Unique Tenure'!O143&lt;'Unique Tenure'!Q143,'Unique Tenure'!O143-R143,'Unique Tenure'!Q143))</f>
        <v>0</v>
      </c>
      <c r="T143" s="60">
        <f t="shared" si="75"/>
        <v>0</v>
      </c>
      <c r="U143" s="60">
        <f t="shared" si="76"/>
        <v>0</v>
      </c>
      <c r="V143" s="193"/>
      <c r="W143" s="169">
        <v>139</v>
      </c>
      <c r="X143" s="1">
        <f t="shared" si="98"/>
        <v>49749</v>
      </c>
      <c r="Y143" s="60">
        <f>IF($X143&lt;Input!$H$58,IF($X143&lt;Input!$G$58,IF($X143&lt;Input!$F$58,IF($X143&lt;Input!$E$58,IF($X143&lt;Input!$D$58,Input!$C$64,Input!$D$64),Input!$E$64),Input!$F$64),Input!$G$64),Input!$H$64)</f>
        <v>0</v>
      </c>
      <c r="Z143" s="190">
        <f>IF($A143&lt;Input!$H$65,IF($A143&lt;Input!$G$65,IF($A143&lt;Input!$F$65,IF($A143&lt;Input!$E$65,IF($A143&lt;Input!$D$65,Input!$C$66,Input!$D$66),Input!$E$66),Input!$F$66),Input!$G$66),Input!$H$66)</f>
        <v>0.9</v>
      </c>
      <c r="AA143" s="60">
        <f t="shared" si="77"/>
        <v>0</v>
      </c>
      <c r="AB143" s="60">
        <f t="shared" si="99"/>
        <v>29</v>
      </c>
      <c r="AC143" s="60">
        <f t="shared" si="78"/>
        <v>0</v>
      </c>
      <c r="AD143" s="60">
        <f>ROUND(AC143*AB143*Input!$C$3/365,0)</f>
        <v>0</v>
      </c>
      <c r="AE143" s="61">
        <f>IF($A143&lt;=Input!$C$6,0,IF('Unique Tenure'!AA143&lt;'Unique Tenure'!AC143,'Unique Tenure'!AA143-AD143,'Unique Tenure'!AC143))</f>
        <v>0</v>
      </c>
      <c r="AF143" s="61">
        <f t="shared" si="79"/>
        <v>0</v>
      </c>
      <c r="AG143" s="60">
        <f t="shared" si="80"/>
        <v>0</v>
      </c>
      <c r="AH143" s="193"/>
      <c r="AI143" s="169">
        <v>139</v>
      </c>
      <c r="AJ143" s="1">
        <f t="shared" si="100"/>
        <v>49749</v>
      </c>
      <c r="AK143" s="60">
        <f>IF($X143&lt;Input!$H$73,IF($X143&lt;Input!$G$73,IF($X143&lt;Input!$F$73,IF($X143&lt;Input!$E$73,IF($X143&lt;Input!$D$73,Input!$C$79,Input!$D$79),Input!$E$79),Input!$F$79),Input!$G$79),Input!$H$79)</f>
        <v>0</v>
      </c>
      <c r="AL143" s="190">
        <f>IF($A143&lt;Input!$H$80,IF($A143&lt;Input!$G$80,IF($A143&lt;Input!$F$80,IF($A143&lt;Input!$E$80,IF($A143&lt;Input!$D$80,Input!$C$81,Input!$D$81),Input!$E$81),Input!$F$81),Input!$G$81),Input!$H$81)</f>
        <v>0.9</v>
      </c>
      <c r="AM143" s="60">
        <f t="shared" si="81"/>
        <v>0</v>
      </c>
      <c r="AN143" s="60">
        <f t="shared" si="101"/>
        <v>29</v>
      </c>
      <c r="AO143" s="60">
        <f t="shared" si="82"/>
        <v>0</v>
      </c>
      <c r="AP143" s="60">
        <f>ROUND(AO143*AN143*Input!$C$3/365,0)</f>
        <v>0</v>
      </c>
      <c r="AQ143" s="61">
        <f>IF($A143&lt;=Input!$C$6,0,IF('Unique Tenure'!AM143&lt;'Unique Tenure'!AO143,'Unique Tenure'!AM143-AP143,'Unique Tenure'!AO143))</f>
        <v>0</v>
      </c>
      <c r="AR143" s="61">
        <f t="shared" si="83"/>
        <v>0</v>
      </c>
      <c r="AS143" s="60">
        <f t="shared" si="84"/>
        <v>0</v>
      </c>
      <c r="AT143" s="193"/>
      <c r="AU143" s="169">
        <v>139</v>
      </c>
      <c r="AV143" s="1">
        <f t="shared" si="102"/>
        <v>49749</v>
      </c>
      <c r="AW143" s="60">
        <f>IF($X143&lt;Input!$H$88,IF($X143&lt;Input!$G$88,IF($X143&lt;Input!$F$88,IF($X143&lt;Input!$E$88,IF($X143&lt;Input!$D$88,Input!$C$94,Input!$D$94),Input!$E$94),Input!$F$94),Input!$G$94),Input!$H$94)</f>
        <v>0</v>
      </c>
      <c r="AX143" s="190">
        <f>IF($A143&lt;Input!$H$95,IF($A143&lt;Input!$G$95,IF($A143&lt;Input!$F$95,IF($A143&lt;Input!$E$95,IF($A143&lt;Input!$D$95,Input!$C$96,Input!$D$96),Input!$E$96),Input!$F$96),Input!$G$96),Input!$H$96)</f>
        <v>0.9</v>
      </c>
      <c r="AY143" s="60">
        <f t="shared" si="85"/>
        <v>0</v>
      </c>
      <c r="AZ143" s="60">
        <f t="shared" si="103"/>
        <v>29</v>
      </c>
      <c r="BA143" s="60">
        <f t="shared" si="86"/>
        <v>0</v>
      </c>
      <c r="BB143" s="60">
        <f>ROUND(BA143*AZ143*Input!$C$3/365,0)</f>
        <v>0</v>
      </c>
      <c r="BC143" s="61">
        <f>IF($A143&lt;=Input!$C$6,0,IF('Unique Tenure'!AY143&lt;'Unique Tenure'!BA143,'Unique Tenure'!AY143-BB143,'Unique Tenure'!BA143))</f>
        <v>0</v>
      </c>
      <c r="BD143" s="61">
        <f t="shared" si="87"/>
        <v>0</v>
      </c>
      <c r="BE143" s="60">
        <f t="shared" si="88"/>
        <v>0</v>
      </c>
      <c r="BF143" s="193"/>
      <c r="BG143" s="169">
        <v>139</v>
      </c>
      <c r="BH143" s="1">
        <f t="shared" si="104"/>
        <v>49749</v>
      </c>
      <c r="BI143" s="60">
        <f>IF($X143&lt;Input!$H$103,IF($X143&lt;Input!$G$103,IF($X143&lt;Input!$F$103,IF($X143&lt;Input!$E$103,IF($X143&lt;Input!$D$103,Input!$C$109,Input!$D$109),Input!$E$109),Input!$F$109),Input!$G$109),Input!$H$109)</f>
        <v>0</v>
      </c>
      <c r="BJ143" s="190">
        <f>IF($A143&lt;Input!$H$110,IF($A143&lt;Input!$G$110,IF($A143&lt;Input!$F$110,IF($A143&lt;Input!$E$110,IF($A143&lt;Input!$D$110,Input!$C$111,Input!$D$111),Input!$E$111),Input!$F$111),Input!$G$111),Input!$H$111)</f>
        <v>0.9</v>
      </c>
      <c r="BK143" s="60">
        <f t="shared" si="89"/>
        <v>0</v>
      </c>
      <c r="BL143" s="60">
        <f t="shared" si="105"/>
        <v>29</v>
      </c>
      <c r="BM143" s="60">
        <f t="shared" si="90"/>
        <v>0</v>
      </c>
      <c r="BN143" s="60">
        <f>ROUND(BM143*BL143*Input!$C$3/365,0)</f>
        <v>0</v>
      </c>
      <c r="BO143" s="61">
        <f>IF($A143&lt;=Input!$C$6,0,IF('Unique Tenure'!BK143&lt;'Unique Tenure'!BM143,'Unique Tenure'!BK143-BN143,'Unique Tenure'!BM143))</f>
        <v>0</v>
      </c>
      <c r="BP143" s="61">
        <f t="shared" si="91"/>
        <v>0</v>
      </c>
      <c r="BQ143" s="60">
        <f t="shared" si="92"/>
        <v>0</v>
      </c>
      <c r="BR143" s="198"/>
    </row>
    <row r="144" spans="1:70" s="51" customFormat="1" x14ac:dyDescent="0.25">
      <c r="A144" s="169">
        <v>140</v>
      </c>
      <c r="B144" s="1">
        <f t="shared" si="93"/>
        <v>49780</v>
      </c>
      <c r="C144" s="60">
        <f>SUM(
   IF(($A$4:$A$184 &lt;= Input!$D$16), M144, 0),
   IF(($A$4:$A$184 &lt;= Input!$E$16), Y144, 0),
   IF(($A$4:$A$184 &lt;= Input!$F$16), AK144, 0),
   IF(($A$4:$A$184 &lt;= Input!$G$16), AW144, 0),
   IF(($A$4:$A$184 &lt;= Input!$H$16), BI144, 0)
)</f>
        <v>33127052.878124986</v>
      </c>
      <c r="D144" s="60">
        <f>SUM(
   IF(($A$4:$A$184 &lt;= Input!$D$16), O144, 0),
   IF(($A$4:$A$184 &lt;= Input!$E$16), AA144, 0),
   IF(($A$4:$A$184 &lt;= Input!$F$16), AM144, 0),
   IF(($A$4:$A$184 &lt;= Input!$G$16), AY144, 0),
   IF(($A$4:$A$184 &lt;= Input!$H$16), BK144, 0)
)</f>
        <v>29814347.590312488</v>
      </c>
      <c r="E144" s="60">
        <f t="shared" si="94"/>
        <v>31</v>
      </c>
      <c r="F144" s="60">
        <f t="shared" si="95"/>
        <v>0</v>
      </c>
      <c r="G144" s="60">
        <f>ROUND(F144*E144*Input!$C$3/365,0)</f>
        <v>0</v>
      </c>
      <c r="H144" s="60">
        <f>IF($A144&lt;=Input!$C$6,0,IF('Unique Tenure'!D144&lt;'Unique Tenure'!F144,'Unique Tenure'!D144-G144,'Unique Tenure'!F144))</f>
        <v>0</v>
      </c>
      <c r="I144" s="60">
        <f t="shared" si="96"/>
        <v>0</v>
      </c>
      <c r="J144" s="60">
        <f t="shared" si="97"/>
        <v>0</v>
      </c>
      <c r="K144" s="202">
        <f>J144/Input!$K$5</f>
        <v>0</v>
      </c>
      <c r="L144" s="232"/>
      <c r="M144" s="60">
        <f>IF($B144&lt;Input!$H$43,IF($B144&lt;Input!$G$43,IF($B144&lt;Input!$F$43,IF($B144&lt;Input!$E$43,IF($B144&lt;Input!$D$43,Input!$C$49,Input!$D$49),Input!$E$49),Input!$F$49),Input!$G$49),Input!$H$49)</f>
        <v>33127052.878124986</v>
      </c>
      <c r="N144" s="190">
        <f>IF($A144&lt;Input!$H$50,IF($A144&lt;Input!$G$50,IF($A144&lt;Input!$F$50,IF($A144&lt;Input!$E$50,IF($A144&lt;Input!$D$50,Input!$C$51,Input!$D$51),Input!$E$51),Input!$F$51),Input!$G$51),Input!$H$51)</f>
        <v>0.9</v>
      </c>
      <c r="O144" s="60">
        <f t="shared" si="72"/>
        <v>29814347.590312488</v>
      </c>
      <c r="P144" s="60">
        <f t="shared" si="73"/>
        <v>31</v>
      </c>
      <c r="Q144" s="60">
        <f t="shared" si="74"/>
        <v>0</v>
      </c>
      <c r="R144" s="60">
        <f>ROUND(Q144*$P144*Input!$C$3/365,0)</f>
        <v>0</v>
      </c>
      <c r="S144" s="60">
        <f>IF(A144&lt;=Input!$C$6,0,IF('Unique Tenure'!O144&lt;'Unique Tenure'!Q144,'Unique Tenure'!O144-R144,'Unique Tenure'!Q144))</f>
        <v>0</v>
      </c>
      <c r="T144" s="60">
        <f t="shared" si="75"/>
        <v>0</v>
      </c>
      <c r="U144" s="60">
        <f t="shared" si="76"/>
        <v>0</v>
      </c>
      <c r="V144" s="193"/>
      <c r="W144" s="169">
        <v>140</v>
      </c>
      <c r="X144" s="1">
        <f t="shared" si="98"/>
        <v>49780</v>
      </c>
      <c r="Y144" s="60">
        <f>IF($X144&lt;Input!$H$58,IF($X144&lt;Input!$G$58,IF($X144&lt;Input!$F$58,IF($X144&lt;Input!$E$58,IF($X144&lt;Input!$D$58,Input!$C$64,Input!$D$64),Input!$E$64),Input!$F$64),Input!$G$64),Input!$H$64)</f>
        <v>0</v>
      </c>
      <c r="Z144" s="190">
        <f>IF($A144&lt;Input!$H$65,IF($A144&lt;Input!$G$65,IF($A144&lt;Input!$F$65,IF($A144&lt;Input!$E$65,IF($A144&lt;Input!$D$65,Input!$C$66,Input!$D$66),Input!$E$66),Input!$F$66),Input!$G$66),Input!$H$66)</f>
        <v>0.9</v>
      </c>
      <c r="AA144" s="60">
        <f t="shared" si="77"/>
        <v>0</v>
      </c>
      <c r="AB144" s="60">
        <f t="shared" si="99"/>
        <v>31</v>
      </c>
      <c r="AC144" s="60">
        <f t="shared" si="78"/>
        <v>0</v>
      </c>
      <c r="AD144" s="60">
        <f>ROUND(AC144*AB144*Input!$C$3/365,0)</f>
        <v>0</v>
      </c>
      <c r="AE144" s="61">
        <f>IF($A144&lt;=Input!$C$6,0,IF('Unique Tenure'!AA144&lt;'Unique Tenure'!AC144,'Unique Tenure'!AA144-AD144,'Unique Tenure'!AC144))</f>
        <v>0</v>
      </c>
      <c r="AF144" s="61">
        <f t="shared" si="79"/>
        <v>0</v>
      </c>
      <c r="AG144" s="60">
        <f t="shared" si="80"/>
        <v>0</v>
      </c>
      <c r="AH144" s="193"/>
      <c r="AI144" s="169">
        <v>140</v>
      </c>
      <c r="AJ144" s="1">
        <f t="shared" si="100"/>
        <v>49780</v>
      </c>
      <c r="AK144" s="60">
        <f>IF($X144&lt;Input!$H$73,IF($X144&lt;Input!$G$73,IF($X144&lt;Input!$F$73,IF($X144&lt;Input!$E$73,IF($X144&lt;Input!$D$73,Input!$C$79,Input!$D$79),Input!$E$79),Input!$F$79),Input!$G$79),Input!$H$79)</f>
        <v>0</v>
      </c>
      <c r="AL144" s="190">
        <f>IF($A144&lt;Input!$H$80,IF($A144&lt;Input!$G$80,IF($A144&lt;Input!$F$80,IF($A144&lt;Input!$E$80,IF($A144&lt;Input!$D$80,Input!$C$81,Input!$D$81),Input!$E$81),Input!$F$81),Input!$G$81),Input!$H$81)</f>
        <v>0.9</v>
      </c>
      <c r="AM144" s="60">
        <f t="shared" si="81"/>
        <v>0</v>
      </c>
      <c r="AN144" s="60">
        <f t="shared" si="101"/>
        <v>31</v>
      </c>
      <c r="AO144" s="60">
        <f t="shared" si="82"/>
        <v>0</v>
      </c>
      <c r="AP144" s="60">
        <f>ROUND(AO144*AN144*Input!$C$3/365,0)</f>
        <v>0</v>
      </c>
      <c r="AQ144" s="61">
        <f>IF($A144&lt;=Input!$C$6,0,IF('Unique Tenure'!AM144&lt;'Unique Tenure'!AO144,'Unique Tenure'!AM144-AP144,'Unique Tenure'!AO144))</f>
        <v>0</v>
      </c>
      <c r="AR144" s="61">
        <f t="shared" si="83"/>
        <v>0</v>
      </c>
      <c r="AS144" s="60">
        <f t="shared" si="84"/>
        <v>0</v>
      </c>
      <c r="AT144" s="193"/>
      <c r="AU144" s="169">
        <v>140</v>
      </c>
      <c r="AV144" s="1">
        <f t="shared" si="102"/>
        <v>49780</v>
      </c>
      <c r="AW144" s="60">
        <f>IF($X144&lt;Input!$H$88,IF($X144&lt;Input!$G$88,IF($X144&lt;Input!$F$88,IF($X144&lt;Input!$E$88,IF($X144&lt;Input!$D$88,Input!$C$94,Input!$D$94),Input!$E$94),Input!$F$94),Input!$G$94),Input!$H$94)</f>
        <v>0</v>
      </c>
      <c r="AX144" s="190">
        <f>IF($A144&lt;Input!$H$95,IF($A144&lt;Input!$G$95,IF($A144&lt;Input!$F$95,IF($A144&lt;Input!$E$95,IF($A144&lt;Input!$D$95,Input!$C$96,Input!$D$96),Input!$E$96),Input!$F$96),Input!$G$96),Input!$H$96)</f>
        <v>0.9</v>
      </c>
      <c r="AY144" s="60">
        <f t="shared" si="85"/>
        <v>0</v>
      </c>
      <c r="AZ144" s="60">
        <f t="shared" si="103"/>
        <v>31</v>
      </c>
      <c r="BA144" s="60">
        <f t="shared" si="86"/>
        <v>0</v>
      </c>
      <c r="BB144" s="60">
        <f>ROUND(BA144*AZ144*Input!$C$3/365,0)</f>
        <v>0</v>
      </c>
      <c r="BC144" s="61">
        <f>IF($A144&lt;=Input!$C$6,0,IF('Unique Tenure'!AY144&lt;'Unique Tenure'!BA144,'Unique Tenure'!AY144-BB144,'Unique Tenure'!BA144))</f>
        <v>0</v>
      </c>
      <c r="BD144" s="61">
        <f t="shared" si="87"/>
        <v>0</v>
      </c>
      <c r="BE144" s="60">
        <f t="shared" si="88"/>
        <v>0</v>
      </c>
      <c r="BF144" s="193"/>
      <c r="BG144" s="169">
        <v>140</v>
      </c>
      <c r="BH144" s="1">
        <f t="shared" si="104"/>
        <v>49780</v>
      </c>
      <c r="BI144" s="60">
        <f>IF($X144&lt;Input!$H$103,IF($X144&lt;Input!$G$103,IF($X144&lt;Input!$F$103,IF($X144&lt;Input!$E$103,IF($X144&lt;Input!$D$103,Input!$C$109,Input!$D$109),Input!$E$109),Input!$F$109),Input!$G$109),Input!$H$109)</f>
        <v>0</v>
      </c>
      <c r="BJ144" s="190">
        <f>IF($A144&lt;Input!$H$110,IF($A144&lt;Input!$G$110,IF($A144&lt;Input!$F$110,IF($A144&lt;Input!$E$110,IF($A144&lt;Input!$D$110,Input!$C$111,Input!$D$111),Input!$E$111),Input!$F$111),Input!$G$111),Input!$H$111)</f>
        <v>0.9</v>
      </c>
      <c r="BK144" s="60">
        <f t="shared" si="89"/>
        <v>0</v>
      </c>
      <c r="BL144" s="60">
        <f t="shared" si="105"/>
        <v>31</v>
      </c>
      <c r="BM144" s="60">
        <f t="shared" si="90"/>
        <v>0</v>
      </c>
      <c r="BN144" s="60">
        <f>ROUND(BM144*BL144*Input!$C$3/365,0)</f>
        <v>0</v>
      </c>
      <c r="BO144" s="61">
        <f>IF($A144&lt;=Input!$C$6,0,IF('Unique Tenure'!BK144&lt;'Unique Tenure'!BM144,'Unique Tenure'!BK144-BN144,'Unique Tenure'!BM144))</f>
        <v>0</v>
      </c>
      <c r="BP144" s="61">
        <f t="shared" si="91"/>
        <v>0</v>
      </c>
      <c r="BQ144" s="60">
        <f t="shared" si="92"/>
        <v>0</v>
      </c>
      <c r="BR144" s="198"/>
    </row>
    <row r="145" spans="1:70" s="51" customFormat="1" x14ac:dyDescent="0.25">
      <c r="A145" s="169">
        <v>141</v>
      </c>
      <c r="B145" s="1">
        <f t="shared" si="93"/>
        <v>49810</v>
      </c>
      <c r="C145" s="60">
        <f>SUM(
   IF(($A$4:$A$184 &lt;= Input!$D$16), M145, 0),
   IF(($A$4:$A$184 &lt;= Input!$E$16), Y145, 0),
   IF(($A$4:$A$184 &lt;= Input!$F$16), AK145, 0),
   IF(($A$4:$A$184 &lt;= Input!$G$16), AW145, 0),
   IF(($A$4:$A$184 &lt;= Input!$H$16), BI145, 0)
)</f>
        <v>33127052.878124986</v>
      </c>
      <c r="D145" s="60">
        <f>SUM(
   IF(($A$4:$A$184 &lt;= Input!$D$16), O145, 0),
   IF(($A$4:$A$184 &lt;= Input!$E$16), AA145, 0),
   IF(($A$4:$A$184 &lt;= Input!$F$16), AM145, 0),
   IF(($A$4:$A$184 &lt;= Input!$G$16), AY145, 0),
   IF(($A$4:$A$184 &lt;= Input!$H$16), BK145, 0)
)</f>
        <v>29814347.590312488</v>
      </c>
      <c r="E145" s="60">
        <f t="shared" si="94"/>
        <v>30</v>
      </c>
      <c r="F145" s="60">
        <f t="shared" si="95"/>
        <v>0</v>
      </c>
      <c r="G145" s="60">
        <f>ROUND(F145*E145*Input!$C$3/365,0)</f>
        <v>0</v>
      </c>
      <c r="H145" s="60">
        <f>IF($A145&lt;=Input!$C$6,0,IF('Unique Tenure'!D145&lt;'Unique Tenure'!F145,'Unique Tenure'!D145-G145,'Unique Tenure'!F145))</f>
        <v>0</v>
      </c>
      <c r="I145" s="60">
        <f t="shared" si="96"/>
        <v>0</v>
      </c>
      <c r="J145" s="60">
        <f t="shared" si="97"/>
        <v>0</v>
      </c>
      <c r="K145" s="202">
        <f>J145/Input!$K$5</f>
        <v>0</v>
      </c>
      <c r="L145" s="232"/>
      <c r="M145" s="60">
        <f>IF($B145&lt;Input!$H$43,IF($B145&lt;Input!$G$43,IF($B145&lt;Input!$F$43,IF($B145&lt;Input!$E$43,IF($B145&lt;Input!$D$43,Input!$C$49,Input!$D$49),Input!$E$49),Input!$F$49),Input!$G$49),Input!$H$49)</f>
        <v>33127052.878124986</v>
      </c>
      <c r="N145" s="190">
        <f>IF($A145&lt;Input!$H$50,IF($A145&lt;Input!$G$50,IF($A145&lt;Input!$F$50,IF($A145&lt;Input!$E$50,IF($A145&lt;Input!$D$50,Input!$C$51,Input!$D$51),Input!$E$51),Input!$F$51),Input!$G$51),Input!$H$51)</f>
        <v>0.9</v>
      </c>
      <c r="O145" s="60">
        <f t="shared" si="72"/>
        <v>29814347.590312488</v>
      </c>
      <c r="P145" s="60">
        <f t="shared" si="73"/>
        <v>30</v>
      </c>
      <c r="Q145" s="60">
        <f t="shared" si="74"/>
        <v>0</v>
      </c>
      <c r="R145" s="60">
        <f>ROUND(Q145*$P145*Input!$C$3/365,0)</f>
        <v>0</v>
      </c>
      <c r="S145" s="60">
        <f>IF(A145&lt;=Input!$C$6,0,IF('Unique Tenure'!O145&lt;'Unique Tenure'!Q145,'Unique Tenure'!O145-R145,'Unique Tenure'!Q145))</f>
        <v>0</v>
      </c>
      <c r="T145" s="60">
        <f t="shared" si="75"/>
        <v>0</v>
      </c>
      <c r="U145" s="60">
        <f t="shared" si="76"/>
        <v>0</v>
      </c>
      <c r="V145" s="193"/>
      <c r="W145" s="169">
        <v>141</v>
      </c>
      <c r="X145" s="1">
        <f t="shared" si="98"/>
        <v>49810</v>
      </c>
      <c r="Y145" s="60">
        <f>IF($X145&lt;Input!$H$58,IF($X145&lt;Input!$G$58,IF($X145&lt;Input!$F$58,IF($X145&lt;Input!$E$58,IF($X145&lt;Input!$D$58,Input!$C$64,Input!$D$64),Input!$E$64),Input!$F$64),Input!$G$64),Input!$H$64)</f>
        <v>0</v>
      </c>
      <c r="Z145" s="190">
        <f>IF($A145&lt;Input!$H$65,IF($A145&lt;Input!$G$65,IF($A145&lt;Input!$F$65,IF($A145&lt;Input!$E$65,IF($A145&lt;Input!$D$65,Input!$C$66,Input!$D$66),Input!$E$66),Input!$F$66),Input!$G$66),Input!$H$66)</f>
        <v>0.9</v>
      </c>
      <c r="AA145" s="60">
        <f t="shared" si="77"/>
        <v>0</v>
      </c>
      <c r="AB145" s="60">
        <f t="shared" si="99"/>
        <v>30</v>
      </c>
      <c r="AC145" s="60">
        <f t="shared" si="78"/>
        <v>0</v>
      </c>
      <c r="AD145" s="60">
        <f>ROUND(AC145*AB145*Input!$C$3/365,0)</f>
        <v>0</v>
      </c>
      <c r="AE145" s="61">
        <f>IF($A145&lt;=Input!$C$6,0,IF('Unique Tenure'!AA145&lt;'Unique Tenure'!AC145,'Unique Tenure'!AA145-AD145,'Unique Tenure'!AC145))</f>
        <v>0</v>
      </c>
      <c r="AF145" s="61">
        <f t="shared" si="79"/>
        <v>0</v>
      </c>
      <c r="AG145" s="60">
        <f t="shared" si="80"/>
        <v>0</v>
      </c>
      <c r="AH145" s="193"/>
      <c r="AI145" s="169">
        <v>141</v>
      </c>
      <c r="AJ145" s="1">
        <f t="shared" si="100"/>
        <v>49810</v>
      </c>
      <c r="AK145" s="60">
        <f>IF($X145&lt;Input!$H$73,IF($X145&lt;Input!$G$73,IF($X145&lt;Input!$F$73,IF($X145&lt;Input!$E$73,IF($X145&lt;Input!$D$73,Input!$C$79,Input!$D$79),Input!$E$79),Input!$F$79),Input!$G$79),Input!$H$79)</f>
        <v>0</v>
      </c>
      <c r="AL145" s="190">
        <f>IF($A145&lt;Input!$H$80,IF($A145&lt;Input!$G$80,IF($A145&lt;Input!$F$80,IF($A145&lt;Input!$E$80,IF($A145&lt;Input!$D$80,Input!$C$81,Input!$D$81),Input!$E$81),Input!$F$81),Input!$G$81),Input!$H$81)</f>
        <v>0.9</v>
      </c>
      <c r="AM145" s="60">
        <f t="shared" si="81"/>
        <v>0</v>
      </c>
      <c r="AN145" s="60">
        <f t="shared" si="101"/>
        <v>30</v>
      </c>
      <c r="AO145" s="60">
        <f t="shared" si="82"/>
        <v>0</v>
      </c>
      <c r="AP145" s="60">
        <f>ROUND(AO145*AN145*Input!$C$3/365,0)</f>
        <v>0</v>
      </c>
      <c r="AQ145" s="61">
        <f>IF($A145&lt;=Input!$C$6,0,IF('Unique Tenure'!AM145&lt;'Unique Tenure'!AO145,'Unique Tenure'!AM145-AP145,'Unique Tenure'!AO145))</f>
        <v>0</v>
      </c>
      <c r="AR145" s="61">
        <f t="shared" si="83"/>
        <v>0</v>
      </c>
      <c r="AS145" s="60">
        <f t="shared" si="84"/>
        <v>0</v>
      </c>
      <c r="AT145" s="193"/>
      <c r="AU145" s="169">
        <v>141</v>
      </c>
      <c r="AV145" s="1">
        <f t="shared" si="102"/>
        <v>49810</v>
      </c>
      <c r="AW145" s="60">
        <f>IF($X145&lt;Input!$H$88,IF($X145&lt;Input!$G$88,IF($X145&lt;Input!$F$88,IF($X145&lt;Input!$E$88,IF($X145&lt;Input!$D$88,Input!$C$94,Input!$D$94),Input!$E$94),Input!$F$94),Input!$G$94),Input!$H$94)</f>
        <v>0</v>
      </c>
      <c r="AX145" s="190">
        <f>IF($A145&lt;Input!$H$95,IF($A145&lt;Input!$G$95,IF($A145&lt;Input!$F$95,IF($A145&lt;Input!$E$95,IF($A145&lt;Input!$D$95,Input!$C$96,Input!$D$96),Input!$E$96),Input!$F$96),Input!$G$96),Input!$H$96)</f>
        <v>0.9</v>
      </c>
      <c r="AY145" s="60">
        <f t="shared" si="85"/>
        <v>0</v>
      </c>
      <c r="AZ145" s="60">
        <f t="shared" si="103"/>
        <v>30</v>
      </c>
      <c r="BA145" s="60">
        <f t="shared" si="86"/>
        <v>0</v>
      </c>
      <c r="BB145" s="60">
        <f>ROUND(BA145*AZ145*Input!$C$3/365,0)</f>
        <v>0</v>
      </c>
      <c r="BC145" s="61">
        <f>IF($A145&lt;=Input!$C$6,0,IF('Unique Tenure'!AY145&lt;'Unique Tenure'!BA145,'Unique Tenure'!AY145-BB145,'Unique Tenure'!BA145))</f>
        <v>0</v>
      </c>
      <c r="BD145" s="61">
        <f t="shared" si="87"/>
        <v>0</v>
      </c>
      <c r="BE145" s="60">
        <f t="shared" si="88"/>
        <v>0</v>
      </c>
      <c r="BF145" s="193"/>
      <c r="BG145" s="169">
        <v>141</v>
      </c>
      <c r="BH145" s="1">
        <f t="shared" si="104"/>
        <v>49810</v>
      </c>
      <c r="BI145" s="60">
        <f>IF($X145&lt;Input!$H$103,IF($X145&lt;Input!$G$103,IF($X145&lt;Input!$F$103,IF($X145&lt;Input!$E$103,IF($X145&lt;Input!$D$103,Input!$C$109,Input!$D$109),Input!$E$109),Input!$F$109),Input!$G$109),Input!$H$109)</f>
        <v>0</v>
      </c>
      <c r="BJ145" s="190">
        <f>IF($A145&lt;Input!$H$110,IF($A145&lt;Input!$G$110,IF($A145&lt;Input!$F$110,IF($A145&lt;Input!$E$110,IF($A145&lt;Input!$D$110,Input!$C$111,Input!$D$111),Input!$E$111),Input!$F$111),Input!$G$111),Input!$H$111)</f>
        <v>0.9</v>
      </c>
      <c r="BK145" s="60">
        <f t="shared" si="89"/>
        <v>0</v>
      </c>
      <c r="BL145" s="60">
        <f t="shared" si="105"/>
        <v>30</v>
      </c>
      <c r="BM145" s="60">
        <f t="shared" si="90"/>
        <v>0</v>
      </c>
      <c r="BN145" s="60">
        <f>ROUND(BM145*BL145*Input!$C$3/365,0)</f>
        <v>0</v>
      </c>
      <c r="BO145" s="61">
        <f>IF($A145&lt;=Input!$C$6,0,IF('Unique Tenure'!BK145&lt;'Unique Tenure'!BM145,'Unique Tenure'!BK145-BN145,'Unique Tenure'!BM145))</f>
        <v>0</v>
      </c>
      <c r="BP145" s="61">
        <f t="shared" si="91"/>
        <v>0</v>
      </c>
      <c r="BQ145" s="60">
        <f t="shared" si="92"/>
        <v>0</v>
      </c>
      <c r="BR145" s="198"/>
    </row>
    <row r="146" spans="1:70" s="51" customFormat="1" x14ac:dyDescent="0.25">
      <c r="A146" s="169">
        <v>142</v>
      </c>
      <c r="B146" s="1">
        <f t="shared" si="93"/>
        <v>49841</v>
      </c>
      <c r="C146" s="60">
        <f>SUM(
   IF(($A$4:$A$184 &lt;= Input!$D$16), M146, 0),
   IF(($A$4:$A$184 &lt;= Input!$E$16), Y146, 0),
   IF(($A$4:$A$184 &lt;= Input!$F$16), AK146, 0),
   IF(($A$4:$A$184 &lt;= Input!$G$16), AW146, 0),
   IF(($A$4:$A$184 &lt;= Input!$H$16), BI146, 0)
)</f>
        <v>33127052.878124986</v>
      </c>
      <c r="D146" s="60">
        <f>SUM(
   IF(($A$4:$A$184 &lt;= Input!$D$16), O146, 0),
   IF(($A$4:$A$184 &lt;= Input!$E$16), AA146, 0),
   IF(($A$4:$A$184 &lt;= Input!$F$16), AM146, 0),
   IF(($A$4:$A$184 &lt;= Input!$G$16), AY146, 0),
   IF(($A$4:$A$184 &lt;= Input!$H$16), BK146, 0)
)</f>
        <v>29814347.590312488</v>
      </c>
      <c r="E146" s="60">
        <f t="shared" si="94"/>
        <v>31</v>
      </c>
      <c r="F146" s="60">
        <f t="shared" si="95"/>
        <v>0</v>
      </c>
      <c r="G146" s="60">
        <f>ROUND(F146*E146*Input!$C$3/365,0)</f>
        <v>0</v>
      </c>
      <c r="H146" s="60">
        <f>IF($A146&lt;=Input!$C$6,0,IF('Unique Tenure'!D146&lt;'Unique Tenure'!F146,'Unique Tenure'!D146-G146,'Unique Tenure'!F146))</f>
        <v>0</v>
      </c>
      <c r="I146" s="60">
        <f t="shared" si="96"/>
        <v>0</v>
      </c>
      <c r="J146" s="60">
        <f t="shared" si="97"/>
        <v>0</v>
      </c>
      <c r="K146" s="202">
        <f>J146/Input!$K$5</f>
        <v>0</v>
      </c>
      <c r="L146" s="232"/>
      <c r="M146" s="60">
        <f>IF($B146&lt;Input!$H$43,IF($B146&lt;Input!$G$43,IF($B146&lt;Input!$F$43,IF($B146&lt;Input!$E$43,IF($B146&lt;Input!$D$43,Input!$C$49,Input!$D$49),Input!$E$49),Input!$F$49),Input!$G$49),Input!$H$49)</f>
        <v>33127052.878124986</v>
      </c>
      <c r="N146" s="190">
        <f>IF($A146&lt;Input!$H$50,IF($A146&lt;Input!$G$50,IF($A146&lt;Input!$F$50,IF($A146&lt;Input!$E$50,IF($A146&lt;Input!$D$50,Input!$C$51,Input!$D$51),Input!$E$51),Input!$F$51),Input!$G$51),Input!$H$51)</f>
        <v>0.9</v>
      </c>
      <c r="O146" s="60">
        <f t="shared" si="72"/>
        <v>29814347.590312488</v>
      </c>
      <c r="P146" s="60">
        <f t="shared" si="73"/>
        <v>31</v>
      </c>
      <c r="Q146" s="60">
        <f t="shared" si="74"/>
        <v>0</v>
      </c>
      <c r="R146" s="60">
        <f>ROUND(Q146*$P146*Input!$C$3/365,0)</f>
        <v>0</v>
      </c>
      <c r="S146" s="60">
        <f>IF(A146&lt;=Input!$C$6,0,IF('Unique Tenure'!O146&lt;'Unique Tenure'!Q146,'Unique Tenure'!O146-R146,'Unique Tenure'!Q146))</f>
        <v>0</v>
      </c>
      <c r="T146" s="60">
        <f t="shared" si="75"/>
        <v>0</v>
      </c>
      <c r="U146" s="60">
        <f t="shared" si="76"/>
        <v>0</v>
      </c>
      <c r="V146" s="193"/>
      <c r="W146" s="169">
        <v>142</v>
      </c>
      <c r="X146" s="1">
        <f t="shared" si="98"/>
        <v>49841</v>
      </c>
      <c r="Y146" s="60">
        <f>IF($X146&lt;Input!$H$58,IF($X146&lt;Input!$G$58,IF($X146&lt;Input!$F$58,IF($X146&lt;Input!$E$58,IF($X146&lt;Input!$D$58,Input!$C$64,Input!$D$64),Input!$E$64),Input!$F$64),Input!$G$64),Input!$H$64)</f>
        <v>0</v>
      </c>
      <c r="Z146" s="190">
        <f>IF($A146&lt;Input!$H$65,IF($A146&lt;Input!$G$65,IF($A146&lt;Input!$F$65,IF($A146&lt;Input!$E$65,IF($A146&lt;Input!$D$65,Input!$C$66,Input!$D$66),Input!$E$66),Input!$F$66),Input!$G$66),Input!$H$66)</f>
        <v>0.9</v>
      </c>
      <c r="AA146" s="60">
        <f t="shared" si="77"/>
        <v>0</v>
      </c>
      <c r="AB146" s="60">
        <f t="shared" si="99"/>
        <v>31</v>
      </c>
      <c r="AC146" s="60">
        <f t="shared" si="78"/>
        <v>0</v>
      </c>
      <c r="AD146" s="60">
        <f>ROUND(AC146*AB146*Input!$C$3/365,0)</f>
        <v>0</v>
      </c>
      <c r="AE146" s="61">
        <f>IF($A146&lt;=Input!$C$6,0,IF('Unique Tenure'!AA146&lt;'Unique Tenure'!AC146,'Unique Tenure'!AA146-AD146,'Unique Tenure'!AC146))</f>
        <v>0</v>
      </c>
      <c r="AF146" s="61">
        <f t="shared" si="79"/>
        <v>0</v>
      </c>
      <c r="AG146" s="60">
        <f t="shared" si="80"/>
        <v>0</v>
      </c>
      <c r="AH146" s="193"/>
      <c r="AI146" s="169">
        <v>142</v>
      </c>
      <c r="AJ146" s="1">
        <f t="shared" si="100"/>
        <v>49841</v>
      </c>
      <c r="AK146" s="60">
        <f>IF($X146&lt;Input!$H$73,IF($X146&lt;Input!$G$73,IF($X146&lt;Input!$F$73,IF($X146&lt;Input!$E$73,IF($X146&lt;Input!$D$73,Input!$C$79,Input!$D$79),Input!$E$79),Input!$F$79),Input!$G$79),Input!$H$79)</f>
        <v>0</v>
      </c>
      <c r="AL146" s="190">
        <f>IF($A146&lt;Input!$H$80,IF($A146&lt;Input!$G$80,IF($A146&lt;Input!$F$80,IF($A146&lt;Input!$E$80,IF($A146&lt;Input!$D$80,Input!$C$81,Input!$D$81),Input!$E$81),Input!$F$81),Input!$G$81),Input!$H$81)</f>
        <v>0.9</v>
      </c>
      <c r="AM146" s="60">
        <f t="shared" si="81"/>
        <v>0</v>
      </c>
      <c r="AN146" s="60">
        <f t="shared" si="101"/>
        <v>31</v>
      </c>
      <c r="AO146" s="60">
        <f t="shared" si="82"/>
        <v>0</v>
      </c>
      <c r="AP146" s="60">
        <f>ROUND(AO146*AN146*Input!$C$3/365,0)</f>
        <v>0</v>
      </c>
      <c r="AQ146" s="61">
        <f>IF($A146&lt;=Input!$C$6,0,IF('Unique Tenure'!AM146&lt;'Unique Tenure'!AO146,'Unique Tenure'!AM146-AP146,'Unique Tenure'!AO146))</f>
        <v>0</v>
      </c>
      <c r="AR146" s="61">
        <f t="shared" si="83"/>
        <v>0</v>
      </c>
      <c r="AS146" s="60">
        <f t="shared" si="84"/>
        <v>0</v>
      </c>
      <c r="AT146" s="193"/>
      <c r="AU146" s="169">
        <v>142</v>
      </c>
      <c r="AV146" s="1">
        <f t="shared" si="102"/>
        <v>49841</v>
      </c>
      <c r="AW146" s="60">
        <f>IF($X146&lt;Input!$H$88,IF($X146&lt;Input!$G$88,IF($X146&lt;Input!$F$88,IF($X146&lt;Input!$E$88,IF($X146&lt;Input!$D$88,Input!$C$94,Input!$D$94),Input!$E$94),Input!$F$94),Input!$G$94),Input!$H$94)</f>
        <v>0</v>
      </c>
      <c r="AX146" s="190">
        <f>IF($A146&lt;Input!$H$95,IF($A146&lt;Input!$G$95,IF($A146&lt;Input!$F$95,IF($A146&lt;Input!$E$95,IF($A146&lt;Input!$D$95,Input!$C$96,Input!$D$96),Input!$E$96),Input!$F$96),Input!$G$96),Input!$H$96)</f>
        <v>0.9</v>
      </c>
      <c r="AY146" s="60">
        <f t="shared" si="85"/>
        <v>0</v>
      </c>
      <c r="AZ146" s="60">
        <f t="shared" si="103"/>
        <v>31</v>
      </c>
      <c r="BA146" s="60">
        <f t="shared" si="86"/>
        <v>0</v>
      </c>
      <c r="BB146" s="60">
        <f>ROUND(BA146*AZ146*Input!$C$3/365,0)</f>
        <v>0</v>
      </c>
      <c r="BC146" s="61">
        <f>IF($A146&lt;=Input!$C$6,0,IF('Unique Tenure'!AY146&lt;'Unique Tenure'!BA146,'Unique Tenure'!AY146-BB146,'Unique Tenure'!BA146))</f>
        <v>0</v>
      </c>
      <c r="BD146" s="61">
        <f t="shared" si="87"/>
        <v>0</v>
      </c>
      <c r="BE146" s="60">
        <f t="shared" si="88"/>
        <v>0</v>
      </c>
      <c r="BF146" s="193"/>
      <c r="BG146" s="169">
        <v>142</v>
      </c>
      <c r="BH146" s="1">
        <f t="shared" si="104"/>
        <v>49841</v>
      </c>
      <c r="BI146" s="60">
        <f>IF($X146&lt;Input!$H$103,IF($X146&lt;Input!$G$103,IF($X146&lt;Input!$F$103,IF($X146&lt;Input!$E$103,IF($X146&lt;Input!$D$103,Input!$C$109,Input!$D$109),Input!$E$109),Input!$F$109),Input!$G$109),Input!$H$109)</f>
        <v>0</v>
      </c>
      <c r="BJ146" s="190">
        <f>IF($A146&lt;Input!$H$110,IF($A146&lt;Input!$G$110,IF($A146&lt;Input!$F$110,IF($A146&lt;Input!$E$110,IF($A146&lt;Input!$D$110,Input!$C$111,Input!$D$111),Input!$E$111),Input!$F$111),Input!$G$111),Input!$H$111)</f>
        <v>0.9</v>
      </c>
      <c r="BK146" s="60">
        <f t="shared" si="89"/>
        <v>0</v>
      </c>
      <c r="BL146" s="60">
        <f t="shared" si="105"/>
        <v>31</v>
      </c>
      <c r="BM146" s="60">
        <f t="shared" si="90"/>
        <v>0</v>
      </c>
      <c r="BN146" s="60">
        <f>ROUND(BM146*BL146*Input!$C$3/365,0)</f>
        <v>0</v>
      </c>
      <c r="BO146" s="61">
        <f>IF($A146&lt;=Input!$C$6,0,IF('Unique Tenure'!BK146&lt;'Unique Tenure'!BM146,'Unique Tenure'!BK146-BN146,'Unique Tenure'!BM146))</f>
        <v>0</v>
      </c>
      <c r="BP146" s="61">
        <f t="shared" si="91"/>
        <v>0</v>
      </c>
      <c r="BQ146" s="60">
        <f t="shared" si="92"/>
        <v>0</v>
      </c>
      <c r="BR146" s="198"/>
    </row>
    <row r="147" spans="1:70" s="51" customFormat="1" x14ac:dyDescent="0.25">
      <c r="A147" s="169">
        <v>143</v>
      </c>
      <c r="B147" s="1">
        <f t="shared" si="93"/>
        <v>49871</v>
      </c>
      <c r="C147" s="60">
        <f>SUM(
   IF(($A$4:$A$184 &lt;= Input!$D$16), M147, 0),
   IF(($A$4:$A$184 &lt;= Input!$E$16), Y147, 0),
   IF(($A$4:$A$184 &lt;= Input!$F$16), AK147, 0),
   IF(($A$4:$A$184 &lt;= Input!$G$16), AW147, 0),
   IF(($A$4:$A$184 &lt;= Input!$H$16), BI147, 0)
)</f>
        <v>33127052.878124986</v>
      </c>
      <c r="D147" s="60">
        <f>SUM(
   IF(($A$4:$A$184 &lt;= Input!$D$16), O147, 0),
   IF(($A$4:$A$184 &lt;= Input!$E$16), AA147, 0),
   IF(($A$4:$A$184 &lt;= Input!$F$16), AM147, 0),
   IF(($A$4:$A$184 &lt;= Input!$G$16), AY147, 0),
   IF(($A$4:$A$184 &lt;= Input!$H$16), BK147, 0)
)</f>
        <v>29814347.590312488</v>
      </c>
      <c r="E147" s="60">
        <f t="shared" si="94"/>
        <v>30</v>
      </c>
      <c r="F147" s="60">
        <f t="shared" si="95"/>
        <v>0</v>
      </c>
      <c r="G147" s="60">
        <f>ROUND(F147*E147*Input!$C$3/365,0)</f>
        <v>0</v>
      </c>
      <c r="H147" s="60">
        <f>IF($A147&lt;=Input!$C$6,0,IF('Unique Tenure'!D147&lt;'Unique Tenure'!F147,'Unique Tenure'!D147-G147,'Unique Tenure'!F147))</f>
        <v>0</v>
      </c>
      <c r="I147" s="60">
        <f t="shared" si="96"/>
        <v>0</v>
      </c>
      <c r="J147" s="60">
        <f t="shared" si="97"/>
        <v>0</v>
      </c>
      <c r="K147" s="202">
        <f>J147/Input!$K$5</f>
        <v>0</v>
      </c>
      <c r="L147" s="232"/>
      <c r="M147" s="60">
        <f>IF($B147&lt;Input!$H$43,IF($B147&lt;Input!$G$43,IF($B147&lt;Input!$F$43,IF($B147&lt;Input!$E$43,IF($B147&lt;Input!$D$43,Input!$C$49,Input!$D$49),Input!$E$49),Input!$F$49),Input!$G$49),Input!$H$49)</f>
        <v>33127052.878124986</v>
      </c>
      <c r="N147" s="190">
        <f>IF($A147&lt;Input!$H$50,IF($A147&lt;Input!$G$50,IF($A147&lt;Input!$F$50,IF($A147&lt;Input!$E$50,IF($A147&lt;Input!$D$50,Input!$C$51,Input!$D$51),Input!$E$51),Input!$F$51),Input!$G$51),Input!$H$51)</f>
        <v>0.9</v>
      </c>
      <c r="O147" s="60">
        <f t="shared" si="72"/>
        <v>29814347.590312488</v>
      </c>
      <c r="P147" s="60">
        <f t="shared" si="73"/>
        <v>30</v>
      </c>
      <c r="Q147" s="60">
        <f t="shared" si="74"/>
        <v>0</v>
      </c>
      <c r="R147" s="60">
        <f>ROUND(Q147*$P147*Input!$C$3/365,0)</f>
        <v>0</v>
      </c>
      <c r="S147" s="60">
        <f>IF(A147&lt;=Input!$C$6,0,IF('Unique Tenure'!O147&lt;'Unique Tenure'!Q147,'Unique Tenure'!O147-R147,'Unique Tenure'!Q147))</f>
        <v>0</v>
      </c>
      <c r="T147" s="60">
        <f t="shared" si="75"/>
        <v>0</v>
      </c>
      <c r="U147" s="60">
        <f t="shared" si="76"/>
        <v>0</v>
      </c>
      <c r="V147" s="193"/>
      <c r="W147" s="169">
        <v>143</v>
      </c>
      <c r="X147" s="1">
        <f t="shared" si="98"/>
        <v>49871</v>
      </c>
      <c r="Y147" s="60">
        <f>IF($X147&lt;Input!$H$58,IF($X147&lt;Input!$G$58,IF($X147&lt;Input!$F$58,IF($X147&lt;Input!$E$58,IF($X147&lt;Input!$D$58,Input!$C$64,Input!$D$64),Input!$E$64),Input!$F$64),Input!$G$64),Input!$H$64)</f>
        <v>0</v>
      </c>
      <c r="Z147" s="190">
        <f>IF($A147&lt;Input!$H$65,IF($A147&lt;Input!$G$65,IF($A147&lt;Input!$F$65,IF($A147&lt;Input!$E$65,IF($A147&lt;Input!$D$65,Input!$C$66,Input!$D$66),Input!$E$66),Input!$F$66),Input!$G$66),Input!$H$66)</f>
        <v>0.9</v>
      </c>
      <c r="AA147" s="60">
        <f t="shared" si="77"/>
        <v>0</v>
      </c>
      <c r="AB147" s="60">
        <f t="shared" si="99"/>
        <v>30</v>
      </c>
      <c r="AC147" s="60">
        <f t="shared" si="78"/>
        <v>0</v>
      </c>
      <c r="AD147" s="60">
        <f>ROUND(AC147*AB147*Input!$C$3/365,0)</f>
        <v>0</v>
      </c>
      <c r="AE147" s="61">
        <f>IF($A147&lt;=Input!$C$6,0,IF('Unique Tenure'!AA147&lt;'Unique Tenure'!AC147,'Unique Tenure'!AA147-AD147,'Unique Tenure'!AC147))</f>
        <v>0</v>
      </c>
      <c r="AF147" s="61">
        <f t="shared" si="79"/>
        <v>0</v>
      </c>
      <c r="AG147" s="60">
        <f t="shared" si="80"/>
        <v>0</v>
      </c>
      <c r="AH147" s="193"/>
      <c r="AI147" s="169">
        <v>143</v>
      </c>
      <c r="AJ147" s="1">
        <f t="shared" si="100"/>
        <v>49871</v>
      </c>
      <c r="AK147" s="60">
        <f>IF($X147&lt;Input!$H$73,IF($X147&lt;Input!$G$73,IF($X147&lt;Input!$F$73,IF($X147&lt;Input!$E$73,IF($X147&lt;Input!$D$73,Input!$C$79,Input!$D$79),Input!$E$79),Input!$F$79),Input!$G$79),Input!$H$79)</f>
        <v>0</v>
      </c>
      <c r="AL147" s="190">
        <f>IF($A147&lt;Input!$H$80,IF($A147&lt;Input!$G$80,IF($A147&lt;Input!$F$80,IF($A147&lt;Input!$E$80,IF($A147&lt;Input!$D$80,Input!$C$81,Input!$D$81),Input!$E$81),Input!$F$81),Input!$G$81),Input!$H$81)</f>
        <v>0.9</v>
      </c>
      <c r="AM147" s="60">
        <f t="shared" si="81"/>
        <v>0</v>
      </c>
      <c r="AN147" s="60">
        <f t="shared" si="101"/>
        <v>30</v>
      </c>
      <c r="AO147" s="60">
        <f t="shared" si="82"/>
        <v>0</v>
      </c>
      <c r="AP147" s="60">
        <f>ROUND(AO147*AN147*Input!$C$3/365,0)</f>
        <v>0</v>
      </c>
      <c r="AQ147" s="61">
        <f>IF($A147&lt;=Input!$C$6,0,IF('Unique Tenure'!AM147&lt;'Unique Tenure'!AO147,'Unique Tenure'!AM147-AP147,'Unique Tenure'!AO147))</f>
        <v>0</v>
      </c>
      <c r="AR147" s="61">
        <f t="shared" si="83"/>
        <v>0</v>
      </c>
      <c r="AS147" s="60">
        <f t="shared" si="84"/>
        <v>0</v>
      </c>
      <c r="AT147" s="193"/>
      <c r="AU147" s="169">
        <v>143</v>
      </c>
      <c r="AV147" s="1">
        <f t="shared" si="102"/>
        <v>49871</v>
      </c>
      <c r="AW147" s="60">
        <f>IF($X147&lt;Input!$H$88,IF($X147&lt;Input!$G$88,IF($X147&lt;Input!$F$88,IF($X147&lt;Input!$E$88,IF($X147&lt;Input!$D$88,Input!$C$94,Input!$D$94),Input!$E$94),Input!$F$94),Input!$G$94),Input!$H$94)</f>
        <v>0</v>
      </c>
      <c r="AX147" s="190">
        <f>IF($A147&lt;Input!$H$95,IF($A147&lt;Input!$G$95,IF($A147&lt;Input!$F$95,IF($A147&lt;Input!$E$95,IF($A147&lt;Input!$D$95,Input!$C$96,Input!$D$96),Input!$E$96),Input!$F$96),Input!$G$96),Input!$H$96)</f>
        <v>0.9</v>
      </c>
      <c r="AY147" s="60">
        <f t="shared" si="85"/>
        <v>0</v>
      </c>
      <c r="AZ147" s="60">
        <f t="shared" si="103"/>
        <v>30</v>
      </c>
      <c r="BA147" s="60">
        <f t="shared" si="86"/>
        <v>0</v>
      </c>
      <c r="BB147" s="60">
        <f>ROUND(BA147*AZ147*Input!$C$3/365,0)</f>
        <v>0</v>
      </c>
      <c r="BC147" s="61">
        <f>IF($A147&lt;=Input!$C$6,0,IF('Unique Tenure'!AY147&lt;'Unique Tenure'!BA147,'Unique Tenure'!AY147-BB147,'Unique Tenure'!BA147))</f>
        <v>0</v>
      </c>
      <c r="BD147" s="61">
        <f t="shared" si="87"/>
        <v>0</v>
      </c>
      <c r="BE147" s="60">
        <f t="shared" si="88"/>
        <v>0</v>
      </c>
      <c r="BF147" s="193"/>
      <c r="BG147" s="169">
        <v>143</v>
      </c>
      <c r="BH147" s="1">
        <f t="shared" si="104"/>
        <v>49871</v>
      </c>
      <c r="BI147" s="60">
        <f>IF($X147&lt;Input!$H$103,IF($X147&lt;Input!$G$103,IF($X147&lt;Input!$F$103,IF($X147&lt;Input!$E$103,IF($X147&lt;Input!$D$103,Input!$C$109,Input!$D$109),Input!$E$109),Input!$F$109),Input!$G$109),Input!$H$109)</f>
        <v>0</v>
      </c>
      <c r="BJ147" s="190">
        <f>IF($A147&lt;Input!$H$110,IF($A147&lt;Input!$G$110,IF($A147&lt;Input!$F$110,IF($A147&lt;Input!$E$110,IF($A147&lt;Input!$D$110,Input!$C$111,Input!$D$111),Input!$E$111),Input!$F$111),Input!$G$111),Input!$H$111)</f>
        <v>0.9</v>
      </c>
      <c r="BK147" s="60">
        <f t="shared" si="89"/>
        <v>0</v>
      </c>
      <c r="BL147" s="60">
        <f t="shared" si="105"/>
        <v>30</v>
      </c>
      <c r="BM147" s="60">
        <f t="shared" si="90"/>
        <v>0</v>
      </c>
      <c r="BN147" s="60">
        <f>ROUND(BM147*BL147*Input!$C$3/365,0)</f>
        <v>0</v>
      </c>
      <c r="BO147" s="61">
        <f>IF($A147&lt;=Input!$C$6,0,IF('Unique Tenure'!BK147&lt;'Unique Tenure'!BM147,'Unique Tenure'!BK147-BN147,'Unique Tenure'!BM147))</f>
        <v>0</v>
      </c>
      <c r="BP147" s="61">
        <f t="shared" si="91"/>
        <v>0</v>
      </c>
      <c r="BQ147" s="60">
        <f t="shared" si="92"/>
        <v>0</v>
      </c>
      <c r="BR147" s="198"/>
    </row>
    <row r="148" spans="1:70" s="51" customFormat="1" x14ac:dyDescent="0.25">
      <c r="A148" s="169">
        <v>144</v>
      </c>
      <c r="B148" s="1">
        <f t="shared" si="93"/>
        <v>49902</v>
      </c>
      <c r="C148" s="60">
        <f>SUM(
   IF(($A$4:$A$184 &lt;= Input!$D$16), M148, 0),
   IF(($A$4:$A$184 &lt;= Input!$E$16), Y148, 0),
   IF(($A$4:$A$184 &lt;= Input!$F$16), AK148, 0),
   IF(($A$4:$A$184 &lt;= Input!$G$16), AW148, 0),
   IF(($A$4:$A$184 &lt;= Input!$H$16), BI148, 0)
)</f>
        <v>33127052.878124986</v>
      </c>
      <c r="D148" s="60">
        <f>SUM(
   IF(($A$4:$A$184 &lt;= Input!$D$16), O148, 0),
   IF(($A$4:$A$184 &lt;= Input!$E$16), AA148, 0),
   IF(($A$4:$A$184 &lt;= Input!$F$16), AM148, 0),
   IF(($A$4:$A$184 &lt;= Input!$G$16), AY148, 0),
   IF(($A$4:$A$184 &lt;= Input!$H$16), BK148, 0)
)</f>
        <v>29814347.590312488</v>
      </c>
      <c r="E148" s="60">
        <f t="shared" si="94"/>
        <v>31</v>
      </c>
      <c r="F148" s="60">
        <f t="shared" si="95"/>
        <v>0</v>
      </c>
      <c r="G148" s="60">
        <f>ROUND(F148*E148*Input!$C$3/365,0)</f>
        <v>0</v>
      </c>
      <c r="H148" s="60">
        <f>IF($A148&lt;=Input!$C$6,0,IF('Unique Tenure'!D148&lt;'Unique Tenure'!F148,'Unique Tenure'!D148-G148,'Unique Tenure'!F148))</f>
        <v>0</v>
      </c>
      <c r="I148" s="60">
        <f t="shared" si="96"/>
        <v>0</v>
      </c>
      <c r="J148" s="60">
        <f t="shared" si="97"/>
        <v>0</v>
      </c>
      <c r="K148" s="202">
        <f>J148/Input!$K$5</f>
        <v>0</v>
      </c>
      <c r="L148" s="232"/>
      <c r="M148" s="60">
        <f>IF($B148&lt;Input!$H$43,IF($B148&lt;Input!$G$43,IF($B148&lt;Input!$F$43,IF($B148&lt;Input!$E$43,IF($B148&lt;Input!$D$43,Input!$C$49,Input!$D$49),Input!$E$49),Input!$F$49),Input!$G$49),Input!$H$49)</f>
        <v>33127052.878124986</v>
      </c>
      <c r="N148" s="190">
        <f>IF($A148&lt;Input!$H$50,IF($A148&lt;Input!$G$50,IF($A148&lt;Input!$F$50,IF($A148&lt;Input!$E$50,IF($A148&lt;Input!$D$50,Input!$C$51,Input!$D$51),Input!$E$51),Input!$F$51),Input!$G$51),Input!$H$51)</f>
        <v>0.9</v>
      </c>
      <c r="O148" s="60">
        <f t="shared" si="72"/>
        <v>29814347.590312488</v>
      </c>
      <c r="P148" s="60">
        <f t="shared" si="73"/>
        <v>31</v>
      </c>
      <c r="Q148" s="60">
        <f t="shared" si="74"/>
        <v>0</v>
      </c>
      <c r="R148" s="60">
        <f>ROUND(Q148*$P148*Input!$C$3/365,0)</f>
        <v>0</v>
      </c>
      <c r="S148" s="60">
        <f>IF(A148&lt;=Input!$C$6,0,IF('Unique Tenure'!O148&lt;'Unique Tenure'!Q148,'Unique Tenure'!O148-R148,'Unique Tenure'!Q148))</f>
        <v>0</v>
      </c>
      <c r="T148" s="60">
        <f t="shared" si="75"/>
        <v>0</v>
      </c>
      <c r="U148" s="60">
        <f t="shared" si="76"/>
        <v>0</v>
      </c>
      <c r="V148" s="193"/>
      <c r="W148" s="169">
        <v>144</v>
      </c>
      <c r="X148" s="1">
        <f t="shared" si="98"/>
        <v>49902</v>
      </c>
      <c r="Y148" s="60">
        <f>IF($X148&lt;Input!$H$58,IF($X148&lt;Input!$G$58,IF($X148&lt;Input!$F$58,IF($X148&lt;Input!$E$58,IF($X148&lt;Input!$D$58,Input!$C$64,Input!$D$64),Input!$E$64),Input!$F$64),Input!$G$64),Input!$H$64)</f>
        <v>0</v>
      </c>
      <c r="Z148" s="190">
        <f>IF($A148&lt;Input!$H$65,IF($A148&lt;Input!$G$65,IF($A148&lt;Input!$F$65,IF($A148&lt;Input!$E$65,IF($A148&lt;Input!$D$65,Input!$C$66,Input!$D$66),Input!$E$66),Input!$F$66),Input!$G$66),Input!$H$66)</f>
        <v>0.9</v>
      </c>
      <c r="AA148" s="60">
        <f t="shared" si="77"/>
        <v>0</v>
      </c>
      <c r="AB148" s="60">
        <f t="shared" si="99"/>
        <v>31</v>
      </c>
      <c r="AC148" s="60">
        <f t="shared" si="78"/>
        <v>0</v>
      </c>
      <c r="AD148" s="60">
        <f>ROUND(AC148*AB148*Input!$C$3/365,0)</f>
        <v>0</v>
      </c>
      <c r="AE148" s="61">
        <f>IF($A148&lt;=Input!$C$6,0,IF('Unique Tenure'!AA148&lt;'Unique Tenure'!AC148,'Unique Tenure'!AA148-AD148,'Unique Tenure'!AC148))</f>
        <v>0</v>
      </c>
      <c r="AF148" s="61">
        <f t="shared" si="79"/>
        <v>0</v>
      </c>
      <c r="AG148" s="60">
        <f t="shared" si="80"/>
        <v>0</v>
      </c>
      <c r="AH148" s="193"/>
      <c r="AI148" s="169">
        <v>144</v>
      </c>
      <c r="AJ148" s="1">
        <f t="shared" si="100"/>
        <v>49902</v>
      </c>
      <c r="AK148" s="60">
        <f>IF($X148&lt;Input!$H$73,IF($X148&lt;Input!$G$73,IF($X148&lt;Input!$F$73,IF($X148&lt;Input!$E$73,IF($X148&lt;Input!$D$73,Input!$C$79,Input!$D$79),Input!$E$79),Input!$F$79),Input!$G$79),Input!$H$79)</f>
        <v>0</v>
      </c>
      <c r="AL148" s="190">
        <f>IF($A148&lt;Input!$H$80,IF($A148&lt;Input!$G$80,IF($A148&lt;Input!$F$80,IF($A148&lt;Input!$E$80,IF($A148&lt;Input!$D$80,Input!$C$81,Input!$D$81),Input!$E$81),Input!$F$81),Input!$G$81),Input!$H$81)</f>
        <v>0.9</v>
      </c>
      <c r="AM148" s="60">
        <f t="shared" si="81"/>
        <v>0</v>
      </c>
      <c r="AN148" s="60">
        <f t="shared" si="101"/>
        <v>31</v>
      </c>
      <c r="AO148" s="60">
        <f t="shared" si="82"/>
        <v>0</v>
      </c>
      <c r="AP148" s="60">
        <f>ROUND(AO148*AN148*Input!$C$3/365,0)</f>
        <v>0</v>
      </c>
      <c r="AQ148" s="61">
        <f>IF($A148&lt;=Input!$C$6,0,IF('Unique Tenure'!AM148&lt;'Unique Tenure'!AO148,'Unique Tenure'!AM148-AP148,'Unique Tenure'!AO148))</f>
        <v>0</v>
      </c>
      <c r="AR148" s="61">
        <f t="shared" si="83"/>
        <v>0</v>
      </c>
      <c r="AS148" s="60">
        <f t="shared" si="84"/>
        <v>0</v>
      </c>
      <c r="AT148" s="193"/>
      <c r="AU148" s="169">
        <v>144</v>
      </c>
      <c r="AV148" s="1">
        <f t="shared" si="102"/>
        <v>49902</v>
      </c>
      <c r="AW148" s="60">
        <f>IF($X148&lt;Input!$H$88,IF($X148&lt;Input!$G$88,IF($X148&lt;Input!$F$88,IF($X148&lt;Input!$E$88,IF($X148&lt;Input!$D$88,Input!$C$94,Input!$D$94),Input!$E$94),Input!$F$94),Input!$G$94),Input!$H$94)</f>
        <v>0</v>
      </c>
      <c r="AX148" s="190">
        <f>IF($A148&lt;Input!$H$95,IF($A148&lt;Input!$G$95,IF($A148&lt;Input!$F$95,IF($A148&lt;Input!$E$95,IF($A148&lt;Input!$D$95,Input!$C$96,Input!$D$96),Input!$E$96),Input!$F$96),Input!$G$96),Input!$H$96)</f>
        <v>0.9</v>
      </c>
      <c r="AY148" s="60">
        <f t="shared" si="85"/>
        <v>0</v>
      </c>
      <c r="AZ148" s="60">
        <f t="shared" si="103"/>
        <v>31</v>
      </c>
      <c r="BA148" s="60">
        <f t="shared" si="86"/>
        <v>0</v>
      </c>
      <c r="BB148" s="60">
        <f>ROUND(BA148*AZ148*Input!$C$3/365,0)</f>
        <v>0</v>
      </c>
      <c r="BC148" s="61">
        <f>IF($A148&lt;=Input!$C$6,0,IF('Unique Tenure'!AY148&lt;'Unique Tenure'!BA148,'Unique Tenure'!AY148-BB148,'Unique Tenure'!BA148))</f>
        <v>0</v>
      </c>
      <c r="BD148" s="61">
        <f t="shared" si="87"/>
        <v>0</v>
      </c>
      <c r="BE148" s="60">
        <f t="shared" si="88"/>
        <v>0</v>
      </c>
      <c r="BF148" s="193"/>
      <c r="BG148" s="169">
        <v>144</v>
      </c>
      <c r="BH148" s="1">
        <f t="shared" si="104"/>
        <v>49902</v>
      </c>
      <c r="BI148" s="60">
        <f>IF($X148&lt;Input!$H$103,IF($X148&lt;Input!$G$103,IF($X148&lt;Input!$F$103,IF($X148&lt;Input!$E$103,IF($X148&lt;Input!$D$103,Input!$C$109,Input!$D$109),Input!$E$109),Input!$F$109),Input!$G$109),Input!$H$109)</f>
        <v>0</v>
      </c>
      <c r="BJ148" s="190">
        <f>IF($A148&lt;Input!$H$110,IF($A148&lt;Input!$G$110,IF($A148&lt;Input!$F$110,IF($A148&lt;Input!$E$110,IF($A148&lt;Input!$D$110,Input!$C$111,Input!$D$111),Input!$E$111),Input!$F$111),Input!$G$111),Input!$H$111)</f>
        <v>0.9</v>
      </c>
      <c r="BK148" s="60">
        <f t="shared" si="89"/>
        <v>0</v>
      </c>
      <c r="BL148" s="60">
        <f t="shared" si="105"/>
        <v>31</v>
      </c>
      <c r="BM148" s="60">
        <f t="shared" si="90"/>
        <v>0</v>
      </c>
      <c r="BN148" s="60">
        <f>ROUND(BM148*BL148*Input!$C$3/365,0)</f>
        <v>0</v>
      </c>
      <c r="BO148" s="61">
        <f>IF($A148&lt;=Input!$C$6,0,IF('Unique Tenure'!BK148&lt;'Unique Tenure'!BM148,'Unique Tenure'!BK148-BN148,'Unique Tenure'!BM148))</f>
        <v>0</v>
      </c>
      <c r="BP148" s="61">
        <f t="shared" si="91"/>
        <v>0</v>
      </c>
      <c r="BQ148" s="60">
        <f t="shared" si="92"/>
        <v>0</v>
      </c>
      <c r="BR148" s="198"/>
    </row>
    <row r="149" spans="1:70" s="51" customFormat="1" x14ac:dyDescent="0.25">
      <c r="A149" s="169">
        <v>145</v>
      </c>
      <c r="B149" s="1">
        <f t="shared" si="93"/>
        <v>49933</v>
      </c>
      <c r="C149" s="60">
        <f>SUM(
   IF(($A$4:$A$184 &lt;= Input!$D$16), M149, 0),
   IF(($A$4:$A$184 &lt;= Input!$E$16), Y149, 0),
   IF(($A$4:$A$184 &lt;= Input!$F$16), AK149, 0),
   IF(($A$4:$A$184 &lt;= Input!$G$16), AW149, 0),
   IF(($A$4:$A$184 &lt;= Input!$H$16), BI149, 0)
)</f>
        <v>33127052.878124986</v>
      </c>
      <c r="D149" s="60">
        <f>SUM(
   IF(($A$4:$A$184 &lt;= Input!$D$16), O149, 0),
   IF(($A$4:$A$184 &lt;= Input!$E$16), AA149, 0),
   IF(($A$4:$A$184 &lt;= Input!$F$16), AM149, 0),
   IF(($A$4:$A$184 &lt;= Input!$G$16), AY149, 0),
   IF(($A$4:$A$184 &lt;= Input!$H$16), BK149, 0)
)</f>
        <v>29814347.590312488</v>
      </c>
      <c r="E149" s="60">
        <f t="shared" si="94"/>
        <v>31</v>
      </c>
      <c r="F149" s="60">
        <f t="shared" si="95"/>
        <v>0</v>
      </c>
      <c r="G149" s="60">
        <f>ROUND(F149*E149*Input!$C$3/365,0)</f>
        <v>0</v>
      </c>
      <c r="H149" s="60">
        <f>IF($A149&lt;=Input!$C$6,0,IF('Unique Tenure'!D149&lt;'Unique Tenure'!F149,'Unique Tenure'!D149-G149,'Unique Tenure'!F149))</f>
        <v>0</v>
      </c>
      <c r="I149" s="60">
        <f t="shared" si="96"/>
        <v>0</v>
      </c>
      <c r="J149" s="60">
        <f t="shared" si="97"/>
        <v>0</v>
      </c>
      <c r="K149" s="202">
        <f>J149/Input!$K$5</f>
        <v>0</v>
      </c>
      <c r="L149" s="232"/>
      <c r="M149" s="60">
        <f>IF($B149&lt;Input!$H$43,IF($B149&lt;Input!$G$43,IF($B149&lt;Input!$F$43,IF($B149&lt;Input!$E$43,IF($B149&lt;Input!$D$43,Input!$C$49,Input!$D$49),Input!$E$49),Input!$F$49),Input!$G$49),Input!$H$49)</f>
        <v>33127052.878124986</v>
      </c>
      <c r="N149" s="190">
        <f>IF($A149&lt;Input!$H$50,IF($A149&lt;Input!$G$50,IF($A149&lt;Input!$F$50,IF($A149&lt;Input!$E$50,IF($A149&lt;Input!$D$50,Input!$C$51,Input!$D$51),Input!$E$51),Input!$F$51),Input!$G$51),Input!$H$51)</f>
        <v>0.9</v>
      </c>
      <c r="O149" s="60">
        <f t="shared" si="72"/>
        <v>29814347.590312488</v>
      </c>
      <c r="P149" s="60">
        <f t="shared" si="73"/>
        <v>31</v>
      </c>
      <c r="Q149" s="60">
        <f t="shared" si="74"/>
        <v>0</v>
      </c>
      <c r="R149" s="60">
        <f>ROUND(Q149*$P149*Input!$C$3/365,0)</f>
        <v>0</v>
      </c>
      <c r="S149" s="60">
        <f>IF(A149&lt;=Input!$C$6,0,IF('Unique Tenure'!O149&lt;'Unique Tenure'!Q149,'Unique Tenure'!O149-R149,'Unique Tenure'!Q149))</f>
        <v>0</v>
      </c>
      <c r="T149" s="60">
        <f t="shared" si="75"/>
        <v>0</v>
      </c>
      <c r="U149" s="60">
        <f t="shared" si="76"/>
        <v>0</v>
      </c>
      <c r="V149" s="193"/>
      <c r="W149" s="169">
        <v>145</v>
      </c>
      <c r="X149" s="1">
        <f t="shared" si="98"/>
        <v>49933</v>
      </c>
      <c r="Y149" s="60">
        <f>IF($X149&lt;Input!$H$58,IF($X149&lt;Input!$G$58,IF($X149&lt;Input!$F$58,IF($X149&lt;Input!$E$58,IF($X149&lt;Input!$D$58,Input!$C$64,Input!$D$64),Input!$E$64),Input!$F$64),Input!$G$64),Input!$H$64)</f>
        <v>0</v>
      </c>
      <c r="Z149" s="190">
        <f>IF($A149&lt;Input!$H$65,IF($A149&lt;Input!$G$65,IF($A149&lt;Input!$F$65,IF($A149&lt;Input!$E$65,IF($A149&lt;Input!$D$65,Input!$C$66,Input!$D$66),Input!$E$66),Input!$F$66),Input!$G$66),Input!$H$66)</f>
        <v>0.9</v>
      </c>
      <c r="AA149" s="60">
        <f t="shared" si="77"/>
        <v>0</v>
      </c>
      <c r="AB149" s="60">
        <f t="shared" si="99"/>
        <v>31</v>
      </c>
      <c r="AC149" s="60">
        <f t="shared" si="78"/>
        <v>0</v>
      </c>
      <c r="AD149" s="60">
        <f>ROUND(AC149*AB149*Input!$C$3/365,0)</f>
        <v>0</v>
      </c>
      <c r="AE149" s="61">
        <f>IF($A149&lt;=Input!$C$6,0,IF('Unique Tenure'!AA149&lt;'Unique Tenure'!AC149,'Unique Tenure'!AA149-AD149,'Unique Tenure'!AC149))</f>
        <v>0</v>
      </c>
      <c r="AF149" s="61">
        <f t="shared" si="79"/>
        <v>0</v>
      </c>
      <c r="AG149" s="60">
        <f t="shared" si="80"/>
        <v>0</v>
      </c>
      <c r="AH149" s="193"/>
      <c r="AI149" s="169">
        <v>145</v>
      </c>
      <c r="AJ149" s="1">
        <f t="shared" si="100"/>
        <v>49933</v>
      </c>
      <c r="AK149" s="60">
        <f>IF($X149&lt;Input!$H$73,IF($X149&lt;Input!$G$73,IF($X149&lt;Input!$F$73,IF($X149&lt;Input!$E$73,IF($X149&lt;Input!$D$73,Input!$C$79,Input!$D$79),Input!$E$79),Input!$F$79),Input!$G$79),Input!$H$79)</f>
        <v>0</v>
      </c>
      <c r="AL149" s="190">
        <f>IF($A149&lt;Input!$H$80,IF($A149&lt;Input!$G$80,IF($A149&lt;Input!$F$80,IF($A149&lt;Input!$E$80,IF($A149&lt;Input!$D$80,Input!$C$81,Input!$D$81),Input!$E$81),Input!$F$81),Input!$G$81),Input!$H$81)</f>
        <v>0.9</v>
      </c>
      <c r="AM149" s="60">
        <f t="shared" si="81"/>
        <v>0</v>
      </c>
      <c r="AN149" s="60">
        <f t="shared" si="101"/>
        <v>31</v>
      </c>
      <c r="AO149" s="60">
        <f t="shared" si="82"/>
        <v>0</v>
      </c>
      <c r="AP149" s="60">
        <f>ROUND(AO149*AN149*Input!$C$3/365,0)</f>
        <v>0</v>
      </c>
      <c r="AQ149" s="61">
        <f>IF($A149&lt;=Input!$C$6,0,IF('Unique Tenure'!AM149&lt;'Unique Tenure'!AO149,'Unique Tenure'!AM149-AP149,'Unique Tenure'!AO149))</f>
        <v>0</v>
      </c>
      <c r="AR149" s="61">
        <f t="shared" si="83"/>
        <v>0</v>
      </c>
      <c r="AS149" s="60">
        <f t="shared" si="84"/>
        <v>0</v>
      </c>
      <c r="AT149" s="193"/>
      <c r="AU149" s="169">
        <v>145</v>
      </c>
      <c r="AV149" s="1">
        <f t="shared" si="102"/>
        <v>49933</v>
      </c>
      <c r="AW149" s="60">
        <f>IF($X149&lt;Input!$H$88,IF($X149&lt;Input!$G$88,IF($X149&lt;Input!$F$88,IF($X149&lt;Input!$E$88,IF($X149&lt;Input!$D$88,Input!$C$94,Input!$D$94),Input!$E$94),Input!$F$94),Input!$G$94),Input!$H$94)</f>
        <v>0</v>
      </c>
      <c r="AX149" s="190">
        <f>IF($A149&lt;Input!$H$95,IF($A149&lt;Input!$G$95,IF($A149&lt;Input!$F$95,IF($A149&lt;Input!$E$95,IF($A149&lt;Input!$D$95,Input!$C$96,Input!$D$96),Input!$E$96),Input!$F$96),Input!$G$96),Input!$H$96)</f>
        <v>0.9</v>
      </c>
      <c r="AY149" s="60">
        <f t="shared" si="85"/>
        <v>0</v>
      </c>
      <c r="AZ149" s="60">
        <f t="shared" si="103"/>
        <v>31</v>
      </c>
      <c r="BA149" s="60">
        <f t="shared" si="86"/>
        <v>0</v>
      </c>
      <c r="BB149" s="60">
        <f>ROUND(BA149*AZ149*Input!$C$3/365,0)</f>
        <v>0</v>
      </c>
      <c r="BC149" s="61">
        <f>IF($A149&lt;=Input!$C$6,0,IF('Unique Tenure'!AY149&lt;'Unique Tenure'!BA149,'Unique Tenure'!AY149-BB149,'Unique Tenure'!BA149))</f>
        <v>0</v>
      </c>
      <c r="BD149" s="61">
        <f t="shared" si="87"/>
        <v>0</v>
      </c>
      <c r="BE149" s="60">
        <f t="shared" si="88"/>
        <v>0</v>
      </c>
      <c r="BF149" s="193"/>
      <c r="BG149" s="169">
        <v>145</v>
      </c>
      <c r="BH149" s="1">
        <f t="shared" si="104"/>
        <v>49933</v>
      </c>
      <c r="BI149" s="60">
        <f>IF($X149&lt;Input!$H$103,IF($X149&lt;Input!$G$103,IF($X149&lt;Input!$F$103,IF($X149&lt;Input!$E$103,IF($X149&lt;Input!$D$103,Input!$C$109,Input!$D$109),Input!$E$109),Input!$F$109),Input!$G$109),Input!$H$109)</f>
        <v>0</v>
      </c>
      <c r="BJ149" s="190">
        <f>IF($A149&lt;Input!$H$110,IF($A149&lt;Input!$G$110,IF($A149&lt;Input!$F$110,IF($A149&lt;Input!$E$110,IF($A149&lt;Input!$D$110,Input!$C$111,Input!$D$111),Input!$E$111),Input!$F$111),Input!$G$111),Input!$H$111)</f>
        <v>0.9</v>
      </c>
      <c r="BK149" s="60">
        <f t="shared" si="89"/>
        <v>0</v>
      </c>
      <c r="BL149" s="60">
        <f t="shared" si="105"/>
        <v>31</v>
      </c>
      <c r="BM149" s="60">
        <f t="shared" si="90"/>
        <v>0</v>
      </c>
      <c r="BN149" s="60">
        <f>ROUND(BM149*BL149*Input!$C$3/365,0)</f>
        <v>0</v>
      </c>
      <c r="BO149" s="61">
        <f>IF($A149&lt;=Input!$C$6,0,IF('Unique Tenure'!BK149&lt;'Unique Tenure'!BM149,'Unique Tenure'!BK149-BN149,'Unique Tenure'!BM149))</f>
        <v>0</v>
      </c>
      <c r="BP149" s="61">
        <f t="shared" si="91"/>
        <v>0</v>
      </c>
      <c r="BQ149" s="60">
        <f t="shared" si="92"/>
        <v>0</v>
      </c>
      <c r="BR149" s="198"/>
    </row>
    <row r="150" spans="1:70" s="51" customFormat="1" x14ac:dyDescent="0.25">
      <c r="A150" s="169">
        <v>146</v>
      </c>
      <c r="B150" s="1">
        <f t="shared" si="93"/>
        <v>49963</v>
      </c>
      <c r="C150" s="60">
        <f>SUM(
   IF(($A$4:$A$184 &lt;= Input!$D$16), M150, 0),
   IF(($A$4:$A$184 &lt;= Input!$E$16), Y150, 0),
   IF(($A$4:$A$184 &lt;= Input!$F$16), AK150, 0),
   IF(($A$4:$A$184 &lt;= Input!$G$16), AW150, 0),
   IF(($A$4:$A$184 &lt;= Input!$H$16), BI150, 0)
)</f>
        <v>33127052.878124986</v>
      </c>
      <c r="D150" s="60">
        <f>SUM(
   IF(($A$4:$A$184 &lt;= Input!$D$16), O150, 0),
   IF(($A$4:$A$184 &lt;= Input!$E$16), AA150, 0),
   IF(($A$4:$A$184 &lt;= Input!$F$16), AM150, 0),
   IF(($A$4:$A$184 &lt;= Input!$G$16), AY150, 0),
   IF(($A$4:$A$184 &lt;= Input!$H$16), BK150, 0)
)</f>
        <v>29814347.590312488</v>
      </c>
      <c r="E150" s="60">
        <f t="shared" si="94"/>
        <v>30</v>
      </c>
      <c r="F150" s="60">
        <f t="shared" si="95"/>
        <v>0</v>
      </c>
      <c r="G150" s="60">
        <f>ROUND(F150*E150*Input!$C$3/365,0)</f>
        <v>0</v>
      </c>
      <c r="H150" s="60">
        <f>IF($A150&lt;=Input!$C$6,0,IF('Unique Tenure'!D150&lt;'Unique Tenure'!F150,'Unique Tenure'!D150-G150,'Unique Tenure'!F150))</f>
        <v>0</v>
      </c>
      <c r="I150" s="60">
        <f t="shared" si="96"/>
        <v>0</v>
      </c>
      <c r="J150" s="60">
        <f t="shared" si="97"/>
        <v>0</v>
      </c>
      <c r="K150" s="202">
        <f>J150/Input!$K$5</f>
        <v>0</v>
      </c>
      <c r="L150" s="232"/>
      <c r="M150" s="60">
        <f>IF($B150&lt;Input!$H$43,IF($B150&lt;Input!$G$43,IF($B150&lt;Input!$F$43,IF($B150&lt;Input!$E$43,IF($B150&lt;Input!$D$43,Input!$C$49,Input!$D$49),Input!$E$49),Input!$F$49),Input!$G$49),Input!$H$49)</f>
        <v>33127052.878124986</v>
      </c>
      <c r="N150" s="190">
        <f>IF($A150&lt;Input!$H$50,IF($A150&lt;Input!$G$50,IF($A150&lt;Input!$F$50,IF($A150&lt;Input!$E$50,IF($A150&lt;Input!$D$50,Input!$C$51,Input!$D$51),Input!$E$51),Input!$F$51),Input!$G$51),Input!$H$51)</f>
        <v>0.9</v>
      </c>
      <c r="O150" s="60">
        <f t="shared" si="72"/>
        <v>29814347.590312488</v>
      </c>
      <c r="P150" s="60">
        <f t="shared" si="73"/>
        <v>30</v>
      </c>
      <c r="Q150" s="60">
        <f t="shared" si="74"/>
        <v>0</v>
      </c>
      <c r="R150" s="60">
        <f>ROUND(Q150*$P150*Input!$C$3/365,0)</f>
        <v>0</v>
      </c>
      <c r="S150" s="60">
        <f>IF(A150&lt;=Input!$C$6,0,IF('Unique Tenure'!O150&lt;'Unique Tenure'!Q150,'Unique Tenure'!O150-R150,'Unique Tenure'!Q150))</f>
        <v>0</v>
      </c>
      <c r="T150" s="60">
        <f t="shared" si="75"/>
        <v>0</v>
      </c>
      <c r="U150" s="60">
        <f t="shared" si="76"/>
        <v>0</v>
      </c>
      <c r="V150" s="193"/>
      <c r="W150" s="169">
        <v>146</v>
      </c>
      <c r="X150" s="1">
        <f t="shared" si="98"/>
        <v>49963</v>
      </c>
      <c r="Y150" s="60">
        <f>IF($X150&lt;Input!$H$58,IF($X150&lt;Input!$G$58,IF($X150&lt;Input!$F$58,IF($X150&lt;Input!$E$58,IF($X150&lt;Input!$D$58,Input!$C$64,Input!$D$64),Input!$E$64),Input!$F$64),Input!$G$64),Input!$H$64)</f>
        <v>0</v>
      </c>
      <c r="Z150" s="190">
        <f>IF($A150&lt;Input!$H$65,IF($A150&lt;Input!$G$65,IF($A150&lt;Input!$F$65,IF($A150&lt;Input!$E$65,IF($A150&lt;Input!$D$65,Input!$C$66,Input!$D$66),Input!$E$66),Input!$F$66),Input!$G$66),Input!$H$66)</f>
        <v>0.9</v>
      </c>
      <c r="AA150" s="60">
        <f t="shared" si="77"/>
        <v>0</v>
      </c>
      <c r="AB150" s="60">
        <f t="shared" si="99"/>
        <v>30</v>
      </c>
      <c r="AC150" s="60">
        <f t="shared" si="78"/>
        <v>0</v>
      </c>
      <c r="AD150" s="60">
        <f>ROUND(AC150*AB150*Input!$C$3/365,0)</f>
        <v>0</v>
      </c>
      <c r="AE150" s="61">
        <f>IF($A150&lt;=Input!$C$6,0,IF('Unique Tenure'!AA150&lt;'Unique Tenure'!AC150,'Unique Tenure'!AA150-AD150,'Unique Tenure'!AC150))</f>
        <v>0</v>
      </c>
      <c r="AF150" s="61">
        <f t="shared" si="79"/>
        <v>0</v>
      </c>
      <c r="AG150" s="60">
        <f t="shared" si="80"/>
        <v>0</v>
      </c>
      <c r="AH150" s="193"/>
      <c r="AI150" s="169">
        <v>146</v>
      </c>
      <c r="AJ150" s="1">
        <f t="shared" si="100"/>
        <v>49963</v>
      </c>
      <c r="AK150" s="60">
        <f>IF($X150&lt;Input!$H$73,IF($X150&lt;Input!$G$73,IF($X150&lt;Input!$F$73,IF($X150&lt;Input!$E$73,IF($X150&lt;Input!$D$73,Input!$C$79,Input!$D$79),Input!$E$79),Input!$F$79),Input!$G$79),Input!$H$79)</f>
        <v>0</v>
      </c>
      <c r="AL150" s="190">
        <f>IF($A150&lt;Input!$H$80,IF($A150&lt;Input!$G$80,IF($A150&lt;Input!$F$80,IF($A150&lt;Input!$E$80,IF($A150&lt;Input!$D$80,Input!$C$81,Input!$D$81),Input!$E$81),Input!$F$81),Input!$G$81),Input!$H$81)</f>
        <v>0.9</v>
      </c>
      <c r="AM150" s="60">
        <f t="shared" si="81"/>
        <v>0</v>
      </c>
      <c r="AN150" s="60">
        <f t="shared" si="101"/>
        <v>30</v>
      </c>
      <c r="AO150" s="60">
        <f t="shared" si="82"/>
        <v>0</v>
      </c>
      <c r="AP150" s="60">
        <f>ROUND(AO150*AN150*Input!$C$3/365,0)</f>
        <v>0</v>
      </c>
      <c r="AQ150" s="61">
        <f>IF($A150&lt;=Input!$C$6,0,IF('Unique Tenure'!AM150&lt;'Unique Tenure'!AO150,'Unique Tenure'!AM150-AP150,'Unique Tenure'!AO150))</f>
        <v>0</v>
      </c>
      <c r="AR150" s="61">
        <f t="shared" si="83"/>
        <v>0</v>
      </c>
      <c r="AS150" s="60">
        <f t="shared" si="84"/>
        <v>0</v>
      </c>
      <c r="AT150" s="193"/>
      <c r="AU150" s="169">
        <v>146</v>
      </c>
      <c r="AV150" s="1">
        <f t="shared" si="102"/>
        <v>49963</v>
      </c>
      <c r="AW150" s="60">
        <f>IF($X150&lt;Input!$H$88,IF($X150&lt;Input!$G$88,IF($X150&lt;Input!$F$88,IF($X150&lt;Input!$E$88,IF($X150&lt;Input!$D$88,Input!$C$94,Input!$D$94),Input!$E$94),Input!$F$94),Input!$G$94),Input!$H$94)</f>
        <v>0</v>
      </c>
      <c r="AX150" s="190">
        <f>IF($A150&lt;Input!$H$95,IF($A150&lt;Input!$G$95,IF($A150&lt;Input!$F$95,IF($A150&lt;Input!$E$95,IF($A150&lt;Input!$D$95,Input!$C$96,Input!$D$96),Input!$E$96),Input!$F$96),Input!$G$96),Input!$H$96)</f>
        <v>0.9</v>
      </c>
      <c r="AY150" s="60">
        <f t="shared" si="85"/>
        <v>0</v>
      </c>
      <c r="AZ150" s="60">
        <f t="shared" si="103"/>
        <v>30</v>
      </c>
      <c r="BA150" s="60">
        <f t="shared" si="86"/>
        <v>0</v>
      </c>
      <c r="BB150" s="60">
        <f>ROUND(BA150*AZ150*Input!$C$3/365,0)</f>
        <v>0</v>
      </c>
      <c r="BC150" s="61">
        <f>IF($A150&lt;=Input!$C$6,0,IF('Unique Tenure'!AY150&lt;'Unique Tenure'!BA150,'Unique Tenure'!AY150-BB150,'Unique Tenure'!BA150))</f>
        <v>0</v>
      </c>
      <c r="BD150" s="61">
        <f t="shared" si="87"/>
        <v>0</v>
      </c>
      <c r="BE150" s="60">
        <f t="shared" si="88"/>
        <v>0</v>
      </c>
      <c r="BF150" s="193"/>
      <c r="BG150" s="169">
        <v>146</v>
      </c>
      <c r="BH150" s="1">
        <f t="shared" si="104"/>
        <v>49963</v>
      </c>
      <c r="BI150" s="60">
        <f>IF($X150&lt;Input!$H$103,IF($X150&lt;Input!$G$103,IF($X150&lt;Input!$F$103,IF($X150&lt;Input!$E$103,IF($X150&lt;Input!$D$103,Input!$C$109,Input!$D$109),Input!$E$109),Input!$F$109),Input!$G$109),Input!$H$109)</f>
        <v>0</v>
      </c>
      <c r="BJ150" s="190">
        <f>IF($A150&lt;Input!$H$110,IF($A150&lt;Input!$G$110,IF($A150&lt;Input!$F$110,IF($A150&lt;Input!$E$110,IF($A150&lt;Input!$D$110,Input!$C$111,Input!$D$111),Input!$E$111),Input!$F$111),Input!$G$111),Input!$H$111)</f>
        <v>0.9</v>
      </c>
      <c r="BK150" s="60">
        <f t="shared" si="89"/>
        <v>0</v>
      </c>
      <c r="BL150" s="60">
        <f t="shared" si="105"/>
        <v>30</v>
      </c>
      <c r="BM150" s="60">
        <f t="shared" si="90"/>
        <v>0</v>
      </c>
      <c r="BN150" s="60">
        <f>ROUND(BM150*BL150*Input!$C$3/365,0)</f>
        <v>0</v>
      </c>
      <c r="BO150" s="61">
        <f>IF($A150&lt;=Input!$C$6,0,IF('Unique Tenure'!BK150&lt;'Unique Tenure'!BM150,'Unique Tenure'!BK150-BN150,'Unique Tenure'!BM150))</f>
        <v>0</v>
      </c>
      <c r="BP150" s="61">
        <f t="shared" si="91"/>
        <v>0</v>
      </c>
      <c r="BQ150" s="60">
        <f t="shared" si="92"/>
        <v>0</v>
      </c>
      <c r="BR150" s="198"/>
    </row>
    <row r="151" spans="1:70" s="51" customFormat="1" x14ac:dyDescent="0.25">
      <c r="A151" s="169">
        <v>147</v>
      </c>
      <c r="B151" s="1">
        <f t="shared" si="93"/>
        <v>49994</v>
      </c>
      <c r="C151" s="60">
        <f>SUM(
   IF(($A$4:$A$184 &lt;= Input!$D$16), M151, 0),
   IF(($A$4:$A$184 &lt;= Input!$E$16), Y151, 0),
   IF(($A$4:$A$184 &lt;= Input!$F$16), AK151, 0),
   IF(($A$4:$A$184 &lt;= Input!$G$16), AW151, 0),
   IF(($A$4:$A$184 &lt;= Input!$H$16), BI151, 0)
)</f>
        <v>33127052.878124986</v>
      </c>
      <c r="D151" s="60">
        <f>SUM(
   IF(($A$4:$A$184 &lt;= Input!$D$16), O151, 0),
   IF(($A$4:$A$184 &lt;= Input!$E$16), AA151, 0),
   IF(($A$4:$A$184 &lt;= Input!$F$16), AM151, 0),
   IF(($A$4:$A$184 &lt;= Input!$G$16), AY151, 0),
   IF(($A$4:$A$184 &lt;= Input!$H$16), BK151, 0)
)</f>
        <v>29814347.590312488</v>
      </c>
      <c r="E151" s="60">
        <f t="shared" si="94"/>
        <v>31</v>
      </c>
      <c r="F151" s="60">
        <f t="shared" si="95"/>
        <v>0</v>
      </c>
      <c r="G151" s="60">
        <f>ROUND(F151*E151*Input!$C$3/365,0)</f>
        <v>0</v>
      </c>
      <c r="H151" s="60">
        <f>IF($A151&lt;=Input!$C$6,0,IF('Unique Tenure'!D151&lt;'Unique Tenure'!F151,'Unique Tenure'!D151-G151,'Unique Tenure'!F151))</f>
        <v>0</v>
      </c>
      <c r="I151" s="60">
        <f t="shared" si="96"/>
        <v>0</v>
      </c>
      <c r="J151" s="60">
        <f t="shared" si="97"/>
        <v>0</v>
      </c>
      <c r="K151" s="202">
        <f>J151/Input!$K$5</f>
        <v>0</v>
      </c>
      <c r="L151" s="232"/>
      <c r="M151" s="60">
        <f>IF($B151&lt;Input!$H$43,IF($B151&lt;Input!$G$43,IF($B151&lt;Input!$F$43,IF($B151&lt;Input!$E$43,IF($B151&lt;Input!$D$43,Input!$C$49,Input!$D$49),Input!$E$49),Input!$F$49),Input!$G$49),Input!$H$49)</f>
        <v>33127052.878124986</v>
      </c>
      <c r="N151" s="190">
        <f>IF($A151&lt;Input!$H$50,IF($A151&lt;Input!$G$50,IF($A151&lt;Input!$F$50,IF($A151&lt;Input!$E$50,IF($A151&lt;Input!$D$50,Input!$C$51,Input!$D$51),Input!$E$51),Input!$F$51),Input!$G$51),Input!$H$51)</f>
        <v>0.9</v>
      </c>
      <c r="O151" s="60">
        <f t="shared" si="72"/>
        <v>29814347.590312488</v>
      </c>
      <c r="P151" s="60">
        <f t="shared" si="73"/>
        <v>31</v>
      </c>
      <c r="Q151" s="60">
        <f t="shared" si="74"/>
        <v>0</v>
      </c>
      <c r="R151" s="60">
        <f>ROUND(Q151*$P151*Input!$C$3/365,0)</f>
        <v>0</v>
      </c>
      <c r="S151" s="60">
        <f>IF(A151&lt;=Input!$C$6,0,IF('Unique Tenure'!O151&lt;'Unique Tenure'!Q151,'Unique Tenure'!O151-R151,'Unique Tenure'!Q151))</f>
        <v>0</v>
      </c>
      <c r="T151" s="60">
        <f t="shared" si="75"/>
        <v>0</v>
      </c>
      <c r="U151" s="60">
        <f t="shared" si="76"/>
        <v>0</v>
      </c>
      <c r="V151" s="193"/>
      <c r="W151" s="169">
        <v>147</v>
      </c>
      <c r="X151" s="1">
        <f t="shared" si="98"/>
        <v>49994</v>
      </c>
      <c r="Y151" s="60">
        <f>IF($X151&lt;Input!$H$58,IF($X151&lt;Input!$G$58,IF($X151&lt;Input!$F$58,IF($X151&lt;Input!$E$58,IF($X151&lt;Input!$D$58,Input!$C$64,Input!$D$64),Input!$E$64),Input!$F$64),Input!$G$64),Input!$H$64)</f>
        <v>0</v>
      </c>
      <c r="Z151" s="190">
        <f>IF($A151&lt;Input!$H$65,IF($A151&lt;Input!$G$65,IF($A151&lt;Input!$F$65,IF($A151&lt;Input!$E$65,IF($A151&lt;Input!$D$65,Input!$C$66,Input!$D$66),Input!$E$66),Input!$F$66),Input!$G$66),Input!$H$66)</f>
        <v>0.9</v>
      </c>
      <c r="AA151" s="60">
        <f t="shared" si="77"/>
        <v>0</v>
      </c>
      <c r="AB151" s="60">
        <f t="shared" si="99"/>
        <v>31</v>
      </c>
      <c r="AC151" s="60">
        <f t="shared" si="78"/>
        <v>0</v>
      </c>
      <c r="AD151" s="60">
        <f>ROUND(AC151*AB151*Input!$C$3/365,0)</f>
        <v>0</v>
      </c>
      <c r="AE151" s="61">
        <f>IF($A151&lt;=Input!$C$6,0,IF('Unique Tenure'!AA151&lt;'Unique Tenure'!AC151,'Unique Tenure'!AA151-AD151,'Unique Tenure'!AC151))</f>
        <v>0</v>
      </c>
      <c r="AF151" s="61">
        <f t="shared" si="79"/>
        <v>0</v>
      </c>
      <c r="AG151" s="60">
        <f t="shared" si="80"/>
        <v>0</v>
      </c>
      <c r="AH151" s="193"/>
      <c r="AI151" s="169">
        <v>147</v>
      </c>
      <c r="AJ151" s="1">
        <f t="shared" si="100"/>
        <v>49994</v>
      </c>
      <c r="AK151" s="60">
        <f>IF($X151&lt;Input!$H$73,IF($X151&lt;Input!$G$73,IF($X151&lt;Input!$F$73,IF($X151&lt;Input!$E$73,IF($X151&lt;Input!$D$73,Input!$C$79,Input!$D$79),Input!$E$79),Input!$F$79),Input!$G$79),Input!$H$79)</f>
        <v>0</v>
      </c>
      <c r="AL151" s="190">
        <f>IF($A151&lt;Input!$H$80,IF($A151&lt;Input!$G$80,IF($A151&lt;Input!$F$80,IF($A151&lt;Input!$E$80,IF($A151&lt;Input!$D$80,Input!$C$81,Input!$D$81),Input!$E$81),Input!$F$81),Input!$G$81),Input!$H$81)</f>
        <v>0.9</v>
      </c>
      <c r="AM151" s="60">
        <f t="shared" si="81"/>
        <v>0</v>
      </c>
      <c r="AN151" s="60">
        <f t="shared" si="101"/>
        <v>31</v>
      </c>
      <c r="AO151" s="60">
        <f t="shared" si="82"/>
        <v>0</v>
      </c>
      <c r="AP151" s="60">
        <f>ROUND(AO151*AN151*Input!$C$3/365,0)</f>
        <v>0</v>
      </c>
      <c r="AQ151" s="61">
        <f>IF($A151&lt;=Input!$C$6,0,IF('Unique Tenure'!AM151&lt;'Unique Tenure'!AO151,'Unique Tenure'!AM151-AP151,'Unique Tenure'!AO151))</f>
        <v>0</v>
      </c>
      <c r="AR151" s="61">
        <f t="shared" si="83"/>
        <v>0</v>
      </c>
      <c r="AS151" s="60">
        <f t="shared" si="84"/>
        <v>0</v>
      </c>
      <c r="AT151" s="193"/>
      <c r="AU151" s="169">
        <v>147</v>
      </c>
      <c r="AV151" s="1">
        <f t="shared" si="102"/>
        <v>49994</v>
      </c>
      <c r="AW151" s="60">
        <f>IF($X151&lt;Input!$H$88,IF($X151&lt;Input!$G$88,IF($X151&lt;Input!$F$88,IF($X151&lt;Input!$E$88,IF($X151&lt;Input!$D$88,Input!$C$94,Input!$D$94),Input!$E$94),Input!$F$94),Input!$G$94),Input!$H$94)</f>
        <v>0</v>
      </c>
      <c r="AX151" s="190">
        <f>IF($A151&lt;Input!$H$95,IF($A151&lt;Input!$G$95,IF($A151&lt;Input!$F$95,IF($A151&lt;Input!$E$95,IF($A151&lt;Input!$D$95,Input!$C$96,Input!$D$96),Input!$E$96),Input!$F$96),Input!$G$96),Input!$H$96)</f>
        <v>0.9</v>
      </c>
      <c r="AY151" s="60">
        <f t="shared" si="85"/>
        <v>0</v>
      </c>
      <c r="AZ151" s="60">
        <f t="shared" si="103"/>
        <v>31</v>
      </c>
      <c r="BA151" s="60">
        <f t="shared" si="86"/>
        <v>0</v>
      </c>
      <c r="BB151" s="60">
        <f>ROUND(BA151*AZ151*Input!$C$3/365,0)</f>
        <v>0</v>
      </c>
      <c r="BC151" s="61">
        <f>IF($A151&lt;=Input!$C$6,0,IF('Unique Tenure'!AY151&lt;'Unique Tenure'!BA151,'Unique Tenure'!AY151-BB151,'Unique Tenure'!BA151))</f>
        <v>0</v>
      </c>
      <c r="BD151" s="61">
        <f t="shared" si="87"/>
        <v>0</v>
      </c>
      <c r="BE151" s="60">
        <f t="shared" si="88"/>
        <v>0</v>
      </c>
      <c r="BF151" s="193"/>
      <c r="BG151" s="169">
        <v>147</v>
      </c>
      <c r="BH151" s="1">
        <f t="shared" si="104"/>
        <v>49994</v>
      </c>
      <c r="BI151" s="60">
        <f>IF($X151&lt;Input!$H$103,IF($X151&lt;Input!$G$103,IF($X151&lt;Input!$F$103,IF($X151&lt;Input!$E$103,IF($X151&lt;Input!$D$103,Input!$C$109,Input!$D$109),Input!$E$109),Input!$F$109),Input!$G$109),Input!$H$109)</f>
        <v>0</v>
      </c>
      <c r="BJ151" s="190">
        <f>IF($A151&lt;Input!$H$110,IF($A151&lt;Input!$G$110,IF($A151&lt;Input!$F$110,IF($A151&lt;Input!$E$110,IF($A151&lt;Input!$D$110,Input!$C$111,Input!$D$111),Input!$E$111),Input!$F$111),Input!$G$111),Input!$H$111)</f>
        <v>0.9</v>
      </c>
      <c r="BK151" s="60">
        <f t="shared" si="89"/>
        <v>0</v>
      </c>
      <c r="BL151" s="60">
        <f t="shared" si="105"/>
        <v>31</v>
      </c>
      <c r="BM151" s="60">
        <f t="shared" si="90"/>
        <v>0</v>
      </c>
      <c r="BN151" s="60">
        <f>ROUND(BM151*BL151*Input!$C$3/365,0)</f>
        <v>0</v>
      </c>
      <c r="BO151" s="61">
        <f>IF($A151&lt;=Input!$C$6,0,IF('Unique Tenure'!BK151&lt;'Unique Tenure'!BM151,'Unique Tenure'!BK151-BN151,'Unique Tenure'!BM151))</f>
        <v>0</v>
      </c>
      <c r="BP151" s="61">
        <f t="shared" si="91"/>
        <v>0</v>
      </c>
      <c r="BQ151" s="60">
        <f t="shared" si="92"/>
        <v>0</v>
      </c>
      <c r="BR151" s="198"/>
    </row>
    <row r="152" spans="1:70" s="51" customFormat="1" x14ac:dyDescent="0.25">
      <c r="A152" s="169">
        <v>148</v>
      </c>
      <c r="B152" s="1">
        <f t="shared" si="93"/>
        <v>50024</v>
      </c>
      <c r="C152" s="60">
        <f>SUM(
   IF(($A$4:$A$184 &lt;= Input!$D$16), M152, 0),
   IF(($A$4:$A$184 &lt;= Input!$E$16), Y152, 0),
   IF(($A$4:$A$184 &lt;= Input!$F$16), AK152, 0),
   IF(($A$4:$A$184 &lt;= Input!$G$16), AW152, 0),
   IF(($A$4:$A$184 &lt;= Input!$H$16), BI152, 0)
)</f>
        <v>33127052.878124986</v>
      </c>
      <c r="D152" s="60">
        <f>SUM(
   IF(($A$4:$A$184 &lt;= Input!$D$16), O152, 0),
   IF(($A$4:$A$184 &lt;= Input!$E$16), AA152, 0),
   IF(($A$4:$A$184 &lt;= Input!$F$16), AM152, 0),
   IF(($A$4:$A$184 &lt;= Input!$G$16), AY152, 0),
   IF(($A$4:$A$184 &lt;= Input!$H$16), BK152, 0)
)</f>
        <v>29814347.590312488</v>
      </c>
      <c r="E152" s="60">
        <f t="shared" si="94"/>
        <v>30</v>
      </c>
      <c r="F152" s="60">
        <f t="shared" si="95"/>
        <v>0</v>
      </c>
      <c r="G152" s="60">
        <f>ROUND(F152*E152*Input!$C$3/365,0)</f>
        <v>0</v>
      </c>
      <c r="H152" s="60">
        <f>IF($A152&lt;=Input!$C$6,0,IF('Unique Tenure'!D152&lt;'Unique Tenure'!F152,'Unique Tenure'!D152-G152,'Unique Tenure'!F152))</f>
        <v>0</v>
      </c>
      <c r="I152" s="60">
        <f t="shared" si="96"/>
        <v>0</v>
      </c>
      <c r="J152" s="60">
        <f t="shared" si="97"/>
        <v>0</v>
      </c>
      <c r="K152" s="202">
        <f>J152/Input!$K$5</f>
        <v>0</v>
      </c>
      <c r="L152" s="232"/>
      <c r="M152" s="60">
        <f>IF($B152&lt;Input!$H$43,IF($B152&lt;Input!$G$43,IF($B152&lt;Input!$F$43,IF($B152&lt;Input!$E$43,IF($B152&lt;Input!$D$43,Input!$C$49,Input!$D$49),Input!$E$49),Input!$F$49),Input!$G$49),Input!$H$49)</f>
        <v>33127052.878124986</v>
      </c>
      <c r="N152" s="190">
        <f>IF($A152&lt;Input!$H$50,IF($A152&lt;Input!$G$50,IF($A152&lt;Input!$F$50,IF($A152&lt;Input!$E$50,IF($A152&lt;Input!$D$50,Input!$C$51,Input!$D$51),Input!$E$51),Input!$F$51),Input!$G$51),Input!$H$51)</f>
        <v>0.9</v>
      </c>
      <c r="O152" s="60">
        <f t="shared" si="72"/>
        <v>29814347.590312488</v>
      </c>
      <c r="P152" s="60">
        <f t="shared" si="73"/>
        <v>30</v>
      </c>
      <c r="Q152" s="60">
        <f t="shared" si="74"/>
        <v>0</v>
      </c>
      <c r="R152" s="60">
        <f>ROUND(Q152*$P152*Input!$C$3/365,0)</f>
        <v>0</v>
      </c>
      <c r="S152" s="60">
        <f>IF(A152&lt;=Input!$C$6,0,IF('Unique Tenure'!O152&lt;'Unique Tenure'!Q152,'Unique Tenure'!O152-R152,'Unique Tenure'!Q152))</f>
        <v>0</v>
      </c>
      <c r="T152" s="60">
        <f t="shared" si="75"/>
        <v>0</v>
      </c>
      <c r="U152" s="60">
        <f t="shared" si="76"/>
        <v>0</v>
      </c>
      <c r="V152" s="193"/>
      <c r="W152" s="169">
        <v>148</v>
      </c>
      <c r="X152" s="1">
        <f t="shared" si="98"/>
        <v>50024</v>
      </c>
      <c r="Y152" s="60">
        <f>IF($X152&lt;Input!$H$58,IF($X152&lt;Input!$G$58,IF($X152&lt;Input!$F$58,IF($X152&lt;Input!$E$58,IF($X152&lt;Input!$D$58,Input!$C$64,Input!$D$64),Input!$E$64),Input!$F$64),Input!$G$64),Input!$H$64)</f>
        <v>0</v>
      </c>
      <c r="Z152" s="190">
        <f>IF($A152&lt;Input!$H$65,IF($A152&lt;Input!$G$65,IF($A152&lt;Input!$F$65,IF($A152&lt;Input!$E$65,IF($A152&lt;Input!$D$65,Input!$C$66,Input!$D$66),Input!$E$66),Input!$F$66),Input!$G$66),Input!$H$66)</f>
        <v>0.9</v>
      </c>
      <c r="AA152" s="60">
        <f t="shared" si="77"/>
        <v>0</v>
      </c>
      <c r="AB152" s="60">
        <f t="shared" si="99"/>
        <v>30</v>
      </c>
      <c r="AC152" s="60">
        <f t="shared" si="78"/>
        <v>0</v>
      </c>
      <c r="AD152" s="60">
        <f>ROUND(AC152*AB152*Input!$C$3/365,0)</f>
        <v>0</v>
      </c>
      <c r="AE152" s="61">
        <f>IF($A152&lt;=Input!$C$6,0,IF('Unique Tenure'!AA152&lt;'Unique Tenure'!AC152,'Unique Tenure'!AA152-AD152,'Unique Tenure'!AC152))</f>
        <v>0</v>
      </c>
      <c r="AF152" s="61">
        <f t="shared" si="79"/>
        <v>0</v>
      </c>
      <c r="AG152" s="60">
        <f t="shared" si="80"/>
        <v>0</v>
      </c>
      <c r="AH152" s="193"/>
      <c r="AI152" s="169">
        <v>148</v>
      </c>
      <c r="AJ152" s="1">
        <f t="shared" si="100"/>
        <v>50024</v>
      </c>
      <c r="AK152" s="60">
        <f>IF($X152&lt;Input!$H$73,IF($X152&lt;Input!$G$73,IF($X152&lt;Input!$F$73,IF($X152&lt;Input!$E$73,IF($X152&lt;Input!$D$73,Input!$C$79,Input!$D$79),Input!$E$79),Input!$F$79),Input!$G$79),Input!$H$79)</f>
        <v>0</v>
      </c>
      <c r="AL152" s="190">
        <f>IF($A152&lt;Input!$H$80,IF($A152&lt;Input!$G$80,IF($A152&lt;Input!$F$80,IF($A152&lt;Input!$E$80,IF($A152&lt;Input!$D$80,Input!$C$81,Input!$D$81),Input!$E$81),Input!$F$81),Input!$G$81),Input!$H$81)</f>
        <v>0.9</v>
      </c>
      <c r="AM152" s="60">
        <f t="shared" si="81"/>
        <v>0</v>
      </c>
      <c r="AN152" s="60">
        <f t="shared" si="101"/>
        <v>30</v>
      </c>
      <c r="AO152" s="60">
        <f t="shared" si="82"/>
        <v>0</v>
      </c>
      <c r="AP152" s="60">
        <f>ROUND(AO152*AN152*Input!$C$3/365,0)</f>
        <v>0</v>
      </c>
      <c r="AQ152" s="61">
        <f>IF($A152&lt;=Input!$C$6,0,IF('Unique Tenure'!AM152&lt;'Unique Tenure'!AO152,'Unique Tenure'!AM152-AP152,'Unique Tenure'!AO152))</f>
        <v>0</v>
      </c>
      <c r="AR152" s="61">
        <f t="shared" si="83"/>
        <v>0</v>
      </c>
      <c r="AS152" s="60">
        <f t="shared" si="84"/>
        <v>0</v>
      </c>
      <c r="AT152" s="193"/>
      <c r="AU152" s="169">
        <v>148</v>
      </c>
      <c r="AV152" s="1">
        <f t="shared" si="102"/>
        <v>50024</v>
      </c>
      <c r="AW152" s="60">
        <f>IF($X152&lt;Input!$H$88,IF($X152&lt;Input!$G$88,IF($X152&lt;Input!$F$88,IF($X152&lt;Input!$E$88,IF($X152&lt;Input!$D$88,Input!$C$94,Input!$D$94),Input!$E$94),Input!$F$94),Input!$G$94),Input!$H$94)</f>
        <v>0</v>
      </c>
      <c r="AX152" s="190">
        <f>IF($A152&lt;Input!$H$95,IF($A152&lt;Input!$G$95,IF($A152&lt;Input!$F$95,IF($A152&lt;Input!$E$95,IF($A152&lt;Input!$D$95,Input!$C$96,Input!$D$96),Input!$E$96),Input!$F$96),Input!$G$96),Input!$H$96)</f>
        <v>0.9</v>
      </c>
      <c r="AY152" s="60">
        <f t="shared" si="85"/>
        <v>0</v>
      </c>
      <c r="AZ152" s="60">
        <f t="shared" si="103"/>
        <v>30</v>
      </c>
      <c r="BA152" s="60">
        <f t="shared" si="86"/>
        <v>0</v>
      </c>
      <c r="BB152" s="60">
        <f>ROUND(BA152*AZ152*Input!$C$3/365,0)</f>
        <v>0</v>
      </c>
      <c r="BC152" s="61">
        <f>IF($A152&lt;=Input!$C$6,0,IF('Unique Tenure'!AY152&lt;'Unique Tenure'!BA152,'Unique Tenure'!AY152-BB152,'Unique Tenure'!BA152))</f>
        <v>0</v>
      </c>
      <c r="BD152" s="61">
        <f t="shared" si="87"/>
        <v>0</v>
      </c>
      <c r="BE152" s="60">
        <f t="shared" si="88"/>
        <v>0</v>
      </c>
      <c r="BF152" s="193"/>
      <c r="BG152" s="169">
        <v>148</v>
      </c>
      <c r="BH152" s="1">
        <f t="shared" si="104"/>
        <v>50024</v>
      </c>
      <c r="BI152" s="60">
        <f>IF($X152&lt;Input!$H$103,IF($X152&lt;Input!$G$103,IF($X152&lt;Input!$F$103,IF($X152&lt;Input!$E$103,IF($X152&lt;Input!$D$103,Input!$C$109,Input!$D$109),Input!$E$109),Input!$F$109),Input!$G$109),Input!$H$109)</f>
        <v>0</v>
      </c>
      <c r="BJ152" s="190">
        <f>IF($A152&lt;Input!$H$110,IF($A152&lt;Input!$G$110,IF($A152&lt;Input!$F$110,IF($A152&lt;Input!$E$110,IF($A152&lt;Input!$D$110,Input!$C$111,Input!$D$111),Input!$E$111),Input!$F$111),Input!$G$111),Input!$H$111)</f>
        <v>0.9</v>
      </c>
      <c r="BK152" s="60">
        <f t="shared" si="89"/>
        <v>0</v>
      </c>
      <c r="BL152" s="60">
        <f t="shared" si="105"/>
        <v>30</v>
      </c>
      <c r="BM152" s="60">
        <f t="shared" si="90"/>
        <v>0</v>
      </c>
      <c r="BN152" s="60">
        <f>ROUND(BM152*BL152*Input!$C$3/365,0)</f>
        <v>0</v>
      </c>
      <c r="BO152" s="61">
        <f>IF($A152&lt;=Input!$C$6,0,IF('Unique Tenure'!BK152&lt;'Unique Tenure'!BM152,'Unique Tenure'!BK152-BN152,'Unique Tenure'!BM152))</f>
        <v>0</v>
      </c>
      <c r="BP152" s="61">
        <f t="shared" si="91"/>
        <v>0</v>
      </c>
      <c r="BQ152" s="60">
        <f t="shared" si="92"/>
        <v>0</v>
      </c>
      <c r="BR152" s="198"/>
    </row>
    <row r="153" spans="1:70" s="51" customFormat="1" x14ac:dyDescent="0.25">
      <c r="A153" s="169">
        <v>149</v>
      </c>
      <c r="B153" s="1">
        <f t="shared" si="93"/>
        <v>50055</v>
      </c>
      <c r="C153" s="60">
        <f>SUM(
   IF(($A$4:$A$184 &lt;= Input!$D$16), M153, 0),
   IF(($A$4:$A$184 &lt;= Input!$E$16), Y153, 0),
   IF(($A$4:$A$184 &lt;= Input!$F$16), AK153, 0),
   IF(($A$4:$A$184 &lt;= Input!$G$16), AW153, 0),
   IF(($A$4:$A$184 &lt;= Input!$H$16), BI153, 0)
)</f>
        <v>33127052.878124986</v>
      </c>
      <c r="D153" s="60">
        <f>SUM(
   IF(($A$4:$A$184 &lt;= Input!$D$16), O153, 0),
   IF(($A$4:$A$184 &lt;= Input!$E$16), AA153, 0),
   IF(($A$4:$A$184 &lt;= Input!$F$16), AM153, 0),
   IF(($A$4:$A$184 &lt;= Input!$G$16), AY153, 0),
   IF(($A$4:$A$184 &lt;= Input!$H$16), BK153, 0)
)</f>
        <v>29814347.590312488</v>
      </c>
      <c r="E153" s="60">
        <f t="shared" si="94"/>
        <v>31</v>
      </c>
      <c r="F153" s="60">
        <f t="shared" si="95"/>
        <v>0</v>
      </c>
      <c r="G153" s="60">
        <f>ROUND(F153*E153*Input!$C$3/365,0)</f>
        <v>0</v>
      </c>
      <c r="H153" s="60">
        <f>IF($A153&lt;=Input!$C$6,0,IF('Unique Tenure'!D153&lt;'Unique Tenure'!F153,'Unique Tenure'!D153-G153,'Unique Tenure'!F153))</f>
        <v>0</v>
      </c>
      <c r="I153" s="60">
        <f t="shared" si="96"/>
        <v>0</v>
      </c>
      <c r="J153" s="60">
        <f t="shared" si="97"/>
        <v>0</v>
      </c>
      <c r="K153" s="202">
        <f>J153/Input!$K$5</f>
        <v>0</v>
      </c>
      <c r="L153" s="232"/>
      <c r="M153" s="60">
        <f>IF($B153&lt;Input!$H$43,IF($B153&lt;Input!$G$43,IF($B153&lt;Input!$F$43,IF($B153&lt;Input!$E$43,IF($B153&lt;Input!$D$43,Input!$C$49,Input!$D$49),Input!$E$49),Input!$F$49),Input!$G$49),Input!$H$49)</f>
        <v>33127052.878124986</v>
      </c>
      <c r="N153" s="190">
        <f>IF($A153&lt;Input!$H$50,IF($A153&lt;Input!$G$50,IF($A153&lt;Input!$F$50,IF($A153&lt;Input!$E$50,IF($A153&lt;Input!$D$50,Input!$C$51,Input!$D$51),Input!$E$51),Input!$F$51),Input!$G$51),Input!$H$51)</f>
        <v>0.9</v>
      </c>
      <c r="O153" s="60">
        <f t="shared" si="72"/>
        <v>29814347.590312488</v>
      </c>
      <c r="P153" s="60">
        <f t="shared" si="73"/>
        <v>31</v>
      </c>
      <c r="Q153" s="60">
        <f t="shared" si="74"/>
        <v>0</v>
      </c>
      <c r="R153" s="60">
        <f>ROUND(Q153*$P153*Input!$C$3/365,0)</f>
        <v>0</v>
      </c>
      <c r="S153" s="60">
        <f>IF(A153&lt;=Input!$C$6,0,IF('Unique Tenure'!O153&lt;'Unique Tenure'!Q153,'Unique Tenure'!O153-R153,'Unique Tenure'!Q153))</f>
        <v>0</v>
      </c>
      <c r="T153" s="60">
        <f t="shared" si="75"/>
        <v>0</v>
      </c>
      <c r="U153" s="60">
        <f t="shared" si="76"/>
        <v>0</v>
      </c>
      <c r="V153" s="193"/>
      <c r="W153" s="169">
        <v>149</v>
      </c>
      <c r="X153" s="1">
        <f t="shared" si="98"/>
        <v>50055</v>
      </c>
      <c r="Y153" s="60">
        <f>IF($X153&lt;Input!$H$58,IF($X153&lt;Input!$G$58,IF($X153&lt;Input!$F$58,IF($X153&lt;Input!$E$58,IF($X153&lt;Input!$D$58,Input!$C$64,Input!$D$64),Input!$E$64),Input!$F$64),Input!$G$64),Input!$H$64)</f>
        <v>0</v>
      </c>
      <c r="Z153" s="190">
        <f>IF($A153&lt;Input!$H$65,IF($A153&lt;Input!$G$65,IF($A153&lt;Input!$F$65,IF($A153&lt;Input!$E$65,IF($A153&lt;Input!$D$65,Input!$C$66,Input!$D$66),Input!$E$66),Input!$F$66),Input!$G$66),Input!$H$66)</f>
        <v>0.9</v>
      </c>
      <c r="AA153" s="60">
        <f t="shared" si="77"/>
        <v>0</v>
      </c>
      <c r="AB153" s="60">
        <f t="shared" si="99"/>
        <v>31</v>
      </c>
      <c r="AC153" s="60">
        <f t="shared" si="78"/>
        <v>0</v>
      </c>
      <c r="AD153" s="60">
        <f>ROUND(AC153*AB153*Input!$C$3/365,0)</f>
        <v>0</v>
      </c>
      <c r="AE153" s="61">
        <f>IF($A153&lt;=Input!$C$6,0,IF('Unique Tenure'!AA153&lt;'Unique Tenure'!AC153,'Unique Tenure'!AA153-AD153,'Unique Tenure'!AC153))</f>
        <v>0</v>
      </c>
      <c r="AF153" s="61">
        <f t="shared" si="79"/>
        <v>0</v>
      </c>
      <c r="AG153" s="60">
        <f t="shared" si="80"/>
        <v>0</v>
      </c>
      <c r="AH153" s="193"/>
      <c r="AI153" s="169">
        <v>149</v>
      </c>
      <c r="AJ153" s="1">
        <f t="shared" si="100"/>
        <v>50055</v>
      </c>
      <c r="AK153" s="60">
        <f>IF($X153&lt;Input!$H$73,IF($X153&lt;Input!$G$73,IF($X153&lt;Input!$F$73,IF($X153&lt;Input!$E$73,IF($X153&lt;Input!$D$73,Input!$C$79,Input!$D$79),Input!$E$79),Input!$F$79),Input!$G$79),Input!$H$79)</f>
        <v>0</v>
      </c>
      <c r="AL153" s="190">
        <f>IF($A153&lt;Input!$H$80,IF($A153&lt;Input!$G$80,IF($A153&lt;Input!$F$80,IF($A153&lt;Input!$E$80,IF($A153&lt;Input!$D$80,Input!$C$81,Input!$D$81),Input!$E$81),Input!$F$81),Input!$G$81),Input!$H$81)</f>
        <v>0.9</v>
      </c>
      <c r="AM153" s="60">
        <f t="shared" si="81"/>
        <v>0</v>
      </c>
      <c r="AN153" s="60">
        <f t="shared" si="101"/>
        <v>31</v>
      </c>
      <c r="AO153" s="60">
        <f t="shared" si="82"/>
        <v>0</v>
      </c>
      <c r="AP153" s="60">
        <f>ROUND(AO153*AN153*Input!$C$3/365,0)</f>
        <v>0</v>
      </c>
      <c r="AQ153" s="61">
        <f>IF($A153&lt;=Input!$C$6,0,IF('Unique Tenure'!AM153&lt;'Unique Tenure'!AO153,'Unique Tenure'!AM153-AP153,'Unique Tenure'!AO153))</f>
        <v>0</v>
      </c>
      <c r="AR153" s="61">
        <f t="shared" si="83"/>
        <v>0</v>
      </c>
      <c r="AS153" s="60">
        <f t="shared" si="84"/>
        <v>0</v>
      </c>
      <c r="AT153" s="193"/>
      <c r="AU153" s="169">
        <v>149</v>
      </c>
      <c r="AV153" s="1">
        <f t="shared" si="102"/>
        <v>50055</v>
      </c>
      <c r="AW153" s="60">
        <f>IF($X153&lt;Input!$H$88,IF($X153&lt;Input!$G$88,IF($X153&lt;Input!$F$88,IF($X153&lt;Input!$E$88,IF($X153&lt;Input!$D$88,Input!$C$94,Input!$D$94),Input!$E$94),Input!$F$94),Input!$G$94),Input!$H$94)</f>
        <v>0</v>
      </c>
      <c r="AX153" s="190">
        <f>IF($A153&lt;Input!$H$95,IF($A153&lt;Input!$G$95,IF($A153&lt;Input!$F$95,IF($A153&lt;Input!$E$95,IF($A153&lt;Input!$D$95,Input!$C$96,Input!$D$96),Input!$E$96),Input!$F$96),Input!$G$96),Input!$H$96)</f>
        <v>0.9</v>
      </c>
      <c r="AY153" s="60">
        <f t="shared" si="85"/>
        <v>0</v>
      </c>
      <c r="AZ153" s="60">
        <f t="shared" si="103"/>
        <v>31</v>
      </c>
      <c r="BA153" s="60">
        <f t="shared" si="86"/>
        <v>0</v>
      </c>
      <c r="BB153" s="60">
        <f>ROUND(BA153*AZ153*Input!$C$3/365,0)</f>
        <v>0</v>
      </c>
      <c r="BC153" s="61">
        <f>IF($A153&lt;=Input!$C$6,0,IF('Unique Tenure'!AY153&lt;'Unique Tenure'!BA153,'Unique Tenure'!AY153-BB153,'Unique Tenure'!BA153))</f>
        <v>0</v>
      </c>
      <c r="BD153" s="61">
        <f t="shared" si="87"/>
        <v>0</v>
      </c>
      <c r="BE153" s="60">
        <f t="shared" si="88"/>
        <v>0</v>
      </c>
      <c r="BF153" s="193"/>
      <c r="BG153" s="169">
        <v>149</v>
      </c>
      <c r="BH153" s="1">
        <f t="shared" si="104"/>
        <v>50055</v>
      </c>
      <c r="BI153" s="60">
        <f>IF($X153&lt;Input!$H$103,IF($X153&lt;Input!$G$103,IF($X153&lt;Input!$F$103,IF($X153&lt;Input!$E$103,IF($X153&lt;Input!$D$103,Input!$C$109,Input!$D$109),Input!$E$109),Input!$F$109),Input!$G$109),Input!$H$109)</f>
        <v>0</v>
      </c>
      <c r="BJ153" s="190">
        <f>IF($A153&lt;Input!$H$110,IF($A153&lt;Input!$G$110,IF($A153&lt;Input!$F$110,IF($A153&lt;Input!$E$110,IF($A153&lt;Input!$D$110,Input!$C$111,Input!$D$111),Input!$E$111),Input!$F$111),Input!$G$111),Input!$H$111)</f>
        <v>0.9</v>
      </c>
      <c r="BK153" s="60">
        <f t="shared" si="89"/>
        <v>0</v>
      </c>
      <c r="BL153" s="60">
        <f t="shared" si="105"/>
        <v>31</v>
      </c>
      <c r="BM153" s="60">
        <f t="shared" si="90"/>
        <v>0</v>
      </c>
      <c r="BN153" s="60">
        <f>ROUND(BM153*BL153*Input!$C$3/365,0)</f>
        <v>0</v>
      </c>
      <c r="BO153" s="61">
        <f>IF($A153&lt;=Input!$C$6,0,IF('Unique Tenure'!BK153&lt;'Unique Tenure'!BM153,'Unique Tenure'!BK153-BN153,'Unique Tenure'!BM153))</f>
        <v>0</v>
      </c>
      <c r="BP153" s="61">
        <f t="shared" si="91"/>
        <v>0</v>
      </c>
      <c r="BQ153" s="60">
        <f t="shared" si="92"/>
        <v>0</v>
      </c>
      <c r="BR153" s="198"/>
    </row>
    <row r="154" spans="1:70" s="51" customFormat="1" x14ac:dyDescent="0.25">
      <c r="A154" s="169">
        <v>150</v>
      </c>
      <c r="B154" s="1">
        <f t="shared" si="93"/>
        <v>50086</v>
      </c>
      <c r="C154" s="60">
        <f>SUM(
   IF(($A$4:$A$184 &lt;= Input!$D$16), M154, 0),
   IF(($A$4:$A$184 &lt;= Input!$E$16), Y154, 0),
   IF(($A$4:$A$184 &lt;= Input!$F$16), AK154, 0),
   IF(($A$4:$A$184 &lt;= Input!$G$16), AW154, 0),
   IF(($A$4:$A$184 &lt;= Input!$H$16), BI154, 0)
)</f>
        <v>33127052.878124986</v>
      </c>
      <c r="D154" s="60">
        <f>SUM(
   IF(($A$4:$A$184 &lt;= Input!$D$16), O154, 0),
   IF(($A$4:$A$184 &lt;= Input!$E$16), AA154, 0),
   IF(($A$4:$A$184 &lt;= Input!$F$16), AM154, 0),
   IF(($A$4:$A$184 &lt;= Input!$G$16), AY154, 0),
   IF(($A$4:$A$184 &lt;= Input!$H$16), BK154, 0)
)</f>
        <v>29814347.590312488</v>
      </c>
      <c r="E154" s="60">
        <f t="shared" si="94"/>
        <v>31</v>
      </c>
      <c r="F154" s="60">
        <f t="shared" si="95"/>
        <v>0</v>
      </c>
      <c r="G154" s="60">
        <f>ROUND(F154*E154*Input!$C$3/365,0)</f>
        <v>0</v>
      </c>
      <c r="H154" s="60">
        <f>IF($A154&lt;=Input!$C$6,0,IF('Unique Tenure'!D154&lt;'Unique Tenure'!F154,'Unique Tenure'!D154-G154,'Unique Tenure'!F154))</f>
        <v>0</v>
      </c>
      <c r="I154" s="60">
        <f t="shared" si="96"/>
        <v>0</v>
      </c>
      <c r="J154" s="60">
        <f t="shared" si="97"/>
        <v>0</v>
      </c>
      <c r="K154" s="202">
        <f>J154/Input!$K$5</f>
        <v>0</v>
      </c>
      <c r="L154" s="232"/>
      <c r="M154" s="60">
        <f>IF($B154&lt;Input!$H$43,IF($B154&lt;Input!$G$43,IF($B154&lt;Input!$F$43,IF($B154&lt;Input!$E$43,IF($B154&lt;Input!$D$43,Input!$C$49,Input!$D$49),Input!$E$49),Input!$F$49),Input!$G$49),Input!$H$49)</f>
        <v>33127052.878124986</v>
      </c>
      <c r="N154" s="190">
        <f>IF($A154&lt;Input!$H$50,IF($A154&lt;Input!$G$50,IF($A154&lt;Input!$F$50,IF($A154&lt;Input!$E$50,IF($A154&lt;Input!$D$50,Input!$C$51,Input!$D$51),Input!$E$51),Input!$F$51),Input!$G$51),Input!$H$51)</f>
        <v>0.9</v>
      </c>
      <c r="O154" s="60">
        <f t="shared" si="72"/>
        <v>29814347.590312488</v>
      </c>
      <c r="P154" s="60">
        <f t="shared" si="73"/>
        <v>31</v>
      </c>
      <c r="Q154" s="60">
        <f t="shared" si="74"/>
        <v>0</v>
      </c>
      <c r="R154" s="60">
        <f>ROUND(Q154*$P154*Input!$C$3/365,0)</f>
        <v>0</v>
      </c>
      <c r="S154" s="60">
        <f>IF(A154&lt;=Input!$C$6,0,IF('Unique Tenure'!O154&lt;'Unique Tenure'!Q154,'Unique Tenure'!O154-R154,'Unique Tenure'!Q154))</f>
        <v>0</v>
      </c>
      <c r="T154" s="60">
        <f t="shared" si="75"/>
        <v>0</v>
      </c>
      <c r="U154" s="60">
        <f t="shared" si="76"/>
        <v>0</v>
      </c>
      <c r="V154" s="193"/>
      <c r="W154" s="169">
        <v>150</v>
      </c>
      <c r="X154" s="1">
        <f t="shared" si="98"/>
        <v>50086</v>
      </c>
      <c r="Y154" s="60">
        <f>IF($X154&lt;Input!$H$58,IF($X154&lt;Input!$G$58,IF($X154&lt;Input!$F$58,IF($X154&lt;Input!$E$58,IF($X154&lt;Input!$D$58,Input!$C$64,Input!$D$64),Input!$E$64),Input!$F$64),Input!$G$64),Input!$H$64)</f>
        <v>0</v>
      </c>
      <c r="Z154" s="190">
        <f>IF($A154&lt;Input!$H$65,IF($A154&lt;Input!$G$65,IF($A154&lt;Input!$F$65,IF($A154&lt;Input!$E$65,IF($A154&lt;Input!$D$65,Input!$C$66,Input!$D$66),Input!$E$66),Input!$F$66),Input!$G$66),Input!$H$66)</f>
        <v>0.9</v>
      </c>
      <c r="AA154" s="60">
        <f t="shared" si="77"/>
        <v>0</v>
      </c>
      <c r="AB154" s="60">
        <f t="shared" si="99"/>
        <v>31</v>
      </c>
      <c r="AC154" s="60">
        <f t="shared" si="78"/>
        <v>0</v>
      </c>
      <c r="AD154" s="60">
        <f>ROUND(AC154*AB154*Input!$C$3/365,0)</f>
        <v>0</v>
      </c>
      <c r="AE154" s="61">
        <f>IF($A154&lt;=Input!$C$6,0,IF('Unique Tenure'!AA154&lt;'Unique Tenure'!AC154,'Unique Tenure'!AA154-AD154,'Unique Tenure'!AC154))</f>
        <v>0</v>
      </c>
      <c r="AF154" s="61">
        <f t="shared" si="79"/>
        <v>0</v>
      </c>
      <c r="AG154" s="60">
        <f t="shared" si="80"/>
        <v>0</v>
      </c>
      <c r="AH154" s="193"/>
      <c r="AI154" s="169">
        <v>150</v>
      </c>
      <c r="AJ154" s="1">
        <f t="shared" si="100"/>
        <v>50086</v>
      </c>
      <c r="AK154" s="60">
        <f>IF($X154&lt;Input!$H$73,IF($X154&lt;Input!$G$73,IF($X154&lt;Input!$F$73,IF($X154&lt;Input!$E$73,IF($X154&lt;Input!$D$73,Input!$C$79,Input!$D$79),Input!$E$79),Input!$F$79),Input!$G$79),Input!$H$79)</f>
        <v>0</v>
      </c>
      <c r="AL154" s="190">
        <f>IF($A154&lt;Input!$H$80,IF($A154&lt;Input!$G$80,IF($A154&lt;Input!$F$80,IF($A154&lt;Input!$E$80,IF($A154&lt;Input!$D$80,Input!$C$81,Input!$D$81),Input!$E$81),Input!$F$81),Input!$G$81),Input!$H$81)</f>
        <v>0.9</v>
      </c>
      <c r="AM154" s="60">
        <f t="shared" si="81"/>
        <v>0</v>
      </c>
      <c r="AN154" s="60">
        <f t="shared" si="101"/>
        <v>31</v>
      </c>
      <c r="AO154" s="60">
        <f t="shared" si="82"/>
        <v>0</v>
      </c>
      <c r="AP154" s="60">
        <f>ROUND(AO154*AN154*Input!$C$3/365,0)</f>
        <v>0</v>
      </c>
      <c r="AQ154" s="61">
        <f>IF($A154&lt;=Input!$C$6,0,IF('Unique Tenure'!AM154&lt;'Unique Tenure'!AO154,'Unique Tenure'!AM154-AP154,'Unique Tenure'!AO154))</f>
        <v>0</v>
      </c>
      <c r="AR154" s="61">
        <f t="shared" si="83"/>
        <v>0</v>
      </c>
      <c r="AS154" s="60">
        <f t="shared" si="84"/>
        <v>0</v>
      </c>
      <c r="AT154" s="193"/>
      <c r="AU154" s="169">
        <v>150</v>
      </c>
      <c r="AV154" s="1">
        <f t="shared" si="102"/>
        <v>50086</v>
      </c>
      <c r="AW154" s="60">
        <f>IF($X154&lt;Input!$H$88,IF($X154&lt;Input!$G$88,IF($X154&lt;Input!$F$88,IF($X154&lt;Input!$E$88,IF($X154&lt;Input!$D$88,Input!$C$94,Input!$D$94),Input!$E$94),Input!$F$94),Input!$G$94),Input!$H$94)</f>
        <v>0</v>
      </c>
      <c r="AX154" s="190">
        <f>IF($A154&lt;Input!$H$95,IF($A154&lt;Input!$G$95,IF($A154&lt;Input!$F$95,IF($A154&lt;Input!$E$95,IF($A154&lt;Input!$D$95,Input!$C$96,Input!$D$96),Input!$E$96),Input!$F$96),Input!$G$96),Input!$H$96)</f>
        <v>0.9</v>
      </c>
      <c r="AY154" s="60">
        <f t="shared" si="85"/>
        <v>0</v>
      </c>
      <c r="AZ154" s="60">
        <f t="shared" si="103"/>
        <v>31</v>
      </c>
      <c r="BA154" s="60">
        <f t="shared" si="86"/>
        <v>0</v>
      </c>
      <c r="BB154" s="60">
        <f>ROUND(BA154*AZ154*Input!$C$3/365,0)</f>
        <v>0</v>
      </c>
      <c r="BC154" s="61">
        <f>IF($A154&lt;=Input!$C$6,0,IF('Unique Tenure'!AY154&lt;'Unique Tenure'!BA154,'Unique Tenure'!AY154-BB154,'Unique Tenure'!BA154))</f>
        <v>0</v>
      </c>
      <c r="BD154" s="61">
        <f t="shared" si="87"/>
        <v>0</v>
      </c>
      <c r="BE154" s="60">
        <f t="shared" si="88"/>
        <v>0</v>
      </c>
      <c r="BF154" s="193"/>
      <c r="BG154" s="169">
        <v>150</v>
      </c>
      <c r="BH154" s="1">
        <f t="shared" si="104"/>
        <v>50086</v>
      </c>
      <c r="BI154" s="60">
        <f>IF($X154&lt;Input!$H$103,IF($X154&lt;Input!$G$103,IF($X154&lt;Input!$F$103,IF($X154&lt;Input!$E$103,IF($X154&lt;Input!$D$103,Input!$C$109,Input!$D$109),Input!$E$109),Input!$F$109),Input!$G$109),Input!$H$109)</f>
        <v>0</v>
      </c>
      <c r="BJ154" s="190">
        <f>IF($A154&lt;Input!$H$110,IF($A154&lt;Input!$G$110,IF($A154&lt;Input!$F$110,IF($A154&lt;Input!$E$110,IF($A154&lt;Input!$D$110,Input!$C$111,Input!$D$111),Input!$E$111),Input!$F$111),Input!$G$111),Input!$H$111)</f>
        <v>0.9</v>
      </c>
      <c r="BK154" s="60">
        <f t="shared" si="89"/>
        <v>0</v>
      </c>
      <c r="BL154" s="60">
        <f t="shared" si="105"/>
        <v>31</v>
      </c>
      <c r="BM154" s="60">
        <f t="shared" si="90"/>
        <v>0</v>
      </c>
      <c r="BN154" s="60">
        <f>ROUND(BM154*BL154*Input!$C$3/365,0)</f>
        <v>0</v>
      </c>
      <c r="BO154" s="61">
        <f>IF($A154&lt;=Input!$C$6,0,IF('Unique Tenure'!BK154&lt;'Unique Tenure'!BM154,'Unique Tenure'!BK154-BN154,'Unique Tenure'!BM154))</f>
        <v>0</v>
      </c>
      <c r="BP154" s="61">
        <f t="shared" si="91"/>
        <v>0</v>
      </c>
      <c r="BQ154" s="60">
        <f t="shared" si="92"/>
        <v>0</v>
      </c>
      <c r="BR154" s="198"/>
    </row>
    <row r="155" spans="1:70" s="51" customFormat="1" x14ac:dyDescent="0.25">
      <c r="A155" s="169">
        <v>151</v>
      </c>
      <c r="B155" s="1">
        <f t="shared" si="93"/>
        <v>50114</v>
      </c>
      <c r="C155" s="60">
        <f>SUM(
   IF(($A$4:$A$184 &lt;= Input!$D$16), M155, 0),
   IF(($A$4:$A$184 &lt;= Input!$E$16), Y155, 0),
   IF(($A$4:$A$184 &lt;= Input!$F$16), AK155, 0),
   IF(($A$4:$A$184 &lt;= Input!$G$16), AW155, 0),
   IF(($A$4:$A$184 &lt;= Input!$H$16), BI155, 0)
)</f>
        <v>33127052.878124986</v>
      </c>
      <c r="D155" s="60">
        <f>SUM(
   IF(($A$4:$A$184 &lt;= Input!$D$16), O155, 0),
   IF(($A$4:$A$184 &lt;= Input!$E$16), AA155, 0),
   IF(($A$4:$A$184 &lt;= Input!$F$16), AM155, 0),
   IF(($A$4:$A$184 &lt;= Input!$G$16), AY155, 0),
   IF(($A$4:$A$184 &lt;= Input!$H$16), BK155, 0)
)</f>
        <v>29814347.590312488</v>
      </c>
      <c r="E155" s="60">
        <f t="shared" si="94"/>
        <v>28</v>
      </c>
      <c r="F155" s="60">
        <f t="shared" si="95"/>
        <v>0</v>
      </c>
      <c r="G155" s="60">
        <f>ROUND(F155*E155*Input!$C$3/365,0)</f>
        <v>0</v>
      </c>
      <c r="H155" s="60">
        <f>IF($A155&lt;=Input!$C$6,0,IF('Unique Tenure'!D155&lt;'Unique Tenure'!F155,'Unique Tenure'!D155-G155,'Unique Tenure'!F155))</f>
        <v>0</v>
      </c>
      <c r="I155" s="60">
        <f t="shared" si="96"/>
        <v>0</v>
      </c>
      <c r="J155" s="60">
        <f t="shared" si="97"/>
        <v>0</v>
      </c>
      <c r="K155" s="202">
        <f>J155/Input!$K$5</f>
        <v>0</v>
      </c>
      <c r="L155" s="232"/>
      <c r="M155" s="60">
        <f>IF($B155&lt;Input!$H$43,IF($B155&lt;Input!$G$43,IF($B155&lt;Input!$F$43,IF($B155&lt;Input!$E$43,IF($B155&lt;Input!$D$43,Input!$C$49,Input!$D$49),Input!$E$49),Input!$F$49),Input!$G$49),Input!$H$49)</f>
        <v>33127052.878124986</v>
      </c>
      <c r="N155" s="190">
        <f>IF($A155&lt;Input!$H$50,IF($A155&lt;Input!$G$50,IF($A155&lt;Input!$F$50,IF($A155&lt;Input!$E$50,IF($A155&lt;Input!$D$50,Input!$C$51,Input!$D$51),Input!$E$51),Input!$F$51),Input!$G$51),Input!$H$51)</f>
        <v>0.9</v>
      </c>
      <c r="O155" s="60">
        <f t="shared" si="72"/>
        <v>29814347.590312488</v>
      </c>
      <c r="P155" s="60">
        <f t="shared" si="73"/>
        <v>28</v>
      </c>
      <c r="Q155" s="60">
        <f t="shared" si="74"/>
        <v>0</v>
      </c>
      <c r="R155" s="60">
        <f>ROUND(Q155*$P155*Input!$C$3/365,0)</f>
        <v>0</v>
      </c>
      <c r="S155" s="60">
        <f>IF(A155&lt;=Input!$C$6,0,IF('Unique Tenure'!O155&lt;'Unique Tenure'!Q155,'Unique Tenure'!O155-R155,'Unique Tenure'!Q155))</f>
        <v>0</v>
      </c>
      <c r="T155" s="60">
        <f t="shared" si="75"/>
        <v>0</v>
      </c>
      <c r="U155" s="60">
        <f t="shared" si="76"/>
        <v>0</v>
      </c>
      <c r="V155" s="193"/>
      <c r="W155" s="169">
        <v>151</v>
      </c>
      <c r="X155" s="1">
        <f t="shared" si="98"/>
        <v>50114</v>
      </c>
      <c r="Y155" s="60">
        <f>IF($X155&lt;Input!$H$58,IF($X155&lt;Input!$G$58,IF($X155&lt;Input!$F$58,IF($X155&lt;Input!$E$58,IF($X155&lt;Input!$D$58,Input!$C$64,Input!$D$64),Input!$E$64),Input!$F$64),Input!$G$64),Input!$H$64)</f>
        <v>0</v>
      </c>
      <c r="Z155" s="190">
        <f>IF($A155&lt;Input!$H$65,IF($A155&lt;Input!$G$65,IF($A155&lt;Input!$F$65,IF($A155&lt;Input!$E$65,IF($A155&lt;Input!$D$65,Input!$C$66,Input!$D$66),Input!$E$66),Input!$F$66),Input!$G$66),Input!$H$66)</f>
        <v>0.9</v>
      </c>
      <c r="AA155" s="60">
        <f t="shared" si="77"/>
        <v>0</v>
      </c>
      <c r="AB155" s="60">
        <f t="shared" si="99"/>
        <v>28</v>
      </c>
      <c r="AC155" s="60">
        <f t="shared" si="78"/>
        <v>0</v>
      </c>
      <c r="AD155" s="60">
        <f>ROUND(AC155*AB155*Input!$C$3/365,0)</f>
        <v>0</v>
      </c>
      <c r="AE155" s="61">
        <f>IF($A155&lt;=Input!$C$6,0,IF('Unique Tenure'!AA155&lt;'Unique Tenure'!AC155,'Unique Tenure'!AA155-AD155,'Unique Tenure'!AC155))</f>
        <v>0</v>
      </c>
      <c r="AF155" s="61">
        <f t="shared" si="79"/>
        <v>0</v>
      </c>
      <c r="AG155" s="60">
        <f t="shared" si="80"/>
        <v>0</v>
      </c>
      <c r="AH155" s="193"/>
      <c r="AI155" s="169">
        <v>151</v>
      </c>
      <c r="AJ155" s="1">
        <f t="shared" si="100"/>
        <v>50114</v>
      </c>
      <c r="AK155" s="60">
        <f>IF($X155&lt;Input!$H$73,IF($X155&lt;Input!$G$73,IF($X155&lt;Input!$F$73,IF($X155&lt;Input!$E$73,IF($X155&lt;Input!$D$73,Input!$C$79,Input!$D$79),Input!$E$79),Input!$F$79),Input!$G$79),Input!$H$79)</f>
        <v>0</v>
      </c>
      <c r="AL155" s="190">
        <f>IF($A155&lt;Input!$H$80,IF($A155&lt;Input!$G$80,IF($A155&lt;Input!$F$80,IF($A155&lt;Input!$E$80,IF($A155&lt;Input!$D$80,Input!$C$81,Input!$D$81),Input!$E$81),Input!$F$81),Input!$G$81),Input!$H$81)</f>
        <v>0.9</v>
      </c>
      <c r="AM155" s="60">
        <f t="shared" si="81"/>
        <v>0</v>
      </c>
      <c r="AN155" s="60">
        <f t="shared" si="101"/>
        <v>28</v>
      </c>
      <c r="AO155" s="60">
        <f t="shared" si="82"/>
        <v>0</v>
      </c>
      <c r="AP155" s="60">
        <f>ROUND(AO155*AN155*Input!$C$3/365,0)</f>
        <v>0</v>
      </c>
      <c r="AQ155" s="61">
        <f>IF($A155&lt;=Input!$C$6,0,IF('Unique Tenure'!AM155&lt;'Unique Tenure'!AO155,'Unique Tenure'!AM155-AP155,'Unique Tenure'!AO155))</f>
        <v>0</v>
      </c>
      <c r="AR155" s="61">
        <f t="shared" si="83"/>
        <v>0</v>
      </c>
      <c r="AS155" s="60">
        <f t="shared" si="84"/>
        <v>0</v>
      </c>
      <c r="AT155" s="193"/>
      <c r="AU155" s="169">
        <v>151</v>
      </c>
      <c r="AV155" s="1">
        <f t="shared" si="102"/>
        <v>50114</v>
      </c>
      <c r="AW155" s="60">
        <f>IF($X155&lt;Input!$H$88,IF($X155&lt;Input!$G$88,IF($X155&lt;Input!$F$88,IF($X155&lt;Input!$E$88,IF($X155&lt;Input!$D$88,Input!$C$94,Input!$D$94),Input!$E$94),Input!$F$94),Input!$G$94),Input!$H$94)</f>
        <v>0</v>
      </c>
      <c r="AX155" s="190">
        <f>IF($A155&lt;Input!$H$95,IF($A155&lt;Input!$G$95,IF($A155&lt;Input!$F$95,IF($A155&lt;Input!$E$95,IF($A155&lt;Input!$D$95,Input!$C$96,Input!$D$96),Input!$E$96),Input!$F$96),Input!$G$96),Input!$H$96)</f>
        <v>0.9</v>
      </c>
      <c r="AY155" s="60">
        <f t="shared" si="85"/>
        <v>0</v>
      </c>
      <c r="AZ155" s="60">
        <f t="shared" si="103"/>
        <v>28</v>
      </c>
      <c r="BA155" s="60">
        <f t="shared" si="86"/>
        <v>0</v>
      </c>
      <c r="BB155" s="60">
        <f>ROUND(BA155*AZ155*Input!$C$3/365,0)</f>
        <v>0</v>
      </c>
      <c r="BC155" s="61">
        <f>IF($A155&lt;=Input!$C$6,0,IF('Unique Tenure'!AY155&lt;'Unique Tenure'!BA155,'Unique Tenure'!AY155-BB155,'Unique Tenure'!BA155))</f>
        <v>0</v>
      </c>
      <c r="BD155" s="61">
        <f t="shared" si="87"/>
        <v>0</v>
      </c>
      <c r="BE155" s="60">
        <f t="shared" si="88"/>
        <v>0</v>
      </c>
      <c r="BF155" s="193"/>
      <c r="BG155" s="169">
        <v>151</v>
      </c>
      <c r="BH155" s="1">
        <f t="shared" si="104"/>
        <v>50114</v>
      </c>
      <c r="BI155" s="60">
        <f>IF($X155&lt;Input!$H$103,IF($X155&lt;Input!$G$103,IF($X155&lt;Input!$F$103,IF($X155&lt;Input!$E$103,IF($X155&lt;Input!$D$103,Input!$C$109,Input!$D$109),Input!$E$109),Input!$F$109),Input!$G$109),Input!$H$109)</f>
        <v>0</v>
      </c>
      <c r="BJ155" s="190">
        <f>IF($A155&lt;Input!$H$110,IF($A155&lt;Input!$G$110,IF($A155&lt;Input!$F$110,IF($A155&lt;Input!$E$110,IF($A155&lt;Input!$D$110,Input!$C$111,Input!$D$111),Input!$E$111),Input!$F$111),Input!$G$111),Input!$H$111)</f>
        <v>0.9</v>
      </c>
      <c r="BK155" s="60">
        <f t="shared" si="89"/>
        <v>0</v>
      </c>
      <c r="BL155" s="60">
        <f t="shared" si="105"/>
        <v>28</v>
      </c>
      <c r="BM155" s="60">
        <f t="shared" si="90"/>
        <v>0</v>
      </c>
      <c r="BN155" s="60">
        <f>ROUND(BM155*BL155*Input!$C$3/365,0)</f>
        <v>0</v>
      </c>
      <c r="BO155" s="61">
        <f>IF($A155&lt;=Input!$C$6,0,IF('Unique Tenure'!BK155&lt;'Unique Tenure'!BM155,'Unique Tenure'!BK155-BN155,'Unique Tenure'!BM155))</f>
        <v>0</v>
      </c>
      <c r="BP155" s="61">
        <f t="shared" si="91"/>
        <v>0</v>
      </c>
      <c r="BQ155" s="60">
        <f t="shared" si="92"/>
        <v>0</v>
      </c>
      <c r="BR155" s="198"/>
    </row>
    <row r="156" spans="1:70" s="51" customFormat="1" x14ac:dyDescent="0.25">
      <c r="A156" s="169">
        <v>152</v>
      </c>
      <c r="B156" s="1">
        <f t="shared" si="93"/>
        <v>50145</v>
      </c>
      <c r="C156" s="60">
        <f>SUM(
   IF(($A$4:$A$184 &lt;= Input!$D$16), M156, 0),
   IF(($A$4:$A$184 &lt;= Input!$E$16), Y156, 0),
   IF(($A$4:$A$184 &lt;= Input!$F$16), AK156, 0),
   IF(($A$4:$A$184 &lt;= Input!$G$16), AW156, 0),
   IF(($A$4:$A$184 &lt;= Input!$H$16), BI156, 0)
)</f>
        <v>33127052.878124986</v>
      </c>
      <c r="D156" s="60">
        <f>SUM(
   IF(($A$4:$A$184 &lt;= Input!$D$16), O156, 0),
   IF(($A$4:$A$184 &lt;= Input!$E$16), AA156, 0),
   IF(($A$4:$A$184 &lt;= Input!$F$16), AM156, 0),
   IF(($A$4:$A$184 &lt;= Input!$G$16), AY156, 0),
   IF(($A$4:$A$184 &lt;= Input!$H$16), BK156, 0)
)</f>
        <v>29814347.590312488</v>
      </c>
      <c r="E156" s="60">
        <f t="shared" si="94"/>
        <v>31</v>
      </c>
      <c r="F156" s="60">
        <f t="shared" si="95"/>
        <v>0</v>
      </c>
      <c r="G156" s="60">
        <f>ROUND(F156*E156*Input!$C$3/365,0)</f>
        <v>0</v>
      </c>
      <c r="H156" s="60">
        <f>IF($A156&lt;=Input!$C$6,0,IF('Unique Tenure'!D156&lt;'Unique Tenure'!F156,'Unique Tenure'!D156-G156,'Unique Tenure'!F156))</f>
        <v>0</v>
      </c>
      <c r="I156" s="60">
        <f t="shared" si="96"/>
        <v>0</v>
      </c>
      <c r="J156" s="60">
        <f t="shared" si="97"/>
        <v>0</v>
      </c>
      <c r="K156" s="202">
        <f>J156/Input!$K$5</f>
        <v>0</v>
      </c>
      <c r="L156" s="232"/>
      <c r="M156" s="60">
        <f>IF($B156&lt;Input!$H$43,IF($B156&lt;Input!$G$43,IF($B156&lt;Input!$F$43,IF($B156&lt;Input!$E$43,IF($B156&lt;Input!$D$43,Input!$C$49,Input!$D$49),Input!$E$49),Input!$F$49),Input!$G$49),Input!$H$49)</f>
        <v>33127052.878124986</v>
      </c>
      <c r="N156" s="190">
        <f>IF($A156&lt;Input!$H$50,IF($A156&lt;Input!$G$50,IF($A156&lt;Input!$F$50,IF($A156&lt;Input!$E$50,IF($A156&lt;Input!$D$50,Input!$C$51,Input!$D$51),Input!$E$51),Input!$F$51),Input!$G$51),Input!$H$51)</f>
        <v>0.9</v>
      </c>
      <c r="O156" s="60">
        <f t="shared" si="72"/>
        <v>29814347.590312488</v>
      </c>
      <c r="P156" s="60">
        <f t="shared" si="73"/>
        <v>31</v>
      </c>
      <c r="Q156" s="60">
        <f t="shared" si="74"/>
        <v>0</v>
      </c>
      <c r="R156" s="60">
        <f>ROUND(Q156*$P156*Input!$C$3/365,0)</f>
        <v>0</v>
      </c>
      <c r="S156" s="60">
        <f>IF(A156&lt;=Input!$C$6,0,IF('Unique Tenure'!O156&lt;'Unique Tenure'!Q156,'Unique Tenure'!O156-R156,'Unique Tenure'!Q156))</f>
        <v>0</v>
      </c>
      <c r="T156" s="60">
        <f t="shared" si="75"/>
        <v>0</v>
      </c>
      <c r="U156" s="60">
        <f t="shared" si="76"/>
        <v>0</v>
      </c>
      <c r="V156" s="193"/>
      <c r="W156" s="169">
        <v>152</v>
      </c>
      <c r="X156" s="1">
        <f t="shared" si="98"/>
        <v>50145</v>
      </c>
      <c r="Y156" s="60">
        <f>IF($X156&lt;Input!$H$58,IF($X156&lt;Input!$G$58,IF($X156&lt;Input!$F$58,IF($X156&lt;Input!$E$58,IF($X156&lt;Input!$D$58,Input!$C$64,Input!$D$64),Input!$E$64),Input!$F$64),Input!$G$64),Input!$H$64)</f>
        <v>0</v>
      </c>
      <c r="Z156" s="190">
        <f>IF($A156&lt;Input!$H$65,IF($A156&lt;Input!$G$65,IF($A156&lt;Input!$F$65,IF($A156&lt;Input!$E$65,IF($A156&lt;Input!$D$65,Input!$C$66,Input!$D$66),Input!$E$66),Input!$F$66),Input!$G$66),Input!$H$66)</f>
        <v>0.9</v>
      </c>
      <c r="AA156" s="60">
        <f t="shared" si="77"/>
        <v>0</v>
      </c>
      <c r="AB156" s="60">
        <f t="shared" si="99"/>
        <v>31</v>
      </c>
      <c r="AC156" s="60">
        <f t="shared" si="78"/>
        <v>0</v>
      </c>
      <c r="AD156" s="60">
        <f>ROUND(AC156*AB156*Input!$C$3/365,0)</f>
        <v>0</v>
      </c>
      <c r="AE156" s="61">
        <f>IF($A156&lt;=Input!$C$6,0,IF('Unique Tenure'!AA156&lt;'Unique Tenure'!AC156,'Unique Tenure'!AA156-AD156,'Unique Tenure'!AC156))</f>
        <v>0</v>
      </c>
      <c r="AF156" s="61">
        <f t="shared" si="79"/>
        <v>0</v>
      </c>
      <c r="AG156" s="60">
        <f t="shared" si="80"/>
        <v>0</v>
      </c>
      <c r="AH156" s="193"/>
      <c r="AI156" s="169">
        <v>152</v>
      </c>
      <c r="AJ156" s="1">
        <f t="shared" si="100"/>
        <v>50145</v>
      </c>
      <c r="AK156" s="60">
        <f>IF($X156&lt;Input!$H$73,IF($X156&lt;Input!$G$73,IF($X156&lt;Input!$F$73,IF($X156&lt;Input!$E$73,IF($X156&lt;Input!$D$73,Input!$C$79,Input!$D$79),Input!$E$79),Input!$F$79),Input!$G$79),Input!$H$79)</f>
        <v>0</v>
      </c>
      <c r="AL156" s="190">
        <f>IF($A156&lt;Input!$H$80,IF($A156&lt;Input!$G$80,IF($A156&lt;Input!$F$80,IF($A156&lt;Input!$E$80,IF($A156&lt;Input!$D$80,Input!$C$81,Input!$D$81),Input!$E$81),Input!$F$81),Input!$G$81),Input!$H$81)</f>
        <v>0.9</v>
      </c>
      <c r="AM156" s="60">
        <f t="shared" si="81"/>
        <v>0</v>
      </c>
      <c r="AN156" s="60">
        <f t="shared" si="101"/>
        <v>31</v>
      </c>
      <c r="AO156" s="60">
        <f t="shared" si="82"/>
        <v>0</v>
      </c>
      <c r="AP156" s="60">
        <f>ROUND(AO156*AN156*Input!$C$3/365,0)</f>
        <v>0</v>
      </c>
      <c r="AQ156" s="61">
        <f>IF($A156&lt;=Input!$C$6,0,IF('Unique Tenure'!AM156&lt;'Unique Tenure'!AO156,'Unique Tenure'!AM156-AP156,'Unique Tenure'!AO156))</f>
        <v>0</v>
      </c>
      <c r="AR156" s="61">
        <f t="shared" si="83"/>
        <v>0</v>
      </c>
      <c r="AS156" s="60">
        <f t="shared" si="84"/>
        <v>0</v>
      </c>
      <c r="AT156" s="193"/>
      <c r="AU156" s="169">
        <v>152</v>
      </c>
      <c r="AV156" s="1">
        <f t="shared" si="102"/>
        <v>50145</v>
      </c>
      <c r="AW156" s="60">
        <f>IF($X156&lt;Input!$H$88,IF($X156&lt;Input!$G$88,IF($X156&lt;Input!$F$88,IF($X156&lt;Input!$E$88,IF($X156&lt;Input!$D$88,Input!$C$94,Input!$D$94),Input!$E$94),Input!$F$94),Input!$G$94),Input!$H$94)</f>
        <v>0</v>
      </c>
      <c r="AX156" s="190">
        <f>IF($A156&lt;Input!$H$95,IF($A156&lt;Input!$G$95,IF($A156&lt;Input!$F$95,IF($A156&lt;Input!$E$95,IF($A156&lt;Input!$D$95,Input!$C$96,Input!$D$96),Input!$E$96),Input!$F$96),Input!$G$96),Input!$H$96)</f>
        <v>0.9</v>
      </c>
      <c r="AY156" s="60">
        <f t="shared" si="85"/>
        <v>0</v>
      </c>
      <c r="AZ156" s="60">
        <f t="shared" si="103"/>
        <v>31</v>
      </c>
      <c r="BA156" s="60">
        <f t="shared" si="86"/>
        <v>0</v>
      </c>
      <c r="BB156" s="60">
        <f>ROUND(BA156*AZ156*Input!$C$3/365,0)</f>
        <v>0</v>
      </c>
      <c r="BC156" s="61">
        <f>IF($A156&lt;=Input!$C$6,0,IF('Unique Tenure'!AY156&lt;'Unique Tenure'!BA156,'Unique Tenure'!AY156-BB156,'Unique Tenure'!BA156))</f>
        <v>0</v>
      </c>
      <c r="BD156" s="61">
        <f t="shared" si="87"/>
        <v>0</v>
      </c>
      <c r="BE156" s="60">
        <f t="shared" si="88"/>
        <v>0</v>
      </c>
      <c r="BF156" s="193"/>
      <c r="BG156" s="169">
        <v>152</v>
      </c>
      <c r="BH156" s="1">
        <f t="shared" si="104"/>
        <v>50145</v>
      </c>
      <c r="BI156" s="60">
        <f>IF($X156&lt;Input!$H$103,IF($X156&lt;Input!$G$103,IF($X156&lt;Input!$F$103,IF($X156&lt;Input!$E$103,IF($X156&lt;Input!$D$103,Input!$C$109,Input!$D$109),Input!$E$109),Input!$F$109),Input!$G$109),Input!$H$109)</f>
        <v>0</v>
      </c>
      <c r="BJ156" s="190">
        <f>IF($A156&lt;Input!$H$110,IF($A156&lt;Input!$G$110,IF($A156&lt;Input!$F$110,IF($A156&lt;Input!$E$110,IF($A156&lt;Input!$D$110,Input!$C$111,Input!$D$111),Input!$E$111),Input!$F$111),Input!$G$111),Input!$H$111)</f>
        <v>0.9</v>
      </c>
      <c r="BK156" s="60">
        <f t="shared" si="89"/>
        <v>0</v>
      </c>
      <c r="BL156" s="60">
        <f t="shared" si="105"/>
        <v>31</v>
      </c>
      <c r="BM156" s="60">
        <f t="shared" si="90"/>
        <v>0</v>
      </c>
      <c r="BN156" s="60">
        <f>ROUND(BM156*BL156*Input!$C$3/365,0)</f>
        <v>0</v>
      </c>
      <c r="BO156" s="61">
        <f>IF($A156&lt;=Input!$C$6,0,IF('Unique Tenure'!BK156&lt;'Unique Tenure'!BM156,'Unique Tenure'!BK156-BN156,'Unique Tenure'!BM156))</f>
        <v>0</v>
      </c>
      <c r="BP156" s="61">
        <f t="shared" si="91"/>
        <v>0</v>
      </c>
      <c r="BQ156" s="60">
        <f t="shared" si="92"/>
        <v>0</v>
      </c>
      <c r="BR156" s="198"/>
    </row>
    <row r="157" spans="1:70" s="51" customFormat="1" x14ac:dyDescent="0.25">
      <c r="A157" s="169">
        <v>153</v>
      </c>
      <c r="B157" s="1">
        <f t="shared" si="93"/>
        <v>50175</v>
      </c>
      <c r="C157" s="60">
        <f>SUM(
   IF(($A$4:$A$184 &lt;= Input!$D$16), M157, 0),
   IF(($A$4:$A$184 &lt;= Input!$E$16), Y157, 0),
   IF(($A$4:$A$184 &lt;= Input!$F$16), AK157, 0),
   IF(($A$4:$A$184 &lt;= Input!$G$16), AW157, 0),
   IF(($A$4:$A$184 &lt;= Input!$H$16), BI157, 0)
)</f>
        <v>33127052.878124986</v>
      </c>
      <c r="D157" s="60">
        <f>SUM(
   IF(($A$4:$A$184 &lt;= Input!$D$16), O157, 0),
   IF(($A$4:$A$184 &lt;= Input!$E$16), AA157, 0),
   IF(($A$4:$A$184 &lt;= Input!$F$16), AM157, 0),
   IF(($A$4:$A$184 &lt;= Input!$G$16), AY157, 0),
   IF(($A$4:$A$184 &lt;= Input!$H$16), BK157, 0)
)</f>
        <v>29814347.590312488</v>
      </c>
      <c r="E157" s="60">
        <f t="shared" si="94"/>
        <v>30</v>
      </c>
      <c r="F157" s="60">
        <f t="shared" si="95"/>
        <v>0</v>
      </c>
      <c r="G157" s="60">
        <f>ROUND(F157*E157*Input!$C$3/365,0)</f>
        <v>0</v>
      </c>
      <c r="H157" s="60">
        <f>IF($A157&lt;=Input!$C$6,0,IF('Unique Tenure'!D157&lt;'Unique Tenure'!F157,'Unique Tenure'!D157-G157,'Unique Tenure'!F157))</f>
        <v>0</v>
      </c>
      <c r="I157" s="60">
        <f t="shared" si="96"/>
        <v>0</v>
      </c>
      <c r="J157" s="60">
        <f t="shared" si="97"/>
        <v>0</v>
      </c>
      <c r="K157" s="202">
        <f>J157/Input!$K$5</f>
        <v>0</v>
      </c>
      <c r="L157" s="232"/>
      <c r="M157" s="60">
        <f>IF($B157&lt;Input!$H$43,IF($B157&lt;Input!$G$43,IF($B157&lt;Input!$F$43,IF($B157&lt;Input!$E$43,IF($B157&lt;Input!$D$43,Input!$C$49,Input!$D$49),Input!$E$49),Input!$F$49),Input!$G$49),Input!$H$49)</f>
        <v>33127052.878124986</v>
      </c>
      <c r="N157" s="190">
        <f>IF($A157&lt;Input!$H$50,IF($A157&lt;Input!$G$50,IF($A157&lt;Input!$F$50,IF($A157&lt;Input!$E$50,IF($A157&lt;Input!$D$50,Input!$C$51,Input!$D$51),Input!$E$51),Input!$F$51),Input!$G$51),Input!$H$51)</f>
        <v>0.9</v>
      </c>
      <c r="O157" s="60">
        <f t="shared" si="72"/>
        <v>29814347.590312488</v>
      </c>
      <c r="P157" s="60">
        <f t="shared" si="73"/>
        <v>30</v>
      </c>
      <c r="Q157" s="60">
        <f t="shared" si="74"/>
        <v>0</v>
      </c>
      <c r="R157" s="60">
        <f>ROUND(Q157*$P157*Input!$C$3/365,0)</f>
        <v>0</v>
      </c>
      <c r="S157" s="60">
        <f>IF(A157&lt;=Input!$C$6,0,IF('Unique Tenure'!O157&lt;'Unique Tenure'!Q157,'Unique Tenure'!O157-R157,'Unique Tenure'!Q157))</f>
        <v>0</v>
      </c>
      <c r="T157" s="60">
        <f t="shared" si="75"/>
        <v>0</v>
      </c>
      <c r="U157" s="60">
        <f t="shared" si="76"/>
        <v>0</v>
      </c>
      <c r="V157" s="193"/>
      <c r="W157" s="169">
        <v>153</v>
      </c>
      <c r="X157" s="1">
        <f t="shared" si="98"/>
        <v>50175</v>
      </c>
      <c r="Y157" s="60">
        <f>IF($X157&lt;Input!$H$58,IF($X157&lt;Input!$G$58,IF($X157&lt;Input!$F$58,IF($X157&lt;Input!$E$58,IF($X157&lt;Input!$D$58,Input!$C$64,Input!$D$64),Input!$E$64),Input!$F$64),Input!$G$64),Input!$H$64)</f>
        <v>0</v>
      </c>
      <c r="Z157" s="190">
        <f>IF($A157&lt;Input!$H$65,IF($A157&lt;Input!$G$65,IF($A157&lt;Input!$F$65,IF($A157&lt;Input!$E$65,IF($A157&lt;Input!$D$65,Input!$C$66,Input!$D$66),Input!$E$66),Input!$F$66),Input!$G$66),Input!$H$66)</f>
        <v>0.9</v>
      </c>
      <c r="AA157" s="60">
        <f t="shared" si="77"/>
        <v>0</v>
      </c>
      <c r="AB157" s="60">
        <f t="shared" si="99"/>
        <v>30</v>
      </c>
      <c r="AC157" s="60">
        <f t="shared" si="78"/>
        <v>0</v>
      </c>
      <c r="AD157" s="60">
        <f>ROUND(AC157*AB157*Input!$C$3/365,0)</f>
        <v>0</v>
      </c>
      <c r="AE157" s="61">
        <f>IF($A157&lt;=Input!$C$6,0,IF('Unique Tenure'!AA157&lt;'Unique Tenure'!AC157,'Unique Tenure'!AA157-AD157,'Unique Tenure'!AC157))</f>
        <v>0</v>
      </c>
      <c r="AF157" s="61">
        <f t="shared" si="79"/>
        <v>0</v>
      </c>
      <c r="AG157" s="60">
        <f t="shared" si="80"/>
        <v>0</v>
      </c>
      <c r="AH157" s="193"/>
      <c r="AI157" s="169">
        <v>153</v>
      </c>
      <c r="AJ157" s="1">
        <f t="shared" si="100"/>
        <v>50175</v>
      </c>
      <c r="AK157" s="60">
        <f>IF($X157&lt;Input!$H$73,IF($X157&lt;Input!$G$73,IF($X157&lt;Input!$F$73,IF($X157&lt;Input!$E$73,IF($X157&lt;Input!$D$73,Input!$C$79,Input!$D$79),Input!$E$79),Input!$F$79),Input!$G$79),Input!$H$79)</f>
        <v>0</v>
      </c>
      <c r="AL157" s="190">
        <f>IF($A157&lt;Input!$H$80,IF($A157&lt;Input!$G$80,IF($A157&lt;Input!$F$80,IF($A157&lt;Input!$E$80,IF($A157&lt;Input!$D$80,Input!$C$81,Input!$D$81),Input!$E$81),Input!$F$81),Input!$G$81),Input!$H$81)</f>
        <v>0.9</v>
      </c>
      <c r="AM157" s="60">
        <f t="shared" si="81"/>
        <v>0</v>
      </c>
      <c r="AN157" s="60">
        <f t="shared" si="101"/>
        <v>30</v>
      </c>
      <c r="AO157" s="60">
        <f t="shared" si="82"/>
        <v>0</v>
      </c>
      <c r="AP157" s="60">
        <f>ROUND(AO157*AN157*Input!$C$3/365,0)</f>
        <v>0</v>
      </c>
      <c r="AQ157" s="61">
        <f>IF($A157&lt;=Input!$C$6,0,IF('Unique Tenure'!AM157&lt;'Unique Tenure'!AO157,'Unique Tenure'!AM157-AP157,'Unique Tenure'!AO157))</f>
        <v>0</v>
      </c>
      <c r="AR157" s="61">
        <f t="shared" si="83"/>
        <v>0</v>
      </c>
      <c r="AS157" s="60">
        <f t="shared" si="84"/>
        <v>0</v>
      </c>
      <c r="AT157" s="193"/>
      <c r="AU157" s="169">
        <v>153</v>
      </c>
      <c r="AV157" s="1">
        <f t="shared" si="102"/>
        <v>50175</v>
      </c>
      <c r="AW157" s="60">
        <f>IF($X157&lt;Input!$H$88,IF($X157&lt;Input!$G$88,IF($X157&lt;Input!$F$88,IF($X157&lt;Input!$E$88,IF($X157&lt;Input!$D$88,Input!$C$94,Input!$D$94),Input!$E$94),Input!$F$94),Input!$G$94),Input!$H$94)</f>
        <v>0</v>
      </c>
      <c r="AX157" s="190">
        <f>IF($A157&lt;Input!$H$95,IF($A157&lt;Input!$G$95,IF($A157&lt;Input!$F$95,IF($A157&lt;Input!$E$95,IF($A157&lt;Input!$D$95,Input!$C$96,Input!$D$96),Input!$E$96),Input!$F$96),Input!$G$96),Input!$H$96)</f>
        <v>0.9</v>
      </c>
      <c r="AY157" s="60">
        <f t="shared" si="85"/>
        <v>0</v>
      </c>
      <c r="AZ157" s="60">
        <f t="shared" si="103"/>
        <v>30</v>
      </c>
      <c r="BA157" s="60">
        <f t="shared" si="86"/>
        <v>0</v>
      </c>
      <c r="BB157" s="60">
        <f>ROUND(BA157*AZ157*Input!$C$3/365,0)</f>
        <v>0</v>
      </c>
      <c r="BC157" s="61">
        <f>IF($A157&lt;=Input!$C$6,0,IF('Unique Tenure'!AY157&lt;'Unique Tenure'!BA157,'Unique Tenure'!AY157-BB157,'Unique Tenure'!BA157))</f>
        <v>0</v>
      </c>
      <c r="BD157" s="61">
        <f t="shared" si="87"/>
        <v>0</v>
      </c>
      <c r="BE157" s="60">
        <f t="shared" si="88"/>
        <v>0</v>
      </c>
      <c r="BF157" s="193"/>
      <c r="BG157" s="169">
        <v>153</v>
      </c>
      <c r="BH157" s="1">
        <f t="shared" si="104"/>
        <v>50175</v>
      </c>
      <c r="BI157" s="60">
        <f>IF($X157&lt;Input!$H$103,IF($X157&lt;Input!$G$103,IF($X157&lt;Input!$F$103,IF($X157&lt;Input!$E$103,IF($X157&lt;Input!$D$103,Input!$C$109,Input!$D$109),Input!$E$109),Input!$F$109),Input!$G$109),Input!$H$109)</f>
        <v>0</v>
      </c>
      <c r="BJ157" s="190">
        <f>IF($A157&lt;Input!$H$110,IF($A157&lt;Input!$G$110,IF($A157&lt;Input!$F$110,IF($A157&lt;Input!$E$110,IF($A157&lt;Input!$D$110,Input!$C$111,Input!$D$111),Input!$E$111),Input!$F$111),Input!$G$111),Input!$H$111)</f>
        <v>0.9</v>
      </c>
      <c r="BK157" s="60">
        <f t="shared" si="89"/>
        <v>0</v>
      </c>
      <c r="BL157" s="60">
        <f t="shared" si="105"/>
        <v>30</v>
      </c>
      <c r="BM157" s="60">
        <f t="shared" si="90"/>
        <v>0</v>
      </c>
      <c r="BN157" s="60">
        <f>ROUND(BM157*BL157*Input!$C$3/365,0)</f>
        <v>0</v>
      </c>
      <c r="BO157" s="61">
        <f>IF($A157&lt;=Input!$C$6,0,IF('Unique Tenure'!BK157&lt;'Unique Tenure'!BM157,'Unique Tenure'!BK157-BN157,'Unique Tenure'!BM157))</f>
        <v>0</v>
      </c>
      <c r="BP157" s="61">
        <f t="shared" si="91"/>
        <v>0</v>
      </c>
      <c r="BQ157" s="60">
        <f t="shared" si="92"/>
        <v>0</v>
      </c>
      <c r="BR157" s="198"/>
    </row>
    <row r="158" spans="1:70" s="51" customFormat="1" x14ac:dyDescent="0.25">
      <c r="A158" s="169">
        <v>154</v>
      </c>
      <c r="B158" s="1">
        <f t="shared" si="93"/>
        <v>50206</v>
      </c>
      <c r="C158" s="60">
        <f>SUM(
   IF(($A$4:$A$184 &lt;= Input!$D$16), M158, 0),
   IF(($A$4:$A$184 &lt;= Input!$E$16), Y158, 0),
   IF(($A$4:$A$184 &lt;= Input!$F$16), AK158, 0),
   IF(($A$4:$A$184 &lt;= Input!$G$16), AW158, 0),
   IF(($A$4:$A$184 &lt;= Input!$H$16), BI158, 0)
)</f>
        <v>33127052.878124986</v>
      </c>
      <c r="D158" s="60">
        <f>SUM(
   IF(($A$4:$A$184 &lt;= Input!$D$16), O158, 0),
   IF(($A$4:$A$184 &lt;= Input!$E$16), AA158, 0),
   IF(($A$4:$A$184 &lt;= Input!$F$16), AM158, 0),
   IF(($A$4:$A$184 &lt;= Input!$G$16), AY158, 0),
   IF(($A$4:$A$184 &lt;= Input!$H$16), BK158, 0)
)</f>
        <v>29814347.590312488</v>
      </c>
      <c r="E158" s="60">
        <f t="shared" si="94"/>
        <v>31</v>
      </c>
      <c r="F158" s="60">
        <f t="shared" si="95"/>
        <v>0</v>
      </c>
      <c r="G158" s="60">
        <f>ROUND(F158*E158*Input!$C$3/365,0)</f>
        <v>0</v>
      </c>
      <c r="H158" s="60">
        <f>IF($A158&lt;=Input!$C$6,0,IF('Unique Tenure'!D158&lt;'Unique Tenure'!F158,'Unique Tenure'!D158-G158,'Unique Tenure'!F158))</f>
        <v>0</v>
      </c>
      <c r="I158" s="60">
        <f t="shared" si="96"/>
        <v>0</v>
      </c>
      <c r="J158" s="60">
        <f t="shared" si="97"/>
        <v>0</v>
      </c>
      <c r="K158" s="202">
        <f>J158/Input!$K$5</f>
        <v>0</v>
      </c>
      <c r="L158" s="232"/>
      <c r="M158" s="60">
        <f>IF($B158&lt;Input!$H$43,IF($B158&lt;Input!$G$43,IF($B158&lt;Input!$F$43,IF($B158&lt;Input!$E$43,IF($B158&lt;Input!$D$43,Input!$C$49,Input!$D$49),Input!$E$49),Input!$F$49),Input!$G$49),Input!$H$49)</f>
        <v>33127052.878124986</v>
      </c>
      <c r="N158" s="190">
        <f>IF($A158&lt;Input!$H$50,IF($A158&lt;Input!$G$50,IF($A158&lt;Input!$F$50,IF($A158&lt;Input!$E$50,IF($A158&lt;Input!$D$50,Input!$C$51,Input!$D$51),Input!$E$51),Input!$F$51),Input!$G$51),Input!$H$51)</f>
        <v>0.9</v>
      </c>
      <c r="O158" s="60">
        <f t="shared" si="72"/>
        <v>29814347.590312488</v>
      </c>
      <c r="P158" s="60">
        <f t="shared" si="73"/>
        <v>31</v>
      </c>
      <c r="Q158" s="60">
        <f t="shared" si="74"/>
        <v>0</v>
      </c>
      <c r="R158" s="60">
        <f>ROUND(Q158*$P158*Input!$C$3/365,0)</f>
        <v>0</v>
      </c>
      <c r="S158" s="60">
        <f>IF(A158&lt;=Input!$C$6,0,IF('Unique Tenure'!O158&lt;'Unique Tenure'!Q158,'Unique Tenure'!O158-R158,'Unique Tenure'!Q158))</f>
        <v>0</v>
      </c>
      <c r="T158" s="60">
        <f t="shared" si="75"/>
        <v>0</v>
      </c>
      <c r="U158" s="60">
        <f t="shared" si="76"/>
        <v>0</v>
      </c>
      <c r="V158" s="193"/>
      <c r="W158" s="169">
        <v>154</v>
      </c>
      <c r="X158" s="1">
        <f t="shared" si="98"/>
        <v>50206</v>
      </c>
      <c r="Y158" s="60">
        <f>IF($X158&lt;Input!$H$58,IF($X158&lt;Input!$G$58,IF($X158&lt;Input!$F$58,IF($X158&lt;Input!$E$58,IF($X158&lt;Input!$D$58,Input!$C$64,Input!$D$64),Input!$E$64),Input!$F$64),Input!$G$64),Input!$H$64)</f>
        <v>0</v>
      </c>
      <c r="Z158" s="190">
        <f>IF($A158&lt;Input!$H$65,IF($A158&lt;Input!$G$65,IF($A158&lt;Input!$F$65,IF($A158&lt;Input!$E$65,IF($A158&lt;Input!$D$65,Input!$C$66,Input!$D$66),Input!$E$66),Input!$F$66),Input!$G$66),Input!$H$66)</f>
        <v>0.9</v>
      </c>
      <c r="AA158" s="60">
        <f t="shared" si="77"/>
        <v>0</v>
      </c>
      <c r="AB158" s="60">
        <f t="shared" si="99"/>
        <v>31</v>
      </c>
      <c r="AC158" s="60">
        <f t="shared" si="78"/>
        <v>0</v>
      </c>
      <c r="AD158" s="60">
        <f>ROUND(AC158*AB158*Input!$C$3/365,0)</f>
        <v>0</v>
      </c>
      <c r="AE158" s="61">
        <f>IF($A158&lt;=Input!$C$6,0,IF('Unique Tenure'!AA158&lt;'Unique Tenure'!AC158,'Unique Tenure'!AA158-AD158,'Unique Tenure'!AC158))</f>
        <v>0</v>
      </c>
      <c r="AF158" s="61">
        <f t="shared" si="79"/>
        <v>0</v>
      </c>
      <c r="AG158" s="60">
        <f t="shared" si="80"/>
        <v>0</v>
      </c>
      <c r="AH158" s="193"/>
      <c r="AI158" s="169">
        <v>154</v>
      </c>
      <c r="AJ158" s="1">
        <f t="shared" si="100"/>
        <v>50206</v>
      </c>
      <c r="AK158" s="60">
        <f>IF($X158&lt;Input!$H$73,IF($X158&lt;Input!$G$73,IF($X158&lt;Input!$F$73,IF($X158&lt;Input!$E$73,IF($X158&lt;Input!$D$73,Input!$C$79,Input!$D$79),Input!$E$79),Input!$F$79),Input!$G$79),Input!$H$79)</f>
        <v>0</v>
      </c>
      <c r="AL158" s="190">
        <f>IF($A158&lt;Input!$H$80,IF($A158&lt;Input!$G$80,IF($A158&lt;Input!$F$80,IF($A158&lt;Input!$E$80,IF($A158&lt;Input!$D$80,Input!$C$81,Input!$D$81),Input!$E$81),Input!$F$81),Input!$G$81),Input!$H$81)</f>
        <v>0.9</v>
      </c>
      <c r="AM158" s="60">
        <f t="shared" si="81"/>
        <v>0</v>
      </c>
      <c r="AN158" s="60">
        <f t="shared" si="101"/>
        <v>31</v>
      </c>
      <c r="AO158" s="60">
        <f t="shared" si="82"/>
        <v>0</v>
      </c>
      <c r="AP158" s="60">
        <f>ROUND(AO158*AN158*Input!$C$3/365,0)</f>
        <v>0</v>
      </c>
      <c r="AQ158" s="61">
        <f>IF($A158&lt;=Input!$C$6,0,IF('Unique Tenure'!AM158&lt;'Unique Tenure'!AO158,'Unique Tenure'!AM158-AP158,'Unique Tenure'!AO158))</f>
        <v>0</v>
      </c>
      <c r="AR158" s="61">
        <f t="shared" si="83"/>
        <v>0</v>
      </c>
      <c r="AS158" s="60">
        <f t="shared" si="84"/>
        <v>0</v>
      </c>
      <c r="AT158" s="193"/>
      <c r="AU158" s="169">
        <v>154</v>
      </c>
      <c r="AV158" s="1">
        <f t="shared" si="102"/>
        <v>50206</v>
      </c>
      <c r="AW158" s="60">
        <f>IF($X158&lt;Input!$H$88,IF($X158&lt;Input!$G$88,IF($X158&lt;Input!$F$88,IF($X158&lt;Input!$E$88,IF($X158&lt;Input!$D$88,Input!$C$94,Input!$D$94),Input!$E$94),Input!$F$94),Input!$G$94),Input!$H$94)</f>
        <v>0</v>
      </c>
      <c r="AX158" s="190">
        <f>IF($A158&lt;Input!$H$95,IF($A158&lt;Input!$G$95,IF($A158&lt;Input!$F$95,IF($A158&lt;Input!$E$95,IF($A158&lt;Input!$D$95,Input!$C$96,Input!$D$96),Input!$E$96),Input!$F$96),Input!$G$96),Input!$H$96)</f>
        <v>0.9</v>
      </c>
      <c r="AY158" s="60">
        <f t="shared" si="85"/>
        <v>0</v>
      </c>
      <c r="AZ158" s="60">
        <f t="shared" si="103"/>
        <v>31</v>
      </c>
      <c r="BA158" s="60">
        <f t="shared" si="86"/>
        <v>0</v>
      </c>
      <c r="BB158" s="60">
        <f>ROUND(BA158*AZ158*Input!$C$3/365,0)</f>
        <v>0</v>
      </c>
      <c r="BC158" s="61">
        <f>IF($A158&lt;=Input!$C$6,0,IF('Unique Tenure'!AY158&lt;'Unique Tenure'!BA158,'Unique Tenure'!AY158-BB158,'Unique Tenure'!BA158))</f>
        <v>0</v>
      </c>
      <c r="BD158" s="61">
        <f t="shared" si="87"/>
        <v>0</v>
      </c>
      <c r="BE158" s="60">
        <f t="shared" si="88"/>
        <v>0</v>
      </c>
      <c r="BF158" s="193"/>
      <c r="BG158" s="169">
        <v>154</v>
      </c>
      <c r="BH158" s="1">
        <f t="shared" si="104"/>
        <v>50206</v>
      </c>
      <c r="BI158" s="60">
        <f>IF($X158&lt;Input!$H$103,IF($X158&lt;Input!$G$103,IF($X158&lt;Input!$F$103,IF($X158&lt;Input!$E$103,IF($X158&lt;Input!$D$103,Input!$C$109,Input!$D$109),Input!$E$109),Input!$F$109),Input!$G$109),Input!$H$109)</f>
        <v>0</v>
      </c>
      <c r="BJ158" s="190">
        <f>IF($A158&lt;Input!$H$110,IF($A158&lt;Input!$G$110,IF($A158&lt;Input!$F$110,IF($A158&lt;Input!$E$110,IF($A158&lt;Input!$D$110,Input!$C$111,Input!$D$111),Input!$E$111),Input!$F$111),Input!$G$111),Input!$H$111)</f>
        <v>0.9</v>
      </c>
      <c r="BK158" s="60">
        <f t="shared" si="89"/>
        <v>0</v>
      </c>
      <c r="BL158" s="60">
        <f t="shared" si="105"/>
        <v>31</v>
      </c>
      <c r="BM158" s="60">
        <f t="shared" si="90"/>
        <v>0</v>
      </c>
      <c r="BN158" s="60">
        <f>ROUND(BM158*BL158*Input!$C$3/365,0)</f>
        <v>0</v>
      </c>
      <c r="BO158" s="61">
        <f>IF($A158&lt;=Input!$C$6,0,IF('Unique Tenure'!BK158&lt;'Unique Tenure'!BM158,'Unique Tenure'!BK158-BN158,'Unique Tenure'!BM158))</f>
        <v>0</v>
      </c>
      <c r="BP158" s="61">
        <f t="shared" si="91"/>
        <v>0</v>
      </c>
      <c r="BQ158" s="60">
        <f t="shared" si="92"/>
        <v>0</v>
      </c>
      <c r="BR158" s="198"/>
    </row>
    <row r="159" spans="1:70" s="51" customFormat="1" x14ac:dyDescent="0.25">
      <c r="A159" s="169">
        <v>155</v>
      </c>
      <c r="B159" s="1">
        <f t="shared" si="93"/>
        <v>50236</v>
      </c>
      <c r="C159" s="60">
        <f>SUM(
   IF(($A$4:$A$184 &lt;= Input!$D$16), M159, 0),
   IF(($A$4:$A$184 &lt;= Input!$E$16), Y159, 0),
   IF(($A$4:$A$184 &lt;= Input!$F$16), AK159, 0),
   IF(($A$4:$A$184 &lt;= Input!$G$16), AW159, 0),
   IF(($A$4:$A$184 &lt;= Input!$H$16), BI159, 0)
)</f>
        <v>33127052.878124986</v>
      </c>
      <c r="D159" s="60">
        <f>SUM(
   IF(($A$4:$A$184 &lt;= Input!$D$16), O159, 0),
   IF(($A$4:$A$184 &lt;= Input!$E$16), AA159, 0),
   IF(($A$4:$A$184 &lt;= Input!$F$16), AM159, 0),
   IF(($A$4:$A$184 &lt;= Input!$G$16), AY159, 0),
   IF(($A$4:$A$184 &lt;= Input!$H$16), BK159, 0)
)</f>
        <v>29814347.590312488</v>
      </c>
      <c r="E159" s="60">
        <f t="shared" si="94"/>
        <v>30</v>
      </c>
      <c r="F159" s="60">
        <f t="shared" si="95"/>
        <v>0</v>
      </c>
      <c r="G159" s="60">
        <f>ROUND(F159*E159*Input!$C$3/365,0)</f>
        <v>0</v>
      </c>
      <c r="H159" s="60">
        <f>IF($A159&lt;=Input!$C$6,0,IF('Unique Tenure'!D159&lt;'Unique Tenure'!F159,'Unique Tenure'!D159-G159,'Unique Tenure'!F159))</f>
        <v>0</v>
      </c>
      <c r="I159" s="60">
        <f t="shared" si="96"/>
        <v>0</v>
      </c>
      <c r="J159" s="60">
        <f t="shared" si="97"/>
        <v>0</v>
      </c>
      <c r="K159" s="202">
        <f>J159/Input!$K$5</f>
        <v>0</v>
      </c>
      <c r="L159" s="232"/>
      <c r="M159" s="60">
        <f>IF($B159&lt;Input!$H$43,IF($B159&lt;Input!$G$43,IF($B159&lt;Input!$F$43,IF($B159&lt;Input!$E$43,IF($B159&lt;Input!$D$43,Input!$C$49,Input!$D$49),Input!$E$49),Input!$F$49),Input!$G$49),Input!$H$49)</f>
        <v>33127052.878124986</v>
      </c>
      <c r="N159" s="190">
        <f>IF($A159&lt;Input!$H$50,IF($A159&lt;Input!$G$50,IF($A159&lt;Input!$F$50,IF($A159&lt;Input!$E$50,IF($A159&lt;Input!$D$50,Input!$C$51,Input!$D$51),Input!$E$51),Input!$F$51),Input!$G$51),Input!$H$51)</f>
        <v>0.9</v>
      </c>
      <c r="O159" s="60">
        <f t="shared" si="72"/>
        <v>29814347.590312488</v>
      </c>
      <c r="P159" s="60">
        <f t="shared" si="73"/>
        <v>30</v>
      </c>
      <c r="Q159" s="60">
        <f t="shared" si="74"/>
        <v>0</v>
      </c>
      <c r="R159" s="60">
        <f>ROUND(Q159*$P159*Input!$C$3/365,0)</f>
        <v>0</v>
      </c>
      <c r="S159" s="60">
        <f>IF(A159&lt;=Input!$C$6,0,IF('Unique Tenure'!O159&lt;'Unique Tenure'!Q159,'Unique Tenure'!O159-R159,'Unique Tenure'!Q159))</f>
        <v>0</v>
      </c>
      <c r="T159" s="60">
        <f t="shared" si="75"/>
        <v>0</v>
      </c>
      <c r="U159" s="60">
        <f t="shared" si="76"/>
        <v>0</v>
      </c>
      <c r="V159" s="193"/>
      <c r="W159" s="169">
        <v>155</v>
      </c>
      <c r="X159" s="1">
        <f t="shared" si="98"/>
        <v>50236</v>
      </c>
      <c r="Y159" s="60">
        <f>IF($X159&lt;Input!$H$58,IF($X159&lt;Input!$G$58,IF($X159&lt;Input!$F$58,IF($X159&lt;Input!$E$58,IF($X159&lt;Input!$D$58,Input!$C$64,Input!$D$64),Input!$E$64),Input!$F$64),Input!$G$64),Input!$H$64)</f>
        <v>0</v>
      </c>
      <c r="Z159" s="190">
        <f>IF($A159&lt;Input!$H$65,IF($A159&lt;Input!$G$65,IF($A159&lt;Input!$F$65,IF($A159&lt;Input!$E$65,IF($A159&lt;Input!$D$65,Input!$C$66,Input!$D$66),Input!$E$66),Input!$F$66),Input!$G$66),Input!$H$66)</f>
        <v>0.9</v>
      </c>
      <c r="AA159" s="60">
        <f t="shared" si="77"/>
        <v>0</v>
      </c>
      <c r="AB159" s="60">
        <f t="shared" si="99"/>
        <v>30</v>
      </c>
      <c r="AC159" s="60">
        <f t="shared" si="78"/>
        <v>0</v>
      </c>
      <c r="AD159" s="60">
        <f>ROUND(AC159*AB159*Input!$C$3/365,0)</f>
        <v>0</v>
      </c>
      <c r="AE159" s="61">
        <f>IF($A159&lt;=Input!$C$6,0,IF('Unique Tenure'!AA159&lt;'Unique Tenure'!AC159,'Unique Tenure'!AA159-AD159,'Unique Tenure'!AC159))</f>
        <v>0</v>
      </c>
      <c r="AF159" s="61">
        <f t="shared" si="79"/>
        <v>0</v>
      </c>
      <c r="AG159" s="60">
        <f t="shared" si="80"/>
        <v>0</v>
      </c>
      <c r="AH159" s="193"/>
      <c r="AI159" s="169">
        <v>155</v>
      </c>
      <c r="AJ159" s="1">
        <f t="shared" si="100"/>
        <v>50236</v>
      </c>
      <c r="AK159" s="60">
        <f>IF($X159&lt;Input!$H$73,IF($X159&lt;Input!$G$73,IF($X159&lt;Input!$F$73,IF($X159&lt;Input!$E$73,IF($X159&lt;Input!$D$73,Input!$C$79,Input!$D$79),Input!$E$79),Input!$F$79),Input!$G$79),Input!$H$79)</f>
        <v>0</v>
      </c>
      <c r="AL159" s="190">
        <f>IF($A159&lt;Input!$H$80,IF($A159&lt;Input!$G$80,IF($A159&lt;Input!$F$80,IF($A159&lt;Input!$E$80,IF($A159&lt;Input!$D$80,Input!$C$81,Input!$D$81),Input!$E$81),Input!$F$81),Input!$G$81),Input!$H$81)</f>
        <v>0.9</v>
      </c>
      <c r="AM159" s="60">
        <f t="shared" si="81"/>
        <v>0</v>
      </c>
      <c r="AN159" s="60">
        <f t="shared" si="101"/>
        <v>30</v>
      </c>
      <c r="AO159" s="60">
        <f t="shared" si="82"/>
        <v>0</v>
      </c>
      <c r="AP159" s="60">
        <f>ROUND(AO159*AN159*Input!$C$3/365,0)</f>
        <v>0</v>
      </c>
      <c r="AQ159" s="61">
        <f>IF($A159&lt;=Input!$C$6,0,IF('Unique Tenure'!AM159&lt;'Unique Tenure'!AO159,'Unique Tenure'!AM159-AP159,'Unique Tenure'!AO159))</f>
        <v>0</v>
      </c>
      <c r="AR159" s="61">
        <f t="shared" si="83"/>
        <v>0</v>
      </c>
      <c r="AS159" s="60">
        <f t="shared" si="84"/>
        <v>0</v>
      </c>
      <c r="AT159" s="193"/>
      <c r="AU159" s="169">
        <v>155</v>
      </c>
      <c r="AV159" s="1">
        <f t="shared" si="102"/>
        <v>50236</v>
      </c>
      <c r="AW159" s="60">
        <f>IF($X159&lt;Input!$H$88,IF($X159&lt;Input!$G$88,IF($X159&lt;Input!$F$88,IF($X159&lt;Input!$E$88,IF($X159&lt;Input!$D$88,Input!$C$94,Input!$D$94),Input!$E$94),Input!$F$94),Input!$G$94),Input!$H$94)</f>
        <v>0</v>
      </c>
      <c r="AX159" s="190">
        <f>IF($A159&lt;Input!$H$95,IF($A159&lt;Input!$G$95,IF($A159&lt;Input!$F$95,IF($A159&lt;Input!$E$95,IF($A159&lt;Input!$D$95,Input!$C$96,Input!$D$96),Input!$E$96),Input!$F$96),Input!$G$96),Input!$H$96)</f>
        <v>0.9</v>
      </c>
      <c r="AY159" s="60">
        <f t="shared" si="85"/>
        <v>0</v>
      </c>
      <c r="AZ159" s="60">
        <f t="shared" si="103"/>
        <v>30</v>
      </c>
      <c r="BA159" s="60">
        <f t="shared" si="86"/>
        <v>0</v>
      </c>
      <c r="BB159" s="60">
        <f>ROUND(BA159*AZ159*Input!$C$3/365,0)</f>
        <v>0</v>
      </c>
      <c r="BC159" s="61">
        <f>IF($A159&lt;=Input!$C$6,0,IF('Unique Tenure'!AY159&lt;'Unique Tenure'!BA159,'Unique Tenure'!AY159-BB159,'Unique Tenure'!BA159))</f>
        <v>0</v>
      </c>
      <c r="BD159" s="61">
        <f t="shared" si="87"/>
        <v>0</v>
      </c>
      <c r="BE159" s="60">
        <f t="shared" si="88"/>
        <v>0</v>
      </c>
      <c r="BF159" s="193"/>
      <c r="BG159" s="169">
        <v>155</v>
      </c>
      <c r="BH159" s="1">
        <f t="shared" si="104"/>
        <v>50236</v>
      </c>
      <c r="BI159" s="60">
        <f>IF($X159&lt;Input!$H$103,IF($X159&lt;Input!$G$103,IF($X159&lt;Input!$F$103,IF($X159&lt;Input!$E$103,IF($X159&lt;Input!$D$103,Input!$C$109,Input!$D$109),Input!$E$109),Input!$F$109),Input!$G$109),Input!$H$109)</f>
        <v>0</v>
      </c>
      <c r="BJ159" s="190">
        <f>IF($A159&lt;Input!$H$110,IF($A159&lt;Input!$G$110,IF($A159&lt;Input!$F$110,IF($A159&lt;Input!$E$110,IF($A159&lt;Input!$D$110,Input!$C$111,Input!$D$111),Input!$E$111),Input!$F$111),Input!$G$111),Input!$H$111)</f>
        <v>0.9</v>
      </c>
      <c r="BK159" s="60">
        <f t="shared" si="89"/>
        <v>0</v>
      </c>
      <c r="BL159" s="60">
        <f t="shared" si="105"/>
        <v>30</v>
      </c>
      <c r="BM159" s="60">
        <f t="shared" si="90"/>
        <v>0</v>
      </c>
      <c r="BN159" s="60">
        <f>ROUND(BM159*BL159*Input!$C$3/365,0)</f>
        <v>0</v>
      </c>
      <c r="BO159" s="61">
        <f>IF($A159&lt;=Input!$C$6,0,IF('Unique Tenure'!BK159&lt;'Unique Tenure'!BM159,'Unique Tenure'!BK159-BN159,'Unique Tenure'!BM159))</f>
        <v>0</v>
      </c>
      <c r="BP159" s="61">
        <f t="shared" si="91"/>
        <v>0</v>
      </c>
      <c r="BQ159" s="60">
        <f t="shared" si="92"/>
        <v>0</v>
      </c>
      <c r="BR159" s="198"/>
    </row>
    <row r="160" spans="1:70" s="51" customFormat="1" x14ac:dyDescent="0.25">
      <c r="A160" s="169">
        <v>156</v>
      </c>
      <c r="B160" s="1">
        <f t="shared" si="93"/>
        <v>50267</v>
      </c>
      <c r="C160" s="60">
        <f>SUM(
   IF(($A$4:$A$184 &lt;= Input!$D$16), M160, 0),
   IF(($A$4:$A$184 &lt;= Input!$E$16), Y160, 0),
   IF(($A$4:$A$184 &lt;= Input!$F$16), AK160, 0),
   IF(($A$4:$A$184 &lt;= Input!$G$16), AW160, 0),
   IF(($A$4:$A$184 &lt;= Input!$H$16), BI160, 0)
)</f>
        <v>33127052.878124986</v>
      </c>
      <c r="D160" s="60">
        <f>SUM(
   IF(($A$4:$A$184 &lt;= Input!$D$16), O160, 0),
   IF(($A$4:$A$184 &lt;= Input!$E$16), AA160, 0),
   IF(($A$4:$A$184 &lt;= Input!$F$16), AM160, 0),
   IF(($A$4:$A$184 &lt;= Input!$G$16), AY160, 0),
   IF(($A$4:$A$184 &lt;= Input!$H$16), BK160, 0)
)</f>
        <v>29814347.590312488</v>
      </c>
      <c r="E160" s="60">
        <f t="shared" si="94"/>
        <v>31</v>
      </c>
      <c r="F160" s="60">
        <f t="shared" si="95"/>
        <v>0</v>
      </c>
      <c r="G160" s="60">
        <f>ROUND(F160*E160*Input!$C$3/365,0)</f>
        <v>0</v>
      </c>
      <c r="H160" s="60">
        <f>IF($A160&lt;=Input!$C$6,0,IF('Unique Tenure'!D160&lt;'Unique Tenure'!F160,'Unique Tenure'!D160-G160,'Unique Tenure'!F160))</f>
        <v>0</v>
      </c>
      <c r="I160" s="60">
        <f t="shared" si="96"/>
        <v>0</v>
      </c>
      <c r="J160" s="60">
        <f t="shared" si="97"/>
        <v>0</v>
      </c>
      <c r="K160" s="202">
        <f>J160/Input!$K$5</f>
        <v>0</v>
      </c>
      <c r="L160" s="232"/>
      <c r="M160" s="60">
        <f>IF($B160&lt;Input!$H$43,IF($B160&lt;Input!$G$43,IF($B160&lt;Input!$F$43,IF($B160&lt;Input!$E$43,IF($B160&lt;Input!$D$43,Input!$C$49,Input!$D$49),Input!$E$49),Input!$F$49),Input!$G$49),Input!$H$49)</f>
        <v>33127052.878124986</v>
      </c>
      <c r="N160" s="190">
        <f>IF($A160&lt;Input!$H$50,IF($A160&lt;Input!$G$50,IF($A160&lt;Input!$F$50,IF($A160&lt;Input!$E$50,IF($A160&lt;Input!$D$50,Input!$C$51,Input!$D$51),Input!$E$51),Input!$F$51),Input!$G$51),Input!$H$51)</f>
        <v>0.9</v>
      </c>
      <c r="O160" s="60">
        <f t="shared" si="72"/>
        <v>29814347.590312488</v>
      </c>
      <c r="P160" s="60">
        <f t="shared" si="73"/>
        <v>31</v>
      </c>
      <c r="Q160" s="60">
        <f t="shared" si="74"/>
        <v>0</v>
      </c>
      <c r="R160" s="60">
        <f>ROUND(Q160*$P160*Input!$C$3/365,0)</f>
        <v>0</v>
      </c>
      <c r="S160" s="60">
        <f>IF(A160&lt;=Input!$C$6,0,IF('Unique Tenure'!O160&lt;'Unique Tenure'!Q160,'Unique Tenure'!O160-R160,'Unique Tenure'!Q160))</f>
        <v>0</v>
      </c>
      <c r="T160" s="60">
        <f t="shared" si="75"/>
        <v>0</v>
      </c>
      <c r="U160" s="60">
        <f t="shared" si="76"/>
        <v>0</v>
      </c>
      <c r="V160" s="193"/>
      <c r="W160" s="169">
        <v>156</v>
      </c>
      <c r="X160" s="1">
        <f t="shared" si="98"/>
        <v>50267</v>
      </c>
      <c r="Y160" s="60">
        <f>IF($X160&lt;Input!$H$58,IF($X160&lt;Input!$G$58,IF($X160&lt;Input!$F$58,IF($X160&lt;Input!$E$58,IF($X160&lt;Input!$D$58,Input!$C$64,Input!$D$64),Input!$E$64),Input!$F$64),Input!$G$64),Input!$H$64)</f>
        <v>0</v>
      </c>
      <c r="Z160" s="190">
        <f>IF($A160&lt;Input!$H$65,IF($A160&lt;Input!$G$65,IF($A160&lt;Input!$F$65,IF($A160&lt;Input!$E$65,IF($A160&lt;Input!$D$65,Input!$C$66,Input!$D$66),Input!$E$66),Input!$F$66),Input!$G$66),Input!$H$66)</f>
        <v>0.9</v>
      </c>
      <c r="AA160" s="60">
        <f t="shared" si="77"/>
        <v>0</v>
      </c>
      <c r="AB160" s="60">
        <f t="shared" si="99"/>
        <v>31</v>
      </c>
      <c r="AC160" s="60">
        <f t="shared" si="78"/>
        <v>0</v>
      </c>
      <c r="AD160" s="60">
        <f>ROUND(AC160*AB160*Input!$C$3/365,0)</f>
        <v>0</v>
      </c>
      <c r="AE160" s="61">
        <f>IF($A160&lt;=Input!$C$6,0,IF('Unique Tenure'!AA160&lt;'Unique Tenure'!AC160,'Unique Tenure'!AA160-AD160,'Unique Tenure'!AC160))</f>
        <v>0</v>
      </c>
      <c r="AF160" s="61">
        <f t="shared" si="79"/>
        <v>0</v>
      </c>
      <c r="AG160" s="60">
        <f t="shared" si="80"/>
        <v>0</v>
      </c>
      <c r="AH160" s="193"/>
      <c r="AI160" s="169">
        <v>156</v>
      </c>
      <c r="AJ160" s="1">
        <f t="shared" si="100"/>
        <v>50267</v>
      </c>
      <c r="AK160" s="60">
        <f>IF($X160&lt;Input!$H$73,IF($X160&lt;Input!$G$73,IF($X160&lt;Input!$F$73,IF($X160&lt;Input!$E$73,IF($X160&lt;Input!$D$73,Input!$C$79,Input!$D$79),Input!$E$79),Input!$F$79),Input!$G$79),Input!$H$79)</f>
        <v>0</v>
      </c>
      <c r="AL160" s="190">
        <f>IF($A160&lt;Input!$H$80,IF($A160&lt;Input!$G$80,IF($A160&lt;Input!$F$80,IF($A160&lt;Input!$E$80,IF($A160&lt;Input!$D$80,Input!$C$81,Input!$D$81),Input!$E$81),Input!$F$81),Input!$G$81),Input!$H$81)</f>
        <v>0.9</v>
      </c>
      <c r="AM160" s="60">
        <f t="shared" si="81"/>
        <v>0</v>
      </c>
      <c r="AN160" s="60">
        <f t="shared" si="101"/>
        <v>31</v>
      </c>
      <c r="AO160" s="60">
        <f t="shared" si="82"/>
        <v>0</v>
      </c>
      <c r="AP160" s="60">
        <f>ROUND(AO160*AN160*Input!$C$3/365,0)</f>
        <v>0</v>
      </c>
      <c r="AQ160" s="61">
        <f>IF($A160&lt;=Input!$C$6,0,IF('Unique Tenure'!AM160&lt;'Unique Tenure'!AO160,'Unique Tenure'!AM160-AP160,'Unique Tenure'!AO160))</f>
        <v>0</v>
      </c>
      <c r="AR160" s="61">
        <f t="shared" si="83"/>
        <v>0</v>
      </c>
      <c r="AS160" s="60">
        <f t="shared" si="84"/>
        <v>0</v>
      </c>
      <c r="AT160" s="193"/>
      <c r="AU160" s="169">
        <v>156</v>
      </c>
      <c r="AV160" s="1">
        <f t="shared" si="102"/>
        <v>50267</v>
      </c>
      <c r="AW160" s="60">
        <f>IF($X160&lt;Input!$H$88,IF($X160&lt;Input!$G$88,IF($X160&lt;Input!$F$88,IF($X160&lt;Input!$E$88,IF($X160&lt;Input!$D$88,Input!$C$94,Input!$D$94),Input!$E$94),Input!$F$94),Input!$G$94),Input!$H$94)</f>
        <v>0</v>
      </c>
      <c r="AX160" s="190">
        <f>IF($A160&lt;Input!$H$95,IF($A160&lt;Input!$G$95,IF($A160&lt;Input!$F$95,IF($A160&lt;Input!$E$95,IF($A160&lt;Input!$D$95,Input!$C$96,Input!$D$96),Input!$E$96),Input!$F$96),Input!$G$96),Input!$H$96)</f>
        <v>0.9</v>
      </c>
      <c r="AY160" s="60">
        <f t="shared" si="85"/>
        <v>0</v>
      </c>
      <c r="AZ160" s="60">
        <f t="shared" si="103"/>
        <v>31</v>
      </c>
      <c r="BA160" s="60">
        <f t="shared" si="86"/>
        <v>0</v>
      </c>
      <c r="BB160" s="60">
        <f>ROUND(BA160*AZ160*Input!$C$3/365,0)</f>
        <v>0</v>
      </c>
      <c r="BC160" s="61">
        <f>IF($A160&lt;=Input!$C$6,0,IF('Unique Tenure'!AY160&lt;'Unique Tenure'!BA160,'Unique Tenure'!AY160-BB160,'Unique Tenure'!BA160))</f>
        <v>0</v>
      </c>
      <c r="BD160" s="61">
        <f t="shared" si="87"/>
        <v>0</v>
      </c>
      <c r="BE160" s="60">
        <f t="shared" si="88"/>
        <v>0</v>
      </c>
      <c r="BF160" s="193"/>
      <c r="BG160" s="169">
        <v>156</v>
      </c>
      <c r="BH160" s="1">
        <f t="shared" si="104"/>
        <v>50267</v>
      </c>
      <c r="BI160" s="60">
        <f>IF($X160&lt;Input!$H$103,IF($X160&lt;Input!$G$103,IF($X160&lt;Input!$F$103,IF($X160&lt;Input!$E$103,IF($X160&lt;Input!$D$103,Input!$C$109,Input!$D$109),Input!$E$109),Input!$F$109),Input!$G$109),Input!$H$109)</f>
        <v>0</v>
      </c>
      <c r="BJ160" s="190">
        <f>IF($A160&lt;Input!$H$110,IF($A160&lt;Input!$G$110,IF($A160&lt;Input!$F$110,IF($A160&lt;Input!$E$110,IF($A160&lt;Input!$D$110,Input!$C$111,Input!$D$111),Input!$E$111),Input!$F$111),Input!$G$111),Input!$H$111)</f>
        <v>0.9</v>
      </c>
      <c r="BK160" s="60">
        <f t="shared" si="89"/>
        <v>0</v>
      </c>
      <c r="BL160" s="60">
        <f t="shared" si="105"/>
        <v>31</v>
      </c>
      <c r="BM160" s="60">
        <f t="shared" si="90"/>
        <v>0</v>
      </c>
      <c r="BN160" s="60">
        <f>ROUND(BM160*BL160*Input!$C$3/365,0)</f>
        <v>0</v>
      </c>
      <c r="BO160" s="61">
        <f>IF($A160&lt;=Input!$C$6,0,IF('Unique Tenure'!BK160&lt;'Unique Tenure'!BM160,'Unique Tenure'!BK160-BN160,'Unique Tenure'!BM160))</f>
        <v>0</v>
      </c>
      <c r="BP160" s="61">
        <f t="shared" si="91"/>
        <v>0</v>
      </c>
      <c r="BQ160" s="60">
        <f t="shared" si="92"/>
        <v>0</v>
      </c>
      <c r="BR160" s="198"/>
    </row>
    <row r="161" spans="1:70" s="51" customFormat="1" x14ac:dyDescent="0.25">
      <c r="A161" s="169">
        <v>157</v>
      </c>
      <c r="B161" s="1">
        <f t="shared" si="93"/>
        <v>50298</v>
      </c>
      <c r="C161" s="60">
        <f>SUM(
   IF(($A$4:$A$184 &lt;= Input!$D$16), M161, 0),
   IF(($A$4:$A$184 &lt;= Input!$E$16), Y161, 0),
   IF(($A$4:$A$184 &lt;= Input!$F$16), AK161, 0),
   IF(($A$4:$A$184 &lt;= Input!$G$16), AW161, 0),
   IF(($A$4:$A$184 &lt;= Input!$H$16), BI161, 0)
)</f>
        <v>33127052.878124986</v>
      </c>
      <c r="D161" s="60">
        <f>SUM(
   IF(($A$4:$A$184 &lt;= Input!$D$16), O161, 0),
   IF(($A$4:$A$184 &lt;= Input!$E$16), AA161, 0),
   IF(($A$4:$A$184 &lt;= Input!$F$16), AM161, 0),
   IF(($A$4:$A$184 &lt;= Input!$G$16), AY161, 0),
   IF(($A$4:$A$184 &lt;= Input!$H$16), BK161, 0)
)</f>
        <v>29814347.590312488</v>
      </c>
      <c r="E161" s="60">
        <f t="shared" si="94"/>
        <v>31</v>
      </c>
      <c r="F161" s="60">
        <f t="shared" si="95"/>
        <v>0</v>
      </c>
      <c r="G161" s="60">
        <f>ROUND(F161*E161*Input!$C$3/365,0)</f>
        <v>0</v>
      </c>
      <c r="H161" s="60">
        <f>IF($A161&lt;=Input!$C$6,0,IF('Unique Tenure'!D161&lt;'Unique Tenure'!F161,'Unique Tenure'!D161-G161,'Unique Tenure'!F161))</f>
        <v>0</v>
      </c>
      <c r="I161" s="60">
        <f t="shared" si="96"/>
        <v>0</v>
      </c>
      <c r="J161" s="60">
        <f t="shared" si="97"/>
        <v>0</v>
      </c>
      <c r="K161" s="202">
        <f>J161/Input!$K$5</f>
        <v>0</v>
      </c>
      <c r="L161" s="232"/>
      <c r="M161" s="60">
        <f>IF($B161&lt;Input!$H$43,IF($B161&lt;Input!$G$43,IF($B161&lt;Input!$F$43,IF($B161&lt;Input!$E$43,IF($B161&lt;Input!$D$43,Input!$C$49,Input!$D$49),Input!$E$49),Input!$F$49),Input!$G$49),Input!$H$49)</f>
        <v>33127052.878124986</v>
      </c>
      <c r="N161" s="190">
        <f>IF($A161&lt;Input!$H$50,IF($A161&lt;Input!$G$50,IF($A161&lt;Input!$F$50,IF($A161&lt;Input!$E$50,IF($A161&lt;Input!$D$50,Input!$C$51,Input!$D$51),Input!$E$51),Input!$F$51),Input!$G$51),Input!$H$51)</f>
        <v>0.9</v>
      </c>
      <c r="O161" s="60">
        <f t="shared" si="72"/>
        <v>29814347.590312488</v>
      </c>
      <c r="P161" s="60">
        <f t="shared" si="73"/>
        <v>31</v>
      </c>
      <c r="Q161" s="60">
        <f t="shared" si="74"/>
        <v>0</v>
      </c>
      <c r="R161" s="60">
        <f>ROUND(Q161*$P161*Input!$C$3/365,0)</f>
        <v>0</v>
      </c>
      <c r="S161" s="60">
        <f>IF(A161&lt;=Input!$C$6,0,IF('Unique Tenure'!O161&lt;'Unique Tenure'!Q161,'Unique Tenure'!O161-R161,'Unique Tenure'!Q161))</f>
        <v>0</v>
      </c>
      <c r="T161" s="60">
        <f t="shared" si="75"/>
        <v>0</v>
      </c>
      <c r="U161" s="60">
        <f t="shared" si="76"/>
        <v>0</v>
      </c>
      <c r="V161" s="193"/>
      <c r="W161" s="169">
        <v>157</v>
      </c>
      <c r="X161" s="1">
        <f t="shared" si="98"/>
        <v>50298</v>
      </c>
      <c r="Y161" s="60">
        <f>IF($X161&lt;Input!$H$58,IF($X161&lt;Input!$G$58,IF($X161&lt;Input!$F$58,IF($X161&lt;Input!$E$58,IF($X161&lt;Input!$D$58,Input!$C$64,Input!$D$64),Input!$E$64),Input!$F$64),Input!$G$64),Input!$H$64)</f>
        <v>0</v>
      </c>
      <c r="Z161" s="190">
        <f>IF($A161&lt;Input!$H$65,IF($A161&lt;Input!$G$65,IF($A161&lt;Input!$F$65,IF($A161&lt;Input!$E$65,IF($A161&lt;Input!$D$65,Input!$C$66,Input!$D$66),Input!$E$66),Input!$F$66),Input!$G$66),Input!$H$66)</f>
        <v>0.9</v>
      </c>
      <c r="AA161" s="60">
        <f t="shared" si="77"/>
        <v>0</v>
      </c>
      <c r="AB161" s="60">
        <f t="shared" si="99"/>
        <v>31</v>
      </c>
      <c r="AC161" s="60">
        <f t="shared" si="78"/>
        <v>0</v>
      </c>
      <c r="AD161" s="60">
        <f>ROUND(AC161*AB161*Input!$C$3/365,0)</f>
        <v>0</v>
      </c>
      <c r="AE161" s="61">
        <f>IF($A161&lt;=Input!$C$6,0,IF('Unique Tenure'!AA161&lt;'Unique Tenure'!AC161,'Unique Tenure'!AA161-AD161,'Unique Tenure'!AC161))</f>
        <v>0</v>
      </c>
      <c r="AF161" s="61">
        <f t="shared" si="79"/>
        <v>0</v>
      </c>
      <c r="AG161" s="60">
        <f t="shared" si="80"/>
        <v>0</v>
      </c>
      <c r="AH161" s="193"/>
      <c r="AI161" s="169">
        <v>157</v>
      </c>
      <c r="AJ161" s="1">
        <f t="shared" si="100"/>
        <v>50298</v>
      </c>
      <c r="AK161" s="60">
        <f>IF($X161&lt;Input!$H$73,IF($X161&lt;Input!$G$73,IF($X161&lt;Input!$F$73,IF($X161&lt;Input!$E$73,IF($X161&lt;Input!$D$73,Input!$C$79,Input!$D$79),Input!$E$79),Input!$F$79),Input!$G$79),Input!$H$79)</f>
        <v>0</v>
      </c>
      <c r="AL161" s="190">
        <f>IF($A161&lt;Input!$H$80,IF($A161&lt;Input!$G$80,IF($A161&lt;Input!$F$80,IF($A161&lt;Input!$E$80,IF($A161&lt;Input!$D$80,Input!$C$81,Input!$D$81),Input!$E$81),Input!$F$81),Input!$G$81),Input!$H$81)</f>
        <v>0.9</v>
      </c>
      <c r="AM161" s="60">
        <f t="shared" si="81"/>
        <v>0</v>
      </c>
      <c r="AN161" s="60">
        <f t="shared" si="101"/>
        <v>31</v>
      </c>
      <c r="AO161" s="60">
        <f t="shared" si="82"/>
        <v>0</v>
      </c>
      <c r="AP161" s="60">
        <f>ROUND(AO161*AN161*Input!$C$3/365,0)</f>
        <v>0</v>
      </c>
      <c r="AQ161" s="61">
        <f>IF($A161&lt;=Input!$C$6,0,IF('Unique Tenure'!AM161&lt;'Unique Tenure'!AO161,'Unique Tenure'!AM161-AP161,'Unique Tenure'!AO161))</f>
        <v>0</v>
      </c>
      <c r="AR161" s="61">
        <f t="shared" si="83"/>
        <v>0</v>
      </c>
      <c r="AS161" s="60">
        <f t="shared" si="84"/>
        <v>0</v>
      </c>
      <c r="AT161" s="193"/>
      <c r="AU161" s="169">
        <v>157</v>
      </c>
      <c r="AV161" s="1">
        <f t="shared" si="102"/>
        <v>50298</v>
      </c>
      <c r="AW161" s="60">
        <f>IF($X161&lt;Input!$H$88,IF($X161&lt;Input!$G$88,IF($X161&lt;Input!$F$88,IF($X161&lt;Input!$E$88,IF($X161&lt;Input!$D$88,Input!$C$94,Input!$D$94),Input!$E$94),Input!$F$94),Input!$G$94),Input!$H$94)</f>
        <v>0</v>
      </c>
      <c r="AX161" s="190">
        <f>IF($A161&lt;Input!$H$95,IF($A161&lt;Input!$G$95,IF($A161&lt;Input!$F$95,IF($A161&lt;Input!$E$95,IF($A161&lt;Input!$D$95,Input!$C$96,Input!$D$96),Input!$E$96),Input!$F$96),Input!$G$96),Input!$H$96)</f>
        <v>0.9</v>
      </c>
      <c r="AY161" s="60">
        <f t="shared" si="85"/>
        <v>0</v>
      </c>
      <c r="AZ161" s="60">
        <f t="shared" si="103"/>
        <v>31</v>
      </c>
      <c r="BA161" s="60">
        <f t="shared" si="86"/>
        <v>0</v>
      </c>
      <c r="BB161" s="60">
        <f>ROUND(BA161*AZ161*Input!$C$3/365,0)</f>
        <v>0</v>
      </c>
      <c r="BC161" s="61">
        <f>IF($A161&lt;=Input!$C$6,0,IF('Unique Tenure'!AY161&lt;'Unique Tenure'!BA161,'Unique Tenure'!AY161-BB161,'Unique Tenure'!BA161))</f>
        <v>0</v>
      </c>
      <c r="BD161" s="61">
        <f t="shared" si="87"/>
        <v>0</v>
      </c>
      <c r="BE161" s="60">
        <f t="shared" si="88"/>
        <v>0</v>
      </c>
      <c r="BF161" s="193"/>
      <c r="BG161" s="169">
        <v>157</v>
      </c>
      <c r="BH161" s="1">
        <f t="shared" si="104"/>
        <v>50298</v>
      </c>
      <c r="BI161" s="60">
        <f>IF($X161&lt;Input!$H$103,IF($X161&lt;Input!$G$103,IF($X161&lt;Input!$F$103,IF($X161&lt;Input!$E$103,IF($X161&lt;Input!$D$103,Input!$C$109,Input!$D$109),Input!$E$109),Input!$F$109),Input!$G$109),Input!$H$109)</f>
        <v>0</v>
      </c>
      <c r="BJ161" s="190">
        <f>IF($A161&lt;Input!$H$110,IF($A161&lt;Input!$G$110,IF($A161&lt;Input!$F$110,IF($A161&lt;Input!$E$110,IF($A161&lt;Input!$D$110,Input!$C$111,Input!$D$111),Input!$E$111),Input!$F$111),Input!$G$111),Input!$H$111)</f>
        <v>0.9</v>
      </c>
      <c r="BK161" s="60">
        <f t="shared" si="89"/>
        <v>0</v>
      </c>
      <c r="BL161" s="60">
        <f t="shared" si="105"/>
        <v>31</v>
      </c>
      <c r="BM161" s="60">
        <f t="shared" si="90"/>
        <v>0</v>
      </c>
      <c r="BN161" s="60">
        <f>ROUND(BM161*BL161*Input!$C$3/365,0)</f>
        <v>0</v>
      </c>
      <c r="BO161" s="61">
        <f>IF($A161&lt;=Input!$C$6,0,IF('Unique Tenure'!BK161&lt;'Unique Tenure'!BM161,'Unique Tenure'!BK161-BN161,'Unique Tenure'!BM161))</f>
        <v>0</v>
      </c>
      <c r="BP161" s="61">
        <f t="shared" si="91"/>
        <v>0</v>
      </c>
      <c r="BQ161" s="60">
        <f t="shared" si="92"/>
        <v>0</v>
      </c>
      <c r="BR161" s="198"/>
    </row>
    <row r="162" spans="1:70" s="51" customFormat="1" x14ac:dyDescent="0.25">
      <c r="A162" s="169">
        <v>158</v>
      </c>
      <c r="B162" s="1">
        <f t="shared" si="93"/>
        <v>50328</v>
      </c>
      <c r="C162" s="60">
        <f>SUM(
   IF(($A$4:$A$184 &lt;= Input!$D$16), M162, 0),
   IF(($A$4:$A$184 &lt;= Input!$E$16), Y162, 0),
   IF(($A$4:$A$184 &lt;= Input!$F$16), AK162, 0),
   IF(($A$4:$A$184 &lt;= Input!$G$16), AW162, 0),
   IF(($A$4:$A$184 &lt;= Input!$H$16), BI162, 0)
)</f>
        <v>33127052.878124986</v>
      </c>
      <c r="D162" s="60">
        <f>SUM(
   IF(($A$4:$A$184 &lt;= Input!$D$16), O162, 0),
   IF(($A$4:$A$184 &lt;= Input!$E$16), AA162, 0),
   IF(($A$4:$A$184 &lt;= Input!$F$16), AM162, 0),
   IF(($A$4:$A$184 &lt;= Input!$G$16), AY162, 0),
   IF(($A$4:$A$184 &lt;= Input!$H$16), BK162, 0)
)</f>
        <v>29814347.590312488</v>
      </c>
      <c r="E162" s="60">
        <f t="shared" si="94"/>
        <v>30</v>
      </c>
      <c r="F162" s="60">
        <f t="shared" si="95"/>
        <v>0</v>
      </c>
      <c r="G162" s="60">
        <f>ROUND(F162*E162*Input!$C$3/365,0)</f>
        <v>0</v>
      </c>
      <c r="H162" s="60">
        <f>IF($A162&lt;=Input!$C$6,0,IF('Unique Tenure'!D162&lt;'Unique Tenure'!F162,'Unique Tenure'!D162-G162,'Unique Tenure'!F162))</f>
        <v>0</v>
      </c>
      <c r="I162" s="60">
        <f t="shared" si="96"/>
        <v>0</v>
      </c>
      <c r="J162" s="60">
        <f t="shared" si="97"/>
        <v>0</v>
      </c>
      <c r="K162" s="202">
        <f>J162/Input!$K$5</f>
        <v>0</v>
      </c>
      <c r="L162" s="232"/>
      <c r="M162" s="60">
        <f>IF($B162&lt;Input!$H$43,IF($B162&lt;Input!$G$43,IF($B162&lt;Input!$F$43,IF($B162&lt;Input!$E$43,IF($B162&lt;Input!$D$43,Input!$C$49,Input!$D$49),Input!$E$49),Input!$F$49),Input!$G$49),Input!$H$49)</f>
        <v>33127052.878124986</v>
      </c>
      <c r="N162" s="190">
        <f>IF($A162&lt;Input!$H$50,IF($A162&lt;Input!$G$50,IF($A162&lt;Input!$F$50,IF($A162&lt;Input!$E$50,IF($A162&lt;Input!$D$50,Input!$C$51,Input!$D$51),Input!$E$51),Input!$F$51),Input!$G$51),Input!$H$51)</f>
        <v>0.9</v>
      </c>
      <c r="O162" s="60">
        <f t="shared" si="72"/>
        <v>29814347.590312488</v>
      </c>
      <c r="P162" s="60">
        <f t="shared" si="73"/>
        <v>30</v>
      </c>
      <c r="Q162" s="60">
        <f t="shared" si="74"/>
        <v>0</v>
      </c>
      <c r="R162" s="60">
        <f>ROUND(Q162*$P162*Input!$C$3/365,0)</f>
        <v>0</v>
      </c>
      <c r="S162" s="60">
        <f>IF(A162&lt;=Input!$C$6,0,IF('Unique Tenure'!O162&lt;'Unique Tenure'!Q162,'Unique Tenure'!O162-R162,'Unique Tenure'!Q162))</f>
        <v>0</v>
      </c>
      <c r="T162" s="60">
        <f t="shared" si="75"/>
        <v>0</v>
      </c>
      <c r="U162" s="60">
        <f t="shared" si="76"/>
        <v>0</v>
      </c>
      <c r="V162" s="193"/>
      <c r="W162" s="169">
        <v>158</v>
      </c>
      <c r="X162" s="1">
        <f t="shared" si="98"/>
        <v>50328</v>
      </c>
      <c r="Y162" s="60">
        <f>IF($X162&lt;Input!$H$58,IF($X162&lt;Input!$G$58,IF($X162&lt;Input!$F$58,IF($X162&lt;Input!$E$58,IF($X162&lt;Input!$D$58,Input!$C$64,Input!$D$64),Input!$E$64),Input!$F$64),Input!$G$64),Input!$H$64)</f>
        <v>0</v>
      </c>
      <c r="Z162" s="190">
        <f>IF($A162&lt;Input!$H$65,IF($A162&lt;Input!$G$65,IF($A162&lt;Input!$F$65,IF($A162&lt;Input!$E$65,IF($A162&lt;Input!$D$65,Input!$C$66,Input!$D$66),Input!$E$66),Input!$F$66),Input!$G$66),Input!$H$66)</f>
        <v>0.9</v>
      </c>
      <c r="AA162" s="60">
        <f t="shared" si="77"/>
        <v>0</v>
      </c>
      <c r="AB162" s="60">
        <f t="shared" si="99"/>
        <v>30</v>
      </c>
      <c r="AC162" s="60">
        <f t="shared" si="78"/>
        <v>0</v>
      </c>
      <c r="AD162" s="60">
        <f>ROUND(AC162*AB162*Input!$C$3/365,0)</f>
        <v>0</v>
      </c>
      <c r="AE162" s="61">
        <f>IF($A162&lt;=Input!$C$6,0,IF('Unique Tenure'!AA162&lt;'Unique Tenure'!AC162,'Unique Tenure'!AA162-AD162,'Unique Tenure'!AC162))</f>
        <v>0</v>
      </c>
      <c r="AF162" s="61">
        <f t="shared" si="79"/>
        <v>0</v>
      </c>
      <c r="AG162" s="60">
        <f t="shared" si="80"/>
        <v>0</v>
      </c>
      <c r="AH162" s="193"/>
      <c r="AI162" s="169">
        <v>158</v>
      </c>
      <c r="AJ162" s="1">
        <f t="shared" si="100"/>
        <v>50328</v>
      </c>
      <c r="AK162" s="60">
        <f>IF($X162&lt;Input!$H$73,IF($X162&lt;Input!$G$73,IF($X162&lt;Input!$F$73,IF($X162&lt;Input!$E$73,IF($X162&lt;Input!$D$73,Input!$C$79,Input!$D$79),Input!$E$79),Input!$F$79),Input!$G$79),Input!$H$79)</f>
        <v>0</v>
      </c>
      <c r="AL162" s="190">
        <f>IF($A162&lt;Input!$H$80,IF($A162&lt;Input!$G$80,IF($A162&lt;Input!$F$80,IF($A162&lt;Input!$E$80,IF($A162&lt;Input!$D$80,Input!$C$81,Input!$D$81),Input!$E$81),Input!$F$81),Input!$G$81),Input!$H$81)</f>
        <v>0.9</v>
      </c>
      <c r="AM162" s="60">
        <f t="shared" si="81"/>
        <v>0</v>
      </c>
      <c r="AN162" s="60">
        <f t="shared" si="101"/>
        <v>30</v>
      </c>
      <c r="AO162" s="60">
        <f t="shared" si="82"/>
        <v>0</v>
      </c>
      <c r="AP162" s="60">
        <f>ROUND(AO162*AN162*Input!$C$3/365,0)</f>
        <v>0</v>
      </c>
      <c r="AQ162" s="61">
        <f>IF($A162&lt;=Input!$C$6,0,IF('Unique Tenure'!AM162&lt;'Unique Tenure'!AO162,'Unique Tenure'!AM162-AP162,'Unique Tenure'!AO162))</f>
        <v>0</v>
      </c>
      <c r="AR162" s="61">
        <f t="shared" si="83"/>
        <v>0</v>
      </c>
      <c r="AS162" s="60">
        <f t="shared" si="84"/>
        <v>0</v>
      </c>
      <c r="AT162" s="193"/>
      <c r="AU162" s="169">
        <v>158</v>
      </c>
      <c r="AV162" s="1">
        <f t="shared" si="102"/>
        <v>50328</v>
      </c>
      <c r="AW162" s="60">
        <f>IF($X162&lt;Input!$H$88,IF($X162&lt;Input!$G$88,IF($X162&lt;Input!$F$88,IF($X162&lt;Input!$E$88,IF($X162&lt;Input!$D$88,Input!$C$94,Input!$D$94),Input!$E$94),Input!$F$94),Input!$G$94),Input!$H$94)</f>
        <v>0</v>
      </c>
      <c r="AX162" s="190">
        <f>IF($A162&lt;Input!$H$95,IF($A162&lt;Input!$G$95,IF($A162&lt;Input!$F$95,IF($A162&lt;Input!$E$95,IF($A162&lt;Input!$D$95,Input!$C$96,Input!$D$96),Input!$E$96),Input!$F$96),Input!$G$96),Input!$H$96)</f>
        <v>0.9</v>
      </c>
      <c r="AY162" s="60">
        <f t="shared" si="85"/>
        <v>0</v>
      </c>
      <c r="AZ162" s="60">
        <f t="shared" si="103"/>
        <v>30</v>
      </c>
      <c r="BA162" s="60">
        <f t="shared" si="86"/>
        <v>0</v>
      </c>
      <c r="BB162" s="60">
        <f>ROUND(BA162*AZ162*Input!$C$3/365,0)</f>
        <v>0</v>
      </c>
      <c r="BC162" s="61">
        <f>IF($A162&lt;=Input!$C$6,0,IF('Unique Tenure'!AY162&lt;'Unique Tenure'!BA162,'Unique Tenure'!AY162-BB162,'Unique Tenure'!BA162))</f>
        <v>0</v>
      </c>
      <c r="BD162" s="61">
        <f t="shared" si="87"/>
        <v>0</v>
      </c>
      <c r="BE162" s="60">
        <f t="shared" si="88"/>
        <v>0</v>
      </c>
      <c r="BF162" s="193"/>
      <c r="BG162" s="169">
        <v>158</v>
      </c>
      <c r="BH162" s="1">
        <f t="shared" si="104"/>
        <v>50328</v>
      </c>
      <c r="BI162" s="60">
        <f>IF($X162&lt;Input!$H$103,IF($X162&lt;Input!$G$103,IF($X162&lt;Input!$F$103,IF($X162&lt;Input!$E$103,IF($X162&lt;Input!$D$103,Input!$C$109,Input!$D$109),Input!$E$109),Input!$F$109),Input!$G$109),Input!$H$109)</f>
        <v>0</v>
      </c>
      <c r="BJ162" s="190">
        <f>IF($A162&lt;Input!$H$110,IF($A162&lt;Input!$G$110,IF($A162&lt;Input!$F$110,IF($A162&lt;Input!$E$110,IF($A162&lt;Input!$D$110,Input!$C$111,Input!$D$111),Input!$E$111),Input!$F$111),Input!$G$111),Input!$H$111)</f>
        <v>0.9</v>
      </c>
      <c r="BK162" s="60">
        <f t="shared" si="89"/>
        <v>0</v>
      </c>
      <c r="BL162" s="60">
        <f t="shared" si="105"/>
        <v>30</v>
      </c>
      <c r="BM162" s="60">
        <f t="shared" si="90"/>
        <v>0</v>
      </c>
      <c r="BN162" s="60">
        <f>ROUND(BM162*BL162*Input!$C$3/365,0)</f>
        <v>0</v>
      </c>
      <c r="BO162" s="61">
        <f>IF($A162&lt;=Input!$C$6,0,IF('Unique Tenure'!BK162&lt;'Unique Tenure'!BM162,'Unique Tenure'!BK162-BN162,'Unique Tenure'!BM162))</f>
        <v>0</v>
      </c>
      <c r="BP162" s="61">
        <f t="shared" si="91"/>
        <v>0</v>
      </c>
      <c r="BQ162" s="60">
        <f t="shared" si="92"/>
        <v>0</v>
      </c>
      <c r="BR162" s="198"/>
    </row>
    <row r="163" spans="1:70" s="51" customFormat="1" x14ac:dyDescent="0.25">
      <c r="A163" s="169">
        <v>159</v>
      </c>
      <c r="B163" s="1">
        <f t="shared" si="93"/>
        <v>50359</v>
      </c>
      <c r="C163" s="60">
        <f>SUM(
   IF(($A$4:$A$184 &lt;= Input!$D$16), M163, 0),
   IF(($A$4:$A$184 &lt;= Input!$E$16), Y163, 0),
   IF(($A$4:$A$184 &lt;= Input!$F$16), AK163, 0),
   IF(($A$4:$A$184 &lt;= Input!$G$16), AW163, 0),
   IF(($A$4:$A$184 &lt;= Input!$H$16), BI163, 0)
)</f>
        <v>33127052.878124986</v>
      </c>
      <c r="D163" s="60">
        <f>SUM(
   IF(($A$4:$A$184 &lt;= Input!$D$16), O163, 0),
   IF(($A$4:$A$184 &lt;= Input!$E$16), AA163, 0),
   IF(($A$4:$A$184 &lt;= Input!$F$16), AM163, 0),
   IF(($A$4:$A$184 &lt;= Input!$G$16), AY163, 0),
   IF(($A$4:$A$184 &lt;= Input!$H$16), BK163, 0)
)</f>
        <v>29814347.590312488</v>
      </c>
      <c r="E163" s="60">
        <f t="shared" si="94"/>
        <v>31</v>
      </c>
      <c r="F163" s="60">
        <f t="shared" si="95"/>
        <v>0</v>
      </c>
      <c r="G163" s="60">
        <f>ROUND(F163*E163*Input!$C$3/365,0)</f>
        <v>0</v>
      </c>
      <c r="H163" s="60">
        <f>IF($A163&lt;=Input!$C$6,0,IF('Unique Tenure'!D163&lt;'Unique Tenure'!F163,'Unique Tenure'!D163-G163,'Unique Tenure'!F163))</f>
        <v>0</v>
      </c>
      <c r="I163" s="60">
        <f t="shared" si="96"/>
        <v>0</v>
      </c>
      <c r="J163" s="60">
        <f t="shared" si="97"/>
        <v>0</v>
      </c>
      <c r="K163" s="202">
        <f>J163/Input!$K$5</f>
        <v>0</v>
      </c>
      <c r="L163" s="232"/>
      <c r="M163" s="60">
        <f>IF($B163&lt;Input!$H$43,IF($B163&lt;Input!$G$43,IF($B163&lt;Input!$F$43,IF($B163&lt;Input!$E$43,IF($B163&lt;Input!$D$43,Input!$C$49,Input!$D$49),Input!$E$49),Input!$F$49),Input!$G$49),Input!$H$49)</f>
        <v>33127052.878124986</v>
      </c>
      <c r="N163" s="190">
        <f>IF($A163&lt;Input!$H$50,IF($A163&lt;Input!$G$50,IF($A163&lt;Input!$F$50,IF($A163&lt;Input!$E$50,IF($A163&lt;Input!$D$50,Input!$C$51,Input!$D$51),Input!$E$51),Input!$F$51),Input!$G$51),Input!$H$51)</f>
        <v>0.9</v>
      </c>
      <c r="O163" s="60">
        <f t="shared" si="72"/>
        <v>29814347.590312488</v>
      </c>
      <c r="P163" s="60">
        <f t="shared" si="73"/>
        <v>31</v>
      </c>
      <c r="Q163" s="60">
        <f t="shared" si="74"/>
        <v>0</v>
      </c>
      <c r="R163" s="60">
        <f>ROUND(Q163*$P163*Input!$C$3/365,0)</f>
        <v>0</v>
      </c>
      <c r="S163" s="60">
        <f>IF(A163&lt;=Input!$C$6,0,IF('Unique Tenure'!O163&lt;'Unique Tenure'!Q163,'Unique Tenure'!O163-R163,'Unique Tenure'!Q163))</f>
        <v>0</v>
      </c>
      <c r="T163" s="60">
        <f t="shared" si="75"/>
        <v>0</v>
      </c>
      <c r="U163" s="60">
        <f t="shared" si="76"/>
        <v>0</v>
      </c>
      <c r="V163" s="193"/>
      <c r="W163" s="169">
        <v>159</v>
      </c>
      <c r="X163" s="1">
        <f t="shared" si="98"/>
        <v>50359</v>
      </c>
      <c r="Y163" s="60">
        <f>IF($X163&lt;Input!$H$58,IF($X163&lt;Input!$G$58,IF($X163&lt;Input!$F$58,IF($X163&lt;Input!$E$58,IF($X163&lt;Input!$D$58,Input!$C$64,Input!$D$64),Input!$E$64),Input!$F$64),Input!$G$64),Input!$H$64)</f>
        <v>0</v>
      </c>
      <c r="Z163" s="190">
        <f>IF($A163&lt;Input!$H$65,IF($A163&lt;Input!$G$65,IF($A163&lt;Input!$F$65,IF($A163&lt;Input!$E$65,IF($A163&lt;Input!$D$65,Input!$C$66,Input!$D$66),Input!$E$66),Input!$F$66),Input!$G$66),Input!$H$66)</f>
        <v>0.9</v>
      </c>
      <c r="AA163" s="60">
        <f t="shared" si="77"/>
        <v>0</v>
      </c>
      <c r="AB163" s="60">
        <f t="shared" si="99"/>
        <v>31</v>
      </c>
      <c r="AC163" s="60">
        <f t="shared" si="78"/>
        <v>0</v>
      </c>
      <c r="AD163" s="60">
        <f>ROUND(AC163*AB163*Input!$C$3/365,0)</f>
        <v>0</v>
      </c>
      <c r="AE163" s="61">
        <f>IF($A163&lt;=Input!$C$6,0,IF('Unique Tenure'!AA163&lt;'Unique Tenure'!AC163,'Unique Tenure'!AA163-AD163,'Unique Tenure'!AC163))</f>
        <v>0</v>
      </c>
      <c r="AF163" s="61">
        <f t="shared" si="79"/>
        <v>0</v>
      </c>
      <c r="AG163" s="60">
        <f t="shared" si="80"/>
        <v>0</v>
      </c>
      <c r="AH163" s="193"/>
      <c r="AI163" s="169">
        <v>159</v>
      </c>
      <c r="AJ163" s="1">
        <f t="shared" si="100"/>
        <v>50359</v>
      </c>
      <c r="AK163" s="60">
        <f>IF($X163&lt;Input!$H$73,IF($X163&lt;Input!$G$73,IF($X163&lt;Input!$F$73,IF($X163&lt;Input!$E$73,IF($X163&lt;Input!$D$73,Input!$C$79,Input!$D$79),Input!$E$79),Input!$F$79),Input!$G$79),Input!$H$79)</f>
        <v>0</v>
      </c>
      <c r="AL163" s="190">
        <f>IF($A163&lt;Input!$H$80,IF($A163&lt;Input!$G$80,IF($A163&lt;Input!$F$80,IF($A163&lt;Input!$E$80,IF($A163&lt;Input!$D$80,Input!$C$81,Input!$D$81),Input!$E$81),Input!$F$81),Input!$G$81),Input!$H$81)</f>
        <v>0.9</v>
      </c>
      <c r="AM163" s="60">
        <f t="shared" si="81"/>
        <v>0</v>
      </c>
      <c r="AN163" s="60">
        <f t="shared" si="101"/>
        <v>31</v>
      </c>
      <c r="AO163" s="60">
        <f t="shared" si="82"/>
        <v>0</v>
      </c>
      <c r="AP163" s="60">
        <f>ROUND(AO163*AN163*Input!$C$3/365,0)</f>
        <v>0</v>
      </c>
      <c r="AQ163" s="61">
        <f>IF($A163&lt;=Input!$C$6,0,IF('Unique Tenure'!AM163&lt;'Unique Tenure'!AO163,'Unique Tenure'!AM163-AP163,'Unique Tenure'!AO163))</f>
        <v>0</v>
      </c>
      <c r="AR163" s="61">
        <f t="shared" si="83"/>
        <v>0</v>
      </c>
      <c r="AS163" s="60">
        <f t="shared" si="84"/>
        <v>0</v>
      </c>
      <c r="AT163" s="193"/>
      <c r="AU163" s="169">
        <v>159</v>
      </c>
      <c r="AV163" s="1">
        <f t="shared" si="102"/>
        <v>50359</v>
      </c>
      <c r="AW163" s="60">
        <f>IF($X163&lt;Input!$H$88,IF($X163&lt;Input!$G$88,IF($X163&lt;Input!$F$88,IF($X163&lt;Input!$E$88,IF($X163&lt;Input!$D$88,Input!$C$94,Input!$D$94),Input!$E$94),Input!$F$94),Input!$G$94),Input!$H$94)</f>
        <v>0</v>
      </c>
      <c r="AX163" s="190">
        <f>IF($A163&lt;Input!$H$95,IF($A163&lt;Input!$G$95,IF($A163&lt;Input!$F$95,IF($A163&lt;Input!$E$95,IF($A163&lt;Input!$D$95,Input!$C$96,Input!$D$96),Input!$E$96),Input!$F$96),Input!$G$96),Input!$H$96)</f>
        <v>0.9</v>
      </c>
      <c r="AY163" s="60">
        <f t="shared" si="85"/>
        <v>0</v>
      </c>
      <c r="AZ163" s="60">
        <f t="shared" si="103"/>
        <v>31</v>
      </c>
      <c r="BA163" s="60">
        <f t="shared" si="86"/>
        <v>0</v>
      </c>
      <c r="BB163" s="60">
        <f>ROUND(BA163*AZ163*Input!$C$3/365,0)</f>
        <v>0</v>
      </c>
      <c r="BC163" s="61">
        <f>IF($A163&lt;=Input!$C$6,0,IF('Unique Tenure'!AY163&lt;'Unique Tenure'!BA163,'Unique Tenure'!AY163-BB163,'Unique Tenure'!BA163))</f>
        <v>0</v>
      </c>
      <c r="BD163" s="61">
        <f t="shared" si="87"/>
        <v>0</v>
      </c>
      <c r="BE163" s="60">
        <f t="shared" si="88"/>
        <v>0</v>
      </c>
      <c r="BF163" s="193"/>
      <c r="BG163" s="169">
        <v>159</v>
      </c>
      <c r="BH163" s="1">
        <f t="shared" si="104"/>
        <v>50359</v>
      </c>
      <c r="BI163" s="60">
        <f>IF($X163&lt;Input!$H$103,IF($X163&lt;Input!$G$103,IF($X163&lt;Input!$F$103,IF($X163&lt;Input!$E$103,IF($X163&lt;Input!$D$103,Input!$C$109,Input!$D$109),Input!$E$109),Input!$F$109),Input!$G$109),Input!$H$109)</f>
        <v>0</v>
      </c>
      <c r="BJ163" s="190">
        <f>IF($A163&lt;Input!$H$110,IF($A163&lt;Input!$G$110,IF($A163&lt;Input!$F$110,IF($A163&lt;Input!$E$110,IF($A163&lt;Input!$D$110,Input!$C$111,Input!$D$111),Input!$E$111),Input!$F$111),Input!$G$111),Input!$H$111)</f>
        <v>0.9</v>
      </c>
      <c r="BK163" s="60">
        <f t="shared" si="89"/>
        <v>0</v>
      </c>
      <c r="BL163" s="60">
        <f t="shared" si="105"/>
        <v>31</v>
      </c>
      <c r="BM163" s="60">
        <f t="shared" si="90"/>
        <v>0</v>
      </c>
      <c r="BN163" s="60">
        <f>ROUND(BM163*BL163*Input!$C$3/365,0)</f>
        <v>0</v>
      </c>
      <c r="BO163" s="61">
        <f>IF($A163&lt;=Input!$C$6,0,IF('Unique Tenure'!BK163&lt;'Unique Tenure'!BM163,'Unique Tenure'!BK163-BN163,'Unique Tenure'!BM163))</f>
        <v>0</v>
      </c>
      <c r="BP163" s="61">
        <f t="shared" si="91"/>
        <v>0</v>
      </c>
      <c r="BQ163" s="60">
        <f t="shared" si="92"/>
        <v>0</v>
      </c>
      <c r="BR163" s="198"/>
    </row>
    <row r="164" spans="1:70" s="51" customFormat="1" x14ac:dyDescent="0.25">
      <c r="A164" s="169">
        <v>160</v>
      </c>
      <c r="B164" s="1">
        <f t="shared" si="93"/>
        <v>50389</v>
      </c>
      <c r="C164" s="60">
        <f>SUM(
   IF(($A$4:$A$184 &lt;= Input!$D$16), M164, 0),
   IF(($A$4:$A$184 &lt;= Input!$E$16), Y164, 0),
   IF(($A$4:$A$184 &lt;= Input!$F$16), AK164, 0),
   IF(($A$4:$A$184 &lt;= Input!$G$16), AW164, 0),
   IF(($A$4:$A$184 &lt;= Input!$H$16), BI164, 0)
)</f>
        <v>33127052.878124986</v>
      </c>
      <c r="D164" s="60">
        <f>SUM(
   IF(($A$4:$A$184 &lt;= Input!$D$16), O164, 0),
   IF(($A$4:$A$184 &lt;= Input!$E$16), AA164, 0),
   IF(($A$4:$A$184 &lt;= Input!$F$16), AM164, 0),
   IF(($A$4:$A$184 &lt;= Input!$G$16), AY164, 0),
   IF(($A$4:$A$184 &lt;= Input!$H$16), BK164, 0)
)</f>
        <v>29814347.590312488</v>
      </c>
      <c r="E164" s="60">
        <f t="shared" si="94"/>
        <v>30</v>
      </c>
      <c r="F164" s="60">
        <f t="shared" si="95"/>
        <v>0</v>
      </c>
      <c r="G164" s="60">
        <f>ROUND(F164*E164*Input!$C$3/365,0)</f>
        <v>0</v>
      </c>
      <c r="H164" s="60">
        <f>IF($A164&lt;=Input!$C$6,0,IF('Unique Tenure'!D164&lt;'Unique Tenure'!F164,'Unique Tenure'!D164-G164,'Unique Tenure'!F164))</f>
        <v>0</v>
      </c>
      <c r="I164" s="60">
        <f t="shared" si="96"/>
        <v>0</v>
      </c>
      <c r="J164" s="60">
        <f t="shared" si="97"/>
        <v>0</v>
      </c>
      <c r="K164" s="202">
        <f>J164/Input!$K$5</f>
        <v>0</v>
      </c>
      <c r="L164" s="232"/>
      <c r="M164" s="60">
        <f>IF($B164&lt;Input!$H$43,IF($B164&lt;Input!$G$43,IF($B164&lt;Input!$F$43,IF($B164&lt;Input!$E$43,IF($B164&lt;Input!$D$43,Input!$C$49,Input!$D$49),Input!$E$49),Input!$F$49),Input!$G$49),Input!$H$49)</f>
        <v>33127052.878124986</v>
      </c>
      <c r="N164" s="190">
        <f>IF($A164&lt;Input!$H$50,IF($A164&lt;Input!$G$50,IF($A164&lt;Input!$F$50,IF($A164&lt;Input!$E$50,IF($A164&lt;Input!$D$50,Input!$C$51,Input!$D$51),Input!$E$51),Input!$F$51),Input!$G$51),Input!$H$51)</f>
        <v>0.9</v>
      </c>
      <c r="O164" s="60">
        <f t="shared" ref="O164:O184" si="106">M164*N164</f>
        <v>29814347.590312488</v>
      </c>
      <c r="P164" s="60">
        <f t="shared" si="73"/>
        <v>30</v>
      </c>
      <c r="Q164" s="60">
        <f t="shared" si="74"/>
        <v>0</v>
      </c>
      <c r="R164" s="60">
        <f>ROUND(Q164*$P164*Input!$C$3/365,0)</f>
        <v>0</v>
      </c>
      <c r="S164" s="60">
        <f>IF(A164&lt;=Input!$C$6,0,IF('Unique Tenure'!O164&lt;'Unique Tenure'!Q164,'Unique Tenure'!O164-R164,'Unique Tenure'!Q164))</f>
        <v>0</v>
      </c>
      <c r="T164" s="60">
        <f t="shared" si="75"/>
        <v>0</v>
      </c>
      <c r="U164" s="60">
        <f t="shared" si="76"/>
        <v>0</v>
      </c>
      <c r="V164" s="193"/>
      <c r="W164" s="169">
        <v>160</v>
      </c>
      <c r="X164" s="1">
        <f t="shared" si="98"/>
        <v>50389</v>
      </c>
      <c r="Y164" s="60">
        <f>IF($X164&lt;Input!$H$58,IF($X164&lt;Input!$G$58,IF($X164&lt;Input!$F$58,IF($X164&lt;Input!$E$58,IF($X164&lt;Input!$D$58,Input!$C$64,Input!$D$64),Input!$E$64),Input!$F$64),Input!$G$64),Input!$H$64)</f>
        <v>0</v>
      </c>
      <c r="Z164" s="190">
        <f>IF($A164&lt;Input!$H$65,IF($A164&lt;Input!$G$65,IF($A164&lt;Input!$F$65,IF($A164&lt;Input!$E$65,IF($A164&lt;Input!$D$65,Input!$C$66,Input!$D$66),Input!$E$66),Input!$F$66),Input!$G$66),Input!$H$66)</f>
        <v>0.9</v>
      </c>
      <c r="AA164" s="60">
        <f t="shared" si="77"/>
        <v>0</v>
      </c>
      <c r="AB164" s="60">
        <f t="shared" si="99"/>
        <v>30</v>
      </c>
      <c r="AC164" s="60">
        <f t="shared" si="78"/>
        <v>0</v>
      </c>
      <c r="AD164" s="60">
        <f>ROUND(AC164*AB164*Input!$C$3/365,0)</f>
        <v>0</v>
      </c>
      <c r="AE164" s="61">
        <f>IF($A164&lt;=Input!$C$6,0,IF('Unique Tenure'!AA164&lt;'Unique Tenure'!AC164,'Unique Tenure'!AA164-AD164,'Unique Tenure'!AC164))</f>
        <v>0</v>
      </c>
      <c r="AF164" s="61">
        <f t="shared" si="79"/>
        <v>0</v>
      </c>
      <c r="AG164" s="60">
        <f t="shared" si="80"/>
        <v>0</v>
      </c>
      <c r="AH164" s="193"/>
      <c r="AI164" s="169">
        <v>160</v>
      </c>
      <c r="AJ164" s="1">
        <f t="shared" si="100"/>
        <v>50389</v>
      </c>
      <c r="AK164" s="60">
        <f>IF($X164&lt;Input!$H$73,IF($X164&lt;Input!$G$73,IF($X164&lt;Input!$F$73,IF($X164&lt;Input!$E$73,IF($X164&lt;Input!$D$73,Input!$C$79,Input!$D$79),Input!$E$79),Input!$F$79),Input!$G$79),Input!$H$79)</f>
        <v>0</v>
      </c>
      <c r="AL164" s="190">
        <f>IF($A164&lt;Input!$H$80,IF($A164&lt;Input!$G$80,IF($A164&lt;Input!$F$80,IF($A164&lt;Input!$E$80,IF($A164&lt;Input!$D$80,Input!$C$81,Input!$D$81),Input!$E$81),Input!$F$81),Input!$G$81),Input!$H$81)</f>
        <v>0.9</v>
      </c>
      <c r="AM164" s="60">
        <f t="shared" si="81"/>
        <v>0</v>
      </c>
      <c r="AN164" s="60">
        <f t="shared" si="101"/>
        <v>30</v>
      </c>
      <c r="AO164" s="60">
        <f t="shared" si="82"/>
        <v>0</v>
      </c>
      <c r="AP164" s="60">
        <f>ROUND(AO164*AN164*Input!$C$3/365,0)</f>
        <v>0</v>
      </c>
      <c r="AQ164" s="61">
        <f>IF($A164&lt;=Input!$C$6,0,IF('Unique Tenure'!AM164&lt;'Unique Tenure'!AO164,'Unique Tenure'!AM164-AP164,'Unique Tenure'!AO164))</f>
        <v>0</v>
      </c>
      <c r="AR164" s="61">
        <f t="shared" si="83"/>
        <v>0</v>
      </c>
      <c r="AS164" s="60">
        <f t="shared" si="84"/>
        <v>0</v>
      </c>
      <c r="AT164" s="193"/>
      <c r="AU164" s="169">
        <v>160</v>
      </c>
      <c r="AV164" s="1">
        <f t="shared" si="102"/>
        <v>50389</v>
      </c>
      <c r="AW164" s="60">
        <f>IF($X164&lt;Input!$H$88,IF($X164&lt;Input!$G$88,IF($X164&lt;Input!$F$88,IF($X164&lt;Input!$E$88,IF($X164&lt;Input!$D$88,Input!$C$94,Input!$D$94),Input!$E$94),Input!$F$94),Input!$G$94),Input!$H$94)</f>
        <v>0</v>
      </c>
      <c r="AX164" s="190">
        <f>IF($A164&lt;Input!$H$95,IF($A164&lt;Input!$G$95,IF($A164&lt;Input!$F$95,IF($A164&lt;Input!$E$95,IF($A164&lt;Input!$D$95,Input!$C$96,Input!$D$96),Input!$E$96),Input!$F$96),Input!$G$96),Input!$H$96)</f>
        <v>0.9</v>
      </c>
      <c r="AY164" s="60">
        <f t="shared" si="85"/>
        <v>0</v>
      </c>
      <c r="AZ164" s="60">
        <f t="shared" si="103"/>
        <v>30</v>
      </c>
      <c r="BA164" s="60">
        <f t="shared" si="86"/>
        <v>0</v>
      </c>
      <c r="BB164" s="60">
        <f>ROUND(BA164*AZ164*Input!$C$3/365,0)</f>
        <v>0</v>
      </c>
      <c r="BC164" s="61">
        <f>IF($A164&lt;=Input!$C$6,0,IF('Unique Tenure'!AY164&lt;'Unique Tenure'!BA164,'Unique Tenure'!AY164-BB164,'Unique Tenure'!BA164))</f>
        <v>0</v>
      </c>
      <c r="BD164" s="61">
        <f t="shared" si="87"/>
        <v>0</v>
      </c>
      <c r="BE164" s="60">
        <f t="shared" si="88"/>
        <v>0</v>
      </c>
      <c r="BF164" s="193"/>
      <c r="BG164" s="169">
        <v>160</v>
      </c>
      <c r="BH164" s="1">
        <f t="shared" si="104"/>
        <v>50389</v>
      </c>
      <c r="BI164" s="60">
        <f>IF($X164&lt;Input!$H$103,IF($X164&lt;Input!$G$103,IF($X164&lt;Input!$F$103,IF($X164&lt;Input!$E$103,IF($X164&lt;Input!$D$103,Input!$C$109,Input!$D$109),Input!$E$109),Input!$F$109),Input!$G$109),Input!$H$109)</f>
        <v>0</v>
      </c>
      <c r="BJ164" s="190">
        <f>IF($A164&lt;Input!$H$110,IF($A164&lt;Input!$G$110,IF($A164&lt;Input!$F$110,IF($A164&lt;Input!$E$110,IF($A164&lt;Input!$D$110,Input!$C$111,Input!$D$111),Input!$E$111),Input!$F$111),Input!$G$111),Input!$H$111)</f>
        <v>0.9</v>
      </c>
      <c r="BK164" s="60">
        <f t="shared" si="89"/>
        <v>0</v>
      </c>
      <c r="BL164" s="60">
        <f t="shared" si="105"/>
        <v>30</v>
      </c>
      <c r="BM164" s="60">
        <f t="shared" si="90"/>
        <v>0</v>
      </c>
      <c r="BN164" s="60">
        <f>ROUND(BM164*BL164*Input!$C$3/365,0)</f>
        <v>0</v>
      </c>
      <c r="BO164" s="61">
        <f>IF($A164&lt;=Input!$C$6,0,IF('Unique Tenure'!BK164&lt;'Unique Tenure'!BM164,'Unique Tenure'!BK164-BN164,'Unique Tenure'!BM164))</f>
        <v>0</v>
      </c>
      <c r="BP164" s="61">
        <f t="shared" si="91"/>
        <v>0</v>
      </c>
      <c r="BQ164" s="60">
        <f t="shared" si="92"/>
        <v>0</v>
      </c>
      <c r="BR164" s="198"/>
    </row>
    <row r="165" spans="1:70" s="51" customFormat="1" x14ac:dyDescent="0.25">
      <c r="A165" s="169">
        <v>161</v>
      </c>
      <c r="B165" s="1">
        <f t="shared" si="93"/>
        <v>50420</v>
      </c>
      <c r="C165" s="60">
        <f>SUM(
   IF(($A$4:$A$184 &lt;= Input!$D$16), M165, 0),
   IF(($A$4:$A$184 &lt;= Input!$E$16), Y165, 0),
   IF(($A$4:$A$184 &lt;= Input!$F$16), AK165, 0),
   IF(($A$4:$A$184 &lt;= Input!$G$16), AW165, 0),
   IF(($A$4:$A$184 &lt;= Input!$H$16), BI165, 0)
)</f>
        <v>33127052.878124986</v>
      </c>
      <c r="D165" s="60">
        <f>SUM(
   IF(($A$4:$A$184 &lt;= Input!$D$16), O165, 0),
   IF(($A$4:$A$184 &lt;= Input!$E$16), AA165, 0),
   IF(($A$4:$A$184 &lt;= Input!$F$16), AM165, 0),
   IF(($A$4:$A$184 &lt;= Input!$G$16), AY165, 0),
   IF(($A$4:$A$184 &lt;= Input!$H$16), BK165, 0)
)</f>
        <v>29814347.590312488</v>
      </c>
      <c r="E165" s="60">
        <f t="shared" si="94"/>
        <v>31</v>
      </c>
      <c r="F165" s="60">
        <f t="shared" si="95"/>
        <v>0</v>
      </c>
      <c r="G165" s="60">
        <f>ROUND(F165*E165*Input!$C$3/365,0)</f>
        <v>0</v>
      </c>
      <c r="H165" s="60">
        <f>IF($A165&lt;=Input!$C$6,0,IF('Unique Tenure'!D165&lt;'Unique Tenure'!F165,'Unique Tenure'!D165-G165,'Unique Tenure'!F165))</f>
        <v>0</v>
      </c>
      <c r="I165" s="60">
        <f t="shared" si="96"/>
        <v>0</v>
      </c>
      <c r="J165" s="60">
        <f t="shared" si="97"/>
        <v>0</v>
      </c>
      <c r="K165" s="202">
        <f>J165/Input!$K$5</f>
        <v>0</v>
      </c>
      <c r="L165" s="232"/>
      <c r="M165" s="60">
        <f>IF($B165&lt;Input!$H$43,IF($B165&lt;Input!$G$43,IF($B165&lt;Input!$F$43,IF($B165&lt;Input!$E$43,IF($B165&lt;Input!$D$43,Input!$C$49,Input!$D$49),Input!$E$49),Input!$F$49),Input!$G$49),Input!$H$49)</f>
        <v>33127052.878124986</v>
      </c>
      <c r="N165" s="190">
        <f>IF($A165&lt;Input!$H$50,IF($A165&lt;Input!$G$50,IF($A165&lt;Input!$F$50,IF($A165&lt;Input!$E$50,IF($A165&lt;Input!$D$50,Input!$C$51,Input!$D$51),Input!$E$51),Input!$F$51),Input!$G$51),Input!$H$51)</f>
        <v>0.9</v>
      </c>
      <c r="O165" s="60">
        <f t="shared" si="106"/>
        <v>29814347.590312488</v>
      </c>
      <c r="P165" s="60">
        <f t="shared" ref="P165:P184" si="107">B165-B164</f>
        <v>31</v>
      </c>
      <c r="Q165" s="60">
        <f t="shared" si="74"/>
        <v>0</v>
      </c>
      <c r="R165" s="60">
        <f>ROUND(Q165*$P165*Input!$C$3/365,0)</f>
        <v>0</v>
      </c>
      <c r="S165" s="60">
        <f>IF(A165&lt;=Input!$C$6,0,IF('Unique Tenure'!O165&lt;'Unique Tenure'!Q165,'Unique Tenure'!O165-R165,'Unique Tenure'!Q165))</f>
        <v>0</v>
      </c>
      <c r="T165" s="60">
        <f t="shared" si="75"/>
        <v>0</v>
      </c>
      <c r="U165" s="60">
        <f t="shared" si="76"/>
        <v>0</v>
      </c>
      <c r="V165" s="193"/>
      <c r="W165" s="169">
        <v>161</v>
      </c>
      <c r="X165" s="1">
        <f t="shared" si="98"/>
        <v>50420</v>
      </c>
      <c r="Y165" s="60">
        <f>IF($X165&lt;Input!$H$58,IF($X165&lt;Input!$G$58,IF($X165&lt;Input!$F$58,IF($X165&lt;Input!$E$58,IF($X165&lt;Input!$D$58,Input!$C$64,Input!$D$64),Input!$E$64),Input!$F$64),Input!$G$64),Input!$H$64)</f>
        <v>0</v>
      </c>
      <c r="Z165" s="190">
        <f>IF($A165&lt;Input!$H$65,IF($A165&lt;Input!$G$65,IF($A165&lt;Input!$F$65,IF($A165&lt;Input!$E$65,IF($A165&lt;Input!$D$65,Input!$C$66,Input!$D$66),Input!$E$66),Input!$F$66),Input!$G$66),Input!$H$66)</f>
        <v>0.9</v>
      </c>
      <c r="AA165" s="60">
        <f t="shared" si="77"/>
        <v>0</v>
      </c>
      <c r="AB165" s="60">
        <f t="shared" si="99"/>
        <v>31</v>
      </c>
      <c r="AC165" s="60">
        <f t="shared" si="78"/>
        <v>0</v>
      </c>
      <c r="AD165" s="60">
        <f>ROUND(AC165*AB165*Input!$C$3/365,0)</f>
        <v>0</v>
      </c>
      <c r="AE165" s="61">
        <f>IF($A165&lt;=Input!$C$6,0,IF('Unique Tenure'!AA165&lt;'Unique Tenure'!AC165,'Unique Tenure'!AA165-AD165,'Unique Tenure'!AC165))</f>
        <v>0</v>
      </c>
      <c r="AF165" s="61">
        <f t="shared" si="79"/>
        <v>0</v>
      </c>
      <c r="AG165" s="60">
        <f t="shared" si="80"/>
        <v>0</v>
      </c>
      <c r="AH165" s="193"/>
      <c r="AI165" s="169">
        <v>161</v>
      </c>
      <c r="AJ165" s="1">
        <f t="shared" si="100"/>
        <v>50420</v>
      </c>
      <c r="AK165" s="60">
        <f>IF($X165&lt;Input!$H$73,IF($X165&lt;Input!$G$73,IF($X165&lt;Input!$F$73,IF($X165&lt;Input!$E$73,IF($X165&lt;Input!$D$73,Input!$C$79,Input!$D$79),Input!$E$79),Input!$F$79),Input!$G$79),Input!$H$79)</f>
        <v>0</v>
      </c>
      <c r="AL165" s="190">
        <f>IF($A165&lt;Input!$H$80,IF($A165&lt;Input!$G$80,IF($A165&lt;Input!$F$80,IF($A165&lt;Input!$E$80,IF($A165&lt;Input!$D$80,Input!$C$81,Input!$D$81),Input!$E$81),Input!$F$81),Input!$G$81),Input!$H$81)</f>
        <v>0.9</v>
      </c>
      <c r="AM165" s="60">
        <f t="shared" si="81"/>
        <v>0</v>
      </c>
      <c r="AN165" s="60">
        <f t="shared" si="101"/>
        <v>31</v>
      </c>
      <c r="AO165" s="60">
        <f t="shared" si="82"/>
        <v>0</v>
      </c>
      <c r="AP165" s="60">
        <f>ROUND(AO165*AN165*Input!$C$3/365,0)</f>
        <v>0</v>
      </c>
      <c r="AQ165" s="61">
        <f>IF($A165&lt;=Input!$C$6,0,IF('Unique Tenure'!AM165&lt;'Unique Tenure'!AO165,'Unique Tenure'!AM165-AP165,'Unique Tenure'!AO165))</f>
        <v>0</v>
      </c>
      <c r="AR165" s="61">
        <f t="shared" si="83"/>
        <v>0</v>
      </c>
      <c r="AS165" s="60">
        <f t="shared" si="84"/>
        <v>0</v>
      </c>
      <c r="AT165" s="193"/>
      <c r="AU165" s="169">
        <v>161</v>
      </c>
      <c r="AV165" s="1">
        <f t="shared" si="102"/>
        <v>50420</v>
      </c>
      <c r="AW165" s="60">
        <f>IF($X165&lt;Input!$H$88,IF($X165&lt;Input!$G$88,IF($X165&lt;Input!$F$88,IF($X165&lt;Input!$E$88,IF($X165&lt;Input!$D$88,Input!$C$94,Input!$D$94),Input!$E$94),Input!$F$94),Input!$G$94),Input!$H$94)</f>
        <v>0</v>
      </c>
      <c r="AX165" s="190">
        <f>IF($A165&lt;Input!$H$95,IF($A165&lt;Input!$G$95,IF($A165&lt;Input!$F$95,IF($A165&lt;Input!$E$95,IF($A165&lt;Input!$D$95,Input!$C$96,Input!$D$96),Input!$E$96),Input!$F$96),Input!$G$96),Input!$H$96)</f>
        <v>0.9</v>
      </c>
      <c r="AY165" s="60">
        <f t="shared" si="85"/>
        <v>0</v>
      </c>
      <c r="AZ165" s="60">
        <f t="shared" si="103"/>
        <v>31</v>
      </c>
      <c r="BA165" s="60">
        <f t="shared" si="86"/>
        <v>0</v>
      </c>
      <c r="BB165" s="60">
        <f>ROUND(BA165*AZ165*Input!$C$3/365,0)</f>
        <v>0</v>
      </c>
      <c r="BC165" s="61">
        <f>IF($A165&lt;=Input!$C$6,0,IF('Unique Tenure'!AY165&lt;'Unique Tenure'!BA165,'Unique Tenure'!AY165-BB165,'Unique Tenure'!BA165))</f>
        <v>0</v>
      </c>
      <c r="BD165" s="61">
        <f t="shared" si="87"/>
        <v>0</v>
      </c>
      <c r="BE165" s="60">
        <f t="shared" si="88"/>
        <v>0</v>
      </c>
      <c r="BF165" s="193"/>
      <c r="BG165" s="169">
        <v>161</v>
      </c>
      <c r="BH165" s="1">
        <f t="shared" si="104"/>
        <v>50420</v>
      </c>
      <c r="BI165" s="60">
        <f>IF($X165&lt;Input!$H$103,IF($X165&lt;Input!$G$103,IF($X165&lt;Input!$F$103,IF($X165&lt;Input!$E$103,IF($X165&lt;Input!$D$103,Input!$C$109,Input!$D$109),Input!$E$109),Input!$F$109),Input!$G$109),Input!$H$109)</f>
        <v>0</v>
      </c>
      <c r="BJ165" s="190">
        <f>IF($A165&lt;Input!$H$110,IF($A165&lt;Input!$G$110,IF($A165&lt;Input!$F$110,IF($A165&lt;Input!$E$110,IF($A165&lt;Input!$D$110,Input!$C$111,Input!$D$111),Input!$E$111),Input!$F$111),Input!$G$111),Input!$H$111)</f>
        <v>0.9</v>
      </c>
      <c r="BK165" s="60">
        <f t="shared" si="89"/>
        <v>0</v>
      </c>
      <c r="BL165" s="60">
        <f t="shared" si="105"/>
        <v>31</v>
      </c>
      <c r="BM165" s="60">
        <f t="shared" si="90"/>
        <v>0</v>
      </c>
      <c r="BN165" s="60">
        <f>ROUND(BM165*BL165*Input!$C$3/365,0)</f>
        <v>0</v>
      </c>
      <c r="BO165" s="61">
        <f>IF($A165&lt;=Input!$C$6,0,IF('Unique Tenure'!BK165&lt;'Unique Tenure'!BM165,'Unique Tenure'!BK165-BN165,'Unique Tenure'!BM165))</f>
        <v>0</v>
      </c>
      <c r="BP165" s="61">
        <f t="shared" si="91"/>
        <v>0</v>
      </c>
      <c r="BQ165" s="60">
        <f t="shared" si="92"/>
        <v>0</v>
      </c>
      <c r="BR165" s="198"/>
    </row>
    <row r="166" spans="1:70" s="51" customFormat="1" x14ac:dyDescent="0.25">
      <c r="A166" s="169">
        <v>162</v>
      </c>
      <c r="B166" s="1">
        <f t="shared" si="93"/>
        <v>50451</v>
      </c>
      <c r="C166" s="60">
        <f>SUM(
   IF(($A$4:$A$184 &lt;= Input!$D$16), M166, 0),
   IF(($A$4:$A$184 &lt;= Input!$E$16), Y166, 0),
   IF(($A$4:$A$184 &lt;= Input!$F$16), AK166, 0),
   IF(($A$4:$A$184 &lt;= Input!$G$16), AW166, 0),
   IF(($A$4:$A$184 &lt;= Input!$H$16), BI166, 0)
)</f>
        <v>33127052.878124986</v>
      </c>
      <c r="D166" s="60">
        <f>SUM(
   IF(($A$4:$A$184 &lt;= Input!$D$16), O166, 0),
   IF(($A$4:$A$184 &lt;= Input!$E$16), AA166, 0),
   IF(($A$4:$A$184 &lt;= Input!$F$16), AM166, 0),
   IF(($A$4:$A$184 &lt;= Input!$G$16), AY166, 0),
   IF(($A$4:$A$184 &lt;= Input!$H$16), BK166, 0)
)</f>
        <v>29814347.590312488</v>
      </c>
      <c r="E166" s="60">
        <f t="shared" si="94"/>
        <v>31</v>
      </c>
      <c r="F166" s="60">
        <f t="shared" si="95"/>
        <v>0</v>
      </c>
      <c r="G166" s="60">
        <f>ROUND(F166*E166*Input!$C$3/365,0)</f>
        <v>0</v>
      </c>
      <c r="H166" s="60">
        <f>IF($A166&lt;=Input!$C$6,0,IF('Unique Tenure'!D166&lt;'Unique Tenure'!F166,'Unique Tenure'!D166-G166,'Unique Tenure'!F166))</f>
        <v>0</v>
      </c>
      <c r="I166" s="60">
        <f t="shared" si="96"/>
        <v>0</v>
      </c>
      <c r="J166" s="60">
        <f t="shared" si="97"/>
        <v>0</v>
      </c>
      <c r="K166" s="202">
        <f>J166/Input!$K$5</f>
        <v>0</v>
      </c>
      <c r="L166" s="232"/>
      <c r="M166" s="60">
        <f>IF($B166&lt;Input!$H$43,IF($B166&lt;Input!$G$43,IF($B166&lt;Input!$F$43,IF($B166&lt;Input!$E$43,IF($B166&lt;Input!$D$43,Input!$C$49,Input!$D$49),Input!$E$49),Input!$F$49),Input!$G$49),Input!$H$49)</f>
        <v>33127052.878124986</v>
      </c>
      <c r="N166" s="190">
        <f>IF($A166&lt;Input!$H$50,IF($A166&lt;Input!$G$50,IF($A166&lt;Input!$F$50,IF($A166&lt;Input!$E$50,IF($A166&lt;Input!$D$50,Input!$C$51,Input!$D$51),Input!$E$51),Input!$F$51),Input!$G$51),Input!$H$51)</f>
        <v>0.9</v>
      </c>
      <c r="O166" s="60">
        <f t="shared" si="106"/>
        <v>29814347.590312488</v>
      </c>
      <c r="P166" s="60">
        <f t="shared" si="107"/>
        <v>31</v>
      </c>
      <c r="Q166" s="60">
        <f t="shared" si="74"/>
        <v>0</v>
      </c>
      <c r="R166" s="60">
        <f>ROUND(Q166*$P166*Input!$C$3/365,0)</f>
        <v>0</v>
      </c>
      <c r="S166" s="60">
        <f>IF(A166&lt;=Input!$C$6,0,IF('Unique Tenure'!O166&lt;'Unique Tenure'!Q166,'Unique Tenure'!O166-R166,'Unique Tenure'!Q166))</f>
        <v>0</v>
      </c>
      <c r="T166" s="60">
        <f t="shared" si="75"/>
        <v>0</v>
      </c>
      <c r="U166" s="60">
        <f t="shared" si="76"/>
        <v>0</v>
      </c>
      <c r="V166" s="193"/>
      <c r="W166" s="169">
        <v>162</v>
      </c>
      <c r="X166" s="1">
        <f t="shared" si="98"/>
        <v>50451</v>
      </c>
      <c r="Y166" s="60">
        <f>IF($X166&lt;Input!$H$58,IF($X166&lt;Input!$G$58,IF($X166&lt;Input!$F$58,IF($X166&lt;Input!$E$58,IF($X166&lt;Input!$D$58,Input!$C$64,Input!$D$64),Input!$E$64),Input!$F$64),Input!$G$64),Input!$H$64)</f>
        <v>0</v>
      </c>
      <c r="Z166" s="190">
        <f>IF($A166&lt;Input!$H$65,IF($A166&lt;Input!$G$65,IF($A166&lt;Input!$F$65,IF($A166&lt;Input!$E$65,IF($A166&lt;Input!$D$65,Input!$C$66,Input!$D$66),Input!$E$66),Input!$F$66),Input!$G$66),Input!$H$66)</f>
        <v>0.9</v>
      </c>
      <c r="AA166" s="60">
        <f t="shared" si="77"/>
        <v>0</v>
      </c>
      <c r="AB166" s="60">
        <f t="shared" si="99"/>
        <v>31</v>
      </c>
      <c r="AC166" s="60">
        <f t="shared" si="78"/>
        <v>0</v>
      </c>
      <c r="AD166" s="60">
        <f>ROUND(AC166*AB166*Input!$C$3/365,0)</f>
        <v>0</v>
      </c>
      <c r="AE166" s="61">
        <f>IF($A166&lt;=Input!$C$6,0,IF('Unique Tenure'!AA166&lt;'Unique Tenure'!AC166,'Unique Tenure'!AA166-AD166,'Unique Tenure'!AC166))</f>
        <v>0</v>
      </c>
      <c r="AF166" s="61">
        <f t="shared" si="79"/>
        <v>0</v>
      </c>
      <c r="AG166" s="60">
        <f t="shared" si="80"/>
        <v>0</v>
      </c>
      <c r="AH166" s="193"/>
      <c r="AI166" s="169">
        <v>162</v>
      </c>
      <c r="AJ166" s="1">
        <f t="shared" si="100"/>
        <v>50451</v>
      </c>
      <c r="AK166" s="60">
        <f>IF($X166&lt;Input!$H$73,IF($X166&lt;Input!$G$73,IF($X166&lt;Input!$F$73,IF($X166&lt;Input!$E$73,IF($X166&lt;Input!$D$73,Input!$C$79,Input!$D$79),Input!$E$79),Input!$F$79),Input!$G$79),Input!$H$79)</f>
        <v>0</v>
      </c>
      <c r="AL166" s="190">
        <f>IF($A166&lt;Input!$H$80,IF($A166&lt;Input!$G$80,IF($A166&lt;Input!$F$80,IF($A166&lt;Input!$E$80,IF($A166&lt;Input!$D$80,Input!$C$81,Input!$D$81),Input!$E$81),Input!$F$81),Input!$G$81),Input!$H$81)</f>
        <v>0.9</v>
      </c>
      <c r="AM166" s="60">
        <f t="shared" si="81"/>
        <v>0</v>
      </c>
      <c r="AN166" s="60">
        <f t="shared" si="101"/>
        <v>31</v>
      </c>
      <c r="AO166" s="60">
        <f t="shared" si="82"/>
        <v>0</v>
      </c>
      <c r="AP166" s="60">
        <f>ROUND(AO166*AN166*Input!$C$3/365,0)</f>
        <v>0</v>
      </c>
      <c r="AQ166" s="61">
        <f>IF($A166&lt;=Input!$C$6,0,IF('Unique Tenure'!AM166&lt;'Unique Tenure'!AO166,'Unique Tenure'!AM166-AP166,'Unique Tenure'!AO166))</f>
        <v>0</v>
      </c>
      <c r="AR166" s="61">
        <f t="shared" si="83"/>
        <v>0</v>
      </c>
      <c r="AS166" s="60">
        <f t="shared" si="84"/>
        <v>0</v>
      </c>
      <c r="AT166" s="193"/>
      <c r="AU166" s="169">
        <v>162</v>
      </c>
      <c r="AV166" s="1">
        <f t="shared" si="102"/>
        <v>50451</v>
      </c>
      <c r="AW166" s="60">
        <f>IF($X166&lt;Input!$H$88,IF($X166&lt;Input!$G$88,IF($X166&lt;Input!$F$88,IF($X166&lt;Input!$E$88,IF($X166&lt;Input!$D$88,Input!$C$94,Input!$D$94),Input!$E$94),Input!$F$94),Input!$G$94),Input!$H$94)</f>
        <v>0</v>
      </c>
      <c r="AX166" s="190">
        <f>IF($A166&lt;Input!$H$95,IF($A166&lt;Input!$G$95,IF($A166&lt;Input!$F$95,IF($A166&lt;Input!$E$95,IF($A166&lt;Input!$D$95,Input!$C$96,Input!$D$96),Input!$E$96),Input!$F$96),Input!$G$96),Input!$H$96)</f>
        <v>0.9</v>
      </c>
      <c r="AY166" s="60">
        <f t="shared" si="85"/>
        <v>0</v>
      </c>
      <c r="AZ166" s="60">
        <f t="shared" si="103"/>
        <v>31</v>
      </c>
      <c r="BA166" s="60">
        <f t="shared" si="86"/>
        <v>0</v>
      </c>
      <c r="BB166" s="60">
        <f>ROUND(BA166*AZ166*Input!$C$3/365,0)</f>
        <v>0</v>
      </c>
      <c r="BC166" s="61">
        <f>IF($A166&lt;=Input!$C$6,0,IF('Unique Tenure'!AY166&lt;'Unique Tenure'!BA166,'Unique Tenure'!AY166-BB166,'Unique Tenure'!BA166))</f>
        <v>0</v>
      </c>
      <c r="BD166" s="61">
        <f t="shared" si="87"/>
        <v>0</v>
      </c>
      <c r="BE166" s="60">
        <f t="shared" si="88"/>
        <v>0</v>
      </c>
      <c r="BF166" s="193"/>
      <c r="BG166" s="169">
        <v>162</v>
      </c>
      <c r="BH166" s="1">
        <f t="shared" si="104"/>
        <v>50451</v>
      </c>
      <c r="BI166" s="60">
        <f>IF($X166&lt;Input!$H$103,IF($X166&lt;Input!$G$103,IF($X166&lt;Input!$F$103,IF($X166&lt;Input!$E$103,IF($X166&lt;Input!$D$103,Input!$C$109,Input!$D$109),Input!$E$109),Input!$F$109),Input!$G$109),Input!$H$109)</f>
        <v>0</v>
      </c>
      <c r="BJ166" s="190">
        <f>IF($A166&lt;Input!$H$110,IF($A166&lt;Input!$G$110,IF($A166&lt;Input!$F$110,IF($A166&lt;Input!$E$110,IF($A166&lt;Input!$D$110,Input!$C$111,Input!$D$111),Input!$E$111),Input!$F$111),Input!$G$111),Input!$H$111)</f>
        <v>0.9</v>
      </c>
      <c r="BK166" s="60">
        <f t="shared" si="89"/>
        <v>0</v>
      </c>
      <c r="BL166" s="60">
        <f t="shared" si="105"/>
        <v>31</v>
      </c>
      <c r="BM166" s="60">
        <f t="shared" si="90"/>
        <v>0</v>
      </c>
      <c r="BN166" s="60">
        <f>ROUND(BM166*BL166*Input!$C$3/365,0)</f>
        <v>0</v>
      </c>
      <c r="BO166" s="61">
        <f>IF($A166&lt;=Input!$C$6,0,IF('Unique Tenure'!BK166&lt;'Unique Tenure'!BM166,'Unique Tenure'!BK166-BN166,'Unique Tenure'!BM166))</f>
        <v>0</v>
      </c>
      <c r="BP166" s="61">
        <f t="shared" si="91"/>
        <v>0</v>
      </c>
      <c r="BQ166" s="60">
        <f t="shared" si="92"/>
        <v>0</v>
      </c>
      <c r="BR166" s="198"/>
    </row>
    <row r="167" spans="1:70" s="51" customFormat="1" x14ac:dyDescent="0.25">
      <c r="A167" s="169">
        <v>163</v>
      </c>
      <c r="B167" s="1">
        <f t="shared" si="93"/>
        <v>50479</v>
      </c>
      <c r="C167" s="60">
        <f>SUM(
   IF(($A$4:$A$184 &lt;= Input!$D$16), M167, 0),
   IF(($A$4:$A$184 &lt;= Input!$E$16), Y167, 0),
   IF(($A$4:$A$184 &lt;= Input!$F$16), AK167, 0),
   IF(($A$4:$A$184 &lt;= Input!$G$16), AW167, 0),
   IF(($A$4:$A$184 &lt;= Input!$H$16), BI167, 0)
)</f>
        <v>33127052.878124986</v>
      </c>
      <c r="D167" s="60">
        <f>SUM(
   IF(($A$4:$A$184 &lt;= Input!$D$16), O167, 0),
   IF(($A$4:$A$184 &lt;= Input!$E$16), AA167, 0),
   IF(($A$4:$A$184 &lt;= Input!$F$16), AM167, 0),
   IF(($A$4:$A$184 &lt;= Input!$G$16), AY167, 0),
   IF(($A$4:$A$184 &lt;= Input!$H$16), BK167, 0)
)</f>
        <v>29814347.590312488</v>
      </c>
      <c r="E167" s="60">
        <f t="shared" si="94"/>
        <v>28</v>
      </c>
      <c r="F167" s="60">
        <f t="shared" si="95"/>
        <v>0</v>
      </c>
      <c r="G167" s="60">
        <f>ROUND(F167*E167*Input!$C$3/365,0)</f>
        <v>0</v>
      </c>
      <c r="H167" s="60">
        <f>IF($A167&lt;=Input!$C$6,0,IF('Unique Tenure'!D167&lt;'Unique Tenure'!F167,'Unique Tenure'!D167-G167,'Unique Tenure'!F167))</f>
        <v>0</v>
      </c>
      <c r="I167" s="60">
        <f t="shared" si="96"/>
        <v>0</v>
      </c>
      <c r="J167" s="60">
        <f t="shared" si="97"/>
        <v>0</v>
      </c>
      <c r="K167" s="202">
        <f>J167/Input!$K$5</f>
        <v>0</v>
      </c>
      <c r="L167" s="232"/>
      <c r="M167" s="60">
        <f>IF($B167&lt;Input!$H$43,IF($B167&lt;Input!$G$43,IF($B167&lt;Input!$F$43,IF($B167&lt;Input!$E$43,IF($B167&lt;Input!$D$43,Input!$C$49,Input!$D$49),Input!$E$49),Input!$F$49),Input!$G$49),Input!$H$49)</f>
        <v>33127052.878124986</v>
      </c>
      <c r="N167" s="190">
        <f>IF($A167&lt;Input!$H$50,IF($A167&lt;Input!$G$50,IF($A167&lt;Input!$F$50,IF($A167&lt;Input!$E$50,IF($A167&lt;Input!$D$50,Input!$C$51,Input!$D$51),Input!$E$51),Input!$F$51),Input!$G$51),Input!$H$51)</f>
        <v>0.9</v>
      </c>
      <c r="O167" s="60">
        <f t="shared" si="106"/>
        <v>29814347.590312488</v>
      </c>
      <c r="P167" s="60">
        <f t="shared" si="107"/>
        <v>28</v>
      </c>
      <c r="Q167" s="60">
        <f t="shared" si="74"/>
        <v>0</v>
      </c>
      <c r="R167" s="60">
        <f>ROUND(Q167*$P167*Input!$C$3/365,0)</f>
        <v>0</v>
      </c>
      <c r="S167" s="60">
        <f>IF(A167&lt;=Input!$C$6,0,IF('Unique Tenure'!O167&lt;'Unique Tenure'!Q167,'Unique Tenure'!O167-R167,'Unique Tenure'!Q167))</f>
        <v>0</v>
      </c>
      <c r="T167" s="60">
        <f t="shared" si="75"/>
        <v>0</v>
      </c>
      <c r="U167" s="60">
        <f t="shared" si="76"/>
        <v>0</v>
      </c>
      <c r="V167" s="193"/>
      <c r="W167" s="169">
        <v>163</v>
      </c>
      <c r="X167" s="1">
        <f t="shared" si="98"/>
        <v>50479</v>
      </c>
      <c r="Y167" s="60">
        <f>IF($X167&lt;Input!$H$58,IF($X167&lt;Input!$G$58,IF($X167&lt;Input!$F$58,IF($X167&lt;Input!$E$58,IF($X167&lt;Input!$D$58,Input!$C$64,Input!$D$64),Input!$E$64),Input!$F$64),Input!$G$64),Input!$H$64)</f>
        <v>0</v>
      </c>
      <c r="Z167" s="190">
        <f>IF($A167&lt;Input!$H$65,IF($A167&lt;Input!$G$65,IF($A167&lt;Input!$F$65,IF($A167&lt;Input!$E$65,IF($A167&lt;Input!$D$65,Input!$C$66,Input!$D$66),Input!$E$66),Input!$F$66),Input!$G$66),Input!$H$66)</f>
        <v>0.9</v>
      </c>
      <c r="AA167" s="60">
        <f t="shared" si="77"/>
        <v>0</v>
      </c>
      <c r="AB167" s="60">
        <f t="shared" si="99"/>
        <v>28</v>
      </c>
      <c r="AC167" s="60">
        <f t="shared" si="78"/>
        <v>0</v>
      </c>
      <c r="AD167" s="60">
        <f>ROUND(AC167*AB167*Input!$C$3/365,0)</f>
        <v>0</v>
      </c>
      <c r="AE167" s="61">
        <f>IF($A167&lt;=Input!$C$6,0,IF('Unique Tenure'!AA167&lt;'Unique Tenure'!AC167,'Unique Tenure'!AA167-AD167,'Unique Tenure'!AC167))</f>
        <v>0</v>
      </c>
      <c r="AF167" s="61">
        <f t="shared" si="79"/>
        <v>0</v>
      </c>
      <c r="AG167" s="60">
        <f t="shared" si="80"/>
        <v>0</v>
      </c>
      <c r="AH167" s="193"/>
      <c r="AI167" s="169">
        <v>163</v>
      </c>
      <c r="AJ167" s="1">
        <f t="shared" si="100"/>
        <v>50479</v>
      </c>
      <c r="AK167" s="60">
        <f>IF($X167&lt;Input!$H$73,IF($X167&lt;Input!$G$73,IF($X167&lt;Input!$F$73,IF($X167&lt;Input!$E$73,IF($X167&lt;Input!$D$73,Input!$C$79,Input!$D$79),Input!$E$79),Input!$F$79),Input!$G$79),Input!$H$79)</f>
        <v>0</v>
      </c>
      <c r="AL167" s="190">
        <f>IF($A167&lt;Input!$H$80,IF($A167&lt;Input!$G$80,IF($A167&lt;Input!$F$80,IF($A167&lt;Input!$E$80,IF($A167&lt;Input!$D$80,Input!$C$81,Input!$D$81),Input!$E$81),Input!$F$81),Input!$G$81),Input!$H$81)</f>
        <v>0.9</v>
      </c>
      <c r="AM167" s="60">
        <f t="shared" si="81"/>
        <v>0</v>
      </c>
      <c r="AN167" s="60">
        <f t="shared" si="101"/>
        <v>28</v>
      </c>
      <c r="AO167" s="60">
        <f t="shared" si="82"/>
        <v>0</v>
      </c>
      <c r="AP167" s="60">
        <f>ROUND(AO167*AN167*Input!$C$3/365,0)</f>
        <v>0</v>
      </c>
      <c r="AQ167" s="61">
        <f>IF($A167&lt;=Input!$C$6,0,IF('Unique Tenure'!AM167&lt;'Unique Tenure'!AO167,'Unique Tenure'!AM167-AP167,'Unique Tenure'!AO167))</f>
        <v>0</v>
      </c>
      <c r="AR167" s="61">
        <f t="shared" si="83"/>
        <v>0</v>
      </c>
      <c r="AS167" s="60">
        <f t="shared" si="84"/>
        <v>0</v>
      </c>
      <c r="AT167" s="193"/>
      <c r="AU167" s="169">
        <v>163</v>
      </c>
      <c r="AV167" s="1">
        <f t="shared" si="102"/>
        <v>50479</v>
      </c>
      <c r="AW167" s="60">
        <f>IF($X167&lt;Input!$H$88,IF($X167&lt;Input!$G$88,IF($X167&lt;Input!$F$88,IF($X167&lt;Input!$E$88,IF($X167&lt;Input!$D$88,Input!$C$94,Input!$D$94),Input!$E$94),Input!$F$94),Input!$G$94),Input!$H$94)</f>
        <v>0</v>
      </c>
      <c r="AX167" s="190">
        <f>IF($A167&lt;Input!$H$95,IF($A167&lt;Input!$G$95,IF($A167&lt;Input!$F$95,IF($A167&lt;Input!$E$95,IF($A167&lt;Input!$D$95,Input!$C$96,Input!$D$96),Input!$E$96),Input!$F$96),Input!$G$96),Input!$H$96)</f>
        <v>0.9</v>
      </c>
      <c r="AY167" s="60">
        <f t="shared" si="85"/>
        <v>0</v>
      </c>
      <c r="AZ167" s="60">
        <f t="shared" si="103"/>
        <v>28</v>
      </c>
      <c r="BA167" s="60">
        <f t="shared" si="86"/>
        <v>0</v>
      </c>
      <c r="BB167" s="60">
        <f>ROUND(BA167*AZ167*Input!$C$3/365,0)</f>
        <v>0</v>
      </c>
      <c r="BC167" s="61">
        <f>IF($A167&lt;=Input!$C$6,0,IF('Unique Tenure'!AY167&lt;'Unique Tenure'!BA167,'Unique Tenure'!AY167-BB167,'Unique Tenure'!BA167))</f>
        <v>0</v>
      </c>
      <c r="BD167" s="61">
        <f t="shared" si="87"/>
        <v>0</v>
      </c>
      <c r="BE167" s="60">
        <f t="shared" si="88"/>
        <v>0</v>
      </c>
      <c r="BF167" s="193"/>
      <c r="BG167" s="169">
        <v>163</v>
      </c>
      <c r="BH167" s="1">
        <f t="shared" si="104"/>
        <v>50479</v>
      </c>
      <c r="BI167" s="60">
        <f>IF($X167&lt;Input!$H$103,IF($X167&lt;Input!$G$103,IF($X167&lt;Input!$F$103,IF($X167&lt;Input!$E$103,IF($X167&lt;Input!$D$103,Input!$C$109,Input!$D$109),Input!$E$109),Input!$F$109),Input!$G$109),Input!$H$109)</f>
        <v>0</v>
      </c>
      <c r="BJ167" s="190">
        <f>IF($A167&lt;Input!$H$110,IF($A167&lt;Input!$G$110,IF($A167&lt;Input!$F$110,IF($A167&lt;Input!$E$110,IF($A167&lt;Input!$D$110,Input!$C$111,Input!$D$111),Input!$E$111),Input!$F$111),Input!$G$111),Input!$H$111)</f>
        <v>0.9</v>
      </c>
      <c r="BK167" s="60">
        <f t="shared" si="89"/>
        <v>0</v>
      </c>
      <c r="BL167" s="60">
        <f t="shared" si="105"/>
        <v>28</v>
      </c>
      <c r="BM167" s="60">
        <f t="shared" si="90"/>
        <v>0</v>
      </c>
      <c r="BN167" s="60">
        <f>ROUND(BM167*BL167*Input!$C$3/365,0)</f>
        <v>0</v>
      </c>
      <c r="BO167" s="61">
        <f>IF($A167&lt;=Input!$C$6,0,IF('Unique Tenure'!BK167&lt;'Unique Tenure'!BM167,'Unique Tenure'!BK167-BN167,'Unique Tenure'!BM167))</f>
        <v>0</v>
      </c>
      <c r="BP167" s="61">
        <f t="shared" si="91"/>
        <v>0</v>
      </c>
      <c r="BQ167" s="60">
        <f t="shared" si="92"/>
        <v>0</v>
      </c>
      <c r="BR167" s="198"/>
    </row>
    <row r="168" spans="1:70" s="51" customFormat="1" x14ac:dyDescent="0.25">
      <c r="A168" s="169">
        <v>164</v>
      </c>
      <c r="B168" s="1">
        <f t="shared" si="93"/>
        <v>50510</v>
      </c>
      <c r="C168" s="60">
        <f>SUM(
   IF(($A$4:$A$184 &lt;= Input!$D$16), M168, 0),
   IF(($A$4:$A$184 &lt;= Input!$E$16), Y168, 0),
   IF(($A$4:$A$184 &lt;= Input!$F$16), AK168, 0),
   IF(($A$4:$A$184 &lt;= Input!$G$16), AW168, 0),
   IF(($A$4:$A$184 &lt;= Input!$H$16), BI168, 0)
)</f>
        <v>33127052.878124986</v>
      </c>
      <c r="D168" s="60">
        <f>SUM(
   IF(($A$4:$A$184 &lt;= Input!$D$16), O168, 0),
   IF(($A$4:$A$184 &lt;= Input!$E$16), AA168, 0),
   IF(($A$4:$A$184 &lt;= Input!$F$16), AM168, 0),
   IF(($A$4:$A$184 &lt;= Input!$G$16), AY168, 0),
   IF(($A$4:$A$184 &lt;= Input!$H$16), BK168, 0)
)</f>
        <v>29814347.590312488</v>
      </c>
      <c r="E168" s="60">
        <f t="shared" si="94"/>
        <v>31</v>
      </c>
      <c r="F168" s="60">
        <f t="shared" si="95"/>
        <v>0</v>
      </c>
      <c r="G168" s="60">
        <f>ROUND(F168*E168*Input!$C$3/365,0)</f>
        <v>0</v>
      </c>
      <c r="H168" s="60">
        <f>IF($A168&lt;=Input!$C$6,0,IF('Unique Tenure'!D168&lt;'Unique Tenure'!F168,'Unique Tenure'!D168-G168,'Unique Tenure'!F168))</f>
        <v>0</v>
      </c>
      <c r="I168" s="60">
        <f t="shared" si="96"/>
        <v>0</v>
      </c>
      <c r="J168" s="60">
        <f t="shared" si="97"/>
        <v>0</v>
      </c>
      <c r="K168" s="202">
        <f>J168/Input!$K$5</f>
        <v>0</v>
      </c>
      <c r="L168" s="232"/>
      <c r="M168" s="60">
        <f>IF($B168&lt;Input!$H$43,IF($B168&lt;Input!$G$43,IF($B168&lt;Input!$F$43,IF($B168&lt;Input!$E$43,IF($B168&lt;Input!$D$43,Input!$C$49,Input!$D$49),Input!$E$49),Input!$F$49),Input!$G$49),Input!$H$49)</f>
        <v>33127052.878124986</v>
      </c>
      <c r="N168" s="190">
        <f>IF($A168&lt;Input!$H$50,IF($A168&lt;Input!$G$50,IF($A168&lt;Input!$F$50,IF($A168&lt;Input!$E$50,IF($A168&lt;Input!$D$50,Input!$C$51,Input!$D$51),Input!$E$51),Input!$F$51),Input!$G$51),Input!$H$51)</f>
        <v>0.9</v>
      </c>
      <c r="O168" s="60">
        <f t="shared" si="106"/>
        <v>29814347.590312488</v>
      </c>
      <c r="P168" s="60">
        <f t="shared" si="107"/>
        <v>31</v>
      </c>
      <c r="Q168" s="60">
        <f t="shared" si="74"/>
        <v>0</v>
      </c>
      <c r="R168" s="60">
        <f>ROUND(Q168*$P168*Input!$C$3/365,0)</f>
        <v>0</v>
      </c>
      <c r="S168" s="60">
        <f>IF(A168&lt;=Input!$C$6,0,IF('Unique Tenure'!O168&lt;'Unique Tenure'!Q168,'Unique Tenure'!O168-R168,'Unique Tenure'!Q168))</f>
        <v>0</v>
      </c>
      <c r="T168" s="60">
        <f t="shared" si="75"/>
        <v>0</v>
      </c>
      <c r="U168" s="60">
        <f t="shared" si="76"/>
        <v>0</v>
      </c>
      <c r="V168" s="193"/>
      <c r="W168" s="169">
        <v>164</v>
      </c>
      <c r="X168" s="1">
        <f t="shared" si="98"/>
        <v>50510</v>
      </c>
      <c r="Y168" s="60">
        <f>IF($X168&lt;Input!$H$58,IF($X168&lt;Input!$G$58,IF($X168&lt;Input!$F$58,IF($X168&lt;Input!$E$58,IF($X168&lt;Input!$D$58,Input!$C$64,Input!$D$64),Input!$E$64),Input!$F$64),Input!$G$64),Input!$H$64)</f>
        <v>0</v>
      </c>
      <c r="Z168" s="190">
        <f>IF($A168&lt;Input!$H$65,IF($A168&lt;Input!$G$65,IF($A168&lt;Input!$F$65,IF($A168&lt;Input!$E$65,IF($A168&lt;Input!$D$65,Input!$C$66,Input!$D$66),Input!$E$66),Input!$F$66),Input!$G$66),Input!$H$66)</f>
        <v>0.9</v>
      </c>
      <c r="AA168" s="60">
        <f t="shared" si="77"/>
        <v>0</v>
      </c>
      <c r="AB168" s="60">
        <f t="shared" si="99"/>
        <v>31</v>
      </c>
      <c r="AC168" s="60">
        <f t="shared" si="78"/>
        <v>0</v>
      </c>
      <c r="AD168" s="60">
        <f>ROUND(AC168*AB168*Input!$C$3/365,0)</f>
        <v>0</v>
      </c>
      <c r="AE168" s="61">
        <f>IF($A168&lt;=Input!$C$6,0,IF('Unique Tenure'!AA168&lt;'Unique Tenure'!AC168,'Unique Tenure'!AA168-AD168,'Unique Tenure'!AC168))</f>
        <v>0</v>
      </c>
      <c r="AF168" s="61">
        <f t="shared" si="79"/>
        <v>0</v>
      </c>
      <c r="AG168" s="60">
        <f t="shared" si="80"/>
        <v>0</v>
      </c>
      <c r="AH168" s="193"/>
      <c r="AI168" s="169">
        <v>164</v>
      </c>
      <c r="AJ168" s="1">
        <f t="shared" si="100"/>
        <v>50510</v>
      </c>
      <c r="AK168" s="60">
        <f>IF($X168&lt;Input!$H$73,IF($X168&lt;Input!$G$73,IF($X168&lt;Input!$F$73,IF($X168&lt;Input!$E$73,IF($X168&lt;Input!$D$73,Input!$C$79,Input!$D$79),Input!$E$79),Input!$F$79),Input!$G$79),Input!$H$79)</f>
        <v>0</v>
      </c>
      <c r="AL168" s="190">
        <f>IF($A168&lt;Input!$H$80,IF($A168&lt;Input!$G$80,IF($A168&lt;Input!$F$80,IF($A168&lt;Input!$E$80,IF($A168&lt;Input!$D$80,Input!$C$81,Input!$D$81),Input!$E$81),Input!$F$81),Input!$G$81),Input!$H$81)</f>
        <v>0.9</v>
      </c>
      <c r="AM168" s="60">
        <f t="shared" si="81"/>
        <v>0</v>
      </c>
      <c r="AN168" s="60">
        <f t="shared" si="101"/>
        <v>31</v>
      </c>
      <c r="AO168" s="60">
        <f t="shared" si="82"/>
        <v>0</v>
      </c>
      <c r="AP168" s="60">
        <f>ROUND(AO168*AN168*Input!$C$3/365,0)</f>
        <v>0</v>
      </c>
      <c r="AQ168" s="61">
        <f>IF($A168&lt;=Input!$C$6,0,IF('Unique Tenure'!AM168&lt;'Unique Tenure'!AO168,'Unique Tenure'!AM168-AP168,'Unique Tenure'!AO168))</f>
        <v>0</v>
      </c>
      <c r="AR168" s="61">
        <f t="shared" si="83"/>
        <v>0</v>
      </c>
      <c r="AS168" s="60">
        <f t="shared" si="84"/>
        <v>0</v>
      </c>
      <c r="AT168" s="193"/>
      <c r="AU168" s="169">
        <v>164</v>
      </c>
      <c r="AV168" s="1">
        <f t="shared" si="102"/>
        <v>50510</v>
      </c>
      <c r="AW168" s="60">
        <f>IF($X168&lt;Input!$H$88,IF($X168&lt;Input!$G$88,IF($X168&lt;Input!$F$88,IF($X168&lt;Input!$E$88,IF($X168&lt;Input!$D$88,Input!$C$94,Input!$D$94),Input!$E$94),Input!$F$94),Input!$G$94),Input!$H$94)</f>
        <v>0</v>
      </c>
      <c r="AX168" s="190">
        <f>IF($A168&lt;Input!$H$95,IF($A168&lt;Input!$G$95,IF($A168&lt;Input!$F$95,IF($A168&lt;Input!$E$95,IF($A168&lt;Input!$D$95,Input!$C$96,Input!$D$96),Input!$E$96),Input!$F$96),Input!$G$96),Input!$H$96)</f>
        <v>0.9</v>
      </c>
      <c r="AY168" s="60">
        <f t="shared" si="85"/>
        <v>0</v>
      </c>
      <c r="AZ168" s="60">
        <f t="shared" si="103"/>
        <v>31</v>
      </c>
      <c r="BA168" s="60">
        <f t="shared" si="86"/>
        <v>0</v>
      </c>
      <c r="BB168" s="60">
        <f>ROUND(BA168*AZ168*Input!$C$3/365,0)</f>
        <v>0</v>
      </c>
      <c r="BC168" s="61">
        <f>IF($A168&lt;=Input!$C$6,0,IF('Unique Tenure'!AY168&lt;'Unique Tenure'!BA168,'Unique Tenure'!AY168-BB168,'Unique Tenure'!BA168))</f>
        <v>0</v>
      </c>
      <c r="BD168" s="61">
        <f t="shared" si="87"/>
        <v>0</v>
      </c>
      <c r="BE168" s="60">
        <f t="shared" si="88"/>
        <v>0</v>
      </c>
      <c r="BF168" s="193"/>
      <c r="BG168" s="169">
        <v>164</v>
      </c>
      <c r="BH168" s="1">
        <f t="shared" si="104"/>
        <v>50510</v>
      </c>
      <c r="BI168" s="60">
        <f>IF($X168&lt;Input!$H$103,IF($X168&lt;Input!$G$103,IF($X168&lt;Input!$F$103,IF($X168&lt;Input!$E$103,IF($X168&lt;Input!$D$103,Input!$C$109,Input!$D$109),Input!$E$109),Input!$F$109),Input!$G$109),Input!$H$109)</f>
        <v>0</v>
      </c>
      <c r="BJ168" s="190">
        <f>IF($A168&lt;Input!$H$110,IF($A168&lt;Input!$G$110,IF($A168&lt;Input!$F$110,IF($A168&lt;Input!$E$110,IF($A168&lt;Input!$D$110,Input!$C$111,Input!$D$111),Input!$E$111),Input!$F$111),Input!$G$111),Input!$H$111)</f>
        <v>0.9</v>
      </c>
      <c r="BK168" s="60">
        <f t="shared" si="89"/>
        <v>0</v>
      </c>
      <c r="BL168" s="60">
        <f t="shared" si="105"/>
        <v>31</v>
      </c>
      <c r="BM168" s="60">
        <f t="shared" si="90"/>
        <v>0</v>
      </c>
      <c r="BN168" s="60">
        <f>ROUND(BM168*BL168*Input!$C$3/365,0)</f>
        <v>0</v>
      </c>
      <c r="BO168" s="61">
        <f>IF($A168&lt;=Input!$C$6,0,IF('Unique Tenure'!BK168&lt;'Unique Tenure'!BM168,'Unique Tenure'!BK168-BN168,'Unique Tenure'!BM168))</f>
        <v>0</v>
      </c>
      <c r="BP168" s="61">
        <f t="shared" si="91"/>
        <v>0</v>
      </c>
      <c r="BQ168" s="60">
        <f t="shared" si="92"/>
        <v>0</v>
      </c>
      <c r="BR168" s="198"/>
    </row>
    <row r="169" spans="1:70" s="51" customFormat="1" x14ac:dyDescent="0.25">
      <c r="A169" s="169">
        <v>165</v>
      </c>
      <c r="B169" s="1">
        <f t="shared" si="93"/>
        <v>50540</v>
      </c>
      <c r="C169" s="60">
        <f>SUM(
   IF(($A$4:$A$184 &lt;= Input!$D$16), M169, 0),
   IF(($A$4:$A$184 &lt;= Input!$E$16), Y169, 0),
   IF(($A$4:$A$184 &lt;= Input!$F$16), AK169, 0),
   IF(($A$4:$A$184 &lt;= Input!$G$16), AW169, 0),
   IF(($A$4:$A$184 &lt;= Input!$H$16), BI169, 0)
)</f>
        <v>33127052.878124986</v>
      </c>
      <c r="D169" s="60">
        <f>SUM(
   IF(($A$4:$A$184 &lt;= Input!$D$16), O169, 0),
   IF(($A$4:$A$184 &lt;= Input!$E$16), AA169, 0),
   IF(($A$4:$A$184 &lt;= Input!$F$16), AM169, 0),
   IF(($A$4:$A$184 &lt;= Input!$G$16), AY169, 0),
   IF(($A$4:$A$184 &lt;= Input!$H$16), BK169, 0)
)</f>
        <v>29814347.590312488</v>
      </c>
      <c r="E169" s="60">
        <f t="shared" si="94"/>
        <v>30</v>
      </c>
      <c r="F169" s="60">
        <f t="shared" si="95"/>
        <v>0</v>
      </c>
      <c r="G169" s="60">
        <f>ROUND(F169*E169*Input!$C$3/365,0)</f>
        <v>0</v>
      </c>
      <c r="H169" s="60">
        <f>IF($A169&lt;=Input!$C$6,0,IF('Unique Tenure'!D169&lt;'Unique Tenure'!F169,'Unique Tenure'!D169-G169,'Unique Tenure'!F169))</f>
        <v>0</v>
      </c>
      <c r="I169" s="60">
        <f t="shared" si="96"/>
        <v>0</v>
      </c>
      <c r="J169" s="60">
        <f t="shared" si="97"/>
        <v>0</v>
      </c>
      <c r="K169" s="202">
        <f>J169/Input!$K$5</f>
        <v>0</v>
      </c>
      <c r="L169" s="232"/>
      <c r="M169" s="60">
        <f>IF($B169&lt;Input!$H$43,IF($B169&lt;Input!$G$43,IF($B169&lt;Input!$F$43,IF($B169&lt;Input!$E$43,IF($B169&lt;Input!$D$43,Input!$C$49,Input!$D$49),Input!$E$49),Input!$F$49),Input!$G$49),Input!$H$49)</f>
        <v>33127052.878124986</v>
      </c>
      <c r="N169" s="190">
        <f>IF($A169&lt;Input!$H$50,IF($A169&lt;Input!$G$50,IF($A169&lt;Input!$F$50,IF($A169&lt;Input!$E$50,IF($A169&lt;Input!$D$50,Input!$C$51,Input!$D$51),Input!$E$51),Input!$F$51),Input!$G$51),Input!$H$51)</f>
        <v>0.9</v>
      </c>
      <c r="O169" s="60">
        <f t="shared" si="106"/>
        <v>29814347.590312488</v>
      </c>
      <c r="P169" s="60">
        <f t="shared" si="107"/>
        <v>30</v>
      </c>
      <c r="Q169" s="60">
        <f t="shared" si="74"/>
        <v>0</v>
      </c>
      <c r="R169" s="60">
        <f>ROUND(Q169*$P169*Input!$C$3/365,0)</f>
        <v>0</v>
      </c>
      <c r="S169" s="60">
        <f>IF(A169&lt;=Input!$C$6,0,IF('Unique Tenure'!O169&lt;'Unique Tenure'!Q169,'Unique Tenure'!O169-R169,'Unique Tenure'!Q169))</f>
        <v>0</v>
      </c>
      <c r="T169" s="60">
        <f t="shared" si="75"/>
        <v>0</v>
      </c>
      <c r="U169" s="60">
        <f t="shared" si="76"/>
        <v>0</v>
      </c>
      <c r="V169" s="193"/>
      <c r="W169" s="169">
        <v>165</v>
      </c>
      <c r="X169" s="1">
        <f t="shared" si="98"/>
        <v>50540</v>
      </c>
      <c r="Y169" s="60">
        <f>IF($X169&lt;Input!$H$58,IF($X169&lt;Input!$G$58,IF($X169&lt;Input!$F$58,IF($X169&lt;Input!$E$58,IF($X169&lt;Input!$D$58,Input!$C$64,Input!$D$64),Input!$E$64),Input!$F$64),Input!$G$64),Input!$H$64)</f>
        <v>0</v>
      </c>
      <c r="Z169" s="190">
        <f>IF($A169&lt;Input!$H$65,IF($A169&lt;Input!$G$65,IF($A169&lt;Input!$F$65,IF($A169&lt;Input!$E$65,IF($A169&lt;Input!$D$65,Input!$C$66,Input!$D$66),Input!$E$66),Input!$F$66),Input!$G$66),Input!$H$66)</f>
        <v>0.9</v>
      </c>
      <c r="AA169" s="60">
        <f t="shared" si="77"/>
        <v>0</v>
      </c>
      <c r="AB169" s="60">
        <f t="shared" si="99"/>
        <v>30</v>
      </c>
      <c r="AC169" s="60">
        <f t="shared" si="78"/>
        <v>0</v>
      </c>
      <c r="AD169" s="60">
        <f>ROUND(AC169*AB169*Input!$C$3/365,0)</f>
        <v>0</v>
      </c>
      <c r="AE169" s="61">
        <f>IF($A169&lt;=Input!$C$6,0,IF('Unique Tenure'!AA169&lt;'Unique Tenure'!AC169,'Unique Tenure'!AA169-AD169,'Unique Tenure'!AC169))</f>
        <v>0</v>
      </c>
      <c r="AF169" s="61">
        <f t="shared" si="79"/>
        <v>0</v>
      </c>
      <c r="AG169" s="60">
        <f t="shared" si="80"/>
        <v>0</v>
      </c>
      <c r="AH169" s="193"/>
      <c r="AI169" s="169">
        <v>165</v>
      </c>
      <c r="AJ169" s="1">
        <f t="shared" si="100"/>
        <v>50540</v>
      </c>
      <c r="AK169" s="60">
        <f>IF($X169&lt;Input!$H$73,IF($X169&lt;Input!$G$73,IF($X169&lt;Input!$F$73,IF($X169&lt;Input!$E$73,IF($X169&lt;Input!$D$73,Input!$C$79,Input!$D$79),Input!$E$79),Input!$F$79),Input!$G$79),Input!$H$79)</f>
        <v>0</v>
      </c>
      <c r="AL169" s="190">
        <f>IF($A169&lt;Input!$H$80,IF($A169&lt;Input!$G$80,IF($A169&lt;Input!$F$80,IF($A169&lt;Input!$E$80,IF($A169&lt;Input!$D$80,Input!$C$81,Input!$D$81),Input!$E$81),Input!$F$81),Input!$G$81),Input!$H$81)</f>
        <v>0.9</v>
      </c>
      <c r="AM169" s="60">
        <f t="shared" si="81"/>
        <v>0</v>
      </c>
      <c r="AN169" s="60">
        <f t="shared" si="101"/>
        <v>30</v>
      </c>
      <c r="AO169" s="60">
        <f t="shared" si="82"/>
        <v>0</v>
      </c>
      <c r="AP169" s="60">
        <f>ROUND(AO169*AN169*Input!$C$3/365,0)</f>
        <v>0</v>
      </c>
      <c r="AQ169" s="61">
        <f>IF($A169&lt;=Input!$C$6,0,IF('Unique Tenure'!AM169&lt;'Unique Tenure'!AO169,'Unique Tenure'!AM169-AP169,'Unique Tenure'!AO169))</f>
        <v>0</v>
      </c>
      <c r="AR169" s="61">
        <f t="shared" si="83"/>
        <v>0</v>
      </c>
      <c r="AS169" s="60">
        <f t="shared" si="84"/>
        <v>0</v>
      </c>
      <c r="AT169" s="193"/>
      <c r="AU169" s="169">
        <v>165</v>
      </c>
      <c r="AV169" s="1">
        <f t="shared" si="102"/>
        <v>50540</v>
      </c>
      <c r="AW169" s="60">
        <f>IF($X169&lt;Input!$H$88,IF($X169&lt;Input!$G$88,IF($X169&lt;Input!$F$88,IF($X169&lt;Input!$E$88,IF($X169&lt;Input!$D$88,Input!$C$94,Input!$D$94),Input!$E$94),Input!$F$94),Input!$G$94),Input!$H$94)</f>
        <v>0</v>
      </c>
      <c r="AX169" s="190">
        <f>IF($A169&lt;Input!$H$95,IF($A169&lt;Input!$G$95,IF($A169&lt;Input!$F$95,IF($A169&lt;Input!$E$95,IF($A169&lt;Input!$D$95,Input!$C$96,Input!$D$96),Input!$E$96),Input!$F$96),Input!$G$96),Input!$H$96)</f>
        <v>0.9</v>
      </c>
      <c r="AY169" s="60">
        <f t="shared" si="85"/>
        <v>0</v>
      </c>
      <c r="AZ169" s="60">
        <f t="shared" si="103"/>
        <v>30</v>
      </c>
      <c r="BA169" s="60">
        <f t="shared" si="86"/>
        <v>0</v>
      </c>
      <c r="BB169" s="60">
        <f>ROUND(BA169*AZ169*Input!$C$3/365,0)</f>
        <v>0</v>
      </c>
      <c r="BC169" s="61">
        <f>IF($A169&lt;=Input!$C$6,0,IF('Unique Tenure'!AY169&lt;'Unique Tenure'!BA169,'Unique Tenure'!AY169-BB169,'Unique Tenure'!BA169))</f>
        <v>0</v>
      </c>
      <c r="BD169" s="61">
        <f t="shared" si="87"/>
        <v>0</v>
      </c>
      <c r="BE169" s="60">
        <f t="shared" si="88"/>
        <v>0</v>
      </c>
      <c r="BF169" s="193"/>
      <c r="BG169" s="169">
        <v>165</v>
      </c>
      <c r="BH169" s="1">
        <f t="shared" si="104"/>
        <v>50540</v>
      </c>
      <c r="BI169" s="60">
        <f>IF($X169&lt;Input!$H$103,IF($X169&lt;Input!$G$103,IF($X169&lt;Input!$F$103,IF($X169&lt;Input!$E$103,IF($X169&lt;Input!$D$103,Input!$C$109,Input!$D$109),Input!$E$109),Input!$F$109),Input!$G$109),Input!$H$109)</f>
        <v>0</v>
      </c>
      <c r="BJ169" s="190">
        <f>IF($A169&lt;Input!$H$110,IF($A169&lt;Input!$G$110,IF($A169&lt;Input!$F$110,IF($A169&lt;Input!$E$110,IF($A169&lt;Input!$D$110,Input!$C$111,Input!$D$111),Input!$E$111),Input!$F$111),Input!$G$111),Input!$H$111)</f>
        <v>0.9</v>
      </c>
      <c r="BK169" s="60">
        <f t="shared" si="89"/>
        <v>0</v>
      </c>
      <c r="BL169" s="60">
        <f t="shared" si="105"/>
        <v>30</v>
      </c>
      <c r="BM169" s="60">
        <f t="shared" si="90"/>
        <v>0</v>
      </c>
      <c r="BN169" s="60">
        <f>ROUND(BM169*BL169*Input!$C$3/365,0)</f>
        <v>0</v>
      </c>
      <c r="BO169" s="61">
        <f>IF($A169&lt;=Input!$C$6,0,IF('Unique Tenure'!BK169&lt;'Unique Tenure'!BM169,'Unique Tenure'!BK169-BN169,'Unique Tenure'!BM169))</f>
        <v>0</v>
      </c>
      <c r="BP169" s="61">
        <f t="shared" si="91"/>
        <v>0</v>
      </c>
      <c r="BQ169" s="60">
        <f t="shared" si="92"/>
        <v>0</v>
      </c>
      <c r="BR169" s="198"/>
    </row>
    <row r="170" spans="1:70" s="51" customFormat="1" x14ac:dyDescent="0.25">
      <c r="A170" s="169">
        <v>166</v>
      </c>
      <c r="B170" s="1">
        <f t="shared" si="93"/>
        <v>50571</v>
      </c>
      <c r="C170" s="60">
        <f>SUM(
   IF(($A$4:$A$184 &lt;= Input!$D$16), M170, 0),
   IF(($A$4:$A$184 &lt;= Input!$E$16), Y170, 0),
   IF(($A$4:$A$184 &lt;= Input!$F$16), AK170, 0),
   IF(($A$4:$A$184 &lt;= Input!$G$16), AW170, 0),
   IF(($A$4:$A$184 &lt;= Input!$H$16), BI170, 0)
)</f>
        <v>33127052.878124986</v>
      </c>
      <c r="D170" s="60">
        <f>SUM(
   IF(($A$4:$A$184 &lt;= Input!$D$16), O170, 0),
   IF(($A$4:$A$184 &lt;= Input!$E$16), AA170, 0),
   IF(($A$4:$A$184 &lt;= Input!$F$16), AM170, 0),
   IF(($A$4:$A$184 &lt;= Input!$G$16), AY170, 0),
   IF(($A$4:$A$184 &lt;= Input!$H$16), BK170, 0)
)</f>
        <v>29814347.590312488</v>
      </c>
      <c r="E170" s="60">
        <f t="shared" si="94"/>
        <v>31</v>
      </c>
      <c r="F170" s="60">
        <f t="shared" si="95"/>
        <v>0</v>
      </c>
      <c r="G170" s="60">
        <f>ROUND(F170*E170*Input!$C$3/365,0)</f>
        <v>0</v>
      </c>
      <c r="H170" s="60">
        <f>IF($A170&lt;=Input!$C$6,0,IF('Unique Tenure'!D170&lt;'Unique Tenure'!F170,'Unique Tenure'!D170-G170,'Unique Tenure'!F170))</f>
        <v>0</v>
      </c>
      <c r="I170" s="60">
        <f t="shared" si="96"/>
        <v>0</v>
      </c>
      <c r="J170" s="60">
        <f t="shared" si="97"/>
        <v>0</v>
      </c>
      <c r="K170" s="202">
        <f>J170/Input!$K$5</f>
        <v>0</v>
      </c>
      <c r="L170" s="232"/>
      <c r="M170" s="60">
        <f>IF($B170&lt;Input!$H$43,IF($B170&lt;Input!$G$43,IF($B170&lt;Input!$F$43,IF($B170&lt;Input!$E$43,IF($B170&lt;Input!$D$43,Input!$C$49,Input!$D$49),Input!$E$49),Input!$F$49),Input!$G$49),Input!$H$49)</f>
        <v>33127052.878124986</v>
      </c>
      <c r="N170" s="190">
        <f>IF($A170&lt;Input!$H$50,IF($A170&lt;Input!$G$50,IF($A170&lt;Input!$F$50,IF($A170&lt;Input!$E$50,IF($A170&lt;Input!$D$50,Input!$C$51,Input!$D$51),Input!$E$51),Input!$F$51),Input!$G$51),Input!$H$51)</f>
        <v>0.9</v>
      </c>
      <c r="O170" s="60">
        <f t="shared" si="106"/>
        <v>29814347.590312488</v>
      </c>
      <c r="P170" s="60">
        <f t="shared" si="107"/>
        <v>31</v>
      </c>
      <c r="Q170" s="60">
        <f t="shared" si="74"/>
        <v>0</v>
      </c>
      <c r="R170" s="60">
        <f>ROUND(Q170*$P170*Input!$C$3/365,0)</f>
        <v>0</v>
      </c>
      <c r="S170" s="60">
        <f>IF(A170&lt;=Input!$C$6,0,IF('Unique Tenure'!O170&lt;'Unique Tenure'!Q170,'Unique Tenure'!O170-R170,'Unique Tenure'!Q170))</f>
        <v>0</v>
      </c>
      <c r="T170" s="60">
        <f t="shared" si="75"/>
        <v>0</v>
      </c>
      <c r="U170" s="60">
        <f t="shared" si="76"/>
        <v>0</v>
      </c>
      <c r="V170" s="193"/>
      <c r="W170" s="169">
        <v>166</v>
      </c>
      <c r="X170" s="1">
        <f t="shared" si="98"/>
        <v>50571</v>
      </c>
      <c r="Y170" s="60">
        <f>IF($X170&lt;Input!$H$58,IF($X170&lt;Input!$G$58,IF($X170&lt;Input!$F$58,IF($X170&lt;Input!$E$58,IF($X170&lt;Input!$D$58,Input!$C$64,Input!$D$64),Input!$E$64),Input!$F$64),Input!$G$64),Input!$H$64)</f>
        <v>0</v>
      </c>
      <c r="Z170" s="190">
        <f>IF($A170&lt;Input!$H$65,IF($A170&lt;Input!$G$65,IF($A170&lt;Input!$F$65,IF($A170&lt;Input!$E$65,IF($A170&lt;Input!$D$65,Input!$C$66,Input!$D$66),Input!$E$66),Input!$F$66),Input!$G$66),Input!$H$66)</f>
        <v>0.9</v>
      </c>
      <c r="AA170" s="60">
        <f t="shared" si="77"/>
        <v>0</v>
      </c>
      <c r="AB170" s="60">
        <f t="shared" si="99"/>
        <v>31</v>
      </c>
      <c r="AC170" s="60">
        <f t="shared" si="78"/>
        <v>0</v>
      </c>
      <c r="AD170" s="60">
        <f>ROUND(AC170*AB170*Input!$C$3/365,0)</f>
        <v>0</v>
      </c>
      <c r="AE170" s="61">
        <f>IF($A170&lt;=Input!$C$6,0,IF('Unique Tenure'!AA170&lt;'Unique Tenure'!AC170,'Unique Tenure'!AA170-AD170,'Unique Tenure'!AC170))</f>
        <v>0</v>
      </c>
      <c r="AF170" s="61">
        <f t="shared" si="79"/>
        <v>0</v>
      </c>
      <c r="AG170" s="60">
        <f t="shared" si="80"/>
        <v>0</v>
      </c>
      <c r="AH170" s="193"/>
      <c r="AI170" s="169">
        <v>166</v>
      </c>
      <c r="AJ170" s="1">
        <f t="shared" si="100"/>
        <v>50571</v>
      </c>
      <c r="AK170" s="60">
        <f>IF($X170&lt;Input!$H$73,IF($X170&lt;Input!$G$73,IF($X170&lt;Input!$F$73,IF($X170&lt;Input!$E$73,IF($X170&lt;Input!$D$73,Input!$C$79,Input!$D$79),Input!$E$79),Input!$F$79),Input!$G$79),Input!$H$79)</f>
        <v>0</v>
      </c>
      <c r="AL170" s="190">
        <f>IF($A170&lt;Input!$H$80,IF($A170&lt;Input!$G$80,IF($A170&lt;Input!$F$80,IF($A170&lt;Input!$E$80,IF($A170&lt;Input!$D$80,Input!$C$81,Input!$D$81),Input!$E$81),Input!$F$81),Input!$G$81),Input!$H$81)</f>
        <v>0.9</v>
      </c>
      <c r="AM170" s="60">
        <f t="shared" si="81"/>
        <v>0</v>
      </c>
      <c r="AN170" s="60">
        <f t="shared" si="101"/>
        <v>31</v>
      </c>
      <c r="AO170" s="60">
        <f t="shared" si="82"/>
        <v>0</v>
      </c>
      <c r="AP170" s="60">
        <f>ROUND(AO170*AN170*Input!$C$3/365,0)</f>
        <v>0</v>
      </c>
      <c r="AQ170" s="61">
        <f>IF($A170&lt;=Input!$C$6,0,IF('Unique Tenure'!AM170&lt;'Unique Tenure'!AO170,'Unique Tenure'!AM170-AP170,'Unique Tenure'!AO170))</f>
        <v>0</v>
      </c>
      <c r="AR170" s="61">
        <f t="shared" si="83"/>
        <v>0</v>
      </c>
      <c r="AS170" s="60">
        <f t="shared" si="84"/>
        <v>0</v>
      </c>
      <c r="AT170" s="193"/>
      <c r="AU170" s="169">
        <v>166</v>
      </c>
      <c r="AV170" s="1">
        <f t="shared" si="102"/>
        <v>50571</v>
      </c>
      <c r="AW170" s="60">
        <f>IF($X170&lt;Input!$H$88,IF($X170&lt;Input!$G$88,IF($X170&lt;Input!$F$88,IF($X170&lt;Input!$E$88,IF($X170&lt;Input!$D$88,Input!$C$94,Input!$D$94),Input!$E$94),Input!$F$94),Input!$G$94),Input!$H$94)</f>
        <v>0</v>
      </c>
      <c r="AX170" s="190">
        <f>IF($A170&lt;Input!$H$95,IF($A170&lt;Input!$G$95,IF($A170&lt;Input!$F$95,IF($A170&lt;Input!$E$95,IF($A170&lt;Input!$D$95,Input!$C$96,Input!$D$96),Input!$E$96),Input!$F$96),Input!$G$96),Input!$H$96)</f>
        <v>0.9</v>
      </c>
      <c r="AY170" s="60">
        <f t="shared" si="85"/>
        <v>0</v>
      </c>
      <c r="AZ170" s="60">
        <f t="shared" si="103"/>
        <v>31</v>
      </c>
      <c r="BA170" s="60">
        <f t="shared" si="86"/>
        <v>0</v>
      </c>
      <c r="BB170" s="60">
        <f>ROUND(BA170*AZ170*Input!$C$3/365,0)</f>
        <v>0</v>
      </c>
      <c r="BC170" s="61">
        <f>IF($A170&lt;=Input!$C$6,0,IF('Unique Tenure'!AY170&lt;'Unique Tenure'!BA170,'Unique Tenure'!AY170-BB170,'Unique Tenure'!BA170))</f>
        <v>0</v>
      </c>
      <c r="BD170" s="61">
        <f t="shared" si="87"/>
        <v>0</v>
      </c>
      <c r="BE170" s="60">
        <f t="shared" si="88"/>
        <v>0</v>
      </c>
      <c r="BF170" s="193"/>
      <c r="BG170" s="169">
        <v>166</v>
      </c>
      <c r="BH170" s="1">
        <f t="shared" si="104"/>
        <v>50571</v>
      </c>
      <c r="BI170" s="60">
        <f>IF($X170&lt;Input!$H$103,IF($X170&lt;Input!$G$103,IF($X170&lt;Input!$F$103,IF($X170&lt;Input!$E$103,IF($X170&lt;Input!$D$103,Input!$C$109,Input!$D$109),Input!$E$109),Input!$F$109),Input!$G$109),Input!$H$109)</f>
        <v>0</v>
      </c>
      <c r="BJ170" s="190">
        <f>IF($A170&lt;Input!$H$110,IF($A170&lt;Input!$G$110,IF($A170&lt;Input!$F$110,IF($A170&lt;Input!$E$110,IF($A170&lt;Input!$D$110,Input!$C$111,Input!$D$111),Input!$E$111),Input!$F$111),Input!$G$111),Input!$H$111)</f>
        <v>0.9</v>
      </c>
      <c r="BK170" s="60">
        <f t="shared" si="89"/>
        <v>0</v>
      </c>
      <c r="BL170" s="60">
        <f t="shared" si="105"/>
        <v>31</v>
      </c>
      <c r="BM170" s="60">
        <f t="shared" si="90"/>
        <v>0</v>
      </c>
      <c r="BN170" s="60">
        <f>ROUND(BM170*BL170*Input!$C$3/365,0)</f>
        <v>0</v>
      </c>
      <c r="BO170" s="61">
        <f>IF($A170&lt;=Input!$C$6,0,IF('Unique Tenure'!BK170&lt;'Unique Tenure'!BM170,'Unique Tenure'!BK170-BN170,'Unique Tenure'!BM170))</f>
        <v>0</v>
      </c>
      <c r="BP170" s="61">
        <f t="shared" si="91"/>
        <v>0</v>
      </c>
      <c r="BQ170" s="60">
        <f t="shared" si="92"/>
        <v>0</v>
      </c>
      <c r="BR170" s="198"/>
    </row>
    <row r="171" spans="1:70" s="51" customFormat="1" x14ac:dyDescent="0.25">
      <c r="A171" s="169">
        <v>167</v>
      </c>
      <c r="B171" s="1">
        <f t="shared" si="93"/>
        <v>50601</v>
      </c>
      <c r="C171" s="60">
        <f>SUM(
   IF(($A$4:$A$184 &lt;= Input!$D$16), M171, 0),
   IF(($A$4:$A$184 &lt;= Input!$E$16), Y171, 0),
   IF(($A$4:$A$184 &lt;= Input!$F$16), AK171, 0),
   IF(($A$4:$A$184 &lt;= Input!$G$16), AW171, 0),
   IF(($A$4:$A$184 &lt;= Input!$H$16), BI171, 0)
)</f>
        <v>33127052.878124986</v>
      </c>
      <c r="D171" s="60">
        <f>SUM(
   IF(($A$4:$A$184 &lt;= Input!$D$16), O171, 0),
   IF(($A$4:$A$184 &lt;= Input!$E$16), AA171, 0),
   IF(($A$4:$A$184 &lt;= Input!$F$16), AM171, 0),
   IF(($A$4:$A$184 &lt;= Input!$G$16), AY171, 0),
   IF(($A$4:$A$184 &lt;= Input!$H$16), BK171, 0)
)</f>
        <v>29814347.590312488</v>
      </c>
      <c r="E171" s="60">
        <f t="shared" si="94"/>
        <v>30</v>
      </c>
      <c r="F171" s="60">
        <f t="shared" si="95"/>
        <v>0</v>
      </c>
      <c r="G171" s="60">
        <f>ROUND(F171*E171*Input!$C$3/365,0)</f>
        <v>0</v>
      </c>
      <c r="H171" s="60">
        <f>IF($A171&lt;=Input!$C$6,0,IF('Unique Tenure'!D171&lt;'Unique Tenure'!F171,'Unique Tenure'!D171-G171,'Unique Tenure'!F171))</f>
        <v>0</v>
      </c>
      <c r="I171" s="60">
        <f t="shared" si="96"/>
        <v>0</v>
      </c>
      <c r="J171" s="60">
        <f t="shared" si="97"/>
        <v>0</v>
      </c>
      <c r="K171" s="202">
        <f>J171/Input!$K$5</f>
        <v>0</v>
      </c>
      <c r="L171" s="232"/>
      <c r="M171" s="60">
        <f>IF($B171&lt;Input!$H$43,IF($B171&lt;Input!$G$43,IF($B171&lt;Input!$F$43,IF($B171&lt;Input!$E$43,IF($B171&lt;Input!$D$43,Input!$C$49,Input!$D$49),Input!$E$49),Input!$F$49),Input!$G$49),Input!$H$49)</f>
        <v>33127052.878124986</v>
      </c>
      <c r="N171" s="190">
        <f>IF($A171&lt;Input!$H$50,IF($A171&lt;Input!$G$50,IF($A171&lt;Input!$F$50,IF($A171&lt;Input!$E$50,IF($A171&lt;Input!$D$50,Input!$C$51,Input!$D$51),Input!$E$51),Input!$F$51),Input!$G$51),Input!$H$51)</f>
        <v>0.9</v>
      </c>
      <c r="O171" s="60">
        <f t="shared" si="106"/>
        <v>29814347.590312488</v>
      </c>
      <c r="P171" s="60">
        <f t="shared" si="107"/>
        <v>30</v>
      </c>
      <c r="Q171" s="60">
        <f t="shared" si="74"/>
        <v>0</v>
      </c>
      <c r="R171" s="60">
        <f>ROUND(Q171*$P171*Input!$C$3/365,0)</f>
        <v>0</v>
      </c>
      <c r="S171" s="60">
        <f>IF(A171&lt;=Input!$C$6,0,IF('Unique Tenure'!O171&lt;'Unique Tenure'!Q171,'Unique Tenure'!O171-R171,'Unique Tenure'!Q171))</f>
        <v>0</v>
      </c>
      <c r="T171" s="60">
        <f t="shared" si="75"/>
        <v>0</v>
      </c>
      <c r="U171" s="60">
        <f t="shared" si="76"/>
        <v>0</v>
      </c>
      <c r="V171" s="193"/>
      <c r="W171" s="169">
        <v>167</v>
      </c>
      <c r="X171" s="1">
        <f t="shared" si="98"/>
        <v>50601</v>
      </c>
      <c r="Y171" s="60">
        <f>IF($X171&lt;Input!$H$58,IF($X171&lt;Input!$G$58,IF($X171&lt;Input!$F$58,IF($X171&lt;Input!$E$58,IF($X171&lt;Input!$D$58,Input!$C$64,Input!$D$64),Input!$E$64),Input!$F$64),Input!$G$64),Input!$H$64)</f>
        <v>0</v>
      </c>
      <c r="Z171" s="190">
        <f>IF($A171&lt;Input!$H$65,IF($A171&lt;Input!$G$65,IF($A171&lt;Input!$F$65,IF($A171&lt;Input!$E$65,IF($A171&lt;Input!$D$65,Input!$C$66,Input!$D$66),Input!$E$66),Input!$F$66),Input!$G$66),Input!$H$66)</f>
        <v>0.9</v>
      </c>
      <c r="AA171" s="60">
        <f t="shared" si="77"/>
        <v>0</v>
      </c>
      <c r="AB171" s="60">
        <f t="shared" si="99"/>
        <v>30</v>
      </c>
      <c r="AC171" s="60">
        <f t="shared" si="78"/>
        <v>0</v>
      </c>
      <c r="AD171" s="60">
        <f>ROUND(AC171*AB171*Input!$C$3/365,0)</f>
        <v>0</v>
      </c>
      <c r="AE171" s="61">
        <f>IF($A171&lt;=Input!$C$6,0,IF('Unique Tenure'!AA171&lt;'Unique Tenure'!AC171,'Unique Tenure'!AA171-AD171,'Unique Tenure'!AC171))</f>
        <v>0</v>
      </c>
      <c r="AF171" s="61">
        <f t="shared" si="79"/>
        <v>0</v>
      </c>
      <c r="AG171" s="60">
        <f t="shared" si="80"/>
        <v>0</v>
      </c>
      <c r="AH171" s="193"/>
      <c r="AI171" s="169">
        <v>167</v>
      </c>
      <c r="AJ171" s="1">
        <f t="shared" si="100"/>
        <v>50601</v>
      </c>
      <c r="AK171" s="60">
        <f>IF($X171&lt;Input!$H$73,IF($X171&lt;Input!$G$73,IF($X171&lt;Input!$F$73,IF($X171&lt;Input!$E$73,IF($X171&lt;Input!$D$73,Input!$C$79,Input!$D$79),Input!$E$79),Input!$F$79),Input!$G$79),Input!$H$79)</f>
        <v>0</v>
      </c>
      <c r="AL171" s="190">
        <f>IF($A171&lt;Input!$H$80,IF($A171&lt;Input!$G$80,IF($A171&lt;Input!$F$80,IF($A171&lt;Input!$E$80,IF($A171&lt;Input!$D$80,Input!$C$81,Input!$D$81),Input!$E$81),Input!$F$81),Input!$G$81),Input!$H$81)</f>
        <v>0.9</v>
      </c>
      <c r="AM171" s="60">
        <f t="shared" si="81"/>
        <v>0</v>
      </c>
      <c r="AN171" s="60">
        <f t="shared" si="101"/>
        <v>30</v>
      </c>
      <c r="AO171" s="60">
        <f t="shared" si="82"/>
        <v>0</v>
      </c>
      <c r="AP171" s="60">
        <f>ROUND(AO171*AN171*Input!$C$3/365,0)</f>
        <v>0</v>
      </c>
      <c r="AQ171" s="61">
        <f>IF($A171&lt;=Input!$C$6,0,IF('Unique Tenure'!AM171&lt;'Unique Tenure'!AO171,'Unique Tenure'!AM171-AP171,'Unique Tenure'!AO171))</f>
        <v>0</v>
      </c>
      <c r="AR171" s="61">
        <f t="shared" si="83"/>
        <v>0</v>
      </c>
      <c r="AS171" s="60">
        <f t="shared" si="84"/>
        <v>0</v>
      </c>
      <c r="AT171" s="193"/>
      <c r="AU171" s="169">
        <v>167</v>
      </c>
      <c r="AV171" s="1">
        <f t="shared" si="102"/>
        <v>50601</v>
      </c>
      <c r="AW171" s="60">
        <f>IF($X171&lt;Input!$H$88,IF($X171&lt;Input!$G$88,IF($X171&lt;Input!$F$88,IF($X171&lt;Input!$E$88,IF($X171&lt;Input!$D$88,Input!$C$94,Input!$D$94),Input!$E$94),Input!$F$94),Input!$G$94),Input!$H$94)</f>
        <v>0</v>
      </c>
      <c r="AX171" s="190">
        <f>IF($A171&lt;Input!$H$95,IF($A171&lt;Input!$G$95,IF($A171&lt;Input!$F$95,IF($A171&lt;Input!$E$95,IF($A171&lt;Input!$D$95,Input!$C$96,Input!$D$96),Input!$E$96),Input!$F$96),Input!$G$96),Input!$H$96)</f>
        <v>0.9</v>
      </c>
      <c r="AY171" s="60">
        <f t="shared" si="85"/>
        <v>0</v>
      </c>
      <c r="AZ171" s="60">
        <f t="shared" si="103"/>
        <v>30</v>
      </c>
      <c r="BA171" s="60">
        <f t="shared" si="86"/>
        <v>0</v>
      </c>
      <c r="BB171" s="60">
        <f>ROUND(BA171*AZ171*Input!$C$3/365,0)</f>
        <v>0</v>
      </c>
      <c r="BC171" s="61">
        <f>IF($A171&lt;=Input!$C$6,0,IF('Unique Tenure'!AY171&lt;'Unique Tenure'!BA171,'Unique Tenure'!AY171-BB171,'Unique Tenure'!BA171))</f>
        <v>0</v>
      </c>
      <c r="BD171" s="61">
        <f t="shared" si="87"/>
        <v>0</v>
      </c>
      <c r="BE171" s="60">
        <f t="shared" si="88"/>
        <v>0</v>
      </c>
      <c r="BF171" s="193"/>
      <c r="BG171" s="169">
        <v>167</v>
      </c>
      <c r="BH171" s="1">
        <f t="shared" si="104"/>
        <v>50601</v>
      </c>
      <c r="BI171" s="60">
        <f>IF($X171&lt;Input!$H$103,IF($X171&lt;Input!$G$103,IF($X171&lt;Input!$F$103,IF($X171&lt;Input!$E$103,IF($X171&lt;Input!$D$103,Input!$C$109,Input!$D$109),Input!$E$109),Input!$F$109),Input!$G$109),Input!$H$109)</f>
        <v>0</v>
      </c>
      <c r="BJ171" s="190">
        <f>IF($A171&lt;Input!$H$110,IF($A171&lt;Input!$G$110,IF($A171&lt;Input!$F$110,IF($A171&lt;Input!$E$110,IF($A171&lt;Input!$D$110,Input!$C$111,Input!$D$111),Input!$E$111),Input!$F$111),Input!$G$111),Input!$H$111)</f>
        <v>0.9</v>
      </c>
      <c r="BK171" s="60">
        <f t="shared" si="89"/>
        <v>0</v>
      </c>
      <c r="BL171" s="60">
        <f t="shared" si="105"/>
        <v>30</v>
      </c>
      <c r="BM171" s="60">
        <f t="shared" si="90"/>
        <v>0</v>
      </c>
      <c r="BN171" s="60">
        <f>ROUND(BM171*BL171*Input!$C$3/365,0)</f>
        <v>0</v>
      </c>
      <c r="BO171" s="61">
        <f>IF($A171&lt;=Input!$C$6,0,IF('Unique Tenure'!BK171&lt;'Unique Tenure'!BM171,'Unique Tenure'!BK171-BN171,'Unique Tenure'!BM171))</f>
        <v>0</v>
      </c>
      <c r="BP171" s="61">
        <f t="shared" si="91"/>
        <v>0</v>
      </c>
      <c r="BQ171" s="60">
        <f t="shared" si="92"/>
        <v>0</v>
      </c>
      <c r="BR171" s="198"/>
    </row>
    <row r="172" spans="1:70" s="51" customFormat="1" x14ac:dyDescent="0.25">
      <c r="A172" s="169">
        <v>168</v>
      </c>
      <c r="B172" s="1">
        <f t="shared" si="93"/>
        <v>50632</v>
      </c>
      <c r="C172" s="60">
        <f>SUM(
   IF(($A$4:$A$184 &lt;= Input!$D$16), M172, 0),
   IF(($A$4:$A$184 &lt;= Input!$E$16), Y172, 0),
   IF(($A$4:$A$184 &lt;= Input!$F$16), AK172, 0),
   IF(($A$4:$A$184 &lt;= Input!$G$16), AW172, 0),
   IF(($A$4:$A$184 &lt;= Input!$H$16), BI172, 0)
)</f>
        <v>33127052.878124986</v>
      </c>
      <c r="D172" s="60">
        <f>SUM(
   IF(($A$4:$A$184 &lt;= Input!$D$16), O172, 0),
   IF(($A$4:$A$184 &lt;= Input!$E$16), AA172, 0),
   IF(($A$4:$A$184 &lt;= Input!$F$16), AM172, 0),
   IF(($A$4:$A$184 &lt;= Input!$G$16), AY172, 0),
   IF(($A$4:$A$184 &lt;= Input!$H$16), BK172, 0)
)</f>
        <v>29814347.590312488</v>
      </c>
      <c r="E172" s="60">
        <f t="shared" si="94"/>
        <v>31</v>
      </c>
      <c r="F172" s="60">
        <f t="shared" si="95"/>
        <v>0</v>
      </c>
      <c r="G172" s="60">
        <f>ROUND(F172*E172*Input!$C$3/365,0)</f>
        <v>0</v>
      </c>
      <c r="H172" s="60">
        <f>IF($A172&lt;=Input!$C$6,0,IF('Unique Tenure'!D172&lt;'Unique Tenure'!F172,'Unique Tenure'!D172-G172,'Unique Tenure'!F172))</f>
        <v>0</v>
      </c>
      <c r="I172" s="60">
        <f t="shared" si="96"/>
        <v>0</v>
      </c>
      <c r="J172" s="60">
        <f t="shared" si="97"/>
        <v>0</v>
      </c>
      <c r="K172" s="202">
        <f>J172/Input!$K$5</f>
        <v>0</v>
      </c>
      <c r="L172" s="232"/>
      <c r="M172" s="60">
        <f>IF($B172&lt;Input!$H$43,IF($B172&lt;Input!$G$43,IF($B172&lt;Input!$F$43,IF($B172&lt;Input!$E$43,IF($B172&lt;Input!$D$43,Input!$C$49,Input!$D$49),Input!$E$49),Input!$F$49),Input!$G$49),Input!$H$49)</f>
        <v>33127052.878124986</v>
      </c>
      <c r="N172" s="190">
        <f>IF($A172&lt;Input!$H$50,IF($A172&lt;Input!$G$50,IF($A172&lt;Input!$F$50,IF($A172&lt;Input!$E$50,IF($A172&lt;Input!$D$50,Input!$C$51,Input!$D$51),Input!$E$51),Input!$F$51),Input!$G$51),Input!$H$51)</f>
        <v>0.9</v>
      </c>
      <c r="O172" s="60">
        <f t="shared" si="106"/>
        <v>29814347.590312488</v>
      </c>
      <c r="P172" s="60">
        <f t="shared" si="107"/>
        <v>31</v>
      </c>
      <c r="Q172" s="60">
        <f t="shared" si="74"/>
        <v>0</v>
      </c>
      <c r="R172" s="60">
        <f>ROUND(Q172*$P172*Input!$C$3/365,0)</f>
        <v>0</v>
      </c>
      <c r="S172" s="60">
        <f>IF(A172&lt;=Input!$C$6,0,IF('Unique Tenure'!O172&lt;'Unique Tenure'!Q172,'Unique Tenure'!O172-R172,'Unique Tenure'!Q172))</f>
        <v>0</v>
      </c>
      <c r="T172" s="60">
        <f t="shared" si="75"/>
        <v>0</v>
      </c>
      <c r="U172" s="60">
        <f t="shared" si="76"/>
        <v>0</v>
      </c>
      <c r="V172" s="193"/>
      <c r="W172" s="169">
        <v>168</v>
      </c>
      <c r="X172" s="1">
        <f t="shared" si="98"/>
        <v>50632</v>
      </c>
      <c r="Y172" s="60">
        <f>IF($X172&lt;Input!$H$58,IF($X172&lt;Input!$G$58,IF($X172&lt;Input!$F$58,IF($X172&lt;Input!$E$58,IF($X172&lt;Input!$D$58,Input!$C$64,Input!$D$64),Input!$E$64),Input!$F$64),Input!$G$64),Input!$H$64)</f>
        <v>0</v>
      </c>
      <c r="Z172" s="190">
        <f>IF($A172&lt;Input!$H$65,IF($A172&lt;Input!$G$65,IF($A172&lt;Input!$F$65,IF($A172&lt;Input!$E$65,IF($A172&lt;Input!$D$65,Input!$C$66,Input!$D$66),Input!$E$66),Input!$F$66),Input!$G$66),Input!$H$66)</f>
        <v>0.9</v>
      </c>
      <c r="AA172" s="60">
        <f t="shared" si="77"/>
        <v>0</v>
      </c>
      <c r="AB172" s="60">
        <f t="shared" si="99"/>
        <v>31</v>
      </c>
      <c r="AC172" s="60">
        <f t="shared" si="78"/>
        <v>0</v>
      </c>
      <c r="AD172" s="60">
        <f>ROUND(AC172*AB172*Input!$C$3/365,0)</f>
        <v>0</v>
      </c>
      <c r="AE172" s="61">
        <f>IF($A172&lt;=Input!$C$6,0,IF('Unique Tenure'!AA172&lt;'Unique Tenure'!AC172,'Unique Tenure'!AA172-AD172,'Unique Tenure'!AC172))</f>
        <v>0</v>
      </c>
      <c r="AF172" s="61">
        <f t="shared" si="79"/>
        <v>0</v>
      </c>
      <c r="AG172" s="60">
        <f t="shared" si="80"/>
        <v>0</v>
      </c>
      <c r="AH172" s="193"/>
      <c r="AI172" s="169">
        <v>168</v>
      </c>
      <c r="AJ172" s="1">
        <f t="shared" si="100"/>
        <v>50632</v>
      </c>
      <c r="AK172" s="60">
        <f>IF($X172&lt;Input!$H$73,IF($X172&lt;Input!$G$73,IF($X172&lt;Input!$F$73,IF($X172&lt;Input!$E$73,IF($X172&lt;Input!$D$73,Input!$C$79,Input!$D$79),Input!$E$79),Input!$F$79),Input!$G$79),Input!$H$79)</f>
        <v>0</v>
      </c>
      <c r="AL172" s="190">
        <f>IF($A172&lt;Input!$H$80,IF($A172&lt;Input!$G$80,IF($A172&lt;Input!$F$80,IF($A172&lt;Input!$E$80,IF($A172&lt;Input!$D$80,Input!$C$81,Input!$D$81),Input!$E$81),Input!$F$81),Input!$G$81),Input!$H$81)</f>
        <v>0.9</v>
      </c>
      <c r="AM172" s="60">
        <f t="shared" si="81"/>
        <v>0</v>
      </c>
      <c r="AN172" s="60">
        <f t="shared" si="101"/>
        <v>31</v>
      </c>
      <c r="AO172" s="60">
        <f t="shared" si="82"/>
        <v>0</v>
      </c>
      <c r="AP172" s="60">
        <f>ROUND(AO172*AN172*Input!$C$3/365,0)</f>
        <v>0</v>
      </c>
      <c r="AQ172" s="61">
        <f>IF($A172&lt;=Input!$C$6,0,IF('Unique Tenure'!AM172&lt;'Unique Tenure'!AO172,'Unique Tenure'!AM172-AP172,'Unique Tenure'!AO172))</f>
        <v>0</v>
      </c>
      <c r="AR172" s="61">
        <f t="shared" si="83"/>
        <v>0</v>
      </c>
      <c r="AS172" s="60">
        <f t="shared" si="84"/>
        <v>0</v>
      </c>
      <c r="AT172" s="193"/>
      <c r="AU172" s="169">
        <v>168</v>
      </c>
      <c r="AV172" s="1">
        <f t="shared" si="102"/>
        <v>50632</v>
      </c>
      <c r="AW172" s="60">
        <f>IF($X172&lt;Input!$H$88,IF($X172&lt;Input!$G$88,IF($X172&lt;Input!$F$88,IF($X172&lt;Input!$E$88,IF($X172&lt;Input!$D$88,Input!$C$94,Input!$D$94),Input!$E$94),Input!$F$94),Input!$G$94),Input!$H$94)</f>
        <v>0</v>
      </c>
      <c r="AX172" s="190">
        <f>IF($A172&lt;Input!$H$95,IF($A172&lt;Input!$G$95,IF($A172&lt;Input!$F$95,IF($A172&lt;Input!$E$95,IF($A172&lt;Input!$D$95,Input!$C$96,Input!$D$96),Input!$E$96),Input!$F$96),Input!$G$96),Input!$H$96)</f>
        <v>0.9</v>
      </c>
      <c r="AY172" s="60">
        <f t="shared" si="85"/>
        <v>0</v>
      </c>
      <c r="AZ172" s="60">
        <f t="shared" si="103"/>
        <v>31</v>
      </c>
      <c r="BA172" s="60">
        <f t="shared" si="86"/>
        <v>0</v>
      </c>
      <c r="BB172" s="60">
        <f>ROUND(BA172*AZ172*Input!$C$3/365,0)</f>
        <v>0</v>
      </c>
      <c r="BC172" s="61">
        <f>IF($A172&lt;=Input!$C$6,0,IF('Unique Tenure'!AY172&lt;'Unique Tenure'!BA172,'Unique Tenure'!AY172-BB172,'Unique Tenure'!BA172))</f>
        <v>0</v>
      </c>
      <c r="BD172" s="61">
        <f t="shared" si="87"/>
        <v>0</v>
      </c>
      <c r="BE172" s="60">
        <f t="shared" si="88"/>
        <v>0</v>
      </c>
      <c r="BF172" s="193"/>
      <c r="BG172" s="169">
        <v>168</v>
      </c>
      <c r="BH172" s="1">
        <f t="shared" si="104"/>
        <v>50632</v>
      </c>
      <c r="BI172" s="60">
        <f>IF($X172&lt;Input!$H$103,IF($X172&lt;Input!$G$103,IF($X172&lt;Input!$F$103,IF($X172&lt;Input!$E$103,IF($X172&lt;Input!$D$103,Input!$C$109,Input!$D$109),Input!$E$109),Input!$F$109),Input!$G$109),Input!$H$109)</f>
        <v>0</v>
      </c>
      <c r="BJ172" s="190">
        <f>IF($A172&lt;Input!$H$110,IF($A172&lt;Input!$G$110,IF($A172&lt;Input!$F$110,IF($A172&lt;Input!$E$110,IF($A172&lt;Input!$D$110,Input!$C$111,Input!$D$111),Input!$E$111),Input!$F$111),Input!$G$111),Input!$H$111)</f>
        <v>0.9</v>
      </c>
      <c r="BK172" s="60">
        <f t="shared" si="89"/>
        <v>0</v>
      </c>
      <c r="BL172" s="60">
        <f t="shared" si="105"/>
        <v>31</v>
      </c>
      <c r="BM172" s="60">
        <f t="shared" si="90"/>
        <v>0</v>
      </c>
      <c r="BN172" s="60">
        <f>ROUND(BM172*BL172*Input!$C$3/365,0)</f>
        <v>0</v>
      </c>
      <c r="BO172" s="61">
        <f>IF($A172&lt;=Input!$C$6,0,IF('Unique Tenure'!BK172&lt;'Unique Tenure'!BM172,'Unique Tenure'!BK172-BN172,'Unique Tenure'!BM172))</f>
        <v>0</v>
      </c>
      <c r="BP172" s="61">
        <f t="shared" si="91"/>
        <v>0</v>
      </c>
      <c r="BQ172" s="60">
        <f t="shared" si="92"/>
        <v>0</v>
      </c>
      <c r="BR172" s="198"/>
    </row>
    <row r="173" spans="1:70" s="51" customFormat="1" x14ac:dyDescent="0.25">
      <c r="A173" s="169">
        <v>169</v>
      </c>
      <c r="B173" s="1">
        <f t="shared" si="93"/>
        <v>50663</v>
      </c>
      <c r="C173" s="60">
        <f>SUM(
   IF(($A$4:$A$184 &lt;= Input!$D$16), M173, 0),
   IF(($A$4:$A$184 &lt;= Input!$E$16), Y173, 0),
   IF(($A$4:$A$184 &lt;= Input!$F$16), AK173, 0),
   IF(($A$4:$A$184 &lt;= Input!$G$16), AW173, 0),
   IF(($A$4:$A$184 &lt;= Input!$H$16), BI173, 0)
)</f>
        <v>33127052.878124986</v>
      </c>
      <c r="D173" s="60">
        <f>SUM(
   IF(($A$4:$A$184 &lt;= Input!$D$16), O173, 0),
   IF(($A$4:$A$184 &lt;= Input!$E$16), AA173, 0),
   IF(($A$4:$A$184 &lt;= Input!$F$16), AM173, 0),
   IF(($A$4:$A$184 &lt;= Input!$G$16), AY173, 0),
   IF(($A$4:$A$184 &lt;= Input!$H$16), BK173, 0)
)</f>
        <v>29814347.590312488</v>
      </c>
      <c r="E173" s="60">
        <f t="shared" si="94"/>
        <v>31</v>
      </c>
      <c r="F173" s="60">
        <f t="shared" si="95"/>
        <v>0</v>
      </c>
      <c r="G173" s="60">
        <f>ROUND(F173*E173*Input!$C$3/365,0)</f>
        <v>0</v>
      </c>
      <c r="H173" s="60">
        <f>IF($A173&lt;=Input!$C$6,0,IF('Unique Tenure'!D173&lt;'Unique Tenure'!F173,'Unique Tenure'!D173-G173,'Unique Tenure'!F173))</f>
        <v>0</v>
      </c>
      <c r="I173" s="60">
        <f t="shared" si="96"/>
        <v>0</v>
      </c>
      <c r="J173" s="60">
        <f t="shared" si="97"/>
        <v>0</v>
      </c>
      <c r="K173" s="202">
        <f>J173/Input!$K$5</f>
        <v>0</v>
      </c>
      <c r="L173" s="232"/>
      <c r="M173" s="60">
        <f>IF($B173&lt;Input!$H$43,IF($B173&lt;Input!$G$43,IF($B173&lt;Input!$F$43,IF($B173&lt;Input!$E$43,IF($B173&lt;Input!$D$43,Input!$C$49,Input!$D$49),Input!$E$49),Input!$F$49),Input!$G$49),Input!$H$49)</f>
        <v>33127052.878124986</v>
      </c>
      <c r="N173" s="190">
        <f>IF($A173&lt;Input!$H$50,IF($A173&lt;Input!$G$50,IF($A173&lt;Input!$F$50,IF($A173&lt;Input!$E$50,IF($A173&lt;Input!$D$50,Input!$C$51,Input!$D$51),Input!$E$51),Input!$F$51),Input!$G$51),Input!$H$51)</f>
        <v>0.9</v>
      </c>
      <c r="O173" s="60">
        <f t="shared" si="106"/>
        <v>29814347.590312488</v>
      </c>
      <c r="P173" s="60">
        <f t="shared" si="107"/>
        <v>31</v>
      </c>
      <c r="Q173" s="60">
        <f t="shared" si="74"/>
        <v>0</v>
      </c>
      <c r="R173" s="60">
        <f>ROUND(Q173*$P173*Input!$C$3/365,0)</f>
        <v>0</v>
      </c>
      <c r="S173" s="60">
        <f>IF(A173&lt;=Input!$C$6,0,IF('Unique Tenure'!O173&lt;'Unique Tenure'!Q173,'Unique Tenure'!O173-R173,'Unique Tenure'!Q173))</f>
        <v>0</v>
      </c>
      <c r="T173" s="60">
        <f t="shared" si="75"/>
        <v>0</v>
      </c>
      <c r="U173" s="60">
        <f t="shared" si="76"/>
        <v>0</v>
      </c>
      <c r="V173" s="193"/>
      <c r="W173" s="169">
        <v>169</v>
      </c>
      <c r="X173" s="1">
        <f t="shared" si="98"/>
        <v>50663</v>
      </c>
      <c r="Y173" s="60">
        <f>IF($X173&lt;Input!$H$58,IF($X173&lt;Input!$G$58,IF($X173&lt;Input!$F$58,IF($X173&lt;Input!$E$58,IF($X173&lt;Input!$D$58,Input!$C$64,Input!$D$64),Input!$E$64),Input!$F$64),Input!$G$64),Input!$H$64)</f>
        <v>0</v>
      </c>
      <c r="Z173" s="190">
        <f>IF($A173&lt;Input!$H$65,IF($A173&lt;Input!$G$65,IF($A173&lt;Input!$F$65,IF($A173&lt;Input!$E$65,IF($A173&lt;Input!$D$65,Input!$C$66,Input!$D$66),Input!$E$66),Input!$F$66),Input!$G$66),Input!$H$66)</f>
        <v>0.9</v>
      </c>
      <c r="AA173" s="60">
        <f t="shared" si="77"/>
        <v>0</v>
      </c>
      <c r="AB173" s="60">
        <f t="shared" si="99"/>
        <v>31</v>
      </c>
      <c r="AC173" s="60">
        <f t="shared" si="78"/>
        <v>0</v>
      </c>
      <c r="AD173" s="60">
        <f>ROUND(AC173*AB173*Input!$C$3/365,0)</f>
        <v>0</v>
      </c>
      <c r="AE173" s="61">
        <f>IF($A173&lt;=Input!$C$6,0,IF('Unique Tenure'!AA173&lt;'Unique Tenure'!AC173,'Unique Tenure'!AA173-AD173,'Unique Tenure'!AC173))</f>
        <v>0</v>
      </c>
      <c r="AF173" s="61">
        <f t="shared" si="79"/>
        <v>0</v>
      </c>
      <c r="AG173" s="60">
        <f t="shared" si="80"/>
        <v>0</v>
      </c>
      <c r="AH173" s="193"/>
      <c r="AI173" s="169">
        <v>169</v>
      </c>
      <c r="AJ173" s="1">
        <f t="shared" si="100"/>
        <v>50663</v>
      </c>
      <c r="AK173" s="60">
        <f>IF($X173&lt;Input!$H$73,IF($X173&lt;Input!$G$73,IF($X173&lt;Input!$F$73,IF($X173&lt;Input!$E$73,IF($X173&lt;Input!$D$73,Input!$C$79,Input!$D$79),Input!$E$79),Input!$F$79),Input!$G$79),Input!$H$79)</f>
        <v>0</v>
      </c>
      <c r="AL173" s="190">
        <f>IF($A173&lt;Input!$H$80,IF($A173&lt;Input!$G$80,IF($A173&lt;Input!$F$80,IF($A173&lt;Input!$E$80,IF($A173&lt;Input!$D$80,Input!$C$81,Input!$D$81),Input!$E$81),Input!$F$81),Input!$G$81),Input!$H$81)</f>
        <v>0.9</v>
      </c>
      <c r="AM173" s="60">
        <f t="shared" si="81"/>
        <v>0</v>
      </c>
      <c r="AN173" s="60">
        <f t="shared" si="101"/>
        <v>31</v>
      </c>
      <c r="AO173" s="60">
        <f t="shared" si="82"/>
        <v>0</v>
      </c>
      <c r="AP173" s="60">
        <f>ROUND(AO173*AN173*Input!$C$3/365,0)</f>
        <v>0</v>
      </c>
      <c r="AQ173" s="61">
        <f>IF($A173&lt;=Input!$C$6,0,IF('Unique Tenure'!AM173&lt;'Unique Tenure'!AO173,'Unique Tenure'!AM173-AP173,'Unique Tenure'!AO173))</f>
        <v>0</v>
      </c>
      <c r="AR173" s="61">
        <f t="shared" si="83"/>
        <v>0</v>
      </c>
      <c r="AS173" s="60">
        <f t="shared" si="84"/>
        <v>0</v>
      </c>
      <c r="AT173" s="193"/>
      <c r="AU173" s="169">
        <v>169</v>
      </c>
      <c r="AV173" s="1">
        <f t="shared" si="102"/>
        <v>50663</v>
      </c>
      <c r="AW173" s="60">
        <f>IF($X173&lt;Input!$H$88,IF($X173&lt;Input!$G$88,IF($X173&lt;Input!$F$88,IF($X173&lt;Input!$E$88,IF($X173&lt;Input!$D$88,Input!$C$94,Input!$D$94),Input!$E$94),Input!$F$94),Input!$G$94),Input!$H$94)</f>
        <v>0</v>
      </c>
      <c r="AX173" s="190">
        <f>IF($A173&lt;Input!$H$95,IF($A173&lt;Input!$G$95,IF($A173&lt;Input!$F$95,IF($A173&lt;Input!$E$95,IF($A173&lt;Input!$D$95,Input!$C$96,Input!$D$96),Input!$E$96),Input!$F$96),Input!$G$96),Input!$H$96)</f>
        <v>0.9</v>
      </c>
      <c r="AY173" s="60">
        <f t="shared" si="85"/>
        <v>0</v>
      </c>
      <c r="AZ173" s="60">
        <f t="shared" si="103"/>
        <v>31</v>
      </c>
      <c r="BA173" s="60">
        <f t="shared" si="86"/>
        <v>0</v>
      </c>
      <c r="BB173" s="60">
        <f>ROUND(BA173*AZ173*Input!$C$3/365,0)</f>
        <v>0</v>
      </c>
      <c r="BC173" s="61">
        <f>IF($A173&lt;=Input!$C$6,0,IF('Unique Tenure'!AY173&lt;'Unique Tenure'!BA173,'Unique Tenure'!AY173-BB173,'Unique Tenure'!BA173))</f>
        <v>0</v>
      </c>
      <c r="BD173" s="61">
        <f t="shared" si="87"/>
        <v>0</v>
      </c>
      <c r="BE173" s="60">
        <f t="shared" si="88"/>
        <v>0</v>
      </c>
      <c r="BF173" s="193"/>
      <c r="BG173" s="169">
        <v>169</v>
      </c>
      <c r="BH173" s="1">
        <f t="shared" si="104"/>
        <v>50663</v>
      </c>
      <c r="BI173" s="60">
        <f>IF($X173&lt;Input!$H$103,IF($X173&lt;Input!$G$103,IF($X173&lt;Input!$F$103,IF($X173&lt;Input!$E$103,IF($X173&lt;Input!$D$103,Input!$C$109,Input!$D$109),Input!$E$109),Input!$F$109),Input!$G$109),Input!$H$109)</f>
        <v>0</v>
      </c>
      <c r="BJ173" s="190">
        <f>IF($A173&lt;Input!$H$110,IF($A173&lt;Input!$G$110,IF($A173&lt;Input!$F$110,IF($A173&lt;Input!$E$110,IF($A173&lt;Input!$D$110,Input!$C$111,Input!$D$111),Input!$E$111),Input!$F$111),Input!$G$111),Input!$H$111)</f>
        <v>0.9</v>
      </c>
      <c r="BK173" s="60">
        <f t="shared" si="89"/>
        <v>0</v>
      </c>
      <c r="BL173" s="60">
        <f t="shared" si="105"/>
        <v>31</v>
      </c>
      <c r="BM173" s="60">
        <f t="shared" si="90"/>
        <v>0</v>
      </c>
      <c r="BN173" s="60">
        <f>ROUND(BM173*BL173*Input!$C$3/365,0)</f>
        <v>0</v>
      </c>
      <c r="BO173" s="61">
        <f>IF($A173&lt;=Input!$C$6,0,IF('Unique Tenure'!BK173&lt;'Unique Tenure'!BM173,'Unique Tenure'!BK173-BN173,'Unique Tenure'!BM173))</f>
        <v>0</v>
      </c>
      <c r="BP173" s="61">
        <f t="shared" si="91"/>
        <v>0</v>
      </c>
      <c r="BQ173" s="60">
        <f t="shared" si="92"/>
        <v>0</v>
      </c>
      <c r="BR173" s="198"/>
    </row>
    <row r="174" spans="1:70" s="51" customFormat="1" x14ac:dyDescent="0.25">
      <c r="A174" s="169">
        <v>170</v>
      </c>
      <c r="B174" s="1">
        <f t="shared" si="93"/>
        <v>50693</v>
      </c>
      <c r="C174" s="60">
        <f>SUM(
   IF(($A$4:$A$184 &lt;= Input!$D$16), M174, 0),
   IF(($A$4:$A$184 &lt;= Input!$E$16), Y174, 0),
   IF(($A$4:$A$184 &lt;= Input!$F$16), AK174, 0),
   IF(($A$4:$A$184 &lt;= Input!$G$16), AW174, 0),
   IF(($A$4:$A$184 &lt;= Input!$H$16), BI174, 0)
)</f>
        <v>33127052.878124986</v>
      </c>
      <c r="D174" s="60">
        <f>SUM(
   IF(($A$4:$A$184 &lt;= Input!$D$16), O174, 0),
   IF(($A$4:$A$184 &lt;= Input!$E$16), AA174, 0),
   IF(($A$4:$A$184 &lt;= Input!$F$16), AM174, 0),
   IF(($A$4:$A$184 &lt;= Input!$G$16), AY174, 0),
   IF(($A$4:$A$184 &lt;= Input!$H$16), BK174, 0)
)</f>
        <v>29814347.590312488</v>
      </c>
      <c r="E174" s="60">
        <f t="shared" si="94"/>
        <v>30</v>
      </c>
      <c r="F174" s="60">
        <f t="shared" si="95"/>
        <v>0</v>
      </c>
      <c r="G174" s="60">
        <f>ROUND(F174*E174*Input!$C$3/365,0)</f>
        <v>0</v>
      </c>
      <c r="H174" s="60">
        <f>IF($A174&lt;=Input!$C$6,0,IF('Unique Tenure'!D174&lt;'Unique Tenure'!F174,'Unique Tenure'!D174-G174,'Unique Tenure'!F174))</f>
        <v>0</v>
      </c>
      <c r="I174" s="60">
        <f t="shared" si="96"/>
        <v>0</v>
      </c>
      <c r="J174" s="60">
        <f t="shared" si="97"/>
        <v>0</v>
      </c>
      <c r="K174" s="202">
        <f>J174/Input!$K$5</f>
        <v>0</v>
      </c>
      <c r="L174" s="232"/>
      <c r="M174" s="60">
        <f>IF($B174&lt;Input!$H$43,IF($B174&lt;Input!$G$43,IF($B174&lt;Input!$F$43,IF($B174&lt;Input!$E$43,IF($B174&lt;Input!$D$43,Input!$C$49,Input!$D$49),Input!$E$49),Input!$F$49),Input!$G$49),Input!$H$49)</f>
        <v>33127052.878124986</v>
      </c>
      <c r="N174" s="190">
        <f>IF($A174&lt;Input!$H$50,IF($A174&lt;Input!$G$50,IF($A174&lt;Input!$F$50,IF($A174&lt;Input!$E$50,IF($A174&lt;Input!$D$50,Input!$C$51,Input!$D$51),Input!$E$51),Input!$F$51),Input!$G$51),Input!$H$51)</f>
        <v>0.9</v>
      </c>
      <c r="O174" s="60">
        <f t="shared" si="106"/>
        <v>29814347.590312488</v>
      </c>
      <c r="P174" s="60">
        <f t="shared" si="107"/>
        <v>30</v>
      </c>
      <c r="Q174" s="60">
        <f t="shared" si="74"/>
        <v>0</v>
      </c>
      <c r="R174" s="60">
        <f>ROUND(Q174*$P174*Input!$C$3/365,0)</f>
        <v>0</v>
      </c>
      <c r="S174" s="60">
        <f>IF(A174&lt;=Input!$C$6,0,IF('Unique Tenure'!O174&lt;'Unique Tenure'!Q174,'Unique Tenure'!O174-R174,'Unique Tenure'!Q174))</f>
        <v>0</v>
      </c>
      <c r="T174" s="60">
        <f t="shared" si="75"/>
        <v>0</v>
      </c>
      <c r="U174" s="60">
        <f t="shared" si="76"/>
        <v>0</v>
      </c>
      <c r="V174" s="193"/>
      <c r="W174" s="169">
        <v>170</v>
      </c>
      <c r="X174" s="1">
        <f t="shared" si="98"/>
        <v>50693</v>
      </c>
      <c r="Y174" s="60">
        <f>IF($X174&lt;Input!$H$58,IF($X174&lt;Input!$G$58,IF($X174&lt;Input!$F$58,IF($X174&lt;Input!$E$58,IF($X174&lt;Input!$D$58,Input!$C$64,Input!$D$64),Input!$E$64),Input!$F$64),Input!$G$64),Input!$H$64)</f>
        <v>0</v>
      </c>
      <c r="Z174" s="190">
        <f>IF($A174&lt;Input!$H$65,IF($A174&lt;Input!$G$65,IF($A174&lt;Input!$F$65,IF($A174&lt;Input!$E$65,IF($A174&lt;Input!$D$65,Input!$C$66,Input!$D$66),Input!$E$66),Input!$F$66),Input!$G$66),Input!$H$66)</f>
        <v>0.9</v>
      </c>
      <c r="AA174" s="60">
        <f t="shared" si="77"/>
        <v>0</v>
      </c>
      <c r="AB174" s="60">
        <f t="shared" si="99"/>
        <v>30</v>
      </c>
      <c r="AC174" s="60">
        <f t="shared" si="78"/>
        <v>0</v>
      </c>
      <c r="AD174" s="60">
        <f>ROUND(AC174*AB174*Input!$C$3/365,0)</f>
        <v>0</v>
      </c>
      <c r="AE174" s="61">
        <f>IF($A174&lt;=Input!$C$6,0,IF('Unique Tenure'!AA174&lt;'Unique Tenure'!AC174,'Unique Tenure'!AA174-AD174,'Unique Tenure'!AC174))</f>
        <v>0</v>
      </c>
      <c r="AF174" s="61">
        <f t="shared" si="79"/>
        <v>0</v>
      </c>
      <c r="AG174" s="60">
        <f t="shared" si="80"/>
        <v>0</v>
      </c>
      <c r="AH174" s="193"/>
      <c r="AI174" s="169">
        <v>170</v>
      </c>
      <c r="AJ174" s="1">
        <f t="shared" si="100"/>
        <v>50693</v>
      </c>
      <c r="AK174" s="60">
        <f>IF($X174&lt;Input!$H$73,IF($X174&lt;Input!$G$73,IF($X174&lt;Input!$F$73,IF($X174&lt;Input!$E$73,IF($X174&lt;Input!$D$73,Input!$C$79,Input!$D$79),Input!$E$79),Input!$F$79),Input!$G$79),Input!$H$79)</f>
        <v>0</v>
      </c>
      <c r="AL174" s="190">
        <f>IF($A174&lt;Input!$H$80,IF($A174&lt;Input!$G$80,IF($A174&lt;Input!$F$80,IF($A174&lt;Input!$E$80,IF($A174&lt;Input!$D$80,Input!$C$81,Input!$D$81),Input!$E$81),Input!$F$81),Input!$G$81),Input!$H$81)</f>
        <v>0.9</v>
      </c>
      <c r="AM174" s="60">
        <f t="shared" si="81"/>
        <v>0</v>
      </c>
      <c r="AN174" s="60">
        <f t="shared" si="101"/>
        <v>30</v>
      </c>
      <c r="AO174" s="60">
        <f t="shared" si="82"/>
        <v>0</v>
      </c>
      <c r="AP174" s="60">
        <f>ROUND(AO174*AN174*Input!$C$3/365,0)</f>
        <v>0</v>
      </c>
      <c r="AQ174" s="61">
        <f>IF($A174&lt;=Input!$C$6,0,IF('Unique Tenure'!AM174&lt;'Unique Tenure'!AO174,'Unique Tenure'!AM174-AP174,'Unique Tenure'!AO174))</f>
        <v>0</v>
      </c>
      <c r="AR174" s="61">
        <f t="shared" si="83"/>
        <v>0</v>
      </c>
      <c r="AS174" s="60">
        <f t="shared" si="84"/>
        <v>0</v>
      </c>
      <c r="AT174" s="193"/>
      <c r="AU174" s="169">
        <v>170</v>
      </c>
      <c r="AV174" s="1">
        <f t="shared" si="102"/>
        <v>50693</v>
      </c>
      <c r="AW174" s="60">
        <f>IF($X174&lt;Input!$H$88,IF($X174&lt;Input!$G$88,IF($X174&lt;Input!$F$88,IF($X174&lt;Input!$E$88,IF($X174&lt;Input!$D$88,Input!$C$94,Input!$D$94),Input!$E$94),Input!$F$94),Input!$G$94),Input!$H$94)</f>
        <v>0</v>
      </c>
      <c r="AX174" s="190">
        <f>IF($A174&lt;Input!$H$95,IF($A174&lt;Input!$G$95,IF($A174&lt;Input!$F$95,IF($A174&lt;Input!$E$95,IF($A174&lt;Input!$D$95,Input!$C$96,Input!$D$96),Input!$E$96),Input!$F$96),Input!$G$96),Input!$H$96)</f>
        <v>0.9</v>
      </c>
      <c r="AY174" s="60">
        <f t="shared" si="85"/>
        <v>0</v>
      </c>
      <c r="AZ174" s="60">
        <f t="shared" si="103"/>
        <v>30</v>
      </c>
      <c r="BA174" s="60">
        <f t="shared" si="86"/>
        <v>0</v>
      </c>
      <c r="BB174" s="60">
        <f>ROUND(BA174*AZ174*Input!$C$3/365,0)</f>
        <v>0</v>
      </c>
      <c r="BC174" s="61">
        <f>IF($A174&lt;=Input!$C$6,0,IF('Unique Tenure'!AY174&lt;'Unique Tenure'!BA174,'Unique Tenure'!AY174-BB174,'Unique Tenure'!BA174))</f>
        <v>0</v>
      </c>
      <c r="BD174" s="61">
        <f t="shared" si="87"/>
        <v>0</v>
      </c>
      <c r="BE174" s="60">
        <f t="shared" si="88"/>
        <v>0</v>
      </c>
      <c r="BF174" s="193"/>
      <c r="BG174" s="169">
        <v>170</v>
      </c>
      <c r="BH174" s="1">
        <f t="shared" si="104"/>
        <v>50693</v>
      </c>
      <c r="BI174" s="60">
        <f>IF($X174&lt;Input!$H$103,IF($X174&lt;Input!$G$103,IF($X174&lt;Input!$F$103,IF($X174&lt;Input!$E$103,IF($X174&lt;Input!$D$103,Input!$C$109,Input!$D$109),Input!$E$109),Input!$F$109),Input!$G$109),Input!$H$109)</f>
        <v>0</v>
      </c>
      <c r="BJ174" s="190">
        <f>IF($A174&lt;Input!$H$110,IF($A174&lt;Input!$G$110,IF($A174&lt;Input!$F$110,IF($A174&lt;Input!$E$110,IF($A174&lt;Input!$D$110,Input!$C$111,Input!$D$111),Input!$E$111),Input!$F$111),Input!$G$111),Input!$H$111)</f>
        <v>0.9</v>
      </c>
      <c r="BK174" s="60">
        <f t="shared" si="89"/>
        <v>0</v>
      </c>
      <c r="BL174" s="60">
        <f t="shared" si="105"/>
        <v>30</v>
      </c>
      <c r="BM174" s="60">
        <f t="shared" si="90"/>
        <v>0</v>
      </c>
      <c r="BN174" s="60">
        <f>ROUND(BM174*BL174*Input!$C$3/365,0)</f>
        <v>0</v>
      </c>
      <c r="BO174" s="61">
        <f>IF($A174&lt;=Input!$C$6,0,IF('Unique Tenure'!BK174&lt;'Unique Tenure'!BM174,'Unique Tenure'!BK174-BN174,'Unique Tenure'!BM174))</f>
        <v>0</v>
      </c>
      <c r="BP174" s="61">
        <f t="shared" si="91"/>
        <v>0</v>
      </c>
      <c r="BQ174" s="60">
        <f t="shared" si="92"/>
        <v>0</v>
      </c>
      <c r="BR174" s="198"/>
    </row>
    <row r="175" spans="1:70" s="51" customFormat="1" x14ac:dyDescent="0.25">
      <c r="A175" s="169">
        <v>171</v>
      </c>
      <c r="B175" s="1">
        <f t="shared" si="93"/>
        <v>50724</v>
      </c>
      <c r="C175" s="60">
        <f>SUM(
   IF(($A$4:$A$184 &lt;= Input!$D$16), M175, 0),
   IF(($A$4:$A$184 &lt;= Input!$E$16), Y175, 0),
   IF(($A$4:$A$184 &lt;= Input!$F$16), AK175, 0),
   IF(($A$4:$A$184 &lt;= Input!$G$16), AW175, 0),
   IF(($A$4:$A$184 &lt;= Input!$H$16), BI175, 0)
)</f>
        <v>33127052.878124986</v>
      </c>
      <c r="D175" s="60">
        <f>SUM(
   IF(($A$4:$A$184 &lt;= Input!$D$16), O175, 0),
   IF(($A$4:$A$184 &lt;= Input!$E$16), AA175, 0),
   IF(($A$4:$A$184 &lt;= Input!$F$16), AM175, 0),
   IF(($A$4:$A$184 &lt;= Input!$G$16), AY175, 0),
   IF(($A$4:$A$184 &lt;= Input!$H$16), BK175, 0)
)</f>
        <v>29814347.590312488</v>
      </c>
      <c r="E175" s="60">
        <f t="shared" si="94"/>
        <v>31</v>
      </c>
      <c r="F175" s="60">
        <f t="shared" si="95"/>
        <v>0</v>
      </c>
      <c r="G175" s="60">
        <f>ROUND(F175*E175*Input!$C$3/365,0)</f>
        <v>0</v>
      </c>
      <c r="H175" s="60">
        <f>IF($A175&lt;=Input!$C$6,0,IF('Unique Tenure'!D175&lt;'Unique Tenure'!F175,'Unique Tenure'!D175-G175,'Unique Tenure'!F175))</f>
        <v>0</v>
      </c>
      <c r="I175" s="60">
        <f t="shared" si="96"/>
        <v>0</v>
      </c>
      <c r="J175" s="60">
        <f t="shared" si="97"/>
        <v>0</v>
      </c>
      <c r="K175" s="202">
        <f>J175/Input!$K$5</f>
        <v>0</v>
      </c>
      <c r="L175" s="232"/>
      <c r="M175" s="60">
        <f>IF($B175&lt;Input!$H$43,IF($B175&lt;Input!$G$43,IF($B175&lt;Input!$F$43,IF($B175&lt;Input!$E$43,IF($B175&lt;Input!$D$43,Input!$C$49,Input!$D$49),Input!$E$49),Input!$F$49),Input!$G$49),Input!$H$49)</f>
        <v>33127052.878124986</v>
      </c>
      <c r="N175" s="190">
        <f>IF($A175&lt;Input!$H$50,IF($A175&lt;Input!$G$50,IF($A175&lt;Input!$F$50,IF($A175&lt;Input!$E$50,IF($A175&lt;Input!$D$50,Input!$C$51,Input!$D$51),Input!$E$51),Input!$F$51),Input!$G$51),Input!$H$51)</f>
        <v>0.9</v>
      </c>
      <c r="O175" s="60">
        <f t="shared" si="106"/>
        <v>29814347.590312488</v>
      </c>
      <c r="P175" s="60">
        <f t="shared" si="107"/>
        <v>31</v>
      </c>
      <c r="Q175" s="60">
        <f t="shared" si="74"/>
        <v>0</v>
      </c>
      <c r="R175" s="60">
        <f>ROUND(Q175*$P175*Input!$C$3/365,0)</f>
        <v>0</v>
      </c>
      <c r="S175" s="60">
        <f>IF(A175&lt;=Input!$C$6,0,IF('Unique Tenure'!O175&lt;'Unique Tenure'!Q175,'Unique Tenure'!O175-R175,'Unique Tenure'!Q175))</f>
        <v>0</v>
      </c>
      <c r="T175" s="60">
        <f t="shared" si="75"/>
        <v>0</v>
      </c>
      <c r="U175" s="60">
        <f t="shared" si="76"/>
        <v>0</v>
      </c>
      <c r="V175" s="193"/>
      <c r="W175" s="169">
        <v>171</v>
      </c>
      <c r="X175" s="1">
        <f t="shared" si="98"/>
        <v>50724</v>
      </c>
      <c r="Y175" s="60">
        <f>IF($X175&lt;Input!$H$58,IF($X175&lt;Input!$G$58,IF($X175&lt;Input!$F$58,IF($X175&lt;Input!$E$58,IF($X175&lt;Input!$D$58,Input!$C$64,Input!$D$64),Input!$E$64),Input!$F$64),Input!$G$64),Input!$H$64)</f>
        <v>0</v>
      </c>
      <c r="Z175" s="190">
        <f>IF($A175&lt;Input!$H$65,IF($A175&lt;Input!$G$65,IF($A175&lt;Input!$F$65,IF($A175&lt;Input!$E$65,IF($A175&lt;Input!$D$65,Input!$C$66,Input!$D$66),Input!$E$66),Input!$F$66),Input!$G$66),Input!$H$66)</f>
        <v>0.9</v>
      </c>
      <c r="AA175" s="60">
        <f t="shared" si="77"/>
        <v>0</v>
      </c>
      <c r="AB175" s="60">
        <f t="shared" si="99"/>
        <v>31</v>
      </c>
      <c r="AC175" s="60">
        <f t="shared" si="78"/>
        <v>0</v>
      </c>
      <c r="AD175" s="60">
        <f>ROUND(AC175*AB175*Input!$C$3/365,0)</f>
        <v>0</v>
      </c>
      <c r="AE175" s="61">
        <f>IF($A175&lt;=Input!$C$6,0,IF('Unique Tenure'!AA175&lt;'Unique Tenure'!AC175,'Unique Tenure'!AA175-AD175,'Unique Tenure'!AC175))</f>
        <v>0</v>
      </c>
      <c r="AF175" s="61">
        <f t="shared" si="79"/>
        <v>0</v>
      </c>
      <c r="AG175" s="60">
        <f t="shared" si="80"/>
        <v>0</v>
      </c>
      <c r="AH175" s="193"/>
      <c r="AI175" s="169">
        <v>171</v>
      </c>
      <c r="AJ175" s="1">
        <f t="shared" si="100"/>
        <v>50724</v>
      </c>
      <c r="AK175" s="60">
        <f>IF($X175&lt;Input!$H$73,IF($X175&lt;Input!$G$73,IF($X175&lt;Input!$F$73,IF($X175&lt;Input!$E$73,IF($X175&lt;Input!$D$73,Input!$C$79,Input!$D$79),Input!$E$79),Input!$F$79),Input!$G$79),Input!$H$79)</f>
        <v>0</v>
      </c>
      <c r="AL175" s="190">
        <f>IF($A175&lt;Input!$H$80,IF($A175&lt;Input!$G$80,IF($A175&lt;Input!$F$80,IF($A175&lt;Input!$E$80,IF($A175&lt;Input!$D$80,Input!$C$81,Input!$D$81),Input!$E$81),Input!$F$81),Input!$G$81),Input!$H$81)</f>
        <v>0.9</v>
      </c>
      <c r="AM175" s="60">
        <f t="shared" si="81"/>
        <v>0</v>
      </c>
      <c r="AN175" s="60">
        <f t="shared" si="101"/>
        <v>31</v>
      </c>
      <c r="AO175" s="60">
        <f t="shared" si="82"/>
        <v>0</v>
      </c>
      <c r="AP175" s="60">
        <f>ROUND(AO175*AN175*Input!$C$3/365,0)</f>
        <v>0</v>
      </c>
      <c r="AQ175" s="61">
        <f>IF($A175&lt;=Input!$C$6,0,IF('Unique Tenure'!AM175&lt;'Unique Tenure'!AO175,'Unique Tenure'!AM175-AP175,'Unique Tenure'!AO175))</f>
        <v>0</v>
      </c>
      <c r="AR175" s="61">
        <f t="shared" si="83"/>
        <v>0</v>
      </c>
      <c r="AS175" s="60">
        <f t="shared" si="84"/>
        <v>0</v>
      </c>
      <c r="AT175" s="193"/>
      <c r="AU175" s="169">
        <v>171</v>
      </c>
      <c r="AV175" s="1">
        <f t="shared" si="102"/>
        <v>50724</v>
      </c>
      <c r="AW175" s="60">
        <f>IF($X175&lt;Input!$H$88,IF($X175&lt;Input!$G$88,IF($X175&lt;Input!$F$88,IF($X175&lt;Input!$E$88,IF($X175&lt;Input!$D$88,Input!$C$94,Input!$D$94),Input!$E$94),Input!$F$94),Input!$G$94),Input!$H$94)</f>
        <v>0</v>
      </c>
      <c r="AX175" s="190">
        <f>IF($A175&lt;Input!$H$95,IF($A175&lt;Input!$G$95,IF($A175&lt;Input!$F$95,IF($A175&lt;Input!$E$95,IF($A175&lt;Input!$D$95,Input!$C$96,Input!$D$96),Input!$E$96),Input!$F$96),Input!$G$96),Input!$H$96)</f>
        <v>0.9</v>
      </c>
      <c r="AY175" s="60">
        <f t="shared" si="85"/>
        <v>0</v>
      </c>
      <c r="AZ175" s="60">
        <f t="shared" si="103"/>
        <v>31</v>
      </c>
      <c r="BA175" s="60">
        <f t="shared" si="86"/>
        <v>0</v>
      </c>
      <c r="BB175" s="60">
        <f>ROUND(BA175*AZ175*Input!$C$3/365,0)</f>
        <v>0</v>
      </c>
      <c r="BC175" s="61">
        <f>IF($A175&lt;=Input!$C$6,0,IF('Unique Tenure'!AY175&lt;'Unique Tenure'!BA175,'Unique Tenure'!AY175-BB175,'Unique Tenure'!BA175))</f>
        <v>0</v>
      </c>
      <c r="BD175" s="61">
        <f t="shared" si="87"/>
        <v>0</v>
      </c>
      <c r="BE175" s="60">
        <f t="shared" si="88"/>
        <v>0</v>
      </c>
      <c r="BF175" s="193"/>
      <c r="BG175" s="169">
        <v>171</v>
      </c>
      <c r="BH175" s="1">
        <f t="shared" si="104"/>
        <v>50724</v>
      </c>
      <c r="BI175" s="60">
        <f>IF($X175&lt;Input!$H$103,IF($X175&lt;Input!$G$103,IF($X175&lt;Input!$F$103,IF($X175&lt;Input!$E$103,IF($X175&lt;Input!$D$103,Input!$C$109,Input!$D$109),Input!$E$109),Input!$F$109),Input!$G$109),Input!$H$109)</f>
        <v>0</v>
      </c>
      <c r="BJ175" s="190">
        <f>IF($A175&lt;Input!$H$110,IF($A175&lt;Input!$G$110,IF($A175&lt;Input!$F$110,IF($A175&lt;Input!$E$110,IF($A175&lt;Input!$D$110,Input!$C$111,Input!$D$111),Input!$E$111),Input!$F$111),Input!$G$111),Input!$H$111)</f>
        <v>0.9</v>
      </c>
      <c r="BK175" s="60">
        <f t="shared" si="89"/>
        <v>0</v>
      </c>
      <c r="BL175" s="60">
        <f t="shared" si="105"/>
        <v>31</v>
      </c>
      <c r="BM175" s="60">
        <f t="shared" si="90"/>
        <v>0</v>
      </c>
      <c r="BN175" s="60">
        <f>ROUND(BM175*BL175*Input!$C$3/365,0)</f>
        <v>0</v>
      </c>
      <c r="BO175" s="61">
        <f>IF($A175&lt;=Input!$C$6,0,IF('Unique Tenure'!BK175&lt;'Unique Tenure'!BM175,'Unique Tenure'!BK175-BN175,'Unique Tenure'!BM175))</f>
        <v>0</v>
      </c>
      <c r="BP175" s="61">
        <f t="shared" si="91"/>
        <v>0</v>
      </c>
      <c r="BQ175" s="60">
        <f t="shared" si="92"/>
        <v>0</v>
      </c>
      <c r="BR175" s="198"/>
    </row>
    <row r="176" spans="1:70" s="51" customFormat="1" x14ac:dyDescent="0.25">
      <c r="A176" s="169">
        <v>172</v>
      </c>
      <c r="B176" s="1">
        <f t="shared" si="93"/>
        <v>50754</v>
      </c>
      <c r="C176" s="60">
        <f>SUM(
   IF(($A$4:$A$184 &lt;= Input!$D$16), M176, 0),
   IF(($A$4:$A$184 &lt;= Input!$E$16), Y176, 0),
   IF(($A$4:$A$184 &lt;= Input!$F$16), AK176, 0),
   IF(($A$4:$A$184 &lt;= Input!$G$16), AW176, 0),
   IF(($A$4:$A$184 &lt;= Input!$H$16), BI176, 0)
)</f>
        <v>33127052.878124986</v>
      </c>
      <c r="D176" s="60">
        <f>SUM(
   IF(($A$4:$A$184 &lt;= Input!$D$16), O176, 0),
   IF(($A$4:$A$184 &lt;= Input!$E$16), AA176, 0),
   IF(($A$4:$A$184 &lt;= Input!$F$16), AM176, 0),
   IF(($A$4:$A$184 &lt;= Input!$G$16), AY176, 0),
   IF(($A$4:$A$184 &lt;= Input!$H$16), BK176, 0)
)</f>
        <v>29814347.590312488</v>
      </c>
      <c r="E176" s="60">
        <f t="shared" si="94"/>
        <v>30</v>
      </c>
      <c r="F176" s="60">
        <f t="shared" si="95"/>
        <v>0</v>
      </c>
      <c r="G176" s="60">
        <f>ROUND(F176*E176*Input!$C$3/365,0)</f>
        <v>0</v>
      </c>
      <c r="H176" s="60">
        <f>IF($A176&lt;=Input!$C$6,0,IF('Unique Tenure'!D176&lt;'Unique Tenure'!F176,'Unique Tenure'!D176-G176,'Unique Tenure'!F176))</f>
        <v>0</v>
      </c>
      <c r="I176" s="60">
        <f t="shared" si="96"/>
        <v>0</v>
      </c>
      <c r="J176" s="60">
        <f t="shared" si="97"/>
        <v>0</v>
      </c>
      <c r="K176" s="202">
        <f>J176/Input!$K$5</f>
        <v>0</v>
      </c>
      <c r="L176" s="232"/>
      <c r="M176" s="60">
        <f>IF($B176&lt;Input!$H$43,IF($B176&lt;Input!$G$43,IF($B176&lt;Input!$F$43,IF($B176&lt;Input!$E$43,IF($B176&lt;Input!$D$43,Input!$C$49,Input!$D$49),Input!$E$49),Input!$F$49),Input!$G$49),Input!$H$49)</f>
        <v>33127052.878124986</v>
      </c>
      <c r="N176" s="190">
        <f>IF($A176&lt;Input!$H$50,IF($A176&lt;Input!$G$50,IF($A176&lt;Input!$F$50,IF($A176&lt;Input!$E$50,IF($A176&lt;Input!$D$50,Input!$C$51,Input!$D$51),Input!$E$51),Input!$F$51),Input!$G$51),Input!$H$51)</f>
        <v>0.9</v>
      </c>
      <c r="O176" s="60">
        <f t="shared" si="106"/>
        <v>29814347.590312488</v>
      </c>
      <c r="P176" s="60">
        <f t="shared" si="107"/>
        <v>30</v>
      </c>
      <c r="Q176" s="60">
        <f t="shared" si="74"/>
        <v>0</v>
      </c>
      <c r="R176" s="60">
        <f>ROUND(Q176*$P176*Input!$C$3/365,0)</f>
        <v>0</v>
      </c>
      <c r="S176" s="60">
        <f>IF(A176&lt;=Input!$C$6,0,IF('Unique Tenure'!O176&lt;'Unique Tenure'!Q176,'Unique Tenure'!O176-R176,'Unique Tenure'!Q176))</f>
        <v>0</v>
      </c>
      <c r="T176" s="60">
        <f t="shared" si="75"/>
        <v>0</v>
      </c>
      <c r="U176" s="60">
        <f t="shared" si="76"/>
        <v>0</v>
      </c>
      <c r="V176" s="193"/>
      <c r="W176" s="169">
        <v>172</v>
      </c>
      <c r="X176" s="1">
        <f t="shared" si="98"/>
        <v>50754</v>
      </c>
      <c r="Y176" s="60">
        <f>IF($X176&lt;Input!$H$58,IF($X176&lt;Input!$G$58,IF($X176&lt;Input!$F$58,IF($X176&lt;Input!$E$58,IF($X176&lt;Input!$D$58,Input!$C$64,Input!$D$64),Input!$E$64),Input!$F$64),Input!$G$64),Input!$H$64)</f>
        <v>0</v>
      </c>
      <c r="Z176" s="190">
        <f>IF($A176&lt;Input!$H$65,IF($A176&lt;Input!$G$65,IF($A176&lt;Input!$F$65,IF($A176&lt;Input!$E$65,IF($A176&lt;Input!$D$65,Input!$C$66,Input!$D$66),Input!$E$66),Input!$F$66),Input!$G$66),Input!$H$66)</f>
        <v>0.9</v>
      </c>
      <c r="AA176" s="60">
        <f t="shared" si="77"/>
        <v>0</v>
      </c>
      <c r="AB176" s="60">
        <f t="shared" si="99"/>
        <v>30</v>
      </c>
      <c r="AC176" s="60">
        <f t="shared" si="78"/>
        <v>0</v>
      </c>
      <c r="AD176" s="60">
        <f>ROUND(AC176*AB176*Input!$C$3/365,0)</f>
        <v>0</v>
      </c>
      <c r="AE176" s="61">
        <f>IF($A176&lt;=Input!$C$6,0,IF('Unique Tenure'!AA176&lt;'Unique Tenure'!AC176,'Unique Tenure'!AA176-AD176,'Unique Tenure'!AC176))</f>
        <v>0</v>
      </c>
      <c r="AF176" s="61">
        <f t="shared" si="79"/>
        <v>0</v>
      </c>
      <c r="AG176" s="60">
        <f t="shared" si="80"/>
        <v>0</v>
      </c>
      <c r="AH176" s="193"/>
      <c r="AI176" s="169">
        <v>172</v>
      </c>
      <c r="AJ176" s="1">
        <f t="shared" si="100"/>
        <v>50754</v>
      </c>
      <c r="AK176" s="60">
        <f>IF($X176&lt;Input!$H$73,IF($X176&lt;Input!$G$73,IF($X176&lt;Input!$F$73,IF($X176&lt;Input!$E$73,IF($X176&lt;Input!$D$73,Input!$C$79,Input!$D$79),Input!$E$79),Input!$F$79),Input!$G$79),Input!$H$79)</f>
        <v>0</v>
      </c>
      <c r="AL176" s="190">
        <f>IF($A176&lt;Input!$H$80,IF($A176&lt;Input!$G$80,IF($A176&lt;Input!$F$80,IF($A176&lt;Input!$E$80,IF($A176&lt;Input!$D$80,Input!$C$81,Input!$D$81),Input!$E$81),Input!$F$81),Input!$G$81),Input!$H$81)</f>
        <v>0.9</v>
      </c>
      <c r="AM176" s="60">
        <f t="shared" si="81"/>
        <v>0</v>
      </c>
      <c r="AN176" s="60">
        <f t="shared" si="101"/>
        <v>30</v>
      </c>
      <c r="AO176" s="60">
        <f t="shared" si="82"/>
        <v>0</v>
      </c>
      <c r="AP176" s="60">
        <f>ROUND(AO176*AN176*Input!$C$3/365,0)</f>
        <v>0</v>
      </c>
      <c r="AQ176" s="61">
        <f>IF($A176&lt;=Input!$C$6,0,IF('Unique Tenure'!AM176&lt;'Unique Tenure'!AO176,'Unique Tenure'!AM176-AP176,'Unique Tenure'!AO176))</f>
        <v>0</v>
      </c>
      <c r="AR176" s="61">
        <f t="shared" si="83"/>
        <v>0</v>
      </c>
      <c r="AS176" s="60">
        <f t="shared" si="84"/>
        <v>0</v>
      </c>
      <c r="AT176" s="193"/>
      <c r="AU176" s="169">
        <v>172</v>
      </c>
      <c r="AV176" s="1">
        <f t="shared" si="102"/>
        <v>50754</v>
      </c>
      <c r="AW176" s="60">
        <f>IF($X176&lt;Input!$H$88,IF($X176&lt;Input!$G$88,IF($X176&lt;Input!$F$88,IF($X176&lt;Input!$E$88,IF($X176&lt;Input!$D$88,Input!$C$94,Input!$D$94),Input!$E$94),Input!$F$94),Input!$G$94),Input!$H$94)</f>
        <v>0</v>
      </c>
      <c r="AX176" s="190">
        <f>IF($A176&lt;Input!$H$95,IF($A176&lt;Input!$G$95,IF($A176&lt;Input!$F$95,IF($A176&lt;Input!$E$95,IF($A176&lt;Input!$D$95,Input!$C$96,Input!$D$96),Input!$E$96),Input!$F$96),Input!$G$96),Input!$H$96)</f>
        <v>0.9</v>
      </c>
      <c r="AY176" s="60">
        <f t="shared" si="85"/>
        <v>0</v>
      </c>
      <c r="AZ176" s="60">
        <f t="shared" si="103"/>
        <v>30</v>
      </c>
      <c r="BA176" s="60">
        <f t="shared" si="86"/>
        <v>0</v>
      </c>
      <c r="BB176" s="60">
        <f>ROUND(BA176*AZ176*Input!$C$3/365,0)</f>
        <v>0</v>
      </c>
      <c r="BC176" s="61">
        <f>IF($A176&lt;=Input!$C$6,0,IF('Unique Tenure'!AY176&lt;'Unique Tenure'!BA176,'Unique Tenure'!AY176-BB176,'Unique Tenure'!BA176))</f>
        <v>0</v>
      </c>
      <c r="BD176" s="61">
        <f t="shared" si="87"/>
        <v>0</v>
      </c>
      <c r="BE176" s="60">
        <f t="shared" si="88"/>
        <v>0</v>
      </c>
      <c r="BF176" s="193"/>
      <c r="BG176" s="169">
        <v>172</v>
      </c>
      <c r="BH176" s="1">
        <f t="shared" si="104"/>
        <v>50754</v>
      </c>
      <c r="BI176" s="60">
        <f>IF($X176&lt;Input!$H$103,IF($X176&lt;Input!$G$103,IF($X176&lt;Input!$F$103,IF($X176&lt;Input!$E$103,IF($X176&lt;Input!$D$103,Input!$C$109,Input!$D$109),Input!$E$109),Input!$F$109),Input!$G$109),Input!$H$109)</f>
        <v>0</v>
      </c>
      <c r="BJ176" s="190">
        <f>IF($A176&lt;Input!$H$110,IF($A176&lt;Input!$G$110,IF($A176&lt;Input!$F$110,IF($A176&lt;Input!$E$110,IF($A176&lt;Input!$D$110,Input!$C$111,Input!$D$111),Input!$E$111),Input!$F$111),Input!$G$111),Input!$H$111)</f>
        <v>0.9</v>
      </c>
      <c r="BK176" s="60">
        <f t="shared" si="89"/>
        <v>0</v>
      </c>
      <c r="BL176" s="60">
        <f t="shared" si="105"/>
        <v>30</v>
      </c>
      <c r="BM176" s="60">
        <f t="shared" si="90"/>
        <v>0</v>
      </c>
      <c r="BN176" s="60">
        <f>ROUND(BM176*BL176*Input!$C$3/365,0)</f>
        <v>0</v>
      </c>
      <c r="BO176" s="61">
        <f>IF($A176&lt;=Input!$C$6,0,IF('Unique Tenure'!BK176&lt;'Unique Tenure'!BM176,'Unique Tenure'!BK176-BN176,'Unique Tenure'!BM176))</f>
        <v>0</v>
      </c>
      <c r="BP176" s="61">
        <f t="shared" si="91"/>
        <v>0</v>
      </c>
      <c r="BQ176" s="60">
        <f t="shared" si="92"/>
        <v>0</v>
      </c>
      <c r="BR176" s="198"/>
    </row>
    <row r="177" spans="1:70" s="51" customFormat="1" x14ac:dyDescent="0.25">
      <c r="A177" s="169">
        <v>173</v>
      </c>
      <c r="B177" s="1">
        <f t="shared" si="93"/>
        <v>50785</v>
      </c>
      <c r="C177" s="60">
        <f>SUM(
   IF(($A$4:$A$184 &lt;= Input!$D$16), M177, 0),
   IF(($A$4:$A$184 &lt;= Input!$E$16), Y177, 0),
   IF(($A$4:$A$184 &lt;= Input!$F$16), AK177, 0),
   IF(($A$4:$A$184 &lt;= Input!$G$16), AW177, 0),
   IF(($A$4:$A$184 &lt;= Input!$H$16), BI177, 0)
)</f>
        <v>33127052.878124986</v>
      </c>
      <c r="D177" s="60">
        <f>SUM(
   IF(($A$4:$A$184 &lt;= Input!$D$16), O177, 0),
   IF(($A$4:$A$184 &lt;= Input!$E$16), AA177, 0),
   IF(($A$4:$A$184 &lt;= Input!$F$16), AM177, 0),
   IF(($A$4:$A$184 &lt;= Input!$G$16), AY177, 0),
   IF(($A$4:$A$184 &lt;= Input!$H$16), BK177, 0)
)</f>
        <v>29814347.590312488</v>
      </c>
      <c r="E177" s="60">
        <f t="shared" si="94"/>
        <v>31</v>
      </c>
      <c r="F177" s="60">
        <f t="shared" si="95"/>
        <v>0</v>
      </c>
      <c r="G177" s="60">
        <f>ROUND(F177*E177*Input!$C$3/365,0)</f>
        <v>0</v>
      </c>
      <c r="H177" s="60">
        <f>IF($A177&lt;=Input!$C$6,0,IF('Unique Tenure'!D177&lt;'Unique Tenure'!F177,'Unique Tenure'!D177-G177,'Unique Tenure'!F177))</f>
        <v>0</v>
      </c>
      <c r="I177" s="60">
        <f t="shared" si="96"/>
        <v>0</v>
      </c>
      <c r="J177" s="60">
        <f t="shared" si="97"/>
        <v>0</v>
      </c>
      <c r="K177" s="202">
        <f>J177/Input!$K$5</f>
        <v>0</v>
      </c>
      <c r="L177" s="232"/>
      <c r="M177" s="60">
        <f>IF($B177&lt;Input!$H$43,IF($B177&lt;Input!$G$43,IF($B177&lt;Input!$F$43,IF($B177&lt;Input!$E$43,IF($B177&lt;Input!$D$43,Input!$C$49,Input!$D$49),Input!$E$49),Input!$F$49),Input!$G$49),Input!$H$49)</f>
        <v>33127052.878124986</v>
      </c>
      <c r="N177" s="190">
        <f>IF($A177&lt;Input!$H$50,IF($A177&lt;Input!$G$50,IF($A177&lt;Input!$F$50,IF($A177&lt;Input!$E$50,IF($A177&lt;Input!$D$50,Input!$C$51,Input!$D$51),Input!$E$51),Input!$F$51),Input!$G$51),Input!$H$51)</f>
        <v>0.9</v>
      </c>
      <c r="O177" s="60">
        <f t="shared" si="106"/>
        <v>29814347.590312488</v>
      </c>
      <c r="P177" s="60">
        <f t="shared" si="107"/>
        <v>31</v>
      </c>
      <c r="Q177" s="60">
        <f t="shared" si="74"/>
        <v>0</v>
      </c>
      <c r="R177" s="60">
        <f>ROUND(Q177*$P177*Input!$C$3/365,0)</f>
        <v>0</v>
      </c>
      <c r="S177" s="60">
        <f>IF(A177&lt;=Input!$C$6,0,IF('Unique Tenure'!O177&lt;'Unique Tenure'!Q177,'Unique Tenure'!O177-R177,'Unique Tenure'!Q177))</f>
        <v>0</v>
      </c>
      <c r="T177" s="60">
        <f t="shared" si="75"/>
        <v>0</v>
      </c>
      <c r="U177" s="60">
        <f t="shared" si="76"/>
        <v>0</v>
      </c>
      <c r="V177" s="193"/>
      <c r="W177" s="169">
        <v>173</v>
      </c>
      <c r="X177" s="1">
        <f t="shared" si="98"/>
        <v>50785</v>
      </c>
      <c r="Y177" s="60">
        <f>IF($X177&lt;Input!$H$58,IF($X177&lt;Input!$G$58,IF($X177&lt;Input!$F$58,IF($X177&lt;Input!$E$58,IF($X177&lt;Input!$D$58,Input!$C$64,Input!$D$64),Input!$E$64),Input!$F$64),Input!$G$64),Input!$H$64)</f>
        <v>0</v>
      </c>
      <c r="Z177" s="190">
        <f>IF($A177&lt;Input!$H$65,IF($A177&lt;Input!$G$65,IF($A177&lt;Input!$F$65,IF($A177&lt;Input!$E$65,IF($A177&lt;Input!$D$65,Input!$C$66,Input!$D$66),Input!$E$66),Input!$F$66),Input!$G$66),Input!$H$66)</f>
        <v>0.9</v>
      </c>
      <c r="AA177" s="60">
        <f t="shared" si="77"/>
        <v>0</v>
      </c>
      <c r="AB177" s="60">
        <f t="shared" si="99"/>
        <v>31</v>
      </c>
      <c r="AC177" s="60">
        <f t="shared" si="78"/>
        <v>0</v>
      </c>
      <c r="AD177" s="60">
        <f>ROUND(AC177*AB177*Input!$C$3/365,0)</f>
        <v>0</v>
      </c>
      <c r="AE177" s="61">
        <f>IF($A177&lt;=Input!$C$6,0,IF('Unique Tenure'!AA177&lt;'Unique Tenure'!AC177,'Unique Tenure'!AA177-AD177,'Unique Tenure'!AC177))</f>
        <v>0</v>
      </c>
      <c r="AF177" s="61">
        <f t="shared" si="79"/>
        <v>0</v>
      </c>
      <c r="AG177" s="60">
        <f t="shared" si="80"/>
        <v>0</v>
      </c>
      <c r="AH177" s="193"/>
      <c r="AI177" s="169">
        <v>173</v>
      </c>
      <c r="AJ177" s="1">
        <f t="shared" si="100"/>
        <v>50785</v>
      </c>
      <c r="AK177" s="60">
        <f>IF($X177&lt;Input!$H$73,IF($X177&lt;Input!$G$73,IF($X177&lt;Input!$F$73,IF($X177&lt;Input!$E$73,IF($X177&lt;Input!$D$73,Input!$C$79,Input!$D$79),Input!$E$79),Input!$F$79),Input!$G$79),Input!$H$79)</f>
        <v>0</v>
      </c>
      <c r="AL177" s="190">
        <f>IF($A177&lt;Input!$H$80,IF($A177&lt;Input!$G$80,IF($A177&lt;Input!$F$80,IF($A177&lt;Input!$E$80,IF($A177&lt;Input!$D$80,Input!$C$81,Input!$D$81),Input!$E$81),Input!$F$81),Input!$G$81),Input!$H$81)</f>
        <v>0.9</v>
      </c>
      <c r="AM177" s="60">
        <f t="shared" si="81"/>
        <v>0</v>
      </c>
      <c r="AN177" s="60">
        <f t="shared" si="101"/>
        <v>31</v>
      </c>
      <c r="AO177" s="60">
        <f t="shared" si="82"/>
        <v>0</v>
      </c>
      <c r="AP177" s="60">
        <f>ROUND(AO177*AN177*Input!$C$3/365,0)</f>
        <v>0</v>
      </c>
      <c r="AQ177" s="61">
        <f>IF($A177&lt;=Input!$C$6,0,IF('Unique Tenure'!AM177&lt;'Unique Tenure'!AO177,'Unique Tenure'!AM177-AP177,'Unique Tenure'!AO177))</f>
        <v>0</v>
      </c>
      <c r="AR177" s="61">
        <f t="shared" si="83"/>
        <v>0</v>
      </c>
      <c r="AS177" s="60">
        <f t="shared" si="84"/>
        <v>0</v>
      </c>
      <c r="AT177" s="193"/>
      <c r="AU177" s="169">
        <v>173</v>
      </c>
      <c r="AV177" s="1">
        <f t="shared" si="102"/>
        <v>50785</v>
      </c>
      <c r="AW177" s="60">
        <f>IF($X177&lt;Input!$H$88,IF($X177&lt;Input!$G$88,IF($X177&lt;Input!$F$88,IF($X177&lt;Input!$E$88,IF($X177&lt;Input!$D$88,Input!$C$94,Input!$D$94),Input!$E$94),Input!$F$94),Input!$G$94),Input!$H$94)</f>
        <v>0</v>
      </c>
      <c r="AX177" s="190">
        <f>IF($A177&lt;Input!$H$95,IF($A177&lt;Input!$G$95,IF($A177&lt;Input!$F$95,IF($A177&lt;Input!$E$95,IF($A177&lt;Input!$D$95,Input!$C$96,Input!$D$96),Input!$E$96),Input!$F$96),Input!$G$96),Input!$H$96)</f>
        <v>0.9</v>
      </c>
      <c r="AY177" s="60">
        <f t="shared" si="85"/>
        <v>0</v>
      </c>
      <c r="AZ177" s="60">
        <f t="shared" si="103"/>
        <v>31</v>
      </c>
      <c r="BA177" s="60">
        <f t="shared" si="86"/>
        <v>0</v>
      </c>
      <c r="BB177" s="60">
        <f>ROUND(BA177*AZ177*Input!$C$3/365,0)</f>
        <v>0</v>
      </c>
      <c r="BC177" s="61">
        <f>IF($A177&lt;=Input!$C$6,0,IF('Unique Tenure'!AY177&lt;'Unique Tenure'!BA177,'Unique Tenure'!AY177-BB177,'Unique Tenure'!BA177))</f>
        <v>0</v>
      </c>
      <c r="BD177" s="61">
        <f t="shared" si="87"/>
        <v>0</v>
      </c>
      <c r="BE177" s="60">
        <f t="shared" si="88"/>
        <v>0</v>
      </c>
      <c r="BF177" s="193"/>
      <c r="BG177" s="169">
        <v>173</v>
      </c>
      <c r="BH177" s="1">
        <f t="shared" si="104"/>
        <v>50785</v>
      </c>
      <c r="BI177" s="60">
        <f>IF($X177&lt;Input!$H$103,IF($X177&lt;Input!$G$103,IF($X177&lt;Input!$F$103,IF($X177&lt;Input!$E$103,IF($X177&lt;Input!$D$103,Input!$C$109,Input!$D$109),Input!$E$109),Input!$F$109),Input!$G$109),Input!$H$109)</f>
        <v>0</v>
      </c>
      <c r="BJ177" s="190">
        <f>IF($A177&lt;Input!$H$110,IF($A177&lt;Input!$G$110,IF($A177&lt;Input!$F$110,IF($A177&lt;Input!$E$110,IF($A177&lt;Input!$D$110,Input!$C$111,Input!$D$111),Input!$E$111),Input!$F$111),Input!$G$111),Input!$H$111)</f>
        <v>0.9</v>
      </c>
      <c r="BK177" s="60">
        <f t="shared" si="89"/>
        <v>0</v>
      </c>
      <c r="BL177" s="60">
        <f t="shared" si="105"/>
        <v>31</v>
      </c>
      <c r="BM177" s="60">
        <f t="shared" si="90"/>
        <v>0</v>
      </c>
      <c r="BN177" s="60">
        <f>ROUND(BM177*BL177*Input!$C$3/365,0)</f>
        <v>0</v>
      </c>
      <c r="BO177" s="61">
        <f>IF($A177&lt;=Input!$C$6,0,IF('Unique Tenure'!BK177&lt;'Unique Tenure'!BM177,'Unique Tenure'!BK177-BN177,'Unique Tenure'!BM177))</f>
        <v>0</v>
      </c>
      <c r="BP177" s="61">
        <f t="shared" si="91"/>
        <v>0</v>
      </c>
      <c r="BQ177" s="60">
        <f t="shared" si="92"/>
        <v>0</v>
      </c>
      <c r="BR177" s="198"/>
    </row>
    <row r="178" spans="1:70" s="51" customFormat="1" x14ac:dyDescent="0.25">
      <c r="A178" s="169">
        <v>174</v>
      </c>
      <c r="B178" s="1">
        <f t="shared" si="93"/>
        <v>50816</v>
      </c>
      <c r="C178" s="60">
        <f>SUM(
   IF(($A$4:$A$184 &lt;= Input!$D$16), M178, 0),
   IF(($A$4:$A$184 &lt;= Input!$E$16), Y178, 0),
   IF(($A$4:$A$184 &lt;= Input!$F$16), AK178, 0),
   IF(($A$4:$A$184 &lt;= Input!$G$16), AW178, 0),
   IF(($A$4:$A$184 &lt;= Input!$H$16), BI178, 0)
)</f>
        <v>33127052.878124986</v>
      </c>
      <c r="D178" s="60">
        <f>SUM(
   IF(($A$4:$A$184 &lt;= Input!$D$16), O178, 0),
   IF(($A$4:$A$184 &lt;= Input!$E$16), AA178, 0),
   IF(($A$4:$A$184 &lt;= Input!$F$16), AM178, 0),
   IF(($A$4:$A$184 &lt;= Input!$G$16), AY178, 0),
   IF(($A$4:$A$184 &lt;= Input!$H$16), BK178, 0)
)</f>
        <v>29814347.590312488</v>
      </c>
      <c r="E178" s="60">
        <f t="shared" si="94"/>
        <v>31</v>
      </c>
      <c r="F178" s="60">
        <f t="shared" si="95"/>
        <v>0</v>
      </c>
      <c r="G178" s="60">
        <f>ROUND(F178*E178*Input!$C$3/365,0)</f>
        <v>0</v>
      </c>
      <c r="H178" s="60">
        <f>IF($A178&lt;=Input!$C$6,0,IF('Unique Tenure'!D178&lt;'Unique Tenure'!F178,'Unique Tenure'!D178-G178,'Unique Tenure'!F178))</f>
        <v>0</v>
      </c>
      <c r="I178" s="60">
        <f t="shared" si="96"/>
        <v>0</v>
      </c>
      <c r="J178" s="60">
        <f t="shared" si="97"/>
        <v>0</v>
      </c>
      <c r="K178" s="202">
        <f>J178/Input!$K$5</f>
        <v>0</v>
      </c>
      <c r="L178" s="232"/>
      <c r="M178" s="60">
        <f>IF($B178&lt;Input!$H$43,IF($B178&lt;Input!$G$43,IF($B178&lt;Input!$F$43,IF($B178&lt;Input!$E$43,IF($B178&lt;Input!$D$43,Input!$C$49,Input!$D$49),Input!$E$49),Input!$F$49),Input!$G$49),Input!$H$49)</f>
        <v>33127052.878124986</v>
      </c>
      <c r="N178" s="190">
        <f>IF($A178&lt;Input!$H$50,IF($A178&lt;Input!$G$50,IF($A178&lt;Input!$F$50,IF($A178&lt;Input!$E$50,IF($A178&lt;Input!$D$50,Input!$C$51,Input!$D$51),Input!$E$51),Input!$F$51),Input!$G$51),Input!$H$51)</f>
        <v>0.9</v>
      </c>
      <c r="O178" s="60">
        <f t="shared" si="106"/>
        <v>29814347.590312488</v>
      </c>
      <c r="P178" s="60">
        <f t="shared" si="107"/>
        <v>31</v>
      </c>
      <c r="Q178" s="60">
        <f t="shared" si="74"/>
        <v>0</v>
      </c>
      <c r="R178" s="60">
        <f>ROUND(Q178*$P178*Input!$C$3/365,0)</f>
        <v>0</v>
      </c>
      <c r="S178" s="60">
        <f>IF(A178&lt;=Input!$C$6,0,IF('Unique Tenure'!O178&lt;'Unique Tenure'!Q178,'Unique Tenure'!O178-R178,'Unique Tenure'!Q178))</f>
        <v>0</v>
      </c>
      <c r="T178" s="60">
        <f t="shared" si="75"/>
        <v>0</v>
      </c>
      <c r="U178" s="60">
        <f t="shared" si="76"/>
        <v>0</v>
      </c>
      <c r="V178" s="193"/>
      <c r="W178" s="169">
        <v>174</v>
      </c>
      <c r="X178" s="1">
        <f t="shared" si="98"/>
        <v>50816</v>
      </c>
      <c r="Y178" s="60">
        <f>IF($X178&lt;Input!$H$58,IF($X178&lt;Input!$G$58,IF($X178&lt;Input!$F$58,IF($X178&lt;Input!$E$58,IF($X178&lt;Input!$D$58,Input!$C$64,Input!$D$64),Input!$E$64),Input!$F$64),Input!$G$64),Input!$H$64)</f>
        <v>0</v>
      </c>
      <c r="Z178" s="190">
        <f>IF($A178&lt;Input!$H$65,IF($A178&lt;Input!$G$65,IF($A178&lt;Input!$F$65,IF($A178&lt;Input!$E$65,IF($A178&lt;Input!$D$65,Input!$C$66,Input!$D$66),Input!$E$66),Input!$F$66),Input!$G$66),Input!$H$66)</f>
        <v>0.9</v>
      </c>
      <c r="AA178" s="60">
        <f t="shared" si="77"/>
        <v>0</v>
      </c>
      <c r="AB178" s="60">
        <f t="shared" si="99"/>
        <v>31</v>
      </c>
      <c r="AC178" s="60">
        <f t="shared" si="78"/>
        <v>0</v>
      </c>
      <c r="AD178" s="60">
        <f>ROUND(AC178*AB178*Input!$C$3/365,0)</f>
        <v>0</v>
      </c>
      <c r="AE178" s="61">
        <f>IF($A178&lt;=Input!$C$6,0,IF('Unique Tenure'!AA178&lt;'Unique Tenure'!AC178,'Unique Tenure'!AA178-AD178,'Unique Tenure'!AC178))</f>
        <v>0</v>
      </c>
      <c r="AF178" s="61">
        <f t="shared" si="79"/>
        <v>0</v>
      </c>
      <c r="AG178" s="60">
        <f t="shared" si="80"/>
        <v>0</v>
      </c>
      <c r="AH178" s="193"/>
      <c r="AI178" s="169">
        <v>174</v>
      </c>
      <c r="AJ178" s="1">
        <f t="shared" si="100"/>
        <v>50816</v>
      </c>
      <c r="AK178" s="60">
        <f>IF($X178&lt;Input!$H$73,IF($X178&lt;Input!$G$73,IF($X178&lt;Input!$F$73,IF($X178&lt;Input!$E$73,IF($X178&lt;Input!$D$73,Input!$C$79,Input!$D$79),Input!$E$79),Input!$F$79),Input!$G$79),Input!$H$79)</f>
        <v>0</v>
      </c>
      <c r="AL178" s="190">
        <f>IF($A178&lt;Input!$H$80,IF($A178&lt;Input!$G$80,IF($A178&lt;Input!$F$80,IF($A178&lt;Input!$E$80,IF($A178&lt;Input!$D$80,Input!$C$81,Input!$D$81),Input!$E$81),Input!$F$81),Input!$G$81),Input!$H$81)</f>
        <v>0.9</v>
      </c>
      <c r="AM178" s="60">
        <f t="shared" si="81"/>
        <v>0</v>
      </c>
      <c r="AN178" s="60">
        <f t="shared" si="101"/>
        <v>31</v>
      </c>
      <c r="AO178" s="60">
        <f t="shared" si="82"/>
        <v>0</v>
      </c>
      <c r="AP178" s="60">
        <f>ROUND(AO178*AN178*Input!$C$3/365,0)</f>
        <v>0</v>
      </c>
      <c r="AQ178" s="61">
        <f>IF($A178&lt;=Input!$C$6,0,IF('Unique Tenure'!AM178&lt;'Unique Tenure'!AO178,'Unique Tenure'!AM178-AP178,'Unique Tenure'!AO178))</f>
        <v>0</v>
      </c>
      <c r="AR178" s="61">
        <f t="shared" si="83"/>
        <v>0</v>
      </c>
      <c r="AS178" s="60">
        <f t="shared" si="84"/>
        <v>0</v>
      </c>
      <c r="AT178" s="193"/>
      <c r="AU178" s="169">
        <v>174</v>
      </c>
      <c r="AV178" s="1">
        <f t="shared" si="102"/>
        <v>50816</v>
      </c>
      <c r="AW178" s="60">
        <f>IF($X178&lt;Input!$H$88,IF($X178&lt;Input!$G$88,IF($X178&lt;Input!$F$88,IF($X178&lt;Input!$E$88,IF($X178&lt;Input!$D$88,Input!$C$94,Input!$D$94),Input!$E$94),Input!$F$94),Input!$G$94),Input!$H$94)</f>
        <v>0</v>
      </c>
      <c r="AX178" s="190">
        <f>IF($A178&lt;Input!$H$95,IF($A178&lt;Input!$G$95,IF($A178&lt;Input!$F$95,IF($A178&lt;Input!$E$95,IF($A178&lt;Input!$D$95,Input!$C$96,Input!$D$96),Input!$E$96),Input!$F$96),Input!$G$96),Input!$H$96)</f>
        <v>0.9</v>
      </c>
      <c r="AY178" s="60">
        <f t="shared" si="85"/>
        <v>0</v>
      </c>
      <c r="AZ178" s="60">
        <f t="shared" si="103"/>
        <v>31</v>
      </c>
      <c r="BA178" s="60">
        <f t="shared" si="86"/>
        <v>0</v>
      </c>
      <c r="BB178" s="60">
        <f>ROUND(BA178*AZ178*Input!$C$3/365,0)</f>
        <v>0</v>
      </c>
      <c r="BC178" s="61">
        <f>IF($A178&lt;=Input!$C$6,0,IF('Unique Tenure'!AY178&lt;'Unique Tenure'!BA178,'Unique Tenure'!AY178-BB178,'Unique Tenure'!BA178))</f>
        <v>0</v>
      </c>
      <c r="BD178" s="61">
        <f t="shared" si="87"/>
        <v>0</v>
      </c>
      <c r="BE178" s="60">
        <f t="shared" si="88"/>
        <v>0</v>
      </c>
      <c r="BF178" s="193"/>
      <c r="BG178" s="169">
        <v>174</v>
      </c>
      <c r="BH178" s="1">
        <f t="shared" si="104"/>
        <v>50816</v>
      </c>
      <c r="BI178" s="60">
        <f>IF($X178&lt;Input!$H$103,IF($X178&lt;Input!$G$103,IF($X178&lt;Input!$F$103,IF($X178&lt;Input!$E$103,IF($X178&lt;Input!$D$103,Input!$C$109,Input!$D$109),Input!$E$109),Input!$F$109),Input!$G$109),Input!$H$109)</f>
        <v>0</v>
      </c>
      <c r="BJ178" s="190">
        <f>IF($A178&lt;Input!$H$110,IF($A178&lt;Input!$G$110,IF($A178&lt;Input!$F$110,IF($A178&lt;Input!$E$110,IF($A178&lt;Input!$D$110,Input!$C$111,Input!$D$111),Input!$E$111),Input!$F$111),Input!$G$111),Input!$H$111)</f>
        <v>0.9</v>
      </c>
      <c r="BK178" s="60">
        <f t="shared" si="89"/>
        <v>0</v>
      </c>
      <c r="BL178" s="60">
        <f t="shared" si="105"/>
        <v>31</v>
      </c>
      <c r="BM178" s="60">
        <f t="shared" si="90"/>
        <v>0</v>
      </c>
      <c r="BN178" s="60">
        <f>ROUND(BM178*BL178*Input!$C$3/365,0)</f>
        <v>0</v>
      </c>
      <c r="BO178" s="61">
        <f>IF($A178&lt;=Input!$C$6,0,IF('Unique Tenure'!BK178&lt;'Unique Tenure'!BM178,'Unique Tenure'!BK178-BN178,'Unique Tenure'!BM178))</f>
        <v>0</v>
      </c>
      <c r="BP178" s="61">
        <f t="shared" si="91"/>
        <v>0</v>
      </c>
      <c r="BQ178" s="60">
        <f t="shared" si="92"/>
        <v>0</v>
      </c>
      <c r="BR178" s="198"/>
    </row>
    <row r="179" spans="1:70" s="51" customFormat="1" x14ac:dyDescent="0.25">
      <c r="A179" s="169">
        <v>175</v>
      </c>
      <c r="B179" s="1">
        <f t="shared" si="93"/>
        <v>50844</v>
      </c>
      <c r="C179" s="60">
        <f>SUM(
   IF(($A$4:$A$184 &lt;= Input!$D$16), M179, 0),
   IF(($A$4:$A$184 &lt;= Input!$E$16), Y179, 0),
   IF(($A$4:$A$184 &lt;= Input!$F$16), AK179, 0),
   IF(($A$4:$A$184 &lt;= Input!$G$16), AW179, 0),
   IF(($A$4:$A$184 &lt;= Input!$H$16), BI179, 0)
)</f>
        <v>33127052.878124986</v>
      </c>
      <c r="D179" s="60">
        <f>SUM(
   IF(($A$4:$A$184 &lt;= Input!$D$16), O179, 0),
   IF(($A$4:$A$184 &lt;= Input!$E$16), AA179, 0),
   IF(($A$4:$A$184 &lt;= Input!$F$16), AM179, 0),
   IF(($A$4:$A$184 &lt;= Input!$G$16), AY179, 0),
   IF(($A$4:$A$184 &lt;= Input!$H$16), BK179, 0)
)</f>
        <v>29814347.590312488</v>
      </c>
      <c r="E179" s="60">
        <f t="shared" si="94"/>
        <v>28</v>
      </c>
      <c r="F179" s="60">
        <f t="shared" si="95"/>
        <v>0</v>
      </c>
      <c r="G179" s="60">
        <f>ROUND(F179*E179*Input!$C$3/365,0)</f>
        <v>0</v>
      </c>
      <c r="H179" s="60">
        <f>IF($A179&lt;=Input!$C$6,0,IF('Unique Tenure'!D179&lt;'Unique Tenure'!F179,'Unique Tenure'!D179-G179,'Unique Tenure'!F179))</f>
        <v>0</v>
      </c>
      <c r="I179" s="60">
        <f t="shared" si="96"/>
        <v>0</v>
      </c>
      <c r="J179" s="60">
        <f t="shared" si="97"/>
        <v>0</v>
      </c>
      <c r="K179" s="202">
        <f>J179/Input!$K$5</f>
        <v>0</v>
      </c>
      <c r="L179" s="232"/>
      <c r="M179" s="60">
        <f>IF($B179&lt;Input!$H$43,IF($B179&lt;Input!$G$43,IF($B179&lt;Input!$F$43,IF($B179&lt;Input!$E$43,IF($B179&lt;Input!$D$43,Input!$C$49,Input!$D$49),Input!$E$49),Input!$F$49),Input!$G$49),Input!$H$49)</f>
        <v>33127052.878124986</v>
      </c>
      <c r="N179" s="190">
        <f>IF($A179&lt;Input!$H$50,IF($A179&lt;Input!$G$50,IF($A179&lt;Input!$F$50,IF($A179&lt;Input!$E$50,IF($A179&lt;Input!$D$50,Input!$C$51,Input!$D$51),Input!$E$51),Input!$F$51),Input!$G$51),Input!$H$51)</f>
        <v>0.9</v>
      </c>
      <c r="O179" s="60">
        <f t="shared" si="106"/>
        <v>29814347.590312488</v>
      </c>
      <c r="P179" s="60">
        <f t="shared" si="107"/>
        <v>28</v>
      </c>
      <c r="Q179" s="60">
        <f t="shared" si="74"/>
        <v>0</v>
      </c>
      <c r="R179" s="60">
        <f>ROUND(Q179*$P179*Input!$C$3/365,0)</f>
        <v>0</v>
      </c>
      <c r="S179" s="60">
        <f>IF(A179&lt;=Input!$C$6,0,IF('Unique Tenure'!O179&lt;'Unique Tenure'!Q179,'Unique Tenure'!O179-R179,'Unique Tenure'!Q179))</f>
        <v>0</v>
      </c>
      <c r="T179" s="60">
        <f t="shared" si="75"/>
        <v>0</v>
      </c>
      <c r="U179" s="60">
        <f t="shared" si="76"/>
        <v>0</v>
      </c>
      <c r="V179" s="193"/>
      <c r="W179" s="169">
        <v>175</v>
      </c>
      <c r="X179" s="1">
        <f t="shared" si="98"/>
        <v>50844</v>
      </c>
      <c r="Y179" s="60">
        <f>IF($X179&lt;Input!$H$58,IF($X179&lt;Input!$G$58,IF($X179&lt;Input!$F$58,IF($X179&lt;Input!$E$58,IF($X179&lt;Input!$D$58,Input!$C$64,Input!$D$64),Input!$E$64),Input!$F$64),Input!$G$64),Input!$H$64)</f>
        <v>0</v>
      </c>
      <c r="Z179" s="190">
        <f>IF($A179&lt;Input!$H$65,IF($A179&lt;Input!$G$65,IF($A179&lt;Input!$F$65,IF($A179&lt;Input!$E$65,IF($A179&lt;Input!$D$65,Input!$C$66,Input!$D$66),Input!$E$66),Input!$F$66),Input!$G$66),Input!$H$66)</f>
        <v>0.9</v>
      </c>
      <c r="AA179" s="60">
        <f t="shared" si="77"/>
        <v>0</v>
      </c>
      <c r="AB179" s="60">
        <f t="shared" si="99"/>
        <v>28</v>
      </c>
      <c r="AC179" s="60">
        <f t="shared" si="78"/>
        <v>0</v>
      </c>
      <c r="AD179" s="60">
        <f>ROUND(AC179*AB179*Input!$C$3/365,0)</f>
        <v>0</v>
      </c>
      <c r="AE179" s="61">
        <f>IF($A179&lt;=Input!$C$6,0,IF('Unique Tenure'!AA179&lt;'Unique Tenure'!AC179,'Unique Tenure'!AA179-AD179,'Unique Tenure'!AC179))</f>
        <v>0</v>
      </c>
      <c r="AF179" s="61">
        <f t="shared" si="79"/>
        <v>0</v>
      </c>
      <c r="AG179" s="60">
        <f t="shared" si="80"/>
        <v>0</v>
      </c>
      <c r="AH179" s="193"/>
      <c r="AI179" s="169">
        <v>175</v>
      </c>
      <c r="AJ179" s="1">
        <f t="shared" si="100"/>
        <v>50844</v>
      </c>
      <c r="AK179" s="60">
        <f>IF($X179&lt;Input!$H$73,IF($X179&lt;Input!$G$73,IF($X179&lt;Input!$F$73,IF($X179&lt;Input!$E$73,IF($X179&lt;Input!$D$73,Input!$C$79,Input!$D$79),Input!$E$79),Input!$F$79),Input!$G$79),Input!$H$79)</f>
        <v>0</v>
      </c>
      <c r="AL179" s="190">
        <f>IF($A179&lt;Input!$H$80,IF($A179&lt;Input!$G$80,IF($A179&lt;Input!$F$80,IF($A179&lt;Input!$E$80,IF($A179&lt;Input!$D$80,Input!$C$81,Input!$D$81),Input!$E$81),Input!$F$81),Input!$G$81),Input!$H$81)</f>
        <v>0.9</v>
      </c>
      <c r="AM179" s="60">
        <f t="shared" si="81"/>
        <v>0</v>
      </c>
      <c r="AN179" s="60">
        <f t="shared" si="101"/>
        <v>28</v>
      </c>
      <c r="AO179" s="60">
        <f t="shared" si="82"/>
        <v>0</v>
      </c>
      <c r="AP179" s="60">
        <f>ROUND(AO179*AN179*Input!$C$3/365,0)</f>
        <v>0</v>
      </c>
      <c r="AQ179" s="61">
        <f>IF($A179&lt;=Input!$C$6,0,IF('Unique Tenure'!AM179&lt;'Unique Tenure'!AO179,'Unique Tenure'!AM179-AP179,'Unique Tenure'!AO179))</f>
        <v>0</v>
      </c>
      <c r="AR179" s="61">
        <f t="shared" si="83"/>
        <v>0</v>
      </c>
      <c r="AS179" s="60">
        <f t="shared" si="84"/>
        <v>0</v>
      </c>
      <c r="AT179" s="193"/>
      <c r="AU179" s="169">
        <v>175</v>
      </c>
      <c r="AV179" s="1">
        <f t="shared" si="102"/>
        <v>50844</v>
      </c>
      <c r="AW179" s="60">
        <f>IF($X179&lt;Input!$H$88,IF($X179&lt;Input!$G$88,IF($X179&lt;Input!$F$88,IF($X179&lt;Input!$E$88,IF($X179&lt;Input!$D$88,Input!$C$94,Input!$D$94),Input!$E$94),Input!$F$94),Input!$G$94),Input!$H$94)</f>
        <v>0</v>
      </c>
      <c r="AX179" s="190">
        <f>IF($A179&lt;Input!$H$95,IF($A179&lt;Input!$G$95,IF($A179&lt;Input!$F$95,IF($A179&lt;Input!$E$95,IF($A179&lt;Input!$D$95,Input!$C$96,Input!$D$96),Input!$E$96),Input!$F$96),Input!$G$96),Input!$H$96)</f>
        <v>0.9</v>
      </c>
      <c r="AY179" s="60">
        <f t="shared" si="85"/>
        <v>0</v>
      </c>
      <c r="AZ179" s="60">
        <f t="shared" si="103"/>
        <v>28</v>
      </c>
      <c r="BA179" s="60">
        <f t="shared" si="86"/>
        <v>0</v>
      </c>
      <c r="BB179" s="60">
        <f>ROUND(BA179*AZ179*Input!$C$3/365,0)</f>
        <v>0</v>
      </c>
      <c r="BC179" s="61">
        <f>IF($A179&lt;=Input!$C$6,0,IF('Unique Tenure'!AY179&lt;'Unique Tenure'!BA179,'Unique Tenure'!AY179-BB179,'Unique Tenure'!BA179))</f>
        <v>0</v>
      </c>
      <c r="BD179" s="61">
        <f t="shared" si="87"/>
        <v>0</v>
      </c>
      <c r="BE179" s="60">
        <f t="shared" si="88"/>
        <v>0</v>
      </c>
      <c r="BF179" s="193"/>
      <c r="BG179" s="169">
        <v>175</v>
      </c>
      <c r="BH179" s="1">
        <f t="shared" si="104"/>
        <v>50844</v>
      </c>
      <c r="BI179" s="60">
        <f>IF($X179&lt;Input!$H$103,IF($X179&lt;Input!$G$103,IF($X179&lt;Input!$F$103,IF($X179&lt;Input!$E$103,IF($X179&lt;Input!$D$103,Input!$C$109,Input!$D$109),Input!$E$109),Input!$F$109),Input!$G$109),Input!$H$109)</f>
        <v>0</v>
      </c>
      <c r="BJ179" s="190">
        <f>IF($A179&lt;Input!$H$110,IF($A179&lt;Input!$G$110,IF($A179&lt;Input!$F$110,IF($A179&lt;Input!$E$110,IF($A179&lt;Input!$D$110,Input!$C$111,Input!$D$111),Input!$E$111),Input!$F$111),Input!$G$111),Input!$H$111)</f>
        <v>0.9</v>
      </c>
      <c r="BK179" s="60">
        <f t="shared" si="89"/>
        <v>0</v>
      </c>
      <c r="BL179" s="60">
        <f t="shared" si="105"/>
        <v>28</v>
      </c>
      <c r="BM179" s="60">
        <f t="shared" si="90"/>
        <v>0</v>
      </c>
      <c r="BN179" s="60">
        <f>ROUND(BM179*BL179*Input!$C$3/365,0)</f>
        <v>0</v>
      </c>
      <c r="BO179" s="61">
        <f>IF($A179&lt;=Input!$C$6,0,IF('Unique Tenure'!BK179&lt;'Unique Tenure'!BM179,'Unique Tenure'!BK179-BN179,'Unique Tenure'!BM179))</f>
        <v>0</v>
      </c>
      <c r="BP179" s="61">
        <f t="shared" si="91"/>
        <v>0</v>
      </c>
      <c r="BQ179" s="60">
        <f t="shared" si="92"/>
        <v>0</v>
      </c>
      <c r="BR179" s="198"/>
    </row>
    <row r="180" spans="1:70" s="51" customFormat="1" x14ac:dyDescent="0.25">
      <c r="A180" s="169">
        <v>176</v>
      </c>
      <c r="B180" s="1">
        <f t="shared" si="93"/>
        <v>50875</v>
      </c>
      <c r="C180" s="60">
        <f>SUM(
   IF(($A$4:$A$184 &lt;= Input!$D$16), M180, 0),
   IF(($A$4:$A$184 &lt;= Input!$E$16), Y180, 0),
   IF(($A$4:$A$184 &lt;= Input!$F$16), AK180, 0),
   IF(($A$4:$A$184 &lt;= Input!$G$16), AW180, 0),
   IF(($A$4:$A$184 &lt;= Input!$H$16), BI180, 0)
)</f>
        <v>33127052.878124986</v>
      </c>
      <c r="D180" s="60">
        <f>SUM(
   IF(($A$4:$A$184 &lt;= Input!$D$16), O180, 0),
   IF(($A$4:$A$184 &lt;= Input!$E$16), AA180, 0),
   IF(($A$4:$A$184 &lt;= Input!$F$16), AM180, 0),
   IF(($A$4:$A$184 &lt;= Input!$G$16), AY180, 0),
   IF(($A$4:$A$184 &lt;= Input!$H$16), BK180, 0)
)</f>
        <v>29814347.590312488</v>
      </c>
      <c r="E180" s="60">
        <f t="shared" si="94"/>
        <v>31</v>
      </c>
      <c r="F180" s="60">
        <f t="shared" si="95"/>
        <v>0</v>
      </c>
      <c r="G180" s="60">
        <f>ROUND(F180*E180*Input!$C$3/365,0)</f>
        <v>0</v>
      </c>
      <c r="H180" s="60">
        <f>IF($A180&lt;=Input!$C$6,0,IF('Unique Tenure'!D180&lt;'Unique Tenure'!F180,'Unique Tenure'!D180-G180,'Unique Tenure'!F180))</f>
        <v>0</v>
      </c>
      <c r="I180" s="60">
        <f t="shared" si="96"/>
        <v>0</v>
      </c>
      <c r="J180" s="60">
        <f t="shared" si="97"/>
        <v>0</v>
      </c>
      <c r="K180" s="202">
        <f>J180/Input!$K$5</f>
        <v>0</v>
      </c>
      <c r="L180" s="232"/>
      <c r="M180" s="60">
        <f>IF($B180&lt;Input!$H$43,IF($B180&lt;Input!$G$43,IF($B180&lt;Input!$F$43,IF($B180&lt;Input!$E$43,IF($B180&lt;Input!$D$43,Input!$C$49,Input!$D$49),Input!$E$49),Input!$F$49),Input!$G$49),Input!$H$49)</f>
        <v>33127052.878124986</v>
      </c>
      <c r="N180" s="190">
        <f>IF($A180&lt;Input!$H$50,IF($A180&lt;Input!$G$50,IF($A180&lt;Input!$F$50,IF($A180&lt;Input!$E$50,IF($A180&lt;Input!$D$50,Input!$C$51,Input!$D$51),Input!$E$51),Input!$F$51),Input!$G$51),Input!$H$51)</f>
        <v>0.9</v>
      </c>
      <c r="O180" s="60">
        <f t="shared" si="106"/>
        <v>29814347.590312488</v>
      </c>
      <c r="P180" s="60">
        <f t="shared" si="107"/>
        <v>31</v>
      </c>
      <c r="Q180" s="60">
        <f t="shared" si="74"/>
        <v>0</v>
      </c>
      <c r="R180" s="60">
        <f>ROUND(Q180*$P180*Input!$C$3/365,0)</f>
        <v>0</v>
      </c>
      <c r="S180" s="60">
        <f>IF(A180&lt;=Input!$C$6,0,IF('Unique Tenure'!O180&lt;'Unique Tenure'!Q180,'Unique Tenure'!O180-R180,'Unique Tenure'!Q180))</f>
        <v>0</v>
      </c>
      <c r="T180" s="60">
        <f t="shared" si="75"/>
        <v>0</v>
      </c>
      <c r="U180" s="60">
        <f t="shared" si="76"/>
        <v>0</v>
      </c>
      <c r="V180" s="193"/>
      <c r="W180" s="169">
        <v>176</v>
      </c>
      <c r="X180" s="1">
        <f t="shared" si="98"/>
        <v>50875</v>
      </c>
      <c r="Y180" s="60">
        <f>IF($X180&lt;Input!$H$58,IF($X180&lt;Input!$G$58,IF($X180&lt;Input!$F$58,IF($X180&lt;Input!$E$58,IF($X180&lt;Input!$D$58,Input!$C$64,Input!$D$64),Input!$E$64),Input!$F$64),Input!$G$64),Input!$H$64)</f>
        <v>0</v>
      </c>
      <c r="Z180" s="190">
        <f>IF($A180&lt;Input!$H$65,IF($A180&lt;Input!$G$65,IF($A180&lt;Input!$F$65,IF($A180&lt;Input!$E$65,IF($A180&lt;Input!$D$65,Input!$C$66,Input!$D$66),Input!$E$66),Input!$F$66),Input!$G$66),Input!$H$66)</f>
        <v>0.9</v>
      </c>
      <c r="AA180" s="60">
        <f t="shared" si="77"/>
        <v>0</v>
      </c>
      <c r="AB180" s="60">
        <f t="shared" si="99"/>
        <v>31</v>
      </c>
      <c r="AC180" s="60">
        <f t="shared" si="78"/>
        <v>0</v>
      </c>
      <c r="AD180" s="60">
        <f>ROUND(AC180*AB180*Input!$C$3/365,0)</f>
        <v>0</v>
      </c>
      <c r="AE180" s="61">
        <f>IF($A180&lt;=Input!$C$6,0,IF('Unique Tenure'!AA180&lt;'Unique Tenure'!AC180,'Unique Tenure'!AA180-AD180,'Unique Tenure'!AC180))</f>
        <v>0</v>
      </c>
      <c r="AF180" s="61">
        <f t="shared" si="79"/>
        <v>0</v>
      </c>
      <c r="AG180" s="60">
        <f t="shared" si="80"/>
        <v>0</v>
      </c>
      <c r="AH180" s="193"/>
      <c r="AI180" s="169">
        <v>176</v>
      </c>
      <c r="AJ180" s="1">
        <f t="shared" si="100"/>
        <v>50875</v>
      </c>
      <c r="AK180" s="60">
        <f>IF($X180&lt;Input!$H$73,IF($X180&lt;Input!$G$73,IF($X180&lt;Input!$F$73,IF($X180&lt;Input!$E$73,IF($X180&lt;Input!$D$73,Input!$C$79,Input!$D$79),Input!$E$79),Input!$F$79),Input!$G$79),Input!$H$79)</f>
        <v>0</v>
      </c>
      <c r="AL180" s="190">
        <f>IF($A180&lt;Input!$H$80,IF($A180&lt;Input!$G$80,IF($A180&lt;Input!$F$80,IF($A180&lt;Input!$E$80,IF($A180&lt;Input!$D$80,Input!$C$81,Input!$D$81),Input!$E$81),Input!$F$81),Input!$G$81),Input!$H$81)</f>
        <v>0.9</v>
      </c>
      <c r="AM180" s="60">
        <f t="shared" si="81"/>
        <v>0</v>
      </c>
      <c r="AN180" s="60">
        <f t="shared" si="101"/>
        <v>31</v>
      </c>
      <c r="AO180" s="60">
        <f t="shared" si="82"/>
        <v>0</v>
      </c>
      <c r="AP180" s="60">
        <f>ROUND(AO180*AN180*Input!$C$3/365,0)</f>
        <v>0</v>
      </c>
      <c r="AQ180" s="61">
        <f>IF($A180&lt;=Input!$C$6,0,IF('Unique Tenure'!AM180&lt;'Unique Tenure'!AO180,'Unique Tenure'!AM180-AP180,'Unique Tenure'!AO180))</f>
        <v>0</v>
      </c>
      <c r="AR180" s="61">
        <f t="shared" si="83"/>
        <v>0</v>
      </c>
      <c r="AS180" s="60">
        <f t="shared" si="84"/>
        <v>0</v>
      </c>
      <c r="AT180" s="193"/>
      <c r="AU180" s="169">
        <v>176</v>
      </c>
      <c r="AV180" s="1">
        <f t="shared" si="102"/>
        <v>50875</v>
      </c>
      <c r="AW180" s="60">
        <f>IF($X180&lt;Input!$H$88,IF($X180&lt;Input!$G$88,IF($X180&lt;Input!$F$88,IF($X180&lt;Input!$E$88,IF($X180&lt;Input!$D$88,Input!$C$94,Input!$D$94),Input!$E$94),Input!$F$94),Input!$G$94),Input!$H$94)</f>
        <v>0</v>
      </c>
      <c r="AX180" s="190">
        <f>IF($A180&lt;Input!$H$95,IF($A180&lt;Input!$G$95,IF($A180&lt;Input!$F$95,IF($A180&lt;Input!$E$95,IF($A180&lt;Input!$D$95,Input!$C$96,Input!$D$96),Input!$E$96),Input!$F$96),Input!$G$96),Input!$H$96)</f>
        <v>0.9</v>
      </c>
      <c r="AY180" s="60">
        <f t="shared" si="85"/>
        <v>0</v>
      </c>
      <c r="AZ180" s="60">
        <f t="shared" si="103"/>
        <v>31</v>
      </c>
      <c r="BA180" s="60">
        <f t="shared" si="86"/>
        <v>0</v>
      </c>
      <c r="BB180" s="60">
        <f>ROUND(BA180*AZ180*Input!$C$3/365,0)</f>
        <v>0</v>
      </c>
      <c r="BC180" s="61">
        <f>IF($A180&lt;=Input!$C$6,0,IF('Unique Tenure'!AY180&lt;'Unique Tenure'!BA180,'Unique Tenure'!AY180-BB180,'Unique Tenure'!BA180))</f>
        <v>0</v>
      </c>
      <c r="BD180" s="61">
        <f t="shared" si="87"/>
        <v>0</v>
      </c>
      <c r="BE180" s="60">
        <f t="shared" si="88"/>
        <v>0</v>
      </c>
      <c r="BF180" s="193"/>
      <c r="BG180" s="169">
        <v>176</v>
      </c>
      <c r="BH180" s="1">
        <f t="shared" si="104"/>
        <v>50875</v>
      </c>
      <c r="BI180" s="60">
        <f>IF($X180&lt;Input!$H$103,IF($X180&lt;Input!$G$103,IF($X180&lt;Input!$F$103,IF($X180&lt;Input!$E$103,IF($X180&lt;Input!$D$103,Input!$C$109,Input!$D$109),Input!$E$109),Input!$F$109),Input!$G$109),Input!$H$109)</f>
        <v>0</v>
      </c>
      <c r="BJ180" s="190">
        <f>IF($A180&lt;Input!$H$110,IF($A180&lt;Input!$G$110,IF($A180&lt;Input!$F$110,IF($A180&lt;Input!$E$110,IF($A180&lt;Input!$D$110,Input!$C$111,Input!$D$111),Input!$E$111),Input!$F$111),Input!$G$111),Input!$H$111)</f>
        <v>0.9</v>
      </c>
      <c r="BK180" s="60">
        <f t="shared" si="89"/>
        <v>0</v>
      </c>
      <c r="BL180" s="60">
        <f t="shared" si="105"/>
        <v>31</v>
      </c>
      <c r="BM180" s="60">
        <f t="shared" si="90"/>
        <v>0</v>
      </c>
      <c r="BN180" s="60">
        <f>ROUND(BM180*BL180*Input!$C$3/365,0)</f>
        <v>0</v>
      </c>
      <c r="BO180" s="61">
        <f>IF($A180&lt;=Input!$C$6,0,IF('Unique Tenure'!BK180&lt;'Unique Tenure'!BM180,'Unique Tenure'!BK180-BN180,'Unique Tenure'!BM180))</f>
        <v>0</v>
      </c>
      <c r="BP180" s="61">
        <f t="shared" si="91"/>
        <v>0</v>
      </c>
      <c r="BQ180" s="60">
        <f t="shared" si="92"/>
        <v>0</v>
      </c>
      <c r="BR180" s="198"/>
    </row>
    <row r="181" spans="1:70" s="51" customFormat="1" x14ac:dyDescent="0.25">
      <c r="A181" s="169">
        <v>177</v>
      </c>
      <c r="B181" s="1">
        <f t="shared" si="93"/>
        <v>50905</v>
      </c>
      <c r="C181" s="60">
        <f>SUM(
   IF(($A$4:$A$184 &lt;= Input!$D$16), M181, 0),
   IF(($A$4:$A$184 &lt;= Input!$E$16), Y181, 0),
   IF(($A$4:$A$184 &lt;= Input!$F$16), AK181, 0),
   IF(($A$4:$A$184 &lt;= Input!$G$16), AW181, 0),
   IF(($A$4:$A$184 &lt;= Input!$H$16), BI181, 0)
)</f>
        <v>33127052.878124986</v>
      </c>
      <c r="D181" s="60">
        <f>SUM(
   IF(($A$4:$A$184 &lt;= Input!$D$16), O181, 0),
   IF(($A$4:$A$184 &lt;= Input!$E$16), AA181, 0),
   IF(($A$4:$A$184 &lt;= Input!$F$16), AM181, 0),
   IF(($A$4:$A$184 &lt;= Input!$G$16), AY181, 0),
   IF(($A$4:$A$184 &lt;= Input!$H$16), BK181, 0)
)</f>
        <v>29814347.590312488</v>
      </c>
      <c r="E181" s="60">
        <f t="shared" si="94"/>
        <v>30</v>
      </c>
      <c r="F181" s="60">
        <f t="shared" si="95"/>
        <v>0</v>
      </c>
      <c r="G181" s="60">
        <f>ROUND(F181*E181*Input!$C$3/365,0)</f>
        <v>0</v>
      </c>
      <c r="H181" s="60">
        <f>IF($A181&lt;=Input!$C$6,0,IF('Unique Tenure'!D181&lt;'Unique Tenure'!F181,'Unique Tenure'!D181-G181,'Unique Tenure'!F181))</f>
        <v>0</v>
      </c>
      <c r="I181" s="60">
        <f t="shared" si="96"/>
        <v>0</v>
      </c>
      <c r="J181" s="60">
        <f t="shared" si="97"/>
        <v>0</v>
      </c>
      <c r="K181" s="202">
        <f>J181/Input!$K$5</f>
        <v>0</v>
      </c>
      <c r="L181" s="232"/>
      <c r="M181" s="60">
        <f>IF($B181&lt;Input!$H$43,IF($B181&lt;Input!$G$43,IF($B181&lt;Input!$F$43,IF($B181&lt;Input!$E$43,IF($B181&lt;Input!$D$43,Input!$C$49,Input!$D$49),Input!$E$49),Input!$F$49),Input!$G$49),Input!$H$49)</f>
        <v>33127052.878124986</v>
      </c>
      <c r="N181" s="190">
        <f>IF($A181&lt;Input!$H$50,IF($A181&lt;Input!$G$50,IF($A181&lt;Input!$F$50,IF($A181&lt;Input!$E$50,IF($A181&lt;Input!$D$50,Input!$C$51,Input!$D$51),Input!$E$51),Input!$F$51),Input!$G$51),Input!$H$51)</f>
        <v>0.9</v>
      </c>
      <c r="O181" s="60">
        <f t="shared" si="106"/>
        <v>29814347.590312488</v>
      </c>
      <c r="P181" s="60">
        <f t="shared" si="107"/>
        <v>30</v>
      </c>
      <c r="Q181" s="60">
        <f t="shared" si="74"/>
        <v>0</v>
      </c>
      <c r="R181" s="60">
        <f>ROUND(Q181*$P181*Input!$C$3/365,0)</f>
        <v>0</v>
      </c>
      <c r="S181" s="60">
        <f>IF(A181&lt;=Input!$C$6,0,IF('Unique Tenure'!O181&lt;'Unique Tenure'!Q181,'Unique Tenure'!O181-R181,'Unique Tenure'!Q181))</f>
        <v>0</v>
      </c>
      <c r="T181" s="60">
        <f t="shared" si="75"/>
        <v>0</v>
      </c>
      <c r="U181" s="60">
        <f t="shared" si="76"/>
        <v>0</v>
      </c>
      <c r="V181" s="193"/>
      <c r="W181" s="169">
        <v>177</v>
      </c>
      <c r="X181" s="1">
        <f t="shared" si="98"/>
        <v>50905</v>
      </c>
      <c r="Y181" s="60">
        <f>IF($X181&lt;Input!$H$58,IF($X181&lt;Input!$G$58,IF($X181&lt;Input!$F$58,IF($X181&lt;Input!$E$58,IF($X181&lt;Input!$D$58,Input!$C$64,Input!$D$64),Input!$E$64),Input!$F$64),Input!$G$64),Input!$H$64)</f>
        <v>0</v>
      </c>
      <c r="Z181" s="190">
        <f>IF($A181&lt;Input!$H$65,IF($A181&lt;Input!$G$65,IF($A181&lt;Input!$F$65,IF($A181&lt;Input!$E$65,IF($A181&lt;Input!$D$65,Input!$C$66,Input!$D$66),Input!$E$66),Input!$F$66),Input!$G$66),Input!$H$66)</f>
        <v>0.9</v>
      </c>
      <c r="AA181" s="60">
        <f t="shared" si="77"/>
        <v>0</v>
      </c>
      <c r="AB181" s="60">
        <f t="shared" si="99"/>
        <v>30</v>
      </c>
      <c r="AC181" s="60">
        <f t="shared" si="78"/>
        <v>0</v>
      </c>
      <c r="AD181" s="60">
        <f>ROUND(AC181*AB181*Input!$C$3/365,0)</f>
        <v>0</v>
      </c>
      <c r="AE181" s="61">
        <f>IF($A181&lt;=Input!$C$6,0,IF('Unique Tenure'!AA181&lt;'Unique Tenure'!AC181,'Unique Tenure'!AA181-AD181,'Unique Tenure'!AC181))</f>
        <v>0</v>
      </c>
      <c r="AF181" s="61">
        <f t="shared" si="79"/>
        <v>0</v>
      </c>
      <c r="AG181" s="60">
        <f t="shared" si="80"/>
        <v>0</v>
      </c>
      <c r="AH181" s="193"/>
      <c r="AI181" s="169">
        <v>177</v>
      </c>
      <c r="AJ181" s="1">
        <f t="shared" si="100"/>
        <v>50905</v>
      </c>
      <c r="AK181" s="60">
        <f>IF($X181&lt;Input!$H$73,IF($X181&lt;Input!$G$73,IF($X181&lt;Input!$F$73,IF($X181&lt;Input!$E$73,IF($X181&lt;Input!$D$73,Input!$C$79,Input!$D$79),Input!$E$79),Input!$F$79),Input!$G$79),Input!$H$79)</f>
        <v>0</v>
      </c>
      <c r="AL181" s="190">
        <f>IF($A181&lt;Input!$H$80,IF($A181&lt;Input!$G$80,IF($A181&lt;Input!$F$80,IF($A181&lt;Input!$E$80,IF($A181&lt;Input!$D$80,Input!$C$81,Input!$D$81),Input!$E$81),Input!$F$81),Input!$G$81),Input!$H$81)</f>
        <v>0.9</v>
      </c>
      <c r="AM181" s="60">
        <f t="shared" si="81"/>
        <v>0</v>
      </c>
      <c r="AN181" s="60">
        <f t="shared" si="101"/>
        <v>30</v>
      </c>
      <c r="AO181" s="60">
        <f t="shared" si="82"/>
        <v>0</v>
      </c>
      <c r="AP181" s="60">
        <f>ROUND(AO181*AN181*Input!$C$3/365,0)</f>
        <v>0</v>
      </c>
      <c r="AQ181" s="61">
        <f>IF($A181&lt;=Input!$C$6,0,IF('Unique Tenure'!AM181&lt;'Unique Tenure'!AO181,'Unique Tenure'!AM181-AP181,'Unique Tenure'!AO181))</f>
        <v>0</v>
      </c>
      <c r="AR181" s="61">
        <f t="shared" si="83"/>
        <v>0</v>
      </c>
      <c r="AS181" s="60">
        <f t="shared" si="84"/>
        <v>0</v>
      </c>
      <c r="AT181" s="193"/>
      <c r="AU181" s="169">
        <v>177</v>
      </c>
      <c r="AV181" s="1">
        <f t="shared" si="102"/>
        <v>50905</v>
      </c>
      <c r="AW181" s="60">
        <f>IF($X181&lt;Input!$H$88,IF($X181&lt;Input!$G$88,IF($X181&lt;Input!$F$88,IF($X181&lt;Input!$E$88,IF($X181&lt;Input!$D$88,Input!$C$94,Input!$D$94),Input!$E$94),Input!$F$94),Input!$G$94),Input!$H$94)</f>
        <v>0</v>
      </c>
      <c r="AX181" s="190">
        <f>IF($A181&lt;Input!$H$95,IF($A181&lt;Input!$G$95,IF($A181&lt;Input!$F$95,IF($A181&lt;Input!$E$95,IF($A181&lt;Input!$D$95,Input!$C$96,Input!$D$96),Input!$E$96),Input!$F$96),Input!$G$96),Input!$H$96)</f>
        <v>0.9</v>
      </c>
      <c r="AY181" s="60">
        <f t="shared" si="85"/>
        <v>0</v>
      </c>
      <c r="AZ181" s="60">
        <f t="shared" si="103"/>
        <v>30</v>
      </c>
      <c r="BA181" s="60">
        <f t="shared" si="86"/>
        <v>0</v>
      </c>
      <c r="BB181" s="60">
        <f>ROUND(BA181*AZ181*Input!$C$3/365,0)</f>
        <v>0</v>
      </c>
      <c r="BC181" s="61">
        <f>IF($A181&lt;=Input!$C$6,0,IF('Unique Tenure'!AY181&lt;'Unique Tenure'!BA181,'Unique Tenure'!AY181-BB181,'Unique Tenure'!BA181))</f>
        <v>0</v>
      </c>
      <c r="BD181" s="61">
        <f t="shared" si="87"/>
        <v>0</v>
      </c>
      <c r="BE181" s="60">
        <f t="shared" si="88"/>
        <v>0</v>
      </c>
      <c r="BF181" s="193"/>
      <c r="BG181" s="169">
        <v>177</v>
      </c>
      <c r="BH181" s="1">
        <f t="shared" si="104"/>
        <v>50905</v>
      </c>
      <c r="BI181" s="60">
        <f>IF($X181&lt;Input!$H$103,IF($X181&lt;Input!$G$103,IF($X181&lt;Input!$F$103,IF($X181&lt;Input!$E$103,IF($X181&lt;Input!$D$103,Input!$C$109,Input!$D$109),Input!$E$109),Input!$F$109),Input!$G$109),Input!$H$109)</f>
        <v>0</v>
      </c>
      <c r="BJ181" s="190">
        <f>IF($A181&lt;Input!$H$110,IF($A181&lt;Input!$G$110,IF($A181&lt;Input!$F$110,IF($A181&lt;Input!$E$110,IF($A181&lt;Input!$D$110,Input!$C$111,Input!$D$111),Input!$E$111),Input!$F$111),Input!$G$111),Input!$H$111)</f>
        <v>0.9</v>
      </c>
      <c r="BK181" s="60">
        <f t="shared" si="89"/>
        <v>0</v>
      </c>
      <c r="BL181" s="60">
        <f t="shared" si="105"/>
        <v>30</v>
      </c>
      <c r="BM181" s="60">
        <f t="shared" si="90"/>
        <v>0</v>
      </c>
      <c r="BN181" s="60">
        <f>ROUND(BM181*BL181*Input!$C$3/365,0)</f>
        <v>0</v>
      </c>
      <c r="BO181" s="61">
        <f>IF($A181&lt;=Input!$C$6,0,IF('Unique Tenure'!BK181&lt;'Unique Tenure'!BM181,'Unique Tenure'!BK181-BN181,'Unique Tenure'!BM181))</f>
        <v>0</v>
      </c>
      <c r="BP181" s="61">
        <f t="shared" si="91"/>
        <v>0</v>
      </c>
      <c r="BQ181" s="60">
        <f t="shared" si="92"/>
        <v>0</v>
      </c>
      <c r="BR181" s="198"/>
    </row>
    <row r="182" spans="1:70" s="51" customFormat="1" x14ac:dyDescent="0.25">
      <c r="A182" s="169">
        <v>178</v>
      </c>
      <c r="B182" s="1">
        <f t="shared" si="93"/>
        <v>50936</v>
      </c>
      <c r="C182" s="60">
        <f>SUM(
   IF(($A$4:$A$184 &lt;= Input!$D$16), M182, 0),
   IF(($A$4:$A$184 &lt;= Input!$E$16), Y182, 0),
   IF(($A$4:$A$184 &lt;= Input!$F$16), AK182, 0),
   IF(($A$4:$A$184 &lt;= Input!$G$16), AW182, 0),
   IF(($A$4:$A$184 &lt;= Input!$H$16), BI182, 0)
)</f>
        <v>33127052.878124986</v>
      </c>
      <c r="D182" s="60">
        <f>SUM(
   IF(($A$4:$A$184 &lt;= Input!$D$16), O182, 0),
   IF(($A$4:$A$184 &lt;= Input!$E$16), AA182, 0),
   IF(($A$4:$A$184 &lt;= Input!$F$16), AM182, 0),
   IF(($A$4:$A$184 &lt;= Input!$G$16), AY182, 0),
   IF(($A$4:$A$184 &lt;= Input!$H$16), BK182, 0)
)</f>
        <v>29814347.590312488</v>
      </c>
      <c r="E182" s="60">
        <f t="shared" si="94"/>
        <v>31</v>
      </c>
      <c r="F182" s="60">
        <f t="shared" si="95"/>
        <v>0</v>
      </c>
      <c r="G182" s="60">
        <f>ROUND(F182*E182*Input!$C$3/365,0)</f>
        <v>0</v>
      </c>
      <c r="H182" s="60">
        <f>IF($A182&lt;=Input!$C$6,0,IF('Unique Tenure'!D182&lt;'Unique Tenure'!F182,'Unique Tenure'!D182-G182,'Unique Tenure'!F182))</f>
        <v>0</v>
      </c>
      <c r="I182" s="60">
        <f t="shared" si="96"/>
        <v>0</v>
      </c>
      <c r="J182" s="60">
        <f t="shared" si="97"/>
        <v>0</v>
      </c>
      <c r="K182" s="202">
        <f>J182/Input!$K$5</f>
        <v>0</v>
      </c>
      <c r="L182" s="232"/>
      <c r="M182" s="60">
        <f>IF($B182&lt;Input!$H$43,IF($B182&lt;Input!$G$43,IF($B182&lt;Input!$F$43,IF($B182&lt;Input!$E$43,IF($B182&lt;Input!$D$43,Input!$C$49,Input!$D$49),Input!$E$49),Input!$F$49),Input!$G$49),Input!$H$49)</f>
        <v>33127052.878124986</v>
      </c>
      <c r="N182" s="190">
        <f>IF($A182&lt;Input!$H$50,IF($A182&lt;Input!$G$50,IF($A182&lt;Input!$F$50,IF($A182&lt;Input!$E$50,IF($A182&lt;Input!$D$50,Input!$C$51,Input!$D$51),Input!$E$51),Input!$F$51),Input!$G$51),Input!$H$51)</f>
        <v>0.9</v>
      </c>
      <c r="O182" s="60">
        <f t="shared" si="106"/>
        <v>29814347.590312488</v>
      </c>
      <c r="P182" s="60">
        <f t="shared" si="107"/>
        <v>31</v>
      </c>
      <c r="Q182" s="60">
        <f t="shared" si="74"/>
        <v>0</v>
      </c>
      <c r="R182" s="60">
        <f>ROUND(Q182*$P182*Input!$C$3/365,0)</f>
        <v>0</v>
      </c>
      <c r="S182" s="60">
        <f>IF(A182&lt;=Input!$C$6,0,IF('Unique Tenure'!O182&lt;'Unique Tenure'!Q182,'Unique Tenure'!O182-R182,'Unique Tenure'!Q182))</f>
        <v>0</v>
      </c>
      <c r="T182" s="60">
        <f t="shared" si="75"/>
        <v>0</v>
      </c>
      <c r="U182" s="60">
        <f t="shared" si="76"/>
        <v>0</v>
      </c>
      <c r="V182" s="193"/>
      <c r="W182" s="169">
        <v>178</v>
      </c>
      <c r="X182" s="1">
        <f t="shared" si="98"/>
        <v>50936</v>
      </c>
      <c r="Y182" s="60">
        <f>IF($X182&lt;Input!$H$58,IF($X182&lt;Input!$G$58,IF($X182&lt;Input!$F$58,IF($X182&lt;Input!$E$58,IF($X182&lt;Input!$D$58,Input!$C$64,Input!$D$64),Input!$E$64),Input!$F$64),Input!$G$64),Input!$H$64)</f>
        <v>0</v>
      </c>
      <c r="Z182" s="190">
        <f>IF($A182&lt;Input!$H$65,IF($A182&lt;Input!$G$65,IF($A182&lt;Input!$F$65,IF($A182&lt;Input!$E$65,IF($A182&lt;Input!$D$65,Input!$C$66,Input!$D$66),Input!$E$66),Input!$F$66),Input!$G$66),Input!$H$66)</f>
        <v>0.9</v>
      </c>
      <c r="AA182" s="60">
        <f t="shared" si="77"/>
        <v>0</v>
      </c>
      <c r="AB182" s="60">
        <f t="shared" si="99"/>
        <v>31</v>
      </c>
      <c r="AC182" s="60">
        <f t="shared" si="78"/>
        <v>0</v>
      </c>
      <c r="AD182" s="60">
        <f>ROUND(AC182*AB182*Input!$C$3/365,0)</f>
        <v>0</v>
      </c>
      <c r="AE182" s="61">
        <f>IF($A182&lt;=Input!$C$6,0,IF('Unique Tenure'!AA182&lt;'Unique Tenure'!AC182,'Unique Tenure'!AA182-AD182,'Unique Tenure'!AC182))</f>
        <v>0</v>
      </c>
      <c r="AF182" s="61">
        <f t="shared" si="79"/>
        <v>0</v>
      </c>
      <c r="AG182" s="60">
        <f t="shared" si="80"/>
        <v>0</v>
      </c>
      <c r="AH182" s="193"/>
      <c r="AI182" s="169">
        <v>178</v>
      </c>
      <c r="AJ182" s="1">
        <f t="shared" si="100"/>
        <v>50936</v>
      </c>
      <c r="AK182" s="60">
        <f>IF($X182&lt;Input!$H$73,IF($X182&lt;Input!$G$73,IF($X182&lt;Input!$F$73,IF($X182&lt;Input!$E$73,IF($X182&lt;Input!$D$73,Input!$C$79,Input!$D$79),Input!$E$79),Input!$F$79),Input!$G$79),Input!$H$79)</f>
        <v>0</v>
      </c>
      <c r="AL182" s="190">
        <f>IF($A182&lt;Input!$H$80,IF($A182&lt;Input!$G$80,IF($A182&lt;Input!$F$80,IF($A182&lt;Input!$E$80,IF($A182&lt;Input!$D$80,Input!$C$81,Input!$D$81),Input!$E$81),Input!$F$81),Input!$G$81),Input!$H$81)</f>
        <v>0.9</v>
      </c>
      <c r="AM182" s="60">
        <f t="shared" si="81"/>
        <v>0</v>
      </c>
      <c r="AN182" s="60">
        <f t="shared" si="101"/>
        <v>31</v>
      </c>
      <c r="AO182" s="60">
        <f t="shared" si="82"/>
        <v>0</v>
      </c>
      <c r="AP182" s="60">
        <f>ROUND(AO182*AN182*Input!$C$3/365,0)</f>
        <v>0</v>
      </c>
      <c r="AQ182" s="61">
        <f>IF($A182&lt;=Input!$C$6,0,IF('Unique Tenure'!AM182&lt;'Unique Tenure'!AO182,'Unique Tenure'!AM182-AP182,'Unique Tenure'!AO182))</f>
        <v>0</v>
      </c>
      <c r="AR182" s="61">
        <f t="shared" si="83"/>
        <v>0</v>
      </c>
      <c r="AS182" s="60">
        <f t="shared" si="84"/>
        <v>0</v>
      </c>
      <c r="AT182" s="193"/>
      <c r="AU182" s="169">
        <v>178</v>
      </c>
      <c r="AV182" s="1">
        <f t="shared" si="102"/>
        <v>50936</v>
      </c>
      <c r="AW182" s="60">
        <f>IF($X182&lt;Input!$H$88,IF($X182&lt;Input!$G$88,IF($X182&lt;Input!$F$88,IF($X182&lt;Input!$E$88,IF($X182&lt;Input!$D$88,Input!$C$94,Input!$D$94),Input!$E$94),Input!$F$94),Input!$G$94),Input!$H$94)</f>
        <v>0</v>
      </c>
      <c r="AX182" s="190">
        <f>IF($A182&lt;Input!$H$95,IF($A182&lt;Input!$G$95,IF($A182&lt;Input!$F$95,IF($A182&lt;Input!$E$95,IF($A182&lt;Input!$D$95,Input!$C$96,Input!$D$96),Input!$E$96),Input!$F$96),Input!$G$96),Input!$H$96)</f>
        <v>0.9</v>
      </c>
      <c r="AY182" s="60">
        <f t="shared" si="85"/>
        <v>0</v>
      </c>
      <c r="AZ182" s="60">
        <f t="shared" si="103"/>
        <v>31</v>
      </c>
      <c r="BA182" s="60">
        <f t="shared" si="86"/>
        <v>0</v>
      </c>
      <c r="BB182" s="60">
        <f>ROUND(BA182*AZ182*Input!$C$3/365,0)</f>
        <v>0</v>
      </c>
      <c r="BC182" s="61">
        <f>IF($A182&lt;=Input!$C$6,0,IF('Unique Tenure'!AY182&lt;'Unique Tenure'!BA182,'Unique Tenure'!AY182-BB182,'Unique Tenure'!BA182))</f>
        <v>0</v>
      </c>
      <c r="BD182" s="61">
        <f t="shared" si="87"/>
        <v>0</v>
      </c>
      <c r="BE182" s="60">
        <f t="shared" si="88"/>
        <v>0</v>
      </c>
      <c r="BF182" s="193"/>
      <c r="BG182" s="169">
        <v>178</v>
      </c>
      <c r="BH182" s="1">
        <f t="shared" si="104"/>
        <v>50936</v>
      </c>
      <c r="BI182" s="60">
        <f>IF($X182&lt;Input!$H$103,IF($X182&lt;Input!$G$103,IF($X182&lt;Input!$F$103,IF($X182&lt;Input!$E$103,IF($X182&lt;Input!$D$103,Input!$C$109,Input!$D$109),Input!$E$109),Input!$F$109),Input!$G$109),Input!$H$109)</f>
        <v>0</v>
      </c>
      <c r="BJ182" s="190">
        <f>IF($A182&lt;Input!$H$110,IF($A182&lt;Input!$G$110,IF($A182&lt;Input!$F$110,IF($A182&lt;Input!$E$110,IF($A182&lt;Input!$D$110,Input!$C$111,Input!$D$111),Input!$E$111),Input!$F$111),Input!$G$111),Input!$H$111)</f>
        <v>0.9</v>
      </c>
      <c r="BK182" s="60">
        <f t="shared" si="89"/>
        <v>0</v>
      </c>
      <c r="BL182" s="60">
        <f t="shared" si="105"/>
        <v>31</v>
      </c>
      <c r="BM182" s="60">
        <f t="shared" si="90"/>
        <v>0</v>
      </c>
      <c r="BN182" s="60">
        <f>ROUND(BM182*BL182*Input!$C$3/365,0)</f>
        <v>0</v>
      </c>
      <c r="BO182" s="61">
        <f>IF($A182&lt;=Input!$C$6,0,IF('Unique Tenure'!BK182&lt;'Unique Tenure'!BM182,'Unique Tenure'!BK182-BN182,'Unique Tenure'!BM182))</f>
        <v>0</v>
      </c>
      <c r="BP182" s="61">
        <f t="shared" si="91"/>
        <v>0</v>
      </c>
      <c r="BQ182" s="60">
        <f t="shared" si="92"/>
        <v>0</v>
      </c>
      <c r="BR182" s="198"/>
    </row>
    <row r="183" spans="1:70" s="51" customFormat="1" x14ac:dyDescent="0.25">
      <c r="A183" s="169">
        <v>179</v>
      </c>
      <c r="B183" s="1">
        <f t="shared" si="93"/>
        <v>50966</v>
      </c>
      <c r="C183" s="60">
        <f>SUM(
   IF(($A$4:$A$184 &lt;= Input!$D$16), M183, 0),
   IF(($A$4:$A$184 &lt;= Input!$E$16), Y183, 0),
   IF(($A$4:$A$184 &lt;= Input!$F$16), AK183, 0),
   IF(($A$4:$A$184 &lt;= Input!$G$16), AW183, 0),
   IF(($A$4:$A$184 &lt;= Input!$H$16), BI183, 0)
)</f>
        <v>33127052.878124986</v>
      </c>
      <c r="D183" s="60">
        <f>SUM(
   IF(($A$4:$A$184 &lt;= Input!$D$16), O183, 0),
   IF(($A$4:$A$184 &lt;= Input!$E$16), AA183, 0),
   IF(($A$4:$A$184 &lt;= Input!$F$16), AM183, 0),
   IF(($A$4:$A$184 &lt;= Input!$G$16), AY183, 0),
   IF(($A$4:$A$184 &lt;= Input!$H$16), BK183, 0)
)</f>
        <v>29814347.590312488</v>
      </c>
      <c r="E183" s="60">
        <f t="shared" si="94"/>
        <v>30</v>
      </c>
      <c r="F183" s="60">
        <f t="shared" si="95"/>
        <v>0</v>
      </c>
      <c r="G183" s="60">
        <f>ROUND(F183*E183*Input!$C$3/365,0)</f>
        <v>0</v>
      </c>
      <c r="H183" s="60">
        <f>IF($A183&lt;=Input!$C$6,0,IF('Unique Tenure'!D183&lt;'Unique Tenure'!F183,'Unique Tenure'!D183-G183,'Unique Tenure'!F183))</f>
        <v>0</v>
      </c>
      <c r="I183" s="60">
        <f t="shared" si="96"/>
        <v>0</v>
      </c>
      <c r="J183" s="60">
        <f t="shared" si="97"/>
        <v>0</v>
      </c>
      <c r="K183" s="202">
        <f>J183/Input!$K$5</f>
        <v>0</v>
      </c>
      <c r="L183" s="232"/>
      <c r="M183" s="60">
        <f>IF($B183&lt;Input!$H$43,IF($B183&lt;Input!$G$43,IF($B183&lt;Input!$F$43,IF($B183&lt;Input!$E$43,IF($B183&lt;Input!$D$43,Input!$C$49,Input!$D$49),Input!$E$49),Input!$F$49),Input!$G$49),Input!$H$49)</f>
        <v>33127052.878124986</v>
      </c>
      <c r="N183" s="190">
        <f>IF($A183&lt;Input!$H$50,IF($A183&lt;Input!$G$50,IF($A183&lt;Input!$F$50,IF($A183&lt;Input!$E$50,IF($A183&lt;Input!$D$50,Input!$C$51,Input!$D$51),Input!$E$51),Input!$F$51),Input!$G$51),Input!$H$51)</f>
        <v>0.9</v>
      </c>
      <c r="O183" s="60">
        <f t="shared" si="106"/>
        <v>29814347.590312488</v>
      </c>
      <c r="P183" s="60">
        <f t="shared" si="107"/>
        <v>30</v>
      </c>
      <c r="Q183" s="60">
        <f t="shared" si="74"/>
        <v>0</v>
      </c>
      <c r="R183" s="60">
        <f>ROUND(Q183*$P183*Input!$C$3/365,0)</f>
        <v>0</v>
      </c>
      <c r="S183" s="60">
        <f>IF(A183&lt;=Input!$C$6,0,IF('Unique Tenure'!O183&lt;'Unique Tenure'!Q183,'Unique Tenure'!O183-R183,'Unique Tenure'!Q183))</f>
        <v>0</v>
      </c>
      <c r="T183" s="60">
        <f t="shared" si="75"/>
        <v>0</v>
      </c>
      <c r="U183" s="60">
        <f t="shared" si="76"/>
        <v>0</v>
      </c>
      <c r="V183" s="193"/>
      <c r="W183" s="169">
        <v>179</v>
      </c>
      <c r="X183" s="1">
        <f t="shared" si="98"/>
        <v>50966</v>
      </c>
      <c r="Y183" s="60">
        <f>IF($X183&lt;Input!$H$58,IF($X183&lt;Input!$G$58,IF($X183&lt;Input!$F$58,IF($X183&lt;Input!$E$58,IF($X183&lt;Input!$D$58,Input!$C$64,Input!$D$64),Input!$E$64),Input!$F$64),Input!$G$64),Input!$H$64)</f>
        <v>0</v>
      </c>
      <c r="Z183" s="190">
        <f>IF($A183&lt;Input!$H$65,IF($A183&lt;Input!$G$65,IF($A183&lt;Input!$F$65,IF($A183&lt;Input!$E$65,IF($A183&lt;Input!$D$65,Input!$C$66,Input!$D$66),Input!$E$66),Input!$F$66),Input!$G$66),Input!$H$66)</f>
        <v>0.9</v>
      </c>
      <c r="AA183" s="60">
        <f t="shared" si="77"/>
        <v>0</v>
      </c>
      <c r="AB183" s="60">
        <f t="shared" si="99"/>
        <v>30</v>
      </c>
      <c r="AC183" s="60">
        <f t="shared" si="78"/>
        <v>0</v>
      </c>
      <c r="AD183" s="60">
        <f>ROUND(AC183*AB183*Input!$C$3/365,0)</f>
        <v>0</v>
      </c>
      <c r="AE183" s="61">
        <f>IF($A183&lt;=Input!$C$6,0,IF('Unique Tenure'!AA183&lt;'Unique Tenure'!AC183,'Unique Tenure'!AA183-AD183,'Unique Tenure'!AC183))</f>
        <v>0</v>
      </c>
      <c r="AF183" s="61">
        <f t="shared" si="79"/>
        <v>0</v>
      </c>
      <c r="AG183" s="60">
        <f t="shared" si="80"/>
        <v>0</v>
      </c>
      <c r="AH183" s="193"/>
      <c r="AI183" s="169">
        <v>179</v>
      </c>
      <c r="AJ183" s="1">
        <f t="shared" si="100"/>
        <v>50966</v>
      </c>
      <c r="AK183" s="60">
        <f>IF($X183&lt;Input!$H$73,IF($X183&lt;Input!$G$73,IF($X183&lt;Input!$F$73,IF($X183&lt;Input!$E$73,IF($X183&lt;Input!$D$73,Input!$C$79,Input!$D$79),Input!$E$79),Input!$F$79),Input!$G$79),Input!$H$79)</f>
        <v>0</v>
      </c>
      <c r="AL183" s="190">
        <f>IF($A183&lt;Input!$H$80,IF($A183&lt;Input!$G$80,IF($A183&lt;Input!$F$80,IF($A183&lt;Input!$E$80,IF($A183&lt;Input!$D$80,Input!$C$81,Input!$D$81),Input!$E$81),Input!$F$81),Input!$G$81),Input!$H$81)</f>
        <v>0.9</v>
      </c>
      <c r="AM183" s="60">
        <f t="shared" si="81"/>
        <v>0</v>
      </c>
      <c r="AN183" s="60">
        <f t="shared" si="101"/>
        <v>30</v>
      </c>
      <c r="AO183" s="60">
        <f t="shared" si="82"/>
        <v>0</v>
      </c>
      <c r="AP183" s="60">
        <f>ROUND(AO183*AN183*Input!$C$3/365,0)</f>
        <v>0</v>
      </c>
      <c r="AQ183" s="61">
        <f>IF($A183&lt;=Input!$C$6,0,IF('Unique Tenure'!AM183&lt;'Unique Tenure'!AO183,'Unique Tenure'!AM183-AP183,'Unique Tenure'!AO183))</f>
        <v>0</v>
      </c>
      <c r="AR183" s="61">
        <f t="shared" si="83"/>
        <v>0</v>
      </c>
      <c r="AS183" s="60">
        <f t="shared" si="84"/>
        <v>0</v>
      </c>
      <c r="AT183" s="193"/>
      <c r="AU183" s="169">
        <v>179</v>
      </c>
      <c r="AV183" s="1">
        <f t="shared" si="102"/>
        <v>50966</v>
      </c>
      <c r="AW183" s="60">
        <f>IF($X183&lt;Input!$H$88,IF($X183&lt;Input!$G$88,IF($X183&lt;Input!$F$88,IF($X183&lt;Input!$E$88,IF($X183&lt;Input!$D$88,Input!$C$94,Input!$D$94),Input!$E$94),Input!$F$94),Input!$G$94),Input!$H$94)</f>
        <v>0</v>
      </c>
      <c r="AX183" s="190">
        <f>IF($A183&lt;Input!$H$95,IF($A183&lt;Input!$G$95,IF($A183&lt;Input!$F$95,IF($A183&lt;Input!$E$95,IF($A183&lt;Input!$D$95,Input!$C$96,Input!$D$96),Input!$E$96),Input!$F$96),Input!$G$96),Input!$H$96)</f>
        <v>0.9</v>
      </c>
      <c r="AY183" s="60">
        <f t="shared" si="85"/>
        <v>0</v>
      </c>
      <c r="AZ183" s="60">
        <f t="shared" si="103"/>
        <v>30</v>
      </c>
      <c r="BA183" s="60">
        <f t="shared" si="86"/>
        <v>0</v>
      </c>
      <c r="BB183" s="60">
        <f>ROUND(BA183*AZ183*Input!$C$3/365,0)</f>
        <v>0</v>
      </c>
      <c r="BC183" s="61">
        <f>IF($A183&lt;=Input!$C$6,0,IF('Unique Tenure'!AY183&lt;'Unique Tenure'!BA183,'Unique Tenure'!AY183-BB183,'Unique Tenure'!BA183))</f>
        <v>0</v>
      </c>
      <c r="BD183" s="61">
        <f t="shared" si="87"/>
        <v>0</v>
      </c>
      <c r="BE183" s="60">
        <f t="shared" si="88"/>
        <v>0</v>
      </c>
      <c r="BF183" s="193"/>
      <c r="BG183" s="169">
        <v>179</v>
      </c>
      <c r="BH183" s="1">
        <f t="shared" si="104"/>
        <v>50966</v>
      </c>
      <c r="BI183" s="60">
        <f>IF($X183&lt;Input!$H$103,IF($X183&lt;Input!$G$103,IF($X183&lt;Input!$F$103,IF($X183&lt;Input!$E$103,IF($X183&lt;Input!$D$103,Input!$C$109,Input!$D$109),Input!$E$109),Input!$F$109),Input!$G$109),Input!$H$109)</f>
        <v>0</v>
      </c>
      <c r="BJ183" s="190">
        <f>IF($A183&lt;Input!$H$110,IF($A183&lt;Input!$G$110,IF($A183&lt;Input!$F$110,IF($A183&lt;Input!$E$110,IF($A183&lt;Input!$D$110,Input!$C$111,Input!$D$111),Input!$E$111),Input!$F$111),Input!$G$111),Input!$H$111)</f>
        <v>0.9</v>
      </c>
      <c r="BK183" s="60">
        <f t="shared" si="89"/>
        <v>0</v>
      </c>
      <c r="BL183" s="60">
        <f t="shared" si="105"/>
        <v>30</v>
      </c>
      <c r="BM183" s="60">
        <f t="shared" si="90"/>
        <v>0</v>
      </c>
      <c r="BN183" s="60">
        <f>ROUND(BM183*BL183*Input!$C$3/365,0)</f>
        <v>0</v>
      </c>
      <c r="BO183" s="61">
        <f>IF($A183&lt;=Input!$C$6,0,IF('Unique Tenure'!BK183&lt;'Unique Tenure'!BM183,'Unique Tenure'!BK183-BN183,'Unique Tenure'!BM183))</f>
        <v>0</v>
      </c>
      <c r="BP183" s="61">
        <f t="shared" si="91"/>
        <v>0</v>
      </c>
      <c r="BQ183" s="60">
        <f t="shared" si="92"/>
        <v>0</v>
      </c>
      <c r="BR183" s="198"/>
    </row>
    <row r="184" spans="1:70" s="51" customFormat="1" x14ac:dyDescent="0.25">
      <c r="A184" s="169">
        <v>180</v>
      </c>
      <c r="B184" s="1">
        <f t="shared" si="93"/>
        <v>50997</v>
      </c>
      <c r="C184" s="60">
        <f>SUM(
   IF(($A$4:$A$184 &lt;= Input!$D$16), M184, 0),
   IF(($A$4:$A$184 &lt;= Input!$E$16), Y184, 0),
   IF(($A$4:$A$184 &lt;= Input!$F$16), AK184, 0),
   IF(($A$4:$A$184 &lt;= Input!$G$16), AW184, 0),
   IF(($A$4:$A$184 &lt;= Input!$H$16), BI184, 0)
)</f>
        <v>33127052.878124986</v>
      </c>
      <c r="D184" s="60">
        <f>SUM(
   IF(($A$4:$A$184 &lt;= Input!$D$16), O184, 0),
   IF(($A$4:$A$184 &lt;= Input!$E$16), AA184, 0),
   IF(($A$4:$A$184 &lt;= Input!$F$16), AM184, 0),
   IF(($A$4:$A$184 &lt;= Input!$G$16), AY184, 0),
   IF(($A$4:$A$184 &lt;= Input!$H$16), BK184, 0)
)</f>
        <v>29814347.590312488</v>
      </c>
      <c r="E184" s="60">
        <f t="shared" si="94"/>
        <v>31</v>
      </c>
      <c r="F184" s="60">
        <f t="shared" si="95"/>
        <v>0</v>
      </c>
      <c r="G184" s="60">
        <f>ROUND(F184*E184*Input!$C$3/365,0)</f>
        <v>0</v>
      </c>
      <c r="H184" s="60">
        <f>IF($A184&lt;=Input!$C$6,0,IF('Unique Tenure'!D184&lt;'Unique Tenure'!F184,'Unique Tenure'!D184-G184,'Unique Tenure'!F184))</f>
        <v>0</v>
      </c>
      <c r="I184" s="60">
        <f t="shared" si="96"/>
        <v>0</v>
      </c>
      <c r="J184" s="60">
        <f t="shared" si="97"/>
        <v>0</v>
      </c>
      <c r="K184" s="202">
        <f>J184/Input!$K$5</f>
        <v>0</v>
      </c>
      <c r="L184" s="232"/>
      <c r="M184" s="60">
        <f>IF($B184&lt;Input!$H$43,IF($B184&lt;Input!$G$43,IF($B184&lt;Input!$F$43,IF($B184&lt;Input!$E$43,IF($B184&lt;Input!$D$43,Input!$C$49,Input!$D$49),Input!$E$49),Input!$F$49),Input!$G$49),Input!$H$49)</f>
        <v>33127052.878124986</v>
      </c>
      <c r="N184" s="190">
        <f>IF($A184&lt;Input!$H$50,IF($A184&lt;Input!$G$50,IF($A184&lt;Input!$F$50,IF($A184&lt;Input!$E$50,IF($A184&lt;Input!$D$50,Input!$C$51,Input!$D$51),Input!$E$51),Input!$F$51),Input!$G$51),Input!$H$51)</f>
        <v>0.9</v>
      </c>
      <c r="O184" s="60">
        <f t="shared" si="106"/>
        <v>29814347.590312488</v>
      </c>
      <c r="P184" s="60">
        <f t="shared" si="107"/>
        <v>31</v>
      </c>
      <c r="Q184" s="60">
        <f t="shared" si="74"/>
        <v>0</v>
      </c>
      <c r="R184" s="60">
        <f>ROUND(Q184*$P184*Input!$C$3/365,0)</f>
        <v>0</v>
      </c>
      <c r="S184" s="60">
        <f>IF(A184&lt;=Input!$C$6,0,IF('Unique Tenure'!O184&lt;'Unique Tenure'!Q184,'Unique Tenure'!O184-R184,'Unique Tenure'!Q184))</f>
        <v>0</v>
      </c>
      <c r="T184" s="60">
        <f t="shared" si="75"/>
        <v>0</v>
      </c>
      <c r="U184" s="60">
        <f t="shared" si="76"/>
        <v>0</v>
      </c>
      <c r="V184" s="193"/>
      <c r="W184" s="169">
        <v>180</v>
      </c>
      <c r="X184" s="1">
        <f t="shared" si="98"/>
        <v>50997</v>
      </c>
      <c r="Y184" s="60">
        <f>IF($X184&lt;Input!$H$58,IF($X184&lt;Input!$G$58,IF($X184&lt;Input!$F$58,IF($X184&lt;Input!$E$58,IF($X184&lt;Input!$D$58,Input!$C$64,Input!$D$64),Input!$E$64),Input!$F$64),Input!$G$64),Input!$H$64)</f>
        <v>0</v>
      </c>
      <c r="Z184" s="190">
        <f>IF($A184&lt;Input!$H$65,IF($A184&lt;Input!$G$65,IF($A184&lt;Input!$F$65,IF($A184&lt;Input!$E$65,IF($A184&lt;Input!$D$65,Input!$C$66,Input!$D$66),Input!$E$66),Input!$F$66),Input!$G$66),Input!$H$66)</f>
        <v>0.9</v>
      </c>
      <c r="AA184" s="60">
        <f t="shared" si="77"/>
        <v>0</v>
      </c>
      <c r="AB184" s="60">
        <f t="shared" si="99"/>
        <v>31</v>
      </c>
      <c r="AC184" s="60">
        <f t="shared" si="78"/>
        <v>0</v>
      </c>
      <c r="AD184" s="60">
        <f>ROUND(AC184*AB184*Input!$C$3/365,0)</f>
        <v>0</v>
      </c>
      <c r="AE184" s="61">
        <f>IF($A184&lt;=Input!$C$6,0,IF('Unique Tenure'!AA184&lt;'Unique Tenure'!AC184,'Unique Tenure'!AA184-AD184,'Unique Tenure'!AC184))</f>
        <v>0</v>
      </c>
      <c r="AF184" s="61">
        <f t="shared" si="79"/>
        <v>0</v>
      </c>
      <c r="AG184" s="60">
        <f t="shared" si="80"/>
        <v>0</v>
      </c>
      <c r="AH184" s="193"/>
      <c r="AI184" s="169">
        <v>180</v>
      </c>
      <c r="AJ184" s="1">
        <f t="shared" si="100"/>
        <v>50997</v>
      </c>
      <c r="AK184" s="60">
        <f>IF($X184&lt;Input!$H$73,IF($X184&lt;Input!$G$73,IF($X184&lt;Input!$F$73,IF($X184&lt;Input!$E$73,IF($X184&lt;Input!$D$73,Input!$C$79,Input!$D$79),Input!$E$79),Input!$F$79),Input!$G$79),Input!$H$79)</f>
        <v>0</v>
      </c>
      <c r="AL184" s="190">
        <f>IF($A184&lt;Input!$H$80,IF($A184&lt;Input!$G$80,IF($A184&lt;Input!$F$80,IF($A184&lt;Input!$E$80,IF($A184&lt;Input!$D$80,Input!$C$81,Input!$D$81),Input!$E$81),Input!$F$81),Input!$G$81),Input!$H$81)</f>
        <v>0.9</v>
      </c>
      <c r="AM184" s="60">
        <f t="shared" si="81"/>
        <v>0</v>
      </c>
      <c r="AN184" s="60">
        <f t="shared" si="101"/>
        <v>31</v>
      </c>
      <c r="AO184" s="60">
        <f t="shared" si="82"/>
        <v>0</v>
      </c>
      <c r="AP184" s="60">
        <f>ROUND(AO184*AN184*Input!$C$3/365,0)</f>
        <v>0</v>
      </c>
      <c r="AQ184" s="61">
        <f>IF($A184&lt;=Input!$C$6,0,IF('Unique Tenure'!AM184&lt;'Unique Tenure'!AO184,'Unique Tenure'!AM184-AP184,'Unique Tenure'!AO184))</f>
        <v>0</v>
      </c>
      <c r="AR184" s="61">
        <f t="shared" si="83"/>
        <v>0</v>
      </c>
      <c r="AS184" s="60">
        <f t="shared" si="84"/>
        <v>0</v>
      </c>
      <c r="AT184" s="193"/>
      <c r="AU184" s="169">
        <v>180</v>
      </c>
      <c r="AV184" s="1">
        <f t="shared" si="102"/>
        <v>50997</v>
      </c>
      <c r="AW184" s="60">
        <f>IF($X184&lt;Input!$H$88,IF($X184&lt;Input!$G$88,IF($X184&lt;Input!$F$88,IF($X184&lt;Input!$E$88,IF($X184&lt;Input!$D$88,Input!$C$94,Input!$D$94),Input!$E$94),Input!$F$94),Input!$G$94),Input!$H$94)</f>
        <v>0</v>
      </c>
      <c r="AX184" s="190">
        <f>IF($A184&lt;Input!$H$95,IF($A184&lt;Input!$G$95,IF($A184&lt;Input!$F$95,IF($A184&lt;Input!$E$95,IF($A184&lt;Input!$D$95,Input!$C$96,Input!$D$96),Input!$E$96),Input!$F$96),Input!$G$96),Input!$H$96)</f>
        <v>0.9</v>
      </c>
      <c r="AY184" s="60">
        <f t="shared" si="85"/>
        <v>0</v>
      </c>
      <c r="AZ184" s="60">
        <f t="shared" si="103"/>
        <v>31</v>
      </c>
      <c r="BA184" s="60">
        <f t="shared" si="86"/>
        <v>0</v>
      </c>
      <c r="BB184" s="60">
        <f>ROUND(BA184*AZ184*Input!$C$3/365,0)</f>
        <v>0</v>
      </c>
      <c r="BC184" s="61">
        <f>IF($A184&lt;=Input!$C$6,0,IF('Unique Tenure'!AY184&lt;'Unique Tenure'!BA184,'Unique Tenure'!AY184-BB184,'Unique Tenure'!BA184))</f>
        <v>0</v>
      </c>
      <c r="BD184" s="61">
        <f t="shared" si="87"/>
        <v>0</v>
      </c>
      <c r="BE184" s="60">
        <f t="shared" si="88"/>
        <v>0</v>
      </c>
      <c r="BF184" s="193"/>
      <c r="BG184" s="169">
        <v>180</v>
      </c>
      <c r="BH184" s="1">
        <f t="shared" si="104"/>
        <v>50997</v>
      </c>
      <c r="BI184" s="60">
        <f>IF($X184&lt;Input!$H$103,IF($X184&lt;Input!$G$103,IF($X184&lt;Input!$F$103,IF($X184&lt;Input!$E$103,IF($X184&lt;Input!$D$103,Input!$C$109,Input!$D$109),Input!$E$109),Input!$F$109),Input!$G$109),Input!$H$109)</f>
        <v>0</v>
      </c>
      <c r="BJ184" s="190">
        <f>IF($A184&lt;Input!$H$110,IF($A184&lt;Input!$G$110,IF($A184&lt;Input!$F$110,IF($A184&lt;Input!$E$110,IF($A184&lt;Input!$D$110,Input!$C$111,Input!$D$111),Input!$E$111),Input!$F$111),Input!$G$111),Input!$H$111)</f>
        <v>0.9</v>
      </c>
      <c r="BK184" s="60">
        <f t="shared" si="89"/>
        <v>0</v>
      </c>
      <c r="BL184" s="60">
        <f t="shared" si="105"/>
        <v>31</v>
      </c>
      <c r="BM184" s="60">
        <f t="shared" si="90"/>
        <v>0</v>
      </c>
      <c r="BN184" s="60">
        <f>ROUND(BM184*BL184*Input!$C$3/365,0)</f>
        <v>0</v>
      </c>
      <c r="BO184" s="61">
        <f>IF($A184&lt;=Input!$C$6,0,IF('Unique Tenure'!BK184&lt;'Unique Tenure'!BM184,'Unique Tenure'!BK184-BN184,'Unique Tenure'!BM184))</f>
        <v>0</v>
      </c>
      <c r="BP184" s="61">
        <f t="shared" si="91"/>
        <v>0</v>
      </c>
      <c r="BQ184" s="60">
        <f t="shared" si="92"/>
        <v>0</v>
      </c>
      <c r="BR184" s="198"/>
    </row>
  </sheetData>
  <sheetProtection algorithmName="SHA-512" hashValue="tqQsmTUdWl6PdIFIq3OOYJcFtMMXkDZ2SGPVtt4opxhVVie2zKBRf771xRwgtwx9Qz3R+d9m6mhWbCSuH8rofA==" saltValue="DfY1P+lpUHLDKOSDvrgYiQ==" spinCount="100000" sheet="1" formatCells="0" formatColumns="0" formatRows="0" pivotTables="0"/>
  <mergeCells count="7">
    <mergeCell ref="A1:BR1"/>
    <mergeCell ref="M3:T3"/>
    <mergeCell ref="W3:AF3"/>
    <mergeCell ref="AJ3:AR3"/>
    <mergeCell ref="AU3:BD3"/>
    <mergeCell ref="BG3:BP3"/>
    <mergeCell ref="A3:G3"/>
  </mergeCells>
  <conditionalFormatting sqref="N4:N184">
    <cfRule type="expression" dxfId="12" priority="11">
      <formula>N3&lt;&gt;N4</formula>
    </cfRule>
  </conditionalFormatting>
  <conditionalFormatting sqref="AL4:AL184">
    <cfRule type="expression" dxfId="11" priority="10">
      <formula>AL4&lt;&gt;AL3</formula>
    </cfRule>
  </conditionalFormatting>
  <conditionalFormatting sqref="Z4:Z184">
    <cfRule type="expression" dxfId="10" priority="9">
      <formula>Z4&lt;&gt;Z3</formula>
    </cfRule>
  </conditionalFormatting>
  <conditionalFormatting sqref="AX4:AX184">
    <cfRule type="expression" dxfId="9" priority="8">
      <formula>AX4&lt;&gt;AX3</formula>
    </cfRule>
  </conditionalFormatting>
  <conditionalFormatting sqref="BJ4:BJ184">
    <cfRule type="expression" dxfId="8" priority="7">
      <formula>BJ4&lt;&gt;BJ3</formula>
    </cfRule>
  </conditionalFormatting>
  <conditionalFormatting sqref="H4:H184">
    <cfRule type="cellIs" dxfId="7" priority="6" operator="lessThan">
      <formula>0</formula>
    </cfRule>
  </conditionalFormatting>
  <conditionalFormatting sqref="S4:S184">
    <cfRule type="cellIs" dxfId="6" priority="5" operator="lessThan">
      <formula>0</formula>
    </cfRule>
  </conditionalFormatting>
  <conditionalFormatting sqref="AE4:AE184">
    <cfRule type="cellIs" dxfId="5" priority="4" operator="lessThan">
      <formula>0</formula>
    </cfRule>
  </conditionalFormatting>
  <conditionalFormatting sqref="AQ4:AQ184">
    <cfRule type="cellIs" dxfId="4" priority="3" operator="lessThan">
      <formula>0</formula>
    </cfRule>
  </conditionalFormatting>
  <conditionalFormatting sqref="BC4:BC184">
    <cfRule type="cellIs" dxfId="3" priority="2" operator="lessThan">
      <formula>0</formula>
    </cfRule>
  </conditionalFormatting>
  <conditionalFormatting sqref="BO4:BO184">
    <cfRule type="cellIs" dxfId="2" priority="1" operator="lessThan">
      <formula>0</formula>
    </cfRule>
  </conditionalFormatting>
  <dataValidations count="1">
    <dataValidation type="custom" errorStyle="warning" allowBlank="1" showInputMessage="1" showErrorMessage="1" errorTitle="Sanction amount too high" error="Check negative values in principal run off and modify discounting factor / lower the loan amount" sqref="BC4:BC184 AE4:AE184 AQ4:AQ184 BO4:BO184" xr:uid="{26906D9E-6DF2-4DD1-A24D-A3FA6ADD6EF5}">
      <formula1>"&lt;0"</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29F3B-23BA-4262-B3D3-1506A2CFE7E4}">
  <sheetPr codeName="Sheet13"/>
  <dimension ref="A1:T184"/>
  <sheetViews>
    <sheetView workbookViewId="0">
      <selection activeCell="E4" sqref="E4"/>
    </sheetView>
  </sheetViews>
  <sheetFormatPr defaultRowHeight="15" x14ac:dyDescent="0.25"/>
  <cols>
    <col min="1" max="1" width="9.140625" style="50"/>
    <col min="2" max="2" width="9.5703125" style="50" bestFit="1" customWidth="1"/>
    <col min="3" max="7" width="9.140625" style="50"/>
    <col min="8" max="8" width="14.85546875" style="50" bestFit="1" customWidth="1"/>
    <col min="9" max="9" width="9.140625" style="50"/>
    <col min="10" max="10" width="12.42578125" style="50" bestFit="1" customWidth="1"/>
    <col min="11" max="12" width="14.85546875" style="50" bestFit="1" customWidth="1"/>
    <col min="13" max="13" width="9.140625" style="50"/>
    <col min="14" max="14" width="3.140625" style="50" customWidth="1"/>
    <col min="15" max="15" width="9.140625" style="50"/>
    <col min="16" max="16" width="15" style="50" bestFit="1" customWidth="1"/>
    <col min="17" max="16384" width="9.140625" style="50"/>
  </cols>
  <sheetData>
    <row r="1" spans="1:20" x14ac:dyDescent="0.25">
      <c r="A1" s="350" t="s">
        <v>160</v>
      </c>
      <c r="B1" s="350"/>
      <c r="C1" s="350"/>
      <c r="D1" s="350"/>
      <c r="E1" s="350"/>
      <c r="F1" s="350"/>
      <c r="G1" s="350"/>
      <c r="H1" s="350"/>
      <c r="I1" s="350"/>
      <c r="J1" s="350"/>
      <c r="K1" s="350"/>
      <c r="L1" s="350"/>
      <c r="M1" s="350"/>
      <c r="P1" s="197"/>
      <c r="Q1" s="197"/>
      <c r="R1" s="197"/>
      <c r="S1" s="197"/>
      <c r="T1" s="197"/>
    </row>
    <row r="2" spans="1:20" ht="45" x14ac:dyDescent="0.25">
      <c r="A2" s="249" t="s">
        <v>20</v>
      </c>
      <c r="B2" s="250" t="s">
        <v>0</v>
      </c>
      <c r="C2" s="250" t="s">
        <v>150</v>
      </c>
      <c r="D2" s="250" t="s">
        <v>147</v>
      </c>
      <c r="E2" s="250" t="s">
        <v>159</v>
      </c>
      <c r="F2" s="251" t="s">
        <v>4</v>
      </c>
      <c r="G2" s="251" t="s">
        <v>23</v>
      </c>
      <c r="H2" s="251" t="s">
        <v>29</v>
      </c>
      <c r="I2" s="251" t="s">
        <v>2</v>
      </c>
      <c r="J2" s="251" t="s">
        <v>19</v>
      </c>
      <c r="K2" s="251" t="s">
        <v>27</v>
      </c>
      <c r="L2" s="251" t="s">
        <v>1</v>
      </c>
      <c r="M2" s="251" t="s">
        <v>32</v>
      </c>
    </row>
    <row r="3" spans="1:20" x14ac:dyDescent="0.25">
      <c r="A3" s="249"/>
      <c r="B3" s="250"/>
      <c r="C3" s="250"/>
      <c r="D3" s="250"/>
      <c r="E3" s="250"/>
      <c r="F3" s="251"/>
      <c r="G3" s="251"/>
      <c r="H3" s="251"/>
      <c r="I3" s="251"/>
      <c r="J3" s="251"/>
      <c r="K3" s="251"/>
      <c r="L3" s="251">
        <v>159139114.06906542</v>
      </c>
      <c r="M3" s="251"/>
      <c r="O3" s="197"/>
    </row>
    <row r="4" spans="1:20" s="197" customFormat="1" ht="22.5" customHeight="1" x14ac:dyDescent="0.25">
      <c r="A4" s="252">
        <v>0</v>
      </c>
      <c r="B4" s="253">
        <f>IF(Input!C5=15,IF(DAY(Input!C4)&lt;15,DATE(YEAR((Input!C4)),MONTH(Input!C4),15),IF(DAY(Input!C4)=15,Input!C4,DATE(YEAR((Input!C4)),MONTH(Input!C4)+1,15))),IF(DAY(Input!C4)&lt;5,DATE(YEAR((Input!C4)),MONTH(Input!C4),5),IF(DAY(Input!C4)=5,Input!C4,DATE(YEAR((Input!C4)),MONTH(Input!C4)+1,5))))</f>
        <v>45519</v>
      </c>
      <c r="C4" s="252">
        <f>ROUND(IF(Input!$B$15="Yes",'Unique Tenure'!C4,'180M'!C4),0)</f>
        <v>16470000</v>
      </c>
      <c r="D4" s="252">
        <v>0.7</v>
      </c>
      <c r="E4" s="252">
        <f>C4*D4</f>
        <v>11529000</v>
      </c>
      <c r="F4" s="254">
        <f>B4-Input!$C$4</f>
        <v>15</v>
      </c>
      <c r="G4" s="255">
        <f>Input!C3</f>
        <v>0.15</v>
      </c>
      <c r="H4" s="252">
        <f>L3</f>
        <v>159139114.06906542</v>
      </c>
      <c r="I4" s="252">
        <f>ROUND(H4*F4*$G4/365,0)</f>
        <v>980995</v>
      </c>
      <c r="J4" s="254">
        <f>IF($A4&lt;=Input!$C$6,0,IF(E4&lt;H4,E4-I4,H4))</f>
        <v>0</v>
      </c>
      <c r="K4" s="256">
        <f>I4+J4</f>
        <v>980995</v>
      </c>
      <c r="L4" s="256">
        <f>L3-J4</f>
        <v>159139114.06906542</v>
      </c>
      <c r="M4" s="252"/>
      <c r="P4" s="257"/>
    </row>
    <row r="5" spans="1:20" x14ac:dyDescent="0.25">
      <c r="A5" s="252">
        <v>1</v>
      </c>
      <c r="B5" s="253">
        <f>EDATE(B4,1)</f>
        <v>45550</v>
      </c>
      <c r="C5" s="252">
        <f>ROUND(IF(Input!$B$15="Yes",'Unique Tenure'!C5,'180M'!C5),0)</f>
        <v>16470000</v>
      </c>
      <c r="D5" s="252">
        <f>D4</f>
        <v>0.7</v>
      </c>
      <c r="E5" s="252">
        <f t="shared" ref="E5:E68" si="0">C5*D5</f>
        <v>11529000</v>
      </c>
      <c r="F5" s="249">
        <f>B5-B4</f>
        <v>31</v>
      </c>
      <c r="G5" s="258">
        <f>G4</f>
        <v>0.15</v>
      </c>
      <c r="H5" s="256">
        <f>L4</f>
        <v>159139114.06906542</v>
      </c>
      <c r="I5" s="252">
        <f t="shared" ref="I5:I68" si="1">ROUND(H5*F5*$G5/365,0)</f>
        <v>2027389</v>
      </c>
      <c r="J5" s="254">
        <f>IF($A5&lt;=Input!$C$6,0,IF(E5&lt;H5,E5-I5,H5))</f>
        <v>9501611</v>
      </c>
      <c r="K5" s="256">
        <f t="shared" ref="K5:K68" si="2">I5+J5</f>
        <v>11529000</v>
      </c>
      <c r="L5" s="256">
        <f t="shared" ref="L5:L68" si="3">L4-J5</f>
        <v>149637503.06906542</v>
      </c>
      <c r="M5" s="249"/>
    </row>
    <row r="6" spans="1:20" x14ac:dyDescent="0.25">
      <c r="A6" s="252">
        <v>2</v>
      </c>
      <c r="B6" s="253">
        <f t="shared" ref="B6:B69" si="4">EDATE(B5,1)</f>
        <v>45580</v>
      </c>
      <c r="C6" s="252">
        <f>ROUND(IF(Input!$B$15="Yes",'Unique Tenure'!C6,'180M'!C6),0)</f>
        <v>16470000</v>
      </c>
      <c r="D6" s="252">
        <f t="shared" ref="D6:D69" si="5">D5</f>
        <v>0.7</v>
      </c>
      <c r="E6" s="252">
        <f t="shared" si="0"/>
        <v>11529000</v>
      </c>
      <c r="F6" s="249">
        <f t="shared" ref="F6:F69" si="6">B6-B5</f>
        <v>30</v>
      </c>
      <c r="G6" s="258">
        <f t="shared" ref="G6:G69" si="7">G5</f>
        <v>0.15</v>
      </c>
      <c r="H6" s="252">
        <f t="shared" ref="H6:H68" si="8">L5</f>
        <v>149637503.06906542</v>
      </c>
      <c r="I6" s="252">
        <f t="shared" si="1"/>
        <v>1844846</v>
      </c>
      <c r="J6" s="254">
        <f>IF($A6&lt;=Input!$C$6,0,IF(E6&lt;H6,E6-I6,H6))</f>
        <v>9684154</v>
      </c>
      <c r="K6" s="256">
        <f t="shared" si="2"/>
        <v>11529000</v>
      </c>
      <c r="L6" s="256">
        <f t="shared" si="3"/>
        <v>139953349.06906542</v>
      </c>
      <c r="M6" s="249"/>
    </row>
    <row r="7" spans="1:20" x14ac:dyDescent="0.25">
      <c r="A7" s="252">
        <v>3</v>
      </c>
      <c r="B7" s="253">
        <f t="shared" si="4"/>
        <v>45611</v>
      </c>
      <c r="C7" s="252">
        <f>ROUND(IF(Input!$B$15="Yes",'Unique Tenure'!C7,'180M'!C7),0)</f>
        <v>16470000</v>
      </c>
      <c r="D7" s="252">
        <f t="shared" si="5"/>
        <v>0.7</v>
      </c>
      <c r="E7" s="252">
        <f t="shared" si="0"/>
        <v>11529000</v>
      </c>
      <c r="F7" s="249">
        <f t="shared" si="6"/>
        <v>31</v>
      </c>
      <c r="G7" s="258">
        <f t="shared" si="7"/>
        <v>0.15</v>
      </c>
      <c r="H7" s="252">
        <f t="shared" si="8"/>
        <v>139953349.06906542</v>
      </c>
      <c r="I7" s="252">
        <f t="shared" si="1"/>
        <v>1782967</v>
      </c>
      <c r="J7" s="254">
        <f>IF($A7&lt;=Input!$C$6,0,IF(E7&lt;H7,E7-I7,H7))</f>
        <v>9746033</v>
      </c>
      <c r="K7" s="256">
        <f t="shared" si="2"/>
        <v>11529000</v>
      </c>
      <c r="L7" s="256">
        <f t="shared" si="3"/>
        <v>130207316.06906542</v>
      </c>
      <c r="M7" s="249"/>
    </row>
    <row r="8" spans="1:20" x14ac:dyDescent="0.25">
      <c r="A8" s="252">
        <v>4</v>
      </c>
      <c r="B8" s="253">
        <f t="shared" si="4"/>
        <v>45641</v>
      </c>
      <c r="C8" s="252">
        <f>ROUND(IF(Input!$B$15="Yes",'Unique Tenure'!C8,'180M'!C8),0)</f>
        <v>16470000</v>
      </c>
      <c r="D8" s="252">
        <f t="shared" si="5"/>
        <v>0.7</v>
      </c>
      <c r="E8" s="252">
        <f t="shared" si="0"/>
        <v>11529000</v>
      </c>
      <c r="F8" s="249">
        <f t="shared" si="6"/>
        <v>30</v>
      </c>
      <c r="G8" s="258">
        <f t="shared" si="7"/>
        <v>0.15</v>
      </c>
      <c r="H8" s="252">
        <f t="shared" si="8"/>
        <v>130207316.06906542</v>
      </c>
      <c r="I8" s="252">
        <f t="shared" si="1"/>
        <v>1605296</v>
      </c>
      <c r="J8" s="254">
        <f>IF($A8&lt;=Input!$C$6,0,IF(E8&lt;H8,E8-I8,H8))</f>
        <v>9923704</v>
      </c>
      <c r="K8" s="256">
        <f t="shared" si="2"/>
        <v>11529000</v>
      </c>
      <c r="L8" s="256">
        <f t="shared" si="3"/>
        <v>120283612.06906542</v>
      </c>
      <c r="M8" s="249"/>
    </row>
    <row r="9" spans="1:20" x14ac:dyDescent="0.25">
      <c r="A9" s="252">
        <v>5</v>
      </c>
      <c r="B9" s="253">
        <f t="shared" si="4"/>
        <v>45672</v>
      </c>
      <c r="C9" s="252">
        <f>ROUND(IF(Input!$B$15="Yes",'Unique Tenure'!C9,'180M'!C9),0)</f>
        <v>16470000</v>
      </c>
      <c r="D9" s="252">
        <f t="shared" si="5"/>
        <v>0.7</v>
      </c>
      <c r="E9" s="252">
        <f t="shared" si="0"/>
        <v>11529000</v>
      </c>
      <c r="F9" s="249">
        <f t="shared" si="6"/>
        <v>31</v>
      </c>
      <c r="G9" s="258">
        <f t="shared" si="7"/>
        <v>0.15</v>
      </c>
      <c r="H9" s="252">
        <f t="shared" si="8"/>
        <v>120283612.06906542</v>
      </c>
      <c r="I9" s="252">
        <f t="shared" si="1"/>
        <v>1532380</v>
      </c>
      <c r="J9" s="254">
        <f>IF($A9&lt;=Input!$C$6,0,IF(E9&lt;H9,E9-I9,H9))</f>
        <v>9996620</v>
      </c>
      <c r="K9" s="256">
        <f t="shared" si="2"/>
        <v>11529000</v>
      </c>
      <c r="L9" s="256">
        <f t="shared" si="3"/>
        <v>110286992.06906542</v>
      </c>
      <c r="M9" s="249"/>
    </row>
    <row r="10" spans="1:20" x14ac:dyDescent="0.25">
      <c r="A10" s="252">
        <v>6</v>
      </c>
      <c r="B10" s="253">
        <f t="shared" si="4"/>
        <v>45703</v>
      </c>
      <c r="C10" s="252">
        <f>ROUND(IF(Input!$B$15="Yes",'Unique Tenure'!C10,'180M'!C10),0)</f>
        <v>16470000</v>
      </c>
      <c r="D10" s="252">
        <f t="shared" si="5"/>
        <v>0.7</v>
      </c>
      <c r="E10" s="252">
        <f t="shared" si="0"/>
        <v>11529000</v>
      </c>
      <c r="F10" s="249">
        <f t="shared" si="6"/>
        <v>31</v>
      </c>
      <c r="G10" s="258">
        <f t="shared" si="7"/>
        <v>0.15</v>
      </c>
      <c r="H10" s="252">
        <f t="shared" si="8"/>
        <v>110286992.06906542</v>
      </c>
      <c r="I10" s="252">
        <f t="shared" si="1"/>
        <v>1405026</v>
      </c>
      <c r="J10" s="254">
        <f>IF($A10&lt;=Input!$C$6,0,IF(E10&lt;H10,E10-I10,H10))</f>
        <v>10123974</v>
      </c>
      <c r="K10" s="256">
        <f t="shared" si="2"/>
        <v>11529000</v>
      </c>
      <c r="L10" s="256">
        <f t="shared" si="3"/>
        <v>100163018.06906542</v>
      </c>
      <c r="M10" s="249"/>
    </row>
    <row r="11" spans="1:20" x14ac:dyDescent="0.25">
      <c r="A11" s="252">
        <v>7</v>
      </c>
      <c r="B11" s="253">
        <f t="shared" si="4"/>
        <v>45731</v>
      </c>
      <c r="C11" s="252">
        <f>ROUND(IF(Input!$B$15="Yes",'Unique Tenure'!C11,'180M'!C11),0)</f>
        <v>16470000</v>
      </c>
      <c r="D11" s="252">
        <f t="shared" si="5"/>
        <v>0.7</v>
      </c>
      <c r="E11" s="252">
        <f t="shared" si="0"/>
        <v>11529000</v>
      </c>
      <c r="F11" s="249">
        <f t="shared" si="6"/>
        <v>28</v>
      </c>
      <c r="G11" s="258">
        <f t="shared" si="7"/>
        <v>0.15</v>
      </c>
      <c r="H11" s="252">
        <f t="shared" si="8"/>
        <v>100163018.06906542</v>
      </c>
      <c r="I11" s="252">
        <f t="shared" si="1"/>
        <v>1152561</v>
      </c>
      <c r="J11" s="254">
        <f>IF($A11&lt;=Input!$C$6,0,IF(E11&lt;H11,E11-I11,H11))</f>
        <v>10376439</v>
      </c>
      <c r="K11" s="256">
        <f t="shared" si="2"/>
        <v>11529000</v>
      </c>
      <c r="L11" s="256">
        <f t="shared" si="3"/>
        <v>89786579.069065422</v>
      </c>
      <c r="M11" s="249"/>
    </row>
    <row r="12" spans="1:20" x14ac:dyDescent="0.25">
      <c r="A12" s="252">
        <v>8</v>
      </c>
      <c r="B12" s="253">
        <f t="shared" si="4"/>
        <v>45762</v>
      </c>
      <c r="C12" s="252">
        <f>ROUND(IF(Input!$B$15="Yes",'Unique Tenure'!C12,'180M'!C12),0)</f>
        <v>16470000</v>
      </c>
      <c r="D12" s="252">
        <f t="shared" si="5"/>
        <v>0.7</v>
      </c>
      <c r="E12" s="252">
        <f t="shared" si="0"/>
        <v>11529000</v>
      </c>
      <c r="F12" s="249">
        <f t="shared" si="6"/>
        <v>31</v>
      </c>
      <c r="G12" s="258">
        <f t="shared" si="7"/>
        <v>0.15</v>
      </c>
      <c r="H12" s="252">
        <f t="shared" si="8"/>
        <v>89786579.069065422</v>
      </c>
      <c r="I12" s="252">
        <f t="shared" si="1"/>
        <v>1143856</v>
      </c>
      <c r="J12" s="254">
        <f>IF($A12&lt;=Input!$C$6,0,IF(E12&lt;H12,E12-I12,H12))</f>
        <v>10385144</v>
      </c>
      <c r="K12" s="256">
        <f t="shared" si="2"/>
        <v>11529000</v>
      </c>
      <c r="L12" s="256">
        <f t="shared" si="3"/>
        <v>79401435.069065422</v>
      </c>
      <c r="M12" s="249"/>
    </row>
    <row r="13" spans="1:20" x14ac:dyDescent="0.25">
      <c r="A13" s="252">
        <v>9</v>
      </c>
      <c r="B13" s="253">
        <f t="shared" si="4"/>
        <v>45792</v>
      </c>
      <c r="C13" s="252">
        <f>ROUND(IF(Input!$B$15="Yes",'Unique Tenure'!C13,'180M'!C13),0)</f>
        <v>16470000</v>
      </c>
      <c r="D13" s="252">
        <f t="shared" si="5"/>
        <v>0.7</v>
      </c>
      <c r="E13" s="252">
        <f t="shared" si="0"/>
        <v>11529000</v>
      </c>
      <c r="F13" s="249">
        <f t="shared" si="6"/>
        <v>30</v>
      </c>
      <c r="G13" s="258">
        <f t="shared" si="7"/>
        <v>0.15</v>
      </c>
      <c r="H13" s="252">
        <f t="shared" si="8"/>
        <v>79401435.069065422</v>
      </c>
      <c r="I13" s="252">
        <f t="shared" si="1"/>
        <v>978922</v>
      </c>
      <c r="J13" s="254">
        <f>IF($A13&lt;=Input!$C$6,0,IF(E13&lt;H13,E13-I13,H13))</f>
        <v>10550078</v>
      </c>
      <c r="K13" s="256">
        <f t="shared" si="2"/>
        <v>11529000</v>
      </c>
      <c r="L13" s="256">
        <f t="shared" si="3"/>
        <v>68851357.069065422</v>
      </c>
      <c r="M13" s="249"/>
    </row>
    <row r="14" spans="1:20" x14ac:dyDescent="0.25">
      <c r="A14" s="252">
        <v>10</v>
      </c>
      <c r="B14" s="253">
        <f t="shared" si="4"/>
        <v>45823</v>
      </c>
      <c r="C14" s="252">
        <f>ROUND(IF(Input!$B$15="Yes",'Unique Tenure'!C14,'180M'!C14),0)</f>
        <v>16470000</v>
      </c>
      <c r="D14" s="252">
        <f t="shared" si="5"/>
        <v>0.7</v>
      </c>
      <c r="E14" s="252">
        <f t="shared" si="0"/>
        <v>11529000</v>
      </c>
      <c r="F14" s="249">
        <f t="shared" si="6"/>
        <v>31</v>
      </c>
      <c r="G14" s="258">
        <f t="shared" si="7"/>
        <v>0.15</v>
      </c>
      <c r="H14" s="252">
        <f t="shared" si="8"/>
        <v>68851357.069065422</v>
      </c>
      <c r="I14" s="252">
        <f t="shared" si="1"/>
        <v>877147</v>
      </c>
      <c r="J14" s="254">
        <f>IF($A14&lt;=Input!$C$6,0,IF(E14&lt;H14,E14-I14,H14))</f>
        <v>10651853</v>
      </c>
      <c r="K14" s="256">
        <f t="shared" si="2"/>
        <v>11529000</v>
      </c>
      <c r="L14" s="256">
        <f t="shared" si="3"/>
        <v>58199504.069065422</v>
      </c>
      <c r="M14" s="249"/>
    </row>
    <row r="15" spans="1:20" x14ac:dyDescent="0.25">
      <c r="A15" s="252">
        <v>11</v>
      </c>
      <c r="B15" s="253">
        <f t="shared" si="4"/>
        <v>45853</v>
      </c>
      <c r="C15" s="252">
        <f>ROUND(IF(Input!$B$15="Yes",'Unique Tenure'!C15,'180M'!C15),0)</f>
        <v>16470000</v>
      </c>
      <c r="D15" s="252">
        <f t="shared" si="5"/>
        <v>0.7</v>
      </c>
      <c r="E15" s="252">
        <f t="shared" si="0"/>
        <v>11529000</v>
      </c>
      <c r="F15" s="249">
        <f t="shared" si="6"/>
        <v>30</v>
      </c>
      <c r="G15" s="258">
        <f t="shared" si="7"/>
        <v>0.15</v>
      </c>
      <c r="H15" s="252">
        <f t="shared" si="8"/>
        <v>58199504.069065422</v>
      </c>
      <c r="I15" s="252">
        <f t="shared" si="1"/>
        <v>717528</v>
      </c>
      <c r="J15" s="254">
        <f>IF($A15&lt;=Input!$C$6,0,IF(E15&lt;H15,E15-I15,H15))</f>
        <v>10811472</v>
      </c>
      <c r="K15" s="256">
        <f t="shared" si="2"/>
        <v>11529000</v>
      </c>
      <c r="L15" s="256">
        <f t="shared" si="3"/>
        <v>47388032.069065422</v>
      </c>
      <c r="M15" s="249"/>
    </row>
    <row r="16" spans="1:20" x14ac:dyDescent="0.25">
      <c r="A16" s="252">
        <v>12</v>
      </c>
      <c r="B16" s="253">
        <f t="shared" si="4"/>
        <v>45884</v>
      </c>
      <c r="C16" s="252">
        <f>ROUND(IF(Input!$B$15="Yes",'Unique Tenure'!C16,'180M'!C16),0)</f>
        <v>16470000</v>
      </c>
      <c r="D16" s="252">
        <f t="shared" si="5"/>
        <v>0.7</v>
      </c>
      <c r="E16" s="252">
        <f t="shared" si="0"/>
        <v>11529000</v>
      </c>
      <c r="F16" s="249">
        <f t="shared" si="6"/>
        <v>31</v>
      </c>
      <c r="G16" s="258">
        <f t="shared" si="7"/>
        <v>0.15</v>
      </c>
      <c r="H16" s="252">
        <f t="shared" si="8"/>
        <v>47388032.069065422</v>
      </c>
      <c r="I16" s="252">
        <f t="shared" si="1"/>
        <v>603711</v>
      </c>
      <c r="J16" s="254">
        <f>IF($A16&lt;=Input!$C$6,0,IF(E16&lt;H16,E16-I16,H16))</f>
        <v>10925289</v>
      </c>
      <c r="K16" s="256">
        <f t="shared" si="2"/>
        <v>11529000</v>
      </c>
      <c r="L16" s="256">
        <f t="shared" si="3"/>
        <v>36462743.069065422</v>
      </c>
      <c r="M16" s="249"/>
    </row>
    <row r="17" spans="1:13" x14ac:dyDescent="0.25">
      <c r="A17" s="252">
        <v>13</v>
      </c>
      <c r="B17" s="253">
        <f t="shared" si="4"/>
        <v>45915</v>
      </c>
      <c r="C17" s="252">
        <f>ROUND(IF(Input!$B$15="Yes",'Unique Tenure'!C17,'180M'!C17),0)</f>
        <v>16470000</v>
      </c>
      <c r="D17" s="252">
        <f t="shared" si="5"/>
        <v>0.7</v>
      </c>
      <c r="E17" s="252">
        <f t="shared" si="0"/>
        <v>11529000</v>
      </c>
      <c r="F17" s="249">
        <f t="shared" si="6"/>
        <v>31</v>
      </c>
      <c r="G17" s="258">
        <f t="shared" si="7"/>
        <v>0.15</v>
      </c>
      <c r="H17" s="252">
        <f t="shared" si="8"/>
        <v>36462743.069065422</v>
      </c>
      <c r="I17" s="252">
        <f t="shared" si="1"/>
        <v>464525</v>
      </c>
      <c r="J17" s="254">
        <f>IF($A17&lt;=Input!$C$6,0,IF(E17&lt;H17,E17-I17,H17))</f>
        <v>11064475</v>
      </c>
      <c r="K17" s="256">
        <f t="shared" si="2"/>
        <v>11529000</v>
      </c>
      <c r="L17" s="256">
        <f t="shared" si="3"/>
        <v>25398268.069065422</v>
      </c>
      <c r="M17" s="249"/>
    </row>
    <row r="18" spans="1:13" x14ac:dyDescent="0.25">
      <c r="A18" s="252">
        <v>14</v>
      </c>
      <c r="B18" s="253">
        <f t="shared" si="4"/>
        <v>45945</v>
      </c>
      <c r="C18" s="252">
        <f>ROUND(IF(Input!$B$15="Yes",'Unique Tenure'!C18,'180M'!C18),0)</f>
        <v>16470000</v>
      </c>
      <c r="D18" s="252">
        <f t="shared" si="5"/>
        <v>0.7</v>
      </c>
      <c r="E18" s="252">
        <f t="shared" si="0"/>
        <v>11529000</v>
      </c>
      <c r="F18" s="249">
        <f t="shared" si="6"/>
        <v>30</v>
      </c>
      <c r="G18" s="258">
        <f t="shared" si="7"/>
        <v>0.15</v>
      </c>
      <c r="H18" s="252">
        <f t="shared" si="8"/>
        <v>25398268.069065422</v>
      </c>
      <c r="I18" s="252">
        <f t="shared" si="1"/>
        <v>313129</v>
      </c>
      <c r="J18" s="254">
        <f>IF($A18&lt;=Input!$C$6,0,IF(E18&lt;H18,E18-I18,H18))</f>
        <v>11215871</v>
      </c>
      <c r="K18" s="256">
        <f t="shared" si="2"/>
        <v>11529000</v>
      </c>
      <c r="L18" s="256">
        <f t="shared" si="3"/>
        <v>14182397.069065422</v>
      </c>
      <c r="M18" s="249"/>
    </row>
    <row r="19" spans="1:13" x14ac:dyDescent="0.25">
      <c r="A19" s="252">
        <v>15</v>
      </c>
      <c r="B19" s="253">
        <f t="shared" si="4"/>
        <v>45976</v>
      </c>
      <c r="C19" s="252">
        <f>ROUND(IF(Input!$B$15="Yes",'Unique Tenure'!C19,'180M'!C19),0)</f>
        <v>16470000</v>
      </c>
      <c r="D19" s="252">
        <f t="shared" si="5"/>
        <v>0.7</v>
      </c>
      <c r="E19" s="252">
        <f t="shared" si="0"/>
        <v>11529000</v>
      </c>
      <c r="F19" s="249">
        <f t="shared" si="6"/>
        <v>31</v>
      </c>
      <c r="G19" s="258">
        <f t="shared" si="7"/>
        <v>0.15</v>
      </c>
      <c r="H19" s="252">
        <f t="shared" si="8"/>
        <v>14182397.069065422</v>
      </c>
      <c r="I19" s="252">
        <f t="shared" si="1"/>
        <v>180680</v>
      </c>
      <c r="J19" s="254">
        <f>IF($A19&lt;=Input!$C$6,0,IF(E19&lt;H19,E19-I19,H19))</f>
        <v>11348320</v>
      </c>
      <c r="K19" s="256">
        <f t="shared" si="2"/>
        <v>11529000</v>
      </c>
      <c r="L19" s="256">
        <f t="shared" si="3"/>
        <v>2834077.0690654218</v>
      </c>
      <c r="M19" s="249"/>
    </row>
    <row r="20" spans="1:13" x14ac:dyDescent="0.25">
      <c r="A20" s="252">
        <v>16</v>
      </c>
      <c r="B20" s="253">
        <f t="shared" si="4"/>
        <v>46006</v>
      </c>
      <c r="C20" s="252">
        <f>ROUND(IF(Input!$B$15="Yes",'Unique Tenure'!C20,'180M'!C20),0)</f>
        <v>16470000</v>
      </c>
      <c r="D20" s="252">
        <f t="shared" si="5"/>
        <v>0.7</v>
      </c>
      <c r="E20" s="252">
        <f t="shared" si="0"/>
        <v>11529000</v>
      </c>
      <c r="F20" s="249">
        <f t="shared" si="6"/>
        <v>30</v>
      </c>
      <c r="G20" s="258">
        <f t="shared" si="7"/>
        <v>0.15</v>
      </c>
      <c r="H20" s="252">
        <f t="shared" si="8"/>
        <v>2834077.0690654218</v>
      </c>
      <c r="I20" s="252">
        <f t="shared" si="1"/>
        <v>34941</v>
      </c>
      <c r="J20" s="254">
        <f>IF($A20&lt;=Input!$C$6,0,IF(E20&lt;H20,E20-I20,H20))</f>
        <v>2834077.0690654218</v>
      </c>
      <c r="K20" s="256">
        <f t="shared" si="2"/>
        <v>2869018.0690654218</v>
      </c>
      <c r="L20" s="256">
        <f t="shared" si="3"/>
        <v>0</v>
      </c>
      <c r="M20" s="249"/>
    </row>
    <row r="21" spans="1:13" x14ac:dyDescent="0.25">
      <c r="A21" s="252">
        <v>17</v>
      </c>
      <c r="B21" s="253">
        <f t="shared" si="4"/>
        <v>46037</v>
      </c>
      <c r="C21" s="252">
        <f>ROUND(IF(Input!$B$15="Yes",'Unique Tenure'!C21,'180M'!C21),0)</f>
        <v>16470000</v>
      </c>
      <c r="D21" s="252">
        <f t="shared" si="5"/>
        <v>0.7</v>
      </c>
      <c r="E21" s="252">
        <f t="shared" si="0"/>
        <v>11529000</v>
      </c>
      <c r="F21" s="249">
        <f t="shared" si="6"/>
        <v>31</v>
      </c>
      <c r="G21" s="258">
        <f t="shared" si="7"/>
        <v>0.15</v>
      </c>
      <c r="H21" s="252">
        <f t="shared" si="8"/>
        <v>0</v>
      </c>
      <c r="I21" s="252">
        <f t="shared" si="1"/>
        <v>0</v>
      </c>
      <c r="J21" s="254">
        <f>IF($A21&lt;=Input!$C$6,0,IF(E21&lt;H21,E21-I21,H21))</f>
        <v>0</v>
      </c>
      <c r="K21" s="256">
        <f t="shared" si="2"/>
        <v>0</v>
      </c>
      <c r="L21" s="256">
        <f t="shared" si="3"/>
        <v>0</v>
      </c>
      <c r="M21" s="249"/>
    </row>
    <row r="22" spans="1:13" x14ac:dyDescent="0.25">
      <c r="A22" s="252">
        <v>18</v>
      </c>
      <c r="B22" s="253">
        <f t="shared" si="4"/>
        <v>46068</v>
      </c>
      <c r="C22" s="252">
        <f>ROUND(IF(Input!$B$15="Yes",'Unique Tenure'!C22,'180M'!C22),0)</f>
        <v>16470000</v>
      </c>
      <c r="D22" s="252">
        <f t="shared" si="5"/>
        <v>0.7</v>
      </c>
      <c r="E22" s="252">
        <f t="shared" si="0"/>
        <v>11529000</v>
      </c>
      <c r="F22" s="249">
        <f t="shared" si="6"/>
        <v>31</v>
      </c>
      <c r="G22" s="258">
        <f t="shared" si="7"/>
        <v>0.15</v>
      </c>
      <c r="H22" s="252">
        <f t="shared" si="8"/>
        <v>0</v>
      </c>
      <c r="I22" s="252">
        <f t="shared" si="1"/>
        <v>0</v>
      </c>
      <c r="J22" s="254">
        <f>IF($A22&lt;=Input!$C$6,0,IF(E22&lt;H22,E22-I22,H22))</f>
        <v>0</v>
      </c>
      <c r="K22" s="256">
        <f t="shared" si="2"/>
        <v>0</v>
      </c>
      <c r="L22" s="256">
        <f t="shared" si="3"/>
        <v>0</v>
      </c>
      <c r="M22" s="249"/>
    </row>
    <row r="23" spans="1:13" x14ac:dyDescent="0.25">
      <c r="A23" s="252">
        <v>19</v>
      </c>
      <c r="B23" s="253">
        <f t="shared" si="4"/>
        <v>46096</v>
      </c>
      <c r="C23" s="252">
        <f>ROUND(IF(Input!$B$15="Yes",'Unique Tenure'!C23,'180M'!C23),0)</f>
        <v>16470000</v>
      </c>
      <c r="D23" s="252">
        <f t="shared" si="5"/>
        <v>0.7</v>
      </c>
      <c r="E23" s="252">
        <f t="shared" si="0"/>
        <v>11529000</v>
      </c>
      <c r="F23" s="249">
        <f t="shared" si="6"/>
        <v>28</v>
      </c>
      <c r="G23" s="258">
        <f t="shared" si="7"/>
        <v>0.15</v>
      </c>
      <c r="H23" s="252">
        <f t="shared" si="8"/>
        <v>0</v>
      </c>
      <c r="I23" s="252">
        <f t="shared" si="1"/>
        <v>0</v>
      </c>
      <c r="J23" s="254">
        <f>IF($A23&lt;=Input!$C$6,0,IF(E23&lt;H23,E23-I23,H23))</f>
        <v>0</v>
      </c>
      <c r="K23" s="256">
        <f t="shared" si="2"/>
        <v>0</v>
      </c>
      <c r="L23" s="256">
        <f t="shared" si="3"/>
        <v>0</v>
      </c>
      <c r="M23" s="249"/>
    </row>
    <row r="24" spans="1:13" x14ac:dyDescent="0.25">
      <c r="A24" s="252">
        <v>20</v>
      </c>
      <c r="B24" s="253">
        <f t="shared" si="4"/>
        <v>46127</v>
      </c>
      <c r="C24" s="252">
        <f>ROUND(IF(Input!$B$15="Yes",'Unique Tenure'!C24,'180M'!C24),0)</f>
        <v>16470000</v>
      </c>
      <c r="D24" s="252">
        <f t="shared" si="5"/>
        <v>0.7</v>
      </c>
      <c r="E24" s="252">
        <f t="shared" si="0"/>
        <v>11529000</v>
      </c>
      <c r="F24" s="249">
        <f t="shared" si="6"/>
        <v>31</v>
      </c>
      <c r="G24" s="258">
        <f t="shared" si="7"/>
        <v>0.15</v>
      </c>
      <c r="H24" s="252">
        <f t="shared" si="8"/>
        <v>0</v>
      </c>
      <c r="I24" s="252">
        <f t="shared" si="1"/>
        <v>0</v>
      </c>
      <c r="J24" s="254">
        <f>IF($A24&lt;=Input!$C$6,0,IF(E24&lt;H24,E24-I24,H24))</f>
        <v>0</v>
      </c>
      <c r="K24" s="256">
        <f t="shared" si="2"/>
        <v>0</v>
      </c>
      <c r="L24" s="256">
        <f t="shared" si="3"/>
        <v>0</v>
      </c>
      <c r="M24" s="249"/>
    </row>
    <row r="25" spans="1:13" x14ac:dyDescent="0.25">
      <c r="A25" s="252">
        <v>21</v>
      </c>
      <c r="B25" s="253">
        <f t="shared" si="4"/>
        <v>46157</v>
      </c>
      <c r="C25" s="252">
        <f>ROUND(IF(Input!$B$15="Yes",'Unique Tenure'!C25,'180M'!C25),0)</f>
        <v>16470000</v>
      </c>
      <c r="D25" s="252">
        <f t="shared" si="5"/>
        <v>0.7</v>
      </c>
      <c r="E25" s="252">
        <f t="shared" si="0"/>
        <v>11529000</v>
      </c>
      <c r="F25" s="249">
        <f t="shared" si="6"/>
        <v>30</v>
      </c>
      <c r="G25" s="258">
        <f t="shared" si="7"/>
        <v>0.15</v>
      </c>
      <c r="H25" s="252">
        <f t="shared" si="8"/>
        <v>0</v>
      </c>
      <c r="I25" s="252">
        <f t="shared" si="1"/>
        <v>0</v>
      </c>
      <c r="J25" s="254">
        <f>IF($A25&lt;=Input!$C$6,0,IF(E25&lt;H25,E25-I25,H25))</f>
        <v>0</v>
      </c>
      <c r="K25" s="256">
        <f t="shared" si="2"/>
        <v>0</v>
      </c>
      <c r="L25" s="256">
        <f t="shared" si="3"/>
        <v>0</v>
      </c>
      <c r="M25" s="249"/>
    </row>
    <row r="26" spans="1:13" x14ac:dyDescent="0.25">
      <c r="A26" s="252">
        <v>22</v>
      </c>
      <c r="B26" s="253">
        <f t="shared" si="4"/>
        <v>46188</v>
      </c>
      <c r="C26" s="252">
        <f>ROUND(IF(Input!$B$15="Yes",'Unique Tenure'!C26,'180M'!C26),0)</f>
        <v>16470000</v>
      </c>
      <c r="D26" s="252">
        <f t="shared" si="5"/>
        <v>0.7</v>
      </c>
      <c r="E26" s="252">
        <f t="shared" si="0"/>
        <v>11529000</v>
      </c>
      <c r="F26" s="249">
        <f t="shared" si="6"/>
        <v>31</v>
      </c>
      <c r="G26" s="258">
        <f t="shared" si="7"/>
        <v>0.15</v>
      </c>
      <c r="H26" s="252">
        <f t="shared" si="8"/>
        <v>0</v>
      </c>
      <c r="I26" s="252">
        <f t="shared" si="1"/>
        <v>0</v>
      </c>
      <c r="J26" s="254">
        <f>IF($A26&lt;=Input!$C$6,0,IF(E26&lt;H26,E26-I26,H26))</f>
        <v>0</v>
      </c>
      <c r="K26" s="256">
        <f t="shared" si="2"/>
        <v>0</v>
      </c>
      <c r="L26" s="256">
        <f t="shared" si="3"/>
        <v>0</v>
      </c>
      <c r="M26" s="249"/>
    </row>
    <row r="27" spans="1:13" x14ac:dyDescent="0.25">
      <c r="A27" s="252">
        <v>23</v>
      </c>
      <c r="B27" s="253">
        <f t="shared" si="4"/>
        <v>46218</v>
      </c>
      <c r="C27" s="252">
        <f>ROUND(IF(Input!$B$15="Yes",'Unique Tenure'!C27,'180M'!C27),0)</f>
        <v>16470000</v>
      </c>
      <c r="D27" s="252">
        <f t="shared" si="5"/>
        <v>0.7</v>
      </c>
      <c r="E27" s="252">
        <f t="shared" si="0"/>
        <v>11529000</v>
      </c>
      <c r="F27" s="249">
        <f t="shared" si="6"/>
        <v>30</v>
      </c>
      <c r="G27" s="258">
        <f t="shared" si="7"/>
        <v>0.15</v>
      </c>
      <c r="H27" s="252">
        <f t="shared" si="8"/>
        <v>0</v>
      </c>
      <c r="I27" s="252">
        <f t="shared" si="1"/>
        <v>0</v>
      </c>
      <c r="J27" s="254">
        <f>IF($A27&lt;=Input!$C$6,0,IF(E27&lt;H27,E27-I27,H27))</f>
        <v>0</v>
      </c>
      <c r="K27" s="256">
        <f t="shared" si="2"/>
        <v>0</v>
      </c>
      <c r="L27" s="256">
        <f t="shared" si="3"/>
        <v>0</v>
      </c>
      <c r="M27" s="249"/>
    </row>
    <row r="28" spans="1:13" x14ac:dyDescent="0.25">
      <c r="A28" s="252">
        <v>24</v>
      </c>
      <c r="B28" s="253">
        <f t="shared" si="4"/>
        <v>46249</v>
      </c>
      <c r="C28" s="252">
        <f>ROUND(IF(Input!$B$15="Yes",'Unique Tenure'!C28,'180M'!C28),0)</f>
        <v>16470000</v>
      </c>
      <c r="D28" s="252">
        <f t="shared" si="5"/>
        <v>0.7</v>
      </c>
      <c r="E28" s="252">
        <f t="shared" si="0"/>
        <v>11529000</v>
      </c>
      <c r="F28" s="249">
        <f t="shared" si="6"/>
        <v>31</v>
      </c>
      <c r="G28" s="258">
        <f t="shared" si="7"/>
        <v>0.15</v>
      </c>
      <c r="H28" s="252">
        <f t="shared" si="8"/>
        <v>0</v>
      </c>
      <c r="I28" s="252">
        <f t="shared" si="1"/>
        <v>0</v>
      </c>
      <c r="J28" s="254">
        <f>IF($A28&lt;=Input!$C$6,0,IF(E28&lt;H28,E28-I28,H28))</f>
        <v>0</v>
      </c>
      <c r="K28" s="256">
        <f t="shared" si="2"/>
        <v>0</v>
      </c>
      <c r="L28" s="256">
        <f t="shared" si="3"/>
        <v>0</v>
      </c>
      <c r="M28" s="249"/>
    </row>
    <row r="29" spans="1:13" x14ac:dyDescent="0.25">
      <c r="A29" s="252">
        <v>25</v>
      </c>
      <c r="B29" s="253">
        <f t="shared" si="4"/>
        <v>46280</v>
      </c>
      <c r="C29" s="252">
        <f>ROUND(IF(Input!$B$15="Yes",'Unique Tenure'!C29,'180M'!C29),0)</f>
        <v>16470000</v>
      </c>
      <c r="D29" s="252">
        <f t="shared" si="5"/>
        <v>0.7</v>
      </c>
      <c r="E29" s="252">
        <f t="shared" si="0"/>
        <v>11529000</v>
      </c>
      <c r="F29" s="249">
        <f t="shared" si="6"/>
        <v>31</v>
      </c>
      <c r="G29" s="258">
        <f t="shared" si="7"/>
        <v>0.15</v>
      </c>
      <c r="H29" s="252">
        <f t="shared" si="8"/>
        <v>0</v>
      </c>
      <c r="I29" s="252">
        <f t="shared" si="1"/>
        <v>0</v>
      </c>
      <c r="J29" s="254">
        <f>IF($A29&lt;=Input!$C$6,0,IF(E29&lt;H29,E29-I29,H29))</f>
        <v>0</v>
      </c>
      <c r="K29" s="256">
        <f t="shared" si="2"/>
        <v>0</v>
      </c>
      <c r="L29" s="256">
        <f t="shared" si="3"/>
        <v>0</v>
      </c>
      <c r="M29" s="249"/>
    </row>
    <row r="30" spans="1:13" x14ac:dyDescent="0.25">
      <c r="A30" s="252">
        <v>26</v>
      </c>
      <c r="B30" s="253">
        <f t="shared" si="4"/>
        <v>46310</v>
      </c>
      <c r="C30" s="252">
        <f>ROUND(IF(Input!$B$15="Yes",'Unique Tenure'!C30,'180M'!C30),0)</f>
        <v>16470000</v>
      </c>
      <c r="D30" s="252">
        <f t="shared" si="5"/>
        <v>0.7</v>
      </c>
      <c r="E30" s="252">
        <f t="shared" si="0"/>
        <v>11529000</v>
      </c>
      <c r="F30" s="249">
        <f t="shared" si="6"/>
        <v>30</v>
      </c>
      <c r="G30" s="258">
        <f t="shared" si="7"/>
        <v>0.15</v>
      </c>
      <c r="H30" s="252">
        <f t="shared" si="8"/>
        <v>0</v>
      </c>
      <c r="I30" s="252">
        <f t="shared" si="1"/>
        <v>0</v>
      </c>
      <c r="J30" s="254">
        <f>IF($A30&lt;=Input!$C$6,0,IF(E30&lt;H30,E30-I30,H30))</f>
        <v>0</v>
      </c>
      <c r="K30" s="256">
        <f t="shared" si="2"/>
        <v>0</v>
      </c>
      <c r="L30" s="256">
        <f t="shared" si="3"/>
        <v>0</v>
      </c>
      <c r="M30" s="249"/>
    </row>
    <row r="31" spans="1:13" x14ac:dyDescent="0.25">
      <c r="A31" s="252">
        <v>27</v>
      </c>
      <c r="B31" s="253">
        <f t="shared" si="4"/>
        <v>46341</v>
      </c>
      <c r="C31" s="252">
        <f>ROUND(IF(Input!$B$15="Yes",'Unique Tenure'!C31,'180M'!C31),0)</f>
        <v>16470000</v>
      </c>
      <c r="D31" s="252">
        <f t="shared" si="5"/>
        <v>0.7</v>
      </c>
      <c r="E31" s="252">
        <f t="shared" si="0"/>
        <v>11529000</v>
      </c>
      <c r="F31" s="249">
        <f t="shared" si="6"/>
        <v>31</v>
      </c>
      <c r="G31" s="258">
        <f t="shared" si="7"/>
        <v>0.15</v>
      </c>
      <c r="H31" s="252">
        <f t="shared" si="8"/>
        <v>0</v>
      </c>
      <c r="I31" s="252">
        <f t="shared" si="1"/>
        <v>0</v>
      </c>
      <c r="J31" s="254">
        <f>IF($A31&lt;=Input!$C$6,0,IF(E31&lt;H31,E31-I31,H31))</f>
        <v>0</v>
      </c>
      <c r="K31" s="256">
        <f t="shared" si="2"/>
        <v>0</v>
      </c>
      <c r="L31" s="256">
        <f t="shared" si="3"/>
        <v>0</v>
      </c>
      <c r="M31" s="249"/>
    </row>
    <row r="32" spans="1:13" x14ac:dyDescent="0.25">
      <c r="A32" s="252">
        <v>28</v>
      </c>
      <c r="B32" s="253">
        <f t="shared" si="4"/>
        <v>46371</v>
      </c>
      <c r="C32" s="252">
        <f>ROUND(IF(Input!$B$15="Yes",'Unique Tenure'!C32,'180M'!C32),0)</f>
        <v>16470000</v>
      </c>
      <c r="D32" s="252">
        <f t="shared" si="5"/>
        <v>0.7</v>
      </c>
      <c r="E32" s="252">
        <f t="shared" si="0"/>
        <v>11529000</v>
      </c>
      <c r="F32" s="249">
        <f t="shared" si="6"/>
        <v>30</v>
      </c>
      <c r="G32" s="258">
        <f t="shared" si="7"/>
        <v>0.15</v>
      </c>
      <c r="H32" s="252">
        <f t="shared" si="8"/>
        <v>0</v>
      </c>
      <c r="I32" s="252">
        <f t="shared" si="1"/>
        <v>0</v>
      </c>
      <c r="J32" s="254">
        <f>IF($A32&lt;=Input!$C$6,0,IF(E32&lt;H32,E32-I32,H32))</f>
        <v>0</v>
      </c>
      <c r="K32" s="256">
        <f t="shared" si="2"/>
        <v>0</v>
      </c>
      <c r="L32" s="256">
        <f t="shared" si="3"/>
        <v>0</v>
      </c>
      <c r="M32" s="249"/>
    </row>
    <row r="33" spans="1:13" x14ac:dyDescent="0.25">
      <c r="A33" s="252">
        <v>29</v>
      </c>
      <c r="B33" s="253">
        <f t="shared" si="4"/>
        <v>46402</v>
      </c>
      <c r="C33" s="252">
        <f>ROUND(IF(Input!$B$15="Yes",'Unique Tenure'!C33,'180M'!C33),0)</f>
        <v>16470000</v>
      </c>
      <c r="D33" s="252">
        <f t="shared" si="5"/>
        <v>0.7</v>
      </c>
      <c r="E33" s="252">
        <f t="shared" si="0"/>
        <v>11529000</v>
      </c>
      <c r="F33" s="249">
        <f t="shared" si="6"/>
        <v>31</v>
      </c>
      <c r="G33" s="258">
        <f t="shared" si="7"/>
        <v>0.15</v>
      </c>
      <c r="H33" s="252">
        <f t="shared" si="8"/>
        <v>0</v>
      </c>
      <c r="I33" s="252">
        <f t="shared" si="1"/>
        <v>0</v>
      </c>
      <c r="J33" s="254">
        <f>IF($A33&lt;=Input!$C$6,0,IF(E33&lt;H33,E33-I33,H33))</f>
        <v>0</v>
      </c>
      <c r="K33" s="256">
        <f t="shared" si="2"/>
        <v>0</v>
      </c>
      <c r="L33" s="256">
        <f t="shared" si="3"/>
        <v>0</v>
      </c>
      <c r="M33" s="249"/>
    </row>
    <row r="34" spans="1:13" x14ac:dyDescent="0.25">
      <c r="A34" s="252">
        <v>30</v>
      </c>
      <c r="B34" s="253">
        <f t="shared" si="4"/>
        <v>46433</v>
      </c>
      <c r="C34" s="252">
        <f>ROUND(IF(Input!$B$15="Yes",'Unique Tenure'!C34,'180M'!C34),0)</f>
        <v>16470000</v>
      </c>
      <c r="D34" s="252">
        <f t="shared" si="5"/>
        <v>0.7</v>
      </c>
      <c r="E34" s="252">
        <f t="shared" si="0"/>
        <v>11529000</v>
      </c>
      <c r="F34" s="249">
        <f t="shared" si="6"/>
        <v>31</v>
      </c>
      <c r="G34" s="258">
        <f t="shared" si="7"/>
        <v>0.15</v>
      </c>
      <c r="H34" s="252">
        <f t="shared" si="8"/>
        <v>0</v>
      </c>
      <c r="I34" s="252">
        <f t="shared" si="1"/>
        <v>0</v>
      </c>
      <c r="J34" s="254">
        <f>IF($A34&lt;=Input!$C$6,0,IF(E34&lt;H34,E34-I34,H34))</f>
        <v>0</v>
      </c>
      <c r="K34" s="256">
        <f t="shared" si="2"/>
        <v>0</v>
      </c>
      <c r="L34" s="256">
        <f t="shared" si="3"/>
        <v>0</v>
      </c>
      <c r="M34" s="249"/>
    </row>
    <row r="35" spans="1:13" x14ac:dyDescent="0.25">
      <c r="A35" s="252">
        <v>31</v>
      </c>
      <c r="B35" s="253">
        <f t="shared" si="4"/>
        <v>46461</v>
      </c>
      <c r="C35" s="252">
        <f>ROUND(IF(Input!$B$15="Yes",'Unique Tenure'!C35,'180M'!C35),0)</f>
        <v>16470000</v>
      </c>
      <c r="D35" s="252">
        <f t="shared" si="5"/>
        <v>0.7</v>
      </c>
      <c r="E35" s="252">
        <f t="shared" si="0"/>
        <v>11529000</v>
      </c>
      <c r="F35" s="249">
        <f t="shared" si="6"/>
        <v>28</v>
      </c>
      <c r="G35" s="258">
        <f t="shared" si="7"/>
        <v>0.15</v>
      </c>
      <c r="H35" s="252">
        <f t="shared" si="8"/>
        <v>0</v>
      </c>
      <c r="I35" s="252">
        <f t="shared" si="1"/>
        <v>0</v>
      </c>
      <c r="J35" s="254">
        <f>IF($A35&lt;=Input!$C$6,0,IF(E35&lt;H35,E35-I35,H35))</f>
        <v>0</v>
      </c>
      <c r="K35" s="256">
        <f t="shared" si="2"/>
        <v>0</v>
      </c>
      <c r="L35" s="256">
        <f t="shared" si="3"/>
        <v>0</v>
      </c>
      <c r="M35" s="249"/>
    </row>
    <row r="36" spans="1:13" x14ac:dyDescent="0.25">
      <c r="A36" s="252">
        <v>32</v>
      </c>
      <c r="B36" s="253">
        <f t="shared" si="4"/>
        <v>46492</v>
      </c>
      <c r="C36" s="252">
        <f>ROUND(IF(Input!$B$15="Yes",'Unique Tenure'!C36,'180M'!C36),0)</f>
        <v>16470000</v>
      </c>
      <c r="D36" s="252">
        <f t="shared" si="5"/>
        <v>0.7</v>
      </c>
      <c r="E36" s="252">
        <f t="shared" si="0"/>
        <v>11529000</v>
      </c>
      <c r="F36" s="249">
        <f t="shared" si="6"/>
        <v>31</v>
      </c>
      <c r="G36" s="258">
        <f t="shared" si="7"/>
        <v>0.15</v>
      </c>
      <c r="H36" s="252">
        <f t="shared" si="8"/>
        <v>0</v>
      </c>
      <c r="I36" s="252">
        <f t="shared" si="1"/>
        <v>0</v>
      </c>
      <c r="J36" s="254">
        <f>IF($A36&lt;=Input!$C$6,0,IF(E36&lt;H36,E36-I36,H36))</f>
        <v>0</v>
      </c>
      <c r="K36" s="256">
        <f t="shared" si="2"/>
        <v>0</v>
      </c>
      <c r="L36" s="256">
        <f t="shared" si="3"/>
        <v>0</v>
      </c>
      <c r="M36" s="249"/>
    </row>
    <row r="37" spans="1:13" x14ac:dyDescent="0.25">
      <c r="A37" s="252">
        <v>33</v>
      </c>
      <c r="B37" s="253">
        <f t="shared" si="4"/>
        <v>46522</v>
      </c>
      <c r="C37" s="252">
        <f>ROUND(IF(Input!$B$15="Yes",'Unique Tenure'!C37,'180M'!C37),0)</f>
        <v>16470000</v>
      </c>
      <c r="D37" s="252">
        <f t="shared" si="5"/>
        <v>0.7</v>
      </c>
      <c r="E37" s="252">
        <f t="shared" si="0"/>
        <v>11529000</v>
      </c>
      <c r="F37" s="249">
        <f t="shared" si="6"/>
        <v>30</v>
      </c>
      <c r="G37" s="258">
        <f t="shared" si="7"/>
        <v>0.15</v>
      </c>
      <c r="H37" s="252">
        <f t="shared" si="8"/>
        <v>0</v>
      </c>
      <c r="I37" s="252">
        <f t="shared" si="1"/>
        <v>0</v>
      </c>
      <c r="J37" s="254">
        <f>IF($A37&lt;=Input!$C$6,0,IF(E37&lt;H37,E37-I37,H37))</f>
        <v>0</v>
      </c>
      <c r="K37" s="256">
        <f t="shared" si="2"/>
        <v>0</v>
      </c>
      <c r="L37" s="256">
        <f t="shared" si="3"/>
        <v>0</v>
      </c>
      <c r="M37" s="249"/>
    </row>
    <row r="38" spans="1:13" x14ac:dyDescent="0.25">
      <c r="A38" s="252">
        <v>34</v>
      </c>
      <c r="B38" s="253">
        <f t="shared" si="4"/>
        <v>46553</v>
      </c>
      <c r="C38" s="252">
        <f>ROUND(IF(Input!$B$15="Yes",'Unique Tenure'!C38,'180M'!C38),0)</f>
        <v>16470000</v>
      </c>
      <c r="D38" s="252">
        <f t="shared" si="5"/>
        <v>0.7</v>
      </c>
      <c r="E38" s="252">
        <f t="shared" si="0"/>
        <v>11529000</v>
      </c>
      <c r="F38" s="249">
        <f t="shared" si="6"/>
        <v>31</v>
      </c>
      <c r="G38" s="258">
        <f t="shared" si="7"/>
        <v>0.15</v>
      </c>
      <c r="H38" s="252">
        <f t="shared" si="8"/>
        <v>0</v>
      </c>
      <c r="I38" s="252">
        <f t="shared" si="1"/>
        <v>0</v>
      </c>
      <c r="J38" s="254">
        <f>IF($A38&lt;=Input!$C$6,0,IF(E38&lt;H38,E38-I38,H38))</f>
        <v>0</v>
      </c>
      <c r="K38" s="256">
        <f t="shared" si="2"/>
        <v>0</v>
      </c>
      <c r="L38" s="256">
        <f t="shared" si="3"/>
        <v>0</v>
      </c>
      <c r="M38" s="249"/>
    </row>
    <row r="39" spans="1:13" x14ac:dyDescent="0.25">
      <c r="A39" s="252">
        <v>35</v>
      </c>
      <c r="B39" s="253">
        <f t="shared" si="4"/>
        <v>46583</v>
      </c>
      <c r="C39" s="252">
        <f>ROUND(IF(Input!$B$15="Yes",'Unique Tenure'!C39,'180M'!C39),0)</f>
        <v>16470000</v>
      </c>
      <c r="D39" s="252">
        <f t="shared" si="5"/>
        <v>0.7</v>
      </c>
      <c r="E39" s="252">
        <f t="shared" si="0"/>
        <v>11529000</v>
      </c>
      <c r="F39" s="249">
        <f t="shared" si="6"/>
        <v>30</v>
      </c>
      <c r="G39" s="258">
        <f t="shared" si="7"/>
        <v>0.15</v>
      </c>
      <c r="H39" s="252">
        <f t="shared" si="8"/>
        <v>0</v>
      </c>
      <c r="I39" s="252">
        <f t="shared" si="1"/>
        <v>0</v>
      </c>
      <c r="J39" s="254">
        <f>IF($A39&lt;=Input!$C$6,0,IF(E39&lt;H39,E39-I39,H39))</f>
        <v>0</v>
      </c>
      <c r="K39" s="256">
        <f t="shared" si="2"/>
        <v>0</v>
      </c>
      <c r="L39" s="256">
        <f t="shared" si="3"/>
        <v>0</v>
      </c>
      <c r="M39" s="249"/>
    </row>
    <row r="40" spans="1:13" x14ac:dyDescent="0.25">
      <c r="A40" s="252">
        <v>36</v>
      </c>
      <c r="B40" s="253">
        <f t="shared" si="4"/>
        <v>46614</v>
      </c>
      <c r="C40" s="252">
        <f>ROUND(IF(Input!$B$15="Yes",'Unique Tenure'!C40,'180M'!C40),0)</f>
        <v>16470000</v>
      </c>
      <c r="D40" s="252">
        <f t="shared" si="5"/>
        <v>0.7</v>
      </c>
      <c r="E40" s="252">
        <f t="shared" si="0"/>
        <v>11529000</v>
      </c>
      <c r="F40" s="249">
        <f t="shared" si="6"/>
        <v>31</v>
      </c>
      <c r="G40" s="258">
        <f t="shared" si="7"/>
        <v>0.15</v>
      </c>
      <c r="H40" s="252">
        <f t="shared" si="8"/>
        <v>0</v>
      </c>
      <c r="I40" s="252">
        <f t="shared" si="1"/>
        <v>0</v>
      </c>
      <c r="J40" s="254">
        <f>IF($A40&lt;=Input!$C$6,0,IF(E40&lt;H40,E40-I40,H40))</f>
        <v>0</v>
      </c>
      <c r="K40" s="256">
        <f t="shared" si="2"/>
        <v>0</v>
      </c>
      <c r="L40" s="256">
        <f t="shared" si="3"/>
        <v>0</v>
      </c>
      <c r="M40" s="249"/>
    </row>
    <row r="41" spans="1:13" x14ac:dyDescent="0.25">
      <c r="A41" s="252">
        <v>37</v>
      </c>
      <c r="B41" s="253">
        <f t="shared" si="4"/>
        <v>46645</v>
      </c>
      <c r="C41" s="252">
        <f>ROUND(IF(Input!$B$15="Yes",'Unique Tenure'!C41,'180M'!C41),0)</f>
        <v>18940500</v>
      </c>
      <c r="D41" s="252">
        <f t="shared" si="5"/>
        <v>0.7</v>
      </c>
      <c r="E41" s="252">
        <f t="shared" si="0"/>
        <v>13258350</v>
      </c>
      <c r="F41" s="249">
        <f t="shared" si="6"/>
        <v>31</v>
      </c>
      <c r="G41" s="258">
        <f t="shared" si="7"/>
        <v>0.15</v>
      </c>
      <c r="H41" s="252">
        <f t="shared" si="8"/>
        <v>0</v>
      </c>
      <c r="I41" s="252">
        <f t="shared" si="1"/>
        <v>0</v>
      </c>
      <c r="J41" s="254">
        <f>IF($A41&lt;=Input!$C$6,0,IF(E41&lt;H41,E41-I41,H41))</f>
        <v>0</v>
      </c>
      <c r="K41" s="256">
        <f t="shared" si="2"/>
        <v>0</v>
      </c>
      <c r="L41" s="256">
        <f t="shared" si="3"/>
        <v>0</v>
      </c>
      <c r="M41" s="249"/>
    </row>
    <row r="42" spans="1:13" x14ac:dyDescent="0.25">
      <c r="A42" s="252">
        <v>38</v>
      </c>
      <c r="B42" s="253">
        <f t="shared" si="4"/>
        <v>46675</v>
      </c>
      <c r="C42" s="252">
        <f>ROUND(IF(Input!$B$15="Yes",'Unique Tenure'!C42,'180M'!C42),0)</f>
        <v>18940500</v>
      </c>
      <c r="D42" s="252">
        <f t="shared" si="5"/>
        <v>0.7</v>
      </c>
      <c r="E42" s="252">
        <f t="shared" si="0"/>
        <v>13258350</v>
      </c>
      <c r="F42" s="249">
        <f t="shared" si="6"/>
        <v>30</v>
      </c>
      <c r="G42" s="258">
        <f t="shared" si="7"/>
        <v>0.15</v>
      </c>
      <c r="H42" s="252">
        <f t="shared" si="8"/>
        <v>0</v>
      </c>
      <c r="I42" s="252">
        <f t="shared" si="1"/>
        <v>0</v>
      </c>
      <c r="J42" s="254">
        <f>IF($A42&lt;=Input!$C$6,0,IF(E42&lt;H42,E42-I42,H42))</f>
        <v>0</v>
      </c>
      <c r="K42" s="256">
        <f t="shared" si="2"/>
        <v>0</v>
      </c>
      <c r="L42" s="256">
        <f t="shared" si="3"/>
        <v>0</v>
      </c>
      <c r="M42" s="249"/>
    </row>
    <row r="43" spans="1:13" x14ac:dyDescent="0.25">
      <c r="A43" s="252">
        <v>39</v>
      </c>
      <c r="B43" s="253">
        <f t="shared" si="4"/>
        <v>46706</v>
      </c>
      <c r="C43" s="252">
        <f>ROUND(IF(Input!$B$15="Yes",'Unique Tenure'!C43,'180M'!C43),0)</f>
        <v>18940500</v>
      </c>
      <c r="D43" s="252">
        <f t="shared" si="5"/>
        <v>0.7</v>
      </c>
      <c r="E43" s="252">
        <f t="shared" si="0"/>
        <v>13258350</v>
      </c>
      <c r="F43" s="249">
        <f t="shared" si="6"/>
        <v>31</v>
      </c>
      <c r="G43" s="258">
        <f t="shared" si="7"/>
        <v>0.15</v>
      </c>
      <c r="H43" s="252">
        <f t="shared" si="8"/>
        <v>0</v>
      </c>
      <c r="I43" s="252">
        <f t="shared" si="1"/>
        <v>0</v>
      </c>
      <c r="J43" s="254">
        <f>IF($A43&lt;=Input!$C$6,0,IF(E43&lt;H43,E43-I43,H43))</f>
        <v>0</v>
      </c>
      <c r="K43" s="256">
        <f t="shared" si="2"/>
        <v>0</v>
      </c>
      <c r="L43" s="256">
        <f t="shared" si="3"/>
        <v>0</v>
      </c>
      <c r="M43" s="249"/>
    </row>
    <row r="44" spans="1:13" x14ac:dyDescent="0.25">
      <c r="A44" s="252">
        <v>40</v>
      </c>
      <c r="B44" s="253">
        <f t="shared" si="4"/>
        <v>46736</v>
      </c>
      <c r="C44" s="252">
        <f>ROUND(IF(Input!$B$15="Yes",'Unique Tenure'!C44,'180M'!C44),0)</f>
        <v>18940500</v>
      </c>
      <c r="D44" s="252">
        <f t="shared" si="5"/>
        <v>0.7</v>
      </c>
      <c r="E44" s="252">
        <f t="shared" si="0"/>
        <v>13258350</v>
      </c>
      <c r="F44" s="249">
        <f t="shared" si="6"/>
        <v>30</v>
      </c>
      <c r="G44" s="258">
        <f t="shared" si="7"/>
        <v>0.15</v>
      </c>
      <c r="H44" s="252">
        <f t="shared" si="8"/>
        <v>0</v>
      </c>
      <c r="I44" s="252">
        <f t="shared" si="1"/>
        <v>0</v>
      </c>
      <c r="J44" s="254">
        <f>IF($A44&lt;=Input!$C$6,0,IF(E44&lt;H44,E44-I44,H44))</f>
        <v>0</v>
      </c>
      <c r="K44" s="256">
        <f t="shared" si="2"/>
        <v>0</v>
      </c>
      <c r="L44" s="256">
        <f t="shared" si="3"/>
        <v>0</v>
      </c>
      <c r="M44" s="249"/>
    </row>
    <row r="45" spans="1:13" x14ac:dyDescent="0.25">
      <c r="A45" s="252">
        <v>41</v>
      </c>
      <c r="B45" s="253">
        <f t="shared" si="4"/>
        <v>46767</v>
      </c>
      <c r="C45" s="252">
        <f>ROUND(IF(Input!$B$15="Yes",'Unique Tenure'!C45,'180M'!C45),0)</f>
        <v>18940500</v>
      </c>
      <c r="D45" s="252">
        <f t="shared" si="5"/>
        <v>0.7</v>
      </c>
      <c r="E45" s="252">
        <f t="shared" si="0"/>
        <v>13258350</v>
      </c>
      <c r="F45" s="249">
        <f t="shared" si="6"/>
        <v>31</v>
      </c>
      <c r="G45" s="258">
        <f t="shared" si="7"/>
        <v>0.15</v>
      </c>
      <c r="H45" s="252">
        <f t="shared" si="8"/>
        <v>0</v>
      </c>
      <c r="I45" s="252">
        <f t="shared" si="1"/>
        <v>0</v>
      </c>
      <c r="J45" s="254">
        <f>IF($A45&lt;=Input!$C$6,0,IF(E45&lt;H45,E45-I45,H45))</f>
        <v>0</v>
      </c>
      <c r="K45" s="256">
        <f t="shared" si="2"/>
        <v>0</v>
      </c>
      <c r="L45" s="256">
        <f t="shared" si="3"/>
        <v>0</v>
      </c>
      <c r="M45" s="249"/>
    </row>
    <row r="46" spans="1:13" x14ac:dyDescent="0.25">
      <c r="A46" s="252">
        <v>42</v>
      </c>
      <c r="B46" s="253">
        <f t="shared" si="4"/>
        <v>46798</v>
      </c>
      <c r="C46" s="252">
        <f>ROUND(IF(Input!$B$15="Yes",'Unique Tenure'!C46,'180M'!C46),0)</f>
        <v>18940500</v>
      </c>
      <c r="D46" s="252">
        <f t="shared" si="5"/>
        <v>0.7</v>
      </c>
      <c r="E46" s="252">
        <f t="shared" si="0"/>
        <v>13258350</v>
      </c>
      <c r="F46" s="249">
        <f t="shared" si="6"/>
        <v>31</v>
      </c>
      <c r="G46" s="258">
        <f t="shared" si="7"/>
        <v>0.15</v>
      </c>
      <c r="H46" s="252">
        <f t="shared" si="8"/>
        <v>0</v>
      </c>
      <c r="I46" s="252">
        <f t="shared" si="1"/>
        <v>0</v>
      </c>
      <c r="J46" s="254">
        <f>IF($A46&lt;=Input!$C$6,0,IF(E46&lt;H46,E46-I46,H46))</f>
        <v>0</v>
      </c>
      <c r="K46" s="256">
        <f t="shared" si="2"/>
        <v>0</v>
      </c>
      <c r="L46" s="256">
        <f t="shared" si="3"/>
        <v>0</v>
      </c>
      <c r="M46" s="249"/>
    </row>
    <row r="47" spans="1:13" x14ac:dyDescent="0.25">
      <c r="A47" s="252">
        <v>43</v>
      </c>
      <c r="B47" s="253">
        <f t="shared" si="4"/>
        <v>46827</v>
      </c>
      <c r="C47" s="252">
        <f>ROUND(IF(Input!$B$15="Yes",'Unique Tenure'!C47,'180M'!C47),0)</f>
        <v>18940500</v>
      </c>
      <c r="D47" s="252">
        <f t="shared" si="5"/>
        <v>0.7</v>
      </c>
      <c r="E47" s="252">
        <f t="shared" si="0"/>
        <v>13258350</v>
      </c>
      <c r="F47" s="249">
        <f t="shared" si="6"/>
        <v>29</v>
      </c>
      <c r="G47" s="258">
        <f t="shared" si="7"/>
        <v>0.15</v>
      </c>
      <c r="H47" s="252">
        <f t="shared" si="8"/>
        <v>0</v>
      </c>
      <c r="I47" s="252">
        <f t="shared" si="1"/>
        <v>0</v>
      </c>
      <c r="J47" s="254">
        <f>IF($A47&lt;=Input!$C$6,0,IF(E47&lt;H47,E47-I47,H47))</f>
        <v>0</v>
      </c>
      <c r="K47" s="256">
        <f t="shared" si="2"/>
        <v>0</v>
      </c>
      <c r="L47" s="256">
        <f t="shared" si="3"/>
        <v>0</v>
      </c>
      <c r="M47" s="249"/>
    </row>
    <row r="48" spans="1:13" x14ac:dyDescent="0.25">
      <c r="A48" s="252">
        <v>44</v>
      </c>
      <c r="B48" s="253">
        <f t="shared" si="4"/>
        <v>46858</v>
      </c>
      <c r="C48" s="252">
        <f>ROUND(IF(Input!$B$15="Yes",'Unique Tenure'!C48,'180M'!C48),0)</f>
        <v>18940500</v>
      </c>
      <c r="D48" s="252">
        <f t="shared" si="5"/>
        <v>0.7</v>
      </c>
      <c r="E48" s="252">
        <f t="shared" si="0"/>
        <v>13258350</v>
      </c>
      <c r="F48" s="249">
        <f t="shared" si="6"/>
        <v>31</v>
      </c>
      <c r="G48" s="258">
        <f t="shared" si="7"/>
        <v>0.15</v>
      </c>
      <c r="H48" s="252">
        <f t="shared" si="8"/>
        <v>0</v>
      </c>
      <c r="I48" s="252">
        <f t="shared" si="1"/>
        <v>0</v>
      </c>
      <c r="J48" s="254">
        <f>IF($A48&lt;=Input!$C$6,0,IF(E48&lt;H48,E48-I48,H48))</f>
        <v>0</v>
      </c>
      <c r="K48" s="256">
        <f t="shared" si="2"/>
        <v>0</v>
      </c>
      <c r="L48" s="256">
        <f t="shared" si="3"/>
        <v>0</v>
      </c>
      <c r="M48" s="249"/>
    </row>
    <row r="49" spans="1:13" x14ac:dyDescent="0.25">
      <c r="A49" s="252">
        <v>45</v>
      </c>
      <c r="B49" s="253">
        <f t="shared" si="4"/>
        <v>46888</v>
      </c>
      <c r="C49" s="252">
        <f>ROUND(IF(Input!$B$15="Yes",'Unique Tenure'!C49,'180M'!C49),0)</f>
        <v>18940500</v>
      </c>
      <c r="D49" s="252">
        <f t="shared" si="5"/>
        <v>0.7</v>
      </c>
      <c r="E49" s="252">
        <f t="shared" si="0"/>
        <v>13258350</v>
      </c>
      <c r="F49" s="249">
        <f t="shared" si="6"/>
        <v>30</v>
      </c>
      <c r="G49" s="258">
        <f t="shared" si="7"/>
        <v>0.15</v>
      </c>
      <c r="H49" s="252">
        <f t="shared" si="8"/>
        <v>0</v>
      </c>
      <c r="I49" s="252">
        <f t="shared" si="1"/>
        <v>0</v>
      </c>
      <c r="J49" s="254">
        <f>IF($A49&lt;=Input!$C$6,0,IF(E49&lt;H49,E49-I49,H49))</f>
        <v>0</v>
      </c>
      <c r="K49" s="256">
        <f t="shared" si="2"/>
        <v>0</v>
      </c>
      <c r="L49" s="256">
        <f t="shared" si="3"/>
        <v>0</v>
      </c>
      <c r="M49" s="249"/>
    </row>
    <row r="50" spans="1:13" x14ac:dyDescent="0.25">
      <c r="A50" s="252">
        <v>46</v>
      </c>
      <c r="B50" s="253">
        <f t="shared" si="4"/>
        <v>46919</v>
      </c>
      <c r="C50" s="252">
        <f>ROUND(IF(Input!$B$15="Yes",'Unique Tenure'!C50,'180M'!C50),0)</f>
        <v>18940500</v>
      </c>
      <c r="D50" s="252">
        <f t="shared" si="5"/>
        <v>0.7</v>
      </c>
      <c r="E50" s="252">
        <f t="shared" si="0"/>
        <v>13258350</v>
      </c>
      <c r="F50" s="249">
        <f t="shared" si="6"/>
        <v>31</v>
      </c>
      <c r="G50" s="258">
        <f t="shared" si="7"/>
        <v>0.15</v>
      </c>
      <c r="H50" s="252">
        <f t="shared" si="8"/>
        <v>0</v>
      </c>
      <c r="I50" s="252">
        <f t="shared" si="1"/>
        <v>0</v>
      </c>
      <c r="J50" s="254">
        <f>IF($A50&lt;=Input!$C$6,0,IF(E50&lt;H50,E50-I50,H50))</f>
        <v>0</v>
      </c>
      <c r="K50" s="256">
        <f t="shared" si="2"/>
        <v>0</v>
      </c>
      <c r="L50" s="256">
        <f t="shared" si="3"/>
        <v>0</v>
      </c>
      <c r="M50" s="249"/>
    </row>
    <row r="51" spans="1:13" x14ac:dyDescent="0.25">
      <c r="A51" s="252">
        <v>47</v>
      </c>
      <c r="B51" s="253">
        <f t="shared" si="4"/>
        <v>46949</v>
      </c>
      <c r="C51" s="252">
        <f>ROUND(IF(Input!$B$15="Yes",'Unique Tenure'!C51,'180M'!C51),0)</f>
        <v>18940500</v>
      </c>
      <c r="D51" s="252">
        <f t="shared" si="5"/>
        <v>0.7</v>
      </c>
      <c r="E51" s="252">
        <f t="shared" si="0"/>
        <v>13258350</v>
      </c>
      <c r="F51" s="249">
        <f t="shared" si="6"/>
        <v>30</v>
      </c>
      <c r="G51" s="258">
        <f t="shared" si="7"/>
        <v>0.15</v>
      </c>
      <c r="H51" s="252">
        <f t="shared" si="8"/>
        <v>0</v>
      </c>
      <c r="I51" s="252">
        <f t="shared" si="1"/>
        <v>0</v>
      </c>
      <c r="J51" s="254">
        <f>IF($A51&lt;=Input!$C$6,0,IF(E51&lt;H51,E51-I51,H51))</f>
        <v>0</v>
      </c>
      <c r="K51" s="256">
        <f t="shared" si="2"/>
        <v>0</v>
      </c>
      <c r="L51" s="256">
        <f t="shared" si="3"/>
        <v>0</v>
      </c>
      <c r="M51" s="249"/>
    </row>
    <row r="52" spans="1:13" x14ac:dyDescent="0.25">
      <c r="A52" s="252">
        <v>48</v>
      </c>
      <c r="B52" s="253">
        <f t="shared" si="4"/>
        <v>46980</v>
      </c>
      <c r="C52" s="252">
        <f>ROUND(IF(Input!$B$15="Yes",'Unique Tenure'!C52,'180M'!C52),0)</f>
        <v>18940500</v>
      </c>
      <c r="D52" s="252">
        <f t="shared" si="5"/>
        <v>0.7</v>
      </c>
      <c r="E52" s="252">
        <f t="shared" si="0"/>
        <v>13258350</v>
      </c>
      <c r="F52" s="249">
        <f t="shared" si="6"/>
        <v>31</v>
      </c>
      <c r="G52" s="258">
        <f t="shared" si="7"/>
        <v>0.15</v>
      </c>
      <c r="H52" s="252">
        <f t="shared" si="8"/>
        <v>0</v>
      </c>
      <c r="I52" s="252">
        <f t="shared" si="1"/>
        <v>0</v>
      </c>
      <c r="J52" s="254">
        <f>IF($A52&lt;=Input!$C$6,0,IF(E52&lt;H52,E52-I52,H52))</f>
        <v>0</v>
      </c>
      <c r="K52" s="256">
        <f t="shared" si="2"/>
        <v>0</v>
      </c>
      <c r="L52" s="256">
        <f t="shared" si="3"/>
        <v>0</v>
      </c>
      <c r="M52" s="249"/>
    </row>
    <row r="53" spans="1:13" x14ac:dyDescent="0.25">
      <c r="A53" s="252">
        <v>49</v>
      </c>
      <c r="B53" s="253">
        <f t="shared" si="4"/>
        <v>47011</v>
      </c>
      <c r="C53" s="252">
        <f>ROUND(IF(Input!$B$15="Yes",'Unique Tenure'!C53,'180M'!C53),0)</f>
        <v>18940500</v>
      </c>
      <c r="D53" s="252">
        <f t="shared" si="5"/>
        <v>0.7</v>
      </c>
      <c r="E53" s="252">
        <f t="shared" si="0"/>
        <v>13258350</v>
      </c>
      <c r="F53" s="249">
        <f t="shared" si="6"/>
        <v>31</v>
      </c>
      <c r="G53" s="258">
        <f t="shared" si="7"/>
        <v>0.15</v>
      </c>
      <c r="H53" s="252">
        <f t="shared" si="8"/>
        <v>0</v>
      </c>
      <c r="I53" s="252">
        <f t="shared" si="1"/>
        <v>0</v>
      </c>
      <c r="J53" s="254">
        <f>IF($A53&lt;=Input!$C$6,0,IF(E53&lt;H53,E53-I53,H53))</f>
        <v>0</v>
      </c>
      <c r="K53" s="256">
        <f t="shared" si="2"/>
        <v>0</v>
      </c>
      <c r="L53" s="256">
        <f t="shared" si="3"/>
        <v>0</v>
      </c>
      <c r="M53" s="249"/>
    </row>
    <row r="54" spans="1:13" x14ac:dyDescent="0.25">
      <c r="A54" s="252">
        <v>50</v>
      </c>
      <c r="B54" s="253">
        <f t="shared" si="4"/>
        <v>47041</v>
      </c>
      <c r="C54" s="252">
        <f>ROUND(IF(Input!$B$15="Yes",'Unique Tenure'!C54,'180M'!C54),0)</f>
        <v>18940500</v>
      </c>
      <c r="D54" s="252">
        <f t="shared" si="5"/>
        <v>0.7</v>
      </c>
      <c r="E54" s="252">
        <f t="shared" si="0"/>
        <v>13258350</v>
      </c>
      <c r="F54" s="249">
        <f t="shared" si="6"/>
        <v>30</v>
      </c>
      <c r="G54" s="258">
        <f t="shared" si="7"/>
        <v>0.15</v>
      </c>
      <c r="H54" s="252">
        <f t="shared" si="8"/>
        <v>0</v>
      </c>
      <c r="I54" s="252">
        <f t="shared" si="1"/>
        <v>0</v>
      </c>
      <c r="J54" s="254">
        <f>IF($A54&lt;=Input!$C$6,0,IF(E54&lt;H54,E54-I54,H54))</f>
        <v>0</v>
      </c>
      <c r="K54" s="256">
        <f t="shared" si="2"/>
        <v>0</v>
      </c>
      <c r="L54" s="256">
        <f t="shared" si="3"/>
        <v>0</v>
      </c>
      <c r="M54" s="249"/>
    </row>
    <row r="55" spans="1:13" x14ac:dyDescent="0.25">
      <c r="A55" s="252">
        <v>51</v>
      </c>
      <c r="B55" s="253">
        <f t="shared" si="4"/>
        <v>47072</v>
      </c>
      <c r="C55" s="252">
        <f>ROUND(IF(Input!$B$15="Yes",'Unique Tenure'!C55,'180M'!C55),0)</f>
        <v>18940500</v>
      </c>
      <c r="D55" s="252">
        <f t="shared" si="5"/>
        <v>0.7</v>
      </c>
      <c r="E55" s="252">
        <f t="shared" si="0"/>
        <v>13258350</v>
      </c>
      <c r="F55" s="249">
        <f t="shared" si="6"/>
        <v>31</v>
      </c>
      <c r="G55" s="258">
        <f t="shared" si="7"/>
        <v>0.15</v>
      </c>
      <c r="H55" s="252">
        <f t="shared" si="8"/>
        <v>0</v>
      </c>
      <c r="I55" s="252">
        <f t="shared" si="1"/>
        <v>0</v>
      </c>
      <c r="J55" s="254">
        <f>IF($A55&lt;=Input!$C$6,0,IF(E55&lt;H55,E55-I55,H55))</f>
        <v>0</v>
      </c>
      <c r="K55" s="256">
        <f t="shared" si="2"/>
        <v>0</v>
      </c>
      <c r="L55" s="256">
        <f t="shared" si="3"/>
        <v>0</v>
      </c>
      <c r="M55" s="249"/>
    </row>
    <row r="56" spans="1:13" x14ac:dyDescent="0.25">
      <c r="A56" s="252">
        <v>52</v>
      </c>
      <c r="B56" s="253">
        <f t="shared" si="4"/>
        <v>47102</v>
      </c>
      <c r="C56" s="252">
        <f>ROUND(IF(Input!$B$15="Yes",'Unique Tenure'!C56,'180M'!C56),0)</f>
        <v>18940500</v>
      </c>
      <c r="D56" s="252">
        <f t="shared" si="5"/>
        <v>0.7</v>
      </c>
      <c r="E56" s="252">
        <f t="shared" si="0"/>
        <v>13258350</v>
      </c>
      <c r="F56" s="249">
        <f t="shared" si="6"/>
        <v>30</v>
      </c>
      <c r="G56" s="258">
        <f t="shared" si="7"/>
        <v>0.15</v>
      </c>
      <c r="H56" s="252">
        <f t="shared" si="8"/>
        <v>0</v>
      </c>
      <c r="I56" s="252">
        <f t="shared" si="1"/>
        <v>0</v>
      </c>
      <c r="J56" s="254">
        <f>IF($A56&lt;=Input!$C$6,0,IF(E56&lt;H56,E56-I56,H56))</f>
        <v>0</v>
      </c>
      <c r="K56" s="256">
        <f t="shared" si="2"/>
        <v>0</v>
      </c>
      <c r="L56" s="256">
        <f t="shared" si="3"/>
        <v>0</v>
      </c>
      <c r="M56" s="249"/>
    </row>
    <row r="57" spans="1:13" x14ac:dyDescent="0.25">
      <c r="A57" s="252">
        <v>53</v>
      </c>
      <c r="B57" s="253">
        <f t="shared" si="4"/>
        <v>47133</v>
      </c>
      <c r="C57" s="252">
        <f>ROUND(IF(Input!$B$15="Yes",'Unique Tenure'!C57,'180M'!C57),0)</f>
        <v>18940500</v>
      </c>
      <c r="D57" s="252">
        <f t="shared" si="5"/>
        <v>0.7</v>
      </c>
      <c r="E57" s="252">
        <f t="shared" si="0"/>
        <v>13258350</v>
      </c>
      <c r="F57" s="249">
        <f t="shared" si="6"/>
        <v>31</v>
      </c>
      <c r="G57" s="258">
        <f t="shared" si="7"/>
        <v>0.15</v>
      </c>
      <c r="H57" s="252">
        <f t="shared" si="8"/>
        <v>0</v>
      </c>
      <c r="I57" s="252">
        <f t="shared" si="1"/>
        <v>0</v>
      </c>
      <c r="J57" s="254">
        <f>IF($A57&lt;=Input!$C$6,0,IF(E57&lt;H57,E57-I57,H57))</f>
        <v>0</v>
      </c>
      <c r="K57" s="256">
        <f t="shared" si="2"/>
        <v>0</v>
      </c>
      <c r="L57" s="256">
        <f t="shared" si="3"/>
        <v>0</v>
      </c>
      <c r="M57" s="249"/>
    </row>
    <row r="58" spans="1:13" x14ac:dyDescent="0.25">
      <c r="A58" s="252">
        <v>54</v>
      </c>
      <c r="B58" s="253">
        <f t="shared" si="4"/>
        <v>47164</v>
      </c>
      <c r="C58" s="252">
        <f>ROUND(IF(Input!$B$15="Yes",'Unique Tenure'!C58,'180M'!C58),0)</f>
        <v>18940500</v>
      </c>
      <c r="D58" s="252">
        <f t="shared" si="5"/>
        <v>0.7</v>
      </c>
      <c r="E58" s="252">
        <f t="shared" si="0"/>
        <v>13258350</v>
      </c>
      <c r="F58" s="249">
        <f t="shared" si="6"/>
        <v>31</v>
      </c>
      <c r="G58" s="258">
        <f t="shared" si="7"/>
        <v>0.15</v>
      </c>
      <c r="H58" s="252">
        <f t="shared" si="8"/>
        <v>0</v>
      </c>
      <c r="I58" s="252">
        <f t="shared" si="1"/>
        <v>0</v>
      </c>
      <c r="J58" s="254">
        <f>IF($A58&lt;=Input!$C$6,0,IF(E58&lt;H58,E58-I58,H58))</f>
        <v>0</v>
      </c>
      <c r="K58" s="256">
        <f t="shared" si="2"/>
        <v>0</v>
      </c>
      <c r="L58" s="256">
        <f t="shared" si="3"/>
        <v>0</v>
      </c>
      <c r="M58" s="249"/>
    </row>
    <row r="59" spans="1:13" x14ac:dyDescent="0.25">
      <c r="A59" s="252">
        <v>55</v>
      </c>
      <c r="B59" s="253">
        <f t="shared" si="4"/>
        <v>47192</v>
      </c>
      <c r="C59" s="252">
        <f>ROUND(IF(Input!$B$15="Yes",'Unique Tenure'!C59,'180M'!C59),0)</f>
        <v>18940500</v>
      </c>
      <c r="D59" s="252">
        <f t="shared" si="5"/>
        <v>0.7</v>
      </c>
      <c r="E59" s="252">
        <f t="shared" si="0"/>
        <v>13258350</v>
      </c>
      <c r="F59" s="249">
        <f t="shared" si="6"/>
        <v>28</v>
      </c>
      <c r="G59" s="258">
        <f t="shared" si="7"/>
        <v>0.15</v>
      </c>
      <c r="H59" s="252">
        <f t="shared" si="8"/>
        <v>0</v>
      </c>
      <c r="I59" s="252">
        <f t="shared" si="1"/>
        <v>0</v>
      </c>
      <c r="J59" s="254">
        <f>IF($A59&lt;=Input!$C$6,0,IF(E59&lt;H59,E59-I59,H59))</f>
        <v>0</v>
      </c>
      <c r="K59" s="256">
        <f t="shared" si="2"/>
        <v>0</v>
      </c>
      <c r="L59" s="256">
        <f t="shared" si="3"/>
        <v>0</v>
      </c>
      <c r="M59" s="249"/>
    </row>
    <row r="60" spans="1:13" x14ac:dyDescent="0.25">
      <c r="A60" s="252">
        <v>56</v>
      </c>
      <c r="B60" s="253">
        <f t="shared" si="4"/>
        <v>47223</v>
      </c>
      <c r="C60" s="252">
        <f>ROUND(IF(Input!$B$15="Yes",'Unique Tenure'!C60,'180M'!C60),0)</f>
        <v>18940500</v>
      </c>
      <c r="D60" s="252">
        <f t="shared" si="5"/>
        <v>0.7</v>
      </c>
      <c r="E60" s="252">
        <f t="shared" si="0"/>
        <v>13258350</v>
      </c>
      <c r="F60" s="249">
        <f t="shared" si="6"/>
        <v>31</v>
      </c>
      <c r="G60" s="258">
        <f t="shared" si="7"/>
        <v>0.15</v>
      </c>
      <c r="H60" s="252">
        <f t="shared" si="8"/>
        <v>0</v>
      </c>
      <c r="I60" s="252">
        <f t="shared" si="1"/>
        <v>0</v>
      </c>
      <c r="J60" s="254">
        <f>IF($A60&lt;=Input!$C$6,0,IF(E60&lt;H60,E60-I60,H60))</f>
        <v>0</v>
      </c>
      <c r="K60" s="256">
        <f t="shared" si="2"/>
        <v>0</v>
      </c>
      <c r="L60" s="256">
        <f t="shared" si="3"/>
        <v>0</v>
      </c>
      <c r="M60" s="249"/>
    </row>
    <row r="61" spans="1:13" x14ac:dyDescent="0.25">
      <c r="A61" s="252">
        <v>57</v>
      </c>
      <c r="B61" s="253">
        <f t="shared" si="4"/>
        <v>47253</v>
      </c>
      <c r="C61" s="252">
        <f>ROUND(IF(Input!$B$15="Yes",'Unique Tenure'!C61,'180M'!C61),0)</f>
        <v>18940500</v>
      </c>
      <c r="D61" s="252">
        <f t="shared" si="5"/>
        <v>0.7</v>
      </c>
      <c r="E61" s="252">
        <f t="shared" si="0"/>
        <v>13258350</v>
      </c>
      <c r="F61" s="249">
        <f t="shared" si="6"/>
        <v>30</v>
      </c>
      <c r="G61" s="258">
        <f t="shared" si="7"/>
        <v>0.15</v>
      </c>
      <c r="H61" s="252">
        <f t="shared" si="8"/>
        <v>0</v>
      </c>
      <c r="I61" s="252">
        <f t="shared" si="1"/>
        <v>0</v>
      </c>
      <c r="J61" s="254">
        <f>IF($A61&lt;=Input!$C$6,0,IF(E61&lt;H61,E61-I61,H61))</f>
        <v>0</v>
      </c>
      <c r="K61" s="256">
        <f t="shared" si="2"/>
        <v>0</v>
      </c>
      <c r="L61" s="256">
        <f t="shared" si="3"/>
        <v>0</v>
      </c>
      <c r="M61" s="249"/>
    </row>
    <row r="62" spans="1:13" x14ac:dyDescent="0.25">
      <c r="A62" s="252">
        <v>58</v>
      </c>
      <c r="B62" s="253">
        <f t="shared" si="4"/>
        <v>47284</v>
      </c>
      <c r="C62" s="252">
        <f>ROUND(IF(Input!$B$15="Yes",'Unique Tenure'!C62,'180M'!C62),0)</f>
        <v>18940500</v>
      </c>
      <c r="D62" s="252">
        <f t="shared" si="5"/>
        <v>0.7</v>
      </c>
      <c r="E62" s="252">
        <f t="shared" si="0"/>
        <v>13258350</v>
      </c>
      <c r="F62" s="249">
        <f t="shared" si="6"/>
        <v>31</v>
      </c>
      <c r="G62" s="258">
        <f t="shared" si="7"/>
        <v>0.15</v>
      </c>
      <c r="H62" s="252">
        <f t="shared" si="8"/>
        <v>0</v>
      </c>
      <c r="I62" s="252">
        <f t="shared" si="1"/>
        <v>0</v>
      </c>
      <c r="J62" s="254">
        <f>IF($A62&lt;=Input!$C$6,0,IF(E62&lt;H62,E62-I62,H62))</f>
        <v>0</v>
      </c>
      <c r="K62" s="256">
        <f t="shared" si="2"/>
        <v>0</v>
      </c>
      <c r="L62" s="256">
        <f t="shared" si="3"/>
        <v>0</v>
      </c>
      <c r="M62" s="249"/>
    </row>
    <row r="63" spans="1:13" x14ac:dyDescent="0.25">
      <c r="A63" s="252">
        <v>59</v>
      </c>
      <c r="B63" s="253">
        <f t="shared" si="4"/>
        <v>47314</v>
      </c>
      <c r="C63" s="252">
        <f>ROUND(IF(Input!$B$15="Yes",'Unique Tenure'!C63,'180M'!C63),0)</f>
        <v>18940500</v>
      </c>
      <c r="D63" s="252">
        <f t="shared" si="5"/>
        <v>0.7</v>
      </c>
      <c r="E63" s="252">
        <f t="shared" si="0"/>
        <v>13258350</v>
      </c>
      <c r="F63" s="249">
        <f t="shared" si="6"/>
        <v>30</v>
      </c>
      <c r="G63" s="258">
        <f t="shared" si="7"/>
        <v>0.15</v>
      </c>
      <c r="H63" s="252">
        <f t="shared" si="8"/>
        <v>0</v>
      </c>
      <c r="I63" s="252">
        <f t="shared" si="1"/>
        <v>0</v>
      </c>
      <c r="J63" s="254">
        <f>IF($A63&lt;=Input!$C$6,0,IF(E63&lt;H63,E63-I63,H63))</f>
        <v>0</v>
      </c>
      <c r="K63" s="256">
        <f t="shared" si="2"/>
        <v>0</v>
      </c>
      <c r="L63" s="256">
        <f t="shared" si="3"/>
        <v>0</v>
      </c>
      <c r="M63" s="249"/>
    </row>
    <row r="64" spans="1:13" x14ac:dyDescent="0.25">
      <c r="A64" s="252">
        <v>60</v>
      </c>
      <c r="B64" s="253">
        <f t="shared" si="4"/>
        <v>47345</v>
      </c>
      <c r="C64" s="252">
        <f>ROUND(IF(Input!$B$15="Yes",'Unique Tenure'!C64,'180M'!C64),0)</f>
        <v>18940500</v>
      </c>
      <c r="D64" s="252">
        <f t="shared" si="5"/>
        <v>0.7</v>
      </c>
      <c r="E64" s="252">
        <f t="shared" si="0"/>
        <v>13258350</v>
      </c>
      <c r="F64" s="249">
        <f t="shared" si="6"/>
        <v>31</v>
      </c>
      <c r="G64" s="258">
        <f t="shared" si="7"/>
        <v>0.15</v>
      </c>
      <c r="H64" s="252">
        <f t="shared" si="8"/>
        <v>0</v>
      </c>
      <c r="I64" s="252">
        <f t="shared" si="1"/>
        <v>0</v>
      </c>
      <c r="J64" s="254">
        <f>IF($A64&lt;=Input!$C$6,0,IF(E64&lt;H64,E64-I64,H64))</f>
        <v>0</v>
      </c>
      <c r="K64" s="256">
        <f t="shared" si="2"/>
        <v>0</v>
      </c>
      <c r="L64" s="256">
        <f t="shared" si="3"/>
        <v>0</v>
      </c>
      <c r="M64" s="249"/>
    </row>
    <row r="65" spans="1:13" x14ac:dyDescent="0.25">
      <c r="A65" s="252">
        <v>61</v>
      </c>
      <c r="B65" s="253">
        <f t="shared" si="4"/>
        <v>47376</v>
      </c>
      <c r="C65" s="252">
        <f>ROUND(IF(Input!$B$15="Yes",'Unique Tenure'!C65,'180M'!C65),0)</f>
        <v>18940500</v>
      </c>
      <c r="D65" s="252">
        <f t="shared" si="5"/>
        <v>0.7</v>
      </c>
      <c r="E65" s="252">
        <f t="shared" si="0"/>
        <v>13258350</v>
      </c>
      <c r="F65" s="249">
        <f t="shared" si="6"/>
        <v>31</v>
      </c>
      <c r="G65" s="258">
        <f t="shared" si="7"/>
        <v>0.15</v>
      </c>
      <c r="H65" s="252">
        <f t="shared" si="8"/>
        <v>0</v>
      </c>
      <c r="I65" s="252">
        <f t="shared" si="1"/>
        <v>0</v>
      </c>
      <c r="J65" s="254">
        <f>IF($A65&lt;=Input!$C$6,0,IF(E65&lt;H65,E65-I65,H65))</f>
        <v>0</v>
      </c>
      <c r="K65" s="256">
        <f t="shared" si="2"/>
        <v>0</v>
      </c>
      <c r="L65" s="256">
        <f t="shared" si="3"/>
        <v>0</v>
      </c>
      <c r="M65" s="249"/>
    </row>
    <row r="66" spans="1:13" x14ac:dyDescent="0.25">
      <c r="A66" s="252">
        <v>62</v>
      </c>
      <c r="B66" s="253">
        <f t="shared" si="4"/>
        <v>47406</v>
      </c>
      <c r="C66" s="252">
        <f>ROUND(IF(Input!$B$15="Yes",'Unique Tenure'!C66,'180M'!C66),0)</f>
        <v>18940500</v>
      </c>
      <c r="D66" s="252">
        <f t="shared" si="5"/>
        <v>0.7</v>
      </c>
      <c r="E66" s="252">
        <f t="shared" si="0"/>
        <v>13258350</v>
      </c>
      <c r="F66" s="249">
        <f t="shared" si="6"/>
        <v>30</v>
      </c>
      <c r="G66" s="258">
        <f t="shared" si="7"/>
        <v>0.15</v>
      </c>
      <c r="H66" s="252">
        <f t="shared" si="8"/>
        <v>0</v>
      </c>
      <c r="I66" s="252">
        <f t="shared" si="1"/>
        <v>0</v>
      </c>
      <c r="J66" s="254">
        <f>IF($A66&lt;=Input!$C$6,0,IF(E66&lt;H66,E66-I66,H66))</f>
        <v>0</v>
      </c>
      <c r="K66" s="256">
        <f t="shared" si="2"/>
        <v>0</v>
      </c>
      <c r="L66" s="256">
        <f t="shared" si="3"/>
        <v>0</v>
      </c>
      <c r="M66" s="249"/>
    </row>
    <row r="67" spans="1:13" x14ac:dyDescent="0.25">
      <c r="A67" s="252">
        <v>63</v>
      </c>
      <c r="B67" s="253">
        <f t="shared" si="4"/>
        <v>47437</v>
      </c>
      <c r="C67" s="252">
        <f>ROUND(IF(Input!$B$15="Yes",'Unique Tenure'!C67,'180M'!C67),0)</f>
        <v>18940500</v>
      </c>
      <c r="D67" s="252">
        <f t="shared" si="5"/>
        <v>0.7</v>
      </c>
      <c r="E67" s="252">
        <f t="shared" si="0"/>
        <v>13258350</v>
      </c>
      <c r="F67" s="249">
        <f t="shared" si="6"/>
        <v>31</v>
      </c>
      <c r="G67" s="258">
        <f t="shared" si="7"/>
        <v>0.15</v>
      </c>
      <c r="H67" s="252">
        <f t="shared" si="8"/>
        <v>0</v>
      </c>
      <c r="I67" s="252">
        <f t="shared" si="1"/>
        <v>0</v>
      </c>
      <c r="J67" s="254">
        <f>IF($A67&lt;=Input!$C$6,0,IF(E67&lt;H67,E67-I67,H67))</f>
        <v>0</v>
      </c>
      <c r="K67" s="256">
        <f t="shared" si="2"/>
        <v>0</v>
      </c>
      <c r="L67" s="256">
        <f t="shared" si="3"/>
        <v>0</v>
      </c>
      <c r="M67" s="249"/>
    </row>
    <row r="68" spans="1:13" x14ac:dyDescent="0.25">
      <c r="A68" s="252">
        <v>64</v>
      </c>
      <c r="B68" s="253">
        <f t="shared" si="4"/>
        <v>47467</v>
      </c>
      <c r="C68" s="252">
        <f>ROUND(IF(Input!$B$15="Yes",'Unique Tenure'!C68,'180M'!C68),0)</f>
        <v>18940500</v>
      </c>
      <c r="D68" s="252">
        <f t="shared" si="5"/>
        <v>0.7</v>
      </c>
      <c r="E68" s="252">
        <f t="shared" si="0"/>
        <v>13258350</v>
      </c>
      <c r="F68" s="249">
        <f t="shared" si="6"/>
        <v>30</v>
      </c>
      <c r="G68" s="258">
        <f t="shared" si="7"/>
        <v>0.15</v>
      </c>
      <c r="H68" s="252">
        <f t="shared" si="8"/>
        <v>0</v>
      </c>
      <c r="I68" s="252">
        <f t="shared" si="1"/>
        <v>0</v>
      </c>
      <c r="J68" s="254">
        <f>IF($A68&lt;=Input!$C$6,0,IF(E68&lt;H68,E68-I68,H68))</f>
        <v>0</v>
      </c>
      <c r="K68" s="256">
        <f t="shared" si="2"/>
        <v>0</v>
      </c>
      <c r="L68" s="256">
        <f t="shared" si="3"/>
        <v>0</v>
      </c>
      <c r="M68" s="249"/>
    </row>
    <row r="69" spans="1:13" x14ac:dyDescent="0.25">
      <c r="A69" s="252">
        <v>65</v>
      </c>
      <c r="B69" s="253">
        <f t="shared" si="4"/>
        <v>47498</v>
      </c>
      <c r="C69" s="252">
        <f>ROUND(IF(Input!$B$15="Yes",'Unique Tenure'!C69,'180M'!C69),0)</f>
        <v>18940500</v>
      </c>
      <c r="D69" s="252">
        <f t="shared" si="5"/>
        <v>0.7</v>
      </c>
      <c r="E69" s="252">
        <f t="shared" ref="E69:E132" si="9">C69*D69</f>
        <v>13258350</v>
      </c>
      <c r="F69" s="249">
        <f t="shared" si="6"/>
        <v>31</v>
      </c>
      <c r="G69" s="258">
        <f t="shared" si="7"/>
        <v>0.15</v>
      </c>
      <c r="H69" s="252">
        <f t="shared" ref="H69:H132" si="10">L68</f>
        <v>0</v>
      </c>
      <c r="I69" s="252">
        <f t="shared" ref="I69:I132" si="11">ROUND(H69*F69*$G69/365,0)</f>
        <v>0</v>
      </c>
      <c r="J69" s="254">
        <f>IF($A69&lt;=Input!$C$6,0,IF(E69&lt;H69,E69-I69,H69))</f>
        <v>0</v>
      </c>
      <c r="K69" s="256">
        <f t="shared" ref="K69:K132" si="12">I69+J69</f>
        <v>0</v>
      </c>
      <c r="L69" s="256">
        <f t="shared" ref="L69:L132" si="13">L68-J69</f>
        <v>0</v>
      </c>
      <c r="M69" s="249"/>
    </row>
    <row r="70" spans="1:13" x14ac:dyDescent="0.25">
      <c r="A70" s="252">
        <v>66</v>
      </c>
      <c r="B70" s="253">
        <f t="shared" ref="B70:B133" si="14">EDATE(B69,1)</f>
        <v>47529</v>
      </c>
      <c r="C70" s="252">
        <f>ROUND(IF(Input!$B$15="Yes",'Unique Tenure'!C70,'180M'!C70),0)</f>
        <v>18940500</v>
      </c>
      <c r="D70" s="252">
        <f t="shared" ref="D70:D133" si="15">D69</f>
        <v>0.7</v>
      </c>
      <c r="E70" s="252">
        <f t="shared" si="9"/>
        <v>13258350</v>
      </c>
      <c r="F70" s="249">
        <f t="shared" ref="F70:F133" si="16">B70-B69</f>
        <v>31</v>
      </c>
      <c r="G70" s="258">
        <f t="shared" ref="G70:G133" si="17">G69</f>
        <v>0.15</v>
      </c>
      <c r="H70" s="252">
        <f t="shared" si="10"/>
        <v>0</v>
      </c>
      <c r="I70" s="252">
        <f t="shared" si="11"/>
        <v>0</v>
      </c>
      <c r="J70" s="254">
        <f>IF($A70&lt;=Input!$C$6,0,IF(E70&lt;H70,E70-I70,H70))</f>
        <v>0</v>
      </c>
      <c r="K70" s="256">
        <f t="shared" si="12"/>
        <v>0</v>
      </c>
      <c r="L70" s="256">
        <f t="shared" si="13"/>
        <v>0</v>
      </c>
      <c r="M70" s="249"/>
    </row>
    <row r="71" spans="1:13" x14ac:dyDescent="0.25">
      <c r="A71" s="252">
        <v>67</v>
      </c>
      <c r="B71" s="253">
        <f t="shared" si="14"/>
        <v>47557</v>
      </c>
      <c r="C71" s="252">
        <f>ROUND(IF(Input!$B$15="Yes",'Unique Tenure'!C71,'180M'!C71),0)</f>
        <v>18940500</v>
      </c>
      <c r="D71" s="252">
        <f t="shared" si="15"/>
        <v>0.7</v>
      </c>
      <c r="E71" s="252">
        <f t="shared" si="9"/>
        <v>13258350</v>
      </c>
      <c r="F71" s="249">
        <f t="shared" si="16"/>
        <v>28</v>
      </c>
      <c r="G71" s="258">
        <f t="shared" si="17"/>
        <v>0.15</v>
      </c>
      <c r="H71" s="252">
        <f t="shared" si="10"/>
        <v>0</v>
      </c>
      <c r="I71" s="252">
        <f t="shared" si="11"/>
        <v>0</v>
      </c>
      <c r="J71" s="254">
        <f>IF($A71&lt;=Input!$C$6,0,IF(E71&lt;H71,E71-I71,H71))</f>
        <v>0</v>
      </c>
      <c r="K71" s="256">
        <f t="shared" si="12"/>
        <v>0</v>
      </c>
      <c r="L71" s="256">
        <f t="shared" si="13"/>
        <v>0</v>
      </c>
      <c r="M71" s="249"/>
    </row>
    <row r="72" spans="1:13" x14ac:dyDescent="0.25">
      <c r="A72" s="252">
        <v>68</v>
      </c>
      <c r="B72" s="253">
        <f t="shared" si="14"/>
        <v>47588</v>
      </c>
      <c r="C72" s="252">
        <f>ROUND(IF(Input!$B$15="Yes",'Unique Tenure'!C72,'180M'!C72),0)</f>
        <v>18940500</v>
      </c>
      <c r="D72" s="252">
        <f t="shared" si="15"/>
        <v>0.7</v>
      </c>
      <c r="E72" s="252">
        <f t="shared" si="9"/>
        <v>13258350</v>
      </c>
      <c r="F72" s="249">
        <f t="shared" si="16"/>
        <v>31</v>
      </c>
      <c r="G72" s="258">
        <f t="shared" si="17"/>
        <v>0.15</v>
      </c>
      <c r="H72" s="252">
        <f t="shared" si="10"/>
        <v>0</v>
      </c>
      <c r="I72" s="252">
        <f t="shared" si="11"/>
        <v>0</v>
      </c>
      <c r="J72" s="254">
        <f>IF($A72&lt;=Input!$C$6,0,IF(E72&lt;H72,E72-I72,H72))</f>
        <v>0</v>
      </c>
      <c r="K72" s="256">
        <f t="shared" si="12"/>
        <v>0</v>
      </c>
      <c r="L72" s="256">
        <f t="shared" si="13"/>
        <v>0</v>
      </c>
      <c r="M72" s="249"/>
    </row>
    <row r="73" spans="1:13" x14ac:dyDescent="0.25">
      <c r="A73" s="252">
        <v>69</v>
      </c>
      <c r="B73" s="253">
        <f t="shared" si="14"/>
        <v>47618</v>
      </c>
      <c r="C73" s="252">
        <f>ROUND(IF(Input!$B$15="Yes",'Unique Tenure'!C73,'180M'!C73),0)</f>
        <v>18940500</v>
      </c>
      <c r="D73" s="252">
        <f t="shared" si="15"/>
        <v>0.7</v>
      </c>
      <c r="E73" s="252">
        <f t="shared" si="9"/>
        <v>13258350</v>
      </c>
      <c r="F73" s="249">
        <f t="shared" si="16"/>
        <v>30</v>
      </c>
      <c r="G73" s="258">
        <f t="shared" si="17"/>
        <v>0.15</v>
      </c>
      <c r="H73" s="252">
        <f t="shared" si="10"/>
        <v>0</v>
      </c>
      <c r="I73" s="252">
        <f t="shared" si="11"/>
        <v>0</v>
      </c>
      <c r="J73" s="254">
        <f>IF($A73&lt;=Input!$C$6,0,IF(E73&lt;H73,E73-I73,H73))</f>
        <v>0</v>
      </c>
      <c r="K73" s="256">
        <f t="shared" si="12"/>
        <v>0</v>
      </c>
      <c r="L73" s="256">
        <f t="shared" si="13"/>
        <v>0</v>
      </c>
      <c r="M73" s="249"/>
    </row>
    <row r="74" spans="1:13" x14ac:dyDescent="0.25">
      <c r="A74" s="252">
        <v>70</v>
      </c>
      <c r="B74" s="253">
        <f t="shared" si="14"/>
        <v>47649</v>
      </c>
      <c r="C74" s="252">
        <f>ROUND(IF(Input!$B$15="Yes",'Unique Tenure'!C74,'180M'!C74),0)</f>
        <v>18940500</v>
      </c>
      <c r="D74" s="252">
        <f t="shared" si="15"/>
        <v>0.7</v>
      </c>
      <c r="E74" s="252">
        <f t="shared" si="9"/>
        <v>13258350</v>
      </c>
      <c r="F74" s="249">
        <f t="shared" si="16"/>
        <v>31</v>
      </c>
      <c r="G74" s="258">
        <f t="shared" si="17"/>
        <v>0.15</v>
      </c>
      <c r="H74" s="252">
        <f t="shared" si="10"/>
        <v>0</v>
      </c>
      <c r="I74" s="252">
        <f t="shared" si="11"/>
        <v>0</v>
      </c>
      <c r="J74" s="254">
        <f>IF($A74&lt;=Input!$C$6,0,IF(E74&lt;H74,E74-I74,H74))</f>
        <v>0</v>
      </c>
      <c r="K74" s="256">
        <f t="shared" si="12"/>
        <v>0</v>
      </c>
      <c r="L74" s="256">
        <f t="shared" si="13"/>
        <v>0</v>
      </c>
      <c r="M74" s="249"/>
    </row>
    <row r="75" spans="1:13" x14ac:dyDescent="0.25">
      <c r="A75" s="252">
        <v>71</v>
      </c>
      <c r="B75" s="253">
        <f t="shared" si="14"/>
        <v>47679</v>
      </c>
      <c r="C75" s="252">
        <f>ROUND(IF(Input!$B$15="Yes",'Unique Tenure'!C75,'180M'!C75),0)</f>
        <v>18940500</v>
      </c>
      <c r="D75" s="252">
        <f t="shared" si="15"/>
        <v>0.7</v>
      </c>
      <c r="E75" s="252">
        <f t="shared" si="9"/>
        <v>13258350</v>
      </c>
      <c r="F75" s="249">
        <f t="shared" si="16"/>
        <v>30</v>
      </c>
      <c r="G75" s="258">
        <f t="shared" si="17"/>
        <v>0.15</v>
      </c>
      <c r="H75" s="252">
        <f t="shared" si="10"/>
        <v>0</v>
      </c>
      <c r="I75" s="252">
        <f t="shared" si="11"/>
        <v>0</v>
      </c>
      <c r="J75" s="254">
        <f>IF($A75&lt;=Input!$C$6,0,IF(E75&lt;H75,E75-I75,H75))</f>
        <v>0</v>
      </c>
      <c r="K75" s="256">
        <f t="shared" si="12"/>
        <v>0</v>
      </c>
      <c r="L75" s="256">
        <f t="shared" si="13"/>
        <v>0</v>
      </c>
      <c r="M75" s="249"/>
    </row>
    <row r="76" spans="1:13" x14ac:dyDescent="0.25">
      <c r="A76" s="252">
        <v>72</v>
      </c>
      <c r="B76" s="253">
        <f t="shared" si="14"/>
        <v>47710</v>
      </c>
      <c r="C76" s="252">
        <f>ROUND(IF(Input!$B$15="Yes",'Unique Tenure'!C76,'180M'!C76),0)</f>
        <v>18940500</v>
      </c>
      <c r="D76" s="252">
        <f t="shared" si="15"/>
        <v>0.7</v>
      </c>
      <c r="E76" s="252">
        <f t="shared" si="9"/>
        <v>13258350</v>
      </c>
      <c r="F76" s="249">
        <f t="shared" si="16"/>
        <v>31</v>
      </c>
      <c r="G76" s="258">
        <f t="shared" si="17"/>
        <v>0.15</v>
      </c>
      <c r="H76" s="252">
        <f t="shared" si="10"/>
        <v>0</v>
      </c>
      <c r="I76" s="252">
        <f t="shared" si="11"/>
        <v>0</v>
      </c>
      <c r="J76" s="254">
        <f>IF($A76&lt;=Input!$C$6,0,IF(E76&lt;H76,E76-I76,H76))</f>
        <v>0</v>
      </c>
      <c r="K76" s="256">
        <f t="shared" si="12"/>
        <v>0</v>
      </c>
      <c r="L76" s="256">
        <f t="shared" si="13"/>
        <v>0</v>
      </c>
      <c r="M76" s="249"/>
    </row>
    <row r="77" spans="1:13" x14ac:dyDescent="0.25">
      <c r="A77" s="252">
        <v>73</v>
      </c>
      <c r="B77" s="253">
        <f t="shared" si="14"/>
        <v>47741</v>
      </c>
      <c r="C77" s="252">
        <f>ROUND(IF(Input!$B$15="Yes",'Unique Tenure'!C77,'180M'!C77),0)</f>
        <v>21781575</v>
      </c>
      <c r="D77" s="252">
        <f t="shared" si="15"/>
        <v>0.7</v>
      </c>
      <c r="E77" s="252">
        <f t="shared" si="9"/>
        <v>15247102.499999998</v>
      </c>
      <c r="F77" s="249">
        <f t="shared" si="16"/>
        <v>31</v>
      </c>
      <c r="G77" s="258">
        <f t="shared" si="17"/>
        <v>0.15</v>
      </c>
      <c r="H77" s="252">
        <f t="shared" si="10"/>
        <v>0</v>
      </c>
      <c r="I77" s="252">
        <f t="shared" si="11"/>
        <v>0</v>
      </c>
      <c r="J77" s="254">
        <f>IF($A77&lt;=Input!$C$6,0,IF(E77&lt;H77,E77-I77,H77))</f>
        <v>0</v>
      </c>
      <c r="K77" s="256">
        <f t="shared" si="12"/>
        <v>0</v>
      </c>
      <c r="L77" s="256">
        <f t="shared" si="13"/>
        <v>0</v>
      </c>
      <c r="M77" s="249"/>
    </row>
    <row r="78" spans="1:13" x14ac:dyDescent="0.25">
      <c r="A78" s="252">
        <v>74</v>
      </c>
      <c r="B78" s="253">
        <f t="shared" si="14"/>
        <v>47771</v>
      </c>
      <c r="C78" s="252">
        <f>ROUND(IF(Input!$B$15="Yes",'Unique Tenure'!C78,'180M'!C78),0)</f>
        <v>21781575</v>
      </c>
      <c r="D78" s="252">
        <f t="shared" si="15"/>
        <v>0.7</v>
      </c>
      <c r="E78" s="252">
        <f t="shared" si="9"/>
        <v>15247102.499999998</v>
      </c>
      <c r="F78" s="249">
        <f t="shared" si="16"/>
        <v>30</v>
      </c>
      <c r="G78" s="258">
        <f t="shared" si="17"/>
        <v>0.15</v>
      </c>
      <c r="H78" s="252">
        <f t="shared" si="10"/>
        <v>0</v>
      </c>
      <c r="I78" s="252">
        <f t="shared" si="11"/>
        <v>0</v>
      </c>
      <c r="J78" s="254">
        <f>IF($A78&lt;=Input!$C$6,0,IF(E78&lt;H78,E78-I78,H78))</f>
        <v>0</v>
      </c>
      <c r="K78" s="256">
        <f t="shared" si="12"/>
        <v>0</v>
      </c>
      <c r="L78" s="256">
        <f t="shared" si="13"/>
        <v>0</v>
      </c>
      <c r="M78" s="249"/>
    </row>
    <row r="79" spans="1:13" x14ac:dyDescent="0.25">
      <c r="A79" s="252">
        <v>75</v>
      </c>
      <c r="B79" s="253">
        <f t="shared" si="14"/>
        <v>47802</v>
      </c>
      <c r="C79" s="252">
        <f>ROUND(IF(Input!$B$15="Yes",'Unique Tenure'!C79,'180M'!C79),0)</f>
        <v>21781575</v>
      </c>
      <c r="D79" s="252">
        <f t="shared" si="15"/>
        <v>0.7</v>
      </c>
      <c r="E79" s="252">
        <f t="shared" si="9"/>
        <v>15247102.499999998</v>
      </c>
      <c r="F79" s="249">
        <f t="shared" si="16"/>
        <v>31</v>
      </c>
      <c r="G79" s="258">
        <f t="shared" si="17"/>
        <v>0.15</v>
      </c>
      <c r="H79" s="252">
        <f t="shared" si="10"/>
        <v>0</v>
      </c>
      <c r="I79" s="252">
        <f t="shared" si="11"/>
        <v>0</v>
      </c>
      <c r="J79" s="254">
        <f>IF($A79&lt;=Input!$C$6,0,IF(E79&lt;H79,E79-I79,H79))</f>
        <v>0</v>
      </c>
      <c r="K79" s="256">
        <f t="shared" si="12"/>
        <v>0</v>
      </c>
      <c r="L79" s="256">
        <f t="shared" si="13"/>
        <v>0</v>
      </c>
      <c r="M79" s="249"/>
    </row>
    <row r="80" spans="1:13" x14ac:dyDescent="0.25">
      <c r="A80" s="252">
        <v>76</v>
      </c>
      <c r="B80" s="253">
        <f t="shared" si="14"/>
        <v>47832</v>
      </c>
      <c r="C80" s="252">
        <f>ROUND(IF(Input!$B$15="Yes",'Unique Tenure'!C80,'180M'!C80),0)</f>
        <v>21781575</v>
      </c>
      <c r="D80" s="252">
        <f t="shared" si="15"/>
        <v>0.7</v>
      </c>
      <c r="E80" s="252">
        <f t="shared" si="9"/>
        <v>15247102.499999998</v>
      </c>
      <c r="F80" s="249">
        <f t="shared" si="16"/>
        <v>30</v>
      </c>
      <c r="G80" s="258">
        <f t="shared" si="17"/>
        <v>0.15</v>
      </c>
      <c r="H80" s="252">
        <f t="shared" si="10"/>
        <v>0</v>
      </c>
      <c r="I80" s="252">
        <f t="shared" si="11"/>
        <v>0</v>
      </c>
      <c r="J80" s="254">
        <f>IF($A80&lt;=Input!$C$6,0,IF(E80&lt;H80,E80-I80,H80))</f>
        <v>0</v>
      </c>
      <c r="K80" s="256">
        <f t="shared" si="12"/>
        <v>0</v>
      </c>
      <c r="L80" s="256">
        <f t="shared" si="13"/>
        <v>0</v>
      </c>
      <c r="M80" s="249"/>
    </row>
    <row r="81" spans="1:13" x14ac:dyDescent="0.25">
      <c r="A81" s="252">
        <v>77</v>
      </c>
      <c r="B81" s="253">
        <f t="shared" si="14"/>
        <v>47863</v>
      </c>
      <c r="C81" s="252">
        <f>ROUND(IF(Input!$B$15="Yes",'Unique Tenure'!C81,'180M'!C81),0)</f>
        <v>21781575</v>
      </c>
      <c r="D81" s="252">
        <f t="shared" si="15"/>
        <v>0.7</v>
      </c>
      <c r="E81" s="252">
        <f t="shared" si="9"/>
        <v>15247102.499999998</v>
      </c>
      <c r="F81" s="249">
        <f t="shared" si="16"/>
        <v>31</v>
      </c>
      <c r="G81" s="258">
        <f t="shared" si="17"/>
        <v>0.15</v>
      </c>
      <c r="H81" s="252">
        <f t="shared" si="10"/>
        <v>0</v>
      </c>
      <c r="I81" s="252">
        <f t="shared" si="11"/>
        <v>0</v>
      </c>
      <c r="J81" s="254">
        <f>IF($A81&lt;=Input!$C$6,0,IF(E81&lt;H81,E81-I81,H81))</f>
        <v>0</v>
      </c>
      <c r="K81" s="256">
        <f t="shared" si="12"/>
        <v>0</v>
      </c>
      <c r="L81" s="256">
        <f t="shared" si="13"/>
        <v>0</v>
      </c>
      <c r="M81" s="249"/>
    </row>
    <row r="82" spans="1:13" x14ac:dyDescent="0.25">
      <c r="A82" s="252">
        <v>78</v>
      </c>
      <c r="B82" s="253">
        <f t="shared" si="14"/>
        <v>47894</v>
      </c>
      <c r="C82" s="252">
        <f>ROUND(IF(Input!$B$15="Yes",'Unique Tenure'!C82,'180M'!C82),0)</f>
        <v>21781575</v>
      </c>
      <c r="D82" s="252">
        <f t="shared" si="15"/>
        <v>0.7</v>
      </c>
      <c r="E82" s="252">
        <f t="shared" si="9"/>
        <v>15247102.499999998</v>
      </c>
      <c r="F82" s="249">
        <f t="shared" si="16"/>
        <v>31</v>
      </c>
      <c r="G82" s="258">
        <f t="shared" si="17"/>
        <v>0.15</v>
      </c>
      <c r="H82" s="252">
        <f t="shared" si="10"/>
        <v>0</v>
      </c>
      <c r="I82" s="252">
        <f t="shared" si="11"/>
        <v>0</v>
      </c>
      <c r="J82" s="254">
        <f>IF($A82&lt;=Input!$C$6,0,IF(E82&lt;H82,E82-I82,H82))</f>
        <v>0</v>
      </c>
      <c r="K82" s="256">
        <f t="shared" si="12"/>
        <v>0</v>
      </c>
      <c r="L82" s="256">
        <f t="shared" si="13"/>
        <v>0</v>
      </c>
      <c r="M82" s="249"/>
    </row>
    <row r="83" spans="1:13" x14ac:dyDescent="0.25">
      <c r="A83" s="252">
        <v>79</v>
      </c>
      <c r="B83" s="253">
        <f t="shared" si="14"/>
        <v>47922</v>
      </c>
      <c r="C83" s="252">
        <f>ROUND(IF(Input!$B$15="Yes",'Unique Tenure'!C83,'180M'!C83),0)</f>
        <v>21781575</v>
      </c>
      <c r="D83" s="252">
        <f t="shared" si="15"/>
        <v>0.7</v>
      </c>
      <c r="E83" s="252">
        <f t="shared" si="9"/>
        <v>15247102.499999998</v>
      </c>
      <c r="F83" s="249">
        <f t="shared" si="16"/>
        <v>28</v>
      </c>
      <c r="G83" s="258">
        <f t="shared" si="17"/>
        <v>0.15</v>
      </c>
      <c r="H83" s="252">
        <f t="shared" si="10"/>
        <v>0</v>
      </c>
      <c r="I83" s="252">
        <f t="shared" si="11"/>
        <v>0</v>
      </c>
      <c r="J83" s="254">
        <f>IF($A83&lt;=Input!$C$6,0,IF(E83&lt;H83,E83-I83,H83))</f>
        <v>0</v>
      </c>
      <c r="K83" s="256">
        <f t="shared" si="12"/>
        <v>0</v>
      </c>
      <c r="L83" s="256">
        <f t="shared" si="13"/>
        <v>0</v>
      </c>
      <c r="M83" s="249"/>
    </row>
    <row r="84" spans="1:13" x14ac:dyDescent="0.25">
      <c r="A84" s="252">
        <v>80</v>
      </c>
      <c r="B84" s="253">
        <f t="shared" si="14"/>
        <v>47953</v>
      </c>
      <c r="C84" s="252">
        <f>ROUND(IF(Input!$B$15="Yes",'Unique Tenure'!C84,'180M'!C84),0)</f>
        <v>21781575</v>
      </c>
      <c r="D84" s="252">
        <f t="shared" si="15"/>
        <v>0.7</v>
      </c>
      <c r="E84" s="252">
        <f t="shared" si="9"/>
        <v>15247102.499999998</v>
      </c>
      <c r="F84" s="249">
        <f t="shared" si="16"/>
        <v>31</v>
      </c>
      <c r="G84" s="258">
        <f t="shared" si="17"/>
        <v>0.15</v>
      </c>
      <c r="H84" s="252">
        <f t="shared" si="10"/>
        <v>0</v>
      </c>
      <c r="I84" s="252">
        <f t="shared" si="11"/>
        <v>0</v>
      </c>
      <c r="J84" s="254">
        <f>IF($A84&lt;=Input!$C$6,0,IF(E84&lt;H84,E84-I84,H84))</f>
        <v>0</v>
      </c>
      <c r="K84" s="256">
        <f t="shared" si="12"/>
        <v>0</v>
      </c>
      <c r="L84" s="256">
        <f t="shared" si="13"/>
        <v>0</v>
      </c>
      <c r="M84" s="249"/>
    </row>
    <row r="85" spans="1:13" x14ac:dyDescent="0.25">
      <c r="A85" s="252">
        <v>81</v>
      </c>
      <c r="B85" s="253">
        <f t="shared" si="14"/>
        <v>47983</v>
      </c>
      <c r="C85" s="252">
        <f>ROUND(IF(Input!$B$15="Yes",'Unique Tenure'!C85,'180M'!C85),0)</f>
        <v>21781575</v>
      </c>
      <c r="D85" s="252">
        <f t="shared" si="15"/>
        <v>0.7</v>
      </c>
      <c r="E85" s="252">
        <f t="shared" si="9"/>
        <v>15247102.499999998</v>
      </c>
      <c r="F85" s="249">
        <f t="shared" si="16"/>
        <v>30</v>
      </c>
      <c r="G85" s="258">
        <f t="shared" si="17"/>
        <v>0.15</v>
      </c>
      <c r="H85" s="252">
        <f t="shared" si="10"/>
        <v>0</v>
      </c>
      <c r="I85" s="252">
        <f t="shared" si="11"/>
        <v>0</v>
      </c>
      <c r="J85" s="254">
        <f>IF($A85&lt;=Input!$C$6,0,IF(E85&lt;H85,E85-I85,H85))</f>
        <v>0</v>
      </c>
      <c r="K85" s="256">
        <f t="shared" si="12"/>
        <v>0</v>
      </c>
      <c r="L85" s="256">
        <f t="shared" si="13"/>
        <v>0</v>
      </c>
      <c r="M85" s="249"/>
    </row>
    <row r="86" spans="1:13" x14ac:dyDescent="0.25">
      <c r="A86" s="252">
        <v>82</v>
      </c>
      <c r="B86" s="253">
        <f t="shared" si="14"/>
        <v>48014</v>
      </c>
      <c r="C86" s="252">
        <f>ROUND(IF(Input!$B$15="Yes",'Unique Tenure'!C86,'180M'!C86),0)</f>
        <v>21781575</v>
      </c>
      <c r="D86" s="252">
        <f t="shared" si="15"/>
        <v>0.7</v>
      </c>
      <c r="E86" s="252">
        <f t="shared" si="9"/>
        <v>15247102.499999998</v>
      </c>
      <c r="F86" s="249">
        <f t="shared" si="16"/>
        <v>31</v>
      </c>
      <c r="G86" s="258">
        <f t="shared" si="17"/>
        <v>0.15</v>
      </c>
      <c r="H86" s="252">
        <f t="shared" si="10"/>
        <v>0</v>
      </c>
      <c r="I86" s="252">
        <f t="shared" si="11"/>
        <v>0</v>
      </c>
      <c r="J86" s="254">
        <f>IF($A86&lt;=Input!$C$6,0,IF(E86&lt;H86,E86-I86,H86))</f>
        <v>0</v>
      </c>
      <c r="K86" s="256">
        <f t="shared" si="12"/>
        <v>0</v>
      </c>
      <c r="L86" s="256">
        <f t="shared" si="13"/>
        <v>0</v>
      </c>
      <c r="M86" s="249"/>
    </row>
    <row r="87" spans="1:13" x14ac:dyDescent="0.25">
      <c r="A87" s="252">
        <v>83</v>
      </c>
      <c r="B87" s="253">
        <f t="shared" si="14"/>
        <v>48044</v>
      </c>
      <c r="C87" s="252">
        <f>ROUND(IF(Input!$B$15="Yes",'Unique Tenure'!C87,'180M'!C87),0)</f>
        <v>21781575</v>
      </c>
      <c r="D87" s="252">
        <f t="shared" si="15"/>
        <v>0.7</v>
      </c>
      <c r="E87" s="252">
        <f t="shared" si="9"/>
        <v>15247102.499999998</v>
      </c>
      <c r="F87" s="249">
        <f t="shared" si="16"/>
        <v>30</v>
      </c>
      <c r="G87" s="258">
        <f t="shared" si="17"/>
        <v>0.15</v>
      </c>
      <c r="H87" s="252">
        <f t="shared" si="10"/>
        <v>0</v>
      </c>
      <c r="I87" s="252">
        <f t="shared" si="11"/>
        <v>0</v>
      </c>
      <c r="J87" s="254">
        <f>IF($A87&lt;=Input!$C$6,0,IF(E87&lt;H87,E87-I87,H87))</f>
        <v>0</v>
      </c>
      <c r="K87" s="256">
        <f t="shared" si="12"/>
        <v>0</v>
      </c>
      <c r="L87" s="256">
        <f t="shared" si="13"/>
        <v>0</v>
      </c>
      <c r="M87" s="249"/>
    </row>
    <row r="88" spans="1:13" x14ac:dyDescent="0.25">
      <c r="A88" s="252">
        <v>84</v>
      </c>
      <c r="B88" s="253">
        <f t="shared" si="14"/>
        <v>48075</v>
      </c>
      <c r="C88" s="252">
        <f>ROUND(IF(Input!$B$15="Yes",'Unique Tenure'!C88,'180M'!C88),0)</f>
        <v>21781575</v>
      </c>
      <c r="D88" s="252">
        <f t="shared" si="15"/>
        <v>0.7</v>
      </c>
      <c r="E88" s="252">
        <f t="shared" si="9"/>
        <v>15247102.499999998</v>
      </c>
      <c r="F88" s="249">
        <f t="shared" si="16"/>
        <v>31</v>
      </c>
      <c r="G88" s="258">
        <f t="shared" si="17"/>
        <v>0.15</v>
      </c>
      <c r="H88" s="252">
        <f t="shared" si="10"/>
        <v>0</v>
      </c>
      <c r="I88" s="252">
        <f t="shared" si="11"/>
        <v>0</v>
      </c>
      <c r="J88" s="254">
        <f>IF($A88&lt;=Input!$C$6,0,IF(E88&lt;H88,E88-I88,H88))</f>
        <v>0</v>
      </c>
      <c r="K88" s="256">
        <f t="shared" si="12"/>
        <v>0</v>
      </c>
      <c r="L88" s="256">
        <f t="shared" si="13"/>
        <v>0</v>
      </c>
      <c r="M88" s="249"/>
    </row>
    <row r="89" spans="1:13" x14ac:dyDescent="0.25">
      <c r="A89" s="252">
        <v>85</v>
      </c>
      <c r="B89" s="253">
        <f t="shared" si="14"/>
        <v>48106</v>
      </c>
      <c r="C89" s="252">
        <f>ROUND(IF(Input!$B$15="Yes",'Unique Tenure'!C89,'180M'!C89),0)</f>
        <v>21781575</v>
      </c>
      <c r="D89" s="252">
        <f t="shared" si="15"/>
        <v>0.7</v>
      </c>
      <c r="E89" s="252">
        <f t="shared" si="9"/>
        <v>15247102.499999998</v>
      </c>
      <c r="F89" s="249">
        <f t="shared" si="16"/>
        <v>31</v>
      </c>
      <c r="G89" s="258">
        <f t="shared" si="17"/>
        <v>0.15</v>
      </c>
      <c r="H89" s="252">
        <f t="shared" si="10"/>
        <v>0</v>
      </c>
      <c r="I89" s="252">
        <f t="shared" si="11"/>
        <v>0</v>
      </c>
      <c r="J89" s="254">
        <f>IF($A89&lt;=Input!$C$6,0,IF(E89&lt;H89,E89-I89,H89))</f>
        <v>0</v>
      </c>
      <c r="K89" s="256">
        <f t="shared" si="12"/>
        <v>0</v>
      </c>
      <c r="L89" s="256">
        <f t="shared" si="13"/>
        <v>0</v>
      </c>
      <c r="M89" s="249"/>
    </row>
    <row r="90" spans="1:13" x14ac:dyDescent="0.25">
      <c r="A90" s="252">
        <v>86</v>
      </c>
      <c r="B90" s="253">
        <f t="shared" si="14"/>
        <v>48136</v>
      </c>
      <c r="C90" s="252">
        <f>ROUND(IF(Input!$B$15="Yes",'Unique Tenure'!C90,'180M'!C90),0)</f>
        <v>21781575</v>
      </c>
      <c r="D90" s="252">
        <f t="shared" si="15"/>
        <v>0.7</v>
      </c>
      <c r="E90" s="252">
        <f t="shared" si="9"/>
        <v>15247102.499999998</v>
      </c>
      <c r="F90" s="249">
        <f t="shared" si="16"/>
        <v>30</v>
      </c>
      <c r="G90" s="258">
        <f t="shared" si="17"/>
        <v>0.15</v>
      </c>
      <c r="H90" s="252">
        <f t="shared" si="10"/>
        <v>0</v>
      </c>
      <c r="I90" s="252">
        <f t="shared" si="11"/>
        <v>0</v>
      </c>
      <c r="J90" s="254">
        <f>IF($A90&lt;=Input!$C$6,0,IF(E90&lt;H90,E90-I90,H90))</f>
        <v>0</v>
      </c>
      <c r="K90" s="256">
        <f t="shared" si="12"/>
        <v>0</v>
      </c>
      <c r="L90" s="256">
        <f t="shared" si="13"/>
        <v>0</v>
      </c>
      <c r="M90" s="249"/>
    </row>
    <row r="91" spans="1:13" x14ac:dyDescent="0.25">
      <c r="A91" s="252">
        <v>87</v>
      </c>
      <c r="B91" s="253">
        <f t="shared" si="14"/>
        <v>48167</v>
      </c>
      <c r="C91" s="252">
        <f>ROUND(IF(Input!$B$15="Yes",'Unique Tenure'!C91,'180M'!C91),0)</f>
        <v>21781575</v>
      </c>
      <c r="D91" s="252">
        <f t="shared" si="15"/>
        <v>0.7</v>
      </c>
      <c r="E91" s="252">
        <f t="shared" si="9"/>
        <v>15247102.499999998</v>
      </c>
      <c r="F91" s="249">
        <f t="shared" si="16"/>
        <v>31</v>
      </c>
      <c r="G91" s="258">
        <f t="shared" si="17"/>
        <v>0.15</v>
      </c>
      <c r="H91" s="252">
        <f t="shared" si="10"/>
        <v>0</v>
      </c>
      <c r="I91" s="252">
        <f t="shared" si="11"/>
        <v>0</v>
      </c>
      <c r="J91" s="254">
        <f>IF($A91&lt;=Input!$C$6,0,IF(E91&lt;H91,E91-I91,H91))</f>
        <v>0</v>
      </c>
      <c r="K91" s="256">
        <f t="shared" si="12"/>
        <v>0</v>
      </c>
      <c r="L91" s="256">
        <f t="shared" si="13"/>
        <v>0</v>
      </c>
      <c r="M91" s="249"/>
    </row>
    <row r="92" spans="1:13" x14ac:dyDescent="0.25">
      <c r="A92" s="252">
        <v>88</v>
      </c>
      <c r="B92" s="253">
        <f t="shared" si="14"/>
        <v>48197</v>
      </c>
      <c r="C92" s="252">
        <f>ROUND(IF(Input!$B$15="Yes",'Unique Tenure'!C92,'180M'!C92),0)</f>
        <v>21781575</v>
      </c>
      <c r="D92" s="252">
        <f t="shared" si="15"/>
        <v>0.7</v>
      </c>
      <c r="E92" s="252">
        <f t="shared" si="9"/>
        <v>15247102.499999998</v>
      </c>
      <c r="F92" s="249">
        <f t="shared" si="16"/>
        <v>30</v>
      </c>
      <c r="G92" s="258">
        <f t="shared" si="17"/>
        <v>0.15</v>
      </c>
      <c r="H92" s="252">
        <f t="shared" si="10"/>
        <v>0</v>
      </c>
      <c r="I92" s="252">
        <f t="shared" si="11"/>
        <v>0</v>
      </c>
      <c r="J92" s="254">
        <f>IF($A92&lt;=Input!$C$6,0,IF(E92&lt;H92,E92-I92,H92))</f>
        <v>0</v>
      </c>
      <c r="K92" s="256">
        <f t="shared" si="12"/>
        <v>0</v>
      </c>
      <c r="L92" s="256">
        <f t="shared" si="13"/>
        <v>0</v>
      </c>
      <c r="M92" s="249"/>
    </row>
    <row r="93" spans="1:13" x14ac:dyDescent="0.25">
      <c r="A93" s="252">
        <v>89</v>
      </c>
      <c r="B93" s="253">
        <f t="shared" si="14"/>
        <v>48228</v>
      </c>
      <c r="C93" s="252">
        <f>ROUND(IF(Input!$B$15="Yes",'Unique Tenure'!C93,'180M'!C93),0)</f>
        <v>21781575</v>
      </c>
      <c r="D93" s="252">
        <f t="shared" si="15"/>
        <v>0.7</v>
      </c>
      <c r="E93" s="252">
        <f t="shared" si="9"/>
        <v>15247102.499999998</v>
      </c>
      <c r="F93" s="249">
        <f t="shared" si="16"/>
        <v>31</v>
      </c>
      <c r="G93" s="258">
        <f t="shared" si="17"/>
        <v>0.15</v>
      </c>
      <c r="H93" s="252">
        <f t="shared" si="10"/>
        <v>0</v>
      </c>
      <c r="I93" s="252">
        <f t="shared" si="11"/>
        <v>0</v>
      </c>
      <c r="J93" s="254">
        <f>IF($A93&lt;=Input!$C$6,0,IF(E93&lt;H93,E93-I93,H93))</f>
        <v>0</v>
      </c>
      <c r="K93" s="256">
        <f t="shared" si="12"/>
        <v>0</v>
      </c>
      <c r="L93" s="256">
        <f t="shared" si="13"/>
        <v>0</v>
      </c>
      <c r="M93" s="249"/>
    </row>
    <row r="94" spans="1:13" x14ac:dyDescent="0.25">
      <c r="A94" s="252">
        <v>90</v>
      </c>
      <c r="B94" s="253">
        <f t="shared" si="14"/>
        <v>48259</v>
      </c>
      <c r="C94" s="252">
        <f>ROUND(IF(Input!$B$15="Yes",'Unique Tenure'!C94,'180M'!C94),0)</f>
        <v>21781575</v>
      </c>
      <c r="D94" s="252">
        <f t="shared" si="15"/>
        <v>0.7</v>
      </c>
      <c r="E94" s="252">
        <f t="shared" si="9"/>
        <v>15247102.499999998</v>
      </c>
      <c r="F94" s="249">
        <f t="shared" si="16"/>
        <v>31</v>
      </c>
      <c r="G94" s="258">
        <f t="shared" si="17"/>
        <v>0.15</v>
      </c>
      <c r="H94" s="252">
        <f t="shared" si="10"/>
        <v>0</v>
      </c>
      <c r="I94" s="252">
        <f t="shared" si="11"/>
        <v>0</v>
      </c>
      <c r="J94" s="254">
        <f>IF($A94&lt;=Input!$C$6,0,IF(E94&lt;H94,E94-I94,H94))</f>
        <v>0</v>
      </c>
      <c r="K94" s="256">
        <f t="shared" si="12"/>
        <v>0</v>
      </c>
      <c r="L94" s="256">
        <f t="shared" si="13"/>
        <v>0</v>
      </c>
      <c r="M94" s="249"/>
    </row>
    <row r="95" spans="1:13" x14ac:dyDescent="0.25">
      <c r="A95" s="252">
        <v>91</v>
      </c>
      <c r="B95" s="253">
        <f t="shared" si="14"/>
        <v>48288</v>
      </c>
      <c r="C95" s="252">
        <f>ROUND(IF(Input!$B$15="Yes",'Unique Tenure'!C95,'180M'!C95),0)</f>
        <v>21781575</v>
      </c>
      <c r="D95" s="252">
        <f t="shared" si="15"/>
        <v>0.7</v>
      </c>
      <c r="E95" s="252">
        <f t="shared" si="9"/>
        <v>15247102.499999998</v>
      </c>
      <c r="F95" s="249">
        <f t="shared" si="16"/>
        <v>29</v>
      </c>
      <c r="G95" s="258">
        <f t="shared" si="17"/>
        <v>0.15</v>
      </c>
      <c r="H95" s="252">
        <f t="shared" si="10"/>
        <v>0</v>
      </c>
      <c r="I95" s="252">
        <f t="shared" si="11"/>
        <v>0</v>
      </c>
      <c r="J95" s="254">
        <f>IF($A95&lt;=Input!$C$6,0,IF(E95&lt;H95,E95-I95,H95))</f>
        <v>0</v>
      </c>
      <c r="K95" s="256">
        <f t="shared" si="12"/>
        <v>0</v>
      </c>
      <c r="L95" s="256">
        <f t="shared" si="13"/>
        <v>0</v>
      </c>
      <c r="M95" s="249"/>
    </row>
    <row r="96" spans="1:13" x14ac:dyDescent="0.25">
      <c r="A96" s="252">
        <v>92</v>
      </c>
      <c r="B96" s="253">
        <f t="shared" si="14"/>
        <v>48319</v>
      </c>
      <c r="C96" s="252">
        <f>ROUND(IF(Input!$B$15="Yes",'Unique Tenure'!C96,'180M'!C96),0)</f>
        <v>21781575</v>
      </c>
      <c r="D96" s="252">
        <f t="shared" si="15"/>
        <v>0.7</v>
      </c>
      <c r="E96" s="252">
        <f t="shared" si="9"/>
        <v>15247102.499999998</v>
      </c>
      <c r="F96" s="249">
        <f t="shared" si="16"/>
        <v>31</v>
      </c>
      <c r="G96" s="258">
        <f t="shared" si="17"/>
        <v>0.15</v>
      </c>
      <c r="H96" s="252">
        <f t="shared" si="10"/>
        <v>0</v>
      </c>
      <c r="I96" s="252">
        <f t="shared" si="11"/>
        <v>0</v>
      </c>
      <c r="J96" s="254">
        <f>IF($A96&lt;=Input!$C$6,0,IF(E96&lt;H96,E96-I96,H96))</f>
        <v>0</v>
      </c>
      <c r="K96" s="256">
        <f t="shared" si="12"/>
        <v>0</v>
      </c>
      <c r="L96" s="256">
        <f t="shared" si="13"/>
        <v>0</v>
      </c>
      <c r="M96" s="249"/>
    </row>
    <row r="97" spans="1:13" x14ac:dyDescent="0.25">
      <c r="A97" s="252">
        <v>93</v>
      </c>
      <c r="B97" s="253">
        <f t="shared" si="14"/>
        <v>48349</v>
      </c>
      <c r="C97" s="252">
        <f>ROUND(IF(Input!$B$15="Yes",'Unique Tenure'!C97,'180M'!C97),0)</f>
        <v>21781575</v>
      </c>
      <c r="D97" s="252">
        <f t="shared" si="15"/>
        <v>0.7</v>
      </c>
      <c r="E97" s="252">
        <f t="shared" si="9"/>
        <v>15247102.499999998</v>
      </c>
      <c r="F97" s="249">
        <f t="shared" si="16"/>
        <v>30</v>
      </c>
      <c r="G97" s="258">
        <f t="shared" si="17"/>
        <v>0.15</v>
      </c>
      <c r="H97" s="252">
        <f t="shared" si="10"/>
        <v>0</v>
      </c>
      <c r="I97" s="252">
        <f t="shared" si="11"/>
        <v>0</v>
      </c>
      <c r="J97" s="254">
        <f>IF($A97&lt;=Input!$C$6,0,IF(E97&lt;H97,E97-I97,H97))</f>
        <v>0</v>
      </c>
      <c r="K97" s="256">
        <f t="shared" si="12"/>
        <v>0</v>
      </c>
      <c r="L97" s="256">
        <f t="shared" si="13"/>
        <v>0</v>
      </c>
      <c r="M97" s="249"/>
    </row>
    <row r="98" spans="1:13" x14ac:dyDescent="0.25">
      <c r="A98" s="252">
        <v>94</v>
      </c>
      <c r="B98" s="253">
        <f t="shared" si="14"/>
        <v>48380</v>
      </c>
      <c r="C98" s="252">
        <f>ROUND(IF(Input!$B$15="Yes",'Unique Tenure'!C98,'180M'!C98),0)</f>
        <v>21781575</v>
      </c>
      <c r="D98" s="252">
        <f t="shared" si="15"/>
        <v>0.7</v>
      </c>
      <c r="E98" s="252">
        <f t="shared" si="9"/>
        <v>15247102.499999998</v>
      </c>
      <c r="F98" s="249">
        <f t="shared" si="16"/>
        <v>31</v>
      </c>
      <c r="G98" s="258">
        <f t="shared" si="17"/>
        <v>0.15</v>
      </c>
      <c r="H98" s="252">
        <f t="shared" si="10"/>
        <v>0</v>
      </c>
      <c r="I98" s="252">
        <f t="shared" si="11"/>
        <v>0</v>
      </c>
      <c r="J98" s="254">
        <f>IF($A98&lt;=Input!$C$6,0,IF(E98&lt;H98,E98-I98,H98))</f>
        <v>0</v>
      </c>
      <c r="K98" s="256">
        <f t="shared" si="12"/>
        <v>0</v>
      </c>
      <c r="L98" s="256">
        <f t="shared" si="13"/>
        <v>0</v>
      </c>
      <c r="M98" s="249"/>
    </row>
    <row r="99" spans="1:13" x14ac:dyDescent="0.25">
      <c r="A99" s="252">
        <v>95</v>
      </c>
      <c r="B99" s="253">
        <f t="shared" si="14"/>
        <v>48410</v>
      </c>
      <c r="C99" s="252">
        <f>ROUND(IF(Input!$B$15="Yes",'Unique Tenure'!C99,'180M'!C99),0)</f>
        <v>21781575</v>
      </c>
      <c r="D99" s="252">
        <f t="shared" si="15"/>
        <v>0.7</v>
      </c>
      <c r="E99" s="252">
        <f t="shared" si="9"/>
        <v>15247102.499999998</v>
      </c>
      <c r="F99" s="249">
        <f t="shared" si="16"/>
        <v>30</v>
      </c>
      <c r="G99" s="258">
        <f t="shared" si="17"/>
        <v>0.15</v>
      </c>
      <c r="H99" s="252">
        <f t="shared" si="10"/>
        <v>0</v>
      </c>
      <c r="I99" s="252">
        <f t="shared" si="11"/>
        <v>0</v>
      </c>
      <c r="J99" s="254">
        <f>IF($A99&lt;=Input!$C$6,0,IF(E99&lt;H99,E99-I99,H99))</f>
        <v>0</v>
      </c>
      <c r="K99" s="256">
        <f t="shared" si="12"/>
        <v>0</v>
      </c>
      <c r="L99" s="256">
        <f t="shared" si="13"/>
        <v>0</v>
      </c>
      <c r="M99" s="249"/>
    </row>
    <row r="100" spans="1:13" x14ac:dyDescent="0.25">
      <c r="A100" s="252">
        <v>96</v>
      </c>
      <c r="B100" s="253">
        <f t="shared" si="14"/>
        <v>48441</v>
      </c>
      <c r="C100" s="252">
        <f>ROUND(IF(Input!$B$15="Yes",'Unique Tenure'!C100,'180M'!C100),0)</f>
        <v>21781575</v>
      </c>
      <c r="D100" s="252">
        <f t="shared" si="15"/>
        <v>0.7</v>
      </c>
      <c r="E100" s="252">
        <f t="shared" si="9"/>
        <v>15247102.499999998</v>
      </c>
      <c r="F100" s="249">
        <f t="shared" si="16"/>
        <v>31</v>
      </c>
      <c r="G100" s="258">
        <f t="shared" si="17"/>
        <v>0.15</v>
      </c>
      <c r="H100" s="252">
        <f t="shared" si="10"/>
        <v>0</v>
      </c>
      <c r="I100" s="252">
        <f t="shared" si="11"/>
        <v>0</v>
      </c>
      <c r="J100" s="254">
        <f>IF($A100&lt;=Input!$C$6,0,IF(E100&lt;H100,E100-I100,H100))</f>
        <v>0</v>
      </c>
      <c r="K100" s="256">
        <f t="shared" si="12"/>
        <v>0</v>
      </c>
      <c r="L100" s="256">
        <f t="shared" si="13"/>
        <v>0</v>
      </c>
      <c r="M100" s="249"/>
    </row>
    <row r="101" spans="1:13" x14ac:dyDescent="0.25">
      <c r="A101" s="252">
        <v>97</v>
      </c>
      <c r="B101" s="253">
        <f t="shared" si="14"/>
        <v>48472</v>
      </c>
      <c r="C101" s="252">
        <f>ROUND(IF(Input!$B$15="Yes",'Unique Tenure'!C101,'180M'!C101),0)</f>
        <v>21781575</v>
      </c>
      <c r="D101" s="252">
        <f t="shared" si="15"/>
        <v>0.7</v>
      </c>
      <c r="E101" s="252">
        <f t="shared" si="9"/>
        <v>15247102.499999998</v>
      </c>
      <c r="F101" s="249">
        <f t="shared" si="16"/>
        <v>31</v>
      </c>
      <c r="G101" s="258">
        <f t="shared" si="17"/>
        <v>0.15</v>
      </c>
      <c r="H101" s="252">
        <f t="shared" si="10"/>
        <v>0</v>
      </c>
      <c r="I101" s="252">
        <f t="shared" si="11"/>
        <v>0</v>
      </c>
      <c r="J101" s="254">
        <f>IF($A101&lt;=Input!$C$6,0,IF(E101&lt;H101,E101-I101,H101))</f>
        <v>0</v>
      </c>
      <c r="K101" s="256">
        <f t="shared" si="12"/>
        <v>0</v>
      </c>
      <c r="L101" s="256">
        <f t="shared" si="13"/>
        <v>0</v>
      </c>
      <c r="M101" s="249"/>
    </row>
    <row r="102" spans="1:13" x14ac:dyDescent="0.25">
      <c r="A102" s="252">
        <v>98</v>
      </c>
      <c r="B102" s="253">
        <f t="shared" si="14"/>
        <v>48502</v>
      </c>
      <c r="C102" s="252">
        <f>ROUND(IF(Input!$B$15="Yes",'Unique Tenure'!C102,'180M'!C102),0)</f>
        <v>21781575</v>
      </c>
      <c r="D102" s="252">
        <f t="shared" si="15"/>
        <v>0.7</v>
      </c>
      <c r="E102" s="252">
        <f t="shared" si="9"/>
        <v>15247102.499999998</v>
      </c>
      <c r="F102" s="249">
        <f t="shared" si="16"/>
        <v>30</v>
      </c>
      <c r="G102" s="258">
        <f t="shared" si="17"/>
        <v>0.15</v>
      </c>
      <c r="H102" s="252">
        <f t="shared" si="10"/>
        <v>0</v>
      </c>
      <c r="I102" s="252">
        <f t="shared" si="11"/>
        <v>0</v>
      </c>
      <c r="J102" s="254">
        <f>IF($A102&lt;=Input!$C$6,0,IF(E102&lt;H102,E102-I102,H102))</f>
        <v>0</v>
      </c>
      <c r="K102" s="256">
        <f t="shared" si="12"/>
        <v>0</v>
      </c>
      <c r="L102" s="256">
        <f t="shared" si="13"/>
        <v>0</v>
      </c>
      <c r="M102" s="249"/>
    </row>
    <row r="103" spans="1:13" x14ac:dyDescent="0.25">
      <c r="A103" s="252">
        <v>99</v>
      </c>
      <c r="B103" s="253">
        <f t="shared" si="14"/>
        <v>48533</v>
      </c>
      <c r="C103" s="252">
        <f>ROUND(IF(Input!$B$15="Yes",'Unique Tenure'!C103,'180M'!C103),0)</f>
        <v>21781575</v>
      </c>
      <c r="D103" s="252">
        <f t="shared" si="15"/>
        <v>0.7</v>
      </c>
      <c r="E103" s="252">
        <f t="shared" si="9"/>
        <v>15247102.499999998</v>
      </c>
      <c r="F103" s="249">
        <f t="shared" si="16"/>
        <v>31</v>
      </c>
      <c r="G103" s="258">
        <f t="shared" si="17"/>
        <v>0.15</v>
      </c>
      <c r="H103" s="252">
        <f t="shared" si="10"/>
        <v>0</v>
      </c>
      <c r="I103" s="252">
        <f t="shared" si="11"/>
        <v>0</v>
      </c>
      <c r="J103" s="254">
        <f>IF($A103&lt;=Input!$C$6,0,IF(E103&lt;H103,E103-I103,H103))</f>
        <v>0</v>
      </c>
      <c r="K103" s="256">
        <f t="shared" si="12"/>
        <v>0</v>
      </c>
      <c r="L103" s="256">
        <f t="shared" si="13"/>
        <v>0</v>
      </c>
      <c r="M103" s="249"/>
    </row>
    <row r="104" spans="1:13" x14ac:dyDescent="0.25">
      <c r="A104" s="252">
        <v>100</v>
      </c>
      <c r="B104" s="253">
        <f t="shared" si="14"/>
        <v>48563</v>
      </c>
      <c r="C104" s="252">
        <f>ROUND(IF(Input!$B$15="Yes",'Unique Tenure'!C104,'180M'!C104),0)</f>
        <v>21781575</v>
      </c>
      <c r="D104" s="252">
        <f t="shared" si="15"/>
        <v>0.7</v>
      </c>
      <c r="E104" s="252">
        <f t="shared" si="9"/>
        <v>15247102.499999998</v>
      </c>
      <c r="F104" s="249">
        <f t="shared" si="16"/>
        <v>30</v>
      </c>
      <c r="G104" s="258">
        <f t="shared" si="17"/>
        <v>0.15</v>
      </c>
      <c r="H104" s="252">
        <f t="shared" si="10"/>
        <v>0</v>
      </c>
      <c r="I104" s="252">
        <f t="shared" si="11"/>
        <v>0</v>
      </c>
      <c r="J104" s="254">
        <f>IF($A104&lt;=Input!$C$6,0,IF(E104&lt;H104,E104-I104,H104))</f>
        <v>0</v>
      </c>
      <c r="K104" s="256">
        <f t="shared" si="12"/>
        <v>0</v>
      </c>
      <c r="L104" s="256">
        <f t="shared" si="13"/>
        <v>0</v>
      </c>
      <c r="M104" s="249"/>
    </row>
    <row r="105" spans="1:13" x14ac:dyDescent="0.25">
      <c r="A105" s="252">
        <v>101</v>
      </c>
      <c r="B105" s="253">
        <f t="shared" si="14"/>
        <v>48594</v>
      </c>
      <c r="C105" s="252">
        <f>ROUND(IF(Input!$B$15="Yes",'Unique Tenure'!C105,'180M'!C105),0)</f>
        <v>21781575</v>
      </c>
      <c r="D105" s="252">
        <f t="shared" si="15"/>
        <v>0.7</v>
      </c>
      <c r="E105" s="252">
        <f t="shared" si="9"/>
        <v>15247102.499999998</v>
      </c>
      <c r="F105" s="249">
        <f t="shared" si="16"/>
        <v>31</v>
      </c>
      <c r="G105" s="258">
        <f t="shared" si="17"/>
        <v>0.15</v>
      </c>
      <c r="H105" s="252">
        <f t="shared" si="10"/>
        <v>0</v>
      </c>
      <c r="I105" s="252">
        <f t="shared" si="11"/>
        <v>0</v>
      </c>
      <c r="J105" s="254">
        <f>IF($A105&lt;=Input!$C$6,0,IF(E105&lt;H105,E105-I105,H105))</f>
        <v>0</v>
      </c>
      <c r="K105" s="256">
        <f t="shared" si="12"/>
        <v>0</v>
      </c>
      <c r="L105" s="256">
        <f t="shared" si="13"/>
        <v>0</v>
      </c>
      <c r="M105" s="249"/>
    </row>
    <row r="106" spans="1:13" x14ac:dyDescent="0.25">
      <c r="A106" s="252">
        <v>102</v>
      </c>
      <c r="B106" s="253">
        <f t="shared" si="14"/>
        <v>48625</v>
      </c>
      <c r="C106" s="252">
        <f>ROUND(IF(Input!$B$15="Yes",'Unique Tenure'!C106,'180M'!C106),0)</f>
        <v>21781575</v>
      </c>
      <c r="D106" s="252">
        <f t="shared" si="15"/>
        <v>0.7</v>
      </c>
      <c r="E106" s="252">
        <f t="shared" si="9"/>
        <v>15247102.499999998</v>
      </c>
      <c r="F106" s="249">
        <f t="shared" si="16"/>
        <v>31</v>
      </c>
      <c r="G106" s="258">
        <f t="shared" si="17"/>
        <v>0.15</v>
      </c>
      <c r="H106" s="252">
        <f t="shared" si="10"/>
        <v>0</v>
      </c>
      <c r="I106" s="252">
        <f t="shared" si="11"/>
        <v>0</v>
      </c>
      <c r="J106" s="254">
        <f>IF($A106&lt;=Input!$C$6,0,IF(E106&lt;H106,E106-I106,H106))</f>
        <v>0</v>
      </c>
      <c r="K106" s="256">
        <f t="shared" si="12"/>
        <v>0</v>
      </c>
      <c r="L106" s="256">
        <f t="shared" si="13"/>
        <v>0</v>
      </c>
      <c r="M106" s="249"/>
    </row>
    <row r="107" spans="1:13" x14ac:dyDescent="0.25">
      <c r="A107" s="252">
        <v>103</v>
      </c>
      <c r="B107" s="253">
        <f t="shared" si="14"/>
        <v>48653</v>
      </c>
      <c r="C107" s="252">
        <f>ROUND(IF(Input!$B$15="Yes",'Unique Tenure'!C107,'180M'!C107),0)</f>
        <v>21781575</v>
      </c>
      <c r="D107" s="252">
        <f t="shared" si="15"/>
        <v>0.7</v>
      </c>
      <c r="E107" s="252">
        <f t="shared" si="9"/>
        <v>15247102.499999998</v>
      </c>
      <c r="F107" s="249">
        <f t="shared" si="16"/>
        <v>28</v>
      </c>
      <c r="G107" s="258">
        <f t="shared" si="17"/>
        <v>0.15</v>
      </c>
      <c r="H107" s="252">
        <f t="shared" si="10"/>
        <v>0</v>
      </c>
      <c r="I107" s="252">
        <f t="shared" si="11"/>
        <v>0</v>
      </c>
      <c r="J107" s="254">
        <f>IF($A107&lt;=Input!$C$6,0,IF(E107&lt;H107,E107-I107,H107))</f>
        <v>0</v>
      </c>
      <c r="K107" s="256">
        <f t="shared" si="12"/>
        <v>0</v>
      </c>
      <c r="L107" s="256">
        <f t="shared" si="13"/>
        <v>0</v>
      </c>
      <c r="M107" s="249"/>
    </row>
    <row r="108" spans="1:13" x14ac:dyDescent="0.25">
      <c r="A108" s="252">
        <v>104</v>
      </c>
      <c r="B108" s="253">
        <f t="shared" si="14"/>
        <v>48684</v>
      </c>
      <c r="C108" s="252">
        <f>ROUND(IF(Input!$B$15="Yes",'Unique Tenure'!C108,'180M'!C108),0)</f>
        <v>21781575</v>
      </c>
      <c r="D108" s="252">
        <f t="shared" si="15"/>
        <v>0.7</v>
      </c>
      <c r="E108" s="252">
        <f t="shared" si="9"/>
        <v>15247102.499999998</v>
      </c>
      <c r="F108" s="249">
        <f t="shared" si="16"/>
        <v>31</v>
      </c>
      <c r="G108" s="258">
        <f t="shared" si="17"/>
        <v>0.15</v>
      </c>
      <c r="H108" s="252">
        <f t="shared" si="10"/>
        <v>0</v>
      </c>
      <c r="I108" s="252">
        <f t="shared" si="11"/>
        <v>0</v>
      </c>
      <c r="J108" s="254">
        <f>IF($A108&lt;=Input!$C$6,0,IF(E108&lt;H108,E108-I108,H108))</f>
        <v>0</v>
      </c>
      <c r="K108" s="256">
        <f t="shared" si="12"/>
        <v>0</v>
      </c>
      <c r="L108" s="256">
        <f t="shared" si="13"/>
        <v>0</v>
      </c>
      <c r="M108" s="249"/>
    </row>
    <row r="109" spans="1:13" x14ac:dyDescent="0.25">
      <c r="A109" s="252">
        <v>105</v>
      </c>
      <c r="B109" s="253">
        <f t="shared" si="14"/>
        <v>48714</v>
      </c>
      <c r="C109" s="252">
        <f>ROUND(IF(Input!$B$15="Yes",'Unique Tenure'!C109,'180M'!C109),0)</f>
        <v>21781575</v>
      </c>
      <c r="D109" s="252">
        <f t="shared" si="15"/>
        <v>0.7</v>
      </c>
      <c r="E109" s="252">
        <f t="shared" si="9"/>
        <v>15247102.499999998</v>
      </c>
      <c r="F109" s="249">
        <f t="shared" si="16"/>
        <v>30</v>
      </c>
      <c r="G109" s="258">
        <f t="shared" si="17"/>
        <v>0.15</v>
      </c>
      <c r="H109" s="252">
        <f t="shared" si="10"/>
        <v>0</v>
      </c>
      <c r="I109" s="252">
        <f t="shared" si="11"/>
        <v>0</v>
      </c>
      <c r="J109" s="254">
        <f>IF($A109&lt;=Input!$C$6,0,IF(E109&lt;H109,E109-I109,H109))</f>
        <v>0</v>
      </c>
      <c r="K109" s="256">
        <f t="shared" si="12"/>
        <v>0</v>
      </c>
      <c r="L109" s="256">
        <f t="shared" si="13"/>
        <v>0</v>
      </c>
      <c r="M109" s="249"/>
    </row>
    <row r="110" spans="1:13" x14ac:dyDescent="0.25">
      <c r="A110" s="252">
        <v>106</v>
      </c>
      <c r="B110" s="253">
        <f t="shared" si="14"/>
        <v>48745</v>
      </c>
      <c r="C110" s="252">
        <f>ROUND(IF(Input!$B$15="Yes",'Unique Tenure'!C110,'180M'!C110),0)</f>
        <v>21781575</v>
      </c>
      <c r="D110" s="252">
        <f t="shared" si="15"/>
        <v>0.7</v>
      </c>
      <c r="E110" s="252">
        <f t="shared" si="9"/>
        <v>15247102.499999998</v>
      </c>
      <c r="F110" s="249">
        <f t="shared" si="16"/>
        <v>31</v>
      </c>
      <c r="G110" s="258">
        <f t="shared" si="17"/>
        <v>0.15</v>
      </c>
      <c r="H110" s="252">
        <f t="shared" si="10"/>
        <v>0</v>
      </c>
      <c r="I110" s="252">
        <f t="shared" si="11"/>
        <v>0</v>
      </c>
      <c r="J110" s="254">
        <f>IF($A110&lt;=Input!$C$6,0,IF(E110&lt;H110,E110-I110,H110))</f>
        <v>0</v>
      </c>
      <c r="K110" s="256">
        <f t="shared" si="12"/>
        <v>0</v>
      </c>
      <c r="L110" s="256">
        <f t="shared" si="13"/>
        <v>0</v>
      </c>
      <c r="M110" s="249"/>
    </row>
    <row r="111" spans="1:13" x14ac:dyDescent="0.25">
      <c r="A111" s="252">
        <v>107</v>
      </c>
      <c r="B111" s="253">
        <f t="shared" si="14"/>
        <v>48775</v>
      </c>
      <c r="C111" s="252">
        <f>ROUND(IF(Input!$B$15="Yes",'Unique Tenure'!C111,'180M'!C111),0)</f>
        <v>21781575</v>
      </c>
      <c r="D111" s="252">
        <f t="shared" si="15"/>
        <v>0.7</v>
      </c>
      <c r="E111" s="252">
        <f t="shared" si="9"/>
        <v>15247102.499999998</v>
      </c>
      <c r="F111" s="249">
        <f t="shared" si="16"/>
        <v>30</v>
      </c>
      <c r="G111" s="258">
        <f t="shared" si="17"/>
        <v>0.15</v>
      </c>
      <c r="H111" s="252">
        <f t="shared" si="10"/>
        <v>0</v>
      </c>
      <c r="I111" s="252">
        <f t="shared" si="11"/>
        <v>0</v>
      </c>
      <c r="J111" s="254">
        <f>IF($A111&lt;=Input!$C$6,0,IF(E111&lt;H111,E111-I111,H111))</f>
        <v>0</v>
      </c>
      <c r="K111" s="256">
        <f t="shared" si="12"/>
        <v>0</v>
      </c>
      <c r="L111" s="256">
        <f t="shared" si="13"/>
        <v>0</v>
      </c>
      <c r="M111" s="249"/>
    </row>
    <row r="112" spans="1:13" x14ac:dyDescent="0.25">
      <c r="A112" s="252">
        <v>108</v>
      </c>
      <c r="B112" s="253">
        <f t="shared" si="14"/>
        <v>48806</v>
      </c>
      <c r="C112" s="252">
        <f>ROUND(IF(Input!$B$15="Yes",'Unique Tenure'!C112,'180M'!C112),0)</f>
        <v>21781575</v>
      </c>
      <c r="D112" s="252">
        <f t="shared" si="15"/>
        <v>0.7</v>
      </c>
      <c r="E112" s="252">
        <f t="shared" si="9"/>
        <v>15247102.499999998</v>
      </c>
      <c r="F112" s="249">
        <f t="shared" si="16"/>
        <v>31</v>
      </c>
      <c r="G112" s="258">
        <f t="shared" si="17"/>
        <v>0.15</v>
      </c>
      <c r="H112" s="252">
        <f t="shared" si="10"/>
        <v>0</v>
      </c>
      <c r="I112" s="252">
        <f t="shared" si="11"/>
        <v>0</v>
      </c>
      <c r="J112" s="254">
        <f>IF($A112&lt;=Input!$C$6,0,IF(E112&lt;H112,E112-I112,H112))</f>
        <v>0</v>
      </c>
      <c r="K112" s="256">
        <f t="shared" si="12"/>
        <v>0</v>
      </c>
      <c r="L112" s="256">
        <f t="shared" si="13"/>
        <v>0</v>
      </c>
      <c r="M112" s="249"/>
    </row>
    <row r="113" spans="1:13" x14ac:dyDescent="0.25">
      <c r="A113" s="252">
        <v>109</v>
      </c>
      <c r="B113" s="253">
        <f t="shared" si="14"/>
        <v>48837</v>
      </c>
      <c r="C113" s="252">
        <f>ROUND(IF(Input!$B$15="Yes",'Unique Tenure'!C113,'180M'!C113),0)</f>
        <v>33127053</v>
      </c>
      <c r="D113" s="252">
        <f t="shared" si="15"/>
        <v>0.7</v>
      </c>
      <c r="E113" s="252">
        <f t="shared" si="9"/>
        <v>23188937.099999998</v>
      </c>
      <c r="F113" s="249">
        <f t="shared" si="16"/>
        <v>31</v>
      </c>
      <c r="G113" s="258">
        <f t="shared" si="17"/>
        <v>0.15</v>
      </c>
      <c r="H113" s="252">
        <f t="shared" si="10"/>
        <v>0</v>
      </c>
      <c r="I113" s="252">
        <f t="shared" si="11"/>
        <v>0</v>
      </c>
      <c r="J113" s="254">
        <f>IF($A113&lt;=Input!$C$6,0,IF(E113&lt;H113,E113-I113,H113))</f>
        <v>0</v>
      </c>
      <c r="K113" s="256">
        <f t="shared" si="12"/>
        <v>0</v>
      </c>
      <c r="L113" s="256">
        <f t="shared" si="13"/>
        <v>0</v>
      </c>
      <c r="M113" s="249"/>
    </row>
    <row r="114" spans="1:13" x14ac:dyDescent="0.25">
      <c r="A114" s="252">
        <v>110</v>
      </c>
      <c r="B114" s="253">
        <f t="shared" si="14"/>
        <v>48867</v>
      </c>
      <c r="C114" s="252">
        <f>ROUND(IF(Input!$B$15="Yes",'Unique Tenure'!C114,'180M'!C114),0)</f>
        <v>33127053</v>
      </c>
      <c r="D114" s="252">
        <f t="shared" si="15"/>
        <v>0.7</v>
      </c>
      <c r="E114" s="252">
        <f t="shared" si="9"/>
        <v>23188937.099999998</v>
      </c>
      <c r="F114" s="249">
        <f t="shared" si="16"/>
        <v>30</v>
      </c>
      <c r="G114" s="258">
        <f t="shared" si="17"/>
        <v>0.15</v>
      </c>
      <c r="H114" s="252">
        <f t="shared" si="10"/>
        <v>0</v>
      </c>
      <c r="I114" s="252">
        <f t="shared" si="11"/>
        <v>0</v>
      </c>
      <c r="J114" s="254">
        <f>IF($A114&lt;=Input!$C$6,0,IF(E114&lt;H114,E114-I114,H114))</f>
        <v>0</v>
      </c>
      <c r="K114" s="256">
        <f t="shared" si="12"/>
        <v>0</v>
      </c>
      <c r="L114" s="256">
        <f t="shared" si="13"/>
        <v>0</v>
      </c>
      <c r="M114" s="249"/>
    </row>
    <row r="115" spans="1:13" x14ac:dyDescent="0.25">
      <c r="A115" s="252">
        <v>111</v>
      </c>
      <c r="B115" s="253">
        <f t="shared" si="14"/>
        <v>48898</v>
      </c>
      <c r="C115" s="252">
        <f>ROUND(IF(Input!$B$15="Yes",'Unique Tenure'!C115,'180M'!C115),0)</f>
        <v>33127053</v>
      </c>
      <c r="D115" s="252">
        <f t="shared" si="15"/>
        <v>0.7</v>
      </c>
      <c r="E115" s="252">
        <f t="shared" si="9"/>
        <v>23188937.099999998</v>
      </c>
      <c r="F115" s="249">
        <f t="shared" si="16"/>
        <v>31</v>
      </c>
      <c r="G115" s="258">
        <f t="shared" si="17"/>
        <v>0.15</v>
      </c>
      <c r="H115" s="252">
        <f t="shared" si="10"/>
        <v>0</v>
      </c>
      <c r="I115" s="252">
        <f t="shared" si="11"/>
        <v>0</v>
      </c>
      <c r="J115" s="254">
        <f>IF($A115&lt;=Input!$C$6,0,IF(E115&lt;H115,E115-I115,H115))</f>
        <v>0</v>
      </c>
      <c r="K115" s="256">
        <f t="shared" si="12"/>
        <v>0</v>
      </c>
      <c r="L115" s="256">
        <f t="shared" si="13"/>
        <v>0</v>
      </c>
      <c r="M115" s="249"/>
    </row>
    <row r="116" spans="1:13" x14ac:dyDescent="0.25">
      <c r="A116" s="252">
        <v>112</v>
      </c>
      <c r="B116" s="253">
        <f t="shared" si="14"/>
        <v>48928</v>
      </c>
      <c r="C116" s="252">
        <f>ROUND(IF(Input!$B$15="Yes",'Unique Tenure'!C116,'180M'!C116),0)</f>
        <v>33127053</v>
      </c>
      <c r="D116" s="252">
        <f t="shared" si="15"/>
        <v>0.7</v>
      </c>
      <c r="E116" s="252">
        <f t="shared" si="9"/>
        <v>23188937.099999998</v>
      </c>
      <c r="F116" s="249">
        <f t="shared" si="16"/>
        <v>30</v>
      </c>
      <c r="G116" s="258">
        <f t="shared" si="17"/>
        <v>0.15</v>
      </c>
      <c r="H116" s="252">
        <f t="shared" si="10"/>
        <v>0</v>
      </c>
      <c r="I116" s="252">
        <f t="shared" si="11"/>
        <v>0</v>
      </c>
      <c r="J116" s="254">
        <f>IF($A116&lt;=Input!$C$6,0,IF(E116&lt;H116,E116-I116,H116))</f>
        <v>0</v>
      </c>
      <c r="K116" s="256">
        <f t="shared" si="12"/>
        <v>0</v>
      </c>
      <c r="L116" s="256">
        <f t="shared" si="13"/>
        <v>0</v>
      </c>
      <c r="M116" s="249"/>
    </row>
    <row r="117" spans="1:13" x14ac:dyDescent="0.25">
      <c r="A117" s="252">
        <v>113</v>
      </c>
      <c r="B117" s="253">
        <f t="shared" si="14"/>
        <v>48959</v>
      </c>
      <c r="C117" s="252">
        <f>ROUND(IF(Input!$B$15="Yes",'Unique Tenure'!C117,'180M'!C117),0)</f>
        <v>33127053</v>
      </c>
      <c r="D117" s="252">
        <f t="shared" si="15"/>
        <v>0.7</v>
      </c>
      <c r="E117" s="252">
        <f t="shared" si="9"/>
        <v>23188937.099999998</v>
      </c>
      <c r="F117" s="249">
        <f t="shared" si="16"/>
        <v>31</v>
      </c>
      <c r="G117" s="258">
        <f t="shared" si="17"/>
        <v>0.15</v>
      </c>
      <c r="H117" s="252">
        <f t="shared" si="10"/>
        <v>0</v>
      </c>
      <c r="I117" s="252">
        <f t="shared" si="11"/>
        <v>0</v>
      </c>
      <c r="J117" s="254">
        <f>IF($A117&lt;=Input!$C$6,0,IF(E117&lt;H117,E117-I117,H117))</f>
        <v>0</v>
      </c>
      <c r="K117" s="256">
        <f t="shared" si="12"/>
        <v>0</v>
      </c>
      <c r="L117" s="256">
        <f t="shared" si="13"/>
        <v>0</v>
      </c>
      <c r="M117" s="249"/>
    </row>
    <row r="118" spans="1:13" x14ac:dyDescent="0.25">
      <c r="A118" s="252">
        <v>114</v>
      </c>
      <c r="B118" s="253">
        <f t="shared" si="14"/>
        <v>48990</v>
      </c>
      <c r="C118" s="252">
        <f>ROUND(IF(Input!$B$15="Yes",'Unique Tenure'!C118,'180M'!C118),0)</f>
        <v>33127053</v>
      </c>
      <c r="D118" s="252">
        <f t="shared" si="15"/>
        <v>0.7</v>
      </c>
      <c r="E118" s="252">
        <f t="shared" si="9"/>
        <v>23188937.099999998</v>
      </c>
      <c r="F118" s="249">
        <f t="shared" si="16"/>
        <v>31</v>
      </c>
      <c r="G118" s="258">
        <f t="shared" si="17"/>
        <v>0.15</v>
      </c>
      <c r="H118" s="252">
        <f t="shared" si="10"/>
        <v>0</v>
      </c>
      <c r="I118" s="252">
        <f t="shared" si="11"/>
        <v>0</v>
      </c>
      <c r="J118" s="254">
        <f>IF($A118&lt;=Input!$C$6,0,IF(E118&lt;H118,E118-I118,H118))</f>
        <v>0</v>
      </c>
      <c r="K118" s="256">
        <f t="shared" si="12"/>
        <v>0</v>
      </c>
      <c r="L118" s="256">
        <f t="shared" si="13"/>
        <v>0</v>
      </c>
      <c r="M118" s="249"/>
    </row>
    <row r="119" spans="1:13" x14ac:dyDescent="0.25">
      <c r="A119" s="252">
        <v>115</v>
      </c>
      <c r="B119" s="253">
        <f t="shared" si="14"/>
        <v>49018</v>
      </c>
      <c r="C119" s="252">
        <f>ROUND(IF(Input!$B$15="Yes",'Unique Tenure'!C119,'180M'!C119),0)</f>
        <v>33127053</v>
      </c>
      <c r="D119" s="252">
        <f t="shared" si="15"/>
        <v>0.7</v>
      </c>
      <c r="E119" s="252">
        <f t="shared" si="9"/>
        <v>23188937.099999998</v>
      </c>
      <c r="F119" s="249">
        <f t="shared" si="16"/>
        <v>28</v>
      </c>
      <c r="G119" s="258">
        <f t="shared" si="17"/>
        <v>0.15</v>
      </c>
      <c r="H119" s="252">
        <f t="shared" si="10"/>
        <v>0</v>
      </c>
      <c r="I119" s="252">
        <f t="shared" si="11"/>
        <v>0</v>
      </c>
      <c r="J119" s="254">
        <f>IF($A119&lt;=Input!$C$6,0,IF(E119&lt;H119,E119-I119,H119))</f>
        <v>0</v>
      </c>
      <c r="K119" s="256">
        <f t="shared" si="12"/>
        <v>0</v>
      </c>
      <c r="L119" s="256">
        <f t="shared" si="13"/>
        <v>0</v>
      </c>
      <c r="M119" s="249"/>
    </row>
    <row r="120" spans="1:13" x14ac:dyDescent="0.25">
      <c r="A120" s="252">
        <v>116</v>
      </c>
      <c r="B120" s="253">
        <f t="shared" si="14"/>
        <v>49049</v>
      </c>
      <c r="C120" s="252">
        <f>ROUND(IF(Input!$B$15="Yes",'Unique Tenure'!C120,'180M'!C120),0)</f>
        <v>33127053</v>
      </c>
      <c r="D120" s="252">
        <f t="shared" si="15"/>
        <v>0.7</v>
      </c>
      <c r="E120" s="252">
        <f t="shared" si="9"/>
        <v>23188937.099999998</v>
      </c>
      <c r="F120" s="249">
        <f t="shared" si="16"/>
        <v>31</v>
      </c>
      <c r="G120" s="258">
        <f t="shared" si="17"/>
        <v>0.15</v>
      </c>
      <c r="H120" s="252">
        <f t="shared" si="10"/>
        <v>0</v>
      </c>
      <c r="I120" s="252">
        <f t="shared" si="11"/>
        <v>0</v>
      </c>
      <c r="J120" s="254">
        <f>IF($A120&lt;=Input!$C$6,0,IF(E120&lt;H120,E120-I120,H120))</f>
        <v>0</v>
      </c>
      <c r="K120" s="256">
        <f t="shared" si="12"/>
        <v>0</v>
      </c>
      <c r="L120" s="256">
        <f t="shared" si="13"/>
        <v>0</v>
      </c>
      <c r="M120" s="249"/>
    </row>
    <row r="121" spans="1:13" x14ac:dyDescent="0.25">
      <c r="A121" s="252">
        <v>117</v>
      </c>
      <c r="B121" s="253">
        <f t="shared" si="14"/>
        <v>49079</v>
      </c>
      <c r="C121" s="252">
        <f>ROUND(IF(Input!$B$15="Yes",'Unique Tenure'!C121,'180M'!C121),0)</f>
        <v>33127053</v>
      </c>
      <c r="D121" s="252">
        <f t="shared" si="15"/>
        <v>0.7</v>
      </c>
      <c r="E121" s="252">
        <f t="shared" si="9"/>
        <v>23188937.099999998</v>
      </c>
      <c r="F121" s="249">
        <f t="shared" si="16"/>
        <v>30</v>
      </c>
      <c r="G121" s="258">
        <f t="shared" si="17"/>
        <v>0.15</v>
      </c>
      <c r="H121" s="252">
        <f t="shared" si="10"/>
        <v>0</v>
      </c>
      <c r="I121" s="252">
        <f t="shared" si="11"/>
        <v>0</v>
      </c>
      <c r="J121" s="254">
        <f>IF($A121&lt;=Input!$C$6,0,IF(E121&lt;H121,E121-I121,H121))</f>
        <v>0</v>
      </c>
      <c r="K121" s="256">
        <f t="shared" si="12"/>
        <v>0</v>
      </c>
      <c r="L121" s="256">
        <f t="shared" si="13"/>
        <v>0</v>
      </c>
      <c r="M121" s="249"/>
    </row>
    <row r="122" spans="1:13" x14ac:dyDescent="0.25">
      <c r="A122" s="252">
        <v>118</v>
      </c>
      <c r="B122" s="253">
        <f t="shared" si="14"/>
        <v>49110</v>
      </c>
      <c r="C122" s="252">
        <f>ROUND(IF(Input!$B$15="Yes",'Unique Tenure'!C122,'180M'!C122),0)</f>
        <v>33127053</v>
      </c>
      <c r="D122" s="252">
        <f t="shared" si="15"/>
        <v>0.7</v>
      </c>
      <c r="E122" s="252">
        <f t="shared" si="9"/>
        <v>23188937.099999998</v>
      </c>
      <c r="F122" s="249">
        <f t="shared" si="16"/>
        <v>31</v>
      </c>
      <c r="G122" s="258">
        <f t="shared" si="17"/>
        <v>0.15</v>
      </c>
      <c r="H122" s="252">
        <f t="shared" si="10"/>
        <v>0</v>
      </c>
      <c r="I122" s="252">
        <f t="shared" si="11"/>
        <v>0</v>
      </c>
      <c r="J122" s="254">
        <f>IF($A122&lt;=Input!$C$6,0,IF(E122&lt;H122,E122-I122,H122))</f>
        <v>0</v>
      </c>
      <c r="K122" s="256">
        <f t="shared" si="12"/>
        <v>0</v>
      </c>
      <c r="L122" s="256">
        <f t="shared" si="13"/>
        <v>0</v>
      </c>
      <c r="M122" s="249"/>
    </row>
    <row r="123" spans="1:13" x14ac:dyDescent="0.25">
      <c r="A123" s="252">
        <v>119</v>
      </c>
      <c r="B123" s="253">
        <f t="shared" si="14"/>
        <v>49140</v>
      </c>
      <c r="C123" s="252">
        <f>ROUND(IF(Input!$B$15="Yes",'Unique Tenure'!C123,'180M'!C123),0)</f>
        <v>33127053</v>
      </c>
      <c r="D123" s="252">
        <f t="shared" si="15"/>
        <v>0.7</v>
      </c>
      <c r="E123" s="252">
        <f t="shared" si="9"/>
        <v>23188937.099999998</v>
      </c>
      <c r="F123" s="249">
        <f t="shared" si="16"/>
        <v>30</v>
      </c>
      <c r="G123" s="258">
        <f t="shared" si="17"/>
        <v>0.15</v>
      </c>
      <c r="H123" s="252">
        <f t="shared" si="10"/>
        <v>0</v>
      </c>
      <c r="I123" s="252">
        <f t="shared" si="11"/>
        <v>0</v>
      </c>
      <c r="J123" s="254">
        <f>IF($A123&lt;=Input!$C$6,0,IF(E123&lt;H123,E123-I123,H123))</f>
        <v>0</v>
      </c>
      <c r="K123" s="256">
        <f t="shared" si="12"/>
        <v>0</v>
      </c>
      <c r="L123" s="256">
        <f t="shared" si="13"/>
        <v>0</v>
      </c>
      <c r="M123" s="249"/>
    </row>
    <row r="124" spans="1:13" x14ac:dyDescent="0.25">
      <c r="A124" s="252">
        <v>120</v>
      </c>
      <c r="B124" s="253">
        <f t="shared" si="14"/>
        <v>49171</v>
      </c>
      <c r="C124" s="252">
        <f>ROUND(IF(Input!$B$15="Yes",'Unique Tenure'!C124,'180M'!C124),0)</f>
        <v>33127053</v>
      </c>
      <c r="D124" s="252">
        <f t="shared" si="15"/>
        <v>0.7</v>
      </c>
      <c r="E124" s="252">
        <f t="shared" si="9"/>
        <v>23188937.099999998</v>
      </c>
      <c r="F124" s="249">
        <f t="shared" si="16"/>
        <v>31</v>
      </c>
      <c r="G124" s="258">
        <f t="shared" si="17"/>
        <v>0.15</v>
      </c>
      <c r="H124" s="252">
        <f t="shared" si="10"/>
        <v>0</v>
      </c>
      <c r="I124" s="252">
        <f t="shared" si="11"/>
        <v>0</v>
      </c>
      <c r="J124" s="254">
        <f>IF($A124&lt;=Input!$C$6,0,IF(E124&lt;H124,E124-I124,H124))</f>
        <v>0</v>
      </c>
      <c r="K124" s="256">
        <f t="shared" si="12"/>
        <v>0</v>
      </c>
      <c r="L124" s="256">
        <f t="shared" si="13"/>
        <v>0</v>
      </c>
      <c r="M124" s="249"/>
    </row>
    <row r="125" spans="1:13" x14ac:dyDescent="0.25">
      <c r="A125" s="252">
        <v>121</v>
      </c>
      <c r="B125" s="253">
        <f t="shared" si="14"/>
        <v>49202</v>
      </c>
      <c r="C125" s="252">
        <f>ROUND(IF(Input!$B$15="Yes",'Unique Tenure'!C125,'180M'!C125),0)</f>
        <v>33127053</v>
      </c>
      <c r="D125" s="252">
        <f t="shared" si="15"/>
        <v>0.7</v>
      </c>
      <c r="E125" s="252">
        <f t="shared" si="9"/>
        <v>23188937.099999998</v>
      </c>
      <c r="F125" s="249">
        <f t="shared" si="16"/>
        <v>31</v>
      </c>
      <c r="G125" s="258">
        <f t="shared" si="17"/>
        <v>0.15</v>
      </c>
      <c r="H125" s="252">
        <f t="shared" si="10"/>
        <v>0</v>
      </c>
      <c r="I125" s="252">
        <f t="shared" si="11"/>
        <v>0</v>
      </c>
      <c r="J125" s="254">
        <f>IF($A125&lt;=Input!$C$6,0,IF(E125&lt;H125,E125-I125,H125))</f>
        <v>0</v>
      </c>
      <c r="K125" s="256">
        <f t="shared" si="12"/>
        <v>0</v>
      </c>
      <c r="L125" s="256">
        <f t="shared" si="13"/>
        <v>0</v>
      </c>
      <c r="M125" s="249"/>
    </row>
    <row r="126" spans="1:13" x14ac:dyDescent="0.25">
      <c r="A126" s="252">
        <v>122</v>
      </c>
      <c r="B126" s="253">
        <f t="shared" si="14"/>
        <v>49232</v>
      </c>
      <c r="C126" s="252">
        <f>ROUND(IF(Input!$B$15="Yes",'Unique Tenure'!C126,'180M'!C126),0)</f>
        <v>33127053</v>
      </c>
      <c r="D126" s="252">
        <f t="shared" si="15"/>
        <v>0.7</v>
      </c>
      <c r="E126" s="252">
        <f t="shared" si="9"/>
        <v>23188937.099999998</v>
      </c>
      <c r="F126" s="249">
        <f t="shared" si="16"/>
        <v>30</v>
      </c>
      <c r="G126" s="258">
        <f t="shared" si="17"/>
        <v>0.15</v>
      </c>
      <c r="H126" s="252">
        <f t="shared" si="10"/>
        <v>0</v>
      </c>
      <c r="I126" s="252">
        <f t="shared" si="11"/>
        <v>0</v>
      </c>
      <c r="J126" s="254">
        <f>IF($A126&lt;=Input!$C$6,0,IF(E126&lt;H126,E126-I126,H126))</f>
        <v>0</v>
      </c>
      <c r="K126" s="256">
        <f t="shared" si="12"/>
        <v>0</v>
      </c>
      <c r="L126" s="256">
        <f t="shared" si="13"/>
        <v>0</v>
      </c>
      <c r="M126" s="249"/>
    </row>
    <row r="127" spans="1:13" x14ac:dyDescent="0.25">
      <c r="A127" s="252">
        <v>123</v>
      </c>
      <c r="B127" s="253">
        <f t="shared" si="14"/>
        <v>49263</v>
      </c>
      <c r="C127" s="252">
        <f>ROUND(IF(Input!$B$15="Yes",'Unique Tenure'!C127,'180M'!C127),0)</f>
        <v>33127053</v>
      </c>
      <c r="D127" s="252">
        <f t="shared" si="15"/>
        <v>0.7</v>
      </c>
      <c r="E127" s="252">
        <f t="shared" si="9"/>
        <v>23188937.099999998</v>
      </c>
      <c r="F127" s="249">
        <f t="shared" si="16"/>
        <v>31</v>
      </c>
      <c r="G127" s="258">
        <f t="shared" si="17"/>
        <v>0.15</v>
      </c>
      <c r="H127" s="252">
        <f t="shared" si="10"/>
        <v>0</v>
      </c>
      <c r="I127" s="252">
        <f t="shared" si="11"/>
        <v>0</v>
      </c>
      <c r="J127" s="254">
        <f>IF($A127&lt;=Input!$C$6,0,IF(E127&lt;H127,E127-I127,H127))</f>
        <v>0</v>
      </c>
      <c r="K127" s="256">
        <f t="shared" si="12"/>
        <v>0</v>
      </c>
      <c r="L127" s="256">
        <f t="shared" si="13"/>
        <v>0</v>
      </c>
      <c r="M127" s="249"/>
    </row>
    <row r="128" spans="1:13" x14ac:dyDescent="0.25">
      <c r="A128" s="252">
        <v>124</v>
      </c>
      <c r="B128" s="253">
        <f t="shared" si="14"/>
        <v>49293</v>
      </c>
      <c r="C128" s="252">
        <f>ROUND(IF(Input!$B$15="Yes",'Unique Tenure'!C128,'180M'!C128),0)</f>
        <v>33127053</v>
      </c>
      <c r="D128" s="252">
        <f t="shared" si="15"/>
        <v>0.7</v>
      </c>
      <c r="E128" s="252">
        <f t="shared" si="9"/>
        <v>23188937.099999998</v>
      </c>
      <c r="F128" s="249">
        <f t="shared" si="16"/>
        <v>30</v>
      </c>
      <c r="G128" s="258">
        <f t="shared" si="17"/>
        <v>0.15</v>
      </c>
      <c r="H128" s="252">
        <f t="shared" si="10"/>
        <v>0</v>
      </c>
      <c r="I128" s="252">
        <f t="shared" si="11"/>
        <v>0</v>
      </c>
      <c r="J128" s="254">
        <f>IF($A128&lt;=Input!$C$6,0,IF(E128&lt;H128,E128-I128,H128))</f>
        <v>0</v>
      </c>
      <c r="K128" s="256">
        <f t="shared" si="12"/>
        <v>0</v>
      </c>
      <c r="L128" s="256">
        <f t="shared" si="13"/>
        <v>0</v>
      </c>
      <c r="M128" s="249"/>
    </row>
    <row r="129" spans="1:13" x14ac:dyDescent="0.25">
      <c r="A129" s="252">
        <v>125</v>
      </c>
      <c r="B129" s="253">
        <f t="shared" si="14"/>
        <v>49324</v>
      </c>
      <c r="C129" s="252">
        <f>ROUND(IF(Input!$B$15="Yes",'Unique Tenure'!C129,'180M'!C129),0)</f>
        <v>33127053</v>
      </c>
      <c r="D129" s="252">
        <f t="shared" si="15"/>
        <v>0.7</v>
      </c>
      <c r="E129" s="252">
        <f t="shared" si="9"/>
        <v>23188937.099999998</v>
      </c>
      <c r="F129" s="249">
        <f t="shared" si="16"/>
        <v>31</v>
      </c>
      <c r="G129" s="258">
        <f t="shared" si="17"/>
        <v>0.15</v>
      </c>
      <c r="H129" s="252">
        <f t="shared" si="10"/>
        <v>0</v>
      </c>
      <c r="I129" s="252">
        <f t="shared" si="11"/>
        <v>0</v>
      </c>
      <c r="J129" s="254">
        <f>IF($A129&lt;=Input!$C$6,0,IF(E129&lt;H129,E129-I129,H129))</f>
        <v>0</v>
      </c>
      <c r="K129" s="256">
        <f t="shared" si="12"/>
        <v>0</v>
      </c>
      <c r="L129" s="256">
        <f t="shared" si="13"/>
        <v>0</v>
      </c>
      <c r="M129" s="249"/>
    </row>
    <row r="130" spans="1:13" x14ac:dyDescent="0.25">
      <c r="A130" s="252">
        <v>126</v>
      </c>
      <c r="B130" s="253">
        <f t="shared" si="14"/>
        <v>49355</v>
      </c>
      <c r="C130" s="252">
        <f>ROUND(IF(Input!$B$15="Yes",'Unique Tenure'!C130,'180M'!C130),0)</f>
        <v>33127053</v>
      </c>
      <c r="D130" s="252">
        <f t="shared" si="15"/>
        <v>0.7</v>
      </c>
      <c r="E130" s="252">
        <f t="shared" si="9"/>
        <v>23188937.099999998</v>
      </c>
      <c r="F130" s="249">
        <f t="shared" si="16"/>
        <v>31</v>
      </c>
      <c r="G130" s="258">
        <f t="shared" si="17"/>
        <v>0.15</v>
      </c>
      <c r="H130" s="252">
        <f t="shared" si="10"/>
        <v>0</v>
      </c>
      <c r="I130" s="252">
        <f t="shared" si="11"/>
        <v>0</v>
      </c>
      <c r="J130" s="254">
        <f>IF($A130&lt;=Input!$C$6,0,IF(E130&lt;H130,E130-I130,H130))</f>
        <v>0</v>
      </c>
      <c r="K130" s="256">
        <f t="shared" si="12"/>
        <v>0</v>
      </c>
      <c r="L130" s="256">
        <f t="shared" si="13"/>
        <v>0</v>
      </c>
      <c r="M130" s="249"/>
    </row>
    <row r="131" spans="1:13" x14ac:dyDescent="0.25">
      <c r="A131" s="252">
        <v>127</v>
      </c>
      <c r="B131" s="253">
        <f t="shared" si="14"/>
        <v>49383</v>
      </c>
      <c r="C131" s="252">
        <f>ROUND(IF(Input!$B$15="Yes",'Unique Tenure'!C131,'180M'!C131),0)</f>
        <v>33127053</v>
      </c>
      <c r="D131" s="252">
        <f t="shared" si="15"/>
        <v>0.7</v>
      </c>
      <c r="E131" s="252">
        <f t="shared" si="9"/>
        <v>23188937.099999998</v>
      </c>
      <c r="F131" s="249">
        <f t="shared" si="16"/>
        <v>28</v>
      </c>
      <c r="G131" s="258">
        <f t="shared" si="17"/>
        <v>0.15</v>
      </c>
      <c r="H131" s="252">
        <f t="shared" si="10"/>
        <v>0</v>
      </c>
      <c r="I131" s="252">
        <f t="shared" si="11"/>
        <v>0</v>
      </c>
      <c r="J131" s="254">
        <f>IF($A131&lt;=Input!$C$6,0,IF(E131&lt;H131,E131-I131,H131))</f>
        <v>0</v>
      </c>
      <c r="K131" s="256">
        <f t="shared" si="12"/>
        <v>0</v>
      </c>
      <c r="L131" s="256">
        <f t="shared" si="13"/>
        <v>0</v>
      </c>
      <c r="M131" s="249"/>
    </row>
    <row r="132" spans="1:13" x14ac:dyDescent="0.25">
      <c r="A132" s="252">
        <v>128</v>
      </c>
      <c r="B132" s="253">
        <f t="shared" si="14"/>
        <v>49414</v>
      </c>
      <c r="C132" s="252">
        <f>ROUND(IF(Input!$B$15="Yes",'Unique Tenure'!C132,'180M'!C132),0)</f>
        <v>33127053</v>
      </c>
      <c r="D132" s="252">
        <f t="shared" si="15"/>
        <v>0.7</v>
      </c>
      <c r="E132" s="252">
        <f t="shared" si="9"/>
        <v>23188937.099999998</v>
      </c>
      <c r="F132" s="249">
        <f t="shared" si="16"/>
        <v>31</v>
      </c>
      <c r="G132" s="258">
        <f t="shared" si="17"/>
        <v>0.15</v>
      </c>
      <c r="H132" s="252">
        <f t="shared" si="10"/>
        <v>0</v>
      </c>
      <c r="I132" s="252">
        <f t="shared" si="11"/>
        <v>0</v>
      </c>
      <c r="J132" s="254">
        <f>IF($A132&lt;=Input!$C$6,0,IF(E132&lt;H132,E132-I132,H132))</f>
        <v>0</v>
      </c>
      <c r="K132" s="256">
        <f t="shared" si="12"/>
        <v>0</v>
      </c>
      <c r="L132" s="256">
        <f t="shared" si="13"/>
        <v>0</v>
      </c>
      <c r="M132" s="249"/>
    </row>
    <row r="133" spans="1:13" x14ac:dyDescent="0.25">
      <c r="A133" s="252">
        <v>129</v>
      </c>
      <c r="B133" s="253">
        <f t="shared" si="14"/>
        <v>49444</v>
      </c>
      <c r="C133" s="252">
        <f>ROUND(IF(Input!$B$15="Yes",'Unique Tenure'!C133,'180M'!C133),0)</f>
        <v>33127053</v>
      </c>
      <c r="D133" s="252">
        <f t="shared" si="15"/>
        <v>0.7</v>
      </c>
      <c r="E133" s="252">
        <f t="shared" ref="E133:E184" si="18">C133*D133</f>
        <v>23188937.099999998</v>
      </c>
      <c r="F133" s="249">
        <f t="shared" si="16"/>
        <v>30</v>
      </c>
      <c r="G133" s="258">
        <f t="shared" si="17"/>
        <v>0.15</v>
      </c>
      <c r="H133" s="252">
        <f t="shared" ref="H133:H184" si="19">L132</f>
        <v>0</v>
      </c>
      <c r="I133" s="252">
        <f t="shared" ref="I133:I184" si="20">ROUND(H133*F133*$G133/365,0)</f>
        <v>0</v>
      </c>
      <c r="J133" s="254">
        <f>IF($A133&lt;=Input!$C$6,0,IF(E133&lt;H133,E133-I133,H133))</f>
        <v>0</v>
      </c>
      <c r="K133" s="256">
        <f t="shared" ref="K133:K184" si="21">I133+J133</f>
        <v>0</v>
      </c>
      <c r="L133" s="256">
        <f t="shared" ref="L133:L184" si="22">L132-J133</f>
        <v>0</v>
      </c>
      <c r="M133" s="249"/>
    </row>
    <row r="134" spans="1:13" x14ac:dyDescent="0.25">
      <c r="A134" s="252">
        <v>130</v>
      </c>
      <c r="B134" s="253">
        <f t="shared" ref="B134:B184" si="23">EDATE(B133,1)</f>
        <v>49475</v>
      </c>
      <c r="C134" s="252">
        <f>ROUND(IF(Input!$B$15="Yes",'Unique Tenure'!C134,'180M'!C134),0)</f>
        <v>33127053</v>
      </c>
      <c r="D134" s="252">
        <f t="shared" ref="D134:D184" si="24">D133</f>
        <v>0.7</v>
      </c>
      <c r="E134" s="252">
        <f t="shared" si="18"/>
        <v>23188937.099999998</v>
      </c>
      <c r="F134" s="249">
        <f t="shared" ref="F134:F184" si="25">B134-B133</f>
        <v>31</v>
      </c>
      <c r="G134" s="258">
        <f t="shared" ref="G134:G184" si="26">G133</f>
        <v>0.15</v>
      </c>
      <c r="H134" s="252">
        <f t="shared" si="19"/>
        <v>0</v>
      </c>
      <c r="I134" s="252">
        <f t="shared" si="20"/>
        <v>0</v>
      </c>
      <c r="J134" s="254">
        <f>IF($A134&lt;=Input!$C$6,0,IF(E134&lt;H134,E134-I134,H134))</f>
        <v>0</v>
      </c>
      <c r="K134" s="256">
        <f t="shared" si="21"/>
        <v>0</v>
      </c>
      <c r="L134" s="256">
        <f t="shared" si="22"/>
        <v>0</v>
      </c>
      <c r="M134" s="249"/>
    </row>
    <row r="135" spans="1:13" x14ac:dyDescent="0.25">
      <c r="A135" s="252">
        <v>131</v>
      </c>
      <c r="B135" s="253">
        <f t="shared" si="23"/>
        <v>49505</v>
      </c>
      <c r="C135" s="252">
        <f>ROUND(IF(Input!$B$15="Yes",'Unique Tenure'!C135,'180M'!C135),0)</f>
        <v>33127053</v>
      </c>
      <c r="D135" s="252">
        <f t="shared" si="24"/>
        <v>0.7</v>
      </c>
      <c r="E135" s="252">
        <f t="shared" si="18"/>
        <v>23188937.099999998</v>
      </c>
      <c r="F135" s="249">
        <f t="shared" si="25"/>
        <v>30</v>
      </c>
      <c r="G135" s="258">
        <f t="shared" si="26"/>
        <v>0.15</v>
      </c>
      <c r="H135" s="252">
        <f t="shared" si="19"/>
        <v>0</v>
      </c>
      <c r="I135" s="252">
        <f t="shared" si="20"/>
        <v>0</v>
      </c>
      <c r="J135" s="254">
        <f>IF($A135&lt;=Input!$C$6,0,IF(E135&lt;H135,E135-I135,H135))</f>
        <v>0</v>
      </c>
      <c r="K135" s="256">
        <f t="shared" si="21"/>
        <v>0</v>
      </c>
      <c r="L135" s="256">
        <f t="shared" si="22"/>
        <v>0</v>
      </c>
      <c r="M135" s="249"/>
    </row>
    <row r="136" spans="1:13" x14ac:dyDescent="0.25">
      <c r="A136" s="252">
        <v>132</v>
      </c>
      <c r="B136" s="253">
        <f t="shared" si="23"/>
        <v>49536</v>
      </c>
      <c r="C136" s="252">
        <f>ROUND(IF(Input!$B$15="Yes",'Unique Tenure'!C136,'180M'!C136),0)</f>
        <v>33127053</v>
      </c>
      <c r="D136" s="252">
        <f t="shared" si="24"/>
        <v>0.7</v>
      </c>
      <c r="E136" s="252">
        <f t="shared" si="18"/>
        <v>23188937.099999998</v>
      </c>
      <c r="F136" s="249">
        <f t="shared" si="25"/>
        <v>31</v>
      </c>
      <c r="G136" s="258">
        <f t="shared" si="26"/>
        <v>0.15</v>
      </c>
      <c r="H136" s="252">
        <f t="shared" si="19"/>
        <v>0</v>
      </c>
      <c r="I136" s="252">
        <f t="shared" si="20"/>
        <v>0</v>
      </c>
      <c r="J136" s="254">
        <f>IF($A136&lt;=Input!$C$6,0,IF(E136&lt;H136,E136-I136,H136))</f>
        <v>0</v>
      </c>
      <c r="K136" s="256">
        <f t="shared" si="21"/>
        <v>0</v>
      </c>
      <c r="L136" s="256">
        <f t="shared" si="22"/>
        <v>0</v>
      </c>
      <c r="M136" s="249"/>
    </row>
    <row r="137" spans="1:13" x14ac:dyDescent="0.25">
      <c r="A137" s="252">
        <v>133</v>
      </c>
      <c r="B137" s="253">
        <f t="shared" si="23"/>
        <v>49567</v>
      </c>
      <c r="C137" s="252">
        <f>ROUND(IF(Input!$B$15="Yes",'Unique Tenure'!C137,'180M'!C137),0)</f>
        <v>33127053</v>
      </c>
      <c r="D137" s="252">
        <f t="shared" si="24"/>
        <v>0.7</v>
      </c>
      <c r="E137" s="252">
        <f t="shared" si="18"/>
        <v>23188937.099999998</v>
      </c>
      <c r="F137" s="249">
        <f t="shared" si="25"/>
        <v>31</v>
      </c>
      <c r="G137" s="258">
        <f t="shared" si="26"/>
        <v>0.15</v>
      </c>
      <c r="H137" s="252">
        <f t="shared" si="19"/>
        <v>0</v>
      </c>
      <c r="I137" s="252">
        <f t="shared" si="20"/>
        <v>0</v>
      </c>
      <c r="J137" s="254">
        <f>IF($A137&lt;=Input!$C$6,0,IF(E137&lt;H137,E137-I137,H137))</f>
        <v>0</v>
      </c>
      <c r="K137" s="256">
        <f t="shared" si="21"/>
        <v>0</v>
      </c>
      <c r="L137" s="256">
        <f t="shared" si="22"/>
        <v>0</v>
      </c>
      <c r="M137" s="249"/>
    </row>
    <row r="138" spans="1:13" x14ac:dyDescent="0.25">
      <c r="A138" s="252">
        <v>134</v>
      </c>
      <c r="B138" s="253">
        <f t="shared" si="23"/>
        <v>49597</v>
      </c>
      <c r="C138" s="252">
        <f>ROUND(IF(Input!$B$15="Yes",'Unique Tenure'!C138,'180M'!C138),0)</f>
        <v>33127053</v>
      </c>
      <c r="D138" s="252">
        <f t="shared" si="24"/>
        <v>0.7</v>
      </c>
      <c r="E138" s="252">
        <f t="shared" si="18"/>
        <v>23188937.099999998</v>
      </c>
      <c r="F138" s="249">
        <f t="shared" si="25"/>
        <v>30</v>
      </c>
      <c r="G138" s="258">
        <f t="shared" si="26"/>
        <v>0.15</v>
      </c>
      <c r="H138" s="252">
        <f t="shared" si="19"/>
        <v>0</v>
      </c>
      <c r="I138" s="252">
        <f t="shared" si="20"/>
        <v>0</v>
      </c>
      <c r="J138" s="254">
        <f>IF($A138&lt;=Input!$C$6,0,IF(E138&lt;H138,E138-I138,H138))</f>
        <v>0</v>
      </c>
      <c r="K138" s="256">
        <f t="shared" si="21"/>
        <v>0</v>
      </c>
      <c r="L138" s="256">
        <f t="shared" si="22"/>
        <v>0</v>
      </c>
      <c r="M138" s="249"/>
    </row>
    <row r="139" spans="1:13" x14ac:dyDescent="0.25">
      <c r="A139" s="252">
        <v>135</v>
      </c>
      <c r="B139" s="253">
        <f t="shared" si="23"/>
        <v>49628</v>
      </c>
      <c r="C139" s="252">
        <f>ROUND(IF(Input!$B$15="Yes",'Unique Tenure'!C139,'180M'!C139),0)</f>
        <v>33127053</v>
      </c>
      <c r="D139" s="252">
        <f t="shared" si="24"/>
        <v>0.7</v>
      </c>
      <c r="E139" s="252">
        <f t="shared" si="18"/>
        <v>23188937.099999998</v>
      </c>
      <c r="F139" s="249">
        <f t="shared" si="25"/>
        <v>31</v>
      </c>
      <c r="G139" s="258">
        <f t="shared" si="26"/>
        <v>0.15</v>
      </c>
      <c r="H139" s="252">
        <f t="shared" si="19"/>
        <v>0</v>
      </c>
      <c r="I139" s="252">
        <f t="shared" si="20"/>
        <v>0</v>
      </c>
      <c r="J139" s="254">
        <f>IF($A139&lt;=Input!$C$6,0,IF(E139&lt;H139,E139-I139,H139))</f>
        <v>0</v>
      </c>
      <c r="K139" s="256">
        <f t="shared" si="21"/>
        <v>0</v>
      </c>
      <c r="L139" s="256">
        <f t="shared" si="22"/>
        <v>0</v>
      </c>
      <c r="M139" s="249"/>
    </row>
    <row r="140" spans="1:13" x14ac:dyDescent="0.25">
      <c r="A140" s="252">
        <v>136</v>
      </c>
      <c r="B140" s="253">
        <f t="shared" si="23"/>
        <v>49658</v>
      </c>
      <c r="C140" s="252">
        <f>ROUND(IF(Input!$B$15="Yes",'Unique Tenure'!C140,'180M'!C140),0)</f>
        <v>33127053</v>
      </c>
      <c r="D140" s="252">
        <f t="shared" si="24"/>
        <v>0.7</v>
      </c>
      <c r="E140" s="252">
        <f t="shared" si="18"/>
        <v>23188937.099999998</v>
      </c>
      <c r="F140" s="249">
        <f t="shared" si="25"/>
        <v>30</v>
      </c>
      <c r="G140" s="258">
        <f t="shared" si="26"/>
        <v>0.15</v>
      </c>
      <c r="H140" s="252">
        <f t="shared" si="19"/>
        <v>0</v>
      </c>
      <c r="I140" s="252">
        <f t="shared" si="20"/>
        <v>0</v>
      </c>
      <c r="J140" s="254">
        <f>IF($A140&lt;=Input!$C$6,0,IF(E140&lt;H140,E140-I140,H140))</f>
        <v>0</v>
      </c>
      <c r="K140" s="256">
        <f t="shared" si="21"/>
        <v>0</v>
      </c>
      <c r="L140" s="256">
        <f t="shared" si="22"/>
        <v>0</v>
      </c>
      <c r="M140" s="249"/>
    </row>
    <row r="141" spans="1:13" x14ac:dyDescent="0.25">
      <c r="A141" s="252">
        <v>137</v>
      </c>
      <c r="B141" s="253">
        <f t="shared" si="23"/>
        <v>49689</v>
      </c>
      <c r="C141" s="252">
        <f>ROUND(IF(Input!$B$15="Yes",'Unique Tenure'!C141,'180M'!C141),0)</f>
        <v>33127053</v>
      </c>
      <c r="D141" s="252">
        <f t="shared" si="24"/>
        <v>0.7</v>
      </c>
      <c r="E141" s="252">
        <f t="shared" si="18"/>
        <v>23188937.099999998</v>
      </c>
      <c r="F141" s="249">
        <f t="shared" si="25"/>
        <v>31</v>
      </c>
      <c r="G141" s="258">
        <f t="shared" si="26"/>
        <v>0.15</v>
      </c>
      <c r="H141" s="252">
        <f t="shared" si="19"/>
        <v>0</v>
      </c>
      <c r="I141" s="252">
        <f t="shared" si="20"/>
        <v>0</v>
      </c>
      <c r="J141" s="254">
        <f>IF($A141&lt;=Input!$C$6,0,IF(E141&lt;H141,E141-I141,H141))</f>
        <v>0</v>
      </c>
      <c r="K141" s="256">
        <f t="shared" si="21"/>
        <v>0</v>
      </c>
      <c r="L141" s="256">
        <f t="shared" si="22"/>
        <v>0</v>
      </c>
      <c r="M141" s="249"/>
    </row>
    <row r="142" spans="1:13" x14ac:dyDescent="0.25">
      <c r="A142" s="252">
        <v>138</v>
      </c>
      <c r="B142" s="253">
        <f t="shared" si="23"/>
        <v>49720</v>
      </c>
      <c r="C142" s="252">
        <f>ROUND(IF(Input!$B$15="Yes",'Unique Tenure'!C142,'180M'!C142),0)</f>
        <v>33127053</v>
      </c>
      <c r="D142" s="252">
        <f t="shared" si="24"/>
        <v>0.7</v>
      </c>
      <c r="E142" s="252">
        <f t="shared" si="18"/>
        <v>23188937.099999998</v>
      </c>
      <c r="F142" s="249">
        <f t="shared" si="25"/>
        <v>31</v>
      </c>
      <c r="G142" s="258">
        <f t="shared" si="26"/>
        <v>0.15</v>
      </c>
      <c r="H142" s="252">
        <f t="shared" si="19"/>
        <v>0</v>
      </c>
      <c r="I142" s="252">
        <f t="shared" si="20"/>
        <v>0</v>
      </c>
      <c r="J142" s="254">
        <f>IF($A142&lt;=Input!$C$6,0,IF(E142&lt;H142,E142-I142,H142))</f>
        <v>0</v>
      </c>
      <c r="K142" s="256">
        <f t="shared" si="21"/>
        <v>0</v>
      </c>
      <c r="L142" s="256">
        <f t="shared" si="22"/>
        <v>0</v>
      </c>
      <c r="M142" s="249"/>
    </row>
    <row r="143" spans="1:13" x14ac:dyDescent="0.25">
      <c r="A143" s="252">
        <v>139</v>
      </c>
      <c r="B143" s="253">
        <f t="shared" si="23"/>
        <v>49749</v>
      </c>
      <c r="C143" s="252">
        <f>ROUND(IF(Input!$B$15="Yes",'Unique Tenure'!C143,'180M'!C143),0)</f>
        <v>33127053</v>
      </c>
      <c r="D143" s="252">
        <f t="shared" si="24"/>
        <v>0.7</v>
      </c>
      <c r="E143" s="252">
        <f t="shared" si="18"/>
        <v>23188937.099999998</v>
      </c>
      <c r="F143" s="249">
        <f t="shared" si="25"/>
        <v>29</v>
      </c>
      <c r="G143" s="258">
        <f t="shared" si="26"/>
        <v>0.15</v>
      </c>
      <c r="H143" s="252">
        <f t="shared" si="19"/>
        <v>0</v>
      </c>
      <c r="I143" s="252">
        <f t="shared" si="20"/>
        <v>0</v>
      </c>
      <c r="J143" s="254">
        <f>IF($A143&lt;=Input!$C$6,0,IF(E143&lt;H143,E143-I143,H143))</f>
        <v>0</v>
      </c>
      <c r="K143" s="256">
        <f t="shared" si="21"/>
        <v>0</v>
      </c>
      <c r="L143" s="256">
        <f t="shared" si="22"/>
        <v>0</v>
      </c>
      <c r="M143" s="249"/>
    </row>
    <row r="144" spans="1:13" x14ac:dyDescent="0.25">
      <c r="A144" s="252">
        <v>140</v>
      </c>
      <c r="B144" s="253">
        <f t="shared" si="23"/>
        <v>49780</v>
      </c>
      <c r="C144" s="252">
        <f>ROUND(IF(Input!$B$15="Yes",'Unique Tenure'!C144,'180M'!C144),0)</f>
        <v>33127053</v>
      </c>
      <c r="D144" s="252">
        <f t="shared" si="24"/>
        <v>0.7</v>
      </c>
      <c r="E144" s="252">
        <f t="shared" si="18"/>
        <v>23188937.099999998</v>
      </c>
      <c r="F144" s="249">
        <f t="shared" si="25"/>
        <v>31</v>
      </c>
      <c r="G144" s="258">
        <f t="shared" si="26"/>
        <v>0.15</v>
      </c>
      <c r="H144" s="252">
        <f t="shared" si="19"/>
        <v>0</v>
      </c>
      <c r="I144" s="252">
        <f t="shared" si="20"/>
        <v>0</v>
      </c>
      <c r="J144" s="254">
        <f>IF($A144&lt;=Input!$C$6,0,IF(E144&lt;H144,E144-I144,H144))</f>
        <v>0</v>
      </c>
      <c r="K144" s="256">
        <f t="shared" si="21"/>
        <v>0</v>
      </c>
      <c r="L144" s="256">
        <f t="shared" si="22"/>
        <v>0</v>
      </c>
      <c r="M144" s="249"/>
    </row>
    <row r="145" spans="1:13" x14ac:dyDescent="0.25">
      <c r="A145" s="252">
        <v>141</v>
      </c>
      <c r="B145" s="253">
        <f t="shared" si="23"/>
        <v>49810</v>
      </c>
      <c r="C145" s="252">
        <f>ROUND(IF(Input!$B$15="Yes",'Unique Tenure'!C145,'180M'!C145),0)</f>
        <v>33127053</v>
      </c>
      <c r="D145" s="252">
        <f t="shared" si="24"/>
        <v>0.7</v>
      </c>
      <c r="E145" s="252">
        <f t="shared" si="18"/>
        <v>23188937.099999998</v>
      </c>
      <c r="F145" s="249">
        <f t="shared" si="25"/>
        <v>30</v>
      </c>
      <c r="G145" s="258">
        <f t="shared" si="26"/>
        <v>0.15</v>
      </c>
      <c r="H145" s="252">
        <f t="shared" si="19"/>
        <v>0</v>
      </c>
      <c r="I145" s="252">
        <f t="shared" si="20"/>
        <v>0</v>
      </c>
      <c r="J145" s="254">
        <f>IF($A145&lt;=Input!$C$6,0,IF(E145&lt;H145,E145-I145,H145))</f>
        <v>0</v>
      </c>
      <c r="K145" s="256">
        <f t="shared" si="21"/>
        <v>0</v>
      </c>
      <c r="L145" s="256">
        <f t="shared" si="22"/>
        <v>0</v>
      </c>
      <c r="M145" s="249"/>
    </row>
    <row r="146" spans="1:13" x14ac:dyDescent="0.25">
      <c r="A146" s="252">
        <v>142</v>
      </c>
      <c r="B146" s="253">
        <f t="shared" si="23"/>
        <v>49841</v>
      </c>
      <c r="C146" s="252">
        <f>ROUND(IF(Input!$B$15="Yes",'Unique Tenure'!C146,'180M'!C146),0)</f>
        <v>33127053</v>
      </c>
      <c r="D146" s="252">
        <f t="shared" si="24"/>
        <v>0.7</v>
      </c>
      <c r="E146" s="252">
        <f t="shared" si="18"/>
        <v>23188937.099999998</v>
      </c>
      <c r="F146" s="249">
        <f t="shared" si="25"/>
        <v>31</v>
      </c>
      <c r="G146" s="258">
        <f t="shared" si="26"/>
        <v>0.15</v>
      </c>
      <c r="H146" s="252">
        <f t="shared" si="19"/>
        <v>0</v>
      </c>
      <c r="I146" s="252">
        <f t="shared" si="20"/>
        <v>0</v>
      </c>
      <c r="J146" s="254">
        <f>IF($A146&lt;=Input!$C$6,0,IF(E146&lt;H146,E146-I146,H146))</f>
        <v>0</v>
      </c>
      <c r="K146" s="256">
        <f t="shared" si="21"/>
        <v>0</v>
      </c>
      <c r="L146" s="256">
        <f t="shared" si="22"/>
        <v>0</v>
      </c>
      <c r="M146" s="249"/>
    </row>
    <row r="147" spans="1:13" x14ac:dyDescent="0.25">
      <c r="A147" s="252">
        <v>143</v>
      </c>
      <c r="B147" s="253">
        <f t="shared" si="23"/>
        <v>49871</v>
      </c>
      <c r="C147" s="252">
        <f>ROUND(IF(Input!$B$15="Yes",'Unique Tenure'!C147,'180M'!C147),0)</f>
        <v>33127053</v>
      </c>
      <c r="D147" s="252">
        <f t="shared" si="24"/>
        <v>0.7</v>
      </c>
      <c r="E147" s="252">
        <f t="shared" si="18"/>
        <v>23188937.099999998</v>
      </c>
      <c r="F147" s="249">
        <f t="shared" si="25"/>
        <v>30</v>
      </c>
      <c r="G147" s="258">
        <f t="shared" si="26"/>
        <v>0.15</v>
      </c>
      <c r="H147" s="252">
        <f t="shared" si="19"/>
        <v>0</v>
      </c>
      <c r="I147" s="252">
        <f t="shared" si="20"/>
        <v>0</v>
      </c>
      <c r="J147" s="254">
        <f>IF($A147&lt;=Input!$C$6,0,IF(E147&lt;H147,E147-I147,H147))</f>
        <v>0</v>
      </c>
      <c r="K147" s="256">
        <f t="shared" si="21"/>
        <v>0</v>
      </c>
      <c r="L147" s="256">
        <f t="shared" si="22"/>
        <v>0</v>
      </c>
      <c r="M147" s="249"/>
    </row>
    <row r="148" spans="1:13" x14ac:dyDescent="0.25">
      <c r="A148" s="252">
        <v>144</v>
      </c>
      <c r="B148" s="253">
        <f t="shared" si="23"/>
        <v>49902</v>
      </c>
      <c r="C148" s="252">
        <f>ROUND(IF(Input!$B$15="Yes",'Unique Tenure'!C148,'180M'!C148),0)</f>
        <v>33127053</v>
      </c>
      <c r="D148" s="252">
        <f t="shared" si="24"/>
        <v>0.7</v>
      </c>
      <c r="E148" s="252">
        <f t="shared" si="18"/>
        <v>23188937.099999998</v>
      </c>
      <c r="F148" s="249">
        <f t="shared" si="25"/>
        <v>31</v>
      </c>
      <c r="G148" s="258">
        <f t="shared" si="26"/>
        <v>0.15</v>
      </c>
      <c r="H148" s="252">
        <f t="shared" si="19"/>
        <v>0</v>
      </c>
      <c r="I148" s="252">
        <f t="shared" si="20"/>
        <v>0</v>
      </c>
      <c r="J148" s="254">
        <f>IF($A148&lt;=Input!$C$6,0,IF(E148&lt;H148,E148-I148,H148))</f>
        <v>0</v>
      </c>
      <c r="K148" s="256">
        <f t="shared" si="21"/>
        <v>0</v>
      </c>
      <c r="L148" s="256">
        <f t="shared" si="22"/>
        <v>0</v>
      </c>
      <c r="M148" s="249"/>
    </row>
    <row r="149" spans="1:13" x14ac:dyDescent="0.25">
      <c r="A149" s="252">
        <v>145</v>
      </c>
      <c r="B149" s="253">
        <f t="shared" si="23"/>
        <v>49933</v>
      </c>
      <c r="C149" s="252">
        <f>ROUND(IF(Input!$B$15="Yes",'Unique Tenure'!C149,'180M'!C149),0)</f>
        <v>33127053</v>
      </c>
      <c r="D149" s="252">
        <f t="shared" si="24"/>
        <v>0.7</v>
      </c>
      <c r="E149" s="252">
        <f t="shared" si="18"/>
        <v>23188937.099999998</v>
      </c>
      <c r="F149" s="249">
        <f t="shared" si="25"/>
        <v>31</v>
      </c>
      <c r="G149" s="258">
        <f t="shared" si="26"/>
        <v>0.15</v>
      </c>
      <c r="H149" s="252">
        <f t="shared" si="19"/>
        <v>0</v>
      </c>
      <c r="I149" s="252">
        <f t="shared" si="20"/>
        <v>0</v>
      </c>
      <c r="J149" s="254">
        <f>IF($A149&lt;=Input!$C$6,0,IF(E149&lt;H149,E149-I149,H149))</f>
        <v>0</v>
      </c>
      <c r="K149" s="256">
        <f t="shared" si="21"/>
        <v>0</v>
      </c>
      <c r="L149" s="256">
        <f t="shared" si="22"/>
        <v>0</v>
      </c>
      <c r="M149" s="249"/>
    </row>
    <row r="150" spans="1:13" x14ac:dyDescent="0.25">
      <c r="A150" s="252">
        <v>146</v>
      </c>
      <c r="B150" s="253">
        <f t="shared" si="23"/>
        <v>49963</v>
      </c>
      <c r="C150" s="252">
        <f>ROUND(IF(Input!$B$15="Yes",'Unique Tenure'!C150,'180M'!C150),0)</f>
        <v>33127053</v>
      </c>
      <c r="D150" s="252">
        <f t="shared" si="24"/>
        <v>0.7</v>
      </c>
      <c r="E150" s="252">
        <f t="shared" si="18"/>
        <v>23188937.099999998</v>
      </c>
      <c r="F150" s="249">
        <f t="shared" si="25"/>
        <v>30</v>
      </c>
      <c r="G150" s="258">
        <f t="shared" si="26"/>
        <v>0.15</v>
      </c>
      <c r="H150" s="252">
        <f t="shared" si="19"/>
        <v>0</v>
      </c>
      <c r="I150" s="252">
        <f t="shared" si="20"/>
        <v>0</v>
      </c>
      <c r="J150" s="254">
        <f>IF($A150&lt;=Input!$C$6,0,IF(E150&lt;H150,E150-I150,H150))</f>
        <v>0</v>
      </c>
      <c r="K150" s="256">
        <f t="shared" si="21"/>
        <v>0</v>
      </c>
      <c r="L150" s="256">
        <f t="shared" si="22"/>
        <v>0</v>
      </c>
      <c r="M150" s="249"/>
    </row>
    <row r="151" spans="1:13" x14ac:dyDescent="0.25">
      <c r="A151" s="252">
        <v>147</v>
      </c>
      <c r="B151" s="253">
        <f t="shared" si="23"/>
        <v>49994</v>
      </c>
      <c r="C151" s="252">
        <f>ROUND(IF(Input!$B$15="Yes",'Unique Tenure'!C151,'180M'!C151),0)</f>
        <v>33127053</v>
      </c>
      <c r="D151" s="252">
        <f t="shared" si="24"/>
        <v>0.7</v>
      </c>
      <c r="E151" s="252">
        <f t="shared" si="18"/>
        <v>23188937.099999998</v>
      </c>
      <c r="F151" s="249">
        <f t="shared" si="25"/>
        <v>31</v>
      </c>
      <c r="G151" s="258">
        <f t="shared" si="26"/>
        <v>0.15</v>
      </c>
      <c r="H151" s="252">
        <f t="shared" si="19"/>
        <v>0</v>
      </c>
      <c r="I151" s="252">
        <f t="shared" si="20"/>
        <v>0</v>
      </c>
      <c r="J151" s="254">
        <f>IF($A151&lt;=Input!$C$6,0,IF(E151&lt;H151,E151-I151,H151))</f>
        <v>0</v>
      </c>
      <c r="K151" s="256">
        <f t="shared" si="21"/>
        <v>0</v>
      </c>
      <c r="L151" s="256">
        <f t="shared" si="22"/>
        <v>0</v>
      </c>
      <c r="M151" s="249"/>
    </row>
    <row r="152" spans="1:13" x14ac:dyDescent="0.25">
      <c r="A152" s="252">
        <v>148</v>
      </c>
      <c r="B152" s="253">
        <f t="shared" si="23"/>
        <v>50024</v>
      </c>
      <c r="C152" s="252">
        <f>ROUND(IF(Input!$B$15="Yes",'Unique Tenure'!C152,'180M'!C152),0)</f>
        <v>33127053</v>
      </c>
      <c r="D152" s="252">
        <f t="shared" si="24"/>
        <v>0.7</v>
      </c>
      <c r="E152" s="252">
        <f t="shared" si="18"/>
        <v>23188937.099999998</v>
      </c>
      <c r="F152" s="249">
        <f t="shared" si="25"/>
        <v>30</v>
      </c>
      <c r="G152" s="258">
        <f t="shared" si="26"/>
        <v>0.15</v>
      </c>
      <c r="H152" s="252">
        <f t="shared" si="19"/>
        <v>0</v>
      </c>
      <c r="I152" s="252">
        <f t="shared" si="20"/>
        <v>0</v>
      </c>
      <c r="J152" s="254">
        <f>IF($A152&lt;=Input!$C$6,0,IF(E152&lt;H152,E152-I152,H152))</f>
        <v>0</v>
      </c>
      <c r="K152" s="256">
        <f t="shared" si="21"/>
        <v>0</v>
      </c>
      <c r="L152" s="256">
        <f t="shared" si="22"/>
        <v>0</v>
      </c>
      <c r="M152" s="249"/>
    </row>
    <row r="153" spans="1:13" x14ac:dyDescent="0.25">
      <c r="A153" s="252">
        <v>149</v>
      </c>
      <c r="B153" s="253">
        <f t="shared" si="23"/>
        <v>50055</v>
      </c>
      <c r="C153" s="252">
        <f>ROUND(IF(Input!$B$15="Yes",'Unique Tenure'!C153,'180M'!C153),0)</f>
        <v>33127053</v>
      </c>
      <c r="D153" s="252">
        <f t="shared" si="24"/>
        <v>0.7</v>
      </c>
      <c r="E153" s="252">
        <f t="shared" si="18"/>
        <v>23188937.099999998</v>
      </c>
      <c r="F153" s="249">
        <f t="shared" si="25"/>
        <v>31</v>
      </c>
      <c r="G153" s="258">
        <f t="shared" si="26"/>
        <v>0.15</v>
      </c>
      <c r="H153" s="252">
        <f t="shared" si="19"/>
        <v>0</v>
      </c>
      <c r="I153" s="252">
        <f t="shared" si="20"/>
        <v>0</v>
      </c>
      <c r="J153" s="254">
        <f>IF($A153&lt;=Input!$C$6,0,IF(E153&lt;H153,E153-I153,H153))</f>
        <v>0</v>
      </c>
      <c r="K153" s="256">
        <f t="shared" si="21"/>
        <v>0</v>
      </c>
      <c r="L153" s="256">
        <f t="shared" si="22"/>
        <v>0</v>
      </c>
      <c r="M153" s="249"/>
    </row>
    <row r="154" spans="1:13" x14ac:dyDescent="0.25">
      <c r="A154" s="252">
        <v>150</v>
      </c>
      <c r="B154" s="253">
        <f t="shared" si="23"/>
        <v>50086</v>
      </c>
      <c r="C154" s="252">
        <f>ROUND(IF(Input!$B$15="Yes",'Unique Tenure'!C154,'180M'!C154),0)</f>
        <v>33127053</v>
      </c>
      <c r="D154" s="252">
        <f t="shared" si="24"/>
        <v>0.7</v>
      </c>
      <c r="E154" s="252">
        <f t="shared" si="18"/>
        <v>23188937.099999998</v>
      </c>
      <c r="F154" s="249">
        <f t="shared" si="25"/>
        <v>31</v>
      </c>
      <c r="G154" s="258">
        <f t="shared" si="26"/>
        <v>0.15</v>
      </c>
      <c r="H154" s="252">
        <f t="shared" si="19"/>
        <v>0</v>
      </c>
      <c r="I154" s="252">
        <f t="shared" si="20"/>
        <v>0</v>
      </c>
      <c r="J154" s="254">
        <f>IF($A154&lt;=Input!$C$6,0,IF(E154&lt;H154,E154-I154,H154))</f>
        <v>0</v>
      </c>
      <c r="K154" s="256">
        <f t="shared" si="21"/>
        <v>0</v>
      </c>
      <c r="L154" s="256">
        <f t="shared" si="22"/>
        <v>0</v>
      </c>
      <c r="M154" s="249"/>
    </row>
    <row r="155" spans="1:13" x14ac:dyDescent="0.25">
      <c r="A155" s="252">
        <v>151</v>
      </c>
      <c r="B155" s="253">
        <f t="shared" si="23"/>
        <v>50114</v>
      </c>
      <c r="C155" s="252">
        <f>ROUND(IF(Input!$B$15="Yes",'Unique Tenure'!C155,'180M'!C155),0)</f>
        <v>33127053</v>
      </c>
      <c r="D155" s="252">
        <f t="shared" si="24"/>
        <v>0.7</v>
      </c>
      <c r="E155" s="252">
        <f t="shared" si="18"/>
        <v>23188937.099999998</v>
      </c>
      <c r="F155" s="249">
        <f t="shared" si="25"/>
        <v>28</v>
      </c>
      <c r="G155" s="258">
        <f t="shared" si="26"/>
        <v>0.15</v>
      </c>
      <c r="H155" s="252">
        <f t="shared" si="19"/>
        <v>0</v>
      </c>
      <c r="I155" s="252">
        <f t="shared" si="20"/>
        <v>0</v>
      </c>
      <c r="J155" s="254">
        <f>IF($A155&lt;=Input!$C$6,0,IF(E155&lt;H155,E155-I155,H155))</f>
        <v>0</v>
      </c>
      <c r="K155" s="256">
        <f t="shared" si="21"/>
        <v>0</v>
      </c>
      <c r="L155" s="256">
        <f t="shared" si="22"/>
        <v>0</v>
      </c>
      <c r="M155" s="249"/>
    </row>
    <row r="156" spans="1:13" x14ac:dyDescent="0.25">
      <c r="A156" s="252">
        <v>152</v>
      </c>
      <c r="B156" s="253">
        <f t="shared" si="23"/>
        <v>50145</v>
      </c>
      <c r="C156" s="252">
        <f>ROUND(IF(Input!$B$15="Yes",'Unique Tenure'!C156,'180M'!C156),0)</f>
        <v>33127053</v>
      </c>
      <c r="D156" s="252">
        <f t="shared" si="24"/>
        <v>0.7</v>
      </c>
      <c r="E156" s="252">
        <f t="shared" si="18"/>
        <v>23188937.099999998</v>
      </c>
      <c r="F156" s="249">
        <f t="shared" si="25"/>
        <v>31</v>
      </c>
      <c r="G156" s="258">
        <f t="shared" si="26"/>
        <v>0.15</v>
      </c>
      <c r="H156" s="252">
        <f t="shared" si="19"/>
        <v>0</v>
      </c>
      <c r="I156" s="252">
        <f t="shared" si="20"/>
        <v>0</v>
      </c>
      <c r="J156" s="254">
        <f>IF($A156&lt;=Input!$C$6,0,IF(E156&lt;H156,E156-I156,H156))</f>
        <v>0</v>
      </c>
      <c r="K156" s="256">
        <f t="shared" si="21"/>
        <v>0</v>
      </c>
      <c r="L156" s="256">
        <f t="shared" si="22"/>
        <v>0</v>
      </c>
      <c r="M156" s="249"/>
    </row>
    <row r="157" spans="1:13" x14ac:dyDescent="0.25">
      <c r="A157" s="252">
        <v>153</v>
      </c>
      <c r="B157" s="253">
        <f t="shared" si="23"/>
        <v>50175</v>
      </c>
      <c r="C157" s="252">
        <f>ROUND(IF(Input!$B$15="Yes",'Unique Tenure'!C157,'180M'!C157),0)</f>
        <v>33127053</v>
      </c>
      <c r="D157" s="252">
        <f t="shared" si="24"/>
        <v>0.7</v>
      </c>
      <c r="E157" s="252">
        <f t="shared" si="18"/>
        <v>23188937.099999998</v>
      </c>
      <c r="F157" s="249">
        <f t="shared" si="25"/>
        <v>30</v>
      </c>
      <c r="G157" s="258">
        <f t="shared" si="26"/>
        <v>0.15</v>
      </c>
      <c r="H157" s="252">
        <f t="shared" si="19"/>
        <v>0</v>
      </c>
      <c r="I157" s="252">
        <f t="shared" si="20"/>
        <v>0</v>
      </c>
      <c r="J157" s="254">
        <f>IF($A157&lt;=Input!$C$6,0,IF(E157&lt;H157,E157-I157,H157))</f>
        <v>0</v>
      </c>
      <c r="K157" s="256">
        <f t="shared" si="21"/>
        <v>0</v>
      </c>
      <c r="L157" s="256">
        <f t="shared" si="22"/>
        <v>0</v>
      </c>
      <c r="M157" s="249"/>
    </row>
    <row r="158" spans="1:13" x14ac:dyDescent="0.25">
      <c r="A158" s="252">
        <v>154</v>
      </c>
      <c r="B158" s="253">
        <f t="shared" si="23"/>
        <v>50206</v>
      </c>
      <c r="C158" s="252">
        <f>ROUND(IF(Input!$B$15="Yes",'Unique Tenure'!C158,'180M'!C158),0)</f>
        <v>33127053</v>
      </c>
      <c r="D158" s="252">
        <f t="shared" si="24"/>
        <v>0.7</v>
      </c>
      <c r="E158" s="252">
        <f t="shared" si="18"/>
        <v>23188937.099999998</v>
      </c>
      <c r="F158" s="249">
        <f t="shared" si="25"/>
        <v>31</v>
      </c>
      <c r="G158" s="258">
        <f t="shared" si="26"/>
        <v>0.15</v>
      </c>
      <c r="H158" s="252">
        <f t="shared" si="19"/>
        <v>0</v>
      </c>
      <c r="I158" s="252">
        <f t="shared" si="20"/>
        <v>0</v>
      </c>
      <c r="J158" s="254">
        <f>IF($A158&lt;=Input!$C$6,0,IF(E158&lt;H158,E158-I158,H158))</f>
        <v>0</v>
      </c>
      <c r="K158" s="256">
        <f t="shared" si="21"/>
        <v>0</v>
      </c>
      <c r="L158" s="256">
        <f t="shared" si="22"/>
        <v>0</v>
      </c>
      <c r="M158" s="249"/>
    </row>
    <row r="159" spans="1:13" x14ac:dyDescent="0.25">
      <c r="A159" s="252">
        <v>155</v>
      </c>
      <c r="B159" s="253">
        <f t="shared" si="23"/>
        <v>50236</v>
      </c>
      <c r="C159" s="252">
        <f>ROUND(IF(Input!$B$15="Yes",'Unique Tenure'!C159,'180M'!C159),0)</f>
        <v>33127053</v>
      </c>
      <c r="D159" s="252">
        <f t="shared" si="24"/>
        <v>0.7</v>
      </c>
      <c r="E159" s="252">
        <f t="shared" si="18"/>
        <v>23188937.099999998</v>
      </c>
      <c r="F159" s="249">
        <f t="shared" si="25"/>
        <v>30</v>
      </c>
      <c r="G159" s="258">
        <f t="shared" si="26"/>
        <v>0.15</v>
      </c>
      <c r="H159" s="252">
        <f t="shared" si="19"/>
        <v>0</v>
      </c>
      <c r="I159" s="252">
        <f t="shared" si="20"/>
        <v>0</v>
      </c>
      <c r="J159" s="254">
        <f>IF($A159&lt;=Input!$C$6,0,IF(E159&lt;H159,E159-I159,H159))</f>
        <v>0</v>
      </c>
      <c r="K159" s="256">
        <f t="shared" si="21"/>
        <v>0</v>
      </c>
      <c r="L159" s="256">
        <f t="shared" si="22"/>
        <v>0</v>
      </c>
      <c r="M159" s="249"/>
    </row>
    <row r="160" spans="1:13" x14ac:dyDescent="0.25">
      <c r="A160" s="252">
        <v>156</v>
      </c>
      <c r="B160" s="253">
        <f t="shared" si="23"/>
        <v>50267</v>
      </c>
      <c r="C160" s="252">
        <f>ROUND(IF(Input!$B$15="Yes",'Unique Tenure'!C160,'180M'!C160),0)</f>
        <v>33127053</v>
      </c>
      <c r="D160" s="252">
        <f t="shared" si="24"/>
        <v>0.7</v>
      </c>
      <c r="E160" s="252">
        <f t="shared" si="18"/>
        <v>23188937.099999998</v>
      </c>
      <c r="F160" s="249">
        <f t="shared" si="25"/>
        <v>31</v>
      </c>
      <c r="G160" s="258">
        <f t="shared" si="26"/>
        <v>0.15</v>
      </c>
      <c r="H160" s="252">
        <f t="shared" si="19"/>
        <v>0</v>
      </c>
      <c r="I160" s="252">
        <f t="shared" si="20"/>
        <v>0</v>
      </c>
      <c r="J160" s="254">
        <f>IF($A160&lt;=Input!$C$6,0,IF(E160&lt;H160,E160-I160,H160))</f>
        <v>0</v>
      </c>
      <c r="K160" s="256">
        <f t="shared" si="21"/>
        <v>0</v>
      </c>
      <c r="L160" s="256">
        <f t="shared" si="22"/>
        <v>0</v>
      </c>
      <c r="M160" s="249"/>
    </row>
    <row r="161" spans="1:13" x14ac:dyDescent="0.25">
      <c r="A161" s="252">
        <v>157</v>
      </c>
      <c r="B161" s="253">
        <f t="shared" si="23"/>
        <v>50298</v>
      </c>
      <c r="C161" s="252">
        <f>ROUND(IF(Input!$B$15="Yes",'Unique Tenure'!C161,'180M'!C161),0)</f>
        <v>33127053</v>
      </c>
      <c r="D161" s="252">
        <f t="shared" si="24"/>
        <v>0.7</v>
      </c>
      <c r="E161" s="252">
        <f t="shared" si="18"/>
        <v>23188937.099999998</v>
      </c>
      <c r="F161" s="249">
        <f t="shared" si="25"/>
        <v>31</v>
      </c>
      <c r="G161" s="258">
        <f t="shared" si="26"/>
        <v>0.15</v>
      </c>
      <c r="H161" s="252">
        <f t="shared" si="19"/>
        <v>0</v>
      </c>
      <c r="I161" s="252">
        <f t="shared" si="20"/>
        <v>0</v>
      </c>
      <c r="J161" s="254">
        <f>IF($A161&lt;=Input!$C$6,0,IF(E161&lt;H161,E161-I161,H161))</f>
        <v>0</v>
      </c>
      <c r="K161" s="256">
        <f t="shared" si="21"/>
        <v>0</v>
      </c>
      <c r="L161" s="256">
        <f t="shared" si="22"/>
        <v>0</v>
      </c>
      <c r="M161" s="249"/>
    </row>
    <row r="162" spans="1:13" x14ac:dyDescent="0.25">
      <c r="A162" s="252">
        <v>158</v>
      </c>
      <c r="B162" s="253">
        <f t="shared" si="23"/>
        <v>50328</v>
      </c>
      <c r="C162" s="252">
        <f>ROUND(IF(Input!$B$15="Yes",'Unique Tenure'!C162,'180M'!C162),0)</f>
        <v>33127053</v>
      </c>
      <c r="D162" s="252">
        <f t="shared" si="24"/>
        <v>0.7</v>
      </c>
      <c r="E162" s="252">
        <f t="shared" si="18"/>
        <v>23188937.099999998</v>
      </c>
      <c r="F162" s="249">
        <f t="shared" si="25"/>
        <v>30</v>
      </c>
      <c r="G162" s="258">
        <f t="shared" si="26"/>
        <v>0.15</v>
      </c>
      <c r="H162" s="252">
        <f t="shared" si="19"/>
        <v>0</v>
      </c>
      <c r="I162" s="252">
        <f t="shared" si="20"/>
        <v>0</v>
      </c>
      <c r="J162" s="254">
        <f>IF($A162&lt;=Input!$C$6,0,IF(E162&lt;H162,E162-I162,H162))</f>
        <v>0</v>
      </c>
      <c r="K162" s="256">
        <f t="shared" si="21"/>
        <v>0</v>
      </c>
      <c r="L162" s="256">
        <f t="shared" si="22"/>
        <v>0</v>
      </c>
      <c r="M162" s="249"/>
    </row>
    <row r="163" spans="1:13" x14ac:dyDescent="0.25">
      <c r="A163" s="252">
        <v>159</v>
      </c>
      <c r="B163" s="253">
        <f t="shared" si="23"/>
        <v>50359</v>
      </c>
      <c r="C163" s="252">
        <f>ROUND(IF(Input!$B$15="Yes",'Unique Tenure'!C163,'180M'!C163),0)</f>
        <v>33127053</v>
      </c>
      <c r="D163" s="252">
        <f t="shared" si="24"/>
        <v>0.7</v>
      </c>
      <c r="E163" s="252">
        <f t="shared" si="18"/>
        <v>23188937.099999998</v>
      </c>
      <c r="F163" s="249">
        <f t="shared" si="25"/>
        <v>31</v>
      </c>
      <c r="G163" s="258">
        <f t="shared" si="26"/>
        <v>0.15</v>
      </c>
      <c r="H163" s="252">
        <f t="shared" si="19"/>
        <v>0</v>
      </c>
      <c r="I163" s="252">
        <f t="shared" si="20"/>
        <v>0</v>
      </c>
      <c r="J163" s="254">
        <f>IF($A163&lt;=Input!$C$6,0,IF(E163&lt;H163,E163-I163,H163))</f>
        <v>0</v>
      </c>
      <c r="K163" s="256">
        <f t="shared" si="21"/>
        <v>0</v>
      </c>
      <c r="L163" s="256">
        <f t="shared" si="22"/>
        <v>0</v>
      </c>
      <c r="M163" s="249"/>
    </row>
    <row r="164" spans="1:13" x14ac:dyDescent="0.25">
      <c r="A164" s="252">
        <v>160</v>
      </c>
      <c r="B164" s="253">
        <f t="shared" si="23"/>
        <v>50389</v>
      </c>
      <c r="C164" s="252">
        <f>ROUND(IF(Input!$B$15="Yes",'Unique Tenure'!C164,'180M'!C164),0)</f>
        <v>33127053</v>
      </c>
      <c r="D164" s="252">
        <f t="shared" si="24"/>
        <v>0.7</v>
      </c>
      <c r="E164" s="252">
        <f t="shared" si="18"/>
        <v>23188937.099999998</v>
      </c>
      <c r="F164" s="249">
        <f t="shared" si="25"/>
        <v>30</v>
      </c>
      <c r="G164" s="258">
        <f t="shared" si="26"/>
        <v>0.15</v>
      </c>
      <c r="H164" s="252">
        <f t="shared" si="19"/>
        <v>0</v>
      </c>
      <c r="I164" s="252">
        <f t="shared" si="20"/>
        <v>0</v>
      </c>
      <c r="J164" s="254">
        <f>IF($A164&lt;=Input!$C$6,0,IF(E164&lt;H164,E164-I164,H164))</f>
        <v>0</v>
      </c>
      <c r="K164" s="256">
        <f t="shared" si="21"/>
        <v>0</v>
      </c>
      <c r="L164" s="256">
        <f t="shared" si="22"/>
        <v>0</v>
      </c>
      <c r="M164" s="249"/>
    </row>
    <row r="165" spans="1:13" x14ac:dyDescent="0.25">
      <c r="A165" s="252">
        <v>161</v>
      </c>
      <c r="B165" s="253">
        <f t="shared" si="23"/>
        <v>50420</v>
      </c>
      <c r="C165" s="252">
        <f>ROUND(IF(Input!$B$15="Yes",'Unique Tenure'!C165,'180M'!C165),0)</f>
        <v>33127053</v>
      </c>
      <c r="D165" s="252">
        <f t="shared" si="24"/>
        <v>0.7</v>
      </c>
      <c r="E165" s="252">
        <f t="shared" si="18"/>
        <v>23188937.099999998</v>
      </c>
      <c r="F165" s="249">
        <f t="shared" si="25"/>
        <v>31</v>
      </c>
      <c r="G165" s="258">
        <f t="shared" si="26"/>
        <v>0.15</v>
      </c>
      <c r="H165" s="252">
        <f t="shared" si="19"/>
        <v>0</v>
      </c>
      <c r="I165" s="252">
        <f t="shared" si="20"/>
        <v>0</v>
      </c>
      <c r="J165" s="254">
        <f>IF($A165&lt;=Input!$C$6,0,IF(E165&lt;H165,E165-I165,H165))</f>
        <v>0</v>
      </c>
      <c r="K165" s="256">
        <f t="shared" si="21"/>
        <v>0</v>
      </c>
      <c r="L165" s="256">
        <f t="shared" si="22"/>
        <v>0</v>
      </c>
      <c r="M165" s="249"/>
    </row>
    <row r="166" spans="1:13" x14ac:dyDescent="0.25">
      <c r="A166" s="252">
        <v>162</v>
      </c>
      <c r="B166" s="253">
        <f t="shared" si="23"/>
        <v>50451</v>
      </c>
      <c r="C166" s="252">
        <f>ROUND(IF(Input!$B$15="Yes",'Unique Tenure'!C166,'180M'!C166),0)</f>
        <v>33127053</v>
      </c>
      <c r="D166" s="252">
        <f t="shared" si="24"/>
        <v>0.7</v>
      </c>
      <c r="E166" s="252">
        <f t="shared" si="18"/>
        <v>23188937.099999998</v>
      </c>
      <c r="F166" s="249">
        <f t="shared" si="25"/>
        <v>31</v>
      </c>
      <c r="G166" s="258">
        <f t="shared" si="26"/>
        <v>0.15</v>
      </c>
      <c r="H166" s="252">
        <f t="shared" si="19"/>
        <v>0</v>
      </c>
      <c r="I166" s="252">
        <f t="shared" si="20"/>
        <v>0</v>
      </c>
      <c r="J166" s="254">
        <f>IF($A166&lt;=Input!$C$6,0,IF(E166&lt;H166,E166-I166,H166))</f>
        <v>0</v>
      </c>
      <c r="K166" s="256">
        <f t="shared" si="21"/>
        <v>0</v>
      </c>
      <c r="L166" s="256">
        <f t="shared" si="22"/>
        <v>0</v>
      </c>
      <c r="M166" s="249"/>
    </row>
    <row r="167" spans="1:13" x14ac:dyDescent="0.25">
      <c r="A167" s="252">
        <v>163</v>
      </c>
      <c r="B167" s="253">
        <f t="shared" si="23"/>
        <v>50479</v>
      </c>
      <c r="C167" s="252">
        <f>ROUND(IF(Input!$B$15="Yes",'Unique Tenure'!C167,'180M'!C167),0)</f>
        <v>33127053</v>
      </c>
      <c r="D167" s="252">
        <f t="shared" si="24"/>
        <v>0.7</v>
      </c>
      <c r="E167" s="252">
        <f t="shared" si="18"/>
        <v>23188937.099999998</v>
      </c>
      <c r="F167" s="249">
        <f t="shared" si="25"/>
        <v>28</v>
      </c>
      <c r="G167" s="258">
        <f t="shared" si="26"/>
        <v>0.15</v>
      </c>
      <c r="H167" s="252">
        <f t="shared" si="19"/>
        <v>0</v>
      </c>
      <c r="I167" s="252">
        <f t="shared" si="20"/>
        <v>0</v>
      </c>
      <c r="J167" s="254">
        <f>IF($A167&lt;=Input!$C$6,0,IF(E167&lt;H167,E167-I167,H167))</f>
        <v>0</v>
      </c>
      <c r="K167" s="256">
        <f t="shared" si="21"/>
        <v>0</v>
      </c>
      <c r="L167" s="256">
        <f t="shared" si="22"/>
        <v>0</v>
      </c>
      <c r="M167" s="249"/>
    </row>
    <row r="168" spans="1:13" x14ac:dyDescent="0.25">
      <c r="A168" s="252">
        <v>164</v>
      </c>
      <c r="B168" s="253">
        <f t="shared" si="23"/>
        <v>50510</v>
      </c>
      <c r="C168" s="252">
        <f>ROUND(IF(Input!$B$15="Yes",'Unique Tenure'!C168,'180M'!C168),0)</f>
        <v>33127053</v>
      </c>
      <c r="D168" s="252">
        <f t="shared" si="24"/>
        <v>0.7</v>
      </c>
      <c r="E168" s="252">
        <f t="shared" si="18"/>
        <v>23188937.099999998</v>
      </c>
      <c r="F168" s="249">
        <f t="shared" si="25"/>
        <v>31</v>
      </c>
      <c r="G168" s="258">
        <f t="shared" si="26"/>
        <v>0.15</v>
      </c>
      <c r="H168" s="252">
        <f t="shared" si="19"/>
        <v>0</v>
      </c>
      <c r="I168" s="252">
        <f t="shared" si="20"/>
        <v>0</v>
      </c>
      <c r="J168" s="254">
        <f>IF($A168&lt;=Input!$C$6,0,IF(E168&lt;H168,E168-I168,H168))</f>
        <v>0</v>
      </c>
      <c r="K168" s="256">
        <f t="shared" si="21"/>
        <v>0</v>
      </c>
      <c r="L168" s="256">
        <f t="shared" si="22"/>
        <v>0</v>
      </c>
      <c r="M168" s="249"/>
    </row>
    <row r="169" spans="1:13" x14ac:dyDescent="0.25">
      <c r="A169" s="252">
        <v>165</v>
      </c>
      <c r="B169" s="253">
        <f t="shared" si="23"/>
        <v>50540</v>
      </c>
      <c r="C169" s="252">
        <f>ROUND(IF(Input!$B$15="Yes",'Unique Tenure'!C169,'180M'!C169),0)</f>
        <v>33127053</v>
      </c>
      <c r="D169" s="252">
        <f t="shared" si="24"/>
        <v>0.7</v>
      </c>
      <c r="E169" s="252">
        <f t="shared" si="18"/>
        <v>23188937.099999998</v>
      </c>
      <c r="F169" s="249">
        <f t="shared" si="25"/>
        <v>30</v>
      </c>
      <c r="G169" s="258">
        <f t="shared" si="26"/>
        <v>0.15</v>
      </c>
      <c r="H169" s="252">
        <f t="shared" si="19"/>
        <v>0</v>
      </c>
      <c r="I169" s="252">
        <f t="shared" si="20"/>
        <v>0</v>
      </c>
      <c r="J169" s="254">
        <f>IF($A169&lt;=Input!$C$6,0,IF(E169&lt;H169,E169-I169,H169))</f>
        <v>0</v>
      </c>
      <c r="K169" s="256">
        <f t="shared" si="21"/>
        <v>0</v>
      </c>
      <c r="L169" s="256">
        <f t="shared" si="22"/>
        <v>0</v>
      </c>
      <c r="M169" s="249"/>
    </row>
    <row r="170" spans="1:13" x14ac:dyDescent="0.25">
      <c r="A170" s="252">
        <v>166</v>
      </c>
      <c r="B170" s="253">
        <f t="shared" si="23"/>
        <v>50571</v>
      </c>
      <c r="C170" s="252">
        <f>ROUND(IF(Input!$B$15="Yes",'Unique Tenure'!C170,'180M'!C170),0)</f>
        <v>33127053</v>
      </c>
      <c r="D170" s="252">
        <f t="shared" si="24"/>
        <v>0.7</v>
      </c>
      <c r="E170" s="252">
        <f t="shared" si="18"/>
        <v>23188937.099999998</v>
      </c>
      <c r="F170" s="249">
        <f t="shared" si="25"/>
        <v>31</v>
      </c>
      <c r="G170" s="258">
        <f t="shared" si="26"/>
        <v>0.15</v>
      </c>
      <c r="H170" s="252">
        <f t="shared" si="19"/>
        <v>0</v>
      </c>
      <c r="I170" s="252">
        <f t="shared" si="20"/>
        <v>0</v>
      </c>
      <c r="J170" s="254">
        <f>IF($A170&lt;=Input!$C$6,0,IF(E170&lt;H170,E170-I170,H170))</f>
        <v>0</v>
      </c>
      <c r="K170" s="256">
        <f t="shared" si="21"/>
        <v>0</v>
      </c>
      <c r="L170" s="256">
        <f t="shared" si="22"/>
        <v>0</v>
      </c>
      <c r="M170" s="249"/>
    </row>
    <row r="171" spans="1:13" x14ac:dyDescent="0.25">
      <c r="A171" s="252">
        <v>167</v>
      </c>
      <c r="B171" s="253">
        <f t="shared" si="23"/>
        <v>50601</v>
      </c>
      <c r="C171" s="252">
        <f>ROUND(IF(Input!$B$15="Yes",'Unique Tenure'!C171,'180M'!C171),0)</f>
        <v>33127053</v>
      </c>
      <c r="D171" s="252">
        <f t="shared" si="24"/>
        <v>0.7</v>
      </c>
      <c r="E171" s="252">
        <f t="shared" si="18"/>
        <v>23188937.099999998</v>
      </c>
      <c r="F171" s="249">
        <f t="shared" si="25"/>
        <v>30</v>
      </c>
      <c r="G171" s="258">
        <f t="shared" si="26"/>
        <v>0.15</v>
      </c>
      <c r="H171" s="252">
        <f t="shared" si="19"/>
        <v>0</v>
      </c>
      <c r="I171" s="252">
        <f t="shared" si="20"/>
        <v>0</v>
      </c>
      <c r="J171" s="254">
        <f>IF($A171&lt;=Input!$C$6,0,IF(E171&lt;H171,E171-I171,H171))</f>
        <v>0</v>
      </c>
      <c r="K171" s="256">
        <f t="shared" si="21"/>
        <v>0</v>
      </c>
      <c r="L171" s="256">
        <f t="shared" si="22"/>
        <v>0</v>
      </c>
      <c r="M171" s="249"/>
    </row>
    <row r="172" spans="1:13" x14ac:dyDescent="0.25">
      <c r="A172" s="252">
        <v>168</v>
      </c>
      <c r="B172" s="253">
        <f t="shared" si="23"/>
        <v>50632</v>
      </c>
      <c r="C172" s="252">
        <f>ROUND(IF(Input!$B$15="Yes",'Unique Tenure'!C172,'180M'!C172),0)</f>
        <v>33127053</v>
      </c>
      <c r="D172" s="252">
        <f t="shared" si="24"/>
        <v>0.7</v>
      </c>
      <c r="E172" s="252">
        <f t="shared" si="18"/>
        <v>23188937.099999998</v>
      </c>
      <c r="F172" s="249">
        <f t="shared" si="25"/>
        <v>31</v>
      </c>
      <c r="G172" s="258">
        <f t="shared" si="26"/>
        <v>0.15</v>
      </c>
      <c r="H172" s="252">
        <f t="shared" si="19"/>
        <v>0</v>
      </c>
      <c r="I172" s="252">
        <f t="shared" si="20"/>
        <v>0</v>
      </c>
      <c r="J172" s="254">
        <f>IF($A172&lt;=Input!$C$6,0,IF(E172&lt;H172,E172-I172,H172))</f>
        <v>0</v>
      </c>
      <c r="K172" s="256">
        <f t="shared" si="21"/>
        <v>0</v>
      </c>
      <c r="L172" s="256">
        <f t="shared" si="22"/>
        <v>0</v>
      </c>
      <c r="M172" s="249"/>
    </row>
    <row r="173" spans="1:13" x14ac:dyDescent="0.25">
      <c r="A173" s="252">
        <v>169</v>
      </c>
      <c r="B173" s="253">
        <f t="shared" si="23"/>
        <v>50663</v>
      </c>
      <c r="C173" s="252">
        <f>ROUND(IF(Input!$B$15="Yes",'Unique Tenure'!C173,'180M'!C173),0)</f>
        <v>33127053</v>
      </c>
      <c r="D173" s="252">
        <f t="shared" si="24"/>
        <v>0.7</v>
      </c>
      <c r="E173" s="252">
        <f t="shared" si="18"/>
        <v>23188937.099999998</v>
      </c>
      <c r="F173" s="249">
        <f t="shared" si="25"/>
        <v>31</v>
      </c>
      <c r="G173" s="258">
        <f t="shared" si="26"/>
        <v>0.15</v>
      </c>
      <c r="H173" s="252">
        <f t="shared" si="19"/>
        <v>0</v>
      </c>
      <c r="I173" s="252">
        <f t="shared" si="20"/>
        <v>0</v>
      </c>
      <c r="J173" s="254">
        <f>IF($A173&lt;=Input!$C$6,0,IF(E173&lt;H173,E173-I173,H173))</f>
        <v>0</v>
      </c>
      <c r="K173" s="256">
        <f t="shared" si="21"/>
        <v>0</v>
      </c>
      <c r="L173" s="256">
        <f t="shared" si="22"/>
        <v>0</v>
      </c>
      <c r="M173" s="249"/>
    </row>
    <row r="174" spans="1:13" x14ac:dyDescent="0.25">
      <c r="A174" s="252">
        <v>170</v>
      </c>
      <c r="B174" s="253">
        <f t="shared" si="23"/>
        <v>50693</v>
      </c>
      <c r="C174" s="252">
        <f>ROUND(IF(Input!$B$15="Yes",'Unique Tenure'!C174,'180M'!C174),0)</f>
        <v>33127053</v>
      </c>
      <c r="D174" s="252">
        <f t="shared" si="24"/>
        <v>0.7</v>
      </c>
      <c r="E174" s="252">
        <f t="shared" si="18"/>
        <v>23188937.099999998</v>
      </c>
      <c r="F174" s="249">
        <f t="shared" si="25"/>
        <v>30</v>
      </c>
      <c r="G174" s="258">
        <f t="shared" si="26"/>
        <v>0.15</v>
      </c>
      <c r="H174" s="252">
        <f t="shared" si="19"/>
        <v>0</v>
      </c>
      <c r="I174" s="252">
        <f t="shared" si="20"/>
        <v>0</v>
      </c>
      <c r="J174" s="254">
        <f>IF($A174&lt;=Input!$C$6,0,IF(E174&lt;H174,E174-I174,H174))</f>
        <v>0</v>
      </c>
      <c r="K174" s="256">
        <f t="shared" si="21"/>
        <v>0</v>
      </c>
      <c r="L174" s="256">
        <f t="shared" si="22"/>
        <v>0</v>
      </c>
      <c r="M174" s="249"/>
    </row>
    <row r="175" spans="1:13" x14ac:dyDescent="0.25">
      <c r="A175" s="252">
        <v>171</v>
      </c>
      <c r="B175" s="253">
        <f t="shared" si="23"/>
        <v>50724</v>
      </c>
      <c r="C175" s="252">
        <f>ROUND(IF(Input!$B$15="Yes",'Unique Tenure'!C175,'180M'!C175),0)</f>
        <v>33127053</v>
      </c>
      <c r="D175" s="252">
        <f t="shared" si="24"/>
        <v>0.7</v>
      </c>
      <c r="E175" s="252">
        <f t="shared" si="18"/>
        <v>23188937.099999998</v>
      </c>
      <c r="F175" s="249">
        <f t="shared" si="25"/>
        <v>31</v>
      </c>
      <c r="G175" s="258">
        <f t="shared" si="26"/>
        <v>0.15</v>
      </c>
      <c r="H175" s="252">
        <f t="shared" si="19"/>
        <v>0</v>
      </c>
      <c r="I175" s="252">
        <f t="shared" si="20"/>
        <v>0</v>
      </c>
      <c r="J175" s="254">
        <f>IF($A175&lt;=Input!$C$6,0,IF(E175&lt;H175,E175-I175,H175))</f>
        <v>0</v>
      </c>
      <c r="K175" s="256">
        <f t="shared" si="21"/>
        <v>0</v>
      </c>
      <c r="L175" s="256">
        <f t="shared" si="22"/>
        <v>0</v>
      </c>
      <c r="M175" s="249"/>
    </row>
    <row r="176" spans="1:13" x14ac:dyDescent="0.25">
      <c r="A176" s="252">
        <v>172</v>
      </c>
      <c r="B176" s="253">
        <f t="shared" si="23"/>
        <v>50754</v>
      </c>
      <c r="C176" s="252">
        <f>ROUND(IF(Input!$B$15="Yes",'Unique Tenure'!C176,'180M'!C176),0)</f>
        <v>33127053</v>
      </c>
      <c r="D176" s="252">
        <f t="shared" si="24"/>
        <v>0.7</v>
      </c>
      <c r="E176" s="252">
        <f t="shared" si="18"/>
        <v>23188937.099999998</v>
      </c>
      <c r="F176" s="249">
        <f t="shared" si="25"/>
        <v>30</v>
      </c>
      <c r="G176" s="258">
        <f t="shared" si="26"/>
        <v>0.15</v>
      </c>
      <c r="H176" s="252">
        <f t="shared" si="19"/>
        <v>0</v>
      </c>
      <c r="I176" s="252">
        <f t="shared" si="20"/>
        <v>0</v>
      </c>
      <c r="J176" s="254">
        <f>IF($A176&lt;=Input!$C$6,0,IF(E176&lt;H176,E176-I176,H176))</f>
        <v>0</v>
      </c>
      <c r="K176" s="256">
        <f t="shared" si="21"/>
        <v>0</v>
      </c>
      <c r="L176" s="256">
        <f t="shared" si="22"/>
        <v>0</v>
      </c>
      <c r="M176" s="249"/>
    </row>
    <row r="177" spans="1:13" x14ac:dyDescent="0.25">
      <c r="A177" s="252">
        <v>173</v>
      </c>
      <c r="B177" s="253">
        <f t="shared" si="23"/>
        <v>50785</v>
      </c>
      <c r="C177" s="252">
        <f>ROUND(IF(Input!$B$15="Yes",'Unique Tenure'!C177,'180M'!C177),0)</f>
        <v>33127053</v>
      </c>
      <c r="D177" s="252">
        <f t="shared" si="24"/>
        <v>0.7</v>
      </c>
      <c r="E177" s="252">
        <f t="shared" si="18"/>
        <v>23188937.099999998</v>
      </c>
      <c r="F177" s="249">
        <f t="shared" si="25"/>
        <v>31</v>
      </c>
      <c r="G177" s="258">
        <f t="shared" si="26"/>
        <v>0.15</v>
      </c>
      <c r="H177" s="252">
        <f t="shared" si="19"/>
        <v>0</v>
      </c>
      <c r="I177" s="252">
        <f t="shared" si="20"/>
        <v>0</v>
      </c>
      <c r="J177" s="254">
        <f>IF($A177&lt;=Input!$C$6,0,IF(E177&lt;H177,E177-I177,H177))</f>
        <v>0</v>
      </c>
      <c r="K177" s="256">
        <f t="shared" si="21"/>
        <v>0</v>
      </c>
      <c r="L177" s="256">
        <f t="shared" si="22"/>
        <v>0</v>
      </c>
      <c r="M177" s="249"/>
    </row>
    <row r="178" spans="1:13" x14ac:dyDescent="0.25">
      <c r="A178" s="252">
        <v>174</v>
      </c>
      <c r="B178" s="253">
        <f t="shared" si="23"/>
        <v>50816</v>
      </c>
      <c r="C178" s="252">
        <f>ROUND(IF(Input!$B$15="Yes",'Unique Tenure'!C178,'180M'!C178),0)</f>
        <v>33127053</v>
      </c>
      <c r="D178" s="252">
        <f t="shared" si="24"/>
        <v>0.7</v>
      </c>
      <c r="E178" s="252">
        <f t="shared" si="18"/>
        <v>23188937.099999998</v>
      </c>
      <c r="F178" s="249">
        <f t="shared" si="25"/>
        <v>31</v>
      </c>
      <c r="G178" s="258">
        <f t="shared" si="26"/>
        <v>0.15</v>
      </c>
      <c r="H178" s="252">
        <f t="shared" si="19"/>
        <v>0</v>
      </c>
      <c r="I178" s="252">
        <f t="shared" si="20"/>
        <v>0</v>
      </c>
      <c r="J178" s="254">
        <f>IF($A178&lt;=Input!$C$6,0,IF(E178&lt;H178,E178-I178,H178))</f>
        <v>0</v>
      </c>
      <c r="K178" s="256">
        <f t="shared" si="21"/>
        <v>0</v>
      </c>
      <c r="L178" s="256">
        <f t="shared" si="22"/>
        <v>0</v>
      </c>
      <c r="M178" s="249"/>
    </row>
    <row r="179" spans="1:13" x14ac:dyDescent="0.25">
      <c r="A179" s="252">
        <v>175</v>
      </c>
      <c r="B179" s="253">
        <f t="shared" si="23"/>
        <v>50844</v>
      </c>
      <c r="C179" s="252">
        <f>ROUND(IF(Input!$B$15="Yes",'Unique Tenure'!C179,'180M'!C179),0)</f>
        <v>33127053</v>
      </c>
      <c r="D179" s="252">
        <f t="shared" si="24"/>
        <v>0.7</v>
      </c>
      <c r="E179" s="252">
        <f t="shared" si="18"/>
        <v>23188937.099999998</v>
      </c>
      <c r="F179" s="249">
        <f t="shared" si="25"/>
        <v>28</v>
      </c>
      <c r="G179" s="258">
        <f t="shared" si="26"/>
        <v>0.15</v>
      </c>
      <c r="H179" s="252">
        <f t="shared" si="19"/>
        <v>0</v>
      </c>
      <c r="I179" s="252">
        <f t="shared" si="20"/>
        <v>0</v>
      </c>
      <c r="J179" s="254">
        <f>IF($A179&lt;=Input!$C$6,0,IF(E179&lt;H179,E179-I179,H179))</f>
        <v>0</v>
      </c>
      <c r="K179" s="256">
        <f t="shared" si="21"/>
        <v>0</v>
      </c>
      <c r="L179" s="256">
        <f t="shared" si="22"/>
        <v>0</v>
      </c>
      <c r="M179" s="249"/>
    </row>
    <row r="180" spans="1:13" x14ac:dyDescent="0.25">
      <c r="A180" s="252">
        <v>176</v>
      </c>
      <c r="B180" s="253">
        <f t="shared" si="23"/>
        <v>50875</v>
      </c>
      <c r="C180" s="252">
        <f>ROUND(IF(Input!$B$15="Yes",'Unique Tenure'!C180,'180M'!C180),0)</f>
        <v>33127053</v>
      </c>
      <c r="D180" s="252">
        <f t="shared" si="24"/>
        <v>0.7</v>
      </c>
      <c r="E180" s="252">
        <f t="shared" si="18"/>
        <v>23188937.099999998</v>
      </c>
      <c r="F180" s="249">
        <f t="shared" si="25"/>
        <v>31</v>
      </c>
      <c r="G180" s="258">
        <f t="shared" si="26"/>
        <v>0.15</v>
      </c>
      <c r="H180" s="252">
        <f t="shared" si="19"/>
        <v>0</v>
      </c>
      <c r="I180" s="252">
        <f t="shared" si="20"/>
        <v>0</v>
      </c>
      <c r="J180" s="254">
        <f>IF($A180&lt;=Input!$C$6,0,IF(E180&lt;H180,E180-I180,H180))</f>
        <v>0</v>
      </c>
      <c r="K180" s="256">
        <f t="shared" si="21"/>
        <v>0</v>
      </c>
      <c r="L180" s="256">
        <f t="shared" si="22"/>
        <v>0</v>
      </c>
      <c r="M180" s="249"/>
    </row>
    <row r="181" spans="1:13" x14ac:dyDescent="0.25">
      <c r="A181" s="252">
        <v>177</v>
      </c>
      <c r="B181" s="253">
        <f t="shared" si="23"/>
        <v>50905</v>
      </c>
      <c r="C181" s="252">
        <f>ROUND(IF(Input!$B$15="Yes",'Unique Tenure'!C181,'180M'!C181),0)</f>
        <v>33127053</v>
      </c>
      <c r="D181" s="252">
        <f t="shared" si="24"/>
        <v>0.7</v>
      </c>
      <c r="E181" s="252">
        <f t="shared" si="18"/>
        <v>23188937.099999998</v>
      </c>
      <c r="F181" s="249">
        <f t="shared" si="25"/>
        <v>30</v>
      </c>
      <c r="G181" s="258">
        <f t="shared" si="26"/>
        <v>0.15</v>
      </c>
      <c r="H181" s="252">
        <f t="shared" si="19"/>
        <v>0</v>
      </c>
      <c r="I181" s="252">
        <f t="shared" si="20"/>
        <v>0</v>
      </c>
      <c r="J181" s="254">
        <f>IF($A181&lt;=Input!$C$6,0,IF(E181&lt;H181,E181-I181,H181))</f>
        <v>0</v>
      </c>
      <c r="K181" s="256">
        <f t="shared" si="21"/>
        <v>0</v>
      </c>
      <c r="L181" s="256">
        <f t="shared" si="22"/>
        <v>0</v>
      </c>
      <c r="M181" s="249"/>
    </row>
    <row r="182" spans="1:13" x14ac:dyDescent="0.25">
      <c r="A182" s="252">
        <v>178</v>
      </c>
      <c r="B182" s="253">
        <f t="shared" si="23"/>
        <v>50936</v>
      </c>
      <c r="C182" s="252">
        <f>ROUND(IF(Input!$B$15="Yes",'Unique Tenure'!C182,'180M'!C182),0)</f>
        <v>33127053</v>
      </c>
      <c r="D182" s="252">
        <f t="shared" si="24"/>
        <v>0.7</v>
      </c>
      <c r="E182" s="252">
        <f t="shared" si="18"/>
        <v>23188937.099999998</v>
      </c>
      <c r="F182" s="249">
        <f t="shared" si="25"/>
        <v>31</v>
      </c>
      <c r="G182" s="258">
        <f t="shared" si="26"/>
        <v>0.15</v>
      </c>
      <c r="H182" s="252">
        <f t="shared" si="19"/>
        <v>0</v>
      </c>
      <c r="I182" s="252">
        <f t="shared" si="20"/>
        <v>0</v>
      </c>
      <c r="J182" s="254">
        <f>IF($A182&lt;=Input!$C$6,0,IF(E182&lt;H182,E182-I182,H182))</f>
        <v>0</v>
      </c>
      <c r="K182" s="256">
        <f t="shared" si="21"/>
        <v>0</v>
      </c>
      <c r="L182" s="256">
        <f t="shared" si="22"/>
        <v>0</v>
      </c>
      <c r="M182" s="249"/>
    </row>
    <row r="183" spans="1:13" x14ac:dyDescent="0.25">
      <c r="A183" s="252">
        <v>179</v>
      </c>
      <c r="B183" s="253">
        <f t="shared" si="23"/>
        <v>50966</v>
      </c>
      <c r="C183" s="252">
        <f>ROUND(IF(Input!$B$15="Yes",'Unique Tenure'!C183,'180M'!C183),0)</f>
        <v>33127053</v>
      </c>
      <c r="D183" s="252">
        <f t="shared" si="24"/>
        <v>0.7</v>
      </c>
      <c r="E183" s="252">
        <f t="shared" si="18"/>
        <v>23188937.099999998</v>
      </c>
      <c r="F183" s="249">
        <f t="shared" si="25"/>
        <v>30</v>
      </c>
      <c r="G183" s="258">
        <f t="shared" si="26"/>
        <v>0.15</v>
      </c>
      <c r="H183" s="252">
        <f t="shared" si="19"/>
        <v>0</v>
      </c>
      <c r="I183" s="252">
        <f t="shared" si="20"/>
        <v>0</v>
      </c>
      <c r="J183" s="254">
        <f>IF($A183&lt;=Input!$C$6,0,IF(E183&lt;H183,E183-I183,H183))</f>
        <v>0</v>
      </c>
      <c r="K183" s="256">
        <f t="shared" si="21"/>
        <v>0</v>
      </c>
      <c r="L183" s="256">
        <f t="shared" si="22"/>
        <v>0</v>
      </c>
      <c r="M183" s="249"/>
    </row>
    <row r="184" spans="1:13" x14ac:dyDescent="0.25">
      <c r="A184" s="252">
        <v>180</v>
      </c>
      <c r="B184" s="253">
        <f t="shared" si="23"/>
        <v>50997</v>
      </c>
      <c r="C184" s="252">
        <f>ROUND(IF(Input!$B$15="Yes",'Unique Tenure'!C184,'180M'!C184),0)</f>
        <v>33127053</v>
      </c>
      <c r="D184" s="252">
        <f t="shared" si="24"/>
        <v>0.7</v>
      </c>
      <c r="E184" s="252">
        <f t="shared" si="18"/>
        <v>23188937.099999998</v>
      </c>
      <c r="F184" s="249">
        <f t="shared" si="25"/>
        <v>31</v>
      </c>
      <c r="G184" s="258">
        <f t="shared" si="26"/>
        <v>0.15</v>
      </c>
      <c r="H184" s="252">
        <f t="shared" si="19"/>
        <v>0</v>
      </c>
      <c r="I184" s="252">
        <f t="shared" si="20"/>
        <v>0</v>
      </c>
      <c r="J184" s="254">
        <f>IF($A184&lt;=Input!$C$6,0,IF(E184&lt;H184,E184-I184,H184))</f>
        <v>0</v>
      </c>
      <c r="K184" s="256">
        <f t="shared" si="21"/>
        <v>0</v>
      </c>
      <c r="L184" s="256">
        <f t="shared" si="22"/>
        <v>0</v>
      </c>
      <c r="M184" s="249"/>
    </row>
  </sheetData>
  <sheetProtection formatCells="0" formatColumns="0" formatRows="0" pivotTables="0"/>
  <mergeCells count="1">
    <mergeCell ref="A1:M1"/>
  </mergeCells>
  <conditionalFormatting sqref="E4:E184">
    <cfRule type="expression" dxfId="1" priority="2">
      <formula>E3&lt;&gt;E4</formula>
    </cfRule>
  </conditionalFormatting>
  <conditionalFormatting sqref="J4:J184">
    <cfRule type="cellIs" dxfId="0" priority="1" operator="lessThan">
      <formula>0</formula>
    </cfRule>
  </conditionalFormatting>
  <dataValidations disablePrompts="1" count="1">
    <dataValidation type="list" showInputMessage="1" showErrorMessage="1" sqref="P3" xr:uid="{10B66534-E673-4C5E-951B-396766FFEE47}">
      <formula1>$P$1:$T$1</formula1>
    </dataValidation>
  </dataValidation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058621EED34F4691BD1D368BDD7065" ma:contentTypeVersion="15" ma:contentTypeDescription="Create a new document." ma:contentTypeScope="" ma:versionID="bb3a1ce479a3169c7706f7956fea4c64">
  <xsd:schema xmlns:xsd="http://www.w3.org/2001/XMLSchema" xmlns:xs="http://www.w3.org/2001/XMLSchema" xmlns:p="http://schemas.microsoft.com/office/2006/metadata/properties" xmlns:ns3="07aadcab-7075-46d7-b869-7d908a435422" xmlns:ns4="bc6a4b7a-e2fc-4dd6-baa5-fed910e6ad57" targetNamespace="http://schemas.microsoft.com/office/2006/metadata/properties" ma:root="true" ma:fieldsID="700a875e840c88cd30de89136dd0341e" ns3:_="" ns4:_="">
    <xsd:import namespace="07aadcab-7075-46d7-b869-7d908a435422"/>
    <xsd:import namespace="bc6a4b7a-e2fc-4dd6-baa5-fed910e6ad5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LengthInSeconds" minOccurs="0"/>
                <xsd:element ref="ns3:_activity" minOccurs="0"/>
                <xsd:element ref="ns3:MediaServiceObjectDetectorVersions" minOccurs="0"/>
                <xsd:element ref="ns3:MediaServiceGenerationTime" minOccurs="0"/>
                <xsd:element ref="ns3:MediaServiceEventHashCode" minOccurs="0"/>
                <xsd:element ref="ns3:MediaServiceOCR"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aadcab-7075-46d7-b869-7d908a43542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c6a4b7a-e2fc-4dd6-baa5-fed910e6ad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07aadcab-7075-46d7-b869-7d908a435422" xsi:nil="true"/>
  </documentManagement>
</p:properties>
</file>

<file path=customXml/itemProps1.xml><?xml version="1.0" encoding="utf-8"?>
<ds:datastoreItem xmlns:ds="http://schemas.openxmlformats.org/officeDocument/2006/customXml" ds:itemID="{053CCCE2-B9D4-4646-A94C-E6CD480B9C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aadcab-7075-46d7-b869-7d908a435422"/>
    <ds:schemaRef ds:uri="bc6a4b7a-e2fc-4dd6-baa5-fed910e6ad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4EE2C00-4386-4671-A0AF-86BBE68498A7}">
  <ds:schemaRefs>
    <ds:schemaRef ds:uri="http://schemas.microsoft.com/sharepoint/v3/contenttype/forms"/>
  </ds:schemaRefs>
</ds:datastoreItem>
</file>

<file path=customXml/itemProps3.xml><?xml version="1.0" encoding="utf-8"?>
<ds:datastoreItem xmlns:ds="http://schemas.openxmlformats.org/officeDocument/2006/customXml" ds:itemID="{0F5E9F28-FB2D-481B-B1F7-A1C09DD44AEA}">
  <ds:schemaRefs>
    <ds:schemaRef ds:uri="http://purl.org/dc/dcmitype/"/>
    <ds:schemaRef ds:uri="http://purl.org/dc/terms/"/>
    <ds:schemaRef ds:uri="http://schemas.openxmlformats.org/package/2006/metadata/core-properties"/>
    <ds:schemaRef ds:uri="http://www.w3.org/XML/1998/namespace"/>
    <ds:schemaRef ds:uri="bc6a4b7a-e2fc-4dd6-baa5-fed910e6ad57"/>
    <ds:schemaRef ds:uri="http://schemas.microsoft.com/office/2006/documentManagement/types"/>
    <ds:schemaRef ds:uri="http://purl.org/dc/elements/1.1/"/>
    <ds:schemaRef ds:uri="http://schemas.microsoft.com/office/infopath/2007/PartnerControls"/>
    <ds:schemaRef ds:uri="07aadcab-7075-46d7-b869-7d908a435422"/>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Instructions</vt:lpstr>
      <vt:lpstr>Final</vt:lpstr>
      <vt:lpstr>Input</vt:lpstr>
      <vt:lpstr>Lease details</vt:lpstr>
      <vt:lpstr>Rental break up &amp; reco</vt:lpstr>
      <vt:lpstr>180M</vt:lpstr>
      <vt:lpstr>144M</vt:lpstr>
      <vt:lpstr>120M</vt:lpstr>
      <vt:lpstr>Fixed Tenure</vt:lpstr>
      <vt:lpstr>Unique Tenure</vt:lpstr>
      <vt:lpstr>Manual RTR</vt:lpstr>
      <vt:lpstr>Input!Print_Area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Dhruvin Bhanushali</dc:creator>
  <cp:lastModifiedBy>Dhruvin Bhanushali</cp:lastModifiedBy>
  <dcterms:created xsi:type="dcterms:W3CDTF">2015-06-05T18:17:20Z</dcterms:created>
  <dcterms:modified xsi:type="dcterms:W3CDTF">2024-06-20T10:24:02Z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0x010100C3058621EED34F4691BD1D368BDD7065</vt:lpwstr>
  </property>
</Properties>
</file>